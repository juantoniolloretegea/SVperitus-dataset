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34166c19b9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033f5cbeaf9446d"/>
    <x:sheet xmlns:r="http://schemas.openxmlformats.org/officeDocument/2006/relationships" name="Candidatos_G2" sheetId="2" r:id="Rfe1146eb508e4859"/>
    <x:sheet xmlns:r="http://schemas.openxmlformats.org/officeDocument/2006/relationships" name="Pilotos_50" sheetId="3" r:id="R9e02e4fdd26a40e2"/>
    <x:sheet xmlns:r="http://schemas.openxmlformats.org/officeDocument/2006/relationships" name="Colisiones_8" sheetId="4" r:id="Rc29b88f33e66473c"/>
    <x:sheet xmlns:r="http://schemas.openxmlformats.org/officeDocument/2006/relationships" name="Reglas" sheetId="5" r:id="Ra052f80d1825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6B4F00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1"/>
      <x:color rgb="FF17324D"/>
      <x:name val="Carlito"/>
    </x:font>
    <x:font>
      <x:b/>
      <x:sz val="11"/>
      <x:color rgb="FFB42318"/>
      <x:name val="Carlito"/>
    </x:font>
    <x:font>
      <x:b/>
      <x:sz val="10"/>
      <x:color rgb="FFFFFFFF"/>
      <x:name val="Aptos"/>
    </x:font>
    <x:font>
      <x:b/>
      <x:sz val="10"/>
      <x:color rgb="FF6B4F00"/>
      <x:name val="Aptos"/>
    </x:font>
    <x:font>
      <x:sz val="10"/>
      <x:name val="Aptos"/>
    </x:font>
    <x:font>
      <x:b/>
      <x:sz val="10"/>
      <x:color rgb="FF0F766E"/>
      <x:name val="Aptos"/>
    </x:font>
    <x:font>
      <x:b/>
      <x:sz val="10"/>
      <x:color rgb="FF17324D"/>
      <x:name val="Aptos"/>
    </x:font>
    <x:font>
      <x:b/>
      <x:sz val="10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CD"/>
      </x:patternFill>
    </x:fill>
    <x:fill>
      <x:patternFill patternType="solid">
        <x:fgColor rgb="FF0F766E"/>
      </x:patternFill>
    </x:fill>
    <x:fill>
      <x:patternFill patternType="solid">
        <x:fgColor rgb="FFEAF1F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7" fillId="4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top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19ad59f3c41f6" /><Relationship Type="http://schemas.openxmlformats.org/officeDocument/2006/relationships/theme" Target="/xl/theme/theme1.xml" Id="R4da7913cd4f54c79" /><Relationship Type="http://schemas.openxmlformats.org/officeDocument/2006/relationships/sharedStrings" Target="/xl/sharedStrings.xml" Id="R8dbffd7d1be84d13" /><Relationship Type="http://schemas.openxmlformats.org/officeDocument/2006/relationships/worksheet" Target="/xl/worksheets/sheet1.xml" Id="Re033f5cbeaf9446d" /><Relationship Type="http://schemas.openxmlformats.org/officeDocument/2006/relationships/worksheet" Target="/xl/worksheets/sheet2.xml" Id="Rfe1146eb508e4859" /><Relationship Type="http://schemas.openxmlformats.org/officeDocument/2006/relationships/worksheet" Target="/xl/worksheets/sheet3.xml" Id="R9e02e4fdd26a40e2" /><Relationship Type="http://schemas.openxmlformats.org/officeDocument/2006/relationships/worksheet" Target="/xl/worksheets/sheet4.xml" Id="Rc29b88f33e66473c" /><Relationship Type="http://schemas.openxmlformats.org/officeDocument/2006/relationships/worksheet" Target="/xl/worksheets/sheet5.xml" Id="Ra052f80d182541c9" /></Relationships>
</file>

<file path=xl/tables/table1.xml><?xml version="1.0" encoding="utf-8"?>
<x:table xmlns:x="http://schemas.openxmlformats.org/spreadsheetml/2006/main" id="1" name="CandidatosG2Table" displayName="CandidatosG2Table" ref="A1:N33" headerRowCount="1" totalsRowCount="0" totalsRowShown="0">
  <x:tableColumns count="14">
    <x:tableColumn id="1" name="Candidato_ID"/>
    <x:tableColumn id="2" name="Pregunta canónica"/>
    <x:tableColumn id="3" name="Familia"/>
    <x:tableColumn id="4" name="Función provisional"/>
    <x:tableColumn id="5" name="Dependencia"/>
    <x:tableColumn id="6" name="U propia posible"/>
    <x:tableColumn id="7" name="Lote"/>
    <x:tableColumn id="8" name="Cierre semántico"/>
    <x:tableColumn id="9" name="Estatuto atómico"/>
    <x:tableColumn id="10" name="Observables"/>
    <x:tableColumn id="11" name="Consecuencia plena"/>
    <x:tableColumn id="12" name="Matriz propietaria"/>
    <x:tableColumn id="13" name="Colisión piloto"/>
    <x:tableColumn id="14" name="Exclusión expres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os50Table" displayName="Pilotos50Table" ref="A1:H51" headerRowCount="1" totalsRowCount="0" totalsRowShown="0">
  <x:tableColumns count="8">
    <x:tableColumn id="1" name="Piloto"/>
    <x:tableColumn id="2" name="Pxx"/>
    <x:tableColumn id="3" name="Nombre histórico"/>
    <x:tableColumn id="4" name="Entradas"/>
    <x:tableColumn id="5" name="Señal estructural"/>
    <x:tableColumn id="6" name="Candidatos relacionados"/>
    <x:tableColumn id="7" name="Estado de cobertura"/>
    <x:tableColumn id="8" name="Interpret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isiones8Table" displayName="Colisiones8Table" ref="A1:F9" headerRowCount="1" totalsRowCount="0" totalsRowShown="0">
  <x:tableColumns count="6">
    <x:tableColumn id="1" name="Familia de colisión"/>
    <x:tableColumn id="2" name="IMMUNO-1"/>
    <x:tableColumn id="3" name="IMMUNO-2"/>
    <x:tableColumn id="4" name="Riesgo histórico"/>
    <x:tableColumn id="5" name="Candidatos que absorben el ataque"/>
    <x:tableColumn id="6" name="Reg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b497115a344f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0465c4cfa48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8a7be132c3a4f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8" hidden="0" customWidth="1"/>
  </x:cols>
  <x:sheetData>
    <x:row r="1" ht="30" customHeight="1">
      <x:c r="A1" s="32" t="str">
        <x:v>Registro precursor de parámetros INMUNO v0.1</x:v>
      </x:c>
      <x:c r="B1" s="32"/>
      <x:c r="C1" s="32"/>
      <x:c r="D1" s="32"/>
    </x:row>
    <x:row r="2">
      <x:c r="A2" s="33" t="str">
        <x:v>Universo candidato finito. Ninguna fila es todavía un parámetro atómico autorizado.</x:v>
      </x:c>
      <x:c r="B2" s="33"/>
      <x:c r="C2" s="33"/>
      <x:c r="D2" s="33"/>
    </x:row>
    <x:row r="3">
      <x:c r="A3" s="34"/>
      <x:c r="B3" s="34"/>
      <x:c r="C3" s="34"/>
      <x:c r="D3" s="34"/>
    </x:row>
    <x:row r="4">
      <x:c r="A4" s="35" t="str">
        <x:v>Magnitud</x:v>
      </x:c>
      <x:c r="B4" s="35" t="str">
        <x:v>Calculado</x:v>
      </x:c>
      <x:c r="C4" s="35" t="str">
        <x:v>Esperado</x:v>
      </x:c>
      <x:c r="D4" s="35" t="str">
        <x:v>Control</x:v>
      </x:c>
    </x:row>
    <x:row r="5">
      <x:c r="A5" s="28" t="str">
        <x:v>Preguntas candidatas Q0</x:v>
      </x:c>
      <x:c r="B5" s="29" t="n">
        <x:f>COUNTA('Candidatos_G2'!$A$2:$A$33)</x:f>
        <x:v>32</x:v>
      </x:c>
      <x:c r="C5" s="29" t="n">
        <x:v>32</x:v>
      </x:c>
      <x:c r="D5" s="30" t="str">
        <x:f>IF(B5=C5,"PASA","NO_PASA")</x:f>
        <x:v>PASA</x:v>
      </x:c>
    </x:row>
    <x:row r="6">
      <x:c r="A6" s="28" t="str">
        <x:v>G2-S1</x:v>
      </x:c>
      <x:c r="B6" s="29" t="n">
        <x:f>COUNTIF('Candidatos_G2'!$G$2:$G$33,A6)</x:f>
        <x:v>23</x:v>
      </x:c>
      <x:c r="C6" s="29" t="n">
        <x:v>23</x:v>
      </x:c>
      <x:c r="D6" s="30" t="str">
        <x:f>IF(B6=C6,"PASA","NO_PASA")</x:f>
        <x:v>PASA</x:v>
      </x:c>
    </x:row>
    <x:row r="7">
      <x:c r="A7" s="28" t="str">
        <x:v>G2-S2</x:v>
      </x:c>
      <x:c r="B7" s="29" t="n">
        <x:f>COUNTIF('Candidatos_G2'!$G$2:$G$33,A7)</x:f>
        <x:v>9</x:v>
      </x:c>
      <x:c r="C7" s="29" t="n">
        <x:v>9</x:v>
      </x:c>
      <x:c r="D7" s="30" t="str">
        <x:f>IF(B7=C7,"PASA","NO_PASA")</x:f>
        <x:v>PASA</x:v>
      </x:c>
    </x:row>
    <x:row r="8">
      <x:c r="A8" s="28" t="str">
        <x:v>Familias semánticas</x:v>
      </x:c>
      <x:c r="B8" s="29" t="n">
        <x:f>COUNTA(A16:A22)</x:f>
        <x:v>7</x:v>
      </x:c>
      <x:c r="C8" s="29" t="n">
        <x:v>7</x:v>
      </x:c>
      <x:c r="D8" s="30" t="str">
        <x:f>IF(B8=C8,"PASA","NO_PASA")</x:f>
        <x:v>PASA</x:v>
      </x:c>
    </x:row>
    <x:row r="9">
      <x:c r="A9" s="28" t="str">
        <x:v>Posiciones piloto</x:v>
      </x:c>
      <x:c r="B9" s="29" t="n">
        <x:f>COUNTA('Pilotos_50'!$A$2:$A$51)</x:f>
        <x:v>50</x:v>
      </x:c>
      <x:c r="C9" s="29" t="n">
        <x:v>50</x:v>
      </x:c>
      <x:c r="D9" s="30" t="str">
        <x:f>IF(B9=C9,"PASA","NO_PASA")</x:f>
        <x:v>PASA</x:v>
      </x:c>
    </x:row>
    <x:row r="10">
      <x:c r="A10" s="28" t="str">
        <x:v>Colisiones piloto</x:v>
      </x:c>
      <x:c r="B10" s="29" t="n">
        <x:f>COUNTA('Colisiones_8'!$A$2:$A$9)</x:f>
        <x:v>8</x:v>
      </x:c>
      <x:c r="C10" s="29" t="n">
        <x:v>8</x:v>
      </x:c>
      <x:c r="D10" s="30" t="str">
        <x:f>IF(B10=C10,"PASA","NO_PASA")</x:f>
        <x:v>PASA</x:v>
      </x:c>
    </x:row>
    <x:row r="11">
      <x:c r="A11" s="28" t="str">
        <x:v>Parámetros atómicos autorizados</x:v>
      </x:c>
      <x:c r="B11" s="29" t="n">
        <x:f>COUNTIF('Candidatos_G2'!$I$2:$I$33,"PARAMETRO_ATOMICO")</x:f>
        <x:v>0</x:v>
      </x:c>
      <x:c r="C11" s="29" t="n">
        <x:v>0</x:v>
      </x:c>
      <x:c r="D11" s="30" t="str">
        <x:f>IF(B11=C11,"PASA","NO_PASA")</x:f>
        <x:v>PASA</x:v>
      </x:c>
    </x:row>
    <x:row r="12">
      <x:c r="A12" s="28" t="str">
        <x:v>Matrices constituidas</x:v>
      </x:c>
      <x:c r="B12" s="29" t="n">
        <x:f>0</x:f>
        <x:v>0</x:v>
      </x:c>
      <x:c r="C12" s="29" t="n">
        <x:v>0</x:v>
      </x:c>
      <x:c r="D12" s="30" t="str">
        <x:f>IF(B12=C12,"PASA","NO_PASA")</x:f>
        <x:v>PASA</x:v>
      </x:c>
    </x:row>
    <x:row r="13">
      <x:c r="A13" s="34"/>
      <x:c r="B13" s="34"/>
      <x:c r="C13" s="34"/>
      <x:c r="D13" s="34"/>
    </x:row>
    <x:row r="14">
      <x:c r="A14" s="34"/>
      <x:c r="B14" s="34"/>
      <x:c r="C14" s="34"/>
      <x:c r="D14" s="34"/>
    </x:row>
    <x:row r="15">
      <x:c r="A15" s="35" t="str">
        <x:v>Familia</x:v>
      </x:c>
      <x:c r="B15" s="35" t="str">
        <x:v>Candidatos</x:v>
      </x:c>
      <x:c r="C15" s="35" t="str">
        <x:v>Control</x:v>
      </x:c>
      <x:c r="D15" s="34"/>
    </x:row>
    <x:row r="16">
      <x:c r="A16" s="28" t="str">
        <x:v>RUT</x:v>
      </x:c>
      <x:c r="B16" s="28" t="n">
        <x:f>COUNTIF('Candidatos_G2'!$C$2:$C$33,A16)</x:f>
        <x:v>1</x:v>
      </x:c>
      <x:c r="C16" s="28" t="str">
        <x:f>IF(B16=1,"PASA","NO_PASA")</x:f>
        <x:v>PASA</x:v>
      </x:c>
      <x:c r="D16" s="34"/>
    </x:row>
    <x:row r="17">
      <x:c r="A17" s="28" t="str">
        <x:v>CTX</x:v>
      </x:c>
      <x:c r="B17" s="28" t="n">
        <x:f>COUNTIF('Candidatos_G2'!$C$2:$C$33,A17)</x:f>
        <x:v>5</x:v>
      </x:c>
      <x:c r="C17" s="28" t="str">
        <x:f>IF(B17=5,"PASA","NO_PASA")</x:f>
        <x:v>PASA</x:v>
      </x:c>
      <x:c r="D17" s="34"/>
    </x:row>
    <x:row r="18">
      <x:c r="A18" s="28" t="str">
        <x:v>EXP</x:v>
      </x:c>
      <x:c r="B18" s="28" t="n">
        <x:f>COUNTIF('Candidatos_G2'!$C$2:$C$33,A18)</x:f>
        <x:v>5</x:v>
      </x:c>
      <x:c r="C18" s="28" t="str">
        <x:f>IF(B18=5,"PASA","NO_PASA")</x:f>
        <x:v>PASA</x:v>
      </x:c>
      <x:c r="D18" s="34"/>
    </x:row>
    <x:row r="19">
      <x:c r="A19" s="28" t="str">
        <x:v>HUE</x:v>
      </x:c>
      <x:c r="B19" s="28" t="n">
        <x:f>COUNTIF('Candidatos_G2'!$C$2:$C$33,A19)</x:f>
        <x:v>5</x:v>
      </x:c>
      <x:c r="C19" s="28" t="str">
        <x:f>IF(B19=5,"PASA","NO_PASA")</x:f>
        <x:v>PASA</x:v>
      </x:c>
      <x:c r="D19" s="34"/>
    </x:row>
    <x:row r="20">
      <x:c r="A20" s="28" t="str">
        <x:v>BAR</x:v>
      </x:c>
      <x:c r="B20" s="28" t="n">
        <x:f>COUNTIF('Candidatos_G2'!$C$2:$C$33,A20)</x:f>
        <x:v>4</x:v>
      </x:c>
      <x:c r="C20" s="28" t="str">
        <x:f>IF(B20=4,"PASA","NO_PASA")</x:f>
        <x:v>PASA</x:v>
      </x:c>
      <x:c r="D20" s="34"/>
    </x:row>
    <x:row r="21">
      <x:c r="A21" s="28" t="str">
        <x:v>HIS</x:v>
      </x:c>
      <x:c r="B21" s="28" t="n">
        <x:f>COUNTIF('Candidatos_G2'!$C$2:$C$33,A21)</x:f>
        <x:v>5</x:v>
      </x:c>
      <x:c r="C21" s="28" t="str">
        <x:f>IF(B21=5,"PASA","NO_PASA")</x:f>
        <x:v>PASA</x:v>
      </x:c>
      <x:c r="D21" s="34"/>
    </x:row>
    <x:row r="22">
      <x:c r="A22" s="28" t="str">
        <x:v>MOD</x:v>
      </x:c>
      <x:c r="B22" s="28" t="n">
        <x:f>COUNTIF('Candidatos_G2'!$C$2:$C$33,A22)</x:f>
        <x:v>7</x:v>
      </x:c>
      <x:c r="C22" s="28" t="str">
        <x:f>IF(B22=7,"PASA","NO_PASA")</x:f>
        <x:v>PASA</x:v>
      </x:c>
      <x:c r="D22" s="34"/>
    </x:row>
    <x:row r="23">
      <x:c r="A23" s="34"/>
      <x:c r="B23" s="34"/>
      <x:c r="C23" s="34"/>
      <x:c r="D23" s="34"/>
    </x:row>
    <x:row r="24">
      <x:c r="A24" s="34"/>
      <x:c r="B24" s="34"/>
      <x:c r="C24" s="34"/>
      <x:c r="D24" s="34"/>
    </x:row>
    <x:row r="25">
      <x:c r="A25" s="36" t="str">
        <x:v>Regla cardinal: la operación activa parámetros; no redefine su identidad. Todo candidato continúa como CANDIDATO_NO_ADJUDICADO hasta G5-ATM.</x:v>
      </x:c>
      <x:c r="B25" s="36"/>
      <x:c r="C25" s="36"/>
      <x:c r="D25" s="36"/>
    </x:row>
  </x:sheetData>
  <x:mergeCells>
    <x:mergeCell ref="A1:D1"/>
    <x:mergeCell ref="A2:D2"/>
    <x:mergeCell ref="A25:D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8" hidden="0" customWidth="1"/>
    <x:col min="3" max="3" width="10" hidden="0" customWidth="1"/>
    <x:col min="4" max="4" width="25" hidden="0" customWidth="1"/>
    <x:col min="5" max="5" width="40" hidden="0" customWidth="1"/>
    <x:col min="6" max="6" width="40" hidden="0" customWidth="1"/>
    <x:col min="7" max="7" width="22" hidden="0" customWidth="1"/>
    <x:col min="8" max="8" width="22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8" hidden="0" customWidth="1"/>
    <x:col min="14" max="14" width="45" hidden="0" customWidth="1"/>
  </x:cols>
  <x:sheetData>
    <x:row r="1">
      <x:c r="A1" s="35" t="str">
        <x:v>Candidato_ID</x:v>
      </x:c>
      <x:c r="B1" s="35" t="str">
        <x:v>Pregunta canónica</x:v>
      </x:c>
      <x:c r="C1" s="35" t="str">
        <x:v>Familia</x:v>
      </x:c>
      <x:c r="D1" s="35" t="str">
        <x:v>Función provisional</x:v>
      </x:c>
      <x:c r="E1" s="35" t="str">
        <x:v>Dependencia</x:v>
      </x:c>
      <x:c r="F1" s="35" t="str">
        <x:v>U propia posible</x:v>
      </x:c>
      <x:c r="G1" s="35" t="str">
        <x:v>Lote</x:v>
      </x:c>
      <x:c r="H1" s="35" t="str">
        <x:v>Cierre semántico</x:v>
      </x:c>
      <x:c r="I1" s="35" t="str">
        <x:v>Estatuto atómico</x:v>
      </x:c>
      <x:c r="J1" s="35" t="str">
        <x:v>Observables</x:v>
      </x:c>
      <x:c r="K1" s="35" t="str">
        <x:v>Consecuencia plena</x:v>
      </x:c>
      <x:c r="L1" s="35" t="str">
        <x:v>Matriz propietaria</x:v>
      </x:c>
      <x:c r="M1" s="35" t="str">
        <x:v>Colisión piloto</x:v>
      </x:c>
      <x:c r="N1" s="35" t="str">
        <x:v>Exclusión expresa</x:v>
      </x:c>
    </x:row>
    <x:row r="2">
      <x:c r="A2" s="37" t="str">
        <x:v>SEM-RUT-001</x:v>
      </x:c>
      <x:c r="B2" s="28" t="str">
        <x:v>¿Existe información compatible con un proceso infeccioso en curso que, conforme a una regla clínica autorizada, obligue a salir de OP-IMM-001?</x:v>
      </x:c>
      <x:c r="C2" s="28" t="str">
        <x:v>RUT</x:v>
      </x:c>
      <x:c r="D2" s="28" t="str">
        <x:v>CONTROL_DE_SALIDA</x:v>
      </x:c>
      <x:c r="E2" s="28" t="str">
        <x:v>impide absorber un problema agudo dentro del perfil basal</x:v>
      </x:c>
      <x:c r="F2" s="28" t="str">
        <x:v>información ausente, discordante o no valorable</x:v>
      </x:c>
      <x:c r="G2" s="28" t="str">
        <x:v>G2-S1</x:v>
      </x:c>
      <x:c r="H2" s="28" t="str">
        <x:v>CERRADO_SEMANTICAMENTE</x:v>
      </x:c>
      <x:c r="I2" s="38" t="str">
        <x:v>CANDIDATO_NO_ADJUDICADO</x:v>
      </x:c>
      <x:c r="J2" s="38" t="str">
        <x:v>NO_CONSTITUIDOS</x:v>
      </x:c>
      <x:c r="K2" s="38" t="str">
        <x:v>NO_CONSTITUIDA</x:v>
      </x:c>
      <x:c r="L2" s="38" t="str">
        <x:v>U_NO_ASIGNADA</x:v>
      </x:c>
      <x:c r="M2" s="28" t="str">
        <x:v>—</x:v>
      </x:c>
      <x:c r="N2" s="28" t="str">
        <x:v>no diagnostica, clasifica ni trata la infección</x:v>
      </x:c>
    </x:row>
    <x:row r="3">
      <x:c r="A3" s="37" t="str">
        <x:v>SEM-CTX-001</x:v>
      </x:c>
      <x:c r="B3" s="28" t="str">
        <x:v>¿Está documentado el momento clínicamente previsto para el inicio propuesto de la inmunosupresión?</x:v>
      </x:c>
      <x:c r="C3" s="28" t="str">
        <x:v>CTX</x:v>
      </x:c>
      <x:c r="D3" s="28" t="str">
        <x:v>CONTEXTO_EXTERNO</x:v>
      </x:c>
      <x:c r="E3" s="28" t="str">
        <x:v>delimita el horizonte al que debe referirse el perfil</x:v>
      </x:c>
      <x:c r="F3" s="28" t="str">
        <x:v>fecha o prioridad no fijada o contradictoria</x:v>
      </x:c>
      <x:c r="G3" s="28" t="str">
        <x:v>G2-S1</x:v>
      </x:c>
      <x:c r="H3" s="28" t="str">
        <x:v>CERRADO_SEMANTICAMENTE</x:v>
      </x:c>
      <x:c r="I3" s="38" t="str">
        <x:v>CANDIDATO_NO_ADJUDICADO</x:v>
      </x:c>
      <x:c r="J3" s="38" t="str">
        <x:v>NO_CONSTITUIDOS</x:v>
      </x:c>
      <x:c r="K3" s="38" t="str">
        <x:v>NO_CONSTITUIDA</x:v>
      </x:c>
      <x:c r="L3" s="38" t="str">
        <x:v>U_NO_ASIGNADA</x:v>
      </x:c>
      <x:c r="M3" s="28" t="str">
        <x:v>—</x:v>
      </x:c>
      <x:c r="N3" s="28" t="str">
        <x:v>no decide la urgencia ni reproduce la carga de la enfermedad que la origina</x:v>
      </x:c>
    </x:row>
    <x:row r="4">
      <x:c r="A4" s="37" t="str">
        <x:v>SEM-CTX-002</x:v>
      </x:c>
      <x:c r="B4" s="28" t="str">
        <x:v>¿Están identificadas la entidad nosológica de base que motiva la propuesta terapéutica y la terminología versionada con la que se registra?</x:v>
      </x:c>
      <x:c r="C4" s="28" t="str">
        <x:v>CTX</x:v>
      </x:c>
      <x:c r="D4" s="28" t="str">
        <x:v>CONTEXTO_EXTERNO</x:v>
      </x:c>
      <x:c r="E4" s="28" t="str">
        <x:v>evita interpretar la exposición fuera de la enfermedad y del corte terminológico declarados</x:v>
      </x:c>
      <x:c r="F4" s="28" t="str">
        <x:v>diagnóstico provisional, discordante, no tipado o sin versión</x:v>
      </x:c>
      <x:c r="G4" s="28" t="str">
        <x:v>G2-S1</x:v>
      </x:c>
      <x:c r="H4" s="28" t="str">
        <x:v>CERRADO_SEMANTICAMENTE</x:v>
      </x:c>
      <x:c r="I4" s="38" t="str">
        <x:v>CANDIDATO_NO_ADJUDICADO</x:v>
      </x:c>
      <x:c r="J4" s="38" t="str">
        <x:v>NO_CONSTITUIDOS</x:v>
      </x:c>
      <x:c r="K4" s="38" t="str">
        <x:v>NO_CONSTITUIDA</x:v>
      </x:c>
      <x:c r="L4" s="38" t="str">
        <x:v>U_NO_ASIGNADA</x:v>
      </x:c>
      <x:c r="M4" s="28" t="str">
        <x:v>—</x:v>
      </x:c>
      <x:c r="N4" s="28" t="str">
        <x:v>no diagnostica, no adjudica indicación y ningún código asigna por sí solo una especialidad responsable</x:v>
      </x:c>
    </x:row>
    <x:row r="5">
      <x:c r="A5" s="37" t="str">
        <x:v>SEM-CTX-003</x:v>
      </x:c>
      <x:c r="B5" s="28" t="str">
        <x:v>¿Están documentados el servicio o profesional que dirige el episodio y la participación de Inmunología efectivamente solicitada o acordada para este momento clínico?</x:v>
      </x:c>
      <x:c r="C5" s="28" t="str">
        <x:v>CTX</x:v>
      </x:c>
      <x:c r="D5" s="28" t="str">
        <x:v>CONTEXTO_EXTERNO</x:v>
      </x:c>
      <x:c r="E5" s="28" t="str">
        <x:v>impide confundir una necesidad inmunológica con una transferencia automática de responsabilidad asistencial</x:v>
      </x:c>
      <x:c r="F5" s="28" t="str">
        <x:v>liderazgo, interconsulta, alcance o momento no documentados o discordantes</x:v>
      </x:c>
      <x:c r="G5" s="28" t="str">
        <x:v>G2-S1</x:v>
      </x:c>
      <x:c r="H5" s="28" t="str">
        <x:v>CERRADO_SEMANTICAMENTE</x:v>
      </x:c>
      <x:c r="I5" s="38" t="str">
        <x:v>CANDIDATO_NO_ADJUDICADO</x:v>
      </x:c>
      <x:c r="J5" s="38" t="str">
        <x:v>NO_CONSTITUIDOS</x:v>
      </x:c>
      <x:c r="K5" s="38" t="str">
        <x:v>NO_CONSTITUIDA</x:v>
      </x:c>
      <x:c r="L5" s="38" t="str">
        <x:v>U_NO_ASIGNADA</x:v>
      </x:c>
      <x:c r="M5" s="28" t="str">
        <x:v>—</x:v>
      </x:c>
      <x:c r="N5" s="28" t="str">
        <x:v>no asigna especialidad por diagnóstico, rareza, nombre del tratamiento, organización local ni petición unilateral del paciente</x:v>
      </x:c>
    </x:row>
    <x:row r="6">
      <x:c r="A6" s="37" t="str">
        <x:v>SEM-CTX-004</x:v>
      </x:c>
      <x:c r="B6" s="28" t="str">
        <x:v>¿Están identificados el protocolo institucional aplicable y las condiciones locales que determinan la ejecución viable de la actuación propuesta?</x:v>
      </x:c>
      <x:c r="C6" s="28" t="str">
        <x:v>CTX</x:v>
      </x:c>
      <x:c r="D6" s="28" t="str">
        <x:v>CONTEXTO_EXTERNO</x:v>
      </x:c>
      <x:c r="E6" s="28" t="str">
        <x:v>permite distinguir la necesidad clínica general de la ruta realmente ejecutable en el centro</x:v>
      </x:c>
      <x:c r="F6" s="28" t="str">
        <x:v>protocolo, versión, aplicabilidad, medios o capacidad no documentados o discordantes</x:v>
      </x:c>
      <x:c r="G6" s="28" t="str">
        <x:v>G2-S1</x:v>
      </x:c>
      <x:c r="H6" s="28" t="str">
        <x:v>CERRADO_SEMANTICAMENTE</x:v>
      </x:c>
      <x:c r="I6" s="38" t="str">
        <x:v>CANDIDATO_NO_ADJUDICADO</x:v>
      </x:c>
      <x:c r="J6" s="38" t="str">
        <x:v>NO_CONSTITUIDOS</x:v>
      </x:c>
      <x:c r="K6" s="38" t="str">
        <x:v>NO_CONSTITUIDA</x:v>
      </x:c>
      <x:c r="L6" s="38" t="str">
        <x:v>U_NO_ASIGNADA</x:v>
      </x:c>
      <x:c r="M6" s="28" t="str">
        <x:v>—</x:v>
      </x:c>
      <x:c r="N6" s="28" t="str">
        <x:v>no convierte una limitación local en ausencia de necesidad, ni un protocolo interno en verdad clínica universal</x:v>
      </x:c>
    </x:row>
    <x:row r="7">
      <x:c r="A7" s="37" t="str">
        <x:v>SEM-EXP-001</x:v>
      </x:c>
      <x:c r="B7" s="28" t="str">
        <x:v>¿Está identificado el tratamiento inmunosupresor sistémico primario propuesto?</x:v>
      </x:c>
      <x:c r="C7" s="28" t="str">
        <x:v>EXP</x:v>
      </x:c>
      <x:c r="D7" s="28" t="str">
        <x:v>EXPOSICION_PROPUESTA</x:v>
      </x:c>
      <x:c r="E7" s="28" t="str">
        <x:v>sin identidad de la exposición no puede referirse el perfil a la propuesta real</x:v>
      </x:c>
      <x:c r="F7" s="28" t="str">
        <x:v>tratamiento no fijado, ambiguo o discordante</x:v>
      </x:c>
      <x:c r="G7" s="28" t="str">
        <x:v>G2-S1</x:v>
      </x:c>
      <x:c r="H7" s="28" t="str">
        <x:v>CERRADO_SEMANTICAMENTE</x:v>
      </x:c>
      <x:c r="I7" s="38" t="str">
        <x:v>CANDIDATO_NO_ADJUDICADO</x:v>
      </x:c>
      <x:c r="J7" s="38" t="str">
        <x:v>NO_CONSTITUIDOS</x:v>
      </x:c>
      <x:c r="K7" s="38" t="str">
        <x:v>NO_CONSTITUIDA</x:v>
      </x:c>
      <x:c r="L7" s="38" t="str">
        <x:v>U_NO_ASIGNADA</x:v>
      </x:c>
      <x:c r="M7" s="28" t="str">
        <x:v>—</x:v>
      </x:c>
      <x:c r="N7" s="28" t="str">
        <x:v>no elige ni recomienda el tratamiento</x:v>
      </x:c>
    </x:row>
    <x:row r="8">
      <x:c r="A8" s="37" t="str">
        <x:v>SEM-EXP-002</x:v>
      </x:c>
      <x:c r="B8" s="28" t="str">
        <x:v>¿Está caracterizada la magnitud planificada de exposición al tratamiento primario?</x:v>
      </x:c>
      <x:c r="C8" s="28" t="str">
        <x:v>EXP</x:v>
      </x:c>
      <x:c r="D8" s="28" t="str">
        <x:v>EXPOSICION_PROPUESTA</x:v>
      </x:c>
      <x:c r="E8" s="28" t="str">
        <x:v>una misma identidad farmacológica puede tener exposiciones distintas</x:v>
      </x:c>
      <x:c r="F8" s="28" t="str">
        <x:v>pauta incompleta, variable o no verificable</x:v>
      </x:c>
      <x:c r="G8" s="28" t="str">
        <x:v>G2-S1</x:v>
      </x:c>
      <x:c r="H8" s="28" t="str">
        <x:v>CERRADO_SEMANTICAMENTE</x:v>
      </x:c>
      <x:c r="I8" s="38" t="str">
        <x:v>CANDIDATO_NO_ADJUDICADO</x:v>
      </x:c>
      <x:c r="J8" s="38" t="str">
        <x:v>NO_CONSTITUIDOS</x:v>
      </x:c>
      <x:c r="K8" s="38" t="str">
        <x:v>NO_CONSTITUIDA</x:v>
      </x:c>
      <x:c r="L8" s="38" t="str">
        <x:v>U_NO_ASIGNADA</x:v>
      </x:c>
      <x:c r="M8" s="28" t="str">
        <x:v>Corticoides</x:v>
      </x:c>
      <x:c r="N8" s="28" t="str">
        <x:v>no fija dosis ni umbral de riesgo</x:v>
      </x:c>
    </x:row>
    <x:row r="9">
      <x:c r="A9" s="37" t="str">
        <x:v>SEM-EXP-003</x:v>
      </x:c>
      <x:c r="B9" s="28" t="str">
        <x:v>¿Está caracterizada la duración planificada de la exposición primaria?</x:v>
      </x:c>
      <x:c r="C9" s="28" t="str">
        <x:v>EXP</x:v>
      </x:c>
      <x:c r="D9" s="28" t="str">
        <x:v>EXPOSICION_PROPUESTA</x:v>
      </x:c>
      <x:c r="E9" s="28" t="str">
        <x:v>duración e identidad pueden divergir y no deben colapsarse</x:v>
      </x:c>
      <x:c r="F9" s="28" t="str">
        <x:v>duración abierta, condicional o no documentada</x:v>
      </x:c>
      <x:c r="G9" s="28" t="str">
        <x:v>G2-S1</x:v>
      </x:c>
      <x:c r="H9" s="28" t="str">
        <x:v>CERRADO_SEMANTICAMENTE</x:v>
      </x:c>
      <x:c r="I9" s="38" t="str">
        <x:v>CANDIDATO_NO_ADJUDICADO</x:v>
      </x:c>
      <x:c r="J9" s="38" t="str">
        <x:v>NO_CONSTITUIDOS</x:v>
      </x:c>
      <x:c r="K9" s="38" t="str">
        <x:v>NO_CONSTITUIDA</x:v>
      </x:c>
      <x:c r="L9" s="38" t="str">
        <x:v>U_NO_ASIGNADA</x:v>
      </x:c>
      <x:c r="M9" s="28" t="str">
        <x:v>Corticoides</x:v>
      </x:c>
      <x:c r="N9" s="28" t="str">
        <x:v>no define la ventana válida ni decide continuidad</x:v>
      </x:c>
    </x:row>
    <x:row r="10">
      <x:c r="A10" s="37" t="str">
        <x:v>SEM-EXP-004</x:v>
      </x:c>
      <x:c r="B10" s="28" t="str">
        <x:v>¿Está identificada cualquier otra exposición inmunomoduladora concurrente o previa que siga siendo clínicamente activa para este episodio?</x:v>
      </x:c>
      <x:c r="C10" s="28" t="str">
        <x:v>EXP</x:v>
      </x:c>
      <x:c r="D10" s="28" t="str">
        <x:v>EXPOSICION_PROPUESTA</x:v>
      </x:c>
      <x:c r="E10" s="28" t="str">
        <x:v>una exposición adicional puede modificar el perfil sin cambiar el tratamiento primario</x:v>
      </x:c>
      <x:c r="F10" s="28" t="str">
        <x:v>exposición, concurrencia o vigencia desconocida</x:v>
      </x:c>
      <x:c r="G10" s="28" t="str">
        <x:v>G2-S1</x:v>
      </x:c>
      <x:c r="H10" s="28" t="str">
        <x:v>CERRADO_SEMANTICAMENTE</x:v>
      </x:c>
      <x:c r="I10" s="38" t="str">
        <x:v>CANDIDATO_NO_ADJUDICADO</x:v>
      </x:c>
      <x:c r="J10" s="38" t="str">
        <x:v>NO_CONSTITUIDOS</x:v>
      </x:c>
      <x:c r="K10" s="38" t="str">
        <x:v>NO_CONSTITUIDA</x:v>
      </x:c>
      <x:c r="L10" s="38" t="str">
        <x:v>U_NO_ASIGNADA</x:v>
      </x:c>
      <x:c r="M10" s="28" t="str">
        <x:v>—</x:v>
      </x:c>
      <x:c r="N10" s="28" t="str">
        <x:v>«activa para el episodio» exige regla temporal posterior; no agrega todas las exposiciones en un único estado</x:v>
      </x:c>
    </x:row>
    <x:row r="11">
      <x:c r="A11" s="37" t="str">
        <x:v>SEM-EXP-005</x:v>
      </x:c>
      <x:c r="B11" s="28" t="str">
        <x:v>¿Está caracterizada por separado la exposición sistémica a glucocorticoides cuando forme parte de la propuesta o conserve efecto para el episodio?</x:v>
      </x:c>
      <x:c r="C11" s="28" t="str">
        <x:v>EXP</x:v>
      </x:c>
      <x:c r="D11" s="28" t="str">
        <x:v>EXPOSICION_PROPUESTA</x:v>
      </x:c>
      <x:c r="E11" s="28" t="str">
        <x:v>los pilotos mezclaban dosis, duración y evaluación preventiva</x:v>
      </x:c>
      <x:c r="F11" s="28" t="str">
        <x:v>exposición o vigencia desconocida</x:v>
      </x:c>
      <x:c r="G11" s="28" t="str">
        <x:v>G2-S1</x:v>
      </x:c>
      <x:c r="H11" s="28" t="str">
        <x:v>CERRADO_SEMANTICAMENTE</x:v>
      </x:c>
      <x:c r="I11" s="38" t="str">
        <x:v>CANDIDATO_NO_ADJUDICADO</x:v>
      </x:c>
      <x:c r="J11" s="38" t="str">
        <x:v>NO_CONSTITUIDOS</x:v>
      </x:c>
      <x:c r="K11" s="38" t="str">
        <x:v>NO_CONSTITUIDA</x:v>
      </x:c>
      <x:c r="L11" s="38" t="str">
        <x:v>U_NO_ASIGNADA</x:v>
      </x:c>
      <x:c r="M11" s="28" t="str">
        <x:v>Corticoides</x:v>
      </x:c>
      <x:c r="N11" s="28" t="str">
        <x:v>no calcula equivalencias, dosis de riesgo ni indicación preventiva</x:v>
      </x:c>
    </x:row>
    <x:row r="12">
      <x:c r="A12" s="37" t="str">
        <x:v>SEM-HUE-001</x:v>
      </x:c>
      <x:c r="B12" s="28" t="str">
        <x:v>¿Existe una alteración cuantitativa del compartimento linfocitario pertinente para el episodio?</x:v>
      </x:c>
      <x:c r="C12" s="28" t="str">
        <x:v>HUE</x:v>
      </x:c>
      <x:c r="D12" s="28" t="str">
        <x:v>ESTADO_DEL_HUESPED</x:v>
      </x:c>
      <x:c r="E12" s="28" t="str">
        <x:v>los pilotos duplicaban linfopenia con reglas y contextos distintos</x:v>
      </x:c>
      <x:c r="F12" s="28" t="str">
        <x:v>estado no medido, no vigente o discordante</x:v>
      </x:c>
      <x:c r="G12" s="28" t="str">
        <x:v>G2-S1</x:v>
      </x:c>
      <x:c r="H12" s="28" t="str">
        <x:v>CERRADO_SEMANTICAMENTE</x:v>
      </x:c>
      <x:c r="I12" s="38" t="str">
        <x:v>CANDIDATO_NO_ADJUDICADO</x:v>
      </x:c>
      <x:c r="J12" s="38" t="str">
        <x:v>NO_CONSTITUIDOS</x:v>
      </x:c>
      <x:c r="K12" s="38" t="str">
        <x:v>NO_CONSTITUIDA</x:v>
      </x:c>
      <x:c r="L12" s="38" t="str">
        <x:v>U_NO_ASIGNADA</x:v>
      </x:c>
      <x:c r="M12" s="28" t="str">
        <x:v>Linfopenia</x:v>
      </x:c>
      <x:c r="N12" s="28" t="str">
        <x:v>no presupone qué recuento, subpoblación o umbral la constituye</x:v>
      </x:c>
    </x:row>
    <x:row r="13">
      <x:c r="A13" s="37" t="str">
        <x:v>SEM-HUE-002</x:v>
      </x:c>
      <x:c r="B13" s="28" t="str">
        <x:v>¿Existe una alteración cuantitativa de inmunoglobulina G pertinente para el episodio?</x:v>
      </x:c>
      <x:c r="C13" s="28" t="str">
        <x:v>HUE</x:v>
      </x:c>
      <x:c r="D13" s="28" t="str">
        <x:v>ESTADO_DEL_HUESPED</x:v>
      </x:c>
      <x:c r="E13" s="28" t="str">
        <x:v>los pilotos duplicaban la misma magnitud con funciones aparentes distintas</x:v>
      </x:c>
      <x:c r="F13" s="28" t="str">
        <x:v>valor ausente, no vigente, discordante o no interpretable</x:v>
      </x:c>
      <x:c r="G13" s="28" t="str">
        <x:v>G2-S1</x:v>
      </x:c>
      <x:c r="H13" s="28" t="str">
        <x:v>CERRADO_SEMANTICAMENTE</x:v>
      </x:c>
      <x:c r="I13" s="38" t="str">
        <x:v>CANDIDATO_NO_ADJUDICADO</x:v>
      </x:c>
      <x:c r="J13" s="38" t="str">
        <x:v>NO_CONSTITUIDOS</x:v>
      </x:c>
      <x:c r="K13" s="38" t="str">
        <x:v>NO_CONSTITUIDA</x:v>
      </x:c>
      <x:c r="L13" s="38" t="str">
        <x:v>U_NO_ASIGNADA</x:v>
      </x:c>
      <x:c r="M13" s="28" t="str">
        <x:v>Inmunoglobulina G</x:v>
      </x:c>
      <x:c r="N13" s="28" t="str">
        <x:v>no equivale a competencia humoral funcional ni a respuesta vacunal</x:v>
      </x:c>
    </x:row>
    <x:row r="14">
      <x:c r="A14" s="37" t="str">
        <x:v>SEM-HUE-003</x:v>
      </x:c>
      <x:c r="B14" s="28" t="str">
        <x:v>¿Existe una alteración de la respuesta humoral específica pertinente para el episodio?</x:v>
      </x:c>
      <x:c r="C14" s="28" t="str">
        <x:v>HUE</x:v>
      </x:c>
      <x:c r="D14" s="28" t="str">
        <x:v>ESTADO_DEL_HUESPED</x:v>
      </x:c>
      <x:c r="E14" s="28" t="str">
        <x:v>una concentración global y una respuesta específica pueden divergir</x:v>
      </x:c>
      <x:c r="F14" s="28" t="str">
        <x:v>respuesta no evaluada, no interpretable o no vigente</x:v>
      </x:c>
      <x:c r="G14" s="28" t="str">
        <x:v>G2-S1</x:v>
      </x:c>
      <x:c r="H14" s="28" t="str">
        <x:v>CERRADO_SEMANTICAMENTE</x:v>
      </x:c>
      <x:c r="I14" s="38" t="str">
        <x:v>CANDIDATO_NO_ADJUDICADO</x:v>
      </x:c>
      <x:c r="J14" s="38" t="str">
        <x:v>NO_CONSTITUIDOS</x:v>
      </x:c>
      <x:c r="K14" s="38" t="str">
        <x:v>NO_CONSTITUIDA</x:v>
      </x:c>
      <x:c r="L14" s="38" t="str">
        <x:v>U_NO_ASIGNADA</x:v>
      </x:c>
      <x:c r="M14" s="28" t="str">
        <x:v>—</x:v>
      </x:c>
      <x:c r="N14" s="28" t="str">
        <x:v>no equivale a vacunación administrada ni a inmunoglobulina G total</x:v>
      </x:c>
    </x:row>
    <x:row r="15">
      <x:c r="A15" s="37" t="str">
        <x:v>SEM-HUE-004</x:v>
      </x:c>
      <x:c r="B15" s="28" t="str">
        <x:v>¿Existe pérdida anatómica o funcional de la función esplénica pertinente para el perfil infeccioso?</x:v>
      </x:c>
      <x:c r="C15" s="28" t="str">
        <x:v>HUE</x:v>
      </x:c>
      <x:c r="D15" s="28" t="str">
        <x:v>ESTADO_DEL_HUESPED</x:v>
      </x:c>
      <x:c r="E15" s="28" t="str">
        <x:v>corrige la duplicación de función esplénica entre pilotos</x:v>
      </x:c>
      <x:c r="F15" s="28" t="str">
        <x:v>anatomía o función no documentada o discordante</x:v>
      </x:c>
      <x:c r="G15" s="28" t="str">
        <x:v>G2-S1</x:v>
      </x:c>
      <x:c r="H15" s="28" t="str">
        <x:v>CERRADO_SEMANTICAMENTE</x:v>
      </x:c>
      <x:c r="I15" s="38" t="str">
        <x:v>CANDIDATO_NO_ADJUDICADO</x:v>
      </x:c>
      <x:c r="J15" s="38" t="str">
        <x:v>NO_CONSTITUIDOS</x:v>
      </x:c>
      <x:c r="K15" s="38" t="str">
        <x:v>NO_CONSTITUIDA</x:v>
      </x:c>
      <x:c r="L15" s="38" t="str">
        <x:v>U_NO_ASIGNADA</x:v>
      </x:c>
      <x:c r="M15" s="28" t="str">
        <x:v>Función esplénica</x:v>
      </x:c>
      <x:c r="N15" s="28" t="str">
        <x:v>el tamaño esplénico o la carga de enfermedad no bastan por sí solos para cerrar esta pregunta</x:v>
      </x:c>
    </x:row>
    <x:row r="16">
      <x:c r="A16" s="37" t="str">
        <x:v>SEM-BAR-001</x:v>
      </x:c>
      <x:c r="B16" s="28" t="str">
        <x:v>¿Existe una alteración de la integridad cutánea pertinente para el perfil infeccioso?</x:v>
      </x:c>
      <x:c r="C16" s="28" t="str">
        <x:v>BAR</x:v>
      </x:c>
      <x:c r="D16" s="28" t="str">
        <x:v>BARRERA_O_DISPOSITIVO</x:v>
      </x:c>
      <x:c r="E16" s="28" t="str">
        <x:v>piel y mucosas se colapsaban históricamente bajo una sola posición</x:v>
      </x:c>
      <x:c r="F16" s="28" t="str">
        <x:v>estado cutáneo no valorado o no documentado</x:v>
      </x:c>
      <x:c r="G16" s="28" t="str">
        <x:v>G2-S1</x:v>
      </x:c>
      <x:c r="H16" s="28" t="str">
        <x:v>CERRADO_SEMANTICAMENTE</x:v>
      </x:c>
      <x:c r="I16" s="38" t="str">
        <x:v>CANDIDATO_NO_ADJUDICADO</x:v>
      </x:c>
      <x:c r="J16" s="38" t="str">
        <x:v>NO_CONSTITUIDOS</x:v>
      </x:c>
      <x:c r="K16" s="38" t="str">
        <x:v>NO_CONSTITUIDA</x:v>
      </x:c>
      <x:c r="L16" s="38" t="str">
        <x:v>U_NO_ASIGNADA</x:v>
      </x:c>
      <x:c r="M16" s="28" t="str">
        <x:v>Barreras/catéter</x:v>
      </x:c>
      <x:c r="N16" s="28" t="str">
        <x:v>no incluye mucosas, catéteres o prótesis</x:v>
      </x:c>
    </x:row>
    <x:row r="17">
      <x:c r="A17" s="37" t="str">
        <x:v>SEM-BAR-002</x:v>
      </x:c>
      <x:c r="B17" s="28" t="str">
        <x:v>¿Existe una alteración de la integridad mucosa pertinente para el perfil infeccioso?</x:v>
      </x:c>
      <x:c r="C17" s="28" t="str">
        <x:v>BAR</x:v>
      </x:c>
      <x:c r="D17" s="28" t="str">
        <x:v>BARRERA_O_DISPOSITIVO</x:v>
      </x:c>
      <x:c r="E17" s="28" t="str">
        <x:v>puede divergir de la integridad cutánea</x:v>
      </x:c>
      <x:c r="F17" s="28" t="str">
        <x:v>estado mucoso no valorado o no documentado</x:v>
      </x:c>
      <x:c r="G17" s="28" t="str">
        <x:v>G2-S1</x:v>
      </x:c>
      <x:c r="H17" s="28" t="str">
        <x:v>CERRADO_SEMANTICAMENTE</x:v>
      </x:c>
      <x:c r="I17" s="38" t="str">
        <x:v>CANDIDATO_NO_ADJUDICADO</x:v>
      </x:c>
      <x:c r="J17" s="38" t="str">
        <x:v>NO_CONSTITUIDOS</x:v>
      </x:c>
      <x:c r="K17" s="38" t="str">
        <x:v>NO_CONSTITUIDA</x:v>
      </x:c>
      <x:c r="L17" s="38" t="str">
        <x:v>U_NO_ASIGNADA</x:v>
      </x:c>
      <x:c r="M17" s="28" t="str">
        <x:v>Barreras/catéter</x:v>
      </x:c>
      <x:c r="N17" s="28" t="str">
        <x:v>no incluye piel, catéteres o prótesis</x:v>
      </x:c>
    </x:row>
    <x:row r="18">
      <x:c r="A18" s="37" t="str">
        <x:v>SEM-BAR-003</x:v>
      </x:c>
      <x:c r="B18" s="28" t="str">
        <x:v>¿Existe un dispositivo intravascular presente que sea pertinente para el perfil infeccioso del episodio?</x:v>
      </x:c>
      <x:c r="C18" s="28" t="str">
        <x:v>BAR</x:v>
      </x:c>
      <x:c r="D18" s="28" t="str">
        <x:v>BARRERA_O_DISPOSITIVO</x:v>
      </x:c>
      <x:c r="E18" s="28" t="str">
        <x:v>separa dispositivo de lesión de barrera</x:v>
      </x:c>
      <x:c r="F18" s="28" t="str">
        <x:v>presencia, tipo o vigencia no verificable</x:v>
      </x:c>
      <x:c r="G18" s="28" t="str">
        <x:v>G2-S1</x:v>
      </x:c>
      <x:c r="H18" s="28" t="str">
        <x:v>CERRADO_SEMANTICAMENTE</x:v>
      </x:c>
      <x:c r="I18" s="38" t="str">
        <x:v>CANDIDATO_NO_ADJUDICADO</x:v>
      </x:c>
      <x:c r="J18" s="38" t="str">
        <x:v>NO_CONSTITUIDOS</x:v>
      </x:c>
      <x:c r="K18" s="38" t="str">
        <x:v>NO_CONSTITUIDA</x:v>
      </x:c>
      <x:c r="L18" s="38" t="str">
        <x:v>U_NO_ASIGNADA</x:v>
      </x:c>
      <x:c r="M18" s="28" t="str">
        <x:v>Barreras/catéter</x:v>
      </x:c>
      <x:c r="N18" s="28" t="str">
        <x:v>no presupone infección, colonización ni necesidad de retirada</x:v>
      </x:c>
    </x:row>
    <x:row r="19">
      <x:c r="A19" s="37" t="str">
        <x:v>SEM-BAR-004</x:v>
      </x:c>
      <x:c r="B19" s="28" t="str">
        <x:v>¿Existe una prótesis u otro biomaterial implantado pertinente para el perfil infeccioso del episodio?</x:v>
      </x:c>
      <x:c r="C19" s="28" t="str">
        <x:v>BAR</x:v>
      </x:c>
      <x:c r="D19" s="28" t="str">
        <x:v>BARRERA_O_DISPOSITIVO</x:v>
      </x:c>
      <x:c r="E19" s="28" t="str">
        <x:v>evita hacer equivaler todo material a un catéter</x:v>
      </x:c>
      <x:c r="F19" s="28" t="str">
        <x:v>presencia, tipo o vigencia no verificable</x:v>
      </x:c>
      <x:c r="G19" s="28" t="str">
        <x:v>G2-S1</x:v>
      </x:c>
      <x:c r="H19" s="28" t="str">
        <x:v>CERRADO_SEMANTICAMENTE</x:v>
      </x:c>
      <x:c r="I19" s="38" t="str">
        <x:v>CANDIDATO_NO_ADJUDICADO</x:v>
      </x:c>
      <x:c r="J19" s="38" t="str">
        <x:v>NO_CONSTITUIDOS</x:v>
      </x:c>
      <x:c r="K19" s="38" t="str">
        <x:v>NO_CONSTITUIDA</x:v>
      </x:c>
      <x:c r="L19" s="38" t="str">
        <x:v>U_NO_ASIGNADA</x:v>
      </x:c>
      <x:c r="M19" s="28" t="str">
        <x:v>—</x:v>
      </x:c>
      <x:c r="N19" s="28" t="str">
        <x:v>no presupone infección, colonización ni actuación</x:v>
      </x:c>
    </x:row>
    <x:row r="20">
      <x:c r="A20" s="37" t="str">
        <x:v>SEM-HIS-001</x:v>
      </x:c>
      <x:c r="B20" s="28" t="str">
        <x:v>¿Existe antecedente de infección grave pertinente para el episodio?</x:v>
      </x:c>
      <x:c r="C20" s="28" t="str">
        <x:v>HIS</x:v>
      </x:c>
      <x:c r="D20" s="28" t="str">
        <x:v>HISTORIA_O_EXPOSICION</x:v>
      </x:c>
      <x:c r="E20" s="28" t="str">
        <x:v>una historia grave puede modificar la lectura basal</x:v>
      </x:c>
      <x:c r="F20" s="28" t="str">
        <x:v>historia ausente, gravedad o pertinencia no adjudicables</x:v>
      </x:c>
      <x:c r="G20" s="28" t="str">
        <x:v>G2-S1</x:v>
      </x:c>
      <x:c r="H20" s="28" t="str">
        <x:v>CERRADO_SEMANTICAMENTE</x:v>
      </x:c>
      <x:c r="I20" s="38" t="str">
        <x:v>CANDIDATO_NO_ADJUDICADO</x:v>
      </x:c>
      <x:c r="J20" s="38" t="str">
        <x:v>NO_CONSTITUIDOS</x:v>
      </x:c>
      <x:c r="K20" s="38" t="str">
        <x:v>NO_CONSTITUIDA</x:v>
      </x:c>
      <x:c r="L20" s="38" t="str">
        <x:v>U_NO_ASIGNADA</x:v>
      </x:c>
      <x:c r="M20" s="28" t="str">
        <x:v>Infección grave previa</x:v>
      </x:c>
      <x:c r="N20" s="28" t="str">
        <x:v>no define todavía «grave», ventana ni microorganismo</x:v>
      </x:c>
    </x:row>
    <x:row r="21">
      <x:c r="A21" s="37" t="str">
        <x:v>SEM-HIS-002</x:v>
      </x:c>
      <x:c r="B21" s="28" t="str">
        <x:v>¿Existe antecedente de infección oportunista pertinente para el episodio?</x:v>
      </x:c>
      <x:c r="C21" s="28" t="str">
        <x:v>HIS</x:v>
      </x:c>
      <x:c r="D21" s="28" t="str">
        <x:v>HISTORIA_O_EXPOSICION</x:v>
      </x:c>
      <x:c r="E21" s="28" t="str">
        <x:v>oportunismo y gravedad no son sinónimos y pueden divergir</x:v>
      </x:c>
      <x:c r="F21" s="28" t="str">
        <x:v>clasificación o historia desconocida</x:v>
      </x:c>
      <x:c r="G21" s="28" t="str">
        <x:v>G2-S1</x:v>
      </x:c>
      <x:c r="H21" s="28" t="str">
        <x:v>CERRADO_SEMANTICAMENTE</x:v>
      </x:c>
      <x:c r="I21" s="38" t="str">
        <x:v>CANDIDATO_NO_ADJUDICADO</x:v>
      </x:c>
      <x:c r="J21" s="38" t="str">
        <x:v>NO_CONSTITUIDOS</x:v>
      </x:c>
      <x:c r="K21" s="38" t="str">
        <x:v>NO_CONSTITUIDA</x:v>
      </x:c>
      <x:c r="L21" s="38" t="str">
        <x:v>U_NO_ASIGNADA</x:v>
      </x:c>
      <x:c r="M21" s="28" t="str">
        <x:v>—</x:v>
      </x:c>
      <x:c r="N21" s="28" t="str">
        <x:v>no agrega infecciones graves no oportunistas</x:v>
      </x:c>
    </x:row>
    <x:row r="22">
      <x:c r="A22" s="37" t="str">
        <x:v>SEM-HIS-003</x:v>
      </x:c>
      <x:c r="B22" s="28" t="str">
        <x:v>¿Existe un patrón de infecciones recurrentes pertinente para el episodio?</x:v>
      </x:c>
      <x:c r="C22" s="28" t="str">
        <x:v>HIS</x:v>
      </x:c>
      <x:c r="D22" s="28" t="str">
        <x:v>HISTORIA_O_EXPOSICION</x:v>
      </x:c>
      <x:c r="E22" s="28" t="str">
        <x:v>recurrencia no equivale a un único episodio grave</x:v>
      </x:c>
      <x:c r="F22" s="28" t="str">
        <x:v>episodios incompletos o patrón no adjudicable</x:v>
      </x:c>
      <x:c r="G22" s="28" t="str">
        <x:v>G2-S1</x:v>
      </x:c>
      <x:c r="H22" s="28" t="str">
        <x:v>CERRADO_SEMANTICAMENTE</x:v>
      </x:c>
      <x:c r="I22" s="38" t="str">
        <x:v>CANDIDATO_NO_ADJUDICADO</x:v>
      </x:c>
      <x:c r="J22" s="38" t="str">
        <x:v>NO_CONSTITUIDOS</x:v>
      </x:c>
      <x:c r="K22" s="38" t="str">
        <x:v>NO_CONSTITUIDA</x:v>
      </x:c>
      <x:c r="L22" s="38" t="str">
        <x:v>U_NO_ASIGNADA</x:v>
      </x:c>
      <x:c r="M22" s="28" t="str">
        <x:v>—</x:v>
      </x:c>
      <x:c r="N22" s="28" t="str">
        <x:v>no fija número, intervalo o etiología</x:v>
      </x:c>
    </x:row>
    <x:row r="23">
      <x:c r="A23" s="37" t="str">
        <x:v>SEM-HIS-004</x:v>
      </x:c>
      <x:c r="B23" s="28" t="str">
        <x:v>¿Existe colonización conocida por un microorganismo con resistencia clínicamente pertinente para el episodio?</x:v>
      </x:c>
      <x:c r="C23" s="28" t="str">
        <x:v>HIS</x:v>
      </x:c>
      <x:c r="D23" s="28" t="str">
        <x:v>HISTORIA_O_EXPOSICION</x:v>
      </x:c>
      <x:c r="E23" s="28" t="str">
        <x:v>separa estado de colonización de estrategia de manejo</x:v>
      </x:c>
      <x:c r="F23" s="28" t="str">
        <x:v>estado, vigencia o resistencia no verificables</x:v>
      </x:c>
      <x:c r="G23" s="28" t="str">
        <x:v>G2-S1</x:v>
      </x:c>
      <x:c r="H23" s="28" t="str">
        <x:v>CERRADO_SEMANTICAMENTE</x:v>
      </x:c>
      <x:c r="I23" s="38" t="str">
        <x:v>CANDIDATO_NO_ADJUDICADO</x:v>
      </x:c>
      <x:c r="J23" s="38" t="str">
        <x:v>NO_CONSTITUIDOS</x:v>
      </x:c>
      <x:c r="K23" s="38" t="str">
        <x:v>NO_CONSTITUIDA</x:v>
      </x:c>
      <x:c r="L23" s="38" t="str">
        <x:v>U_NO_ASIGNADA</x:v>
      </x:c>
      <x:c r="M23" s="28" t="str">
        <x:v>Colonización multirresistente</x:v>
      </x:c>
      <x:c r="N23" s="28" t="str">
        <x:v>no prescribe cribado ni profilaxis y no equivale a infección activa</x:v>
      </x:c>
    </x:row>
    <x:row r="24">
      <x:c r="A24" s="37" t="str">
        <x:v>SEM-HIS-005</x:v>
      </x:c>
      <x:c r="B24" s="28" t="str">
        <x:v>¿Existe una exposición sanitaria previa pertinente para el episodio?</x:v>
      </x:c>
      <x:c r="C24" s="28" t="str">
        <x:v>HIS</x:v>
      </x:c>
      <x:c r="D24" s="28" t="str">
        <x:v>HISTORIA_O_EXPOSICION</x:v>
      </x:c>
      <x:c r="E24" s="28" t="str">
        <x:v>hospitalización o procedimiento previo puede ser contexto sin convertirse en infección</x:v>
      </x:c>
      <x:c r="F24" s="28" t="str">
        <x:v>exposición o ventana desconocida</x:v>
      </x:c>
      <x:c r="G24" s="28" t="str">
        <x:v>G2-S1</x:v>
      </x:c>
      <x:c r="H24" s="28" t="str">
        <x:v>CERRADO_SEMANTICAMENTE</x:v>
      </x:c>
      <x:c r="I24" s="38" t="str">
        <x:v>CANDIDATO_NO_ADJUDICADO</x:v>
      </x:c>
      <x:c r="J24" s="38" t="str">
        <x:v>NO_CONSTITUIDOS</x:v>
      </x:c>
      <x:c r="K24" s="38" t="str">
        <x:v>NO_CONSTITUIDA</x:v>
      </x:c>
      <x:c r="L24" s="38" t="str">
        <x:v>U_NO_ASIGNADA</x:v>
      </x:c>
      <x:c r="M24" s="28" t="str">
        <x:v>Hospitalización/exposición sanitaria</x:v>
      </x:c>
      <x:c r="N24" s="28" t="str">
        <x:v>no equivale a colonización, infección ni riesgo cerrado</x:v>
      </x:c>
    </x:row>
    <x:row r="25">
      <x:c r="A25" s="37" t="str">
        <x:v>SEM-CTX-005</x:v>
      </x:c>
      <x:c r="B25" s="28" t="str">
        <x:v>¿Está documentado el tramo de edad adulta pertinente para interpretar este episodio?</x:v>
      </x:c>
      <x:c r="C25" s="28" t="str">
        <x:v>CTX</x:v>
      </x:c>
      <x:c r="D25" s="28" t="str">
        <x:v>CONTEXTO_BIOLOGICO</x:v>
      </x:c>
      <x:c r="E25" s="28" t="str">
        <x:v>la edad puede modificar referencias, reserva y lectura clínica sin alterar el límite adulto de la operación</x:v>
      </x:c>
      <x:c r="F25" s="28" t="str">
        <x:v>edad, fecha de referencia o aplicabilidad desconocidas o discordantes</x:v>
      </x:c>
      <x:c r="G25" s="28" t="str">
        <x:v>G2-S2</x:v>
      </x:c>
      <x:c r="H25" s="28" t="str">
        <x:v>PENDIENTE_AUDITORIA_EXTERNA</x:v>
      </x:c>
      <x:c r="I25" s="38" t="str">
        <x:v>CANDIDATO_NO_ADJUDICADO</x:v>
      </x:c>
      <x:c r="J25" s="38" t="str">
        <x:v>NO_CONSTITUIDOS</x:v>
      </x:c>
      <x:c r="K25" s="38" t="str">
        <x:v>NO_CONSTITUIDA</x:v>
      </x:c>
      <x:c r="L25" s="38" t="str">
        <x:v>U_NO_ASIGNADA</x:v>
      </x:c>
      <x:c r="M25" s="28" t="str">
        <x:v>—</x:v>
      </x:c>
      <x:c r="N25" s="28" t="str">
        <x:v>no convierte la edad cronológica en riesgo, fragilidad o contraindicación</x:v>
      </x:c>
    </x:row>
    <x:row r="26">
      <x:c r="A26" s="37" t="str">
        <x:v>SEM-HUE-005</x:v>
      </x:c>
      <x:c r="B26" s="28" t="str">
        <x:v>¿Existe una alteración del compartimento neutrofílico pertinente para el episodio?</x:v>
      </x:c>
      <x:c r="C26" s="28" t="str">
        <x:v>HUE</x:v>
      </x:c>
      <x:c r="D26" s="28" t="str">
        <x:v>ESTADO_DEL_HUESPED</x:v>
      </x:c>
      <x:c r="E26" s="28" t="str">
        <x:v>el estado neutrofílico puede cambiar de manera independiente del linfocitario y del tratamiento propuesto</x:v>
      </x:c>
      <x:c r="F26" s="28" t="str">
        <x:v>estado ausente, no vigente, discordante o no interpretable</x:v>
      </x:c>
      <x:c r="G26" s="28" t="str">
        <x:v>G2-S2</x:v>
      </x:c>
      <x:c r="H26" s="28" t="str">
        <x:v>PENDIENTE_AUDITORIA_EXTERNA</x:v>
      </x:c>
      <x:c r="I26" s="38" t="str">
        <x:v>CANDIDATO_NO_ADJUDICADO</x:v>
      </x:c>
      <x:c r="J26" s="38" t="str">
        <x:v>NO_CONSTITUIDOS</x:v>
      </x:c>
      <x:c r="K26" s="38" t="str">
        <x:v>NO_CONSTITUIDA</x:v>
      </x:c>
      <x:c r="L26" s="38" t="str">
        <x:v>U_NO_ASIGNADA</x:v>
      </x:c>
      <x:c r="M26" s="28" t="str">
        <x:v>—</x:v>
      </x:c>
      <x:c r="N26" s="28" t="str">
        <x:v>no presupone recuento, función, duración, causa, umbral ni actuación</x:v>
      </x:c>
    </x:row>
    <x:row r="27">
      <x:c r="A27" s="37" t="str">
        <x:v>SEM-MOD-001</x:v>
      </x:c>
      <x:c r="B27" s="28" t="str">
        <x:v>¿Existe una condición metabólica pertinente que modifique la lectura del perfil infeccioso?</x:v>
      </x:c>
      <x:c r="C27" s="28" t="str">
        <x:v>MOD</x:v>
      </x:c>
      <x:c r="D27" s="28" t="str">
        <x:v>MODIFICADOR_GENERAL</x:v>
      </x:c>
      <x:c r="E27" s="28" t="str">
        <x:v>una condición metabólica puede alterar susceptibilidad o evolución sin constituir por sí sola inmunodeficiencia</x:v>
      </x:c>
      <x:c r="F27" s="28" t="str">
        <x:v>condición, control, vigencia o pertinencia desconocidos</x:v>
      </x:c>
      <x:c r="G27" s="28" t="str">
        <x:v>G2-S2</x:v>
      </x:c>
      <x:c r="H27" s="28" t="str">
        <x:v>PENDIENTE_AUDITORIA_EXTERNA</x:v>
      </x:c>
      <x:c r="I27" s="38" t="str">
        <x:v>CANDIDATO_NO_ADJUDICADO</x:v>
      </x:c>
      <x:c r="J27" s="38" t="str">
        <x:v>NO_CONSTITUIDOS</x:v>
      </x:c>
      <x:c r="K27" s="38" t="str">
        <x:v>NO_CONSTITUIDA</x:v>
      </x:c>
      <x:c r="L27" s="38" t="str">
        <x:v>U_NO_ASIGNADA</x:v>
      </x:c>
      <x:c r="M27" s="28" t="str">
        <x:v>—</x:v>
      </x:c>
      <x:c r="N27" s="28" t="str">
        <x:v>no agrega diagnósticos metabólicos ni fija medida, umbral o tratamiento</x:v>
      </x:c>
    </x:row>
    <x:row r="28">
      <x:c r="A28" s="37" t="str">
        <x:v>SEM-MOD-002</x:v>
      </x:c>
      <x:c r="B28" s="28" t="str">
        <x:v>¿Existe una condición cardiovascular pertinente que modifique la consecuencia o la ruta del episodio?</x:v>
      </x:c>
      <x:c r="C28" s="28" t="str">
        <x:v>MOD</x:v>
      </x:c>
      <x:c r="D28" s="28" t="str">
        <x:v>MODIFICADOR_GENERAL</x:v>
      </x:c>
      <x:c r="E28" s="28" t="str">
        <x:v>la reserva cardiovascular puede modificar tolerancia y escalado sin cambiar necesariamente la susceptibilidad inmunológica</x:v>
      </x:c>
      <x:c r="F28" s="28" t="str">
        <x:v>condición, estabilidad, reserva o pertinencia desconocidas</x:v>
      </x:c>
      <x:c r="G28" s="28" t="str">
        <x:v>G2-S2</x:v>
      </x:c>
      <x:c r="H28" s="28" t="str">
        <x:v>PENDIENTE_AUDITORIA_EXTERNA</x:v>
      </x:c>
      <x:c r="I28" s="38" t="str">
        <x:v>CANDIDATO_NO_ADJUDICADO</x:v>
      </x:c>
      <x:c r="J28" s="38" t="str">
        <x:v>NO_CONSTITUIDOS</x:v>
      </x:c>
      <x:c r="K28" s="38" t="str">
        <x:v>NO_CONSTITUIDA</x:v>
      </x:c>
      <x:c r="L28" s="38" t="str">
        <x:v>U_NO_ASIGNADA</x:v>
      </x:c>
      <x:c r="M28" s="28" t="str">
        <x:v>—</x:v>
      </x:c>
      <x:c r="N28" s="28" t="str">
        <x:v>no equivale a riesgo infeccioso, urgencia ni contraindicación automática</x:v>
      </x:c>
    </x:row>
    <x:row r="29">
      <x:c r="A29" s="37" t="str">
        <x:v>SEM-MOD-003</x:v>
      </x:c>
      <x:c r="B29" s="28" t="str">
        <x:v>¿Existe una alteración renal pertinente para la interpretación o ejecución del episodio?</x:v>
      </x:c>
      <x:c r="C29" s="28" t="str">
        <x:v>MOD</x:v>
      </x:c>
      <x:c r="D29" s="28" t="str">
        <x:v>MODIFICADOR_GENERAL</x:v>
      </x:c>
      <x:c r="E29" s="28" t="str">
        <x:v>puede modificar reserva, exposición o viabilidad sin ser una decisión farmacológica</x:v>
      </x:c>
      <x:c r="F29" s="28" t="str">
        <x:v>función, cronicidad, estabilidad o pertinencia desconocidas</x:v>
      </x:c>
      <x:c r="G29" s="28" t="str">
        <x:v>G2-S2</x:v>
      </x:c>
      <x:c r="H29" s="28" t="str">
        <x:v>PENDIENTE_AUDITORIA_EXTERNA</x:v>
      </x:c>
      <x:c r="I29" s="38" t="str">
        <x:v>CANDIDATO_NO_ADJUDICADO</x:v>
      </x:c>
      <x:c r="J29" s="38" t="str">
        <x:v>NO_CONSTITUIDOS</x:v>
      </x:c>
      <x:c r="K29" s="38" t="str">
        <x:v>NO_CONSTITUIDA</x:v>
      </x:c>
      <x:c r="L29" s="38" t="str">
        <x:v>U_NO_ASIGNADA</x:v>
      </x:c>
      <x:c r="M29" s="28" t="str">
        <x:v>—</x:v>
      </x:c>
      <x:c r="N29" s="28" t="str">
        <x:v>no calcula función renal, ajusta dosis ni selecciona intervención</x:v>
      </x:c>
    </x:row>
    <x:row r="30">
      <x:c r="A30" s="37" t="str">
        <x:v>SEM-MOD-004</x:v>
      </x:c>
      <x:c r="B30" s="28" t="str">
        <x:v>¿Existe una condición pulmonar crónica pertinente que modifique el perfil o su consecuencia potencial?</x:v>
      </x:c>
      <x:c r="C30" s="28" t="str">
        <x:v>MOD</x:v>
      </x:c>
      <x:c r="D30" s="28" t="str">
        <x:v>MODIFICADOR_GENERAL</x:v>
      </x:c>
      <x:c r="E30" s="28" t="str">
        <x:v>enfermedad y reserva respiratoria pueden divergir de otros modificadores y afectar la lectura</x:v>
      </x:c>
      <x:c r="F30" s="28" t="str">
        <x:v>diagnóstico, función, estabilidad o pertinencia desconocidos</x:v>
      </x:c>
      <x:c r="G30" s="28" t="str">
        <x:v>G2-S2</x:v>
      </x:c>
      <x:c r="H30" s="28" t="str">
        <x:v>PENDIENTE_AUDITORIA_EXTERNA</x:v>
      </x:c>
      <x:c r="I30" s="38" t="str">
        <x:v>CANDIDATO_NO_ADJUDICADO</x:v>
      </x:c>
      <x:c r="J30" s="38" t="str">
        <x:v>NO_CONSTITUIDOS</x:v>
      </x:c>
      <x:c r="K30" s="38" t="str">
        <x:v>NO_CONSTITUIDA</x:v>
      </x:c>
      <x:c r="L30" s="38" t="str">
        <x:v>U_NO_ASIGNADA</x:v>
      </x:c>
      <x:c r="M30" s="28" t="str">
        <x:v>—</x:v>
      </x:c>
      <x:c r="N30" s="28" t="str">
        <x:v>no diagnostica infección respiratoria, fija gravedad ni prescribe evaluación</x:v>
      </x:c>
    </x:row>
    <x:row r="31">
      <x:c r="A31" s="37" t="str">
        <x:v>SEM-MOD-005</x:v>
      </x:c>
      <x:c r="B31" s="28" t="str">
        <x:v>¿Existe una alteración hepática pertinente para la interpretación o ejecución del episodio?</x:v>
      </x:c>
      <x:c r="C31" s="28" t="str">
        <x:v>MOD</x:v>
      </x:c>
      <x:c r="D31" s="28" t="str">
        <x:v>MODIFICADOR_GENERAL</x:v>
      </x:c>
      <x:c r="E31" s="28" t="str">
        <x:v>puede modificar reserva, exposición o viabilidad sin equivaler a inmunodeficiencia</x:v>
      </x:c>
      <x:c r="F31" s="28" t="str">
        <x:v>función, cronicidad, estabilidad o pertinencia desconocidas</x:v>
      </x:c>
      <x:c r="G31" s="28" t="str">
        <x:v>G2-S2</x:v>
      </x:c>
      <x:c r="H31" s="28" t="str">
        <x:v>PENDIENTE_AUDITORIA_EXTERNA</x:v>
      </x:c>
      <x:c r="I31" s="38" t="str">
        <x:v>CANDIDATO_NO_ADJUDICADO</x:v>
      </x:c>
      <x:c r="J31" s="38" t="str">
        <x:v>NO_CONSTITUIDOS</x:v>
      </x:c>
      <x:c r="K31" s="38" t="str">
        <x:v>NO_CONSTITUIDA</x:v>
      </x:c>
      <x:c r="L31" s="38" t="str">
        <x:v>U_NO_ASIGNADA</x:v>
      </x:c>
      <x:c r="M31" s="28" t="str">
        <x:v>—</x:v>
      </x:c>
      <x:c r="N31" s="28" t="str">
        <x:v>no calcula función hepática, ajusta dosis ni selecciona intervención</x:v>
      </x:c>
    </x:row>
    <x:row r="32">
      <x:c r="A32" s="37" t="str">
        <x:v>SEM-MOD-006</x:v>
      </x:c>
      <x:c r="B32" s="28" t="str">
        <x:v>¿Existe una alteración del estado nutricional pertinente para el episodio?</x:v>
      </x:c>
      <x:c r="C32" s="28" t="str">
        <x:v>MOD</x:v>
      </x:c>
      <x:c r="D32" s="28" t="str">
        <x:v>MODIFICADOR_GENERAL</x:v>
      </x:c>
      <x:c r="E32" s="28" t="str">
        <x:v>el estado nutricional puede variar con independencia de la fragilidad y modificar reserva o susceptibilidad</x:v>
      </x:c>
      <x:c r="F32" s="28" t="str">
        <x:v>estado, trayectoria, referencia o pertinencia desconocidos</x:v>
      </x:c>
      <x:c r="G32" s="28" t="str">
        <x:v>G2-S2</x:v>
      </x:c>
      <x:c r="H32" s="28" t="str">
        <x:v>PENDIENTE_AUDITORIA_EXTERNA</x:v>
      </x:c>
      <x:c r="I32" s="38" t="str">
        <x:v>CANDIDATO_NO_ADJUDICADO</x:v>
      </x:c>
      <x:c r="J32" s="38" t="str">
        <x:v>NO_CONSTITUIDOS</x:v>
      </x:c>
      <x:c r="K32" s="38" t="str">
        <x:v>NO_CONSTITUIDA</x:v>
      </x:c>
      <x:c r="L32" s="38" t="str">
        <x:v>U_NO_ASIGNADA</x:v>
      </x:c>
      <x:c r="M32" s="28" t="str">
        <x:v>—</x:v>
      </x:c>
      <x:c r="N32" s="28" t="str">
        <x:v>no presupone escala, índice, etiología, umbral ni soporte nutricional</x:v>
      </x:c>
    </x:row>
    <x:row r="33">
      <x:c r="A33" s="37" t="str">
        <x:v>SEM-MOD-007</x:v>
      </x:c>
      <x:c r="B33" s="28" t="str">
        <x:v>¿Existe fragilidad o reducción de la reserva funcional pertinente para el episodio?</x:v>
      </x:c>
      <x:c r="C33" s="28" t="str">
        <x:v>MOD</x:v>
      </x:c>
      <x:c r="D33" s="28" t="str">
        <x:v>MODIFICADOR_GENERAL</x:v>
      </x:c>
      <x:c r="E33" s="28" t="str">
        <x:v>la reserva funcional puede cambiar la tolerancia o la ruta aunque el estado nutricional sea distinto</x:v>
      </x:c>
      <x:c r="F33" s="28" t="str">
        <x:v>estado basal, trayectoria, escala o pertinencia desconocidos</x:v>
      </x:c>
      <x:c r="G33" s="28" t="str">
        <x:v>G2-S2</x:v>
      </x:c>
      <x:c r="H33" s="28" t="str">
        <x:v>PENDIENTE_AUDITORIA_EXTERNA</x:v>
      </x:c>
      <x:c r="I33" s="38" t="str">
        <x:v>CANDIDATO_NO_ADJUDICADO</x:v>
      </x:c>
      <x:c r="J33" s="38" t="str">
        <x:v>NO_CONSTITUIDOS</x:v>
      </x:c>
      <x:c r="K33" s="38" t="str">
        <x:v>NO_CONSTITUIDA</x:v>
      </x:c>
      <x:c r="L33" s="38" t="str">
        <x:v>U_NO_ASIGNADA</x:v>
      </x:c>
      <x:c r="M33" s="28" t="str">
        <x:v>—</x:v>
      </x:c>
      <x:c r="N33" s="28" t="str">
        <x:v>no equivale a edad, discapacidad, dependencia, nutrición ni decisión de limitar tratamiento</x:v>
      </x:c>
    </x:row>
  </x:sheetData>
  <x:pageMargins left="0.7" right="0.7" top="0.75" bottom="0.75" header="0.3" footer="0.3"/>
  <x:tableParts count="1">
    <x:tablePart xmlns:r="http://schemas.openxmlformats.org/officeDocument/2006/relationships" r:id="R67b497115a344f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38" hidden="0" customWidth="1"/>
    <x:col min="4" max="4" width="10" hidden="0" customWidth="1"/>
    <x:col min="5" max="5" width="24" hidden="0" customWidth="1"/>
    <x:col min="6" max="6" width="36" hidden="0" customWidth="1"/>
    <x:col min="7" max="7" width="27" hidden="0" customWidth="1"/>
    <x:col min="8" max="8" width="50" hidden="0" customWidth="1"/>
  </x:cols>
  <x:sheetData>
    <x:row r="1">
      <x:c r="A1" s="40" t="str">
        <x:v>Piloto</x:v>
      </x:c>
      <x:c r="B1" s="40" t="str">
        <x:v>Pxx</x:v>
      </x:c>
      <x:c r="C1" s="35" t="str">
        <x:v>Nombre histórico</x:v>
      </x:c>
      <x:c r="D1" s="35" t="str">
        <x:v>Entradas</x:v>
      </x:c>
      <x:c r="E1" s="35" t="str">
        <x:v>Señal estructural</x:v>
      </x:c>
      <x:c r="F1" s="35" t="str">
        <x:v>Candidatos relacionados</x:v>
      </x:c>
      <x:c r="G1" s="35" t="str">
        <x:v>Estado de cobertura</x:v>
      </x:c>
      <x:c r="H1" s="35" t="str">
        <x:v>Interpretación</x:v>
      </x:c>
    </x:row>
    <x:row r="2">
      <x:c r="A2" s="28" t="str">
        <x:v>IMMUNO-1</x:v>
      </x:c>
      <x:c r="B2" s="28" t="str">
        <x:v>P01</x:v>
      </x:c>
      <x:c r="C2" s="28" t="str">
        <x:v>Neutropenia</x:v>
      </x:c>
      <x:c r="D2" s="29" t="n">
        <x:v>3</x:v>
      </x:c>
      <x:c r="E2" s="28" t="str">
        <x:v>MULTI</x:v>
      </x:c>
      <x:c r="F2" s="28" t="str">
        <x:v>SEM-HUE-005</x:v>
      </x:c>
      <x:c r="G2" s="28" t="str">
        <x:v>SEÑAL_RECOGIDA</x:v>
      </x:c>
      <x:c r="H2" s="28" t="str">
        <x:v>Correspondencia estructural provisional; no hereda estado, regla ni atomicidad.</x:v>
      </x:c>
    </x:row>
    <x:row r="3">
      <x:c r="A3" s="28" t="str">
        <x:v>IMMUNO-1</x:v>
      </x:c>
      <x:c r="B3" s="28" t="str">
        <x:v>P02</x:v>
      </x:c>
      <x:c r="C3" s="28" t="str">
        <x:v>Linfopenia</x:v>
      </x:c>
      <x:c r="D3" s="29" t="n">
        <x:v>3</x:v>
      </x:c>
      <x:c r="E3" s="28" t="str">
        <x:v>MULTI</x:v>
      </x:c>
      <x:c r="F3" s="28" t="str">
        <x:v>SEM-HUE-001</x:v>
      </x:c>
      <x:c r="G3" s="28" t="str">
        <x:v>SEÑAL_RECOGIDA</x:v>
      </x:c>
      <x:c r="H3" s="28" t="str">
        <x:v>Correspondencia estructural provisional; no hereda estado, regla ni atomicidad.</x:v>
      </x:c>
    </x:row>
    <x:row r="4">
      <x:c r="A4" s="28" t="str">
        <x:v>IMMUNO-1</x:v>
      </x:c>
      <x:c r="B4" s="28" t="str">
        <x:v>P03</x:v>
      </x:c>
      <x:c r="C4" s="28" t="str">
        <x:v>Inmunoglobulinas</x:v>
      </x:c>
      <x:c r="D4" s="29" t="n">
        <x:v>2</x:v>
      </x:c>
      <x:c r="E4" s="28" t="str">
        <x:v>MULTI</x:v>
      </x:c>
      <x:c r="F4" s="28" t="str">
        <x:v>SEM-HUE-002</x:v>
      </x:c>
      <x:c r="G4" s="28" t="str">
        <x:v>SEÑAL_RECOGIDA</x:v>
      </x:c>
      <x:c r="H4" s="28" t="str">
        <x:v>Correspondencia estructural provisional; no hereda estado, regla ni atomicidad.</x:v>
      </x:c>
    </x:row>
    <x:row r="5">
      <x:c r="A5" s="28" t="str">
        <x:v>IMMUNO-1</x:v>
      </x:c>
      <x:c r="B5" s="28" t="str">
        <x:v>P04</x:v>
      </x:c>
      <x:c r="C5" s="28" t="str">
        <x:v>Esplenectomía / hipoesplenismo</x:v>
      </x:c>
      <x:c r="D5" s="29" t="n">
        <x:v>4</x:v>
      </x:c>
      <x:c r="E5" s="28" t="str">
        <x:v>MULTI-ALERTA</x:v>
      </x:c>
      <x:c r="F5" s="28" t="str">
        <x:v>SEM-HUE-004</x:v>
      </x:c>
      <x:c r="G5" s="28" t="str">
        <x:v>MAPEO_COMPUESTO_PARCIAL</x:v>
      </x:c>
      <x:c r="H5" s="28" t="str">
        <x:v>Además contiene vacunación y profilaxis aún fuera de Q0.</x:v>
      </x:c>
    </x:row>
    <x:row r="6">
      <x:c r="A6" s="28" t="str">
        <x:v>IMMUNO-1</x:v>
      </x:c>
      <x:c r="B6" s="28" t="str">
        <x:v>P05</x:v>
      </x:c>
      <x:c r="C6" s="28" t="str">
        <x:v>Barreras y catéteres</x:v>
      </x:c>
      <x:c r="D6" s="29" t="n">
        <x:v>4</x:v>
      </x:c>
      <x:c r="E6" s="28" t="str">
        <x:v>MULTI-ALERTA</x:v>
      </x:c>
      <x:c r="F6" s="28" t="str">
        <x:v>SEM-BAR-001; SEM-BAR-002; SEM-BAR-003</x:v>
      </x:c>
      <x:c r="G6" s="28" t="str">
        <x:v>MAPEO_COMPUESTO</x:v>
      </x:c>
      <x:c r="H6" s="28" t="str">
        <x:v>Correspondencia estructural provisional; no hereda estado, regla ni atomicidad.</x:v>
      </x:c>
    </x:row>
    <x:row r="7">
      <x:c r="A7" s="28" t="str">
        <x:v>IMMUNO-1</x:v>
      </x:c>
      <x:c r="B7" s="28" t="str">
        <x:v>P06</x:v>
      </x:c>
      <x:c r="C7" s="28" t="str">
        <x:v>Tipo y fase de la hemopatía</x:v>
      </x:c>
      <x:c r="D7" s="29" t="n">
        <x:v>1</x:v>
      </x:c>
      <x:c r="E7" s="28" t="str">
        <x:v>SIMPLE</x:v>
      </x:c>
      <x:c r="F7" s="28" t="str">
        <x:v>SEM-CTX-002</x:v>
      </x:c>
      <x:c r="G7" s="28" t="str">
        <x:v>SEÑAL_RECOGIDA</x:v>
      </x:c>
      <x:c r="H7" s="28" t="str">
        <x:v>Correspondencia estructural provisional; no hereda estado, regla ni atomicidad.</x:v>
      </x:c>
    </x:row>
    <x:row r="8">
      <x:c r="A8" s="28" t="str">
        <x:v>IMMUNO-1</x:v>
      </x:c>
      <x:c r="B8" s="28" t="str">
        <x:v>P07</x:v>
      </x:c>
      <x:c r="C8" s="28" t="str">
        <x:v>Intensidad de quimioterapia</x:v>
      </x:c>
      <x:c r="D8" s="29" t="n">
        <x:v>2</x:v>
      </x:c>
      <x:c r="E8" s="28" t="str">
        <x:v>MULTI</x:v>
      </x:c>
      <x:c r="F8" s="28" t="str">
        <x:v>SEM-EXP-002</x:v>
      </x:c>
      <x:c r="G8" s="28" t="str">
        <x:v>SEÑAL_RECOGIDA</x:v>
      </x:c>
      <x:c r="H8" s="28" t="str">
        <x:v>Correspondencia estructural provisional; no hereda estado, regla ni atomicidad.</x:v>
      </x:c>
    </x:row>
    <x:row r="9">
      <x:c r="A9" s="28" t="str">
        <x:v>IMMUNO-1</x:v>
      </x:c>
      <x:c r="B9" s="28" t="str">
        <x:v>P08</x:v>
      </x:c>
      <x:c r="C9" s="28" t="str">
        <x:v>Agentes biológicos</x:v>
      </x:c>
      <x:c r="D9" s="29" t="n">
        <x:v>4</x:v>
      </x:c>
      <x:c r="E9" s="28" t="str">
        <x:v>MULTI-ALERTA</x:v>
      </x:c>
      <x:c r="F9" s="28" t="str">
        <x:v>SEM-EXP-001; SEM-EXP-004</x:v>
      </x:c>
      <x:c r="G9" s="28" t="str">
        <x:v>MAPEO_COMPUESTO_PARCIAL</x:v>
      </x:c>
      <x:c r="H9" s="28" t="str">
        <x:v>La exposición se recoge; el cribado viral queda pendiente.</x:v>
      </x:c>
    </x:row>
    <x:row r="10">
      <x:c r="A10" s="28" t="str">
        <x:v>IMMUNO-1</x:v>
      </x:c>
      <x:c r="B10" s="28" t="str">
        <x:v>P09</x:v>
      </x:c>
      <x:c r="C10" s="28" t="str">
        <x:v>TPH / CAR-T</x:v>
      </x:c>
      <x:c r="D10" s="29" t="n">
        <x:v>5</x:v>
      </x:c>
      <x:c r="E10" s="28" t="str">
        <x:v>MULTI-ALERTA</x:v>
      </x:c>
      <x:c r="F10" s="28" t="str">
        <x:v>SEM-EXP-001; SEM-EXP-004</x:v>
      </x:c>
      <x:c r="G10" s="28" t="str">
        <x:v>MAPEO_COMPUESTO_PARCIAL</x:v>
      </x:c>
      <x:c r="H10" s="28" t="str">
        <x:v>La exposición se recoge; trasplante, CAR-T, revacunación y profilaxis requieren otro perímetro.</x:v>
      </x:c>
    </x:row>
    <x:row r="11">
      <x:c r="A11" s="28" t="str">
        <x:v>IMMUNO-1</x:v>
      </x:c>
      <x:c r="B11" s="28" t="str">
        <x:v>P10</x:v>
      </x:c>
      <x:c r="C11" s="28" t="str">
        <x:v>Corticoides sistémicos</x:v>
      </x:c>
      <x:c r="D11" s="29" t="n">
        <x:v>3</x:v>
      </x:c>
      <x:c r="E11" s="28" t="str">
        <x:v>MULTI-ALERTA</x:v>
      </x:c>
      <x:c r="F11" s="28" t="str">
        <x:v>SEM-EXP-002; SEM-EXP-003; SEM-EXP-005</x:v>
      </x:c>
      <x:c r="G11" s="28" t="str">
        <x:v>MAPEO_COMPUESTO</x:v>
      </x:c>
      <x:c r="H11" s="28" t="str">
        <x:v>Correspondencia estructural provisional; no hereda estado, regla ni atomicidad.</x:v>
      </x:c>
    </x:row>
    <x:row r="12">
      <x:c r="A12" s="28" t="str">
        <x:v>IMMUNO-1</x:v>
      </x:c>
      <x:c r="B12" s="28" t="str">
        <x:v>P11</x:v>
      </x:c>
      <x:c r="C12" s="28" t="str">
        <x:v>Infecciones bacterianas graves previas</x:v>
      </x:c>
      <x:c r="D12" s="29" t="n">
        <x:v>2</x:v>
      </x:c>
      <x:c r="E12" s="28" t="str">
        <x:v>MULTI-ALERTA</x:v>
      </x:c>
      <x:c r="F12" s="28" t="str">
        <x:v>SEM-HIS-001</x:v>
      </x:c>
      <x:c r="G12" s="28" t="str">
        <x:v>SEÑAL_RECOGIDA</x:v>
      </x:c>
      <x:c r="H12" s="28" t="str">
        <x:v>Correspondencia estructural provisional; no hereda estado, regla ni atomicidad.</x:v>
      </x:c>
    </x:row>
    <x:row r="13">
      <x:c r="A13" s="28" t="str">
        <x:v>IMMUNO-1</x:v>
      </x:c>
      <x:c r="B13" s="28" t="str">
        <x:v>P12</x:v>
      </x:c>
      <x:c r="C13" s="28" t="str">
        <x:v>Infecciones fúngicas invasoras</x:v>
      </x:c>
      <x:c r="D13" s="29" t="n">
        <x:v>3</x:v>
      </x:c>
      <x:c r="E13" s="28" t="str">
        <x:v>MULTI-ALERTA</x:v>
      </x:c>
      <x:c r="F13" s="28" t="str">
        <x:v>SEM-HIS-001; SEM-HIS-002</x:v>
      </x:c>
      <x:c r="G13" s="28" t="str">
        <x:v>MAPEO_COMPUESTO</x:v>
      </x:c>
      <x:c r="H13" s="28" t="str">
        <x:v>Correspondencia estructural provisional; no hereda estado, regla ni atomicidad.</x:v>
      </x:c>
    </x:row>
    <x:row r="14">
      <x:c r="A14" s="28" t="str">
        <x:v>IMMUNO-1</x:v>
      </x:c>
      <x:c r="B14" s="28" t="str">
        <x:v>P13</x:v>
      </x:c>
      <x:c r="C14" s="28" t="str">
        <x:v>Infecciones virales crónicas / latentes</x:v>
      </x:c>
      <x:c r="D14" s="29" t="n">
        <x:v>4</x:v>
      </x:c>
      <x:c r="E14" s="28" t="str">
        <x:v>MULTI-ALERTA</x:v>
      </x:c>
      <x:c r="F14" s="28" t="str">
        <x:v>SEM-HIS-002</x:v>
      </x:c>
      <x:c r="G14" s="28" t="str">
        <x:v>SEÑAL_RECOGIDA</x:v>
      </x:c>
      <x:c r="H14" s="28" t="str">
        <x:v>Correspondencia estructural provisional; no hereda estado, regla ni atomicidad.</x:v>
      </x:c>
    </x:row>
    <x:row r="15">
      <x:c r="A15" s="28" t="str">
        <x:v>IMMUNO-1</x:v>
      </x:c>
      <x:c r="B15" s="28" t="str">
        <x:v>P14</x:v>
      </x:c>
      <x:c r="C15" s="28" t="str">
        <x:v>Colonización por microorganismos multirresistentes</x:v>
      </x:c>
      <x:c r="D15" s="29" t="n">
        <x:v>2</x:v>
      </x:c>
      <x:c r="E15" s="28" t="str">
        <x:v>MULTI-ALERTA</x:v>
      </x:c>
      <x:c r="F15" s="28" t="str">
        <x:v>SEM-HIS-004</x:v>
      </x:c>
      <x:c r="G15" s="28" t="str">
        <x:v>SEÑAL_RECOGIDA</x:v>
      </x:c>
      <x:c r="H15" s="28" t="str">
        <x:v>Correspondencia estructural provisional; no hereda estado, regla ni atomicidad.</x:v>
      </x:c>
    </x:row>
    <x:row r="16">
      <x:c r="A16" s="28" t="str">
        <x:v>IMMUNO-1</x:v>
      </x:c>
      <x:c r="B16" s="28" t="str">
        <x:v>P15</x:v>
      </x:c>
      <x:c r="C16" s="28" t="str">
        <x:v>Exposición sanitaria reciente</x:v>
      </x:c>
      <x:c r="D16" s="29" t="n">
        <x:v>3</x:v>
      </x:c>
      <x:c r="E16" s="28" t="str">
        <x:v>MULTI-ALERTA</x:v>
      </x:c>
      <x:c r="F16" s="28" t="str">
        <x:v>SEM-HIS-005</x:v>
      </x:c>
      <x:c r="G16" s="28" t="str">
        <x:v>SEÑAL_RECOGIDA</x:v>
      </x:c>
      <x:c r="H16" s="28" t="str">
        <x:v>Correspondencia estructural provisional; no hereda estado, regla ni atomicidad.</x:v>
      </x:c>
    </x:row>
    <x:row r="17">
      <x:c r="A17" s="28" t="str">
        <x:v>IMMUNO-1</x:v>
      </x:c>
      <x:c r="B17" s="28" t="str">
        <x:v>P16</x:v>
      </x:c>
      <x:c r="C17" s="28" t="str">
        <x:v>Vacunación antigripal</x:v>
      </x:c>
      <x:c r="D17" s="29" t="n">
        <x:v>2</x:v>
      </x:c>
      <x:c r="E17" s="28" t="str">
        <x:v>MULTI</x:v>
      </x:c>
      <x:c r="F17" s="28" t="str">
        <x:v>—</x:v>
      </x:c>
      <x:c r="G17" s="28" t="str">
        <x:v>PENDIENTE_OTRO_LOTE</x:v>
      </x:c>
      <x:c r="H17" s="28" t="str">
        <x:v>Inmunización y protección no están en Q0.</x:v>
      </x:c>
    </x:row>
    <x:row r="18">
      <x:c r="A18" s="28" t="str">
        <x:v>IMMUNO-1</x:v>
      </x:c>
      <x:c r="B18" s="28" t="str">
        <x:v>P17</x:v>
      </x:c>
      <x:c r="C18" s="28" t="str">
        <x:v>Vacunación antineumocócica</x:v>
      </x:c>
      <x:c r="D18" s="29" t="n">
        <x:v>1</x:v>
      </x:c>
      <x:c r="E18" s="28" t="str">
        <x:v>SIMPLE</x:v>
      </x:c>
      <x:c r="F18" s="28" t="str">
        <x:v>—</x:v>
      </x:c>
      <x:c r="G18" s="28" t="str">
        <x:v>PENDIENTE_OTRO_LOTE</x:v>
      </x:c>
      <x:c r="H18" s="28" t="str">
        <x:v>Inmunización y protección no están en Q0.</x:v>
      </x:c>
    </x:row>
    <x:row r="19">
      <x:c r="A19" s="28" t="str">
        <x:v>IMMUNO-1</x:v>
      </x:c>
      <x:c r="B19" s="28" t="str">
        <x:v>P18</x:v>
      </x:c>
      <x:c r="C19" s="28" t="str">
        <x:v>Vacunación frente a SARS-CoV-2</x:v>
      </x:c>
      <x:c r="D19" s="29" t="n">
        <x:v>2</x:v>
      </x:c>
      <x:c r="E19" s="28" t="str">
        <x:v>MULTI</x:v>
      </x:c>
      <x:c r="F19" s="28" t="str">
        <x:v>—</x:v>
      </x:c>
      <x:c r="G19" s="28" t="str">
        <x:v>PENDIENTE_OTRO_LOTE</x:v>
      </x:c>
      <x:c r="H19" s="28" t="str">
        <x:v>Inmunización y protección no están en Q0.</x:v>
      </x:c>
    </x:row>
    <x:row r="20">
      <x:c r="A20" s="28" t="str">
        <x:v>IMMUNO-1</x:v>
      </x:c>
      <x:c r="B20" s="28" t="str">
        <x:v>P19</x:v>
      </x:c>
      <x:c r="C20" s="28" t="str">
        <x:v>Vacunación frente a hepatitis B</x:v>
      </x:c>
      <x:c r="D20" s="29" t="n">
        <x:v>3</x:v>
      </x:c>
      <x:c r="E20" s="28" t="str">
        <x:v>MULTI</x:v>
      </x:c>
      <x:c r="F20" s="28" t="str">
        <x:v>—</x:v>
      </x:c>
      <x:c r="G20" s="28" t="str">
        <x:v>PENDIENTE_OTRO_LOTE</x:v>
      </x:c>
      <x:c r="H20" s="28" t="str">
        <x:v>Inmunización y respuesta específica deben separarse en una fase posterior.</x:v>
      </x:c>
    </x:row>
    <x:row r="21">
      <x:c r="A21" s="28" t="str">
        <x:v>IMMUNO-1</x:v>
      </x:c>
      <x:c r="B21" s="28" t="str">
        <x:v>P20</x:v>
      </x:c>
      <x:c r="C21" s="28" t="str">
        <x:v>Otras vacunas inactivadas relevantes</x:v>
      </x:c>
      <x:c r="D21" s="29" t="n">
        <x:v>2</x:v>
      </x:c>
      <x:c r="E21" s="28" t="str">
        <x:v>MULTI-ALERTA</x:v>
      </x:c>
      <x:c r="F21" s="28" t="str">
        <x:v>—</x:v>
      </x:c>
      <x:c r="G21" s="28" t="str">
        <x:v>PENDIENTE_OTRO_LOTE</x:v>
      </x:c>
      <x:c r="H21" s="28" t="str">
        <x:v>Vacunas inactivadas y veto de vacuna viva requieren identidades distintas.</x:v>
      </x:c>
    </x:row>
    <x:row r="22">
      <x:c r="A22" s="28" t="str">
        <x:v>IMMUNO-1</x:v>
      </x:c>
      <x:c r="B22" s="28" t="str">
        <x:v>P21</x:v>
      </x:c>
      <x:c r="C22" s="28" t="str">
        <x:v>Profilaxis frente a Pneumocystis jirovecii</x:v>
      </x:c>
      <x:c r="D22" s="29" t="n">
        <x:v>2</x:v>
      </x:c>
      <x:c r="E22" s="28" t="str">
        <x:v>MULTI</x:v>
      </x:c>
      <x:c r="F22" s="28" t="str">
        <x:v>—</x:v>
      </x:c>
      <x:c r="G22" s="28" t="str">
        <x:v>PENDIENTE_OTRO_LOTE</x:v>
      </x:c>
      <x:c r="H22" s="28" t="str">
        <x:v>Profilaxis no está en Q0.</x:v>
      </x:c>
    </x:row>
    <x:row r="23">
      <x:c r="A23" s="28" t="str">
        <x:v>IMMUNO-1</x:v>
      </x:c>
      <x:c r="B23" s="28" t="str">
        <x:v>P22</x:v>
      </x:c>
      <x:c r="C23" s="28" t="str">
        <x:v>Profilaxis antiviral</x:v>
      </x:c>
      <x:c r="D23" s="29" t="n">
        <x:v>3</x:v>
      </x:c>
      <x:c r="E23" s="28" t="str">
        <x:v>MULTI</x:v>
      </x:c>
      <x:c r="F23" s="28" t="str">
        <x:v>—</x:v>
      </x:c>
      <x:c r="G23" s="28" t="str">
        <x:v>PENDIENTE_OTRO_LOTE</x:v>
      </x:c>
      <x:c r="H23" s="28" t="str">
        <x:v>Profilaxis no está en Q0.</x:v>
      </x:c>
    </x:row>
    <x:row r="24">
      <x:c r="A24" s="28" t="str">
        <x:v>IMMUNO-1</x:v>
      </x:c>
      <x:c r="B24" s="28" t="str">
        <x:v>P23</x:v>
      </x:c>
      <x:c r="C24" s="28" t="str">
        <x:v>Profilaxis antifúngica</x:v>
      </x:c>
      <x:c r="D24" s="29" t="n">
        <x:v>2</x:v>
      </x:c>
      <x:c r="E24" s="28" t="str">
        <x:v>MULTI</x:v>
      </x:c>
      <x:c r="F24" s="28" t="str">
        <x:v>—</x:v>
      </x:c>
      <x:c r="G24" s="28" t="str">
        <x:v>PENDIENTE_OTRO_LOTE</x:v>
      </x:c>
      <x:c r="H24" s="28" t="str">
        <x:v>Profilaxis no está en Q0.</x:v>
      </x:c>
    </x:row>
    <x:row r="25">
      <x:c r="A25" s="28" t="str">
        <x:v>IMMUNO-1</x:v>
      </x:c>
      <x:c r="B25" s="28" t="str">
        <x:v>P24</x:v>
      </x:c>
      <x:c r="C25" s="28" t="str">
        <x:v>Profilaxis antibacteriana en neutropenia de alto riesgo</x:v>
      </x:c>
      <x:c r="D25" s="29" t="n">
        <x:v>2</x:v>
      </x:c>
      <x:c r="E25" s="28" t="str">
        <x:v>MULTI</x:v>
      </x:c>
      <x:c r="F25" s="28" t="str">
        <x:v>—</x:v>
      </x:c>
      <x:c r="G25" s="28" t="str">
        <x:v>PENDIENTE_OTRO_LOTE</x:v>
      </x:c>
      <x:c r="H25" s="28" t="str">
        <x:v>Profilaxis no está en Q0.</x:v>
      </x:c>
    </x:row>
    <x:row r="26">
      <x:c r="A26" s="28" t="str">
        <x:v>IMMUNO-1</x:v>
      </x:c>
      <x:c r="B26" s="28" t="str">
        <x:v>P25</x:v>
      </x:c>
      <x:c r="C26" s="28" t="str">
        <x:v>Plan de reevaluación del riesgo y estado vacunal</x:v>
      </x:c>
      <x:c r="D26" s="29" t="n">
        <x:v>3</x:v>
      </x:c>
      <x:c r="E26" s="28" t="str">
        <x:v>MULTI</x:v>
      </x:c>
      <x:c r="F26" s="28" t="str">
        <x:v>—</x:v>
      </x:c>
      <x:c r="G26" s="28" t="str">
        <x:v>PENDIENTE_OTRO_LOTE</x:v>
      </x:c>
      <x:c r="H26" s="28" t="str">
        <x:v>Seguimiento posterior no está en Q0.</x:v>
      </x:c>
    </x:row>
    <x:row r="27">
      <x:c r="A27" s="28" t="str">
        <x:v>IMMUNO-2</x:v>
      </x:c>
      <x:c r="B27" s="28" t="str">
        <x:v>P01</x:v>
      </x:c>
      <x:c r="C27" s="28" t="str">
        <x:v>Edad</x:v>
      </x:c>
      <x:c r="D27" s="29" t="n">
        <x:v>1</x:v>
      </x:c>
      <x:c r="E27" s="28" t="str">
        <x:v>SIMPLE</x:v>
      </x:c>
      <x:c r="F27" s="28" t="str">
        <x:v>SEM-CTX-005</x:v>
      </x:c>
      <x:c r="G27" s="28" t="str">
        <x:v>SEÑAL_RECOGIDA</x:v>
      </x:c>
      <x:c r="H27" s="28" t="str">
        <x:v>Correspondencia estructural provisional; no hereda estado, regla ni atomicidad.</x:v>
      </x:c>
    </x:row>
    <x:row r="28">
      <x:c r="A28" s="28" t="str">
        <x:v>IMMUNO-2</x:v>
      </x:c>
      <x:c r="B28" s="28" t="str">
        <x:v>P02</x:v>
      </x:c>
      <x:c r="C28" s="28" t="str">
        <x:v>Comorbilidad cardiometabólica y renal</x:v>
      </x:c>
      <x:c r="D28" s="29" t="n">
        <x:v>5</x:v>
      </x:c>
      <x:c r="E28" s="28" t="str">
        <x:v>COMPUESTO-DECLARADO</x:v>
      </x:c>
      <x:c r="F28" s="28" t="str">
        <x:v>SEM-MOD-001; SEM-MOD-002; SEM-MOD-003</x:v>
      </x:c>
      <x:c r="G28" s="28" t="str">
        <x:v>MAPEO_COMPUESTO</x:v>
      </x:c>
      <x:c r="H28" s="28" t="str">
        <x:v>Correspondencia estructural provisional; no hereda estado, regla ni atomicidad.</x:v>
      </x:c>
    </x:row>
    <x:row r="29">
      <x:c r="A29" s="28" t="str">
        <x:v>IMMUNO-2</x:v>
      </x:c>
      <x:c r="B29" s="28" t="str">
        <x:v>P03</x:v>
      </x:c>
      <x:c r="C29" s="28" t="str">
        <x:v>Enfermedad pulmonar crónica</x:v>
      </x:c>
      <x:c r="D29" s="29" t="n">
        <x:v>4</x:v>
      </x:c>
      <x:c r="E29" s="28" t="str">
        <x:v>MULTI-ALERTA</x:v>
      </x:c>
      <x:c r="F29" s="28" t="str">
        <x:v>SEM-MOD-004</x:v>
      </x:c>
      <x:c r="G29" s="28" t="str">
        <x:v>SEÑAL_RECOGIDA</x:v>
      </x:c>
      <x:c r="H29" s="28" t="str">
        <x:v>Correspondencia estructural provisional; no hereda estado, regla ni atomicidad.</x:v>
      </x:c>
    </x:row>
    <x:row r="30">
      <x:c r="A30" s="28" t="str">
        <x:v>IMMUNO-2</x:v>
      </x:c>
      <x:c r="B30" s="28" t="str">
        <x:v>P04</x:v>
      </x:c>
      <x:c r="C30" s="28" t="str">
        <x:v>Hepatopatía crónica</x:v>
      </x:c>
      <x:c r="D30" s="29" t="n">
        <x:v>4</x:v>
      </x:c>
      <x:c r="E30" s="28" t="str">
        <x:v>MULTI-ALERTA</x:v>
      </x:c>
      <x:c r="F30" s="28" t="str">
        <x:v>SEM-MOD-005</x:v>
      </x:c>
      <x:c r="G30" s="28" t="str">
        <x:v>SEÑAL_RECOGIDA</x:v>
      </x:c>
      <x:c r="H30" s="28" t="str">
        <x:v>Correspondencia estructural provisional; no hereda estado, regla ni atomicidad.</x:v>
      </x:c>
    </x:row>
    <x:row r="31">
      <x:c r="A31" s="28" t="str">
        <x:v>IMMUNO-2</x:v>
      </x:c>
      <x:c r="B31" s="28" t="str">
        <x:v>P05</x:v>
      </x:c>
      <x:c r="C31" s="28" t="str">
        <x:v>Estado nutricional y fragilidad</x:v>
      </x:c>
      <x:c r="D31" s="29" t="n">
        <x:v>3</x:v>
      </x:c>
      <x:c r="E31" s="28" t="str">
        <x:v>MULTI-ALERTA</x:v>
      </x:c>
      <x:c r="F31" s="28" t="str">
        <x:v>SEM-MOD-006; SEM-MOD-007</x:v>
      </x:c>
      <x:c r="G31" s="28" t="str">
        <x:v>MAPEO_COMPUESTO</x:v>
      </x:c>
      <x:c r="H31" s="28" t="str">
        <x:v>Correspondencia estructural provisional; no hereda estado, regla ni atomicidad.</x:v>
      </x:c>
    </x:row>
    <x:row r="32">
      <x:c r="A32" s="28" t="str">
        <x:v>IMMUNO-2</x:v>
      </x:c>
      <x:c r="B32" s="28" t="str">
        <x:v>P06</x:v>
      </x:c>
      <x:c r="C32" s="28" t="str">
        <x:v>Tipo de fármaco IS principal</x:v>
      </x:c>
      <x:c r="D32" s="29" t="n">
        <x:v>1</x:v>
      </x:c>
      <x:c r="E32" s="28" t="str">
        <x:v>SIMPLE</x:v>
      </x:c>
      <x:c r="F32" s="28" t="str">
        <x:v>SEM-EXP-001</x:v>
      </x:c>
      <x:c r="G32" s="28" t="str">
        <x:v>SEÑAL_RECOGIDA</x:v>
      </x:c>
      <x:c r="H32" s="28" t="str">
        <x:v>Correspondencia estructural provisional; no hereda estado, regla ni atomicidad.</x:v>
      </x:c>
    </x:row>
    <x:row r="33">
      <x:c r="A33" s="28" t="str">
        <x:v>IMMUNO-2</x:v>
      </x:c>
      <x:c r="B33" s="28" t="str">
        <x:v>P07</x:v>
      </x:c>
      <x:c r="C33" s="28" t="str">
        <x:v>Combinación de inmunosupresores</x:v>
      </x:c>
      <x:c r="D33" s="29" t="n">
        <x:v>1</x:v>
      </x:c>
      <x:c r="E33" s="28" t="str">
        <x:v>SIMPLE</x:v>
      </x:c>
      <x:c r="F33" s="28" t="str">
        <x:v>SEM-EXP-004</x:v>
      </x:c>
      <x:c r="G33" s="28" t="str">
        <x:v>SEÑAL_RECOGIDA</x:v>
      </x:c>
      <x:c r="H33" s="28" t="str">
        <x:v>Correspondencia estructural provisional; no hereda estado, regla ni atomicidad.</x:v>
      </x:c>
    </x:row>
    <x:row r="34">
      <x:c r="A34" s="28" t="str">
        <x:v>IMMUNO-2</x:v>
      </x:c>
      <x:c r="B34" s="28" t="str">
        <x:v>P08</x:v>
      </x:c>
      <x:c r="C34" s="28" t="str">
        <x:v>Dosis equivalente de corticoides</x:v>
      </x:c>
      <x:c r="D34" s="29" t="n">
        <x:v>3</x:v>
      </x:c>
      <x:c r="E34" s="28" t="str">
        <x:v>MULTI-REVISAR</x:v>
      </x:c>
      <x:c r="F34" s="28" t="str">
        <x:v>SEM-EXP-002; SEM-EXP-003; SEM-EXP-005</x:v>
      </x:c>
      <x:c r="G34" s="28" t="str">
        <x:v>MAPEO_COMPUESTO</x:v>
      </x:c>
      <x:c r="H34" s="28" t="str">
        <x:v>Correspondencia estructural provisional; no hereda estado, regla ni atomicidad.</x:v>
      </x:c>
    </x:row>
    <x:row r="35">
      <x:c r="A35" s="28" t="str">
        <x:v>IMMUNO-2</x:v>
      </x:c>
      <x:c r="B35" s="28" t="str">
        <x:v>P09</x:v>
      </x:c>
      <x:c r="C35" s="28" t="str">
        <x:v>Duración acumulada de IS</x:v>
      </x:c>
      <x:c r="D35" s="29" t="n">
        <x:v>2</x:v>
      </x:c>
      <x:c r="E35" s="28" t="str">
        <x:v>MULTI</x:v>
      </x:c>
      <x:c r="F35" s="28" t="str">
        <x:v>SEM-EXP-003</x:v>
      </x:c>
      <x:c r="G35" s="28" t="str">
        <x:v>SEÑAL_RECOGIDA</x:v>
      </x:c>
      <x:c r="H35" s="28" t="str">
        <x:v>Correspondencia estructural provisional; no hereda estado, regla ni atomicidad.</x:v>
      </x:c>
    </x:row>
    <x:row r="36">
      <x:c r="A36" s="28" t="str">
        <x:v>IMMUNO-2</x:v>
      </x:c>
      <x:c r="B36" s="28" t="str">
        <x:v>P10</x:v>
      </x:c>
      <x:c r="C36" s="28" t="str">
        <x:v>Linfopenia relevante</x:v>
      </x:c>
      <x:c r="D36" s="29" t="n">
        <x:v>3</x:v>
      </x:c>
      <x:c r="E36" s="28" t="str">
        <x:v>MULTI-REVISAR</x:v>
      </x:c>
      <x:c r="F36" s="28" t="str">
        <x:v>SEM-HUE-001</x:v>
      </x:c>
      <x:c r="G36" s="28" t="str">
        <x:v>SEÑAL_RECOGIDA</x:v>
      </x:c>
      <x:c r="H36" s="28" t="str">
        <x:v>Correspondencia estructural provisional; no hereda estado, regla ni atomicidad.</x:v>
      </x:c>
    </x:row>
    <x:row r="37">
      <x:c r="A37" s="28" t="str">
        <x:v>IMMUNO-2</x:v>
      </x:c>
      <x:c r="B37" s="28" t="str">
        <x:v>P11</x:v>
      </x:c>
      <x:c r="C37" s="28" t="str">
        <x:v>Integridad de piel y mucosas</x:v>
      </x:c>
      <x:c r="D37" s="29" t="n">
        <x:v>1</x:v>
      </x:c>
      <x:c r="E37" s="28" t="str">
        <x:v>SIMPLE</x:v>
      </x:c>
      <x:c r="F37" s="28" t="str">
        <x:v>SEM-BAR-001; SEM-BAR-002</x:v>
      </x:c>
      <x:c r="G37" s="28" t="str">
        <x:v>MAPEO_COMPUESTO</x:v>
      </x:c>
      <x:c r="H37" s="28" t="str">
        <x:v>Correspondencia estructural provisional; no hereda estado, regla ni atomicidad.</x:v>
      </x:c>
    </x:row>
    <x:row r="38">
      <x:c r="A38" s="28" t="str">
        <x:v>IMMUNO-2</x:v>
      </x:c>
      <x:c r="B38" s="28" t="str">
        <x:v>P12</x:v>
      </x:c>
      <x:c r="C38" s="28" t="str">
        <x:v>Catéteres venosos centrales</x:v>
      </x:c>
      <x:c r="D38" s="29" t="n">
        <x:v>1</x:v>
      </x:c>
      <x:c r="E38" s="28" t="str">
        <x:v>SIMPLE</x:v>
      </x:c>
      <x:c r="F38" s="28" t="str">
        <x:v>SEM-BAR-003</x:v>
      </x:c>
      <x:c r="G38" s="28" t="str">
        <x:v>SEÑAL_RECOGIDA</x:v>
      </x:c>
      <x:c r="H38" s="28" t="str">
        <x:v>Correspondencia estructural provisional; no hereda estado, regla ni atomicidad.</x:v>
      </x:c>
    </x:row>
    <x:row r="39">
      <x:c r="A39" s="28" t="str">
        <x:v>IMMUNO-2</x:v>
      </x:c>
      <x:c r="B39" s="28" t="str">
        <x:v>P13</x:v>
      </x:c>
      <x:c r="C39" s="28" t="str">
        <x:v>Prótesis y biomateriales</x:v>
      </x:c>
      <x:c r="D39" s="29" t="n">
        <x:v>2</x:v>
      </x:c>
      <x:c r="E39" s="28" t="str">
        <x:v>MULTI</x:v>
      </x:c>
      <x:c r="F39" s="28" t="str">
        <x:v>SEM-BAR-004</x:v>
      </x:c>
      <x:c r="G39" s="28" t="str">
        <x:v>SEÑAL_RECOGIDA</x:v>
      </x:c>
      <x:c r="H39" s="28" t="str">
        <x:v>Correspondencia estructural provisional; no hereda estado, regla ni atomicidad.</x:v>
      </x:c>
    </x:row>
    <x:row r="40">
      <x:c r="A40" s="28" t="str">
        <x:v>IMMUNO-2</x:v>
      </x:c>
      <x:c r="B40" s="28" t="str">
        <x:v>P14</x:v>
      </x:c>
      <x:c r="C40" s="28" t="str">
        <x:v>Cirugía mayor reciente</x:v>
      </x:c>
      <x:c r="D40" s="29" t="n">
        <x:v>1</x:v>
      </x:c>
      <x:c r="E40" s="28" t="str">
        <x:v>SIMPLE</x:v>
      </x:c>
      <x:c r="F40" s="28" t="str">
        <x:v>SEM-HIS-005</x:v>
      </x:c>
      <x:c r="G40" s="28" t="str">
        <x:v>SEÑAL_RECOGIDA</x:v>
      </x:c>
      <x:c r="H40" s="28" t="str">
        <x:v>Correspondencia estructural provisional; no hereda estado, regla ni atomicidad.</x:v>
      </x:c>
    </x:row>
    <x:row r="41">
      <x:c r="A41" s="28" t="str">
        <x:v>IMMUNO-2</x:v>
      </x:c>
      <x:c r="B41" s="28" t="str">
        <x:v>P15</x:v>
      </x:c>
      <x:c r="C41" s="28" t="str">
        <x:v>Esplenectomía o hipoesplenismo</x:v>
      </x:c>
      <x:c r="D41" s="29" t="n">
        <x:v>1</x:v>
      </x:c>
      <x:c r="E41" s="28" t="str">
        <x:v>SIMPLE-COLISIÓN</x:v>
      </x:c>
      <x:c r="F41" s="28" t="str">
        <x:v>SEM-HUE-004</x:v>
      </x:c>
      <x:c r="G41" s="28" t="str">
        <x:v>SEÑAL_RECOGIDA</x:v>
      </x:c>
      <x:c r="H41" s="28" t="str">
        <x:v>Correspondencia estructural provisional; no hereda estado, regla ni atomicidad.</x:v>
      </x:c>
    </x:row>
    <x:row r="42">
      <x:c r="A42" s="28" t="str">
        <x:v>IMMUNO-2</x:v>
      </x:c>
      <x:c r="B42" s="28" t="str">
        <x:v>P16</x:v>
      </x:c>
      <x:c r="C42" s="28" t="str">
        <x:v>Hospitalización reciente</x:v>
      </x:c>
      <x:c r="D42" s="29" t="n">
        <x:v>1</x:v>
      </x:c>
      <x:c r="E42" s="28" t="str">
        <x:v>SIMPLE-COLISIÓN</x:v>
      </x:c>
      <x:c r="F42" s="28" t="str">
        <x:v>SEM-HIS-005</x:v>
      </x:c>
      <x:c r="G42" s="28" t="str">
        <x:v>SEÑAL_RECOGIDA</x:v>
      </x:c>
      <x:c r="H42" s="28" t="str">
        <x:v>Correspondencia estructural provisional; no hereda estado, regla ni atomicidad.</x:v>
      </x:c>
    </x:row>
    <x:row r="43">
      <x:c r="A43" s="28" t="str">
        <x:v>IMMUNO-2</x:v>
      </x:c>
      <x:c r="B43" s="28" t="str">
        <x:v>P17</x:v>
      </x:c>
      <x:c r="C43" s="28" t="str">
        <x:v>Colonización por MDR</x:v>
      </x:c>
      <x:c r="D43" s="29" t="n">
        <x:v>1</x:v>
      </x:c>
      <x:c r="E43" s="28" t="str">
        <x:v>SIMPLE-COLISIÓN</x:v>
      </x:c>
      <x:c r="F43" s="28" t="str">
        <x:v>SEM-HIS-004</x:v>
      </x:c>
      <x:c r="G43" s="28" t="str">
        <x:v>SEÑAL_RECOGIDA</x:v>
      </x:c>
      <x:c r="H43" s="28" t="str">
        <x:v>Correspondencia estructural provisional; no hereda estado, regla ni atomicidad.</x:v>
      </x:c>
    </x:row>
    <x:row r="44">
      <x:c r="A44" s="28" t="str">
        <x:v>IMMUNO-2</x:v>
      </x:c>
      <x:c r="B44" s="28" t="str">
        <x:v>P18</x:v>
      </x:c>
      <x:c r="C44" s="28" t="str">
        <x:v>Zona endémica de tuberculosis</x:v>
      </x:c>
      <x:c r="D44" s="29" t="n">
        <x:v>1</x:v>
      </x:c>
      <x:c r="E44" s="28" t="str">
        <x:v>SIMPLE</x:v>
      </x:c>
      <x:c r="F44" s="28" t="str">
        <x:v>—</x:v>
      </x:c>
      <x:c r="G44" s="28" t="str">
        <x:v>PENDIENTE_OTRO_LOTE</x:v>
      </x:c>
      <x:c r="H44" s="28" t="str">
        <x:v>Exposición geográfica y epidemiológica no está en Q0.</x:v>
      </x:c>
    </x:row>
    <x:row r="45">
      <x:c r="A45" s="28" t="str">
        <x:v>IMMUNO-2</x:v>
      </x:c>
      <x:c r="B45" s="28" t="str">
        <x:v>P19</x:v>
      </x:c>
      <x:c r="C45" s="28" t="str">
        <x:v>Exposición respiratoria de alto riesgo</x:v>
      </x:c>
      <x:c r="D45" s="29" t="n">
        <x:v>1</x:v>
      </x:c>
      <x:c r="E45" s="28" t="str">
        <x:v>SIMPLE</x:v>
      </x:c>
      <x:c r="F45" s="28" t="str">
        <x:v>—</x:v>
      </x:c>
      <x:c r="G45" s="28" t="str">
        <x:v>PENDIENTE_OTRO_LOTE</x:v>
      </x:c>
      <x:c r="H45" s="28" t="str">
        <x:v>Exposición respiratoria no está en Q0.</x:v>
      </x:c>
    </x:row>
    <x:row r="46">
      <x:c r="A46" s="28" t="str">
        <x:v>IMMUNO-2</x:v>
      </x:c>
      <x:c r="B46" s="28" t="str">
        <x:v>P20</x:v>
      </x:c>
      <x:c r="C46" s="28" t="str">
        <x:v>Exposición a entornos de alto riesgo fúngico</x:v>
      </x:c>
      <x:c r="D46" s="29" t="n">
        <x:v>1</x:v>
      </x:c>
      <x:c r="E46" s="28" t="str">
        <x:v>SIMPLE</x:v>
      </x:c>
      <x:c r="F46" s="28" t="str">
        <x:v>—</x:v>
      </x:c>
      <x:c r="G46" s="28" t="str">
        <x:v>PENDIENTE_OTRO_LOTE</x:v>
      </x:c>
      <x:c r="H46" s="28" t="str">
        <x:v>Exposición ambiental fúngica no está en Q0.</x:v>
      </x:c>
    </x:row>
    <x:row r="47">
      <x:c r="A47" s="28" t="str">
        <x:v>IMMUNO-2</x:v>
      </x:c>
      <x:c r="B47" s="28" t="str">
        <x:v>P21</x:v>
      </x:c>
      <x:c r="C47" s="28" t="str">
        <x:v>Historia de infecciones graves recientes</x:v>
      </x:c>
      <x:c r="D47" s="29" t="n">
        <x:v>1</x:v>
      </x:c>
      <x:c r="E47" s="28" t="str">
        <x:v>SIMPLE-COLISIÓN</x:v>
      </x:c>
      <x:c r="F47" s="28" t="str">
        <x:v>SEM-HIS-001; SEM-HIS-002; SEM-HIS-003</x:v>
      </x:c>
      <x:c r="G47" s="28" t="str">
        <x:v>MAPEO_COMPUESTO</x:v>
      </x:c>
      <x:c r="H47" s="28" t="str">
        <x:v>Correspondencia estructural provisional; no hereda estado, regla ni atomicidad.</x:v>
      </x:c>
    </x:row>
    <x:row r="48">
      <x:c r="A48" s="28" t="str">
        <x:v>IMMUNO-2</x:v>
      </x:c>
      <x:c r="B48" s="28" t="str">
        <x:v>P22</x:v>
      </x:c>
      <x:c r="C48" s="28" t="str">
        <x:v>Inmunoglobulinas séricas (IgG)</x:v>
      </x:c>
      <x:c r="D48" s="29" t="n">
        <x:v>1</x:v>
      </x:c>
      <x:c r="E48" s="28" t="str">
        <x:v>SIMPLE-COLISIÓN</x:v>
      </x:c>
      <x:c r="F48" s="28" t="str">
        <x:v>SEM-HUE-002</x:v>
      </x:c>
      <x:c r="G48" s="28" t="str">
        <x:v>SEÑAL_RECOGIDA</x:v>
      </x:c>
      <x:c r="H48" s="28" t="str">
        <x:v>Correspondencia estructural provisional; no hereda estado, regla ni atomicidad.</x:v>
      </x:c>
    </x:row>
    <x:row r="49">
      <x:c r="A49" s="28" t="str">
        <x:v>IMMUNO-2</x:v>
      </x:c>
      <x:c r="B49" s="28" t="str">
        <x:v>P23</x:v>
      </x:c>
      <x:c r="C49" s="28" t="str">
        <x:v>Intensificación reciente del régimen IS</x:v>
      </x:c>
      <x:c r="D49" s="29" t="n">
        <x:v>1</x:v>
      </x:c>
      <x:c r="E49" s="28" t="str">
        <x:v>SIMPLE</x:v>
      </x:c>
      <x:c r="F49" s="28" t="str">
        <x:v>SEM-EXP-004</x:v>
      </x:c>
      <x:c r="G49" s="28" t="str">
        <x:v>SEÑAL_RECOGIDA</x:v>
      </x:c>
      <x:c r="H49" s="28" t="str">
        <x:v>Correspondencia estructural provisional; no hereda estado, regla ni atomicidad.</x:v>
      </x:c>
    </x:row>
    <x:row r="50">
      <x:c r="A50" s="28" t="str">
        <x:v>IMMUNO-2</x:v>
      </x:c>
      <x:c r="B50" s="28" t="str">
        <x:v>P24</x:v>
      </x:c>
      <x:c r="C50" s="28" t="str">
        <x:v>Evaluación integral de riesgo infeccioso</x:v>
      </x:c>
      <x:c r="D50" s="29" t="n">
        <x:v>1</x:v>
      </x:c>
      <x:c r="E50" s="28" t="str">
        <x:v>SIMPLE-AGREGADO-OCULTO</x:v>
      </x:c>
      <x:c r="F50" s="28" t="str">
        <x:v>—</x:v>
      </x:c>
      <x:c r="G50" s="28" t="str">
        <x:v>AGREGADO_NO_REUTILIZABLE</x:v>
      </x:c>
      <x:c r="H50" s="28" t="str">
        <x:v>Salida integral histórica; debe derivarse de una composición explícita.</x:v>
      </x:c>
    </x:row>
    <x:row r="51">
      <x:c r="A51" s="28" t="str">
        <x:v>IMMUNO-2</x:v>
      </x:c>
      <x:c r="B51" s="28" t="str">
        <x:v>P25</x:v>
      </x:c>
      <x:c r="C51" s="28" t="str">
        <x:v>Parámetro puente con IMMUNO-1</x:v>
      </x:c>
      <x:c r="D51" s="29" t="n">
        <x:v>1</x:v>
      </x:c>
      <x:c r="E51" s="28" t="str">
        <x:v>PUENTE-DERIVADO</x:v>
      </x:c>
      <x:c r="F51" s="28" t="str">
        <x:v>—</x:v>
      </x:c>
      <x:c r="G51" s="28" t="str">
        <x:v>PUENTE_NO_ATOMO</x:v>
      </x:c>
      <x:c r="H51" s="28" t="str">
        <x:v>Referencia derivada de IMMUNO-1; no es observable basal ni átomo nuevo.</x:v>
      </x:c>
    </x:row>
  </x:sheetData>
  <x:pageMargins left="0.7" right="0.7" top="0.75" bottom="0.75" header="0.3" footer="0.3"/>
  <x:tableParts count="1">
    <x:tablePart xmlns:r="http://schemas.openxmlformats.org/officeDocument/2006/relationships" r:id="Rb600465c4cfa48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42" hidden="0" customWidth="1"/>
    <x:col min="5" max="5" width="38" hidden="0" customWidth="1"/>
    <x:col min="6" max="6" width="58" hidden="0" customWidth="1"/>
  </x:cols>
  <x:sheetData>
    <x:row r="1">
      <x:c r="A1" s="40" t="str">
        <x:v>Familia de colisión</x:v>
      </x:c>
      <x:c r="B1" s="35" t="str">
        <x:v>IMMUNO-1</x:v>
      </x:c>
      <x:c r="C1" s="35" t="str">
        <x:v>IMMUNO-2</x:v>
      </x:c>
      <x:c r="D1" s="35" t="str">
        <x:v>Riesgo histórico</x:v>
      </x:c>
      <x:c r="E1" s="35" t="str">
        <x:v>Candidatos que absorben el ataque</x:v>
      </x:c>
      <x:c r="F1" s="35" t="str">
        <x:v>Regla</x:v>
      </x:c>
    </x:row>
    <x:row r="2">
      <x:c r="A2" s="28" t="str">
        <x:v>Linfopenia</x:v>
      </x:c>
      <x:c r="B2" s="28" t="str">
        <x:v>P02</x:v>
      </x:c>
      <x:c r="C2" s="28" t="str">
        <x:v>P10</x:v>
      </x:c>
      <x:c r="D2" s="28" t="str">
        <x:v>duplicación con reglas y contextos distintos</x:v>
      </x:c>
      <x:c r="E2" s="28" t="str">
        <x:v>SEM-HUE-001</x:v>
      </x:c>
      <x:c r="F2" s="28" t="str">
        <x:v>Colisión obliga a adjudicar identidad compartida, separación o relación tipada; nunca duplicación silenciosa.</x:v>
      </x:c>
    </x:row>
    <x:row r="3">
      <x:c r="A3" s="28" t="str">
        <x:v>Inmunoglobulina G</x:v>
      </x:c>
      <x:c r="B3" s="28" t="str">
        <x:v>P03</x:v>
      </x:c>
      <x:c r="C3" s="28" t="str">
        <x:v>P22</x:v>
      </x:c>
      <x:c r="D3" s="28" t="str">
        <x:v>misma magnitud con función aparente distinta</x:v>
      </x:c>
      <x:c r="E3" s="28" t="str">
        <x:v>SEM-HUE-002</x:v>
      </x:c>
      <x:c r="F3" s="28" t="str">
        <x:v>Colisión obliga a adjudicar identidad compartida, separación o relación tipada; nunca duplicación silenciosa.</x:v>
      </x:c>
    </x:row>
    <x:row r="4">
      <x:c r="A4" s="28" t="str">
        <x:v>Función esplénica</x:v>
      </x:c>
      <x:c r="B4" s="28" t="str">
        <x:v>P04</x:v>
      </x:c>
      <x:c r="C4" s="28" t="str">
        <x:v>P15</x:v>
      </x:c>
      <x:c r="D4" s="28" t="str">
        <x:v>duplicación expresamente reconocida en el piloto</x:v>
      </x:c>
      <x:c r="E4" s="28" t="str">
        <x:v>SEM-HUE-004</x:v>
      </x:c>
      <x:c r="F4" s="28" t="str">
        <x:v>Colisión obliga a adjudicar identidad compartida, separación o relación tipada; nunca duplicación silenciosa.</x:v>
      </x:c>
    </x:row>
    <x:row r="5">
      <x:c r="A5" s="28" t="str">
        <x:v>Barreras/catéter</x:v>
      </x:c>
      <x:c r="B5" s="28" t="str">
        <x:v>P05</x:v>
      </x:c>
      <x:c r="C5" s="28" t="str">
        <x:v>P11, P12</x:v>
      </x:c>
      <x:c r="D5" s="28" t="str">
        <x:v>un compuesto histórico frente a dos posiciones</x:v>
      </x:c>
      <x:c r="E5" s="28" t="str">
        <x:v>SEM-BAR-001; SEM-BAR-002; SEM-BAR-003</x:v>
      </x:c>
      <x:c r="F5" s="28" t="str">
        <x:v>Colisión obliga a adjudicar identidad compartida, separación o relación tipada; nunca duplicación silenciosa.</x:v>
      </x:c>
    </x:row>
    <x:row r="6">
      <x:c r="A6" s="28" t="str">
        <x:v>Corticoides</x:v>
      </x:c>
      <x:c r="B6" s="28" t="str">
        <x:v>P10</x:v>
      </x:c>
      <x:c r="C6" s="28" t="str">
        <x:v>P08</x:v>
      </x:c>
      <x:c r="D6" s="28" t="str">
        <x:v>misma exposición con umbrales/contextos distintos</x:v>
      </x:c>
      <x:c r="E6" s="28" t="str">
        <x:v>SEM-EXP-002; SEM-EXP-003; SEM-EXP-005</x:v>
      </x:c>
      <x:c r="F6" s="28" t="str">
        <x:v>Colisión obliga a adjudicar identidad compartida, separación o relación tipada; nunca duplicación silenciosa.</x:v>
      </x:c>
    </x:row>
    <x:row r="7">
      <x:c r="A7" s="28" t="str">
        <x:v>Infección grave previa</x:v>
      </x:c>
      <x:c r="B7" s="28" t="str">
        <x:v>P11</x:v>
      </x:c>
      <x:c r="C7" s="28" t="str">
        <x:v>P21</x:v>
      </x:c>
      <x:c r="D7" s="28" t="str">
        <x:v>ventana y definición deben unificarse o tiparse</x:v>
      </x:c>
      <x:c r="E7" s="28" t="str">
        <x:v>SEM-HIS-001</x:v>
      </x:c>
      <x:c r="F7" s="28" t="str">
        <x:v>Colisión obliga a adjudicar identidad compartida, separación o relación tipada; nunca duplicación silenciosa.</x:v>
      </x:c>
    </x:row>
    <x:row r="8">
      <x:c r="A8" s="28" t="str">
        <x:v>Colonización multirresistente</x:v>
      </x:c>
      <x:c r="B8" s="28" t="str">
        <x:v>P14</x:v>
      </x:c>
      <x:c r="C8" s="28" t="str">
        <x:v>P17</x:v>
      </x:c>
      <x:c r="D8" s="28" t="str">
        <x:v>estado frente a estado más estrategia</x:v>
      </x:c>
      <x:c r="E8" s="28" t="str">
        <x:v>SEM-HIS-004</x:v>
      </x:c>
      <x:c r="F8" s="28" t="str">
        <x:v>Colisión obliga a adjudicar identidad compartida, separación o relación tipada; nunca duplicación silenciosa.</x:v>
      </x:c>
    </x:row>
    <x:row r="9">
      <x:c r="A9" s="28" t="str">
        <x:v>Hospitalización/exposición sanitaria</x:v>
      </x:c>
      <x:c r="B9" s="28" t="str">
        <x:v>P15</x:v>
      </x:c>
      <x:c r="C9" s="28" t="str">
        <x:v>P16</x:v>
      </x:c>
      <x:c r="D9" s="28" t="str">
        <x:v>contexto temporal y actuación mezclados</x:v>
      </x:c>
      <x:c r="E9" s="28" t="str">
        <x:v>SEM-HIS-005</x:v>
      </x:c>
      <x:c r="F9" s="28" t="str">
        <x:v>Colisión obliga a adjudicar identidad compartida, separación o relación tipada; nunca duplicación silenciosa.</x:v>
      </x:c>
    </x:row>
  </x:sheetData>
  <x:pageMargins left="0.7" right="0.7" top="0.75" bottom="0.75" header="0.3" footer="0.3"/>
  <x:tableParts count="1">
    <x:tablePart xmlns:r="http://schemas.openxmlformats.org/officeDocument/2006/relationships" r:id="R68a7be132c3a4f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68" hidden="0" customWidth="1"/>
    <x:col min="4" max="4" width="31" hidden="0" customWidth="1"/>
  </x:cols>
  <x:sheetData>
    <x:row r="1" ht="30" customHeight="1">
      <x:c r="A1" s="32" t="str">
        <x:v>Reglas de identidad, composición y cierre</x:v>
      </x:c>
      <x:c r="B1" s="32"/>
      <x:c r="C1" s="32"/>
      <x:c r="D1" s="32"/>
    </x:row>
    <x:row r="2">
      <x:c r="A2" s="34"/>
      <x:c r="B2" s="34"/>
      <x:c r="C2" s="34"/>
      <x:c r="D2" s="34"/>
    </x:row>
    <x:row r="3">
      <x:c r="A3" s="35" t="str">
        <x:v>ID</x:v>
      </x:c>
      <x:c r="B3" s="35" t="str">
        <x:v>Regla</x:v>
      </x:c>
      <x:c r="C3" s="35" t="str">
        <x:v>Expresión / prueba</x:v>
      </x:c>
      <x:c r="D3" s="35" t="str">
        <x:v>Fallo</x:v>
      </x:c>
    </x:row>
    <x:row r="4">
      <x:c r="A4" s="37" t="str">
        <x:v>REG-01</x:v>
      </x:c>
      <x:c r="B4" s="28" t="str">
        <x:v>Identidad estable</x:v>
      </x:c>
      <x:c r="C4" s="28" t="str">
        <x:v>La operación activa; no redefine el parámetro.</x:v>
      </x:c>
      <x:c r="D4" s="41" t="str">
        <x:v>IDENTIDAD_NO_PASA</x:v>
      </x:c>
    </x:row>
    <x:row r="5">
      <x:c r="A5" s="37" t="str">
        <x:v>REG-02</x:v>
      </x:c>
      <x:c r="B5" s="28" t="str">
        <x:v>Estado ternario</x:v>
      </x:c>
      <x:c r="C5" s="28" t="str">
        <x:v>I_p(x,contexto) -&gt; {0,1,U}</x:v>
      </x:c>
      <x:c r="D5" s="41" t="str">
        <x:v>TRANSDUCTOR_NO_PASA</x:v>
      </x:c>
    </x:row>
    <x:row r="6">
      <x:c r="A6" s="37" t="str">
        <x:v>REG-03</x:v>
      </x:c>
      <x:c r="B6" s="28" t="str">
        <x:v>No partición</x:v>
      </x:c>
      <x:c r="C6" s="28" t="str">
        <x:v>Sin subproposiciones con estado, U, consecuencia o función independientes.</x:v>
      </x:c>
      <x:c r="D6" s="41" t="str">
        <x:v>COMPUESTO_A_DESDOBLAR</x:v>
      </x:c>
    </x:row>
    <x:row r="7">
      <x:c r="A7" s="37" t="str">
        <x:v>REG-04</x:v>
      </x:c>
      <x:c r="B7" s="28" t="str">
        <x:v>Ablación</x:v>
      </x:c>
      <x:c r="C7" s="28" t="str">
        <x:v>Retirar el objeto altera una clausura o decisión identificable.</x:v>
      </x:c>
      <x:c r="D7" s="41" t="str">
        <x:v>NO_PERTINENTE_O_REVISAR</x:v>
      </x:c>
    </x:row>
    <x:row r="8">
      <x:c r="A8" s="37" t="str">
        <x:v>REG-05</x:v>
      </x:c>
      <x:c r="B8" s="28" t="str">
        <x:v>Propietario único</x:v>
      </x:c>
      <x:c r="C8" s="28" t="str">
        <x:v>owner_v: A_v -&gt; M_v; un solo propietario.</x:v>
      </x:c>
      <x:c r="D8" s="41" t="str">
        <x:v>DUPLICACION_NO_PASA</x:v>
      </x:c>
    </x:row>
    <x:row r="9">
      <x:c r="A9" s="37" t="str">
        <x:v>REG-06</x:v>
      </x:c>
      <x:c r="B9" s="28" t="str">
        <x:v>Referencia tipada</x:v>
      </x:c>
      <x:c r="C9" s="28" t="str">
        <x:v>Otra matriz referencia; no copia ni recalcula el estado.</x:v>
      </x:c>
      <x:c r="D9" s="41" t="str">
        <x:v>TRAZABILIDAD_NO_PASA</x:v>
      </x:c>
    </x:row>
    <x:row r="10">
      <x:c r="A10" s="37" t="str">
        <x:v>REG-07</x:v>
      </x:c>
      <x:c r="B10" s="28" t="str">
        <x:v>No compensación</x:v>
      </x:c>
      <x:c r="C10" s="28" t="str">
        <x:v>Veto o U crítica no desaparecen por mayoría, promedio o ahorro.</x:v>
      </x:c>
      <x:c r="D10" s="41" t="str">
        <x:v>RUTA_NO_PASA</x:v>
      </x:c>
    </x:row>
    <x:row r="11">
      <x:c r="A11" s="37" t="str">
        <x:v>REG-08</x:v>
      </x:c>
      <x:c r="B11" s="28" t="str">
        <x:v>Frame fiel</x:v>
      </x:c>
      <x:c r="C11" s="28" t="str">
        <x:v>Frame por matriz; resumen reversible hasta frames constitutivos.</x:v>
      </x:c>
      <x:c r="D11" s="41" t="str">
        <x:v>PROYECCION_NO_PASA</x:v>
      </x:c>
    </x:row>
    <x:row r="12">
      <x:c r="A12" s="37" t="str">
        <x:v>REG-09</x:v>
      </x:c>
      <x:c r="B12" s="28" t="str">
        <x:v>Cierre finito</x:v>
      </x:c>
      <x:c r="C12" s="28" t="str">
        <x:v>Cola sin pendientes ocultos; residuo enumerado; novedad abre versión.</x:v>
      </x:c>
      <x:c r="D12" s="41" t="str">
        <x:v>CORTE_NO_CERRADO</x:v>
      </x:c>
    </x:row>
    <x:row r="13">
      <x:c r="A13" s="37" t="str">
        <x:v>REG-10</x:v>
      </x:c>
      <x:c r="B13" s="28" t="str">
        <x:v>Reproducibilidad exacta</x:v>
      </x:c>
      <x:c r="C13" s="28" t="str">
        <x:v>Misma entrada y versiones -&gt; misma traza, estado, salida y bytes.</x:v>
      </x:c>
      <x:c r="D13" s="41" t="str">
        <x:v>REPRODUCIBILIDAD_NO_PASA</x:v>
      </x:c>
    </x:row>
  </x:sheetData>
  <x:mergeCells>
    <x:mergeCell ref="A1:D1"/>
  </x:mergeCells>
  <x:pageMargins left="0.7" right="0.7" top="0.75" bottom="0.75" header="0.3" footer="0.3"/>
</x:worksheet>
</file>