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tables/table65.xml" ContentType="application/vnd.openxmlformats-officedocument.spreadsheetml.table+xml"/>
  <Override PartName="/xl/worksheets/sheet66.xml" ContentType="application/vnd.openxmlformats-officedocument.spreadsheetml.worksheet+xml"/>
  <Override PartName="/xl/tables/table66.xml" ContentType="application/vnd.openxmlformats-officedocument.spreadsheetml.table+xml"/>
  <Override PartName="/xl/worksheets/sheet67.xml" ContentType="application/vnd.openxmlformats-officedocument.spreadsheetml.worksheet+xml"/>
  <Override PartName="/xl/tables/table67.xml" ContentType="application/vnd.openxmlformats-officedocument.spreadsheetml.table+xml"/>
  <Override PartName="/xl/worksheets/sheet68.xml" ContentType="application/vnd.openxmlformats-officedocument.spreadsheetml.worksheet+xml"/>
  <Override PartName="/xl/tables/table68.xml" ContentType="application/vnd.openxmlformats-officedocument.spreadsheetml.table+xml"/>
  <Override PartName="/xl/worksheets/sheet69.xml" ContentType="application/vnd.openxmlformats-officedocument.spreadsheetml.worksheet+xml"/>
  <Override PartName="/xl/tables/table69.xml" ContentType="application/vnd.openxmlformats-officedocument.spreadsheetml.table+xml"/>
  <Override PartName="/xl/worksheets/sheet70.xml" ContentType="application/vnd.openxmlformats-officedocument.spreadsheetml.worksheet+xml"/>
  <Override PartName="/xl/tables/table70.xml" ContentType="application/vnd.openxmlformats-officedocument.spreadsheetml.table+xml"/>
  <Override PartName="/xl/worksheets/sheet71.xml" ContentType="application/vnd.openxmlformats-officedocument.spreadsheetml.worksheet+xml"/>
  <Override PartName="/xl/tables/table71.xml" ContentType="application/vnd.openxmlformats-officedocument.spreadsheetml.table+xml"/>
  <Override PartName="/xl/worksheets/sheet72.xml" ContentType="application/vnd.openxmlformats-officedocument.spreadsheetml.worksheet+xml"/>
  <Override PartName="/xl/tables/table72.xml" ContentType="application/vnd.openxmlformats-officedocument.spreadsheetml.table+xml"/>
  <Override PartName="/xl/worksheets/sheet73.xml" ContentType="application/vnd.openxmlformats-officedocument.spreadsheetml.worksheet+xml"/>
  <Override PartName="/xl/tables/table7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aad09dd8244bcb" /></Relationships>
</file>

<file path=xl/workbook.xml><?xml version="1.0" encoding="utf-8"?>
<x:workbook xmlns:x="http://schemas.openxmlformats.org/spreadsheetml/2006/main">
  <x:sheets>
    <x:sheet xmlns:r="http://schemas.openxmlformats.org/officeDocument/2006/relationships" name="00_Estatuto" sheetId="1" r:id="R4316e3f2276e4606"/>
    <x:sheet xmlns:r="http://schemas.openxmlformats.org/officeDocument/2006/relationships" name="01_Fuentes" sheetId="2" r:id="Re39d5e9aa05e4ea0"/>
    <x:sheet xmlns:r="http://schemas.openxmlformats.org/officeDocument/2006/relationships" name="02_Custodia" sheetId="3" r:id="Rc1ae793e964e4b6d"/>
    <x:sheet xmlns:r="http://schemas.openxmlformats.org/officeDocument/2006/relationships" name="03_NICE" sheetId="4" r:id="R3c453eeb7dc5402c"/>
    <x:sheet xmlns:r="http://schemas.openxmlformats.org/officeDocument/2006/relationships" name="04_TKS" sheetId="5" r:id="Rb8daf2abb0ac4d7c"/>
    <x:sheet xmlns:r="http://schemas.openxmlformats.org/officeDocument/2006/relationships" name="05_Complementos" sheetId="6" r:id="Rdbeef5bbd091497f"/>
    <x:sheet xmlns:r="http://schemas.openxmlformats.org/officeDocument/2006/relationships" name="06_Cobertura" sheetId="7" r:id="R16c2b0754f2e46f8"/>
    <x:sheet xmlns:r="http://schemas.openxmlformats.org/officeDocument/2006/relationships" name="07_Operaciones" sheetId="8" r:id="R88603a89d8a749e6"/>
    <x:sheet xmlns:r="http://schemas.openxmlformats.org/officeDocument/2006/relationships" name="08_Trazas" sheetId="9" r:id="R8c57806607af4998"/>
    <x:sheet xmlns:r="http://schemas.openxmlformats.org/officeDocument/2006/relationships" name="09_Decisiones" sheetId="10" r:id="Rcec88fbd62b04d1a"/>
    <x:sheet xmlns:r="http://schemas.openxmlformats.org/officeDocument/2006/relationships" name="10_Adversarial" sheetId="11" r:id="R7f58a812047a4eff"/>
    <x:sheet xmlns:r="http://schemas.openxmlformats.org/officeDocument/2006/relationships" name="11_Controles" sheetId="12" r:id="R3346ac8327444203"/>
    <x:sheet xmlns:r="http://schemas.openxmlformats.org/officeDocument/2006/relationships" name="12_Glosario" sheetId="13" r:id="Rd89a44f0070648fd"/>
    <x:sheet xmlns:r="http://schemas.openxmlformats.org/officeDocument/2006/relationships" name="13_Relaciones_NICE" sheetId="14" r:id="R2dcbe202361f46d5"/>
    <x:sheet xmlns:r="http://schemas.openxmlformats.org/officeDocument/2006/relationships" name="14_Comparacion" sheetId="15" r:id="R5d8c4b94e9264fcc"/>
    <x:sheet xmlns:r="http://schemas.openxmlformats.org/officeDocument/2006/relationships" name="15_Base_universitaria" sheetId="16" r:id="R99c4b874fea4472d"/>
    <x:sheet xmlns:r="http://schemas.openxmlformats.org/officeDocument/2006/relationships" name="16_Progresion" sheetId="17" r:id="Rc014ba1552a54d89"/>
    <x:sheet xmlns:r="http://schemas.openxmlformats.org/officeDocument/2006/relationships" name="17_Comp_educativos" sheetId="18" r:id="R17b1eefe69224a73"/>
    <x:sheet xmlns:r="http://schemas.openxmlformats.org/officeDocument/2006/relationships" name="18_Necesidades_IA" sheetId="19" r:id="R53247dd837c14dc3"/>
    <x:sheet xmlns:r="http://schemas.openxmlformats.org/officeDocument/2006/relationships" name="19_Consecuencias" sheetId="20" r:id="Rea12e8096ec64ce5"/>
    <x:sheet xmlns:r="http://schemas.openxmlformats.org/officeDocument/2006/relationships" name="20_Familias" sheetId="21" r:id="R4e5d0cf9b12e4ba6"/>
    <x:sheet xmlns:r="http://schemas.openxmlformats.org/officeDocument/2006/relationships" name="21_Fuentes_educativas" sheetId="22" r:id="R2636ff5bd6f04649"/>
    <x:sheet xmlns:r="http://schemas.openxmlformats.org/officeDocument/2006/relationships" name="22_Revision_curricular" sheetId="23" r:id="Rc4963dc250304316"/>
    <x:sheet xmlns:r="http://schemas.openxmlformats.org/officeDocument/2006/relationships" name="23_Control_curricular" sheetId="24" r:id="R9610133715e549fe"/>
    <x:sheet xmlns:r="http://schemas.openxmlformats.org/officeDocument/2006/relationships" name="24_Gobierno" sheetId="25" r:id="R789392da657346d9"/>
    <x:sheet xmlns:r="http://schemas.openxmlformats.org/officeDocument/2006/relationships" name="25_Delimitacion" sheetId="26" r:id="R3dc8101506a14f9d"/>
    <x:sheet xmlns:r="http://schemas.openxmlformats.org/officeDocument/2006/relationships" name="26_Mapa_universos" sheetId="27" r:id="R27df1f739b5a4bda"/>
    <x:sheet xmlns:r="http://schemas.openxmlformats.org/officeDocument/2006/relationships" name="27_Cobertura_aprendizaje" sheetId="28" r:id="Rd8c54a90a7fe469d"/>
    <x:sheet xmlns:r="http://schemas.openxmlformats.org/officeDocument/2006/relationships" name="28_Relaciones_candidatas" sheetId="29" r:id="Ra47a679fe03a4fae"/>
    <x:sheet xmlns:r="http://schemas.openxmlformats.org/officeDocument/2006/relationships" name="29_Camino_constitutivo" sheetId="30" r:id="Rbb3bb79d52714d81"/>
    <x:sheet xmlns:r="http://schemas.openxmlformats.org/officeDocument/2006/relationships" name="30_Revision_acotacion" sheetId="31" r:id="R9886deecb0a94b7d"/>
    <x:sheet xmlns:r="http://schemas.openxmlformats.org/officeDocument/2006/relationships" name="31_Control_acotacion" sheetId="32" r:id="R6838899dccb94eee"/>
    <x:sheet xmlns:r="http://schemas.openxmlformats.org/officeDocument/2006/relationships" name="32_Fuentes_metodo" sheetId="33" r:id="Rf07b560a643e48f4"/>
    <x:sheet xmlns:r="http://schemas.openxmlformats.org/officeDocument/2006/relationships" name="33_Correspondencia_mapa" sheetId="34" r:id="R6cc02c19de3643d4"/>
    <x:sheet xmlns:r="http://schemas.openxmlformats.org/officeDocument/2006/relationships" name="34_Consecuencias_enlace" sheetId="35" r:id="Rc43f2e10083d4b7a"/>
    <x:sheet xmlns:r="http://schemas.openxmlformats.org/officeDocument/2006/relationships" name="35_Consejo_y_frame" sheetId="36" r:id="R06a0932d175b4bfc"/>
    <x:sheet xmlns:r="http://schemas.openxmlformats.org/officeDocument/2006/relationships" name="36_Seleccion_y_lagunas" sheetId="37" r:id="R7bebed9380de4c5b"/>
    <x:sheet xmlns:r="http://schemas.openxmlformats.org/officeDocument/2006/relationships" name="37_Operacion_CYB_001" sheetId="38" r:id="R5fe6129b660f4810"/>
    <x:sheet xmlns:r="http://schemas.openxmlformats.org/officeDocument/2006/relationships" name="38_Q0_y_terminacion" sheetId="39" r:id="R44229423ee3a4ffd"/>
    <x:sheet xmlns:r="http://schemas.openxmlformats.org/officeDocument/2006/relationships" name="39_Primer_parametro" sheetId="40" r:id="R250c12d1a63740a5"/>
    <x:sheet xmlns:r="http://schemas.openxmlformats.org/officeDocument/2006/relationships" name="40_Consecuencias_G4" sheetId="41" r:id="R1151494426c447bd"/>
    <x:sheet xmlns:r="http://schemas.openxmlformats.org/officeDocument/2006/relationships" name="41_Testigos_G5" sheetId="42" r:id="R24c29332516e4959"/>
    <x:sheet xmlns:r="http://schemas.openxmlformats.org/officeDocument/2006/relationships" name="42_Adversarial_G5" sheetId="43" r:id="R68456dbd5ea343ca"/>
    <x:sheet xmlns:r="http://schemas.openxmlformats.org/officeDocument/2006/relationships" name="43_Fuentes_atomicas" sheetId="44" r:id="Re64c2ad37c9b4ef2"/>
    <x:sheet xmlns:r="http://schemas.openxmlformats.org/officeDocument/2006/relationships" name="44_Control_G5" sheetId="45" r:id="R2a205022cc6f43a6"/>
    <x:sheet xmlns:r="http://schemas.openxmlformats.org/officeDocument/2006/relationships" name="45_Apertura_y_adopcion" sheetId="46" r:id="R3d91c8931a7f4e16"/>
    <x:sheet xmlns:r="http://schemas.openxmlformats.org/officeDocument/2006/relationships" name="46_Registro_diez" sheetId="47" r:id="Ra9583d2d7d3c4e64"/>
    <x:sheet xmlns:r="http://schemas.openxmlformats.org/officeDocument/2006/relationships" name="47_Contratos_atomicos" sheetId="48" r:id="R15c520d9b4bc4df1"/>
    <x:sheet xmlns:r="http://schemas.openxmlformats.org/officeDocument/2006/relationships" name="48_Consecuencias_lote" sheetId="49" r:id="Re83ad9859fcd46bb"/>
    <x:sheet xmlns:r="http://schemas.openxmlformats.org/officeDocument/2006/relationships" name="49_Atomicidad_y_ablacion" sheetId="50" r:id="R298adde1ac684644"/>
    <x:sheet xmlns:r="http://schemas.openxmlformats.org/officeDocument/2006/relationships" name="50_Testigos_lote" sheetId="51" r:id="Re01bae60345a4f4e"/>
    <x:sheet xmlns:r="http://schemas.openxmlformats.org/officeDocument/2006/relationships" name="51_Adversarial_lote" sheetId="52" r:id="R632d709522294f81"/>
    <x:sheet xmlns:r="http://schemas.openxmlformats.org/officeDocument/2006/relationships" name="52_Cobertura_Q0_actual" sheetId="53" r:id="R8d851d8dc6bb4cee"/>
    <x:sheet xmlns:r="http://schemas.openxmlformats.org/officeDocument/2006/relationships" name="53_Fuentes_lote" sheetId="54" r:id="R840288108a534941"/>
    <x:sheet xmlns:r="http://schemas.openxmlformats.org/officeDocument/2006/relationships" name="54_Control_lote" sheetId="55" r:id="R572760230011425c"/>
    <x:sheet xmlns:r="http://schemas.openxmlformats.org/officeDocument/2006/relationships" name="55_Codificacion_ensayo" sheetId="56" r:id="Rda7467017f464c14"/>
    <x:sheet xmlns:r="http://schemas.openxmlformats.org/officeDocument/2006/relationships" name="56_Cierre_documental" sheetId="57" r:id="Rb67fc04d47194443"/>
    <x:sheet xmlns:r="http://schemas.openxmlformats.org/officeDocument/2006/relationships" name="57_Registro_actual" sheetId="58" r:id="R026891d894a0465d"/>
    <x:sheet xmlns:r="http://schemas.openxmlformats.org/officeDocument/2006/relationships" name="58_Contratos_nuevos" sheetId="59" r:id="R8aa358a245aa47d6"/>
    <x:sheet xmlns:r="http://schemas.openxmlformats.org/officeDocument/2006/relationships" name="59_Q0_terminal" sheetId="60" r:id="R98ae6eac4cb34e88"/>
    <x:sheet xmlns:r="http://schemas.openxmlformats.org/officeDocument/2006/relationships" name="60_Contratos_control" sheetId="61" r:id="R38cacdb6dac4477b"/>
    <x:sheet xmlns:r="http://schemas.openxmlformats.org/officeDocument/2006/relationships" name="61_Relaciones_consejo" sheetId="62" r:id="R2104d6553afc4a8c"/>
    <x:sheet xmlns:r="http://schemas.openxmlformats.org/officeDocument/2006/relationships" name="62_Testigos_nuevos" sheetId="63" r:id="Rdc4de196dfd542ef"/>
    <x:sheet xmlns:r="http://schemas.openxmlformats.org/officeDocument/2006/relationships" name="63_Contraste_controles" sheetId="64" r:id="R5c5dbf279d62476e"/>
    <x:sheet xmlns:r="http://schemas.openxmlformats.org/officeDocument/2006/relationships" name="64_Adversarial_y_deuda" sheetId="65" r:id="R5b3c060772344400"/>
    <x:sheet xmlns:r="http://schemas.openxmlformats.org/officeDocument/2006/relationships" name="65_Fuentes_y_verificacion" sheetId="66" r:id="Ra99185c8aee042ed"/>
    <x:sheet xmlns:r="http://schemas.openxmlformats.org/officeDocument/2006/relationships" name="66_Resultado_actual" sheetId="67" r:id="Ra9243917b77c4223"/>
    <x:sheet xmlns:r="http://schemas.openxmlformats.org/officeDocument/2006/relationships" name="67_Parametros" sheetId="68" r:id="R11dd282bf4c246f5"/>
    <x:sheet xmlns:r="http://schemas.openxmlformats.org/officeDocument/2006/relationships" name="68_Consecuencias" sheetId="69" r:id="R4267b03ecc4347b5"/>
    <x:sheet xmlns:r="http://schemas.openxmlformats.org/officeDocument/2006/relationships" name="69_Cobertura" sheetId="70" r:id="Rb7af30f61e364cdd"/>
    <x:sheet xmlns:r="http://schemas.openxmlformats.org/officeDocument/2006/relationships" name="70_Estimacion" sheetId="71" r:id="Ref23cb9eda584a48"/>
    <x:sheet xmlns:r="http://schemas.openxmlformats.org/officeDocument/2006/relationships" name="71_Bibliografia" sheetId="72" r:id="Re0e825890bad4abf"/>
    <x:sheet xmlns:r="http://schemas.openxmlformats.org/officeDocument/2006/relationships" name="72_Ensayos" sheetId="73" r:id="R4640d863ca5f43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General"/>
    <x:numFmt numFmtId="202" formatCode="0"/>
    <x:numFmt numFmtId="203" formatCode="0%"/>
  </x:numFmts>
  <x:fonts count="11">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
      <x:sz val="11"/>
      <x:color rgb="FF172B3A"/>
      <x:name val="Carlito"/>
    </x:font>
    <x:font>
      <x:b/>
      <x:sz val="15"/>
      <x:color rgb="FFFFFFFF"/>
      <x:name val="Carlito"/>
    </x:font>
    <x:font>
      <x:sz val="11"/>
      <x:color rgb="FF183044"/>
      <x:name val="Carlito"/>
    </x:font>
    <x:font>
      <x:b/>
      <x:sz val="16"/>
      <x:color rgb="FF193650"/>
      <x:name val="Carlito"/>
    </x:font>
    <x:font>
      <x:sz val="11"/>
      <x:color rgb="FF41546A"/>
      <x:name val="Carlito"/>
    </x:font>
  </x:fonts>
  <x:fills count="11">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
      <x:patternFill patternType="solid">
        <x:fgColor rgb="FF193650"/>
      </x:patternFill>
    </x:fill>
    <x:fill>
      <x:patternFill patternType="solid">
        <x:fgColor rgb="FFDAE8F2"/>
      </x:patternFill>
    </x:fill>
    <x:fill>
      <x:patternFill patternType="solid">
        <x:fgColor rgb="FF0F6B6D"/>
      </x:patternFill>
    </x:fill>
    <x:fill>
      <x:patternFill patternType="solid">
        <x:fgColor rgb="FF254F69"/>
      </x:patternFill>
    </x:fill>
    <x:fill>
      <x:patternFill patternType="solid">
        <x:fgColor rgb="FFFFF2D5"/>
      </x:patternFill>
    </x:fill>
    <x:fill>
      <x:patternFill patternType="solid">
        <x:fgColor rgb="FFDCE8F0"/>
      </x:patternFill>
    </x:fill>
  </x:fills>
  <x:borders count="1">
    <x:border/>
  </x:borders>
  <x:cellStyleXfs count="1">
    <x:xf numFmtId="0" fontId="0" fillId="0" borderId="0"/>
  </x:cellStyleXfs>
  <x:cellXfs count="5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2" fontId="5"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0" fontId="7" fillId="5"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0" fontId="4" fillId="7"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5" fillId="0"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200" fontId="10" fillId="0" borderId="0" xfId="0" applyNumberFormat="1" applyFont="1" applyFill="1" applyBorder="1" applyAlignment="1">
      <x:alignment vertical="top" wrapText="1"/>
    </x:xf>
    <x:xf numFmtId="200" fontId="8" fillId="8" borderId="0" xfId="0" applyNumberFormat="1" applyFont="1" applyFill="1" applyBorder="1" applyAlignment="1">
      <x:alignment vertical="top" wrapText="1"/>
    </x:xf>
    <x:xf numFmtId="200" fontId="4" fillId="8" borderId="0" xfId="0" applyNumberFormat="1" applyFont="1" applyFill="1" applyBorder="1" applyAlignment="1">
      <x:alignment vertical="top" wrapText="1"/>
    </x:xf>
    <x:xf numFmtId="202" fontId="8" fillId="0" borderId="0" xfId="0" applyNumberFormat="1" applyFont="1" applyFill="1" applyBorder="1" applyAlignment="1">
      <x:alignment vertical="top" wrapText="1"/>
    </x:xf>
    <x:xf numFmtId="202" fontId="8" fillId="9" borderId="0" xfId="0" applyNumberFormat="1" applyFont="1" applyFill="1" applyBorder="1" applyAlignment="1">
      <x:alignment vertical="top" wrapText="1"/>
    </x:xf>
    <x:xf numFmtId="203" fontId="0" fillId="0" borderId="0" xfId="0" applyNumberFormat="1" applyFont="1" applyFill="1" applyBorder="1"/>
    <x:xf numFmtId="203" fontId="0" fillId="9" borderId="0" xfId="0" applyNumberFormat="1" applyFont="1" applyFill="1" applyBorder="1"/>
    <x:xf numFmtId="203" fontId="8" fillId="9" borderId="0" xfId="0" applyNumberFormat="1" applyFont="1" applyFill="1" applyBorder="1"/>
    <x:xf numFmtId="203" fontId="8" fillId="0" borderId="0" xfId="0" applyNumberFormat="1" applyFont="1" applyFill="1" applyBorder="1"/>
    <x:xf numFmtId="203" fontId="8" fillId="9" borderId="0" xfId="0" applyNumberFormat="1" applyFont="1" applyFill="1" applyBorder="1" applyAlignment="1">
      <x:alignment wrapText="1"/>
    </x:xf>
    <x:xf numFmtId="203" fontId="8" fillId="0" borderId="0" xfId="0" applyNumberFormat="1" applyFont="1" applyFill="1" applyBorder="1" applyAlignment="1">
      <x:alignment wrapText="1"/>
    </x:xf>
    <x:xf numFmtId="0" fontId="8" fillId="10" borderId="0" xfId="0" applyNumberFormat="1" applyFont="1" applyFill="1" applyBorder="1" applyAlignment="1">
      <x:alignment wrapText="1"/>
    </x:xf>
    <x:xf numFmtId="202" fontId="8" fillId="0" borderId="0" xfId="0" applyNumberFormat="1" applyFont="1" applyFill="1" applyBorder="1" applyAlignment="1">
      <x:alignment wrapText="1"/>
    </x:xf>
  </x:cellXfs>
  <x:cellStyles count="1">
    <x:cellStyle name="Normal" xfId="0"/>
  </x:cellStyles>
  <x:dxfs count="29">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color rgb="FF8A5A12"/>
      </x:font>
      <x:fill>
        <x:patternFill>
          <x:bgColor rgb="FFFFF0D4"/>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52518"/>
      </x:font>
      <x:fill>
        <x:patternFill>
          <x:bgColor rgb="FFFFE2D9"/>
        </x:patternFill>
      </x:fill>
    </x:dxf>
    <x:dxf>
      <x:font>
        <x:b/>
        <x:color rgb="FFA52518"/>
      </x:font>
      <x:fill>
        <x:patternFill>
          <x:bgColor rgb="FFFFE2D9"/>
        </x:patternFill>
      </x:fill>
    </x:dxf>
    <x:dxf>
      <x:font>
        <x:b/>
        <x:color rgb="FF9B2422"/>
      </x:font>
      <x:fill>
        <x:patternFill patternType="solid">
          <x:bgColor rgb="FFFCE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2067a3d27f4c59" /><Relationship Type="http://schemas.openxmlformats.org/officeDocument/2006/relationships/theme" Target="/xl/theme/theme1.xml" Id="R85ed865b99134694" /><Relationship Type="http://schemas.openxmlformats.org/officeDocument/2006/relationships/sharedStrings" Target="/xl/sharedStrings.xml" Id="Rfed927a0256e4e58" /><Relationship Type="http://schemas.openxmlformats.org/officeDocument/2006/relationships/worksheet" Target="/xl/worksheets/sheet1.xml" Id="R4316e3f2276e4606" /><Relationship Type="http://schemas.openxmlformats.org/officeDocument/2006/relationships/worksheet" Target="/xl/worksheets/sheet2.xml" Id="Re39d5e9aa05e4ea0" /><Relationship Type="http://schemas.openxmlformats.org/officeDocument/2006/relationships/worksheet" Target="/xl/worksheets/sheet3.xml" Id="Rc1ae793e964e4b6d" /><Relationship Type="http://schemas.openxmlformats.org/officeDocument/2006/relationships/worksheet" Target="/xl/worksheets/sheet4.xml" Id="R3c453eeb7dc5402c" /><Relationship Type="http://schemas.openxmlformats.org/officeDocument/2006/relationships/worksheet" Target="/xl/worksheets/sheet5.xml" Id="Rb8daf2abb0ac4d7c" /><Relationship Type="http://schemas.openxmlformats.org/officeDocument/2006/relationships/worksheet" Target="/xl/worksheets/sheet6.xml" Id="Rdbeef5bbd091497f" /><Relationship Type="http://schemas.openxmlformats.org/officeDocument/2006/relationships/worksheet" Target="/xl/worksheets/sheet7.xml" Id="R16c2b0754f2e46f8" /><Relationship Type="http://schemas.openxmlformats.org/officeDocument/2006/relationships/worksheet" Target="/xl/worksheets/sheet8.xml" Id="R88603a89d8a749e6" /><Relationship Type="http://schemas.openxmlformats.org/officeDocument/2006/relationships/worksheet" Target="/xl/worksheets/sheet9.xml" Id="R8c57806607af4998" /><Relationship Type="http://schemas.openxmlformats.org/officeDocument/2006/relationships/worksheet" Target="/xl/worksheets/sheet10.xml" Id="Rcec88fbd62b04d1a" /><Relationship Type="http://schemas.openxmlformats.org/officeDocument/2006/relationships/worksheet" Target="/xl/worksheets/sheet11.xml" Id="R7f58a812047a4eff" /><Relationship Type="http://schemas.openxmlformats.org/officeDocument/2006/relationships/worksheet" Target="/xl/worksheets/sheet12.xml" Id="R3346ac8327444203" /><Relationship Type="http://schemas.openxmlformats.org/officeDocument/2006/relationships/worksheet" Target="/xl/worksheets/sheet13.xml" Id="Rd89a44f0070648fd" /><Relationship Type="http://schemas.openxmlformats.org/officeDocument/2006/relationships/worksheet" Target="/xl/worksheets/sheet14.xml" Id="R2dcbe202361f46d5" /><Relationship Type="http://schemas.openxmlformats.org/officeDocument/2006/relationships/worksheet" Target="/xl/worksheets/sheet15.xml" Id="R5d8c4b94e9264fcc" /><Relationship Type="http://schemas.openxmlformats.org/officeDocument/2006/relationships/worksheet" Target="/xl/worksheets/sheet16.xml" Id="R99c4b874fea4472d" /><Relationship Type="http://schemas.openxmlformats.org/officeDocument/2006/relationships/worksheet" Target="/xl/worksheets/sheet17.xml" Id="Rc014ba1552a54d89" /><Relationship Type="http://schemas.openxmlformats.org/officeDocument/2006/relationships/worksheet" Target="/xl/worksheets/sheet18.xml" Id="R17b1eefe69224a73" /><Relationship Type="http://schemas.openxmlformats.org/officeDocument/2006/relationships/worksheet" Target="/xl/worksheets/sheet19.xml" Id="R53247dd837c14dc3" /><Relationship Type="http://schemas.openxmlformats.org/officeDocument/2006/relationships/worksheet" Target="/xl/worksheets/sheet20.xml" Id="Rea12e8096ec64ce5" /><Relationship Type="http://schemas.openxmlformats.org/officeDocument/2006/relationships/worksheet" Target="/xl/worksheets/sheet21.xml" Id="R4e5d0cf9b12e4ba6" /><Relationship Type="http://schemas.openxmlformats.org/officeDocument/2006/relationships/worksheet" Target="/xl/worksheets/sheet22.xml" Id="R2636ff5bd6f04649" /><Relationship Type="http://schemas.openxmlformats.org/officeDocument/2006/relationships/worksheet" Target="/xl/worksheets/sheet23.xml" Id="Rc4963dc250304316" /><Relationship Type="http://schemas.openxmlformats.org/officeDocument/2006/relationships/worksheet" Target="/xl/worksheets/sheet24.xml" Id="R9610133715e549fe" /><Relationship Type="http://schemas.openxmlformats.org/officeDocument/2006/relationships/worksheet" Target="/xl/worksheets/sheet25.xml" Id="R789392da657346d9" /><Relationship Type="http://schemas.openxmlformats.org/officeDocument/2006/relationships/worksheet" Target="/xl/worksheets/sheet26.xml" Id="R3dc8101506a14f9d" /><Relationship Type="http://schemas.openxmlformats.org/officeDocument/2006/relationships/worksheet" Target="/xl/worksheets/sheet27.xml" Id="R27df1f739b5a4bda" /><Relationship Type="http://schemas.openxmlformats.org/officeDocument/2006/relationships/worksheet" Target="/xl/worksheets/sheet28.xml" Id="Rd8c54a90a7fe469d" /><Relationship Type="http://schemas.openxmlformats.org/officeDocument/2006/relationships/worksheet" Target="/xl/worksheets/sheet29.xml" Id="Ra47a679fe03a4fae" /><Relationship Type="http://schemas.openxmlformats.org/officeDocument/2006/relationships/worksheet" Target="/xl/worksheets/sheet30.xml" Id="Rbb3bb79d52714d81" /><Relationship Type="http://schemas.openxmlformats.org/officeDocument/2006/relationships/worksheet" Target="/xl/worksheets/sheet31.xml" Id="R9886deecb0a94b7d" /><Relationship Type="http://schemas.openxmlformats.org/officeDocument/2006/relationships/worksheet" Target="/xl/worksheets/sheet32.xml" Id="R6838899dccb94eee" /><Relationship Type="http://schemas.openxmlformats.org/officeDocument/2006/relationships/worksheet" Target="/xl/worksheets/sheet33.xml" Id="Rf07b560a643e48f4" /><Relationship Type="http://schemas.openxmlformats.org/officeDocument/2006/relationships/worksheet" Target="/xl/worksheets/sheet34.xml" Id="R6cc02c19de3643d4" /><Relationship Type="http://schemas.openxmlformats.org/officeDocument/2006/relationships/worksheet" Target="/xl/worksheets/sheet35.xml" Id="Rc43f2e10083d4b7a" /><Relationship Type="http://schemas.openxmlformats.org/officeDocument/2006/relationships/worksheet" Target="/xl/worksheets/sheet36.xml" Id="R06a0932d175b4bfc" /><Relationship Type="http://schemas.openxmlformats.org/officeDocument/2006/relationships/worksheet" Target="/xl/worksheets/sheet37.xml" Id="R7bebed9380de4c5b" /><Relationship Type="http://schemas.openxmlformats.org/officeDocument/2006/relationships/worksheet" Target="/xl/worksheets/sheet38.xml" Id="R5fe6129b660f4810" /><Relationship Type="http://schemas.openxmlformats.org/officeDocument/2006/relationships/worksheet" Target="/xl/worksheets/sheet39.xml" Id="R44229423ee3a4ffd" /><Relationship Type="http://schemas.openxmlformats.org/officeDocument/2006/relationships/worksheet" Target="/xl/worksheets/sheet40.xml" Id="R250c12d1a63740a5" /><Relationship Type="http://schemas.openxmlformats.org/officeDocument/2006/relationships/worksheet" Target="/xl/worksheets/sheet41.xml" Id="R1151494426c447bd" /><Relationship Type="http://schemas.openxmlformats.org/officeDocument/2006/relationships/worksheet" Target="/xl/worksheets/sheet42.xml" Id="R24c29332516e4959" /><Relationship Type="http://schemas.openxmlformats.org/officeDocument/2006/relationships/worksheet" Target="/xl/worksheets/sheet43.xml" Id="R68456dbd5ea343ca" /><Relationship Type="http://schemas.openxmlformats.org/officeDocument/2006/relationships/worksheet" Target="/xl/worksheets/sheet44.xml" Id="Re64c2ad37c9b4ef2" /><Relationship Type="http://schemas.openxmlformats.org/officeDocument/2006/relationships/worksheet" Target="/xl/worksheets/sheet45.xml" Id="R2a205022cc6f43a6" /><Relationship Type="http://schemas.openxmlformats.org/officeDocument/2006/relationships/worksheet" Target="/xl/worksheets/sheet46.xml" Id="R3d91c8931a7f4e16" /><Relationship Type="http://schemas.openxmlformats.org/officeDocument/2006/relationships/worksheet" Target="/xl/worksheets/sheet47.xml" Id="Ra9583d2d7d3c4e64" /><Relationship Type="http://schemas.openxmlformats.org/officeDocument/2006/relationships/worksheet" Target="/xl/worksheets/sheet48.xml" Id="R15c520d9b4bc4df1" /><Relationship Type="http://schemas.openxmlformats.org/officeDocument/2006/relationships/worksheet" Target="/xl/worksheets/sheet49.xml" Id="Re83ad9859fcd46bb" /><Relationship Type="http://schemas.openxmlformats.org/officeDocument/2006/relationships/worksheet" Target="/xl/worksheets/sheet50.xml" Id="R298adde1ac684644" /><Relationship Type="http://schemas.openxmlformats.org/officeDocument/2006/relationships/worksheet" Target="/xl/worksheets/sheet51.xml" Id="Re01bae60345a4f4e" /><Relationship Type="http://schemas.openxmlformats.org/officeDocument/2006/relationships/worksheet" Target="/xl/worksheets/sheet52.xml" Id="R632d709522294f81" /><Relationship Type="http://schemas.openxmlformats.org/officeDocument/2006/relationships/worksheet" Target="/xl/worksheets/sheet53.xml" Id="R8d851d8dc6bb4cee" /><Relationship Type="http://schemas.openxmlformats.org/officeDocument/2006/relationships/worksheet" Target="/xl/worksheets/sheet54.xml" Id="R840288108a534941" /><Relationship Type="http://schemas.openxmlformats.org/officeDocument/2006/relationships/worksheet" Target="/xl/worksheets/sheet55.xml" Id="R572760230011425c" /><Relationship Type="http://schemas.openxmlformats.org/officeDocument/2006/relationships/worksheet" Target="/xl/worksheets/sheet56.xml" Id="Rda7467017f464c14" /><Relationship Type="http://schemas.openxmlformats.org/officeDocument/2006/relationships/worksheet" Target="/xl/worksheets/sheet57.xml" Id="Rb67fc04d47194443" /><Relationship Type="http://schemas.openxmlformats.org/officeDocument/2006/relationships/worksheet" Target="/xl/worksheets/sheet58.xml" Id="R026891d894a0465d" /><Relationship Type="http://schemas.openxmlformats.org/officeDocument/2006/relationships/worksheet" Target="/xl/worksheets/sheet59.xml" Id="R8aa358a245aa47d6" /><Relationship Type="http://schemas.openxmlformats.org/officeDocument/2006/relationships/worksheet" Target="/xl/worksheets/sheet60.xml" Id="R98ae6eac4cb34e88" /><Relationship Type="http://schemas.openxmlformats.org/officeDocument/2006/relationships/worksheet" Target="/xl/worksheets/sheet61.xml" Id="R38cacdb6dac4477b" /><Relationship Type="http://schemas.openxmlformats.org/officeDocument/2006/relationships/worksheet" Target="/xl/worksheets/sheet62.xml" Id="R2104d6553afc4a8c" /><Relationship Type="http://schemas.openxmlformats.org/officeDocument/2006/relationships/worksheet" Target="/xl/worksheets/sheet63.xml" Id="Rdc4de196dfd542ef" /><Relationship Type="http://schemas.openxmlformats.org/officeDocument/2006/relationships/worksheet" Target="/xl/worksheets/sheet64.xml" Id="R5c5dbf279d62476e" /><Relationship Type="http://schemas.openxmlformats.org/officeDocument/2006/relationships/worksheet" Target="/xl/worksheets/sheet65.xml" Id="R5b3c060772344400" /><Relationship Type="http://schemas.openxmlformats.org/officeDocument/2006/relationships/worksheet" Target="/xl/worksheets/sheet66.xml" Id="Ra99185c8aee042ed" /><Relationship Type="http://schemas.openxmlformats.org/officeDocument/2006/relationships/worksheet" Target="/xl/worksheets/sheet67.xml" Id="Ra9243917b77c4223" /><Relationship Type="http://schemas.openxmlformats.org/officeDocument/2006/relationships/worksheet" Target="/xl/worksheets/sheet68.xml" Id="R11dd282bf4c246f5" /><Relationship Type="http://schemas.openxmlformats.org/officeDocument/2006/relationships/worksheet" Target="/xl/worksheets/sheet69.xml" Id="R4267b03ecc4347b5" /><Relationship Type="http://schemas.openxmlformats.org/officeDocument/2006/relationships/worksheet" Target="/xl/worksheets/sheet70.xml" Id="Rb7af30f61e364cdd" /><Relationship Type="http://schemas.openxmlformats.org/officeDocument/2006/relationships/worksheet" Target="/xl/worksheets/sheet71.xml" Id="Ref23cb9eda584a48" /><Relationship Type="http://schemas.openxmlformats.org/officeDocument/2006/relationships/worksheet" Target="/xl/worksheets/sheet72.xml" Id="Re0e825890bad4abf" /><Relationship Type="http://schemas.openxmlformats.org/officeDocument/2006/relationships/worksheet" Target="/xl/worksheets/sheet73.xml" Id="R4640d863ca5f4387" /></Relationships>
</file>

<file path=xl/tables/table1.xml><?xml version="1.0" encoding="utf-8"?>
<x:table xmlns:x="http://schemas.openxmlformats.org/spreadsheetml/2006/main" id="1" name="CYB_Estatuto" displayName="CYB_Estatuto" ref="A4:B46" headerRowCount="1" totalsRowCount="0" totalsRowShown="0">
  <x:autoFilter ref="A4:B46"/>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ables/table26.xml><?xml version="1.0" encoding="utf-8"?>
<x:table xmlns:x="http://schemas.openxmlformats.org/spreadsheetml/2006/main" id="26" name="CYB_Delimitacion" displayName="CYB_Delimitacion" ref="A4:F23" headerRowCount="1" totalsRowCount="0" totalsRowShown="0">
  <x:autoFilter ref="A4:F23"/>
  <x:tableColumns count="6">
    <x:tableColumn id="1" name="ID"/>
    <x:tableColumn id="2" name="Cuestión"/>
    <x:tableColumn id="3" name="Conclusión documentada o propuesta"/>
    <x:tableColumn id="4" name="Distinción y límite"/>
    <x:tableColumn id="5" name="Evidencia"/>
    <x:tableColumn id="6" name="Efecto en Ciberseguridad"/>
  </x:tableColumns>
  <x:tableStyleInfo name="TableStyleMedium2" showFirstColumn="0" showLastColumn="0" showRowStripes="1" showColumnStripes="0"/>
</x:table>
</file>

<file path=xl/tables/table27.xml><?xml version="1.0" encoding="utf-8"?>
<x:table xmlns:x="http://schemas.openxmlformats.org/spreadsheetml/2006/main" id="27" name="CYB_Mapa_universos" displayName="CYB_Mapa_universos" ref="A4:O33" headerRowCount="1" totalsRowCount="0" totalsRowShown="0">
  <x:autoFilter ref="A4:O33"/>
  <x:tableColumns count="15">
    <x:tableColumn id="1" name="ID"/>
    <x:tableColumn id="2" name="Agrupación editorial"/>
    <x:tableColumn id="3" name="Producto terminal"/>
    <x:tableColumn id="4" name="Objeto"/>
    <x:tableColumn id="5" name="Disparador"/>
    <x:tableColumn id="6" name="Autoridad"/>
    <x:tableColumn id="7" name="Frontera"/>
    <x:tableColumn id="8" name="Finalización"/>
    <x:tableColumn id="9" name="Conocimiento y saber hacer"/>
    <x:tableColumn id="10" name="Consecuencia de omitirlo · potencial"/>
    <x:tableColumn id="11" name="Ancla principal"/>
    <x:tableColumn id="12" name="Localizador y complemento"/>
    <x:tableColumn id="13" name="Estatuto"/>
    <x:tableColumn id="14" name="Duplicado"/>
    <x:tableColumn id="15" name="Campo ausente"/>
  </x:tableColumns>
  <x:tableStyleInfo name="TableStyleMedium2" showFirstColumn="0" showLastColumn="0" showRowStripes="1" showColumnStripes="0"/>
</x:table>
</file>

<file path=xl/tables/table28.xml><?xml version="1.0" encoding="utf-8"?>
<x:table xmlns:x="http://schemas.openxmlformats.org/spreadsheetml/2006/main" id="28" name="CYB_Cobertura_aprendizaje" displayName="CYB_Cobertura_aprendizaje" ref="A4:L131" headerRowCount="1" totalsRowCount="0" totalsRowShown="0">
  <x:autoFilter ref="A4:L131"/>
  <x:tableColumns count="12">
    <x:tableColumn id="1" name="Traza"/>
    <x:tableColumn id="2" name="Unidad"/>
    <x:tableColumn id="3" name="Clase"/>
    <x:tableColumn id="4" name="Destino"/>
    <x:tableColumn id="5" name="Conocimiento necesario"/>
    <x:tableColumn id="6" name="Saber hacer"/>
    <x:tableColumn id="7" name="Consecuencia / límite"/>
    <x:tableColumn id="8" name="Fuente"/>
    <x:tableColumn id="9" name="Localizador"/>
    <x:tableColumn id="10" name="Estatuto"/>
    <x:tableColumn id="11" name="Destino inválido"/>
    <x:tableColumn id="12" name="Fuente inválida"/>
  </x:tableColumns>
  <x:tableStyleInfo name="TableStyleMedium2" showFirstColumn="0" showLastColumn="0" showRowStripes="1" showColumnStripes="0"/>
</x:table>
</file>

<file path=xl/tables/table29.xml><?xml version="1.0" encoding="utf-8"?>
<x:table xmlns:x="http://schemas.openxmlformats.org/spreadsheetml/2006/main" id="29" name="CYB_Relaciones_candidatas" displayName="CYB_Relaciones_candidatas" ref="A4:K18" headerRowCount="1" totalsRowCount="0" totalsRowShown="0">
  <x:autoFilter ref="A4:K18"/>
  <x:tableColumns count="11">
    <x:tableColumn id="1" name="ID"/>
    <x:tableColumn id="2" name="Origen"/>
    <x:tableColumn id="3" name="Destino"/>
    <x:tableColumn id="4" name="Relación profesional"/>
    <x:tableColumn id="5" name="Contenido transmitido"/>
    <x:tableColumn id="6" name="Tratamiento de insuficiencia / U"/>
    <x:tableColumn id="7" name="Obligación de tipado y límite"/>
    <x:tableColumn id="8" name="Anclas"/>
    <x:tableColumn id="9" name="Estatuto"/>
    <x:tableColumn id="10" name="Origen inválido"/>
    <x:tableColumn id="11" name="Destino inválido"/>
  </x:tableColumns>
  <x:tableStyleInfo name="TableStyleMedium2" showFirstColumn="0" showLastColumn="0" showRowStripes="1" showColumnStripes="0"/>
</x:table>
</file>

<file path=xl/tables/table30.xml><?xml version="1.0" encoding="utf-8"?>
<x:table xmlns:x="http://schemas.openxmlformats.org/spreadsheetml/2006/main" id="30" name="CYB_Camino_constitutivo" displayName="CYB_Camino_constitutivo" ref="A4:G14" headerRowCount="1" totalsRowCount="0" totalsRowShown="0">
  <x:autoFilter ref="A4:G14"/>
  <x:tableColumns count="7">
    <x:tableColumn id="1" name="ID"/>
    <x:tableColumn id="2" name="Paso"/>
    <x:tableColumn id="3" name="Trabajo y criterio"/>
    <x:tableColumn id="4" name="Frontera / condición"/>
    <x:tableColumn id="5" name="Objeto de cierre"/>
    <x:tableColumn id="6" name="Fuente"/>
    <x:tableColumn id="7" name="Estado"/>
  </x:tableColumns>
  <x:tableStyleInfo name="TableStyleMedium2" showFirstColumn="0" showLastColumn="0" showRowStripes="1" showColumnStripes="0"/>
</x:table>
</file>

<file path=xl/tables/table31.xml><?xml version="1.0" encoding="utf-8"?>
<x:table xmlns:x="http://schemas.openxmlformats.org/spreadsheetml/2006/main" id="31" name="CYB_Revision_acotacion" displayName="CYB_Revision_acotacion" ref="A4:E29" headerRowCount="1" totalsRowCount="0" totalsRowShown="0">
  <x:autoFilter ref="A4:E29"/>
  <x:tableColumns count="5">
    <x:tableColumn id="1" name="ID"/>
    <x:tableColumn id="2" name="Ataque"/>
    <x:tableColumn id="3" name="Respuesta y evidencia"/>
    <x:tableColumn id="4" name="Resultado"/>
    <x:tableColumn id="5" name="Localizador"/>
  </x:tableColumns>
  <x:tableStyleInfo name="TableStyleMedium2" showFirstColumn="0" showLastColumn="0" showRowStripes="1" showColumnStripes="0"/>
</x:table>
</file>

<file path=xl/tables/table32.xml><?xml version="1.0" encoding="utf-8"?>
<x:table xmlns:x="http://schemas.openxmlformats.org/spreadsheetml/2006/main" id="32" name="CYB_Control_acotacion" displayName="CYB_Control_acotacion" ref="A4:E25" headerRowCount="1" totalsRowCount="0" totalsRowShown="0">
  <x:autoFilter ref="A4:E25"/>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33.xml><?xml version="1.0" encoding="utf-8"?>
<x:table xmlns:x="http://schemas.openxmlformats.org/spreadsheetml/2006/main" id="33" name="CYB_Fuentes_metodo" displayName="CYB_Fuentes_metodo" ref="A4:J23" headerRowCount="1" totalsRowCount="0" totalsRowShown="0">
  <x:autoFilter ref="A4:J23"/>
  <x:tableColumns count="10">
    <x:tableColumn id="1" name="ID"/>
    <x:tableColumn id="2" name="URL / identidad"/>
    <x:tableColumn id="3" name="Adquisición"/>
    <x:tableColumn id="4" name="Bytes · texto"/>
    <x:tableColumn id="5" name="SHA-256"/>
    <x:tableColumn id="6" name="Alcance de lectura"/>
    <x:tableColumn id="7" name="Corte Git o límite"/>
    <x:tableColumn id="8" name="Blob Git / incidencia"/>
    <x:tableColumn id="9" name="Duplicado"/>
    <x:tableColumn id="10" name="Huella defectuosa"/>
  </x:tableColumns>
  <x:tableStyleInfo name="TableStyleMedium2" showFirstColumn="0" showLastColumn="0" showRowStripes="1" showColumnStripes="0"/>
</x:table>
</file>

<file path=xl/tables/table34.xml><?xml version="1.0" encoding="utf-8"?>
<x:table xmlns:x="http://schemas.openxmlformats.org/spreadsheetml/2006/main" id="34" name="CYB_Correspondencia_mapa" displayName="CYB_Correspondencia_mapa" ref="A4:F34" headerRowCount="1" totalsRowCount="0" totalsRowShown="0">
  <x:autoFilter ref="A4:F34"/>
  <x:tableColumns count="6">
    <x:tableColumn id="1" name="Antecedente"/>
    <x:tableColumn id="2" name="Destino"/>
    <x:tableColumn id="3" name="Relación editorial"/>
    <x:tableColumn id="4" name="Justificación"/>
    <x:tableColumn id="5" name="Evidencia"/>
    <x:tableColumn id="6" name="Destino inválido"/>
  </x:tableColumns>
  <x:tableStyleInfo name="TableStyleMedium2" showFirstColumn="0" showLastColumn="0" showRowStripes="1" showColumnStripes="0"/>
</x:table>
</file>

<file path=xl/tables/table35.xml><?xml version="1.0" encoding="utf-8"?>
<x:table xmlns:x="http://schemas.openxmlformats.org/spreadsheetml/2006/main" id="35" name="CYB_Consecuencias_enlace" displayName="CYB_Consecuencias_enlace" ref="A4:R12" headerRowCount="1" totalsRowCount="0" totalsRowShown="0">
  <x:autoFilter ref="A4:R12"/>
  <x:tableColumns count="18">
    <x:tableColumn id="1" name="ID"/>
    <x:tableColumn id="2" name="Operación"/>
    <x:tableColumn id="3" name="Conocimiento A"/>
    <x:tableColumn id="4" name="Conocimiento B"/>
    <x:tableColumn id="5" name="Conocimiento C"/>
    <x:tableColumn id="6" name="Escenario hipotético"/>
    <x:tableColumn id="7" name="Enlace necesario"/>
    <x:tableColumn id="8" name="Consejo defectuoso si se omite"/>
    <x:tableColumn id="9" name="Consecuencia potencial"/>
    <x:tableColumn id="10" name="Consejo que debe poder fundamentarse"/>
    <x:tableColumn id="11" name="Fuente principal"/>
    <x:tableColumn id="12" name="Localizador"/>
    <x:tableColumn id="13" name="Límite de la evidencia"/>
    <x:tableColumn id="14" name="Necesidad de ruta / explicación"/>
    <x:tableColumn id="15" name="Estado probatorio"/>
    <x:tableColumn id="16" name="Operación inválida"/>
    <x:tableColumn id="17" name="Conocimiento inválido"/>
    <x:tableColumn id="18" name="Campo esencial ausente"/>
  </x:tableColumns>
  <x:tableStyleInfo name="TableStyleMedium2" showFirstColumn="0" showLastColumn="0" showRowStripes="1" showColumnStripes="0"/>
</x:table>
</file>

<file path=xl/tables/table36.xml><?xml version="1.0" encoding="utf-8"?>
<x:table xmlns:x="http://schemas.openxmlformats.org/spreadsheetml/2006/main" id="36" name="CYB_Consejo_y_frame" displayName="CYB_Consejo_y_frame" ref="A4:F16" headerRowCount="1" totalsRowCount="0" totalsRowShown="0">
  <x:autoFilter ref="A4:F16"/>
  <x:tableColumns count="6">
    <x:tableColumn id="1" name="ID"/>
    <x:tableColumn id="2" name="Objeto"/>
    <x:tableColumn id="3" name="Obligación"/>
    <x:tableColumn id="4" name="Omisión que debe impedirse"/>
    <x:tableColumn id="5" name="Fuente / localizador"/>
    <x:tableColumn id="6" name="Estatuto"/>
  </x:tableColumns>
  <x:tableStyleInfo name="TableStyleMedium2" showFirstColumn="0" showLastColumn="0" showRowStripes="1" showColumnStripes="0"/>
</x:table>
</file>

<file path=xl/tables/table37.xml><?xml version="1.0" encoding="utf-8"?>
<x:table xmlns:x="http://schemas.openxmlformats.org/spreadsheetml/2006/main" id="37" name="CYB_Seleccion_y_lagunas" displayName="CYB_Seleccion_y_lagunas" ref="A4:F16" headerRowCount="1" totalsRowCount="0" totalsRowShown="0">
  <x:autoFilter ref="A4:F16"/>
  <x:tableColumns count="6">
    <x:tableColumn id="1" name="ID"/>
    <x:tableColumn id="2" name="Cuestión"/>
    <x:tableColumn id="3" name="Decisión fundada"/>
    <x:tableColumn id="4" name="Límite que se conserva"/>
    <x:tableColumn id="5" name="Estado"/>
    <x:tableColumn id="6" name="Evidencia"/>
  </x:tableColumns>
  <x:tableStyleInfo name="TableStyleMedium2" showFirstColumn="0" showLastColumn="0" showRowStripes="1" showColumnStripes="0"/>
</x:table>
</file>

<file path=xl/tables/table38.xml><?xml version="1.0" encoding="utf-8"?>
<x:table xmlns:x="http://schemas.openxmlformats.org/spreadsheetml/2006/main" id="38" name="CYB_Operacion_CYB_001" displayName="CYB_Operacion_CYB_001" ref="A4:C18" headerRowCount="1" totalsRowCount="0" totalsRowShown="0">
  <x:autoFilter ref="A4:C18"/>
  <x:tableColumns count="3">
    <x:tableColumn id="1" name="Componente"/>
    <x:tableColumn id="2" name="Contrato del recorte"/>
    <x:tableColumn id="3" name="Frontera / fundamento"/>
  </x:tableColumns>
  <x:tableStyleInfo name="TableStyleMedium2" showFirstColumn="0" showLastColumn="0" showRowStripes="1" showColumnStripes="0"/>
</x:table>
</file>

<file path=xl/tables/table39.xml><?xml version="1.0" encoding="utf-8"?>
<x:table xmlns:x="http://schemas.openxmlformats.org/spreadsheetml/2006/main" id="39" name="CYB_Q0_y_terminacion" displayName="CYB_Q0_y_terminacion" ref="A4:J13" headerRowCount="1" totalsRowCount="0" totalsRowShown="0">
  <x:autoFilter ref="A4:J13"/>
  <x:tableColumns count="10">
    <x:tableColumn id="1" name="Raíz"/>
    <x:tableColumn id="2" name="Familia de pregunta"/>
    <x:tableColumn id="3" name="Pregunta"/>
    <x:tableColumn id="4" name="Distinciones declaradas antes de G5"/>
    <x:tableColumn id="5" name="D declaradas"/>
    <x:tableColumn id="6" name="D dictaminadas"/>
    <x:tableColumn id="7" name="D pendientes"/>
    <x:tableColumn id="8" name="Estado"/>
    <x:tableColumn id="9" name="Fuente"/>
    <x:tableColumn id="10" name="Consecuencia del pendiente"/>
  </x:tableColumns>
  <x:tableStyleInfo name="TableStyleMedium2" showFirstColumn="0" showLastColumn="0" showRowStripes="1" showColumnStripes="0"/>
</x:table>
</file>

<file path=xl/tables/table40.xml><?xml version="1.0" encoding="utf-8"?>
<x:table xmlns:x="http://schemas.openxmlformats.org/spreadsheetml/2006/main" id="40" name="CYB_Primer_parametro" displayName="CYB_Primer_parametro" ref="A4:C32" headerRowCount="1" totalsRowCount="0" totalsRowShown="0">
  <x:autoFilter ref="A4:C32"/>
  <x:tableColumns count="3">
    <x:tableColumn id="1" name="Elemento"/>
    <x:tableColumn id="2" name="Contrato"/>
    <x:tableColumn id="3" name="Justificación / límite"/>
  </x:tableColumns>
  <x:tableStyleInfo name="TableStyleMedium2" showFirstColumn="0" showLastColumn="0" showRowStripes="1" showColumnStripes="0"/>
</x:table>
</file>

<file path=xl/tables/table41.xml><?xml version="1.0" encoding="utf-8"?>
<x:table xmlns:x="http://schemas.openxmlformats.org/spreadsheetml/2006/main" id="41" name="CYB_Consecuencias_G4" displayName="CYB_Consecuencias_G4" ref="A4:H8" headerRowCount="1" totalsRowCount="0" totalsRowShown="0">
  <x:autoFilter ref="A4:H8"/>
  <x:tableColumns count="8">
    <x:tableColumn id="1" name="ID"/>
    <x:tableColumn id="2" name="Clase"/>
    <x:tableColumn id="3" name="Conocimiento que debe enlazarse"/>
    <x:tableColumn id="4" name="Error u omisión"/>
    <x:tableColumn id="5" name="Consejo afectado"/>
    <x:tableColumn id="6" name="Consecuencia"/>
    <x:tableColumn id="7" name="Condición / límite causal"/>
    <x:tableColumn id="8" name="Fuentes previas"/>
  </x:tableColumns>
  <x:tableStyleInfo name="TableStyleMedium2" showFirstColumn="0" showLastColumn="0" showRowStripes="1" showColumnStripes="0"/>
</x:table>
</file>

<file path=xl/tables/table42.xml><?xml version="1.0" encoding="utf-8"?>
<x:table xmlns:x="http://schemas.openxmlformats.org/spreadsheetml/2006/main" id="42" name="CYB_Testigos_G5" displayName="CYB_Testigos_G5" ref="A4:R32" headerRowCount="1" totalsRowCount="0" totalsRowShown="0">
  <x:autoFilter ref="A4:R32"/>
  <x:tableColumns count="18">
    <x:tableColumn id="1" name="ID"/>
    <x:tableColumn id="2" name="Ataque / familia"/>
    <x:tableColumn id="3" name="Perfil"/>
    <x:tableColumn id="4" name="Identidad"/>
    <x:tableColumn id="5" name="Procedencia"/>
    <x:tableColumn id="6" name="Captura"/>
    <x:tableColumn id="7" name="Ámbito"/>
    <x:tableColumn id="8" name="Resultado instalación"/>
    <x:tableColumn id="9" name="Observación"/>
    <x:tableColumn id="10" name="Lexema exacto"/>
    <x:tableColumn id="11" name="Clase esperada"/>
    <x:tableColumn id="12" name="Tri esperado"/>
    <x:tableColumn id="13" name="Diagnóstico esperado"/>
    <x:tableColumn id="14" name="Clase calculada"/>
    <x:tableColumn id="15" name="Tri calculado"/>
    <x:tableColumn id="16" name="Diagnóstico calculado"/>
    <x:tableColumn id="17" name="Concordancia"/>
    <x:tableColumn id="18" name="Interpretación"/>
  </x:tableColumns>
  <x:tableStyleInfo name="TableStyleMedium2" showFirstColumn="0" showLastColumn="0" showRowStripes="1" showColumnStripes="0"/>
</x:table>
</file>

<file path=xl/tables/table43.xml><?xml version="1.0" encoding="utf-8"?>
<x:table xmlns:x="http://schemas.openxmlformats.org/spreadsheetml/2006/main" id="43" name="CYB_Adversarial_G5" displayName="CYB_Adversarial_G5" ref="A4:E24" headerRowCount="1" totalsRowCount="0" totalsRowShown="0">
  <x:autoFilter ref="A4:E24"/>
  <x:tableColumns count="5">
    <x:tableColumn id="1" name="ID"/>
    <x:tableColumn id="2" name="Ataque"/>
    <x:tableColumn id="3" name="Resolución"/>
    <x:tableColumn id="4" name="Dictamen"/>
    <x:tableColumn id="5" name="Evidencia"/>
  </x:tableColumns>
  <x:tableStyleInfo name="TableStyleMedium2" showFirstColumn="0" showLastColumn="0" showRowStripes="1" showColumnStripes="0"/>
</x:table>
</file>

<file path=xl/tables/table44.xml><?xml version="1.0" encoding="utf-8"?>
<x:table xmlns:x="http://schemas.openxmlformats.org/spreadsheetml/2006/main" id="44" name="CYB_Fuentes_atomicas" displayName="CYB_Fuentes_atomicas" ref="A4:I15" headerRowCount="1" totalsRowCount="0" totalsRowShown="0">
  <x:autoFilter ref="A4:I15"/>
  <x:tableColumns count="9">
    <x:tableColumn id="1" name="ID"/>
    <x:tableColumn id="2" name="Documento y edición"/>
    <x:tableColumn id="3" name="URL"/>
    <x:tableColumn id="4" name="Localizador utilizado"/>
    <x:tableColumn id="5" name="Función de la fuente"/>
    <x:tableColumn id="6" name="Captura"/>
    <x:tableColumn id="7" name="Bytes exactos"/>
    <x:tableColumn id="8" name="SHA-256"/>
    <x:tableColumn id="9" name="Adopción / límite"/>
  </x:tableColumns>
  <x:tableStyleInfo name="TableStyleMedium2" showFirstColumn="0" showLastColumn="0" showRowStripes="1" showColumnStripes="0"/>
</x:table>
</file>

<file path=xl/tables/table45.xml><?xml version="1.0" encoding="utf-8"?>
<x:table xmlns:x="http://schemas.openxmlformats.org/spreadsheetml/2006/main" id="45" name="CYB_Control_G5" displayName="CYB_Control_G5" ref="A4:E16" headerRowCount="1" totalsRowCount="0" totalsRowShown="0">
  <x:autoFilter ref="A4:E16"/>
  <x:tableColumns count="5">
    <x:tableColumn id="1" name="ID"/>
    <x:tableColumn id="2" name="Control"/>
    <x:tableColumn id="3" name="Observado"/>
    <x:tableColumn id="4" name="Esperado"/>
    <x:tableColumn id="5" name="Límite"/>
  </x:tableColumns>
  <x:tableStyleInfo name="TableStyleMedium2" showFirstColumn="0" showLastColumn="0" showRowStripes="1" showColumnStripes="0"/>
</x:table>
</file>

<file path=xl/tables/table46.xml><?xml version="1.0" encoding="utf-8"?>
<x:table xmlns:x="http://schemas.openxmlformats.org/spreadsheetml/2006/main" id="46" name="CYB_Apertura_y_adopcion" displayName="CYB_Apertura_y_adopcion" ref="A4:C14" headerRowCount="1" totalsRowCount="0" totalsRowShown="0">
  <x:autoFilter ref="A4:C14"/>
  <x:tableColumns count="3">
    <x:tableColumn id="1" name="Elemento"/>
    <x:tableColumn id="2" name="Estado actual"/>
    <x:tableColumn id="3" name="Fundamento"/>
  </x:tableColumns>
  <x:tableStyleInfo name="TableStyleMedium2" showFirstColumn="0" showLastColumn="0" showRowStripes="1" showColumnStripes="0"/>
</x:table>
</file>

<file path=xl/tables/table47.xml><?xml version="1.0" encoding="utf-8"?>
<x:table xmlns:x="http://schemas.openxmlformats.org/spreadsheetml/2006/main" id="47" name="CYB_Registro_diez" displayName="CYB_Registro_diez" ref="A4:L14" headerRowCount="1" totalsRowCount="0" totalsRowShown="0">
  <x:autoFilter ref="A4:L14"/>
  <x:tableColumns count="12">
    <x:tableColumn id="1" name="Alias"/>
    <x:tableColumn id="2" name="Identidad canónica"/>
    <x:tableColumn id="3" name="Versión"/>
    <x:tableColumn id="4" name="Distinción Q0"/>
    <x:tableColumn id="5" name="Nombre"/>
    <x:tableColumn id="6" name="Proposición única"/>
    <x:tableColumn id="7" name="Perfil"/>
    <x:tableColumn id="8" name="Dictamen"/>
    <x:tableColumn id="9" name="Adopción nominal"/>
    <x:tableColumn id="10" name="Expediente"/>
    <x:tableColumn id="11" name="Fuentes"/>
    <x:tableColumn id="12" name="Propiedad"/>
  </x:tableColumns>
  <x:tableStyleInfo name="TableStyleMedium2" showFirstColumn="0" showLastColumn="0" showRowStripes="1" showColumnStripes="0"/>
</x:table>
</file>

<file path=xl/tables/table48.xml><?xml version="1.0" encoding="utf-8"?>
<x:table xmlns:x="http://schemas.openxmlformats.org/spreadsheetml/2006/main" id="48" name="CYB_Contratos_atomicos" displayName="CYB_Contratos_atomicos" ref="A4:D103" headerRowCount="1" totalsRowCount="0" totalsRowShown="0">
  <x:autoFilter ref="A4:D103"/>
  <x:tableColumns count="4">
    <x:tableColumn id="1" name="Parámetro"/>
    <x:tableColumn id="2" name="Elemento"/>
    <x:tableColumn id="3" name="Contrato"/>
    <x:tableColumn id="4" name="Fuente"/>
  </x:tableColumns>
  <x:tableStyleInfo name="TableStyleMedium2" showFirstColumn="0" showLastColumn="0" showRowStripes="1" showColumnStripes="0"/>
</x:table>
</file>

<file path=xl/tables/table49.xml><?xml version="1.0" encoding="utf-8"?>
<x:table xmlns:x="http://schemas.openxmlformats.org/spreadsheetml/2006/main" id="49" name="CYB_Consecuencias_lote" displayName="CYB_Consecuencias_lote" ref="A4:G22" headerRowCount="1" totalsRowCount="0" totalsRowShown="0">
  <x:autoFilter ref="A4:G22"/>
  <x:tableColumns count="7">
    <x:tableColumn id="1" name="Consecuencia"/>
    <x:tableColumn id="2" name="Parámetro"/>
    <x:tableColumn id="3" name="Conocimiento que debe enlazarse"/>
    <x:tableColumn id="4" name="Error o exceso"/>
    <x:tableColumn id="5" name="Función alterada"/>
    <x:tableColumn id="6" name="Condición y límite"/>
    <x:tableColumn id="7" name="Fuente"/>
  </x:tableColumns>
  <x:tableStyleInfo name="TableStyleMedium2" showFirstColumn="0" showLastColumn="0" showRowStripes="1" showColumnStripes="0"/>
</x:table>
</file>

<file path=xl/tables/table50.xml><?xml version="1.0" encoding="utf-8"?>
<x:table xmlns:x="http://schemas.openxmlformats.org/spreadsheetml/2006/main" id="50" name="CYB_Atomicidad_y_ablacion" displayName="CYB_Atomicidad_y_ablacion" ref="A4:D94" headerRowCount="1" totalsRowCount="0" totalsRowShown="0">
  <x:autoFilter ref="A4:D94"/>
  <x:tableColumns count="4">
    <x:tableColumn id="1" name="Parámetro"/>
    <x:tableColumn id="2" name="Criterio"/>
    <x:tableColumn id="3" name="Prueba / razón delimitada"/>
    <x:tableColumn id="4" name="Resultado"/>
  </x:tableColumns>
  <x:tableStyleInfo name="TableStyleMedium2" showFirstColumn="0" showLastColumn="0" showRowStripes="1" showColumnStripes="0"/>
</x:table>
</file>

<file path=xl/tables/table51.xml><?xml version="1.0" encoding="utf-8"?>
<x:table xmlns:x="http://schemas.openxmlformats.org/spreadsheetml/2006/main" id="51" name="CYB_Testigos_lote" displayName="CYB_Testigos_lote" ref="A4:AB131" headerRowCount="1" totalsRowCount="0" totalsRowShown="0">
  <x:autoFilter ref="A4:AB131"/>
  <x:tableColumns count="28">
    <x:tableColumn id="1" name="Caso"/>
    <x:tableColumn id="2" name="Parámetro"/>
    <x:tableColumn id="3" name="Perfil"/>
    <x:tableColumn id="4" name="Identidad"/>
    <x:tableColumn id="5" name="Captura"/>
    <x:tableColumn id="6" name="Soporte observado"/>
    <x:tableColumn id="7" name="Presencia"/>
    <x:tableColumn id="8" name="Lexema / identidad 1"/>
    <x:tableColumn id="9" name="Lexema / identidad 2"/>
    <x:tableColumn id="10" name="Cobertura"/>
    <x:tableColumn id="11" name="Contexto"/>
    <x:tableColumn id="12" name="Clase esperada"/>
    <x:tableColumn id="13" name="Tri esperado"/>
    <x:tableColumn id="14" name="Diagnóstico esperado"/>
    <x:tableColumn id="15" name="Clase calculada"/>
    <x:tableColumn id="16" name="Tri calculado"/>
    <x:tableColumn id="17" name="Diagnóstico calculado"/>
    <x:tableColumn id="18" name="Contraste"/>
    <x:tableColumn id="19" name="Razón profesional"/>
    <x:tableColumn id="20" name="Perfil esperado por contrato"/>
    <x:tableColumn id="21" name="Soporte exigido"/>
    <x:tableColumn id="22" name="Contexto exigido"/>
    <x:tableColumn id="23" name="Modo contractual"/>
    <x:tableColumn id="24" name="Positivo contractual"/>
    <x:tableColumn id="25" name="Auxiliar contractual"/>
    <x:tableColumn id="26" name="Negativo contractual"/>
    <x:tableColumn id="27" name="Diagnóstico positivo"/>
    <x:tableColumn id="28" name="Diagnóstico negativo"/>
  </x:tableColumns>
  <x:tableStyleInfo name="TableStyleMedium2" showFirstColumn="0" showLastColumn="0" showRowStripes="1" showColumnStripes="0"/>
</x:table>
</file>

<file path=xl/tables/table52.xml><?xml version="1.0" encoding="utf-8"?>
<x:table xmlns:x="http://schemas.openxmlformats.org/spreadsheetml/2006/main" id="52" name="CYB_Adversarial_lote" displayName="CYB_Adversarial_lote" ref="A4:E24" headerRowCount="1" totalsRowCount="0" totalsRowShown="0">
  <x:autoFilter ref="A4:E24"/>
  <x:tableColumns count="5">
    <x:tableColumn id="1" name="Ataque"/>
    <x:tableColumn id="2" name="Objeto"/>
    <x:tableColumn id="3" name="Refutación buscada"/>
    <x:tableColumn id="4" name="Resolución"/>
    <x:tableColumn id="5" name="Resultado material"/>
  </x:tableColumns>
  <x:tableStyleInfo name="TableStyleMedium2" showFirstColumn="0" showLastColumn="0" showRowStripes="1" showColumnStripes="0"/>
</x:table>
</file>

<file path=xl/tables/table53.xml><?xml version="1.0" encoding="utf-8"?>
<x:table xmlns:x="http://schemas.openxmlformats.org/spreadsheetml/2006/main" id="53" name="CYB_Cobertura_Q0_actual" displayName="CYB_Cobertura_Q0_actual" ref="A4:F35" headerRowCount="1" totalsRowCount="0" totalsRowShown="0">
  <x:autoFilter ref="A4:F35"/>
  <x:tableColumns count="6">
    <x:tableColumn id="1" name="Distinción"/>
    <x:tableColumn id="2" name="Objeto"/>
    <x:tableColumn id="3" name="Parámetro enlazado"/>
    <x:tableColumn id="4" name="Estado de cobertura"/>
    <x:tableColumn id="5" name="Laguna / alcance"/>
    <x:tableColumn id="6" name="Regla"/>
  </x:tableColumns>
  <x:tableStyleInfo name="TableStyleMedium2" showFirstColumn="0" showLastColumn="0" showRowStripes="1" showColumnStripes="0"/>
</x:table>
</file>

<file path=xl/tables/table54.xml><?xml version="1.0" encoding="utf-8"?>
<x:table xmlns:x="http://schemas.openxmlformats.org/spreadsheetml/2006/main" id="54" name="CYB_Fuentes_lote" displayName="CYB_Fuentes_lote" ref="A4:J11" headerRowCount="1" totalsRowCount="0" totalsRowShown="0">
  <x:autoFilter ref="A4:J11"/>
  <x:tableColumns count="10">
    <x:tableColumn id="1" name="ID"/>
    <x:tableColumn id="2" name="Título"/>
    <x:tableColumn id="3" name="URL"/>
    <x:tableColumn id="4" name="Localizador"/>
    <x:tableColumn id="5" name="Alcance leído"/>
    <x:tableColumn id="6" name="Fecha visible"/>
    <x:tableColumn id="7" name="ms.date"/>
    <x:tableColumn id="8" name="Bytes exactos"/>
    <x:tableColumn id="9" name="SHA-256"/>
    <x:tableColumn id="10" name="Estatuto"/>
  </x:tableColumns>
  <x:tableStyleInfo name="TableStyleMedium2" showFirstColumn="0" showLastColumn="0" showRowStripes="1" showColumnStripes="0"/>
</x:table>
</file>

<file path=xl/tables/table55.xml><?xml version="1.0" encoding="utf-8"?>
<x:table xmlns:x="http://schemas.openxmlformats.org/spreadsheetml/2006/main" id="55" name="CYB_Control_lote" displayName="CYB_Control_lote" ref="A4:E18" headerRowCount="1" totalsRowCount="0" totalsRowShown="0">
  <x:autoFilter ref="A4:E18"/>
  <x:tableColumns count="5">
    <x:tableColumn id="1" name="Control"/>
    <x:tableColumn id="2" name="Magnitud"/>
    <x:tableColumn id="3" name="Observado"/>
    <x:tableColumn id="4" name="Esperado"/>
    <x:tableColumn id="5" name="Alcance"/>
  </x:tableColumns>
  <x:tableStyleInfo name="TableStyleMedium2" showFirstColumn="0" showLastColumn="0" showRowStripes="1" showColumnStripes="0"/>
</x:table>
</file>

<file path=xl/tables/table56.xml><?xml version="1.0" encoding="utf-8"?>
<x:table xmlns:x="http://schemas.openxmlformats.org/spreadsheetml/2006/main" id="56" name="CYB_Codificacion_ensayo" displayName="CYB_Codificacion_ensayo" ref="A4:J13" headerRowCount="1" totalsRowCount="0" totalsRowShown="0">
  <x:autoFilter ref="A4:J13"/>
  <x:tableColumns count="10">
    <x:tableColumn id="1" name="Parámetro"/>
    <x:tableColumn id="2" name="Perfil"/>
    <x:tableColumn id="3" name="Soporte requerido"/>
    <x:tableColumn id="4" name="Contexto requerido"/>
    <x:tableColumn id="5" name="Modo"/>
    <x:tableColumn id="6" name="Positivo 1"/>
    <x:tableColumn id="7" name="Auxiliar"/>
    <x:tableColumn id="8" name="Negativo"/>
    <x:tableColumn id="9" name="Diagnóstico 1"/>
    <x:tableColumn id="10" name="Diagnóstico 0"/>
  </x:tableColumns>
  <x:tableStyleInfo name="TableStyleMedium2" showFirstColumn="0" showLastColumn="0" showRowStripes="1" showColumnStripes="0"/>
</x:table>
</file>

<file path=xl/tables/table57.xml><?xml version="1.0" encoding="utf-8"?>
<x:table xmlns:x="http://schemas.openxmlformats.org/spreadsheetml/2006/main" id="57" name="CYB06_56" displayName="CYB06_56" ref="A4:D15" headerRowCount="1" totalsRowCount="0" totalsRowShown="0">
  <x:autoFilter ref="A4:D15"/>
  <x:tableColumns count="4">
    <x:tableColumn id="1" name="Cuestión"/>
    <x:tableColumn id="2" name="Resultado"/>
    <x:tableColumn id="3" name="Fundamento"/>
    <x:tableColumn id="4" name="Límite o siguiente responsable"/>
  </x:tableColumns>
  <x:tableStyleInfo name="TableStyleMedium2" showFirstColumn="0" showLastColumn="0" showRowStripes="1" showColumnStripes="0"/>
</x:table>
</file>

<file path=xl/tables/table58.xml><?xml version="1.0" encoding="utf-8"?>
<x:table xmlns:x="http://schemas.openxmlformats.org/spreadsheetml/2006/main" id="58" name="CYB06_57" displayName="CYB06_57" ref="A4:H19" headerRowCount="1" totalsRowCount="0" totalsRowShown="0">
  <x:autoFilter ref="A4:H19"/>
  <x:tableColumns count="8">
    <x:tableColumn id="1" name="Alias"/>
    <x:tableColumn id="2" name="Identidad canónica"/>
    <x:tableColumn id="3" name="Nombre"/>
    <x:tableColumn id="4" name="Q0"/>
    <x:tableColumn id="5" name="Proposición única"/>
    <x:tableColumn id="6" name="Estatuto vigente"/>
    <x:tableColumn id="7" name="Perfil / contrato"/>
    <x:tableColumn id="8" name="Límite"/>
  </x:tableColumns>
  <x:tableStyleInfo name="TableStyleMedium2" showFirstColumn="0" showLastColumn="0" showRowStripes="1" showColumnStripes="0"/>
</x:table>
</file>

<file path=xl/tables/table59.xml><?xml version="1.0" encoding="utf-8"?>
<x:table xmlns:x="http://schemas.openxmlformats.org/spreadsheetml/2006/main" id="59" name="CYB06_58" displayName="CYB06_58" ref="A4:D59" headerRowCount="1" totalsRowCount="0" totalsRowShown="0">
  <x:autoFilter ref="A4:D59"/>
  <x:tableColumns count="4">
    <x:tableColumn id="1" name="Alias"/>
    <x:tableColumn id="2" name="Identidad"/>
    <x:tableColumn id="3" name="Componente contractual"/>
    <x:tableColumn id="4" name="Contenido"/>
  </x:tableColumns>
  <x:tableStyleInfo name="TableStyleMedium2" showFirstColumn="0" showLastColumn="0" showRowStripes="1" showColumnStripes="0"/>
</x:table>
</file>

<file path=xl/tables/table60.xml><?xml version="1.0" encoding="utf-8"?>
<x:table xmlns:x="http://schemas.openxmlformats.org/spreadsheetml/2006/main" id="60" name="CYB06_59" displayName="CYB06_59" ref="A4:F35" headerRowCount="1" totalsRowCount="0" totalsRowShown="0">
  <x:autoFilter ref="A4:F35"/>
  <x:tableColumns count="6">
    <x:tableColumn id="1" name="Distinción"/>
    <x:tableColumn id="2" name="Referencias"/>
    <x:tableColumn id="3" name="Estatuto"/>
    <x:tableColumn id="4" name="Resolución documental"/>
    <x:tableColumn id="5" name="Terminación"/>
    <x:tableColumn id="6" name="Dependencia que bloquea capacidad"/>
  </x:tableColumns>
  <x:tableStyleInfo name="TableStyleMedium2" showFirstColumn="0" showLastColumn="0" showRowStripes="1" showColumnStripes="0"/>
</x:table>
</file>

<file path=xl/tables/table61.xml><?xml version="1.0" encoding="utf-8"?>
<x:table xmlns:x="http://schemas.openxmlformats.org/spreadsheetml/2006/main" id="61" name="CYB06_60" displayName="CYB06_60" ref="A4:D88" headerRowCount="1" totalsRowCount="0" totalsRowShown="0">
  <x:autoFilter ref="A4:D88"/>
  <x:tableColumns count="4">
    <x:tableColumn id="1" name="Control"/>
    <x:tableColumn id="2" name="Nombre"/>
    <x:tableColumn id="3" name="Apartado"/>
    <x:tableColumn id="4" name="Contrato y consecuencia"/>
  </x:tableColumns>
  <x:tableStyleInfo name="TableStyleMedium2" showFirstColumn="0" showLastColumn="0" showRowStripes="1" showColumnStripes="0"/>
</x:table>
</file>

<file path=xl/tables/table62.xml><?xml version="1.0" encoding="utf-8"?>
<x:table xmlns:x="http://schemas.openxmlformats.org/spreadsheetml/2006/main" id="62" name="CYB06_61" displayName="CYB06_61" ref="A4:F20" headerRowCount="1" totalsRowCount="0" totalsRowShown="0">
  <x:autoFilter ref="A4:F20"/>
  <x:tableColumns count="6">
    <x:tableColumn id="1" name="Relación"/>
    <x:tableColumn id="2" name="Antecedente"/>
    <x:tableColumn id="3" name="Consecuente"/>
    <x:tableColumn id="4" name="Relación / condición"/>
    <x:tableColumn id="5" name="Consecuencia de omisión"/>
    <x:tableColumn id="6" name="Q0"/>
  </x:tableColumns>
  <x:tableStyleInfo name="TableStyleMedium2" showFirstColumn="0" showLastColumn="0" showRowStripes="1" showColumnStripes="0"/>
</x:table>
</file>

<file path=xl/tables/table63.xml><?xml version="1.0" encoding="utf-8"?>
<x:table xmlns:x="http://schemas.openxmlformats.org/spreadsheetml/2006/main" id="63" name="CYB06_62" displayName="CYB06_62" ref="A4:S69" headerRowCount="1" totalsRowCount="0" totalsRowShown="0">
  <x:autoFilter ref="A4:S69"/>
  <x:tableColumns count="19">
    <x:tableColumn id="1" name="Caso"/>
    <x:tableColumn id="2" name="Parámetro"/>
    <x:tableColumn id="3" name="Ataque"/>
    <x:tableColumn id="4" name="Recepción"/>
    <x:tableColumn id="5" name="Perfil"/>
    <x:tableColumn id="6" name="Pertinencia"/>
    <x:tableColumn id="7" name="Observación"/>
    <x:tableColumn id="8" name="Conflicto"/>
    <x:tableColumn id="9" name="Tipo"/>
    <x:tableColumn id="10" name="Tipo objetivo"/>
    <x:tableColumn id="11" name="Valor"/>
    <x:tableColumn id="12" name="Objetivo"/>
    <x:tableColumn id="13" name="Ancla exacta"/>
    <x:tableColumn id="14" name="Corte exacto"/>
    <x:tableColumn id="15" name="Cobertura"/>
    <x:tableColumn id="16" name="Esperado previo"/>
    <x:tableColumn id="17" name="Resultado ejecutado"/>
    <x:tableColumn id="18" name="Concordancia Excel"/>
    <x:tableColumn id="19" name="Entrada íntegra"/>
  </x:tableColumns>
  <x:tableStyleInfo name="TableStyleMedium2" showFirstColumn="0" showLastColumn="0" showRowStripes="1" showColumnStripes="0"/>
</x:table>
</file>

<file path=xl/tables/table64.xml><?xml version="1.0" encoding="utf-8"?>
<x:table xmlns:x="http://schemas.openxmlformats.org/spreadsheetml/2006/main" id="64" name="CYB06_63" displayName="CYB06_63" ref="A4:F59" headerRowCount="1" totalsRowCount="0" totalsRowShown="0">
  <x:autoFilter ref="A4:F59"/>
  <x:tableColumns count="6">
    <x:tableColumn id="1" name="Caso"/>
    <x:tableColumn id="2" name="Ataque"/>
    <x:tableColumn id="3" name="Esperado previo"/>
    <x:tableColumn id="4" name="Resultado ejecutado"/>
    <x:tableColumn id="5" name="Concordancia Excel"/>
    <x:tableColumn id="6" name="Alcance"/>
  </x:tableColumns>
  <x:tableStyleInfo name="TableStyleMedium2" showFirstColumn="0" showLastColumn="0" showRowStripes="1" showColumnStripes="0"/>
</x:table>
</file>

<file path=xl/tables/table65.xml><?xml version="1.0" encoding="utf-8"?>
<x:table xmlns:x="http://schemas.openxmlformats.org/spreadsheetml/2006/main" id="65" name="CYB06_64" displayName="CYB06_64" ref="A4:D31" headerRowCount="1" totalsRowCount="0" totalsRowShown="0">
  <x:autoFilter ref="A4:D31"/>
  <x:tableColumns count="4">
    <x:tableColumn id="1" name="ID"/>
    <x:tableColumn id="2" name="Ataque / deuda"/>
    <x:tableColumn id="3" name="Resultado / responsable"/>
    <x:tableColumn id="4" name="Resolución / capacidad bloqueada"/>
  </x:tableColumns>
  <x:tableStyleInfo name="TableStyleMedium2" showFirstColumn="0" showLastColumn="0" showRowStripes="1" showColumnStripes="0"/>
</x:table>
</file>

<file path=xl/tables/table66.xml><?xml version="1.0" encoding="utf-8"?>
<x:table xmlns:x="http://schemas.openxmlformats.org/spreadsheetml/2006/main" id="66" name="CYB06_65" displayName="CYB06_65" ref="A4:H9" headerRowCount="1" totalsRowCount="0" totalsRowShown="0">
  <x:autoFilter ref="A4:H9"/>
  <x:tableColumns count="8">
    <x:tableColumn id="1" name="ID"/>
    <x:tableColumn id="2" name="Fuente"/>
    <x:tableColumn id="3" name="URL"/>
    <x:tableColumn id="4" name="Localizador aplicado"/>
    <x:tableColumn id="5" name="Edición / metadato"/>
    <x:tableColumn id="6" name="SHA-256 original"/>
    <x:tableColumn id="7" name="Bytes"/>
    <x:tableColumn id="8" name="Captura / corte"/>
  </x:tableColumns>
  <x:tableStyleInfo name="TableStyleMedium2" showFirstColumn="0" showLastColumn="0" showRowStripes="1" showColumnStripes="0"/>
</x:table>
</file>

<file path=xl/tables/table67.xml><?xml version="1.0" encoding="utf-8"?>
<x:table xmlns:x="http://schemas.openxmlformats.org/spreadsheetml/2006/main" id="67" name="CYB07_66" displayName="CYB07_66" ref="A4:C19" headerRowCount="1" totalsRowCount="0" totalsRowShown="0">
  <x:autoFilter ref="A4:C19"/>
  <x:tableColumns count="3">
    <x:tableColumn id="1" name="Cuestión"/>
    <x:tableColumn id="2" name="Resultado"/>
    <x:tableColumn id="3" name="Fundamento"/>
  </x:tableColumns>
  <x:tableStyleInfo name="TableStyleMedium2" showFirstColumn="0" showLastColumn="0" showRowStripes="1" showColumnStripes="0"/>
</x:table>
</file>

<file path=xl/tables/table68.xml><?xml version="1.0" encoding="utf-8"?>
<x:table xmlns:x="http://schemas.openxmlformats.org/spreadsheetml/2006/main" id="68" name="CYB07_67" displayName="CYB07_67" ref="A4:K28" headerRowCount="1" totalsRowCount="0" totalsRowShown="0">
  <x:autoFilter ref="A4:K28"/>
  <x:tableColumns count="11">
    <x:tableColumn id="1" name="Parámetro"/>
    <x:tableColumn id="2" name="Identidad estable"/>
    <x:tableColumn id="3" name="Versión"/>
    <x:tableColumn id="4" name="Denominación"/>
    <x:tableColumn id="5" name="Sujeto"/>
    <x:tableColumn id="6" name="Proposición"/>
    <x:tableColumn id="7" name="Condición de 1"/>
    <x:tableColumn id="8" name="Condición de 0"/>
    <x:tableColumn id="9" name="Condición de U"/>
    <x:tableColumn id="10" name="Observación y límites"/>
    <x:tableColumn id="11" name="Fuentes"/>
  </x:tableColumns>
  <x:tableStyleInfo name="TableStyleMedium2" showFirstColumn="0" showLastColumn="0" showRowStripes="1" showColumnStripes="0"/>
</x:table>
</file>

<file path=xl/tables/table69.xml><?xml version="1.0" encoding="utf-8"?>
<x:table xmlns:x="http://schemas.openxmlformats.org/spreadsheetml/2006/main" id="69" name="CYB07_68" displayName="CYB07_68" ref="A4:I28" headerRowCount="1" totalsRowCount="0" totalsRowShown="0">
  <x:autoFilter ref="A4:I28"/>
  <x:tableColumns count="9">
    <x:tableColumn id="1" name="Parámetro"/>
    <x:tableColumn id="2" name="Conocimiento necesario"/>
    <x:tableColumn id="3" name="Relación"/>
    <x:tableColumn id="4" name="Consecuencia de omisión"/>
    <x:tableColumn id="5" name="Consecuencia del exceso"/>
    <x:tableColumn id="6" name="Variación independiente"/>
    <x:tableColumn id="7" name="Partición examinada"/>
    <x:tableColumn id="8" name="Comparación principal"/>
    <x:tableColumn id="9" name="Fuentes"/>
  </x:tableColumns>
  <x:tableStyleInfo name="TableStyleMedium2" showFirstColumn="0" showLastColumn="0" showRowStripes="1" showColumnStripes="0"/>
</x:table>
</file>

<file path=xl/tables/table70.xml><?xml version="1.0" encoding="utf-8"?>
<x:table xmlns:x="http://schemas.openxmlformats.org/spreadsheetml/2006/main" id="70" name="CYB07_69" displayName="CYB07_69" ref="A4:F113" headerRowCount="1" totalsRowCount="0" totalsRowShown="0">
  <x:autoFilter ref="A4:F113"/>
  <x:tableColumns count="6">
    <x:tableColumn id="1" name="Tipo"/>
    <x:tableColumn id="2" name="Identidad"/>
    <x:tableColumn id="3" name="Necesidad examinada"/>
    <x:tableColumn id="4" name="Representación o resolución"/>
    <x:tableColumn id="5" name="Justificación y contraejemplo"/>
    <x:tableColumn id="6" name="Fundamento"/>
  </x:tableColumns>
  <x:tableStyleInfo name="TableStyleMedium2" showFirstColumn="0" showLastColumn="0" showRowStripes="1" showColumnStripes="0"/>
</x:table>
</file>

<file path=xl/tables/table71.xml><?xml version="1.0" encoding="utf-8"?>
<x:table xmlns:x="http://schemas.openxmlformats.org/spreadsheetml/2006/main" id="71" name="CYB07_70" displayName="CYB07_70" ref="A4:L33" headerRowCount="1" totalsRowCount="0" totalsRowShown="0">
  <x:autoFilter ref="A4:L33"/>
  <x:tableColumns count="12">
    <x:tableColumn id="1" name="Operación"/>
    <x:tableColumn id="2" name="Familia profesional"/>
    <x:tableColumn id="3" name="Universos compacto"/>
    <x:tableColumn id="4" name="Universos central"/>
    <x:tableColumn id="5" name="Universos amplio"/>
    <x:tableColumn id="6" name="Adicionales compacto"/>
    <x:tableColumn id="7" name="Adicionales central"/>
    <x:tableColumn id="8" name="Adicionales amplio"/>
    <x:tableColumn id="9" name="Justificación de partición"/>
    <x:tableColumn id="10" name="Conocimiento de base"/>
    <x:tableColumn id="11" name="Consecuencia de omitirlo"/>
    <x:tableColumn id="12" name="Referencia educativa"/>
  </x:tableColumns>
  <x:tableStyleInfo name="TableStyleMedium2" showFirstColumn="0" showLastColumn="0" showRowStripes="1" showColumnStripes="0"/>
</x:table>
</file>

<file path=xl/tables/table72.xml><?xml version="1.0" encoding="utf-8"?>
<x:table xmlns:x="http://schemas.openxmlformats.org/spreadsheetml/2006/main" id="72" name="CYB07_71" displayName="CYB07_71" ref="A4:I82" headerRowCount="1" totalsRowCount="0" totalsRowShown="0">
  <x:autoFilter ref="A4:I82"/>
  <x:tableColumns count="9">
    <x:tableColumn id="1" name="Referencia"/>
    <x:tableColumn id="2" name="Autoría"/>
    <x:tableColumn id="3" name="Título"/>
    <x:tableColumn id="4" name="Fecha o edición"/>
    <x:tableColumn id="5" name="Documento original"/>
    <x:tableColumn id="6" name="Localizador"/>
    <x:tableColumn id="7" name="Aportación y límite"/>
    <x:tableColumn id="8" name="SHA-256 del original"/>
    <x:tableColumn id="9" name="Bytes"/>
  </x:tableColumns>
  <x:tableStyleInfo name="TableStyleMedium2" showFirstColumn="0" showLastColumn="0" showRowStripes="1" showColumnStripes="0"/>
</x:table>
</file>

<file path=xl/tables/table73.xml><?xml version="1.0" encoding="utf-8"?>
<x:table xmlns:x="http://schemas.openxmlformats.org/spreadsheetml/2006/main" id="73" name="CYB07_72" displayName="CYB07_72" ref="A4:F68" headerRowCount="1" totalsRowCount="0" totalsRowShown="0">
  <x:autoFilter ref="A4:F68"/>
  <x:tableColumns count="6">
    <x:tableColumn id="1" name="Caso"/>
    <x:tableColumn id="2" name="Parámetro"/>
    <x:tableColumn id="3" name="Supuesto contrastado"/>
    <x:tableColumn id="4" name="Esperado"/>
    <x:tableColumn id="5" name="Obtenido"/>
    <x:tableColumn id="6" name="Concordanci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847ccb6ede454a" /></Relationships>
</file>

<file path=xl/worksheets/_rels/sheet2.xml.rels>&#65279;<?xml version="1.0" encoding="utf-8"?><Relationships xmlns="http://schemas.openxmlformats.org/package/2006/relationships"><Relationship Type="http://schemas.openxmlformats.org/officeDocument/2006/relationships/table" Target="/xl/tables/table2.xml" Id="R24585f82f0f54618" /></Relationships>
</file>

<file path=xl/worksheets/_rels/sheet3.xml.rels>&#65279;<?xml version="1.0" encoding="utf-8"?><Relationships xmlns="http://schemas.openxmlformats.org/package/2006/relationships"><Relationship Type="http://schemas.openxmlformats.org/officeDocument/2006/relationships/table" Target="/xl/tables/table3.xml" Id="R6d6e02e55514463a" /></Relationships>
</file>

<file path=xl/worksheets/_rels/sheet4.xml.rels>&#65279;<?xml version="1.0" encoding="utf-8"?><Relationships xmlns="http://schemas.openxmlformats.org/package/2006/relationships"><Relationship Type="http://schemas.openxmlformats.org/officeDocument/2006/relationships/table" Target="/xl/tables/table4.xml" Id="R884bba55da664704" /></Relationships>
</file>

<file path=xl/worksheets/_rels/sheet5.xml.rels>&#65279;<?xml version="1.0" encoding="utf-8"?><Relationships xmlns="http://schemas.openxmlformats.org/package/2006/relationships"><Relationship Type="http://schemas.openxmlformats.org/officeDocument/2006/relationships/table" Target="/xl/tables/table5.xml" Id="R9731f9afa6b847b6" /></Relationships>
</file>

<file path=xl/worksheets/_rels/sheet6.xml.rels>&#65279;<?xml version="1.0" encoding="utf-8"?><Relationships xmlns="http://schemas.openxmlformats.org/package/2006/relationships"><Relationship Type="http://schemas.openxmlformats.org/officeDocument/2006/relationships/table" Target="/xl/tables/table6.xml" Id="R1b53f4ab9ff7409c" /></Relationships>
</file>

<file path=xl/worksheets/_rels/sheet7.xml.rels>&#65279;<?xml version="1.0" encoding="utf-8"?><Relationships xmlns="http://schemas.openxmlformats.org/package/2006/relationships"><Relationship Type="http://schemas.openxmlformats.org/officeDocument/2006/relationships/table" Target="/xl/tables/table7.xml" Id="R10920aa1416a4514" /></Relationships>
</file>

<file path=xl/worksheets/_rels/sheet8.xml.rels>&#65279;<?xml version="1.0" encoding="utf-8"?><Relationships xmlns="http://schemas.openxmlformats.org/package/2006/relationships"><Relationship Type="http://schemas.openxmlformats.org/officeDocument/2006/relationships/table" Target="/xl/tables/table8.xml" Id="R8ff0412e97c947b2" /></Relationships>
</file>

<file path=xl/worksheets/_rels/sheet9.xml.rels>&#65279;<?xml version="1.0" encoding="utf-8"?><Relationships xmlns="http://schemas.openxmlformats.org/package/2006/relationships"><Relationship Type="http://schemas.openxmlformats.org/officeDocument/2006/relationships/table" Target="/xl/tables/table9.xml" Id="Reea0b7f0144f4c89" /></Relationships>
</file>

<file path=xl/worksheets/_rels/sheet10.xml.rels>&#65279;<?xml version="1.0" encoding="utf-8"?><Relationships xmlns="http://schemas.openxmlformats.org/package/2006/relationships"><Relationship Type="http://schemas.openxmlformats.org/officeDocument/2006/relationships/table" Target="/xl/tables/table10.xml" Id="R11157b5f589d4345" /></Relationships>
</file>

<file path=xl/worksheets/_rels/sheet11.xml.rels>&#65279;<?xml version="1.0" encoding="utf-8"?><Relationships xmlns="http://schemas.openxmlformats.org/package/2006/relationships"><Relationship Type="http://schemas.openxmlformats.org/officeDocument/2006/relationships/table" Target="/xl/tables/table11.xml" Id="R00ba1182b2b64732" /></Relationships>
</file>

<file path=xl/worksheets/_rels/sheet12.xml.rels>&#65279;<?xml version="1.0" encoding="utf-8"?><Relationships xmlns="http://schemas.openxmlformats.org/package/2006/relationships"><Relationship Type="http://schemas.openxmlformats.org/officeDocument/2006/relationships/table" Target="/xl/tables/table12.xml" Id="R85555305ddb44f0d" /></Relationships>
</file>

<file path=xl/worksheets/_rels/sheet13.xml.rels>&#65279;<?xml version="1.0" encoding="utf-8"?><Relationships xmlns="http://schemas.openxmlformats.org/package/2006/relationships"><Relationship Type="http://schemas.openxmlformats.org/officeDocument/2006/relationships/table" Target="/xl/tables/table13.xml" Id="Rc8fb06ee62d8442b" /></Relationships>
</file>

<file path=xl/worksheets/_rels/sheet14.xml.rels>&#65279;<?xml version="1.0" encoding="utf-8"?><Relationships xmlns="http://schemas.openxmlformats.org/package/2006/relationships"><Relationship Type="http://schemas.openxmlformats.org/officeDocument/2006/relationships/table" Target="/xl/tables/table14.xml" Id="R26c73afd9dd64b75" /></Relationships>
</file>

<file path=xl/worksheets/_rels/sheet15.xml.rels>&#65279;<?xml version="1.0" encoding="utf-8"?><Relationships xmlns="http://schemas.openxmlformats.org/package/2006/relationships"><Relationship Type="http://schemas.openxmlformats.org/officeDocument/2006/relationships/table" Target="/xl/tables/table15.xml" Id="R65ca52d6398d4984" /></Relationships>
</file>

<file path=xl/worksheets/_rels/sheet16.xml.rels>&#65279;<?xml version="1.0" encoding="utf-8"?><Relationships xmlns="http://schemas.openxmlformats.org/package/2006/relationships"><Relationship Type="http://schemas.openxmlformats.org/officeDocument/2006/relationships/table" Target="/xl/tables/table16.xml" Id="R798678c4c6c34b9a" /></Relationships>
</file>

<file path=xl/worksheets/_rels/sheet17.xml.rels>&#65279;<?xml version="1.0" encoding="utf-8"?><Relationships xmlns="http://schemas.openxmlformats.org/package/2006/relationships"><Relationship Type="http://schemas.openxmlformats.org/officeDocument/2006/relationships/table" Target="/xl/tables/table17.xml" Id="R2e87b994e1784f6d" /></Relationships>
</file>

<file path=xl/worksheets/_rels/sheet18.xml.rels>&#65279;<?xml version="1.0" encoding="utf-8"?><Relationships xmlns="http://schemas.openxmlformats.org/package/2006/relationships"><Relationship Type="http://schemas.openxmlformats.org/officeDocument/2006/relationships/table" Target="/xl/tables/table18.xml" Id="Rf3b5f799db7a4de8" /></Relationships>
</file>

<file path=xl/worksheets/_rels/sheet19.xml.rels>&#65279;<?xml version="1.0" encoding="utf-8"?><Relationships xmlns="http://schemas.openxmlformats.org/package/2006/relationships"><Relationship Type="http://schemas.openxmlformats.org/officeDocument/2006/relationships/table" Target="/xl/tables/table19.xml" Id="R0216274352c547c6" /></Relationships>
</file>

<file path=xl/worksheets/_rels/sheet20.xml.rels>&#65279;<?xml version="1.0" encoding="utf-8"?><Relationships xmlns="http://schemas.openxmlformats.org/package/2006/relationships"><Relationship Type="http://schemas.openxmlformats.org/officeDocument/2006/relationships/table" Target="/xl/tables/table20.xml" Id="R70f56b70406947b6" /></Relationships>
</file>

<file path=xl/worksheets/_rels/sheet21.xml.rels>&#65279;<?xml version="1.0" encoding="utf-8"?><Relationships xmlns="http://schemas.openxmlformats.org/package/2006/relationships"><Relationship Type="http://schemas.openxmlformats.org/officeDocument/2006/relationships/table" Target="/xl/tables/table21.xml" Id="R61f5abf20b694239" /></Relationships>
</file>

<file path=xl/worksheets/_rels/sheet22.xml.rels>&#65279;<?xml version="1.0" encoding="utf-8"?><Relationships xmlns="http://schemas.openxmlformats.org/package/2006/relationships"><Relationship Type="http://schemas.openxmlformats.org/officeDocument/2006/relationships/table" Target="/xl/tables/table22.xml" Id="Rdadea1d5ce834617" /></Relationships>
</file>

<file path=xl/worksheets/_rels/sheet23.xml.rels>&#65279;<?xml version="1.0" encoding="utf-8"?><Relationships xmlns="http://schemas.openxmlformats.org/package/2006/relationships"><Relationship Type="http://schemas.openxmlformats.org/officeDocument/2006/relationships/table" Target="/xl/tables/table23.xml" Id="R53bd5b4219bd4241" /></Relationships>
</file>

<file path=xl/worksheets/_rels/sheet24.xml.rels>&#65279;<?xml version="1.0" encoding="utf-8"?><Relationships xmlns="http://schemas.openxmlformats.org/package/2006/relationships"><Relationship Type="http://schemas.openxmlformats.org/officeDocument/2006/relationships/table" Target="/xl/tables/table24.xml" Id="Rb272a51caf89435a" /></Relationships>
</file>

<file path=xl/worksheets/_rels/sheet25.xml.rels>&#65279;<?xml version="1.0" encoding="utf-8"?><Relationships xmlns="http://schemas.openxmlformats.org/package/2006/relationships"><Relationship Type="http://schemas.openxmlformats.org/officeDocument/2006/relationships/table" Target="/xl/tables/table25.xml" Id="Re19cd7c7c1f24686" /></Relationships>
</file>

<file path=xl/worksheets/_rels/sheet26.xml.rels>&#65279;<?xml version="1.0" encoding="utf-8"?><Relationships xmlns="http://schemas.openxmlformats.org/package/2006/relationships"><Relationship Type="http://schemas.openxmlformats.org/officeDocument/2006/relationships/table" Target="/xl/tables/table26.xml" Id="Rf4da306bcd9a4008" /></Relationships>
</file>

<file path=xl/worksheets/_rels/sheet27.xml.rels>&#65279;<?xml version="1.0" encoding="utf-8"?><Relationships xmlns="http://schemas.openxmlformats.org/package/2006/relationships"><Relationship Type="http://schemas.openxmlformats.org/officeDocument/2006/relationships/table" Target="/xl/tables/table27.xml" Id="R765b2cda62954745" /></Relationships>
</file>

<file path=xl/worksheets/_rels/sheet28.xml.rels>&#65279;<?xml version="1.0" encoding="utf-8"?><Relationships xmlns="http://schemas.openxmlformats.org/package/2006/relationships"><Relationship Type="http://schemas.openxmlformats.org/officeDocument/2006/relationships/table" Target="/xl/tables/table28.xml" Id="Rbadd85b5ff584834" /></Relationships>
</file>

<file path=xl/worksheets/_rels/sheet29.xml.rels>&#65279;<?xml version="1.0" encoding="utf-8"?><Relationships xmlns="http://schemas.openxmlformats.org/package/2006/relationships"><Relationship Type="http://schemas.openxmlformats.org/officeDocument/2006/relationships/table" Target="/xl/tables/table29.xml" Id="R027b9b0fef924824" /></Relationships>
</file>

<file path=xl/worksheets/_rels/sheet30.xml.rels>&#65279;<?xml version="1.0" encoding="utf-8"?><Relationships xmlns="http://schemas.openxmlformats.org/package/2006/relationships"><Relationship Type="http://schemas.openxmlformats.org/officeDocument/2006/relationships/table" Target="/xl/tables/table30.xml" Id="R64c20dcd070643e4" /></Relationships>
</file>

<file path=xl/worksheets/_rels/sheet31.xml.rels>&#65279;<?xml version="1.0" encoding="utf-8"?><Relationships xmlns="http://schemas.openxmlformats.org/package/2006/relationships"><Relationship Type="http://schemas.openxmlformats.org/officeDocument/2006/relationships/table" Target="/xl/tables/table31.xml" Id="R161ab8b143b04e1f" /></Relationships>
</file>

<file path=xl/worksheets/_rels/sheet32.xml.rels>&#65279;<?xml version="1.0" encoding="utf-8"?><Relationships xmlns="http://schemas.openxmlformats.org/package/2006/relationships"><Relationship Type="http://schemas.openxmlformats.org/officeDocument/2006/relationships/table" Target="/xl/tables/table32.xml" Id="R770ebb8dddf343e4" /></Relationships>
</file>

<file path=xl/worksheets/_rels/sheet33.xml.rels>&#65279;<?xml version="1.0" encoding="utf-8"?><Relationships xmlns="http://schemas.openxmlformats.org/package/2006/relationships"><Relationship Type="http://schemas.openxmlformats.org/officeDocument/2006/relationships/table" Target="/xl/tables/table33.xml" Id="R6b66d03170d64be2" /></Relationships>
</file>

<file path=xl/worksheets/_rels/sheet34.xml.rels>&#65279;<?xml version="1.0" encoding="utf-8"?><Relationships xmlns="http://schemas.openxmlformats.org/package/2006/relationships"><Relationship Type="http://schemas.openxmlformats.org/officeDocument/2006/relationships/table" Target="/xl/tables/table34.xml" Id="Rb0d0927257b94407" /></Relationships>
</file>

<file path=xl/worksheets/_rels/sheet35.xml.rels>&#65279;<?xml version="1.0" encoding="utf-8"?><Relationships xmlns="http://schemas.openxmlformats.org/package/2006/relationships"><Relationship Type="http://schemas.openxmlformats.org/officeDocument/2006/relationships/table" Target="/xl/tables/table35.xml" Id="Rf1e6f6295ce147f1" /></Relationships>
</file>

<file path=xl/worksheets/_rels/sheet36.xml.rels>&#65279;<?xml version="1.0" encoding="utf-8"?><Relationships xmlns="http://schemas.openxmlformats.org/package/2006/relationships"><Relationship Type="http://schemas.openxmlformats.org/officeDocument/2006/relationships/table" Target="/xl/tables/table36.xml" Id="Recd9e20b85074fe6" /></Relationships>
</file>

<file path=xl/worksheets/_rels/sheet37.xml.rels>&#65279;<?xml version="1.0" encoding="utf-8"?><Relationships xmlns="http://schemas.openxmlformats.org/package/2006/relationships"><Relationship Type="http://schemas.openxmlformats.org/officeDocument/2006/relationships/table" Target="/xl/tables/table37.xml" Id="R83bd0b73c2b44816" /></Relationships>
</file>

<file path=xl/worksheets/_rels/sheet38.xml.rels>&#65279;<?xml version="1.0" encoding="utf-8"?><Relationships xmlns="http://schemas.openxmlformats.org/package/2006/relationships"><Relationship Type="http://schemas.openxmlformats.org/officeDocument/2006/relationships/table" Target="/xl/tables/table38.xml" Id="R559b2aaddbb54298" /></Relationships>
</file>

<file path=xl/worksheets/_rels/sheet39.xml.rels>&#65279;<?xml version="1.0" encoding="utf-8"?><Relationships xmlns="http://schemas.openxmlformats.org/package/2006/relationships"><Relationship Type="http://schemas.openxmlformats.org/officeDocument/2006/relationships/table" Target="/xl/tables/table39.xml" Id="R8925e3f6f1c94a38" /></Relationships>
</file>

<file path=xl/worksheets/_rels/sheet40.xml.rels>&#65279;<?xml version="1.0" encoding="utf-8"?><Relationships xmlns="http://schemas.openxmlformats.org/package/2006/relationships"><Relationship Type="http://schemas.openxmlformats.org/officeDocument/2006/relationships/table" Target="/xl/tables/table40.xml" Id="R0723de3a4ad24bd9" /></Relationships>
</file>

<file path=xl/worksheets/_rels/sheet41.xml.rels>&#65279;<?xml version="1.0" encoding="utf-8"?><Relationships xmlns="http://schemas.openxmlformats.org/package/2006/relationships"><Relationship Type="http://schemas.openxmlformats.org/officeDocument/2006/relationships/table" Target="/xl/tables/table41.xml" Id="R41362be549b74490" /></Relationships>
</file>

<file path=xl/worksheets/_rels/sheet42.xml.rels>&#65279;<?xml version="1.0" encoding="utf-8"?><Relationships xmlns="http://schemas.openxmlformats.org/package/2006/relationships"><Relationship Type="http://schemas.openxmlformats.org/officeDocument/2006/relationships/table" Target="/xl/tables/table42.xml" Id="R6471267ab9d44436" /></Relationships>
</file>

<file path=xl/worksheets/_rels/sheet43.xml.rels>&#65279;<?xml version="1.0" encoding="utf-8"?><Relationships xmlns="http://schemas.openxmlformats.org/package/2006/relationships"><Relationship Type="http://schemas.openxmlformats.org/officeDocument/2006/relationships/table" Target="/xl/tables/table43.xml" Id="Re448bc9e0b564bc7" /></Relationships>
</file>

<file path=xl/worksheets/_rels/sheet44.xml.rels>&#65279;<?xml version="1.0" encoding="utf-8"?><Relationships xmlns="http://schemas.openxmlformats.org/package/2006/relationships"><Relationship Type="http://schemas.openxmlformats.org/officeDocument/2006/relationships/table" Target="/xl/tables/table44.xml" Id="Rc884c929668f40e6" /></Relationships>
</file>

<file path=xl/worksheets/_rels/sheet45.xml.rels>&#65279;<?xml version="1.0" encoding="utf-8"?><Relationships xmlns="http://schemas.openxmlformats.org/package/2006/relationships"><Relationship Type="http://schemas.openxmlformats.org/officeDocument/2006/relationships/table" Target="/xl/tables/table45.xml" Id="R58ea507658d14691" /></Relationships>
</file>

<file path=xl/worksheets/_rels/sheet46.xml.rels>&#65279;<?xml version="1.0" encoding="utf-8"?><Relationships xmlns="http://schemas.openxmlformats.org/package/2006/relationships"><Relationship Type="http://schemas.openxmlformats.org/officeDocument/2006/relationships/table" Target="/xl/tables/table46.xml" Id="Rf5560930a4384b49" /></Relationships>
</file>

<file path=xl/worksheets/_rels/sheet47.xml.rels>&#65279;<?xml version="1.0" encoding="utf-8"?><Relationships xmlns="http://schemas.openxmlformats.org/package/2006/relationships"><Relationship Type="http://schemas.openxmlformats.org/officeDocument/2006/relationships/table" Target="/xl/tables/table47.xml" Id="R873287f6a0754063" /></Relationships>
</file>

<file path=xl/worksheets/_rels/sheet48.xml.rels>&#65279;<?xml version="1.0" encoding="utf-8"?><Relationships xmlns="http://schemas.openxmlformats.org/package/2006/relationships"><Relationship Type="http://schemas.openxmlformats.org/officeDocument/2006/relationships/table" Target="/xl/tables/table48.xml" Id="R93530478e56f49e6" /></Relationships>
</file>

<file path=xl/worksheets/_rels/sheet49.xml.rels>&#65279;<?xml version="1.0" encoding="utf-8"?><Relationships xmlns="http://schemas.openxmlformats.org/package/2006/relationships"><Relationship Type="http://schemas.openxmlformats.org/officeDocument/2006/relationships/table" Target="/xl/tables/table49.xml" Id="Reada7fc2502348ff" /></Relationships>
</file>

<file path=xl/worksheets/_rels/sheet50.xml.rels>&#65279;<?xml version="1.0" encoding="utf-8"?><Relationships xmlns="http://schemas.openxmlformats.org/package/2006/relationships"><Relationship Type="http://schemas.openxmlformats.org/officeDocument/2006/relationships/table" Target="/xl/tables/table50.xml" Id="R42c0ff95c5f345b7" /></Relationships>
</file>

<file path=xl/worksheets/_rels/sheet51.xml.rels>&#65279;<?xml version="1.0" encoding="utf-8"?><Relationships xmlns="http://schemas.openxmlformats.org/package/2006/relationships"><Relationship Type="http://schemas.openxmlformats.org/officeDocument/2006/relationships/table" Target="/xl/tables/table51.xml" Id="R61490ea2965d46b9" /></Relationships>
</file>

<file path=xl/worksheets/_rels/sheet52.xml.rels>&#65279;<?xml version="1.0" encoding="utf-8"?><Relationships xmlns="http://schemas.openxmlformats.org/package/2006/relationships"><Relationship Type="http://schemas.openxmlformats.org/officeDocument/2006/relationships/table" Target="/xl/tables/table52.xml" Id="Ra5f2be923a0b4dd8" /></Relationships>
</file>

<file path=xl/worksheets/_rels/sheet53.xml.rels>&#65279;<?xml version="1.0" encoding="utf-8"?><Relationships xmlns="http://schemas.openxmlformats.org/package/2006/relationships"><Relationship Type="http://schemas.openxmlformats.org/officeDocument/2006/relationships/table" Target="/xl/tables/table53.xml" Id="Rcf82a96afa074086" /></Relationships>
</file>

<file path=xl/worksheets/_rels/sheet54.xml.rels>&#65279;<?xml version="1.0" encoding="utf-8"?><Relationships xmlns="http://schemas.openxmlformats.org/package/2006/relationships"><Relationship Type="http://schemas.openxmlformats.org/officeDocument/2006/relationships/table" Target="/xl/tables/table54.xml" Id="Rf13b0a1c6e764cfd" /></Relationships>
</file>

<file path=xl/worksheets/_rels/sheet55.xml.rels>&#65279;<?xml version="1.0" encoding="utf-8"?><Relationships xmlns="http://schemas.openxmlformats.org/package/2006/relationships"><Relationship Type="http://schemas.openxmlformats.org/officeDocument/2006/relationships/table" Target="/xl/tables/table55.xml" Id="Rbe309063ed294cae" /></Relationships>
</file>

<file path=xl/worksheets/_rels/sheet56.xml.rels>&#65279;<?xml version="1.0" encoding="utf-8"?><Relationships xmlns="http://schemas.openxmlformats.org/package/2006/relationships"><Relationship Type="http://schemas.openxmlformats.org/officeDocument/2006/relationships/table" Target="/xl/tables/table56.xml" Id="R77b649f7e5ad4291" /></Relationships>
</file>

<file path=xl/worksheets/_rels/sheet57.xml.rels>&#65279;<?xml version="1.0" encoding="utf-8"?><Relationships xmlns="http://schemas.openxmlformats.org/package/2006/relationships"><Relationship Type="http://schemas.openxmlformats.org/officeDocument/2006/relationships/table" Target="/xl/tables/table57.xml" Id="Rdcd0bdfec2b24a93" /></Relationships>
</file>

<file path=xl/worksheets/_rels/sheet58.xml.rels>&#65279;<?xml version="1.0" encoding="utf-8"?><Relationships xmlns="http://schemas.openxmlformats.org/package/2006/relationships"><Relationship Type="http://schemas.openxmlformats.org/officeDocument/2006/relationships/table" Target="/xl/tables/table58.xml" Id="R3a9e03a866d846dd" /></Relationships>
</file>

<file path=xl/worksheets/_rels/sheet59.xml.rels>&#65279;<?xml version="1.0" encoding="utf-8"?><Relationships xmlns="http://schemas.openxmlformats.org/package/2006/relationships"><Relationship Type="http://schemas.openxmlformats.org/officeDocument/2006/relationships/table" Target="/xl/tables/table59.xml" Id="Rb807f7f02590423e" /></Relationships>
</file>

<file path=xl/worksheets/_rels/sheet60.xml.rels>&#65279;<?xml version="1.0" encoding="utf-8"?><Relationships xmlns="http://schemas.openxmlformats.org/package/2006/relationships"><Relationship Type="http://schemas.openxmlformats.org/officeDocument/2006/relationships/table" Target="/xl/tables/table60.xml" Id="R953f727203274823" /></Relationships>
</file>

<file path=xl/worksheets/_rels/sheet61.xml.rels>&#65279;<?xml version="1.0" encoding="utf-8"?><Relationships xmlns="http://schemas.openxmlformats.org/package/2006/relationships"><Relationship Type="http://schemas.openxmlformats.org/officeDocument/2006/relationships/table" Target="/xl/tables/table61.xml" Id="R6dfe7a5f2af54af0" /></Relationships>
</file>

<file path=xl/worksheets/_rels/sheet62.xml.rels>&#65279;<?xml version="1.0" encoding="utf-8"?><Relationships xmlns="http://schemas.openxmlformats.org/package/2006/relationships"><Relationship Type="http://schemas.openxmlformats.org/officeDocument/2006/relationships/table" Target="/xl/tables/table62.xml" Id="R55068d19708a4d23" /></Relationships>
</file>

<file path=xl/worksheets/_rels/sheet63.xml.rels>&#65279;<?xml version="1.0" encoding="utf-8"?><Relationships xmlns="http://schemas.openxmlformats.org/package/2006/relationships"><Relationship Type="http://schemas.openxmlformats.org/officeDocument/2006/relationships/table" Target="/xl/tables/table63.xml" Id="R03f00eda3dc643dc" /></Relationships>
</file>

<file path=xl/worksheets/_rels/sheet64.xml.rels>&#65279;<?xml version="1.0" encoding="utf-8"?><Relationships xmlns="http://schemas.openxmlformats.org/package/2006/relationships"><Relationship Type="http://schemas.openxmlformats.org/officeDocument/2006/relationships/table" Target="/xl/tables/table64.xml" Id="Re6c2be35064d47de" /></Relationships>
</file>

<file path=xl/worksheets/_rels/sheet65.xml.rels>&#65279;<?xml version="1.0" encoding="utf-8"?><Relationships xmlns="http://schemas.openxmlformats.org/package/2006/relationships"><Relationship Type="http://schemas.openxmlformats.org/officeDocument/2006/relationships/table" Target="/xl/tables/table65.xml" Id="R16ec15dbc6a94ad9" /></Relationships>
</file>

<file path=xl/worksheets/_rels/sheet66.xml.rels>&#65279;<?xml version="1.0" encoding="utf-8"?><Relationships xmlns="http://schemas.openxmlformats.org/package/2006/relationships"><Relationship Type="http://schemas.openxmlformats.org/officeDocument/2006/relationships/table" Target="/xl/tables/table66.xml" Id="Rd6589cc846734cb4" /></Relationships>
</file>

<file path=xl/worksheets/_rels/sheet67.xml.rels>&#65279;<?xml version="1.0" encoding="utf-8"?><Relationships xmlns="http://schemas.openxmlformats.org/package/2006/relationships"><Relationship Type="http://schemas.openxmlformats.org/officeDocument/2006/relationships/table" Target="/xl/tables/table67.xml" Id="R63e1d59390db43df" /></Relationships>
</file>

<file path=xl/worksheets/_rels/sheet68.xml.rels>&#65279;<?xml version="1.0" encoding="utf-8"?><Relationships xmlns="http://schemas.openxmlformats.org/package/2006/relationships"><Relationship Type="http://schemas.openxmlformats.org/officeDocument/2006/relationships/table" Target="/xl/tables/table68.xml" Id="Re19361872c9143d1" /></Relationships>
</file>

<file path=xl/worksheets/_rels/sheet69.xml.rels>&#65279;<?xml version="1.0" encoding="utf-8"?><Relationships xmlns="http://schemas.openxmlformats.org/package/2006/relationships"><Relationship Type="http://schemas.openxmlformats.org/officeDocument/2006/relationships/table" Target="/xl/tables/table69.xml" Id="Rf813925bd67c4286" /></Relationships>
</file>

<file path=xl/worksheets/_rels/sheet70.xml.rels>&#65279;<?xml version="1.0" encoding="utf-8"?><Relationships xmlns="http://schemas.openxmlformats.org/package/2006/relationships"><Relationship Type="http://schemas.openxmlformats.org/officeDocument/2006/relationships/table" Target="/xl/tables/table70.xml" Id="R9677a0c8778e4846" /></Relationships>
</file>

<file path=xl/worksheets/_rels/sheet71.xml.rels>&#65279;<?xml version="1.0" encoding="utf-8"?><Relationships xmlns="http://schemas.openxmlformats.org/package/2006/relationships"><Relationship Type="http://schemas.openxmlformats.org/officeDocument/2006/relationships/table" Target="/xl/tables/table71.xml" Id="R418fc0a22920418f" /></Relationships>
</file>

<file path=xl/worksheets/_rels/sheet72.xml.rels>&#65279;<?xml version="1.0" encoding="utf-8"?><Relationships xmlns="http://schemas.openxmlformats.org/package/2006/relationships"><Relationship Type="http://schemas.openxmlformats.org/officeDocument/2006/relationships/table" Target="/xl/tables/table72.xml" Id="R8910a651e8d6491c" /></Relationships>
</file>

<file path=xl/worksheets/_rels/sheet73.xml.rels>&#65279;<?xml version="1.0" encoding="utf-8"?><Relationships xmlns="http://schemas.openxmlformats.org/package/2006/relationships"><Relationship Type="http://schemas.openxmlformats.org/officeDocument/2006/relationships/table" Target="/xl/tables/table73.xml" Id="R2f41e99e5f63408b"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0.8. Constitución del primer universo, consecuencias y estimación del dominio.</x:v>
      </x:c>
      <x:c r="B2" s="8"/>
    </x:row>
    <x:row r="3">
      <x:c r="A3" s="4"/>
      <x:c r="B3" s="4"/>
    </x:row>
    <x:row r="4" ht="42" customHeight="1">
      <x:c r="A4" s="10" t="str">
        <x:v>Campo</x:v>
      </x:c>
      <x:c r="B4" s="10" t="str">
        <x:v>Contenido</x:v>
      </x:c>
    </x:row>
    <x:row r="5" ht="47" customHeight="1">
      <x:c r="A5" s="4" t="str">
        <x:v>Versión y fecha</x:v>
      </x:c>
      <x:c r="B5" s="4" t="str">
        <x:v>0.8 · primer universo concluido en su inventario paramétrico · 09-09-2026</x:v>
      </x:c>
    </x:row>
    <x:row r="6" ht="47" customHeight="1">
      <x:c r="A6" s="4" t="str">
        <x:v>Estado</x:v>
      </x:c>
      <x:c r="B6" s="4" t="str">
        <x:v>24 parámetros. Agotamiento justificado en el perímetro OP-CYB-001. Decisión siguiente reservada al Director.</x:v>
      </x:c>
    </x:row>
    <x:row r="7" ht="47" customHeight="1">
      <x:c r="A7" s="4" t="str">
        <x:v>Autoría del trabajo</x:v>
      </x:c>
      <x:c r="B7" s="4" t="str">
        <x:v>Watson. Investigación documental, adjudicación y revisión en español.</x:v>
      </x:c>
    </x:row>
    <x:row r="8" ht="47" customHeight="1">
      <x:c r="A8" s="4" t="str">
        <x:v>Mandato</x:v>
      </x:c>
      <x:c r="B8" s="4" t="str">
        <x:v>Orden humana de 09-09-2026: corregir calidad, agotar el primer universo y estimar el dominio antes de decidir la continuidad.</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31_Control_acotacion'!C5='31_Control_acotacion'!D5,0,1)+IF('31_Control_acotacion'!C6='31_Control_acotacion'!D6,0,1)+IF('31_Control_acotacion'!C7='31_Control_acotacion'!D7,0,1)+IF('31_Control_acotacion'!C8='31_Control_acotacion'!D8,0,1)+IF('31_Control_acotacion'!C9='31_Control_acotacion'!D9,0,1)+IF('31_Control_acotacion'!C10='31_Control_acotacion'!D10,0,1)+IF('31_Control_acotacion'!C11='31_Control_acotacion'!D11,0,1)+IF('31_Control_acotacion'!C12='31_Control_acotacion'!D12,0,1)+IF('31_Control_acotacion'!C13='31_Control_acotacion'!D13,0,1)+IF('31_Control_acotacion'!C14='31_Control_acotacion'!D14,0,1)+IF('31_Control_acotacion'!C15='31_Control_acotacion'!D15,0,1)+IF('31_Control_acotacion'!C16='31_Control_acotacion'!D16,0,1)+IF('31_Control_acotacion'!C17='31_Control_acotacion'!D17,0,1)+IF('44_Control_G5'!C5='44_Control_G5'!D5,0,1)+IF('44_Control_G5'!C6='44_Control_G5'!D6,0,1)+IF('44_Control_G5'!C7='44_Control_G5'!D7,0,1)+IF('44_Control_G5'!C8='44_Control_G5'!D8,0,1)+IF('44_Control_G5'!C9='44_Control_G5'!D9,0,1)+IF('44_Control_G5'!C10='44_Control_G5'!D10,0,1)+IF('44_Control_G5'!C11='44_Control_G5'!D11,0,1)+IF('44_Control_G5'!C12='44_Control_G5'!D12,0,1)+IF('44_Control_G5'!C13='44_Control_G5'!D13,0,1)+IF('44_Control_G5'!C14='44_Control_G5'!D14,0,1)+IF('44_Control_G5'!C15='44_Control_G5'!D15,0,1)+IF('44_Control_G5'!C16='44_Control_G5'!D16,0,1)+IF('54_Control_lote'!C5='54_Control_lote'!D5,0,1)+IF('54_Control_lote'!C6='54_Control_lote'!D6,0,1)+IF('54_Control_lote'!C7='54_Control_lote'!D7,0,1)+IF('54_Control_lote'!C8='54_Control_lote'!D8,0,1)+IF('54_Control_lote'!C9='54_Control_lote'!D9,0,1)+IF('54_Control_lote'!C10='54_Control_lote'!D10,0,1)+IF('54_Control_lote'!C11='54_Control_lote'!D11,0,1)+IF('54_Control_lote'!C12='54_Control_lote'!D12,0,1)+IF('54_Control_lote'!C13='54_Control_lote'!D13,0,1)+IF('54_Control_lote'!C14='54_Control_lote'!D14,0,1)+IF('54_Control_lote'!C15='54_Control_lote'!D15,0,1)+IF('54_Control_lote'!C16='54_Control_lote'!D16,0,1)+IF('54_Control_lote'!C17='54_Control_lote'!D17,0,1)+IF('54_Control_lote'!C18='54_Control_lote'!D18,0,1)</x:f>
        <x:v>0</x:v>
      </x:c>
    </x:row>
    <x:row r="19" ht="47" customHeight="1">
      <x:c r="A19" s="4" t="str">
        <x:v>Admisión y adopción</x:v>
      </x:c>
      <x:c r="B19" s="4" t="str">
        <x:v>Trabajo de constitución autorizado. Las reglas de un consejo real permanecen sujetas a admisión humana y a perfiles de observación válidos.</x:v>
      </x:c>
    </x:row>
    <x:row r="20" ht="47" customHeight="1">
      <x:c r="A20" s="4" t="str">
        <x:v>Primer universo</x:v>
      </x:c>
      <x:c r="B20" s="4" t="str">
        <x:v>OP-CYB-001: 24 definiciones. Resultado actual en 66–72; informe y acta v0.2 en el expediente.</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Los cálculos estiman cantidades y comprueban concordancia. No convierten hipótesis en conocimiento admitido.</x:v>
      </x:c>
    </x:row>
    <x:row r="24" ht="47" customHeight="1">
      <x:c r="A24" s="4" t="str">
        <x:v>Trazabilidad</x:v>
      </x:c>
      <x:c r="B24" s="4" t="str">
        <x:v>66–72 contienen la revisión actual. 36–65 conservan antecedentes de constitución y sus limitaciones históricas.</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Identidades, versiones, huellas y magnitudes que requieren exactitud se conservan como texto. Los recuentos y supuestos de estimación son números.</x:v>
      </x:c>
    </x:row>
    <x:row r="27" ht="47" customHeight="1">
      <x:c r="A27" s="4" t="str">
        <x:v>Proyección posterior</x:v>
      </x:c>
      <x:c r="B27" s="4" t="str">
        <x:v>Anexo complementario obtenido del archivo congelado, sin modificar ni volver a guardar el libro.</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66 resultado; 67 parámetros; 68 consecuencias; 69 cobertura; 70 estimación; 71 bibliografía; 72 ensayos.</x:v>
      </x:c>
    </x:row>
    <x:row r="30" ht="47" customHeight="1">
      <x:c r="A30" s="4" t="str">
        <x:v>Límite del corte</x:v>
      </x:c>
      <x:c r="B30" s="4" t="str">
        <x:v>Inventario paramétrico concluido. No se atribuye eficacia sobre activos reales ni ejecución SV. El Director decide el siguiente trabajo.</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row r="41" ht="47" customHeight="1">
      <x:c r="A41" s="4" t="str">
        <x:v>Función de la IA</x:v>
      </x:c>
      <x:c r="B41" s="4" t="str">
        <x:v>Consejera vinculada al experto. Utiliza conocimiento previamente admitido y explica el consejo; no aprende reglas durante la consulta ni asume la decisión o responsabilidad humana.</x:v>
      </x:c>
    </x:row>
    <x:row r="42" ht="47" customHeight="1">
      <x:c r="A42" s="4" t="str">
        <x:v>Consecuencias como criterio</x:v>
      </x:c>
      <x:c r="B42" s="4" t="str">
        <x:v>Omitir un enlace de conocimiento necesario puede alterar el consejo. La hoja 34 muestra ocho cadenas hipotéticas para orientar universos, atomicidad y rutas críticas.</x:v>
      </x:c>
    </x:row>
    <x:row r="43" ht="47" customHeight="1">
      <x:c r="A43" s="4" t="str">
        <x:v>Tamaños de células</x:v>
      </x:c>
      <x:c r="B43" s="4" t="str">
        <x:v>Se retira el uso arquitectónico de los tamaños históricos 6/1/3/2/6/9. Sólo se constituirán células SV legítimas, b≥3 y n=b², sin relleno ni reinterpretación 3×3.</x:v>
      </x:c>
    </x:row>
    <x:row r="44" ht="47" customHeight="1">
      <x:c r="A44" s="4" t="str">
        <x:v>Estado del mapa</x:v>
      </x:c>
      <x:c r="B44" s="4" t="str">
        <x:v>29 productos profesionales candidatos; 28 de trabajo y una frontera condicionada. No son 29 universos constituidos ni cota ontológica del dominio.</x:v>
      </x:c>
    </x:row>
    <x:row r="45" ht="47" customHeight="1">
      <x:c r="A45" s="4" t="str">
        <x:v>Parámetros y células CYB</x:v>
      </x:c>
      <x:c r="B45" s="4" t="str">
        <x:v>24 definiciones. La cardinalidad no constituye una matriz ni autoriza relleno.</x:v>
      </x:c>
    </x:row>
    <x:row r="46" ht="47" customHeight="1">
      <x:c r="A46" s="4" t="str">
        <x:v>Objeto de la explicación</x:v>
      </x:c>
      <x:c r="B46" s="4" t="str">
        <x:v>Respuesta r, justificación reconstruible J y metadatos M; el Frame debe remitir a una arquitectura válida. Coherencia técnica no prueba suficiencia del consejo.</x:v>
      </x:c>
    </x:row>
  </x:sheetData>
  <x:mergeCells>
    <x:mergeCell ref="A1:B1"/>
    <x:mergeCell ref="A2:B2"/>
  </x:mergeCells>
  <x:pageMargins left="0.7" right="0.7" top="0.75" bottom="0.75" header="0.3" footer="0.3"/>
  <x:tableParts count="1">
    <x:tablePart xmlns:r="http://schemas.openxmlformats.org/officeDocument/2006/relationships" r:id="Ra3847ccb6ede454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24585f82f0f5461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6d6e02e5551446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884bba55da6647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9731f9afa6b847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1b53f4ab9ff7409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10920aa1416a45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La correspondencia de su reexamen está en 33 y la hipótesis de 29 productos en 26. Ninguna operación se constituye por este libro; OPC-07 no conserva prioridad.</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8ff0412e97c947b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eea0b7f0144f4c8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11157b5f589d434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00ba1182b2b6473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85555305ddb44f0d"/>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c8fb06ee62d8442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26c73afd9dd64b75"/>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65ca52d6398d4984"/>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798678c4c6c34b9a"/>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2e87b994e1784f6d"/>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f3b5f799db7a4de8"/>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0216274352c547c6"/>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70f56b70406947b6"/>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61f5abf20b694239"/>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dadea1d5ce834617"/>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53bd5b4219bd4241"/>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b272a51caf89435a"/>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e19cd7c7c1f24686"/>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88" hidden="0" customWidth="1"/>
    <x:col min="4" max="4" width="100" hidden="0" customWidth="1"/>
    <x:col min="5" max="5" width="48" hidden="0" customWidth="1"/>
    <x:col min="6" max="6" width="100" hidden="0" customWidth="1"/>
  </x:cols>
  <x:sheetData>
    <x:row r="1" ht="35" customHeight="1">
      <x:c r="A1" s="6" t="str">
        <x:v>DELIMITACIÓN · qué se cuenta y qué queda abierto</x:v>
      </x:c>
      <x:c r="B1" s="6"/>
      <x:c r="C1" s="6"/>
      <x:c r="D1" s="6"/>
      <x:c r="E1" s="6"/>
      <x:c r="F1" s="6"/>
    </x:row>
    <x:row r="2" ht="52" customHeight="1">
      <x:c r="A2" s="8" t="str">
        <x:v>La memoria del proyecto se contrasta con fuentes fijadas. Se preserva el aprendizaje de Inmunología y se separan hipótesis, objetos constituidos y realizaciones.</x:v>
      </x:c>
      <x:c r="B2" s="8"/>
      <x:c r="C2" s="8"/>
      <x:c r="D2" s="8"/>
      <x:c r="E2" s="8"/>
      <x:c r="F2" s="8"/>
    </x:row>
    <x:row r="3">
      <x:c r="A3" s="4"/>
      <x:c r="B3" s="4"/>
      <x:c r="C3" s="4"/>
      <x:c r="D3" s="4"/>
      <x:c r="E3" s="4"/>
      <x:c r="F3" s="4"/>
    </x:row>
    <x:row r="4" ht="42" customHeight="1">
      <x:c r="A4" s="10" t="str">
        <x:v>ID</x:v>
      </x:c>
      <x:c r="B4" s="10" t="str">
        <x:v>Cuestión</x:v>
      </x:c>
      <x:c r="C4" s="10" t="str">
        <x:v>Conclusión documentada o propuesta</x:v>
      </x:c>
      <x:c r="D4" s="10" t="str">
        <x:v>Distinción y límite</x:v>
      </x:c>
      <x:c r="E4" s="10" t="str">
        <x:v>Evidencia</x:v>
      </x:c>
      <x:c r="F4" s="10" t="str">
        <x:v>Efecto en Ciberseguridad</x:v>
      </x:c>
    </x:row>
    <x:row r="5" ht="47" customHeight="1">
      <x:c r="A5" s="4" t="str">
        <x:v>DL-01</x:v>
      </x:c>
      <x:c r="B5" s="4" t="str">
        <x:v>Rector</x:v>
      </x:c>
      <x:c r="C5" s="4" t="str">
        <x:v>España / URJC, plan 2026–27: propuesta educativa concreta</x:v>
      </x:c>
      <x:c r="D5" s="4" t="str">
        <x:v>40 asignaturas, 240 ECTS; 15 familias editoriales. No currículo nacional único ni liderazgo internacional probado.</x:v>
      </x:c>
      <x:c r="E5" s="4" t="str">
        <x:v>15; 17; I005 §7.1</x:v>
      </x:c>
      <x:c r="F5" s="4" t="str">
        <x:v>El mapa usa esta base y complementos; aceptación final del perímetro pendiente.</x:v>
      </x:c>
    </x:row>
    <x:row r="6" ht="47" customHeight="1">
      <x:c r="A6" s="4" t="str">
        <x:v>DL-02</x:v>
      </x:c>
      <x:c r="B6" s="4" t="str">
        <x:v>Unidad que se cuenta</x:v>
      </x:c>
      <x:c r="C6" s="4" t="str">
        <x:v>Tupla: producto, objeto, disparador, autoridad, frontera, finalización</x:v>
      </x:c>
      <x:c r="D6" s="4" t="str">
        <x:v>Se distingue por cambio material de producto, autoridad o finalización; una técnica o etiqueta no basta.</x:v>
      </x:c>
      <x:c r="E6" s="4" t="str">
        <x:v>S010 §1; I005 §7.1</x:v>
      </x:c>
      <x:c r="F6" s="4" t="str">
        <x:v>29 candidatas en el corte; cifra revisable con justificación y nuevo suceso.</x:v>
      </x:c>
    </x:row>
    <x:row r="7" ht="47" customHeight="1">
      <x:c r="A7" s="4" t="str">
        <x:v>DL-03</x:v>
      </x:c>
      <x:c r="B7" s="4" t="str">
        <x:v>Finitud</x:v>
      </x:c>
      <x:c r="C7" s="4" t="str">
        <x:v>La lista termina en 29 identidades explícitas</x:v>
      </x:c>
      <x:c r="D7" s="4" t="str">
        <x:v>No es una cota ontológica ni una promesa de 29 universos constituidos. No se añaden candidatos por llenar temas.</x:v>
      </x:c>
      <x:c r="E7" s="4" t="str">
        <x:v>26; 33</x:v>
      </x:c>
      <x:c r="F7" s="4" t="str">
        <x:v>28 candidatas de trabajo y una frontera investigadora condicionada.</x:v>
      </x:c>
    </x:row>
    <x:row r="8" ht="47" customHeight="1">
      <x:c r="A8" s="4" t="str">
        <x:v>DL-04</x:v>
      </x:c>
      <x:c r="B8" s="4" t="str">
        <x:v>Familia / operación / parámetro</x:v>
      </x:c>
      <x:c r="C8" s="4" t="str">
        <x:v>Orden editorial, producto profesional e identidad atómica son planos distintos</x:v>
      </x:c>
      <x:c r="D8" s="4" t="str">
        <x:v>Tampoco asignatura, pregunta, observable o resultado educativo equivale a parámetro.</x:v>
      </x:c>
      <x:c r="E8" s="4" t="str">
        <x:v>I005 §7.1–7.3</x:v>
      </x:c>
      <x:c r="F8" s="4" t="str">
        <x:v>27 conserva el aprendizaje habilitante; el recuento operacional está en 26.</x:v>
      </x:c>
    </x:row>
    <x:row r="9" ht="47" customHeight="1">
      <x:c r="A9" s="4" t="str">
        <x:v>DL-05</x:v>
      </x:c>
      <x:c r="B9" s="4" t="str">
        <x:v>Dominio / agente / consejero</x:v>
      </x:c>
      <x:c r="C9" s="4" t="str">
        <x:v>El dominio constituye conocimiento; el agente recibe cobertura y permisos; la IA auxilia al experto</x:v>
      </x:c>
      <x:c r="D9" s="4" t="str">
        <x:v>El experto conserva la decisión y responsabilidad final conforme al mandato. No se atribuye personalidad ni responsabilidad jurídica a la IA.</x:v>
      </x:c>
      <x:c r="E9" s="4" t="str">
        <x:v>S014 §2; S017 §5; I005 cierre; mandato humano</x:v>
      </x:c>
      <x:c r="F9" s="4" t="str">
        <x:v>Catalogar una actuación profesional no concede a la IA facultad de ejecutarla.</x:v>
      </x:c>
    </x:row>
    <x:row r="10" ht="47" customHeight="1">
      <x:c r="A10" s="4" t="str">
        <x:v>DL-06</x:v>
      </x:c>
      <x:c r="B10" s="4" t="str">
        <x:v>SV(9,3)</x:v>
      </x:c>
      <x:c r="C10" s="4" t="str">
        <x:v>Vector plano ordenado de nueve posiciones ternarias; mínimo de célula exacta</x:v>
      </x:c>
      <x:c r="D10" s="4" t="str">
        <x:v>No matriz cartesiana de 3×3. n=b², b≥3, no es permiso para rellenar agrupaciones.</x:v>
      </x:c>
      <x:c r="E10" s="4" t="str">
        <x:v>S007 §3; I005 §7.3</x:v>
      </x:c>
      <x:c r="F10" s="4" t="str">
        <x:v>Arrays semánticos preceden a cualquier propuesta de representación.</x:v>
      </x:c>
    </x:row>
    <x:row r="11" ht="47" customHeight="1">
      <x:c r="A11" s="4" t="str">
        <x:v>DL-07</x:v>
      </x:c>
      <x:c r="B11" s="4" t="str">
        <x:v>Corrección soberana sobre tamaños</x:v>
      </x:c>
      <x:c r="C11" s="4" t="str">
        <x:v>Los recuentos 6, 1, 3, 2, 6 y 9 quedan sólo como antecedente de clasificación inmunológica</x:v>
      </x:c>
      <x:c r="D11" s="4" t="str">
        <x:v>El Director exige no utilizarlos como arquitectura ni tamaños de células. Ciberseguridad constituirá únicamente células SV legítimas, con b≥3 y n=b².</x:v>
      </x:c>
      <x:c r="E11" s="4" t="str">
        <x:v>Mandato humano de esta revisión; S014 §§1–3; S012 histórico</x:v>
      </x:c>
      <x:c r="F11" s="4" t="str">
        <x:v>Retirada su utilización como apoyo arquitectónico. No se heredan ni se regularizan por renombrarlos arrays.</x:v>
      </x:c>
    </x:row>
    <x:row r="12" ht="47" customHeight="1">
      <x:c r="A12" s="4" t="str">
        <x:v>DL-08</x:v>
      </x:c>
      <x:c r="B12" s="4" t="str">
        <x:v>Recuento recordado 23 + 4</x:v>
      </x:c>
      <x:c r="C12" s="4" t="str">
        <x:v>Cuatro parámetros con configuración pendiente: OI, MDRO, nutrición y fragilidad</x:v>
      </x:c>
      <x:c r="D12" s="4" t="str">
        <x:v>Los 23 restantes se obtienen por diferencia de 27. Esta partición no acredita propiedad exclusiva frente a transversalidad.</x:v>
      </x:c>
      <x:c r="E12" s="4" t="str">
        <x:v>S012 §7; S011 §§13–14</x:v>
      </x:c>
      <x:c r="F12" s="4" t="str">
        <x:v>Separar tipo constituido, configuración disponible, uso y propiedad.</x:v>
      </x:c>
    </x:row>
    <x:row r="13" ht="47" customHeight="1">
      <x:c r="A13" s="4" t="str">
        <x:v>DL-09</x:v>
      </x:c>
      <x:c r="B13" s="4" t="str">
        <x:v>Cuatro referencias cruzadas</x:v>
      </x:c>
      <x:c r="C13" s="4" t="str">
        <x:v>Inicio→exposición; KRT→huésped; soporte respiratorio→historia; protocolo→composición</x:v>
      </x:c>
      <x:c r="D13" s="4" t="str">
        <x:v>Son cuatro referencias registradas en el corte; no prueba de que sólo cuatro parámetros puedan reutilizarse en el dominio.</x:v>
      </x:c>
      <x:c r="E13" s="4" t="str">
        <x:v>S012 §4</x:v>
      </x:c>
      <x:c r="F13" s="4" t="str">
        <x:v>El destino lee el estado canónico; no lo duplica ni lo recalcula.</x:v>
      </x:c>
    </x:row>
    <x:row r="14" ht="47" customHeight="1">
      <x:c r="A14" s="4" t="str">
        <x:v>DL-10</x:v>
      </x:c>
      <x:c r="B14" s="4" t="str">
        <x:v>32 en Inmunología</x:v>
      </x:c>
      <x:c r="C14" s="4" t="str">
        <x:v>32 operaciones candidatas del catálogo v0.8; otro inventario distinto contiene 32 raíces Q0</x:v>
      </x:c>
      <x:c r="D14" s="4" t="str">
        <x:v>El mapa sustituye la banda inicial 20–30, centro 24. No autoriza 32×27.</x:v>
      </x:c>
      <x:c r="E14" s="4" t="str">
        <x:v>S010 §§0,5; S011 §11</x:v>
      </x:c>
      <x:c r="F14" s="4" t="str">
        <x:v>Las estimaciones de chats no gobiernan el corte constituido.</x:v>
      </x:c>
    </x:row>
    <x:row r="15" ht="47" customHeight="1">
      <x:c r="A15" s="4" t="str">
        <x:v>DL-11</x:v>
      </x:c>
      <x:c r="B15" s="4" t="str">
        <x:v>Más de 600</x:v>
      </x:c>
      <x:c r="C15" s="4" t="str">
        <x:v>No acreditado aquí como total de parámetros únicos del dominio inmunológico</x:v>
      </x:c>
      <x:c r="D15" s="4" t="str">
        <x:v>El contexto recuperado alude a 600–1000 ocurrencias funcionales como hipótesis, no inventario constituido. No se usa como fuente normativa.</x:v>
      </x:c>
      <x:c r="E15" s="4" t="str">
        <x:v>Contexto histórico recuperado; S010 §5 impide extrapolación</x:v>
      </x:c>
      <x:c r="F15" s="4" t="str">
        <x:v>Ciberseguridad: parámetros únicos totales y usos todavía no estimados.</x:v>
      </x:c>
    </x:row>
    <x:row r="16" ht="47" customHeight="1">
      <x:c r="A16" s="4" t="str">
        <x:v>DL-12</x:v>
      </x:c>
      <x:c r="B16" s="4" t="str">
        <x:v>Propiedad y reutilización</x:v>
      </x:c>
      <x:c r="C16" s="4" t="str">
        <x:v>Identidad canónica única, propietario explícito y usos referenciados</x:v>
      </x:c>
      <x:c r="D16" s="4" t="str">
        <x:v>Igual nombre no basta para deduplicar; misma identidad no puede contabilizarse varias veces como estado independiente.</x:v>
      </x:c>
      <x:c r="E16" s="4" t="str">
        <x:v>I005 §7.3; S012 §§1,3,4</x:v>
      </x:c>
      <x:c r="F16" s="4" t="str">
        <x:v>El posible uso transversal se investiga después de adjudicar identidad; no se anticipa una cuota.</x:v>
      </x:c>
    </x:row>
    <x:row r="17" ht="47" customHeight="1">
      <x:c r="A17" s="4" t="str">
        <x:v>DL-13</x:v>
      </x:c>
      <x:c r="B17" s="4" t="str">
        <x:v>Relación antes de operador</x:v>
      </x:c>
      <x:c r="C17" s="4" t="str">
        <x:v>No existe una ley binaria universal para todas las composiciones</x:v>
      </x:c>
      <x:c r="D17" s="4" t="str">
        <x:v>Declarar codominio, interpretación y rol antes de escoger operador; precedencia educativa no es compuerta operacional.</x:v>
      </x:c>
      <x:c r="E17" s="4" t="str">
        <x:v>S007 §7.2–7.12</x:v>
      </x:c>
      <x:c r="F17" s="4" t="str">
        <x:v>28 son contratos pendientes entre productos; no rutas ni instancias algebraicas ejecutables.</x:v>
      </x:c>
    </x:row>
    <x:row r="18" ht="47" customHeight="1">
      <x:c r="A18" s="4" t="str">
        <x:v>DL-14</x:v>
      </x:c>
      <x:c r="B18" s="4" t="str">
        <x:v>Soberanía y actualización</x:v>
      </x:c>
      <x:c r="C18" s="4" t="str">
        <x:v>Toda adquisición nueva queda como candidata hasta adopción humana</x:v>
      </x:c>
      <x:c r="D18" s="4" t="str">
        <x:v>Modelo, catálogo externo o fuente actualizada no cambia silenciosamente el dominio; IA aconseja dentro de su contrato.</x:v>
      </x:c>
      <x:c r="E18" s="4" t="str">
        <x:v>I005 §§5,7; S001 §§2–5</x:v>
      </x:c>
      <x:c r="F18" s="4" t="str">
        <x:v>Ni fuente disponible ni resultado plausible cierran U o conceden permiso.</x:v>
      </x:c>
    </x:row>
    <x:row r="19" ht="47" customHeight="1">
      <x:c r="A19" s="4" t="str">
        <x:v>DL-15</x:v>
      </x:c>
      <x:c r="B19" s="4" t="str">
        <x:v>Consecuencias como motor constitutivo</x:v>
      </x:c>
      <x:c r="C19" s="4" t="str">
        <x:v>La necesidad de enlazar conocimiento se juzga por su efecto sobre el consejo y sus consecuencias</x:v>
      </x:c>
      <x:c r="D19" s="4" t="str">
        <x:v>No basta saber que una materia existe: hay que mostrar qué conclusión cambia al omitir un enlace necesario. No se declaran daños reales a partir de ejemplos hipotéticos.</x:v>
      </x:c>
      <x:c r="E19" s="4" t="str">
        <x:v>Mandato humano; I005 §7.2–7.3; 34</x:v>
      </x:c>
      <x:c r="F19" s="4" t="str">
        <x:v>Las cadenas de 34 orientan la selección del universo, las distinciones atómicas y las futuras rutas críticas.</x:v>
      </x:c>
    </x:row>
    <x:row r="20" ht="47" customHeight="1">
      <x:c r="A20" s="4" t="str">
        <x:v>DL-16</x:v>
      </x:c>
      <x:c r="B20" s="4" t="str">
        <x:v>Acceso y precedencia</x:v>
      </x:c>
      <x:c r="C20" s="4" t="str">
        <x:v>El PDF de álgebra aportado es un índice de seis páginas con enlaces</x:v>
      </x:c>
      <x:c r="D20" s="4" t="str">
        <x:v>Las páginas ITVIA dieron 403; no se declara lectura íntegra de esos libros. Fundamentos está disponible íntegro en el corte fijado.</x:v>
      </x:c>
      <x:c r="E20" s="4" t="str">
        <x:v>S003–S009; S001; S002</x:v>
      </x:c>
      <x:c r="F20" s="4" t="str">
        <x:v>README de SVcustos mezcla una sede doctrinal y rótulos 3×3: no trasladar esas formulaciones; rigen doctrina e instrucción expresa.</x:v>
      </x:c>
    </x:row>
    <x:row r="21" ht="47" customHeight="1">
      <x:c r="A21" s="4" t="str">
        <x:v>DL-17</x:v>
      </x:c>
      <x:c r="B21" s="4" t="str">
        <x:v>Conocimiento previo / observación nueva</x:v>
      </x:c>
      <x:c r="C21" s="4" t="str">
        <x:v>La IA consejera utiliza conocimiento ya admitido, trazable y auditable; no aprende ni amplía ese corpus durante el consejo</x:v>
      </x:c>
      <x:c r="D21" s="4" t="str">
        <x:v>Un nuevo dato del caso puede activar una reevaluación bajo reglas ya constituidas. Modificar el conocimiento requiere revisión y adopción humana previas.</x:v>
      </x:c>
      <x:c r="E21" s="4" t="str">
        <x:v>Mandato humano; S017 §§1,6; S018 §§3–5</x:v>
      </x:c>
      <x:c r="F21" s="4" t="str">
        <x:v>La educación fundamenta la constitución del catálogo; no describe entrenamiento en línea de la IA consejera.</x:v>
      </x:c>
    </x:row>
    <x:row r="22" ht="47" customHeight="1">
      <x:c r="A22" s="4" t="str">
        <x:v>DL-18</x:v>
      </x:c>
      <x:c r="B22" s="4" t="str">
        <x:v>Explicación del consejo</x:v>
      </x:c>
      <x:c r="C22" s="4" t="str">
        <x:v>Respuesta con justificación reconstruible y metadatos de cobertura, criticidad e indeterminación</x:v>
      </x:c>
      <x:c r="D22" s="4" t="str">
        <x:v>El frame es un objeto estructural referido a una arquitectura legítima. Una narración convincente o un Excel no son por sí mismos un Frame SV.</x:v>
      </x:c>
      <x:c r="E22" s="4" t="str">
        <x:v>S017 §6: r,J,M; S018 §3.4; S016 §4; 35</x:v>
      </x:c>
      <x:c r="F22" s="4" t="str">
        <x:v>Declarar qué conocimiento y enlaces sostienen cada consejo y qué dependencia necesaria falta.</x:v>
      </x:c>
    </x:row>
    <x:row r="23" ht="47" customHeight="1">
      <x:c r="A23" s="4" t="str">
        <x:v>DL-19</x:v>
      </x:c>
      <x:c r="B23" s="4" t="str">
        <x:v>Suficiencia / cierre del frame</x:v>
      </x:c>
      <x:c r="C23" s="4" t="str">
        <x:v>Coherencia de lo declarado y suficiencia del conocimiento necesario son pruebas diferentes</x:v>
      </x:c>
      <x:c r="D23" s="4" t="str">
        <x:v>IR v0.3 §4.7 no exige exhaustividad global. Un Frame bien formado puede no acreditar por sí solo que se haya incluido todo lo necesario para el consejo.</x:v>
      </x:c>
      <x:c r="E23" s="4" t="str">
        <x:v>S016 §§4.3,4.7; S015 §§6–8; mandato sobre consecuencias</x:v>
      </x:c>
      <x:c r="F23" s="4" t="str">
        <x:v>La revisión del dominio debe detectar la omisión relevante aunque la validación técnica acepte el objeto.</x:v>
      </x:c>
    </x:row>
  </x:sheetData>
  <x:mergeCells>
    <x:mergeCell ref="A1:D1"/>
    <x:mergeCell ref="A2:F2"/>
  </x:mergeCells>
  <x:pageMargins left="0.7" right="0.7" top="0.75" bottom="0.75" header="0.3" footer="0.3"/>
  <x:tableParts count="1">
    <x:tablePart xmlns:r="http://schemas.openxmlformats.org/officeDocument/2006/relationships" r:id="Rf4da306bcd9a4008"/>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57" hidden="0" customWidth="1"/>
    <x:col min="4" max="4" width="53" hidden="0" customWidth="1"/>
    <x:col min="5" max="5" width="45" hidden="0" customWidth="1"/>
    <x:col min="6" max="6" width="56" hidden="0" customWidth="1"/>
    <x:col min="7" max="7" width="79" hidden="0" customWidth="1"/>
    <x:col min="8" max="8" width="84" hidden="0" customWidth="1"/>
    <x:col min="9" max="9" width="88" hidden="0" customWidth="1"/>
    <x:col min="10" max="10" width="89" hidden="0" customWidth="1"/>
    <x:col min="11" max="11" width="13" hidden="0" customWidth="1"/>
    <x:col min="12" max="12" width="80" hidden="0" customWidth="1"/>
    <x:col min="13" max="13" width="39" hidden="0" customWidth="1"/>
    <x:col min="14" max="14" width="14" hidden="0" customWidth="1"/>
    <x:col min="15" max="15" width="17" hidden="0" customWidth="1"/>
  </x:cols>
  <x:sheetData>
    <x:row r="1" ht="35" customHeight="1">
      <x:c r="A1" s="6" t="str">
        <x:v>PREACOTACIÓN · 29 productos profesionales candidatos</x:v>
      </x:c>
      <x:c r="B1" s="6"/>
      <x:c r="C1" s="6"/>
      <x:c r="D1" s="6"/>
      <x:c r="E1" s="6"/>
      <x:c r="F1" s="6"/>
      <x:c r="G1" s="6"/>
      <x:c r="H1" s="6"/>
      <x:c r="I1" s="6"/>
      <x:c r="J1" s="6"/>
      <x:c r="K1" s="6"/>
      <x:c r="L1" s="6"/>
      <x:c r="M1" s="6"/>
      <x:c r="N1" s="6"/>
      <x:c r="O1" s="6"/>
    </x:row>
    <x:row r="2" ht="52" customHeight="1">
      <x:c r="A2" s="8" t="str">
        <x:v>Hipótesis finita de trabajo sobre v0.2. No cierra G0, no constituye universos y no estima parámetros. Los nombres y enlaces son síntesis propuesta de Watson.</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x:v>
      </x:c>
      <x:c r="B4" s="10" t="str">
        <x:v>Agrupación editorial</x:v>
      </x:c>
      <x:c r="C4" s="10" t="str">
        <x:v>Producto terminal</x:v>
      </x:c>
      <x:c r="D4" s="10" t="str">
        <x:v>Objeto</x:v>
      </x:c>
      <x:c r="E4" s="10" t="str">
        <x:v>Disparador</x:v>
      </x:c>
      <x:c r="F4" s="10" t="str">
        <x:v>Autoridad</x:v>
      </x:c>
      <x:c r="G4" s="10" t="str">
        <x:v>Frontera</x:v>
      </x:c>
      <x:c r="H4" s="10" t="str">
        <x:v>Finalización</x:v>
      </x:c>
      <x:c r="I4" s="10" t="str">
        <x:v>Conocimiento y saber hacer</x:v>
      </x:c>
      <x:c r="J4" s="10" t="str">
        <x:v>Consecuencia de omitirlo · potencial</x:v>
      </x:c>
      <x:c r="K4" s="10" t="str">
        <x:v>Ancla principal</x:v>
      </x:c>
      <x:c r="L4" s="10" t="str">
        <x:v>Localizador y complemento</x:v>
      </x:c>
      <x:c r="M4" s="10" t="str">
        <x:v>Estatuto</x:v>
      </x:c>
      <x:c r="N4" s="10" t="str">
        <x:v>Duplicado</x:v>
      </x:c>
      <x:c r="O4" s="10" t="str">
        <x:v>Campo ausente</x:v>
      </x:c>
    </x:row>
    <x:row r="5" ht="47" customHeight="1">
      <x:c r="A5" s="4" t="str">
        <x:v>CYO-01</x:v>
      </x:c>
      <x:c r="B5" s="4" t="str">
        <x:v>Gobierno</x:v>
      </x:c>
      <x:c r="C5" s="4" t="str">
        <x:v>Expediente de riesgo y opciones de tratamiento</x:v>
      </x:c>
      <x:c r="D5" s="4" t="str">
        <x:v>Sistema y objetivos delimitados</x:v>
      </x:c>
      <x:c r="E5" s="4" t="str">
        <x:v>Evaluación o cambio material</x:v>
      </x:c>
      <x:c r="F5" s="4" t="str">
        <x:v>Responsable de riesgo; decisión de Dirección</x:v>
      </x:c>
      <x:c r="G5" s="4" t="str">
        <x:v>Análisis no acepta riesgo ni impone inversión</x:v>
      </x:c>
      <x:c r="H5" s="4" t="str">
        <x:v>Riesgos, alternativas, coste total, valor protegido y decisión atribuida</x:v>
      </x:c>
      <x:c r="I5" s="4" t="str">
        <x:v>Estimar con supuestos, comparar alternativas y justificar consecuencias</x:v>
      </x:c>
      <x:c r="J5" s="4" t="str">
        <x:v>Una cifra de riesgo puede ocultar costes, dependencias y pérdidas no consideradas.</x:v>
      </x:c>
      <x:c r="K5" s="4" t="str">
        <x:v>R035</x:v>
      </x:c>
      <x:c r="L5" s="4" t="str">
        <x:v>IV: métodos, calibración, tratamiento y comunicación</x:v>
      </x:c>
      <x:c r="M5" s="4" t="str">
        <x:v>CANDIDATA PARA CONTRASTE</x:v>
      </x:c>
      <x:c r="N5" s="12" t="n">
        <x:f>COUNTIF('26_Mapa_universos'!$A$5:$A$33,A5)-1</x:f>
        <x:v>0</x:v>
      </x:c>
      <x:c r="O5" s="12" t="n">
        <x:f>COUNTBLANK(C5:H5)</x:f>
        <x:v>0</x:v>
      </x:c>
    </x:row>
    <x:row r="6" ht="47" customHeight="1">
      <x:c r="A6" s="4" t="str">
        <x:v>CYO-02</x:v>
      </x:c>
      <x:c r="B6" s="4" t="str">
        <x:v>Ingeniería</x:v>
      </x:c>
      <x:c r="C6" s="4" t="str">
        <x:v>Dictamen de arquitectura de seguridad</x:v>
      </x:c>
      <x:c r="D6" s="4" t="str">
        <x:v>Diseño y sus interfaces</x:v>
      </x:c>
      <x:c r="E6" s="4" t="str">
        <x:v>Nuevo diseño o modificación</x:v>
      </x:c>
      <x:c r="F6" s="4" t="str">
        <x:v>Arquitectura y propietario del sistema</x:v>
      </x:c>
      <x:c r="G6" s="4" t="str">
        <x:v>Diseño no autoriza puesta en servicio</x:v>
      </x:c>
      <x:c r="H6" s="4" t="str">
        <x:v>Requisitos, amenazas, alternativas y restricciones trazados</x:v>
      </x:c>
      <x:c r="I6" s="4" t="str">
        <x:v>Razonar sobre superficies, segmentación y dependencias</x:v>
      </x:c>
      <x:c r="J6" s="4" t="str">
        <x:v>Un control local puede dejar sin proteger una dependencia del servicio.</x:v>
      </x:c>
      <x:c r="K6" s="4" t="str">
        <x:v>R019</x:v>
      </x:c>
      <x:c r="L6" s="4" t="str">
        <x:v>IV: seguridad de redes; complemento R029 redes/nube</x:v>
      </x:c>
      <x:c r="M6" s="4" t="str">
        <x:v>CANDIDATA PARA CONTRASTE</x:v>
      </x:c>
      <x:c r="N6" s="12" t="n">
        <x:f>COUNTIF('26_Mapa_universos'!$A$5:$A$33,A6)-1</x:f>
        <x:v>0</x:v>
      </x:c>
      <x:c r="O6" s="12" t="n">
        <x:f>COUNTBLANK(C6:H6)</x:f>
        <x:v>0</x:v>
      </x:c>
    </x:row>
    <x:row r="7" ht="47" customHeight="1">
      <x:c r="A7" s="4" t="str">
        <x:v>CYO-03</x:v>
      </x:c>
      <x:c r="B7" s="4" t="str">
        <x:v>Ingeniería</x:v>
      </x:c>
      <x:c r="C7" s="4" t="str">
        <x:v>Expediente de autorización de acceso</x:v>
      </x:c>
      <x:c r="D7" s="4" t="str">
        <x:v>Sujeto, recurso y privilegio solicitado</x:v>
      </x:c>
      <x:c r="E7" s="4" t="str">
        <x:v>Alta, cambio, revisión o revocación</x:v>
      </x:c>
      <x:c r="F7" s="4" t="str">
        <x:v>Titular del recurso y autoridad de acceso</x:v>
      </x:c>
      <x:c r="G7" s="4" t="str">
        <x:v>Rol o recomendación no concede permiso</x:v>
      </x:c>
      <x:c r="H7" s="4" t="str">
        <x:v>Permiso, alcance, vigencia y responsable explícitos o insuficiencia</x:v>
      </x:c>
      <x:c r="I7" s="4" t="str">
        <x:v>Distinguir identidad, autenticación, autorización y privilegio efectivo</x:v>
      </x:c>
      <x:c r="J7" s="4" t="str">
        <x:v>Identificar al usuario no demuestra que deba disponer de ese acceso.</x:v>
      </x:c>
      <x:c r="K7" s="4" t="str">
        <x:v>R024</x:v>
      </x:c>
      <x:c r="L7" s="4" t="str">
        <x:v>IV: acceso y seguridad de datos; contraste NICE T1548</x:v>
      </x:c>
      <x:c r="M7" s="4" t="str">
        <x:v>CANDIDATA PARA CONTRASTE</x:v>
      </x:c>
      <x:c r="N7" s="12" t="n">
        <x:f>COUNTIF('26_Mapa_universos'!$A$5:$A$33,A7)-1</x:f>
        <x:v>0</x:v>
      </x:c>
      <x:c r="O7" s="12" t="n">
        <x:f>COUNTBLANK(C7:H7)</x:f>
        <x:v>0</x:v>
      </x:c>
    </x:row>
    <x:row r="8" ht="47" customHeight="1">
      <x:c r="A8" s="4" t="str">
        <x:v>CYO-04</x:v>
      </x:c>
      <x:c r="B8" s="4" t="str">
        <x:v>Evaluación y respuesta</x:v>
      </x:c>
      <x:c r="C8" s="4" t="str">
        <x:v>Informe de evaluación técnica autorizada</x:v>
      </x:c>
      <x:c r="D8" s="4" t="str">
        <x:v>Superficie y técnicas contratadas</x:v>
      </x:c>
      <x:c r="E8" s="4" t="str">
        <x:v>Encargo con reglas de actuación</x:v>
      </x:c>
      <x:c r="F8" s="4" t="str">
        <x:v>Evaluador y titular del alcance</x:v>
      </x:c>
      <x:c r="G8" s="4" t="str">
        <x:v>Hallazgo no es explotación demostrada ni corrección</x:v>
      </x:c>
      <x:c r="H8" s="4" t="str">
        <x:v>Método, evidencias, límites y hallazgos entregados</x:v>
      </x:c>
      <x:c r="I8" s="4" t="str">
        <x:v>Diseñar y ejecutar pruebas delimitadas; informar incertidumbre</x:v>
      </x:c>
      <x:c r="J8" s="4" t="str">
        <x:v>Una prueba fuera de alcance puede producir daño sin autorización.</x:v>
      </x:c>
      <x:c r="K8" s="4" t="str">
        <x:v>R034</x:v>
      </x:c>
      <x:c r="L8" s="4" t="str">
        <x:v>IV: alcance, fases y pruebas; R015 como base</x:v>
      </x:c>
      <x:c r="M8" s="4" t="str">
        <x:v>CANDIDATA PARA CONTRASTE</x:v>
      </x:c>
      <x:c r="N8" s="12" t="n">
        <x:f>COUNTIF('26_Mapa_universos'!$A$5:$A$33,A8)-1</x:f>
        <x:v>0</x:v>
      </x:c>
      <x:c r="O8" s="12" t="n">
        <x:f>COUNTBLANK(C8:H8)</x:f>
        <x:v>0</x:v>
      </x:c>
    </x:row>
    <x:row r="9" ht="47" customHeight="1">
      <x:c r="A9" s="4" t="str">
        <x:v>CYO-05</x:v>
      </x:c>
      <x:c r="B9" s="4" t="str">
        <x:v>Ingeniería</x:v>
      </x:c>
      <x:c r="C9" s="4" t="str">
        <x:v>Dictamen de seguridad de entrega de software</x:v>
      </x:c>
      <x:c r="D9" s="4" t="str">
        <x:v>Versión, construcción y dependencias</x:v>
      </x:c>
      <x:c r="E9" s="4" t="str">
        <x:v>Entrega o actualización candidata</x:v>
      </x:c>
      <x:c r="F9" s="4" t="str">
        <x:v>Desarrollo, verificación y responsable de entrega</x:v>
      </x:c>
      <x:c r="G9" s="4" t="str">
        <x:v>No despliega; evaluación de comportamiento aprendido se contrasta en CYO-23</x:v>
      </x:c>
      <x:c r="H9" s="4" t="str">
        <x:v>Pruebas y defectos atribuibles a la versión identificada</x:v>
      </x:c>
      <x:c r="I9" s="4" t="str">
        <x:v>Rastrear defectos entre requisitos, código, pruebas y versión</x:v>
      </x:c>
      <x:c r="J9" s="4" t="str">
        <x:v>Probar otra construcción deja sin evidencia la entrega examinada.</x:v>
      </x:c>
      <x:c r="K9" s="4" t="str">
        <x:v>R028</x:v>
      </x:c>
      <x:c r="L9" s="4" t="str">
        <x:v>IV: desarrollo y análisis seguro; R023 ingeniería</x:v>
      </x:c>
      <x:c r="M9" s="4" t="str">
        <x:v>CANDIDATA PARA CONTRASTE</x:v>
      </x:c>
      <x:c r="N9" s="12" t="n">
        <x:f>COUNTIF('26_Mapa_universos'!$A$5:$A$33,A9)-1</x:f>
        <x:v>0</x:v>
      </x:c>
      <x:c r="O9" s="12" t="n">
        <x:f>COUNTBLANK(C9:H9)</x:f>
        <x:v>0</x:v>
      </x:c>
    </x:row>
    <x:row r="10" ht="47" customHeight="1">
      <x:c r="A10" s="4" t="str">
        <x:v>CYO-06</x:v>
      </x:c>
      <x:c r="B10" s="4" t="str">
        <x:v>Gobierno</x:v>
      </x:c>
      <x:c r="C10" s="4" t="str">
        <x:v>Evaluación de proveedor o dependencia externa</x:v>
      </x:c>
      <x:c r="D10" s="4" t="str">
        <x:v>Servicio, componente o proveedor delimitado</x:v>
      </x:c>
      <x:c r="E10" s="4" t="str">
        <x:v>Adquisición, renovación o cambio</x:v>
      </x:c>
      <x:c r="F10" s="4" t="str">
        <x:v>Adquisiciones y propietario del riesgo</x:v>
      </x:c>
      <x:c r="G10" s="4" t="str">
        <x:v>Certificado no extiende confianza a toda la cadena</x:v>
      </x:c>
      <x:c r="H10" s="4" t="str">
        <x:v>Condiciones, evidencias y riesgos para la admisión</x:v>
      </x:c>
      <x:c r="I10" s="4" t="str">
        <x:v>Valorar dependencia, garantías verificables y responsabilidad</x:v>
      </x:c>
      <x:c r="J10" s="4" t="str">
        <x:v>Una dependencia no evaluada puede trasladar riesgo al servicio.</x:v>
      </x:c>
      <x:c r="K10" s="4" t="str">
        <x:v>R035</x:v>
      </x:c>
      <x:c r="L10" s="4" t="str">
        <x:v>IV: transferencia y tratamiento; NICE OG-WRL-017 como contraste</x:v>
      </x:c>
      <x:c r="M10" s="4" t="str">
        <x:v>CANDIDATA PARA CONTRASTE</x:v>
      </x:c>
      <x:c r="N10" s="12" t="n">
        <x:f>COUNTIF('26_Mapa_universos'!$A$5:$A$33,A10)-1</x:f>
        <x:v>0</x:v>
      </x:c>
      <x:c r="O10" s="12" t="n">
        <x:f>COUNTBLANK(C10:H10)</x:f>
        <x:v>0</x:v>
      </x:c>
    </x:row>
    <x:row r="11" ht="47" customHeight="1">
      <x:c r="A11" s="4" t="str">
        <x:v>CYO-07</x:v>
      </x:c>
      <x:c r="B11" s="4" t="str">
        <x:v>Evaluación y respuesta</x:v>
      </x:c>
      <x:c r="C11" s="4" t="str">
        <x:v>Informe de triaje de una alerta</x:v>
      </x:c>
      <x:c r="D11" s="4" t="str">
        <x:v>Alerta y evidencias de un episodio</x:v>
      </x:c>
      <x:c r="E11" s="4" t="str">
        <x:v>Recepción o revisión fundada</x:v>
      </x:c>
      <x:c r="F11" s="4" t="str">
        <x:v>Analista responsable y supervisor</x:v>
      </x:c>
      <x:c r="G11" s="4" t="str">
        <x:v>No ejecuta contención; IA es apoyo opcional declarado</x:v>
      </x:c>
      <x:c r="H11" s="4" t="str">
        <x:v>Clasificación fundada, escalado o insuficiencia delimitada</x:v>
      </x:c>
      <x:c r="I11" s="4" t="str">
        <x:v>Contrastar señales, calidad de evidencia y contexto de servicio</x:v>
      </x:c>
      <x:c r="J11" s="4" t="str">
        <x:v>Ausencia de señal puede confundirse con ausencia de actividad.</x:v>
      </x:c>
      <x:c r="K11" s="4" t="str">
        <x:v>R033</x:v>
      </x:c>
      <x:c r="L11" s="4" t="str">
        <x:v>IV: SOC, correlación y gestión de incidentes</x:v>
      </x:c>
      <x:c r="M11" s="4" t="str">
        <x:v>CANDIDATA PARA CONTRASTE</x:v>
      </x:c>
      <x:c r="N11" s="12" t="n">
        <x:f>COUNTIF('26_Mapa_universos'!$A$5:$A$33,A11)-1</x:f>
        <x:v>0</x:v>
      </x:c>
      <x:c r="O11" s="12" t="n">
        <x:f>COUNTBLANK(C11:H11)</x:f>
        <x:v>0</x:v>
      </x:c>
    </x:row>
    <x:row r="12" ht="47" customHeight="1">
      <x:c r="A12" s="4" t="str">
        <x:v>CYO-08</x:v>
      </x:c>
      <x:c r="B12" s="4" t="str">
        <x:v>Evaluación y respuesta</x:v>
      </x:c>
      <x:c r="C12" s="4" t="str">
        <x:v>Informe de inteligencia de amenazas</x:v>
      </x:c>
      <x:c r="D12" s="4" t="str">
        <x:v>Pregunta de inteligencia y destinatario</x:v>
      </x:c>
      <x:c r="E12" s="4" t="str">
        <x:v>Solicitud o revisión de amenazas</x:v>
      </x:c>
      <x:c r="F12" s="4" t="str">
        <x:v>Analista y destinatario legitimado</x:v>
      </x:c>
      <x:c r="G12" s="4" t="str">
        <x:v>Confianza analítica no demuestra autoría ni predice como hecho</x:v>
      </x:c>
      <x:c r="H12" s="4" t="str">
        <x:v>Fuentes, evaluación, incertidumbre y límites comunicados</x:v>
      </x:c>
      <x:c r="I12" s="4" t="str">
        <x:v>Relacionar fuentes y contexto con una pregunta profesional</x:v>
      </x:c>
      <x:c r="J12" s="4" t="str">
        <x:v>Una atribución no sostenida puede orientar una defensa equivocada.</x:v>
      </x:c>
      <x:c r="K12" s="4" t="str">
        <x:v>R033</x:v>
      </x:c>
      <x:c r="L12" s="4" t="str">
        <x:v>IV: inteligencia de amenazas</x:v>
      </x:c>
      <x:c r="M12" s="4" t="str">
        <x:v>CANDIDATA PARA CONTRASTE</x:v>
      </x:c>
      <x:c r="N12" s="12" t="n">
        <x:f>COUNTIF('26_Mapa_universos'!$A$5:$A$33,A12)-1</x:f>
        <x:v>0</x:v>
      </x:c>
      <x:c r="O12" s="12" t="n">
        <x:f>COUNTBLANK(C12:H12)</x:f>
        <x:v>0</x:v>
      </x:c>
    </x:row>
    <x:row r="13" ht="47" customHeight="1">
      <x:c r="A13" s="4" t="str">
        <x:v>CYO-09</x:v>
      </x:c>
      <x:c r="B13" s="4" t="str">
        <x:v>Evaluación y respuesta</x:v>
      </x:c>
      <x:c r="C13" s="4" t="str">
        <x:v>Plan de respuesta a incidente</x:v>
      </x:c>
      <x:c r="D13" s="4" t="str">
        <x:v>Incidente y servicios afectados</x:v>
      </x:c>
      <x:c r="E13" s="4" t="str">
        <x:v>Incidente admitido en el alcance</x:v>
      </x:c>
      <x:c r="F13" s="4" t="str">
        <x:v>Coordinador y autoridad de intervención</x:v>
      </x:c>
      <x:c r="G13" s="4" t="str">
        <x:v>Plan, aprobación y ejecución permanecen separados</x:v>
      </x:c>
      <x:c r="H13" s="4" t="str">
        <x:v>Opciones, efectos previstos, permisos y condiciones de parada</x:v>
      </x:c>
      <x:c r="I13" s="4" t="str">
        <x:v>Planificar contención y recuperación considerando efectos laterales</x:v>
      </x:c>
      <x:c r="J13" s="4" t="str">
        <x:v>Una medida puede interrumpir más de lo que protege.</x:v>
      </x:c>
      <x:c r="K13" s="4" t="str">
        <x:v>R033</x:v>
      </x:c>
      <x:c r="L13" s="4" t="str">
        <x:v>IV: respuesta; R035 balance de tratamiento</x:v>
      </x:c>
      <x:c r="M13" s="4" t="str">
        <x:v>CANDIDATA PARA CONTRASTE</x:v>
      </x:c>
      <x:c r="N13" s="12" t="n">
        <x:f>COUNTIF('26_Mapa_universos'!$A$5:$A$33,A13)-1</x:f>
        <x:v>0</x:v>
      </x:c>
      <x:c r="O13" s="12" t="n">
        <x:f>COUNTBLANK(C13:H13)</x:f>
        <x:v>0</x:v>
      </x:c>
    </x:row>
    <x:row r="14" ht="47" customHeight="1">
      <x:c r="A14" s="4" t="str">
        <x:v>CYO-10</x:v>
      </x:c>
      <x:c r="B14" s="4" t="str">
        <x:v>Evaluación y respuesta</x:v>
      </x:c>
      <x:c r="C14" s="4" t="str">
        <x:v>Informe forense y expediente de evidencia</x:v>
      </x:c>
      <x:c r="D14" s="4" t="str">
        <x:v>Fuentes digitales identificadas</x:v>
      </x:c>
      <x:c r="E14" s="4" t="str">
        <x:v>Encargo investigador o preservación</x:v>
      </x:c>
      <x:c r="F14" s="4" t="str">
        <x:v>Analista forense y custodio</x:v>
      </x:c>
      <x:c r="G14" s="4" t="str">
        <x:v>No decide culpabilidad ni admisibilidad judicial</x:v>
      </x:c>
      <x:c r="H14" s="4" t="str">
        <x:v>Adquisición, integridad, transformación, análisis y límites trazados</x:v>
      </x:c>
      <x:c r="I14" s="4" t="str">
        <x:v>Separar original, copia, transformación, observación e interpretación</x:v>
      </x:c>
      <x:c r="J14" s="4" t="str">
        <x:v>Perder procedencia impide sostener una conclusión con esa evidencia.</x:v>
      </x:c>
      <x:c r="K14" s="4" t="str">
        <x:v>R033</x:v>
      </x:c>
      <x:c r="L14" s="4" t="str">
        <x:v>IV: DFIR y cadena de custodia</x:v>
      </x:c>
      <x:c r="M14" s="4" t="str">
        <x:v>CANDIDATA PARA CONTRASTE</x:v>
      </x:c>
      <x:c r="N14" s="12" t="n">
        <x:f>COUNTIF('26_Mapa_universos'!$A$5:$A$33,A14)-1</x:f>
        <x:v>0</x:v>
      </x:c>
      <x:c r="O14" s="12" t="n">
        <x:f>COUNTBLANK(C14:H14)</x:f>
        <x:v>0</x:v>
      </x:c>
    </x:row>
    <x:row r="15" ht="47" customHeight="1">
      <x:c r="A15" s="4" t="str">
        <x:v>CYO-11</x:v>
      </x:c>
      <x:c r="B15" s="4" t="str">
        <x:v>Evaluación y respuesta</x:v>
      </x:c>
      <x:c r="C15" s="4" t="str">
        <x:v>Informe de preparación y prueba de recuperación</x:v>
      </x:c>
      <x:c r="D15" s="4" t="str">
        <x:v>Servicio, copias y plan de continuidad</x:v>
      </x:c>
      <x:c r="E15" s="4" t="str">
        <x:v>Ensayo o revisión programada</x:v>
      </x:c>
      <x:c r="F15" s="4" t="str">
        <x:v>Continuidad y propietario del servicio</x:v>
      </x:c>
      <x:c r="G15" s="4" t="str">
        <x:v>Ensayo no acredita restauración de un incidente real</x:v>
      </x:c>
      <x:c r="H15" s="4" t="str">
        <x:v>Resultados del ensayo frente a requisitos y carencias</x:v>
      </x:c>
      <x:c r="I15" s="4" t="str">
        <x:v>Ensayar recuperación con dependencias, objetivos y límites</x:v>
      </x:c>
      <x:c r="J15" s="4" t="str">
        <x:v>Una copia existente puede resultar inútil al necesitar recuperación.</x:v>
      </x:c>
      <x:c r="K15" s="4" t="str">
        <x:v>R033</x:v>
      </x:c>
      <x:c r="L15" s="4" t="str">
        <x:v>IV: BCP/DRP, RPO y RTO</x:v>
      </x:c>
      <x:c r="M15" s="4" t="str">
        <x:v>CANDIDATA PARA CONTRASTE</x:v>
      </x:c>
      <x:c r="N15" s="12" t="n">
        <x:f>COUNTIF('26_Mapa_universos'!$A$5:$A$33,A15)-1</x:f>
        <x:v>0</x:v>
      </x:c>
      <x:c r="O15" s="12" t="n">
        <x:f>COUNTBLANK(C15:H15)</x:f>
        <x:v>0</x:v>
      </x:c>
    </x:row>
    <x:row r="16" ht="47" customHeight="1">
      <x:c r="A16" s="4" t="str">
        <x:v>CYO-12</x:v>
      </x:c>
      <x:c r="B16" s="4" t="str">
        <x:v>Ingeniería</x:v>
      </x:c>
      <x:c r="C16" s="4" t="str">
        <x:v>Expediente de cambio y mantenimiento seguro</x:v>
      </x:c>
      <x:c r="D16" s="4" t="str">
        <x:v>Activo, configuración y cambio</x:v>
      </x:c>
      <x:c r="E16" s="4" t="str">
        <x:v>Alta, mantenimiento, cambio o retirada</x:v>
      </x:c>
      <x:c r="F16" s="4" t="str">
        <x:v>Operación y propietario del cambio</x:v>
      </x:c>
      <x:c r="G16" s="4" t="str">
        <x:v>Cambio registrado no acredita efecto; crisis tiene mando CYO-24</x:v>
      </x:c>
      <x:c r="H16" s="4" t="str">
        <x:v>Estado previo, actuación autorizada, comprobación y residual</x:v>
      </x:c>
      <x:c r="I16" s="4" t="str">
        <x:v>Comprender ejecución y aislamiento; comprobar el efecto del cambio</x:v>
      </x:c>
      <x:c r="J16" s="4" t="str">
        <x:v>Documentar una configuración deseada no demuestra la efectiva.</x:v>
      </x:c>
      <x:c r="K16" s="4" t="str">
        <x:v>R025</x:v>
      </x:c>
      <x:c r="L16" s="4" t="str">
        <x:v>IV: sistemas operativos; R019 configuración segura</x:v>
      </x:c>
      <x:c r="M16" s="4" t="str">
        <x:v>CANDIDATA PARA CONTRASTE</x:v>
      </x:c>
      <x:c r="N16" s="12" t="n">
        <x:f>COUNTIF('26_Mapa_universos'!$A$5:$A$33,A16)-1</x:f>
        <x:v>0</x:v>
      </x:c>
      <x:c r="O16" s="12" t="n">
        <x:f>COUNTBLANK(C16:H16)</x:f>
        <x:v>0</x:v>
      </x:c>
    </x:row>
    <x:row r="17" ht="47" customHeight="1">
      <x:c r="A17" s="4" t="str">
        <x:v>CYO-13</x:v>
      </x:c>
      <x:c r="B17" s="4" t="str">
        <x:v>Ingeniería</x:v>
      </x:c>
      <x:c r="C17" s="4" t="str">
        <x:v>Dictamen de protección criptográfica</x:v>
      </x:c>
      <x:c r="D17" s="4" t="str">
        <x:v>Datos, claves y protocolo</x:v>
      </x:c>
      <x:c r="E17" s="4" t="str">
        <x:v>Diseño o revisión de protección</x:v>
      </x:c>
      <x:c r="F17" s="4" t="str">
        <x:v>Responsable criptográfico y del servicio</x:v>
      </x:c>
      <x:c r="G17" s="4" t="str">
        <x:v>Cifrar no acredita por sí solo autenticidad ni custodia de claves</x:v>
      </x:c>
      <x:c r="H17" s="4" t="str">
        <x:v>Propiedades, supuestos, ciclo de claves y límites identificados</x:v>
      </x:c>
      <x:c r="I17" s="4" t="str">
        <x:v>Elegir y analizar construcciones según la propiedad necesaria</x:v>
      </x:c>
      <x:c r="J17" s="4" t="str">
        <x:v>Confundir hash, firma y cifrado puede dejar sin garantía el objetivo.</x:v>
      </x:c>
      <x:c r="K17" s="4" t="str">
        <x:v>R007</x:v>
      </x:c>
      <x:c r="L17" s="4" t="str">
        <x:v>IV: cifrado, autenticación, hash y firma</x:v>
      </x:c>
      <x:c r="M17" s="4" t="str">
        <x:v>CANDIDATA PARA CONTRASTE</x:v>
      </x:c>
      <x:c r="N17" s="12" t="n">
        <x:f>COUNTIF('26_Mapa_universos'!$A$5:$A$33,A17)-1</x:f>
        <x:v>0</x:v>
      </x:c>
      <x:c r="O17" s="12" t="n">
        <x:f>COUNTBLANK(C17:H17)</x:f>
        <x:v>0</x:v>
      </x:c>
    </x:row>
    <x:row r="18" ht="47" customHeight="1">
      <x:c r="A18" s="4" t="str">
        <x:v>CYO-14</x:v>
      </x:c>
      <x:c r="B18" s="4" t="str">
        <x:v>Ciberfísico</x:v>
      </x:c>
      <x:c r="C18" s="4" t="str">
        <x:v>Dictamen de seguridad de cambio OT</x:v>
      </x:c>
      <x:c r="D18" s="4" t="str">
        <x:v>Proceso físico y sistema de control</x:v>
      </x:c>
      <x:c r="E18" s="4" t="str">
        <x:v>Cambio o hallazgo con efecto físico</x:v>
      </x:c>
      <x:c r="F18" s="4" t="str">
        <x:v>Ingeniería OT, operación y autoridad de seguridad física</x:v>
      </x:c>
      <x:c r="G18" s="4" t="str">
        <x:v>Prueba en planta exige autorización propia</x:v>
      </x:c>
      <x:c r="H18" s="4" t="str">
        <x:v>Dependencias físicas, riesgos y condiciones de intervención</x:v>
      </x:c>
      <x:c r="I18" s="4" t="str">
        <x:v>Analizar cascadas y compatibilidad entre seguridad y operación</x:v>
      </x:c>
      <x:c r="J18" s="4" t="str">
        <x:v>Una respuesta digital puede afectar a la continuidad o al proceso físico.</x:v>
      </x:c>
      <x:c r="K18" s="4" t="str">
        <x:v>R036</x:v>
      </x:c>
      <x:c r="L18" s="4" t="str">
        <x:v>IV: infraestructuras e interdependencias</x:v>
      </x:c>
      <x:c r="M18" s="4" t="str">
        <x:v>CANDIDATA PARA CONTRASTE</x:v>
      </x:c>
      <x:c r="N18" s="12" t="n">
        <x:f>COUNTIF('26_Mapa_universos'!$A$5:$A$33,A18)-1</x:f>
        <x:v>0</x:v>
      </x:c>
      <x:c r="O18" s="12" t="n">
        <x:f>COUNTBLANK(C18:H18)</x:f>
        <x:v>0</x:v>
      </x:c>
    </x:row>
    <x:row r="19" ht="47" customHeight="1">
      <x:c r="A19" s="4" t="str">
        <x:v>CYO-15</x:v>
      </x:c>
      <x:c r="B19" s="4" t="str">
        <x:v>Gobierno</x:v>
      </x:c>
      <x:c r="C19" s="4" t="str">
        <x:v>Evaluación de admisibilidad de un uso de IA</x:v>
      </x:c>
      <x:c r="D19" s="4" t="str">
        <x:v>Propósito, sistema, datos, actores y organización</x:v>
      </x:c>
      <x:c r="E19" s="4" t="str">
        <x:v>Nuevo uso o cambio material</x:v>
      </x:c>
      <x:c r="F19" s="4" t="str">
        <x:v>Propietario del uso y autoridad humana de admisión</x:v>
      </x:c>
      <x:c r="G19" s="4" t="str">
        <x:v>Validez técnica de CYO-23 no concede permiso; no habilita autonomía</x:v>
      </x:c>
      <x:c r="H19" s="4" t="str">
        <x:v>Evidencias, límites, supervisión y decisión humana atribuida</x:v>
      </x:c>
      <x:c r="I19" s="4" t="str">
        <x:v>Juzgar adecuación al uso con afectados, alternativas y límites</x:v>
      </x:c>
      <x:c r="J19" s="4" t="str">
        <x:v>Un modelo técnicamente válido puede ser improcedente para ese uso.</x:v>
      </x:c>
      <x:c r="K19" s="4" t="str">
        <x:v>M003</x:v>
      </x:c>
      <x:c r="L19" s="4" t="str">
        <x:v>CLO: confianza, ética y evaluación; R037 gobierno</x:v>
      </x:c>
      <x:c r="M19" s="4" t="str">
        <x:v>CANDIDATA PARA CONTRASTE</x:v>
      </x:c>
      <x:c r="N19" s="12" t="n">
        <x:f>COUNTIF('26_Mapa_universos'!$A$5:$A$33,A19)-1</x:f>
        <x:v>0</x:v>
      </x:c>
      <x:c r="O19" s="12" t="n">
        <x:f>COUNTBLANK(C19:H19)</x:f>
        <x:v>0</x:v>
      </x:c>
    </x:row>
    <x:row r="20" ht="47" customHeight="1">
      <x:c r="A20" s="4" t="str">
        <x:v>CYO-16</x:v>
      </x:c>
      <x:c r="B20" s="4" t="str">
        <x:v>Gobierno</x:v>
      </x:c>
      <x:c r="C20" s="4" t="str">
        <x:v>Informe de auditoría de controles</x:v>
      </x:c>
      <x:c r="D20" s="4" t="str">
        <x:v>Sistema y criterios aplicables</x:v>
      </x:c>
      <x:c r="E20" s="4" t="str">
        <x:v>Encargo de evaluación con independencia declarada</x:v>
      </x:c>
      <x:c r="F20" s="4" t="str">
        <x:v>Auditor con mandato y destinatario</x:v>
      </x:c>
      <x:c r="G20" s="4" t="str">
        <x:v>No equivale a certificación acreditada ni subsanación</x:v>
      </x:c>
      <x:c r="H20" s="4" t="str">
        <x:v>Evidencias, hallazgos, contradicciones y alcance comunicados</x:v>
      </x:c>
      <x:c r="I20" s="4" t="str">
        <x:v>Planificar pruebas y sostener conclusiones frente a criterios</x:v>
      </x:c>
      <x:c r="J20" s="4" t="str">
        <x:v>Una comprobación superficial puede ocultar un incumplimiento material.</x:v>
      </x:c>
      <x:c r="K20" s="4" t="str">
        <x:v>R032</x:v>
      </x:c>
      <x:c r="L20" s="4" t="str">
        <x:v>II/IV: auditoría y evidencia</x:v>
      </x:c>
      <x:c r="M20" s="4" t="str">
        <x:v>CANDIDATA PARA CONTRASTE</x:v>
      </x:c>
      <x:c r="N20" s="12" t="n">
        <x:f>COUNTIF('26_Mapa_universos'!$A$5:$A$33,A20)-1</x:f>
        <x:v>0</x:v>
      </x:c>
      <x:c r="O20" s="12" t="n">
        <x:f>COUNTBLANK(C20:H20)</x:f>
        <x:v>0</x:v>
      </x:c>
    </x:row>
    <x:row r="21" ht="47" customHeight="1">
      <x:c r="A21" s="4" t="str">
        <x:v>CYO-17</x:v>
      </x:c>
      <x:c r="B21" s="4" t="str">
        <x:v>Gobierno</x:v>
      </x:c>
      <x:c r="C21" s="4" t="str">
        <x:v>Dictamen de aplicabilidad jurídica y privacidad</x:v>
      </x:c>
      <x:c r="D21" s="4" t="str">
        <x:v>Entidad, actividad, tratamiento y jurisdicción</x:v>
      </x:c>
      <x:c r="E21" s="4" t="str">
        <x:v>Uso, incidente o cambio regulatorio</x:v>
      </x:c>
      <x:c r="F21" s="4" t="str">
        <x:v>Asesoría jurídica y privacidad competentes</x:v>
      </x:c>
      <x:c r="G21" s="4" t="str">
        <x:v>La IA no confiere habilitación jurídica ni crea una base legal</x:v>
      </x:c>
      <x:c r="H21" s="4" t="str">
        <x:v>Aplicabilidad, incertidumbres y remisión a autoridad competente</x:v>
      </x:c>
      <x:c r="I21" s="4" t="str">
        <x:v>Distinguir regla aplicable, supuesto y autoridad</x:v>
      </x:c>
      <x:c r="J21" s="4" t="str">
        <x:v>Importar una obligación por analogía puede producir un consejo improcedente.</x:v>
      </x:c>
      <x:c r="K21" s="4" t="str">
        <x:v>R012</x:v>
      </x:c>
      <x:c r="L21" s="4" t="str">
        <x:v>IV: derecho; textos vigentes concretos requieren examen propio</x:v>
      </x:c>
      <x:c r="M21" s="4" t="str">
        <x:v>CANDIDATA PARA CONTRASTE</x:v>
      </x:c>
      <x:c r="N21" s="12" t="n">
        <x:f>COUNTIF('26_Mapa_universos'!$A$5:$A$33,A21)-1</x:f>
        <x:v>0</x:v>
      </x:c>
      <x:c r="O21" s="12" t="n">
        <x:f>COUNTBLANK(C21:H21)</x:f>
        <x:v>0</x:v>
      </x:c>
    </x:row>
    <x:row r="22" ht="47" customHeight="1">
      <x:c r="A22" s="4" t="str">
        <x:v>CYO-18</x:v>
      </x:c>
      <x:c r="B22" s="4" t="str">
        <x:v>Conocimiento</x:v>
      </x:c>
      <x:c r="C22" s="4" t="str">
        <x:v>Dictamen de diseño o revisión formativa</x:v>
      </x:c>
      <x:c r="D22" s="4" t="str">
        <x:v>Programa y necesidades profesionales</x:v>
      </x:c>
      <x:c r="E22" s="4" t="str">
        <x:v>Nueva formación o revisión de eficacia</x:v>
      </x:c>
      <x:c r="F22" s="4" t="str">
        <x:v>Responsable curricular y profesional</x:v>
      </x:c>
      <x:c r="G22" s="4" t="str">
        <x:v>Diseñar no demuestra aprendizaje individual</x:v>
      </x:c>
      <x:c r="H22" s="4" t="str">
        <x:v>Objetivos, progresión, práctica y evaluación trazados</x:v>
      </x:c>
      <x:c r="I22" s="4" t="str">
        <x:v>Diseñar aprendizaje que permita justificar decisiones y sus consecuencias</x:v>
      </x:c>
      <x:c r="J22" s="4" t="str">
        <x:v>Un temario sin práctica evaluada no acredita juicio profesional.</x:v>
      </x:c>
      <x:c r="K22" s="4" t="str">
        <x:v>R040</x:v>
      </x:c>
      <x:c r="L22" s="4" t="str">
        <x:v>II/IV/VII.A: integración y evaluación; NICE OG-WRL-003/004</x:v>
      </x:c>
      <x:c r="M22" s="4" t="str">
        <x:v>CANDIDATA PARA CONTRASTE</x:v>
      </x:c>
      <x:c r="N22" s="12" t="n">
        <x:f>COUNTIF('26_Mapa_universos'!$A$5:$A$33,A22)-1</x:f>
        <x:v>0</x:v>
      </x:c>
      <x:c r="O22" s="12" t="n">
        <x:f>COUNTBLANK(C22:H22)</x:f>
        <x:v>0</x:v>
      </x:c>
    </x:row>
    <x:row r="23" ht="47" customHeight="1">
      <x:c r="A23" s="4" t="str">
        <x:v>CYO-19</x:v>
      </x:c>
      <x:c r="B23" s="4" t="str">
        <x:v>Conocimiento</x:v>
      </x:c>
      <x:c r="C23" s="4" t="str">
        <x:v>Resultado de investigación evaluable</x:v>
      </x:c>
      <x:c r="D23" s="4" t="str">
        <x:v>Pregunta delimitada de ciberseguridad</x:v>
      </x:c>
      <x:c r="E23" s="4" t="str">
        <x:v>Necesidad de conocimiento o contraste</x:v>
      </x:c>
      <x:c r="F23" s="4" t="str">
        <x:v>Investigador y revisor</x:v>
      </x:c>
      <x:c r="G23" s="4" t="str">
        <x:v>Resultado nuevo no actualiza por sí solo el dominio</x:v>
      </x:c>
      <x:c r="H23" s="4" t="str">
        <x:v>Pregunta, método, resultados, límites y revisión documentados</x:v>
      </x:c>
      <x:c r="I23" s="4" t="str">
        <x:v>Contrastar hipótesis y comunicar validez y límites</x:v>
      </x:c>
      <x:c r="J23" s="4" t="str">
        <x:v>Adoptar una novedad sin evaluar evidencia puede degradar el dominio.</x:v>
      </x:c>
      <x:c r="K23" s="4" t="str">
        <x:v>W016</x:v>
      </x:c>
      <x:c r="L23" s="4" t="str">
        <x:v>Learning outcomes: método y lectura crítica; R040</x:v>
      </x:c>
      <x:c r="M23" s="4" t="str">
        <x:v>CANDIDATA PARA CONTRASTE</x:v>
      </x:c>
      <x:c r="N23" s="12" t="n">
        <x:f>COUNTIF('26_Mapa_universos'!$A$5:$A$33,A23)-1</x:f>
        <x:v>0</x:v>
      </x:c>
      <x:c r="O23" s="12" t="n">
        <x:f>COUNTBLANK(C23:H23)</x:f>
        <x:v>0</x:v>
      </x:c>
    </x:row>
    <x:row r="24" ht="47" customHeight="1">
      <x:c r="A24" s="4" t="str">
        <x:v>CYO-20</x:v>
      </x:c>
      <x:c r="B24" s="4" t="str">
        <x:v>Frontera condicionada</x:v>
      </x:c>
      <x:c r="C24" s="4" t="str">
        <x:v>Expediente de investigación de ciberdelito</x:v>
      </x:c>
      <x:c r="D24" s="4" t="str">
        <x:v>Hechos y evidencia bajo mandato legal</x:v>
      </x:c>
      <x:c r="E24" s="4" t="str">
        <x:v>Encargo de autoridad investigadora</x:v>
      </x:c>
      <x:c r="F24" s="4" t="str">
        <x:v>Autoridad legal y equipo habilitado</x:v>
      </x:c>
      <x:c r="G24" s="4" t="str">
        <x:v>Frontera institucional; no competencia asumida por este dominio</x:v>
      </x:c>
      <x:c r="H24" s="4" t="str">
        <x:v>Entrega conforme al mandato o bloqueo por falta de habilitación</x:v>
      </x:c>
      <x:c r="I24" s="4" t="str">
        <x:v>Distinguir análisis técnico, investigación legal y atribución</x:v>
      </x:c>
      <x:c r="J24" s="4" t="str">
        <x:v>Confundir un indicio técnico con culpabilidad excede la competencia.</x:v>
      </x:c>
      <x:c r="K24" s="4" t="str">
        <x:v>R012</x:v>
      </x:c>
      <x:c r="L24" s="4" t="str">
        <x:v>Ancla educativa jurídica; NICE IN-WRL-001 aporta el rol profesional</x:v>
      </x:c>
      <x:c r="M24" s="4" t="str">
        <x:v>FRONTERA CONDICIONADA</x:v>
      </x:c>
      <x:c r="N24" s="12" t="n">
        <x:f>COUNTIF('26_Mapa_universos'!$A$5:$A$33,A24)-1</x:f>
        <x:v>0</x:v>
      </x:c>
      <x:c r="O24" s="12" t="n">
        <x:f>COUNTBLANK(C24:H24)</x:f>
        <x:v>0</x:v>
      </x:c>
    </x:row>
    <x:row r="25" ht="47" customHeight="1">
      <x:c r="A25" s="4" t="str">
        <x:v>CYO-21</x:v>
      </x:c>
      <x:c r="B25" s="4" t="str">
        <x:v>Gobierno</x:v>
      </x:c>
      <x:c r="C25" s="4" t="str">
        <x:v>Expediente de autorización para operar</x:v>
      </x:c>
      <x:c r="D25" s="4" t="str">
        <x:v>Sistema y riesgo institucional</x:v>
      </x:c>
      <x:c r="E25" s="4" t="str">
        <x:v>Puesta en servicio o renovación</x:v>
      </x:c>
      <x:c r="F25" s="4" t="str">
        <x:v>Autoridad que puede aceptar ese riesgo</x:v>
      </x:c>
      <x:c r="G25" s="4" t="str">
        <x:v>Acceso individual y evaluación técnica no autorizan el sistema</x:v>
      </x:c>
      <x:c r="H25" s="4" t="str">
        <x:v>Decisión institucional, condiciones, vigencia y responsable</x:v>
      </x:c>
      <x:c r="I25" s="4" t="str">
        <x:v>Integrar dictámenes conservando quién acepta qué riesgo</x:v>
      </x:c>
      <x:c r="J25" s="4" t="str">
        <x:v>Una suma de informes no sustituye una decisión de autorización.</x:v>
      </x:c>
      <x:c r="K25" s="4" t="str">
        <x:v>R037</x:v>
      </x:c>
      <x:c r="L25" s="4" t="str">
        <x:v>IV: gobierno; NICE OG-WRL-013 distingue autoridad</x:v>
      </x:c>
      <x:c r="M25" s="4" t="str">
        <x:v>CANDIDATA PARA CONTRASTE</x:v>
      </x:c>
      <x:c r="N25" s="12" t="n">
        <x:f>COUNTIF('26_Mapa_universos'!$A$5:$A$33,A25)-1</x:f>
        <x:v>0</x:v>
      </x:c>
      <x:c r="O25" s="12" t="n">
        <x:f>COUNTBLANK(C25:H25)</x:f>
        <x:v>0</x:v>
      </x:c>
    </x:row>
    <x:row r="26" ht="47" customHeight="1">
      <x:c r="A26" s="4" t="str">
        <x:v>CYO-22</x:v>
      </x:c>
      <x:c r="B26" s="4" t="str">
        <x:v>Conocimiento</x:v>
      </x:c>
      <x:c r="C26" s="4" t="str">
        <x:v>Informe de actividad formativa y evaluación</x:v>
      </x:c>
      <x:c r="D26" s="4" t="str">
        <x:v>Actividad, personas y objetivos</x:v>
      </x:c>
      <x:c r="E26" s="4" t="str">
        <x:v>Actividad del programa aprobado</x:v>
      </x:c>
      <x:c r="F26" s="4" t="str">
        <x:v>Docente y responsable evaluador</x:v>
      </x:c>
      <x:c r="G26" s="4" t="str">
        <x:v>Asistencia no acredita aprendizaje ni permiso profesional</x:v>
      </x:c>
      <x:c r="H26" s="4" t="str">
        <x:v>Actuación observada, evaluación y retroalimentación documentadas</x:v>
      </x:c>
      <x:c r="I26" s="4" t="str">
        <x:v>Observar desempeño, justificar juicio y corregir carencias</x:v>
      </x:c>
      <x:c r="J26" s="4" t="str">
        <x:v>Una acreditación sin evidencia puede ocultar incapacidad para reconocer consecuencias.</x:v>
      </x:c>
      <x:c r="K26" s="4" t="str">
        <x:v>R038</x:v>
      </x:c>
      <x:c r="L26" s="4" t="str">
        <x:v>II/IV/VII.A: proyecto formativo, tutores y memoria; M001</x:v>
      </x:c>
      <x:c r="M26" s="4" t="str">
        <x:v>CANDIDATA PARA CONTRASTE</x:v>
      </x:c>
      <x:c r="N26" s="12" t="n">
        <x:f>COUNTIF('26_Mapa_universos'!$A$5:$A$33,A26)-1</x:f>
        <x:v>0</x:v>
      </x:c>
      <x:c r="O26" s="12" t="n">
        <x:f>COUNTBLANK(C26:H26)</x:f>
        <x:v>0</x:v>
      </x:c>
    </x:row>
    <x:row r="27" ht="47" customHeight="1">
      <x:c r="A27" s="4" t="str">
        <x:v>CYO-23</x:v>
      </x:c>
      <x:c r="B27" s="4" t="str">
        <x:v>Evaluación de IA</x:v>
      </x:c>
      <x:c r="C27" s="4" t="str">
        <x:v>Informe de validez y seguridad técnica de IA</x:v>
      </x:c>
      <x:c r="D27" s="4" t="str">
        <x:v>Modelo, datos, configuración y uso declarado</x:v>
      </x:c>
      <x:c r="E27" s="4" t="str">
        <x:v>Evaluación de una candidata o cambio</x:v>
      </x:c>
      <x:c r="F27" s="4" t="str">
        <x:v>Evaluador técnico y responsable de validación</x:v>
      </x:c>
      <x:c r="G27" s="4" t="str">
        <x:v>No autoriza uso ni incorpora modelo al motor normativo SV</x:v>
      </x:c>
      <x:c r="H27" s="4" t="str">
        <x:v>Método, cobertura, errores, robustez y límites vinculados al corte</x:v>
      </x:c>
      <x:c r="I27" s="4" t="str">
        <x:v>Diseñar contrastes y juzgar generalización, ataques, errores y recursos</x:v>
      </x:c>
      <x:c r="J27" s="4" t="str">
        <x:v>Una buena métrica puede ocultar contaminación de datos o fallos relevantes para el uso.</x:v>
      </x:c>
      <x:c r="K27" s="4" t="str">
        <x:v>M002</x:v>
      </x:c>
      <x:c r="L27" s="4" t="str">
        <x:v>CLO: extracción de características y evaluación; M003 robustez; M004 rendimiento</x:v>
      </x:c>
      <x:c r="M27" s="4" t="str">
        <x:v>CANDIDATA PARA CONTRASTE</x:v>
      </x:c>
      <x:c r="N27" s="12" t="n">
        <x:f>COUNTIF('26_Mapa_universos'!$A$5:$A$33,A27)-1</x:f>
        <x:v>0</x:v>
      </x:c>
      <x:c r="O27" s="12" t="n">
        <x:f>COUNTBLANK(C27:H27)</x:f>
        <x:v>0</x:v>
      </x:c>
    </x:row>
    <x:row r="28" ht="47" customHeight="1">
      <x:c r="A28" s="4" t="str">
        <x:v>CYO-24</x:v>
      </x:c>
      <x:c r="B28" s="4" t="str">
        <x:v>Evaluación y respuesta</x:v>
      </x:c>
      <x:c r="C28" s="4" t="str">
        <x:v>Expediente de ejecución y cierre de respuesta</x:v>
      </x:c>
      <x:c r="D28" s="4" t="str">
        <x:v>Intervenciones y estado efectivo del incidente</x:v>
      </x:c>
      <x:c r="E28" s="4" t="str">
        <x:v>Plan aprobado y permiso de actuación</x:v>
      </x:c>
      <x:c r="F28" s="4" t="str">
        <x:v>Mando del incidente y operadores autorizados</x:v>
      </x:c>
      <x:c r="G28" s="4" t="str">
        <x:v>Se cataloga la función humana; aquí no se autoriza ejecutar</x:v>
      </x:c>
      <x:c r="H28" s="4" t="str">
        <x:v>Acciones, efectos, evidencia, excepciones y cierre o transferencia</x:v>
      </x:c>
      <x:c r="I28" s="4" t="str">
        <x:v>Comprobar qué ocurrió tras actuar y conservar responsabilidad</x:v>
      </x:c>
      <x:c r="J28" s="4" t="str">
        <x:v>Confundir plan con efecto puede declarar contenido un incidente activo.</x:v>
      </x:c>
      <x:c r="K28" s="4" t="str">
        <x:v>R033</x:v>
      </x:c>
      <x:c r="L28" s="4" t="str">
        <x:v>IV: ciclo de respuesta y coordinación</x:v>
      </x:c>
      <x:c r="M28" s="4" t="str">
        <x:v>CANDIDATA PARA CONTRASTE</x:v>
      </x:c>
      <x:c r="N28" s="12" t="n">
        <x:f>COUNTIF('26_Mapa_universos'!$A$5:$A$33,A28)-1</x:f>
        <x:v>0</x:v>
      </x:c>
      <x:c r="O28" s="12" t="n">
        <x:f>COUNTBLANK(C28:H28)</x:f>
        <x:v>0</x:v>
      </x:c>
    </x:row>
    <x:row r="29" ht="47" customHeight="1">
      <x:c r="A29" s="4" t="str">
        <x:v>CYO-25</x:v>
      </x:c>
      <x:c r="B29" s="4" t="str">
        <x:v>Evaluación y respuesta</x:v>
      </x:c>
      <x:c r="C29" s="4" t="str">
        <x:v>Informe de restauración y retorno al servicio</x:v>
      </x:c>
      <x:c r="D29" s="4" t="str">
        <x:v>Servicio restaurado después de un suceso</x:v>
      </x:c>
      <x:c r="E29" s="4" t="str">
        <x:v>Recuperación autorizada</x:v>
      </x:c>
      <x:c r="F29" s="4" t="str">
        <x:v>Propietario del servicio y continuidad</x:v>
      </x:c>
      <x:c r="G29" s="4" t="str">
        <x:v>Copia recuperada no equivale a retorno seguro autorizado</x:v>
      </x:c>
      <x:c r="H29" s="4" t="str">
        <x:v>Integridad, dependencias, objetivos y decisión de retorno trazados</x:v>
      </x:c>
      <x:c r="I29" s="4" t="str">
        <x:v>Verificar estado recuperado y justificar condiciones de retorno</x:v>
      </x:c>
      <x:c r="J29" s="4" t="str">
        <x:v>Reabrir sin verificar dependencias puede reproducir el fallo o perder datos.</x:v>
      </x:c>
      <x:c r="K29" s="4" t="str">
        <x:v>R033</x:v>
      </x:c>
      <x:c r="L29" s="4" t="str">
        <x:v>IV: recuperación; R036 dependencias</x:v>
      </x:c>
      <x:c r="M29" s="4" t="str">
        <x:v>CANDIDATA PARA CONTRASTE</x:v>
      </x:c>
      <x:c r="N29" s="12" t="n">
        <x:f>COUNTIF('26_Mapa_universos'!$A$5:$A$33,A29)-1</x:f>
        <x:v>0</x:v>
      </x:c>
      <x:c r="O29" s="12" t="n">
        <x:f>COUNTBLANK(C29:H29)</x:f>
        <x:v>0</x:v>
      </x:c>
    </x:row>
    <x:row r="30" ht="47" customHeight="1">
      <x:c r="A30" s="4" t="str">
        <x:v>CYO-26</x:v>
      </x:c>
      <x:c r="B30" s="4" t="str">
        <x:v>Evaluación y respuesta</x:v>
      </x:c>
      <x:c r="C30" s="4" t="str">
        <x:v>Expediente de tratamiento de vulnerabilidad</x:v>
      </x:c>
      <x:c r="D30" s="4" t="str">
        <x:v>Hallazgo y activos afectados en contexto</x:v>
      </x:c>
      <x:c r="E30" s="4" t="str">
        <x:v>Vulnerabilidad comunicada o revisión de aplicabilidad</x:v>
      </x:c>
      <x:c r="F30" s="4" t="str">
        <x:v>Gestión de vulnerabilidades y propietario del cambio</x:v>
      </x:c>
      <x:c r="G30" s="4" t="str">
        <x:v>CVSS no equivale a riesgo local; tratar no es sólo detectar</x:v>
      </x:c>
      <x:c r="H30" s="4" t="str">
        <x:v>Aplicabilidad, prioridad fundada, tratamiento y verificación o aceptación atribuida</x:v>
      </x:c>
      <x:c r="I30" s="4" t="str">
        <x:v>Relacionar evidencia técnica, exposición, impacto y coste de corrección</x:v>
      </x:c>
      <x:c r="J30" s="4" t="str">
        <x:v>Priorizar por una cifra aislada puede desplazar un riesgo más relevante.</x:v>
      </x:c>
      <x:c r="K30" s="4" t="str">
        <x:v>R035</x:v>
      </x:c>
      <x:c r="L30" s="4" t="str">
        <x:v>IV: tratamiento; R034 hallazgos; NICE PD-WRL-007</x:v>
      </x:c>
      <x:c r="M30" s="4" t="str">
        <x:v>CANDIDATA PARA CONTRASTE</x:v>
      </x:c>
      <x:c r="N30" s="12" t="n">
        <x:f>COUNTIF('26_Mapa_universos'!$A$5:$A$33,A30)-1</x:f>
        <x:v>0</x:v>
      </x:c>
      <x:c r="O30" s="12" t="n">
        <x:f>COUNTBLANK(C30:H30)</x:f>
        <x:v>0</x:v>
      </x:c>
    </x:row>
    <x:row r="31" ht="47" customHeight="1">
      <x:c r="A31" s="4" t="str">
        <x:v>CYO-27</x:v>
      </x:c>
      <x:c r="B31" s="4" t="str">
        <x:v>Evaluación y respuesta</x:v>
      </x:c>
      <x:c r="C31" s="4" t="str">
        <x:v>Informe de cobertura y validación de detección</x:v>
      </x:c>
      <x:c r="D31" s="4" t="str">
        <x:v>Telemetría, lógica y escenarios delimitados</x:v>
      </x:c>
      <x:c r="E31" s="4" t="str">
        <x:v>Nueva detección o cambio de fuentes</x:v>
      </x:c>
      <x:c r="F31" s="4" t="str">
        <x:v>Ingeniería de detección y responsable del SOC</x:v>
      </x:c>
      <x:c r="G31" s="4" t="str">
        <x:v>No equivale al juicio de una alerta ni exige eBPF/P4</x:v>
      </x:c>
      <x:c r="H31" s="4" t="str">
        <x:v>Cobertura ensayada, puntos ciegos y limitaciones registradas</x:v>
      </x:c>
      <x:c r="I31" s="4" t="str">
        <x:v>Justificar observabilidad y comprobar detectabilidad y carga</x:v>
      </x:c>
      <x:c r="J31" s="4" t="str">
        <x:v>Un detector correcto puede ser ineficaz si no recibe la evidencia necesaria.</x:v>
      </x:c>
      <x:c r="K31" s="4" t="str">
        <x:v>R033</x:v>
      </x:c>
      <x:c r="L31" s="4" t="str">
        <x:v>IV: SIEM, correlación y detección; R029 red</x:v>
      </x:c>
      <x:c r="M31" s="4" t="str">
        <x:v>CANDIDATA PARA CONTRASTE</x:v>
      </x:c>
      <x:c r="N31" s="12" t="n">
        <x:f>COUNTIF('26_Mapa_universos'!$A$5:$A$33,A31)-1</x:f>
        <x:v>0</x:v>
      </x:c>
      <x:c r="O31" s="12" t="n">
        <x:f>COUNTBLANK(C31:H31)</x:f>
        <x:v>0</x:v>
      </x:c>
    </x:row>
    <x:row r="32" ht="47" customHeight="1">
      <x:c r="A32" s="4" t="str">
        <x:v>CYO-28</x:v>
      </x:c>
      <x:c r="B32" s="4" t="str">
        <x:v>Evaluación y respuesta</x:v>
      </x:c>
      <x:c r="C32" s="4" t="str">
        <x:v>Informe de búsqueda de amenazas por hipótesis</x:v>
      </x:c>
      <x:c r="D32" s="4" t="str">
        <x:v>Entorno y pregunta de hunting</x:v>
      </x:c>
      <x:c r="E32" s="4" t="str">
        <x:v>Hipótesis fundada; no precisa alerta previa</x:v>
      </x:c>
      <x:c r="F32" s="4" t="str">
        <x:v>Equipo de hunting y titular del alcance</x:v>
      </x:c>
      <x:c r="G32" s="4" t="str">
        <x:v>Ausencia de hallazgo no demuestra ausencia universal de compromiso</x:v>
      </x:c>
      <x:c r="H32" s="4" t="str">
        <x:v>Hipótesis contrastada, evidencias, alcance y cuestiones abiertas</x:v>
      </x:c>
      <x:c r="I32" s="4" t="str">
        <x:v>Investigar actividad que puede eludir controles con hipótesis comprobables</x:v>
      </x:c>
      <x:c r="J32" s="4" t="str">
        <x:v>Limitarse a las alertas omite amenazas fuera de su cobertura.</x:v>
      </x:c>
      <x:c r="K32" s="4" t="str">
        <x:v>R033</x:v>
      </x:c>
      <x:c r="L32" s="4" t="str">
        <x:v>IV: tema 6 hunting; G009 contraste</x:v>
      </x:c>
      <x:c r="M32" s="4" t="str">
        <x:v>CANDIDATA PARA CONTRASTE</x:v>
      </x:c>
      <x:c r="N32" s="12" t="n">
        <x:f>COUNTIF('26_Mapa_universos'!$A$5:$A$33,A32)-1</x:f>
        <x:v>0</x:v>
      </x:c>
      <x:c r="O32" s="12" t="n">
        <x:f>COUNTBLANK(C32:H32)</x:f>
        <x:v>0</x:v>
      </x:c>
    </x:row>
    <x:row r="33" ht="47" customHeight="1">
      <x:c r="A33" s="4" t="str">
        <x:v>CYO-29</x:v>
      </x:c>
      <x:c r="B33" s="4" t="str">
        <x:v>Gobierno</x:v>
      </x:c>
      <x:c r="C33" s="4" t="str">
        <x:v>Política corporativa gobernada de usos de IA</x:v>
      </x:c>
      <x:c r="D33" s="4" t="str">
        <x:v>Cartera de usos, datos y responsabilidades</x:v>
      </x:c>
      <x:c r="E33" s="4" t="str">
        <x:v>Política nueva, revisión o Shadow AI detectada</x:v>
      </x:c>
      <x:c r="F33" s="4" t="str">
        <x:v>Dirección y responsables de gobierno</x:v>
      </x:c>
      <x:c r="G33" s="4" t="str">
        <x:v>Política general no admite automáticamente cada uso</x:v>
      </x:c>
      <x:c r="H33" s="4" t="str">
        <x:v>Usos, prohibiciones, responsables, revisión y control de cambios documentados</x:v>
      </x:c>
      <x:c r="I33" s="4" t="str">
        <x:v>Traducir objetivos y responsabilidades en reglas de uso revisables</x:v>
      </x:c>
      <x:c r="J33" s="4" t="str">
        <x:v>Una política sin inventario puede dejar usos reales fuera de supervisión.</x:v>
      </x:c>
      <x:c r="K33" s="4" t="str">
        <x:v>R037</x:v>
      </x:c>
      <x:c r="L33" s="4" t="str">
        <x:v>IV: gobierno; M003 ética; AN-02 especificidad IA</x:v>
      </x:c>
      <x:c r="M33" s="4" t="str">
        <x:v>CANDIDATA PARA CONTRASTE</x:v>
      </x:c>
      <x:c r="N33" s="12" t="n">
        <x:f>COUNTIF('26_Mapa_universos'!$A$5:$A$33,A33)-1</x:f>
        <x:v>0</x:v>
      </x:c>
      <x:c r="O33" s="12" t="n">
        <x:f>COUNTBLANK(C33:H33)</x:f>
        <x:v>0</x:v>
      </x:c>
    </x:row>
  </x:sheetData>
  <x:mergeCells>
    <x:mergeCell ref="A1:D1"/>
    <x:mergeCell ref="A2:F2"/>
  </x:mergeCells>
  <x:conditionalFormatting sqref="N5:N33">
    <x:cfRule type="expression" dxfId="9" priority="1">
      <x:formula>N5&gt;0</x:formula>
    </x:cfRule>
  </x:conditionalFormatting>
  <x:conditionalFormatting sqref="O5:O33">
    <x:cfRule type="expression" dxfId="10" priority="2">
      <x:formula>O5&gt;0</x:formula>
    </x:cfRule>
  </x:conditionalFormatting>
  <x:pageMargins left="0.7" right="0.7" top="0.75" bottom="0.75" header="0.3" footer="0.3"/>
  <x:tableParts count="1">
    <x:tablePart xmlns:r="http://schemas.openxmlformats.org/officeDocument/2006/relationships" r:id="R765b2cda62954745"/>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6" hidden="0" customWidth="1"/>
    <x:col min="4" max="4" width="18" hidden="0" customWidth="1"/>
    <x:col min="5" max="5" width="77" hidden="0" customWidth="1"/>
    <x:col min="6" max="6" width="85" hidden="0" customWidth="1"/>
    <x:col min="7" max="7" width="91" hidden="0" customWidth="1"/>
    <x:col min="8" max="8" width="12" hidden="0" customWidth="1"/>
    <x:col min="9" max="9" width="61" hidden="0" customWidth="1"/>
    <x:col min="10" max="10" width="63" hidden="0" customWidth="1"/>
    <x:col min="11" max="11" width="18" hidden="0" customWidth="1"/>
    <x:col min="12" max="12" width="18" hidden="0" customWidth="1"/>
  </x:cols>
  <x:sheetData>
    <x:row r="1" ht="35" customHeight="1">
      <x:c r="A1" s="6" t="str">
        <x:v>APRENDIZAJE → PRODUCTO · trazas candidatas</x:v>
      </x:c>
      <x:c r="B1" s="6"/>
      <x:c r="C1" s="6"/>
      <x:c r="D1" s="6"/>
      <x:c r="E1" s="6"/>
      <x:c r="F1" s="6"/>
      <x:c r="G1" s="6"/>
      <x:c r="H1" s="6"/>
      <x:c r="I1" s="6"/>
      <x:c r="J1" s="6"/>
      <x:c r="K1" s="6"/>
      <x:c r="L1" s="6"/>
    </x:row>
    <x:row r="2" ht="52" customHeight="1">
      <x:c r="A2" s="8" t="str">
        <x:v>Toda asignatura, decisión complementaria y necesidad humana tiene destino o reserva. Cobertura por unidad inventariada; no prueba exhaustividad de cada contenido del temario ni aptitud profesional.</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Traza</x:v>
      </x:c>
      <x:c r="B4" s="10" t="str">
        <x:v>Unidad</x:v>
      </x:c>
      <x:c r="C4" s="10" t="str">
        <x:v>Clase</x:v>
      </x:c>
      <x:c r="D4" s="10" t="str">
        <x:v>Destino</x:v>
      </x:c>
      <x:c r="E4" s="10" t="str">
        <x:v>Conocimiento necesario</x:v>
      </x:c>
      <x:c r="F4" s="10" t="str">
        <x:v>Saber hacer</x:v>
      </x:c>
      <x:c r="G4" s="10" t="str">
        <x:v>Consecuencia / límite</x:v>
      </x:c>
      <x:c r="H4" s="10" t="str">
        <x:v>Fuente</x:v>
      </x:c>
      <x:c r="I4" s="10" t="str">
        <x:v>Localizador</x:v>
      </x:c>
      <x:c r="J4" s="10" t="str">
        <x:v>Estatuto</x:v>
      </x:c>
      <x:c r="K4" s="10" t="str">
        <x:v>Destino inválido</x:v>
      </x:c>
      <x:c r="L4" s="10" t="str">
        <x:v>Fuente inválida</x:v>
      </x:c>
    </x:row>
    <x:row r="5" ht="47" customHeight="1">
      <x:c r="A5" s="4" t="str">
        <x:v>TC-001</x:v>
      </x:c>
      <x:c r="B5" s="4" t="str">
        <x:v>URJC-01</x:v>
      </x:c>
      <x:c r="C5" s="4" t="str">
        <x:v>ASIGNATURA</x:v>
      </x:c>
      <x:c r="D5" s="4" t="str">
        <x:v>TRANSVERSAL</x:v>
      </x:c>
      <x:c r="E5" s="4" t="str">
        <x:v>Electromagnetismo; circuitos; semiconductores; lógica digital.</x:v>
      </x:c>
      <x:c r="F5" s="4" t="str">
        <x:v>Resolver circuitos y analizar máquinas de estados.</x:v>
      </x:c>
      <x:c r="G5" s="4" t="str">
        <x:v>Sin esta base puede faltar capacidad para comprender o justificar el conocimiento aplicado; no añade un universo.</x:v>
      </x:c>
      <x:c r="H5" s="4" t="str">
        <x:v>R001</x:v>
      </x:c>
      <x:c r="I5" s="4" t="str">
        <x:v>II; III (códigos); IV; actividad académica según guía</x:v>
      </x:c>
      <x:c r="J5" s="4" t="str">
        <x:v>ANCLA EDUCATIVA; ENLACE PROPUESTO</x:v>
      </x:c>
      <x:c r="K5" s="12" t="n">
        <x:f>IF(OR(D5="TRANSVERSAL",D5="RESERVA",COUNTIF('26_Mapa_universos'!$A$5:$A$33,D5)=1),0,1)</x:f>
        <x:v>0</x:v>
      </x:c>
      <x:c r="L5" s="12" t="n">
        <x:f>IF(COUNTIF('21_Fuentes_educativas'!$A$5:$A$188,H5)+COUNTIF('01_Fuentes'!$A$5:$A$40,H5)=1,0,1)</x:f>
        <x:v>0</x:v>
      </x:c>
    </x:row>
    <x:row r="6" ht="47" customHeight="1">
      <x:c r="A6" s="4" t="str">
        <x:v>TC-002</x:v>
      </x:c>
      <x:c r="B6" s="4" t="str">
        <x:v>URJC-02</x:v>
      </x:c>
      <x:c r="C6" s="4" t="str">
        <x:v>ASIGNATURA</x:v>
      </x:c>
      <x:c r="D6" s="4" t="str">
        <x:v>CYO-01</x:v>
      </x:c>
      <x:c r="E6" s="4" t="str">
        <x:v>Principios de seguridad; sistemas; amenazas; personas y economía.</x:v>
      </x:c>
      <x:c r="F6" s="4" t="str">
        <x:v>Distinguir riesgo, amenaza y vulnerabilidad en un contexto.</x:v>
      </x:c>
      <x:c r="G6" s="4" t="str">
        <x:v>Sin esta base puede faltar capacidad para comprender o justificar el juicio exigido por CYO-01.</x:v>
      </x:c>
      <x:c r="H6" s="4" t="str">
        <x:v>R002</x:v>
      </x:c>
      <x:c r="I6" s="4" t="str">
        <x:v>II; III (códigos); IV; actividad académica según guía</x:v>
      </x:c>
      <x:c r="J6" s="4" t="str">
        <x:v>ANCLA EDUCATIVA; ENLACE PROPUESTO</x:v>
      </x:c>
      <x:c r="K6" s="12" t="n">
        <x:f>IF(OR(D6="TRANSVERSAL",D6="RESERVA",COUNTIF('26_Mapa_universos'!$A$5:$A$33,D6)=1),0,1)</x:f>
        <x:v>0</x:v>
      </x:c>
      <x:c r="L6" s="12" t="n">
        <x:f>IF(COUNTIF('21_Fuentes_educativas'!$A$5:$A$188,H6)+COUNTIF('01_Fuentes'!$A$5:$A$40,H6)=1,0,1)</x:f>
        <x:v>0</x:v>
      </x:c>
    </x:row>
    <x:row r="7" ht="47" customHeight="1">
      <x:c r="A7" s="4" t="str">
        <x:v>TC-003</x:v>
      </x:c>
      <x:c r="B7" s="4" t="str">
        <x:v>URJC-02</x:v>
      </x:c>
      <x:c r="C7" s="4" t="str">
        <x:v>ASIGNATURA</x:v>
      </x:c>
      <x:c r="D7" s="4" t="str">
        <x:v>CYO-02</x:v>
      </x:c>
      <x:c r="E7" s="4" t="str">
        <x:v>Principios de seguridad; sistemas; amenazas; personas y economía.</x:v>
      </x:c>
      <x:c r="F7" s="4" t="str">
        <x:v>Distinguir riesgo, amenaza y vulnerabilidad en un contexto.</x:v>
      </x:c>
      <x:c r="G7" s="4" t="str">
        <x:v>Sin esta base puede faltar capacidad para comprender o justificar el juicio exigido por CYO-02.</x:v>
      </x:c>
      <x:c r="H7" s="4" t="str">
        <x:v>R002</x:v>
      </x:c>
      <x:c r="I7" s="4" t="str">
        <x:v>II; III (códigos); IV; actividad académica según guía</x:v>
      </x:c>
      <x:c r="J7" s="4" t="str">
        <x:v>ANCLA EDUCATIVA; ENLACE PROPUESTO</x:v>
      </x:c>
      <x:c r="K7" s="12" t="n">
        <x:f>IF(OR(D7="TRANSVERSAL",D7="RESERVA",COUNTIF('26_Mapa_universos'!$A$5:$A$33,D7)=1),0,1)</x:f>
        <x:v>0</x:v>
      </x:c>
      <x:c r="L7" s="12" t="n">
        <x:f>IF(COUNTIF('21_Fuentes_educativas'!$A$5:$A$188,H7)+COUNTIF('01_Fuentes'!$A$5:$A$40,H7)=1,0,1)</x:f>
        <x:v>0</x:v>
      </x:c>
    </x:row>
    <x:row r="8" ht="47" customHeight="1">
      <x:c r="A8" s="4" t="str">
        <x:v>TC-004</x:v>
      </x:c>
      <x:c r="B8" s="4" t="str">
        <x:v>URJC-03</x:v>
      </x:c>
      <x:c r="C8" s="4" t="str">
        <x:v>ASIGNATURA</x:v>
      </x:c>
      <x:c r="D8" s="4" t="str">
        <x:v>CYO-05</x:v>
      </x:c>
      <x:c r="E8" s="4" t="str">
        <x:v>Tipos; control; punteros; memoria; funciones y ficheros.</x:v>
      </x:c>
      <x:c r="F8" s="4" t="str">
        <x:v>Construir programas y comprobar su comportamiento.</x:v>
      </x:c>
      <x:c r="G8" s="4" t="str">
        <x:v>Sin esta base puede faltar capacidad para comprender o justificar el juicio exigido por CYO-05.</x:v>
      </x:c>
      <x:c r="H8" s="4" t="str">
        <x:v>R003</x:v>
      </x:c>
      <x:c r="I8" s="4" t="str">
        <x:v>II; III (códigos); IV; actividad académica según guía</x:v>
      </x:c>
      <x:c r="J8" s="4" t="str">
        <x:v>ANCLA EDUCATIVA; ENLACE PROPUESTO</x:v>
      </x:c>
      <x:c r="K8" s="12" t="n">
        <x:f>IF(OR(D8="TRANSVERSAL",D8="RESERVA",COUNTIF('26_Mapa_universos'!$A$5:$A$33,D8)=1),0,1)</x:f>
        <x:v>0</x:v>
      </x:c>
      <x:c r="L8" s="12" t="n">
        <x:f>IF(COUNTIF('21_Fuentes_educativas'!$A$5:$A$188,H8)+COUNTIF('01_Fuentes'!$A$5:$A$40,H8)=1,0,1)</x:f>
        <x:v>0</x:v>
      </x:c>
    </x:row>
    <x:row r="9" ht="47" customHeight="1">
      <x:c r="A9" s="4" t="str">
        <x:v>TC-005</x:v>
      </x:c>
      <x:c r="B9" s="4" t="str">
        <x:v>URJC-04</x:v>
      </x:c>
      <x:c r="C9" s="4" t="str">
        <x:v>ASIGNATURA</x:v>
      </x:c>
      <x:c r="D9" s="4" t="str">
        <x:v>TRANSVERSAL</x:v>
      </x:c>
      <x:c r="E9" s="4" t="str">
        <x:v>Lógica proposicional y de primer orden; deducción; tipos.</x:v>
      </x:c>
      <x:c r="F9" s="4" t="str">
        <x:v>Formalizar razonamientos y comprobar su corrección.</x:v>
      </x:c>
      <x:c r="G9" s="4" t="str">
        <x:v>Sin esta base puede faltar capacidad para comprender o justificar el conocimiento aplicado; no añade un universo.</x:v>
      </x:c>
      <x:c r="H9" s="4" t="str">
        <x:v>R004</x:v>
      </x:c>
      <x:c r="I9" s="4" t="str">
        <x:v>II; III (códigos); IV; actividad académica según guía</x:v>
      </x:c>
      <x:c r="J9" s="4" t="str">
        <x:v>ANCLA EDUCATIVA; ENLACE PROPUESTO</x:v>
      </x:c>
      <x:c r="K9" s="12" t="n">
        <x:f>IF(OR(D9="TRANSVERSAL",D9="RESERVA",COUNTIF('26_Mapa_universos'!$A$5:$A$33,D9)=1),0,1)</x:f>
        <x:v>0</x:v>
      </x:c>
      <x:c r="L9" s="12" t="n">
        <x:f>IF(COUNTIF('21_Fuentes_educativas'!$A$5:$A$188,H9)+COUNTIF('01_Fuentes'!$A$5:$A$40,H9)=1,0,1)</x:f>
        <x:v>0</x:v>
      </x:c>
    </x:row>
    <x:row r="10" ht="47" customHeight="1">
      <x:c r="A10" s="4" t="str">
        <x:v>TC-006</x:v>
      </x:c>
      <x:c r="B10" s="4" t="str">
        <x:v>URJC-05</x:v>
      </x:c>
      <x:c r="C10" s="4" t="str">
        <x:v>ASIGNATURA</x:v>
      </x:c>
      <x:c r="D10" s="4" t="str">
        <x:v>TRANSVERSAL</x:v>
      </x:c>
      <x:c r="E10" s="4" t="str">
        <x:v>Álgebra lineal; aritmética modular; combinatoria; grafos.</x:v>
      </x:c>
      <x:c r="F10" s="4" t="str">
        <x:v>Resolver sistemas y usar estructuras discretas.</x:v>
      </x:c>
      <x:c r="G10" s="4" t="str">
        <x:v>Sin esta base puede faltar capacidad para comprender o justificar el conocimiento aplicado; no añade un universo.</x:v>
      </x:c>
      <x:c r="H10" s="4" t="str">
        <x:v>R005</x:v>
      </x:c>
      <x:c r="I10" s="4" t="str">
        <x:v>II; III (códigos); IV; actividad académica según guía</x:v>
      </x:c>
      <x:c r="J10" s="4" t="str">
        <x:v>ANCLA EDUCATIVA; ENLACE PROPUESTO</x:v>
      </x:c>
      <x:c r="K10" s="12" t="n">
        <x:f>IF(OR(D10="TRANSVERSAL",D10="RESERVA",COUNTIF('26_Mapa_universos'!$A$5:$A$33,D10)=1),0,1)</x:f>
        <x:v>0</x:v>
      </x:c>
      <x:c r="L10" s="12" t="n">
        <x:f>IF(COUNTIF('21_Fuentes_educativas'!$A$5:$A$188,H10)+COUNTIF('01_Fuentes'!$A$5:$A$40,H10)=1,0,1)</x:f>
        <x:v>0</x:v>
      </x:c>
    </x:row>
    <x:row r="11" ht="47" customHeight="1">
      <x:c r="A11" s="4" t="str">
        <x:v>TC-007</x:v>
      </x:c>
      <x:c r="B11" s="4" t="str">
        <x:v>URJC-06</x:v>
      </x:c>
      <x:c r="C11" s="4" t="str">
        <x:v>ASIGNATURA</x:v>
      </x:c>
      <x:c r="D11" s="4" t="str">
        <x:v>TRANSVERSAL</x:v>
      </x:c>
      <x:c r="E11" s="4" t="str">
        <x:v>Funciones; límites; derivadas; integrales; sucesiones y series.</x:v>
      </x:c>
      <x:c r="F11" s="4" t="str">
        <x:v>Analizar modelos de variación y resolver problemas progresivos.</x:v>
      </x:c>
      <x:c r="G11" s="4" t="str">
        <x:v>Sin esta base puede faltar capacidad para comprender o justificar el conocimiento aplicado; no añade un universo.</x:v>
      </x:c>
      <x:c r="H11" s="4" t="str">
        <x:v>R006</x:v>
      </x:c>
      <x:c r="I11" s="4" t="str">
        <x:v>II; III (códigos); IV; actividad académica según guía</x:v>
      </x:c>
      <x:c r="J11" s="4" t="str">
        <x:v>ANCLA EDUCATIVA; ENLACE PROPUESTO</x:v>
      </x:c>
      <x:c r="K11" s="12" t="n">
        <x:f>IF(OR(D11="TRANSVERSAL",D11="RESERVA",COUNTIF('26_Mapa_universos'!$A$5:$A$33,D11)=1),0,1)</x:f>
        <x:v>0</x:v>
      </x:c>
      <x:c r="L11" s="12" t="n">
        <x:f>IF(COUNTIF('21_Fuentes_educativas'!$A$5:$A$188,H11)+COUNTIF('01_Fuentes'!$A$5:$A$40,H11)=1,0,1)</x:f>
        <x:v>0</x:v>
      </x:c>
    </x:row>
    <x:row r="12" ht="47" customHeight="1">
      <x:c r="A12" s="4" t="str">
        <x:v>TC-008</x:v>
      </x:c>
      <x:c r="B12" s="4" t="str">
        <x:v>URJC-07</x:v>
      </x:c>
      <x:c r="C12" s="4" t="str">
        <x:v>ASIGNATURA</x:v>
      </x:c>
      <x:c r="D12" s="4" t="str">
        <x:v>CYO-13</x:v>
      </x:c>
      <x:c r="E12" s="4" t="str">
        <x:v>Seguridad demostrable; cifrado; hash/MAC; firma; secretos.</x:v>
      </x:c>
      <x:c r="F12" s="4" t="str">
        <x:v>Contrastar construcciones criptográficas y su implementación.</x:v>
      </x:c>
      <x:c r="G12" s="4" t="str">
        <x:v>Sin esta base puede faltar capacidad para comprender o justificar el juicio exigido por CYO-13.</x:v>
      </x:c>
      <x:c r="H12" s="4" t="str">
        <x:v>R007</x:v>
      </x:c>
      <x:c r="I12" s="4" t="str">
        <x:v>II; III (códigos); IV; actividad académica según guía</x:v>
      </x:c>
      <x:c r="J12" s="4" t="str">
        <x:v>ANCLA EDUCATIVA; ENLACE PROPUESTO</x:v>
      </x:c>
      <x:c r="K12" s="12" t="n">
        <x:f>IF(OR(D12="TRANSVERSAL",D12="RESERVA",COUNTIF('26_Mapa_universos'!$A$5:$A$33,D12)=1),0,1)</x:f>
        <x:v>0</x:v>
      </x:c>
      <x:c r="L12" s="12" t="n">
        <x:f>IF(COUNTIF('21_Fuentes_educativas'!$A$5:$A$188,H12)+COUNTIF('01_Fuentes'!$A$5:$A$40,H12)=1,0,1)</x:f>
        <x:v>0</x:v>
      </x:c>
    </x:row>
    <x:row r="13" ht="47" customHeight="1">
      <x:c r="A13" s="4" t="str">
        <x:v>TC-009</x:v>
      </x:c>
      <x:c r="B13" s="4" t="str">
        <x:v>URJC-08</x:v>
      </x:c>
      <x:c r="C13" s="4" t="str">
        <x:v>ASIGNATURA</x:v>
      </x:c>
      <x:c r="D13" s="4" t="str">
        <x:v>CYO-01</x:v>
      </x:c>
      <x:c r="E13" s="4" t="str">
        <x:v>Dimensiones de seguridad; políticas públicas; amenazas globales.</x:v>
      </x:c>
      <x:c r="F13" s="4" t="str">
        <x:v>Analizar contexto, actores e instrumentos de intervención.</x:v>
      </x:c>
      <x:c r="G13" s="4" t="str">
        <x:v>Sin esta base puede faltar capacidad para comprender o justificar el juicio exigido por CYO-01.</x:v>
      </x:c>
      <x:c r="H13" s="4" t="str">
        <x:v>R008</x:v>
      </x:c>
      <x:c r="I13" s="4" t="str">
        <x:v>II; III (códigos); IV; actividad académica según guía</x:v>
      </x:c>
      <x:c r="J13" s="4" t="str">
        <x:v>ANCLA EDUCATIVA; ENLACE PROPUESTO</x:v>
      </x:c>
      <x:c r="K13" s="12" t="n">
        <x:f>IF(OR(D13="TRANSVERSAL",D13="RESERVA",COUNTIF('26_Mapa_universos'!$A$5:$A$33,D13)=1),0,1)</x:f>
        <x:v>0</x:v>
      </x:c>
      <x:c r="L13" s="12" t="n">
        <x:f>IF(COUNTIF('21_Fuentes_educativas'!$A$5:$A$188,H13)+COUNTIF('01_Fuentes'!$A$5:$A$40,H13)=1,0,1)</x:f>
        <x:v>0</x:v>
      </x:c>
    </x:row>
    <x:row r="14" ht="47" customHeight="1">
      <x:c r="A14" s="4" t="str">
        <x:v>TC-010</x:v>
      </x:c>
      <x:c r="B14" s="4" t="str">
        <x:v>URJC-08</x:v>
      </x:c>
      <x:c r="C14" s="4" t="str">
        <x:v>ASIGNATURA</x:v>
      </x:c>
      <x:c r="D14" s="4" t="str">
        <x:v>CYO-29</x:v>
      </x:c>
      <x:c r="E14" s="4" t="str">
        <x:v>Dimensiones de seguridad; políticas públicas; amenazas globales.</x:v>
      </x:c>
      <x:c r="F14" s="4" t="str">
        <x:v>Analizar contexto, actores e instrumentos de intervención.</x:v>
      </x:c>
      <x:c r="G14" s="4" t="str">
        <x:v>Sin esta base puede faltar capacidad para comprender o justificar el juicio exigido por CYO-29.</x:v>
      </x:c>
      <x:c r="H14" s="4" t="str">
        <x:v>R008</x:v>
      </x:c>
      <x:c r="I14" s="4" t="str">
        <x:v>II; III (códigos); IV; actividad académica según guía</x:v>
      </x:c>
      <x:c r="J14" s="4" t="str">
        <x:v>ANCLA EDUCATIVA; ENLACE PROPUESTO</x:v>
      </x:c>
      <x:c r="K14" s="12" t="n">
        <x:f>IF(OR(D14="TRANSVERSAL",D14="RESERVA",COUNTIF('26_Mapa_universos'!$A$5:$A$33,D14)=1),0,1)</x:f>
        <x:v>0</x:v>
      </x:c>
      <x:c r="L14" s="12" t="n">
        <x:f>IF(COUNTIF('21_Fuentes_educativas'!$A$5:$A$188,H14)+COUNTIF('01_Fuentes'!$A$5:$A$40,H14)=1,0,1)</x:f>
        <x:v>0</x:v>
      </x:c>
    </x:row>
    <x:row r="15" ht="47" customHeight="1">
      <x:c r="A15" s="4" t="str">
        <x:v>TC-011</x:v>
      </x:c>
      <x:c r="B15" s="4" t="str">
        <x:v>URJC-09</x:v>
      </x:c>
      <x:c r="C15" s="4" t="str">
        <x:v>ASIGNATURA</x:v>
      </x:c>
      <x:c r="D15" s="4" t="str">
        <x:v>TRANSVERSAL</x:v>
      </x:c>
      <x:c r="E15" s="4" t="str">
        <x:v>Descripción de datos; probabilidad; Bayes; estimación y contraste.</x:v>
      </x:c>
      <x:c r="F15" s="4" t="str">
        <x:v>Razonar bajo incertidumbre y explicar límites de una estimación.</x:v>
      </x:c>
      <x:c r="G15" s="4" t="str">
        <x:v>Sin esta base puede faltar capacidad para comprender o justificar el conocimiento aplicado; no añade un universo.</x:v>
      </x:c>
      <x:c r="H15" s="4" t="str">
        <x:v>R009</x:v>
      </x:c>
      <x:c r="I15" s="4" t="str">
        <x:v>II; III (códigos); IV; actividad académica según guía</x:v>
      </x:c>
      <x:c r="J15" s="4" t="str">
        <x:v>ANCLA EDUCATIVA; ENLACE PROPUESTO</x:v>
      </x:c>
      <x:c r="K15" s="12" t="n">
        <x:f>IF(OR(D15="TRANSVERSAL",D15="RESERVA",COUNTIF('26_Mapa_universos'!$A$5:$A$33,D15)=1),0,1)</x:f>
        <x:v>0</x:v>
      </x:c>
      <x:c r="L15" s="12" t="n">
        <x:f>IF(COUNTIF('21_Fuentes_educativas'!$A$5:$A$188,H15)+COUNTIF('01_Fuentes'!$A$5:$A$40,H15)=1,0,1)</x:f>
        <x:v>0</x:v>
      </x:c>
    </x:row>
    <x:row r="16" ht="47" customHeight="1">
      <x:c r="A16" s="4" t="str">
        <x:v>TC-012</x:v>
      </x:c>
      <x:c r="B16" s="4" t="str">
        <x:v>URJC-10</x:v>
      </x:c>
      <x:c r="C16" s="4" t="str">
        <x:v>ASIGNATURA</x:v>
      </x:c>
      <x:c r="D16" s="4" t="str">
        <x:v>CYO-05</x:v>
      </x:c>
      <x:c r="E16" s="4" t="str">
        <x:v>Tipos abstractos; estructuras lineales, árboles, grafos y mapas.</x:v>
      </x:c>
      <x:c r="F16" s="4" t="str">
        <x:v>Especificar e implementar estructuras y utilizarlas en programas.</x:v>
      </x:c>
      <x:c r="G16" s="4" t="str">
        <x:v>Sin esta base puede faltar capacidad para comprender o justificar el juicio exigido por CYO-05.</x:v>
      </x:c>
      <x:c r="H16" s="4" t="str">
        <x:v>R010</x:v>
      </x:c>
      <x:c r="I16" s="4" t="str">
        <x:v>II; III (códigos); IV; actividad académica según guía</x:v>
      </x:c>
      <x:c r="J16" s="4" t="str">
        <x:v>ANCLA EDUCATIVA; ENLACE PROPUESTO</x:v>
      </x:c>
      <x:c r="K16" s="12" t="n">
        <x:f>IF(OR(D16="TRANSVERSAL",D16="RESERVA",COUNTIF('26_Mapa_universos'!$A$5:$A$33,D16)=1),0,1)</x:f>
        <x:v>0</x:v>
      </x:c>
      <x:c r="L16" s="12" t="n">
        <x:f>IF(COUNTIF('21_Fuentes_educativas'!$A$5:$A$188,H16)+COUNTIF('01_Fuentes'!$A$5:$A$40,H16)=1,0,1)</x:f>
        <x:v>0</x:v>
      </x:c>
    </x:row>
    <x:row r="17" ht="47" customHeight="1">
      <x:c r="A17" s="4" t="str">
        <x:v>TC-013</x:v>
      </x:c>
      <x:c r="B17" s="4" t="str">
        <x:v>URJC-11</x:v>
      </x:c>
      <x:c r="C17" s="4" t="str">
        <x:v>ASIGNATURA</x:v>
      </x:c>
      <x:c r="D17" s="4" t="str">
        <x:v>CYO-01</x:v>
      </x:c>
      <x:c r="E17" s="4" t="str">
        <x:v>Organización; optimización; decisión multicriterio; proyectos; calidad.</x:v>
      </x:c>
      <x:c r="F17" s="4" t="str">
        <x:v>Formular problemas de decisión y aplicar métodos cuantitativos.</x:v>
      </x:c>
      <x:c r="G17" s="4" t="str">
        <x:v>Sin esta base puede faltar capacidad para comprender o justificar el juicio exigido por CYO-01.</x:v>
      </x:c>
      <x:c r="H17" s="4" t="str">
        <x:v>R011</x:v>
      </x:c>
      <x:c r="I17" s="4" t="str">
        <x:v>II; III (códigos); IV; actividad académica según guía</x:v>
      </x:c>
      <x:c r="J17" s="4" t="str">
        <x:v>ANCLA EDUCATIVA; ENLACE PROPUESTO</x:v>
      </x:c>
      <x:c r="K17" s="12" t="n">
        <x:f>IF(OR(D17="TRANSVERSAL",D17="RESERVA",COUNTIF('26_Mapa_universos'!$A$5:$A$33,D17)=1),0,1)</x:f>
        <x:v>0</x:v>
      </x:c>
      <x:c r="L17" s="12" t="n">
        <x:f>IF(COUNTIF('21_Fuentes_educativas'!$A$5:$A$188,H17)+COUNTIF('01_Fuentes'!$A$5:$A$40,H17)=1,0,1)</x:f>
        <x:v>0</x:v>
      </x:c>
    </x:row>
    <x:row r="18" ht="47" customHeight="1">
      <x:c r="A18" s="4" t="str">
        <x:v>TC-014</x:v>
      </x:c>
      <x:c r="B18" s="4" t="str">
        <x:v>URJC-12</x:v>
      </x:c>
      <x:c r="C18" s="4" t="str">
        <x:v>ASIGNATURA</x:v>
      </x:c>
      <x:c r="D18" s="4" t="str">
        <x:v>CYO-17</x:v>
      </x:c>
      <x:c r="E18" s="4" t="str">
        <x:v>Regulación; privacidad; responsabilidades; ética; licencias.</x:v>
      </x:c>
      <x:c r="F18" s="4" t="str">
        <x:v>Distinguir obligaciones, sujetos y límites del ejercicio profesional.</x:v>
      </x:c>
      <x:c r="G18" s="4" t="str">
        <x:v>Sin esta base puede faltar capacidad para comprender o justificar el juicio exigido por CYO-17.</x:v>
      </x:c>
      <x:c r="H18" s="4" t="str">
        <x:v>R012</x:v>
      </x:c>
      <x:c r="I18" s="4" t="str">
        <x:v>II; III (códigos); IV; actividad académica según guía</x:v>
      </x:c>
      <x:c r="J18" s="4" t="str">
        <x:v>ANCLA EDUCATIVA; ENLACE PROPUESTO</x:v>
      </x:c>
      <x:c r="K18" s="12" t="n">
        <x:f>IF(OR(D18="TRANSVERSAL",D18="RESERVA",COUNTIF('26_Mapa_universos'!$A$5:$A$33,D18)=1),0,1)</x:f>
        <x:v>0</x:v>
      </x:c>
      <x:c r="L18" s="12" t="n">
        <x:f>IF(COUNTIF('21_Fuentes_educativas'!$A$5:$A$188,H18)+COUNTIF('01_Fuentes'!$A$5:$A$40,H18)=1,0,1)</x:f>
        <x:v>0</x:v>
      </x:c>
    </x:row>
    <x:row r="19" ht="47" customHeight="1">
      <x:c r="A19" s="4" t="str">
        <x:v>TC-015</x:v>
      </x:c>
      <x:c r="B19" s="4" t="str">
        <x:v>URJC-12</x:v>
      </x:c>
      <x:c r="C19" s="4" t="str">
        <x:v>ASIGNATURA</x:v>
      </x:c>
      <x:c r="D19" s="4" t="str">
        <x:v>CYO-20</x:v>
      </x:c>
      <x:c r="E19" s="4" t="str">
        <x:v>Regulación; privacidad; responsabilidades; ética; licencias.</x:v>
      </x:c>
      <x:c r="F19" s="4" t="str">
        <x:v>Distinguir obligaciones, sujetos y límites del ejercicio profesional.</x:v>
      </x:c>
      <x:c r="G19" s="4" t="str">
        <x:v>Sin esta base puede faltar capacidad para comprender o justificar el juicio exigido por CYO-20.</x:v>
      </x:c>
      <x:c r="H19" s="4" t="str">
        <x:v>R012</x:v>
      </x:c>
      <x:c r="I19" s="4" t="str">
        <x:v>II; III (códigos); IV; actividad académica según guía</x:v>
      </x:c>
      <x:c r="J19" s="4" t="str">
        <x:v>ANCLA EDUCATIVA; ENLACE PROPUESTO</x:v>
      </x:c>
      <x:c r="K19" s="12" t="n">
        <x:f>IF(OR(D19="TRANSVERSAL",D19="RESERVA",COUNTIF('26_Mapa_universos'!$A$5:$A$33,D19)=1),0,1)</x:f>
        <x:v>0</x:v>
      </x:c>
      <x:c r="L19" s="12" t="n">
        <x:f>IF(COUNTIF('21_Fuentes_educativas'!$A$5:$A$188,H19)+COUNTIF('01_Fuentes'!$A$5:$A$40,H19)=1,0,1)</x:f>
        <x:v>0</x:v>
      </x:c>
    </x:row>
    <x:row r="20" ht="47" customHeight="1">
      <x:c r="A20" s="4" t="str">
        <x:v>TC-016</x:v>
      </x:c>
      <x:c r="B20" s="4" t="str">
        <x:v>URJC-12</x:v>
      </x:c>
      <x:c r="C20" s="4" t="str">
        <x:v>ASIGNATURA</x:v>
      </x:c>
      <x:c r="D20" s="4" t="str">
        <x:v>CYO-29</x:v>
      </x:c>
      <x:c r="E20" s="4" t="str">
        <x:v>Regulación; privacidad; responsabilidades; ética; licencias.</x:v>
      </x:c>
      <x:c r="F20" s="4" t="str">
        <x:v>Distinguir obligaciones, sujetos y límites del ejercicio profesional.</x:v>
      </x:c>
      <x:c r="G20" s="4" t="str">
        <x:v>Sin esta base puede faltar capacidad para comprender o justificar el juicio exigido por CYO-29.</x:v>
      </x:c>
      <x:c r="H20" s="4" t="str">
        <x:v>R012</x:v>
      </x:c>
      <x:c r="I20" s="4" t="str">
        <x:v>II; III (códigos); IV; actividad académica según guía</x:v>
      </x:c>
      <x:c r="J20" s="4" t="str">
        <x:v>ANCLA EDUCATIVA; ENLACE PROPUESTO</x:v>
      </x:c>
      <x:c r="K20" s="12" t="n">
        <x:f>IF(OR(D20="TRANSVERSAL",D20="RESERVA",COUNTIF('26_Mapa_universos'!$A$5:$A$33,D20)=1),0,1)</x:f>
        <x:v>0</x:v>
      </x:c>
      <x:c r="L20" s="12" t="n">
        <x:f>IF(COUNTIF('21_Fuentes_educativas'!$A$5:$A$188,H20)+COUNTIF('01_Fuentes'!$A$5:$A$40,H20)=1,0,1)</x:f>
        <x:v>0</x:v>
      </x:c>
    </x:row>
    <x:row r="21" ht="47" customHeight="1">
      <x:c r="A21" s="4" t="str">
        <x:v>TC-017</x:v>
      </x:c>
      <x:c r="B21" s="4" t="str">
        <x:v>URJC-13</x:v>
      </x:c>
      <x:c r="C21" s="4" t="str">
        <x:v>ASIGNATURA</x:v>
      </x:c>
      <x:c r="D21" s="4" t="str">
        <x:v>CYO-05</x:v>
      </x:c>
      <x:c r="E21" s="4" t="str">
        <x:v>Orientación a objetos; Java; UML; excepciones; concurrencia; pruebas.</x:v>
      </x:c>
      <x:c r="F21" s="4" t="str">
        <x:v>Diseñar y programar aplicaciones orientadas a objetos.</x:v>
      </x:c>
      <x:c r="G21" s="4" t="str">
        <x:v>Sin esta base puede faltar capacidad para comprender o justificar el juicio exigido por CYO-05.</x:v>
      </x:c>
      <x:c r="H21" s="4" t="str">
        <x:v>R013</x:v>
      </x:c>
      <x:c r="I21" s="4" t="str">
        <x:v>II; III (códigos); IV; actividad académica según guía</x:v>
      </x:c>
      <x:c r="J21" s="4" t="str">
        <x:v>ANCLA EDUCATIVA; ENLACE PROPUESTO</x:v>
      </x:c>
      <x:c r="K21" s="12" t="n">
        <x:f>IF(OR(D21="TRANSVERSAL",D21="RESERVA",COUNTIF('26_Mapa_universos'!$A$5:$A$33,D21)=1),0,1)</x:f>
        <x:v>0</x:v>
      </x:c>
      <x:c r="L21" s="12" t="n">
        <x:f>IF(COUNTIF('21_Fuentes_educativas'!$A$5:$A$188,H21)+COUNTIF('01_Fuentes'!$A$5:$A$40,H21)=1,0,1)</x:f>
        <x:v>0</x:v>
      </x:c>
    </x:row>
    <x:row r="22" ht="47" customHeight="1">
      <x:c r="A22" s="4" t="str">
        <x:v>TC-018</x:v>
      </x:c>
      <x:c r="B22" s="4" t="str">
        <x:v>URJC-14</x:v>
      </x:c>
      <x:c r="C22" s="4" t="str">
        <x:v>ASIGNATURA</x:v>
      </x:c>
      <x:c r="D22" s="4" t="str">
        <x:v>CYO-02</x:v>
      </x:c>
      <x:c r="E22" s="4" t="str">
        <x:v>Redes por capas; protocolos; rutas; congestión; comunicaciones.</x:v>
      </x:c>
      <x:c r="F22" s="4" t="str">
        <x:v>Diseñar una red atendiendo a coste, prestaciones, necesidades y seguridad.</x:v>
      </x:c>
      <x:c r="G22" s="4" t="str">
        <x:v>Sin esta base puede faltar capacidad para comprender o justificar el juicio exigido por CYO-02.</x:v>
      </x:c>
      <x:c r="H22" s="4" t="str">
        <x:v>R014</x:v>
      </x:c>
      <x:c r="I22" s="4" t="str">
        <x:v>II; III (códigos); IV; actividad académica según guía</x:v>
      </x:c>
      <x:c r="J22" s="4" t="str">
        <x:v>ANCLA EDUCATIVA; ENLACE PROPUESTO</x:v>
      </x:c>
      <x:c r="K22" s="12" t="n">
        <x:f>IF(OR(D22="TRANSVERSAL",D22="RESERVA",COUNTIF('26_Mapa_universos'!$A$5:$A$33,D22)=1),0,1)</x:f>
        <x:v>0</x:v>
      </x:c>
      <x:c r="L22" s="12" t="n">
        <x:f>IF(COUNTIF('21_Fuentes_educativas'!$A$5:$A$188,H22)+COUNTIF('01_Fuentes'!$A$5:$A$40,H22)=1,0,1)</x:f>
        <x:v>0</x:v>
      </x:c>
    </x:row>
    <x:row r="23" ht="47" customHeight="1">
      <x:c r="A23" s="4" t="str">
        <x:v>TC-019</x:v>
      </x:c>
      <x:c r="B23" s="4" t="str">
        <x:v>URJC-14</x:v>
      </x:c>
      <x:c r="C23" s="4" t="str">
        <x:v>ASIGNATURA</x:v>
      </x:c>
      <x:c r="D23" s="4" t="str">
        <x:v>CYO-27</x:v>
      </x:c>
      <x:c r="E23" s="4" t="str">
        <x:v>Redes por capas; protocolos; rutas; congestión; comunicaciones.</x:v>
      </x:c>
      <x:c r="F23" s="4" t="str">
        <x:v>Diseñar una red atendiendo a coste, prestaciones, necesidades y seguridad.</x:v>
      </x:c>
      <x:c r="G23" s="4" t="str">
        <x:v>Sin esta base puede faltar capacidad para comprender o justificar el juicio exigido por CYO-27.</x:v>
      </x:c>
      <x:c r="H23" s="4" t="str">
        <x:v>R014</x:v>
      </x:c>
      <x:c r="I23" s="4" t="str">
        <x:v>II; III (códigos); IV; actividad académica según guía</x:v>
      </x:c>
      <x:c r="J23" s="4" t="str">
        <x:v>ANCLA EDUCATIVA; ENLACE PROPUESTO</x:v>
      </x:c>
      <x:c r="K23" s="12" t="n">
        <x:f>IF(OR(D23="TRANSVERSAL",D23="RESERVA",COUNTIF('26_Mapa_universos'!$A$5:$A$33,D23)=1),0,1)</x:f>
        <x:v>0</x:v>
      </x:c>
      <x:c r="L23" s="12" t="n">
        <x:f>IF(COUNTIF('21_Fuentes_educativas'!$A$5:$A$188,H23)+COUNTIF('01_Fuentes'!$A$5:$A$40,H23)=1,0,1)</x:f>
        <x:v>0</x:v>
      </x:c>
    </x:row>
    <x:row r="24" ht="47" customHeight="1">
      <x:c r="A24" s="4" t="str">
        <x:v>TC-020</x:v>
      </x:c>
      <x:c r="B24" s="4" t="str">
        <x:v>URJC-15</x:v>
      </x:c>
      <x:c r="C24" s="4" t="str">
        <x:v>ASIGNATURA</x:v>
      </x:c>
      <x:c r="D24" s="4" t="str">
        <x:v>CYO-04</x:v>
      </x:c>
      <x:c r="E24" s="4" t="str">
        <x:v>Reconocimiento; técnicas de ataque; vulnerabilidades y explotación.</x:v>
      </x:c>
      <x:c r="F24" s="4" t="str">
        <x:v>Analizar técnicas ofensivas dentro de un entorno autorizado.</x:v>
      </x:c>
      <x:c r="G24" s="4" t="str">
        <x:v>Sin esta base puede faltar capacidad para comprender o justificar el juicio exigido por CYO-04.</x:v>
      </x:c>
      <x:c r="H24" s="4" t="str">
        <x:v>R015</x:v>
      </x:c>
      <x:c r="I24" s="4" t="str">
        <x:v>II; III (códigos); IV; actividad académica según guía</x:v>
      </x:c>
      <x:c r="J24" s="4" t="str">
        <x:v>ANCLA EDUCATIVA; ENLACE PROPUESTO</x:v>
      </x:c>
      <x:c r="K24" s="12" t="n">
        <x:f>IF(OR(D24="TRANSVERSAL",D24="RESERVA",COUNTIF('26_Mapa_universos'!$A$5:$A$33,D24)=1),0,1)</x:f>
        <x:v>0</x:v>
      </x:c>
      <x:c r="L24" s="12" t="n">
        <x:f>IF(COUNTIF('21_Fuentes_educativas'!$A$5:$A$188,H24)+COUNTIF('01_Fuentes'!$A$5:$A$40,H24)=1,0,1)</x:f>
        <x:v>0</x:v>
      </x:c>
    </x:row>
    <x:row r="25" ht="47" customHeight="1">
      <x:c r="A25" s="4" t="str">
        <x:v>TC-021</x:v>
      </x:c>
      <x:c r="B25" s="4" t="str">
        <x:v>URJC-16</x:v>
      </x:c>
      <x:c r="C25" s="4" t="str">
        <x:v>ASIGNATURA</x:v>
      </x:c>
      <x:c r="D25" s="4" t="str">
        <x:v>CYO-02</x:v>
      </x:c>
      <x:c r="E25" s="4" t="str">
        <x:v>Modelos de datos; diseño conceptual y lógico; SQL.</x:v>
      </x:c>
      <x:c r="F25" s="4" t="str">
        <x:v>Diseñar y consultar bases de datos.</x:v>
      </x:c>
      <x:c r="G25" s="4" t="str">
        <x:v>Sin esta base puede faltar capacidad para comprender o justificar el juicio exigido por CYO-02.</x:v>
      </x:c>
      <x:c r="H25" s="4" t="str">
        <x:v>R016</x:v>
      </x:c>
      <x:c r="I25" s="4" t="str">
        <x:v>II; III (códigos); IV; actividad académica según guía</x:v>
      </x:c>
      <x:c r="J25" s="4" t="str">
        <x:v>ANCLA EDUCATIVA; ENLACE PROPUESTO</x:v>
      </x:c>
      <x:c r="K25" s="12" t="n">
        <x:f>IF(OR(D25="TRANSVERSAL",D25="RESERVA",COUNTIF('26_Mapa_universos'!$A$5:$A$33,D25)=1),0,1)</x:f>
        <x:v>0</x:v>
      </x:c>
      <x:c r="L25" s="12" t="n">
        <x:f>IF(COUNTIF('21_Fuentes_educativas'!$A$5:$A$188,H25)+COUNTIF('01_Fuentes'!$A$5:$A$40,H25)=1,0,1)</x:f>
        <x:v>0</x:v>
      </x:c>
    </x:row>
    <x:row r="26" ht="47" customHeight="1">
      <x:c r="A26" s="4" t="str">
        <x:v>TC-022</x:v>
      </x:c>
      <x:c r="B26" s="4" t="str">
        <x:v>URJC-16</x:v>
      </x:c>
      <x:c r="C26" s="4" t="str">
        <x:v>ASIGNATURA</x:v>
      </x:c>
      <x:c r="D26" s="4" t="str">
        <x:v>CYO-12</x:v>
      </x:c>
      <x:c r="E26" s="4" t="str">
        <x:v>Modelos de datos; diseño conceptual y lógico; SQL.</x:v>
      </x:c>
      <x:c r="F26" s="4" t="str">
        <x:v>Diseñar y consultar bases de datos.</x:v>
      </x:c>
      <x:c r="G26" s="4" t="str">
        <x:v>Sin esta base puede faltar capacidad para comprender o justificar el juicio exigido por CYO-12.</x:v>
      </x:c>
      <x:c r="H26" s="4" t="str">
        <x:v>R016</x:v>
      </x:c>
      <x:c r="I26" s="4" t="str">
        <x:v>II; III (códigos); IV; actividad académica según guía</x:v>
      </x:c>
      <x:c r="J26" s="4" t="str">
        <x:v>ANCLA EDUCATIVA; ENLACE PROPUESTO</x:v>
      </x:c>
      <x:c r="K26" s="12" t="n">
        <x:f>IF(OR(D26="TRANSVERSAL",D26="RESERVA",COUNTIF('26_Mapa_universos'!$A$5:$A$33,D26)=1),0,1)</x:f>
        <x:v>0</x:v>
      </x:c>
      <x:c r="L26" s="12" t="n">
        <x:f>IF(COUNTIF('21_Fuentes_educativas'!$A$5:$A$188,H26)+COUNTIF('01_Fuentes'!$A$5:$A$40,H26)=1,0,1)</x:f>
        <x:v>0</x:v>
      </x:c>
    </x:row>
    <x:row r="27" ht="47" customHeight="1">
      <x:c r="A27" s="4" t="str">
        <x:v>TC-023</x:v>
      </x:c>
      <x:c r="B27" s="4" t="str">
        <x:v>URJC-17</x:v>
      </x:c>
      <x:c r="C27" s="4" t="str">
        <x:v>ASIGNATURA</x:v>
      </x:c>
      <x:c r="D27" s="4" t="str">
        <x:v>CYO-05</x:v>
      </x:c>
      <x:c r="E27" s="4" t="str">
        <x:v>Cliente y servidor web; despliegue; vulnerabilidades; herramientas de IA generativa.</x:v>
      </x:c>
      <x:c r="F27" s="4" t="str">
        <x:v>Construir, probar y proteger una aplicación web.</x:v>
      </x:c>
      <x:c r="G27" s="4" t="str">
        <x:v>Sin esta base puede faltar capacidad para comprender o justificar el juicio exigido por CYO-05.</x:v>
      </x:c>
      <x:c r="H27" s="4" t="str">
        <x:v>R017</x:v>
      </x:c>
      <x:c r="I27" s="4" t="str">
        <x:v>II; III (códigos); IV; actividad académica según guía</x:v>
      </x:c>
      <x:c r="J27" s="4" t="str">
        <x:v>ANCLA EDUCATIVA; ENLACE PROPUESTO</x:v>
      </x:c>
      <x:c r="K27" s="12" t="n">
        <x:f>IF(OR(D27="TRANSVERSAL",D27="RESERVA",COUNTIF('26_Mapa_universos'!$A$5:$A$33,D27)=1),0,1)</x:f>
        <x:v>0</x:v>
      </x:c>
      <x:c r="L27" s="12" t="n">
        <x:f>IF(COUNTIF('21_Fuentes_educativas'!$A$5:$A$188,H27)+COUNTIF('01_Fuentes'!$A$5:$A$40,H27)=1,0,1)</x:f>
        <x:v>0</x:v>
      </x:c>
    </x:row>
    <x:row r="28" ht="47" customHeight="1">
      <x:c r="A28" s="4" t="str">
        <x:v>TC-024</x:v>
      </x:c>
      <x:c r="B28" s="4" t="str">
        <x:v>URJC-18</x:v>
      </x:c>
      <x:c r="C28" s="4" t="str">
        <x:v>ASIGNATURA</x:v>
      </x:c>
      <x:c r="D28" s="4" t="str">
        <x:v>CYO-02</x:v>
      </x:c>
      <x:c r="E28" s="4" t="str">
        <x:v>Procesador; representación; ensamblador; camino de datos y control.</x:v>
      </x:c>
      <x:c r="F28" s="4" t="str">
        <x:v>Relacionar ejecución de instrucciones con estructura del computador.</x:v>
      </x:c>
      <x:c r="G28" s="4" t="str">
        <x:v>Sin esta base puede faltar capacidad para comprender o justificar el juicio exigido por CYO-02.</x:v>
      </x:c>
      <x:c r="H28" s="4" t="str">
        <x:v>R018</x:v>
      </x:c>
      <x:c r="I28" s="4" t="str">
        <x:v>II; III (códigos); IV; actividad académica según guía</x:v>
      </x:c>
      <x:c r="J28" s="4" t="str">
        <x:v>ANCLA EDUCATIVA; ENLACE PROPUESTO</x:v>
      </x:c>
      <x:c r="K28" s="12" t="n">
        <x:f>IF(OR(D28="TRANSVERSAL",D28="RESERVA",COUNTIF('26_Mapa_universos'!$A$5:$A$33,D28)=1),0,1)</x:f>
        <x:v>0</x:v>
      </x:c>
      <x:c r="L28" s="12" t="n">
        <x:f>IF(COUNTIF('21_Fuentes_educativas'!$A$5:$A$188,H28)+COUNTIF('01_Fuentes'!$A$5:$A$40,H28)=1,0,1)</x:f>
        <x:v>0</x:v>
      </x:c>
    </x:row>
    <x:row r="29" ht="47" customHeight="1">
      <x:c r="A29" s="4" t="str">
        <x:v>TC-025</x:v>
      </x:c>
      <x:c r="B29" s="4" t="str">
        <x:v>URJC-18</x:v>
      </x:c>
      <x:c r="C29" s="4" t="str">
        <x:v>ASIGNATURA</x:v>
      </x:c>
      <x:c r="D29" s="4" t="str">
        <x:v>CYO-12</x:v>
      </x:c>
      <x:c r="E29" s="4" t="str">
        <x:v>Procesador; representación; ensamblador; camino de datos y control.</x:v>
      </x:c>
      <x:c r="F29" s="4" t="str">
        <x:v>Relacionar ejecución de instrucciones con estructura del computador.</x:v>
      </x:c>
      <x:c r="G29" s="4" t="str">
        <x:v>Sin esta base puede faltar capacidad para comprender o justificar el juicio exigido por CYO-12.</x:v>
      </x:c>
      <x:c r="H29" s="4" t="str">
        <x:v>R018</x:v>
      </x:c>
      <x:c r="I29" s="4" t="str">
        <x:v>II; III (códigos); IV; actividad académica según guía</x:v>
      </x:c>
      <x:c r="J29" s="4" t="str">
        <x:v>ANCLA EDUCATIVA; ENLACE PROPUESTO</x:v>
      </x:c>
      <x:c r="K29" s="12" t="n">
        <x:f>IF(OR(D29="TRANSVERSAL",D29="RESERVA",COUNTIF('26_Mapa_universos'!$A$5:$A$33,D29)=1),0,1)</x:f>
        <x:v>0</x:v>
      </x:c>
      <x:c r="L29" s="12" t="n">
        <x:f>IF(COUNTIF('21_Fuentes_educativas'!$A$5:$A$188,H29)+COUNTIF('01_Fuentes'!$A$5:$A$40,H29)=1,0,1)</x:f>
        <x:v>0</x:v>
      </x:c>
    </x:row>
    <x:row r="30" ht="47" customHeight="1">
      <x:c r="A30" s="4" t="str">
        <x:v>TC-026</x:v>
      </x:c>
      <x:c r="B30" s="4" t="str">
        <x:v>URJC-19</x:v>
      </x:c>
      <x:c r="C30" s="4" t="str">
        <x:v>ASIGNATURA</x:v>
      </x:c>
      <x:c r="D30" s="4" t="str">
        <x:v>CYO-02</x:v>
      </x:c>
      <x:c r="E30" s="4" t="str">
        <x:v>Protección perimetral; segmentación; detección; VPN; redes inalámbricas.</x:v>
      </x:c>
      <x:c r="F30" s="4" t="str">
        <x:v>Configurar y analizar mecanismos de protección de redes.</x:v>
      </x:c>
      <x:c r="G30" s="4" t="str">
        <x:v>Sin esta base puede faltar capacidad para comprender o justificar el juicio exigido por CYO-02.</x:v>
      </x:c>
      <x:c r="H30" s="4" t="str">
        <x:v>R019</x:v>
      </x:c>
      <x:c r="I30" s="4" t="str">
        <x:v>II; III (códigos); IV; actividad académica según guía</x:v>
      </x:c>
      <x:c r="J30" s="4" t="str">
        <x:v>ANCLA EDUCATIVA; ENLACE PROPUESTO</x:v>
      </x:c>
      <x:c r="K30" s="12" t="n">
        <x:f>IF(OR(D30="TRANSVERSAL",D30="RESERVA",COUNTIF('26_Mapa_universos'!$A$5:$A$33,D30)=1),0,1)</x:f>
        <x:v>0</x:v>
      </x:c>
      <x:c r="L30" s="12" t="n">
        <x:f>IF(COUNTIF('21_Fuentes_educativas'!$A$5:$A$188,H30)+COUNTIF('01_Fuentes'!$A$5:$A$40,H30)=1,0,1)</x:f>
        <x:v>0</x:v>
      </x:c>
    </x:row>
    <x:row r="31" ht="47" customHeight="1">
      <x:c r="A31" s="4" t="str">
        <x:v>TC-027</x:v>
      </x:c>
      <x:c r="B31" s="4" t="str">
        <x:v>URJC-19</x:v>
      </x:c>
      <x:c r="C31" s="4" t="str">
        <x:v>ASIGNATURA</x:v>
      </x:c>
      <x:c r="D31" s="4" t="str">
        <x:v>CYO-03</x:v>
      </x:c>
      <x:c r="E31" s="4" t="str">
        <x:v>Protección perimetral; segmentación; detección; VPN; redes inalámbricas.</x:v>
      </x:c>
      <x:c r="F31" s="4" t="str">
        <x:v>Configurar y analizar mecanismos de protección de redes.</x:v>
      </x:c>
      <x:c r="G31" s="4" t="str">
        <x:v>Sin esta base puede faltar capacidad para comprender o justificar el juicio exigido por CYO-03.</x:v>
      </x:c>
      <x:c r="H31" s="4" t="str">
        <x:v>R019</x:v>
      </x:c>
      <x:c r="I31" s="4" t="str">
        <x:v>II; III (códigos); IV; actividad académica según guía</x:v>
      </x:c>
      <x:c r="J31" s="4" t="str">
        <x:v>ANCLA EDUCATIVA; ENLACE PROPUESTO</x:v>
      </x:c>
      <x:c r="K31" s="12" t="n">
        <x:f>IF(OR(D31="TRANSVERSAL",D31="RESERVA",COUNTIF('26_Mapa_universos'!$A$5:$A$33,D31)=1),0,1)</x:f>
        <x:v>0</x:v>
      </x:c>
      <x:c r="L31" s="12" t="n">
        <x:f>IF(COUNTIF('21_Fuentes_educativas'!$A$5:$A$188,H31)+COUNTIF('01_Fuentes'!$A$5:$A$40,H31)=1,0,1)</x:f>
        <x:v>0</x:v>
      </x:c>
    </x:row>
    <x:row r="32" ht="47" customHeight="1">
      <x:c r="A32" s="4" t="str">
        <x:v>TC-028</x:v>
      </x:c>
      <x:c r="B32" s="4" t="str">
        <x:v>URJC-19</x:v>
      </x:c>
      <x:c r="C32" s="4" t="str">
        <x:v>ASIGNATURA</x:v>
      </x:c>
      <x:c r="D32" s="4" t="str">
        <x:v>CYO-12</x:v>
      </x:c>
      <x:c r="E32" s="4" t="str">
        <x:v>Protección perimetral; segmentación; detección; VPN; redes inalámbricas.</x:v>
      </x:c>
      <x:c r="F32" s="4" t="str">
        <x:v>Configurar y analizar mecanismos de protección de redes.</x:v>
      </x:c>
      <x:c r="G32" s="4" t="str">
        <x:v>Sin esta base puede faltar capacidad para comprender o justificar el juicio exigido por CYO-12.</x:v>
      </x:c>
      <x:c r="H32" s="4" t="str">
        <x:v>R019</x:v>
      </x:c>
      <x:c r="I32" s="4" t="str">
        <x:v>II; III (códigos); IV; actividad académica según guía</x:v>
      </x:c>
      <x:c r="J32" s="4" t="str">
        <x:v>ANCLA EDUCATIVA; ENLACE PROPUESTO</x:v>
      </x:c>
      <x:c r="K32" s="12" t="n">
        <x:f>IF(OR(D32="TRANSVERSAL",D32="RESERVA",COUNTIF('26_Mapa_universos'!$A$5:$A$33,D32)=1),0,1)</x:f>
        <x:v>0</x:v>
      </x:c>
      <x:c r="L32" s="12" t="n">
        <x:f>IF(COUNTIF('21_Fuentes_educativas'!$A$5:$A$188,H32)+COUNTIF('01_Fuentes'!$A$5:$A$40,H32)=1,0,1)</x:f>
        <x:v>0</x:v>
      </x:c>
    </x:row>
    <x:row r="33" ht="47" customHeight="1">
      <x:c r="A33" s="4" t="str">
        <x:v>TC-029</x:v>
      </x:c>
      <x:c r="B33" s="4" t="str">
        <x:v>URJC-19</x:v>
      </x:c>
      <x:c r="C33" s="4" t="str">
        <x:v>ASIGNATURA</x:v>
      </x:c>
      <x:c r="D33" s="4" t="str">
        <x:v>CYO-27</x:v>
      </x:c>
      <x:c r="E33" s="4" t="str">
        <x:v>Protección perimetral; segmentación; detección; VPN; redes inalámbricas.</x:v>
      </x:c>
      <x:c r="F33" s="4" t="str">
        <x:v>Configurar y analizar mecanismos de protección de redes.</x:v>
      </x:c>
      <x:c r="G33" s="4" t="str">
        <x:v>Sin esta base puede faltar capacidad para comprender o justificar el juicio exigido por CYO-27.</x:v>
      </x:c>
      <x:c r="H33" s="4" t="str">
        <x:v>R019</x:v>
      </x:c>
      <x:c r="I33" s="4" t="str">
        <x:v>II; III (códigos); IV; actividad académica según guía</x:v>
      </x:c>
      <x:c r="J33" s="4" t="str">
        <x:v>ANCLA EDUCATIVA; ENLACE PROPUESTO</x:v>
      </x:c>
      <x:c r="K33" s="12" t="n">
        <x:f>IF(OR(D33="TRANSVERSAL",D33="RESERVA",COUNTIF('26_Mapa_universos'!$A$5:$A$33,D33)=1),0,1)</x:f>
        <x:v>0</x:v>
      </x:c>
      <x:c r="L33" s="12" t="n">
        <x:f>IF(COUNTIF('21_Fuentes_educativas'!$A$5:$A$188,H33)+COUNTIF('01_Fuentes'!$A$5:$A$40,H33)=1,0,1)</x:f>
        <x:v>0</x:v>
      </x:c>
    </x:row>
    <x:row r="34" ht="47" customHeight="1">
      <x:c r="A34" s="4" t="str">
        <x:v>TC-030</x:v>
      </x:c>
      <x:c r="B34" s="4" t="str">
        <x:v>URJC-20</x:v>
      </x:c>
      <x:c r="C34" s="4" t="str">
        <x:v>ASIGNATURA</x:v>
      </x:c>
      <x:c r="D34" s="4" t="str">
        <x:v>TRANSVERSAL</x:v>
      </x:c>
      <x:c r="E34" s="4" t="str">
        <x:v>Competencia en idioma moderno.</x:v>
      </x:c>
      <x:c r="F34" s="4" t="str">
        <x:v>Comprender y comunicar información en otra lengua.</x:v>
      </x:c>
      <x:c r="G34" s="4" t="str">
        <x:v>Formación transversal identificada; no se adjudica una capacidad técnica específica ni un nuevo universo.</x:v>
      </x:c>
      <x:c r="H34" s="4" t="str">
        <x:v>R020</x:v>
      </x:c>
      <x:c r="I34" s="4" t="str">
        <x:v>II; III (códigos); IV; actividad académica según guía</x:v>
      </x:c>
      <x:c r="J34" s="4" t="str">
        <x:v>ANCLA EDUCATIVA; ENLACE PROPUESTO</x:v>
      </x:c>
      <x:c r="K34" s="12" t="n">
        <x:f>IF(OR(D34="TRANSVERSAL",D34="RESERVA",COUNTIF('26_Mapa_universos'!$A$5:$A$33,D34)=1),0,1)</x:f>
        <x:v>0</x:v>
      </x:c>
      <x:c r="L34" s="12" t="n">
        <x:f>IF(COUNTIF('21_Fuentes_educativas'!$A$5:$A$188,H34)+COUNTIF('01_Fuentes'!$A$5:$A$40,H34)=1,0,1)</x:f>
        <x:v>0</x:v>
      </x:c>
    </x:row>
    <x:row r="35" ht="47" customHeight="1">
      <x:c r="A35" s="4" t="str">
        <x:v>TC-031</x:v>
      </x:c>
      <x:c r="B35" s="4" t="str">
        <x:v>URJC-21</x:v>
      </x:c>
      <x:c r="C35" s="4" t="str">
        <x:v>ASIGNATURA</x:v>
      </x:c>
      <x:c r="D35" s="4" t="str">
        <x:v>CYO-02</x:v>
      </x:c>
      <x:c r="E35" s="4" t="str">
        <x:v>Arquitectura del computador; memoria; rendimiento y organización.</x:v>
      </x:c>
      <x:c r="F35" s="4" t="str">
        <x:v>Analizar efectos de la arquitectura en la ejecución y prestaciones.</x:v>
      </x:c>
      <x:c r="G35" s="4" t="str">
        <x:v>Sin esta base puede faltar capacidad para comprender o justificar el juicio exigido por CYO-02.</x:v>
      </x:c>
      <x:c r="H35" s="4" t="str">
        <x:v>R021</x:v>
      </x:c>
      <x:c r="I35" s="4" t="str">
        <x:v>II; III (códigos); IV; actividad académica según guía</x:v>
      </x:c>
      <x:c r="J35" s="4" t="str">
        <x:v>ANCLA EDUCATIVA; ENLACE PROPUESTO</x:v>
      </x:c>
      <x:c r="K35" s="12" t="n">
        <x:f>IF(OR(D35="TRANSVERSAL",D35="RESERVA",COUNTIF('26_Mapa_universos'!$A$5:$A$33,D35)=1),0,1)</x:f>
        <x:v>0</x:v>
      </x:c>
      <x:c r="L35" s="12" t="n">
        <x:f>IF(COUNTIF('21_Fuentes_educativas'!$A$5:$A$188,H35)+COUNTIF('01_Fuentes'!$A$5:$A$40,H35)=1,0,1)</x:f>
        <x:v>0</x:v>
      </x:c>
    </x:row>
    <x:row r="36" ht="47" customHeight="1">
      <x:c r="A36" s="4" t="str">
        <x:v>TC-032</x:v>
      </x:c>
      <x:c r="B36" s="4" t="str">
        <x:v>URJC-21</x:v>
      </x:c>
      <x:c r="C36" s="4" t="str">
        <x:v>ASIGNATURA</x:v>
      </x:c>
      <x:c r="D36" s="4" t="str">
        <x:v>CYO-12</x:v>
      </x:c>
      <x:c r="E36" s="4" t="str">
        <x:v>Arquitectura del computador; memoria; rendimiento y organización.</x:v>
      </x:c>
      <x:c r="F36" s="4" t="str">
        <x:v>Analizar efectos de la arquitectura en la ejecución y prestaciones.</x:v>
      </x:c>
      <x:c r="G36" s="4" t="str">
        <x:v>Sin esta base puede faltar capacidad para comprender o justificar el juicio exigido por CYO-12.</x:v>
      </x:c>
      <x:c r="H36" s="4" t="str">
        <x:v>R021</x:v>
      </x:c>
      <x:c r="I36" s="4" t="str">
        <x:v>II; III (códigos); IV; actividad académica según guía</x:v>
      </x:c>
      <x:c r="J36" s="4" t="str">
        <x:v>ANCLA EDUCATIVA; ENLACE PROPUESTO</x:v>
      </x:c>
      <x:c r="K36" s="12" t="n">
        <x:f>IF(OR(D36="TRANSVERSAL",D36="RESERVA",COUNTIF('26_Mapa_universos'!$A$5:$A$33,D36)=1),0,1)</x:f>
        <x:v>0</x:v>
      </x:c>
      <x:c r="L36" s="12" t="n">
        <x:f>IF(COUNTIF('21_Fuentes_educativas'!$A$5:$A$188,H36)+COUNTIF('01_Fuentes'!$A$5:$A$40,H36)=1,0,1)</x:f>
        <x:v>0</x:v>
      </x:c>
    </x:row>
    <x:row r="37" ht="47" customHeight="1">
      <x:c r="A37" s="4" t="str">
        <x:v>TC-033</x:v>
      </x:c>
      <x:c r="B37" s="4" t="str">
        <x:v>URJC-22</x:v>
      </x:c>
      <x:c r="C37" s="4" t="str">
        <x:v>ASIGNATURA</x:v>
      </x:c>
      <x:c r="D37" s="4" t="str">
        <x:v>CYO-05</x:v>
      </x:c>
      <x:c r="E37" s="4" t="str">
        <x:v>Complejidad; diseño y análisis de algoritmos.</x:v>
      </x:c>
      <x:c r="F37" s="4" t="str">
        <x:v>Justificar corrección, recursos y adecuación de algoritmos.</x:v>
      </x:c>
      <x:c r="G37" s="4" t="str">
        <x:v>Sin esta base puede faltar capacidad para comprender o justificar el juicio exigido por CYO-05.</x:v>
      </x:c>
      <x:c r="H37" s="4" t="str">
        <x:v>R022</x:v>
      </x:c>
      <x:c r="I37" s="4" t="str">
        <x:v>II; III (códigos); IV; actividad académica según guía</x:v>
      </x:c>
      <x:c r="J37" s="4" t="str">
        <x:v>ANCLA EDUCATIVA; ENLACE PROPUESTO</x:v>
      </x:c>
      <x:c r="K37" s="12" t="n">
        <x:f>IF(OR(D37="TRANSVERSAL",D37="RESERVA",COUNTIF('26_Mapa_universos'!$A$5:$A$33,D37)=1),0,1)</x:f>
        <x:v>0</x:v>
      </x:c>
      <x:c r="L37" s="12" t="n">
        <x:f>IF(COUNTIF('21_Fuentes_educativas'!$A$5:$A$188,H37)+COUNTIF('01_Fuentes'!$A$5:$A$40,H37)=1,0,1)</x:f>
        <x:v>0</x:v>
      </x:c>
    </x:row>
    <x:row r="38" ht="47" customHeight="1">
      <x:c r="A38" s="4" t="str">
        <x:v>TC-034</x:v>
      </x:c>
      <x:c r="B38" s="4" t="str">
        <x:v>URJC-22</x:v>
      </x:c>
      <x:c r="C38" s="4" t="str">
        <x:v>ASIGNATURA</x:v>
      </x:c>
      <x:c r="D38" s="4" t="str">
        <x:v>CYO-23</x:v>
      </x:c>
      <x:c r="E38" s="4" t="str">
        <x:v>Complejidad; diseño y análisis de algoritmos.</x:v>
      </x:c>
      <x:c r="F38" s="4" t="str">
        <x:v>Justificar corrección, recursos y adecuación de algoritmos.</x:v>
      </x:c>
      <x:c r="G38" s="4" t="str">
        <x:v>Sin esta base puede faltar capacidad para comprender o justificar el juicio exigido por CYO-23.</x:v>
      </x:c>
      <x:c r="H38" s="4" t="str">
        <x:v>R022</x:v>
      </x:c>
      <x:c r="I38" s="4" t="str">
        <x:v>II; III (códigos); IV; actividad académica según guía</x:v>
      </x:c>
      <x:c r="J38" s="4" t="str">
        <x:v>ANCLA EDUCATIVA; ENLACE PROPUESTO</x:v>
      </x:c>
      <x:c r="K38" s="12" t="n">
        <x:f>IF(OR(D38="TRANSVERSAL",D38="RESERVA",COUNTIF('26_Mapa_universos'!$A$5:$A$33,D38)=1),0,1)</x:f>
        <x:v>0</x:v>
      </x:c>
      <x:c r="L38" s="12" t="n">
        <x:f>IF(COUNTIF('21_Fuentes_educativas'!$A$5:$A$188,H38)+COUNTIF('01_Fuentes'!$A$5:$A$40,H38)=1,0,1)</x:f>
        <x:v>0</x:v>
      </x:c>
    </x:row>
    <x:row r="39" ht="47" customHeight="1">
      <x:c r="A39" s="4" t="str">
        <x:v>TC-035</x:v>
      </x:c>
      <x:c r="B39" s="4" t="str">
        <x:v>URJC-23</x:v>
      </x:c>
      <x:c r="C39" s="4" t="str">
        <x:v>ASIGNATURA</x:v>
      </x:c>
      <x:c r="D39" s="4" t="str">
        <x:v>CYO-05</x:v>
      </x:c>
      <x:c r="E39" s="4" t="str">
        <x:v>Procesos; ciclos de vida; metodologías y planificación de software en ciberseguridad.</x:v>
      </x:c>
      <x:c r="F39" s="4" t="str">
        <x:v>Organizar la resolución de problemas y proyectos de software en grupo.</x:v>
      </x:c>
      <x:c r="G39" s="4" t="str">
        <x:v>Sin esta base puede faltar capacidad para comprender o justificar el juicio exigido por CYO-05.</x:v>
      </x:c>
      <x:c r="H39" s="4" t="str">
        <x:v>R023</x:v>
      </x:c>
      <x:c r="I39" s="4" t="str">
        <x:v>II; III (códigos); IV; actividad académica según guía</x:v>
      </x:c>
      <x:c r="J39" s="4" t="str">
        <x:v>ANCLA EDUCATIVA; ENLACE PROPUESTO</x:v>
      </x:c>
      <x:c r="K39" s="12" t="n">
        <x:f>IF(OR(D39="TRANSVERSAL",D39="RESERVA",COUNTIF('26_Mapa_universos'!$A$5:$A$33,D39)=1),0,1)</x:f>
        <x:v>0</x:v>
      </x:c>
      <x:c r="L39" s="12" t="n">
        <x:f>IF(COUNTIF('21_Fuentes_educativas'!$A$5:$A$188,H39)+COUNTIF('01_Fuentes'!$A$5:$A$40,H39)=1,0,1)</x:f>
        <x:v>0</x:v>
      </x:c>
    </x:row>
    <x:row r="40" ht="47" customHeight="1">
      <x:c r="A40" s="4" t="str">
        <x:v>TC-036</x:v>
      </x:c>
      <x:c r="B40" s="4" t="str">
        <x:v>URJC-23</x:v>
      </x:c>
      <x:c r="C40" s="4" t="str">
        <x:v>ASIGNATURA</x:v>
      </x:c>
      <x:c r="D40" s="4" t="str">
        <x:v>CYO-18</x:v>
      </x:c>
      <x:c r="E40" s="4" t="str">
        <x:v>Procesos; ciclos de vida; metodologías y planificación de software en ciberseguridad.</x:v>
      </x:c>
      <x:c r="F40" s="4" t="str">
        <x:v>Organizar la resolución de problemas y proyectos de software en grupo.</x:v>
      </x:c>
      <x:c r="G40" s="4" t="str">
        <x:v>Sin esta base puede faltar capacidad para comprender o justificar el juicio exigido por CYO-18.</x:v>
      </x:c>
      <x:c r="H40" s="4" t="str">
        <x:v>R023</x:v>
      </x:c>
      <x:c r="I40" s="4" t="str">
        <x:v>II; III (códigos); IV; actividad académica según guía</x:v>
      </x:c>
      <x:c r="J40" s="4" t="str">
        <x:v>ANCLA EDUCATIVA; ENLACE PROPUESTO</x:v>
      </x:c>
      <x:c r="K40" s="12" t="n">
        <x:f>IF(OR(D40="TRANSVERSAL",D40="RESERVA",COUNTIF('26_Mapa_universos'!$A$5:$A$33,D40)=1),0,1)</x:f>
        <x:v>0</x:v>
      </x:c>
      <x:c r="L40" s="12" t="n">
        <x:f>IF(COUNTIF('21_Fuentes_educativas'!$A$5:$A$188,H40)+COUNTIF('01_Fuentes'!$A$5:$A$40,H40)=1,0,1)</x:f>
        <x:v>0</x:v>
      </x:c>
    </x:row>
    <x:row r="41" ht="47" customHeight="1">
      <x:c r="A41" s="4" t="str">
        <x:v>TC-037</x:v>
      </x:c>
      <x:c r="B41" s="4" t="str">
        <x:v>URJC-24</x:v>
      </x:c>
      <x:c r="C41" s="4" t="str">
        <x:v>ASIGNATURA</x:v>
      </x:c>
      <x:c r="D41" s="4" t="str">
        <x:v>CYO-03</x:v>
      </x:c>
      <x:c r="E41" s="4" t="str">
        <x:v>Protección en SGBD; acceso; confidencialidad; recuperación; auditoría.</x:v>
      </x:c>
      <x:c r="F41" s="4" t="str">
        <x:v>Administrar controles y evaluar la protección de bases de datos.</x:v>
      </x:c>
      <x:c r="G41" s="4" t="str">
        <x:v>Sin esta base puede faltar capacidad para comprender o justificar el juicio exigido por CYO-03.</x:v>
      </x:c>
      <x:c r="H41" s="4" t="str">
        <x:v>R024</x:v>
      </x:c>
      <x:c r="I41" s="4" t="str">
        <x:v>II; III (códigos); IV; actividad académica según guía</x:v>
      </x:c>
      <x:c r="J41" s="4" t="str">
        <x:v>ANCLA EDUCATIVA; ENLACE PROPUESTO</x:v>
      </x:c>
      <x:c r="K41" s="12" t="n">
        <x:f>IF(OR(D41="TRANSVERSAL",D41="RESERVA",COUNTIF('26_Mapa_universos'!$A$5:$A$33,D41)=1),0,1)</x:f>
        <x:v>0</x:v>
      </x:c>
      <x:c r="L41" s="12" t="n">
        <x:f>IF(COUNTIF('21_Fuentes_educativas'!$A$5:$A$188,H41)+COUNTIF('01_Fuentes'!$A$5:$A$40,H41)=1,0,1)</x:f>
        <x:v>0</x:v>
      </x:c>
    </x:row>
    <x:row r="42" ht="47" customHeight="1">
      <x:c r="A42" s="4" t="str">
        <x:v>TC-038</x:v>
      </x:c>
      <x:c r="B42" s="4" t="str">
        <x:v>URJC-24</x:v>
      </x:c>
      <x:c r="C42" s="4" t="str">
        <x:v>ASIGNATURA</x:v>
      </x:c>
      <x:c r="D42" s="4" t="str">
        <x:v>CYO-13</x:v>
      </x:c>
      <x:c r="E42" s="4" t="str">
        <x:v>Protección en SGBD; acceso; confidencialidad; recuperación; auditoría.</x:v>
      </x:c>
      <x:c r="F42" s="4" t="str">
        <x:v>Administrar controles y evaluar la protección de bases de datos.</x:v>
      </x:c>
      <x:c r="G42" s="4" t="str">
        <x:v>Sin esta base puede faltar capacidad para comprender o justificar el juicio exigido por CYO-13.</x:v>
      </x:c>
      <x:c r="H42" s="4" t="str">
        <x:v>R024</x:v>
      </x:c>
      <x:c r="I42" s="4" t="str">
        <x:v>II; III (códigos); IV; actividad académica según guía</x:v>
      </x:c>
      <x:c r="J42" s="4" t="str">
        <x:v>ANCLA EDUCATIVA; ENLACE PROPUESTO</x:v>
      </x:c>
      <x:c r="K42" s="12" t="n">
        <x:f>IF(OR(D42="TRANSVERSAL",D42="RESERVA",COUNTIF('26_Mapa_universos'!$A$5:$A$33,D42)=1),0,1)</x:f>
        <x:v>0</x:v>
      </x:c>
      <x:c r="L42" s="12" t="n">
        <x:f>IF(COUNTIF('21_Fuentes_educativas'!$A$5:$A$188,H42)+COUNTIF('01_Fuentes'!$A$5:$A$40,H42)=1,0,1)</x:f>
        <x:v>0</x:v>
      </x:c>
    </x:row>
    <x:row r="43" ht="47" customHeight="1">
      <x:c r="A43" s="4" t="str">
        <x:v>TC-039</x:v>
      </x:c>
      <x:c r="B43" s="4" t="str">
        <x:v>URJC-24</x:v>
      </x:c>
      <x:c r="C43" s="4" t="str">
        <x:v>ASIGNATURA</x:v>
      </x:c>
      <x:c r="D43" s="4" t="str">
        <x:v>CYO-17</x:v>
      </x:c>
      <x:c r="E43" s="4" t="str">
        <x:v>Protección en SGBD; acceso; confidencialidad; recuperación; auditoría.</x:v>
      </x:c>
      <x:c r="F43" s="4" t="str">
        <x:v>Administrar controles y evaluar la protección de bases de datos.</x:v>
      </x:c>
      <x:c r="G43" s="4" t="str">
        <x:v>Sin esta base puede faltar capacidad para comprender o justificar el juicio exigido por CYO-17.</x:v>
      </x:c>
      <x:c r="H43" s="4" t="str">
        <x:v>R024</x:v>
      </x:c>
      <x:c r="I43" s="4" t="str">
        <x:v>II; III (códigos); IV; actividad académica según guía</x:v>
      </x:c>
      <x:c r="J43" s="4" t="str">
        <x:v>ANCLA EDUCATIVA; ENLACE PROPUESTO</x:v>
      </x:c>
      <x:c r="K43" s="12" t="n">
        <x:f>IF(OR(D43="TRANSVERSAL",D43="RESERVA",COUNTIF('26_Mapa_universos'!$A$5:$A$33,D43)=1),0,1)</x:f>
        <x:v>0</x:v>
      </x:c>
      <x:c r="L43" s="12" t="n">
        <x:f>IF(COUNTIF('21_Fuentes_educativas'!$A$5:$A$188,H43)+COUNTIF('01_Fuentes'!$A$5:$A$40,H43)=1,0,1)</x:f>
        <x:v>0</x:v>
      </x:c>
    </x:row>
    <x:row r="44" ht="47" customHeight="1">
      <x:c r="A44" s="4" t="str">
        <x:v>TC-040</x:v>
      </x:c>
      <x:c r="B44" s="4" t="str">
        <x:v>URJC-25</x:v>
      </x:c>
      <x:c r="C44" s="4" t="str">
        <x:v>ASIGNATURA</x:v>
      </x:c>
      <x:c r="D44" s="4" t="str">
        <x:v>CYO-12</x:v>
      </x:c>
      <x:c r="E44" s="4" t="str">
        <x:v>Procesos; memoria; ficheros; concurrencia; administración.</x:v>
      </x:c>
      <x:c r="F44" s="4" t="str">
        <x:v>Comprender y utilizar mecanismos del sistema operativo.</x:v>
      </x:c>
      <x:c r="G44" s="4" t="str">
        <x:v>Sin esta base puede faltar capacidad para comprender o justificar el juicio exigido por CYO-12.</x:v>
      </x:c>
      <x:c r="H44" s="4" t="str">
        <x:v>R025</x:v>
      </x:c>
      <x:c r="I44" s="4" t="str">
        <x:v>II; III (códigos); IV; actividad académica según guía</x:v>
      </x:c>
      <x:c r="J44" s="4" t="str">
        <x:v>ANCLA EDUCATIVA; ENLACE PROPUESTO</x:v>
      </x:c>
      <x:c r="K44" s="12" t="n">
        <x:f>IF(OR(D44="TRANSVERSAL",D44="RESERVA",COUNTIF('26_Mapa_universos'!$A$5:$A$33,D44)=1),0,1)</x:f>
        <x:v>0</x:v>
      </x:c>
      <x:c r="L44" s="12" t="n">
        <x:f>IF(COUNTIF('21_Fuentes_educativas'!$A$5:$A$188,H44)+COUNTIF('01_Fuentes'!$A$5:$A$40,H44)=1,0,1)</x:f>
        <x:v>0</x:v>
      </x:c>
    </x:row>
    <x:row r="45" ht="47" customHeight="1">
      <x:c r="A45" s="4" t="str">
        <x:v>TC-041</x:v>
      </x:c>
      <x:c r="B45" s="4" t="str">
        <x:v>URJC-25</x:v>
      </x:c>
      <x:c r="C45" s="4" t="str">
        <x:v>ASIGNATURA</x:v>
      </x:c>
      <x:c r="D45" s="4" t="str">
        <x:v>CYO-27</x:v>
      </x:c>
      <x:c r="E45" s="4" t="str">
        <x:v>Procesos; memoria; ficheros; concurrencia; administración.</x:v>
      </x:c>
      <x:c r="F45" s="4" t="str">
        <x:v>Comprender y utilizar mecanismos del sistema operativo.</x:v>
      </x:c>
      <x:c r="G45" s="4" t="str">
        <x:v>Sin esta base puede faltar capacidad para comprender o justificar el juicio exigido por CYO-27.</x:v>
      </x:c>
      <x:c r="H45" s="4" t="str">
        <x:v>R025</x:v>
      </x:c>
      <x:c r="I45" s="4" t="str">
        <x:v>II; III (códigos); IV; actividad académica según guía</x:v>
      </x:c>
      <x:c r="J45" s="4" t="str">
        <x:v>ANCLA EDUCATIVA; ENLACE PROPUESTO</x:v>
      </x:c>
      <x:c r="K45" s="12" t="n">
        <x:f>IF(OR(D45="TRANSVERSAL",D45="RESERVA",COUNTIF('26_Mapa_universos'!$A$5:$A$33,D45)=1),0,1)</x:f>
        <x:v>0</x:v>
      </x:c>
      <x:c r="L45" s="12" t="n">
        <x:f>IF(COUNTIF('21_Fuentes_educativas'!$A$5:$A$188,H45)+COUNTIF('01_Fuentes'!$A$5:$A$40,H45)=1,0,1)</x:f>
        <x:v>0</x:v>
      </x:c>
    </x:row>
    <x:row r="46" ht="47" customHeight="1">
      <x:c r="A46" s="4" t="str">
        <x:v>TC-042</x:v>
      </x:c>
      <x:c r="B46" s="4" t="str">
        <x:v>URJC-26</x:v>
      </x:c>
      <x:c r="C46" s="4" t="str">
        <x:v>ASIGNATURA</x:v>
      </x:c>
      <x:c r="D46" s="4" t="str">
        <x:v>CYO-15</x:v>
      </x:c>
      <x:c r="E46" s="4" t="str">
        <x:v>Agentes; búsqueda multiagente; redes bayesianas; decisión; aprendizaje probabilístico, inductivo y por refuerzo.</x:v>
      </x:c>
      <x:c r="F46" s="4" t="str">
        <x:v>Resolver problemas, consultar modelos y desarrollar soluciones basadas en datos.</x:v>
      </x:c>
      <x:c r="G46" s="4" t="str">
        <x:v>Sin esta base puede faltar capacidad para comprender o justificar el juicio exigido por CYO-15.</x:v>
      </x:c>
      <x:c r="H46" s="4" t="str">
        <x:v>R026</x:v>
      </x:c>
      <x:c r="I46" s="4" t="str">
        <x:v>II; III (códigos); IV; actividad académica según guía</x:v>
      </x:c>
      <x:c r="J46" s="4" t="str">
        <x:v>ANCLA EDUCATIVA; ENLACE PROPUESTO</x:v>
      </x:c>
      <x:c r="K46" s="12" t="n">
        <x:f>IF(OR(D46="TRANSVERSAL",D46="RESERVA",COUNTIF('26_Mapa_universos'!$A$5:$A$33,D46)=1),0,1)</x:f>
        <x:v>0</x:v>
      </x:c>
      <x:c r="L46" s="12" t="n">
        <x:f>IF(COUNTIF('21_Fuentes_educativas'!$A$5:$A$188,H46)+COUNTIF('01_Fuentes'!$A$5:$A$40,H46)=1,0,1)</x:f>
        <x:v>0</x:v>
      </x:c>
    </x:row>
    <x:row r="47" ht="47" customHeight="1">
      <x:c r="A47" s="4" t="str">
        <x:v>TC-043</x:v>
      </x:c>
      <x:c r="B47" s="4" t="str">
        <x:v>URJC-26</x:v>
      </x:c>
      <x:c r="C47" s="4" t="str">
        <x:v>ASIGNATURA</x:v>
      </x:c>
      <x:c r="D47" s="4" t="str">
        <x:v>CYO-23</x:v>
      </x:c>
      <x:c r="E47" s="4" t="str">
        <x:v>Agentes; búsqueda multiagente; redes bayesianas; decisión; aprendizaje probabilístico, inductivo y por refuerzo.</x:v>
      </x:c>
      <x:c r="F47" s="4" t="str">
        <x:v>Resolver problemas, consultar modelos y desarrollar soluciones basadas en datos.</x:v>
      </x:c>
      <x:c r="G47" s="4" t="str">
        <x:v>Sin esta base puede faltar capacidad para comprender o justificar el juicio exigido por CYO-23.</x:v>
      </x:c>
      <x:c r="H47" s="4" t="str">
        <x:v>R026</x:v>
      </x:c>
      <x:c r="I47" s="4" t="str">
        <x:v>II; III (códigos); IV; actividad académica según guía</x:v>
      </x:c>
      <x:c r="J47" s="4" t="str">
        <x:v>ANCLA EDUCATIVA; ENLACE PROPUESTO</x:v>
      </x:c>
      <x:c r="K47" s="12" t="n">
        <x:f>IF(OR(D47="TRANSVERSAL",D47="RESERVA",COUNTIF('26_Mapa_universos'!$A$5:$A$33,D47)=1),0,1)</x:f>
        <x:v>0</x:v>
      </x:c>
      <x:c r="L47" s="12" t="n">
        <x:f>IF(COUNTIF('21_Fuentes_educativas'!$A$5:$A$188,H47)+COUNTIF('01_Fuentes'!$A$5:$A$40,H47)=1,0,1)</x:f>
        <x:v>0</x:v>
      </x:c>
    </x:row>
    <x:row r="48" ht="47" customHeight="1">
      <x:c r="A48" s="4" t="str">
        <x:v>TC-044</x:v>
      </x:c>
      <x:c r="B48" s="4" t="str">
        <x:v>URJC-27</x:v>
      </x:c>
      <x:c r="C48" s="4" t="str">
        <x:v>ASIGNATURA</x:v>
      </x:c>
      <x:c r="D48" s="4" t="str">
        <x:v>CYO-04</x:v>
      </x:c>
      <x:c r="E48" s="4" t="str">
        <x:v>Taxonomía de malware; propagación; análisis; amenazas dirigidas.</x:v>
      </x:c>
      <x:c r="F48" s="4" t="str">
        <x:v>Analizar muestras y razonar sobre mecanismos de protección.</x:v>
      </x:c>
      <x:c r="G48" s="4" t="str">
        <x:v>Sin esta base puede faltar capacidad para comprender o justificar el juicio exigido por CYO-04.</x:v>
      </x:c>
      <x:c r="H48" s="4" t="str">
        <x:v>R027</x:v>
      </x:c>
      <x:c r="I48" s="4" t="str">
        <x:v>II; III (códigos); IV; actividad académica según guía</x:v>
      </x:c>
      <x:c r="J48" s="4" t="str">
        <x:v>ANCLA EDUCATIVA; ENLACE PROPUESTO</x:v>
      </x:c>
      <x:c r="K48" s="12" t="n">
        <x:f>IF(OR(D48="TRANSVERSAL",D48="RESERVA",COUNTIF('26_Mapa_universos'!$A$5:$A$33,D48)=1),0,1)</x:f>
        <x:v>0</x:v>
      </x:c>
      <x:c r="L48" s="12" t="n">
        <x:f>IF(COUNTIF('21_Fuentes_educativas'!$A$5:$A$188,H48)+COUNTIF('01_Fuentes'!$A$5:$A$40,H48)=1,0,1)</x:f>
        <x:v>0</x:v>
      </x:c>
    </x:row>
    <x:row r="49" ht="47" customHeight="1">
      <x:c r="A49" s="4" t="str">
        <x:v>TC-045</x:v>
      </x:c>
      <x:c r="B49" s="4" t="str">
        <x:v>URJC-27</x:v>
      </x:c>
      <x:c r="C49" s="4" t="str">
        <x:v>ASIGNATURA</x:v>
      </x:c>
      <x:c r="D49" s="4" t="str">
        <x:v>CYO-08</x:v>
      </x:c>
      <x:c r="E49" s="4" t="str">
        <x:v>Taxonomía de malware; propagación; análisis; amenazas dirigidas.</x:v>
      </x:c>
      <x:c r="F49" s="4" t="str">
        <x:v>Analizar muestras y razonar sobre mecanismos de protección.</x:v>
      </x:c>
      <x:c r="G49" s="4" t="str">
        <x:v>Sin esta base puede faltar capacidad para comprender o justificar el juicio exigido por CYO-08.</x:v>
      </x:c>
      <x:c r="H49" s="4" t="str">
        <x:v>R027</x:v>
      </x:c>
      <x:c r="I49" s="4" t="str">
        <x:v>II; III (códigos); IV; actividad académica según guía</x:v>
      </x:c>
      <x:c r="J49" s="4" t="str">
        <x:v>ANCLA EDUCATIVA; ENLACE PROPUESTO</x:v>
      </x:c>
      <x:c r="K49" s="12" t="n">
        <x:f>IF(OR(D49="TRANSVERSAL",D49="RESERVA",COUNTIF('26_Mapa_universos'!$A$5:$A$33,D49)=1),0,1)</x:f>
        <x:v>0</x:v>
      </x:c>
      <x:c r="L49" s="12" t="n">
        <x:f>IF(COUNTIF('21_Fuentes_educativas'!$A$5:$A$188,H49)+COUNTIF('01_Fuentes'!$A$5:$A$40,H49)=1,0,1)</x:f>
        <x:v>0</x:v>
      </x:c>
    </x:row>
    <x:row r="50" ht="47" customHeight="1">
      <x:c r="A50" s="4" t="str">
        <x:v>TC-046</x:v>
      </x:c>
      <x:c r="B50" s="4" t="str">
        <x:v>URJC-27</x:v>
      </x:c>
      <x:c r="C50" s="4" t="str">
        <x:v>ASIGNATURA</x:v>
      </x:c>
      <x:c r="D50" s="4" t="str">
        <x:v>CYO-10</x:v>
      </x:c>
      <x:c r="E50" s="4" t="str">
        <x:v>Taxonomía de malware; propagación; análisis; amenazas dirigidas.</x:v>
      </x:c>
      <x:c r="F50" s="4" t="str">
        <x:v>Analizar muestras y razonar sobre mecanismos de protección.</x:v>
      </x:c>
      <x:c r="G50" s="4" t="str">
        <x:v>Sin esta base puede faltar capacidad para comprender o justificar el juicio exigido por CYO-10.</x:v>
      </x:c>
      <x:c r="H50" s="4" t="str">
        <x:v>R027</x:v>
      </x:c>
      <x:c r="I50" s="4" t="str">
        <x:v>II; III (códigos); IV; actividad académica según guía</x:v>
      </x:c>
      <x:c r="J50" s="4" t="str">
        <x:v>ANCLA EDUCATIVA; ENLACE PROPUESTO</x:v>
      </x:c>
      <x:c r="K50" s="12" t="n">
        <x:f>IF(OR(D50="TRANSVERSAL",D50="RESERVA",COUNTIF('26_Mapa_universos'!$A$5:$A$33,D50)=1),0,1)</x:f>
        <x:v>0</x:v>
      </x:c>
      <x:c r="L50" s="12" t="n">
        <x:f>IF(COUNTIF('21_Fuentes_educativas'!$A$5:$A$188,H50)+COUNTIF('01_Fuentes'!$A$5:$A$40,H50)=1,0,1)</x:f>
        <x:v>0</x:v>
      </x:c>
    </x:row>
    <x:row r="51" ht="47" customHeight="1">
      <x:c r="A51" s="4" t="str">
        <x:v>TC-047</x:v>
      </x:c>
      <x:c r="B51" s="4" t="str">
        <x:v>URJC-28</x:v>
      </x:c>
      <x:c r="C51" s="4" t="str">
        <x:v>ASIGNATURA</x:v>
      </x:c>
      <x:c r="D51" s="4" t="str">
        <x:v>CYO-04</x:v>
      </x:c>
      <x:c r="E51" s="4" t="str">
        <x:v>Desarrollo seguro; debilidades; análisis y verificación del software.</x:v>
      </x:c>
      <x:c r="F51" s="4" t="str">
        <x:v>Aplicar métodos de prevención y detección de defectos de seguridad.</x:v>
      </x:c>
      <x:c r="G51" s="4" t="str">
        <x:v>Sin esta base puede faltar capacidad para comprender o justificar el juicio exigido por CYO-04.</x:v>
      </x:c>
      <x:c r="H51" s="4" t="str">
        <x:v>R028</x:v>
      </x:c>
      <x:c r="I51" s="4" t="str">
        <x:v>II; III (códigos); IV; actividad académica según guía</x:v>
      </x:c>
      <x:c r="J51" s="4" t="str">
        <x:v>ANCLA EDUCATIVA; ENLACE PROPUESTO</x:v>
      </x:c>
      <x:c r="K51" s="12" t="n">
        <x:f>IF(OR(D51="TRANSVERSAL",D51="RESERVA",COUNTIF('26_Mapa_universos'!$A$5:$A$33,D51)=1),0,1)</x:f>
        <x:v>0</x:v>
      </x:c>
      <x:c r="L51" s="12" t="n">
        <x:f>IF(COUNTIF('21_Fuentes_educativas'!$A$5:$A$188,H51)+COUNTIF('01_Fuentes'!$A$5:$A$40,H51)=1,0,1)</x:f>
        <x:v>0</x:v>
      </x:c>
    </x:row>
    <x:row r="52" ht="47" customHeight="1">
      <x:c r="A52" s="4" t="str">
        <x:v>TC-048</x:v>
      </x:c>
      <x:c r="B52" s="4" t="str">
        <x:v>URJC-28</x:v>
      </x:c>
      <x:c r="C52" s="4" t="str">
        <x:v>ASIGNATURA</x:v>
      </x:c>
      <x:c r="D52" s="4" t="str">
        <x:v>CYO-05</x:v>
      </x:c>
      <x:c r="E52" s="4" t="str">
        <x:v>Desarrollo seguro; debilidades; análisis y verificación del software.</x:v>
      </x:c>
      <x:c r="F52" s="4" t="str">
        <x:v>Aplicar métodos de prevención y detección de defectos de seguridad.</x:v>
      </x:c>
      <x:c r="G52" s="4" t="str">
        <x:v>Sin esta base puede faltar capacidad para comprender o justificar el juicio exigido por CYO-05.</x:v>
      </x:c>
      <x:c r="H52" s="4" t="str">
        <x:v>R028</x:v>
      </x:c>
      <x:c r="I52" s="4" t="str">
        <x:v>II; III (códigos); IV; actividad académica según guía</x:v>
      </x:c>
      <x:c r="J52" s="4" t="str">
        <x:v>ANCLA EDUCATIVA; ENLACE PROPUESTO</x:v>
      </x:c>
      <x:c r="K52" s="12" t="n">
        <x:f>IF(OR(D52="TRANSVERSAL",D52="RESERVA",COUNTIF('26_Mapa_universos'!$A$5:$A$33,D52)=1),0,1)</x:f>
        <x:v>0</x:v>
      </x:c>
      <x:c r="L52" s="12" t="n">
        <x:f>IF(COUNTIF('21_Fuentes_educativas'!$A$5:$A$188,H52)+COUNTIF('01_Fuentes'!$A$5:$A$40,H52)=1,0,1)</x:f>
        <x:v>0</x:v>
      </x:c>
    </x:row>
    <x:row r="53" ht="47" customHeight="1">
      <x:c r="A53" s="4" t="str">
        <x:v>TC-049</x:v>
      </x:c>
      <x:c r="B53" s="4" t="str">
        <x:v>URJC-29</x:v>
      </x:c>
      <x:c r="C53" s="4" t="str">
        <x:v>ASIGNATURA</x:v>
      </x:c>
      <x:c r="D53" s="4" t="str">
        <x:v>CYO-02</x:v>
      </x:c>
      <x:c r="E53" s="4" t="str">
        <x:v>Redes avanzadas; tráfico; nube; virtualización; SDN.</x:v>
      </x:c>
      <x:c r="F53" s="4" t="str">
        <x:v>Analizar y configurar redes y servicios avanzados.</x:v>
      </x:c>
      <x:c r="G53" s="4" t="str">
        <x:v>Sin esta base puede faltar capacidad para comprender o justificar el juicio exigido por CYO-02.</x:v>
      </x:c>
      <x:c r="H53" s="4" t="str">
        <x:v>R029</x:v>
      </x:c>
      <x:c r="I53" s="4" t="str">
        <x:v>II; III (códigos); IV; actividad académica según guía</x:v>
      </x:c>
      <x:c r="J53" s="4" t="str">
        <x:v>ANCLA EDUCATIVA; ENLACE PROPUESTO</x:v>
      </x:c>
      <x:c r="K53" s="12" t="n">
        <x:f>IF(OR(D53="TRANSVERSAL",D53="RESERVA",COUNTIF('26_Mapa_universos'!$A$5:$A$33,D53)=1),0,1)</x:f>
        <x:v>0</x:v>
      </x:c>
      <x:c r="L53" s="12" t="n">
        <x:f>IF(COUNTIF('21_Fuentes_educativas'!$A$5:$A$188,H53)+COUNTIF('01_Fuentes'!$A$5:$A$40,H53)=1,0,1)</x:f>
        <x:v>0</x:v>
      </x:c>
    </x:row>
    <x:row r="54" ht="47" customHeight="1">
      <x:c r="A54" s="4" t="str">
        <x:v>TC-050</x:v>
      </x:c>
      <x:c r="B54" s="4" t="str">
        <x:v>URJC-29</x:v>
      </x:c>
      <x:c r="C54" s="4" t="str">
        <x:v>ASIGNATURA</x:v>
      </x:c>
      <x:c r="D54" s="4" t="str">
        <x:v>CYO-06</x:v>
      </x:c>
      <x:c r="E54" s="4" t="str">
        <x:v>Redes avanzadas; tráfico; nube; virtualización; SDN.</x:v>
      </x:c>
      <x:c r="F54" s="4" t="str">
        <x:v>Analizar y configurar redes y servicios avanzados.</x:v>
      </x:c>
      <x:c r="G54" s="4" t="str">
        <x:v>Sin esta base puede faltar capacidad para comprender o justificar el juicio exigido por CYO-06.</x:v>
      </x:c>
      <x:c r="H54" s="4" t="str">
        <x:v>R029</x:v>
      </x:c>
      <x:c r="I54" s="4" t="str">
        <x:v>II; III (códigos); IV; actividad académica según guía</x:v>
      </x:c>
      <x:c r="J54" s="4" t="str">
        <x:v>ANCLA EDUCATIVA; ENLACE PROPUESTO</x:v>
      </x:c>
      <x:c r="K54" s="12" t="n">
        <x:f>IF(OR(D54="TRANSVERSAL",D54="RESERVA",COUNTIF('26_Mapa_universos'!$A$5:$A$33,D54)=1),0,1)</x:f>
        <x:v>0</x:v>
      </x:c>
      <x:c r="L54" s="12" t="n">
        <x:f>IF(COUNTIF('21_Fuentes_educativas'!$A$5:$A$188,H54)+COUNTIF('01_Fuentes'!$A$5:$A$40,H54)=1,0,1)</x:f>
        <x:v>0</x:v>
      </x:c>
    </x:row>
    <x:row r="55" ht="47" customHeight="1">
      <x:c r="A55" s="4" t="str">
        <x:v>TC-051</x:v>
      </x:c>
      <x:c r="B55" s="4" t="str">
        <x:v>URJC-29</x:v>
      </x:c>
      <x:c r="C55" s="4" t="str">
        <x:v>ASIGNATURA</x:v>
      </x:c>
      <x:c r="D55" s="4" t="str">
        <x:v>CYO-27</x:v>
      </x:c>
      <x:c r="E55" s="4" t="str">
        <x:v>Redes avanzadas; tráfico; nube; virtualización; SDN.</x:v>
      </x:c>
      <x:c r="F55" s="4" t="str">
        <x:v>Analizar y configurar redes y servicios avanzados.</x:v>
      </x:c>
      <x:c r="G55" s="4" t="str">
        <x:v>Sin esta base puede faltar capacidad para comprender o justificar el juicio exigido por CYO-27.</x:v>
      </x:c>
      <x:c r="H55" s="4" t="str">
        <x:v>R029</x:v>
      </x:c>
      <x:c r="I55" s="4" t="str">
        <x:v>II; III (códigos); IV; actividad académica según guía</x:v>
      </x:c>
      <x:c r="J55" s="4" t="str">
        <x:v>ANCLA EDUCATIVA; ENLACE PROPUESTO</x:v>
      </x:c>
      <x:c r="K55" s="12" t="n">
        <x:f>IF(OR(D55="TRANSVERSAL",D55="RESERVA",COUNTIF('26_Mapa_universos'!$A$5:$A$33,D55)=1),0,1)</x:f>
        <x:v>0</x:v>
      </x:c>
      <x:c r="L55" s="12" t="n">
        <x:f>IF(COUNTIF('21_Fuentes_educativas'!$A$5:$A$188,H55)+COUNTIF('01_Fuentes'!$A$5:$A$40,H55)=1,0,1)</x:f>
        <x:v>0</x:v>
      </x:c>
    </x:row>
    <x:row r="56" ht="47" customHeight="1">
      <x:c r="A56" s="4" t="str">
        <x:v>TC-052</x:v>
      </x:c>
      <x:c r="B56" s="4" t="str">
        <x:v>URJC-30</x:v>
      </x:c>
      <x:c r="C56" s="4" t="str">
        <x:v>ASIGNATURA</x:v>
      </x:c>
      <x:c r="D56" s="4" t="str">
        <x:v>CYO-01</x:v>
      </x:c>
      <x:c r="E56" s="4" t="str">
        <x:v>Organización; sistemas transaccionales; OLAP; ETL; datos incompletos; recomendación y aprendizaje.</x:v>
      </x:c>
      <x:c r="F56" s="4" t="str">
        <x:v>Analizar impacto y seleccionar, implementar y gestionar sistemas de información.</x:v>
      </x:c>
      <x:c r="G56" s="4" t="str">
        <x:v>Sin esta base puede faltar capacidad para comprender o justificar el juicio exigido por CYO-01.</x:v>
      </x:c>
      <x:c r="H56" s="4" t="str">
        <x:v>R030</x:v>
      </x:c>
      <x:c r="I56" s="4" t="str">
        <x:v>II; III (códigos); IV; actividad académica según guía</x:v>
      </x:c>
      <x:c r="J56" s="4" t="str">
        <x:v>ANCLA EDUCATIVA; ENLACE PROPUESTO</x:v>
      </x:c>
      <x:c r="K56" s="12" t="n">
        <x:f>IF(OR(D56="TRANSVERSAL",D56="RESERVA",COUNTIF('26_Mapa_universos'!$A$5:$A$33,D56)=1),0,1)</x:f>
        <x:v>0</x:v>
      </x:c>
      <x:c r="L56" s="12" t="n">
        <x:f>IF(COUNTIF('21_Fuentes_educativas'!$A$5:$A$188,H56)+COUNTIF('01_Fuentes'!$A$5:$A$40,H56)=1,0,1)</x:f>
        <x:v>0</x:v>
      </x:c>
    </x:row>
    <x:row r="57" ht="47" customHeight="1">
      <x:c r="A57" s="4" t="str">
        <x:v>TC-053</x:v>
      </x:c>
      <x:c r="B57" s="4" t="str">
        <x:v>URJC-30</x:v>
      </x:c>
      <x:c r="C57" s="4" t="str">
        <x:v>ASIGNATURA</x:v>
      </x:c>
      <x:c r="D57" s="4" t="str">
        <x:v>CYO-06</x:v>
      </x:c>
      <x:c r="E57" s="4" t="str">
        <x:v>Organización; sistemas transaccionales; OLAP; ETL; datos incompletos; recomendación y aprendizaje.</x:v>
      </x:c>
      <x:c r="F57" s="4" t="str">
        <x:v>Analizar impacto y seleccionar, implementar y gestionar sistemas de información.</x:v>
      </x:c>
      <x:c r="G57" s="4" t="str">
        <x:v>Sin esta base puede faltar capacidad para comprender o justificar el juicio exigido por CYO-06.</x:v>
      </x:c>
      <x:c r="H57" s="4" t="str">
        <x:v>R030</x:v>
      </x:c>
      <x:c r="I57" s="4" t="str">
        <x:v>II; III (códigos); IV; actividad académica según guía</x:v>
      </x:c>
      <x:c r="J57" s="4" t="str">
        <x:v>ANCLA EDUCATIVA; ENLACE PROPUESTO</x:v>
      </x:c>
      <x:c r="K57" s="12" t="n">
        <x:f>IF(OR(D57="TRANSVERSAL",D57="RESERVA",COUNTIF('26_Mapa_universos'!$A$5:$A$33,D57)=1),0,1)</x:f>
        <x:v>0</x:v>
      </x:c>
      <x:c r="L57" s="12" t="n">
        <x:f>IF(COUNTIF('21_Fuentes_educativas'!$A$5:$A$188,H57)+COUNTIF('01_Fuentes'!$A$5:$A$40,H57)=1,0,1)</x:f>
        <x:v>0</x:v>
      </x:c>
    </x:row>
    <x:row r="58" ht="47" customHeight="1">
      <x:c r="A58" s="4" t="str">
        <x:v>TC-054</x:v>
      </x:c>
      <x:c r="B58" s="4" t="str">
        <x:v>URJC-30</x:v>
      </x:c>
      <x:c r="C58" s="4" t="str">
        <x:v>ASIGNATURA</x:v>
      </x:c>
      <x:c r="D58" s="4" t="str">
        <x:v>CYO-18</x:v>
      </x:c>
      <x:c r="E58" s="4" t="str">
        <x:v>Organización; sistemas transaccionales; OLAP; ETL; datos incompletos; recomendación y aprendizaje.</x:v>
      </x:c>
      <x:c r="F58" s="4" t="str">
        <x:v>Analizar impacto y seleccionar, implementar y gestionar sistemas de información.</x:v>
      </x:c>
      <x:c r="G58" s="4" t="str">
        <x:v>Sin esta base puede faltar capacidad para comprender o justificar el juicio exigido por CYO-18.</x:v>
      </x:c>
      <x:c r="H58" s="4" t="str">
        <x:v>R030</x:v>
      </x:c>
      <x:c r="I58" s="4" t="str">
        <x:v>II; III (códigos); IV; actividad académica según guía</x:v>
      </x:c>
      <x:c r="J58" s="4" t="str">
        <x:v>ANCLA EDUCATIVA; ENLACE PROPUESTO</x:v>
      </x:c>
      <x:c r="K58" s="12" t="n">
        <x:f>IF(OR(D58="TRANSVERSAL",D58="RESERVA",COUNTIF('26_Mapa_universos'!$A$5:$A$33,D58)=1),0,1)</x:f>
        <x:v>0</x:v>
      </x:c>
      <x:c r="L58" s="12" t="n">
        <x:f>IF(COUNTIF('21_Fuentes_educativas'!$A$5:$A$188,H58)+COUNTIF('01_Fuentes'!$A$5:$A$40,H58)=1,0,1)</x:f>
        <x:v>0</x:v>
      </x:c>
    </x:row>
    <x:row r="59" ht="47" customHeight="1">
      <x:c r="A59" s="4" t="str">
        <x:v>TC-055</x:v>
      </x:c>
      <x:c r="B59" s="4" t="str">
        <x:v>URJC-31</x:v>
      </x:c>
      <x:c r="C59" s="4" t="str">
        <x:v>ASIGNATURA</x:v>
      </x:c>
      <x:c r="D59" s="4" t="str">
        <x:v>CYO-23</x:v>
      </x:c>
      <x:c r="E59" s="4" t="str">
        <x:v>Procesamiento de imagen; clasificadores; redes neuronales; biometría y ataques.</x:v>
      </x:c>
      <x:c r="F59" s="4" t="str">
        <x:v>Analizar aplicaciones de visión y sus contramedidas.</x:v>
      </x:c>
      <x:c r="G59" s="4" t="str">
        <x:v>Sin esta base puede faltar capacidad para comprender o justificar el juicio exigido por CYO-23.</x:v>
      </x:c>
      <x:c r="H59" s="4" t="str">
        <x:v>R031</x:v>
      </x:c>
      <x:c r="I59" s="4" t="str">
        <x:v>II; III (códigos); IV; actividad académica según guía</x:v>
      </x:c>
      <x:c r="J59" s="4" t="str">
        <x:v>ANCLA EDUCATIVA; ENLACE PROPUESTO</x:v>
      </x:c>
      <x:c r="K59" s="12" t="n">
        <x:f>IF(OR(D59="TRANSVERSAL",D59="RESERVA",COUNTIF('26_Mapa_universos'!$A$5:$A$33,D59)=1),0,1)</x:f>
        <x:v>0</x:v>
      </x:c>
      <x:c r="L59" s="12" t="n">
        <x:f>IF(COUNTIF('21_Fuentes_educativas'!$A$5:$A$188,H59)+COUNTIF('01_Fuentes'!$A$5:$A$40,H59)=1,0,1)</x:f>
        <x:v>0</x:v>
      </x:c>
    </x:row>
    <x:row r="60" ht="47" customHeight="1">
      <x:c r="A60" s="4" t="str">
        <x:v>TC-056</x:v>
      </x:c>
      <x:c r="B60" s="4" t="str">
        <x:v>URJC-32</x:v>
      </x:c>
      <x:c r="C60" s="4" t="str">
        <x:v>ASIGNATURA</x:v>
      </x:c>
      <x:c r="D60" s="4" t="str">
        <x:v>CYO-16</x:v>
      </x:c>
      <x:c r="E60" s="4" t="str">
        <x:v>Auditoría de seguridad; alcance; métodos; evidencia y conclusiones.</x:v>
      </x:c>
      <x:c r="F60" s="4" t="str">
        <x:v>Planificar y realizar una auditoría en el alcance definido.</x:v>
      </x:c>
      <x:c r="G60" s="4" t="str">
        <x:v>Sin esta base puede faltar capacidad para comprender o justificar el juicio exigido por CYO-16.</x:v>
      </x:c>
      <x:c r="H60" s="4" t="str">
        <x:v>R032</x:v>
      </x:c>
      <x:c r="I60" s="4" t="str">
        <x:v>II; III (códigos); IV; actividad académica según guía</x:v>
      </x:c>
      <x:c r="J60" s="4" t="str">
        <x:v>ANCLA EDUCATIVA; ENLACE PROPUESTO</x:v>
      </x:c>
      <x:c r="K60" s="12" t="n">
        <x:f>IF(OR(D60="TRANSVERSAL",D60="RESERVA",COUNTIF('26_Mapa_universos'!$A$5:$A$33,D60)=1),0,1)</x:f>
        <x:v>0</x:v>
      </x:c>
      <x:c r="L60" s="12" t="n">
        <x:f>IF(COUNTIF('21_Fuentes_educativas'!$A$5:$A$188,H60)+COUNTIF('01_Fuentes'!$A$5:$A$40,H60)=1,0,1)</x:f>
        <x:v>0</x:v>
      </x:c>
    </x:row>
    <x:row r="61" ht="47" customHeight="1">
      <x:c r="A61" s="4" t="str">
        <x:v>TC-057</x:v>
      </x:c>
      <x:c r="B61" s="4" t="str">
        <x:v>URJC-33</x:v>
      </x:c>
      <x:c r="C61" s="4" t="str">
        <x:v>ASIGNATURA</x:v>
      </x:c>
      <x:c r="D61" s="4" t="str">
        <x:v>CYO-07</x:v>
      </x:c>
      <x:c r="E61" s="4" t="str">
        <x:v>SOC; correlación; DFIR; custodia; inteligencia; hipótesis de hunting; continuidad y recuperación.</x:v>
      </x:c>
      <x:c r="F61" s="4" t="str">
        <x:v>Detectar e investigar incidentes y relacionar respuesta, evidencia y continuidad.</x:v>
      </x:c>
      <x:c r="G61" s="4" t="str">
        <x:v>Sin esta base puede faltar capacidad para comprender o justificar el juicio exigido por CYO-07.</x:v>
      </x:c>
      <x:c r="H61" s="4" t="str">
        <x:v>R033</x:v>
      </x:c>
      <x:c r="I61" s="4" t="str">
        <x:v>II; III (códigos); IV; actividad académica según guía</x:v>
      </x:c>
      <x:c r="J61" s="4" t="str">
        <x:v>ANCLA EDUCATIVA; ENLACE PROPUESTO</x:v>
      </x:c>
      <x:c r="K61" s="12" t="n">
        <x:f>IF(OR(D61="TRANSVERSAL",D61="RESERVA",COUNTIF('26_Mapa_universos'!$A$5:$A$33,D61)=1),0,1)</x:f>
        <x:v>0</x:v>
      </x:c>
      <x:c r="L61" s="12" t="n">
        <x:f>IF(COUNTIF('21_Fuentes_educativas'!$A$5:$A$188,H61)+COUNTIF('01_Fuentes'!$A$5:$A$40,H61)=1,0,1)</x:f>
        <x:v>0</x:v>
      </x:c>
    </x:row>
    <x:row r="62" ht="47" customHeight="1">
      <x:c r="A62" s="4" t="str">
        <x:v>TC-058</x:v>
      </x:c>
      <x:c r="B62" s="4" t="str">
        <x:v>URJC-33</x:v>
      </x:c>
      <x:c r="C62" s="4" t="str">
        <x:v>ASIGNATURA</x:v>
      </x:c>
      <x:c r="D62" s="4" t="str">
        <x:v>CYO-08</x:v>
      </x:c>
      <x:c r="E62" s="4" t="str">
        <x:v>SOC; correlación; DFIR; custodia; inteligencia; hipótesis de hunting; continuidad y recuperación.</x:v>
      </x:c>
      <x:c r="F62" s="4" t="str">
        <x:v>Detectar e investigar incidentes y relacionar respuesta, evidencia y continuidad.</x:v>
      </x:c>
      <x:c r="G62" s="4" t="str">
        <x:v>Sin esta base puede faltar capacidad para comprender o justificar el juicio exigido por CYO-08.</x:v>
      </x:c>
      <x:c r="H62" s="4" t="str">
        <x:v>R033</x:v>
      </x:c>
      <x:c r="I62" s="4" t="str">
        <x:v>II; III (códigos); IV; actividad académica según guía</x:v>
      </x:c>
      <x:c r="J62" s="4" t="str">
        <x:v>ANCLA EDUCATIVA; ENLACE PROPUESTO</x:v>
      </x:c>
      <x:c r="K62" s="12" t="n">
        <x:f>IF(OR(D62="TRANSVERSAL",D62="RESERVA",COUNTIF('26_Mapa_universos'!$A$5:$A$33,D62)=1),0,1)</x:f>
        <x:v>0</x:v>
      </x:c>
      <x:c r="L62" s="12" t="n">
        <x:f>IF(COUNTIF('21_Fuentes_educativas'!$A$5:$A$188,H62)+COUNTIF('01_Fuentes'!$A$5:$A$40,H62)=1,0,1)</x:f>
        <x:v>0</x:v>
      </x:c>
    </x:row>
    <x:row r="63" ht="47" customHeight="1">
      <x:c r="A63" s="4" t="str">
        <x:v>TC-059</x:v>
      </x:c>
      <x:c r="B63" s="4" t="str">
        <x:v>URJC-33</x:v>
      </x:c>
      <x:c r="C63" s="4" t="str">
        <x:v>ASIGNATURA</x:v>
      </x:c>
      <x:c r="D63" s="4" t="str">
        <x:v>CYO-09</x:v>
      </x:c>
      <x:c r="E63" s="4" t="str">
        <x:v>SOC; correlación; DFIR; custodia; inteligencia; hipótesis de hunting; continuidad y recuperación.</x:v>
      </x:c>
      <x:c r="F63" s="4" t="str">
        <x:v>Detectar e investigar incidentes y relacionar respuesta, evidencia y continuidad.</x:v>
      </x:c>
      <x:c r="G63" s="4" t="str">
        <x:v>Sin esta base puede faltar capacidad para comprender o justificar el juicio exigido por CYO-09.</x:v>
      </x:c>
      <x:c r="H63" s="4" t="str">
        <x:v>R033</x:v>
      </x:c>
      <x:c r="I63" s="4" t="str">
        <x:v>II; III (códigos); IV; actividad académica según guía</x:v>
      </x:c>
      <x:c r="J63" s="4" t="str">
        <x:v>ANCLA EDUCATIVA; ENLACE PROPUESTO</x:v>
      </x:c>
      <x:c r="K63" s="12" t="n">
        <x:f>IF(OR(D63="TRANSVERSAL",D63="RESERVA",COUNTIF('26_Mapa_universos'!$A$5:$A$33,D63)=1),0,1)</x:f>
        <x:v>0</x:v>
      </x:c>
      <x:c r="L63" s="12" t="n">
        <x:f>IF(COUNTIF('21_Fuentes_educativas'!$A$5:$A$188,H63)+COUNTIF('01_Fuentes'!$A$5:$A$40,H63)=1,0,1)</x:f>
        <x:v>0</x:v>
      </x:c>
    </x:row>
    <x:row r="64" ht="47" customHeight="1">
      <x:c r="A64" s="4" t="str">
        <x:v>TC-060</x:v>
      </x:c>
      <x:c r="B64" s="4" t="str">
        <x:v>URJC-33</x:v>
      </x:c>
      <x:c r="C64" s="4" t="str">
        <x:v>ASIGNATURA</x:v>
      </x:c>
      <x:c r="D64" s="4" t="str">
        <x:v>CYO-10</x:v>
      </x:c>
      <x:c r="E64" s="4" t="str">
        <x:v>SOC; correlación; DFIR; custodia; inteligencia; hipótesis de hunting; continuidad y recuperación.</x:v>
      </x:c>
      <x:c r="F64" s="4" t="str">
        <x:v>Detectar e investigar incidentes y relacionar respuesta, evidencia y continuidad.</x:v>
      </x:c>
      <x:c r="G64" s="4" t="str">
        <x:v>Sin esta base puede faltar capacidad para comprender o justificar el juicio exigido por CYO-10.</x:v>
      </x:c>
      <x:c r="H64" s="4" t="str">
        <x:v>R033</x:v>
      </x:c>
      <x:c r="I64" s="4" t="str">
        <x:v>II; III (códigos); IV; actividad académica según guía</x:v>
      </x:c>
      <x:c r="J64" s="4" t="str">
        <x:v>ANCLA EDUCATIVA; ENLACE PROPUESTO</x:v>
      </x:c>
      <x:c r="K64" s="12" t="n">
        <x:f>IF(OR(D64="TRANSVERSAL",D64="RESERVA",COUNTIF('26_Mapa_universos'!$A$5:$A$33,D64)=1),0,1)</x:f>
        <x:v>0</x:v>
      </x:c>
      <x:c r="L64" s="12" t="n">
        <x:f>IF(COUNTIF('21_Fuentes_educativas'!$A$5:$A$188,H64)+COUNTIF('01_Fuentes'!$A$5:$A$40,H64)=1,0,1)</x:f>
        <x:v>0</x:v>
      </x:c>
    </x:row>
    <x:row r="65" ht="47" customHeight="1">
      <x:c r="A65" s="4" t="str">
        <x:v>TC-061</x:v>
      </x:c>
      <x:c r="B65" s="4" t="str">
        <x:v>URJC-33</x:v>
      </x:c>
      <x:c r="C65" s="4" t="str">
        <x:v>ASIGNATURA</x:v>
      </x:c>
      <x:c r="D65" s="4" t="str">
        <x:v>CYO-11</x:v>
      </x:c>
      <x:c r="E65" s="4" t="str">
        <x:v>SOC; correlación; DFIR; custodia; inteligencia; hipótesis de hunting; continuidad y recuperación.</x:v>
      </x:c>
      <x:c r="F65" s="4" t="str">
        <x:v>Detectar e investigar incidentes y relacionar respuesta, evidencia y continuidad.</x:v>
      </x:c>
      <x:c r="G65" s="4" t="str">
        <x:v>Sin esta base puede faltar capacidad para comprender o justificar el juicio exigido por CYO-11.</x:v>
      </x:c>
      <x:c r="H65" s="4" t="str">
        <x:v>R033</x:v>
      </x:c>
      <x:c r="I65" s="4" t="str">
        <x:v>II; III (códigos); IV; actividad académica según guía</x:v>
      </x:c>
      <x:c r="J65" s="4" t="str">
        <x:v>ANCLA EDUCATIVA; ENLACE PROPUESTO</x:v>
      </x:c>
      <x:c r="K65" s="12" t="n">
        <x:f>IF(OR(D65="TRANSVERSAL",D65="RESERVA",COUNTIF('26_Mapa_universos'!$A$5:$A$33,D65)=1),0,1)</x:f>
        <x:v>0</x:v>
      </x:c>
      <x:c r="L65" s="12" t="n">
        <x:f>IF(COUNTIF('21_Fuentes_educativas'!$A$5:$A$188,H65)+COUNTIF('01_Fuentes'!$A$5:$A$40,H65)=1,0,1)</x:f>
        <x:v>0</x:v>
      </x:c>
    </x:row>
    <x:row r="66" ht="47" customHeight="1">
      <x:c r="A66" s="4" t="str">
        <x:v>TC-062</x:v>
      </x:c>
      <x:c r="B66" s="4" t="str">
        <x:v>URJC-33</x:v>
      </x:c>
      <x:c r="C66" s="4" t="str">
        <x:v>ASIGNATURA</x:v>
      </x:c>
      <x:c r="D66" s="4" t="str">
        <x:v>CYO-24</x:v>
      </x:c>
      <x:c r="E66" s="4" t="str">
        <x:v>SOC; correlación; DFIR; custodia; inteligencia; hipótesis de hunting; continuidad y recuperación.</x:v>
      </x:c>
      <x:c r="F66" s="4" t="str">
        <x:v>Detectar e investigar incidentes y relacionar respuesta, evidencia y continuidad.</x:v>
      </x:c>
      <x:c r="G66" s="4" t="str">
        <x:v>Sin esta base puede faltar capacidad para comprender o justificar el juicio exigido por CYO-24.</x:v>
      </x:c>
      <x:c r="H66" s="4" t="str">
        <x:v>R033</x:v>
      </x:c>
      <x:c r="I66" s="4" t="str">
        <x:v>II; III (códigos); IV; actividad académica según guía</x:v>
      </x:c>
      <x:c r="J66" s="4" t="str">
        <x:v>ANCLA EDUCATIVA; ENLACE PROPUESTO</x:v>
      </x:c>
      <x:c r="K66" s="12" t="n">
        <x:f>IF(OR(D66="TRANSVERSAL",D66="RESERVA",COUNTIF('26_Mapa_universos'!$A$5:$A$33,D66)=1),0,1)</x:f>
        <x:v>0</x:v>
      </x:c>
      <x:c r="L66" s="12" t="n">
        <x:f>IF(COUNTIF('21_Fuentes_educativas'!$A$5:$A$188,H66)+COUNTIF('01_Fuentes'!$A$5:$A$40,H66)=1,0,1)</x:f>
        <x:v>0</x:v>
      </x:c>
    </x:row>
    <x:row r="67" ht="47" customHeight="1">
      <x:c r="A67" s="4" t="str">
        <x:v>TC-063</x:v>
      </x:c>
      <x:c r="B67" s="4" t="str">
        <x:v>URJC-33</x:v>
      </x:c>
      <x:c r="C67" s="4" t="str">
        <x:v>ASIGNATURA</x:v>
      </x:c>
      <x:c r="D67" s="4" t="str">
        <x:v>CYO-25</x:v>
      </x:c>
      <x:c r="E67" s="4" t="str">
        <x:v>SOC; correlación; DFIR; custodia; inteligencia; hipótesis de hunting; continuidad y recuperación.</x:v>
      </x:c>
      <x:c r="F67" s="4" t="str">
        <x:v>Detectar e investigar incidentes y relacionar respuesta, evidencia y continuidad.</x:v>
      </x:c>
      <x:c r="G67" s="4" t="str">
        <x:v>Sin esta base puede faltar capacidad para comprender o justificar el juicio exigido por CYO-25.</x:v>
      </x:c>
      <x:c r="H67" s="4" t="str">
        <x:v>R033</x:v>
      </x:c>
      <x:c r="I67" s="4" t="str">
        <x:v>II; III (códigos); IV; actividad académica según guía</x:v>
      </x:c>
      <x:c r="J67" s="4" t="str">
        <x:v>ANCLA EDUCATIVA; ENLACE PROPUESTO</x:v>
      </x:c>
      <x:c r="K67" s="12" t="n">
        <x:f>IF(OR(D67="TRANSVERSAL",D67="RESERVA",COUNTIF('26_Mapa_universos'!$A$5:$A$33,D67)=1),0,1)</x:f>
        <x:v>0</x:v>
      </x:c>
      <x:c r="L67" s="12" t="n">
        <x:f>IF(COUNTIF('21_Fuentes_educativas'!$A$5:$A$188,H67)+COUNTIF('01_Fuentes'!$A$5:$A$40,H67)=1,0,1)</x:f>
        <x:v>0</x:v>
      </x:c>
    </x:row>
    <x:row r="68" ht="47" customHeight="1">
      <x:c r="A68" s="4" t="str">
        <x:v>TC-064</x:v>
      </x:c>
      <x:c r="B68" s="4" t="str">
        <x:v>URJC-33</x:v>
      </x:c>
      <x:c r="C68" s="4" t="str">
        <x:v>ASIGNATURA</x:v>
      </x:c>
      <x:c r="D68" s="4" t="str">
        <x:v>CYO-27</x:v>
      </x:c>
      <x:c r="E68" s="4" t="str">
        <x:v>SOC; correlación; DFIR; custodia; inteligencia; hipótesis de hunting; continuidad y recuperación.</x:v>
      </x:c>
      <x:c r="F68" s="4" t="str">
        <x:v>Detectar e investigar incidentes y relacionar respuesta, evidencia y continuidad.</x:v>
      </x:c>
      <x:c r="G68" s="4" t="str">
        <x:v>Sin esta base puede faltar capacidad para comprender o justificar el juicio exigido por CYO-27.</x:v>
      </x:c>
      <x:c r="H68" s="4" t="str">
        <x:v>R033</x:v>
      </x:c>
      <x:c r="I68" s="4" t="str">
        <x:v>II; III (códigos); IV; actividad académica según guía</x:v>
      </x:c>
      <x:c r="J68" s="4" t="str">
        <x:v>ANCLA EDUCATIVA; ENLACE PROPUESTO</x:v>
      </x:c>
      <x:c r="K68" s="12" t="n">
        <x:f>IF(OR(D68="TRANSVERSAL",D68="RESERVA",COUNTIF('26_Mapa_universos'!$A$5:$A$33,D68)=1),0,1)</x:f>
        <x:v>0</x:v>
      </x:c>
      <x:c r="L68" s="12" t="n">
        <x:f>IF(COUNTIF('21_Fuentes_educativas'!$A$5:$A$188,H68)+COUNTIF('01_Fuentes'!$A$5:$A$40,H68)=1,0,1)</x:f>
        <x:v>0</x:v>
      </x:c>
    </x:row>
    <x:row r="69" ht="47" customHeight="1">
      <x:c r="A69" s="4" t="str">
        <x:v>TC-065</x:v>
      </x:c>
      <x:c r="B69" s="4" t="str">
        <x:v>URJC-33</x:v>
      </x:c>
      <x:c r="C69" s="4" t="str">
        <x:v>ASIGNATURA</x:v>
      </x:c>
      <x:c r="D69" s="4" t="str">
        <x:v>CYO-28</x:v>
      </x:c>
      <x:c r="E69" s="4" t="str">
        <x:v>SOC; correlación; DFIR; custodia; inteligencia; hipótesis de hunting; continuidad y recuperación.</x:v>
      </x:c>
      <x:c r="F69" s="4" t="str">
        <x:v>Detectar e investigar incidentes y relacionar respuesta, evidencia y continuidad.</x:v>
      </x:c>
      <x:c r="G69" s="4" t="str">
        <x:v>Sin esta base puede faltar capacidad para comprender o justificar el juicio exigido por CYO-28.</x:v>
      </x:c>
      <x:c r="H69" s="4" t="str">
        <x:v>R033</x:v>
      </x:c>
      <x:c r="I69" s="4" t="str">
        <x:v>II; III (códigos); IV; actividad académica según guía</x:v>
      </x:c>
      <x:c r="J69" s="4" t="str">
        <x:v>ANCLA EDUCATIVA; ENLACE PROPUESTO</x:v>
      </x:c>
      <x:c r="K69" s="12" t="n">
        <x:f>IF(OR(D69="TRANSVERSAL",D69="RESERVA",COUNTIF('26_Mapa_universos'!$A$5:$A$33,D69)=1),0,1)</x:f>
        <x:v>0</x:v>
      </x:c>
      <x:c r="L69" s="12" t="n">
        <x:f>IF(COUNTIF('21_Fuentes_educativas'!$A$5:$A$188,H69)+COUNTIF('01_Fuentes'!$A$5:$A$40,H69)=1,0,1)</x:f>
        <x:v>0</x:v>
      </x:c>
    </x:row>
    <x:row r="70" ht="47" customHeight="1">
      <x:c r="A70" s="4" t="str">
        <x:v>TC-066</x:v>
      </x:c>
      <x:c r="B70" s="4" t="str">
        <x:v>URJC-34</x:v>
      </x:c>
      <x:c r="C70" s="4" t="str">
        <x:v>ASIGNATURA</x:v>
      </x:c>
      <x:c r="D70" s="4" t="str">
        <x:v>CYO-04</x:v>
      </x:c>
      <x:c r="E70" s="4" t="str">
        <x:v>Alcance; informes; pruebas web, móviles e IoT; IA en pentesting.</x:v>
      </x:c>
      <x:c r="F70" s="4" t="str">
        <x:v>Evaluar seguridad mediante pruebas autorizadas y comunicar resultados.</x:v>
      </x:c>
      <x:c r="G70" s="4" t="str">
        <x:v>Sin esta base puede faltar capacidad para comprender o justificar el juicio exigido por CYO-04.</x:v>
      </x:c>
      <x:c r="H70" s="4" t="str">
        <x:v>R034</x:v>
      </x:c>
      <x:c r="I70" s="4" t="str">
        <x:v>II; III (códigos); IV; actividad académica según guía</x:v>
      </x:c>
      <x:c r="J70" s="4" t="str">
        <x:v>ANCLA EDUCATIVA; ENLACE PROPUESTO</x:v>
      </x:c>
      <x:c r="K70" s="12" t="n">
        <x:f>IF(OR(D70="TRANSVERSAL",D70="RESERVA",COUNTIF('26_Mapa_universos'!$A$5:$A$33,D70)=1),0,1)</x:f>
        <x:v>0</x:v>
      </x:c>
      <x:c r="L70" s="12" t="n">
        <x:f>IF(COUNTIF('21_Fuentes_educativas'!$A$5:$A$188,H70)+COUNTIF('01_Fuentes'!$A$5:$A$40,H70)=1,0,1)</x:f>
        <x:v>0</x:v>
      </x:c>
    </x:row>
    <x:row r="71" ht="47" customHeight="1">
      <x:c r="A71" s="4" t="str">
        <x:v>TC-067</x:v>
      </x:c>
      <x:c r="B71" s="4" t="str">
        <x:v>URJC-34</x:v>
      </x:c>
      <x:c r="C71" s="4" t="str">
        <x:v>ASIGNATURA</x:v>
      </x:c>
      <x:c r="D71" s="4" t="str">
        <x:v>CYO-26</x:v>
      </x:c>
      <x:c r="E71" s="4" t="str">
        <x:v>Alcance; informes; pruebas web, móviles e IoT; IA en pentesting.</x:v>
      </x:c>
      <x:c r="F71" s="4" t="str">
        <x:v>Evaluar seguridad mediante pruebas autorizadas y comunicar resultados.</x:v>
      </x:c>
      <x:c r="G71" s="4" t="str">
        <x:v>Sin esta base puede faltar capacidad para comprender o justificar el juicio exigido por CYO-26.</x:v>
      </x:c>
      <x:c r="H71" s="4" t="str">
        <x:v>R034</x:v>
      </x:c>
      <x:c r="I71" s="4" t="str">
        <x:v>II; III (códigos); IV; actividad académica según guía</x:v>
      </x:c>
      <x:c r="J71" s="4" t="str">
        <x:v>ANCLA EDUCATIVA; ENLACE PROPUESTO</x:v>
      </x:c>
      <x:c r="K71" s="12" t="n">
        <x:f>IF(OR(D71="TRANSVERSAL",D71="RESERVA",COUNTIF('26_Mapa_universos'!$A$5:$A$33,D71)=1),0,1)</x:f>
        <x:v>0</x:v>
      </x:c>
      <x:c r="L71" s="12" t="n">
        <x:f>IF(COUNTIF('21_Fuentes_educativas'!$A$5:$A$188,H71)+COUNTIF('01_Fuentes'!$A$5:$A$40,H71)=1,0,1)</x:f>
        <x:v>0</x:v>
      </x:c>
    </x:row>
    <x:row r="72" ht="47" customHeight="1">
      <x:c r="A72" s="4" t="str">
        <x:v>TC-068</x:v>
      </x:c>
      <x:c r="B72" s="4" t="str">
        <x:v>URJC-35</x:v>
      </x:c>
      <x:c r="C72" s="4" t="str">
        <x:v>ASIGNATURA</x:v>
      </x:c>
      <x:c r="D72" s="4" t="str">
        <x:v>CYO-01</x:v>
      </x:c>
      <x:c r="E72" s="4" t="str">
        <x:v>Métodos cualitativos; FAIR; Montecarlo; calibración; retornos; transferencia y sesgos.</x:v>
      </x:c>
      <x:c r="F72" s="4" t="str">
        <x:v>Escoger métodos, estimar riesgo y justificar tratamiento y comunicación.</x:v>
      </x:c>
      <x:c r="G72" s="4" t="str">
        <x:v>Sin esta base puede faltar capacidad para comprender o justificar el juicio exigido por CYO-01.</x:v>
      </x:c>
      <x:c r="H72" s="4" t="str">
        <x:v>R035</x:v>
      </x:c>
      <x:c r="I72" s="4" t="str">
        <x:v>II; III (códigos); IV; actividad académica según guía</x:v>
      </x:c>
      <x:c r="J72" s="4" t="str">
        <x:v>ANCLA EDUCATIVA; ENLACE PROPUESTO</x:v>
      </x:c>
      <x:c r="K72" s="12" t="n">
        <x:f>IF(OR(D72="TRANSVERSAL",D72="RESERVA",COUNTIF('26_Mapa_universos'!$A$5:$A$33,D72)=1),0,1)</x:f>
        <x:v>0</x:v>
      </x:c>
      <x:c r="L72" s="12" t="n">
        <x:f>IF(COUNTIF('21_Fuentes_educativas'!$A$5:$A$188,H72)+COUNTIF('01_Fuentes'!$A$5:$A$40,H72)=1,0,1)</x:f>
        <x:v>0</x:v>
      </x:c>
    </x:row>
    <x:row r="73" ht="47" customHeight="1">
      <x:c r="A73" s="4" t="str">
        <x:v>TC-069</x:v>
      </x:c>
      <x:c r="B73" s="4" t="str">
        <x:v>URJC-35</x:v>
      </x:c>
      <x:c r="C73" s="4" t="str">
        <x:v>ASIGNATURA</x:v>
      </x:c>
      <x:c r="D73" s="4" t="str">
        <x:v>CYO-06</x:v>
      </x:c>
      <x:c r="E73" s="4" t="str">
        <x:v>Métodos cualitativos; FAIR; Montecarlo; calibración; retornos; transferencia y sesgos.</x:v>
      </x:c>
      <x:c r="F73" s="4" t="str">
        <x:v>Escoger métodos, estimar riesgo y justificar tratamiento y comunicación.</x:v>
      </x:c>
      <x:c r="G73" s="4" t="str">
        <x:v>Sin esta base puede faltar capacidad para comprender o justificar el juicio exigido por CYO-06.</x:v>
      </x:c>
      <x:c r="H73" s="4" t="str">
        <x:v>R035</x:v>
      </x:c>
      <x:c r="I73" s="4" t="str">
        <x:v>II; III (códigos); IV; actividad académica según guía</x:v>
      </x:c>
      <x:c r="J73" s="4" t="str">
        <x:v>ANCLA EDUCATIVA; ENLACE PROPUESTO</x:v>
      </x:c>
      <x:c r="K73" s="12" t="n">
        <x:f>IF(OR(D73="TRANSVERSAL",D73="RESERVA",COUNTIF('26_Mapa_universos'!$A$5:$A$33,D73)=1),0,1)</x:f>
        <x:v>0</x:v>
      </x:c>
      <x:c r="L73" s="12" t="n">
        <x:f>IF(COUNTIF('21_Fuentes_educativas'!$A$5:$A$188,H73)+COUNTIF('01_Fuentes'!$A$5:$A$40,H73)=1,0,1)</x:f>
        <x:v>0</x:v>
      </x:c>
    </x:row>
    <x:row r="74" ht="47" customHeight="1">
      <x:c r="A74" s="4" t="str">
        <x:v>TC-070</x:v>
      </x:c>
      <x:c r="B74" s="4" t="str">
        <x:v>URJC-35</x:v>
      </x:c>
      <x:c r="C74" s="4" t="str">
        <x:v>ASIGNATURA</x:v>
      </x:c>
      <x:c r="D74" s="4" t="str">
        <x:v>CYO-21</x:v>
      </x:c>
      <x:c r="E74" s="4" t="str">
        <x:v>Métodos cualitativos; FAIR; Montecarlo; calibración; retornos; transferencia y sesgos.</x:v>
      </x:c>
      <x:c r="F74" s="4" t="str">
        <x:v>Escoger métodos, estimar riesgo y justificar tratamiento y comunicación.</x:v>
      </x:c>
      <x:c r="G74" s="4" t="str">
        <x:v>Sin esta base puede faltar capacidad para comprender o justificar el juicio exigido por CYO-21.</x:v>
      </x:c>
      <x:c r="H74" s="4" t="str">
        <x:v>R035</x:v>
      </x:c>
      <x:c r="I74" s="4" t="str">
        <x:v>II; III (códigos); IV; actividad académica según guía</x:v>
      </x:c>
      <x:c r="J74" s="4" t="str">
        <x:v>ANCLA EDUCATIVA; ENLACE PROPUESTO</x:v>
      </x:c>
      <x:c r="K74" s="12" t="n">
        <x:f>IF(OR(D74="TRANSVERSAL",D74="RESERVA",COUNTIF('26_Mapa_universos'!$A$5:$A$33,D74)=1),0,1)</x:f>
        <x:v>0</x:v>
      </x:c>
      <x:c r="L74" s="12" t="n">
        <x:f>IF(COUNTIF('21_Fuentes_educativas'!$A$5:$A$188,H74)+COUNTIF('01_Fuentes'!$A$5:$A$40,H74)=1,0,1)</x:f>
        <x:v>0</x:v>
      </x:c>
    </x:row>
    <x:row r="75" ht="47" customHeight="1">
      <x:c r="A75" s="4" t="str">
        <x:v>TC-071</x:v>
      </x:c>
      <x:c r="B75" s="4" t="str">
        <x:v>URJC-35</x:v>
      </x:c>
      <x:c r="C75" s="4" t="str">
        <x:v>ASIGNATURA</x:v>
      </x:c>
      <x:c r="D75" s="4" t="str">
        <x:v>CYO-26</x:v>
      </x:c>
      <x:c r="E75" s="4" t="str">
        <x:v>Métodos cualitativos; FAIR; Montecarlo; calibración; retornos; transferencia y sesgos.</x:v>
      </x:c>
      <x:c r="F75" s="4" t="str">
        <x:v>Escoger métodos, estimar riesgo y justificar tratamiento y comunicación.</x:v>
      </x:c>
      <x:c r="G75" s="4" t="str">
        <x:v>Sin esta base puede faltar capacidad para comprender o justificar el juicio exigido por CYO-26.</x:v>
      </x:c>
      <x:c r="H75" s="4" t="str">
        <x:v>R035</x:v>
      </x:c>
      <x:c r="I75" s="4" t="str">
        <x:v>II; III (códigos); IV; actividad académica según guía</x:v>
      </x:c>
      <x:c r="J75" s="4" t="str">
        <x:v>ANCLA EDUCATIVA; ENLACE PROPUESTO</x:v>
      </x:c>
      <x:c r="K75" s="12" t="n">
        <x:f>IF(OR(D75="TRANSVERSAL",D75="RESERVA",COUNTIF('26_Mapa_universos'!$A$5:$A$33,D75)=1),0,1)</x:f>
        <x:v>0</x:v>
      </x:c>
      <x:c r="L75" s="12" t="n">
        <x:f>IF(COUNTIF('21_Fuentes_educativas'!$A$5:$A$188,H75)+COUNTIF('01_Fuentes'!$A$5:$A$40,H75)=1,0,1)</x:f>
        <x:v>0</x:v>
      </x:c>
    </x:row>
    <x:row r="76" ht="47" customHeight="1">
      <x:c r="A76" s="4" t="str">
        <x:v>TC-072</x:v>
      </x:c>
      <x:c r="B76" s="4" t="str">
        <x:v>URJC-36</x:v>
      </x:c>
      <x:c r="C76" s="4" t="str">
        <x:v>ASIGNATURA</x:v>
      </x:c>
      <x:c r="D76" s="4" t="str">
        <x:v>CYO-14</x:v>
      </x:c>
      <x:c r="E76" s="4" t="str">
        <x:v>Sistemas industriales; infraestructuras críticas; interdependencias.</x:v>
      </x:c>
      <x:c r="F76" s="4" t="str">
        <x:v>Analizar amenazas y medidas considerando efectos en sistemas físicos.</x:v>
      </x:c>
      <x:c r="G76" s="4" t="str">
        <x:v>Sin esta base puede faltar capacidad para comprender o justificar el juicio exigido por CYO-14.</x:v>
      </x:c>
      <x:c r="H76" s="4" t="str">
        <x:v>R036</x:v>
      </x:c>
      <x:c r="I76" s="4" t="str">
        <x:v>II; III (códigos); IV; actividad académica según guía</x:v>
      </x:c>
      <x:c r="J76" s="4" t="str">
        <x:v>ANCLA EDUCATIVA; ENLACE PROPUESTO</x:v>
      </x:c>
      <x:c r="K76" s="12" t="n">
        <x:f>IF(OR(D76="TRANSVERSAL",D76="RESERVA",COUNTIF('26_Mapa_universos'!$A$5:$A$33,D76)=1),0,1)</x:f>
        <x:v>0</x:v>
      </x:c>
      <x:c r="L76" s="12" t="n">
        <x:f>IF(COUNTIF('21_Fuentes_educativas'!$A$5:$A$188,H76)+COUNTIF('01_Fuentes'!$A$5:$A$40,H76)=1,0,1)</x:f>
        <x:v>0</x:v>
      </x:c>
    </x:row>
    <x:row r="77" ht="47" customHeight="1">
      <x:c r="A77" s="4" t="str">
        <x:v>TC-073</x:v>
      </x:c>
      <x:c r="B77" s="4" t="str">
        <x:v>URJC-36</x:v>
      </x:c>
      <x:c r="C77" s="4" t="str">
        <x:v>ASIGNATURA</x:v>
      </x:c>
      <x:c r="D77" s="4" t="str">
        <x:v>CYO-25</x:v>
      </x:c>
      <x:c r="E77" s="4" t="str">
        <x:v>Sistemas industriales; infraestructuras críticas; interdependencias.</x:v>
      </x:c>
      <x:c r="F77" s="4" t="str">
        <x:v>Analizar amenazas y medidas considerando efectos en sistemas físicos.</x:v>
      </x:c>
      <x:c r="G77" s="4" t="str">
        <x:v>Sin esta base puede faltar capacidad para comprender o justificar el juicio exigido por CYO-25.</x:v>
      </x:c>
      <x:c r="H77" s="4" t="str">
        <x:v>R036</x:v>
      </x:c>
      <x:c r="I77" s="4" t="str">
        <x:v>II; III (códigos); IV; actividad académica según guía</x:v>
      </x:c>
      <x:c r="J77" s="4" t="str">
        <x:v>ANCLA EDUCATIVA; ENLACE PROPUESTO</x:v>
      </x:c>
      <x:c r="K77" s="12" t="n">
        <x:f>IF(OR(D77="TRANSVERSAL",D77="RESERVA",COUNTIF('26_Mapa_universos'!$A$5:$A$33,D77)=1),0,1)</x:f>
        <x:v>0</x:v>
      </x:c>
      <x:c r="L77" s="12" t="n">
        <x:f>IF(COUNTIF('21_Fuentes_educativas'!$A$5:$A$188,H77)+COUNTIF('01_Fuentes'!$A$5:$A$40,H77)=1,0,1)</x:f>
        <x:v>0</x:v>
      </x:c>
    </x:row>
    <x:row r="78" ht="47" customHeight="1">
      <x:c r="A78" s="4" t="str">
        <x:v>TC-074</x:v>
      </x:c>
      <x:c r="B78" s="4" t="str">
        <x:v>URJC-37</x:v>
      </x:c>
      <x:c r="C78" s="4" t="str">
        <x:v>ASIGNATURA</x:v>
      </x:c>
      <x:c r="D78" s="4" t="str">
        <x:v>CYO-15</x:v>
      </x:c>
      <x:c r="E78" s="4" t="str">
        <x:v>Gobierno; estrategia; regulación; políticas y controles.</x:v>
      </x:c>
      <x:c r="F78" s="4" t="str">
        <x:v>Definir y valorar gobierno de seguridad en su contexto.</x:v>
      </x:c>
      <x:c r="G78" s="4" t="str">
        <x:v>Sin esta base puede faltar capacidad para comprender o justificar el juicio exigido por CYO-15.</x:v>
      </x:c>
      <x:c r="H78" s="4" t="str">
        <x:v>R037</x:v>
      </x:c>
      <x:c r="I78" s="4" t="str">
        <x:v>II; III (códigos); IV; actividad académica según guía</x:v>
      </x:c>
      <x:c r="J78" s="4" t="str">
        <x:v>ANCLA EDUCATIVA; ENLACE PROPUESTO</x:v>
      </x:c>
      <x:c r="K78" s="12" t="n">
        <x:f>IF(OR(D78="TRANSVERSAL",D78="RESERVA",COUNTIF('26_Mapa_universos'!$A$5:$A$33,D78)=1),0,1)</x:f>
        <x:v>0</x:v>
      </x:c>
      <x:c r="L78" s="12" t="n">
        <x:f>IF(COUNTIF('21_Fuentes_educativas'!$A$5:$A$188,H78)+COUNTIF('01_Fuentes'!$A$5:$A$40,H78)=1,0,1)</x:f>
        <x:v>0</x:v>
      </x:c>
    </x:row>
    <x:row r="79" ht="47" customHeight="1">
      <x:c r="A79" s="4" t="str">
        <x:v>TC-075</x:v>
      </x:c>
      <x:c r="B79" s="4" t="str">
        <x:v>URJC-37</x:v>
      </x:c>
      <x:c r="C79" s="4" t="str">
        <x:v>ASIGNATURA</x:v>
      </x:c>
      <x:c r="D79" s="4" t="str">
        <x:v>CYO-21</x:v>
      </x:c>
      <x:c r="E79" s="4" t="str">
        <x:v>Gobierno; estrategia; regulación; políticas y controles.</x:v>
      </x:c>
      <x:c r="F79" s="4" t="str">
        <x:v>Definir y valorar gobierno de seguridad en su contexto.</x:v>
      </x:c>
      <x:c r="G79" s="4" t="str">
        <x:v>Sin esta base puede faltar capacidad para comprender o justificar el juicio exigido por CYO-21.</x:v>
      </x:c>
      <x:c r="H79" s="4" t="str">
        <x:v>R037</x:v>
      </x:c>
      <x:c r="I79" s="4" t="str">
        <x:v>II; III (códigos); IV; actividad académica según guía</x:v>
      </x:c>
      <x:c r="J79" s="4" t="str">
        <x:v>ANCLA EDUCATIVA; ENLACE PROPUESTO</x:v>
      </x:c>
      <x:c r="K79" s="12" t="n">
        <x:f>IF(OR(D79="TRANSVERSAL",D79="RESERVA",COUNTIF('26_Mapa_universos'!$A$5:$A$33,D79)=1),0,1)</x:f>
        <x:v>0</x:v>
      </x:c>
      <x:c r="L79" s="12" t="n">
        <x:f>IF(COUNTIF('21_Fuentes_educativas'!$A$5:$A$188,H79)+COUNTIF('01_Fuentes'!$A$5:$A$40,H79)=1,0,1)</x:f>
        <x:v>0</x:v>
      </x:c>
    </x:row>
    <x:row r="80" ht="47" customHeight="1">
      <x:c r="A80" s="4" t="str">
        <x:v>TC-076</x:v>
      </x:c>
      <x:c r="B80" s="4" t="str">
        <x:v>URJC-37</x:v>
      </x:c>
      <x:c r="C80" s="4" t="str">
        <x:v>ASIGNATURA</x:v>
      </x:c>
      <x:c r="D80" s="4" t="str">
        <x:v>CYO-29</x:v>
      </x:c>
      <x:c r="E80" s="4" t="str">
        <x:v>Gobierno; estrategia; regulación; políticas y controles.</x:v>
      </x:c>
      <x:c r="F80" s="4" t="str">
        <x:v>Definir y valorar gobierno de seguridad en su contexto.</x:v>
      </x:c>
      <x:c r="G80" s="4" t="str">
        <x:v>Sin esta base puede faltar capacidad para comprender o justificar el juicio exigido por CYO-29.</x:v>
      </x:c>
      <x:c r="H80" s="4" t="str">
        <x:v>R037</x:v>
      </x:c>
      <x:c r="I80" s="4" t="str">
        <x:v>II; III (códigos); IV; actividad académica según guía</x:v>
      </x:c>
      <x:c r="J80" s="4" t="str">
        <x:v>ANCLA EDUCATIVA; ENLACE PROPUESTO</x:v>
      </x:c>
      <x:c r="K80" s="12" t="n">
        <x:f>IF(OR(D80="TRANSVERSAL",D80="RESERVA",COUNTIF('26_Mapa_universos'!$A$5:$A$33,D80)=1),0,1)</x:f>
        <x:v>0</x:v>
      </x:c>
      <x:c r="L80" s="12" t="n">
        <x:f>IF(COUNTIF('21_Fuentes_educativas'!$A$5:$A$188,H80)+COUNTIF('01_Fuentes'!$A$5:$A$40,H80)=1,0,1)</x:f>
        <x:v>0</x:v>
      </x:c>
    </x:row>
    <x:row r="81" ht="47" customHeight="1">
      <x:c r="A81" s="4" t="str">
        <x:v>TC-077</x:v>
      </x:c>
      <x:c r="B81" s="4" t="str">
        <x:v>URJC-38</x:v>
      </x:c>
      <x:c r="C81" s="4" t="str">
        <x:v>ASIGNATURA</x:v>
      </x:c>
      <x:c r="D81" s="4" t="str">
        <x:v>CYO-22</x:v>
      </x:c>
      <x:c r="E81" s="4" t="str">
        <x:v>Aplicación tutelada, responsabilidad y adaptación al contexto profesional.</x:v>
      </x:c>
      <x:c r="F81" s="4" t="str">
        <x:v>Integrar conocimientos, resolver problemas y documentar la actuación.</x:v>
      </x:c>
      <x:c r="G81" s="4" t="str">
        <x:v>Sin esta base puede faltar capacidad para comprender o justificar el juicio exigido por CYO-22.</x:v>
      </x:c>
      <x:c r="H81" s="4" t="str">
        <x:v>R038</x:v>
      </x:c>
      <x:c r="I81" s="4" t="str">
        <x:v>II; III (códigos); IV; VII.A para prácticas/TFG</x:v>
      </x:c>
      <x:c r="J81" s="4" t="str">
        <x:v>ANCLA EDUCATIVA; ENLACE PROPUESTO</x:v>
      </x:c>
      <x:c r="K81" s="12" t="n">
        <x:f>IF(OR(D81="TRANSVERSAL",D81="RESERVA",COUNTIF('26_Mapa_universos'!$A$5:$A$33,D81)=1),0,1)</x:f>
        <x:v>0</x:v>
      </x:c>
      <x:c r="L81" s="12" t="n">
        <x:f>IF(COUNTIF('21_Fuentes_educativas'!$A$5:$A$188,H81)+COUNTIF('01_Fuentes'!$A$5:$A$40,H81)=1,0,1)</x:f>
        <x:v>0</x:v>
      </x:c>
    </x:row>
    <x:row r="82" ht="47" customHeight="1">
      <x:c r="A82" s="4" t="str">
        <x:v>TC-078</x:v>
      </x:c>
      <x:c r="B82" s="4" t="str">
        <x:v>URJC-39</x:v>
      </x:c>
      <x:c r="C82" s="4" t="str">
        <x:v>ASIGNATURA</x:v>
      </x:c>
      <x:c r="D82" s="4" t="str">
        <x:v>TRANSVERSAL</x:v>
      </x:c>
      <x:c r="E82" s="4" t="str">
        <x:v>Participación universitaria reconocida académicamente.</x:v>
      </x:c>
      <x:c r="F82" s="4" t="str">
        <x:v>Contribuir a actividades transversales acreditables.</x:v>
      </x:c>
      <x:c r="G82" s="4" t="str">
        <x:v>Formación transversal identificada; no se adjudica una capacidad técnica específica ni un nuevo universo.</x:v>
      </x:c>
      <x:c r="H82" s="4" t="str">
        <x:v>R039</x:v>
      </x:c>
      <x:c r="I82" s="4" t="str">
        <x:v>II; III (códigos); IV; actividad académica según guía</x:v>
      </x:c>
      <x:c r="J82" s="4" t="str">
        <x:v>ANCLA EDUCATIVA; ENLACE PROPUESTO</x:v>
      </x:c>
      <x:c r="K82" s="12" t="n">
        <x:f>IF(OR(D82="TRANSVERSAL",D82="RESERVA",COUNTIF('26_Mapa_universos'!$A$5:$A$33,D82)=1),0,1)</x:f>
        <x:v>0</x:v>
      </x:c>
      <x:c r="L82" s="12" t="n">
        <x:f>IF(COUNTIF('21_Fuentes_educativas'!$A$5:$A$188,H82)+COUNTIF('01_Fuentes'!$A$5:$A$40,H82)=1,0,1)</x:f>
        <x:v>0</x:v>
      </x:c>
    </x:row>
    <x:row r="83" ht="47" customHeight="1">
      <x:c r="A83" s="4" t="str">
        <x:v>TC-079</x:v>
      </x:c>
      <x:c r="B83" s="4" t="str">
        <x:v>URJC-40</x:v>
      </x:c>
      <x:c r="C83" s="4" t="str">
        <x:v>ASIGNATURA</x:v>
      </x:c>
      <x:c r="D83" s="4" t="str">
        <x:v>CYO-18</x:v>
      </x:c>
      <x:c r="E83" s="4" t="str">
        <x:v>Integración, interpretación de datos, juicio ético y comunicación mediante un trabajo final.</x:v>
      </x:c>
      <x:c r="F83" s="4" t="str">
        <x:v>Plantear y defender un proyecto; discutir resultados y conclusiones con el tutor.</x:v>
      </x:c>
      <x:c r="G83" s="4" t="str">
        <x:v>Sin esta base puede faltar capacidad para comprender o justificar el juicio exigido por CYO-18.</x:v>
      </x:c>
      <x:c r="H83" s="4" t="str">
        <x:v>R040</x:v>
      </x:c>
      <x:c r="I83" s="4" t="str">
        <x:v>II; III (códigos); IV; VII.A para prácticas/TFG</x:v>
      </x:c>
      <x:c r="J83" s="4" t="str">
        <x:v>ANCLA EDUCATIVA; ENLACE PROPUESTO</x:v>
      </x:c>
      <x:c r="K83" s="12" t="n">
        <x:f>IF(OR(D83="TRANSVERSAL",D83="RESERVA",COUNTIF('26_Mapa_universos'!$A$5:$A$33,D83)=1),0,1)</x:f>
        <x:v>0</x:v>
      </x:c>
      <x:c r="L83" s="12" t="n">
        <x:f>IF(COUNTIF('21_Fuentes_educativas'!$A$5:$A$188,H83)+COUNTIF('01_Fuentes'!$A$5:$A$40,H83)=1,0,1)</x:f>
        <x:v>0</x:v>
      </x:c>
    </x:row>
    <x:row r="84" ht="47" customHeight="1">
      <x:c r="A84" s="4" t="str">
        <x:v>TC-080</x:v>
      </x:c>
      <x:c r="B84" s="4" t="str">
        <x:v>URJC-40</x:v>
      </x:c>
      <x:c r="C84" s="4" t="str">
        <x:v>ASIGNATURA</x:v>
      </x:c>
      <x:c r="D84" s="4" t="str">
        <x:v>CYO-19</x:v>
      </x:c>
      <x:c r="E84" s="4" t="str">
        <x:v>Integración, interpretación de datos, juicio ético y comunicación mediante un trabajo final.</x:v>
      </x:c>
      <x:c r="F84" s="4" t="str">
        <x:v>Plantear y defender un proyecto; discutir resultados y conclusiones con el tutor.</x:v>
      </x:c>
      <x:c r="G84" s="4" t="str">
        <x:v>Sin esta base puede faltar capacidad para comprender o justificar el juicio exigido por CYO-19.</x:v>
      </x:c>
      <x:c r="H84" s="4" t="str">
        <x:v>R040</x:v>
      </x:c>
      <x:c r="I84" s="4" t="str">
        <x:v>II; III (códigos); IV; VII.A para prácticas/TFG</x:v>
      </x:c>
      <x:c r="J84" s="4" t="str">
        <x:v>ANCLA EDUCATIVA; ENLACE PROPUESTO</x:v>
      </x:c>
      <x:c r="K84" s="12" t="n">
        <x:f>IF(OR(D84="TRANSVERSAL",D84="RESERVA",COUNTIF('26_Mapa_universos'!$A$5:$A$33,D84)=1),0,1)</x:f>
        <x:v>0</x:v>
      </x:c>
      <x:c r="L84" s="12" t="n">
        <x:f>IF(COUNTIF('21_Fuentes_educativas'!$A$5:$A$188,H84)+COUNTIF('01_Fuentes'!$A$5:$A$40,H84)=1,0,1)</x:f>
        <x:v>0</x:v>
      </x:c>
    </x:row>
    <x:row r="85" ht="47" customHeight="1">
      <x:c r="A85" s="4" t="str">
        <x:v>TC-081</x:v>
      </x:c>
      <x:c r="B85" s="4" t="str">
        <x:v>URJC-40</x:v>
      </x:c>
      <x:c r="C85" s="4" t="str">
        <x:v>ASIGNATURA</x:v>
      </x:c>
      <x:c r="D85" s="4" t="str">
        <x:v>CYO-22</x:v>
      </x:c>
      <x:c r="E85" s="4" t="str">
        <x:v>Integración, interpretación de datos, juicio ético y comunicación mediante un trabajo final.</x:v>
      </x:c>
      <x:c r="F85" s="4" t="str">
        <x:v>Plantear y defender un proyecto; discutir resultados y conclusiones con el tutor.</x:v>
      </x:c>
      <x:c r="G85" s="4" t="str">
        <x:v>Sin esta base puede faltar capacidad para comprender o justificar el juicio exigido por CYO-22.</x:v>
      </x:c>
      <x:c r="H85" s="4" t="str">
        <x:v>R040</x:v>
      </x:c>
      <x:c r="I85" s="4" t="str">
        <x:v>II; III (códigos); IV; VII.A para prácticas/TFG</x:v>
      </x:c>
      <x:c r="J85" s="4" t="str">
        <x:v>ANCLA EDUCATIVA; ENLACE PROPUESTO</x:v>
      </x:c>
      <x:c r="K85" s="12" t="n">
        <x:f>IF(OR(D85="TRANSVERSAL",D85="RESERVA",COUNTIF('26_Mapa_universos'!$A$5:$A$33,D85)=1),0,1)</x:f>
        <x:v>0</x:v>
      </x:c>
      <x:c r="L85" s="12" t="n">
        <x:f>IF(COUNTIF('21_Fuentes_educativas'!$A$5:$A$188,H85)+COUNTIF('01_Fuentes'!$A$5:$A$40,H85)=1,0,1)</x:f>
        <x:v>0</x:v>
      </x:c>
    </x:row>
    <x:row r="86" ht="47" customHeight="1">
      <x:c r="A86" s="4" t="str">
        <x:v>TC-082</x:v>
      </x:c>
      <x:c r="B86" s="4" t="str">
        <x:v>CE-01</x:v>
      </x:c>
      <x:c r="C86" s="4" t="str">
        <x:v>COMPLEMENTO</x:v>
      </x:c>
      <x:c r="D86" s="4" t="str">
        <x:v>CYO-23</x:v>
      </x:c>
      <x:c r="E86" s="4" t="str">
        <x:v>Preparación de datos y aprendizaje supervisado/no supervisado aplicado a amenazas.</x:v>
      </x:c>
      <x:c r="F86" s="4" t="str">
        <x:v>Interpretar características de logs o archivos y evaluar modelos en escenarios de ciberseguridad.</x:v>
      </x:c>
      <x:c r="G86" s="4" t="str">
        <x:v>La diferencia sólo se admite en el alcance justificado; evitar falsa cobertura por un título.</x:v>
      </x:c>
      <x:c r="H86" s="4" t="str">
        <x:v>M002</x:v>
      </x:c>
      <x:c r="I86" s="4" t="str">
        <x:v>CLO1–5; proyecto 35%, informe y presentación 35%, examen 30%.</x:v>
      </x:c>
      <x:c r="J86" s="4" t="str">
        <x:v>PROFUNDIZACIÓN PROPUESTA</x:v>
      </x:c>
      <x:c r="K86" s="12" t="n">
        <x:f>IF(OR(D86="TRANSVERSAL",D86="RESERVA",COUNTIF('26_Mapa_universos'!$A$5:$A$33,D86)=1),0,1)</x:f>
        <x:v>0</x:v>
      </x:c>
      <x:c r="L86" s="12" t="n">
        <x:f>IF(COUNTIF('21_Fuentes_educativas'!$A$5:$A$188,H86)+COUNTIF('01_Fuentes'!$A$5:$A$40,H86)=1,0,1)</x:f>
        <x:v>0</x:v>
      </x:c>
    </x:row>
    <x:row r="87" ht="47" customHeight="1">
      <x:c r="A87" s="4" t="str">
        <x:v>TC-083</x:v>
      </x:c>
      <x:c r="B87" s="4" t="str">
        <x:v>CE-01</x:v>
      </x:c>
      <x:c r="C87" s="4" t="str">
        <x:v>COMPLEMENTO</x:v>
      </x:c>
      <x:c r="D87" s="4" t="str">
        <x:v>CYO-27</x:v>
      </x:c>
      <x:c r="E87" s="4" t="str">
        <x:v>Preparación de datos y aprendizaje supervisado/no supervisado aplicado a amenazas.</x:v>
      </x:c>
      <x:c r="F87" s="4" t="str">
        <x:v>Interpretar características de logs o archivos y evaluar modelos en escenarios de ciberseguridad.</x:v>
      </x:c>
      <x:c r="G87" s="4" t="str">
        <x:v>La diferencia sólo se admite en el alcance justificado; evitar falsa cobertura por un título.</x:v>
      </x:c>
      <x:c r="H87" s="4" t="str">
        <x:v>M002</x:v>
      </x:c>
      <x:c r="I87" s="4" t="str">
        <x:v>CLO1–5; proyecto 35%, informe y presentación 35%, examen 30%.</x:v>
      </x:c>
      <x:c r="J87" s="4" t="str">
        <x:v>PROFUNDIZACIÓN PROPUESTA</x:v>
      </x:c>
      <x:c r="K87" s="12" t="n">
        <x:f>IF(OR(D87="TRANSVERSAL",D87="RESERVA",COUNTIF('26_Mapa_universos'!$A$5:$A$33,D87)=1),0,1)</x:f>
        <x:v>0</x:v>
      </x:c>
      <x:c r="L87" s="12" t="n">
        <x:f>IF(COUNTIF('21_Fuentes_educativas'!$A$5:$A$188,H87)+COUNTIF('01_Fuentes'!$A$5:$A$40,H87)=1,0,1)</x:f>
        <x:v>0</x:v>
      </x:c>
    </x:row>
    <x:row r="88" ht="47" customHeight="1">
      <x:c r="A88" s="4" t="str">
        <x:v>TC-084</x:v>
      </x:c>
      <x:c r="B88" s="4" t="str">
        <x:v>CE-02</x:v>
      </x:c>
      <x:c r="C88" s="4" t="str">
        <x:v>COMPLEMENTO</x:v>
      </x:c>
      <x:c r="D88" s="4" t="str">
        <x:v>CYO-23</x:v>
      </x:c>
      <x:c r="E88" s="4" t="str">
        <x:v>Redes neuronales y desarrollo de procesos completos de aprendizaje profundo.</x:v>
      </x:c>
      <x:c r="F88" s="4" t="str">
        <x:v>Evaluar rendimiento, recursos, escalabilidad y riesgos de modelos en datos de seguridad.</x:v>
      </x:c>
      <x:c r="G88" s="4" t="str">
        <x:v>La diferencia sólo se admite en el alcance justificado; evitar falsa cobertura por un título.</x:v>
      </x:c>
      <x:c r="H88" s="4" t="str">
        <x:v>M004</x:v>
      </x:c>
      <x:c r="I88" s="4" t="str">
        <x:v>CLO1–5; laboratorio 30%, casos 30%, evaluación final 40%.</x:v>
      </x:c>
      <x:c r="J88" s="4" t="str">
        <x:v>PROFUNDIZACIÓN PROPUESTA</x:v>
      </x:c>
      <x:c r="K88" s="12" t="n">
        <x:f>IF(OR(D88="TRANSVERSAL",D88="RESERVA",COUNTIF('26_Mapa_universos'!$A$5:$A$33,D88)=1),0,1)</x:f>
        <x:v>0</x:v>
      </x:c>
      <x:c r="L88" s="12" t="n">
        <x:f>IF(COUNTIF('21_Fuentes_educativas'!$A$5:$A$188,H88)+COUNTIF('01_Fuentes'!$A$5:$A$40,H88)=1,0,1)</x:f>
        <x:v>0</x:v>
      </x:c>
    </x:row>
    <x:row r="89" ht="47" customHeight="1">
      <x:c r="A89" s="4" t="str">
        <x:v>TC-085</x:v>
      </x:c>
      <x:c r="B89" s="4" t="str">
        <x:v>CE-03</x:v>
      </x:c>
      <x:c r="C89" s="4" t="str">
        <x:v>COMPLEMENTO</x:v>
      </x:c>
      <x:c r="D89" s="4" t="str">
        <x:v>CYO-15</x:v>
      </x:c>
      <x:c r="E89" s="4" t="str">
        <x:v>Aprendizaje adversarial, explicabilidad, generalización y robustez.</x:v>
      </x:c>
      <x:c r="F89" s="4" t="str">
        <x:v>Evaluar y mitigar ataques contra modelos; justificar límites éticos y técnicos.</x:v>
      </x:c>
      <x:c r="G89" s="4" t="str">
        <x:v>La diferencia sólo se admite en el alcance justificado; evitar falsa cobertura por un título.</x:v>
      </x:c>
      <x:c r="H89" s="4" t="str">
        <x:v>M003</x:v>
      </x:c>
      <x:c r="I89" s="4" t="str">
        <x:v>CLO1–5; casos/presentación 20%, laboratorio 40%, evaluación final 40%.</x:v>
      </x:c>
      <x:c r="J89" s="4" t="str">
        <x:v>PROFUNDIZACIÓN PROPUESTA</x:v>
      </x:c>
      <x:c r="K89" s="12" t="n">
        <x:f>IF(OR(D89="TRANSVERSAL",D89="RESERVA",COUNTIF('26_Mapa_universos'!$A$5:$A$33,D89)=1),0,1)</x:f>
        <x:v>0</x:v>
      </x:c>
      <x:c r="L89" s="12" t="n">
        <x:f>IF(COUNTIF('21_Fuentes_educativas'!$A$5:$A$188,H89)+COUNTIF('01_Fuentes'!$A$5:$A$40,H89)=1,0,1)</x:f>
        <x:v>0</x:v>
      </x:c>
    </x:row>
    <x:row r="90" ht="47" customHeight="1">
      <x:c r="A90" s="4" t="str">
        <x:v>TC-086</x:v>
      </x:c>
      <x:c r="B90" s="4" t="str">
        <x:v>CE-03</x:v>
      </x:c>
      <x:c r="C90" s="4" t="str">
        <x:v>COMPLEMENTO</x:v>
      </x:c>
      <x:c r="D90" s="4" t="str">
        <x:v>CYO-23</x:v>
      </x:c>
      <x:c r="E90" s="4" t="str">
        <x:v>Aprendizaje adversarial, explicabilidad, generalización y robustez.</x:v>
      </x:c>
      <x:c r="F90" s="4" t="str">
        <x:v>Evaluar y mitigar ataques contra modelos; justificar límites éticos y técnicos.</x:v>
      </x:c>
      <x:c r="G90" s="4" t="str">
        <x:v>La diferencia sólo se admite en el alcance justificado; evitar falsa cobertura por un título.</x:v>
      </x:c>
      <x:c r="H90" s="4" t="str">
        <x:v>M003</x:v>
      </x:c>
      <x:c r="I90" s="4" t="str">
        <x:v>CLO1–5; casos/presentación 20%, laboratorio 40%, evaluación final 40%.</x:v>
      </x:c>
      <x:c r="J90" s="4" t="str">
        <x:v>PROFUNDIZACIÓN PROPUESTA</x:v>
      </x:c>
      <x:c r="K90" s="12" t="n">
        <x:f>IF(OR(D90="TRANSVERSAL",D90="RESERVA",COUNTIF('26_Mapa_universos'!$A$5:$A$33,D90)=1),0,1)</x:f>
        <x:v>0</x:v>
      </x:c>
      <x:c r="L90" s="12" t="n">
        <x:f>IF(COUNTIF('21_Fuentes_educativas'!$A$5:$A$188,H90)+COUNTIF('01_Fuentes'!$A$5:$A$40,H90)=1,0,1)</x:f>
        <x:v>0</x:v>
      </x:c>
    </x:row>
    <x:row r="91" ht="47" customHeight="1">
      <x:c r="A91" s="4" t="str">
        <x:v>TC-087</x:v>
      </x:c>
      <x:c r="B91" s="4" t="str">
        <x:v>CE-03</x:v>
      </x:c>
      <x:c r="C91" s="4" t="str">
        <x:v>COMPLEMENTO</x:v>
      </x:c>
      <x:c r="D91" s="4" t="str">
        <x:v>CYO-29</x:v>
      </x:c>
      <x:c r="E91" s="4" t="str">
        <x:v>Aprendizaje adversarial, explicabilidad, generalización y robustez.</x:v>
      </x:c>
      <x:c r="F91" s="4" t="str">
        <x:v>Evaluar y mitigar ataques contra modelos; justificar límites éticos y técnicos.</x:v>
      </x:c>
      <x:c r="G91" s="4" t="str">
        <x:v>La diferencia sólo se admite en el alcance justificado; evitar falsa cobertura por un título.</x:v>
      </x:c>
      <x:c r="H91" s="4" t="str">
        <x:v>M003</x:v>
      </x:c>
      <x:c r="I91" s="4" t="str">
        <x:v>CLO1–5; casos/presentación 20%, laboratorio 40%, evaluación final 40%.</x:v>
      </x:c>
      <x:c r="J91" s="4" t="str">
        <x:v>PROFUNDIZACIÓN PROPUESTA</x:v>
      </x:c>
      <x:c r="K91" s="12" t="n">
        <x:f>IF(OR(D91="TRANSVERSAL",D91="RESERVA",COUNTIF('26_Mapa_universos'!$A$5:$A$33,D91)=1),0,1)</x:f>
        <x:v>0</x:v>
      </x:c>
      <x:c r="L91" s="12" t="n">
        <x:f>IF(COUNTIF('21_Fuentes_educativas'!$A$5:$A$188,H91)+COUNTIF('01_Fuentes'!$A$5:$A$40,H91)=1,0,1)</x:f>
        <x:v>0</x:v>
      </x:c>
    </x:row>
    <x:row r="92" ht="47" customHeight="1">
      <x:c r="A92" s="4" t="str">
        <x:v>TC-088</x:v>
      </x:c>
      <x:c r="B92" s="4" t="str">
        <x:v>CE-04</x:v>
      </x:c>
      <x:c r="C92" s="4" t="str">
        <x:v>COMPLEMENTO</x:v>
      </x:c>
      <x:c r="D92" s="4" t="str">
        <x:v>CYO-19</x:v>
      </x:c>
      <x:c r="E92" s="4" t="str">
        <x:v>Proyecto profesional con reflexión y revisión de decisiones.</x:v>
      </x:c>
      <x:c r="F92" s="4" t="str">
        <x:v>Presentar alcance, justificar cambios, evaluar limitaciones y explicar la contribución individual.</x:v>
      </x:c>
      <x:c r="G92" s="4" t="str">
        <x:v>La diferencia sólo se admite en el alcance justificado; evitar falsa cobertura por un título.</x:v>
      </x:c>
      <x:c r="H92" s="4" t="str">
        <x:v>M001</x:v>
      </x:c>
      <x:c r="I92" s="4" t="str">
        <x:v>CLO1–6; desarrollo 40%, progreso 10%, informe 30%, portafolio 20%.</x:v>
      </x:c>
      <x:c r="J92" s="4" t="str">
        <x:v>REFUERZO DEL MÉTODO PROPUESTO</x:v>
      </x:c>
      <x:c r="K92" s="12" t="n">
        <x:f>IF(OR(D92="TRANSVERSAL",D92="RESERVA",COUNTIF('26_Mapa_universos'!$A$5:$A$33,D92)=1),0,1)</x:f>
        <x:v>0</x:v>
      </x:c>
      <x:c r="L92" s="12" t="n">
        <x:f>IF(COUNTIF('21_Fuentes_educativas'!$A$5:$A$188,H92)+COUNTIF('01_Fuentes'!$A$5:$A$40,H92)=1,0,1)</x:f>
        <x:v>0</x:v>
      </x:c>
    </x:row>
    <x:row r="93" ht="47" customHeight="1">
      <x:c r="A93" s="4" t="str">
        <x:v>TC-089</x:v>
      </x:c>
      <x:c r="B93" s="4" t="str">
        <x:v>CE-04</x:v>
      </x:c>
      <x:c r="C93" s="4" t="str">
        <x:v>COMPLEMENTO</x:v>
      </x:c>
      <x:c r="D93" s="4" t="str">
        <x:v>CYO-22</x:v>
      </x:c>
      <x:c r="E93" s="4" t="str">
        <x:v>Proyecto profesional con reflexión y revisión de decisiones.</x:v>
      </x:c>
      <x:c r="F93" s="4" t="str">
        <x:v>Presentar alcance, justificar cambios, evaluar limitaciones y explicar la contribución individual.</x:v>
      </x:c>
      <x:c r="G93" s="4" t="str">
        <x:v>La diferencia sólo se admite en el alcance justificado; evitar falsa cobertura por un título.</x:v>
      </x:c>
      <x:c r="H93" s="4" t="str">
        <x:v>M001</x:v>
      </x:c>
      <x:c r="I93" s="4" t="str">
        <x:v>CLO1–6; desarrollo 40%, progreso 10%, informe 30%, portafolio 20%.</x:v>
      </x:c>
      <x:c r="J93" s="4" t="str">
        <x:v>REFUERZO DEL MÉTODO PROPUESTO</x:v>
      </x:c>
      <x:c r="K93" s="12" t="n">
        <x:f>IF(OR(D93="TRANSVERSAL",D93="RESERVA",COUNTIF('26_Mapa_universos'!$A$5:$A$33,D93)=1),0,1)</x:f>
        <x:v>0</x:v>
      </x:c>
      <x:c r="L93" s="12" t="n">
        <x:f>IF(COUNTIF('21_Fuentes_educativas'!$A$5:$A$188,H93)+COUNTIF('01_Fuentes'!$A$5:$A$40,H93)=1,0,1)</x:f>
        <x:v>0</x:v>
      </x:c>
    </x:row>
    <x:row r="94" ht="47" customHeight="1">
      <x:c r="A94" s="4" t="str">
        <x:v>TC-090</x:v>
      </x:c>
      <x:c r="B94" s="4" t="str">
        <x:v>CE-05</x:v>
      </x:c>
      <x:c r="C94" s="4" t="str">
        <x:v>COMPLEMENTO</x:v>
      </x:c>
      <x:c r="D94" s="4" t="str">
        <x:v>CYO-03</x:v>
      </x:c>
      <x:c r="E94" s="4" t="str">
        <x:v>Usabilidad de mecanismos de seguridad; factores individuales, organizativos y sociales.</x:v>
      </x:c>
      <x:c r="F94" s="4" t="str">
        <x:v>Evaluar consecuencias del comportamiento y diseñar controles utilizables.</x:v>
      </x:c>
      <x:c r="G94" s="4" t="str">
        <x:v>La diferencia sólo se admite en el alcance justificado; evitar falsa cobertura por un título.</x:v>
      </x:c>
      <x:c r="H94" s="4" t="str">
        <x:v>W010</x:v>
      </x:c>
      <x:c r="I94" s="4" t="str">
        <x:v>Learning outcomes; evaluación de criterios de usabilidad y factores humanos.</x:v>
      </x:c>
      <x:c r="J94" s="4" t="str">
        <x:v>PROFUNDIZACIÓN PROPUESTA</x:v>
      </x:c>
      <x:c r="K94" s="12" t="n">
        <x:f>IF(OR(D94="TRANSVERSAL",D94="RESERVA",COUNTIF('26_Mapa_universos'!$A$5:$A$33,D94)=1),0,1)</x:f>
        <x:v>0</x:v>
      </x:c>
      <x:c r="L94" s="12" t="n">
        <x:f>IF(COUNTIF('21_Fuentes_educativas'!$A$5:$A$188,H94)+COUNTIF('01_Fuentes'!$A$5:$A$40,H94)=1,0,1)</x:f>
        <x:v>0</x:v>
      </x:c>
    </x:row>
    <x:row r="95" ht="47" customHeight="1">
      <x:c r="A95" s="4" t="str">
        <x:v>TC-091</x:v>
      </x:c>
      <x:c r="B95" s="4" t="str">
        <x:v>CE-05</x:v>
      </x:c>
      <x:c r="C95" s="4" t="str">
        <x:v>COMPLEMENTO</x:v>
      </x:c>
      <x:c r="D95" s="4" t="str">
        <x:v>CYO-18</x:v>
      </x:c>
      <x:c r="E95" s="4" t="str">
        <x:v>Usabilidad de mecanismos de seguridad; factores individuales, organizativos y sociales.</x:v>
      </x:c>
      <x:c r="F95" s="4" t="str">
        <x:v>Evaluar consecuencias del comportamiento y diseñar controles utilizables.</x:v>
      </x:c>
      <x:c r="G95" s="4" t="str">
        <x:v>La diferencia sólo se admite en el alcance justificado; evitar falsa cobertura por un título.</x:v>
      </x:c>
      <x:c r="H95" s="4" t="str">
        <x:v>W010</x:v>
      </x:c>
      <x:c r="I95" s="4" t="str">
        <x:v>Learning outcomes; evaluación de criterios de usabilidad y factores humanos.</x:v>
      </x:c>
      <x:c r="J95" s="4" t="str">
        <x:v>PROFUNDIZACIÓN PROPUESTA</x:v>
      </x:c>
      <x:c r="K95" s="12" t="n">
        <x:f>IF(OR(D95="TRANSVERSAL",D95="RESERVA",COUNTIF('26_Mapa_universos'!$A$5:$A$33,D95)=1),0,1)</x:f>
        <x:v>0</x:v>
      </x:c>
      <x:c r="L95" s="12" t="n">
        <x:f>IF(COUNTIF('21_Fuentes_educativas'!$A$5:$A$188,H95)+COUNTIF('01_Fuentes'!$A$5:$A$40,H95)=1,0,1)</x:f>
        <x:v>0</x:v>
      </x:c>
    </x:row>
    <x:row r="96" ht="47" customHeight="1">
      <x:c r="A96" s="4" t="str">
        <x:v>TC-092</x:v>
      </x:c>
      <x:c r="B96" s="4" t="str">
        <x:v>CE-05</x:v>
      </x:c>
      <x:c r="C96" s="4" t="str">
        <x:v>COMPLEMENTO</x:v>
      </x:c>
      <x:c r="D96" s="4" t="str">
        <x:v>CYO-22</x:v>
      </x:c>
      <x:c r="E96" s="4" t="str">
        <x:v>Usabilidad de mecanismos de seguridad; factores individuales, organizativos y sociales.</x:v>
      </x:c>
      <x:c r="F96" s="4" t="str">
        <x:v>Evaluar consecuencias del comportamiento y diseñar controles utilizables.</x:v>
      </x:c>
      <x:c r="G96" s="4" t="str">
        <x:v>La diferencia sólo se admite en el alcance justificado; evitar falsa cobertura por un título.</x:v>
      </x:c>
      <x:c r="H96" s="4" t="str">
        <x:v>W010</x:v>
      </x:c>
      <x:c r="I96" s="4" t="str">
        <x:v>Learning outcomes; evaluación de criterios de usabilidad y factores humanos.</x:v>
      </x:c>
      <x:c r="J96" s="4" t="str">
        <x:v>PROFUNDIZACIÓN PROPUESTA</x:v>
      </x:c>
      <x:c r="K96" s="12" t="n">
        <x:f>IF(OR(D96="TRANSVERSAL",D96="RESERVA",COUNTIF('26_Mapa_universos'!$A$5:$A$33,D96)=1),0,1)</x:f>
        <x:v>0</x:v>
      </x:c>
      <x:c r="L96" s="12" t="n">
        <x:f>IF(COUNTIF('21_Fuentes_educativas'!$A$5:$A$188,H96)+COUNTIF('01_Fuentes'!$A$5:$A$40,H96)=1,0,1)</x:f>
        <x:v>0</x:v>
      </x:c>
    </x:row>
    <x:row r="97" ht="47" customHeight="1">
      <x:c r="A97" s="4" t="str">
        <x:v>TC-093</x:v>
      </x:c>
      <x:c r="B97" s="4" t="str">
        <x:v>CE-05</x:v>
      </x:c>
      <x:c r="C97" s="4" t="str">
        <x:v>COMPLEMENTO</x:v>
      </x:c>
      <x:c r="D97" s="4" t="str">
        <x:v>CYO-29</x:v>
      </x:c>
      <x:c r="E97" s="4" t="str">
        <x:v>Usabilidad de mecanismos de seguridad; factores individuales, organizativos y sociales.</x:v>
      </x:c>
      <x:c r="F97" s="4" t="str">
        <x:v>Evaluar consecuencias del comportamiento y diseñar controles utilizables.</x:v>
      </x:c>
      <x:c r="G97" s="4" t="str">
        <x:v>La diferencia sólo se admite en el alcance justificado; evitar falsa cobertura por un título.</x:v>
      </x:c>
      <x:c r="H97" s="4" t="str">
        <x:v>W010</x:v>
      </x:c>
      <x:c r="I97" s="4" t="str">
        <x:v>Learning outcomes; evaluación de criterios de usabilidad y factores humanos.</x:v>
      </x:c>
      <x:c r="J97" s="4" t="str">
        <x:v>PROFUNDIZACIÓN PROPUESTA</x:v>
      </x:c>
      <x:c r="K97" s="12" t="n">
        <x:f>IF(OR(D97="TRANSVERSAL",D97="RESERVA",COUNTIF('26_Mapa_universos'!$A$5:$A$33,D97)=1),0,1)</x:f>
        <x:v>0</x:v>
      </x:c>
      <x:c r="L97" s="12" t="n">
        <x:f>IF(COUNTIF('21_Fuentes_educativas'!$A$5:$A$188,H97)+COUNTIF('01_Fuentes'!$A$5:$A$40,H97)=1,0,1)</x:f>
        <x:v>0</x:v>
      </x:c>
    </x:row>
    <x:row r="98" ht="47" customHeight="1">
      <x:c r="A98" s="4" t="str">
        <x:v>TC-094</x:v>
      </x:c>
      <x:c r="B98" s="4" t="str">
        <x:v>CE-06</x:v>
      </x:c>
      <x:c r="C98" s="4" t="str">
        <x:v>COMPLEMENTO</x:v>
      </x:c>
      <x:c r="D98" s="4" t="str">
        <x:v>CYO-01</x:v>
      </x:c>
      <x:c r="E98" s="4" t="str">
        <x:v>Coherencia de gestión de seguridad y consecuencias de gestión inadecuada del riesgo.</x:v>
      </x:c>
      <x:c r="F98" s="4" t="str">
        <x:v>Analizar efectos organizativos y justificar mejoras.</x:v>
      </x:c>
      <x:c r="G98" s="4" t="str">
        <x:v>La diferencia sólo se admite en el alcance justificado; evitar falsa cobertura por un título.</x:v>
      </x:c>
      <x:c r="H98" s="4" t="str">
        <x:v>W014</x:v>
      </x:c>
      <x:c r="I98" s="4" t="str">
        <x:v>Learning outcomes.</x:v>
      </x:c>
      <x:c r="J98" s="4" t="str">
        <x:v>CONTRASTE; NO NUEVO VACÍO DEMOSTRADO</x:v>
      </x:c>
      <x:c r="K98" s="12" t="n">
        <x:f>IF(OR(D98="TRANSVERSAL",D98="RESERVA",COUNTIF('26_Mapa_universos'!$A$5:$A$33,D98)=1),0,1)</x:f>
        <x:v>0</x:v>
      </x:c>
      <x:c r="L98" s="12" t="n">
        <x:f>IF(COUNTIF('21_Fuentes_educativas'!$A$5:$A$188,H98)+COUNTIF('01_Fuentes'!$A$5:$A$40,H98)=1,0,1)</x:f>
        <x:v>0</x:v>
      </x:c>
    </x:row>
    <x:row r="99" ht="47" customHeight="1">
      <x:c r="A99" s="4" t="str">
        <x:v>TC-095</x:v>
      </x:c>
      <x:c r="B99" s="4" t="str">
        <x:v>CE-07</x:v>
      </x:c>
      <x:c r="C99" s="4" t="str">
        <x:v>COMPLEMENTO</x:v>
      </x:c>
      <x:c r="D99" s="4" t="str">
        <x:v>CYO-19</x:v>
      </x:c>
      <x:c r="E99" s="4" t="str">
        <x:v>Evaluación crítica de investigación, método y comunicación.</x:v>
      </x:c>
      <x:c r="F99" s="4" t="str">
        <x:v>Justificar el método para una pregunta y comunicar sus límites.</x:v>
      </x:c>
      <x:c r="G99" s="4" t="str">
        <x:v>La diferencia sólo se admite en el alcance justificado; evitar falsa cobertura por un título.</x:v>
      </x:c>
      <x:c r="H99" s="4" t="str">
        <x:v>W016</x:v>
      </x:c>
      <x:c r="I99" s="4" t="str">
        <x:v>Learning outcomes.</x:v>
      </x:c>
      <x:c r="J99" s="4" t="str">
        <x:v>REFUERZO DEL MÉTODO PROPUESTO</x:v>
      </x:c>
      <x:c r="K99" s="12" t="n">
        <x:f>IF(OR(D99="TRANSVERSAL",D99="RESERVA",COUNTIF('26_Mapa_universos'!$A$5:$A$33,D99)=1),0,1)</x:f>
        <x:v>0</x:v>
      </x:c>
      <x:c r="L99" s="12" t="n">
        <x:f>IF(COUNTIF('21_Fuentes_educativas'!$A$5:$A$188,H99)+COUNTIF('01_Fuentes'!$A$5:$A$40,H99)=1,0,1)</x:f>
        <x:v>0</x:v>
      </x:c>
    </x:row>
    <x:row r="100" ht="47" customHeight="1">
      <x:c r="A100" s="4" t="str">
        <x:v>TC-096</x:v>
      </x:c>
      <x:c r="B100" s="4" t="str">
        <x:v>CE-08</x:v>
      </x:c>
      <x:c r="C100" s="4" t="str">
        <x:v>COMPLEMENTO</x:v>
      </x:c>
      <x:c r="D100" s="4" t="str">
        <x:v>CYO-28</x:v>
      </x:c>
      <x:c r="E100" s="4" t="str">
        <x:v>Monitorización y búsqueda de adversarios que eluden defensas.</x:v>
      </x:c>
      <x:c r="F100" s="4" t="str">
        <x:v>Examinar actividad y activos para investigar amenazas no detenidas por los controles.</x:v>
      </x:c>
      <x:c r="G100" s="4" t="str">
        <x:v>La diferencia sólo se admite en el alcance justificado; evitar falsa cobertura por un título.</x:v>
      </x:c>
      <x:c r="H100" s="4" t="str">
        <x:v>G009</x:v>
      </x:c>
      <x:c r="I100" s="4" t="str">
        <x:v>Descripción oficial del curso; evaluación detallada no disponible en esta ficha.</x:v>
      </x:c>
      <x:c r="J100" s="4" t="str">
        <x:v>CONTRASTE; NO NUEVO VACÍO DEMOSTRADO</x:v>
      </x:c>
      <x:c r="K100" s="12" t="n">
        <x:f>IF(OR(D100="TRANSVERSAL",D100="RESERVA",COUNTIF('26_Mapa_universos'!$A$5:$A$33,D100)=1),0,1)</x:f>
        <x:v>0</x:v>
      </x:c>
      <x:c r="L100" s="12" t="n">
        <x:f>IF(COUNTIF('21_Fuentes_educativas'!$A$5:$A$188,H100)+COUNTIF('01_Fuentes'!$A$5:$A$40,H100)=1,0,1)</x:f>
        <x:v>0</x:v>
      </x:c>
    </x:row>
    <x:row r="101" ht="47" customHeight="1">
      <x:c r="A101" s="4" t="str">
        <x:v>TC-097</x:v>
      </x:c>
      <x:c r="B101" s="4" t="str">
        <x:v>CE-09</x:v>
      </x:c>
      <x:c r="C101" s="4" t="str">
        <x:v>COMPLEMENTO</x:v>
      </x:c>
      <x:c r="D101" s="4" t="str">
        <x:v>CYO-19</x:v>
      </x:c>
      <x:c r="E101" s="4" t="str">
        <x:v>Proyecto tutelado con informe y producto ante un problema emergente.</x:v>
      </x:c>
      <x:c r="F101" s="4" t="str">
        <x:v>Investigar y justificar una solución con evidencia.</x:v>
      </x:c>
      <x:c r="G101" s="4" t="str">
        <x:v>La diferencia sólo se admite en el alcance justificado; evitar falsa cobertura por un título.</x:v>
      </x:c>
      <x:c r="H101" s="4" t="str">
        <x:v>G007</x:v>
      </x:c>
      <x:c r="I101" s="4" t="str">
        <x:v>Descripción oficial del proyecto; opción, no requisito universal del máster.</x:v>
      </x:c>
      <x:c r="J101" s="4" t="str">
        <x:v>REFUERZO DEL MÉTODO PROPUESTO</x:v>
      </x:c>
      <x:c r="K101" s="12" t="n">
        <x:f>IF(OR(D101="TRANSVERSAL",D101="RESERVA",COUNTIF('26_Mapa_universos'!$A$5:$A$33,D101)=1),0,1)</x:f>
        <x:v>0</x:v>
      </x:c>
      <x:c r="L101" s="12" t="n">
        <x:f>IF(COUNTIF('21_Fuentes_educativas'!$A$5:$A$188,H101)+COUNTIF('01_Fuentes'!$A$5:$A$40,H101)=1,0,1)</x:f>
        <x:v>0</x:v>
      </x:c>
    </x:row>
    <x:row r="102" ht="47" customHeight="1">
      <x:c r="A102" s="4" t="str">
        <x:v>TC-098</x:v>
      </x:c>
      <x:c r="B102" s="4" t="str">
        <x:v>CE-09</x:v>
      </x:c>
      <x:c r="C102" s="4" t="str">
        <x:v>COMPLEMENTO</x:v>
      </x:c>
      <x:c r="D102" s="4" t="str">
        <x:v>CYO-22</x:v>
      </x:c>
      <x:c r="E102" s="4" t="str">
        <x:v>Proyecto tutelado con informe y producto ante un problema emergente.</x:v>
      </x:c>
      <x:c r="F102" s="4" t="str">
        <x:v>Investigar y justificar una solución con evidencia.</x:v>
      </x:c>
      <x:c r="G102" s="4" t="str">
        <x:v>La diferencia sólo se admite en el alcance justificado; evitar falsa cobertura por un título.</x:v>
      </x:c>
      <x:c r="H102" s="4" t="str">
        <x:v>G007</x:v>
      </x:c>
      <x:c r="I102" s="4" t="str">
        <x:v>Descripción oficial del proyecto; opción, no requisito universal del máster.</x:v>
      </x:c>
      <x:c r="J102" s="4" t="str">
        <x:v>REFUERZO DEL MÉTODO PROPUESTO</x:v>
      </x:c>
      <x:c r="K102" s="12" t="n">
        <x:f>IF(OR(D102="TRANSVERSAL",D102="RESERVA",COUNTIF('26_Mapa_universos'!$A$5:$A$33,D102)=1),0,1)</x:f>
        <x:v>0</x:v>
      </x:c>
      <x:c r="L102" s="12" t="n">
        <x:f>IF(COUNTIF('21_Fuentes_educativas'!$A$5:$A$188,H102)+COUNTIF('01_Fuentes'!$A$5:$A$40,H102)=1,0,1)</x:f>
        <x:v>0</x:v>
      </x:c>
    </x:row>
    <x:row r="103" ht="47" customHeight="1">
      <x:c r="A103" s="4" t="str">
        <x:v>TC-099</x:v>
      </x:c>
      <x:c r="B103" s="4" t="str">
        <x:v>CE-10</x:v>
      </x:c>
      <x:c r="C103" s="4" t="str">
        <x:v>COMPLEMENTO</x:v>
      </x:c>
      <x:c r="D103" s="4" t="str">
        <x:v>CYO-01</x:v>
      </x:c>
      <x:c r="E103" s="4" t="str">
        <x:v>Análisis económico como materia obligatoria.</x:v>
      </x:c>
      <x:c r="F103" s="4" t="str">
        <x:v>No se adjudica resultado específico sin guía detallada.</x:v>
      </x:c>
      <x:c r="G103" s="4" t="str">
        <x:v>La diferencia sólo se admite en el alcance justificado; evitar falsa cobertura por un título.</x:v>
      </x:c>
      <x:c r="H103" s="4" t="str">
        <x:v>E008</x:v>
      </x:c>
      <x:c r="I103" s="4" t="str">
        <x:v>Manual §4.2, p. 5.</x:v>
      </x:c>
      <x:c r="J103" s="4" t="str">
        <x:v>IDENTIFICADO; GUÍA DETALLADA PENDIENTE</x:v>
      </x:c>
      <x:c r="K103" s="12" t="n">
        <x:f>IF(OR(D103="TRANSVERSAL",D103="RESERVA",COUNTIF('26_Mapa_universos'!$A$5:$A$33,D103)=1),0,1)</x:f>
        <x:v>0</x:v>
      </x:c>
      <x:c r="L103" s="12" t="n">
        <x:f>IF(COUNTIF('21_Fuentes_educativas'!$A$5:$A$188,H103)+COUNTIF('01_Fuentes'!$A$5:$A$40,H103)=1,0,1)</x:f>
        <x:v>0</x:v>
      </x:c>
    </x:row>
    <x:row r="104" ht="47" customHeight="1">
      <x:c r="A104" s="4" t="str">
        <x:v>TC-100</x:v>
      </x:c>
      <x:c r="B104" s="4" t="str">
        <x:v>CE-11</x:v>
      </x:c>
      <x:c r="C104" s="4" t="str">
        <x:v>COMPLEMENTO</x:v>
      </x:c>
      <x:c r="D104" s="4" t="str">
        <x:v>CYO-01</x:v>
      </x:c>
      <x:c r="E104" s="4" t="str">
        <x:v>Decisión bajo incertidumbre como materia obligatoria.</x:v>
      </x:c>
      <x:c r="F104" s="4" t="str">
        <x:v>No se inventan los resultados de aprendizaje de la asignatura.</x:v>
      </x:c>
      <x:c r="G104" s="4" t="str">
        <x:v>La diferencia sólo se admite en el alcance justificado; evitar falsa cobertura por un título.</x:v>
      </x:c>
      <x:c r="H104" s="4" t="str">
        <x:v>E008</x:v>
      </x:c>
      <x:c r="I104" s="4" t="str">
        <x:v>Manual §4.2, p. 5.</x:v>
      </x:c>
      <x:c r="J104" s="4" t="str">
        <x:v>IDENTIFICADO; GUÍA DETALLADA PENDIENTE</x:v>
      </x:c>
      <x:c r="K104" s="12" t="n">
        <x:f>IF(OR(D104="TRANSVERSAL",D104="RESERVA",COUNTIF('26_Mapa_universos'!$A$5:$A$33,D104)=1),0,1)</x:f>
        <x:v>0</x:v>
      </x:c>
      <x:c r="L104" s="12" t="n">
        <x:f>IF(COUNTIF('21_Fuentes_educativas'!$A$5:$A$188,H104)+COUNTIF('01_Fuentes'!$A$5:$A$40,H104)=1,0,1)</x:f>
        <x:v>0</x:v>
      </x:c>
    </x:row>
    <x:row r="105" ht="47" customHeight="1">
      <x:c r="A105" s="4" t="str">
        <x:v>TC-101</x:v>
      </x:c>
      <x:c r="B105" s="4" t="str">
        <x:v>CE-12</x:v>
      </x:c>
      <x:c r="C105" s="4" t="str">
        <x:v>COMPLEMENTO</x:v>
      </x:c>
      <x:c r="D105" s="4" t="str">
        <x:v>RESERVA</x:v>
      </x:c>
      <x:c r="E105" s="4" t="str">
        <x:v>Materia de seguridad definida por software; título identificado.</x:v>
      </x:c>
      <x:c r="F105" s="4" t="str">
        <x:v>El título de la asignatura no basta para adjudicar su temario ni equipararlo a SDN.</x:v>
      </x:c>
      <x:c r="G105" s="4" t="str">
        <x:v>La diferencia sólo se admite en el alcance justificado; evitar falsa cobertura por un título.</x:v>
      </x:c>
      <x:c r="H105" s="4" t="str">
        <x:v>E009</x:v>
      </x:c>
      <x:c r="I105" s="4" t="str">
        <x:v>Plan institucional y guía URJC de redes avanzadas.</x:v>
      </x:c>
      <x:c r="J105" s="4" t="str">
        <x:v>NO AÑADIR POR MERA COINCIDENCIA</x:v>
      </x:c>
      <x:c r="K105" s="12" t="n">
        <x:f>IF(OR(D105="TRANSVERSAL",D105="RESERVA",COUNTIF('26_Mapa_universos'!$A$5:$A$33,D105)=1),0,1)</x:f>
        <x:v>0</x:v>
      </x:c>
      <x:c r="L105" s="12" t="n">
        <x:f>IF(COUNTIF('21_Fuentes_educativas'!$A$5:$A$188,H105)+COUNTIF('01_Fuentes'!$A$5:$A$40,H105)=1,0,1)</x:f>
        <x:v>0</x:v>
      </x:c>
    </x:row>
    <x:row r="106" ht="47" customHeight="1">
      <x:c r="A106" s="4" t="str">
        <x:v>TC-102</x:v>
      </x:c>
      <x:c r="B106" s="4" t="str">
        <x:v>AN-01</x:v>
      </x:c>
      <x:c r="C106" s="4" t="str">
        <x:v>NECESIDAD HUMANA</x:v>
      </x:c>
      <x:c r="D106" s="4" t="str">
        <x:v>CYO-23</x:v>
      </x:c>
      <x:c r="E106" s="4" t="str">
        <x:v>Distinguir aprendizaje, inferencia, datos, características y arquitectura neuronal; comprender sus supuestos.</x:v>
      </x:c>
      <x:c r="F106" s="4" t="str">
        <x:v>Comparar una solución de IA con una alternativa simple mediante un problema, datos y criterio explícitos.</x:v>
      </x:c>
      <x:c r="G106" s="4" t="str">
        <x:v>Confundir una salida plausible con evidencia o elegir un modelo sin entender sus límites.</x:v>
      </x:c>
      <x:c r="H106" s="4" t="str">
        <x:v>M002</x:v>
      </x:c>
      <x:c r="I106" s="4" t="str">
        <x:v>18: fuentes y reserva específica</x:v>
      </x:c>
      <x:c r="J106" s="4" t="str">
        <x:v>BASE PRESENTE; PROFUNDIZACIÓN PROPUESTA</x:v>
      </x:c>
      <x:c r="K106" s="12" t="n">
        <x:f>IF(OR(D106="TRANSVERSAL",D106="RESERVA",COUNTIF('26_Mapa_universos'!$A$5:$A$33,D106)=1),0,1)</x:f>
        <x:v>0</x:v>
      </x:c>
      <x:c r="L106" s="12" t="n">
        <x:f>IF(COUNTIF('21_Fuentes_educativas'!$A$5:$A$188,H106)+COUNTIF('01_Fuentes'!$A$5:$A$40,H106)=1,0,1)</x:f>
        <x:v>0</x:v>
      </x:c>
    </x:row>
    <x:row r="107" ht="47" customHeight="1">
      <x:c r="A107" s="4" t="str">
        <x:v>TC-103</x:v>
      </x:c>
      <x:c r="B107" s="4" t="str">
        <x:v>AN-02</x:v>
      </x:c>
      <x:c r="C107" s="4" t="str">
        <x:v>NECESIDAD HUMANA</x:v>
      </x:c>
      <x:c r="D107" s="4" t="str">
        <x:v>CYO-15</x:v>
      </x:c>
      <x:c r="E107" s="4" t="str">
        <x:v>Inventario de usos autorizados/no declarados (Shadow AI), responsabilidades, datos, propiedad intelectual y políticas.</x:v>
      </x:c>
      <x:c r="F107" s="4" t="str">
        <x:v>Justificar quién permite qué uso, con qué datos, proveedor, versión y evidencia de cumplimiento.</x:v>
      </x:c>
      <x:c r="G107" s="4" t="str">
        <x:v>Tratar disponibilidad técnica como permiso; omitir un uso no inventariado y sus efectos.</x:v>
      </x:c>
      <x:c r="H107" s="4" t="str">
        <x:v>R037</x:v>
      </x:c>
      <x:c r="I107" s="4" t="str">
        <x:v>18: fuentes y reserva específica</x:v>
      </x:c>
      <x:c r="J107" s="4" t="str">
        <x:v>EXTENSIÓN ESPECÍFICA PROPUESTA</x:v>
      </x:c>
      <x:c r="K107" s="12" t="n">
        <x:f>IF(OR(D107="TRANSVERSAL",D107="RESERVA",COUNTIF('26_Mapa_universos'!$A$5:$A$33,D107)=1),0,1)</x:f>
        <x:v>0</x:v>
      </x:c>
      <x:c r="L107" s="12" t="n">
        <x:f>IF(COUNTIF('21_Fuentes_educativas'!$A$5:$A$188,H107)+COUNTIF('01_Fuentes'!$A$5:$A$40,H107)=1,0,1)</x:f>
        <x:v>0</x:v>
      </x:c>
    </x:row>
    <x:row r="108" ht="47" customHeight="1">
      <x:c r="A108" s="4" t="str">
        <x:v>TC-104</x:v>
      </x:c>
      <x:c r="B108" s="4" t="str">
        <x:v>AN-02</x:v>
      </x:c>
      <x:c r="C108" s="4" t="str">
        <x:v>NECESIDAD HUMANA</x:v>
      </x:c>
      <x:c r="D108" s="4" t="str">
        <x:v>CYO-29</x:v>
      </x:c>
      <x:c r="E108" s="4" t="str">
        <x:v>Inventario de usos autorizados/no declarados (Shadow AI), responsabilidades, datos, propiedad intelectual y políticas.</x:v>
      </x:c>
      <x:c r="F108" s="4" t="str">
        <x:v>Justificar quién permite qué uso, con qué datos, proveedor, versión y evidencia de cumplimiento.</x:v>
      </x:c>
      <x:c r="G108" s="4" t="str">
        <x:v>Tratar disponibilidad técnica como permiso; omitir un uso no inventariado y sus efectos.</x:v>
      </x:c>
      <x:c r="H108" s="4" t="str">
        <x:v>R037</x:v>
      </x:c>
      <x:c r="I108" s="4" t="str">
        <x:v>18: fuentes y reserva específica</x:v>
      </x:c>
      <x:c r="J108" s="4" t="str">
        <x:v>EXTENSIÓN ESPECÍFICA PROPUESTA</x:v>
      </x:c>
      <x:c r="K108" s="12" t="n">
        <x:f>IF(OR(D108="TRANSVERSAL",D108="RESERVA",COUNTIF('26_Mapa_universos'!$A$5:$A$33,D108)=1),0,1)</x:f>
        <x:v>0</x:v>
      </x:c>
      <x:c r="L108" s="12" t="n">
        <x:f>IF(COUNTIF('21_Fuentes_educativas'!$A$5:$A$188,H108)+COUNTIF('01_Fuentes'!$A$5:$A$40,H108)=1,0,1)</x:f>
        <x:v>0</x:v>
      </x:c>
    </x:row>
    <x:row r="109" ht="47" customHeight="1">
      <x:c r="A109" s="4" t="str">
        <x:v>TC-105</x:v>
      </x:c>
      <x:c r="B109" s="4" t="str">
        <x:v>AN-03</x:v>
      </x:c>
      <x:c r="C109" s="4" t="str">
        <x:v>NECESIDAD HUMANA</x:v>
      </x:c>
      <x:c r="D109" s="4" t="str">
        <x:v>CYO-04</x:v>
      </x:c>
      <x:c r="E109" s="4" t="str">
        <x:v>Separar amenazas al modelo, datos, aplicación y capacidades de un agente.</x:v>
      </x:c>
      <x:c r="F109" s="4" t="str">
        <x:v>Construir pruebas de límites y mitigaciones asociadas a amenazas identificadas.</x:v>
      </x:c>
      <x:c r="G109" s="4" t="str">
        <x:v>Confundir instrucciones del usuario con datos externos, o permitir acciones por una salida no validada.</x:v>
      </x:c>
      <x:c r="H109" s="4" t="str">
        <x:v>M003</x:v>
      </x:c>
      <x:c r="I109" s="4" t="str">
        <x:v>18: fuentes y reserva específica</x:v>
      </x:c>
      <x:c r="J109" s="4" t="str">
        <x:v>PROFUNDIZACIÓN Y ANEXO TÉCNICO</x:v>
      </x:c>
      <x:c r="K109" s="12" t="n">
        <x:f>IF(OR(D109="TRANSVERSAL",D109="RESERVA",COUNTIF('26_Mapa_universos'!$A$5:$A$33,D109)=1),0,1)</x:f>
        <x:v>0</x:v>
      </x:c>
      <x:c r="L109" s="12" t="n">
        <x:f>IF(COUNTIF('21_Fuentes_educativas'!$A$5:$A$188,H109)+COUNTIF('01_Fuentes'!$A$5:$A$40,H109)=1,0,1)</x:f>
        <x:v>0</x:v>
      </x:c>
    </x:row>
    <x:row r="110" ht="47" customHeight="1">
      <x:c r="A110" s="4" t="str">
        <x:v>TC-106</x:v>
      </x:c>
      <x:c r="B110" s="4" t="str">
        <x:v>AN-03</x:v>
      </x:c>
      <x:c r="C110" s="4" t="str">
        <x:v>NECESIDAD HUMANA</x:v>
      </x:c>
      <x:c r="D110" s="4" t="str">
        <x:v>CYO-05</x:v>
      </x:c>
      <x:c r="E110" s="4" t="str">
        <x:v>Separar amenazas al modelo, datos, aplicación y capacidades de un agente.</x:v>
      </x:c>
      <x:c r="F110" s="4" t="str">
        <x:v>Construir pruebas de límites y mitigaciones asociadas a amenazas identificadas.</x:v>
      </x:c>
      <x:c r="G110" s="4" t="str">
        <x:v>Confundir instrucciones del usuario con datos externos, o permitir acciones por una salida no validada.</x:v>
      </x:c>
      <x:c r="H110" s="4" t="str">
        <x:v>M003</x:v>
      </x:c>
      <x:c r="I110" s="4" t="str">
        <x:v>18: fuentes y reserva específica</x:v>
      </x:c>
      <x:c r="J110" s="4" t="str">
        <x:v>PROFUNDIZACIÓN Y ANEXO TÉCNICO</x:v>
      </x:c>
      <x:c r="K110" s="12" t="n">
        <x:f>IF(OR(D110="TRANSVERSAL",D110="RESERVA",COUNTIF('26_Mapa_universos'!$A$5:$A$33,D110)=1),0,1)</x:f>
        <x:v>0</x:v>
      </x:c>
      <x:c r="L110" s="12" t="n">
        <x:f>IF(COUNTIF('21_Fuentes_educativas'!$A$5:$A$188,H110)+COUNTIF('01_Fuentes'!$A$5:$A$40,H110)=1,0,1)</x:f>
        <x:v>0</x:v>
      </x:c>
    </x:row>
    <x:row r="111" ht="47" customHeight="1">
      <x:c r="A111" s="4" t="str">
        <x:v>TC-107</x:v>
      </x:c>
      <x:c r="B111" s="4" t="str">
        <x:v>AN-03</x:v>
      </x:c>
      <x:c r="C111" s="4" t="str">
        <x:v>NECESIDAD HUMANA</x:v>
      </x:c>
      <x:c r="D111" s="4" t="str">
        <x:v>CYO-23</x:v>
      </x:c>
      <x:c r="E111" s="4" t="str">
        <x:v>Separar amenazas al modelo, datos, aplicación y capacidades de un agente.</x:v>
      </x:c>
      <x:c r="F111" s="4" t="str">
        <x:v>Construir pruebas de límites y mitigaciones asociadas a amenazas identificadas.</x:v>
      </x:c>
      <x:c r="G111" s="4" t="str">
        <x:v>Confundir instrucciones del usuario con datos externos, o permitir acciones por una salida no validada.</x:v>
      </x:c>
      <x:c r="H111" s="4" t="str">
        <x:v>M003</x:v>
      </x:c>
      <x:c r="I111" s="4" t="str">
        <x:v>18: fuentes y reserva específica</x:v>
      </x:c>
      <x:c r="J111" s="4" t="str">
        <x:v>PROFUNDIZACIÓN Y ANEXO TÉCNICO</x:v>
      </x:c>
      <x:c r="K111" s="12" t="n">
        <x:f>IF(OR(D111="TRANSVERSAL",D111="RESERVA",COUNTIF('26_Mapa_universos'!$A$5:$A$33,D111)=1),0,1)</x:f>
        <x:v>0</x:v>
      </x:c>
      <x:c r="L111" s="12" t="n">
        <x:f>IF(COUNTIF('21_Fuentes_educativas'!$A$5:$A$188,H111)+COUNTIF('01_Fuentes'!$A$5:$A$40,H111)=1,0,1)</x:f>
        <x:v>0</x:v>
      </x:c>
    </x:row>
    <x:row r="112" ht="47" customHeight="1">
      <x:c r="A112" s="4" t="str">
        <x:v>TC-108</x:v>
      </x:c>
      <x:c r="B112" s="4" t="str">
        <x:v>AN-04</x:v>
      </x:c>
      <x:c r="C112" s="4" t="str">
        <x:v>NECESIDAD HUMANA</x:v>
      </x:c>
      <x:c r="D112" s="4" t="str">
        <x:v>CYO-07</x:v>
      </x:c>
      <x:c r="E112" s="4" t="str">
        <x:v>Inteligencia de amenazas, detección, priorización y respuesta asistidas por modelos.</x:v>
      </x:c>
      <x:c r="F112" s="4" t="str">
        <x:v>Medir errores y costes, contrastar con una base sin IA y mantener intervención/autoridad humana delimitadas.</x:v>
      </x:c>
      <x:c r="G112" s="4" t="str">
        <x:v>Una alerta descartada sin evidencia puede dejar una amenaza sin investigar; una contención injustificada puede interrumpir un servicio.</x:v>
      </x:c>
      <x:c r="H112" s="4" t="str">
        <x:v>R033</x:v>
      </x:c>
      <x:c r="I112" s="4" t="str">
        <x:v>18: fuentes y reserva específica</x:v>
      </x:c>
      <x:c r="J112" s="4" t="str">
        <x:v>APLICACIÓN CANDIDATA; SIN AUTOMATISMO</x:v>
      </x:c>
      <x:c r="K112" s="12" t="n">
        <x:f>IF(OR(D112="TRANSVERSAL",D112="RESERVA",COUNTIF('26_Mapa_universos'!$A$5:$A$33,D112)=1),0,1)</x:f>
        <x:v>0</x:v>
      </x:c>
      <x:c r="L112" s="12" t="n">
        <x:f>IF(COUNTIF('21_Fuentes_educativas'!$A$5:$A$188,H112)+COUNTIF('01_Fuentes'!$A$5:$A$40,H112)=1,0,1)</x:f>
        <x:v>0</x:v>
      </x:c>
    </x:row>
    <x:row r="113" ht="47" customHeight="1">
      <x:c r="A113" s="4" t="str">
        <x:v>TC-109</x:v>
      </x:c>
      <x:c r="B113" s="4" t="str">
        <x:v>AN-04</x:v>
      </x:c>
      <x:c r="C113" s="4" t="str">
        <x:v>NECESIDAD HUMANA</x:v>
      </x:c>
      <x:c r="D113" s="4" t="str">
        <x:v>CYO-08</x:v>
      </x:c>
      <x:c r="E113" s="4" t="str">
        <x:v>Inteligencia de amenazas, detección, priorización y respuesta asistidas por modelos.</x:v>
      </x:c>
      <x:c r="F113" s="4" t="str">
        <x:v>Medir errores y costes, contrastar con una base sin IA y mantener intervención/autoridad humana delimitadas.</x:v>
      </x:c>
      <x:c r="G113" s="4" t="str">
        <x:v>Una alerta descartada sin evidencia puede dejar una amenaza sin investigar; una contención injustificada puede interrumpir un servicio.</x:v>
      </x:c>
      <x:c r="H113" s="4" t="str">
        <x:v>R033</x:v>
      </x:c>
      <x:c r="I113" s="4" t="str">
        <x:v>18: fuentes y reserva específica</x:v>
      </x:c>
      <x:c r="J113" s="4" t="str">
        <x:v>APLICACIÓN CANDIDATA; SIN AUTOMATISMO</x:v>
      </x:c>
      <x:c r="K113" s="12" t="n">
        <x:f>IF(OR(D113="TRANSVERSAL",D113="RESERVA",COUNTIF('26_Mapa_universos'!$A$5:$A$33,D113)=1),0,1)</x:f>
        <x:v>0</x:v>
      </x:c>
      <x:c r="L113" s="12" t="n">
        <x:f>IF(COUNTIF('21_Fuentes_educativas'!$A$5:$A$188,H113)+COUNTIF('01_Fuentes'!$A$5:$A$40,H113)=1,0,1)</x:f>
        <x:v>0</x:v>
      </x:c>
    </x:row>
    <x:row r="114" ht="47" customHeight="1">
      <x:c r="A114" s="4" t="str">
        <x:v>TC-110</x:v>
      </x:c>
      <x:c r="B114" s="4" t="str">
        <x:v>AN-04</x:v>
      </x:c>
      <x:c r="C114" s="4" t="str">
        <x:v>NECESIDAD HUMANA</x:v>
      </x:c>
      <x:c r="D114" s="4" t="str">
        <x:v>CYO-09</x:v>
      </x:c>
      <x:c r="E114" s="4" t="str">
        <x:v>Inteligencia de amenazas, detección, priorización y respuesta asistidas por modelos.</x:v>
      </x:c>
      <x:c r="F114" s="4" t="str">
        <x:v>Medir errores y costes, contrastar con una base sin IA y mantener intervención/autoridad humana delimitadas.</x:v>
      </x:c>
      <x:c r="G114" s="4" t="str">
        <x:v>Una alerta descartada sin evidencia puede dejar una amenaza sin investigar; una contención injustificada puede interrumpir un servicio.</x:v>
      </x:c>
      <x:c r="H114" s="4" t="str">
        <x:v>R033</x:v>
      </x:c>
      <x:c r="I114" s="4" t="str">
        <x:v>18: fuentes y reserva específica</x:v>
      </x:c>
      <x:c r="J114" s="4" t="str">
        <x:v>APLICACIÓN CANDIDATA; SIN AUTOMATISMO</x:v>
      </x:c>
      <x:c r="K114" s="12" t="n">
        <x:f>IF(OR(D114="TRANSVERSAL",D114="RESERVA",COUNTIF('26_Mapa_universos'!$A$5:$A$33,D114)=1),0,1)</x:f>
        <x:v>0</x:v>
      </x:c>
      <x:c r="L114" s="12" t="n">
        <x:f>IF(COUNTIF('21_Fuentes_educativas'!$A$5:$A$188,H114)+COUNTIF('01_Fuentes'!$A$5:$A$40,H114)=1,0,1)</x:f>
        <x:v>0</x:v>
      </x:c>
    </x:row>
    <x:row r="115" ht="47" customHeight="1">
      <x:c r="A115" s="4" t="str">
        <x:v>TC-111</x:v>
      </x:c>
      <x:c r="B115" s="4" t="str">
        <x:v>AN-04</x:v>
      </x:c>
      <x:c r="C115" s="4" t="str">
        <x:v>NECESIDAD HUMANA</x:v>
      </x:c>
      <x:c r="D115" s="4" t="str">
        <x:v>CYO-23</x:v>
      </x:c>
      <x:c r="E115" s="4" t="str">
        <x:v>Inteligencia de amenazas, detección, priorización y respuesta asistidas por modelos.</x:v>
      </x:c>
      <x:c r="F115" s="4" t="str">
        <x:v>Medir errores y costes, contrastar con una base sin IA y mantener intervención/autoridad humana delimitadas.</x:v>
      </x:c>
      <x:c r="G115" s="4" t="str">
        <x:v>Una alerta descartada sin evidencia puede dejar una amenaza sin investigar; una contención injustificada puede interrumpir un servicio.</x:v>
      </x:c>
      <x:c r="H115" s="4" t="str">
        <x:v>R033</x:v>
      </x:c>
      <x:c r="I115" s="4" t="str">
        <x:v>18: fuentes y reserva específica</x:v>
      </x:c>
      <x:c r="J115" s="4" t="str">
        <x:v>APLICACIÓN CANDIDATA; SIN AUTOMATISMO</x:v>
      </x:c>
      <x:c r="K115" s="12" t="n">
        <x:f>IF(OR(D115="TRANSVERSAL",D115="RESERVA",COUNTIF('26_Mapa_universos'!$A$5:$A$33,D115)=1),0,1)</x:f>
        <x:v>0</x:v>
      </x:c>
      <x:c r="L115" s="12" t="n">
        <x:f>IF(COUNTIF('21_Fuentes_educativas'!$A$5:$A$188,H115)+COUNTIF('01_Fuentes'!$A$5:$A$40,H115)=1,0,1)</x:f>
        <x:v>0</x:v>
      </x:c>
    </x:row>
    <x:row r="116" ht="47" customHeight="1">
      <x:c r="A116" s="4" t="str">
        <x:v>TC-112</x:v>
      </x:c>
      <x:c r="B116" s="4" t="str">
        <x:v>AN-04</x:v>
      </x:c>
      <x:c r="C116" s="4" t="str">
        <x:v>NECESIDAD HUMANA</x:v>
      </x:c>
      <x:c r="D116" s="4" t="str">
        <x:v>CYO-27</x:v>
      </x:c>
      <x:c r="E116" s="4" t="str">
        <x:v>Inteligencia de amenazas, detección, priorización y respuesta asistidas por modelos.</x:v>
      </x:c>
      <x:c r="F116" s="4" t="str">
        <x:v>Medir errores y costes, contrastar con una base sin IA y mantener intervención/autoridad humana delimitadas.</x:v>
      </x:c>
      <x:c r="G116" s="4" t="str">
        <x:v>Una alerta descartada sin evidencia puede dejar una amenaza sin investigar; una contención injustificada puede interrumpir un servicio.</x:v>
      </x:c>
      <x:c r="H116" s="4" t="str">
        <x:v>R033</x:v>
      </x:c>
      <x:c r="I116" s="4" t="str">
        <x:v>18: fuentes y reserva específica</x:v>
      </x:c>
      <x:c r="J116" s="4" t="str">
        <x:v>APLICACIÓN CANDIDATA; SIN AUTOMATISMO</x:v>
      </x:c>
      <x:c r="K116" s="12" t="n">
        <x:f>IF(OR(D116="TRANSVERSAL",D116="RESERVA",COUNTIF('26_Mapa_universos'!$A$5:$A$33,D116)=1),0,1)</x:f>
        <x:v>0</x:v>
      </x:c>
      <x:c r="L116" s="12" t="n">
        <x:f>IF(COUNTIF('21_Fuentes_educativas'!$A$5:$A$188,H116)+COUNTIF('01_Fuentes'!$A$5:$A$40,H116)=1,0,1)</x:f>
        <x:v>0</x:v>
      </x:c>
    </x:row>
    <x:row r="117" ht="47" customHeight="1">
      <x:c r="A117" s="4" t="str">
        <x:v>TC-113</x:v>
      </x:c>
      <x:c r="B117" s="4" t="str">
        <x:v>AN-04</x:v>
      </x:c>
      <x:c r="C117" s="4" t="str">
        <x:v>NECESIDAD HUMANA</x:v>
      </x:c>
      <x:c r="D117" s="4" t="str">
        <x:v>CYO-28</x:v>
      </x:c>
      <x:c r="E117" s="4" t="str">
        <x:v>Inteligencia de amenazas, detección, priorización y respuesta asistidas por modelos.</x:v>
      </x:c>
      <x:c r="F117" s="4" t="str">
        <x:v>Medir errores y costes, contrastar con una base sin IA y mantener intervención/autoridad humana delimitadas.</x:v>
      </x:c>
      <x:c r="G117" s="4" t="str">
        <x:v>Una alerta descartada sin evidencia puede dejar una amenaza sin investigar; una contención injustificada puede interrumpir un servicio.</x:v>
      </x:c>
      <x:c r="H117" s="4" t="str">
        <x:v>R033</x:v>
      </x:c>
      <x:c r="I117" s="4" t="str">
        <x:v>18: fuentes y reserva específica</x:v>
      </x:c>
      <x:c r="J117" s="4" t="str">
        <x:v>APLICACIÓN CANDIDATA; SIN AUTOMATISMO</x:v>
      </x:c>
      <x:c r="K117" s="12" t="n">
        <x:f>IF(OR(D117="TRANSVERSAL",D117="RESERVA",COUNTIF('26_Mapa_universos'!$A$5:$A$33,D117)=1),0,1)</x:f>
        <x:v>0</x:v>
      </x:c>
      <x:c r="L117" s="12" t="n">
        <x:f>IF(COUNTIF('21_Fuentes_educativas'!$A$5:$A$188,H117)+COUNTIF('01_Fuentes'!$A$5:$A$40,H117)=1,0,1)</x:f>
        <x:v>0</x:v>
      </x:c>
    </x:row>
    <x:row r="118" ht="60" customHeight="1">
      <x:c r="A118" s="4" t="str">
        <x:v>TC-114</x:v>
      </x:c>
      <x:c r="B118" s="4" t="str">
        <x:v>AN-05</x:v>
      </x:c>
      <x:c r="C118" s="4" t="str">
        <x:v>NECESIDAD HUMANA</x:v>
      </x:c>
      <x:c r="D118" s="4" t="str">
        <x:v>CYO-01</x:v>
      </x:c>
      <x:c r="E118" s="4" t="str">
        <x:v>Diferenciar gestión de riesgo, evaluación de impactos y pruebas de robustez; valorar recursos y consecuencias.</x:v>
      </x:c>
      <x:c r="F118" s="4" t="str">
        <x:v>Documentar coste total de protección y valor protegido en alcance y horizonte humanos; no aprobar protección que exceda ese valor conforme al mandato.</x:v>
      </x:c>
      <x:c r="G118" s="4" t="str">
        <x:v>Una medida puede consumir más recursos que el valor protegido o trasladar impactos a otros afectados.</x:v>
      </x:c>
      <x:c r="H118" s="4" t="str">
        <x:v>R035</x:v>
      </x:c>
      <x:c r="I118" s="4" t="str">
        <x:v>18: fuentes y reserva específica</x:v>
      </x:c>
      <x:c r="J118" s="4" t="str">
        <x:v>BASE PRESENTE; MÉTODOS ESPECÍFICOS</x:v>
      </x:c>
      <x:c r="K118" s="12" t="n">
        <x:f>IF(OR(D118="TRANSVERSAL",D118="RESERVA",COUNTIF('26_Mapa_universos'!$A$5:$A$33,D118)=1),0,1)</x:f>
        <x:v>0</x:v>
      </x:c>
      <x:c r="L118" s="12" t="n">
        <x:f>IF(COUNTIF('21_Fuentes_educativas'!$A$5:$A$188,H118)+COUNTIF('01_Fuentes'!$A$5:$A$40,H118)=1,0,1)</x:f>
        <x:v>0</x:v>
      </x:c>
    </x:row>
    <x:row r="119" ht="60" customHeight="1">
      <x:c r="A119" s="4" t="str">
        <x:v>TC-115</x:v>
      </x:c>
      <x:c r="B119" s="4" t="str">
        <x:v>AN-05</x:v>
      </x:c>
      <x:c r="C119" s="4" t="str">
        <x:v>NECESIDAD HUMANA</x:v>
      </x:c>
      <x:c r="D119" s="4" t="str">
        <x:v>CYO-16</x:v>
      </x:c>
      <x:c r="E119" s="4" t="str">
        <x:v>Diferenciar gestión de riesgo, evaluación de impactos y pruebas de robustez; valorar recursos y consecuencias.</x:v>
      </x:c>
      <x:c r="F119" s="4" t="str">
        <x:v>Documentar coste total de protección y valor protegido en alcance y horizonte humanos; no aprobar protección que exceda ese valor conforme al mandato.</x:v>
      </x:c>
      <x:c r="G119" s="4" t="str">
        <x:v>Una medida puede consumir más recursos que el valor protegido o trasladar impactos a otros afectados.</x:v>
      </x:c>
      <x:c r="H119" s="4" t="str">
        <x:v>R035</x:v>
      </x:c>
      <x:c r="I119" s="4" t="str">
        <x:v>18: fuentes y reserva específica</x:v>
      </x:c>
      <x:c r="J119" s="4" t="str">
        <x:v>BASE PRESENTE; MÉTODOS ESPECÍFICOS</x:v>
      </x:c>
      <x:c r="K119" s="12" t="n">
        <x:f>IF(OR(D119="TRANSVERSAL",D119="RESERVA",COUNTIF('26_Mapa_universos'!$A$5:$A$33,D119)=1),0,1)</x:f>
        <x:v>0</x:v>
      </x:c>
      <x:c r="L119" s="12" t="n">
        <x:f>IF(COUNTIF('21_Fuentes_educativas'!$A$5:$A$188,H119)+COUNTIF('01_Fuentes'!$A$5:$A$40,H119)=1,0,1)</x:f>
        <x:v>0</x:v>
      </x:c>
    </x:row>
    <x:row r="120" ht="60" customHeight="1">
      <x:c r="A120" s="4" t="str">
        <x:v>TC-116</x:v>
      </x:c>
      <x:c r="B120" s="4" t="str">
        <x:v>AN-05</x:v>
      </x:c>
      <x:c r="C120" s="4" t="str">
        <x:v>NECESIDAD HUMANA</x:v>
      </x:c>
      <x:c r="D120" s="4" t="str">
        <x:v>CYO-23</x:v>
      </x:c>
      <x:c r="E120" s="4" t="str">
        <x:v>Diferenciar gestión de riesgo, evaluación de impactos y pruebas de robustez; valorar recursos y consecuencias.</x:v>
      </x:c>
      <x:c r="F120" s="4" t="str">
        <x:v>Documentar coste total de protección y valor protegido en alcance y horizonte humanos; no aprobar protección que exceda ese valor conforme al mandato.</x:v>
      </x:c>
      <x:c r="G120" s="4" t="str">
        <x:v>Una medida puede consumir más recursos que el valor protegido o trasladar impactos a otros afectados.</x:v>
      </x:c>
      <x:c r="H120" s="4" t="str">
        <x:v>R035</x:v>
      </x:c>
      <x:c r="I120" s="4" t="str">
        <x:v>18: fuentes y reserva específica</x:v>
      </x:c>
      <x:c r="J120" s="4" t="str">
        <x:v>BASE PRESENTE; MÉTODOS ESPECÍFICOS</x:v>
      </x:c>
      <x:c r="K120" s="12" t="n">
        <x:f>IF(OR(D120="TRANSVERSAL",D120="RESERVA",COUNTIF('26_Mapa_universos'!$A$5:$A$33,D120)=1),0,1)</x:f>
        <x:v>0</x:v>
      </x:c>
      <x:c r="L120" s="12" t="n">
        <x:f>IF(COUNTIF('21_Fuentes_educativas'!$A$5:$A$188,H120)+COUNTIF('01_Fuentes'!$A$5:$A$40,H120)=1,0,1)</x:f>
        <x:v>0</x:v>
      </x:c>
    </x:row>
    <x:row r="121" ht="47" customHeight="1">
      <x:c r="A121" s="4" t="str">
        <x:v>TC-117</x:v>
      </x:c>
      <x:c r="B121" s="4" t="str">
        <x:v>AN-06</x:v>
      </x:c>
      <x:c r="C121" s="4" t="str">
        <x:v>NECESIDAD HUMANA</x:v>
      </x:c>
      <x:c r="D121" s="4" t="str">
        <x:v>CYO-02</x:v>
      </x:c>
      <x:c r="E121" s="4" t="str">
        <x:v>Separar arquitectura de red, programación del plano de datos e instrumentación del núcleo.</x:v>
      </x:c>
      <x:c r="F121" s="4" t="str">
        <x:v>Justificar puntos de observación, privilegios, cobertura, carga y compatibilidad de la telemetría.</x:v>
      </x:c>
      <x:c r="G121" s="4" t="str">
        <x:v>Un punto ciego puede ocultar actividad; instrumentación mal dimensionada puede afectar al servicio.</x:v>
      </x:c>
      <x:c r="H121" s="4" t="str">
        <x:v>R029</x:v>
      </x:c>
      <x:c r="I121" s="4" t="str">
        <x:v>18: fuentes y reserva específica</x:v>
      </x:c>
      <x:c r="J121" s="4" t="str">
        <x:v>SDN PRESENTE; eBPF/P4 COMO CANDIDATOS</x:v>
      </x:c>
      <x:c r="K121" s="12" t="n">
        <x:f>IF(OR(D121="TRANSVERSAL",D121="RESERVA",COUNTIF('26_Mapa_universos'!$A$5:$A$33,D121)=1),0,1)</x:f>
        <x:v>0</x:v>
      </x:c>
      <x:c r="L121" s="12" t="n">
        <x:f>IF(COUNTIF('21_Fuentes_educativas'!$A$5:$A$188,H121)+COUNTIF('01_Fuentes'!$A$5:$A$40,H121)=1,0,1)</x:f>
        <x:v>0</x:v>
      </x:c>
    </x:row>
    <x:row r="122" ht="47" customHeight="1">
      <x:c r="A122" s="4" t="str">
        <x:v>TC-118</x:v>
      </x:c>
      <x:c r="B122" s="4" t="str">
        <x:v>AN-06</x:v>
      </x:c>
      <x:c r="C122" s="4" t="str">
        <x:v>NECESIDAD HUMANA</x:v>
      </x:c>
      <x:c r="D122" s="4" t="str">
        <x:v>CYO-12</x:v>
      </x:c>
      <x:c r="E122" s="4" t="str">
        <x:v>Separar arquitectura de red, programación del plano de datos e instrumentación del núcleo.</x:v>
      </x:c>
      <x:c r="F122" s="4" t="str">
        <x:v>Justificar puntos de observación, privilegios, cobertura, carga y compatibilidad de la telemetría.</x:v>
      </x:c>
      <x:c r="G122" s="4" t="str">
        <x:v>Un punto ciego puede ocultar actividad; instrumentación mal dimensionada puede afectar al servicio.</x:v>
      </x:c>
      <x:c r="H122" s="4" t="str">
        <x:v>R029</x:v>
      </x:c>
      <x:c r="I122" s="4" t="str">
        <x:v>18: fuentes y reserva específica</x:v>
      </x:c>
      <x:c r="J122" s="4" t="str">
        <x:v>SDN PRESENTE; eBPF/P4 COMO CANDIDATOS</x:v>
      </x:c>
      <x:c r="K122" s="12" t="n">
        <x:f>IF(OR(D122="TRANSVERSAL",D122="RESERVA",COUNTIF('26_Mapa_universos'!$A$5:$A$33,D122)=1),0,1)</x:f>
        <x:v>0</x:v>
      </x:c>
      <x:c r="L122" s="12" t="n">
        <x:f>IF(COUNTIF('21_Fuentes_educativas'!$A$5:$A$188,H122)+COUNTIF('01_Fuentes'!$A$5:$A$40,H122)=1,0,1)</x:f>
        <x:v>0</x:v>
      </x:c>
    </x:row>
    <x:row r="123" ht="47" customHeight="1">
      <x:c r="A123" s="4" t="str">
        <x:v>TC-119</x:v>
      </x:c>
      <x:c r="B123" s="4" t="str">
        <x:v>AN-06</x:v>
      </x:c>
      <x:c r="C123" s="4" t="str">
        <x:v>NECESIDAD HUMANA</x:v>
      </x:c>
      <x:c r="D123" s="4" t="str">
        <x:v>CYO-27</x:v>
      </x:c>
      <x:c r="E123" s="4" t="str">
        <x:v>Separar arquitectura de red, programación del plano de datos e instrumentación del núcleo.</x:v>
      </x:c>
      <x:c r="F123" s="4" t="str">
        <x:v>Justificar puntos de observación, privilegios, cobertura, carga y compatibilidad de la telemetría.</x:v>
      </x:c>
      <x:c r="G123" s="4" t="str">
        <x:v>Un punto ciego puede ocultar actividad; instrumentación mal dimensionada puede afectar al servicio.</x:v>
      </x:c>
      <x:c r="H123" s="4" t="str">
        <x:v>R029</x:v>
      </x:c>
      <x:c r="I123" s="4" t="str">
        <x:v>18: fuentes y reserva específica</x:v>
      </x:c>
      <x:c r="J123" s="4" t="str">
        <x:v>SDN PRESENTE; eBPF/P4 COMO CANDIDATOS</x:v>
      </x:c>
      <x:c r="K123" s="12" t="n">
        <x:f>IF(OR(D123="TRANSVERSAL",D123="RESERVA",COUNTIF('26_Mapa_universos'!$A$5:$A$33,D123)=1),0,1)</x:f>
        <x:v>0</x:v>
      </x:c>
      <x:c r="L123" s="12" t="n">
        <x:f>IF(COUNTIF('21_Fuentes_educativas'!$A$5:$A$188,H123)+COUNTIF('01_Fuentes'!$A$5:$A$40,H123)=1,0,1)</x:f>
        <x:v>0</x:v>
      </x:c>
    </x:row>
    <x:row r="124" ht="47" customHeight="1">
      <x:c r="A124" s="4" t="str">
        <x:v>TC-120</x:v>
      </x:c>
      <x:c r="B124" s="4" t="str">
        <x:v>AN-07</x:v>
      </x:c>
      <x:c r="C124" s="4" t="str">
        <x:v>NECESIDAD HUMANA</x:v>
      </x:c>
      <x:c r="D124" s="4" t="str">
        <x:v>CYO-13</x:v>
      </x:c>
      <x:c r="E124" s="4" t="str">
        <x:v>Modelos de amenaza a datos y modelos; aprendizaje federado, privacidad diferencial y entornos de ejecución confiables.</x:v>
      </x:c>
      <x:c r="F124" s="4" t="str">
        <x:v>Comparar garantías, supuestos y riesgos residuales de cada técnica ante exfiltración o reconstrucción.</x:v>
      </x:c>
      <x:c r="G124" s="4" t="str">
        <x:v>Mantener datos locales o usar un TEE no acredita por sí solo ausencia de revelación de información.</x:v>
      </x:c>
      <x:c r="H124" s="4" t="str">
        <x:v>A107</x:v>
      </x:c>
      <x:c r="I124" s="4" t="str">
        <x:v>18: fuentes y reserva específica</x:v>
      </x:c>
      <x:c r="J124" s="4" t="str">
        <x:v>EXTENSIÓN TÉCNICA IDENTIFICADA</x:v>
      </x:c>
      <x:c r="K124" s="12" t="n">
        <x:f>IF(OR(D124="TRANSVERSAL",D124="RESERVA",COUNTIF('26_Mapa_universos'!$A$5:$A$33,D124)=1),0,1)</x:f>
        <x:v>0</x:v>
      </x:c>
      <x:c r="L124" s="12" t="n">
        <x:f>IF(COUNTIF('21_Fuentes_educativas'!$A$5:$A$188,H124)+COUNTIF('01_Fuentes'!$A$5:$A$40,H124)=1,0,1)</x:f>
        <x:v>0</x:v>
      </x:c>
    </x:row>
    <x:row r="125" ht="47" customHeight="1">
      <x:c r="A125" s="4" t="str">
        <x:v>TC-121</x:v>
      </x:c>
      <x:c r="B125" s="4" t="str">
        <x:v>AN-07</x:v>
      </x:c>
      <x:c r="C125" s="4" t="str">
        <x:v>NECESIDAD HUMANA</x:v>
      </x:c>
      <x:c r="D125" s="4" t="str">
        <x:v>CYO-17</x:v>
      </x:c>
      <x:c r="E125" s="4" t="str">
        <x:v>Modelos de amenaza a datos y modelos; aprendizaje federado, privacidad diferencial y entornos de ejecución confiables.</x:v>
      </x:c>
      <x:c r="F125" s="4" t="str">
        <x:v>Comparar garantías, supuestos y riesgos residuales de cada técnica ante exfiltración o reconstrucción.</x:v>
      </x:c>
      <x:c r="G125" s="4" t="str">
        <x:v>Mantener datos locales o usar un TEE no acredita por sí solo ausencia de revelación de información.</x:v>
      </x:c>
      <x:c r="H125" s="4" t="str">
        <x:v>A107</x:v>
      </x:c>
      <x:c r="I125" s="4" t="str">
        <x:v>18: fuentes y reserva específica</x:v>
      </x:c>
      <x:c r="J125" s="4" t="str">
        <x:v>EXTENSIÓN TÉCNICA IDENTIFICADA</x:v>
      </x:c>
      <x:c r="K125" s="12" t="n">
        <x:f>IF(OR(D125="TRANSVERSAL",D125="RESERVA",COUNTIF('26_Mapa_universos'!$A$5:$A$33,D125)=1),0,1)</x:f>
        <x:v>0</x:v>
      </x:c>
      <x:c r="L125" s="12" t="n">
        <x:f>IF(COUNTIF('21_Fuentes_educativas'!$A$5:$A$188,H125)+COUNTIF('01_Fuentes'!$A$5:$A$40,H125)=1,0,1)</x:f>
        <x:v>0</x:v>
      </x:c>
    </x:row>
    <x:row r="126" ht="47" customHeight="1">
      <x:c r="A126" s="4" t="str">
        <x:v>TC-122</x:v>
      </x:c>
      <x:c r="B126" s="4" t="str">
        <x:v>AN-07</x:v>
      </x:c>
      <x:c r="C126" s="4" t="str">
        <x:v>NECESIDAD HUMANA</x:v>
      </x:c>
      <x:c r="D126" s="4" t="str">
        <x:v>CYO-23</x:v>
      </x:c>
      <x:c r="E126" s="4" t="str">
        <x:v>Modelos de amenaza a datos y modelos; aprendizaje federado, privacidad diferencial y entornos de ejecución confiables.</x:v>
      </x:c>
      <x:c r="F126" s="4" t="str">
        <x:v>Comparar garantías, supuestos y riesgos residuales de cada técnica ante exfiltración o reconstrucción.</x:v>
      </x:c>
      <x:c r="G126" s="4" t="str">
        <x:v>Mantener datos locales o usar un TEE no acredita por sí solo ausencia de revelación de información.</x:v>
      </x:c>
      <x:c r="H126" s="4" t="str">
        <x:v>A107</x:v>
      </x:c>
      <x:c r="I126" s="4" t="str">
        <x:v>18: fuentes y reserva específica</x:v>
      </x:c>
      <x:c r="J126" s="4" t="str">
        <x:v>EXTENSIÓN TÉCNICA IDENTIFICADA</x:v>
      </x:c>
      <x:c r="K126" s="12" t="n">
        <x:f>IF(OR(D126="TRANSVERSAL",D126="RESERVA",COUNTIF('26_Mapa_universos'!$A$5:$A$33,D126)=1),0,1)</x:f>
        <x:v>0</x:v>
      </x:c>
      <x:c r="L126" s="12" t="n">
        <x:f>IF(COUNTIF('21_Fuentes_educativas'!$A$5:$A$188,H126)+COUNTIF('01_Fuentes'!$A$5:$A$40,H126)=1,0,1)</x:f>
        <x:v>0</x:v>
      </x:c>
    </x:row>
    <x:row r="127" ht="47" customHeight="1">
      <x:c r="A127" s="4" t="str">
        <x:v>TC-123</x:v>
      </x:c>
      <x:c r="B127" s="4" t="str">
        <x:v>AN-08</x:v>
      </x:c>
      <x:c r="C127" s="4" t="str">
        <x:v>NECESIDAD HUMANA</x:v>
      </x:c>
      <x:c r="D127" s="4" t="str">
        <x:v>CYO-15</x:v>
      </x:c>
      <x:c r="E127" s="4" t="str">
        <x:v>Sesgo, explicabilidad, robustez, responsabilidad y revisión de conocimiento ante cambios.</x:v>
      </x:c>
      <x:c r="F127" s="4" t="str">
        <x:v>Presentar evidencia, afectados, alternativas, incertidumbre y consecuencias antes de aconsejar; someter actualizaciones a adopción humana.</x:v>
      </x:c>
      <x:c r="G127" s="4" t="str">
        <x:v>Una explicación convincente puede ocultar error o sustituir indebidamente el juicio humano.</x:v>
      </x:c>
      <x:c r="H127" s="4" t="str">
        <x:v>M003</x:v>
      </x:c>
      <x:c r="I127" s="4" t="str">
        <x:v>18: fuentes y reserva específica</x:v>
      </x:c>
      <x:c r="J127" s="4" t="str">
        <x:v>TRANSVERSAL; PROFUNDIZACIÓN PROPUESTA</x:v>
      </x:c>
      <x:c r="K127" s="12" t="n">
        <x:f>IF(OR(D127="TRANSVERSAL",D127="RESERVA",COUNTIF('26_Mapa_universos'!$A$5:$A$33,D127)=1),0,1)</x:f>
        <x:v>0</x:v>
      </x:c>
      <x:c r="L127" s="12" t="n">
        <x:f>IF(COUNTIF('21_Fuentes_educativas'!$A$5:$A$188,H127)+COUNTIF('01_Fuentes'!$A$5:$A$40,H127)=1,0,1)</x:f>
        <x:v>0</x:v>
      </x:c>
    </x:row>
    <x:row r="128" ht="47" customHeight="1">
      <x:c r="A128" s="4" t="str">
        <x:v>TC-124</x:v>
      </x:c>
      <x:c r="B128" s="4" t="str">
        <x:v>AN-08</x:v>
      </x:c>
      <x:c r="C128" s="4" t="str">
        <x:v>NECESIDAD HUMANA</x:v>
      </x:c>
      <x:c r="D128" s="4" t="str">
        <x:v>CYO-18</x:v>
      </x:c>
      <x:c r="E128" s="4" t="str">
        <x:v>Sesgo, explicabilidad, robustez, responsabilidad y revisión de conocimiento ante cambios.</x:v>
      </x:c>
      <x:c r="F128" s="4" t="str">
        <x:v>Presentar evidencia, afectados, alternativas, incertidumbre y consecuencias antes de aconsejar; someter actualizaciones a adopción humana.</x:v>
      </x:c>
      <x:c r="G128" s="4" t="str">
        <x:v>Una explicación convincente puede ocultar error o sustituir indebidamente el juicio humano.</x:v>
      </x:c>
      <x:c r="H128" s="4" t="str">
        <x:v>M003</x:v>
      </x:c>
      <x:c r="I128" s="4" t="str">
        <x:v>18: fuentes y reserva específica</x:v>
      </x:c>
      <x:c r="J128" s="4" t="str">
        <x:v>TRANSVERSAL; PROFUNDIZACIÓN PROPUESTA</x:v>
      </x:c>
      <x:c r="K128" s="12" t="n">
        <x:f>IF(OR(D128="TRANSVERSAL",D128="RESERVA",COUNTIF('26_Mapa_universos'!$A$5:$A$33,D128)=1),0,1)</x:f>
        <x:v>0</x:v>
      </x:c>
      <x:c r="L128" s="12" t="n">
        <x:f>IF(COUNTIF('21_Fuentes_educativas'!$A$5:$A$188,H128)+COUNTIF('01_Fuentes'!$A$5:$A$40,H128)=1,0,1)</x:f>
        <x:v>0</x:v>
      </x:c>
    </x:row>
    <x:row r="129" ht="47" customHeight="1">
      <x:c r="A129" s="4" t="str">
        <x:v>TC-125</x:v>
      </x:c>
      <x:c r="B129" s="4" t="str">
        <x:v>AN-08</x:v>
      </x:c>
      <x:c r="C129" s="4" t="str">
        <x:v>NECESIDAD HUMANA</x:v>
      </x:c>
      <x:c r="D129" s="4" t="str">
        <x:v>CYO-19</x:v>
      </x:c>
      <x:c r="E129" s="4" t="str">
        <x:v>Sesgo, explicabilidad, robustez, responsabilidad y revisión de conocimiento ante cambios.</x:v>
      </x:c>
      <x:c r="F129" s="4" t="str">
        <x:v>Presentar evidencia, afectados, alternativas, incertidumbre y consecuencias antes de aconsejar; someter actualizaciones a adopción humana.</x:v>
      </x:c>
      <x:c r="G129" s="4" t="str">
        <x:v>Una explicación convincente puede ocultar error o sustituir indebidamente el juicio humano.</x:v>
      </x:c>
      <x:c r="H129" s="4" t="str">
        <x:v>M003</x:v>
      </x:c>
      <x:c r="I129" s="4" t="str">
        <x:v>18: fuentes y reserva específica</x:v>
      </x:c>
      <x:c r="J129" s="4" t="str">
        <x:v>TRANSVERSAL; PROFUNDIZACIÓN PROPUESTA</x:v>
      </x:c>
      <x:c r="K129" s="12" t="n">
        <x:f>IF(OR(D129="TRANSVERSAL",D129="RESERVA",COUNTIF('26_Mapa_universos'!$A$5:$A$33,D129)=1),0,1)</x:f>
        <x:v>0</x:v>
      </x:c>
      <x:c r="L129" s="12" t="n">
        <x:f>IF(COUNTIF('21_Fuentes_educativas'!$A$5:$A$188,H129)+COUNTIF('01_Fuentes'!$A$5:$A$40,H129)=1,0,1)</x:f>
        <x:v>0</x:v>
      </x:c>
    </x:row>
    <x:row r="130" ht="47" customHeight="1">
      <x:c r="A130" s="4" t="str">
        <x:v>TC-126</x:v>
      </x:c>
      <x:c r="B130" s="4" t="str">
        <x:v>AN-08</x:v>
      </x:c>
      <x:c r="C130" s="4" t="str">
        <x:v>NECESIDAD HUMANA</x:v>
      </x:c>
      <x:c r="D130" s="4" t="str">
        <x:v>CYO-22</x:v>
      </x:c>
      <x:c r="E130" s="4" t="str">
        <x:v>Sesgo, explicabilidad, robustez, responsabilidad y revisión de conocimiento ante cambios.</x:v>
      </x:c>
      <x:c r="F130" s="4" t="str">
        <x:v>Presentar evidencia, afectados, alternativas, incertidumbre y consecuencias antes de aconsejar; someter actualizaciones a adopción humana.</x:v>
      </x:c>
      <x:c r="G130" s="4" t="str">
        <x:v>Una explicación convincente puede ocultar error o sustituir indebidamente el juicio humano.</x:v>
      </x:c>
      <x:c r="H130" s="4" t="str">
        <x:v>M003</x:v>
      </x:c>
      <x:c r="I130" s="4" t="str">
        <x:v>18: fuentes y reserva específica</x:v>
      </x:c>
      <x:c r="J130" s="4" t="str">
        <x:v>TRANSVERSAL; PROFUNDIZACIÓN PROPUESTA</x:v>
      </x:c>
      <x:c r="K130" s="12" t="n">
        <x:f>IF(OR(D130="TRANSVERSAL",D130="RESERVA",COUNTIF('26_Mapa_universos'!$A$5:$A$33,D130)=1),0,1)</x:f>
        <x:v>0</x:v>
      </x:c>
      <x:c r="L130" s="12" t="n">
        <x:f>IF(COUNTIF('21_Fuentes_educativas'!$A$5:$A$188,H130)+COUNTIF('01_Fuentes'!$A$5:$A$40,H130)=1,0,1)</x:f>
        <x:v>0</x:v>
      </x:c>
    </x:row>
    <x:row r="131" ht="47" customHeight="1">
      <x:c r="A131" s="4" t="str">
        <x:v>TC-127</x:v>
      </x:c>
      <x:c r="B131" s="4" t="str">
        <x:v>AN-08</x:v>
      </x:c>
      <x:c r="C131" s="4" t="str">
        <x:v>NECESIDAD HUMANA</x:v>
      </x:c>
      <x:c r="D131" s="4" t="str">
        <x:v>CYO-29</x:v>
      </x:c>
      <x:c r="E131" s="4" t="str">
        <x:v>Sesgo, explicabilidad, robustez, responsabilidad y revisión de conocimiento ante cambios.</x:v>
      </x:c>
      <x:c r="F131" s="4" t="str">
        <x:v>Presentar evidencia, afectados, alternativas, incertidumbre y consecuencias antes de aconsejar; someter actualizaciones a adopción humana.</x:v>
      </x:c>
      <x:c r="G131" s="4" t="str">
        <x:v>Una explicación convincente puede ocultar error o sustituir indebidamente el juicio humano.</x:v>
      </x:c>
      <x:c r="H131" s="4" t="str">
        <x:v>M003</x:v>
      </x:c>
      <x:c r="I131" s="4" t="str">
        <x:v>18: fuentes y reserva específica</x:v>
      </x:c>
      <x:c r="J131" s="4" t="str">
        <x:v>TRANSVERSAL; PROFUNDIZACIÓN PROPUESTA</x:v>
      </x:c>
      <x:c r="K131" s="12" t="n">
        <x:f>IF(OR(D131="TRANSVERSAL",D131="RESERVA",COUNTIF('26_Mapa_universos'!$A$5:$A$33,D131)=1),0,1)</x:f>
        <x:v>0</x:v>
      </x:c>
      <x:c r="L131" s="12" t="n">
        <x:f>IF(COUNTIF('21_Fuentes_educativas'!$A$5:$A$188,H131)+COUNTIF('01_Fuentes'!$A$5:$A$40,H131)=1,0,1)</x:f>
        <x:v>0</x:v>
      </x:c>
    </x:row>
  </x:sheetData>
  <x:mergeCells>
    <x:mergeCell ref="A1:D1"/>
    <x:mergeCell ref="A2:F2"/>
  </x:mergeCells>
  <x:conditionalFormatting sqref="K5:K131">
    <x:cfRule type="expression" dxfId="11" priority="1">
      <x:formula>K5&gt;0</x:formula>
    </x:cfRule>
  </x:conditionalFormatting>
  <x:conditionalFormatting sqref="L5:L131">
    <x:cfRule type="expression" dxfId="12" priority="2">
      <x:formula>L5&gt;0</x:formula>
    </x:cfRule>
  </x:conditionalFormatting>
  <x:pageMargins left="0.7" right="0.7" top="0.75" bottom="0.75" header="0.3" footer="0.3"/>
  <x:tableParts count="1">
    <x:tablePart xmlns:r="http://schemas.openxmlformats.org/officeDocument/2006/relationships" r:id="Rbadd85b5ff584834"/>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48" hidden="0" customWidth="1"/>
    <x:col min="5" max="5" width="76" hidden="0" customWidth="1"/>
    <x:col min="6" max="6" width="91" hidden="0" customWidth="1"/>
    <x:col min="7" max="7" width="94" hidden="0" customWidth="1"/>
    <x:col min="8" max="8" width="46" hidden="0" customWidth="1"/>
    <x:col min="9" max="9" width="43" hidden="0" customWidth="1"/>
    <x:col min="10" max="10" width="19" hidden="0" customWidth="1"/>
    <x:col min="11" max="11" width="19" hidden="0" customWidth="1"/>
  </x:cols>
  <x:sheetData>
    <x:row r="1" ht="35" customHeight="1">
      <x:c r="A1" s="6" t="str">
        <x:v>RELACIONES · contratos que habrá que constituir</x:v>
      </x:c>
      <x:c r="B1" s="6"/>
      <x:c r="C1" s="6"/>
      <x:c r="D1" s="6"/>
      <x:c r="E1" s="6"/>
      <x:c r="F1" s="6"/>
      <x:c r="G1" s="6"/>
      <x:c r="H1" s="6"/>
      <x:c r="I1" s="6"/>
      <x:c r="J1" s="6"/>
      <x:c r="K1" s="6"/>
    </x:row>
    <x:row r="2" ht="52" customHeight="1">
      <x:c r="A2" s="8" t="str">
        <x:v>Estas flechas unen productos profesionales propuestos. No son todavía composición de células, rutas críticas ejecutables ni permisos. El orden educativo de 16 pertenece a otro plano.</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Origen</x:v>
      </x:c>
      <x:c r="C4" s="10" t="str">
        <x:v>Destino</x:v>
      </x:c>
      <x:c r="D4" s="10" t="str">
        <x:v>Relación profesional</x:v>
      </x:c>
      <x:c r="E4" s="10" t="str">
        <x:v>Contenido transmitido</x:v>
      </x:c>
      <x:c r="F4" s="10" t="str">
        <x:v>Tratamiento de insuficiencia / U</x:v>
      </x:c>
      <x:c r="G4" s="10" t="str">
        <x:v>Obligación de tipado y límite</x:v>
      </x:c>
      <x:c r="H4" s="10" t="str">
        <x:v>Anclas</x:v>
      </x:c>
      <x:c r="I4" s="10" t="str">
        <x:v>Estatuto</x:v>
      </x:c>
      <x:c r="J4" s="10" t="str">
        <x:v>Origen inválido</x:v>
      </x:c>
      <x:c r="K4" s="10" t="str">
        <x:v>Destino inválido</x:v>
      </x:c>
    </x:row>
    <x:row r="5" ht="47" customHeight="1">
      <x:c r="A5" s="4" t="str">
        <x:v>RC-01</x:v>
      </x:c>
      <x:c r="B5" s="4" t="str">
        <x:v>CYO-27</x:v>
      </x:c>
      <x:c r="C5" s="4" t="str">
        <x:v>CYO-07</x:v>
      </x:c>
      <x:c r="D5" s="4" t="str">
        <x:v>Evidencia de cobertura</x:v>
      </x:c>
      <x:c r="E5" s="4" t="str">
        <x:v>Telemetría y escenarios observables</x:v>
      </x:c>
      <x:c r="F5" s="4" t="str">
        <x:v>La falta de cobertura limita el juicio sobre ausencia de actividad</x:v>
      </x:c>
      <x:c r="G5" s="4" t="str">
        <x:v>Serie candidata; tipar salida, entrada y conector antes de G7</x:v>
      </x:c>
      <x:c r="H5" s="4" t="str">
        <x:v>R033; S007 §7.8</x:v>
      </x:c>
      <x:c r="I5" s="4" t="str">
        <x:v>PROPUESTA; G7 NO CONSTITUIDA</x:v>
      </x:c>
      <x:c r="J5" s="12" t="n">
        <x:f>IF(COUNTIF('26_Mapa_universos'!$A$5:$A$33,B5)=1,0,1)</x:f>
        <x:v>0</x:v>
      </x:c>
      <x:c r="K5" s="12" t="n">
        <x:f>IF(COUNTIF('26_Mapa_universos'!$A$5:$A$33,C5)=1,0,1)</x:f>
        <x:v>0</x:v>
      </x:c>
    </x:row>
    <x:row r="6" ht="47" customHeight="1">
      <x:c r="A6" s="4" t="str">
        <x:v>RC-02</x:v>
      </x:c>
      <x:c r="B6" s="4" t="str">
        <x:v>CYO-23</x:v>
      </x:c>
      <x:c r="C6" s="4" t="str">
        <x:v>CYO-15</x:v>
      </x:c>
      <x:c r="D6" s="4" t="str">
        <x:v>Evidencia técnica para admisión</x:v>
      </x:c>
      <x:c r="E6" s="4" t="str">
        <x:v>Informe del modelo, corte y uso evaluados</x:v>
      </x:c>
      <x:c r="F6" s="4" t="str">
        <x:v>Informe incompleto no se interpreta como aptitud</x:v>
      </x:c>
      <x:c r="G6" s="4" t="str">
        <x:v>Entrada de evidencia; no compuerta constituida</x:v>
      </x:c>
      <x:c r="H6" s="4" t="str">
        <x:v>M002; M003; I005 §7</x:v>
      </x:c>
      <x:c r="I6" s="4" t="str">
        <x:v>PROPUESTA; G7 NO CONSTITUIDA</x:v>
      </x:c>
      <x:c r="J6" s="12" t="n">
        <x:f>IF(COUNTIF('26_Mapa_universos'!$A$5:$A$33,B6)=1,0,1)</x:f>
        <x:v>0</x:v>
      </x:c>
      <x:c r="K6" s="12" t="n">
        <x:f>IF(COUNTIF('26_Mapa_universos'!$A$5:$A$33,C6)=1,0,1)</x:f>
        <x:v>0</x:v>
      </x:c>
    </x:row>
    <x:row r="7" ht="47" customHeight="1">
      <x:c r="A7" s="4" t="str">
        <x:v>RC-03</x:v>
      </x:c>
      <x:c r="B7" s="4" t="str">
        <x:v>CYO-29</x:v>
      </x:c>
      <x:c r="C7" s="4" t="str">
        <x:v>CYO-15</x:v>
      </x:c>
      <x:c r="D7" s="4" t="str">
        <x:v>Condición corporativa de uso</x:v>
      </x:c>
      <x:c r="E7" s="4" t="str">
        <x:v>Política y autoridad aplicables</x:v>
      </x:c>
      <x:c r="F7" s="4" t="str">
        <x:v>Falta de permiso mantiene el uso sin admitir</x:v>
      </x:c>
      <x:c r="G7" s="4" t="str">
        <x:v>Condición de autorización humana; no operador automático</x:v>
      </x:c>
      <x:c r="H7" s="4" t="str">
        <x:v>R037; AN-02; S001</x:v>
      </x:c>
      <x:c r="I7" s="4" t="str">
        <x:v>PROPUESTA; G7 NO CONSTITUIDA</x:v>
      </x:c>
      <x:c r="J7" s="12" t="n">
        <x:f>IF(COUNTIF('26_Mapa_universos'!$A$5:$A$33,B7)=1,0,1)</x:f>
        <x:v>0</x:v>
      </x:c>
      <x:c r="K7" s="12" t="n">
        <x:f>IF(COUNTIF('26_Mapa_universos'!$A$5:$A$33,C7)=1,0,1)</x:f>
        <x:v>0</x:v>
      </x:c>
    </x:row>
    <x:row r="8" ht="47" customHeight="1">
      <x:c r="A8" s="4" t="str">
        <x:v>RC-04</x:v>
      </x:c>
      <x:c r="B8" s="4" t="str">
        <x:v>CYO-15</x:v>
      </x:c>
      <x:c r="C8" s="4" t="str">
        <x:v>CYO-07</x:v>
      </x:c>
      <x:c r="D8" s="4" t="str">
        <x:v>Restricción del apoyo de IA</x:v>
      </x:c>
      <x:c r="E8" s="4" t="str">
        <x:v>Uso admitido, versión, permiso y supervisión</x:v>
      </x:c>
      <x:c r="F8" s="4" t="str">
        <x:v>Si no está admitido no habilita el apoyo; triaje humano tiene contrato propio</x:v>
      </x:c>
      <x:c r="G8" s="4" t="str">
        <x:v>Habilitación propuesta; no crea célula ni asigna 0/1</x:v>
      </x:c>
      <x:c r="H8" s="4" t="str">
        <x:v>M003; R033</x:v>
      </x:c>
      <x:c r="I8" s="4" t="str">
        <x:v>PROPUESTA; G7 NO CONSTITUIDA</x:v>
      </x:c>
      <x:c r="J8" s="12" t="n">
        <x:f>IF(COUNTIF('26_Mapa_universos'!$A$5:$A$33,B8)=1,0,1)</x:f>
        <x:v>0</x:v>
      </x:c>
      <x:c r="K8" s="12" t="n">
        <x:f>IF(COUNTIF('26_Mapa_universos'!$A$5:$A$33,C8)=1,0,1)</x:f>
        <x:v>0</x:v>
      </x:c>
    </x:row>
    <x:row r="9" ht="47" customHeight="1">
      <x:c r="A9" s="4" t="str">
        <x:v>RC-05</x:v>
      </x:c>
      <x:c r="B9" s="4" t="str">
        <x:v>CYO-07</x:v>
      </x:c>
      <x:c r="C9" s="4" t="str">
        <x:v>CYO-09</x:v>
      </x:c>
      <x:c r="D9" s="4" t="str">
        <x:v>Escalado fundado</x:v>
      </x:c>
      <x:c r="E9" s="4" t="str">
        <x:v>Episodio y evidencia con incertidumbre</x:v>
      </x:c>
      <x:c r="F9" s="4" t="str">
        <x:v>Alerta no equivale a incidente confirmado ni a permiso de contención</x:v>
      </x:c>
      <x:c r="G9" s="4" t="str">
        <x:v>Transición condicionada por el contrato futuro</x:v>
      </x:c>
      <x:c r="H9" s="4" t="str">
        <x:v>R033</x:v>
      </x:c>
      <x:c r="I9" s="4" t="str">
        <x:v>PROPUESTA; G7 NO CONSTITUIDA</x:v>
      </x:c>
      <x:c r="J9" s="12" t="n">
        <x:f>IF(COUNTIF('26_Mapa_universos'!$A$5:$A$33,B9)=1,0,1)</x:f>
        <x:v>0</x:v>
      </x:c>
      <x:c r="K9" s="12" t="n">
        <x:f>IF(COUNTIF('26_Mapa_universos'!$A$5:$A$33,C9)=1,0,1)</x:f>
        <x:v>0</x:v>
      </x:c>
    </x:row>
    <x:row r="10" ht="47" customHeight="1">
      <x:c r="A10" s="4" t="str">
        <x:v>RC-06</x:v>
      </x:c>
      <x:c r="B10" s="4" t="str">
        <x:v>CYO-09</x:v>
      </x:c>
      <x:c r="C10" s="4" t="str">
        <x:v>CYO-24</x:v>
      </x:c>
      <x:c r="D10" s="4" t="str">
        <x:v>Plan aprobado para actuación</x:v>
      </x:c>
      <x:c r="E10" s="4" t="str">
        <x:v>Plan, permiso, objetos y condiciones de parada</x:v>
      </x:c>
      <x:c r="F10" s="4" t="str">
        <x:v>Sin autorización no procede actuación material</x:v>
      </x:c>
      <x:c r="G10" s="4" t="str">
        <x:v>Precedencia de gobierno; compuerta pendiente de semántica</x:v>
      </x:c>
      <x:c r="H10" s="4" t="str">
        <x:v>R033; S001</x:v>
      </x:c>
      <x:c r="I10" s="4" t="str">
        <x:v>PROPUESTA; G7 NO CONSTITUIDA</x:v>
      </x:c>
      <x:c r="J10" s="12" t="n">
        <x:f>IF(COUNTIF('26_Mapa_universos'!$A$5:$A$33,B10)=1,0,1)</x:f>
        <x:v>0</x:v>
      </x:c>
      <x:c r="K10" s="12" t="n">
        <x:f>IF(COUNTIF('26_Mapa_universos'!$A$5:$A$33,C10)=1,0,1)</x:f>
        <x:v>0</x:v>
      </x:c>
    </x:row>
    <x:row r="11" ht="47" customHeight="1">
      <x:c r="A11" s="4" t="str">
        <x:v>RC-07</x:v>
      </x:c>
      <x:c r="B11" s="4" t="str">
        <x:v>CYO-24</x:v>
      </x:c>
      <x:c r="C11" s="4" t="str">
        <x:v>CYO-25</x:v>
      </x:c>
      <x:c r="D11" s="4" t="str">
        <x:v>Transferencia hacia recuperación</x:v>
      </x:c>
      <x:c r="E11" s="4" t="str">
        <x:v>Estado efectivo y restricciones del incidente</x:v>
      </x:c>
      <x:c r="F11" s="4" t="str">
        <x:v>Efecto no verificado no se convierte en restauración acreditada</x:v>
      </x:c>
      <x:c r="G11" s="4" t="str">
        <x:v>Transición con cambio de responsable cuando proceda</x:v>
      </x:c>
      <x:c r="H11" s="4" t="str">
        <x:v>R033</x:v>
      </x:c>
      <x:c r="I11" s="4" t="str">
        <x:v>PROPUESTA; G7 NO CONSTITUIDA</x:v>
      </x:c>
      <x:c r="J11" s="12" t="n">
        <x:f>IF(COUNTIF('26_Mapa_universos'!$A$5:$A$33,B11)=1,0,1)</x:f>
        <x:v>0</x:v>
      </x:c>
      <x:c r="K11" s="12" t="n">
        <x:f>IF(COUNTIF('26_Mapa_universos'!$A$5:$A$33,C11)=1,0,1)</x:f>
        <x:v>0</x:v>
      </x:c>
    </x:row>
    <x:row r="12" ht="47" customHeight="1">
      <x:c r="A12" s="4" t="str">
        <x:v>RC-08</x:v>
      </x:c>
      <x:c r="B12" s="4" t="str">
        <x:v>CYO-11</x:v>
      </x:c>
      <x:c r="C12" s="4" t="str">
        <x:v>CYO-25</x:v>
      </x:c>
      <x:c r="D12" s="4" t="str">
        <x:v>Evidencia previa de preparación</x:v>
      </x:c>
      <x:c r="E12" s="4" t="str">
        <x:v>Ensayos y límites que pueden seguir vigentes</x:v>
      </x:c>
      <x:c r="F12" s="4" t="str">
        <x:v>Ensayo favorable no asegura recuperación real</x:v>
      </x:c>
      <x:c r="G12" s="4" t="str">
        <x:v>Referencia probatoria con vigencia, sin copiar estado</x:v>
      </x:c>
      <x:c r="H12" s="4" t="str">
        <x:v>R033</x:v>
      </x:c>
      <x:c r="I12" s="4" t="str">
        <x:v>PROPUESTA; G7 NO CONSTITUIDA</x:v>
      </x:c>
      <x:c r="J12" s="12" t="n">
        <x:f>IF(COUNTIF('26_Mapa_universos'!$A$5:$A$33,B12)=1,0,1)</x:f>
        <x:v>0</x:v>
      </x:c>
      <x:c r="K12" s="12" t="n">
        <x:f>IF(COUNTIF('26_Mapa_universos'!$A$5:$A$33,C12)=1,0,1)</x:f>
        <x:v>0</x:v>
      </x:c>
    </x:row>
    <x:row r="13" ht="47" customHeight="1">
      <x:c r="A13" s="4" t="str">
        <x:v>RC-09</x:v>
      </x:c>
      <x:c r="B13" s="4" t="str">
        <x:v>CYO-10</x:v>
      </x:c>
      <x:c r="C13" s="4" t="str">
        <x:v>CYO-07</x:v>
      </x:c>
      <x:c r="D13" s="4" t="str">
        <x:v>Aporte de evidencia</x:v>
      </x:c>
      <x:c r="E13" s="4" t="str">
        <x:v>Hallazgo forense autorizado y su procedencia</x:v>
      </x:c>
      <x:c r="F13" s="4" t="str">
        <x:v>Interpretación no adjudicada conserva incertidumbre</x:v>
      </x:c>
      <x:c r="G13" s="4" t="str">
        <x:v>Referencia de lectura; el siguiente episodio tiene identidad nueva</x:v>
      </x:c>
      <x:c r="H13" s="4" t="str">
        <x:v>R033; S012 §4</x:v>
      </x:c>
      <x:c r="I13" s="4" t="str">
        <x:v>PROPUESTA; G7 NO CONSTITUIDA</x:v>
      </x:c>
      <x:c r="J13" s="12" t="n">
        <x:f>IF(COUNTIF('26_Mapa_universos'!$A$5:$A$33,B13)=1,0,1)</x:f>
        <x:v>0</x:v>
      </x:c>
      <x:c r="K13" s="12" t="n">
        <x:f>IF(COUNTIF('26_Mapa_universos'!$A$5:$A$33,C13)=1,0,1)</x:f>
        <x:v>0</x:v>
      </x:c>
    </x:row>
    <x:row r="14" ht="47" customHeight="1">
      <x:c r="A14" s="4" t="str">
        <x:v>RC-10</x:v>
      </x:c>
      <x:c r="B14" s="4" t="str">
        <x:v>CYO-04</x:v>
      </x:c>
      <x:c r="C14" s="4" t="str">
        <x:v>CYO-26</x:v>
      </x:c>
      <x:c r="D14" s="4" t="str">
        <x:v>Hallazgo para tratamiento</x:v>
      </x:c>
      <x:c r="E14" s="4" t="str">
        <x:v>Prueba, alcance, aplicabilidad y evidencia</x:v>
      </x:c>
      <x:c r="F14" s="4" t="str">
        <x:v>Hallazgo no aplicable no recibe tratamiento automático</x:v>
      </x:c>
      <x:c r="G14" s="4" t="str">
        <x:v>Entrada contextual; CVSS no sustituye riesgo</x:v>
      </x:c>
      <x:c r="H14" s="4" t="str">
        <x:v>R034; R035</x:v>
      </x:c>
      <x:c r="I14" s="4" t="str">
        <x:v>PROPUESTA; G7 NO CONSTITUIDA</x:v>
      </x:c>
      <x:c r="J14" s="12" t="n">
        <x:f>IF(COUNTIF('26_Mapa_universos'!$A$5:$A$33,B14)=1,0,1)</x:f>
        <x:v>0</x:v>
      </x:c>
      <x:c r="K14" s="12" t="n">
        <x:f>IF(COUNTIF('26_Mapa_universos'!$A$5:$A$33,C14)=1,0,1)</x:f>
        <x:v>0</x:v>
      </x:c>
    </x:row>
    <x:row r="15" ht="47" customHeight="1">
      <x:c r="A15" s="4" t="str">
        <x:v>RC-11</x:v>
      </x:c>
      <x:c r="B15" s="4" t="str">
        <x:v>CYO-01</x:v>
      </x:c>
      <x:c r="C15" s="4" t="str">
        <x:v>CYO-26</x:v>
      </x:c>
      <x:c r="D15" s="4" t="str">
        <x:v>Balance y condiciones de tratamiento</x:v>
      </x:c>
      <x:c r="E15" s="4" t="str">
        <x:v>Riesgo local, coste total y valor protegido</x:v>
      </x:c>
      <x:c r="F15" s="4" t="str">
        <x:v>Valoración insuficiente no habilita una aprobación económica inventada</x:v>
      </x:c>
      <x:c r="G15" s="4" t="str">
        <x:v>Condición humana documentada; no compensación algorítmica</x:v>
      </x:c>
      <x:c r="H15" s="4" t="str">
        <x:v>R035; mandato humano</x:v>
      </x:c>
      <x:c r="I15" s="4" t="str">
        <x:v>PROPUESTA; G7 NO CONSTITUIDA</x:v>
      </x:c>
      <x:c r="J15" s="12" t="n">
        <x:f>IF(COUNTIF('26_Mapa_universos'!$A$5:$A$33,B15)=1,0,1)</x:f>
        <x:v>0</x:v>
      </x:c>
      <x:c r="K15" s="12" t="n">
        <x:f>IF(COUNTIF('26_Mapa_universos'!$A$5:$A$33,C15)=1,0,1)</x:f>
        <x:v>0</x:v>
      </x:c>
    </x:row>
    <x:row r="16" ht="47" customHeight="1">
      <x:c r="A16" s="4" t="str">
        <x:v>RC-12</x:v>
      </x:c>
      <x:c r="B16" s="4" t="str">
        <x:v>CYO-14</x:v>
      </x:c>
      <x:c r="C16" s="4" t="str">
        <x:v>CYO-24</x:v>
      </x:c>
      <x:c r="D16" s="4" t="str">
        <x:v>Restricción ciberfísica</x:v>
      </x:c>
      <x:c r="E16" s="4" t="str">
        <x:v>Límite de proceso y autoridad de seguridad física</x:v>
      </x:c>
      <x:c r="F16" s="4" t="str">
        <x:v>Una incertidumbre crítica puede bloquear intervención según contrato</x:v>
      </x:c>
      <x:c r="G16" s="4" t="str">
        <x:v>Supervisión o veto candidato; requiere contrato específico</x:v>
      </x:c>
      <x:c r="H16" s="4" t="str">
        <x:v>R036; S007 §7.9</x:v>
      </x:c>
      <x:c r="I16" s="4" t="str">
        <x:v>PROPUESTA; G7 NO CONSTITUIDA</x:v>
      </x:c>
      <x:c r="J16" s="12" t="n">
        <x:f>IF(COUNTIF('26_Mapa_universos'!$A$5:$A$33,B16)=1,0,1)</x:f>
        <x:v>0</x:v>
      </x:c>
      <x:c r="K16" s="12" t="n">
        <x:f>IF(COUNTIF('26_Mapa_universos'!$A$5:$A$33,C16)=1,0,1)</x:f>
        <x:v>0</x:v>
      </x:c>
    </x:row>
    <x:row r="17" ht="47" customHeight="1">
      <x:c r="A17" s="4" t="str">
        <x:v>RC-13</x:v>
      </x:c>
      <x:c r="B17" s="4" t="str">
        <x:v>CYO-19</x:v>
      </x:c>
      <x:c r="C17" s="4" t="str">
        <x:v>CYO-29</x:v>
      </x:c>
      <x:c r="D17" s="4" t="str">
        <x:v>Propuesta de actualización</x:v>
      </x:c>
      <x:c r="E17" s="4" t="str">
        <x:v>Conocimiento nuevo con método y límites</x:v>
      </x:c>
      <x:c r="F17" s="4" t="str">
        <x:v>Novedad no sustituye política vigente sin aptitud declarada por humano</x:v>
      </x:c>
      <x:c r="G17" s="4" t="str">
        <x:v>Nuevo suceso versionado; no ciclo de actualización automático</x:v>
      </x:c>
      <x:c r="H17" s="4" t="str">
        <x:v>W016; I005 §5</x:v>
      </x:c>
      <x:c r="I17" s="4" t="str">
        <x:v>PROPUESTA; G7 NO CONSTITUIDA</x:v>
      </x:c>
      <x:c r="J17" s="12" t="n">
        <x:f>IF(COUNTIF('26_Mapa_universos'!$A$5:$A$33,B17)=1,0,1)</x:f>
        <x:v>0</x:v>
      </x:c>
      <x:c r="K17" s="12" t="n">
        <x:f>IF(COUNTIF('26_Mapa_universos'!$A$5:$A$33,C17)=1,0,1)</x:f>
        <x:v>0</x:v>
      </x:c>
    </x:row>
    <x:row r="18" ht="47" customHeight="1">
      <x:c r="A18" s="4" t="str">
        <x:v>RC-14</x:v>
      </x:c>
      <x:c r="B18" s="4" t="str">
        <x:v>CYO-22</x:v>
      </x:c>
      <x:c r="C18" s="4" t="str">
        <x:v>CYO-18</x:v>
      </x:c>
      <x:c r="D18" s="4" t="str">
        <x:v>Retroalimentación educativa</x:v>
      </x:c>
      <x:c r="E18" s="4" t="str">
        <x:v>Evidencia del aprendizaje y carencias observadas</x:v>
      </x:c>
      <x:c r="F18" s="4" t="str">
        <x:v>Asistencia no se convierte en aprendizaje demostrado</x:v>
      </x:c>
      <x:c r="G18" s="4" t="str">
        <x:v>Revisión en otro corte; no realimentación instantánea del motor</x:v>
      </x:c>
      <x:c r="H18" s="4" t="str">
        <x:v>R038; M001</x:v>
      </x:c>
      <x:c r="I18" s="4" t="str">
        <x:v>PROPUESTA; G7 NO CONSTITUIDA</x:v>
      </x:c>
      <x:c r="J18" s="12" t="n">
        <x:f>IF(COUNTIF('26_Mapa_universos'!$A$5:$A$33,B18)=1,0,1)</x:f>
        <x:v>0</x:v>
      </x:c>
      <x:c r="K18" s="12" t="n">
        <x:f>IF(COUNTIF('26_Mapa_universos'!$A$5:$A$33,C18)=1,0,1)</x:f>
        <x:v>0</x:v>
      </x:c>
    </x:row>
  </x:sheetData>
  <x:mergeCells>
    <x:mergeCell ref="A1:D1"/>
    <x:mergeCell ref="A2:F2"/>
  </x:mergeCells>
  <x:conditionalFormatting sqref="J5:J18">
    <x:cfRule type="expression" dxfId="13" priority="1">
      <x:formula>J5&gt;0</x:formula>
    </x:cfRule>
  </x:conditionalFormatting>
  <x:conditionalFormatting sqref="K5:K18">
    <x:cfRule type="expression" dxfId="14" priority="2">
      <x:formula>K5&gt;0</x:formula>
    </x:cfRule>
  </x:conditionalFormatting>
  <x:pageMargins left="0.7" right="0.7" top="0.75" bottom="0.75" header="0.3" footer="0.3"/>
  <x:tableParts count="1">
    <x:tablePart xmlns:r="http://schemas.openxmlformats.org/officeDocument/2006/relationships" r:id="R027b9b0fef924824"/>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3" hidden="0" customWidth="1"/>
    <x:col min="2" max="2" width="39" hidden="0" customWidth="1"/>
    <x:col min="3" max="3" width="103" hidden="0" customWidth="1"/>
    <x:col min="4" max="4" width="110" hidden="0" customWidth="1"/>
    <x:col min="5" max="5" width="99" hidden="0" customWidth="1"/>
    <x:col min="6" max="6" width="44" hidden="0" customWidth="1"/>
    <x:col min="7" max="7" width="41" hidden="0" customWidth="1"/>
  </x:cols>
  <x:sheetData>
    <x:row r="1" ht="35" customHeight="1">
      <x:c r="A1" s="6" t="str">
        <x:v>CAMINO · del currículo al primer parámetro y universo</x:v>
      </x:c>
      <x:c r="B1" s="6"/>
      <x:c r="C1" s="6"/>
      <x:c r="D1" s="6"/>
      <x:c r="E1" s="6"/>
      <x:c r="F1" s="6"/>
      <x:c r="G1" s="6"/>
    </x:row>
    <x:row r="2" ht="52" customHeight="1">
      <x:c r="A2" s="8" t="str">
        <x:v>Actualización v0.5: universo abierto y P01 adoptado; P02–P10 con dictamen documental en 45–55. Cobertura/arquitectura/aptitud siguen pendientes.</x:v>
      </x:c>
      <x:c r="B2" s="8"/>
      <x:c r="C2" s="8"/>
      <x:c r="D2" s="8"/>
      <x:c r="E2" s="8"/>
      <x:c r="F2" s="8"/>
      <x:c r="G2" s="8"/>
    </x:row>
    <x:row r="3">
      <x:c r="A3" s="4"/>
      <x:c r="B3" s="4"/>
      <x:c r="C3" s="4"/>
      <x:c r="D3" s="4"/>
      <x:c r="E3" s="4"/>
      <x:c r="F3" s="4"/>
      <x:c r="G3" s="4"/>
    </x:row>
    <x:row r="4" ht="42" customHeight="1">
      <x:c r="A4" s="10" t="str">
        <x:v>ID</x:v>
      </x:c>
      <x:c r="B4" s="10" t="str">
        <x:v>Paso</x:v>
      </x:c>
      <x:c r="C4" s="10" t="str">
        <x:v>Trabajo y criterio</x:v>
      </x:c>
      <x:c r="D4" s="10" t="str">
        <x:v>Frontera / condición</x:v>
      </x:c>
      <x:c r="E4" s="10" t="str">
        <x:v>Objeto de cierre</x:v>
      </x:c>
      <x:c r="F4" s="10" t="str">
        <x:v>Fuente</x:v>
      </x:c>
      <x:c r="G4" s="10" t="str">
        <x:v>Estado</x:v>
      </x:c>
    </x:row>
    <x:row r="5" ht="47" customHeight="1">
      <x:c r="A5" s="4" t="str">
        <x:v>PC-01</x:v>
      </x:c>
      <x:c r="B5" s="4" t="str">
        <x:v>Cerrar el perímetro</x:v>
      </x:c>
      <x:c r="C5" s="4" t="str">
        <x:v>Resolver reservas materiales para la operación; admitir fuentes y extracción suficiente</x:v>
      </x:c>
      <x:c r="D5" s="4" t="str">
        <x:v>Mapa 26 y trazas 27 son propuesta; una reserva ajena al uso no bloquea todo el dominio</x:v>
      </x:c>
      <x:c r="E5" s="4" t="str">
        <x:v>Catálogo admitido con alcance, exclusiones y responsable</x:v>
      </x:c>
      <x:c r="F5" s="4" t="str">
        <x:v>I005 §7.1</x:v>
      </x:c>
      <x:c r="G5" s="4" t="str">
        <x:v>ACOTADO EN 37</x:v>
      </x:c>
    </x:row>
    <x:row r="6" ht="47" customHeight="1">
      <x:c r="A6" s="4" t="str">
        <x:v>PC-02</x:v>
      </x:c>
      <x:c r="B6" s="4" t="str">
        <x:v>Comparar primera operación</x:v>
      </x:c>
      <x:c r="C6" s="4" t="str">
        <x:v>Relevancia, evidencia admisible, finitud y consecuencias de omitir conocimiento necesario</x:v>
      </x:c>
      <x:c r="D6" s="4" t="str">
        <x:v>Comparadas CYO-07, 14, 23 y 26. Se selecciona el recorte de cierre de corrección de CYO-26; véase 36.</x:v>
      </x:c>
      <x:c r="E6" s="4" t="str">
        <x:v>Selección motivada por unidad competente y Dirección</x:v>
      </x:c>
      <x:c r="F6" s="4" t="str">
        <x:v>I005 §7.1; 26; 34</x:v>
      </x:c>
      <x:c r="G6" s="4" t="str">
        <x:v>COMPARACIÓN EN 36</x:v>
      </x:c>
    </x:row>
    <x:row r="7" ht="47" customHeight="1">
      <x:c r="A7" s="4" t="str">
        <x:v>PC-03</x:v>
      </x:c>
      <x:c r="B7" s="4" t="str">
        <x:v>Prioridad por consecuencia de omisión</x:v>
      </x:c>
      <x:c r="C7" s="4" t="str">
        <x:v>El riesgo de cerrar correcciones sin enlazar requisito, cumplimiento y efecto fundamenta el primer recorte.</x:v>
      </x:c>
      <x:c r="D7" s="4" t="str">
        <x:v>Se descarta durante la preparación dar preferencia a validar un detector sólo por disponer de fuentes de IA</x:v>
      </x:c>
      <x:c r="E7" s="4" t="str">
        <x:v>Propuesta motivada por consecuencia, representatividad, evidencia y cierre finito</x:v>
      </x:c>
      <x:c r="F7" s="4" t="str">
        <x:v>34; I005 §7.1; mandato humano</x:v>
      </x:c>
      <x:c r="G7" s="4" t="str">
        <x:v>CYO-26 / OP-CYB-001</x:v>
      </x:c>
    </x:row>
    <x:row r="8" ht="47" customHeight="1">
      <x:c r="A8" s="4" t="str">
        <x:v>PC-04</x:v>
      </x:c>
      <x:c r="B8" s="4" t="str">
        <x:v>Fijar G1 y manifiesto finito</x:v>
      </x:c>
      <x:c r="C8" s="4" t="str">
        <x:v>Acta de apertura y manifiesto publicados en 2454cb1080c2f824bd3b8115cb31729db8f2d7e8. Q0 conserva nueve raíces y 31 distinciones.</x:v>
      </x:c>
      <x:c r="D8" s="4" t="str">
        <x:v>El contrato declarará medios y límites propios. Catalogar no autoriza entrenamiento, despliegue, intervención ni uso de datos reales</x:v>
      </x:c>
      <x:c r="E8" s="4" t="str">
        <x:v>Q0 finito, medida de distinciones pendientes y estados terminales propios</x:v>
      </x:c>
      <x:c r="F8" s="4" t="str">
        <x:v>I005 §§7.2,7.4; I004</x:v>
      </x:c>
      <x:c r="G8" s="4" t="str">
        <x:v>APERTURA REGISTRADA EN 45</x:v>
      </x:c>
    </x:row>
    <x:row r="9" ht="47" customHeight="1">
      <x:c r="A9" s="4" t="str">
        <x:v>PC-05</x:v>
      </x:c>
      <x:c r="B9" s="4" t="str">
        <x:v>Primera distinción por necesidad de consejo</x:v>
      </x:c>
      <x:c r="C9" s="4" t="str">
        <x:v>Requisito de reinicio al finalizar una instalación individual: evidencia, incertidumbre y consecuencias en 39–40.</x:v>
      </x:c>
      <x:c r="D9" s="4" t="str">
        <x:v>Los testigos CE-OM de 34 orientan la búsqueda. No se inventa un parámetro común a cualquier operación ni se elige por facilidad documental</x:v>
      </x:c>
      <x:c r="E9" s="4" t="str">
        <x:v>Pregunta semántica con evidencia, observables y consecuencia separable, antes de G5</x:v>
      </x:c>
      <x:c r="F9" s="4" t="str">
        <x:v>I005 §§7.2–7.3; S013; 34</x:v>
      </x:c>
      <x:c r="G9" s="4" t="str">
        <x:v>QCY-04-D1 EN 39–40</x:v>
      </x:c>
    </x:row>
    <x:row r="10" ht="47" customHeight="1">
      <x:c r="A10" s="4" t="str">
        <x:v>PC-06</x:v>
      </x:c>
      <x:c r="B10" s="4" t="str">
        <x:v>Adjudicar el primer parámetro</x:v>
      </x:c>
      <x:c r="C10" s="4" t="str">
        <x:v>Prueba de identidad, independencia, U, ablación y partición aplicada al primer parámetro; pruebas sintéticas en 41.</x:v>
      </x:c>
      <x:c r="D10" s="4" t="str">
        <x:v>Si resulta compuesto, operando, control o insuficiencia, se registra ese resultado. No se fuerza una adopción</x:v>
      </x:c>
      <x:c r="E10" s="4" t="str">
        <x:v>Un dictamen G5 con fuente, contrato, contraejemplos y estatuto exacto</x:v>
      </x:c>
      <x:c r="F10" s="4" t="str">
        <x:v>I005 §7.3; S013</x:v>
      </x:c>
      <x:c r="G10" s="4" t="str">
        <x:v>P01 ADOPTADO; VÉASE 45</x:v>
      </x:c>
    </x:row>
    <x:row r="11" ht="47" customHeight="1">
      <x:c r="A11" s="4" t="str">
        <x:v>PC-07</x:v>
      </x:c>
      <x:c r="B11" s="4" t="str">
        <x:v>Lote posterior de hasta diez</x:v>
      </x:c>
      <x:c r="C11" s="4" t="str">
        <x:v>Nueve candidatos adicionales con dictamen G5 en perfil documental. Se conservan alcance parcial y deuda; diez parámetros totales.</x:v>
      </x:c>
      <x:c r="D11" s="4" t="str">
        <x:v>Diez es un tamaño administrativo solicitado; no una cuota de parámetros. Cada raíz puede cerrar sin parámetro</x:v>
      </x:c>
      <x:c r="E11" s="4" t="str">
        <x:v>Ledger que reduzca pendientes y preserve dependencias sin nuevas raíces silenciosas</x:v>
      </x:c>
      <x:c r="F11" s="4" t="str">
        <x:v>I005 §7.4; S011</x:v>
      </x:c>
      <x:c r="G11" s="4" t="str">
        <x:v>LOTE DOCUMENTAL EN 46–55</x:v>
      </x:c>
    </x:row>
    <x:row r="12" ht="47" customHeight="1">
      <x:c r="A12" s="4" t="str">
        <x:v>PC-08</x:v>
      </x:c>
      <x:c r="B12" s="4" t="str">
        <x:v>Cerrar A0 y propiedad</x:v>
      </x:c>
      <x:c r="C12" s="4" t="str">
        <x:v>Agotar raíces y distinguir parámetros, controles, operandos y bloqueos</x:v>
      </x:c>
      <x:c r="D12" s="4" t="str">
        <x:v>Únicos ≠ usos; un propietario por identidad. No extrapolar 29×27 ni decidir ahora cuántas matrices habrá</x:v>
      </x:c>
      <x:c r="E12" s="4" t="str">
        <x:v>Inventario finito y función de propiedad trazada</x:v>
      </x:c>
      <x:c r="F12" s="4" t="str">
        <x:v>I005 §7.3; S012</x:v>
      </x:c>
      <x:c r="G12" s="4" t="str">
        <x:v>PENDIENTE</x:v>
      </x:c>
    </x:row>
    <x:row r="13" ht="47" customHeight="1">
      <x:c r="A13" s="4" t="str">
        <x:v>PC-09</x:v>
      </x:c>
      <x:c r="B13" s="4" t="str">
        <x:v>Constituir matrices y rutas</x:v>
      </x:c>
      <x:c r="C13" s="4" t="str">
        <x:v>Agrupación semántica, referencias y contratos de composición tipados</x:v>
      </x:c>
      <x:c r="D13" s="4" t="str">
        <x:v>Sin relleno, duplicación o células menores; no tratar cada flecha de 28 como relación ya admitida</x:v>
      </x:c>
      <x:c r="E13" s="4" t="str">
        <x:v>G6/G7 con salidas, U, precedencias y autoridades justificadas</x:v>
      </x:c>
      <x:c r="F13" s="4" t="str">
        <x:v>I005 §7.2; S007 §7</x:v>
      </x:c>
      <x:c r="G13" s="4" t="str">
        <x:v>PENDIENTE</x:v>
      </x:c>
    </x:row>
    <x:row r="14" ht="47" customHeight="1">
      <x:c r="A14" s="4" t="str">
        <x:v>PC-10</x:v>
      </x:c>
      <x:c r="B14" s="4" t="str">
        <x:v>Contrastar y devolver</x:v>
      </x:c>
      <x:c r="C14" s="4" t="str">
        <x:v>Laboratorio autorizado, sensibilidad del observador y contraste de conservación/pérdida</x:v>
      </x:c>
      <x:c r="D14" s="4" t="str">
        <x:v>Distinguir pruebas ejecutadas de especificadas. No seguir buscando hasta obtener un defecto; no abrir segundo universo por conveniencia</x:v>
      </x:c>
      <x:c r="E14" s="4" t="str">
        <x:v>Paquete con resultado fundado y deuda atribuida a la sede competente</x:v>
      </x:c>
      <x:c r="F14" s="4" t="str">
        <x:v>I005 §§8–11</x:v>
      </x:c>
      <x:c r="G14" s="4" t="str">
        <x:v>PENDIENTE</x:v>
      </x:c>
    </x:row>
  </x:sheetData>
  <x:mergeCells>
    <x:mergeCell ref="A1:D1"/>
    <x:mergeCell ref="A2:F2"/>
  </x:mergeCells>
  <x:pageMargins left="0.7" right="0.7" top="0.75" bottom="0.75" header="0.3" footer="0.3"/>
  <x:tableParts count="1">
    <x:tablePart xmlns:r="http://schemas.openxmlformats.org/officeDocument/2006/relationships" r:id="R64c20dcd070643e4"/>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3" hidden="0" customWidth="1"/>
    <x:col min="2" max="2" width="57" hidden="0" customWidth="1"/>
    <x:col min="3" max="3" width="117" hidden="0" customWidth="1"/>
    <x:col min="4" max="4" width="53" hidden="0" customWidth="1"/>
    <x:col min="5" max="5" width="61" hidden="0" customWidth="1"/>
  </x:cols>
  <x:sheetData>
    <x:row r="1" ht="35" customHeight="1">
      <x:c r="A1" s="6" t="str">
        <x:v>ADVERSARIAL · grano, educación, autoridad y composición</x:v>
      </x:c>
      <x:c r="B1" s="6"/>
      <x:c r="C1" s="6"/>
      <x:c r="D1" s="6"/>
      <x:c r="E1" s="6"/>
    </x:row>
    <x:row r="2" ht="52" customHeight="1">
      <x:c r="A2" s="8" t="str">
        <x:v>Revisión interna documental de Watson. No auditoría independiente. Los controles estructurales de 31 no certifican causalidad, aprendizaje, ejecución profesional ni suficiencia del Lenguaje.</x:v>
      </x:c>
      <x:c r="B2" s="8"/>
      <x:c r="C2" s="8"/>
      <x:c r="D2" s="8"/>
      <x:c r="E2" s="8"/>
    </x:row>
    <x:row r="3">
      <x:c r="A3" s="4"/>
      <x:c r="B3" s="4"/>
      <x:c r="C3" s="4"/>
      <x:c r="D3" s="4"/>
      <x:c r="E3" s="4"/>
    </x:row>
    <x:row r="4" ht="42" customHeight="1">
      <x:c r="A4" s="10" t="str">
        <x:v>ID</x:v>
      </x:c>
      <x:c r="B4" s="10" t="str">
        <x:v>Ataque</x:v>
      </x:c>
      <x:c r="C4" s="10" t="str">
        <x:v>Respuesta y evidencia</x:v>
      </x:c>
      <x:c r="D4" s="10" t="str">
        <x:v>Resultado</x:v>
      </x:c>
      <x:c r="E4" s="10" t="str">
        <x:v>Localizador</x:v>
      </x:c>
    </x:row>
    <x:row r="5" ht="47" customHeight="1">
      <x:c r="A5" s="4" t="str">
        <x:v>AA-01</x:v>
      </x:c>
      <x:c r="B5" s="4" t="str">
        <x:v>Memoria convertida en inventario</x:v>
      </x:c>
      <x:c r="C5" s="4" t="str">
        <x:v>32 operaciones y 32 raíces son inventarios diferentes; 27 no es cuota; más de 600 únicos no acreditados.</x:v>
      </x:c>
      <x:c r="D5" s="4" t="str">
        <x:v>CORREGIDO EN EL ENCUADRE</x:v>
      </x:c>
      <x:c r="E5" s="4" t="str">
        <x:v>25; S010–S012</x:v>
      </x:c>
    </x:row>
    <x:row r="6" ht="47" customHeight="1">
      <x:c r="A6" s="4" t="str">
        <x:v>AA-02</x:v>
      </x:c>
      <x:c r="B6" s="4" t="str">
        <x:v>23 propios + 4 transversales</x:v>
      </x:c>
      <x:c r="C6" s="4" t="str">
        <x:v>G6 documenta cuatro parámetros con configuración pendiente y cuatro referencias cruzadas: no equivalencia entre ambas cosas.</x:v>
      </x:c>
      <x:c r="D6" s="4" t="str">
        <x:v>CORREGIDO EN EL ENCUADRE</x:v>
      </x:c>
      <x:c r="E6" s="4" t="str">
        <x:v>S012 §§4,7</x:v>
      </x:c>
    </x:row>
    <x:row r="7" ht="47" customHeight="1">
      <x:c r="A7" s="4" t="str">
        <x:v>AA-03</x:v>
      </x:c>
      <x:c r="B7" s="4" t="str">
        <x:v>Tamaños inmunológicos usados como arquitectura</x:v>
      </x:c>
      <x:c r="C7" s="4" t="str">
        <x:v>La Dirección corrige ese apoyo: los tamaños citados se conservan sólo como antecedente. No justifican células irregulares ni una vía de elusión con arrays.</x:v>
      </x:c>
      <x:c r="D7" s="4" t="str">
        <x:v>CORREGIDO POR MANDATO HUMANO</x:v>
      </x:c>
      <x:c r="E7" s="4" t="str">
        <x:v>25 DL-07; S014 §§1–3</x:v>
      </x:c>
    </x:row>
    <x:row r="8" ht="47" customHeight="1">
      <x:c r="A8" s="4" t="str">
        <x:v>AA-04</x:v>
      </x:c>
      <x:c r="B8" s="4" t="str">
        <x:v>Mapa presentado como cierre G0</x:v>
      </x:c>
      <x:c r="C8" s="4" t="str">
        <x:v>La v0.2 conserva reservas: este mapa es hipótesis de acotación pedida por el humano, no perímetro estabilizado ni universo admitido.</x:v>
      </x:c>
      <x:c r="D8" s="4" t="str">
        <x:v>RESERVA MATERIAL VISIBLE</x:v>
      </x:c>
      <x:c r="E8" s="4" t="str">
        <x:v>25; 26; 29 PC-01</x:v>
      </x:c>
    </x:row>
    <x:row r="9" ht="47" customHeight="1">
      <x:c r="A9" s="4" t="str">
        <x:v>AA-05</x:v>
      </x:c>
      <x:c r="B9" s="4" t="str">
        <x:v>Atribuir a la universidad las operaciones de Watson</x:v>
      </x:c>
      <x:c r="C9" s="4" t="str">
        <x:v>Las guías anclan conocimiento y actuación; las tuplas son síntesis profesional contrastable.</x:v>
      </x:c>
      <x:c r="D9" s="4" t="str">
        <x:v>PROTEGIDO DOCUMENTALMENTE</x:v>
      </x:c>
      <x:c r="E9" s="4" t="str">
        <x:v>26; 27</x:v>
      </x:c>
    </x:row>
    <x:row r="10" ht="47" customHeight="1">
      <x:c r="A10" s="4" t="str">
        <x:v>AA-06</x:v>
      </x:c>
      <x:c r="B10" s="4" t="str">
        <x:v>Veintinueve por semejanza con Inmunología</x:v>
      </x:c>
      <x:c r="C10" s="4" t="str">
        <x:v>Reexamen de 22 antecedentes: nuevas identidades por producto/autoridad/cierre; CYO-23 recibe dos enlaces, cuenta una vez.</x:v>
      </x:c>
      <x:c r="D10" s="4" t="str">
        <x:v>RECUENTO EXPLICADO</x:v>
      </x:c>
      <x:c r="E10" s="4" t="str">
        <x:v>33; 31</x:v>
      </x:c>
    </x:row>
    <x:row r="11" ht="47" customHeight="1">
      <x:c r="A11" s="4" t="str">
        <x:v>AA-07</x:v>
      </x:c>
      <x:c r="B11" s="4" t="str">
        <x:v>Fusionar alerta, detector y permiso de uso</x:v>
      </x:c>
      <x:c r="C11" s="4" t="str">
        <x:v>CYO-07, 23 y 15 difieren en producto y finalización. Informe técnico no es permiso.</x:v>
      </x:c>
      <x:c r="D11" s="4" t="str">
        <x:v>SEPARACIÓN CANDIDATA JUSTIFICADA</x:v>
      </x:c>
      <x:c r="E11" s="4" t="str">
        <x:v>26; R033; M002; M003</x:v>
      </x:c>
    </x:row>
    <x:row r="12" ht="47" customHeight="1">
      <x:c r="A12" s="4" t="str">
        <x:v>AA-08</x:v>
      </x:c>
      <x:c r="B12" s="4" t="str">
        <x:v>Partir todo por técnica o marca</x:v>
      </x:c>
      <x:c r="C12" s="4" t="str">
        <x:v>eBPF/P4/SDN y los tipos de modelo son medios o contenidos; no universos automáticos.</x:v>
      </x:c>
      <x:c r="D12" s="4" t="str">
        <x:v>INFLACIÓN RECHAZADA</x:v>
      </x:c>
      <x:c r="E12" s="4" t="str">
        <x:v>18 AN-06; 27</x:v>
      </x:c>
    </x:row>
    <x:row r="13" ht="47" customHeight="1">
      <x:c r="A13" s="4" t="str">
        <x:v>AA-09</x:v>
      </x:c>
      <x:c r="B13" s="4" t="str">
        <x:v>Plan equiparado a efecto material</x:v>
      </x:c>
      <x:c r="C13" s="4" t="str">
        <x:v>CYO-09/24 y CYO-11/25 tienen productos y cierre diferentes. Su catalogación no autoriza actuación.</x:v>
      </x:c>
      <x:c r="D13" s="4" t="str">
        <x:v>SEPARACIÓN CANDIDATA JUSTIFICADA</x:v>
      </x:c>
      <x:c r="E13" s="4" t="str">
        <x:v>26; 33</x:v>
      </x:c>
    </x:row>
    <x:row r="14" ht="47" customHeight="1">
      <x:c r="A14" s="4" t="str">
        <x:v>AA-10</x:v>
      </x:c>
      <x:c r="B14" s="4" t="str">
        <x:v>Duplicar estado por uso transversal</x:v>
      </x:c>
      <x:c r="C14" s="4" t="str">
        <x:v>Identidad y propietario deben permanecer únicos; aún no hay parámetros CYB para adjudicarlos.</x:v>
      </x:c>
      <x:c r="D14" s="4" t="str">
        <x:v>NO SE FABRICAN IDENTIDADES</x:v>
      </x:c>
      <x:c r="E14" s="4" t="str">
        <x:v>25 DL-12; S012</x:v>
      </x:c>
    </x:row>
    <x:row r="15" ht="47" customHeight="1">
      <x:c r="A15" s="4" t="str">
        <x:v>AA-11</x:v>
      </x:c>
      <x:c r="B15" s="4" t="str">
        <x:v>Reducir todo a enciclopedia</x:v>
      </x:c>
      <x:c r="C15" s="4" t="str">
        <x:v>Cada traza conserva conocimiento, saber hacer y consecuencia/límite; la base incluye progresión, prácticas, proyecto y evaluación.</x:v>
      </x:c>
      <x:c r="D15" s="4" t="str">
        <x:v>COBERTURA EDUCATIVA ESTRUCTURADA</x:v>
      </x:c>
      <x:c r="E15" s="4" t="str">
        <x:v>15–19; 27</x:v>
      </x:c>
    </x:row>
    <x:row r="16" ht="47" customHeight="1">
      <x:c r="A16" s="4" t="str">
        <x:v>AA-12</x:v>
      </x:c>
      <x:c r="B16" s="4" t="str">
        <x:v>Confundir cobertura de filas con suficiencia</x:v>
      </x:c>
      <x:c r="C16" s="4" t="str">
        <x:v>Todos los 40 cursos, 12 complementos y 8 necesidades tienen destino; no se ha probado exhaustividad de cada resultado o de toda la profesión.</x:v>
      </x:c>
      <x:c r="D16" s="4" t="str">
        <x:v>RESERVA MATERIAL VISIBLE</x:v>
      </x:c>
      <x:c r="E16" s="4" t="str">
        <x:v>27; 31</x:v>
      </x:c>
    </x:row>
    <x:row r="17" ht="47" customHeight="1">
      <x:c r="A17" s="4" t="str">
        <x:v>AA-13</x:v>
      </x:c>
      <x:c r="B17" s="4" t="str">
        <x:v>Consecuencia plausible declarada causal</x:v>
      </x:c>
      <x:c r="C17" s="4" t="str">
        <x:v>Son consecuencias potenciales de omisión para orientar G4; no daños observados ni causalidad probada.</x:v>
      </x:c>
      <x:c r="D17" s="4" t="str">
        <x:v>LÍMITE PROBATORIO EXPRESO</x:v>
      </x:c>
      <x:c r="E17" s="4" t="str">
        <x:v>19; 26; 27</x:v>
      </x:c>
    </x:row>
    <x:row r="18" ht="47" customHeight="1">
      <x:c r="A18" s="4" t="str">
        <x:v>AA-14</x:v>
      </x:c>
      <x:c r="B18" s="4" t="str">
        <x:v>Ley única para cualquier enlace</x:v>
      </x:c>
      <x:c r="C18" s="4" t="str">
        <x:v>Relación, codominio, interpretación y rol preceden al operador; no se instancia max ni gate a todas las flechas.</x:v>
      </x:c>
      <x:c r="D18" s="4" t="str">
        <x:v>PROTEGIDO DOCUMENTALMENTE</x:v>
      </x:c>
      <x:c r="E18" s="4" t="str">
        <x:v>28; S007 §7</x:v>
      </x:c>
    </x:row>
    <x:row r="19" ht="47" customHeight="1">
      <x:c r="A19" s="4" t="str">
        <x:v>AA-15</x:v>
      </x:c>
      <x:c r="B19" s="4" t="str">
        <x:v>Dominio equiparado a agente</x:v>
      </x:c>
      <x:c r="C19" s="4" t="str">
        <x:v>Se delimita conocimiento y producto. No se implementa un actor ni se le otorgan permisos por incluir respuesta profesional.</x:v>
      </x:c>
      <x:c r="D19" s="4" t="str">
        <x:v>PROTEGIDO DOCUMENTALMENTE</x:v>
      </x:c>
      <x:c r="E19" s="4" t="str">
        <x:v>25 DL-05; S001</x:v>
      </x:c>
    </x:row>
    <x:row r="20" ht="47" customHeight="1">
      <x:c r="A20" s="4" t="str">
        <x:v>AA-16</x:v>
      </x:c>
      <x:c r="B20" s="4" t="str">
        <x:v>Actualización automática por nueva fuente</x:v>
      </x:c>
      <x:c r="C20" s="4" t="str">
        <x:v>Novedad permanece candidata; cambio de catálogo externo no es un valor nuevo de Tri ni una admisión automática.</x:v>
      </x:c>
      <x:c r="D20" s="4" t="str">
        <x:v>PROTEGIDO DOCUMENTALMENTE</x:v>
      </x:c>
      <x:c r="E20" s="4" t="str">
        <x:v>25 DL-14; I005</x:v>
      </x:c>
    </x:row>
    <x:row r="21" ht="47" customHeight="1">
      <x:c r="A21" s="4" t="str">
        <x:v>AA-17</x:v>
      </x:c>
      <x:c r="B21" s="4" t="str">
        <x:v>Coste o estadística clausuran incertidumbre</x:v>
      </x:c>
      <x:c r="C21" s="4" t="str">
        <x:v>Valor protegido y coste total requieren alcance humano. Métrica no clasifica soberanamente SV ni permite borrar U.</x:v>
      </x:c>
      <x:c r="D21" s="4" t="str">
        <x:v>PROTEGIDO DOCUMENTALMENTE</x:v>
      </x:c>
      <x:c r="E21" s="4" t="str">
        <x:v>18 AN-05; 25 DL-15; S001</x:v>
      </x:c>
    </x:row>
    <x:row r="22" ht="47" customHeight="1">
      <x:c r="A22" s="4" t="str">
        <x:v>AA-18</x:v>
      </x:c>
      <x:c r="B22" s="4" t="str">
        <x:v>Atribuir lectura de libros a un índice</x:v>
      </x:c>
      <x:c r="C22" s="4" t="str">
        <x:v>PDF de seis páginas es índice; ITVIA devuelve 403. Sólo se usa doctrina íntegra disponible y se conserva la limitación de acceso.</x:v>
      </x:c>
      <x:c r="D22" s="4" t="str">
        <x:v>LIMITACIÓN DECLARADA</x:v>
      </x:c>
      <x:c r="E22" s="4" t="str">
        <x:v>32; S007–S009</x:v>
      </x:c>
    </x:row>
    <x:row r="23" ht="47" customHeight="1">
      <x:c r="A23" s="4" t="str">
        <x:v>AA-19</x:v>
      </x:c>
      <x:c r="B23" s="4" t="str">
        <x:v>Aceptar contradicción de portada de SVcustos</x:v>
      </x:c>
      <x:c r="C23" s="4" t="str">
        <x:v>README atribuye dos funciones a la sede y muestra 3×3 en columna de capas. Manifiesto y doctrina identifican las sedes y el vector; no se copia la ambigüedad.</x:v>
      </x:c>
      <x:c r="D23" s="4" t="str">
        <x:v>ANTECEDENTE EXTERNO NO MODIFICADO</x:v>
      </x:c>
      <x:c r="E23" s="4" t="str">
        <x:v>S001 §§3,7; S002 apertura y niveles</x:v>
      </x:c>
    </x:row>
    <x:row r="24" ht="47" customHeight="1">
      <x:c r="A24" s="4" t="str">
        <x:v>AA-20</x:v>
      </x:c>
      <x:c r="B24" s="4" t="str">
        <x:v>Forzar once parámetros</x:v>
      </x:c>
      <x:c r="C24" s="4" t="str">
        <x:v>Primer candidato y lote de hasta diez son ritmo de trabajo; cada distinción conserva posibles cierres no paramétricos.</x:v>
      </x:c>
      <x:c r="D24" s="4" t="str">
        <x:v>CUOTA RECHAZADA</x:v>
      </x:c>
      <x:c r="E24" s="4" t="str">
        <x:v>29 PC-05/07</x:v>
      </x:c>
    </x:row>
    <x:row r="25" ht="47" customHeight="1">
      <x:c r="A25" s="4" t="str">
        <x:v>AA-21</x:v>
      </x:c>
      <x:c r="B25" s="4" t="str">
        <x:v>Elegir por comodidad de las fuentes de IA</x:v>
      </x:c>
      <x:c r="C25" s="4" t="str">
        <x:v>Se retira la preferencia preparatoria por CYO-23. Primero se compararán consecuencias de omitir enlaces, evidencia, representatividad y finitud.</x:v>
      </x:c>
      <x:c r="D25" s="4" t="str">
        <x:v>REORIENTADO POR MANDATO HUMANO</x:v>
      </x:c>
      <x:c r="E25" s="4" t="str">
        <x:v>29 PC-02/03; 34</x:v>
      </x:c>
    </x:row>
    <x:row r="26" ht="47" customHeight="1">
      <x:c r="A26" s="4" t="str">
        <x:v>AA-22</x:v>
      </x:c>
      <x:c r="B26" s="4" t="str">
        <x:v>Aprendizaje en línea atribuido a la IA consejera</x:v>
      </x:c>
      <x:c r="C26" s="4" t="str">
        <x:v>La formación constituye la base admitida; durante el consejo sólo se usa ese conocimiento. Nuevos datos del caso no autorizan nuevas reglas.</x:v>
      </x:c>
      <x:c r="D26" s="4" t="str">
        <x:v>DISTINCIÓN EXPRESA</x:v>
      </x:c>
      <x:c r="E26" s="4" t="str">
        <x:v>25 DL-17; 35</x:v>
      </x:c>
    </x:row>
    <x:row r="27" ht="47" customHeight="1">
      <x:c r="A27" s="4" t="str">
        <x:v>AA-23</x:v>
      </x:c>
      <x:c r="B27" s="4" t="str">
        <x:v>Consecuencias reducidas a barreras de seguridad</x:v>
      </x:c>
      <x:c r="C27" s="4" t="str">
        <x:v>Se añaden ocho cadenas de omisión: conocimiento previo, enlace necesario, consejo defectuoso y consecuencia potencial. Orientan constitución, no sólo prohibiciones.</x:v>
      </x:c>
      <x:c r="D27" s="4" t="str">
        <x:v>MOTOR CONSTITUTIVO EXPLÍCITO</x:v>
      </x:c>
      <x:c r="E27" s="4" t="str">
        <x:v>34</x:v>
      </x:c>
    </x:row>
    <x:row r="28" ht="47" customHeight="1">
      <x:c r="A28" s="4" t="str">
        <x:v>AA-24</x:v>
      </x:c>
      <x:c r="B28" s="4" t="str">
        <x:v>Frame técnicamente válido pero consejo incompleto</x:v>
      </x:c>
      <x:c r="C28" s="4" t="str">
        <x:v>El cierre relacional de IR no acredita exhaustividad de conocimiento para una operación. Hace falta contrastar dependencias necesarias y sus consecuencias.</x:v>
      </x:c>
      <x:c r="D28" s="4" t="str">
        <x:v>RIESGO CENTRAL IDENTIFICADO</x:v>
      </x:c>
      <x:c r="E28" s="4" t="str">
        <x:v>S016 §4.7; 35</x:v>
      </x:c>
    </x:row>
    <x:row r="29" ht="47" customHeight="1">
      <x:c r="A29" s="4" t="str">
        <x:v>AA-25</x:v>
      </x:c>
      <x:c r="B29" s="4" t="str">
        <x:v>Responsabilidad trasladada a la IA</x:v>
      </x:c>
      <x:c r="C29" s="4" t="str">
        <x:v>La IA es consejera vinculada al experto; su explicación no equivale a decisión ni descarga la responsabilidad humana fijada por el encargo.</x:v>
      </x:c>
      <x:c r="D29" s="4" t="str">
        <x:v>AUTORIDAD CONSERVADA</x:v>
      </x:c>
      <x:c r="E29" s="4" t="str">
        <x:v>I005 cierre; mandato humano</x:v>
      </x:c>
    </x:row>
  </x:sheetData>
  <x:mergeCells>
    <x:mergeCell ref="A1:D1"/>
    <x:mergeCell ref="A2:E2"/>
  </x:mergeCells>
  <x:pageMargins left="0.7" right="0.7" top="0.75" bottom="0.75" header="0.3" footer="0.3"/>
  <x:tableParts count="1">
    <x:tablePart xmlns:r="http://schemas.openxmlformats.org/officeDocument/2006/relationships" r:id="R161ab8b143b04e1f"/>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5" hidden="0" customWidth="1"/>
    <x:col min="2" max="2" width="68" hidden="0" customWidth="1"/>
    <x:col min="3" max="3" width="37" hidden="0" customWidth="1"/>
    <x:col min="4" max="4" width="38" hidden="0" customWidth="1"/>
    <x:col min="5" max="5" width="109" hidden="0" customWidth="1"/>
  </x:cols>
  <x:sheetData>
    <x:row r="1" ht="35" customHeight="1">
      <x:c r="A1" s="6" t="str">
        <x:v>CONTROL · cobertura, referencias y sensibilidad</x:v>
      </x:c>
      <x:c r="B1" s="6"/>
      <x:c r="C1" s="6"/>
      <x:c r="D1" s="6"/>
      <x:c r="E1" s="6"/>
    </x:row>
    <x:row r="2" ht="52" customHeight="1">
      <x:c r="A2" s="8" t="str">
        <x:v>Fórmulas derivadas del contenido. Las mutaciones documentan sensibilidad de estos controles; no prueban suficiencia profesional, causalidad ni ejecución SV.</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CA-01</x:v>
      </x:c>
      <x:c r="B5" s="4" t="str">
        <x:v>Operaciones candidatas</x:v>
      </x:c>
      <x:c r="C5" s="14" t="n">
        <x:f>COUNTA('26_Mapa_universos'!$A$5:$A$33)</x:f>
        <x:v>29</x:v>
      </x:c>
      <x:c r="D5" s="15" t="n">
        <x:v>29</x:v>
      </x:c>
      <x:c r="E5" s="4" t="str">
        <x:v>Cardinalidad de identidades; no universos constituidos.</x:v>
      </x:c>
    </x:row>
    <x:row r="6" ht="47" customHeight="1">
      <x:c r="A6" s="4" t="str">
        <x:v>CA-02</x:v>
      </x:c>
      <x:c r="B6" s="4" t="str">
        <x:v>Fronteras condicionadas</x:v>
      </x:c>
      <x:c r="C6" s="14" t="n">
        <x:f>COUNTIF('26_Mapa_universos'!$M$5:$M$33,"FRONTERA CONDICIONADA")</x:f>
        <x:v>1</x:v>
      </x:c>
      <x:c r="D6" s="15" t="n">
        <x:v>1</x:v>
      </x:c>
      <x:c r="E6" s="4" t="str">
        <x:v>CYO-20; separada del núcleo de trabajo.</x:v>
      </x:c>
    </x:row>
    <x:row r="7" ht="47" customHeight="1">
      <x:c r="A7" s="4" t="str">
        <x:v>CA-03</x:v>
      </x:c>
      <x:c r="B7" s="4" t="str">
        <x:v>Duplicados o identidad incompleta</x:v>
      </x:c>
      <x:c r="C7" s="14" t="n">
        <x:f>SUM('26_Mapa_universos'!N5:O33)</x:f>
        <x:v>0</x:v>
      </x:c>
      <x:c r="D7" s="15" t="n">
        <x:v>0</x:v>
      </x:c>
      <x:c r="E7" s="4" t="str">
        <x:v>Campos de la tupla presentes; no prueba equivalencia semántica.</x:v>
      </x:c>
    </x:row>
    <x:row r="8" ht="47" customHeight="1">
      <x:c r="A8" s="4" t="str">
        <x:v>CA-04</x:v>
      </x:c>
      <x:c r="B8" s="4" t="str">
        <x:v>Destinos / fuentes de trazas inválidos</x:v>
      </x:c>
      <x:c r="C8" s="14" t="n">
        <x:f>SUM('27_Cobertura_aprendizaje'!K5:L131)</x:f>
        <x:v>0</x:v>
      </x:c>
      <x:c r="D8" s="15" t="n">
        <x:v>0</x:v>
      </x:c>
      <x:c r="E8" s="4" t="str">
        <x:v>Admite TRANSVERSAL y RESERVA expresamente.</x:v>
      </x:c>
    </x:row>
    <x:row r="9" ht="47" customHeight="1">
      <x:c r="A9" s="4" t="str">
        <x:v>CA-05</x:v>
      </x:c>
      <x:c r="B9" s="4" t="str">
        <x:v>Asignaturas sin destino</x:v>
      </x:c>
      <x:c r="C9" s="14" t="n">
        <x:f>IF(COUNTIF('27_Cobertura_aprendizaje'!$B$5:$B$131,"URJC-01")&gt;0,0,1)+IF(COUNTIF('27_Cobertura_aprendizaje'!$B$5:$B$131,"URJC-02")&gt;0,0,1)+IF(COUNTIF('27_Cobertura_aprendizaje'!$B$5:$B$131,"URJC-03")&gt;0,0,1)+IF(COUNTIF('27_Cobertura_aprendizaje'!$B$5:$B$131,"URJC-04")&gt;0,0,1)+IF(COUNTIF('27_Cobertura_aprendizaje'!$B$5:$B$131,"URJC-05")&gt;0,0,1)+IF(COUNTIF('27_Cobertura_aprendizaje'!$B$5:$B$131,"URJC-06")&gt;0,0,1)+IF(COUNTIF('27_Cobertura_aprendizaje'!$B$5:$B$131,"URJC-07")&gt;0,0,1)+IF(COUNTIF('27_Cobertura_aprendizaje'!$B$5:$B$131,"URJC-08")&gt;0,0,1)+IF(COUNTIF('27_Cobertura_aprendizaje'!$B$5:$B$131,"URJC-09")&gt;0,0,1)+IF(COUNTIF('27_Cobertura_aprendizaje'!$B$5:$B$131,"URJC-10")&gt;0,0,1)+IF(COUNTIF('27_Cobertura_aprendizaje'!$B$5:$B$131,"URJC-11")&gt;0,0,1)+IF(COUNTIF('27_Cobertura_aprendizaje'!$B$5:$B$131,"URJC-12")&gt;0,0,1)+IF(COUNTIF('27_Cobertura_aprendizaje'!$B$5:$B$131,"URJC-13")&gt;0,0,1)+IF(COUNTIF('27_Cobertura_aprendizaje'!$B$5:$B$131,"URJC-14")&gt;0,0,1)+IF(COUNTIF('27_Cobertura_aprendizaje'!$B$5:$B$131,"URJC-15")&gt;0,0,1)+IF(COUNTIF('27_Cobertura_aprendizaje'!$B$5:$B$131,"URJC-16")&gt;0,0,1)+IF(COUNTIF('27_Cobertura_aprendizaje'!$B$5:$B$131,"URJC-17")&gt;0,0,1)+IF(COUNTIF('27_Cobertura_aprendizaje'!$B$5:$B$131,"URJC-18")&gt;0,0,1)+IF(COUNTIF('27_Cobertura_aprendizaje'!$B$5:$B$131,"URJC-19")&gt;0,0,1)+IF(COUNTIF('27_Cobertura_aprendizaje'!$B$5:$B$131,"URJC-20")&gt;0,0,1)+IF(COUNTIF('27_Cobertura_aprendizaje'!$B$5:$B$131,"URJC-21")&gt;0,0,1)+IF(COUNTIF('27_Cobertura_aprendizaje'!$B$5:$B$131,"URJC-22")&gt;0,0,1)+IF(COUNTIF('27_Cobertura_aprendizaje'!$B$5:$B$131,"URJC-23")&gt;0,0,1)+IF(COUNTIF('27_Cobertura_aprendizaje'!$B$5:$B$131,"URJC-24")&gt;0,0,1)+IF(COUNTIF('27_Cobertura_aprendizaje'!$B$5:$B$131,"URJC-25")&gt;0,0,1)+IF(COUNTIF('27_Cobertura_aprendizaje'!$B$5:$B$131,"URJC-26")&gt;0,0,1)+IF(COUNTIF('27_Cobertura_aprendizaje'!$B$5:$B$131,"URJC-27")&gt;0,0,1)+IF(COUNTIF('27_Cobertura_aprendizaje'!$B$5:$B$131,"URJC-28")&gt;0,0,1)+IF(COUNTIF('27_Cobertura_aprendizaje'!$B$5:$B$131,"URJC-29")&gt;0,0,1)+IF(COUNTIF('27_Cobertura_aprendizaje'!$B$5:$B$131,"URJC-30")&gt;0,0,1)+IF(COUNTIF('27_Cobertura_aprendizaje'!$B$5:$B$131,"URJC-31")&gt;0,0,1)+IF(COUNTIF('27_Cobertura_aprendizaje'!$B$5:$B$131,"URJC-32")&gt;0,0,1)+IF(COUNTIF('27_Cobertura_aprendizaje'!$B$5:$B$131,"URJC-33")&gt;0,0,1)+IF(COUNTIF('27_Cobertura_aprendizaje'!$B$5:$B$131,"URJC-34")&gt;0,0,1)+IF(COUNTIF('27_Cobertura_aprendizaje'!$B$5:$B$131,"URJC-35")&gt;0,0,1)+IF(COUNTIF('27_Cobertura_aprendizaje'!$B$5:$B$131,"URJC-36")&gt;0,0,1)+IF(COUNTIF('27_Cobertura_aprendizaje'!$B$5:$B$131,"URJC-37")&gt;0,0,1)+IF(COUNTIF('27_Cobertura_aprendizaje'!$B$5:$B$131,"URJC-38")&gt;0,0,1)+IF(COUNTIF('27_Cobertura_aprendizaje'!$B$5:$B$131,"URJC-39")&gt;0,0,1)+IF(COUNTIF('27_Cobertura_aprendizaje'!$B$5:$B$131,"URJC-40")&gt;0,0,1)</x:f>
        <x:v>0</x:v>
      </x:c>
      <x:c r="D9" s="15" t="n">
        <x:v>0</x:v>
      </x:c>
      <x:c r="E9" s="4" t="str">
        <x:v>Cobertura por unidad de inventario, no todo el temario.</x:v>
      </x:c>
    </x:row>
    <x:row r="10" ht="47" customHeight="1">
      <x:c r="A10" s="4" t="str">
        <x:v>CA-06</x:v>
      </x:c>
      <x:c r="B10" s="4" t="str">
        <x:v>Complementos sin destino o reserva</x:v>
      </x:c>
      <x:c r="C10" s="14" t="n">
        <x:f>IF(COUNTIF('27_Cobertura_aprendizaje'!$B$5:$B$131,"CE-01")&gt;0,0,1)+IF(COUNTIF('27_Cobertura_aprendizaje'!$B$5:$B$131,"CE-02")&gt;0,0,1)+IF(COUNTIF('27_Cobertura_aprendizaje'!$B$5:$B$131,"CE-03")&gt;0,0,1)+IF(COUNTIF('27_Cobertura_aprendizaje'!$B$5:$B$131,"CE-04")&gt;0,0,1)+IF(COUNTIF('27_Cobertura_aprendizaje'!$B$5:$B$131,"CE-05")&gt;0,0,1)+IF(COUNTIF('27_Cobertura_aprendizaje'!$B$5:$B$131,"CE-06")&gt;0,0,1)+IF(COUNTIF('27_Cobertura_aprendizaje'!$B$5:$B$131,"CE-07")&gt;0,0,1)+IF(COUNTIF('27_Cobertura_aprendizaje'!$B$5:$B$131,"CE-08")&gt;0,0,1)+IF(COUNTIF('27_Cobertura_aprendizaje'!$B$5:$B$131,"CE-09")&gt;0,0,1)+IF(COUNTIF('27_Cobertura_aprendizaje'!$B$5:$B$131,"CE-10")&gt;0,0,1)+IF(COUNTIF('27_Cobertura_aprendizaje'!$B$5:$B$131,"CE-11")&gt;0,0,1)+IF(COUNTIF('27_Cobertura_aprendizaje'!$B$5:$B$131,"CE-12")&gt;0,0,1)</x:f>
        <x:v>0</x:v>
      </x:c>
      <x:c r="D10" s="15" t="n">
        <x:v>0</x:v>
      </x:c>
      <x:c r="E10" s="4" t="str">
        <x:v>Doce decisiones; no doce adiciones de conocimiento.</x:v>
      </x:c>
    </x:row>
    <x:row r="11" ht="47" customHeight="1">
      <x:c r="A11" s="4" t="str">
        <x:v>CA-07</x:v>
      </x:c>
      <x:c r="B11" s="4" t="str">
        <x:v>Necesidades humanas sin destino</x:v>
      </x:c>
      <x:c r="C11" s="14" t="n">
        <x:f>IF(COUNTIF('27_Cobertura_aprendizaje'!$B$5:$B$131,"AN-01")&gt;0,0,1)+IF(COUNTIF('27_Cobertura_aprendizaje'!$B$5:$B$131,"AN-02")&gt;0,0,1)+IF(COUNTIF('27_Cobertura_aprendizaje'!$B$5:$B$131,"AN-03")&gt;0,0,1)+IF(COUNTIF('27_Cobertura_aprendizaje'!$B$5:$B$131,"AN-04")&gt;0,0,1)+IF(COUNTIF('27_Cobertura_aprendizaje'!$B$5:$B$131,"AN-05")&gt;0,0,1)+IF(COUNTIF('27_Cobertura_aprendizaje'!$B$5:$B$131,"AN-06")&gt;0,0,1)+IF(COUNTIF('27_Cobertura_aprendizaje'!$B$5:$B$131,"AN-07")&gt;0,0,1)+IF(COUNTIF('27_Cobertura_aprendizaje'!$B$5:$B$131,"AN-08")&gt;0,0,1)</x:f>
        <x:v>0</x:v>
      </x:c>
      <x:c r="D11" s="15" t="n">
        <x:v>0</x:v>
      </x:c>
      <x:c r="E11" s="4" t="str">
        <x:v>Ocho necesidades; situación y reservas conservadas.</x:v>
      </x:c>
    </x:row>
    <x:row r="12" ht="47" customHeight="1">
      <x:c r="A12" s="4" t="str">
        <x:v>CA-08</x:v>
      </x:c>
      <x:c r="B12" s="4" t="str">
        <x:v>Operaciones sin traza educativa</x:v>
      </x:c>
      <x:c r="C12" s="14" t="n">
        <x:f>IF(COUNTIF('27_Cobertura_aprendizaje'!$D$5:$D$131,"CYO-01")&gt;0,0,1)+IF(COUNTIF('27_Cobertura_aprendizaje'!$D$5:$D$131,"CYO-02")&gt;0,0,1)+IF(COUNTIF('27_Cobertura_aprendizaje'!$D$5:$D$131,"CYO-03")&gt;0,0,1)+IF(COUNTIF('27_Cobertura_aprendizaje'!$D$5:$D$131,"CYO-04")&gt;0,0,1)+IF(COUNTIF('27_Cobertura_aprendizaje'!$D$5:$D$131,"CYO-05")&gt;0,0,1)+IF(COUNTIF('27_Cobertura_aprendizaje'!$D$5:$D$131,"CYO-06")&gt;0,0,1)+IF(COUNTIF('27_Cobertura_aprendizaje'!$D$5:$D$131,"CYO-07")&gt;0,0,1)+IF(COUNTIF('27_Cobertura_aprendizaje'!$D$5:$D$131,"CYO-08")&gt;0,0,1)+IF(COUNTIF('27_Cobertura_aprendizaje'!$D$5:$D$131,"CYO-09")&gt;0,0,1)+IF(COUNTIF('27_Cobertura_aprendizaje'!$D$5:$D$131,"CYO-10")&gt;0,0,1)+IF(COUNTIF('27_Cobertura_aprendizaje'!$D$5:$D$131,"CYO-11")&gt;0,0,1)+IF(COUNTIF('27_Cobertura_aprendizaje'!$D$5:$D$131,"CYO-12")&gt;0,0,1)+IF(COUNTIF('27_Cobertura_aprendizaje'!$D$5:$D$131,"CYO-13")&gt;0,0,1)+IF(COUNTIF('27_Cobertura_aprendizaje'!$D$5:$D$131,"CYO-14")&gt;0,0,1)+IF(COUNTIF('27_Cobertura_aprendizaje'!$D$5:$D$131,"CYO-15")&gt;0,0,1)+IF(COUNTIF('27_Cobertura_aprendizaje'!$D$5:$D$131,"CYO-16")&gt;0,0,1)+IF(COUNTIF('27_Cobertura_aprendizaje'!$D$5:$D$131,"CYO-17")&gt;0,0,1)+IF(COUNTIF('27_Cobertura_aprendizaje'!$D$5:$D$131,"CYO-18")&gt;0,0,1)+IF(COUNTIF('27_Cobertura_aprendizaje'!$D$5:$D$131,"CYO-19")&gt;0,0,1)+IF(COUNTIF('27_Cobertura_aprendizaje'!$D$5:$D$131,"CYO-20")&gt;0,0,1)+IF(COUNTIF('27_Cobertura_aprendizaje'!$D$5:$D$131,"CYO-21")&gt;0,0,1)+IF(COUNTIF('27_Cobertura_aprendizaje'!$D$5:$D$131,"CYO-22")&gt;0,0,1)+IF(COUNTIF('27_Cobertura_aprendizaje'!$D$5:$D$131,"CYO-23")&gt;0,0,1)+IF(COUNTIF('27_Cobertura_aprendizaje'!$D$5:$D$131,"CYO-24")&gt;0,0,1)+IF(COUNTIF('27_Cobertura_aprendizaje'!$D$5:$D$131,"CYO-25")&gt;0,0,1)+IF(COUNTIF('27_Cobertura_aprendizaje'!$D$5:$D$131,"CYO-26")&gt;0,0,1)+IF(COUNTIF('27_Cobertura_aprendizaje'!$D$5:$D$131,"CYO-27")&gt;0,0,1)+IF(COUNTIF('27_Cobertura_aprendizaje'!$D$5:$D$131,"CYO-28")&gt;0,0,1)+IF(COUNTIF('27_Cobertura_aprendizaje'!$D$5:$D$131,"CYO-29")&gt;0,0,1)</x:f>
        <x:v>0</x:v>
      </x:c>
      <x:c r="D12" s="15" t="n">
        <x:v>0</x:v>
      </x:c>
      <x:c r="E12" s="4" t="str">
        <x:v>Tener ancla no acredita fuente operacional suficiente.</x:v>
      </x:c>
    </x:row>
    <x:row r="13" ht="47" customHeight="1">
      <x:c r="A13" s="4" t="str">
        <x:v>CA-09</x:v>
      </x:c>
      <x:c r="B13" s="4" t="str">
        <x:v>Extremos inválidos de relaciones</x:v>
      </x:c>
      <x:c r="C13" s="14" t="n">
        <x:f>SUM('28_Relaciones_candidatas'!J5:K18)</x:f>
        <x:v>0</x:v>
      </x:c>
      <x:c r="D13" s="15" t="n">
        <x:v>0</x:v>
      </x:c>
      <x:c r="E13" s="4" t="str">
        <x:v>No comprueba todavía compatibilidad de codominios.</x:v>
      </x:c>
    </x:row>
    <x:row r="14" ht="47" customHeight="1">
      <x:c r="A14" s="4" t="str">
        <x:v>CA-10</x:v>
      </x:c>
      <x:c r="B14" s="4" t="str">
        <x:v>Destinos inválidos del mapa histórico</x:v>
      </x:c>
      <x:c r="C14" s="14" t="n">
        <x:f>SUM('33_Correspondencia_mapa'!$F$5:$F$34)</x:f>
        <x:v>0</x:v>
      </x:c>
      <x:c r="D14" s="15" t="n">
        <x:v>0</x:v>
      </x:c>
      <x:c r="E14" s="4" t="str">
        <x:v>CYO-23 se cuenta una vez aunque reciba dos antecedentes.</x:v>
      </x:c>
    </x:row>
    <x:row r="15" ht="47" customHeight="1">
      <x:c r="A15" s="4" t="str">
        <x:v>CA-11</x:v>
      </x:c>
      <x:c r="B15" s="4" t="str">
        <x:v>Fuentes de método: identidad / huella</x:v>
      </x:c>
      <x:c r="C15" s="14" t="n">
        <x:f>SUM('32_Fuentes_metodo'!I5:J23)</x:f>
        <x:v>0</x:v>
      </x:c>
      <x:c r="D15" s="15" t="n">
        <x:v>0</x:v>
      </x:c>
      <x:c r="E15" s="4" t="str">
        <x:v>Control formal; los bytes se verifican externamente.</x:v>
      </x:c>
    </x:row>
    <x:row r="16" ht="47" customHeight="1">
      <x:c r="A16" s="4" t="str">
        <x:v>CA-12</x:v>
      </x:c>
      <x:c r="B16" s="4" t="str">
        <x:v>Discordancias del control curricular v0.2</x:v>
      </x:c>
      <x:c r="C16" s="14"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c r="D16" s="15" t="n">
        <x:v>0</x:v>
      </x:c>
      <x:c r="E16" s="4" t="str">
        <x:v>Controles anteriores conservados y reejecutados.</x:v>
      </x:c>
    </x:row>
    <x:row r="17" ht="47" customHeight="1">
      <x:c r="A17" s="4" t="str">
        <x:v>CA-13</x:v>
      </x:c>
      <x:c r="B17" s="4" t="str">
        <x:v>Cadenas de omisión incompletas o con referencia inválida</x:v>
      </x:c>
      <x:c r="C17" s="14" t="n">
        <x:f>SUM('34_Consecuencias_enlace'!P5:R12)</x:f>
        <x:v>0</x:v>
      </x:c>
      <x:c r="D17" s="15" t="n">
        <x:v>0</x:v>
      </x:c>
      <x:c r="E17" s="4" t="str">
        <x:v>Ocho testigos especificados; no campaña operacional ejecutada.</x:v>
      </x:c>
    </x:row>
    <x:row r="18" ht="47" customHeight="1">
      <x:c r="A18" s="4" t="str">
        <x:v>MA-01</x:v>
      </x:c>
      <x:c r="B18" s="4" t="str">
        <x:v>Identidad operacional duplicada</x:v>
      </x:c>
      <x:c r="C18" s="4" t="str">
        <x:v>DETECTADO Y RESTAURADO</x:v>
      </x:c>
      <x:c r="D18" s="4" t="str">
        <x:v>DETECTADO Y RESTAURADO</x:v>
      </x:c>
      <x:c r="E18" s="4" t="str">
        <x:v>Mutación sobre copia de trabajo; original restaurado.</x:v>
      </x:c>
    </x:row>
    <x:row r="19" ht="47" customHeight="1">
      <x:c r="A19" s="4" t="str">
        <x:v>MA-02</x:v>
      </x:c>
      <x:c r="B19" s="4" t="str">
        <x:v>Campo de identidad vacío</x:v>
      </x:c>
      <x:c r="C19" s="4" t="str">
        <x:v>DETECTADO Y RESTAURADO</x:v>
      </x:c>
      <x:c r="D19" s="4" t="str">
        <x:v>DETECTADO Y RESTAURADO</x:v>
      </x:c>
      <x:c r="E19" s="4" t="str">
        <x:v>Mutación sobre copia de trabajo; original restaurado.</x:v>
      </x:c>
    </x:row>
    <x:row r="20" ht="47" customHeight="1">
      <x:c r="A20" s="4" t="str">
        <x:v>MA-03</x:v>
      </x:c>
      <x:c r="B20" s="4" t="str">
        <x:v>Destino de traza inexistente</x:v>
      </x:c>
      <x:c r="C20" s="4" t="str">
        <x:v>DETECTADO Y RESTAURADO</x:v>
      </x:c>
      <x:c r="D20" s="4" t="str">
        <x:v>DETECTADO Y RESTAURADO</x:v>
      </x:c>
      <x:c r="E20" s="4" t="str">
        <x:v>Mutación sobre copia de trabajo; original restaurado.</x:v>
      </x:c>
    </x:row>
    <x:row r="21" ht="47" customHeight="1">
      <x:c r="A21" s="4" t="str">
        <x:v>MA-04</x:v>
      </x:c>
      <x:c r="B21" s="4" t="str">
        <x:v>Asignatura privada de su destino</x:v>
      </x:c>
      <x:c r="C21" s="4" t="str">
        <x:v>DETECTADO Y RESTAURADO</x:v>
      </x:c>
      <x:c r="D21" s="4" t="str">
        <x:v>DETECTADO Y RESTAURADO</x:v>
      </x:c>
      <x:c r="E21" s="4" t="str">
        <x:v>Mutación sobre copia de trabajo; original restaurado.</x:v>
      </x:c>
    </x:row>
    <x:row r="22" ht="47" customHeight="1">
      <x:c r="A22" s="4" t="str">
        <x:v>MA-05</x:v>
      </x:c>
      <x:c r="B22" s="4" t="str">
        <x:v>Relación con extremo inexistente</x:v>
      </x:c>
      <x:c r="C22" s="4" t="str">
        <x:v>DETECTADO Y RESTAURADO</x:v>
      </x:c>
      <x:c r="D22" s="4" t="str">
        <x:v>DETECTADO Y RESTAURADO</x:v>
      </x:c>
      <x:c r="E22" s="4" t="str">
        <x:v>Mutación sobre copia de trabajo; original restaurado.</x:v>
      </x:c>
    </x:row>
    <x:row r="23" ht="47" customHeight="1">
      <x:c r="A23" s="4" t="str">
        <x:v>MA-06</x:v>
      </x:c>
      <x:c r="B23" s="4" t="str">
        <x:v>Unidad complementaria privada de su destino</x:v>
      </x:c>
      <x:c r="C23" s="4" t="str">
        <x:v>DETECTADO Y RESTAURADO</x:v>
      </x:c>
      <x:c r="D23" s="4" t="str">
        <x:v>DETECTADO Y RESTAURADO</x:v>
      </x:c>
      <x:c r="E23" s="4" t="str">
        <x:v>Mutación sobre copia de trabajo; original restaurado.</x:v>
      </x:c>
    </x:row>
    <x:row r="24" ht="47" customHeight="1">
      <x:c r="A24" s="4" t="str">
        <x:v>MA-07</x:v>
      </x:c>
      <x:c r="B24" s="4" t="str">
        <x:v>Conocimiento necesario ausente en cadena de consejo</x:v>
      </x:c>
      <x:c r="C24" s="4" t="str">
        <x:v>DETECTADO Y RESTAURADO</x:v>
      </x:c>
      <x:c r="D24" s="4" t="str">
        <x:v>DETECTADO Y RESTAURADO</x:v>
      </x:c>
      <x:c r="E24" s="4" t="str">
        <x:v>Sólo sensibilidad del control estructural de la cadena.</x:v>
      </x:c>
    </x:row>
    <x:row r="25" ht="47" customHeight="1">
      <x:c r="A25" s="4" t="str">
        <x:v>DICTAMEN</x:v>
      </x:c>
      <x:c r="B25" s="4" t="str">
        <x:v>PREACOTACIÓN PARA CONTRASTE</x:v>
      </x:c>
      <x:c r="C25" s="4" t="str">
        <x:v>CON RESERVAS EXPLÍCITAS</x:v>
      </x:c>
      <x:c r="D25" s="4" t="str">
        <x:v>NO CIERRE G0</x:v>
      </x:c>
      <x:c r="E25" s="4" t="str">
        <x:v>No selecciona ni constituye el primer universo.</x:v>
      </x:c>
    </x:row>
  </x:sheetData>
  <x:mergeCells>
    <x:mergeCell ref="A1:D1"/>
    <x:mergeCell ref="A2:E2"/>
  </x:mergeCells>
  <x:conditionalFormatting sqref="C5:C17">
    <x:cfRule type="expression" dxfId="21" priority="1">
      <x:formula>C5&lt;&gt;D5</x:formula>
    </x:cfRule>
  </x:conditionalFormatting>
  <x:pageMargins left="0.7" right="0.7" top="0.75" bottom="0.75" header="0.3" footer="0.3"/>
  <x:tableParts count="1">
    <x:tablePart xmlns:r="http://schemas.openxmlformats.org/officeDocument/2006/relationships" r:id="R770ebb8dddf343e4"/>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 hidden="0" customWidth="1"/>
    <x:col min="2" max="2" width="110" hidden="0" customWidth="1"/>
    <x:col min="3" max="3" width="24" hidden="0" customWidth="1"/>
    <x:col min="4" max="4" width="21" hidden="0" customWidth="1"/>
    <x:col min="5" max="5" width="69" hidden="0" customWidth="1"/>
    <x:col min="6" max="6" width="106" hidden="0" customWidth="1"/>
    <x:col min="7" max="7" width="67" hidden="0" customWidth="1"/>
    <x:col min="8" max="8" width="72" hidden="0" customWidth="1"/>
    <x:col min="9" max="9" width="16" hidden="0" customWidth="1"/>
    <x:col min="10" max="10" width="20" hidden="0" customWidth="1"/>
  </x:cols>
  <x:sheetData>
    <x:row r="1" ht="35" customHeight="1">
      <x:c r="A1" s="6" t="str">
        <x:v>FUENTES · cortes de doctrina y experiencia contrastados</x:v>
      </x:c>
      <x:c r="B1" s="6"/>
      <x:c r="C1" s="6"/>
      <x:c r="D1" s="6"/>
      <x:c r="E1" s="6"/>
      <x:c r="F1" s="6"/>
      <x:c r="G1" s="6"/>
      <x:c r="H1" s="6"/>
      <x:c r="I1" s="6"/>
      <x:c r="J1" s="6"/>
    </x:row>
    <x:row r="2" ht="52" customHeight="1">
      <x:c r="A2" s="8" t="str">
        <x:v>Diecinueve registros: quince archivos disponibles y cuatro accesos rechazados. Los Documentos III y V se recuperaron íntegros en la sede doctrinal. No se declara lectura íntegra de los libros ITVIA.</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URL / identidad</x:v>
      </x:c>
      <x:c r="C4" s="10" t="str">
        <x:v>Adquisición</x:v>
      </x:c>
      <x:c r="D4" s="10" t="str">
        <x:v>Bytes · texto</x:v>
      </x:c>
      <x:c r="E4" s="10" t="str">
        <x:v>SHA-256</x:v>
      </x:c>
      <x:c r="F4" s="10" t="str">
        <x:v>Alcance de lectura</x:v>
      </x:c>
      <x:c r="G4" s="10" t="str">
        <x:v>Corte Git o límite</x:v>
      </x:c>
      <x:c r="H4" s="10" t="str">
        <x:v>Blob Git / incidencia</x:v>
      </x:c>
      <x:c r="I4" s="10" t="str">
        <x:v>Duplicado</x:v>
      </x:c>
      <x:c r="J4" s="10" t="str">
        <x:v>Huella defectuosa</x:v>
      </x:c>
    </x:row>
    <x:row r="5" ht="60" customHeight="1">
      <x:c r="A5" s="4" t="str">
        <x:v>S001</x:v>
      </x:c>
      <x:c r="B5" s="4" t="str">
        <x:v>https://raw.githubusercontent.com/juantoniolloretegea/SVcustos-dataset/5e0ed66c62fe753b6e94af500ec00f2674fb92e7/MANIFIESTO_DE_ARQUITECTURA_DERECHOS_OBLIGACIONES_GARANTIAS_Y_FUNDAMENTOS_DEL_SISTEMA_VECTORIAL_SV_V1.md</x:v>
      </x:c>
      <x:c r="C5" s="4" t="str">
        <x:v>CAPTURADO</x:v>
      </x:c>
      <x:c r="D5" s="4" t="str">
        <x:v>8768</x:v>
      </x:c>
      <x:c r="E5" s="4" t="str">
        <x:v>d7308508f352878576017fa515519ec15da1a53a6615523e61c09d7fd57c37d2</x:v>
      </x:c>
      <x:c r="F5" s="4" t="str">
        <x:v>Texto íntegro del manifiesto; arquitectura, invariantes y subordinación.</x:v>
      </x:c>
      <x:c r="G5" s="4" t="str">
        <x:v>5e0ed66c62fe753b6e94af500ec00f2674fb92e7</x:v>
      </x:c>
      <x:c r="H5" s="4" t="str"/>
      <x:c r="I5" s="12" t="n">
        <x:f>COUNTIF('32_Fuentes_metodo'!$A$5:$A$23,A5)-1</x:f>
        <x:v>0</x:v>
      </x:c>
      <x:c r="J5" s="12" t="n">
        <x:f>IF(C5="CAPTURADO",IF(LEN(E5)=64,0,1),0)</x:f>
        <x:v>0</x:v>
      </x:c>
    </x:row>
    <x:row r="6" ht="47" customHeight="1">
      <x:c r="A6" s="4" t="str">
        <x:v>S002</x:v>
      </x:c>
      <x:c r="B6" s="4" t="str">
        <x:v>https://raw.githubusercontent.com/juantoniolloretegea/SVcustos-dataset/5e0ed66c62fe753b6e94af500ec00f2674fb92e7/README.md</x:v>
      </x:c>
      <x:c r="C6" s="4" t="str">
        <x:v>CAPTURADO</x:v>
      </x:c>
      <x:c r="D6" s="4" t="str">
        <x:v>48551</x:v>
      </x:c>
      <x:c r="E6" s="4" t="str">
        <x:v>9131720681129e1161ad2581d0b9470fa1a132a5be6f801445347b268b9c0adf</x:v>
      </x:c>
      <x:c r="F6" s="4" t="str">
        <x:v>Apertura, mapa de sedes y niveles. Anexo clínico no utilizado.</x:v>
      </x:c>
      <x:c r="G6" s="4" t="str">
        <x:v>5e0ed66c62fe753b6e94af500ec00f2674fb92e7</x:v>
      </x:c>
      <x:c r="H6" s="4" t="str"/>
      <x:c r="I6" s="12" t="n">
        <x:f>COUNTIF('32_Fuentes_metodo'!$A$5:$A$23,A6)-1</x:f>
        <x:v>0</x:v>
      </x:c>
      <x:c r="J6" s="12" t="n">
        <x:f>IF(C6="CAPTURADO",IF(LEN(E6)=64,0,1),0)</x:f>
        <x:v>0</x:v>
      </x:c>
    </x:row>
    <x:row r="7" ht="47" customHeight="1">
      <x:c r="A7" s="4" t="str">
        <x:v>S003</x:v>
      </x:c>
      <x:c r="B7" s="4" t="str">
        <x:v>https://www.itvia.online/de-svcustos-el-marco-framework-de-intrusion-hasta-svperitus</x:v>
      </x:c>
      <x:c r="C7" s="4" t="str">
        <x:v>ERROR</x:v>
      </x:c>
      <x:c r="D7" s="4" t="str"/>
      <x:c r="E7" s="4" t="str"/>
      <x:c r="F7" s="4" t="str">
        <x:v>Sin acceso; no lectura del libro.</x:v>
      </x:c>
      <x:c r="G7" s="4" t="str">
        <x:v>ACCESO NO ACREDITADO</x:v>
      </x:c>
      <x:c r="H7" s="4" t="str">
        <x:v>HTTP Error 403: Forbidden</x:v>
      </x:c>
      <x:c r="I7" s="12" t="n">
        <x:f>COUNTIF('32_Fuentes_metodo'!$A$5:$A$23,A7)-1</x:f>
        <x:v>0</x:v>
      </x:c>
      <x:c r="J7" s="12" t="n">
        <x:f>IF(C7="CAPTURADO",IF(LEN(E7)=64,0,1),0)</x:f>
        <x:v>0</x:v>
      </x:c>
    </x:row>
    <x:row r="8" ht="47" customHeight="1">
      <x:c r="A8" s="4" t="str">
        <x:v>S004</x:v>
      </x:c>
      <x:c r="B8" s="4" t="str">
        <x:v>https://www.itvia.online/algebra-de-composicion-intercelularl-sv</x:v>
      </x:c>
      <x:c r="C8" s="4" t="str">
        <x:v>ERROR</x:v>
      </x:c>
      <x:c r="D8" s="4" t="str"/>
      <x:c r="E8" s="4" t="str"/>
      <x:c r="F8" s="4" t="str">
        <x:v>Sin acceso; no lectura del libro.</x:v>
      </x:c>
      <x:c r="G8" s="4" t="str">
        <x:v>ACCESO NO ACREDITADO</x:v>
      </x:c>
      <x:c r="H8" s="4" t="str">
        <x:v>HTTP Error 403: Forbidden</x:v>
      </x:c>
      <x:c r="I8" s="12" t="n">
        <x:f>COUNTIF('32_Fuentes_metodo'!$A$5:$A$23,A8)-1</x:f>
        <x:v>0</x:v>
      </x:c>
      <x:c r="J8" s="12" t="n">
        <x:f>IF(C8="CAPTURADO",IF(LEN(E8)=64,0,1),0)</x:f>
        <x:v>0</x:v>
      </x:c>
    </x:row>
    <x:row r="9" ht="47" customHeight="1">
      <x:c r="A9" s="4" t="str">
        <x:v>S005</x:v>
      </x:c>
      <x:c r="B9" s="4" t="str">
        <x:v>https://www.itvia.online/pub/algebra-de-composicion-intercelular-del-marco-sv--ii-gramatica-general-de-composicion</x:v>
      </x:c>
      <x:c r="C9" s="4" t="str">
        <x:v>ERROR</x:v>
      </x:c>
      <x:c r="D9" s="4" t="str"/>
      <x:c r="E9" s="4" t="str"/>
      <x:c r="F9" s="4" t="str">
        <x:v>Sin acceso al capítulo enlazado; no contenido admitido.</x:v>
      </x:c>
      <x:c r="G9" s="4" t="str">
        <x:v>ACCESO NO ACREDITADO</x:v>
      </x:c>
      <x:c r="H9" s="4" t="str">
        <x:v>HTTP Error 403: Forbidden</x:v>
      </x:c>
      <x:c r="I9" s="12" t="n">
        <x:f>COUNTIF('32_Fuentes_metodo'!$A$5:$A$23,A9)-1</x:f>
        <x:v>0</x:v>
      </x:c>
      <x:c r="J9" s="12" t="n">
        <x:f>IF(C9="CAPTURADO",IF(LEN(E9)=64,0,1),0)</x:f>
        <x:v>0</x:v>
      </x:c>
    </x:row>
    <x:row r="10" ht="47" customHeight="1">
      <x:c r="A10" s="4" t="str">
        <x:v>S006</x:v>
      </x:c>
      <x:c r="B10" s="4" t="str">
        <x:v>https://www.itvia.online/pub/algebra-de-composicion-intercelular--v-invariantes-agentes-especializados-y-operador-de-consulta-del-sistema</x:v>
      </x:c>
      <x:c r="C10" s="4" t="str">
        <x:v>ERROR</x:v>
      </x:c>
      <x:c r="D10" s="4" t="str"/>
      <x:c r="E10" s="4" t="str"/>
      <x:c r="F10" s="4" t="str">
        <x:v>Sin acceso a la ruta consultada del Documento V; no contenido admitido.</x:v>
      </x:c>
      <x:c r="G10" s="4" t="str">
        <x:v>ACCESO NO ACREDITADO</x:v>
      </x:c>
      <x:c r="H10" s="4" t="str">
        <x:v>HTTP Error 403: Forbidden</x:v>
      </x:c>
      <x:c r="I10" s="12" t="n">
        <x:f>COUNTIF('32_Fuentes_metodo'!$A$5:$A$23,A10)-1</x:f>
        <x:v>0</x:v>
      </x:c>
      <x:c r="J10" s="12" t="n">
        <x:f>IF(C10="CAPTURADO",IF(LEN(E10)=64,0,1),0)</x:f>
        <x:v>0</x:v>
      </x:c>
    </x:row>
    <x:row r="11" ht="60" customHeight="1">
      <x:c r="A11" s="4" t="str">
        <x:v>S007</x:v>
      </x:c>
      <x:c r="B11" s="4" t="str">
        <x:v>https://github.com/juantoniolloretegea/SVperitus-dataset/blob/2dce3c597c1e71439f304045283980fea69a7e9c/dominios/inmunologia/cambio-rumbo/01-doctrina-inviolable/Fundamentos algebraico-semánticos del Sistema Vectorial SV.md</x:v>
      </x:c>
      <x:c r="C11" s="4" t="str">
        <x:v>CAPTURADO</x:v>
      </x:c>
      <x:c r="D11" s="4" t="str">
        <x:v>38689</x:v>
      </x:c>
      <x:c r="E11" s="4" t="str">
        <x:v>904f7536def8194d01121ef9e90bc913466fc8869f9fec52fb43e6cb7aefbb31</x:v>
      </x:c>
      <x:c r="F11" s="4" t="str">
        <x:v>Texto íntegro disponible; relectura focal §§3 y 7; doble lectura previa inventariada.</x:v>
      </x:c>
      <x:c r="G11" s="4" t="str">
        <x:v>2dce3c597c1e71439f304045283980fea69a7e9c</x:v>
      </x:c>
      <x:c r="H11" s="4" t="str">
        <x:v>f5d634e353a19273ebe3eab319fac889eed4f84a</x:v>
      </x:c>
      <x:c r="I11" s="12" t="n">
        <x:f>COUNTIF('32_Fuentes_metodo'!$A$5:$A$23,A11)-1</x:f>
        <x:v>0</x:v>
      </x:c>
      <x:c r="J11" s="12" t="n">
        <x:f>IF(C11="CAPTURADO",IF(LEN(E11)=64,0,1),0)</x:f>
        <x:v>0</x:v>
      </x:c>
    </x:row>
    <x:row r="12" ht="60" customHeight="1">
      <x:c r="A12" s="4" t="str">
        <x:v>S008</x:v>
      </x:c>
      <x:c r="B12" s="4" t="str">
        <x:v>https://github.com/juantoniolloretegea/SVperitus-dataset/blob/2dce3c597c1e71439f304045283980fea69a7e9c/dominios/inmunologia/cambio-rumbo/01-doctrina-inviolable/Origen doctrinal, definición y alcance de la U en el Sistema Vectorial SV.md</x:v>
      </x:c>
      <x:c r="C12" s="4" t="str">
        <x:v>CAPTURADO</x:v>
      </x:c>
      <x:c r="D12" s="4" t="str">
        <x:v>28321</x:v>
      </x:c>
      <x:c r="E12" s="4" t="str">
        <x:v>4a692f1f61376eacf4343c7ac1e724403bdf4594607f17dba1a39050af22798a</x:v>
      </x:c>
      <x:c r="F12" s="4" t="str">
        <x:v>Texto íntegro: doble lectura previa; identidad exacta comprobada con corte citado.</x:v>
      </x:c>
      <x:c r="G12" s="4" t="str">
        <x:v>2dce3c597c1e71439f304045283980fea69a7e9c</x:v>
      </x:c>
      <x:c r="H12" s="4" t="str">
        <x:v>d55d431b8c200adf38410737f86c86a2b1d927c4</x:v>
      </x:c>
      <x:c r="I12" s="12" t="n">
        <x:f>COUNTIF('32_Fuentes_metodo'!$A$5:$A$23,A12)-1</x:f>
        <x:v>0</x:v>
      </x:c>
      <x:c r="J12" s="12" t="n">
        <x:f>IF(C12="CAPTURADO",IF(LEN(E12)=64,0,1),0)</x:f>
        <x:v>0</x:v>
      </x:c>
    </x:row>
    <x:row r="13" ht="76" customHeight="1">
      <x:c r="A13" s="4" t="str">
        <x:v>S009</x:v>
      </x:c>
      <x:c r="B13" s="4" t="str">
        <x:v>https://github.com/juantoniolloretegea/SVperitus-dataset/blob/2dce3c597c1e71439f304045283980fea69a7e9c/dominios/inmunologia/cambio-rumbo/02-contexto-algebraico/Álgebra de composición intercelular del Sistema Vectorial SV · Instituto Tecnológico Virtual de la Inteligencia Artificial para el Español®.pdf</x:v>
      </x:c>
      <x:c r="C13" s="4" t="str">
        <x:v>CAPTURADO</x:v>
      </x:c>
      <x:c r="D13" s="4" t="str">
        <x:v>214172</x:v>
      </x:c>
      <x:c r="E13" s="4" t="str">
        <x:v>ebd3e8196838e99c98417bd00ea3131dfb8e7c0b53504e55833a0c58f837e4ad</x:v>
      </x:c>
      <x:c r="F13" s="4" t="str">
        <x:v>Índice de seis páginas leído; no sustituye lectura de los capítulos enlazados.</x:v>
      </x:c>
      <x:c r="G13" s="4" t="str">
        <x:v>2dce3c597c1e71439f304045283980fea69a7e9c</x:v>
      </x:c>
      <x:c r="H13" s="4" t="str">
        <x:v>57f95536100fc48b8ca225c0fdbb63ba0b83e910</x:v>
      </x:c>
      <x:c r="I13" s="12" t="n">
        <x:f>COUNTIF('32_Fuentes_metodo'!$A$5:$A$23,A13)-1</x:f>
        <x:v>0</x:v>
      </x:c>
      <x:c r="J13" s="12" t="n">
        <x:f>IF(C13="CAPTURADO",IF(LEN(E13)=64,0,1),0)</x:f>
        <x:v>0</x:v>
      </x:c>
    </x:row>
    <x:row r="14" ht="60" customHeight="1">
      <x:c r="A14" s="4" t="str">
        <x:v>S010</x:v>
      </x:c>
      <x:c r="B14" s="4" t="str">
        <x:v>https://github.com/juantoniolloretegea/SVperitus-dataset/blob/fe8adf76aa030ba5ff4997be5772b5de5e4452f3/dominios/inmunologia/cambio-rumbo/03-base-documental-candidata/16-mapa-operaciones/Mapa_finito_universos_operacionales_catalogo_INMUNO_v0.8_v0.1_2026-09-03.md</x:v>
      </x:c>
      <x:c r="C14" s="4" t="str">
        <x:v>CAPTURADO</x:v>
      </x:c>
      <x:c r="D14" s="4" t="str">
        <x:v>16281</x:v>
      </x:c>
      <x:c r="E14" s="4" t="str">
        <x:v>8cad8abce94c691b5ea7a66fc5503b70a82cf8b426d700510e48a2412a88d77b</x:v>
      </x:c>
      <x:c r="F14" s="4" t="str">
        <x:v>Texto íntegro; identidad operacional, 32 candidatos, cobertura y límites.</x:v>
      </x:c>
      <x:c r="G14" s="4" t="str">
        <x:v>fe8adf76aa030ba5ff4997be5772b5de5e4452f3</x:v>
      </x:c>
      <x:c r="H14" s="4" t="str">
        <x:v>e53dad599ec1a66eb4d21a5405b186d9362661c0</x:v>
      </x:c>
      <x:c r="I14" s="12" t="n">
        <x:f>COUNTIF('32_Fuentes_metodo'!$A$5:$A$23,A14)-1</x:f>
        <x:v>0</x:v>
      </x:c>
      <x:c r="J14" s="12" t="n">
        <x:f>IF(C14="CAPTURADO",IF(LEN(E14)=64,0,1),0)</x:f>
        <x:v>0</x:v>
      </x:c>
    </x:row>
    <x:row r="15" ht="60" customHeight="1">
      <x:c r="A15" s="4" t="str">
        <x:v>S011</x:v>
      </x:c>
      <x:c r="B15" s="4" t="str">
        <x:v>https://github.com/juantoniolloretegea/SVperitus-dataset/blob/fe8adf76aa030ba5ff4997be5772b5de5e4452f3/dominios/inmunologia/cambio-rumbo/03-base-documental-candidata/10-atomicidad-en-evaluacion/Expediente_cierre_exhaustivo_G3-G5_raices_omitidas_y_SEM-MOD-007_OP-IMM-001_v0.1_2026-09-03.md</x:v>
      </x:c>
      <x:c r="C15" s="4" t="str">
        <x:v>CAPTURADO</x:v>
      </x:c>
      <x:c r="D15" s="4" t="str">
        <x:v>21646</x:v>
      </x:c>
      <x:c r="E15" s="4" t="str">
        <x:v>d18da1711834f37852343a6874aa04761a5e87a406336560082c795ab474cd20</x:v>
      </x:c>
      <x:c r="F15" s="4" t="str">
        <x:v>Doble lectura previa; relectura §§9–14 para 27 parámetros, 32 raíces y configuración.</x:v>
      </x:c>
      <x:c r="G15" s="4" t="str">
        <x:v>fe8adf76aa030ba5ff4997be5772b5de5e4452f3</x:v>
      </x:c>
      <x:c r="H15" s="4" t="str">
        <x:v>7fb204a874059b7895b1eeac0ef3e7d438fe4821</x:v>
      </x:c>
      <x:c r="I15" s="12" t="n">
        <x:f>COUNTIF('32_Fuentes_metodo'!$A$5:$A$23,A15)-1</x:f>
        <x:v>0</x:v>
      </x:c>
      <x:c r="J15" s="12" t="n">
        <x:f>IF(C15="CAPTURADO",IF(LEN(E15)=64,0,1),0)</x:f>
        <x:v>0</x:v>
      </x:c>
    </x:row>
    <x:row r="16" ht="60" customHeight="1">
      <x:c r="A16" s="4" t="str">
        <x:v>S012</x:v>
      </x:c>
      <x:c r="B16" s="4" t="str">
        <x:v>https://github.com/juantoniolloretegea/SVperitus-dataset/blob/fe8adf76aa030ba5ff4997be5772b5de5e4452f3/dominios/inmunologia/cambio-rumbo/03-base-documental-candidata/11-matrices-en-evaluacion/G6-MAT_propiedad_matricial_A0_OP-IMM-001_v0.1_2026-09-03.md</x:v>
      </x:c>
      <x:c r="C16" s="4" t="str">
        <x:v>CAPTURADO</x:v>
      </x:c>
      <x:c r="D16" s="4" t="str">
        <x:v>4854</x:v>
      </x:c>
      <x:c r="E16" s="4" t="str">
        <x:v>5abb320a662dfec3f7c4164e9660bea31d46a9cf2eda33b68867b792872e331b</x:v>
      </x:c>
      <x:c r="F16" s="4" t="str">
        <x:v>Relectura íntegra; propiedad, cuatro referencias y cuatro parámetros con configuración pendiente.</x:v>
      </x:c>
      <x:c r="G16" s="4" t="str">
        <x:v>fe8adf76aa030ba5ff4997be5772b5de5e4452f3</x:v>
      </x:c>
      <x:c r="H16" s="4" t="str">
        <x:v>ee894d6ee15c015caac229cf6ab69f3bbf7460ea</x:v>
      </x:c>
      <x:c r="I16" s="12" t="n">
        <x:f>COUNTIF('32_Fuentes_metodo'!$A$5:$A$23,A16)-1</x:f>
        <x:v>0</x:v>
      </x:c>
      <x:c r="J16" s="12" t="n">
        <x:f>IF(C16="CAPTURADO",IF(LEN(E16)=64,0,1),0)</x:f>
        <x:v>0</x:v>
      </x:c>
    </x:row>
    <x:row r="17" ht="60" customHeight="1">
      <x:c r="A17" s="4" t="str">
        <x:v>S013</x:v>
      </x:c>
      <x:c r="B17" s="4" t="str">
        <x:v>https://github.com/juantoniolloretegea/SVperitus-dataset/blob/fe8adf76aa030ba5ff4997be5772b5de5e4452f3/dominios/inmunologia/cambio-rumbo/03-base-documental-candidata/10-atomicidad-en-evaluacion/Adjudicacion_atomica_G5-ATM_SEM-EXP-005_OP-IMM-001_v0.1_2026-09-03.md</x:v>
      </x:c>
      <x:c r="C17" s="4" t="str">
        <x:v>CAPTURADO</x:v>
      </x:c>
      <x:c r="D17" s="4" t="str">
        <x:v>18256</x:v>
      </x:c>
      <x:c r="E17" s="4" t="str">
        <x:v>9a90e2a630c30dffe10032c27d4e81aeec5812ae4e6f04ee6ac4a938e029fb66</x:v>
      </x:c>
      <x:c r="F17" s="4" t="str">
        <x:v>Doble lectura previa; ejemplo de método G5, sin importar parámetro clínico.</x:v>
      </x:c>
      <x:c r="G17" s="4" t="str">
        <x:v>fe8adf76aa030ba5ff4997be5772b5de5e4452f3</x:v>
      </x:c>
      <x:c r="H17" s="4" t="str">
        <x:v>7454e0690f61c9d51eca9bad53e61a0144f1e4f2</x:v>
      </x:c>
      <x:c r="I17" s="12" t="n">
        <x:f>COUNTIF('32_Fuentes_metodo'!$A$5:$A$23,A17)-1</x:f>
        <x:v>0</x:v>
      </x:c>
      <x:c r="J17" s="12" t="n">
        <x:f>IF(C17="CAPTURADO",IF(LEN(E17)=64,0,1),0)</x:f>
        <x:v>0</x:v>
      </x:c>
    </x:row>
    <x:row r="18" ht="60" customHeight="1">
      <x:c r="A18" s="4" t="str">
        <x:v>S014</x:v>
      </x:c>
      <x:c r="B18" s="4" t="str">
        <x:v>https://raw.githubusercontent.com/juantoniolloretegea/SV-lenguaje-de-computacion/ab61d9bb7a2002d3a4a389e292c2a9b0a850d264/docs/calidad/PILARES_Y_RESTRICCIONES_DE_DISENO_DEL_LENGUAJE_DE_COMPUTACION_SV_2026_09_05.md</x:v>
      </x:c>
      <x:c r="C18" s="4" t="str">
        <x:v>CAPTURADO</x:v>
      </x:c>
      <x:c r="D18" s="4" t="str">
        <x:v>22330</x:v>
      </x:c>
      <x:c r="E18" s="4" t="str">
        <x:v>73875d22f35cc299d2a4103e35e369481e99289e9ee679b841f54b5e4f872650</x:v>
      </x:c>
      <x:c r="F18" s="4" t="str">
        <x:v>Texto íntegro leído: geometría, autoridad, prohibiciones, contratos y límites de realización.</x:v>
      </x:c>
      <x:c r="G18" s="4" t="str">
        <x:v>ab61d9bb7a2002d3a4a389e292c2a9b0a850d264</x:v>
      </x:c>
      <x:c r="H18" s="4" t="str">
        <x:v>bba81c4ab115899fc4ae812bc7214aab6f39a9bd</x:v>
      </x:c>
      <x:c r="I18" s="12" t="n">
        <x:f>COUNTIF('32_Fuentes_metodo'!$A$5:$A$23,A18)-1</x:f>
        <x:v>0</x:v>
      </x:c>
      <x:c r="J18" s="12" t="n">
        <x:f>IF(C18="CAPTURADO",IF(LEN(E18)=64,0,1),0)</x:f>
        <x:v>0</x:v>
      </x:c>
    </x:row>
    <x:row r="19" ht="60" customHeight="1">
      <x:c r="A19" s="4" t="str">
        <x:v>S015</x:v>
      </x:c>
      <x:c r="B19" s="4" t="str">
        <x:v>https://raw.githubusercontent.com/juantoniolloretegea/SV-lenguaje-de-computacion/ab61d9bb7a2002d3a4a389e292c2a9b0a850d264/docs/calidad/ACTA_TECNICA_DE_PERFILES_CONTRATOS_Y_ENSAMBLAJE_DEL_LENGUAJE_SV_2026_09_06.md</x:v>
      </x:c>
      <x:c r="C19" s="4" t="str">
        <x:v>CAPTURADO</x:v>
      </x:c>
      <x:c r="D19" s="4" t="str">
        <x:v>29014</x:v>
      </x:c>
      <x:c r="E19" s="4" t="str">
        <x:v>38673267da27fae204f81689aaaf4cb0fd123e7f2e4a3384850c44762c0c06d8</x:v>
      </x:c>
      <x:c r="F19" s="4" t="str">
        <x:v>Texto íntegro leído: perfiles, suficiencia, ensamblaje y reparto de autoridad.</x:v>
      </x:c>
      <x:c r="G19" s="4" t="str">
        <x:v>ab61d9bb7a2002d3a4a389e292c2a9b0a850d264</x:v>
      </x:c>
      <x:c r="H19" s="4" t="str">
        <x:v>1df9b818f3f531f628fe0e89dd2c497b5da52d4d</x:v>
      </x:c>
      <x:c r="I19" s="12" t="n">
        <x:f>COUNTIF('32_Fuentes_metodo'!$A$5:$A$23,A19)-1</x:f>
        <x:v>0</x:v>
      </x:c>
      <x:c r="J19" s="12" t="n">
        <x:f>IF(C19="CAPTURADO",IF(LEN(E19)=64,0,1),0)</x:f>
        <x:v>0</x:v>
      </x:c>
    </x:row>
    <x:row r="20" ht="47" customHeight="1">
      <x:c r="A20" s="4" t="str">
        <x:v>S016</x:v>
      </x:c>
      <x:c r="B20" s="4" t="str">
        <x:v>https://raw.githubusercontent.com/juantoniolloretegea/SV-lenguaje-de-computacion/ab61d9bb7a2002d3a4a389e292c2a9b0a850d264/IR_CANONICA_BIENFORMACION_SV_v0_3.md</x:v>
      </x:c>
      <x:c r="C20" s="4" t="str">
        <x:v>CAPTURADO</x:v>
      </x:c>
      <x:c r="D20" s="4" t="str">
        <x:v>30558</x:v>
      </x:c>
      <x:c r="E20" s="4" t="str">
        <x:v>d86f1642fdf0846668c77353b5c504b9c1b40cd110647ea464bd7ba3f23a22ea</x:v>
      </x:c>
      <x:c r="F20" s="4" t="str">
        <x:v>Relectura focal §4 completo: cierre relacional de Frame y no exhaustividad; resto no utilizado como evidencia nueva.</x:v>
      </x:c>
      <x:c r="G20" s="4" t="str">
        <x:v>ab61d9bb7a2002d3a4a389e292c2a9b0a850d264</x:v>
      </x:c>
      <x:c r="H20" s="4" t="str">
        <x:v>c1b4b0e1c06c1b22dff1f988fec1a1f079fcc5d2</x:v>
      </x:c>
      <x:c r="I20" s="12" t="n">
        <x:f>COUNTIF('32_Fuentes_metodo'!$A$5:$A$23,A20)-1</x:f>
        <x:v>0</x:v>
      </x:c>
      <x:c r="J20" s="12" t="n">
        <x:f>IF(C20="CAPTURADO",IF(LEN(E20)=64,0,1),0)</x:f>
        <x:v>0</x:v>
      </x:c>
    </x:row>
    <x:row r="21" ht="47" customHeight="1">
      <x:c r="A21" s="4" t="str">
        <x:v>S017</x:v>
      </x:c>
      <x:c r="B21" s="4" t="str">
        <x:v>https://raw.githubusercontent.com/juantoniolloretegea/SV-matematica-semantica/b8fd32978292d25adf9b87cf71e409005dce642c/documentos/composicion/V_invariantes_agentes_operador_consulta.md</x:v>
      </x:c>
      <x:c r="C21" s="4" t="str">
        <x:v>CAPTURADO</x:v>
      </x:c>
      <x:c r="D21" s="4" t="str">
        <x:v>18061</x:v>
      </x:c>
      <x:c r="E21" s="4" t="str">
        <x:v>fbf53f17d8cbeb17dedb12dd098121ba1591e0603c2aa196d7bb454784123c2b</x:v>
      </x:c>
      <x:c r="F21" s="4" t="str">
        <x:v>Documento V íntegro leído: dominio, agente y consulta r/J/M. Madurez histórica de ejemplos no acredita aptitud actual.</x:v>
      </x:c>
      <x:c r="G21" s="4" t="str">
        <x:v>b8fd32978292d25adf9b87cf71e409005dce642c</x:v>
      </x:c>
      <x:c r="H21" s="4" t="str">
        <x:v>d609810b4072a4b61e29ef10f4d26751862b0c86</x:v>
      </x:c>
      <x:c r="I21" s="12" t="n">
        <x:f>COUNTIF('32_Fuentes_metodo'!$A$5:$A$23,A21)-1</x:f>
        <x:v>0</x:v>
      </x:c>
      <x:c r="J21" s="12" t="n">
        <x:f>IF(C21="CAPTURADO",IF(LEN(E21)=64,0,1),0)</x:f>
        <x:v>0</x:v>
      </x:c>
    </x:row>
    <x:row r="22" ht="47" customHeight="1">
      <x:c r="A22" s="4" t="str">
        <x:v>S018</x:v>
      </x:c>
      <x:c r="B22" s="4" t="str">
        <x:v>https://raw.githubusercontent.com/juantoniolloretegea/SV-matematica-semantica/b8fd32978292d25adf9b87cf71e409005dce642c/documentos/composicion/III_horizonte_sucesos_reevaluacion_discreta.md</x:v>
      </x:c>
      <x:c r="C22" s="4" t="str">
        <x:v>CAPTURADO</x:v>
      </x:c>
      <x:c r="D22" s="4" t="str">
        <x:v>11928</x:v>
      </x:c>
      <x:c r="E22" s="4" t="str">
        <x:v>9aeb3ce7bdea0cd7769760ed22eb7dd7b814cc39a273c5fb4a0470791964eaea</x:v>
      </x:c>
      <x:c r="F22" s="4" t="str">
        <x:v>Documento III íntegro leído: horizonte, frame, trayectoria y reevaluación.</x:v>
      </x:c>
      <x:c r="G22" s="4" t="str">
        <x:v>b8fd32978292d25adf9b87cf71e409005dce642c</x:v>
      </x:c>
      <x:c r="H22" s="4" t="str">
        <x:v>92caea3f63ace2f494c4871f69680fd38ab3ee77</x:v>
      </x:c>
      <x:c r="I22" s="12" t="n">
        <x:f>COUNTIF('32_Fuentes_metodo'!$A$5:$A$23,A22)-1</x:f>
        <x:v>0</x:v>
      </x:c>
      <x:c r="J22" s="12" t="n">
        <x:f>IF(C22="CAPTURADO",IF(LEN(E22)=64,0,1),0)</x:f>
        <x:v>0</x:v>
      </x:c>
    </x:row>
    <x:row r="23" ht="60" customHeight="1">
      <x:c r="A23" s="4" t="str">
        <x:v>S019</x:v>
      </x:c>
      <x:c r="B23" s="4" t="str">
        <x:v>https://raw.githubusercontent.com/juantoniolloretegea/SV-matematica-semantica/b8fd32978292d25adf9b87cf71e409005dce642c/especificaciones/proposiciones/ESPECIFICACION_METODOLOGICA_SOBRE_SUCESOS_REEVALUACION_Y_FRAMES_EN_EL_SISTEMA_VECTORIAL_SV.md</x:v>
      </x:c>
      <x:c r="C23" s="4" t="str">
        <x:v>CAPTURADO</x:v>
      </x:c>
      <x:c r="D23" s="4" t="str">
        <x:v>5789</x:v>
      </x:c>
      <x:c r="E23" s="4" t="str">
        <x:v>e39bc5f235267b354a9f5b8d1538a8c96f43dbc3e333315e0028978b8bec3227</x:v>
      </x:c>
      <x:c r="F23" s="4" t="str">
        <x:v>Texto íntegro leído: suceso→reevaluación→frame; tiempo como dato externo.</x:v>
      </x:c>
      <x:c r="G23" s="4" t="str">
        <x:v>b8fd32978292d25adf9b87cf71e409005dce642c</x:v>
      </x:c>
      <x:c r="H23" s="4" t="str">
        <x:v>1fbaa8c83bc9b35d5008f1f4f7ee823dc741808c</x:v>
      </x:c>
      <x:c r="I23" s="12" t="n">
        <x:f>COUNTIF('32_Fuentes_metodo'!$A$5:$A$23,A23)-1</x:f>
        <x:v>0</x:v>
      </x:c>
      <x:c r="J23" s="12" t="n">
        <x:f>IF(C23="CAPTURADO",IF(LEN(E23)=64,0,1),0)</x:f>
        <x:v>0</x:v>
      </x:c>
    </x:row>
  </x:sheetData>
  <x:mergeCells>
    <x:mergeCell ref="A1:D1"/>
    <x:mergeCell ref="A2:F2"/>
  </x:mergeCells>
  <x:conditionalFormatting sqref="I5:I23">
    <x:cfRule type="expression" dxfId="16" priority="1">
      <x:formula>I5&gt;0</x:formula>
    </x:cfRule>
  </x:conditionalFormatting>
  <x:conditionalFormatting sqref="J5:J23">
    <x:cfRule type="expression" dxfId="17" priority="2">
      <x:formula>J5&gt;0</x:formula>
    </x:cfRule>
  </x:conditionalFormatting>
  <x:pageMargins left="0.7" right="0.7" top="0.75" bottom="0.75" header="0.3" footer="0.3"/>
  <x:tableParts count="1">
    <x:tablePart xmlns:r="http://schemas.openxmlformats.org/officeDocument/2006/relationships" r:id="R6b66d03170d64be2"/>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42" hidden="0" customWidth="1"/>
    <x:col min="4" max="4" width="112" hidden="0" customWidth="1"/>
    <x:col min="5" max="5" width="54" hidden="0" customWidth="1"/>
    <x:col min="6" max="6" width="20" hidden="0" customWidth="1"/>
  </x:cols>
  <x:sheetData>
    <x:row r="1" ht="35" customHeight="1">
      <x:c r="A1" s="6" t="str">
        <x:v>REVISIÓN DEL MAPA v0.1 · 22 → 29 candidatos</x:v>
      </x:c>
      <x:c r="B1" s="6"/>
      <x:c r="C1" s="6"/>
      <x:c r="D1" s="6"/>
      <x:c r="E1" s="6"/>
      <x:c r="F1" s="6"/>
    </x:row>
    <x:row r="2" ht="52" customHeight="1">
      <x:c r="A2" s="8" t="str">
        <x:v>Se conservan las 22 identidades históricas como antecedentes. El incremento neto de siete se explica por producto, autoridad o finalización; no por cupos ni por aparición de una herramienta.</x:v>
      </x:c>
      <x:c r="B2" s="8"/>
      <x:c r="C2" s="8"/>
      <x:c r="D2" s="8"/>
      <x:c r="E2" s="8"/>
      <x:c r="F2" s="8"/>
    </x:row>
    <x:row r="3">
      <x:c r="A3" s="4"/>
      <x:c r="B3" s="4"/>
      <x:c r="C3" s="4"/>
      <x:c r="D3" s="4"/>
      <x:c r="E3" s="4"/>
      <x:c r="F3" s="4"/>
    </x:row>
    <x:row r="4" ht="42" customHeight="1">
      <x:c r="A4" s="10" t="str">
        <x:v>Antecedente</x:v>
      </x:c>
      <x:c r="B4" s="10" t="str">
        <x:v>Destino</x:v>
      </x:c>
      <x:c r="C4" s="10" t="str">
        <x:v>Relación editorial</x:v>
      </x:c>
      <x:c r="D4" s="10" t="str">
        <x:v>Justificación</x:v>
      </x:c>
      <x:c r="E4" s="10" t="str">
        <x:v>Evidencia</x:v>
      </x:c>
      <x:c r="F4" s="10" t="str">
        <x:v>Destino inválido</x:v>
      </x:c>
    </x:row>
    <x:row r="5" ht="47" customHeight="1">
      <x:c r="A5" s="4" t="str">
        <x:v>OPC-01</x:v>
      </x:c>
      <x:c r="B5" s="4" t="str">
        <x:v>CYO-01</x:v>
      </x:c>
      <x:c r="C5" s="4" t="str">
        <x:v>REEXAMINADA</x:v>
      </x:c>
      <x:c r="D5" s="4" t="str">
        <x:v>Conservar identidad candidata y añadir ancla educativa; no adopción automática.</x:v>
      </x:c>
      <x:c r="E5" s="4" t="str">
        <x:v>07 histórico; 26 nueva síntesis</x:v>
      </x:c>
      <x:c r="F5" s="12" t="n">
        <x:f>IF(COUNTIF('26_Mapa_universos'!$A$5:$A$33,B5)=1,0,1)</x:f>
        <x:v>0</x:v>
      </x:c>
    </x:row>
    <x:row r="6" ht="47" customHeight="1">
      <x:c r="A6" s="4" t="str">
        <x:v>OPC-02</x:v>
      </x:c>
      <x:c r="B6" s="4" t="str">
        <x:v>CYO-02</x:v>
      </x:c>
      <x:c r="C6" s="4" t="str">
        <x:v>REEXAMINADA</x:v>
      </x:c>
      <x:c r="D6" s="4" t="str">
        <x:v>Conservar identidad candidata y añadir ancla educativa; no adopción automática.</x:v>
      </x:c>
      <x:c r="E6" s="4" t="str">
        <x:v>07 histórico; 26 nueva síntesis</x:v>
      </x:c>
      <x:c r="F6" s="12" t="n">
        <x:f>IF(COUNTIF('26_Mapa_universos'!$A$5:$A$33,B6)=1,0,1)</x:f>
        <x:v>0</x:v>
      </x:c>
    </x:row>
    <x:row r="7" ht="47" customHeight="1">
      <x:c r="A7" s="4" t="str">
        <x:v>OPC-03</x:v>
      </x:c>
      <x:c r="B7" s="4" t="str">
        <x:v>CYO-03</x:v>
      </x:c>
      <x:c r="C7" s="4" t="str">
        <x:v>REEXAMINADA</x:v>
      </x:c>
      <x:c r="D7" s="4" t="str">
        <x:v>Conservar identidad candidata y añadir ancla educativa; no adopción automática.</x:v>
      </x:c>
      <x:c r="E7" s="4" t="str">
        <x:v>07 histórico; 26 nueva síntesis</x:v>
      </x:c>
      <x:c r="F7" s="12" t="n">
        <x:f>IF(COUNTIF('26_Mapa_universos'!$A$5:$A$33,B7)=1,0,1)</x:f>
        <x:v>0</x:v>
      </x:c>
    </x:row>
    <x:row r="8" ht="47" customHeight="1">
      <x:c r="A8" s="4" t="str">
        <x:v>OPC-04</x:v>
      </x:c>
      <x:c r="B8" s="4" t="str">
        <x:v>CYO-04</x:v>
      </x:c>
      <x:c r="C8" s="4" t="str">
        <x:v>REEXAMINADA</x:v>
      </x:c>
      <x:c r="D8" s="4" t="str">
        <x:v>Conservar identidad candidata y añadir ancla educativa; no adopción automática.</x:v>
      </x:c>
      <x:c r="E8" s="4" t="str">
        <x:v>07 histórico; 26 nueva síntesis</x:v>
      </x:c>
      <x:c r="F8" s="12" t="n">
        <x:f>IF(COUNTIF('26_Mapa_universos'!$A$5:$A$33,B8)=1,0,1)</x:f>
        <x:v>0</x:v>
      </x:c>
    </x:row>
    <x:row r="9" ht="47" customHeight="1">
      <x:c r="A9" s="4" t="str">
        <x:v>OPC-05</x:v>
      </x:c>
      <x:c r="B9" s="4" t="str">
        <x:v>CYO-05</x:v>
      </x:c>
      <x:c r="C9" s="4" t="str">
        <x:v>DESCOMPOSICIÓN / CONVERGENCIA</x:v>
      </x:c>
      <x:c r="D9" s="4" t="str">
        <x:v>Separar seguridad de la entrega software y validación del comportamiento aprendido.</x:v>
      </x:c>
      <x:c r="E9" s="4" t="str">
        <x:v>07 histórico; 26 nueva síntesis</x:v>
      </x:c>
      <x:c r="F9" s="12" t="n">
        <x:f>IF(COUNTIF('26_Mapa_universos'!$A$5:$A$33,B9)=1,0,1)</x:f>
        <x:v>0</x:v>
      </x:c>
    </x:row>
    <x:row r="10" ht="47" customHeight="1">
      <x:c r="A10" s="4" t="str">
        <x:v>OPC-05</x:v>
      </x:c>
      <x:c r="B10" s="4" t="str">
        <x:v>CYO-23</x:v>
      </x:c>
      <x:c r="C10" s="4" t="str">
        <x:v>DESCOMPOSICIÓN / CONVERGENCIA</x:v>
      </x:c>
      <x:c r="D10" s="4" t="str">
        <x:v>Separar seguridad de la entrega software y validación del comportamiento aprendido.</x:v>
      </x:c>
      <x:c r="E10" s="4" t="str">
        <x:v>07 histórico; 26 nueva síntesis</x:v>
      </x:c>
      <x:c r="F10" s="12" t="n">
        <x:f>IF(COUNTIF('26_Mapa_universos'!$A$5:$A$33,B10)=1,0,1)</x:f>
        <x:v>0</x:v>
      </x:c>
    </x:row>
    <x:row r="11" ht="47" customHeight="1">
      <x:c r="A11" s="4" t="str">
        <x:v>OPC-06</x:v>
      </x:c>
      <x:c r="B11" s="4" t="str">
        <x:v>CYO-06</x:v>
      </x:c>
      <x:c r="C11" s="4" t="str">
        <x:v>REEXAMINADA</x:v>
      </x:c>
      <x:c r="D11" s="4" t="str">
        <x:v>Conservar identidad candidata y añadir ancla educativa; no adopción automática.</x:v>
      </x:c>
      <x:c r="E11" s="4" t="str">
        <x:v>07 histórico; 26 nueva síntesis</x:v>
      </x:c>
      <x:c r="F11" s="12" t="n">
        <x:f>IF(COUNTIF('26_Mapa_universos'!$A$5:$A$33,B11)=1,0,1)</x:f>
        <x:v>0</x:v>
      </x:c>
    </x:row>
    <x:row r="12" ht="47" customHeight="1">
      <x:c r="A12" s="4" t="str">
        <x:v>OPC-07</x:v>
      </x:c>
      <x:c r="B12" s="4" t="str">
        <x:v>CYO-07</x:v>
      </x:c>
      <x:c r="C12" s="4" t="str">
        <x:v>REEXAMINADA</x:v>
      </x:c>
      <x:c r="D12" s="4" t="str">
        <x:v>Conservar identidad candidata y añadir ancla educativa; no adopción automática.</x:v>
      </x:c>
      <x:c r="E12" s="4" t="str">
        <x:v>07 histórico; 26 nueva síntesis</x:v>
      </x:c>
      <x:c r="F12" s="12" t="n">
        <x:f>IF(COUNTIF('26_Mapa_universos'!$A$5:$A$33,B12)=1,0,1)</x:f>
        <x:v>0</x:v>
      </x:c>
    </x:row>
    <x:row r="13" ht="47" customHeight="1">
      <x:c r="A13" s="4" t="str">
        <x:v>OPC-08</x:v>
      </x:c>
      <x:c r="B13" s="4" t="str">
        <x:v>CYO-08</x:v>
      </x:c>
      <x:c r="C13" s="4" t="str">
        <x:v>REEXAMINADA</x:v>
      </x:c>
      <x:c r="D13" s="4" t="str">
        <x:v>Conservar identidad candidata y añadir ancla educativa; no adopción automática.</x:v>
      </x:c>
      <x:c r="E13" s="4" t="str">
        <x:v>07 histórico; 26 nueva síntesis</x:v>
      </x:c>
      <x:c r="F13" s="12" t="n">
        <x:f>IF(COUNTIF('26_Mapa_universos'!$A$5:$A$33,B13)=1,0,1)</x:f>
        <x:v>0</x:v>
      </x:c>
    </x:row>
    <x:row r="14" ht="47" customHeight="1">
      <x:c r="A14" s="4" t="str">
        <x:v>OPC-09</x:v>
      </x:c>
      <x:c r="B14" s="4" t="str">
        <x:v>CYO-09</x:v>
      </x:c>
      <x:c r="C14" s="4" t="str">
        <x:v>DESCOMPOSICIÓN / CONVERGENCIA</x:v>
      </x:c>
      <x:c r="D14" s="4" t="str">
        <x:v>Separar plan y expediente del efecto ejecutado, con permiso propio.</x:v>
      </x:c>
      <x:c r="E14" s="4" t="str">
        <x:v>07 histórico; 26 nueva síntesis</x:v>
      </x:c>
      <x:c r="F14" s="12" t="n">
        <x:f>IF(COUNTIF('26_Mapa_universos'!$A$5:$A$33,B14)=1,0,1)</x:f>
        <x:v>0</x:v>
      </x:c>
    </x:row>
    <x:row r="15" ht="47" customHeight="1">
      <x:c r="A15" s="4" t="str">
        <x:v>OPC-09</x:v>
      </x:c>
      <x:c r="B15" s="4" t="str">
        <x:v>CYO-24</x:v>
      </x:c>
      <x:c r="C15" s="4" t="str">
        <x:v>DESCOMPOSICIÓN / CONVERGENCIA</x:v>
      </x:c>
      <x:c r="D15" s="4" t="str">
        <x:v>Separar plan y expediente del efecto ejecutado, con permiso propio.</x:v>
      </x:c>
      <x:c r="E15" s="4" t="str">
        <x:v>07 histórico; 26 nueva síntesis</x:v>
      </x:c>
      <x:c r="F15" s="12" t="n">
        <x:f>IF(COUNTIF('26_Mapa_universos'!$A$5:$A$33,B15)=1,0,1)</x:f>
        <x:v>0</x:v>
      </x:c>
    </x:row>
    <x:row r="16" ht="47" customHeight="1">
      <x:c r="A16" s="4" t="str">
        <x:v>OPC-10</x:v>
      </x:c>
      <x:c r="B16" s="4" t="str">
        <x:v>CYO-10</x:v>
      </x:c>
      <x:c r="C16" s="4" t="str">
        <x:v>REEXAMINADA</x:v>
      </x:c>
      <x:c r="D16" s="4" t="str">
        <x:v>Conservar identidad candidata y añadir ancla educativa; no adopción automática.</x:v>
      </x:c>
      <x:c r="E16" s="4" t="str">
        <x:v>07 histórico; 26 nueva síntesis</x:v>
      </x:c>
      <x:c r="F16" s="12" t="n">
        <x:f>IF(COUNTIF('26_Mapa_universos'!$A$5:$A$33,B16)=1,0,1)</x:f>
        <x:v>0</x:v>
      </x:c>
    </x:row>
    <x:row r="17" ht="47" customHeight="1">
      <x:c r="A17" s="4" t="str">
        <x:v>OPC-11</x:v>
      </x:c>
      <x:c r="B17" s="4" t="str">
        <x:v>CYO-11</x:v>
      </x:c>
      <x:c r="C17" s="4" t="str">
        <x:v>DESCOMPOSICIÓN / CONVERGENCIA</x:v>
      </x:c>
      <x:c r="D17" s="4" t="str">
        <x:v>Separar preparación ensayada y restauración real con decisión de retorno.</x:v>
      </x:c>
      <x:c r="E17" s="4" t="str">
        <x:v>07 histórico; 26 nueva síntesis</x:v>
      </x:c>
      <x:c r="F17" s="12" t="n">
        <x:f>IF(COUNTIF('26_Mapa_universos'!$A$5:$A$33,B17)=1,0,1)</x:f>
        <x:v>0</x:v>
      </x:c>
    </x:row>
    <x:row r="18" ht="47" customHeight="1">
      <x:c r="A18" s="4" t="str">
        <x:v>OPC-11</x:v>
      </x:c>
      <x:c r="B18" s="4" t="str">
        <x:v>CYO-25</x:v>
      </x:c>
      <x:c r="C18" s="4" t="str">
        <x:v>DESCOMPOSICIÓN / CONVERGENCIA</x:v>
      </x:c>
      <x:c r="D18" s="4" t="str">
        <x:v>Separar preparación ensayada y restauración real con decisión de retorno.</x:v>
      </x:c>
      <x:c r="E18" s="4" t="str">
        <x:v>07 histórico; 26 nueva síntesis</x:v>
      </x:c>
      <x:c r="F18" s="12" t="n">
        <x:f>IF(COUNTIF('26_Mapa_universos'!$A$5:$A$33,B18)=1,0,1)</x:f>
        <x:v>0</x:v>
      </x:c>
    </x:row>
    <x:row r="19" ht="47" customHeight="1">
      <x:c r="A19" s="4" t="str">
        <x:v>OPC-12</x:v>
      </x:c>
      <x:c r="B19" s="4" t="str">
        <x:v>CYO-12</x:v>
      </x:c>
      <x:c r="C19" s="4" t="str">
        <x:v>REEXAMINADA</x:v>
      </x:c>
      <x:c r="D19" s="4" t="str">
        <x:v>Conservar identidad candidata y añadir ancla educativa; no adopción automática.</x:v>
      </x:c>
      <x:c r="E19" s="4" t="str">
        <x:v>07 histórico; 26 nueva síntesis</x:v>
      </x:c>
      <x:c r="F19" s="12" t="n">
        <x:f>IF(COUNTIF('26_Mapa_universos'!$A$5:$A$33,B19)=1,0,1)</x:f>
        <x:v>0</x:v>
      </x:c>
    </x:row>
    <x:row r="20" ht="47" customHeight="1">
      <x:c r="A20" s="4" t="str">
        <x:v>OPC-13</x:v>
      </x:c>
      <x:c r="B20" s="4" t="str">
        <x:v>CYO-13</x:v>
      </x:c>
      <x:c r="C20" s="4" t="str">
        <x:v>REEXAMINADA</x:v>
      </x:c>
      <x:c r="D20" s="4" t="str">
        <x:v>Conservar identidad candidata y añadir ancla educativa; no adopción automática.</x:v>
      </x:c>
      <x:c r="E20" s="4" t="str">
        <x:v>07 histórico; 26 nueva síntesis</x:v>
      </x:c>
      <x:c r="F20" s="12" t="n">
        <x:f>IF(COUNTIF('26_Mapa_universos'!$A$5:$A$33,B20)=1,0,1)</x:f>
        <x:v>0</x:v>
      </x:c>
    </x:row>
    <x:row r="21" ht="47" customHeight="1">
      <x:c r="A21" s="4" t="str">
        <x:v>OPC-14</x:v>
      </x:c>
      <x:c r="B21" s="4" t="str">
        <x:v>CYO-14</x:v>
      </x:c>
      <x:c r="C21" s="4" t="str">
        <x:v>REEXAMINADA</x:v>
      </x:c>
      <x:c r="D21" s="4" t="str">
        <x:v>Conservar identidad candidata y añadir ancla educativa; no adopción automática.</x:v>
      </x:c>
      <x:c r="E21" s="4" t="str">
        <x:v>07 histórico; 26 nueva síntesis</x:v>
      </x:c>
      <x:c r="F21" s="12" t="n">
        <x:f>IF(COUNTIF('26_Mapa_universos'!$A$5:$A$33,B21)=1,0,1)</x:f>
        <x:v>0</x:v>
      </x:c>
    </x:row>
    <x:row r="22" ht="47" customHeight="1">
      <x:c r="A22" s="4" t="str">
        <x:v>OPC-15</x:v>
      </x:c>
      <x:c r="B22" s="4" t="str">
        <x:v>CYO-15</x:v>
      </x:c>
      <x:c r="C22" s="4" t="str">
        <x:v>DESCOMPOSICIÓN / CONVERGENCIA</x:v>
      </x:c>
      <x:c r="D22" s="4" t="str">
        <x:v>Separar admisibilidad del uso y validez técnica; CYO-23 es una identidad compartida, no dos copias.</x:v>
      </x:c>
      <x:c r="E22" s="4" t="str">
        <x:v>07 histórico; 26 nueva síntesis</x:v>
      </x:c>
      <x:c r="F22" s="12" t="n">
        <x:f>IF(COUNTIF('26_Mapa_universos'!$A$5:$A$33,B22)=1,0,1)</x:f>
        <x:v>0</x:v>
      </x:c>
    </x:row>
    <x:row r="23" ht="47" customHeight="1">
      <x:c r="A23" s="4" t="str">
        <x:v>OPC-15</x:v>
      </x:c>
      <x:c r="B23" s="4" t="str">
        <x:v>CYO-23</x:v>
      </x:c>
      <x:c r="C23" s="4" t="str">
        <x:v>DESCOMPOSICIÓN / CONVERGENCIA</x:v>
      </x:c>
      <x:c r="D23" s="4" t="str">
        <x:v>Separar admisibilidad del uso y validez técnica; CYO-23 es una identidad compartida, no dos copias.</x:v>
      </x:c>
      <x:c r="E23" s="4" t="str">
        <x:v>07 histórico; 26 nueva síntesis</x:v>
      </x:c>
      <x:c r="F23" s="12" t="n">
        <x:f>IF(COUNTIF('26_Mapa_universos'!$A$5:$A$33,B23)=1,0,1)</x:f>
        <x:v>0</x:v>
      </x:c>
    </x:row>
    <x:row r="24" ht="47" customHeight="1">
      <x:c r="A24" s="4" t="str">
        <x:v>OPC-16</x:v>
      </x:c>
      <x:c r="B24" s="4" t="str">
        <x:v>CYO-16</x:v>
      </x:c>
      <x:c r="C24" s="4" t="str">
        <x:v>REEXAMINADA</x:v>
      </x:c>
      <x:c r="D24" s="4" t="str">
        <x:v>Conservar identidad candidata y añadir ancla educativa; no adopción automática.</x:v>
      </x:c>
      <x:c r="E24" s="4" t="str">
        <x:v>07 histórico; 26 nueva síntesis</x:v>
      </x:c>
      <x:c r="F24" s="12" t="n">
        <x:f>IF(COUNTIF('26_Mapa_universos'!$A$5:$A$33,B24)=1,0,1)</x:f>
        <x:v>0</x:v>
      </x:c>
    </x:row>
    <x:row r="25" ht="47" customHeight="1">
      <x:c r="A25" s="4" t="str">
        <x:v>OPC-17</x:v>
      </x:c>
      <x:c r="B25" s="4" t="str">
        <x:v>CYO-17</x:v>
      </x:c>
      <x:c r="C25" s="4" t="str">
        <x:v>REEXAMINADA</x:v>
      </x:c>
      <x:c r="D25" s="4" t="str">
        <x:v>Conservar identidad candidata y añadir ancla educativa; no adopción automática.</x:v>
      </x:c>
      <x:c r="E25" s="4" t="str">
        <x:v>07 histórico; 26 nueva síntesis</x:v>
      </x:c>
      <x:c r="F25" s="12" t="n">
        <x:f>IF(COUNTIF('26_Mapa_universos'!$A$5:$A$33,B25)=1,0,1)</x:f>
        <x:v>0</x:v>
      </x:c>
    </x:row>
    <x:row r="26" ht="47" customHeight="1">
      <x:c r="A26" s="4" t="str">
        <x:v>OPC-18</x:v>
      </x:c>
      <x:c r="B26" s="4" t="str">
        <x:v>CYO-18</x:v>
      </x:c>
      <x:c r="C26" s="4" t="str">
        <x:v>REEXAMINADA</x:v>
      </x:c>
      <x:c r="D26" s="4" t="str">
        <x:v>Conservar identidad candidata y añadir ancla educativa; no adopción automática.</x:v>
      </x:c>
      <x:c r="E26" s="4" t="str">
        <x:v>07 histórico; 26 nueva síntesis</x:v>
      </x:c>
      <x:c r="F26" s="12" t="n">
        <x:f>IF(COUNTIF('26_Mapa_universos'!$A$5:$A$33,B26)=1,0,1)</x:f>
        <x:v>0</x:v>
      </x:c>
    </x:row>
    <x:row r="27" ht="47" customHeight="1">
      <x:c r="A27" s="4" t="str">
        <x:v>OPC-19</x:v>
      </x:c>
      <x:c r="B27" s="4" t="str">
        <x:v>CYO-19</x:v>
      </x:c>
      <x:c r="C27" s="4" t="str">
        <x:v>REEXAMINADA</x:v>
      </x:c>
      <x:c r="D27" s="4" t="str">
        <x:v>Conservar identidad candidata y añadir ancla educativa; no adopción automática.</x:v>
      </x:c>
      <x:c r="E27" s="4" t="str">
        <x:v>07 histórico; 26 nueva síntesis</x:v>
      </x:c>
      <x:c r="F27" s="12" t="n">
        <x:f>IF(COUNTIF('26_Mapa_universos'!$A$5:$A$33,B27)=1,0,1)</x:f>
        <x:v>0</x:v>
      </x:c>
    </x:row>
    <x:row r="28" ht="47" customHeight="1">
      <x:c r="A28" s="4" t="str">
        <x:v>OPC-20</x:v>
      </x:c>
      <x:c r="B28" s="4" t="str">
        <x:v>CYO-20</x:v>
      </x:c>
      <x:c r="C28" s="4" t="str">
        <x:v>REEXAMINADA</x:v>
      </x:c>
      <x:c r="D28" s="4" t="str">
        <x:v>Conservar identidad candidata y añadir ancla educativa; no adopción automática.</x:v>
      </x:c>
      <x:c r="E28" s="4" t="str">
        <x:v>07 histórico; 26 nueva síntesis</x:v>
      </x:c>
      <x:c r="F28" s="12" t="n">
        <x:f>IF(COUNTIF('26_Mapa_universos'!$A$5:$A$33,B28)=1,0,1)</x:f>
        <x:v>0</x:v>
      </x:c>
    </x:row>
    <x:row r="29" ht="47" customHeight="1">
      <x:c r="A29" s="4" t="str">
        <x:v>OPC-21</x:v>
      </x:c>
      <x:c r="B29" s="4" t="str">
        <x:v>CYO-21</x:v>
      </x:c>
      <x:c r="C29" s="4" t="str">
        <x:v>REEXAMINADA</x:v>
      </x:c>
      <x:c r="D29" s="4" t="str">
        <x:v>Conservar identidad candidata y añadir ancla educativa; no adopción automática.</x:v>
      </x:c>
      <x:c r="E29" s="4" t="str">
        <x:v>07 histórico; 26 nueva síntesis</x:v>
      </x:c>
      <x:c r="F29" s="12" t="n">
        <x:f>IF(COUNTIF('26_Mapa_universos'!$A$5:$A$33,B29)=1,0,1)</x:f>
        <x:v>0</x:v>
      </x:c>
    </x:row>
    <x:row r="30" ht="47" customHeight="1">
      <x:c r="A30" s="4" t="str">
        <x:v>OPC-22</x:v>
      </x:c>
      <x:c r="B30" s="4" t="str">
        <x:v>CYO-22</x:v>
      </x:c>
      <x:c r="C30" s="4" t="str">
        <x:v>REEXAMINADA</x:v>
      </x:c>
      <x:c r="D30" s="4" t="str">
        <x:v>Conservar identidad candidata y añadir ancla educativa; no adopción automática.</x:v>
      </x:c>
      <x:c r="E30" s="4" t="str">
        <x:v>07 histórico; 26 nueva síntesis</x:v>
      </x:c>
      <x:c r="F30" s="12" t="n">
        <x:f>IF(COUNTIF('26_Mapa_universos'!$A$5:$A$33,B30)=1,0,1)</x:f>
        <x:v>0</x:v>
      </x:c>
    </x:row>
    <x:row r="31" ht="47" customHeight="1">
      <x:c r="A31" s="4" t="str">
        <x:v>SIN ID PREVIO</x:v>
      </x:c>
      <x:c r="B31" s="4" t="str">
        <x:v>CYO-26</x:v>
      </x:c>
      <x:c r="C31" s="4" t="str">
        <x:v>ADICIÓN PROPUESTA</x:v>
      </x:c>
      <x:c r="D31" s="4" t="str">
        <x:v>Hallazgo y tratamiento no cierran con el mismo producto.</x:v>
      </x:c>
      <x:c r="E31" s="4" t="str">
        <x:v>R033 / R035 / R037; AN-02</x:v>
      </x:c>
      <x:c r="F31" s="12" t="n">
        <x:f>IF(COUNTIF('26_Mapa_universos'!$A$5:$A$33,B31)=1,0,1)</x:f>
        <x:v>0</x:v>
      </x:c>
    </x:row>
    <x:row r="32" ht="47" customHeight="1">
      <x:c r="A32" s="4" t="str">
        <x:v>SIN ID PREVIO</x:v>
      </x:c>
      <x:c r="B32" s="4" t="str">
        <x:v>CYO-27</x:v>
      </x:c>
      <x:c r="C32" s="4" t="str">
        <x:v>ADICIÓN PROPUESTA</x:v>
      </x:c>
      <x:c r="D32" s="4" t="str">
        <x:v>Una capacidad de detección validada difiere del juicio de una alerta.</x:v>
      </x:c>
      <x:c r="E32" s="4" t="str">
        <x:v>R033 / R035 / R037; AN-02</x:v>
      </x:c>
      <x:c r="F32" s="12" t="n">
        <x:f>IF(COUNTIF('26_Mapa_universos'!$A$5:$A$33,B32)=1,0,1)</x:f>
        <x:v>0</x:v>
      </x:c>
    </x:row>
    <x:row r="33" ht="47" customHeight="1">
      <x:c r="A33" s="4" t="str">
        <x:v>SIN ID PREVIO</x:v>
      </x:c>
      <x:c r="B33" s="4" t="str">
        <x:v>CYO-28</x:v>
      </x:c>
      <x:c r="C33" s="4" t="str">
        <x:v>ADICIÓN PROPUESTA</x:v>
      </x:c>
      <x:c r="D33" s="4" t="str">
        <x:v>La búsqueda por hipótesis tiene disparador y cierre propios, sin requerir alerta.</x:v>
      </x:c>
      <x:c r="E33" s="4" t="str">
        <x:v>R033 / R035 / R037; AN-02</x:v>
      </x:c>
      <x:c r="F33" s="12" t="n">
        <x:f>IF(COUNTIF('26_Mapa_universos'!$A$5:$A$33,B33)=1,0,1)</x:f>
        <x:v>0</x:v>
      </x:c>
    </x:row>
    <x:row r="34" ht="47" customHeight="1">
      <x:c r="A34" s="4" t="str">
        <x:v>SIN ID PREVIO</x:v>
      </x:c>
      <x:c r="B34" s="4" t="str">
        <x:v>CYO-29</x:v>
      </x:c>
      <x:c r="C34" s="4" t="str">
        <x:v>ADICIÓN PROPUESTA</x:v>
      </x:c>
      <x:c r="D34" s="4" t="str">
        <x:v>Política corporativa y admisión de un uso concreto son actos diferentes.</x:v>
      </x:c>
      <x:c r="E34" s="4" t="str">
        <x:v>R033 / R035 / R037; AN-02</x:v>
      </x:c>
      <x:c r="F34" s="12" t="n">
        <x:f>IF(COUNTIF('26_Mapa_universos'!$A$5:$A$33,B34)=1,0,1)</x:f>
        <x:v>0</x:v>
      </x:c>
    </x:row>
  </x:sheetData>
  <x:mergeCells>
    <x:mergeCell ref="A1:D1"/>
    <x:mergeCell ref="A2:F2"/>
  </x:mergeCells>
  <x:conditionalFormatting sqref="F5:F34">
    <x:cfRule type="expression" dxfId="15" priority="1">
      <x:formula>F5&gt;0</x:formula>
    </x:cfRule>
  </x:conditionalFormatting>
  <x:pageMargins left="0.7" right="0.7" top="0.75" bottom="0.75" header="0.3" footer="0.3"/>
  <x:tableParts count="1">
    <x:tablePart xmlns:r="http://schemas.openxmlformats.org/officeDocument/2006/relationships" r:id="Rb0d0927257b94407"/>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88" hidden="0" customWidth="1"/>
    <x:col min="7" max="7" width="97" hidden="0" customWidth="1"/>
    <x:col min="8" max="8" width="96" hidden="0" customWidth="1"/>
    <x:col min="9" max="9" width="95" hidden="0" customWidth="1"/>
    <x:col min="10" max="10" width="109" hidden="0" customWidth="1"/>
    <x:col min="11" max="11" width="15" hidden="0" customWidth="1"/>
    <x:col min="12" max="12" width="79" hidden="0" customWidth="1"/>
    <x:col min="13" max="13" width="105" hidden="0" customWidth="1"/>
    <x:col min="14" max="14" width="100" hidden="0" customWidth="1"/>
    <x:col min="15" max="15" width="45" hidden="0" customWidth="1"/>
    <x:col min="16" max="16" width="21" hidden="0" customWidth="1"/>
    <x:col min="17" max="17" width="23" hidden="0" customWidth="1"/>
    <x:col min="18" max="18" width="23" hidden="0" customWidth="1"/>
  </x:cols>
  <x:sheetData>
    <x:row r="1" ht="35" customHeight="1">
      <x:c r="A1" s="6" t="str">
        <x:v>CONSECUENCIAS · por qué debe enlazarse el conocimiento</x:v>
      </x:c>
      <x:c r="B1" s="6"/>
      <x:c r="C1" s="6"/>
      <x:c r="D1" s="6"/>
      <x:c r="E1" s="6"/>
      <x:c r="F1" s="6"/>
      <x:c r="G1" s="6"/>
      <x:c r="H1" s="6"/>
      <x:c r="I1" s="6"/>
      <x:c r="J1" s="6"/>
      <x:c r="K1" s="6"/>
      <x:c r="L1" s="6"/>
      <x:c r="M1" s="6"/>
      <x:c r="N1" s="6"/>
      <x:c r="O1" s="6"/>
      <x:c r="P1" s="6"/>
      <x:c r="Q1" s="6"/>
      <x:c r="R1" s="6"/>
    </x:row>
    <x:row r="2" ht="52" customHeight="1">
      <x:c r="A2" s="8" t="str">
        <x:v>Ocho testigos hipotéticos especificados. La prueba futura retirará un enlace necesario y comprobará qué consejo deja de estar fundado. No son daños observados, parámetros adjudicados ni una campaña ejecutada.</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Operación</x:v>
      </x:c>
      <x:c r="C4" s="10" t="str">
        <x:v>Conocimiento A</x:v>
      </x:c>
      <x:c r="D4" s="10" t="str">
        <x:v>Conocimiento B</x:v>
      </x:c>
      <x:c r="E4" s="10" t="str">
        <x:v>Conocimiento C</x:v>
      </x:c>
      <x:c r="F4" s="10" t="str">
        <x:v>Escenario hipotético</x:v>
      </x:c>
      <x:c r="G4" s="10" t="str">
        <x:v>Enlace necesario</x:v>
      </x:c>
      <x:c r="H4" s="10" t="str">
        <x:v>Consejo defectuoso si se omite</x:v>
      </x:c>
      <x:c r="I4" s="10" t="str">
        <x:v>Consecuencia potencial</x:v>
      </x:c>
      <x:c r="J4" s="10" t="str">
        <x:v>Consejo que debe poder fundamentarse</x:v>
      </x:c>
      <x:c r="K4" s="10" t="str">
        <x:v>Fuente principal</x:v>
      </x:c>
      <x:c r="L4" s="10" t="str">
        <x:v>Localizador</x:v>
      </x:c>
      <x:c r="M4" s="10" t="str">
        <x:v>Límite de la evidencia</x:v>
      </x:c>
      <x:c r="N4" s="10" t="str">
        <x:v>Necesidad de ruta / explicación</x:v>
      </x:c>
      <x:c r="O4" s="10" t="str">
        <x:v>Estado probatorio</x:v>
      </x:c>
      <x:c r="P4" s="10" t="str">
        <x:v>Operación inválida</x:v>
      </x:c>
      <x:c r="Q4" s="10" t="str">
        <x:v>Conocimiento inválido</x:v>
      </x:c>
      <x:c r="R4" s="10" t="str">
        <x:v>Campo esencial ausente</x:v>
      </x:c>
    </x:row>
    <x:row r="5" ht="47" customHeight="1">
      <x:c r="A5" s="4" t="str">
        <x:v>CE-OM-01</x:v>
      </x:c>
      <x:c r="B5" s="4" t="str">
        <x:v>CYO-07</x:v>
      </x:c>
      <x:c r="C5" s="4" t="str">
        <x:v>URJC-14</x:v>
      </x:c>
      <x:c r="D5" s="4" t="str">
        <x:v>URJC-33</x:v>
      </x:c>
      <x:c r="E5" s="4" t="str">
        <x:v>URJC-09</x:v>
      </x:c>
      <x:c r="F5" s="4" t="str">
        <x:v>Alerta de un servicio cuya fuente de logs está parcialmente ausente</x:v>
      </x:c>
      <x:c r="G5" s="4" t="str">
        <x:v>Enlazar alcance real de observación, señales e incertidumbre antes de interpretar silencio</x:v>
      </x:c>
      <x:c r="H5" s="4" t="str">
        <x:v>Dar por descartada actividad adversa porque no hay más señales</x:v>
      </x:c>
      <x:c r="I5" s="4" t="str">
        <x:v>Una actividad fuera de cobertura podría quedar sin investigar</x:v>
      </x:c>
      <x:c r="J5" s="4" t="str">
        <x:v>Explicar el límite de cobertura y la evidencia adicional necesaria para aconsejar el cierre</x:v>
      </x:c>
      <x:c r="K5" s="4" t="str">
        <x:v>F019</x:v>
      </x:c>
      <x:c r="L5" s="4" t="str">
        <x:v>DE.CM R1/R2; DE.AE; pp.23–27</x:v>
      </x:c>
      <x:c r="M5" s="4" t="str">
        <x:v>La fuente respalda cobertura y errores de detección; no demuestra un incidente en este escenario</x:v>
      </x:c>
      <x:c r="N5" s="4" t="str">
        <x:v>RC-01; cobertura del frame y enlace omitido</x:v>
      </x:c>
      <x:c r="O5" s="4" t="str">
        <x:v>ESPECIFICADO; NO EJECUTADO</x:v>
      </x:c>
      <x:c r="P5" s="12" t="n">
        <x:f>IF(COUNTIF('26_Mapa_universos'!$A$5:$A$33,B5)=1,0,1)</x:f>
        <x:v>0</x:v>
      </x:c>
      <x:c r="Q5" s="12" t="n">
        <x:f>IF(COUNTIF('15_Base_universitaria'!$A$5:$A$44,C5)+COUNTIF('17_Comp_educativos'!$A$5:$A$16,C5)=1,0,1)+IF(COUNTIF('15_Base_universitaria'!$A$5:$A$44,D5)+COUNTIF('17_Comp_educativos'!$A$5:$A$16,D5)=1,0,1)+IF(COUNTIF('15_Base_universitaria'!$A$5:$A$44,E5)+COUNTIF('17_Comp_educativos'!$A$5:$A$16,E5)=1,0,1)</x:f>
        <x:v>0</x:v>
      </x:c>
      <x:c r="R5" s="12" t="n">
        <x:f>COUNTBLANK(F5:N5)+IF(COUNTIF('21_Fuentes_educativas'!$A$5:$A$188,K5)+COUNTIF('01_Fuentes'!$A$5:$A$40,K5)+COUNTIF('32_Fuentes_metodo'!$A$5:$A$23,K5)=1,0,1)</x:f>
        <x:v>0</x:v>
      </x:c>
    </x:row>
    <x:row r="6" ht="47" customHeight="1">
      <x:c r="A6" s="4" t="str">
        <x:v>CE-OM-02</x:v>
      </x:c>
      <x:c r="B6" s="4" t="str">
        <x:v>CYO-14</x:v>
      </x:c>
      <x:c r="C6" s="4" t="str">
        <x:v>URJC-33</x:v>
      </x:c>
      <x:c r="D6" s="4" t="str">
        <x:v>URJC-36</x:v>
      </x:c>
      <x:c r="E6" s="4" t="str">
        <x:v>URJC-35</x:v>
      </x:c>
      <x:c r="F6" s="4" t="str">
        <x:v>Propuesta de aislar o reiniciar un componente que participa en un proceso físico</x:v>
      </x:c>
      <x:c r="G6" s="4" t="str">
        <x:v>Enlazar evidencia del incidente, dependencia ciberfísica y efectos de intervención</x:v>
      </x:c>
      <x:c r="H6" s="4" t="str">
        <x:v>Aconsejar la contención ordinaria sin examinar la función física</x:v>
      </x:c>
      <x:c r="I6" s="4" t="str">
        <x:v>Interrupción de una función o afectación a seguridad del proceso, según el caso</x:v>
      </x:c>
      <x:c r="J6" s="4" t="str">
        <x:v>Presentar alternativas y consecuencias al experto competente con las dependencias visibles</x:v>
      </x:c>
      <x:c r="K6" s="4" t="str">
        <x:v>F020</x:v>
      </x:c>
      <x:c r="L6" s="4" t="str">
        <x:v>§2.3; pp.28–30: disponibilidad, riesgo y efectos físicos</x:v>
      </x:c>
      <x:c r="M6" s="4" t="str">
        <x:v>La fuente documenta diferencias IT/OT; magnitud y causalidad del caso requieren evidencia propia</x:v>
      </x:c>
      <x:c r="N6" s="4" t="str">
        <x:v>RC-12; autoridades y consecuencias de intervenir/no intervenir</x:v>
      </x:c>
      <x:c r="O6" s="4" t="str">
        <x:v>ESPECIFICADO; NO EJECUTADO</x:v>
      </x:c>
      <x:c r="P6" s="12" t="n">
        <x:f>IF(COUNTIF('26_Mapa_universos'!$A$5:$A$33,B6)=1,0,1)</x:f>
        <x:v>0</x:v>
      </x:c>
      <x:c r="Q6" s="12" t="n">
        <x:f>IF(COUNTIF('15_Base_universitaria'!$A$5:$A$44,C6)+COUNTIF('17_Comp_educativos'!$A$5:$A$16,C6)=1,0,1)+IF(COUNTIF('15_Base_universitaria'!$A$5:$A$44,D6)+COUNTIF('17_Comp_educativos'!$A$5:$A$16,D6)=1,0,1)+IF(COUNTIF('15_Base_universitaria'!$A$5:$A$44,E6)+COUNTIF('17_Comp_educativos'!$A$5:$A$16,E6)=1,0,1)</x:f>
        <x:v>0</x:v>
      </x:c>
      <x:c r="R6" s="12" t="n">
        <x:f>COUNTBLANK(F6:N6)+IF(COUNTIF('21_Fuentes_educativas'!$A$5:$A$188,K6)+COUNTIF('01_Fuentes'!$A$5:$A$40,K6)+COUNTIF('32_Fuentes_metodo'!$A$5:$A$23,K6)=1,0,1)</x:f>
        <x:v>0</x:v>
      </x:c>
    </x:row>
    <x:row r="7" ht="47" customHeight="1">
      <x:c r="A7" s="4" t="str">
        <x:v>CE-OM-03</x:v>
      </x:c>
      <x:c r="B7" s="4" t="str">
        <x:v>CYO-25</x:v>
      </x:c>
      <x:c r="C7" s="4" t="str">
        <x:v>URJC-33</x:v>
      </x:c>
      <x:c r="D7" s="4" t="str">
        <x:v>URJC-24</x:v>
      </x:c>
      <x:c r="E7" s="4" t="str">
        <x:v>URJC-19</x:v>
      </x:c>
      <x:c r="F7" s="4" t="str">
        <x:v>Se dispone de una copia y se propone devolver un servicio a operación</x:v>
      </x:c>
      <x:c r="G7" s="4" t="str">
        <x:v>Enlazar integridad de copia, estado restaurado y orden de dependencias</x:v>
      </x:c>
      <x:c r="H7" s="4" t="str">
        <x:v>Aconsejar retorno por la mera existencia de la copia</x:v>
      </x:c>
      <x:c r="I7" s="4" t="str">
        <x:v>Podrían reaparecer compromiso, incoherencia de datos o fallo de una dependencia</x:v>
      </x:c>
      <x:c r="J7" s="4" t="str">
        <x:v>Explicar las verificaciones necesarias y el estado efectivo antes de la decisión de retorno</x:v>
      </x:c>
      <x:c r="K7" s="4" t="str">
        <x:v>F019</x:v>
      </x:c>
      <x:c r="L7" s="4" t="str">
        <x:v>RC.RP-03/04/05; p.34</x:v>
      </x:c>
      <x:c r="M7" s="4" t="str">
        <x:v>Se deriva un testigo de omisión de verificaciones prescritas; no se afirma que esa copia esté comprometida</x:v>
      </x:c>
      <x:c r="N7" s="4" t="str">
        <x:v>RC-07/08; distinguir prueba previa, restauración y permiso</x:v>
      </x:c>
      <x:c r="O7" s="4" t="str">
        <x:v>ESPECIFICADO; NO EJECUTADO</x:v>
      </x:c>
      <x:c r="P7" s="12" t="n">
        <x:f>IF(COUNTIF('26_Mapa_universos'!$A$5:$A$33,B7)=1,0,1)</x:f>
        <x:v>0</x:v>
      </x:c>
      <x:c r="Q7" s="12" t="n">
        <x:f>IF(COUNTIF('15_Base_universitaria'!$A$5:$A$44,C7)+COUNTIF('17_Comp_educativos'!$A$5:$A$16,C7)=1,0,1)+IF(COUNTIF('15_Base_universitaria'!$A$5:$A$44,D7)+COUNTIF('17_Comp_educativos'!$A$5:$A$16,D7)=1,0,1)+IF(COUNTIF('15_Base_universitaria'!$A$5:$A$44,E7)+COUNTIF('17_Comp_educativos'!$A$5:$A$16,E7)=1,0,1)</x:f>
        <x:v>0</x:v>
      </x:c>
      <x:c r="R7" s="12" t="n">
        <x:f>COUNTBLANK(F7:N7)+IF(COUNTIF('21_Fuentes_educativas'!$A$5:$A$188,K7)+COUNTIF('01_Fuentes'!$A$5:$A$40,K7)+COUNTIF('32_Fuentes_metodo'!$A$5:$A$23,K7)=1,0,1)</x:f>
        <x:v>0</x:v>
      </x:c>
    </x:row>
    <x:row r="8" ht="47" customHeight="1">
      <x:c r="A8" s="4" t="str">
        <x:v>CE-OM-04</x:v>
      </x:c>
      <x:c r="B8" s="4" t="str">
        <x:v>CYO-23</x:v>
      </x:c>
      <x:c r="C8" s="4" t="str">
        <x:v>URJC-09</x:v>
      </x:c>
      <x:c r="D8" s="4" t="str">
        <x:v>URJC-26</x:v>
      </x:c>
      <x:c r="E8" s="4" t="str">
        <x:v>CE-01</x:v>
      </x:c>
      <x:c r="F8" s="4" t="str">
        <x:v>Detector con una métrica favorable en un conjunto de evaluación</x:v>
      </x:c>
      <x:c r="G8" s="4" t="str">
        <x:v>Enlazar población de prueba, uso previsto y errores con consecuencias diferentes</x:v>
      </x:c>
      <x:c r="H8" s="4" t="str">
        <x:v>Aconsejar su uso sólo por la métrica agregada</x:v>
      </x:c>
      <x:c r="I8" s="4" t="str">
        <x:v>La evaluación podría no revelar fallos relevantes para el contexto de uso</x:v>
      </x:c>
      <x:c r="J8" s="4" t="str">
        <x:v>Justificar alcance, metodología, errores y límites de generalización ante el experto</x:v>
      </x:c>
      <x:c r="K8" s="4" t="str">
        <x:v>F024</x:v>
      </x:c>
      <x:c r="L8" s="4" t="str">
        <x:v>§3.1; pp.13–14; MEASURE 2.3/2.5</x:v>
      </x:c>
      <x:c r="M8" s="4" t="str">
        <x:v>La métrica es evidencia externa evaluada; no sustituye el juicio algebraico del SV</x:v>
      </x:c>
      <x:c r="N8" s="4" t="str">
        <x:v>RC-02; versión, cobertura y justificación del consejo</x:v>
      </x:c>
      <x:c r="O8" s="4" t="str">
        <x:v>ESPECIFICADO; NO EJECUTADO</x:v>
      </x:c>
      <x:c r="P8" s="12" t="n">
        <x:f>IF(COUNTIF('26_Mapa_universos'!$A$5:$A$33,B8)=1,0,1)</x:f>
        <x:v>0</x:v>
      </x:c>
      <x:c r="Q8" s="12" t="n">
        <x:f>IF(COUNTIF('15_Base_universitaria'!$A$5:$A$44,C8)+COUNTIF('17_Comp_educativos'!$A$5:$A$16,C8)=1,0,1)+IF(COUNTIF('15_Base_universitaria'!$A$5:$A$44,D8)+COUNTIF('17_Comp_educativos'!$A$5:$A$16,D8)=1,0,1)+IF(COUNTIF('15_Base_universitaria'!$A$5:$A$44,E8)+COUNTIF('17_Comp_educativos'!$A$5:$A$16,E8)=1,0,1)</x:f>
        <x:v>0</x:v>
      </x:c>
      <x:c r="R8" s="12" t="n">
        <x:f>COUNTBLANK(F8:N8)+IF(COUNTIF('21_Fuentes_educativas'!$A$5:$A$188,K8)+COUNTIF('01_Fuentes'!$A$5:$A$40,K8)+COUNTIF('32_Fuentes_metodo'!$A$5:$A$23,K8)=1,0,1)</x:f>
        <x:v>0</x:v>
      </x:c>
    </x:row>
    <x:row r="9" ht="47" customHeight="1">
      <x:c r="A9" s="4" t="str">
        <x:v>CE-OM-05</x:v>
      </x:c>
      <x:c r="B9" s="4" t="str">
        <x:v>CYO-15</x:v>
      </x:c>
      <x:c r="C9" s="4" t="str">
        <x:v>URJC-28</x:v>
      </x:c>
      <x:c r="D9" s="4" t="str">
        <x:v>URJC-24</x:v>
      </x:c>
      <x:c r="E9" s="4" t="str">
        <x:v>CE-03</x:v>
      </x:c>
      <x:c r="F9" s="4" t="str">
        <x:v>Aplicación LLM que recibe documentos externos y dispone de herramientas</x:v>
      </x:c>
      <x:c r="G9" s="4" t="str">
        <x:v>Enlazar procedencia del contenido, jerarquía de instrucciones y permisos efectivos</x:v>
      </x:c>
      <x:c r="H9" s="4" t="str">
        <x:v>Aconsejar habilitar acciones porque la respuesta generada resulta coherente</x:v>
      </x:c>
      <x:c r="I9" s="4" t="str">
        <x:v>Una entrada adversaria podría inducir una acción no autorizada si faltan controles efectivos</x:v>
      </x:c>
      <x:c r="J9" s="4" t="str">
        <x:v>Explicar qué controles, evidencia de prueba y permisos sostienen el uso propuesto</x:v>
      </x:c>
      <x:c r="K9" s="4" t="str">
        <x:v>F026</x:v>
      </x:c>
      <x:c r="L9" s="4" t="str">
        <x:v>§3.4: indirect prompt injection; pp.50 y siguientes</x:v>
      </x:c>
      <x:c r="M9" s="4" t="str">
        <x:v>Mecanismo general documentado; este libro no ejecuta ataques ni acredita una mitigación concreta</x:v>
      </x:c>
      <x:c r="N9" s="4" t="str">
        <x:v>RC-03/04; contenido externo no se convierte en mandato</x:v>
      </x:c>
      <x:c r="O9" s="4" t="str">
        <x:v>ESPECIFICADO; NO EJECUTADO</x:v>
      </x:c>
      <x:c r="P9" s="12" t="n">
        <x:f>IF(COUNTIF('26_Mapa_universos'!$A$5:$A$33,B9)=1,0,1)</x:f>
        <x:v>0</x:v>
      </x:c>
      <x:c r="Q9" s="12" t="n">
        <x:f>IF(COUNTIF('15_Base_universitaria'!$A$5:$A$44,C9)+COUNTIF('17_Comp_educativos'!$A$5:$A$16,C9)=1,0,1)+IF(COUNTIF('15_Base_universitaria'!$A$5:$A$44,D9)+COUNTIF('17_Comp_educativos'!$A$5:$A$16,D9)=1,0,1)+IF(COUNTIF('15_Base_universitaria'!$A$5:$A$44,E9)+COUNTIF('17_Comp_educativos'!$A$5:$A$16,E9)=1,0,1)</x:f>
        <x:v>0</x:v>
      </x:c>
      <x:c r="R9" s="12" t="n">
        <x:f>COUNTBLANK(F9:N9)+IF(COUNTIF('21_Fuentes_educativas'!$A$5:$A$188,K9)+COUNTIF('01_Fuentes'!$A$5:$A$40,K9)+COUNTIF('32_Fuentes_metodo'!$A$5:$A$23,K9)=1,0,1)</x:f>
        <x:v>0</x:v>
      </x:c>
    </x:row>
    <x:row r="10" ht="47" customHeight="1">
      <x:c r="A10" s="4" t="str">
        <x:v>CE-OM-06</x:v>
      </x:c>
      <x:c r="B10" s="4" t="str">
        <x:v>CYO-17</x:v>
      </x:c>
      <x:c r="C10" s="4" t="str">
        <x:v>URJC-07</x:v>
      </x:c>
      <x:c r="D10" s="4" t="str">
        <x:v>URJC-12</x:v>
      </x:c>
      <x:c r="E10" s="4" t="str">
        <x:v>CE-03</x:v>
      </x:c>
      <x:c r="F10" s="4" t="str">
        <x:v>Servicio ML que mantiene datos locales o declara un mecanismo de protección</x:v>
      </x:c>
      <x:c r="G10" s="4" t="str">
        <x:v>Enlazar información observable, objetivo del adversario y garantía concreta</x:v>
      </x:c>
      <x:c r="H10" s="4" t="str">
        <x:v>Aconsejar que la privacidad está resuelta por usar aprendizaje federado o cifrado</x:v>
      </x:c>
      <x:c r="I10" s="4" t="str">
        <x:v>Podría quedar sin tratar una vía de inferencia o reconstrucción de información</x:v>
      </x:c>
      <x:c r="J10" s="4" t="str">
        <x:v>Diferenciar amenaza, garantía, supuestos y riesgo residual; remitir la valoración jurídica al responsable</x:v>
      </x:c>
      <x:c r="K10" s="4" t="str">
        <x:v>F026</x:v>
      </x:c>
      <x:c r="L10" s="4" t="str">
        <x:v>§2.4.1: reconstrucción, p.28; §2.4.2: pertenencia, p.29; §1: confidencialidad/privacidad</x:v>
      </x:c>
      <x:c r="M10" s="4" t="str">
        <x:v>No se equiparan federado, privacidad diferencial y TEE; contratos y aprendizaje especializado siguen pendientes</x:v>
      </x:c>
      <x:c r="N10" s="4" t="str">
        <x:v>Garantía y amenaza identificadas; incertidumbre preservada</x:v>
      </x:c>
      <x:c r="O10" s="4" t="str">
        <x:v>ESPECIFICADO; NO EJECUTADO</x:v>
      </x:c>
      <x:c r="P10" s="12" t="n">
        <x:f>IF(COUNTIF('26_Mapa_universos'!$A$5:$A$33,B10)=1,0,1)</x:f>
        <x:v>0</x:v>
      </x:c>
      <x:c r="Q10" s="12" t="n">
        <x:f>IF(COUNTIF('15_Base_universitaria'!$A$5:$A$44,C10)+COUNTIF('17_Comp_educativos'!$A$5:$A$16,C10)=1,0,1)+IF(COUNTIF('15_Base_universitaria'!$A$5:$A$44,D10)+COUNTIF('17_Comp_educativos'!$A$5:$A$16,D10)=1,0,1)+IF(COUNTIF('15_Base_universitaria'!$A$5:$A$44,E10)+COUNTIF('17_Comp_educativos'!$A$5:$A$16,E10)=1,0,1)</x:f>
        <x:v>0</x:v>
      </x:c>
      <x:c r="R10" s="12" t="n">
        <x:f>COUNTBLANK(F10:N10)+IF(COUNTIF('21_Fuentes_educativas'!$A$5:$A$188,K10)+COUNTIF('01_Fuentes'!$A$5:$A$40,K10)+COUNTIF('32_Fuentes_metodo'!$A$5:$A$23,K10)=1,0,1)</x:f>
        <x:v>0</x:v>
      </x:c>
    </x:row>
    <x:row r="11" ht="47" customHeight="1">
      <x:c r="A11" s="4" t="str">
        <x:v>CE-OM-07</x:v>
      </x:c>
      <x:c r="B11" s="4" t="str">
        <x:v>CYO-01</x:v>
      </x:c>
      <x:c r="C11" s="4" t="str">
        <x:v>URJC-11</x:v>
      </x:c>
      <x:c r="D11" s="4" t="str">
        <x:v>URJC-35</x:v>
      </x:c>
      <x:c r="E11" s="4" t="str">
        <x:v>URJC-36</x:v>
      </x:c>
      <x:c r="F11" s="4" t="str">
        <x:v>Medida protectora con coste operativo y dependencias fuera del activo inmediato</x:v>
      </x:c>
      <x:c r="G11" s="4" t="str">
        <x:v>Enlazar coste total, alcance del valor protegido y consecuencias trasladadas</x:v>
      </x:c>
      <x:c r="H11" s="4" t="str">
        <x:v>Aconsejar la medida atendiendo sólo a su eficacia técnica</x:v>
      </x:c>
      <x:c r="I11" s="4" t="str">
        <x:v>La protección puede consumir más que el valor protegido o desplazar un daño no valorado</x:v>
      </x:c>
      <x:c r="J11" s="4" t="str">
        <x:v>Presentar alternativas, supuestos y valoración suficiente; decide el experto conforme al mandato</x:v>
      </x:c>
      <x:c r="K11" s="4" t="str">
        <x:v>R035</x:v>
      </x:c>
      <x:c r="L11" s="4" t="str">
        <x:v>IV: tratamiento, costes, retornos y calibración; mandato humano</x:v>
      </x:c>
      <x:c r="M11" s="4" t="str">
        <x:v>No se fija un precio de la vida ni una fórmula universal. Valores y alcance deben ser constituidos por la autoridad</x:v>
      </x:c>
      <x:c r="N11" s="4" t="str">
        <x:v>Balance completo y dependencia omitida visibles; no compensación automática</x:v>
      </x:c>
      <x:c r="O11" s="4" t="str">
        <x:v>ESPECIFICADO; NO EJECUTADO</x:v>
      </x:c>
      <x:c r="P11" s="12" t="n">
        <x:f>IF(COUNTIF('26_Mapa_universos'!$A$5:$A$33,B11)=1,0,1)</x:f>
        <x:v>0</x:v>
      </x:c>
      <x:c r="Q11" s="12" t="n">
        <x:f>IF(COUNTIF('15_Base_universitaria'!$A$5:$A$44,C11)+COUNTIF('17_Comp_educativos'!$A$5:$A$16,C11)=1,0,1)+IF(COUNTIF('15_Base_universitaria'!$A$5:$A$44,D11)+COUNTIF('17_Comp_educativos'!$A$5:$A$16,D11)=1,0,1)+IF(COUNTIF('15_Base_universitaria'!$A$5:$A$44,E11)+COUNTIF('17_Comp_educativos'!$A$5:$A$16,E11)=1,0,1)</x:f>
        <x:v>0</x:v>
      </x:c>
      <x:c r="R11" s="12" t="n">
        <x:f>COUNTBLANK(F11:N11)+IF(COUNTIF('21_Fuentes_educativas'!$A$5:$A$188,K11)+COUNTIF('01_Fuentes'!$A$5:$A$40,K11)+COUNTIF('32_Fuentes_metodo'!$A$5:$A$23,K11)=1,0,1)</x:f>
        <x:v>0</x:v>
      </x:c>
    </x:row>
    <x:row r="12" ht="47" customHeight="1">
      <x:c r="A12" s="4" t="str">
        <x:v>CE-OM-08</x:v>
      </x:c>
      <x:c r="B12" s="4" t="str">
        <x:v>CYO-19</x:v>
      </x:c>
      <x:c r="C12" s="4" t="str">
        <x:v>URJC-40</x:v>
      </x:c>
      <x:c r="D12" s="4" t="str">
        <x:v>URJC-09</x:v>
      </x:c>
      <x:c r="E12" s="4" t="str">
        <x:v>CE-07</x:v>
      </x:c>
      <x:c r="F12" s="4" t="str">
        <x:v>Consulta sobre un caso nuevo que muestra límites de una regla o evidencia anterior</x:v>
      </x:c>
      <x:c r="G12" s="4" t="str">
        <x:v>Enlazar conocimiento admitido, cobertura del caso y condición de reevaluación</x:v>
      </x:c>
      <x:c r="H12" s="4" t="str">
        <x:v>Aconsejar como si la referencia anterior cubriera el caso, o improvisar otra regla durante la consulta</x:v>
      </x:c>
      <x:c r="I12" s="4" t="str">
        <x:v>El experto podría recibir un fundamento que no corresponde al corte autorizado</x:v>
      </x:c>
      <x:c r="J12" s="4" t="str">
        <x:v>Exponer la carencia; nueva observación se procesa bajo contrato y nuevo conocimiento se somete a revisión humana</x:v>
      </x:c>
      <x:c r="K12" s="4" t="str">
        <x:v>S017</x:v>
      </x:c>
      <x:c r="L12" s="4" t="str">
        <x:v>§§6.3–6.5; S018 §§3–5; S019 §§2,7</x:v>
      </x:c>
      <x:c r="M12" s="4" t="str">
        <x:v>No se equipara actualizar un estado factual con aprender o admitir conocimiento nuevo</x:v>
      </x:c>
      <x:c r="N12" s="4" t="str">
        <x:v>Suceso, reevaluación, frame resultante y J reconstruible</x:v>
      </x:c>
      <x:c r="O12" s="4" t="str">
        <x:v>ESPECIFICADO; NO EJECUTADO</x:v>
      </x:c>
      <x:c r="P12" s="12" t="n">
        <x:f>IF(COUNTIF('26_Mapa_universos'!$A$5:$A$33,B12)=1,0,1)</x:f>
        <x:v>0</x:v>
      </x:c>
      <x:c r="Q12" s="12" t="n">
        <x:f>IF(COUNTIF('15_Base_universitaria'!$A$5:$A$44,C12)+COUNTIF('17_Comp_educativos'!$A$5:$A$16,C12)=1,0,1)+IF(COUNTIF('15_Base_universitaria'!$A$5:$A$44,D12)+COUNTIF('17_Comp_educativos'!$A$5:$A$16,D12)=1,0,1)+IF(COUNTIF('15_Base_universitaria'!$A$5:$A$44,E12)+COUNTIF('17_Comp_educativos'!$A$5:$A$16,E12)=1,0,1)</x:f>
        <x:v>0</x:v>
      </x:c>
      <x:c r="R12" s="12" t="n">
        <x:f>COUNTBLANK(F12:N12)+IF(COUNTIF('21_Fuentes_educativas'!$A$5:$A$188,K12)+COUNTIF('01_Fuentes'!$A$5:$A$40,K12)+COUNTIF('32_Fuentes_metodo'!$A$5:$A$23,K12)=1,0,1)</x:f>
        <x:v>0</x:v>
      </x:c>
    </x:row>
  </x:sheetData>
  <x:mergeCells>
    <x:mergeCell ref="A1:D1"/>
    <x:mergeCell ref="A2:F2"/>
  </x:mergeCells>
  <x:conditionalFormatting sqref="P5:P12">
    <x:cfRule type="expression" dxfId="18" priority="1">
      <x:formula>P5&gt;0</x:formula>
    </x:cfRule>
  </x:conditionalFormatting>
  <x:conditionalFormatting sqref="Q5:Q12">
    <x:cfRule type="expression" dxfId="19" priority="2">
      <x:formula>Q5&gt;0</x:formula>
    </x:cfRule>
  </x:conditionalFormatting>
  <x:conditionalFormatting sqref="R5:R12">
    <x:cfRule type="expression" dxfId="20" priority="3">
      <x:formula>R5&gt;0</x:formula>
    </x:cfRule>
  </x:conditionalFormatting>
  <x:pageMargins left="0.7" right="0.7" top="0.75" bottom="0.75" header="0.3" footer="0.3"/>
  <x:tableParts count="1">
    <x:tablePart xmlns:r="http://schemas.openxmlformats.org/officeDocument/2006/relationships" r:id="Rf1e6f6295ce147f1"/>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112" hidden="0" customWidth="1"/>
    <x:col min="4" max="4" width="106" hidden="0" customWidth="1"/>
    <x:col min="5" max="5" width="58" hidden="0" customWidth="1"/>
    <x:col min="6" max="6" width="91" hidden="0" customWidth="1"/>
  </x:cols>
  <x:sheetData>
    <x:row r="1" ht="35" customHeight="1">
      <x:c r="A1" s="6" t="str">
        <x:v>CONSEJO AL EXPERTO · conocimiento, explicación y frame</x:v>
      </x:c>
      <x:c r="B1" s="6"/>
      <x:c r="C1" s="6"/>
      <x:c r="D1" s="6"/>
      <x:c r="E1" s="6"/>
      <x:c r="F1" s="6"/>
    </x:row>
    <x:row r="2" ht="52" customHeight="1">
      <x:c r="A2" s="8" t="str">
        <x:v>Obligaciones doctrinales y de dominio. Se distingue exigencia de representación, realización existente y suficiencia pendiente; no se promete que el Lenguaje ya implemente todo lo necesario.</x:v>
      </x:c>
      <x:c r="B2" s="8"/>
      <x:c r="C2" s="8"/>
      <x:c r="D2" s="8"/>
      <x:c r="E2" s="8"/>
      <x:c r="F2" s="8"/>
    </x:row>
    <x:row r="3">
      <x:c r="A3" s="4"/>
      <x:c r="B3" s="4"/>
      <x:c r="C3" s="4"/>
      <x:c r="D3" s="4"/>
      <x:c r="E3" s="4"/>
      <x:c r="F3" s="4"/>
    </x:row>
    <x:row r="4" ht="42" customHeight="1">
      <x:c r="A4" s="10" t="str">
        <x:v>ID</x:v>
      </x:c>
      <x:c r="B4" s="10" t="str">
        <x:v>Objeto</x:v>
      </x:c>
      <x:c r="C4" s="10" t="str">
        <x:v>Obligación</x:v>
      </x:c>
      <x:c r="D4" s="10" t="str">
        <x:v>Omisión que debe impedirse</x:v>
      </x:c>
      <x:c r="E4" s="10" t="str">
        <x:v>Fuente / localizador</x:v>
      </x:c>
      <x:c r="F4" s="10" t="str">
        <x:v>Estatuto</x:v>
      </x:c>
    </x:row>
    <x:row r="5" ht="47" customHeight="1">
      <x:c r="A5" s="4" t="str">
        <x:v>CFM-01</x:v>
      </x:c>
      <x:c r="B5" s="4" t="str">
        <x:v>Experto y consejero</x:v>
      </x:c>
      <x:c r="C5" s="4" t="str">
        <x:v>La IA aporta consejo explicable dentro del dominio y cobertura recibidos; el experto conserva decisión y responsabilidad final</x:v>
      </x:c>
      <x:c r="D5" s="4" t="str">
        <x:v>No adjudicar a la IA autoridad, personalidad o responsabilidad jurídica por emitir texto</x:v>
      </x:c>
      <x:c r="E5" s="4" t="str">
        <x:v>Mandato humano; I005 cierre; S014 §2</x:v>
      </x:c>
      <x:c r="F5" s="4" t="str">
        <x:v>Requisito de gobierno, no contrato de agente constituido</x:v>
      </x:c>
    </x:row>
    <x:row r="6" ht="47" customHeight="1">
      <x:c r="A6" s="4" t="str">
        <x:v>CFM-02</x:v>
      </x:c>
      <x:c r="B6" s="4" t="str">
        <x:v>Conocimiento previamente admitido</x:v>
      </x:c>
      <x:c r="C6" s="4" t="str">
        <x:v>Identificar corpus, fuentes, versiones y reglas gobernantes antes de aconsejar</x:v>
      </x:c>
      <x:c r="D6" s="4" t="str">
        <x:v>Consulta no incorpora fuentes nuevas ni aprende reglas por su cuenta</x:v>
      </x:c>
      <x:c r="E6" s="4" t="str">
        <x:v>S017 §§1,6; S014 §9; mandato humano</x:v>
      </x:c>
      <x:c r="F6" s="4" t="str">
        <x:v>Adquisición para revisar ≠ adopción para aconsejar</x:v>
      </x:c>
    </x:row>
    <x:row r="7" ht="47" customHeight="1">
      <x:c r="A7" s="4" t="str">
        <x:v>CFM-03</x:v>
      </x:c>
      <x:c r="B7" s="4" t="str">
        <x:v>Conocimiento enlazado</x:v>
      </x:c>
      <x:c r="C7" s="4" t="str">
        <x:v>Declarar qué conocimientos y relaciones son necesarios para el propósito de la consulta</x:v>
      </x:c>
      <x:c r="D7" s="4" t="str">
        <x:v>Listar fuentes sin reconstruir el enlace no justifica el consejo</x:v>
      </x:c>
      <x:c r="E7" s="4" t="str">
        <x:v>S017 §6.3–6.4; 34</x:v>
      </x:c>
      <x:c r="F7" s="4" t="str">
        <x:v>Obligación candidata de suficiencia del dominio</x:v>
      </x:c>
    </x:row>
    <x:row r="8" ht="47" customHeight="1">
      <x:c r="A8" s="4" t="str">
        <x:v>CFM-04</x:v>
      </x:c>
      <x:c r="B8" s="4" t="str">
        <x:v>Consecuencia de omisión</x:v>
      </x:c>
      <x:c r="C8" s="4" t="str">
        <x:v>Mostrar el cambio de consejo al retirar un conocimiento o vínculo necesario, y la consecuencia que debe examinarse</x:v>
      </x:c>
      <x:c r="D8" s="4" t="str">
        <x:v>No inventar daño real, probabilidad ni gravedad numérica sin fuente y contexto</x:v>
      </x:c>
      <x:c r="E8" s="4" t="str">
        <x:v>I005 §7.3; mandato humano; 34</x:v>
      </x:c>
      <x:c r="F8" s="4" t="str">
        <x:v>Testigos propuestos; campaña profesional pendiente</x:v>
      </x:c>
    </x:row>
    <x:row r="9" ht="47" customHeight="1">
      <x:c r="A9" s="4" t="str">
        <x:v>CFM-05</x:v>
      </x:c>
      <x:c r="B9" s="4" t="str">
        <x:v>Salida de consulta</x:v>
      </x:c>
      <x:c r="C9" s="4" t="str">
        <x:v>Preservar respuesta r, justificación reconstruible J y metadatos M de cobertura, criticidad y U</x:v>
      </x:c>
      <x:c r="D9" s="4" t="str">
        <x:v>Una explicación narrativa no sustituye valores, reglas y trayectoria</x:v>
      </x:c>
      <x:c r="E9" s="4" t="str">
        <x:v>S017 §§6.3–6.5</x:v>
      </x:c>
      <x:c r="F9" s="4" t="str">
        <x:v>Contrato doctrinal, no implementación nueva</x:v>
      </x:c>
    </x:row>
    <x:row r="10" ht="47" customHeight="1">
      <x:c r="A10" s="4" t="str">
        <x:v>CFM-06</x:v>
      </x:c>
      <x:c r="B10" s="4" t="str">
        <x:v>Frame y arquitectura</x:v>
      </x:c>
      <x:c r="C10" s="4" t="str">
        <x:v>Frame vinculado a arquitectura constituida y estados/resultados de su cierre</x:v>
      </x:c>
      <x:c r="D10" s="4" t="str">
        <x:v>No construir un Frame con agrupaciones de tamaño no admitido ni con referencias ajenas</x:v>
      </x:c>
      <x:c r="E10" s="4" t="str">
        <x:v>S018 §3.4; S016 §§4.1–4.5; S014 §§1–3</x:v>
      </x:c>
      <x:c r="F10" s="4" t="str">
        <x:v>No se instancia ningún Frame CYB en este libro</x:v>
      </x:c>
    </x:row>
    <x:row r="11" ht="47" customHeight="1">
      <x:c r="A11" s="4" t="str">
        <x:v>CFM-07</x:v>
      </x:c>
      <x:c r="B11" s="4" t="str">
        <x:v>Suficiencia del consejo</x:v>
      </x:c>
      <x:c r="C11" s="4" t="str">
        <x:v>Comprobar las dependencias necesarias del alcance consultado además de coherencia del Frame</x:v>
      </x:c>
      <x:c r="D11" s="4" t="str">
        <x:v>IR v0.3 §4.7 no prueba exhaustividad; no interpretar validación verde como conocimiento suficiente</x:v>
      </x:c>
      <x:c r="E11" s="4" t="str">
        <x:v>S016 §4.7; S015 §§6–8</x:v>
      </x:c>
      <x:c r="F11" s="4" t="str">
        <x:v>Riesgo de omisión que el dominio debe contrastar</x:v>
      </x:c>
    </x:row>
    <x:row r="12" ht="47" customHeight="1">
      <x:c r="A12" s="4" t="str">
        <x:v>CFM-08</x:v>
      </x:c>
      <x:c r="B12" s="4" t="str">
        <x:v>Suceso y reevaluación</x:v>
      </x:c>
      <x:c r="C12" s="4" t="str">
        <x:v>Declarar suceso del horizonte, dato pertinente, reevaluación y nuevo frame</x:v>
      </x:c>
      <x:c r="D12" s="4" t="str">
        <x:v>El tiempo no es causa soberana; una observación nueva no modifica por sí sola el corpus de reglas</x:v>
      </x:c>
      <x:c r="E12" s="4" t="str">
        <x:v>S018 §§3–6; S019 §§2–7</x:v>
      </x:c>
      <x:c r="F12" s="4" t="str">
        <x:v>Actualización factual gobernada ≠ aprendizaje del consejero</x:v>
      </x:c>
    </x:row>
    <x:row r="13" ht="47" customHeight="1">
      <x:c r="A13" s="4" t="str">
        <x:v>CFM-09</x:v>
      </x:c>
      <x:c r="B13" s="4" t="str">
        <x:v>Historia y explicación recuperable</x:v>
      </x:c>
      <x:c r="C13" s="4" t="str">
        <x:v>Conservar frames previos y reconstruir el fundamento de cada consejo en su corte</x:v>
      </x:c>
      <x:c r="D13" s="4" t="str">
        <x:v>No reescribir el pasado para hacerlo parecer conforme a conocimiento posterior</x:v>
      </x:c>
      <x:c r="E13" s="4" t="str">
        <x:v>S018 §5.1; S017 §6.4</x:v>
      </x:c>
      <x:c r="F13" s="4" t="str">
        <x:v>Trayectoria por adición; reconstrucción de J</x:v>
      </x:c>
    </x:row>
    <x:row r="14" ht="47" customHeight="1">
      <x:c r="A14" s="4" t="str">
        <x:v>CFM-10</x:v>
      </x:c>
      <x:c r="B14" s="4" t="str">
        <x:v>U, fallo y desconocimiento</x:v>
      </x:c>
      <x:c r="C14" s="4" t="str">
        <x:v>Distinguir incertidumbre semántica, omisión constitutiva y fallo técnico</x:v>
      </x:c>
      <x:c r="D14" s="4" t="str">
        <x:v>No rellenar células, declarar certeza por plausibilidad ni convertir fallo técnico en Tri.U</x:v>
      </x:c>
      <x:c r="E14" s="4" t="str">
        <x:v>S014 §§1.5,3,5</x:v>
      </x:c>
      <x:c r="F14" s="4" t="str">
        <x:v>La distinción se reflejará en el contrato de operación</x:v>
      </x:c>
    </x:row>
    <x:row r="15" ht="47" customHeight="1">
      <x:c r="A15" s="4" t="str">
        <x:v>CFM-11</x:v>
      </x:c>
      <x:c r="B15" s="4" t="str">
        <x:v>Rutas críticas</x:v>
      </x:c>
      <x:c r="C15" s="4" t="str">
        <x:v>Constituir dependencias según consecuencias y relación semántica antes de escoger operador</x:v>
      </x:c>
      <x:c r="D15" s="4" t="str">
        <x:v>No elegir rutas sólo por proximidad temática ni aplicar una ley universal a toda arista</x:v>
      </x:c>
      <x:c r="E15" s="4" t="str">
        <x:v>S007 §7; S017 §5.6; I005 §7.2</x:v>
      </x:c>
      <x:c r="F15" s="4" t="str">
        <x:v>28 y 34 preparan requisitos; G7 pendiente</x:v>
      </x:c>
    </x:row>
    <x:row r="16" ht="47" customHeight="1">
      <x:c r="A16" s="4" t="str">
        <x:v>CFM-12</x:v>
      </x:c>
      <x:c r="B16" s="4" t="str">
        <x:v>Células y posiciones</x:v>
      </x:c>
      <x:c r="C16" s="4" t="str">
        <x:v>Constituir células exactas con b≥3, n=b², orden e identidad posicional explícitos</x:v>
      </x:c>
      <x:c r="D16" s="4" t="str">
        <x:v>Sin redondeo, relleno, duplicación ni tamaños importados del antecedente inmunológico</x:v>
      </x:c>
      <x:c r="E16" s="4" t="str">
        <x:v>S014 §§1–4; mandato humano</x:v>
      </x:c>
      <x:c r="F16" s="4" t="str">
        <x:v>Ningún tamaño ni número de células CYB decidido</x:v>
      </x:c>
    </x:row>
  </x:sheetData>
  <x:mergeCells>
    <x:mergeCell ref="A1:D1"/>
    <x:mergeCell ref="A2:F2"/>
  </x:mergeCells>
  <x:pageMargins left="0.7" right="0.7" top="0.75" bottom="0.75" header="0.3" footer="0.3"/>
  <x:tableParts count="1">
    <x:tablePart xmlns:r="http://schemas.openxmlformats.org/officeDocument/2006/relationships" r:id="Recd9e20b85074fe6"/>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2" hidden="0" customWidth="1"/>
    <x:col min="2" max="2" width="33" hidden="0" customWidth="1"/>
    <x:col min="3" max="3" width="87" hidden="0" customWidth="1"/>
    <x:col min="4" max="4" width="80" hidden="0" customWidth="1"/>
    <x:col min="5" max="5" width="31" hidden="0" customWidth="1"/>
    <x:col min="6" max="6" width="40" hidden="0" customWidth="1"/>
  </x:cols>
  <x:sheetData>
    <x:row r="1" ht="35" customHeight="1">
      <x:c r="A1" s="6" t="str">
        <x:v>PRIMER PARÁMETRO · lagunas resueltas y selección</x:v>
      </x:c>
      <x:c r="B1" s="6"/>
      <x:c r="C1" s="6"/>
      <x:c r="D1" s="6"/>
      <x:c r="E1" s="6"/>
      <x:c r="F1" s="6"/>
    </x:row>
    <x:row r="2" ht="52" customHeight="1">
      <x:c r="A2" s="8" t="str">
        <x:v>v0.4 · comparación cualitativa, sin puntuación inventada. El alcance y el dictamen completo están en el expediente OP-CYB-001.</x:v>
      </x:c>
      <x:c r="B2" s="8"/>
      <x:c r="C2" s="8"/>
      <x:c r="D2" s="8"/>
      <x:c r="E2" s="8"/>
      <x:c r="F2" s="8"/>
    </x:row>
    <x:row r="3">
      <x:c r="A3" s="4"/>
      <x:c r="B3" s="4"/>
      <x:c r="C3" s="4"/>
      <x:c r="D3" s="4"/>
      <x:c r="E3" s="4"/>
      <x:c r="F3" s="4"/>
    </x:row>
    <x:row r="4" ht="42" customHeight="1">
      <x:c r="A4" s="10" t="str">
        <x:v>ID</x:v>
      </x:c>
      <x:c r="B4" s="10" t="str">
        <x:v>Cuestión</x:v>
      </x:c>
      <x:c r="C4" s="10" t="str">
        <x:v>Decisión fundada</x:v>
      </x:c>
      <x:c r="D4" s="10" t="str">
        <x:v>Límite que se conserva</x:v>
      </x:c>
      <x:c r="E4" s="10" t="str">
        <x:v>Estado</x:v>
      </x:c>
      <x:c r="F4" s="10" t="str">
        <x:v>Evidencia</x:v>
      </x:c>
    </x:row>
    <x:row r="5" ht="47" customHeight="1">
      <x:c r="A5" s="4" t="str">
        <x:v>LG-01</x:v>
      </x:c>
      <x:c r="B5" s="4" t="str">
        <x:v>Mandato actual</x:v>
      </x:c>
      <x:c r="C5" s="4" t="str">
        <x:v>El Director revisa los ingredientes de v0.3 y ordena buscar el primer parámetro; se ejecuta el trabajo documental necesario.</x:v>
      </x:c>
      <x:c r="D5" s="4" t="str">
        <x:v>No se atribuye aprobación nominal del parámetro que todavía no había visto.</x:v>
      </x:c>
      <x:c r="E5" s="4" t="str">
        <x:v>RESUELTA PARA TRABAJO</x:v>
      </x:c>
      <x:c r="F5" s="4" t="str">
        <x:v>Chat actual; I005 §§7–8</x:v>
      </x:c>
    </x:row>
    <x:row r="6" ht="47" customHeight="1">
      <x:c r="A6" s="4" t="str">
        <x:v>LG-02</x:v>
      </x:c>
      <x:c r="B6" s="4" t="str">
        <x:v>Perímetro de trabajo</x:v>
      </x:c>
      <x:c r="C6" s="4" t="str">
        <x:v>España/URJC 2026–27 y complementos de v0.3 sirven de corte de trabajo. Se seleccionan conocimientos pertinentes a la operación.</x:v>
      </x:c>
      <x:c r="D6" s="4" t="str">
        <x:v>No equivale a cerrar todo el dominio ni a admitir todas las cláusulas de cada fuente.</x:v>
      </x:c>
      <x:c r="E6" s="4" t="str">
        <x:v>RESUELTA EN ALCANCE</x:v>
      </x:c>
      <x:c r="F6" s="4" t="str">
        <x:v>15, 17, 37; v0.3</x:v>
      </x:c>
    </x:row>
    <x:row r="7" ht="60" customHeight="1">
      <x:c r="A7" s="4" t="str">
        <x:v>LG-03</x:v>
      </x:c>
      <x:c r="B7" s="4" t="str">
        <x:v>CYO-07: triaje de alerta</x:v>
      </x:c>
      <x:c r="C7" s="4" t="str">
        <x:v>La omisión de cobertura puede convertir falta de registros en falsa ausencia de actividad. Requiere fijar hipótesis, fuente, intervalo y política de triaje.</x:v>
      </x:c>
      <x:c r="D7" s="4" t="str">
        <x:v>Se conserva como candidata; no se declara inferior ni ajena al dominio.</x:v>
      </x:c>
      <x:c r="E7" s="4" t="str">
        <x:v>COMPARADA</x:v>
      </x:c>
      <x:c r="F7" s="4" t="str">
        <x:v>34 CE-OM-01; F019</x:v>
      </x:c>
    </x:row>
    <x:row r="8" ht="47" customHeight="1">
      <x:c r="A8" s="4" t="str">
        <x:v>LG-04</x:v>
      </x:c>
      <x:c r="B8" s="4" t="str">
        <x:v>CYO-14: cambio OT</x:v>
      </x:c>
      <x:c r="C8" s="4" t="str">
        <x:v>La intervención técnica puede afectar al proceso físico. Exige reglas del proceso, equipamiento y autoridad de seguridad física aún no constituidas.</x:v>
      </x:c>
      <x:c r="D8" s="4" t="str">
        <x:v>Una regla IT de reinicio no se traslada a OT.</x:v>
      </x:c>
      <x:c r="E8" s="4" t="str">
        <x:v>COMPARADA</x:v>
      </x:c>
      <x:c r="F8" s="4" t="str">
        <x:v>34 CE-OM-02; F020 §2.3</x:v>
      </x:c>
    </x:row>
    <x:row r="9" ht="47" customHeight="1">
      <x:c r="A9" s="4" t="str">
        <x:v>LG-05</x:v>
      </x:c>
      <x:c r="B9" s="4" t="str">
        <x:v>CYO-23: validez de un sistema IA</x:v>
      </x:c>
      <x:c r="C9" s="4" t="str">
        <x:v>La métrica agregada puede ocultar errores en el uso previsto. Hace falta fijar el uso, población y oráculo de evaluación.</x:v>
      </x:c>
      <x:c r="D9" s="4" t="str">
        <x:v>La disponibilidad de bibliografía IA no fija prioridad.</x:v>
      </x:c>
      <x:c r="E9" s="4" t="str">
        <x:v>COMPARADA</x:v>
      </x:c>
      <x:c r="F9" s="4" t="str">
        <x:v>34 CE-OM-04; F024</x:v>
      </x:c>
    </x:row>
    <x:row r="10" ht="60" customHeight="1">
      <x:c r="A10" s="4" t="str">
        <x:v>LG-06</x:v>
      </x:c>
      <x:c r="B10" s="4" t="str">
        <x:v>CYO-26: tratamiento de vulnerabilidad</x:v>
      </x:c>
      <x:c r="C10" s="4" t="str">
        <x:v>Elegida para el recorrido documental: ofrece un error profesional verificable, exige conocimientos de sistemas, evidencia de efecto, riesgo y continuidad.</x:v>
      </x:c>
      <x:c r="D10" s="4" t="str">
        <x:v>Recorte OP-CYB-001: dictamen sobre evidencia de cierre de una corrección por actualización; no todo el tratamiento.</x:v>
      </x:c>
      <x:c r="E10" s="4" t="str">
        <x:v>SELECCIONADA PARA CONTRASTE</x:v>
      </x:c>
      <x:c r="F10" s="4" t="str">
        <x:v>37; T001 §§2.2–2.3; R025/R035</x:v>
      </x:c>
    </x:row>
    <x:row r="11" ht="47" customHeight="1">
      <x:c r="A11" s="4" t="str">
        <x:v>LG-07</x:v>
      </x:c>
      <x:c r="B11" s="4" t="str">
        <x:v>Modelo de atomicidad</x:v>
      </x:c>
      <x:c r="C11" s="4" t="str">
        <x:v>Se aplican las diez pruebas del contrato IMM sólo como método y con vocabulario profesional CYB.</x:v>
      </x:c>
      <x:c r="D11" s="4" t="str">
        <x:v>No se trasladan cardinalidades, salidas, reglas clínicas ni el antiguo modelo de Frame.</x:v>
      </x:c>
      <x:c r="E11" s="4" t="str">
        <x:v>RESUELTA</x:v>
      </x:c>
      <x:c r="F11" s="4" t="str">
        <x:v>I005 §7.3; S013; AM-01</x:v>
      </x:c>
    </x:row>
    <x:row r="12" ht="47" customHeight="1">
      <x:c r="A12" s="4" t="str">
        <x:v>LG-08</x:v>
      </x:c>
      <x:c r="B12" s="4" t="str">
        <x:v>Exigencia histórica / deuda actual</x:v>
      </x:c>
      <x:c r="C12" s="4" t="str">
        <x:v>El átomo pregunta por el requisito que informó una instalación concreta al terminar. El reinicio posterior y la deuda actual son proposiciones distintas.</x:v>
      </x:c>
      <x:c r="D12" s="4" t="str">
        <x:v>Un reinicio posterior no cambia retrospectivamente ese valor histórico.</x:v>
      </x:c>
      <x:c r="E12" s="4" t="str">
        <x:v>CORREGIDA EN CONTRATO</x:v>
      </x:c>
      <x:c r="F12" s="4" t="str">
        <x:v>39; 42 AG-03</x:v>
      </x:c>
    </x:row>
    <x:row r="13" ht="47" customHeight="1">
      <x:c r="A13" s="4" t="str">
        <x:v>LG-09</x:v>
      </x:c>
      <x:c r="B13" s="4" t="str">
        <x:v>Consecuencia de omisión</x:v>
      </x:c>
      <x:c r="C13" s="4" t="str">
        <x:v>Se demuestra pérdida de una distinción documental en un testigo sintético y se conserva el mecanismo de perjuicio potencial.</x:v>
      </x:c>
      <x:c r="D13" s="4" t="str">
        <x:v>No se declara incidente, daño observado ni fallo del Lenguaje SV.</x:v>
      </x:c>
      <x:c r="E13" s="4" t="str">
        <x:v>RESUELTA EN ALCANCE</x:v>
      </x:c>
      <x:c r="F13" s="4" t="str">
        <x:v>40; 41; 42</x:v>
      </x:c>
    </x:row>
    <x:row r="14" ht="47" customHeight="1">
      <x:c r="A14" s="4" t="str">
        <x:v>LG-10</x:v>
      </x:c>
      <x:c r="B14" s="4" t="str">
        <x:v>Observación productiva</x:v>
      </x:c>
      <x:c r="C14" s="4" t="str">
        <x:v>Se dispone de semántica pública de un resultado individual WUA; se ensaya un perfil documental de ese resultado.</x:v>
      </x:c>
      <x:c r="D14" s="4" t="str">
        <x:v>No existe capturador WUA validado ni transducción productiva SV por este expediente.</x:v>
      </x:c>
      <x:c r="E14" s="4" t="str">
        <x:v>LIMITACIÓN ATRIBUIDA</x:v>
      </x:c>
      <x:c r="F14" s="4" t="str">
        <x:v>T002–T006; recepción RETP-105</x:v>
      </x:c>
    </x:row>
    <x:row r="15" ht="47" customHeight="1">
      <x:c r="A15" s="4" t="str">
        <x:v>LG-11</x:v>
      </x:c>
      <x:c r="B15" s="4" t="str">
        <x:v>Chats anteriores</x:v>
      </x:c>
      <x:c r="C15" s="4" t="str">
        <x:v>Se relee el debate visible y los antecedentes metodológicos locales. La recuperación adicional no aporta una elección previa de operación.</x:v>
      </x:c>
      <x:c r="D15" s="4" t="str">
        <x:v>No se afirman leídos chats completos que no se recibieron; el PDF de carpetas no es conversación completa.</x:v>
      </x:c>
      <x:c r="E15" s="4" t="str">
        <x:v>LÍMITE DE EVIDENCIA</x:v>
      </x:c>
      <x:c r="F15" s="4" t="str">
        <x:v>Chat visible; informe de doble lectura IMM</x:v>
      </x:c>
    </x:row>
    <x:row r="16" ht="47" customHeight="1">
      <x:c r="A16" s="4" t="str">
        <x:v>LG-12</x:v>
      </x:c>
      <x:c r="B16" s="4" t="str">
        <x:v>Preguntas al Director</x:v>
      </x:c>
      <x:c r="C16" s="4" t="str">
        <x:v>Ninguna incertidumbre de investigación impide formular y atacar este primer parámetro.</x:v>
      </x:c>
      <x:c r="D16" s="4" t="str">
        <x:v>La adopción soberana se distingue del dictamen de la unidad; no se crea una ronda de micropermisos.</x:v>
      </x:c>
      <x:c r="E16" s="4" t="str">
        <x:v>SIN PREGUNTA BLOQUEANTE</x:v>
      </x:c>
      <x:c r="F16" s="4" t="str">
        <x:v>Mandato humano actual; I005 §8</x:v>
      </x:c>
    </x:row>
  </x:sheetData>
  <x:mergeCells>
    <x:mergeCell ref="A1:D1"/>
    <x:mergeCell ref="A2:F2"/>
  </x:mergeCells>
  <x:pageMargins left="0.7" right="0.7" top="0.75" bottom="0.75" header="0.3" footer="0.3"/>
  <x:tableParts count="1">
    <x:tablePart xmlns:r="http://schemas.openxmlformats.org/officeDocument/2006/relationships" r:id="R83bd0b73c2b44816"/>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 min="3" max="3" width="105" hidden="0" customWidth="1"/>
  </x:cols>
  <x:sheetData>
    <x:row r="1" ht="35" customHeight="1">
      <x:c r="A1" s="6" t="str">
        <x:v>OP-CYB-001 · evidencia para cierre de una corrección</x:v>
      </x:c>
      <x:c r="B1" s="6"/>
      <x:c r="C1" s="6"/>
    </x:row>
    <x:row r="2" ht="52" customHeight="1">
      <x:c r="A2" s="8" t="str">
        <x:v>La operación evita confundir consejo de cierre, cierre administrativo y efecto técnico. CYO-26 conserva su identidad histórica más amplia.</x:v>
      </x:c>
      <x:c r="B2" s="8"/>
      <x:c r="C2" s="8"/>
    </x:row>
    <x:row r="3">
      <x:c r="A3" s="4"/>
      <x:c r="B3" s="4"/>
      <x:c r="C3" s="4"/>
    </x:row>
    <x:row r="4" ht="42" customHeight="1">
      <x:c r="A4" s="10" t="str">
        <x:v>Componente</x:v>
      </x:c>
      <x:c r="B4" s="10" t="str">
        <x:v>Contrato del recorte</x:v>
      </x:c>
      <x:c r="C4" s="10" t="str">
        <x:v>Frontera / fundamento</x:v>
      </x:c>
    </x:row>
    <x:row r="5" ht="47" customHeight="1">
      <x:c r="A5" s="4" t="str">
        <x:v>Identidad</x:v>
      </x:c>
      <x:c r="B5" s="4" t="str">
        <x:v>OP-CYB-001 / Q0 v0.1</x:v>
      </x:c>
      <x:c r="C5" s="4" t="str">
        <x:v>Recorte constitutivo propuesto de CYO-26; primera operación de trabajo seleccionada por Watson en ejecución del mandato.</x:v>
      </x:c>
    </x:row>
    <x:row r="6" ht="47" customHeight="1">
      <x:c r="A6" s="4" t="str">
        <x:v>Producto terminal</x:v>
      </x:c>
      <x:c r="B6" s="4" t="str">
        <x:v>Dictamen de suficiencia de la evidencia para cerrar la corrección de una vulnerabilidad mediante una actualización en un activo IT.</x:v>
      </x:c>
      <x:c r="C6" s="4" t="str">
        <x:v>Incluye qué está acreditado, qué falta y qué condiciones debe considerar el experto. El sistema no cierra el ticket ni modifica el activo.</x:v>
      </x:c>
    </x:row>
    <x:row r="7" ht="47" customHeight="1">
      <x:c r="A7" s="4" t="str">
        <x:v>Objeto</x:v>
      </x:c>
      <x:c r="B7" s="4" t="str">
        <x:v>Un activo IT identificado, una vulnerabilidad identificada, una actualización y un episodio de aplicación, en un corte documental.</x:v>
      </x:c>
      <x:c r="C7" s="4" t="str">
        <x:v>No se generaliza a una flota desde un activo ni de un CVE a otro.</x:v>
      </x:c>
    </x:row>
    <x:row r="8" ht="47" customHeight="1">
      <x:c r="A8" s="4" t="str">
        <x:v>Disparador</x:v>
      </x:c>
      <x:c r="B8" s="4" t="str">
        <x:v>Solicitud profesional de evaluar el cierre de una corrección por actualización, tras comunicar el sistema gestor un resultado de aplicación.</x:v>
      </x:c>
      <x:c r="C8" s="4" t="str">
        <x:v>Una publicación CVE, un número CVSS o una alerta no abren por sí solos esta operación.</x:v>
      </x:c>
    </x:row>
    <x:row r="9" ht="47" customHeight="1">
      <x:c r="A9" s="4" t="str">
        <x:v>Autoridad</x:v>
      </x:c>
      <x:c r="B9" s="4" t="str">
        <x:v>Experto responsable del dictamen; responsable del activo/cambio decide cierre y actuaciones en su organización. Dirección gobierna constitución del dominio.</x:v>
      </x:c>
      <x:c r="C9" s="4" t="str">
        <x:v>La IA conserva función de consejo. El mandato documental no concede permisos sobre sistemas reales ni responsabilidad jurídica a la IA.</x:v>
      </x:c>
    </x:row>
    <x:row r="10" ht="47" customHeight="1">
      <x:c r="A10" s="4" t="str">
        <x:v>Frontera</x:v>
      </x:c>
      <x:c r="B10" s="4" t="str">
        <x:v>Activo IT administrado; actualización identificada; evaluación de evidencia y condiciones de cierre.</x:v>
      </x:c>
      <x:c r="C10" s="4" t="str">
        <x:v>OT, respuesta a incidente, elegir qué vulnerabilidad parchear, ordenar un reinicio, despliegue y restauración son otros usos/operaciones.</x:v>
      </x:c>
    </x:row>
    <x:row r="11" ht="47" customHeight="1">
      <x:c r="A11" s="4" t="str">
        <x:v>Finalización</x:v>
      </x:c>
      <x:c r="B11" s="4" t="str">
        <x:v>Informe trazado al experto con evidencia suficiente en alcance declarado, evidencia insuficiente o exclusión fundada.</x:v>
      </x:c>
      <x:c r="C11" s="4" t="str">
        <x:v>La emisión de un informe insuficiente termina la consulta; no acredita cierre seguro. Fallo técnico queda fuera de estas conclusiones profesionales.</x:v>
      </x:c>
    </x:row>
    <x:row r="12" ht="47" customHeight="1">
      <x:c r="A12" s="4" t="str">
        <x:v>Primer perfil observacional</x:v>
      </x:c>
      <x:c r="B12" s="4" t="str">
        <x:v>WUA-INDIVIDUAL-INSTALACION-0.1: resultado individual de instalación comunicado como orcSucceeded.</x:v>
      </x:c>
      <x:c r="C12" s="4" t="str">
        <x:v>No se usa el resultado agregado del lote, predicción del paquete ni registro de historial reconstruido como sustituto.</x:v>
      </x:c>
    </x:row>
    <x:row r="13" ht="47" customHeight="1">
      <x:c r="A13" s="4" t="str">
        <x:v>Base educativa</x:v>
      </x:c>
      <x:c r="B13" s="4" t="str">
        <x:v>URJC-25 Sistemas Operativos: servicios, estados de procesos, memoria y ficheros; URJC-35 Gestión del Ciberriesgo: impacto, mitigación y sesgos.</x:v>
      </x:c>
      <x:c r="C13" s="4" t="str">
        <x:v>R025 IV temas 2/4/5/6; R035 IV unidades 6/9/11. R033 IV continuidad contextualiza dependencias del servicio.</x:v>
      </x:c>
    </x:row>
    <x:row r="14" ht="47" customHeight="1">
      <x:c r="A14" s="4" t="str">
        <x:v>Aprendizaje que se utiliza</x:v>
      </x:c>
      <x:c r="B14" s="4" t="str">
        <x:v>Relacionar estado del instalador, requisito de completar la instalación y prueba de efecto; después relacionar condiciones de actuación con servicio y coste.</x:v>
      </x:c>
      <x:c r="C14" s="4" t="str">
        <x:v>Las guías educativas explican qué conocimientos se forman; T001–T006 sostienen la distinción profesional y técnica.</x:v>
      </x:c>
    </x:row>
    <x:row r="15" ht="47" customHeight="1">
      <x:c r="A15" s="4" t="str">
        <x:v>Internacionalidad</x:v>
      </x:c>
      <x:c r="B15" s="4" t="str">
        <x:v>Se conserva el catálogo internacional de v0.3. El perfil Windows es un contrato de observación específico, no un currículo rector de fabricante.</x:v>
      </x:c>
      <x:c r="C15" s="4" t="str">
        <x:v>No se inventa un complemento extranjero para cada átomo ni se declara portabilidad a Linux, contenedores u OT.</x:v>
      </x:c>
    </x:row>
    <x:row r="16" ht="47" customHeight="1">
      <x:c r="A16" s="4" t="str">
        <x:v>Horizonte</x:v>
      </x:c>
      <x:c r="B16" s="4" t="str">
        <x:v>Resultado individual al finalizar aquella operación de instalación; corte de consulta que lo cita de forma histórica.</x:v>
      </x:c>
      <x:c r="C16" s="4" t="str">
        <x:v>Toda consulta posterior conserva la identidad del resultado; eventos posteriores se enlazan sin reescribirlo.</x:v>
      </x:c>
    </x:row>
    <x:row r="17" ht="47" customHeight="1">
      <x:c r="A17" s="4" t="str">
        <x:v>Coste y alcance</x:v>
      </x:c>
      <x:c r="B17" s="4" t="str">
        <x:v>Para proponer una actuación posterior se necesitan servicio, dependencias, alternativas y coste total proporcionado al valor protegido.</x:v>
      </x:c>
      <x:c r="C17" s="4" t="str">
        <x:v>No se asignan importes, criticidad automática ni permiso de interrupción a partir de este único estado.</x:v>
      </x:c>
    </x:row>
    <x:row r="18" ht="47" customHeight="1">
      <x:c r="A18" s="4" t="str">
        <x:v>Qué queda constituido documentalmente</x:v>
      </x:c>
      <x:c r="B18" s="4" t="str">
        <x:v>G0/G1 y Q0 de trabajo; G2/G3/G4 de una distinción; dictamen G5 favorable de un parámetro.</x:v>
      </x:c>
      <x:c r="C18" s="4" t="str">
        <x:v>No equivale a universo terminado, agente apto, adopción soberana nominal, matriz, ruta ni Frame.</x:v>
      </x:c>
    </x:row>
  </x:sheetData>
  <x:mergeCells>
    <x:mergeCell ref="A1:C1"/>
    <x:mergeCell ref="A2:C2"/>
  </x:mergeCells>
  <x:pageMargins left="0.7" right="0.7" top="0.75" bottom="0.75" header="0.3" footer="0.3"/>
  <x:tableParts count="1">
    <x:tablePart xmlns:r="http://schemas.openxmlformats.org/officeDocument/2006/relationships" r:id="R559b2aaddbb54298"/>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79" hidden="0" customWidth="1"/>
    <x:col min="4" max="4" width="100" hidden="0" customWidth="1"/>
    <x:col min="5" max="5" width="14" hidden="0" customWidth="1"/>
    <x:col min="6" max="6" width="16" hidden="0" customWidth="1"/>
    <x:col min="7" max="7" width="15" hidden="0" customWidth="1"/>
    <x:col min="8" max="8" width="23" hidden="0" customWidth="1"/>
    <x:col min="9" max="9" width="37" hidden="0" customWidth="1"/>
    <x:col min="10" max="10" width="77" hidden="0" customWidth="1"/>
  </x:cols>
  <x:sheetData>
    <x:row r="1" ht="35" customHeight="1">
      <x:c r="A1" s="6" t="str">
        <x:v>Q0 v0.1 · preguntas finitas del recorte</x:v>
      </x:c>
      <x:c r="B1" s="6"/>
      <x:c r="C1" s="6"/>
      <x:c r="D1" s="6"/>
      <x:c r="E1" s="6"/>
      <x:c r="F1" s="6"/>
      <x:c r="G1" s="6"/>
      <x:c r="H1" s="6"/>
      <x:c r="I1" s="6"/>
      <x:c r="J1" s="6"/>
    </x:row>
    <x:row r="2" ht="52" customHeight="1">
      <x:c r="A2" s="8" t="str">
        <x:v>Las raíces son preguntas de trabajo, no células ni parámetros. La cardinalidad resulta de esta descomposición semántica y no gobierna geometría SV.</x:v>
      </x:c>
      <x:c r="B2" s="8"/>
      <x:c r="C2" s="8"/>
      <x:c r="D2" s="8"/>
      <x:c r="E2" s="8"/>
      <x:c r="F2" s="8"/>
      <x:c r="G2" s="8"/>
      <x:c r="H2" s="8"/>
      <x:c r="I2" s="8"/>
      <x:c r="J2" s="8"/>
    </x:row>
    <x:row r="3">
      <x:c r="A3" s="4"/>
      <x:c r="B3" s="4"/>
      <x:c r="C3" s="4"/>
      <x:c r="D3" s="4"/>
      <x:c r="E3" s="4"/>
      <x:c r="F3" s="4"/>
      <x:c r="G3" s="4"/>
      <x:c r="H3" s="4"/>
      <x:c r="I3" s="4"/>
      <x:c r="J3" s="4"/>
    </x:row>
    <x:row r="4" ht="42" customHeight="1">
      <x:c r="A4" s="10" t="str">
        <x:v>Raíz</x:v>
      </x:c>
      <x:c r="B4" s="10" t="str">
        <x:v>Familia de pregunta</x:v>
      </x:c>
      <x:c r="C4" s="10" t="str">
        <x:v>Pregunta</x:v>
      </x:c>
      <x:c r="D4" s="10" t="str">
        <x:v>Distinciones declaradas antes de G5</x:v>
      </x:c>
      <x:c r="E4" s="10" t="str">
        <x:v>D declaradas</x:v>
      </x:c>
      <x:c r="F4" s="10" t="str">
        <x:v>D dictaminadas</x:v>
      </x:c>
      <x:c r="G4" s="10" t="str">
        <x:v>D pendientes</x:v>
      </x:c>
      <x:c r="H4" s="10" t="str">
        <x:v>Estado</x:v>
      </x:c>
      <x:c r="I4" s="10" t="str">
        <x:v>Fuente</x:v>
      </x:c>
      <x:c r="J4" s="10" t="str">
        <x:v>Consecuencia del pendiente</x:v>
      </x:c>
    </x:row>
    <x:row r="5" ht="47" customHeight="1">
      <x:c r="A5" s="4" t="str">
        <x:v>QCY-01</x:v>
      </x:c>
      <x:c r="B5" s="4" t="str">
        <x:v>Aplicabilidad del hallazgo</x:v>
      </x:c>
      <x:c r="C5" s="4" t="str">
        <x:v>¿La vulnerabilidad y la actualización corresponden al componente/configuración del activo examinado?</x:v>
      </x:c>
      <x:c r="D5" s="4" t="str">
        <x:v>QCY-01-D1: activo; QCY-01-D2: componente/configuración; QCY-01-D3: vulnerabilidad; QCY-01-D4: actualización aplicable</x:v>
      </x:c>
      <x:c r="E5" s="13" t="n">
        <x:v>4</x:v>
      </x:c>
      <x:c r="F5" s="13" t="n">
        <x:v>0</x:v>
      </x:c>
      <x:c r="G5" s="17" t="n">
        <x:f>E5-F5</x:f>
        <x:v>4</x:v>
      </x:c>
      <x:c r="H5" s="4" t="str">
        <x:v>PENDIENTE</x:v>
      </x:c>
      <x:c r="I5" s="4" t="str">
        <x:v>R025; T001 §2.2</x:v>
      </x:c>
      <x:c r="J5" s="4" t="str">
        <x:v>Sin vínculo no se acredita corrección del hallazgo.</x:v>
      </x:c>
    </x:row>
    <x:row r="6" ht="47" customHeight="1">
      <x:c r="A6" s="4" t="str">
        <x:v>QCY-02</x:v>
      </x:c>
      <x:c r="B6" s="4" t="str">
        <x:v>Identidad y procedencia</x:v>
      </x:c>
      <x:c r="C6" s="4" t="str">
        <x:v>¿Los resultados, artefactos y capturas pertenecen a ese episodio y tienen procedencia admisible?</x:v>
      </x:c>
      <x:c r="D6" s="4" t="str">
        <x:v>QCY-02-D1: identidad del episodio; QCY-02-D2: integridad; QCY-02-D3: procedencia/admisión</x:v>
      </x:c>
      <x:c r="E6" s="13" t="n">
        <x:v>3</x:v>
      </x:c>
      <x:c r="F6" s="13" t="n">
        <x:v>0</x:v>
      </x:c>
      <x:c r="G6" s="17" t="n">
        <x:f>E6-F6</x:f>
        <x:v>3</x:v>
      </x:c>
      <x:c r="H6" s="4" t="str">
        <x:v>PENDIENTE</x:v>
      </x:c>
      <x:c r="I6" s="4" t="str">
        <x:v>I005 §§5.3/5.5; T001 §2.3.1</x:v>
      </x:c>
      <x:c r="J6" s="4" t="str">
        <x:v>Una huella por sí sola no acredita verdad ni aplicabilidad.</x:v>
      </x:c>
    </x:row>
    <x:row r="7" ht="47" customHeight="1">
      <x:c r="A7" s="4" t="str">
        <x:v>QCY-03</x:v>
      </x:c>
      <x:c r="B7" s="4" t="str">
        <x:v>Resultado de instalación</x:v>
      </x:c>
      <x:c r="C7" s="4" t="str">
        <x:v>¿Qué resultado individual comunicó la instalación?</x:v>
      </x:c>
      <x:c r="D7" s="4" t="str">
        <x:v>QCY-03-D1: operación individual; QCY-03-D2: estado final comunicado; QCY-03-D3: errores asociados</x:v>
      </x:c>
      <x:c r="E7" s="13" t="n">
        <x:v>3</x:v>
      </x:c>
      <x:c r="F7" s="13" t="n">
        <x:v>0</x:v>
      </x:c>
      <x:c r="G7" s="17" t="n">
        <x:f>E7-F7</x:f>
        <x:v>3</x:v>
      </x:c>
      <x:c r="H7" s="4" t="str">
        <x:v>PENDIENTE</x:v>
      </x:c>
      <x:c r="I7" s="4" t="str">
        <x:v>T004–T006</x:v>
      </x:c>
      <x:c r="J7" s="4" t="str">
        <x:v>El éxito comunicado no implica efecto ni ausencia de requisitos posteriores.</x:v>
      </x:c>
    </x:row>
    <x:row r="8" ht="47" customHeight="1">
      <x:c r="A8" s="4" t="str">
        <x:v>QCY-04</x:v>
      </x:c>
      <x:c r="B8" s="4" t="str">
        <x:v>Condiciones de completitud</x:v>
      </x:c>
      <x:c r="C8" s="4" t="str">
        <x:v>¿Qué cambios de estado o configuración requiere completar la instalación y cuáles se han realizado?</x:v>
      </x:c>
      <x:c r="D8" s="4" t="str">
        <x:v>QCY-04-D1: requisito de reinicio del sistema; QCY-04-D2: reinicio posterior realizado; QCY-04-D3: otros cambios requeridos; QCY-04-D4: otros cambios realizados</x:v>
      </x:c>
      <x:c r="E8" s="13" t="n">
        <x:v>4</x:v>
      </x:c>
      <x:c r="F8" s="13" t="n">
        <x:v>1</x:v>
      </x:c>
      <x:c r="G8" s="17" t="n">
        <x:f>E8-F8</x:f>
        <x:v>3</x:v>
      </x:c>
      <x:c r="H8" s="4" t="str">
        <x:v>PARCIAL</x:v>
      </x:c>
      <x:c r="I8" s="4" t="str">
        <x:v>T001 §2.3.2; T002–T003</x:v>
      </x:c>
      <x:c r="J8" s="4" t="str">
        <x:v>D1 recibe dictamen G5. D2–D4 siguen pendientes y bloquean un cierre que dependa de ellas.</x:v>
      </x:c>
    </x:row>
    <x:row r="9" ht="47" customHeight="1">
      <x:c r="A9" s="4" t="str">
        <x:v>QCY-05</x:v>
      </x:c>
      <x:c r="B9" s="4" t="str">
        <x:v>Efecto de la corrección</x:v>
      </x:c>
      <x:c r="C9" s="4" t="str">
        <x:v>¿La comprobación pertinente acredita el estado corregido del componente realmente activo?</x:v>
      </x:c>
      <x:c r="D9" s="4" t="str">
        <x:v>QCY-05-D1: criterio de comprobación; QCY-05-D2: estado activo; QCY-05-D3: resultado de comprobación</x:v>
      </x:c>
      <x:c r="E9" s="13" t="n">
        <x:v>3</x:v>
      </x:c>
      <x:c r="F9" s="13" t="n">
        <x:v>0</x:v>
      </x:c>
      <x:c r="G9" s="17" t="n">
        <x:f>E9-F9</x:f>
        <x:v>3</x:v>
      </x:c>
      <x:c r="H9" s="4" t="str">
        <x:v>PENDIENTE</x:v>
      </x:c>
      <x:c r="I9" s="4" t="str">
        <x:v>T001 §2.3.3; R025</x:v>
      </x:c>
      <x:c r="J9" s="4" t="str">
        <x:v>Reinicio efectuado no es prueba suficiente de efecto.</x:v>
      </x:c>
    </x:row>
    <x:row r="10" ht="47" customHeight="1">
      <x:c r="A10" s="4" t="str">
        <x:v>QCY-06</x:v>
      </x:c>
      <x:c r="B10" s="4" t="str">
        <x:v>Consecuencias de completar</x:v>
      </x:c>
      <x:c r="C10" s="4" t="str">
        <x:v>¿Qué funciones y dependencias se afectarían por los cambios todavía necesarios?</x:v>
      </x:c>
      <x:c r="D10" s="4" t="str">
        <x:v>QCY-06-D1: servicio afectado; QCY-06-D2: dependencias; QCY-06-D3: impacto de interrupción</x:v>
      </x:c>
      <x:c r="E10" s="13" t="n">
        <x:v>3</x:v>
      </x:c>
      <x:c r="F10" s="13" t="n">
        <x:v>0</x:v>
      </x:c>
      <x:c r="G10" s="17" t="n">
        <x:f>E10-F10</x:f>
        <x:v>3</x:v>
      </x:c>
      <x:c r="H10" s="4" t="str">
        <x:v>PENDIENTE</x:v>
      </x:c>
      <x:c r="I10" s="4" t="str">
        <x:v>R033/R035; T001 §3.2</x:v>
      </x:c>
      <x:c r="J10" s="4" t="str">
        <x:v>No se recomienda reinicio automático ni se supone que toda interrupción cause daño.</x:v>
      </x:c>
    </x:row>
    <x:row r="11" ht="47" customHeight="1">
      <x:c r="A11" s="4" t="str">
        <x:v>QCY-07</x:v>
      </x:c>
      <x:c r="B11" s="4" t="str">
        <x:v>Condiciones de actuación</x:v>
      </x:c>
      <x:c r="C11" s="4" t="str">
        <x:v>¿Hay alternativa, ventana y autoridad para completar lo pendiente con coste proporcionado?</x:v>
      </x:c>
      <x:c r="D11" s="4" t="str">
        <x:v>QCY-07-D1: alternativas; QCY-07-D2: ventana; QCY-07-D3: autoridad concreta; QCY-07-D4: balance de coste/valor</x:v>
      </x:c>
      <x:c r="E11" s="13" t="n">
        <x:v>4</x:v>
      </x:c>
      <x:c r="F11" s="13" t="n">
        <x:v>0</x:v>
      </x:c>
      <x:c r="G11" s="17" t="n">
        <x:f>E11-F11</x:f>
        <x:v>4</x:v>
      </x:c>
      <x:c r="H11" s="4" t="str">
        <x:v>PENDIENTE</x:v>
      </x:c>
      <x:c r="I11" s="4" t="str">
        <x:v>R035; mandato humano; T001 §3.2</x:v>
      </x:c>
      <x:c r="J11" s="4" t="str">
        <x:v>Estas condiciones no cambian la verdad histórica del requisito.</x:v>
      </x:c>
    </x:row>
    <x:row r="12" ht="47" customHeight="1">
      <x:c r="A12" s="4" t="str">
        <x:v>QCY-08</x:v>
      </x:c>
      <x:c r="B12" s="4" t="str">
        <x:v>Vigencia hasta el corte</x:v>
      </x:c>
      <x:c r="C12" s="4" t="str">
        <x:v>¿Hay eventos posteriores que alteran el estado corregido o la aplicabilidad de la evidencia?</x:v>
      </x:c>
      <x:c r="D12" s="4" t="str">
        <x:v>QCY-08-D1: retirada/reversión; QCY-08-D2: cambio de componente; QCY-08-D3: restauración de estado previo</x:v>
      </x:c>
      <x:c r="E12" s="13" t="n">
        <x:v>3</x:v>
      </x:c>
      <x:c r="F12" s="13" t="n">
        <x:v>0</x:v>
      </x:c>
      <x:c r="G12" s="17" t="n">
        <x:f>E12-F12</x:f>
        <x:v>3</x:v>
      </x:c>
      <x:c r="H12" s="4" t="str">
        <x:v>PENDIENTE</x:v>
      </x:c>
      <x:c r="I12" s="4" t="str">
        <x:v>T001 §2.3.4; S018</x:v>
      </x:c>
      <x:c r="J12" s="4" t="str">
        <x:v>No hay caducidad temporal inventada; nuevo evento puede requerir nueva evaluación gobernada.</x:v>
      </x:c>
    </x:row>
    <x:row r="13" ht="47" customHeight="1">
      <x:c r="A13" s="4" t="str">
        <x:v>QCY-09</x:v>
      </x:c>
      <x:c r="B13" s="4" t="str">
        <x:v>Cierre y justificación</x:v>
      </x:c>
      <x:c r="C13" s="4" t="str">
        <x:v>¿Puede emitirse el dictamen con incertidumbres localizadas, enlaces necesarios y responsabilidad explícita?</x:v>
      </x:c>
      <x:c r="D13" s="4" t="str">
        <x:v>QCY-09-D1: cobertura de dependencias; QCY-09-D2: incertidumbres; QCY-09-D3: justificación; QCY-09-D4: destinatario responsable</x:v>
      </x:c>
      <x:c r="E13" s="13" t="n">
        <x:v>4</x:v>
      </x:c>
      <x:c r="F13" s="13" t="n">
        <x:v>0</x:v>
      </x:c>
      <x:c r="G13" s="17" t="n">
        <x:f>E13-F13</x:f>
        <x:v>4</x:v>
      </x:c>
      <x:c r="H13" s="4" t="str">
        <x:v>PENDIENTE</x:v>
      </x:c>
      <x:c r="I13" s="4" t="str">
        <x:v>I005 §8; S017–S019</x:v>
      </x:c>
      <x:c r="J13" s="4" t="str">
        <x:v>Mientras las dependencias permanezcan abiertas no se declara suficiencia de la operación.</x:v>
      </x:c>
    </x:row>
  </x:sheetData>
  <x:mergeCells>
    <x:mergeCell ref="A1:D1"/>
    <x:mergeCell ref="A2:F2"/>
  </x:mergeCells>
  <x:pageMargins left="0.7" right="0.7" top="0.75" bottom="0.75" header="0.3" footer="0.3"/>
  <x:tableParts count="1">
    <x:tablePart xmlns:r="http://schemas.openxmlformats.org/officeDocument/2006/relationships" r:id="R8925e3f6f1c94a38"/>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1" hidden="0" customWidth="1"/>
    <x:col min="2" max="2" width="106" hidden="0" customWidth="1"/>
    <x:col min="3" max="3" width="107" hidden="0" customWidth="1"/>
  </x:cols>
  <x:sheetData>
    <x:row r="1" ht="35" customHeight="1">
      <x:c r="A1" s="6" t="str">
        <x:v>G3 + G5 · requisito de reinicio de una instalación</x:v>
      </x:c>
      <x:c r="B1" s="6"/>
      <x:c r="C1" s="6"/>
    </x:row>
    <x:row r="2" ht="52" customHeight="1">
      <x:c r="A2" s="8" t="str">
        <x:v>Dictamen de atomicidad en un perfil documental delimitado. La tabla conserva identidad, observable, uso y límites en el mismo objeto.</x:v>
      </x:c>
      <x:c r="B2" s="8"/>
      <x:c r="C2" s="8"/>
    </x:row>
    <x:row r="3">
      <x:c r="A3" s="4"/>
      <x:c r="B3" s="4"/>
      <x:c r="C3" s="4"/>
    </x:row>
    <x:row r="4" ht="42" customHeight="1">
      <x:c r="A4" s="10" t="str">
        <x:v>Elemento</x:v>
      </x:c>
      <x:c r="B4" s="10" t="str">
        <x:v>Contrato</x:v>
      </x:c>
      <x:c r="C4" s="10" t="str">
        <x:v>Justificación / límite</x:v>
      </x:c>
    </x:row>
    <x:row r="5" ht="47" customHeight="1">
      <x:c r="A5" s="4" t="str">
        <x:v>Identificador</x:v>
      </x:c>
      <x:c r="B5" s="4" t="str">
        <x:v>PAR-CYB-REINICIO-SISTEMA-REQUERIDO-001</x:v>
      </x:c>
      <x:c r="C5" s="4" t="str">
        <x:v>Identidad documental de la distinción; versión 0.1.</x:v>
      </x:c>
    </x:row>
    <x:row r="6" ht="47" customHeight="1">
      <x:c r="A6" s="4" t="str">
        <x:v>Estatuto G5</x:v>
      </x:c>
      <x:c r="B6" s="4" t="str">
        <x:v>PARAMETRO_ATOMICO — dictamen documental favorable de la unidad</x:v>
      </x:c>
      <x:c r="C6" s="4" t="str">
        <x:v>Propuesta concreta y revisable para adopción soberana. No se registra una aprobación nominal no emitida por el Director.</x:v>
      </x:c>
    </x:row>
    <x:row r="7" ht="47" customHeight="1">
      <x:c r="A7" s="4" t="str">
        <x:v>Proposición canónica</x:v>
      </x:c>
      <x:c r="B7" s="4" t="str">
        <x:v>Al terminar la operación individual de instalación identificada, era necesario reiniciar el sistema anfitrión para completar esa instalación.</x:v>
      </x:c>
      <x:c r="C7" s="4" t="str">
        <x:v>Sujeto: la instalación individual en un anfitrión. Predicado: requisito de reinicio del sistema. No incluye la eficacia del parche.</x:v>
      </x:c>
    </x:row>
    <x:row r="8" ht="47" customHeight="1">
      <x:c r="A8" s="4" t="str">
        <x:v>Raíz / distinción</x:v>
      </x:c>
      <x:c r="B8" s="4" t="str">
        <x:v>QCY-04 / QCY-04-D1</x:v>
      </x:c>
      <x:c r="C8" s="4" t="str">
        <x:v>El requisito, su cumplimiento y otras condiciones se separan antes de adjudicar.</x:v>
      </x:c>
    </x:row>
    <x:row r="9" ht="47" customHeight="1">
      <x:c r="A9" s="4" t="str">
        <x:v>Familia / subfamilia</x:v>
      </x:c>
      <x:c r="B9" s="4" t="str">
        <x:v>Completitud de instalación / requisito de reinicio del sistema</x:v>
      </x:c>
      <x:c r="C9" s="4" t="str">
        <x:v>Clasificación editorial; sin propietario matricial adjudicado.</x:v>
      </x:c>
    </x:row>
    <x:row r="10" ht="47" customHeight="1">
      <x:c r="A10" s="4" t="str">
        <x:v>Sujeto semántico</x:v>
      </x:c>
      <x:c r="B10" s="4" t="str">
        <x:v>Instalacion_ID + Activo_ID + Actualizacion_ID/version + operación INSTALAR</x:v>
      </x:c>
      <x:c r="C10" s="4" t="str">
        <x:v>Estos campos fijan el sujeto y son controles/identificadores; no son cuatro parámetros.</x:v>
      </x:c>
    </x:row>
    <x:row r="11" ht="47" customHeight="1">
      <x:c r="A11" s="4" t="str">
        <x:v>Horizonte</x:v>
      </x:c>
      <x:c r="B11" s="4" t="str">
        <x:v>Terminación del resultado individual de instalación</x:v>
      </x:c>
      <x:c r="C11" s="4" t="str">
        <x:v>Un evento posterior no cambia la proposición histórica. La deuda de reinicio actual sería otra proposición.</x:v>
      </x:c>
    </x:row>
    <x:row r="12" ht="47" customHeight="1">
      <x:c r="A12" s="4" t="str">
        <x:v>Perfil 0.1</x:v>
      </x:c>
      <x:c r="B12" s="4" t="str">
        <x:v>WUA-INDIVIDUAL-INSTALACION-0.1</x:v>
      </x:c>
      <x:c r="C12" s="4" t="str">
        <x:v>Único perfil admitido para esta especificación. Ampliarlo exige nueva revisión y decisión humana; no autodetección ni aprendizaje en uso.</x:v>
      </x:c>
    </x:row>
    <x:row r="13" ht="47" customHeight="1">
      <x:c r="A13" s="4" t="str">
        <x:v>Observable profesional</x:v>
      </x:c>
      <x:c r="B13" s="4" t="str">
        <x:v>IUpdateInstallationResult.RebootRequired del resultado individual identificado</x:v>
      </x:c>
      <x:c r="C13" s="4" t="str">
        <x:v>Booleano con semántica del fabricante. No equivale a existencia de un campo; su valor documenta un requisito técnico.</x:v>
      </x:c>
    </x:row>
    <x:row r="14" ht="47" customHeight="1">
      <x:c r="A14" s="4" t="str">
        <x:v>Otros observables de entrada</x:v>
      </x:c>
      <x:c r="B14" s="4" t="str">
        <x:v>ResultCode, tipo de operación y vinculación del índice de resultado a la actualización original</x:v>
      </x:c>
      <x:c r="C14" s="4" t="str">
        <x:v>GetUpdateResult devuelve el resultado de una actualización según su índice. El índice se conserva vinculado a la colección original.</x:v>
      </x:c>
    </x:row>
    <x:row r="15" ht="47" customHeight="1">
      <x:c r="A15" s="4" t="str">
        <x:v>Controles previos</x:v>
      </x:c>
      <x:c r="B15" s="4" t="str">
        <x:v>Perfil, procedencia admitida, identidad exacta, captura legible, ámbito individual, operación INSTALAR y resultado orcSucceeded</x:v>
      </x:c>
      <x:c r="C15" s="4" t="str">
        <x:v>La tabla de testigos supone premisas sintéticas explícitas; no valida autenticidad real ni implementa el capturador COM.</x:v>
      </x:c>
    </x:row>
    <x:row r="16" ht="47" customHeight="1">
      <x:c r="A16" s="4" t="str">
        <x:v>Transductor especificado</x:v>
      </x:c>
      <x:c r="B16" s="4" t="str">
        <x:v>I_CYB_REINICIO_WUA_0.1</x:v>
      </x:c>
      <x:c r="C16" s="4" t="str">
        <x:v>Después de controles: true → 1; false → 0; ausencia documental declarada o conflicto entre observaciones admisibles → U.</x:v>
      </x:c>
    </x:row>
    <x:row r="17" ht="47" customHeight="1">
      <x:c r="A17" s="4" t="str">
        <x:v>Estado 1</x:v>
      </x:c>
      <x:c r="B17" s="4" t="str">
        <x:v>El resultado individual exige reinicio del sistema para completar esa instalación</x:v>
      </x:c>
      <x:c r="C17" s="4" t="str">
        <x:v>No significa reinicie ahora, alto riesgo, reinicio pendiente actual ni parche eficaz.</x:v>
      </x:c>
    </x:row>
    <x:row r="18" ht="47" customHeight="1">
      <x:c r="A18" s="4" t="str">
        <x:v>Estado 0</x:v>
      </x:c>
      <x:c r="B18" s="4" t="str">
        <x:v>El resultado individual declara que no requiere ese reinicio del sistema para completar la instalación</x:v>
      </x:c>
      <x:c r="C18" s="4" t="str">
        <x:v>No significa no quedan otros cambios, ausencia de vulnerabilidad, autorización de cierre ni seguridad del sistema.</x:v>
      </x:c>
    </x:row>
    <x:row r="19" ht="47" customHeight="1">
      <x:c r="A19" s="4" t="str">
        <x:v>U propia</x:v>
      </x:c>
      <x:c r="B19" s="4" t="str">
        <x:v>U_DATO_AUSENTE o U_CONFLICTO_OBSERVACIONAL</x:v>
      </x:c>
      <x:c r="C19" s="4" t="str">
        <x:v>No borra otros resultados de la instalación; no se convierte en 0 por silencio ni en 1 por prudencia.</x:v>
      </x:c>
    </x:row>
    <x:row r="20" ht="47" customHeight="1">
      <x:c r="A20" s="4" t="str">
        <x:v>Exclusiones sin Tri</x:v>
      </x:c>
      <x:c r="B20" s="4" t="str">
        <x:v>NO_ADMISION; FUERA_PERFIL; FALLO_CAPTURA</x:v>
      </x:c>
      <x:c r="C20" s="4" t="str">
        <x:v>Distinguir desconocimiento válido, entrada no admisible, perfil fuera de alcance y ausencia de ejecución válida por fallo de captura. No amplían {0,1,U}.</x:v>
      </x:c>
    </x:row>
    <x:row r="21" ht="47" customHeight="1">
      <x:c r="A21" s="4" t="str">
        <x:v>Resultado fallido de instalación</x:v>
      </x:c>
      <x:c r="B21" s="4" t="str">
        <x:v>Se conserva como hecho del dominio en QCY-03 y queda fuera del perfil 0.1 de este átomo</x:v>
      </x:c>
      <x:c r="C21" s="4" t="str">
        <x:v>orcFailed/orcAborted no son un fallo técnico del Lenguaje. orcSucceededWithErrors tampoco se acepta silenciosamente como orcSucceeded.</x:v>
      </x:c>
    </x:row>
    <x:row r="22" ht="47" customHeight="1">
      <x:c r="A22" s="4" t="str">
        <x:v>No se acepta como sustituto</x:v>
      </x:c>
      <x:c r="B22" s="4" t="str">
        <x:v>Resultado de lote, ISystemInformation, historial sin correspondencia, InstallationRebootBehavior, uptime o nota libre</x:v>
      </x:c>
      <x:c r="C22" s="4" t="str">
        <x:v>La predicción condicional del paquete no determina qué ocurrió en esta instalación individual.</x:v>
      </x:c>
    </x:row>
    <x:row r="23" ht="47" customHeight="1">
      <x:c r="A23" s="4" t="str">
        <x:v>Tipo exacto del ensayo</x:v>
      </x:c>
      <x:c r="B23" s="4" t="str">
        <x:v>Lexema documental true/false; AUSENTE explícito; marcas de conflicto o fallo separadas</x:v>
      </x:c>
      <x:c r="C23" s="4" t="str">
        <x:v>La celda contiene texto del lexema original; no es llamada COM ni conversión implícita de 0, 1, -1 o cadenas al booleano.</x:v>
      </x:c>
    </x:row>
    <x:row r="24" ht="47" customHeight="1">
      <x:c r="A24" s="4" t="str">
        <x:v>Activación u(p,OP-CYB-001)</x:v>
      </x:c>
      <x:c r="B24" s="4" t="str">
        <x:v>Al evaluar evidencia de cierre que cita aquella instalación; la admisión valida el perfil individual</x:v>
      </x:c>
      <x:c r="C24" s="4" t="str">
        <x:v>La identidad paramétrica no contiene la orden de cerrar ni la autoridad sobre el activo.</x:v>
      </x:c>
    </x:row>
    <x:row r="25" ht="47" customHeight="1">
      <x:c r="A25" s="4" t="str">
        <x:v>Función profesional del uso</x:v>
      </x:c>
      <x:c r="B25" s="4" t="str">
        <x:v>Conservar si el análisis de completitud debe enlazar evidencia de satisfacción del requisito de reinicio</x:v>
      </x:c>
      <x:c r="C25" s="4" t="str">
        <x:v>La necesidad de enlazar esa evidencia no es una ruta SV implementada.</x:v>
      </x:c>
    </x:row>
    <x:row r="26" ht="47" customHeight="1">
      <x:c r="A26" s="4" t="str">
        <x:v>Consecuencias vinculadas</x:v>
      </x:c>
      <x:c r="B26" s="4" t="str">
        <x:v>CON-CYB-RBT-01 / -02 / -03 / -04</x:v>
      </x:c>
      <x:c r="C26" s="4" t="str">
        <x:v>Dos pérdidas epistemológicas y dos perjuicios operacionales potenciales condicionados.</x:v>
      </x:c>
    </x:row>
    <x:row r="27" ht="47" customHeight="1">
      <x:c r="A27" s="4" t="str">
        <x:v>Independencia</x:v>
      </x:c>
      <x:c r="B27" s="4" t="str">
        <x:v>Puede variar el requisito sin variar éxito comunicado, autorización de interrupción o impacto del servicio</x:v>
      </x:c>
      <x:c r="C27" s="4" t="str">
        <x:v>La realización posterior y el efecto no forman parte de este predicado; los pares de contraste los mantienen separados.</x:v>
      </x:c>
    </x:row>
    <x:row r="28" ht="47" customHeight="1">
      <x:c r="A28" s="4" t="str">
        <x:v>Ablación</x:v>
      </x:c>
      <x:c r="B28" s="4" t="str">
        <x:v>Quitar la distinción impide diferenciar dos obligaciones documentales de completitud</x:v>
      </x:c>
      <x:c r="C28" s="4" t="str">
        <x:v>La prueba usa una proyección semántica declarada sin canales laterales. No prueba pérdida del expediente completo SV.</x:v>
      </x:c>
    </x:row>
    <x:row r="29" ht="47" customHeight="1">
      <x:c r="A29" s="4" t="str">
        <x:v>Partición</x:v>
      </x:c>
      <x:c r="B29" s="4" t="str">
        <x:v>Requisito de reinicio y reinicio efectuado sí se separan; dividir el requisito en palabras/campos no produce otro predicado útil en este uso</x:v>
      </x:c>
      <x:c r="C29" s="4" t="str">
        <x:v>No se demuestra atomicidad universal de todos los usos futuros. Nueva refutación material requiere revisar esta identidad.</x:v>
      </x:c>
    </x:row>
    <x:row r="30" ht="47" customHeight="1">
      <x:c r="A30" s="4" t="str">
        <x:v>Propiedad / geometría</x:v>
      </x:c>
      <x:c r="B30" s="4" t="str">
        <x:v>PENDIENTE_G6; 0 células, 0 rutas, 0 Frames constituidos por este lote</x:v>
      </x:c>
      <x:c r="C30" s="4" t="str">
        <x:v>No se fabrica célula con un parámetro ni se rellenan ocho posiciones.</x:v>
      </x:c>
    </x:row>
    <x:row r="31" ht="47" customHeight="1">
      <x:c r="A31" s="4" t="str">
        <x:v>Explicación al experto</x:v>
      </x:c>
      <x:c r="B31" s="4" t="str">
        <x:v>Resultado y horizonte; observación aplicada; regla y fuente; incertidumbre; enlace a satisfacción/efecto; consecuencia y límite</x:v>
      </x:c>
      <x:c r="C31" s="4" t="str">
        <x:v>La traza de este ensayo es un registro documental. No se llama Frame a una tabla, prosa o JSON sin arquitectura SV constituida.</x:v>
      </x:c>
    </x:row>
    <x:row r="32" ht="47" customHeight="1">
      <x:c r="A32" s="4" t="str">
        <x:v>Representación recibida</x:v>
      </x:c>
      <x:c r="B32" s="4" t="str">
        <x:v>RETP-105 / 66967a80a40f4e2781ef983bd725690db54c25c5; corte técnico ab61d9bb7a2002d3a4a389e292c2a9b0a850d264</x:v>
      </x:c>
      <x:c r="C32" s="4" t="str">
        <x:v>La recepción no acredita observación productiva a Tri. Este lote no modifica el Lenguaje ni usa el compilador Python retirado.</x:v>
      </x:c>
    </x:row>
  </x:sheetData>
  <x:mergeCells>
    <x:mergeCell ref="A1:C1"/>
    <x:mergeCell ref="A2:C2"/>
  </x:mergeCells>
  <x:pageMargins left="0.7" right="0.7" top="0.75" bottom="0.75" header="0.3" footer="0.3"/>
  <x:tableParts count="1">
    <x:tablePart xmlns:r="http://schemas.openxmlformats.org/officeDocument/2006/relationships" r:id="R0723de3a4ad24bd9"/>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26" hidden="0" customWidth="1"/>
    <x:col min="2" max="2" width="29" hidden="0" customWidth="1"/>
    <x:col min="3" max="3" width="75" hidden="0" customWidth="1"/>
    <x:col min="4" max="4" width="65" hidden="0" customWidth="1"/>
    <x:col min="5" max="5" width="66" hidden="0" customWidth="1"/>
    <x:col min="6" max="6" width="76" hidden="0" customWidth="1"/>
    <x:col min="7" max="7" width="79" hidden="0" customWidth="1"/>
    <x:col min="8" max="8" width="49" hidden="0" customWidth="1"/>
  </x:cols>
  <x:sheetData>
    <x:row r="1" ht="35" customHeight="1">
      <x:c r="A1" s="6" t="str">
        <x:v>G4-CON · consecuencias de omitir conocimiento enlazado</x:v>
      </x:c>
      <x:c r="B1" s="6"/>
      <x:c r="C1" s="6"/>
      <x:c r="D1" s="6"/>
      <x:c r="E1" s="6"/>
      <x:c r="F1" s="6"/>
      <x:c r="G1" s="6"/>
      <x:c r="H1" s="6"/>
    </x:row>
    <x:row r="2" ht="52" customHeight="1">
      <x:c r="A2" s="8" t="str">
        <x:v>La evidencia y el mecanismo preceden al dictamen G5. Los perjuicios son potenciales y condicionados; ninguna fila es un incidente observado.</x:v>
      </x:c>
      <x:c r="B2" s="8"/>
      <x:c r="C2" s="8"/>
      <x:c r="D2" s="8"/>
      <x:c r="E2" s="8"/>
      <x:c r="F2" s="8"/>
      <x:c r="G2" s="8"/>
      <x:c r="H2" s="8"/>
    </x:row>
    <x:row r="3">
      <x:c r="A3" s="4"/>
      <x:c r="B3" s="4"/>
      <x:c r="C3" s="4"/>
      <x:c r="D3" s="4"/>
      <x:c r="E3" s="4"/>
      <x:c r="F3" s="4"/>
      <x:c r="G3" s="4"/>
      <x:c r="H3" s="4"/>
    </x:row>
    <x:row r="4" ht="42" customHeight="1">
      <x:c r="A4" s="10" t="str">
        <x:v>ID</x:v>
      </x:c>
      <x:c r="B4" s="10" t="str">
        <x:v>Clase</x:v>
      </x:c>
      <x:c r="C4" s="10" t="str">
        <x:v>Conocimiento que debe enlazarse</x:v>
      </x:c>
      <x:c r="D4" s="10" t="str">
        <x:v>Error u omisión</x:v>
      </x:c>
      <x:c r="E4" s="10" t="str">
        <x:v>Consejo afectado</x:v>
      </x:c>
      <x:c r="F4" s="10" t="str">
        <x:v>Consecuencia</x:v>
      </x:c>
      <x:c r="G4" s="10" t="str">
        <x:v>Condición / límite causal</x:v>
      </x:c>
      <x:c r="H4" s="10" t="str">
        <x:v>Fuentes previas</x:v>
      </x:c>
    </x:row>
    <x:row r="5" ht="47" customHeight="1">
      <x:c r="A5" s="4" t="str">
        <x:v>CON-CYB-RBT-01</x:v>
      </x:c>
      <x:c r="B5" s="4" t="str">
        <x:v>EPISTEMOLOGICA</x:v>
      </x:c>
      <x:c r="C5" s="4" t="str">
        <x:v>Éxito comunicado + requisito de reinicio → examen de satisfacción del requisito</x:v>
      </x:c>
      <x:c r="D5" s="4" t="str">
        <x:v>Omitir el valor o sustituirlo por éxito</x:v>
      </x:c>
      <x:c r="E5" s="4" t="str">
        <x:v>Cerrar evidencia como completa sin revisar la condición requerida</x:v>
      </x:c>
      <x:c r="F5" s="4" t="str">
        <x:v>La conclusión excede la evidencia; el testigo sintético demuestra pérdida de distinción.</x:v>
      </x:c>
      <x:c r="G5" s="4" t="str">
        <x:v>No presupone vulnerabilidad explotable ni daño real.</x:v>
      </x:c>
      <x:c r="H5" s="4" t="str">
        <x:v>R025 IV; T001 §2.3.2; T002; testigo AB-01</x:v>
      </x:c>
    </x:row>
    <x:row r="6" ht="47" customHeight="1">
      <x:c r="A6" s="4" t="str">
        <x:v>CON-CYB-RBT-02</x:v>
      </x:c>
      <x:c r="B6" s="4" t="str">
        <x:v>OPERACIONAL_POTENCIAL</x:v>
      </x:c>
      <x:c r="C6" s="4" t="str">
        <x:v>Requisito existente + no satisfecho + corrección que depende de completarlo</x:v>
      </x:c>
      <x:c r="D6" s="4" t="str">
        <x:v>Omitir el enlace entre requisito y cumplimiento</x:v>
      </x:c>
      <x:c r="E6" s="4" t="str">
        <x:v>Dar por corregido el componente antes de satisfacer una condición necesaria</x:v>
      </x:c>
      <x:c r="F6" s="4" t="str">
        <x:v>Puede persistir el estado vulnerable que la corrección pretendía resolver.</x:v>
      </x:c>
      <x:c r="G6" s="4" t="str">
        <x:v>Requiere aplicabilidad y prueba de estado activo; no implica explotación ni pérdida consumada.</x:v>
      </x:c>
      <x:c r="H6" s="4" t="str">
        <x:v>T001 §§2.3.2–2.3.3; QCY-01/04/05</x:v>
      </x:c>
    </x:row>
    <x:row r="7" ht="47" customHeight="1">
      <x:c r="A7" s="4" t="str">
        <x:v>CON-CYB-RBT-03</x:v>
      </x:c>
      <x:c r="B7" s="4" t="str">
        <x:v>OPERACIONAL_POTENCIAL</x:v>
      </x:c>
      <x:c r="C7" s="4" t="str">
        <x:v>Requisito técnico + condiciones del servicio + permiso + alternativas/coste</x:v>
      </x:c>
      <x:c r="D7" s="4" t="str">
        <x:v>Convertir 1 en orden inmediata o inventar requisito con 0/U</x:v>
      </x:c>
      <x:c r="E7" s="4" t="str">
        <x:v>Aconsejar una interrupción sin evaluar condiciones y autoridad</x:v>
      </x:c>
      <x:c r="F7" s="4" t="str">
        <x:v>Puede provocar interrupción evitable o coste desproporcionado para el servicio protegido.</x:v>
      </x:c>
      <x:c r="G7" s="4" t="str">
        <x:v>No todo reinicio interrumpe el servicio; redundancia, ventana e impacto se deben valorar.</x:v>
      </x:c>
      <x:c r="H7" s="4" t="str">
        <x:v>R025/R033/R035; T001 §3.2; mandato humano</x:v>
      </x:c>
    </x:row>
    <x:row r="8" ht="47" customHeight="1">
      <x:c r="A8" s="4" t="str">
        <x:v>CON-CYB-RBT-04</x:v>
      </x:c>
      <x:c r="B8" s="4" t="str">
        <x:v>EPISTEMOLOGICA</x:v>
      </x:c>
      <x:c r="C8" s="4" t="str">
        <x:v>Requisito histórico + evento posterior → relación de cumplimiento</x:v>
      </x:c>
      <x:c r="D8" s="4" t="str">
        <x:v>Sobrescribir 1 con 0 cuando se reinicia, o usar el 1 histórico como deuda actual</x:v>
      </x:c>
      <x:c r="E8" s="4" t="str">
        <x:v>Perder por qué se exigió una comprobación o repetir una exigencia ya satisfecha</x:v>
      </x:c>
      <x:c r="F8" s="4" t="str">
        <x:v>La explicación temporal deja de distinguir requisito de cumplimiento.</x:v>
      </x:c>
      <x:c r="G8" s="4" t="str">
        <x:v>No se ordena una acción ni se constituye aquí el átomo de cumplimiento.</x:v>
      </x:c>
      <x:c r="H8" s="4" t="str">
        <x:v>T002; S018/S019; testigos TI-01/TI-02</x:v>
      </x:c>
    </x:row>
  </x:sheetData>
  <x:mergeCells>
    <x:mergeCell ref="A1:D1"/>
    <x:mergeCell ref="A2:F2"/>
  </x:mergeCells>
  <x:pageMargins left="0.7" right="0.7" top="0.75" bottom="0.75" header="0.3" footer="0.3"/>
  <x:tableParts count="1">
    <x:tablePart xmlns:r="http://schemas.openxmlformats.org/officeDocument/2006/relationships" r:id="R41362be549b74490"/>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4" hidden="0" customWidth="1"/>
    <x:col min="4" max="4" width="28" hidden="0" customWidth="1"/>
    <x:col min="5" max="5" width="23" hidden="0" customWidth="1"/>
    <x:col min="6" max="6" width="19" hidden="0" customWidth="1"/>
    <x:col min="7" max="7" width="29" hidden="0" customWidth="1"/>
    <x:col min="8" max="8" width="29" hidden="0" customWidth="1"/>
    <x:col min="9" max="9" width="23" hidden="0" customWidth="1"/>
    <x:col min="10" max="10" width="27" hidden="0" customWidth="1"/>
    <x:col min="11" max="11" width="24" hidden="0" customWidth="1"/>
    <x:col min="12" max="12" width="15" hidden="0" customWidth="1"/>
    <x:col min="13" max="13" width="38" hidden="0" customWidth="1"/>
    <x:col min="14" max="14" width="24" hidden="0" customWidth="1"/>
    <x:col min="15" max="15" width="15" hidden="0" customWidth="1"/>
    <x:col min="16" max="16" width="38" hidden="0" customWidth="1"/>
    <x:col min="17" max="17" width="18" hidden="0" customWidth="1"/>
    <x:col min="18" max="18" width="80" hidden="0" customWidth="1"/>
  </x:cols>
  <x:sheetData>
    <x:row r="1" ht="35" customHeight="1">
      <x:c r="A1" s="6" t="str">
        <x:v>G5 · testigos documentales sintéticos</x:v>
      </x:c>
      <x:c r="B1" s="6"/>
      <x:c r="C1" s="6"/>
      <x:c r="D1" s="6"/>
      <x:c r="E1" s="6"/>
      <x:c r="F1" s="6"/>
      <x:c r="G1" s="6"/>
      <x:c r="H1" s="6"/>
      <x:c r="I1" s="6"/>
      <x:c r="J1" s="6"/>
      <x:c r="K1" s="6"/>
      <x:c r="L1" s="6"/>
      <x:c r="M1" s="6"/>
      <x:c r="N1" s="6"/>
      <x:c r="O1" s="6"/>
      <x:c r="P1" s="6"/>
      <x:c r="Q1" s="6"/>
      <x:c r="R1" s="6"/>
    </x:row>
    <x:row r="2" ht="52" customHeight="1">
      <x:c r="A2" s="8" t="str">
        <x:v>Esperados fijados antes de cálculo. Las fórmulas ensayan el contrato documental; no ejecutan WUA, SV, instalaciones ni consejo operacional.</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Ataque / familia</x:v>
      </x:c>
      <x:c r="C4" s="10" t="str">
        <x:v>Perfil</x:v>
      </x:c>
      <x:c r="D4" s="10" t="str">
        <x:v>Identidad</x:v>
      </x:c>
      <x:c r="E4" s="10" t="str">
        <x:v>Procedencia</x:v>
      </x:c>
      <x:c r="F4" s="10" t="str">
        <x:v>Captura</x:v>
      </x:c>
      <x:c r="G4" s="10" t="str">
        <x:v>Ámbito</x:v>
      </x:c>
      <x:c r="H4" s="10" t="str">
        <x:v>Resultado instalación</x:v>
      </x:c>
      <x:c r="I4" s="10" t="str">
        <x:v>Observación</x:v>
      </x:c>
      <x:c r="J4" s="10" t="str">
        <x:v>Lexema exacto</x:v>
      </x:c>
      <x:c r="K4" s="10" t="str">
        <x:v>Clase esperada</x:v>
      </x:c>
      <x:c r="L4" s="10" t="str">
        <x:v>Tri esperado</x:v>
      </x:c>
      <x:c r="M4" s="10" t="str">
        <x:v>Diagnóstico esperado</x:v>
      </x:c>
      <x:c r="N4" s="10" t="str">
        <x:v>Clase calculada</x:v>
      </x:c>
      <x:c r="O4" s="10" t="str">
        <x:v>Tri calculado</x:v>
      </x:c>
      <x:c r="P4" s="10" t="str">
        <x:v>Diagnóstico calculado</x:v>
      </x:c>
      <x:c r="Q4" s="10" t="str">
        <x:v>Concordancia</x:v>
      </x:c>
      <x:c r="R4" s="10" t="str">
        <x:v>Interpretación</x:v>
      </x:c>
    </x:row>
    <x:row r="5" ht="47" customHeight="1">
      <x:c r="A5" s="4" t="str">
        <x:v>TA-01</x:v>
      </x:c>
      <x:c r="B5" s="4" t="str">
        <x:v>SEMANTICA</x:v>
      </x:c>
      <x:c r="C5" s="4" t="str">
        <x:v>WUA-IND-0.1</x:v>
      </x:c>
      <x:c r="D5" s="4" t="str">
        <x:v>COINCIDE</x:v>
      </x:c>
      <x:c r="E5" s="4" t="str">
        <x:v>ADMITIDA</x:v>
      </x:c>
      <x:c r="F5" s="4" t="str">
        <x:v>LEGIBLE</x:v>
      </x:c>
      <x:c r="G5" s="4" t="str">
        <x:v>INDIVIDUAL_INSTALAR</x:v>
      </x:c>
      <x:c r="H5" s="4" t="str">
        <x:v>orcSucceeded</x:v>
      </x:c>
      <x:c r="I5" s="4" t="str">
        <x:v>UNICA</x:v>
      </x:c>
      <x:c r="J5" s="4" t="str">
        <x:v>true</x:v>
      </x:c>
      <x:c r="K5" s="4" t="str">
        <x:v>VALIDA</x:v>
      </x:c>
      <x:c r="L5" s="4" t="str">
        <x:v>1</x:v>
      </x:c>
      <x:c r="M5" s="4" t="str">
        <x:v>REQUISITO_SI</x:v>
      </x:c>
      <x:c r="N5" s="12" t="str">
        <x:f>IF(F5="FALLO","FALLO_CAPTURA",IF(F5&lt;&gt;"LEGIBLE","NO_ADMISION",IF(D5&lt;&gt;"COINCIDE","NO_ADMISION",IF(E5&lt;&gt;"ADMITIDA","NO_ADMISION",IF(C5&lt;&gt;"WUA-IND-0.1","FUERA_PERFIL",IF(G5&lt;&gt;"INDIVIDUAL_INSTALAR","FUERA_PERFIL",IF(NOT(OR(H5="orcNotStarted",H5="orcInProgress",H5="orcSucceeded",H5="orcSucceededWithErrors",H5="orcFailed",H5="orcAborted")),"NO_ADMISION",IF(H5&lt;&gt;"orcSucceeded","FUERA_PERFIL",IF(OR(AND(I5="AUSENTE",J5=""),AND(I5="CONFLICTO",J5="true|false"),AND(I5="UNICA",OR(J5="true",J5="false"))),"VALIDA","NO_ADMISION")))))))))</x:f>
        <x:v>VALIDA</x:v>
      </x:c>
      <x:c r="O5" s="12" t="str">
        <x:f>IF(N5&lt;&gt;"VALIDA","",IF(I5&lt;&gt;"UNICA","U",IF(J5="true","1","0")))</x:f>
        <x:v>1</x:v>
      </x:c>
      <x:c r="P5" s="12" t="str">
        <x:f>IF(F5="FALLO","SIN_EJECUCION_DOMINIO",IF(F5&lt;&gt;"LEGIBLE","CAPTURA_MAL_FORMADA",IF(D5&lt;&gt;"COINCIDE","IDENTIDAD",IF(E5&lt;&gt;"ADMITIDA","PROCEDENCIA",IF(C5&lt;&gt;"WUA-IND-0.1","PERFIL_NO_CONSTITUIDO",IF(G5&lt;&gt;"INDIVIDUAL_INSTALAR","AMBITO_RESULTADO",IF(NOT(OR(H5="orcNotStarted",H5="orcInProgress",H5="orcSucceeded",H5="orcSucceededWithErrors",H5="orcFailed",H5="orcAborted")),"RESULTADO_DESCONOCIDO",IF(H5&lt;&gt;"orcSucceeded","RESULTADO_INSTALACION",IF(N5="NO_ADMISION",IF(I5="UNICA","LEXEMA_NO_BOOLEANO","OBSERVACION_MAL_FORMADA"),IF(I5="AUSENTE","DATO_AUSENTE",IF(I5="CONFLICTO","CONFLICTO_OBSERVACIONAL",IF(J5="true","REQUISITO_SI","REQUISITO_NO"))))))))))))</x:f>
        <x:v>REQUISITO_SI</x:v>
      </x:c>
      <x:c r="Q5" s="12" t="str">
        <x:f>IF(AND(K5=N5,L5=O5,M5=P5),"PASA","NO_PASA")</x:f>
        <x:v>PASA</x:v>
      </x:c>
      <x:c r="R5" s="4" t="str">
        <x:v>Éxito comunicado y reinicio requerido coexisten.</x:v>
      </x:c>
    </x:row>
    <x:row r="6" ht="47" customHeight="1">
      <x:c r="A6" s="4" t="str">
        <x:v>TA-02</x:v>
      </x:c>
      <x:c r="B6" s="4" t="str">
        <x:v>SEMANTICA</x:v>
      </x:c>
      <x:c r="C6" s="4" t="str">
        <x:v>WUA-IND-0.1</x:v>
      </x:c>
      <x:c r="D6" s="4" t="str">
        <x:v>COINCIDE</x:v>
      </x:c>
      <x:c r="E6" s="4" t="str">
        <x:v>ADMITIDA</x:v>
      </x:c>
      <x:c r="F6" s="4" t="str">
        <x:v>LEGIBLE</x:v>
      </x:c>
      <x:c r="G6" s="4" t="str">
        <x:v>INDIVIDUAL_INSTALAR</x:v>
      </x:c>
      <x:c r="H6" s="4" t="str">
        <x:v>orcSucceeded</x:v>
      </x:c>
      <x:c r="I6" s="4" t="str">
        <x:v>UNICA</x:v>
      </x:c>
      <x:c r="J6" s="4" t="str">
        <x:v>false</x:v>
      </x:c>
      <x:c r="K6" s="4" t="str">
        <x:v>VALIDA</x:v>
      </x:c>
      <x:c r="L6" s="4" t="str">
        <x:v>0</x:v>
      </x:c>
      <x:c r="M6" s="4" t="str">
        <x:v>REQUISITO_NO</x:v>
      </x:c>
      <x:c r="N6" s="12" t="str">
        <x:f>IF(F6="FALLO","FALLO_CAPTURA",IF(F6&lt;&gt;"LEGIBLE","NO_ADMISION",IF(D6&lt;&gt;"COINCIDE","NO_ADMISION",IF(E6&lt;&gt;"ADMITIDA","NO_ADMISION",IF(C6&lt;&gt;"WUA-IND-0.1","FUERA_PERFIL",IF(G6&lt;&gt;"INDIVIDUAL_INSTALAR","FUERA_PERFIL",IF(NOT(OR(H6="orcNotStarted",H6="orcInProgress",H6="orcSucceeded",H6="orcSucceededWithErrors",H6="orcFailed",H6="orcAborted")),"NO_ADMISION",IF(H6&lt;&gt;"orcSucceeded","FUERA_PERFIL",IF(OR(AND(I6="AUSENTE",J6=""),AND(I6="CONFLICTO",J6="true|false"),AND(I6="UNICA",OR(J6="true",J6="false"))),"VALIDA","NO_ADMISION")))))))))</x:f>
        <x:v>VALIDA</x:v>
      </x:c>
      <x:c r="O6" s="12" t="str">
        <x:f>IF(N6&lt;&gt;"VALIDA","",IF(I6&lt;&gt;"UNICA","U",IF(J6="true","1","0")))</x:f>
        <x:v>0</x:v>
      </x:c>
      <x:c r="P6" s="12" t="str">
        <x:f>IF(F6="FALLO","SIN_EJECUCION_DOMINIO",IF(F6&lt;&gt;"LEGIBLE","CAPTURA_MAL_FORMADA",IF(D6&lt;&gt;"COINCIDE","IDENTIDAD",IF(E6&lt;&gt;"ADMITIDA","PROCEDENCIA",IF(C6&lt;&gt;"WUA-IND-0.1","PERFIL_NO_CONSTITUIDO",IF(G6&lt;&gt;"INDIVIDUAL_INSTALAR","AMBITO_RESULTADO",IF(NOT(OR(H6="orcNotStarted",H6="orcInProgress",H6="orcSucceeded",H6="orcSucceededWithErrors",H6="orcFailed",H6="orcAborted")),"RESULTADO_DESCONOCIDO",IF(H6&lt;&gt;"orcSucceeded","RESULTADO_INSTALACION",IF(N6="NO_ADMISION",IF(I6="UNICA","LEXEMA_NO_BOOLEANO","OBSERVACION_MAL_FORMADA"),IF(I6="AUSENTE","DATO_AUSENTE",IF(I6="CONFLICTO","CONFLICTO_OBSERVACIONAL",IF(J6="true","REQUISITO_SI","REQUISITO_NO"))))))))))))</x:f>
        <x:v>REQUISITO_NO</x:v>
      </x:c>
      <x:c r="Q6" s="12" t="str">
        <x:f>IF(AND(K6=N6,L6=O6,M6=P6),"PASA","NO_PASA")</x:f>
        <x:v>PASA</x:v>
      </x:c>
      <x:c r="R6" s="4" t="str">
        <x:v>Ausencia explícita del requisito; no autoriza cierre.</x:v>
      </x:c>
    </x:row>
    <x:row r="7" ht="47" customHeight="1">
      <x:c r="A7" s="4" t="str">
        <x:v>TA-03</x:v>
      </x:c>
      <x:c r="B7" s="4" t="str">
        <x:v>U PROPIA</x:v>
      </x:c>
      <x:c r="C7" s="4" t="str">
        <x:v>WUA-IND-0.1</x:v>
      </x:c>
      <x:c r="D7" s="4" t="str">
        <x:v>COINCIDE</x:v>
      </x:c>
      <x:c r="E7" s="4" t="str">
        <x:v>ADMITIDA</x:v>
      </x:c>
      <x:c r="F7" s="4" t="str">
        <x:v>LEGIBLE</x:v>
      </x:c>
      <x:c r="G7" s="4" t="str">
        <x:v>INDIVIDUAL_INSTALAR</x:v>
      </x:c>
      <x:c r="H7" s="4" t="str">
        <x:v>orcSucceeded</x:v>
      </x:c>
      <x:c r="I7" s="4" t="str">
        <x:v>AUSENTE</x:v>
      </x:c>
      <x:c r="J7" s="4" t="str"/>
      <x:c r="K7" s="4" t="str">
        <x:v>VALIDA</x:v>
      </x:c>
      <x:c r="L7" s="4" t="str">
        <x:v>U</x:v>
      </x:c>
      <x:c r="M7" s="4" t="str">
        <x:v>DATO_AUSENTE</x:v>
      </x:c>
      <x:c r="N7" s="12" t="str">
        <x:f>IF(F7="FALLO","FALLO_CAPTURA",IF(F7&lt;&gt;"LEGIBLE","NO_ADMISION",IF(D7&lt;&gt;"COINCIDE","NO_ADMISION",IF(E7&lt;&gt;"ADMITIDA","NO_ADMISION",IF(C7&lt;&gt;"WUA-IND-0.1","FUERA_PERFIL",IF(G7&lt;&gt;"INDIVIDUAL_INSTALAR","FUERA_PERFIL",IF(NOT(OR(H7="orcNotStarted",H7="orcInProgress",H7="orcSucceeded",H7="orcSucceededWithErrors",H7="orcFailed",H7="orcAborted")),"NO_ADMISION",IF(H7&lt;&gt;"orcSucceeded","FUERA_PERFIL",IF(OR(AND(I7="AUSENTE",J7=""),AND(I7="CONFLICTO",J7="true|false"),AND(I7="UNICA",OR(J7="true",J7="false"))),"VALIDA","NO_ADMISION")))))))))</x:f>
        <x:v>VALIDA</x:v>
      </x:c>
      <x:c r="O7" s="12" t="str">
        <x:f>IF(N7&lt;&gt;"VALIDA","",IF(I7&lt;&gt;"UNICA","U",IF(J7="true","1","0")))</x:f>
        <x:v>U</x:v>
      </x:c>
      <x:c r="P7" s="12" t="str">
        <x:f>IF(F7="FALLO","SIN_EJECUCION_DOMINIO",IF(F7&lt;&gt;"LEGIBLE","CAPTURA_MAL_FORMADA",IF(D7&lt;&gt;"COINCIDE","IDENTIDAD",IF(E7&lt;&gt;"ADMITIDA","PROCEDENCIA",IF(C7&lt;&gt;"WUA-IND-0.1","PERFIL_NO_CONSTITUIDO",IF(G7&lt;&gt;"INDIVIDUAL_INSTALAR","AMBITO_RESULTADO",IF(NOT(OR(H7="orcNotStarted",H7="orcInProgress",H7="orcSucceeded",H7="orcSucceededWithErrors",H7="orcFailed",H7="orcAborted")),"RESULTADO_DESCONOCIDO",IF(H7&lt;&gt;"orcSucceeded","RESULTADO_INSTALACION",IF(N7="NO_ADMISION",IF(I7="UNICA","LEXEMA_NO_BOOLEANO","OBSERVACION_MAL_FORMADA"),IF(I7="AUSENTE","DATO_AUSENTE",IF(I7="CONFLICTO","CONFLICTO_OBSERVACIONAL",IF(J7="true","REQUISITO_SI","REQUISITO_NO"))))))))))))</x:f>
        <x:v>DATO_AUSENTE</x:v>
      </x:c>
      <x:c r="Q7" s="12" t="str">
        <x:f>IF(AND(K7=N7,L7=O7,M7=P7),"PASA","NO_PASA")</x:f>
        <x:v>PASA</x:v>
      </x:c>
      <x:c r="R7" s="4" t="str">
        <x:v>Captura parcial declarada; silencio no significa false.</x:v>
      </x:c>
    </x:row>
    <x:row r="8" ht="47" customHeight="1">
      <x:c r="A8" s="4" t="str">
        <x:v>TA-04</x:v>
      </x:c>
      <x:c r="B8" s="4" t="str">
        <x:v>U PROPIA</x:v>
      </x:c>
      <x:c r="C8" s="4" t="str">
        <x:v>WUA-IND-0.1</x:v>
      </x:c>
      <x:c r="D8" s="4" t="str">
        <x:v>COINCIDE</x:v>
      </x:c>
      <x:c r="E8" s="4" t="str">
        <x:v>ADMITIDA</x:v>
      </x:c>
      <x:c r="F8" s="4" t="str">
        <x:v>LEGIBLE</x:v>
      </x:c>
      <x:c r="G8" s="4" t="str">
        <x:v>INDIVIDUAL_INSTALAR</x:v>
      </x:c>
      <x:c r="H8" s="4" t="str">
        <x:v>orcSucceeded</x:v>
      </x:c>
      <x:c r="I8" s="4" t="str">
        <x:v>CONFLICTO</x:v>
      </x:c>
      <x:c r="J8" s="4" t="str">
        <x:v>true|false</x:v>
      </x:c>
      <x:c r="K8" s="4" t="str">
        <x:v>VALIDA</x:v>
      </x:c>
      <x:c r="L8" s="4" t="str">
        <x:v>U</x:v>
      </x:c>
      <x:c r="M8" s="4" t="str">
        <x:v>CONFLICTO_OBSERVACIONAL</x:v>
      </x:c>
      <x:c r="N8" s="12" t="str">
        <x:f>IF(F8="FALLO","FALLO_CAPTURA",IF(F8&lt;&gt;"LEGIBLE","NO_ADMISION",IF(D8&lt;&gt;"COINCIDE","NO_ADMISION",IF(E8&lt;&gt;"ADMITIDA","NO_ADMISION",IF(C8&lt;&gt;"WUA-IND-0.1","FUERA_PERFIL",IF(G8&lt;&gt;"INDIVIDUAL_INSTALAR","FUERA_PERFIL",IF(NOT(OR(H8="orcNotStarted",H8="orcInProgress",H8="orcSucceeded",H8="orcSucceededWithErrors",H8="orcFailed",H8="orcAborted")),"NO_ADMISION",IF(H8&lt;&gt;"orcSucceeded","FUERA_PERFIL",IF(OR(AND(I8="AUSENTE",J8=""),AND(I8="CONFLICTO",J8="true|false"),AND(I8="UNICA",OR(J8="true",J8="false"))),"VALIDA","NO_ADMISION")))))))))</x:f>
        <x:v>VALIDA</x:v>
      </x:c>
      <x:c r="O8" s="12" t="str">
        <x:f>IF(N8&lt;&gt;"VALIDA","",IF(I8&lt;&gt;"UNICA","U",IF(J8="true","1","0")))</x:f>
        <x:v>U</x:v>
      </x:c>
      <x:c r="P8" s="12" t="str">
        <x:f>IF(F8="FALLO","SIN_EJECUCION_DOMINIO",IF(F8&lt;&gt;"LEGIBLE","CAPTURA_MAL_FORMADA",IF(D8&lt;&gt;"COINCIDE","IDENTIDAD",IF(E8&lt;&gt;"ADMITIDA","PROCEDENCIA",IF(C8&lt;&gt;"WUA-IND-0.1","PERFIL_NO_CONSTITUIDO",IF(G8&lt;&gt;"INDIVIDUAL_INSTALAR","AMBITO_RESULTADO",IF(NOT(OR(H8="orcNotStarted",H8="orcInProgress",H8="orcSucceeded",H8="orcSucceededWithErrors",H8="orcFailed",H8="orcAborted")),"RESULTADO_DESCONOCIDO",IF(H8&lt;&gt;"orcSucceeded","RESULTADO_INSTALACION",IF(N8="NO_ADMISION",IF(I8="UNICA","LEXEMA_NO_BOOLEANO","OBSERVACION_MAL_FORMADA"),IF(I8="AUSENTE","DATO_AUSENTE",IF(I8="CONFLICTO","CONFLICTO_OBSERVACIONAL",IF(J8="true","REQUISITO_SI","REQUISITO_NO"))))))))))))</x:f>
        <x:v>CONFLICTO_OBSERVACIONAL</x:v>
      </x:c>
      <x:c r="Q8" s="12" t="str">
        <x:f>IF(AND(K8=N8,L8=O8,M8=P8),"PASA","NO_PASA")</x:f>
        <x:v>PASA</x:v>
      </x:c>
      <x:c r="R8" s="4" t="str">
        <x:v>Dos afirmaciones admitidas del mismo sujeto discrepan.</x:v>
      </x:c>
    </x:row>
    <x:row r="9" ht="47" customHeight="1">
      <x:c r="A9" s="4" t="str">
        <x:v>TA-05</x:v>
      </x:c>
      <x:c r="B9" s="4" t="str">
        <x:v>FRONTERA</x:v>
      </x:c>
      <x:c r="C9" s="4" t="str">
        <x:v>OT</x:v>
      </x:c>
      <x:c r="D9" s="4" t="str">
        <x:v>COINCIDE</x:v>
      </x:c>
      <x:c r="E9" s="4" t="str">
        <x:v>ADMITIDA</x:v>
      </x:c>
      <x:c r="F9" s="4" t="str">
        <x:v>LEGIBLE</x:v>
      </x:c>
      <x:c r="G9" s="4" t="str">
        <x:v>INDIVIDUAL_INSTALAR</x:v>
      </x:c>
      <x:c r="H9" s="4" t="str">
        <x:v>orcSucceeded</x:v>
      </x:c>
      <x:c r="I9" s="4" t="str">
        <x:v>UNICA</x:v>
      </x:c>
      <x:c r="J9" s="4" t="str">
        <x:v>true</x:v>
      </x:c>
      <x:c r="K9" s="4" t="str">
        <x:v>FUERA_PERFIL</x:v>
      </x:c>
      <x:c r="L9" s="4" t="str"/>
      <x:c r="M9" s="4" t="str">
        <x:v>PERFIL_NO_CONSTITUIDO</x:v>
      </x:c>
      <x:c r="N9" s="12" t="str">
        <x:f>IF(F9="FALLO","FALLO_CAPTURA",IF(F9&lt;&gt;"LEGIBLE","NO_ADMISION",IF(D9&lt;&gt;"COINCIDE","NO_ADMISION",IF(E9&lt;&gt;"ADMITIDA","NO_ADMISION",IF(C9&lt;&gt;"WUA-IND-0.1","FUERA_PERFIL",IF(G9&lt;&gt;"INDIVIDUAL_INSTALAR","FUERA_PERFIL",IF(NOT(OR(H9="orcNotStarted",H9="orcInProgress",H9="orcSucceeded",H9="orcSucceededWithErrors",H9="orcFailed",H9="orcAborted")),"NO_ADMISION",IF(H9&lt;&gt;"orcSucceeded","FUERA_PERFIL",IF(OR(AND(I9="AUSENTE",J9=""),AND(I9="CONFLICTO",J9="true|false"),AND(I9="UNICA",OR(J9="true",J9="false"))),"VALIDA","NO_ADMISION")))))))))</x:f>
        <x:v>FUERA_PERFIL</x:v>
      </x:c>
      <x:c r="O9" s="12" t="str">
        <x:f>IF(N9&lt;&gt;"VALIDA","",IF(I9&lt;&gt;"UNICA","U",IF(J9="true","1","0")))</x:f>
      </x:c>
      <x:c r="P9" s="12" t="str">
        <x:f>IF(F9="FALLO","SIN_EJECUCION_DOMINIO",IF(F9&lt;&gt;"LEGIBLE","CAPTURA_MAL_FORMADA",IF(D9&lt;&gt;"COINCIDE","IDENTIDAD",IF(E9&lt;&gt;"ADMITIDA","PROCEDENCIA",IF(C9&lt;&gt;"WUA-IND-0.1","PERFIL_NO_CONSTITUIDO",IF(G9&lt;&gt;"INDIVIDUAL_INSTALAR","AMBITO_RESULTADO",IF(NOT(OR(H9="orcNotStarted",H9="orcInProgress",H9="orcSucceeded",H9="orcSucceededWithErrors",H9="orcFailed",H9="orcAborted")),"RESULTADO_DESCONOCIDO",IF(H9&lt;&gt;"orcSucceeded","RESULTADO_INSTALACION",IF(N9="NO_ADMISION",IF(I9="UNICA","LEXEMA_NO_BOOLEANO","OBSERVACION_MAL_FORMADA"),IF(I9="AUSENTE","DATO_AUSENTE",IF(I9="CONFLICTO","CONFLICTO_OBSERVACIONAL",IF(J9="true","REQUISITO_SI","REQUISITO_NO"))))))))))))</x:f>
        <x:v>PERFIL_NO_CONSTITUIDO</x:v>
      </x:c>
      <x:c r="Q9" s="12" t="str">
        <x:f>IF(AND(K9=N9,L9=O9,M9=P9),"PASA","NO_PASA")</x:f>
        <x:v>PASA</x:v>
      </x:c>
      <x:c r="R9" s="4" t="str">
        <x:v>No trasladar semántica WUA a OT.</x:v>
      </x:c>
    </x:row>
    <x:row r="10" ht="47" customHeight="1">
      <x:c r="A10" s="4" t="str">
        <x:v>TA-06</x:v>
      </x:c>
      <x:c r="B10" s="4" t="str">
        <x:v>FRONTERA</x:v>
      </x:c>
      <x:c r="C10" s="4" t="str">
        <x:v>WUA-IND-0.1</x:v>
      </x:c>
      <x:c r="D10" s="4" t="str">
        <x:v>OTRA_ACTUALIZACION</x:v>
      </x:c>
      <x:c r="E10" s="4" t="str">
        <x:v>ADMITIDA</x:v>
      </x:c>
      <x:c r="F10" s="4" t="str">
        <x:v>LEGIBLE</x:v>
      </x:c>
      <x:c r="G10" s="4" t="str">
        <x:v>INDIVIDUAL_INSTALAR</x:v>
      </x:c>
      <x:c r="H10" s="4" t="str">
        <x:v>orcSucceeded</x:v>
      </x:c>
      <x:c r="I10" s="4" t="str">
        <x:v>UNICA</x:v>
      </x:c>
      <x:c r="J10" s="4" t="str">
        <x:v>true</x:v>
      </x:c>
      <x:c r="K10" s="4" t="str">
        <x:v>NO_ADMISION</x:v>
      </x:c>
      <x:c r="L10" s="4" t="str"/>
      <x:c r="M10" s="4" t="str">
        <x:v>IDENTIDAD</x:v>
      </x:c>
      <x:c r="N10" s="12" t="str">
        <x:f>IF(F10="FALLO","FALLO_CAPTURA",IF(F10&lt;&gt;"LEGIBLE","NO_ADMISION",IF(D10&lt;&gt;"COINCIDE","NO_ADMISION",IF(E10&lt;&gt;"ADMITIDA","NO_ADMISION",IF(C10&lt;&gt;"WUA-IND-0.1","FUERA_PERFIL",IF(G10&lt;&gt;"INDIVIDUAL_INSTALAR","FUERA_PERFIL",IF(NOT(OR(H10="orcNotStarted",H10="orcInProgress",H10="orcSucceeded",H10="orcSucceededWithErrors",H10="orcFailed",H10="orcAborted")),"NO_ADMISION",IF(H10&lt;&gt;"orcSucceeded","FUERA_PERFIL",IF(OR(AND(I10="AUSENTE",J10=""),AND(I10="CONFLICTO",J10="true|false"),AND(I10="UNICA",OR(J10="true",J10="false"))),"VALIDA","NO_ADMISION")))))))))</x:f>
        <x:v>NO_ADMISION</x:v>
      </x:c>
      <x:c r="O10" s="12" t="str">
        <x:f>IF(N10&lt;&gt;"VALIDA","",IF(I10&lt;&gt;"UNICA","U",IF(J10="true","1","0")))</x:f>
      </x:c>
      <x:c r="P10" s="12" t="str">
        <x:f>IF(F10="FALLO","SIN_EJECUCION_DOMINIO",IF(F10&lt;&gt;"LEGIBLE","CAPTURA_MAL_FORMADA",IF(D10&lt;&gt;"COINCIDE","IDENTIDAD",IF(E10&lt;&gt;"ADMITIDA","PROCEDENCIA",IF(C10&lt;&gt;"WUA-IND-0.1","PERFIL_NO_CONSTITUIDO",IF(G10&lt;&gt;"INDIVIDUAL_INSTALAR","AMBITO_RESULTADO",IF(NOT(OR(H10="orcNotStarted",H10="orcInProgress",H10="orcSucceeded",H10="orcSucceededWithErrors",H10="orcFailed",H10="orcAborted")),"RESULTADO_DESCONOCIDO",IF(H10&lt;&gt;"orcSucceeded","RESULTADO_INSTALACION",IF(N10="NO_ADMISION",IF(I10="UNICA","LEXEMA_NO_BOOLEANO","OBSERVACION_MAL_FORMADA"),IF(I10="AUSENTE","DATO_AUSENTE",IF(I10="CONFLICTO","CONFLICTO_OBSERVACIONAL",IF(J10="true","REQUISITO_SI","REQUISITO_NO"))))))))))))</x:f>
        <x:v>IDENTIDAD</x:v>
      </x:c>
      <x:c r="Q10" s="12" t="str">
        <x:f>IF(AND(K10=N10,L10=O10,M10=P10),"PASA","NO_PASA")</x:f>
        <x:v>PASA</x:v>
      </x:c>
      <x:c r="R10" s="4" t="str">
        <x:v>No atribuir a otra actualización el reinicio del lote.</x:v>
      </x:c>
    </x:row>
    <x:row r="11" ht="47" customHeight="1">
      <x:c r="A11" s="4" t="str">
        <x:v>TA-07</x:v>
      </x:c>
      <x:c r="B11" s="4" t="str">
        <x:v>FRONTERA</x:v>
      </x:c>
      <x:c r="C11" s="4" t="str">
        <x:v>WUA-IND-0.1</x:v>
      </x:c>
      <x:c r="D11" s="4" t="str">
        <x:v>COINCIDE</x:v>
      </x:c>
      <x:c r="E11" s="4" t="str">
        <x:v>NO_ADMITIDA</x:v>
      </x:c>
      <x:c r="F11" s="4" t="str">
        <x:v>LEGIBLE</x:v>
      </x:c>
      <x:c r="G11" s="4" t="str">
        <x:v>INDIVIDUAL_INSTALAR</x:v>
      </x:c>
      <x:c r="H11" s="4" t="str">
        <x:v>orcSucceeded</x:v>
      </x:c>
      <x:c r="I11" s="4" t="str">
        <x:v>UNICA</x:v>
      </x:c>
      <x:c r="J11" s="4" t="str">
        <x:v>true</x:v>
      </x:c>
      <x:c r="K11" s="4" t="str">
        <x:v>NO_ADMISION</x:v>
      </x:c>
      <x:c r="L11" s="4" t="str"/>
      <x:c r="M11" s="4" t="str">
        <x:v>PROCEDENCIA</x:v>
      </x:c>
      <x:c r="N11" s="12" t="str">
        <x:f>IF(F11="FALLO","FALLO_CAPTURA",IF(F11&lt;&gt;"LEGIBLE","NO_ADMISION",IF(D11&lt;&gt;"COINCIDE","NO_ADMISION",IF(E11&lt;&gt;"ADMITIDA","NO_ADMISION",IF(C11&lt;&gt;"WUA-IND-0.1","FUERA_PERFIL",IF(G11&lt;&gt;"INDIVIDUAL_INSTALAR","FUERA_PERFIL",IF(NOT(OR(H11="orcNotStarted",H11="orcInProgress",H11="orcSucceeded",H11="orcSucceededWithErrors",H11="orcFailed",H11="orcAborted")),"NO_ADMISION",IF(H11&lt;&gt;"orcSucceeded","FUERA_PERFIL",IF(OR(AND(I11="AUSENTE",J11=""),AND(I11="CONFLICTO",J11="true|false"),AND(I11="UNICA",OR(J11="true",J11="false"))),"VALIDA","NO_ADMISION")))))))))</x:f>
        <x:v>NO_ADMISION</x:v>
      </x:c>
      <x:c r="O11" s="12" t="str">
        <x:f>IF(N11&lt;&gt;"VALIDA","",IF(I11&lt;&gt;"UNICA","U",IF(J11="true","1","0")))</x:f>
      </x:c>
      <x:c r="P11" s="12" t="str">
        <x:f>IF(F11="FALLO","SIN_EJECUCION_DOMINIO",IF(F11&lt;&gt;"LEGIBLE","CAPTURA_MAL_FORMADA",IF(D11&lt;&gt;"COINCIDE","IDENTIDAD",IF(E11&lt;&gt;"ADMITIDA","PROCEDENCIA",IF(C11&lt;&gt;"WUA-IND-0.1","PERFIL_NO_CONSTITUIDO",IF(G11&lt;&gt;"INDIVIDUAL_INSTALAR","AMBITO_RESULTADO",IF(NOT(OR(H11="orcNotStarted",H11="orcInProgress",H11="orcSucceeded",H11="orcSucceededWithErrors",H11="orcFailed",H11="orcAborted")),"RESULTADO_DESCONOCIDO",IF(H11&lt;&gt;"orcSucceeded","RESULTADO_INSTALACION",IF(N11="NO_ADMISION",IF(I11="UNICA","LEXEMA_NO_BOOLEANO","OBSERVACION_MAL_FORMADA"),IF(I11="AUSENTE","DATO_AUSENTE",IF(I11="CONFLICTO","CONFLICTO_OBSERVACIONAL",IF(J11="true","REQUISITO_SI","REQUISITO_NO"))))))))))))</x:f>
        <x:v>PROCEDENCIA</x:v>
      </x:c>
      <x:c r="Q11" s="12" t="str">
        <x:f>IF(AND(K11=N11,L11=O11,M11=P11),"PASA","NO_PASA")</x:f>
        <x:v>PASA</x:v>
      </x:c>
      <x:c r="R11" s="4" t="str">
        <x:v>Una declaración no admitida no constituye un observable válido.</x:v>
      </x:c>
    </x:row>
    <x:row r="12" ht="47" customHeight="1">
      <x:c r="A12" s="4" t="str">
        <x:v>TA-08</x:v>
      </x:c>
      <x:c r="B12" s="4" t="str">
        <x:v>FRONTERA</x:v>
      </x:c>
      <x:c r="C12" s="4" t="str">
        <x:v>WUA-IND-0.1</x:v>
      </x:c>
      <x:c r="D12" s="4" t="str">
        <x:v>COINCIDE</x:v>
      </x:c>
      <x:c r="E12" s="4" t="str">
        <x:v>ADMITIDA</x:v>
      </x:c>
      <x:c r="F12" s="4" t="str">
        <x:v>FALLO</x:v>
      </x:c>
      <x:c r="G12" s="4" t="str">
        <x:v>INDIVIDUAL_INSTALAR</x:v>
      </x:c>
      <x:c r="H12" s="4" t="str">
        <x:v>orcSucceeded</x:v>
      </x:c>
      <x:c r="I12" s="4" t="str">
        <x:v>UNICA</x:v>
      </x:c>
      <x:c r="J12" s="4" t="str">
        <x:v>true</x:v>
      </x:c>
      <x:c r="K12" s="4" t="str">
        <x:v>FALLO_CAPTURA</x:v>
      </x:c>
      <x:c r="L12" s="4" t="str"/>
      <x:c r="M12" s="4" t="str">
        <x:v>SIN_EJECUCION_DOMINIO</x:v>
      </x:c>
      <x:c r="N12" s="12" t="str">
        <x:f>IF(F12="FALLO","FALLO_CAPTURA",IF(F12&lt;&gt;"LEGIBLE","NO_ADMISION",IF(D12&lt;&gt;"COINCIDE","NO_ADMISION",IF(E12&lt;&gt;"ADMITIDA","NO_ADMISION",IF(C12&lt;&gt;"WUA-IND-0.1","FUERA_PERFIL",IF(G12&lt;&gt;"INDIVIDUAL_INSTALAR","FUERA_PERFIL",IF(NOT(OR(H12="orcNotStarted",H12="orcInProgress",H12="orcSucceeded",H12="orcSucceededWithErrors",H12="orcFailed",H12="orcAborted")),"NO_ADMISION",IF(H12&lt;&gt;"orcSucceeded","FUERA_PERFIL",IF(OR(AND(I12="AUSENTE",J12=""),AND(I12="CONFLICTO",J12="true|false"),AND(I12="UNICA",OR(J12="true",J12="false"))),"VALIDA","NO_ADMISION")))))))))</x:f>
        <x:v>FALLO_CAPTURA</x:v>
      </x:c>
      <x:c r="O12" s="12" t="str">
        <x:f>IF(N12&lt;&gt;"VALIDA","",IF(I12&lt;&gt;"UNICA","U",IF(J12="true","1","0")))</x:f>
      </x:c>
      <x:c r="P12" s="12" t="str">
        <x:f>IF(F12="FALLO","SIN_EJECUCION_DOMINIO",IF(F12&lt;&gt;"LEGIBLE","CAPTURA_MAL_FORMADA",IF(D12&lt;&gt;"COINCIDE","IDENTIDAD",IF(E12&lt;&gt;"ADMITIDA","PROCEDENCIA",IF(C12&lt;&gt;"WUA-IND-0.1","PERFIL_NO_CONSTITUIDO",IF(G12&lt;&gt;"INDIVIDUAL_INSTALAR","AMBITO_RESULTADO",IF(NOT(OR(H12="orcNotStarted",H12="orcInProgress",H12="orcSucceeded",H12="orcSucceededWithErrors",H12="orcFailed",H12="orcAborted")),"RESULTADO_DESCONOCIDO",IF(H12&lt;&gt;"orcSucceeded","RESULTADO_INSTALACION",IF(N12="NO_ADMISION",IF(I12="UNICA","LEXEMA_NO_BOOLEANO","OBSERVACION_MAL_FORMADA"),IF(I12="AUSENTE","DATO_AUSENTE",IF(I12="CONFLICTO","CONFLICTO_OBSERVACIONAL",IF(J12="true","REQUISITO_SI","REQUISITO_NO"))))))))))))</x:f>
        <x:v>SIN_EJECUCION_DOMINIO</x:v>
      </x:c>
      <x:c r="Q12" s="12" t="str">
        <x:f>IF(AND(K12=N12,L12=O12,M12=P12),"PASA","NO_PASA")</x:f>
        <x:v>PASA</x:v>
      </x:c>
      <x:c r="R12" s="4" t="str">
        <x:v>Fallo de adquisición: sólo registro técnico, sin Tri.</x:v>
      </x:c>
    </x:row>
    <x:row r="13" ht="47" customHeight="1">
      <x:c r="A13" s="4" t="str">
        <x:v>TA-09</x:v>
      </x:c>
      <x:c r="B13" s="4" t="str">
        <x:v>FRONTERA</x:v>
      </x:c>
      <x:c r="C13" s="4" t="str">
        <x:v>WUA-IND-0.1</x:v>
      </x:c>
      <x:c r="D13" s="4" t="str">
        <x:v>COINCIDE</x:v>
      </x:c>
      <x:c r="E13" s="4" t="str">
        <x:v>ADMITIDA</x:v>
      </x:c>
      <x:c r="F13" s="4" t="str">
        <x:v>LEGIBLE</x:v>
      </x:c>
      <x:c r="G13" s="4" t="str">
        <x:v>LOTE</x:v>
      </x:c>
      <x:c r="H13" s="4" t="str">
        <x:v>orcSucceeded</x:v>
      </x:c>
      <x:c r="I13" s="4" t="str">
        <x:v>UNICA</x:v>
      </x:c>
      <x:c r="J13" s="4" t="str">
        <x:v>true</x:v>
      </x:c>
      <x:c r="K13" s="4" t="str">
        <x:v>FUERA_PERFIL</x:v>
      </x:c>
      <x:c r="L13" s="4" t="str"/>
      <x:c r="M13" s="4" t="str">
        <x:v>AMBITO_RESULTADO</x:v>
      </x:c>
      <x:c r="N13" s="12" t="str">
        <x:f>IF(F13="FALLO","FALLO_CAPTURA",IF(F13&lt;&gt;"LEGIBLE","NO_ADMISION",IF(D13&lt;&gt;"COINCIDE","NO_ADMISION",IF(E13&lt;&gt;"ADMITIDA","NO_ADMISION",IF(C13&lt;&gt;"WUA-IND-0.1","FUERA_PERFIL",IF(G13&lt;&gt;"INDIVIDUAL_INSTALAR","FUERA_PERFIL",IF(NOT(OR(H13="orcNotStarted",H13="orcInProgress",H13="orcSucceeded",H13="orcSucceededWithErrors",H13="orcFailed",H13="orcAborted")),"NO_ADMISION",IF(H13&lt;&gt;"orcSucceeded","FUERA_PERFIL",IF(OR(AND(I13="AUSENTE",J13=""),AND(I13="CONFLICTO",J13="true|false"),AND(I13="UNICA",OR(J13="true",J13="false"))),"VALIDA","NO_ADMISION")))))))))</x:f>
        <x:v>FUERA_PERFIL</x:v>
      </x:c>
      <x:c r="O13" s="12" t="str">
        <x:f>IF(N13&lt;&gt;"VALIDA","",IF(I13&lt;&gt;"UNICA","U",IF(J13="true","1","0")))</x:f>
      </x:c>
      <x:c r="P13" s="12" t="str">
        <x:f>IF(F13="FALLO","SIN_EJECUCION_DOMINIO",IF(F13&lt;&gt;"LEGIBLE","CAPTURA_MAL_FORMADA",IF(D13&lt;&gt;"COINCIDE","IDENTIDAD",IF(E13&lt;&gt;"ADMITIDA","PROCEDENCIA",IF(C13&lt;&gt;"WUA-IND-0.1","PERFIL_NO_CONSTITUIDO",IF(G13&lt;&gt;"INDIVIDUAL_INSTALAR","AMBITO_RESULTADO",IF(NOT(OR(H13="orcNotStarted",H13="orcInProgress",H13="orcSucceeded",H13="orcSucceededWithErrors",H13="orcFailed",H13="orcAborted")),"RESULTADO_DESCONOCIDO",IF(H13&lt;&gt;"orcSucceeded","RESULTADO_INSTALACION",IF(N13="NO_ADMISION",IF(I13="UNICA","LEXEMA_NO_BOOLEANO","OBSERVACION_MAL_FORMADA"),IF(I13="AUSENTE","DATO_AUSENTE",IF(I13="CONFLICTO","CONFLICTO_OBSERVACIONAL",IF(J13="true","REQUISITO_SI","REQUISITO_NO"))))))))))))</x:f>
        <x:v>AMBITO_RESULTADO</x:v>
      </x:c>
      <x:c r="Q13" s="12" t="str">
        <x:f>IF(AND(K13=N13,L13=O13,M13=P13),"PASA","NO_PASA")</x:f>
        <x:v>PASA</x:v>
      </x:c>
      <x:c r="R13" s="4" t="str">
        <x:v>El agregado no demuestra necesidad individual.</x:v>
      </x:c>
    </x:row>
    <x:row r="14" ht="47" customHeight="1">
      <x:c r="A14" s="4" t="str">
        <x:v>TA-10</x:v>
      </x:c>
      <x:c r="B14" s="4" t="str">
        <x:v>FRONTERA</x:v>
      </x:c>
      <x:c r="C14" s="4" t="str">
        <x:v>WUA-IND-0.1</x:v>
      </x:c>
      <x:c r="D14" s="4" t="str">
        <x:v>COINCIDE</x:v>
      </x:c>
      <x:c r="E14" s="4" t="str">
        <x:v>ADMITIDA</x:v>
      </x:c>
      <x:c r="F14" s="4" t="str">
        <x:v>LEGIBLE</x:v>
      </x:c>
      <x:c r="G14" s="4" t="str">
        <x:v>DESINSTALAR</x:v>
      </x:c>
      <x:c r="H14" s="4" t="str">
        <x:v>orcSucceeded</x:v>
      </x:c>
      <x:c r="I14" s="4" t="str">
        <x:v>UNICA</x:v>
      </x:c>
      <x:c r="J14" s="4" t="str">
        <x:v>true</x:v>
      </x:c>
      <x:c r="K14" s="4" t="str">
        <x:v>FUERA_PERFIL</x:v>
      </x:c>
      <x:c r="L14" s="4" t="str"/>
      <x:c r="M14" s="4" t="str">
        <x:v>AMBITO_RESULTADO</x:v>
      </x:c>
      <x:c r="N14" s="12" t="str">
        <x:f>IF(F14="FALLO","FALLO_CAPTURA",IF(F14&lt;&gt;"LEGIBLE","NO_ADMISION",IF(D14&lt;&gt;"COINCIDE","NO_ADMISION",IF(E14&lt;&gt;"ADMITIDA","NO_ADMISION",IF(C14&lt;&gt;"WUA-IND-0.1","FUERA_PERFIL",IF(G14&lt;&gt;"INDIVIDUAL_INSTALAR","FUERA_PERFIL",IF(NOT(OR(H14="orcNotStarted",H14="orcInProgress",H14="orcSucceeded",H14="orcSucceededWithErrors",H14="orcFailed",H14="orcAborted")),"NO_ADMISION",IF(H14&lt;&gt;"orcSucceeded","FUERA_PERFIL",IF(OR(AND(I14="AUSENTE",J14=""),AND(I14="CONFLICTO",J14="true|false"),AND(I14="UNICA",OR(J14="true",J14="false"))),"VALIDA","NO_ADMISION")))))))))</x:f>
        <x:v>FUERA_PERFIL</x:v>
      </x:c>
      <x:c r="O14" s="12" t="str">
        <x:f>IF(N14&lt;&gt;"VALIDA","",IF(I14&lt;&gt;"UNICA","U",IF(J14="true","1","0")))</x:f>
      </x:c>
      <x:c r="P14" s="12" t="str">
        <x:f>IF(F14="FALLO","SIN_EJECUCION_DOMINIO",IF(F14&lt;&gt;"LEGIBLE","CAPTURA_MAL_FORMADA",IF(D14&lt;&gt;"COINCIDE","IDENTIDAD",IF(E14&lt;&gt;"ADMITIDA","PROCEDENCIA",IF(C14&lt;&gt;"WUA-IND-0.1","PERFIL_NO_CONSTITUIDO",IF(G14&lt;&gt;"INDIVIDUAL_INSTALAR","AMBITO_RESULTADO",IF(NOT(OR(H14="orcNotStarted",H14="orcInProgress",H14="orcSucceeded",H14="orcSucceededWithErrors",H14="orcFailed",H14="orcAborted")),"RESULTADO_DESCONOCIDO",IF(H14&lt;&gt;"orcSucceeded","RESULTADO_INSTALACION",IF(N14="NO_ADMISION",IF(I14="UNICA","LEXEMA_NO_BOOLEANO","OBSERVACION_MAL_FORMADA"),IF(I14="AUSENTE","DATO_AUSENTE",IF(I14="CONFLICTO","CONFLICTO_OBSERVACIONAL",IF(J14="true","REQUISITO_SI","REQUISITO_NO"))))))))))))</x:f>
        <x:v>AMBITO_RESULTADO</x:v>
      </x:c>
      <x:c r="Q14" s="12" t="str">
        <x:f>IF(AND(K14=N14,L14=O14,M14=P14),"PASA","NO_PASA")</x:f>
        <x:v>PASA</x:v>
      </x:c>
      <x:c r="R14" s="4" t="str">
        <x:v>Desinstalación tiene otra identidad operacional.</x:v>
      </x:c>
    </x:row>
    <x:row r="15" ht="47" customHeight="1">
      <x:c r="A15" s="4" t="str">
        <x:v>TA-11</x:v>
      </x:c>
      <x:c r="B15" s="4" t="str">
        <x:v>FRONTERA</x:v>
      </x:c>
      <x:c r="C15" s="4" t="str">
        <x:v>WUA-IND-0.1</x:v>
      </x:c>
      <x:c r="D15" s="4" t="str">
        <x:v>COINCIDE</x:v>
      </x:c>
      <x:c r="E15" s="4" t="str">
        <x:v>ADMITIDA</x:v>
      </x:c>
      <x:c r="F15" s="4" t="str">
        <x:v>LEGIBLE</x:v>
      </x:c>
      <x:c r="G15" s="4" t="str">
        <x:v>INDIVIDUAL_INSTALAR</x:v>
      </x:c>
      <x:c r="H15" s="4" t="str">
        <x:v>orcFailed</x:v>
      </x:c>
      <x:c r="I15" s="4" t="str">
        <x:v>UNICA</x:v>
      </x:c>
      <x:c r="J15" s="4" t="str">
        <x:v>true</x:v>
      </x:c>
      <x:c r="K15" s="4" t="str">
        <x:v>FUERA_PERFIL</x:v>
      </x:c>
      <x:c r="L15" s="4" t="str"/>
      <x:c r="M15" s="4" t="str">
        <x:v>RESULTADO_INSTALACION</x:v>
      </x:c>
      <x:c r="N15" s="12" t="str">
        <x:f>IF(F15="FALLO","FALLO_CAPTURA",IF(F15&lt;&gt;"LEGIBLE","NO_ADMISION",IF(D15&lt;&gt;"COINCIDE","NO_ADMISION",IF(E15&lt;&gt;"ADMITIDA","NO_ADMISION",IF(C15&lt;&gt;"WUA-IND-0.1","FUERA_PERFIL",IF(G15&lt;&gt;"INDIVIDUAL_INSTALAR","FUERA_PERFIL",IF(NOT(OR(H15="orcNotStarted",H15="orcInProgress",H15="orcSucceeded",H15="orcSucceededWithErrors",H15="orcFailed",H15="orcAborted")),"NO_ADMISION",IF(H15&lt;&gt;"orcSucceeded","FUERA_PERFIL",IF(OR(AND(I15="AUSENTE",J15=""),AND(I15="CONFLICTO",J15="true|false"),AND(I15="UNICA",OR(J15="true",J15="false"))),"VALIDA","NO_ADMISION")))))))))</x:f>
        <x:v>FUERA_PERFIL</x:v>
      </x:c>
      <x:c r="O15" s="12" t="str">
        <x:f>IF(N15&lt;&gt;"VALIDA","",IF(I15&lt;&gt;"UNICA","U",IF(J15="true","1","0")))</x:f>
      </x:c>
      <x:c r="P15" s="12" t="str">
        <x:f>IF(F15="FALLO","SIN_EJECUCION_DOMINIO",IF(F15&lt;&gt;"LEGIBLE","CAPTURA_MAL_FORMADA",IF(D15&lt;&gt;"COINCIDE","IDENTIDAD",IF(E15&lt;&gt;"ADMITIDA","PROCEDENCIA",IF(C15&lt;&gt;"WUA-IND-0.1","PERFIL_NO_CONSTITUIDO",IF(G15&lt;&gt;"INDIVIDUAL_INSTALAR","AMBITO_RESULTADO",IF(NOT(OR(H15="orcNotStarted",H15="orcInProgress",H15="orcSucceeded",H15="orcSucceededWithErrors",H15="orcFailed",H15="orcAborted")),"RESULTADO_DESCONOCIDO",IF(H15&lt;&gt;"orcSucceeded","RESULTADO_INSTALACION",IF(N15="NO_ADMISION",IF(I15="UNICA","LEXEMA_NO_BOOLEANO","OBSERVACION_MAL_FORMADA"),IF(I15="AUSENTE","DATO_AUSENTE",IF(I15="CONFLICTO","CONFLICTO_OBSERVACIONAL",IF(J15="true","REQUISITO_SI","REQUISITO_NO"))))))))))))</x:f>
        <x:v>RESULTADO_INSTALACION</x:v>
      </x:c>
      <x:c r="Q15" s="12" t="str">
        <x:f>IF(AND(K15=N15,L15=O15,M15=P15),"PASA","NO_PASA")</x:f>
        <x:v>PASA</x:v>
      </x:c>
      <x:c r="R15" s="4" t="str">
        <x:v>Fallo observado de instalación ≠ fallo técnico del evaluador.</x:v>
      </x:c>
    </x:row>
    <x:row r="16" ht="47" customHeight="1">
      <x:c r="A16" s="4" t="str">
        <x:v>TA-12</x:v>
      </x:c>
      <x:c r="B16" s="4" t="str">
        <x:v>FRONTERA</x:v>
      </x:c>
      <x:c r="C16" s="4" t="str">
        <x:v>WUA-IND-0.1</x:v>
      </x:c>
      <x:c r="D16" s="4" t="str">
        <x:v>COINCIDE</x:v>
      </x:c>
      <x:c r="E16" s="4" t="str">
        <x:v>ADMITIDA</x:v>
      </x:c>
      <x:c r="F16" s="4" t="str">
        <x:v>LEGIBLE</x:v>
      </x:c>
      <x:c r="G16" s="4" t="str">
        <x:v>INDIVIDUAL_INSTALAR</x:v>
      </x:c>
      <x:c r="H16" s="4" t="str">
        <x:v>orcSucceededWithErrors</x:v>
      </x:c>
      <x:c r="I16" s="4" t="str">
        <x:v>UNICA</x:v>
      </x:c>
      <x:c r="J16" s="4" t="str">
        <x:v>true</x:v>
      </x:c>
      <x:c r="K16" s="4" t="str">
        <x:v>FUERA_PERFIL</x:v>
      </x:c>
      <x:c r="L16" s="4" t="str"/>
      <x:c r="M16" s="4" t="str">
        <x:v>RESULTADO_INSTALACION</x:v>
      </x:c>
      <x:c r="N16" s="12" t="str">
        <x:f>IF(F16="FALLO","FALLO_CAPTURA",IF(F16&lt;&gt;"LEGIBLE","NO_ADMISION",IF(D16&lt;&gt;"COINCIDE","NO_ADMISION",IF(E16&lt;&gt;"ADMITIDA","NO_ADMISION",IF(C16&lt;&gt;"WUA-IND-0.1","FUERA_PERFIL",IF(G16&lt;&gt;"INDIVIDUAL_INSTALAR","FUERA_PERFIL",IF(NOT(OR(H16="orcNotStarted",H16="orcInProgress",H16="orcSucceeded",H16="orcSucceededWithErrors",H16="orcFailed",H16="orcAborted")),"NO_ADMISION",IF(H16&lt;&gt;"orcSucceeded","FUERA_PERFIL",IF(OR(AND(I16="AUSENTE",J16=""),AND(I16="CONFLICTO",J16="true|false"),AND(I16="UNICA",OR(J16="true",J16="false"))),"VALIDA","NO_ADMISION")))))))))</x:f>
        <x:v>FUERA_PERFIL</x:v>
      </x:c>
      <x:c r="O16" s="12" t="str">
        <x:f>IF(N16&lt;&gt;"VALIDA","",IF(I16&lt;&gt;"UNICA","U",IF(J16="true","1","0")))</x:f>
      </x:c>
      <x:c r="P16" s="12" t="str">
        <x:f>IF(F16="FALLO","SIN_EJECUCION_DOMINIO",IF(F16&lt;&gt;"LEGIBLE","CAPTURA_MAL_FORMADA",IF(D16&lt;&gt;"COINCIDE","IDENTIDAD",IF(E16&lt;&gt;"ADMITIDA","PROCEDENCIA",IF(C16&lt;&gt;"WUA-IND-0.1","PERFIL_NO_CONSTITUIDO",IF(G16&lt;&gt;"INDIVIDUAL_INSTALAR","AMBITO_RESULTADO",IF(NOT(OR(H16="orcNotStarted",H16="orcInProgress",H16="orcSucceeded",H16="orcSucceededWithErrors",H16="orcFailed",H16="orcAborted")),"RESULTADO_DESCONOCIDO",IF(H16&lt;&gt;"orcSucceeded","RESULTADO_INSTALACION",IF(N16="NO_ADMISION",IF(I16="UNICA","LEXEMA_NO_BOOLEANO","OBSERVACION_MAL_FORMADA"),IF(I16="AUSENTE","DATO_AUSENTE",IF(I16="CONFLICTO","CONFLICTO_OBSERVACIONAL",IF(J16="true","REQUISITO_SI","REQUISITO_NO"))))))))))))</x:f>
        <x:v>RESULTADO_INSTALACION</x:v>
      </x:c>
      <x:c r="Q16" s="12" t="str">
        <x:f>IF(AND(K16=N16,L16=O16,M16=P16),"PASA","NO_PASA")</x:f>
        <x:v>PASA</x:v>
      </x:c>
      <x:c r="R16" s="4" t="str">
        <x:v>No equiparar éxito parcial con el perfil exacto.</x:v>
      </x:c>
    </x:row>
    <x:row r="17" ht="47" customHeight="1">
      <x:c r="A17" s="4" t="str">
        <x:v>TA-13</x:v>
      </x:c>
      <x:c r="B17" s="4" t="str">
        <x:v>FRONTERA</x:v>
      </x:c>
      <x:c r="C17" s="4" t="str">
        <x:v>WUA-IND-0.1</x:v>
      </x:c>
      <x:c r="D17" s="4" t="str">
        <x:v>COINCIDE</x:v>
      </x:c>
      <x:c r="E17" s="4" t="str">
        <x:v>ADMITIDA</x:v>
      </x:c>
      <x:c r="F17" s="4" t="str">
        <x:v>LEGIBLE</x:v>
      </x:c>
      <x:c r="G17" s="4" t="str">
        <x:v>INDIVIDUAL_INSTALAR</x:v>
      </x:c>
      <x:c r="H17" s="4" t="str">
        <x:v>orcInProgress</x:v>
      </x:c>
      <x:c r="I17" s="4" t="str">
        <x:v>UNICA</x:v>
      </x:c>
      <x:c r="J17" s="4" t="str">
        <x:v>true</x:v>
      </x:c>
      <x:c r="K17" s="4" t="str">
        <x:v>FUERA_PERFIL</x:v>
      </x:c>
      <x:c r="L17" s="4" t="str"/>
      <x:c r="M17" s="4" t="str">
        <x:v>RESULTADO_INSTALACION</x:v>
      </x:c>
      <x:c r="N17" s="12" t="str">
        <x:f>IF(F17="FALLO","FALLO_CAPTURA",IF(F17&lt;&gt;"LEGIBLE","NO_ADMISION",IF(D17&lt;&gt;"COINCIDE","NO_ADMISION",IF(E17&lt;&gt;"ADMITIDA","NO_ADMISION",IF(C17&lt;&gt;"WUA-IND-0.1","FUERA_PERFIL",IF(G17&lt;&gt;"INDIVIDUAL_INSTALAR","FUERA_PERFIL",IF(NOT(OR(H17="orcNotStarted",H17="orcInProgress",H17="orcSucceeded",H17="orcSucceededWithErrors",H17="orcFailed",H17="orcAborted")),"NO_ADMISION",IF(H17&lt;&gt;"orcSucceeded","FUERA_PERFIL",IF(OR(AND(I17="AUSENTE",J17=""),AND(I17="CONFLICTO",J17="true|false"),AND(I17="UNICA",OR(J17="true",J17="false"))),"VALIDA","NO_ADMISION")))))))))</x:f>
        <x:v>FUERA_PERFIL</x:v>
      </x:c>
      <x:c r="O17" s="12" t="str">
        <x:f>IF(N17&lt;&gt;"VALIDA","",IF(I17&lt;&gt;"UNICA","U",IF(J17="true","1","0")))</x:f>
      </x:c>
      <x:c r="P17" s="12" t="str">
        <x:f>IF(F17="FALLO","SIN_EJECUCION_DOMINIO",IF(F17&lt;&gt;"LEGIBLE","CAPTURA_MAL_FORMADA",IF(D17&lt;&gt;"COINCIDE","IDENTIDAD",IF(E17&lt;&gt;"ADMITIDA","PROCEDENCIA",IF(C17&lt;&gt;"WUA-IND-0.1","PERFIL_NO_CONSTITUIDO",IF(G17&lt;&gt;"INDIVIDUAL_INSTALAR","AMBITO_RESULTADO",IF(NOT(OR(H17="orcNotStarted",H17="orcInProgress",H17="orcSucceeded",H17="orcSucceededWithErrors",H17="orcFailed",H17="orcAborted")),"RESULTADO_DESCONOCIDO",IF(H17&lt;&gt;"orcSucceeded","RESULTADO_INSTALACION",IF(N17="NO_ADMISION",IF(I17="UNICA","LEXEMA_NO_BOOLEANO","OBSERVACION_MAL_FORMADA"),IF(I17="AUSENTE","DATO_AUSENTE",IF(I17="CONFLICTO","CONFLICTO_OBSERVACIONAL",IF(J17="true","REQUISITO_SI","REQUISITO_NO"))))))))))))</x:f>
        <x:v>RESULTADO_INSTALACION</x:v>
      </x:c>
      <x:c r="Q17" s="12" t="str">
        <x:f>IF(AND(K17=N17,L17=O17,M17=P17),"PASA","NO_PASA")</x:f>
        <x:v>PASA</x:v>
      </x:c>
      <x:c r="R17" s="4" t="str">
        <x:v>No usar un resultado aún no terminal.</x:v>
      </x:c>
    </x:row>
    <x:row r="18" ht="47" customHeight="1">
      <x:c r="A18" s="4" t="str">
        <x:v>TA-14</x:v>
      </x:c>
      <x:c r="B18" s="4" t="str">
        <x:v>TIPO</x:v>
      </x:c>
      <x:c r="C18" s="4" t="str">
        <x:v>WUA-IND-0.1</x:v>
      </x:c>
      <x:c r="D18" s="4" t="str">
        <x:v>COINCIDE</x:v>
      </x:c>
      <x:c r="E18" s="4" t="str">
        <x:v>ADMITIDA</x:v>
      </x:c>
      <x:c r="F18" s="4" t="str">
        <x:v>LEGIBLE</x:v>
      </x:c>
      <x:c r="G18" s="4" t="str">
        <x:v>INDIVIDUAL_INSTALAR</x:v>
      </x:c>
      <x:c r="H18" s="4" t="str">
        <x:v>orcSucceeded</x:v>
      </x:c>
      <x:c r="I18" s="4" t="str">
        <x:v>UNICA</x:v>
      </x:c>
      <x:c r="J18" s="4" t="str">
        <x:v>1</x:v>
      </x:c>
      <x:c r="K18" s="4" t="str">
        <x:v>NO_ADMISION</x:v>
      </x:c>
      <x:c r="L18" s="4" t="str"/>
      <x:c r="M18" s="4" t="str">
        <x:v>LEXEMA_NO_BOOLEANO</x:v>
      </x:c>
      <x:c r="N18" s="12" t="str">
        <x:f>IF(F18="FALLO","FALLO_CAPTURA",IF(F18&lt;&gt;"LEGIBLE","NO_ADMISION",IF(D18&lt;&gt;"COINCIDE","NO_ADMISION",IF(E18&lt;&gt;"ADMITIDA","NO_ADMISION",IF(C18&lt;&gt;"WUA-IND-0.1","FUERA_PERFIL",IF(G18&lt;&gt;"INDIVIDUAL_INSTALAR","FUERA_PERFIL",IF(NOT(OR(H18="orcNotStarted",H18="orcInProgress",H18="orcSucceeded",H18="orcSucceededWithErrors",H18="orcFailed",H18="orcAborted")),"NO_ADMISION",IF(H18&lt;&gt;"orcSucceeded","FUERA_PERFIL",IF(OR(AND(I18="AUSENTE",J18=""),AND(I18="CONFLICTO",J18="true|false"),AND(I18="UNICA",OR(J18="true",J18="false"))),"VALIDA","NO_ADMISION")))))))))</x:f>
        <x:v>NO_ADMISION</x:v>
      </x:c>
      <x:c r="O18" s="12" t="str">
        <x:f>IF(N18&lt;&gt;"VALIDA","",IF(I18&lt;&gt;"UNICA","U",IF(J18="true","1","0")))</x:f>
      </x:c>
      <x:c r="P18" s="12" t="str">
        <x:f>IF(F18="FALLO","SIN_EJECUCION_DOMINIO",IF(F18&lt;&gt;"LEGIBLE","CAPTURA_MAL_FORMADA",IF(D18&lt;&gt;"COINCIDE","IDENTIDAD",IF(E18&lt;&gt;"ADMITIDA","PROCEDENCIA",IF(C18&lt;&gt;"WUA-IND-0.1","PERFIL_NO_CONSTITUIDO",IF(G18&lt;&gt;"INDIVIDUAL_INSTALAR","AMBITO_RESULTADO",IF(NOT(OR(H18="orcNotStarted",H18="orcInProgress",H18="orcSucceeded",H18="orcSucceededWithErrors",H18="orcFailed",H18="orcAborted")),"RESULTADO_DESCONOCIDO",IF(H18&lt;&gt;"orcSucceeded","RESULTADO_INSTALACION",IF(N18="NO_ADMISION",IF(I18="UNICA","LEXEMA_NO_BOOLEANO","OBSERVACION_MAL_FORMADA"),IF(I18="AUSENTE","DATO_AUSENTE",IF(I18="CONFLICTO","CONFLICTO_OBSERVACIONAL",IF(J18="true","REQUISITO_SI","REQUISITO_NO"))))))))))))</x:f>
        <x:v>LEXEMA_NO_BOOLEANO</x:v>
      </x:c>
      <x:c r="Q18" s="12" t="str">
        <x:f>IF(AND(K18=N18,L18=O18,M18=P18),"PASA","NO_PASA")</x:f>
        <x:v>PASA</x:v>
      </x:c>
      <x:c r="R18" s="4" t="str">
        <x:v>No convertir un entero en booleano implícitamente.</x:v>
      </x:c>
    </x:row>
    <x:row r="19" ht="47" customHeight="1">
      <x:c r="A19" s="4" t="str">
        <x:v>TA-15</x:v>
      </x:c>
      <x:c r="B19" s="4" t="str">
        <x:v>TIPO</x:v>
      </x:c>
      <x:c r="C19" s="4" t="str">
        <x:v>WUA-IND-0.1</x:v>
      </x:c>
      <x:c r="D19" s="4" t="str">
        <x:v>COINCIDE</x:v>
      </x:c>
      <x:c r="E19" s="4" t="str">
        <x:v>ADMITIDA</x:v>
      </x:c>
      <x:c r="F19" s="4" t="str">
        <x:v>LEGIBLE</x:v>
      </x:c>
      <x:c r="G19" s="4" t="str">
        <x:v>INDIVIDUAL_INSTALAR</x:v>
      </x:c>
      <x:c r="H19" s="4" t="str">
        <x:v>orcSucceeded</x:v>
      </x:c>
      <x:c r="I19" s="4" t="str">
        <x:v>UNICA</x:v>
      </x:c>
      <x:c r="J19" s="4" t="str">
        <x:v>"false"</x:v>
      </x:c>
      <x:c r="K19" s="4" t="str">
        <x:v>NO_ADMISION</x:v>
      </x:c>
      <x:c r="L19" s="4" t="str"/>
      <x:c r="M19" s="4" t="str">
        <x:v>LEXEMA_NO_BOOLEANO</x:v>
      </x:c>
      <x:c r="N19" s="12" t="str">
        <x:f>IF(F19="FALLO","FALLO_CAPTURA",IF(F19&lt;&gt;"LEGIBLE","NO_ADMISION",IF(D19&lt;&gt;"COINCIDE","NO_ADMISION",IF(E19&lt;&gt;"ADMITIDA","NO_ADMISION",IF(C19&lt;&gt;"WUA-IND-0.1","FUERA_PERFIL",IF(G19&lt;&gt;"INDIVIDUAL_INSTALAR","FUERA_PERFIL",IF(NOT(OR(H19="orcNotStarted",H19="orcInProgress",H19="orcSucceeded",H19="orcSucceededWithErrors",H19="orcFailed",H19="orcAborted")),"NO_ADMISION",IF(H19&lt;&gt;"orcSucceeded","FUERA_PERFIL",IF(OR(AND(I19="AUSENTE",J19=""),AND(I19="CONFLICTO",J19="true|false"),AND(I19="UNICA",OR(J19="true",J19="false"))),"VALIDA","NO_ADMISION")))))))))</x:f>
        <x:v>NO_ADMISION</x:v>
      </x:c>
      <x:c r="O19" s="12" t="str">
        <x:f>IF(N19&lt;&gt;"VALIDA","",IF(I19&lt;&gt;"UNICA","U",IF(J19="true","1","0")))</x:f>
      </x:c>
      <x:c r="P19" s="12" t="str">
        <x:f>IF(F19="FALLO","SIN_EJECUCION_DOMINIO",IF(F19&lt;&gt;"LEGIBLE","CAPTURA_MAL_FORMADA",IF(D19&lt;&gt;"COINCIDE","IDENTIDAD",IF(E19&lt;&gt;"ADMITIDA","PROCEDENCIA",IF(C19&lt;&gt;"WUA-IND-0.1","PERFIL_NO_CONSTITUIDO",IF(G19&lt;&gt;"INDIVIDUAL_INSTALAR","AMBITO_RESULTADO",IF(NOT(OR(H19="orcNotStarted",H19="orcInProgress",H19="orcSucceeded",H19="orcSucceededWithErrors",H19="orcFailed",H19="orcAborted")),"RESULTADO_DESCONOCIDO",IF(H19&lt;&gt;"orcSucceeded","RESULTADO_INSTALACION",IF(N19="NO_ADMISION",IF(I19="UNICA","LEXEMA_NO_BOOLEANO","OBSERVACION_MAL_FORMADA"),IF(I19="AUSENTE","DATO_AUSENTE",IF(I19="CONFLICTO","CONFLICTO_OBSERVACIONAL",IF(J19="true","REQUISITO_SI","REQUISITO_NO"))))))))))))</x:f>
        <x:v>LEXEMA_NO_BOOLEANO</x:v>
      </x:c>
      <x:c r="Q19" s="12" t="str">
        <x:f>IF(AND(K19=N19,L19=O19,M19=P19),"PASA","NO_PASA")</x:f>
        <x:v>PASA</x:v>
      </x:c>
      <x:c r="R19" s="4" t="str">
        <x:v>La cadena no es el lexema booleano false.</x:v>
      </x:c>
    </x:row>
    <x:row r="20" ht="47" customHeight="1">
      <x:c r="A20" s="4" t="str">
        <x:v>TA-16</x:v>
      </x:c>
      <x:c r="B20" s="4" t="str">
        <x:v>TIPO</x:v>
      </x:c>
      <x:c r="C20" s="4" t="str">
        <x:v>WUA-IND-0.1</x:v>
      </x:c>
      <x:c r="D20" s="4" t="str">
        <x:v>COINCIDE</x:v>
      </x:c>
      <x:c r="E20" s="4" t="str">
        <x:v>ADMITIDA</x:v>
      </x:c>
      <x:c r="F20" s="4" t="str">
        <x:v>LEGIBLE</x:v>
      </x:c>
      <x:c r="G20" s="4" t="str">
        <x:v>INDIVIDUAL_INSTALAR</x:v>
      </x:c>
      <x:c r="H20" s="4" t="str">
        <x:v>orcSucceeded</x:v>
      </x:c>
      <x:c r="I20" s="4" t="str">
        <x:v>UNICA</x:v>
      </x:c>
      <x:c r="J20" s="4" t="str">
        <x:v>irbCanRequestReboot</x:v>
      </x:c>
      <x:c r="K20" s="4" t="str">
        <x:v>NO_ADMISION</x:v>
      </x:c>
      <x:c r="L20" s="4" t="str"/>
      <x:c r="M20" s="4" t="str">
        <x:v>LEXEMA_NO_BOOLEANO</x:v>
      </x:c>
      <x:c r="N20" s="12" t="str">
        <x:f>IF(F20="FALLO","FALLO_CAPTURA",IF(F20&lt;&gt;"LEGIBLE","NO_ADMISION",IF(D20&lt;&gt;"COINCIDE","NO_ADMISION",IF(E20&lt;&gt;"ADMITIDA","NO_ADMISION",IF(C20&lt;&gt;"WUA-IND-0.1","FUERA_PERFIL",IF(G20&lt;&gt;"INDIVIDUAL_INSTALAR","FUERA_PERFIL",IF(NOT(OR(H20="orcNotStarted",H20="orcInProgress",H20="orcSucceeded",H20="orcSucceededWithErrors",H20="orcFailed",H20="orcAborted")),"NO_ADMISION",IF(H20&lt;&gt;"orcSucceeded","FUERA_PERFIL",IF(OR(AND(I20="AUSENTE",J20=""),AND(I20="CONFLICTO",J20="true|false"),AND(I20="UNICA",OR(J20="true",J20="false"))),"VALIDA","NO_ADMISION")))))))))</x:f>
        <x:v>NO_ADMISION</x:v>
      </x:c>
      <x:c r="O20" s="12" t="str">
        <x:f>IF(N20&lt;&gt;"VALIDA","",IF(I20&lt;&gt;"UNICA","U",IF(J20="true","1","0")))</x:f>
      </x:c>
      <x:c r="P20" s="12" t="str">
        <x:f>IF(F20="FALLO","SIN_EJECUCION_DOMINIO",IF(F20&lt;&gt;"LEGIBLE","CAPTURA_MAL_FORMADA",IF(D20&lt;&gt;"COINCIDE","IDENTIDAD",IF(E20&lt;&gt;"ADMITIDA","PROCEDENCIA",IF(C20&lt;&gt;"WUA-IND-0.1","PERFIL_NO_CONSTITUIDO",IF(G20&lt;&gt;"INDIVIDUAL_INSTALAR","AMBITO_RESULTADO",IF(NOT(OR(H20="orcNotStarted",H20="orcInProgress",H20="orcSucceeded",H20="orcSucceededWithErrors",H20="orcFailed",H20="orcAborted")),"RESULTADO_DESCONOCIDO",IF(H20&lt;&gt;"orcSucceeded","RESULTADO_INSTALACION",IF(N20="NO_ADMISION",IF(I20="UNICA","LEXEMA_NO_BOOLEANO","OBSERVACION_MAL_FORMADA"),IF(I20="AUSENTE","DATO_AUSENTE",IF(I20="CONFLICTO","CONFLICTO_OBSERVACIONAL",IF(J20="true","REQUISITO_SI","REQUISITO_NO"))))))))))))</x:f>
        <x:v>LEXEMA_NO_BOOLEANO</x:v>
      </x:c>
      <x:c r="Q20" s="12" t="str">
        <x:f>IF(AND(K20=N20,L20=O20,M20=P20),"PASA","NO_PASA")</x:f>
        <x:v>PASA</x:v>
      </x:c>
      <x:c r="R20" s="4" t="str">
        <x:v>Una predicción del paquete no es el resultado de esa instalación.</x:v>
      </x:c>
    </x:row>
    <x:row r="21" ht="47" customHeight="1">
      <x:c r="A21" s="4" t="str">
        <x:v>TA-17</x:v>
      </x:c>
      <x:c r="B21" s="4" t="str">
        <x:v>TIPO</x:v>
      </x:c>
      <x:c r="C21" s="4" t="str">
        <x:v>WUA-IND-0.1</x:v>
      </x:c>
      <x:c r="D21" s="4" t="str">
        <x:v>COINCIDE</x:v>
      </x:c>
      <x:c r="E21" s="4" t="str">
        <x:v>ADMITIDA</x:v>
      </x:c>
      <x:c r="F21" s="4" t="str">
        <x:v>LEGIBLE</x:v>
      </x:c>
      <x:c r="G21" s="4" t="str">
        <x:v>INDIVIDUAL_INSTALAR</x:v>
      </x:c>
      <x:c r="H21" s="4" t="str">
        <x:v>orcSucceeded</x:v>
      </x:c>
      <x:c r="I21" s="4" t="str">
        <x:v>UNICA</x:v>
      </x:c>
      <x:c r="J21" s="4" t="str"/>
      <x:c r="K21" s="4" t="str">
        <x:v>NO_ADMISION</x:v>
      </x:c>
      <x:c r="L21" s="4" t="str"/>
      <x:c r="M21" s="4" t="str">
        <x:v>LEXEMA_NO_BOOLEANO</x:v>
      </x:c>
      <x:c r="N21" s="12" t="str">
        <x:f>IF(F21="FALLO","FALLO_CAPTURA",IF(F21&lt;&gt;"LEGIBLE","NO_ADMISION",IF(D21&lt;&gt;"COINCIDE","NO_ADMISION",IF(E21&lt;&gt;"ADMITIDA","NO_ADMISION",IF(C21&lt;&gt;"WUA-IND-0.1","FUERA_PERFIL",IF(G21&lt;&gt;"INDIVIDUAL_INSTALAR","FUERA_PERFIL",IF(NOT(OR(H21="orcNotStarted",H21="orcInProgress",H21="orcSucceeded",H21="orcSucceededWithErrors",H21="orcFailed",H21="orcAborted")),"NO_ADMISION",IF(H21&lt;&gt;"orcSucceeded","FUERA_PERFIL",IF(OR(AND(I21="AUSENTE",J21=""),AND(I21="CONFLICTO",J21="true|false"),AND(I21="UNICA",OR(J21="true",J21="false"))),"VALIDA","NO_ADMISION")))))))))</x:f>
        <x:v>NO_ADMISION</x:v>
      </x:c>
      <x:c r="O21" s="12" t="str">
        <x:f>IF(N21&lt;&gt;"VALIDA","",IF(I21&lt;&gt;"UNICA","U",IF(J21="true","1","0")))</x:f>
      </x:c>
      <x:c r="P21" s="12" t="str">
        <x:f>IF(F21="FALLO","SIN_EJECUCION_DOMINIO",IF(F21&lt;&gt;"LEGIBLE","CAPTURA_MAL_FORMADA",IF(D21&lt;&gt;"COINCIDE","IDENTIDAD",IF(E21&lt;&gt;"ADMITIDA","PROCEDENCIA",IF(C21&lt;&gt;"WUA-IND-0.1","PERFIL_NO_CONSTITUIDO",IF(G21&lt;&gt;"INDIVIDUAL_INSTALAR","AMBITO_RESULTADO",IF(NOT(OR(H21="orcNotStarted",H21="orcInProgress",H21="orcSucceeded",H21="orcSucceededWithErrors",H21="orcFailed",H21="orcAborted")),"RESULTADO_DESCONOCIDO",IF(H21&lt;&gt;"orcSucceeded","RESULTADO_INSTALACION",IF(N21="NO_ADMISION",IF(I21="UNICA","LEXEMA_NO_BOOLEANO","OBSERVACION_MAL_FORMADA"),IF(I21="AUSENTE","DATO_AUSENTE",IF(I21="CONFLICTO","CONFLICTO_OBSERVACIONAL",IF(J21="true","REQUISITO_SI","REQUISITO_NO"))))))))))))</x:f>
        <x:v>LEXEMA_NO_BOOLEANO</x:v>
      </x:c>
      <x:c r="Q21" s="12" t="str">
        <x:f>IF(AND(K21=N21,L21=O21,M21=P21),"PASA","NO_PASA")</x:f>
        <x:v>PASA</x:v>
      </x:c>
      <x:c r="R21" s="4" t="str">
        <x:v>Celda vacía sin ausencia declarada es entrada mal formada.</x:v>
      </x:c>
    </x:row>
    <x:row r="22" ht="47" customHeight="1">
      <x:c r="A22" s="4" t="str">
        <x:v>TA-18</x:v>
      </x:c>
      <x:c r="B22" s="4" t="str">
        <x:v>SEMANTICA</x:v>
      </x:c>
      <x:c r="C22" s="4" t="str">
        <x:v>WUA-IND-0.1</x:v>
      </x:c>
      <x:c r="D22" s="4" t="str">
        <x:v>COINCIDE</x:v>
      </x:c>
      <x:c r="E22" s="4" t="str">
        <x:v>ADMITIDA</x:v>
      </x:c>
      <x:c r="F22" s="4" t="str">
        <x:v>LEGIBLE</x:v>
      </x:c>
      <x:c r="G22" s="4" t="str">
        <x:v>INDIVIDUAL_INSTALAR</x:v>
      </x:c>
      <x:c r="H22" s="4" t="str">
        <x:v>orcSucceeded</x:v>
      </x:c>
      <x:c r="I22" s="4" t="str">
        <x:v>UNICA</x:v>
      </x:c>
      <x:c r="J22" s="4" t="str">
        <x:v>false</x:v>
      </x:c>
      <x:c r="K22" s="4" t="str">
        <x:v>VALIDA</x:v>
      </x:c>
      <x:c r="L22" s="4" t="str">
        <x:v>0</x:v>
      </x:c>
      <x:c r="M22" s="4" t="str">
        <x:v>REQUISITO_NO</x:v>
      </x:c>
      <x:c r="N22" s="12" t="str">
        <x:f>IF(F22="FALLO","FALLO_CAPTURA",IF(F22&lt;&gt;"LEGIBLE","NO_ADMISION",IF(D22&lt;&gt;"COINCIDE","NO_ADMISION",IF(E22&lt;&gt;"ADMITIDA","NO_ADMISION",IF(C22&lt;&gt;"WUA-IND-0.1","FUERA_PERFIL",IF(G22&lt;&gt;"INDIVIDUAL_INSTALAR","FUERA_PERFIL",IF(NOT(OR(H22="orcNotStarted",H22="orcInProgress",H22="orcSucceeded",H22="orcSucceededWithErrors",H22="orcFailed",H22="orcAborted")),"NO_ADMISION",IF(H22&lt;&gt;"orcSucceeded","FUERA_PERFIL",IF(OR(AND(I22="AUSENTE",J22=""),AND(I22="CONFLICTO",J22="true|false"),AND(I22="UNICA",OR(J22="true",J22="false"))),"VALIDA","NO_ADMISION")))))))))</x:f>
        <x:v>VALIDA</x:v>
      </x:c>
      <x:c r="O22" s="12" t="str">
        <x:f>IF(N22&lt;&gt;"VALIDA","",IF(I22&lt;&gt;"UNICA","U",IF(J22="true","1","0")))</x:f>
        <x:v>0</x:v>
      </x:c>
      <x:c r="P22" s="12" t="str">
        <x:f>IF(F22="FALLO","SIN_EJECUCION_DOMINIO",IF(F22&lt;&gt;"LEGIBLE","CAPTURA_MAL_FORMADA",IF(D22&lt;&gt;"COINCIDE","IDENTIDAD",IF(E22&lt;&gt;"ADMITIDA","PROCEDENCIA",IF(C22&lt;&gt;"WUA-IND-0.1","PERFIL_NO_CONSTITUIDO",IF(G22&lt;&gt;"INDIVIDUAL_INSTALAR","AMBITO_RESULTADO",IF(NOT(OR(H22="orcNotStarted",H22="orcInProgress",H22="orcSucceeded",H22="orcSucceededWithErrors",H22="orcFailed",H22="orcAborted")),"RESULTADO_DESCONOCIDO",IF(H22&lt;&gt;"orcSucceeded","RESULTADO_INSTALACION",IF(N22="NO_ADMISION",IF(I22="UNICA","LEXEMA_NO_BOOLEANO","OBSERVACION_MAL_FORMADA"),IF(I22="AUSENTE","DATO_AUSENTE",IF(I22="CONFLICTO","CONFLICTO_OBSERVACIONAL",IF(J22="true","REQUISITO_SI","REQUISITO_NO"))))))))))))</x:f>
        <x:v>REQUISITO_NO</x:v>
      </x:c>
      <x:c r="Q22" s="12" t="str">
        <x:f>IF(AND(K22=N22,L22=O22,M22=P22),"PASA","NO_PASA")</x:f>
        <x:v>PASA</x:v>
      </x:c>
      <x:c r="R22" s="4" t="str">
        <x:v>0 sólo resuelve el reinicio del sistema; no las demás condiciones.</x:v>
      </x:c>
    </x:row>
    <x:row r="23" ht="47" customHeight="1">
      <x:c r="A23" s="4" t="str">
        <x:v>TI-01</x:v>
      </x:c>
      <x:c r="B23" s="4" t="str">
        <x:v>TIEMPO</x:v>
      </x:c>
      <x:c r="C23" s="4" t="str">
        <x:v>WUA-IND-0.1</x:v>
      </x:c>
      <x:c r="D23" s="4" t="str">
        <x:v>COINCIDE</x:v>
      </x:c>
      <x:c r="E23" s="4" t="str">
        <x:v>ADMITIDA</x:v>
      </x:c>
      <x:c r="F23" s="4" t="str">
        <x:v>LEGIBLE</x:v>
      </x:c>
      <x:c r="G23" s="4" t="str">
        <x:v>INDIVIDUAL_INSTALAR</x:v>
      </x:c>
      <x:c r="H23" s="4" t="str">
        <x:v>orcSucceeded</x:v>
      </x:c>
      <x:c r="I23" s="4" t="str">
        <x:v>UNICA</x:v>
      </x:c>
      <x:c r="J23" s="4" t="str">
        <x:v>true</x:v>
      </x:c>
      <x:c r="K23" s="4" t="str">
        <x:v>VALIDA</x:v>
      </x:c>
      <x:c r="L23" s="4" t="str">
        <x:v>1</x:v>
      </x:c>
      <x:c r="M23" s="4" t="str">
        <x:v>REQUISITO_SI</x:v>
      </x:c>
      <x:c r="N23" s="12" t="str">
        <x:f>IF(F23="FALLO","FALLO_CAPTURA",IF(F23&lt;&gt;"LEGIBLE","NO_ADMISION",IF(D23&lt;&gt;"COINCIDE","NO_ADMISION",IF(E23&lt;&gt;"ADMITIDA","NO_ADMISION",IF(C23&lt;&gt;"WUA-IND-0.1","FUERA_PERFIL",IF(G23&lt;&gt;"INDIVIDUAL_INSTALAR","FUERA_PERFIL",IF(NOT(OR(H23="orcNotStarted",H23="orcInProgress",H23="orcSucceeded",H23="orcSucceededWithErrors",H23="orcFailed",H23="orcAborted")),"NO_ADMISION",IF(H23&lt;&gt;"orcSucceeded","FUERA_PERFIL",IF(OR(AND(I23="AUSENTE",J23=""),AND(I23="CONFLICTO",J23="true|false"),AND(I23="UNICA",OR(J23="true",J23="false"))),"VALIDA","NO_ADMISION")))))))))</x:f>
        <x:v>VALIDA</x:v>
      </x:c>
      <x:c r="O23" s="12" t="str">
        <x:f>IF(N23&lt;&gt;"VALIDA","",IF(I23&lt;&gt;"UNICA","U",IF(J23="true","1","0")))</x:f>
        <x:v>1</x:v>
      </x:c>
      <x:c r="P23" s="12" t="str">
        <x:f>IF(F23="FALLO","SIN_EJECUCION_DOMINIO",IF(F23&lt;&gt;"LEGIBLE","CAPTURA_MAL_FORMADA",IF(D23&lt;&gt;"COINCIDE","IDENTIDAD",IF(E23&lt;&gt;"ADMITIDA","PROCEDENCIA",IF(C23&lt;&gt;"WUA-IND-0.1","PERFIL_NO_CONSTITUIDO",IF(G23&lt;&gt;"INDIVIDUAL_INSTALAR","AMBITO_RESULTADO",IF(NOT(OR(H23="orcNotStarted",H23="orcInProgress",H23="orcSucceeded",H23="orcSucceededWithErrors",H23="orcFailed",H23="orcAborted")),"RESULTADO_DESCONOCIDO",IF(H23&lt;&gt;"orcSucceeded","RESULTADO_INSTALACION",IF(N23="NO_ADMISION",IF(I23="UNICA","LEXEMA_NO_BOOLEANO","OBSERVACION_MAL_FORMADA"),IF(I23="AUSENTE","DATO_AUSENTE",IF(I23="CONFLICTO","CONFLICTO_OBSERVACIONAL",IF(J23="true","REQUISITO_SI","REQUISITO_NO"))))))))))))</x:f>
        <x:v>REQUISITO_SI</x:v>
      </x:c>
      <x:c r="Q23" s="12" t="str">
        <x:f>IF(AND(K23=N23,L23=O23,M23=P23),"PASA","NO_PASA")</x:f>
        <x:v>PASA</x:v>
      </x:c>
      <x:c r="R23" s="4" t="str">
        <x:v>No se aporta evento posterior: no se concluye deuda actual desde el histórico.</x:v>
      </x:c>
    </x:row>
    <x:row r="24" ht="47" customHeight="1">
      <x:c r="A24" s="4" t="str">
        <x:v>TI-02</x:v>
      </x:c>
      <x:c r="B24" s="4" t="str">
        <x:v>TIEMPO</x:v>
      </x:c>
      <x:c r="C24" s="4" t="str">
        <x:v>WUA-IND-0.1</x:v>
      </x:c>
      <x:c r="D24" s="4" t="str">
        <x:v>COINCIDE</x:v>
      </x:c>
      <x:c r="E24" s="4" t="str">
        <x:v>ADMITIDA</x:v>
      </x:c>
      <x:c r="F24" s="4" t="str">
        <x:v>LEGIBLE</x:v>
      </x:c>
      <x:c r="G24" s="4" t="str">
        <x:v>INDIVIDUAL_INSTALAR</x:v>
      </x:c>
      <x:c r="H24" s="4" t="str">
        <x:v>orcSucceeded</x:v>
      </x:c>
      <x:c r="I24" s="4" t="str">
        <x:v>UNICA</x:v>
      </x:c>
      <x:c r="J24" s="4" t="str">
        <x:v>true</x:v>
      </x:c>
      <x:c r="K24" s="4" t="str">
        <x:v>VALIDA</x:v>
      </x:c>
      <x:c r="L24" s="4" t="str">
        <x:v>1</x:v>
      </x:c>
      <x:c r="M24" s="4" t="str">
        <x:v>REQUISITO_SI</x:v>
      </x:c>
      <x:c r="N24" s="12" t="str">
        <x:f>IF(F24="FALLO","FALLO_CAPTURA",IF(F24&lt;&gt;"LEGIBLE","NO_ADMISION",IF(D24&lt;&gt;"COINCIDE","NO_ADMISION",IF(E24&lt;&gt;"ADMITIDA","NO_ADMISION",IF(C24&lt;&gt;"WUA-IND-0.1","FUERA_PERFIL",IF(G24&lt;&gt;"INDIVIDUAL_INSTALAR","FUERA_PERFIL",IF(NOT(OR(H24="orcNotStarted",H24="orcInProgress",H24="orcSucceeded",H24="orcSucceededWithErrors",H24="orcFailed",H24="orcAborted")),"NO_ADMISION",IF(H24&lt;&gt;"orcSucceeded","FUERA_PERFIL",IF(OR(AND(I24="AUSENTE",J24=""),AND(I24="CONFLICTO",J24="true|false"),AND(I24="UNICA",OR(J24="true",J24="false"))),"VALIDA","NO_ADMISION")))))))))</x:f>
        <x:v>VALIDA</x:v>
      </x:c>
      <x:c r="O24" s="12" t="str">
        <x:f>IF(N24&lt;&gt;"VALIDA","",IF(I24&lt;&gt;"UNICA","U",IF(J24="true","1","0")))</x:f>
        <x:v>1</x:v>
      </x:c>
      <x:c r="P24" s="12" t="str">
        <x:f>IF(F24="FALLO","SIN_EJECUCION_DOMINIO",IF(F24&lt;&gt;"LEGIBLE","CAPTURA_MAL_FORMADA",IF(D24&lt;&gt;"COINCIDE","IDENTIDAD",IF(E24&lt;&gt;"ADMITIDA","PROCEDENCIA",IF(C24&lt;&gt;"WUA-IND-0.1","PERFIL_NO_CONSTITUIDO",IF(G24&lt;&gt;"INDIVIDUAL_INSTALAR","AMBITO_RESULTADO",IF(NOT(OR(H24="orcNotStarted",H24="orcInProgress",H24="orcSucceeded",H24="orcSucceededWithErrors",H24="orcFailed",H24="orcAborted")),"RESULTADO_DESCONOCIDO",IF(H24&lt;&gt;"orcSucceeded","RESULTADO_INSTALACION",IF(N24="NO_ADMISION",IF(I24="UNICA","LEXEMA_NO_BOOLEANO","OBSERVACION_MAL_FORMADA"),IF(I24="AUSENTE","DATO_AUSENTE",IF(I24="CONFLICTO","CONFLICTO_OBSERVACIONAL",IF(J24="true","REQUISITO_SI","REQUISITO_NO"))))))))))))</x:f>
        <x:v>REQUISITO_SI</x:v>
      </x:c>
      <x:c r="Q24" s="12" t="str">
        <x:f>IF(AND(K24=N24,L24=O24,M24=P24),"PASA","NO_PASA")</x:f>
        <x:v>PASA</x:v>
      </x:c>
      <x:c r="R24" s="4" t="str">
        <x:v>Con reinicio posterior acreditado, el requisito histórico conserva 1.</x:v>
      </x:c>
    </x:row>
    <x:row r="25" ht="47" customHeight="1">
      <x:c r="A25" s="4" t="str">
        <x:v>TI-03</x:v>
      </x:c>
      <x:c r="B25" s="4" t="str">
        <x:v>AUTORIDAD</x:v>
      </x:c>
      <x:c r="C25" s="4" t="str">
        <x:v>WUA-IND-0.1</x:v>
      </x:c>
      <x:c r="D25" s="4" t="str">
        <x:v>COINCIDE</x:v>
      </x:c>
      <x:c r="E25" s="4" t="str">
        <x:v>ADMITIDA</x:v>
      </x:c>
      <x:c r="F25" s="4" t="str">
        <x:v>LEGIBLE</x:v>
      </x:c>
      <x:c r="G25" s="4" t="str">
        <x:v>INDIVIDUAL_INSTALAR</x:v>
      </x:c>
      <x:c r="H25" s="4" t="str">
        <x:v>orcSucceeded</x:v>
      </x:c>
      <x:c r="I25" s="4" t="str">
        <x:v>UNICA</x:v>
      </x:c>
      <x:c r="J25" s="4" t="str">
        <x:v>true</x:v>
      </x:c>
      <x:c r="K25" s="4" t="str">
        <x:v>VALIDA</x:v>
      </x:c>
      <x:c r="L25" s="4" t="str">
        <x:v>1</x:v>
      </x:c>
      <x:c r="M25" s="4" t="str">
        <x:v>REQUISITO_SI</x:v>
      </x:c>
      <x:c r="N25" s="12" t="str">
        <x:f>IF(F25="FALLO","FALLO_CAPTURA",IF(F25&lt;&gt;"LEGIBLE","NO_ADMISION",IF(D25&lt;&gt;"COINCIDE","NO_ADMISION",IF(E25&lt;&gt;"ADMITIDA","NO_ADMISION",IF(C25&lt;&gt;"WUA-IND-0.1","FUERA_PERFIL",IF(G25&lt;&gt;"INDIVIDUAL_INSTALAR","FUERA_PERFIL",IF(NOT(OR(H25="orcNotStarted",H25="orcInProgress",H25="orcSucceeded",H25="orcSucceededWithErrors",H25="orcFailed",H25="orcAborted")),"NO_ADMISION",IF(H25&lt;&gt;"orcSucceeded","FUERA_PERFIL",IF(OR(AND(I25="AUSENTE",J25=""),AND(I25="CONFLICTO",J25="true|false"),AND(I25="UNICA",OR(J25="true",J25="false"))),"VALIDA","NO_ADMISION")))))))))</x:f>
        <x:v>VALIDA</x:v>
      </x:c>
      <x:c r="O25" s="12" t="str">
        <x:f>IF(N25&lt;&gt;"VALIDA","",IF(I25&lt;&gt;"UNICA","U",IF(J25="true","1","0")))</x:f>
        <x:v>1</x:v>
      </x:c>
      <x:c r="P25" s="12" t="str">
        <x:f>IF(F25="FALLO","SIN_EJECUCION_DOMINIO",IF(F25&lt;&gt;"LEGIBLE","CAPTURA_MAL_FORMADA",IF(D25&lt;&gt;"COINCIDE","IDENTIDAD",IF(E25&lt;&gt;"ADMITIDA","PROCEDENCIA",IF(C25&lt;&gt;"WUA-IND-0.1","PERFIL_NO_CONSTITUIDO",IF(G25&lt;&gt;"INDIVIDUAL_INSTALAR","AMBITO_RESULTADO",IF(NOT(OR(H25="orcNotStarted",H25="orcInProgress",H25="orcSucceeded",H25="orcSucceededWithErrors",H25="orcFailed",H25="orcAborted")),"RESULTADO_DESCONOCIDO",IF(H25&lt;&gt;"orcSucceeded","RESULTADO_INSTALACION",IF(N25="NO_ADMISION",IF(I25="UNICA","LEXEMA_NO_BOOLEANO","OBSERVACION_MAL_FORMADA"),IF(I25="AUSENTE","DATO_AUSENTE",IF(I25="CONFLICTO","CONFLICTO_OBSERVACIONAL",IF(J25="true","REQUISITO_SI","REQUISITO_NO"))))))))))))</x:f>
        <x:v>REQUISITO_SI</x:v>
      </x:c>
      <x:c r="Q25" s="12" t="str">
        <x:f>IF(AND(K25=N25,L25=O25,M25=P25),"PASA","NO_PASA")</x:f>
        <x:v>PASA</x:v>
      </x:c>
      <x:c r="R25" s="4" t="str">
        <x:v>Permiso de reinicio denegado no cambia la verdad del requisito.</x:v>
      </x:c>
    </x:row>
    <x:row r="26" ht="47" customHeight="1">
      <x:c r="A26" s="4" t="str">
        <x:v>TI-04</x:v>
      </x:c>
      <x:c r="B26" s="4" t="str">
        <x:v>IMPACTO</x:v>
      </x:c>
      <x:c r="C26" s="4" t="str">
        <x:v>WUA-IND-0.1</x:v>
      </x:c>
      <x:c r="D26" s="4" t="str">
        <x:v>COINCIDE</x:v>
      </x:c>
      <x:c r="E26" s="4" t="str">
        <x:v>ADMITIDA</x:v>
      </x:c>
      <x:c r="F26" s="4" t="str">
        <x:v>LEGIBLE</x:v>
      </x:c>
      <x:c r="G26" s="4" t="str">
        <x:v>INDIVIDUAL_INSTALAR</x:v>
      </x:c>
      <x:c r="H26" s="4" t="str">
        <x:v>orcSucceeded</x:v>
      </x:c>
      <x:c r="I26" s="4" t="str">
        <x:v>UNICA</x:v>
      </x:c>
      <x:c r="J26" s="4" t="str">
        <x:v>false</x:v>
      </x:c>
      <x:c r="K26" s="4" t="str">
        <x:v>VALIDA</x:v>
      </x:c>
      <x:c r="L26" s="4" t="str">
        <x:v>0</x:v>
      </x:c>
      <x:c r="M26" s="4" t="str">
        <x:v>REQUISITO_NO</x:v>
      </x:c>
      <x:c r="N26" s="12" t="str">
        <x:f>IF(F26="FALLO","FALLO_CAPTURA",IF(F26&lt;&gt;"LEGIBLE","NO_ADMISION",IF(D26&lt;&gt;"COINCIDE","NO_ADMISION",IF(E26&lt;&gt;"ADMITIDA","NO_ADMISION",IF(C26&lt;&gt;"WUA-IND-0.1","FUERA_PERFIL",IF(G26&lt;&gt;"INDIVIDUAL_INSTALAR","FUERA_PERFIL",IF(NOT(OR(H26="orcNotStarted",H26="orcInProgress",H26="orcSucceeded",H26="orcSucceededWithErrors",H26="orcFailed",H26="orcAborted")),"NO_ADMISION",IF(H26&lt;&gt;"orcSucceeded","FUERA_PERFIL",IF(OR(AND(I26="AUSENTE",J26=""),AND(I26="CONFLICTO",J26="true|false"),AND(I26="UNICA",OR(J26="true",J26="false"))),"VALIDA","NO_ADMISION")))))))))</x:f>
        <x:v>VALIDA</x:v>
      </x:c>
      <x:c r="O26" s="12" t="str">
        <x:f>IF(N26&lt;&gt;"VALIDA","",IF(I26&lt;&gt;"UNICA","U",IF(J26="true","1","0")))</x:f>
        <x:v>0</x:v>
      </x:c>
      <x:c r="P26" s="12" t="str">
        <x:f>IF(F26="FALLO","SIN_EJECUCION_DOMINIO",IF(F26&lt;&gt;"LEGIBLE","CAPTURA_MAL_FORMADA",IF(D26&lt;&gt;"COINCIDE","IDENTIDAD",IF(E26&lt;&gt;"ADMITIDA","PROCEDENCIA",IF(C26&lt;&gt;"WUA-IND-0.1","PERFIL_NO_CONSTITUIDO",IF(G26&lt;&gt;"INDIVIDUAL_INSTALAR","AMBITO_RESULTADO",IF(NOT(OR(H26="orcNotStarted",H26="orcInProgress",H26="orcSucceeded",H26="orcSucceededWithErrors",H26="orcFailed",H26="orcAborted")),"RESULTADO_DESCONOCIDO",IF(H26&lt;&gt;"orcSucceeded","RESULTADO_INSTALACION",IF(N26="NO_ADMISION",IF(I26="UNICA","LEXEMA_NO_BOOLEANO","OBSERVACION_MAL_FORMADA"),IF(I26="AUSENTE","DATO_AUSENTE",IF(I26="CONFLICTO","CONFLICTO_OBSERVACIONAL",IF(J26="true","REQUISITO_SI","REQUISITO_NO"))))))))))))</x:f>
        <x:v>REQUISITO_NO</x:v>
      </x:c>
      <x:c r="Q26" s="12" t="str">
        <x:f>IF(AND(K26=N26,L26=O26,M26=P26),"PASA","NO_PASA")</x:f>
        <x:v>PASA</x:v>
      </x:c>
      <x:c r="R26" s="4" t="str">
        <x:v>Coste alto o bajo no cambia el predicado técnico.</x:v>
      </x:c>
    </x:row>
    <x:row r="27" ht="47" customHeight="1">
      <x:c r="A27" s="4" t="str">
        <x:v>TA-19</x:v>
      </x:c>
      <x:c r="B27" s="4" t="str">
        <x:v>FRONTERA</x:v>
      </x:c>
      <x:c r="C27" s="4" t="str">
        <x:v>WUA-IND-0.1</x:v>
      </x:c>
      <x:c r="D27" s="4" t="str">
        <x:v>COINCIDE</x:v>
      </x:c>
      <x:c r="E27" s="4" t="str">
        <x:v>ADMITIDA</x:v>
      </x:c>
      <x:c r="F27" s="4" t="str">
        <x:v>LEGIBLE</x:v>
      </x:c>
      <x:c r="G27" s="4" t="str">
        <x:v>INDIVIDUAL_INSTALAR</x:v>
      </x:c>
      <x:c r="H27" s="4" t="str">
        <x:v>orcAborted</x:v>
      </x:c>
      <x:c r="I27" s="4" t="str">
        <x:v>UNICA</x:v>
      </x:c>
      <x:c r="J27" s="4" t="str">
        <x:v>true</x:v>
      </x:c>
      <x:c r="K27" s="4" t="str">
        <x:v>FUERA_PERFIL</x:v>
      </x:c>
      <x:c r="L27" s="4" t="str"/>
      <x:c r="M27" s="4" t="str">
        <x:v>RESULTADO_INSTALACION</x:v>
      </x:c>
      <x:c r="N27" s="12" t="str">
        <x:f>IF(F27="FALLO","FALLO_CAPTURA",IF(F27&lt;&gt;"LEGIBLE","NO_ADMISION",IF(D27&lt;&gt;"COINCIDE","NO_ADMISION",IF(E27&lt;&gt;"ADMITIDA","NO_ADMISION",IF(C27&lt;&gt;"WUA-IND-0.1","FUERA_PERFIL",IF(G27&lt;&gt;"INDIVIDUAL_INSTALAR","FUERA_PERFIL",IF(NOT(OR(H27="orcNotStarted",H27="orcInProgress",H27="orcSucceeded",H27="orcSucceededWithErrors",H27="orcFailed",H27="orcAborted")),"NO_ADMISION",IF(H27&lt;&gt;"orcSucceeded","FUERA_PERFIL",IF(OR(AND(I27="AUSENTE",J27=""),AND(I27="CONFLICTO",J27="true|false"),AND(I27="UNICA",OR(J27="true",J27="false"))),"VALIDA","NO_ADMISION")))))))))</x:f>
        <x:v>FUERA_PERFIL</x:v>
      </x:c>
      <x:c r="O27" s="12" t="str">
        <x:f>IF(N27&lt;&gt;"VALIDA","",IF(I27&lt;&gt;"UNICA","U",IF(J27="true","1","0")))</x:f>
      </x:c>
      <x:c r="P27" s="12" t="str">
        <x:f>IF(F27="FALLO","SIN_EJECUCION_DOMINIO",IF(F27&lt;&gt;"LEGIBLE","CAPTURA_MAL_FORMADA",IF(D27&lt;&gt;"COINCIDE","IDENTIDAD",IF(E27&lt;&gt;"ADMITIDA","PROCEDENCIA",IF(C27&lt;&gt;"WUA-IND-0.1","PERFIL_NO_CONSTITUIDO",IF(G27&lt;&gt;"INDIVIDUAL_INSTALAR","AMBITO_RESULTADO",IF(NOT(OR(H27="orcNotStarted",H27="orcInProgress",H27="orcSucceeded",H27="orcSucceededWithErrors",H27="orcFailed",H27="orcAborted")),"RESULTADO_DESCONOCIDO",IF(H27&lt;&gt;"orcSucceeded","RESULTADO_INSTALACION",IF(N27="NO_ADMISION",IF(I27="UNICA","LEXEMA_NO_BOOLEANO","OBSERVACION_MAL_FORMADA"),IF(I27="AUSENTE","DATO_AUSENTE",IF(I27="CONFLICTO","CONFLICTO_OBSERVACIONAL",IF(J27="true","REQUISITO_SI","REQUISITO_NO"))))))))))))</x:f>
        <x:v>RESULTADO_INSTALACION</x:v>
      </x:c>
      <x:c r="Q27" s="12" t="str">
        <x:f>IF(AND(K27=N27,L27=O27,M27=P27),"PASA","NO_PASA")</x:f>
        <x:v>PASA</x:v>
      </x:c>
      <x:c r="R27" s="4" t="str">
        <x:v>Una cancelación conserva su significado propio en QCY-03.</x:v>
      </x:c>
    </x:row>
    <x:row r="28" ht="47" customHeight="1">
      <x:c r="A28" s="4" t="str">
        <x:v>TA-20</x:v>
      </x:c>
      <x:c r="B28" s="4" t="str">
        <x:v>U PROPIA</x:v>
      </x:c>
      <x:c r="C28" s="4" t="str">
        <x:v>WUA-IND-0.1</x:v>
      </x:c>
      <x:c r="D28" s="4" t="str">
        <x:v>COINCIDE</x:v>
      </x:c>
      <x:c r="E28" s="4" t="str">
        <x:v>ADMITIDA</x:v>
      </x:c>
      <x:c r="F28" s="4" t="str">
        <x:v>LEGIBLE</x:v>
      </x:c>
      <x:c r="G28" s="4" t="str">
        <x:v>INDIVIDUAL_INSTALAR</x:v>
      </x:c>
      <x:c r="H28" s="4" t="str">
        <x:v>orcSucceeded</x:v>
      </x:c>
      <x:c r="I28" s="4" t="str">
        <x:v>AUSENTE</x:v>
      </x:c>
      <x:c r="J28" s="4" t="str">
        <x:v>false</x:v>
      </x:c>
      <x:c r="K28" s="4" t="str">
        <x:v>NO_ADMISION</x:v>
      </x:c>
      <x:c r="L28" s="4" t="str"/>
      <x:c r="M28" s="4" t="str">
        <x:v>OBSERVACION_MAL_FORMADA</x:v>
      </x:c>
      <x:c r="N28" s="12" t="str">
        <x:f>IF(F28="FALLO","FALLO_CAPTURA",IF(F28&lt;&gt;"LEGIBLE","NO_ADMISION",IF(D28&lt;&gt;"COINCIDE","NO_ADMISION",IF(E28&lt;&gt;"ADMITIDA","NO_ADMISION",IF(C28&lt;&gt;"WUA-IND-0.1","FUERA_PERFIL",IF(G28&lt;&gt;"INDIVIDUAL_INSTALAR","FUERA_PERFIL",IF(NOT(OR(H28="orcNotStarted",H28="orcInProgress",H28="orcSucceeded",H28="orcSucceededWithErrors",H28="orcFailed",H28="orcAborted")),"NO_ADMISION",IF(H28&lt;&gt;"orcSucceeded","FUERA_PERFIL",IF(OR(AND(I28="AUSENTE",J28=""),AND(I28="CONFLICTO",J28="true|false"),AND(I28="UNICA",OR(J28="true",J28="false"))),"VALIDA","NO_ADMISION")))))))))</x:f>
        <x:v>NO_ADMISION</x:v>
      </x:c>
      <x:c r="O28" s="12" t="str">
        <x:f>IF(N28&lt;&gt;"VALIDA","",IF(I28&lt;&gt;"UNICA","U",IF(J28="true","1","0")))</x:f>
      </x:c>
      <x:c r="P28" s="12" t="str">
        <x:f>IF(F28="FALLO","SIN_EJECUCION_DOMINIO",IF(F28&lt;&gt;"LEGIBLE","CAPTURA_MAL_FORMADA",IF(D28&lt;&gt;"COINCIDE","IDENTIDAD",IF(E28&lt;&gt;"ADMITIDA","PROCEDENCIA",IF(C28&lt;&gt;"WUA-IND-0.1","PERFIL_NO_CONSTITUIDO",IF(G28&lt;&gt;"INDIVIDUAL_INSTALAR","AMBITO_RESULTADO",IF(NOT(OR(H28="orcNotStarted",H28="orcInProgress",H28="orcSucceeded",H28="orcSucceededWithErrors",H28="orcFailed",H28="orcAborted")),"RESULTADO_DESCONOCIDO",IF(H28&lt;&gt;"orcSucceeded","RESULTADO_INSTALACION",IF(N28="NO_ADMISION",IF(I28="UNICA","LEXEMA_NO_BOOLEANO","OBSERVACION_MAL_FORMADA"),IF(I28="AUSENTE","DATO_AUSENTE",IF(I28="CONFLICTO","CONFLICTO_OBSERVACIONAL",IF(J28="true","REQUISITO_SI","REQUISITO_NO"))))))))))))</x:f>
        <x:v>OBSERVACION_MAL_FORMADA</x:v>
      </x:c>
      <x:c r="Q28" s="12" t="str">
        <x:f>IF(AND(K28=N28,L28=O28,M28=P28),"PASA","NO_PASA")</x:f>
        <x:v>PASA</x:v>
      </x:c>
      <x:c r="R28" s="4" t="str">
        <x:v>No permitir ausencia declarada junto con un valor afirmado.</x:v>
      </x:c>
    </x:row>
    <x:row r="29" ht="47" customHeight="1">
      <x:c r="A29" s="4" t="str">
        <x:v>TA-21</x:v>
      </x:c>
      <x:c r="B29" s="4" t="str">
        <x:v>TIPO</x:v>
      </x:c>
      <x:c r="C29" s="4" t="str">
        <x:v>WUA-IND-0.1</x:v>
      </x:c>
      <x:c r="D29" s="4" t="str">
        <x:v>COINCIDE</x:v>
      </x:c>
      <x:c r="E29" s="4" t="str">
        <x:v>ADMITIDA</x:v>
      </x:c>
      <x:c r="F29" s="4" t="str">
        <x:v>DESCONOCIDA</x:v>
      </x:c>
      <x:c r="G29" s="4" t="str">
        <x:v>INDIVIDUAL_INSTALAR</x:v>
      </x:c>
      <x:c r="H29" s="4" t="str">
        <x:v>orcSucceeded</x:v>
      </x:c>
      <x:c r="I29" s="4" t="str">
        <x:v>UNICA</x:v>
      </x:c>
      <x:c r="J29" s="4" t="str">
        <x:v>true</x:v>
      </x:c>
      <x:c r="K29" s="4" t="str">
        <x:v>NO_ADMISION</x:v>
      </x:c>
      <x:c r="L29" s="4" t="str"/>
      <x:c r="M29" s="4" t="str">
        <x:v>CAPTURA_MAL_FORMADA</x:v>
      </x:c>
      <x:c r="N29" s="12" t="str">
        <x:f>IF(F29="FALLO","FALLO_CAPTURA",IF(F29&lt;&gt;"LEGIBLE","NO_ADMISION",IF(D29&lt;&gt;"COINCIDE","NO_ADMISION",IF(E29&lt;&gt;"ADMITIDA","NO_ADMISION",IF(C29&lt;&gt;"WUA-IND-0.1","FUERA_PERFIL",IF(G29&lt;&gt;"INDIVIDUAL_INSTALAR","FUERA_PERFIL",IF(NOT(OR(H29="orcNotStarted",H29="orcInProgress",H29="orcSucceeded",H29="orcSucceededWithErrors",H29="orcFailed",H29="orcAborted")),"NO_ADMISION",IF(H29&lt;&gt;"orcSucceeded","FUERA_PERFIL",IF(OR(AND(I29="AUSENTE",J29=""),AND(I29="CONFLICTO",J29="true|false"),AND(I29="UNICA",OR(J29="true",J29="false"))),"VALIDA","NO_ADMISION")))))))))</x:f>
        <x:v>NO_ADMISION</x:v>
      </x:c>
      <x:c r="O29" s="12" t="str">
        <x:f>IF(N29&lt;&gt;"VALIDA","",IF(I29&lt;&gt;"UNICA","U",IF(J29="true","1","0")))</x:f>
      </x:c>
      <x:c r="P29" s="12" t="str">
        <x:f>IF(F29="FALLO","SIN_EJECUCION_DOMINIO",IF(F29&lt;&gt;"LEGIBLE","CAPTURA_MAL_FORMADA",IF(D29&lt;&gt;"COINCIDE","IDENTIDAD",IF(E29&lt;&gt;"ADMITIDA","PROCEDENCIA",IF(C29&lt;&gt;"WUA-IND-0.1","PERFIL_NO_CONSTITUIDO",IF(G29&lt;&gt;"INDIVIDUAL_INSTALAR","AMBITO_RESULTADO",IF(NOT(OR(H29="orcNotStarted",H29="orcInProgress",H29="orcSucceeded",H29="orcSucceededWithErrors",H29="orcFailed",H29="orcAborted")),"RESULTADO_DESCONOCIDO",IF(H29&lt;&gt;"orcSucceeded","RESULTADO_INSTALACION",IF(N29="NO_ADMISION",IF(I29="UNICA","LEXEMA_NO_BOOLEANO","OBSERVACION_MAL_FORMADA"),IF(I29="AUSENTE","DATO_AUSENTE",IF(I29="CONFLICTO","CONFLICTO_OBSERVACIONAL",IF(J29="true","REQUISITO_SI","REQUISITO_NO"))))))))))))</x:f>
        <x:v>CAPTURA_MAL_FORMADA</x:v>
      </x:c>
      <x:c r="Q29" s="12" t="str">
        <x:f>IF(AND(K29=N29,L29=O29,M29=P29),"PASA","NO_PASA")</x:f>
        <x:v>PASA</x:v>
      </x:c>
      <x:c r="R29" s="4" t="str">
        <x:v>Un estado de captura no declarado no puede atravesar la admisión.</x:v>
      </x:c>
    </x:row>
    <x:row r="30" ht="47" customHeight="1">
      <x:c r="A30" s="4" t="str">
        <x:v>TA-22</x:v>
      </x:c>
      <x:c r="B30" s="4" t="str">
        <x:v>TIPO</x:v>
      </x:c>
      <x:c r="C30" s="4" t="str">
        <x:v>WUA-IND-0.1</x:v>
      </x:c>
      <x:c r="D30" s="4" t="str">
        <x:v>COINCIDE</x:v>
      </x:c>
      <x:c r="E30" s="4" t="str">
        <x:v>ADMITIDA</x:v>
      </x:c>
      <x:c r="F30" s="4" t="str">
        <x:v>LEGIBLE</x:v>
      </x:c>
      <x:c r="G30" s="4" t="str">
        <x:v>INDIVIDUAL_INSTALAR</x:v>
      </x:c>
      <x:c r="H30" s="4" t="str">
        <x:v>orcInventado</x:v>
      </x:c>
      <x:c r="I30" s="4" t="str">
        <x:v>UNICA</x:v>
      </x:c>
      <x:c r="J30" s="4" t="str">
        <x:v>true</x:v>
      </x:c>
      <x:c r="K30" s="4" t="str">
        <x:v>NO_ADMISION</x:v>
      </x:c>
      <x:c r="L30" s="4" t="str"/>
      <x:c r="M30" s="4" t="str">
        <x:v>RESULTADO_DESCONOCIDO</x:v>
      </x:c>
      <x:c r="N30" s="12" t="str">
        <x:f>IF(F30="FALLO","FALLO_CAPTURA",IF(F30&lt;&gt;"LEGIBLE","NO_ADMISION",IF(D30&lt;&gt;"COINCIDE","NO_ADMISION",IF(E30&lt;&gt;"ADMITIDA","NO_ADMISION",IF(C30&lt;&gt;"WUA-IND-0.1","FUERA_PERFIL",IF(G30&lt;&gt;"INDIVIDUAL_INSTALAR","FUERA_PERFIL",IF(NOT(OR(H30="orcNotStarted",H30="orcInProgress",H30="orcSucceeded",H30="orcSucceededWithErrors",H30="orcFailed",H30="orcAborted")),"NO_ADMISION",IF(H30&lt;&gt;"orcSucceeded","FUERA_PERFIL",IF(OR(AND(I30="AUSENTE",J30=""),AND(I30="CONFLICTO",J30="true|false"),AND(I30="UNICA",OR(J30="true",J30="false"))),"VALIDA","NO_ADMISION")))))))))</x:f>
        <x:v>NO_ADMISION</x:v>
      </x:c>
      <x:c r="O30" s="12" t="str">
        <x:f>IF(N30&lt;&gt;"VALIDA","",IF(I30&lt;&gt;"UNICA","U",IF(J30="true","1","0")))</x:f>
      </x:c>
      <x:c r="P30" s="12" t="str">
        <x:f>IF(F30="FALLO","SIN_EJECUCION_DOMINIO",IF(F30&lt;&gt;"LEGIBLE","CAPTURA_MAL_FORMADA",IF(D30&lt;&gt;"COINCIDE","IDENTIDAD",IF(E30&lt;&gt;"ADMITIDA","PROCEDENCIA",IF(C30&lt;&gt;"WUA-IND-0.1","PERFIL_NO_CONSTITUIDO",IF(G30&lt;&gt;"INDIVIDUAL_INSTALAR","AMBITO_RESULTADO",IF(NOT(OR(H30="orcNotStarted",H30="orcInProgress",H30="orcSucceeded",H30="orcSucceededWithErrors",H30="orcFailed",H30="orcAborted")),"RESULTADO_DESCONOCIDO",IF(H30&lt;&gt;"orcSucceeded","RESULTADO_INSTALACION",IF(N30="NO_ADMISION",IF(I30="UNICA","LEXEMA_NO_BOOLEANO","OBSERVACION_MAL_FORMADA"),IF(I30="AUSENTE","DATO_AUSENTE",IF(I30="CONFLICTO","CONFLICTO_OBSERVACIONAL",IF(J30="true","REQUISITO_SI","REQUISITO_NO"))))))))))))</x:f>
        <x:v>RESULTADO_DESCONOCIDO</x:v>
      </x:c>
      <x:c r="Q30" s="12" t="str">
        <x:f>IF(AND(K30=N30,L30=O30,M30=P30),"PASA","NO_PASA")</x:f>
        <x:v>PASA</x:v>
      </x:c>
      <x:c r="R30" s="4" t="str">
        <x:v>Una etiqueta desconocida no se confunde con un resultado conocido fuera del perfil.</x:v>
      </x:c>
    </x:row>
    <x:row r="31" ht="47" customHeight="1">
      <x:c r="A31" s="4" t="str">
        <x:v>TA-23</x:v>
      </x:c>
      <x:c r="B31" s="4" t="str">
        <x:v>TIPO</x:v>
      </x:c>
      <x:c r="C31" s="4" t="str">
        <x:v>WUA-IND-0.1</x:v>
      </x:c>
      <x:c r="D31" s="4" t="str">
        <x:v>COINCIDE</x:v>
      </x:c>
      <x:c r="E31" s="4" t="str">
        <x:v>ADMITIDA</x:v>
      </x:c>
      <x:c r="F31" s="4" t="str">
        <x:v>LEGIBLE</x:v>
      </x:c>
      <x:c r="G31" s="4" t="str">
        <x:v>INDIVIDUAL_INSTALAR</x:v>
      </x:c>
      <x:c r="H31" s="4" t="str">
        <x:v>orcSucceeded</x:v>
      </x:c>
      <x:c r="I31" s="4" t="str">
        <x:v>SUPUESTA</x:v>
      </x:c>
      <x:c r="J31" s="4" t="str">
        <x:v>true</x:v>
      </x:c>
      <x:c r="K31" s="4" t="str">
        <x:v>NO_ADMISION</x:v>
      </x:c>
      <x:c r="L31" s="4" t="str"/>
      <x:c r="M31" s="4" t="str">
        <x:v>OBSERVACION_MAL_FORMADA</x:v>
      </x:c>
      <x:c r="N31" s="12" t="str">
        <x:f>IF(F31="FALLO","FALLO_CAPTURA",IF(F31&lt;&gt;"LEGIBLE","NO_ADMISION",IF(D31&lt;&gt;"COINCIDE","NO_ADMISION",IF(E31&lt;&gt;"ADMITIDA","NO_ADMISION",IF(C31&lt;&gt;"WUA-IND-0.1","FUERA_PERFIL",IF(G31&lt;&gt;"INDIVIDUAL_INSTALAR","FUERA_PERFIL",IF(NOT(OR(H31="orcNotStarted",H31="orcInProgress",H31="orcSucceeded",H31="orcSucceededWithErrors",H31="orcFailed",H31="orcAborted")),"NO_ADMISION",IF(H31&lt;&gt;"orcSucceeded","FUERA_PERFIL",IF(OR(AND(I31="AUSENTE",J31=""),AND(I31="CONFLICTO",J31="true|false"),AND(I31="UNICA",OR(J31="true",J31="false"))),"VALIDA","NO_ADMISION")))))))))</x:f>
        <x:v>NO_ADMISION</x:v>
      </x:c>
      <x:c r="O31" s="12" t="str">
        <x:f>IF(N31&lt;&gt;"VALIDA","",IF(I31&lt;&gt;"UNICA","U",IF(J31="true","1","0")))</x:f>
      </x:c>
      <x:c r="P31" s="12" t="str">
        <x:f>IF(F31="FALLO","SIN_EJECUCION_DOMINIO",IF(F31&lt;&gt;"LEGIBLE","CAPTURA_MAL_FORMADA",IF(D31&lt;&gt;"COINCIDE","IDENTIDAD",IF(E31&lt;&gt;"ADMITIDA","PROCEDENCIA",IF(C31&lt;&gt;"WUA-IND-0.1","PERFIL_NO_CONSTITUIDO",IF(G31&lt;&gt;"INDIVIDUAL_INSTALAR","AMBITO_RESULTADO",IF(NOT(OR(H31="orcNotStarted",H31="orcInProgress",H31="orcSucceeded",H31="orcSucceededWithErrors",H31="orcFailed",H31="orcAborted")),"RESULTADO_DESCONOCIDO",IF(H31&lt;&gt;"orcSucceeded","RESULTADO_INSTALACION",IF(N31="NO_ADMISION",IF(I31="UNICA","LEXEMA_NO_BOOLEANO","OBSERVACION_MAL_FORMADA"),IF(I31="AUSENTE","DATO_AUSENTE",IF(I31="CONFLICTO","CONFLICTO_OBSERVACIONAL",IF(J31="true","REQUISITO_SI","REQUISITO_NO"))))))))))))</x:f>
        <x:v>OBSERVACION_MAL_FORMADA</x:v>
      </x:c>
      <x:c r="Q31" s="12" t="str">
        <x:f>IF(AND(K31=N31,L31=O31,M31=P31),"PASA","NO_PASA")</x:f>
        <x:v>PASA</x:v>
      </x:c>
      <x:c r="R31" s="4" t="str">
        <x:v>El estado observacional debe pertenecer al contrato.</x:v>
      </x:c>
    </x:row>
    <x:row r="32" ht="47" customHeight="1">
      <x:c r="A32" s="4" t="str">
        <x:v>TA-24</x:v>
      </x:c>
      <x:c r="B32" s="4" t="str">
        <x:v>TIPO</x:v>
      </x:c>
      <x:c r="C32" s="4" t="str">
        <x:v>WUA-IND-0.1</x:v>
      </x:c>
      <x:c r="D32" s="4" t="str">
        <x:v>COINCIDE</x:v>
      </x:c>
      <x:c r="E32" s="4" t="str">
        <x:v>ADMITIDA</x:v>
      </x:c>
      <x:c r="F32" s="4" t="str"/>
      <x:c r="G32" s="4" t="str">
        <x:v>INDIVIDUAL_INSTALAR</x:v>
      </x:c>
      <x:c r="H32" s="4" t="str">
        <x:v>orcSucceeded</x:v>
      </x:c>
      <x:c r="I32" s="4" t="str">
        <x:v>UNICA</x:v>
      </x:c>
      <x:c r="J32" s="4" t="str">
        <x:v>true</x:v>
      </x:c>
      <x:c r="K32" s="4" t="str">
        <x:v>NO_ADMISION</x:v>
      </x:c>
      <x:c r="L32" s="4" t="str"/>
      <x:c r="M32" s="4" t="str">
        <x:v>CAPTURA_MAL_FORMADA</x:v>
      </x:c>
      <x:c r="N32" s="12" t="str">
        <x:f>IF(F32="FALLO","FALLO_CAPTURA",IF(F32&lt;&gt;"LEGIBLE","NO_ADMISION",IF(D32&lt;&gt;"COINCIDE","NO_ADMISION",IF(E32&lt;&gt;"ADMITIDA","NO_ADMISION",IF(C32&lt;&gt;"WUA-IND-0.1","FUERA_PERFIL",IF(G32&lt;&gt;"INDIVIDUAL_INSTALAR","FUERA_PERFIL",IF(NOT(OR(H32="orcNotStarted",H32="orcInProgress",H32="orcSucceeded",H32="orcSucceededWithErrors",H32="orcFailed",H32="orcAborted")),"NO_ADMISION",IF(H32&lt;&gt;"orcSucceeded","FUERA_PERFIL",IF(OR(AND(I32="AUSENTE",J32=""),AND(I32="CONFLICTO",J32="true|false"),AND(I32="UNICA",OR(J32="true",J32="false"))),"VALIDA","NO_ADMISION")))))))))</x:f>
        <x:v>NO_ADMISION</x:v>
      </x:c>
      <x:c r="O32" s="12" t="str">
        <x:f>IF(N32&lt;&gt;"VALIDA","",IF(I32&lt;&gt;"UNICA","U",IF(J32="true","1","0")))</x:f>
      </x:c>
      <x:c r="P32" s="12" t="str">
        <x:f>IF(F32="FALLO","SIN_EJECUCION_DOMINIO",IF(F32&lt;&gt;"LEGIBLE","CAPTURA_MAL_FORMADA",IF(D32&lt;&gt;"COINCIDE","IDENTIDAD",IF(E32&lt;&gt;"ADMITIDA","PROCEDENCIA",IF(C32&lt;&gt;"WUA-IND-0.1","PERFIL_NO_CONSTITUIDO",IF(G32&lt;&gt;"INDIVIDUAL_INSTALAR","AMBITO_RESULTADO",IF(NOT(OR(H32="orcNotStarted",H32="orcInProgress",H32="orcSucceeded",H32="orcSucceededWithErrors",H32="orcFailed",H32="orcAborted")),"RESULTADO_DESCONOCIDO",IF(H32&lt;&gt;"orcSucceeded","RESULTADO_INSTALACION",IF(N32="NO_ADMISION",IF(I32="UNICA","LEXEMA_NO_BOOLEANO","OBSERVACION_MAL_FORMADA"),IF(I32="AUSENTE","DATO_AUSENTE",IF(I32="CONFLICTO","CONFLICTO_OBSERVACIONAL",IF(J32="true","REQUISITO_SI","REQUISITO_NO"))))))))))))</x:f>
        <x:v>CAPTURA_MAL_FORMADA</x:v>
      </x:c>
      <x:c r="Q32" s="12" t="str">
        <x:f>IF(AND(K32=N32,L32=O32,M32=P32),"PASA","NO_PASA")</x:f>
        <x:v>PASA</x:v>
      </x:c>
      <x:c r="R32" s="4" t="str">
        <x:v>La ausencia de estado de captura no se interpreta como captura legible.</x:v>
      </x:c>
    </x:row>
  </x:sheetData>
  <x:mergeCells>
    <x:mergeCell ref="A1:D1"/>
    <x:mergeCell ref="A2:F2"/>
  </x:mergeCells>
  <x:conditionalFormatting sqref="Q5:Q32">
    <x:cfRule type="expression" dxfId="22" priority="1">
      <x:formula>Q5="NO_PASA"</x:formula>
    </x:cfRule>
  </x:conditionalFormatting>
  <x:pageMargins left="0.7" right="0.7" top="0.75" bottom="0.75" header="0.3" footer="0.3"/>
  <x:tableParts count="1">
    <x:tablePart xmlns:r="http://schemas.openxmlformats.org/officeDocument/2006/relationships" r:id="R6471267ab9d44436"/>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08" hidden="0" customWidth="1"/>
    <x:col min="4" max="4" width="32" hidden="0" customWidth="1"/>
    <x:col min="5" max="5" width="53" hidden="0" customWidth="1"/>
  </x:cols>
  <x:sheetData>
    <x:row r="1" ht="35" customHeight="1">
      <x:c r="A1" s="6" t="str">
        <x:v>ADVERSARIAL G5 · ataques y correcciones incorporadas</x:v>
      </x:c>
      <x:c r="B1" s="6"/>
      <x:c r="C1" s="6"/>
      <x:c r="D1" s="6"/>
      <x:c r="E1" s="6"/>
    </x:row>
    <x:row r="2" ht="52" customHeight="1">
      <x:c r="A2" s="8" t="str">
        <x:v>Revisión interna. Dos formulaciones materiales se corrigieron antes del dictamen: éxito/efecto y requisito/deuda actual.</x:v>
      </x:c>
      <x:c r="B2" s="8"/>
      <x:c r="C2" s="8"/>
      <x:c r="D2" s="8"/>
      <x:c r="E2" s="8"/>
    </x:row>
    <x:row r="3">
      <x:c r="A3" s="4"/>
      <x:c r="B3" s="4"/>
      <x:c r="C3" s="4"/>
      <x:c r="D3" s="4"/>
      <x:c r="E3" s="4"/>
    </x:row>
    <x:row r="4" ht="42" customHeight="1">
      <x:c r="A4" s="10" t="str">
        <x:v>ID</x:v>
      </x:c>
      <x:c r="B4" s="10" t="str">
        <x:v>Ataque</x:v>
      </x:c>
      <x:c r="C4" s="10" t="str">
        <x:v>Resolución</x:v>
      </x:c>
      <x:c r="D4" s="10" t="str">
        <x:v>Dictamen</x:v>
      </x:c>
      <x:c r="E4" s="10" t="str">
        <x:v>Evidencia</x:v>
      </x:c>
    </x:row>
    <x:row r="5" ht="47" customHeight="1">
      <x:c r="A5" s="4" t="str">
        <x:v>AG-01</x:v>
      </x:c>
      <x:c r="B5" s="4" t="str">
        <x:v>Falso parámetro administrativo</x:v>
      </x:c>
      <x:c r="C5" s="4" t="str">
        <x:v>El observable está en un campo API, pero el predicado expresa un requisito técnico para completar una instalación; su omisión cambia la evidencia exigible.</x:v>
      </x:c>
      <x:c r="D5" s="4" t="str">
        <x:v>PASA EN USO DECLARADO</x:v>
      </x:c>
      <x:c r="E5" s="4" t="str">
        <x:v>CON-01; AB-01</x:v>
      </x:c>
    </x:row>
    <x:row r="6" ht="47" customHeight="1">
      <x:c r="A6" s="4" t="str">
        <x:v>AG-02</x:v>
      </x:c>
      <x:c r="B6" s="4" t="str">
        <x:v>Éxito = corrección efectiva</x:v>
      </x:c>
      <x:c r="C6" s="4" t="str">
        <x:v>Se distingue éxito comunicado, requisito de completar, cumplimiento y verificación del efecto. No se fusionan.</x:v>
      </x:c>
      <x:c r="D6" s="4" t="str">
        <x:v>REFUTACION ABSORBIDA</x:v>
      </x:c>
      <x:c r="E6" s="4" t="str">
        <x:v>QCY-03/04/05; T001/T002</x:v>
      </x:c>
    </x:row>
    <x:row r="7" ht="47" customHeight="1">
      <x:c r="A7" s="4" t="str">
        <x:v>AG-03</x:v>
      </x:c>
      <x:c r="B7" s="4" t="str">
        <x:v>Requisito = pendiente actual</x:v>
      </x:c>
      <x:c r="C7" s="4" t="str">
        <x:v>La formulación inicial ambigua se corrige: estado histórico al finalizar instalación. No contiene “sigue pendiente”.</x:v>
      </x:c>
      <x:c r="D7" s="4" t="str">
        <x:v>REFUTACION ABSORBIDA</x:v>
      </x:c>
      <x:c r="E7" s="4" t="str">
        <x:v>39 horizonte; TI-01/TI-02</x:v>
      </x:c>
    </x:row>
    <x:row r="8" ht="47" customHeight="1">
      <x:c r="A8" s="4" t="str">
        <x:v>AG-04</x:v>
      </x:c>
      <x:c r="B8" s="4" t="str">
        <x:v>Requisito = orden</x:v>
      </x:c>
      <x:c r="C8" s="4" t="str">
        <x:v>Autoridad, impacto, ventana y coste no son parte del átomo; son dependencias del consejo posterior.</x:v>
      </x:c>
      <x:c r="D8" s="4" t="str">
        <x:v>PASA</x:v>
      </x:c>
      <x:c r="E8" s="4" t="str">
        <x:v>TI-03/TI-04; QCY-06/07</x:v>
      </x:c>
    </x:row>
    <x:row r="9" ht="47" customHeight="1">
      <x:c r="A9" s="4" t="str">
        <x:v>AG-05</x:v>
      </x:c>
      <x:c r="B9" s="4" t="str">
        <x:v>Copiar un booleano sin conocimiento</x:v>
      </x:c>
      <x:c r="C9" s="4" t="str">
        <x:v>Se enlazan fundamento técnico, obligación de comprobar cumplimiento y efecto potencial; el booleano aislado es insuficiente para consejo.</x:v>
      </x:c>
      <x:c r="D9" s="4" t="str">
        <x:v>PASA EN ALCANCE</x:v>
      </x:c>
      <x:c r="E9" s="4" t="str">
        <x:v>R025/R035; 40</x:v>
      </x:c>
    </x:row>
    <x:row r="10" ht="47" customHeight="1">
      <x:c r="A10" s="4" t="str">
        <x:v>AG-06</x:v>
      </x:c>
      <x:c r="B10" s="4" t="str">
        <x:v>Lote = individuo</x:v>
      </x:c>
      <x:c r="C10" s="4" t="str">
        <x:v>Se exige resultado individual y vínculo a colección e índice originales; el agregado se excluye.</x:v>
      </x:c>
      <x:c r="D10" s="4" t="str">
        <x:v>PASA</x:v>
      </x:c>
      <x:c r="E10" s="4" t="str">
        <x:v>TA-06/TA-09; T006</x:v>
      </x:c>
    </x:row>
    <x:row r="11" ht="47" customHeight="1">
      <x:c r="A11" s="4" t="str">
        <x:v>AG-07</x:v>
      </x:c>
      <x:c r="B11" s="4" t="str">
        <x:v>Tipo numérico = booleano</x:v>
      </x:c>
      <x:c r="C11" s="4" t="str">
        <x:v>1, cadena false y predicción condicional no se convierten por verdad genérica de programación.</x:v>
      </x:c>
      <x:c r="D11" s="4" t="str">
        <x:v>PASA</x:v>
      </x:c>
      <x:c r="E11" s="4" t="str">
        <x:v>TA-14/15/16</x:v>
      </x:c>
    </x:row>
    <x:row r="12" ht="47" customHeight="1">
      <x:c r="A12" s="4" t="str">
        <x:v>AG-08</x:v>
      </x:c>
      <x:c r="B12" s="4" t="str">
        <x:v>Silencio = 0</x:v>
      </x:c>
      <x:c r="C12" s="4" t="str">
        <x:v>Ausencia parcial declarada conserva U; vacío no declarado se rechaza por forma.</x:v>
      </x:c>
      <x:c r="D12" s="4" t="str">
        <x:v>PASA</x:v>
      </x:c>
      <x:c r="E12" s="4" t="str">
        <x:v>TA-03/17/20</x:v>
      </x:c>
    </x:row>
    <x:row r="13" ht="47" customHeight="1">
      <x:c r="A13" s="4" t="str">
        <x:v>AG-09</x:v>
      </x:c>
      <x:c r="B13" s="4" t="str">
        <x:v>Fallo técnico = U</x:v>
      </x:c>
      <x:c r="C13" s="4" t="str">
        <x:v>Registro de captura fallida no emite Tri. Instalación fallida es hecho profesional fuera del perfil, no fallo del Lenguaje.</x:v>
      </x:c>
      <x:c r="D13" s="4" t="str">
        <x:v>PASA</x:v>
      </x:c>
      <x:c r="E13" s="4" t="str">
        <x:v>TA-08/11</x:v>
      </x:c>
    </x:row>
    <x:row r="14" ht="47" customHeight="1">
      <x:c r="A14" s="4" t="str">
        <x:v>AG-10</x:v>
      </x:c>
      <x:c r="B14" s="4" t="str">
        <x:v>Dividir en dos átomos útiles</x:v>
      </x:c>
      <x:c r="C14" s="4" t="str">
        <x:v>Requisito y cumplimiento se separan antes de G5. Dividir el requisito por identificadores o palabras no aporta dos funciones gobernables en este uso.</x:v>
      </x:c>
      <x:c r="D14" s="4" t="str">
        <x:v>PASA EN USO DECLARADO</x:v>
      </x:c>
      <x:c r="E14" s="4" t="str">
        <x:v>QCY-04 D1/D2; 39</x:v>
      </x:c>
    </x:row>
    <x:row r="15" ht="47" customHeight="1">
      <x:c r="A15" s="4" t="str">
        <x:v>AG-11</x:v>
      </x:c>
      <x:c r="B15" s="4" t="str">
        <x:v>Independencia fingida</x:v>
      </x:c>
      <x:c r="C15" s="4" t="str">
        <x:v>TI-02/03/04 son contrastes documentales con premisas laterales declaradas; no observaciones reales ni pruebas de causalidad.</x:v>
      </x:c>
      <x:c r="D15" s="4" t="str">
        <x:v>PASA CON LIMITE</x:v>
      </x:c>
      <x:c r="E15" s="4" t="str">
        <x:v>41; CON-04</x:v>
      </x:c>
    </x:row>
    <x:row r="16" ht="47" customHeight="1">
      <x:c r="A16" s="4" t="str">
        <x:v>AG-12</x:v>
      </x:c>
      <x:c r="B16" s="4" t="str">
        <x:v>Ablación que depende de datos ocultos</x:v>
      </x:c>
      <x:c r="C16" s="4" t="str">
        <x:v>La proyección de AB-01 elimina la distinción y cualquier codificación indirecta, pero conserva el resto de la vista semántica declarada. No afirma identidad completa de dos ejecuciones.</x:v>
      </x:c>
      <x:c r="D16" s="4" t="str">
        <x:v>PASA CON LIMITE</x:v>
      </x:c>
      <x:c r="E16" s="4" t="str">
        <x:v>AB-01 en expediente y verificación</x:v>
      </x:c>
    </x:row>
    <x:row r="17" ht="47" customHeight="1">
      <x:c r="A17" s="4" t="str">
        <x:v>AG-13</x:v>
      </x:c>
      <x:c r="B17" s="4" t="str">
        <x:v>Cierre oportunista de universo</x:v>
      </x:c>
      <x:c r="C17" s="4" t="str">
        <x:v>Una distinción dictaminada no cierra Q0. Las demás distinciones quedan contadas y las dependencias materiales bloquean suficiencia.</x:v>
      </x:c>
      <x:c r="D17" s="4" t="str">
        <x:v>PASA</x:v>
      </x:c>
      <x:c r="E17" s="4" t="str">
        <x:v>38; 44</x:v>
      </x:c>
    </x:row>
    <x:row r="18" ht="47" customHeight="1">
      <x:c r="A18" s="4" t="str">
        <x:v>AG-14</x:v>
      </x:c>
      <x:c r="B18" s="4" t="str">
        <x:v>Tamaño inventado</x:v>
      </x:c>
      <x:c r="C18" s="4" t="str">
        <x:v>No se constituye célula, ni se infiere un tamaño desde Q0, observables o filas del Excel.</x:v>
      </x:c>
      <x:c r="D18" s="4" t="str">
        <x:v>PASA</x:v>
      </x:c>
      <x:c r="E18" s="4" t="str">
        <x:v>I005 §7.3; mandato humano</x:v>
      </x:c>
    </x:row>
    <x:row r="19" ht="47" customHeight="1">
      <x:c r="A19" s="4" t="str">
        <x:v>AG-15</x:v>
      </x:c>
      <x:c r="B19" s="4" t="str">
        <x:v>Soberanía simulada</x:v>
      </x:c>
      <x:c r="C19" s="4" t="str">
        <x:v>El dictamen es de Watson, documentado bajo mandato. No se falsifica la aprobación nominal ni se activa corpus de un agente.</x:v>
      </x:c>
      <x:c r="D19" s="4" t="str">
        <x:v>PASA</x:v>
      </x:c>
      <x:c r="E19" s="4" t="str">
        <x:v>36 LG-01; 39 estatuto</x:v>
      </x:c>
    </x:row>
    <x:row r="20" ht="47" customHeight="1">
      <x:c r="A20" s="4" t="str">
        <x:v>AG-16</x:v>
      </x:c>
      <x:c r="B20" s="4" t="str">
        <x:v>Alfabetos mezclados</x:v>
      </x:c>
      <x:c r="C20" s="4" t="str">
        <x:v>VALIDA, FUERA_PERFIL y diagnósticos son resultados del control documental. Sólo la columna Tri del parámetro contiene 0/1/U.</x:v>
      </x:c>
      <x:c r="D20" s="4" t="str">
        <x:v>PASA</x:v>
      </x:c>
      <x:c r="E20" s="4" t="str">
        <x:v>41 contrato</x:v>
      </x:c>
    </x:row>
    <x:row r="21" ht="47" customHeight="1">
      <x:c r="A21" s="4" t="str">
        <x:v>AG-17</x:v>
      </x:c>
      <x:c r="B21" s="4" t="str">
        <x:v>Prueba del Lenguaje fingida</x:v>
      </x:c>
      <x:c r="C21" s="4" t="str">
        <x:v>Los ensayos son fórmulas y testigos documentales locales; no se ejecuta el Lenguaje recibido ni se acredita captura productiva.</x:v>
      </x:c>
      <x:c r="D21" s="4" t="str">
        <x:v>PASA</x:v>
      </x:c>
      <x:c r="E21" s="4" t="str">
        <x:v>RETP-105; 44</x:v>
      </x:c>
    </x:row>
    <x:row r="22" ht="47" customHeight="1">
      <x:c r="A22" s="4" t="str">
        <x:v>AG-18</x:v>
      </x:c>
      <x:c r="B22" s="4" t="str">
        <x:v>Fuentes seleccionadas por comodidad</x:v>
      </x:c>
      <x:c r="C22" s="4" t="str">
        <x:v>CYO-26 se elige por el problema de cierre prematuro y sus consecuencias. El perfil se acota después para que la evidencia sea comprobable.</x:v>
      </x:c>
      <x:c r="D22" s="4" t="str">
        <x:v>PASA EN ALCANCE</x:v>
      </x:c>
      <x:c r="E22" s="4" t="str">
        <x:v>36 LG-03/06; 37</x:v>
      </x:c>
    </x:row>
    <x:row r="23" ht="47" customHeight="1">
      <x:c r="A23" s="4" t="str">
        <x:v>AG-19</x:v>
      </x:c>
      <x:c r="B23" s="4" t="str">
        <x:v>Controles verdes = atomicidad</x:v>
      </x:c>
      <x:c r="C23" s="4" t="str">
        <x:v>Las fórmulas verifican correspondencia y el contrato sintético. La atomicidad descansa además en argumento semántico, separación, fuentes y ablación.</x:v>
      </x:c>
      <x:c r="D23" s="4" t="str">
        <x:v>PASA CON LIMITE</x:v>
      </x:c>
      <x:c r="E23" s="4" t="str">
        <x:v>39; 40; 42</x:v>
      </x:c>
    </x:row>
    <x:row r="24" ht="47" customHeight="1">
      <x:c r="A24" s="4" t="str">
        <x:v>AG-20</x:v>
      </x:c>
      <x:c r="B24" s="4" t="str">
        <x:v>Adversarial independiente fingida</x:v>
      </x:c>
      <x:c r="C24" s="4" t="str">
        <x:v>Revisión interna efectuada por la misma unidad. No hay dictamen externo recibido en este lote.</x:v>
      </x:c>
      <x:c r="D24" s="4" t="str">
        <x:v>DECLARADO</x:v>
      </x:c>
      <x:c r="E24" s="4" t="str">
        <x:v>Expediente único</x:v>
      </x:c>
    </x:row>
  </x:sheetData>
  <x:mergeCells>
    <x:mergeCell ref="A1:D1"/>
    <x:mergeCell ref="A2:E2"/>
  </x:mergeCells>
  <x:pageMargins left="0.7" right="0.7" top="0.75" bottom="0.75" header="0.3" footer="0.3"/>
  <x:tableParts count="1">
    <x:tablePart xmlns:r="http://schemas.openxmlformats.org/officeDocument/2006/relationships" r:id="Re448bc9e0b564bc7"/>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5" hidden="0" customWidth="1"/>
    <x:col min="2" max="2" width="65" hidden="0" customWidth="1"/>
    <x:col min="3" max="3" width="80" hidden="0" customWidth="1"/>
    <x:col min="4" max="4" width="67" hidden="0" customWidth="1"/>
    <x:col min="5" max="5" width="80" hidden="0" customWidth="1"/>
    <x:col min="6" max="6" width="31" hidden="0" customWidth="1"/>
    <x:col min="7" max="7" width="18" hidden="0" customWidth="1"/>
    <x:col min="8" max="8" width="67" hidden="0" customWidth="1"/>
    <x:col min="9" max="9" width="83" hidden="0" customWidth="1"/>
  </x:cols>
  <x:sheetData>
    <x:row r="1" ht="35" customHeight="1">
      <x:c r="A1" s="6" t="str">
        <x:v>FUENTES · primer recorrido atómico</x:v>
      </x:c>
      <x:c r="B1" s="6"/>
      <x:c r="C1" s="6"/>
      <x:c r="D1" s="6"/>
      <x:c r="E1" s="6"/>
      <x:c r="F1" s="6"/>
      <x:c r="G1" s="6"/>
      <x:c r="H1" s="6"/>
      <x:c r="I1" s="6"/>
    </x:row>
    <x:row r="2" ht="52" customHeight="1">
      <x:c r="A2" s="8" t="str">
        <x:v>Seis capturas nuevas por una necesidad concreta. Bytes anteriores de R025/R033/R035 y precedentes IMM contrastados. El registro de gobierno del libro conserva I005 y S017–S019.</x:v>
      </x:c>
      <x:c r="B2" s="8"/>
      <x:c r="C2" s="8"/>
      <x:c r="D2" s="8"/>
      <x:c r="E2" s="8"/>
      <x:c r="F2" s="8"/>
      <x:c r="G2" s="8"/>
      <x:c r="H2" s="8"/>
      <x:c r="I2" s="8"/>
    </x:row>
    <x:row r="3">
      <x:c r="A3" s="4"/>
      <x:c r="B3" s="4"/>
      <x:c r="C3" s="4"/>
      <x:c r="D3" s="4"/>
      <x:c r="E3" s="4"/>
      <x:c r="F3" s="4"/>
      <x:c r="G3" s="4"/>
      <x:c r="H3" s="4"/>
      <x:c r="I3" s="4"/>
    </x:row>
    <x:row r="4" ht="42" customHeight="1">
      <x:c r="A4" s="10" t="str">
        <x:v>ID</x:v>
      </x:c>
      <x:c r="B4" s="10" t="str">
        <x:v>Documento y edición</x:v>
      </x:c>
      <x:c r="C4" s="10" t="str">
        <x:v>URL</x:v>
      </x:c>
      <x:c r="D4" s="10" t="str">
        <x:v>Localizador utilizado</x:v>
      </x:c>
      <x:c r="E4" s="10" t="str">
        <x:v>Función de la fuente</x:v>
      </x:c>
      <x:c r="F4" s="10" t="str">
        <x:v>Captura</x:v>
      </x:c>
      <x:c r="G4" s="10" t="str">
        <x:v>Bytes exactos</x:v>
      </x:c>
      <x:c r="H4" s="10" t="str">
        <x:v>SHA-256</x:v>
      </x:c>
      <x:c r="I4" s="10" t="str">
        <x:v>Adopción / límite</x:v>
      </x:c>
    </x:row>
    <x:row r="5" ht="47" customHeight="1">
      <x:c r="A5" s="4" t="str">
        <x:v>T001</x:v>
      </x:c>
      <x:c r="B5" s="4" t="str">
        <x:v>NIST SP 800-40 Rev. 4 · abril 2022</x:v>
      </x:c>
      <x:c r="C5" s="4" t="str">
        <x:v>https://nvlpubs.nist.gov/nistpubs/SpecialPublications/NIST.SP.800-40r4.pdf</x:v>
      </x:c>
      <x:c r="D5" s="4" t="str">
        <x:v>§§2.1–2.3, pp.3–7; §3.2, pp.10–11 (impresas)</x:v>
      </x:c>
      <x:c r="E5" s="4" t="str">
        <x:v>Método profesional: instalación, completitud, efecto y contexto de mantenimiento.</x:v>
      </x:c>
      <x:c r="F5" s="4" t="str">
        <x:v>PDF_ORIGINAL_CAPTURADO</x:v>
      </x:c>
      <x:c r="G5" s="4" t="str">
        <x:v>562944</x:v>
      </x:c>
      <x:c r="H5" s="4" t="str">
        <x:v>351f4a828d6c0bc8bf98f25ba3f87ec5add0ed8cf8bb4a6e6cb4e7e4a9731833</x:v>
      </x:c>
      <x:c r="I5" s="4" t="str">
        <x:v>CAPTURA CONGELADA; incorporación productiva sólo por decisión humana</x:v>
      </x:c>
    </x:row>
    <x:row r="6" ht="47" customHeight="1">
      <x:c r="A6" s="4" t="str">
        <x:v>T002</x:v>
      </x:c>
      <x:c r="B6" s="4" t="str">
        <x:v>Microsoft · RebootRequired individual · 22-02-2024</x:v>
      </x:c>
      <x:c r="C6" s="4" t="str">
        <x:v>https://learn.microsoft.com/en-us/windows/win32/api/wuapi/nf-wuapi-iupdateinstallationresult-get_rebootrequired</x:v>
      </x:c>
      <x:c r="D6" s="4" t="str">
        <x:v>IUpdateInstallationResult::get_RebootRequired</x:v>
      </x:c>
      <x:c r="E6" s="4" t="str">
        <x:v>Semántica del observable de este perfil.</x:v>
      </x:c>
      <x:c r="F6" s="4" t="str">
        <x:v>HTML_ORIGINAL_CAPTURADO</x:v>
      </x:c>
      <x:c r="G6" s="4" t="str">
        <x:v>50835</x:v>
      </x:c>
      <x:c r="H6" s="4" t="str">
        <x:v>60d570d8f3004189142e2071cad26b8f442365276580c2b925733bffe3b012db</x:v>
      </x:c>
      <x:c r="I6" s="4" t="str">
        <x:v>CAPTURA CONGELADA; incorporación productiva sólo por decisión humana</x:v>
      </x:c>
    </x:row>
    <x:row r="7" ht="47" customHeight="1">
      <x:c r="A7" s="4" t="str">
        <x:v>T003</x:v>
      </x:c>
      <x:c r="B7" s="4" t="str">
        <x:v>Microsoft · InstallationRebootBehavior · 24-06-2021</x:v>
      </x:c>
      <x:c r="C7" s="4" t="str">
        <x:v>https://learn.microsoft.com/en-us/openspecs/windows_protocols/ms-uamg/eee24bbd-0be7-4a81-bed5-bff1fbb1832b</x:v>
      </x:c>
      <x:c r="D7" s="4" t="str">
        <x:v>MS-UAMG §2.2.2</x:v>
      </x:c>
      <x:c r="E7" s="4" t="str">
        <x:v>Contraste: predicción del paquete no sustituye resultado individual.</x:v>
      </x:c>
      <x:c r="F7" s="4" t="str">
        <x:v>HTML_ORIGINAL_CAPTURADO</x:v>
      </x:c>
      <x:c r="G7" s="4" t="str">
        <x:v>36052</x:v>
      </x:c>
      <x:c r="H7" s="4" t="str">
        <x:v>706aa7f8fe5da9cc90ebbff73708976dbf1f80a3381eed4d91a14b0cb1743722</x:v>
      </x:c>
      <x:c r="I7" s="4" t="str">
        <x:v>CAPTURA CONGELADA; incorporación productiva sólo por decisión humana</x:v>
      </x:c>
    </x:row>
    <x:row r="8" ht="47" customHeight="1">
      <x:c r="A8" s="4" t="str">
        <x:v>T004</x:v>
      </x:c>
      <x:c r="B8" s="4" t="str">
        <x:v>Microsoft · OperationResultCode · 22-02-2024</x:v>
      </x:c>
      <x:c r="C8" s="4" t="str">
        <x:v>https://learn.microsoft.com/en-us/windows/win32/api/wuapi/ne-wuapi-operationresultcode</x:v>
      </x:c>
      <x:c r="D8" s="4" t="str">
        <x:v>Constantes orcSucceeded, orcSucceededWithErrors, etc.</x:v>
      </x:c>
      <x:c r="E8" s="4" t="str">
        <x:v>Condición y exclusiones del perfil de observación.</x:v>
      </x:c>
      <x:c r="F8" s="4" t="str">
        <x:v>HTML_ORIGINAL_CAPTURADO</x:v>
      </x:c>
      <x:c r="G8" s="4" t="str">
        <x:v>50381</x:v>
      </x:c>
      <x:c r="H8" s="4" t="str">
        <x:v>d016f124e76dd51c6921338682697ecc9f81d3cb34925277261b71a1b9f67f8c</x:v>
      </x:c>
      <x:c r="I8" s="4" t="str">
        <x:v>CAPTURA CONGELADA; incorporación productiva sólo por decisión humana</x:v>
      </x:c>
    </x:row>
    <x:row r="9" ht="47" customHeight="1">
      <x:c r="A9" s="4" t="str">
        <x:v>T005</x:v>
      </x:c>
      <x:c r="B9" s="4" t="str">
        <x:v>Microsoft · IUpdateInstallationResult Properties · 07-01-2021</x:v>
      </x:c>
      <x:c r="C9" s="4" t="str">
        <x:v>https://learn.microsoft.com/en-us/windows/win32/wua_sdk/iupdateinstallationresult-properties</x:v>
      </x:c>
      <x:c r="D9" s="4" t="str">
        <x:v>HResult, RebootRequired, ResultCode</x:v>
      </x:c>
      <x:c r="E9" s="4" t="str">
        <x:v>Propiedades distintas, no intercambiables.</x:v>
      </x:c>
      <x:c r="F9" s="4" t="str">
        <x:v>HTML_ORIGINAL_CAPTURADO</x:v>
      </x:c>
      <x:c r="G9" s="4" t="str">
        <x:v>47714</x:v>
      </x:c>
      <x:c r="H9" s="4" t="str">
        <x:v>9225a152705099736623664d8d79507c79175632f17b7590c6678df8dabea0ec</x:v>
      </x:c>
      <x:c r="I9" s="4" t="str">
        <x:v>CAPTURA CONGELADA; incorporación productiva sólo por decisión humana</x:v>
      </x:c>
    </x:row>
    <x:row r="10" ht="47" customHeight="1">
      <x:c r="A10" s="4" t="str">
        <x:v>T006</x:v>
      </x:c>
      <x:c r="B10" s="4" t="str">
        <x:v>Microsoft · GetUpdateResult · 22-02-2024</x:v>
      </x:c>
      <x:c r="C10" s="4" t="str">
        <x:v>https://learn.microsoft.com/en-us/windows/win32/api/wuapi/nf-wuapi-iinstallationresult-getupdateResult</x:v>
      </x:c>
      <x:c r="D10" s="4" t="str">
        <x:v>IInstallationResult::GetUpdateResult; parámetros y retorno</x:v>
      </x:c>
      <x:c r="E10" s="4" t="str">
        <x:v>Resultado individual y correspondencia con índice de actualización.</x:v>
      </x:c>
      <x:c r="F10" s="4" t="str">
        <x:v>HTML_ORIGINAL_CAPTURADO</x:v>
      </x:c>
      <x:c r="G10" s="4" t="str">
        <x:v>50707</x:v>
      </x:c>
      <x:c r="H10" s="4" t="str">
        <x:v>55decce78c4396ff2a1b28ab75624d40891eecf7cf7dc73733452c8abb6eafcb</x:v>
      </x:c>
      <x:c r="I10" s="4" t="str">
        <x:v>CAPTURA CONGELADA; incorporación productiva sólo por decisión humana</x:v>
      </x:c>
    </x:row>
    <x:row r="11" ht="47" customHeight="1">
      <x:c r="A11" s="4" t="str">
        <x:v>R025</x:v>
      </x:c>
      <x:c r="B11" s="4" t="str">
        <x:v>URJC · Sistemas Operativos 2026–27</x:v>
      </x:c>
      <x:c r="C11" s="4" t="str">
        <x:v>https://gestion3.urjc.es/guiasdocentes/pdfGuia.jsp?txtAsignatura=2285025&amp;txtTitulacion=2285&amp;txtCursoAcademico=2026-27</x:v>
      </x:c>
      <x:c r="D11" s="4" t="str">
        <x:v>IV, temas 2/4/5/6</x:v>
      </x:c>
      <x:c r="E11" s="4" t="str">
        <x:v>Base educativa; no prueba automática de efecto de un parche.</x:v>
      </x:c>
      <x:c r="F11" s="4" t="str">
        <x:v>CAPTURA ANTERIOR VERIFICADA</x:v>
      </x:c>
      <x:c r="G11" s="4" t="str">
        <x:v>282277</x:v>
      </x:c>
      <x:c r="H11" s="4" t="str">
        <x:v>b3af36599e0e0358090f8457da07c8994e6c92e02e01368c49c63ca44a24c540</x:v>
      </x:c>
      <x:c r="I11" s="4" t="str">
        <x:v>Corte anterior conservado; no nueva adquisición</x:v>
      </x:c>
    </x:row>
    <x:row r="12" ht="47" customHeight="1">
      <x:c r="A12" s="4" t="str">
        <x:v>R035</x:v>
      </x:c>
      <x:c r="B12" s="4" t="str">
        <x:v>URJC · Gestión del Ciberriesgo 2026–27</x:v>
      </x:c>
      <x:c r="C12" s="4" t="str">
        <x:v>https://gestion3.urjc.es/guiasdocentes/pdfGuia.jsp?txtAsignatura=2285036&amp;txtTitulacion=2285&amp;txtCursoAcademico=2026-27</x:v>
      </x:c>
      <x:c r="D12" s="4" t="str">
        <x:v>IV, unidades 6/9/11</x:v>
      </x:c>
      <x:c r="E12" s="4" t="str">
        <x:v>Impacto, mitigación y sesgos; no puntuación automática.</x:v>
      </x:c>
      <x:c r="F12" s="4" t="str">
        <x:v>CAPTURA ANTERIOR VERIFICADA</x:v>
      </x:c>
      <x:c r="G12" s="4" t="str">
        <x:v>278163</x:v>
      </x:c>
      <x:c r="H12" s="4" t="str">
        <x:v>099a3eb2a03c5040f76ddc3676ae6ed1987e0432626f014812a720fd204c0eea</x:v>
      </x:c>
      <x:c r="I12" s="4" t="str">
        <x:v>Corte anterior conservado; no nueva adquisición</x:v>
      </x:c>
    </x:row>
    <x:row r="13" ht="47" customHeight="1">
      <x:c r="A13" s="4" t="str">
        <x:v>R033</x:v>
      </x:c>
      <x:c r="B13" s="4" t="str">
        <x:v>URJC · Inteligencia de Seguridad 2026–27</x:v>
      </x:c>
      <x:c r="C13" s="4" t="str">
        <x:v>https://gestion3.urjc.es/guiasdocentes/pdfGuia.jsp?txtAsignatura=2285033&amp;txtTitulacion=2285&amp;txtCursoAcademico=2026-27</x:v>
      </x:c>
      <x:c r="D13" s="4" t="str">
        <x:v>IV, continuidad BCP/DRP</x:v>
      </x:c>
      <x:c r="E13" s="4" t="str">
        <x:v>Contexto de continuidad del servicio.</x:v>
      </x:c>
      <x:c r="F13" s="4" t="str">
        <x:v>CAPTURA ANTERIOR VERIFICADA</x:v>
      </x:c>
      <x:c r="G13" s="4" t="str">
        <x:v>255674</x:v>
      </x:c>
      <x:c r="H13" s="4" t="str">
        <x:v>951ba49ae08e05ed51c8a017382fdd0c44d4d044848571e759a6962ed2f7f314</x:v>
      </x:c>
      <x:c r="I13" s="4" t="str">
        <x:v>Corte anterior conservado; no nueva adquisición</x:v>
      </x:c>
    </x:row>
    <x:row r="14" ht="76" customHeight="1">
      <x:c r="A14" s="4" t="str">
        <x:v>AM-01</x:v>
      </x:c>
      <x:c r="B14" s="4" t="str">
        <x:v>Contrato IMM NA0-MATH v0.3</x:v>
      </x:c>
      <x:c r="C14" s="4" t="str">
        <x:v>https://github.com/juantoniolloretegea/SVperitus-dataset/blob/fe8adf76aa030ba5ff4997be5772b5de5e4452f3/dominios/inmunologia/cambio-rumbo/03-base-documental-candidata/05-normalizacion-atomica-en-evaluacion/Contrato_matematico_parametro_atomico_matriz_ruta_INMUNO_v0.3_2026-09-02.md</x:v>
      </x:c>
      <x:c r="D14" s="4" t="str">
        <x:v>§§1,3–7</x:v>
      </x:c>
      <x:c r="E14" s="4" t="str">
        <x:v>Diez pruebas de atomicidad; no se importan §§8–10 como nueva doctrina CYB.</x:v>
      </x:c>
      <x:c r="F14" s="4" t="str">
        <x:v>CAPTURA ANTERIOR VERIFICADA</x:v>
      </x:c>
      <x:c r="G14" s="4" t="str">
        <x:v>15627</x:v>
      </x:c>
      <x:c r="H14" s="4" t="str">
        <x:v>5fce31d5d9f5c8d979171c1d91bd47a2a97fdb90fbef990fa8d3d1fda41c1f37</x:v>
      </x:c>
      <x:c r="I14" s="4" t="str">
        <x:v>Corte anterior conservado; no nueva adquisición</x:v>
      </x:c>
    </x:row>
    <x:row r="15" ht="76" customHeight="1">
      <x:c r="A15" s="4" t="str">
        <x:v>S013</x:v>
      </x:c>
      <x:c r="B15" s="4" t="str">
        <x:v>Primera adjudicación IMM SEM-EXP-005</x:v>
      </x:c>
      <x:c r="C15" s="4" t="str">
        <x:v>https://github.com/juantoniolloretegea/SVperitus-dataset/blob/fe8adf76aa030ba5ff4997be5772b5de5e4452f3/dominios/inmunologia/cambio-rumbo/03-base-documental-candidata/10-atomicidad-en-evaluacion/Adjudicacion_atomica_G5-ATM_SEM-EXP-005_OP-IMM-001_v0.1_2026-09-03.md</x:v>
      </x:c>
      <x:c r="D15" s="4" t="str">
        <x:v>§§3–9</x:v>
      </x:c>
      <x:c r="E15" s="4" t="str">
        <x:v>Precedente de separación y contraste; no contenido clínico transferido.</x:v>
      </x:c>
      <x:c r="F15" s="4" t="str">
        <x:v>CAPTURA ANTERIOR VERIFICADA</x:v>
      </x:c>
      <x:c r="G15" s="4" t="str">
        <x:v>18256</x:v>
      </x:c>
      <x:c r="H15" s="4" t="str">
        <x:v>9a90e2a630c30dffe10032c27d4e81aeec5812ae4e6f04ee6ac4a938e029fb66</x:v>
      </x:c>
      <x:c r="I15" s="4" t="str">
        <x:v>Corte anterior conservado; no nueva adquisición</x:v>
      </x:c>
    </x:row>
  </x:sheetData>
  <x:mergeCells>
    <x:mergeCell ref="A1:D1"/>
    <x:mergeCell ref="A2:F2"/>
  </x:mergeCells>
  <x:pageMargins left="0.7" right="0.7" top="0.75" bottom="0.75" header="0.3" footer="0.3"/>
  <x:tableParts count="1">
    <x:tablePart xmlns:r="http://schemas.openxmlformats.org/officeDocument/2006/relationships" r:id="Rc884c929668f40e6"/>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6" hidden="0" customWidth="1"/>
    <x:col min="2" max="2" width="62" hidden="0" customWidth="1"/>
    <x:col min="3" max="3" width="34" hidden="0" customWidth="1"/>
    <x:col min="4" max="4" width="31" hidden="0" customWidth="1"/>
    <x:col min="5" max="5" width="102" hidden="0" customWidth="1"/>
  </x:cols>
  <x:sheetData>
    <x:row r="1" ht="35" customHeight="1">
      <x:c r="A1" s="6" t="str">
        <x:v>CONTROL · resultado y límites de la primera adjudicación</x:v>
      </x:c>
      <x:c r="B1" s="6"/>
      <x:c r="C1" s="6"/>
      <x:c r="D1" s="6"/>
      <x:c r="E1" s="6"/>
    </x:row>
    <x:row r="2" ht="52" customHeight="1">
      <x:c r="A2" s="8" t="str">
        <x:v>Controles de estructura y contrato documental; no despliegue, daño empírico, observador productivo ni certificación del Lenguaje.</x:v>
      </x:c>
      <x:c r="B2" s="8"/>
      <x:c r="C2" s="8"/>
      <x:c r="D2" s="8"/>
      <x:c r="E2" s="8"/>
    </x:row>
    <x:row r="3">
      <x:c r="A3" s="4"/>
      <x:c r="B3" s="4"/>
      <x:c r="C3" s="4"/>
      <x:c r="D3" s="4"/>
      <x:c r="E3" s="4"/>
    </x:row>
    <x:row r="4" ht="42" customHeight="1">
      <x:c r="A4" s="10" t="str">
        <x:v>ID</x:v>
      </x:c>
      <x:c r="B4" s="10" t="str">
        <x:v>Control</x:v>
      </x:c>
      <x:c r="C4" s="10" t="str">
        <x:v>Observado</x:v>
      </x:c>
      <x:c r="D4" s="10" t="str">
        <x:v>Esperado</x:v>
      </x:c>
      <x:c r="E4" s="10" t="str">
        <x:v>Límite</x:v>
      </x:c>
    </x:row>
    <x:row r="5" ht="47" customHeight="1">
      <x:c r="A5" s="4" t="str">
        <x:v>G5-C01</x:v>
      </x:c>
      <x:c r="B5" s="4" t="str">
        <x:v>Raíces del corte Q0</x:v>
      </x:c>
      <x:c r="C5" s="17" t="n">
        <x:f>COUNTA('38_Q0_y_terminacion'!$A$5:$A$13)</x:f>
        <x:v>9</x:v>
      </x:c>
      <x:c r="D5" s="13" t="n">
        <x:v>9</x:v>
      </x:c>
      <x:c r="E5" s="4" t="str">
        <x:v>No son células ni universos adicionales.</x:v>
      </x:c>
    </x:row>
    <x:row r="6" ht="47" customHeight="1">
      <x:c r="A6" s="4" t="str">
        <x:v>G5-C02</x:v>
      </x:c>
      <x:c r="B6" s="4" t="str">
        <x:v>Distinciones declaradas</x:v>
      </x:c>
      <x:c r="C6" s="17" t="n">
        <x:f>SUM('38_Q0_y_terminacion'!$E$5:$E$13)</x:f>
        <x:v>31</x:v>
      </x:c>
      <x:c r="D6" s="13" t="n">
        <x:v>31</x:v>
      </x:c>
      <x:c r="E6" s="4" t="str">
        <x:v>Medida inicial; no recuento de parámetros.</x:v>
      </x:c>
    </x:row>
    <x:row r="7" ht="47" customHeight="1">
      <x:c r="A7" s="4" t="str">
        <x:v>G5-C03</x:v>
      </x:c>
      <x:c r="B7" s="4" t="str">
        <x:v>Distinciones con dictamen G5</x:v>
      </x:c>
      <x:c r="C7" s="17" t="n">
        <x:f>SUM('38_Q0_y_terminacion'!$F$5:$F$13)</x:f>
        <x:v>1</x:v>
      </x:c>
      <x:c r="D7" s="13" t="n">
        <x:v>1</x:v>
      </x:c>
      <x:c r="E7" s="4" t="str">
        <x:v>No equivale a adopción soberana nominal.</x:v>
      </x:c>
    </x:row>
    <x:row r="8" ht="47" customHeight="1">
      <x:c r="A8" s="4" t="str">
        <x:v>G5-C04</x:v>
      </x:c>
      <x:c r="B8" s="4" t="str">
        <x:v>Distinciones pendientes</x:v>
      </x:c>
      <x:c r="C8" s="17" t="n">
        <x:f>SUM('38_Q0_y_terminacion'!$G$5:$G$13)</x:f>
        <x:v>30</x:v>
      </x:c>
      <x:c r="D8" s="13" t="n">
        <x:v>30</x:v>
      </x:c>
      <x:c r="E8" s="4" t="str">
        <x:v>Bloquean las capacidades que dependan de ellas.</x:v>
      </x:c>
    </x:row>
    <x:row r="9" ht="47" customHeight="1">
      <x:c r="A9" s="4" t="str">
        <x:v>G5-C05</x:v>
      </x:c>
      <x:c r="B9" s="4" t="str">
        <x:v>Testigos documentales del contrato</x:v>
      </x:c>
      <x:c r="C9" s="17" t="n">
        <x:f>COUNTA('41_Testigos_G5'!$A$5:$A$32)</x:f>
        <x:v>28</x:v>
      </x:c>
      <x:c r="D9" s="13" t="n">
        <x:v>28</x:v>
      </x:c>
      <x:c r="E9" s="4" t="str">
        <x:v>Resultados esperados fijados antes del cálculo.</x:v>
      </x:c>
    </x:row>
    <x:row r="10" ht="47" customHeight="1">
      <x:c r="A10" s="4" t="str">
        <x:v>G5-C06</x:v>
      </x:c>
      <x:c r="B10" s="4" t="str">
        <x:v>Discordancias de testigos</x:v>
      </x:c>
      <x:c r="C10" s="17" t="n">
        <x:f>COUNTIF('41_Testigos_G5'!$Q$5:$Q$32,"NO_PASA")</x:f>
        <x:v>0</x:v>
      </x:c>
      <x:c r="D10" s="13" t="n">
        <x:v>0</x:v>
      </x:c>
      <x:c r="E10" s="4" t="str">
        <x:v>Una fórmula verde no certifica atomicidad ni verdad del dato real.</x:v>
      </x:c>
    </x:row>
    <x:row r="11" ht="47" customHeight="1">
      <x:c r="A11" s="4" t="str">
        <x:v>G5-C07</x:v>
      </x:c>
      <x:c r="B11" s="4" t="str">
        <x:v>Fuentes nuevas capturadas</x:v>
      </x:c>
      <x:c r="C11" s="17" t="n">
        <x:f>COUNTIF('43_Fuentes_atomicas'!$F$5:$F$15,"PDF_ORIGINAL_CAPTURADO")+COUNTIF('43_Fuentes_atomicas'!$F$5:$F$15,"HTML_ORIGINAL_CAPTURADO")</x:f>
        <x:v>6</x:v>
      </x:c>
      <x:c r="D11" s="13" t="n">
        <x:v>6</x:v>
      </x:c>
      <x:c r="E11" s="4" t="str">
        <x:v>T001–T006; capturas originales preservadas.</x:v>
      </x:c>
    </x:row>
    <x:row r="12" ht="47" customHeight="1">
      <x:c r="A12" s="4" t="str">
        <x:v>G5-C08</x:v>
      </x:c>
      <x:c r="B12" s="4" t="str">
        <x:v>Adversariales internas registradas</x:v>
      </x:c>
      <x:c r="C12" s="17" t="n">
        <x:f>COUNTA('42_Adversarial_G5'!$A$5:$A$24)</x:f>
        <x:v>20</x:v>
      </x:c>
      <x:c r="D12" s="13" t="n">
        <x:v>20</x:v>
      </x:c>
      <x:c r="E12" s="4" t="str">
        <x:v>No constituyen auditoría independiente.</x:v>
      </x:c>
    </x:row>
    <x:row r="13" ht="47" customHeight="1">
      <x:c r="A13" s="4" t="str">
        <x:v>G5-C09</x:v>
      </x:c>
      <x:c r="B13" s="4" t="str">
        <x:v>Ablación AB-01</x:v>
      </x:c>
      <x:c r="C13" s="4" t="str">
        <x:v>PASA</x:v>
      </x:c>
      <x:c r="D13" s="4" t="str">
        <x:v>PASA</x:v>
      </x:c>
      <x:c r="E13" s="4" t="str">
        <x:v>La proyección pierde la diferencia de obligación documental.</x:v>
      </x:c>
    </x:row>
    <x:row r="14" ht="47" customHeight="1">
      <x:c r="A14" s="4" t="str">
        <x:v>G5-C10</x:v>
      </x:c>
      <x:c r="B14" s="4" t="str">
        <x:v>Sensibilidad de observador documental</x:v>
      </x:c>
      <x:c r="C14" s="4" t="str">
        <x:v>PASA</x:v>
      </x:c>
      <x:c r="D14" s="4" t="str">
        <x:v>PASA</x:v>
      </x:c>
      <x:c r="E14" s="4" t="str">
        <x:v>Una versión que ignora el requisito debe ser detectada.</x:v>
      </x:c>
    </x:row>
    <x:row r="15" ht="47" customHeight="1">
      <x:c r="A15" s="4" t="str">
        <x:v>G5-C11</x:v>
      </x:c>
      <x:c r="B15" s="4" t="str">
        <x:v>Átomos dictaminados por la unidad</x:v>
      </x:c>
      <x:c r="C15" s="17" t="n">
        <x:f>SUM('38_Q0_y_terminacion'!$F$5:$F$13)</x:f>
        <x:v>1</x:v>
      </x:c>
      <x:c r="D15" s="13" t="n">
        <x:v>1</x:v>
      </x:c>
      <x:c r="E15" s="4" t="str">
        <x:v>PARAMETRO_ATOMICO en alcance documental v0.1.</x:v>
      </x:c>
    </x:row>
    <x:row r="16" ht="47" customHeight="1">
      <x:c r="A16" s="4" t="str">
        <x:v>G5-C12</x:v>
      </x:c>
      <x:c r="B16" s="4" t="str">
        <x:v>Universo cerrado / células / rutas / Frames</x:v>
      </x:c>
      <x:c r="C16" s="4" t="str">
        <x:v>0 / 0 / 0 / 0</x:v>
      </x:c>
      <x:c r="D16" s="4" t="str">
        <x:v>0 / 0 / 0 / 0</x:v>
      </x:c>
      <x:c r="E16" s="4" t="str">
        <x:v>Primera adjudicación no habilita G6 ni certifica agente.</x:v>
      </x:c>
    </x:row>
  </x:sheetData>
  <x:mergeCells>
    <x:mergeCell ref="A1:D1"/>
    <x:mergeCell ref="A2:E2"/>
  </x:mergeCells>
  <x:conditionalFormatting sqref="C5:C16">
    <x:cfRule type="expression" dxfId="23" priority="1">
      <x:formula>C5&lt;&gt;D5</x:formula>
    </x:cfRule>
  </x:conditionalFormatting>
  <x:pageMargins left="0.7" right="0.7" top="0.75" bottom="0.75" header="0.3" footer="0.3"/>
  <x:tableParts count="1">
    <x:tablePart xmlns:r="http://schemas.openxmlformats.org/officeDocument/2006/relationships" r:id="R58ea507658d14691"/>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1" hidden="0" customWidth="1"/>
    <x:col min="2" max="2" width="66" hidden="0" customWidth="1"/>
    <x:col min="3" max="3" width="113" hidden="0" customWidth="1"/>
  </x:cols>
  <x:sheetData>
    <x:row r="1" ht="35" customHeight="1">
      <x:c r="A1" s="6" t="str">
        <x:v>APERTURA · primer parámetro adoptado</x:v>
      </x:c>
      <x:c r="B1" s="6"/>
      <x:c r="C1" s="6"/>
    </x:row>
    <x:row r="2" ht="52" customHeight="1">
      <x:c r="A2" s="8" t="str">
        <x:v>Suceso posterior al corte v0.4. No altera retrospectivamente las hojas históricas 36–44.</x:v>
      </x:c>
      <x:c r="B2" s="8"/>
      <x:c r="C2" s="8"/>
    </x:row>
    <x:row r="3">
      <x:c r="A3" s="4"/>
      <x:c r="B3" s="4"/>
      <x:c r="C3" s="4"/>
    </x:row>
    <x:row r="4" ht="42" customHeight="1">
      <x:c r="A4" s="10" t="str">
        <x:v>Elemento</x:v>
      </x:c>
      <x:c r="B4" s="10" t="str">
        <x:v>Estado actual</x:v>
      </x:c>
      <x:c r="C4" s="10" t="str">
        <x:v>Fundamento</x:v>
      </x:c>
    </x:row>
    <x:row r="5" ht="47" customHeight="1">
      <x:c r="A5" s="4" t="str">
        <x:v>Universo</x:v>
      </x:c>
      <x:c r="B5" s="4" t="str">
        <x:v>ABIERTO_EN_CONSTITUCION</x:v>
      </x:c>
      <x:c r="C5" s="4" t="str">
        <x:v>OP-CYB-001; acta y manifiesto publicados en 2454cb1080c2f824bd3b8115cb31729db8f2d7e8</x:v>
      </x:c>
    </x:row>
    <x:row r="6" ht="47" customHeight="1">
      <x:c r="A6" s="4" t="str">
        <x:v>P01</x:v>
      </x:c>
      <x:c r="B6" s="4" t="str">
        <x:v>ADOPTADO_POR_DIRECCION</x:v>
      </x:c>
      <x:c r="C6" s="4" t="str">
        <x:v>PAR-CYB-REINICIO-SISTEMA-REQUERIDO-001 v0.1, con el perfil y los límites ya presentados.</x:v>
      </x:c>
    </x:row>
    <x:row r="7" ht="47" customHeight="1">
      <x:c r="A7" s="4" t="str">
        <x:v>Mandato</x:v>
      </x:c>
      <x:c r="B7" s="4" t="str">
        <x:v>Completar diez adjudicaciones documentales</x:v>
      </x:c>
      <x:c r="C7" s="4" t="str">
        <x:v>Incluye P01; no debilita atomicidad ni aprueba nominalmente resultados nuevos no entregados.</x:v>
      </x:c>
    </x:row>
    <x:row r="8" ht="47" customHeight="1">
      <x:c r="A8" s="4" t="str">
        <x:v>Lote P02–P10</x:v>
      </x:c>
      <x:c r="B8" s="4" t="str">
        <x:v>DICTAMEN G5 DOCUMENTAL FAVORABLE</x:v>
      </x:c>
      <x:c r="C8" s="4" t="str">
        <x:v>Nueve resultados delimitados en 46–54; adopción nominal de estos nueve pendiente.</x:v>
      </x:c>
    </x:row>
    <x:row r="9" ht="47" customHeight="1">
      <x:c r="A9" s="4" t="str">
        <x:v>Base educativa</x:v>
      </x:c>
      <x:c r="B9" s="4" t="str">
        <x:v>URJC 2026–27 y complementos justificados</x:v>
      </x:c>
      <x:c r="C9" s="4" t="str">
        <x:v>R025 aporta procesos/memoria/ficheros; R033 continuidad; R035 riesgo/coste. No se sustituyen por documentación de fabricante.</x:v>
      </x:c>
    </x:row>
    <x:row r="10" ht="47" customHeight="1">
      <x:c r="A10" s="4" t="str">
        <x:v>Q0</x:v>
      </x:c>
      <x:c r="B10" s="4" t="str">
        <x:v>Nueve raíces; 31 distinciones conservadas</x:v>
      </x:c>
      <x:c r="C10" s="4" t="str">
        <x:v>La hoja 52 muestra cobertura actual, incluyendo alcances parciales. Diez fichas no resuelven Q0.</x:v>
      </x:c>
    </x:row>
    <x:row r="11" ht="47" customHeight="1">
      <x:c r="A11" s="4" t="str">
        <x:v>IA y experto</x:v>
      </x:c>
      <x:c r="B11" s="4" t="str">
        <x:v>Consejo explicado; decisión humana</x:v>
      </x:c>
      <x:c r="C11" s="4" t="str">
        <x:v>La investigación de candidatas no actualiza el conocimiento de un agente durante su ejecución.</x:v>
      </x:c>
    </x:row>
    <x:row r="12" ht="47" customHeight="1">
      <x:c r="A12" s="4" t="str">
        <x:v>Arquitectura</x:v>
      </x:c>
      <x:c r="B12" s="4" t="str">
        <x:v>0 células / 0 rutas / 0 Frames</x:v>
      </x:c>
      <x:c r="C12" s="4" t="str">
        <x:v>La cifra diez es resultado del lote, no tamaño matricial. SV(9,3) no significa 3×3 cartesiano.</x:v>
      </x:c>
    </x:row>
    <x:row r="13" ht="47" customHeight="1">
      <x:c r="A13" s="4" t="str">
        <x:v>Excel</x:v>
      </x:c>
      <x:c r="B13" s="4" t="str">
        <x:v>Catálogo principal v0.5</x:v>
      </x:c>
      <x:c r="C13" s="4" t="str">
        <x:v>La proyección textual complementaria se hará sólo después del cierre aprobado, sin resalvar el libro congelado.</x:v>
      </x:c>
    </x:row>
    <x:row r="14" ht="47" customHeight="1">
      <x:c r="A14" s="4" t="str">
        <x:v>Siguiente frontera</x:v>
      </x:c>
      <x:c r="B14" s="4" t="str">
        <x:v>Resolver cobertura y aptitud</x:v>
      </x:c>
      <x:c r="C14" s="4" t="str">
        <x:v>No se atribuye aptitud operacional por el número de parámetros o por concordancia de fórmulas.</x:v>
      </x:c>
    </x:row>
  </x:sheetData>
  <x:mergeCells>
    <x:mergeCell ref="A1:C1"/>
    <x:mergeCell ref="A2:C2"/>
  </x:mergeCells>
  <x:pageMargins left="0.7" right="0.7" top="0.75" bottom="0.75" header="0.3" footer="0.3"/>
  <x:tableParts count="1">
    <x:tablePart xmlns:r="http://schemas.openxmlformats.org/officeDocument/2006/relationships" r:id="Rf5560930a4384b49"/>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0" hidden="0" customWidth="1"/>
    <x:col min="2" max="2" width="52" hidden="0" customWidth="1"/>
    <x:col min="3" max="3" width="10" hidden="0" customWidth="1"/>
    <x:col min="4" max="4" width="19" hidden="0" customWidth="1"/>
    <x:col min="5" max="5" width="43" hidden="0" customWidth="1"/>
    <x:col min="6" max="6" width="106" hidden="0" customWidth="1"/>
    <x:col min="7" max="7" width="54" hidden="0" customWidth="1"/>
    <x:col min="8" max="8" width="44" hidden="0" customWidth="1"/>
    <x:col min="9" max="9" width="40" hidden="0" customWidth="1"/>
    <x:col min="10" max="10" width="59" hidden="0" customWidth="1"/>
    <x:col min="11" max="11" width="62" hidden="0" customWidth="1"/>
    <x:col min="12" max="12" width="23" hidden="0" customWidth="1"/>
  </x:cols>
  <x:sheetData>
    <x:row r="1" ht="35" customHeight="1">
      <x:c r="A1" s="6" t="str">
        <x:v>DIEZ PARÁMETROS · registro de identidades</x:v>
      </x:c>
      <x:c r="B1" s="6"/>
      <x:c r="C1" s="6"/>
      <x:c r="D1" s="6"/>
      <x:c r="E1" s="6"/>
      <x:c r="F1" s="6"/>
      <x:c r="G1" s="6"/>
      <x:c r="H1" s="6"/>
      <x:c r="I1" s="6"/>
      <x:c r="J1" s="6"/>
      <x:c r="K1" s="6"/>
      <x:c r="L1" s="6"/>
    </x:row>
    <x:row r="2" ht="52" customHeight="1">
      <x:c r="A2" s="8" t="str">
        <x:v>Cada fila es una definición atómica en su perfil; ni los campos de identidad ni cada testigo cuentan como parámetros adicionales.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Alias</x:v>
      </x:c>
      <x:c r="B4" s="10" t="str">
        <x:v>Identidad canónica</x:v>
      </x:c>
      <x:c r="C4" s="10" t="str">
        <x:v>Versión</x:v>
      </x:c>
      <x:c r="D4" s="10" t="str">
        <x:v>Distinción Q0</x:v>
      </x:c>
      <x:c r="E4" s="10" t="str">
        <x:v>Nombre</x:v>
      </x:c>
      <x:c r="F4" s="10" t="str">
        <x:v>Proposición única</x:v>
      </x:c>
      <x:c r="G4" s="10" t="str">
        <x:v>Perfil</x:v>
      </x:c>
      <x:c r="H4" s="10" t="str">
        <x:v>Dictamen</x:v>
      </x:c>
      <x:c r="I4" s="10" t="str">
        <x:v>Adopción nominal</x:v>
      </x:c>
      <x:c r="J4" s="10" t="str">
        <x:v>Expediente</x:v>
      </x:c>
      <x:c r="K4" s="10" t="str">
        <x:v>Fuentes</x:v>
      </x:c>
      <x:c r="L4" s="10" t="str">
        <x:v>Propiedad</x:v>
      </x:c>
    </x:row>
    <x:row r="5" ht="47" customHeight="1">
      <x:c r="A5" s="4" t="str">
        <x:v>P01</x:v>
      </x:c>
      <x:c r="B5" s="4" t="str">
        <x:v>PAR-CYB-REINICIO-SISTEMA-REQUERIDO-001</x:v>
      </x:c>
      <x:c r="C5" s="4" t="str">
        <x:v>0.1</x:v>
      </x:c>
      <x:c r="D5" s="4" t="str">
        <x:v>QCY-04-D1</x:v>
      </x:c>
      <x:c r="E5" s="4" t="str">
        <x:v>Reinicio del sistema requerido</x:v>
      </x:c>
      <x:c r="F5" s="4" t="str">
        <x:v>Al terminar la instalación individual identificada, era necesario reiniciar el sistema anfitrión para completarla.</x:v>
      </x:c>
      <x:c r="G5" s="4" t="str">
        <x:v>WUA-INDIVIDUAL-INSTALACION-0.1</x:v>
      </x:c>
      <x:c r="H5" s="4" t="str">
        <x:v>PARAMETRO_ATOMICO_EN_PERFIL_DOCUMENTAL</x:v>
      </x:c>
      <x:c r="I5" s="4" t="str">
        <x:v>ADOPTADO_POR_DIRECCION</x:v>
      </x:c>
      <x:c r="J5" s="4" t="str">
        <x:v>39; acta 2454cb1080c2f824bd3b8115cb31729db8f2d7e8</x:v>
      </x:c>
      <x:c r="K5" s="4" t="str">
        <x:v>T001–T006; R025</x:v>
      </x:c>
      <x:c r="L5" s="4" t="str">
        <x:v>PENDIENTE_G6</x:v>
      </x:c>
    </x:row>
    <x:row r="6" ht="47" customHeight="1">
      <x:c r="A6" s="4" t="str">
        <x:v>P02</x:v>
      </x:c>
      <x:c r="B6" s="4" t="str">
        <x:v>PAR-CYB-INSTALACION-EXITO-COMUNICADO-001</x:v>
      </x:c>
      <x:c r="C6" s="4" t="str">
        <x:v>0.1</x:v>
      </x:c>
      <x:c r="D6" s="4" t="str">
        <x:v>QCY-03-D2</x:v>
      </x:c>
      <x:c r="E6" s="4" t="str">
        <x:v>Éxito comunicado de instalación</x:v>
      </x:c>
      <x:c r="F6" s="4" t="str">
        <x:v>La operación individual de instalación identificada comunicó terminación satisfactoria sin el calificador de errores del emisor.</x:v>
      </x:c>
      <x:c r="G6" s="4" t="str">
        <x:v>WUA-RESULTADO-INDIVIDUAL-0.1</x:v>
      </x:c>
      <x:c r="H6" s="4" t="str">
        <x:v>PARAMETRO_ATOMICO_EN_PERFIL_DOCUMENTAL</x:v>
      </x:c>
      <x:c r="I6" s="4" t="str">
        <x:v>PENDIENTE_DE_ADOPCION_NOMINAL</x:v>
      </x:c>
      <x:c r="J6" s="4" t="str">
        <x:v>47–54; LOTE_ATOMICO_02_A_10_OP_CYB_001_v0.1.md</x:v>
      </x:c>
      <x:c r="K6" s="4" t="str">
        <x:v>T004 Constants; T005; T006; R025</x:v>
      </x:c>
      <x:c r="L6" s="4" t="str">
        <x:v>PENDIENTE_G6</x:v>
      </x:c>
    </x:row>
    <x:row r="7" ht="47" customHeight="1">
      <x:c r="A7" s="4" t="str">
        <x:v>P03</x:v>
      </x:c>
      <x:c r="B7" s="4" t="str">
        <x:v>PAR-CYB-REINICIO-SISTEMA-REALIZADO-001</x:v>
      </x:c>
      <x:c r="C7" s="4" t="str">
        <x:v>0.1</x:v>
      </x:c>
      <x:c r="D7" s="4" t="str">
        <x:v>QCY-04-D2</x:v>
      </x:c>
      <x:c r="E7" s="4" t="str">
        <x:v>Reinicio completo realizado</x:v>
      </x:c>
      <x:c r="F7" s="4" t="str">
        <x:v>Se completó al menos un reinicio íntegro del sistema anfitrión después del resultado de instalación y no después del corte.</x:v>
      </x:c>
      <x:c r="G7" s="4" t="str">
        <x:v>EVENTO-REINICIO-COMPLETO-0.1</x:v>
      </x:c>
      <x:c r="H7" s="4" t="str">
        <x:v>PARAMETRO_ATOMICO_EN_PERFIL_DOCUMENTAL</x:v>
      </x:c>
      <x:c r="I7" s="4" t="str">
        <x:v>PENDIENTE_DE_ADOPCION_NOMINAL</x:v>
      </x:c>
      <x:c r="J7" s="4" t="str">
        <x:v>47–54; LOTE_ATOMICO_02_A_10_OP_CYB_001_v0.1.md</x:v>
      </x:c>
      <x:c r="K7" s="4" t="str">
        <x:v>T001 §2.3.2; T007 Summary/More information; R025</x:v>
      </x:c>
      <x:c r="L7" s="4" t="str">
        <x:v>PENDIENTE_G6</x:v>
      </x:c>
    </x:row>
    <x:row r="8" ht="47" customHeight="1">
      <x:c r="A8" s="4" t="str">
        <x:v>P04</x:v>
      </x:c>
      <x:c r="B8" s="4" t="str">
        <x:v>PAR-CYB-REINICIO-SOFTWARE-REQUERIDO-001</x:v>
      </x:c>
      <x:c r="C8" s="4" t="str">
        <x:v>0.1</x:v>
      </x:c>
      <x:c r="D8" s="4" t="str">
        <x:v>QCY-04-D3</x:v>
      </x:c>
      <x:c r="E8" s="4" t="str">
        <x:v>Reinicio de software requerido</x:v>
      </x:c>
      <x:c r="F8" s="4" t="str">
        <x:v>La instrucción específica admitida para completar esta instalación exigía reiniciar el software identificado.</x:v>
      </x:c>
      <x:c r="G8" s="4" t="str">
        <x:v>REQUISITO-SOFTWARE-INDIVIDUAL-0.1</x:v>
      </x:c>
      <x:c r="H8" s="4" t="str">
        <x:v>PARAMETRO_ATOMICO_EN_PERFIL_DOCUMENTAL</x:v>
      </x:c>
      <x:c r="I8" s="4" t="str">
        <x:v>PENDIENTE_DE_ADOPCION_NOMINAL</x:v>
      </x:c>
      <x:c r="J8" s="4" t="str">
        <x:v>47–54; LOTE_ATOMICO_02_A_10_OP_CYB_001_v0.1.md</x:v>
      </x:c>
      <x:c r="K8" s="4" t="str">
        <x:v>T001 §2.3.2; T009 cuerpo técnico; R025</x:v>
      </x:c>
      <x:c r="L8" s="4" t="str">
        <x:v>PENDIENTE_G6</x:v>
      </x:c>
    </x:row>
    <x:row r="9" ht="47" customHeight="1">
      <x:c r="A9" s="4" t="str">
        <x:v>P05</x:v>
      </x:c>
      <x:c r="B9" s="4" t="str">
        <x:v>PAR-CYB-GENERACION-PROCESO-TERMINADA-001</x:v>
      </x:c>
      <x:c r="C9" s="4" t="str">
        <x:v>0.1</x:v>
      </x:c>
      <x:c r="D9" s="4" t="str">
        <x:v>QCY-04-D4</x:v>
      </x:c>
      <x:c r="E9" s="4" t="str">
        <x:v>Generación previa de proceso terminada</x:v>
      </x:c>
      <x:c r="F9" s="4" t="str">
        <x:v>Terminó la ejecución de la generación de proceso identificada después del ancla de instalación y no después del corte.</x:v>
      </x:c>
      <x:c r="G9" s="4" t="str">
        <x:v>TERMINACION-GENERACION-PROCESO-0.1</x:v>
      </x:c>
      <x:c r="H9" s="4" t="str">
        <x:v>PARAMETRO_ATOMICO_EN_PERFIL_DOCUMENTAL</x:v>
      </x:c>
      <x:c r="I9" s="4" t="str">
        <x:v>PENDIENTE_DE_ADOPCION_NOMINAL</x:v>
      </x:c>
      <x:c r="J9" s="4" t="str">
        <x:v>47–54; LOTE_ATOMICO_02_A_10_OP_CYB_001_v0.1.md</x:v>
      </x:c>
      <x:c r="K9" s="4" t="str">
        <x:v>T009 cuerpo técnico; T008 loaded-module list; R025 IV tema 4</x:v>
      </x:c>
      <x:c r="L9" s="4" t="str">
        <x:v>PENDIENTE_G6</x:v>
      </x:c>
    </x:row>
    <x:row r="10" ht="47" customHeight="1">
      <x:c r="A10" s="4" t="str">
        <x:v>P06</x:v>
      </x:c>
      <x:c r="B10" s="4" t="str">
        <x:v>PAR-CYB-IMAGEN-OBJETIVO-ACTIVA-001</x:v>
      </x:c>
      <x:c r="C10" s="4" t="str">
        <x:v>0.1</x:v>
      </x:c>
      <x:c r="D10" s="4" t="str">
        <x:v>QCY-05-D2</x:v>
      </x:c>
      <x:c r="E10" s="4" t="str">
        <x:v>Imagen objetivo activa</x:v>
      </x:c>
      <x:c r="F10" s="4" t="str">
        <x:v>La imagen del componente cargada en la instancia evaluada al corte coincide con la imagen objetivo previamente fijada.</x:v>
      </x:c>
      <x:c r="G10" s="4" t="str">
        <x:v>IDENTIDAD-IMAGEN-CARGADA-0.1</x:v>
      </x:c>
      <x:c r="H10" s="4" t="str">
        <x:v>PARAMETRO_ATOMICO_EN_PERFIL_DOCUMENTAL</x:v>
      </x:c>
      <x:c r="I10" s="4" t="str">
        <x:v>PENDIENTE_DE_ADOPCION_NOMINAL</x:v>
      </x:c>
      <x:c r="J10" s="4" t="str">
        <x:v>47–54; LOTE_ATOMICO_02_A_10_OP_CYB_001_v0.1.md</x:v>
      </x:c>
      <x:c r="K10" s="4" t="str">
        <x:v>T001 §2.3.3; T008; T012–T013; R025 IV temas 4/5/6</x:v>
      </x:c>
      <x:c r="L10" s="4" t="str">
        <x:v>PENDIENTE_G6</x:v>
      </x:c>
    </x:row>
    <x:row r="11" ht="47" customHeight="1">
      <x:c r="A11" s="4" t="str">
        <x:v>P07</x:v>
      </x:c>
      <x:c r="B11" s="4" t="str">
        <x:v>PAR-CYB-COMPROBACION-POSITIVA-001</x:v>
      </x:c>
      <x:c r="C11" s="4" t="str">
        <x:v>0.1</x:v>
      </x:c>
      <x:c r="D11" s="4" t="str">
        <x:v>QCY-05-D3</x:v>
      </x:c>
      <x:c r="E11" s="4" t="str">
        <x:v>Resultado positivo de comprobación</x:v>
      </x:c>
      <x:c r="F11" s="4" t="str">
        <x:v>La comprobación individual identificada satisfizo el único criterio de aceptación previamente fijado para ella.</x:v>
      </x:c>
      <x:c r="G11" s="4" t="str">
        <x:v>COMPROBACION-CRITERIO-UNITARIO-0.1</x:v>
      </x:c>
      <x:c r="H11" s="4" t="str">
        <x:v>PARAMETRO_ATOMICO_EN_PERFIL_DOCUMENTAL</x:v>
      </x:c>
      <x:c r="I11" s="4" t="str">
        <x:v>PENDIENTE_DE_ADOPCION_NOMINAL</x:v>
      </x:c>
      <x:c r="J11" s="4" t="str">
        <x:v>47–54; LOTE_ATOMICO_02_A_10_OP_CYB_001_v0.1.md</x:v>
      </x:c>
      <x:c r="K11" s="4" t="str">
        <x:v>T001 §2.3.3; R025; R035</x:v>
      </x:c>
      <x:c r="L11" s="4" t="str">
        <x:v>PENDIENTE_G6</x:v>
      </x:c>
    </x:row>
    <x:row r="12" ht="47" customHeight="1">
      <x:c r="A12" s="4" t="str">
        <x:v>P08</x:v>
      </x:c>
      <x:c r="B12" s="4" t="str">
        <x:v>PAR-CYB-RETIRADA-EXITOSA-COMUNICADA-001</x:v>
      </x:c>
      <x:c r="C12" s="4" t="str">
        <x:v>0.1</x:v>
      </x:c>
      <x:c r="D12" s="4" t="str">
        <x:v>QCY-08-D1</x:v>
      </x:c>
      <x:c r="E12" s="4" t="str">
        <x:v>Retirada exitosa comunicada</x:v>
      </x:c>
      <x:c r="F12" s="4" t="str">
        <x:v>Existe después de la instalación y hasta el corte una operación de retirada de esa actualización que comunica éxito.</x:v>
      </x:c>
      <x:c r="G12" s="4" t="str">
        <x:v>HISTORIA-RETIRADA-ACTUALIZACION-0.1</x:v>
      </x:c>
      <x:c r="H12" s="4" t="str">
        <x:v>PARAMETRO_ATOMICO_EN_PERFIL_DOCUMENTAL</x:v>
      </x:c>
      <x:c r="I12" s="4" t="str">
        <x:v>PENDIENTE_DE_ADOPCION_NOMINAL</x:v>
      </x:c>
      <x:c r="J12" s="4" t="str">
        <x:v>47–54; LOTE_ATOMICO_02_A_10_OP_CYB_001_v0.1.md</x:v>
      </x:c>
      <x:c r="K12" s="4" t="str">
        <x:v>T001 §§2.3.2/2.3.4; T010–T011; T004</x:v>
      </x:c>
      <x:c r="L12" s="4" t="str">
        <x:v>PENDIENTE_G6</x:v>
      </x:c>
    </x:row>
    <x:row r="13" ht="47" customHeight="1">
      <x:c r="A13" s="4" t="str">
        <x:v>P09</x:v>
      </x:c>
      <x:c r="B13" s="4" t="str">
        <x:v>PAR-CYB-CAMBIO-COMPONENTE-POSTERIOR-001</x:v>
      </x:c>
      <x:c r="C13" s="4" t="str">
        <x:v>0.1</x:v>
      </x:c>
      <x:c r="D13" s="4" t="str">
        <x:v>QCY-08-D2</x:v>
      </x:c>
      <x:c r="E13" s="4" t="str">
        <x:v>Cambio posterior del componente</x:v>
      </x:c>
      <x:c r="F13" s="4" t="str">
        <x:v>Ocurrió al menos un cambio de identidad binaria del componente desde la comprobación de referencia hasta el corte.</x:v>
      </x:c>
      <x:c r="G13" s="4" t="str">
        <x:v>HISTORIA-CAMBIO-COMPONENTE-0.1</x:v>
      </x:c>
      <x:c r="H13" s="4" t="str">
        <x:v>PARAMETRO_ATOMICO_EN_PERFIL_DOCUMENTAL</x:v>
      </x:c>
      <x:c r="I13" s="4" t="str">
        <x:v>PENDIENTE_DE_ADOPCION_NOMINAL</x:v>
      </x:c>
      <x:c r="J13" s="4" t="str">
        <x:v>47–54; LOTE_ATOMICO_02_A_10_OP_CYB_001_v0.1.md</x:v>
      </x:c>
      <x:c r="K13" s="4" t="str">
        <x:v>T001 §§2.2/2.3.4; T008; R025; S018</x:v>
      </x:c>
      <x:c r="L13" s="4" t="str">
        <x:v>PENDIENTE_G6</x:v>
      </x:c>
    </x:row>
    <x:row r="14" ht="47" customHeight="1">
      <x:c r="A14" s="4" t="str">
        <x:v>P10</x:v>
      </x:c>
      <x:c r="B14" s="4" t="str">
        <x:v>PAR-CYB-RESTAURACION-PREVIA-COMUNICADA-001</x:v>
      </x:c>
      <x:c r="C14" s="4" t="str">
        <x:v>0.1</x:v>
      </x:c>
      <x:c r="D14" s="4" t="str">
        <x:v>QCY-08-D3</x:v>
      </x:c>
      <x:c r="E14" s="4" t="str">
        <x:v>Restauración desde estado anterior comunicada</x:v>
      </x:c>
      <x:c r="F14" s="4" t="str">
        <x:v>Se comunicó la terminación satisfactoria de una restauración cuyo punto de origen fue capturado antes de la instalación evaluada.</x:v>
      </x:c>
      <x:c r="G14" s="4" t="str">
        <x:v>HISTORIA-RESTAURACION-PREVIA-0.1</x:v>
      </x:c>
      <x:c r="H14" s="4" t="str">
        <x:v>PARAMETRO_ATOMICO_EN_PERFIL_DOCUMENTAL</x:v>
      </x:c>
      <x:c r="I14" s="4" t="str">
        <x:v>PENDIENTE_DE_ADOPCION_NOMINAL</x:v>
      </x:c>
      <x:c r="J14" s="4" t="str">
        <x:v>47–54; LOTE_ATOMICO_02_A_10_OP_CYB_001_v0.1.md</x:v>
      </x:c>
      <x:c r="K14" s="4" t="str">
        <x:v>T001 §§2.3.2/2.3.4; R033 IV tema 7; S018</x:v>
      </x:c>
      <x:c r="L14" s="4" t="str">
        <x:v>PENDIENTE_G6</x:v>
      </x:c>
    </x:row>
  </x:sheetData>
  <x:mergeCells>
    <x:mergeCell ref="A1:D1"/>
    <x:mergeCell ref="A2:F2"/>
  </x:mergeCells>
  <x:pageMargins left="0.7" right="0.7" top="0.75" bottom="0.75" header="0.3" footer="0.3"/>
  <x:tableParts count="1">
    <x:tablePart xmlns:r="http://schemas.openxmlformats.org/officeDocument/2006/relationships" r:id="R873287f6a0754063"/>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130" hidden="0" customWidth="1"/>
    <x:col min="4" max="4" width="60" hidden="0" customWidth="1"/>
  </x:cols>
  <x:sheetData>
    <x:row r="1" ht="35" customHeight="1">
      <x:c r="A1" s="6" t="str">
        <x:v>CONTRATOS G3/G5 · P02–P10</x:v>
      </x:c>
      <x:c r="B1" s="6"/>
      <x:c r="C1" s="6"/>
      <x:c r="D1" s="6"/>
    </x:row>
    <x:row r="2" ht="52" customHeight="1">
      <x:c r="A2" s="8" t="str">
        <x:v>Todo valor se refiere al sujeto, horizonte y perfil de su ficha. Capturadores y aptitud operacional permanecen pendientes.</x:v>
      </x:c>
      <x:c r="B2" s="8"/>
      <x:c r="C2" s="8"/>
      <x:c r="D2" s="8"/>
    </x:row>
    <x:row r="3">
      <x:c r="A3" s="4"/>
      <x:c r="B3" s="4"/>
      <x:c r="C3" s="4"/>
      <x:c r="D3" s="4"/>
    </x:row>
    <x:row r="4" ht="42" customHeight="1">
      <x:c r="A4" s="10" t="str">
        <x:v>Parámetro</x:v>
      </x:c>
      <x:c r="B4" s="10" t="str">
        <x:v>Elemento</x:v>
      </x:c>
      <x:c r="C4" s="10" t="str">
        <x:v>Contrato</x:v>
      </x:c>
      <x:c r="D4" s="10" t="str">
        <x:v>Fuente</x:v>
      </x:c>
    </x:row>
    <x:row r="5" ht="47" customHeight="1">
      <x:c r="A5" s="4" t="str">
        <x:v>P02</x:v>
      </x:c>
      <x:c r="B5" s="4" t="str">
        <x:v>Proposición</x:v>
      </x:c>
      <x:c r="C5" s="4" t="str">
        <x:v>La operación individual de instalación identificada comunicó terminación satisfactoria sin el calificador de errores del emisor.</x:v>
      </x:c>
      <x:c r="D5" s="4" t="str">
        <x:v>T004 Constants; T005; T006; R025</x:v>
      </x:c>
    </x:row>
    <x:row r="6" ht="47" customHeight="1">
      <x:c r="A6" s="4" t="str">
        <x:v>P02</x:v>
      </x:c>
      <x:c r="B6" s="4" t="str">
        <x:v>Sujeto e identidad</x:v>
      </x:c>
      <x:c r="C6" s="4" t="str">
        <x:v>Activo, actualización/revisión e intento individual de instalación; correspondencia índice–colección original.</x:v>
      </x:c>
      <x:c r="D6" s="4" t="str">
        <x:v>T004 Constants; T005; T006; R025</x:v>
      </x:c>
    </x:row>
    <x:row r="7" ht="47" customHeight="1">
      <x:c r="A7" s="4" t="str">
        <x:v>P02</x:v>
      </x:c>
      <x:c r="B7" s="4" t="str">
        <x:v>Horizonte</x:v>
      </x:c>
      <x:c r="C7" s="4" t="str">
        <x:v>Resultado terminal de aquel intento. Un resultado de otro intento no lo modifica.</x:v>
      </x:c>
      <x:c r="D7" s="4" t="str">
        <x:v>T004 Constants; T005; T006; R025</x:v>
      </x:c>
    </x:row>
    <x:row r="8" ht="47" customHeight="1">
      <x:c r="A8" s="4" t="str">
        <x:v>P02</x:v>
      </x:c>
      <x:c r="B8" s="4" t="str">
        <x:v>Perfil documental</x:v>
      </x:c>
      <x:c r="C8" s="4" t="str">
        <x:v>WUA-RESULTADO-INDIVIDUAL-0.1</x:v>
      </x:c>
      <x:c r="D8" s="4" t="str">
        <x:v>T004 Constants; T005; T006; R025</x:v>
      </x:c>
    </x:row>
    <x:row r="9" ht="47" customHeight="1">
      <x:c r="A9" s="4" t="str">
        <x:v>P02</x:v>
      </x:c>
      <x:c r="B9" s="4" t="str">
        <x:v>Observación exigida</x:v>
      </x:c>
      <x:c r="C9" s="4" t="str">
        <x:v>IUpdateInstallationResult.ResultCode; HResult se conserva como evidencia separada. No es HRESULT de la llamada de captura.</x:v>
      </x:c>
      <x:c r="D9" s="4" t="str">
        <x:v>T004 Constants; T005; T006; R025</x:v>
      </x:c>
    </x:row>
    <x:row r="10" ht="47" customHeight="1">
      <x:c r="A10" s="4" t="str">
        <x:v>P02</x:v>
      </x:c>
      <x:c r="B10" s="4" t="str">
        <x:v>Tri 1</x:v>
      </x:c>
      <x:c r="C10" s="4" t="str">
        <x:v>orcSucceeded.</x:v>
      </x:c>
      <x:c r="D10" s="4" t="str">
        <x:v>T004 Constants; T005; T006; R025</x:v>
      </x:c>
    </x:row>
    <x:row r="11" ht="47" customHeight="1">
      <x:c r="A11" s="4" t="str">
        <x:v>P02</x:v>
      </x:c>
      <x:c r="B11" s="4" t="str">
        <x:v>Tri 0</x:v>
      </x:c>
      <x:c r="C11" s="4" t="str">
        <x:v>orcSucceededWithErrors, orcFailed u orcAborted; 0 niega esta proposición, no afirma que nada se instaló.</x:v>
      </x:c>
      <x:c r="D11" s="4" t="str">
        <x:v>T004 Constants; T005; T006; R025</x:v>
      </x:c>
    </x:row>
    <x:row r="12" ht="47" customHeight="1">
      <x:c r="A12" s="4" t="str">
        <x:v>P02</x:v>
      </x:c>
      <x:c r="B12" s="4" t="str">
        <x:v>Incertidumbre propia</x:v>
      </x:c>
      <x:c r="C12" s="4" t="str">
        <x:v>Resultado ausente o conflicto de resultados terminales admitidos. NotStarted/InProgress quedan fuera del perfil terminal.</x:v>
      </x:c>
      <x:c r="D12" s="4" t="str">
        <x:v>T004 Constants; T005; T006; R025</x:v>
      </x:c>
    </x:row>
    <x:row r="13" ht="47" customHeight="1">
      <x:c r="A13" s="4" t="str">
        <x:v>P02</x:v>
      </x:c>
      <x:c r="B13" s="4" t="str">
        <x:v>Uso en OP-CYB-001</x:v>
      </x:c>
      <x:c r="C13" s="4" t="str">
        <x:v>Separar el resultado profesional comunicado de completitud, efecto y fallo del observador.</x:v>
      </x:c>
      <x:c r="D13" s="4" t="str">
        <x:v>T004 Constants; T005; T006; R025</x:v>
      </x:c>
    </x:row>
    <x:row r="14" ht="47" customHeight="1">
      <x:c r="A14" s="4" t="str">
        <x:v>P02</x:v>
      </x:c>
      <x:c r="B14" s="4" t="str">
        <x:v>Partición examinada</x:v>
      </x:c>
      <x:c r="C14" s="4" t="str">
        <x:v>No crear tres átomos uno-por-enum. El observable completo conserva errores; el uso pide exactamente éxito comunicado sin ese calificador.</x:v>
      </x:c>
      <x:c r="D14" s="4" t="str">
        <x:v>T004 Constants; T005; T006; R025</x:v>
      </x:c>
    </x:row>
    <x:row r="15" ht="47" customHeight="1">
      <x:c r="A15" s="4" t="str">
        <x:v>P02</x:v>
      </x:c>
      <x:c r="B15" s="4" t="str">
        <x:v>Límite y deuda</x:v>
      </x:c>
      <x:c r="C15" s="4" t="str">
        <x:v>No acredita que el parche haya tomado efecto. El perfil P01 sigue exigiendo orcSucceeded y no se amplía.</x:v>
      </x:c>
      <x:c r="D15" s="4" t="str">
        <x:v>T004 Constants; T005; T006; R025</x:v>
      </x:c>
    </x:row>
    <x:row r="16" ht="47" customHeight="1">
      <x:c r="A16" s="4" t="str">
        <x:v>P03</x:v>
      </x:c>
      <x:c r="B16" s="4" t="str">
        <x:v>Proposición</x:v>
      </x:c>
      <x:c r="C16" s="4" t="str">
        <x:v>Se completó al menos un reinicio íntegro del sistema anfitrión después del resultado de instalación y no después del corte.</x:v>
      </x:c>
      <x:c r="D16" s="4" t="str">
        <x:v>T001 §2.3.2; T007 Summary/More information; R025</x:v>
      </x:c>
    </x:row>
    <x:row r="17" ht="47" customHeight="1">
      <x:c r="A17" s="4" t="str">
        <x:v>P03</x:v>
      </x:c>
      <x:c r="B17" s="4" t="str">
        <x:v>Sujeto e identidad</x:v>
      </x:c>
      <x:c r="C17" s="4" t="str">
        <x:v>Mismo anfitrión/instalación; evento de arranque y corte identificados, sin confundir huésped VM con anfitrión físico.</x:v>
      </x:c>
      <x:c r="D17" s="4" t="str">
        <x:v>T001 §2.3.2; T007 Summary/More information; R025</x:v>
      </x:c>
    </x:row>
    <x:row r="18" ht="47" customHeight="1">
      <x:c r="A18" s="4" t="str">
        <x:v>P03</x:v>
      </x:c>
      <x:c r="B18" s="4" t="str">
        <x:v>Horizonte</x:v>
      </x:c>
      <x:c r="C18" s="4" t="str">
        <x:v>Intervalo (fin de instalación, corte]. El orden debe estar acreditado; no se infiere de la mera fecha de captura.</x:v>
      </x:c>
      <x:c r="D18" s="4" t="str">
        <x:v>T001 §2.3.2; T007 Summary/More information; R025</x:v>
      </x:c>
    </x:row>
    <x:row r="19" ht="47" customHeight="1">
      <x:c r="A19" s="4" t="str">
        <x:v>P03</x:v>
      </x:c>
      <x:c r="B19" s="4" t="str">
        <x:v>Perfil documental</x:v>
      </x:c>
      <x:c r="C19" s="4" t="str">
        <x:v>EVENTO-REINICIO-COMPLETO-0.1</x:v>
      </x:c>
      <x:c r="D19" s="4" t="str">
        <x:v>T001 §2.3.2; T007 Summary/More information; R025</x:v>
      </x:c>
    </x:row>
    <x:row r="20" ht="47" customHeight="1">
      <x:c r="A20" s="4" t="str">
        <x:v>P03</x:v>
      </x:c>
      <x:c r="B20" s="4" t="str">
        <x:v>Observación exigida</x:v>
      </x:c>
      <x:c r="C20" s="4" t="str">
        <x:v>Dossier de arranque con identidad del sistema, clase de arranque, orden y completitud admitidos. No existe aquí un capturador de eventos validado.</x:v>
      </x:c>
      <x:c r="D20" s="4" t="str">
        <x:v>T001 §2.3.2; T007 Summary/More information; R025</x:v>
      </x:c>
    </x:row>
    <x:row r="21" ht="47" customHeight="1">
      <x:c r="A21" s="4" t="str">
        <x:v>P03</x:v>
      </x:c>
      <x:c r="B21" s="4" t="str">
        <x:v>Tri 1</x:v>
      </x:c>
      <x:c r="C21" s="4" t="str">
        <x:v>Testigo de reinicio completo terminado en el intervalo.</x:v>
      </x:c>
      <x:c r="D21" s="4" t="str">
        <x:v>T001 §2.3.2; T007 Summary/More information; R025</x:v>
      </x:c>
    </x:row>
    <x:row r="22" ht="47" customHeight="1">
      <x:c r="A22" s="4" t="str">
        <x:v>P03</x:v>
      </x:c>
      <x:c r="B22" s="4" t="str">
        <x:v>Tri 0</x:v>
      </x:c>
      <x:c r="C22" s="4" t="str">
        <x:v>Registro con cobertura acreditada del intervalo sin tal evento; sólo arranque híbrido con cobertura completa también niega esta proposición.</x:v>
      </x:c>
      <x:c r="D22" s="4" t="str">
        <x:v>T001 §2.3.2; T007 Summary/More information; R025</x:v>
      </x:c>
    </x:row>
    <x:row r="23" ht="47" customHeight="1">
      <x:c r="A23" s="4" t="str">
        <x:v>P03</x:v>
      </x:c>
      <x:c r="B23" s="4" t="str">
        <x:v>Incertidumbre propia</x:v>
      </x:c>
      <x:c r="C23" s="4" t="str">
        <x:v>Registro parcial sin testigo positivo, clase de arranque no probada, orden incierto o conflicto.</x:v>
      </x:c>
      <x:c r="D23" s="4" t="str">
        <x:v>T001 §2.3.2; T007 Summary/More information; R025</x:v>
      </x:c>
    </x:row>
    <x:row r="24" ht="47" customHeight="1">
      <x:c r="A24" s="4" t="str">
        <x:v>P03</x:v>
      </x:c>
      <x:c r="B24" s="4" t="str">
        <x:v>Uso en OP-CYB-001</x:v>
      </x:c>
      <x:c r="C24" s="4" t="str">
        <x:v>Aportar satisfacción de la condición de reinicio del sistema, sin reescribir el requisito histórico.</x:v>
      </x:c>
      <x:c r="D24" s="4" t="str">
        <x:v>T001 §2.3.2; T007 Summary/More information; R025</x:v>
      </x:c>
    </x:row>
    <x:row r="25" ht="47" customHeight="1">
      <x:c r="A25" s="4" t="str">
        <x:v>P03</x:v>
      </x:c>
      <x:c r="B25" s="4" t="str">
        <x:v>Partición examinada</x:v>
      </x:c>
      <x:c r="C25" s="4" t="str">
        <x:v>Fecha, identificador y tipo son condiciones de identidad del evento. No se adjudica un parámetro por cada campo; el predicado es existencia del evento completo.</x:v>
      </x:c>
      <x:c r="D25" s="4" t="str">
        <x:v>T001 §2.3.2; T007 Summary/More information; R025</x:v>
      </x:c>
    </x:row>
    <x:row r="26" ht="47" customHeight="1">
      <x:c r="A26" s="4" t="str">
        <x:v>P03</x:v>
      </x:c>
      <x:c r="B26" s="4" t="str">
        <x:v>Límite y deuda</x:v>
      </x:c>
      <x:c r="C26" s="4" t="str">
        <x:v>Fast Startup es contraejemplo Windows 10, no regla universal de toda plataforma. Reinicio solicitado, comienzo del arranque o uptime aislado no bastan.</x:v>
      </x:c>
      <x:c r="D26" s="4" t="str">
        <x:v>T001 §2.3.2; T007 Summary/More information; R025</x:v>
      </x:c>
    </x:row>
    <x:row r="27" ht="47" customHeight="1">
      <x:c r="A27" s="4" t="str">
        <x:v>P04</x:v>
      </x:c>
      <x:c r="B27" s="4" t="str">
        <x:v>Proposición</x:v>
      </x:c>
      <x:c r="C27" s="4" t="str">
        <x:v>La instrucción específica admitida para completar esta instalación exigía reiniciar el software identificado.</x:v>
      </x:c>
      <x:c r="D27" s="4" t="str">
        <x:v>T001 §2.3.2; T009 cuerpo técnico; R025</x:v>
      </x:c>
    </x:row>
    <x:row r="28" ht="47" customHeight="1">
      <x:c r="A28" s="4" t="str">
        <x:v>P04</x:v>
      </x:c>
      <x:c r="B28" s="4" t="str">
        <x:v>Sujeto e identidad</x:v>
      </x:c>
      <x:c r="C28" s="4" t="str">
        <x:v>Un software identificable y su alcance de ejecución en un anfitrión; instalación e instrucción/version. No una lista de aplicaciones.</x:v>
      </x:c>
      <x:c r="D28" s="4" t="str">
        <x:v>T001 §2.3.2; T009 cuerpo técnico; R025</x:v>
      </x:c>
    </x:row>
    <x:row r="29" ht="47" customHeight="1">
      <x:c r="A29" s="4" t="str">
        <x:v>P04</x:v>
      </x:c>
      <x:c r="B29" s="4" t="str">
        <x:v>Horizonte</x:v>
      </x:c>
      <x:c r="C29" s="4" t="str">
        <x:v>Requisito documentado al resultado de instalación, conservado como hecho histórico.</x:v>
      </x:c>
      <x:c r="D29" s="4" t="str">
        <x:v>T001 §2.3.2; T009 cuerpo técnico; R025</x:v>
      </x:c>
    </x:row>
    <x:row r="30" ht="47" customHeight="1">
      <x:c r="A30" s="4" t="str">
        <x:v>P04</x:v>
      </x:c>
      <x:c r="B30" s="4" t="str">
        <x:v>Perfil documental</x:v>
      </x:c>
      <x:c r="C30" s="4" t="str">
        <x:v>REQUISITO-SOFTWARE-INDIVIDUAL-0.1</x:v>
      </x:c>
      <x:c r="D30" s="4" t="str">
        <x:v>T001 §2.3.2; T009 cuerpo técnico; R025</x:v>
      </x:c>
    </x:row>
    <x:row r="31" ht="47" customHeight="1">
      <x:c r="A31" s="4" t="str">
        <x:v>P04</x:v>
      </x:c>
      <x:c r="B31" s="4" t="str">
        <x:v>Observación exigida</x:v>
      </x:c>
      <x:c r="C31" s="4" t="str">
        <x:v>Cláusula o resultado específico del instalador/fabricante con alcance identificable que exige o niega ese reinicio. El párrafo genérico de NIST no suministra ese dato.</x:v>
      </x:c>
      <x:c r="D31" s="4" t="str">
        <x:v>T001 §2.3.2; T009 cuerpo técnico; R025</x:v>
      </x:c>
    </x:row>
    <x:row r="32" ht="47" customHeight="1">
      <x:c r="A32" s="4" t="str">
        <x:v>P04</x:v>
      </x:c>
      <x:c r="B32" s="4" t="str">
        <x:v>Tri 1</x:v>
      </x:c>
      <x:c r="C32" s="4" t="str">
        <x:v>Requisito positivo explícito y aplicable al software identificado.</x:v>
      </x:c>
      <x:c r="D32" s="4" t="str">
        <x:v>T001 §2.3.2; T009 cuerpo técnico; R025</x:v>
      </x:c>
    </x:row>
    <x:row r="33" ht="47" customHeight="1">
      <x:c r="A33" s="4" t="str">
        <x:v>P04</x:v>
      </x:c>
      <x:c r="B33" s="4" t="str">
        <x:v>Tri 0</x:v>
      </x:c>
      <x:c r="C33" s="4" t="str">
        <x:v>Negación explícita de ese requisito, con el mismo alcance.</x:v>
      </x:c>
      <x:c r="D33" s="4" t="str">
        <x:v>T001 §2.3.2; T009 cuerpo técnico; R025</x:v>
      </x:c>
    </x:row>
    <x:row r="34" ht="47" customHeight="1">
      <x:c r="A34" s="4" t="str">
        <x:v>P04</x:v>
      </x:c>
      <x:c r="B34" s="4" t="str">
        <x:v>Incertidumbre propia</x:v>
      </x:c>
      <x:c r="C34" s="4" t="str">
        <x:v>Instrucción ausente, formulación ambigua o conflicto de instrucciones admitidas. Falta de contrato de aplicabilidad es configuración pendiente, no Tri.</x:v>
      </x:c>
      <x:c r="D34" s="4" t="str">
        <x:v>T001 §2.3.2; T009 cuerpo técnico; R025</x:v>
      </x:c>
    </x:row>
    <x:row r="35" ht="47" customHeight="1">
      <x:c r="A35" s="4" t="str">
        <x:v>P04</x:v>
      </x:c>
      <x:c r="B35" s="4" t="str">
        <x:v>Uso en OP-CYB-001</x:v>
      </x:c>
      <x:c r="C35" s="4" t="str">
        <x:v>Conservar una obligación relativa al software, independiente del reinicio del sistema.</x:v>
      </x:c>
      <x:c r="D35" s="4" t="str">
        <x:v>T001 §2.3.2; T009 cuerpo técnico; R025</x:v>
      </x:c>
    </x:row>
    <x:row r="36" ht="47" customHeight="1">
      <x:c r="A36" s="4" t="str">
        <x:v>P04</x:v>
      </x:c>
      <x:c r="B36" s="4" t="str">
        <x:v>Partición examinada</x:v>
      </x:c>
      <x:c r="C36" s="4" t="str">
        <x:v>Requisito y cumplimiento son estados distintos. No se agrupan redespliegue, cambio de configuración y reinicio bajo un único booleano de «otros cambios».</x:v>
      </x:c>
      <x:c r="D36" s="4" t="str">
        <x:v>T001 §2.3.2; T009 cuerpo técnico; R025</x:v>
      </x:c>
    </x:row>
    <x:row r="37" ht="47" customHeight="1">
      <x:c r="A37" s="4" t="str">
        <x:v>P04</x:v>
      </x:c>
      <x:c r="B37" s="4" t="str">
        <x:v>Límite y deuda</x:v>
      </x:c>
      <x:c r="C37" s="4" t="str">
        <x:v>Sólo cubre este predicado de D3. Redespliegue/configuración y múltiples softwares permanecen pendientes; no se contabilizan como cubiertos.</x:v>
      </x:c>
      <x:c r="D37" s="4" t="str">
        <x:v>T001 §2.3.2; T009 cuerpo técnico; R025</x:v>
      </x:c>
    </x:row>
    <x:row r="38" ht="47" customHeight="1">
      <x:c r="A38" s="4" t="str">
        <x:v>P05</x:v>
      </x:c>
      <x:c r="B38" s="4" t="str">
        <x:v>Proposición</x:v>
      </x:c>
      <x:c r="C38" s="4" t="str">
        <x:v>Terminó la ejecución de la generación de proceso identificada después del ancla de instalación y no después del corte.</x:v>
      </x:c>
      <x:c r="D38" s="4" t="str">
        <x:v>T009 cuerpo técnico; T008 loaded-module list; R025 IV tema 4</x:v>
      </x:c>
    </x:row>
    <x:row r="39" ht="47" customHeight="1">
      <x:c r="A39" s="4" t="str">
        <x:v>P05</x:v>
      </x:c>
      <x:c r="B39" s="4" t="str">
        <x:v>Sujeto e identidad</x:v>
      </x:c>
      <x:c r="C39" s="4" t="str">
        <x:v>Un proceso previo: anfitrión, ámbito de proceso, identidad de generación y episodio. Un PID aislado no identifica una generación.</x:v>
      </x:c>
      <x:c r="D39" s="4" t="str">
        <x:v>T009 cuerpo técnico; T008 loaded-module list; R025 IV tema 4</x:v>
      </x:c>
    </x:row>
    <x:row r="40" ht="47" customHeight="1">
      <x:c r="A40" s="4" t="str">
        <x:v>P05</x:v>
      </x:c>
      <x:c r="B40" s="4" t="str">
        <x:v>Horizonte</x:v>
      </x:c>
      <x:c r="C40" s="4" t="str">
        <x:v>Intervalo (ancla de instalación declarada, corte]; el ancla debe fijarse antes del contraste y no moverse para producir 1.</x:v>
      </x:c>
      <x:c r="D40" s="4" t="str">
        <x:v>T009 cuerpo técnico; T008 loaded-module list; R025 IV tema 4</x:v>
      </x:c>
    </x:row>
    <x:row r="41" ht="47" customHeight="1">
      <x:c r="A41" s="4" t="str">
        <x:v>P05</x:v>
      </x:c>
      <x:c r="B41" s="4" t="str">
        <x:v>Perfil documental</x:v>
      </x:c>
      <x:c r="C41" s="4" t="str">
        <x:v>TERMINACION-GENERACION-PROCESO-0.1</x:v>
      </x:c>
      <x:c r="D41" s="4" t="str">
        <x:v>T009 cuerpo técnico; T008 loaded-module list; R025 IV tema 4</x:v>
      </x:c>
    </x:row>
    <x:row r="42" ht="47" customHeight="1">
      <x:c r="A42" s="4" t="str">
        <x:v>P05</x:v>
      </x:c>
      <x:c r="B42" s="4" t="str">
        <x:v>Observación exigida</x:v>
      </x:c>
      <x:c r="C42" s="4" t="str">
        <x:v>Testigo de terminación vinculado a la generación; para ausencia, registro completo de su ciclo de vida en el intervalo.</x:v>
      </x:c>
      <x:c r="D42" s="4" t="str">
        <x:v>T009 cuerpo técnico; T008 loaded-module list; R025 IV tema 4</x:v>
      </x:c>
    </x:row>
    <x:row r="43" ht="47" customHeight="1">
      <x:c r="A43" s="4" t="str">
        <x:v>P05</x:v>
      </x:c>
      <x:c r="B43" s="4" t="str">
        <x:v>Tri 1</x:v>
      </x:c>
      <x:c r="C43" s="4" t="str">
        <x:v>Evento de terminación de aquella generación en el intervalo.</x:v>
      </x:c>
      <x:c r="D43" s="4" t="str">
        <x:v>T009 cuerpo técnico; T008 loaded-module list; R025 IV tema 4</x:v>
      </x:c>
    </x:row>
    <x:row r="44" ht="47" customHeight="1">
      <x:c r="A44" s="4" t="str">
        <x:v>P05</x:v>
      </x:c>
      <x:c r="B44" s="4" t="str">
        <x:v>Tri 0</x:v>
      </x:c>
      <x:c r="C44" s="4" t="str">
        <x:v>Ausencia acreditada de tal terminación en el intervalo.</x:v>
      </x:c>
      <x:c r="D44" s="4" t="str">
        <x:v>T009 cuerpo técnico; T008 loaded-module list; R025 IV tema 4</x:v>
      </x:c>
    </x:row>
    <x:row r="45" ht="47" customHeight="1">
      <x:c r="A45" s="4" t="str">
        <x:v>P05</x:v>
      </x:c>
      <x:c r="B45" s="4" t="str">
        <x:v>Incertidumbre propia</x:v>
      </x:c>
      <x:c r="C45" s="4" t="str">
        <x:v>PID sin generación, registro incompleto, orden incierto o conflicto. Error de captura se registra fuera de Tri.</x:v>
      </x:c>
      <x:c r="D45" s="4" t="str">
        <x:v>T009 cuerpo técnico; T008 loaded-module list; R025 IV tema 4</x:v>
      </x:c>
    </x:row>
    <x:row r="46" ht="47" customHeight="1">
      <x:c r="A46" s="4" t="str">
        <x:v>P05</x:v>
      </x:c>
      <x:c r="B46" s="4" t="str">
        <x:v>Uso en OP-CYB-001</x:v>
      </x:c>
      <x:c r="C46" s="4" t="str">
        <x:v>Conservar que la ejecución previa dejó de mantener sus recursos; no equipararlo con nuevo proceso operativo.</x:v>
      </x:c>
      <x:c r="D46" s="4" t="str">
        <x:v>T009 cuerpo técnico; T008 loaded-module list; R025 IV tema 4</x:v>
      </x:c>
    </x:row>
    <x:row r="47" ht="47" customHeight="1">
      <x:c r="A47" s="4" t="str">
        <x:v>P05</x:v>
      </x:c>
      <x:c r="B47" s="4" t="str">
        <x:v>Partición examinada</x:v>
      </x:c>
      <x:c r="C47" s="4" t="str">
        <x:v>Se rechazó «reinicio del software realizado» como agregado de terminación y nueva ejecución útil. Aquí se adjudica sólo el evento de terminación; arranque y disponibilidad no se esconden.</x:v>
      </x:c>
      <x:c r="D47" s="4" t="str">
        <x:v>T009 cuerpo técnico; T008 loaded-module list; R025 IV tema 4</x:v>
      </x:c>
    </x:row>
    <x:row r="48" ht="47" customHeight="1">
      <x:c r="A48" s="4" t="str">
        <x:v>P05</x:v>
      </x:c>
      <x:c r="B48" s="4" t="str">
        <x:v>Límite y deuda</x:v>
      </x:c>
      <x:c r="C48" s="4" t="str">
        <x:v>No satisface por sí solo P04. Reinicio íntegro, todas las instancias, redeploy y configuración continúan pendientes en D4.</x:v>
      </x:c>
      <x:c r="D48" s="4" t="str">
        <x:v>T009 cuerpo técnico; T008 loaded-module list; R025 IV tema 4</x:v>
      </x:c>
    </x:row>
    <x:row r="49" ht="47" customHeight="1">
      <x:c r="A49" s="4" t="str">
        <x:v>P06</x:v>
      </x:c>
      <x:c r="B49" s="4" t="str">
        <x:v>Proposición</x:v>
      </x:c>
      <x:c r="C49" s="4" t="str">
        <x:v>La imagen del componente cargada en la instancia evaluada al corte coincide con la imagen objetivo previamente fijada.</x:v>
      </x:c>
      <x:c r="D49" s="4" t="str">
        <x:v>T001 §2.3.3; T008; T012–T013; R025 IV temas 4/5/6</x:v>
      </x:c>
    </x:row>
    <x:row r="50" ht="47" customHeight="1">
      <x:c r="A50" s="4" t="str">
        <x:v>P06</x:v>
      </x:c>
      <x:c r="B50" s="4" t="str">
        <x:v>Sujeto e identidad</x:v>
      </x:c>
      <x:c r="C50" s="4" t="str">
        <x:v>Una instancia/generación, un componente cargado, imagen objetivo, método de identidad admitido e instalación relacionada.</x:v>
      </x:c>
      <x:c r="D50" s="4" t="str">
        <x:v>T001 §2.3.3; T008; T012–T013; R025 IV temas 4/5/6</x:v>
      </x:c>
    </x:row>
    <x:row r="51" ht="47" customHeight="1">
      <x:c r="A51" s="4" t="str">
        <x:v>P06</x:v>
      </x:c>
      <x:c r="B51" s="4" t="str">
        <x:v>Horizonte</x:v>
      </x:c>
      <x:c r="C51" s="4" t="str">
        <x:v>Estado observado al corte de aquella instancia. No describe todas las instancias ni conserva vigencia frente a eventos futuros.</x:v>
      </x:c>
      <x:c r="D51" s="4" t="str">
        <x:v>T001 §2.3.3; T008; T012–T013; R025 IV temas 4/5/6</x:v>
      </x:c>
    </x:row>
    <x:row r="52" ht="47" customHeight="1">
      <x:c r="A52" s="4" t="str">
        <x:v>P06</x:v>
      </x:c>
      <x:c r="B52" s="4" t="str">
        <x:v>Perfil documental</x:v>
      </x:c>
      <x:c r="C52" s="4" t="str">
        <x:v>IDENTIDAD-IMAGEN-CARGADA-0.1</x:v>
      </x:c>
      <x:c r="D52" s="4" t="str">
        <x:v>T001 §2.3.3; T008; T012–T013; R025 IV temas 4/5/6</x:v>
      </x:c>
    </x:row>
    <x:row r="53" ht="47" customHeight="1">
      <x:c r="A53" s="4" t="str">
        <x:v>P06</x:v>
      </x:c>
      <x:c r="B53" s="4" t="str">
        <x:v>Observación exigida</x:v>
      </x:c>
      <x:c r="C53" s="4" t="str">
        <x:v>Dos identidades exactas obtenidas con el mismo método admitido: imagen realmente cargada y objetivo fijado. La evidencia debe justificar correspondencia runtime–imagen; no basta leer el fichero por su ruta.</x:v>
      </x:c>
      <x:c r="D53" s="4" t="str">
        <x:v>T001 §2.3.3; T008; T012–T013; R025 IV temas 4/5/6</x:v>
      </x:c>
    </x:row>
    <x:row r="54" ht="47" customHeight="1">
      <x:c r="A54" s="4" t="str">
        <x:v>P06</x:v>
      </x:c>
      <x:c r="B54" s="4" t="str">
        <x:v>Tri 1</x:v>
      </x:c>
      <x:c r="C54" s="4" t="str">
        <x:v>Identidades exactas iguales bajo ese método y alcance.</x:v>
      </x:c>
      <x:c r="D54" s="4" t="str">
        <x:v>T001 §2.3.3; T008; T012–T013; R025 IV temas 4/5/6</x:v>
      </x:c>
    </x:row>
    <x:row r="55" ht="47" customHeight="1">
      <x:c r="A55" s="4" t="str">
        <x:v>P06</x:v>
      </x:c>
      <x:c r="B55" s="4" t="str">
        <x:v>Tri 0</x:v>
      </x:c>
      <x:c r="C55" s="4" t="str">
        <x:v>Identidad runtime acreditada distinta del objetivo.</x:v>
      </x:c>
      <x:c r="D55" s="4" t="str">
        <x:v>T001 §2.3.3; T008; T012–T013; R025 IV temas 4/5/6</x:v>
      </x:c>
    </x:row>
    <x:row r="56" ht="47" customHeight="1">
      <x:c r="A56" s="4" t="str">
        <x:v>P06</x:v>
      </x:c>
      <x:c r="B56" s="4" t="str">
        <x:v>Incertidumbre propia</x:v>
      </x:c>
      <x:c r="C56" s="4" t="str">
        <x:v>Sólo fichero en disco, ruta, nombre, dirección/puntero, tamaño o versión no inequívoca; captura insuficiente o contradictoria.</x:v>
      </x:c>
      <x:c r="D56" s="4" t="str">
        <x:v>T001 §2.3.3; T008; T012–T013; R025 IV temas 4/5/6</x:v>
      </x:c>
    </x:row>
    <x:row r="57" ht="47" customHeight="1">
      <x:c r="A57" s="4" t="str">
        <x:v>P06</x:v>
      </x:c>
      <x:c r="B57" s="4" t="str">
        <x:v>Uso en OP-CYB-001</x:v>
      </x:c>
      <x:c r="C57" s="4" t="str">
        <x:v>Separar distribución en disco de qué código está activo en la instancia examinada.</x:v>
      </x:c>
      <x:c r="D57" s="4" t="str">
        <x:v>T001 §2.3.3; T008; T012–T013; R025 IV temas 4/5/6</x:v>
      </x:c>
    </x:row>
    <x:row r="58" ht="47" customHeight="1">
      <x:c r="A58" s="4" t="str">
        <x:v>P06</x:v>
      </x:c>
      <x:c r="B58" s="4" t="str">
        <x:v>Partición examinada</x:v>
      </x:c>
      <x:c r="C58" s="4" t="str">
        <x:v>El digest objetivo es contexto, no un átomo. Comparar identidad de imagen es una sola proposición; no se mezclan firma, autenticidad o efectividad del parche.</x:v>
      </x:c>
      <x:c r="D58" s="4" t="str">
        <x:v>T001 §2.3.3; T008; T012–T013; R025 IV temas 4/5/6</x:v>
      </x:c>
    </x:row>
    <x:row r="59" ht="60" customHeight="1">
      <x:c r="A59" s="4" t="str">
        <x:v>P06</x:v>
      </x:c>
      <x:c r="B59" s="4" t="str">
        <x:v>Límite y deuda</x:v>
      </x:c>
      <x:c r="C59" s="4" t="str">
        <x:v>MODULEINFO no entrega huella del código. No se define hash ingenuo de memoria (ASLR, relocaciones o modificaciones). El método productivo de identidad/captura sigue pendiente; aquí se ensaya el contrato sobre identidades documentales sintéticas.</x:v>
      </x:c>
      <x:c r="D59" s="4" t="str">
        <x:v>T001 §2.3.3; T008; T012–T013; R025 IV temas 4/5/6</x:v>
      </x:c>
    </x:row>
    <x:row r="60" ht="47" customHeight="1">
      <x:c r="A60" s="4" t="str">
        <x:v>P07</x:v>
      </x:c>
      <x:c r="B60" s="4" t="str">
        <x:v>Proposición</x:v>
      </x:c>
      <x:c r="C60" s="4" t="str">
        <x:v>La comprobación individual identificada satisfizo el único criterio de aceptación previamente fijado para ella.</x:v>
      </x:c>
      <x:c r="D60" s="4" t="str">
        <x:v>T001 §2.3.3; R025; R035</x:v>
      </x:c>
    </x:row>
    <x:row r="61" ht="47" customHeight="1">
      <x:c r="A61" s="4" t="str">
        <x:v>P07</x:v>
      </x:c>
      <x:c r="B61" s="4" t="str">
        <x:v>Sujeto e identidad</x:v>
      </x:c>
      <x:c r="C61" s="4" t="str">
        <x:v>Una ejecución de comprobación, activo/componente, criterio unitario/version, método y evidencia. No una campaña ni un agregado de hallazgos.</x:v>
      </x:c>
      <x:c r="D61" s="4" t="str">
        <x:v>T001 §2.3.3; R025; R035</x:v>
      </x:c>
    </x:row>
    <x:row r="62" ht="47" customHeight="1">
      <x:c r="A62" s="4" t="str">
        <x:v>P07</x:v>
      </x:c>
      <x:c r="B62" s="4" t="str">
        <x:v>Horizonte</x:v>
      </x:c>
      <x:c r="C62" s="4" t="str">
        <x:v>Resultado de aquella ejecución; una comprobación nueva recibe otra identidad y no modifica retrospectivamente este resultado.</x:v>
      </x:c>
      <x:c r="D62" s="4" t="str">
        <x:v>T001 §2.3.3; R025; R035</x:v>
      </x:c>
    </x:row>
    <x:row r="63" ht="47" customHeight="1">
      <x:c r="A63" s="4" t="str">
        <x:v>P07</x:v>
      </x:c>
      <x:c r="B63" s="4" t="str">
        <x:v>Perfil documental</x:v>
      </x:c>
      <x:c r="C63" s="4" t="str">
        <x:v>COMPROBACION-CRITERIO-UNITARIO-0.1</x:v>
      </x:c>
      <x:c r="D63" s="4" t="str">
        <x:v>T001 §2.3.3; R025; R035</x:v>
      </x:c>
    </x:row>
    <x:row r="64" ht="47" customHeight="1">
      <x:c r="A64" s="4" t="str">
        <x:v>P07</x:v>
      </x:c>
      <x:c r="B64" s="4" t="str">
        <x:v>Observación exigida</x:v>
      </x:c>
      <x:c r="C64" s="4" t="str">
        <x:v>Informe con observación y criterio previos, resultado reproducible y alcance identificado. El informe debe enlazar evidencia, no contener sólo un sello «apto».</x:v>
      </x:c>
      <x:c r="D64" s="4" t="str">
        <x:v>T001 §2.3.3; R025; R035</x:v>
      </x:c>
    </x:row>
    <x:row r="65" ht="47" customHeight="1">
      <x:c r="A65" s="4" t="str">
        <x:v>P07</x:v>
      </x:c>
      <x:c r="B65" s="4" t="str">
        <x:v>Tri 1</x:v>
      </x:c>
      <x:c r="C65" s="4" t="str">
        <x:v>La observación satisface el criterio unitario admitido.</x:v>
      </x:c>
      <x:c r="D65" s="4" t="str">
        <x:v>T001 §2.3.3; R025; R035</x:v>
      </x:c>
    </x:row>
    <x:row r="66" ht="47" customHeight="1">
      <x:c r="A66" s="4" t="str">
        <x:v>P07</x:v>
      </x:c>
      <x:c r="B66" s="4" t="str">
        <x:v>Tri 0</x:v>
      </x:c>
      <x:c r="C66" s="4" t="str">
        <x:v>La observación no lo satisface, con prueba válida.</x:v>
      </x:c>
      <x:c r="D66" s="4" t="str">
        <x:v>T001 §2.3.3; R025; R035</x:v>
      </x:c>
    </x:row>
    <x:row r="67" ht="47" customHeight="1">
      <x:c r="A67" s="4" t="str">
        <x:v>P07</x:v>
      </x:c>
      <x:c r="B67" s="4" t="str">
        <x:v>Incertidumbre propia</x:v>
      </x:c>
      <x:c r="C67" s="4" t="str">
        <x:v>Observación ausente, evidencia insuficiente o conflicto. Criterio compuesto o no fijado impide admisión al perfil, no produce un falso negativo.</x:v>
      </x:c>
      <x:c r="D67" s="4" t="str">
        <x:v>T001 §2.3.3; R025; R035</x:v>
      </x:c>
    </x:row>
    <x:row r="68" ht="47" customHeight="1">
      <x:c r="A68" s="4" t="str">
        <x:v>P07</x:v>
      </x:c>
      <x:c r="B68" s="4" t="str">
        <x:v>Uso en OP-CYB-001</x:v>
      </x:c>
      <x:c r="C68" s="4" t="str">
        <x:v>Conservar el resultado de una comprobación sin convertirlo en cierre global o ausencia universal de vulnerabilidades.</x:v>
      </x:c>
      <x:c r="D68" s="4" t="str">
        <x:v>T001 §2.3.3; R025; R035</x:v>
      </x:c>
    </x:row>
    <x:row r="69" ht="47" customHeight="1">
      <x:c r="A69" s="4" t="str">
        <x:v>P07</x:v>
      </x:c>
      <x:c r="B69" s="4" t="str">
        <x:v>Partición examinada</x:v>
      </x:c>
      <x:c r="C69" s="4" t="str">
        <x:v>Si el criterio reúne resultados con incertidumbre/consecuencia separables es compuesto y queda fuera. Este parámetro sólo admite un predicado evaluativo unitario.</x:v>
      </x:c>
      <x:c r="D69" s="4" t="str">
        <x:v>T001 §2.3.3; R025; R035</x:v>
      </x:c>
    </x:row>
    <x:row r="70" ht="47" customHeight="1">
      <x:c r="A70" s="4" t="str">
        <x:v>P07</x:v>
      </x:c>
      <x:c r="B70" s="4" t="str">
        <x:v>Límite y deuda</x:v>
      </x:c>
      <x:c r="C70" s="4" t="str">
        <x:v>La unidad no ha fijado un oráculo de explotación real ni ejecutado pruebas sobre activos. Valida el contrato documental del resultado, no la sensibilidad operacional del futuro criterio.</x:v>
      </x:c>
      <x:c r="D70" s="4" t="str">
        <x:v>T001 §2.3.3; R025; R035</x:v>
      </x:c>
    </x:row>
    <x:row r="71" ht="47" customHeight="1">
      <x:c r="A71" s="4" t="str">
        <x:v>P08</x:v>
      </x:c>
      <x:c r="B71" s="4" t="str">
        <x:v>Proposición</x:v>
      </x:c>
      <x:c r="C71" s="4" t="str">
        <x:v>Existe después de la instalación y hasta el corte una operación de retirada de esa actualización que comunica éxito.</x:v>
      </x:c>
      <x:c r="D71" s="4" t="str">
        <x:v>T001 §§2.3.2/2.3.4; T010–T011; T004</x:v>
      </x:c>
    </x:row>
    <x:row r="72" ht="47" customHeight="1">
      <x:c r="A72" s="4" t="str">
        <x:v>P08</x:v>
      </x:c>
      <x:c r="B72" s="4" t="str">
        <x:v>Sujeto e identidad</x:v>
      </x:c>
      <x:c r="C72" s="4" t="str">
        <x:v>Activo, actualización/revisión, episodio inicial y operación posterior de retirada identificada.</x:v>
      </x:c>
      <x:c r="D72" s="4" t="str">
        <x:v>T001 §§2.3.2/2.3.4; T010–T011; T004</x:v>
      </x:c>
    </x:row>
    <x:row r="73" ht="47" customHeight="1">
      <x:c r="A73" s="4" t="str">
        <x:v>P08</x:v>
      </x:c>
      <x:c r="B73" s="4" t="str">
        <x:v>Horizonte</x:v>
      </x:c>
      <x:c r="C73" s="4" t="str">
        <x:v>Existencia histórica en (fin de instalación, corte]. Reinstalar después no borra el suceso.</x:v>
      </x:c>
      <x:c r="D73" s="4" t="str">
        <x:v>T001 §§2.3.2/2.3.4; T010–T011; T004</x:v>
      </x:c>
    </x:row>
    <x:row r="74" ht="47" customHeight="1">
      <x:c r="A74" s="4" t="str">
        <x:v>P08</x:v>
      </x:c>
      <x:c r="B74" s="4" t="str">
        <x:v>Perfil documental</x:v>
      </x:c>
      <x:c r="C74" s="4" t="str">
        <x:v>HISTORIA-RETIRADA-ACTUALIZACION-0.1</x:v>
      </x:c>
      <x:c r="D74" s="4" t="str">
        <x:v>T001 §§2.3.2/2.3.4; T010–T011; T004</x:v>
      </x:c>
    </x:row>
    <x:row r="75" ht="47" customHeight="1">
      <x:c r="A75" s="4" t="str">
        <x:v>P08</x:v>
      </x:c>
      <x:c r="B75" s="4" t="str">
        <x:v>Observación exigida</x:v>
      </x:c>
      <x:c r="C75" s="4" t="str">
        <x:v>Historia admitida: identidad, Operation, ResultCode y orden. QueryHistory por sí solo no demuestra que su historia sea íntegra.</x:v>
      </x:c>
      <x:c r="D75" s="4" t="str">
        <x:v>T001 §§2.3.2/2.3.4; T010–T011; T004</x:v>
      </x:c>
    </x:row>
    <x:row r="76" ht="47" customHeight="1">
      <x:c r="A76" s="4" t="str">
        <x:v>P08</x:v>
      </x:c>
      <x:c r="B76" s="4" t="str">
        <x:v>Tri 1</x:v>
      </x:c>
      <x:c r="C76" s="4" t="str">
        <x:v>Operación uoUninstallation con orcSucceeded, correctamente vinculada y posterior.</x:v>
      </x:c>
      <x:c r="D76" s="4" t="str">
        <x:v>T001 §§2.3.2/2.3.4; T010–T011; T004</x:v>
      </x:c>
    </x:row>
    <x:row r="77" ht="47" customHeight="1">
      <x:c r="A77" s="4" t="str">
        <x:v>P08</x:v>
      </x:c>
      <x:c r="B77" s="4" t="str">
        <x:v>Tri 0</x:v>
      </x:c>
      <x:c r="C77" s="4" t="str">
        <x:v>Ninguna operación así en historia cuya cobertura del intervalo está acreditada.</x:v>
      </x:c>
      <x:c r="D77" s="4" t="str">
        <x:v>T001 §§2.3.2/2.3.4; T010–T011; T004</x:v>
      </x:c>
    </x:row>
    <x:row r="78" ht="47" customHeight="1">
      <x:c r="A78" s="4" t="str">
        <x:v>P08</x:v>
      </x:c>
      <x:c r="B78" s="4" t="str">
        <x:v>Incertidumbre propia</x:v>
      </x:c>
      <x:c r="C78" s="4" t="str">
        <x:v>Cobertura parcial sin positivo, éxito con errores sin conclusión suficiente sobre retirada, orden incierto o conflicto.</x:v>
      </x:c>
      <x:c r="D78" s="4" t="str">
        <x:v>T001 §§2.3.2/2.3.4; T010–T011; T004</x:v>
      </x:c>
    </x:row>
    <x:row r="79" ht="47" customHeight="1">
      <x:c r="A79" s="4" t="str">
        <x:v>P08</x:v>
      </x:c>
      <x:c r="B79" s="4" t="str">
        <x:v>Uso en OP-CYB-001</x:v>
      </x:c>
      <x:c r="C79" s="4" t="str">
        <x:v>Activar reexamen del cierre frente a una retirada comunicada, conservando diferencia entre resultado comunicado y estado actual.</x:v>
      </x:c>
      <x:c r="D79" s="4" t="str">
        <x:v>T001 §§2.3.2/2.3.4; T010–T011; T004</x:v>
      </x:c>
    </x:row>
    <x:row r="80" ht="47" customHeight="1">
      <x:c r="A80" s="4" t="str">
        <x:v>P08</x:v>
      </x:c>
      <x:c r="B80" s="4" t="str">
        <x:v>Partición examinada</x:v>
      </x:c>
      <x:c r="C80" s="4" t="str">
        <x:v>No se crea un átomo para cada resultado de retirada. La semántica del suceso permanece separada de la integridad de la historia y del estado actual.</x:v>
      </x:c>
      <x:c r="D80" s="4" t="str">
        <x:v>T001 §§2.3.2/2.3.4; T010–T011; T004</x:v>
      </x:c>
    </x:row>
    <x:row r="81" ht="47" customHeight="1">
      <x:c r="A81" s="4" t="str">
        <x:v>P08</x:v>
      </x:c>
      <x:c r="B81" s="4" t="str">
        <x:v>Límite y deuda</x:v>
      </x:c>
      <x:c r="C81" s="4" t="str">
        <x:v>Cubre retirada comunicada, no toda reversión posible de D1. La ausencia del paquete en inventario no prueba esta causa.</x:v>
      </x:c>
      <x:c r="D81" s="4" t="str">
        <x:v>T001 §§2.3.2/2.3.4; T010–T011; T004</x:v>
      </x:c>
    </x:row>
    <x:row r="82" ht="47" customHeight="1">
      <x:c r="A82" s="4" t="str">
        <x:v>P09</x:v>
      </x:c>
      <x:c r="B82" s="4" t="str">
        <x:v>Proposición</x:v>
      </x:c>
      <x:c r="C82" s="4" t="str">
        <x:v>Ocurrió al menos un cambio de identidad binaria del componente desde la comprobación de referencia hasta el corte.</x:v>
      </x:c>
      <x:c r="D82" s="4" t="str">
        <x:v>T001 §§2.2/2.3.4; T008; R025; S018</x:v>
      </x:c>
    </x:row>
    <x:row r="83" ht="47" customHeight="1">
      <x:c r="A83" s="4" t="str">
        <x:v>P09</x:v>
      </x:c>
      <x:c r="B83" s="4" t="str">
        <x:v>Sujeto e identidad</x:v>
      </x:c>
      <x:c r="C83" s="4" t="str">
        <x:v>Activo y componente lógico, referencia verificada, cadena de eventos y criterio de identidad binaria fijados.</x:v>
      </x:c>
      <x:c r="D83" s="4" t="str">
        <x:v>T001 §§2.2/2.3.4; T008; R025; S018</x:v>
      </x:c>
    </x:row>
    <x:row r="84" ht="47" customHeight="1">
      <x:c r="A84" s="4" t="str">
        <x:v>P09</x:v>
      </x:c>
      <x:c r="B84" s="4" t="str">
        <x:v>Horizonte</x:v>
      </x:c>
      <x:c r="C84" s="4" t="str">
        <x:v>Intervalo (comprobación de referencia, corte]. Se conserva el evento aunque después se vuelva a la imagen anterior.</x:v>
      </x:c>
      <x:c r="D84" s="4" t="str">
        <x:v>T001 §§2.2/2.3.4; T008; R025; S018</x:v>
      </x:c>
    </x:row>
    <x:row r="85" ht="47" customHeight="1">
      <x:c r="A85" s="4" t="str">
        <x:v>P09</x:v>
      </x:c>
      <x:c r="B85" s="4" t="str">
        <x:v>Perfil documental</x:v>
      </x:c>
      <x:c r="C85" s="4" t="str">
        <x:v>HISTORIA-CAMBIO-COMPONENTE-0.1</x:v>
      </x:c>
      <x:c r="D85" s="4" t="str">
        <x:v>T001 §§2.2/2.3.4; T008; R025; S018</x:v>
      </x:c>
    </x:row>
    <x:row r="86" ht="47" customHeight="1">
      <x:c r="A86" s="4" t="str">
        <x:v>P09</x:v>
      </x:c>
      <x:c r="B86" s="4" t="str">
        <x:v>Observación exigida</x:v>
      </x:c>
      <x:c r="C86" s="4" t="str">
        <x:v>Testigo de transición entre identidades distintas bajo el mismo método, con orden y enlace al componente; ausencia exige cobertura suficiente.</x:v>
      </x:c>
      <x:c r="D86" s="4" t="str">
        <x:v>T001 §§2.2/2.3.4; T008; R025; S018</x:v>
      </x:c>
    </x:row>
    <x:row r="87" ht="47" customHeight="1">
      <x:c r="A87" s="4" t="str">
        <x:v>P09</x:v>
      </x:c>
      <x:c r="B87" s="4" t="str">
        <x:v>Tri 1</x:v>
      </x:c>
      <x:c r="C87" s="4" t="str">
        <x:v>Transición acreditada; también cambio seguido de retorno a identidad inicial.</x:v>
      </x:c>
      <x:c r="D87" s="4" t="str">
        <x:v>T001 §§2.2/2.3.4; T008; R025; S018</x:v>
      </x:c>
    </x:row>
    <x:row r="88" ht="47" customHeight="1">
      <x:c r="A88" s="4" t="str">
        <x:v>P09</x:v>
      </x:c>
      <x:c r="B88" s="4" t="str">
        <x:v>Tri 0</x:v>
      </x:c>
      <x:c r="C88" s="4" t="str">
        <x:v>Ninguna transición en historia acreditadamente completa.</x:v>
      </x:c>
      <x:c r="D88" s="4" t="str">
        <x:v>T001 §§2.2/2.3.4; T008; R025; S018</x:v>
      </x:c>
    </x:row>
    <x:row r="89" ht="47" customHeight="1">
      <x:c r="A89" s="4" t="str">
        <x:v>P09</x:v>
      </x:c>
      <x:c r="B89" s="4" t="str">
        <x:v>Incertidumbre propia</x:v>
      </x:c>
      <x:c r="C89" s="4" t="str">
        <x:v>Sólo comparación de estados extremos, hueco del registro, identidad binaria insuficiente u orden incierto.</x:v>
      </x:c>
      <x:c r="D89" s="4" t="str">
        <x:v>T001 §§2.2/2.3.4; T008; R025; S018</x:v>
      </x:c>
    </x:row>
    <x:row r="90" ht="47" customHeight="1">
      <x:c r="A90" s="4" t="str">
        <x:v>P09</x:v>
      </x:c>
      <x:c r="B90" s="4" t="str">
        <x:v>Uso en OP-CYB-001</x:v>
      </x:c>
      <x:c r="C90" s="4" t="str">
        <x:v>Conservar el antecedente que obliga a revisar la transportabilidad de una comprobación anterior.</x:v>
      </x:c>
      <x:c r="D90" s="4" t="str">
        <x:v>T001 §§2.2/2.3.4; T008; R025; S018</x:v>
      </x:c>
    </x:row>
    <x:row r="91" ht="47" customHeight="1">
      <x:c r="A91" s="4" t="str">
        <x:v>P09</x:v>
      </x:c>
      <x:c r="B91" s="4" t="str">
        <x:v>Partición examinada</x:v>
      </x:c>
      <x:c r="C91" s="4" t="str">
        <x:v>Se retiró una primera formulación como desigualdad actual frente a referencia: podía duplicar el complemento de P06. La historia de transición aporta función separable.</x:v>
      </x:c>
      <x:c r="D91" s="4" t="str">
        <x:v>T001 §§2.2/2.3.4; T008; R025; S018</x:v>
      </x:c>
    </x:row>
    <x:row r="92" ht="47" customHeight="1">
      <x:c r="A92" s="4" t="str">
        <x:v>P09</x:v>
      </x:c>
      <x:c r="B92" s="4" t="str">
        <x:v>Límite y deuda</x:v>
      </x:c>
      <x:c r="C92" s="4" t="str">
        <x:v>No abarca todo cambio de configuración de D2. Un cambio de catálogo externo conserva su estatuto propio y no modifica Tri automáticamente.</x:v>
      </x:c>
      <x:c r="D92" s="4" t="str">
        <x:v>T001 §§2.2/2.3.4; T008; R025; S018</x:v>
      </x:c>
    </x:row>
    <x:row r="93" ht="47" customHeight="1">
      <x:c r="A93" s="4" t="str">
        <x:v>P10</x:v>
      </x:c>
      <x:c r="B93" s="4" t="str">
        <x:v>Proposición</x:v>
      </x:c>
      <x:c r="C93" s="4" t="str">
        <x:v>Se comunicó la terminación satisfactoria de una restauración cuyo punto de origen fue capturado antes de la instalación evaluada.</x:v>
      </x:c>
      <x:c r="D93" s="4" t="str">
        <x:v>T001 §§2.3.2/2.3.4; R033 IV tema 7; S018</x:v>
      </x:c>
    </x:row>
    <x:row r="94" ht="47" customHeight="1">
      <x:c r="A94" s="4" t="str">
        <x:v>P10</x:v>
      </x:c>
      <x:c r="B94" s="4" t="str">
        <x:v>Sujeto e identidad</x:v>
      </x:c>
      <x:c r="C94" s="4" t="str">
        <x:v>Activo, trabajo de restauración, punto de recuperación, ámbito restaurado e instalación; identidades enlazadas.</x:v>
      </x:c>
      <x:c r="D94" s="4" t="str">
        <x:v>T001 §§2.3.2/2.3.4; R033 IV tema 7; S018</x:v>
      </x:c>
    </x:row>
    <x:row r="95" ht="47" customHeight="1">
      <x:c r="A95" s="4" t="str">
        <x:v>P10</x:v>
      </x:c>
      <x:c r="B95" s="4" t="str">
        <x:v>Horizonte</x:v>
      </x:c>
      <x:c r="C95" s="4" t="str">
        <x:v>Restauración posterior al fin de instalación y no posterior al corte; punto de recuperación anterior al inicio de instalación.</x:v>
      </x:c>
      <x:c r="D95" s="4" t="str">
        <x:v>T001 §§2.3.2/2.3.4; R033 IV tema 7; S018</x:v>
      </x:c>
    </x:row>
    <x:row r="96" ht="47" customHeight="1">
      <x:c r="A96" s="4" t="str">
        <x:v>P10</x:v>
      </x:c>
      <x:c r="B96" s="4" t="str">
        <x:v>Perfil documental</x:v>
      </x:c>
      <x:c r="C96" s="4" t="str">
        <x:v>HISTORIA-RESTAURACION-PREVIA-0.1</x:v>
      </x:c>
      <x:c r="D96" s="4" t="str">
        <x:v>T001 §§2.3.2/2.3.4; R033 IV tema 7; S018</x:v>
      </x:c>
    </x:row>
    <x:row r="97" ht="47" customHeight="1">
      <x:c r="A97" s="4" t="str">
        <x:v>P10</x:v>
      </x:c>
      <x:c r="B97" s="4" t="str">
        <x:v>Observación exigida</x:v>
      </x:c>
      <x:c r="C97" s="4" t="str">
        <x:v>Registro del trabajo y manifiesto del punto recuperado, con éxito, ámbito y orden acreditados. El nombre «backup antiguo» no prueba el orden.</x:v>
      </x:c>
      <x:c r="D97" s="4" t="str">
        <x:v>T001 §§2.3.2/2.3.4; R033 IV tema 7; S018</x:v>
      </x:c>
    </x:row>
    <x:row r="98" ht="47" customHeight="1">
      <x:c r="A98" s="4" t="str">
        <x:v>P10</x:v>
      </x:c>
      <x:c r="B98" s="4" t="str">
        <x:v>Tri 1</x:v>
      </x:c>
      <x:c r="C98" s="4" t="str">
        <x:v>Trabajo satisfactorio referido a punto anterior y completado en el intervalo.</x:v>
      </x:c>
      <x:c r="D98" s="4" t="str">
        <x:v>T001 §§2.3.2/2.3.4; R033 IV tema 7; S018</x:v>
      </x:c>
    </x:row>
    <x:row r="99" ht="47" customHeight="1">
      <x:c r="A99" s="4" t="str">
        <x:v>P10</x:v>
      </x:c>
      <x:c r="B99" s="4" t="str">
        <x:v>Tri 0</x:v>
      </x:c>
      <x:c r="C99" s="4" t="str">
        <x:v>Ningún trabajo que cumpla la proposición en registro de cobertura suficiente.</x:v>
      </x:c>
      <x:c r="D99" s="4" t="str">
        <x:v>T001 §§2.3.2/2.3.4; R033 IV tema 7; S018</x:v>
      </x:c>
    </x:row>
    <x:row r="100" ht="47" customHeight="1">
      <x:c r="A100" s="4" t="str">
        <x:v>P10</x:v>
      </x:c>
      <x:c r="B100" s="4" t="str">
        <x:v>Incertidumbre propia</x:v>
      </x:c>
      <x:c r="C100" s="4" t="str">
        <x:v>Fecha/origen del punto no acreditado, cobertura parcial, orden incierto o conflicto.</x:v>
      </x:c>
      <x:c r="D100" s="4" t="str">
        <x:v>T001 §§2.3.2/2.3.4; R033 IV tema 7; S018</x:v>
      </x:c>
    </x:row>
    <x:row r="101" ht="47" customHeight="1">
      <x:c r="A101" s="4" t="str">
        <x:v>P10</x:v>
      </x:c>
      <x:c r="B101" s="4" t="str">
        <x:v>Uso en OP-CYB-001</x:v>
      </x:c>
      <x:c r="C101" s="4" t="str">
        <x:v>Exigir revisión del alcance de evidencia que pueda haber sido sustituido por recuperación de estado previo.</x:v>
      </x:c>
      <x:c r="D101" s="4" t="str">
        <x:v>T001 §§2.3.2/2.3.4; R033 IV tema 7; S018</x:v>
      </x:c>
    </x:row>
    <x:row r="102" ht="47" customHeight="1">
      <x:c r="A102" s="4" t="str">
        <x:v>P10</x:v>
      </x:c>
      <x:c r="B102" s="4" t="str">
        <x:v>Partición examinada</x:v>
      </x:c>
      <x:c r="C102" s="4" t="str">
        <x:v>Origen y destino fijan qué suceso se pregunta; no se agrupan su éxito comunicado, integridad efectiva y aptitud de la recuperación. Sólo el primero se adjudica.</x:v>
      </x:c>
      <x:c r="D102" s="4" t="str">
        <x:v>T001 §§2.3.2/2.3.4; R033 IV tema 7; S018</x:v>
      </x:c>
    </x:row>
    <x:row r="103" ht="47" customHeight="1">
      <x:c r="A103" s="4" t="str">
        <x:v>P10</x:v>
      </x:c>
      <x:c r="B103" s="4" t="str">
        <x:v>Límite y deuda</x:v>
      </x:c>
      <x:c r="C103" s="4" t="str">
        <x:v>No acredita integridad del backup, disponibilidad del servicio o ausencia de compromiso. Esas consecuencias necesitan otras preguntas.</x:v>
      </x:c>
      <x:c r="D103" s="4" t="str">
        <x:v>T001 §§2.3.2/2.3.4; R033 IV tema 7; S018</x:v>
      </x:c>
    </x:row>
  </x:sheetData>
  <x:mergeCells>
    <x:mergeCell ref="A1:D1"/>
    <x:mergeCell ref="A2:D2"/>
  </x:mergeCells>
  <x:pageMargins left="0.7" right="0.7" top="0.75" bottom="0.75" header="0.3" footer="0.3"/>
  <x:tableParts count="1">
    <x:tablePart xmlns:r="http://schemas.openxmlformats.org/officeDocument/2006/relationships" r:id="R93530478e56f49e6"/>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94" hidden="0" customWidth="1"/>
    <x:col min="4" max="4" width="93" hidden="0" customWidth="1"/>
    <x:col min="5" max="5" width="81" hidden="0" customWidth="1"/>
    <x:col min="6" max="6" width="106" hidden="0" customWidth="1"/>
    <x:col min="7" max="7" width="50" hidden="0" customWidth="1"/>
  </x:cols>
  <x:sheetData>
    <x:row r="1" ht="35" customHeight="1">
      <x:c r="A1" s="6" t="str">
        <x:v>CONSECUENCIAS · conocimiento omitido y consejo</x:v>
      </x:c>
      <x:c r="B1" s="6"/>
      <x:c r="C1" s="6"/>
      <x:c r="D1" s="6"/>
      <x:c r="E1" s="6"/>
      <x:c r="F1" s="6"/>
      <x:c r="G1" s="6"/>
    </x:row>
    <x:row r="2" ht="52" customHeight="1">
      <x:c r="A2" s="8" t="str">
        <x:v>Cadenas documentales y perjuicios potenciales condicionados. No son daños reales ni rutas críticas SV constituidas.</x:v>
      </x:c>
      <x:c r="B2" s="8"/>
      <x:c r="C2" s="8"/>
      <x:c r="D2" s="8"/>
      <x:c r="E2" s="8"/>
      <x:c r="F2" s="8"/>
      <x:c r="G2" s="8"/>
    </x:row>
    <x:row r="3">
      <x:c r="A3" s="4"/>
      <x:c r="B3" s="4"/>
      <x:c r="C3" s="4"/>
      <x:c r="D3" s="4"/>
      <x:c r="E3" s="4"/>
      <x:c r="F3" s="4"/>
      <x:c r="G3" s="4"/>
    </x:row>
    <x:row r="4" ht="42" customHeight="1">
      <x:c r="A4" s="10" t="str">
        <x:v>Consecuencia</x:v>
      </x:c>
      <x:c r="B4" s="10" t="str">
        <x:v>Parámetro</x:v>
      </x:c>
      <x:c r="C4" s="10" t="str">
        <x:v>Conocimiento que debe enlazarse</x:v>
      </x:c>
      <x:c r="D4" s="10" t="str">
        <x:v>Error o exceso</x:v>
      </x:c>
      <x:c r="E4" s="10" t="str">
        <x:v>Función alterada</x:v>
      </x:c>
      <x:c r="F4" s="10" t="str">
        <x:v>Condición y límite</x:v>
      </x:c>
      <x:c r="G4" s="10" t="str">
        <x:v>Fuente</x:v>
      </x:c>
    </x:row>
    <x:row r="5" ht="47" customHeight="1">
      <x:c r="A5" s="4" t="str">
        <x:v>CON-CYB-02-OM</x:v>
      </x:c>
      <x:c r="B5" s="4" t="str">
        <x:v>P02</x:v>
      </x:c>
      <x:c r="C5" s="4" t="str">
        <x:v>La operación individual de instalación identificada comunicó terminación satisfactoria sin el calificador de errores del emisor.</x:v>
      </x:c>
      <x:c r="D5" s="4" t="str">
        <x:v>Omitir estado final o normalizar éxito con errores como éxito pleno hace parecer completada una fase no acreditada.</x:v>
      </x:c>
      <x:c r="E5" s="4" t="str">
        <x:v>Separar el resultado profesional comunicado de completitud, efecto y fallo del observador.</x:v>
      </x:c>
      <x:c r="F5" s="4" t="str">
        <x:v>Persistencia potencial sólo si la corrección dependía de lo que falló; no se deduce ausencia total de instalación ni explotación.</x:v>
      </x:c>
      <x:c r="G5" s="4" t="str">
        <x:v>T004 Constants; T005; T006; R025</x:v>
      </x:c>
    </x:row>
    <x:row r="6" ht="47" customHeight="1">
      <x:c r="A6" s="4" t="str">
        <x:v>CON-CYB-03-OM</x:v>
      </x:c>
      <x:c r="B6" s="4" t="str">
        <x:v>P03</x:v>
      </x:c>
      <x:c r="C6" s="4" t="str">
        <x:v>Se completó al menos un reinicio íntegro del sistema anfitrión después del resultado de instalación y no después del corte.</x:v>
      </x:c>
      <x:c r="D6" s="4" t="str">
        <x:v>Equiparar apagado/encendido híbrido con reinicio completo puede dar por satisfecha una condición pendiente.</x:v>
      </x:c>
      <x:c r="E6" s="4" t="str">
        <x:v>Aportar satisfacción de la condición de reinicio del sistema, sin reescribir el requisito histórico.</x:v>
      </x:c>
      <x:c r="F6" s="4" t="str">
        <x:v>Sólo afecta al cierre si esa instalación necesitaba dicho reinicio; ni el reinicio completo garantiza la corrección.</x:v>
      </x:c>
      <x:c r="G6" s="4" t="str">
        <x:v>T001 §2.3.2; T007 Summary/More information; R025</x:v>
      </x:c>
    </x:row>
    <x:row r="7" ht="47" customHeight="1">
      <x:c r="A7" s="4" t="str">
        <x:v>CON-CYB-04-OM</x:v>
      </x:c>
      <x:c r="B7" s="4" t="str">
        <x:v>P04</x:v>
      </x:c>
      <x:c r="C7" s="4" t="str">
        <x:v>La instrucción específica admitida para completar esta instalación exigía reiniciar el software identificado.</x:v>
      </x:c>
      <x:c r="D7" s="4" t="str">
        <x:v>Leer sólo P01=0 puede ocultar que un software requiere reinicio para liberar/cambiar recursos de ejecución.</x:v>
      </x:c>
      <x:c r="E7" s="4" t="str">
        <x:v>Conservar una obligación relativa al software, independiente del reinicio del sistema.</x:v>
      </x:c>
      <x:c r="F7" s="4" t="str">
        <x:v>Una corrección puede seguir incompleta si depende de ese cambio; la fuente concreta debe establecer la dependencia. No todo software exige reinicio.</x:v>
      </x:c>
      <x:c r="G7" s="4" t="str">
        <x:v>T001 §2.3.2; T009 cuerpo técnico; R025</x:v>
      </x:c>
    </x:row>
    <x:row r="8" ht="47" customHeight="1">
      <x:c r="A8" s="4" t="str">
        <x:v>CON-CYB-05-OM</x:v>
      </x:c>
      <x:c r="B8" s="4" t="str">
        <x:v>P05</x:v>
      </x:c>
      <x:c r="C8" s="4" t="str">
        <x:v>Terminó la ejecución de la generación de proceso identificada después del ancla de instalación y no después del corte.</x:v>
      </x:c>
      <x:c r="D8" s="4" t="str">
        <x:v>Tomar la creación de otra instancia como cierre de la anterior puede dejar ejecución antigua concurrente ignorada.</x:v>
      </x:c>
      <x:c r="E8" s="4" t="str">
        <x:v>Conservar que la ejecución previa dejó de mantener sus recursos; no equipararlo con nuevo proceso operativo.</x:v>
      </x:c>
      <x:c r="F8" s="4" t="str">
        <x:v>Relevancia cuando la condición de completitud exige liberar aquella ejecución; no se afirma que todos los recursos compartidos hayan quedado libres.</x:v>
      </x:c>
      <x:c r="G8" s="4" t="str">
        <x:v>T009 cuerpo técnico; T008 loaded-module list; R025 IV tema 4</x:v>
      </x:c>
    </x:row>
    <x:row r="9" ht="47" customHeight="1">
      <x:c r="A9" s="4" t="str">
        <x:v>CON-CYB-06-OM</x:v>
      </x:c>
      <x:c r="B9" s="4" t="str">
        <x:v>P06</x:v>
      </x:c>
      <x:c r="C9" s="4" t="str">
        <x:v>La imagen del componente cargada en la instancia evaluada al corte coincide con la imagen objetivo previamente fijada.</x:v>
      </x:c>
      <x:c r="D9" s="4" t="str">
        <x:v>Atribuir al proceso la imagen encontrada en disco o por nombre puede ocultar otra DLL resuelta/cargada.</x:v>
      </x:c>
      <x:c r="E9" s="4" t="str">
        <x:v>Separar distribución en disco de qué código está activo en la instancia examinada.</x:v>
      </x:c>
      <x:c r="F9" s="4" t="str">
        <x:v>Persistencia potencial sólo si la imagen activa conserva el defecto relevante. Una imagen distinta puede ser otra corrección válida; no se decide aquí.</x:v>
      </x:c>
      <x:c r="G9" s="4" t="str">
        <x:v>T001 §2.3.3; T008; T012–T013; R025 IV temas 4/5/6</x:v>
      </x:c>
    </x:row>
    <x:row r="10" ht="47" customHeight="1">
      <x:c r="A10" s="4" t="str">
        <x:v>CON-CYB-07-OM</x:v>
      </x:c>
      <x:c r="B10" s="4" t="str">
        <x:v>P07</x:v>
      </x:c>
      <x:c r="C10" s="4" t="str">
        <x:v>La comprobación individual identificada satisfizo el único criterio de aceptación previamente fijado para ella.</x:v>
      </x:c>
      <x:c r="D10" s="4" t="str">
        <x:v>Cerrar desde la presencia del paquete o imagen prescindiendo del contraste puede atribuir un efecto no probado.</x:v>
      </x:c>
      <x:c r="E10" s="4" t="str">
        <x:v>Conservar el resultado de una comprobación sin convertirlo en cierre global o ausencia universal de vulnerabilidades.</x:v>
      </x:c>
      <x:c r="F10" s="4" t="str">
        <x:v>El criterio debe ser pertinente y sensible al defecto que pretende observar. Positivo no demuestra por sí solo aptitud de todo OP-CYB-001.</x:v>
      </x:c>
      <x:c r="G10" s="4" t="str">
        <x:v>T001 §2.3.3; R025; R035</x:v>
      </x:c>
    </x:row>
    <x:row r="11" ht="47" customHeight="1">
      <x:c r="A11" s="4" t="str">
        <x:v>CON-CYB-08-OM</x:v>
      </x:c>
      <x:c r="B11" s="4" t="str">
        <x:v>P08</x:v>
      </x:c>
      <x:c r="C11" s="4" t="str">
        <x:v>Existe después de la instalación y hasta el corte una operación de retirada de esa actualización que comunica éxito.</x:v>
      </x:c>
      <x:c r="D11" s="4" t="str">
        <x:v>Reutilizar el éxito de instalación sin mirar retiradas posteriores puede mantener evidencia superada.</x:v>
      </x:c>
      <x:c r="E11" s="4" t="str">
        <x:v>Activar reexamen del cierre frente a una retirada comunicada, conservando diferencia entre resultado comunicado y estado actual.</x:v>
      </x:c>
      <x:c r="F11" s="4" t="str">
        <x:v>Puede reintroducirse el defecto si se retiró lo que lo corregía y no existe corrección alternativa; la retirada comunicada no prueba ese daño.</x:v>
      </x:c>
      <x:c r="G11" s="4" t="str">
        <x:v>T001 §§2.3.2/2.3.4; T010–T011; T004</x:v>
      </x:c>
    </x:row>
    <x:row r="12" ht="47" customHeight="1">
      <x:c r="A12" s="4" t="str">
        <x:v>CON-CYB-09-OM</x:v>
      </x:c>
      <x:c r="B12" s="4" t="str">
        <x:v>P09</x:v>
      </x:c>
      <x:c r="C12" s="4" t="str">
        <x:v>Ocurrió al menos un cambio de identidad binaria del componente desde la comprobación de referencia hasta el corte.</x:v>
      </x:c>
      <x:c r="D12" s="4" t="str">
        <x:v>Comparar sólo versiones finales puede ocultar cambios y retornos que afecten a la evidencia intermedia.</x:v>
      </x:c>
      <x:c r="E12" s="4" t="str">
        <x:v>Conservar el antecedente que obliga a revisar la transportabilidad de una comprobación anterior.</x:v>
      </x:c>
      <x:c r="F12" s="4" t="str">
        <x:v>El cambio puede invalidar la inferencia desde la prueba anterior; no demuestra por sí mismo nueva vulnerabilidad ni fallo del componente.</x:v>
      </x:c>
      <x:c r="G12" s="4" t="str">
        <x:v>T001 §§2.2/2.3.4; T008; R025; S018</x:v>
      </x:c>
    </x:row>
    <x:row r="13" ht="47" customHeight="1">
      <x:c r="A13" s="4" t="str">
        <x:v>CON-CYB-10-OM</x:v>
      </x:c>
      <x:c r="B13" s="4" t="str">
        <x:v>P10</x:v>
      </x:c>
      <x:c r="C13" s="4" t="str">
        <x:v>Se comunicó la terminación satisfactoria de una restauración cuyo punto de origen fue capturado antes de la instalación evaluada.</x:v>
      </x:c>
      <x:c r="D13" s="4" t="str">
        <x:v>Suponer continuidad desde la instalación ignorando una restauración puede mantener un cierre sobre un estado que ya no corresponde.</x:v>
      </x:c>
      <x:c r="E13" s="4" t="str">
        <x:v>Exigir revisión del alcance de evidencia que pueda haber sido sustituido por recuperación de estado previo.</x:v>
      </x:c>
      <x:c r="F13" s="4" t="str">
        <x:v>El defecto puede reaparecer si el ámbito restaurado repuso estado vulnerable. Punto anterior no significa necesariamente vulnerable ni restauración total.</x:v>
      </x:c>
      <x:c r="G13" s="4" t="str">
        <x:v>T001 §§2.3.2/2.3.4; R033 IV tema 7; S018</x:v>
      </x:c>
    </x:row>
    <x:row r="14" ht="47" customHeight="1">
      <x:c r="A14" s="4" t="str">
        <x:v>CON-CYB-02-EX</x:v>
      </x:c>
      <x:c r="B14" s="4" t="str">
        <x:v>P02</x:v>
      </x:c>
      <x:c r="C14" s="4" t="str">
        <x:v>La operación individual de instalación identificada comunicó terminación satisfactoria sin el calificador de errores del emisor.</x:v>
      </x:c>
      <x:c r="D14" s="4" t="str">
        <x:v>Tratar el fallo de instalación como caída del sistema SV borra un hecho útil para el experto.</x:v>
      </x:c>
      <x:c r="E14" s="4" t="str">
        <x:v>No convertir observación parcial en permiso, daño probado o cierre global.</x:v>
      </x:c>
      <x:c r="F14" s="4" t="str">
        <x:v>No acredita que el parche haya tomado efecto. El perfil P01 sigue exigiendo orcSucceeded y no se amplía.</x:v>
      </x:c>
      <x:c r="G14" s="4" t="str">
        <x:v>T004 Constants; T005; T006; R025</x:v>
      </x:c>
    </x:row>
    <x:row r="15" ht="47" customHeight="1">
      <x:c r="A15" s="4" t="str">
        <x:v>CON-CYB-03-EX</x:v>
      </x:c>
      <x:c r="B15" s="4" t="str">
        <x:v>P03</x:v>
      </x:c>
      <x:c r="C15" s="4" t="str">
        <x:v>Se completó al menos un reinicio íntegro del sistema anfitrión después del resultado de instalación y no después del corte.</x:v>
      </x:c>
      <x:c r="D15" s="4" t="str">
        <x:v>Omitir un reinicio ya realizado puede inducir repetición e interrupción evitables, según servicio y ventana.</x:v>
      </x:c>
      <x:c r="E15" s="4" t="str">
        <x:v>No convertir observación parcial en permiso, daño probado o cierre global.</x:v>
      </x:c>
      <x:c r="F15" s="4" t="str">
        <x:v>Fast Startup es contraejemplo Windows 10, no regla universal de toda plataforma. Reinicio solicitado, comienzo del arranque o uptime aislado no bastan.</x:v>
      </x:c>
      <x:c r="G15" s="4" t="str">
        <x:v>T001 §2.3.2; T007 Summary/More information; R025</x:v>
      </x:c>
    </x:row>
    <x:row r="16" ht="47" customHeight="1">
      <x:c r="A16" s="4" t="str">
        <x:v>CON-CYB-04-EX</x:v>
      </x:c>
      <x:c r="B16" s="4" t="str">
        <x:v>P04</x:v>
      </x:c>
      <x:c r="C16" s="4" t="str">
        <x:v>La instrucción específica admitida para completar esta instalación exigía reiniciar el software identificado.</x:v>
      </x:c>
      <x:c r="D16" s="4" t="str">
        <x:v>Convertir cualquier archivo en uso en mandato de reinicio inventa obligación e impacto.</x:v>
      </x:c>
      <x:c r="E16" s="4" t="str">
        <x:v>No convertir observación parcial en permiso, daño probado o cierre global.</x:v>
      </x:c>
      <x:c r="F16" s="4" t="str">
        <x:v>Sólo cubre este predicado de D3. Redespliegue/configuración y múltiples softwares permanecen pendientes; no se contabilizan como cubiertos.</x:v>
      </x:c>
      <x:c r="G16" s="4" t="str">
        <x:v>T001 §2.3.2; T009 cuerpo técnico; R025</x:v>
      </x:c>
    </x:row>
    <x:row r="17" ht="47" customHeight="1">
      <x:c r="A17" s="4" t="str">
        <x:v>CON-CYB-05-EX</x:v>
      </x:c>
      <x:c r="B17" s="4" t="str">
        <x:v>P05</x:v>
      </x:c>
      <x:c r="C17" s="4" t="str">
        <x:v>Terminó la ejecución de la generación de proceso identificada después del ancla de instalación y no después del corte.</x:v>
      </x:c>
      <x:c r="D17" s="4" t="str">
        <x:v>Repetir una terminación ya acreditada o actuar sobre un PID reutilizado puede afectar a otra ejecución.</x:v>
      </x:c>
      <x:c r="E17" s="4" t="str">
        <x:v>No convertir observación parcial en permiso, daño probado o cierre global.</x:v>
      </x:c>
      <x:c r="F17" s="4" t="str">
        <x:v>No satisface por sí solo P04. Reinicio íntegro, todas las instancias, redeploy y configuración continúan pendientes en D4.</x:v>
      </x:c>
      <x:c r="G17" s="4" t="str">
        <x:v>T009 cuerpo técnico; T008 loaded-module list; R025 IV tema 4</x:v>
      </x:c>
    </x:row>
    <x:row r="18" ht="60" customHeight="1">
      <x:c r="A18" s="4" t="str">
        <x:v>CON-CYB-06-EX</x:v>
      </x:c>
      <x:c r="B18" s="4" t="str">
        <x:v>P06</x:v>
      </x:c>
      <x:c r="C18" s="4" t="str">
        <x:v>La imagen del componente cargada en la instancia evaluada al corte coincide con la imagen objetivo previamente fijada.</x:v>
      </x:c>
      <x:c r="D18" s="4" t="str">
        <x:v>Tratar toda diferencia como vulnerabilidad probada puede provocar cambio o indisponibilidad innecesarios.</x:v>
      </x:c>
      <x:c r="E18" s="4" t="str">
        <x:v>No convertir observación parcial en permiso, daño probado o cierre global.</x:v>
      </x:c>
      <x:c r="F18" s="4" t="str">
        <x:v>MODULEINFO no entrega huella del código. No se define hash ingenuo de memoria (ASLR, relocaciones o modificaciones). El método productivo de identidad/captura sigue pendiente; aquí se ensaya el contrato sobre identidades documentales sintéticas.</x:v>
      </x:c>
      <x:c r="G18" s="4" t="str">
        <x:v>T001 §2.3.3; T008; T012–T013; R025 IV temas 4/5/6</x:v>
      </x:c>
    </x:row>
    <x:row r="19" ht="47" customHeight="1">
      <x:c r="A19" s="4" t="str">
        <x:v>CON-CYB-07-EX</x:v>
      </x:c>
      <x:c r="B19" s="4" t="str">
        <x:v>P07</x:v>
      </x:c>
      <x:c r="C19" s="4" t="str">
        <x:v>La comprobación individual identificada satisfizo el único criterio de aceptación previamente fijado para ella.</x:v>
      </x:c>
      <x:c r="D19" s="4" t="str">
        <x:v>Confundir prueba no ejecutable con resultado negativo inventa un fallo de corrección; ignorar alcance produce confianza excesiva.</x:v>
      </x:c>
      <x:c r="E19" s="4" t="str">
        <x:v>No convertir observación parcial en permiso, daño probado o cierre global.</x:v>
      </x:c>
      <x:c r="F19" s="4" t="str">
        <x:v>La unidad no ha fijado un oráculo de explotación real ni ejecutado pruebas sobre activos. Valida el contrato documental del resultado, no la sensibilidad operacional del futuro criterio.</x:v>
      </x:c>
      <x:c r="G19" s="4" t="str">
        <x:v>T001 §2.3.3; R025; R035</x:v>
      </x:c>
    </x:row>
    <x:row r="20" ht="47" customHeight="1">
      <x:c r="A20" s="4" t="str">
        <x:v>CON-CYB-08-EX</x:v>
      </x:c>
      <x:c r="B20" s="4" t="str">
        <x:v>P08</x:v>
      </x:c>
      <x:c r="C20" s="4" t="str">
        <x:v>Existe después de la instalación y hasta el corte una operación de retirada de esa actualización que comunica éxito.</x:v>
      </x:c>
      <x:c r="D20" s="4" t="str">
        <x:v>Tratar una retirada fallida o antigua como retirada posterior exitosa inventa pérdida de corrección.</x:v>
      </x:c>
      <x:c r="E20" s="4" t="str">
        <x:v>No convertir observación parcial en permiso, daño probado o cierre global.</x:v>
      </x:c>
      <x:c r="F20" s="4" t="str">
        <x:v>Cubre retirada comunicada, no toda reversión posible de D1. La ausencia del paquete en inventario no prueba esta causa.</x:v>
      </x:c>
      <x:c r="G20" s="4" t="str">
        <x:v>T001 §§2.3.2/2.3.4; T010–T011; T004</x:v>
      </x:c>
    </x:row>
    <x:row r="21" ht="47" customHeight="1">
      <x:c r="A21" s="4" t="str">
        <x:v>CON-CYB-09-EX</x:v>
      </x:c>
      <x:c r="B21" s="4" t="str">
        <x:v>P09</x:v>
      </x:c>
      <x:c r="C21" s="4" t="str">
        <x:v>Ocurrió al menos un cambio de identidad binaria del componente desde la comprobación de referencia hasta el corte.</x:v>
      </x:c>
      <x:c r="D21" s="4" t="str">
        <x:v>Cambio de etiqueta de catálogo sin cambio binario no se convierte en evento de este parámetro.</x:v>
      </x:c>
      <x:c r="E21" s="4" t="str">
        <x:v>No convertir observación parcial en permiso, daño probado o cierre global.</x:v>
      </x:c>
      <x:c r="F21" s="4" t="str">
        <x:v>No abarca todo cambio de configuración de D2. Un cambio de catálogo externo conserva su estatuto propio y no modifica Tri automáticamente.</x:v>
      </x:c>
      <x:c r="G21" s="4" t="str">
        <x:v>T001 §§2.2/2.3.4; T008; R025; S018</x:v>
      </x:c>
    </x:row>
    <x:row r="22" ht="47" customHeight="1">
      <x:c r="A22" s="4" t="str">
        <x:v>CON-CYB-10-EX</x:v>
      </x:c>
      <x:c r="B22" s="4" t="str">
        <x:v>P10</x:v>
      </x:c>
      <x:c r="C22" s="4" t="str">
        <x:v>Se comunicó la terminación satisfactoria de una restauración cuyo punto de origen fue capturado antes de la instalación evaluada.</x:v>
      </x:c>
      <x:c r="D22" s="4" t="str">
        <x:v>Tratar cualquier restauración como pérdida probada del parche obliga a una corrección que puede no ser necesaria.</x:v>
      </x:c>
      <x:c r="E22" s="4" t="str">
        <x:v>No convertir observación parcial en permiso, daño probado o cierre global.</x:v>
      </x:c>
      <x:c r="F22" s="4" t="str">
        <x:v>No acredita integridad del backup, disponibilidad del servicio o ausencia de compromiso. Esas consecuencias necesitan otras preguntas.</x:v>
      </x:c>
      <x:c r="G22" s="4" t="str">
        <x:v>T001 §§2.3.2/2.3.4; R033 IV tema 7; S018</x:v>
      </x:c>
    </x:row>
  </x:sheetData>
  <x:mergeCells>
    <x:mergeCell ref="A1:D1"/>
    <x:mergeCell ref="A2:F2"/>
  </x:mergeCells>
  <x:pageMargins left="0.7" right="0.7" top="0.75" bottom="0.75" header="0.3" footer="0.3"/>
  <x:tableParts count="1">
    <x:tablePart xmlns:r="http://schemas.openxmlformats.org/officeDocument/2006/relationships" r:id="Reada7fc2502348ff"/>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3" hidden="0" customWidth="1"/>
    <x:col min="4" max="4" width="40" hidden="0" customWidth="1"/>
  </x:cols>
  <x:sheetData>
    <x:row r="1" ht="35" customHeight="1">
      <x:c r="A1" s="6" t="str">
        <x:v>NA0 · nueve adjudicaciones</x:v>
      </x:c>
      <x:c r="B1" s="6"/>
      <x:c r="C1" s="6"/>
      <x:c r="D1" s="6"/>
    </x:row>
    <x:row r="2" ht="52" customHeight="1">
      <x:c r="A2" s="8" t="str">
        <x:v>Diez criterios por candidato. No se confunde incertidumbre observacional con defecto técnico; las ablaciones comparan proyecciones declaradas.</x:v>
      </x:c>
      <x:c r="B2" s="8"/>
      <x:c r="C2" s="8"/>
      <x:c r="D2" s="8"/>
    </x:row>
    <x:row r="3">
      <x:c r="A3" s="4"/>
      <x:c r="B3" s="4"/>
      <x:c r="C3" s="4"/>
      <x:c r="D3" s="4"/>
    </x:row>
    <x:row r="4" ht="42" customHeight="1">
      <x:c r="A4" s="10" t="str">
        <x:v>Parámetro</x:v>
      </x:c>
      <x:c r="B4" s="10" t="str">
        <x:v>Criterio</x:v>
      </x:c>
      <x:c r="C4" s="10" t="str">
        <x:v>Prueba / razón delimitada</x:v>
      </x:c>
      <x:c r="D4" s="10" t="str">
        <x:v>Resultado</x:v>
      </x:c>
    </x:row>
    <x:row r="5" ht="47" customHeight="1">
      <x:c r="A5" s="4" t="str">
        <x:v>P02</x:v>
      </x:c>
      <x:c r="B5" s="4" t="str">
        <x:v>Identidad</x:v>
      </x:c>
      <x:c r="C5" s="4" t="str">
        <x:v>Activo, actualización/revisión e intento individual de instalación; correspondencia índice–colección original.</x:v>
      </x:c>
      <x:c r="D5" s="4" t="str">
        <x:v>PASA_EN_EL_PERFIL_DECLARADO</x:v>
      </x:c>
    </x:row>
    <x:row r="6" ht="47" customHeight="1">
      <x:c r="A6" s="4" t="str">
        <x:v>P02</x:v>
      </x:c>
      <x:c r="B6" s="4" t="str">
        <x:v>Estado único</x:v>
      </x:c>
      <x:c r="C6" s="4" t="str">
        <x:v>La operación individual de instalación identificada comunicó terminación satisfactoria sin el calificador de errores del emisor.</x:v>
      </x:c>
      <x:c r="D6" s="4" t="str">
        <x:v>PASA_EN_EL_PERFIL_DECLARADO</x:v>
      </x:c>
    </x:row>
    <x:row r="7" ht="47" customHeight="1">
      <x:c r="A7" s="4" t="str">
        <x:v>P02</x:v>
      </x:c>
      <x:c r="B7" s="4" t="str">
        <x:v>U propia</x:v>
      </x:c>
      <x:c r="C7" s="4" t="str">
        <x:v>Resultado ausente o conflicto de resultados terminales admitidos. NotStarted/InProgress quedan fuera del perfil terminal.</x:v>
      </x:c>
      <x:c r="D7" s="4" t="str">
        <x:v>PASA_EN_EL_PERFIL_DECLARADO</x:v>
      </x:c>
    </x:row>
    <x:row r="8" ht="47" customHeight="1">
      <x:c r="A8" s="4" t="str">
        <x:v>P02</x:v>
      </x:c>
      <x:c r="B8" s="4" t="str">
        <x:v>Consecuencia separable</x:v>
      </x:c>
      <x:c r="C8" s="4" t="str">
        <x:v>Omitir estado final o normalizar éxito con errores como éxito pleno hace parecer completada una fase no acreditada.</x:v>
      </x:c>
      <x:c r="D8" s="4" t="str">
        <x:v>PASA_EN_EL_PERFIL_DECLARADO</x:v>
      </x:c>
    </x:row>
    <x:row r="9" ht="47" customHeight="1">
      <x:c r="A9" s="4" t="str">
        <x:v>P02</x:v>
      </x:c>
      <x:c r="B9" s="4" t="str">
        <x:v>Función separable</x:v>
      </x:c>
      <x:c r="C9" s="4" t="str">
        <x:v>Separar el resultado profesional comunicado de completitud, efecto y fallo del observador.</x:v>
      </x:c>
      <x:c r="D9" s="4" t="str">
        <x:v>PASA_EN_EL_PERFIL_DECLARADO</x:v>
      </x:c>
    </x:row>
    <x:row r="10" ht="47" customHeight="1">
      <x:c r="A10" s="4" t="str">
        <x:v>P02</x:v>
      </x:c>
      <x:c r="B10" s="4" t="str">
        <x:v>Variación independiente</x:v>
      </x:c>
      <x:c r="C10" s="4" t="str">
        <x:v>Puede variar el resultado de un intento con igual necesidad de cierre y mismo estado activo aportado por un intento previo. No se mantiene artificialmente admitido P01 cuando falta orcSucceeded.</x:v>
      </x:c>
      <x:c r="D10" s="4" t="str">
        <x:v>PASA_EN_EL_PERFIL_DECLARADO</x:v>
      </x:c>
    </x:row>
    <x:row r="11" ht="47" customHeight="1">
      <x:c r="A11" s="4" t="str">
        <x:v>P02</x:v>
      </x:c>
      <x:c r="B11" s="4" t="str">
        <x:v>Partición material</x:v>
      </x:c>
      <x:c r="C11" s="4" t="str">
        <x:v>No crear tres átomos uno-por-enum. El observable completo conserva errores; el uso pide exactamente éxito comunicado sin ese calificador.</x:v>
      </x:c>
      <x:c r="D11" s="4" t="str">
        <x:v>PASA_EN_EL_PERFIL_DECLARADO</x:v>
      </x:c>
    </x:row>
    <x:row r="12" ht="47" customHeight="1">
      <x:c r="A12" s="4" t="str">
        <x:v>P02</x:v>
      </x:c>
      <x:c r="B12" s="4" t="str">
        <x:v>Procedencia</x:v>
      </x:c>
      <x:c r="C12" s="4" t="str">
        <x:v>T004 Constants; T005; T006; R025</x:v>
      </x:c>
      <x:c r="D12" s="4" t="str">
        <x:v>PASA_EN_EL_PERFIL_DECLARADO</x:v>
      </x:c>
    </x:row>
    <x:row r="13" ht="47" customHeight="1">
      <x:c r="A13" s="4" t="str">
        <x:v>P03</x:v>
      </x:c>
      <x:c r="B13" s="4" t="str">
        <x:v>Identidad</x:v>
      </x:c>
      <x:c r="C13" s="4" t="str">
        <x:v>Mismo anfitrión/instalación; evento de arranque y corte identificados, sin confundir huésped VM con anfitrión físico.</x:v>
      </x:c>
      <x:c r="D13" s="4" t="str">
        <x:v>PASA_EN_EL_PERFIL_DECLARADO</x:v>
      </x:c>
    </x:row>
    <x:row r="14" ht="47" customHeight="1">
      <x:c r="A14" s="4" t="str">
        <x:v>P03</x:v>
      </x:c>
      <x:c r="B14" s="4" t="str">
        <x:v>Estado único</x:v>
      </x:c>
      <x:c r="C14" s="4" t="str">
        <x:v>Se completó al menos un reinicio íntegro del sistema anfitrión después del resultado de instalación y no después del corte.</x:v>
      </x:c>
      <x:c r="D14" s="4" t="str">
        <x:v>PASA_EN_EL_PERFIL_DECLARADO</x:v>
      </x:c>
    </x:row>
    <x:row r="15" ht="47" customHeight="1">
      <x:c r="A15" s="4" t="str">
        <x:v>P03</x:v>
      </x:c>
      <x:c r="B15" s="4" t="str">
        <x:v>U propia</x:v>
      </x:c>
      <x:c r="C15" s="4" t="str">
        <x:v>Registro parcial sin testigo positivo, clase de arranque no probada, orden incierto o conflicto.</x:v>
      </x:c>
      <x:c r="D15" s="4" t="str">
        <x:v>PASA_EN_EL_PERFIL_DECLARADO</x:v>
      </x:c>
    </x:row>
    <x:row r="16" ht="47" customHeight="1">
      <x:c r="A16" s="4" t="str">
        <x:v>P03</x:v>
      </x:c>
      <x:c r="B16" s="4" t="str">
        <x:v>Consecuencia separable</x:v>
      </x:c>
      <x:c r="C16" s="4" t="str">
        <x:v>Equiparar apagado/encendido híbrido con reinicio completo puede dar por satisfecha una condición pendiente.</x:v>
      </x:c>
      <x:c r="D16" s="4" t="str">
        <x:v>PASA_EN_EL_PERFIL_DECLARADO</x:v>
      </x:c>
    </x:row>
    <x:row r="17" ht="47" customHeight="1">
      <x:c r="A17" s="4" t="str">
        <x:v>P03</x:v>
      </x:c>
      <x:c r="B17" s="4" t="str">
        <x:v>Función separable</x:v>
      </x:c>
      <x:c r="C17" s="4" t="str">
        <x:v>Aportar satisfacción de la condición de reinicio del sistema, sin reescribir el requisito histórico.</x:v>
      </x:c>
      <x:c r="D17" s="4" t="str">
        <x:v>PASA_EN_EL_PERFIL_DECLARADO</x:v>
      </x:c>
    </x:row>
    <x:row r="18" ht="47" customHeight="1">
      <x:c r="A18" s="4" t="str">
        <x:v>P03</x:v>
      </x:c>
      <x:c r="B18" s="4" t="str">
        <x:v>Variación independiente</x:v>
      </x:c>
      <x:c r="C18" s="4" t="str">
        <x:v>Mismo P01=1: un mundo posee un reinicio posterior y otro no. El requisito histórico sigue siendo 1 en ambos.</x:v>
      </x:c>
      <x:c r="D18" s="4" t="str">
        <x:v>PASA_EN_EL_PERFIL_DECLARADO</x:v>
      </x:c>
    </x:row>
    <x:row r="19" ht="47" customHeight="1">
      <x:c r="A19" s="4" t="str">
        <x:v>P03</x:v>
      </x:c>
      <x:c r="B19" s="4" t="str">
        <x:v>Partición material</x:v>
      </x:c>
      <x:c r="C19" s="4" t="str">
        <x:v>Fecha, identificador y tipo son condiciones de identidad del evento. No se adjudica un parámetro por cada campo; el predicado es existencia del evento completo.</x:v>
      </x:c>
      <x:c r="D19" s="4" t="str">
        <x:v>PASA_EN_EL_PERFIL_DECLARADO</x:v>
      </x:c>
    </x:row>
    <x:row r="20" ht="47" customHeight="1">
      <x:c r="A20" s="4" t="str">
        <x:v>P03</x:v>
      </x:c>
      <x:c r="B20" s="4" t="str">
        <x:v>Procedencia</x:v>
      </x:c>
      <x:c r="C20" s="4" t="str">
        <x:v>T001 §2.3.2; T007 Summary/More information; R025</x:v>
      </x:c>
      <x:c r="D20" s="4" t="str">
        <x:v>PASA_EN_EL_PERFIL_DECLARADO</x:v>
      </x:c>
    </x:row>
    <x:row r="21" ht="47" customHeight="1">
      <x:c r="A21" s="4" t="str">
        <x:v>P04</x:v>
      </x:c>
      <x:c r="B21" s="4" t="str">
        <x:v>Identidad</x:v>
      </x:c>
      <x:c r="C21" s="4" t="str">
        <x:v>Un software identificable y su alcance de ejecución en un anfitrión; instalación e instrucción/version. No una lista de aplicaciones.</x:v>
      </x:c>
      <x:c r="D21" s="4" t="str">
        <x:v>PASA_EN_EL_PERFIL_DECLARADO</x:v>
      </x:c>
    </x:row>
    <x:row r="22" ht="47" customHeight="1">
      <x:c r="A22" s="4" t="str">
        <x:v>P04</x:v>
      </x:c>
      <x:c r="B22" s="4" t="str">
        <x:v>Estado único</x:v>
      </x:c>
      <x:c r="C22" s="4" t="str">
        <x:v>La instrucción específica admitida para completar esta instalación exigía reiniciar el software identificado.</x:v>
      </x:c>
      <x:c r="D22" s="4" t="str">
        <x:v>PASA_EN_EL_PERFIL_DECLARADO</x:v>
      </x:c>
    </x:row>
    <x:row r="23" ht="47" customHeight="1">
      <x:c r="A23" s="4" t="str">
        <x:v>P04</x:v>
      </x:c>
      <x:c r="B23" s="4" t="str">
        <x:v>U propia</x:v>
      </x:c>
      <x:c r="C23" s="4" t="str">
        <x:v>Instrucción ausente, formulación ambigua o conflicto de instrucciones admitidas. Falta de contrato de aplicabilidad es configuración pendiente, no Tri.</x:v>
      </x:c>
      <x:c r="D23" s="4" t="str">
        <x:v>PASA_EN_EL_PERFIL_DECLARADO</x:v>
      </x:c>
    </x:row>
    <x:row r="24" ht="47" customHeight="1">
      <x:c r="A24" s="4" t="str">
        <x:v>P04</x:v>
      </x:c>
      <x:c r="B24" s="4" t="str">
        <x:v>Consecuencia separable</x:v>
      </x:c>
      <x:c r="C24" s="4" t="str">
        <x:v>Leer sólo P01=0 puede ocultar que un software requiere reinicio para liberar/cambiar recursos de ejecución.</x:v>
      </x:c>
      <x:c r="D24" s="4" t="str">
        <x:v>PASA_EN_EL_PERFIL_DECLARADO</x:v>
      </x:c>
    </x:row>
    <x:row r="25" ht="47" customHeight="1">
      <x:c r="A25" s="4" t="str">
        <x:v>P04</x:v>
      </x:c>
      <x:c r="B25" s="4" t="str">
        <x:v>Función separable</x:v>
      </x:c>
      <x:c r="C25" s="4" t="str">
        <x:v>Conservar una obligación relativa al software, independiente del reinicio del sistema.</x:v>
      </x:c>
      <x:c r="D25" s="4" t="str">
        <x:v>PASA_EN_EL_PERFIL_DECLARADO</x:v>
      </x:c>
    </x:row>
    <x:row r="26" ht="47" customHeight="1">
      <x:c r="A26" s="4" t="str">
        <x:v>P04</x:v>
      </x:c>
      <x:c r="B26" s="4" t="str">
        <x:v>Variación independiente</x:v>
      </x:c>
      <x:c r="C26" s="4" t="str">
        <x:v>Un software reiniciable puede requerir reinicio sin exigir reiniciar el OS; dos paquetes con P01=0 pueden diferir en este requisito.</x:v>
      </x:c>
      <x:c r="D26" s="4" t="str">
        <x:v>PASA_EN_EL_PERFIL_DECLARADO</x:v>
      </x:c>
    </x:row>
    <x:row r="27" ht="47" customHeight="1">
      <x:c r="A27" s="4" t="str">
        <x:v>P04</x:v>
      </x:c>
      <x:c r="B27" s="4" t="str">
        <x:v>Partición material</x:v>
      </x:c>
      <x:c r="C27" s="4" t="str">
        <x:v>Requisito y cumplimiento son estados distintos. No se agrupan redespliegue, cambio de configuración y reinicio bajo un único booleano de «otros cambios».</x:v>
      </x:c>
      <x:c r="D27" s="4" t="str">
        <x:v>PASA_EN_EL_PERFIL_DECLARADO</x:v>
      </x:c>
    </x:row>
    <x:row r="28" ht="47" customHeight="1">
      <x:c r="A28" s="4" t="str">
        <x:v>P04</x:v>
      </x:c>
      <x:c r="B28" s="4" t="str">
        <x:v>Procedencia</x:v>
      </x:c>
      <x:c r="C28" s="4" t="str">
        <x:v>T001 §2.3.2; T009 cuerpo técnico; R025</x:v>
      </x:c>
      <x:c r="D28" s="4" t="str">
        <x:v>PASA_EN_EL_PERFIL_DECLARADO</x:v>
      </x:c>
    </x:row>
    <x:row r="29" ht="47" customHeight="1">
      <x:c r="A29" s="4" t="str">
        <x:v>P05</x:v>
      </x:c>
      <x:c r="B29" s="4" t="str">
        <x:v>Identidad</x:v>
      </x:c>
      <x:c r="C29" s="4" t="str">
        <x:v>Un proceso previo: anfitrión, ámbito de proceso, identidad de generación y episodio. Un PID aislado no identifica una generación.</x:v>
      </x:c>
      <x:c r="D29" s="4" t="str">
        <x:v>PASA_EN_EL_PERFIL_DECLARADO</x:v>
      </x:c>
    </x:row>
    <x:row r="30" ht="47" customHeight="1">
      <x:c r="A30" s="4" t="str">
        <x:v>P05</x:v>
      </x:c>
      <x:c r="B30" s="4" t="str">
        <x:v>Estado único</x:v>
      </x:c>
      <x:c r="C30" s="4" t="str">
        <x:v>Terminó la ejecución de la generación de proceso identificada después del ancla de instalación y no después del corte.</x:v>
      </x:c>
      <x:c r="D30" s="4" t="str">
        <x:v>PASA_EN_EL_PERFIL_DECLARADO</x:v>
      </x:c>
    </x:row>
    <x:row r="31" ht="47" customHeight="1">
      <x:c r="A31" s="4" t="str">
        <x:v>P05</x:v>
      </x:c>
      <x:c r="B31" s="4" t="str">
        <x:v>U propia</x:v>
      </x:c>
      <x:c r="C31" s="4" t="str">
        <x:v>PID sin generación, registro incompleto, orden incierto o conflicto. Error de captura se registra fuera de Tri.</x:v>
      </x:c>
      <x:c r="D31" s="4" t="str">
        <x:v>PASA_EN_EL_PERFIL_DECLARADO</x:v>
      </x:c>
    </x:row>
    <x:row r="32" ht="47" customHeight="1">
      <x:c r="A32" s="4" t="str">
        <x:v>P05</x:v>
      </x:c>
      <x:c r="B32" s="4" t="str">
        <x:v>Consecuencia separable</x:v>
      </x:c>
      <x:c r="C32" s="4" t="str">
        <x:v>Tomar la creación de otra instancia como cierre de la anterior puede dejar ejecución antigua concurrente ignorada.</x:v>
      </x:c>
      <x:c r="D32" s="4" t="str">
        <x:v>PASA_EN_EL_PERFIL_DECLARADO</x:v>
      </x:c>
    </x:row>
    <x:row r="33" ht="47" customHeight="1">
      <x:c r="A33" s="4" t="str">
        <x:v>P05</x:v>
      </x:c>
      <x:c r="B33" s="4" t="str">
        <x:v>Función separable</x:v>
      </x:c>
      <x:c r="C33" s="4" t="str">
        <x:v>Conservar que la ejecución previa dejó de mantener sus recursos; no equipararlo con nuevo proceso operativo.</x:v>
      </x:c>
      <x:c r="D33" s="4" t="str">
        <x:v>PASA_EN_EL_PERFIL_DECLARADO</x:v>
      </x:c>
    </x:row>
    <x:row r="34" ht="47" customHeight="1">
      <x:c r="A34" s="4" t="str">
        <x:v>P05</x:v>
      </x:c>
      <x:c r="B34" s="4" t="str">
        <x:v>Variación independiente</x:v>
      </x:c>
      <x:c r="C34" s="4" t="str">
        <x:v>Puede crearse una instancia nueva con la anterior aún viva, o terminar la anterior sin que arranque otra. P05 y P06 no se sustituyen.</x:v>
      </x:c>
      <x:c r="D34" s="4" t="str">
        <x:v>PASA_EN_EL_PERFIL_DECLARADO</x:v>
      </x:c>
    </x:row>
    <x:row r="35" ht="47" customHeight="1">
      <x:c r="A35" s="4" t="str">
        <x:v>P05</x:v>
      </x:c>
      <x:c r="B35" s="4" t="str">
        <x:v>Partición material</x:v>
      </x:c>
      <x:c r="C35" s="4" t="str">
        <x:v>Se rechazó «reinicio del software realizado» como agregado de terminación y nueva ejecución útil. Aquí se adjudica sólo el evento de terminación; arranque y disponibilidad no se esconden.</x:v>
      </x:c>
      <x:c r="D35" s="4" t="str">
        <x:v>PASA_EN_EL_PERFIL_DECLARADO</x:v>
      </x:c>
    </x:row>
    <x:row r="36" ht="47" customHeight="1">
      <x:c r="A36" s="4" t="str">
        <x:v>P05</x:v>
      </x:c>
      <x:c r="B36" s="4" t="str">
        <x:v>Procedencia</x:v>
      </x:c>
      <x:c r="C36" s="4" t="str">
        <x:v>T009 cuerpo técnico; T008 loaded-module list; R025 IV tema 4</x:v>
      </x:c>
      <x:c r="D36" s="4" t="str">
        <x:v>PASA_EN_EL_PERFIL_DECLARADO</x:v>
      </x:c>
    </x:row>
    <x:row r="37" ht="47" customHeight="1">
      <x:c r="A37" s="4" t="str">
        <x:v>P06</x:v>
      </x:c>
      <x:c r="B37" s="4" t="str">
        <x:v>Identidad</x:v>
      </x:c>
      <x:c r="C37" s="4" t="str">
        <x:v>Una instancia/generación, un componente cargado, imagen objetivo, método de identidad admitido e instalación relacionada.</x:v>
      </x:c>
      <x:c r="D37" s="4" t="str">
        <x:v>PASA_EN_EL_PERFIL_DECLARADO</x:v>
      </x:c>
    </x:row>
    <x:row r="38" ht="47" customHeight="1">
      <x:c r="A38" s="4" t="str">
        <x:v>P06</x:v>
      </x:c>
      <x:c r="B38" s="4" t="str">
        <x:v>Estado único</x:v>
      </x:c>
      <x:c r="C38" s="4" t="str">
        <x:v>La imagen del componente cargada en la instancia evaluada al corte coincide con la imagen objetivo previamente fijada.</x:v>
      </x:c>
      <x:c r="D38" s="4" t="str">
        <x:v>PASA_EN_EL_PERFIL_DECLARADO</x:v>
      </x:c>
    </x:row>
    <x:row r="39" ht="47" customHeight="1">
      <x:c r="A39" s="4" t="str">
        <x:v>P06</x:v>
      </x:c>
      <x:c r="B39" s="4" t="str">
        <x:v>U propia</x:v>
      </x:c>
      <x:c r="C39" s="4" t="str">
        <x:v>Sólo fichero en disco, ruta, nombre, dirección/puntero, tamaño o versión no inequívoca; captura insuficiente o contradictoria.</x:v>
      </x:c>
      <x:c r="D39" s="4" t="str">
        <x:v>PASA_EN_EL_PERFIL_DECLARADO</x:v>
      </x:c>
    </x:row>
    <x:row r="40" ht="47" customHeight="1">
      <x:c r="A40" s="4" t="str">
        <x:v>P06</x:v>
      </x:c>
      <x:c r="B40" s="4" t="str">
        <x:v>Consecuencia separable</x:v>
      </x:c>
      <x:c r="C40" s="4" t="str">
        <x:v>Atribuir al proceso la imagen encontrada en disco o por nombre puede ocultar otra DLL resuelta/cargada.</x:v>
      </x:c>
      <x:c r="D40" s="4" t="str">
        <x:v>PASA_EN_EL_PERFIL_DECLARADO</x:v>
      </x:c>
    </x:row>
    <x:row r="41" ht="47" customHeight="1">
      <x:c r="A41" s="4" t="str">
        <x:v>P06</x:v>
      </x:c>
      <x:c r="B41" s="4" t="str">
        <x:v>Función separable</x:v>
      </x:c>
      <x:c r="C41" s="4" t="str">
        <x:v>Separar distribución en disco de qué código está activo en la instancia examinada.</x:v>
      </x:c>
      <x:c r="D41" s="4" t="str">
        <x:v>PASA_EN_EL_PERFIL_DECLARADO</x:v>
      </x:c>
    </x:row>
    <x:row r="42" ht="47" customHeight="1">
      <x:c r="A42" s="4" t="str">
        <x:v>P06</x:v>
      </x:c>
      <x:c r="B42" s="4" t="str">
        <x:v>Variación independiente</x:v>
      </x:c>
      <x:c r="C42" s="4" t="str">
        <x:v>Igual instalación comunicada y terminación de proceso previo: distintas resoluciones del cargador pueden activar imágenes diferentes.</x:v>
      </x:c>
      <x:c r="D42" s="4" t="str">
        <x:v>PASA_EN_EL_PERFIL_DECLARADO</x:v>
      </x:c>
    </x:row>
    <x:row r="43" ht="47" customHeight="1">
      <x:c r="A43" s="4" t="str">
        <x:v>P06</x:v>
      </x:c>
      <x:c r="B43" s="4" t="str">
        <x:v>Partición material</x:v>
      </x:c>
      <x:c r="C43" s="4" t="str">
        <x:v>El digest objetivo es contexto, no un átomo. Comparar identidad de imagen es una sola proposición; no se mezclan firma, autenticidad o efectividad del parche.</x:v>
      </x:c>
      <x:c r="D43" s="4" t="str">
        <x:v>PASA_EN_EL_PERFIL_DECLARADO</x:v>
      </x:c>
    </x:row>
    <x:row r="44" ht="47" customHeight="1">
      <x:c r="A44" s="4" t="str">
        <x:v>P06</x:v>
      </x:c>
      <x:c r="B44" s="4" t="str">
        <x:v>Procedencia</x:v>
      </x:c>
      <x:c r="C44" s="4" t="str">
        <x:v>T001 §2.3.3; T008; T012–T013; R025 IV temas 4/5/6</x:v>
      </x:c>
      <x:c r="D44" s="4" t="str">
        <x:v>PASA_EN_EL_PERFIL_DECLARADO</x:v>
      </x:c>
    </x:row>
    <x:row r="45" ht="47" customHeight="1">
      <x:c r="A45" s="4" t="str">
        <x:v>P07</x:v>
      </x:c>
      <x:c r="B45" s="4" t="str">
        <x:v>Identidad</x:v>
      </x:c>
      <x:c r="C45" s="4" t="str">
        <x:v>Una ejecución de comprobación, activo/componente, criterio unitario/version, método y evidencia. No una campaña ni un agregado de hallazgos.</x:v>
      </x:c>
      <x:c r="D45" s="4" t="str">
        <x:v>PASA_EN_EL_PERFIL_DECLARADO</x:v>
      </x:c>
    </x:row>
    <x:row r="46" ht="47" customHeight="1">
      <x:c r="A46" s="4" t="str">
        <x:v>P07</x:v>
      </x:c>
      <x:c r="B46" s="4" t="str">
        <x:v>Estado único</x:v>
      </x:c>
      <x:c r="C46" s="4" t="str">
        <x:v>La comprobación individual identificada satisfizo el único criterio de aceptación previamente fijado para ella.</x:v>
      </x:c>
      <x:c r="D46" s="4" t="str">
        <x:v>PASA_EN_EL_PERFIL_DECLARADO</x:v>
      </x:c>
    </x:row>
    <x:row r="47" ht="47" customHeight="1">
      <x:c r="A47" s="4" t="str">
        <x:v>P07</x:v>
      </x:c>
      <x:c r="B47" s="4" t="str">
        <x:v>U propia</x:v>
      </x:c>
      <x:c r="C47" s="4" t="str">
        <x:v>Observación ausente, evidencia insuficiente o conflicto. Criterio compuesto o no fijado impide admisión al perfil, no produce un falso negativo.</x:v>
      </x:c>
      <x:c r="D47" s="4" t="str">
        <x:v>PASA_EN_EL_PERFIL_DECLARADO</x:v>
      </x:c>
    </x:row>
    <x:row r="48" ht="47" customHeight="1">
      <x:c r="A48" s="4" t="str">
        <x:v>P07</x:v>
      </x:c>
      <x:c r="B48" s="4" t="str">
        <x:v>Consecuencia separable</x:v>
      </x:c>
      <x:c r="C48" s="4" t="str">
        <x:v>Cerrar desde la presencia del paquete o imagen prescindiendo del contraste puede atribuir un efecto no probado.</x:v>
      </x:c>
      <x:c r="D48" s="4" t="str">
        <x:v>PASA_EN_EL_PERFIL_DECLARADO</x:v>
      </x:c>
    </x:row>
    <x:row r="49" ht="47" customHeight="1">
      <x:c r="A49" s="4" t="str">
        <x:v>P07</x:v>
      </x:c>
      <x:c r="B49" s="4" t="str">
        <x:v>Función separable</x:v>
      </x:c>
      <x:c r="C49" s="4" t="str">
        <x:v>Conservar el resultado de una comprobación sin convertirlo en cierre global o ausencia universal de vulnerabilidades.</x:v>
      </x:c>
      <x:c r="D49" s="4" t="str">
        <x:v>PASA_EN_EL_PERFIL_DECLARADO</x:v>
      </x:c>
    </x:row>
    <x:row r="50" ht="47" customHeight="1">
      <x:c r="A50" s="4" t="str">
        <x:v>P07</x:v>
      </x:c>
      <x:c r="B50" s="4" t="str">
        <x:v>Variación independiente</x:v>
      </x:c>
      <x:c r="C50" s="4" t="str">
        <x:v>Una imagen objetivo puede estar activa y la comprobación fallar por configuración; la misma imagen puede superar el criterio con configuración correcta.</x:v>
      </x:c>
      <x:c r="D50" s="4" t="str">
        <x:v>PASA_EN_EL_PERFIL_DECLARADO</x:v>
      </x:c>
    </x:row>
    <x:row r="51" ht="47" customHeight="1">
      <x:c r="A51" s="4" t="str">
        <x:v>P07</x:v>
      </x:c>
      <x:c r="B51" s="4" t="str">
        <x:v>Partición material</x:v>
      </x:c>
      <x:c r="C51" s="4" t="str">
        <x:v>Si el criterio reúne resultados con incertidumbre/consecuencia separables es compuesto y queda fuera. Este parámetro sólo admite un predicado evaluativo unitario.</x:v>
      </x:c>
      <x:c r="D51" s="4" t="str">
        <x:v>PASA_EN_EL_PERFIL_DECLARADO</x:v>
      </x:c>
    </x:row>
    <x:row r="52" ht="47" customHeight="1">
      <x:c r="A52" s="4" t="str">
        <x:v>P07</x:v>
      </x:c>
      <x:c r="B52" s="4" t="str">
        <x:v>Procedencia</x:v>
      </x:c>
      <x:c r="C52" s="4" t="str">
        <x:v>T001 §2.3.3; R025; R035</x:v>
      </x:c>
      <x:c r="D52" s="4" t="str">
        <x:v>PASA_EN_EL_PERFIL_DECLARADO</x:v>
      </x:c>
    </x:row>
    <x:row r="53" ht="47" customHeight="1">
      <x:c r="A53" s="4" t="str">
        <x:v>P08</x:v>
      </x:c>
      <x:c r="B53" s="4" t="str">
        <x:v>Identidad</x:v>
      </x:c>
      <x:c r="C53" s="4" t="str">
        <x:v>Activo, actualización/revisión, episodio inicial y operación posterior de retirada identificada.</x:v>
      </x:c>
      <x:c r="D53" s="4" t="str">
        <x:v>PASA_EN_EL_PERFIL_DECLARADO</x:v>
      </x:c>
    </x:row>
    <x:row r="54" ht="47" customHeight="1">
      <x:c r="A54" s="4" t="str">
        <x:v>P08</x:v>
      </x:c>
      <x:c r="B54" s="4" t="str">
        <x:v>Estado único</x:v>
      </x:c>
      <x:c r="C54" s="4" t="str">
        <x:v>Existe después de la instalación y hasta el corte una operación de retirada de esa actualización que comunica éxito.</x:v>
      </x:c>
      <x:c r="D54" s="4" t="str">
        <x:v>PASA_EN_EL_PERFIL_DECLARADO</x:v>
      </x:c>
    </x:row>
    <x:row r="55" ht="47" customHeight="1">
      <x:c r="A55" s="4" t="str">
        <x:v>P08</x:v>
      </x:c>
      <x:c r="B55" s="4" t="str">
        <x:v>U propia</x:v>
      </x:c>
      <x:c r="C55" s="4" t="str">
        <x:v>Cobertura parcial sin positivo, éxito con errores sin conclusión suficiente sobre retirada, orden incierto o conflicto.</x:v>
      </x:c>
      <x:c r="D55" s="4" t="str">
        <x:v>PASA_EN_EL_PERFIL_DECLARADO</x:v>
      </x:c>
    </x:row>
    <x:row r="56" ht="47" customHeight="1">
      <x:c r="A56" s="4" t="str">
        <x:v>P08</x:v>
      </x:c>
      <x:c r="B56" s="4" t="str">
        <x:v>Consecuencia separable</x:v>
      </x:c>
      <x:c r="C56" s="4" t="str">
        <x:v>Reutilizar el éxito de instalación sin mirar retiradas posteriores puede mantener evidencia superada.</x:v>
      </x:c>
      <x:c r="D56" s="4" t="str">
        <x:v>PASA_EN_EL_PERFIL_DECLARADO</x:v>
      </x:c>
    </x:row>
    <x:row r="57" ht="47" customHeight="1">
      <x:c r="A57" s="4" t="str">
        <x:v>P08</x:v>
      </x:c>
      <x:c r="B57" s="4" t="str">
        <x:v>Función separable</x:v>
      </x:c>
      <x:c r="C57" s="4" t="str">
        <x:v>Activar reexamen del cierre frente a una retirada comunicada, conservando diferencia entre resultado comunicado y estado actual.</x:v>
      </x:c>
      <x:c r="D57" s="4" t="str">
        <x:v>PASA_EN_EL_PERFIL_DECLARADO</x:v>
      </x:c>
    </x:row>
    <x:row r="58" ht="47" customHeight="1">
      <x:c r="A58" s="4" t="str">
        <x:v>P08</x:v>
      </x:c>
      <x:c r="B58" s="4" t="str">
        <x:v>Variación independiente</x:v>
      </x:c>
      <x:c r="C58" s="4" t="str">
        <x:v>Puede haber retirada y reinstalación con idéntica imagen activa final; o no haber retirada con esa misma imagen.</x:v>
      </x:c>
      <x:c r="D58" s="4" t="str">
        <x:v>PASA_EN_EL_PERFIL_DECLARADO</x:v>
      </x:c>
    </x:row>
    <x:row r="59" ht="47" customHeight="1">
      <x:c r="A59" s="4" t="str">
        <x:v>P08</x:v>
      </x:c>
      <x:c r="B59" s="4" t="str">
        <x:v>Partición material</x:v>
      </x:c>
      <x:c r="C59" s="4" t="str">
        <x:v>No se crea un átomo para cada resultado de retirada. La semántica del suceso permanece separada de la integridad de la historia y del estado actual.</x:v>
      </x:c>
      <x:c r="D59" s="4" t="str">
        <x:v>PASA_EN_EL_PERFIL_DECLARADO</x:v>
      </x:c>
    </x:row>
    <x:row r="60" ht="47" customHeight="1">
      <x:c r="A60" s="4" t="str">
        <x:v>P08</x:v>
      </x:c>
      <x:c r="B60" s="4" t="str">
        <x:v>Procedencia</x:v>
      </x:c>
      <x:c r="C60" s="4" t="str">
        <x:v>T001 §§2.3.2/2.3.4; T010–T011; T004</x:v>
      </x:c>
      <x:c r="D60" s="4" t="str">
        <x:v>PASA_EN_EL_PERFIL_DECLARADO</x:v>
      </x:c>
    </x:row>
    <x:row r="61" ht="47" customHeight="1">
      <x:c r="A61" s="4" t="str">
        <x:v>P09</x:v>
      </x:c>
      <x:c r="B61" s="4" t="str">
        <x:v>Identidad</x:v>
      </x:c>
      <x:c r="C61" s="4" t="str">
        <x:v>Activo y componente lógico, referencia verificada, cadena de eventos y criterio de identidad binaria fijados.</x:v>
      </x:c>
      <x:c r="D61" s="4" t="str">
        <x:v>PASA_EN_EL_PERFIL_DECLARADO</x:v>
      </x:c>
    </x:row>
    <x:row r="62" ht="47" customHeight="1">
      <x:c r="A62" s="4" t="str">
        <x:v>P09</x:v>
      </x:c>
      <x:c r="B62" s="4" t="str">
        <x:v>Estado único</x:v>
      </x:c>
      <x:c r="C62" s="4" t="str">
        <x:v>Ocurrió al menos un cambio de identidad binaria del componente desde la comprobación de referencia hasta el corte.</x:v>
      </x:c>
      <x:c r="D62" s="4" t="str">
        <x:v>PASA_EN_EL_PERFIL_DECLARADO</x:v>
      </x:c>
    </x:row>
    <x:row r="63" ht="47" customHeight="1">
      <x:c r="A63" s="4" t="str">
        <x:v>P09</x:v>
      </x:c>
      <x:c r="B63" s="4" t="str">
        <x:v>U propia</x:v>
      </x:c>
      <x:c r="C63" s="4" t="str">
        <x:v>Sólo comparación de estados extremos, hueco del registro, identidad binaria insuficiente u orden incierto.</x:v>
      </x:c>
      <x:c r="D63" s="4" t="str">
        <x:v>PASA_EN_EL_PERFIL_DECLARADO</x:v>
      </x:c>
    </x:row>
    <x:row r="64" ht="47" customHeight="1">
      <x:c r="A64" s="4" t="str">
        <x:v>P09</x:v>
      </x:c>
      <x:c r="B64" s="4" t="str">
        <x:v>Consecuencia separable</x:v>
      </x:c>
      <x:c r="C64" s="4" t="str">
        <x:v>Comparar sólo versiones finales puede ocultar cambios y retornos que afecten a la evidencia intermedia.</x:v>
      </x:c>
      <x:c r="D64" s="4" t="str">
        <x:v>PASA_EN_EL_PERFIL_DECLARADO</x:v>
      </x:c>
    </x:row>
    <x:row r="65" ht="47" customHeight="1">
      <x:c r="A65" s="4" t="str">
        <x:v>P09</x:v>
      </x:c>
      <x:c r="B65" s="4" t="str">
        <x:v>Función separable</x:v>
      </x:c>
      <x:c r="C65" s="4" t="str">
        <x:v>Conservar el antecedente que obliga a revisar la transportabilidad de una comprobación anterior.</x:v>
      </x:c>
      <x:c r="D65" s="4" t="str">
        <x:v>PASA_EN_EL_PERFIL_DECLARADO</x:v>
      </x:c>
    </x:row>
    <x:row r="66" ht="47" customHeight="1">
      <x:c r="A66" s="4" t="str">
        <x:v>P09</x:v>
      </x:c>
      <x:c r="B66" s="4" t="str">
        <x:v>Variación independiente</x:v>
      </x:c>
      <x:c r="C66" s="4" t="str">
        <x:v>Estado final objetivo igual en ambos mundos: en uno hubo sustitución y retorno, en otro no. P06 no determina P09.</x:v>
      </x:c>
      <x:c r="D66" s="4" t="str">
        <x:v>PASA_EN_EL_PERFIL_DECLARADO</x:v>
      </x:c>
    </x:row>
    <x:row r="67" ht="47" customHeight="1">
      <x:c r="A67" s="4" t="str">
        <x:v>P09</x:v>
      </x:c>
      <x:c r="B67" s="4" t="str">
        <x:v>Partición material</x:v>
      </x:c>
      <x:c r="C67" s="4" t="str">
        <x:v>Se retiró una primera formulación como desigualdad actual frente a referencia: podía duplicar el complemento de P06. La historia de transición aporta función separable.</x:v>
      </x:c>
      <x:c r="D67" s="4" t="str">
        <x:v>PASA_EN_EL_PERFIL_DECLARADO</x:v>
      </x:c>
    </x:row>
    <x:row r="68" ht="47" customHeight="1">
      <x:c r="A68" s="4" t="str">
        <x:v>P09</x:v>
      </x:c>
      <x:c r="B68" s="4" t="str">
        <x:v>Procedencia</x:v>
      </x:c>
      <x:c r="C68" s="4" t="str">
        <x:v>T001 §§2.2/2.3.4; T008; R025; S018</x:v>
      </x:c>
      <x:c r="D68" s="4" t="str">
        <x:v>PASA_EN_EL_PERFIL_DECLARADO</x:v>
      </x:c>
    </x:row>
    <x:row r="69" ht="47" customHeight="1">
      <x:c r="A69" s="4" t="str">
        <x:v>P10</x:v>
      </x:c>
      <x:c r="B69" s="4" t="str">
        <x:v>Identidad</x:v>
      </x:c>
      <x:c r="C69" s="4" t="str">
        <x:v>Activo, trabajo de restauración, punto de recuperación, ámbito restaurado e instalación; identidades enlazadas.</x:v>
      </x:c>
      <x:c r="D69" s="4" t="str">
        <x:v>PASA_EN_EL_PERFIL_DECLARADO</x:v>
      </x:c>
    </x:row>
    <x:row r="70" ht="47" customHeight="1">
      <x:c r="A70" s="4" t="str">
        <x:v>P10</x:v>
      </x:c>
      <x:c r="B70" s="4" t="str">
        <x:v>Estado único</x:v>
      </x:c>
      <x:c r="C70" s="4" t="str">
        <x:v>Se comunicó la terminación satisfactoria de una restauración cuyo punto de origen fue capturado antes de la instalación evaluada.</x:v>
      </x:c>
      <x:c r="D70" s="4" t="str">
        <x:v>PASA_EN_EL_PERFIL_DECLARADO</x:v>
      </x:c>
    </x:row>
    <x:row r="71" ht="47" customHeight="1">
      <x:c r="A71" s="4" t="str">
        <x:v>P10</x:v>
      </x:c>
      <x:c r="B71" s="4" t="str">
        <x:v>U propia</x:v>
      </x:c>
      <x:c r="C71" s="4" t="str">
        <x:v>Fecha/origen del punto no acreditado, cobertura parcial, orden incierto o conflicto.</x:v>
      </x:c>
      <x:c r="D71" s="4" t="str">
        <x:v>PASA_EN_EL_PERFIL_DECLARADO</x:v>
      </x:c>
    </x:row>
    <x:row r="72" ht="47" customHeight="1">
      <x:c r="A72" s="4" t="str">
        <x:v>P10</x:v>
      </x:c>
      <x:c r="B72" s="4" t="str">
        <x:v>Consecuencia separable</x:v>
      </x:c>
      <x:c r="C72" s="4" t="str">
        <x:v>Suponer continuidad desde la instalación ignorando una restauración puede mantener un cierre sobre un estado que ya no corresponde.</x:v>
      </x:c>
      <x:c r="D72" s="4" t="str">
        <x:v>PASA_EN_EL_PERFIL_DECLARADO</x:v>
      </x:c>
    </x:row>
    <x:row r="73" ht="47" customHeight="1">
      <x:c r="A73" s="4" t="str">
        <x:v>P10</x:v>
      </x:c>
      <x:c r="B73" s="4" t="str">
        <x:v>Función separable</x:v>
      </x:c>
      <x:c r="C73" s="4" t="str">
        <x:v>Exigir revisión del alcance de evidencia que pueda haber sido sustituido por recuperación de estado previo.</x:v>
      </x:c>
      <x:c r="D73" s="4" t="str">
        <x:v>PASA_EN_EL_PERFIL_DECLARADO</x:v>
      </x:c>
    </x:row>
    <x:row r="74" ht="47" customHeight="1">
      <x:c r="A74" s="4" t="str">
        <x:v>P10</x:v>
      </x:c>
      <x:c r="B74" s="4" t="str">
        <x:v>Variación independiente</x:v>
      </x:c>
      <x:c r="C74" s="4" t="str">
        <x:v>Una restauración de configuración puede conservar el mismo binario; una sustitución binaria puede ocurrir sin restauración. P09 y P10 no se deducen uno del otro.</x:v>
      </x:c>
      <x:c r="D74" s="4" t="str">
        <x:v>PASA_EN_EL_PERFIL_DECLARADO</x:v>
      </x:c>
    </x:row>
    <x:row r="75" ht="47" customHeight="1">
      <x:c r="A75" s="4" t="str">
        <x:v>P10</x:v>
      </x:c>
      <x:c r="B75" s="4" t="str">
        <x:v>Partición material</x:v>
      </x:c>
      <x:c r="C75" s="4" t="str">
        <x:v>Origen y destino fijan qué suceso se pregunta; no se agrupan su éxito comunicado, integridad efectiva y aptitud de la recuperación. Sólo el primero se adjudica.</x:v>
      </x:c>
      <x:c r="D75" s="4" t="str">
        <x:v>PASA_EN_EL_PERFIL_DECLARADO</x:v>
      </x:c>
    </x:row>
    <x:row r="76" ht="47" customHeight="1">
      <x:c r="A76" s="4" t="str">
        <x:v>P10</x:v>
      </x:c>
      <x:c r="B76" s="4" t="str">
        <x:v>Procedencia</x:v>
      </x:c>
      <x:c r="C76" s="4" t="str">
        <x:v>T001 §§2.3.2/2.3.4; R033 IV tema 7; S018</x:v>
      </x:c>
      <x:c r="D76" s="4" t="str">
        <x:v>PASA_EN_EL_PERFIL_DECLARADO</x:v>
      </x:c>
    </x:row>
    <x:row r="77" ht="47" customHeight="1">
      <x:c r="A77" s="4" t="str">
        <x:v>P02</x:v>
      </x:c>
      <x:c r="B77" s="4" t="str">
        <x:v>Ablación</x:v>
      </x:c>
      <x:c r="C77" s="4" t="str">
        <x:v>AB-L10-02: retirar estado y cualquier pista lateral; cambia la obligación documental del experto.</x:v>
      </x:c>
      <x:c r="D77" s="4" t="str">
        <x:v>EJECUTADA_DOCUMENTAL</x:v>
      </x:c>
    </x:row>
    <x:row r="78" ht="47" customHeight="1">
      <x:c r="A78" s="4" t="str">
        <x:v>P02</x:v>
      </x:c>
      <x:c r="B78" s="4" t="str">
        <x:v>Reproducción</x:v>
      </x:c>
      <x:c r="C78" s="4" t="str">
        <x:v>Testigos de 50, fórmulas y registro; no una segunda implementación semántica independiente ni prueba de campo.</x:v>
      </x:c>
      <x:c r="D78" s="4" t="str">
        <x:v>EJECUTADA_DOCUMENTAL</x:v>
      </x:c>
    </x:row>
    <x:row r="79" ht="47" customHeight="1">
      <x:c r="A79" s="4" t="str">
        <x:v>P03</x:v>
      </x:c>
      <x:c r="B79" s="4" t="str">
        <x:v>Ablación</x:v>
      </x:c>
      <x:c r="C79" s="4" t="str">
        <x:v>AB-L10-03: retirar estado y cualquier pista lateral; cambia la obligación documental del experto.</x:v>
      </x:c>
      <x:c r="D79" s="4" t="str">
        <x:v>EJECUTADA_DOCUMENTAL</x:v>
      </x:c>
    </x:row>
    <x:row r="80" ht="47" customHeight="1">
      <x:c r="A80" s="4" t="str">
        <x:v>P03</x:v>
      </x:c>
      <x:c r="B80" s="4" t="str">
        <x:v>Reproducción</x:v>
      </x:c>
      <x:c r="C80" s="4" t="str">
        <x:v>Testigos de 50, fórmulas y registro; no una segunda implementación semántica independiente ni prueba de campo.</x:v>
      </x:c>
      <x:c r="D80" s="4" t="str">
        <x:v>EJECUTADA_DOCUMENTAL</x:v>
      </x:c>
    </x:row>
    <x:row r="81" ht="47" customHeight="1">
      <x:c r="A81" s="4" t="str">
        <x:v>P04</x:v>
      </x:c>
      <x:c r="B81" s="4" t="str">
        <x:v>Ablación</x:v>
      </x:c>
      <x:c r="C81" s="4" t="str">
        <x:v>AB-L10-04: retirar estado y cualquier pista lateral; cambia la obligación documental del experto.</x:v>
      </x:c>
      <x:c r="D81" s="4" t="str">
        <x:v>EJECUTADA_DOCUMENTAL</x:v>
      </x:c>
    </x:row>
    <x:row r="82" ht="47" customHeight="1">
      <x:c r="A82" s="4" t="str">
        <x:v>P04</x:v>
      </x:c>
      <x:c r="B82" s="4" t="str">
        <x:v>Reproducción</x:v>
      </x:c>
      <x:c r="C82" s="4" t="str">
        <x:v>Testigos de 50, fórmulas y registro; no una segunda implementación semántica independiente ni prueba de campo.</x:v>
      </x:c>
      <x:c r="D82" s="4" t="str">
        <x:v>EJECUTADA_DOCUMENTAL</x:v>
      </x:c>
    </x:row>
    <x:row r="83" ht="47" customHeight="1">
      <x:c r="A83" s="4" t="str">
        <x:v>P05</x:v>
      </x:c>
      <x:c r="B83" s="4" t="str">
        <x:v>Ablación</x:v>
      </x:c>
      <x:c r="C83" s="4" t="str">
        <x:v>AB-L10-05: retirar estado y cualquier pista lateral; cambia la obligación documental del experto.</x:v>
      </x:c>
      <x:c r="D83" s="4" t="str">
        <x:v>EJECUTADA_DOCUMENTAL</x:v>
      </x:c>
    </x:row>
    <x:row r="84" ht="47" customHeight="1">
      <x:c r="A84" s="4" t="str">
        <x:v>P05</x:v>
      </x:c>
      <x:c r="B84" s="4" t="str">
        <x:v>Reproducción</x:v>
      </x:c>
      <x:c r="C84" s="4" t="str">
        <x:v>Testigos de 50, fórmulas y registro; no una segunda implementación semántica independiente ni prueba de campo.</x:v>
      </x:c>
      <x:c r="D84" s="4" t="str">
        <x:v>EJECUTADA_DOCUMENTAL</x:v>
      </x:c>
    </x:row>
    <x:row r="85" ht="47" customHeight="1">
      <x:c r="A85" s="4" t="str">
        <x:v>P06</x:v>
      </x:c>
      <x:c r="B85" s="4" t="str">
        <x:v>Ablación</x:v>
      </x:c>
      <x:c r="C85" s="4" t="str">
        <x:v>AB-L10-06: retirar estado y cualquier pista lateral; cambia la obligación documental del experto.</x:v>
      </x:c>
      <x:c r="D85" s="4" t="str">
        <x:v>EJECUTADA_DOCUMENTAL</x:v>
      </x:c>
    </x:row>
    <x:row r="86" ht="47" customHeight="1">
      <x:c r="A86" s="4" t="str">
        <x:v>P06</x:v>
      </x:c>
      <x:c r="B86" s="4" t="str">
        <x:v>Reproducción</x:v>
      </x:c>
      <x:c r="C86" s="4" t="str">
        <x:v>Testigos de 50, fórmulas y registro; no una segunda implementación semántica independiente ni prueba de campo.</x:v>
      </x:c>
      <x:c r="D86" s="4" t="str">
        <x:v>EJECUTADA_DOCUMENTAL</x:v>
      </x:c>
    </x:row>
    <x:row r="87" ht="47" customHeight="1">
      <x:c r="A87" s="4" t="str">
        <x:v>P07</x:v>
      </x:c>
      <x:c r="B87" s="4" t="str">
        <x:v>Ablación</x:v>
      </x:c>
      <x:c r="C87" s="4" t="str">
        <x:v>AB-L10-07: retirar estado y cualquier pista lateral; cambia la obligación documental del experto.</x:v>
      </x:c>
      <x:c r="D87" s="4" t="str">
        <x:v>EJECUTADA_DOCUMENTAL</x:v>
      </x:c>
    </x:row>
    <x:row r="88" ht="47" customHeight="1">
      <x:c r="A88" s="4" t="str">
        <x:v>P07</x:v>
      </x:c>
      <x:c r="B88" s="4" t="str">
        <x:v>Reproducción</x:v>
      </x:c>
      <x:c r="C88" s="4" t="str">
        <x:v>Testigos de 50, fórmulas y registro; no una segunda implementación semántica independiente ni prueba de campo.</x:v>
      </x:c>
      <x:c r="D88" s="4" t="str">
        <x:v>EJECUTADA_DOCUMENTAL</x:v>
      </x:c>
    </x:row>
    <x:row r="89" ht="47" customHeight="1">
      <x:c r="A89" s="4" t="str">
        <x:v>P08</x:v>
      </x:c>
      <x:c r="B89" s="4" t="str">
        <x:v>Ablación</x:v>
      </x:c>
      <x:c r="C89" s="4" t="str">
        <x:v>AB-L10-08: retirar estado y cualquier pista lateral; cambia la obligación documental del experto.</x:v>
      </x:c>
      <x:c r="D89" s="4" t="str">
        <x:v>EJECUTADA_DOCUMENTAL</x:v>
      </x:c>
    </x:row>
    <x:row r="90" ht="47" customHeight="1">
      <x:c r="A90" s="4" t="str">
        <x:v>P08</x:v>
      </x:c>
      <x:c r="B90" s="4" t="str">
        <x:v>Reproducción</x:v>
      </x:c>
      <x:c r="C90" s="4" t="str">
        <x:v>Testigos de 50, fórmulas y registro; no una segunda implementación semántica independiente ni prueba de campo.</x:v>
      </x:c>
      <x:c r="D90" s="4" t="str">
        <x:v>EJECUTADA_DOCUMENTAL</x:v>
      </x:c>
    </x:row>
    <x:row r="91" ht="47" customHeight="1">
      <x:c r="A91" s="4" t="str">
        <x:v>P09</x:v>
      </x:c>
      <x:c r="B91" s="4" t="str">
        <x:v>Ablación</x:v>
      </x:c>
      <x:c r="C91" s="4" t="str">
        <x:v>AB-L10-09: retirar estado y cualquier pista lateral; cambia la obligación documental del experto.</x:v>
      </x:c>
      <x:c r="D91" s="4" t="str">
        <x:v>EJECUTADA_DOCUMENTAL</x:v>
      </x:c>
    </x:row>
    <x:row r="92" ht="47" customHeight="1">
      <x:c r="A92" s="4" t="str">
        <x:v>P09</x:v>
      </x:c>
      <x:c r="B92" s="4" t="str">
        <x:v>Reproducción</x:v>
      </x:c>
      <x:c r="C92" s="4" t="str">
        <x:v>Testigos de 50, fórmulas y registro; no una segunda implementación semántica independiente ni prueba de campo.</x:v>
      </x:c>
      <x:c r="D92" s="4" t="str">
        <x:v>EJECUTADA_DOCUMENTAL</x:v>
      </x:c>
    </x:row>
    <x:row r="93" ht="47" customHeight="1">
      <x:c r="A93" s="4" t="str">
        <x:v>P10</x:v>
      </x:c>
      <x:c r="B93" s="4" t="str">
        <x:v>Ablación</x:v>
      </x:c>
      <x:c r="C93" s="4" t="str">
        <x:v>AB-L10-10: retirar estado y cualquier pista lateral; cambia la obligación documental del experto.</x:v>
      </x:c>
      <x:c r="D93" s="4" t="str">
        <x:v>EJECUTADA_DOCUMENTAL</x:v>
      </x:c>
    </x:row>
    <x:row r="94" ht="47" customHeight="1">
      <x:c r="A94" s="4" t="str">
        <x:v>P10</x:v>
      </x:c>
      <x:c r="B94" s="4" t="str">
        <x:v>Reproducción</x:v>
      </x:c>
      <x:c r="C94" s="4" t="str">
        <x:v>Testigos de 50, fórmulas y registro; no una segunda implementación semántica independiente ni prueba de campo.</x:v>
      </x:c>
      <x:c r="D94" s="4" t="str">
        <x:v>EJECUTADA_DOCUMENTAL</x:v>
      </x:c>
    </x:row>
  </x:sheetData>
  <x:mergeCells>
    <x:mergeCell ref="A1:D1"/>
    <x:mergeCell ref="A2:D2"/>
  </x:mergeCells>
  <x:pageMargins left="0.7" right="0.7" top="0.75" bottom="0.75" header="0.3" footer="0.3"/>
  <x:tableParts count="1">
    <x:tablePart xmlns:r="http://schemas.openxmlformats.org/officeDocument/2006/relationships" r:id="R42c0ff95c5f345b7"/>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8" hidden="0" customWidth="1"/>
    <x:col min="2" max="2" width="50" hidden="0" customWidth="1"/>
    <x:col min="3" max="3" width="48" hidden="0" customWidth="1"/>
    <x:col min="4" max="4" width="19" hidden="0" customWidth="1"/>
    <x:col min="5" max="5" width="18" hidden="0" customWidth="1"/>
    <x:col min="6" max="6" width="31" hidden="0" customWidth="1"/>
    <x:col min="7" max="7" width="22" hidden="0" customWidth="1"/>
    <x:col min="8" max="8" width="68" hidden="0" customWidth="1"/>
    <x:col min="9" max="9" width="68" hidden="0" customWidth="1"/>
    <x:col min="10" max="10" width="20" hidden="0" customWidth="1"/>
    <x:col min="11" max="11" width="33" hidden="0" customWidth="1"/>
    <x:col min="12" max="12" width="30" hidden="0" customWidth="1"/>
    <x:col min="13" max="13" width="15" hidden="0" customWidth="1"/>
    <x:col min="14" max="14" width="38" hidden="0" customWidth="1"/>
    <x:col min="15" max="15" width="30" hidden="0" customWidth="1"/>
    <x:col min="16" max="16" width="15" hidden="0" customWidth="1"/>
    <x:col min="17" max="17" width="38" hidden="0" customWidth="1"/>
    <x:col min="18" max="18" width="17" hidden="0" customWidth="1"/>
    <x:col min="19" max="19" width="105" hidden="0" customWidth="1"/>
    <x:col min="20" max="20" width="52" hidden="0" customWidth="1"/>
    <x:col min="21" max="21" width="33" hidden="0" customWidth="1"/>
    <x:col min="22" max="22" width="34" hidden="0" customWidth="1"/>
    <x:col min="23" max="23" width="26" hidden="0" customWidth="1"/>
    <x:col min="24" max="24" width="68" hidden="0" customWidth="1"/>
    <x:col min="25" max="25" width="68" hidden="0" customWidth="1"/>
    <x:col min="26" max="26" width="68" hidden="0" customWidth="1"/>
    <x:col min="27" max="27" width="41" hidden="0" customWidth="1"/>
    <x:col min="28" max="28" width="41" hidden="0" customWidth="1"/>
  </x:cols>
  <x:sheetData>
    <x:row r="1" ht="35" customHeight="1">
      <x:c r="A1" s="6" t="str">
        <x:v>TESTIGOS DOCUMENTALES · esperados previos</x:v>
      </x:c>
      <x:c r="B1" s="6"/>
      <x:c r="C1" s="6"/>
      <x:c r="D1" s="6"/>
      <x:c r="E1" s="6"/>
      <x:c r="F1" s="6"/>
      <x:c r="G1" s="6"/>
      <x:c r="H1" s="6"/>
      <x:c r="I1" s="6"/>
      <x:c r="J1" s="6"/>
      <x:c r="K1" s="6"/>
      <x:c r="L1" s="6"/>
      <x:c r="M1" s="6"/>
      <x:c r="N1" s="6"/>
      <x:c r="O1" s="6"/>
      <x:c r="P1" s="6"/>
      <x:c r="Q1" s="6"/>
      <x:c r="R1" s="6"/>
      <x:c r="S1" s="6"/>
      <x:c r="T1" s="6"/>
      <x:c r="U1" s="6"/>
      <x:c r="V1" s="6"/>
      <x:c r="W1" s="6"/>
      <x:c r="X1" s="6"/>
      <x:c r="Y1" s="6"/>
      <x:c r="Z1" s="6"/>
      <x:c r="AA1" s="6"/>
      <x:c r="AB1" s="6"/>
    </x:row>
    <x:row r="2" ht="52" customHeight="1">
      <x:c r="A2" s="8" t="str">
        <x:v>Casos sintéticos del contrato. No ejecutan capturadores, reinicios, procesos, restauraciones ni criterios sobre activos reales.</x:v>
      </x:c>
      <x:c r="B2" s="8"/>
      <x:c r="C2" s="8"/>
      <x:c r="D2" s="8"/>
      <x:c r="E2" s="8"/>
      <x:c r="F2" s="8"/>
      <x:c r="G2" s="8"/>
      <x:c r="H2" s="8"/>
      <x:c r="I2" s="8"/>
      <x:c r="J2" s="8"/>
      <x:c r="K2" s="8"/>
      <x:c r="L2" s="8"/>
      <x:c r="M2" s="8"/>
      <x:c r="N2" s="8"/>
      <x:c r="O2" s="8"/>
      <x:c r="P2" s="8"/>
      <x:c r="Q2" s="8"/>
      <x:c r="R2" s="8"/>
      <x:c r="S2" s="8"/>
      <x:c r="T2" s="8"/>
      <x:c r="U2" s="8"/>
      <x:c r="V2" s="8"/>
      <x:c r="W2" s="8"/>
      <x:c r="X2" s="8"/>
      <x:c r="Y2" s="8"/>
      <x:c r="Z2" s="8"/>
      <x:c r="AA2" s="8"/>
      <x:c r="AB2" s="8"/>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row>
    <x:row r="4" ht="42" customHeight="1">
      <x:c r="A4" s="10" t="str">
        <x:v>Caso</x:v>
      </x:c>
      <x:c r="B4" s="10" t="str">
        <x:v>Parámetro</x:v>
      </x:c>
      <x:c r="C4" s="10" t="str">
        <x:v>Perfil</x:v>
      </x:c>
      <x:c r="D4" s="10" t="str">
        <x:v>Identidad</x:v>
      </x:c>
      <x:c r="E4" s="10" t="str">
        <x:v>Captura</x:v>
      </x:c>
      <x:c r="F4" s="10" t="str">
        <x:v>Soporte observado</x:v>
      </x:c>
      <x:c r="G4" s="10" t="str">
        <x:v>Presencia</x:v>
      </x:c>
      <x:c r="H4" s="10" t="str">
        <x:v>Lexema / identidad 1</x:v>
      </x:c>
      <x:c r="I4" s="10" t="str">
        <x:v>Lexema / identidad 2</x:v>
      </x:c>
      <x:c r="J4" s="10" t="str">
        <x:v>Cobertura</x:v>
      </x:c>
      <x:c r="K4" s="10" t="str">
        <x:v>Contexto</x:v>
      </x:c>
      <x:c r="L4" s="10" t="str">
        <x:v>Clase esperada</x:v>
      </x:c>
      <x:c r="M4" s="10" t="str">
        <x:v>Tri esperado</x:v>
      </x:c>
      <x:c r="N4" s="10" t="str">
        <x:v>Diagnóstico esperado</x:v>
      </x:c>
      <x:c r="O4" s="10" t="str">
        <x:v>Clase calculada</x:v>
      </x:c>
      <x:c r="P4" s="10" t="str">
        <x:v>Tri calculado</x:v>
      </x:c>
      <x:c r="Q4" s="10" t="str">
        <x:v>Diagnóstico calculado</x:v>
      </x:c>
      <x:c r="R4" s="10" t="str">
        <x:v>Contraste</x:v>
      </x:c>
      <x:c r="S4" s="10" t="str">
        <x:v>Razón profesional</x:v>
      </x:c>
      <x:c r="T4" s="10" t="str">
        <x:v>Perfil esperado por contrato</x:v>
      </x:c>
      <x:c r="U4" s="10" t="str">
        <x:v>Soporte exigido</x:v>
      </x:c>
      <x:c r="V4" s="10" t="str">
        <x:v>Contexto exigido</x:v>
      </x:c>
      <x:c r="W4" s="10" t="str">
        <x:v>Modo contractual</x:v>
      </x:c>
      <x:c r="X4" s="10" t="str">
        <x:v>Positivo contractual</x:v>
      </x:c>
      <x:c r="Y4" s="10" t="str">
        <x:v>Auxiliar contractual</x:v>
      </x:c>
      <x:c r="Z4" s="10" t="str">
        <x:v>Negativo contractual</x:v>
      </x:c>
      <x:c r="AA4" s="10" t="str">
        <x:v>Diagnóstico positivo</x:v>
      </x:c>
      <x:c r="AB4" s="10" t="str">
        <x:v>Diagnóstico negativo</x:v>
      </x:c>
    </x:row>
    <x:row r="5" ht="47" customHeight="1">
      <x:c r="A5" s="4" t="str">
        <x:v>L10-02-01</x:v>
      </x:c>
      <x:c r="B5" s="4" t="str">
        <x:v>PAR-CYB-INSTALACION-EXITO-COMUNICADO-001</x:v>
      </x:c>
      <x:c r="C5" s="4" t="str">
        <x:v>WUA-RESULTADO-INDIVIDUAL-0.1</x:v>
      </x:c>
      <x:c r="D5" s="4" t="str">
        <x:v>COINCIDE</x:v>
      </x:c>
      <x:c r="E5" s="4" t="str">
        <x:v>LEGIBLE</x:v>
      </x:c>
      <x:c r="F5" s="4" t="str">
        <x:v>RESULTADO_WUA_INDIVIDUAL</x:v>
      </x:c>
      <x:c r="G5" s="4" t="str">
        <x:v>UNICA</x:v>
      </x:c>
      <x:c r="H5" s="4" t="str">
        <x:v>orcSucceeded</x:v>
      </x:c>
      <x:c r="I5" s="4" t="str"/>
      <x:c r="J5" s="4" t="str">
        <x:v>COMPLETA</x:v>
      </x:c>
      <x:c r="K5" s="4" t="str">
        <x:v>INSTALAR_INDIVIDUAL</x:v>
      </x:c>
      <x:c r="L5" s="4" t="str">
        <x:v>VALIDA</x:v>
      </x:c>
      <x:c r="M5" s="4" t="str">
        <x:v>1</x:v>
      </x:c>
      <x:c r="N5" s="4" t="str">
        <x:v>EXITO_COMUNICADO</x:v>
      </x:c>
      <x:c r="O5" s="12" t="str">
        <x:f>IF(Q5="SIN_EJECUCION_DOMINIO","FALLO_CAPTURA",IF(OR(Q5="CAPTURA_MAL_FORMADA",Q5="IDENTIDAD",Q5="OBSERVACION_MAL_FORMADA",Q5="LEXEMA_O_FORMA"),"NO_ADMISION",IF(OR(Q5="PERFIL_NO_CONSTITUIDO",Q5="RESULTADO_NO_TERMINAL"),"FUERA_PERFIL",IF(Q5="CONTEXTO_NO_CONSTITUIDO","CONFIGURACION_PENDIENTE","VALIDA"))))</x:f>
        <x:v>VALIDA</x:v>
      </x:c>
      <x:c r="P5" s="12" t="str">
        <x:f>IF(O5&lt;&gt;"VALIDA","",IF(Q5=AA5,"1",IF(Q5=AB5,"0","U")))</x:f>
        <x:v>1</x:v>
      </x:c>
      <x:c r="Q5" s="12" t="str">
        <x:f>IF(E5="FALLO","SIN_EJECUCION_DOMINIO",IF(E5&lt;&gt;"LEGIBLE","CAPTURA_MAL_FORMADA",IF(D5&lt;&gt;"COINCIDE","IDENTIDAD",IF(OR(T5="",C5&lt;&gt;T5),"PERFIL_NO_CONSTITUIDO",IF(K5&lt;&gt;V5,IF(V5="ORDEN_ACREDITADO","ORDEN_NO_ACREDITADO","CONTEXTO_NO_CONSTITUIDO"),IF(AND(G5="AUSENTE",H5="",I5=""),"DATO_AUSENTE",IF(AND(G5="CONFLICTO",H5="",I5=""),"CONFLICTO_OBSERVACIONAL",IF(G5&lt;&gt;"UNICA","OBSERVACION_MAL_FORMADA",IF(F5&lt;&gt;U5,"OBSERVACION_INSUFICIENTE",IF(W5="RESULTADO",IF(H5=X5,AA5,IF(OR(H5="orcSucceededWithErrors",H5="orcFailed",H5="orcAborted"),AB5,IF(OR(H5="orcNotStarted",H5="orcInProgress"),"RESULTADO_NO_TERMINAL","LEXEMA_O_FORMA"))),IF(W5="EVENTO_BOOT",IF(H5=X5,AA5,IF(OR(H5="NINGUNO",H5="SOLO_HIBRIDO"),IF(J5="COMPLETA",AB5,"COBERTURA_INSUFICIENTE"),"LEXEMA_O_FORMA")),IF(W5="REQUISITO_SOFT",IF(H5=X5,AA5,IF(H5=Z5,AB5,"LEXEMA_O_FORMA")),IF(W5="EVENTO_PROC",IF(H5=X5,AA5,IF(H5=Z5,IF(J5="COMPLETA",AB5,"COBERTURA_INSUFICIENTE"),"LEXEMA_O_FORMA")),IF(W5="IMAGEN",IF(AND(AND(ISTEXT(H5),LEN(("x"&amp;H5))=65,EXACT(("x"&amp;H5),LOWER(("x"&amp;H5))),ISERROR(SEARCH(" ",("x"&amp;H5))),ISERROR(SEARCH(CHAR(9),("x"&amp;H5))),ISERROR(SEARCH(CHAR(10),("x"&amp;H5))),ISERROR(SEARCH(CHAR(13),("x"&amp;H5))),IFERROR(HEX2DEC(MID(("x"&amp;H5),2,8))&gt;=0,FALSE),IFERROR(HEX2DEC(MID(("x"&amp;H5),10,8))&gt;=0,FALSE),IFERROR(HEX2DEC(MID(("x"&amp;H5),18,8))&gt;=0,FALSE),IFERROR(HEX2DEC(MID(("x"&amp;H5),26,8))&gt;=0,FALSE),IFERROR(HEX2DEC(MID(("x"&amp;H5),34,8))&gt;=0,FALSE),IFERROR(HEX2DEC(MID(("x"&amp;H5),42,8))&gt;=0,FALSE),IFERROR(HEX2DEC(MID(("x"&amp;H5),50,8))&gt;=0,FALSE),IFERROR(HEX2DEC(MID(("x"&amp;H5),58,8))&gt;=0,FALSE)),AND(ISTEXT(I5),LEN(("x"&amp;I5))=65,EXACT(("x"&amp;I5),LOWER(("x"&amp;I5))),ISERROR(SEARCH(" ",("x"&amp;I5))),ISERROR(SEARCH(CHAR(9),("x"&amp;I5))),ISERROR(SEARCH(CHAR(10),("x"&amp;I5))),ISERROR(SEARCH(CHAR(13),("x"&amp;I5))),IFERROR(HEX2DEC(MID(("x"&amp;I5),2,8))&gt;=0,FALSE),IFERROR(HEX2DEC(MID(("x"&amp;I5),10,8))&gt;=0,FALSE),IFERROR(HEX2DEC(MID(("x"&amp;I5),18,8))&gt;=0,FALSE),IFERROR(HEX2DEC(MID(("x"&amp;I5),26,8))&gt;=0,FALSE),IFERROR(HEX2DEC(MID(("x"&amp;I5),34,8))&gt;=0,FALSE),IFERROR(HEX2DEC(MID(("x"&amp;I5),42,8))&gt;=0,FALSE),IFERROR(HEX2DEC(MID(("x"&amp;I5),50,8))&gt;=0,FALSE),IFERROR(HEX2DEC(MID(("x"&amp;I5),58,8))&gt;=0,FALSE))),IF(EXACT("x"&amp;H5,"x"&amp;I5),AA5,AB5),"LEXEMA_O_FORMA"),IF(W5="PRUEBA",IF(H5=X5,AA5,IF(H5=Z5,AB5,"LEXEMA_O_FORMA")),IF(W5="RETIRADA",IF(AND(H5="NINGUNO",I5=""),IF(J5="COMPLETA",AB5,"COBERTURA_INSUFICIENTE"),IF(AND(OR(H5="uoInstallation",H5="uoUninstallation"),OR(I5="orcSucceeded",I5="orcSucceededWithErrors",I5="orcFailed",I5="orcAborted",I5="orcInProgress",I5="orcNotStarted")),IF(AND(H5=X5,I5=Y5),AA5,IF(AND(H5=X5,OR(I5="orcSucceededWithErrors",I5="orcInProgress",I5="orcNotStarted")),"RESULTADO_RETIRADA_INCIERTO",IF(J5="COMPLETA",AB5,"COBERTURA_INSUFICIENTE"))),"LEXEMA_O_FORMA")),IF(W5="CAMBIO",IF(OR(H5="CAMBIO",H5="CAMBIO_Y_RETORNO"),AA5,IF(OR(H5="NINGUNO",H5="SOLO_RENOMBRE"),IF(J5="COMPLETA",AB5,"COBERTURA_INSUFICIENTE"),"LEXEMA_O_FORMA")),IF(W5="RESTAURACION",IF(H5=X5,AA5,IF(OR(H5="NINGUNO",H5="RESTAURACION_POSTERIOR",H5="RESTAURACION_FALLIDA"),IF(J5="COMPLETA",AB5,"COBERTURA_INSUFICIENTE"),"LEXEMA_O_FORMA")),"PERFIL_NO_CONSTITUIDO"))))))))))))))))))</x:f>
        <x:v>EXITO_COMUNICADO</x:v>
      </x:c>
      <x:c r="R5" s="12" t="str">
        <x:f>IF(AND(L5=O5,M5=P5,N5=Q5),"PASA","NO_PASA")</x:f>
        <x:v>PASA</x:v>
      </x:c>
      <x:c r="S5" s="4" t="str">
        <x:v>Testigo positivo de la proposición; no licencia ninguna conclusión más amplia.</x:v>
      </x:c>
      <x:c r="T5" s="12" t="str">
        <x:f>IFERROR(INDEX('55_Codificacion_ensayo'!$B$5:$B$13,MATCH(B5,'55_Codificacion_ensayo'!$A$5:$A$13,0)),"")</x:f>
        <x:v>WUA-RESULTADO-INDIVIDUAL-0.1</x:v>
      </x:c>
      <x:c r="U5" s="12" t="str">
        <x:f>IFERROR(INDEX('55_Codificacion_ensayo'!$C$5:$C$13,MATCH(B5,'55_Codificacion_ensayo'!$A$5:$A$13,0)),"")</x:f>
        <x:v>RESULTADO_WUA_INDIVIDUAL</x:v>
      </x:c>
      <x:c r="V5" s="12" t="str">
        <x:f>IFERROR(INDEX('55_Codificacion_ensayo'!$D$5:$D$13,MATCH(B5,'55_Codificacion_ensayo'!$A$5:$A$13,0)),"")</x:f>
        <x:v>INSTALAR_INDIVIDUAL</x:v>
      </x:c>
      <x:c r="W5" s="12" t="str">
        <x:f>IFERROR(INDEX('55_Codificacion_ensayo'!$E$5:$E$13,MATCH(B5,'55_Codificacion_ensayo'!$A$5:$A$13,0)),"")</x:f>
        <x:v>RESULTADO</x:v>
      </x:c>
      <x:c r="X5" s="12" t="str">
        <x:f>IFERROR(INDEX('55_Codificacion_ensayo'!$F$5:$F$13,MATCH(B5,'55_Codificacion_ensayo'!$A$5:$A$13,0)),"")</x:f>
        <x:v>orcSucceeded</x:v>
      </x:c>
      <x:c r="Y5" s="12" t="str">
        <x:f>IFERROR(INDEX('55_Codificacion_ensayo'!$G$5:$G$13,MATCH(B5,'55_Codificacion_ensayo'!$A$5:$A$13,0)),"")</x:f>
      </x:c>
      <x:c r="Z5" s="12" t="str">
        <x:f>IFERROR(INDEX('55_Codificacion_ensayo'!$H$5:$H$13,MATCH(B5,'55_Codificacion_ensayo'!$A$5:$A$13,0)),"")</x:f>
        <x:v>orcFailed</x:v>
      </x:c>
      <x:c r="AA5" s="12" t="str">
        <x:f>IFERROR(INDEX('55_Codificacion_ensayo'!$I$5:$I$13,MATCH(B5,'55_Codificacion_ensayo'!$A$5:$A$13,0)),"")</x:f>
        <x:v>EXITO_COMUNICADO</x:v>
      </x:c>
      <x:c r="AB5" s="12" t="str">
        <x:f>IFERROR(INDEX('55_Codificacion_ensayo'!$J$5:$J$13,MATCH(B5,'55_Codificacion_ensayo'!$A$5:$A$13,0)),"")</x:f>
        <x:v>NO_EXITO_PLENO</x:v>
      </x:c>
    </x:row>
    <x:row r="6" ht="47" customHeight="1">
      <x:c r="A6" s="4" t="str">
        <x:v>L10-02-02</x:v>
      </x:c>
      <x:c r="B6" s="4" t="str">
        <x:v>PAR-CYB-INSTALACION-EXITO-COMUNICADO-001</x:v>
      </x:c>
      <x:c r="C6" s="4" t="str">
        <x:v>WUA-RESULTADO-INDIVIDUAL-0.1</x:v>
      </x:c>
      <x:c r="D6" s="4" t="str">
        <x:v>COINCIDE</x:v>
      </x:c>
      <x:c r="E6" s="4" t="str">
        <x:v>LEGIBLE</x:v>
      </x:c>
      <x:c r="F6" s="4" t="str">
        <x:v>RESULTADO_WUA_INDIVIDUAL</x:v>
      </x:c>
      <x:c r="G6" s="4" t="str">
        <x:v>UNICA</x:v>
      </x:c>
      <x:c r="H6" s="4" t="str">
        <x:v>orcFailed</x:v>
      </x:c>
      <x:c r="I6" s="4" t="str"/>
      <x:c r="J6" s="4" t="str">
        <x:v>COMPLETA</x:v>
      </x:c>
      <x:c r="K6" s="4" t="str">
        <x:v>INSTALAR_INDIVIDUAL</x:v>
      </x:c>
      <x:c r="L6" s="4" t="str">
        <x:v>VALIDA</x:v>
      </x:c>
      <x:c r="M6" s="4" t="str">
        <x:v>0</x:v>
      </x:c>
      <x:c r="N6" s="4" t="str">
        <x:v>NO_EXITO_PLENO</x:v>
      </x:c>
      <x:c r="O6" s="12" t="str">
        <x:f>IF(Q6="SIN_EJECUCION_DOMINIO","FALLO_CAPTURA",IF(OR(Q6="CAPTURA_MAL_FORMADA",Q6="IDENTIDAD",Q6="OBSERVACION_MAL_FORMADA",Q6="LEXEMA_O_FORMA"),"NO_ADMISION",IF(OR(Q6="PERFIL_NO_CONSTITUIDO",Q6="RESULTADO_NO_TERMINAL"),"FUERA_PERFIL",IF(Q6="CONTEXTO_NO_CONSTITUIDO","CONFIGURACION_PENDIENTE","VALIDA"))))</x:f>
        <x:v>VALIDA</x:v>
      </x:c>
      <x:c r="P6" s="12" t="str">
        <x:f>IF(O6&lt;&gt;"VALIDA","",IF(Q6=AA6,"1",IF(Q6=AB6,"0","U")))</x:f>
        <x:v>0</x:v>
      </x:c>
      <x:c r="Q6" s="12" t="str">
        <x:f>IF(E6="FALLO","SIN_EJECUCION_DOMINIO",IF(E6&lt;&gt;"LEGIBLE","CAPTURA_MAL_FORMADA",IF(D6&lt;&gt;"COINCIDE","IDENTIDAD",IF(OR(T6="",C6&lt;&gt;T6),"PERFIL_NO_CONSTITUIDO",IF(K6&lt;&gt;V6,IF(V6="ORDEN_ACREDITADO","ORDEN_NO_ACREDITADO","CONTEXTO_NO_CONSTITUIDO"),IF(AND(G6="AUSENTE",H6="",I6=""),"DATO_AUSENTE",IF(AND(G6="CONFLICTO",H6="",I6=""),"CONFLICTO_OBSERVACIONAL",IF(G6&lt;&gt;"UNICA","OBSERVACION_MAL_FORMADA",IF(F6&lt;&gt;U6,"OBSERVACION_INSUFICIENTE",IF(W6="RESULTADO",IF(H6=X6,AA6,IF(OR(H6="orcSucceededWithErrors",H6="orcFailed",H6="orcAborted"),AB6,IF(OR(H6="orcNotStarted",H6="orcInProgress"),"RESULTADO_NO_TERMINAL","LEXEMA_O_FORMA"))),IF(W6="EVENTO_BOOT",IF(H6=X6,AA6,IF(OR(H6="NINGUNO",H6="SOLO_HIBRIDO"),IF(J6="COMPLETA",AB6,"COBERTURA_INSUFICIENTE"),"LEXEMA_O_FORMA")),IF(W6="REQUISITO_SOFT",IF(H6=X6,AA6,IF(H6=Z6,AB6,"LEXEMA_O_FORMA")),IF(W6="EVENTO_PROC",IF(H6=X6,AA6,IF(H6=Z6,IF(J6="COMPLETA",AB6,"COBERTURA_INSUFICIENTE"),"LEXEMA_O_FORMA")),IF(W6="IMAGEN",IF(AND(AND(ISTEXT(H6),LEN(("x"&amp;H6))=65,EXACT(("x"&amp;H6),LOWER(("x"&amp;H6))),ISERROR(SEARCH(" ",("x"&amp;H6))),ISERROR(SEARCH(CHAR(9),("x"&amp;H6))),ISERROR(SEARCH(CHAR(10),("x"&amp;H6))),ISERROR(SEARCH(CHAR(13),("x"&amp;H6))),IFERROR(HEX2DEC(MID(("x"&amp;H6),2,8))&gt;=0,FALSE),IFERROR(HEX2DEC(MID(("x"&amp;H6),10,8))&gt;=0,FALSE),IFERROR(HEX2DEC(MID(("x"&amp;H6),18,8))&gt;=0,FALSE),IFERROR(HEX2DEC(MID(("x"&amp;H6),26,8))&gt;=0,FALSE),IFERROR(HEX2DEC(MID(("x"&amp;H6),34,8))&gt;=0,FALSE),IFERROR(HEX2DEC(MID(("x"&amp;H6),42,8))&gt;=0,FALSE),IFERROR(HEX2DEC(MID(("x"&amp;H6),50,8))&gt;=0,FALSE),IFERROR(HEX2DEC(MID(("x"&amp;H6),58,8))&gt;=0,FALSE)),AND(ISTEXT(I6),LEN(("x"&amp;I6))=65,EXACT(("x"&amp;I6),LOWER(("x"&amp;I6))),ISERROR(SEARCH(" ",("x"&amp;I6))),ISERROR(SEARCH(CHAR(9),("x"&amp;I6))),ISERROR(SEARCH(CHAR(10),("x"&amp;I6))),ISERROR(SEARCH(CHAR(13),("x"&amp;I6))),IFERROR(HEX2DEC(MID(("x"&amp;I6),2,8))&gt;=0,FALSE),IFERROR(HEX2DEC(MID(("x"&amp;I6),10,8))&gt;=0,FALSE),IFERROR(HEX2DEC(MID(("x"&amp;I6),18,8))&gt;=0,FALSE),IFERROR(HEX2DEC(MID(("x"&amp;I6),26,8))&gt;=0,FALSE),IFERROR(HEX2DEC(MID(("x"&amp;I6),34,8))&gt;=0,FALSE),IFERROR(HEX2DEC(MID(("x"&amp;I6),42,8))&gt;=0,FALSE),IFERROR(HEX2DEC(MID(("x"&amp;I6),50,8))&gt;=0,FALSE),IFERROR(HEX2DEC(MID(("x"&amp;I6),58,8))&gt;=0,FALSE))),IF(EXACT("x"&amp;H6,"x"&amp;I6),AA6,AB6),"LEXEMA_O_FORMA"),IF(W6="PRUEBA",IF(H6=X6,AA6,IF(H6=Z6,AB6,"LEXEMA_O_FORMA")),IF(W6="RETIRADA",IF(AND(H6="NINGUNO",I6=""),IF(J6="COMPLETA",AB6,"COBERTURA_INSUFICIENTE"),IF(AND(OR(H6="uoInstallation",H6="uoUninstallation"),OR(I6="orcSucceeded",I6="orcSucceededWithErrors",I6="orcFailed",I6="orcAborted",I6="orcInProgress",I6="orcNotStarted")),IF(AND(H6=X6,I6=Y6),AA6,IF(AND(H6=X6,OR(I6="orcSucceededWithErrors",I6="orcInProgress",I6="orcNotStarted")),"RESULTADO_RETIRADA_INCIERTO",IF(J6="COMPLETA",AB6,"COBERTURA_INSUFICIENTE"))),"LEXEMA_O_FORMA")),IF(W6="CAMBIO",IF(OR(H6="CAMBIO",H6="CAMBIO_Y_RETORNO"),AA6,IF(OR(H6="NINGUNO",H6="SOLO_RENOMBRE"),IF(J6="COMPLETA",AB6,"COBERTURA_INSUFICIENTE"),"LEXEMA_O_FORMA")),IF(W6="RESTAURACION",IF(H6=X6,AA6,IF(OR(H6="NINGUNO",H6="RESTAURACION_POSTERIOR",H6="RESTAURACION_FALLIDA"),IF(J6="COMPLETA",AB6,"COBERTURA_INSUFICIENTE"),"LEXEMA_O_FORMA")),"PERFIL_NO_CONSTITUIDO"))))))))))))))))))</x:f>
        <x:v>NO_EXITO_PLENO</x:v>
      </x:c>
      <x:c r="R6" s="12" t="str">
        <x:f>IF(AND(L6=O6,M6=P6,N6=Q6),"PASA","NO_PASA")</x:f>
        <x:v>PASA</x:v>
      </x:c>
      <x:c r="S6" s="4" t="str">
        <x:v>Negativo explícito; en eventos exige cobertura del intervalo.</x:v>
      </x:c>
      <x:c r="T6" s="12" t="str">
        <x:f>IFERROR(INDEX('55_Codificacion_ensayo'!$B$5:$B$13,MATCH(B6,'55_Codificacion_ensayo'!$A$5:$A$13,0)),"")</x:f>
        <x:v>WUA-RESULTADO-INDIVIDUAL-0.1</x:v>
      </x:c>
      <x:c r="U6" s="12" t="str">
        <x:f>IFERROR(INDEX('55_Codificacion_ensayo'!$C$5:$C$13,MATCH(B6,'55_Codificacion_ensayo'!$A$5:$A$13,0)),"")</x:f>
        <x:v>RESULTADO_WUA_INDIVIDUAL</x:v>
      </x:c>
      <x:c r="V6" s="12" t="str">
        <x:f>IFERROR(INDEX('55_Codificacion_ensayo'!$D$5:$D$13,MATCH(B6,'55_Codificacion_ensayo'!$A$5:$A$13,0)),"")</x:f>
        <x:v>INSTALAR_INDIVIDUAL</x:v>
      </x:c>
      <x:c r="W6" s="12" t="str">
        <x:f>IFERROR(INDEX('55_Codificacion_ensayo'!$E$5:$E$13,MATCH(B6,'55_Codificacion_ensayo'!$A$5:$A$13,0)),"")</x:f>
        <x:v>RESULTADO</x:v>
      </x:c>
      <x:c r="X6" s="12" t="str">
        <x:f>IFERROR(INDEX('55_Codificacion_ensayo'!$F$5:$F$13,MATCH(B6,'55_Codificacion_ensayo'!$A$5:$A$13,0)),"")</x:f>
        <x:v>orcSucceeded</x:v>
      </x:c>
      <x:c r="Y6" s="12" t="str">
        <x:f>IFERROR(INDEX('55_Codificacion_ensayo'!$G$5:$G$13,MATCH(B6,'55_Codificacion_ensayo'!$A$5:$A$13,0)),"")</x:f>
      </x:c>
      <x:c r="Z6" s="12" t="str">
        <x:f>IFERROR(INDEX('55_Codificacion_ensayo'!$H$5:$H$13,MATCH(B6,'55_Codificacion_ensayo'!$A$5:$A$13,0)),"")</x:f>
        <x:v>orcFailed</x:v>
      </x:c>
      <x:c r="AA6" s="12" t="str">
        <x:f>IFERROR(INDEX('55_Codificacion_ensayo'!$I$5:$I$13,MATCH(B6,'55_Codificacion_ensayo'!$A$5:$A$13,0)),"")</x:f>
        <x:v>EXITO_COMUNICADO</x:v>
      </x:c>
      <x:c r="AB6" s="12" t="str">
        <x:f>IFERROR(INDEX('55_Codificacion_ensayo'!$J$5:$J$13,MATCH(B6,'55_Codificacion_ensayo'!$A$5:$A$13,0)),"")</x:f>
        <x:v>NO_EXITO_PLENO</x:v>
      </x:c>
    </x:row>
    <x:row r="7" ht="47" customHeight="1">
      <x:c r="A7" s="4" t="str">
        <x:v>L10-02-03</x:v>
      </x:c>
      <x:c r="B7" s="4" t="str">
        <x:v>PAR-CYB-INSTALACION-EXITO-COMUNICADO-001</x:v>
      </x:c>
      <x:c r="C7" s="4" t="str">
        <x:v>WUA-RESULTADO-INDIVIDUAL-0.1</x:v>
      </x:c>
      <x:c r="D7" s="4" t="str">
        <x:v>COINCIDE</x:v>
      </x:c>
      <x:c r="E7" s="4" t="str">
        <x:v>LEGIBLE</x:v>
      </x:c>
      <x:c r="F7" s="4" t="str">
        <x:v>RESULTADO_WUA_INDIVIDUAL</x:v>
      </x:c>
      <x:c r="G7" s="4" t="str">
        <x:v>AUSENTE</x:v>
      </x:c>
      <x:c r="H7" s="4" t="str"/>
      <x:c r="I7" s="4" t="str"/>
      <x:c r="J7" s="4" t="str">
        <x:v>COMPLETA</x:v>
      </x:c>
      <x:c r="K7" s="4" t="str">
        <x:v>INSTALAR_INDIVIDUAL</x:v>
      </x:c>
      <x:c r="L7" s="4" t="str">
        <x:v>VALIDA</x:v>
      </x:c>
      <x:c r="M7" s="4" t="str">
        <x:v>U</x:v>
      </x:c>
      <x:c r="N7" s="4" t="str">
        <x:v>DATO_AUSENTE</x:v>
      </x:c>
      <x:c r="O7" s="12" t="str">
        <x:f>IF(Q7="SIN_EJECUCION_DOMINIO","FALLO_CAPTURA",IF(OR(Q7="CAPTURA_MAL_FORMADA",Q7="IDENTIDAD",Q7="OBSERVACION_MAL_FORMADA",Q7="LEXEMA_O_FORMA"),"NO_ADMISION",IF(OR(Q7="PERFIL_NO_CONSTITUIDO",Q7="RESULTADO_NO_TERMINAL"),"FUERA_PERFIL",IF(Q7="CONTEXTO_NO_CONSTITUIDO","CONFIGURACION_PENDIENTE","VALIDA"))))</x:f>
        <x:v>VALIDA</x:v>
      </x:c>
      <x:c r="P7" s="12" t="str">
        <x:f>IF(O7&lt;&gt;"VALIDA","",IF(Q7=AA7,"1",IF(Q7=AB7,"0","U")))</x:f>
        <x:v>U</x:v>
      </x:c>
      <x:c r="Q7" s="12" t="str">
        <x:f>IF(E7="FALLO","SIN_EJECUCION_DOMINIO",IF(E7&lt;&gt;"LEGIBLE","CAPTURA_MAL_FORMADA",IF(D7&lt;&gt;"COINCIDE","IDENTIDAD",IF(OR(T7="",C7&lt;&gt;T7),"PERFIL_NO_CONSTITUIDO",IF(K7&lt;&gt;V7,IF(V7="ORDEN_ACREDITADO","ORDEN_NO_ACREDITADO","CONTEXTO_NO_CONSTITUIDO"),IF(AND(G7="AUSENTE",H7="",I7=""),"DATO_AUSENTE",IF(AND(G7="CONFLICTO",H7="",I7=""),"CONFLICTO_OBSERVACIONAL",IF(G7&lt;&gt;"UNICA","OBSERVACION_MAL_FORMADA",IF(F7&lt;&gt;U7,"OBSERVACION_INSUFICIENTE",IF(W7="RESULTADO",IF(H7=X7,AA7,IF(OR(H7="orcSucceededWithErrors",H7="orcFailed",H7="orcAborted"),AB7,IF(OR(H7="orcNotStarted",H7="orcInProgress"),"RESULTADO_NO_TERMINAL","LEXEMA_O_FORMA"))),IF(W7="EVENTO_BOOT",IF(H7=X7,AA7,IF(OR(H7="NINGUNO",H7="SOLO_HIBRIDO"),IF(J7="COMPLETA",AB7,"COBERTURA_INSUFICIENTE"),"LEXEMA_O_FORMA")),IF(W7="REQUISITO_SOFT",IF(H7=X7,AA7,IF(H7=Z7,AB7,"LEXEMA_O_FORMA")),IF(W7="EVENTO_PROC",IF(H7=X7,AA7,IF(H7=Z7,IF(J7="COMPLETA",AB7,"COBERTURA_INSUFICIENTE"),"LEXEMA_O_FORMA")),IF(W7="IMAGEN",IF(AND(AND(ISTEXT(H7),LEN(("x"&amp;H7))=65,EXACT(("x"&amp;H7),LOWER(("x"&amp;H7))),ISERROR(SEARCH(" ",("x"&amp;H7))),ISERROR(SEARCH(CHAR(9),("x"&amp;H7))),ISERROR(SEARCH(CHAR(10),("x"&amp;H7))),ISERROR(SEARCH(CHAR(13),("x"&amp;H7))),IFERROR(HEX2DEC(MID(("x"&amp;H7),2,8))&gt;=0,FALSE),IFERROR(HEX2DEC(MID(("x"&amp;H7),10,8))&gt;=0,FALSE),IFERROR(HEX2DEC(MID(("x"&amp;H7),18,8))&gt;=0,FALSE),IFERROR(HEX2DEC(MID(("x"&amp;H7),26,8))&gt;=0,FALSE),IFERROR(HEX2DEC(MID(("x"&amp;H7),34,8))&gt;=0,FALSE),IFERROR(HEX2DEC(MID(("x"&amp;H7),42,8))&gt;=0,FALSE),IFERROR(HEX2DEC(MID(("x"&amp;H7),50,8))&gt;=0,FALSE),IFERROR(HEX2DEC(MID(("x"&amp;H7),58,8))&gt;=0,FALSE)),AND(ISTEXT(I7),LEN(("x"&amp;I7))=65,EXACT(("x"&amp;I7),LOWER(("x"&amp;I7))),ISERROR(SEARCH(" ",("x"&amp;I7))),ISERROR(SEARCH(CHAR(9),("x"&amp;I7))),ISERROR(SEARCH(CHAR(10),("x"&amp;I7))),ISERROR(SEARCH(CHAR(13),("x"&amp;I7))),IFERROR(HEX2DEC(MID(("x"&amp;I7),2,8))&gt;=0,FALSE),IFERROR(HEX2DEC(MID(("x"&amp;I7),10,8))&gt;=0,FALSE),IFERROR(HEX2DEC(MID(("x"&amp;I7),18,8))&gt;=0,FALSE),IFERROR(HEX2DEC(MID(("x"&amp;I7),26,8))&gt;=0,FALSE),IFERROR(HEX2DEC(MID(("x"&amp;I7),34,8))&gt;=0,FALSE),IFERROR(HEX2DEC(MID(("x"&amp;I7),42,8))&gt;=0,FALSE),IFERROR(HEX2DEC(MID(("x"&amp;I7),50,8))&gt;=0,FALSE),IFERROR(HEX2DEC(MID(("x"&amp;I7),58,8))&gt;=0,FALSE))),IF(EXACT("x"&amp;H7,"x"&amp;I7),AA7,AB7),"LEXEMA_O_FORMA"),IF(W7="PRUEBA",IF(H7=X7,AA7,IF(H7=Z7,AB7,"LEXEMA_O_FORMA")),IF(W7="RETIRADA",IF(AND(H7="NINGUNO",I7=""),IF(J7="COMPLETA",AB7,"COBERTURA_INSUFICIENTE"),IF(AND(OR(H7="uoInstallation",H7="uoUninstallation"),OR(I7="orcSucceeded",I7="orcSucceededWithErrors",I7="orcFailed",I7="orcAborted",I7="orcInProgress",I7="orcNotStarted")),IF(AND(H7=X7,I7=Y7),AA7,IF(AND(H7=X7,OR(I7="orcSucceededWithErrors",I7="orcInProgress",I7="orcNotStarted")),"RESULTADO_RETIRADA_INCIERTO",IF(J7="COMPLETA",AB7,"COBERTURA_INSUFICIENTE"))),"LEXEMA_O_FORMA")),IF(W7="CAMBIO",IF(OR(H7="CAMBIO",H7="CAMBIO_Y_RETORNO"),AA7,IF(OR(H7="NINGUNO",H7="SOLO_RENOMBRE"),IF(J7="COMPLETA",AB7,"COBERTURA_INSUFICIENTE"),"LEXEMA_O_FORMA")),IF(W7="RESTAURACION",IF(H7=X7,AA7,IF(OR(H7="NINGUNO",H7="RESTAURACION_POSTERIOR",H7="RESTAURACION_FALLIDA"),IF(J7="COMPLETA",AB7,"COBERTURA_INSUFICIENTE"),"LEXEMA_O_FORMA")),"PERFIL_NO_CONSTITUIDO"))))))))))))))))))</x:f>
        <x:v>DATO_AUSENTE</x:v>
      </x:c>
      <x:c r="R7" s="12" t="str">
        <x:f>IF(AND(L7=O7,M7=P7,N7=Q7),"PASA","NO_PASA")</x:f>
        <x:v>PASA</x:v>
      </x:c>
      <x:c r="S7" s="4" t="str">
        <x:v>Documento declara que falta la observación, sin convertir ausencia en 0.</x:v>
      </x:c>
      <x:c r="T7" s="12" t="str">
        <x:f>IFERROR(INDEX('55_Codificacion_ensayo'!$B$5:$B$13,MATCH(B7,'55_Codificacion_ensayo'!$A$5:$A$13,0)),"")</x:f>
        <x:v>WUA-RESULTADO-INDIVIDUAL-0.1</x:v>
      </x:c>
      <x:c r="U7" s="12" t="str">
        <x:f>IFERROR(INDEX('55_Codificacion_ensayo'!$C$5:$C$13,MATCH(B7,'55_Codificacion_ensayo'!$A$5:$A$13,0)),"")</x:f>
        <x:v>RESULTADO_WUA_INDIVIDUAL</x:v>
      </x:c>
      <x:c r="V7" s="12" t="str">
        <x:f>IFERROR(INDEX('55_Codificacion_ensayo'!$D$5:$D$13,MATCH(B7,'55_Codificacion_ensayo'!$A$5:$A$13,0)),"")</x:f>
        <x:v>INSTALAR_INDIVIDUAL</x:v>
      </x:c>
      <x:c r="W7" s="12" t="str">
        <x:f>IFERROR(INDEX('55_Codificacion_ensayo'!$E$5:$E$13,MATCH(B7,'55_Codificacion_ensayo'!$A$5:$A$13,0)),"")</x:f>
        <x:v>RESULTADO</x:v>
      </x:c>
      <x:c r="X7" s="12" t="str">
        <x:f>IFERROR(INDEX('55_Codificacion_ensayo'!$F$5:$F$13,MATCH(B7,'55_Codificacion_ensayo'!$A$5:$A$13,0)),"")</x:f>
        <x:v>orcSucceeded</x:v>
      </x:c>
      <x:c r="Y7" s="12" t="str">
        <x:f>IFERROR(INDEX('55_Codificacion_ensayo'!$G$5:$G$13,MATCH(B7,'55_Codificacion_ensayo'!$A$5:$A$13,0)),"")</x:f>
      </x:c>
      <x:c r="Z7" s="12" t="str">
        <x:f>IFERROR(INDEX('55_Codificacion_ensayo'!$H$5:$H$13,MATCH(B7,'55_Codificacion_ensayo'!$A$5:$A$13,0)),"")</x:f>
        <x:v>orcFailed</x:v>
      </x:c>
      <x:c r="AA7" s="12" t="str">
        <x:f>IFERROR(INDEX('55_Codificacion_ensayo'!$I$5:$I$13,MATCH(B7,'55_Codificacion_ensayo'!$A$5:$A$13,0)),"")</x:f>
        <x:v>EXITO_COMUNICADO</x:v>
      </x:c>
      <x:c r="AB7" s="12" t="str">
        <x:f>IFERROR(INDEX('55_Codificacion_ensayo'!$J$5:$J$13,MATCH(B7,'55_Codificacion_ensayo'!$A$5:$A$13,0)),"")</x:f>
        <x:v>NO_EXITO_PLENO</x:v>
      </x:c>
    </x:row>
    <x:row r="8" ht="47" customHeight="1">
      <x:c r="A8" s="4" t="str">
        <x:v>L10-02-04</x:v>
      </x:c>
      <x:c r="B8" s="4" t="str">
        <x:v>PAR-CYB-INSTALACION-EXITO-COMUNICADO-001</x:v>
      </x:c>
      <x:c r="C8" s="4" t="str">
        <x:v>WUA-RESULTADO-INDIVIDUAL-0.1</x:v>
      </x:c>
      <x:c r="D8" s="4" t="str">
        <x:v>COINCIDE</x:v>
      </x:c>
      <x:c r="E8" s="4" t="str">
        <x:v>LEGIBLE</x:v>
      </x:c>
      <x:c r="F8" s="4" t="str">
        <x:v>RESULTADO_WUA_INDIVIDUAL</x:v>
      </x:c>
      <x:c r="G8" s="4" t="str">
        <x:v>CONFLICTO</x:v>
      </x:c>
      <x:c r="H8" s="4" t="str"/>
      <x:c r="I8" s="4" t="str"/>
      <x:c r="J8" s="4" t="str">
        <x:v>COMPLETA</x:v>
      </x:c>
      <x:c r="K8" s="4" t="str">
        <x:v>INSTALAR_INDIVIDUAL</x:v>
      </x:c>
      <x:c r="L8" s="4" t="str">
        <x:v>VALIDA</x:v>
      </x:c>
      <x:c r="M8" s="4" t="str">
        <x:v>U</x:v>
      </x:c>
      <x:c r="N8" s="4" t="str">
        <x:v>CONFLICTO_OBSERVACIONAL</x:v>
      </x:c>
      <x:c r="O8" s="12" t="str">
        <x:f>IF(Q8="SIN_EJECUCION_DOMINIO","FALLO_CAPTURA",IF(OR(Q8="CAPTURA_MAL_FORMADA",Q8="IDENTIDAD",Q8="OBSERVACION_MAL_FORMADA",Q8="LEXEMA_O_FORMA"),"NO_ADMISION",IF(OR(Q8="PERFIL_NO_CONSTITUIDO",Q8="RESULTADO_NO_TERMINAL"),"FUERA_PERFIL",IF(Q8="CONTEXTO_NO_CONSTITUIDO","CONFIGURACION_PENDIENTE","VALIDA"))))</x:f>
        <x:v>VALIDA</x:v>
      </x:c>
      <x:c r="P8" s="12" t="str">
        <x:f>IF(O8&lt;&gt;"VALIDA","",IF(Q8=AA8,"1",IF(Q8=AB8,"0","U")))</x:f>
        <x:v>U</x:v>
      </x:c>
      <x:c r="Q8" s="12" t="str">
        <x:f>IF(E8="FALLO","SIN_EJECUCION_DOMINIO",IF(E8&lt;&gt;"LEGIBLE","CAPTURA_MAL_FORMADA",IF(D8&lt;&gt;"COINCIDE","IDENTIDAD",IF(OR(T8="",C8&lt;&gt;T8),"PERFIL_NO_CONSTITUIDO",IF(K8&lt;&gt;V8,IF(V8="ORDEN_ACREDITADO","ORDEN_NO_ACREDITADO","CONTEXTO_NO_CONSTITUIDO"),IF(AND(G8="AUSENTE",H8="",I8=""),"DATO_AUSENTE",IF(AND(G8="CONFLICTO",H8="",I8=""),"CONFLICTO_OBSERVACIONAL",IF(G8&lt;&gt;"UNICA","OBSERVACION_MAL_FORMADA",IF(F8&lt;&gt;U8,"OBSERVACION_INSUFICIENTE",IF(W8="RESULTADO",IF(H8=X8,AA8,IF(OR(H8="orcSucceededWithErrors",H8="orcFailed",H8="orcAborted"),AB8,IF(OR(H8="orcNotStarted",H8="orcInProgress"),"RESULTADO_NO_TERMINAL","LEXEMA_O_FORMA"))),IF(W8="EVENTO_BOOT",IF(H8=X8,AA8,IF(OR(H8="NINGUNO",H8="SOLO_HIBRIDO"),IF(J8="COMPLETA",AB8,"COBERTURA_INSUFICIENTE"),"LEXEMA_O_FORMA")),IF(W8="REQUISITO_SOFT",IF(H8=X8,AA8,IF(H8=Z8,AB8,"LEXEMA_O_FORMA")),IF(W8="EVENTO_PROC",IF(H8=X8,AA8,IF(H8=Z8,IF(J8="COMPLETA",AB8,"COBERTURA_INSUFICIENTE"),"LEXEMA_O_FORMA")),IF(W8="IMAGEN",IF(AND(AND(ISTEXT(H8),LEN(("x"&amp;H8))=65,EXACT(("x"&amp;H8),LOWER(("x"&amp;H8))),ISERROR(SEARCH(" ",("x"&amp;H8))),ISERROR(SEARCH(CHAR(9),("x"&amp;H8))),ISERROR(SEARCH(CHAR(10),("x"&amp;H8))),ISERROR(SEARCH(CHAR(13),("x"&amp;H8))),IFERROR(HEX2DEC(MID(("x"&amp;H8),2,8))&gt;=0,FALSE),IFERROR(HEX2DEC(MID(("x"&amp;H8),10,8))&gt;=0,FALSE),IFERROR(HEX2DEC(MID(("x"&amp;H8),18,8))&gt;=0,FALSE),IFERROR(HEX2DEC(MID(("x"&amp;H8),26,8))&gt;=0,FALSE),IFERROR(HEX2DEC(MID(("x"&amp;H8),34,8))&gt;=0,FALSE),IFERROR(HEX2DEC(MID(("x"&amp;H8),42,8))&gt;=0,FALSE),IFERROR(HEX2DEC(MID(("x"&amp;H8),50,8))&gt;=0,FALSE),IFERROR(HEX2DEC(MID(("x"&amp;H8),58,8))&gt;=0,FALSE)),AND(ISTEXT(I8),LEN(("x"&amp;I8))=65,EXACT(("x"&amp;I8),LOWER(("x"&amp;I8))),ISERROR(SEARCH(" ",("x"&amp;I8))),ISERROR(SEARCH(CHAR(9),("x"&amp;I8))),ISERROR(SEARCH(CHAR(10),("x"&amp;I8))),ISERROR(SEARCH(CHAR(13),("x"&amp;I8))),IFERROR(HEX2DEC(MID(("x"&amp;I8),2,8))&gt;=0,FALSE),IFERROR(HEX2DEC(MID(("x"&amp;I8),10,8))&gt;=0,FALSE),IFERROR(HEX2DEC(MID(("x"&amp;I8),18,8))&gt;=0,FALSE),IFERROR(HEX2DEC(MID(("x"&amp;I8),26,8))&gt;=0,FALSE),IFERROR(HEX2DEC(MID(("x"&amp;I8),34,8))&gt;=0,FALSE),IFERROR(HEX2DEC(MID(("x"&amp;I8),42,8))&gt;=0,FALSE),IFERROR(HEX2DEC(MID(("x"&amp;I8),50,8))&gt;=0,FALSE),IFERROR(HEX2DEC(MID(("x"&amp;I8),58,8))&gt;=0,FALSE))),IF(EXACT("x"&amp;H8,"x"&amp;I8),AA8,AB8),"LEXEMA_O_FORMA"),IF(W8="PRUEBA",IF(H8=X8,AA8,IF(H8=Z8,AB8,"LEXEMA_O_FORMA")),IF(W8="RETIRADA",IF(AND(H8="NINGUNO",I8=""),IF(J8="COMPLETA",AB8,"COBERTURA_INSUFICIENTE"),IF(AND(OR(H8="uoInstallation",H8="uoUninstallation"),OR(I8="orcSucceeded",I8="orcSucceededWithErrors",I8="orcFailed",I8="orcAborted",I8="orcInProgress",I8="orcNotStarted")),IF(AND(H8=X8,I8=Y8),AA8,IF(AND(H8=X8,OR(I8="orcSucceededWithErrors",I8="orcInProgress",I8="orcNotStarted")),"RESULTADO_RETIRADA_INCIERTO",IF(J8="COMPLETA",AB8,"COBERTURA_INSUFICIENTE"))),"LEXEMA_O_FORMA")),IF(W8="CAMBIO",IF(OR(H8="CAMBIO",H8="CAMBIO_Y_RETORNO"),AA8,IF(OR(H8="NINGUNO",H8="SOLO_RENOMBRE"),IF(J8="COMPLETA",AB8,"COBERTURA_INSUFICIENTE"),"LEXEMA_O_FORMA")),IF(W8="RESTAURACION",IF(H8=X8,AA8,IF(OR(H8="NINGUNO",H8="RESTAURACION_POSTERIOR",H8="RESTAURACION_FALLIDA"),IF(J8="COMPLETA",AB8,"COBERTURA_INSUFICIENTE"),"LEXEMA_O_FORMA")),"PERFIL_NO_CONSTITUIDO"))))))))))))))))))</x:f>
        <x:v>CONFLICTO_OBSERVACIONAL</x:v>
      </x:c>
      <x:c r="R8" s="12" t="str">
        <x:f>IF(AND(L8=O8,M8=P8,N8=Q8),"PASA","NO_PASA")</x:f>
        <x:v>PASA</x:v>
      </x:c>
      <x:c r="S8" s="4" t="str">
        <x:v>Conflicto entre observaciones admitidas del mismo sujeto y corte.</x:v>
      </x:c>
      <x:c r="T8" s="12" t="str">
        <x:f>IFERROR(INDEX('55_Codificacion_ensayo'!$B$5:$B$13,MATCH(B8,'55_Codificacion_ensayo'!$A$5:$A$13,0)),"")</x:f>
        <x:v>WUA-RESULTADO-INDIVIDUAL-0.1</x:v>
      </x:c>
      <x:c r="U8" s="12" t="str">
        <x:f>IFERROR(INDEX('55_Codificacion_ensayo'!$C$5:$C$13,MATCH(B8,'55_Codificacion_ensayo'!$A$5:$A$13,0)),"")</x:f>
        <x:v>RESULTADO_WUA_INDIVIDUAL</x:v>
      </x:c>
      <x:c r="V8" s="12" t="str">
        <x:f>IFERROR(INDEX('55_Codificacion_ensayo'!$D$5:$D$13,MATCH(B8,'55_Codificacion_ensayo'!$A$5:$A$13,0)),"")</x:f>
        <x:v>INSTALAR_INDIVIDUAL</x:v>
      </x:c>
      <x:c r="W8" s="12" t="str">
        <x:f>IFERROR(INDEX('55_Codificacion_ensayo'!$E$5:$E$13,MATCH(B8,'55_Codificacion_ensayo'!$A$5:$A$13,0)),"")</x:f>
        <x:v>RESULTADO</x:v>
      </x:c>
      <x:c r="X8" s="12" t="str">
        <x:f>IFERROR(INDEX('55_Codificacion_ensayo'!$F$5:$F$13,MATCH(B8,'55_Codificacion_ensayo'!$A$5:$A$13,0)),"")</x:f>
        <x:v>orcSucceeded</x:v>
      </x:c>
      <x:c r="Y8" s="12" t="str">
        <x:f>IFERROR(INDEX('55_Codificacion_ensayo'!$G$5:$G$13,MATCH(B8,'55_Codificacion_ensayo'!$A$5:$A$13,0)),"")</x:f>
      </x:c>
      <x:c r="Z8" s="12" t="str">
        <x:f>IFERROR(INDEX('55_Codificacion_ensayo'!$H$5:$H$13,MATCH(B8,'55_Codificacion_ensayo'!$A$5:$A$13,0)),"")</x:f>
        <x:v>orcFailed</x:v>
      </x:c>
      <x:c r="AA8" s="12" t="str">
        <x:f>IFERROR(INDEX('55_Codificacion_ensayo'!$I$5:$I$13,MATCH(B8,'55_Codificacion_ensayo'!$A$5:$A$13,0)),"")</x:f>
        <x:v>EXITO_COMUNICADO</x:v>
      </x:c>
      <x:c r="AB8" s="12" t="str">
        <x:f>IFERROR(INDEX('55_Codificacion_ensayo'!$J$5:$J$13,MATCH(B8,'55_Codificacion_ensayo'!$A$5:$A$13,0)),"")</x:f>
        <x:v>NO_EXITO_PLENO</x:v>
      </x:c>
    </x:row>
    <x:row r="9" ht="47" customHeight="1">
      <x:c r="A9" s="4" t="str">
        <x:v>L10-02-05</x:v>
      </x:c>
      <x:c r="B9" s="4" t="str">
        <x:v>PAR-CYB-INSTALACION-EXITO-COMUNICADO-001</x:v>
      </x:c>
      <x:c r="C9" s="4" t="str">
        <x:v>WUA-RESULTADO-INDIVIDUAL-0.1</x:v>
      </x:c>
      <x:c r="D9" s="4" t="str">
        <x:v>COINCIDE</x:v>
      </x:c>
      <x:c r="E9" s="4" t="str">
        <x:v>FALLO</x:v>
      </x:c>
      <x:c r="F9" s="4" t="str">
        <x:v>RESULTADO_WUA_INDIVIDUAL</x:v>
      </x:c>
      <x:c r="G9" s="4" t="str">
        <x:v>UNICA</x:v>
      </x:c>
      <x:c r="H9" s="4" t="str">
        <x:v>orcSucceeded</x:v>
      </x:c>
      <x:c r="I9" s="4" t="str"/>
      <x:c r="J9" s="4" t="str">
        <x:v>COMPLETA</x:v>
      </x:c>
      <x:c r="K9" s="4" t="str">
        <x:v>INSTALAR_INDIVIDUAL</x:v>
      </x:c>
      <x:c r="L9" s="4" t="str">
        <x:v>FALLO_CAPTURA</x:v>
      </x:c>
      <x:c r="M9" s="4" t="str"/>
      <x:c r="N9" s="4" t="str">
        <x:v>SIN_EJECUCION_DOMINIO</x:v>
      </x:c>
      <x:c r="O9" s="12" t="str">
        <x:f>IF(Q9="SIN_EJECUCION_DOMINIO","FALLO_CAPTURA",IF(OR(Q9="CAPTURA_MAL_FORMADA",Q9="IDENTIDAD",Q9="OBSERVACION_MAL_FORMADA",Q9="LEXEMA_O_FORMA"),"NO_ADMISION",IF(OR(Q9="PERFIL_NO_CONSTITUIDO",Q9="RESULTADO_NO_TERMINAL"),"FUERA_PERFIL",IF(Q9="CONTEXTO_NO_CONSTITUIDO","CONFIGURACION_PENDIENTE","VALIDA"))))</x:f>
        <x:v>FALLO_CAPTURA</x:v>
      </x:c>
      <x:c r="P9" s="12" t="str">
        <x:f>IF(O9&lt;&gt;"VALIDA","",IF(Q9=AA9,"1",IF(Q9=AB9,"0","U")))</x:f>
      </x:c>
      <x:c r="Q9" s="12" t="str">
        <x:f>IF(E9="FALLO","SIN_EJECUCION_DOMINIO",IF(E9&lt;&gt;"LEGIBLE","CAPTURA_MAL_FORMADA",IF(D9&lt;&gt;"COINCIDE","IDENTIDAD",IF(OR(T9="",C9&lt;&gt;T9),"PERFIL_NO_CONSTITUIDO",IF(K9&lt;&gt;V9,IF(V9="ORDEN_ACREDITADO","ORDEN_NO_ACREDITADO","CONTEXTO_NO_CONSTITUIDO"),IF(AND(G9="AUSENTE",H9="",I9=""),"DATO_AUSENTE",IF(AND(G9="CONFLICTO",H9="",I9=""),"CONFLICTO_OBSERVACIONAL",IF(G9&lt;&gt;"UNICA","OBSERVACION_MAL_FORMADA",IF(F9&lt;&gt;U9,"OBSERVACION_INSUFICIENTE",IF(W9="RESULTADO",IF(H9=X9,AA9,IF(OR(H9="orcSucceededWithErrors",H9="orcFailed",H9="orcAborted"),AB9,IF(OR(H9="orcNotStarted",H9="orcInProgress"),"RESULTADO_NO_TERMINAL","LEXEMA_O_FORMA"))),IF(W9="EVENTO_BOOT",IF(H9=X9,AA9,IF(OR(H9="NINGUNO",H9="SOLO_HIBRIDO"),IF(J9="COMPLETA",AB9,"COBERTURA_INSUFICIENTE"),"LEXEMA_O_FORMA")),IF(W9="REQUISITO_SOFT",IF(H9=X9,AA9,IF(H9=Z9,AB9,"LEXEMA_O_FORMA")),IF(W9="EVENTO_PROC",IF(H9=X9,AA9,IF(H9=Z9,IF(J9="COMPLETA",AB9,"COBERTURA_INSUFICIENTE"),"LEXEMA_O_FORMA")),IF(W9="IMAGEN",IF(AND(AND(ISTEXT(H9),LEN(("x"&amp;H9))=65,EXACT(("x"&amp;H9),LOWER(("x"&amp;H9))),ISERROR(SEARCH(" ",("x"&amp;H9))),ISERROR(SEARCH(CHAR(9),("x"&amp;H9))),ISERROR(SEARCH(CHAR(10),("x"&amp;H9))),ISERROR(SEARCH(CHAR(13),("x"&amp;H9))),IFERROR(HEX2DEC(MID(("x"&amp;H9),2,8))&gt;=0,FALSE),IFERROR(HEX2DEC(MID(("x"&amp;H9),10,8))&gt;=0,FALSE),IFERROR(HEX2DEC(MID(("x"&amp;H9),18,8))&gt;=0,FALSE),IFERROR(HEX2DEC(MID(("x"&amp;H9),26,8))&gt;=0,FALSE),IFERROR(HEX2DEC(MID(("x"&amp;H9),34,8))&gt;=0,FALSE),IFERROR(HEX2DEC(MID(("x"&amp;H9),42,8))&gt;=0,FALSE),IFERROR(HEX2DEC(MID(("x"&amp;H9),50,8))&gt;=0,FALSE),IFERROR(HEX2DEC(MID(("x"&amp;H9),58,8))&gt;=0,FALSE)),AND(ISTEXT(I9),LEN(("x"&amp;I9))=65,EXACT(("x"&amp;I9),LOWER(("x"&amp;I9))),ISERROR(SEARCH(" ",("x"&amp;I9))),ISERROR(SEARCH(CHAR(9),("x"&amp;I9))),ISERROR(SEARCH(CHAR(10),("x"&amp;I9))),ISERROR(SEARCH(CHAR(13),("x"&amp;I9))),IFERROR(HEX2DEC(MID(("x"&amp;I9),2,8))&gt;=0,FALSE),IFERROR(HEX2DEC(MID(("x"&amp;I9),10,8))&gt;=0,FALSE),IFERROR(HEX2DEC(MID(("x"&amp;I9),18,8))&gt;=0,FALSE),IFERROR(HEX2DEC(MID(("x"&amp;I9),26,8))&gt;=0,FALSE),IFERROR(HEX2DEC(MID(("x"&amp;I9),34,8))&gt;=0,FALSE),IFERROR(HEX2DEC(MID(("x"&amp;I9),42,8))&gt;=0,FALSE),IFERROR(HEX2DEC(MID(("x"&amp;I9),50,8))&gt;=0,FALSE),IFERROR(HEX2DEC(MID(("x"&amp;I9),58,8))&gt;=0,FALSE))),IF(EXACT("x"&amp;H9,"x"&amp;I9),AA9,AB9),"LEXEMA_O_FORMA"),IF(W9="PRUEBA",IF(H9=X9,AA9,IF(H9=Z9,AB9,"LEXEMA_O_FORMA")),IF(W9="RETIRADA",IF(AND(H9="NINGUNO",I9=""),IF(J9="COMPLETA",AB9,"COBERTURA_INSUFICIENTE"),IF(AND(OR(H9="uoInstallation",H9="uoUninstallation"),OR(I9="orcSucceeded",I9="orcSucceededWithErrors",I9="orcFailed",I9="orcAborted",I9="orcInProgress",I9="orcNotStarted")),IF(AND(H9=X9,I9=Y9),AA9,IF(AND(H9=X9,OR(I9="orcSucceededWithErrors",I9="orcInProgress",I9="orcNotStarted")),"RESULTADO_RETIRADA_INCIERTO",IF(J9="COMPLETA",AB9,"COBERTURA_INSUFICIENTE"))),"LEXEMA_O_FORMA")),IF(W9="CAMBIO",IF(OR(H9="CAMBIO",H9="CAMBIO_Y_RETORNO"),AA9,IF(OR(H9="NINGUNO",H9="SOLO_RENOMBRE"),IF(J9="COMPLETA",AB9,"COBERTURA_INSUFICIENTE"),"LEXEMA_O_FORMA")),IF(W9="RESTAURACION",IF(H9=X9,AA9,IF(OR(H9="NINGUNO",H9="RESTAURACION_POSTERIOR",H9="RESTAURACION_FALLIDA"),IF(J9="COMPLETA",AB9,"COBERTURA_INSUFICIENTE"),"LEXEMA_O_FORMA")),"PERFIL_NO_CONSTITUIDO"))))))))))))))))))</x:f>
        <x:v>SIN_EJECUCION_DOMINIO</x:v>
      </x:c>
      <x:c r="R9" s="12" t="str">
        <x:f>IF(AND(L9=O9,M9=P9,N9=Q9),"PASA","NO_PASA")</x:f>
        <x:v>PASA</x:v>
      </x:c>
      <x:c r="S9" s="4" t="str">
        <x:v>El observador falla; no existe ejecución de dominio ni Tri alternativo.</x:v>
      </x:c>
      <x:c r="T9" s="12" t="str">
        <x:f>IFERROR(INDEX('55_Codificacion_ensayo'!$B$5:$B$13,MATCH(B9,'55_Codificacion_ensayo'!$A$5:$A$13,0)),"")</x:f>
        <x:v>WUA-RESULTADO-INDIVIDUAL-0.1</x:v>
      </x:c>
      <x:c r="U9" s="12" t="str">
        <x:f>IFERROR(INDEX('55_Codificacion_ensayo'!$C$5:$C$13,MATCH(B9,'55_Codificacion_ensayo'!$A$5:$A$13,0)),"")</x:f>
        <x:v>RESULTADO_WUA_INDIVIDUAL</x:v>
      </x:c>
      <x:c r="V9" s="12" t="str">
        <x:f>IFERROR(INDEX('55_Codificacion_ensayo'!$D$5:$D$13,MATCH(B9,'55_Codificacion_ensayo'!$A$5:$A$13,0)),"")</x:f>
        <x:v>INSTALAR_INDIVIDUAL</x:v>
      </x:c>
      <x:c r="W9" s="12" t="str">
        <x:f>IFERROR(INDEX('55_Codificacion_ensayo'!$E$5:$E$13,MATCH(B9,'55_Codificacion_ensayo'!$A$5:$A$13,0)),"")</x:f>
        <x:v>RESULTADO</x:v>
      </x:c>
      <x:c r="X9" s="12" t="str">
        <x:f>IFERROR(INDEX('55_Codificacion_ensayo'!$F$5:$F$13,MATCH(B9,'55_Codificacion_ensayo'!$A$5:$A$13,0)),"")</x:f>
        <x:v>orcSucceeded</x:v>
      </x:c>
      <x:c r="Y9" s="12" t="str">
        <x:f>IFERROR(INDEX('55_Codificacion_ensayo'!$G$5:$G$13,MATCH(B9,'55_Codificacion_ensayo'!$A$5:$A$13,0)),"")</x:f>
      </x:c>
      <x:c r="Z9" s="12" t="str">
        <x:f>IFERROR(INDEX('55_Codificacion_ensayo'!$H$5:$H$13,MATCH(B9,'55_Codificacion_ensayo'!$A$5:$A$13,0)),"")</x:f>
        <x:v>orcFailed</x:v>
      </x:c>
      <x:c r="AA9" s="12" t="str">
        <x:f>IFERROR(INDEX('55_Codificacion_ensayo'!$I$5:$I$13,MATCH(B9,'55_Codificacion_ensayo'!$A$5:$A$13,0)),"")</x:f>
        <x:v>EXITO_COMUNICADO</x:v>
      </x:c>
      <x:c r="AB9" s="12" t="str">
        <x:f>IFERROR(INDEX('55_Codificacion_ensayo'!$J$5:$J$13,MATCH(B9,'55_Codificacion_ensayo'!$A$5:$A$13,0)),"")</x:f>
        <x:v>NO_EXITO_PLENO</x:v>
      </x:c>
    </x:row>
    <x:row r="10" ht="47" customHeight="1">
      <x:c r="A10" s="4" t="str">
        <x:v>L10-02-06</x:v>
      </x:c>
      <x:c r="B10" s="4" t="str">
        <x:v>PAR-CYB-INSTALACION-EXITO-COMUNICADO-001</x:v>
      </x:c>
      <x:c r="C10" s="4" t="str">
        <x:v>WUA-RESULTADO-INDIVIDUAL-0.1</x:v>
      </x:c>
      <x:c r="D10" s="4" t="str">
        <x:v>OTRO</x:v>
      </x:c>
      <x:c r="E10" s="4" t="str">
        <x:v>LEGIBLE</x:v>
      </x:c>
      <x:c r="F10" s="4" t="str">
        <x:v>RESULTADO_WUA_INDIVIDUAL</x:v>
      </x:c>
      <x:c r="G10" s="4" t="str">
        <x:v>UNICA</x:v>
      </x:c>
      <x:c r="H10" s="4" t="str">
        <x:v>orcSucceeded</x:v>
      </x:c>
      <x:c r="I10" s="4" t="str"/>
      <x:c r="J10" s="4" t="str">
        <x:v>COMPLETA</x:v>
      </x:c>
      <x:c r="K10" s="4" t="str">
        <x:v>INSTALAR_INDIVIDUAL</x:v>
      </x:c>
      <x:c r="L10" s="4" t="str">
        <x:v>NO_ADMISION</x:v>
      </x:c>
      <x:c r="M10" s="4" t="str"/>
      <x:c r="N10" s="4" t="str">
        <x:v>IDENTIDAD</x:v>
      </x:c>
      <x:c r="O10" s="12" t="str">
        <x:f>IF(Q10="SIN_EJECUCION_DOMINIO","FALLO_CAPTURA",IF(OR(Q10="CAPTURA_MAL_FORMADA",Q10="IDENTIDAD",Q10="OBSERVACION_MAL_FORMADA",Q10="LEXEMA_O_FORMA"),"NO_ADMISION",IF(OR(Q10="PERFIL_NO_CONSTITUIDO",Q10="RESULTADO_NO_TERMINAL"),"FUERA_PERFIL",IF(Q10="CONTEXTO_NO_CONSTITUIDO","CONFIGURACION_PENDIENTE","VALIDA"))))</x:f>
        <x:v>NO_ADMISION</x:v>
      </x:c>
      <x:c r="P10" s="12" t="str">
        <x:f>IF(O10&lt;&gt;"VALIDA","",IF(Q10=AA10,"1",IF(Q10=AB10,"0","U")))</x:f>
      </x:c>
      <x:c r="Q10" s="12" t="str">
        <x:f>IF(E10="FALLO","SIN_EJECUCION_DOMINIO",IF(E10&lt;&gt;"LEGIBLE","CAPTURA_MAL_FORMADA",IF(D10&lt;&gt;"COINCIDE","IDENTIDAD",IF(OR(T10="",C10&lt;&gt;T10),"PERFIL_NO_CONSTITUIDO",IF(K10&lt;&gt;V10,IF(V10="ORDEN_ACREDITADO","ORDEN_NO_ACREDITADO","CONTEXTO_NO_CONSTITUIDO"),IF(AND(G10="AUSENTE",H10="",I10=""),"DATO_AUSENTE",IF(AND(G10="CONFLICTO",H10="",I10=""),"CONFLICTO_OBSERVACIONAL",IF(G10&lt;&gt;"UNICA","OBSERVACION_MAL_FORMADA",IF(F10&lt;&gt;U10,"OBSERVACION_INSUFICIENTE",IF(W10="RESULTADO",IF(H10=X10,AA10,IF(OR(H10="orcSucceededWithErrors",H10="orcFailed",H10="orcAborted"),AB10,IF(OR(H10="orcNotStarted",H10="orcInProgress"),"RESULTADO_NO_TERMINAL","LEXEMA_O_FORMA"))),IF(W10="EVENTO_BOOT",IF(H10=X10,AA10,IF(OR(H10="NINGUNO",H10="SOLO_HIBRIDO"),IF(J10="COMPLETA",AB10,"COBERTURA_INSUFICIENTE"),"LEXEMA_O_FORMA")),IF(W10="REQUISITO_SOFT",IF(H10=X10,AA10,IF(H10=Z10,AB10,"LEXEMA_O_FORMA")),IF(W10="EVENTO_PROC",IF(H10=X10,AA10,IF(H10=Z10,IF(J10="COMPLETA",AB10,"COBERTURA_INSUFICIENTE"),"LEXEMA_O_FORMA")),IF(W10="IMAGEN",IF(AND(AND(ISTEXT(H10),LEN(("x"&amp;H10))=65,EXACT(("x"&amp;H10),LOWER(("x"&amp;H10))),ISERROR(SEARCH(" ",("x"&amp;H10))),ISERROR(SEARCH(CHAR(9),("x"&amp;H10))),ISERROR(SEARCH(CHAR(10),("x"&amp;H10))),ISERROR(SEARCH(CHAR(13),("x"&amp;H10))),IFERROR(HEX2DEC(MID(("x"&amp;H10),2,8))&gt;=0,FALSE),IFERROR(HEX2DEC(MID(("x"&amp;H10),10,8))&gt;=0,FALSE),IFERROR(HEX2DEC(MID(("x"&amp;H10),18,8))&gt;=0,FALSE),IFERROR(HEX2DEC(MID(("x"&amp;H10),26,8))&gt;=0,FALSE),IFERROR(HEX2DEC(MID(("x"&amp;H10),34,8))&gt;=0,FALSE),IFERROR(HEX2DEC(MID(("x"&amp;H10),42,8))&gt;=0,FALSE),IFERROR(HEX2DEC(MID(("x"&amp;H10),50,8))&gt;=0,FALSE),IFERROR(HEX2DEC(MID(("x"&amp;H10),58,8))&gt;=0,FALSE)),AND(ISTEXT(I10),LEN(("x"&amp;I10))=65,EXACT(("x"&amp;I10),LOWER(("x"&amp;I10))),ISERROR(SEARCH(" ",("x"&amp;I10))),ISERROR(SEARCH(CHAR(9),("x"&amp;I10))),ISERROR(SEARCH(CHAR(10),("x"&amp;I10))),ISERROR(SEARCH(CHAR(13),("x"&amp;I10))),IFERROR(HEX2DEC(MID(("x"&amp;I10),2,8))&gt;=0,FALSE),IFERROR(HEX2DEC(MID(("x"&amp;I10),10,8))&gt;=0,FALSE),IFERROR(HEX2DEC(MID(("x"&amp;I10),18,8))&gt;=0,FALSE),IFERROR(HEX2DEC(MID(("x"&amp;I10),26,8))&gt;=0,FALSE),IFERROR(HEX2DEC(MID(("x"&amp;I10),34,8))&gt;=0,FALSE),IFERROR(HEX2DEC(MID(("x"&amp;I10),42,8))&gt;=0,FALSE),IFERROR(HEX2DEC(MID(("x"&amp;I10),50,8))&gt;=0,FALSE),IFERROR(HEX2DEC(MID(("x"&amp;I10),58,8))&gt;=0,FALSE))),IF(EXACT("x"&amp;H10,"x"&amp;I10),AA10,AB10),"LEXEMA_O_FORMA"),IF(W10="PRUEBA",IF(H10=X10,AA10,IF(H10=Z10,AB10,"LEXEMA_O_FORMA")),IF(W10="RETIRADA",IF(AND(H10="NINGUNO",I10=""),IF(J10="COMPLETA",AB10,"COBERTURA_INSUFICIENTE"),IF(AND(OR(H10="uoInstallation",H10="uoUninstallation"),OR(I10="orcSucceeded",I10="orcSucceededWithErrors",I10="orcFailed",I10="orcAborted",I10="orcInProgress",I10="orcNotStarted")),IF(AND(H10=X10,I10=Y10),AA10,IF(AND(H10=X10,OR(I10="orcSucceededWithErrors",I10="orcInProgress",I10="orcNotStarted")),"RESULTADO_RETIRADA_INCIERTO",IF(J10="COMPLETA",AB10,"COBERTURA_INSUFICIENTE"))),"LEXEMA_O_FORMA")),IF(W10="CAMBIO",IF(OR(H10="CAMBIO",H10="CAMBIO_Y_RETORNO"),AA10,IF(OR(H10="NINGUNO",H10="SOLO_RENOMBRE"),IF(J10="COMPLETA",AB10,"COBERTURA_INSUFICIENTE"),"LEXEMA_O_FORMA")),IF(W10="RESTAURACION",IF(H10=X10,AA10,IF(OR(H10="NINGUNO",H10="RESTAURACION_POSTERIOR",H10="RESTAURACION_FALLIDA"),IF(J10="COMPLETA",AB10,"COBERTURA_INSUFICIENTE"),"LEXEMA_O_FORMA")),"PERFIL_NO_CONSTITUIDO"))))))))))))))))))</x:f>
        <x:v>IDENTIDAD</x:v>
      </x:c>
      <x:c r="R10" s="12" t="str">
        <x:f>IF(AND(L10=O10,M10=P10,N10=Q10),"PASA","NO_PASA")</x:f>
        <x:v>PASA</x:v>
      </x:c>
      <x:c r="S10" s="4" t="str">
        <x:v>El testigo pertenece a otro sujeto; no se recicla su dato.</x:v>
      </x:c>
      <x:c r="T10" s="12" t="str">
        <x:f>IFERROR(INDEX('55_Codificacion_ensayo'!$B$5:$B$13,MATCH(B10,'55_Codificacion_ensayo'!$A$5:$A$13,0)),"")</x:f>
        <x:v>WUA-RESULTADO-INDIVIDUAL-0.1</x:v>
      </x:c>
      <x:c r="U10" s="12" t="str">
        <x:f>IFERROR(INDEX('55_Codificacion_ensayo'!$C$5:$C$13,MATCH(B10,'55_Codificacion_ensayo'!$A$5:$A$13,0)),"")</x:f>
        <x:v>RESULTADO_WUA_INDIVIDUAL</x:v>
      </x:c>
      <x:c r="V10" s="12" t="str">
        <x:f>IFERROR(INDEX('55_Codificacion_ensayo'!$D$5:$D$13,MATCH(B10,'55_Codificacion_ensayo'!$A$5:$A$13,0)),"")</x:f>
        <x:v>INSTALAR_INDIVIDUAL</x:v>
      </x:c>
      <x:c r="W10" s="12" t="str">
        <x:f>IFERROR(INDEX('55_Codificacion_ensayo'!$E$5:$E$13,MATCH(B10,'55_Codificacion_ensayo'!$A$5:$A$13,0)),"")</x:f>
        <x:v>RESULTADO</x:v>
      </x:c>
      <x:c r="X10" s="12" t="str">
        <x:f>IFERROR(INDEX('55_Codificacion_ensayo'!$F$5:$F$13,MATCH(B10,'55_Codificacion_ensayo'!$A$5:$A$13,0)),"")</x:f>
        <x:v>orcSucceeded</x:v>
      </x:c>
      <x:c r="Y10" s="12" t="str">
        <x:f>IFERROR(INDEX('55_Codificacion_ensayo'!$G$5:$G$13,MATCH(B10,'55_Codificacion_ensayo'!$A$5:$A$13,0)),"")</x:f>
      </x:c>
      <x:c r="Z10" s="12" t="str">
        <x:f>IFERROR(INDEX('55_Codificacion_ensayo'!$H$5:$H$13,MATCH(B10,'55_Codificacion_ensayo'!$A$5:$A$13,0)),"")</x:f>
        <x:v>orcFailed</x:v>
      </x:c>
      <x:c r="AA10" s="12" t="str">
        <x:f>IFERROR(INDEX('55_Codificacion_ensayo'!$I$5:$I$13,MATCH(B10,'55_Codificacion_ensayo'!$A$5:$A$13,0)),"")</x:f>
        <x:v>EXITO_COMUNICADO</x:v>
      </x:c>
      <x:c r="AB10" s="12" t="str">
        <x:f>IFERROR(INDEX('55_Codificacion_ensayo'!$J$5:$J$13,MATCH(B10,'55_Codificacion_ensayo'!$A$5:$A$13,0)),"")</x:f>
        <x:v>NO_EXITO_PLENO</x:v>
      </x:c>
    </x:row>
    <x:row r="11" ht="47" customHeight="1">
      <x:c r="A11" s="4" t="str">
        <x:v>L10-02-07</x:v>
      </x:c>
      <x:c r="B11" s="4" t="str">
        <x:v>PAR-CYB-INSTALACION-EXITO-COMUNICADO-001</x:v>
      </x:c>
      <x:c r="C11" s="4" t="str">
        <x:v>WUA-RESULTADO-INDIVIDUAL-0.1</x:v>
      </x:c>
      <x:c r="D11" s="4" t="str">
        <x:v>COINCIDE</x:v>
      </x:c>
      <x:c r="E11" s="4" t="str">
        <x:v>LEGIBLE</x:v>
      </x:c>
      <x:c r="F11" s="4" t="str">
        <x:v>FUENTE_GENERAL</x:v>
      </x:c>
      <x:c r="G11" s="4" t="str">
        <x:v>UNICA</x:v>
      </x:c>
      <x:c r="H11" s="4" t="str">
        <x:v>orcSucceeded</x:v>
      </x:c>
      <x:c r="I11" s="4" t="str"/>
      <x:c r="J11" s="4" t="str">
        <x:v>COMPLETA</x:v>
      </x:c>
      <x:c r="K11" s="4" t="str">
        <x:v>INSTALAR_INDIVIDUAL</x:v>
      </x:c>
      <x:c r="L11" s="4" t="str">
        <x:v>VALIDA</x:v>
      </x:c>
      <x:c r="M11" s="4" t="str">
        <x:v>U</x:v>
      </x:c>
      <x:c r="N11" s="4" t="str">
        <x:v>OBSERVACION_INSUFICIENTE</x:v>
      </x:c>
      <x:c r="O11" s="12" t="str">
        <x:f>IF(Q11="SIN_EJECUCION_DOMINIO","FALLO_CAPTURA",IF(OR(Q11="CAPTURA_MAL_FORMADA",Q11="IDENTIDAD",Q11="OBSERVACION_MAL_FORMADA",Q11="LEXEMA_O_FORMA"),"NO_ADMISION",IF(OR(Q11="PERFIL_NO_CONSTITUIDO",Q11="RESULTADO_NO_TERMINAL"),"FUERA_PERFIL",IF(Q11="CONTEXTO_NO_CONSTITUIDO","CONFIGURACION_PENDIENTE","VALIDA"))))</x:f>
        <x:v>VALIDA</x:v>
      </x:c>
      <x:c r="P11" s="12" t="str">
        <x:f>IF(O11&lt;&gt;"VALIDA","",IF(Q11=AA11,"1",IF(Q11=AB11,"0","U")))</x:f>
        <x:v>U</x:v>
      </x:c>
      <x:c r="Q11" s="12" t="str">
        <x:f>IF(E11="FALLO","SIN_EJECUCION_DOMINIO",IF(E11&lt;&gt;"LEGIBLE","CAPTURA_MAL_FORMADA",IF(D11&lt;&gt;"COINCIDE","IDENTIDAD",IF(OR(T11="",C11&lt;&gt;T11),"PERFIL_NO_CONSTITUIDO",IF(K11&lt;&gt;V11,IF(V11="ORDEN_ACREDITADO","ORDEN_NO_ACREDITADO","CONTEXTO_NO_CONSTITUIDO"),IF(AND(G11="AUSENTE",H11="",I11=""),"DATO_AUSENTE",IF(AND(G11="CONFLICTO",H11="",I11=""),"CONFLICTO_OBSERVACIONAL",IF(G11&lt;&gt;"UNICA","OBSERVACION_MAL_FORMADA",IF(F11&lt;&gt;U11,"OBSERVACION_INSUFICIENTE",IF(W11="RESULTADO",IF(H11=X11,AA11,IF(OR(H11="orcSucceededWithErrors",H11="orcFailed",H11="orcAborted"),AB11,IF(OR(H11="orcNotStarted",H11="orcInProgress"),"RESULTADO_NO_TERMINAL","LEXEMA_O_FORMA"))),IF(W11="EVENTO_BOOT",IF(H11=X11,AA11,IF(OR(H11="NINGUNO",H11="SOLO_HIBRIDO"),IF(J11="COMPLETA",AB11,"COBERTURA_INSUFICIENTE"),"LEXEMA_O_FORMA")),IF(W11="REQUISITO_SOFT",IF(H11=X11,AA11,IF(H11=Z11,AB11,"LEXEMA_O_FORMA")),IF(W11="EVENTO_PROC",IF(H11=X11,AA11,IF(H11=Z11,IF(J11="COMPLETA",AB11,"COBERTURA_INSUFICIENTE"),"LEXEMA_O_FORMA")),IF(W11="IMAGEN",IF(AND(AND(ISTEXT(H11),LEN(("x"&amp;H11))=65,EXACT(("x"&amp;H11),LOWER(("x"&amp;H11))),ISERROR(SEARCH(" ",("x"&amp;H11))),ISERROR(SEARCH(CHAR(9),("x"&amp;H11))),ISERROR(SEARCH(CHAR(10),("x"&amp;H11))),ISERROR(SEARCH(CHAR(13),("x"&amp;H11))),IFERROR(HEX2DEC(MID(("x"&amp;H11),2,8))&gt;=0,FALSE),IFERROR(HEX2DEC(MID(("x"&amp;H11),10,8))&gt;=0,FALSE),IFERROR(HEX2DEC(MID(("x"&amp;H11),18,8))&gt;=0,FALSE),IFERROR(HEX2DEC(MID(("x"&amp;H11),26,8))&gt;=0,FALSE),IFERROR(HEX2DEC(MID(("x"&amp;H11),34,8))&gt;=0,FALSE),IFERROR(HEX2DEC(MID(("x"&amp;H11),42,8))&gt;=0,FALSE),IFERROR(HEX2DEC(MID(("x"&amp;H11),50,8))&gt;=0,FALSE),IFERROR(HEX2DEC(MID(("x"&amp;H11),58,8))&gt;=0,FALSE)),AND(ISTEXT(I11),LEN(("x"&amp;I11))=65,EXACT(("x"&amp;I11),LOWER(("x"&amp;I11))),ISERROR(SEARCH(" ",("x"&amp;I11))),ISERROR(SEARCH(CHAR(9),("x"&amp;I11))),ISERROR(SEARCH(CHAR(10),("x"&amp;I11))),ISERROR(SEARCH(CHAR(13),("x"&amp;I11))),IFERROR(HEX2DEC(MID(("x"&amp;I11),2,8))&gt;=0,FALSE),IFERROR(HEX2DEC(MID(("x"&amp;I11),10,8))&gt;=0,FALSE),IFERROR(HEX2DEC(MID(("x"&amp;I11),18,8))&gt;=0,FALSE),IFERROR(HEX2DEC(MID(("x"&amp;I11),26,8))&gt;=0,FALSE),IFERROR(HEX2DEC(MID(("x"&amp;I11),34,8))&gt;=0,FALSE),IFERROR(HEX2DEC(MID(("x"&amp;I11),42,8))&gt;=0,FALSE),IFERROR(HEX2DEC(MID(("x"&amp;I11),50,8))&gt;=0,FALSE),IFERROR(HEX2DEC(MID(("x"&amp;I11),58,8))&gt;=0,FALSE))),IF(EXACT("x"&amp;H11,"x"&amp;I11),AA11,AB11),"LEXEMA_O_FORMA"),IF(W11="PRUEBA",IF(H11=X11,AA11,IF(H11=Z11,AB11,"LEXEMA_O_FORMA")),IF(W11="RETIRADA",IF(AND(H11="NINGUNO",I11=""),IF(J11="COMPLETA",AB11,"COBERTURA_INSUFICIENTE"),IF(AND(OR(H11="uoInstallation",H11="uoUninstallation"),OR(I11="orcSucceeded",I11="orcSucceededWithErrors",I11="orcFailed",I11="orcAborted",I11="orcInProgress",I11="orcNotStarted")),IF(AND(H11=X11,I11=Y11),AA11,IF(AND(H11=X11,OR(I11="orcSucceededWithErrors",I11="orcInProgress",I11="orcNotStarted")),"RESULTADO_RETIRADA_INCIERTO",IF(J11="COMPLETA",AB11,"COBERTURA_INSUFICIENTE"))),"LEXEMA_O_FORMA")),IF(W11="CAMBIO",IF(OR(H11="CAMBIO",H11="CAMBIO_Y_RETORNO"),AA11,IF(OR(H11="NINGUNO",H11="SOLO_RENOMBRE"),IF(J11="COMPLETA",AB11,"COBERTURA_INSUFICIENTE"),"LEXEMA_O_FORMA")),IF(W11="RESTAURACION",IF(H11=X11,AA11,IF(OR(H11="NINGUNO",H11="RESTAURACION_POSTERIOR",H11="RESTAURACION_FALLIDA"),IF(J11="COMPLETA",AB11,"COBERTURA_INSUFICIENTE"),"LEXEMA_O_FORMA")),"PERFIL_NO_CONSTITUIDO"))))))))))))))))))</x:f>
        <x:v>OBSERVACION_INSUFICIENTE</x:v>
      </x:c>
      <x:c r="R11" s="12" t="str">
        <x:f>IF(AND(L11=O11,M11=P11,N11=Q11),"PASA","NO_PASA")</x:f>
        <x:v>PASA</x:v>
      </x:c>
      <x:c r="S11" s="4" t="str">
        <x:v>Una fuente del dominio no sustituye la observación específica del episodio.</x:v>
      </x:c>
      <x:c r="T11" s="12" t="str">
        <x:f>IFERROR(INDEX('55_Codificacion_ensayo'!$B$5:$B$13,MATCH(B11,'55_Codificacion_ensayo'!$A$5:$A$13,0)),"")</x:f>
        <x:v>WUA-RESULTADO-INDIVIDUAL-0.1</x:v>
      </x:c>
      <x:c r="U11" s="12" t="str">
        <x:f>IFERROR(INDEX('55_Codificacion_ensayo'!$C$5:$C$13,MATCH(B11,'55_Codificacion_ensayo'!$A$5:$A$13,0)),"")</x:f>
        <x:v>RESULTADO_WUA_INDIVIDUAL</x:v>
      </x:c>
      <x:c r="V11" s="12" t="str">
        <x:f>IFERROR(INDEX('55_Codificacion_ensayo'!$D$5:$D$13,MATCH(B11,'55_Codificacion_ensayo'!$A$5:$A$13,0)),"")</x:f>
        <x:v>INSTALAR_INDIVIDUAL</x:v>
      </x:c>
      <x:c r="W11" s="12" t="str">
        <x:f>IFERROR(INDEX('55_Codificacion_ensayo'!$E$5:$E$13,MATCH(B11,'55_Codificacion_ensayo'!$A$5:$A$13,0)),"")</x:f>
        <x:v>RESULTADO</x:v>
      </x:c>
      <x:c r="X11" s="12" t="str">
        <x:f>IFERROR(INDEX('55_Codificacion_ensayo'!$F$5:$F$13,MATCH(B11,'55_Codificacion_ensayo'!$A$5:$A$13,0)),"")</x:f>
        <x:v>orcSucceeded</x:v>
      </x:c>
      <x:c r="Y11" s="12" t="str">
        <x:f>IFERROR(INDEX('55_Codificacion_ensayo'!$G$5:$G$13,MATCH(B11,'55_Codificacion_ensayo'!$A$5:$A$13,0)),"")</x:f>
      </x:c>
      <x:c r="Z11" s="12" t="str">
        <x:f>IFERROR(INDEX('55_Codificacion_ensayo'!$H$5:$H$13,MATCH(B11,'55_Codificacion_ensayo'!$A$5:$A$13,0)),"")</x:f>
        <x:v>orcFailed</x:v>
      </x:c>
      <x:c r="AA11" s="12" t="str">
        <x:f>IFERROR(INDEX('55_Codificacion_ensayo'!$I$5:$I$13,MATCH(B11,'55_Codificacion_ensayo'!$A$5:$A$13,0)),"")</x:f>
        <x:v>EXITO_COMUNICADO</x:v>
      </x:c>
      <x:c r="AB11" s="12" t="str">
        <x:f>IFERROR(INDEX('55_Codificacion_ensayo'!$J$5:$J$13,MATCH(B11,'55_Codificacion_ensayo'!$A$5:$A$13,0)),"")</x:f>
        <x:v>NO_EXITO_PLENO</x:v>
      </x:c>
    </x:row>
    <x:row r="12" ht="47" customHeight="1">
      <x:c r="A12" s="4" t="str">
        <x:v>L10-02-08</x:v>
      </x:c>
      <x:c r="B12" s="4" t="str">
        <x:v>PAR-CYB-INSTALACION-EXITO-COMUNICADO-001</x:v>
      </x:c>
      <x:c r="C12" s="4" t="str">
        <x:v>OTRO_PERFIL</x:v>
      </x:c>
      <x:c r="D12" s="4" t="str">
        <x:v>COINCIDE</x:v>
      </x:c>
      <x:c r="E12" s="4" t="str">
        <x:v>LEGIBLE</x:v>
      </x:c>
      <x:c r="F12" s="4" t="str">
        <x:v>RESULTADO_WUA_INDIVIDUAL</x:v>
      </x:c>
      <x:c r="G12" s="4" t="str">
        <x:v>UNICA</x:v>
      </x:c>
      <x:c r="H12" s="4" t="str">
        <x:v>orcSucceeded</x:v>
      </x:c>
      <x:c r="I12" s="4" t="str"/>
      <x:c r="J12" s="4" t="str">
        <x:v>COMPLETA</x:v>
      </x:c>
      <x:c r="K12" s="4" t="str">
        <x:v>INSTALAR_INDIVIDUAL</x:v>
      </x:c>
      <x:c r="L12" s="4" t="str">
        <x:v>FUERA_PERFIL</x:v>
      </x:c>
      <x:c r="M12" s="4" t="str"/>
      <x:c r="N12" s="4" t="str">
        <x:v>PERFIL_NO_CONSTITUIDO</x:v>
      </x:c>
      <x:c r="O12" s="12" t="str">
        <x:f>IF(Q12="SIN_EJECUCION_DOMINIO","FALLO_CAPTURA",IF(OR(Q12="CAPTURA_MAL_FORMADA",Q12="IDENTIDAD",Q12="OBSERVACION_MAL_FORMADA",Q12="LEXEMA_O_FORMA"),"NO_ADMISION",IF(OR(Q12="PERFIL_NO_CONSTITUIDO",Q12="RESULTADO_NO_TERMINAL"),"FUERA_PERFIL",IF(Q12="CONTEXTO_NO_CONSTITUIDO","CONFIGURACION_PENDIENTE","VALIDA"))))</x:f>
        <x:v>FUERA_PERFIL</x:v>
      </x:c>
      <x:c r="P12" s="12" t="str">
        <x:f>IF(O12&lt;&gt;"VALIDA","",IF(Q12=AA12,"1",IF(Q12=AB12,"0","U")))</x:f>
      </x:c>
      <x:c r="Q12" s="12" t="str">
        <x:f>IF(E12="FALLO","SIN_EJECUCION_DOMINIO",IF(E12&lt;&gt;"LEGIBLE","CAPTURA_MAL_FORMADA",IF(D12&lt;&gt;"COINCIDE","IDENTIDAD",IF(OR(T12="",C12&lt;&gt;T12),"PERFIL_NO_CONSTITUIDO",IF(K12&lt;&gt;V12,IF(V12="ORDEN_ACREDITADO","ORDEN_NO_ACREDITADO","CONTEXTO_NO_CONSTITUIDO"),IF(AND(G12="AUSENTE",H12="",I12=""),"DATO_AUSENTE",IF(AND(G12="CONFLICTO",H12="",I12=""),"CONFLICTO_OBSERVACIONAL",IF(G12&lt;&gt;"UNICA","OBSERVACION_MAL_FORMADA",IF(F12&lt;&gt;U12,"OBSERVACION_INSUFICIENTE",IF(W12="RESULTADO",IF(H12=X12,AA12,IF(OR(H12="orcSucceededWithErrors",H12="orcFailed",H12="orcAborted"),AB12,IF(OR(H12="orcNotStarted",H12="orcInProgress"),"RESULTADO_NO_TERMINAL","LEXEMA_O_FORMA"))),IF(W12="EVENTO_BOOT",IF(H12=X12,AA12,IF(OR(H12="NINGUNO",H12="SOLO_HIBRIDO"),IF(J12="COMPLETA",AB12,"COBERTURA_INSUFICIENTE"),"LEXEMA_O_FORMA")),IF(W12="REQUISITO_SOFT",IF(H12=X12,AA12,IF(H12=Z12,AB12,"LEXEMA_O_FORMA")),IF(W12="EVENTO_PROC",IF(H12=X12,AA12,IF(H12=Z12,IF(J12="COMPLETA",AB12,"COBERTURA_INSUFICIENTE"),"LEXEMA_O_FORMA")),IF(W12="IMAGEN",IF(AND(AND(ISTEXT(H12),LEN(("x"&amp;H12))=65,EXACT(("x"&amp;H12),LOWER(("x"&amp;H12))),ISERROR(SEARCH(" ",("x"&amp;H12))),ISERROR(SEARCH(CHAR(9),("x"&amp;H12))),ISERROR(SEARCH(CHAR(10),("x"&amp;H12))),ISERROR(SEARCH(CHAR(13),("x"&amp;H12))),IFERROR(HEX2DEC(MID(("x"&amp;H12),2,8))&gt;=0,FALSE),IFERROR(HEX2DEC(MID(("x"&amp;H12),10,8))&gt;=0,FALSE),IFERROR(HEX2DEC(MID(("x"&amp;H12),18,8))&gt;=0,FALSE),IFERROR(HEX2DEC(MID(("x"&amp;H12),26,8))&gt;=0,FALSE),IFERROR(HEX2DEC(MID(("x"&amp;H12),34,8))&gt;=0,FALSE),IFERROR(HEX2DEC(MID(("x"&amp;H12),42,8))&gt;=0,FALSE),IFERROR(HEX2DEC(MID(("x"&amp;H12),50,8))&gt;=0,FALSE),IFERROR(HEX2DEC(MID(("x"&amp;H12),58,8))&gt;=0,FALSE)),AND(ISTEXT(I12),LEN(("x"&amp;I12))=65,EXACT(("x"&amp;I12),LOWER(("x"&amp;I12))),ISERROR(SEARCH(" ",("x"&amp;I12))),ISERROR(SEARCH(CHAR(9),("x"&amp;I12))),ISERROR(SEARCH(CHAR(10),("x"&amp;I12))),ISERROR(SEARCH(CHAR(13),("x"&amp;I12))),IFERROR(HEX2DEC(MID(("x"&amp;I12),2,8))&gt;=0,FALSE),IFERROR(HEX2DEC(MID(("x"&amp;I12),10,8))&gt;=0,FALSE),IFERROR(HEX2DEC(MID(("x"&amp;I12),18,8))&gt;=0,FALSE),IFERROR(HEX2DEC(MID(("x"&amp;I12),26,8))&gt;=0,FALSE),IFERROR(HEX2DEC(MID(("x"&amp;I12),34,8))&gt;=0,FALSE),IFERROR(HEX2DEC(MID(("x"&amp;I12),42,8))&gt;=0,FALSE),IFERROR(HEX2DEC(MID(("x"&amp;I12),50,8))&gt;=0,FALSE),IFERROR(HEX2DEC(MID(("x"&amp;I12),58,8))&gt;=0,FALSE))),IF(EXACT("x"&amp;H12,"x"&amp;I12),AA12,AB12),"LEXEMA_O_FORMA"),IF(W12="PRUEBA",IF(H12=X12,AA12,IF(H12=Z12,AB12,"LEXEMA_O_FORMA")),IF(W12="RETIRADA",IF(AND(H12="NINGUNO",I12=""),IF(J12="COMPLETA",AB12,"COBERTURA_INSUFICIENTE"),IF(AND(OR(H12="uoInstallation",H12="uoUninstallation"),OR(I12="orcSucceeded",I12="orcSucceededWithErrors",I12="orcFailed",I12="orcAborted",I12="orcInProgress",I12="orcNotStarted")),IF(AND(H12=X12,I12=Y12),AA12,IF(AND(H12=X12,OR(I12="orcSucceededWithErrors",I12="orcInProgress",I12="orcNotStarted")),"RESULTADO_RETIRADA_INCIERTO",IF(J12="COMPLETA",AB12,"COBERTURA_INSUFICIENTE"))),"LEXEMA_O_FORMA")),IF(W12="CAMBIO",IF(OR(H12="CAMBIO",H12="CAMBIO_Y_RETORNO"),AA12,IF(OR(H12="NINGUNO",H12="SOLO_RENOMBRE"),IF(J12="COMPLETA",AB12,"COBERTURA_INSUFICIENTE"),"LEXEMA_O_FORMA")),IF(W12="RESTAURACION",IF(H12=X12,AA12,IF(OR(H12="NINGUNO",H12="RESTAURACION_POSTERIOR",H12="RESTAURACION_FALLIDA"),IF(J12="COMPLETA",AB12,"COBERTURA_INSUFICIENTE"),"LEXEMA_O_FORMA")),"PERFIL_NO_CONSTITUIDO"))))))))))))))))))</x:f>
        <x:v>PERFIL_NO_CONSTITUIDO</x:v>
      </x:c>
      <x:c r="R12" s="12" t="str">
        <x:f>IF(AND(L12=O12,M12=P12,N12=Q12),"PASA","NO_PASA")</x:f>
        <x:v>PASA</x:v>
      </x:c>
      <x:c r="S12" s="4" t="str">
        <x:v>Perfil de otro producto no se normaliza por analogía.</x:v>
      </x:c>
      <x:c r="T12" s="12" t="str">
        <x:f>IFERROR(INDEX('55_Codificacion_ensayo'!$B$5:$B$13,MATCH(B12,'55_Codificacion_ensayo'!$A$5:$A$13,0)),"")</x:f>
        <x:v>WUA-RESULTADO-INDIVIDUAL-0.1</x:v>
      </x:c>
      <x:c r="U12" s="12" t="str">
        <x:f>IFERROR(INDEX('55_Codificacion_ensayo'!$C$5:$C$13,MATCH(B12,'55_Codificacion_ensayo'!$A$5:$A$13,0)),"")</x:f>
        <x:v>RESULTADO_WUA_INDIVIDUAL</x:v>
      </x:c>
      <x:c r="V12" s="12" t="str">
        <x:f>IFERROR(INDEX('55_Codificacion_ensayo'!$D$5:$D$13,MATCH(B12,'55_Codificacion_ensayo'!$A$5:$A$13,0)),"")</x:f>
        <x:v>INSTALAR_INDIVIDUAL</x:v>
      </x:c>
      <x:c r="W12" s="12" t="str">
        <x:f>IFERROR(INDEX('55_Codificacion_ensayo'!$E$5:$E$13,MATCH(B12,'55_Codificacion_ensayo'!$A$5:$A$13,0)),"")</x:f>
        <x:v>RESULTADO</x:v>
      </x:c>
      <x:c r="X12" s="12" t="str">
        <x:f>IFERROR(INDEX('55_Codificacion_ensayo'!$F$5:$F$13,MATCH(B12,'55_Codificacion_ensayo'!$A$5:$A$13,0)),"")</x:f>
        <x:v>orcSucceeded</x:v>
      </x:c>
      <x:c r="Y12" s="12" t="str">
        <x:f>IFERROR(INDEX('55_Codificacion_ensayo'!$G$5:$G$13,MATCH(B12,'55_Codificacion_ensayo'!$A$5:$A$13,0)),"")</x:f>
      </x:c>
      <x:c r="Z12" s="12" t="str">
        <x:f>IFERROR(INDEX('55_Codificacion_ensayo'!$H$5:$H$13,MATCH(B12,'55_Codificacion_ensayo'!$A$5:$A$13,0)),"")</x:f>
        <x:v>orcFailed</x:v>
      </x:c>
      <x:c r="AA12" s="12" t="str">
        <x:f>IFERROR(INDEX('55_Codificacion_ensayo'!$I$5:$I$13,MATCH(B12,'55_Codificacion_ensayo'!$A$5:$A$13,0)),"")</x:f>
        <x:v>EXITO_COMUNICADO</x:v>
      </x:c>
      <x:c r="AB12" s="12" t="str">
        <x:f>IFERROR(INDEX('55_Codificacion_ensayo'!$J$5:$J$13,MATCH(B12,'55_Codificacion_ensayo'!$A$5:$A$13,0)),"")</x:f>
        <x:v>NO_EXITO_PLENO</x:v>
      </x:c>
    </x:row>
    <x:row r="13" ht="47" customHeight="1">
      <x:c r="A13" s="4" t="str">
        <x:v>L10-02-09</x:v>
      </x:c>
      <x:c r="B13" s="4" t="str">
        <x:v>PAR-CYB-INSTALACION-EXITO-COMUNICADO-001</x:v>
      </x:c>
      <x:c r="C13" s="4" t="str">
        <x:v>WUA-RESULTADO-INDIVIDUAL-0.1</x:v>
      </x:c>
      <x:c r="D13" s="4" t="str">
        <x:v>COINCIDE</x:v>
      </x:c>
      <x:c r="E13" s="4" t="str">
        <x:v>LEGIBLE</x:v>
      </x:c>
      <x:c r="F13" s="4" t="str">
        <x:v>RESULTADO_WUA_INDIVIDUAL</x:v>
      </x:c>
      <x:c r="G13" s="4" t="str">
        <x:v>UNICA</x:v>
      </x:c>
      <x:c r="H13" s="4" t="str">
        <x:v>true false desconocido</x:v>
      </x:c>
      <x:c r="I13" s="4" t="str"/>
      <x:c r="J13" s="4" t="str">
        <x:v>COMPLETA</x:v>
      </x:c>
      <x:c r="K13" s="4" t="str">
        <x:v>INSTALAR_INDIVIDUAL</x:v>
      </x:c>
      <x:c r="L13" s="4" t="str">
        <x:v>NO_ADMISION</x:v>
      </x:c>
      <x:c r="M13" s="4" t="str"/>
      <x:c r="N13" s="4" t="str">
        <x:v>LEXEMA_O_FORMA</x:v>
      </x:c>
      <x:c r="O13" s="12" t="str">
        <x:f>IF(Q13="SIN_EJECUCION_DOMINIO","FALLO_CAPTURA",IF(OR(Q13="CAPTURA_MAL_FORMADA",Q13="IDENTIDAD",Q13="OBSERVACION_MAL_FORMADA",Q13="LEXEMA_O_FORMA"),"NO_ADMISION",IF(OR(Q13="PERFIL_NO_CONSTITUIDO",Q13="RESULTADO_NO_TERMINAL"),"FUERA_PERFIL",IF(Q13="CONTEXTO_NO_CONSTITUIDO","CONFIGURACION_PENDIENTE","VALIDA"))))</x:f>
        <x:v>NO_ADMISION</x:v>
      </x:c>
      <x:c r="P13" s="12" t="str">
        <x:f>IF(O13&lt;&gt;"VALIDA","",IF(Q13=AA13,"1",IF(Q13=AB13,"0","U")))</x:f>
      </x:c>
      <x:c r="Q13" s="12" t="str">
        <x:f>IF(E13="FALLO","SIN_EJECUCION_DOMINIO",IF(E13&lt;&gt;"LEGIBLE","CAPTURA_MAL_FORMADA",IF(D13&lt;&gt;"COINCIDE","IDENTIDAD",IF(OR(T13="",C13&lt;&gt;T13),"PERFIL_NO_CONSTITUIDO",IF(K13&lt;&gt;V13,IF(V13="ORDEN_ACREDITADO","ORDEN_NO_ACREDITADO","CONTEXTO_NO_CONSTITUIDO"),IF(AND(G13="AUSENTE",H13="",I13=""),"DATO_AUSENTE",IF(AND(G13="CONFLICTO",H13="",I13=""),"CONFLICTO_OBSERVACIONAL",IF(G13&lt;&gt;"UNICA","OBSERVACION_MAL_FORMADA",IF(F13&lt;&gt;U13,"OBSERVACION_INSUFICIENTE",IF(W13="RESULTADO",IF(H13=X13,AA13,IF(OR(H13="orcSucceededWithErrors",H13="orcFailed",H13="orcAborted"),AB13,IF(OR(H13="orcNotStarted",H13="orcInProgress"),"RESULTADO_NO_TERMINAL","LEXEMA_O_FORMA"))),IF(W13="EVENTO_BOOT",IF(H13=X13,AA13,IF(OR(H13="NINGUNO",H13="SOLO_HIBRIDO"),IF(J13="COMPLETA",AB13,"COBERTURA_INSUFICIENTE"),"LEXEMA_O_FORMA")),IF(W13="REQUISITO_SOFT",IF(H13=X13,AA13,IF(H13=Z13,AB13,"LEXEMA_O_FORMA")),IF(W13="EVENTO_PROC",IF(H13=X13,AA13,IF(H13=Z13,IF(J13="COMPLETA",AB13,"COBERTURA_INSUFICIENTE"),"LEXEMA_O_FORMA")),IF(W13="IMAGEN",IF(AND(AND(ISTEXT(H13),LEN(("x"&amp;H13))=65,EXACT(("x"&amp;H13),LOWER(("x"&amp;H13))),ISERROR(SEARCH(" ",("x"&amp;H13))),ISERROR(SEARCH(CHAR(9),("x"&amp;H13))),ISERROR(SEARCH(CHAR(10),("x"&amp;H13))),ISERROR(SEARCH(CHAR(13),("x"&amp;H13))),IFERROR(HEX2DEC(MID(("x"&amp;H13),2,8))&gt;=0,FALSE),IFERROR(HEX2DEC(MID(("x"&amp;H13),10,8))&gt;=0,FALSE),IFERROR(HEX2DEC(MID(("x"&amp;H13),18,8))&gt;=0,FALSE),IFERROR(HEX2DEC(MID(("x"&amp;H13),26,8))&gt;=0,FALSE),IFERROR(HEX2DEC(MID(("x"&amp;H13),34,8))&gt;=0,FALSE),IFERROR(HEX2DEC(MID(("x"&amp;H13),42,8))&gt;=0,FALSE),IFERROR(HEX2DEC(MID(("x"&amp;H13),50,8))&gt;=0,FALSE),IFERROR(HEX2DEC(MID(("x"&amp;H13),58,8))&gt;=0,FALSE)),AND(ISTEXT(I13),LEN(("x"&amp;I13))=65,EXACT(("x"&amp;I13),LOWER(("x"&amp;I13))),ISERROR(SEARCH(" ",("x"&amp;I13))),ISERROR(SEARCH(CHAR(9),("x"&amp;I13))),ISERROR(SEARCH(CHAR(10),("x"&amp;I13))),ISERROR(SEARCH(CHAR(13),("x"&amp;I13))),IFERROR(HEX2DEC(MID(("x"&amp;I13),2,8))&gt;=0,FALSE),IFERROR(HEX2DEC(MID(("x"&amp;I13),10,8))&gt;=0,FALSE),IFERROR(HEX2DEC(MID(("x"&amp;I13),18,8))&gt;=0,FALSE),IFERROR(HEX2DEC(MID(("x"&amp;I13),26,8))&gt;=0,FALSE),IFERROR(HEX2DEC(MID(("x"&amp;I13),34,8))&gt;=0,FALSE),IFERROR(HEX2DEC(MID(("x"&amp;I13),42,8))&gt;=0,FALSE),IFERROR(HEX2DEC(MID(("x"&amp;I13),50,8))&gt;=0,FALSE),IFERROR(HEX2DEC(MID(("x"&amp;I13),58,8))&gt;=0,FALSE))),IF(EXACT("x"&amp;H13,"x"&amp;I13),AA13,AB13),"LEXEMA_O_FORMA"),IF(W13="PRUEBA",IF(H13=X13,AA13,IF(H13=Z13,AB13,"LEXEMA_O_FORMA")),IF(W13="RETIRADA",IF(AND(H13="NINGUNO",I13=""),IF(J13="COMPLETA",AB13,"COBERTURA_INSUFICIENTE"),IF(AND(OR(H13="uoInstallation",H13="uoUninstallation"),OR(I13="orcSucceeded",I13="orcSucceededWithErrors",I13="orcFailed",I13="orcAborted",I13="orcInProgress",I13="orcNotStarted")),IF(AND(H13=X13,I13=Y13),AA13,IF(AND(H13=X13,OR(I13="orcSucceededWithErrors",I13="orcInProgress",I13="orcNotStarted")),"RESULTADO_RETIRADA_INCIERTO",IF(J13="COMPLETA",AB13,"COBERTURA_INSUFICIENTE"))),"LEXEMA_O_FORMA")),IF(W13="CAMBIO",IF(OR(H13="CAMBIO",H13="CAMBIO_Y_RETORNO"),AA13,IF(OR(H13="NINGUNO",H13="SOLO_RENOMBRE"),IF(J13="COMPLETA",AB13,"COBERTURA_INSUFICIENTE"),"LEXEMA_O_FORMA")),IF(W13="RESTAURACION",IF(H13=X13,AA13,IF(OR(H13="NINGUNO",H13="RESTAURACION_POSTERIOR",H13="RESTAURACION_FALLIDA"),IF(J13="COMPLETA",AB13,"COBERTURA_INSUFICIENTE"),"LEXEMA_O_FORMA")),"PERFIL_NO_CONSTITUIDO"))))))))))))))))))</x:f>
        <x:v>LEXEMA_O_FORMA</x:v>
      </x:c>
      <x:c r="R13" s="12" t="str">
        <x:f>IF(AND(L13=O13,M13=P13,N13=Q13),"PASA","NO_PASA")</x:f>
        <x:v>PASA</x:v>
      </x:c>
      <x:c r="S13" s="4" t="str">
        <x:v>La observación usa un lexema ajeno al contrato.</x:v>
      </x:c>
      <x:c r="T13" s="12" t="str">
        <x:f>IFERROR(INDEX('55_Codificacion_ensayo'!$B$5:$B$13,MATCH(B13,'55_Codificacion_ensayo'!$A$5:$A$13,0)),"")</x:f>
        <x:v>WUA-RESULTADO-INDIVIDUAL-0.1</x:v>
      </x:c>
      <x:c r="U13" s="12" t="str">
        <x:f>IFERROR(INDEX('55_Codificacion_ensayo'!$C$5:$C$13,MATCH(B13,'55_Codificacion_ensayo'!$A$5:$A$13,0)),"")</x:f>
        <x:v>RESULTADO_WUA_INDIVIDUAL</x:v>
      </x:c>
      <x:c r="V13" s="12" t="str">
        <x:f>IFERROR(INDEX('55_Codificacion_ensayo'!$D$5:$D$13,MATCH(B13,'55_Codificacion_ensayo'!$A$5:$A$13,0)),"")</x:f>
        <x:v>INSTALAR_INDIVIDUAL</x:v>
      </x:c>
      <x:c r="W13" s="12" t="str">
        <x:f>IFERROR(INDEX('55_Codificacion_ensayo'!$E$5:$E$13,MATCH(B13,'55_Codificacion_ensayo'!$A$5:$A$13,0)),"")</x:f>
        <x:v>RESULTADO</x:v>
      </x:c>
      <x:c r="X13" s="12" t="str">
        <x:f>IFERROR(INDEX('55_Codificacion_ensayo'!$F$5:$F$13,MATCH(B13,'55_Codificacion_ensayo'!$A$5:$A$13,0)),"")</x:f>
        <x:v>orcSucceeded</x:v>
      </x:c>
      <x:c r="Y13" s="12" t="str">
        <x:f>IFERROR(INDEX('55_Codificacion_ensayo'!$G$5:$G$13,MATCH(B13,'55_Codificacion_ensayo'!$A$5:$A$13,0)),"")</x:f>
      </x:c>
      <x:c r="Z13" s="12" t="str">
        <x:f>IFERROR(INDEX('55_Codificacion_ensayo'!$H$5:$H$13,MATCH(B13,'55_Codificacion_ensayo'!$A$5:$A$13,0)),"")</x:f>
        <x:v>orcFailed</x:v>
      </x:c>
      <x:c r="AA13" s="12" t="str">
        <x:f>IFERROR(INDEX('55_Codificacion_ensayo'!$I$5:$I$13,MATCH(B13,'55_Codificacion_ensayo'!$A$5:$A$13,0)),"")</x:f>
        <x:v>EXITO_COMUNICADO</x:v>
      </x:c>
      <x:c r="AB13" s="12" t="str">
        <x:f>IFERROR(INDEX('55_Codificacion_ensayo'!$J$5:$J$13,MATCH(B13,'55_Codificacion_ensayo'!$A$5:$A$13,0)),"")</x:f>
        <x:v>NO_EXITO_PLENO</x:v>
      </x:c>
    </x:row>
    <x:row r="14" ht="47" customHeight="1">
      <x:c r="A14" s="4" t="str">
        <x:v>L10-02-10</x:v>
      </x:c>
      <x:c r="B14" s="4" t="str">
        <x:v>PAR-CYB-INSTALACION-EXITO-COMUNICADO-001</x:v>
      </x:c>
      <x:c r="C14" s="4" t="str">
        <x:v>WUA-RESULTADO-INDIVIDUAL-0.1</x:v>
      </x:c>
      <x:c r="D14" s="4" t="str">
        <x:v>COINCIDE</x:v>
      </x:c>
      <x:c r="E14" s="4" t="str">
        <x:v>LEGIBLE</x:v>
      </x:c>
      <x:c r="F14" s="4" t="str">
        <x:v>RESULTADO_WUA_INDIVIDUAL</x:v>
      </x:c>
      <x:c r="G14" s="4" t="str">
        <x:v>UNICA</x:v>
      </x:c>
      <x:c r="H14" s="4" t="str">
        <x:v>orcSucceeded</x:v>
      </x:c>
      <x:c r="I14" s="4" t="str"/>
      <x:c r="J14" s="4" t="str">
        <x:v>COMPLETA</x:v>
      </x:c>
      <x:c r="K14" s="4" t="str">
        <x:v>PENDIENTE</x:v>
      </x:c>
      <x:c r="L14" s="4" t="str">
        <x:v>CONFIGURACION_PENDIENTE</x:v>
      </x:c>
      <x:c r="M14" s="4" t="str"/>
      <x:c r="N14" s="4" t="str">
        <x:v>CONTEXTO_NO_CONSTITUIDO</x:v>
      </x:c>
      <x:c r="O14" s="12" t="str">
        <x:f>IF(Q14="SIN_EJECUCION_DOMINIO","FALLO_CAPTURA",IF(OR(Q14="CAPTURA_MAL_FORMADA",Q14="IDENTIDAD",Q14="OBSERVACION_MAL_FORMADA",Q14="LEXEMA_O_FORMA"),"NO_ADMISION",IF(OR(Q14="PERFIL_NO_CONSTITUIDO",Q14="RESULTADO_NO_TERMINAL"),"FUERA_PERFIL",IF(Q14="CONTEXTO_NO_CONSTITUIDO","CONFIGURACION_PENDIENTE","VALIDA"))))</x:f>
        <x:v>CONFIGURACION_PENDIENTE</x:v>
      </x:c>
      <x:c r="P14" s="12" t="str">
        <x:f>IF(O14&lt;&gt;"VALIDA","",IF(Q14=AA14,"1",IF(Q14=AB14,"0","U")))</x:f>
      </x:c>
      <x:c r="Q14" s="12" t="str">
        <x:f>IF(E14="FALLO","SIN_EJECUCION_DOMINIO",IF(E14&lt;&gt;"LEGIBLE","CAPTURA_MAL_FORMADA",IF(D14&lt;&gt;"COINCIDE","IDENTIDAD",IF(OR(T14="",C14&lt;&gt;T14),"PERFIL_NO_CONSTITUIDO",IF(K14&lt;&gt;V14,IF(V14="ORDEN_ACREDITADO","ORDEN_NO_ACREDITADO","CONTEXTO_NO_CONSTITUIDO"),IF(AND(G14="AUSENTE",H14="",I14=""),"DATO_AUSENTE",IF(AND(G14="CONFLICTO",H14="",I14=""),"CONFLICTO_OBSERVACIONAL",IF(G14&lt;&gt;"UNICA","OBSERVACION_MAL_FORMADA",IF(F14&lt;&gt;U14,"OBSERVACION_INSUFICIENTE",IF(W14="RESULTADO",IF(H14=X14,AA14,IF(OR(H14="orcSucceededWithErrors",H14="orcFailed",H14="orcAborted"),AB14,IF(OR(H14="orcNotStarted",H14="orcInProgress"),"RESULTADO_NO_TERMINAL","LEXEMA_O_FORMA"))),IF(W14="EVENTO_BOOT",IF(H14=X14,AA14,IF(OR(H14="NINGUNO",H14="SOLO_HIBRIDO"),IF(J14="COMPLETA",AB14,"COBERTURA_INSUFICIENTE"),"LEXEMA_O_FORMA")),IF(W14="REQUISITO_SOFT",IF(H14=X14,AA14,IF(H14=Z14,AB14,"LEXEMA_O_FORMA")),IF(W14="EVENTO_PROC",IF(H14=X14,AA14,IF(H14=Z14,IF(J14="COMPLETA",AB14,"COBERTURA_INSUFICIENTE"),"LEXEMA_O_FORMA")),IF(W14="IMAGEN",IF(AND(AND(ISTEXT(H14),LEN(("x"&amp;H14))=65,EXACT(("x"&amp;H14),LOWER(("x"&amp;H14))),ISERROR(SEARCH(" ",("x"&amp;H14))),ISERROR(SEARCH(CHAR(9),("x"&amp;H14))),ISERROR(SEARCH(CHAR(10),("x"&amp;H14))),ISERROR(SEARCH(CHAR(13),("x"&amp;H14))),IFERROR(HEX2DEC(MID(("x"&amp;H14),2,8))&gt;=0,FALSE),IFERROR(HEX2DEC(MID(("x"&amp;H14),10,8))&gt;=0,FALSE),IFERROR(HEX2DEC(MID(("x"&amp;H14),18,8))&gt;=0,FALSE),IFERROR(HEX2DEC(MID(("x"&amp;H14),26,8))&gt;=0,FALSE),IFERROR(HEX2DEC(MID(("x"&amp;H14),34,8))&gt;=0,FALSE),IFERROR(HEX2DEC(MID(("x"&amp;H14),42,8))&gt;=0,FALSE),IFERROR(HEX2DEC(MID(("x"&amp;H14),50,8))&gt;=0,FALSE),IFERROR(HEX2DEC(MID(("x"&amp;H14),58,8))&gt;=0,FALSE)),AND(ISTEXT(I14),LEN(("x"&amp;I14))=65,EXACT(("x"&amp;I14),LOWER(("x"&amp;I14))),ISERROR(SEARCH(" ",("x"&amp;I14))),ISERROR(SEARCH(CHAR(9),("x"&amp;I14))),ISERROR(SEARCH(CHAR(10),("x"&amp;I14))),ISERROR(SEARCH(CHAR(13),("x"&amp;I14))),IFERROR(HEX2DEC(MID(("x"&amp;I14),2,8))&gt;=0,FALSE),IFERROR(HEX2DEC(MID(("x"&amp;I14),10,8))&gt;=0,FALSE),IFERROR(HEX2DEC(MID(("x"&amp;I14),18,8))&gt;=0,FALSE),IFERROR(HEX2DEC(MID(("x"&amp;I14),26,8))&gt;=0,FALSE),IFERROR(HEX2DEC(MID(("x"&amp;I14),34,8))&gt;=0,FALSE),IFERROR(HEX2DEC(MID(("x"&amp;I14),42,8))&gt;=0,FALSE),IFERROR(HEX2DEC(MID(("x"&amp;I14),50,8))&gt;=0,FALSE),IFERROR(HEX2DEC(MID(("x"&amp;I14),58,8))&gt;=0,FALSE))),IF(EXACT("x"&amp;H14,"x"&amp;I14),AA14,AB14),"LEXEMA_O_FORMA"),IF(W14="PRUEBA",IF(H14=X14,AA14,IF(H14=Z14,AB14,"LEXEMA_O_FORMA")),IF(W14="RETIRADA",IF(AND(H14="NINGUNO",I14=""),IF(J14="COMPLETA",AB14,"COBERTURA_INSUFICIENTE"),IF(AND(OR(H14="uoInstallation",H14="uoUninstallation"),OR(I14="orcSucceeded",I14="orcSucceededWithErrors",I14="orcFailed",I14="orcAborted",I14="orcInProgress",I14="orcNotStarted")),IF(AND(H14=X14,I14=Y14),AA14,IF(AND(H14=X14,OR(I14="orcSucceededWithErrors",I14="orcInProgress",I14="orcNotStarted")),"RESULTADO_RETIRADA_INCIERTO",IF(J14="COMPLETA",AB14,"COBERTURA_INSUFICIENTE"))),"LEXEMA_O_FORMA")),IF(W14="CAMBIO",IF(OR(H14="CAMBIO",H14="CAMBIO_Y_RETORNO"),AA14,IF(OR(H14="NINGUNO",H14="SOLO_RENOMBRE"),IF(J14="COMPLETA",AB14,"COBERTURA_INSUFICIENTE"),"LEXEMA_O_FORMA")),IF(W14="RESTAURACION",IF(H14=X14,AA14,IF(OR(H14="NINGUNO",H14="RESTAURACION_POSTERIOR",H14="RESTAURACION_FALLIDA"),IF(J14="COMPLETA",AB14,"COBERTURA_INSUFICIENTE"),"LEXEMA_O_FORMA")),"PERFIL_NO_CONSTITUIDO"))))))))))))))))))</x:f>
        <x:v>CONTEXTO_NO_CONSTITUIDO</x:v>
      </x:c>
      <x:c r="R14" s="12" t="str">
        <x:f>IF(AND(L14=O14,M14=P14,N14=Q14),"PASA","NO_PASA")</x:f>
        <x:v>PASA</x:v>
      </x:c>
      <x:c r="S14" s="4" t="str">
        <x:v>Falta el contexto profesional que fija qué se está evaluando.</x:v>
      </x:c>
      <x:c r="T14" s="12" t="str">
        <x:f>IFERROR(INDEX('55_Codificacion_ensayo'!$B$5:$B$13,MATCH(B14,'55_Codificacion_ensayo'!$A$5:$A$13,0)),"")</x:f>
        <x:v>WUA-RESULTADO-INDIVIDUAL-0.1</x:v>
      </x:c>
      <x:c r="U14" s="12" t="str">
        <x:f>IFERROR(INDEX('55_Codificacion_ensayo'!$C$5:$C$13,MATCH(B14,'55_Codificacion_ensayo'!$A$5:$A$13,0)),"")</x:f>
        <x:v>RESULTADO_WUA_INDIVIDUAL</x:v>
      </x:c>
      <x:c r="V14" s="12" t="str">
        <x:f>IFERROR(INDEX('55_Codificacion_ensayo'!$D$5:$D$13,MATCH(B14,'55_Codificacion_ensayo'!$A$5:$A$13,0)),"")</x:f>
        <x:v>INSTALAR_INDIVIDUAL</x:v>
      </x:c>
      <x:c r="W14" s="12" t="str">
        <x:f>IFERROR(INDEX('55_Codificacion_ensayo'!$E$5:$E$13,MATCH(B14,'55_Codificacion_ensayo'!$A$5:$A$13,0)),"")</x:f>
        <x:v>RESULTADO</x:v>
      </x:c>
      <x:c r="X14" s="12" t="str">
        <x:f>IFERROR(INDEX('55_Codificacion_ensayo'!$F$5:$F$13,MATCH(B14,'55_Codificacion_ensayo'!$A$5:$A$13,0)),"")</x:f>
        <x:v>orcSucceeded</x:v>
      </x:c>
      <x:c r="Y14" s="12" t="str">
        <x:f>IFERROR(INDEX('55_Codificacion_ensayo'!$G$5:$G$13,MATCH(B14,'55_Codificacion_ensayo'!$A$5:$A$13,0)),"")</x:f>
      </x:c>
      <x:c r="Z14" s="12" t="str">
        <x:f>IFERROR(INDEX('55_Codificacion_ensayo'!$H$5:$H$13,MATCH(B14,'55_Codificacion_ensayo'!$A$5:$A$13,0)),"")</x:f>
        <x:v>orcFailed</x:v>
      </x:c>
      <x:c r="AA14" s="12" t="str">
        <x:f>IFERROR(INDEX('55_Codificacion_ensayo'!$I$5:$I$13,MATCH(B14,'55_Codificacion_ensayo'!$A$5:$A$13,0)),"")</x:f>
        <x:v>EXITO_COMUNICADO</x:v>
      </x:c>
      <x:c r="AB14" s="12" t="str">
        <x:f>IFERROR(INDEX('55_Codificacion_ensayo'!$J$5:$J$13,MATCH(B14,'55_Codificacion_ensayo'!$A$5:$A$13,0)),"")</x:f>
        <x:v>NO_EXITO_PLENO</x:v>
      </x:c>
    </x:row>
    <x:row r="15" ht="47" customHeight="1">
      <x:c r="A15" s="4" t="str">
        <x:v>L10-02-11</x:v>
      </x:c>
      <x:c r="B15" s="4" t="str">
        <x:v>PAR-CYB-INSTALACION-EXITO-COMUNICADO-001</x:v>
      </x:c>
      <x:c r="C15" s="4" t="str">
        <x:v>WUA-RESULTADO-INDIVIDUAL-0.1</x:v>
      </x:c>
      <x:c r="D15" s="4" t="str">
        <x:v>COINCIDE</x:v>
      </x:c>
      <x:c r="E15" s="4" t="str">
        <x:v>LEGIBLE</x:v>
      </x:c>
      <x:c r="F15" s="4" t="str">
        <x:v>RESULTADO_WUA_INDIVIDUAL</x:v>
      </x:c>
      <x:c r="G15" s="4" t="str">
        <x:v>UNICA</x:v>
      </x:c>
      <x:c r="H15" s="4" t="str">
        <x:v>orcSucceededWithErrors</x:v>
      </x:c>
      <x:c r="I15" s="4" t="str"/>
      <x:c r="J15" s="4" t="str">
        <x:v>COMPLETA</x:v>
      </x:c>
      <x:c r="K15" s="4" t="str">
        <x:v>INSTALAR_INDIVIDUAL</x:v>
      </x:c>
      <x:c r="L15" s="4" t="str">
        <x:v>VALIDA</x:v>
      </x:c>
      <x:c r="M15" s="4" t="str">
        <x:v>0</x:v>
      </x:c>
      <x:c r="N15" s="4" t="str">
        <x:v>NO_EXITO_PLENO</x:v>
      </x:c>
      <x:c r="O15" s="12" t="str">
        <x:f>IF(Q15="SIN_EJECUCION_DOMINIO","FALLO_CAPTURA",IF(OR(Q15="CAPTURA_MAL_FORMADA",Q15="IDENTIDAD",Q15="OBSERVACION_MAL_FORMADA",Q15="LEXEMA_O_FORMA"),"NO_ADMISION",IF(OR(Q15="PERFIL_NO_CONSTITUIDO",Q15="RESULTADO_NO_TERMINAL"),"FUERA_PERFIL",IF(Q15="CONTEXTO_NO_CONSTITUIDO","CONFIGURACION_PENDIENTE","VALIDA"))))</x:f>
        <x:v>VALIDA</x:v>
      </x:c>
      <x:c r="P15" s="12" t="str">
        <x:f>IF(O15&lt;&gt;"VALIDA","",IF(Q15=AA15,"1",IF(Q15=AB15,"0","U")))</x:f>
        <x:v>0</x:v>
      </x:c>
      <x:c r="Q15" s="12" t="str">
        <x:f>IF(E15="FALLO","SIN_EJECUCION_DOMINIO",IF(E15&lt;&gt;"LEGIBLE","CAPTURA_MAL_FORMADA",IF(D15&lt;&gt;"COINCIDE","IDENTIDAD",IF(OR(T15="",C15&lt;&gt;T15),"PERFIL_NO_CONSTITUIDO",IF(K15&lt;&gt;V15,IF(V15="ORDEN_ACREDITADO","ORDEN_NO_ACREDITADO","CONTEXTO_NO_CONSTITUIDO"),IF(AND(G15="AUSENTE",H15="",I15=""),"DATO_AUSENTE",IF(AND(G15="CONFLICTO",H15="",I15=""),"CONFLICTO_OBSERVACIONAL",IF(G15&lt;&gt;"UNICA","OBSERVACION_MAL_FORMADA",IF(F15&lt;&gt;U15,"OBSERVACION_INSUFICIENTE",IF(W15="RESULTADO",IF(H15=X15,AA15,IF(OR(H15="orcSucceededWithErrors",H15="orcFailed",H15="orcAborted"),AB15,IF(OR(H15="orcNotStarted",H15="orcInProgress"),"RESULTADO_NO_TERMINAL","LEXEMA_O_FORMA"))),IF(W15="EVENTO_BOOT",IF(H15=X15,AA15,IF(OR(H15="NINGUNO",H15="SOLO_HIBRIDO"),IF(J15="COMPLETA",AB15,"COBERTURA_INSUFICIENTE"),"LEXEMA_O_FORMA")),IF(W15="REQUISITO_SOFT",IF(H15=X15,AA15,IF(H15=Z15,AB15,"LEXEMA_O_FORMA")),IF(W15="EVENTO_PROC",IF(H15=X15,AA15,IF(H15=Z15,IF(J15="COMPLETA",AB15,"COBERTURA_INSUFICIENTE"),"LEXEMA_O_FORMA")),IF(W15="IMAGEN",IF(AND(AND(ISTEXT(H15),LEN(("x"&amp;H15))=65,EXACT(("x"&amp;H15),LOWER(("x"&amp;H15))),ISERROR(SEARCH(" ",("x"&amp;H15))),ISERROR(SEARCH(CHAR(9),("x"&amp;H15))),ISERROR(SEARCH(CHAR(10),("x"&amp;H15))),ISERROR(SEARCH(CHAR(13),("x"&amp;H15))),IFERROR(HEX2DEC(MID(("x"&amp;H15),2,8))&gt;=0,FALSE),IFERROR(HEX2DEC(MID(("x"&amp;H15),10,8))&gt;=0,FALSE),IFERROR(HEX2DEC(MID(("x"&amp;H15),18,8))&gt;=0,FALSE),IFERROR(HEX2DEC(MID(("x"&amp;H15),26,8))&gt;=0,FALSE),IFERROR(HEX2DEC(MID(("x"&amp;H15),34,8))&gt;=0,FALSE),IFERROR(HEX2DEC(MID(("x"&amp;H15),42,8))&gt;=0,FALSE),IFERROR(HEX2DEC(MID(("x"&amp;H15),50,8))&gt;=0,FALSE),IFERROR(HEX2DEC(MID(("x"&amp;H15),58,8))&gt;=0,FALSE)),AND(ISTEXT(I15),LEN(("x"&amp;I15))=65,EXACT(("x"&amp;I15),LOWER(("x"&amp;I15))),ISERROR(SEARCH(" ",("x"&amp;I15))),ISERROR(SEARCH(CHAR(9),("x"&amp;I15))),ISERROR(SEARCH(CHAR(10),("x"&amp;I15))),ISERROR(SEARCH(CHAR(13),("x"&amp;I15))),IFERROR(HEX2DEC(MID(("x"&amp;I15),2,8))&gt;=0,FALSE),IFERROR(HEX2DEC(MID(("x"&amp;I15),10,8))&gt;=0,FALSE),IFERROR(HEX2DEC(MID(("x"&amp;I15),18,8))&gt;=0,FALSE),IFERROR(HEX2DEC(MID(("x"&amp;I15),26,8))&gt;=0,FALSE),IFERROR(HEX2DEC(MID(("x"&amp;I15),34,8))&gt;=0,FALSE),IFERROR(HEX2DEC(MID(("x"&amp;I15),42,8))&gt;=0,FALSE),IFERROR(HEX2DEC(MID(("x"&amp;I15),50,8))&gt;=0,FALSE),IFERROR(HEX2DEC(MID(("x"&amp;I15),58,8))&gt;=0,FALSE))),IF(EXACT("x"&amp;H15,"x"&amp;I15),AA15,AB15),"LEXEMA_O_FORMA"),IF(W15="PRUEBA",IF(H15=X15,AA15,IF(H15=Z15,AB15,"LEXEMA_O_FORMA")),IF(W15="RETIRADA",IF(AND(H15="NINGUNO",I15=""),IF(J15="COMPLETA",AB15,"COBERTURA_INSUFICIENTE"),IF(AND(OR(H15="uoInstallation",H15="uoUninstallation"),OR(I15="orcSucceeded",I15="orcSucceededWithErrors",I15="orcFailed",I15="orcAborted",I15="orcInProgress",I15="orcNotStarted")),IF(AND(H15=X15,I15=Y15),AA15,IF(AND(H15=X15,OR(I15="orcSucceededWithErrors",I15="orcInProgress",I15="orcNotStarted")),"RESULTADO_RETIRADA_INCIERTO",IF(J15="COMPLETA",AB15,"COBERTURA_INSUFICIENTE"))),"LEXEMA_O_FORMA")),IF(W15="CAMBIO",IF(OR(H15="CAMBIO",H15="CAMBIO_Y_RETORNO"),AA15,IF(OR(H15="NINGUNO",H15="SOLO_RENOMBRE"),IF(J15="COMPLETA",AB15,"COBERTURA_INSUFICIENTE"),"LEXEMA_O_FORMA")),IF(W15="RESTAURACION",IF(H15=X15,AA15,IF(OR(H15="NINGUNO",H15="RESTAURACION_POSTERIOR",H15="RESTAURACION_FALLIDA"),IF(J15="COMPLETA",AB15,"COBERTURA_INSUFICIENTE"),"LEXEMA_O_FORMA")),"PERFIL_NO_CONSTITUIDO"))))))))))))))))))</x:f>
        <x:v>NO_EXITO_PLENO</x:v>
      </x:c>
      <x:c r="R15" s="12" t="str">
        <x:f>IF(AND(L15=O15,M15=P15,N15=Q15),"PASA","NO_PASA")</x:f>
        <x:v>PASA</x:v>
      </x:c>
      <x:c r="S15" s="4" t="str">
        <x:v>Resultado terminal distinto de éxito pleno; conserva el enum original.</x:v>
      </x:c>
      <x:c r="T15" s="12" t="str">
        <x:f>IFERROR(INDEX('55_Codificacion_ensayo'!$B$5:$B$13,MATCH(B15,'55_Codificacion_ensayo'!$A$5:$A$13,0)),"")</x:f>
        <x:v>WUA-RESULTADO-INDIVIDUAL-0.1</x:v>
      </x:c>
      <x:c r="U15" s="12" t="str">
        <x:f>IFERROR(INDEX('55_Codificacion_ensayo'!$C$5:$C$13,MATCH(B15,'55_Codificacion_ensayo'!$A$5:$A$13,0)),"")</x:f>
        <x:v>RESULTADO_WUA_INDIVIDUAL</x:v>
      </x:c>
      <x:c r="V15" s="12" t="str">
        <x:f>IFERROR(INDEX('55_Codificacion_ensayo'!$D$5:$D$13,MATCH(B15,'55_Codificacion_ensayo'!$A$5:$A$13,0)),"")</x:f>
        <x:v>INSTALAR_INDIVIDUAL</x:v>
      </x:c>
      <x:c r="W15" s="12" t="str">
        <x:f>IFERROR(INDEX('55_Codificacion_ensayo'!$E$5:$E$13,MATCH(B15,'55_Codificacion_ensayo'!$A$5:$A$13,0)),"")</x:f>
        <x:v>RESULTADO</x:v>
      </x:c>
      <x:c r="X15" s="12" t="str">
        <x:f>IFERROR(INDEX('55_Codificacion_ensayo'!$F$5:$F$13,MATCH(B15,'55_Codificacion_ensayo'!$A$5:$A$13,0)),"")</x:f>
        <x:v>orcSucceeded</x:v>
      </x:c>
      <x:c r="Y15" s="12" t="str">
        <x:f>IFERROR(INDEX('55_Codificacion_ensayo'!$G$5:$G$13,MATCH(B15,'55_Codificacion_ensayo'!$A$5:$A$13,0)),"")</x:f>
      </x:c>
      <x:c r="Z15" s="12" t="str">
        <x:f>IFERROR(INDEX('55_Codificacion_ensayo'!$H$5:$H$13,MATCH(B15,'55_Codificacion_ensayo'!$A$5:$A$13,0)),"")</x:f>
        <x:v>orcFailed</x:v>
      </x:c>
      <x:c r="AA15" s="12" t="str">
        <x:f>IFERROR(INDEX('55_Codificacion_ensayo'!$I$5:$I$13,MATCH(B15,'55_Codificacion_ensayo'!$A$5:$A$13,0)),"")</x:f>
        <x:v>EXITO_COMUNICADO</x:v>
      </x:c>
      <x:c r="AB15" s="12" t="str">
        <x:f>IFERROR(INDEX('55_Codificacion_ensayo'!$J$5:$J$13,MATCH(B15,'55_Codificacion_ensayo'!$A$5:$A$13,0)),"")</x:f>
        <x:v>NO_EXITO_PLENO</x:v>
      </x:c>
    </x:row>
    <x:row r="16" ht="47" customHeight="1">
      <x:c r="A16" s="4" t="str">
        <x:v>L10-02-12</x:v>
      </x:c>
      <x:c r="B16" s="4" t="str">
        <x:v>PAR-CYB-INSTALACION-EXITO-COMUNICADO-001</x:v>
      </x:c>
      <x:c r="C16" s="4" t="str">
        <x:v>WUA-RESULTADO-INDIVIDUAL-0.1</x:v>
      </x:c>
      <x:c r="D16" s="4" t="str">
        <x:v>COINCIDE</x:v>
      </x:c>
      <x:c r="E16" s="4" t="str">
        <x:v>LEGIBLE</x:v>
      </x:c>
      <x:c r="F16" s="4" t="str">
        <x:v>RESULTADO_WUA_INDIVIDUAL</x:v>
      </x:c>
      <x:c r="G16" s="4" t="str">
        <x:v>UNICA</x:v>
      </x:c>
      <x:c r="H16" s="4" t="str">
        <x:v>orcAborted</x:v>
      </x:c>
      <x:c r="I16" s="4" t="str"/>
      <x:c r="J16" s="4" t="str">
        <x:v>COMPLETA</x:v>
      </x:c>
      <x:c r="K16" s="4" t="str">
        <x:v>INSTALAR_INDIVIDUAL</x:v>
      </x:c>
      <x:c r="L16" s="4" t="str">
        <x:v>VALIDA</x:v>
      </x:c>
      <x:c r="M16" s="4" t="str">
        <x:v>0</x:v>
      </x:c>
      <x:c r="N16" s="4" t="str">
        <x:v>NO_EXITO_PLENO</x:v>
      </x:c>
      <x:c r="O16" s="12" t="str">
        <x:f>IF(Q16="SIN_EJECUCION_DOMINIO","FALLO_CAPTURA",IF(OR(Q16="CAPTURA_MAL_FORMADA",Q16="IDENTIDAD",Q16="OBSERVACION_MAL_FORMADA",Q16="LEXEMA_O_FORMA"),"NO_ADMISION",IF(OR(Q16="PERFIL_NO_CONSTITUIDO",Q16="RESULTADO_NO_TERMINAL"),"FUERA_PERFIL",IF(Q16="CONTEXTO_NO_CONSTITUIDO","CONFIGURACION_PENDIENTE","VALIDA"))))</x:f>
        <x:v>VALIDA</x:v>
      </x:c>
      <x:c r="P16" s="12" t="str">
        <x:f>IF(O16&lt;&gt;"VALIDA","",IF(Q16=AA16,"1",IF(Q16=AB16,"0","U")))</x:f>
        <x:v>0</x:v>
      </x:c>
      <x:c r="Q16" s="12" t="str">
        <x:f>IF(E16="FALLO","SIN_EJECUCION_DOMINIO",IF(E16&lt;&gt;"LEGIBLE","CAPTURA_MAL_FORMADA",IF(D16&lt;&gt;"COINCIDE","IDENTIDAD",IF(OR(T16="",C16&lt;&gt;T16),"PERFIL_NO_CONSTITUIDO",IF(K16&lt;&gt;V16,IF(V16="ORDEN_ACREDITADO","ORDEN_NO_ACREDITADO","CONTEXTO_NO_CONSTITUIDO"),IF(AND(G16="AUSENTE",H16="",I16=""),"DATO_AUSENTE",IF(AND(G16="CONFLICTO",H16="",I16=""),"CONFLICTO_OBSERVACIONAL",IF(G16&lt;&gt;"UNICA","OBSERVACION_MAL_FORMADA",IF(F16&lt;&gt;U16,"OBSERVACION_INSUFICIENTE",IF(W16="RESULTADO",IF(H16=X16,AA16,IF(OR(H16="orcSucceededWithErrors",H16="orcFailed",H16="orcAborted"),AB16,IF(OR(H16="orcNotStarted",H16="orcInProgress"),"RESULTADO_NO_TERMINAL","LEXEMA_O_FORMA"))),IF(W16="EVENTO_BOOT",IF(H16=X16,AA16,IF(OR(H16="NINGUNO",H16="SOLO_HIBRIDO"),IF(J16="COMPLETA",AB16,"COBERTURA_INSUFICIENTE"),"LEXEMA_O_FORMA")),IF(W16="REQUISITO_SOFT",IF(H16=X16,AA16,IF(H16=Z16,AB16,"LEXEMA_O_FORMA")),IF(W16="EVENTO_PROC",IF(H16=X16,AA16,IF(H16=Z16,IF(J16="COMPLETA",AB16,"COBERTURA_INSUFICIENTE"),"LEXEMA_O_FORMA")),IF(W16="IMAGEN",IF(AND(AND(ISTEXT(H16),LEN(("x"&amp;H16))=65,EXACT(("x"&amp;H16),LOWER(("x"&amp;H16))),ISERROR(SEARCH(" ",("x"&amp;H16))),ISERROR(SEARCH(CHAR(9),("x"&amp;H16))),ISERROR(SEARCH(CHAR(10),("x"&amp;H16))),ISERROR(SEARCH(CHAR(13),("x"&amp;H16))),IFERROR(HEX2DEC(MID(("x"&amp;H16),2,8))&gt;=0,FALSE),IFERROR(HEX2DEC(MID(("x"&amp;H16),10,8))&gt;=0,FALSE),IFERROR(HEX2DEC(MID(("x"&amp;H16),18,8))&gt;=0,FALSE),IFERROR(HEX2DEC(MID(("x"&amp;H16),26,8))&gt;=0,FALSE),IFERROR(HEX2DEC(MID(("x"&amp;H16),34,8))&gt;=0,FALSE),IFERROR(HEX2DEC(MID(("x"&amp;H16),42,8))&gt;=0,FALSE),IFERROR(HEX2DEC(MID(("x"&amp;H16),50,8))&gt;=0,FALSE),IFERROR(HEX2DEC(MID(("x"&amp;H16),58,8))&gt;=0,FALSE)),AND(ISTEXT(I16),LEN(("x"&amp;I16))=65,EXACT(("x"&amp;I16),LOWER(("x"&amp;I16))),ISERROR(SEARCH(" ",("x"&amp;I16))),ISERROR(SEARCH(CHAR(9),("x"&amp;I16))),ISERROR(SEARCH(CHAR(10),("x"&amp;I16))),ISERROR(SEARCH(CHAR(13),("x"&amp;I16))),IFERROR(HEX2DEC(MID(("x"&amp;I16),2,8))&gt;=0,FALSE),IFERROR(HEX2DEC(MID(("x"&amp;I16),10,8))&gt;=0,FALSE),IFERROR(HEX2DEC(MID(("x"&amp;I16),18,8))&gt;=0,FALSE),IFERROR(HEX2DEC(MID(("x"&amp;I16),26,8))&gt;=0,FALSE),IFERROR(HEX2DEC(MID(("x"&amp;I16),34,8))&gt;=0,FALSE),IFERROR(HEX2DEC(MID(("x"&amp;I16),42,8))&gt;=0,FALSE),IFERROR(HEX2DEC(MID(("x"&amp;I16),50,8))&gt;=0,FALSE),IFERROR(HEX2DEC(MID(("x"&amp;I16),58,8))&gt;=0,FALSE))),IF(EXACT("x"&amp;H16,"x"&amp;I16),AA16,AB16),"LEXEMA_O_FORMA"),IF(W16="PRUEBA",IF(H16=X16,AA16,IF(H16=Z16,AB16,"LEXEMA_O_FORMA")),IF(W16="RETIRADA",IF(AND(H16="NINGUNO",I16=""),IF(J16="COMPLETA",AB16,"COBERTURA_INSUFICIENTE"),IF(AND(OR(H16="uoInstallation",H16="uoUninstallation"),OR(I16="orcSucceeded",I16="orcSucceededWithErrors",I16="orcFailed",I16="orcAborted",I16="orcInProgress",I16="orcNotStarted")),IF(AND(H16=X16,I16=Y16),AA16,IF(AND(H16=X16,OR(I16="orcSucceededWithErrors",I16="orcInProgress",I16="orcNotStarted")),"RESULTADO_RETIRADA_INCIERTO",IF(J16="COMPLETA",AB16,"COBERTURA_INSUFICIENTE"))),"LEXEMA_O_FORMA")),IF(W16="CAMBIO",IF(OR(H16="CAMBIO",H16="CAMBIO_Y_RETORNO"),AA16,IF(OR(H16="NINGUNO",H16="SOLO_RENOMBRE"),IF(J16="COMPLETA",AB16,"COBERTURA_INSUFICIENTE"),"LEXEMA_O_FORMA")),IF(W16="RESTAURACION",IF(H16=X16,AA16,IF(OR(H16="NINGUNO",H16="RESTAURACION_POSTERIOR",H16="RESTAURACION_FALLIDA"),IF(J16="COMPLETA",AB16,"COBERTURA_INSUFICIENTE"),"LEXEMA_O_FORMA")),"PERFIL_NO_CONSTITUIDO"))))))))))))))))))</x:f>
        <x:v>NO_EXITO_PLENO</x:v>
      </x:c>
      <x:c r="R16" s="12" t="str">
        <x:f>IF(AND(L16=O16,M16=P16,N16=Q16),"PASA","NO_PASA")</x:f>
        <x:v>PASA</x:v>
      </x:c>
      <x:c r="S16" s="4" t="str">
        <x:v>Resultado terminal distinto de éxito pleno; conserva el enum original.</x:v>
      </x:c>
      <x:c r="T16" s="12" t="str">
        <x:f>IFERROR(INDEX('55_Codificacion_ensayo'!$B$5:$B$13,MATCH(B16,'55_Codificacion_ensayo'!$A$5:$A$13,0)),"")</x:f>
        <x:v>WUA-RESULTADO-INDIVIDUAL-0.1</x:v>
      </x:c>
      <x:c r="U16" s="12" t="str">
        <x:f>IFERROR(INDEX('55_Codificacion_ensayo'!$C$5:$C$13,MATCH(B16,'55_Codificacion_ensayo'!$A$5:$A$13,0)),"")</x:f>
        <x:v>RESULTADO_WUA_INDIVIDUAL</x:v>
      </x:c>
      <x:c r="V16" s="12" t="str">
        <x:f>IFERROR(INDEX('55_Codificacion_ensayo'!$D$5:$D$13,MATCH(B16,'55_Codificacion_ensayo'!$A$5:$A$13,0)),"")</x:f>
        <x:v>INSTALAR_INDIVIDUAL</x:v>
      </x:c>
      <x:c r="W16" s="12" t="str">
        <x:f>IFERROR(INDEX('55_Codificacion_ensayo'!$E$5:$E$13,MATCH(B16,'55_Codificacion_ensayo'!$A$5:$A$13,0)),"")</x:f>
        <x:v>RESULTADO</x:v>
      </x:c>
      <x:c r="X16" s="12" t="str">
        <x:f>IFERROR(INDEX('55_Codificacion_ensayo'!$F$5:$F$13,MATCH(B16,'55_Codificacion_ensayo'!$A$5:$A$13,0)),"")</x:f>
        <x:v>orcSucceeded</x:v>
      </x:c>
      <x:c r="Y16" s="12" t="str">
        <x:f>IFERROR(INDEX('55_Codificacion_ensayo'!$G$5:$G$13,MATCH(B16,'55_Codificacion_ensayo'!$A$5:$A$13,0)),"")</x:f>
      </x:c>
      <x:c r="Z16" s="12" t="str">
        <x:f>IFERROR(INDEX('55_Codificacion_ensayo'!$H$5:$H$13,MATCH(B16,'55_Codificacion_ensayo'!$A$5:$A$13,0)),"")</x:f>
        <x:v>orcFailed</x:v>
      </x:c>
      <x:c r="AA16" s="12" t="str">
        <x:f>IFERROR(INDEX('55_Codificacion_ensayo'!$I$5:$I$13,MATCH(B16,'55_Codificacion_ensayo'!$A$5:$A$13,0)),"")</x:f>
        <x:v>EXITO_COMUNICADO</x:v>
      </x:c>
      <x:c r="AB16" s="12" t="str">
        <x:f>IFERROR(INDEX('55_Codificacion_ensayo'!$J$5:$J$13,MATCH(B16,'55_Codificacion_ensayo'!$A$5:$A$13,0)),"")</x:f>
        <x:v>NO_EXITO_PLENO</x:v>
      </x:c>
    </x:row>
    <x:row r="17" ht="47" customHeight="1">
      <x:c r="A17" s="4" t="str">
        <x:v>L10-02-13</x:v>
      </x:c>
      <x:c r="B17" s="4" t="str">
        <x:v>PAR-CYB-INSTALACION-EXITO-COMUNICADO-001</x:v>
      </x:c>
      <x:c r="C17" s="4" t="str">
        <x:v>WUA-RESULTADO-INDIVIDUAL-0.1</x:v>
      </x:c>
      <x:c r="D17" s="4" t="str">
        <x:v>COINCIDE</x:v>
      </x:c>
      <x:c r="E17" s="4" t="str">
        <x:v>LEGIBLE</x:v>
      </x:c>
      <x:c r="F17" s="4" t="str">
        <x:v>RESULTADO_WUA_INDIVIDUAL</x:v>
      </x:c>
      <x:c r="G17" s="4" t="str">
        <x:v>UNICA</x:v>
      </x:c>
      <x:c r="H17" s="4" t="str">
        <x:v>orcNotStarted</x:v>
      </x:c>
      <x:c r="I17" s="4" t="str"/>
      <x:c r="J17" s="4" t="str">
        <x:v>COMPLETA</x:v>
      </x:c>
      <x:c r="K17" s="4" t="str">
        <x:v>INSTALAR_INDIVIDUAL</x:v>
      </x:c>
      <x:c r="L17" s="4" t="str">
        <x:v>FUERA_PERFIL</x:v>
      </x:c>
      <x:c r="M17" s="4" t="str"/>
      <x:c r="N17" s="4" t="str">
        <x:v>RESULTADO_NO_TERMINAL</x:v>
      </x:c>
      <x:c r="O17" s="12" t="str">
        <x:f>IF(Q17="SIN_EJECUCION_DOMINIO","FALLO_CAPTURA",IF(OR(Q17="CAPTURA_MAL_FORMADA",Q17="IDENTIDAD",Q17="OBSERVACION_MAL_FORMADA",Q17="LEXEMA_O_FORMA"),"NO_ADMISION",IF(OR(Q17="PERFIL_NO_CONSTITUIDO",Q17="RESULTADO_NO_TERMINAL"),"FUERA_PERFIL",IF(Q17="CONTEXTO_NO_CONSTITUIDO","CONFIGURACION_PENDIENTE","VALIDA"))))</x:f>
        <x:v>FUERA_PERFIL</x:v>
      </x:c>
      <x:c r="P17" s="12" t="str">
        <x:f>IF(O17&lt;&gt;"VALIDA","",IF(Q17=AA17,"1",IF(Q17=AB17,"0","U")))</x:f>
      </x:c>
      <x:c r="Q17" s="12" t="str">
        <x:f>IF(E17="FALLO","SIN_EJECUCION_DOMINIO",IF(E17&lt;&gt;"LEGIBLE","CAPTURA_MAL_FORMADA",IF(D17&lt;&gt;"COINCIDE","IDENTIDAD",IF(OR(T17="",C17&lt;&gt;T17),"PERFIL_NO_CONSTITUIDO",IF(K17&lt;&gt;V17,IF(V17="ORDEN_ACREDITADO","ORDEN_NO_ACREDITADO","CONTEXTO_NO_CONSTITUIDO"),IF(AND(G17="AUSENTE",H17="",I17=""),"DATO_AUSENTE",IF(AND(G17="CONFLICTO",H17="",I17=""),"CONFLICTO_OBSERVACIONAL",IF(G17&lt;&gt;"UNICA","OBSERVACION_MAL_FORMADA",IF(F17&lt;&gt;U17,"OBSERVACION_INSUFICIENTE",IF(W17="RESULTADO",IF(H17=X17,AA17,IF(OR(H17="orcSucceededWithErrors",H17="orcFailed",H17="orcAborted"),AB17,IF(OR(H17="orcNotStarted",H17="orcInProgress"),"RESULTADO_NO_TERMINAL","LEXEMA_O_FORMA"))),IF(W17="EVENTO_BOOT",IF(H17=X17,AA17,IF(OR(H17="NINGUNO",H17="SOLO_HIBRIDO"),IF(J17="COMPLETA",AB17,"COBERTURA_INSUFICIENTE"),"LEXEMA_O_FORMA")),IF(W17="REQUISITO_SOFT",IF(H17=X17,AA17,IF(H17=Z17,AB17,"LEXEMA_O_FORMA")),IF(W17="EVENTO_PROC",IF(H17=X17,AA17,IF(H17=Z17,IF(J17="COMPLETA",AB17,"COBERTURA_INSUFICIENTE"),"LEXEMA_O_FORMA")),IF(W17="IMAGEN",IF(AND(AND(ISTEXT(H17),LEN(("x"&amp;H17))=65,EXACT(("x"&amp;H17),LOWER(("x"&amp;H17))),ISERROR(SEARCH(" ",("x"&amp;H17))),ISERROR(SEARCH(CHAR(9),("x"&amp;H17))),ISERROR(SEARCH(CHAR(10),("x"&amp;H17))),ISERROR(SEARCH(CHAR(13),("x"&amp;H17))),IFERROR(HEX2DEC(MID(("x"&amp;H17),2,8))&gt;=0,FALSE),IFERROR(HEX2DEC(MID(("x"&amp;H17),10,8))&gt;=0,FALSE),IFERROR(HEX2DEC(MID(("x"&amp;H17),18,8))&gt;=0,FALSE),IFERROR(HEX2DEC(MID(("x"&amp;H17),26,8))&gt;=0,FALSE),IFERROR(HEX2DEC(MID(("x"&amp;H17),34,8))&gt;=0,FALSE),IFERROR(HEX2DEC(MID(("x"&amp;H17),42,8))&gt;=0,FALSE),IFERROR(HEX2DEC(MID(("x"&amp;H17),50,8))&gt;=0,FALSE),IFERROR(HEX2DEC(MID(("x"&amp;H17),58,8))&gt;=0,FALSE)),AND(ISTEXT(I17),LEN(("x"&amp;I17))=65,EXACT(("x"&amp;I17),LOWER(("x"&amp;I17))),ISERROR(SEARCH(" ",("x"&amp;I17))),ISERROR(SEARCH(CHAR(9),("x"&amp;I17))),ISERROR(SEARCH(CHAR(10),("x"&amp;I17))),ISERROR(SEARCH(CHAR(13),("x"&amp;I17))),IFERROR(HEX2DEC(MID(("x"&amp;I17),2,8))&gt;=0,FALSE),IFERROR(HEX2DEC(MID(("x"&amp;I17),10,8))&gt;=0,FALSE),IFERROR(HEX2DEC(MID(("x"&amp;I17),18,8))&gt;=0,FALSE),IFERROR(HEX2DEC(MID(("x"&amp;I17),26,8))&gt;=0,FALSE),IFERROR(HEX2DEC(MID(("x"&amp;I17),34,8))&gt;=0,FALSE),IFERROR(HEX2DEC(MID(("x"&amp;I17),42,8))&gt;=0,FALSE),IFERROR(HEX2DEC(MID(("x"&amp;I17),50,8))&gt;=0,FALSE),IFERROR(HEX2DEC(MID(("x"&amp;I17),58,8))&gt;=0,FALSE))),IF(EXACT("x"&amp;H17,"x"&amp;I17),AA17,AB17),"LEXEMA_O_FORMA"),IF(W17="PRUEBA",IF(H17=X17,AA17,IF(H17=Z17,AB17,"LEXEMA_O_FORMA")),IF(W17="RETIRADA",IF(AND(H17="NINGUNO",I17=""),IF(J17="COMPLETA",AB17,"COBERTURA_INSUFICIENTE"),IF(AND(OR(H17="uoInstallation",H17="uoUninstallation"),OR(I17="orcSucceeded",I17="orcSucceededWithErrors",I17="orcFailed",I17="orcAborted",I17="orcInProgress",I17="orcNotStarted")),IF(AND(H17=X17,I17=Y17),AA17,IF(AND(H17=X17,OR(I17="orcSucceededWithErrors",I17="orcInProgress",I17="orcNotStarted")),"RESULTADO_RETIRADA_INCIERTO",IF(J17="COMPLETA",AB17,"COBERTURA_INSUFICIENTE"))),"LEXEMA_O_FORMA")),IF(W17="CAMBIO",IF(OR(H17="CAMBIO",H17="CAMBIO_Y_RETORNO"),AA17,IF(OR(H17="NINGUNO",H17="SOLO_RENOMBRE"),IF(J17="COMPLETA",AB17,"COBERTURA_INSUFICIENTE"),"LEXEMA_O_FORMA")),IF(W17="RESTAURACION",IF(H17=X17,AA17,IF(OR(H17="NINGUNO",H17="RESTAURACION_POSTERIOR",H17="RESTAURACION_FALLIDA"),IF(J17="COMPLETA",AB17,"COBERTURA_INSUFICIENTE"),"LEXEMA_O_FORMA")),"PERFIL_NO_CONSTITUIDO"))))))))))))))))))</x:f>
        <x:v>RESULTADO_NO_TERMINAL</x:v>
      </x:c>
      <x:c r="R17" s="12" t="str">
        <x:f>IF(AND(L17=O17,M17=P17,N17=Q17),"PASA","NO_PASA")</x:f>
        <x:v>PASA</x:v>
      </x:c>
      <x:c r="S17" s="4" t="str">
        <x:v>Intento aún no terminal fuera del perfil; no falsear el resultado.</x:v>
      </x:c>
      <x:c r="T17" s="12" t="str">
        <x:f>IFERROR(INDEX('55_Codificacion_ensayo'!$B$5:$B$13,MATCH(B17,'55_Codificacion_ensayo'!$A$5:$A$13,0)),"")</x:f>
        <x:v>WUA-RESULTADO-INDIVIDUAL-0.1</x:v>
      </x:c>
      <x:c r="U17" s="12" t="str">
        <x:f>IFERROR(INDEX('55_Codificacion_ensayo'!$C$5:$C$13,MATCH(B17,'55_Codificacion_ensayo'!$A$5:$A$13,0)),"")</x:f>
        <x:v>RESULTADO_WUA_INDIVIDUAL</x:v>
      </x:c>
      <x:c r="V17" s="12" t="str">
        <x:f>IFERROR(INDEX('55_Codificacion_ensayo'!$D$5:$D$13,MATCH(B17,'55_Codificacion_ensayo'!$A$5:$A$13,0)),"")</x:f>
        <x:v>INSTALAR_INDIVIDUAL</x:v>
      </x:c>
      <x:c r="W17" s="12" t="str">
        <x:f>IFERROR(INDEX('55_Codificacion_ensayo'!$E$5:$E$13,MATCH(B17,'55_Codificacion_ensayo'!$A$5:$A$13,0)),"")</x:f>
        <x:v>RESULTADO</x:v>
      </x:c>
      <x:c r="X17" s="12" t="str">
        <x:f>IFERROR(INDEX('55_Codificacion_ensayo'!$F$5:$F$13,MATCH(B17,'55_Codificacion_ensayo'!$A$5:$A$13,0)),"")</x:f>
        <x:v>orcSucceeded</x:v>
      </x:c>
      <x:c r="Y17" s="12" t="str">
        <x:f>IFERROR(INDEX('55_Codificacion_ensayo'!$G$5:$G$13,MATCH(B17,'55_Codificacion_ensayo'!$A$5:$A$13,0)),"")</x:f>
      </x:c>
      <x:c r="Z17" s="12" t="str">
        <x:f>IFERROR(INDEX('55_Codificacion_ensayo'!$H$5:$H$13,MATCH(B17,'55_Codificacion_ensayo'!$A$5:$A$13,0)),"")</x:f>
        <x:v>orcFailed</x:v>
      </x:c>
      <x:c r="AA17" s="12" t="str">
        <x:f>IFERROR(INDEX('55_Codificacion_ensayo'!$I$5:$I$13,MATCH(B17,'55_Codificacion_ensayo'!$A$5:$A$13,0)),"")</x:f>
        <x:v>EXITO_COMUNICADO</x:v>
      </x:c>
      <x:c r="AB17" s="12" t="str">
        <x:f>IFERROR(INDEX('55_Codificacion_ensayo'!$J$5:$J$13,MATCH(B17,'55_Codificacion_ensayo'!$A$5:$A$13,0)),"")</x:f>
        <x:v>NO_EXITO_PLENO</x:v>
      </x:c>
    </x:row>
    <x:row r="18" ht="47" customHeight="1">
      <x:c r="A18" s="4" t="str">
        <x:v>L10-02-14</x:v>
      </x:c>
      <x:c r="B18" s="4" t="str">
        <x:v>PAR-CYB-INSTALACION-EXITO-COMUNICADO-001</x:v>
      </x:c>
      <x:c r="C18" s="4" t="str">
        <x:v>WUA-RESULTADO-INDIVIDUAL-0.1</x:v>
      </x:c>
      <x:c r="D18" s="4" t="str">
        <x:v>COINCIDE</x:v>
      </x:c>
      <x:c r="E18" s="4" t="str">
        <x:v>LEGIBLE</x:v>
      </x:c>
      <x:c r="F18" s="4" t="str">
        <x:v>RESULTADO_WUA_INDIVIDUAL</x:v>
      </x:c>
      <x:c r="G18" s="4" t="str">
        <x:v>UNICA</x:v>
      </x:c>
      <x:c r="H18" s="4" t="str">
        <x:v>orcInProgress</x:v>
      </x:c>
      <x:c r="I18" s="4" t="str"/>
      <x:c r="J18" s="4" t="str">
        <x:v>COMPLETA</x:v>
      </x:c>
      <x:c r="K18" s="4" t="str">
        <x:v>INSTALAR_INDIVIDUAL</x:v>
      </x:c>
      <x:c r="L18" s="4" t="str">
        <x:v>FUERA_PERFIL</x:v>
      </x:c>
      <x:c r="M18" s="4" t="str"/>
      <x:c r="N18" s="4" t="str">
        <x:v>RESULTADO_NO_TERMINAL</x:v>
      </x:c>
      <x:c r="O18" s="12" t="str">
        <x:f>IF(Q18="SIN_EJECUCION_DOMINIO","FALLO_CAPTURA",IF(OR(Q18="CAPTURA_MAL_FORMADA",Q18="IDENTIDAD",Q18="OBSERVACION_MAL_FORMADA",Q18="LEXEMA_O_FORMA"),"NO_ADMISION",IF(OR(Q18="PERFIL_NO_CONSTITUIDO",Q18="RESULTADO_NO_TERMINAL"),"FUERA_PERFIL",IF(Q18="CONTEXTO_NO_CONSTITUIDO","CONFIGURACION_PENDIENTE","VALIDA"))))</x:f>
        <x:v>FUERA_PERFIL</x:v>
      </x:c>
      <x:c r="P18" s="12" t="str">
        <x:f>IF(O18&lt;&gt;"VALIDA","",IF(Q18=AA18,"1",IF(Q18=AB18,"0","U")))</x:f>
      </x:c>
      <x:c r="Q18" s="12" t="str">
        <x:f>IF(E18="FALLO","SIN_EJECUCION_DOMINIO",IF(E18&lt;&gt;"LEGIBLE","CAPTURA_MAL_FORMADA",IF(D18&lt;&gt;"COINCIDE","IDENTIDAD",IF(OR(T18="",C18&lt;&gt;T18),"PERFIL_NO_CONSTITUIDO",IF(K18&lt;&gt;V18,IF(V18="ORDEN_ACREDITADO","ORDEN_NO_ACREDITADO","CONTEXTO_NO_CONSTITUIDO"),IF(AND(G18="AUSENTE",H18="",I18=""),"DATO_AUSENTE",IF(AND(G18="CONFLICTO",H18="",I18=""),"CONFLICTO_OBSERVACIONAL",IF(G18&lt;&gt;"UNICA","OBSERVACION_MAL_FORMADA",IF(F18&lt;&gt;U18,"OBSERVACION_INSUFICIENTE",IF(W18="RESULTADO",IF(H18=X18,AA18,IF(OR(H18="orcSucceededWithErrors",H18="orcFailed",H18="orcAborted"),AB18,IF(OR(H18="orcNotStarted",H18="orcInProgress"),"RESULTADO_NO_TERMINAL","LEXEMA_O_FORMA"))),IF(W18="EVENTO_BOOT",IF(H18=X18,AA18,IF(OR(H18="NINGUNO",H18="SOLO_HIBRIDO"),IF(J18="COMPLETA",AB18,"COBERTURA_INSUFICIENTE"),"LEXEMA_O_FORMA")),IF(W18="REQUISITO_SOFT",IF(H18=X18,AA18,IF(H18=Z18,AB18,"LEXEMA_O_FORMA")),IF(W18="EVENTO_PROC",IF(H18=X18,AA18,IF(H18=Z18,IF(J18="COMPLETA",AB18,"COBERTURA_INSUFICIENTE"),"LEXEMA_O_FORMA")),IF(W18="IMAGEN",IF(AND(AND(ISTEXT(H18),LEN(("x"&amp;H18))=65,EXACT(("x"&amp;H18),LOWER(("x"&amp;H18))),ISERROR(SEARCH(" ",("x"&amp;H18))),ISERROR(SEARCH(CHAR(9),("x"&amp;H18))),ISERROR(SEARCH(CHAR(10),("x"&amp;H18))),ISERROR(SEARCH(CHAR(13),("x"&amp;H18))),IFERROR(HEX2DEC(MID(("x"&amp;H18),2,8))&gt;=0,FALSE),IFERROR(HEX2DEC(MID(("x"&amp;H18),10,8))&gt;=0,FALSE),IFERROR(HEX2DEC(MID(("x"&amp;H18),18,8))&gt;=0,FALSE),IFERROR(HEX2DEC(MID(("x"&amp;H18),26,8))&gt;=0,FALSE),IFERROR(HEX2DEC(MID(("x"&amp;H18),34,8))&gt;=0,FALSE),IFERROR(HEX2DEC(MID(("x"&amp;H18),42,8))&gt;=0,FALSE),IFERROR(HEX2DEC(MID(("x"&amp;H18),50,8))&gt;=0,FALSE),IFERROR(HEX2DEC(MID(("x"&amp;H18),58,8))&gt;=0,FALSE)),AND(ISTEXT(I18),LEN(("x"&amp;I18))=65,EXACT(("x"&amp;I18),LOWER(("x"&amp;I18))),ISERROR(SEARCH(" ",("x"&amp;I18))),ISERROR(SEARCH(CHAR(9),("x"&amp;I18))),ISERROR(SEARCH(CHAR(10),("x"&amp;I18))),ISERROR(SEARCH(CHAR(13),("x"&amp;I18))),IFERROR(HEX2DEC(MID(("x"&amp;I18),2,8))&gt;=0,FALSE),IFERROR(HEX2DEC(MID(("x"&amp;I18),10,8))&gt;=0,FALSE),IFERROR(HEX2DEC(MID(("x"&amp;I18),18,8))&gt;=0,FALSE),IFERROR(HEX2DEC(MID(("x"&amp;I18),26,8))&gt;=0,FALSE),IFERROR(HEX2DEC(MID(("x"&amp;I18),34,8))&gt;=0,FALSE),IFERROR(HEX2DEC(MID(("x"&amp;I18),42,8))&gt;=0,FALSE),IFERROR(HEX2DEC(MID(("x"&amp;I18),50,8))&gt;=0,FALSE),IFERROR(HEX2DEC(MID(("x"&amp;I18),58,8))&gt;=0,FALSE))),IF(EXACT("x"&amp;H18,"x"&amp;I18),AA18,AB18),"LEXEMA_O_FORMA"),IF(W18="PRUEBA",IF(H18=X18,AA18,IF(H18=Z18,AB18,"LEXEMA_O_FORMA")),IF(W18="RETIRADA",IF(AND(H18="NINGUNO",I18=""),IF(J18="COMPLETA",AB18,"COBERTURA_INSUFICIENTE"),IF(AND(OR(H18="uoInstallation",H18="uoUninstallation"),OR(I18="orcSucceeded",I18="orcSucceededWithErrors",I18="orcFailed",I18="orcAborted",I18="orcInProgress",I18="orcNotStarted")),IF(AND(H18=X18,I18=Y18),AA18,IF(AND(H18=X18,OR(I18="orcSucceededWithErrors",I18="orcInProgress",I18="orcNotStarted")),"RESULTADO_RETIRADA_INCIERTO",IF(J18="COMPLETA",AB18,"COBERTURA_INSUFICIENTE"))),"LEXEMA_O_FORMA")),IF(W18="CAMBIO",IF(OR(H18="CAMBIO",H18="CAMBIO_Y_RETORNO"),AA18,IF(OR(H18="NINGUNO",H18="SOLO_RENOMBRE"),IF(J18="COMPLETA",AB18,"COBERTURA_INSUFICIENTE"),"LEXEMA_O_FORMA")),IF(W18="RESTAURACION",IF(H18=X18,AA18,IF(OR(H18="NINGUNO",H18="RESTAURACION_POSTERIOR",H18="RESTAURACION_FALLIDA"),IF(J18="COMPLETA",AB18,"COBERTURA_INSUFICIENTE"),"LEXEMA_O_FORMA")),"PERFIL_NO_CONSTITUIDO"))))))))))))))))))</x:f>
        <x:v>RESULTADO_NO_TERMINAL</x:v>
      </x:c>
      <x:c r="R18" s="12" t="str">
        <x:f>IF(AND(L18=O18,M18=P18,N18=Q18),"PASA","NO_PASA")</x:f>
        <x:v>PASA</x:v>
      </x:c>
      <x:c r="S18" s="4" t="str">
        <x:v>Intento aún no terminal fuera del perfil; no falsear el resultado.</x:v>
      </x:c>
      <x:c r="T18" s="12" t="str">
        <x:f>IFERROR(INDEX('55_Codificacion_ensayo'!$B$5:$B$13,MATCH(B18,'55_Codificacion_ensayo'!$A$5:$A$13,0)),"")</x:f>
        <x:v>WUA-RESULTADO-INDIVIDUAL-0.1</x:v>
      </x:c>
      <x:c r="U18" s="12" t="str">
        <x:f>IFERROR(INDEX('55_Codificacion_ensayo'!$C$5:$C$13,MATCH(B18,'55_Codificacion_ensayo'!$A$5:$A$13,0)),"")</x:f>
        <x:v>RESULTADO_WUA_INDIVIDUAL</x:v>
      </x:c>
      <x:c r="V18" s="12" t="str">
        <x:f>IFERROR(INDEX('55_Codificacion_ensayo'!$D$5:$D$13,MATCH(B18,'55_Codificacion_ensayo'!$A$5:$A$13,0)),"")</x:f>
        <x:v>INSTALAR_INDIVIDUAL</x:v>
      </x:c>
      <x:c r="W18" s="12" t="str">
        <x:f>IFERROR(INDEX('55_Codificacion_ensayo'!$E$5:$E$13,MATCH(B18,'55_Codificacion_ensayo'!$A$5:$A$13,0)),"")</x:f>
        <x:v>RESULTADO</x:v>
      </x:c>
      <x:c r="X18" s="12" t="str">
        <x:f>IFERROR(INDEX('55_Codificacion_ensayo'!$F$5:$F$13,MATCH(B18,'55_Codificacion_ensayo'!$A$5:$A$13,0)),"")</x:f>
        <x:v>orcSucceeded</x:v>
      </x:c>
      <x:c r="Y18" s="12" t="str">
        <x:f>IFERROR(INDEX('55_Codificacion_ensayo'!$G$5:$G$13,MATCH(B18,'55_Codificacion_ensayo'!$A$5:$A$13,0)),"")</x:f>
      </x:c>
      <x:c r="Z18" s="12" t="str">
        <x:f>IFERROR(INDEX('55_Codificacion_ensayo'!$H$5:$H$13,MATCH(B18,'55_Codificacion_ensayo'!$A$5:$A$13,0)),"")</x:f>
        <x:v>orcFailed</x:v>
      </x:c>
      <x:c r="AA18" s="12" t="str">
        <x:f>IFERROR(INDEX('55_Codificacion_ensayo'!$I$5:$I$13,MATCH(B18,'55_Codificacion_ensayo'!$A$5:$A$13,0)),"")</x:f>
        <x:v>EXITO_COMUNICADO</x:v>
      </x:c>
      <x:c r="AB18" s="12" t="str">
        <x:f>IFERROR(INDEX('55_Codificacion_ensayo'!$J$5:$J$13,MATCH(B18,'55_Codificacion_ensayo'!$A$5:$A$13,0)),"")</x:f>
        <x:v>NO_EXITO_PLENO</x:v>
      </x:c>
    </x:row>
    <x:row r="19" ht="47" customHeight="1">
      <x:c r="A19" s="4" t="str">
        <x:v>L10-03-01</x:v>
      </x:c>
      <x:c r="B19" s="4" t="str">
        <x:v>PAR-CYB-REINICIO-SISTEMA-REALIZADO-001</x:v>
      </x:c>
      <x:c r="C19" s="4" t="str">
        <x:v>EVENTO-REINICIO-COMPLETO-0.1</x:v>
      </x:c>
      <x:c r="D19" s="4" t="str">
        <x:v>COINCIDE</x:v>
      </x:c>
      <x:c r="E19" s="4" t="str">
        <x:v>LEGIBLE</x:v>
      </x:c>
      <x:c r="F19" s="4" t="str">
        <x:v>ARRANQUE_COMPLETO</x:v>
      </x:c>
      <x:c r="G19" s="4" t="str">
        <x:v>UNICA</x:v>
      </x:c>
      <x:c r="H19" s="4" t="str">
        <x:v>REINICIO_COMPLETO</x:v>
      </x:c>
      <x:c r="I19" s="4" t="str"/>
      <x:c r="J19" s="4" t="str">
        <x:v>COMPLETA</x:v>
      </x:c>
      <x:c r="K19" s="4" t="str">
        <x:v>ORDEN_ACREDITADO</x:v>
      </x:c>
      <x:c r="L19" s="4" t="str">
        <x:v>VALIDA</x:v>
      </x:c>
      <x:c r="M19" s="4" t="str">
        <x:v>1</x:v>
      </x:c>
      <x:c r="N19" s="4" t="str">
        <x:v>REINICIO_REALIZADO</x:v>
      </x:c>
      <x:c r="O19" s="12" t="str">
        <x:f>IF(Q19="SIN_EJECUCION_DOMINIO","FALLO_CAPTURA",IF(OR(Q19="CAPTURA_MAL_FORMADA",Q19="IDENTIDAD",Q19="OBSERVACION_MAL_FORMADA",Q19="LEXEMA_O_FORMA"),"NO_ADMISION",IF(OR(Q19="PERFIL_NO_CONSTITUIDO",Q19="RESULTADO_NO_TERMINAL"),"FUERA_PERFIL",IF(Q19="CONTEXTO_NO_CONSTITUIDO","CONFIGURACION_PENDIENTE","VALIDA"))))</x:f>
        <x:v>VALIDA</x:v>
      </x:c>
      <x:c r="P19" s="12" t="str">
        <x:f>IF(O19&lt;&gt;"VALIDA","",IF(Q19=AA19,"1",IF(Q19=AB19,"0","U")))</x:f>
        <x:v>1</x:v>
      </x:c>
      <x:c r="Q19" s="12" t="str">
        <x:f>IF(E19="FALLO","SIN_EJECUCION_DOMINIO",IF(E19&lt;&gt;"LEGIBLE","CAPTURA_MAL_FORMADA",IF(D19&lt;&gt;"COINCIDE","IDENTIDAD",IF(OR(T19="",C19&lt;&gt;T19),"PERFIL_NO_CONSTITUIDO",IF(K19&lt;&gt;V19,IF(V19="ORDEN_ACREDITADO","ORDEN_NO_ACREDITADO","CONTEXTO_NO_CONSTITUIDO"),IF(AND(G19="AUSENTE",H19="",I19=""),"DATO_AUSENTE",IF(AND(G19="CONFLICTO",H19="",I19=""),"CONFLICTO_OBSERVACIONAL",IF(G19&lt;&gt;"UNICA","OBSERVACION_MAL_FORMADA",IF(F19&lt;&gt;U19,"OBSERVACION_INSUFICIENTE",IF(W19="RESULTADO",IF(H19=X19,AA19,IF(OR(H19="orcSucceededWithErrors",H19="orcFailed",H19="orcAborted"),AB19,IF(OR(H19="orcNotStarted",H19="orcInProgress"),"RESULTADO_NO_TERMINAL","LEXEMA_O_FORMA"))),IF(W19="EVENTO_BOOT",IF(H19=X19,AA19,IF(OR(H19="NINGUNO",H19="SOLO_HIBRIDO"),IF(J19="COMPLETA",AB19,"COBERTURA_INSUFICIENTE"),"LEXEMA_O_FORMA")),IF(W19="REQUISITO_SOFT",IF(H19=X19,AA19,IF(H19=Z19,AB19,"LEXEMA_O_FORMA")),IF(W19="EVENTO_PROC",IF(H19=X19,AA19,IF(H19=Z19,IF(J19="COMPLETA",AB19,"COBERTURA_INSUFICIENTE"),"LEXEMA_O_FORMA")),IF(W19="IMAGEN",IF(AND(AND(ISTEXT(H19),LEN(("x"&amp;H19))=65,EXACT(("x"&amp;H19),LOWER(("x"&amp;H19))),ISERROR(SEARCH(" ",("x"&amp;H19))),ISERROR(SEARCH(CHAR(9),("x"&amp;H19))),ISERROR(SEARCH(CHAR(10),("x"&amp;H19))),ISERROR(SEARCH(CHAR(13),("x"&amp;H19))),IFERROR(HEX2DEC(MID(("x"&amp;H19),2,8))&gt;=0,FALSE),IFERROR(HEX2DEC(MID(("x"&amp;H19),10,8))&gt;=0,FALSE),IFERROR(HEX2DEC(MID(("x"&amp;H19),18,8))&gt;=0,FALSE),IFERROR(HEX2DEC(MID(("x"&amp;H19),26,8))&gt;=0,FALSE),IFERROR(HEX2DEC(MID(("x"&amp;H19),34,8))&gt;=0,FALSE),IFERROR(HEX2DEC(MID(("x"&amp;H19),42,8))&gt;=0,FALSE),IFERROR(HEX2DEC(MID(("x"&amp;H19),50,8))&gt;=0,FALSE),IFERROR(HEX2DEC(MID(("x"&amp;H19),58,8))&gt;=0,FALSE)),AND(ISTEXT(I19),LEN(("x"&amp;I19))=65,EXACT(("x"&amp;I19),LOWER(("x"&amp;I19))),ISERROR(SEARCH(" ",("x"&amp;I19))),ISERROR(SEARCH(CHAR(9),("x"&amp;I19))),ISERROR(SEARCH(CHAR(10),("x"&amp;I19))),ISERROR(SEARCH(CHAR(13),("x"&amp;I19))),IFERROR(HEX2DEC(MID(("x"&amp;I19),2,8))&gt;=0,FALSE),IFERROR(HEX2DEC(MID(("x"&amp;I19),10,8))&gt;=0,FALSE),IFERROR(HEX2DEC(MID(("x"&amp;I19),18,8))&gt;=0,FALSE),IFERROR(HEX2DEC(MID(("x"&amp;I19),26,8))&gt;=0,FALSE),IFERROR(HEX2DEC(MID(("x"&amp;I19),34,8))&gt;=0,FALSE),IFERROR(HEX2DEC(MID(("x"&amp;I19),42,8))&gt;=0,FALSE),IFERROR(HEX2DEC(MID(("x"&amp;I19),50,8))&gt;=0,FALSE),IFERROR(HEX2DEC(MID(("x"&amp;I19),58,8))&gt;=0,FALSE))),IF(EXACT("x"&amp;H19,"x"&amp;I19),AA19,AB19),"LEXEMA_O_FORMA"),IF(W19="PRUEBA",IF(H19=X19,AA19,IF(H19=Z19,AB19,"LEXEMA_O_FORMA")),IF(W19="RETIRADA",IF(AND(H19="NINGUNO",I19=""),IF(J19="COMPLETA",AB19,"COBERTURA_INSUFICIENTE"),IF(AND(OR(H19="uoInstallation",H19="uoUninstallation"),OR(I19="orcSucceeded",I19="orcSucceededWithErrors",I19="orcFailed",I19="orcAborted",I19="orcInProgress",I19="orcNotStarted")),IF(AND(H19=X19,I19=Y19),AA19,IF(AND(H19=X19,OR(I19="orcSucceededWithErrors",I19="orcInProgress",I19="orcNotStarted")),"RESULTADO_RETIRADA_INCIERTO",IF(J19="COMPLETA",AB19,"COBERTURA_INSUFICIENTE"))),"LEXEMA_O_FORMA")),IF(W19="CAMBIO",IF(OR(H19="CAMBIO",H19="CAMBIO_Y_RETORNO"),AA19,IF(OR(H19="NINGUNO",H19="SOLO_RENOMBRE"),IF(J19="COMPLETA",AB19,"COBERTURA_INSUFICIENTE"),"LEXEMA_O_FORMA")),IF(W19="RESTAURACION",IF(H19=X19,AA19,IF(OR(H19="NINGUNO",H19="RESTAURACION_POSTERIOR",H19="RESTAURACION_FALLIDA"),IF(J19="COMPLETA",AB19,"COBERTURA_INSUFICIENTE"),"LEXEMA_O_FORMA")),"PERFIL_NO_CONSTITUIDO"))))))))))))))))))</x:f>
        <x:v>REINICIO_REALIZADO</x:v>
      </x:c>
      <x:c r="R19" s="12" t="str">
        <x:f>IF(AND(L19=O19,M19=P19,N19=Q19),"PASA","NO_PASA")</x:f>
        <x:v>PASA</x:v>
      </x:c>
      <x:c r="S19" s="4" t="str">
        <x:v>Testigo positivo de la proposición; no licencia ninguna conclusión más amplia.</x:v>
      </x:c>
      <x:c r="T19" s="12" t="str">
        <x:f>IFERROR(INDEX('55_Codificacion_ensayo'!$B$5:$B$13,MATCH(B19,'55_Codificacion_ensayo'!$A$5:$A$13,0)),"")</x:f>
        <x:v>EVENTO-REINICIO-COMPLETO-0.1</x:v>
      </x:c>
      <x:c r="U19" s="12" t="str">
        <x:f>IFERROR(INDEX('55_Codificacion_ensayo'!$C$5:$C$13,MATCH(B19,'55_Codificacion_ensayo'!$A$5:$A$13,0)),"")</x:f>
        <x:v>ARRANQUE_COMPLETO</x:v>
      </x:c>
      <x:c r="V19" s="12" t="str">
        <x:f>IFERROR(INDEX('55_Codificacion_ensayo'!$D$5:$D$13,MATCH(B19,'55_Codificacion_ensayo'!$A$5:$A$13,0)),"")</x:f>
        <x:v>ORDEN_ACREDITADO</x:v>
      </x:c>
      <x:c r="W19" s="12" t="str">
        <x:f>IFERROR(INDEX('55_Codificacion_ensayo'!$E$5:$E$13,MATCH(B19,'55_Codificacion_ensayo'!$A$5:$A$13,0)),"")</x:f>
        <x:v>EVENTO_BOOT</x:v>
      </x:c>
      <x:c r="X19" s="12" t="str">
        <x:f>IFERROR(INDEX('55_Codificacion_ensayo'!$F$5:$F$13,MATCH(B19,'55_Codificacion_ensayo'!$A$5:$A$13,0)),"")</x:f>
        <x:v>REINICIO_COMPLETO</x:v>
      </x:c>
      <x:c r="Y19" s="12" t="str">
        <x:f>IFERROR(INDEX('55_Codificacion_ensayo'!$G$5:$G$13,MATCH(B19,'55_Codificacion_ensayo'!$A$5:$A$13,0)),"")</x:f>
      </x:c>
      <x:c r="Z19" s="12" t="str">
        <x:f>IFERROR(INDEX('55_Codificacion_ensayo'!$H$5:$H$13,MATCH(B19,'55_Codificacion_ensayo'!$A$5:$A$13,0)),"")</x:f>
        <x:v>NINGUNO</x:v>
      </x:c>
      <x:c r="AA19" s="12" t="str">
        <x:f>IFERROR(INDEX('55_Codificacion_ensayo'!$I$5:$I$13,MATCH(B19,'55_Codificacion_ensayo'!$A$5:$A$13,0)),"")</x:f>
        <x:v>REINICIO_REALIZADO</x:v>
      </x:c>
      <x:c r="AB19" s="12" t="str">
        <x:f>IFERROR(INDEX('55_Codificacion_ensayo'!$J$5:$J$13,MATCH(B19,'55_Codificacion_ensayo'!$A$5:$A$13,0)),"")</x:f>
        <x:v>SIN_REINICIO_COMPLETO</x:v>
      </x:c>
    </x:row>
    <x:row r="20" ht="47" customHeight="1">
      <x:c r="A20" s="4" t="str">
        <x:v>L10-03-02</x:v>
      </x:c>
      <x:c r="B20" s="4" t="str">
        <x:v>PAR-CYB-REINICIO-SISTEMA-REALIZADO-001</x:v>
      </x:c>
      <x:c r="C20" s="4" t="str">
        <x:v>EVENTO-REINICIO-COMPLETO-0.1</x:v>
      </x:c>
      <x:c r="D20" s="4" t="str">
        <x:v>COINCIDE</x:v>
      </x:c>
      <x:c r="E20" s="4" t="str">
        <x:v>LEGIBLE</x:v>
      </x:c>
      <x:c r="F20" s="4" t="str">
        <x:v>ARRANQUE_COMPLETO</x:v>
      </x:c>
      <x:c r="G20" s="4" t="str">
        <x:v>UNICA</x:v>
      </x:c>
      <x:c r="H20" s="4" t="str">
        <x:v>NINGUNO</x:v>
      </x:c>
      <x:c r="I20" s="4" t="str"/>
      <x:c r="J20" s="4" t="str">
        <x:v>COMPLETA</x:v>
      </x:c>
      <x:c r="K20" s="4" t="str">
        <x:v>ORDEN_ACREDITADO</x:v>
      </x:c>
      <x:c r="L20" s="4" t="str">
        <x:v>VALIDA</x:v>
      </x:c>
      <x:c r="M20" s="4" t="str">
        <x:v>0</x:v>
      </x:c>
      <x:c r="N20" s="4" t="str">
        <x:v>SIN_REINICIO_COMPLETO</x:v>
      </x:c>
      <x:c r="O20" s="12" t="str">
        <x:f>IF(Q20="SIN_EJECUCION_DOMINIO","FALLO_CAPTURA",IF(OR(Q20="CAPTURA_MAL_FORMADA",Q20="IDENTIDAD",Q20="OBSERVACION_MAL_FORMADA",Q20="LEXEMA_O_FORMA"),"NO_ADMISION",IF(OR(Q20="PERFIL_NO_CONSTITUIDO",Q20="RESULTADO_NO_TERMINAL"),"FUERA_PERFIL",IF(Q20="CONTEXTO_NO_CONSTITUIDO","CONFIGURACION_PENDIENTE","VALIDA"))))</x:f>
        <x:v>VALIDA</x:v>
      </x:c>
      <x:c r="P20" s="12" t="str">
        <x:f>IF(O20&lt;&gt;"VALIDA","",IF(Q20=AA20,"1",IF(Q20=AB20,"0","U")))</x:f>
        <x:v>0</x:v>
      </x:c>
      <x:c r="Q20" s="12" t="str">
        <x:f>IF(E20="FALLO","SIN_EJECUCION_DOMINIO",IF(E20&lt;&gt;"LEGIBLE","CAPTURA_MAL_FORMADA",IF(D20&lt;&gt;"COINCIDE","IDENTIDAD",IF(OR(T20="",C20&lt;&gt;T20),"PERFIL_NO_CONSTITUIDO",IF(K20&lt;&gt;V20,IF(V20="ORDEN_ACREDITADO","ORDEN_NO_ACREDITADO","CONTEXTO_NO_CONSTITUIDO"),IF(AND(G20="AUSENTE",H20="",I20=""),"DATO_AUSENTE",IF(AND(G20="CONFLICTO",H20="",I20=""),"CONFLICTO_OBSERVACIONAL",IF(G20&lt;&gt;"UNICA","OBSERVACION_MAL_FORMADA",IF(F20&lt;&gt;U20,"OBSERVACION_INSUFICIENTE",IF(W20="RESULTADO",IF(H20=X20,AA20,IF(OR(H20="orcSucceededWithErrors",H20="orcFailed",H20="orcAborted"),AB20,IF(OR(H20="orcNotStarted",H20="orcInProgress"),"RESULTADO_NO_TERMINAL","LEXEMA_O_FORMA"))),IF(W20="EVENTO_BOOT",IF(H20=X20,AA20,IF(OR(H20="NINGUNO",H20="SOLO_HIBRIDO"),IF(J20="COMPLETA",AB20,"COBERTURA_INSUFICIENTE"),"LEXEMA_O_FORMA")),IF(W20="REQUISITO_SOFT",IF(H20=X20,AA20,IF(H20=Z20,AB20,"LEXEMA_O_FORMA")),IF(W20="EVENTO_PROC",IF(H20=X20,AA20,IF(H20=Z20,IF(J20="COMPLETA",AB20,"COBERTURA_INSUFICIENTE"),"LEXEMA_O_FORMA")),IF(W20="IMAGEN",IF(AND(AND(ISTEXT(H20),LEN(("x"&amp;H20))=65,EXACT(("x"&amp;H20),LOWER(("x"&amp;H20))),ISERROR(SEARCH(" ",("x"&amp;H20))),ISERROR(SEARCH(CHAR(9),("x"&amp;H20))),ISERROR(SEARCH(CHAR(10),("x"&amp;H20))),ISERROR(SEARCH(CHAR(13),("x"&amp;H20))),IFERROR(HEX2DEC(MID(("x"&amp;H20),2,8))&gt;=0,FALSE),IFERROR(HEX2DEC(MID(("x"&amp;H20),10,8))&gt;=0,FALSE),IFERROR(HEX2DEC(MID(("x"&amp;H20),18,8))&gt;=0,FALSE),IFERROR(HEX2DEC(MID(("x"&amp;H20),26,8))&gt;=0,FALSE),IFERROR(HEX2DEC(MID(("x"&amp;H20),34,8))&gt;=0,FALSE),IFERROR(HEX2DEC(MID(("x"&amp;H20),42,8))&gt;=0,FALSE),IFERROR(HEX2DEC(MID(("x"&amp;H20),50,8))&gt;=0,FALSE),IFERROR(HEX2DEC(MID(("x"&amp;H20),58,8))&gt;=0,FALSE)),AND(ISTEXT(I20),LEN(("x"&amp;I20))=65,EXACT(("x"&amp;I20),LOWER(("x"&amp;I20))),ISERROR(SEARCH(" ",("x"&amp;I20))),ISERROR(SEARCH(CHAR(9),("x"&amp;I20))),ISERROR(SEARCH(CHAR(10),("x"&amp;I20))),ISERROR(SEARCH(CHAR(13),("x"&amp;I20))),IFERROR(HEX2DEC(MID(("x"&amp;I20),2,8))&gt;=0,FALSE),IFERROR(HEX2DEC(MID(("x"&amp;I20),10,8))&gt;=0,FALSE),IFERROR(HEX2DEC(MID(("x"&amp;I20),18,8))&gt;=0,FALSE),IFERROR(HEX2DEC(MID(("x"&amp;I20),26,8))&gt;=0,FALSE),IFERROR(HEX2DEC(MID(("x"&amp;I20),34,8))&gt;=0,FALSE),IFERROR(HEX2DEC(MID(("x"&amp;I20),42,8))&gt;=0,FALSE),IFERROR(HEX2DEC(MID(("x"&amp;I20),50,8))&gt;=0,FALSE),IFERROR(HEX2DEC(MID(("x"&amp;I20),58,8))&gt;=0,FALSE))),IF(EXACT("x"&amp;H20,"x"&amp;I20),AA20,AB20),"LEXEMA_O_FORMA"),IF(W20="PRUEBA",IF(H20=X20,AA20,IF(H20=Z20,AB20,"LEXEMA_O_FORMA")),IF(W20="RETIRADA",IF(AND(H20="NINGUNO",I20=""),IF(J20="COMPLETA",AB20,"COBERTURA_INSUFICIENTE"),IF(AND(OR(H20="uoInstallation",H20="uoUninstallation"),OR(I20="orcSucceeded",I20="orcSucceededWithErrors",I20="orcFailed",I20="orcAborted",I20="orcInProgress",I20="orcNotStarted")),IF(AND(H20=X20,I20=Y20),AA20,IF(AND(H20=X20,OR(I20="orcSucceededWithErrors",I20="orcInProgress",I20="orcNotStarted")),"RESULTADO_RETIRADA_INCIERTO",IF(J20="COMPLETA",AB20,"COBERTURA_INSUFICIENTE"))),"LEXEMA_O_FORMA")),IF(W20="CAMBIO",IF(OR(H20="CAMBIO",H20="CAMBIO_Y_RETORNO"),AA20,IF(OR(H20="NINGUNO",H20="SOLO_RENOMBRE"),IF(J20="COMPLETA",AB20,"COBERTURA_INSUFICIENTE"),"LEXEMA_O_FORMA")),IF(W20="RESTAURACION",IF(H20=X20,AA20,IF(OR(H20="NINGUNO",H20="RESTAURACION_POSTERIOR",H20="RESTAURACION_FALLIDA"),IF(J20="COMPLETA",AB20,"COBERTURA_INSUFICIENTE"),"LEXEMA_O_FORMA")),"PERFIL_NO_CONSTITUIDO"))))))))))))))))))</x:f>
        <x:v>SIN_REINICIO_COMPLETO</x:v>
      </x:c>
      <x:c r="R20" s="12" t="str">
        <x:f>IF(AND(L20=O20,M20=P20,N20=Q20),"PASA","NO_PASA")</x:f>
        <x:v>PASA</x:v>
      </x:c>
      <x:c r="S20" s="4" t="str">
        <x:v>Negativo explícito; en eventos exige cobertura del intervalo.</x:v>
      </x:c>
      <x:c r="T20" s="12" t="str">
        <x:f>IFERROR(INDEX('55_Codificacion_ensayo'!$B$5:$B$13,MATCH(B20,'55_Codificacion_ensayo'!$A$5:$A$13,0)),"")</x:f>
        <x:v>EVENTO-REINICIO-COMPLETO-0.1</x:v>
      </x:c>
      <x:c r="U20" s="12" t="str">
        <x:f>IFERROR(INDEX('55_Codificacion_ensayo'!$C$5:$C$13,MATCH(B20,'55_Codificacion_ensayo'!$A$5:$A$13,0)),"")</x:f>
        <x:v>ARRANQUE_COMPLETO</x:v>
      </x:c>
      <x:c r="V20" s="12" t="str">
        <x:f>IFERROR(INDEX('55_Codificacion_ensayo'!$D$5:$D$13,MATCH(B20,'55_Codificacion_ensayo'!$A$5:$A$13,0)),"")</x:f>
        <x:v>ORDEN_ACREDITADO</x:v>
      </x:c>
      <x:c r="W20" s="12" t="str">
        <x:f>IFERROR(INDEX('55_Codificacion_ensayo'!$E$5:$E$13,MATCH(B20,'55_Codificacion_ensayo'!$A$5:$A$13,0)),"")</x:f>
        <x:v>EVENTO_BOOT</x:v>
      </x:c>
      <x:c r="X20" s="12" t="str">
        <x:f>IFERROR(INDEX('55_Codificacion_ensayo'!$F$5:$F$13,MATCH(B20,'55_Codificacion_ensayo'!$A$5:$A$13,0)),"")</x:f>
        <x:v>REINICIO_COMPLETO</x:v>
      </x:c>
      <x:c r="Y20" s="12" t="str">
        <x:f>IFERROR(INDEX('55_Codificacion_ensayo'!$G$5:$G$13,MATCH(B20,'55_Codificacion_ensayo'!$A$5:$A$13,0)),"")</x:f>
      </x:c>
      <x:c r="Z20" s="12" t="str">
        <x:f>IFERROR(INDEX('55_Codificacion_ensayo'!$H$5:$H$13,MATCH(B20,'55_Codificacion_ensayo'!$A$5:$A$13,0)),"")</x:f>
        <x:v>NINGUNO</x:v>
      </x:c>
      <x:c r="AA20" s="12" t="str">
        <x:f>IFERROR(INDEX('55_Codificacion_ensayo'!$I$5:$I$13,MATCH(B20,'55_Codificacion_ensayo'!$A$5:$A$13,0)),"")</x:f>
        <x:v>REINICIO_REALIZADO</x:v>
      </x:c>
      <x:c r="AB20" s="12" t="str">
        <x:f>IFERROR(INDEX('55_Codificacion_ensayo'!$J$5:$J$13,MATCH(B20,'55_Codificacion_ensayo'!$A$5:$A$13,0)),"")</x:f>
        <x:v>SIN_REINICIO_COMPLETO</x:v>
      </x:c>
    </x:row>
    <x:row r="21" ht="47" customHeight="1">
      <x:c r="A21" s="4" t="str">
        <x:v>L10-03-03</x:v>
      </x:c>
      <x:c r="B21" s="4" t="str">
        <x:v>PAR-CYB-REINICIO-SISTEMA-REALIZADO-001</x:v>
      </x:c>
      <x:c r="C21" s="4" t="str">
        <x:v>EVENTO-REINICIO-COMPLETO-0.1</x:v>
      </x:c>
      <x:c r="D21" s="4" t="str">
        <x:v>COINCIDE</x:v>
      </x:c>
      <x:c r="E21" s="4" t="str">
        <x:v>LEGIBLE</x:v>
      </x:c>
      <x:c r="F21" s="4" t="str">
        <x:v>ARRANQUE_COMPLETO</x:v>
      </x:c>
      <x:c r="G21" s="4" t="str">
        <x:v>AUSENTE</x:v>
      </x:c>
      <x:c r="H21" s="4" t="str"/>
      <x:c r="I21" s="4" t="str"/>
      <x:c r="J21" s="4" t="str">
        <x:v>COMPLETA</x:v>
      </x:c>
      <x:c r="K21" s="4" t="str">
        <x:v>ORDEN_ACREDITADO</x:v>
      </x:c>
      <x:c r="L21" s="4" t="str">
        <x:v>VALIDA</x:v>
      </x:c>
      <x:c r="M21" s="4" t="str">
        <x:v>U</x:v>
      </x:c>
      <x:c r="N21" s="4" t="str">
        <x:v>DATO_AUSENTE</x:v>
      </x:c>
      <x:c r="O21" s="12" t="str">
        <x:f>IF(Q21="SIN_EJECUCION_DOMINIO","FALLO_CAPTURA",IF(OR(Q21="CAPTURA_MAL_FORMADA",Q21="IDENTIDAD",Q21="OBSERVACION_MAL_FORMADA",Q21="LEXEMA_O_FORMA"),"NO_ADMISION",IF(OR(Q21="PERFIL_NO_CONSTITUIDO",Q21="RESULTADO_NO_TERMINAL"),"FUERA_PERFIL",IF(Q21="CONTEXTO_NO_CONSTITUIDO","CONFIGURACION_PENDIENTE","VALIDA"))))</x:f>
        <x:v>VALIDA</x:v>
      </x:c>
      <x:c r="P21" s="12" t="str">
        <x:f>IF(O21&lt;&gt;"VALIDA","",IF(Q21=AA21,"1",IF(Q21=AB21,"0","U")))</x:f>
        <x:v>U</x:v>
      </x:c>
      <x:c r="Q21" s="12" t="str">
        <x:f>IF(E21="FALLO","SIN_EJECUCION_DOMINIO",IF(E21&lt;&gt;"LEGIBLE","CAPTURA_MAL_FORMADA",IF(D21&lt;&gt;"COINCIDE","IDENTIDAD",IF(OR(T21="",C21&lt;&gt;T21),"PERFIL_NO_CONSTITUIDO",IF(K21&lt;&gt;V21,IF(V21="ORDEN_ACREDITADO","ORDEN_NO_ACREDITADO","CONTEXTO_NO_CONSTITUIDO"),IF(AND(G21="AUSENTE",H21="",I21=""),"DATO_AUSENTE",IF(AND(G21="CONFLICTO",H21="",I21=""),"CONFLICTO_OBSERVACIONAL",IF(G21&lt;&gt;"UNICA","OBSERVACION_MAL_FORMADA",IF(F21&lt;&gt;U21,"OBSERVACION_INSUFICIENTE",IF(W21="RESULTADO",IF(H21=X21,AA21,IF(OR(H21="orcSucceededWithErrors",H21="orcFailed",H21="orcAborted"),AB21,IF(OR(H21="orcNotStarted",H21="orcInProgress"),"RESULTADO_NO_TERMINAL","LEXEMA_O_FORMA"))),IF(W21="EVENTO_BOOT",IF(H21=X21,AA21,IF(OR(H21="NINGUNO",H21="SOLO_HIBRIDO"),IF(J21="COMPLETA",AB21,"COBERTURA_INSUFICIENTE"),"LEXEMA_O_FORMA")),IF(W21="REQUISITO_SOFT",IF(H21=X21,AA21,IF(H21=Z21,AB21,"LEXEMA_O_FORMA")),IF(W21="EVENTO_PROC",IF(H21=X21,AA21,IF(H21=Z21,IF(J21="COMPLETA",AB21,"COBERTURA_INSUFICIENTE"),"LEXEMA_O_FORMA")),IF(W21="IMAGEN",IF(AND(AND(ISTEXT(H21),LEN(("x"&amp;H21))=65,EXACT(("x"&amp;H21),LOWER(("x"&amp;H21))),ISERROR(SEARCH(" ",("x"&amp;H21))),ISERROR(SEARCH(CHAR(9),("x"&amp;H21))),ISERROR(SEARCH(CHAR(10),("x"&amp;H21))),ISERROR(SEARCH(CHAR(13),("x"&amp;H21))),IFERROR(HEX2DEC(MID(("x"&amp;H21),2,8))&gt;=0,FALSE),IFERROR(HEX2DEC(MID(("x"&amp;H21),10,8))&gt;=0,FALSE),IFERROR(HEX2DEC(MID(("x"&amp;H21),18,8))&gt;=0,FALSE),IFERROR(HEX2DEC(MID(("x"&amp;H21),26,8))&gt;=0,FALSE),IFERROR(HEX2DEC(MID(("x"&amp;H21),34,8))&gt;=0,FALSE),IFERROR(HEX2DEC(MID(("x"&amp;H21),42,8))&gt;=0,FALSE),IFERROR(HEX2DEC(MID(("x"&amp;H21),50,8))&gt;=0,FALSE),IFERROR(HEX2DEC(MID(("x"&amp;H21),58,8))&gt;=0,FALSE)),AND(ISTEXT(I21),LEN(("x"&amp;I21))=65,EXACT(("x"&amp;I21),LOWER(("x"&amp;I21))),ISERROR(SEARCH(" ",("x"&amp;I21))),ISERROR(SEARCH(CHAR(9),("x"&amp;I21))),ISERROR(SEARCH(CHAR(10),("x"&amp;I21))),ISERROR(SEARCH(CHAR(13),("x"&amp;I21))),IFERROR(HEX2DEC(MID(("x"&amp;I21),2,8))&gt;=0,FALSE),IFERROR(HEX2DEC(MID(("x"&amp;I21),10,8))&gt;=0,FALSE),IFERROR(HEX2DEC(MID(("x"&amp;I21),18,8))&gt;=0,FALSE),IFERROR(HEX2DEC(MID(("x"&amp;I21),26,8))&gt;=0,FALSE),IFERROR(HEX2DEC(MID(("x"&amp;I21),34,8))&gt;=0,FALSE),IFERROR(HEX2DEC(MID(("x"&amp;I21),42,8))&gt;=0,FALSE),IFERROR(HEX2DEC(MID(("x"&amp;I21),50,8))&gt;=0,FALSE),IFERROR(HEX2DEC(MID(("x"&amp;I21),58,8))&gt;=0,FALSE))),IF(EXACT("x"&amp;H21,"x"&amp;I21),AA21,AB21),"LEXEMA_O_FORMA"),IF(W21="PRUEBA",IF(H21=X21,AA21,IF(H21=Z21,AB21,"LEXEMA_O_FORMA")),IF(W21="RETIRADA",IF(AND(H21="NINGUNO",I21=""),IF(J21="COMPLETA",AB21,"COBERTURA_INSUFICIENTE"),IF(AND(OR(H21="uoInstallation",H21="uoUninstallation"),OR(I21="orcSucceeded",I21="orcSucceededWithErrors",I21="orcFailed",I21="orcAborted",I21="orcInProgress",I21="orcNotStarted")),IF(AND(H21=X21,I21=Y21),AA21,IF(AND(H21=X21,OR(I21="orcSucceededWithErrors",I21="orcInProgress",I21="orcNotStarted")),"RESULTADO_RETIRADA_INCIERTO",IF(J21="COMPLETA",AB21,"COBERTURA_INSUFICIENTE"))),"LEXEMA_O_FORMA")),IF(W21="CAMBIO",IF(OR(H21="CAMBIO",H21="CAMBIO_Y_RETORNO"),AA21,IF(OR(H21="NINGUNO",H21="SOLO_RENOMBRE"),IF(J21="COMPLETA",AB21,"COBERTURA_INSUFICIENTE"),"LEXEMA_O_FORMA")),IF(W21="RESTAURACION",IF(H21=X21,AA21,IF(OR(H21="NINGUNO",H21="RESTAURACION_POSTERIOR",H21="RESTAURACION_FALLIDA"),IF(J21="COMPLETA",AB21,"COBERTURA_INSUFICIENTE"),"LEXEMA_O_FORMA")),"PERFIL_NO_CONSTITUIDO"))))))))))))))))))</x:f>
        <x:v>DATO_AUSENTE</x:v>
      </x:c>
      <x:c r="R21" s="12" t="str">
        <x:f>IF(AND(L21=O21,M21=P21,N21=Q21),"PASA","NO_PASA")</x:f>
        <x:v>PASA</x:v>
      </x:c>
      <x:c r="S21" s="4" t="str">
        <x:v>Documento declara que falta la observación, sin convertir ausencia en 0.</x:v>
      </x:c>
      <x:c r="T21" s="12" t="str">
        <x:f>IFERROR(INDEX('55_Codificacion_ensayo'!$B$5:$B$13,MATCH(B21,'55_Codificacion_ensayo'!$A$5:$A$13,0)),"")</x:f>
        <x:v>EVENTO-REINICIO-COMPLETO-0.1</x:v>
      </x:c>
      <x:c r="U21" s="12" t="str">
        <x:f>IFERROR(INDEX('55_Codificacion_ensayo'!$C$5:$C$13,MATCH(B21,'55_Codificacion_ensayo'!$A$5:$A$13,0)),"")</x:f>
        <x:v>ARRANQUE_COMPLETO</x:v>
      </x:c>
      <x:c r="V21" s="12" t="str">
        <x:f>IFERROR(INDEX('55_Codificacion_ensayo'!$D$5:$D$13,MATCH(B21,'55_Codificacion_ensayo'!$A$5:$A$13,0)),"")</x:f>
        <x:v>ORDEN_ACREDITADO</x:v>
      </x:c>
      <x:c r="W21" s="12" t="str">
        <x:f>IFERROR(INDEX('55_Codificacion_ensayo'!$E$5:$E$13,MATCH(B21,'55_Codificacion_ensayo'!$A$5:$A$13,0)),"")</x:f>
        <x:v>EVENTO_BOOT</x:v>
      </x:c>
      <x:c r="X21" s="12" t="str">
        <x:f>IFERROR(INDEX('55_Codificacion_ensayo'!$F$5:$F$13,MATCH(B21,'55_Codificacion_ensayo'!$A$5:$A$13,0)),"")</x:f>
        <x:v>REINICIO_COMPLETO</x:v>
      </x:c>
      <x:c r="Y21" s="12" t="str">
        <x:f>IFERROR(INDEX('55_Codificacion_ensayo'!$G$5:$G$13,MATCH(B21,'55_Codificacion_ensayo'!$A$5:$A$13,0)),"")</x:f>
      </x:c>
      <x:c r="Z21" s="12" t="str">
        <x:f>IFERROR(INDEX('55_Codificacion_ensayo'!$H$5:$H$13,MATCH(B21,'55_Codificacion_ensayo'!$A$5:$A$13,0)),"")</x:f>
        <x:v>NINGUNO</x:v>
      </x:c>
      <x:c r="AA21" s="12" t="str">
        <x:f>IFERROR(INDEX('55_Codificacion_ensayo'!$I$5:$I$13,MATCH(B21,'55_Codificacion_ensayo'!$A$5:$A$13,0)),"")</x:f>
        <x:v>REINICIO_REALIZADO</x:v>
      </x:c>
      <x:c r="AB21" s="12" t="str">
        <x:f>IFERROR(INDEX('55_Codificacion_ensayo'!$J$5:$J$13,MATCH(B21,'55_Codificacion_ensayo'!$A$5:$A$13,0)),"")</x:f>
        <x:v>SIN_REINICIO_COMPLETO</x:v>
      </x:c>
    </x:row>
    <x:row r="22" ht="47" customHeight="1">
      <x:c r="A22" s="4" t="str">
        <x:v>L10-03-04</x:v>
      </x:c>
      <x:c r="B22" s="4" t="str">
        <x:v>PAR-CYB-REINICIO-SISTEMA-REALIZADO-001</x:v>
      </x:c>
      <x:c r="C22" s="4" t="str">
        <x:v>EVENTO-REINICIO-COMPLETO-0.1</x:v>
      </x:c>
      <x:c r="D22" s="4" t="str">
        <x:v>COINCIDE</x:v>
      </x:c>
      <x:c r="E22" s="4" t="str">
        <x:v>LEGIBLE</x:v>
      </x:c>
      <x:c r="F22" s="4" t="str">
        <x:v>ARRANQUE_COMPLETO</x:v>
      </x:c>
      <x:c r="G22" s="4" t="str">
        <x:v>CONFLICTO</x:v>
      </x:c>
      <x:c r="H22" s="4" t="str"/>
      <x:c r="I22" s="4" t="str"/>
      <x:c r="J22" s="4" t="str">
        <x:v>COMPLETA</x:v>
      </x:c>
      <x:c r="K22" s="4" t="str">
        <x:v>ORDEN_ACREDITADO</x:v>
      </x:c>
      <x:c r="L22" s="4" t="str">
        <x:v>VALIDA</x:v>
      </x:c>
      <x:c r="M22" s="4" t="str">
        <x:v>U</x:v>
      </x:c>
      <x:c r="N22" s="4" t="str">
        <x:v>CONFLICTO_OBSERVACIONAL</x:v>
      </x:c>
      <x:c r="O22" s="12" t="str">
        <x:f>IF(Q22="SIN_EJECUCION_DOMINIO","FALLO_CAPTURA",IF(OR(Q22="CAPTURA_MAL_FORMADA",Q22="IDENTIDAD",Q22="OBSERVACION_MAL_FORMADA",Q22="LEXEMA_O_FORMA"),"NO_ADMISION",IF(OR(Q22="PERFIL_NO_CONSTITUIDO",Q22="RESULTADO_NO_TERMINAL"),"FUERA_PERFIL",IF(Q22="CONTEXTO_NO_CONSTITUIDO","CONFIGURACION_PENDIENTE","VALIDA"))))</x:f>
        <x:v>VALIDA</x:v>
      </x:c>
      <x:c r="P22" s="12" t="str">
        <x:f>IF(O22&lt;&gt;"VALIDA","",IF(Q22=AA22,"1",IF(Q22=AB22,"0","U")))</x:f>
        <x:v>U</x:v>
      </x:c>
      <x:c r="Q22" s="12" t="str">
        <x:f>IF(E22="FALLO","SIN_EJECUCION_DOMINIO",IF(E22&lt;&gt;"LEGIBLE","CAPTURA_MAL_FORMADA",IF(D22&lt;&gt;"COINCIDE","IDENTIDAD",IF(OR(T22="",C22&lt;&gt;T22),"PERFIL_NO_CONSTITUIDO",IF(K22&lt;&gt;V22,IF(V22="ORDEN_ACREDITADO","ORDEN_NO_ACREDITADO","CONTEXTO_NO_CONSTITUIDO"),IF(AND(G22="AUSENTE",H22="",I22=""),"DATO_AUSENTE",IF(AND(G22="CONFLICTO",H22="",I22=""),"CONFLICTO_OBSERVACIONAL",IF(G22&lt;&gt;"UNICA","OBSERVACION_MAL_FORMADA",IF(F22&lt;&gt;U22,"OBSERVACION_INSUFICIENTE",IF(W22="RESULTADO",IF(H22=X22,AA22,IF(OR(H22="orcSucceededWithErrors",H22="orcFailed",H22="orcAborted"),AB22,IF(OR(H22="orcNotStarted",H22="orcInProgress"),"RESULTADO_NO_TERMINAL","LEXEMA_O_FORMA"))),IF(W22="EVENTO_BOOT",IF(H22=X22,AA22,IF(OR(H22="NINGUNO",H22="SOLO_HIBRIDO"),IF(J22="COMPLETA",AB22,"COBERTURA_INSUFICIENTE"),"LEXEMA_O_FORMA")),IF(W22="REQUISITO_SOFT",IF(H22=X22,AA22,IF(H22=Z22,AB22,"LEXEMA_O_FORMA")),IF(W22="EVENTO_PROC",IF(H22=X22,AA22,IF(H22=Z22,IF(J22="COMPLETA",AB22,"COBERTURA_INSUFICIENTE"),"LEXEMA_O_FORMA")),IF(W22="IMAGEN",IF(AND(AND(ISTEXT(H22),LEN(("x"&amp;H22))=65,EXACT(("x"&amp;H22),LOWER(("x"&amp;H22))),ISERROR(SEARCH(" ",("x"&amp;H22))),ISERROR(SEARCH(CHAR(9),("x"&amp;H22))),ISERROR(SEARCH(CHAR(10),("x"&amp;H22))),ISERROR(SEARCH(CHAR(13),("x"&amp;H22))),IFERROR(HEX2DEC(MID(("x"&amp;H22),2,8))&gt;=0,FALSE),IFERROR(HEX2DEC(MID(("x"&amp;H22),10,8))&gt;=0,FALSE),IFERROR(HEX2DEC(MID(("x"&amp;H22),18,8))&gt;=0,FALSE),IFERROR(HEX2DEC(MID(("x"&amp;H22),26,8))&gt;=0,FALSE),IFERROR(HEX2DEC(MID(("x"&amp;H22),34,8))&gt;=0,FALSE),IFERROR(HEX2DEC(MID(("x"&amp;H22),42,8))&gt;=0,FALSE),IFERROR(HEX2DEC(MID(("x"&amp;H22),50,8))&gt;=0,FALSE),IFERROR(HEX2DEC(MID(("x"&amp;H22),58,8))&gt;=0,FALSE)),AND(ISTEXT(I22),LEN(("x"&amp;I22))=65,EXACT(("x"&amp;I22),LOWER(("x"&amp;I22))),ISERROR(SEARCH(" ",("x"&amp;I22))),ISERROR(SEARCH(CHAR(9),("x"&amp;I22))),ISERROR(SEARCH(CHAR(10),("x"&amp;I22))),ISERROR(SEARCH(CHAR(13),("x"&amp;I22))),IFERROR(HEX2DEC(MID(("x"&amp;I22),2,8))&gt;=0,FALSE),IFERROR(HEX2DEC(MID(("x"&amp;I22),10,8))&gt;=0,FALSE),IFERROR(HEX2DEC(MID(("x"&amp;I22),18,8))&gt;=0,FALSE),IFERROR(HEX2DEC(MID(("x"&amp;I22),26,8))&gt;=0,FALSE),IFERROR(HEX2DEC(MID(("x"&amp;I22),34,8))&gt;=0,FALSE),IFERROR(HEX2DEC(MID(("x"&amp;I22),42,8))&gt;=0,FALSE),IFERROR(HEX2DEC(MID(("x"&amp;I22),50,8))&gt;=0,FALSE),IFERROR(HEX2DEC(MID(("x"&amp;I22),58,8))&gt;=0,FALSE))),IF(EXACT("x"&amp;H22,"x"&amp;I22),AA22,AB22),"LEXEMA_O_FORMA"),IF(W22="PRUEBA",IF(H22=X22,AA22,IF(H22=Z22,AB22,"LEXEMA_O_FORMA")),IF(W22="RETIRADA",IF(AND(H22="NINGUNO",I22=""),IF(J22="COMPLETA",AB22,"COBERTURA_INSUFICIENTE"),IF(AND(OR(H22="uoInstallation",H22="uoUninstallation"),OR(I22="orcSucceeded",I22="orcSucceededWithErrors",I22="orcFailed",I22="orcAborted",I22="orcInProgress",I22="orcNotStarted")),IF(AND(H22=X22,I22=Y22),AA22,IF(AND(H22=X22,OR(I22="orcSucceededWithErrors",I22="orcInProgress",I22="orcNotStarted")),"RESULTADO_RETIRADA_INCIERTO",IF(J22="COMPLETA",AB22,"COBERTURA_INSUFICIENTE"))),"LEXEMA_O_FORMA")),IF(W22="CAMBIO",IF(OR(H22="CAMBIO",H22="CAMBIO_Y_RETORNO"),AA22,IF(OR(H22="NINGUNO",H22="SOLO_RENOMBRE"),IF(J22="COMPLETA",AB22,"COBERTURA_INSUFICIENTE"),"LEXEMA_O_FORMA")),IF(W22="RESTAURACION",IF(H22=X22,AA22,IF(OR(H22="NINGUNO",H22="RESTAURACION_POSTERIOR",H22="RESTAURACION_FALLIDA"),IF(J22="COMPLETA",AB22,"COBERTURA_INSUFICIENTE"),"LEXEMA_O_FORMA")),"PERFIL_NO_CONSTITUIDO"))))))))))))))))))</x:f>
        <x:v>CONFLICTO_OBSERVACIONAL</x:v>
      </x:c>
      <x:c r="R22" s="12" t="str">
        <x:f>IF(AND(L22=O22,M22=P22,N22=Q22),"PASA","NO_PASA")</x:f>
        <x:v>PASA</x:v>
      </x:c>
      <x:c r="S22" s="4" t="str">
        <x:v>Conflicto entre observaciones admitidas del mismo sujeto y corte.</x:v>
      </x:c>
      <x:c r="T22" s="12" t="str">
        <x:f>IFERROR(INDEX('55_Codificacion_ensayo'!$B$5:$B$13,MATCH(B22,'55_Codificacion_ensayo'!$A$5:$A$13,0)),"")</x:f>
        <x:v>EVENTO-REINICIO-COMPLETO-0.1</x:v>
      </x:c>
      <x:c r="U22" s="12" t="str">
        <x:f>IFERROR(INDEX('55_Codificacion_ensayo'!$C$5:$C$13,MATCH(B22,'55_Codificacion_ensayo'!$A$5:$A$13,0)),"")</x:f>
        <x:v>ARRANQUE_COMPLETO</x:v>
      </x:c>
      <x:c r="V22" s="12" t="str">
        <x:f>IFERROR(INDEX('55_Codificacion_ensayo'!$D$5:$D$13,MATCH(B22,'55_Codificacion_ensayo'!$A$5:$A$13,0)),"")</x:f>
        <x:v>ORDEN_ACREDITADO</x:v>
      </x:c>
      <x:c r="W22" s="12" t="str">
        <x:f>IFERROR(INDEX('55_Codificacion_ensayo'!$E$5:$E$13,MATCH(B22,'55_Codificacion_ensayo'!$A$5:$A$13,0)),"")</x:f>
        <x:v>EVENTO_BOOT</x:v>
      </x:c>
      <x:c r="X22" s="12" t="str">
        <x:f>IFERROR(INDEX('55_Codificacion_ensayo'!$F$5:$F$13,MATCH(B22,'55_Codificacion_ensayo'!$A$5:$A$13,0)),"")</x:f>
        <x:v>REINICIO_COMPLETO</x:v>
      </x:c>
      <x:c r="Y22" s="12" t="str">
        <x:f>IFERROR(INDEX('55_Codificacion_ensayo'!$G$5:$G$13,MATCH(B22,'55_Codificacion_ensayo'!$A$5:$A$13,0)),"")</x:f>
      </x:c>
      <x:c r="Z22" s="12" t="str">
        <x:f>IFERROR(INDEX('55_Codificacion_ensayo'!$H$5:$H$13,MATCH(B22,'55_Codificacion_ensayo'!$A$5:$A$13,0)),"")</x:f>
        <x:v>NINGUNO</x:v>
      </x:c>
      <x:c r="AA22" s="12" t="str">
        <x:f>IFERROR(INDEX('55_Codificacion_ensayo'!$I$5:$I$13,MATCH(B22,'55_Codificacion_ensayo'!$A$5:$A$13,0)),"")</x:f>
        <x:v>REINICIO_REALIZADO</x:v>
      </x:c>
      <x:c r="AB22" s="12" t="str">
        <x:f>IFERROR(INDEX('55_Codificacion_ensayo'!$J$5:$J$13,MATCH(B22,'55_Codificacion_ensayo'!$A$5:$A$13,0)),"")</x:f>
        <x:v>SIN_REINICIO_COMPLETO</x:v>
      </x:c>
    </x:row>
    <x:row r="23" ht="47" customHeight="1">
      <x:c r="A23" s="4" t="str">
        <x:v>L10-03-05</x:v>
      </x:c>
      <x:c r="B23" s="4" t="str">
        <x:v>PAR-CYB-REINICIO-SISTEMA-REALIZADO-001</x:v>
      </x:c>
      <x:c r="C23" s="4" t="str">
        <x:v>EVENTO-REINICIO-COMPLETO-0.1</x:v>
      </x:c>
      <x:c r="D23" s="4" t="str">
        <x:v>COINCIDE</x:v>
      </x:c>
      <x:c r="E23" s="4" t="str">
        <x:v>FALLO</x:v>
      </x:c>
      <x:c r="F23" s="4" t="str">
        <x:v>ARRANQUE_COMPLETO</x:v>
      </x:c>
      <x:c r="G23" s="4" t="str">
        <x:v>UNICA</x:v>
      </x:c>
      <x:c r="H23" s="4" t="str">
        <x:v>REINICIO_COMPLETO</x:v>
      </x:c>
      <x:c r="I23" s="4" t="str"/>
      <x:c r="J23" s="4" t="str">
        <x:v>COMPLETA</x:v>
      </x:c>
      <x:c r="K23" s="4" t="str">
        <x:v>ORDEN_ACREDITADO</x:v>
      </x:c>
      <x:c r="L23" s="4" t="str">
        <x:v>FALLO_CAPTURA</x:v>
      </x:c>
      <x:c r="M23" s="4" t="str"/>
      <x:c r="N23" s="4" t="str">
        <x:v>SIN_EJECUCION_DOMINIO</x:v>
      </x:c>
      <x:c r="O23" s="12" t="str">
        <x:f>IF(Q23="SIN_EJECUCION_DOMINIO","FALLO_CAPTURA",IF(OR(Q23="CAPTURA_MAL_FORMADA",Q23="IDENTIDAD",Q23="OBSERVACION_MAL_FORMADA",Q23="LEXEMA_O_FORMA"),"NO_ADMISION",IF(OR(Q23="PERFIL_NO_CONSTITUIDO",Q23="RESULTADO_NO_TERMINAL"),"FUERA_PERFIL",IF(Q23="CONTEXTO_NO_CONSTITUIDO","CONFIGURACION_PENDIENTE","VALIDA"))))</x:f>
        <x:v>FALLO_CAPTURA</x:v>
      </x:c>
      <x:c r="P23" s="12" t="str">
        <x:f>IF(O23&lt;&gt;"VALIDA","",IF(Q23=AA23,"1",IF(Q23=AB23,"0","U")))</x:f>
      </x:c>
      <x:c r="Q23" s="12" t="str">
        <x:f>IF(E23="FALLO","SIN_EJECUCION_DOMINIO",IF(E23&lt;&gt;"LEGIBLE","CAPTURA_MAL_FORMADA",IF(D23&lt;&gt;"COINCIDE","IDENTIDAD",IF(OR(T23="",C23&lt;&gt;T23),"PERFIL_NO_CONSTITUIDO",IF(K23&lt;&gt;V23,IF(V23="ORDEN_ACREDITADO","ORDEN_NO_ACREDITADO","CONTEXTO_NO_CONSTITUIDO"),IF(AND(G23="AUSENTE",H23="",I23=""),"DATO_AUSENTE",IF(AND(G23="CONFLICTO",H23="",I23=""),"CONFLICTO_OBSERVACIONAL",IF(G23&lt;&gt;"UNICA","OBSERVACION_MAL_FORMADA",IF(F23&lt;&gt;U23,"OBSERVACION_INSUFICIENTE",IF(W23="RESULTADO",IF(H23=X23,AA23,IF(OR(H23="orcSucceededWithErrors",H23="orcFailed",H23="orcAborted"),AB23,IF(OR(H23="orcNotStarted",H23="orcInProgress"),"RESULTADO_NO_TERMINAL","LEXEMA_O_FORMA"))),IF(W23="EVENTO_BOOT",IF(H23=X23,AA23,IF(OR(H23="NINGUNO",H23="SOLO_HIBRIDO"),IF(J23="COMPLETA",AB23,"COBERTURA_INSUFICIENTE"),"LEXEMA_O_FORMA")),IF(W23="REQUISITO_SOFT",IF(H23=X23,AA23,IF(H23=Z23,AB23,"LEXEMA_O_FORMA")),IF(W23="EVENTO_PROC",IF(H23=X23,AA23,IF(H23=Z23,IF(J23="COMPLETA",AB23,"COBERTURA_INSUFICIENTE"),"LEXEMA_O_FORMA")),IF(W23="IMAGEN",IF(AND(AND(ISTEXT(H23),LEN(("x"&amp;H23))=65,EXACT(("x"&amp;H23),LOWER(("x"&amp;H23))),ISERROR(SEARCH(" ",("x"&amp;H23))),ISERROR(SEARCH(CHAR(9),("x"&amp;H23))),ISERROR(SEARCH(CHAR(10),("x"&amp;H23))),ISERROR(SEARCH(CHAR(13),("x"&amp;H23))),IFERROR(HEX2DEC(MID(("x"&amp;H23),2,8))&gt;=0,FALSE),IFERROR(HEX2DEC(MID(("x"&amp;H23),10,8))&gt;=0,FALSE),IFERROR(HEX2DEC(MID(("x"&amp;H23),18,8))&gt;=0,FALSE),IFERROR(HEX2DEC(MID(("x"&amp;H23),26,8))&gt;=0,FALSE),IFERROR(HEX2DEC(MID(("x"&amp;H23),34,8))&gt;=0,FALSE),IFERROR(HEX2DEC(MID(("x"&amp;H23),42,8))&gt;=0,FALSE),IFERROR(HEX2DEC(MID(("x"&amp;H23),50,8))&gt;=0,FALSE),IFERROR(HEX2DEC(MID(("x"&amp;H23),58,8))&gt;=0,FALSE)),AND(ISTEXT(I23),LEN(("x"&amp;I23))=65,EXACT(("x"&amp;I23),LOWER(("x"&amp;I23))),ISERROR(SEARCH(" ",("x"&amp;I23))),ISERROR(SEARCH(CHAR(9),("x"&amp;I23))),ISERROR(SEARCH(CHAR(10),("x"&amp;I23))),ISERROR(SEARCH(CHAR(13),("x"&amp;I23))),IFERROR(HEX2DEC(MID(("x"&amp;I23),2,8))&gt;=0,FALSE),IFERROR(HEX2DEC(MID(("x"&amp;I23),10,8))&gt;=0,FALSE),IFERROR(HEX2DEC(MID(("x"&amp;I23),18,8))&gt;=0,FALSE),IFERROR(HEX2DEC(MID(("x"&amp;I23),26,8))&gt;=0,FALSE),IFERROR(HEX2DEC(MID(("x"&amp;I23),34,8))&gt;=0,FALSE),IFERROR(HEX2DEC(MID(("x"&amp;I23),42,8))&gt;=0,FALSE),IFERROR(HEX2DEC(MID(("x"&amp;I23),50,8))&gt;=0,FALSE),IFERROR(HEX2DEC(MID(("x"&amp;I23),58,8))&gt;=0,FALSE))),IF(EXACT("x"&amp;H23,"x"&amp;I23),AA23,AB23),"LEXEMA_O_FORMA"),IF(W23="PRUEBA",IF(H23=X23,AA23,IF(H23=Z23,AB23,"LEXEMA_O_FORMA")),IF(W23="RETIRADA",IF(AND(H23="NINGUNO",I23=""),IF(J23="COMPLETA",AB23,"COBERTURA_INSUFICIENTE"),IF(AND(OR(H23="uoInstallation",H23="uoUninstallation"),OR(I23="orcSucceeded",I23="orcSucceededWithErrors",I23="orcFailed",I23="orcAborted",I23="orcInProgress",I23="orcNotStarted")),IF(AND(H23=X23,I23=Y23),AA23,IF(AND(H23=X23,OR(I23="orcSucceededWithErrors",I23="orcInProgress",I23="orcNotStarted")),"RESULTADO_RETIRADA_INCIERTO",IF(J23="COMPLETA",AB23,"COBERTURA_INSUFICIENTE"))),"LEXEMA_O_FORMA")),IF(W23="CAMBIO",IF(OR(H23="CAMBIO",H23="CAMBIO_Y_RETORNO"),AA23,IF(OR(H23="NINGUNO",H23="SOLO_RENOMBRE"),IF(J23="COMPLETA",AB23,"COBERTURA_INSUFICIENTE"),"LEXEMA_O_FORMA")),IF(W23="RESTAURACION",IF(H23=X23,AA23,IF(OR(H23="NINGUNO",H23="RESTAURACION_POSTERIOR",H23="RESTAURACION_FALLIDA"),IF(J23="COMPLETA",AB23,"COBERTURA_INSUFICIENTE"),"LEXEMA_O_FORMA")),"PERFIL_NO_CONSTITUIDO"))))))))))))))))))</x:f>
        <x:v>SIN_EJECUCION_DOMINIO</x:v>
      </x:c>
      <x:c r="R23" s="12" t="str">
        <x:f>IF(AND(L23=O23,M23=P23,N23=Q23),"PASA","NO_PASA")</x:f>
        <x:v>PASA</x:v>
      </x:c>
      <x:c r="S23" s="4" t="str">
        <x:v>El observador falla; no existe ejecución de dominio ni Tri alternativo.</x:v>
      </x:c>
      <x:c r="T23" s="12" t="str">
        <x:f>IFERROR(INDEX('55_Codificacion_ensayo'!$B$5:$B$13,MATCH(B23,'55_Codificacion_ensayo'!$A$5:$A$13,0)),"")</x:f>
        <x:v>EVENTO-REINICIO-COMPLETO-0.1</x:v>
      </x:c>
      <x:c r="U23" s="12" t="str">
        <x:f>IFERROR(INDEX('55_Codificacion_ensayo'!$C$5:$C$13,MATCH(B23,'55_Codificacion_ensayo'!$A$5:$A$13,0)),"")</x:f>
        <x:v>ARRANQUE_COMPLETO</x:v>
      </x:c>
      <x:c r="V23" s="12" t="str">
        <x:f>IFERROR(INDEX('55_Codificacion_ensayo'!$D$5:$D$13,MATCH(B23,'55_Codificacion_ensayo'!$A$5:$A$13,0)),"")</x:f>
        <x:v>ORDEN_ACREDITADO</x:v>
      </x:c>
      <x:c r="W23" s="12" t="str">
        <x:f>IFERROR(INDEX('55_Codificacion_ensayo'!$E$5:$E$13,MATCH(B23,'55_Codificacion_ensayo'!$A$5:$A$13,0)),"")</x:f>
        <x:v>EVENTO_BOOT</x:v>
      </x:c>
      <x:c r="X23" s="12" t="str">
        <x:f>IFERROR(INDEX('55_Codificacion_ensayo'!$F$5:$F$13,MATCH(B23,'55_Codificacion_ensayo'!$A$5:$A$13,0)),"")</x:f>
        <x:v>REINICIO_COMPLETO</x:v>
      </x:c>
      <x:c r="Y23" s="12" t="str">
        <x:f>IFERROR(INDEX('55_Codificacion_ensayo'!$G$5:$G$13,MATCH(B23,'55_Codificacion_ensayo'!$A$5:$A$13,0)),"")</x:f>
      </x:c>
      <x:c r="Z23" s="12" t="str">
        <x:f>IFERROR(INDEX('55_Codificacion_ensayo'!$H$5:$H$13,MATCH(B23,'55_Codificacion_ensayo'!$A$5:$A$13,0)),"")</x:f>
        <x:v>NINGUNO</x:v>
      </x:c>
      <x:c r="AA23" s="12" t="str">
        <x:f>IFERROR(INDEX('55_Codificacion_ensayo'!$I$5:$I$13,MATCH(B23,'55_Codificacion_ensayo'!$A$5:$A$13,0)),"")</x:f>
        <x:v>REINICIO_REALIZADO</x:v>
      </x:c>
      <x:c r="AB23" s="12" t="str">
        <x:f>IFERROR(INDEX('55_Codificacion_ensayo'!$J$5:$J$13,MATCH(B23,'55_Codificacion_ensayo'!$A$5:$A$13,0)),"")</x:f>
        <x:v>SIN_REINICIO_COMPLETO</x:v>
      </x:c>
    </x:row>
    <x:row r="24" ht="47" customHeight="1">
      <x:c r="A24" s="4" t="str">
        <x:v>L10-03-06</x:v>
      </x:c>
      <x:c r="B24" s="4" t="str">
        <x:v>PAR-CYB-REINICIO-SISTEMA-REALIZADO-001</x:v>
      </x:c>
      <x:c r="C24" s="4" t="str">
        <x:v>EVENTO-REINICIO-COMPLETO-0.1</x:v>
      </x:c>
      <x:c r="D24" s="4" t="str">
        <x:v>OTRO</x:v>
      </x:c>
      <x:c r="E24" s="4" t="str">
        <x:v>LEGIBLE</x:v>
      </x:c>
      <x:c r="F24" s="4" t="str">
        <x:v>ARRANQUE_COMPLETO</x:v>
      </x:c>
      <x:c r="G24" s="4" t="str">
        <x:v>UNICA</x:v>
      </x:c>
      <x:c r="H24" s="4" t="str">
        <x:v>REINICIO_COMPLETO</x:v>
      </x:c>
      <x:c r="I24" s="4" t="str"/>
      <x:c r="J24" s="4" t="str">
        <x:v>COMPLETA</x:v>
      </x:c>
      <x:c r="K24" s="4" t="str">
        <x:v>ORDEN_ACREDITADO</x:v>
      </x:c>
      <x:c r="L24" s="4" t="str">
        <x:v>NO_ADMISION</x:v>
      </x:c>
      <x:c r="M24" s="4" t="str"/>
      <x:c r="N24" s="4" t="str">
        <x:v>IDENTIDAD</x:v>
      </x:c>
      <x:c r="O24" s="12" t="str">
        <x:f>IF(Q24="SIN_EJECUCION_DOMINIO","FALLO_CAPTURA",IF(OR(Q24="CAPTURA_MAL_FORMADA",Q24="IDENTIDAD",Q24="OBSERVACION_MAL_FORMADA",Q24="LEXEMA_O_FORMA"),"NO_ADMISION",IF(OR(Q24="PERFIL_NO_CONSTITUIDO",Q24="RESULTADO_NO_TERMINAL"),"FUERA_PERFIL",IF(Q24="CONTEXTO_NO_CONSTITUIDO","CONFIGURACION_PENDIENTE","VALIDA"))))</x:f>
        <x:v>NO_ADMISION</x:v>
      </x:c>
      <x:c r="P24" s="12" t="str">
        <x:f>IF(O24&lt;&gt;"VALIDA","",IF(Q24=AA24,"1",IF(Q24=AB24,"0","U")))</x:f>
      </x:c>
      <x:c r="Q24" s="12" t="str">
        <x:f>IF(E24="FALLO","SIN_EJECUCION_DOMINIO",IF(E24&lt;&gt;"LEGIBLE","CAPTURA_MAL_FORMADA",IF(D24&lt;&gt;"COINCIDE","IDENTIDAD",IF(OR(T24="",C24&lt;&gt;T24),"PERFIL_NO_CONSTITUIDO",IF(K24&lt;&gt;V24,IF(V24="ORDEN_ACREDITADO","ORDEN_NO_ACREDITADO","CONTEXTO_NO_CONSTITUIDO"),IF(AND(G24="AUSENTE",H24="",I24=""),"DATO_AUSENTE",IF(AND(G24="CONFLICTO",H24="",I24=""),"CONFLICTO_OBSERVACIONAL",IF(G24&lt;&gt;"UNICA","OBSERVACION_MAL_FORMADA",IF(F24&lt;&gt;U24,"OBSERVACION_INSUFICIENTE",IF(W24="RESULTADO",IF(H24=X24,AA24,IF(OR(H24="orcSucceededWithErrors",H24="orcFailed",H24="orcAborted"),AB24,IF(OR(H24="orcNotStarted",H24="orcInProgress"),"RESULTADO_NO_TERMINAL","LEXEMA_O_FORMA"))),IF(W24="EVENTO_BOOT",IF(H24=X24,AA24,IF(OR(H24="NINGUNO",H24="SOLO_HIBRIDO"),IF(J24="COMPLETA",AB24,"COBERTURA_INSUFICIENTE"),"LEXEMA_O_FORMA")),IF(W24="REQUISITO_SOFT",IF(H24=X24,AA24,IF(H24=Z24,AB24,"LEXEMA_O_FORMA")),IF(W24="EVENTO_PROC",IF(H24=X24,AA24,IF(H24=Z24,IF(J24="COMPLETA",AB24,"COBERTURA_INSUFICIENTE"),"LEXEMA_O_FORMA")),IF(W24="IMAGEN",IF(AND(AND(ISTEXT(H24),LEN(("x"&amp;H24))=65,EXACT(("x"&amp;H24),LOWER(("x"&amp;H24))),ISERROR(SEARCH(" ",("x"&amp;H24))),ISERROR(SEARCH(CHAR(9),("x"&amp;H24))),ISERROR(SEARCH(CHAR(10),("x"&amp;H24))),ISERROR(SEARCH(CHAR(13),("x"&amp;H24))),IFERROR(HEX2DEC(MID(("x"&amp;H24),2,8))&gt;=0,FALSE),IFERROR(HEX2DEC(MID(("x"&amp;H24),10,8))&gt;=0,FALSE),IFERROR(HEX2DEC(MID(("x"&amp;H24),18,8))&gt;=0,FALSE),IFERROR(HEX2DEC(MID(("x"&amp;H24),26,8))&gt;=0,FALSE),IFERROR(HEX2DEC(MID(("x"&amp;H24),34,8))&gt;=0,FALSE),IFERROR(HEX2DEC(MID(("x"&amp;H24),42,8))&gt;=0,FALSE),IFERROR(HEX2DEC(MID(("x"&amp;H24),50,8))&gt;=0,FALSE),IFERROR(HEX2DEC(MID(("x"&amp;H24),58,8))&gt;=0,FALSE)),AND(ISTEXT(I24),LEN(("x"&amp;I24))=65,EXACT(("x"&amp;I24),LOWER(("x"&amp;I24))),ISERROR(SEARCH(" ",("x"&amp;I24))),ISERROR(SEARCH(CHAR(9),("x"&amp;I24))),ISERROR(SEARCH(CHAR(10),("x"&amp;I24))),ISERROR(SEARCH(CHAR(13),("x"&amp;I24))),IFERROR(HEX2DEC(MID(("x"&amp;I24),2,8))&gt;=0,FALSE),IFERROR(HEX2DEC(MID(("x"&amp;I24),10,8))&gt;=0,FALSE),IFERROR(HEX2DEC(MID(("x"&amp;I24),18,8))&gt;=0,FALSE),IFERROR(HEX2DEC(MID(("x"&amp;I24),26,8))&gt;=0,FALSE),IFERROR(HEX2DEC(MID(("x"&amp;I24),34,8))&gt;=0,FALSE),IFERROR(HEX2DEC(MID(("x"&amp;I24),42,8))&gt;=0,FALSE),IFERROR(HEX2DEC(MID(("x"&amp;I24),50,8))&gt;=0,FALSE),IFERROR(HEX2DEC(MID(("x"&amp;I24),58,8))&gt;=0,FALSE))),IF(EXACT("x"&amp;H24,"x"&amp;I24),AA24,AB24),"LEXEMA_O_FORMA"),IF(W24="PRUEBA",IF(H24=X24,AA24,IF(H24=Z24,AB24,"LEXEMA_O_FORMA")),IF(W24="RETIRADA",IF(AND(H24="NINGUNO",I24=""),IF(J24="COMPLETA",AB24,"COBERTURA_INSUFICIENTE"),IF(AND(OR(H24="uoInstallation",H24="uoUninstallation"),OR(I24="orcSucceeded",I24="orcSucceededWithErrors",I24="orcFailed",I24="orcAborted",I24="orcInProgress",I24="orcNotStarted")),IF(AND(H24=X24,I24=Y24),AA24,IF(AND(H24=X24,OR(I24="orcSucceededWithErrors",I24="orcInProgress",I24="orcNotStarted")),"RESULTADO_RETIRADA_INCIERTO",IF(J24="COMPLETA",AB24,"COBERTURA_INSUFICIENTE"))),"LEXEMA_O_FORMA")),IF(W24="CAMBIO",IF(OR(H24="CAMBIO",H24="CAMBIO_Y_RETORNO"),AA24,IF(OR(H24="NINGUNO",H24="SOLO_RENOMBRE"),IF(J24="COMPLETA",AB24,"COBERTURA_INSUFICIENTE"),"LEXEMA_O_FORMA")),IF(W24="RESTAURACION",IF(H24=X24,AA24,IF(OR(H24="NINGUNO",H24="RESTAURACION_POSTERIOR",H24="RESTAURACION_FALLIDA"),IF(J24="COMPLETA",AB24,"COBERTURA_INSUFICIENTE"),"LEXEMA_O_FORMA")),"PERFIL_NO_CONSTITUIDO"))))))))))))))))))</x:f>
        <x:v>IDENTIDAD</x:v>
      </x:c>
      <x:c r="R24" s="12" t="str">
        <x:f>IF(AND(L24=O24,M24=P24,N24=Q24),"PASA","NO_PASA")</x:f>
        <x:v>PASA</x:v>
      </x:c>
      <x:c r="S24" s="4" t="str">
        <x:v>El testigo pertenece a otro sujeto; no se recicla su dato.</x:v>
      </x:c>
      <x:c r="T24" s="12" t="str">
        <x:f>IFERROR(INDEX('55_Codificacion_ensayo'!$B$5:$B$13,MATCH(B24,'55_Codificacion_ensayo'!$A$5:$A$13,0)),"")</x:f>
        <x:v>EVENTO-REINICIO-COMPLETO-0.1</x:v>
      </x:c>
      <x:c r="U24" s="12" t="str">
        <x:f>IFERROR(INDEX('55_Codificacion_ensayo'!$C$5:$C$13,MATCH(B24,'55_Codificacion_ensayo'!$A$5:$A$13,0)),"")</x:f>
        <x:v>ARRANQUE_COMPLETO</x:v>
      </x:c>
      <x:c r="V24" s="12" t="str">
        <x:f>IFERROR(INDEX('55_Codificacion_ensayo'!$D$5:$D$13,MATCH(B24,'55_Codificacion_ensayo'!$A$5:$A$13,0)),"")</x:f>
        <x:v>ORDEN_ACREDITADO</x:v>
      </x:c>
      <x:c r="W24" s="12" t="str">
        <x:f>IFERROR(INDEX('55_Codificacion_ensayo'!$E$5:$E$13,MATCH(B24,'55_Codificacion_ensayo'!$A$5:$A$13,0)),"")</x:f>
        <x:v>EVENTO_BOOT</x:v>
      </x:c>
      <x:c r="X24" s="12" t="str">
        <x:f>IFERROR(INDEX('55_Codificacion_ensayo'!$F$5:$F$13,MATCH(B24,'55_Codificacion_ensayo'!$A$5:$A$13,0)),"")</x:f>
        <x:v>REINICIO_COMPLETO</x:v>
      </x:c>
      <x:c r="Y24" s="12" t="str">
        <x:f>IFERROR(INDEX('55_Codificacion_ensayo'!$G$5:$G$13,MATCH(B24,'55_Codificacion_ensayo'!$A$5:$A$13,0)),"")</x:f>
      </x:c>
      <x:c r="Z24" s="12" t="str">
        <x:f>IFERROR(INDEX('55_Codificacion_ensayo'!$H$5:$H$13,MATCH(B24,'55_Codificacion_ensayo'!$A$5:$A$13,0)),"")</x:f>
        <x:v>NINGUNO</x:v>
      </x:c>
      <x:c r="AA24" s="12" t="str">
        <x:f>IFERROR(INDEX('55_Codificacion_ensayo'!$I$5:$I$13,MATCH(B24,'55_Codificacion_ensayo'!$A$5:$A$13,0)),"")</x:f>
        <x:v>REINICIO_REALIZADO</x:v>
      </x:c>
      <x:c r="AB24" s="12" t="str">
        <x:f>IFERROR(INDEX('55_Codificacion_ensayo'!$J$5:$J$13,MATCH(B24,'55_Codificacion_ensayo'!$A$5:$A$13,0)),"")</x:f>
        <x:v>SIN_REINICIO_COMPLETO</x:v>
      </x:c>
    </x:row>
    <x:row r="25" ht="47" customHeight="1">
      <x:c r="A25" s="4" t="str">
        <x:v>L10-03-07</x:v>
      </x:c>
      <x:c r="B25" s="4" t="str">
        <x:v>PAR-CYB-REINICIO-SISTEMA-REALIZADO-001</x:v>
      </x:c>
      <x:c r="C25" s="4" t="str">
        <x:v>EVENTO-REINICIO-COMPLETO-0.1</x:v>
      </x:c>
      <x:c r="D25" s="4" t="str">
        <x:v>COINCIDE</x:v>
      </x:c>
      <x:c r="E25" s="4" t="str">
        <x:v>LEGIBLE</x:v>
      </x:c>
      <x:c r="F25" s="4" t="str">
        <x:v>FUENTE_GENERAL</x:v>
      </x:c>
      <x:c r="G25" s="4" t="str">
        <x:v>UNICA</x:v>
      </x:c>
      <x:c r="H25" s="4" t="str">
        <x:v>REINICIO_COMPLETO</x:v>
      </x:c>
      <x:c r="I25" s="4" t="str"/>
      <x:c r="J25" s="4" t="str">
        <x:v>COMPLETA</x:v>
      </x:c>
      <x:c r="K25" s="4" t="str">
        <x:v>ORDEN_ACREDITADO</x:v>
      </x:c>
      <x:c r="L25" s="4" t="str">
        <x:v>VALIDA</x:v>
      </x:c>
      <x:c r="M25" s="4" t="str">
        <x:v>U</x:v>
      </x:c>
      <x:c r="N25" s="4" t="str">
        <x:v>OBSERVACION_INSUFICIENTE</x:v>
      </x:c>
      <x:c r="O25" s="12" t="str">
        <x:f>IF(Q25="SIN_EJECUCION_DOMINIO","FALLO_CAPTURA",IF(OR(Q25="CAPTURA_MAL_FORMADA",Q25="IDENTIDAD",Q25="OBSERVACION_MAL_FORMADA",Q25="LEXEMA_O_FORMA"),"NO_ADMISION",IF(OR(Q25="PERFIL_NO_CONSTITUIDO",Q25="RESULTADO_NO_TERMINAL"),"FUERA_PERFIL",IF(Q25="CONTEXTO_NO_CONSTITUIDO","CONFIGURACION_PENDIENTE","VALIDA"))))</x:f>
        <x:v>VALIDA</x:v>
      </x:c>
      <x:c r="P25" s="12" t="str">
        <x:f>IF(O25&lt;&gt;"VALIDA","",IF(Q25=AA25,"1",IF(Q25=AB25,"0","U")))</x:f>
        <x:v>U</x:v>
      </x:c>
      <x:c r="Q25" s="12" t="str">
        <x:f>IF(E25="FALLO","SIN_EJECUCION_DOMINIO",IF(E25&lt;&gt;"LEGIBLE","CAPTURA_MAL_FORMADA",IF(D25&lt;&gt;"COINCIDE","IDENTIDAD",IF(OR(T25="",C25&lt;&gt;T25),"PERFIL_NO_CONSTITUIDO",IF(K25&lt;&gt;V25,IF(V25="ORDEN_ACREDITADO","ORDEN_NO_ACREDITADO","CONTEXTO_NO_CONSTITUIDO"),IF(AND(G25="AUSENTE",H25="",I25=""),"DATO_AUSENTE",IF(AND(G25="CONFLICTO",H25="",I25=""),"CONFLICTO_OBSERVACIONAL",IF(G25&lt;&gt;"UNICA","OBSERVACION_MAL_FORMADA",IF(F25&lt;&gt;U25,"OBSERVACION_INSUFICIENTE",IF(W25="RESULTADO",IF(H25=X25,AA25,IF(OR(H25="orcSucceededWithErrors",H25="orcFailed",H25="orcAborted"),AB25,IF(OR(H25="orcNotStarted",H25="orcInProgress"),"RESULTADO_NO_TERMINAL","LEXEMA_O_FORMA"))),IF(W25="EVENTO_BOOT",IF(H25=X25,AA25,IF(OR(H25="NINGUNO",H25="SOLO_HIBRIDO"),IF(J25="COMPLETA",AB25,"COBERTURA_INSUFICIENTE"),"LEXEMA_O_FORMA")),IF(W25="REQUISITO_SOFT",IF(H25=X25,AA25,IF(H25=Z25,AB25,"LEXEMA_O_FORMA")),IF(W25="EVENTO_PROC",IF(H25=X25,AA25,IF(H25=Z25,IF(J25="COMPLETA",AB25,"COBERTURA_INSUFICIENTE"),"LEXEMA_O_FORMA")),IF(W25="IMAGEN",IF(AND(AND(ISTEXT(H25),LEN(("x"&amp;H25))=65,EXACT(("x"&amp;H25),LOWER(("x"&amp;H25))),ISERROR(SEARCH(" ",("x"&amp;H25))),ISERROR(SEARCH(CHAR(9),("x"&amp;H25))),ISERROR(SEARCH(CHAR(10),("x"&amp;H25))),ISERROR(SEARCH(CHAR(13),("x"&amp;H25))),IFERROR(HEX2DEC(MID(("x"&amp;H25),2,8))&gt;=0,FALSE),IFERROR(HEX2DEC(MID(("x"&amp;H25),10,8))&gt;=0,FALSE),IFERROR(HEX2DEC(MID(("x"&amp;H25),18,8))&gt;=0,FALSE),IFERROR(HEX2DEC(MID(("x"&amp;H25),26,8))&gt;=0,FALSE),IFERROR(HEX2DEC(MID(("x"&amp;H25),34,8))&gt;=0,FALSE),IFERROR(HEX2DEC(MID(("x"&amp;H25),42,8))&gt;=0,FALSE),IFERROR(HEX2DEC(MID(("x"&amp;H25),50,8))&gt;=0,FALSE),IFERROR(HEX2DEC(MID(("x"&amp;H25),58,8))&gt;=0,FALSE)),AND(ISTEXT(I25),LEN(("x"&amp;I25))=65,EXACT(("x"&amp;I25),LOWER(("x"&amp;I25))),ISERROR(SEARCH(" ",("x"&amp;I25))),ISERROR(SEARCH(CHAR(9),("x"&amp;I25))),ISERROR(SEARCH(CHAR(10),("x"&amp;I25))),ISERROR(SEARCH(CHAR(13),("x"&amp;I25))),IFERROR(HEX2DEC(MID(("x"&amp;I25),2,8))&gt;=0,FALSE),IFERROR(HEX2DEC(MID(("x"&amp;I25),10,8))&gt;=0,FALSE),IFERROR(HEX2DEC(MID(("x"&amp;I25),18,8))&gt;=0,FALSE),IFERROR(HEX2DEC(MID(("x"&amp;I25),26,8))&gt;=0,FALSE),IFERROR(HEX2DEC(MID(("x"&amp;I25),34,8))&gt;=0,FALSE),IFERROR(HEX2DEC(MID(("x"&amp;I25),42,8))&gt;=0,FALSE),IFERROR(HEX2DEC(MID(("x"&amp;I25),50,8))&gt;=0,FALSE),IFERROR(HEX2DEC(MID(("x"&amp;I25),58,8))&gt;=0,FALSE))),IF(EXACT("x"&amp;H25,"x"&amp;I25),AA25,AB25),"LEXEMA_O_FORMA"),IF(W25="PRUEBA",IF(H25=X25,AA25,IF(H25=Z25,AB25,"LEXEMA_O_FORMA")),IF(W25="RETIRADA",IF(AND(H25="NINGUNO",I25=""),IF(J25="COMPLETA",AB25,"COBERTURA_INSUFICIENTE"),IF(AND(OR(H25="uoInstallation",H25="uoUninstallation"),OR(I25="orcSucceeded",I25="orcSucceededWithErrors",I25="orcFailed",I25="orcAborted",I25="orcInProgress",I25="orcNotStarted")),IF(AND(H25=X25,I25=Y25),AA25,IF(AND(H25=X25,OR(I25="orcSucceededWithErrors",I25="orcInProgress",I25="orcNotStarted")),"RESULTADO_RETIRADA_INCIERTO",IF(J25="COMPLETA",AB25,"COBERTURA_INSUFICIENTE"))),"LEXEMA_O_FORMA")),IF(W25="CAMBIO",IF(OR(H25="CAMBIO",H25="CAMBIO_Y_RETORNO"),AA25,IF(OR(H25="NINGUNO",H25="SOLO_RENOMBRE"),IF(J25="COMPLETA",AB25,"COBERTURA_INSUFICIENTE"),"LEXEMA_O_FORMA")),IF(W25="RESTAURACION",IF(H25=X25,AA25,IF(OR(H25="NINGUNO",H25="RESTAURACION_POSTERIOR",H25="RESTAURACION_FALLIDA"),IF(J25="COMPLETA",AB25,"COBERTURA_INSUFICIENTE"),"LEXEMA_O_FORMA")),"PERFIL_NO_CONSTITUIDO"))))))))))))))))))</x:f>
        <x:v>OBSERVACION_INSUFICIENTE</x:v>
      </x:c>
      <x:c r="R25" s="12" t="str">
        <x:f>IF(AND(L25=O25,M25=P25,N25=Q25),"PASA","NO_PASA")</x:f>
        <x:v>PASA</x:v>
      </x:c>
      <x:c r="S25" s="4" t="str">
        <x:v>Una fuente del dominio no sustituye la observación específica del episodio.</x:v>
      </x:c>
      <x:c r="T25" s="12" t="str">
        <x:f>IFERROR(INDEX('55_Codificacion_ensayo'!$B$5:$B$13,MATCH(B25,'55_Codificacion_ensayo'!$A$5:$A$13,0)),"")</x:f>
        <x:v>EVENTO-REINICIO-COMPLETO-0.1</x:v>
      </x:c>
      <x:c r="U25" s="12" t="str">
        <x:f>IFERROR(INDEX('55_Codificacion_ensayo'!$C$5:$C$13,MATCH(B25,'55_Codificacion_ensayo'!$A$5:$A$13,0)),"")</x:f>
        <x:v>ARRANQUE_COMPLETO</x:v>
      </x:c>
      <x:c r="V25" s="12" t="str">
        <x:f>IFERROR(INDEX('55_Codificacion_ensayo'!$D$5:$D$13,MATCH(B25,'55_Codificacion_ensayo'!$A$5:$A$13,0)),"")</x:f>
        <x:v>ORDEN_ACREDITADO</x:v>
      </x:c>
      <x:c r="W25" s="12" t="str">
        <x:f>IFERROR(INDEX('55_Codificacion_ensayo'!$E$5:$E$13,MATCH(B25,'55_Codificacion_ensayo'!$A$5:$A$13,0)),"")</x:f>
        <x:v>EVENTO_BOOT</x:v>
      </x:c>
      <x:c r="X25" s="12" t="str">
        <x:f>IFERROR(INDEX('55_Codificacion_ensayo'!$F$5:$F$13,MATCH(B25,'55_Codificacion_ensayo'!$A$5:$A$13,0)),"")</x:f>
        <x:v>REINICIO_COMPLETO</x:v>
      </x:c>
      <x:c r="Y25" s="12" t="str">
        <x:f>IFERROR(INDEX('55_Codificacion_ensayo'!$G$5:$G$13,MATCH(B25,'55_Codificacion_ensayo'!$A$5:$A$13,0)),"")</x:f>
      </x:c>
      <x:c r="Z25" s="12" t="str">
        <x:f>IFERROR(INDEX('55_Codificacion_ensayo'!$H$5:$H$13,MATCH(B25,'55_Codificacion_ensayo'!$A$5:$A$13,0)),"")</x:f>
        <x:v>NINGUNO</x:v>
      </x:c>
      <x:c r="AA25" s="12" t="str">
        <x:f>IFERROR(INDEX('55_Codificacion_ensayo'!$I$5:$I$13,MATCH(B25,'55_Codificacion_ensayo'!$A$5:$A$13,0)),"")</x:f>
        <x:v>REINICIO_REALIZADO</x:v>
      </x:c>
      <x:c r="AB25" s="12" t="str">
        <x:f>IFERROR(INDEX('55_Codificacion_ensayo'!$J$5:$J$13,MATCH(B25,'55_Codificacion_ensayo'!$A$5:$A$13,0)),"")</x:f>
        <x:v>SIN_REINICIO_COMPLETO</x:v>
      </x:c>
    </x:row>
    <x:row r="26" ht="47" customHeight="1">
      <x:c r="A26" s="4" t="str">
        <x:v>L10-03-08</x:v>
      </x:c>
      <x:c r="B26" s="4" t="str">
        <x:v>PAR-CYB-REINICIO-SISTEMA-REALIZADO-001</x:v>
      </x:c>
      <x:c r="C26" s="4" t="str">
        <x:v>OTRO_PERFIL</x:v>
      </x:c>
      <x:c r="D26" s="4" t="str">
        <x:v>COINCIDE</x:v>
      </x:c>
      <x:c r="E26" s="4" t="str">
        <x:v>LEGIBLE</x:v>
      </x:c>
      <x:c r="F26" s="4" t="str">
        <x:v>ARRANQUE_COMPLETO</x:v>
      </x:c>
      <x:c r="G26" s="4" t="str">
        <x:v>UNICA</x:v>
      </x:c>
      <x:c r="H26" s="4" t="str">
        <x:v>REINICIO_COMPLETO</x:v>
      </x:c>
      <x:c r="I26" s="4" t="str"/>
      <x:c r="J26" s="4" t="str">
        <x:v>COMPLETA</x:v>
      </x:c>
      <x:c r="K26" s="4" t="str">
        <x:v>ORDEN_ACREDITADO</x:v>
      </x:c>
      <x:c r="L26" s="4" t="str">
        <x:v>FUERA_PERFIL</x:v>
      </x:c>
      <x:c r="M26" s="4" t="str"/>
      <x:c r="N26" s="4" t="str">
        <x:v>PERFIL_NO_CONSTITUIDO</x:v>
      </x:c>
      <x:c r="O26" s="12" t="str">
        <x:f>IF(Q26="SIN_EJECUCION_DOMINIO","FALLO_CAPTURA",IF(OR(Q26="CAPTURA_MAL_FORMADA",Q26="IDENTIDAD",Q26="OBSERVACION_MAL_FORMADA",Q26="LEXEMA_O_FORMA"),"NO_ADMISION",IF(OR(Q26="PERFIL_NO_CONSTITUIDO",Q26="RESULTADO_NO_TERMINAL"),"FUERA_PERFIL",IF(Q26="CONTEXTO_NO_CONSTITUIDO","CONFIGURACION_PENDIENTE","VALIDA"))))</x:f>
        <x:v>FUERA_PERFIL</x:v>
      </x:c>
      <x:c r="P26" s="12" t="str">
        <x:f>IF(O26&lt;&gt;"VALIDA","",IF(Q26=AA26,"1",IF(Q26=AB26,"0","U")))</x:f>
      </x:c>
      <x:c r="Q26" s="12" t="str">
        <x:f>IF(E26="FALLO","SIN_EJECUCION_DOMINIO",IF(E26&lt;&gt;"LEGIBLE","CAPTURA_MAL_FORMADA",IF(D26&lt;&gt;"COINCIDE","IDENTIDAD",IF(OR(T26="",C26&lt;&gt;T26),"PERFIL_NO_CONSTITUIDO",IF(K26&lt;&gt;V26,IF(V26="ORDEN_ACREDITADO","ORDEN_NO_ACREDITADO","CONTEXTO_NO_CONSTITUIDO"),IF(AND(G26="AUSENTE",H26="",I26=""),"DATO_AUSENTE",IF(AND(G26="CONFLICTO",H26="",I26=""),"CONFLICTO_OBSERVACIONAL",IF(G26&lt;&gt;"UNICA","OBSERVACION_MAL_FORMADA",IF(F26&lt;&gt;U26,"OBSERVACION_INSUFICIENTE",IF(W26="RESULTADO",IF(H26=X26,AA26,IF(OR(H26="orcSucceededWithErrors",H26="orcFailed",H26="orcAborted"),AB26,IF(OR(H26="orcNotStarted",H26="orcInProgress"),"RESULTADO_NO_TERMINAL","LEXEMA_O_FORMA"))),IF(W26="EVENTO_BOOT",IF(H26=X26,AA26,IF(OR(H26="NINGUNO",H26="SOLO_HIBRIDO"),IF(J26="COMPLETA",AB26,"COBERTURA_INSUFICIENTE"),"LEXEMA_O_FORMA")),IF(W26="REQUISITO_SOFT",IF(H26=X26,AA26,IF(H26=Z26,AB26,"LEXEMA_O_FORMA")),IF(W26="EVENTO_PROC",IF(H26=X26,AA26,IF(H26=Z26,IF(J26="COMPLETA",AB26,"COBERTURA_INSUFICIENTE"),"LEXEMA_O_FORMA")),IF(W26="IMAGEN",IF(AND(AND(ISTEXT(H26),LEN(("x"&amp;H26))=65,EXACT(("x"&amp;H26),LOWER(("x"&amp;H26))),ISERROR(SEARCH(" ",("x"&amp;H26))),ISERROR(SEARCH(CHAR(9),("x"&amp;H26))),ISERROR(SEARCH(CHAR(10),("x"&amp;H26))),ISERROR(SEARCH(CHAR(13),("x"&amp;H26))),IFERROR(HEX2DEC(MID(("x"&amp;H26),2,8))&gt;=0,FALSE),IFERROR(HEX2DEC(MID(("x"&amp;H26),10,8))&gt;=0,FALSE),IFERROR(HEX2DEC(MID(("x"&amp;H26),18,8))&gt;=0,FALSE),IFERROR(HEX2DEC(MID(("x"&amp;H26),26,8))&gt;=0,FALSE),IFERROR(HEX2DEC(MID(("x"&amp;H26),34,8))&gt;=0,FALSE),IFERROR(HEX2DEC(MID(("x"&amp;H26),42,8))&gt;=0,FALSE),IFERROR(HEX2DEC(MID(("x"&amp;H26),50,8))&gt;=0,FALSE),IFERROR(HEX2DEC(MID(("x"&amp;H26),58,8))&gt;=0,FALSE)),AND(ISTEXT(I26),LEN(("x"&amp;I26))=65,EXACT(("x"&amp;I26),LOWER(("x"&amp;I26))),ISERROR(SEARCH(" ",("x"&amp;I26))),ISERROR(SEARCH(CHAR(9),("x"&amp;I26))),ISERROR(SEARCH(CHAR(10),("x"&amp;I26))),ISERROR(SEARCH(CHAR(13),("x"&amp;I26))),IFERROR(HEX2DEC(MID(("x"&amp;I26),2,8))&gt;=0,FALSE),IFERROR(HEX2DEC(MID(("x"&amp;I26),10,8))&gt;=0,FALSE),IFERROR(HEX2DEC(MID(("x"&amp;I26),18,8))&gt;=0,FALSE),IFERROR(HEX2DEC(MID(("x"&amp;I26),26,8))&gt;=0,FALSE),IFERROR(HEX2DEC(MID(("x"&amp;I26),34,8))&gt;=0,FALSE),IFERROR(HEX2DEC(MID(("x"&amp;I26),42,8))&gt;=0,FALSE),IFERROR(HEX2DEC(MID(("x"&amp;I26),50,8))&gt;=0,FALSE),IFERROR(HEX2DEC(MID(("x"&amp;I26),58,8))&gt;=0,FALSE))),IF(EXACT("x"&amp;H26,"x"&amp;I26),AA26,AB26),"LEXEMA_O_FORMA"),IF(W26="PRUEBA",IF(H26=X26,AA26,IF(H26=Z26,AB26,"LEXEMA_O_FORMA")),IF(W26="RETIRADA",IF(AND(H26="NINGUNO",I26=""),IF(J26="COMPLETA",AB26,"COBERTURA_INSUFICIENTE"),IF(AND(OR(H26="uoInstallation",H26="uoUninstallation"),OR(I26="orcSucceeded",I26="orcSucceededWithErrors",I26="orcFailed",I26="orcAborted",I26="orcInProgress",I26="orcNotStarted")),IF(AND(H26=X26,I26=Y26),AA26,IF(AND(H26=X26,OR(I26="orcSucceededWithErrors",I26="orcInProgress",I26="orcNotStarted")),"RESULTADO_RETIRADA_INCIERTO",IF(J26="COMPLETA",AB26,"COBERTURA_INSUFICIENTE"))),"LEXEMA_O_FORMA")),IF(W26="CAMBIO",IF(OR(H26="CAMBIO",H26="CAMBIO_Y_RETORNO"),AA26,IF(OR(H26="NINGUNO",H26="SOLO_RENOMBRE"),IF(J26="COMPLETA",AB26,"COBERTURA_INSUFICIENTE"),"LEXEMA_O_FORMA")),IF(W26="RESTAURACION",IF(H26=X26,AA26,IF(OR(H26="NINGUNO",H26="RESTAURACION_POSTERIOR",H26="RESTAURACION_FALLIDA"),IF(J26="COMPLETA",AB26,"COBERTURA_INSUFICIENTE"),"LEXEMA_O_FORMA")),"PERFIL_NO_CONSTITUIDO"))))))))))))))))))</x:f>
        <x:v>PERFIL_NO_CONSTITUIDO</x:v>
      </x:c>
      <x:c r="R26" s="12" t="str">
        <x:f>IF(AND(L26=O26,M26=P26,N26=Q26),"PASA","NO_PASA")</x:f>
        <x:v>PASA</x:v>
      </x:c>
      <x:c r="S26" s="4" t="str">
        <x:v>Perfil de otro producto no se normaliza por analogía.</x:v>
      </x:c>
      <x:c r="T26" s="12" t="str">
        <x:f>IFERROR(INDEX('55_Codificacion_ensayo'!$B$5:$B$13,MATCH(B26,'55_Codificacion_ensayo'!$A$5:$A$13,0)),"")</x:f>
        <x:v>EVENTO-REINICIO-COMPLETO-0.1</x:v>
      </x:c>
      <x:c r="U26" s="12" t="str">
        <x:f>IFERROR(INDEX('55_Codificacion_ensayo'!$C$5:$C$13,MATCH(B26,'55_Codificacion_ensayo'!$A$5:$A$13,0)),"")</x:f>
        <x:v>ARRANQUE_COMPLETO</x:v>
      </x:c>
      <x:c r="V26" s="12" t="str">
        <x:f>IFERROR(INDEX('55_Codificacion_ensayo'!$D$5:$D$13,MATCH(B26,'55_Codificacion_ensayo'!$A$5:$A$13,0)),"")</x:f>
        <x:v>ORDEN_ACREDITADO</x:v>
      </x:c>
      <x:c r="W26" s="12" t="str">
        <x:f>IFERROR(INDEX('55_Codificacion_ensayo'!$E$5:$E$13,MATCH(B26,'55_Codificacion_ensayo'!$A$5:$A$13,0)),"")</x:f>
        <x:v>EVENTO_BOOT</x:v>
      </x:c>
      <x:c r="X26" s="12" t="str">
        <x:f>IFERROR(INDEX('55_Codificacion_ensayo'!$F$5:$F$13,MATCH(B26,'55_Codificacion_ensayo'!$A$5:$A$13,0)),"")</x:f>
        <x:v>REINICIO_COMPLETO</x:v>
      </x:c>
      <x:c r="Y26" s="12" t="str">
        <x:f>IFERROR(INDEX('55_Codificacion_ensayo'!$G$5:$G$13,MATCH(B26,'55_Codificacion_ensayo'!$A$5:$A$13,0)),"")</x:f>
      </x:c>
      <x:c r="Z26" s="12" t="str">
        <x:f>IFERROR(INDEX('55_Codificacion_ensayo'!$H$5:$H$13,MATCH(B26,'55_Codificacion_ensayo'!$A$5:$A$13,0)),"")</x:f>
        <x:v>NINGUNO</x:v>
      </x:c>
      <x:c r="AA26" s="12" t="str">
        <x:f>IFERROR(INDEX('55_Codificacion_ensayo'!$I$5:$I$13,MATCH(B26,'55_Codificacion_ensayo'!$A$5:$A$13,0)),"")</x:f>
        <x:v>REINICIO_REALIZADO</x:v>
      </x:c>
      <x:c r="AB26" s="12" t="str">
        <x:f>IFERROR(INDEX('55_Codificacion_ensayo'!$J$5:$J$13,MATCH(B26,'55_Codificacion_ensayo'!$A$5:$A$13,0)),"")</x:f>
        <x:v>SIN_REINICIO_COMPLETO</x:v>
      </x:c>
    </x:row>
    <x:row r="27" ht="47" customHeight="1">
      <x:c r="A27" s="4" t="str">
        <x:v>L10-03-09</x:v>
      </x:c>
      <x:c r="B27" s="4" t="str">
        <x:v>PAR-CYB-REINICIO-SISTEMA-REALIZADO-001</x:v>
      </x:c>
      <x:c r="C27" s="4" t="str">
        <x:v>EVENTO-REINICIO-COMPLETO-0.1</x:v>
      </x:c>
      <x:c r="D27" s="4" t="str">
        <x:v>COINCIDE</x:v>
      </x:c>
      <x:c r="E27" s="4" t="str">
        <x:v>LEGIBLE</x:v>
      </x:c>
      <x:c r="F27" s="4" t="str">
        <x:v>ARRANQUE_COMPLETO</x:v>
      </x:c>
      <x:c r="G27" s="4" t="str">
        <x:v>UNICA</x:v>
      </x:c>
      <x:c r="H27" s="4" t="str">
        <x:v>true false desconocido</x:v>
      </x:c>
      <x:c r="I27" s="4" t="str"/>
      <x:c r="J27" s="4" t="str">
        <x:v>COMPLETA</x:v>
      </x:c>
      <x:c r="K27" s="4" t="str">
        <x:v>ORDEN_ACREDITADO</x:v>
      </x:c>
      <x:c r="L27" s="4" t="str">
        <x:v>NO_ADMISION</x:v>
      </x:c>
      <x:c r="M27" s="4" t="str"/>
      <x:c r="N27" s="4" t="str">
        <x:v>LEXEMA_O_FORMA</x:v>
      </x:c>
      <x:c r="O27" s="12" t="str">
        <x:f>IF(Q27="SIN_EJECUCION_DOMINIO","FALLO_CAPTURA",IF(OR(Q27="CAPTURA_MAL_FORMADA",Q27="IDENTIDAD",Q27="OBSERVACION_MAL_FORMADA",Q27="LEXEMA_O_FORMA"),"NO_ADMISION",IF(OR(Q27="PERFIL_NO_CONSTITUIDO",Q27="RESULTADO_NO_TERMINAL"),"FUERA_PERFIL",IF(Q27="CONTEXTO_NO_CONSTITUIDO","CONFIGURACION_PENDIENTE","VALIDA"))))</x:f>
        <x:v>NO_ADMISION</x:v>
      </x:c>
      <x:c r="P27" s="12" t="str">
        <x:f>IF(O27&lt;&gt;"VALIDA","",IF(Q27=AA27,"1",IF(Q27=AB27,"0","U")))</x:f>
      </x:c>
      <x:c r="Q27" s="12" t="str">
        <x:f>IF(E27="FALLO","SIN_EJECUCION_DOMINIO",IF(E27&lt;&gt;"LEGIBLE","CAPTURA_MAL_FORMADA",IF(D27&lt;&gt;"COINCIDE","IDENTIDAD",IF(OR(T27="",C27&lt;&gt;T27),"PERFIL_NO_CONSTITUIDO",IF(K27&lt;&gt;V27,IF(V27="ORDEN_ACREDITADO","ORDEN_NO_ACREDITADO","CONTEXTO_NO_CONSTITUIDO"),IF(AND(G27="AUSENTE",H27="",I27=""),"DATO_AUSENTE",IF(AND(G27="CONFLICTO",H27="",I27=""),"CONFLICTO_OBSERVACIONAL",IF(G27&lt;&gt;"UNICA","OBSERVACION_MAL_FORMADA",IF(F27&lt;&gt;U27,"OBSERVACION_INSUFICIENTE",IF(W27="RESULTADO",IF(H27=X27,AA27,IF(OR(H27="orcSucceededWithErrors",H27="orcFailed",H27="orcAborted"),AB27,IF(OR(H27="orcNotStarted",H27="orcInProgress"),"RESULTADO_NO_TERMINAL","LEXEMA_O_FORMA"))),IF(W27="EVENTO_BOOT",IF(H27=X27,AA27,IF(OR(H27="NINGUNO",H27="SOLO_HIBRIDO"),IF(J27="COMPLETA",AB27,"COBERTURA_INSUFICIENTE"),"LEXEMA_O_FORMA")),IF(W27="REQUISITO_SOFT",IF(H27=X27,AA27,IF(H27=Z27,AB27,"LEXEMA_O_FORMA")),IF(W27="EVENTO_PROC",IF(H27=X27,AA27,IF(H27=Z27,IF(J27="COMPLETA",AB27,"COBERTURA_INSUFICIENTE"),"LEXEMA_O_FORMA")),IF(W27="IMAGEN",IF(AND(AND(ISTEXT(H27),LEN(("x"&amp;H27))=65,EXACT(("x"&amp;H27),LOWER(("x"&amp;H27))),ISERROR(SEARCH(" ",("x"&amp;H27))),ISERROR(SEARCH(CHAR(9),("x"&amp;H27))),ISERROR(SEARCH(CHAR(10),("x"&amp;H27))),ISERROR(SEARCH(CHAR(13),("x"&amp;H27))),IFERROR(HEX2DEC(MID(("x"&amp;H27),2,8))&gt;=0,FALSE),IFERROR(HEX2DEC(MID(("x"&amp;H27),10,8))&gt;=0,FALSE),IFERROR(HEX2DEC(MID(("x"&amp;H27),18,8))&gt;=0,FALSE),IFERROR(HEX2DEC(MID(("x"&amp;H27),26,8))&gt;=0,FALSE),IFERROR(HEX2DEC(MID(("x"&amp;H27),34,8))&gt;=0,FALSE),IFERROR(HEX2DEC(MID(("x"&amp;H27),42,8))&gt;=0,FALSE),IFERROR(HEX2DEC(MID(("x"&amp;H27),50,8))&gt;=0,FALSE),IFERROR(HEX2DEC(MID(("x"&amp;H27),58,8))&gt;=0,FALSE)),AND(ISTEXT(I27),LEN(("x"&amp;I27))=65,EXACT(("x"&amp;I27),LOWER(("x"&amp;I27))),ISERROR(SEARCH(" ",("x"&amp;I27))),ISERROR(SEARCH(CHAR(9),("x"&amp;I27))),ISERROR(SEARCH(CHAR(10),("x"&amp;I27))),ISERROR(SEARCH(CHAR(13),("x"&amp;I27))),IFERROR(HEX2DEC(MID(("x"&amp;I27),2,8))&gt;=0,FALSE),IFERROR(HEX2DEC(MID(("x"&amp;I27),10,8))&gt;=0,FALSE),IFERROR(HEX2DEC(MID(("x"&amp;I27),18,8))&gt;=0,FALSE),IFERROR(HEX2DEC(MID(("x"&amp;I27),26,8))&gt;=0,FALSE),IFERROR(HEX2DEC(MID(("x"&amp;I27),34,8))&gt;=0,FALSE),IFERROR(HEX2DEC(MID(("x"&amp;I27),42,8))&gt;=0,FALSE),IFERROR(HEX2DEC(MID(("x"&amp;I27),50,8))&gt;=0,FALSE),IFERROR(HEX2DEC(MID(("x"&amp;I27),58,8))&gt;=0,FALSE))),IF(EXACT("x"&amp;H27,"x"&amp;I27),AA27,AB27),"LEXEMA_O_FORMA"),IF(W27="PRUEBA",IF(H27=X27,AA27,IF(H27=Z27,AB27,"LEXEMA_O_FORMA")),IF(W27="RETIRADA",IF(AND(H27="NINGUNO",I27=""),IF(J27="COMPLETA",AB27,"COBERTURA_INSUFICIENTE"),IF(AND(OR(H27="uoInstallation",H27="uoUninstallation"),OR(I27="orcSucceeded",I27="orcSucceededWithErrors",I27="orcFailed",I27="orcAborted",I27="orcInProgress",I27="orcNotStarted")),IF(AND(H27=X27,I27=Y27),AA27,IF(AND(H27=X27,OR(I27="orcSucceededWithErrors",I27="orcInProgress",I27="orcNotStarted")),"RESULTADO_RETIRADA_INCIERTO",IF(J27="COMPLETA",AB27,"COBERTURA_INSUFICIENTE"))),"LEXEMA_O_FORMA")),IF(W27="CAMBIO",IF(OR(H27="CAMBIO",H27="CAMBIO_Y_RETORNO"),AA27,IF(OR(H27="NINGUNO",H27="SOLO_RENOMBRE"),IF(J27="COMPLETA",AB27,"COBERTURA_INSUFICIENTE"),"LEXEMA_O_FORMA")),IF(W27="RESTAURACION",IF(H27=X27,AA27,IF(OR(H27="NINGUNO",H27="RESTAURACION_POSTERIOR",H27="RESTAURACION_FALLIDA"),IF(J27="COMPLETA",AB27,"COBERTURA_INSUFICIENTE"),"LEXEMA_O_FORMA")),"PERFIL_NO_CONSTITUIDO"))))))))))))))))))</x:f>
        <x:v>LEXEMA_O_FORMA</x:v>
      </x:c>
      <x:c r="R27" s="12" t="str">
        <x:f>IF(AND(L27=O27,M27=P27,N27=Q27),"PASA","NO_PASA")</x:f>
        <x:v>PASA</x:v>
      </x:c>
      <x:c r="S27" s="4" t="str">
        <x:v>La observación usa un lexema ajeno al contrato.</x:v>
      </x:c>
      <x:c r="T27" s="12" t="str">
        <x:f>IFERROR(INDEX('55_Codificacion_ensayo'!$B$5:$B$13,MATCH(B27,'55_Codificacion_ensayo'!$A$5:$A$13,0)),"")</x:f>
        <x:v>EVENTO-REINICIO-COMPLETO-0.1</x:v>
      </x:c>
      <x:c r="U27" s="12" t="str">
        <x:f>IFERROR(INDEX('55_Codificacion_ensayo'!$C$5:$C$13,MATCH(B27,'55_Codificacion_ensayo'!$A$5:$A$13,0)),"")</x:f>
        <x:v>ARRANQUE_COMPLETO</x:v>
      </x:c>
      <x:c r="V27" s="12" t="str">
        <x:f>IFERROR(INDEX('55_Codificacion_ensayo'!$D$5:$D$13,MATCH(B27,'55_Codificacion_ensayo'!$A$5:$A$13,0)),"")</x:f>
        <x:v>ORDEN_ACREDITADO</x:v>
      </x:c>
      <x:c r="W27" s="12" t="str">
        <x:f>IFERROR(INDEX('55_Codificacion_ensayo'!$E$5:$E$13,MATCH(B27,'55_Codificacion_ensayo'!$A$5:$A$13,0)),"")</x:f>
        <x:v>EVENTO_BOOT</x:v>
      </x:c>
      <x:c r="X27" s="12" t="str">
        <x:f>IFERROR(INDEX('55_Codificacion_ensayo'!$F$5:$F$13,MATCH(B27,'55_Codificacion_ensayo'!$A$5:$A$13,0)),"")</x:f>
        <x:v>REINICIO_COMPLETO</x:v>
      </x:c>
      <x:c r="Y27" s="12" t="str">
        <x:f>IFERROR(INDEX('55_Codificacion_ensayo'!$G$5:$G$13,MATCH(B27,'55_Codificacion_ensayo'!$A$5:$A$13,0)),"")</x:f>
      </x:c>
      <x:c r="Z27" s="12" t="str">
        <x:f>IFERROR(INDEX('55_Codificacion_ensayo'!$H$5:$H$13,MATCH(B27,'55_Codificacion_ensayo'!$A$5:$A$13,0)),"")</x:f>
        <x:v>NINGUNO</x:v>
      </x:c>
      <x:c r="AA27" s="12" t="str">
        <x:f>IFERROR(INDEX('55_Codificacion_ensayo'!$I$5:$I$13,MATCH(B27,'55_Codificacion_ensayo'!$A$5:$A$13,0)),"")</x:f>
        <x:v>REINICIO_REALIZADO</x:v>
      </x:c>
      <x:c r="AB27" s="12" t="str">
        <x:f>IFERROR(INDEX('55_Codificacion_ensayo'!$J$5:$J$13,MATCH(B27,'55_Codificacion_ensayo'!$A$5:$A$13,0)),"")</x:f>
        <x:v>SIN_REINICIO_COMPLETO</x:v>
      </x:c>
    </x:row>
    <x:row r="28" ht="47" customHeight="1">
      <x:c r="A28" s="4" t="str">
        <x:v>L10-03-10</x:v>
      </x:c>
      <x:c r="B28" s="4" t="str">
        <x:v>PAR-CYB-REINICIO-SISTEMA-REALIZADO-001</x:v>
      </x:c>
      <x:c r="C28" s="4" t="str">
        <x:v>EVENTO-REINICIO-COMPLETO-0.1</x:v>
      </x:c>
      <x:c r="D28" s="4" t="str">
        <x:v>COINCIDE</x:v>
      </x:c>
      <x:c r="E28" s="4" t="str">
        <x:v>LEGIBLE</x:v>
      </x:c>
      <x:c r="F28" s="4" t="str">
        <x:v>ARRANQUE_COMPLETO</x:v>
      </x:c>
      <x:c r="G28" s="4" t="str">
        <x:v>UNICA</x:v>
      </x:c>
      <x:c r="H28" s="4" t="str">
        <x:v>NINGUNO</x:v>
      </x:c>
      <x:c r="I28" s="4" t="str"/>
      <x:c r="J28" s="4" t="str">
        <x:v>PARCIAL</x:v>
      </x:c>
      <x:c r="K28" s="4" t="str">
        <x:v>ORDEN_ACREDITADO</x:v>
      </x:c>
      <x:c r="L28" s="4" t="str">
        <x:v>VALIDA</x:v>
      </x:c>
      <x:c r="M28" s="4" t="str">
        <x:v>U</x:v>
      </x:c>
      <x:c r="N28" s="4" t="str">
        <x:v>COBERTURA_INSUFICIENTE</x:v>
      </x:c>
      <x:c r="O28" s="12" t="str">
        <x:f>IF(Q28="SIN_EJECUCION_DOMINIO","FALLO_CAPTURA",IF(OR(Q28="CAPTURA_MAL_FORMADA",Q28="IDENTIDAD",Q28="OBSERVACION_MAL_FORMADA",Q28="LEXEMA_O_FORMA"),"NO_ADMISION",IF(OR(Q28="PERFIL_NO_CONSTITUIDO",Q28="RESULTADO_NO_TERMINAL"),"FUERA_PERFIL",IF(Q28="CONTEXTO_NO_CONSTITUIDO","CONFIGURACION_PENDIENTE","VALIDA"))))</x:f>
        <x:v>VALIDA</x:v>
      </x:c>
      <x:c r="P28" s="12" t="str">
        <x:f>IF(O28&lt;&gt;"VALIDA","",IF(Q28=AA28,"1",IF(Q28=AB28,"0","U")))</x:f>
        <x:v>U</x:v>
      </x:c>
      <x:c r="Q28" s="12" t="str">
        <x:f>IF(E28="FALLO","SIN_EJECUCION_DOMINIO",IF(E28&lt;&gt;"LEGIBLE","CAPTURA_MAL_FORMADA",IF(D28&lt;&gt;"COINCIDE","IDENTIDAD",IF(OR(T28="",C28&lt;&gt;T28),"PERFIL_NO_CONSTITUIDO",IF(K28&lt;&gt;V28,IF(V28="ORDEN_ACREDITADO","ORDEN_NO_ACREDITADO","CONTEXTO_NO_CONSTITUIDO"),IF(AND(G28="AUSENTE",H28="",I28=""),"DATO_AUSENTE",IF(AND(G28="CONFLICTO",H28="",I28=""),"CONFLICTO_OBSERVACIONAL",IF(G28&lt;&gt;"UNICA","OBSERVACION_MAL_FORMADA",IF(F28&lt;&gt;U28,"OBSERVACION_INSUFICIENTE",IF(W28="RESULTADO",IF(H28=X28,AA28,IF(OR(H28="orcSucceededWithErrors",H28="orcFailed",H28="orcAborted"),AB28,IF(OR(H28="orcNotStarted",H28="orcInProgress"),"RESULTADO_NO_TERMINAL","LEXEMA_O_FORMA"))),IF(W28="EVENTO_BOOT",IF(H28=X28,AA28,IF(OR(H28="NINGUNO",H28="SOLO_HIBRIDO"),IF(J28="COMPLETA",AB28,"COBERTURA_INSUFICIENTE"),"LEXEMA_O_FORMA")),IF(W28="REQUISITO_SOFT",IF(H28=X28,AA28,IF(H28=Z28,AB28,"LEXEMA_O_FORMA")),IF(W28="EVENTO_PROC",IF(H28=X28,AA28,IF(H28=Z28,IF(J28="COMPLETA",AB28,"COBERTURA_INSUFICIENTE"),"LEXEMA_O_FORMA")),IF(W28="IMAGEN",IF(AND(AND(ISTEXT(H28),LEN(("x"&amp;H28))=65,EXACT(("x"&amp;H28),LOWER(("x"&amp;H28))),ISERROR(SEARCH(" ",("x"&amp;H28))),ISERROR(SEARCH(CHAR(9),("x"&amp;H28))),ISERROR(SEARCH(CHAR(10),("x"&amp;H28))),ISERROR(SEARCH(CHAR(13),("x"&amp;H28))),IFERROR(HEX2DEC(MID(("x"&amp;H28),2,8))&gt;=0,FALSE),IFERROR(HEX2DEC(MID(("x"&amp;H28),10,8))&gt;=0,FALSE),IFERROR(HEX2DEC(MID(("x"&amp;H28),18,8))&gt;=0,FALSE),IFERROR(HEX2DEC(MID(("x"&amp;H28),26,8))&gt;=0,FALSE),IFERROR(HEX2DEC(MID(("x"&amp;H28),34,8))&gt;=0,FALSE),IFERROR(HEX2DEC(MID(("x"&amp;H28),42,8))&gt;=0,FALSE),IFERROR(HEX2DEC(MID(("x"&amp;H28),50,8))&gt;=0,FALSE),IFERROR(HEX2DEC(MID(("x"&amp;H28),58,8))&gt;=0,FALSE)),AND(ISTEXT(I28),LEN(("x"&amp;I28))=65,EXACT(("x"&amp;I28),LOWER(("x"&amp;I28))),ISERROR(SEARCH(" ",("x"&amp;I28))),ISERROR(SEARCH(CHAR(9),("x"&amp;I28))),ISERROR(SEARCH(CHAR(10),("x"&amp;I28))),ISERROR(SEARCH(CHAR(13),("x"&amp;I28))),IFERROR(HEX2DEC(MID(("x"&amp;I28),2,8))&gt;=0,FALSE),IFERROR(HEX2DEC(MID(("x"&amp;I28),10,8))&gt;=0,FALSE),IFERROR(HEX2DEC(MID(("x"&amp;I28),18,8))&gt;=0,FALSE),IFERROR(HEX2DEC(MID(("x"&amp;I28),26,8))&gt;=0,FALSE),IFERROR(HEX2DEC(MID(("x"&amp;I28),34,8))&gt;=0,FALSE),IFERROR(HEX2DEC(MID(("x"&amp;I28),42,8))&gt;=0,FALSE),IFERROR(HEX2DEC(MID(("x"&amp;I28),50,8))&gt;=0,FALSE),IFERROR(HEX2DEC(MID(("x"&amp;I28),58,8))&gt;=0,FALSE))),IF(EXACT("x"&amp;H28,"x"&amp;I28),AA28,AB28),"LEXEMA_O_FORMA"),IF(W28="PRUEBA",IF(H28=X28,AA28,IF(H28=Z28,AB28,"LEXEMA_O_FORMA")),IF(W28="RETIRADA",IF(AND(H28="NINGUNO",I28=""),IF(J28="COMPLETA",AB28,"COBERTURA_INSUFICIENTE"),IF(AND(OR(H28="uoInstallation",H28="uoUninstallation"),OR(I28="orcSucceeded",I28="orcSucceededWithErrors",I28="orcFailed",I28="orcAborted",I28="orcInProgress",I28="orcNotStarted")),IF(AND(H28=X28,I28=Y28),AA28,IF(AND(H28=X28,OR(I28="orcSucceededWithErrors",I28="orcInProgress",I28="orcNotStarted")),"RESULTADO_RETIRADA_INCIERTO",IF(J28="COMPLETA",AB28,"COBERTURA_INSUFICIENTE"))),"LEXEMA_O_FORMA")),IF(W28="CAMBIO",IF(OR(H28="CAMBIO",H28="CAMBIO_Y_RETORNO"),AA28,IF(OR(H28="NINGUNO",H28="SOLO_RENOMBRE"),IF(J28="COMPLETA",AB28,"COBERTURA_INSUFICIENTE"),"LEXEMA_O_FORMA")),IF(W28="RESTAURACION",IF(H28=X28,AA28,IF(OR(H28="NINGUNO",H28="RESTAURACION_POSTERIOR",H28="RESTAURACION_FALLIDA"),IF(J28="COMPLETA",AB28,"COBERTURA_INSUFICIENTE"),"LEXEMA_O_FORMA")),"PERFIL_NO_CONSTITUIDO"))))))))))))))))))</x:f>
        <x:v>COBERTURA_INSUFICIENTE</x:v>
      </x:c>
      <x:c r="R28" s="12" t="str">
        <x:f>IF(AND(L28=O28,M28=P28,N28=Q28),"PASA","NO_PASA")</x:f>
        <x:v>PASA</x:v>
      </x:c>
      <x:c r="S28" s="4" t="str">
        <x:v>Ningún evento encontrado en cobertura parcial: U, no 0.</x:v>
      </x:c>
      <x:c r="T28" s="12" t="str">
        <x:f>IFERROR(INDEX('55_Codificacion_ensayo'!$B$5:$B$13,MATCH(B28,'55_Codificacion_ensayo'!$A$5:$A$13,0)),"")</x:f>
        <x:v>EVENTO-REINICIO-COMPLETO-0.1</x:v>
      </x:c>
      <x:c r="U28" s="12" t="str">
        <x:f>IFERROR(INDEX('55_Codificacion_ensayo'!$C$5:$C$13,MATCH(B28,'55_Codificacion_ensayo'!$A$5:$A$13,0)),"")</x:f>
        <x:v>ARRANQUE_COMPLETO</x:v>
      </x:c>
      <x:c r="V28" s="12" t="str">
        <x:f>IFERROR(INDEX('55_Codificacion_ensayo'!$D$5:$D$13,MATCH(B28,'55_Codificacion_ensayo'!$A$5:$A$13,0)),"")</x:f>
        <x:v>ORDEN_ACREDITADO</x:v>
      </x:c>
      <x:c r="W28" s="12" t="str">
        <x:f>IFERROR(INDEX('55_Codificacion_ensayo'!$E$5:$E$13,MATCH(B28,'55_Codificacion_ensayo'!$A$5:$A$13,0)),"")</x:f>
        <x:v>EVENTO_BOOT</x:v>
      </x:c>
      <x:c r="X28" s="12" t="str">
        <x:f>IFERROR(INDEX('55_Codificacion_ensayo'!$F$5:$F$13,MATCH(B28,'55_Codificacion_ensayo'!$A$5:$A$13,0)),"")</x:f>
        <x:v>REINICIO_COMPLETO</x:v>
      </x:c>
      <x:c r="Y28" s="12" t="str">
        <x:f>IFERROR(INDEX('55_Codificacion_ensayo'!$G$5:$G$13,MATCH(B28,'55_Codificacion_ensayo'!$A$5:$A$13,0)),"")</x:f>
      </x:c>
      <x:c r="Z28" s="12" t="str">
        <x:f>IFERROR(INDEX('55_Codificacion_ensayo'!$H$5:$H$13,MATCH(B28,'55_Codificacion_ensayo'!$A$5:$A$13,0)),"")</x:f>
        <x:v>NINGUNO</x:v>
      </x:c>
      <x:c r="AA28" s="12" t="str">
        <x:f>IFERROR(INDEX('55_Codificacion_ensayo'!$I$5:$I$13,MATCH(B28,'55_Codificacion_ensayo'!$A$5:$A$13,0)),"")</x:f>
        <x:v>REINICIO_REALIZADO</x:v>
      </x:c>
      <x:c r="AB28" s="12" t="str">
        <x:f>IFERROR(INDEX('55_Codificacion_ensayo'!$J$5:$J$13,MATCH(B28,'55_Codificacion_ensayo'!$A$5:$A$13,0)),"")</x:f>
        <x:v>SIN_REINICIO_COMPLETO</x:v>
      </x:c>
    </x:row>
    <x:row r="29" ht="47" customHeight="1">
      <x:c r="A29" s="4" t="str">
        <x:v>L10-03-11</x:v>
      </x:c>
      <x:c r="B29" s="4" t="str">
        <x:v>PAR-CYB-REINICIO-SISTEMA-REALIZADO-001</x:v>
      </x:c>
      <x:c r="C29" s="4" t="str">
        <x:v>EVENTO-REINICIO-COMPLETO-0.1</x:v>
      </x:c>
      <x:c r="D29" s="4" t="str">
        <x:v>COINCIDE</x:v>
      </x:c>
      <x:c r="E29" s="4" t="str">
        <x:v>LEGIBLE</x:v>
      </x:c>
      <x:c r="F29" s="4" t="str">
        <x:v>ARRANQUE_COMPLETO</x:v>
      </x:c>
      <x:c r="G29" s="4" t="str">
        <x:v>UNICA</x:v>
      </x:c>
      <x:c r="H29" s="4" t="str">
        <x:v>REINICIO_COMPLETO</x:v>
      </x:c>
      <x:c r="I29" s="4" t="str"/>
      <x:c r="J29" s="4" t="str">
        <x:v>PARCIAL</x:v>
      </x:c>
      <x:c r="K29" s="4" t="str">
        <x:v>ORDEN_ACREDITADO</x:v>
      </x:c>
      <x:c r="L29" s="4" t="str">
        <x:v>VALIDA</x:v>
      </x:c>
      <x:c r="M29" s="4" t="str">
        <x:v>1</x:v>
      </x:c>
      <x:c r="N29" s="4" t="str">
        <x:v>REINICIO_REALIZADO</x:v>
      </x:c>
      <x:c r="O29" s="12" t="str">
        <x:f>IF(Q29="SIN_EJECUCION_DOMINIO","FALLO_CAPTURA",IF(OR(Q29="CAPTURA_MAL_FORMADA",Q29="IDENTIDAD",Q29="OBSERVACION_MAL_FORMADA",Q29="LEXEMA_O_FORMA"),"NO_ADMISION",IF(OR(Q29="PERFIL_NO_CONSTITUIDO",Q29="RESULTADO_NO_TERMINAL"),"FUERA_PERFIL",IF(Q29="CONTEXTO_NO_CONSTITUIDO","CONFIGURACION_PENDIENTE","VALIDA"))))</x:f>
        <x:v>VALIDA</x:v>
      </x:c>
      <x:c r="P29" s="12" t="str">
        <x:f>IF(O29&lt;&gt;"VALIDA","",IF(Q29=AA29,"1",IF(Q29=AB29,"0","U")))</x:f>
        <x:v>1</x:v>
      </x:c>
      <x:c r="Q29" s="12" t="str">
        <x:f>IF(E29="FALLO","SIN_EJECUCION_DOMINIO",IF(E29&lt;&gt;"LEGIBLE","CAPTURA_MAL_FORMADA",IF(D29&lt;&gt;"COINCIDE","IDENTIDAD",IF(OR(T29="",C29&lt;&gt;T29),"PERFIL_NO_CONSTITUIDO",IF(K29&lt;&gt;V29,IF(V29="ORDEN_ACREDITADO","ORDEN_NO_ACREDITADO","CONTEXTO_NO_CONSTITUIDO"),IF(AND(G29="AUSENTE",H29="",I29=""),"DATO_AUSENTE",IF(AND(G29="CONFLICTO",H29="",I29=""),"CONFLICTO_OBSERVACIONAL",IF(G29&lt;&gt;"UNICA","OBSERVACION_MAL_FORMADA",IF(F29&lt;&gt;U29,"OBSERVACION_INSUFICIENTE",IF(W29="RESULTADO",IF(H29=X29,AA29,IF(OR(H29="orcSucceededWithErrors",H29="orcFailed",H29="orcAborted"),AB29,IF(OR(H29="orcNotStarted",H29="orcInProgress"),"RESULTADO_NO_TERMINAL","LEXEMA_O_FORMA"))),IF(W29="EVENTO_BOOT",IF(H29=X29,AA29,IF(OR(H29="NINGUNO",H29="SOLO_HIBRIDO"),IF(J29="COMPLETA",AB29,"COBERTURA_INSUFICIENTE"),"LEXEMA_O_FORMA")),IF(W29="REQUISITO_SOFT",IF(H29=X29,AA29,IF(H29=Z29,AB29,"LEXEMA_O_FORMA")),IF(W29="EVENTO_PROC",IF(H29=X29,AA29,IF(H29=Z29,IF(J29="COMPLETA",AB29,"COBERTURA_INSUFICIENTE"),"LEXEMA_O_FORMA")),IF(W29="IMAGEN",IF(AND(AND(ISTEXT(H29),LEN(("x"&amp;H29))=65,EXACT(("x"&amp;H29),LOWER(("x"&amp;H29))),ISERROR(SEARCH(" ",("x"&amp;H29))),ISERROR(SEARCH(CHAR(9),("x"&amp;H29))),ISERROR(SEARCH(CHAR(10),("x"&amp;H29))),ISERROR(SEARCH(CHAR(13),("x"&amp;H29))),IFERROR(HEX2DEC(MID(("x"&amp;H29),2,8))&gt;=0,FALSE),IFERROR(HEX2DEC(MID(("x"&amp;H29),10,8))&gt;=0,FALSE),IFERROR(HEX2DEC(MID(("x"&amp;H29),18,8))&gt;=0,FALSE),IFERROR(HEX2DEC(MID(("x"&amp;H29),26,8))&gt;=0,FALSE),IFERROR(HEX2DEC(MID(("x"&amp;H29),34,8))&gt;=0,FALSE),IFERROR(HEX2DEC(MID(("x"&amp;H29),42,8))&gt;=0,FALSE),IFERROR(HEX2DEC(MID(("x"&amp;H29),50,8))&gt;=0,FALSE),IFERROR(HEX2DEC(MID(("x"&amp;H29),58,8))&gt;=0,FALSE)),AND(ISTEXT(I29),LEN(("x"&amp;I29))=65,EXACT(("x"&amp;I29),LOWER(("x"&amp;I29))),ISERROR(SEARCH(" ",("x"&amp;I29))),ISERROR(SEARCH(CHAR(9),("x"&amp;I29))),ISERROR(SEARCH(CHAR(10),("x"&amp;I29))),ISERROR(SEARCH(CHAR(13),("x"&amp;I29))),IFERROR(HEX2DEC(MID(("x"&amp;I29),2,8))&gt;=0,FALSE),IFERROR(HEX2DEC(MID(("x"&amp;I29),10,8))&gt;=0,FALSE),IFERROR(HEX2DEC(MID(("x"&amp;I29),18,8))&gt;=0,FALSE),IFERROR(HEX2DEC(MID(("x"&amp;I29),26,8))&gt;=0,FALSE),IFERROR(HEX2DEC(MID(("x"&amp;I29),34,8))&gt;=0,FALSE),IFERROR(HEX2DEC(MID(("x"&amp;I29),42,8))&gt;=0,FALSE),IFERROR(HEX2DEC(MID(("x"&amp;I29),50,8))&gt;=0,FALSE),IFERROR(HEX2DEC(MID(("x"&amp;I29),58,8))&gt;=0,FALSE))),IF(EXACT("x"&amp;H29,"x"&amp;I29),AA29,AB29),"LEXEMA_O_FORMA"),IF(W29="PRUEBA",IF(H29=X29,AA29,IF(H29=Z29,AB29,"LEXEMA_O_FORMA")),IF(W29="RETIRADA",IF(AND(H29="NINGUNO",I29=""),IF(J29="COMPLETA",AB29,"COBERTURA_INSUFICIENTE"),IF(AND(OR(H29="uoInstallation",H29="uoUninstallation"),OR(I29="orcSucceeded",I29="orcSucceededWithErrors",I29="orcFailed",I29="orcAborted",I29="orcInProgress",I29="orcNotStarted")),IF(AND(H29=X29,I29=Y29),AA29,IF(AND(H29=X29,OR(I29="orcSucceededWithErrors",I29="orcInProgress",I29="orcNotStarted")),"RESULTADO_RETIRADA_INCIERTO",IF(J29="COMPLETA",AB29,"COBERTURA_INSUFICIENTE"))),"LEXEMA_O_FORMA")),IF(W29="CAMBIO",IF(OR(H29="CAMBIO",H29="CAMBIO_Y_RETORNO"),AA29,IF(OR(H29="NINGUNO",H29="SOLO_RENOMBRE"),IF(J29="COMPLETA",AB29,"COBERTURA_INSUFICIENTE"),"LEXEMA_O_FORMA")),IF(W29="RESTAURACION",IF(H29=X29,AA29,IF(OR(H29="NINGUNO",H29="RESTAURACION_POSTERIOR",H29="RESTAURACION_FALLIDA"),IF(J29="COMPLETA",AB29,"COBERTURA_INSUFICIENTE"),"LEXEMA_O_FORMA")),"PERFIL_NO_CONSTITUIDO"))))))))))))))))))</x:f>
        <x:v>REINICIO_REALIZADO</x:v>
      </x:c>
      <x:c r="R29" s="12" t="str">
        <x:f>IF(AND(L29=O29,M29=P29,N29=Q29),"PASA","NO_PASA")</x:f>
        <x:v>PASA</x:v>
      </x:c>
      <x:c r="S29" s="4" t="str">
        <x:v>Un testigo positivo acredita existencia aunque la historia restante sea parcial.</x:v>
      </x:c>
      <x:c r="T29" s="12" t="str">
        <x:f>IFERROR(INDEX('55_Codificacion_ensayo'!$B$5:$B$13,MATCH(B29,'55_Codificacion_ensayo'!$A$5:$A$13,0)),"")</x:f>
        <x:v>EVENTO-REINICIO-COMPLETO-0.1</x:v>
      </x:c>
      <x:c r="U29" s="12" t="str">
        <x:f>IFERROR(INDEX('55_Codificacion_ensayo'!$C$5:$C$13,MATCH(B29,'55_Codificacion_ensayo'!$A$5:$A$13,0)),"")</x:f>
        <x:v>ARRANQUE_COMPLETO</x:v>
      </x:c>
      <x:c r="V29" s="12" t="str">
        <x:f>IFERROR(INDEX('55_Codificacion_ensayo'!$D$5:$D$13,MATCH(B29,'55_Codificacion_ensayo'!$A$5:$A$13,0)),"")</x:f>
        <x:v>ORDEN_ACREDITADO</x:v>
      </x:c>
      <x:c r="W29" s="12" t="str">
        <x:f>IFERROR(INDEX('55_Codificacion_ensayo'!$E$5:$E$13,MATCH(B29,'55_Codificacion_ensayo'!$A$5:$A$13,0)),"")</x:f>
        <x:v>EVENTO_BOOT</x:v>
      </x:c>
      <x:c r="X29" s="12" t="str">
        <x:f>IFERROR(INDEX('55_Codificacion_ensayo'!$F$5:$F$13,MATCH(B29,'55_Codificacion_ensayo'!$A$5:$A$13,0)),"")</x:f>
        <x:v>REINICIO_COMPLETO</x:v>
      </x:c>
      <x:c r="Y29" s="12" t="str">
        <x:f>IFERROR(INDEX('55_Codificacion_ensayo'!$G$5:$G$13,MATCH(B29,'55_Codificacion_ensayo'!$A$5:$A$13,0)),"")</x:f>
      </x:c>
      <x:c r="Z29" s="12" t="str">
        <x:f>IFERROR(INDEX('55_Codificacion_ensayo'!$H$5:$H$13,MATCH(B29,'55_Codificacion_ensayo'!$A$5:$A$13,0)),"")</x:f>
        <x:v>NINGUNO</x:v>
      </x:c>
      <x:c r="AA29" s="12" t="str">
        <x:f>IFERROR(INDEX('55_Codificacion_ensayo'!$I$5:$I$13,MATCH(B29,'55_Codificacion_ensayo'!$A$5:$A$13,0)),"")</x:f>
        <x:v>REINICIO_REALIZADO</x:v>
      </x:c>
      <x:c r="AB29" s="12" t="str">
        <x:f>IFERROR(INDEX('55_Codificacion_ensayo'!$J$5:$J$13,MATCH(B29,'55_Codificacion_ensayo'!$A$5:$A$13,0)),"")</x:f>
        <x:v>SIN_REINICIO_COMPLETO</x:v>
      </x:c>
    </x:row>
    <x:row r="30" ht="47" customHeight="1">
      <x:c r="A30" s="4" t="str">
        <x:v>L10-03-12</x:v>
      </x:c>
      <x:c r="B30" s="4" t="str">
        <x:v>PAR-CYB-REINICIO-SISTEMA-REALIZADO-001</x:v>
      </x:c>
      <x:c r="C30" s="4" t="str">
        <x:v>EVENTO-REINICIO-COMPLETO-0.1</x:v>
      </x:c>
      <x:c r="D30" s="4" t="str">
        <x:v>COINCIDE</x:v>
      </x:c>
      <x:c r="E30" s="4" t="str">
        <x:v>LEGIBLE</x:v>
      </x:c>
      <x:c r="F30" s="4" t="str">
        <x:v>ARRANQUE_COMPLETO</x:v>
      </x:c>
      <x:c r="G30" s="4" t="str">
        <x:v>UNICA</x:v>
      </x:c>
      <x:c r="H30" s="4" t="str">
        <x:v>REINICIO_COMPLETO</x:v>
      </x:c>
      <x:c r="I30" s="4" t="str"/>
      <x:c r="J30" s="4" t="str">
        <x:v>COMPLETA</x:v>
      </x:c>
      <x:c r="K30" s="4" t="str">
        <x:v>ORDEN_INCIERTO</x:v>
      </x:c>
      <x:c r="L30" s="4" t="str">
        <x:v>VALIDA</x:v>
      </x:c>
      <x:c r="M30" s="4" t="str">
        <x:v>U</x:v>
      </x:c>
      <x:c r="N30" s="4" t="str">
        <x:v>ORDEN_NO_ACREDITADO</x:v>
      </x:c>
      <x:c r="O30" s="12" t="str">
        <x:f>IF(Q30="SIN_EJECUCION_DOMINIO","FALLO_CAPTURA",IF(OR(Q30="CAPTURA_MAL_FORMADA",Q30="IDENTIDAD",Q30="OBSERVACION_MAL_FORMADA",Q30="LEXEMA_O_FORMA"),"NO_ADMISION",IF(OR(Q30="PERFIL_NO_CONSTITUIDO",Q30="RESULTADO_NO_TERMINAL"),"FUERA_PERFIL",IF(Q30="CONTEXTO_NO_CONSTITUIDO","CONFIGURACION_PENDIENTE","VALIDA"))))</x:f>
        <x:v>VALIDA</x:v>
      </x:c>
      <x:c r="P30" s="12" t="str">
        <x:f>IF(O30&lt;&gt;"VALIDA","",IF(Q30=AA30,"1",IF(Q30=AB30,"0","U")))</x:f>
        <x:v>U</x:v>
      </x:c>
      <x:c r="Q30" s="12" t="str">
        <x:f>IF(E30="FALLO","SIN_EJECUCION_DOMINIO",IF(E30&lt;&gt;"LEGIBLE","CAPTURA_MAL_FORMADA",IF(D30&lt;&gt;"COINCIDE","IDENTIDAD",IF(OR(T30="",C30&lt;&gt;T30),"PERFIL_NO_CONSTITUIDO",IF(K30&lt;&gt;V30,IF(V30="ORDEN_ACREDITADO","ORDEN_NO_ACREDITADO","CONTEXTO_NO_CONSTITUIDO"),IF(AND(G30="AUSENTE",H30="",I30=""),"DATO_AUSENTE",IF(AND(G30="CONFLICTO",H30="",I30=""),"CONFLICTO_OBSERVACIONAL",IF(G30&lt;&gt;"UNICA","OBSERVACION_MAL_FORMADA",IF(F30&lt;&gt;U30,"OBSERVACION_INSUFICIENTE",IF(W30="RESULTADO",IF(H30=X30,AA30,IF(OR(H30="orcSucceededWithErrors",H30="orcFailed",H30="orcAborted"),AB30,IF(OR(H30="orcNotStarted",H30="orcInProgress"),"RESULTADO_NO_TERMINAL","LEXEMA_O_FORMA"))),IF(W30="EVENTO_BOOT",IF(H30=X30,AA30,IF(OR(H30="NINGUNO",H30="SOLO_HIBRIDO"),IF(J30="COMPLETA",AB30,"COBERTURA_INSUFICIENTE"),"LEXEMA_O_FORMA")),IF(W30="REQUISITO_SOFT",IF(H30=X30,AA30,IF(H30=Z30,AB30,"LEXEMA_O_FORMA")),IF(W30="EVENTO_PROC",IF(H30=X30,AA30,IF(H30=Z30,IF(J30="COMPLETA",AB30,"COBERTURA_INSUFICIENTE"),"LEXEMA_O_FORMA")),IF(W30="IMAGEN",IF(AND(AND(ISTEXT(H30),LEN(("x"&amp;H30))=65,EXACT(("x"&amp;H30),LOWER(("x"&amp;H30))),ISERROR(SEARCH(" ",("x"&amp;H30))),ISERROR(SEARCH(CHAR(9),("x"&amp;H30))),ISERROR(SEARCH(CHAR(10),("x"&amp;H30))),ISERROR(SEARCH(CHAR(13),("x"&amp;H30))),IFERROR(HEX2DEC(MID(("x"&amp;H30),2,8))&gt;=0,FALSE),IFERROR(HEX2DEC(MID(("x"&amp;H30),10,8))&gt;=0,FALSE),IFERROR(HEX2DEC(MID(("x"&amp;H30),18,8))&gt;=0,FALSE),IFERROR(HEX2DEC(MID(("x"&amp;H30),26,8))&gt;=0,FALSE),IFERROR(HEX2DEC(MID(("x"&amp;H30),34,8))&gt;=0,FALSE),IFERROR(HEX2DEC(MID(("x"&amp;H30),42,8))&gt;=0,FALSE),IFERROR(HEX2DEC(MID(("x"&amp;H30),50,8))&gt;=0,FALSE),IFERROR(HEX2DEC(MID(("x"&amp;H30),58,8))&gt;=0,FALSE)),AND(ISTEXT(I30),LEN(("x"&amp;I30))=65,EXACT(("x"&amp;I30),LOWER(("x"&amp;I30))),ISERROR(SEARCH(" ",("x"&amp;I30))),ISERROR(SEARCH(CHAR(9),("x"&amp;I30))),ISERROR(SEARCH(CHAR(10),("x"&amp;I30))),ISERROR(SEARCH(CHAR(13),("x"&amp;I30))),IFERROR(HEX2DEC(MID(("x"&amp;I30),2,8))&gt;=0,FALSE),IFERROR(HEX2DEC(MID(("x"&amp;I30),10,8))&gt;=0,FALSE),IFERROR(HEX2DEC(MID(("x"&amp;I30),18,8))&gt;=0,FALSE),IFERROR(HEX2DEC(MID(("x"&amp;I30),26,8))&gt;=0,FALSE),IFERROR(HEX2DEC(MID(("x"&amp;I30),34,8))&gt;=0,FALSE),IFERROR(HEX2DEC(MID(("x"&amp;I30),42,8))&gt;=0,FALSE),IFERROR(HEX2DEC(MID(("x"&amp;I30),50,8))&gt;=0,FALSE),IFERROR(HEX2DEC(MID(("x"&amp;I30),58,8))&gt;=0,FALSE))),IF(EXACT("x"&amp;H30,"x"&amp;I30),AA30,AB30),"LEXEMA_O_FORMA"),IF(W30="PRUEBA",IF(H30=X30,AA30,IF(H30=Z30,AB30,"LEXEMA_O_FORMA")),IF(W30="RETIRADA",IF(AND(H30="NINGUNO",I30=""),IF(J30="COMPLETA",AB30,"COBERTURA_INSUFICIENTE"),IF(AND(OR(H30="uoInstallation",H30="uoUninstallation"),OR(I30="orcSucceeded",I30="orcSucceededWithErrors",I30="orcFailed",I30="orcAborted",I30="orcInProgress",I30="orcNotStarted")),IF(AND(H30=X30,I30=Y30),AA30,IF(AND(H30=X30,OR(I30="orcSucceededWithErrors",I30="orcInProgress",I30="orcNotStarted")),"RESULTADO_RETIRADA_INCIERTO",IF(J30="COMPLETA",AB30,"COBERTURA_INSUFICIENTE"))),"LEXEMA_O_FORMA")),IF(W30="CAMBIO",IF(OR(H30="CAMBIO",H30="CAMBIO_Y_RETORNO"),AA30,IF(OR(H30="NINGUNO",H30="SOLO_RENOMBRE"),IF(J30="COMPLETA",AB30,"COBERTURA_INSUFICIENTE"),"LEXEMA_O_FORMA")),IF(W30="RESTAURACION",IF(H30=X30,AA30,IF(OR(H30="NINGUNO",H30="RESTAURACION_POSTERIOR",H30="RESTAURACION_FALLIDA"),IF(J30="COMPLETA",AB30,"COBERTURA_INSUFICIENTE"),"LEXEMA_O_FORMA")),"PERFIL_NO_CONSTITUIDO"))))))))))))))))))</x:f>
        <x:v>ORDEN_NO_ACREDITADO</x:v>
      </x:c>
      <x:c r="R30" s="12" t="str">
        <x:f>IF(AND(L30=O30,M30=P30,N30=Q30),"PASA","NO_PASA")</x:f>
        <x:v>PASA</x:v>
      </x:c>
      <x:c r="S30" s="4" t="str">
        <x:v>El orden no está acreditado; la mera fecha no prueba posterioridad.</x:v>
      </x:c>
      <x:c r="T30" s="12" t="str">
        <x:f>IFERROR(INDEX('55_Codificacion_ensayo'!$B$5:$B$13,MATCH(B30,'55_Codificacion_ensayo'!$A$5:$A$13,0)),"")</x:f>
        <x:v>EVENTO-REINICIO-COMPLETO-0.1</x:v>
      </x:c>
      <x:c r="U30" s="12" t="str">
        <x:f>IFERROR(INDEX('55_Codificacion_ensayo'!$C$5:$C$13,MATCH(B30,'55_Codificacion_ensayo'!$A$5:$A$13,0)),"")</x:f>
        <x:v>ARRANQUE_COMPLETO</x:v>
      </x:c>
      <x:c r="V30" s="12" t="str">
        <x:f>IFERROR(INDEX('55_Codificacion_ensayo'!$D$5:$D$13,MATCH(B30,'55_Codificacion_ensayo'!$A$5:$A$13,0)),"")</x:f>
        <x:v>ORDEN_ACREDITADO</x:v>
      </x:c>
      <x:c r="W30" s="12" t="str">
        <x:f>IFERROR(INDEX('55_Codificacion_ensayo'!$E$5:$E$13,MATCH(B30,'55_Codificacion_ensayo'!$A$5:$A$13,0)),"")</x:f>
        <x:v>EVENTO_BOOT</x:v>
      </x:c>
      <x:c r="X30" s="12" t="str">
        <x:f>IFERROR(INDEX('55_Codificacion_ensayo'!$F$5:$F$13,MATCH(B30,'55_Codificacion_ensayo'!$A$5:$A$13,0)),"")</x:f>
        <x:v>REINICIO_COMPLETO</x:v>
      </x:c>
      <x:c r="Y30" s="12" t="str">
        <x:f>IFERROR(INDEX('55_Codificacion_ensayo'!$G$5:$G$13,MATCH(B30,'55_Codificacion_ensayo'!$A$5:$A$13,0)),"")</x:f>
      </x:c>
      <x:c r="Z30" s="12" t="str">
        <x:f>IFERROR(INDEX('55_Codificacion_ensayo'!$H$5:$H$13,MATCH(B30,'55_Codificacion_ensayo'!$A$5:$A$13,0)),"")</x:f>
        <x:v>NINGUNO</x:v>
      </x:c>
      <x:c r="AA30" s="12" t="str">
        <x:f>IFERROR(INDEX('55_Codificacion_ensayo'!$I$5:$I$13,MATCH(B30,'55_Codificacion_ensayo'!$A$5:$A$13,0)),"")</x:f>
        <x:v>REINICIO_REALIZADO</x:v>
      </x:c>
      <x:c r="AB30" s="12" t="str">
        <x:f>IFERROR(INDEX('55_Codificacion_ensayo'!$J$5:$J$13,MATCH(B30,'55_Codificacion_ensayo'!$A$5:$A$13,0)),"")</x:f>
        <x:v>SIN_REINICIO_COMPLETO</x:v>
      </x:c>
    </x:row>
    <x:row r="31" ht="47" customHeight="1">
      <x:c r="A31" s="4" t="str">
        <x:v>L10-03-13</x:v>
      </x:c>
      <x:c r="B31" s="4" t="str">
        <x:v>PAR-CYB-REINICIO-SISTEMA-REALIZADO-001</x:v>
      </x:c>
      <x:c r="C31" s="4" t="str">
        <x:v>EVENTO-REINICIO-COMPLETO-0.1</x:v>
      </x:c>
      <x:c r="D31" s="4" t="str">
        <x:v>COINCIDE</x:v>
      </x:c>
      <x:c r="E31" s="4" t="str">
        <x:v>LEGIBLE</x:v>
      </x:c>
      <x:c r="F31" s="4" t="str">
        <x:v>ARRANQUE_COMPLETO</x:v>
      </x:c>
      <x:c r="G31" s="4" t="str">
        <x:v>UNICA</x:v>
      </x:c>
      <x:c r="H31" s="4" t="str">
        <x:v>SOLO_HIBRIDO</x:v>
      </x:c>
      <x:c r="I31" s="4" t="str"/>
      <x:c r="J31" s="4" t="str">
        <x:v>COMPLETA</x:v>
      </x:c>
      <x:c r="K31" s="4" t="str">
        <x:v>ORDEN_ACREDITADO</x:v>
      </x:c>
      <x:c r="L31" s="4" t="str">
        <x:v>VALIDA</x:v>
      </x:c>
      <x:c r="M31" s="4" t="str">
        <x:v>0</x:v>
      </x:c>
      <x:c r="N31" s="4" t="str">
        <x:v>SIN_REINICIO_COMPLETO</x:v>
      </x:c>
      <x:c r="O31" s="12" t="str">
        <x:f>IF(Q31="SIN_EJECUCION_DOMINIO","FALLO_CAPTURA",IF(OR(Q31="CAPTURA_MAL_FORMADA",Q31="IDENTIDAD",Q31="OBSERVACION_MAL_FORMADA",Q31="LEXEMA_O_FORMA"),"NO_ADMISION",IF(OR(Q31="PERFIL_NO_CONSTITUIDO",Q31="RESULTADO_NO_TERMINAL"),"FUERA_PERFIL",IF(Q31="CONTEXTO_NO_CONSTITUIDO","CONFIGURACION_PENDIENTE","VALIDA"))))</x:f>
        <x:v>VALIDA</x:v>
      </x:c>
      <x:c r="P31" s="12" t="str">
        <x:f>IF(O31&lt;&gt;"VALIDA","",IF(Q31=AA31,"1",IF(Q31=AB31,"0","U")))</x:f>
        <x:v>0</x:v>
      </x:c>
      <x:c r="Q31" s="12" t="str">
        <x:f>IF(E31="FALLO","SIN_EJECUCION_DOMINIO",IF(E31&lt;&gt;"LEGIBLE","CAPTURA_MAL_FORMADA",IF(D31&lt;&gt;"COINCIDE","IDENTIDAD",IF(OR(T31="",C31&lt;&gt;T31),"PERFIL_NO_CONSTITUIDO",IF(K31&lt;&gt;V31,IF(V31="ORDEN_ACREDITADO","ORDEN_NO_ACREDITADO","CONTEXTO_NO_CONSTITUIDO"),IF(AND(G31="AUSENTE",H31="",I31=""),"DATO_AUSENTE",IF(AND(G31="CONFLICTO",H31="",I31=""),"CONFLICTO_OBSERVACIONAL",IF(G31&lt;&gt;"UNICA","OBSERVACION_MAL_FORMADA",IF(F31&lt;&gt;U31,"OBSERVACION_INSUFICIENTE",IF(W31="RESULTADO",IF(H31=X31,AA31,IF(OR(H31="orcSucceededWithErrors",H31="orcFailed",H31="orcAborted"),AB31,IF(OR(H31="orcNotStarted",H31="orcInProgress"),"RESULTADO_NO_TERMINAL","LEXEMA_O_FORMA"))),IF(W31="EVENTO_BOOT",IF(H31=X31,AA31,IF(OR(H31="NINGUNO",H31="SOLO_HIBRIDO"),IF(J31="COMPLETA",AB31,"COBERTURA_INSUFICIENTE"),"LEXEMA_O_FORMA")),IF(W31="REQUISITO_SOFT",IF(H31=X31,AA31,IF(H31=Z31,AB31,"LEXEMA_O_FORMA")),IF(W31="EVENTO_PROC",IF(H31=X31,AA31,IF(H31=Z31,IF(J31="COMPLETA",AB31,"COBERTURA_INSUFICIENTE"),"LEXEMA_O_FORMA")),IF(W31="IMAGEN",IF(AND(AND(ISTEXT(H31),LEN(("x"&amp;H31))=65,EXACT(("x"&amp;H31),LOWER(("x"&amp;H31))),ISERROR(SEARCH(" ",("x"&amp;H31))),ISERROR(SEARCH(CHAR(9),("x"&amp;H31))),ISERROR(SEARCH(CHAR(10),("x"&amp;H31))),ISERROR(SEARCH(CHAR(13),("x"&amp;H31))),IFERROR(HEX2DEC(MID(("x"&amp;H31),2,8))&gt;=0,FALSE),IFERROR(HEX2DEC(MID(("x"&amp;H31),10,8))&gt;=0,FALSE),IFERROR(HEX2DEC(MID(("x"&amp;H31),18,8))&gt;=0,FALSE),IFERROR(HEX2DEC(MID(("x"&amp;H31),26,8))&gt;=0,FALSE),IFERROR(HEX2DEC(MID(("x"&amp;H31),34,8))&gt;=0,FALSE),IFERROR(HEX2DEC(MID(("x"&amp;H31),42,8))&gt;=0,FALSE),IFERROR(HEX2DEC(MID(("x"&amp;H31),50,8))&gt;=0,FALSE),IFERROR(HEX2DEC(MID(("x"&amp;H31),58,8))&gt;=0,FALSE)),AND(ISTEXT(I31),LEN(("x"&amp;I31))=65,EXACT(("x"&amp;I31),LOWER(("x"&amp;I31))),ISERROR(SEARCH(" ",("x"&amp;I31))),ISERROR(SEARCH(CHAR(9),("x"&amp;I31))),ISERROR(SEARCH(CHAR(10),("x"&amp;I31))),ISERROR(SEARCH(CHAR(13),("x"&amp;I31))),IFERROR(HEX2DEC(MID(("x"&amp;I31),2,8))&gt;=0,FALSE),IFERROR(HEX2DEC(MID(("x"&amp;I31),10,8))&gt;=0,FALSE),IFERROR(HEX2DEC(MID(("x"&amp;I31),18,8))&gt;=0,FALSE),IFERROR(HEX2DEC(MID(("x"&amp;I31),26,8))&gt;=0,FALSE),IFERROR(HEX2DEC(MID(("x"&amp;I31),34,8))&gt;=0,FALSE),IFERROR(HEX2DEC(MID(("x"&amp;I31),42,8))&gt;=0,FALSE),IFERROR(HEX2DEC(MID(("x"&amp;I31),50,8))&gt;=0,FALSE),IFERROR(HEX2DEC(MID(("x"&amp;I31),58,8))&gt;=0,FALSE))),IF(EXACT("x"&amp;H31,"x"&amp;I31),AA31,AB31),"LEXEMA_O_FORMA"),IF(W31="PRUEBA",IF(H31=X31,AA31,IF(H31=Z31,AB31,"LEXEMA_O_FORMA")),IF(W31="RETIRADA",IF(AND(H31="NINGUNO",I31=""),IF(J31="COMPLETA",AB31,"COBERTURA_INSUFICIENTE"),IF(AND(OR(H31="uoInstallation",H31="uoUninstallation"),OR(I31="orcSucceeded",I31="orcSucceededWithErrors",I31="orcFailed",I31="orcAborted",I31="orcInProgress",I31="orcNotStarted")),IF(AND(H31=X31,I31=Y31),AA31,IF(AND(H31=X31,OR(I31="orcSucceededWithErrors",I31="orcInProgress",I31="orcNotStarted")),"RESULTADO_RETIRADA_INCIERTO",IF(J31="COMPLETA",AB31,"COBERTURA_INSUFICIENTE"))),"LEXEMA_O_FORMA")),IF(W31="CAMBIO",IF(OR(H31="CAMBIO",H31="CAMBIO_Y_RETORNO"),AA31,IF(OR(H31="NINGUNO",H31="SOLO_RENOMBRE"),IF(J31="COMPLETA",AB31,"COBERTURA_INSUFICIENTE"),"LEXEMA_O_FORMA")),IF(W31="RESTAURACION",IF(H31=X31,AA31,IF(OR(H31="NINGUNO",H31="RESTAURACION_POSTERIOR",H31="RESTAURACION_FALLIDA"),IF(J31="COMPLETA",AB31,"COBERTURA_INSUFICIENTE"),"LEXEMA_O_FORMA")),"PERFIL_NO_CONSTITUIDO"))))))))))))))))))</x:f>
        <x:v>SIN_REINICIO_COMPLETO</x:v>
      </x:c>
      <x:c r="R31" s="12" t="str">
        <x:f>IF(AND(L31=O31,M31=P31,N31=Q31),"PASA","NO_PASA")</x:f>
        <x:v>PASA</x:v>
      </x:c>
      <x:c r="S31" s="4" t="str">
        <x:v>Sólo Fast Startup en una historia completa no constituye reinicio íntegro.</x:v>
      </x:c>
      <x:c r="T31" s="12" t="str">
        <x:f>IFERROR(INDEX('55_Codificacion_ensayo'!$B$5:$B$13,MATCH(B31,'55_Codificacion_ensayo'!$A$5:$A$13,0)),"")</x:f>
        <x:v>EVENTO-REINICIO-COMPLETO-0.1</x:v>
      </x:c>
      <x:c r="U31" s="12" t="str">
        <x:f>IFERROR(INDEX('55_Codificacion_ensayo'!$C$5:$C$13,MATCH(B31,'55_Codificacion_ensayo'!$A$5:$A$13,0)),"")</x:f>
        <x:v>ARRANQUE_COMPLETO</x:v>
      </x:c>
      <x:c r="V31" s="12" t="str">
        <x:f>IFERROR(INDEX('55_Codificacion_ensayo'!$D$5:$D$13,MATCH(B31,'55_Codificacion_ensayo'!$A$5:$A$13,0)),"")</x:f>
        <x:v>ORDEN_ACREDITADO</x:v>
      </x:c>
      <x:c r="W31" s="12" t="str">
        <x:f>IFERROR(INDEX('55_Codificacion_ensayo'!$E$5:$E$13,MATCH(B31,'55_Codificacion_ensayo'!$A$5:$A$13,0)),"")</x:f>
        <x:v>EVENTO_BOOT</x:v>
      </x:c>
      <x:c r="X31" s="12" t="str">
        <x:f>IFERROR(INDEX('55_Codificacion_ensayo'!$F$5:$F$13,MATCH(B31,'55_Codificacion_ensayo'!$A$5:$A$13,0)),"")</x:f>
        <x:v>REINICIO_COMPLETO</x:v>
      </x:c>
      <x:c r="Y31" s="12" t="str">
        <x:f>IFERROR(INDEX('55_Codificacion_ensayo'!$G$5:$G$13,MATCH(B31,'55_Codificacion_ensayo'!$A$5:$A$13,0)),"")</x:f>
      </x:c>
      <x:c r="Z31" s="12" t="str">
        <x:f>IFERROR(INDEX('55_Codificacion_ensayo'!$H$5:$H$13,MATCH(B31,'55_Codificacion_ensayo'!$A$5:$A$13,0)),"")</x:f>
        <x:v>NINGUNO</x:v>
      </x:c>
      <x:c r="AA31" s="12" t="str">
        <x:f>IFERROR(INDEX('55_Codificacion_ensayo'!$I$5:$I$13,MATCH(B31,'55_Codificacion_ensayo'!$A$5:$A$13,0)),"")</x:f>
        <x:v>REINICIO_REALIZADO</x:v>
      </x:c>
      <x:c r="AB31" s="12" t="str">
        <x:f>IFERROR(INDEX('55_Codificacion_ensayo'!$J$5:$J$13,MATCH(B31,'55_Codificacion_ensayo'!$A$5:$A$13,0)),"")</x:f>
        <x:v>SIN_REINICIO_COMPLETO</x:v>
      </x:c>
    </x:row>
    <x:row r="32" ht="47" customHeight="1">
      <x:c r="A32" s="4" t="str">
        <x:v>L10-03-14</x:v>
      </x:c>
      <x:c r="B32" s="4" t="str">
        <x:v>PAR-CYB-REINICIO-SISTEMA-REALIZADO-001</x:v>
      </x:c>
      <x:c r="C32" s="4" t="str">
        <x:v>EVENTO-REINICIO-COMPLETO-0.1</x:v>
      </x:c>
      <x:c r="D32" s="4" t="str">
        <x:v>COINCIDE</x:v>
      </x:c>
      <x:c r="E32" s="4" t="str">
        <x:v>LEGIBLE</x:v>
      </x:c>
      <x:c r="F32" s="4" t="str">
        <x:v>SOLICITUD_REINICIO</x:v>
      </x:c>
      <x:c r="G32" s="4" t="str">
        <x:v>UNICA</x:v>
      </x:c>
      <x:c r="H32" s="4" t="str">
        <x:v>REINICIO_COMPLETO</x:v>
      </x:c>
      <x:c r="I32" s="4" t="str"/>
      <x:c r="J32" s="4" t="str">
        <x:v>COMPLETA</x:v>
      </x:c>
      <x:c r="K32" s="4" t="str">
        <x:v>ORDEN_ACREDITADO</x:v>
      </x:c>
      <x:c r="L32" s="4" t="str">
        <x:v>VALIDA</x:v>
      </x:c>
      <x:c r="M32" s="4" t="str">
        <x:v>U</x:v>
      </x:c>
      <x:c r="N32" s="4" t="str">
        <x:v>OBSERVACION_INSUFICIENTE</x:v>
      </x:c>
      <x:c r="O32" s="12" t="str">
        <x:f>IF(Q32="SIN_EJECUCION_DOMINIO","FALLO_CAPTURA",IF(OR(Q32="CAPTURA_MAL_FORMADA",Q32="IDENTIDAD",Q32="OBSERVACION_MAL_FORMADA",Q32="LEXEMA_O_FORMA"),"NO_ADMISION",IF(OR(Q32="PERFIL_NO_CONSTITUIDO",Q32="RESULTADO_NO_TERMINAL"),"FUERA_PERFIL",IF(Q32="CONTEXTO_NO_CONSTITUIDO","CONFIGURACION_PENDIENTE","VALIDA"))))</x:f>
        <x:v>VALIDA</x:v>
      </x:c>
      <x:c r="P32" s="12" t="str">
        <x:f>IF(O32&lt;&gt;"VALIDA","",IF(Q32=AA32,"1",IF(Q32=AB32,"0","U")))</x:f>
        <x:v>U</x:v>
      </x:c>
      <x:c r="Q32" s="12" t="str">
        <x:f>IF(E32="FALLO","SIN_EJECUCION_DOMINIO",IF(E32&lt;&gt;"LEGIBLE","CAPTURA_MAL_FORMADA",IF(D32&lt;&gt;"COINCIDE","IDENTIDAD",IF(OR(T32="",C32&lt;&gt;T32),"PERFIL_NO_CONSTITUIDO",IF(K32&lt;&gt;V32,IF(V32="ORDEN_ACREDITADO","ORDEN_NO_ACREDITADO","CONTEXTO_NO_CONSTITUIDO"),IF(AND(G32="AUSENTE",H32="",I32=""),"DATO_AUSENTE",IF(AND(G32="CONFLICTO",H32="",I32=""),"CONFLICTO_OBSERVACIONAL",IF(G32&lt;&gt;"UNICA","OBSERVACION_MAL_FORMADA",IF(F32&lt;&gt;U32,"OBSERVACION_INSUFICIENTE",IF(W32="RESULTADO",IF(H32=X32,AA32,IF(OR(H32="orcSucceededWithErrors",H32="orcFailed",H32="orcAborted"),AB32,IF(OR(H32="orcNotStarted",H32="orcInProgress"),"RESULTADO_NO_TERMINAL","LEXEMA_O_FORMA"))),IF(W32="EVENTO_BOOT",IF(H32=X32,AA32,IF(OR(H32="NINGUNO",H32="SOLO_HIBRIDO"),IF(J32="COMPLETA",AB32,"COBERTURA_INSUFICIENTE"),"LEXEMA_O_FORMA")),IF(W32="REQUISITO_SOFT",IF(H32=X32,AA32,IF(H32=Z32,AB32,"LEXEMA_O_FORMA")),IF(W32="EVENTO_PROC",IF(H32=X32,AA32,IF(H32=Z32,IF(J32="COMPLETA",AB32,"COBERTURA_INSUFICIENTE"),"LEXEMA_O_FORMA")),IF(W32="IMAGEN",IF(AND(AND(ISTEXT(H32),LEN(("x"&amp;H32))=65,EXACT(("x"&amp;H32),LOWER(("x"&amp;H32))),ISERROR(SEARCH(" ",("x"&amp;H32))),ISERROR(SEARCH(CHAR(9),("x"&amp;H32))),ISERROR(SEARCH(CHAR(10),("x"&amp;H32))),ISERROR(SEARCH(CHAR(13),("x"&amp;H32))),IFERROR(HEX2DEC(MID(("x"&amp;H32),2,8))&gt;=0,FALSE),IFERROR(HEX2DEC(MID(("x"&amp;H32),10,8))&gt;=0,FALSE),IFERROR(HEX2DEC(MID(("x"&amp;H32),18,8))&gt;=0,FALSE),IFERROR(HEX2DEC(MID(("x"&amp;H32),26,8))&gt;=0,FALSE),IFERROR(HEX2DEC(MID(("x"&amp;H32),34,8))&gt;=0,FALSE),IFERROR(HEX2DEC(MID(("x"&amp;H32),42,8))&gt;=0,FALSE),IFERROR(HEX2DEC(MID(("x"&amp;H32),50,8))&gt;=0,FALSE),IFERROR(HEX2DEC(MID(("x"&amp;H32),58,8))&gt;=0,FALSE)),AND(ISTEXT(I32),LEN(("x"&amp;I32))=65,EXACT(("x"&amp;I32),LOWER(("x"&amp;I32))),ISERROR(SEARCH(" ",("x"&amp;I32))),ISERROR(SEARCH(CHAR(9),("x"&amp;I32))),ISERROR(SEARCH(CHAR(10),("x"&amp;I32))),ISERROR(SEARCH(CHAR(13),("x"&amp;I32))),IFERROR(HEX2DEC(MID(("x"&amp;I32),2,8))&gt;=0,FALSE),IFERROR(HEX2DEC(MID(("x"&amp;I32),10,8))&gt;=0,FALSE),IFERROR(HEX2DEC(MID(("x"&amp;I32),18,8))&gt;=0,FALSE),IFERROR(HEX2DEC(MID(("x"&amp;I32),26,8))&gt;=0,FALSE),IFERROR(HEX2DEC(MID(("x"&amp;I32),34,8))&gt;=0,FALSE),IFERROR(HEX2DEC(MID(("x"&amp;I32),42,8))&gt;=0,FALSE),IFERROR(HEX2DEC(MID(("x"&amp;I32),50,8))&gt;=0,FALSE),IFERROR(HEX2DEC(MID(("x"&amp;I32),58,8))&gt;=0,FALSE))),IF(EXACT("x"&amp;H32,"x"&amp;I32),AA32,AB32),"LEXEMA_O_FORMA"),IF(W32="PRUEBA",IF(H32=X32,AA32,IF(H32=Z32,AB32,"LEXEMA_O_FORMA")),IF(W32="RETIRADA",IF(AND(H32="NINGUNO",I32=""),IF(J32="COMPLETA",AB32,"COBERTURA_INSUFICIENTE"),IF(AND(OR(H32="uoInstallation",H32="uoUninstallation"),OR(I32="orcSucceeded",I32="orcSucceededWithErrors",I32="orcFailed",I32="orcAborted",I32="orcInProgress",I32="orcNotStarted")),IF(AND(H32=X32,I32=Y32),AA32,IF(AND(H32=X32,OR(I32="orcSucceededWithErrors",I32="orcInProgress",I32="orcNotStarted")),"RESULTADO_RETIRADA_INCIERTO",IF(J32="COMPLETA",AB32,"COBERTURA_INSUFICIENTE"))),"LEXEMA_O_FORMA")),IF(W32="CAMBIO",IF(OR(H32="CAMBIO",H32="CAMBIO_Y_RETORNO"),AA32,IF(OR(H32="NINGUNO",H32="SOLO_RENOMBRE"),IF(J32="COMPLETA",AB32,"COBERTURA_INSUFICIENTE"),"LEXEMA_O_FORMA")),IF(W32="RESTAURACION",IF(H32=X32,AA32,IF(OR(H32="NINGUNO",H32="RESTAURACION_POSTERIOR",H32="RESTAURACION_FALLIDA"),IF(J32="COMPLETA",AB32,"COBERTURA_INSUFICIENTE"),"LEXEMA_O_FORMA")),"PERFIL_NO_CONSTITUIDO"))))))))))))))))))</x:f>
        <x:v>OBSERVACION_INSUFICIENTE</x:v>
      </x:c>
      <x:c r="R32" s="12" t="str">
        <x:f>IF(AND(L32=O32,M32=P32,N32=Q32),"PASA","NO_PASA")</x:f>
        <x:v>PASA</x:v>
      </x:c>
      <x:c r="S32" s="4" t="str">
        <x:v>Solicitud de reinicio no prueba arranque completado.</x:v>
      </x:c>
      <x:c r="T32" s="12" t="str">
        <x:f>IFERROR(INDEX('55_Codificacion_ensayo'!$B$5:$B$13,MATCH(B32,'55_Codificacion_ensayo'!$A$5:$A$13,0)),"")</x:f>
        <x:v>EVENTO-REINICIO-COMPLETO-0.1</x:v>
      </x:c>
      <x:c r="U32" s="12" t="str">
        <x:f>IFERROR(INDEX('55_Codificacion_ensayo'!$C$5:$C$13,MATCH(B32,'55_Codificacion_ensayo'!$A$5:$A$13,0)),"")</x:f>
        <x:v>ARRANQUE_COMPLETO</x:v>
      </x:c>
      <x:c r="V32" s="12" t="str">
        <x:f>IFERROR(INDEX('55_Codificacion_ensayo'!$D$5:$D$13,MATCH(B32,'55_Codificacion_ensayo'!$A$5:$A$13,0)),"")</x:f>
        <x:v>ORDEN_ACREDITADO</x:v>
      </x:c>
      <x:c r="W32" s="12" t="str">
        <x:f>IFERROR(INDEX('55_Codificacion_ensayo'!$E$5:$E$13,MATCH(B32,'55_Codificacion_ensayo'!$A$5:$A$13,0)),"")</x:f>
        <x:v>EVENTO_BOOT</x:v>
      </x:c>
      <x:c r="X32" s="12" t="str">
        <x:f>IFERROR(INDEX('55_Codificacion_ensayo'!$F$5:$F$13,MATCH(B32,'55_Codificacion_ensayo'!$A$5:$A$13,0)),"")</x:f>
        <x:v>REINICIO_COMPLETO</x:v>
      </x:c>
      <x:c r="Y32" s="12" t="str">
        <x:f>IFERROR(INDEX('55_Codificacion_ensayo'!$G$5:$G$13,MATCH(B32,'55_Codificacion_ensayo'!$A$5:$A$13,0)),"")</x:f>
      </x:c>
      <x:c r="Z32" s="12" t="str">
        <x:f>IFERROR(INDEX('55_Codificacion_ensayo'!$H$5:$H$13,MATCH(B32,'55_Codificacion_ensayo'!$A$5:$A$13,0)),"")</x:f>
        <x:v>NINGUNO</x:v>
      </x:c>
      <x:c r="AA32" s="12" t="str">
        <x:f>IFERROR(INDEX('55_Codificacion_ensayo'!$I$5:$I$13,MATCH(B32,'55_Codificacion_ensayo'!$A$5:$A$13,0)),"")</x:f>
        <x:v>REINICIO_REALIZADO</x:v>
      </x:c>
      <x:c r="AB32" s="12" t="str">
        <x:f>IFERROR(INDEX('55_Codificacion_ensayo'!$J$5:$J$13,MATCH(B32,'55_Codificacion_ensayo'!$A$5:$A$13,0)),"")</x:f>
        <x:v>SIN_REINICIO_COMPLETO</x:v>
      </x:c>
    </x:row>
    <x:row r="33" ht="47" customHeight="1">
      <x:c r="A33" s="4" t="str">
        <x:v>L10-04-01</x:v>
      </x:c>
      <x:c r="B33" s="4" t="str">
        <x:v>PAR-CYB-REINICIO-SOFTWARE-REQUERIDO-001</x:v>
      </x:c>
      <x:c r="C33" s="4" t="str">
        <x:v>REQUISITO-SOFTWARE-INDIVIDUAL-0.1</x:v>
      </x:c>
      <x:c r="D33" s="4" t="str">
        <x:v>COINCIDE</x:v>
      </x:c>
      <x:c r="E33" s="4" t="str">
        <x:v>LEGIBLE</x:v>
      </x:c>
      <x:c r="F33" s="4" t="str">
        <x:v>INSTRUCCION_ESPECIFICA</x:v>
      </x:c>
      <x:c r="G33" s="4" t="str">
        <x:v>UNICA</x:v>
      </x:c>
      <x:c r="H33" s="4" t="str">
        <x:v>true</x:v>
      </x:c>
      <x:c r="I33" s="4" t="str"/>
      <x:c r="J33" s="4" t="str">
        <x:v>COMPLETA</x:v>
      </x:c>
      <x:c r="K33" s="4" t="str">
        <x:v>UN_SOFTWARE</x:v>
      </x:c>
      <x:c r="L33" s="4" t="str">
        <x:v>VALIDA</x:v>
      </x:c>
      <x:c r="M33" s="4" t="str">
        <x:v>1</x:v>
      </x:c>
      <x:c r="N33" s="4" t="str">
        <x:v>REQUISITO_SOFTWARE_SI</x:v>
      </x:c>
      <x:c r="O33" s="12" t="str">
        <x:f>IF(Q33="SIN_EJECUCION_DOMINIO","FALLO_CAPTURA",IF(OR(Q33="CAPTURA_MAL_FORMADA",Q33="IDENTIDAD",Q33="OBSERVACION_MAL_FORMADA",Q33="LEXEMA_O_FORMA"),"NO_ADMISION",IF(OR(Q33="PERFIL_NO_CONSTITUIDO",Q33="RESULTADO_NO_TERMINAL"),"FUERA_PERFIL",IF(Q33="CONTEXTO_NO_CONSTITUIDO","CONFIGURACION_PENDIENTE","VALIDA"))))</x:f>
        <x:v>VALIDA</x:v>
      </x:c>
      <x:c r="P33" s="12" t="str">
        <x:f>IF(O33&lt;&gt;"VALIDA","",IF(Q33=AA33,"1",IF(Q33=AB33,"0","U")))</x:f>
        <x:v>1</x:v>
      </x:c>
      <x:c r="Q33" s="12" t="str">
        <x:f>IF(E33="FALLO","SIN_EJECUCION_DOMINIO",IF(E33&lt;&gt;"LEGIBLE","CAPTURA_MAL_FORMADA",IF(D33&lt;&gt;"COINCIDE","IDENTIDAD",IF(OR(T33="",C33&lt;&gt;T33),"PERFIL_NO_CONSTITUIDO",IF(K33&lt;&gt;V33,IF(V33="ORDEN_ACREDITADO","ORDEN_NO_ACREDITADO","CONTEXTO_NO_CONSTITUIDO"),IF(AND(G33="AUSENTE",H33="",I33=""),"DATO_AUSENTE",IF(AND(G33="CONFLICTO",H33="",I33=""),"CONFLICTO_OBSERVACIONAL",IF(G33&lt;&gt;"UNICA","OBSERVACION_MAL_FORMADA",IF(F33&lt;&gt;U33,"OBSERVACION_INSUFICIENTE",IF(W33="RESULTADO",IF(H33=X33,AA33,IF(OR(H33="orcSucceededWithErrors",H33="orcFailed",H33="orcAborted"),AB33,IF(OR(H33="orcNotStarted",H33="orcInProgress"),"RESULTADO_NO_TERMINAL","LEXEMA_O_FORMA"))),IF(W33="EVENTO_BOOT",IF(H33=X33,AA33,IF(OR(H33="NINGUNO",H33="SOLO_HIBRIDO"),IF(J33="COMPLETA",AB33,"COBERTURA_INSUFICIENTE"),"LEXEMA_O_FORMA")),IF(W33="REQUISITO_SOFT",IF(H33=X33,AA33,IF(H33=Z33,AB33,"LEXEMA_O_FORMA")),IF(W33="EVENTO_PROC",IF(H33=X33,AA33,IF(H33=Z33,IF(J33="COMPLETA",AB33,"COBERTURA_INSUFICIENTE"),"LEXEMA_O_FORMA")),IF(W33="IMAGEN",IF(AND(AND(ISTEXT(H33),LEN(("x"&amp;H33))=65,EXACT(("x"&amp;H33),LOWER(("x"&amp;H33))),ISERROR(SEARCH(" ",("x"&amp;H33))),ISERROR(SEARCH(CHAR(9),("x"&amp;H33))),ISERROR(SEARCH(CHAR(10),("x"&amp;H33))),ISERROR(SEARCH(CHAR(13),("x"&amp;H33))),IFERROR(HEX2DEC(MID(("x"&amp;H33),2,8))&gt;=0,FALSE),IFERROR(HEX2DEC(MID(("x"&amp;H33),10,8))&gt;=0,FALSE),IFERROR(HEX2DEC(MID(("x"&amp;H33),18,8))&gt;=0,FALSE),IFERROR(HEX2DEC(MID(("x"&amp;H33),26,8))&gt;=0,FALSE),IFERROR(HEX2DEC(MID(("x"&amp;H33),34,8))&gt;=0,FALSE),IFERROR(HEX2DEC(MID(("x"&amp;H33),42,8))&gt;=0,FALSE),IFERROR(HEX2DEC(MID(("x"&amp;H33),50,8))&gt;=0,FALSE),IFERROR(HEX2DEC(MID(("x"&amp;H33),58,8))&gt;=0,FALSE)),AND(ISTEXT(I33),LEN(("x"&amp;I33))=65,EXACT(("x"&amp;I33),LOWER(("x"&amp;I33))),ISERROR(SEARCH(" ",("x"&amp;I33))),ISERROR(SEARCH(CHAR(9),("x"&amp;I33))),ISERROR(SEARCH(CHAR(10),("x"&amp;I33))),ISERROR(SEARCH(CHAR(13),("x"&amp;I33))),IFERROR(HEX2DEC(MID(("x"&amp;I33),2,8))&gt;=0,FALSE),IFERROR(HEX2DEC(MID(("x"&amp;I33),10,8))&gt;=0,FALSE),IFERROR(HEX2DEC(MID(("x"&amp;I33),18,8))&gt;=0,FALSE),IFERROR(HEX2DEC(MID(("x"&amp;I33),26,8))&gt;=0,FALSE),IFERROR(HEX2DEC(MID(("x"&amp;I33),34,8))&gt;=0,FALSE),IFERROR(HEX2DEC(MID(("x"&amp;I33),42,8))&gt;=0,FALSE),IFERROR(HEX2DEC(MID(("x"&amp;I33),50,8))&gt;=0,FALSE),IFERROR(HEX2DEC(MID(("x"&amp;I33),58,8))&gt;=0,FALSE))),IF(EXACT("x"&amp;H33,"x"&amp;I33),AA33,AB33),"LEXEMA_O_FORMA"),IF(W33="PRUEBA",IF(H33=X33,AA33,IF(H33=Z33,AB33,"LEXEMA_O_FORMA")),IF(W33="RETIRADA",IF(AND(H33="NINGUNO",I33=""),IF(J33="COMPLETA",AB33,"COBERTURA_INSUFICIENTE"),IF(AND(OR(H33="uoInstallation",H33="uoUninstallation"),OR(I33="orcSucceeded",I33="orcSucceededWithErrors",I33="orcFailed",I33="orcAborted",I33="orcInProgress",I33="orcNotStarted")),IF(AND(H33=X33,I33=Y33),AA33,IF(AND(H33=X33,OR(I33="orcSucceededWithErrors",I33="orcInProgress",I33="orcNotStarted")),"RESULTADO_RETIRADA_INCIERTO",IF(J33="COMPLETA",AB33,"COBERTURA_INSUFICIENTE"))),"LEXEMA_O_FORMA")),IF(W33="CAMBIO",IF(OR(H33="CAMBIO",H33="CAMBIO_Y_RETORNO"),AA33,IF(OR(H33="NINGUNO",H33="SOLO_RENOMBRE"),IF(J33="COMPLETA",AB33,"COBERTURA_INSUFICIENTE"),"LEXEMA_O_FORMA")),IF(W33="RESTAURACION",IF(H33=X33,AA33,IF(OR(H33="NINGUNO",H33="RESTAURACION_POSTERIOR",H33="RESTAURACION_FALLIDA"),IF(J33="COMPLETA",AB33,"COBERTURA_INSUFICIENTE"),"LEXEMA_O_FORMA")),"PERFIL_NO_CONSTITUIDO"))))))))))))))))))</x:f>
        <x:v>REQUISITO_SOFTWARE_SI</x:v>
      </x:c>
      <x:c r="R33" s="12" t="str">
        <x:f>IF(AND(L33=O33,M33=P33,N33=Q33),"PASA","NO_PASA")</x:f>
        <x:v>PASA</x:v>
      </x:c>
      <x:c r="S33" s="4" t="str">
        <x:v>Testigo positivo de la proposición; no licencia ninguna conclusión más amplia.</x:v>
      </x:c>
      <x:c r="T33" s="12" t="str">
        <x:f>IFERROR(INDEX('55_Codificacion_ensayo'!$B$5:$B$13,MATCH(B33,'55_Codificacion_ensayo'!$A$5:$A$13,0)),"")</x:f>
        <x:v>REQUISITO-SOFTWARE-INDIVIDUAL-0.1</x:v>
      </x:c>
      <x:c r="U33" s="12" t="str">
        <x:f>IFERROR(INDEX('55_Codificacion_ensayo'!$C$5:$C$13,MATCH(B33,'55_Codificacion_ensayo'!$A$5:$A$13,0)),"")</x:f>
        <x:v>INSTRUCCION_ESPECIFICA</x:v>
      </x:c>
      <x:c r="V33" s="12" t="str">
        <x:f>IFERROR(INDEX('55_Codificacion_ensayo'!$D$5:$D$13,MATCH(B33,'55_Codificacion_ensayo'!$A$5:$A$13,0)),"")</x:f>
        <x:v>UN_SOFTWARE</x:v>
      </x:c>
      <x:c r="W33" s="12" t="str">
        <x:f>IFERROR(INDEX('55_Codificacion_ensayo'!$E$5:$E$13,MATCH(B33,'55_Codificacion_ensayo'!$A$5:$A$13,0)),"")</x:f>
        <x:v>REQUISITO_SOFT</x:v>
      </x:c>
      <x:c r="X33" s="12" t="str">
        <x:f>IFERROR(INDEX('55_Codificacion_ensayo'!$F$5:$F$13,MATCH(B33,'55_Codificacion_ensayo'!$A$5:$A$13,0)),"")</x:f>
        <x:v>true</x:v>
      </x:c>
      <x:c r="Y33" s="12" t="str">
        <x:f>IFERROR(INDEX('55_Codificacion_ensayo'!$G$5:$G$13,MATCH(B33,'55_Codificacion_ensayo'!$A$5:$A$13,0)),"")</x:f>
      </x:c>
      <x:c r="Z33" s="12" t="str">
        <x:f>IFERROR(INDEX('55_Codificacion_ensayo'!$H$5:$H$13,MATCH(B33,'55_Codificacion_ensayo'!$A$5:$A$13,0)),"")</x:f>
        <x:v>false</x:v>
      </x:c>
      <x:c r="AA33" s="12" t="str">
        <x:f>IFERROR(INDEX('55_Codificacion_ensayo'!$I$5:$I$13,MATCH(B33,'55_Codificacion_ensayo'!$A$5:$A$13,0)),"")</x:f>
        <x:v>REQUISITO_SOFTWARE_SI</x:v>
      </x:c>
      <x:c r="AB33" s="12" t="str">
        <x:f>IFERROR(INDEX('55_Codificacion_ensayo'!$J$5:$J$13,MATCH(B33,'55_Codificacion_ensayo'!$A$5:$A$13,0)),"")</x:f>
        <x:v>REQUISITO_SOFTWARE_NO</x:v>
      </x:c>
    </x:row>
    <x:row r="34" ht="47" customHeight="1">
      <x:c r="A34" s="4" t="str">
        <x:v>L10-04-02</x:v>
      </x:c>
      <x:c r="B34" s="4" t="str">
        <x:v>PAR-CYB-REINICIO-SOFTWARE-REQUERIDO-001</x:v>
      </x:c>
      <x:c r="C34" s="4" t="str">
        <x:v>REQUISITO-SOFTWARE-INDIVIDUAL-0.1</x:v>
      </x:c>
      <x:c r="D34" s="4" t="str">
        <x:v>COINCIDE</x:v>
      </x:c>
      <x:c r="E34" s="4" t="str">
        <x:v>LEGIBLE</x:v>
      </x:c>
      <x:c r="F34" s="4" t="str">
        <x:v>INSTRUCCION_ESPECIFICA</x:v>
      </x:c>
      <x:c r="G34" s="4" t="str">
        <x:v>UNICA</x:v>
      </x:c>
      <x:c r="H34" s="4" t="str">
        <x:v>false</x:v>
      </x:c>
      <x:c r="I34" s="4" t="str"/>
      <x:c r="J34" s="4" t="str">
        <x:v>COMPLETA</x:v>
      </x:c>
      <x:c r="K34" s="4" t="str">
        <x:v>UN_SOFTWARE</x:v>
      </x:c>
      <x:c r="L34" s="4" t="str">
        <x:v>VALIDA</x:v>
      </x:c>
      <x:c r="M34" s="4" t="str">
        <x:v>0</x:v>
      </x:c>
      <x:c r="N34" s="4" t="str">
        <x:v>REQUISITO_SOFTWARE_NO</x:v>
      </x:c>
      <x:c r="O34" s="12" t="str">
        <x:f>IF(Q34="SIN_EJECUCION_DOMINIO","FALLO_CAPTURA",IF(OR(Q34="CAPTURA_MAL_FORMADA",Q34="IDENTIDAD",Q34="OBSERVACION_MAL_FORMADA",Q34="LEXEMA_O_FORMA"),"NO_ADMISION",IF(OR(Q34="PERFIL_NO_CONSTITUIDO",Q34="RESULTADO_NO_TERMINAL"),"FUERA_PERFIL",IF(Q34="CONTEXTO_NO_CONSTITUIDO","CONFIGURACION_PENDIENTE","VALIDA"))))</x:f>
        <x:v>VALIDA</x:v>
      </x:c>
      <x:c r="P34" s="12" t="str">
        <x:f>IF(O34&lt;&gt;"VALIDA","",IF(Q34=AA34,"1",IF(Q34=AB34,"0","U")))</x:f>
        <x:v>0</x:v>
      </x:c>
      <x:c r="Q34" s="12" t="str">
        <x:f>IF(E34="FALLO","SIN_EJECUCION_DOMINIO",IF(E34&lt;&gt;"LEGIBLE","CAPTURA_MAL_FORMADA",IF(D34&lt;&gt;"COINCIDE","IDENTIDAD",IF(OR(T34="",C34&lt;&gt;T34),"PERFIL_NO_CONSTITUIDO",IF(K34&lt;&gt;V34,IF(V34="ORDEN_ACREDITADO","ORDEN_NO_ACREDITADO","CONTEXTO_NO_CONSTITUIDO"),IF(AND(G34="AUSENTE",H34="",I34=""),"DATO_AUSENTE",IF(AND(G34="CONFLICTO",H34="",I34=""),"CONFLICTO_OBSERVACIONAL",IF(G34&lt;&gt;"UNICA","OBSERVACION_MAL_FORMADA",IF(F34&lt;&gt;U34,"OBSERVACION_INSUFICIENTE",IF(W34="RESULTADO",IF(H34=X34,AA34,IF(OR(H34="orcSucceededWithErrors",H34="orcFailed",H34="orcAborted"),AB34,IF(OR(H34="orcNotStarted",H34="orcInProgress"),"RESULTADO_NO_TERMINAL","LEXEMA_O_FORMA"))),IF(W34="EVENTO_BOOT",IF(H34=X34,AA34,IF(OR(H34="NINGUNO",H34="SOLO_HIBRIDO"),IF(J34="COMPLETA",AB34,"COBERTURA_INSUFICIENTE"),"LEXEMA_O_FORMA")),IF(W34="REQUISITO_SOFT",IF(H34=X34,AA34,IF(H34=Z34,AB34,"LEXEMA_O_FORMA")),IF(W34="EVENTO_PROC",IF(H34=X34,AA34,IF(H34=Z34,IF(J34="COMPLETA",AB34,"COBERTURA_INSUFICIENTE"),"LEXEMA_O_FORMA")),IF(W34="IMAGEN",IF(AND(AND(ISTEXT(H34),LEN(("x"&amp;H34))=65,EXACT(("x"&amp;H34),LOWER(("x"&amp;H34))),ISERROR(SEARCH(" ",("x"&amp;H34))),ISERROR(SEARCH(CHAR(9),("x"&amp;H34))),ISERROR(SEARCH(CHAR(10),("x"&amp;H34))),ISERROR(SEARCH(CHAR(13),("x"&amp;H34))),IFERROR(HEX2DEC(MID(("x"&amp;H34),2,8))&gt;=0,FALSE),IFERROR(HEX2DEC(MID(("x"&amp;H34),10,8))&gt;=0,FALSE),IFERROR(HEX2DEC(MID(("x"&amp;H34),18,8))&gt;=0,FALSE),IFERROR(HEX2DEC(MID(("x"&amp;H34),26,8))&gt;=0,FALSE),IFERROR(HEX2DEC(MID(("x"&amp;H34),34,8))&gt;=0,FALSE),IFERROR(HEX2DEC(MID(("x"&amp;H34),42,8))&gt;=0,FALSE),IFERROR(HEX2DEC(MID(("x"&amp;H34),50,8))&gt;=0,FALSE),IFERROR(HEX2DEC(MID(("x"&amp;H34),58,8))&gt;=0,FALSE)),AND(ISTEXT(I34),LEN(("x"&amp;I34))=65,EXACT(("x"&amp;I34),LOWER(("x"&amp;I34))),ISERROR(SEARCH(" ",("x"&amp;I34))),ISERROR(SEARCH(CHAR(9),("x"&amp;I34))),ISERROR(SEARCH(CHAR(10),("x"&amp;I34))),ISERROR(SEARCH(CHAR(13),("x"&amp;I34))),IFERROR(HEX2DEC(MID(("x"&amp;I34),2,8))&gt;=0,FALSE),IFERROR(HEX2DEC(MID(("x"&amp;I34),10,8))&gt;=0,FALSE),IFERROR(HEX2DEC(MID(("x"&amp;I34),18,8))&gt;=0,FALSE),IFERROR(HEX2DEC(MID(("x"&amp;I34),26,8))&gt;=0,FALSE),IFERROR(HEX2DEC(MID(("x"&amp;I34),34,8))&gt;=0,FALSE),IFERROR(HEX2DEC(MID(("x"&amp;I34),42,8))&gt;=0,FALSE),IFERROR(HEX2DEC(MID(("x"&amp;I34),50,8))&gt;=0,FALSE),IFERROR(HEX2DEC(MID(("x"&amp;I34),58,8))&gt;=0,FALSE))),IF(EXACT("x"&amp;H34,"x"&amp;I34),AA34,AB34),"LEXEMA_O_FORMA"),IF(W34="PRUEBA",IF(H34=X34,AA34,IF(H34=Z34,AB34,"LEXEMA_O_FORMA")),IF(W34="RETIRADA",IF(AND(H34="NINGUNO",I34=""),IF(J34="COMPLETA",AB34,"COBERTURA_INSUFICIENTE"),IF(AND(OR(H34="uoInstallation",H34="uoUninstallation"),OR(I34="orcSucceeded",I34="orcSucceededWithErrors",I34="orcFailed",I34="orcAborted",I34="orcInProgress",I34="orcNotStarted")),IF(AND(H34=X34,I34=Y34),AA34,IF(AND(H34=X34,OR(I34="orcSucceededWithErrors",I34="orcInProgress",I34="orcNotStarted")),"RESULTADO_RETIRADA_INCIERTO",IF(J34="COMPLETA",AB34,"COBERTURA_INSUFICIENTE"))),"LEXEMA_O_FORMA")),IF(W34="CAMBIO",IF(OR(H34="CAMBIO",H34="CAMBIO_Y_RETORNO"),AA34,IF(OR(H34="NINGUNO",H34="SOLO_RENOMBRE"),IF(J34="COMPLETA",AB34,"COBERTURA_INSUFICIENTE"),"LEXEMA_O_FORMA")),IF(W34="RESTAURACION",IF(H34=X34,AA34,IF(OR(H34="NINGUNO",H34="RESTAURACION_POSTERIOR",H34="RESTAURACION_FALLIDA"),IF(J34="COMPLETA",AB34,"COBERTURA_INSUFICIENTE"),"LEXEMA_O_FORMA")),"PERFIL_NO_CONSTITUIDO"))))))))))))))))))</x:f>
        <x:v>REQUISITO_SOFTWARE_NO</x:v>
      </x:c>
      <x:c r="R34" s="12" t="str">
        <x:f>IF(AND(L34=O34,M34=P34,N34=Q34),"PASA","NO_PASA")</x:f>
        <x:v>PASA</x:v>
      </x:c>
      <x:c r="S34" s="4" t="str">
        <x:v>Negativo explícito; en eventos exige cobertura del intervalo.</x:v>
      </x:c>
      <x:c r="T34" s="12" t="str">
        <x:f>IFERROR(INDEX('55_Codificacion_ensayo'!$B$5:$B$13,MATCH(B34,'55_Codificacion_ensayo'!$A$5:$A$13,0)),"")</x:f>
        <x:v>REQUISITO-SOFTWARE-INDIVIDUAL-0.1</x:v>
      </x:c>
      <x:c r="U34" s="12" t="str">
        <x:f>IFERROR(INDEX('55_Codificacion_ensayo'!$C$5:$C$13,MATCH(B34,'55_Codificacion_ensayo'!$A$5:$A$13,0)),"")</x:f>
        <x:v>INSTRUCCION_ESPECIFICA</x:v>
      </x:c>
      <x:c r="V34" s="12" t="str">
        <x:f>IFERROR(INDEX('55_Codificacion_ensayo'!$D$5:$D$13,MATCH(B34,'55_Codificacion_ensayo'!$A$5:$A$13,0)),"")</x:f>
        <x:v>UN_SOFTWARE</x:v>
      </x:c>
      <x:c r="W34" s="12" t="str">
        <x:f>IFERROR(INDEX('55_Codificacion_ensayo'!$E$5:$E$13,MATCH(B34,'55_Codificacion_ensayo'!$A$5:$A$13,0)),"")</x:f>
        <x:v>REQUISITO_SOFT</x:v>
      </x:c>
      <x:c r="X34" s="12" t="str">
        <x:f>IFERROR(INDEX('55_Codificacion_ensayo'!$F$5:$F$13,MATCH(B34,'55_Codificacion_ensayo'!$A$5:$A$13,0)),"")</x:f>
        <x:v>true</x:v>
      </x:c>
      <x:c r="Y34" s="12" t="str">
        <x:f>IFERROR(INDEX('55_Codificacion_ensayo'!$G$5:$G$13,MATCH(B34,'55_Codificacion_ensayo'!$A$5:$A$13,0)),"")</x:f>
      </x:c>
      <x:c r="Z34" s="12" t="str">
        <x:f>IFERROR(INDEX('55_Codificacion_ensayo'!$H$5:$H$13,MATCH(B34,'55_Codificacion_ensayo'!$A$5:$A$13,0)),"")</x:f>
        <x:v>false</x:v>
      </x:c>
      <x:c r="AA34" s="12" t="str">
        <x:f>IFERROR(INDEX('55_Codificacion_ensayo'!$I$5:$I$13,MATCH(B34,'55_Codificacion_ensayo'!$A$5:$A$13,0)),"")</x:f>
        <x:v>REQUISITO_SOFTWARE_SI</x:v>
      </x:c>
      <x:c r="AB34" s="12" t="str">
        <x:f>IFERROR(INDEX('55_Codificacion_ensayo'!$J$5:$J$13,MATCH(B34,'55_Codificacion_ensayo'!$A$5:$A$13,0)),"")</x:f>
        <x:v>REQUISITO_SOFTWARE_NO</x:v>
      </x:c>
    </x:row>
    <x:row r="35" ht="47" customHeight="1">
      <x:c r="A35" s="4" t="str">
        <x:v>L10-04-03</x:v>
      </x:c>
      <x:c r="B35" s="4" t="str">
        <x:v>PAR-CYB-REINICIO-SOFTWARE-REQUERIDO-001</x:v>
      </x:c>
      <x:c r="C35" s="4" t="str">
        <x:v>REQUISITO-SOFTWARE-INDIVIDUAL-0.1</x:v>
      </x:c>
      <x:c r="D35" s="4" t="str">
        <x:v>COINCIDE</x:v>
      </x:c>
      <x:c r="E35" s="4" t="str">
        <x:v>LEGIBLE</x:v>
      </x:c>
      <x:c r="F35" s="4" t="str">
        <x:v>INSTRUCCION_ESPECIFICA</x:v>
      </x:c>
      <x:c r="G35" s="4" t="str">
        <x:v>AUSENTE</x:v>
      </x:c>
      <x:c r="H35" s="4" t="str"/>
      <x:c r="I35" s="4" t="str"/>
      <x:c r="J35" s="4" t="str">
        <x:v>COMPLETA</x:v>
      </x:c>
      <x:c r="K35" s="4" t="str">
        <x:v>UN_SOFTWARE</x:v>
      </x:c>
      <x:c r="L35" s="4" t="str">
        <x:v>VALIDA</x:v>
      </x:c>
      <x:c r="M35" s="4" t="str">
        <x:v>U</x:v>
      </x:c>
      <x:c r="N35" s="4" t="str">
        <x:v>DATO_AUSENTE</x:v>
      </x:c>
      <x:c r="O35" s="12" t="str">
        <x:f>IF(Q35="SIN_EJECUCION_DOMINIO","FALLO_CAPTURA",IF(OR(Q35="CAPTURA_MAL_FORMADA",Q35="IDENTIDAD",Q35="OBSERVACION_MAL_FORMADA",Q35="LEXEMA_O_FORMA"),"NO_ADMISION",IF(OR(Q35="PERFIL_NO_CONSTITUIDO",Q35="RESULTADO_NO_TERMINAL"),"FUERA_PERFIL",IF(Q35="CONTEXTO_NO_CONSTITUIDO","CONFIGURACION_PENDIENTE","VALIDA"))))</x:f>
        <x:v>VALIDA</x:v>
      </x:c>
      <x:c r="P35" s="12" t="str">
        <x:f>IF(O35&lt;&gt;"VALIDA","",IF(Q35=AA35,"1",IF(Q35=AB35,"0","U")))</x:f>
        <x:v>U</x:v>
      </x:c>
      <x:c r="Q35" s="12" t="str">
        <x:f>IF(E35="FALLO","SIN_EJECUCION_DOMINIO",IF(E35&lt;&gt;"LEGIBLE","CAPTURA_MAL_FORMADA",IF(D35&lt;&gt;"COINCIDE","IDENTIDAD",IF(OR(T35="",C35&lt;&gt;T35),"PERFIL_NO_CONSTITUIDO",IF(K35&lt;&gt;V35,IF(V35="ORDEN_ACREDITADO","ORDEN_NO_ACREDITADO","CONTEXTO_NO_CONSTITUIDO"),IF(AND(G35="AUSENTE",H35="",I35=""),"DATO_AUSENTE",IF(AND(G35="CONFLICTO",H35="",I35=""),"CONFLICTO_OBSERVACIONAL",IF(G35&lt;&gt;"UNICA","OBSERVACION_MAL_FORMADA",IF(F35&lt;&gt;U35,"OBSERVACION_INSUFICIENTE",IF(W35="RESULTADO",IF(H35=X35,AA35,IF(OR(H35="orcSucceededWithErrors",H35="orcFailed",H35="orcAborted"),AB35,IF(OR(H35="orcNotStarted",H35="orcInProgress"),"RESULTADO_NO_TERMINAL","LEXEMA_O_FORMA"))),IF(W35="EVENTO_BOOT",IF(H35=X35,AA35,IF(OR(H35="NINGUNO",H35="SOLO_HIBRIDO"),IF(J35="COMPLETA",AB35,"COBERTURA_INSUFICIENTE"),"LEXEMA_O_FORMA")),IF(W35="REQUISITO_SOFT",IF(H35=X35,AA35,IF(H35=Z35,AB35,"LEXEMA_O_FORMA")),IF(W35="EVENTO_PROC",IF(H35=X35,AA35,IF(H35=Z35,IF(J35="COMPLETA",AB35,"COBERTURA_INSUFICIENTE"),"LEXEMA_O_FORMA")),IF(W35="IMAGEN",IF(AND(AND(ISTEXT(H35),LEN(("x"&amp;H35))=65,EXACT(("x"&amp;H35),LOWER(("x"&amp;H35))),ISERROR(SEARCH(" ",("x"&amp;H35))),ISERROR(SEARCH(CHAR(9),("x"&amp;H35))),ISERROR(SEARCH(CHAR(10),("x"&amp;H35))),ISERROR(SEARCH(CHAR(13),("x"&amp;H35))),IFERROR(HEX2DEC(MID(("x"&amp;H35),2,8))&gt;=0,FALSE),IFERROR(HEX2DEC(MID(("x"&amp;H35),10,8))&gt;=0,FALSE),IFERROR(HEX2DEC(MID(("x"&amp;H35),18,8))&gt;=0,FALSE),IFERROR(HEX2DEC(MID(("x"&amp;H35),26,8))&gt;=0,FALSE),IFERROR(HEX2DEC(MID(("x"&amp;H35),34,8))&gt;=0,FALSE),IFERROR(HEX2DEC(MID(("x"&amp;H35),42,8))&gt;=0,FALSE),IFERROR(HEX2DEC(MID(("x"&amp;H35),50,8))&gt;=0,FALSE),IFERROR(HEX2DEC(MID(("x"&amp;H35),58,8))&gt;=0,FALSE)),AND(ISTEXT(I35),LEN(("x"&amp;I35))=65,EXACT(("x"&amp;I35),LOWER(("x"&amp;I35))),ISERROR(SEARCH(" ",("x"&amp;I35))),ISERROR(SEARCH(CHAR(9),("x"&amp;I35))),ISERROR(SEARCH(CHAR(10),("x"&amp;I35))),ISERROR(SEARCH(CHAR(13),("x"&amp;I35))),IFERROR(HEX2DEC(MID(("x"&amp;I35),2,8))&gt;=0,FALSE),IFERROR(HEX2DEC(MID(("x"&amp;I35),10,8))&gt;=0,FALSE),IFERROR(HEX2DEC(MID(("x"&amp;I35),18,8))&gt;=0,FALSE),IFERROR(HEX2DEC(MID(("x"&amp;I35),26,8))&gt;=0,FALSE),IFERROR(HEX2DEC(MID(("x"&amp;I35),34,8))&gt;=0,FALSE),IFERROR(HEX2DEC(MID(("x"&amp;I35),42,8))&gt;=0,FALSE),IFERROR(HEX2DEC(MID(("x"&amp;I35),50,8))&gt;=0,FALSE),IFERROR(HEX2DEC(MID(("x"&amp;I35),58,8))&gt;=0,FALSE))),IF(EXACT("x"&amp;H35,"x"&amp;I35),AA35,AB35),"LEXEMA_O_FORMA"),IF(W35="PRUEBA",IF(H35=X35,AA35,IF(H35=Z35,AB35,"LEXEMA_O_FORMA")),IF(W35="RETIRADA",IF(AND(H35="NINGUNO",I35=""),IF(J35="COMPLETA",AB35,"COBERTURA_INSUFICIENTE"),IF(AND(OR(H35="uoInstallation",H35="uoUninstallation"),OR(I35="orcSucceeded",I35="orcSucceededWithErrors",I35="orcFailed",I35="orcAborted",I35="orcInProgress",I35="orcNotStarted")),IF(AND(H35=X35,I35=Y35),AA35,IF(AND(H35=X35,OR(I35="orcSucceededWithErrors",I35="orcInProgress",I35="orcNotStarted")),"RESULTADO_RETIRADA_INCIERTO",IF(J35="COMPLETA",AB35,"COBERTURA_INSUFICIENTE"))),"LEXEMA_O_FORMA")),IF(W35="CAMBIO",IF(OR(H35="CAMBIO",H35="CAMBIO_Y_RETORNO"),AA35,IF(OR(H35="NINGUNO",H35="SOLO_RENOMBRE"),IF(J35="COMPLETA",AB35,"COBERTURA_INSUFICIENTE"),"LEXEMA_O_FORMA")),IF(W35="RESTAURACION",IF(H35=X35,AA35,IF(OR(H35="NINGUNO",H35="RESTAURACION_POSTERIOR",H35="RESTAURACION_FALLIDA"),IF(J35="COMPLETA",AB35,"COBERTURA_INSUFICIENTE"),"LEXEMA_O_FORMA")),"PERFIL_NO_CONSTITUIDO"))))))))))))))))))</x:f>
        <x:v>DATO_AUSENTE</x:v>
      </x:c>
      <x:c r="R35" s="12" t="str">
        <x:f>IF(AND(L35=O35,M35=P35,N35=Q35),"PASA","NO_PASA")</x:f>
        <x:v>PASA</x:v>
      </x:c>
      <x:c r="S35" s="4" t="str">
        <x:v>Documento declara que falta la observación, sin convertir ausencia en 0.</x:v>
      </x:c>
      <x:c r="T35" s="12" t="str">
        <x:f>IFERROR(INDEX('55_Codificacion_ensayo'!$B$5:$B$13,MATCH(B35,'55_Codificacion_ensayo'!$A$5:$A$13,0)),"")</x:f>
        <x:v>REQUISITO-SOFTWARE-INDIVIDUAL-0.1</x:v>
      </x:c>
      <x:c r="U35" s="12" t="str">
        <x:f>IFERROR(INDEX('55_Codificacion_ensayo'!$C$5:$C$13,MATCH(B35,'55_Codificacion_ensayo'!$A$5:$A$13,0)),"")</x:f>
        <x:v>INSTRUCCION_ESPECIFICA</x:v>
      </x:c>
      <x:c r="V35" s="12" t="str">
        <x:f>IFERROR(INDEX('55_Codificacion_ensayo'!$D$5:$D$13,MATCH(B35,'55_Codificacion_ensayo'!$A$5:$A$13,0)),"")</x:f>
        <x:v>UN_SOFTWARE</x:v>
      </x:c>
      <x:c r="W35" s="12" t="str">
        <x:f>IFERROR(INDEX('55_Codificacion_ensayo'!$E$5:$E$13,MATCH(B35,'55_Codificacion_ensayo'!$A$5:$A$13,0)),"")</x:f>
        <x:v>REQUISITO_SOFT</x:v>
      </x:c>
      <x:c r="X35" s="12" t="str">
        <x:f>IFERROR(INDEX('55_Codificacion_ensayo'!$F$5:$F$13,MATCH(B35,'55_Codificacion_ensayo'!$A$5:$A$13,0)),"")</x:f>
        <x:v>true</x:v>
      </x:c>
      <x:c r="Y35" s="12" t="str">
        <x:f>IFERROR(INDEX('55_Codificacion_ensayo'!$G$5:$G$13,MATCH(B35,'55_Codificacion_ensayo'!$A$5:$A$13,0)),"")</x:f>
      </x:c>
      <x:c r="Z35" s="12" t="str">
        <x:f>IFERROR(INDEX('55_Codificacion_ensayo'!$H$5:$H$13,MATCH(B35,'55_Codificacion_ensayo'!$A$5:$A$13,0)),"")</x:f>
        <x:v>false</x:v>
      </x:c>
      <x:c r="AA35" s="12" t="str">
        <x:f>IFERROR(INDEX('55_Codificacion_ensayo'!$I$5:$I$13,MATCH(B35,'55_Codificacion_ensayo'!$A$5:$A$13,0)),"")</x:f>
        <x:v>REQUISITO_SOFTWARE_SI</x:v>
      </x:c>
      <x:c r="AB35" s="12" t="str">
        <x:f>IFERROR(INDEX('55_Codificacion_ensayo'!$J$5:$J$13,MATCH(B35,'55_Codificacion_ensayo'!$A$5:$A$13,0)),"")</x:f>
        <x:v>REQUISITO_SOFTWARE_NO</x:v>
      </x:c>
    </x:row>
    <x:row r="36" ht="47" customHeight="1">
      <x:c r="A36" s="4" t="str">
        <x:v>L10-04-04</x:v>
      </x:c>
      <x:c r="B36" s="4" t="str">
        <x:v>PAR-CYB-REINICIO-SOFTWARE-REQUERIDO-001</x:v>
      </x:c>
      <x:c r="C36" s="4" t="str">
        <x:v>REQUISITO-SOFTWARE-INDIVIDUAL-0.1</x:v>
      </x:c>
      <x:c r="D36" s="4" t="str">
        <x:v>COINCIDE</x:v>
      </x:c>
      <x:c r="E36" s="4" t="str">
        <x:v>LEGIBLE</x:v>
      </x:c>
      <x:c r="F36" s="4" t="str">
        <x:v>INSTRUCCION_ESPECIFICA</x:v>
      </x:c>
      <x:c r="G36" s="4" t="str">
        <x:v>CONFLICTO</x:v>
      </x:c>
      <x:c r="H36" s="4" t="str"/>
      <x:c r="I36" s="4" t="str"/>
      <x:c r="J36" s="4" t="str">
        <x:v>COMPLETA</x:v>
      </x:c>
      <x:c r="K36" s="4" t="str">
        <x:v>UN_SOFTWARE</x:v>
      </x:c>
      <x:c r="L36" s="4" t="str">
        <x:v>VALIDA</x:v>
      </x:c>
      <x:c r="M36" s="4" t="str">
        <x:v>U</x:v>
      </x:c>
      <x:c r="N36" s="4" t="str">
        <x:v>CONFLICTO_OBSERVACIONAL</x:v>
      </x:c>
      <x:c r="O36" s="12" t="str">
        <x:f>IF(Q36="SIN_EJECUCION_DOMINIO","FALLO_CAPTURA",IF(OR(Q36="CAPTURA_MAL_FORMADA",Q36="IDENTIDAD",Q36="OBSERVACION_MAL_FORMADA",Q36="LEXEMA_O_FORMA"),"NO_ADMISION",IF(OR(Q36="PERFIL_NO_CONSTITUIDO",Q36="RESULTADO_NO_TERMINAL"),"FUERA_PERFIL",IF(Q36="CONTEXTO_NO_CONSTITUIDO","CONFIGURACION_PENDIENTE","VALIDA"))))</x:f>
        <x:v>VALIDA</x:v>
      </x:c>
      <x:c r="P36" s="12" t="str">
        <x:f>IF(O36&lt;&gt;"VALIDA","",IF(Q36=AA36,"1",IF(Q36=AB36,"0","U")))</x:f>
        <x:v>U</x:v>
      </x:c>
      <x:c r="Q36" s="12" t="str">
        <x:f>IF(E36="FALLO","SIN_EJECUCION_DOMINIO",IF(E36&lt;&gt;"LEGIBLE","CAPTURA_MAL_FORMADA",IF(D36&lt;&gt;"COINCIDE","IDENTIDAD",IF(OR(T36="",C36&lt;&gt;T36),"PERFIL_NO_CONSTITUIDO",IF(K36&lt;&gt;V36,IF(V36="ORDEN_ACREDITADO","ORDEN_NO_ACREDITADO","CONTEXTO_NO_CONSTITUIDO"),IF(AND(G36="AUSENTE",H36="",I36=""),"DATO_AUSENTE",IF(AND(G36="CONFLICTO",H36="",I36=""),"CONFLICTO_OBSERVACIONAL",IF(G36&lt;&gt;"UNICA","OBSERVACION_MAL_FORMADA",IF(F36&lt;&gt;U36,"OBSERVACION_INSUFICIENTE",IF(W36="RESULTADO",IF(H36=X36,AA36,IF(OR(H36="orcSucceededWithErrors",H36="orcFailed",H36="orcAborted"),AB36,IF(OR(H36="orcNotStarted",H36="orcInProgress"),"RESULTADO_NO_TERMINAL","LEXEMA_O_FORMA"))),IF(W36="EVENTO_BOOT",IF(H36=X36,AA36,IF(OR(H36="NINGUNO",H36="SOLO_HIBRIDO"),IF(J36="COMPLETA",AB36,"COBERTURA_INSUFICIENTE"),"LEXEMA_O_FORMA")),IF(W36="REQUISITO_SOFT",IF(H36=X36,AA36,IF(H36=Z36,AB36,"LEXEMA_O_FORMA")),IF(W36="EVENTO_PROC",IF(H36=X36,AA36,IF(H36=Z36,IF(J36="COMPLETA",AB36,"COBERTURA_INSUFICIENTE"),"LEXEMA_O_FORMA")),IF(W36="IMAGEN",IF(AND(AND(ISTEXT(H36),LEN(("x"&amp;H36))=65,EXACT(("x"&amp;H36),LOWER(("x"&amp;H36))),ISERROR(SEARCH(" ",("x"&amp;H36))),ISERROR(SEARCH(CHAR(9),("x"&amp;H36))),ISERROR(SEARCH(CHAR(10),("x"&amp;H36))),ISERROR(SEARCH(CHAR(13),("x"&amp;H36))),IFERROR(HEX2DEC(MID(("x"&amp;H36),2,8))&gt;=0,FALSE),IFERROR(HEX2DEC(MID(("x"&amp;H36),10,8))&gt;=0,FALSE),IFERROR(HEX2DEC(MID(("x"&amp;H36),18,8))&gt;=0,FALSE),IFERROR(HEX2DEC(MID(("x"&amp;H36),26,8))&gt;=0,FALSE),IFERROR(HEX2DEC(MID(("x"&amp;H36),34,8))&gt;=0,FALSE),IFERROR(HEX2DEC(MID(("x"&amp;H36),42,8))&gt;=0,FALSE),IFERROR(HEX2DEC(MID(("x"&amp;H36),50,8))&gt;=0,FALSE),IFERROR(HEX2DEC(MID(("x"&amp;H36),58,8))&gt;=0,FALSE)),AND(ISTEXT(I36),LEN(("x"&amp;I36))=65,EXACT(("x"&amp;I36),LOWER(("x"&amp;I36))),ISERROR(SEARCH(" ",("x"&amp;I36))),ISERROR(SEARCH(CHAR(9),("x"&amp;I36))),ISERROR(SEARCH(CHAR(10),("x"&amp;I36))),ISERROR(SEARCH(CHAR(13),("x"&amp;I36))),IFERROR(HEX2DEC(MID(("x"&amp;I36),2,8))&gt;=0,FALSE),IFERROR(HEX2DEC(MID(("x"&amp;I36),10,8))&gt;=0,FALSE),IFERROR(HEX2DEC(MID(("x"&amp;I36),18,8))&gt;=0,FALSE),IFERROR(HEX2DEC(MID(("x"&amp;I36),26,8))&gt;=0,FALSE),IFERROR(HEX2DEC(MID(("x"&amp;I36),34,8))&gt;=0,FALSE),IFERROR(HEX2DEC(MID(("x"&amp;I36),42,8))&gt;=0,FALSE),IFERROR(HEX2DEC(MID(("x"&amp;I36),50,8))&gt;=0,FALSE),IFERROR(HEX2DEC(MID(("x"&amp;I36),58,8))&gt;=0,FALSE))),IF(EXACT("x"&amp;H36,"x"&amp;I36),AA36,AB36),"LEXEMA_O_FORMA"),IF(W36="PRUEBA",IF(H36=X36,AA36,IF(H36=Z36,AB36,"LEXEMA_O_FORMA")),IF(W36="RETIRADA",IF(AND(H36="NINGUNO",I36=""),IF(J36="COMPLETA",AB36,"COBERTURA_INSUFICIENTE"),IF(AND(OR(H36="uoInstallation",H36="uoUninstallation"),OR(I36="orcSucceeded",I36="orcSucceededWithErrors",I36="orcFailed",I36="orcAborted",I36="orcInProgress",I36="orcNotStarted")),IF(AND(H36=X36,I36=Y36),AA36,IF(AND(H36=X36,OR(I36="orcSucceededWithErrors",I36="orcInProgress",I36="orcNotStarted")),"RESULTADO_RETIRADA_INCIERTO",IF(J36="COMPLETA",AB36,"COBERTURA_INSUFICIENTE"))),"LEXEMA_O_FORMA")),IF(W36="CAMBIO",IF(OR(H36="CAMBIO",H36="CAMBIO_Y_RETORNO"),AA36,IF(OR(H36="NINGUNO",H36="SOLO_RENOMBRE"),IF(J36="COMPLETA",AB36,"COBERTURA_INSUFICIENTE"),"LEXEMA_O_FORMA")),IF(W36="RESTAURACION",IF(H36=X36,AA36,IF(OR(H36="NINGUNO",H36="RESTAURACION_POSTERIOR",H36="RESTAURACION_FALLIDA"),IF(J36="COMPLETA",AB36,"COBERTURA_INSUFICIENTE"),"LEXEMA_O_FORMA")),"PERFIL_NO_CONSTITUIDO"))))))))))))))))))</x:f>
        <x:v>CONFLICTO_OBSERVACIONAL</x:v>
      </x:c>
      <x:c r="R36" s="12" t="str">
        <x:f>IF(AND(L36=O36,M36=P36,N36=Q36),"PASA","NO_PASA")</x:f>
        <x:v>PASA</x:v>
      </x:c>
      <x:c r="S36" s="4" t="str">
        <x:v>Conflicto entre observaciones admitidas del mismo sujeto y corte.</x:v>
      </x:c>
      <x:c r="T36" s="12" t="str">
        <x:f>IFERROR(INDEX('55_Codificacion_ensayo'!$B$5:$B$13,MATCH(B36,'55_Codificacion_ensayo'!$A$5:$A$13,0)),"")</x:f>
        <x:v>REQUISITO-SOFTWARE-INDIVIDUAL-0.1</x:v>
      </x:c>
      <x:c r="U36" s="12" t="str">
        <x:f>IFERROR(INDEX('55_Codificacion_ensayo'!$C$5:$C$13,MATCH(B36,'55_Codificacion_ensayo'!$A$5:$A$13,0)),"")</x:f>
        <x:v>INSTRUCCION_ESPECIFICA</x:v>
      </x:c>
      <x:c r="V36" s="12" t="str">
        <x:f>IFERROR(INDEX('55_Codificacion_ensayo'!$D$5:$D$13,MATCH(B36,'55_Codificacion_ensayo'!$A$5:$A$13,0)),"")</x:f>
        <x:v>UN_SOFTWARE</x:v>
      </x:c>
      <x:c r="W36" s="12" t="str">
        <x:f>IFERROR(INDEX('55_Codificacion_ensayo'!$E$5:$E$13,MATCH(B36,'55_Codificacion_ensayo'!$A$5:$A$13,0)),"")</x:f>
        <x:v>REQUISITO_SOFT</x:v>
      </x:c>
      <x:c r="X36" s="12" t="str">
        <x:f>IFERROR(INDEX('55_Codificacion_ensayo'!$F$5:$F$13,MATCH(B36,'55_Codificacion_ensayo'!$A$5:$A$13,0)),"")</x:f>
        <x:v>true</x:v>
      </x:c>
      <x:c r="Y36" s="12" t="str">
        <x:f>IFERROR(INDEX('55_Codificacion_ensayo'!$G$5:$G$13,MATCH(B36,'55_Codificacion_ensayo'!$A$5:$A$13,0)),"")</x:f>
      </x:c>
      <x:c r="Z36" s="12" t="str">
        <x:f>IFERROR(INDEX('55_Codificacion_ensayo'!$H$5:$H$13,MATCH(B36,'55_Codificacion_ensayo'!$A$5:$A$13,0)),"")</x:f>
        <x:v>false</x:v>
      </x:c>
      <x:c r="AA36" s="12" t="str">
        <x:f>IFERROR(INDEX('55_Codificacion_ensayo'!$I$5:$I$13,MATCH(B36,'55_Codificacion_ensayo'!$A$5:$A$13,0)),"")</x:f>
        <x:v>REQUISITO_SOFTWARE_SI</x:v>
      </x:c>
      <x:c r="AB36" s="12" t="str">
        <x:f>IFERROR(INDEX('55_Codificacion_ensayo'!$J$5:$J$13,MATCH(B36,'55_Codificacion_ensayo'!$A$5:$A$13,0)),"")</x:f>
        <x:v>REQUISITO_SOFTWARE_NO</x:v>
      </x:c>
    </x:row>
    <x:row r="37" ht="47" customHeight="1">
      <x:c r="A37" s="4" t="str">
        <x:v>L10-04-05</x:v>
      </x:c>
      <x:c r="B37" s="4" t="str">
        <x:v>PAR-CYB-REINICIO-SOFTWARE-REQUERIDO-001</x:v>
      </x:c>
      <x:c r="C37" s="4" t="str">
        <x:v>REQUISITO-SOFTWARE-INDIVIDUAL-0.1</x:v>
      </x:c>
      <x:c r="D37" s="4" t="str">
        <x:v>COINCIDE</x:v>
      </x:c>
      <x:c r="E37" s="4" t="str">
        <x:v>FALLO</x:v>
      </x:c>
      <x:c r="F37" s="4" t="str">
        <x:v>INSTRUCCION_ESPECIFICA</x:v>
      </x:c>
      <x:c r="G37" s="4" t="str">
        <x:v>UNICA</x:v>
      </x:c>
      <x:c r="H37" s="4" t="str">
        <x:v>true</x:v>
      </x:c>
      <x:c r="I37" s="4" t="str"/>
      <x:c r="J37" s="4" t="str">
        <x:v>COMPLETA</x:v>
      </x:c>
      <x:c r="K37" s="4" t="str">
        <x:v>UN_SOFTWARE</x:v>
      </x:c>
      <x:c r="L37" s="4" t="str">
        <x:v>FALLO_CAPTURA</x:v>
      </x:c>
      <x:c r="M37" s="4" t="str"/>
      <x:c r="N37" s="4" t="str">
        <x:v>SIN_EJECUCION_DOMINIO</x:v>
      </x:c>
      <x:c r="O37" s="12" t="str">
        <x:f>IF(Q37="SIN_EJECUCION_DOMINIO","FALLO_CAPTURA",IF(OR(Q37="CAPTURA_MAL_FORMADA",Q37="IDENTIDAD",Q37="OBSERVACION_MAL_FORMADA",Q37="LEXEMA_O_FORMA"),"NO_ADMISION",IF(OR(Q37="PERFIL_NO_CONSTITUIDO",Q37="RESULTADO_NO_TERMINAL"),"FUERA_PERFIL",IF(Q37="CONTEXTO_NO_CONSTITUIDO","CONFIGURACION_PENDIENTE","VALIDA"))))</x:f>
        <x:v>FALLO_CAPTURA</x:v>
      </x:c>
      <x:c r="P37" s="12" t="str">
        <x:f>IF(O37&lt;&gt;"VALIDA","",IF(Q37=AA37,"1",IF(Q37=AB37,"0","U")))</x:f>
      </x:c>
      <x:c r="Q37" s="12" t="str">
        <x:f>IF(E37="FALLO","SIN_EJECUCION_DOMINIO",IF(E37&lt;&gt;"LEGIBLE","CAPTURA_MAL_FORMADA",IF(D37&lt;&gt;"COINCIDE","IDENTIDAD",IF(OR(T37="",C37&lt;&gt;T37),"PERFIL_NO_CONSTITUIDO",IF(K37&lt;&gt;V37,IF(V37="ORDEN_ACREDITADO","ORDEN_NO_ACREDITADO","CONTEXTO_NO_CONSTITUIDO"),IF(AND(G37="AUSENTE",H37="",I37=""),"DATO_AUSENTE",IF(AND(G37="CONFLICTO",H37="",I37=""),"CONFLICTO_OBSERVACIONAL",IF(G37&lt;&gt;"UNICA","OBSERVACION_MAL_FORMADA",IF(F37&lt;&gt;U37,"OBSERVACION_INSUFICIENTE",IF(W37="RESULTADO",IF(H37=X37,AA37,IF(OR(H37="orcSucceededWithErrors",H37="orcFailed",H37="orcAborted"),AB37,IF(OR(H37="orcNotStarted",H37="orcInProgress"),"RESULTADO_NO_TERMINAL","LEXEMA_O_FORMA"))),IF(W37="EVENTO_BOOT",IF(H37=X37,AA37,IF(OR(H37="NINGUNO",H37="SOLO_HIBRIDO"),IF(J37="COMPLETA",AB37,"COBERTURA_INSUFICIENTE"),"LEXEMA_O_FORMA")),IF(W37="REQUISITO_SOFT",IF(H37=X37,AA37,IF(H37=Z37,AB37,"LEXEMA_O_FORMA")),IF(W37="EVENTO_PROC",IF(H37=X37,AA37,IF(H37=Z37,IF(J37="COMPLETA",AB37,"COBERTURA_INSUFICIENTE"),"LEXEMA_O_FORMA")),IF(W37="IMAGEN",IF(AND(AND(ISTEXT(H37),LEN(("x"&amp;H37))=65,EXACT(("x"&amp;H37),LOWER(("x"&amp;H37))),ISERROR(SEARCH(" ",("x"&amp;H37))),ISERROR(SEARCH(CHAR(9),("x"&amp;H37))),ISERROR(SEARCH(CHAR(10),("x"&amp;H37))),ISERROR(SEARCH(CHAR(13),("x"&amp;H37))),IFERROR(HEX2DEC(MID(("x"&amp;H37),2,8))&gt;=0,FALSE),IFERROR(HEX2DEC(MID(("x"&amp;H37),10,8))&gt;=0,FALSE),IFERROR(HEX2DEC(MID(("x"&amp;H37),18,8))&gt;=0,FALSE),IFERROR(HEX2DEC(MID(("x"&amp;H37),26,8))&gt;=0,FALSE),IFERROR(HEX2DEC(MID(("x"&amp;H37),34,8))&gt;=0,FALSE),IFERROR(HEX2DEC(MID(("x"&amp;H37),42,8))&gt;=0,FALSE),IFERROR(HEX2DEC(MID(("x"&amp;H37),50,8))&gt;=0,FALSE),IFERROR(HEX2DEC(MID(("x"&amp;H37),58,8))&gt;=0,FALSE)),AND(ISTEXT(I37),LEN(("x"&amp;I37))=65,EXACT(("x"&amp;I37),LOWER(("x"&amp;I37))),ISERROR(SEARCH(" ",("x"&amp;I37))),ISERROR(SEARCH(CHAR(9),("x"&amp;I37))),ISERROR(SEARCH(CHAR(10),("x"&amp;I37))),ISERROR(SEARCH(CHAR(13),("x"&amp;I37))),IFERROR(HEX2DEC(MID(("x"&amp;I37),2,8))&gt;=0,FALSE),IFERROR(HEX2DEC(MID(("x"&amp;I37),10,8))&gt;=0,FALSE),IFERROR(HEX2DEC(MID(("x"&amp;I37),18,8))&gt;=0,FALSE),IFERROR(HEX2DEC(MID(("x"&amp;I37),26,8))&gt;=0,FALSE),IFERROR(HEX2DEC(MID(("x"&amp;I37),34,8))&gt;=0,FALSE),IFERROR(HEX2DEC(MID(("x"&amp;I37),42,8))&gt;=0,FALSE),IFERROR(HEX2DEC(MID(("x"&amp;I37),50,8))&gt;=0,FALSE),IFERROR(HEX2DEC(MID(("x"&amp;I37),58,8))&gt;=0,FALSE))),IF(EXACT("x"&amp;H37,"x"&amp;I37),AA37,AB37),"LEXEMA_O_FORMA"),IF(W37="PRUEBA",IF(H37=X37,AA37,IF(H37=Z37,AB37,"LEXEMA_O_FORMA")),IF(W37="RETIRADA",IF(AND(H37="NINGUNO",I37=""),IF(J37="COMPLETA",AB37,"COBERTURA_INSUFICIENTE"),IF(AND(OR(H37="uoInstallation",H37="uoUninstallation"),OR(I37="orcSucceeded",I37="orcSucceededWithErrors",I37="orcFailed",I37="orcAborted",I37="orcInProgress",I37="orcNotStarted")),IF(AND(H37=X37,I37=Y37),AA37,IF(AND(H37=X37,OR(I37="orcSucceededWithErrors",I37="orcInProgress",I37="orcNotStarted")),"RESULTADO_RETIRADA_INCIERTO",IF(J37="COMPLETA",AB37,"COBERTURA_INSUFICIENTE"))),"LEXEMA_O_FORMA")),IF(W37="CAMBIO",IF(OR(H37="CAMBIO",H37="CAMBIO_Y_RETORNO"),AA37,IF(OR(H37="NINGUNO",H37="SOLO_RENOMBRE"),IF(J37="COMPLETA",AB37,"COBERTURA_INSUFICIENTE"),"LEXEMA_O_FORMA")),IF(W37="RESTAURACION",IF(H37=X37,AA37,IF(OR(H37="NINGUNO",H37="RESTAURACION_POSTERIOR",H37="RESTAURACION_FALLIDA"),IF(J37="COMPLETA",AB37,"COBERTURA_INSUFICIENTE"),"LEXEMA_O_FORMA")),"PERFIL_NO_CONSTITUIDO"))))))))))))))))))</x:f>
        <x:v>SIN_EJECUCION_DOMINIO</x:v>
      </x:c>
      <x:c r="R37" s="12" t="str">
        <x:f>IF(AND(L37=O37,M37=P37,N37=Q37),"PASA","NO_PASA")</x:f>
        <x:v>PASA</x:v>
      </x:c>
      <x:c r="S37" s="4" t="str">
        <x:v>El observador falla; no existe ejecución de dominio ni Tri alternativo.</x:v>
      </x:c>
      <x:c r="T37" s="12" t="str">
        <x:f>IFERROR(INDEX('55_Codificacion_ensayo'!$B$5:$B$13,MATCH(B37,'55_Codificacion_ensayo'!$A$5:$A$13,0)),"")</x:f>
        <x:v>REQUISITO-SOFTWARE-INDIVIDUAL-0.1</x:v>
      </x:c>
      <x:c r="U37" s="12" t="str">
        <x:f>IFERROR(INDEX('55_Codificacion_ensayo'!$C$5:$C$13,MATCH(B37,'55_Codificacion_ensayo'!$A$5:$A$13,0)),"")</x:f>
        <x:v>INSTRUCCION_ESPECIFICA</x:v>
      </x:c>
      <x:c r="V37" s="12" t="str">
        <x:f>IFERROR(INDEX('55_Codificacion_ensayo'!$D$5:$D$13,MATCH(B37,'55_Codificacion_ensayo'!$A$5:$A$13,0)),"")</x:f>
        <x:v>UN_SOFTWARE</x:v>
      </x:c>
      <x:c r="W37" s="12" t="str">
        <x:f>IFERROR(INDEX('55_Codificacion_ensayo'!$E$5:$E$13,MATCH(B37,'55_Codificacion_ensayo'!$A$5:$A$13,0)),"")</x:f>
        <x:v>REQUISITO_SOFT</x:v>
      </x:c>
      <x:c r="X37" s="12" t="str">
        <x:f>IFERROR(INDEX('55_Codificacion_ensayo'!$F$5:$F$13,MATCH(B37,'55_Codificacion_ensayo'!$A$5:$A$13,0)),"")</x:f>
        <x:v>true</x:v>
      </x:c>
      <x:c r="Y37" s="12" t="str">
        <x:f>IFERROR(INDEX('55_Codificacion_ensayo'!$G$5:$G$13,MATCH(B37,'55_Codificacion_ensayo'!$A$5:$A$13,0)),"")</x:f>
      </x:c>
      <x:c r="Z37" s="12" t="str">
        <x:f>IFERROR(INDEX('55_Codificacion_ensayo'!$H$5:$H$13,MATCH(B37,'55_Codificacion_ensayo'!$A$5:$A$13,0)),"")</x:f>
        <x:v>false</x:v>
      </x:c>
      <x:c r="AA37" s="12" t="str">
        <x:f>IFERROR(INDEX('55_Codificacion_ensayo'!$I$5:$I$13,MATCH(B37,'55_Codificacion_ensayo'!$A$5:$A$13,0)),"")</x:f>
        <x:v>REQUISITO_SOFTWARE_SI</x:v>
      </x:c>
      <x:c r="AB37" s="12" t="str">
        <x:f>IFERROR(INDEX('55_Codificacion_ensayo'!$J$5:$J$13,MATCH(B37,'55_Codificacion_ensayo'!$A$5:$A$13,0)),"")</x:f>
        <x:v>REQUISITO_SOFTWARE_NO</x:v>
      </x:c>
    </x:row>
    <x:row r="38" ht="47" customHeight="1">
      <x:c r="A38" s="4" t="str">
        <x:v>L10-04-06</x:v>
      </x:c>
      <x:c r="B38" s="4" t="str">
        <x:v>PAR-CYB-REINICIO-SOFTWARE-REQUERIDO-001</x:v>
      </x:c>
      <x:c r="C38" s="4" t="str">
        <x:v>REQUISITO-SOFTWARE-INDIVIDUAL-0.1</x:v>
      </x:c>
      <x:c r="D38" s="4" t="str">
        <x:v>OTRO</x:v>
      </x:c>
      <x:c r="E38" s="4" t="str">
        <x:v>LEGIBLE</x:v>
      </x:c>
      <x:c r="F38" s="4" t="str">
        <x:v>INSTRUCCION_ESPECIFICA</x:v>
      </x:c>
      <x:c r="G38" s="4" t="str">
        <x:v>UNICA</x:v>
      </x:c>
      <x:c r="H38" s="4" t="str">
        <x:v>true</x:v>
      </x:c>
      <x:c r="I38" s="4" t="str"/>
      <x:c r="J38" s="4" t="str">
        <x:v>COMPLETA</x:v>
      </x:c>
      <x:c r="K38" s="4" t="str">
        <x:v>UN_SOFTWARE</x:v>
      </x:c>
      <x:c r="L38" s="4" t="str">
        <x:v>NO_ADMISION</x:v>
      </x:c>
      <x:c r="M38" s="4" t="str"/>
      <x:c r="N38" s="4" t="str">
        <x:v>IDENTIDAD</x:v>
      </x:c>
      <x:c r="O38" s="12" t="str">
        <x:f>IF(Q38="SIN_EJECUCION_DOMINIO","FALLO_CAPTURA",IF(OR(Q38="CAPTURA_MAL_FORMADA",Q38="IDENTIDAD",Q38="OBSERVACION_MAL_FORMADA",Q38="LEXEMA_O_FORMA"),"NO_ADMISION",IF(OR(Q38="PERFIL_NO_CONSTITUIDO",Q38="RESULTADO_NO_TERMINAL"),"FUERA_PERFIL",IF(Q38="CONTEXTO_NO_CONSTITUIDO","CONFIGURACION_PENDIENTE","VALIDA"))))</x:f>
        <x:v>NO_ADMISION</x:v>
      </x:c>
      <x:c r="P38" s="12" t="str">
        <x:f>IF(O38&lt;&gt;"VALIDA","",IF(Q38=AA38,"1",IF(Q38=AB38,"0","U")))</x:f>
      </x:c>
      <x:c r="Q38" s="12" t="str">
        <x:f>IF(E38="FALLO","SIN_EJECUCION_DOMINIO",IF(E38&lt;&gt;"LEGIBLE","CAPTURA_MAL_FORMADA",IF(D38&lt;&gt;"COINCIDE","IDENTIDAD",IF(OR(T38="",C38&lt;&gt;T38),"PERFIL_NO_CONSTITUIDO",IF(K38&lt;&gt;V38,IF(V38="ORDEN_ACREDITADO","ORDEN_NO_ACREDITADO","CONTEXTO_NO_CONSTITUIDO"),IF(AND(G38="AUSENTE",H38="",I38=""),"DATO_AUSENTE",IF(AND(G38="CONFLICTO",H38="",I38=""),"CONFLICTO_OBSERVACIONAL",IF(G38&lt;&gt;"UNICA","OBSERVACION_MAL_FORMADA",IF(F38&lt;&gt;U38,"OBSERVACION_INSUFICIENTE",IF(W38="RESULTADO",IF(H38=X38,AA38,IF(OR(H38="orcSucceededWithErrors",H38="orcFailed",H38="orcAborted"),AB38,IF(OR(H38="orcNotStarted",H38="orcInProgress"),"RESULTADO_NO_TERMINAL","LEXEMA_O_FORMA"))),IF(W38="EVENTO_BOOT",IF(H38=X38,AA38,IF(OR(H38="NINGUNO",H38="SOLO_HIBRIDO"),IF(J38="COMPLETA",AB38,"COBERTURA_INSUFICIENTE"),"LEXEMA_O_FORMA")),IF(W38="REQUISITO_SOFT",IF(H38=X38,AA38,IF(H38=Z38,AB38,"LEXEMA_O_FORMA")),IF(W38="EVENTO_PROC",IF(H38=X38,AA38,IF(H38=Z38,IF(J38="COMPLETA",AB38,"COBERTURA_INSUFICIENTE"),"LEXEMA_O_FORMA")),IF(W38="IMAGEN",IF(AND(AND(ISTEXT(H38),LEN(("x"&amp;H38))=65,EXACT(("x"&amp;H38),LOWER(("x"&amp;H38))),ISERROR(SEARCH(" ",("x"&amp;H38))),ISERROR(SEARCH(CHAR(9),("x"&amp;H38))),ISERROR(SEARCH(CHAR(10),("x"&amp;H38))),ISERROR(SEARCH(CHAR(13),("x"&amp;H38))),IFERROR(HEX2DEC(MID(("x"&amp;H38),2,8))&gt;=0,FALSE),IFERROR(HEX2DEC(MID(("x"&amp;H38),10,8))&gt;=0,FALSE),IFERROR(HEX2DEC(MID(("x"&amp;H38),18,8))&gt;=0,FALSE),IFERROR(HEX2DEC(MID(("x"&amp;H38),26,8))&gt;=0,FALSE),IFERROR(HEX2DEC(MID(("x"&amp;H38),34,8))&gt;=0,FALSE),IFERROR(HEX2DEC(MID(("x"&amp;H38),42,8))&gt;=0,FALSE),IFERROR(HEX2DEC(MID(("x"&amp;H38),50,8))&gt;=0,FALSE),IFERROR(HEX2DEC(MID(("x"&amp;H38),58,8))&gt;=0,FALSE)),AND(ISTEXT(I38),LEN(("x"&amp;I38))=65,EXACT(("x"&amp;I38),LOWER(("x"&amp;I38))),ISERROR(SEARCH(" ",("x"&amp;I38))),ISERROR(SEARCH(CHAR(9),("x"&amp;I38))),ISERROR(SEARCH(CHAR(10),("x"&amp;I38))),ISERROR(SEARCH(CHAR(13),("x"&amp;I38))),IFERROR(HEX2DEC(MID(("x"&amp;I38),2,8))&gt;=0,FALSE),IFERROR(HEX2DEC(MID(("x"&amp;I38),10,8))&gt;=0,FALSE),IFERROR(HEX2DEC(MID(("x"&amp;I38),18,8))&gt;=0,FALSE),IFERROR(HEX2DEC(MID(("x"&amp;I38),26,8))&gt;=0,FALSE),IFERROR(HEX2DEC(MID(("x"&amp;I38),34,8))&gt;=0,FALSE),IFERROR(HEX2DEC(MID(("x"&amp;I38),42,8))&gt;=0,FALSE),IFERROR(HEX2DEC(MID(("x"&amp;I38),50,8))&gt;=0,FALSE),IFERROR(HEX2DEC(MID(("x"&amp;I38),58,8))&gt;=0,FALSE))),IF(EXACT("x"&amp;H38,"x"&amp;I38),AA38,AB38),"LEXEMA_O_FORMA"),IF(W38="PRUEBA",IF(H38=X38,AA38,IF(H38=Z38,AB38,"LEXEMA_O_FORMA")),IF(W38="RETIRADA",IF(AND(H38="NINGUNO",I38=""),IF(J38="COMPLETA",AB38,"COBERTURA_INSUFICIENTE"),IF(AND(OR(H38="uoInstallation",H38="uoUninstallation"),OR(I38="orcSucceeded",I38="orcSucceededWithErrors",I38="orcFailed",I38="orcAborted",I38="orcInProgress",I38="orcNotStarted")),IF(AND(H38=X38,I38=Y38),AA38,IF(AND(H38=X38,OR(I38="orcSucceededWithErrors",I38="orcInProgress",I38="orcNotStarted")),"RESULTADO_RETIRADA_INCIERTO",IF(J38="COMPLETA",AB38,"COBERTURA_INSUFICIENTE"))),"LEXEMA_O_FORMA")),IF(W38="CAMBIO",IF(OR(H38="CAMBIO",H38="CAMBIO_Y_RETORNO"),AA38,IF(OR(H38="NINGUNO",H38="SOLO_RENOMBRE"),IF(J38="COMPLETA",AB38,"COBERTURA_INSUFICIENTE"),"LEXEMA_O_FORMA")),IF(W38="RESTAURACION",IF(H38=X38,AA38,IF(OR(H38="NINGUNO",H38="RESTAURACION_POSTERIOR",H38="RESTAURACION_FALLIDA"),IF(J38="COMPLETA",AB38,"COBERTURA_INSUFICIENTE"),"LEXEMA_O_FORMA")),"PERFIL_NO_CONSTITUIDO"))))))))))))))))))</x:f>
        <x:v>IDENTIDAD</x:v>
      </x:c>
      <x:c r="R38" s="12" t="str">
        <x:f>IF(AND(L38=O38,M38=P38,N38=Q38),"PASA","NO_PASA")</x:f>
        <x:v>PASA</x:v>
      </x:c>
      <x:c r="S38" s="4" t="str">
        <x:v>El testigo pertenece a otro sujeto; no se recicla su dato.</x:v>
      </x:c>
      <x:c r="T38" s="12" t="str">
        <x:f>IFERROR(INDEX('55_Codificacion_ensayo'!$B$5:$B$13,MATCH(B38,'55_Codificacion_ensayo'!$A$5:$A$13,0)),"")</x:f>
        <x:v>REQUISITO-SOFTWARE-INDIVIDUAL-0.1</x:v>
      </x:c>
      <x:c r="U38" s="12" t="str">
        <x:f>IFERROR(INDEX('55_Codificacion_ensayo'!$C$5:$C$13,MATCH(B38,'55_Codificacion_ensayo'!$A$5:$A$13,0)),"")</x:f>
        <x:v>INSTRUCCION_ESPECIFICA</x:v>
      </x:c>
      <x:c r="V38" s="12" t="str">
        <x:f>IFERROR(INDEX('55_Codificacion_ensayo'!$D$5:$D$13,MATCH(B38,'55_Codificacion_ensayo'!$A$5:$A$13,0)),"")</x:f>
        <x:v>UN_SOFTWARE</x:v>
      </x:c>
      <x:c r="W38" s="12" t="str">
        <x:f>IFERROR(INDEX('55_Codificacion_ensayo'!$E$5:$E$13,MATCH(B38,'55_Codificacion_ensayo'!$A$5:$A$13,0)),"")</x:f>
        <x:v>REQUISITO_SOFT</x:v>
      </x:c>
      <x:c r="X38" s="12" t="str">
        <x:f>IFERROR(INDEX('55_Codificacion_ensayo'!$F$5:$F$13,MATCH(B38,'55_Codificacion_ensayo'!$A$5:$A$13,0)),"")</x:f>
        <x:v>true</x:v>
      </x:c>
      <x:c r="Y38" s="12" t="str">
        <x:f>IFERROR(INDEX('55_Codificacion_ensayo'!$G$5:$G$13,MATCH(B38,'55_Codificacion_ensayo'!$A$5:$A$13,0)),"")</x:f>
      </x:c>
      <x:c r="Z38" s="12" t="str">
        <x:f>IFERROR(INDEX('55_Codificacion_ensayo'!$H$5:$H$13,MATCH(B38,'55_Codificacion_ensayo'!$A$5:$A$13,0)),"")</x:f>
        <x:v>false</x:v>
      </x:c>
      <x:c r="AA38" s="12" t="str">
        <x:f>IFERROR(INDEX('55_Codificacion_ensayo'!$I$5:$I$13,MATCH(B38,'55_Codificacion_ensayo'!$A$5:$A$13,0)),"")</x:f>
        <x:v>REQUISITO_SOFTWARE_SI</x:v>
      </x:c>
      <x:c r="AB38" s="12" t="str">
        <x:f>IFERROR(INDEX('55_Codificacion_ensayo'!$J$5:$J$13,MATCH(B38,'55_Codificacion_ensayo'!$A$5:$A$13,0)),"")</x:f>
        <x:v>REQUISITO_SOFTWARE_NO</x:v>
      </x:c>
    </x:row>
    <x:row r="39" ht="47" customHeight="1">
      <x:c r="A39" s="4" t="str">
        <x:v>L10-04-07</x:v>
      </x:c>
      <x:c r="B39" s="4" t="str">
        <x:v>PAR-CYB-REINICIO-SOFTWARE-REQUERIDO-001</x:v>
      </x:c>
      <x:c r="C39" s="4" t="str">
        <x:v>REQUISITO-SOFTWARE-INDIVIDUAL-0.1</x:v>
      </x:c>
      <x:c r="D39" s="4" t="str">
        <x:v>COINCIDE</x:v>
      </x:c>
      <x:c r="E39" s="4" t="str">
        <x:v>LEGIBLE</x:v>
      </x:c>
      <x:c r="F39" s="4" t="str">
        <x:v>FUENTE_GENERAL</x:v>
      </x:c>
      <x:c r="G39" s="4" t="str">
        <x:v>UNICA</x:v>
      </x:c>
      <x:c r="H39" s="4" t="str">
        <x:v>true</x:v>
      </x:c>
      <x:c r="I39" s="4" t="str"/>
      <x:c r="J39" s="4" t="str">
        <x:v>COMPLETA</x:v>
      </x:c>
      <x:c r="K39" s="4" t="str">
        <x:v>UN_SOFTWARE</x:v>
      </x:c>
      <x:c r="L39" s="4" t="str">
        <x:v>VALIDA</x:v>
      </x:c>
      <x:c r="M39" s="4" t="str">
        <x:v>U</x:v>
      </x:c>
      <x:c r="N39" s="4" t="str">
        <x:v>OBSERVACION_INSUFICIENTE</x:v>
      </x:c>
      <x:c r="O39" s="12" t="str">
        <x:f>IF(Q39="SIN_EJECUCION_DOMINIO","FALLO_CAPTURA",IF(OR(Q39="CAPTURA_MAL_FORMADA",Q39="IDENTIDAD",Q39="OBSERVACION_MAL_FORMADA",Q39="LEXEMA_O_FORMA"),"NO_ADMISION",IF(OR(Q39="PERFIL_NO_CONSTITUIDO",Q39="RESULTADO_NO_TERMINAL"),"FUERA_PERFIL",IF(Q39="CONTEXTO_NO_CONSTITUIDO","CONFIGURACION_PENDIENTE","VALIDA"))))</x:f>
        <x:v>VALIDA</x:v>
      </x:c>
      <x:c r="P39" s="12" t="str">
        <x:f>IF(O39&lt;&gt;"VALIDA","",IF(Q39=AA39,"1",IF(Q39=AB39,"0","U")))</x:f>
        <x:v>U</x:v>
      </x:c>
      <x:c r="Q39" s="12" t="str">
        <x:f>IF(E39="FALLO","SIN_EJECUCION_DOMINIO",IF(E39&lt;&gt;"LEGIBLE","CAPTURA_MAL_FORMADA",IF(D39&lt;&gt;"COINCIDE","IDENTIDAD",IF(OR(T39="",C39&lt;&gt;T39),"PERFIL_NO_CONSTITUIDO",IF(K39&lt;&gt;V39,IF(V39="ORDEN_ACREDITADO","ORDEN_NO_ACREDITADO","CONTEXTO_NO_CONSTITUIDO"),IF(AND(G39="AUSENTE",H39="",I39=""),"DATO_AUSENTE",IF(AND(G39="CONFLICTO",H39="",I39=""),"CONFLICTO_OBSERVACIONAL",IF(G39&lt;&gt;"UNICA","OBSERVACION_MAL_FORMADA",IF(F39&lt;&gt;U39,"OBSERVACION_INSUFICIENTE",IF(W39="RESULTADO",IF(H39=X39,AA39,IF(OR(H39="orcSucceededWithErrors",H39="orcFailed",H39="orcAborted"),AB39,IF(OR(H39="orcNotStarted",H39="orcInProgress"),"RESULTADO_NO_TERMINAL","LEXEMA_O_FORMA"))),IF(W39="EVENTO_BOOT",IF(H39=X39,AA39,IF(OR(H39="NINGUNO",H39="SOLO_HIBRIDO"),IF(J39="COMPLETA",AB39,"COBERTURA_INSUFICIENTE"),"LEXEMA_O_FORMA")),IF(W39="REQUISITO_SOFT",IF(H39=X39,AA39,IF(H39=Z39,AB39,"LEXEMA_O_FORMA")),IF(W39="EVENTO_PROC",IF(H39=X39,AA39,IF(H39=Z39,IF(J39="COMPLETA",AB39,"COBERTURA_INSUFICIENTE"),"LEXEMA_O_FORMA")),IF(W39="IMAGEN",IF(AND(AND(ISTEXT(H39),LEN(("x"&amp;H39))=65,EXACT(("x"&amp;H39),LOWER(("x"&amp;H39))),ISERROR(SEARCH(" ",("x"&amp;H39))),ISERROR(SEARCH(CHAR(9),("x"&amp;H39))),ISERROR(SEARCH(CHAR(10),("x"&amp;H39))),ISERROR(SEARCH(CHAR(13),("x"&amp;H39))),IFERROR(HEX2DEC(MID(("x"&amp;H39),2,8))&gt;=0,FALSE),IFERROR(HEX2DEC(MID(("x"&amp;H39),10,8))&gt;=0,FALSE),IFERROR(HEX2DEC(MID(("x"&amp;H39),18,8))&gt;=0,FALSE),IFERROR(HEX2DEC(MID(("x"&amp;H39),26,8))&gt;=0,FALSE),IFERROR(HEX2DEC(MID(("x"&amp;H39),34,8))&gt;=0,FALSE),IFERROR(HEX2DEC(MID(("x"&amp;H39),42,8))&gt;=0,FALSE),IFERROR(HEX2DEC(MID(("x"&amp;H39),50,8))&gt;=0,FALSE),IFERROR(HEX2DEC(MID(("x"&amp;H39),58,8))&gt;=0,FALSE)),AND(ISTEXT(I39),LEN(("x"&amp;I39))=65,EXACT(("x"&amp;I39),LOWER(("x"&amp;I39))),ISERROR(SEARCH(" ",("x"&amp;I39))),ISERROR(SEARCH(CHAR(9),("x"&amp;I39))),ISERROR(SEARCH(CHAR(10),("x"&amp;I39))),ISERROR(SEARCH(CHAR(13),("x"&amp;I39))),IFERROR(HEX2DEC(MID(("x"&amp;I39),2,8))&gt;=0,FALSE),IFERROR(HEX2DEC(MID(("x"&amp;I39),10,8))&gt;=0,FALSE),IFERROR(HEX2DEC(MID(("x"&amp;I39),18,8))&gt;=0,FALSE),IFERROR(HEX2DEC(MID(("x"&amp;I39),26,8))&gt;=0,FALSE),IFERROR(HEX2DEC(MID(("x"&amp;I39),34,8))&gt;=0,FALSE),IFERROR(HEX2DEC(MID(("x"&amp;I39),42,8))&gt;=0,FALSE),IFERROR(HEX2DEC(MID(("x"&amp;I39),50,8))&gt;=0,FALSE),IFERROR(HEX2DEC(MID(("x"&amp;I39),58,8))&gt;=0,FALSE))),IF(EXACT("x"&amp;H39,"x"&amp;I39),AA39,AB39),"LEXEMA_O_FORMA"),IF(W39="PRUEBA",IF(H39=X39,AA39,IF(H39=Z39,AB39,"LEXEMA_O_FORMA")),IF(W39="RETIRADA",IF(AND(H39="NINGUNO",I39=""),IF(J39="COMPLETA",AB39,"COBERTURA_INSUFICIENTE"),IF(AND(OR(H39="uoInstallation",H39="uoUninstallation"),OR(I39="orcSucceeded",I39="orcSucceededWithErrors",I39="orcFailed",I39="orcAborted",I39="orcInProgress",I39="orcNotStarted")),IF(AND(H39=X39,I39=Y39),AA39,IF(AND(H39=X39,OR(I39="orcSucceededWithErrors",I39="orcInProgress",I39="orcNotStarted")),"RESULTADO_RETIRADA_INCIERTO",IF(J39="COMPLETA",AB39,"COBERTURA_INSUFICIENTE"))),"LEXEMA_O_FORMA")),IF(W39="CAMBIO",IF(OR(H39="CAMBIO",H39="CAMBIO_Y_RETORNO"),AA39,IF(OR(H39="NINGUNO",H39="SOLO_RENOMBRE"),IF(J39="COMPLETA",AB39,"COBERTURA_INSUFICIENTE"),"LEXEMA_O_FORMA")),IF(W39="RESTAURACION",IF(H39=X39,AA39,IF(OR(H39="NINGUNO",H39="RESTAURACION_POSTERIOR",H39="RESTAURACION_FALLIDA"),IF(J39="COMPLETA",AB39,"COBERTURA_INSUFICIENTE"),"LEXEMA_O_FORMA")),"PERFIL_NO_CONSTITUIDO"))))))))))))))))))</x:f>
        <x:v>OBSERVACION_INSUFICIENTE</x:v>
      </x:c>
      <x:c r="R39" s="12" t="str">
        <x:f>IF(AND(L39=O39,M39=P39,N39=Q39),"PASA","NO_PASA")</x:f>
        <x:v>PASA</x:v>
      </x:c>
      <x:c r="S39" s="4" t="str">
        <x:v>Una fuente del dominio no sustituye la observación específica del episodio.</x:v>
      </x:c>
      <x:c r="T39" s="12" t="str">
        <x:f>IFERROR(INDEX('55_Codificacion_ensayo'!$B$5:$B$13,MATCH(B39,'55_Codificacion_ensayo'!$A$5:$A$13,0)),"")</x:f>
        <x:v>REQUISITO-SOFTWARE-INDIVIDUAL-0.1</x:v>
      </x:c>
      <x:c r="U39" s="12" t="str">
        <x:f>IFERROR(INDEX('55_Codificacion_ensayo'!$C$5:$C$13,MATCH(B39,'55_Codificacion_ensayo'!$A$5:$A$13,0)),"")</x:f>
        <x:v>INSTRUCCION_ESPECIFICA</x:v>
      </x:c>
      <x:c r="V39" s="12" t="str">
        <x:f>IFERROR(INDEX('55_Codificacion_ensayo'!$D$5:$D$13,MATCH(B39,'55_Codificacion_ensayo'!$A$5:$A$13,0)),"")</x:f>
        <x:v>UN_SOFTWARE</x:v>
      </x:c>
      <x:c r="W39" s="12" t="str">
        <x:f>IFERROR(INDEX('55_Codificacion_ensayo'!$E$5:$E$13,MATCH(B39,'55_Codificacion_ensayo'!$A$5:$A$13,0)),"")</x:f>
        <x:v>REQUISITO_SOFT</x:v>
      </x:c>
      <x:c r="X39" s="12" t="str">
        <x:f>IFERROR(INDEX('55_Codificacion_ensayo'!$F$5:$F$13,MATCH(B39,'55_Codificacion_ensayo'!$A$5:$A$13,0)),"")</x:f>
        <x:v>true</x:v>
      </x:c>
      <x:c r="Y39" s="12" t="str">
        <x:f>IFERROR(INDEX('55_Codificacion_ensayo'!$G$5:$G$13,MATCH(B39,'55_Codificacion_ensayo'!$A$5:$A$13,0)),"")</x:f>
      </x:c>
      <x:c r="Z39" s="12" t="str">
        <x:f>IFERROR(INDEX('55_Codificacion_ensayo'!$H$5:$H$13,MATCH(B39,'55_Codificacion_ensayo'!$A$5:$A$13,0)),"")</x:f>
        <x:v>false</x:v>
      </x:c>
      <x:c r="AA39" s="12" t="str">
        <x:f>IFERROR(INDEX('55_Codificacion_ensayo'!$I$5:$I$13,MATCH(B39,'55_Codificacion_ensayo'!$A$5:$A$13,0)),"")</x:f>
        <x:v>REQUISITO_SOFTWARE_SI</x:v>
      </x:c>
      <x:c r="AB39" s="12" t="str">
        <x:f>IFERROR(INDEX('55_Codificacion_ensayo'!$J$5:$J$13,MATCH(B39,'55_Codificacion_ensayo'!$A$5:$A$13,0)),"")</x:f>
        <x:v>REQUISITO_SOFTWARE_NO</x:v>
      </x:c>
    </x:row>
    <x:row r="40" ht="47" customHeight="1">
      <x:c r="A40" s="4" t="str">
        <x:v>L10-04-08</x:v>
      </x:c>
      <x:c r="B40" s="4" t="str">
        <x:v>PAR-CYB-REINICIO-SOFTWARE-REQUERIDO-001</x:v>
      </x:c>
      <x:c r="C40" s="4" t="str">
        <x:v>OTRO_PERFIL</x:v>
      </x:c>
      <x:c r="D40" s="4" t="str">
        <x:v>COINCIDE</x:v>
      </x:c>
      <x:c r="E40" s="4" t="str">
        <x:v>LEGIBLE</x:v>
      </x:c>
      <x:c r="F40" s="4" t="str">
        <x:v>INSTRUCCION_ESPECIFICA</x:v>
      </x:c>
      <x:c r="G40" s="4" t="str">
        <x:v>UNICA</x:v>
      </x:c>
      <x:c r="H40" s="4" t="str">
        <x:v>true</x:v>
      </x:c>
      <x:c r="I40" s="4" t="str"/>
      <x:c r="J40" s="4" t="str">
        <x:v>COMPLETA</x:v>
      </x:c>
      <x:c r="K40" s="4" t="str">
        <x:v>UN_SOFTWARE</x:v>
      </x:c>
      <x:c r="L40" s="4" t="str">
        <x:v>FUERA_PERFIL</x:v>
      </x:c>
      <x:c r="M40" s="4" t="str"/>
      <x:c r="N40" s="4" t="str">
        <x:v>PERFIL_NO_CONSTITUIDO</x:v>
      </x:c>
      <x:c r="O40" s="12" t="str">
        <x:f>IF(Q40="SIN_EJECUCION_DOMINIO","FALLO_CAPTURA",IF(OR(Q40="CAPTURA_MAL_FORMADA",Q40="IDENTIDAD",Q40="OBSERVACION_MAL_FORMADA",Q40="LEXEMA_O_FORMA"),"NO_ADMISION",IF(OR(Q40="PERFIL_NO_CONSTITUIDO",Q40="RESULTADO_NO_TERMINAL"),"FUERA_PERFIL",IF(Q40="CONTEXTO_NO_CONSTITUIDO","CONFIGURACION_PENDIENTE","VALIDA"))))</x:f>
        <x:v>FUERA_PERFIL</x:v>
      </x:c>
      <x:c r="P40" s="12" t="str">
        <x:f>IF(O40&lt;&gt;"VALIDA","",IF(Q40=AA40,"1",IF(Q40=AB40,"0","U")))</x:f>
      </x:c>
      <x:c r="Q40" s="12" t="str">
        <x:f>IF(E40="FALLO","SIN_EJECUCION_DOMINIO",IF(E40&lt;&gt;"LEGIBLE","CAPTURA_MAL_FORMADA",IF(D40&lt;&gt;"COINCIDE","IDENTIDAD",IF(OR(T40="",C40&lt;&gt;T40),"PERFIL_NO_CONSTITUIDO",IF(K40&lt;&gt;V40,IF(V40="ORDEN_ACREDITADO","ORDEN_NO_ACREDITADO","CONTEXTO_NO_CONSTITUIDO"),IF(AND(G40="AUSENTE",H40="",I40=""),"DATO_AUSENTE",IF(AND(G40="CONFLICTO",H40="",I40=""),"CONFLICTO_OBSERVACIONAL",IF(G40&lt;&gt;"UNICA","OBSERVACION_MAL_FORMADA",IF(F40&lt;&gt;U40,"OBSERVACION_INSUFICIENTE",IF(W40="RESULTADO",IF(H40=X40,AA40,IF(OR(H40="orcSucceededWithErrors",H40="orcFailed",H40="orcAborted"),AB40,IF(OR(H40="orcNotStarted",H40="orcInProgress"),"RESULTADO_NO_TERMINAL","LEXEMA_O_FORMA"))),IF(W40="EVENTO_BOOT",IF(H40=X40,AA40,IF(OR(H40="NINGUNO",H40="SOLO_HIBRIDO"),IF(J40="COMPLETA",AB40,"COBERTURA_INSUFICIENTE"),"LEXEMA_O_FORMA")),IF(W40="REQUISITO_SOFT",IF(H40=X40,AA40,IF(H40=Z40,AB40,"LEXEMA_O_FORMA")),IF(W40="EVENTO_PROC",IF(H40=X40,AA40,IF(H40=Z40,IF(J40="COMPLETA",AB40,"COBERTURA_INSUFICIENTE"),"LEXEMA_O_FORMA")),IF(W40="IMAGEN",IF(AND(AND(ISTEXT(H40),LEN(("x"&amp;H40))=65,EXACT(("x"&amp;H40),LOWER(("x"&amp;H40))),ISERROR(SEARCH(" ",("x"&amp;H40))),ISERROR(SEARCH(CHAR(9),("x"&amp;H40))),ISERROR(SEARCH(CHAR(10),("x"&amp;H40))),ISERROR(SEARCH(CHAR(13),("x"&amp;H40))),IFERROR(HEX2DEC(MID(("x"&amp;H40),2,8))&gt;=0,FALSE),IFERROR(HEX2DEC(MID(("x"&amp;H40),10,8))&gt;=0,FALSE),IFERROR(HEX2DEC(MID(("x"&amp;H40),18,8))&gt;=0,FALSE),IFERROR(HEX2DEC(MID(("x"&amp;H40),26,8))&gt;=0,FALSE),IFERROR(HEX2DEC(MID(("x"&amp;H40),34,8))&gt;=0,FALSE),IFERROR(HEX2DEC(MID(("x"&amp;H40),42,8))&gt;=0,FALSE),IFERROR(HEX2DEC(MID(("x"&amp;H40),50,8))&gt;=0,FALSE),IFERROR(HEX2DEC(MID(("x"&amp;H40),58,8))&gt;=0,FALSE)),AND(ISTEXT(I40),LEN(("x"&amp;I40))=65,EXACT(("x"&amp;I40),LOWER(("x"&amp;I40))),ISERROR(SEARCH(" ",("x"&amp;I40))),ISERROR(SEARCH(CHAR(9),("x"&amp;I40))),ISERROR(SEARCH(CHAR(10),("x"&amp;I40))),ISERROR(SEARCH(CHAR(13),("x"&amp;I40))),IFERROR(HEX2DEC(MID(("x"&amp;I40),2,8))&gt;=0,FALSE),IFERROR(HEX2DEC(MID(("x"&amp;I40),10,8))&gt;=0,FALSE),IFERROR(HEX2DEC(MID(("x"&amp;I40),18,8))&gt;=0,FALSE),IFERROR(HEX2DEC(MID(("x"&amp;I40),26,8))&gt;=0,FALSE),IFERROR(HEX2DEC(MID(("x"&amp;I40),34,8))&gt;=0,FALSE),IFERROR(HEX2DEC(MID(("x"&amp;I40),42,8))&gt;=0,FALSE),IFERROR(HEX2DEC(MID(("x"&amp;I40),50,8))&gt;=0,FALSE),IFERROR(HEX2DEC(MID(("x"&amp;I40),58,8))&gt;=0,FALSE))),IF(EXACT("x"&amp;H40,"x"&amp;I40),AA40,AB40),"LEXEMA_O_FORMA"),IF(W40="PRUEBA",IF(H40=X40,AA40,IF(H40=Z40,AB40,"LEXEMA_O_FORMA")),IF(W40="RETIRADA",IF(AND(H40="NINGUNO",I40=""),IF(J40="COMPLETA",AB40,"COBERTURA_INSUFICIENTE"),IF(AND(OR(H40="uoInstallation",H40="uoUninstallation"),OR(I40="orcSucceeded",I40="orcSucceededWithErrors",I40="orcFailed",I40="orcAborted",I40="orcInProgress",I40="orcNotStarted")),IF(AND(H40=X40,I40=Y40),AA40,IF(AND(H40=X40,OR(I40="orcSucceededWithErrors",I40="orcInProgress",I40="orcNotStarted")),"RESULTADO_RETIRADA_INCIERTO",IF(J40="COMPLETA",AB40,"COBERTURA_INSUFICIENTE"))),"LEXEMA_O_FORMA")),IF(W40="CAMBIO",IF(OR(H40="CAMBIO",H40="CAMBIO_Y_RETORNO"),AA40,IF(OR(H40="NINGUNO",H40="SOLO_RENOMBRE"),IF(J40="COMPLETA",AB40,"COBERTURA_INSUFICIENTE"),"LEXEMA_O_FORMA")),IF(W40="RESTAURACION",IF(H40=X40,AA40,IF(OR(H40="NINGUNO",H40="RESTAURACION_POSTERIOR",H40="RESTAURACION_FALLIDA"),IF(J40="COMPLETA",AB40,"COBERTURA_INSUFICIENTE"),"LEXEMA_O_FORMA")),"PERFIL_NO_CONSTITUIDO"))))))))))))))))))</x:f>
        <x:v>PERFIL_NO_CONSTITUIDO</x:v>
      </x:c>
      <x:c r="R40" s="12" t="str">
        <x:f>IF(AND(L40=O40,M40=P40,N40=Q40),"PASA","NO_PASA")</x:f>
        <x:v>PASA</x:v>
      </x:c>
      <x:c r="S40" s="4" t="str">
        <x:v>Perfil de otro producto no se normaliza por analogía.</x:v>
      </x:c>
      <x:c r="T40" s="12" t="str">
        <x:f>IFERROR(INDEX('55_Codificacion_ensayo'!$B$5:$B$13,MATCH(B40,'55_Codificacion_ensayo'!$A$5:$A$13,0)),"")</x:f>
        <x:v>REQUISITO-SOFTWARE-INDIVIDUAL-0.1</x:v>
      </x:c>
      <x:c r="U40" s="12" t="str">
        <x:f>IFERROR(INDEX('55_Codificacion_ensayo'!$C$5:$C$13,MATCH(B40,'55_Codificacion_ensayo'!$A$5:$A$13,0)),"")</x:f>
        <x:v>INSTRUCCION_ESPECIFICA</x:v>
      </x:c>
      <x:c r="V40" s="12" t="str">
        <x:f>IFERROR(INDEX('55_Codificacion_ensayo'!$D$5:$D$13,MATCH(B40,'55_Codificacion_ensayo'!$A$5:$A$13,0)),"")</x:f>
        <x:v>UN_SOFTWARE</x:v>
      </x:c>
      <x:c r="W40" s="12" t="str">
        <x:f>IFERROR(INDEX('55_Codificacion_ensayo'!$E$5:$E$13,MATCH(B40,'55_Codificacion_ensayo'!$A$5:$A$13,0)),"")</x:f>
        <x:v>REQUISITO_SOFT</x:v>
      </x:c>
      <x:c r="X40" s="12" t="str">
        <x:f>IFERROR(INDEX('55_Codificacion_ensayo'!$F$5:$F$13,MATCH(B40,'55_Codificacion_ensayo'!$A$5:$A$13,0)),"")</x:f>
        <x:v>true</x:v>
      </x:c>
      <x:c r="Y40" s="12" t="str">
        <x:f>IFERROR(INDEX('55_Codificacion_ensayo'!$G$5:$G$13,MATCH(B40,'55_Codificacion_ensayo'!$A$5:$A$13,0)),"")</x:f>
      </x:c>
      <x:c r="Z40" s="12" t="str">
        <x:f>IFERROR(INDEX('55_Codificacion_ensayo'!$H$5:$H$13,MATCH(B40,'55_Codificacion_ensayo'!$A$5:$A$13,0)),"")</x:f>
        <x:v>false</x:v>
      </x:c>
      <x:c r="AA40" s="12" t="str">
        <x:f>IFERROR(INDEX('55_Codificacion_ensayo'!$I$5:$I$13,MATCH(B40,'55_Codificacion_ensayo'!$A$5:$A$13,0)),"")</x:f>
        <x:v>REQUISITO_SOFTWARE_SI</x:v>
      </x:c>
      <x:c r="AB40" s="12" t="str">
        <x:f>IFERROR(INDEX('55_Codificacion_ensayo'!$J$5:$J$13,MATCH(B40,'55_Codificacion_ensayo'!$A$5:$A$13,0)),"")</x:f>
        <x:v>REQUISITO_SOFTWARE_NO</x:v>
      </x:c>
    </x:row>
    <x:row r="41" ht="47" customHeight="1">
      <x:c r="A41" s="4" t="str">
        <x:v>L10-04-09</x:v>
      </x:c>
      <x:c r="B41" s="4" t="str">
        <x:v>PAR-CYB-REINICIO-SOFTWARE-REQUERIDO-001</x:v>
      </x:c>
      <x:c r="C41" s="4" t="str">
        <x:v>REQUISITO-SOFTWARE-INDIVIDUAL-0.1</x:v>
      </x:c>
      <x:c r="D41" s="4" t="str">
        <x:v>COINCIDE</x:v>
      </x:c>
      <x:c r="E41" s="4" t="str">
        <x:v>LEGIBLE</x:v>
      </x:c>
      <x:c r="F41" s="4" t="str">
        <x:v>INSTRUCCION_ESPECIFICA</x:v>
      </x:c>
      <x:c r="G41" s="4" t="str">
        <x:v>UNICA</x:v>
      </x:c>
      <x:c r="H41" s="4" t="str">
        <x:v>true false desconocido</x:v>
      </x:c>
      <x:c r="I41" s="4" t="str"/>
      <x:c r="J41" s="4" t="str">
        <x:v>COMPLETA</x:v>
      </x:c>
      <x:c r="K41" s="4" t="str">
        <x:v>UN_SOFTWARE</x:v>
      </x:c>
      <x:c r="L41" s="4" t="str">
        <x:v>NO_ADMISION</x:v>
      </x:c>
      <x:c r="M41" s="4" t="str"/>
      <x:c r="N41" s="4" t="str">
        <x:v>LEXEMA_O_FORMA</x:v>
      </x:c>
      <x:c r="O41" s="12" t="str">
        <x:f>IF(Q41="SIN_EJECUCION_DOMINIO","FALLO_CAPTURA",IF(OR(Q41="CAPTURA_MAL_FORMADA",Q41="IDENTIDAD",Q41="OBSERVACION_MAL_FORMADA",Q41="LEXEMA_O_FORMA"),"NO_ADMISION",IF(OR(Q41="PERFIL_NO_CONSTITUIDO",Q41="RESULTADO_NO_TERMINAL"),"FUERA_PERFIL",IF(Q41="CONTEXTO_NO_CONSTITUIDO","CONFIGURACION_PENDIENTE","VALIDA"))))</x:f>
        <x:v>NO_ADMISION</x:v>
      </x:c>
      <x:c r="P41" s="12" t="str">
        <x:f>IF(O41&lt;&gt;"VALIDA","",IF(Q41=AA41,"1",IF(Q41=AB41,"0","U")))</x:f>
      </x:c>
      <x:c r="Q41" s="12" t="str">
        <x:f>IF(E41="FALLO","SIN_EJECUCION_DOMINIO",IF(E41&lt;&gt;"LEGIBLE","CAPTURA_MAL_FORMADA",IF(D41&lt;&gt;"COINCIDE","IDENTIDAD",IF(OR(T41="",C41&lt;&gt;T41),"PERFIL_NO_CONSTITUIDO",IF(K41&lt;&gt;V41,IF(V41="ORDEN_ACREDITADO","ORDEN_NO_ACREDITADO","CONTEXTO_NO_CONSTITUIDO"),IF(AND(G41="AUSENTE",H41="",I41=""),"DATO_AUSENTE",IF(AND(G41="CONFLICTO",H41="",I41=""),"CONFLICTO_OBSERVACIONAL",IF(G41&lt;&gt;"UNICA","OBSERVACION_MAL_FORMADA",IF(F41&lt;&gt;U41,"OBSERVACION_INSUFICIENTE",IF(W41="RESULTADO",IF(H41=X41,AA41,IF(OR(H41="orcSucceededWithErrors",H41="orcFailed",H41="orcAborted"),AB41,IF(OR(H41="orcNotStarted",H41="orcInProgress"),"RESULTADO_NO_TERMINAL","LEXEMA_O_FORMA"))),IF(W41="EVENTO_BOOT",IF(H41=X41,AA41,IF(OR(H41="NINGUNO",H41="SOLO_HIBRIDO"),IF(J41="COMPLETA",AB41,"COBERTURA_INSUFICIENTE"),"LEXEMA_O_FORMA")),IF(W41="REQUISITO_SOFT",IF(H41=X41,AA41,IF(H41=Z41,AB41,"LEXEMA_O_FORMA")),IF(W41="EVENTO_PROC",IF(H41=X41,AA41,IF(H41=Z41,IF(J41="COMPLETA",AB41,"COBERTURA_INSUFICIENTE"),"LEXEMA_O_FORMA")),IF(W41="IMAGEN",IF(AND(AND(ISTEXT(H41),LEN(("x"&amp;H41))=65,EXACT(("x"&amp;H41),LOWER(("x"&amp;H41))),ISERROR(SEARCH(" ",("x"&amp;H41))),ISERROR(SEARCH(CHAR(9),("x"&amp;H41))),ISERROR(SEARCH(CHAR(10),("x"&amp;H41))),ISERROR(SEARCH(CHAR(13),("x"&amp;H41))),IFERROR(HEX2DEC(MID(("x"&amp;H41),2,8))&gt;=0,FALSE),IFERROR(HEX2DEC(MID(("x"&amp;H41),10,8))&gt;=0,FALSE),IFERROR(HEX2DEC(MID(("x"&amp;H41),18,8))&gt;=0,FALSE),IFERROR(HEX2DEC(MID(("x"&amp;H41),26,8))&gt;=0,FALSE),IFERROR(HEX2DEC(MID(("x"&amp;H41),34,8))&gt;=0,FALSE),IFERROR(HEX2DEC(MID(("x"&amp;H41),42,8))&gt;=0,FALSE),IFERROR(HEX2DEC(MID(("x"&amp;H41),50,8))&gt;=0,FALSE),IFERROR(HEX2DEC(MID(("x"&amp;H41),58,8))&gt;=0,FALSE)),AND(ISTEXT(I41),LEN(("x"&amp;I41))=65,EXACT(("x"&amp;I41),LOWER(("x"&amp;I41))),ISERROR(SEARCH(" ",("x"&amp;I41))),ISERROR(SEARCH(CHAR(9),("x"&amp;I41))),ISERROR(SEARCH(CHAR(10),("x"&amp;I41))),ISERROR(SEARCH(CHAR(13),("x"&amp;I41))),IFERROR(HEX2DEC(MID(("x"&amp;I41),2,8))&gt;=0,FALSE),IFERROR(HEX2DEC(MID(("x"&amp;I41),10,8))&gt;=0,FALSE),IFERROR(HEX2DEC(MID(("x"&amp;I41),18,8))&gt;=0,FALSE),IFERROR(HEX2DEC(MID(("x"&amp;I41),26,8))&gt;=0,FALSE),IFERROR(HEX2DEC(MID(("x"&amp;I41),34,8))&gt;=0,FALSE),IFERROR(HEX2DEC(MID(("x"&amp;I41),42,8))&gt;=0,FALSE),IFERROR(HEX2DEC(MID(("x"&amp;I41),50,8))&gt;=0,FALSE),IFERROR(HEX2DEC(MID(("x"&amp;I41),58,8))&gt;=0,FALSE))),IF(EXACT("x"&amp;H41,"x"&amp;I41),AA41,AB41),"LEXEMA_O_FORMA"),IF(W41="PRUEBA",IF(H41=X41,AA41,IF(H41=Z41,AB41,"LEXEMA_O_FORMA")),IF(W41="RETIRADA",IF(AND(H41="NINGUNO",I41=""),IF(J41="COMPLETA",AB41,"COBERTURA_INSUFICIENTE"),IF(AND(OR(H41="uoInstallation",H41="uoUninstallation"),OR(I41="orcSucceeded",I41="orcSucceededWithErrors",I41="orcFailed",I41="orcAborted",I41="orcInProgress",I41="orcNotStarted")),IF(AND(H41=X41,I41=Y41),AA41,IF(AND(H41=X41,OR(I41="orcSucceededWithErrors",I41="orcInProgress",I41="orcNotStarted")),"RESULTADO_RETIRADA_INCIERTO",IF(J41="COMPLETA",AB41,"COBERTURA_INSUFICIENTE"))),"LEXEMA_O_FORMA")),IF(W41="CAMBIO",IF(OR(H41="CAMBIO",H41="CAMBIO_Y_RETORNO"),AA41,IF(OR(H41="NINGUNO",H41="SOLO_RENOMBRE"),IF(J41="COMPLETA",AB41,"COBERTURA_INSUFICIENTE"),"LEXEMA_O_FORMA")),IF(W41="RESTAURACION",IF(H41=X41,AA41,IF(OR(H41="NINGUNO",H41="RESTAURACION_POSTERIOR",H41="RESTAURACION_FALLIDA"),IF(J41="COMPLETA",AB41,"COBERTURA_INSUFICIENTE"),"LEXEMA_O_FORMA")),"PERFIL_NO_CONSTITUIDO"))))))))))))))))))</x:f>
        <x:v>LEXEMA_O_FORMA</x:v>
      </x:c>
      <x:c r="R41" s="12" t="str">
        <x:f>IF(AND(L41=O41,M41=P41,N41=Q41),"PASA","NO_PASA")</x:f>
        <x:v>PASA</x:v>
      </x:c>
      <x:c r="S41" s="4" t="str">
        <x:v>La observación usa un lexema ajeno al contrato.</x:v>
      </x:c>
      <x:c r="T41" s="12" t="str">
        <x:f>IFERROR(INDEX('55_Codificacion_ensayo'!$B$5:$B$13,MATCH(B41,'55_Codificacion_ensayo'!$A$5:$A$13,0)),"")</x:f>
        <x:v>REQUISITO-SOFTWARE-INDIVIDUAL-0.1</x:v>
      </x:c>
      <x:c r="U41" s="12" t="str">
        <x:f>IFERROR(INDEX('55_Codificacion_ensayo'!$C$5:$C$13,MATCH(B41,'55_Codificacion_ensayo'!$A$5:$A$13,0)),"")</x:f>
        <x:v>INSTRUCCION_ESPECIFICA</x:v>
      </x:c>
      <x:c r="V41" s="12" t="str">
        <x:f>IFERROR(INDEX('55_Codificacion_ensayo'!$D$5:$D$13,MATCH(B41,'55_Codificacion_ensayo'!$A$5:$A$13,0)),"")</x:f>
        <x:v>UN_SOFTWARE</x:v>
      </x:c>
      <x:c r="W41" s="12" t="str">
        <x:f>IFERROR(INDEX('55_Codificacion_ensayo'!$E$5:$E$13,MATCH(B41,'55_Codificacion_ensayo'!$A$5:$A$13,0)),"")</x:f>
        <x:v>REQUISITO_SOFT</x:v>
      </x:c>
      <x:c r="X41" s="12" t="str">
        <x:f>IFERROR(INDEX('55_Codificacion_ensayo'!$F$5:$F$13,MATCH(B41,'55_Codificacion_ensayo'!$A$5:$A$13,0)),"")</x:f>
        <x:v>true</x:v>
      </x:c>
      <x:c r="Y41" s="12" t="str">
        <x:f>IFERROR(INDEX('55_Codificacion_ensayo'!$G$5:$G$13,MATCH(B41,'55_Codificacion_ensayo'!$A$5:$A$13,0)),"")</x:f>
      </x:c>
      <x:c r="Z41" s="12" t="str">
        <x:f>IFERROR(INDEX('55_Codificacion_ensayo'!$H$5:$H$13,MATCH(B41,'55_Codificacion_ensayo'!$A$5:$A$13,0)),"")</x:f>
        <x:v>false</x:v>
      </x:c>
      <x:c r="AA41" s="12" t="str">
        <x:f>IFERROR(INDEX('55_Codificacion_ensayo'!$I$5:$I$13,MATCH(B41,'55_Codificacion_ensayo'!$A$5:$A$13,0)),"")</x:f>
        <x:v>REQUISITO_SOFTWARE_SI</x:v>
      </x:c>
      <x:c r="AB41" s="12" t="str">
        <x:f>IFERROR(INDEX('55_Codificacion_ensayo'!$J$5:$J$13,MATCH(B41,'55_Codificacion_ensayo'!$A$5:$A$13,0)),"")</x:f>
        <x:v>REQUISITO_SOFTWARE_NO</x:v>
      </x:c>
    </x:row>
    <x:row r="42" ht="47" customHeight="1">
      <x:c r="A42" s="4" t="str">
        <x:v>L10-04-10</x:v>
      </x:c>
      <x:c r="B42" s="4" t="str">
        <x:v>PAR-CYB-REINICIO-SOFTWARE-REQUERIDO-001</x:v>
      </x:c>
      <x:c r="C42" s="4" t="str">
        <x:v>REQUISITO-SOFTWARE-INDIVIDUAL-0.1</x:v>
      </x:c>
      <x:c r="D42" s="4" t="str">
        <x:v>COINCIDE</x:v>
      </x:c>
      <x:c r="E42" s="4" t="str">
        <x:v>LEGIBLE</x:v>
      </x:c>
      <x:c r="F42" s="4" t="str">
        <x:v>INSTRUCCION_ESPECIFICA</x:v>
      </x:c>
      <x:c r="G42" s="4" t="str">
        <x:v>UNICA</x:v>
      </x:c>
      <x:c r="H42" s="4" t="str">
        <x:v>true</x:v>
      </x:c>
      <x:c r="I42" s="4" t="str"/>
      <x:c r="J42" s="4" t="str">
        <x:v>COMPLETA</x:v>
      </x:c>
      <x:c r="K42" s="4" t="str">
        <x:v>PENDIENTE</x:v>
      </x:c>
      <x:c r="L42" s="4" t="str">
        <x:v>CONFIGURACION_PENDIENTE</x:v>
      </x:c>
      <x:c r="M42" s="4" t="str"/>
      <x:c r="N42" s="4" t="str">
        <x:v>CONTEXTO_NO_CONSTITUIDO</x:v>
      </x:c>
      <x:c r="O42" s="12" t="str">
        <x:f>IF(Q42="SIN_EJECUCION_DOMINIO","FALLO_CAPTURA",IF(OR(Q42="CAPTURA_MAL_FORMADA",Q42="IDENTIDAD",Q42="OBSERVACION_MAL_FORMADA",Q42="LEXEMA_O_FORMA"),"NO_ADMISION",IF(OR(Q42="PERFIL_NO_CONSTITUIDO",Q42="RESULTADO_NO_TERMINAL"),"FUERA_PERFIL",IF(Q42="CONTEXTO_NO_CONSTITUIDO","CONFIGURACION_PENDIENTE","VALIDA"))))</x:f>
        <x:v>CONFIGURACION_PENDIENTE</x:v>
      </x:c>
      <x:c r="P42" s="12" t="str">
        <x:f>IF(O42&lt;&gt;"VALIDA","",IF(Q42=AA42,"1",IF(Q42=AB42,"0","U")))</x:f>
      </x:c>
      <x:c r="Q42" s="12" t="str">
        <x:f>IF(E42="FALLO","SIN_EJECUCION_DOMINIO",IF(E42&lt;&gt;"LEGIBLE","CAPTURA_MAL_FORMADA",IF(D42&lt;&gt;"COINCIDE","IDENTIDAD",IF(OR(T42="",C42&lt;&gt;T42),"PERFIL_NO_CONSTITUIDO",IF(K42&lt;&gt;V42,IF(V42="ORDEN_ACREDITADO","ORDEN_NO_ACREDITADO","CONTEXTO_NO_CONSTITUIDO"),IF(AND(G42="AUSENTE",H42="",I42=""),"DATO_AUSENTE",IF(AND(G42="CONFLICTO",H42="",I42=""),"CONFLICTO_OBSERVACIONAL",IF(G42&lt;&gt;"UNICA","OBSERVACION_MAL_FORMADA",IF(F42&lt;&gt;U42,"OBSERVACION_INSUFICIENTE",IF(W42="RESULTADO",IF(H42=X42,AA42,IF(OR(H42="orcSucceededWithErrors",H42="orcFailed",H42="orcAborted"),AB42,IF(OR(H42="orcNotStarted",H42="orcInProgress"),"RESULTADO_NO_TERMINAL","LEXEMA_O_FORMA"))),IF(W42="EVENTO_BOOT",IF(H42=X42,AA42,IF(OR(H42="NINGUNO",H42="SOLO_HIBRIDO"),IF(J42="COMPLETA",AB42,"COBERTURA_INSUFICIENTE"),"LEXEMA_O_FORMA")),IF(W42="REQUISITO_SOFT",IF(H42=X42,AA42,IF(H42=Z42,AB42,"LEXEMA_O_FORMA")),IF(W42="EVENTO_PROC",IF(H42=X42,AA42,IF(H42=Z42,IF(J42="COMPLETA",AB42,"COBERTURA_INSUFICIENTE"),"LEXEMA_O_FORMA")),IF(W42="IMAGEN",IF(AND(AND(ISTEXT(H42),LEN(("x"&amp;H42))=65,EXACT(("x"&amp;H42),LOWER(("x"&amp;H42))),ISERROR(SEARCH(" ",("x"&amp;H42))),ISERROR(SEARCH(CHAR(9),("x"&amp;H42))),ISERROR(SEARCH(CHAR(10),("x"&amp;H42))),ISERROR(SEARCH(CHAR(13),("x"&amp;H42))),IFERROR(HEX2DEC(MID(("x"&amp;H42),2,8))&gt;=0,FALSE),IFERROR(HEX2DEC(MID(("x"&amp;H42),10,8))&gt;=0,FALSE),IFERROR(HEX2DEC(MID(("x"&amp;H42),18,8))&gt;=0,FALSE),IFERROR(HEX2DEC(MID(("x"&amp;H42),26,8))&gt;=0,FALSE),IFERROR(HEX2DEC(MID(("x"&amp;H42),34,8))&gt;=0,FALSE),IFERROR(HEX2DEC(MID(("x"&amp;H42),42,8))&gt;=0,FALSE),IFERROR(HEX2DEC(MID(("x"&amp;H42),50,8))&gt;=0,FALSE),IFERROR(HEX2DEC(MID(("x"&amp;H42),58,8))&gt;=0,FALSE)),AND(ISTEXT(I42),LEN(("x"&amp;I42))=65,EXACT(("x"&amp;I42),LOWER(("x"&amp;I42))),ISERROR(SEARCH(" ",("x"&amp;I42))),ISERROR(SEARCH(CHAR(9),("x"&amp;I42))),ISERROR(SEARCH(CHAR(10),("x"&amp;I42))),ISERROR(SEARCH(CHAR(13),("x"&amp;I42))),IFERROR(HEX2DEC(MID(("x"&amp;I42),2,8))&gt;=0,FALSE),IFERROR(HEX2DEC(MID(("x"&amp;I42),10,8))&gt;=0,FALSE),IFERROR(HEX2DEC(MID(("x"&amp;I42),18,8))&gt;=0,FALSE),IFERROR(HEX2DEC(MID(("x"&amp;I42),26,8))&gt;=0,FALSE),IFERROR(HEX2DEC(MID(("x"&amp;I42),34,8))&gt;=0,FALSE),IFERROR(HEX2DEC(MID(("x"&amp;I42),42,8))&gt;=0,FALSE),IFERROR(HEX2DEC(MID(("x"&amp;I42),50,8))&gt;=0,FALSE),IFERROR(HEX2DEC(MID(("x"&amp;I42),58,8))&gt;=0,FALSE))),IF(EXACT("x"&amp;H42,"x"&amp;I42),AA42,AB42),"LEXEMA_O_FORMA"),IF(W42="PRUEBA",IF(H42=X42,AA42,IF(H42=Z42,AB42,"LEXEMA_O_FORMA")),IF(W42="RETIRADA",IF(AND(H42="NINGUNO",I42=""),IF(J42="COMPLETA",AB42,"COBERTURA_INSUFICIENTE"),IF(AND(OR(H42="uoInstallation",H42="uoUninstallation"),OR(I42="orcSucceeded",I42="orcSucceededWithErrors",I42="orcFailed",I42="orcAborted",I42="orcInProgress",I42="orcNotStarted")),IF(AND(H42=X42,I42=Y42),AA42,IF(AND(H42=X42,OR(I42="orcSucceededWithErrors",I42="orcInProgress",I42="orcNotStarted")),"RESULTADO_RETIRADA_INCIERTO",IF(J42="COMPLETA",AB42,"COBERTURA_INSUFICIENTE"))),"LEXEMA_O_FORMA")),IF(W42="CAMBIO",IF(OR(H42="CAMBIO",H42="CAMBIO_Y_RETORNO"),AA42,IF(OR(H42="NINGUNO",H42="SOLO_RENOMBRE"),IF(J42="COMPLETA",AB42,"COBERTURA_INSUFICIENTE"),"LEXEMA_O_FORMA")),IF(W42="RESTAURACION",IF(H42=X42,AA42,IF(OR(H42="NINGUNO",H42="RESTAURACION_POSTERIOR",H42="RESTAURACION_FALLIDA"),IF(J42="COMPLETA",AB42,"COBERTURA_INSUFICIENTE"),"LEXEMA_O_FORMA")),"PERFIL_NO_CONSTITUIDO"))))))))))))))))))</x:f>
        <x:v>CONTEXTO_NO_CONSTITUIDO</x:v>
      </x:c>
      <x:c r="R42" s="12" t="str">
        <x:f>IF(AND(L42=O42,M42=P42,N42=Q42),"PASA","NO_PASA")</x:f>
        <x:v>PASA</x:v>
      </x:c>
      <x:c r="S42" s="4" t="str">
        <x:v>Falta el contexto profesional que fija qué se está evaluando.</x:v>
      </x:c>
      <x:c r="T42" s="12" t="str">
        <x:f>IFERROR(INDEX('55_Codificacion_ensayo'!$B$5:$B$13,MATCH(B42,'55_Codificacion_ensayo'!$A$5:$A$13,0)),"")</x:f>
        <x:v>REQUISITO-SOFTWARE-INDIVIDUAL-0.1</x:v>
      </x:c>
      <x:c r="U42" s="12" t="str">
        <x:f>IFERROR(INDEX('55_Codificacion_ensayo'!$C$5:$C$13,MATCH(B42,'55_Codificacion_ensayo'!$A$5:$A$13,0)),"")</x:f>
        <x:v>INSTRUCCION_ESPECIFICA</x:v>
      </x:c>
      <x:c r="V42" s="12" t="str">
        <x:f>IFERROR(INDEX('55_Codificacion_ensayo'!$D$5:$D$13,MATCH(B42,'55_Codificacion_ensayo'!$A$5:$A$13,0)),"")</x:f>
        <x:v>UN_SOFTWARE</x:v>
      </x:c>
      <x:c r="W42" s="12" t="str">
        <x:f>IFERROR(INDEX('55_Codificacion_ensayo'!$E$5:$E$13,MATCH(B42,'55_Codificacion_ensayo'!$A$5:$A$13,0)),"")</x:f>
        <x:v>REQUISITO_SOFT</x:v>
      </x:c>
      <x:c r="X42" s="12" t="str">
        <x:f>IFERROR(INDEX('55_Codificacion_ensayo'!$F$5:$F$13,MATCH(B42,'55_Codificacion_ensayo'!$A$5:$A$13,0)),"")</x:f>
        <x:v>true</x:v>
      </x:c>
      <x:c r="Y42" s="12" t="str">
        <x:f>IFERROR(INDEX('55_Codificacion_ensayo'!$G$5:$G$13,MATCH(B42,'55_Codificacion_ensayo'!$A$5:$A$13,0)),"")</x:f>
      </x:c>
      <x:c r="Z42" s="12" t="str">
        <x:f>IFERROR(INDEX('55_Codificacion_ensayo'!$H$5:$H$13,MATCH(B42,'55_Codificacion_ensayo'!$A$5:$A$13,0)),"")</x:f>
        <x:v>false</x:v>
      </x:c>
      <x:c r="AA42" s="12" t="str">
        <x:f>IFERROR(INDEX('55_Codificacion_ensayo'!$I$5:$I$13,MATCH(B42,'55_Codificacion_ensayo'!$A$5:$A$13,0)),"")</x:f>
        <x:v>REQUISITO_SOFTWARE_SI</x:v>
      </x:c>
      <x:c r="AB42" s="12" t="str">
        <x:f>IFERROR(INDEX('55_Codificacion_ensayo'!$J$5:$J$13,MATCH(B42,'55_Codificacion_ensayo'!$A$5:$A$13,0)),"")</x:f>
        <x:v>REQUISITO_SOFTWARE_NO</x:v>
      </x:c>
    </x:row>
    <x:row r="43" ht="47" customHeight="1">
      <x:c r="A43" s="4" t="str">
        <x:v>L10-04-11</x:v>
      </x:c>
      <x:c r="B43" s="4" t="str">
        <x:v>PAR-CYB-REINICIO-SOFTWARE-REQUERIDO-001</x:v>
      </x:c>
      <x:c r="C43" s="4" t="str">
        <x:v>REQUISITO-SOFTWARE-INDIVIDUAL-0.1</x:v>
      </x:c>
      <x:c r="D43" s="4" t="str">
        <x:v>COINCIDE</x:v>
      </x:c>
      <x:c r="E43" s="4" t="str">
        <x:v>LEGIBLE</x:v>
      </x:c>
      <x:c r="F43" s="4" t="str">
        <x:v>INSTRUCCION_ESPECIFICA</x:v>
      </x:c>
      <x:c r="G43" s="4" t="str">
        <x:v>UNICA</x:v>
      </x:c>
      <x:c r="H43" s="4" t="str">
        <x:v>1</x:v>
      </x:c>
      <x:c r="I43" s="4" t="str"/>
      <x:c r="J43" s="4" t="str">
        <x:v>COMPLETA</x:v>
      </x:c>
      <x:c r="K43" s="4" t="str">
        <x:v>UN_SOFTWARE</x:v>
      </x:c>
      <x:c r="L43" s="4" t="str">
        <x:v>NO_ADMISION</x:v>
      </x:c>
      <x:c r="M43" s="4" t="str"/>
      <x:c r="N43" s="4" t="str">
        <x:v>LEXEMA_O_FORMA</x:v>
      </x:c>
      <x:c r="O43" s="12" t="str">
        <x:f>IF(Q43="SIN_EJECUCION_DOMINIO","FALLO_CAPTURA",IF(OR(Q43="CAPTURA_MAL_FORMADA",Q43="IDENTIDAD",Q43="OBSERVACION_MAL_FORMADA",Q43="LEXEMA_O_FORMA"),"NO_ADMISION",IF(OR(Q43="PERFIL_NO_CONSTITUIDO",Q43="RESULTADO_NO_TERMINAL"),"FUERA_PERFIL",IF(Q43="CONTEXTO_NO_CONSTITUIDO","CONFIGURACION_PENDIENTE","VALIDA"))))</x:f>
        <x:v>NO_ADMISION</x:v>
      </x:c>
      <x:c r="P43" s="12" t="str">
        <x:f>IF(O43&lt;&gt;"VALIDA","",IF(Q43=AA43,"1",IF(Q43=AB43,"0","U")))</x:f>
      </x:c>
      <x:c r="Q43" s="12" t="str">
        <x:f>IF(E43="FALLO","SIN_EJECUCION_DOMINIO",IF(E43&lt;&gt;"LEGIBLE","CAPTURA_MAL_FORMADA",IF(D43&lt;&gt;"COINCIDE","IDENTIDAD",IF(OR(T43="",C43&lt;&gt;T43),"PERFIL_NO_CONSTITUIDO",IF(K43&lt;&gt;V43,IF(V43="ORDEN_ACREDITADO","ORDEN_NO_ACREDITADO","CONTEXTO_NO_CONSTITUIDO"),IF(AND(G43="AUSENTE",H43="",I43=""),"DATO_AUSENTE",IF(AND(G43="CONFLICTO",H43="",I43=""),"CONFLICTO_OBSERVACIONAL",IF(G43&lt;&gt;"UNICA","OBSERVACION_MAL_FORMADA",IF(F43&lt;&gt;U43,"OBSERVACION_INSUFICIENTE",IF(W43="RESULTADO",IF(H43=X43,AA43,IF(OR(H43="orcSucceededWithErrors",H43="orcFailed",H43="orcAborted"),AB43,IF(OR(H43="orcNotStarted",H43="orcInProgress"),"RESULTADO_NO_TERMINAL","LEXEMA_O_FORMA"))),IF(W43="EVENTO_BOOT",IF(H43=X43,AA43,IF(OR(H43="NINGUNO",H43="SOLO_HIBRIDO"),IF(J43="COMPLETA",AB43,"COBERTURA_INSUFICIENTE"),"LEXEMA_O_FORMA")),IF(W43="REQUISITO_SOFT",IF(H43=X43,AA43,IF(H43=Z43,AB43,"LEXEMA_O_FORMA")),IF(W43="EVENTO_PROC",IF(H43=X43,AA43,IF(H43=Z43,IF(J43="COMPLETA",AB43,"COBERTURA_INSUFICIENTE"),"LEXEMA_O_FORMA")),IF(W43="IMAGEN",IF(AND(AND(ISTEXT(H43),LEN(("x"&amp;H43))=65,EXACT(("x"&amp;H43),LOWER(("x"&amp;H43))),ISERROR(SEARCH(" ",("x"&amp;H43))),ISERROR(SEARCH(CHAR(9),("x"&amp;H43))),ISERROR(SEARCH(CHAR(10),("x"&amp;H43))),ISERROR(SEARCH(CHAR(13),("x"&amp;H43))),IFERROR(HEX2DEC(MID(("x"&amp;H43),2,8))&gt;=0,FALSE),IFERROR(HEX2DEC(MID(("x"&amp;H43),10,8))&gt;=0,FALSE),IFERROR(HEX2DEC(MID(("x"&amp;H43),18,8))&gt;=0,FALSE),IFERROR(HEX2DEC(MID(("x"&amp;H43),26,8))&gt;=0,FALSE),IFERROR(HEX2DEC(MID(("x"&amp;H43),34,8))&gt;=0,FALSE),IFERROR(HEX2DEC(MID(("x"&amp;H43),42,8))&gt;=0,FALSE),IFERROR(HEX2DEC(MID(("x"&amp;H43),50,8))&gt;=0,FALSE),IFERROR(HEX2DEC(MID(("x"&amp;H43),58,8))&gt;=0,FALSE)),AND(ISTEXT(I43),LEN(("x"&amp;I43))=65,EXACT(("x"&amp;I43),LOWER(("x"&amp;I43))),ISERROR(SEARCH(" ",("x"&amp;I43))),ISERROR(SEARCH(CHAR(9),("x"&amp;I43))),ISERROR(SEARCH(CHAR(10),("x"&amp;I43))),ISERROR(SEARCH(CHAR(13),("x"&amp;I43))),IFERROR(HEX2DEC(MID(("x"&amp;I43),2,8))&gt;=0,FALSE),IFERROR(HEX2DEC(MID(("x"&amp;I43),10,8))&gt;=0,FALSE),IFERROR(HEX2DEC(MID(("x"&amp;I43),18,8))&gt;=0,FALSE),IFERROR(HEX2DEC(MID(("x"&amp;I43),26,8))&gt;=0,FALSE),IFERROR(HEX2DEC(MID(("x"&amp;I43),34,8))&gt;=0,FALSE),IFERROR(HEX2DEC(MID(("x"&amp;I43),42,8))&gt;=0,FALSE),IFERROR(HEX2DEC(MID(("x"&amp;I43),50,8))&gt;=0,FALSE),IFERROR(HEX2DEC(MID(("x"&amp;I43),58,8))&gt;=0,FALSE))),IF(EXACT("x"&amp;H43,"x"&amp;I43),AA43,AB43),"LEXEMA_O_FORMA"),IF(W43="PRUEBA",IF(H43=X43,AA43,IF(H43=Z43,AB43,"LEXEMA_O_FORMA")),IF(W43="RETIRADA",IF(AND(H43="NINGUNO",I43=""),IF(J43="COMPLETA",AB43,"COBERTURA_INSUFICIENTE"),IF(AND(OR(H43="uoInstallation",H43="uoUninstallation"),OR(I43="orcSucceeded",I43="orcSucceededWithErrors",I43="orcFailed",I43="orcAborted",I43="orcInProgress",I43="orcNotStarted")),IF(AND(H43=X43,I43=Y43),AA43,IF(AND(H43=X43,OR(I43="orcSucceededWithErrors",I43="orcInProgress",I43="orcNotStarted")),"RESULTADO_RETIRADA_INCIERTO",IF(J43="COMPLETA",AB43,"COBERTURA_INSUFICIENTE"))),"LEXEMA_O_FORMA")),IF(W43="CAMBIO",IF(OR(H43="CAMBIO",H43="CAMBIO_Y_RETORNO"),AA43,IF(OR(H43="NINGUNO",H43="SOLO_RENOMBRE"),IF(J43="COMPLETA",AB43,"COBERTURA_INSUFICIENTE"),"LEXEMA_O_FORMA")),IF(W43="RESTAURACION",IF(H43=X43,AA43,IF(OR(H43="NINGUNO",H43="RESTAURACION_POSTERIOR",H43="RESTAURACION_FALLIDA"),IF(J43="COMPLETA",AB43,"COBERTURA_INSUFICIENTE"),"LEXEMA_O_FORMA")),"PERFIL_NO_CONSTITUIDO"))))))))))))))))))</x:f>
        <x:v>LEXEMA_O_FORMA</x:v>
      </x:c>
      <x:c r="R43" s="12" t="str">
        <x:f>IF(AND(L43=O43,M43=P43,N43=Q43),"PASA","NO_PASA")</x:f>
        <x:v>PASA</x:v>
      </x:c>
      <x:c r="S43" s="4" t="str">
        <x:v>Booleano numérico no se acepta como lexema documental.</x:v>
      </x:c>
      <x:c r="T43" s="12" t="str">
        <x:f>IFERROR(INDEX('55_Codificacion_ensayo'!$B$5:$B$13,MATCH(B43,'55_Codificacion_ensayo'!$A$5:$A$13,0)),"")</x:f>
        <x:v>REQUISITO-SOFTWARE-INDIVIDUAL-0.1</x:v>
      </x:c>
      <x:c r="U43" s="12" t="str">
        <x:f>IFERROR(INDEX('55_Codificacion_ensayo'!$C$5:$C$13,MATCH(B43,'55_Codificacion_ensayo'!$A$5:$A$13,0)),"")</x:f>
        <x:v>INSTRUCCION_ESPECIFICA</x:v>
      </x:c>
      <x:c r="V43" s="12" t="str">
        <x:f>IFERROR(INDEX('55_Codificacion_ensayo'!$D$5:$D$13,MATCH(B43,'55_Codificacion_ensayo'!$A$5:$A$13,0)),"")</x:f>
        <x:v>UN_SOFTWARE</x:v>
      </x:c>
      <x:c r="W43" s="12" t="str">
        <x:f>IFERROR(INDEX('55_Codificacion_ensayo'!$E$5:$E$13,MATCH(B43,'55_Codificacion_ensayo'!$A$5:$A$13,0)),"")</x:f>
        <x:v>REQUISITO_SOFT</x:v>
      </x:c>
      <x:c r="X43" s="12" t="str">
        <x:f>IFERROR(INDEX('55_Codificacion_ensayo'!$F$5:$F$13,MATCH(B43,'55_Codificacion_ensayo'!$A$5:$A$13,0)),"")</x:f>
        <x:v>true</x:v>
      </x:c>
      <x:c r="Y43" s="12" t="str">
        <x:f>IFERROR(INDEX('55_Codificacion_ensayo'!$G$5:$G$13,MATCH(B43,'55_Codificacion_ensayo'!$A$5:$A$13,0)),"")</x:f>
      </x:c>
      <x:c r="Z43" s="12" t="str">
        <x:f>IFERROR(INDEX('55_Codificacion_ensayo'!$H$5:$H$13,MATCH(B43,'55_Codificacion_ensayo'!$A$5:$A$13,0)),"")</x:f>
        <x:v>false</x:v>
      </x:c>
      <x:c r="AA43" s="12" t="str">
        <x:f>IFERROR(INDEX('55_Codificacion_ensayo'!$I$5:$I$13,MATCH(B43,'55_Codificacion_ensayo'!$A$5:$A$13,0)),"")</x:f>
        <x:v>REQUISITO_SOFTWARE_SI</x:v>
      </x:c>
      <x:c r="AB43" s="12" t="str">
        <x:f>IFERROR(INDEX('55_Codificacion_ensayo'!$J$5:$J$13,MATCH(B43,'55_Codificacion_ensayo'!$A$5:$A$13,0)),"")</x:f>
        <x:v>REQUISITO_SOFTWARE_NO</x:v>
      </x:c>
    </x:row>
    <x:row r="44" ht="47" customHeight="1">
      <x:c r="A44" s="4" t="str">
        <x:v>L10-04-12</x:v>
      </x:c>
      <x:c r="B44" s="4" t="str">
        <x:v>PAR-CYB-REINICIO-SOFTWARE-REQUERIDO-001</x:v>
      </x:c>
      <x:c r="C44" s="4" t="str">
        <x:v>REQUISITO-SOFTWARE-INDIVIDUAL-0.1</x:v>
      </x:c>
      <x:c r="D44" s="4" t="str">
        <x:v>COINCIDE</x:v>
      </x:c>
      <x:c r="E44" s="4" t="str">
        <x:v>LEGIBLE</x:v>
      </x:c>
      <x:c r="F44" s="4" t="str">
        <x:v>INSTRUCCION_ESPECIFICA</x:v>
      </x:c>
      <x:c r="G44" s="4" t="str">
        <x:v>UNICA</x:v>
      </x:c>
      <x:c r="H44" s="4" t="str">
        <x:v>true</x:v>
      </x:c>
      <x:c r="I44" s="4" t="str"/>
      <x:c r="J44" s="4" t="str">
        <x:v>COMPLETA</x:v>
      </x:c>
      <x:c r="K44" s="4" t="str">
        <x:v>VARIOS_SOFTWARES</x:v>
      </x:c>
      <x:c r="L44" s="4" t="str">
        <x:v>CONFIGURACION_PENDIENTE</x:v>
      </x:c>
      <x:c r="M44" s="4" t="str"/>
      <x:c r="N44" s="4" t="str">
        <x:v>CONTEXTO_NO_CONSTITUIDO</x:v>
      </x:c>
      <x:c r="O44" s="12" t="str">
        <x:f>IF(Q44="SIN_EJECUCION_DOMINIO","FALLO_CAPTURA",IF(OR(Q44="CAPTURA_MAL_FORMADA",Q44="IDENTIDAD",Q44="OBSERVACION_MAL_FORMADA",Q44="LEXEMA_O_FORMA"),"NO_ADMISION",IF(OR(Q44="PERFIL_NO_CONSTITUIDO",Q44="RESULTADO_NO_TERMINAL"),"FUERA_PERFIL",IF(Q44="CONTEXTO_NO_CONSTITUIDO","CONFIGURACION_PENDIENTE","VALIDA"))))</x:f>
        <x:v>CONFIGURACION_PENDIENTE</x:v>
      </x:c>
      <x:c r="P44" s="12" t="str">
        <x:f>IF(O44&lt;&gt;"VALIDA","",IF(Q44=AA44,"1",IF(Q44=AB44,"0","U")))</x:f>
      </x:c>
      <x:c r="Q44" s="12" t="str">
        <x:f>IF(E44="FALLO","SIN_EJECUCION_DOMINIO",IF(E44&lt;&gt;"LEGIBLE","CAPTURA_MAL_FORMADA",IF(D44&lt;&gt;"COINCIDE","IDENTIDAD",IF(OR(T44="",C44&lt;&gt;T44),"PERFIL_NO_CONSTITUIDO",IF(K44&lt;&gt;V44,IF(V44="ORDEN_ACREDITADO","ORDEN_NO_ACREDITADO","CONTEXTO_NO_CONSTITUIDO"),IF(AND(G44="AUSENTE",H44="",I44=""),"DATO_AUSENTE",IF(AND(G44="CONFLICTO",H44="",I44=""),"CONFLICTO_OBSERVACIONAL",IF(G44&lt;&gt;"UNICA","OBSERVACION_MAL_FORMADA",IF(F44&lt;&gt;U44,"OBSERVACION_INSUFICIENTE",IF(W44="RESULTADO",IF(H44=X44,AA44,IF(OR(H44="orcSucceededWithErrors",H44="orcFailed",H44="orcAborted"),AB44,IF(OR(H44="orcNotStarted",H44="orcInProgress"),"RESULTADO_NO_TERMINAL","LEXEMA_O_FORMA"))),IF(W44="EVENTO_BOOT",IF(H44=X44,AA44,IF(OR(H44="NINGUNO",H44="SOLO_HIBRIDO"),IF(J44="COMPLETA",AB44,"COBERTURA_INSUFICIENTE"),"LEXEMA_O_FORMA")),IF(W44="REQUISITO_SOFT",IF(H44=X44,AA44,IF(H44=Z44,AB44,"LEXEMA_O_FORMA")),IF(W44="EVENTO_PROC",IF(H44=X44,AA44,IF(H44=Z44,IF(J44="COMPLETA",AB44,"COBERTURA_INSUFICIENTE"),"LEXEMA_O_FORMA")),IF(W44="IMAGEN",IF(AND(AND(ISTEXT(H44),LEN(("x"&amp;H44))=65,EXACT(("x"&amp;H44),LOWER(("x"&amp;H44))),ISERROR(SEARCH(" ",("x"&amp;H44))),ISERROR(SEARCH(CHAR(9),("x"&amp;H44))),ISERROR(SEARCH(CHAR(10),("x"&amp;H44))),ISERROR(SEARCH(CHAR(13),("x"&amp;H44))),IFERROR(HEX2DEC(MID(("x"&amp;H44),2,8))&gt;=0,FALSE),IFERROR(HEX2DEC(MID(("x"&amp;H44),10,8))&gt;=0,FALSE),IFERROR(HEX2DEC(MID(("x"&amp;H44),18,8))&gt;=0,FALSE),IFERROR(HEX2DEC(MID(("x"&amp;H44),26,8))&gt;=0,FALSE),IFERROR(HEX2DEC(MID(("x"&amp;H44),34,8))&gt;=0,FALSE),IFERROR(HEX2DEC(MID(("x"&amp;H44),42,8))&gt;=0,FALSE),IFERROR(HEX2DEC(MID(("x"&amp;H44),50,8))&gt;=0,FALSE),IFERROR(HEX2DEC(MID(("x"&amp;H44),58,8))&gt;=0,FALSE)),AND(ISTEXT(I44),LEN(("x"&amp;I44))=65,EXACT(("x"&amp;I44),LOWER(("x"&amp;I44))),ISERROR(SEARCH(" ",("x"&amp;I44))),ISERROR(SEARCH(CHAR(9),("x"&amp;I44))),ISERROR(SEARCH(CHAR(10),("x"&amp;I44))),ISERROR(SEARCH(CHAR(13),("x"&amp;I44))),IFERROR(HEX2DEC(MID(("x"&amp;I44),2,8))&gt;=0,FALSE),IFERROR(HEX2DEC(MID(("x"&amp;I44),10,8))&gt;=0,FALSE),IFERROR(HEX2DEC(MID(("x"&amp;I44),18,8))&gt;=0,FALSE),IFERROR(HEX2DEC(MID(("x"&amp;I44),26,8))&gt;=0,FALSE),IFERROR(HEX2DEC(MID(("x"&amp;I44),34,8))&gt;=0,FALSE),IFERROR(HEX2DEC(MID(("x"&amp;I44),42,8))&gt;=0,FALSE),IFERROR(HEX2DEC(MID(("x"&amp;I44),50,8))&gt;=0,FALSE),IFERROR(HEX2DEC(MID(("x"&amp;I44),58,8))&gt;=0,FALSE))),IF(EXACT("x"&amp;H44,"x"&amp;I44),AA44,AB44),"LEXEMA_O_FORMA"),IF(W44="PRUEBA",IF(H44=X44,AA44,IF(H44=Z44,AB44,"LEXEMA_O_FORMA")),IF(W44="RETIRADA",IF(AND(H44="NINGUNO",I44=""),IF(J44="COMPLETA",AB44,"COBERTURA_INSUFICIENTE"),IF(AND(OR(H44="uoInstallation",H44="uoUninstallation"),OR(I44="orcSucceeded",I44="orcSucceededWithErrors",I44="orcFailed",I44="orcAborted",I44="orcInProgress",I44="orcNotStarted")),IF(AND(H44=X44,I44=Y44),AA44,IF(AND(H44=X44,OR(I44="orcSucceededWithErrors",I44="orcInProgress",I44="orcNotStarted")),"RESULTADO_RETIRADA_INCIERTO",IF(J44="COMPLETA",AB44,"COBERTURA_INSUFICIENTE"))),"LEXEMA_O_FORMA")),IF(W44="CAMBIO",IF(OR(H44="CAMBIO",H44="CAMBIO_Y_RETORNO"),AA44,IF(OR(H44="NINGUNO",H44="SOLO_RENOMBRE"),IF(J44="COMPLETA",AB44,"COBERTURA_INSUFICIENTE"),"LEXEMA_O_FORMA")),IF(W44="RESTAURACION",IF(H44=X44,AA44,IF(OR(H44="NINGUNO",H44="RESTAURACION_POSTERIOR",H44="RESTAURACION_FALLIDA"),IF(J44="COMPLETA",AB44,"COBERTURA_INSUFICIENTE"),"LEXEMA_O_FORMA")),"PERFIL_NO_CONSTITUIDO"))))))))))))))))))</x:f>
        <x:v>CONTEXTO_NO_CONSTITUIDO</x:v>
      </x:c>
      <x:c r="R44" s="12" t="str">
        <x:f>IF(AND(L44=O44,M44=P44,N44=Q44),"PASA","NO_PASA")</x:f>
        <x:v>PASA</x:v>
      </x:c>
      <x:c r="S44" s="4" t="str">
        <x:v>Agregado de aplicaciones fuera del sujeto unitario.</x:v>
      </x:c>
      <x:c r="T44" s="12" t="str">
        <x:f>IFERROR(INDEX('55_Codificacion_ensayo'!$B$5:$B$13,MATCH(B44,'55_Codificacion_ensayo'!$A$5:$A$13,0)),"")</x:f>
        <x:v>REQUISITO-SOFTWARE-INDIVIDUAL-0.1</x:v>
      </x:c>
      <x:c r="U44" s="12" t="str">
        <x:f>IFERROR(INDEX('55_Codificacion_ensayo'!$C$5:$C$13,MATCH(B44,'55_Codificacion_ensayo'!$A$5:$A$13,0)),"")</x:f>
        <x:v>INSTRUCCION_ESPECIFICA</x:v>
      </x:c>
      <x:c r="V44" s="12" t="str">
        <x:f>IFERROR(INDEX('55_Codificacion_ensayo'!$D$5:$D$13,MATCH(B44,'55_Codificacion_ensayo'!$A$5:$A$13,0)),"")</x:f>
        <x:v>UN_SOFTWARE</x:v>
      </x:c>
      <x:c r="W44" s="12" t="str">
        <x:f>IFERROR(INDEX('55_Codificacion_ensayo'!$E$5:$E$13,MATCH(B44,'55_Codificacion_ensayo'!$A$5:$A$13,0)),"")</x:f>
        <x:v>REQUISITO_SOFT</x:v>
      </x:c>
      <x:c r="X44" s="12" t="str">
        <x:f>IFERROR(INDEX('55_Codificacion_ensayo'!$F$5:$F$13,MATCH(B44,'55_Codificacion_ensayo'!$A$5:$A$13,0)),"")</x:f>
        <x:v>true</x:v>
      </x:c>
      <x:c r="Y44" s="12" t="str">
        <x:f>IFERROR(INDEX('55_Codificacion_ensayo'!$G$5:$G$13,MATCH(B44,'55_Codificacion_ensayo'!$A$5:$A$13,0)),"")</x:f>
      </x:c>
      <x:c r="Z44" s="12" t="str">
        <x:f>IFERROR(INDEX('55_Codificacion_ensayo'!$H$5:$H$13,MATCH(B44,'55_Codificacion_ensayo'!$A$5:$A$13,0)),"")</x:f>
        <x:v>false</x:v>
      </x:c>
      <x:c r="AA44" s="12" t="str">
        <x:f>IFERROR(INDEX('55_Codificacion_ensayo'!$I$5:$I$13,MATCH(B44,'55_Codificacion_ensayo'!$A$5:$A$13,0)),"")</x:f>
        <x:v>REQUISITO_SOFTWARE_SI</x:v>
      </x:c>
      <x:c r="AB44" s="12" t="str">
        <x:f>IFERROR(INDEX('55_Codificacion_ensayo'!$J$5:$J$13,MATCH(B44,'55_Codificacion_ensayo'!$A$5:$A$13,0)),"")</x:f>
        <x:v>REQUISITO_SOFTWARE_NO</x:v>
      </x:c>
    </x:row>
    <x:row r="45" ht="47" customHeight="1">
      <x:c r="A45" s="4" t="str">
        <x:v>L10-05-01</x:v>
      </x:c>
      <x:c r="B45" s="4" t="str">
        <x:v>PAR-CYB-GENERACION-PROCESO-TERMINADA-001</x:v>
      </x:c>
      <x:c r="C45" s="4" t="str">
        <x:v>TERMINACION-GENERACION-PROCESO-0.1</x:v>
      </x:c>
      <x:c r="D45" s="4" t="str">
        <x:v>COINCIDE</x:v>
      </x:c>
      <x:c r="E45" s="4" t="str">
        <x:v>LEGIBLE</x:v>
      </x:c>
      <x:c r="F45" s="4" t="str">
        <x:v>CICLO_GENERACION</x:v>
      </x:c>
      <x:c r="G45" s="4" t="str">
        <x:v>UNICA</x:v>
      </x:c>
      <x:c r="H45" s="4" t="str">
        <x:v>TERMINADA</x:v>
      </x:c>
      <x:c r="I45" s="4" t="str"/>
      <x:c r="J45" s="4" t="str">
        <x:v>COMPLETA</x:v>
      </x:c>
      <x:c r="K45" s="4" t="str">
        <x:v>ORDEN_ACREDITADO</x:v>
      </x:c>
      <x:c r="L45" s="4" t="str">
        <x:v>VALIDA</x:v>
      </x:c>
      <x:c r="M45" s="4" t="str">
        <x:v>1</x:v>
      </x:c>
      <x:c r="N45" s="4" t="str">
        <x:v>GENERACION_TERMINADA</x:v>
      </x:c>
      <x:c r="O45" s="12" t="str">
        <x:f>IF(Q45="SIN_EJECUCION_DOMINIO","FALLO_CAPTURA",IF(OR(Q45="CAPTURA_MAL_FORMADA",Q45="IDENTIDAD",Q45="OBSERVACION_MAL_FORMADA",Q45="LEXEMA_O_FORMA"),"NO_ADMISION",IF(OR(Q45="PERFIL_NO_CONSTITUIDO",Q45="RESULTADO_NO_TERMINAL"),"FUERA_PERFIL",IF(Q45="CONTEXTO_NO_CONSTITUIDO","CONFIGURACION_PENDIENTE","VALIDA"))))</x:f>
        <x:v>VALIDA</x:v>
      </x:c>
      <x:c r="P45" s="12" t="str">
        <x:f>IF(O45&lt;&gt;"VALIDA","",IF(Q45=AA45,"1",IF(Q45=AB45,"0","U")))</x:f>
        <x:v>1</x:v>
      </x:c>
      <x:c r="Q45" s="12" t="str">
        <x:f>IF(E45="FALLO","SIN_EJECUCION_DOMINIO",IF(E45&lt;&gt;"LEGIBLE","CAPTURA_MAL_FORMADA",IF(D45&lt;&gt;"COINCIDE","IDENTIDAD",IF(OR(T45="",C45&lt;&gt;T45),"PERFIL_NO_CONSTITUIDO",IF(K45&lt;&gt;V45,IF(V45="ORDEN_ACREDITADO","ORDEN_NO_ACREDITADO","CONTEXTO_NO_CONSTITUIDO"),IF(AND(G45="AUSENTE",H45="",I45=""),"DATO_AUSENTE",IF(AND(G45="CONFLICTO",H45="",I45=""),"CONFLICTO_OBSERVACIONAL",IF(G45&lt;&gt;"UNICA","OBSERVACION_MAL_FORMADA",IF(F45&lt;&gt;U45,"OBSERVACION_INSUFICIENTE",IF(W45="RESULTADO",IF(H45=X45,AA45,IF(OR(H45="orcSucceededWithErrors",H45="orcFailed",H45="orcAborted"),AB45,IF(OR(H45="orcNotStarted",H45="orcInProgress"),"RESULTADO_NO_TERMINAL","LEXEMA_O_FORMA"))),IF(W45="EVENTO_BOOT",IF(H45=X45,AA45,IF(OR(H45="NINGUNO",H45="SOLO_HIBRIDO"),IF(J45="COMPLETA",AB45,"COBERTURA_INSUFICIENTE"),"LEXEMA_O_FORMA")),IF(W45="REQUISITO_SOFT",IF(H45=X45,AA45,IF(H45=Z45,AB45,"LEXEMA_O_FORMA")),IF(W45="EVENTO_PROC",IF(H45=X45,AA45,IF(H45=Z45,IF(J45="COMPLETA",AB45,"COBERTURA_INSUFICIENTE"),"LEXEMA_O_FORMA")),IF(W45="IMAGEN",IF(AND(AND(ISTEXT(H45),LEN(("x"&amp;H45))=65,EXACT(("x"&amp;H45),LOWER(("x"&amp;H45))),ISERROR(SEARCH(" ",("x"&amp;H45))),ISERROR(SEARCH(CHAR(9),("x"&amp;H45))),ISERROR(SEARCH(CHAR(10),("x"&amp;H45))),ISERROR(SEARCH(CHAR(13),("x"&amp;H45))),IFERROR(HEX2DEC(MID(("x"&amp;H45),2,8))&gt;=0,FALSE),IFERROR(HEX2DEC(MID(("x"&amp;H45),10,8))&gt;=0,FALSE),IFERROR(HEX2DEC(MID(("x"&amp;H45),18,8))&gt;=0,FALSE),IFERROR(HEX2DEC(MID(("x"&amp;H45),26,8))&gt;=0,FALSE),IFERROR(HEX2DEC(MID(("x"&amp;H45),34,8))&gt;=0,FALSE),IFERROR(HEX2DEC(MID(("x"&amp;H45),42,8))&gt;=0,FALSE),IFERROR(HEX2DEC(MID(("x"&amp;H45),50,8))&gt;=0,FALSE),IFERROR(HEX2DEC(MID(("x"&amp;H45),58,8))&gt;=0,FALSE)),AND(ISTEXT(I45),LEN(("x"&amp;I45))=65,EXACT(("x"&amp;I45),LOWER(("x"&amp;I45))),ISERROR(SEARCH(" ",("x"&amp;I45))),ISERROR(SEARCH(CHAR(9),("x"&amp;I45))),ISERROR(SEARCH(CHAR(10),("x"&amp;I45))),ISERROR(SEARCH(CHAR(13),("x"&amp;I45))),IFERROR(HEX2DEC(MID(("x"&amp;I45),2,8))&gt;=0,FALSE),IFERROR(HEX2DEC(MID(("x"&amp;I45),10,8))&gt;=0,FALSE),IFERROR(HEX2DEC(MID(("x"&amp;I45),18,8))&gt;=0,FALSE),IFERROR(HEX2DEC(MID(("x"&amp;I45),26,8))&gt;=0,FALSE),IFERROR(HEX2DEC(MID(("x"&amp;I45),34,8))&gt;=0,FALSE),IFERROR(HEX2DEC(MID(("x"&amp;I45),42,8))&gt;=0,FALSE),IFERROR(HEX2DEC(MID(("x"&amp;I45),50,8))&gt;=0,FALSE),IFERROR(HEX2DEC(MID(("x"&amp;I45),58,8))&gt;=0,FALSE))),IF(EXACT("x"&amp;H45,"x"&amp;I45),AA45,AB45),"LEXEMA_O_FORMA"),IF(W45="PRUEBA",IF(H45=X45,AA45,IF(H45=Z45,AB45,"LEXEMA_O_FORMA")),IF(W45="RETIRADA",IF(AND(H45="NINGUNO",I45=""),IF(J45="COMPLETA",AB45,"COBERTURA_INSUFICIENTE"),IF(AND(OR(H45="uoInstallation",H45="uoUninstallation"),OR(I45="orcSucceeded",I45="orcSucceededWithErrors",I45="orcFailed",I45="orcAborted",I45="orcInProgress",I45="orcNotStarted")),IF(AND(H45=X45,I45=Y45),AA45,IF(AND(H45=X45,OR(I45="orcSucceededWithErrors",I45="orcInProgress",I45="orcNotStarted")),"RESULTADO_RETIRADA_INCIERTO",IF(J45="COMPLETA",AB45,"COBERTURA_INSUFICIENTE"))),"LEXEMA_O_FORMA")),IF(W45="CAMBIO",IF(OR(H45="CAMBIO",H45="CAMBIO_Y_RETORNO"),AA45,IF(OR(H45="NINGUNO",H45="SOLO_RENOMBRE"),IF(J45="COMPLETA",AB45,"COBERTURA_INSUFICIENTE"),"LEXEMA_O_FORMA")),IF(W45="RESTAURACION",IF(H45=X45,AA45,IF(OR(H45="NINGUNO",H45="RESTAURACION_POSTERIOR",H45="RESTAURACION_FALLIDA"),IF(J45="COMPLETA",AB45,"COBERTURA_INSUFICIENTE"),"LEXEMA_O_FORMA")),"PERFIL_NO_CONSTITUIDO"))))))))))))))))))</x:f>
        <x:v>GENERACION_TERMINADA</x:v>
      </x:c>
      <x:c r="R45" s="12" t="str">
        <x:f>IF(AND(L45=O45,M45=P45,N45=Q45),"PASA","NO_PASA")</x:f>
        <x:v>PASA</x:v>
      </x:c>
      <x:c r="S45" s="4" t="str">
        <x:v>Testigo positivo de la proposición; no licencia ninguna conclusión más amplia.</x:v>
      </x:c>
      <x:c r="T45" s="12" t="str">
        <x:f>IFERROR(INDEX('55_Codificacion_ensayo'!$B$5:$B$13,MATCH(B45,'55_Codificacion_ensayo'!$A$5:$A$13,0)),"")</x:f>
        <x:v>TERMINACION-GENERACION-PROCESO-0.1</x:v>
      </x:c>
      <x:c r="U45" s="12" t="str">
        <x:f>IFERROR(INDEX('55_Codificacion_ensayo'!$C$5:$C$13,MATCH(B45,'55_Codificacion_ensayo'!$A$5:$A$13,0)),"")</x:f>
        <x:v>CICLO_GENERACION</x:v>
      </x:c>
      <x:c r="V45" s="12" t="str">
        <x:f>IFERROR(INDEX('55_Codificacion_ensayo'!$D$5:$D$13,MATCH(B45,'55_Codificacion_ensayo'!$A$5:$A$13,0)),"")</x:f>
        <x:v>ORDEN_ACREDITADO</x:v>
      </x:c>
      <x:c r="W45" s="12" t="str">
        <x:f>IFERROR(INDEX('55_Codificacion_ensayo'!$E$5:$E$13,MATCH(B45,'55_Codificacion_ensayo'!$A$5:$A$13,0)),"")</x:f>
        <x:v>EVENTO_PROC</x:v>
      </x:c>
      <x:c r="X45" s="12" t="str">
        <x:f>IFERROR(INDEX('55_Codificacion_ensayo'!$F$5:$F$13,MATCH(B45,'55_Codificacion_ensayo'!$A$5:$A$13,0)),"")</x:f>
        <x:v>TERMINADA</x:v>
      </x:c>
      <x:c r="Y45" s="12" t="str">
        <x:f>IFERROR(INDEX('55_Codificacion_ensayo'!$G$5:$G$13,MATCH(B45,'55_Codificacion_ensayo'!$A$5:$A$13,0)),"")</x:f>
      </x:c>
      <x:c r="Z45" s="12" t="str">
        <x:f>IFERROR(INDEX('55_Codificacion_ensayo'!$H$5:$H$13,MATCH(B45,'55_Codificacion_ensayo'!$A$5:$A$13,0)),"")</x:f>
        <x:v>NINGUNO</x:v>
      </x:c>
      <x:c r="AA45" s="12" t="str">
        <x:f>IFERROR(INDEX('55_Codificacion_ensayo'!$I$5:$I$13,MATCH(B45,'55_Codificacion_ensayo'!$A$5:$A$13,0)),"")</x:f>
        <x:v>GENERACION_TERMINADA</x:v>
      </x:c>
      <x:c r="AB45" s="12" t="str">
        <x:f>IFERROR(INDEX('55_Codificacion_ensayo'!$J$5:$J$13,MATCH(B45,'55_Codificacion_ensayo'!$A$5:$A$13,0)),"")</x:f>
        <x:v>SIN_TERMINACION</x:v>
      </x:c>
    </x:row>
    <x:row r="46" ht="47" customHeight="1">
      <x:c r="A46" s="4" t="str">
        <x:v>L10-05-02</x:v>
      </x:c>
      <x:c r="B46" s="4" t="str">
        <x:v>PAR-CYB-GENERACION-PROCESO-TERMINADA-001</x:v>
      </x:c>
      <x:c r="C46" s="4" t="str">
        <x:v>TERMINACION-GENERACION-PROCESO-0.1</x:v>
      </x:c>
      <x:c r="D46" s="4" t="str">
        <x:v>COINCIDE</x:v>
      </x:c>
      <x:c r="E46" s="4" t="str">
        <x:v>LEGIBLE</x:v>
      </x:c>
      <x:c r="F46" s="4" t="str">
        <x:v>CICLO_GENERACION</x:v>
      </x:c>
      <x:c r="G46" s="4" t="str">
        <x:v>UNICA</x:v>
      </x:c>
      <x:c r="H46" s="4" t="str">
        <x:v>NINGUNO</x:v>
      </x:c>
      <x:c r="I46" s="4" t="str"/>
      <x:c r="J46" s="4" t="str">
        <x:v>COMPLETA</x:v>
      </x:c>
      <x:c r="K46" s="4" t="str">
        <x:v>ORDEN_ACREDITADO</x:v>
      </x:c>
      <x:c r="L46" s="4" t="str">
        <x:v>VALIDA</x:v>
      </x:c>
      <x:c r="M46" s="4" t="str">
        <x:v>0</x:v>
      </x:c>
      <x:c r="N46" s="4" t="str">
        <x:v>SIN_TERMINACION</x:v>
      </x:c>
      <x:c r="O46" s="12" t="str">
        <x:f>IF(Q46="SIN_EJECUCION_DOMINIO","FALLO_CAPTURA",IF(OR(Q46="CAPTURA_MAL_FORMADA",Q46="IDENTIDAD",Q46="OBSERVACION_MAL_FORMADA",Q46="LEXEMA_O_FORMA"),"NO_ADMISION",IF(OR(Q46="PERFIL_NO_CONSTITUIDO",Q46="RESULTADO_NO_TERMINAL"),"FUERA_PERFIL",IF(Q46="CONTEXTO_NO_CONSTITUIDO","CONFIGURACION_PENDIENTE","VALIDA"))))</x:f>
        <x:v>VALIDA</x:v>
      </x:c>
      <x:c r="P46" s="12" t="str">
        <x:f>IF(O46&lt;&gt;"VALIDA","",IF(Q46=AA46,"1",IF(Q46=AB46,"0","U")))</x:f>
        <x:v>0</x:v>
      </x:c>
      <x:c r="Q46" s="12" t="str">
        <x:f>IF(E46="FALLO","SIN_EJECUCION_DOMINIO",IF(E46&lt;&gt;"LEGIBLE","CAPTURA_MAL_FORMADA",IF(D46&lt;&gt;"COINCIDE","IDENTIDAD",IF(OR(T46="",C46&lt;&gt;T46),"PERFIL_NO_CONSTITUIDO",IF(K46&lt;&gt;V46,IF(V46="ORDEN_ACREDITADO","ORDEN_NO_ACREDITADO","CONTEXTO_NO_CONSTITUIDO"),IF(AND(G46="AUSENTE",H46="",I46=""),"DATO_AUSENTE",IF(AND(G46="CONFLICTO",H46="",I46=""),"CONFLICTO_OBSERVACIONAL",IF(G46&lt;&gt;"UNICA","OBSERVACION_MAL_FORMADA",IF(F46&lt;&gt;U46,"OBSERVACION_INSUFICIENTE",IF(W46="RESULTADO",IF(H46=X46,AA46,IF(OR(H46="orcSucceededWithErrors",H46="orcFailed",H46="orcAborted"),AB46,IF(OR(H46="orcNotStarted",H46="orcInProgress"),"RESULTADO_NO_TERMINAL","LEXEMA_O_FORMA"))),IF(W46="EVENTO_BOOT",IF(H46=X46,AA46,IF(OR(H46="NINGUNO",H46="SOLO_HIBRIDO"),IF(J46="COMPLETA",AB46,"COBERTURA_INSUFICIENTE"),"LEXEMA_O_FORMA")),IF(W46="REQUISITO_SOFT",IF(H46=X46,AA46,IF(H46=Z46,AB46,"LEXEMA_O_FORMA")),IF(W46="EVENTO_PROC",IF(H46=X46,AA46,IF(H46=Z46,IF(J46="COMPLETA",AB46,"COBERTURA_INSUFICIENTE"),"LEXEMA_O_FORMA")),IF(W46="IMAGEN",IF(AND(AND(ISTEXT(H46),LEN(("x"&amp;H46))=65,EXACT(("x"&amp;H46),LOWER(("x"&amp;H46))),ISERROR(SEARCH(" ",("x"&amp;H46))),ISERROR(SEARCH(CHAR(9),("x"&amp;H46))),ISERROR(SEARCH(CHAR(10),("x"&amp;H46))),ISERROR(SEARCH(CHAR(13),("x"&amp;H46))),IFERROR(HEX2DEC(MID(("x"&amp;H46),2,8))&gt;=0,FALSE),IFERROR(HEX2DEC(MID(("x"&amp;H46),10,8))&gt;=0,FALSE),IFERROR(HEX2DEC(MID(("x"&amp;H46),18,8))&gt;=0,FALSE),IFERROR(HEX2DEC(MID(("x"&amp;H46),26,8))&gt;=0,FALSE),IFERROR(HEX2DEC(MID(("x"&amp;H46),34,8))&gt;=0,FALSE),IFERROR(HEX2DEC(MID(("x"&amp;H46),42,8))&gt;=0,FALSE),IFERROR(HEX2DEC(MID(("x"&amp;H46),50,8))&gt;=0,FALSE),IFERROR(HEX2DEC(MID(("x"&amp;H46),58,8))&gt;=0,FALSE)),AND(ISTEXT(I46),LEN(("x"&amp;I46))=65,EXACT(("x"&amp;I46),LOWER(("x"&amp;I46))),ISERROR(SEARCH(" ",("x"&amp;I46))),ISERROR(SEARCH(CHAR(9),("x"&amp;I46))),ISERROR(SEARCH(CHAR(10),("x"&amp;I46))),ISERROR(SEARCH(CHAR(13),("x"&amp;I46))),IFERROR(HEX2DEC(MID(("x"&amp;I46),2,8))&gt;=0,FALSE),IFERROR(HEX2DEC(MID(("x"&amp;I46),10,8))&gt;=0,FALSE),IFERROR(HEX2DEC(MID(("x"&amp;I46),18,8))&gt;=0,FALSE),IFERROR(HEX2DEC(MID(("x"&amp;I46),26,8))&gt;=0,FALSE),IFERROR(HEX2DEC(MID(("x"&amp;I46),34,8))&gt;=0,FALSE),IFERROR(HEX2DEC(MID(("x"&amp;I46),42,8))&gt;=0,FALSE),IFERROR(HEX2DEC(MID(("x"&amp;I46),50,8))&gt;=0,FALSE),IFERROR(HEX2DEC(MID(("x"&amp;I46),58,8))&gt;=0,FALSE))),IF(EXACT("x"&amp;H46,"x"&amp;I46),AA46,AB46),"LEXEMA_O_FORMA"),IF(W46="PRUEBA",IF(H46=X46,AA46,IF(H46=Z46,AB46,"LEXEMA_O_FORMA")),IF(W46="RETIRADA",IF(AND(H46="NINGUNO",I46=""),IF(J46="COMPLETA",AB46,"COBERTURA_INSUFICIENTE"),IF(AND(OR(H46="uoInstallation",H46="uoUninstallation"),OR(I46="orcSucceeded",I46="orcSucceededWithErrors",I46="orcFailed",I46="orcAborted",I46="orcInProgress",I46="orcNotStarted")),IF(AND(H46=X46,I46=Y46),AA46,IF(AND(H46=X46,OR(I46="orcSucceededWithErrors",I46="orcInProgress",I46="orcNotStarted")),"RESULTADO_RETIRADA_INCIERTO",IF(J46="COMPLETA",AB46,"COBERTURA_INSUFICIENTE"))),"LEXEMA_O_FORMA")),IF(W46="CAMBIO",IF(OR(H46="CAMBIO",H46="CAMBIO_Y_RETORNO"),AA46,IF(OR(H46="NINGUNO",H46="SOLO_RENOMBRE"),IF(J46="COMPLETA",AB46,"COBERTURA_INSUFICIENTE"),"LEXEMA_O_FORMA")),IF(W46="RESTAURACION",IF(H46=X46,AA46,IF(OR(H46="NINGUNO",H46="RESTAURACION_POSTERIOR",H46="RESTAURACION_FALLIDA"),IF(J46="COMPLETA",AB46,"COBERTURA_INSUFICIENTE"),"LEXEMA_O_FORMA")),"PERFIL_NO_CONSTITUIDO"))))))))))))))))))</x:f>
        <x:v>SIN_TERMINACION</x:v>
      </x:c>
      <x:c r="R46" s="12" t="str">
        <x:f>IF(AND(L46=O46,M46=P46,N46=Q46),"PASA","NO_PASA")</x:f>
        <x:v>PASA</x:v>
      </x:c>
      <x:c r="S46" s="4" t="str">
        <x:v>Negativo explícito; en eventos exige cobertura del intervalo.</x:v>
      </x:c>
      <x:c r="T46" s="12" t="str">
        <x:f>IFERROR(INDEX('55_Codificacion_ensayo'!$B$5:$B$13,MATCH(B46,'55_Codificacion_ensayo'!$A$5:$A$13,0)),"")</x:f>
        <x:v>TERMINACION-GENERACION-PROCESO-0.1</x:v>
      </x:c>
      <x:c r="U46" s="12" t="str">
        <x:f>IFERROR(INDEX('55_Codificacion_ensayo'!$C$5:$C$13,MATCH(B46,'55_Codificacion_ensayo'!$A$5:$A$13,0)),"")</x:f>
        <x:v>CICLO_GENERACION</x:v>
      </x:c>
      <x:c r="V46" s="12" t="str">
        <x:f>IFERROR(INDEX('55_Codificacion_ensayo'!$D$5:$D$13,MATCH(B46,'55_Codificacion_ensayo'!$A$5:$A$13,0)),"")</x:f>
        <x:v>ORDEN_ACREDITADO</x:v>
      </x:c>
      <x:c r="W46" s="12" t="str">
        <x:f>IFERROR(INDEX('55_Codificacion_ensayo'!$E$5:$E$13,MATCH(B46,'55_Codificacion_ensayo'!$A$5:$A$13,0)),"")</x:f>
        <x:v>EVENTO_PROC</x:v>
      </x:c>
      <x:c r="X46" s="12" t="str">
        <x:f>IFERROR(INDEX('55_Codificacion_ensayo'!$F$5:$F$13,MATCH(B46,'55_Codificacion_ensayo'!$A$5:$A$13,0)),"")</x:f>
        <x:v>TERMINADA</x:v>
      </x:c>
      <x:c r="Y46" s="12" t="str">
        <x:f>IFERROR(INDEX('55_Codificacion_ensayo'!$G$5:$G$13,MATCH(B46,'55_Codificacion_ensayo'!$A$5:$A$13,0)),"")</x:f>
      </x:c>
      <x:c r="Z46" s="12" t="str">
        <x:f>IFERROR(INDEX('55_Codificacion_ensayo'!$H$5:$H$13,MATCH(B46,'55_Codificacion_ensayo'!$A$5:$A$13,0)),"")</x:f>
        <x:v>NINGUNO</x:v>
      </x:c>
      <x:c r="AA46" s="12" t="str">
        <x:f>IFERROR(INDEX('55_Codificacion_ensayo'!$I$5:$I$13,MATCH(B46,'55_Codificacion_ensayo'!$A$5:$A$13,0)),"")</x:f>
        <x:v>GENERACION_TERMINADA</x:v>
      </x:c>
      <x:c r="AB46" s="12" t="str">
        <x:f>IFERROR(INDEX('55_Codificacion_ensayo'!$J$5:$J$13,MATCH(B46,'55_Codificacion_ensayo'!$A$5:$A$13,0)),"")</x:f>
        <x:v>SIN_TERMINACION</x:v>
      </x:c>
    </x:row>
    <x:row r="47" ht="47" customHeight="1">
      <x:c r="A47" s="4" t="str">
        <x:v>L10-05-03</x:v>
      </x:c>
      <x:c r="B47" s="4" t="str">
        <x:v>PAR-CYB-GENERACION-PROCESO-TERMINADA-001</x:v>
      </x:c>
      <x:c r="C47" s="4" t="str">
        <x:v>TERMINACION-GENERACION-PROCESO-0.1</x:v>
      </x:c>
      <x:c r="D47" s="4" t="str">
        <x:v>COINCIDE</x:v>
      </x:c>
      <x:c r="E47" s="4" t="str">
        <x:v>LEGIBLE</x:v>
      </x:c>
      <x:c r="F47" s="4" t="str">
        <x:v>CICLO_GENERACION</x:v>
      </x:c>
      <x:c r="G47" s="4" t="str">
        <x:v>AUSENTE</x:v>
      </x:c>
      <x:c r="H47" s="4" t="str"/>
      <x:c r="I47" s="4" t="str"/>
      <x:c r="J47" s="4" t="str">
        <x:v>COMPLETA</x:v>
      </x:c>
      <x:c r="K47" s="4" t="str">
        <x:v>ORDEN_ACREDITADO</x:v>
      </x:c>
      <x:c r="L47" s="4" t="str">
        <x:v>VALIDA</x:v>
      </x:c>
      <x:c r="M47" s="4" t="str">
        <x:v>U</x:v>
      </x:c>
      <x:c r="N47" s="4" t="str">
        <x:v>DATO_AUSENTE</x:v>
      </x:c>
      <x:c r="O47" s="12" t="str">
        <x:f>IF(Q47="SIN_EJECUCION_DOMINIO","FALLO_CAPTURA",IF(OR(Q47="CAPTURA_MAL_FORMADA",Q47="IDENTIDAD",Q47="OBSERVACION_MAL_FORMADA",Q47="LEXEMA_O_FORMA"),"NO_ADMISION",IF(OR(Q47="PERFIL_NO_CONSTITUIDO",Q47="RESULTADO_NO_TERMINAL"),"FUERA_PERFIL",IF(Q47="CONTEXTO_NO_CONSTITUIDO","CONFIGURACION_PENDIENTE","VALIDA"))))</x:f>
        <x:v>VALIDA</x:v>
      </x:c>
      <x:c r="P47" s="12" t="str">
        <x:f>IF(O47&lt;&gt;"VALIDA","",IF(Q47=AA47,"1",IF(Q47=AB47,"0","U")))</x:f>
        <x:v>U</x:v>
      </x:c>
      <x:c r="Q47" s="12" t="str">
        <x:f>IF(E47="FALLO","SIN_EJECUCION_DOMINIO",IF(E47&lt;&gt;"LEGIBLE","CAPTURA_MAL_FORMADA",IF(D47&lt;&gt;"COINCIDE","IDENTIDAD",IF(OR(T47="",C47&lt;&gt;T47),"PERFIL_NO_CONSTITUIDO",IF(K47&lt;&gt;V47,IF(V47="ORDEN_ACREDITADO","ORDEN_NO_ACREDITADO","CONTEXTO_NO_CONSTITUIDO"),IF(AND(G47="AUSENTE",H47="",I47=""),"DATO_AUSENTE",IF(AND(G47="CONFLICTO",H47="",I47=""),"CONFLICTO_OBSERVACIONAL",IF(G47&lt;&gt;"UNICA","OBSERVACION_MAL_FORMADA",IF(F47&lt;&gt;U47,"OBSERVACION_INSUFICIENTE",IF(W47="RESULTADO",IF(H47=X47,AA47,IF(OR(H47="orcSucceededWithErrors",H47="orcFailed",H47="orcAborted"),AB47,IF(OR(H47="orcNotStarted",H47="orcInProgress"),"RESULTADO_NO_TERMINAL","LEXEMA_O_FORMA"))),IF(W47="EVENTO_BOOT",IF(H47=X47,AA47,IF(OR(H47="NINGUNO",H47="SOLO_HIBRIDO"),IF(J47="COMPLETA",AB47,"COBERTURA_INSUFICIENTE"),"LEXEMA_O_FORMA")),IF(W47="REQUISITO_SOFT",IF(H47=X47,AA47,IF(H47=Z47,AB47,"LEXEMA_O_FORMA")),IF(W47="EVENTO_PROC",IF(H47=X47,AA47,IF(H47=Z47,IF(J47="COMPLETA",AB47,"COBERTURA_INSUFICIENTE"),"LEXEMA_O_FORMA")),IF(W47="IMAGEN",IF(AND(AND(ISTEXT(H47),LEN(("x"&amp;H47))=65,EXACT(("x"&amp;H47),LOWER(("x"&amp;H47))),ISERROR(SEARCH(" ",("x"&amp;H47))),ISERROR(SEARCH(CHAR(9),("x"&amp;H47))),ISERROR(SEARCH(CHAR(10),("x"&amp;H47))),ISERROR(SEARCH(CHAR(13),("x"&amp;H47))),IFERROR(HEX2DEC(MID(("x"&amp;H47),2,8))&gt;=0,FALSE),IFERROR(HEX2DEC(MID(("x"&amp;H47),10,8))&gt;=0,FALSE),IFERROR(HEX2DEC(MID(("x"&amp;H47),18,8))&gt;=0,FALSE),IFERROR(HEX2DEC(MID(("x"&amp;H47),26,8))&gt;=0,FALSE),IFERROR(HEX2DEC(MID(("x"&amp;H47),34,8))&gt;=0,FALSE),IFERROR(HEX2DEC(MID(("x"&amp;H47),42,8))&gt;=0,FALSE),IFERROR(HEX2DEC(MID(("x"&amp;H47),50,8))&gt;=0,FALSE),IFERROR(HEX2DEC(MID(("x"&amp;H47),58,8))&gt;=0,FALSE)),AND(ISTEXT(I47),LEN(("x"&amp;I47))=65,EXACT(("x"&amp;I47),LOWER(("x"&amp;I47))),ISERROR(SEARCH(" ",("x"&amp;I47))),ISERROR(SEARCH(CHAR(9),("x"&amp;I47))),ISERROR(SEARCH(CHAR(10),("x"&amp;I47))),ISERROR(SEARCH(CHAR(13),("x"&amp;I47))),IFERROR(HEX2DEC(MID(("x"&amp;I47),2,8))&gt;=0,FALSE),IFERROR(HEX2DEC(MID(("x"&amp;I47),10,8))&gt;=0,FALSE),IFERROR(HEX2DEC(MID(("x"&amp;I47),18,8))&gt;=0,FALSE),IFERROR(HEX2DEC(MID(("x"&amp;I47),26,8))&gt;=0,FALSE),IFERROR(HEX2DEC(MID(("x"&amp;I47),34,8))&gt;=0,FALSE),IFERROR(HEX2DEC(MID(("x"&amp;I47),42,8))&gt;=0,FALSE),IFERROR(HEX2DEC(MID(("x"&amp;I47),50,8))&gt;=0,FALSE),IFERROR(HEX2DEC(MID(("x"&amp;I47),58,8))&gt;=0,FALSE))),IF(EXACT("x"&amp;H47,"x"&amp;I47),AA47,AB47),"LEXEMA_O_FORMA"),IF(W47="PRUEBA",IF(H47=X47,AA47,IF(H47=Z47,AB47,"LEXEMA_O_FORMA")),IF(W47="RETIRADA",IF(AND(H47="NINGUNO",I47=""),IF(J47="COMPLETA",AB47,"COBERTURA_INSUFICIENTE"),IF(AND(OR(H47="uoInstallation",H47="uoUninstallation"),OR(I47="orcSucceeded",I47="orcSucceededWithErrors",I47="orcFailed",I47="orcAborted",I47="orcInProgress",I47="orcNotStarted")),IF(AND(H47=X47,I47=Y47),AA47,IF(AND(H47=X47,OR(I47="orcSucceededWithErrors",I47="orcInProgress",I47="orcNotStarted")),"RESULTADO_RETIRADA_INCIERTO",IF(J47="COMPLETA",AB47,"COBERTURA_INSUFICIENTE"))),"LEXEMA_O_FORMA")),IF(W47="CAMBIO",IF(OR(H47="CAMBIO",H47="CAMBIO_Y_RETORNO"),AA47,IF(OR(H47="NINGUNO",H47="SOLO_RENOMBRE"),IF(J47="COMPLETA",AB47,"COBERTURA_INSUFICIENTE"),"LEXEMA_O_FORMA")),IF(W47="RESTAURACION",IF(H47=X47,AA47,IF(OR(H47="NINGUNO",H47="RESTAURACION_POSTERIOR",H47="RESTAURACION_FALLIDA"),IF(J47="COMPLETA",AB47,"COBERTURA_INSUFICIENTE"),"LEXEMA_O_FORMA")),"PERFIL_NO_CONSTITUIDO"))))))))))))))))))</x:f>
        <x:v>DATO_AUSENTE</x:v>
      </x:c>
      <x:c r="R47" s="12" t="str">
        <x:f>IF(AND(L47=O47,M47=P47,N47=Q47),"PASA","NO_PASA")</x:f>
        <x:v>PASA</x:v>
      </x:c>
      <x:c r="S47" s="4" t="str">
        <x:v>Documento declara que falta la observación, sin convertir ausencia en 0.</x:v>
      </x:c>
      <x:c r="T47" s="12" t="str">
        <x:f>IFERROR(INDEX('55_Codificacion_ensayo'!$B$5:$B$13,MATCH(B47,'55_Codificacion_ensayo'!$A$5:$A$13,0)),"")</x:f>
        <x:v>TERMINACION-GENERACION-PROCESO-0.1</x:v>
      </x:c>
      <x:c r="U47" s="12" t="str">
        <x:f>IFERROR(INDEX('55_Codificacion_ensayo'!$C$5:$C$13,MATCH(B47,'55_Codificacion_ensayo'!$A$5:$A$13,0)),"")</x:f>
        <x:v>CICLO_GENERACION</x:v>
      </x:c>
      <x:c r="V47" s="12" t="str">
        <x:f>IFERROR(INDEX('55_Codificacion_ensayo'!$D$5:$D$13,MATCH(B47,'55_Codificacion_ensayo'!$A$5:$A$13,0)),"")</x:f>
        <x:v>ORDEN_ACREDITADO</x:v>
      </x:c>
      <x:c r="W47" s="12" t="str">
        <x:f>IFERROR(INDEX('55_Codificacion_ensayo'!$E$5:$E$13,MATCH(B47,'55_Codificacion_ensayo'!$A$5:$A$13,0)),"")</x:f>
        <x:v>EVENTO_PROC</x:v>
      </x:c>
      <x:c r="X47" s="12" t="str">
        <x:f>IFERROR(INDEX('55_Codificacion_ensayo'!$F$5:$F$13,MATCH(B47,'55_Codificacion_ensayo'!$A$5:$A$13,0)),"")</x:f>
        <x:v>TERMINADA</x:v>
      </x:c>
      <x:c r="Y47" s="12" t="str">
        <x:f>IFERROR(INDEX('55_Codificacion_ensayo'!$G$5:$G$13,MATCH(B47,'55_Codificacion_ensayo'!$A$5:$A$13,0)),"")</x:f>
      </x:c>
      <x:c r="Z47" s="12" t="str">
        <x:f>IFERROR(INDEX('55_Codificacion_ensayo'!$H$5:$H$13,MATCH(B47,'55_Codificacion_ensayo'!$A$5:$A$13,0)),"")</x:f>
        <x:v>NINGUNO</x:v>
      </x:c>
      <x:c r="AA47" s="12" t="str">
        <x:f>IFERROR(INDEX('55_Codificacion_ensayo'!$I$5:$I$13,MATCH(B47,'55_Codificacion_ensayo'!$A$5:$A$13,0)),"")</x:f>
        <x:v>GENERACION_TERMINADA</x:v>
      </x:c>
      <x:c r="AB47" s="12" t="str">
        <x:f>IFERROR(INDEX('55_Codificacion_ensayo'!$J$5:$J$13,MATCH(B47,'55_Codificacion_ensayo'!$A$5:$A$13,0)),"")</x:f>
        <x:v>SIN_TERMINACION</x:v>
      </x:c>
    </x:row>
    <x:row r="48" ht="47" customHeight="1">
      <x:c r="A48" s="4" t="str">
        <x:v>L10-05-04</x:v>
      </x:c>
      <x:c r="B48" s="4" t="str">
        <x:v>PAR-CYB-GENERACION-PROCESO-TERMINADA-001</x:v>
      </x:c>
      <x:c r="C48" s="4" t="str">
        <x:v>TERMINACION-GENERACION-PROCESO-0.1</x:v>
      </x:c>
      <x:c r="D48" s="4" t="str">
        <x:v>COINCIDE</x:v>
      </x:c>
      <x:c r="E48" s="4" t="str">
        <x:v>LEGIBLE</x:v>
      </x:c>
      <x:c r="F48" s="4" t="str">
        <x:v>CICLO_GENERACION</x:v>
      </x:c>
      <x:c r="G48" s="4" t="str">
        <x:v>CONFLICTO</x:v>
      </x:c>
      <x:c r="H48" s="4" t="str"/>
      <x:c r="I48" s="4" t="str"/>
      <x:c r="J48" s="4" t="str">
        <x:v>COMPLETA</x:v>
      </x:c>
      <x:c r="K48" s="4" t="str">
        <x:v>ORDEN_ACREDITADO</x:v>
      </x:c>
      <x:c r="L48" s="4" t="str">
        <x:v>VALIDA</x:v>
      </x:c>
      <x:c r="M48" s="4" t="str">
        <x:v>U</x:v>
      </x:c>
      <x:c r="N48" s="4" t="str">
        <x:v>CONFLICTO_OBSERVACIONAL</x:v>
      </x:c>
      <x:c r="O48" s="12" t="str">
        <x:f>IF(Q48="SIN_EJECUCION_DOMINIO","FALLO_CAPTURA",IF(OR(Q48="CAPTURA_MAL_FORMADA",Q48="IDENTIDAD",Q48="OBSERVACION_MAL_FORMADA",Q48="LEXEMA_O_FORMA"),"NO_ADMISION",IF(OR(Q48="PERFIL_NO_CONSTITUIDO",Q48="RESULTADO_NO_TERMINAL"),"FUERA_PERFIL",IF(Q48="CONTEXTO_NO_CONSTITUIDO","CONFIGURACION_PENDIENTE","VALIDA"))))</x:f>
        <x:v>VALIDA</x:v>
      </x:c>
      <x:c r="P48" s="12" t="str">
        <x:f>IF(O48&lt;&gt;"VALIDA","",IF(Q48=AA48,"1",IF(Q48=AB48,"0","U")))</x:f>
        <x:v>U</x:v>
      </x:c>
      <x:c r="Q48" s="12" t="str">
        <x:f>IF(E48="FALLO","SIN_EJECUCION_DOMINIO",IF(E48&lt;&gt;"LEGIBLE","CAPTURA_MAL_FORMADA",IF(D48&lt;&gt;"COINCIDE","IDENTIDAD",IF(OR(T48="",C48&lt;&gt;T48),"PERFIL_NO_CONSTITUIDO",IF(K48&lt;&gt;V48,IF(V48="ORDEN_ACREDITADO","ORDEN_NO_ACREDITADO","CONTEXTO_NO_CONSTITUIDO"),IF(AND(G48="AUSENTE",H48="",I48=""),"DATO_AUSENTE",IF(AND(G48="CONFLICTO",H48="",I48=""),"CONFLICTO_OBSERVACIONAL",IF(G48&lt;&gt;"UNICA","OBSERVACION_MAL_FORMADA",IF(F48&lt;&gt;U48,"OBSERVACION_INSUFICIENTE",IF(W48="RESULTADO",IF(H48=X48,AA48,IF(OR(H48="orcSucceededWithErrors",H48="orcFailed",H48="orcAborted"),AB48,IF(OR(H48="orcNotStarted",H48="orcInProgress"),"RESULTADO_NO_TERMINAL","LEXEMA_O_FORMA"))),IF(W48="EVENTO_BOOT",IF(H48=X48,AA48,IF(OR(H48="NINGUNO",H48="SOLO_HIBRIDO"),IF(J48="COMPLETA",AB48,"COBERTURA_INSUFICIENTE"),"LEXEMA_O_FORMA")),IF(W48="REQUISITO_SOFT",IF(H48=X48,AA48,IF(H48=Z48,AB48,"LEXEMA_O_FORMA")),IF(W48="EVENTO_PROC",IF(H48=X48,AA48,IF(H48=Z48,IF(J48="COMPLETA",AB48,"COBERTURA_INSUFICIENTE"),"LEXEMA_O_FORMA")),IF(W48="IMAGEN",IF(AND(AND(ISTEXT(H48),LEN(("x"&amp;H48))=65,EXACT(("x"&amp;H48),LOWER(("x"&amp;H48))),ISERROR(SEARCH(" ",("x"&amp;H48))),ISERROR(SEARCH(CHAR(9),("x"&amp;H48))),ISERROR(SEARCH(CHAR(10),("x"&amp;H48))),ISERROR(SEARCH(CHAR(13),("x"&amp;H48))),IFERROR(HEX2DEC(MID(("x"&amp;H48),2,8))&gt;=0,FALSE),IFERROR(HEX2DEC(MID(("x"&amp;H48),10,8))&gt;=0,FALSE),IFERROR(HEX2DEC(MID(("x"&amp;H48),18,8))&gt;=0,FALSE),IFERROR(HEX2DEC(MID(("x"&amp;H48),26,8))&gt;=0,FALSE),IFERROR(HEX2DEC(MID(("x"&amp;H48),34,8))&gt;=0,FALSE),IFERROR(HEX2DEC(MID(("x"&amp;H48),42,8))&gt;=0,FALSE),IFERROR(HEX2DEC(MID(("x"&amp;H48),50,8))&gt;=0,FALSE),IFERROR(HEX2DEC(MID(("x"&amp;H48),58,8))&gt;=0,FALSE)),AND(ISTEXT(I48),LEN(("x"&amp;I48))=65,EXACT(("x"&amp;I48),LOWER(("x"&amp;I48))),ISERROR(SEARCH(" ",("x"&amp;I48))),ISERROR(SEARCH(CHAR(9),("x"&amp;I48))),ISERROR(SEARCH(CHAR(10),("x"&amp;I48))),ISERROR(SEARCH(CHAR(13),("x"&amp;I48))),IFERROR(HEX2DEC(MID(("x"&amp;I48),2,8))&gt;=0,FALSE),IFERROR(HEX2DEC(MID(("x"&amp;I48),10,8))&gt;=0,FALSE),IFERROR(HEX2DEC(MID(("x"&amp;I48),18,8))&gt;=0,FALSE),IFERROR(HEX2DEC(MID(("x"&amp;I48),26,8))&gt;=0,FALSE),IFERROR(HEX2DEC(MID(("x"&amp;I48),34,8))&gt;=0,FALSE),IFERROR(HEX2DEC(MID(("x"&amp;I48),42,8))&gt;=0,FALSE),IFERROR(HEX2DEC(MID(("x"&amp;I48),50,8))&gt;=0,FALSE),IFERROR(HEX2DEC(MID(("x"&amp;I48),58,8))&gt;=0,FALSE))),IF(EXACT("x"&amp;H48,"x"&amp;I48),AA48,AB48),"LEXEMA_O_FORMA"),IF(W48="PRUEBA",IF(H48=X48,AA48,IF(H48=Z48,AB48,"LEXEMA_O_FORMA")),IF(W48="RETIRADA",IF(AND(H48="NINGUNO",I48=""),IF(J48="COMPLETA",AB48,"COBERTURA_INSUFICIENTE"),IF(AND(OR(H48="uoInstallation",H48="uoUninstallation"),OR(I48="orcSucceeded",I48="orcSucceededWithErrors",I48="orcFailed",I48="orcAborted",I48="orcInProgress",I48="orcNotStarted")),IF(AND(H48=X48,I48=Y48),AA48,IF(AND(H48=X48,OR(I48="orcSucceededWithErrors",I48="orcInProgress",I48="orcNotStarted")),"RESULTADO_RETIRADA_INCIERTO",IF(J48="COMPLETA",AB48,"COBERTURA_INSUFICIENTE"))),"LEXEMA_O_FORMA")),IF(W48="CAMBIO",IF(OR(H48="CAMBIO",H48="CAMBIO_Y_RETORNO"),AA48,IF(OR(H48="NINGUNO",H48="SOLO_RENOMBRE"),IF(J48="COMPLETA",AB48,"COBERTURA_INSUFICIENTE"),"LEXEMA_O_FORMA")),IF(W48="RESTAURACION",IF(H48=X48,AA48,IF(OR(H48="NINGUNO",H48="RESTAURACION_POSTERIOR",H48="RESTAURACION_FALLIDA"),IF(J48="COMPLETA",AB48,"COBERTURA_INSUFICIENTE"),"LEXEMA_O_FORMA")),"PERFIL_NO_CONSTITUIDO"))))))))))))))))))</x:f>
        <x:v>CONFLICTO_OBSERVACIONAL</x:v>
      </x:c>
      <x:c r="R48" s="12" t="str">
        <x:f>IF(AND(L48=O48,M48=P48,N48=Q48),"PASA","NO_PASA")</x:f>
        <x:v>PASA</x:v>
      </x:c>
      <x:c r="S48" s="4" t="str">
        <x:v>Conflicto entre observaciones admitidas del mismo sujeto y corte.</x:v>
      </x:c>
      <x:c r="T48" s="12" t="str">
        <x:f>IFERROR(INDEX('55_Codificacion_ensayo'!$B$5:$B$13,MATCH(B48,'55_Codificacion_ensayo'!$A$5:$A$13,0)),"")</x:f>
        <x:v>TERMINACION-GENERACION-PROCESO-0.1</x:v>
      </x:c>
      <x:c r="U48" s="12" t="str">
        <x:f>IFERROR(INDEX('55_Codificacion_ensayo'!$C$5:$C$13,MATCH(B48,'55_Codificacion_ensayo'!$A$5:$A$13,0)),"")</x:f>
        <x:v>CICLO_GENERACION</x:v>
      </x:c>
      <x:c r="V48" s="12" t="str">
        <x:f>IFERROR(INDEX('55_Codificacion_ensayo'!$D$5:$D$13,MATCH(B48,'55_Codificacion_ensayo'!$A$5:$A$13,0)),"")</x:f>
        <x:v>ORDEN_ACREDITADO</x:v>
      </x:c>
      <x:c r="W48" s="12" t="str">
        <x:f>IFERROR(INDEX('55_Codificacion_ensayo'!$E$5:$E$13,MATCH(B48,'55_Codificacion_ensayo'!$A$5:$A$13,0)),"")</x:f>
        <x:v>EVENTO_PROC</x:v>
      </x:c>
      <x:c r="X48" s="12" t="str">
        <x:f>IFERROR(INDEX('55_Codificacion_ensayo'!$F$5:$F$13,MATCH(B48,'55_Codificacion_ensayo'!$A$5:$A$13,0)),"")</x:f>
        <x:v>TERMINADA</x:v>
      </x:c>
      <x:c r="Y48" s="12" t="str">
        <x:f>IFERROR(INDEX('55_Codificacion_ensayo'!$G$5:$G$13,MATCH(B48,'55_Codificacion_ensayo'!$A$5:$A$13,0)),"")</x:f>
      </x:c>
      <x:c r="Z48" s="12" t="str">
        <x:f>IFERROR(INDEX('55_Codificacion_ensayo'!$H$5:$H$13,MATCH(B48,'55_Codificacion_ensayo'!$A$5:$A$13,0)),"")</x:f>
        <x:v>NINGUNO</x:v>
      </x:c>
      <x:c r="AA48" s="12" t="str">
        <x:f>IFERROR(INDEX('55_Codificacion_ensayo'!$I$5:$I$13,MATCH(B48,'55_Codificacion_ensayo'!$A$5:$A$13,0)),"")</x:f>
        <x:v>GENERACION_TERMINADA</x:v>
      </x:c>
      <x:c r="AB48" s="12" t="str">
        <x:f>IFERROR(INDEX('55_Codificacion_ensayo'!$J$5:$J$13,MATCH(B48,'55_Codificacion_ensayo'!$A$5:$A$13,0)),"")</x:f>
        <x:v>SIN_TERMINACION</x:v>
      </x:c>
    </x:row>
    <x:row r="49" ht="47" customHeight="1">
      <x:c r="A49" s="4" t="str">
        <x:v>L10-05-05</x:v>
      </x:c>
      <x:c r="B49" s="4" t="str">
        <x:v>PAR-CYB-GENERACION-PROCESO-TERMINADA-001</x:v>
      </x:c>
      <x:c r="C49" s="4" t="str">
        <x:v>TERMINACION-GENERACION-PROCESO-0.1</x:v>
      </x:c>
      <x:c r="D49" s="4" t="str">
        <x:v>COINCIDE</x:v>
      </x:c>
      <x:c r="E49" s="4" t="str">
        <x:v>FALLO</x:v>
      </x:c>
      <x:c r="F49" s="4" t="str">
        <x:v>CICLO_GENERACION</x:v>
      </x:c>
      <x:c r="G49" s="4" t="str">
        <x:v>UNICA</x:v>
      </x:c>
      <x:c r="H49" s="4" t="str">
        <x:v>TERMINADA</x:v>
      </x:c>
      <x:c r="I49" s="4" t="str"/>
      <x:c r="J49" s="4" t="str">
        <x:v>COMPLETA</x:v>
      </x:c>
      <x:c r="K49" s="4" t="str">
        <x:v>ORDEN_ACREDITADO</x:v>
      </x:c>
      <x:c r="L49" s="4" t="str">
        <x:v>FALLO_CAPTURA</x:v>
      </x:c>
      <x:c r="M49" s="4" t="str"/>
      <x:c r="N49" s="4" t="str">
        <x:v>SIN_EJECUCION_DOMINIO</x:v>
      </x:c>
      <x:c r="O49" s="12" t="str">
        <x:f>IF(Q49="SIN_EJECUCION_DOMINIO","FALLO_CAPTURA",IF(OR(Q49="CAPTURA_MAL_FORMADA",Q49="IDENTIDAD",Q49="OBSERVACION_MAL_FORMADA",Q49="LEXEMA_O_FORMA"),"NO_ADMISION",IF(OR(Q49="PERFIL_NO_CONSTITUIDO",Q49="RESULTADO_NO_TERMINAL"),"FUERA_PERFIL",IF(Q49="CONTEXTO_NO_CONSTITUIDO","CONFIGURACION_PENDIENTE","VALIDA"))))</x:f>
        <x:v>FALLO_CAPTURA</x:v>
      </x:c>
      <x:c r="P49" s="12" t="str">
        <x:f>IF(O49&lt;&gt;"VALIDA","",IF(Q49=AA49,"1",IF(Q49=AB49,"0","U")))</x:f>
      </x:c>
      <x:c r="Q49" s="12" t="str">
        <x:f>IF(E49="FALLO","SIN_EJECUCION_DOMINIO",IF(E49&lt;&gt;"LEGIBLE","CAPTURA_MAL_FORMADA",IF(D49&lt;&gt;"COINCIDE","IDENTIDAD",IF(OR(T49="",C49&lt;&gt;T49),"PERFIL_NO_CONSTITUIDO",IF(K49&lt;&gt;V49,IF(V49="ORDEN_ACREDITADO","ORDEN_NO_ACREDITADO","CONTEXTO_NO_CONSTITUIDO"),IF(AND(G49="AUSENTE",H49="",I49=""),"DATO_AUSENTE",IF(AND(G49="CONFLICTO",H49="",I49=""),"CONFLICTO_OBSERVACIONAL",IF(G49&lt;&gt;"UNICA","OBSERVACION_MAL_FORMADA",IF(F49&lt;&gt;U49,"OBSERVACION_INSUFICIENTE",IF(W49="RESULTADO",IF(H49=X49,AA49,IF(OR(H49="orcSucceededWithErrors",H49="orcFailed",H49="orcAborted"),AB49,IF(OR(H49="orcNotStarted",H49="orcInProgress"),"RESULTADO_NO_TERMINAL","LEXEMA_O_FORMA"))),IF(W49="EVENTO_BOOT",IF(H49=X49,AA49,IF(OR(H49="NINGUNO",H49="SOLO_HIBRIDO"),IF(J49="COMPLETA",AB49,"COBERTURA_INSUFICIENTE"),"LEXEMA_O_FORMA")),IF(W49="REQUISITO_SOFT",IF(H49=X49,AA49,IF(H49=Z49,AB49,"LEXEMA_O_FORMA")),IF(W49="EVENTO_PROC",IF(H49=X49,AA49,IF(H49=Z49,IF(J49="COMPLETA",AB49,"COBERTURA_INSUFICIENTE"),"LEXEMA_O_FORMA")),IF(W49="IMAGEN",IF(AND(AND(ISTEXT(H49),LEN(("x"&amp;H49))=65,EXACT(("x"&amp;H49),LOWER(("x"&amp;H49))),ISERROR(SEARCH(" ",("x"&amp;H49))),ISERROR(SEARCH(CHAR(9),("x"&amp;H49))),ISERROR(SEARCH(CHAR(10),("x"&amp;H49))),ISERROR(SEARCH(CHAR(13),("x"&amp;H49))),IFERROR(HEX2DEC(MID(("x"&amp;H49),2,8))&gt;=0,FALSE),IFERROR(HEX2DEC(MID(("x"&amp;H49),10,8))&gt;=0,FALSE),IFERROR(HEX2DEC(MID(("x"&amp;H49),18,8))&gt;=0,FALSE),IFERROR(HEX2DEC(MID(("x"&amp;H49),26,8))&gt;=0,FALSE),IFERROR(HEX2DEC(MID(("x"&amp;H49),34,8))&gt;=0,FALSE),IFERROR(HEX2DEC(MID(("x"&amp;H49),42,8))&gt;=0,FALSE),IFERROR(HEX2DEC(MID(("x"&amp;H49),50,8))&gt;=0,FALSE),IFERROR(HEX2DEC(MID(("x"&amp;H49),58,8))&gt;=0,FALSE)),AND(ISTEXT(I49),LEN(("x"&amp;I49))=65,EXACT(("x"&amp;I49),LOWER(("x"&amp;I49))),ISERROR(SEARCH(" ",("x"&amp;I49))),ISERROR(SEARCH(CHAR(9),("x"&amp;I49))),ISERROR(SEARCH(CHAR(10),("x"&amp;I49))),ISERROR(SEARCH(CHAR(13),("x"&amp;I49))),IFERROR(HEX2DEC(MID(("x"&amp;I49),2,8))&gt;=0,FALSE),IFERROR(HEX2DEC(MID(("x"&amp;I49),10,8))&gt;=0,FALSE),IFERROR(HEX2DEC(MID(("x"&amp;I49),18,8))&gt;=0,FALSE),IFERROR(HEX2DEC(MID(("x"&amp;I49),26,8))&gt;=0,FALSE),IFERROR(HEX2DEC(MID(("x"&amp;I49),34,8))&gt;=0,FALSE),IFERROR(HEX2DEC(MID(("x"&amp;I49),42,8))&gt;=0,FALSE),IFERROR(HEX2DEC(MID(("x"&amp;I49),50,8))&gt;=0,FALSE),IFERROR(HEX2DEC(MID(("x"&amp;I49),58,8))&gt;=0,FALSE))),IF(EXACT("x"&amp;H49,"x"&amp;I49),AA49,AB49),"LEXEMA_O_FORMA"),IF(W49="PRUEBA",IF(H49=X49,AA49,IF(H49=Z49,AB49,"LEXEMA_O_FORMA")),IF(W49="RETIRADA",IF(AND(H49="NINGUNO",I49=""),IF(J49="COMPLETA",AB49,"COBERTURA_INSUFICIENTE"),IF(AND(OR(H49="uoInstallation",H49="uoUninstallation"),OR(I49="orcSucceeded",I49="orcSucceededWithErrors",I49="orcFailed",I49="orcAborted",I49="orcInProgress",I49="orcNotStarted")),IF(AND(H49=X49,I49=Y49),AA49,IF(AND(H49=X49,OR(I49="orcSucceededWithErrors",I49="orcInProgress",I49="orcNotStarted")),"RESULTADO_RETIRADA_INCIERTO",IF(J49="COMPLETA",AB49,"COBERTURA_INSUFICIENTE"))),"LEXEMA_O_FORMA")),IF(W49="CAMBIO",IF(OR(H49="CAMBIO",H49="CAMBIO_Y_RETORNO"),AA49,IF(OR(H49="NINGUNO",H49="SOLO_RENOMBRE"),IF(J49="COMPLETA",AB49,"COBERTURA_INSUFICIENTE"),"LEXEMA_O_FORMA")),IF(W49="RESTAURACION",IF(H49=X49,AA49,IF(OR(H49="NINGUNO",H49="RESTAURACION_POSTERIOR",H49="RESTAURACION_FALLIDA"),IF(J49="COMPLETA",AB49,"COBERTURA_INSUFICIENTE"),"LEXEMA_O_FORMA")),"PERFIL_NO_CONSTITUIDO"))))))))))))))))))</x:f>
        <x:v>SIN_EJECUCION_DOMINIO</x:v>
      </x:c>
      <x:c r="R49" s="12" t="str">
        <x:f>IF(AND(L49=O49,M49=P49,N49=Q49),"PASA","NO_PASA")</x:f>
        <x:v>PASA</x:v>
      </x:c>
      <x:c r="S49" s="4" t="str">
        <x:v>El observador falla; no existe ejecución de dominio ni Tri alternativo.</x:v>
      </x:c>
      <x:c r="T49" s="12" t="str">
        <x:f>IFERROR(INDEX('55_Codificacion_ensayo'!$B$5:$B$13,MATCH(B49,'55_Codificacion_ensayo'!$A$5:$A$13,0)),"")</x:f>
        <x:v>TERMINACION-GENERACION-PROCESO-0.1</x:v>
      </x:c>
      <x:c r="U49" s="12" t="str">
        <x:f>IFERROR(INDEX('55_Codificacion_ensayo'!$C$5:$C$13,MATCH(B49,'55_Codificacion_ensayo'!$A$5:$A$13,0)),"")</x:f>
        <x:v>CICLO_GENERACION</x:v>
      </x:c>
      <x:c r="V49" s="12" t="str">
        <x:f>IFERROR(INDEX('55_Codificacion_ensayo'!$D$5:$D$13,MATCH(B49,'55_Codificacion_ensayo'!$A$5:$A$13,0)),"")</x:f>
        <x:v>ORDEN_ACREDITADO</x:v>
      </x:c>
      <x:c r="W49" s="12" t="str">
        <x:f>IFERROR(INDEX('55_Codificacion_ensayo'!$E$5:$E$13,MATCH(B49,'55_Codificacion_ensayo'!$A$5:$A$13,0)),"")</x:f>
        <x:v>EVENTO_PROC</x:v>
      </x:c>
      <x:c r="X49" s="12" t="str">
        <x:f>IFERROR(INDEX('55_Codificacion_ensayo'!$F$5:$F$13,MATCH(B49,'55_Codificacion_ensayo'!$A$5:$A$13,0)),"")</x:f>
        <x:v>TERMINADA</x:v>
      </x:c>
      <x:c r="Y49" s="12" t="str">
        <x:f>IFERROR(INDEX('55_Codificacion_ensayo'!$G$5:$G$13,MATCH(B49,'55_Codificacion_ensayo'!$A$5:$A$13,0)),"")</x:f>
      </x:c>
      <x:c r="Z49" s="12" t="str">
        <x:f>IFERROR(INDEX('55_Codificacion_ensayo'!$H$5:$H$13,MATCH(B49,'55_Codificacion_ensayo'!$A$5:$A$13,0)),"")</x:f>
        <x:v>NINGUNO</x:v>
      </x:c>
      <x:c r="AA49" s="12" t="str">
        <x:f>IFERROR(INDEX('55_Codificacion_ensayo'!$I$5:$I$13,MATCH(B49,'55_Codificacion_ensayo'!$A$5:$A$13,0)),"")</x:f>
        <x:v>GENERACION_TERMINADA</x:v>
      </x:c>
      <x:c r="AB49" s="12" t="str">
        <x:f>IFERROR(INDEX('55_Codificacion_ensayo'!$J$5:$J$13,MATCH(B49,'55_Codificacion_ensayo'!$A$5:$A$13,0)),"")</x:f>
        <x:v>SIN_TERMINACION</x:v>
      </x:c>
    </x:row>
    <x:row r="50" ht="47" customHeight="1">
      <x:c r="A50" s="4" t="str">
        <x:v>L10-05-06</x:v>
      </x:c>
      <x:c r="B50" s="4" t="str">
        <x:v>PAR-CYB-GENERACION-PROCESO-TERMINADA-001</x:v>
      </x:c>
      <x:c r="C50" s="4" t="str">
        <x:v>TERMINACION-GENERACION-PROCESO-0.1</x:v>
      </x:c>
      <x:c r="D50" s="4" t="str">
        <x:v>OTRO</x:v>
      </x:c>
      <x:c r="E50" s="4" t="str">
        <x:v>LEGIBLE</x:v>
      </x:c>
      <x:c r="F50" s="4" t="str">
        <x:v>CICLO_GENERACION</x:v>
      </x:c>
      <x:c r="G50" s="4" t="str">
        <x:v>UNICA</x:v>
      </x:c>
      <x:c r="H50" s="4" t="str">
        <x:v>TERMINADA</x:v>
      </x:c>
      <x:c r="I50" s="4" t="str"/>
      <x:c r="J50" s="4" t="str">
        <x:v>COMPLETA</x:v>
      </x:c>
      <x:c r="K50" s="4" t="str">
        <x:v>ORDEN_ACREDITADO</x:v>
      </x:c>
      <x:c r="L50" s="4" t="str">
        <x:v>NO_ADMISION</x:v>
      </x:c>
      <x:c r="M50" s="4" t="str"/>
      <x:c r="N50" s="4" t="str">
        <x:v>IDENTIDAD</x:v>
      </x:c>
      <x:c r="O50" s="12" t="str">
        <x:f>IF(Q50="SIN_EJECUCION_DOMINIO","FALLO_CAPTURA",IF(OR(Q50="CAPTURA_MAL_FORMADA",Q50="IDENTIDAD",Q50="OBSERVACION_MAL_FORMADA",Q50="LEXEMA_O_FORMA"),"NO_ADMISION",IF(OR(Q50="PERFIL_NO_CONSTITUIDO",Q50="RESULTADO_NO_TERMINAL"),"FUERA_PERFIL",IF(Q50="CONTEXTO_NO_CONSTITUIDO","CONFIGURACION_PENDIENTE","VALIDA"))))</x:f>
        <x:v>NO_ADMISION</x:v>
      </x:c>
      <x:c r="P50" s="12" t="str">
        <x:f>IF(O50&lt;&gt;"VALIDA","",IF(Q50=AA50,"1",IF(Q50=AB50,"0","U")))</x:f>
      </x:c>
      <x:c r="Q50" s="12" t="str">
        <x:f>IF(E50="FALLO","SIN_EJECUCION_DOMINIO",IF(E50&lt;&gt;"LEGIBLE","CAPTURA_MAL_FORMADA",IF(D50&lt;&gt;"COINCIDE","IDENTIDAD",IF(OR(T50="",C50&lt;&gt;T50),"PERFIL_NO_CONSTITUIDO",IF(K50&lt;&gt;V50,IF(V50="ORDEN_ACREDITADO","ORDEN_NO_ACREDITADO","CONTEXTO_NO_CONSTITUIDO"),IF(AND(G50="AUSENTE",H50="",I50=""),"DATO_AUSENTE",IF(AND(G50="CONFLICTO",H50="",I50=""),"CONFLICTO_OBSERVACIONAL",IF(G50&lt;&gt;"UNICA","OBSERVACION_MAL_FORMADA",IF(F50&lt;&gt;U50,"OBSERVACION_INSUFICIENTE",IF(W50="RESULTADO",IF(H50=X50,AA50,IF(OR(H50="orcSucceededWithErrors",H50="orcFailed",H50="orcAborted"),AB50,IF(OR(H50="orcNotStarted",H50="orcInProgress"),"RESULTADO_NO_TERMINAL","LEXEMA_O_FORMA"))),IF(W50="EVENTO_BOOT",IF(H50=X50,AA50,IF(OR(H50="NINGUNO",H50="SOLO_HIBRIDO"),IF(J50="COMPLETA",AB50,"COBERTURA_INSUFICIENTE"),"LEXEMA_O_FORMA")),IF(W50="REQUISITO_SOFT",IF(H50=X50,AA50,IF(H50=Z50,AB50,"LEXEMA_O_FORMA")),IF(W50="EVENTO_PROC",IF(H50=X50,AA50,IF(H50=Z50,IF(J50="COMPLETA",AB50,"COBERTURA_INSUFICIENTE"),"LEXEMA_O_FORMA")),IF(W50="IMAGEN",IF(AND(AND(ISTEXT(H50),LEN(("x"&amp;H50))=65,EXACT(("x"&amp;H50),LOWER(("x"&amp;H50))),ISERROR(SEARCH(" ",("x"&amp;H50))),ISERROR(SEARCH(CHAR(9),("x"&amp;H50))),ISERROR(SEARCH(CHAR(10),("x"&amp;H50))),ISERROR(SEARCH(CHAR(13),("x"&amp;H50))),IFERROR(HEX2DEC(MID(("x"&amp;H50),2,8))&gt;=0,FALSE),IFERROR(HEX2DEC(MID(("x"&amp;H50),10,8))&gt;=0,FALSE),IFERROR(HEX2DEC(MID(("x"&amp;H50),18,8))&gt;=0,FALSE),IFERROR(HEX2DEC(MID(("x"&amp;H50),26,8))&gt;=0,FALSE),IFERROR(HEX2DEC(MID(("x"&amp;H50),34,8))&gt;=0,FALSE),IFERROR(HEX2DEC(MID(("x"&amp;H50),42,8))&gt;=0,FALSE),IFERROR(HEX2DEC(MID(("x"&amp;H50),50,8))&gt;=0,FALSE),IFERROR(HEX2DEC(MID(("x"&amp;H50),58,8))&gt;=0,FALSE)),AND(ISTEXT(I50),LEN(("x"&amp;I50))=65,EXACT(("x"&amp;I50),LOWER(("x"&amp;I50))),ISERROR(SEARCH(" ",("x"&amp;I50))),ISERROR(SEARCH(CHAR(9),("x"&amp;I50))),ISERROR(SEARCH(CHAR(10),("x"&amp;I50))),ISERROR(SEARCH(CHAR(13),("x"&amp;I50))),IFERROR(HEX2DEC(MID(("x"&amp;I50),2,8))&gt;=0,FALSE),IFERROR(HEX2DEC(MID(("x"&amp;I50),10,8))&gt;=0,FALSE),IFERROR(HEX2DEC(MID(("x"&amp;I50),18,8))&gt;=0,FALSE),IFERROR(HEX2DEC(MID(("x"&amp;I50),26,8))&gt;=0,FALSE),IFERROR(HEX2DEC(MID(("x"&amp;I50),34,8))&gt;=0,FALSE),IFERROR(HEX2DEC(MID(("x"&amp;I50),42,8))&gt;=0,FALSE),IFERROR(HEX2DEC(MID(("x"&amp;I50),50,8))&gt;=0,FALSE),IFERROR(HEX2DEC(MID(("x"&amp;I50),58,8))&gt;=0,FALSE))),IF(EXACT("x"&amp;H50,"x"&amp;I50),AA50,AB50),"LEXEMA_O_FORMA"),IF(W50="PRUEBA",IF(H50=X50,AA50,IF(H50=Z50,AB50,"LEXEMA_O_FORMA")),IF(W50="RETIRADA",IF(AND(H50="NINGUNO",I50=""),IF(J50="COMPLETA",AB50,"COBERTURA_INSUFICIENTE"),IF(AND(OR(H50="uoInstallation",H50="uoUninstallation"),OR(I50="orcSucceeded",I50="orcSucceededWithErrors",I50="orcFailed",I50="orcAborted",I50="orcInProgress",I50="orcNotStarted")),IF(AND(H50=X50,I50=Y50),AA50,IF(AND(H50=X50,OR(I50="orcSucceededWithErrors",I50="orcInProgress",I50="orcNotStarted")),"RESULTADO_RETIRADA_INCIERTO",IF(J50="COMPLETA",AB50,"COBERTURA_INSUFICIENTE"))),"LEXEMA_O_FORMA")),IF(W50="CAMBIO",IF(OR(H50="CAMBIO",H50="CAMBIO_Y_RETORNO"),AA50,IF(OR(H50="NINGUNO",H50="SOLO_RENOMBRE"),IF(J50="COMPLETA",AB50,"COBERTURA_INSUFICIENTE"),"LEXEMA_O_FORMA")),IF(W50="RESTAURACION",IF(H50=X50,AA50,IF(OR(H50="NINGUNO",H50="RESTAURACION_POSTERIOR",H50="RESTAURACION_FALLIDA"),IF(J50="COMPLETA",AB50,"COBERTURA_INSUFICIENTE"),"LEXEMA_O_FORMA")),"PERFIL_NO_CONSTITUIDO"))))))))))))))))))</x:f>
        <x:v>IDENTIDAD</x:v>
      </x:c>
      <x:c r="R50" s="12" t="str">
        <x:f>IF(AND(L50=O50,M50=P50,N50=Q50),"PASA","NO_PASA")</x:f>
        <x:v>PASA</x:v>
      </x:c>
      <x:c r="S50" s="4" t="str">
        <x:v>El testigo pertenece a otro sujeto; no se recicla su dato.</x:v>
      </x:c>
      <x:c r="T50" s="12" t="str">
        <x:f>IFERROR(INDEX('55_Codificacion_ensayo'!$B$5:$B$13,MATCH(B50,'55_Codificacion_ensayo'!$A$5:$A$13,0)),"")</x:f>
        <x:v>TERMINACION-GENERACION-PROCESO-0.1</x:v>
      </x:c>
      <x:c r="U50" s="12" t="str">
        <x:f>IFERROR(INDEX('55_Codificacion_ensayo'!$C$5:$C$13,MATCH(B50,'55_Codificacion_ensayo'!$A$5:$A$13,0)),"")</x:f>
        <x:v>CICLO_GENERACION</x:v>
      </x:c>
      <x:c r="V50" s="12" t="str">
        <x:f>IFERROR(INDEX('55_Codificacion_ensayo'!$D$5:$D$13,MATCH(B50,'55_Codificacion_ensayo'!$A$5:$A$13,0)),"")</x:f>
        <x:v>ORDEN_ACREDITADO</x:v>
      </x:c>
      <x:c r="W50" s="12" t="str">
        <x:f>IFERROR(INDEX('55_Codificacion_ensayo'!$E$5:$E$13,MATCH(B50,'55_Codificacion_ensayo'!$A$5:$A$13,0)),"")</x:f>
        <x:v>EVENTO_PROC</x:v>
      </x:c>
      <x:c r="X50" s="12" t="str">
        <x:f>IFERROR(INDEX('55_Codificacion_ensayo'!$F$5:$F$13,MATCH(B50,'55_Codificacion_ensayo'!$A$5:$A$13,0)),"")</x:f>
        <x:v>TERMINADA</x:v>
      </x:c>
      <x:c r="Y50" s="12" t="str">
        <x:f>IFERROR(INDEX('55_Codificacion_ensayo'!$G$5:$G$13,MATCH(B50,'55_Codificacion_ensayo'!$A$5:$A$13,0)),"")</x:f>
      </x:c>
      <x:c r="Z50" s="12" t="str">
        <x:f>IFERROR(INDEX('55_Codificacion_ensayo'!$H$5:$H$13,MATCH(B50,'55_Codificacion_ensayo'!$A$5:$A$13,0)),"")</x:f>
        <x:v>NINGUNO</x:v>
      </x:c>
      <x:c r="AA50" s="12" t="str">
        <x:f>IFERROR(INDEX('55_Codificacion_ensayo'!$I$5:$I$13,MATCH(B50,'55_Codificacion_ensayo'!$A$5:$A$13,0)),"")</x:f>
        <x:v>GENERACION_TERMINADA</x:v>
      </x:c>
      <x:c r="AB50" s="12" t="str">
        <x:f>IFERROR(INDEX('55_Codificacion_ensayo'!$J$5:$J$13,MATCH(B50,'55_Codificacion_ensayo'!$A$5:$A$13,0)),"")</x:f>
        <x:v>SIN_TERMINACION</x:v>
      </x:c>
    </x:row>
    <x:row r="51" ht="47" customHeight="1">
      <x:c r="A51" s="4" t="str">
        <x:v>L10-05-07</x:v>
      </x:c>
      <x:c r="B51" s="4" t="str">
        <x:v>PAR-CYB-GENERACION-PROCESO-TERMINADA-001</x:v>
      </x:c>
      <x:c r="C51" s="4" t="str">
        <x:v>TERMINACION-GENERACION-PROCESO-0.1</x:v>
      </x:c>
      <x:c r="D51" s="4" t="str">
        <x:v>COINCIDE</x:v>
      </x:c>
      <x:c r="E51" s="4" t="str">
        <x:v>LEGIBLE</x:v>
      </x:c>
      <x:c r="F51" s="4" t="str">
        <x:v>FUENTE_GENERAL</x:v>
      </x:c>
      <x:c r="G51" s="4" t="str">
        <x:v>UNICA</x:v>
      </x:c>
      <x:c r="H51" s="4" t="str">
        <x:v>TERMINADA</x:v>
      </x:c>
      <x:c r="I51" s="4" t="str"/>
      <x:c r="J51" s="4" t="str">
        <x:v>COMPLETA</x:v>
      </x:c>
      <x:c r="K51" s="4" t="str">
        <x:v>ORDEN_ACREDITADO</x:v>
      </x:c>
      <x:c r="L51" s="4" t="str">
        <x:v>VALIDA</x:v>
      </x:c>
      <x:c r="M51" s="4" t="str">
        <x:v>U</x:v>
      </x:c>
      <x:c r="N51" s="4" t="str">
        <x:v>OBSERVACION_INSUFICIENTE</x:v>
      </x:c>
      <x:c r="O51" s="12" t="str">
        <x:f>IF(Q51="SIN_EJECUCION_DOMINIO","FALLO_CAPTURA",IF(OR(Q51="CAPTURA_MAL_FORMADA",Q51="IDENTIDAD",Q51="OBSERVACION_MAL_FORMADA",Q51="LEXEMA_O_FORMA"),"NO_ADMISION",IF(OR(Q51="PERFIL_NO_CONSTITUIDO",Q51="RESULTADO_NO_TERMINAL"),"FUERA_PERFIL",IF(Q51="CONTEXTO_NO_CONSTITUIDO","CONFIGURACION_PENDIENTE","VALIDA"))))</x:f>
        <x:v>VALIDA</x:v>
      </x:c>
      <x:c r="P51" s="12" t="str">
        <x:f>IF(O51&lt;&gt;"VALIDA","",IF(Q51=AA51,"1",IF(Q51=AB51,"0","U")))</x:f>
        <x:v>U</x:v>
      </x:c>
      <x:c r="Q51" s="12" t="str">
        <x:f>IF(E51="FALLO","SIN_EJECUCION_DOMINIO",IF(E51&lt;&gt;"LEGIBLE","CAPTURA_MAL_FORMADA",IF(D51&lt;&gt;"COINCIDE","IDENTIDAD",IF(OR(T51="",C51&lt;&gt;T51),"PERFIL_NO_CONSTITUIDO",IF(K51&lt;&gt;V51,IF(V51="ORDEN_ACREDITADO","ORDEN_NO_ACREDITADO","CONTEXTO_NO_CONSTITUIDO"),IF(AND(G51="AUSENTE",H51="",I51=""),"DATO_AUSENTE",IF(AND(G51="CONFLICTO",H51="",I51=""),"CONFLICTO_OBSERVACIONAL",IF(G51&lt;&gt;"UNICA","OBSERVACION_MAL_FORMADA",IF(F51&lt;&gt;U51,"OBSERVACION_INSUFICIENTE",IF(W51="RESULTADO",IF(H51=X51,AA51,IF(OR(H51="orcSucceededWithErrors",H51="orcFailed",H51="orcAborted"),AB51,IF(OR(H51="orcNotStarted",H51="orcInProgress"),"RESULTADO_NO_TERMINAL","LEXEMA_O_FORMA"))),IF(W51="EVENTO_BOOT",IF(H51=X51,AA51,IF(OR(H51="NINGUNO",H51="SOLO_HIBRIDO"),IF(J51="COMPLETA",AB51,"COBERTURA_INSUFICIENTE"),"LEXEMA_O_FORMA")),IF(W51="REQUISITO_SOFT",IF(H51=X51,AA51,IF(H51=Z51,AB51,"LEXEMA_O_FORMA")),IF(W51="EVENTO_PROC",IF(H51=X51,AA51,IF(H51=Z51,IF(J51="COMPLETA",AB51,"COBERTURA_INSUFICIENTE"),"LEXEMA_O_FORMA")),IF(W51="IMAGEN",IF(AND(AND(ISTEXT(H51),LEN(("x"&amp;H51))=65,EXACT(("x"&amp;H51),LOWER(("x"&amp;H51))),ISERROR(SEARCH(" ",("x"&amp;H51))),ISERROR(SEARCH(CHAR(9),("x"&amp;H51))),ISERROR(SEARCH(CHAR(10),("x"&amp;H51))),ISERROR(SEARCH(CHAR(13),("x"&amp;H51))),IFERROR(HEX2DEC(MID(("x"&amp;H51),2,8))&gt;=0,FALSE),IFERROR(HEX2DEC(MID(("x"&amp;H51),10,8))&gt;=0,FALSE),IFERROR(HEX2DEC(MID(("x"&amp;H51),18,8))&gt;=0,FALSE),IFERROR(HEX2DEC(MID(("x"&amp;H51),26,8))&gt;=0,FALSE),IFERROR(HEX2DEC(MID(("x"&amp;H51),34,8))&gt;=0,FALSE),IFERROR(HEX2DEC(MID(("x"&amp;H51),42,8))&gt;=0,FALSE),IFERROR(HEX2DEC(MID(("x"&amp;H51),50,8))&gt;=0,FALSE),IFERROR(HEX2DEC(MID(("x"&amp;H51),58,8))&gt;=0,FALSE)),AND(ISTEXT(I51),LEN(("x"&amp;I51))=65,EXACT(("x"&amp;I51),LOWER(("x"&amp;I51))),ISERROR(SEARCH(" ",("x"&amp;I51))),ISERROR(SEARCH(CHAR(9),("x"&amp;I51))),ISERROR(SEARCH(CHAR(10),("x"&amp;I51))),ISERROR(SEARCH(CHAR(13),("x"&amp;I51))),IFERROR(HEX2DEC(MID(("x"&amp;I51),2,8))&gt;=0,FALSE),IFERROR(HEX2DEC(MID(("x"&amp;I51),10,8))&gt;=0,FALSE),IFERROR(HEX2DEC(MID(("x"&amp;I51),18,8))&gt;=0,FALSE),IFERROR(HEX2DEC(MID(("x"&amp;I51),26,8))&gt;=0,FALSE),IFERROR(HEX2DEC(MID(("x"&amp;I51),34,8))&gt;=0,FALSE),IFERROR(HEX2DEC(MID(("x"&amp;I51),42,8))&gt;=0,FALSE),IFERROR(HEX2DEC(MID(("x"&amp;I51),50,8))&gt;=0,FALSE),IFERROR(HEX2DEC(MID(("x"&amp;I51),58,8))&gt;=0,FALSE))),IF(EXACT("x"&amp;H51,"x"&amp;I51),AA51,AB51),"LEXEMA_O_FORMA"),IF(W51="PRUEBA",IF(H51=X51,AA51,IF(H51=Z51,AB51,"LEXEMA_O_FORMA")),IF(W51="RETIRADA",IF(AND(H51="NINGUNO",I51=""),IF(J51="COMPLETA",AB51,"COBERTURA_INSUFICIENTE"),IF(AND(OR(H51="uoInstallation",H51="uoUninstallation"),OR(I51="orcSucceeded",I51="orcSucceededWithErrors",I51="orcFailed",I51="orcAborted",I51="orcInProgress",I51="orcNotStarted")),IF(AND(H51=X51,I51=Y51),AA51,IF(AND(H51=X51,OR(I51="orcSucceededWithErrors",I51="orcInProgress",I51="orcNotStarted")),"RESULTADO_RETIRADA_INCIERTO",IF(J51="COMPLETA",AB51,"COBERTURA_INSUFICIENTE"))),"LEXEMA_O_FORMA")),IF(W51="CAMBIO",IF(OR(H51="CAMBIO",H51="CAMBIO_Y_RETORNO"),AA51,IF(OR(H51="NINGUNO",H51="SOLO_RENOMBRE"),IF(J51="COMPLETA",AB51,"COBERTURA_INSUFICIENTE"),"LEXEMA_O_FORMA")),IF(W51="RESTAURACION",IF(H51=X51,AA51,IF(OR(H51="NINGUNO",H51="RESTAURACION_POSTERIOR",H51="RESTAURACION_FALLIDA"),IF(J51="COMPLETA",AB51,"COBERTURA_INSUFICIENTE"),"LEXEMA_O_FORMA")),"PERFIL_NO_CONSTITUIDO"))))))))))))))))))</x:f>
        <x:v>OBSERVACION_INSUFICIENTE</x:v>
      </x:c>
      <x:c r="R51" s="12" t="str">
        <x:f>IF(AND(L51=O51,M51=P51,N51=Q51),"PASA","NO_PASA")</x:f>
        <x:v>PASA</x:v>
      </x:c>
      <x:c r="S51" s="4" t="str">
        <x:v>Una fuente del dominio no sustituye la observación específica del episodio.</x:v>
      </x:c>
      <x:c r="T51" s="12" t="str">
        <x:f>IFERROR(INDEX('55_Codificacion_ensayo'!$B$5:$B$13,MATCH(B51,'55_Codificacion_ensayo'!$A$5:$A$13,0)),"")</x:f>
        <x:v>TERMINACION-GENERACION-PROCESO-0.1</x:v>
      </x:c>
      <x:c r="U51" s="12" t="str">
        <x:f>IFERROR(INDEX('55_Codificacion_ensayo'!$C$5:$C$13,MATCH(B51,'55_Codificacion_ensayo'!$A$5:$A$13,0)),"")</x:f>
        <x:v>CICLO_GENERACION</x:v>
      </x:c>
      <x:c r="V51" s="12" t="str">
        <x:f>IFERROR(INDEX('55_Codificacion_ensayo'!$D$5:$D$13,MATCH(B51,'55_Codificacion_ensayo'!$A$5:$A$13,0)),"")</x:f>
        <x:v>ORDEN_ACREDITADO</x:v>
      </x:c>
      <x:c r="W51" s="12" t="str">
        <x:f>IFERROR(INDEX('55_Codificacion_ensayo'!$E$5:$E$13,MATCH(B51,'55_Codificacion_ensayo'!$A$5:$A$13,0)),"")</x:f>
        <x:v>EVENTO_PROC</x:v>
      </x:c>
      <x:c r="X51" s="12" t="str">
        <x:f>IFERROR(INDEX('55_Codificacion_ensayo'!$F$5:$F$13,MATCH(B51,'55_Codificacion_ensayo'!$A$5:$A$13,0)),"")</x:f>
        <x:v>TERMINADA</x:v>
      </x:c>
      <x:c r="Y51" s="12" t="str">
        <x:f>IFERROR(INDEX('55_Codificacion_ensayo'!$G$5:$G$13,MATCH(B51,'55_Codificacion_ensayo'!$A$5:$A$13,0)),"")</x:f>
      </x:c>
      <x:c r="Z51" s="12" t="str">
        <x:f>IFERROR(INDEX('55_Codificacion_ensayo'!$H$5:$H$13,MATCH(B51,'55_Codificacion_ensayo'!$A$5:$A$13,0)),"")</x:f>
        <x:v>NINGUNO</x:v>
      </x:c>
      <x:c r="AA51" s="12" t="str">
        <x:f>IFERROR(INDEX('55_Codificacion_ensayo'!$I$5:$I$13,MATCH(B51,'55_Codificacion_ensayo'!$A$5:$A$13,0)),"")</x:f>
        <x:v>GENERACION_TERMINADA</x:v>
      </x:c>
      <x:c r="AB51" s="12" t="str">
        <x:f>IFERROR(INDEX('55_Codificacion_ensayo'!$J$5:$J$13,MATCH(B51,'55_Codificacion_ensayo'!$A$5:$A$13,0)),"")</x:f>
        <x:v>SIN_TERMINACION</x:v>
      </x:c>
    </x:row>
    <x:row r="52" ht="47" customHeight="1">
      <x:c r="A52" s="4" t="str">
        <x:v>L10-05-08</x:v>
      </x:c>
      <x:c r="B52" s="4" t="str">
        <x:v>PAR-CYB-GENERACION-PROCESO-TERMINADA-001</x:v>
      </x:c>
      <x:c r="C52" s="4" t="str">
        <x:v>OTRO_PERFIL</x:v>
      </x:c>
      <x:c r="D52" s="4" t="str">
        <x:v>COINCIDE</x:v>
      </x:c>
      <x:c r="E52" s="4" t="str">
        <x:v>LEGIBLE</x:v>
      </x:c>
      <x:c r="F52" s="4" t="str">
        <x:v>CICLO_GENERACION</x:v>
      </x:c>
      <x:c r="G52" s="4" t="str">
        <x:v>UNICA</x:v>
      </x:c>
      <x:c r="H52" s="4" t="str">
        <x:v>TERMINADA</x:v>
      </x:c>
      <x:c r="I52" s="4" t="str"/>
      <x:c r="J52" s="4" t="str">
        <x:v>COMPLETA</x:v>
      </x:c>
      <x:c r="K52" s="4" t="str">
        <x:v>ORDEN_ACREDITADO</x:v>
      </x:c>
      <x:c r="L52" s="4" t="str">
        <x:v>FUERA_PERFIL</x:v>
      </x:c>
      <x:c r="M52" s="4" t="str"/>
      <x:c r="N52" s="4" t="str">
        <x:v>PERFIL_NO_CONSTITUIDO</x:v>
      </x:c>
      <x:c r="O52" s="12" t="str">
        <x:f>IF(Q52="SIN_EJECUCION_DOMINIO","FALLO_CAPTURA",IF(OR(Q52="CAPTURA_MAL_FORMADA",Q52="IDENTIDAD",Q52="OBSERVACION_MAL_FORMADA",Q52="LEXEMA_O_FORMA"),"NO_ADMISION",IF(OR(Q52="PERFIL_NO_CONSTITUIDO",Q52="RESULTADO_NO_TERMINAL"),"FUERA_PERFIL",IF(Q52="CONTEXTO_NO_CONSTITUIDO","CONFIGURACION_PENDIENTE","VALIDA"))))</x:f>
        <x:v>FUERA_PERFIL</x:v>
      </x:c>
      <x:c r="P52" s="12" t="str">
        <x:f>IF(O52&lt;&gt;"VALIDA","",IF(Q52=AA52,"1",IF(Q52=AB52,"0","U")))</x:f>
      </x:c>
      <x:c r="Q52" s="12" t="str">
        <x:f>IF(E52="FALLO","SIN_EJECUCION_DOMINIO",IF(E52&lt;&gt;"LEGIBLE","CAPTURA_MAL_FORMADA",IF(D52&lt;&gt;"COINCIDE","IDENTIDAD",IF(OR(T52="",C52&lt;&gt;T52),"PERFIL_NO_CONSTITUIDO",IF(K52&lt;&gt;V52,IF(V52="ORDEN_ACREDITADO","ORDEN_NO_ACREDITADO","CONTEXTO_NO_CONSTITUIDO"),IF(AND(G52="AUSENTE",H52="",I52=""),"DATO_AUSENTE",IF(AND(G52="CONFLICTO",H52="",I52=""),"CONFLICTO_OBSERVACIONAL",IF(G52&lt;&gt;"UNICA","OBSERVACION_MAL_FORMADA",IF(F52&lt;&gt;U52,"OBSERVACION_INSUFICIENTE",IF(W52="RESULTADO",IF(H52=X52,AA52,IF(OR(H52="orcSucceededWithErrors",H52="orcFailed",H52="orcAborted"),AB52,IF(OR(H52="orcNotStarted",H52="orcInProgress"),"RESULTADO_NO_TERMINAL","LEXEMA_O_FORMA"))),IF(W52="EVENTO_BOOT",IF(H52=X52,AA52,IF(OR(H52="NINGUNO",H52="SOLO_HIBRIDO"),IF(J52="COMPLETA",AB52,"COBERTURA_INSUFICIENTE"),"LEXEMA_O_FORMA")),IF(W52="REQUISITO_SOFT",IF(H52=X52,AA52,IF(H52=Z52,AB52,"LEXEMA_O_FORMA")),IF(W52="EVENTO_PROC",IF(H52=X52,AA52,IF(H52=Z52,IF(J52="COMPLETA",AB52,"COBERTURA_INSUFICIENTE"),"LEXEMA_O_FORMA")),IF(W52="IMAGEN",IF(AND(AND(ISTEXT(H52),LEN(("x"&amp;H52))=65,EXACT(("x"&amp;H52),LOWER(("x"&amp;H52))),ISERROR(SEARCH(" ",("x"&amp;H52))),ISERROR(SEARCH(CHAR(9),("x"&amp;H52))),ISERROR(SEARCH(CHAR(10),("x"&amp;H52))),ISERROR(SEARCH(CHAR(13),("x"&amp;H52))),IFERROR(HEX2DEC(MID(("x"&amp;H52),2,8))&gt;=0,FALSE),IFERROR(HEX2DEC(MID(("x"&amp;H52),10,8))&gt;=0,FALSE),IFERROR(HEX2DEC(MID(("x"&amp;H52),18,8))&gt;=0,FALSE),IFERROR(HEX2DEC(MID(("x"&amp;H52),26,8))&gt;=0,FALSE),IFERROR(HEX2DEC(MID(("x"&amp;H52),34,8))&gt;=0,FALSE),IFERROR(HEX2DEC(MID(("x"&amp;H52),42,8))&gt;=0,FALSE),IFERROR(HEX2DEC(MID(("x"&amp;H52),50,8))&gt;=0,FALSE),IFERROR(HEX2DEC(MID(("x"&amp;H52),58,8))&gt;=0,FALSE)),AND(ISTEXT(I52),LEN(("x"&amp;I52))=65,EXACT(("x"&amp;I52),LOWER(("x"&amp;I52))),ISERROR(SEARCH(" ",("x"&amp;I52))),ISERROR(SEARCH(CHAR(9),("x"&amp;I52))),ISERROR(SEARCH(CHAR(10),("x"&amp;I52))),ISERROR(SEARCH(CHAR(13),("x"&amp;I52))),IFERROR(HEX2DEC(MID(("x"&amp;I52),2,8))&gt;=0,FALSE),IFERROR(HEX2DEC(MID(("x"&amp;I52),10,8))&gt;=0,FALSE),IFERROR(HEX2DEC(MID(("x"&amp;I52),18,8))&gt;=0,FALSE),IFERROR(HEX2DEC(MID(("x"&amp;I52),26,8))&gt;=0,FALSE),IFERROR(HEX2DEC(MID(("x"&amp;I52),34,8))&gt;=0,FALSE),IFERROR(HEX2DEC(MID(("x"&amp;I52),42,8))&gt;=0,FALSE),IFERROR(HEX2DEC(MID(("x"&amp;I52),50,8))&gt;=0,FALSE),IFERROR(HEX2DEC(MID(("x"&amp;I52),58,8))&gt;=0,FALSE))),IF(EXACT("x"&amp;H52,"x"&amp;I52),AA52,AB52),"LEXEMA_O_FORMA"),IF(W52="PRUEBA",IF(H52=X52,AA52,IF(H52=Z52,AB52,"LEXEMA_O_FORMA")),IF(W52="RETIRADA",IF(AND(H52="NINGUNO",I52=""),IF(J52="COMPLETA",AB52,"COBERTURA_INSUFICIENTE"),IF(AND(OR(H52="uoInstallation",H52="uoUninstallation"),OR(I52="orcSucceeded",I52="orcSucceededWithErrors",I52="orcFailed",I52="orcAborted",I52="orcInProgress",I52="orcNotStarted")),IF(AND(H52=X52,I52=Y52),AA52,IF(AND(H52=X52,OR(I52="orcSucceededWithErrors",I52="orcInProgress",I52="orcNotStarted")),"RESULTADO_RETIRADA_INCIERTO",IF(J52="COMPLETA",AB52,"COBERTURA_INSUFICIENTE"))),"LEXEMA_O_FORMA")),IF(W52="CAMBIO",IF(OR(H52="CAMBIO",H52="CAMBIO_Y_RETORNO"),AA52,IF(OR(H52="NINGUNO",H52="SOLO_RENOMBRE"),IF(J52="COMPLETA",AB52,"COBERTURA_INSUFICIENTE"),"LEXEMA_O_FORMA")),IF(W52="RESTAURACION",IF(H52=X52,AA52,IF(OR(H52="NINGUNO",H52="RESTAURACION_POSTERIOR",H52="RESTAURACION_FALLIDA"),IF(J52="COMPLETA",AB52,"COBERTURA_INSUFICIENTE"),"LEXEMA_O_FORMA")),"PERFIL_NO_CONSTITUIDO"))))))))))))))))))</x:f>
        <x:v>PERFIL_NO_CONSTITUIDO</x:v>
      </x:c>
      <x:c r="R52" s="12" t="str">
        <x:f>IF(AND(L52=O52,M52=P52,N52=Q52),"PASA","NO_PASA")</x:f>
        <x:v>PASA</x:v>
      </x:c>
      <x:c r="S52" s="4" t="str">
        <x:v>Perfil de otro producto no se normaliza por analogía.</x:v>
      </x:c>
      <x:c r="T52" s="12" t="str">
        <x:f>IFERROR(INDEX('55_Codificacion_ensayo'!$B$5:$B$13,MATCH(B52,'55_Codificacion_ensayo'!$A$5:$A$13,0)),"")</x:f>
        <x:v>TERMINACION-GENERACION-PROCESO-0.1</x:v>
      </x:c>
      <x:c r="U52" s="12" t="str">
        <x:f>IFERROR(INDEX('55_Codificacion_ensayo'!$C$5:$C$13,MATCH(B52,'55_Codificacion_ensayo'!$A$5:$A$13,0)),"")</x:f>
        <x:v>CICLO_GENERACION</x:v>
      </x:c>
      <x:c r="V52" s="12" t="str">
        <x:f>IFERROR(INDEX('55_Codificacion_ensayo'!$D$5:$D$13,MATCH(B52,'55_Codificacion_ensayo'!$A$5:$A$13,0)),"")</x:f>
        <x:v>ORDEN_ACREDITADO</x:v>
      </x:c>
      <x:c r="W52" s="12" t="str">
        <x:f>IFERROR(INDEX('55_Codificacion_ensayo'!$E$5:$E$13,MATCH(B52,'55_Codificacion_ensayo'!$A$5:$A$13,0)),"")</x:f>
        <x:v>EVENTO_PROC</x:v>
      </x:c>
      <x:c r="X52" s="12" t="str">
        <x:f>IFERROR(INDEX('55_Codificacion_ensayo'!$F$5:$F$13,MATCH(B52,'55_Codificacion_ensayo'!$A$5:$A$13,0)),"")</x:f>
        <x:v>TERMINADA</x:v>
      </x:c>
      <x:c r="Y52" s="12" t="str">
        <x:f>IFERROR(INDEX('55_Codificacion_ensayo'!$G$5:$G$13,MATCH(B52,'55_Codificacion_ensayo'!$A$5:$A$13,0)),"")</x:f>
      </x:c>
      <x:c r="Z52" s="12" t="str">
        <x:f>IFERROR(INDEX('55_Codificacion_ensayo'!$H$5:$H$13,MATCH(B52,'55_Codificacion_ensayo'!$A$5:$A$13,0)),"")</x:f>
        <x:v>NINGUNO</x:v>
      </x:c>
      <x:c r="AA52" s="12" t="str">
        <x:f>IFERROR(INDEX('55_Codificacion_ensayo'!$I$5:$I$13,MATCH(B52,'55_Codificacion_ensayo'!$A$5:$A$13,0)),"")</x:f>
        <x:v>GENERACION_TERMINADA</x:v>
      </x:c>
      <x:c r="AB52" s="12" t="str">
        <x:f>IFERROR(INDEX('55_Codificacion_ensayo'!$J$5:$J$13,MATCH(B52,'55_Codificacion_ensayo'!$A$5:$A$13,0)),"")</x:f>
        <x:v>SIN_TERMINACION</x:v>
      </x:c>
    </x:row>
    <x:row r="53" ht="47" customHeight="1">
      <x:c r="A53" s="4" t="str">
        <x:v>L10-05-09</x:v>
      </x:c>
      <x:c r="B53" s="4" t="str">
        <x:v>PAR-CYB-GENERACION-PROCESO-TERMINADA-001</x:v>
      </x:c>
      <x:c r="C53" s="4" t="str">
        <x:v>TERMINACION-GENERACION-PROCESO-0.1</x:v>
      </x:c>
      <x:c r="D53" s="4" t="str">
        <x:v>COINCIDE</x:v>
      </x:c>
      <x:c r="E53" s="4" t="str">
        <x:v>LEGIBLE</x:v>
      </x:c>
      <x:c r="F53" s="4" t="str">
        <x:v>CICLO_GENERACION</x:v>
      </x:c>
      <x:c r="G53" s="4" t="str">
        <x:v>UNICA</x:v>
      </x:c>
      <x:c r="H53" s="4" t="str">
        <x:v>true false desconocido</x:v>
      </x:c>
      <x:c r="I53" s="4" t="str"/>
      <x:c r="J53" s="4" t="str">
        <x:v>COMPLETA</x:v>
      </x:c>
      <x:c r="K53" s="4" t="str">
        <x:v>ORDEN_ACREDITADO</x:v>
      </x:c>
      <x:c r="L53" s="4" t="str">
        <x:v>NO_ADMISION</x:v>
      </x:c>
      <x:c r="M53" s="4" t="str"/>
      <x:c r="N53" s="4" t="str">
        <x:v>LEXEMA_O_FORMA</x:v>
      </x:c>
      <x:c r="O53" s="12" t="str">
        <x:f>IF(Q53="SIN_EJECUCION_DOMINIO","FALLO_CAPTURA",IF(OR(Q53="CAPTURA_MAL_FORMADA",Q53="IDENTIDAD",Q53="OBSERVACION_MAL_FORMADA",Q53="LEXEMA_O_FORMA"),"NO_ADMISION",IF(OR(Q53="PERFIL_NO_CONSTITUIDO",Q53="RESULTADO_NO_TERMINAL"),"FUERA_PERFIL",IF(Q53="CONTEXTO_NO_CONSTITUIDO","CONFIGURACION_PENDIENTE","VALIDA"))))</x:f>
        <x:v>NO_ADMISION</x:v>
      </x:c>
      <x:c r="P53" s="12" t="str">
        <x:f>IF(O53&lt;&gt;"VALIDA","",IF(Q53=AA53,"1",IF(Q53=AB53,"0","U")))</x:f>
      </x:c>
      <x:c r="Q53" s="12" t="str">
        <x:f>IF(E53="FALLO","SIN_EJECUCION_DOMINIO",IF(E53&lt;&gt;"LEGIBLE","CAPTURA_MAL_FORMADA",IF(D53&lt;&gt;"COINCIDE","IDENTIDAD",IF(OR(T53="",C53&lt;&gt;T53),"PERFIL_NO_CONSTITUIDO",IF(K53&lt;&gt;V53,IF(V53="ORDEN_ACREDITADO","ORDEN_NO_ACREDITADO","CONTEXTO_NO_CONSTITUIDO"),IF(AND(G53="AUSENTE",H53="",I53=""),"DATO_AUSENTE",IF(AND(G53="CONFLICTO",H53="",I53=""),"CONFLICTO_OBSERVACIONAL",IF(G53&lt;&gt;"UNICA","OBSERVACION_MAL_FORMADA",IF(F53&lt;&gt;U53,"OBSERVACION_INSUFICIENTE",IF(W53="RESULTADO",IF(H53=X53,AA53,IF(OR(H53="orcSucceededWithErrors",H53="orcFailed",H53="orcAborted"),AB53,IF(OR(H53="orcNotStarted",H53="orcInProgress"),"RESULTADO_NO_TERMINAL","LEXEMA_O_FORMA"))),IF(W53="EVENTO_BOOT",IF(H53=X53,AA53,IF(OR(H53="NINGUNO",H53="SOLO_HIBRIDO"),IF(J53="COMPLETA",AB53,"COBERTURA_INSUFICIENTE"),"LEXEMA_O_FORMA")),IF(W53="REQUISITO_SOFT",IF(H53=X53,AA53,IF(H53=Z53,AB53,"LEXEMA_O_FORMA")),IF(W53="EVENTO_PROC",IF(H53=X53,AA53,IF(H53=Z53,IF(J53="COMPLETA",AB53,"COBERTURA_INSUFICIENTE"),"LEXEMA_O_FORMA")),IF(W53="IMAGEN",IF(AND(AND(ISTEXT(H53),LEN(("x"&amp;H53))=65,EXACT(("x"&amp;H53),LOWER(("x"&amp;H53))),ISERROR(SEARCH(" ",("x"&amp;H53))),ISERROR(SEARCH(CHAR(9),("x"&amp;H53))),ISERROR(SEARCH(CHAR(10),("x"&amp;H53))),ISERROR(SEARCH(CHAR(13),("x"&amp;H53))),IFERROR(HEX2DEC(MID(("x"&amp;H53),2,8))&gt;=0,FALSE),IFERROR(HEX2DEC(MID(("x"&amp;H53),10,8))&gt;=0,FALSE),IFERROR(HEX2DEC(MID(("x"&amp;H53),18,8))&gt;=0,FALSE),IFERROR(HEX2DEC(MID(("x"&amp;H53),26,8))&gt;=0,FALSE),IFERROR(HEX2DEC(MID(("x"&amp;H53),34,8))&gt;=0,FALSE),IFERROR(HEX2DEC(MID(("x"&amp;H53),42,8))&gt;=0,FALSE),IFERROR(HEX2DEC(MID(("x"&amp;H53),50,8))&gt;=0,FALSE),IFERROR(HEX2DEC(MID(("x"&amp;H53),58,8))&gt;=0,FALSE)),AND(ISTEXT(I53),LEN(("x"&amp;I53))=65,EXACT(("x"&amp;I53),LOWER(("x"&amp;I53))),ISERROR(SEARCH(" ",("x"&amp;I53))),ISERROR(SEARCH(CHAR(9),("x"&amp;I53))),ISERROR(SEARCH(CHAR(10),("x"&amp;I53))),ISERROR(SEARCH(CHAR(13),("x"&amp;I53))),IFERROR(HEX2DEC(MID(("x"&amp;I53),2,8))&gt;=0,FALSE),IFERROR(HEX2DEC(MID(("x"&amp;I53),10,8))&gt;=0,FALSE),IFERROR(HEX2DEC(MID(("x"&amp;I53),18,8))&gt;=0,FALSE),IFERROR(HEX2DEC(MID(("x"&amp;I53),26,8))&gt;=0,FALSE),IFERROR(HEX2DEC(MID(("x"&amp;I53),34,8))&gt;=0,FALSE),IFERROR(HEX2DEC(MID(("x"&amp;I53),42,8))&gt;=0,FALSE),IFERROR(HEX2DEC(MID(("x"&amp;I53),50,8))&gt;=0,FALSE),IFERROR(HEX2DEC(MID(("x"&amp;I53),58,8))&gt;=0,FALSE))),IF(EXACT("x"&amp;H53,"x"&amp;I53),AA53,AB53),"LEXEMA_O_FORMA"),IF(W53="PRUEBA",IF(H53=X53,AA53,IF(H53=Z53,AB53,"LEXEMA_O_FORMA")),IF(W53="RETIRADA",IF(AND(H53="NINGUNO",I53=""),IF(J53="COMPLETA",AB53,"COBERTURA_INSUFICIENTE"),IF(AND(OR(H53="uoInstallation",H53="uoUninstallation"),OR(I53="orcSucceeded",I53="orcSucceededWithErrors",I53="orcFailed",I53="orcAborted",I53="orcInProgress",I53="orcNotStarted")),IF(AND(H53=X53,I53=Y53),AA53,IF(AND(H53=X53,OR(I53="orcSucceededWithErrors",I53="orcInProgress",I53="orcNotStarted")),"RESULTADO_RETIRADA_INCIERTO",IF(J53="COMPLETA",AB53,"COBERTURA_INSUFICIENTE"))),"LEXEMA_O_FORMA")),IF(W53="CAMBIO",IF(OR(H53="CAMBIO",H53="CAMBIO_Y_RETORNO"),AA53,IF(OR(H53="NINGUNO",H53="SOLO_RENOMBRE"),IF(J53="COMPLETA",AB53,"COBERTURA_INSUFICIENTE"),"LEXEMA_O_FORMA")),IF(W53="RESTAURACION",IF(H53=X53,AA53,IF(OR(H53="NINGUNO",H53="RESTAURACION_POSTERIOR",H53="RESTAURACION_FALLIDA"),IF(J53="COMPLETA",AB53,"COBERTURA_INSUFICIENTE"),"LEXEMA_O_FORMA")),"PERFIL_NO_CONSTITUIDO"))))))))))))))))))</x:f>
        <x:v>LEXEMA_O_FORMA</x:v>
      </x:c>
      <x:c r="R53" s="12" t="str">
        <x:f>IF(AND(L53=O53,M53=P53,N53=Q53),"PASA","NO_PASA")</x:f>
        <x:v>PASA</x:v>
      </x:c>
      <x:c r="S53" s="4" t="str">
        <x:v>La observación usa un lexema ajeno al contrato.</x:v>
      </x:c>
      <x:c r="T53" s="12" t="str">
        <x:f>IFERROR(INDEX('55_Codificacion_ensayo'!$B$5:$B$13,MATCH(B53,'55_Codificacion_ensayo'!$A$5:$A$13,0)),"")</x:f>
        <x:v>TERMINACION-GENERACION-PROCESO-0.1</x:v>
      </x:c>
      <x:c r="U53" s="12" t="str">
        <x:f>IFERROR(INDEX('55_Codificacion_ensayo'!$C$5:$C$13,MATCH(B53,'55_Codificacion_ensayo'!$A$5:$A$13,0)),"")</x:f>
        <x:v>CICLO_GENERACION</x:v>
      </x:c>
      <x:c r="V53" s="12" t="str">
        <x:f>IFERROR(INDEX('55_Codificacion_ensayo'!$D$5:$D$13,MATCH(B53,'55_Codificacion_ensayo'!$A$5:$A$13,0)),"")</x:f>
        <x:v>ORDEN_ACREDITADO</x:v>
      </x:c>
      <x:c r="W53" s="12" t="str">
        <x:f>IFERROR(INDEX('55_Codificacion_ensayo'!$E$5:$E$13,MATCH(B53,'55_Codificacion_ensayo'!$A$5:$A$13,0)),"")</x:f>
        <x:v>EVENTO_PROC</x:v>
      </x:c>
      <x:c r="X53" s="12" t="str">
        <x:f>IFERROR(INDEX('55_Codificacion_ensayo'!$F$5:$F$13,MATCH(B53,'55_Codificacion_ensayo'!$A$5:$A$13,0)),"")</x:f>
        <x:v>TERMINADA</x:v>
      </x:c>
      <x:c r="Y53" s="12" t="str">
        <x:f>IFERROR(INDEX('55_Codificacion_ensayo'!$G$5:$G$13,MATCH(B53,'55_Codificacion_ensayo'!$A$5:$A$13,0)),"")</x:f>
      </x:c>
      <x:c r="Z53" s="12" t="str">
        <x:f>IFERROR(INDEX('55_Codificacion_ensayo'!$H$5:$H$13,MATCH(B53,'55_Codificacion_ensayo'!$A$5:$A$13,0)),"")</x:f>
        <x:v>NINGUNO</x:v>
      </x:c>
      <x:c r="AA53" s="12" t="str">
        <x:f>IFERROR(INDEX('55_Codificacion_ensayo'!$I$5:$I$13,MATCH(B53,'55_Codificacion_ensayo'!$A$5:$A$13,0)),"")</x:f>
        <x:v>GENERACION_TERMINADA</x:v>
      </x:c>
      <x:c r="AB53" s="12" t="str">
        <x:f>IFERROR(INDEX('55_Codificacion_ensayo'!$J$5:$J$13,MATCH(B53,'55_Codificacion_ensayo'!$A$5:$A$13,0)),"")</x:f>
        <x:v>SIN_TERMINACION</x:v>
      </x:c>
    </x:row>
    <x:row r="54" ht="47" customHeight="1">
      <x:c r="A54" s="4" t="str">
        <x:v>L10-05-10</x:v>
      </x:c>
      <x:c r="B54" s="4" t="str">
        <x:v>PAR-CYB-GENERACION-PROCESO-TERMINADA-001</x:v>
      </x:c>
      <x:c r="C54" s="4" t="str">
        <x:v>TERMINACION-GENERACION-PROCESO-0.1</x:v>
      </x:c>
      <x:c r="D54" s="4" t="str">
        <x:v>COINCIDE</x:v>
      </x:c>
      <x:c r="E54" s="4" t="str">
        <x:v>LEGIBLE</x:v>
      </x:c>
      <x:c r="F54" s="4" t="str">
        <x:v>CICLO_GENERACION</x:v>
      </x:c>
      <x:c r="G54" s="4" t="str">
        <x:v>UNICA</x:v>
      </x:c>
      <x:c r="H54" s="4" t="str">
        <x:v>NINGUNO</x:v>
      </x:c>
      <x:c r="I54" s="4" t="str"/>
      <x:c r="J54" s="4" t="str">
        <x:v>PARCIAL</x:v>
      </x:c>
      <x:c r="K54" s="4" t="str">
        <x:v>ORDEN_ACREDITADO</x:v>
      </x:c>
      <x:c r="L54" s="4" t="str">
        <x:v>VALIDA</x:v>
      </x:c>
      <x:c r="M54" s="4" t="str">
        <x:v>U</x:v>
      </x:c>
      <x:c r="N54" s="4" t="str">
        <x:v>COBERTURA_INSUFICIENTE</x:v>
      </x:c>
      <x:c r="O54" s="12" t="str">
        <x:f>IF(Q54="SIN_EJECUCION_DOMINIO","FALLO_CAPTURA",IF(OR(Q54="CAPTURA_MAL_FORMADA",Q54="IDENTIDAD",Q54="OBSERVACION_MAL_FORMADA",Q54="LEXEMA_O_FORMA"),"NO_ADMISION",IF(OR(Q54="PERFIL_NO_CONSTITUIDO",Q54="RESULTADO_NO_TERMINAL"),"FUERA_PERFIL",IF(Q54="CONTEXTO_NO_CONSTITUIDO","CONFIGURACION_PENDIENTE","VALIDA"))))</x:f>
        <x:v>VALIDA</x:v>
      </x:c>
      <x:c r="P54" s="12" t="str">
        <x:f>IF(O54&lt;&gt;"VALIDA","",IF(Q54=AA54,"1",IF(Q54=AB54,"0","U")))</x:f>
        <x:v>U</x:v>
      </x:c>
      <x:c r="Q54" s="12" t="str">
        <x:f>IF(E54="FALLO","SIN_EJECUCION_DOMINIO",IF(E54&lt;&gt;"LEGIBLE","CAPTURA_MAL_FORMADA",IF(D54&lt;&gt;"COINCIDE","IDENTIDAD",IF(OR(T54="",C54&lt;&gt;T54),"PERFIL_NO_CONSTITUIDO",IF(K54&lt;&gt;V54,IF(V54="ORDEN_ACREDITADO","ORDEN_NO_ACREDITADO","CONTEXTO_NO_CONSTITUIDO"),IF(AND(G54="AUSENTE",H54="",I54=""),"DATO_AUSENTE",IF(AND(G54="CONFLICTO",H54="",I54=""),"CONFLICTO_OBSERVACIONAL",IF(G54&lt;&gt;"UNICA","OBSERVACION_MAL_FORMADA",IF(F54&lt;&gt;U54,"OBSERVACION_INSUFICIENTE",IF(W54="RESULTADO",IF(H54=X54,AA54,IF(OR(H54="orcSucceededWithErrors",H54="orcFailed",H54="orcAborted"),AB54,IF(OR(H54="orcNotStarted",H54="orcInProgress"),"RESULTADO_NO_TERMINAL","LEXEMA_O_FORMA"))),IF(W54="EVENTO_BOOT",IF(H54=X54,AA54,IF(OR(H54="NINGUNO",H54="SOLO_HIBRIDO"),IF(J54="COMPLETA",AB54,"COBERTURA_INSUFICIENTE"),"LEXEMA_O_FORMA")),IF(W54="REQUISITO_SOFT",IF(H54=X54,AA54,IF(H54=Z54,AB54,"LEXEMA_O_FORMA")),IF(W54="EVENTO_PROC",IF(H54=X54,AA54,IF(H54=Z54,IF(J54="COMPLETA",AB54,"COBERTURA_INSUFICIENTE"),"LEXEMA_O_FORMA")),IF(W54="IMAGEN",IF(AND(AND(ISTEXT(H54),LEN(("x"&amp;H54))=65,EXACT(("x"&amp;H54),LOWER(("x"&amp;H54))),ISERROR(SEARCH(" ",("x"&amp;H54))),ISERROR(SEARCH(CHAR(9),("x"&amp;H54))),ISERROR(SEARCH(CHAR(10),("x"&amp;H54))),ISERROR(SEARCH(CHAR(13),("x"&amp;H54))),IFERROR(HEX2DEC(MID(("x"&amp;H54),2,8))&gt;=0,FALSE),IFERROR(HEX2DEC(MID(("x"&amp;H54),10,8))&gt;=0,FALSE),IFERROR(HEX2DEC(MID(("x"&amp;H54),18,8))&gt;=0,FALSE),IFERROR(HEX2DEC(MID(("x"&amp;H54),26,8))&gt;=0,FALSE),IFERROR(HEX2DEC(MID(("x"&amp;H54),34,8))&gt;=0,FALSE),IFERROR(HEX2DEC(MID(("x"&amp;H54),42,8))&gt;=0,FALSE),IFERROR(HEX2DEC(MID(("x"&amp;H54),50,8))&gt;=0,FALSE),IFERROR(HEX2DEC(MID(("x"&amp;H54),58,8))&gt;=0,FALSE)),AND(ISTEXT(I54),LEN(("x"&amp;I54))=65,EXACT(("x"&amp;I54),LOWER(("x"&amp;I54))),ISERROR(SEARCH(" ",("x"&amp;I54))),ISERROR(SEARCH(CHAR(9),("x"&amp;I54))),ISERROR(SEARCH(CHAR(10),("x"&amp;I54))),ISERROR(SEARCH(CHAR(13),("x"&amp;I54))),IFERROR(HEX2DEC(MID(("x"&amp;I54),2,8))&gt;=0,FALSE),IFERROR(HEX2DEC(MID(("x"&amp;I54),10,8))&gt;=0,FALSE),IFERROR(HEX2DEC(MID(("x"&amp;I54),18,8))&gt;=0,FALSE),IFERROR(HEX2DEC(MID(("x"&amp;I54),26,8))&gt;=0,FALSE),IFERROR(HEX2DEC(MID(("x"&amp;I54),34,8))&gt;=0,FALSE),IFERROR(HEX2DEC(MID(("x"&amp;I54),42,8))&gt;=0,FALSE),IFERROR(HEX2DEC(MID(("x"&amp;I54),50,8))&gt;=0,FALSE),IFERROR(HEX2DEC(MID(("x"&amp;I54),58,8))&gt;=0,FALSE))),IF(EXACT("x"&amp;H54,"x"&amp;I54),AA54,AB54),"LEXEMA_O_FORMA"),IF(W54="PRUEBA",IF(H54=X54,AA54,IF(H54=Z54,AB54,"LEXEMA_O_FORMA")),IF(W54="RETIRADA",IF(AND(H54="NINGUNO",I54=""),IF(J54="COMPLETA",AB54,"COBERTURA_INSUFICIENTE"),IF(AND(OR(H54="uoInstallation",H54="uoUninstallation"),OR(I54="orcSucceeded",I54="orcSucceededWithErrors",I54="orcFailed",I54="orcAborted",I54="orcInProgress",I54="orcNotStarted")),IF(AND(H54=X54,I54=Y54),AA54,IF(AND(H54=X54,OR(I54="orcSucceededWithErrors",I54="orcInProgress",I54="orcNotStarted")),"RESULTADO_RETIRADA_INCIERTO",IF(J54="COMPLETA",AB54,"COBERTURA_INSUFICIENTE"))),"LEXEMA_O_FORMA")),IF(W54="CAMBIO",IF(OR(H54="CAMBIO",H54="CAMBIO_Y_RETORNO"),AA54,IF(OR(H54="NINGUNO",H54="SOLO_RENOMBRE"),IF(J54="COMPLETA",AB54,"COBERTURA_INSUFICIENTE"),"LEXEMA_O_FORMA")),IF(W54="RESTAURACION",IF(H54=X54,AA54,IF(OR(H54="NINGUNO",H54="RESTAURACION_POSTERIOR",H54="RESTAURACION_FALLIDA"),IF(J54="COMPLETA",AB54,"COBERTURA_INSUFICIENTE"),"LEXEMA_O_FORMA")),"PERFIL_NO_CONSTITUIDO"))))))))))))))))))</x:f>
        <x:v>COBERTURA_INSUFICIENTE</x:v>
      </x:c>
      <x:c r="R54" s="12" t="str">
        <x:f>IF(AND(L54=O54,M54=P54,N54=Q54),"PASA","NO_PASA")</x:f>
        <x:v>PASA</x:v>
      </x:c>
      <x:c r="S54" s="4" t="str">
        <x:v>Ningún evento encontrado en cobertura parcial: U, no 0.</x:v>
      </x:c>
      <x:c r="T54" s="12" t="str">
        <x:f>IFERROR(INDEX('55_Codificacion_ensayo'!$B$5:$B$13,MATCH(B54,'55_Codificacion_ensayo'!$A$5:$A$13,0)),"")</x:f>
        <x:v>TERMINACION-GENERACION-PROCESO-0.1</x:v>
      </x:c>
      <x:c r="U54" s="12" t="str">
        <x:f>IFERROR(INDEX('55_Codificacion_ensayo'!$C$5:$C$13,MATCH(B54,'55_Codificacion_ensayo'!$A$5:$A$13,0)),"")</x:f>
        <x:v>CICLO_GENERACION</x:v>
      </x:c>
      <x:c r="V54" s="12" t="str">
        <x:f>IFERROR(INDEX('55_Codificacion_ensayo'!$D$5:$D$13,MATCH(B54,'55_Codificacion_ensayo'!$A$5:$A$13,0)),"")</x:f>
        <x:v>ORDEN_ACREDITADO</x:v>
      </x:c>
      <x:c r="W54" s="12" t="str">
        <x:f>IFERROR(INDEX('55_Codificacion_ensayo'!$E$5:$E$13,MATCH(B54,'55_Codificacion_ensayo'!$A$5:$A$13,0)),"")</x:f>
        <x:v>EVENTO_PROC</x:v>
      </x:c>
      <x:c r="X54" s="12" t="str">
        <x:f>IFERROR(INDEX('55_Codificacion_ensayo'!$F$5:$F$13,MATCH(B54,'55_Codificacion_ensayo'!$A$5:$A$13,0)),"")</x:f>
        <x:v>TERMINADA</x:v>
      </x:c>
      <x:c r="Y54" s="12" t="str">
        <x:f>IFERROR(INDEX('55_Codificacion_ensayo'!$G$5:$G$13,MATCH(B54,'55_Codificacion_ensayo'!$A$5:$A$13,0)),"")</x:f>
      </x:c>
      <x:c r="Z54" s="12" t="str">
        <x:f>IFERROR(INDEX('55_Codificacion_ensayo'!$H$5:$H$13,MATCH(B54,'55_Codificacion_ensayo'!$A$5:$A$13,0)),"")</x:f>
        <x:v>NINGUNO</x:v>
      </x:c>
      <x:c r="AA54" s="12" t="str">
        <x:f>IFERROR(INDEX('55_Codificacion_ensayo'!$I$5:$I$13,MATCH(B54,'55_Codificacion_ensayo'!$A$5:$A$13,0)),"")</x:f>
        <x:v>GENERACION_TERMINADA</x:v>
      </x:c>
      <x:c r="AB54" s="12" t="str">
        <x:f>IFERROR(INDEX('55_Codificacion_ensayo'!$J$5:$J$13,MATCH(B54,'55_Codificacion_ensayo'!$A$5:$A$13,0)),"")</x:f>
        <x:v>SIN_TERMINACION</x:v>
      </x:c>
    </x:row>
    <x:row r="55" ht="47" customHeight="1">
      <x:c r="A55" s="4" t="str">
        <x:v>L10-05-11</x:v>
      </x:c>
      <x:c r="B55" s="4" t="str">
        <x:v>PAR-CYB-GENERACION-PROCESO-TERMINADA-001</x:v>
      </x:c>
      <x:c r="C55" s="4" t="str">
        <x:v>TERMINACION-GENERACION-PROCESO-0.1</x:v>
      </x:c>
      <x:c r="D55" s="4" t="str">
        <x:v>COINCIDE</x:v>
      </x:c>
      <x:c r="E55" s="4" t="str">
        <x:v>LEGIBLE</x:v>
      </x:c>
      <x:c r="F55" s="4" t="str">
        <x:v>CICLO_GENERACION</x:v>
      </x:c>
      <x:c r="G55" s="4" t="str">
        <x:v>UNICA</x:v>
      </x:c>
      <x:c r="H55" s="4" t="str">
        <x:v>TERMINADA</x:v>
      </x:c>
      <x:c r="I55" s="4" t="str"/>
      <x:c r="J55" s="4" t="str">
        <x:v>PARCIAL</x:v>
      </x:c>
      <x:c r="K55" s="4" t="str">
        <x:v>ORDEN_ACREDITADO</x:v>
      </x:c>
      <x:c r="L55" s="4" t="str">
        <x:v>VALIDA</x:v>
      </x:c>
      <x:c r="M55" s="4" t="str">
        <x:v>1</x:v>
      </x:c>
      <x:c r="N55" s="4" t="str">
        <x:v>GENERACION_TERMINADA</x:v>
      </x:c>
      <x:c r="O55" s="12" t="str">
        <x:f>IF(Q55="SIN_EJECUCION_DOMINIO","FALLO_CAPTURA",IF(OR(Q55="CAPTURA_MAL_FORMADA",Q55="IDENTIDAD",Q55="OBSERVACION_MAL_FORMADA",Q55="LEXEMA_O_FORMA"),"NO_ADMISION",IF(OR(Q55="PERFIL_NO_CONSTITUIDO",Q55="RESULTADO_NO_TERMINAL"),"FUERA_PERFIL",IF(Q55="CONTEXTO_NO_CONSTITUIDO","CONFIGURACION_PENDIENTE","VALIDA"))))</x:f>
        <x:v>VALIDA</x:v>
      </x:c>
      <x:c r="P55" s="12" t="str">
        <x:f>IF(O55&lt;&gt;"VALIDA","",IF(Q55=AA55,"1",IF(Q55=AB55,"0","U")))</x:f>
        <x:v>1</x:v>
      </x:c>
      <x:c r="Q55" s="12" t="str">
        <x:f>IF(E55="FALLO","SIN_EJECUCION_DOMINIO",IF(E55&lt;&gt;"LEGIBLE","CAPTURA_MAL_FORMADA",IF(D55&lt;&gt;"COINCIDE","IDENTIDAD",IF(OR(T55="",C55&lt;&gt;T55),"PERFIL_NO_CONSTITUIDO",IF(K55&lt;&gt;V55,IF(V55="ORDEN_ACREDITADO","ORDEN_NO_ACREDITADO","CONTEXTO_NO_CONSTITUIDO"),IF(AND(G55="AUSENTE",H55="",I55=""),"DATO_AUSENTE",IF(AND(G55="CONFLICTO",H55="",I55=""),"CONFLICTO_OBSERVACIONAL",IF(G55&lt;&gt;"UNICA","OBSERVACION_MAL_FORMADA",IF(F55&lt;&gt;U55,"OBSERVACION_INSUFICIENTE",IF(W55="RESULTADO",IF(H55=X55,AA55,IF(OR(H55="orcSucceededWithErrors",H55="orcFailed",H55="orcAborted"),AB55,IF(OR(H55="orcNotStarted",H55="orcInProgress"),"RESULTADO_NO_TERMINAL","LEXEMA_O_FORMA"))),IF(W55="EVENTO_BOOT",IF(H55=X55,AA55,IF(OR(H55="NINGUNO",H55="SOLO_HIBRIDO"),IF(J55="COMPLETA",AB55,"COBERTURA_INSUFICIENTE"),"LEXEMA_O_FORMA")),IF(W55="REQUISITO_SOFT",IF(H55=X55,AA55,IF(H55=Z55,AB55,"LEXEMA_O_FORMA")),IF(W55="EVENTO_PROC",IF(H55=X55,AA55,IF(H55=Z55,IF(J55="COMPLETA",AB55,"COBERTURA_INSUFICIENTE"),"LEXEMA_O_FORMA")),IF(W55="IMAGEN",IF(AND(AND(ISTEXT(H55),LEN(("x"&amp;H55))=65,EXACT(("x"&amp;H55),LOWER(("x"&amp;H55))),ISERROR(SEARCH(" ",("x"&amp;H55))),ISERROR(SEARCH(CHAR(9),("x"&amp;H55))),ISERROR(SEARCH(CHAR(10),("x"&amp;H55))),ISERROR(SEARCH(CHAR(13),("x"&amp;H55))),IFERROR(HEX2DEC(MID(("x"&amp;H55),2,8))&gt;=0,FALSE),IFERROR(HEX2DEC(MID(("x"&amp;H55),10,8))&gt;=0,FALSE),IFERROR(HEX2DEC(MID(("x"&amp;H55),18,8))&gt;=0,FALSE),IFERROR(HEX2DEC(MID(("x"&amp;H55),26,8))&gt;=0,FALSE),IFERROR(HEX2DEC(MID(("x"&amp;H55),34,8))&gt;=0,FALSE),IFERROR(HEX2DEC(MID(("x"&amp;H55),42,8))&gt;=0,FALSE),IFERROR(HEX2DEC(MID(("x"&amp;H55),50,8))&gt;=0,FALSE),IFERROR(HEX2DEC(MID(("x"&amp;H55),58,8))&gt;=0,FALSE)),AND(ISTEXT(I55),LEN(("x"&amp;I55))=65,EXACT(("x"&amp;I55),LOWER(("x"&amp;I55))),ISERROR(SEARCH(" ",("x"&amp;I55))),ISERROR(SEARCH(CHAR(9),("x"&amp;I55))),ISERROR(SEARCH(CHAR(10),("x"&amp;I55))),ISERROR(SEARCH(CHAR(13),("x"&amp;I55))),IFERROR(HEX2DEC(MID(("x"&amp;I55),2,8))&gt;=0,FALSE),IFERROR(HEX2DEC(MID(("x"&amp;I55),10,8))&gt;=0,FALSE),IFERROR(HEX2DEC(MID(("x"&amp;I55),18,8))&gt;=0,FALSE),IFERROR(HEX2DEC(MID(("x"&amp;I55),26,8))&gt;=0,FALSE),IFERROR(HEX2DEC(MID(("x"&amp;I55),34,8))&gt;=0,FALSE),IFERROR(HEX2DEC(MID(("x"&amp;I55),42,8))&gt;=0,FALSE),IFERROR(HEX2DEC(MID(("x"&amp;I55),50,8))&gt;=0,FALSE),IFERROR(HEX2DEC(MID(("x"&amp;I55),58,8))&gt;=0,FALSE))),IF(EXACT("x"&amp;H55,"x"&amp;I55),AA55,AB55),"LEXEMA_O_FORMA"),IF(W55="PRUEBA",IF(H55=X55,AA55,IF(H55=Z55,AB55,"LEXEMA_O_FORMA")),IF(W55="RETIRADA",IF(AND(H55="NINGUNO",I55=""),IF(J55="COMPLETA",AB55,"COBERTURA_INSUFICIENTE"),IF(AND(OR(H55="uoInstallation",H55="uoUninstallation"),OR(I55="orcSucceeded",I55="orcSucceededWithErrors",I55="orcFailed",I55="orcAborted",I55="orcInProgress",I55="orcNotStarted")),IF(AND(H55=X55,I55=Y55),AA55,IF(AND(H55=X55,OR(I55="orcSucceededWithErrors",I55="orcInProgress",I55="orcNotStarted")),"RESULTADO_RETIRADA_INCIERTO",IF(J55="COMPLETA",AB55,"COBERTURA_INSUFICIENTE"))),"LEXEMA_O_FORMA")),IF(W55="CAMBIO",IF(OR(H55="CAMBIO",H55="CAMBIO_Y_RETORNO"),AA55,IF(OR(H55="NINGUNO",H55="SOLO_RENOMBRE"),IF(J55="COMPLETA",AB55,"COBERTURA_INSUFICIENTE"),"LEXEMA_O_FORMA")),IF(W55="RESTAURACION",IF(H55=X55,AA55,IF(OR(H55="NINGUNO",H55="RESTAURACION_POSTERIOR",H55="RESTAURACION_FALLIDA"),IF(J55="COMPLETA",AB55,"COBERTURA_INSUFICIENTE"),"LEXEMA_O_FORMA")),"PERFIL_NO_CONSTITUIDO"))))))))))))))))))</x:f>
        <x:v>GENERACION_TERMINADA</x:v>
      </x:c>
      <x:c r="R55" s="12" t="str">
        <x:f>IF(AND(L55=O55,M55=P55,N55=Q55),"PASA","NO_PASA")</x:f>
        <x:v>PASA</x:v>
      </x:c>
      <x:c r="S55" s="4" t="str">
        <x:v>Un testigo positivo acredita existencia aunque la historia restante sea parcial.</x:v>
      </x:c>
      <x:c r="T55" s="12" t="str">
        <x:f>IFERROR(INDEX('55_Codificacion_ensayo'!$B$5:$B$13,MATCH(B55,'55_Codificacion_ensayo'!$A$5:$A$13,0)),"")</x:f>
        <x:v>TERMINACION-GENERACION-PROCESO-0.1</x:v>
      </x:c>
      <x:c r="U55" s="12" t="str">
        <x:f>IFERROR(INDEX('55_Codificacion_ensayo'!$C$5:$C$13,MATCH(B55,'55_Codificacion_ensayo'!$A$5:$A$13,0)),"")</x:f>
        <x:v>CICLO_GENERACION</x:v>
      </x:c>
      <x:c r="V55" s="12" t="str">
        <x:f>IFERROR(INDEX('55_Codificacion_ensayo'!$D$5:$D$13,MATCH(B55,'55_Codificacion_ensayo'!$A$5:$A$13,0)),"")</x:f>
        <x:v>ORDEN_ACREDITADO</x:v>
      </x:c>
      <x:c r="W55" s="12" t="str">
        <x:f>IFERROR(INDEX('55_Codificacion_ensayo'!$E$5:$E$13,MATCH(B55,'55_Codificacion_ensayo'!$A$5:$A$13,0)),"")</x:f>
        <x:v>EVENTO_PROC</x:v>
      </x:c>
      <x:c r="X55" s="12" t="str">
        <x:f>IFERROR(INDEX('55_Codificacion_ensayo'!$F$5:$F$13,MATCH(B55,'55_Codificacion_ensayo'!$A$5:$A$13,0)),"")</x:f>
        <x:v>TERMINADA</x:v>
      </x:c>
      <x:c r="Y55" s="12" t="str">
        <x:f>IFERROR(INDEX('55_Codificacion_ensayo'!$G$5:$G$13,MATCH(B55,'55_Codificacion_ensayo'!$A$5:$A$13,0)),"")</x:f>
      </x:c>
      <x:c r="Z55" s="12" t="str">
        <x:f>IFERROR(INDEX('55_Codificacion_ensayo'!$H$5:$H$13,MATCH(B55,'55_Codificacion_ensayo'!$A$5:$A$13,0)),"")</x:f>
        <x:v>NINGUNO</x:v>
      </x:c>
      <x:c r="AA55" s="12" t="str">
        <x:f>IFERROR(INDEX('55_Codificacion_ensayo'!$I$5:$I$13,MATCH(B55,'55_Codificacion_ensayo'!$A$5:$A$13,0)),"")</x:f>
        <x:v>GENERACION_TERMINADA</x:v>
      </x:c>
      <x:c r="AB55" s="12" t="str">
        <x:f>IFERROR(INDEX('55_Codificacion_ensayo'!$J$5:$J$13,MATCH(B55,'55_Codificacion_ensayo'!$A$5:$A$13,0)),"")</x:f>
        <x:v>SIN_TERMINACION</x:v>
      </x:c>
    </x:row>
    <x:row r="56" ht="47" customHeight="1">
      <x:c r="A56" s="4" t="str">
        <x:v>L10-05-12</x:v>
      </x:c>
      <x:c r="B56" s="4" t="str">
        <x:v>PAR-CYB-GENERACION-PROCESO-TERMINADA-001</x:v>
      </x:c>
      <x:c r="C56" s="4" t="str">
        <x:v>TERMINACION-GENERACION-PROCESO-0.1</x:v>
      </x:c>
      <x:c r="D56" s="4" t="str">
        <x:v>COINCIDE</x:v>
      </x:c>
      <x:c r="E56" s="4" t="str">
        <x:v>LEGIBLE</x:v>
      </x:c>
      <x:c r="F56" s="4" t="str">
        <x:v>CICLO_GENERACION</x:v>
      </x:c>
      <x:c r="G56" s="4" t="str">
        <x:v>UNICA</x:v>
      </x:c>
      <x:c r="H56" s="4" t="str">
        <x:v>TERMINADA</x:v>
      </x:c>
      <x:c r="I56" s="4" t="str"/>
      <x:c r="J56" s="4" t="str">
        <x:v>COMPLETA</x:v>
      </x:c>
      <x:c r="K56" s="4" t="str">
        <x:v>ORDEN_INCIERTO</x:v>
      </x:c>
      <x:c r="L56" s="4" t="str">
        <x:v>VALIDA</x:v>
      </x:c>
      <x:c r="M56" s="4" t="str">
        <x:v>U</x:v>
      </x:c>
      <x:c r="N56" s="4" t="str">
        <x:v>ORDEN_NO_ACREDITADO</x:v>
      </x:c>
      <x:c r="O56" s="12" t="str">
        <x:f>IF(Q56="SIN_EJECUCION_DOMINIO","FALLO_CAPTURA",IF(OR(Q56="CAPTURA_MAL_FORMADA",Q56="IDENTIDAD",Q56="OBSERVACION_MAL_FORMADA",Q56="LEXEMA_O_FORMA"),"NO_ADMISION",IF(OR(Q56="PERFIL_NO_CONSTITUIDO",Q56="RESULTADO_NO_TERMINAL"),"FUERA_PERFIL",IF(Q56="CONTEXTO_NO_CONSTITUIDO","CONFIGURACION_PENDIENTE","VALIDA"))))</x:f>
        <x:v>VALIDA</x:v>
      </x:c>
      <x:c r="P56" s="12" t="str">
        <x:f>IF(O56&lt;&gt;"VALIDA","",IF(Q56=AA56,"1",IF(Q56=AB56,"0","U")))</x:f>
        <x:v>U</x:v>
      </x:c>
      <x:c r="Q56" s="12" t="str">
        <x:f>IF(E56="FALLO","SIN_EJECUCION_DOMINIO",IF(E56&lt;&gt;"LEGIBLE","CAPTURA_MAL_FORMADA",IF(D56&lt;&gt;"COINCIDE","IDENTIDAD",IF(OR(T56="",C56&lt;&gt;T56),"PERFIL_NO_CONSTITUIDO",IF(K56&lt;&gt;V56,IF(V56="ORDEN_ACREDITADO","ORDEN_NO_ACREDITADO","CONTEXTO_NO_CONSTITUIDO"),IF(AND(G56="AUSENTE",H56="",I56=""),"DATO_AUSENTE",IF(AND(G56="CONFLICTO",H56="",I56=""),"CONFLICTO_OBSERVACIONAL",IF(G56&lt;&gt;"UNICA","OBSERVACION_MAL_FORMADA",IF(F56&lt;&gt;U56,"OBSERVACION_INSUFICIENTE",IF(W56="RESULTADO",IF(H56=X56,AA56,IF(OR(H56="orcSucceededWithErrors",H56="orcFailed",H56="orcAborted"),AB56,IF(OR(H56="orcNotStarted",H56="orcInProgress"),"RESULTADO_NO_TERMINAL","LEXEMA_O_FORMA"))),IF(W56="EVENTO_BOOT",IF(H56=X56,AA56,IF(OR(H56="NINGUNO",H56="SOLO_HIBRIDO"),IF(J56="COMPLETA",AB56,"COBERTURA_INSUFICIENTE"),"LEXEMA_O_FORMA")),IF(W56="REQUISITO_SOFT",IF(H56=X56,AA56,IF(H56=Z56,AB56,"LEXEMA_O_FORMA")),IF(W56="EVENTO_PROC",IF(H56=X56,AA56,IF(H56=Z56,IF(J56="COMPLETA",AB56,"COBERTURA_INSUFICIENTE"),"LEXEMA_O_FORMA")),IF(W56="IMAGEN",IF(AND(AND(ISTEXT(H56),LEN(("x"&amp;H56))=65,EXACT(("x"&amp;H56),LOWER(("x"&amp;H56))),ISERROR(SEARCH(" ",("x"&amp;H56))),ISERROR(SEARCH(CHAR(9),("x"&amp;H56))),ISERROR(SEARCH(CHAR(10),("x"&amp;H56))),ISERROR(SEARCH(CHAR(13),("x"&amp;H56))),IFERROR(HEX2DEC(MID(("x"&amp;H56),2,8))&gt;=0,FALSE),IFERROR(HEX2DEC(MID(("x"&amp;H56),10,8))&gt;=0,FALSE),IFERROR(HEX2DEC(MID(("x"&amp;H56),18,8))&gt;=0,FALSE),IFERROR(HEX2DEC(MID(("x"&amp;H56),26,8))&gt;=0,FALSE),IFERROR(HEX2DEC(MID(("x"&amp;H56),34,8))&gt;=0,FALSE),IFERROR(HEX2DEC(MID(("x"&amp;H56),42,8))&gt;=0,FALSE),IFERROR(HEX2DEC(MID(("x"&amp;H56),50,8))&gt;=0,FALSE),IFERROR(HEX2DEC(MID(("x"&amp;H56),58,8))&gt;=0,FALSE)),AND(ISTEXT(I56),LEN(("x"&amp;I56))=65,EXACT(("x"&amp;I56),LOWER(("x"&amp;I56))),ISERROR(SEARCH(" ",("x"&amp;I56))),ISERROR(SEARCH(CHAR(9),("x"&amp;I56))),ISERROR(SEARCH(CHAR(10),("x"&amp;I56))),ISERROR(SEARCH(CHAR(13),("x"&amp;I56))),IFERROR(HEX2DEC(MID(("x"&amp;I56),2,8))&gt;=0,FALSE),IFERROR(HEX2DEC(MID(("x"&amp;I56),10,8))&gt;=0,FALSE),IFERROR(HEX2DEC(MID(("x"&amp;I56),18,8))&gt;=0,FALSE),IFERROR(HEX2DEC(MID(("x"&amp;I56),26,8))&gt;=0,FALSE),IFERROR(HEX2DEC(MID(("x"&amp;I56),34,8))&gt;=0,FALSE),IFERROR(HEX2DEC(MID(("x"&amp;I56),42,8))&gt;=0,FALSE),IFERROR(HEX2DEC(MID(("x"&amp;I56),50,8))&gt;=0,FALSE),IFERROR(HEX2DEC(MID(("x"&amp;I56),58,8))&gt;=0,FALSE))),IF(EXACT("x"&amp;H56,"x"&amp;I56),AA56,AB56),"LEXEMA_O_FORMA"),IF(W56="PRUEBA",IF(H56=X56,AA56,IF(H56=Z56,AB56,"LEXEMA_O_FORMA")),IF(W56="RETIRADA",IF(AND(H56="NINGUNO",I56=""),IF(J56="COMPLETA",AB56,"COBERTURA_INSUFICIENTE"),IF(AND(OR(H56="uoInstallation",H56="uoUninstallation"),OR(I56="orcSucceeded",I56="orcSucceededWithErrors",I56="orcFailed",I56="orcAborted",I56="orcInProgress",I56="orcNotStarted")),IF(AND(H56=X56,I56=Y56),AA56,IF(AND(H56=X56,OR(I56="orcSucceededWithErrors",I56="orcInProgress",I56="orcNotStarted")),"RESULTADO_RETIRADA_INCIERTO",IF(J56="COMPLETA",AB56,"COBERTURA_INSUFICIENTE"))),"LEXEMA_O_FORMA")),IF(W56="CAMBIO",IF(OR(H56="CAMBIO",H56="CAMBIO_Y_RETORNO"),AA56,IF(OR(H56="NINGUNO",H56="SOLO_RENOMBRE"),IF(J56="COMPLETA",AB56,"COBERTURA_INSUFICIENTE"),"LEXEMA_O_FORMA")),IF(W56="RESTAURACION",IF(H56=X56,AA56,IF(OR(H56="NINGUNO",H56="RESTAURACION_POSTERIOR",H56="RESTAURACION_FALLIDA"),IF(J56="COMPLETA",AB56,"COBERTURA_INSUFICIENTE"),"LEXEMA_O_FORMA")),"PERFIL_NO_CONSTITUIDO"))))))))))))))))))</x:f>
        <x:v>ORDEN_NO_ACREDITADO</x:v>
      </x:c>
      <x:c r="R56" s="12" t="str">
        <x:f>IF(AND(L56=O56,M56=P56,N56=Q56),"PASA","NO_PASA")</x:f>
        <x:v>PASA</x:v>
      </x:c>
      <x:c r="S56" s="4" t="str">
        <x:v>El orden no está acreditado; la mera fecha no prueba posterioridad.</x:v>
      </x:c>
      <x:c r="T56" s="12" t="str">
        <x:f>IFERROR(INDEX('55_Codificacion_ensayo'!$B$5:$B$13,MATCH(B56,'55_Codificacion_ensayo'!$A$5:$A$13,0)),"")</x:f>
        <x:v>TERMINACION-GENERACION-PROCESO-0.1</x:v>
      </x:c>
      <x:c r="U56" s="12" t="str">
        <x:f>IFERROR(INDEX('55_Codificacion_ensayo'!$C$5:$C$13,MATCH(B56,'55_Codificacion_ensayo'!$A$5:$A$13,0)),"")</x:f>
        <x:v>CICLO_GENERACION</x:v>
      </x:c>
      <x:c r="V56" s="12" t="str">
        <x:f>IFERROR(INDEX('55_Codificacion_ensayo'!$D$5:$D$13,MATCH(B56,'55_Codificacion_ensayo'!$A$5:$A$13,0)),"")</x:f>
        <x:v>ORDEN_ACREDITADO</x:v>
      </x:c>
      <x:c r="W56" s="12" t="str">
        <x:f>IFERROR(INDEX('55_Codificacion_ensayo'!$E$5:$E$13,MATCH(B56,'55_Codificacion_ensayo'!$A$5:$A$13,0)),"")</x:f>
        <x:v>EVENTO_PROC</x:v>
      </x:c>
      <x:c r="X56" s="12" t="str">
        <x:f>IFERROR(INDEX('55_Codificacion_ensayo'!$F$5:$F$13,MATCH(B56,'55_Codificacion_ensayo'!$A$5:$A$13,0)),"")</x:f>
        <x:v>TERMINADA</x:v>
      </x:c>
      <x:c r="Y56" s="12" t="str">
        <x:f>IFERROR(INDEX('55_Codificacion_ensayo'!$G$5:$G$13,MATCH(B56,'55_Codificacion_ensayo'!$A$5:$A$13,0)),"")</x:f>
      </x:c>
      <x:c r="Z56" s="12" t="str">
        <x:f>IFERROR(INDEX('55_Codificacion_ensayo'!$H$5:$H$13,MATCH(B56,'55_Codificacion_ensayo'!$A$5:$A$13,0)),"")</x:f>
        <x:v>NINGUNO</x:v>
      </x:c>
      <x:c r="AA56" s="12" t="str">
        <x:f>IFERROR(INDEX('55_Codificacion_ensayo'!$I$5:$I$13,MATCH(B56,'55_Codificacion_ensayo'!$A$5:$A$13,0)),"")</x:f>
        <x:v>GENERACION_TERMINADA</x:v>
      </x:c>
      <x:c r="AB56" s="12" t="str">
        <x:f>IFERROR(INDEX('55_Codificacion_ensayo'!$J$5:$J$13,MATCH(B56,'55_Codificacion_ensayo'!$A$5:$A$13,0)),"")</x:f>
        <x:v>SIN_TERMINACION</x:v>
      </x:c>
    </x:row>
    <x:row r="57" ht="47" customHeight="1">
      <x:c r="A57" s="4" t="str">
        <x:v>L10-05-13</x:v>
      </x:c>
      <x:c r="B57" s="4" t="str">
        <x:v>PAR-CYB-GENERACION-PROCESO-TERMINADA-001</x:v>
      </x:c>
      <x:c r="C57" s="4" t="str">
        <x:v>TERMINACION-GENERACION-PROCESO-0.1</x:v>
      </x:c>
      <x:c r="D57" s="4" t="str">
        <x:v>COINCIDE</x:v>
      </x:c>
      <x:c r="E57" s="4" t="str">
        <x:v>LEGIBLE</x:v>
      </x:c>
      <x:c r="F57" s="4" t="str">
        <x:v>PID_SOLO</x:v>
      </x:c>
      <x:c r="G57" s="4" t="str">
        <x:v>UNICA</x:v>
      </x:c>
      <x:c r="H57" s="4" t="str">
        <x:v>TERMINADA</x:v>
      </x:c>
      <x:c r="I57" s="4" t="str"/>
      <x:c r="J57" s="4" t="str">
        <x:v>COMPLETA</x:v>
      </x:c>
      <x:c r="K57" s="4" t="str">
        <x:v>ORDEN_ACREDITADO</x:v>
      </x:c>
      <x:c r="L57" s="4" t="str">
        <x:v>VALIDA</x:v>
      </x:c>
      <x:c r="M57" s="4" t="str">
        <x:v>U</x:v>
      </x:c>
      <x:c r="N57" s="4" t="str">
        <x:v>OBSERVACION_INSUFICIENTE</x:v>
      </x:c>
      <x:c r="O57" s="12" t="str">
        <x:f>IF(Q57="SIN_EJECUCION_DOMINIO","FALLO_CAPTURA",IF(OR(Q57="CAPTURA_MAL_FORMADA",Q57="IDENTIDAD",Q57="OBSERVACION_MAL_FORMADA",Q57="LEXEMA_O_FORMA"),"NO_ADMISION",IF(OR(Q57="PERFIL_NO_CONSTITUIDO",Q57="RESULTADO_NO_TERMINAL"),"FUERA_PERFIL",IF(Q57="CONTEXTO_NO_CONSTITUIDO","CONFIGURACION_PENDIENTE","VALIDA"))))</x:f>
        <x:v>VALIDA</x:v>
      </x:c>
      <x:c r="P57" s="12" t="str">
        <x:f>IF(O57&lt;&gt;"VALIDA","",IF(Q57=AA57,"1",IF(Q57=AB57,"0","U")))</x:f>
        <x:v>U</x:v>
      </x:c>
      <x:c r="Q57" s="12" t="str">
        <x:f>IF(E57="FALLO","SIN_EJECUCION_DOMINIO",IF(E57&lt;&gt;"LEGIBLE","CAPTURA_MAL_FORMADA",IF(D57&lt;&gt;"COINCIDE","IDENTIDAD",IF(OR(T57="",C57&lt;&gt;T57),"PERFIL_NO_CONSTITUIDO",IF(K57&lt;&gt;V57,IF(V57="ORDEN_ACREDITADO","ORDEN_NO_ACREDITADO","CONTEXTO_NO_CONSTITUIDO"),IF(AND(G57="AUSENTE",H57="",I57=""),"DATO_AUSENTE",IF(AND(G57="CONFLICTO",H57="",I57=""),"CONFLICTO_OBSERVACIONAL",IF(G57&lt;&gt;"UNICA","OBSERVACION_MAL_FORMADA",IF(F57&lt;&gt;U57,"OBSERVACION_INSUFICIENTE",IF(W57="RESULTADO",IF(H57=X57,AA57,IF(OR(H57="orcSucceededWithErrors",H57="orcFailed",H57="orcAborted"),AB57,IF(OR(H57="orcNotStarted",H57="orcInProgress"),"RESULTADO_NO_TERMINAL","LEXEMA_O_FORMA"))),IF(W57="EVENTO_BOOT",IF(H57=X57,AA57,IF(OR(H57="NINGUNO",H57="SOLO_HIBRIDO"),IF(J57="COMPLETA",AB57,"COBERTURA_INSUFICIENTE"),"LEXEMA_O_FORMA")),IF(W57="REQUISITO_SOFT",IF(H57=X57,AA57,IF(H57=Z57,AB57,"LEXEMA_O_FORMA")),IF(W57="EVENTO_PROC",IF(H57=X57,AA57,IF(H57=Z57,IF(J57="COMPLETA",AB57,"COBERTURA_INSUFICIENTE"),"LEXEMA_O_FORMA")),IF(W57="IMAGEN",IF(AND(AND(ISTEXT(H57),LEN(("x"&amp;H57))=65,EXACT(("x"&amp;H57),LOWER(("x"&amp;H57))),ISERROR(SEARCH(" ",("x"&amp;H57))),ISERROR(SEARCH(CHAR(9),("x"&amp;H57))),ISERROR(SEARCH(CHAR(10),("x"&amp;H57))),ISERROR(SEARCH(CHAR(13),("x"&amp;H57))),IFERROR(HEX2DEC(MID(("x"&amp;H57),2,8))&gt;=0,FALSE),IFERROR(HEX2DEC(MID(("x"&amp;H57),10,8))&gt;=0,FALSE),IFERROR(HEX2DEC(MID(("x"&amp;H57),18,8))&gt;=0,FALSE),IFERROR(HEX2DEC(MID(("x"&amp;H57),26,8))&gt;=0,FALSE),IFERROR(HEX2DEC(MID(("x"&amp;H57),34,8))&gt;=0,FALSE),IFERROR(HEX2DEC(MID(("x"&amp;H57),42,8))&gt;=0,FALSE),IFERROR(HEX2DEC(MID(("x"&amp;H57),50,8))&gt;=0,FALSE),IFERROR(HEX2DEC(MID(("x"&amp;H57),58,8))&gt;=0,FALSE)),AND(ISTEXT(I57),LEN(("x"&amp;I57))=65,EXACT(("x"&amp;I57),LOWER(("x"&amp;I57))),ISERROR(SEARCH(" ",("x"&amp;I57))),ISERROR(SEARCH(CHAR(9),("x"&amp;I57))),ISERROR(SEARCH(CHAR(10),("x"&amp;I57))),ISERROR(SEARCH(CHAR(13),("x"&amp;I57))),IFERROR(HEX2DEC(MID(("x"&amp;I57),2,8))&gt;=0,FALSE),IFERROR(HEX2DEC(MID(("x"&amp;I57),10,8))&gt;=0,FALSE),IFERROR(HEX2DEC(MID(("x"&amp;I57),18,8))&gt;=0,FALSE),IFERROR(HEX2DEC(MID(("x"&amp;I57),26,8))&gt;=0,FALSE),IFERROR(HEX2DEC(MID(("x"&amp;I57),34,8))&gt;=0,FALSE),IFERROR(HEX2DEC(MID(("x"&amp;I57),42,8))&gt;=0,FALSE),IFERROR(HEX2DEC(MID(("x"&amp;I57),50,8))&gt;=0,FALSE),IFERROR(HEX2DEC(MID(("x"&amp;I57),58,8))&gt;=0,FALSE))),IF(EXACT("x"&amp;H57,"x"&amp;I57),AA57,AB57),"LEXEMA_O_FORMA"),IF(W57="PRUEBA",IF(H57=X57,AA57,IF(H57=Z57,AB57,"LEXEMA_O_FORMA")),IF(W57="RETIRADA",IF(AND(H57="NINGUNO",I57=""),IF(J57="COMPLETA",AB57,"COBERTURA_INSUFICIENTE"),IF(AND(OR(H57="uoInstallation",H57="uoUninstallation"),OR(I57="orcSucceeded",I57="orcSucceededWithErrors",I57="orcFailed",I57="orcAborted",I57="orcInProgress",I57="orcNotStarted")),IF(AND(H57=X57,I57=Y57),AA57,IF(AND(H57=X57,OR(I57="orcSucceededWithErrors",I57="orcInProgress",I57="orcNotStarted")),"RESULTADO_RETIRADA_INCIERTO",IF(J57="COMPLETA",AB57,"COBERTURA_INSUFICIENTE"))),"LEXEMA_O_FORMA")),IF(W57="CAMBIO",IF(OR(H57="CAMBIO",H57="CAMBIO_Y_RETORNO"),AA57,IF(OR(H57="NINGUNO",H57="SOLO_RENOMBRE"),IF(J57="COMPLETA",AB57,"COBERTURA_INSUFICIENTE"),"LEXEMA_O_FORMA")),IF(W57="RESTAURACION",IF(H57=X57,AA57,IF(OR(H57="NINGUNO",H57="RESTAURACION_POSTERIOR",H57="RESTAURACION_FALLIDA"),IF(J57="COMPLETA",AB57,"COBERTURA_INSUFICIENTE"),"LEXEMA_O_FORMA")),"PERFIL_NO_CONSTITUIDO"))))))))))))))))))</x:f>
        <x:v>OBSERVACION_INSUFICIENTE</x:v>
      </x:c>
      <x:c r="R57" s="12" t="str">
        <x:f>IF(AND(L57=O57,M57=P57,N57=Q57),"PASA","NO_PASA")</x:f>
        <x:v>PASA</x:v>
      </x:c>
      <x:c r="S57" s="4" t="str">
        <x:v>Un PID sin identidad de generación no prueba terminación.</x:v>
      </x:c>
      <x:c r="T57" s="12" t="str">
        <x:f>IFERROR(INDEX('55_Codificacion_ensayo'!$B$5:$B$13,MATCH(B57,'55_Codificacion_ensayo'!$A$5:$A$13,0)),"")</x:f>
        <x:v>TERMINACION-GENERACION-PROCESO-0.1</x:v>
      </x:c>
      <x:c r="U57" s="12" t="str">
        <x:f>IFERROR(INDEX('55_Codificacion_ensayo'!$C$5:$C$13,MATCH(B57,'55_Codificacion_ensayo'!$A$5:$A$13,0)),"")</x:f>
        <x:v>CICLO_GENERACION</x:v>
      </x:c>
      <x:c r="V57" s="12" t="str">
        <x:f>IFERROR(INDEX('55_Codificacion_ensayo'!$D$5:$D$13,MATCH(B57,'55_Codificacion_ensayo'!$A$5:$A$13,0)),"")</x:f>
        <x:v>ORDEN_ACREDITADO</x:v>
      </x:c>
      <x:c r="W57" s="12" t="str">
        <x:f>IFERROR(INDEX('55_Codificacion_ensayo'!$E$5:$E$13,MATCH(B57,'55_Codificacion_ensayo'!$A$5:$A$13,0)),"")</x:f>
        <x:v>EVENTO_PROC</x:v>
      </x:c>
      <x:c r="X57" s="12" t="str">
        <x:f>IFERROR(INDEX('55_Codificacion_ensayo'!$F$5:$F$13,MATCH(B57,'55_Codificacion_ensayo'!$A$5:$A$13,0)),"")</x:f>
        <x:v>TERMINADA</x:v>
      </x:c>
      <x:c r="Y57" s="12" t="str">
        <x:f>IFERROR(INDEX('55_Codificacion_ensayo'!$G$5:$G$13,MATCH(B57,'55_Codificacion_ensayo'!$A$5:$A$13,0)),"")</x:f>
      </x:c>
      <x:c r="Z57" s="12" t="str">
        <x:f>IFERROR(INDEX('55_Codificacion_ensayo'!$H$5:$H$13,MATCH(B57,'55_Codificacion_ensayo'!$A$5:$A$13,0)),"")</x:f>
        <x:v>NINGUNO</x:v>
      </x:c>
      <x:c r="AA57" s="12" t="str">
        <x:f>IFERROR(INDEX('55_Codificacion_ensayo'!$I$5:$I$13,MATCH(B57,'55_Codificacion_ensayo'!$A$5:$A$13,0)),"")</x:f>
        <x:v>GENERACION_TERMINADA</x:v>
      </x:c>
      <x:c r="AB57" s="12" t="str">
        <x:f>IFERROR(INDEX('55_Codificacion_ensayo'!$J$5:$J$13,MATCH(B57,'55_Codificacion_ensayo'!$A$5:$A$13,0)),"")</x:f>
        <x:v>SIN_TERMINACION</x:v>
      </x:c>
    </x:row>
    <x:row r="58" ht="47" customHeight="1">
      <x:c r="A58" s="4" t="str">
        <x:v>L10-05-14</x:v>
      </x:c>
      <x:c r="B58" s="4" t="str">
        <x:v>PAR-CYB-GENERACION-PROCESO-TERMINADA-001</x:v>
      </x:c>
      <x:c r="C58" s="4" t="str">
        <x:v>TERMINACION-GENERACION-PROCESO-0.1</x:v>
      </x:c>
      <x:c r="D58" s="4" t="str">
        <x:v>COINCIDE</x:v>
      </x:c>
      <x:c r="E58" s="4" t="str">
        <x:v>LEGIBLE</x:v>
      </x:c>
      <x:c r="F58" s="4" t="str">
        <x:v>NUEVA_INSTANCIA</x:v>
      </x:c>
      <x:c r="G58" s="4" t="str">
        <x:v>UNICA</x:v>
      </x:c>
      <x:c r="H58" s="4" t="str">
        <x:v>TERMINADA</x:v>
      </x:c>
      <x:c r="I58" s="4" t="str"/>
      <x:c r="J58" s="4" t="str">
        <x:v>COMPLETA</x:v>
      </x:c>
      <x:c r="K58" s="4" t="str">
        <x:v>ORDEN_ACREDITADO</x:v>
      </x:c>
      <x:c r="L58" s="4" t="str">
        <x:v>VALIDA</x:v>
      </x:c>
      <x:c r="M58" s="4" t="str">
        <x:v>U</x:v>
      </x:c>
      <x:c r="N58" s="4" t="str">
        <x:v>OBSERVACION_INSUFICIENTE</x:v>
      </x:c>
      <x:c r="O58" s="12" t="str">
        <x:f>IF(Q58="SIN_EJECUCION_DOMINIO","FALLO_CAPTURA",IF(OR(Q58="CAPTURA_MAL_FORMADA",Q58="IDENTIDAD",Q58="OBSERVACION_MAL_FORMADA",Q58="LEXEMA_O_FORMA"),"NO_ADMISION",IF(OR(Q58="PERFIL_NO_CONSTITUIDO",Q58="RESULTADO_NO_TERMINAL"),"FUERA_PERFIL",IF(Q58="CONTEXTO_NO_CONSTITUIDO","CONFIGURACION_PENDIENTE","VALIDA"))))</x:f>
        <x:v>VALIDA</x:v>
      </x:c>
      <x:c r="P58" s="12" t="str">
        <x:f>IF(O58&lt;&gt;"VALIDA","",IF(Q58=AA58,"1",IF(Q58=AB58,"0","U")))</x:f>
        <x:v>U</x:v>
      </x:c>
      <x:c r="Q58" s="12" t="str">
        <x:f>IF(E58="FALLO","SIN_EJECUCION_DOMINIO",IF(E58&lt;&gt;"LEGIBLE","CAPTURA_MAL_FORMADA",IF(D58&lt;&gt;"COINCIDE","IDENTIDAD",IF(OR(T58="",C58&lt;&gt;T58),"PERFIL_NO_CONSTITUIDO",IF(K58&lt;&gt;V58,IF(V58="ORDEN_ACREDITADO","ORDEN_NO_ACREDITADO","CONTEXTO_NO_CONSTITUIDO"),IF(AND(G58="AUSENTE",H58="",I58=""),"DATO_AUSENTE",IF(AND(G58="CONFLICTO",H58="",I58=""),"CONFLICTO_OBSERVACIONAL",IF(G58&lt;&gt;"UNICA","OBSERVACION_MAL_FORMADA",IF(F58&lt;&gt;U58,"OBSERVACION_INSUFICIENTE",IF(W58="RESULTADO",IF(H58=X58,AA58,IF(OR(H58="orcSucceededWithErrors",H58="orcFailed",H58="orcAborted"),AB58,IF(OR(H58="orcNotStarted",H58="orcInProgress"),"RESULTADO_NO_TERMINAL","LEXEMA_O_FORMA"))),IF(W58="EVENTO_BOOT",IF(H58=X58,AA58,IF(OR(H58="NINGUNO",H58="SOLO_HIBRIDO"),IF(J58="COMPLETA",AB58,"COBERTURA_INSUFICIENTE"),"LEXEMA_O_FORMA")),IF(W58="REQUISITO_SOFT",IF(H58=X58,AA58,IF(H58=Z58,AB58,"LEXEMA_O_FORMA")),IF(W58="EVENTO_PROC",IF(H58=X58,AA58,IF(H58=Z58,IF(J58="COMPLETA",AB58,"COBERTURA_INSUFICIENTE"),"LEXEMA_O_FORMA")),IF(W58="IMAGEN",IF(AND(AND(ISTEXT(H58),LEN(("x"&amp;H58))=65,EXACT(("x"&amp;H58),LOWER(("x"&amp;H58))),ISERROR(SEARCH(" ",("x"&amp;H58))),ISERROR(SEARCH(CHAR(9),("x"&amp;H58))),ISERROR(SEARCH(CHAR(10),("x"&amp;H58))),ISERROR(SEARCH(CHAR(13),("x"&amp;H58))),IFERROR(HEX2DEC(MID(("x"&amp;H58),2,8))&gt;=0,FALSE),IFERROR(HEX2DEC(MID(("x"&amp;H58),10,8))&gt;=0,FALSE),IFERROR(HEX2DEC(MID(("x"&amp;H58),18,8))&gt;=0,FALSE),IFERROR(HEX2DEC(MID(("x"&amp;H58),26,8))&gt;=0,FALSE),IFERROR(HEX2DEC(MID(("x"&amp;H58),34,8))&gt;=0,FALSE),IFERROR(HEX2DEC(MID(("x"&amp;H58),42,8))&gt;=0,FALSE),IFERROR(HEX2DEC(MID(("x"&amp;H58),50,8))&gt;=0,FALSE),IFERROR(HEX2DEC(MID(("x"&amp;H58),58,8))&gt;=0,FALSE)),AND(ISTEXT(I58),LEN(("x"&amp;I58))=65,EXACT(("x"&amp;I58),LOWER(("x"&amp;I58))),ISERROR(SEARCH(" ",("x"&amp;I58))),ISERROR(SEARCH(CHAR(9),("x"&amp;I58))),ISERROR(SEARCH(CHAR(10),("x"&amp;I58))),ISERROR(SEARCH(CHAR(13),("x"&amp;I58))),IFERROR(HEX2DEC(MID(("x"&amp;I58),2,8))&gt;=0,FALSE),IFERROR(HEX2DEC(MID(("x"&amp;I58),10,8))&gt;=0,FALSE),IFERROR(HEX2DEC(MID(("x"&amp;I58),18,8))&gt;=0,FALSE),IFERROR(HEX2DEC(MID(("x"&amp;I58),26,8))&gt;=0,FALSE),IFERROR(HEX2DEC(MID(("x"&amp;I58),34,8))&gt;=0,FALSE),IFERROR(HEX2DEC(MID(("x"&amp;I58),42,8))&gt;=0,FALSE),IFERROR(HEX2DEC(MID(("x"&amp;I58),50,8))&gt;=0,FALSE),IFERROR(HEX2DEC(MID(("x"&amp;I58),58,8))&gt;=0,FALSE))),IF(EXACT("x"&amp;H58,"x"&amp;I58),AA58,AB58),"LEXEMA_O_FORMA"),IF(W58="PRUEBA",IF(H58=X58,AA58,IF(H58=Z58,AB58,"LEXEMA_O_FORMA")),IF(W58="RETIRADA",IF(AND(H58="NINGUNO",I58=""),IF(J58="COMPLETA",AB58,"COBERTURA_INSUFICIENTE"),IF(AND(OR(H58="uoInstallation",H58="uoUninstallation"),OR(I58="orcSucceeded",I58="orcSucceededWithErrors",I58="orcFailed",I58="orcAborted",I58="orcInProgress",I58="orcNotStarted")),IF(AND(H58=X58,I58=Y58),AA58,IF(AND(H58=X58,OR(I58="orcSucceededWithErrors",I58="orcInProgress",I58="orcNotStarted")),"RESULTADO_RETIRADA_INCIERTO",IF(J58="COMPLETA",AB58,"COBERTURA_INSUFICIENTE"))),"LEXEMA_O_FORMA")),IF(W58="CAMBIO",IF(OR(H58="CAMBIO",H58="CAMBIO_Y_RETORNO"),AA58,IF(OR(H58="NINGUNO",H58="SOLO_RENOMBRE"),IF(J58="COMPLETA",AB58,"COBERTURA_INSUFICIENTE"),"LEXEMA_O_FORMA")),IF(W58="RESTAURACION",IF(H58=X58,AA58,IF(OR(H58="NINGUNO",H58="RESTAURACION_POSTERIOR",H58="RESTAURACION_FALLIDA"),IF(J58="COMPLETA",AB58,"COBERTURA_INSUFICIENTE"),"LEXEMA_O_FORMA")),"PERFIL_NO_CONSTITUIDO"))))))))))))))))))</x:f>
        <x:v>OBSERVACION_INSUFICIENTE</x:v>
      </x:c>
      <x:c r="R58" s="12" t="str">
        <x:f>IF(AND(L58=O58,M58=P58,N58=Q58),"PASA","NO_PASA")</x:f>
        <x:v>PASA</x:v>
      </x:c>
      <x:c r="S58" s="4" t="str">
        <x:v>La nueva instancia no demuestra terminación de la generación previa.</x:v>
      </x:c>
      <x:c r="T58" s="12" t="str">
        <x:f>IFERROR(INDEX('55_Codificacion_ensayo'!$B$5:$B$13,MATCH(B58,'55_Codificacion_ensayo'!$A$5:$A$13,0)),"")</x:f>
        <x:v>TERMINACION-GENERACION-PROCESO-0.1</x:v>
      </x:c>
      <x:c r="U58" s="12" t="str">
        <x:f>IFERROR(INDEX('55_Codificacion_ensayo'!$C$5:$C$13,MATCH(B58,'55_Codificacion_ensayo'!$A$5:$A$13,0)),"")</x:f>
        <x:v>CICLO_GENERACION</x:v>
      </x:c>
      <x:c r="V58" s="12" t="str">
        <x:f>IFERROR(INDEX('55_Codificacion_ensayo'!$D$5:$D$13,MATCH(B58,'55_Codificacion_ensayo'!$A$5:$A$13,0)),"")</x:f>
        <x:v>ORDEN_ACREDITADO</x:v>
      </x:c>
      <x:c r="W58" s="12" t="str">
        <x:f>IFERROR(INDEX('55_Codificacion_ensayo'!$E$5:$E$13,MATCH(B58,'55_Codificacion_ensayo'!$A$5:$A$13,0)),"")</x:f>
        <x:v>EVENTO_PROC</x:v>
      </x:c>
      <x:c r="X58" s="12" t="str">
        <x:f>IFERROR(INDEX('55_Codificacion_ensayo'!$F$5:$F$13,MATCH(B58,'55_Codificacion_ensayo'!$A$5:$A$13,0)),"")</x:f>
        <x:v>TERMINADA</x:v>
      </x:c>
      <x:c r="Y58" s="12" t="str">
        <x:f>IFERROR(INDEX('55_Codificacion_ensayo'!$G$5:$G$13,MATCH(B58,'55_Codificacion_ensayo'!$A$5:$A$13,0)),"")</x:f>
      </x:c>
      <x:c r="Z58" s="12" t="str">
        <x:f>IFERROR(INDEX('55_Codificacion_ensayo'!$H$5:$H$13,MATCH(B58,'55_Codificacion_ensayo'!$A$5:$A$13,0)),"")</x:f>
        <x:v>NINGUNO</x:v>
      </x:c>
      <x:c r="AA58" s="12" t="str">
        <x:f>IFERROR(INDEX('55_Codificacion_ensayo'!$I$5:$I$13,MATCH(B58,'55_Codificacion_ensayo'!$A$5:$A$13,0)),"")</x:f>
        <x:v>GENERACION_TERMINADA</x:v>
      </x:c>
      <x:c r="AB58" s="12" t="str">
        <x:f>IFERROR(INDEX('55_Codificacion_ensayo'!$J$5:$J$13,MATCH(B58,'55_Codificacion_ensayo'!$A$5:$A$13,0)),"")</x:f>
        <x:v>SIN_TERMINACION</x:v>
      </x:c>
    </x:row>
    <x:row r="59" ht="47" customHeight="1">
      <x:c r="A59" s="4" t="str">
        <x:v>L10-06-01</x:v>
      </x:c>
      <x:c r="B59" s="4" t="str">
        <x:v>PAR-CYB-IMAGEN-OBJETIVO-ACTIVA-001</x:v>
      </x:c>
      <x:c r="C59" s="4" t="str">
        <x:v>IDENTIDAD-IMAGEN-CARGADA-0.1</x:v>
      </x:c>
      <x:c r="D59" s="4" t="str">
        <x:v>COINCIDE</x:v>
      </x:c>
      <x:c r="E59" s="4" t="str">
        <x:v>LEGIBLE</x:v>
      </x:c>
      <x:c r="F59" s="4" t="str">
        <x:v>IMAGEN_CARGADA</x:v>
      </x:c>
      <x:c r="G59" s="4" t="str">
        <x:v>UNICA</x:v>
      </x:c>
      <x:c r="H59" s="4" t="str">
        <x:v>aaaaaaaaaaaaaaaaaaaaaaaaaaaaaaaaaaaaaaaaaaaaaaaaaaaaaaaaaaaaaaaa</x:v>
      </x:c>
      <x:c r="I59" s="4" t="str">
        <x:v>aaaaaaaaaaaaaaaaaaaaaaaaaaaaaaaaaaaaaaaaaaaaaaaaaaaaaaaaaaaaaaaa</x:v>
      </x:c>
      <x:c r="J59" s="4" t="str">
        <x:v>COMPLETA</x:v>
      </x:c>
      <x:c r="K59" s="4" t="str">
        <x:v>METODO_ADMITIDO</x:v>
      </x:c>
      <x:c r="L59" s="4" t="str">
        <x:v>VALIDA</x:v>
      </x:c>
      <x:c r="M59" s="4" t="str">
        <x:v>1</x:v>
      </x:c>
      <x:c r="N59" s="4" t="str">
        <x:v>IMAGEN_OBJETIVO</x:v>
      </x:c>
      <x:c r="O59" s="12" t="str">
        <x:f>IF(Q59="SIN_EJECUCION_DOMINIO","FALLO_CAPTURA",IF(OR(Q59="CAPTURA_MAL_FORMADA",Q59="IDENTIDAD",Q59="OBSERVACION_MAL_FORMADA",Q59="LEXEMA_O_FORMA"),"NO_ADMISION",IF(OR(Q59="PERFIL_NO_CONSTITUIDO",Q59="RESULTADO_NO_TERMINAL"),"FUERA_PERFIL",IF(Q59="CONTEXTO_NO_CONSTITUIDO","CONFIGURACION_PENDIENTE","VALIDA"))))</x:f>
        <x:v>VALIDA</x:v>
      </x:c>
      <x:c r="P59" s="12" t="str">
        <x:f>IF(O59&lt;&gt;"VALIDA","",IF(Q59=AA59,"1",IF(Q59=AB59,"0","U")))</x:f>
        <x:v>1</x:v>
      </x:c>
      <x:c r="Q59" s="12" t="str">
        <x:f>IF(E59="FALLO","SIN_EJECUCION_DOMINIO",IF(E59&lt;&gt;"LEGIBLE","CAPTURA_MAL_FORMADA",IF(D59&lt;&gt;"COINCIDE","IDENTIDAD",IF(OR(T59="",C59&lt;&gt;T59),"PERFIL_NO_CONSTITUIDO",IF(K59&lt;&gt;V59,IF(V59="ORDEN_ACREDITADO","ORDEN_NO_ACREDITADO","CONTEXTO_NO_CONSTITUIDO"),IF(AND(G59="AUSENTE",H59="",I59=""),"DATO_AUSENTE",IF(AND(G59="CONFLICTO",H59="",I59=""),"CONFLICTO_OBSERVACIONAL",IF(G59&lt;&gt;"UNICA","OBSERVACION_MAL_FORMADA",IF(F59&lt;&gt;U59,"OBSERVACION_INSUFICIENTE",IF(W59="RESULTADO",IF(H59=X59,AA59,IF(OR(H59="orcSucceededWithErrors",H59="orcFailed",H59="orcAborted"),AB59,IF(OR(H59="orcNotStarted",H59="orcInProgress"),"RESULTADO_NO_TERMINAL","LEXEMA_O_FORMA"))),IF(W59="EVENTO_BOOT",IF(H59=X59,AA59,IF(OR(H59="NINGUNO",H59="SOLO_HIBRIDO"),IF(J59="COMPLETA",AB59,"COBERTURA_INSUFICIENTE"),"LEXEMA_O_FORMA")),IF(W59="REQUISITO_SOFT",IF(H59=X59,AA59,IF(H59=Z59,AB59,"LEXEMA_O_FORMA")),IF(W59="EVENTO_PROC",IF(H59=X59,AA59,IF(H59=Z59,IF(J59="COMPLETA",AB59,"COBERTURA_INSUFICIENTE"),"LEXEMA_O_FORMA")),IF(W59="IMAGEN",IF(AND(AND(ISTEXT(H59),LEN(("x"&amp;H59))=65,EXACT(("x"&amp;H59),LOWER(("x"&amp;H59))),ISERROR(SEARCH(" ",("x"&amp;H59))),ISERROR(SEARCH(CHAR(9),("x"&amp;H59))),ISERROR(SEARCH(CHAR(10),("x"&amp;H59))),ISERROR(SEARCH(CHAR(13),("x"&amp;H59))),IFERROR(HEX2DEC(MID(("x"&amp;H59),2,8))&gt;=0,FALSE),IFERROR(HEX2DEC(MID(("x"&amp;H59),10,8))&gt;=0,FALSE),IFERROR(HEX2DEC(MID(("x"&amp;H59),18,8))&gt;=0,FALSE),IFERROR(HEX2DEC(MID(("x"&amp;H59),26,8))&gt;=0,FALSE),IFERROR(HEX2DEC(MID(("x"&amp;H59),34,8))&gt;=0,FALSE),IFERROR(HEX2DEC(MID(("x"&amp;H59),42,8))&gt;=0,FALSE),IFERROR(HEX2DEC(MID(("x"&amp;H59),50,8))&gt;=0,FALSE),IFERROR(HEX2DEC(MID(("x"&amp;H59),58,8))&gt;=0,FALSE)),AND(ISTEXT(I59),LEN(("x"&amp;I59))=65,EXACT(("x"&amp;I59),LOWER(("x"&amp;I59))),ISERROR(SEARCH(" ",("x"&amp;I59))),ISERROR(SEARCH(CHAR(9),("x"&amp;I59))),ISERROR(SEARCH(CHAR(10),("x"&amp;I59))),ISERROR(SEARCH(CHAR(13),("x"&amp;I59))),IFERROR(HEX2DEC(MID(("x"&amp;I59),2,8))&gt;=0,FALSE),IFERROR(HEX2DEC(MID(("x"&amp;I59),10,8))&gt;=0,FALSE),IFERROR(HEX2DEC(MID(("x"&amp;I59),18,8))&gt;=0,FALSE),IFERROR(HEX2DEC(MID(("x"&amp;I59),26,8))&gt;=0,FALSE),IFERROR(HEX2DEC(MID(("x"&amp;I59),34,8))&gt;=0,FALSE),IFERROR(HEX2DEC(MID(("x"&amp;I59),42,8))&gt;=0,FALSE),IFERROR(HEX2DEC(MID(("x"&amp;I59),50,8))&gt;=0,FALSE),IFERROR(HEX2DEC(MID(("x"&amp;I59),58,8))&gt;=0,FALSE))),IF(EXACT("x"&amp;H59,"x"&amp;I59),AA59,AB59),"LEXEMA_O_FORMA"),IF(W59="PRUEBA",IF(H59=X59,AA59,IF(H59=Z59,AB59,"LEXEMA_O_FORMA")),IF(W59="RETIRADA",IF(AND(H59="NINGUNO",I59=""),IF(J59="COMPLETA",AB59,"COBERTURA_INSUFICIENTE"),IF(AND(OR(H59="uoInstallation",H59="uoUninstallation"),OR(I59="orcSucceeded",I59="orcSucceededWithErrors",I59="orcFailed",I59="orcAborted",I59="orcInProgress",I59="orcNotStarted")),IF(AND(H59=X59,I59=Y59),AA59,IF(AND(H59=X59,OR(I59="orcSucceededWithErrors",I59="orcInProgress",I59="orcNotStarted")),"RESULTADO_RETIRADA_INCIERTO",IF(J59="COMPLETA",AB59,"COBERTURA_INSUFICIENTE"))),"LEXEMA_O_FORMA")),IF(W59="CAMBIO",IF(OR(H59="CAMBIO",H59="CAMBIO_Y_RETORNO"),AA59,IF(OR(H59="NINGUNO",H59="SOLO_RENOMBRE"),IF(J59="COMPLETA",AB59,"COBERTURA_INSUFICIENTE"),"LEXEMA_O_FORMA")),IF(W59="RESTAURACION",IF(H59=X59,AA59,IF(OR(H59="NINGUNO",H59="RESTAURACION_POSTERIOR",H59="RESTAURACION_FALLIDA"),IF(J59="COMPLETA",AB59,"COBERTURA_INSUFICIENTE"),"LEXEMA_O_FORMA")),"PERFIL_NO_CONSTITUIDO"))))))))))))))))))</x:f>
        <x:v>IMAGEN_OBJETIVO</x:v>
      </x:c>
      <x:c r="R59" s="12" t="str">
        <x:f>IF(AND(L59=O59,M59=P59,N59=Q59),"PASA","NO_PASA")</x:f>
        <x:v>PASA</x:v>
      </x:c>
      <x:c r="S59" s="4" t="str">
        <x:v>Testigo positivo de la proposición; no licencia ninguna conclusión más amplia.</x:v>
      </x:c>
      <x:c r="T59" s="12" t="str">
        <x:f>IFERROR(INDEX('55_Codificacion_ensayo'!$B$5:$B$13,MATCH(B59,'55_Codificacion_ensayo'!$A$5:$A$13,0)),"")</x:f>
        <x:v>IDENTIDAD-IMAGEN-CARGADA-0.1</x:v>
      </x:c>
      <x:c r="U59" s="12" t="str">
        <x:f>IFERROR(INDEX('55_Codificacion_ensayo'!$C$5:$C$13,MATCH(B59,'55_Codificacion_ensayo'!$A$5:$A$13,0)),"")</x:f>
        <x:v>IMAGEN_CARGADA</x:v>
      </x:c>
      <x:c r="V59" s="12" t="str">
        <x:f>IFERROR(INDEX('55_Codificacion_ensayo'!$D$5:$D$13,MATCH(B59,'55_Codificacion_ensayo'!$A$5:$A$13,0)),"")</x:f>
        <x:v>METODO_ADMITIDO</x:v>
      </x:c>
      <x:c r="W59" s="12" t="str">
        <x:f>IFERROR(INDEX('55_Codificacion_ensayo'!$E$5:$E$13,MATCH(B59,'55_Codificacion_ensayo'!$A$5:$A$13,0)),"")</x:f>
        <x:v>IMAGEN</x:v>
      </x:c>
      <x:c r="X59" s="12" t="str">
        <x:f>IFERROR(INDEX('55_Codificacion_ensayo'!$F$5:$F$13,MATCH(B59,'55_Codificacion_ensayo'!$A$5:$A$13,0)),"")</x:f>
        <x:v>aaaaaaaaaaaaaaaaaaaaaaaaaaaaaaaaaaaaaaaaaaaaaaaaaaaaaaaaaaaaaaaa</x:v>
      </x:c>
      <x:c r="Y59" s="12" t="str">
        <x:f>IFERROR(INDEX('55_Codificacion_ensayo'!$G$5:$G$13,MATCH(B59,'55_Codificacion_ensayo'!$A$5:$A$13,0)),"")</x:f>
        <x:v>aaaaaaaaaaaaaaaaaaaaaaaaaaaaaaaaaaaaaaaaaaaaaaaaaaaaaaaaaaaaaaaa</x:v>
      </x:c>
      <x:c r="Z59" s="12" t="str">
        <x:f>IFERROR(INDEX('55_Codificacion_ensayo'!$H$5:$H$13,MATCH(B59,'55_Codificacion_ensayo'!$A$5:$A$13,0)),"")</x:f>
        <x:v>bbbbbbbbbbbbbbbbbbbbbbbbbbbbbbbbbbbbbbbbbbbbbbbbbbbbbbbbbbbbbbbb</x:v>
      </x:c>
      <x:c r="AA59" s="12" t="str">
        <x:f>IFERROR(INDEX('55_Codificacion_ensayo'!$I$5:$I$13,MATCH(B59,'55_Codificacion_ensayo'!$A$5:$A$13,0)),"")</x:f>
        <x:v>IMAGEN_OBJETIVO</x:v>
      </x:c>
      <x:c r="AB59" s="12" t="str">
        <x:f>IFERROR(INDEX('55_Codificacion_ensayo'!$J$5:$J$13,MATCH(B59,'55_Codificacion_ensayo'!$A$5:$A$13,0)),"")</x:f>
        <x:v>OTRA_IMAGEN</x:v>
      </x:c>
    </x:row>
    <x:row r="60" ht="47" customHeight="1">
      <x:c r="A60" s="4" t="str">
        <x:v>L10-06-02</x:v>
      </x:c>
      <x:c r="B60" s="4" t="str">
        <x:v>PAR-CYB-IMAGEN-OBJETIVO-ACTIVA-001</x:v>
      </x:c>
      <x:c r="C60" s="4" t="str">
        <x:v>IDENTIDAD-IMAGEN-CARGADA-0.1</x:v>
      </x:c>
      <x:c r="D60" s="4" t="str">
        <x:v>COINCIDE</x:v>
      </x:c>
      <x:c r="E60" s="4" t="str">
        <x:v>LEGIBLE</x:v>
      </x:c>
      <x:c r="F60" s="4" t="str">
        <x:v>IMAGEN_CARGADA</x:v>
      </x:c>
      <x:c r="G60" s="4" t="str">
        <x:v>UNICA</x:v>
      </x:c>
      <x:c r="H60" s="4" t="str">
        <x:v>bbbbbbbbbbbbbbbbbbbbbbbbbbbbbbbbbbbbbbbbbbbbbbbbbbbbbbbbbbbbbbbb</x:v>
      </x:c>
      <x:c r="I60" s="4" t="str">
        <x:v>aaaaaaaaaaaaaaaaaaaaaaaaaaaaaaaaaaaaaaaaaaaaaaaaaaaaaaaaaaaaaaaa</x:v>
      </x:c>
      <x:c r="J60" s="4" t="str">
        <x:v>COMPLETA</x:v>
      </x:c>
      <x:c r="K60" s="4" t="str">
        <x:v>METODO_ADMITIDO</x:v>
      </x:c>
      <x:c r="L60" s="4" t="str">
        <x:v>VALIDA</x:v>
      </x:c>
      <x:c r="M60" s="4" t="str">
        <x:v>0</x:v>
      </x:c>
      <x:c r="N60" s="4" t="str">
        <x:v>OTRA_IMAGEN</x:v>
      </x:c>
      <x:c r="O60" s="12" t="str">
        <x:f>IF(Q60="SIN_EJECUCION_DOMINIO","FALLO_CAPTURA",IF(OR(Q60="CAPTURA_MAL_FORMADA",Q60="IDENTIDAD",Q60="OBSERVACION_MAL_FORMADA",Q60="LEXEMA_O_FORMA"),"NO_ADMISION",IF(OR(Q60="PERFIL_NO_CONSTITUIDO",Q60="RESULTADO_NO_TERMINAL"),"FUERA_PERFIL",IF(Q60="CONTEXTO_NO_CONSTITUIDO","CONFIGURACION_PENDIENTE","VALIDA"))))</x:f>
        <x:v>VALIDA</x:v>
      </x:c>
      <x:c r="P60" s="12" t="str">
        <x:f>IF(O60&lt;&gt;"VALIDA","",IF(Q60=AA60,"1",IF(Q60=AB60,"0","U")))</x:f>
        <x:v>0</x:v>
      </x:c>
      <x:c r="Q60" s="12" t="str">
        <x:f>IF(E60="FALLO","SIN_EJECUCION_DOMINIO",IF(E60&lt;&gt;"LEGIBLE","CAPTURA_MAL_FORMADA",IF(D60&lt;&gt;"COINCIDE","IDENTIDAD",IF(OR(T60="",C60&lt;&gt;T60),"PERFIL_NO_CONSTITUIDO",IF(K60&lt;&gt;V60,IF(V60="ORDEN_ACREDITADO","ORDEN_NO_ACREDITADO","CONTEXTO_NO_CONSTITUIDO"),IF(AND(G60="AUSENTE",H60="",I60=""),"DATO_AUSENTE",IF(AND(G60="CONFLICTO",H60="",I60=""),"CONFLICTO_OBSERVACIONAL",IF(G60&lt;&gt;"UNICA","OBSERVACION_MAL_FORMADA",IF(F60&lt;&gt;U60,"OBSERVACION_INSUFICIENTE",IF(W60="RESULTADO",IF(H60=X60,AA60,IF(OR(H60="orcSucceededWithErrors",H60="orcFailed",H60="orcAborted"),AB60,IF(OR(H60="orcNotStarted",H60="orcInProgress"),"RESULTADO_NO_TERMINAL","LEXEMA_O_FORMA"))),IF(W60="EVENTO_BOOT",IF(H60=X60,AA60,IF(OR(H60="NINGUNO",H60="SOLO_HIBRIDO"),IF(J60="COMPLETA",AB60,"COBERTURA_INSUFICIENTE"),"LEXEMA_O_FORMA")),IF(W60="REQUISITO_SOFT",IF(H60=X60,AA60,IF(H60=Z60,AB60,"LEXEMA_O_FORMA")),IF(W60="EVENTO_PROC",IF(H60=X60,AA60,IF(H60=Z60,IF(J60="COMPLETA",AB60,"COBERTURA_INSUFICIENTE"),"LEXEMA_O_FORMA")),IF(W60="IMAGEN",IF(AND(AND(ISTEXT(H60),LEN(("x"&amp;H60))=65,EXACT(("x"&amp;H60),LOWER(("x"&amp;H60))),ISERROR(SEARCH(" ",("x"&amp;H60))),ISERROR(SEARCH(CHAR(9),("x"&amp;H60))),ISERROR(SEARCH(CHAR(10),("x"&amp;H60))),ISERROR(SEARCH(CHAR(13),("x"&amp;H60))),IFERROR(HEX2DEC(MID(("x"&amp;H60),2,8))&gt;=0,FALSE),IFERROR(HEX2DEC(MID(("x"&amp;H60),10,8))&gt;=0,FALSE),IFERROR(HEX2DEC(MID(("x"&amp;H60),18,8))&gt;=0,FALSE),IFERROR(HEX2DEC(MID(("x"&amp;H60),26,8))&gt;=0,FALSE),IFERROR(HEX2DEC(MID(("x"&amp;H60),34,8))&gt;=0,FALSE),IFERROR(HEX2DEC(MID(("x"&amp;H60),42,8))&gt;=0,FALSE),IFERROR(HEX2DEC(MID(("x"&amp;H60),50,8))&gt;=0,FALSE),IFERROR(HEX2DEC(MID(("x"&amp;H60),58,8))&gt;=0,FALSE)),AND(ISTEXT(I60),LEN(("x"&amp;I60))=65,EXACT(("x"&amp;I60),LOWER(("x"&amp;I60))),ISERROR(SEARCH(" ",("x"&amp;I60))),ISERROR(SEARCH(CHAR(9),("x"&amp;I60))),ISERROR(SEARCH(CHAR(10),("x"&amp;I60))),ISERROR(SEARCH(CHAR(13),("x"&amp;I60))),IFERROR(HEX2DEC(MID(("x"&amp;I60),2,8))&gt;=0,FALSE),IFERROR(HEX2DEC(MID(("x"&amp;I60),10,8))&gt;=0,FALSE),IFERROR(HEX2DEC(MID(("x"&amp;I60),18,8))&gt;=0,FALSE),IFERROR(HEX2DEC(MID(("x"&amp;I60),26,8))&gt;=0,FALSE),IFERROR(HEX2DEC(MID(("x"&amp;I60),34,8))&gt;=0,FALSE),IFERROR(HEX2DEC(MID(("x"&amp;I60),42,8))&gt;=0,FALSE),IFERROR(HEX2DEC(MID(("x"&amp;I60),50,8))&gt;=0,FALSE),IFERROR(HEX2DEC(MID(("x"&amp;I60),58,8))&gt;=0,FALSE))),IF(EXACT("x"&amp;H60,"x"&amp;I60),AA60,AB60),"LEXEMA_O_FORMA"),IF(W60="PRUEBA",IF(H60=X60,AA60,IF(H60=Z60,AB60,"LEXEMA_O_FORMA")),IF(W60="RETIRADA",IF(AND(H60="NINGUNO",I60=""),IF(J60="COMPLETA",AB60,"COBERTURA_INSUFICIENTE"),IF(AND(OR(H60="uoInstallation",H60="uoUninstallation"),OR(I60="orcSucceeded",I60="orcSucceededWithErrors",I60="orcFailed",I60="orcAborted",I60="orcInProgress",I60="orcNotStarted")),IF(AND(H60=X60,I60=Y60),AA60,IF(AND(H60=X60,OR(I60="orcSucceededWithErrors",I60="orcInProgress",I60="orcNotStarted")),"RESULTADO_RETIRADA_INCIERTO",IF(J60="COMPLETA",AB60,"COBERTURA_INSUFICIENTE"))),"LEXEMA_O_FORMA")),IF(W60="CAMBIO",IF(OR(H60="CAMBIO",H60="CAMBIO_Y_RETORNO"),AA60,IF(OR(H60="NINGUNO",H60="SOLO_RENOMBRE"),IF(J60="COMPLETA",AB60,"COBERTURA_INSUFICIENTE"),"LEXEMA_O_FORMA")),IF(W60="RESTAURACION",IF(H60=X60,AA60,IF(OR(H60="NINGUNO",H60="RESTAURACION_POSTERIOR",H60="RESTAURACION_FALLIDA"),IF(J60="COMPLETA",AB60,"COBERTURA_INSUFICIENTE"),"LEXEMA_O_FORMA")),"PERFIL_NO_CONSTITUIDO"))))))))))))))))))</x:f>
        <x:v>OTRA_IMAGEN</x:v>
      </x:c>
      <x:c r="R60" s="12" t="str">
        <x:f>IF(AND(L60=O60,M60=P60,N60=Q60),"PASA","NO_PASA")</x:f>
        <x:v>PASA</x:v>
      </x:c>
      <x:c r="S60" s="4" t="str">
        <x:v>Negativo explícito; en eventos exige cobertura del intervalo.</x:v>
      </x:c>
      <x:c r="T60" s="12" t="str">
        <x:f>IFERROR(INDEX('55_Codificacion_ensayo'!$B$5:$B$13,MATCH(B60,'55_Codificacion_ensayo'!$A$5:$A$13,0)),"")</x:f>
        <x:v>IDENTIDAD-IMAGEN-CARGADA-0.1</x:v>
      </x:c>
      <x:c r="U60" s="12" t="str">
        <x:f>IFERROR(INDEX('55_Codificacion_ensayo'!$C$5:$C$13,MATCH(B60,'55_Codificacion_ensayo'!$A$5:$A$13,0)),"")</x:f>
        <x:v>IMAGEN_CARGADA</x:v>
      </x:c>
      <x:c r="V60" s="12" t="str">
        <x:f>IFERROR(INDEX('55_Codificacion_ensayo'!$D$5:$D$13,MATCH(B60,'55_Codificacion_ensayo'!$A$5:$A$13,0)),"")</x:f>
        <x:v>METODO_ADMITIDO</x:v>
      </x:c>
      <x:c r="W60" s="12" t="str">
        <x:f>IFERROR(INDEX('55_Codificacion_ensayo'!$E$5:$E$13,MATCH(B60,'55_Codificacion_ensayo'!$A$5:$A$13,0)),"")</x:f>
        <x:v>IMAGEN</x:v>
      </x:c>
      <x:c r="X60" s="12" t="str">
        <x:f>IFERROR(INDEX('55_Codificacion_ensayo'!$F$5:$F$13,MATCH(B60,'55_Codificacion_ensayo'!$A$5:$A$13,0)),"")</x:f>
        <x:v>aaaaaaaaaaaaaaaaaaaaaaaaaaaaaaaaaaaaaaaaaaaaaaaaaaaaaaaaaaaaaaaa</x:v>
      </x:c>
      <x:c r="Y60" s="12" t="str">
        <x:f>IFERROR(INDEX('55_Codificacion_ensayo'!$G$5:$G$13,MATCH(B60,'55_Codificacion_ensayo'!$A$5:$A$13,0)),"")</x:f>
        <x:v>aaaaaaaaaaaaaaaaaaaaaaaaaaaaaaaaaaaaaaaaaaaaaaaaaaaaaaaaaaaaaaaa</x:v>
      </x:c>
      <x:c r="Z60" s="12" t="str">
        <x:f>IFERROR(INDEX('55_Codificacion_ensayo'!$H$5:$H$13,MATCH(B60,'55_Codificacion_ensayo'!$A$5:$A$13,0)),"")</x:f>
        <x:v>bbbbbbbbbbbbbbbbbbbbbbbbbbbbbbbbbbbbbbbbbbbbbbbbbbbbbbbbbbbbbbbb</x:v>
      </x:c>
      <x:c r="AA60" s="12" t="str">
        <x:f>IFERROR(INDEX('55_Codificacion_ensayo'!$I$5:$I$13,MATCH(B60,'55_Codificacion_ensayo'!$A$5:$A$13,0)),"")</x:f>
        <x:v>IMAGEN_OBJETIVO</x:v>
      </x:c>
      <x:c r="AB60" s="12" t="str">
        <x:f>IFERROR(INDEX('55_Codificacion_ensayo'!$J$5:$J$13,MATCH(B60,'55_Codificacion_ensayo'!$A$5:$A$13,0)),"")</x:f>
        <x:v>OTRA_IMAGEN</x:v>
      </x:c>
    </x:row>
    <x:row r="61" ht="47" customHeight="1">
      <x:c r="A61" s="4" t="str">
        <x:v>L10-06-03</x:v>
      </x:c>
      <x:c r="B61" s="4" t="str">
        <x:v>PAR-CYB-IMAGEN-OBJETIVO-ACTIVA-001</x:v>
      </x:c>
      <x:c r="C61" s="4" t="str">
        <x:v>IDENTIDAD-IMAGEN-CARGADA-0.1</x:v>
      </x:c>
      <x:c r="D61" s="4" t="str">
        <x:v>COINCIDE</x:v>
      </x:c>
      <x:c r="E61" s="4" t="str">
        <x:v>LEGIBLE</x:v>
      </x:c>
      <x:c r="F61" s="4" t="str">
        <x:v>IMAGEN_CARGADA</x:v>
      </x:c>
      <x:c r="G61" s="4" t="str">
        <x:v>AUSENTE</x:v>
      </x:c>
      <x:c r="H61" s="4" t="str"/>
      <x:c r="I61" s="4" t="str"/>
      <x:c r="J61" s="4" t="str">
        <x:v>COMPLETA</x:v>
      </x:c>
      <x:c r="K61" s="4" t="str">
        <x:v>METODO_ADMITIDO</x:v>
      </x:c>
      <x:c r="L61" s="4" t="str">
        <x:v>VALIDA</x:v>
      </x:c>
      <x:c r="M61" s="4" t="str">
        <x:v>U</x:v>
      </x:c>
      <x:c r="N61" s="4" t="str">
        <x:v>DATO_AUSENTE</x:v>
      </x:c>
      <x:c r="O61" s="12" t="str">
        <x:f>IF(Q61="SIN_EJECUCION_DOMINIO","FALLO_CAPTURA",IF(OR(Q61="CAPTURA_MAL_FORMADA",Q61="IDENTIDAD",Q61="OBSERVACION_MAL_FORMADA",Q61="LEXEMA_O_FORMA"),"NO_ADMISION",IF(OR(Q61="PERFIL_NO_CONSTITUIDO",Q61="RESULTADO_NO_TERMINAL"),"FUERA_PERFIL",IF(Q61="CONTEXTO_NO_CONSTITUIDO","CONFIGURACION_PENDIENTE","VALIDA"))))</x:f>
        <x:v>VALIDA</x:v>
      </x:c>
      <x:c r="P61" s="12" t="str">
        <x:f>IF(O61&lt;&gt;"VALIDA","",IF(Q61=AA61,"1",IF(Q61=AB61,"0","U")))</x:f>
        <x:v>U</x:v>
      </x:c>
      <x:c r="Q61" s="12" t="str">
        <x:f>IF(E61="FALLO","SIN_EJECUCION_DOMINIO",IF(E61&lt;&gt;"LEGIBLE","CAPTURA_MAL_FORMADA",IF(D61&lt;&gt;"COINCIDE","IDENTIDAD",IF(OR(T61="",C61&lt;&gt;T61),"PERFIL_NO_CONSTITUIDO",IF(K61&lt;&gt;V61,IF(V61="ORDEN_ACREDITADO","ORDEN_NO_ACREDITADO","CONTEXTO_NO_CONSTITUIDO"),IF(AND(G61="AUSENTE",H61="",I61=""),"DATO_AUSENTE",IF(AND(G61="CONFLICTO",H61="",I61=""),"CONFLICTO_OBSERVACIONAL",IF(G61&lt;&gt;"UNICA","OBSERVACION_MAL_FORMADA",IF(F61&lt;&gt;U61,"OBSERVACION_INSUFICIENTE",IF(W61="RESULTADO",IF(H61=X61,AA61,IF(OR(H61="orcSucceededWithErrors",H61="orcFailed",H61="orcAborted"),AB61,IF(OR(H61="orcNotStarted",H61="orcInProgress"),"RESULTADO_NO_TERMINAL","LEXEMA_O_FORMA"))),IF(W61="EVENTO_BOOT",IF(H61=X61,AA61,IF(OR(H61="NINGUNO",H61="SOLO_HIBRIDO"),IF(J61="COMPLETA",AB61,"COBERTURA_INSUFICIENTE"),"LEXEMA_O_FORMA")),IF(W61="REQUISITO_SOFT",IF(H61=X61,AA61,IF(H61=Z61,AB61,"LEXEMA_O_FORMA")),IF(W61="EVENTO_PROC",IF(H61=X61,AA61,IF(H61=Z61,IF(J61="COMPLETA",AB61,"COBERTURA_INSUFICIENTE"),"LEXEMA_O_FORMA")),IF(W61="IMAGEN",IF(AND(AND(ISTEXT(H61),LEN(("x"&amp;H61))=65,EXACT(("x"&amp;H61),LOWER(("x"&amp;H61))),ISERROR(SEARCH(" ",("x"&amp;H61))),ISERROR(SEARCH(CHAR(9),("x"&amp;H61))),ISERROR(SEARCH(CHAR(10),("x"&amp;H61))),ISERROR(SEARCH(CHAR(13),("x"&amp;H61))),IFERROR(HEX2DEC(MID(("x"&amp;H61),2,8))&gt;=0,FALSE),IFERROR(HEX2DEC(MID(("x"&amp;H61),10,8))&gt;=0,FALSE),IFERROR(HEX2DEC(MID(("x"&amp;H61),18,8))&gt;=0,FALSE),IFERROR(HEX2DEC(MID(("x"&amp;H61),26,8))&gt;=0,FALSE),IFERROR(HEX2DEC(MID(("x"&amp;H61),34,8))&gt;=0,FALSE),IFERROR(HEX2DEC(MID(("x"&amp;H61),42,8))&gt;=0,FALSE),IFERROR(HEX2DEC(MID(("x"&amp;H61),50,8))&gt;=0,FALSE),IFERROR(HEX2DEC(MID(("x"&amp;H61),58,8))&gt;=0,FALSE)),AND(ISTEXT(I61),LEN(("x"&amp;I61))=65,EXACT(("x"&amp;I61),LOWER(("x"&amp;I61))),ISERROR(SEARCH(" ",("x"&amp;I61))),ISERROR(SEARCH(CHAR(9),("x"&amp;I61))),ISERROR(SEARCH(CHAR(10),("x"&amp;I61))),ISERROR(SEARCH(CHAR(13),("x"&amp;I61))),IFERROR(HEX2DEC(MID(("x"&amp;I61),2,8))&gt;=0,FALSE),IFERROR(HEX2DEC(MID(("x"&amp;I61),10,8))&gt;=0,FALSE),IFERROR(HEX2DEC(MID(("x"&amp;I61),18,8))&gt;=0,FALSE),IFERROR(HEX2DEC(MID(("x"&amp;I61),26,8))&gt;=0,FALSE),IFERROR(HEX2DEC(MID(("x"&amp;I61),34,8))&gt;=0,FALSE),IFERROR(HEX2DEC(MID(("x"&amp;I61),42,8))&gt;=0,FALSE),IFERROR(HEX2DEC(MID(("x"&amp;I61),50,8))&gt;=0,FALSE),IFERROR(HEX2DEC(MID(("x"&amp;I61),58,8))&gt;=0,FALSE))),IF(EXACT("x"&amp;H61,"x"&amp;I61),AA61,AB61),"LEXEMA_O_FORMA"),IF(W61="PRUEBA",IF(H61=X61,AA61,IF(H61=Z61,AB61,"LEXEMA_O_FORMA")),IF(W61="RETIRADA",IF(AND(H61="NINGUNO",I61=""),IF(J61="COMPLETA",AB61,"COBERTURA_INSUFICIENTE"),IF(AND(OR(H61="uoInstallation",H61="uoUninstallation"),OR(I61="orcSucceeded",I61="orcSucceededWithErrors",I61="orcFailed",I61="orcAborted",I61="orcInProgress",I61="orcNotStarted")),IF(AND(H61=X61,I61=Y61),AA61,IF(AND(H61=X61,OR(I61="orcSucceededWithErrors",I61="orcInProgress",I61="orcNotStarted")),"RESULTADO_RETIRADA_INCIERTO",IF(J61="COMPLETA",AB61,"COBERTURA_INSUFICIENTE"))),"LEXEMA_O_FORMA")),IF(W61="CAMBIO",IF(OR(H61="CAMBIO",H61="CAMBIO_Y_RETORNO"),AA61,IF(OR(H61="NINGUNO",H61="SOLO_RENOMBRE"),IF(J61="COMPLETA",AB61,"COBERTURA_INSUFICIENTE"),"LEXEMA_O_FORMA")),IF(W61="RESTAURACION",IF(H61=X61,AA61,IF(OR(H61="NINGUNO",H61="RESTAURACION_POSTERIOR",H61="RESTAURACION_FALLIDA"),IF(J61="COMPLETA",AB61,"COBERTURA_INSUFICIENTE"),"LEXEMA_O_FORMA")),"PERFIL_NO_CONSTITUIDO"))))))))))))))))))</x:f>
        <x:v>DATO_AUSENTE</x:v>
      </x:c>
      <x:c r="R61" s="12" t="str">
        <x:f>IF(AND(L61=O61,M61=P61,N61=Q61),"PASA","NO_PASA")</x:f>
        <x:v>PASA</x:v>
      </x:c>
      <x:c r="S61" s="4" t="str">
        <x:v>Documento declara que falta la observación, sin convertir ausencia en 0.</x:v>
      </x:c>
      <x:c r="T61" s="12" t="str">
        <x:f>IFERROR(INDEX('55_Codificacion_ensayo'!$B$5:$B$13,MATCH(B61,'55_Codificacion_ensayo'!$A$5:$A$13,0)),"")</x:f>
        <x:v>IDENTIDAD-IMAGEN-CARGADA-0.1</x:v>
      </x:c>
      <x:c r="U61" s="12" t="str">
        <x:f>IFERROR(INDEX('55_Codificacion_ensayo'!$C$5:$C$13,MATCH(B61,'55_Codificacion_ensayo'!$A$5:$A$13,0)),"")</x:f>
        <x:v>IMAGEN_CARGADA</x:v>
      </x:c>
      <x:c r="V61" s="12" t="str">
        <x:f>IFERROR(INDEX('55_Codificacion_ensayo'!$D$5:$D$13,MATCH(B61,'55_Codificacion_ensayo'!$A$5:$A$13,0)),"")</x:f>
        <x:v>METODO_ADMITIDO</x:v>
      </x:c>
      <x:c r="W61" s="12" t="str">
        <x:f>IFERROR(INDEX('55_Codificacion_ensayo'!$E$5:$E$13,MATCH(B61,'55_Codificacion_ensayo'!$A$5:$A$13,0)),"")</x:f>
        <x:v>IMAGEN</x:v>
      </x:c>
      <x:c r="X61" s="12" t="str">
        <x:f>IFERROR(INDEX('55_Codificacion_ensayo'!$F$5:$F$13,MATCH(B61,'55_Codificacion_ensayo'!$A$5:$A$13,0)),"")</x:f>
        <x:v>aaaaaaaaaaaaaaaaaaaaaaaaaaaaaaaaaaaaaaaaaaaaaaaaaaaaaaaaaaaaaaaa</x:v>
      </x:c>
      <x:c r="Y61" s="12" t="str">
        <x:f>IFERROR(INDEX('55_Codificacion_ensayo'!$G$5:$G$13,MATCH(B61,'55_Codificacion_ensayo'!$A$5:$A$13,0)),"")</x:f>
        <x:v>aaaaaaaaaaaaaaaaaaaaaaaaaaaaaaaaaaaaaaaaaaaaaaaaaaaaaaaaaaaaaaaa</x:v>
      </x:c>
      <x:c r="Z61" s="12" t="str">
        <x:f>IFERROR(INDEX('55_Codificacion_ensayo'!$H$5:$H$13,MATCH(B61,'55_Codificacion_ensayo'!$A$5:$A$13,0)),"")</x:f>
        <x:v>bbbbbbbbbbbbbbbbbbbbbbbbbbbbbbbbbbbbbbbbbbbbbbbbbbbbbbbbbbbbbbbb</x:v>
      </x:c>
      <x:c r="AA61" s="12" t="str">
        <x:f>IFERROR(INDEX('55_Codificacion_ensayo'!$I$5:$I$13,MATCH(B61,'55_Codificacion_ensayo'!$A$5:$A$13,0)),"")</x:f>
        <x:v>IMAGEN_OBJETIVO</x:v>
      </x:c>
      <x:c r="AB61" s="12" t="str">
        <x:f>IFERROR(INDEX('55_Codificacion_ensayo'!$J$5:$J$13,MATCH(B61,'55_Codificacion_ensayo'!$A$5:$A$13,0)),"")</x:f>
        <x:v>OTRA_IMAGEN</x:v>
      </x:c>
    </x:row>
    <x:row r="62" ht="47" customHeight="1">
      <x:c r="A62" s="4" t="str">
        <x:v>L10-06-04</x:v>
      </x:c>
      <x:c r="B62" s="4" t="str">
        <x:v>PAR-CYB-IMAGEN-OBJETIVO-ACTIVA-001</x:v>
      </x:c>
      <x:c r="C62" s="4" t="str">
        <x:v>IDENTIDAD-IMAGEN-CARGADA-0.1</x:v>
      </x:c>
      <x:c r="D62" s="4" t="str">
        <x:v>COINCIDE</x:v>
      </x:c>
      <x:c r="E62" s="4" t="str">
        <x:v>LEGIBLE</x:v>
      </x:c>
      <x:c r="F62" s="4" t="str">
        <x:v>IMAGEN_CARGADA</x:v>
      </x:c>
      <x:c r="G62" s="4" t="str">
        <x:v>CONFLICTO</x:v>
      </x:c>
      <x:c r="H62" s="4" t="str"/>
      <x:c r="I62" s="4" t="str"/>
      <x:c r="J62" s="4" t="str">
        <x:v>COMPLETA</x:v>
      </x:c>
      <x:c r="K62" s="4" t="str">
        <x:v>METODO_ADMITIDO</x:v>
      </x:c>
      <x:c r="L62" s="4" t="str">
        <x:v>VALIDA</x:v>
      </x:c>
      <x:c r="M62" s="4" t="str">
        <x:v>U</x:v>
      </x:c>
      <x:c r="N62" s="4" t="str">
        <x:v>CONFLICTO_OBSERVACIONAL</x:v>
      </x:c>
      <x:c r="O62" s="12" t="str">
        <x:f>IF(Q62="SIN_EJECUCION_DOMINIO","FALLO_CAPTURA",IF(OR(Q62="CAPTURA_MAL_FORMADA",Q62="IDENTIDAD",Q62="OBSERVACION_MAL_FORMADA",Q62="LEXEMA_O_FORMA"),"NO_ADMISION",IF(OR(Q62="PERFIL_NO_CONSTITUIDO",Q62="RESULTADO_NO_TERMINAL"),"FUERA_PERFIL",IF(Q62="CONTEXTO_NO_CONSTITUIDO","CONFIGURACION_PENDIENTE","VALIDA"))))</x:f>
        <x:v>VALIDA</x:v>
      </x:c>
      <x:c r="P62" s="12" t="str">
        <x:f>IF(O62&lt;&gt;"VALIDA","",IF(Q62=AA62,"1",IF(Q62=AB62,"0","U")))</x:f>
        <x:v>U</x:v>
      </x:c>
      <x:c r="Q62" s="12" t="str">
        <x:f>IF(E62="FALLO","SIN_EJECUCION_DOMINIO",IF(E62&lt;&gt;"LEGIBLE","CAPTURA_MAL_FORMADA",IF(D62&lt;&gt;"COINCIDE","IDENTIDAD",IF(OR(T62="",C62&lt;&gt;T62),"PERFIL_NO_CONSTITUIDO",IF(K62&lt;&gt;V62,IF(V62="ORDEN_ACREDITADO","ORDEN_NO_ACREDITADO","CONTEXTO_NO_CONSTITUIDO"),IF(AND(G62="AUSENTE",H62="",I62=""),"DATO_AUSENTE",IF(AND(G62="CONFLICTO",H62="",I62=""),"CONFLICTO_OBSERVACIONAL",IF(G62&lt;&gt;"UNICA","OBSERVACION_MAL_FORMADA",IF(F62&lt;&gt;U62,"OBSERVACION_INSUFICIENTE",IF(W62="RESULTADO",IF(H62=X62,AA62,IF(OR(H62="orcSucceededWithErrors",H62="orcFailed",H62="orcAborted"),AB62,IF(OR(H62="orcNotStarted",H62="orcInProgress"),"RESULTADO_NO_TERMINAL","LEXEMA_O_FORMA"))),IF(W62="EVENTO_BOOT",IF(H62=X62,AA62,IF(OR(H62="NINGUNO",H62="SOLO_HIBRIDO"),IF(J62="COMPLETA",AB62,"COBERTURA_INSUFICIENTE"),"LEXEMA_O_FORMA")),IF(W62="REQUISITO_SOFT",IF(H62=X62,AA62,IF(H62=Z62,AB62,"LEXEMA_O_FORMA")),IF(W62="EVENTO_PROC",IF(H62=X62,AA62,IF(H62=Z62,IF(J62="COMPLETA",AB62,"COBERTURA_INSUFICIENTE"),"LEXEMA_O_FORMA")),IF(W62="IMAGEN",IF(AND(AND(ISTEXT(H62),LEN(("x"&amp;H62))=65,EXACT(("x"&amp;H62),LOWER(("x"&amp;H62))),ISERROR(SEARCH(" ",("x"&amp;H62))),ISERROR(SEARCH(CHAR(9),("x"&amp;H62))),ISERROR(SEARCH(CHAR(10),("x"&amp;H62))),ISERROR(SEARCH(CHAR(13),("x"&amp;H62))),IFERROR(HEX2DEC(MID(("x"&amp;H62),2,8))&gt;=0,FALSE),IFERROR(HEX2DEC(MID(("x"&amp;H62),10,8))&gt;=0,FALSE),IFERROR(HEX2DEC(MID(("x"&amp;H62),18,8))&gt;=0,FALSE),IFERROR(HEX2DEC(MID(("x"&amp;H62),26,8))&gt;=0,FALSE),IFERROR(HEX2DEC(MID(("x"&amp;H62),34,8))&gt;=0,FALSE),IFERROR(HEX2DEC(MID(("x"&amp;H62),42,8))&gt;=0,FALSE),IFERROR(HEX2DEC(MID(("x"&amp;H62),50,8))&gt;=0,FALSE),IFERROR(HEX2DEC(MID(("x"&amp;H62),58,8))&gt;=0,FALSE)),AND(ISTEXT(I62),LEN(("x"&amp;I62))=65,EXACT(("x"&amp;I62),LOWER(("x"&amp;I62))),ISERROR(SEARCH(" ",("x"&amp;I62))),ISERROR(SEARCH(CHAR(9),("x"&amp;I62))),ISERROR(SEARCH(CHAR(10),("x"&amp;I62))),ISERROR(SEARCH(CHAR(13),("x"&amp;I62))),IFERROR(HEX2DEC(MID(("x"&amp;I62),2,8))&gt;=0,FALSE),IFERROR(HEX2DEC(MID(("x"&amp;I62),10,8))&gt;=0,FALSE),IFERROR(HEX2DEC(MID(("x"&amp;I62),18,8))&gt;=0,FALSE),IFERROR(HEX2DEC(MID(("x"&amp;I62),26,8))&gt;=0,FALSE),IFERROR(HEX2DEC(MID(("x"&amp;I62),34,8))&gt;=0,FALSE),IFERROR(HEX2DEC(MID(("x"&amp;I62),42,8))&gt;=0,FALSE),IFERROR(HEX2DEC(MID(("x"&amp;I62),50,8))&gt;=0,FALSE),IFERROR(HEX2DEC(MID(("x"&amp;I62),58,8))&gt;=0,FALSE))),IF(EXACT("x"&amp;H62,"x"&amp;I62),AA62,AB62),"LEXEMA_O_FORMA"),IF(W62="PRUEBA",IF(H62=X62,AA62,IF(H62=Z62,AB62,"LEXEMA_O_FORMA")),IF(W62="RETIRADA",IF(AND(H62="NINGUNO",I62=""),IF(J62="COMPLETA",AB62,"COBERTURA_INSUFICIENTE"),IF(AND(OR(H62="uoInstallation",H62="uoUninstallation"),OR(I62="orcSucceeded",I62="orcSucceededWithErrors",I62="orcFailed",I62="orcAborted",I62="orcInProgress",I62="orcNotStarted")),IF(AND(H62=X62,I62=Y62),AA62,IF(AND(H62=X62,OR(I62="orcSucceededWithErrors",I62="orcInProgress",I62="orcNotStarted")),"RESULTADO_RETIRADA_INCIERTO",IF(J62="COMPLETA",AB62,"COBERTURA_INSUFICIENTE"))),"LEXEMA_O_FORMA")),IF(W62="CAMBIO",IF(OR(H62="CAMBIO",H62="CAMBIO_Y_RETORNO"),AA62,IF(OR(H62="NINGUNO",H62="SOLO_RENOMBRE"),IF(J62="COMPLETA",AB62,"COBERTURA_INSUFICIENTE"),"LEXEMA_O_FORMA")),IF(W62="RESTAURACION",IF(H62=X62,AA62,IF(OR(H62="NINGUNO",H62="RESTAURACION_POSTERIOR",H62="RESTAURACION_FALLIDA"),IF(J62="COMPLETA",AB62,"COBERTURA_INSUFICIENTE"),"LEXEMA_O_FORMA")),"PERFIL_NO_CONSTITUIDO"))))))))))))))))))</x:f>
        <x:v>CONFLICTO_OBSERVACIONAL</x:v>
      </x:c>
      <x:c r="R62" s="12" t="str">
        <x:f>IF(AND(L62=O62,M62=P62,N62=Q62),"PASA","NO_PASA")</x:f>
        <x:v>PASA</x:v>
      </x:c>
      <x:c r="S62" s="4" t="str">
        <x:v>Conflicto entre observaciones admitidas del mismo sujeto y corte.</x:v>
      </x:c>
      <x:c r="T62" s="12" t="str">
        <x:f>IFERROR(INDEX('55_Codificacion_ensayo'!$B$5:$B$13,MATCH(B62,'55_Codificacion_ensayo'!$A$5:$A$13,0)),"")</x:f>
        <x:v>IDENTIDAD-IMAGEN-CARGADA-0.1</x:v>
      </x:c>
      <x:c r="U62" s="12" t="str">
        <x:f>IFERROR(INDEX('55_Codificacion_ensayo'!$C$5:$C$13,MATCH(B62,'55_Codificacion_ensayo'!$A$5:$A$13,0)),"")</x:f>
        <x:v>IMAGEN_CARGADA</x:v>
      </x:c>
      <x:c r="V62" s="12" t="str">
        <x:f>IFERROR(INDEX('55_Codificacion_ensayo'!$D$5:$D$13,MATCH(B62,'55_Codificacion_ensayo'!$A$5:$A$13,0)),"")</x:f>
        <x:v>METODO_ADMITIDO</x:v>
      </x:c>
      <x:c r="W62" s="12" t="str">
        <x:f>IFERROR(INDEX('55_Codificacion_ensayo'!$E$5:$E$13,MATCH(B62,'55_Codificacion_ensayo'!$A$5:$A$13,0)),"")</x:f>
        <x:v>IMAGEN</x:v>
      </x:c>
      <x:c r="X62" s="12" t="str">
        <x:f>IFERROR(INDEX('55_Codificacion_ensayo'!$F$5:$F$13,MATCH(B62,'55_Codificacion_ensayo'!$A$5:$A$13,0)),"")</x:f>
        <x:v>aaaaaaaaaaaaaaaaaaaaaaaaaaaaaaaaaaaaaaaaaaaaaaaaaaaaaaaaaaaaaaaa</x:v>
      </x:c>
      <x:c r="Y62" s="12" t="str">
        <x:f>IFERROR(INDEX('55_Codificacion_ensayo'!$G$5:$G$13,MATCH(B62,'55_Codificacion_ensayo'!$A$5:$A$13,0)),"")</x:f>
        <x:v>aaaaaaaaaaaaaaaaaaaaaaaaaaaaaaaaaaaaaaaaaaaaaaaaaaaaaaaaaaaaaaaa</x:v>
      </x:c>
      <x:c r="Z62" s="12" t="str">
        <x:f>IFERROR(INDEX('55_Codificacion_ensayo'!$H$5:$H$13,MATCH(B62,'55_Codificacion_ensayo'!$A$5:$A$13,0)),"")</x:f>
        <x:v>bbbbbbbbbbbbbbbbbbbbbbbbbbbbbbbbbbbbbbbbbbbbbbbbbbbbbbbbbbbbbbbb</x:v>
      </x:c>
      <x:c r="AA62" s="12" t="str">
        <x:f>IFERROR(INDEX('55_Codificacion_ensayo'!$I$5:$I$13,MATCH(B62,'55_Codificacion_ensayo'!$A$5:$A$13,0)),"")</x:f>
        <x:v>IMAGEN_OBJETIVO</x:v>
      </x:c>
      <x:c r="AB62" s="12" t="str">
        <x:f>IFERROR(INDEX('55_Codificacion_ensayo'!$J$5:$J$13,MATCH(B62,'55_Codificacion_ensayo'!$A$5:$A$13,0)),"")</x:f>
        <x:v>OTRA_IMAGEN</x:v>
      </x:c>
    </x:row>
    <x:row r="63" ht="47" customHeight="1">
      <x:c r="A63" s="4" t="str">
        <x:v>L10-06-05</x:v>
      </x:c>
      <x:c r="B63" s="4" t="str">
        <x:v>PAR-CYB-IMAGEN-OBJETIVO-ACTIVA-001</x:v>
      </x:c>
      <x:c r="C63" s="4" t="str">
        <x:v>IDENTIDAD-IMAGEN-CARGADA-0.1</x:v>
      </x:c>
      <x:c r="D63" s="4" t="str">
        <x:v>COINCIDE</x:v>
      </x:c>
      <x:c r="E63" s="4" t="str">
        <x:v>FALLO</x:v>
      </x:c>
      <x:c r="F63" s="4" t="str">
        <x:v>IMAGEN_CARGADA</x:v>
      </x:c>
      <x:c r="G63" s="4" t="str">
        <x:v>UNICA</x:v>
      </x:c>
      <x:c r="H63" s="4" t="str">
        <x:v>aaaaaaaaaaaaaaaaaaaaaaaaaaaaaaaaaaaaaaaaaaaaaaaaaaaaaaaaaaaaaaaa</x:v>
      </x:c>
      <x:c r="I63" s="4" t="str">
        <x:v>aaaaaaaaaaaaaaaaaaaaaaaaaaaaaaaaaaaaaaaaaaaaaaaaaaaaaaaaaaaaaaaa</x:v>
      </x:c>
      <x:c r="J63" s="4" t="str">
        <x:v>COMPLETA</x:v>
      </x:c>
      <x:c r="K63" s="4" t="str">
        <x:v>METODO_ADMITIDO</x:v>
      </x:c>
      <x:c r="L63" s="4" t="str">
        <x:v>FALLO_CAPTURA</x:v>
      </x:c>
      <x:c r="M63" s="4" t="str"/>
      <x:c r="N63" s="4" t="str">
        <x:v>SIN_EJECUCION_DOMINIO</x:v>
      </x:c>
      <x:c r="O63" s="12" t="str">
        <x:f>IF(Q63="SIN_EJECUCION_DOMINIO","FALLO_CAPTURA",IF(OR(Q63="CAPTURA_MAL_FORMADA",Q63="IDENTIDAD",Q63="OBSERVACION_MAL_FORMADA",Q63="LEXEMA_O_FORMA"),"NO_ADMISION",IF(OR(Q63="PERFIL_NO_CONSTITUIDO",Q63="RESULTADO_NO_TERMINAL"),"FUERA_PERFIL",IF(Q63="CONTEXTO_NO_CONSTITUIDO","CONFIGURACION_PENDIENTE","VALIDA"))))</x:f>
        <x:v>FALLO_CAPTURA</x:v>
      </x:c>
      <x:c r="P63" s="12" t="str">
        <x:f>IF(O63&lt;&gt;"VALIDA","",IF(Q63=AA63,"1",IF(Q63=AB63,"0","U")))</x:f>
      </x:c>
      <x:c r="Q63" s="12" t="str">
        <x:f>IF(E63="FALLO","SIN_EJECUCION_DOMINIO",IF(E63&lt;&gt;"LEGIBLE","CAPTURA_MAL_FORMADA",IF(D63&lt;&gt;"COINCIDE","IDENTIDAD",IF(OR(T63="",C63&lt;&gt;T63),"PERFIL_NO_CONSTITUIDO",IF(K63&lt;&gt;V63,IF(V63="ORDEN_ACREDITADO","ORDEN_NO_ACREDITADO","CONTEXTO_NO_CONSTITUIDO"),IF(AND(G63="AUSENTE",H63="",I63=""),"DATO_AUSENTE",IF(AND(G63="CONFLICTO",H63="",I63=""),"CONFLICTO_OBSERVACIONAL",IF(G63&lt;&gt;"UNICA","OBSERVACION_MAL_FORMADA",IF(F63&lt;&gt;U63,"OBSERVACION_INSUFICIENTE",IF(W63="RESULTADO",IF(H63=X63,AA63,IF(OR(H63="orcSucceededWithErrors",H63="orcFailed",H63="orcAborted"),AB63,IF(OR(H63="orcNotStarted",H63="orcInProgress"),"RESULTADO_NO_TERMINAL","LEXEMA_O_FORMA"))),IF(W63="EVENTO_BOOT",IF(H63=X63,AA63,IF(OR(H63="NINGUNO",H63="SOLO_HIBRIDO"),IF(J63="COMPLETA",AB63,"COBERTURA_INSUFICIENTE"),"LEXEMA_O_FORMA")),IF(W63="REQUISITO_SOFT",IF(H63=X63,AA63,IF(H63=Z63,AB63,"LEXEMA_O_FORMA")),IF(W63="EVENTO_PROC",IF(H63=X63,AA63,IF(H63=Z63,IF(J63="COMPLETA",AB63,"COBERTURA_INSUFICIENTE"),"LEXEMA_O_FORMA")),IF(W63="IMAGEN",IF(AND(AND(ISTEXT(H63),LEN(("x"&amp;H63))=65,EXACT(("x"&amp;H63),LOWER(("x"&amp;H63))),ISERROR(SEARCH(" ",("x"&amp;H63))),ISERROR(SEARCH(CHAR(9),("x"&amp;H63))),ISERROR(SEARCH(CHAR(10),("x"&amp;H63))),ISERROR(SEARCH(CHAR(13),("x"&amp;H63))),IFERROR(HEX2DEC(MID(("x"&amp;H63),2,8))&gt;=0,FALSE),IFERROR(HEX2DEC(MID(("x"&amp;H63),10,8))&gt;=0,FALSE),IFERROR(HEX2DEC(MID(("x"&amp;H63),18,8))&gt;=0,FALSE),IFERROR(HEX2DEC(MID(("x"&amp;H63),26,8))&gt;=0,FALSE),IFERROR(HEX2DEC(MID(("x"&amp;H63),34,8))&gt;=0,FALSE),IFERROR(HEX2DEC(MID(("x"&amp;H63),42,8))&gt;=0,FALSE),IFERROR(HEX2DEC(MID(("x"&amp;H63),50,8))&gt;=0,FALSE),IFERROR(HEX2DEC(MID(("x"&amp;H63),58,8))&gt;=0,FALSE)),AND(ISTEXT(I63),LEN(("x"&amp;I63))=65,EXACT(("x"&amp;I63),LOWER(("x"&amp;I63))),ISERROR(SEARCH(" ",("x"&amp;I63))),ISERROR(SEARCH(CHAR(9),("x"&amp;I63))),ISERROR(SEARCH(CHAR(10),("x"&amp;I63))),ISERROR(SEARCH(CHAR(13),("x"&amp;I63))),IFERROR(HEX2DEC(MID(("x"&amp;I63),2,8))&gt;=0,FALSE),IFERROR(HEX2DEC(MID(("x"&amp;I63),10,8))&gt;=0,FALSE),IFERROR(HEX2DEC(MID(("x"&amp;I63),18,8))&gt;=0,FALSE),IFERROR(HEX2DEC(MID(("x"&amp;I63),26,8))&gt;=0,FALSE),IFERROR(HEX2DEC(MID(("x"&amp;I63),34,8))&gt;=0,FALSE),IFERROR(HEX2DEC(MID(("x"&amp;I63),42,8))&gt;=0,FALSE),IFERROR(HEX2DEC(MID(("x"&amp;I63),50,8))&gt;=0,FALSE),IFERROR(HEX2DEC(MID(("x"&amp;I63),58,8))&gt;=0,FALSE))),IF(EXACT("x"&amp;H63,"x"&amp;I63),AA63,AB63),"LEXEMA_O_FORMA"),IF(W63="PRUEBA",IF(H63=X63,AA63,IF(H63=Z63,AB63,"LEXEMA_O_FORMA")),IF(W63="RETIRADA",IF(AND(H63="NINGUNO",I63=""),IF(J63="COMPLETA",AB63,"COBERTURA_INSUFICIENTE"),IF(AND(OR(H63="uoInstallation",H63="uoUninstallation"),OR(I63="orcSucceeded",I63="orcSucceededWithErrors",I63="orcFailed",I63="orcAborted",I63="orcInProgress",I63="orcNotStarted")),IF(AND(H63=X63,I63=Y63),AA63,IF(AND(H63=X63,OR(I63="orcSucceededWithErrors",I63="orcInProgress",I63="orcNotStarted")),"RESULTADO_RETIRADA_INCIERTO",IF(J63="COMPLETA",AB63,"COBERTURA_INSUFICIENTE"))),"LEXEMA_O_FORMA")),IF(W63="CAMBIO",IF(OR(H63="CAMBIO",H63="CAMBIO_Y_RETORNO"),AA63,IF(OR(H63="NINGUNO",H63="SOLO_RENOMBRE"),IF(J63="COMPLETA",AB63,"COBERTURA_INSUFICIENTE"),"LEXEMA_O_FORMA")),IF(W63="RESTAURACION",IF(H63=X63,AA63,IF(OR(H63="NINGUNO",H63="RESTAURACION_POSTERIOR",H63="RESTAURACION_FALLIDA"),IF(J63="COMPLETA",AB63,"COBERTURA_INSUFICIENTE"),"LEXEMA_O_FORMA")),"PERFIL_NO_CONSTITUIDO"))))))))))))))))))</x:f>
        <x:v>SIN_EJECUCION_DOMINIO</x:v>
      </x:c>
      <x:c r="R63" s="12" t="str">
        <x:f>IF(AND(L63=O63,M63=P63,N63=Q63),"PASA","NO_PASA")</x:f>
        <x:v>PASA</x:v>
      </x:c>
      <x:c r="S63" s="4" t="str">
        <x:v>El observador falla; no existe ejecución de dominio ni Tri alternativo.</x:v>
      </x:c>
      <x:c r="T63" s="12" t="str">
        <x:f>IFERROR(INDEX('55_Codificacion_ensayo'!$B$5:$B$13,MATCH(B63,'55_Codificacion_ensayo'!$A$5:$A$13,0)),"")</x:f>
        <x:v>IDENTIDAD-IMAGEN-CARGADA-0.1</x:v>
      </x:c>
      <x:c r="U63" s="12" t="str">
        <x:f>IFERROR(INDEX('55_Codificacion_ensayo'!$C$5:$C$13,MATCH(B63,'55_Codificacion_ensayo'!$A$5:$A$13,0)),"")</x:f>
        <x:v>IMAGEN_CARGADA</x:v>
      </x:c>
      <x:c r="V63" s="12" t="str">
        <x:f>IFERROR(INDEX('55_Codificacion_ensayo'!$D$5:$D$13,MATCH(B63,'55_Codificacion_ensayo'!$A$5:$A$13,0)),"")</x:f>
        <x:v>METODO_ADMITIDO</x:v>
      </x:c>
      <x:c r="W63" s="12" t="str">
        <x:f>IFERROR(INDEX('55_Codificacion_ensayo'!$E$5:$E$13,MATCH(B63,'55_Codificacion_ensayo'!$A$5:$A$13,0)),"")</x:f>
        <x:v>IMAGEN</x:v>
      </x:c>
      <x:c r="X63" s="12" t="str">
        <x:f>IFERROR(INDEX('55_Codificacion_ensayo'!$F$5:$F$13,MATCH(B63,'55_Codificacion_ensayo'!$A$5:$A$13,0)),"")</x:f>
        <x:v>aaaaaaaaaaaaaaaaaaaaaaaaaaaaaaaaaaaaaaaaaaaaaaaaaaaaaaaaaaaaaaaa</x:v>
      </x:c>
      <x:c r="Y63" s="12" t="str">
        <x:f>IFERROR(INDEX('55_Codificacion_ensayo'!$G$5:$G$13,MATCH(B63,'55_Codificacion_ensayo'!$A$5:$A$13,0)),"")</x:f>
        <x:v>aaaaaaaaaaaaaaaaaaaaaaaaaaaaaaaaaaaaaaaaaaaaaaaaaaaaaaaaaaaaaaaa</x:v>
      </x:c>
      <x:c r="Z63" s="12" t="str">
        <x:f>IFERROR(INDEX('55_Codificacion_ensayo'!$H$5:$H$13,MATCH(B63,'55_Codificacion_ensayo'!$A$5:$A$13,0)),"")</x:f>
        <x:v>bbbbbbbbbbbbbbbbbbbbbbbbbbbbbbbbbbbbbbbbbbbbbbbbbbbbbbbbbbbbbbbb</x:v>
      </x:c>
      <x:c r="AA63" s="12" t="str">
        <x:f>IFERROR(INDEX('55_Codificacion_ensayo'!$I$5:$I$13,MATCH(B63,'55_Codificacion_ensayo'!$A$5:$A$13,0)),"")</x:f>
        <x:v>IMAGEN_OBJETIVO</x:v>
      </x:c>
      <x:c r="AB63" s="12" t="str">
        <x:f>IFERROR(INDEX('55_Codificacion_ensayo'!$J$5:$J$13,MATCH(B63,'55_Codificacion_ensayo'!$A$5:$A$13,0)),"")</x:f>
        <x:v>OTRA_IMAGEN</x:v>
      </x:c>
    </x:row>
    <x:row r="64" ht="47" customHeight="1">
      <x:c r="A64" s="4" t="str">
        <x:v>L10-06-06</x:v>
      </x:c>
      <x:c r="B64" s="4" t="str">
        <x:v>PAR-CYB-IMAGEN-OBJETIVO-ACTIVA-001</x:v>
      </x:c>
      <x:c r="C64" s="4" t="str">
        <x:v>IDENTIDAD-IMAGEN-CARGADA-0.1</x:v>
      </x:c>
      <x:c r="D64" s="4" t="str">
        <x:v>OTRO</x:v>
      </x:c>
      <x:c r="E64" s="4" t="str">
        <x:v>LEGIBLE</x:v>
      </x:c>
      <x:c r="F64" s="4" t="str">
        <x:v>IMAGEN_CARGADA</x:v>
      </x:c>
      <x:c r="G64" s="4" t="str">
        <x:v>UNICA</x:v>
      </x:c>
      <x:c r="H64" s="4" t="str">
        <x:v>aaaaaaaaaaaaaaaaaaaaaaaaaaaaaaaaaaaaaaaaaaaaaaaaaaaaaaaaaaaaaaaa</x:v>
      </x:c>
      <x:c r="I64" s="4" t="str">
        <x:v>aaaaaaaaaaaaaaaaaaaaaaaaaaaaaaaaaaaaaaaaaaaaaaaaaaaaaaaaaaaaaaaa</x:v>
      </x:c>
      <x:c r="J64" s="4" t="str">
        <x:v>COMPLETA</x:v>
      </x:c>
      <x:c r="K64" s="4" t="str">
        <x:v>METODO_ADMITIDO</x:v>
      </x:c>
      <x:c r="L64" s="4" t="str">
        <x:v>NO_ADMISION</x:v>
      </x:c>
      <x:c r="M64" s="4" t="str"/>
      <x:c r="N64" s="4" t="str">
        <x:v>IDENTIDAD</x:v>
      </x:c>
      <x:c r="O64" s="12" t="str">
        <x:f>IF(Q64="SIN_EJECUCION_DOMINIO","FALLO_CAPTURA",IF(OR(Q64="CAPTURA_MAL_FORMADA",Q64="IDENTIDAD",Q64="OBSERVACION_MAL_FORMADA",Q64="LEXEMA_O_FORMA"),"NO_ADMISION",IF(OR(Q64="PERFIL_NO_CONSTITUIDO",Q64="RESULTADO_NO_TERMINAL"),"FUERA_PERFIL",IF(Q64="CONTEXTO_NO_CONSTITUIDO","CONFIGURACION_PENDIENTE","VALIDA"))))</x:f>
        <x:v>NO_ADMISION</x:v>
      </x:c>
      <x:c r="P64" s="12" t="str">
        <x:f>IF(O64&lt;&gt;"VALIDA","",IF(Q64=AA64,"1",IF(Q64=AB64,"0","U")))</x:f>
      </x:c>
      <x:c r="Q64" s="12" t="str">
        <x:f>IF(E64="FALLO","SIN_EJECUCION_DOMINIO",IF(E64&lt;&gt;"LEGIBLE","CAPTURA_MAL_FORMADA",IF(D64&lt;&gt;"COINCIDE","IDENTIDAD",IF(OR(T64="",C64&lt;&gt;T64),"PERFIL_NO_CONSTITUIDO",IF(K64&lt;&gt;V64,IF(V64="ORDEN_ACREDITADO","ORDEN_NO_ACREDITADO","CONTEXTO_NO_CONSTITUIDO"),IF(AND(G64="AUSENTE",H64="",I64=""),"DATO_AUSENTE",IF(AND(G64="CONFLICTO",H64="",I64=""),"CONFLICTO_OBSERVACIONAL",IF(G64&lt;&gt;"UNICA","OBSERVACION_MAL_FORMADA",IF(F64&lt;&gt;U64,"OBSERVACION_INSUFICIENTE",IF(W64="RESULTADO",IF(H64=X64,AA64,IF(OR(H64="orcSucceededWithErrors",H64="orcFailed",H64="orcAborted"),AB64,IF(OR(H64="orcNotStarted",H64="orcInProgress"),"RESULTADO_NO_TERMINAL","LEXEMA_O_FORMA"))),IF(W64="EVENTO_BOOT",IF(H64=X64,AA64,IF(OR(H64="NINGUNO",H64="SOLO_HIBRIDO"),IF(J64="COMPLETA",AB64,"COBERTURA_INSUFICIENTE"),"LEXEMA_O_FORMA")),IF(W64="REQUISITO_SOFT",IF(H64=X64,AA64,IF(H64=Z64,AB64,"LEXEMA_O_FORMA")),IF(W64="EVENTO_PROC",IF(H64=X64,AA64,IF(H64=Z64,IF(J64="COMPLETA",AB64,"COBERTURA_INSUFICIENTE"),"LEXEMA_O_FORMA")),IF(W64="IMAGEN",IF(AND(AND(ISTEXT(H64),LEN(("x"&amp;H64))=65,EXACT(("x"&amp;H64),LOWER(("x"&amp;H64))),ISERROR(SEARCH(" ",("x"&amp;H64))),ISERROR(SEARCH(CHAR(9),("x"&amp;H64))),ISERROR(SEARCH(CHAR(10),("x"&amp;H64))),ISERROR(SEARCH(CHAR(13),("x"&amp;H64))),IFERROR(HEX2DEC(MID(("x"&amp;H64),2,8))&gt;=0,FALSE),IFERROR(HEX2DEC(MID(("x"&amp;H64),10,8))&gt;=0,FALSE),IFERROR(HEX2DEC(MID(("x"&amp;H64),18,8))&gt;=0,FALSE),IFERROR(HEX2DEC(MID(("x"&amp;H64),26,8))&gt;=0,FALSE),IFERROR(HEX2DEC(MID(("x"&amp;H64),34,8))&gt;=0,FALSE),IFERROR(HEX2DEC(MID(("x"&amp;H64),42,8))&gt;=0,FALSE),IFERROR(HEX2DEC(MID(("x"&amp;H64),50,8))&gt;=0,FALSE),IFERROR(HEX2DEC(MID(("x"&amp;H64),58,8))&gt;=0,FALSE)),AND(ISTEXT(I64),LEN(("x"&amp;I64))=65,EXACT(("x"&amp;I64),LOWER(("x"&amp;I64))),ISERROR(SEARCH(" ",("x"&amp;I64))),ISERROR(SEARCH(CHAR(9),("x"&amp;I64))),ISERROR(SEARCH(CHAR(10),("x"&amp;I64))),ISERROR(SEARCH(CHAR(13),("x"&amp;I64))),IFERROR(HEX2DEC(MID(("x"&amp;I64),2,8))&gt;=0,FALSE),IFERROR(HEX2DEC(MID(("x"&amp;I64),10,8))&gt;=0,FALSE),IFERROR(HEX2DEC(MID(("x"&amp;I64),18,8))&gt;=0,FALSE),IFERROR(HEX2DEC(MID(("x"&amp;I64),26,8))&gt;=0,FALSE),IFERROR(HEX2DEC(MID(("x"&amp;I64),34,8))&gt;=0,FALSE),IFERROR(HEX2DEC(MID(("x"&amp;I64),42,8))&gt;=0,FALSE),IFERROR(HEX2DEC(MID(("x"&amp;I64),50,8))&gt;=0,FALSE),IFERROR(HEX2DEC(MID(("x"&amp;I64),58,8))&gt;=0,FALSE))),IF(EXACT("x"&amp;H64,"x"&amp;I64),AA64,AB64),"LEXEMA_O_FORMA"),IF(W64="PRUEBA",IF(H64=X64,AA64,IF(H64=Z64,AB64,"LEXEMA_O_FORMA")),IF(W64="RETIRADA",IF(AND(H64="NINGUNO",I64=""),IF(J64="COMPLETA",AB64,"COBERTURA_INSUFICIENTE"),IF(AND(OR(H64="uoInstallation",H64="uoUninstallation"),OR(I64="orcSucceeded",I64="orcSucceededWithErrors",I64="orcFailed",I64="orcAborted",I64="orcInProgress",I64="orcNotStarted")),IF(AND(H64=X64,I64=Y64),AA64,IF(AND(H64=X64,OR(I64="orcSucceededWithErrors",I64="orcInProgress",I64="orcNotStarted")),"RESULTADO_RETIRADA_INCIERTO",IF(J64="COMPLETA",AB64,"COBERTURA_INSUFICIENTE"))),"LEXEMA_O_FORMA")),IF(W64="CAMBIO",IF(OR(H64="CAMBIO",H64="CAMBIO_Y_RETORNO"),AA64,IF(OR(H64="NINGUNO",H64="SOLO_RENOMBRE"),IF(J64="COMPLETA",AB64,"COBERTURA_INSUFICIENTE"),"LEXEMA_O_FORMA")),IF(W64="RESTAURACION",IF(H64=X64,AA64,IF(OR(H64="NINGUNO",H64="RESTAURACION_POSTERIOR",H64="RESTAURACION_FALLIDA"),IF(J64="COMPLETA",AB64,"COBERTURA_INSUFICIENTE"),"LEXEMA_O_FORMA")),"PERFIL_NO_CONSTITUIDO"))))))))))))))))))</x:f>
        <x:v>IDENTIDAD</x:v>
      </x:c>
      <x:c r="R64" s="12" t="str">
        <x:f>IF(AND(L64=O64,M64=P64,N64=Q64),"PASA","NO_PASA")</x:f>
        <x:v>PASA</x:v>
      </x:c>
      <x:c r="S64" s="4" t="str">
        <x:v>El testigo pertenece a otro sujeto; no se recicla su dato.</x:v>
      </x:c>
      <x:c r="T64" s="12" t="str">
        <x:f>IFERROR(INDEX('55_Codificacion_ensayo'!$B$5:$B$13,MATCH(B64,'55_Codificacion_ensayo'!$A$5:$A$13,0)),"")</x:f>
        <x:v>IDENTIDAD-IMAGEN-CARGADA-0.1</x:v>
      </x:c>
      <x:c r="U64" s="12" t="str">
        <x:f>IFERROR(INDEX('55_Codificacion_ensayo'!$C$5:$C$13,MATCH(B64,'55_Codificacion_ensayo'!$A$5:$A$13,0)),"")</x:f>
        <x:v>IMAGEN_CARGADA</x:v>
      </x:c>
      <x:c r="V64" s="12" t="str">
        <x:f>IFERROR(INDEX('55_Codificacion_ensayo'!$D$5:$D$13,MATCH(B64,'55_Codificacion_ensayo'!$A$5:$A$13,0)),"")</x:f>
        <x:v>METODO_ADMITIDO</x:v>
      </x:c>
      <x:c r="W64" s="12" t="str">
        <x:f>IFERROR(INDEX('55_Codificacion_ensayo'!$E$5:$E$13,MATCH(B64,'55_Codificacion_ensayo'!$A$5:$A$13,0)),"")</x:f>
        <x:v>IMAGEN</x:v>
      </x:c>
      <x:c r="X64" s="12" t="str">
        <x:f>IFERROR(INDEX('55_Codificacion_ensayo'!$F$5:$F$13,MATCH(B64,'55_Codificacion_ensayo'!$A$5:$A$13,0)),"")</x:f>
        <x:v>aaaaaaaaaaaaaaaaaaaaaaaaaaaaaaaaaaaaaaaaaaaaaaaaaaaaaaaaaaaaaaaa</x:v>
      </x:c>
      <x:c r="Y64" s="12" t="str">
        <x:f>IFERROR(INDEX('55_Codificacion_ensayo'!$G$5:$G$13,MATCH(B64,'55_Codificacion_ensayo'!$A$5:$A$13,0)),"")</x:f>
        <x:v>aaaaaaaaaaaaaaaaaaaaaaaaaaaaaaaaaaaaaaaaaaaaaaaaaaaaaaaaaaaaaaaa</x:v>
      </x:c>
      <x:c r="Z64" s="12" t="str">
        <x:f>IFERROR(INDEX('55_Codificacion_ensayo'!$H$5:$H$13,MATCH(B64,'55_Codificacion_ensayo'!$A$5:$A$13,0)),"")</x:f>
        <x:v>bbbbbbbbbbbbbbbbbbbbbbbbbbbbbbbbbbbbbbbbbbbbbbbbbbbbbbbbbbbbbbbb</x:v>
      </x:c>
      <x:c r="AA64" s="12" t="str">
        <x:f>IFERROR(INDEX('55_Codificacion_ensayo'!$I$5:$I$13,MATCH(B64,'55_Codificacion_ensayo'!$A$5:$A$13,0)),"")</x:f>
        <x:v>IMAGEN_OBJETIVO</x:v>
      </x:c>
      <x:c r="AB64" s="12" t="str">
        <x:f>IFERROR(INDEX('55_Codificacion_ensayo'!$J$5:$J$13,MATCH(B64,'55_Codificacion_ensayo'!$A$5:$A$13,0)),"")</x:f>
        <x:v>OTRA_IMAGEN</x:v>
      </x:c>
    </x:row>
    <x:row r="65" ht="47" customHeight="1">
      <x:c r="A65" s="4" t="str">
        <x:v>L10-06-07</x:v>
      </x:c>
      <x:c r="B65" s="4" t="str">
        <x:v>PAR-CYB-IMAGEN-OBJETIVO-ACTIVA-001</x:v>
      </x:c>
      <x:c r="C65" s="4" t="str">
        <x:v>IDENTIDAD-IMAGEN-CARGADA-0.1</x:v>
      </x:c>
      <x:c r="D65" s="4" t="str">
        <x:v>COINCIDE</x:v>
      </x:c>
      <x:c r="E65" s="4" t="str">
        <x:v>LEGIBLE</x:v>
      </x:c>
      <x:c r="F65" s="4" t="str">
        <x:v>FUENTE_GENERAL</x:v>
      </x:c>
      <x:c r="G65" s="4" t="str">
        <x:v>UNICA</x:v>
      </x:c>
      <x:c r="H65" s="4" t="str">
        <x:v>aaaaaaaaaaaaaaaaaaaaaaaaaaaaaaaaaaaaaaaaaaaaaaaaaaaaaaaaaaaaaaaa</x:v>
      </x:c>
      <x:c r="I65" s="4" t="str">
        <x:v>aaaaaaaaaaaaaaaaaaaaaaaaaaaaaaaaaaaaaaaaaaaaaaaaaaaaaaaaaaaaaaaa</x:v>
      </x:c>
      <x:c r="J65" s="4" t="str">
        <x:v>COMPLETA</x:v>
      </x:c>
      <x:c r="K65" s="4" t="str">
        <x:v>METODO_ADMITIDO</x:v>
      </x:c>
      <x:c r="L65" s="4" t="str">
        <x:v>VALIDA</x:v>
      </x:c>
      <x:c r="M65" s="4" t="str">
        <x:v>U</x:v>
      </x:c>
      <x:c r="N65" s="4" t="str">
        <x:v>OBSERVACION_INSUFICIENTE</x:v>
      </x:c>
      <x:c r="O65" s="12" t="str">
        <x:f>IF(Q65="SIN_EJECUCION_DOMINIO","FALLO_CAPTURA",IF(OR(Q65="CAPTURA_MAL_FORMADA",Q65="IDENTIDAD",Q65="OBSERVACION_MAL_FORMADA",Q65="LEXEMA_O_FORMA"),"NO_ADMISION",IF(OR(Q65="PERFIL_NO_CONSTITUIDO",Q65="RESULTADO_NO_TERMINAL"),"FUERA_PERFIL",IF(Q65="CONTEXTO_NO_CONSTITUIDO","CONFIGURACION_PENDIENTE","VALIDA"))))</x:f>
        <x:v>VALIDA</x:v>
      </x:c>
      <x:c r="P65" s="12" t="str">
        <x:f>IF(O65&lt;&gt;"VALIDA","",IF(Q65=AA65,"1",IF(Q65=AB65,"0","U")))</x:f>
        <x:v>U</x:v>
      </x:c>
      <x:c r="Q65" s="12" t="str">
        <x:f>IF(E65="FALLO","SIN_EJECUCION_DOMINIO",IF(E65&lt;&gt;"LEGIBLE","CAPTURA_MAL_FORMADA",IF(D65&lt;&gt;"COINCIDE","IDENTIDAD",IF(OR(T65="",C65&lt;&gt;T65),"PERFIL_NO_CONSTITUIDO",IF(K65&lt;&gt;V65,IF(V65="ORDEN_ACREDITADO","ORDEN_NO_ACREDITADO","CONTEXTO_NO_CONSTITUIDO"),IF(AND(G65="AUSENTE",H65="",I65=""),"DATO_AUSENTE",IF(AND(G65="CONFLICTO",H65="",I65=""),"CONFLICTO_OBSERVACIONAL",IF(G65&lt;&gt;"UNICA","OBSERVACION_MAL_FORMADA",IF(F65&lt;&gt;U65,"OBSERVACION_INSUFICIENTE",IF(W65="RESULTADO",IF(H65=X65,AA65,IF(OR(H65="orcSucceededWithErrors",H65="orcFailed",H65="orcAborted"),AB65,IF(OR(H65="orcNotStarted",H65="orcInProgress"),"RESULTADO_NO_TERMINAL","LEXEMA_O_FORMA"))),IF(W65="EVENTO_BOOT",IF(H65=X65,AA65,IF(OR(H65="NINGUNO",H65="SOLO_HIBRIDO"),IF(J65="COMPLETA",AB65,"COBERTURA_INSUFICIENTE"),"LEXEMA_O_FORMA")),IF(W65="REQUISITO_SOFT",IF(H65=X65,AA65,IF(H65=Z65,AB65,"LEXEMA_O_FORMA")),IF(W65="EVENTO_PROC",IF(H65=X65,AA65,IF(H65=Z65,IF(J65="COMPLETA",AB65,"COBERTURA_INSUFICIENTE"),"LEXEMA_O_FORMA")),IF(W65="IMAGEN",IF(AND(AND(ISTEXT(H65),LEN(("x"&amp;H65))=65,EXACT(("x"&amp;H65),LOWER(("x"&amp;H65))),ISERROR(SEARCH(" ",("x"&amp;H65))),ISERROR(SEARCH(CHAR(9),("x"&amp;H65))),ISERROR(SEARCH(CHAR(10),("x"&amp;H65))),ISERROR(SEARCH(CHAR(13),("x"&amp;H65))),IFERROR(HEX2DEC(MID(("x"&amp;H65),2,8))&gt;=0,FALSE),IFERROR(HEX2DEC(MID(("x"&amp;H65),10,8))&gt;=0,FALSE),IFERROR(HEX2DEC(MID(("x"&amp;H65),18,8))&gt;=0,FALSE),IFERROR(HEX2DEC(MID(("x"&amp;H65),26,8))&gt;=0,FALSE),IFERROR(HEX2DEC(MID(("x"&amp;H65),34,8))&gt;=0,FALSE),IFERROR(HEX2DEC(MID(("x"&amp;H65),42,8))&gt;=0,FALSE),IFERROR(HEX2DEC(MID(("x"&amp;H65),50,8))&gt;=0,FALSE),IFERROR(HEX2DEC(MID(("x"&amp;H65),58,8))&gt;=0,FALSE)),AND(ISTEXT(I65),LEN(("x"&amp;I65))=65,EXACT(("x"&amp;I65),LOWER(("x"&amp;I65))),ISERROR(SEARCH(" ",("x"&amp;I65))),ISERROR(SEARCH(CHAR(9),("x"&amp;I65))),ISERROR(SEARCH(CHAR(10),("x"&amp;I65))),ISERROR(SEARCH(CHAR(13),("x"&amp;I65))),IFERROR(HEX2DEC(MID(("x"&amp;I65),2,8))&gt;=0,FALSE),IFERROR(HEX2DEC(MID(("x"&amp;I65),10,8))&gt;=0,FALSE),IFERROR(HEX2DEC(MID(("x"&amp;I65),18,8))&gt;=0,FALSE),IFERROR(HEX2DEC(MID(("x"&amp;I65),26,8))&gt;=0,FALSE),IFERROR(HEX2DEC(MID(("x"&amp;I65),34,8))&gt;=0,FALSE),IFERROR(HEX2DEC(MID(("x"&amp;I65),42,8))&gt;=0,FALSE),IFERROR(HEX2DEC(MID(("x"&amp;I65),50,8))&gt;=0,FALSE),IFERROR(HEX2DEC(MID(("x"&amp;I65),58,8))&gt;=0,FALSE))),IF(EXACT("x"&amp;H65,"x"&amp;I65),AA65,AB65),"LEXEMA_O_FORMA"),IF(W65="PRUEBA",IF(H65=X65,AA65,IF(H65=Z65,AB65,"LEXEMA_O_FORMA")),IF(W65="RETIRADA",IF(AND(H65="NINGUNO",I65=""),IF(J65="COMPLETA",AB65,"COBERTURA_INSUFICIENTE"),IF(AND(OR(H65="uoInstallation",H65="uoUninstallation"),OR(I65="orcSucceeded",I65="orcSucceededWithErrors",I65="orcFailed",I65="orcAborted",I65="orcInProgress",I65="orcNotStarted")),IF(AND(H65=X65,I65=Y65),AA65,IF(AND(H65=X65,OR(I65="orcSucceededWithErrors",I65="orcInProgress",I65="orcNotStarted")),"RESULTADO_RETIRADA_INCIERTO",IF(J65="COMPLETA",AB65,"COBERTURA_INSUFICIENTE"))),"LEXEMA_O_FORMA")),IF(W65="CAMBIO",IF(OR(H65="CAMBIO",H65="CAMBIO_Y_RETORNO"),AA65,IF(OR(H65="NINGUNO",H65="SOLO_RENOMBRE"),IF(J65="COMPLETA",AB65,"COBERTURA_INSUFICIENTE"),"LEXEMA_O_FORMA")),IF(W65="RESTAURACION",IF(H65=X65,AA65,IF(OR(H65="NINGUNO",H65="RESTAURACION_POSTERIOR",H65="RESTAURACION_FALLIDA"),IF(J65="COMPLETA",AB65,"COBERTURA_INSUFICIENTE"),"LEXEMA_O_FORMA")),"PERFIL_NO_CONSTITUIDO"))))))))))))))))))</x:f>
        <x:v>OBSERVACION_INSUFICIENTE</x:v>
      </x:c>
      <x:c r="R65" s="12" t="str">
        <x:f>IF(AND(L65=O65,M65=P65,N65=Q65),"PASA","NO_PASA")</x:f>
        <x:v>PASA</x:v>
      </x:c>
      <x:c r="S65" s="4" t="str">
        <x:v>Una fuente del dominio no sustituye la observación específica del episodio.</x:v>
      </x:c>
      <x:c r="T65" s="12" t="str">
        <x:f>IFERROR(INDEX('55_Codificacion_ensayo'!$B$5:$B$13,MATCH(B65,'55_Codificacion_ensayo'!$A$5:$A$13,0)),"")</x:f>
        <x:v>IDENTIDAD-IMAGEN-CARGADA-0.1</x:v>
      </x:c>
      <x:c r="U65" s="12" t="str">
        <x:f>IFERROR(INDEX('55_Codificacion_ensayo'!$C$5:$C$13,MATCH(B65,'55_Codificacion_ensayo'!$A$5:$A$13,0)),"")</x:f>
        <x:v>IMAGEN_CARGADA</x:v>
      </x:c>
      <x:c r="V65" s="12" t="str">
        <x:f>IFERROR(INDEX('55_Codificacion_ensayo'!$D$5:$D$13,MATCH(B65,'55_Codificacion_ensayo'!$A$5:$A$13,0)),"")</x:f>
        <x:v>METODO_ADMITIDO</x:v>
      </x:c>
      <x:c r="W65" s="12" t="str">
        <x:f>IFERROR(INDEX('55_Codificacion_ensayo'!$E$5:$E$13,MATCH(B65,'55_Codificacion_ensayo'!$A$5:$A$13,0)),"")</x:f>
        <x:v>IMAGEN</x:v>
      </x:c>
      <x:c r="X65" s="12" t="str">
        <x:f>IFERROR(INDEX('55_Codificacion_ensayo'!$F$5:$F$13,MATCH(B65,'55_Codificacion_ensayo'!$A$5:$A$13,0)),"")</x:f>
        <x:v>aaaaaaaaaaaaaaaaaaaaaaaaaaaaaaaaaaaaaaaaaaaaaaaaaaaaaaaaaaaaaaaa</x:v>
      </x:c>
      <x:c r="Y65" s="12" t="str">
        <x:f>IFERROR(INDEX('55_Codificacion_ensayo'!$G$5:$G$13,MATCH(B65,'55_Codificacion_ensayo'!$A$5:$A$13,0)),"")</x:f>
        <x:v>aaaaaaaaaaaaaaaaaaaaaaaaaaaaaaaaaaaaaaaaaaaaaaaaaaaaaaaaaaaaaaaa</x:v>
      </x:c>
      <x:c r="Z65" s="12" t="str">
        <x:f>IFERROR(INDEX('55_Codificacion_ensayo'!$H$5:$H$13,MATCH(B65,'55_Codificacion_ensayo'!$A$5:$A$13,0)),"")</x:f>
        <x:v>bbbbbbbbbbbbbbbbbbbbbbbbbbbbbbbbbbbbbbbbbbbbbbbbbbbbbbbbbbbbbbbb</x:v>
      </x:c>
      <x:c r="AA65" s="12" t="str">
        <x:f>IFERROR(INDEX('55_Codificacion_ensayo'!$I$5:$I$13,MATCH(B65,'55_Codificacion_ensayo'!$A$5:$A$13,0)),"")</x:f>
        <x:v>IMAGEN_OBJETIVO</x:v>
      </x:c>
      <x:c r="AB65" s="12" t="str">
        <x:f>IFERROR(INDEX('55_Codificacion_ensayo'!$J$5:$J$13,MATCH(B65,'55_Codificacion_ensayo'!$A$5:$A$13,0)),"")</x:f>
        <x:v>OTRA_IMAGEN</x:v>
      </x:c>
    </x:row>
    <x:row r="66" ht="47" customHeight="1">
      <x:c r="A66" s="4" t="str">
        <x:v>L10-06-08</x:v>
      </x:c>
      <x:c r="B66" s="4" t="str">
        <x:v>PAR-CYB-IMAGEN-OBJETIVO-ACTIVA-001</x:v>
      </x:c>
      <x:c r="C66" s="4" t="str">
        <x:v>OTRO_PERFIL</x:v>
      </x:c>
      <x:c r="D66" s="4" t="str">
        <x:v>COINCIDE</x:v>
      </x:c>
      <x:c r="E66" s="4" t="str">
        <x:v>LEGIBLE</x:v>
      </x:c>
      <x:c r="F66" s="4" t="str">
        <x:v>IMAGEN_CARGADA</x:v>
      </x:c>
      <x:c r="G66" s="4" t="str">
        <x:v>UNICA</x:v>
      </x:c>
      <x:c r="H66" s="4" t="str">
        <x:v>aaaaaaaaaaaaaaaaaaaaaaaaaaaaaaaaaaaaaaaaaaaaaaaaaaaaaaaaaaaaaaaa</x:v>
      </x:c>
      <x:c r="I66" s="4" t="str">
        <x:v>aaaaaaaaaaaaaaaaaaaaaaaaaaaaaaaaaaaaaaaaaaaaaaaaaaaaaaaaaaaaaaaa</x:v>
      </x:c>
      <x:c r="J66" s="4" t="str">
        <x:v>COMPLETA</x:v>
      </x:c>
      <x:c r="K66" s="4" t="str">
        <x:v>METODO_ADMITIDO</x:v>
      </x:c>
      <x:c r="L66" s="4" t="str">
        <x:v>FUERA_PERFIL</x:v>
      </x:c>
      <x:c r="M66" s="4" t="str"/>
      <x:c r="N66" s="4" t="str">
        <x:v>PERFIL_NO_CONSTITUIDO</x:v>
      </x:c>
      <x:c r="O66" s="12" t="str">
        <x:f>IF(Q66="SIN_EJECUCION_DOMINIO","FALLO_CAPTURA",IF(OR(Q66="CAPTURA_MAL_FORMADA",Q66="IDENTIDAD",Q66="OBSERVACION_MAL_FORMADA",Q66="LEXEMA_O_FORMA"),"NO_ADMISION",IF(OR(Q66="PERFIL_NO_CONSTITUIDO",Q66="RESULTADO_NO_TERMINAL"),"FUERA_PERFIL",IF(Q66="CONTEXTO_NO_CONSTITUIDO","CONFIGURACION_PENDIENTE","VALIDA"))))</x:f>
        <x:v>FUERA_PERFIL</x:v>
      </x:c>
      <x:c r="P66" s="12" t="str">
        <x:f>IF(O66&lt;&gt;"VALIDA","",IF(Q66=AA66,"1",IF(Q66=AB66,"0","U")))</x:f>
      </x:c>
      <x:c r="Q66" s="12" t="str">
        <x:f>IF(E66="FALLO","SIN_EJECUCION_DOMINIO",IF(E66&lt;&gt;"LEGIBLE","CAPTURA_MAL_FORMADA",IF(D66&lt;&gt;"COINCIDE","IDENTIDAD",IF(OR(T66="",C66&lt;&gt;T66),"PERFIL_NO_CONSTITUIDO",IF(K66&lt;&gt;V66,IF(V66="ORDEN_ACREDITADO","ORDEN_NO_ACREDITADO","CONTEXTO_NO_CONSTITUIDO"),IF(AND(G66="AUSENTE",H66="",I66=""),"DATO_AUSENTE",IF(AND(G66="CONFLICTO",H66="",I66=""),"CONFLICTO_OBSERVACIONAL",IF(G66&lt;&gt;"UNICA","OBSERVACION_MAL_FORMADA",IF(F66&lt;&gt;U66,"OBSERVACION_INSUFICIENTE",IF(W66="RESULTADO",IF(H66=X66,AA66,IF(OR(H66="orcSucceededWithErrors",H66="orcFailed",H66="orcAborted"),AB66,IF(OR(H66="orcNotStarted",H66="orcInProgress"),"RESULTADO_NO_TERMINAL","LEXEMA_O_FORMA"))),IF(W66="EVENTO_BOOT",IF(H66=X66,AA66,IF(OR(H66="NINGUNO",H66="SOLO_HIBRIDO"),IF(J66="COMPLETA",AB66,"COBERTURA_INSUFICIENTE"),"LEXEMA_O_FORMA")),IF(W66="REQUISITO_SOFT",IF(H66=X66,AA66,IF(H66=Z66,AB66,"LEXEMA_O_FORMA")),IF(W66="EVENTO_PROC",IF(H66=X66,AA66,IF(H66=Z66,IF(J66="COMPLETA",AB66,"COBERTURA_INSUFICIENTE"),"LEXEMA_O_FORMA")),IF(W66="IMAGEN",IF(AND(AND(ISTEXT(H66),LEN(("x"&amp;H66))=65,EXACT(("x"&amp;H66),LOWER(("x"&amp;H66))),ISERROR(SEARCH(" ",("x"&amp;H66))),ISERROR(SEARCH(CHAR(9),("x"&amp;H66))),ISERROR(SEARCH(CHAR(10),("x"&amp;H66))),ISERROR(SEARCH(CHAR(13),("x"&amp;H66))),IFERROR(HEX2DEC(MID(("x"&amp;H66),2,8))&gt;=0,FALSE),IFERROR(HEX2DEC(MID(("x"&amp;H66),10,8))&gt;=0,FALSE),IFERROR(HEX2DEC(MID(("x"&amp;H66),18,8))&gt;=0,FALSE),IFERROR(HEX2DEC(MID(("x"&amp;H66),26,8))&gt;=0,FALSE),IFERROR(HEX2DEC(MID(("x"&amp;H66),34,8))&gt;=0,FALSE),IFERROR(HEX2DEC(MID(("x"&amp;H66),42,8))&gt;=0,FALSE),IFERROR(HEX2DEC(MID(("x"&amp;H66),50,8))&gt;=0,FALSE),IFERROR(HEX2DEC(MID(("x"&amp;H66),58,8))&gt;=0,FALSE)),AND(ISTEXT(I66),LEN(("x"&amp;I66))=65,EXACT(("x"&amp;I66),LOWER(("x"&amp;I66))),ISERROR(SEARCH(" ",("x"&amp;I66))),ISERROR(SEARCH(CHAR(9),("x"&amp;I66))),ISERROR(SEARCH(CHAR(10),("x"&amp;I66))),ISERROR(SEARCH(CHAR(13),("x"&amp;I66))),IFERROR(HEX2DEC(MID(("x"&amp;I66),2,8))&gt;=0,FALSE),IFERROR(HEX2DEC(MID(("x"&amp;I66),10,8))&gt;=0,FALSE),IFERROR(HEX2DEC(MID(("x"&amp;I66),18,8))&gt;=0,FALSE),IFERROR(HEX2DEC(MID(("x"&amp;I66),26,8))&gt;=0,FALSE),IFERROR(HEX2DEC(MID(("x"&amp;I66),34,8))&gt;=0,FALSE),IFERROR(HEX2DEC(MID(("x"&amp;I66),42,8))&gt;=0,FALSE),IFERROR(HEX2DEC(MID(("x"&amp;I66),50,8))&gt;=0,FALSE),IFERROR(HEX2DEC(MID(("x"&amp;I66),58,8))&gt;=0,FALSE))),IF(EXACT("x"&amp;H66,"x"&amp;I66),AA66,AB66),"LEXEMA_O_FORMA"),IF(W66="PRUEBA",IF(H66=X66,AA66,IF(H66=Z66,AB66,"LEXEMA_O_FORMA")),IF(W66="RETIRADA",IF(AND(H66="NINGUNO",I66=""),IF(J66="COMPLETA",AB66,"COBERTURA_INSUFICIENTE"),IF(AND(OR(H66="uoInstallation",H66="uoUninstallation"),OR(I66="orcSucceeded",I66="orcSucceededWithErrors",I66="orcFailed",I66="orcAborted",I66="orcInProgress",I66="orcNotStarted")),IF(AND(H66=X66,I66=Y66),AA66,IF(AND(H66=X66,OR(I66="orcSucceededWithErrors",I66="orcInProgress",I66="orcNotStarted")),"RESULTADO_RETIRADA_INCIERTO",IF(J66="COMPLETA",AB66,"COBERTURA_INSUFICIENTE"))),"LEXEMA_O_FORMA")),IF(W66="CAMBIO",IF(OR(H66="CAMBIO",H66="CAMBIO_Y_RETORNO"),AA66,IF(OR(H66="NINGUNO",H66="SOLO_RENOMBRE"),IF(J66="COMPLETA",AB66,"COBERTURA_INSUFICIENTE"),"LEXEMA_O_FORMA")),IF(W66="RESTAURACION",IF(H66=X66,AA66,IF(OR(H66="NINGUNO",H66="RESTAURACION_POSTERIOR",H66="RESTAURACION_FALLIDA"),IF(J66="COMPLETA",AB66,"COBERTURA_INSUFICIENTE"),"LEXEMA_O_FORMA")),"PERFIL_NO_CONSTITUIDO"))))))))))))))))))</x:f>
        <x:v>PERFIL_NO_CONSTITUIDO</x:v>
      </x:c>
      <x:c r="R66" s="12" t="str">
        <x:f>IF(AND(L66=O66,M66=P66,N66=Q66),"PASA","NO_PASA")</x:f>
        <x:v>PASA</x:v>
      </x:c>
      <x:c r="S66" s="4" t="str">
        <x:v>Perfil de otro producto no se normaliza por analogía.</x:v>
      </x:c>
      <x:c r="T66" s="12" t="str">
        <x:f>IFERROR(INDEX('55_Codificacion_ensayo'!$B$5:$B$13,MATCH(B66,'55_Codificacion_ensayo'!$A$5:$A$13,0)),"")</x:f>
        <x:v>IDENTIDAD-IMAGEN-CARGADA-0.1</x:v>
      </x:c>
      <x:c r="U66" s="12" t="str">
        <x:f>IFERROR(INDEX('55_Codificacion_ensayo'!$C$5:$C$13,MATCH(B66,'55_Codificacion_ensayo'!$A$5:$A$13,0)),"")</x:f>
        <x:v>IMAGEN_CARGADA</x:v>
      </x:c>
      <x:c r="V66" s="12" t="str">
        <x:f>IFERROR(INDEX('55_Codificacion_ensayo'!$D$5:$D$13,MATCH(B66,'55_Codificacion_ensayo'!$A$5:$A$13,0)),"")</x:f>
        <x:v>METODO_ADMITIDO</x:v>
      </x:c>
      <x:c r="W66" s="12" t="str">
        <x:f>IFERROR(INDEX('55_Codificacion_ensayo'!$E$5:$E$13,MATCH(B66,'55_Codificacion_ensayo'!$A$5:$A$13,0)),"")</x:f>
        <x:v>IMAGEN</x:v>
      </x:c>
      <x:c r="X66" s="12" t="str">
        <x:f>IFERROR(INDEX('55_Codificacion_ensayo'!$F$5:$F$13,MATCH(B66,'55_Codificacion_ensayo'!$A$5:$A$13,0)),"")</x:f>
        <x:v>aaaaaaaaaaaaaaaaaaaaaaaaaaaaaaaaaaaaaaaaaaaaaaaaaaaaaaaaaaaaaaaa</x:v>
      </x:c>
      <x:c r="Y66" s="12" t="str">
        <x:f>IFERROR(INDEX('55_Codificacion_ensayo'!$G$5:$G$13,MATCH(B66,'55_Codificacion_ensayo'!$A$5:$A$13,0)),"")</x:f>
        <x:v>aaaaaaaaaaaaaaaaaaaaaaaaaaaaaaaaaaaaaaaaaaaaaaaaaaaaaaaaaaaaaaaa</x:v>
      </x:c>
      <x:c r="Z66" s="12" t="str">
        <x:f>IFERROR(INDEX('55_Codificacion_ensayo'!$H$5:$H$13,MATCH(B66,'55_Codificacion_ensayo'!$A$5:$A$13,0)),"")</x:f>
        <x:v>bbbbbbbbbbbbbbbbbbbbbbbbbbbbbbbbbbbbbbbbbbbbbbbbbbbbbbbbbbbbbbbb</x:v>
      </x:c>
      <x:c r="AA66" s="12" t="str">
        <x:f>IFERROR(INDEX('55_Codificacion_ensayo'!$I$5:$I$13,MATCH(B66,'55_Codificacion_ensayo'!$A$5:$A$13,0)),"")</x:f>
        <x:v>IMAGEN_OBJETIVO</x:v>
      </x:c>
      <x:c r="AB66" s="12" t="str">
        <x:f>IFERROR(INDEX('55_Codificacion_ensayo'!$J$5:$J$13,MATCH(B66,'55_Codificacion_ensayo'!$A$5:$A$13,0)),"")</x:f>
        <x:v>OTRA_IMAGEN</x:v>
      </x:c>
    </x:row>
    <x:row r="67" ht="47" customHeight="1">
      <x:c r="A67" s="4" t="str">
        <x:v>L10-06-09</x:v>
      </x:c>
      <x:c r="B67" s="4" t="str">
        <x:v>PAR-CYB-IMAGEN-OBJETIVO-ACTIVA-001</x:v>
      </x:c>
      <x:c r="C67" s="4" t="str">
        <x:v>IDENTIDAD-IMAGEN-CARGADA-0.1</x:v>
      </x:c>
      <x:c r="D67" s="4" t="str">
        <x:v>COINCIDE</x:v>
      </x:c>
      <x:c r="E67" s="4" t="str">
        <x:v>LEGIBLE</x:v>
      </x:c>
      <x:c r="F67" s="4" t="str">
        <x:v>IMAGEN_CARGADA</x:v>
      </x:c>
      <x:c r="G67" s="4" t="str">
        <x:v>UNICA</x:v>
      </x:c>
      <x:c r="H67" s="4" t="str">
        <x:v>true false desconocido</x:v>
      </x:c>
      <x:c r="I67" s="4" t="str">
        <x:v>aaaaaaaaaaaaaaaaaaaaaaaaaaaaaaaaaaaaaaaaaaaaaaaaaaaaaaaaaaaaaaaa</x:v>
      </x:c>
      <x:c r="J67" s="4" t="str">
        <x:v>COMPLETA</x:v>
      </x:c>
      <x:c r="K67" s="4" t="str">
        <x:v>METODO_ADMITIDO</x:v>
      </x:c>
      <x:c r="L67" s="4" t="str">
        <x:v>NO_ADMISION</x:v>
      </x:c>
      <x:c r="M67" s="4" t="str"/>
      <x:c r="N67" s="4" t="str">
        <x:v>LEXEMA_O_FORMA</x:v>
      </x:c>
      <x:c r="O67" s="12" t="str">
        <x:f>IF(Q67="SIN_EJECUCION_DOMINIO","FALLO_CAPTURA",IF(OR(Q67="CAPTURA_MAL_FORMADA",Q67="IDENTIDAD",Q67="OBSERVACION_MAL_FORMADA",Q67="LEXEMA_O_FORMA"),"NO_ADMISION",IF(OR(Q67="PERFIL_NO_CONSTITUIDO",Q67="RESULTADO_NO_TERMINAL"),"FUERA_PERFIL",IF(Q67="CONTEXTO_NO_CONSTITUIDO","CONFIGURACION_PENDIENTE","VALIDA"))))</x:f>
        <x:v>NO_ADMISION</x:v>
      </x:c>
      <x:c r="P67" s="12" t="str">
        <x:f>IF(O67&lt;&gt;"VALIDA","",IF(Q67=AA67,"1",IF(Q67=AB67,"0","U")))</x:f>
      </x:c>
      <x:c r="Q67" s="12" t="str">
        <x:f>IF(E67="FALLO","SIN_EJECUCION_DOMINIO",IF(E67&lt;&gt;"LEGIBLE","CAPTURA_MAL_FORMADA",IF(D67&lt;&gt;"COINCIDE","IDENTIDAD",IF(OR(T67="",C67&lt;&gt;T67),"PERFIL_NO_CONSTITUIDO",IF(K67&lt;&gt;V67,IF(V67="ORDEN_ACREDITADO","ORDEN_NO_ACREDITADO","CONTEXTO_NO_CONSTITUIDO"),IF(AND(G67="AUSENTE",H67="",I67=""),"DATO_AUSENTE",IF(AND(G67="CONFLICTO",H67="",I67=""),"CONFLICTO_OBSERVACIONAL",IF(G67&lt;&gt;"UNICA","OBSERVACION_MAL_FORMADA",IF(F67&lt;&gt;U67,"OBSERVACION_INSUFICIENTE",IF(W67="RESULTADO",IF(H67=X67,AA67,IF(OR(H67="orcSucceededWithErrors",H67="orcFailed",H67="orcAborted"),AB67,IF(OR(H67="orcNotStarted",H67="orcInProgress"),"RESULTADO_NO_TERMINAL","LEXEMA_O_FORMA"))),IF(W67="EVENTO_BOOT",IF(H67=X67,AA67,IF(OR(H67="NINGUNO",H67="SOLO_HIBRIDO"),IF(J67="COMPLETA",AB67,"COBERTURA_INSUFICIENTE"),"LEXEMA_O_FORMA")),IF(W67="REQUISITO_SOFT",IF(H67=X67,AA67,IF(H67=Z67,AB67,"LEXEMA_O_FORMA")),IF(W67="EVENTO_PROC",IF(H67=X67,AA67,IF(H67=Z67,IF(J67="COMPLETA",AB67,"COBERTURA_INSUFICIENTE"),"LEXEMA_O_FORMA")),IF(W67="IMAGEN",IF(AND(AND(ISTEXT(H67),LEN(("x"&amp;H67))=65,EXACT(("x"&amp;H67),LOWER(("x"&amp;H67))),ISERROR(SEARCH(" ",("x"&amp;H67))),ISERROR(SEARCH(CHAR(9),("x"&amp;H67))),ISERROR(SEARCH(CHAR(10),("x"&amp;H67))),ISERROR(SEARCH(CHAR(13),("x"&amp;H67))),IFERROR(HEX2DEC(MID(("x"&amp;H67),2,8))&gt;=0,FALSE),IFERROR(HEX2DEC(MID(("x"&amp;H67),10,8))&gt;=0,FALSE),IFERROR(HEX2DEC(MID(("x"&amp;H67),18,8))&gt;=0,FALSE),IFERROR(HEX2DEC(MID(("x"&amp;H67),26,8))&gt;=0,FALSE),IFERROR(HEX2DEC(MID(("x"&amp;H67),34,8))&gt;=0,FALSE),IFERROR(HEX2DEC(MID(("x"&amp;H67),42,8))&gt;=0,FALSE),IFERROR(HEX2DEC(MID(("x"&amp;H67),50,8))&gt;=0,FALSE),IFERROR(HEX2DEC(MID(("x"&amp;H67),58,8))&gt;=0,FALSE)),AND(ISTEXT(I67),LEN(("x"&amp;I67))=65,EXACT(("x"&amp;I67),LOWER(("x"&amp;I67))),ISERROR(SEARCH(" ",("x"&amp;I67))),ISERROR(SEARCH(CHAR(9),("x"&amp;I67))),ISERROR(SEARCH(CHAR(10),("x"&amp;I67))),ISERROR(SEARCH(CHAR(13),("x"&amp;I67))),IFERROR(HEX2DEC(MID(("x"&amp;I67),2,8))&gt;=0,FALSE),IFERROR(HEX2DEC(MID(("x"&amp;I67),10,8))&gt;=0,FALSE),IFERROR(HEX2DEC(MID(("x"&amp;I67),18,8))&gt;=0,FALSE),IFERROR(HEX2DEC(MID(("x"&amp;I67),26,8))&gt;=0,FALSE),IFERROR(HEX2DEC(MID(("x"&amp;I67),34,8))&gt;=0,FALSE),IFERROR(HEX2DEC(MID(("x"&amp;I67),42,8))&gt;=0,FALSE),IFERROR(HEX2DEC(MID(("x"&amp;I67),50,8))&gt;=0,FALSE),IFERROR(HEX2DEC(MID(("x"&amp;I67),58,8))&gt;=0,FALSE))),IF(EXACT("x"&amp;H67,"x"&amp;I67),AA67,AB67),"LEXEMA_O_FORMA"),IF(W67="PRUEBA",IF(H67=X67,AA67,IF(H67=Z67,AB67,"LEXEMA_O_FORMA")),IF(W67="RETIRADA",IF(AND(H67="NINGUNO",I67=""),IF(J67="COMPLETA",AB67,"COBERTURA_INSUFICIENTE"),IF(AND(OR(H67="uoInstallation",H67="uoUninstallation"),OR(I67="orcSucceeded",I67="orcSucceededWithErrors",I67="orcFailed",I67="orcAborted",I67="orcInProgress",I67="orcNotStarted")),IF(AND(H67=X67,I67=Y67),AA67,IF(AND(H67=X67,OR(I67="orcSucceededWithErrors",I67="orcInProgress",I67="orcNotStarted")),"RESULTADO_RETIRADA_INCIERTO",IF(J67="COMPLETA",AB67,"COBERTURA_INSUFICIENTE"))),"LEXEMA_O_FORMA")),IF(W67="CAMBIO",IF(OR(H67="CAMBIO",H67="CAMBIO_Y_RETORNO"),AA67,IF(OR(H67="NINGUNO",H67="SOLO_RENOMBRE"),IF(J67="COMPLETA",AB67,"COBERTURA_INSUFICIENTE"),"LEXEMA_O_FORMA")),IF(W67="RESTAURACION",IF(H67=X67,AA67,IF(OR(H67="NINGUNO",H67="RESTAURACION_POSTERIOR",H67="RESTAURACION_FALLIDA"),IF(J67="COMPLETA",AB67,"COBERTURA_INSUFICIENTE"),"LEXEMA_O_FORMA")),"PERFIL_NO_CONSTITUIDO"))))))))))))))))))</x:f>
        <x:v>LEXEMA_O_FORMA</x:v>
      </x:c>
      <x:c r="R67" s="12" t="str">
        <x:f>IF(AND(L67=O67,M67=P67,N67=Q67),"PASA","NO_PASA")</x:f>
        <x:v>PASA</x:v>
      </x:c>
      <x:c r="S67" s="4" t="str">
        <x:v>La observación usa un lexema ajeno al contrato.</x:v>
      </x:c>
      <x:c r="T67" s="12" t="str">
        <x:f>IFERROR(INDEX('55_Codificacion_ensayo'!$B$5:$B$13,MATCH(B67,'55_Codificacion_ensayo'!$A$5:$A$13,0)),"")</x:f>
        <x:v>IDENTIDAD-IMAGEN-CARGADA-0.1</x:v>
      </x:c>
      <x:c r="U67" s="12" t="str">
        <x:f>IFERROR(INDEX('55_Codificacion_ensayo'!$C$5:$C$13,MATCH(B67,'55_Codificacion_ensayo'!$A$5:$A$13,0)),"")</x:f>
        <x:v>IMAGEN_CARGADA</x:v>
      </x:c>
      <x:c r="V67" s="12" t="str">
        <x:f>IFERROR(INDEX('55_Codificacion_ensayo'!$D$5:$D$13,MATCH(B67,'55_Codificacion_ensayo'!$A$5:$A$13,0)),"")</x:f>
        <x:v>METODO_ADMITIDO</x:v>
      </x:c>
      <x:c r="W67" s="12" t="str">
        <x:f>IFERROR(INDEX('55_Codificacion_ensayo'!$E$5:$E$13,MATCH(B67,'55_Codificacion_ensayo'!$A$5:$A$13,0)),"")</x:f>
        <x:v>IMAGEN</x:v>
      </x:c>
      <x:c r="X67" s="12" t="str">
        <x:f>IFERROR(INDEX('55_Codificacion_ensayo'!$F$5:$F$13,MATCH(B67,'55_Codificacion_ensayo'!$A$5:$A$13,0)),"")</x:f>
        <x:v>aaaaaaaaaaaaaaaaaaaaaaaaaaaaaaaaaaaaaaaaaaaaaaaaaaaaaaaaaaaaaaaa</x:v>
      </x:c>
      <x:c r="Y67" s="12" t="str">
        <x:f>IFERROR(INDEX('55_Codificacion_ensayo'!$G$5:$G$13,MATCH(B67,'55_Codificacion_ensayo'!$A$5:$A$13,0)),"")</x:f>
        <x:v>aaaaaaaaaaaaaaaaaaaaaaaaaaaaaaaaaaaaaaaaaaaaaaaaaaaaaaaaaaaaaaaa</x:v>
      </x:c>
      <x:c r="Z67" s="12" t="str">
        <x:f>IFERROR(INDEX('55_Codificacion_ensayo'!$H$5:$H$13,MATCH(B67,'55_Codificacion_ensayo'!$A$5:$A$13,0)),"")</x:f>
        <x:v>bbbbbbbbbbbbbbbbbbbbbbbbbbbbbbbbbbbbbbbbbbbbbbbbbbbbbbbbbbbbbbbb</x:v>
      </x:c>
      <x:c r="AA67" s="12" t="str">
        <x:f>IFERROR(INDEX('55_Codificacion_ensayo'!$I$5:$I$13,MATCH(B67,'55_Codificacion_ensayo'!$A$5:$A$13,0)),"")</x:f>
        <x:v>IMAGEN_OBJETIVO</x:v>
      </x:c>
      <x:c r="AB67" s="12" t="str">
        <x:f>IFERROR(INDEX('55_Codificacion_ensayo'!$J$5:$J$13,MATCH(B67,'55_Codificacion_ensayo'!$A$5:$A$13,0)),"")</x:f>
        <x:v>OTRA_IMAGEN</x:v>
      </x:c>
    </x:row>
    <x:row r="68" ht="47" customHeight="1">
      <x:c r="A68" s="4" t="str">
        <x:v>L10-06-10</x:v>
      </x:c>
      <x:c r="B68" s="4" t="str">
        <x:v>PAR-CYB-IMAGEN-OBJETIVO-ACTIVA-001</x:v>
      </x:c>
      <x:c r="C68" s="4" t="str">
        <x:v>IDENTIDAD-IMAGEN-CARGADA-0.1</x:v>
      </x:c>
      <x:c r="D68" s="4" t="str">
        <x:v>COINCIDE</x:v>
      </x:c>
      <x:c r="E68" s="4" t="str">
        <x:v>LEGIBLE</x:v>
      </x:c>
      <x:c r="F68" s="4" t="str">
        <x:v>IMAGEN_CARGADA</x:v>
      </x:c>
      <x:c r="G68" s="4" t="str">
        <x:v>UNICA</x:v>
      </x:c>
      <x:c r="H68" s="4" t="str">
        <x:v>aaaaaaaaaaaaaaaaaaaaaaaaaaaaaaaaaaaaaaaaaaaaaaaaaaaaaaaaaaaaaaaa</x:v>
      </x:c>
      <x:c r="I68" s="4" t="str">
        <x:v>aaaaaaaaaaaaaaaaaaaaaaaaaaaaaaaaaaaaaaaaaaaaaaaaaaaaaaaaaaaaaaaa</x:v>
      </x:c>
      <x:c r="J68" s="4" t="str">
        <x:v>COMPLETA</x:v>
      </x:c>
      <x:c r="K68" s="4" t="str">
        <x:v>PENDIENTE</x:v>
      </x:c>
      <x:c r="L68" s="4" t="str">
        <x:v>CONFIGURACION_PENDIENTE</x:v>
      </x:c>
      <x:c r="M68" s="4" t="str"/>
      <x:c r="N68" s="4" t="str">
        <x:v>CONTEXTO_NO_CONSTITUIDO</x:v>
      </x:c>
      <x:c r="O68" s="12" t="str">
        <x:f>IF(Q68="SIN_EJECUCION_DOMINIO","FALLO_CAPTURA",IF(OR(Q68="CAPTURA_MAL_FORMADA",Q68="IDENTIDAD",Q68="OBSERVACION_MAL_FORMADA",Q68="LEXEMA_O_FORMA"),"NO_ADMISION",IF(OR(Q68="PERFIL_NO_CONSTITUIDO",Q68="RESULTADO_NO_TERMINAL"),"FUERA_PERFIL",IF(Q68="CONTEXTO_NO_CONSTITUIDO","CONFIGURACION_PENDIENTE","VALIDA"))))</x:f>
        <x:v>CONFIGURACION_PENDIENTE</x:v>
      </x:c>
      <x:c r="P68" s="12" t="str">
        <x:f>IF(O68&lt;&gt;"VALIDA","",IF(Q68=AA68,"1",IF(Q68=AB68,"0","U")))</x:f>
      </x:c>
      <x:c r="Q68" s="12" t="str">
        <x:f>IF(E68="FALLO","SIN_EJECUCION_DOMINIO",IF(E68&lt;&gt;"LEGIBLE","CAPTURA_MAL_FORMADA",IF(D68&lt;&gt;"COINCIDE","IDENTIDAD",IF(OR(T68="",C68&lt;&gt;T68),"PERFIL_NO_CONSTITUIDO",IF(K68&lt;&gt;V68,IF(V68="ORDEN_ACREDITADO","ORDEN_NO_ACREDITADO","CONTEXTO_NO_CONSTITUIDO"),IF(AND(G68="AUSENTE",H68="",I68=""),"DATO_AUSENTE",IF(AND(G68="CONFLICTO",H68="",I68=""),"CONFLICTO_OBSERVACIONAL",IF(G68&lt;&gt;"UNICA","OBSERVACION_MAL_FORMADA",IF(F68&lt;&gt;U68,"OBSERVACION_INSUFICIENTE",IF(W68="RESULTADO",IF(H68=X68,AA68,IF(OR(H68="orcSucceededWithErrors",H68="orcFailed",H68="orcAborted"),AB68,IF(OR(H68="orcNotStarted",H68="orcInProgress"),"RESULTADO_NO_TERMINAL","LEXEMA_O_FORMA"))),IF(W68="EVENTO_BOOT",IF(H68=X68,AA68,IF(OR(H68="NINGUNO",H68="SOLO_HIBRIDO"),IF(J68="COMPLETA",AB68,"COBERTURA_INSUFICIENTE"),"LEXEMA_O_FORMA")),IF(W68="REQUISITO_SOFT",IF(H68=X68,AA68,IF(H68=Z68,AB68,"LEXEMA_O_FORMA")),IF(W68="EVENTO_PROC",IF(H68=X68,AA68,IF(H68=Z68,IF(J68="COMPLETA",AB68,"COBERTURA_INSUFICIENTE"),"LEXEMA_O_FORMA")),IF(W68="IMAGEN",IF(AND(AND(ISTEXT(H68),LEN(("x"&amp;H68))=65,EXACT(("x"&amp;H68),LOWER(("x"&amp;H68))),ISERROR(SEARCH(" ",("x"&amp;H68))),ISERROR(SEARCH(CHAR(9),("x"&amp;H68))),ISERROR(SEARCH(CHAR(10),("x"&amp;H68))),ISERROR(SEARCH(CHAR(13),("x"&amp;H68))),IFERROR(HEX2DEC(MID(("x"&amp;H68),2,8))&gt;=0,FALSE),IFERROR(HEX2DEC(MID(("x"&amp;H68),10,8))&gt;=0,FALSE),IFERROR(HEX2DEC(MID(("x"&amp;H68),18,8))&gt;=0,FALSE),IFERROR(HEX2DEC(MID(("x"&amp;H68),26,8))&gt;=0,FALSE),IFERROR(HEX2DEC(MID(("x"&amp;H68),34,8))&gt;=0,FALSE),IFERROR(HEX2DEC(MID(("x"&amp;H68),42,8))&gt;=0,FALSE),IFERROR(HEX2DEC(MID(("x"&amp;H68),50,8))&gt;=0,FALSE),IFERROR(HEX2DEC(MID(("x"&amp;H68),58,8))&gt;=0,FALSE)),AND(ISTEXT(I68),LEN(("x"&amp;I68))=65,EXACT(("x"&amp;I68),LOWER(("x"&amp;I68))),ISERROR(SEARCH(" ",("x"&amp;I68))),ISERROR(SEARCH(CHAR(9),("x"&amp;I68))),ISERROR(SEARCH(CHAR(10),("x"&amp;I68))),ISERROR(SEARCH(CHAR(13),("x"&amp;I68))),IFERROR(HEX2DEC(MID(("x"&amp;I68),2,8))&gt;=0,FALSE),IFERROR(HEX2DEC(MID(("x"&amp;I68),10,8))&gt;=0,FALSE),IFERROR(HEX2DEC(MID(("x"&amp;I68),18,8))&gt;=0,FALSE),IFERROR(HEX2DEC(MID(("x"&amp;I68),26,8))&gt;=0,FALSE),IFERROR(HEX2DEC(MID(("x"&amp;I68),34,8))&gt;=0,FALSE),IFERROR(HEX2DEC(MID(("x"&amp;I68),42,8))&gt;=0,FALSE),IFERROR(HEX2DEC(MID(("x"&amp;I68),50,8))&gt;=0,FALSE),IFERROR(HEX2DEC(MID(("x"&amp;I68),58,8))&gt;=0,FALSE))),IF(EXACT("x"&amp;H68,"x"&amp;I68),AA68,AB68),"LEXEMA_O_FORMA"),IF(W68="PRUEBA",IF(H68=X68,AA68,IF(H68=Z68,AB68,"LEXEMA_O_FORMA")),IF(W68="RETIRADA",IF(AND(H68="NINGUNO",I68=""),IF(J68="COMPLETA",AB68,"COBERTURA_INSUFICIENTE"),IF(AND(OR(H68="uoInstallation",H68="uoUninstallation"),OR(I68="orcSucceeded",I68="orcSucceededWithErrors",I68="orcFailed",I68="orcAborted",I68="orcInProgress",I68="orcNotStarted")),IF(AND(H68=X68,I68=Y68),AA68,IF(AND(H68=X68,OR(I68="orcSucceededWithErrors",I68="orcInProgress",I68="orcNotStarted")),"RESULTADO_RETIRADA_INCIERTO",IF(J68="COMPLETA",AB68,"COBERTURA_INSUFICIENTE"))),"LEXEMA_O_FORMA")),IF(W68="CAMBIO",IF(OR(H68="CAMBIO",H68="CAMBIO_Y_RETORNO"),AA68,IF(OR(H68="NINGUNO",H68="SOLO_RENOMBRE"),IF(J68="COMPLETA",AB68,"COBERTURA_INSUFICIENTE"),"LEXEMA_O_FORMA")),IF(W68="RESTAURACION",IF(H68=X68,AA68,IF(OR(H68="NINGUNO",H68="RESTAURACION_POSTERIOR",H68="RESTAURACION_FALLIDA"),IF(J68="COMPLETA",AB68,"COBERTURA_INSUFICIENTE"),"LEXEMA_O_FORMA")),"PERFIL_NO_CONSTITUIDO"))))))))))))))))))</x:f>
        <x:v>CONTEXTO_NO_CONSTITUIDO</x:v>
      </x:c>
      <x:c r="R68" s="12" t="str">
        <x:f>IF(AND(L68=O68,M68=P68,N68=Q68),"PASA","NO_PASA")</x:f>
        <x:v>PASA</x:v>
      </x:c>
      <x:c r="S68" s="4" t="str">
        <x:v>Falta el contexto profesional que fija qué se está evaluando.</x:v>
      </x:c>
      <x:c r="T68" s="12" t="str">
        <x:f>IFERROR(INDEX('55_Codificacion_ensayo'!$B$5:$B$13,MATCH(B68,'55_Codificacion_ensayo'!$A$5:$A$13,0)),"")</x:f>
        <x:v>IDENTIDAD-IMAGEN-CARGADA-0.1</x:v>
      </x:c>
      <x:c r="U68" s="12" t="str">
        <x:f>IFERROR(INDEX('55_Codificacion_ensayo'!$C$5:$C$13,MATCH(B68,'55_Codificacion_ensayo'!$A$5:$A$13,0)),"")</x:f>
        <x:v>IMAGEN_CARGADA</x:v>
      </x:c>
      <x:c r="V68" s="12" t="str">
        <x:f>IFERROR(INDEX('55_Codificacion_ensayo'!$D$5:$D$13,MATCH(B68,'55_Codificacion_ensayo'!$A$5:$A$13,0)),"")</x:f>
        <x:v>METODO_ADMITIDO</x:v>
      </x:c>
      <x:c r="W68" s="12" t="str">
        <x:f>IFERROR(INDEX('55_Codificacion_ensayo'!$E$5:$E$13,MATCH(B68,'55_Codificacion_ensayo'!$A$5:$A$13,0)),"")</x:f>
        <x:v>IMAGEN</x:v>
      </x:c>
      <x:c r="X68" s="12" t="str">
        <x:f>IFERROR(INDEX('55_Codificacion_ensayo'!$F$5:$F$13,MATCH(B68,'55_Codificacion_ensayo'!$A$5:$A$13,0)),"")</x:f>
        <x:v>aaaaaaaaaaaaaaaaaaaaaaaaaaaaaaaaaaaaaaaaaaaaaaaaaaaaaaaaaaaaaaaa</x:v>
      </x:c>
      <x:c r="Y68" s="12" t="str">
        <x:f>IFERROR(INDEX('55_Codificacion_ensayo'!$G$5:$G$13,MATCH(B68,'55_Codificacion_ensayo'!$A$5:$A$13,0)),"")</x:f>
        <x:v>aaaaaaaaaaaaaaaaaaaaaaaaaaaaaaaaaaaaaaaaaaaaaaaaaaaaaaaaaaaaaaaa</x:v>
      </x:c>
      <x:c r="Z68" s="12" t="str">
        <x:f>IFERROR(INDEX('55_Codificacion_ensayo'!$H$5:$H$13,MATCH(B68,'55_Codificacion_ensayo'!$A$5:$A$13,0)),"")</x:f>
        <x:v>bbbbbbbbbbbbbbbbbbbbbbbbbbbbbbbbbbbbbbbbbbbbbbbbbbbbbbbbbbbbbbbb</x:v>
      </x:c>
      <x:c r="AA68" s="12" t="str">
        <x:f>IFERROR(INDEX('55_Codificacion_ensayo'!$I$5:$I$13,MATCH(B68,'55_Codificacion_ensayo'!$A$5:$A$13,0)),"")</x:f>
        <x:v>IMAGEN_OBJETIVO</x:v>
      </x:c>
      <x:c r="AB68" s="12" t="str">
        <x:f>IFERROR(INDEX('55_Codificacion_ensayo'!$J$5:$J$13,MATCH(B68,'55_Codificacion_ensayo'!$A$5:$A$13,0)),"")</x:f>
        <x:v>OTRA_IMAGEN</x:v>
      </x:c>
    </x:row>
    <x:row r="69" ht="47" customHeight="1">
      <x:c r="A69" s="4" t="str">
        <x:v>L10-06-11</x:v>
      </x:c>
      <x:c r="B69" s="4" t="str">
        <x:v>PAR-CYB-IMAGEN-OBJETIVO-ACTIVA-001</x:v>
      </x:c>
      <x:c r="C69" s="4" t="str">
        <x:v>IDENTIDAD-IMAGEN-CARGADA-0.1</x:v>
      </x:c>
      <x:c r="D69" s="4" t="str">
        <x:v>COINCIDE</x:v>
      </x:c>
      <x:c r="E69" s="4" t="str">
        <x:v>LEGIBLE</x:v>
      </x:c>
      <x:c r="F69" s="4" t="str">
        <x:v>FICHERO_DISCO</x:v>
      </x:c>
      <x:c r="G69" s="4" t="str">
        <x:v>UNICA</x:v>
      </x:c>
      <x:c r="H69" s="4" t="str">
        <x:v>aaaaaaaaaaaaaaaaaaaaaaaaaaaaaaaaaaaaaaaaaaaaaaaaaaaaaaaaaaaaaaaa</x:v>
      </x:c>
      <x:c r="I69" s="4" t="str">
        <x:v>aaaaaaaaaaaaaaaaaaaaaaaaaaaaaaaaaaaaaaaaaaaaaaaaaaaaaaaaaaaaaaaa</x:v>
      </x:c>
      <x:c r="J69" s="4" t="str">
        <x:v>COMPLETA</x:v>
      </x:c>
      <x:c r="K69" s="4" t="str">
        <x:v>METODO_ADMITIDO</x:v>
      </x:c>
      <x:c r="L69" s="4" t="str">
        <x:v>VALIDA</x:v>
      </x:c>
      <x:c r="M69" s="4" t="str">
        <x:v>U</x:v>
      </x:c>
      <x:c r="N69" s="4" t="str">
        <x:v>OBSERVACION_INSUFICIENTE</x:v>
      </x:c>
      <x:c r="O69" s="12" t="str">
        <x:f>IF(Q69="SIN_EJECUCION_DOMINIO","FALLO_CAPTURA",IF(OR(Q69="CAPTURA_MAL_FORMADA",Q69="IDENTIDAD",Q69="OBSERVACION_MAL_FORMADA",Q69="LEXEMA_O_FORMA"),"NO_ADMISION",IF(OR(Q69="PERFIL_NO_CONSTITUIDO",Q69="RESULTADO_NO_TERMINAL"),"FUERA_PERFIL",IF(Q69="CONTEXTO_NO_CONSTITUIDO","CONFIGURACION_PENDIENTE","VALIDA"))))</x:f>
        <x:v>VALIDA</x:v>
      </x:c>
      <x:c r="P69" s="12" t="str">
        <x:f>IF(O69&lt;&gt;"VALIDA","",IF(Q69=AA69,"1",IF(Q69=AB69,"0","U")))</x:f>
        <x:v>U</x:v>
      </x:c>
      <x:c r="Q69" s="12" t="str">
        <x:f>IF(E69="FALLO","SIN_EJECUCION_DOMINIO",IF(E69&lt;&gt;"LEGIBLE","CAPTURA_MAL_FORMADA",IF(D69&lt;&gt;"COINCIDE","IDENTIDAD",IF(OR(T69="",C69&lt;&gt;T69),"PERFIL_NO_CONSTITUIDO",IF(K69&lt;&gt;V69,IF(V69="ORDEN_ACREDITADO","ORDEN_NO_ACREDITADO","CONTEXTO_NO_CONSTITUIDO"),IF(AND(G69="AUSENTE",H69="",I69=""),"DATO_AUSENTE",IF(AND(G69="CONFLICTO",H69="",I69=""),"CONFLICTO_OBSERVACIONAL",IF(G69&lt;&gt;"UNICA","OBSERVACION_MAL_FORMADA",IF(F69&lt;&gt;U69,"OBSERVACION_INSUFICIENTE",IF(W69="RESULTADO",IF(H69=X69,AA69,IF(OR(H69="orcSucceededWithErrors",H69="orcFailed",H69="orcAborted"),AB69,IF(OR(H69="orcNotStarted",H69="orcInProgress"),"RESULTADO_NO_TERMINAL","LEXEMA_O_FORMA"))),IF(W69="EVENTO_BOOT",IF(H69=X69,AA69,IF(OR(H69="NINGUNO",H69="SOLO_HIBRIDO"),IF(J69="COMPLETA",AB69,"COBERTURA_INSUFICIENTE"),"LEXEMA_O_FORMA")),IF(W69="REQUISITO_SOFT",IF(H69=X69,AA69,IF(H69=Z69,AB69,"LEXEMA_O_FORMA")),IF(W69="EVENTO_PROC",IF(H69=X69,AA69,IF(H69=Z69,IF(J69="COMPLETA",AB69,"COBERTURA_INSUFICIENTE"),"LEXEMA_O_FORMA")),IF(W69="IMAGEN",IF(AND(AND(ISTEXT(H69),LEN(("x"&amp;H69))=65,EXACT(("x"&amp;H69),LOWER(("x"&amp;H69))),ISERROR(SEARCH(" ",("x"&amp;H69))),ISERROR(SEARCH(CHAR(9),("x"&amp;H69))),ISERROR(SEARCH(CHAR(10),("x"&amp;H69))),ISERROR(SEARCH(CHAR(13),("x"&amp;H69))),IFERROR(HEX2DEC(MID(("x"&amp;H69),2,8))&gt;=0,FALSE),IFERROR(HEX2DEC(MID(("x"&amp;H69),10,8))&gt;=0,FALSE),IFERROR(HEX2DEC(MID(("x"&amp;H69),18,8))&gt;=0,FALSE),IFERROR(HEX2DEC(MID(("x"&amp;H69),26,8))&gt;=0,FALSE),IFERROR(HEX2DEC(MID(("x"&amp;H69),34,8))&gt;=0,FALSE),IFERROR(HEX2DEC(MID(("x"&amp;H69),42,8))&gt;=0,FALSE),IFERROR(HEX2DEC(MID(("x"&amp;H69),50,8))&gt;=0,FALSE),IFERROR(HEX2DEC(MID(("x"&amp;H69),58,8))&gt;=0,FALSE)),AND(ISTEXT(I69),LEN(("x"&amp;I69))=65,EXACT(("x"&amp;I69),LOWER(("x"&amp;I69))),ISERROR(SEARCH(" ",("x"&amp;I69))),ISERROR(SEARCH(CHAR(9),("x"&amp;I69))),ISERROR(SEARCH(CHAR(10),("x"&amp;I69))),ISERROR(SEARCH(CHAR(13),("x"&amp;I69))),IFERROR(HEX2DEC(MID(("x"&amp;I69),2,8))&gt;=0,FALSE),IFERROR(HEX2DEC(MID(("x"&amp;I69),10,8))&gt;=0,FALSE),IFERROR(HEX2DEC(MID(("x"&amp;I69),18,8))&gt;=0,FALSE),IFERROR(HEX2DEC(MID(("x"&amp;I69),26,8))&gt;=0,FALSE),IFERROR(HEX2DEC(MID(("x"&amp;I69),34,8))&gt;=0,FALSE),IFERROR(HEX2DEC(MID(("x"&amp;I69),42,8))&gt;=0,FALSE),IFERROR(HEX2DEC(MID(("x"&amp;I69),50,8))&gt;=0,FALSE),IFERROR(HEX2DEC(MID(("x"&amp;I69),58,8))&gt;=0,FALSE))),IF(EXACT("x"&amp;H69,"x"&amp;I69),AA69,AB69),"LEXEMA_O_FORMA"),IF(W69="PRUEBA",IF(H69=X69,AA69,IF(H69=Z69,AB69,"LEXEMA_O_FORMA")),IF(W69="RETIRADA",IF(AND(H69="NINGUNO",I69=""),IF(J69="COMPLETA",AB69,"COBERTURA_INSUFICIENTE"),IF(AND(OR(H69="uoInstallation",H69="uoUninstallation"),OR(I69="orcSucceeded",I69="orcSucceededWithErrors",I69="orcFailed",I69="orcAborted",I69="orcInProgress",I69="orcNotStarted")),IF(AND(H69=X69,I69=Y69),AA69,IF(AND(H69=X69,OR(I69="orcSucceededWithErrors",I69="orcInProgress",I69="orcNotStarted")),"RESULTADO_RETIRADA_INCIERTO",IF(J69="COMPLETA",AB69,"COBERTURA_INSUFICIENTE"))),"LEXEMA_O_FORMA")),IF(W69="CAMBIO",IF(OR(H69="CAMBIO",H69="CAMBIO_Y_RETORNO"),AA69,IF(OR(H69="NINGUNO",H69="SOLO_RENOMBRE"),IF(J69="COMPLETA",AB69,"COBERTURA_INSUFICIENTE"),"LEXEMA_O_FORMA")),IF(W69="RESTAURACION",IF(H69=X69,AA69,IF(OR(H69="NINGUNO",H69="RESTAURACION_POSTERIOR",H69="RESTAURACION_FALLIDA"),IF(J69="COMPLETA",AB69,"COBERTURA_INSUFICIENTE"),"LEXEMA_O_FORMA")),"PERFIL_NO_CONSTITUIDO"))))))))))))))))))</x:f>
        <x:v>OBSERVACION_INSUFICIENTE</x:v>
      </x:c>
      <x:c r="R69" s="12" t="str">
        <x:f>IF(AND(L69=O69,M69=P69,N69=Q69),"PASA","NO_PASA")</x:f>
        <x:v>PASA</x:v>
      </x:c>
      <x:c r="S69" s="4" t="str">
        <x:v>Ruta, fichero o MODULEINFO no identifican inequívocamente la imagen cargada.</x:v>
      </x:c>
      <x:c r="T69" s="12" t="str">
        <x:f>IFERROR(INDEX('55_Codificacion_ensayo'!$B$5:$B$13,MATCH(B69,'55_Codificacion_ensayo'!$A$5:$A$13,0)),"")</x:f>
        <x:v>IDENTIDAD-IMAGEN-CARGADA-0.1</x:v>
      </x:c>
      <x:c r="U69" s="12" t="str">
        <x:f>IFERROR(INDEX('55_Codificacion_ensayo'!$C$5:$C$13,MATCH(B69,'55_Codificacion_ensayo'!$A$5:$A$13,0)),"")</x:f>
        <x:v>IMAGEN_CARGADA</x:v>
      </x:c>
      <x:c r="V69" s="12" t="str">
        <x:f>IFERROR(INDEX('55_Codificacion_ensayo'!$D$5:$D$13,MATCH(B69,'55_Codificacion_ensayo'!$A$5:$A$13,0)),"")</x:f>
        <x:v>METODO_ADMITIDO</x:v>
      </x:c>
      <x:c r="W69" s="12" t="str">
        <x:f>IFERROR(INDEX('55_Codificacion_ensayo'!$E$5:$E$13,MATCH(B69,'55_Codificacion_ensayo'!$A$5:$A$13,0)),"")</x:f>
        <x:v>IMAGEN</x:v>
      </x:c>
      <x:c r="X69" s="12" t="str">
        <x:f>IFERROR(INDEX('55_Codificacion_ensayo'!$F$5:$F$13,MATCH(B69,'55_Codificacion_ensayo'!$A$5:$A$13,0)),"")</x:f>
        <x:v>aaaaaaaaaaaaaaaaaaaaaaaaaaaaaaaaaaaaaaaaaaaaaaaaaaaaaaaaaaaaaaaa</x:v>
      </x:c>
      <x:c r="Y69" s="12" t="str">
        <x:f>IFERROR(INDEX('55_Codificacion_ensayo'!$G$5:$G$13,MATCH(B69,'55_Codificacion_ensayo'!$A$5:$A$13,0)),"")</x:f>
        <x:v>aaaaaaaaaaaaaaaaaaaaaaaaaaaaaaaaaaaaaaaaaaaaaaaaaaaaaaaaaaaaaaaa</x:v>
      </x:c>
      <x:c r="Z69" s="12" t="str">
        <x:f>IFERROR(INDEX('55_Codificacion_ensayo'!$H$5:$H$13,MATCH(B69,'55_Codificacion_ensayo'!$A$5:$A$13,0)),"")</x:f>
        <x:v>bbbbbbbbbbbbbbbbbbbbbbbbbbbbbbbbbbbbbbbbbbbbbbbbbbbbbbbbbbbbbbbb</x:v>
      </x:c>
      <x:c r="AA69" s="12" t="str">
        <x:f>IFERROR(INDEX('55_Codificacion_ensayo'!$I$5:$I$13,MATCH(B69,'55_Codificacion_ensayo'!$A$5:$A$13,0)),"")</x:f>
        <x:v>IMAGEN_OBJETIVO</x:v>
      </x:c>
      <x:c r="AB69" s="12" t="str">
        <x:f>IFERROR(INDEX('55_Codificacion_ensayo'!$J$5:$J$13,MATCH(B69,'55_Codificacion_ensayo'!$A$5:$A$13,0)),"")</x:f>
        <x:v>OTRA_IMAGEN</x:v>
      </x:c>
    </x:row>
    <x:row r="70" ht="47" customHeight="1">
      <x:c r="A70" s="4" t="str">
        <x:v>L10-06-12</x:v>
      </x:c>
      <x:c r="B70" s="4" t="str">
        <x:v>PAR-CYB-IMAGEN-OBJETIVO-ACTIVA-001</x:v>
      </x:c>
      <x:c r="C70" s="4" t="str">
        <x:v>IDENTIDAD-IMAGEN-CARGADA-0.1</x:v>
      </x:c>
      <x:c r="D70" s="4" t="str">
        <x:v>COINCIDE</x:v>
      </x:c>
      <x:c r="E70" s="4" t="str">
        <x:v>LEGIBLE</x:v>
      </x:c>
      <x:c r="F70" s="4" t="str">
        <x:v>NOMBRE_DLL</x:v>
      </x:c>
      <x:c r="G70" s="4" t="str">
        <x:v>UNICA</x:v>
      </x:c>
      <x:c r="H70" s="4" t="str">
        <x:v>aaaaaaaaaaaaaaaaaaaaaaaaaaaaaaaaaaaaaaaaaaaaaaaaaaaaaaaaaaaaaaaa</x:v>
      </x:c>
      <x:c r="I70" s="4" t="str">
        <x:v>aaaaaaaaaaaaaaaaaaaaaaaaaaaaaaaaaaaaaaaaaaaaaaaaaaaaaaaaaaaaaaaa</x:v>
      </x:c>
      <x:c r="J70" s="4" t="str">
        <x:v>COMPLETA</x:v>
      </x:c>
      <x:c r="K70" s="4" t="str">
        <x:v>METODO_ADMITIDO</x:v>
      </x:c>
      <x:c r="L70" s="4" t="str">
        <x:v>VALIDA</x:v>
      </x:c>
      <x:c r="M70" s="4" t="str">
        <x:v>U</x:v>
      </x:c>
      <x:c r="N70" s="4" t="str">
        <x:v>OBSERVACION_INSUFICIENTE</x:v>
      </x:c>
      <x:c r="O70" s="12" t="str">
        <x:f>IF(Q70="SIN_EJECUCION_DOMINIO","FALLO_CAPTURA",IF(OR(Q70="CAPTURA_MAL_FORMADA",Q70="IDENTIDAD",Q70="OBSERVACION_MAL_FORMADA",Q70="LEXEMA_O_FORMA"),"NO_ADMISION",IF(OR(Q70="PERFIL_NO_CONSTITUIDO",Q70="RESULTADO_NO_TERMINAL"),"FUERA_PERFIL",IF(Q70="CONTEXTO_NO_CONSTITUIDO","CONFIGURACION_PENDIENTE","VALIDA"))))</x:f>
        <x:v>VALIDA</x:v>
      </x:c>
      <x:c r="P70" s="12" t="str">
        <x:f>IF(O70&lt;&gt;"VALIDA","",IF(Q70=AA70,"1",IF(Q70=AB70,"0","U")))</x:f>
        <x:v>U</x:v>
      </x:c>
      <x:c r="Q70" s="12" t="str">
        <x:f>IF(E70="FALLO","SIN_EJECUCION_DOMINIO",IF(E70&lt;&gt;"LEGIBLE","CAPTURA_MAL_FORMADA",IF(D70&lt;&gt;"COINCIDE","IDENTIDAD",IF(OR(T70="",C70&lt;&gt;T70),"PERFIL_NO_CONSTITUIDO",IF(K70&lt;&gt;V70,IF(V70="ORDEN_ACREDITADO","ORDEN_NO_ACREDITADO","CONTEXTO_NO_CONSTITUIDO"),IF(AND(G70="AUSENTE",H70="",I70=""),"DATO_AUSENTE",IF(AND(G70="CONFLICTO",H70="",I70=""),"CONFLICTO_OBSERVACIONAL",IF(G70&lt;&gt;"UNICA","OBSERVACION_MAL_FORMADA",IF(F70&lt;&gt;U70,"OBSERVACION_INSUFICIENTE",IF(W70="RESULTADO",IF(H70=X70,AA70,IF(OR(H70="orcSucceededWithErrors",H70="orcFailed",H70="orcAborted"),AB70,IF(OR(H70="orcNotStarted",H70="orcInProgress"),"RESULTADO_NO_TERMINAL","LEXEMA_O_FORMA"))),IF(W70="EVENTO_BOOT",IF(H70=X70,AA70,IF(OR(H70="NINGUNO",H70="SOLO_HIBRIDO"),IF(J70="COMPLETA",AB70,"COBERTURA_INSUFICIENTE"),"LEXEMA_O_FORMA")),IF(W70="REQUISITO_SOFT",IF(H70=X70,AA70,IF(H70=Z70,AB70,"LEXEMA_O_FORMA")),IF(W70="EVENTO_PROC",IF(H70=X70,AA70,IF(H70=Z70,IF(J70="COMPLETA",AB70,"COBERTURA_INSUFICIENTE"),"LEXEMA_O_FORMA")),IF(W70="IMAGEN",IF(AND(AND(ISTEXT(H70),LEN(("x"&amp;H70))=65,EXACT(("x"&amp;H70),LOWER(("x"&amp;H70))),ISERROR(SEARCH(" ",("x"&amp;H70))),ISERROR(SEARCH(CHAR(9),("x"&amp;H70))),ISERROR(SEARCH(CHAR(10),("x"&amp;H70))),ISERROR(SEARCH(CHAR(13),("x"&amp;H70))),IFERROR(HEX2DEC(MID(("x"&amp;H70),2,8))&gt;=0,FALSE),IFERROR(HEX2DEC(MID(("x"&amp;H70),10,8))&gt;=0,FALSE),IFERROR(HEX2DEC(MID(("x"&amp;H70),18,8))&gt;=0,FALSE),IFERROR(HEX2DEC(MID(("x"&amp;H70),26,8))&gt;=0,FALSE),IFERROR(HEX2DEC(MID(("x"&amp;H70),34,8))&gt;=0,FALSE),IFERROR(HEX2DEC(MID(("x"&amp;H70),42,8))&gt;=0,FALSE),IFERROR(HEX2DEC(MID(("x"&amp;H70),50,8))&gt;=0,FALSE),IFERROR(HEX2DEC(MID(("x"&amp;H70),58,8))&gt;=0,FALSE)),AND(ISTEXT(I70),LEN(("x"&amp;I70))=65,EXACT(("x"&amp;I70),LOWER(("x"&amp;I70))),ISERROR(SEARCH(" ",("x"&amp;I70))),ISERROR(SEARCH(CHAR(9),("x"&amp;I70))),ISERROR(SEARCH(CHAR(10),("x"&amp;I70))),ISERROR(SEARCH(CHAR(13),("x"&amp;I70))),IFERROR(HEX2DEC(MID(("x"&amp;I70),2,8))&gt;=0,FALSE),IFERROR(HEX2DEC(MID(("x"&amp;I70),10,8))&gt;=0,FALSE),IFERROR(HEX2DEC(MID(("x"&amp;I70),18,8))&gt;=0,FALSE),IFERROR(HEX2DEC(MID(("x"&amp;I70),26,8))&gt;=0,FALSE),IFERROR(HEX2DEC(MID(("x"&amp;I70),34,8))&gt;=0,FALSE),IFERROR(HEX2DEC(MID(("x"&amp;I70),42,8))&gt;=0,FALSE),IFERROR(HEX2DEC(MID(("x"&amp;I70),50,8))&gt;=0,FALSE),IFERROR(HEX2DEC(MID(("x"&amp;I70),58,8))&gt;=0,FALSE))),IF(EXACT("x"&amp;H70,"x"&amp;I70),AA70,AB70),"LEXEMA_O_FORMA"),IF(W70="PRUEBA",IF(H70=X70,AA70,IF(H70=Z70,AB70,"LEXEMA_O_FORMA")),IF(W70="RETIRADA",IF(AND(H70="NINGUNO",I70=""),IF(J70="COMPLETA",AB70,"COBERTURA_INSUFICIENTE"),IF(AND(OR(H70="uoInstallation",H70="uoUninstallation"),OR(I70="orcSucceeded",I70="orcSucceededWithErrors",I70="orcFailed",I70="orcAborted",I70="orcInProgress",I70="orcNotStarted")),IF(AND(H70=X70,I70=Y70),AA70,IF(AND(H70=X70,OR(I70="orcSucceededWithErrors",I70="orcInProgress",I70="orcNotStarted")),"RESULTADO_RETIRADA_INCIERTO",IF(J70="COMPLETA",AB70,"COBERTURA_INSUFICIENTE"))),"LEXEMA_O_FORMA")),IF(W70="CAMBIO",IF(OR(H70="CAMBIO",H70="CAMBIO_Y_RETORNO"),AA70,IF(OR(H70="NINGUNO",H70="SOLO_RENOMBRE"),IF(J70="COMPLETA",AB70,"COBERTURA_INSUFICIENTE"),"LEXEMA_O_FORMA")),IF(W70="RESTAURACION",IF(H70=X70,AA70,IF(OR(H70="NINGUNO",H70="RESTAURACION_POSTERIOR",H70="RESTAURACION_FALLIDA"),IF(J70="COMPLETA",AB70,"COBERTURA_INSUFICIENTE"),"LEXEMA_O_FORMA")),"PERFIL_NO_CONSTITUIDO"))))))))))))))))))</x:f>
        <x:v>OBSERVACION_INSUFICIENTE</x:v>
      </x:c>
      <x:c r="R70" s="12" t="str">
        <x:f>IF(AND(L70=O70,M70=P70,N70=Q70),"PASA","NO_PASA")</x:f>
        <x:v>PASA</x:v>
      </x:c>
      <x:c r="S70" s="4" t="str">
        <x:v>Ruta, fichero o MODULEINFO no identifican inequívocamente la imagen cargada.</x:v>
      </x:c>
      <x:c r="T70" s="12" t="str">
        <x:f>IFERROR(INDEX('55_Codificacion_ensayo'!$B$5:$B$13,MATCH(B70,'55_Codificacion_ensayo'!$A$5:$A$13,0)),"")</x:f>
        <x:v>IDENTIDAD-IMAGEN-CARGADA-0.1</x:v>
      </x:c>
      <x:c r="U70" s="12" t="str">
        <x:f>IFERROR(INDEX('55_Codificacion_ensayo'!$C$5:$C$13,MATCH(B70,'55_Codificacion_ensayo'!$A$5:$A$13,0)),"")</x:f>
        <x:v>IMAGEN_CARGADA</x:v>
      </x:c>
      <x:c r="V70" s="12" t="str">
        <x:f>IFERROR(INDEX('55_Codificacion_ensayo'!$D$5:$D$13,MATCH(B70,'55_Codificacion_ensayo'!$A$5:$A$13,0)),"")</x:f>
        <x:v>METODO_ADMITIDO</x:v>
      </x:c>
      <x:c r="W70" s="12" t="str">
        <x:f>IFERROR(INDEX('55_Codificacion_ensayo'!$E$5:$E$13,MATCH(B70,'55_Codificacion_ensayo'!$A$5:$A$13,0)),"")</x:f>
        <x:v>IMAGEN</x:v>
      </x:c>
      <x:c r="X70" s="12" t="str">
        <x:f>IFERROR(INDEX('55_Codificacion_ensayo'!$F$5:$F$13,MATCH(B70,'55_Codificacion_ensayo'!$A$5:$A$13,0)),"")</x:f>
        <x:v>aaaaaaaaaaaaaaaaaaaaaaaaaaaaaaaaaaaaaaaaaaaaaaaaaaaaaaaaaaaaaaaa</x:v>
      </x:c>
      <x:c r="Y70" s="12" t="str">
        <x:f>IFERROR(INDEX('55_Codificacion_ensayo'!$G$5:$G$13,MATCH(B70,'55_Codificacion_ensayo'!$A$5:$A$13,0)),"")</x:f>
        <x:v>aaaaaaaaaaaaaaaaaaaaaaaaaaaaaaaaaaaaaaaaaaaaaaaaaaaaaaaaaaaaaaaa</x:v>
      </x:c>
      <x:c r="Z70" s="12" t="str">
        <x:f>IFERROR(INDEX('55_Codificacion_ensayo'!$H$5:$H$13,MATCH(B70,'55_Codificacion_ensayo'!$A$5:$A$13,0)),"")</x:f>
        <x:v>bbbbbbbbbbbbbbbbbbbbbbbbbbbbbbbbbbbbbbbbbbbbbbbbbbbbbbbbbbbbbbbb</x:v>
      </x:c>
      <x:c r="AA70" s="12" t="str">
        <x:f>IFERROR(INDEX('55_Codificacion_ensayo'!$I$5:$I$13,MATCH(B70,'55_Codificacion_ensayo'!$A$5:$A$13,0)),"")</x:f>
        <x:v>IMAGEN_OBJETIVO</x:v>
      </x:c>
      <x:c r="AB70" s="12" t="str">
        <x:f>IFERROR(INDEX('55_Codificacion_ensayo'!$J$5:$J$13,MATCH(B70,'55_Codificacion_ensayo'!$A$5:$A$13,0)),"")</x:f>
        <x:v>OTRA_IMAGEN</x:v>
      </x:c>
    </x:row>
    <x:row r="71" ht="47" customHeight="1">
      <x:c r="A71" s="4" t="str">
        <x:v>L10-06-13</x:v>
      </x:c>
      <x:c r="B71" s="4" t="str">
        <x:v>PAR-CYB-IMAGEN-OBJETIVO-ACTIVA-001</x:v>
      </x:c>
      <x:c r="C71" s="4" t="str">
        <x:v>IDENTIDAD-IMAGEN-CARGADA-0.1</x:v>
      </x:c>
      <x:c r="D71" s="4" t="str">
        <x:v>COINCIDE</x:v>
      </x:c>
      <x:c r="E71" s="4" t="str">
        <x:v>LEGIBLE</x:v>
      </x:c>
      <x:c r="F71" s="4" t="str">
        <x:v>MODULEINFO</x:v>
      </x:c>
      <x:c r="G71" s="4" t="str">
        <x:v>UNICA</x:v>
      </x:c>
      <x:c r="H71" s="4" t="str">
        <x:v>aaaaaaaaaaaaaaaaaaaaaaaaaaaaaaaaaaaaaaaaaaaaaaaaaaaaaaaaaaaaaaaa</x:v>
      </x:c>
      <x:c r="I71" s="4" t="str">
        <x:v>aaaaaaaaaaaaaaaaaaaaaaaaaaaaaaaaaaaaaaaaaaaaaaaaaaaaaaaaaaaaaaaa</x:v>
      </x:c>
      <x:c r="J71" s="4" t="str">
        <x:v>COMPLETA</x:v>
      </x:c>
      <x:c r="K71" s="4" t="str">
        <x:v>METODO_ADMITIDO</x:v>
      </x:c>
      <x:c r="L71" s="4" t="str">
        <x:v>VALIDA</x:v>
      </x:c>
      <x:c r="M71" s="4" t="str">
        <x:v>U</x:v>
      </x:c>
      <x:c r="N71" s="4" t="str">
        <x:v>OBSERVACION_INSUFICIENTE</x:v>
      </x:c>
      <x:c r="O71" s="12" t="str">
        <x:f>IF(Q71="SIN_EJECUCION_DOMINIO","FALLO_CAPTURA",IF(OR(Q71="CAPTURA_MAL_FORMADA",Q71="IDENTIDAD",Q71="OBSERVACION_MAL_FORMADA",Q71="LEXEMA_O_FORMA"),"NO_ADMISION",IF(OR(Q71="PERFIL_NO_CONSTITUIDO",Q71="RESULTADO_NO_TERMINAL"),"FUERA_PERFIL",IF(Q71="CONTEXTO_NO_CONSTITUIDO","CONFIGURACION_PENDIENTE","VALIDA"))))</x:f>
        <x:v>VALIDA</x:v>
      </x:c>
      <x:c r="P71" s="12" t="str">
        <x:f>IF(O71&lt;&gt;"VALIDA","",IF(Q71=AA71,"1",IF(Q71=AB71,"0","U")))</x:f>
        <x:v>U</x:v>
      </x:c>
      <x:c r="Q71" s="12" t="str">
        <x:f>IF(E71="FALLO","SIN_EJECUCION_DOMINIO",IF(E71&lt;&gt;"LEGIBLE","CAPTURA_MAL_FORMADA",IF(D71&lt;&gt;"COINCIDE","IDENTIDAD",IF(OR(T71="",C71&lt;&gt;T71),"PERFIL_NO_CONSTITUIDO",IF(K71&lt;&gt;V71,IF(V71="ORDEN_ACREDITADO","ORDEN_NO_ACREDITADO","CONTEXTO_NO_CONSTITUIDO"),IF(AND(G71="AUSENTE",H71="",I71=""),"DATO_AUSENTE",IF(AND(G71="CONFLICTO",H71="",I71=""),"CONFLICTO_OBSERVACIONAL",IF(G71&lt;&gt;"UNICA","OBSERVACION_MAL_FORMADA",IF(F71&lt;&gt;U71,"OBSERVACION_INSUFICIENTE",IF(W71="RESULTADO",IF(H71=X71,AA71,IF(OR(H71="orcSucceededWithErrors",H71="orcFailed",H71="orcAborted"),AB71,IF(OR(H71="orcNotStarted",H71="orcInProgress"),"RESULTADO_NO_TERMINAL","LEXEMA_O_FORMA"))),IF(W71="EVENTO_BOOT",IF(H71=X71,AA71,IF(OR(H71="NINGUNO",H71="SOLO_HIBRIDO"),IF(J71="COMPLETA",AB71,"COBERTURA_INSUFICIENTE"),"LEXEMA_O_FORMA")),IF(W71="REQUISITO_SOFT",IF(H71=X71,AA71,IF(H71=Z71,AB71,"LEXEMA_O_FORMA")),IF(W71="EVENTO_PROC",IF(H71=X71,AA71,IF(H71=Z71,IF(J71="COMPLETA",AB71,"COBERTURA_INSUFICIENTE"),"LEXEMA_O_FORMA")),IF(W71="IMAGEN",IF(AND(AND(ISTEXT(H71),LEN(("x"&amp;H71))=65,EXACT(("x"&amp;H71),LOWER(("x"&amp;H71))),ISERROR(SEARCH(" ",("x"&amp;H71))),ISERROR(SEARCH(CHAR(9),("x"&amp;H71))),ISERROR(SEARCH(CHAR(10),("x"&amp;H71))),ISERROR(SEARCH(CHAR(13),("x"&amp;H71))),IFERROR(HEX2DEC(MID(("x"&amp;H71),2,8))&gt;=0,FALSE),IFERROR(HEX2DEC(MID(("x"&amp;H71),10,8))&gt;=0,FALSE),IFERROR(HEX2DEC(MID(("x"&amp;H71),18,8))&gt;=0,FALSE),IFERROR(HEX2DEC(MID(("x"&amp;H71),26,8))&gt;=0,FALSE),IFERROR(HEX2DEC(MID(("x"&amp;H71),34,8))&gt;=0,FALSE),IFERROR(HEX2DEC(MID(("x"&amp;H71),42,8))&gt;=0,FALSE),IFERROR(HEX2DEC(MID(("x"&amp;H71),50,8))&gt;=0,FALSE),IFERROR(HEX2DEC(MID(("x"&amp;H71),58,8))&gt;=0,FALSE)),AND(ISTEXT(I71),LEN(("x"&amp;I71))=65,EXACT(("x"&amp;I71),LOWER(("x"&amp;I71))),ISERROR(SEARCH(" ",("x"&amp;I71))),ISERROR(SEARCH(CHAR(9),("x"&amp;I71))),ISERROR(SEARCH(CHAR(10),("x"&amp;I71))),ISERROR(SEARCH(CHAR(13),("x"&amp;I71))),IFERROR(HEX2DEC(MID(("x"&amp;I71),2,8))&gt;=0,FALSE),IFERROR(HEX2DEC(MID(("x"&amp;I71),10,8))&gt;=0,FALSE),IFERROR(HEX2DEC(MID(("x"&amp;I71),18,8))&gt;=0,FALSE),IFERROR(HEX2DEC(MID(("x"&amp;I71),26,8))&gt;=0,FALSE),IFERROR(HEX2DEC(MID(("x"&amp;I71),34,8))&gt;=0,FALSE),IFERROR(HEX2DEC(MID(("x"&amp;I71),42,8))&gt;=0,FALSE),IFERROR(HEX2DEC(MID(("x"&amp;I71),50,8))&gt;=0,FALSE),IFERROR(HEX2DEC(MID(("x"&amp;I71),58,8))&gt;=0,FALSE))),IF(EXACT("x"&amp;H71,"x"&amp;I71),AA71,AB71),"LEXEMA_O_FORMA"),IF(W71="PRUEBA",IF(H71=X71,AA71,IF(H71=Z71,AB71,"LEXEMA_O_FORMA")),IF(W71="RETIRADA",IF(AND(H71="NINGUNO",I71=""),IF(J71="COMPLETA",AB71,"COBERTURA_INSUFICIENTE"),IF(AND(OR(H71="uoInstallation",H71="uoUninstallation"),OR(I71="orcSucceeded",I71="orcSucceededWithErrors",I71="orcFailed",I71="orcAborted",I71="orcInProgress",I71="orcNotStarted")),IF(AND(H71=X71,I71=Y71),AA71,IF(AND(H71=X71,OR(I71="orcSucceededWithErrors",I71="orcInProgress",I71="orcNotStarted")),"RESULTADO_RETIRADA_INCIERTO",IF(J71="COMPLETA",AB71,"COBERTURA_INSUFICIENTE"))),"LEXEMA_O_FORMA")),IF(W71="CAMBIO",IF(OR(H71="CAMBIO",H71="CAMBIO_Y_RETORNO"),AA71,IF(OR(H71="NINGUNO",H71="SOLO_RENOMBRE"),IF(J71="COMPLETA",AB71,"COBERTURA_INSUFICIENTE"),"LEXEMA_O_FORMA")),IF(W71="RESTAURACION",IF(H71=X71,AA71,IF(OR(H71="NINGUNO",H71="RESTAURACION_POSTERIOR",H71="RESTAURACION_FALLIDA"),IF(J71="COMPLETA",AB71,"COBERTURA_INSUFICIENTE"),"LEXEMA_O_FORMA")),"PERFIL_NO_CONSTITUIDO"))))))))))))))))))</x:f>
        <x:v>OBSERVACION_INSUFICIENTE</x:v>
      </x:c>
      <x:c r="R71" s="12" t="str">
        <x:f>IF(AND(L71=O71,M71=P71,N71=Q71),"PASA","NO_PASA")</x:f>
        <x:v>PASA</x:v>
      </x:c>
      <x:c r="S71" s="4" t="str">
        <x:v>Ruta, fichero o MODULEINFO no identifican inequívocamente la imagen cargada.</x:v>
      </x:c>
      <x:c r="T71" s="12" t="str">
        <x:f>IFERROR(INDEX('55_Codificacion_ensayo'!$B$5:$B$13,MATCH(B71,'55_Codificacion_ensayo'!$A$5:$A$13,0)),"")</x:f>
        <x:v>IDENTIDAD-IMAGEN-CARGADA-0.1</x:v>
      </x:c>
      <x:c r="U71" s="12" t="str">
        <x:f>IFERROR(INDEX('55_Codificacion_ensayo'!$C$5:$C$13,MATCH(B71,'55_Codificacion_ensayo'!$A$5:$A$13,0)),"")</x:f>
        <x:v>IMAGEN_CARGADA</x:v>
      </x:c>
      <x:c r="V71" s="12" t="str">
        <x:f>IFERROR(INDEX('55_Codificacion_ensayo'!$D$5:$D$13,MATCH(B71,'55_Codificacion_ensayo'!$A$5:$A$13,0)),"")</x:f>
        <x:v>METODO_ADMITIDO</x:v>
      </x:c>
      <x:c r="W71" s="12" t="str">
        <x:f>IFERROR(INDEX('55_Codificacion_ensayo'!$E$5:$E$13,MATCH(B71,'55_Codificacion_ensayo'!$A$5:$A$13,0)),"")</x:f>
        <x:v>IMAGEN</x:v>
      </x:c>
      <x:c r="X71" s="12" t="str">
        <x:f>IFERROR(INDEX('55_Codificacion_ensayo'!$F$5:$F$13,MATCH(B71,'55_Codificacion_ensayo'!$A$5:$A$13,0)),"")</x:f>
        <x:v>aaaaaaaaaaaaaaaaaaaaaaaaaaaaaaaaaaaaaaaaaaaaaaaaaaaaaaaaaaaaaaaa</x:v>
      </x:c>
      <x:c r="Y71" s="12" t="str">
        <x:f>IFERROR(INDEX('55_Codificacion_ensayo'!$G$5:$G$13,MATCH(B71,'55_Codificacion_ensayo'!$A$5:$A$13,0)),"")</x:f>
        <x:v>aaaaaaaaaaaaaaaaaaaaaaaaaaaaaaaaaaaaaaaaaaaaaaaaaaaaaaaaaaaaaaaa</x:v>
      </x:c>
      <x:c r="Z71" s="12" t="str">
        <x:f>IFERROR(INDEX('55_Codificacion_ensayo'!$H$5:$H$13,MATCH(B71,'55_Codificacion_ensayo'!$A$5:$A$13,0)),"")</x:f>
        <x:v>bbbbbbbbbbbbbbbbbbbbbbbbbbbbbbbbbbbbbbbbbbbbbbbbbbbbbbbbbbbbbbbb</x:v>
      </x:c>
      <x:c r="AA71" s="12" t="str">
        <x:f>IFERROR(INDEX('55_Codificacion_ensayo'!$I$5:$I$13,MATCH(B71,'55_Codificacion_ensayo'!$A$5:$A$13,0)),"")</x:f>
        <x:v>IMAGEN_OBJETIVO</x:v>
      </x:c>
      <x:c r="AB71" s="12" t="str">
        <x:f>IFERROR(INDEX('55_Codificacion_ensayo'!$J$5:$J$13,MATCH(B71,'55_Codificacion_ensayo'!$A$5:$A$13,0)),"")</x:f>
        <x:v>OTRA_IMAGEN</x:v>
      </x:c>
    </x:row>
    <x:row r="72" ht="47" customHeight="1">
      <x:c r="A72" s="4" t="str">
        <x:v>L10-06-14</x:v>
      </x:c>
      <x:c r="B72" s="4" t="str">
        <x:v>PAR-CYB-IMAGEN-OBJETIVO-ACTIVA-001</x:v>
      </x:c>
      <x:c r="C72" s="4" t="str">
        <x:v>IDENTIDAD-IMAGEN-CARGADA-0.1</x:v>
      </x:c>
      <x:c r="D72" s="4" t="str">
        <x:v>COINCIDE</x:v>
      </x:c>
      <x:c r="E72" s="4" t="str">
        <x:v>LEGIBLE</x:v>
      </x:c>
      <x:c r="F72" s="4" t="str">
        <x:v>IMAGEN_CARGADA</x:v>
      </x:c>
      <x:c r="G72" s="4" t="str">
        <x:v>UNICA</x:v>
      </x:c>
      <x:c r="H72" s="4" t="str">
        <x:v>aaaaaaaaaaaaaaaaaaaaaaaaaaaaaaaaaaaaaaaaaaaaaaaaaaaaaaaaaaaaaaa</x:v>
      </x:c>
      <x:c r="I72" s="4" t="str">
        <x:v>aaaaaaaaaaaaaaaaaaaaaaaaaaaaaaaaaaaaaaaaaaaaaaaaaaaaaaaaaaaaaaaa</x:v>
      </x:c>
      <x:c r="J72" s="4" t="str">
        <x:v>COMPLETA</x:v>
      </x:c>
      <x:c r="K72" s="4" t="str">
        <x:v>METODO_ADMITIDO</x:v>
      </x:c>
      <x:c r="L72" s="4" t="str">
        <x:v>NO_ADMISION</x:v>
      </x:c>
      <x:c r="M72" s="4" t="str"/>
      <x:c r="N72" s="4" t="str">
        <x:v>LEXEMA_O_FORMA</x:v>
      </x:c>
      <x:c r="O72" s="12" t="str">
        <x:f>IF(Q72="SIN_EJECUCION_DOMINIO","FALLO_CAPTURA",IF(OR(Q72="CAPTURA_MAL_FORMADA",Q72="IDENTIDAD",Q72="OBSERVACION_MAL_FORMADA",Q72="LEXEMA_O_FORMA"),"NO_ADMISION",IF(OR(Q72="PERFIL_NO_CONSTITUIDO",Q72="RESULTADO_NO_TERMINAL"),"FUERA_PERFIL",IF(Q72="CONTEXTO_NO_CONSTITUIDO","CONFIGURACION_PENDIENTE","VALIDA"))))</x:f>
        <x:v>NO_ADMISION</x:v>
      </x:c>
      <x:c r="P72" s="12" t="str">
        <x:f>IF(O72&lt;&gt;"VALIDA","",IF(Q72=AA72,"1",IF(Q72=AB72,"0","U")))</x:f>
      </x:c>
      <x:c r="Q72" s="12" t="str">
        <x:f>IF(E72="FALLO","SIN_EJECUCION_DOMINIO",IF(E72&lt;&gt;"LEGIBLE","CAPTURA_MAL_FORMADA",IF(D72&lt;&gt;"COINCIDE","IDENTIDAD",IF(OR(T72="",C72&lt;&gt;T72),"PERFIL_NO_CONSTITUIDO",IF(K72&lt;&gt;V72,IF(V72="ORDEN_ACREDITADO","ORDEN_NO_ACREDITADO","CONTEXTO_NO_CONSTITUIDO"),IF(AND(G72="AUSENTE",H72="",I72=""),"DATO_AUSENTE",IF(AND(G72="CONFLICTO",H72="",I72=""),"CONFLICTO_OBSERVACIONAL",IF(G72&lt;&gt;"UNICA","OBSERVACION_MAL_FORMADA",IF(F72&lt;&gt;U72,"OBSERVACION_INSUFICIENTE",IF(W72="RESULTADO",IF(H72=X72,AA72,IF(OR(H72="orcSucceededWithErrors",H72="orcFailed",H72="orcAborted"),AB72,IF(OR(H72="orcNotStarted",H72="orcInProgress"),"RESULTADO_NO_TERMINAL","LEXEMA_O_FORMA"))),IF(W72="EVENTO_BOOT",IF(H72=X72,AA72,IF(OR(H72="NINGUNO",H72="SOLO_HIBRIDO"),IF(J72="COMPLETA",AB72,"COBERTURA_INSUFICIENTE"),"LEXEMA_O_FORMA")),IF(W72="REQUISITO_SOFT",IF(H72=X72,AA72,IF(H72=Z72,AB72,"LEXEMA_O_FORMA")),IF(W72="EVENTO_PROC",IF(H72=X72,AA72,IF(H72=Z72,IF(J72="COMPLETA",AB72,"COBERTURA_INSUFICIENTE"),"LEXEMA_O_FORMA")),IF(W72="IMAGEN",IF(AND(AND(ISTEXT(H72),LEN(("x"&amp;H72))=65,EXACT(("x"&amp;H72),LOWER(("x"&amp;H72))),ISERROR(SEARCH(" ",("x"&amp;H72))),ISERROR(SEARCH(CHAR(9),("x"&amp;H72))),ISERROR(SEARCH(CHAR(10),("x"&amp;H72))),ISERROR(SEARCH(CHAR(13),("x"&amp;H72))),IFERROR(HEX2DEC(MID(("x"&amp;H72),2,8))&gt;=0,FALSE),IFERROR(HEX2DEC(MID(("x"&amp;H72),10,8))&gt;=0,FALSE),IFERROR(HEX2DEC(MID(("x"&amp;H72),18,8))&gt;=0,FALSE),IFERROR(HEX2DEC(MID(("x"&amp;H72),26,8))&gt;=0,FALSE),IFERROR(HEX2DEC(MID(("x"&amp;H72),34,8))&gt;=0,FALSE),IFERROR(HEX2DEC(MID(("x"&amp;H72),42,8))&gt;=0,FALSE),IFERROR(HEX2DEC(MID(("x"&amp;H72),50,8))&gt;=0,FALSE),IFERROR(HEX2DEC(MID(("x"&amp;H72),58,8))&gt;=0,FALSE)),AND(ISTEXT(I72),LEN(("x"&amp;I72))=65,EXACT(("x"&amp;I72),LOWER(("x"&amp;I72))),ISERROR(SEARCH(" ",("x"&amp;I72))),ISERROR(SEARCH(CHAR(9),("x"&amp;I72))),ISERROR(SEARCH(CHAR(10),("x"&amp;I72))),ISERROR(SEARCH(CHAR(13),("x"&amp;I72))),IFERROR(HEX2DEC(MID(("x"&amp;I72),2,8))&gt;=0,FALSE),IFERROR(HEX2DEC(MID(("x"&amp;I72),10,8))&gt;=0,FALSE),IFERROR(HEX2DEC(MID(("x"&amp;I72),18,8))&gt;=0,FALSE),IFERROR(HEX2DEC(MID(("x"&amp;I72),26,8))&gt;=0,FALSE),IFERROR(HEX2DEC(MID(("x"&amp;I72),34,8))&gt;=0,FALSE),IFERROR(HEX2DEC(MID(("x"&amp;I72),42,8))&gt;=0,FALSE),IFERROR(HEX2DEC(MID(("x"&amp;I72),50,8))&gt;=0,FALSE),IFERROR(HEX2DEC(MID(("x"&amp;I72),58,8))&gt;=0,FALSE))),IF(EXACT("x"&amp;H72,"x"&amp;I72),AA72,AB72),"LEXEMA_O_FORMA"),IF(W72="PRUEBA",IF(H72=X72,AA72,IF(H72=Z72,AB72,"LEXEMA_O_FORMA")),IF(W72="RETIRADA",IF(AND(H72="NINGUNO",I72=""),IF(J72="COMPLETA",AB72,"COBERTURA_INSUFICIENTE"),IF(AND(OR(H72="uoInstallation",H72="uoUninstallation"),OR(I72="orcSucceeded",I72="orcSucceededWithErrors",I72="orcFailed",I72="orcAborted",I72="orcInProgress",I72="orcNotStarted")),IF(AND(H72=X72,I72=Y72),AA72,IF(AND(H72=X72,OR(I72="orcSucceededWithErrors",I72="orcInProgress",I72="orcNotStarted")),"RESULTADO_RETIRADA_INCIERTO",IF(J72="COMPLETA",AB72,"COBERTURA_INSUFICIENTE"))),"LEXEMA_O_FORMA")),IF(W72="CAMBIO",IF(OR(H72="CAMBIO",H72="CAMBIO_Y_RETORNO"),AA72,IF(OR(H72="NINGUNO",H72="SOLO_RENOMBRE"),IF(J72="COMPLETA",AB72,"COBERTURA_INSUFICIENTE"),"LEXEMA_O_FORMA")),IF(W72="RESTAURACION",IF(H72=X72,AA72,IF(OR(H72="NINGUNO",H72="RESTAURACION_POSTERIOR",H72="RESTAURACION_FALLIDA"),IF(J72="COMPLETA",AB72,"COBERTURA_INSUFICIENTE"),"LEXEMA_O_FORMA")),"PERFIL_NO_CONSTITUIDO"))))))))))))))))))</x:f>
        <x:v>LEXEMA_O_FORMA</x:v>
      </x:c>
      <x:c r="R72" s="12" t="str">
        <x:f>IF(AND(L72=O72,M72=P72,N72=Q72),"PASA","NO_PASA")</x:f>
        <x:v>PASA</x:v>
      </x:c>
      <x:c r="S72" s="4" t="str">
        <x:v>Huella con longitud incorrecta no se compara como identidad admitida.</x:v>
      </x:c>
      <x:c r="T72" s="12" t="str">
        <x:f>IFERROR(INDEX('55_Codificacion_ensayo'!$B$5:$B$13,MATCH(B72,'55_Codificacion_ensayo'!$A$5:$A$13,0)),"")</x:f>
        <x:v>IDENTIDAD-IMAGEN-CARGADA-0.1</x:v>
      </x:c>
      <x:c r="U72" s="12" t="str">
        <x:f>IFERROR(INDEX('55_Codificacion_ensayo'!$C$5:$C$13,MATCH(B72,'55_Codificacion_ensayo'!$A$5:$A$13,0)),"")</x:f>
        <x:v>IMAGEN_CARGADA</x:v>
      </x:c>
      <x:c r="V72" s="12" t="str">
        <x:f>IFERROR(INDEX('55_Codificacion_ensayo'!$D$5:$D$13,MATCH(B72,'55_Codificacion_ensayo'!$A$5:$A$13,0)),"")</x:f>
        <x:v>METODO_ADMITIDO</x:v>
      </x:c>
      <x:c r="W72" s="12" t="str">
        <x:f>IFERROR(INDEX('55_Codificacion_ensayo'!$E$5:$E$13,MATCH(B72,'55_Codificacion_ensayo'!$A$5:$A$13,0)),"")</x:f>
        <x:v>IMAGEN</x:v>
      </x:c>
      <x:c r="X72" s="12" t="str">
        <x:f>IFERROR(INDEX('55_Codificacion_ensayo'!$F$5:$F$13,MATCH(B72,'55_Codificacion_ensayo'!$A$5:$A$13,0)),"")</x:f>
        <x:v>aaaaaaaaaaaaaaaaaaaaaaaaaaaaaaaaaaaaaaaaaaaaaaaaaaaaaaaaaaaaaaaa</x:v>
      </x:c>
      <x:c r="Y72" s="12" t="str">
        <x:f>IFERROR(INDEX('55_Codificacion_ensayo'!$G$5:$G$13,MATCH(B72,'55_Codificacion_ensayo'!$A$5:$A$13,0)),"")</x:f>
        <x:v>aaaaaaaaaaaaaaaaaaaaaaaaaaaaaaaaaaaaaaaaaaaaaaaaaaaaaaaaaaaaaaaa</x:v>
      </x:c>
      <x:c r="Z72" s="12" t="str">
        <x:f>IFERROR(INDEX('55_Codificacion_ensayo'!$H$5:$H$13,MATCH(B72,'55_Codificacion_ensayo'!$A$5:$A$13,0)),"")</x:f>
        <x:v>bbbbbbbbbbbbbbbbbbbbbbbbbbbbbbbbbbbbbbbbbbbbbbbbbbbbbbbbbbbbbbbb</x:v>
      </x:c>
      <x:c r="AA72" s="12" t="str">
        <x:f>IFERROR(INDEX('55_Codificacion_ensayo'!$I$5:$I$13,MATCH(B72,'55_Codificacion_ensayo'!$A$5:$A$13,0)),"")</x:f>
        <x:v>IMAGEN_OBJETIVO</x:v>
      </x:c>
      <x:c r="AB72" s="12" t="str">
        <x:f>IFERROR(INDEX('55_Codificacion_ensayo'!$J$5:$J$13,MATCH(B72,'55_Codificacion_ensayo'!$A$5:$A$13,0)),"")</x:f>
        <x:v>OTRA_IMAGEN</x:v>
      </x:c>
    </x:row>
    <x:row r="73" ht="47" customHeight="1">
      <x:c r="A73" s="4" t="str">
        <x:v>L10-06-15</x:v>
      </x:c>
      <x:c r="B73" s="4" t="str">
        <x:v>PAR-CYB-IMAGEN-OBJETIVO-ACTIVA-001</x:v>
      </x:c>
      <x:c r="C73" s="4" t="str">
        <x:v>IDENTIDAD-IMAGEN-CARGADA-0.1</x:v>
      </x:c>
      <x:c r="D73" s="4" t="str">
        <x:v>COINCIDE</x:v>
      </x:c>
      <x:c r="E73" s="4" t="str">
        <x:v>LEGIBLE</x:v>
      </x:c>
      <x:c r="F73" s="4" t="str">
        <x:v>IMAGEN_CARGADA</x:v>
      </x:c>
      <x:c r="G73" s="4" t="str">
        <x:v>UNICA</x:v>
      </x:c>
      <x:c r="H73" s="4" t="str">
        <x:v>AAAAAAAAAAAAAAAAAAAAAAAAAAAAAAAAAAAAAAAAAAAAAAAAAAAAAAAAAAAAAAAA</x:v>
      </x:c>
      <x:c r="I73" s="4" t="str">
        <x:v>aaaaaaaaaaaaaaaaaaaaaaaaaaaaaaaaaaaaaaaaaaaaaaaaaaaaaaaaaaaaaaaa</x:v>
      </x:c>
      <x:c r="J73" s="4" t="str">
        <x:v>COMPLETA</x:v>
      </x:c>
      <x:c r="K73" s="4" t="str">
        <x:v>METODO_ADMITIDO</x:v>
      </x:c>
      <x:c r="L73" s="4" t="str">
        <x:v>NO_ADMISION</x:v>
      </x:c>
      <x:c r="M73" s="4" t="str"/>
      <x:c r="N73" s="4" t="str">
        <x:v>LEXEMA_O_FORMA</x:v>
      </x:c>
      <x:c r="O73" s="12" t="str">
        <x:f>IF(Q73="SIN_EJECUCION_DOMINIO","FALLO_CAPTURA",IF(OR(Q73="CAPTURA_MAL_FORMADA",Q73="IDENTIDAD",Q73="OBSERVACION_MAL_FORMADA",Q73="LEXEMA_O_FORMA"),"NO_ADMISION",IF(OR(Q73="PERFIL_NO_CONSTITUIDO",Q73="RESULTADO_NO_TERMINAL"),"FUERA_PERFIL",IF(Q73="CONTEXTO_NO_CONSTITUIDO","CONFIGURACION_PENDIENTE","VALIDA"))))</x:f>
        <x:v>NO_ADMISION</x:v>
      </x:c>
      <x:c r="P73" s="12" t="str">
        <x:f>IF(O73&lt;&gt;"VALIDA","",IF(Q73=AA73,"1",IF(Q73=AB73,"0","U")))</x:f>
      </x:c>
      <x:c r="Q73" s="12" t="str">
        <x:f>IF(E73="FALLO","SIN_EJECUCION_DOMINIO",IF(E73&lt;&gt;"LEGIBLE","CAPTURA_MAL_FORMADA",IF(D73&lt;&gt;"COINCIDE","IDENTIDAD",IF(OR(T73="",C73&lt;&gt;T73),"PERFIL_NO_CONSTITUIDO",IF(K73&lt;&gt;V73,IF(V73="ORDEN_ACREDITADO","ORDEN_NO_ACREDITADO","CONTEXTO_NO_CONSTITUIDO"),IF(AND(G73="AUSENTE",H73="",I73=""),"DATO_AUSENTE",IF(AND(G73="CONFLICTO",H73="",I73=""),"CONFLICTO_OBSERVACIONAL",IF(G73&lt;&gt;"UNICA","OBSERVACION_MAL_FORMADA",IF(F73&lt;&gt;U73,"OBSERVACION_INSUFICIENTE",IF(W73="RESULTADO",IF(H73=X73,AA73,IF(OR(H73="orcSucceededWithErrors",H73="orcFailed",H73="orcAborted"),AB73,IF(OR(H73="orcNotStarted",H73="orcInProgress"),"RESULTADO_NO_TERMINAL","LEXEMA_O_FORMA"))),IF(W73="EVENTO_BOOT",IF(H73=X73,AA73,IF(OR(H73="NINGUNO",H73="SOLO_HIBRIDO"),IF(J73="COMPLETA",AB73,"COBERTURA_INSUFICIENTE"),"LEXEMA_O_FORMA")),IF(W73="REQUISITO_SOFT",IF(H73=X73,AA73,IF(H73=Z73,AB73,"LEXEMA_O_FORMA")),IF(W73="EVENTO_PROC",IF(H73=X73,AA73,IF(H73=Z73,IF(J73="COMPLETA",AB73,"COBERTURA_INSUFICIENTE"),"LEXEMA_O_FORMA")),IF(W73="IMAGEN",IF(AND(AND(ISTEXT(H73),LEN(("x"&amp;H73))=65,EXACT(("x"&amp;H73),LOWER(("x"&amp;H73))),ISERROR(SEARCH(" ",("x"&amp;H73))),ISERROR(SEARCH(CHAR(9),("x"&amp;H73))),ISERROR(SEARCH(CHAR(10),("x"&amp;H73))),ISERROR(SEARCH(CHAR(13),("x"&amp;H73))),IFERROR(HEX2DEC(MID(("x"&amp;H73),2,8))&gt;=0,FALSE),IFERROR(HEX2DEC(MID(("x"&amp;H73),10,8))&gt;=0,FALSE),IFERROR(HEX2DEC(MID(("x"&amp;H73),18,8))&gt;=0,FALSE),IFERROR(HEX2DEC(MID(("x"&amp;H73),26,8))&gt;=0,FALSE),IFERROR(HEX2DEC(MID(("x"&amp;H73),34,8))&gt;=0,FALSE),IFERROR(HEX2DEC(MID(("x"&amp;H73),42,8))&gt;=0,FALSE),IFERROR(HEX2DEC(MID(("x"&amp;H73),50,8))&gt;=0,FALSE),IFERROR(HEX2DEC(MID(("x"&amp;H73),58,8))&gt;=0,FALSE)),AND(ISTEXT(I73),LEN(("x"&amp;I73))=65,EXACT(("x"&amp;I73),LOWER(("x"&amp;I73))),ISERROR(SEARCH(" ",("x"&amp;I73))),ISERROR(SEARCH(CHAR(9),("x"&amp;I73))),ISERROR(SEARCH(CHAR(10),("x"&amp;I73))),ISERROR(SEARCH(CHAR(13),("x"&amp;I73))),IFERROR(HEX2DEC(MID(("x"&amp;I73),2,8))&gt;=0,FALSE),IFERROR(HEX2DEC(MID(("x"&amp;I73),10,8))&gt;=0,FALSE),IFERROR(HEX2DEC(MID(("x"&amp;I73),18,8))&gt;=0,FALSE),IFERROR(HEX2DEC(MID(("x"&amp;I73),26,8))&gt;=0,FALSE),IFERROR(HEX2DEC(MID(("x"&amp;I73),34,8))&gt;=0,FALSE),IFERROR(HEX2DEC(MID(("x"&amp;I73),42,8))&gt;=0,FALSE),IFERROR(HEX2DEC(MID(("x"&amp;I73),50,8))&gt;=0,FALSE),IFERROR(HEX2DEC(MID(("x"&amp;I73),58,8))&gt;=0,FALSE))),IF(EXACT("x"&amp;H73,"x"&amp;I73),AA73,AB73),"LEXEMA_O_FORMA"),IF(W73="PRUEBA",IF(H73=X73,AA73,IF(H73=Z73,AB73,"LEXEMA_O_FORMA")),IF(W73="RETIRADA",IF(AND(H73="NINGUNO",I73=""),IF(J73="COMPLETA",AB73,"COBERTURA_INSUFICIENTE"),IF(AND(OR(H73="uoInstallation",H73="uoUninstallation"),OR(I73="orcSucceeded",I73="orcSucceededWithErrors",I73="orcFailed",I73="orcAborted",I73="orcInProgress",I73="orcNotStarted")),IF(AND(H73=X73,I73=Y73),AA73,IF(AND(H73=X73,OR(I73="orcSucceededWithErrors",I73="orcInProgress",I73="orcNotStarted")),"RESULTADO_RETIRADA_INCIERTO",IF(J73="COMPLETA",AB73,"COBERTURA_INSUFICIENTE"))),"LEXEMA_O_FORMA")),IF(W73="CAMBIO",IF(OR(H73="CAMBIO",H73="CAMBIO_Y_RETORNO"),AA73,IF(OR(H73="NINGUNO",H73="SOLO_RENOMBRE"),IF(J73="COMPLETA",AB73,"COBERTURA_INSUFICIENTE"),"LEXEMA_O_FORMA")),IF(W73="RESTAURACION",IF(H73=X73,AA73,IF(OR(H73="NINGUNO",H73="RESTAURACION_POSTERIOR",H73="RESTAURACION_FALLIDA"),IF(J73="COMPLETA",AB73,"COBERTURA_INSUFICIENTE"),"LEXEMA_O_FORMA")),"PERFIL_NO_CONSTITUIDO"))))))))))))))))))</x:f>
        <x:v>LEXEMA_O_FORMA</x:v>
      </x:c>
      <x:c r="R73" s="12" t="str">
        <x:f>IF(AND(L73=O73,M73=P73,N73=Q73),"PASA","NO_PASA")</x:f>
        <x:v>PASA</x:v>
      </x:c>
      <x:c r="S73" s="4" t="str">
        <x:v>La codificación exige hexadecimal canónico minúsculo, no conversión implícita.</x:v>
      </x:c>
      <x:c r="T73" s="12" t="str">
        <x:f>IFERROR(INDEX('55_Codificacion_ensayo'!$B$5:$B$13,MATCH(B73,'55_Codificacion_ensayo'!$A$5:$A$13,0)),"")</x:f>
        <x:v>IDENTIDAD-IMAGEN-CARGADA-0.1</x:v>
      </x:c>
      <x:c r="U73" s="12" t="str">
        <x:f>IFERROR(INDEX('55_Codificacion_ensayo'!$C$5:$C$13,MATCH(B73,'55_Codificacion_ensayo'!$A$5:$A$13,0)),"")</x:f>
        <x:v>IMAGEN_CARGADA</x:v>
      </x:c>
      <x:c r="V73" s="12" t="str">
        <x:f>IFERROR(INDEX('55_Codificacion_ensayo'!$D$5:$D$13,MATCH(B73,'55_Codificacion_ensayo'!$A$5:$A$13,0)),"")</x:f>
        <x:v>METODO_ADMITIDO</x:v>
      </x:c>
      <x:c r="W73" s="12" t="str">
        <x:f>IFERROR(INDEX('55_Codificacion_ensayo'!$E$5:$E$13,MATCH(B73,'55_Codificacion_ensayo'!$A$5:$A$13,0)),"")</x:f>
        <x:v>IMAGEN</x:v>
      </x:c>
      <x:c r="X73" s="12" t="str">
        <x:f>IFERROR(INDEX('55_Codificacion_ensayo'!$F$5:$F$13,MATCH(B73,'55_Codificacion_ensayo'!$A$5:$A$13,0)),"")</x:f>
        <x:v>aaaaaaaaaaaaaaaaaaaaaaaaaaaaaaaaaaaaaaaaaaaaaaaaaaaaaaaaaaaaaaaa</x:v>
      </x:c>
      <x:c r="Y73" s="12" t="str">
        <x:f>IFERROR(INDEX('55_Codificacion_ensayo'!$G$5:$G$13,MATCH(B73,'55_Codificacion_ensayo'!$A$5:$A$13,0)),"")</x:f>
        <x:v>aaaaaaaaaaaaaaaaaaaaaaaaaaaaaaaaaaaaaaaaaaaaaaaaaaaaaaaaaaaaaaaa</x:v>
      </x:c>
      <x:c r="Z73" s="12" t="str">
        <x:f>IFERROR(INDEX('55_Codificacion_ensayo'!$H$5:$H$13,MATCH(B73,'55_Codificacion_ensayo'!$A$5:$A$13,0)),"")</x:f>
        <x:v>bbbbbbbbbbbbbbbbbbbbbbbbbbbbbbbbbbbbbbbbbbbbbbbbbbbbbbbbbbbbbbbb</x:v>
      </x:c>
      <x:c r="AA73" s="12" t="str">
        <x:f>IFERROR(INDEX('55_Codificacion_ensayo'!$I$5:$I$13,MATCH(B73,'55_Codificacion_ensayo'!$A$5:$A$13,0)),"")</x:f>
        <x:v>IMAGEN_OBJETIVO</x:v>
      </x:c>
      <x:c r="AB73" s="12" t="str">
        <x:f>IFERROR(INDEX('55_Codificacion_ensayo'!$J$5:$J$13,MATCH(B73,'55_Codificacion_ensayo'!$A$5:$A$13,0)),"")</x:f>
        <x:v>OTRA_IMAGEN</x:v>
      </x:c>
    </x:row>
    <x:row r="74" ht="47" customHeight="1">
      <x:c r="A74" s="4" t="str">
        <x:v>L10-06-16</x:v>
      </x:c>
      <x:c r="B74" s="4" t="str">
        <x:v>PAR-CYB-IMAGEN-OBJETIVO-ACTIVA-001</x:v>
      </x:c>
      <x:c r="C74" s="4" t="str">
        <x:v>IDENTIDAD-IMAGEN-CARGADA-0.1</x:v>
      </x:c>
      <x:c r="D74" s="4" t="str">
        <x:v>COINCIDE</x:v>
      </x:c>
      <x:c r="E74" s="4" t="str">
        <x:v>LEGIBLE</x:v>
      </x:c>
      <x:c r="F74" s="4" t="str">
        <x:v>IMAGEN_CARGADA</x:v>
      </x:c>
      <x:c r="G74" s="4" t="str">
        <x:v>UNICA</x:v>
      </x:c>
      <x:c r="H74" s="4" t="str">
        <x:v>0000000000000000000000000000000000000000000000000000000000000001</x:v>
      </x:c>
      <x:c r="I74" s="4" t="str">
        <x:v>0000000000000000000000000000000000000000000000000000000000000001</x:v>
      </x:c>
      <x:c r="J74" s="4" t="str">
        <x:v>COMPLETA</x:v>
      </x:c>
      <x:c r="K74" s="4" t="str">
        <x:v>METODO_ADMITIDO</x:v>
      </x:c>
      <x:c r="L74" s="4" t="str">
        <x:v>VALIDA</x:v>
      </x:c>
      <x:c r="M74" s="4" t="str">
        <x:v>1</x:v>
      </x:c>
      <x:c r="N74" s="4" t="str">
        <x:v>IMAGEN_OBJETIVO</x:v>
      </x:c>
      <x:c r="O74" s="12" t="str">
        <x:f>IF(Q74="SIN_EJECUCION_DOMINIO","FALLO_CAPTURA",IF(OR(Q74="CAPTURA_MAL_FORMADA",Q74="IDENTIDAD",Q74="OBSERVACION_MAL_FORMADA",Q74="LEXEMA_O_FORMA"),"NO_ADMISION",IF(OR(Q74="PERFIL_NO_CONSTITUIDO",Q74="RESULTADO_NO_TERMINAL"),"FUERA_PERFIL",IF(Q74="CONTEXTO_NO_CONSTITUIDO","CONFIGURACION_PENDIENTE","VALIDA"))))</x:f>
        <x:v>VALIDA</x:v>
      </x:c>
      <x:c r="P74" s="12" t="str">
        <x:f>IF(O74&lt;&gt;"VALIDA","",IF(Q74=AA74,"1",IF(Q74=AB74,"0","U")))</x:f>
        <x:v>1</x:v>
      </x:c>
      <x:c r="Q74" s="12" t="str">
        <x:f>IF(E74="FALLO","SIN_EJECUCION_DOMINIO",IF(E74&lt;&gt;"LEGIBLE","CAPTURA_MAL_FORMADA",IF(D74&lt;&gt;"COINCIDE","IDENTIDAD",IF(OR(T74="",C74&lt;&gt;T74),"PERFIL_NO_CONSTITUIDO",IF(K74&lt;&gt;V74,IF(V74="ORDEN_ACREDITADO","ORDEN_NO_ACREDITADO","CONTEXTO_NO_CONSTITUIDO"),IF(AND(G74="AUSENTE",H74="",I74=""),"DATO_AUSENTE",IF(AND(G74="CONFLICTO",H74="",I74=""),"CONFLICTO_OBSERVACIONAL",IF(G74&lt;&gt;"UNICA","OBSERVACION_MAL_FORMADA",IF(F74&lt;&gt;U74,"OBSERVACION_INSUFICIENTE",IF(W74="RESULTADO",IF(H74=X74,AA74,IF(OR(H74="orcSucceededWithErrors",H74="orcFailed",H74="orcAborted"),AB74,IF(OR(H74="orcNotStarted",H74="orcInProgress"),"RESULTADO_NO_TERMINAL","LEXEMA_O_FORMA"))),IF(W74="EVENTO_BOOT",IF(H74=X74,AA74,IF(OR(H74="NINGUNO",H74="SOLO_HIBRIDO"),IF(J74="COMPLETA",AB74,"COBERTURA_INSUFICIENTE"),"LEXEMA_O_FORMA")),IF(W74="REQUISITO_SOFT",IF(H74=X74,AA74,IF(H74=Z74,AB74,"LEXEMA_O_FORMA")),IF(W74="EVENTO_PROC",IF(H74=X74,AA74,IF(H74=Z74,IF(J74="COMPLETA",AB74,"COBERTURA_INSUFICIENTE"),"LEXEMA_O_FORMA")),IF(W74="IMAGEN",IF(AND(AND(ISTEXT(H74),LEN(("x"&amp;H74))=65,EXACT(("x"&amp;H74),LOWER(("x"&amp;H74))),ISERROR(SEARCH(" ",("x"&amp;H74))),ISERROR(SEARCH(CHAR(9),("x"&amp;H74))),ISERROR(SEARCH(CHAR(10),("x"&amp;H74))),ISERROR(SEARCH(CHAR(13),("x"&amp;H74))),IFERROR(HEX2DEC(MID(("x"&amp;H74),2,8))&gt;=0,FALSE),IFERROR(HEX2DEC(MID(("x"&amp;H74),10,8))&gt;=0,FALSE),IFERROR(HEX2DEC(MID(("x"&amp;H74),18,8))&gt;=0,FALSE),IFERROR(HEX2DEC(MID(("x"&amp;H74),26,8))&gt;=0,FALSE),IFERROR(HEX2DEC(MID(("x"&amp;H74),34,8))&gt;=0,FALSE),IFERROR(HEX2DEC(MID(("x"&amp;H74),42,8))&gt;=0,FALSE),IFERROR(HEX2DEC(MID(("x"&amp;H74),50,8))&gt;=0,FALSE),IFERROR(HEX2DEC(MID(("x"&amp;H74),58,8))&gt;=0,FALSE)),AND(ISTEXT(I74),LEN(("x"&amp;I74))=65,EXACT(("x"&amp;I74),LOWER(("x"&amp;I74))),ISERROR(SEARCH(" ",("x"&amp;I74))),ISERROR(SEARCH(CHAR(9),("x"&amp;I74))),ISERROR(SEARCH(CHAR(10),("x"&amp;I74))),ISERROR(SEARCH(CHAR(13),("x"&amp;I74))),IFERROR(HEX2DEC(MID(("x"&amp;I74),2,8))&gt;=0,FALSE),IFERROR(HEX2DEC(MID(("x"&amp;I74),10,8))&gt;=0,FALSE),IFERROR(HEX2DEC(MID(("x"&amp;I74),18,8))&gt;=0,FALSE),IFERROR(HEX2DEC(MID(("x"&amp;I74),26,8))&gt;=0,FALSE),IFERROR(HEX2DEC(MID(("x"&amp;I74),34,8))&gt;=0,FALSE),IFERROR(HEX2DEC(MID(("x"&amp;I74),42,8))&gt;=0,FALSE),IFERROR(HEX2DEC(MID(("x"&amp;I74),50,8))&gt;=0,FALSE),IFERROR(HEX2DEC(MID(("x"&amp;I74),58,8))&gt;=0,FALSE))),IF(EXACT("x"&amp;H74,"x"&amp;I74),AA74,AB74),"LEXEMA_O_FORMA"),IF(W74="PRUEBA",IF(H74=X74,AA74,IF(H74=Z74,AB74,"LEXEMA_O_FORMA")),IF(W74="RETIRADA",IF(AND(H74="NINGUNO",I74=""),IF(J74="COMPLETA",AB74,"COBERTURA_INSUFICIENTE"),IF(AND(OR(H74="uoInstallation",H74="uoUninstallation"),OR(I74="orcSucceeded",I74="orcSucceededWithErrors",I74="orcFailed",I74="orcAborted",I74="orcInProgress",I74="orcNotStarted")),IF(AND(H74=X74,I74=Y74),AA74,IF(AND(H74=X74,OR(I74="orcSucceededWithErrors",I74="orcInProgress",I74="orcNotStarted")),"RESULTADO_RETIRADA_INCIERTO",IF(J74="COMPLETA",AB74,"COBERTURA_INSUFICIENTE"))),"LEXEMA_O_FORMA")),IF(W74="CAMBIO",IF(OR(H74="CAMBIO",H74="CAMBIO_Y_RETORNO"),AA74,IF(OR(H74="NINGUNO",H74="SOLO_RENOMBRE"),IF(J74="COMPLETA",AB74,"COBERTURA_INSUFICIENTE"),"LEXEMA_O_FORMA")),IF(W74="RESTAURACION",IF(H74=X74,AA74,IF(OR(H74="NINGUNO",H74="RESTAURACION_POSTERIOR",H74="RESTAURACION_FALLIDA"),IF(J74="COMPLETA",AB74,"COBERTURA_INSUFICIENTE"),"LEXEMA_O_FORMA")),"PERFIL_NO_CONSTITUIDO"))))))))))))))))))</x:f>
        <x:v>IMAGEN_OBJETIVO</x:v>
      </x:c>
      <x:c r="R74" s="12" t="str">
        <x:f>IF(AND(L74=O74,M74=P74,N74=Q74),"PASA","NO_PASA")</x:f>
        <x:v>PASA</x:v>
      </x:c>
      <x:c r="S74" s="4" t="str">
        <x:v>Ceros iniciales se conservan como texto de identidad.</x:v>
      </x:c>
      <x:c r="T74" s="12" t="str">
        <x:f>IFERROR(INDEX('55_Codificacion_ensayo'!$B$5:$B$13,MATCH(B74,'55_Codificacion_ensayo'!$A$5:$A$13,0)),"")</x:f>
        <x:v>IDENTIDAD-IMAGEN-CARGADA-0.1</x:v>
      </x:c>
      <x:c r="U74" s="12" t="str">
        <x:f>IFERROR(INDEX('55_Codificacion_ensayo'!$C$5:$C$13,MATCH(B74,'55_Codificacion_ensayo'!$A$5:$A$13,0)),"")</x:f>
        <x:v>IMAGEN_CARGADA</x:v>
      </x:c>
      <x:c r="V74" s="12" t="str">
        <x:f>IFERROR(INDEX('55_Codificacion_ensayo'!$D$5:$D$13,MATCH(B74,'55_Codificacion_ensayo'!$A$5:$A$13,0)),"")</x:f>
        <x:v>METODO_ADMITIDO</x:v>
      </x:c>
      <x:c r="W74" s="12" t="str">
        <x:f>IFERROR(INDEX('55_Codificacion_ensayo'!$E$5:$E$13,MATCH(B74,'55_Codificacion_ensayo'!$A$5:$A$13,0)),"")</x:f>
        <x:v>IMAGEN</x:v>
      </x:c>
      <x:c r="X74" s="12" t="str">
        <x:f>IFERROR(INDEX('55_Codificacion_ensayo'!$F$5:$F$13,MATCH(B74,'55_Codificacion_ensayo'!$A$5:$A$13,0)),"")</x:f>
        <x:v>aaaaaaaaaaaaaaaaaaaaaaaaaaaaaaaaaaaaaaaaaaaaaaaaaaaaaaaaaaaaaaaa</x:v>
      </x:c>
      <x:c r="Y74" s="12" t="str">
        <x:f>IFERROR(INDEX('55_Codificacion_ensayo'!$G$5:$G$13,MATCH(B74,'55_Codificacion_ensayo'!$A$5:$A$13,0)),"")</x:f>
        <x:v>aaaaaaaaaaaaaaaaaaaaaaaaaaaaaaaaaaaaaaaaaaaaaaaaaaaaaaaaaaaaaaaa</x:v>
      </x:c>
      <x:c r="Z74" s="12" t="str">
        <x:f>IFERROR(INDEX('55_Codificacion_ensayo'!$H$5:$H$13,MATCH(B74,'55_Codificacion_ensayo'!$A$5:$A$13,0)),"")</x:f>
        <x:v>bbbbbbbbbbbbbbbbbbbbbbbbbbbbbbbbbbbbbbbbbbbbbbbbbbbbbbbbbbbbbbbb</x:v>
      </x:c>
      <x:c r="AA74" s="12" t="str">
        <x:f>IFERROR(INDEX('55_Codificacion_ensayo'!$I$5:$I$13,MATCH(B74,'55_Codificacion_ensayo'!$A$5:$A$13,0)),"")</x:f>
        <x:v>IMAGEN_OBJETIVO</x:v>
      </x:c>
      <x:c r="AB74" s="12" t="str">
        <x:f>IFERROR(INDEX('55_Codificacion_ensayo'!$J$5:$J$13,MATCH(B74,'55_Codificacion_ensayo'!$A$5:$A$13,0)),"")</x:f>
        <x:v>OTRA_IMAGEN</x:v>
      </x:c>
    </x:row>
    <x:row r="75" ht="47" customHeight="1">
      <x:c r="A75" s="4" t="str">
        <x:v>L10-07-01</x:v>
      </x:c>
      <x:c r="B75" s="4" t="str">
        <x:v>PAR-CYB-COMPROBACION-POSITIVA-001</x:v>
      </x:c>
      <x:c r="C75" s="4" t="str">
        <x:v>COMPROBACION-CRITERIO-UNITARIO-0.1</x:v>
      </x:c>
      <x:c r="D75" s="4" t="str">
        <x:v>COINCIDE</x:v>
      </x:c>
      <x:c r="E75" s="4" t="str">
        <x:v>LEGIBLE</x:v>
      </x:c>
      <x:c r="F75" s="4" t="str">
        <x:v>INFORME_PRUEBA</x:v>
      </x:c>
      <x:c r="G75" s="4" t="str">
        <x:v>UNICA</x:v>
      </x:c>
      <x:c r="H75" s="4" t="str">
        <x:v>CRITERIO_CUMPLIDO</x:v>
      </x:c>
      <x:c r="I75" s="4" t="str"/>
      <x:c r="J75" s="4" t="str">
        <x:v>COMPLETA</x:v>
      </x:c>
      <x:c r="K75" s="4" t="str">
        <x:v>ORACULO_UNITARIO</x:v>
      </x:c>
      <x:c r="L75" s="4" t="str">
        <x:v>VALIDA</x:v>
      </x:c>
      <x:c r="M75" s="4" t="str">
        <x:v>1</x:v>
      </x:c>
      <x:c r="N75" s="4" t="str">
        <x:v>CRITERIO_POSITIVO</x:v>
      </x:c>
      <x:c r="O75" s="12" t="str">
        <x:f>IF(Q75="SIN_EJECUCION_DOMINIO","FALLO_CAPTURA",IF(OR(Q75="CAPTURA_MAL_FORMADA",Q75="IDENTIDAD",Q75="OBSERVACION_MAL_FORMADA",Q75="LEXEMA_O_FORMA"),"NO_ADMISION",IF(OR(Q75="PERFIL_NO_CONSTITUIDO",Q75="RESULTADO_NO_TERMINAL"),"FUERA_PERFIL",IF(Q75="CONTEXTO_NO_CONSTITUIDO","CONFIGURACION_PENDIENTE","VALIDA"))))</x:f>
        <x:v>VALIDA</x:v>
      </x:c>
      <x:c r="P75" s="12" t="str">
        <x:f>IF(O75&lt;&gt;"VALIDA","",IF(Q75=AA75,"1",IF(Q75=AB75,"0","U")))</x:f>
        <x:v>1</x:v>
      </x:c>
      <x:c r="Q75" s="12" t="str">
        <x:f>IF(E75="FALLO","SIN_EJECUCION_DOMINIO",IF(E75&lt;&gt;"LEGIBLE","CAPTURA_MAL_FORMADA",IF(D75&lt;&gt;"COINCIDE","IDENTIDAD",IF(OR(T75="",C75&lt;&gt;T75),"PERFIL_NO_CONSTITUIDO",IF(K75&lt;&gt;V75,IF(V75="ORDEN_ACREDITADO","ORDEN_NO_ACREDITADO","CONTEXTO_NO_CONSTITUIDO"),IF(AND(G75="AUSENTE",H75="",I75=""),"DATO_AUSENTE",IF(AND(G75="CONFLICTO",H75="",I75=""),"CONFLICTO_OBSERVACIONAL",IF(G75&lt;&gt;"UNICA","OBSERVACION_MAL_FORMADA",IF(F75&lt;&gt;U75,"OBSERVACION_INSUFICIENTE",IF(W75="RESULTADO",IF(H75=X75,AA75,IF(OR(H75="orcSucceededWithErrors",H75="orcFailed",H75="orcAborted"),AB75,IF(OR(H75="orcNotStarted",H75="orcInProgress"),"RESULTADO_NO_TERMINAL","LEXEMA_O_FORMA"))),IF(W75="EVENTO_BOOT",IF(H75=X75,AA75,IF(OR(H75="NINGUNO",H75="SOLO_HIBRIDO"),IF(J75="COMPLETA",AB75,"COBERTURA_INSUFICIENTE"),"LEXEMA_O_FORMA")),IF(W75="REQUISITO_SOFT",IF(H75=X75,AA75,IF(H75=Z75,AB75,"LEXEMA_O_FORMA")),IF(W75="EVENTO_PROC",IF(H75=X75,AA75,IF(H75=Z75,IF(J75="COMPLETA",AB75,"COBERTURA_INSUFICIENTE"),"LEXEMA_O_FORMA")),IF(W75="IMAGEN",IF(AND(AND(ISTEXT(H75),LEN(("x"&amp;H75))=65,EXACT(("x"&amp;H75),LOWER(("x"&amp;H75))),ISERROR(SEARCH(" ",("x"&amp;H75))),ISERROR(SEARCH(CHAR(9),("x"&amp;H75))),ISERROR(SEARCH(CHAR(10),("x"&amp;H75))),ISERROR(SEARCH(CHAR(13),("x"&amp;H75))),IFERROR(HEX2DEC(MID(("x"&amp;H75),2,8))&gt;=0,FALSE),IFERROR(HEX2DEC(MID(("x"&amp;H75),10,8))&gt;=0,FALSE),IFERROR(HEX2DEC(MID(("x"&amp;H75),18,8))&gt;=0,FALSE),IFERROR(HEX2DEC(MID(("x"&amp;H75),26,8))&gt;=0,FALSE),IFERROR(HEX2DEC(MID(("x"&amp;H75),34,8))&gt;=0,FALSE),IFERROR(HEX2DEC(MID(("x"&amp;H75),42,8))&gt;=0,FALSE),IFERROR(HEX2DEC(MID(("x"&amp;H75),50,8))&gt;=0,FALSE),IFERROR(HEX2DEC(MID(("x"&amp;H75),58,8))&gt;=0,FALSE)),AND(ISTEXT(I75),LEN(("x"&amp;I75))=65,EXACT(("x"&amp;I75),LOWER(("x"&amp;I75))),ISERROR(SEARCH(" ",("x"&amp;I75))),ISERROR(SEARCH(CHAR(9),("x"&amp;I75))),ISERROR(SEARCH(CHAR(10),("x"&amp;I75))),ISERROR(SEARCH(CHAR(13),("x"&amp;I75))),IFERROR(HEX2DEC(MID(("x"&amp;I75),2,8))&gt;=0,FALSE),IFERROR(HEX2DEC(MID(("x"&amp;I75),10,8))&gt;=0,FALSE),IFERROR(HEX2DEC(MID(("x"&amp;I75),18,8))&gt;=0,FALSE),IFERROR(HEX2DEC(MID(("x"&amp;I75),26,8))&gt;=0,FALSE),IFERROR(HEX2DEC(MID(("x"&amp;I75),34,8))&gt;=0,FALSE),IFERROR(HEX2DEC(MID(("x"&amp;I75),42,8))&gt;=0,FALSE),IFERROR(HEX2DEC(MID(("x"&amp;I75),50,8))&gt;=0,FALSE),IFERROR(HEX2DEC(MID(("x"&amp;I75),58,8))&gt;=0,FALSE))),IF(EXACT("x"&amp;H75,"x"&amp;I75),AA75,AB75),"LEXEMA_O_FORMA"),IF(W75="PRUEBA",IF(H75=X75,AA75,IF(H75=Z75,AB75,"LEXEMA_O_FORMA")),IF(W75="RETIRADA",IF(AND(H75="NINGUNO",I75=""),IF(J75="COMPLETA",AB75,"COBERTURA_INSUFICIENTE"),IF(AND(OR(H75="uoInstallation",H75="uoUninstallation"),OR(I75="orcSucceeded",I75="orcSucceededWithErrors",I75="orcFailed",I75="orcAborted",I75="orcInProgress",I75="orcNotStarted")),IF(AND(H75=X75,I75=Y75),AA75,IF(AND(H75=X75,OR(I75="orcSucceededWithErrors",I75="orcInProgress",I75="orcNotStarted")),"RESULTADO_RETIRADA_INCIERTO",IF(J75="COMPLETA",AB75,"COBERTURA_INSUFICIENTE"))),"LEXEMA_O_FORMA")),IF(W75="CAMBIO",IF(OR(H75="CAMBIO",H75="CAMBIO_Y_RETORNO"),AA75,IF(OR(H75="NINGUNO",H75="SOLO_RENOMBRE"),IF(J75="COMPLETA",AB75,"COBERTURA_INSUFICIENTE"),"LEXEMA_O_FORMA")),IF(W75="RESTAURACION",IF(H75=X75,AA75,IF(OR(H75="NINGUNO",H75="RESTAURACION_POSTERIOR",H75="RESTAURACION_FALLIDA"),IF(J75="COMPLETA",AB75,"COBERTURA_INSUFICIENTE"),"LEXEMA_O_FORMA")),"PERFIL_NO_CONSTITUIDO"))))))))))))))))))</x:f>
        <x:v>CRITERIO_POSITIVO</x:v>
      </x:c>
      <x:c r="R75" s="12" t="str">
        <x:f>IF(AND(L75=O75,M75=P75,N75=Q75),"PASA","NO_PASA")</x:f>
        <x:v>PASA</x:v>
      </x:c>
      <x:c r="S75" s="4" t="str">
        <x:v>Testigo positivo de la proposición; no licencia ninguna conclusión más amplia.</x:v>
      </x:c>
      <x:c r="T75" s="12" t="str">
        <x:f>IFERROR(INDEX('55_Codificacion_ensayo'!$B$5:$B$13,MATCH(B75,'55_Codificacion_ensayo'!$A$5:$A$13,0)),"")</x:f>
        <x:v>COMPROBACION-CRITERIO-UNITARIO-0.1</x:v>
      </x:c>
      <x:c r="U75" s="12" t="str">
        <x:f>IFERROR(INDEX('55_Codificacion_ensayo'!$C$5:$C$13,MATCH(B75,'55_Codificacion_ensayo'!$A$5:$A$13,0)),"")</x:f>
        <x:v>INFORME_PRUEBA</x:v>
      </x:c>
      <x:c r="V75" s="12" t="str">
        <x:f>IFERROR(INDEX('55_Codificacion_ensayo'!$D$5:$D$13,MATCH(B75,'55_Codificacion_ensayo'!$A$5:$A$13,0)),"")</x:f>
        <x:v>ORACULO_UNITARIO</x:v>
      </x:c>
      <x:c r="W75" s="12" t="str">
        <x:f>IFERROR(INDEX('55_Codificacion_ensayo'!$E$5:$E$13,MATCH(B75,'55_Codificacion_ensayo'!$A$5:$A$13,0)),"")</x:f>
        <x:v>PRUEBA</x:v>
      </x:c>
      <x:c r="X75" s="12" t="str">
        <x:f>IFERROR(INDEX('55_Codificacion_ensayo'!$F$5:$F$13,MATCH(B75,'55_Codificacion_ensayo'!$A$5:$A$13,0)),"")</x:f>
        <x:v>CRITERIO_CUMPLIDO</x:v>
      </x:c>
      <x:c r="Y75" s="12" t="str">
        <x:f>IFERROR(INDEX('55_Codificacion_ensayo'!$G$5:$G$13,MATCH(B75,'55_Codificacion_ensayo'!$A$5:$A$13,0)),"")</x:f>
      </x:c>
      <x:c r="Z75" s="12" t="str">
        <x:f>IFERROR(INDEX('55_Codificacion_ensayo'!$H$5:$H$13,MATCH(B75,'55_Codificacion_ensayo'!$A$5:$A$13,0)),"")</x:f>
        <x:v>CRITERIO_NO_CUMPLIDO</x:v>
      </x:c>
      <x:c r="AA75" s="12" t="str">
        <x:f>IFERROR(INDEX('55_Codificacion_ensayo'!$I$5:$I$13,MATCH(B75,'55_Codificacion_ensayo'!$A$5:$A$13,0)),"")</x:f>
        <x:v>CRITERIO_POSITIVO</x:v>
      </x:c>
      <x:c r="AB75" s="12" t="str">
        <x:f>IFERROR(INDEX('55_Codificacion_ensayo'!$J$5:$J$13,MATCH(B75,'55_Codificacion_ensayo'!$A$5:$A$13,0)),"")</x:f>
        <x:v>CRITERIO_NEGATIVO</x:v>
      </x:c>
    </x:row>
    <x:row r="76" ht="47" customHeight="1">
      <x:c r="A76" s="4" t="str">
        <x:v>L10-07-02</x:v>
      </x:c>
      <x:c r="B76" s="4" t="str">
        <x:v>PAR-CYB-COMPROBACION-POSITIVA-001</x:v>
      </x:c>
      <x:c r="C76" s="4" t="str">
        <x:v>COMPROBACION-CRITERIO-UNITARIO-0.1</x:v>
      </x:c>
      <x:c r="D76" s="4" t="str">
        <x:v>COINCIDE</x:v>
      </x:c>
      <x:c r="E76" s="4" t="str">
        <x:v>LEGIBLE</x:v>
      </x:c>
      <x:c r="F76" s="4" t="str">
        <x:v>INFORME_PRUEBA</x:v>
      </x:c>
      <x:c r="G76" s="4" t="str">
        <x:v>UNICA</x:v>
      </x:c>
      <x:c r="H76" s="4" t="str">
        <x:v>CRITERIO_NO_CUMPLIDO</x:v>
      </x:c>
      <x:c r="I76" s="4" t="str"/>
      <x:c r="J76" s="4" t="str">
        <x:v>COMPLETA</x:v>
      </x:c>
      <x:c r="K76" s="4" t="str">
        <x:v>ORACULO_UNITARIO</x:v>
      </x:c>
      <x:c r="L76" s="4" t="str">
        <x:v>VALIDA</x:v>
      </x:c>
      <x:c r="M76" s="4" t="str">
        <x:v>0</x:v>
      </x:c>
      <x:c r="N76" s="4" t="str">
        <x:v>CRITERIO_NEGATIVO</x:v>
      </x:c>
      <x:c r="O76" s="12" t="str">
        <x:f>IF(Q76="SIN_EJECUCION_DOMINIO","FALLO_CAPTURA",IF(OR(Q76="CAPTURA_MAL_FORMADA",Q76="IDENTIDAD",Q76="OBSERVACION_MAL_FORMADA",Q76="LEXEMA_O_FORMA"),"NO_ADMISION",IF(OR(Q76="PERFIL_NO_CONSTITUIDO",Q76="RESULTADO_NO_TERMINAL"),"FUERA_PERFIL",IF(Q76="CONTEXTO_NO_CONSTITUIDO","CONFIGURACION_PENDIENTE","VALIDA"))))</x:f>
        <x:v>VALIDA</x:v>
      </x:c>
      <x:c r="P76" s="12" t="str">
        <x:f>IF(O76&lt;&gt;"VALIDA","",IF(Q76=AA76,"1",IF(Q76=AB76,"0","U")))</x:f>
        <x:v>0</x:v>
      </x:c>
      <x:c r="Q76" s="12" t="str">
        <x:f>IF(E76="FALLO","SIN_EJECUCION_DOMINIO",IF(E76&lt;&gt;"LEGIBLE","CAPTURA_MAL_FORMADA",IF(D76&lt;&gt;"COINCIDE","IDENTIDAD",IF(OR(T76="",C76&lt;&gt;T76),"PERFIL_NO_CONSTITUIDO",IF(K76&lt;&gt;V76,IF(V76="ORDEN_ACREDITADO","ORDEN_NO_ACREDITADO","CONTEXTO_NO_CONSTITUIDO"),IF(AND(G76="AUSENTE",H76="",I76=""),"DATO_AUSENTE",IF(AND(G76="CONFLICTO",H76="",I76=""),"CONFLICTO_OBSERVACIONAL",IF(G76&lt;&gt;"UNICA","OBSERVACION_MAL_FORMADA",IF(F76&lt;&gt;U76,"OBSERVACION_INSUFICIENTE",IF(W76="RESULTADO",IF(H76=X76,AA76,IF(OR(H76="orcSucceededWithErrors",H76="orcFailed",H76="orcAborted"),AB76,IF(OR(H76="orcNotStarted",H76="orcInProgress"),"RESULTADO_NO_TERMINAL","LEXEMA_O_FORMA"))),IF(W76="EVENTO_BOOT",IF(H76=X76,AA76,IF(OR(H76="NINGUNO",H76="SOLO_HIBRIDO"),IF(J76="COMPLETA",AB76,"COBERTURA_INSUFICIENTE"),"LEXEMA_O_FORMA")),IF(W76="REQUISITO_SOFT",IF(H76=X76,AA76,IF(H76=Z76,AB76,"LEXEMA_O_FORMA")),IF(W76="EVENTO_PROC",IF(H76=X76,AA76,IF(H76=Z76,IF(J76="COMPLETA",AB76,"COBERTURA_INSUFICIENTE"),"LEXEMA_O_FORMA")),IF(W76="IMAGEN",IF(AND(AND(ISTEXT(H76),LEN(("x"&amp;H76))=65,EXACT(("x"&amp;H76),LOWER(("x"&amp;H76))),ISERROR(SEARCH(" ",("x"&amp;H76))),ISERROR(SEARCH(CHAR(9),("x"&amp;H76))),ISERROR(SEARCH(CHAR(10),("x"&amp;H76))),ISERROR(SEARCH(CHAR(13),("x"&amp;H76))),IFERROR(HEX2DEC(MID(("x"&amp;H76),2,8))&gt;=0,FALSE),IFERROR(HEX2DEC(MID(("x"&amp;H76),10,8))&gt;=0,FALSE),IFERROR(HEX2DEC(MID(("x"&amp;H76),18,8))&gt;=0,FALSE),IFERROR(HEX2DEC(MID(("x"&amp;H76),26,8))&gt;=0,FALSE),IFERROR(HEX2DEC(MID(("x"&amp;H76),34,8))&gt;=0,FALSE),IFERROR(HEX2DEC(MID(("x"&amp;H76),42,8))&gt;=0,FALSE),IFERROR(HEX2DEC(MID(("x"&amp;H76),50,8))&gt;=0,FALSE),IFERROR(HEX2DEC(MID(("x"&amp;H76),58,8))&gt;=0,FALSE)),AND(ISTEXT(I76),LEN(("x"&amp;I76))=65,EXACT(("x"&amp;I76),LOWER(("x"&amp;I76))),ISERROR(SEARCH(" ",("x"&amp;I76))),ISERROR(SEARCH(CHAR(9),("x"&amp;I76))),ISERROR(SEARCH(CHAR(10),("x"&amp;I76))),ISERROR(SEARCH(CHAR(13),("x"&amp;I76))),IFERROR(HEX2DEC(MID(("x"&amp;I76),2,8))&gt;=0,FALSE),IFERROR(HEX2DEC(MID(("x"&amp;I76),10,8))&gt;=0,FALSE),IFERROR(HEX2DEC(MID(("x"&amp;I76),18,8))&gt;=0,FALSE),IFERROR(HEX2DEC(MID(("x"&amp;I76),26,8))&gt;=0,FALSE),IFERROR(HEX2DEC(MID(("x"&amp;I76),34,8))&gt;=0,FALSE),IFERROR(HEX2DEC(MID(("x"&amp;I76),42,8))&gt;=0,FALSE),IFERROR(HEX2DEC(MID(("x"&amp;I76),50,8))&gt;=0,FALSE),IFERROR(HEX2DEC(MID(("x"&amp;I76),58,8))&gt;=0,FALSE))),IF(EXACT("x"&amp;H76,"x"&amp;I76),AA76,AB76),"LEXEMA_O_FORMA"),IF(W76="PRUEBA",IF(H76=X76,AA76,IF(H76=Z76,AB76,"LEXEMA_O_FORMA")),IF(W76="RETIRADA",IF(AND(H76="NINGUNO",I76=""),IF(J76="COMPLETA",AB76,"COBERTURA_INSUFICIENTE"),IF(AND(OR(H76="uoInstallation",H76="uoUninstallation"),OR(I76="orcSucceeded",I76="orcSucceededWithErrors",I76="orcFailed",I76="orcAborted",I76="orcInProgress",I76="orcNotStarted")),IF(AND(H76=X76,I76=Y76),AA76,IF(AND(H76=X76,OR(I76="orcSucceededWithErrors",I76="orcInProgress",I76="orcNotStarted")),"RESULTADO_RETIRADA_INCIERTO",IF(J76="COMPLETA",AB76,"COBERTURA_INSUFICIENTE"))),"LEXEMA_O_FORMA")),IF(W76="CAMBIO",IF(OR(H76="CAMBIO",H76="CAMBIO_Y_RETORNO"),AA76,IF(OR(H76="NINGUNO",H76="SOLO_RENOMBRE"),IF(J76="COMPLETA",AB76,"COBERTURA_INSUFICIENTE"),"LEXEMA_O_FORMA")),IF(W76="RESTAURACION",IF(H76=X76,AA76,IF(OR(H76="NINGUNO",H76="RESTAURACION_POSTERIOR",H76="RESTAURACION_FALLIDA"),IF(J76="COMPLETA",AB76,"COBERTURA_INSUFICIENTE"),"LEXEMA_O_FORMA")),"PERFIL_NO_CONSTITUIDO"))))))))))))))))))</x:f>
        <x:v>CRITERIO_NEGATIVO</x:v>
      </x:c>
      <x:c r="R76" s="12" t="str">
        <x:f>IF(AND(L76=O76,M76=P76,N76=Q76),"PASA","NO_PASA")</x:f>
        <x:v>PASA</x:v>
      </x:c>
      <x:c r="S76" s="4" t="str">
        <x:v>Negativo explícito; en eventos exige cobertura del intervalo.</x:v>
      </x:c>
      <x:c r="T76" s="12" t="str">
        <x:f>IFERROR(INDEX('55_Codificacion_ensayo'!$B$5:$B$13,MATCH(B76,'55_Codificacion_ensayo'!$A$5:$A$13,0)),"")</x:f>
        <x:v>COMPROBACION-CRITERIO-UNITARIO-0.1</x:v>
      </x:c>
      <x:c r="U76" s="12" t="str">
        <x:f>IFERROR(INDEX('55_Codificacion_ensayo'!$C$5:$C$13,MATCH(B76,'55_Codificacion_ensayo'!$A$5:$A$13,0)),"")</x:f>
        <x:v>INFORME_PRUEBA</x:v>
      </x:c>
      <x:c r="V76" s="12" t="str">
        <x:f>IFERROR(INDEX('55_Codificacion_ensayo'!$D$5:$D$13,MATCH(B76,'55_Codificacion_ensayo'!$A$5:$A$13,0)),"")</x:f>
        <x:v>ORACULO_UNITARIO</x:v>
      </x:c>
      <x:c r="W76" s="12" t="str">
        <x:f>IFERROR(INDEX('55_Codificacion_ensayo'!$E$5:$E$13,MATCH(B76,'55_Codificacion_ensayo'!$A$5:$A$13,0)),"")</x:f>
        <x:v>PRUEBA</x:v>
      </x:c>
      <x:c r="X76" s="12" t="str">
        <x:f>IFERROR(INDEX('55_Codificacion_ensayo'!$F$5:$F$13,MATCH(B76,'55_Codificacion_ensayo'!$A$5:$A$13,0)),"")</x:f>
        <x:v>CRITERIO_CUMPLIDO</x:v>
      </x:c>
      <x:c r="Y76" s="12" t="str">
        <x:f>IFERROR(INDEX('55_Codificacion_ensayo'!$G$5:$G$13,MATCH(B76,'55_Codificacion_ensayo'!$A$5:$A$13,0)),"")</x:f>
      </x:c>
      <x:c r="Z76" s="12" t="str">
        <x:f>IFERROR(INDEX('55_Codificacion_ensayo'!$H$5:$H$13,MATCH(B76,'55_Codificacion_ensayo'!$A$5:$A$13,0)),"")</x:f>
        <x:v>CRITERIO_NO_CUMPLIDO</x:v>
      </x:c>
      <x:c r="AA76" s="12" t="str">
        <x:f>IFERROR(INDEX('55_Codificacion_ensayo'!$I$5:$I$13,MATCH(B76,'55_Codificacion_ensayo'!$A$5:$A$13,0)),"")</x:f>
        <x:v>CRITERIO_POSITIVO</x:v>
      </x:c>
      <x:c r="AB76" s="12" t="str">
        <x:f>IFERROR(INDEX('55_Codificacion_ensayo'!$J$5:$J$13,MATCH(B76,'55_Codificacion_ensayo'!$A$5:$A$13,0)),"")</x:f>
        <x:v>CRITERIO_NEGATIVO</x:v>
      </x:c>
    </x:row>
    <x:row r="77" ht="47" customHeight="1">
      <x:c r="A77" s="4" t="str">
        <x:v>L10-07-03</x:v>
      </x:c>
      <x:c r="B77" s="4" t="str">
        <x:v>PAR-CYB-COMPROBACION-POSITIVA-001</x:v>
      </x:c>
      <x:c r="C77" s="4" t="str">
        <x:v>COMPROBACION-CRITERIO-UNITARIO-0.1</x:v>
      </x:c>
      <x:c r="D77" s="4" t="str">
        <x:v>COINCIDE</x:v>
      </x:c>
      <x:c r="E77" s="4" t="str">
        <x:v>LEGIBLE</x:v>
      </x:c>
      <x:c r="F77" s="4" t="str">
        <x:v>INFORME_PRUEBA</x:v>
      </x:c>
      <x:c r="G77" s="4" t="str">
        <x:v>AUSENTE</x:v>
      </x:c>
      <x:c r="H77" s="4" t="str"/>
      <x:c r="I77" s="4" t="str"/>
      <x:c r="J77" s="4" t="str">
        <x:v>COMPLETA</x:v>
      </x:c>
      <x:c r="K77" s="4" t="str">
        <x:v>ORACULO_UNITARIO</x:v>
      </x:c>
      <x:c r="L77" s="4" t="str">
        <x:v>VALIDA</x:v>
      </x:c>
      <x:c r="M77" s="4" t="str">
        <x:v>U</x:v>
      </x:c>
      <x:c r="N77" s="4" t="str">
        <x:v>DATO_AUSENTE</x:v>
      </x:c>
      <x:c r="O77" s="12" t="str">
        <x:f>IF(Q77="SIN_EJECUCION_DOMINIO","FALLO_CAPTURA",IF(OR(Q77="CAPTURA_MAL_FORMADA",Q77="IDENTIDAD",Q77="OBSERVACION_MAL_FORMADA",Q77="LEXEMA_O_FORMA"),"NO_ADMISION",IF(OR(Q77="PERFIL_NO_CONSTITUIDO",Q77="RESULTADO_NO_TERMINAL"),"FUERA_PERFIL",IF(Q77="CONTEXTO_NO_CONSTITUIDO","CONFIGURACION_PENDIENTE","VALIDA"))))</x:f>
        <x:v>VALIDA</x:v>
      </x:c>
      <x:c r="P77" s="12" t="str">
        <x:f>IF(O77&lt;&gt;"VALIDA","",IF(Q77=AA77,"1",IF(Q77=AB77,"0","U")))</x:f>
        <x:v>U</x:v>
      </x:c>
      <x:c r="Q77" s="12" t="str">
        <x:f>IF(E77="FALLO","SIN_EJECUCION_DOMINIO",IF(E77&lt;&gt;"LEGIBLE","CAPTURA_MAL_FORMADA",IF(D77&lt;&gt;"COINCIDE","IDENTIDAD",IF(OR(T77="",C77&lt;&gt;T77),"PERFIL_NO_CONSTITUIDO",IF(K77&lt;&gt;V77,IF(V77="ORDEN_ACREDITADO","ORDEN_NO_ACREDITADO","CONTEXTO_NO_CONSTITUIDO"),IF(AND(G77="AUSENTE",H77="",I77=""),"DATO_AUSENTE",IF(AND(G77="CONFLICTO",H77="",I77=""),"CONFLICTO_OBSERVACIONAL",IF(G77&lt;&gt;"UNICA","OBSERVACION_MAL_FORMADA",IF(F77&lt;&gt;U77,"OBSERVACION_INSUFICIENTE",IF(W77="RESULTADO",IF(H77=X77,AA77,IF(OR(H77="orcSucceededWithErrors",H77="orcFailed",H77="orcAborted"),AB77,IF(OR(H77="orcNotStarted",H77="orcInProgress"),"RESULTADO_NO_TERMINAL","LEXEMA_O_FORMA"))),IF(W77="EVENTO_BOOT",IF(H77=X77,AA77,IF(OR(H77="NINGUNO",H77="SOLO_HIBRIDO"),IF(J77="COMPLETA",AB77,"COBERTURA_INSUFICIENTE"),"LEXEMA_O_FORMA")),IF(W77="REQUISITO_SOFT",IF(H77=X77,AA77,IF(H77=Z77,AB77,"LEXEMA_O_FORMA")),IF(W77="EVENTO_PROC",IF(H77=X77,AA77,IF(H77=Z77,IF(J77="COMPLETA",AB77,"COBERTURA_INSUFICIENTE"),"LEXEMA_O_FORMA")),IF(W77="IMAGEN",IF(AND(AND(ISTEXT(H77),LEN(("x"&amp;H77))=65,EXACT(("x"&amp;H77),LOWER(("x"&amp;H77))),ISERROR(SEARCH(" ",("x"&amp;H77))),ISERROR(SEARCH(CHAR(9),("x"&amp;H77))),ISERROR(SEARCH(CHAR(10),("x"&amp;H77))),ISERROR(SEARCH(CHAR(13),("x"&amp;H77))),IFERROR(HEX2DEC(MID(("x"&amp;H77),2,8))&gt;=0,FALSE),IFERROR(HEX2DEC(MID(("x"&amp;H77),10,8))&gt;=0,FALSE),IFERROR(HEX2DEC(MID(("x"&amp;H77),18,8))&gt;=0,FALSE),IFERROR(HEX2DEC(MID(("x"&amp;H77),26,8))&gt;=0,FALSE),IFERROR(HEX2DEC(MID(("x"&amp;H77),34,8))&gt;=0,FALSE),IFERROR(HEX2DEC(MID(("x"&amp;H77),42,8))&gt;=0,FALSE),IFERROR(HEX2DEC(MID(("x"&amp;H77),50,8))&gt;=0,FALSE),IFERROR(HEX2DEC(MID(("x"&amp;H77),58,8))&gt;=0,FALSE)),AND(ISTEXT(I77),LEN(("x"&amp;I77))=65,EXACT(("x"&amp;I77),LOWER(("x"&amp;I77))),ISERROR(SEARCH(" ",("x"&amp;I77))),ISERROR(SEARCH(CHAR(9),("x"&amp;I77))),ISERROR(SEARCH(CHAR(10),("x"&amp;I77))),ISERROR(SEARCH(CHAR(13),("x"&amp;I77))),IFERROR(HEX2DEC(MID(("x"&amp;I77),2,8))&gt;=0,FALSE),IFERROR(HEX2DEC(MID(("x"&amp;I77),10,8))&gt;=0,FALSE),IFERROR(HEX2DEC(MID(("x"&amp;I77),18,8))&gt;=0,FALSE),IFERROR(HEX2DEC(MID(("x"&amp;I77),26,8))&gt;=0,FALSE),IFERROR(HEX2DEC(MID(("x"&amp;I77),34,8))&gt;=0,FALSE),IFERROR(HEX2DEC(MID(("x"&amp;I77),42,8))&gt;=0,FALSE),IFERROR(HEX2DEC(MID(("x"&amp;I77),50,8))&gt;=0,FALSE),IFERROR(HEX2DEC(MID(("x"&amp;I77),58,8))&gt;=0,FALSE))),IF(EXACT("x"&amp;H77,"x"&amp;I77),AA77,AB77),"LEXEMA_O_FORMA"),IF(W77="PRUEBA",IF(H77=X77,AA77,IF(H77=Z77,AB77,"LEXEMA_O_FORMA")),IF(W77="RETIRADA",IF(AND(H77="NINGUNO",I77=""),IF(J77="COMPLETA",AB77,"COBERTURA_INSUFICIENTE"),IF(AND(OR(H77="uoInstallation",H77="uoUninstallation"),OR(I77="orcSucceeded",I77="orcSucceededWithErrors",I77="orcFailed",I77="orcAborted",I77="orcInProgress",I77="orcNotStarted")),IF(AND(H77=X77,I77=Y77),AA77,IF(AND(H77=X77,OR(I77="orcSucceededWithErrors",I77="orcInProgress",I77="orcNotStarted")),"RESULTADO_RETIRADA_INCIERTO",IF(J77="COMPLETA",AB77,"COBERTURA_INSUFICIENTE"))),"LEXEMA_O_FORMA")),IF(W77="CAMBIO",IF(OR(H77="CAMBIO",H77="CAMBIO_Y_RETORNO"),AA77,IF(OR(H77="NINGUNO",H77="SOLO_RENOMBRE"),IF(J77="COMPLETA",AB77,"COBERTURA_INSUFICIENTE"),"LEXEMA_O_FORMA")),IF(W77="RESTAURACION",IF(H77=X77,AA77,IF(OR(H77="NINGUNO",H77="RESTAURACION_POSTERIOR",H77="RESTAURACION_FALLIDA"),IF(J77="COMPLETA",AB77,"COBERTURA_INSUFICIENTE"),"LEXEMA_O_FORMA")),"PERFIL_NO_CONSTITUIDO"))))))))))))))))))</x:f>
        <x:v>DATO_AUSENTE</x:v>
      </x:c>
      <x:c r="R77" s="12" t="str">
        <x:f>IF(AND(L77=O77,M77=P77,N77=Q77),"PASA","NO_PASA")</x:f>
        <x:v>PASA</x:v>
      </x:c>
      <x:c r="S77" s="4" t="str">
        <x:v>Documento declara que falta la observación, sin convertir ausencia en 0.</x:v>
      </x:c>
      <x:c r="T77" s="12" t="str">
        <x:f>IFERROR(INDEX('55_Codificacion_ensayo'!$B$5:$B$13,MATCH(B77,'55_Codificacion_ensayo'!$A$5:$A$13,0)),"")</x:f>
        <x:v>COMPROBACION-CRITERIO-UNITARIO-0.1</x:v>
      </x:c>
      <x:c r="U77" s="12" t="str">
        <x:f>IFERROR(INDEX('55_Codificacion_ensayo'!$C$5:$C$13,MATCH(B77,'55_Codificacion_ensayo'!$A$5:$A$13,0)),"")</x:f>
        <x:v>INFORME_PRUEBA</x:v>
      </x:c>
      <x:c r="V77" s="12" t="str">
        <x:f>IFERROR(INDEX('55_Codificacion_ensayo'!$D$5:$D$13,MATCH(B77,'55_Codificacion_ensayo'!$A$5:$A$13,0)),"")</x:f>
        <x:v>ORACULO_UNITARIO</x:v>
      </x:c>
      <x:c r="W77" s="12" t="str">
        <x:f>IFERROR(INDEX('55_Codificacion_ensayo'!$E$5:$E$13,MATCH(B77,'55_Codificacion_ensayo'!$A$5:$A$13,0)),"")</x:f>
        <x:v>PRUEBA</x:v>
      </x:c>
      <x:c r="X77" s="12" t="str">
        <x:f>IFERROR(INDEX('55_Codificacion_ensayo'!$F$5:$F$13,MATCH(B77,'55_Codificacion_ensayo'!$A$5:$A$13,0)),"")</x:f>
        <x:v>CRITERIO_CUMPLIDO</x:v>
      </x:c>
      <x:c r="Y77" s="12" t="str">
        <x:f>IFERROR(INDEX('55_Codificacion_ensayo'!$G$5:$G$13,MATCH(B77,'55_Codificacion_ensayo'!$A$5:$A$13,0)),"")</x:f>
      </x:c>
      <x:c r="Z77" s="12" t="str">
        <x:f>IFERROR(INDEX('55_Codificacion_ensayo'!$H$5:$H$13,MATCH(B77,'55_Codificacion_ensayo'!$A$5:$A$13,0)),"")</x:f>
        <x:v>CRITERIO_NO_CUMPLIDO</x:v>
      </x:c>
      <x:c r="AA77" s="12" t="str">
        <x:f>IFERROR(INDEX('55_Codificacion_ensayo'!$I$5:$I$13,MATCH(B77,'55_Codificacion_ensayo'!$A$5:$A$13,0)),"")</x:f>
        <x:v>CRITERIO_POSITIVO</x:v>
      </x:c>
      <x:c r="AB77" s="12" t="str">
        <x:f>IFERROR(INDEX('55_Codificacion_ensayo'!$J$5:$J$13,MATCH(B77,'55_Codificacion_ensayo'!$A$5:$A$13,0)),"")</x:f>
        <x:v>CRITERIO_NEGATIVO</x:v>
      </x:c>
    </x:row>
    <x:row r="78" ht="47" customHeight="1">
      <x:c r="A78" s="4" t="str">
        <x:v>L10-07-04</x:v>
      </x:c>
      <x:c r="B78" s="4" t="str">
        <x:v>PAR-CYB-COMPROBACION-POSITIVA-001</x:v>
      </x:c>
      <x:c r="C78" s="4" t="str">
        <x:v>COMPROBACION-CRITERIO-UNITARIO-0.1</x:v>
      </x:c>
      <x:c r="D78" s="4" t="str">
        <x:v>COINCIDE</x:v>
      </x:c>
      <x:c r="E78" s="4" t="str">
        <x:v>LEGIBLE</x:v>
      </x:c>
      <x:c r="F78" s="4" t="str">
        <x:v>INFORME_PRUEBA</x:v>
      </x:c>
      <x:c r="G78" s="4" t="str">
        <x:v>CONFLICTO</x:v>
      </x:c>
      <x:c r="H78" s="4" t="str"/>
      <x:c r="I78" s="4" t="str"/>
      <x:c r="J78" s="4" t="str">
        <x:v>COMPLETA</x:v>
      </x:c>
      <x:c r="K78" s="4" t="str">
        <x:v>ORACULO_UNITARIO</x:v>
      </x:c>
      <x:c r="L78" s="4" t="str">
        <x:v>VALIDA</x:v>
      </x:c>
      <x:c r="M78" s="4" t="str">
        <x:v>U</x:v>
      </x:c>
      <x:c r="N78" s="4" t="str">
        <x:v>CONFLICTO_OBSERVACIONAL</x:v>
      </x:c>
      <x:c r="O78" s="12" t="str">
        <x:f>IF(Q78="SIN_EJECUCION_DOMINIO","FALLO_CAPTURA",IF(OR(Q78="CAPTURA_MAL_FORMADA",Q78="IDENTIDAD",Q78="OBSERVACION_MAL_FORMADA",Q78="LEXEMA_O_FORMA"),"NO_ADMISION",IF(OR(Q78="PERFIL_NO_CONSTITUIDO",Q78="RESULTADO_NO_TERMINAL"),"FUERA_PERFIL",IF(Q78="CONTEXTO_NO_CONSTITUIDO","CONFIGURACION_PENDIENTE","VALIDA"))))</x:f>
        <x:v>VALIDA</x:v>
      </x:c>
      <x:c r="P78" s="12" t="str">
        <x:f>IF(O78&lt;&gt;"VALIDA","",IF(Q78=AA78,"1",IF(Q78=AB78,"0","U")))</x:f>
        <x:v>U</x:v>
      </x:c>
      <x:c r="Q78" s="12" t="str">
        <x:f>IF(E78="FALLO","SIN_EJECUCION_DOMINIO",IF(E78&lt;&gt;"LEGIBLE","CAPTURA_MAL_FORMADA",IF(D78&lt;&gt;"COINCIDE","IDENTIDAD",IF(OR(T78="",C78&lt;&gt;T78),"PERFIL_NO_CONSTITUIDO",IF(K78&lt;&gt;V78,IF(V78="ORDEN_ACREDITADO","ORDEN_NO_ACREDITADO","CONTEXTO_NO_CONSTITUIDO"),IF(AND(G78="AUSENTE",H78="",I78=""),"DATO_AUSENTE",IF(AND(G78="CONFLICTO",H78="",I78=""),"CONFLICTO_OBSERVACIONAL",IF(G78&lt;&gt;"UNICA","OBSERVACION_MAL_FORMADA",IF(F78&lt;&gt;U78,"OBSERVACION_INSUFICIENTE",IF(W78="RESULTADO",IF(H78=X78,AA78,IF(OR(H78="orcSucceededWithErrors",H78="orcFailed",H78="orcAborted"),AB78,IF(OR(H78="orcNotStarted",H78="orcInProgress"),"RESULTADO_NO_TERMINAL","LEXEMA_O_FORMA"))),IF(W78="EVENTO_BOOT",IF(H78=X78,AA78,IF(OR(H78="NINGUNO",H78="SOLO_HIBRIDO"),IF(J78="COMPLETA",AB78,"COBERTURA_INSUFICIENTE"),"LEXEMA_O_FORMA")),IF(W78="REQUISITO_SOFT",IF(H78=X78,AA78,IF(H78=Z78,AB78,"LEXEMA_O_FORMA")),IF(W78="EVENTO_PROC",IF(H78=X78,AA78,IF(H78=Z78,IF(J78="COMPLETA",AB78,"COBERTURA_INSUFICIENTE"),"LEXEMA_O_FORMA")),IF(W78="IMAGEN",IF(AND(AND(ISTEXT(H78),LEN(("x"&amp;H78))=65,EXACT(("x"&amp;H78),LOWER(("x"&amp;H78))),ISERROR(SEARCH(" ",("x"&amp;H78))),ISERROR(SEARCH(CHAR(9),("x"&amp;H78))),ISERROR(SEARCH(CHAR(10),("x"&amp;H78))),ISERROR(SEARCH(CHAR(13),("x"&amp;H78))),IFERROR(HEX2DEC(MID(("x"&amp;H78),2,8))&gt;=0,FALSE),IFERROR(HEX2DEC(MID(("x"&amp;H78),10,8))&gt;=0,FALSE),IFERROR(HEX2DEC(MID(("x"&amp;H78),18,8))&gt;=0,FALSE),IFERROR(HEX2DEC(MID(("x"&amp;H78),26,8))&gt;=0,FALSE),IFERROR(HEX2DEC(MID(("x"&amp;H78),34,8))&gt;=0,FALSE),IFERROR(HEX2DEC(MID(("x"&amp;H78),42,8))&gt;=0,FALSE),IFERROR(HEX2DEC(MID(("x"&amp;H78),50,8))&gt;=0,FALSE),IFERROR(HEX2DEC(MID(("x"&amp;H78),58,8))&gt;=0,FALSE)),AND(ISTEXT(I78),LEN(("x"&amp;I78))=65,EXACT(("x"&amp;I78),LOWER(("x"&amp;I78))),ISERROR(SEARCH(" ",("x"&amp;I78))),ISERROR(SEARCH(CHAR(9),("x"&amp;I78))),ISERROR(SEARCH(CHAR(10),("x"&amp;I78))),ISERROR(SEARCH(CHAR(13),("x"&amp;I78))),IFERROR(HEX2DEC(MID(("x"&amp;I78),2,8))&gt;=0,FALSE),IFERROR(HEX2DEC(MID(("x"&amp;I78),10,8))&gt;=0,FALSE),IFERROR(HEX2DEC(MID(("x"&amp;I78),18,8))&gt;=0,FALSE),IFERROR(HEX2DEC(MID(("x"&amp;I78),26,8))&gt;=0,FALSE),IFERROR(HEX2DEC(MID(("x"&amp;I78),34,8))&gt;=0,FALSE),IFERROR(HEX2DEC(MID(("x"&amp;I78),42,8))&gt;=0,FALSE),IFERROR(HEX2DEC(MID(("x"&amp;I78),50,8))&gt;=0,FALSE),IFERROR(HEX2DEC(MID(("x"&amp;I78),58,8))&gt;=0,FALSE))),IF(EXACT("x"&amp;H78,"x"&amp;I78),AA78,AB78),"LEXEMA_O_FORMA"),IF(W78="PRUEBA",IF(H78=X78,AA78,IF(H78=Z78,AB78,"LEXEMA_O_FORMA")),IF(W78="RETIRADA",IF(AND(H78="NINGUNO",I78=""),IF(J78="COMPLETA",AB78,"COBERTURA_INSUFICIENTE"),IF(AND(OR(H78="uoInstallation",H78="uoUninstallation"),OR(I78="orcSucceeded",I78="orcSucceededWithErrors",I78="orcFailed",I78="orcAborted",I78="orcInProgress",I78="orcNotStarted")),IF(AND(H78=X78,I78=Y78),AA78,IF(AND(H78=X78,OR(I78="orcSucceededWithErrors",I78="orcInProgress",I78="orcNotStarted")),"RESULTADO_RETIRADA_INCIERTO",IF(J78="COMPLETA",AB78,"COBERTURA_INSUFICIENTE"))),"LEXEMA_O_FORMA")),IF(W78="CAMBIO",IF(OR(H78="CAMBIO",H78="CAMBIO_Y_RETORNO"),AA78,IF(OR(H78="NINGUNO",H78="SOLO_RENOMBRE"),IF(J78="COMPLETA",AB78,"COBERTURA_INSUFICIENTE"),"LEXEMA_O_FORMA")),IF(W78="RESTAURACION",IF(H78=X78,AA78,IF(OR(H78="NINGUNO",H78="RESTAURACION_POSTERIOR",H78="RESTAURACION_FALLIDA"),IF(J78="COMPLETA",AB78,"COBERTURA_INSUFICIENTE"),"LEXEMA_O_FORMA")),"PERFIL_NO_CONSTITUIDO"))))))))))))))))))</x:f>
        <x:v>CONFLICTO_OBSERVACIONAL</x:v>
      </x:c>
      <x:c r="R78" s="12" t="str">
        <x:f>IF(AND(L78=O78,M78=P78,N78=Q78),"PASA","NO_PASA")</x:f>
        <x:v>PASA</x:v>
      </x:c>
      <x:c r="S78" s="4" t="str">
        <x:v>Conflicto entre observaciones admitidas del mismo sujeto y corte.</x:v>
      </x:c>
      <x:c r="T78" s="12" t="str">
        <x:f>IFERROR(INDEX('55_Codificacion_ensayo'!$B$5:$B$13,MATCH(B78,'55_Codificacion_ensayo'!$A$5:$A$13,0)),"")</x:f>
        <x:v>COMPROBACION-CRITERIO-UNITARIO-0.1</x:v>
      </x:c>
      <x:c r="U78" s="12" t="str">
        <x:f>IFERROR(INDEX('55_Codificacion_ensayo'!$C$5:$C$13,MATCH(B78,'55_Codificacion_ensayo'!$A$5:$A$13,0)),"")</x:f>
        <x:v>INFORME_PRUEBA</x:v>
      </x:c>
      <x:c r="V78" s="12" t="str">
        <x:f>IFERROR(INDEX('55_Codificacion_ensayo'!$D$5:$D$13,MATCH(B78,'55_Codificacion_ensayo'!$A$5:$A$13,0)),"")</x:f>
        <x:v>ORACULO_UNITARIO</x:v>
      </x:c>
      <x:c r="W78" s="12" t="str">
        <x:f>IFERROR(INDEX('55_Codificacion_ensayo'!$E$5:$E$13,MATCH(B78,'55_Codificacion_ensayo'!$A$5:$A$13,0)),"")</x:f>
        <x:v>PRUEBA</x:v>
      </x:c>
      <x:c r="X78" s="12" t="str">
        <x:f>IFERROR(INDEX('55_Codificacion_ensayo'!$F$5:$F$13,MATCH(B78,'55_Codificacion_ensayo'!$A$5:$A$13,0)),"")</x:f>
        <x:v>CRITERIO_CUMPLIDO</x:v>
      </x:c>
      <x:c r="Y78" s="12" t="str">
        <x:f>IFERROR(INDEX('55_Codificacion_ensayo'!$G$5:$G$13,MATCH(B78,'55_Codificacion_ensayo'!$A$5:$A$13,0)),"")</x:f>
      </x:c>
      <x:c r="Z78" s="12" t="str">
        <x:f>IFERROR(INDEX('55_Codificacion_ensayo'!$H$5:$H$13,MATCH(B78,'55_Codificacion_ensayo'!$A$5:$A$13,0)),"")</x:f>
        <x:v>CRITERIO_NO_CUMPLIDO</x:v>
      </x:c>
      <x:c r="AA78" s="12" t="str">
        <x:f>IFERROR(INDEX('55_Codificacion_ensayo'!$I$5:$I$13,MATCH(B78,'55_Codificacion_ensayo'!$A$5:$A$13,0)),"")</x:f>
        <x:v>CRITERIO_POSITIVO</x:v>
      </x:c>
      <x:c r="AB78" s="12" t="str">
        <x:f>IFERROR(INDEX('55_Codificacion_ensayo'!$J$5:$J$13,MATCH(B78,'55_Codificacion_ensayo'!$A$5:$A$13,0)),"")</x:f>
        <x:v>CRITERIO_NEGATIVO</x:v>
      </x:c>
    </x:row>
    <x:row r="79" ht="47" customHeight="1">
      <x:c r="A79" s="4" t="str">
        <x:v>L10-07-05</x:v>
      </x:c>
      <x:c r="B79" s="4" t="str">
        <x:v>PAR-CYB-COMPROBACION-POSITIVA-001</x:v>
      </x:c>
      <x:c r="C79" s="4" t="str">
        <x:v>COMPROBACION-CRITERIO-UNITARIO-0.1</x:v>
      </x:c>
      <x:c r="D79" s="4" t="str">
        <x:v>COINCIDE</x:v>
      </x:c>
      <x:c r="E79" s="4" t="str">
        <x:v>FALLO</x:v>
      </x:c>
      <x:c r="F79" s="4" t="str">
        <x:v>INFORME_PRUEBA</x:v>
      </x:c>
      <x:c r="G79" s="4" t="str">
        <x:v>UNICA</x:v>
      </x:c>
      <x:c r="H79" s="4" t="str">
        <x:v>CRITERIO_CUMPLIDO</x:v>
      </x:c>
      <x:c r="I79" s="4" t="str"/>
      <x:c r="J79" s="4" t="str">
        <x:v>COMPLETA</x:v>
      </x:c>
      <x:c r="K79" s="4" t="str">
        <x:v>ORACULO_UNITARIO</x:v>
      </x:c>
      <x:c r="L79" s="4" t="str">
        <x:v>FALLO_CAPTURA</x:v>
      </x:c>
      <x:c r="M79" s="4" t="str"/>
      <x:c r="N79" s="4" t="str">
        <x:v>SIN_EJECUCION_DOMINIO</x:v>
      </x:c>
      <x:c r="O79" s="12" t="str">
        <x:f>IF(Q79="SIN_EJECUCION_DOMINIO","FALLO_CAPTURA",IF(OR(Q79="CAPTURA_MAL_FORMADA",Q79="IDENTIDAD",Q79="OBSERVACION_MAL_FORMADA",Q79="LEXEMA_O_FORMA"),"NO_ADMISION",IF(OR(Q79="PERFIL_NO_CONSTITUIDO",Q79="RESULTADO_NO_TERMINAL"),"FUERA_PERFIL",IF(Q79="CONTEXTO_NO_CONSTITUIDO","CONFIGURACION_PENDIENTE","VALIDA"))))</x:f>
        <x:v>FALLO_CAPTURA</x:v>
      </x:c>
      <x:c r="P79" s="12" t="str">
        <x:f>IF(O79&lt;&gt;"VALIDA","",IF(Q79=AA79,"1",IF(Q79=AB79,"0","U")))</x:f>
      </x:c>
      <x:c r="Q79" s="12" t="str">
        <x:f>IF(E79="FALLO","SIN_EJECUCION_DOMINIO",IF(E79&lt;&gt;"LEGIBLE","CAPTURA_MAL_FORMADA",IF(D79&lt;&gt;"COINCIDE","IDENTIDAD",IF(OR(T79="",C79&lt;&gt;T79),"PERFIL_NO_CONSTITUIDO",IF(K79&lt;&gt;V79,IF(V79="ORDEN_ACREDITADO","ORDEN_NO_ACREDITADO","CONTEXTO_NO_CONSTITUIDO"),IF(AND(G79="AUSENTE",H79="",I79=""),"DATO_AUSENTE",IF(AND(G79="CONFLICTO",H79="",I79=""),"CONFLICTO_OBSERVACIONAL",IF(G79&lt;&gt;"UNICA","OBSERVACION_MAL_FORMADA",IF(F79&lt;&gt;U79,"OBSERVACION_INSUFICIENTE",IF(W79="RESULTADO",IF(H79=X79,AA79,IF(OR(H79="orcSucceededWithErrors",H79="orcFailed",H79="orcAborted"),AB79,IF(OR(H79="orcNotStarted",H79="orcInProgress"),"RESULTADO_NO_TERMINAL","LEXEMA_O_FORMA"))),IF(W79="EVENTO_BOOT",IF(H79=X79,AA79,IF(OR(H79="NINGUNO",H79="SOLO_HIBRIDO"),IF(J79="COMPLETA",AB79,"COBERTURA_INSUFICIENTE"),"LEXEMA_O_FORMA")),IF(W79="REQUISITO_SOFT",IF(H79=X79,AA79,IF(H79=Z79,AB79,"LEXEMA_O_FORMA")),IF(W79="EVENTO_PROC",IF(H79=X79,AA79,IF(H79=Z79,IF(J79="COMPLETA",AB79,"COBERTURA_INSUFICIENTE"),"LEXEMA_O_FORMA")),IF(W79="IMAGEN",IF(AND(AND(ISTEXT(H79),LEN(("x"&amp;H79))=65,EXACT(("x"&amp;H79),LOWER(("x"&amp;H79))),ISERROR(SEARCH(" ",("x"&amp;H79))),ISERROR(SEARCH(CHAR(9),("x"&amp;H79))),ISERROR(SEARCH(CHAR(10),("x"&amp;H79))),ISERROR(SEARCH(CHAR(13),("x"&amp;H79))),IFERROR(HEX2DEC(MID(("x"&amp;H79),2,8))&gt;=0,FALSE),IFERROR(HEX2DEC(MID(("x"&amp;H79),10,8))&gt;=0,FALSE),IFERROR(HEX2DEC(MID(("x"&amp;H79),18,8))&gt;=0,FALSE),IFERROR(HEX2DEC(MID(("x"&amp;H79),26,8))&gt;=0,FALSE),IFERROR(HEX2DEC(MID(("x"&amp;H79),34,8))&gt;=0,FALSE),IFERROR(HEX2DEC(MID(("x"&amp;H79),42,8))&gt;=0,FALSE),IFERROR(HEX2DEC(MID(("x"&amp;H79),50,8))&gt;=0,FALSE),IFERROR(HEX2DEC(MID(("x"&amp;H79),58,8))&gt;=0,FALSE)),AND(ISTEXT(I79),LEN(("x"&amp;I79))=65,EXACT(("x"&amp;I79),LOWER(("x"&amp;I79))),ISERROR(SEARCH(" ",("x"&amp;I79))),ISERROR(SEARCH(CHAR(9),("x"&amp;I79))),ISERROR(SEARCH(CHAR(10),("x"&amp;I79))),ISERROR(SEARCH(CHAR(13),("x"&amp;I79))),IFERROR(HEX2DEC(MID(("x"&amp;I79),2,8))&gt;=0,FALSE),IFERROR(HEX2DEC(MID(("x"&amp;I79),10,8))&gt;=0,FALSE),IFERROR(HEX2DEC(MID(("x"&amp;I79),18,8))&gt;=0,FALSE),IFERROR(HEX2DEC(MID(("x"&amp;I79),26,8))&gt;=0,FALSE),IFERROR(HEX2DEC(MID(("x"&amp;I79),34,8))&gt;=0,FALSE),IFERROR(HEX2DEC(MID(("x"&amp;I79),42,8))&gt;=0,FALSE),IFERROR(HEX2DEC(MID(("x"&amp;I79),50,8))&gt;=0,FALSE),IFERROR(HEX2DEC(MID(("x"&amp;I79),58,8))&gt;=0,FALSE))),IF(EXACT("x"&amp;H79,"x"&amp;I79),AA79,AB79),"LEXEMA_O_FORMA"),IF(W79="PRUEBA",IF(H79=X79,AA79,IF(H79=Z79,AB79,"LEXEMA_O_FORMA")),IF(W79="RETIRADA",IF(AND(H79="NINGUNO",I79=""),IF(J79="COMPLETA",AB79,"COBERTURA_INSUFICIENTE"),IF(AND(OR(H79="uoInstallation",H79="uoUninstallation"),OR(I79="orcSucceeded",I79="orcSucceededWithErrors",I79="orcFailed",I79="orcAborted",I79="orcInProgress",I79="orcNotStarted")),IF(AND(H79=X79,I79=Y79),AA79,IF(AND(H79=X79,OR(I79="orcSucceededWithErrors",I79="orcInProgress",I79="orcNotStarted")),"RESULTADO_RETIRADA_INCIERTO",IF(J79="COMPLETA",AB79,"COBERTURA_INSUFICIENTE"))),"LEXEMA_O_FORMA")),IF(W79="CAMBIO",IF(OR(H79="CAMBIO",H79="CAMBIO_Y_RETORNO"),AA79,IF(OR(H79="NINGUNO",H79="SOLO_RENOMBRE"),IF(J79="COMPLETA",AB79,"COBERTURA_INSUFICIENTE"),"LEXEMA_O_FORMA")),IF(W79="RESTAURACION",IF(H79=X79,AA79,IF(OR(H79="NINGUNO",H79="RESTAURACION_POSTERIOR",H79="RESTAURACION_FALLIDA"),IF(J79="COMPLETA",AB79,"COBERTURA_INSUFICIENTE"),"LEXEMA_O_FORMA")),"PERFIL_NO_CONSTITUIDO"))))))))))))))))))</x:f>
        <x:v>SIN_EJECUCION_DOMINIO</x:v>
      </x:c>
      <x:c r="R79" s="12" t="str">
        <x:f>IF(AND(L79=O79,M79=P79,N79=Q79),"PASA","NO_PASA")</x:f>
        <x:v>PASA</x:v>
      </x:c>
      <x:c r="S79" s="4" t="str">
        <x:v>El observador falla; no existe ejecución de dominio ni Tri alternativo.</x:v>
      </x:c>
      <x:c r="T79" s="12" t="str">
        <x:f>IFERROR(INDEX('55_Codificacion_ensayo'!$B$5:$B$13,MATCH(B79,'55_Codificacion_ensayo'!$A$5:$A$13,0)),"")</x:f>
        <x:v>COMPROBACION-CRITERIO-UNITARIO-0.1</x:v>
      </x:c>
      <x:c r="U79" s="12" t="str">
        <x:f>IFERROR(INDEX('55_Codificacion_ensayo'!$C$5:$C$13,MATCH(B79,'55_Codificacion_ensayo'!$A$5:$A$13,0)),"")</x:f>
        <x:v>INFORME_PRUEBA</x:v>
      </x:c>
      <x:c r="V79" s="12" t="str">
        <x:f>IFERROR(INDEX('55_Codificacion_ensayo'!$D$5:$D$13,MATCH(B79,'55_Codificacion_ensayo'!$A$5:$A$13,0)),"")</x:f>
        <x:v>ORACULO_UNITARIO</x:v>
      </x:c>
      <x:c r="W79" s="12" t="str">
        <x:f>IFERROR(INDEX('55_Codificacion_ensayo'!$E$5:$E$13,MATCH(B79,'55_Codificacion_ensayo'!$A$5:$A$13,0)),"")</x:f>
        <x:v>PRUEBA</x:v>
      </x:c>
      <x:c r="X79" s="12" t="str">
        <x:f>IFERROR(INDEX('55_Codificacion_ensayo'!$F$5:$F$13,MATCH(B79,'55_Codificacion_ensayo'!$A$5:$A$13,0)),"")</x:f>
        <x:v>CRITERIO_CUMPLIDO</x:v>
      </x:c>
      <x:c r="Y79" s="12" t="str">
        <x:f>IFERROR(INDEX('55_Codificacion_ensayo'!$G$5:$G$13,MATCH(B79,'55_Codificacion_ensayo'!$A$5:$A$13,0)),"")</x:f>
      </x:c>
      <x:c r="Z79" s="12" t="str">
        <x:f>IFERROR(INDEX('55_Codificacion_ensayo'!$H$5:$H$13,MATCH(B79,'55_Codificacion_ensayo'!$A$5:$A$13,0)),"")</x:f>
        <x:v>CRITERIO_NO_CUMPLIDO</x:v>
      </x:c>
      <x:c r="AA79" s="12" t="str">
        <x:f>IFERROR(INDEX('55_Codificacion_ensayo'!$I$5:$I$13,MATCH(B79,'55_Codificacion_ensayo'!$A$5:$A$13,0)),"")</x:f>
        <x:v>CRITERIO_POSITIVO</x:v>
      </x:c>
      <x:c r="AB79" s="12" t="str">
        <x:f>IFERROR(INDEX('55_Codificacion_ensayo'!$J$5:$J$13,MATCH(B79,'55_Codificacion_ensayo'!$A$5:$A$13,0)),"")</x:f>
        <x:v>CRITERIO_NEGATIVO</x:v>
      </x:c>
    </x:row>
    <x:row r="80" ht="47" customHeight="1">
      <x:c r="A80" s="4" t="str">
        <x:v>L10-07-06</x:v>
      </x:c>
      <x:c r="B80" s="4" t="str">
        <x:v>PAR-CYB-COMPROBACION-POSITIVA-001</x:v>
      </x:c>
      <x:c r="C80" s="4" t="str">
        <x:v>COMPROBACION-CRITERIO-UNITARIO-0.1</x:v>
      </x:c>
      <x:c r="D80" s="4" t="str">
        <x:v>OTRO</x:v>
      </x:c>
      <x:c r="E80" s="4" t="str">
        <x:v>LEGIBLE</x:v>
      </x:c>
      <x:c r="F80" s="4" t="str">
        <x:v>INFORME_PRUEBA</x:v>
      </x:c>
      <x:c r="G80" s="4" t="str">
        <x:v>UNICA</x:v>
      </x:c>
      <x:c r="H80" s="4" t="str">
        <x:v>CRITERIO_CUMPLIDO</x:v>
      </x:c>
      <x:c r="I80" s="4" t="str"/>
      <x:c r="J80" s="4" t="str">
        <x:v>COMPLETA</x:v>
      </x:c>
      <x:c r="K80" s="4" t="str">
        <x:v>ORACULO_UNITARIO</x:v>
      </x:c>
      <x:c r="L80" s="4" t="str">
        <x:v>NO_ADMISION</x:v>
      </x:c>
      <x:c r="M80" s="4" t="str"/>
      <x:c r="N80" s="4" t="str">
        <x:v>IDENTIDAD</x:v>
      </x:c>
      <x:c r="O80" s="12" t="str">
        <x:f>IF(Q80="SIN_EJECUCION_DOMINIO","FALLO_CAPTURA",IF(OR(Q80="CAPTURA_MAL_FORMADA",Q80="IDENTIDAD",Q80="OBSERVACION_MAL_FORMADA",Q80="LEXEMA_O_FORMA"),"NO_ADMISION",IF(OR(Q80="PERFIL_NO_CONSTITUIDO",Q80="RESULTADO_NO_TERMINAL"),"FUERA_PERFIL",IF(Q80="CONTEXTO_NO_CONSTITUIDO","CONFIGURACION_PENDIENTE","VALIDA"))))</x:f>
        <x:v>NO_ADMISION</x:v>
      </x:c>
      <x:c r="P80" s="12" t="str">
        <x:f>IF(O80&lt;&gt;"VALIDA","",IF(Q80=AA80,"1",IF(Q80=AB80,"0","U")))</x:f>
      </x:c>
      <x:c r="Q80" s="12" t="str">
        <x:f>IF(E80="FALLO","SIN_EJECUCION_DOMINIO",IF(E80&lt;&gt;"LEGIBLE","CAPTURA_MAL_FORMADA",IF(D80&lt;&gt;"COINCIDE","IDENTIDAD",IF(OR(T80="",C80&lt;&gt;T80),"PERFIL_NO_CONSTITUIDO",IF(K80&lt;&gt;V80,IF(V80="ORDEN_ACREDITADO","ORDEN_NO_ACREDITADO","CONTEXTO_NO_CONSTITUIDO"),IF(AND(G80="AUSENTE",H80="",I80=""),"DATO_AUSENTE",IF(AND(G80="CONFLICTO",H80="",I80=""),"CONFLICTO_OBSERVACIONAL",IF(G80&lt;&gt;"UNICA","OBSERVACION_MAL_FORMADA",IF(F80&lt;&gt;U80,"OBSERVACION_INSUFICIENTE",IF(W80="RESULTADO",IF(H80=X80,AA80,IF(OR(H80="orcSucceededWithErrors",H80="orcFailed",H80="orcAborted"),AB80,IF(OR(H80="orcNotStarted",H80="orcInProgress"),"RESULTADO_NO_TERMINAL","LEXEMA_O_FORMA"))),IF(W80="EVENTO_BOOT",IF(H80=X80,AA80,IF(OR(H80="NINGUNO",H80="SOLO_HIBRIDO"),IF(J80="COMPLETA",AB80,"COBERTURA_INSUFICIENTE"),"LEXEMA_O_FORMA")),IF(W80="REQUISITO_SOFT",IF(H80=X80,AA80,IF(H80=Z80,AB80,"LEXEMA_O_FORMA")),IF(W80="EVENTO_PROC",IF(H80=X80,AA80,IF(H80=Z80,IF(J80="COMPLETA",AB80,"COBERTURA_INSUFICIENTE"),"LEXEMA_O_FORMA")),IF(W80="IMAGEN",IF(AND(AND(ISTEXT(H80),LEN(("x"&amp;H80))=65,EXACT(("x"&amp;H80),LOWER(("x"&amp;H80))),ISERROR(SEARCH(" ",("x"&amp;H80))),ISERROR(SEARCH(CHAR(9),("x"&amp;H80))),ISERROR(SEARCH(CHAR(10),("x"&amp;H80))),ISERROR(SEARCH(CHAR(13),("x"&amp;H80))),IFERROR(HEX2DEC(MID(("x"&amp;H80),2,8))&gt;=0,FALSE),IFERROR(HEX2DEC(MID(("x"&amp;H80),10,8))&gt;=0,FALSE),IFERROR(HEX2DEC(MID(("x"&amp;H80),18,8))&gt;=0,FALSE),IFERROR(HEX2DEC(MID(("x"&amp;H80),26,8))&gt;=0,FALSE),IFERROR(HEX2DEC(MID(("x"&amp;H80),34,8))&gt;=0,FALSE),IFERROR(HEX2DEC(MID(("x"&amp;H80),42,8))&gt;=0,FALSE),IFERROR(HEX2DEC(MID(("x"&amp;H80),50,8))&gt;=0,FALSE),IFERROR(HEX2DEC(MID(("x"&amp;H80),58,8))&gt;=0,FALSE)),AND(ISTEXT(I80),LEN(("x"&amp;I80))=65,EXACT(("x"&amp;I80),LOWER(("x"&amp;I80))),ISERROR(SEARCH(" ",("x"&amp;I80))),ISERROR(SEARCH(CHAR(9),("x"&amp;I80))),ISERROR(SEARCH(CHAR(10),("x"&amp;I80))),ISERROR(SEARCH(CHAR(13),("x"&amp;I80))),IFERROR(HEX2DEC(MID(("x"&amp;I80),2,8))&gt;=0,FALSE),IFERROR(HEX2DEC(MID(("x"&amp;I80),10,8))&gt;=0,FALSE),IFERROR(HEX2DEC(MID(("x"&amp;I80),18,8))&gt;=0,FALSE),IFERROR(HEX2DEC(MID(("x"&amp;I80),26,8))&gt;=0,FALSE),IFERROR(HEX2DEC(MID(("x"&amp;I80),34,8))&gt;=0,FALSE),IFERROR(HEX2DEC(MID(("x"&amp;I80),42,8))&gt;=0,FALSE),IFERROR(HEX2DEC(MID(("x"&amp;I80),50,8))&gt;=0,FALSE),IFERROR(HEX2DEC(MID(("x"&amp;I80),58,8))&gt;=0,FALSE))),IF(EXACT("x"&amp;H80,"x"&amp;I80),AA80,AB80),"LEXEMA_O_FORMA"),IF(W80="PRUEBA",IF(H80=X80,AA80,IF(H80=Z80,AB80,"LEXEMA_O_FORMA")),IF(W80="RETIRADA",IF(AND(H80="NINGUNO",I80=""),IF(J80="COMPLETA",AB80,"COBERTURA_INSUFICIENTE"),IF(AND(OR(H80="uoInstallation",H80="uoUninstallation"),OR(I80="orcSucceeded",I80="orcSucceededWithErrors",I80="orcFailed",I80="orcAborted",I80="orcInProgress",I80="orcNotStarted")),IF(AND(H80=X80,I80=Y80),AA80,IF(AND(H80=X80,OR(I80="orcSucceededWithErrors",I80="orcInProgress",I80="orcNotStarted")),"RESULTADO_RETIRADA_INCIERTO",IF(J80="COMPLETA",AB80,"COBERTURA_INSUFICIENTE"))),"LEXEMA_O_FORMA")),IF(W80="CAMBIO",IF(OR(H80="CAMBIO",H80="CAMBIO_Y_RETORNO"),AA80,IF(OR(H80="NINGUNO",H80="SOLO_RENOMBRE"),IF(J80="COMPLETA",AB80,"COBERTURA_INSUFICIENTE"),"LEXEMA_O_FORMA")),IF(W80="RESTAURACION",IF(H80=X80,AA80,IF(OR(H80="NINGUNO",H80="RESTAURACION_POSTERIOR",H80="RESTAURACION_FALLIDA"),IF(J80="COMPLETA",AB80,"COBERTURA_INSUFICIENTE"),"LEXEMA_O_FORMA")),"PERFIL_NO_CONSTITUIDO"))))))))))))))))))</x:f>
        <x:v>IDENTIDAD</x:v>
      </x:c>
      <x:c r="R80" s="12" t="str">
        <x:f>IF(AND(L80=O80,M80=P80,N80=Q80),"PASA","NO_PASA")</x:f>
        <x:v>PASA</x:v>
      </x:c>
      <x:c r="S80" s="4" t="str">
        <x:v>El testigo pertenece a otro sujeto; no se recicla su dato.</x:v>
      </x:c>
      <x:c r="T80" s="12" t="str">
        <x:f>IFERROR(INDEX('55_Codificacion_ensayo'!$B$5:$B$13,MATCH(B80,'55_Codificacion_ensayo'!$A$5:$A$13,0)),"")</x:f>
        <x:v>COMPROBACION-CRITERIO-UNITARIO-0.1</x:v>
      </x:c>
      <x:c r="U80" s="12" t="str">
        <x:f>IFERROR(INDEX('55_Codificacion_ensayo'!$C$5:$C$13,MATCH(B80,'55_Codificacion_ensayo'!$A$5:$A$13,0)),"")</x:f>
        <x:v>INFORME_PRUEBA</x:v>
      </x:c>
      <x:c r="V80" s="12" t="str">
        <x:f>IFERROR(INDEX('55_Codificacion_ensayo'!$D$5:$D$13,MATCH(B80,'55_Codificacion_ensayo'!$A$5:$A$13,0)),"")</x:f>
        <x:v>ORACULO_UNITARIO</x:v>
      </x:c>
      <x:c r="W80" s="12" t="str">
        <x:f>IFERROR(INDEX('55_Codificacion_ensayo'!$E$5:$E$13,MATCH(B80,'55_Codificacion_ensayo'!$A$5:$A$13,0)),"")</x:f>
        <x:v>PRUEBA</x:v>
      </x:c>
      <x:c r="X80" s="12" t="str">
        <x:f>IFERROR(INDEX('55_Codificacion_ensayo'!$F$5:$F$13,MATCH(B80,'55_Codificacion_ensayo'!$A$5:$A$13,0)),"")</x:f>
        <x:v>CRITERIO_CUMPLIDO</x:v>
      </x:c>
      <x:c r="Y80" s="12" t="str">
        <x:f>IFERROR(INDEX('55_Codificacion_ensayo'!$G$5:$G$13,MATCH(B80,'55_Codificacion_ensayo'!$A$5:$A$13,0)),"")</x:f>
      </x:c>
      <x:c r="Z80" s="12" t="str">
        <x:f>IFERROR(INDEX('55_Codificacion_ensayo'!$H$5:$H$13,MATCH(B80,'55_Codificacion_ensayo'!$A$5:$A$13,0)),"")</x:f>
        <x:v>CRITERIO_NO_CUMPLIDO</x:v>
      </x:c>
      <x:c r="AA80" s="12" t="str">
        <x:f>IFERROR(INDEX('55_Codificacion_ensayo'!$I$5:$I$13,MATCH(B80,'55_Codificacion_ensayo'!$A$5:$A$13,0)),"")</x:f>
        <x:v>CRITERIO_POSITIVO</x:v>
      </x:c>
      <x:c r="AB80" s="12" t="str">
        <x:f>IFERROR(INDEX('55_Codificacion_ensayo'!$J$5:$J$13,MATCH(B80,'55_Codificacion_ensayo'!$A$5:$A$13,0)),"")</x:f>
        <x:v>CRITERIO_NEGATIVO</x:v>
      </x:c>
    </x:row>
    <x:row r="81" ht="47" customHeight="1">
      <x:c r="A81" s="4" t="str">
        <x:v>L10-07-07</x:v>
      </x:c>
      <x:c r="B81" s="4" t="str">
        <x:v>PAR-CYB-COMPROBACION-POSITIVA-001</x:v>
      </x:c>
      <x:c r="C81" s="4" t="str">
        <x:v>COMPROBACION-CRITERIO-UNITARIO-0.1</x:v>
      </x:c>
      <x:c r="D81" s="4" t="str">
        <x:v>COINCIDE</x:v>
      </x:c>
      <x:c r="E81" s="4" t="str">
        <x:v>LEGIBLE</x:v>
      </x:c>
      <x:c r="F81" s="4" t="str">
        <x:v>FUENTE_GENERAL</x:v>
      </x:c>
      <x:c r="G81" s="4" t="str">
        <x:v>UNICA</x:v>
      </x:c>
      <x:c r="H81" s="4" t="str">
        <x:v>CRITERIO_CUMPLIDO</x:v>
      </x:c>
      <x:c r="I81" s="4" t="str"/>
      <x:c r="J81" s="4" t="str">
        <x:v>COMPLETA</x:v>
      </x:c>
      <x:c r="K81" s="4" t="str">
        <x:v>ORACULO_UNITARIO</x:v>
      </x:c>
      <x:c r="L81" s="4" t="str">
        <x:v>VALIDA</x:v>
      </x:c>
      <x:c r="M81" s="4" t="str">
        <x:v>U</x:v>
      </x:c>
      <x:c r="N81" s="4" t="str">
        <x:v>OBSERVACION_INSUFICIENTE</x:v>
      </x:c>
      <x:c r="O81" s="12" t="str">
        <x:f>IF(Q81="SIN_EJECUCION_DOMINIO","FALLO_CAPTURA",IF(OR(Q81="CAPTURA_MAL_FORMADA",Q81="IDENTIDAD",Q81="OBSERVACION_MAL_FORMADA",Q81="LEXEMA_O_FORMA"),"NO_ADMISION",IF(OR(Q81="PERFIL_NO_CONSTITUIDO",Q81="RESULTADO_NO_TERMINAL"),"FUERA_PERFIL",IF(Q81="CONTEXTO_NO_CONSTITUIDO","CONFIGURACION_PENDIENTE","VALIDA"))))</x:f>
        <x:v>VALIDA</x:v>
      </x:c>
      <x:c r="P81" s="12" t="str">
        <x:f>IF(O81&lt;&gt;"VALIDA","",IF(Q81=AA81,"1",IF(Q81=AB81,"0","U")))</x:f>
        <x:v>U</x:v>
      </x:c>
      <x:c r="Q81" s="12" t="str">
        <x:f>IF(E81="FALLO","SIN_EJECUCION_DOMINIO",IF(E81&lt;&gt;"LEGIBLE","CAPTURA_MAL_FORMADA",IF(D81&lt;&gt;"COINCIDE","IDENTIDAD",IF(OR(T81="",C81&lt;&gt;T81),"PERFIL_NO_CONSTITUIDO",IF(K81&lt;&gt;V81,IF(V81="ORDEN_ACREDITADO","ORDEN_NO_ACREDITADO","CONTEXTO_NO_CONSTITUIDO"),IF(AND(G81="AUSENTE",H81="",I81=""),"DATO_AUSENTE",IF(AND(G81="CONFLICTO",H81="",I81=""),"CONFLICTO_OBSERVACIONAL",IF(G81&lt;&gt;"UNICA","OBSERVACION_MAL_FORMADA",IF(F81&lt;&gt;U81,"OBSERVACION_INSUFICIENTE",IF(W81="RESULTADO",IF(H81=X81,AA81,IF(OR(H81="orcSucceededWithErrors",H81="orcFailed",H81="orcAborted"),AB81,IF(OR(H81="orcNotStarted",H81="orcInProgress"),"RESULTADO_NO_TERMINAL","LEXEMA_O_FORMA"))),IF(W81="EVENTO_BOOT",IF(H81=X81,AA81,IF(OR(H81="NINGUNO",H81="SOLO_HIBRIDO"),IF(J81="COMPLETA",AB81,"COBERTURA_INSUFICIENTE"),"LEXEMA_O_FORMA")),IF(W81="REQUISITO_SOFT",IF(H81=X81,AA81,IF(H81=Z81,AB81,"LEXEMA_O_FORMA")),IF(W81="EVENTO_PROC",IF(H81=X81,AA81,IF(H81=Z81,IF(J81="COMPLETA",AB81,"COBERTURA_INSUFICIENTE"),"LEXEMA_O_FORMA")),IF(W81="IMAGEN",IF(AND(AND(ISTEXT(H81),LEN(("x"&amp;H81))=65,EXACT(("x"&amp;H81),LOWER(("x"&amp;H81))),ISERROR(SEARCH(" ",("x"&amp;H81))),ISERROR(SEARCH(CHAR(9),("x"&amp;H81))),ISERROR(SEARCH(CHAR(10),("x"&amp;H81))),ISERROR(SEARCH(CHAR(13),("x"&amp;H81))),IFERROR(HEX2DEC(MID(("x"&amp;H81),2,8))&gt;=0,FALSE),IFERROR(HEX2DEC(MID(("x"&amp;H81),10,8))&gt;=0,FALSE),IFERROR(HEX2DEC(MID(("x"&amp;H81),18,8))&gt;=0,FALSE),IFERROR(HEX2DEC(MID(("x"&amp;H81),26,8))&gt;=0,FALSE),IFERROR(HEX2DEC(MID(("x"&amp;H81),34,8))&gt;=0,FALSE),IFERROR(HEX2DEC(MID(("x"&amp;H81),42,8))&gt;=0,FALSE),IFERROR(HEX2DEC(MID(("x"&amp;H81),50,8))&gt;=0,FALSE),IFERROR(HEX2DEC(MID(("x"&amp;H81),58,8))&gt;=0,FALSE)),AND(ISTEXT(I81),LEN(("x"&amp;I81))=65,EXACT(("x"&amp;I81),LOWER(("x"&amp;I81))),ISERROR(SEARCH(" ",("x"&amp;I81))),ISERROR(SEARCH(CHAR(9),("x"&amp;I81))),ISERROR(SEARCH(CHAR(10),("x"&amp;I81))),ISERROR(SEARCH(CHAR(13),("x"&amp;I81))),IFERROR(HEX2DEC(MID(("x"&amp;I81),2,8))&gt;=0,FALSE),IFERROR(HEX2DEC(MID(("x"&amp;I81),10,8))&gt;=0,FALSE),IFERROR(HEX2DEC(MID(("x"&amp;I81),18,8))&gt;=0,FALSE),IFERROR(HEX2DEC(MID(("x"&amp;I81),26,8))&gt;=0,FALSE),IFERROR(HEX2DEC(MID(("x"&amp;I81),34,8))&gt;=0,FALSE),IFERROR(HEX2DEC(MID(("x"&amp;I81),42,8))&gt;=0,FALSE),IFERROR(HEX2DEC(MID(("x"&amp;I81),50,8))&gt;=0,FALSE),IFERROR(HEX2DEC(MID(("x"&amp;I81),58,8))&gt;=0,FALSE))),IF(EXACT("x"&amp;H81,"x"&amp;I81),AA81,AB81),"LEXEMA_O_FORMA"),IF(W81="PRUEBA",IF(H81=X81,AA81,IF(H81=Z81,AB81,"LEXEMA_O_FORMA")),IF(W81="RETIRADA",IF(AND(H81="NINGUNO",I81=""),IF(J81="COMPLETA",AB81,"COBERTURA_INSUFICIENTE"),IF(AND(OR(H81="uoInstallation",H81="uoUninstallation"),OR(I81="orcSucceeded",I81="orcSucceededWithErrors",I81="orcFailed",I81="orcAborted",I81="orcInProgress",I81="orcNotStarted")),IF(AND(H81=X81,I81=Y81),AA81,IF(AND(H81=X81,OR(I81="orcSucceededWithErrors",I81="orcInProgress",I81="orcNotStarted")),"RESULTADO_RETIRADA_INCIERTO",IF(J81="COMPLETA",AB81,"COBERTURA_INSUFICIENTE"))),"LEXEMA_O_FORMA")),IF(W81="CAMBIO",IF(OR(H81="CAMBIO",H81="CAMBIO_Y_RETORNO"),AA81,IF(OR(H81="NINGUNO",H81="SOLO_RENOMBRE"),IF(J81="COMPLETA",AB81,"COBERTURA_INSUFICIENTE"),"LEXEMA_O_FORMA")),IF(W81="RESTAURACION",IF(H81=X81,AA81,IF(OR(H81="NINGUNO",H81="RESTAURACION_POSTERIOR",H81="RESTAURACION_FALLIDA"),IF(J81="COMPLETA",AB81,"COBERTURA_INSUFICIENTE"),"LEXEMA_O_FORMA")),"PERFIL_NO_CONSTITUIDO"))))))))))))))))))</x:f>
        <x:v>OBSERVACION_INSUFICIENTE</x:v>
      </x:c>
      <x:c r="R81" s="12" t="str">
        <x:f>IF(AND(L81=O81,M81=P81,N81=Q81),"PASA","NO_PASA")</x:f>
        <x:v>PASA</x:v>
      </x:c>
      <x:c r="S81" s="4" t="str">
        <x:v>Una fuente del dominio no sustituye la observación específica del episodio.</x:v>
      </x:c>
      <x:c r="T81" s="12" t="str">
        <x:f>IFERROR(INDEX('55_Codificacion_ensayo'!$B$5:$B$13,MATCH(B81,'55_Codificacion_ensayo'!$A$5:$A$13,0)),"")</x:f>
        <x:v>COMPROBACION-CRITERIO-UNITARIO-0.1</x:v>
      </x:c>
      <x:c r="U81" s="12" t="str">
        <x:f>IFERROR(INDEX('55_Codificacion_ensayo'!$C$5:$C$13,MATCH(B81,'55_Codificacion_ensayo'!$A$5:$A$13,0)),"")</x:f>
        <x:v>INFORME_PRUEBA</x:v>
      </x:c>
      <x:c r="V81" s="12" t="str">
        <x:f>IFERROR(INDEX('55_Codificacion_ensayo'!$D$5:$D$13,MATCH(B81,'55_Codificacion_ensayo'!$A$5:$A$13,0)),"")</x:f>
        <x:v>ORACULO_UNITARIO</x:v>
      </x:c>
      <x:c r="W81" s="12" t="str">
        <x:f>IFERROR(INDEX('55_Codificacion_ensayo'!$E$5:$E$13,MATCH(B81,'55_Codificacion_ensayo'!$A$5:$A$13,0)),"")</x:f>
        <x:v>PRUEBA</x:v>
      </x:c>
      <x:c r="X81" s="12" t="str">
        <x:f>IFERROR(INDEX('55_Codificacion_ensayo'!$F$5:$F$13,MATCH(B81,'55_Codificacion_ensayo'!$A$5:$A$13,0)),"")</x:f>
        <x:v>CRITERIO_CUMPLIDO</x:v>
      </x:c>
      <x:c r="Y81" s="12" t="str">
        <x:f>IFERROR(INDEX('55_Codificacion_ensayo'!$G$5:$G$13,MATCH(B81,'55_Codificacion_ensayo'!$A$5:$A$13,0)),"")</x:f>
      </x:c>
      <x:c r="Z81" s="12" t="str">
        <x:f>IFERROR(INDEX('55_Codificacion_ensayo'!$H$5:$H$13,MATCH(B81,'55_Codificacion_ensayo'!$A$5:$A$13,0)),"")</x:f>
        <x:v>CRITERIO_NO_CUMPLIDO</x:v>
      </x:c>
      <x:c r="AA81" s="12" t="str">
        <x:f>IFERROR(INDEX('55_Codificacion_ensayo'!$I$5:$I$13,MATCH(B81,'55_Codificacion_ensayo'!$A$5:$A$13,0)),"")</x:f>
        <x:v>CRITERIO_POSITIVO</x:v>
      </x:c>
      <x:c r="AB81" s="12" t="str">
        <x:f>IFERROR(INDEX('55_Codificacion_ensayo'!$J$5:$J$13,MATCH(B81,'55_Codificacion_ensayo'!$A$5:$A$13,0)),"")</x:f>
        <x:v>CRITERIO_NEGATIVO</x:v>
      </x:c>
    </x:row>
    <x:row r="82" ht="47" customHeight="1">
      <x:c r="A82" s="4" t="str">
        <x:v>L10-07-08</x:v>
      </x:c>
      <x:c r="B82" s="4" t="str">
        <x:v>PAR-CYB-COMPROBACION-POSITIVA-001</x:v>
      </x:c>
      <x:c r="C82" s="4" t="str">
        <x:v>OTRO_PERFIL</x:v>
      </x:c>
      <x:c r="D82" s="4" t="str">
        <x:v>COINCIDE</x:v>
      </x:c>
      <x:c r="E82" s="4" t="str">
        <x:v>LEGIBLE</x:v>
      </x:c>
      <x:c r="F82" s="4" t="str">
        <x:v>INFORME_PRUEBA</x:v>
      </x:c>
      <x:c r="G82" s="4" t="str">
        <x:v>UNICA</x:v>
      </x:c>
      <x:c r="H82" s="4" t="str">
        <x:v>CRITERIO_CUMPLIDO</x:v>
      </x:c>
      <x:c r="I82" s="4" t="str"/>
      <x:c r="J82" s="4" t="str">
        <x:v>COMPLETA</x:v>
      </x:c>
      <x:c r="K82" s="4" t="str">
        <x:v>ORACULO_UNITARIO</x:v>
      </x:c>
      <x:c r="L82" s="4" t="str">
        <x:v>FUERA_PERFIL</x:v>
      </x:c>
      <x:c r="M82" s="4" t="str"/>
      <x:c r="N82" s="4" t="str">
        <x:v>PERFIL_NO_CONSTITUIDO</x:v>
      </x:c>
      <x:c r="O82" s="12" t="str">
        <x:f>IF(Q82="SIN_EJECUCION_DOMINIO","FALLO_CAPTURA",IF(OR(Q82="CAPTURA_MAL_FORMADA",Q82="IDENTIDAD",Q82="OBSERVACION_MAL_FORMADA",Q82="LEXEMA_O_FORMA"),"NO_ADMISION",IF(OR(Q82="PERFIL_NO_CONSTITUIDO",Q82="RESULTADO_NO_TERMINAL"),"FUERA_PERFIL",IF(Q82="CONTEXTO_NO_CONSTITUIDO","CONFIGURACION_PENDIENTE","VALIDA"))))</x:f>
        <x:v>FUERA_PERFIL</x:v>
      </x:c>
      <x:c r="P82" s="12" t="str">
        <x:f>IF(O82&lt;&gt;"VALIDA","",IF(Q82=AA82,"1",IF(Q82=AB82,"0","U")))</x:f>
      </x:c>
      <x:c r="Q82" s="12" t="str">
        <x:f>IF(E82="FALLO","SIN_EJECUCION_DOMINIO",IF(E82&lt;&gt;"LEGIBLE","CAPTURA_MAL_FORMADA",IF(D82&lt;&gt;"COINCIDE","IDENTIDAD",IF(OR(T82="",C82&lt;&gt;T82),"PERFIL_NO_CONSTITUIDO",IF(K82&lt;&gt;V82,IF(V82="ORDEN_ACREDITADO","ORDEN_NO_ACREDITADO","CONTEXTO_NO_CONSTITUIDO"),IF(AND(G82="AUSENTE",H82="",I82=""),"DATO_AUSENTE",IF(AND(G82="CONFLICTO",H82="",I82=""),"CONFLICTO_OBSERVACIONAL",IF(G82&lt;&gt;"UNICA","OBSERVACION_MAL_FORMADA",IF(F82&lt;&gt;U82,"OBSERVACION_INSUFICIENTE",IF(W82="RESULTADO",IF(H82=X82,AA82,IF(OR(H82="orcSucceededWithErrors",H82="orcFailed",H82="orcAborted"),AB82,IF(OR(H82="orcNotStarted",H82="orcInProgress"),"RESULTADO_NO_TERMINAL","LEXEMA_O_FORMA"))),IF(W82="EVENTO_BOOT",IF(H82=X82,AA82,IF(OR(H82="NINGUNO",H82="SOLO_HIBRIDO"),IF(J82="COMPLETA",AB82,"COBERTURA_INSUFICIENTE"),"LEXEMA_O_FORMA")),IF(W82="REQUISITO_SOFT",IF(H82=X82,AA82,IF(H82=Z82,AB82,"LEXEMA_O_FORMA")),IF(W82="EVENTO_PROC",IF(H82=X82,AA82,IF(H82=Z82,IF(J82="COMPLETA",AB82,"COBERTURA_INSUFICIENTE"),"LEXEMA_O_FORMA")),IF(W82="IMAGEN",IF(AND(AND(ISTEXT(H82),LEN(("x"&amp;H82))=65,EXACT(("x"&amp;H82),LOWER(("x"&amp;H82))),ISERROR(SEARCH(" ",("x"&amp;H82))),ISERROR(SEARCH(CHAR(9),("x"&amp;H82))),ISERROR(SEARCH(CHAR(10),("x"&amp;H82))),ISERROR(SEARCH(CHAR(13),("x"&amp;H82))),IFERROR(HEX2DEC(MID(("x"&amp;H82),2,8))&gt;=0,FALSE),IFERROR(HEX2DEC(MID(("x"&amp;H82),10,8))&gt;=0,FALSE),IFERROR(HEX2DEC(MID(("x"&amp;H82),18,8))&gt;=0,FALSE),IFERROR(HEX2DEC(MID(("x"&amp;H82),26,8))&gt;=0,FALSE),IFERROR(HEX2DEC(MID(("x"&amp;H82),34,8))&gt;=0,FALSE),IFERROR(HEX2DEC(MID(("x"&amp;H82),42,8))&gt;=0,FALSE),IFERROR(HEX2DEC(MID(("x"&amp;H82),50,8))&gt;=0,FALSE),IFERROR(HEX2DEC(MID(("x"&amp;H82),58,8))&gt;=0,FALSE)),AND(ISTEXT(I82),LEN(("x"&amp;I82))=65,EXACT(("x"&amp;I82),LOWER(("x"&amp;I82))),ISERROR(SEARCH(" ",("x"&amp;I82))),ISERROR(SEARCH(CHAR(9),("x"&amp;I82))),ISERROR(SEARCH(CHAR(10),("x"&amp;I82))),ISERROR(SEARCH(CHAR(13),("x"&amp;I82))),IFERROR(HEX2DEC(MID(("x"&amp;I82),2,8))&gt;=0,FALSE),IFERROR(HEX2DEC(MID(("x"&amp;I82),10,8))&gt;=0,FALSE),IFERROR(HEX2DEC(MID(("x"&amp;I82),18,8))&gt;=0,FALSE),IFERROR(HEX2DEC(MID(("x"&amp;I82),26,8))&gt;=0,FALSE),IFERROR(HEX2DEC(MID(("x"&amp;I82),34,8))&gt;=0,FALSE),IFERROR(HEX2DEC(MID(("x"&amp;I82),42,8))&gt;=0,FALSE),IFERROR(HEX2DEC(MID(("x"&amp;I82),50,8))&gt;=0,FALSE),IFERROR(HEX2DEC(MID(("x"&amp;I82),58,8))&gt;=0,FALSE))),IF(EXACT("x"&amp;H82,"x"&amp;I82),AA82,AB82),"LEXEMA_O_FORMA"),IF(W82="PRUEBA",IF(H82=X82,AA82,IF(H82=Z82,AB82,"LEXEMA_O_FORMA")),IF(W82="RETIRADA",IF(AND(H82="NINGUNO",I82=""),IF(J82="COMPLETA",AB82,"COBERTURA_INSUFICIENTE"),IF(AND(OR(H82="uoInstallation",H82="uoUninstallation"),OR(I82="orcSucceeded",I82="orcSucceededWithErrors",I82="orcFailed",I82="orcAborted",I82="orcInProgress",I82="orcNotStarted")),IF(AND(H82=X82,I82=Y82),AA82,IF(AND(H82=X82,OR(I82="orcSucceededWithErrors",I82="orcInProgress",I82="orcNotStarted")),"RESULTADO_RETIRADA_INCIERTO",IF(J82="COMPLETA",AB82,"COBERTURA_INSUFICIENTE"))),"LEXEMA_O_FORMA")),IF(W82="CAMBIO",IF(OR(H82="CAMBIO",H82="CAMBIO_Y_RETORNO"),AA82,IF(OR(H82="NINGUNO",H82="SOLO_RENOMBRE"),IF(J82="COMPLETA",AB82,"COBERTURA_INSUFICIENTE"),"LEXEMA_O_FORMA")),IF(W82="RESTAURACION",IF(H82=X82,AA82,IF(OR(H82="NINGUNO",H82="RESTAURACION_POSTERIOR",H82="RESTAURACION_FALLIDA"),IF(J82="COMPLETA",AB82,"COBERTURA_INSUFICIENTE"),"LEXEMA_O_FORMA")),"PERFIL_NO_CONSTITUIDO"))))))))))))))))))</x:f>
        <x:v>PERFIL_NO_CONSTITUIDO</x:v>
      </x:c>
      <x:c r="R82" s="12" t="str">
        <x:f>IF(AND(L82=O82,M82=P82,N82=Q82),"PASA","NO_PASA")</x:f>
        <x:v>PASA</x:v>
      </x:c>
      <x:c r="S82" s="4" t="str">
        <x:v>Perfil de otro producto no se normaliza por analogía.</x:v>
      </x:c>
      <x:c r="T82" s="12" t="str">
        <x:f>IFERROR(INDEX('55_Codificacion_ensayo'!$B$5:$B$13,MATCH(B82,'55_Codificacion_ensayo'!$A$5:$A$13,0)),"")</x:f>
        <x:v>COMPROBACION-CRITERIO-UNITARIO-0.1</x:v>
      </x:c>
      <x:c r="U82" s="12" t="str">
        <x:f>IFERROR(INDEX('55_Codificacion_ensayo'!$C$5:$C$13,MATCH(B82,'55_Codificacion_ensayo'!$A$5:$A$13,0)),"")</x:f>
        <x:v>INFORME_PRUEBA</x:v>
      </x:c>
      <x:c r="V82" s="12" t="str">
        <x:f>IFERROR(INDEX('55_Codificacion_ensayo'!$D$5:$D$13,MATCH(B82,'55_Codificacion_ensayo'!$A$5:$A$13,0)),"")</x:f>
        <x:v>ORACULO_UNITARIO</x:v>
      </x:c>
      <x:c r="W82" s="12" t="str">
        <x:f>IFERROR(INDEX('55_Codificacion_ensayo'!$E$5:$E$13,MATCH(B82,'55_Codificacion_ensayo'!$A$5:$A$13,0)),"")</x:f>
        <x:v>PRUEBA</x:v>
      </x:c>
      <x:c r="X82" s="12" t="str">
        <x:f>IFERROR(INDEX('55_Codificacion_ensayo'!$F$5:$F$13,MATCH(B82,'55_Codificacion_ensayo'!$A$5:$A$13,0)),"")</x:f>
        <x:v>CRITERIO_CUMPLIDO</x:v>
      </x:c>
      <x:c r="Y82" s="12" t="str">
        <x:f>IFERROR(INDEX('55_Codificacion_ensayo'!$G$5:$G$13,MATCH(B82,'55_Codificacion_ensayo'!$A$5:$A$13,0)),"")</x:f>
      </x:c>
      <x:c r="Z82" s="12" t="str">
        <x:f>IFERROR(INDEX('55_Codificacion_ensayo'!$H$5:$H$13,MATCH(B82,'55_Codificacion_ensayo'!$A$5:$A$13,0)),"")</x:f>
        <x:v>CRITERIO_NO_CUMPLIDO</x:v>
      </x:c>
      <x:c r="AA82" s="12" t="str">
        <x:f>IFERROR(INDEX('55_Codificacion_ensayo'!$I$5:$I$13,MATCH(B82,'55_Codificacion_ensayo'!$A$5:$A$13,0)),"")</x:f>
        <x:v>CRITERIO_POSITIVO</x:v>
      </x:c>
      <x:c r="AB82" s="12" t="str">
        <x:f>IFERROR(INDEX('55_Codificacion_ensayo'!$J$5:$J$13,MATCH(B82,'55_Codificacion_ensayo'!$A$5:$A$13,0)),"")</x:f>
        <x:v>CRITERIO_NEGATIVO</x:v>
      </x:c>
    </x:row>
    <x:row r="83" ht="47" customHeight="1">
      <x:c r="A83" s="4" t="str">
        <x:v>L10-07-09</x:v>
      </x:c>
      <x:c r="B83" s="4" t="str">
        <x:v>PAR-CYB-COMPROBACION-POSITIVA-001</x:v>
      </x:c>
      <x:c r="C83" s="4" t="str">
        <x:v>COMPROBACION-CRITERIO-UNITARIO-0.1</x:v>
      </x:c>
      <x:c r="D83" s="4" t="str">
        <x:v>COINCIDE</x:v>
      </x:c>
      <x:c r="E83" s="4" t="str">
        <x:v>LEGIBLE</x:v>
      </x:c>
      <x:c r="F83" s="4" t="str">
        <x:v>INFORME_PRUEBA</x:v>
      </x:c>
      <x:c r="G83" s="4" t="str">
        <x:v>UNICA</x:v>
      </x:c>
      <x:c r="H83" s="4" t="str">
        <x:v>true false desconocido</x:v>
      </x:c>
      <x:c r="I83" s="4" t="str"/>
      <x:c r="J83" s="4" t="str">
        <x:v>COMPLETA</x:v>
      </x:c>
      <x:c r="K83" s="4" t="str">
        <x:v>ORACULO_UNITARIO</x:v>
      </x:c>
      <x:c r="L83" s="4" t="str">
        <x:v>NO_ADMISION</x:v>
      </x:c>
      <x:c r="M83" s="4" t="str"/>
      <x:c r="N83" s="4" t="str">
        <x:v>LEXEMA_O_FORMA</x:v>
      </x:c>
      <x:c r="O83" s="12" t="str">
        <x:f>IF(Q83="SIN_EJECUCION_DOMINIO","FALLO_CAPTURA",IF(OR(Q83="CAPTURA_MAL_FORMADA",Q83="IDENTIDAD",Q83="OBSERVACION_MAL_FORMADA",Q83="LEXEMA_O_FORMA"),"NO_ADMISION",IF(OR(Q83="PERFIL_NO_CONSTITUIDO",Q83="RESULTADO_NO_TERMINAL"),"FUERA_PERFIL",IF(Q83="CONTEXTO_NO_CONSTITUIDO","CONFIGURACION_PENDIENTE","VALIDA"))))</x:f>
        <x:v>NO_ADMISION</x:v>
      </x:c>
      <x:c r="P83" s="12" t="str">
        <x:f>IF(O83&lt;&gt;"VALIDA","",IF(Q83=AA83,"1",IF(Q83=AB83,"0","U")))</x:f>
      </x:c>
      <x:c r="Q83" s="12" t="str">
        <x:f>IF(E83="FALLO","SIN_EJECUCION_DOMINIO",IF(E83&lt;&gt;"LEGIBLE","CAPTURA_MAL_FORMADA",IF(D83&lt;&gt;"COINCIDE","IDENTIDAD",IF(OR(T83="",C83&lt;&gt;T83),"PERFIL_NO_CONSTITUIDO",IF(K83&lt;&gt;V83,IF(V83="ORDEN_ACREDITADO","ORDEN_NO_ACREDITADO","CONTEXTO_NO_CONSTITUIDO"),IF(AND(G83="AUSENTE",H83="",I83=""),"DATO_AUSENTE",IF(AND(G83="CONFLICTO",H83="",I83=""),"CONFLICTO_OBSERVACIONAL",IF(G83&lt;&gt;"UNICA","OBSERVACION_MAL_FORMADA",IF(F83&lt;&gt;U83,"OBSERVACION_INSUFICIENTE",IF(W83="RESULTADO",IF(H83=X83,AA83,IF(OR(H83="orcSucceededWithErrors",H83="orcFailed",H83="orcAborted"),AB83,IF(OR(H83="orcNotStarted",H83="orcInProgress"),"RESULTADO_NO_TERMINAL","LEXEMA_O_FORMA"))),IF(W83="EVENTO_BOOT",IF(H83=X83,AA83,IF(OR(H83="NINGUNO",H83="SOLO_HIBRIDO"),IF(J83="COMPLETA",AB83,"COBERTURA_INSUFICIENTE"),"LEXEMA_O_FORMA")),IF(W83="REQUISITO_SOFT",IF(H83=X83,AA83,IF(H83=Z83,AB83,"LEXEMA_O_FORMA")),IF(W83="EVENTO_PROC",IF(H83=X83,AA83,IF(H83=Z83,IF(J83="COMPLETA",AB83,"COBERTURA_INSUFICIENTE"),"LEXEMA_O_FORMA")),IF(W83="IMAGEN",IF(AND(AND(ISTEXT(H83),LEN(("x"&amp;H83))=65,EXACT(("x"&amp;H83),LOWER(("x"&amp;H83))),ISERROR(SEARCH(" ",("x"&amp;H83))),ISERROR(SEARCH(CHAR(9),("x"&amp;H83))),ISERROR(SEARCH(CHAR(10),("x"&amp;H83))),ISERROR(SEARCH(CHAR(13),("x"&amp;H83))),IFERROR(HEX2DEC(MID(("x"&amp;H83),2,8))&gt;=0,FALSE),IFERROR(HEX2DEC(MID(("x"&amp;H83),10,8))&gt;=0,FALSE),IFERROR(HEX2DEC(MID(("x"&amp;H83),18,8))&gt;=0,FALSE),IFERROR(HEX2DEC(MID(("x"&amp;H83),26,8))&gt;=0,FALSE),IFERROR(HEX2DEC(MID(("x"&amp;H83),34,8))&gt;=0,FALSE),IFERROR(HEX2DEC(MID(("x"&amp;H83),42,8))&gt;=0,FALSE),IFERROR(HEX2DEC(MID(("x"&amp;H83),50,8))&gt;=0,FALSE),IFERROR(HEX2DEC(MID(("x"&amp;H83),58,8))&gt;=0,FALSE)),AND(ISTEXT(I83),LEN(("x"&amp;I83))=65,EXACT(("x"&amp;I83),LOWER(("x"&amp;I83))),ISERROR(SEARCH(" ",("x"&amp;I83))),ISERROR(SEARCH(CHAR(9),("x"&amp;I83))),ISERROR(SEARCH(CHAR(10),("x"&amp;I83))),ISERROR(SEARCH(CHAR(13),("x"&amp;I83))),IFERROR(HEX2DEC(MID(("x"&amp;I83),2,8))&gt;=0,FALSE),IFERROR(HEX2DEC(MID(("x"&amp;I83),10,8))&gt;=0,FALSE),IFERROR(HEX2DEC(MID(("x"&amp;I83),18,8))&gt;=0,FALSE),IFERROR(HEX2DEC(MID(("x"&amp;I83),26,8))&gt;=0,FALSE),IFERROR(HEX2DEC(MID(("x"&amp;I83),34,8))&gt;=0,FALSE),IFERROR(HEX2DEC(MID(("x"&amp;I83),42,8))&gt;=0,FALSE),IFERROR(HEX2DEC(MID(("x"&amp;I83),50,8))&gt;=0,FALSE),IFERROR(HEX2DEC(MID(("x"&amp;I83),58,8))&gt;=0,FALSE))),IF(EXACT("x"&amp;H83,"x"&amp;I83),AA83,AB83),"LEXEMA_O_FORMA"),IF(W83="PRUEBA",IF(H83=X83,AA83,IF(H83=Z83,AB83,"LEXEMA_O_FORMA")),IF(W83="RETIRADA",IF(AND(H83="NINGUNO",I83=""),IF(J83="COMPLETA",AB83,"COBERTURA_INSUFICIENTE"),IF(AND(OR(H83="uoInstallation",H83="uoUninstallation"),OR(I83="orcSucceeded",I83="orcSucceededWithErrors",I83="orcFailed",I83="orcAborted",I83="orcInProgress",I83="orcNotStarted")),IF(AND(H83=X83,I83=Y83),AA83,IF(AND(H83=X83,OR(I83="orcSucceededWithErrors",I83="orcInProgress",I83="orcNotStarted")),"RESULTADO_RETIRADA_INCIERTO",IF(J83="COMPLETA",AB83,"COBERTURA_INSUFICIENTE"))),"LEXEMA_O_FORMA")),IF(W83="CAMBIO",IF(OR(H83="CAMBIO",H83="CAMBIO_Y_RETORNO"),AA83,IF(OR(H83="NINGUNO",H83="SOLO_RENOMBRE"),IF(J83="COMPLETA",AB83,"COBERTURA_INSUFICIENTE"),"LEXEMA_O_FORMA")),IF(W83="RESTAURACION",IF(H83=X83,AA83,IF(OR(H83="NINGUNO",H83="RESTAURACION_POSTERIOR",H83="RESTAURACION_FALLIDA"),IF(J83="COMPLETA",AB83,"COBERTURA_INSUFICIENTE"),"LEXEMA_O_FORMA")),"PERFIL_NO_CONSTITUIDO"))))))))))))))))))</x:f>
        <x:v>LEXEMA_O_FORMA</x:v>
      </x:c>
      <x:c r="R83" s="12" t="str">
        <x:f>IF(AND(L83=O83,M83=P83,N83=Q83),"PASA","NO_PASA")</x:f>
        <x:v>PASA</x:v>
      </x:c>
      <x:c r="S83" s="4" t="str">
        <x:v>La observación usa un lexema ajeno al contrato.</x:v>
      </x:c>
      <x:c r="T83" s="12" t="str">
        <x:f>IFERROR(INDEX('55_Codificacion_ensayo'!$B$5:$B$13,MATCH(B83,'55_Codificacion_ensayo'!$A$5:$A$13,0)),"")</x:f>
        <x:v>COMPROBACION-CRITERIO-UNITARIO-0.1</x:v>
      </x:c>
      <x:c r="U83" s="12" t="str">
        <x:f>IFERROR(INDEX('55_Codificacion_ensayo'!$C$5:$C$13,MATCH(B83,'55_Codificacion_ensayo'!$A$5:$A$13,0)),"")</x:f>
        <x:v>INFORME_PRUEBA</x:v>
      </x:c>
      <x:c r="V83" s="12" t="str">
        <x:f>IFERROR(INDEX('55_Codificacion_ensayo'!$D$5:$D$13,MATCH(B83,'55_Codificacion_ensayo'!$A$5:$A$13,0)),"")</x:f>
        <x:v>ORACULO_UNITARIO</x:v>
      </x:c>
      <x:c r="W83" s="12" t="str">
        <x:f>IFERROR(INDEX('55_Codificacion_ensayo'!$E$5:$E$13,MATCH(B83,'55_Codificacion_ensayo'!$A$5:$A$13,0)),"")</x:f>
        <x:v>PRUEBA</x:v>
      </x:c>
      <x:c r="X83" s="12" t="str">
        <x:f>IFERROR(INDEX('55_Codificacion_ensayo'!$F$5:$F$13,MATCH(B83,'55_Codificacion_ensayo'!$A$5:$A$13,0)),"")</x:f>
        <x:v>CRITERIO_CUMPLIDO</x:v>
      </x:c>
      <x:c r="Y83" s="12" t="str">
        <x:f>IFERROR(INDEX('55_Codificacion_ensayo'!$G$5:$G$13,MATCH(B83,'55_Codificacion_ensayo'!$A$5:$A$13,0)),"")</x:f>
      </x:c>
      <x:c r="Z83" s="12" t="str">
        <x:f>IFERROR(INDEX('55_Codificacion_ensayo'!$H$5:$H$13,MATCH(B83,'55_Codificacion_ensayo'!$A$5:$A$13,0)),"")</x:f>
        <x:v>CRITERIO_NO_CUMPLIDO</x:v>
      </x:c>
      <x:c r="AA83" s="12" t="str">
        <x:f>IFERROR(INDEX('55_Codificacion_ensayo'!$I$5:$I$13,MATCH(B83,'55_Codificacion_ensayo'!$A$5:$A$13,0)),"")</x:f>
        <x:v>CRITERIO_POSITIVO</x:v>
      </x:c>
      <x:c r="AB83" s="12" t="str">
        <x:f>IFERROR(INDEX('55_Codificacion_ensayo'!$J$5:$J$13,MATCH(B83,'55_Codificacion_ensayo'!$A$5:$A$13,0)),"")</x:f>
        <x:v>CRITERIO_NEGATIVO</x:v>
      </x:c>
    </x:row>
    <x:row r="84" ht="47" customHeight="1">
      <x:c r="A84" s="4" t="str">
        <x:v>L10-07-10</x:v>
      </x:c>
      <x:c r="B84" s="4" t="str">
        <x:v>PAR-CYB-COMPROBACION-POSITIVA-001</x:v>
      </x:c>
      <x:c r="C84" s="4" t="str">
        <x:v>COMPROBACION-CRITERIO-UNITARIO-0.1</x:v>
      </x:c>
      <x:c r="D84" s="4" t="str">
        <x:v>COINCIDE</x:v>
      </x:c>
      <x:c r="E84" s="4" t="str">
        <x:v>LEGIBLE</x:v>
      </x:c>
      <x:c r="F84" s="4" t="str">
        <x:v>INFORME_PRUEBA</x:v>
      </x:c>
      <x:c r="G84" s="4" t="str">
        <x:v>UNICA</x:v>
      </x:c>
      <x:c r="H84" s="4" t="str">
        <x:v>CRITERIO_CUMPLIDO</x:v>
      </x:c>
      <x:c r="I84" s="4" t="str"/>
      <x:c r="J84" s="4" t="str">
        <x:v>COMPLETA</x:v>
      </x:c>
      <x:c r="K84" s="4" t="str">
        <x:v>PENDIENTE</x:v>
      </x:c>
      <x:c r="L84" s="4" t="str">
        <x:v>CONFIGURACION_PENDIENTE</x:v>
      </x:c>
      <x:c r="M84" s="4" t="str"/>
      <x:c r="N84" s="4" t="str">
        <x:v>CONTEXTO_NO_CONSTITUIDO</x:v>
      </x:c>
      <x:c r="O84" s="12" t="str">
        <x:f>IF(Q84="SIN_EJECUCION_DOMINIO","FALLO_CAPTURA",IF(OR(Q84="CAPTURA_MAL_FORMADA",Q84="IDENTIDAD",Q84="OBSERVACION_MAL_FORMADA",Q84="LEXEMA_O_FORMA"),"NO_ADMISION",IF(OR(Q84="PERFIL_NO_CONSTITUIDO",Q84="RESULTADO_NO_TERMINAL"),"FUERA_PERFIL",IF(Q84="CONTEXTO_NO_CONSTITUIDO","CONFIGURACION_PENDIENTE","VALIDA"))))</x:f>
        <x:v>CONFIGURACION_PENDIENTE</x:v>
      </x:c>
      <x:c r="P84" s="12" t="str">
        <x:f>IF(O84&lt;&gt;"VALIDA","",IF(Q84=AA84,"1",IF(Q84=AB84,"0","U")))</x:f>
      </x:c>
      <x:c r="Q84" s="12" t="str">
        <x:f>IF(E84="FALLO","SIN_EJECUCION_DOMINIO",IF(E84&lt;&gt;"LEGIBLE","CAPTURA_MAL_FORMADA",IF(D84&lt;&gt;"COINCIDE","IDENTIDAD",IF(OR(T84="",C84&lt;&gt;T84),"PERFIL_NO_CONSTITUIDO",IF(K84&lt;&gt;V84,IF(V84="ORDEN_ACREDITADO","ORDEN_NO_ACREDITADO","CONTEXTO_NO_CONSTITUIDO"),IF(AND(G84="AUSENTE",H84="",I84=""),"DATO_AUSENTE",IF(AND(G84="CONFLICTO",H84="",I84=""),"CONFLICTO_OBSERVACIONAL",IF(G84&lt;&gt;"UNICA","OBSERVACION_MAL_FORMADA",IF(F84&lt;&gt;U84,"OBSERVACION_INSUFICIENTE",IF(W84="RESULTADO",IF(H84=X84,AA84,IF(OR(H84="orcSucceededWithErrors",H84="orcFailed",H84="orcAborted"),AB84,IF(OR(H84="orcNotStarted",H84="orcInProgress"),"RESULTADO_NO_TERMINAL","LEXEMA_O_FORMA"))),IF(W84="EVENTO_BOOT",IF(H84=X84,AA84,IF(OR(H84="NINGUNO",H84="SOLO_HIBRIDO"),IF(J84="COMPLETA",AB84,"COBERTURA_INSUFICIENTE"),"LEXEMA_O_FORMA")),IF(W84="REQUISITO_SOFT",IF(H84=X84,AA84,IF(H84=Z84,AB84,"LEXEMA_O_FORMA")),IF(W84="EVENTO_PROC",IF(H84=X84,AA84,IF(H84=Z84,IF(J84="COMPLETA",AB84,"COBERTURA_INSUFICIENTE"),"LEXEMA_O_FORMA")),IF(W84="IMAGEN",IF(AND(AND(ISTEXT(H84),LEN(("x"&amp;H84))=65,EXACT(("x"&amp;H84),LOWER(("x"&amp;H84))),ISERROR(SEARCH(" ",("x"&amp;H84))),ISERROR(SEARCH(CHAR(9),("x"&amp;H84))),ISERROR(SEARCH(CHAR(10),("x"&amp;H84))),ISERROR(SEARCH(CHAR(13),("x"&amp;H84))),IFERROR(HEX2DEC(MID(("x"&amp;H84),2,8))&gt;=0,FALSE),IFERROR(HEX2DEC(MID(("x"&amp;H84),10,8))&gt;=0,FALSE),IFERROR(HEX2DEC(MID(("x"&amp;H84),18,8))&gt;=0,FALSE),IFERROR(HEX2DEC(MID(("x"&amp;H84),26,8))&gt;=0,FALSE),IFERROR(HEX2DEC(MID(("x"&amp;H84),34,8))&gt;=0,FALSE),IFERROR(HEX2DEC(MID(("x"&amp;H84),42,8))&gt;=0,FALSE),IFERROR(HEX2DEC(MID(("x"&amp;H84),50,8))&gt;=0,FALSE),IFERROR(HEX2DEC(MID(("x"&amp;H84),58,8))&gt;=0,FALSE)),AND(ISTEXT(I84),LEN(("x"&amp;I84))=65,EXACT(("x"&amp;I84),LOWER(("x"&amp;I84))),ISERROR(SEARCH(" ",("x"&amp;I84))),ISERROR(SEARCH(CHAR(9),("x"&amp;I84))),ISERROR(SEARCH(CHAR(10),("x"&amp;I84))),ISERROR(SEARCH(CHAR(13),("x"&amp;I84))),IFERROR(HEX2DEC(MID(("x"&amp;I84),2,8))&gt;=0,FALSE),IFERROR(HEX2DEC(MID(("x"&amp;I84),10,8))&gt;=0,FALSE),IFERROR(HEX2DEC(MID(("x"&amp;I84),18,8))&gt;=0,FALSE),IFERROR(HEX2DEC(MID(("x"&amp;I84),26,8))&gt;=0,FALSE),IFERROR(HEX2DEC(MID(("x"&amp;I84),34,8))&gt;=0,FALSE),IFERROR(HEX2DEC(MID(("x"&amp;I84),42,8))&gt;=0,FALSE),IFERROR(HEX2DEC(MID(("x"&amp;I84),50,8))&gt;=0,FALSE),IFERROR(HEX2DEC(MID(("x"&amp;I84),58,8))&gt;=0,FALSE))),IF(EXACT("x"&amp;H84,"x"&amp;I84),AA84,AB84),"LEXEMA_O_FORMA"),IF(W84="PRUEBA",IF(H84=X84,AA84,IF(H84=Z84,AB84,"LEXEMA_O_FORMA")),IF(W84="RETIRADA",IF(AND(H84="NINGUNO",I84=""),IF(J84="COMPLETA",AB84,"COBERTURA_INSUFICIENTE"),IF(AND(OR(H84="uoInstallation",H84="uoUninstallation"),OR(I84="orcSucceeded",I84="orcSucceededWithErrors",I84="orcFailed",I84="orcAborted",I84="orcInProgress",I84="orcNotStarted")),IF(AND(H84=X84,I84=Y84),AA84,IF(AND(H84=X84,OR(I84="orcSucceededWithErrors",I84="orcInProgress",I84="orcNotStarted")),"RESULTADO_RETIRADA_INCIERTO",IF(J84="COMPLETA",AB84,"COBERTURA_INSUFICIENTE"))),"LEXEMA_O_FORMA")),IF(W84="CAMBIO",IF(OR(H84="CAMBIO",H84="CAMBIO_Y_RETORNO"),AA84,IF(OR(H84="NINGUNO",H84="SOLO_RENOMBRE"),IF(J84="COMPLETA",AB84,"COBERTURA_INSUFICIENTE"),"LEXEMA_O_FORMA")),IF(W84="RESTAURACION",IF(H84=X84,AA84,IF(OR(H84="NINGUNO",H84="RESTAURACION_POSTERIOR",H84="RESTAURACION_FALLIDA"),IF(J84="COMPLETA",AB84,"COBERTURA_INSUFICIENTE"),"LEXEMA_O_FORMA")),"PERFIL_NO_CONSTITUIDO"))))))))))))))))))</x:f>
        <x:v>CONTEXTO_NO_CONSTITUIDO</x:v>
      </x:c>
      <x:c r="R84" s="12" t="str">
        <x:f>IF(AND(L84=O84,M84=P84,N84=Q84),"PASA","NO_PASA")</x:f>
        <x:v>PASA</x:v>
      </x:c>
      <x:c r="S84" s="4" t="str">
        <x:v>Falta el contexto profesional que fija qué se está evaluando.</x:v>
      </x:c>
      <x:c r="T84" s="12" t="str">
        <x:f>IFERROR(INDEX('55_Codificacion_ensayo'!$B$5:$B$13,MATCH(B84,'55_Codificacion_ensayo'!$A$5:$A$13,0)),"")</x:f>
        <x:v>COMPROBACION-CRITERIO-UNITARIO-0.1</x:v>
      </x:c>
      <x:c r="U84" s="12" t="str">
        <x:f>IFERROR(INDEX('55_Codificacion_ensayo'!$C$5:$C$13,MATCH(B84,'55_Codificacion_ensayo'!$A$5:$A$13,0)),"")</x:f>
        <x:v>INFORME_PRUEBA</x:v>
      </x:c>
      <x:c r="V84" s="12" t="str">
        <x:f>IFERROR(INDEX('55_Codificacion_ensayo'!$D$5:$D$13,MATCH(B84,'55_Codificacion_ensayo'!$A$5:$A$13,0)),"")</x:f>
        <x:v>ORACULO_UNITARIO</x:v>
      </x:c>
      <x:c r="W84" s="12" t="str">
        <x:f>IFERROR(INDEX('55_Codificacion_ensayo'!$E$5:$E$13,MATCH(B84,'55_Codificacion_ensayo'!$A$5:$A$13,0)),"")</x:f>
        <x:v>PRUEBA</x:v>
      </x:c>
      <x:c r="X84" s="12" t="str">
        <x:f>IFERROR(INDEX('55_Codificacion_ensayo'!$F$5:$F$13,MATCH(B84,'55_Codificacion_ensayo'!$A$5:$A$13,0)),"")</x:f>
        <x:v>CRITERIO_CUMPLIDO</x:v>
      </x:c>
      <x:c r="Y84" s="12" t="str">
        <x:f>IFERROR(INDEX('55_Codificacion_ensayo'!$G$5:$G$13,MATCH(B84,'55_Codificacion_ensayo'!$A$5:$A$13,0)),"")</x:f>
      </x:c>
      <x:c r="Z84" s="12" t="str">
        <x:f>IFERROR(INDEX('55_Codificacion_ensayo'!$H$5:$H$13,MATCH(B84,'55_Codificacion_ensayo'!$A$5:$A$13,0)),"")</x:f>
        <x:v>CRITERIO_NO_CUMPLIDO</x:v>
      </x:c>
      <x:c r="AA84" s="12" t="str">
        <x:f>IFERROR(INDEX('55_Codificacion_ensayo'!$I$5:$I$13,MATCH(B84,'55_Codificacion_ensayo'!$A$5:$A$13,0)),"")</x:f>
        <x:v>CRITERIO_POSITIVO</x:v>
      </x:c>
      <x:c r="AB84" s="12" t="str">
        <x:f>IFERROR(INDEX('55_Codificacion_ensayo'!$J$5:$J$13,MATCH(B84,'55_Codificacion_ensayo'!$A$5:$A$13,0)),"")</x:f>
        <x:v>CRITERIO_NEGATIVO</x:v>
      </x:c>
    </x:row>
    <x:row r="85" ht="47" customHeight="1">
      <x:c r="A85" s="4" t="str">
        <x:v>L10-07-11</x:v>
      </x:c>
      <x:c r="B85" s="4" t="str">
        <x:v>PAR-CYB-COMPROBACION-POSITIVA-001</x:v>
      </x:c>
      <x:c r="C85" s="4" t="str">
        <x:v>COMPROBACION-CRITERIO-UNITARIO-0.1</x:v>
      </x:c>
      <x:c r="D85" s="4" t="str">
        <x:v>COINCIDE</x:v>
      </x:c>
      <x:c r="E85" s="4" t="str">
        <x:v>LEGIBLE</x:v>
      </x:c>
      <x:c r="F85" s="4" t="str">
        <x:v>SELLO_APTO</x:v>
      </x:c>
      <x:c r="G85" s="4" t="str">
        <x:v>UNICA</x:v>
      </x:c>
      <x:c r="H85" s="4" t="str">
        <x:v>CRITERIO_CUMPLIDO</x:v>
      </x:c>
      <x:c r="I85" s="4" t="str"/>
      <x:c r="J85" s="4" t="str">
        <x:v>COMPLETA</x:v>
      </x:c>
      <x:c r="K85" s="4" t="str">
        <x:v>ORACULO_UNITARIO</x:v>
      </x:c>
      <x:c r="L85" s="4" t="str">
        <x:v>VALIDA</x:v>
      </x:c>
      <x:c r="M85" s="4" t="str">
        <x:v>U</x:v>
      </x:c>
      <x:c r="N85" s="4" t="str">
        <x:v>OBSERVACION_INSUFICIENTE</x:v>
      </x:c>
      <x:c r="O85" s="12" t="str">
        <x:f>IF(Q85="SIN_EJECUCION_DOMINIO","FALLO_CAPTURA",IF(OR(Q85="CAPTURA_MAL_FORMADA",Q85="IDENTIDAD",Q85="OBSERVACION_MAL_FORMADA",Q85="LEXEMA_O_FORMA"),"NO_ADMISION",IF(OR(Q85="PERFIL_NO_CONSTITUIDO",Q85="RESULTADO_NO_TERMINAL"),"FUERA_PERFIL",IF(Q85="CONTEXTO_NO_CONSTITUIDO","CONFIGURACION_PENDIENTE","VALIDA"))))</x:f>
        <x:v>VALIDA</x:v>
      </x:c>
      <x:c r="P85" s="12" t="str">
        <x:f>IF(O85&lt;&gt;"VALIDA","",IF(Q85=AA85,"1",IF(Q85=AB85,"0","U")))</x:f>
        <x:v>U</x:v>
      </x:c>
      <x:c r="Q85" s="12" t="str">
        <x:f>IF(E85="FALLO","SIN_EJECUCION_DOMINIO",IF(E85&lt;&gt;"LEGIBLE","CAPTURA_MAL_FORMADA",IF(D85&lt;&gt;"COINCIDE","IDENTIDAD",IF(OR(T85="",C85&lt;&gt;T85),"PERFIL_NO_CONSTITUIDO",IF(K85&lt;&gt;V85,IF(V85="ORDEN_ACREDITADO","ORDEN_NO_ACREDITADO","CONTEXTO_NO_CONSTITUIDO"),IF(AND(G85="AUSENTE",H85="",I85=""),"DATO_AUSENTE",IF(AND(G85="CONFLICTO",H85="",I85=""),"CONFLICTO_OBSERVACIONAL",IF(G85&lt;&gt;"UNICA","OBSERVACION_MAL_FORMADA",IF(F85&lt;&gt;U85,"OBSERVACION_INSUFICIENTE",IF(W85="RESULTADO",IF(H85=X85,AA85,IF(OR(H85="orcSucceededWithErrors",H85="orcFailed",H85="orcAborted"),AB85,IF(OR(H85="orcNotStarted",H85="orcInProgress"),"RESULTADO_NO_TERMINAL","LEXEMA_O_FORMA"))),IF(W85="EVENTO_BOOT",IF(H85=X85,AA85,IF(OR(H85="NINGUNO",H85="SOLO_HIBRIDO"),IF(J85="COMPLETA",AB85,"COBERTURA_INSUFICIENTE"),"LEXEMA_O_FORMA")),IF(W85="REQUISITO_SOFT",IF(H85=X85,AA85,IF(H85=Z85,AB85,"LEXEMA_O_FORMA")),IF(W85="EVENTO_PROC",IF(H85=X85,AA85,IF(H85=Z85,IF(J85="COMPLETA",AB85,"COBERTURA_INSUFICIENTE"),"LEXEMA_O_FORMA")),IF(W85="IMAGEN",IF(AND(AND(ISTEXT(H85),LEN(("x"&amp;H85))=65,EXACT(("x"&amp;H85),LOWER(("x"&amp;H85))),ISERROR(SEARCH(" ",("x"&amp;H85))),ISERROR(SEARCH(CHAR(9),("x"&amp;H85))),ISERROR(SEARCH(CHAR(10),("x"&amp;H85))),ISERROR(SEARCH(CHAR(13),("x"&amp;H85))),IFERROR(HEX2DEC(MID(("x"&amp;H85),2,8))&gt;=0,FALSE),IFERROR(HEX2DEC(MID(("x"&amp;H85),10,8))&gt;=0,FALSE),IFERROR(HEX2DEC(MID(("x"&amp;H85),18,8))&gt;=0,FALSE),IFERROR(HEX2DEC(MID(("x"&amp;H85),26,8))&gt;=0,FALSE),IFERROR(HEX2DEC(MID(("x"&amp;H85),34,8))&gt;=0,FALSE),IFERROR(HEX2DEC(MID(("x"&amp;H85),42,8))&gt;=0,FALSE),IFERROR(HEX2DEC(MID(("x"&amp;H85),50,8))&gt;=0,FALSE),IFERROR(HEX2DEC(MID(("x"&amp;H85),58,8))&gt;=0,FALSE)),AND(ISTEXT(I85),LEN(("x"&amp;I85))=65,EXACT(("x"&amp;I85),LOWER(("x"&amp;I85))),ISERROR(SEARCH(" ",("x"&amp;I85))),ISERROR(SEARCH(CHAR(9),("x"&amp;I85))),ISERROR(SEARCH(CHAR(10),("x"&amp;I85))),ISERROR(SEARCH(CHAR(13),("x"&amp;I85))),IFERROR(HEX2DEC(MID(("x"&amp;I85),2,8))&gt;=0,FALSE),IFERROR(HEX2DEC(MID(("x"&amp;I85),10,8))&gt;=0,FALSE),IFERROR(HEX2DEC(MID(("x"&amp;I85),18,8))&gt;=0,FALSE),IFERROR(HEX2DEC(MID(("x"&amp;I85),26,8))&gt;=0,FALSE),IFERROR(HEX2DEC(MID(("x"&amp;I85),34,8))&gt;=0,FALSE),IFERROR(HEX2DEC(MID(("x"&amp;I85),42,8))&gt;=0,FALSE),IFERROR(HEX2DEC(MID(("x"&amp;I85),50,8))&gt;=0,FALSE),IFERROR(HEX2DEC(MID(("x"&amp;I85),58,8))&gt;=0,FALSE))),IF(EXACT("x"&amp;H85,"x"&amp;I85),AA85,AB85),"LEXEMA_O_FORMA"),IF(W85="PRUEBA",IF(H85=X85,AA85,IF(H85=Z85,AB85,"LEXEMA_O_FORMA")),IF(W85="RETIRADA",IF(AND(H85="NINGUNO",I85=""),IF(J85="COMPLETA",AB85,"COBERTURA_INSUFICIENTE"),IF(AND(OR(H85="uoInstallation",H85="uoUninstallation"),OR(I85="orcSucceeded",I85="orcSucceededWithErrors",I85="orcFailed",I85="orcAborted",I85="orcInProgress",I85="orcNotStarted")),IF(AND(H85=X85,I85=Y85),AA85,IF(AND(H85=X85,OR(I85="orcSucceededWithErrors",I85="orcInProgress",I85="orcNotStarted")),"RESULTADO_RETIRADA_INCIERTO",IF(J85="COMPLETA",AB85,"COBERTURA_INSUFICIENTE"))),"LEXEMA_O_FORMA")),IF(W85="CAMBIO",IF(OR(H85="CAMBIO",H85="CAMBIO_Y_RETORNO"),AA85,IF(OR(H85="NINGUNO",H85="SOLO_RENOMBRE"),IF(J85="COMPLETA",AB85,"COBERTURA_INSUFICIENTE"),"LEXEMA_O_FORMA")),IF(W85="RESTAURACION",IF(H85=X85,AA85,IF(OR(H85="NINGUNO",H85="RESTAURACION_POSTERIOR",H85="RESTAURACION_FALLIDA"),IF(J85="COMPLETA",AB85,"COBERTURA_INSUFICIENTE"),"LEXEMA_O_FORMA")),"PERFIL_NO_CONSTITUIDO"))))))))))))))))))</x:f>
        <x:v>OBSERVACION_INSUFICIENTE</x:v>
      </x:c>
      <x:c r="R85" s="12" t="str">
        <x:f>IF(AND(L85=O85,M85=P85,N85=Q85),"PASA","NO_PASA")</x:f>
        <x:v>PASA</x:v>
      </x:c>
      <x:c r="S85" s="4" t="str">
        <x:v>Sello global apto sin informe de la prueba no es un resultado suficiente.</x:v>
      </x:c>
      <x:c r="T85" s="12" t="str">
        <x:f>IFERROR(INDEX('55_Codificacion_ensayo'!$B$5:$B$13,MATCH(B85,'55_Codificacion_ensayo'!$A$5:$A$13,0)),"")</x:f>
        <x:v>COMPROBACION-CRITERIO-UNITARIO-0.1</x:v>
      </x:c>
      <x:c r="U85" s="12" t="str">
        <x:f>IFERROR(INDEX('55_Codificacion_ensayo'!$C$5:$C$13,MATCH(B85,'55_Codificacion_ensayo'!$A$5:$A$13,0)),"")</x:f>
        <x:v>INFORME_PRUEBA</x:v>
      </x:c>
      <x:c r="V85" s="12" t="str">
        <x:f>IFERROR(INDEX('55_Codificacion_ensayo'!$D$5:$D$13,MATCH(B85,'55_Codificacion_ensayo'!$A$5:$A$13,0)),"")</x:f>
        <x:v>ORACULO_UNITARIO</x:v>
      </x:c>
      <x:c r="W85" s="12" t="str">
        <x:f>IFERROR(INDEX('55_Codificacion_ensayo'!$E$5:$E$13,MATCH(B85,'55_Codificacion_ensayo'!$A$5:$A$13,0)),"")</x:f>
        <x:v>PRUEBA</x:v>
      </x:c>
      <x:c r="X85" s="12" t="str">
        <x:f>IFERROR(INDEX('55_Codificacion_ensayo'!$F$5:$F$13,MATCH(B85,'55_Codificacion_ensayo'!$A$5:$A$13,0)),"")</x:f>
        <x:v>CRITERIO_CUMPLIDO</x:v>
      </x:c>
      <x:c r="Y85" s="12" t="str">
        <x:f>IFERROR(INDEX('55_Codificacion_ensayo'!$G$5:$G$13,MATCH(B85,'55_Codificacion_ensayo'!$A$5:$A$13,0)),"")</x:f>
      </x:c>
      <x:c r="Z85" s="12" t="str">
        <x:f>IFERROR(INDEX('55_Codificacion_ensayo'!$H$5:$H$13,MATCH(B85,'55_Codificacion_ensayo'!$A$5:$A$13,0)),"")</x:f>
        <x:v>CRITERIO_NO_CUMPLIDO</x:v>
      </x:c>
      <x:c r="AA85" s="12" t="str">
        <x:f>IFERROR(INDEX('55_Codificacion_ensayo'!$I$5:$I$13,MATCH(B85,'55_Codificacion_ensayo'!$A$5:$A$13,0)),"")</x:f>
        <x:v>CRITERIO_POSITIVO</x:v>
      </x:c>
      <x:c r="AB85" s="12" t="str">
        <x:f>IFERROR(INDEX('55_Codificacion_ensayo'!$J$5:$J$13,MATCH(B85,'55_Codificacion_ensayo'!$A$5:$A$13,0)),"")</x:f>
        <x:v>CRITERIO_NEGATIVO</x:v>
      </x:c>
    </x:row>
    <x:row r="86" ht="47" customHeight="1">
      <x:c r="A86" s="4" t="str">
        <x:v>L10-07-12</x:v>
      </x:c>
      <x:c r="B86" s="4" t="str">
        <x:v>PAR-CYB-COMPROBACION-POSITIVA-001</x:v>
      </x:c>
      <x:c r="C86" s="4" t="str">
        <x:v>COMPROBACION-CRITERIO-UNITARIO-0.1</x:v>
      </x:c>
      <x:c r="D86" s="4" t="str">
        <x:v>COINCIDE</x:v>
      </x:c>
      <x:c r="E86" s="4" t="str">
        <x:v>LEGIBLE</x:v>
      </x:c>
      <x:c r="F86" s="4" t="str">
        <x:v>INFORME_PRUEBA</x:v>
      </x:c>
      <x:c r="G86" s="4" t="str">
        <x:v>UNICA</x:v>
      </x:c>
      <x:c r="H86" s="4" t="str">
        <x:v>CRITERIO_CUMPLIDO</x:v>
      </x:c>
      <x:c r="I86" s="4" t="str"/>
      <x:c r="J86" s="4" t="str">
        <x:v>COMPLETA</x:v>
      </x:c>
      <x:c r="K86" s="4" t="str">
        <x:v>ORACULO_COMPUESTO</x:v>
      </x:c>
      <x:c r="L86" s="4" t="str">
        <x:v>CONFIGURACION_PENDIENTE</x:v>
      </x:c>
      <x:c r="M86" s="4" t="str"/>
      <x:c r="N86" s="4" t="str">
        <x:v>CONTEXTO_NO_CONSTITUIDO</x:v>
      </x:c>
      <x:c r="O86" s="12" t="str">
        <x:f>IF(Q86="SIN_EJECUCION_DOMINIO","FALLO_CAPTURA",IF(OR(Q86="CAPTURA_MAL_FORMADA",Q86="IDENTIDAD",Q86="OBSERVACION_MAL_FORMADA",Q86="LEXEMA_O_FORMA"),"NO_ADMISION",IF(OR(Q86="PERFIL_NO_CONSTITUIDO",Q86="RESULTADO_NO_TERMINAL"),"FUERA_PERFIL",IF(Q86="CONTEXTO_NO_CONSTITUIDO","CONFIGURACION_PENDIENTE","VALIDA"))))</x:f>
        <x:v>CONFIGURACION_PENDIENTE</x:v>
      </x:c>
      <x:c r="P86" s="12" t="str">
        <x:f>IF(O86&lt;&gt;"VALIDA","",IF(Q86=AA86,"1",IF(Q86=AB86,"0","U")))</x:f>
      </x:c>
      <x:c r="Q86" s="12" t="str">
        <x:f>IF(E86="FALLO","SIN_EJECUCION_DOMINIO",IF(E86&lt;&gt;"LEGIBLE","CAPTURA_MAL_FORMADA",IF(D86&lt;&gt;"COINCIDE","IDENTIDAD",IF(OR(T86="",C86&lt;&gt;T86),"PERFIL_NO_CONSTITUIDO",IF(K86&lt;&gt;V86,IF(V86="ORDEN_ACREDITADO","ORDEN_NO_ACREDITADO","CONTEXTO_NO_CONSTITUIDO"),IF(AND(G86="AUSENTE",H86="",I86=""),"DATO_AUSENTE",IF(AND(G86="CONFLICTO",H86="",I86=""),"CONFLICTO_OBSERVACIONAL",IF(G86&lt;&gt;"UNICA","OBSERVACION_MAL_FORMADA",IF(F86&lt;&gt;U86,"OBSERVACION_INSUFICIENTE",IF(W86="RESULTADO",IF(H86=X86,AA86,IF(OR(H86="orcSucceededWithErrors",H86="orcFailed",H86="orcAborted"),AB86,IF(OR(H86="orcNotStarted",H86="orcInProgress"),"RESULTADO_NO_TERMINAL","LEXEMA_O_FORMA"))),IF(W86="EVENTO_BOOT",IF(H86=X86,AA86,IF(OR(H86="NINGUNO",H86="SOLO_HIBRIDO"),IF(J86="COMPLETA",AB86,"COBERTURA_INSUFICIENTE"),"LEXEMA_O_FORMA")),IF(W86="REQUISITO_SOFT",IF(H86=X86,AA86,IF(H86=Z86,AB86,"LEXEMA_O_FORMA")),IF(W86="EVENTO_PROC",IF(H86=X86,AA86,IF(H86=Z86,IF(J86="COMPLETA",AB86,"COBERTURA_INSUFICIENTE"),"LEXEMA_O_FORMA")),IF(W86="IMAGEN",IF(AND(AND(ISTEXT(H86),LEN(("x"&amp;H86))=65,EXACT(("x"&amp;H86),LOWER(("x"&amp;H86))),ISERROR(SEARCH(" ",("x"&amp;H86))),ISERROR(SEARCH(CHAR(9),("x"&amp;H86))),ISERROR(SEARCH(CHAR(10),("x"&amp;H86))),ISERROR(SEARCH(CHAR(13),("x"&amp;H86))),IFERROR(HEX2DEC(MID(("x"&amp;H86),2,8))&gt;=0,FALSE),IFERROR(HEX2DEC(MID(("x"&amp;H86),10,8))&gt;=0,FALSE),IFERROR(HEX2DEC(MID(("x"&amp;H86),18,8))&gt;=0,FALSE),IFERROR(HEX2DEC(MID(("x"&amp;H86),26,8))&gt;=0,FALSE),IFERROR(HEX2DEC(MID(("x"&amp;H86),34,8))&gt;=0,FALSE),IFERROR(HEX2DEC(MID(("x"&amp;H86),42,8))&gt;=0,FALSE),IFERROR(HEX2DEC(MID(("x"&amp;H86),50,8))&gt;=0,FALSE),IFERROR(HEX2DEC(MID(("x"&amp;H86),58,8))&gt;=0,FALSE)),AND(ISTEXT(I86),LEN(("x"&amp;I86))=65,EXACT(("x"&amp;I86),LOWER(("x"&amp;I86))),ISERROR(SEARCH(" ",("x"&amp;I86))),ISERROR(SEARCH(CHAR(9),("x"&amp;I86))),ISERROR(SEARCH(CHAR(10),("x"&amp;I86))),ISERROR(SEARCH(CHAR(13),("x"&amp;I86))),IFERROR(HEX2DEC(MID(("x"&amp;I86),2,8))&gt;=0,FALSE),IFERROR(HEX2DEC(MID(("x"&amp;I86),10,8))&gt;=0,FALSE),IFERROR(HEX2DEC(MID(("x"&amp;I86),18,8))&gt;=0,FALSE),IFERROR(HEX2DEC(MID(("x"&amp;I86),26,8))&gt;=0,FALSE),IFERROR(HEX2DEC(MID(("x"&amp;I86),34,8))&gt;=0,FALSE),IFERROR(HEX2DEC(MID(("x"&amp;I86),42,8))&gt;=0,FALSE),IFERROR(HEX2DEC(MID(("x"&amp;I86),50,8))&gt;=0,FALSE),IFERROR(HEX2DEC(MID(("x"&amp;I86),58,8))&gt;=0,FALSE))),IF(EXACT("x"&amp;H86,"x"&amp;I86),AA86,AB86),"LEXEMA_O_FORMA"),IF(W86="PRUEBA",IF(H86=X86,AA86,IF(H86=Z86,AB86,"LEXEMA_O_FORMA")),IF(W86="RETIRADA",IF(AND(H86="NINGUNO",I86=""),IF(J86="COMPLETA",AB86,"COBERTURA_INSUFICIENTE"),IF(AND(OR(H86="uoInstallation",H86="uoUninstallation"),OR(I86="orcSucceeded",I86="orcSucceededWithErrors",I86="orcFailed",I86="orcAborted",I86="orcInProgress",I86="orcNotStarted")),IF(AND(H86=X86,I86=Y86),AA86,IF(AND(H86=X86,OR(I86="orcSucceededWithErrors",I86="orcInProgress",I86="orcNotStarted")),"RESULTADO_RETIRADA_INCIERTO",IF(J86="COMPLETA",AB86,"COBERTURA_INSUFICIENTE"))),"LEXEMA_O_FORMA")),IF(W86="CAMBIO",IF(OR(H86="CAMBIO",H86="CAMBIO_Y_RETORNO"),AA86,IF(OR(H86="NINGUNO",H86="SOLO_RENOMBRE"),IF(J86="COMPLETA",AB86,"COBERTURA_INSUFICIENTE"),"LEXEMA_O_FORMA")),IF(W86="RESTAURACION",IF(H86=X86,AA86,IF(OR(H86="NINGUNO",H86="RESTAURACION_POSTERIOR",H86="RESTAURACION_FALLIDA"),IF(J86="COMPLETA",AB86,"COBERTURA_INSUFICIENTE"),"LEXEMA_O_FORMA")),"PERFIL_NO_CONSTITUIDO"))))))))))))))))))</x:f>
        <x:v>CONTEXTO_NO_CONSTITUIDO</x:v>
      </x:c>
      <x:c r="R86" s="12" t="str">
        <x:f>IF(AND(L86=O86,M86=P86,N86=Q86),"PASA","NO_PASA")</x:f>
        <x:v>PASA</x:v>
      </x:c>
      <x:c r="S86" s="4" t="str">
        <x:v>Criterio que agrega resultados independientes necesita descomposición.</x:v>
      </x:c>
      <x:c r="T86" s="12" t="str">
        <x:f>IFERROR(INDEX('55_Codificacion_ensayo'!$B$5:$B$13,MATCH(B86,'55_Codificacion_ensayo'!$A$5:$A$13,0)),"")</x:f>
        <x:v>COMPROBACION-CRITERIO-UNITARIO-0.1</x:v>
      </x:c>
      <x:c r="U86" s="12" t="str">
        <x:f>IFERROR(INDEX('55_Codificacion_ensayo'!$C$5:$C$13,MATCH(B86,'55_Codificacion_ensayo'!$A$5:$A$13,0)),"")</x:f>
        <x:v>INFORME_PRUEBA</x:v>
      </x:c>
      <x:c r="V86" s="12" t="str">
        <x:f>IFERROR(INDEX('55_Codificacion_ensayo'!$D$5:$D$13,MATCH(B86,'55_Codificacion_ensayo'!$A$5:$A$13,0)),"")</x:f>
        <x:v>ORACULO_UNITARIO</x:v>
      </x:c>
      <x:c r="W86" s="12" t="str">
        <x:f>IFERROR(INDEX('55_Codificacion_ensayo'!$E$5:$E$13,MATCH(B86,'55_Codificacion_ensayo'!$A$5:$A$13,0)),"")</x:f>
        <x:v>PRUEBA</x:v>
      </x:c>
      <x:c r="X86" s="12" t="str">
        <x:f>IFERROR(INDEX('55_Codificacion_ensayo'!$F$5:$F$13,MATCH(B86,'55_Codificacion_ensayo'!$A$5:$A$13,0)),"")</x:f>
        <x:v>CRITERIO_CUMPLIDO</x:v>
      </x:c>
      <x:c r="Y86" s="12" t="str">
        <x:f>IFERROR(INDEX('55_Codificacion_ensayo'!$G$5:$G$13,MATCH(B86,'55_Codificacion_ensayo'!$A$5:$A$13,0)),"")</x:f>
      </x:c>
      <x:c r="Z86" s="12" t="str">
        <x:f>IFERROR(INDEX('55_Codificacion_ensayo'!$H$5:$H$13,MATCH(B86,'55_Codificacion_ensayo'!$A$5:$A$13,0)),"")</x:f>
        <x:v>CRITERIO_NO_CUMPLIDO</x:v>
      </x:c>
      <x:c r="AA86" s="12" t="str">
        <x:f>IFERROR(INDEX('55_Codificacion_ensayo'!$I$5:$I$13,MATCH(B86,'55_Codificacion_ensayo'!$A$5:$A$13,0)),"")</x:f>
        <x:v>CRITERIO_POSITIVO</x:v>
      </x:c>
      <x:c r="AB86" s="12" t="str">
        <x:f>IFERROR(INDEX('55_Codificacion_ensayo'!$J$5:$J$13,MATCH(B86,'55_Codificacion_ensayo'!$A$5:$A$13,0)),"")</x:f>
        <x:v>CRITERIO_NEGATIVO</x:v>
      </x:c>
    </x:row>
    <x:row r="87" ht="47" customHeight="1">
      <x:c r="A87" s="4" t="str">
        <x:v>L10-08-01</x:v>
      </x:c>
      <x:c r="B87" s="4" t="str">
        <x:v>PAR-CYB-RETIRADA-EXITOSA-COMUNICADA-001</x:v>
      </x:c>
      <x:c r="C87" s="4" t="str">
        <x:v>HISTORIA-RETIRADA-ACTUALIZACION-0.1</x:v>
      </x:c>
      <x:c r="D87" s="4" t="str">
        <x:v>COINCIDE</x:v>
      </x:c>
      <x:c r="E87" s="4" t="str">
        <x:v>LEGIBLE</x:v>
      </x:c>
      <x:c r="F87" s="4" t="str">
        <x:v>HISTORIA_WUA</x:v>
      </x:c>
      <x:c r="G87" s="4" t="str">
        <x:v>UNICA</x:v>
      </x:c>
      <x:c r="H87" s="4" t="str">
        <x:v>uoUninstallation</x:v>
      </x:c>
      <x:c r="I87" s="4" t="str">
        <x:v>orcSucceeded</x:v>
      </x:c>
      <x:c r="J87" s="4" t="str">
        <x:v>COMPLETA</x:v>
      </x:c>
      <x:c r="K87" s="4" t="str">
        <x:v>ORDEN_ACREDITADO</x:v>
      </x:c>
      <x:c r="L87" s="4" t="str">
        <x:v>VALIDA</x:v>
      </x:c>
      <x:c r="M87" s="4" t="str">
        <x:v>1</x:v>
      </x:c>
      <x:c r="N87" s="4" t="str">
        <x:v>RETIRADA_EXITOSA</x:v>
      </x:c>
      <x:c r="O87" s="12" t="str">
        <x:f>IF(Q87="SIN_EJECUCION_DOMINIO","FALLO_CAPTURA",IF(OR(Q87="CAPTURA_MAL_FORMADA",Q87="IDENTIDAD",Q87="OBSERVACION_MAL_FORMADA",Q87="LEXEMA_O_FORMA"),"NO_ADMISION",IF(OR(Q87="PERFIL_NO_CONSTITUIDO",Q87="RESULTADO_NO_TERMINAL"),"FUERA_PERFIL",IF(Q87="CONTEXTO_NO_CONSTITUIDO","CONFIGURACION_PENDIENTE","VALIDA"))))</x:f>
        <x:v>VALIDA</x:v>
      </x:c>
      <x:c r="P87" s="12" t="str">
        <x:f>IF(O87&lt;&gt;"VALIDA","",IF(Q87=AA87,"1",IF(Q87=AB87,"0","U")))</x:f>
        <x:v>1</x:v>
      </x:c>
      <x:c r="Q87" s="12" t="str">
        <x:f>IF(E87="FALLO","SIN_EJECUCION_DOMINIO",IF(E87&lt;&gt;"LEGIBLE","CAPTURA_MAL_FORMADA",IF(D87&lt;&gt;"COINCIDE","IDENTIDAD",IF(OR(T87="",C87&lt;&gt;T87),"PERFIL_NO_CONSTITUIDO",IF(K87&lt;&gt;V87,IF(V87="ORDEN_ACREDITADO","ORDEN_NO_ACREDITADO","CONTEXTO_NO_CONSTITUIDO"),IF(AND(G87="AUSENTE",H87="",I87=""),"DATO_AUSENTE",IF(AND(G87="CONFLICTO",H87="",I87=""),"CONFLICTO_OBSERVACIONAL",IF(G87&lt;&gt;"UNICA","OBSERVACION_MAL_FORMADA",IF(F87&lt;&gt;U87,"OBSERVACION_INSUFICIENTE",IF(W87="RESULTADO",IF(H87=X87,AA87,IF(OR(H87="orcSucceededWithErrors",H87="orcFailed",H87="orcAborted"),AB87,IF(OR(H87="orcNotStarted",H87="orcInProgress"),"RESULTADO_NO_TERMINAL","LEXEMA_O_FORMA"))),IF(W87="EVENTO_BOOT",IF(H87=X87,AA87,IF(OR(H87="NINGUNO",H87="SOLO_HIBRIDO"),IF(J87="COMPLETA",AB87,"COBERTURA_INSUFICIENTE"),"LEXEMA_O_FORMA")),IF(W87="REQUISITO_SOFT",IF(H87=X87,AA87,IF(H87=Z87,AB87,"LEXEMA_O_FORMA")),IF(W87="EVENTO_PROC",IF(H87=X87,AA87,IF(H87=Z87,IF(J87="COMPLETA",AB87,"COBERTURA_INSUFICIENTE"),"LEXEMA_O_FORMA")),IF(W87="IMAGEN",IF(AND(AND(ISTEXT(H87),LEN(("x"&amp;H87))=65,EXACT(("x"&amp;H87),LOWER(("x"&amp;H87))),ISERROR(SEARCH(" ",("x"&amp;H87))),ISERROR(SEARCH(CHAR(9),("x"&amp;H87))),ISERROR(SEARCH(CHAR(10),("x"&amp;H87))),ISERROR(SEARCH(CHAR(13),("x"&amp;H87))),IFERROR(HEX2DEC(MID(("x"&amp;H87),2,8))&gt;=0,FALSE),IFERROR(HEX2DEC(MID(("x"&amp;H87),10,8))&gt;=0,FALSE),IFERROR(HEX2DEC(MID(("x"&amp;H87),18,8))&gt;=0,FALSE),IFERROR(HEX2DEC(MID(("x"&amp;H87),26,8))&gt;=0,FALSE),IFERROR(HEX2DEC(MID(("x"&amp;H87),34,8))&gt;=0,FALSE),IFERROR(HEX2DEC(MID(("x"&amp;H87),42,8))&gt;=0,FALSE),IFERROR(HEX2DEC(MID(("x"&amp;H87),50,8))&gt;=0,FALSE),IFERROR(HEX2DEC(MID(("x"&amp;H87),58,8))&gt;=0,FALSE)),AND(ISTEXT(I87),LEN(("x"&amp;I87))=65,EXACT(("x"&amp;I87),LOWER(("x"&amp;I87))),ISERROR(SEARCH(" ",("x"&amp;I87))),ISERROR(SEARCH(CHAR(9),("x"&amp;I87))),ISERROR(SEARCH(CHAR(10),("x"&amp;I87))),ISERROR(SEARCH(CHAR(13),("x"&amp;I87))),IFERROR(HEX2DEC(MID(("x"&amp;I87),2,8))&gt;=0,FALSE),IFERROR(HEX2DEC(MID(("x"&amp;I87),10,8))&gt;=0,FALSE),IFERROR(HEX2DEC(MID(("x"&amp;I87),18,8))&gt;=0,FALSE),IFERROR(HEX2DEC(MID(("x"&amp;I87),26,8))&gt;=0,FALSE),IFERROR(HEX2DEC(MID(("x"&amp;I87),34,8))&gt;=0,FALSE),IFERROR(HEX2DEC(MID(("x"&amp;I87),42,8))&gt;=0,FALSE),IFERROR(HEX2DEC(MID(("x"&amp;I87),50,8))&gt;=0,FALSE),IFERROR(HEX2DEC(MID(("x"&amp;I87),58,8))&gt;=0,FALSE))),IF(EXACT("x"&amp;H87,"x"&amp;I87),AA87,AB87),"LEXEMA_O_FORMA"),IF(W87="PRUEBA",IF(H87=X87,AA87,IF(H87=Z87,AB87,"LEXEMA_O_FORMA")),IF(W87="RETIRADA",IF(AND(H87="NINGUNO",I87=""),IF(J87="COMPLETA",AB87,"COBERTURA_INSUFICIENTE"),IF(AND(OR(H87="uoInstallation",H87="uoUninstallation"),OR(I87="orcSucceeded",I87="orcSucceededWithErrors",I87="orcFailed",I87="orcAborted",I87="orcInProgress",I87="orcNotStarted")),IF(AND(H87=X87,I87=Y87),AA87,IF(AND(H87=X87,OR(I87="orcSucceededWithErrors",I87="orcInProgress",I87="orcNotStarted")),"RESULTADO_RETIRADA_INCIERTO",IF(J87="COMPLETA",AB87,"COBERTURA_INSUFICIENTE"))),"LEXEMA_O_FORMA")),IF(W87="CAMBIO",IF(OR(H87="CAMBIO",H87="CAMBIO_Y_RETORNO"),AA87,IF(OR(H87="NINGUNO",H87="SOLO_RENOMBRE"),IF(J87="COMPLETA",AB87,"COBERTURA_INSUFICIENTE"),"LEXEMA_O_FORMA")),IF(W87="RESTAURACION",IF(H87=X87,AA87,IF(OR(H87="NINGUNO",H87="RESTAURACION_POSTERIOR",H87="RESTAURACION_FALLIDA"),IF(J87="COMPLETA",AB87,"COBERTURA_INSUFICIENTE"),"LEXEMA_O_FORMA")),"PERFIL_NO_CONSTITUIDO"))))))))))))))))))</x:f>
        <x:v>RETIRADA_EXITOSA</x:v>
      </x:c>
      <x:c r="R87" s="12" t="str">
        <x:f>IF(AND(L87=O87,M87=P87,N87=Q87),"PASA","NO_PASA")</x:f>
        <x:v>PASA</x:v>
      </x:c>
      <x:c r="S87" s="4" t="str">
        <x:v>Testigo positivo de la proposición; no licencia ninguna conclusión más amplia.</x:v>
      </x:c>
      <x:c r="T87" s="12" t="str">
        <x:f>IFERROR(INDEX('55_Codificacion_ensayo'!$B$5:$B$13,MATCH(B87,'55_Codificacion_ensayo'!$A$5:$A$13,0)),"")</x:f>
        <x:v>HISTORIA-RETIRADA-ACTUALIZACION-0.1</x:v>
      </x:c>
      <x:c r="U87" s="12" t="str">
        <x:f>IFERROR(INDEX('55_Codificacion_ensayo'!$C$5:$C$13,MATCH(B87,'55_Codificacion_ensayo'!$A$5:$A$13,0)),"")</x:f>
        <x:v>HISTORIA_WUA</x:v>
      </x:c>
      <x:c r="V87" s="12" t="str">
        <x:f>IFERROR(INDEX('55_Codificacion_ensayo'!$D$5:$D$13,MATCH(B87,'55_Codificacion_ensayo'!$A$5:$A$13,0)),"")</x:f>
        <x:v>ORDEN_ACREDITADO</x:v>
      </x:c>
      <x:c r="W87" s="12" t="str">
        <x:f>IFERROR(INDEX('55_Codificacion_ensayo'!$E$5:$E$13,MATCH(B87,'55_Codificacion_ensayo'!$A$5:$A$13,0)),"")</x:f>
        <x:v>RETIRADA</x:v>
      </x:c>
      <x:c r="X87" s="12" t="str">
        <x:f>IFERROR(INDEX('55_Codificacion_ensayo'!$F$5:$F$13,MATCH(B87,'55_Codificacion_ensayo'!$A$5:$A$13,0)),"")</x:f>
        <x:v>uoUninstallation</x:v>
      </x:c>
      <x:c r="Y87" s="12" t="str">
        <x:f>IFERROR(INDEX('55_Codificacion_ensayo'!$G$5:$G$13,MATCH(B87,'55_Codificacion_ensayo'!$A$5:$A$13,0)),"")</x:f>
        <x:v>orcSucceeded</x:v>
      </x:c>
      <x:c r="Z87" s="12" t="str">
        <x:f>IFERROR(INDEX('55_Codificacion_ensayo'!$H$5:$H$13,MATCH(B87,'55_Codificacion_ensayo'!$A$5:$A$13,0)),"")</x:f>
        <x:v>NINGUNO</x:v>
      </x:c>
      <x:c r="AA87" s="12" t="str">
        <x:f>IFERROR(INDEX('55_Codificacion_ensayo'!$I$5:$I$13,MATCH(B87,'55_Codificacion_ensayo'!$A$5:$A$13,0)),"")</x:f>
        <x:v>RETIRADA_EXITOSA</x:v>
      </x:c>
      <x:c r="AB87" s="12" t="str">
        <x:f>IFERROR(INDEX('55_Codificacion_ensayo'!$J$5:$J$13,MATCH(B87,'55_Codificacion_ensayo'!$A$5:$A$13,0)),"")</x:f>
        <x:v>SIN_RETIRADA_EXITOSA</x:v>
      </x:c>
    </x:row>
    <x:row r="88" ht="47" customHeight="1">
      <x:c r="A88" s="4" t="str">
        <x:v>L10-08-02</x:v>
      </x:c>
      <x:c r="B88" s="4" t="str">
        <x:v>PAR-CYB-RETIRADA-EXITOSA-COMUNICADA-001</x:v>
      </x:c>
      <x:c r="C88" s="4" t="str">
        <x:v>HISTORIA-RETIRADA-ACTUALIZACION-0.1</x:v>
      </x:c>
      <x:c r="D88" s="4" t="str">
        <x:v>COINCIDE</x:v>
      </x:c>
      <x:c r="E88" s="4" t="str">
        <x:v>LEGIBLE</x:v>
      </x:c>
      <x:c r="F88" s="4" t="str">
        <x:v>HISTORIA_WUA</x:v>
      </x:c>
      <x:c r="G88" s="4" t="str">
        <x:v>UNICA</x:v>
      </x:c>
      <x:c r="H88" s="4" t="str">
        <x:v>NINGUNO</x:v>
      </x:c>
      <x:c r="I88" s="4" t="str"/>
      <x:c r="J88" s="4" t="str">
        <x:v>COMPLETA</x:v>
      </x:c>
      <x:c r="K88" s="4" t="str">
        <x:v>ORDEN_ACREDITADO</x:v>
      </x:c>
      <x:c r="L88" s="4" t="str">
        <x:v>VALIDA</x:v>
      </x:c>
      <x:c r="M88" s="4" t="str">
        <x:v>0</x:v>
      </x:c>
      <x:c r="N88" s="4" t="str">
        <x:v>SIN_RETIRADA_EXITOSA</x:v>
      </x:c>
      <x:c r="O88" s="12" t="str">
        <x:f>IF(Q88="SIN_EJECUCION_DOMINIO","FALLO_CAPTURA",IF(OR(Q88="CAPTURA_MAL_FORMADA",Q88="IDENTIDAD",Q88="OBSERVACION_MAL_FORMADA",Q88="LEXEMA_O_FORMA"),"NO_ADMISION",IF(OR(Q88="PERFIL_NO_CONSTITUIDO",Q88="RESULTADO_NO_TERMINAL"),"FUERA_PERFIL",IF(Q88="CONTEXTO_NO_CONSTITUIDO","CONFIGURACION_PENDIENTE","VALIDA"))))</x:f>
        <x:v>VALIDA</x:v>
      </x:c>
      <x:c r="P88" s="12" t="str">
        <x:f>IF(O88&lt;&gt;"VALIDA","",IF(Q88=AA88,"1",IF(Q88=AB88,"0","U")))</x:f>
        <x:v>0</x:v>
      </x:c>
      <x:c r="Q88" s="12" t="str">
        <x:f>IF(E88="FALLO","SIN_EJECUCION_DOMINIO",IF(E88&lt;&gt;"LEGIBLE","CAPTURA_MAL_FORMADA",IF(D88&lt;&gt;"COINCIDE","IDENTIDAD",IF(OR(T88="",C88&lt;&gt;T88),"PERFIL_NO_CONSTITUIDO",IF(K88&lt;&gt;V88,IF(V88="ORDEN_ACREDITADO","ORDEN_NO_ACREDITADO","CONTEXTO_NO_CONSTITUIDO"),IF(AND(G88="AUSENTE",H88="",I88=""),"DATO_AUSENTE",IF(AND(G88="CONFLICTO",H88="",I88=""),"CONFLICTO_OBSERVACIONAL",IF(G88&lt;&gt;"UNICA","OBSERVACION_MAL_FORMADA",IF(F88&lt;&gt;U88,"OBSERVACION_INSUFICIENTE",IF(W88="RESULTADO",IF(H88=X88,AA88,IF(OR(H88="orcSucceededWithErrors",H88="orcFailed",H88="orcAborted"),AB88,IF(OR(H88="orcNotStarted",H88="orcInProgress"),"RESULTADO_NO_TERMINAL","LEXEMA_O_FORMA"))),IF(W88="EVENTO_BOOT",IF(H88=X88,AA88,IF(OR(H88="NINGUNO",H88="SOLO_HIBRIDO"),IF(J88="COMPLETA",AB88,"COBERTURA_INSUFICIENTE"),"LEXEMA_O_FORMA")),IF(W88="REQUISITO_SOFT",IF(H88=X88,AA88,IF(H88=Z88,AB88,"LEXEMA_O_FORMA")),IF(W88="EVENTO_PROC",IF(H88=X88,AA88,IF(H88=Z88,IF(J88="COMPLETA",AB88,"COBERTURA_INSUFICIENTE"),"LEXEMA_O_FORMA")),IF(W88="IMAGEN",IF(AND(AND(ISTEXT(H88),LEN(("x"&amp;H88))=65,EXACT(("x"&amp;H88),LOWER(("x"&amp;H88))),ISERROR(SEARCH(" ",("x"&amp;H88))),ISERROR(SEARCH(CHAR(9),("x"&amp;H88))),ISERROR(SEARCH(CHAR(10),("x"&amp;H88))),ISERROR(SEARCH(CHAR(13),("x"&amp;H88))),IFERROR(HEX2DEC(MID(("x"&amp;H88),2,8))&gt;=0,FALSE),IFERROR(HEX2DEC(MID(("x"&amp;H88),10,8))&gt;=0,FALSE),IFERROR(HEX2DEC(MID(("x"&amp;H88),18,8))&gt;=0,FALSE),IFERROR(HEX2DEC(MID(("x"&amp;H88),26,8))&gt;=0,FALSE),IFERROR(HEX2DEC(MID(("x"&amp;H88),34,8))&gt;=0,FALSE),IFERROR(HEX2DEC(MID(("x"&amp;H88),42,8))&gt;=0,FALSE),IFERROR(HEX2DEC(MID(("x"&amp;H88),50,8))&gt;=0,FALSE),IFERROR(HEX2DEC(MID(("x"&amp;H88),58,8))&gt;=0,FALSE)),AND(ISTEXT(I88),LEN(("x"&amp;I88))=65,EXACT(("x"&amp;I88),LOWER(("x"&amp;I88))),ISERROR(SEARCH(" ",("x"&amp;I88))),ISERROR(SEARCH(CHAR(9),("x"&amp;I88))),ISERROR(SEARCH(CHAR(10),("x"&amp;I88))),ISERROR(SEARCH(CHAR(13),("x"&amp;I88))),IFERROR(HEX2DEC(MID(("x"&amp;I88),2,8))&gt;=0,FALSE),IFERROR(HEX2DEC(MID(("x"&amp;I88),10,8))&gt;=0,FALSE),IFERROR(HEX2DEC(MID(("x"&amp;I88),18,8))&gt;=0,FALSE),IFERROR(HEX2DEC(MID(("x"&amp;I88),26,8))&gt;=0,FALSE),IFERROR(HEX2DEC(MID(("x"&amp;I88),34,8))&gt;=0,FALSE),IFERROR(HEX2DEC(MID(("x"&amp;I88),42,8))&gt;=0,FALSE),IFERROR(HEX2DEC(MID(("x"&amp;I88),50,8))&gt;=0,FALSE),IFERROR(HEX2DEC(MID(("x"&amp;I88),58,8))&gt;=0,FALSE))),IF(EXACT("x"&amp;H88,"x"&amp;I88),AA88,AB88),"LEXEMA_O_FORMA"),IF(W88="PRUEBA",IF(H88=X88,AA88,IF(H88=Z88,AB88,"LEXEMA_O_FORMA")),IF(W88="RETIRADA",IF(AND(H88="NINGUNO",I88=""),IF(J88="COMPLETA",AB88,"COBERTURA_INSUFICIENTE"),IF(AND(OR(H88="uoInstallation",H88="uoUninstallation"),OR(I88="orcSucceeded",I88="orcSucceededWithErrors",I88="orcFailed",I88="orcAborted",I88="orcInProgress",I88="orcNotStarted")),IF(AND(H88=X88,I88=Y88),AA88,IF(AND(H88=X88,OR(I88="orcSucceededWithErrors",I88="orcInProgress",I88="orcNotStarted")),"RESULTADO_RETIRADA_INCIERTO",IF(J88="COMPLETA",AB88,"COBERTURA_INSUFICIENTE"))),"LEXEMA_O_FORMA")),IF(W88="CAMBIO",IF(OR(H88="CAMBIO",H88="CAMBIO_Y_RETORNO"),AA88,IF(OR(H88="NINGUNO",H88="SOLO_RENOMBRE"),IF(J88="COMPLETA",AB88,"COBERTURA_INSUFICIENTE"),"LEXEMA_O_FORMA")),IF(W88="RESTAURACION",IF(H88=X88,AA88,IF(OR(H88="NINGUNO",H88="RESTAURACION_POSTERIOR",H88="RESTAURACION_FALLIDA"),IF(J88="COMPLETA",AB88,"COBERTURA_INSUFICIENTE"),"LEXEMA_O_FORMA")),"PERFIL_NO_CONSTITUIDO"))))))))))))))))))</x:f>
        <x:v>SIN_RETIRADA_EXITOSA</x:v>
      </x:c>
      <x:c r="R88" s="12" t="str">
        <x:f>IF(AND(L88=O88,M88=P88,N88=Q88),"PASA","NO_PASA")</x:f>
        <x:v>PASA</x:v>
      </x:c>
      <x:c r="S88" s="4" t="str">
        <x:v>Negativo explícito; en eventos exige cobertura del intervalo.</x:v>
      </x:c>
      <x:c r="T88" s="12" t="str">
        <x:f>IFERROR(INDEX('55_Codificacion_ensayo'!$B$5:$B$13,MATCH(B88,'55_Codificacion_ensayo'!$A$5:$A$13,0)),"")</x:f>
        <x:v>HISTORIA-RETIRADA-ACTUALIZACION-0.1</x:v>
      </x:c>
      <x:c r="U88" s="12" t="str">
        <x:f>IFERROR(INDEX('55_Codificacion_ensayo'!$C$5:$C$13,MATCH(B88,'55_Codificacion_ensayo'!$A$5:$A$13,0)),"")</x:f>
        <x:v>HISTORIA_WUA</x:v>
      </x:c>
      <x:c r="V88" s="12" t="str">
        <x:f>IFERROR(INDEX('55_Codificacion_ensayo'!$D$5:$D$13,MATCH(B88,'55_Codificacion_ensayo'!$A$5:$A$13,0)),"")</x:f>
        <x:v>ORDEN_ACREDITADO</x:v>
      </x:c>
      <x:c r="W88" s="12" t="str">
        <x:f>IFERROR(INDEX('55_Codificacion_ensayo'!$E$5:$E$13,MATCH(B88,'55_Codificacion_ensayo'!$A$5:$A$13,0)),"")</x:f>
        <x:v>RETIRADA</x:v>
      </x:c>
      <x:c r="X88" s="12" t="str">
        <x:f>IFERROR(INDEX('55_Codificacion_ensayo'!$F$5:$F$13,MATCH(B88,'55_Codificacion_ensayo'!$A$5:$A$13,0)),"")</x:f>
        <x:v>uoUninstallation</x:v>
      </x:c>
      <x:c r="Y88" s="12" t="str">
        <x:f>IFERROR(INDEX('55_Codificacion_ensayo'!$G$5:$G$13,MATCH(B88,'55_Codificacion_ensayo'!$A$5:$A$13,0)),"")</x:f>
        <x:v>orcSucceeded</x:v>
      </x:c>
      <x:c r="Z88" s="12" t="str">
        <x:f>IFERROR(INDEX('55_Codificacion_ensayo'!$H$5:$H$13,MATCH(B88,'55_Codificacion_ensayo'!$A$5:$A$13,0)),"")</x:f>
        <x:v>NINGUNO</x:v>
      </x:c>
      <x:c r="AA88" s="12" t="str">
        <x:f>IFERROR(INDEX('55_Codificacion_ensayo'!$I$5:$I$13,MATCH(B88,'55_Codificacion_ensayo'!$A$5:$A$13,0)),"")</x:f>
        <x:v>RETIRADA_EXITOSA</x:v>
      </x:c>
      <x:c r="AB88" s="12" t="str">
        <x:f>IFERROR(INDEX('55_Codificacion_ensayo'!$J$5:$J$13,MATCH(B88,'55_Codificacion_ensayo'!$A$5:$A$13,0)),"")</x:f>
        <x:v>SIN_RETIRADA_EXITOSA</x:v>
      </x:c>
    </x:row>
    <x:row r="89" ht="47" customHeight="1">
      <x:c r="A89" s="4" t="str">
        <x:v>L10-08-03</x:v>
      </x:c>
      <x:c r="B89" s="4" t="str">
        <x:v>PAR-CYB-RETIRADA-EXITOSA-COMUNICADA-001</x:v>
      </x:c>
      <x:c r="C89" s="4" t="str">
        <x:v>HISTORIA-RETIRADA-ACTUALIZACION-0.1</x:v>
      </x:c>
      <x:c r="D89" s="4" t="str">
        <x:v>COINCIDE</x:v>
      </x:c>
      <x:c r="E89" s="4" t="str">
        <x:v>LEGIBLE</x:v>
      </x:c>
      <x:c r="F89" s="4" t="str">
        <x:v>HISTORIA_WUA</x:v>
      </x:c>
      <x:c r="G89" s="4" t="str">
        <x:v>AUSENTE</x:v>
      </x:c>
      <x:c r="H89" s="4" t="str"/>
      <x:c r="I89" s="4" t="str"/>
      <x:c r="J89" s="4" t="str">
        <x:v>COMPLETA</x:v>
      </x:c>
      <x:c r="K89" s="4" t="str">
        <x:v>ORDEN_ACREDITADO</x:v>
      </x:c>
      <x:c r="L89" s="4" t="str">
        <x:v>VALIDA</x:v>
      </x:c>
      <x:c r="M89" s="4" t="str">
        <x:v>U</x:v>
      </x:c>
      <x:c r="N89" s="4" t="str">
        <x:v>DATO_AUSENTE</x:v>
      </x:c>
      <x:c r="O89" s="12" t="str">
        <x:f>IF(Q89="SIN_EJECUCION_DOMINIO","FALLO_CAPTURA",IF(OR(Q89="CAPTURA_MAL_FORMADA",Q89="IDENTIDAD",Q89="OBSERVACION_MAL_FORMADA",Q89="LEXEMA_O_FORMA"),"NO_ADMISION",IF(OR(Q89="PERFIL_NO_CONSTITUIDO",Q89="RESULTADO_NO_TERMINAL"),"FUERA_PERFIL",IF(Q89="CONTEXTO_NO_CONSTITUIDO","CONFIGURACION_PENDIENTE","VALIDA"))))</x:f>
        <x:v>VALIDA</x:v>
      </x:c>
      <x:c r="P89" s="12" t="str">
        <x:f>IF(O89&lt;&gt;"VALIDA","",IF(Q89=AA89,"1",IF(Q89=AB89,"0","U")))</x:f>
        <x:v>U</x:v>
      </x:c>
      <x:c r="Q89" s="12" t="str">
        <x:f>IF(E89="FALLO","SIN_EJECUCION_DOMINIO",IF(E89&lt;&gt;"LEGIBLE","CAPTURA_MAL_FORMADA",IF(D89&lt;&gt;"COINCIDE","IDENTIDAD",IF(OR(T89="",C89&lt;&gt;T89),"PERFIL_NO_CONSTITUIDO",IF(K89&lt;&gt;V89,IF(V89="ORDEN_ACREDITADO","ORDEN_NO_ACREDITADO","CONTEXTO_NO_CONSTITUIDO"),IF(AND(G89="AUSENTE",H89="",I89=""),"DATO_AUSENTE",IF(AND(G89="CONFLICTO",H89="",I89=""),"CONFLICTO_OBSERVACIONAL",IF(G89&lt;&gt;"UNICA","OBSERVACION_MAL_FORMADA",IF(F89&lt;&gt;U89,"OBSERVACION_INSUFICIENTE",IF(W89="RESULTADO",IF(H89=X89,AA89,IF(OR(H89="orcSucceededWithErrors",H89="orcFailed",H89="orcAborted"),AB89,IF(OR(H89="orcNotStarted",H89="orcInProgress"),"RESULTADO_NO_TERMINAL","LEXEMA_O_FORMA"))),IF(W89="EVENTO_BOOT",IF(H89=X89,AA89,IF(OR(H89="NINGUNO",H89="SOLO_HIBRIDO"),IF(J89="COMPLETA",AB89,"COBERTURA_INSUFICIENTE"),"LEXEMA_O_FORMA")),IF(W89="REQUISITO_SOFT",IF(H89=X89,AA89,IF(H89=Z89,AB89,"LEXEMA_O_FORMA")),IF(W89="EVENTO_PROC",IF(H89=X89,AA89,IF(H89=Z89,IF(J89="COMPLETA",AB89,"COBERTURA_INSUFICIENTE"),"LEXEMA_O_FORMA")),IF(W89="IMAGEN",IF(AND(AND(ISTEXT(H89),LEN(("x"&amp;H89))=65,EXACT(("x"&amp;H89),LOWER(("x"&amp;H89))),ISERROR(SEARCH(" ",("x"&amp;H89))),ISERROR(SEARCH(CHAR(9),("x"&amp;H89))),ISERROR(SEARCH(CHAR(10),("x"&amp;H89))),ISERROR(SEARCH(CHAR(13),("x"&amp;H89))),IFERROR(HEX2DEC(MID(("x"&amp;H89),2,8))&gt;=0,FALSE),IFERROR(HEX2DEC(MID(("x"&amp;H89),10,8))&gt;=0,FALSE),IFERROR(HEX2DEC(MID(("x"&amp;H89),18,8))&gt;=0,FALSE),IFERROR(HEX2DEC(MID(("x"&amp;H89),26,8))&gt;=0,FALSE),IFERROR(HEX2DEC(MID(("x"&amp;H89),34,8))&gt;=0,FALSE),IFERROR(HEX2DEC(MID(("x"&amp;H89),42,8))&gt;=0,FALSE),IFERROR(HEX2DEC(MID(("x"&amp;H89),50,8))&gt;=0,FALSE),IFERROR(HEX2DEC(MID(("x"&amp;H89),58,8))&gt;=0,FALSE)),AND(ISTEXT(I89),LEN(("x"&amp;I89))=65,EXACT(("x"&amp;I89),LOWER(("x"&amp;I89))),ISERROR(SEARCH(" ",("x"&amp;I89))),ISERROR(SEARCH(CHAR(9),("x"&amp;I89))),ISERROR(SEARCH(CHAR(10),("x"&amp;I89))),ISERROR(SEARCH(CHAR(13),("x"&amp;I89))),IFERROR(HEX2DEC(MID(("x"&amp;I89),2,8))&gt;=0,FALSE),IFERROR(HEX2DEC(MID(("x"&amp;I89),10,8))&gt;=0,FALSE),IFERROR(HEX2DEC(MID(("x"&amp;I89),18,8))&gt;=0,FALSE),IFERROR(HEX2DEC(MID(("x"&amp;I89),26,8))&gt;=0,FALSE),IFERROR(HEX2DEC(MID(("x"&amp;I89),34,8))&gt;=0,FALSE),IFERROR(HEX2DEC(MID(("x"&amp;I89),42,8))&gt;=0,FALSE),IFERROR(HEX2DEC(MID(("x"&amp;I89),50,8))&gt;=0,FALSE),IFERROR(HEX2DEC(MID(("x"&amp;I89),58,8))&gt;=0,FALSE))),IF(EXACT("x"&amp;H89,"x"&amp;I89),AA89,AB89),"LEXEMA_O_FORMA"),IF(W89="PRUEBA",IF(H89=X89,AA89,IF(H89=Z89,AB89,"LEXEMA_O_FORMA")),IF(W89="RETIRADA",IF(AND(H89="NINGUNO",I89=""),IF(J89="COMPLETA",AB89,"COBERTURA_INSUFICIENTE"),IF(AND(OR(H89="uoInstallation",H89="uoUninstallation"),OR(I89="orcSucceeded",I89="orcSucceededWithErrors",I89="orcFailed",I89="orcAborted",I89="orcInProgress",I89="orcNotStarted")),IF(AND(H89=X89,I89=Y89),AA89,IF(AND(H89=X89,OR(I89="orcSucceededWithErrors",I89="orcInProgress",I89="orcNotStarted")),"RESULTADO_RETIRADA_INCIERTO",IF(J89="COMPLETA",AB89,"COBERTURA_INSUFICIENTE"))),"LEXEMA_O_FORMA")),IF(W89="CAMBIO",IF(OR(H89="CAMBIO",H89="CAMBIO_Y_RETORNO"),AA89,IF(OR(H89="NINGUNO",H89="SOLO_RENOMBRE"),IF(J89="COMPLETA",AB89,"COBERTURA_INSUFICIENTE"),"LEXEMA_O_FORMA")),IF(W89="RESTAURACION",IF(H89=X89,AA89,IF(OR(H89="NINGUNO",H89="RESTAURACION_POSTERIOR",H89="RESTAURACION_FALLIDA"),IF(J89="COMPLETA",AB89,"COBERTURA_INSUFICIENTE"),"LEXEMA_O_FORMA")),"PERFIL_NO_CONSTITUIDO"))))))))))))))))))</x:f>
        <x:v>DATO_AUSENTE</x:v>
      </x:c>
      <x:c r="R89" s="12" t="str">
        <x:f>IF(AND(L89=O89,M89=P89,N89=Q89),"PASA","NO_PASA")</x:f>
        <x:v>PASA</x:v>
      </x:c>
      <x:c r="S89" s="4" t="str">
        <x:v>Documento declara que falta la observación, sin convertir ausencia en 0.</x:v>
      </x:c>
      <x:c r="T89" s="12" t="str">
        <x:f>IFERROR(INDEX('55_Codificacion_ensayo'!$B$5:$B$13,MATCH(B89,'55_Codificacion_ensayo'!$A$5:$A$13,0)),"")</x:f>
        <x:v>HISTORIA-RETIRADA-ACTUALIZACION-0.1</x:v>
      </x:c>
      <x:c r="U89" s="12" t="str">
        <x:f>IFERROR(INDEX('55_Codificacion_ensayo'!$C$5:$C$13,MATCH(B89,'55_Codificacion_ensayo'!$A$5:$A$13,0)),"")</x:f>
        <x:v>HISTORIA_WUA</x:v>
      </x:c>
      <x:c r="V89" s="12" t="str">
        <x:f>IFERROR(INDEX('55_Codificacion_ensayo'!$D$5:$D$13,MATCH(B89,'55_Codificacion_ensayo'!$A$5:$A$13,0)),"")</x:f>
        <x:v>ORDEN_ACREDITADO</x:v>
      </x:c>
      <x:c r="W89" s="12" t="str">
        <x:f>IFERROR(INDEX('55_Codificacion_ensayo'!$E$5:$E$13,MATCH(B89,'55_Codificacion_ensayo'!$A$5:$A$13,0)),"")</x:f>
        <x:v>RETIRADA</x:v>
      </x:c>
      <x:c r="X89" s="12" t="str">
        <x:f>IFERROR(INDEX('55_Codificacion_ensayo'!$F$5:$F$13,MATCH(B89,'55_Codificacion_ensayo'!$A$5:$A$13,0)),"")</x:f>
        <x:v>uoUninstallation</x:v>
      </x:c>
      <x:c r="Y89" s="12" t="str">
        <x:f>IFERROR(INDEX('55_Codificacion_ensayo'!$G$5:$G$13,MATCH(B89,'55_Codificacion_ensayo'!$A$5:$A$13,0)),"")</x:f>
        <x:v>orcSucceeded</x:v>
      </x:c>
      <x:c r="Z89" s="12" t="str">
        <x:f>IFERROR(INDEX('55_Codificacion_ensayo'!$H$5:$H$13,MATCH(B89,'55_Codificacion_ensayo'!$A$5:$A$13,0)),"")</x:f>
        <x:v>NINGUNO</x:v>
      </x:c>
      <x:c r="AA89" s="12" t="str">
        <x:f>IFERROR(INDEX('55_Codificacion_ensayo'!$I$5:$I$13,MATCH(B89,'55_Codificacion_ensayo'!$A$5:$A$13,0)),"")</x:f>
        <x:v>RETIRADA_EXITOSA</x:v>
      </x:c>
      <x:c r="AB89" s="12" t="str">
        <x:f>IFERROR(INDEX('55_Codificacion_ensayo'!$J$5:$J$13,MATCH(B89,'55_Codificacion_ensayo'!$A$5:$A$13,0)),"")</x:f>
        <x:v>SIN_RETIRADA_EXITOSA</x:v>
      </x:c>
    </x:row>
    <x:row r="90" ht="47" customHeight="1">
      <x:c r="A90" s="4" t="str">
        <x:v>L10-08-04</x:v>
      </x:c>
      <x:c r="B90" s="4" t="str">
        <x:v>PAR-CYB-RETIRADA-EXITOSA-COMUNICADA-001</x:v>
      </x:c>
      <x:c r="C90" s="4" t="str">
        <x:v>HISTORIA-RETIRADA-ACTUALIZACION-0.1</x:v>
      </x:c>
      <x:c r="D90" s="4" t="str">
        <x:v>COINCIDE</x:v>
      </x:c>
      <x:c r="E90" s="4" t="str">
        <x:v>LEGIBLE</x:v>
      </x:c>
      <x:c r="F90" s="4" t="str">
        <x:v>HISTORIA_WUA</x:v>
      </x:c>
      <x:c r="G90" s="4" t="str">
        <x:v>CONFLICTO</x:v>
      </x:c>
      <x:c r="H90" s="4" t="str"/>
      <x:c r="I90" s="4" t="str"/>
      <x:c r="J90" s="4" t="str">
        <x:v>COMPLETA</x:v>
      </x:c>
      <x:c r="K90" s="4" t="str">
        <x:v>ORDEN_ACREDITADO</x:v>
      </x:c>
      <x:c r="L90" s="4" t="str">
        <x:v>VALIDA</x:v>
      </x:c>
      <x:c r="M90" s="4" t="str">
        <x:v>U</x:v>
      </x:c>
      <x:c r="N90" s="4" t="str">
        <x:v>CONFLICTO_OBSERVACIONAL</x:v>
      </x:c>
      <x:c r="O90" s="12" t="str">
        <x:f>IF(Q90="SIN_EJECUCION_DOMINIO","FALLO_CAPTURA",IF(OR(Q90="CAPTURA_MAL_FORMADA",Q90="IDENTIDAD",Q90="OBSERVACION_MAL_FORMADA",Q90="LEXEMA_O_FORMA"),"NO_ADMISION",IF(OR(Q90="PERFIL_NO_CONSTITUIDO",Q90="RESULTADO_NO_TERMINAL"),"FUERA_PERFIL",IF(Q90="CONTEXTO_NO_CONSTITUIDO","CONFIGURACION_PENDIENTE","VALIDA"))))</x:f>
        <x:v>VALIDA</x:v>
      </x:c>
      <x:c r="P90" s="12" t="str">
        <x:f>IF(O90&lt;&gt;"VALIDA","",IF(Q90=AA90,"1",IF(Q90=AB90,"0","U")))</x:f>
        <x:v>U</x:v>
      </x:c>
      <x:c r="Q90" s="12" t="str">
        <x:f>IF(E90="FALLO","SIN_EJECUCION_DOMINIO",IF(E90&lt;&gt;"LEGIBLE","CAPTURA_MAL_FORMADA",IF(D90&lt;&gt;"COINCIDE","IDENTIDAD",IF(OR(T90="",C90&lt;&gt;T90),"PERFIL_NO_CONSTITUIDO",IF(K90&lt;&gt;V90,IF(V90="ORDEN_ACREDITADO","ORDEN_NO_ACREDITADO","CONTEXTO_NO_CONSTITUIDO"),IF(AND(G90="AUSENTE",H90="",I90=""),"DATO_AUSENTE",IF(AND(G90="CONFLICTO",H90="",I90=""),"CONFLICTO_OBSERVACIONAL",IF(G90&lt;&gt;"UNICA","OBSERVACION_MAL_FORMADA",IF(F90&lt;&gt;U90,"OBSERVACION_INSUFICIENTE",IF(W90="RESULTADO",IF(H90=X90,AA90,IF(OR(H90="orcSucceededWithErrors",H90="orcFailed",H90="orcAborted"),AB90,IF(OR(H90="orcNotStarted",H90="orcInProgress"),"RESULTADO_NO_TERMINAL","LEXEMA_O_FORMA"))),IF(W90="EVENTO_BOOT",IF(H90=X90,AA90,IF(OR(H90="NINGUNO",H90="SOLO_HIBRIDO"),IF(J90="COMPLETA",AB90,"COBERTURA_INSUFICIENTE"),"LEXEMA_O_FORMA")),IF(W90="REQUISITO_SOFT",IF(H90=X90,AA90,IF(H90=Z90,AB90,"LEXEMA_O_FORMA")),IF(W90="EVENTO_PROC",IF(H90=X90,AA90,IF(H90=Z90,IF(J90="COMPLETA",AB90,"COBERTURA_INSUFICIENTE"),"LEXEMA_O_FORMA")),IF(W90="IMAGEN",IF(AND(AND(ISTEXT(H90),LEN(("x"&amp;H90))=65,EXACT(("x"&amp;H90),LOWER(("x"&amp;H90))),ISERROR(SEARCH(" ",("x"&amp;H90))),ISERROR(SEARCH(CHAR(9),("x"&amp;H90))),ISERROR(SEARCH(CHAR(10),("x"&amp;H90))),ISERROR(SEARCH(CHAR(13),("x"&amp;H90))),IFERROR(HEX2DEC(MID(("x"&amp;H90),2,8))&gt;=0,FALSE),IFERROR(HEX2DEC(MID(("x"&amp;H90),10,8))&gt;=0,FALSE),IFERROR(HEX2DEC(MID(("x"&amp;H90),18,8))&gt;=0,FALSE),IFERROR(HEX2DEC(MID(("x"&amp;H90),26,8))&gt;=0,FALSE),IFERROR(HEX2DEC(MID(("x"&amp;H90),34,8))&gt;=0,FALSE),IFERROR(HEX2DEC(MID(("x"&amp;H90),42,8))&gt;=0,FALSE),IFERROR(HEX2DEC(MID(("x"&amp;H90),50,8))&gt;=0,FALSE),IFERROR(HEX2DEC(MID(("x"&amp;H90),58,8))&gt;=0,FALSE)),AND(ISTEXT(I90),LEN(("x"&amp;I90))=65,EXACT(("x"&amp;I90),LOWER(("x"&amp;I90))),ISERROR(SEARCH(" ",("x"&amp;I90))),ISERROR(SEARCH(CHAR(9),("x"&amp;I90))),ISERROR(SEARCH(CHAR(10),("x"&amp;I90))),ISERROR(SEARCH(CHAR(13),("x"&amp;I90))),IFERROR(HEX2DEC(MID(("x"&amp;I90),2,8))&gt;=0,FALSE),IFERROR(HEX2DEC(MID(("x"&amp;I90),10,8))&gt;=0,FALSE),IFERROR(HEX2DEC(MID(("x"&amp;I90),18,8))&gt;=0,FALSE),IFERROR(HEX2DEC(MID(("x"&amp;I90),26,8))&gt;=0,FALSE),IFERROR(HEX2DEC(MID(("x"&amp;I90),34,8))&gt;=0,FALSE),IFERROR(HEX2DEC(MID(("x"&amp;I90),42,8))&gt;=0,FALSE),IFERROR(HEX2DEC(MID(("x"&amp;I90),50,8))&gt;=0,FALSE),IFERROR(HEX2DEC(MID(("x"&amp;I90),58,8))&gt;=0,FALSE))),IF(EXACT("x"&amp;H90,"x"&amp;I90),AA90,AB90),"LEXEMA_O_FORMA"),IF(W90="PRUEBA",IF(H90=X90,AA90,IF(H90=Z90,AB90,"LEXEMA_O_FORMA")),IF(W90="RETIRADA",IF(AND(H90="NINGUNO",I90=""),IF(J90="COMPLETA",AB90,"COBERTURA_INSUFICIENTE"),IF(AND(OR(H90="uoInstallation",H90="uoUninstallation"),OR(I90="orcSucceeded",I90="orcSucceededWithErrors",I90="orcFailed",I90="orcAborted",I90="orcInProgress",I90="orcNotStarted")),IF(AND(H90=X90,I90=Y90),AA90,IF(AND(H90=X90,OR(I90="orcSucceededWithErrors",I90="orcInProgress",I90="orcNotStarted")),"RESULTADO_RETIRADA_INCIERTO",IF(J90="COMPLETA",AB90,"COBERTURA_INSUFICIENTE"))),"LEXEMA_O_FORMA")),IF(W90="CAMBIO",IF(OR(H90="CAMBIO",H90="CAMBIO_Y_RETORNO"),AA90,IF(OR(H90="NINGUNO",H90="SOLO_RENOMBRE"),IF(J90="COMPLETA",AB90,"COBERTURA_INSUFICIENTE"),"LEXEMA_O_FORMA")),IF(W90="RESTAURACION",IF(H90=X90,AA90,IF(OR(H90="NINGUNO",H90="RESTAURACION_POSTERIOR",H90="RESTAURACION_FALLIDA"),IF(J90="COMPLETA",AB90,"COBERTURA_INSUFICIENTE"),"LEXEMA_O_FORMA")),"PERFIL_NO_CONSTITUIDO"))))))))))))))))))</x:f>
        <x:v>CONFLICTO_OBSERVACIONAL</x:v>
      </x:c>
      <x:c r="R90" s="12" t="str">
        <x:f>IF(AND(L90=O90,M90=P90,N90=Q90),"PASA","NO_PASA")</x:f>
        <x:v>PASA</x:v>
      </x:c>
      <x:c r="S90" s="4" t="str">
        <x:v>Conflicto entre observaciones admitidas del mismo sujeto y corte.</x:v>
      </x:c>
      <x:c r="T90" s="12" t="str">
        <x:f>IFERROR(INDEX('55_Codificacion_ensayo'!$B$5:$B$13,MATCH(B90,'55_Codificacion_ensayo'!$A$5:$A$13,0)),"")</x:f>
        <x:v>HISTORIA-RETIRADA-ACTUALIZACION-0.1</x:v>
      </x:c>
      <x:c r="U90" s="12" t="str">
        <x:f>IFERROR(INDEX('55_Codificacion_ensayo'!$C$5:$C$13,MATCH(B90,'55_Codificacion_ensayo'!$A$5:$A$13,0)),"")</x:f>
        <x:v>HISTORIA_WUA</x:v>
      </x:c>
      <x:c r="V90" s="12" t="str">
        <x:f>IFERROR(INDEX('55_Codificacion_ensayo'!$D$5:$D$13,MATCH(B90,'55_Codificacion_ensayo'!$A$5:$A$13,0)),"")</x:f>
        <x:v>ORDEN_ACREDITADO</x:v>
      </x:c>
      <x:c r="W90" s="12" t="str">
        <x:f>IFERROR(INDEX('55_Codificacion_ensayo'!$E$5:$E$13,MATCH(B90,'55_Codificacion_ensayo'!$A$5:$A$13,0)),"")</x:f>
        <x:v>RETIRADA</x:v>
      </x:c>
      <x:c r="X90" s="12" t="str">
        <x:f>IFERROR(INDEX('55_Codificacion_ensayo'!$F$5:$F$13,MATCH(B90,'55_Codificacion_ensayo'!$A$5:$A$13,0)),"")</x:f>
        <x:v>uoUninstallation</x:v>
      </x:c>
      <x:c r="Y90" s="12" t="str">
        <x:f>IFERROR(INDEX('55_Codificacion_ensayo'!$G$5:$G$13,MATCH(B90,'55_Codificacion_ensayo'!$A$5:$A$13,0)),"")</x:f>
        <x:v>orcSucceeded</x:v>
      </x:c>
      <x:c r="Z90" s="12" t="str">
        <x:f>IFERROR(INDEX('55_Codificacion_ensayo'!$H$5:$H$13,MATCH(B90,'55_Codificacion_ensayo'!$A$5:$A$13,0)),"")</x:f>
        <x:v>NINGUNO</x:v>
      </x:c>
      <x:c r="AA90" s="12" t="str">
        <x:f>IFERROR(INDEX('55_Codificacion_ensayo'!$I$5:$I$13,MATCH(B90,'55_Codificacion_ensayo'!$A$5:$A$13,0)),"")</x:f>
        <x:v>RETIRADA_EXITOSA</x:v>
      </x:c>
      <x:c r="AB90" s="12" t="str">
        <x:f>IFERROR(INDEX('55_Codificacion_ensayo'!$J$5:$J$13,MATCH(B90,'55_Codificacion_ensayo'!$A$5:$A$13,0)),"")</x:f>
        <x:v>SIN_RETIRADA_EXITOSA</x:v>
      </x:c>
    </x:row>
    <x:row r="91" ht="47" customHeight="1">
      <x:c r="A91" s="4" t="str">
        <x:v>L10-08-05</x:v>
      </x:c>
      <x:c r="B91" s="4" t="str">
        <x:v>PAR-CYB-RETIRADA-EXITOSA-COMUNICADA-001</x:v>
      </x:c>
      <x:c r="C91" s="4" t="str">
        <x:v>HISTORIA-RETIRADA-ACTUALIZACION-0.1</x:v>
      </x:c>
      <x:c r="D91" s="4" t="str">
        <x:v>COINCIDE</x:v>
      </x:c>
      <x:c r="E91" s="4" t="str">
        <x:v>FALLO</x:v>
      </x:c>
      <x:c r="F91" s="4" t="str">
        <x:v>HISTORIA_WUA</x:v>
      </x:c>
      <x:c r="G91" s="4" t="str">
        <x:v>UNICA</x:v>
      </x:c>
      <x:c r="H91" s="4" t="str">
        <x:v>uoUninstallation</x:v>
      </x:c>
      <x:c r="I91" s="4" t="str">
        <x:v>orcSucceeded</x:v>
      </x:c>
      <x:c r="J91" s="4" t="str">
        <x:v>COMPLETA</x:v>
      </x:c>
      <x:c r="K91" s="4" t="str">
        <x:v>ORDEN_ACREDITADO</x:v>
      </x:c>
      <x:c r="L91" s="4" t="str">
        <x:v>FALLO_CAPTURA</x:v>
      </x:c>
      <x:c r="M91" s="4" t="str"/>
      <x:c r="N91" s="4" t="str">
        <x:v>SIN_EJECUCION_DOMINIO</x:v>
      </x:c>
      <x:c r="O91" s="12" t="str">
        <x:f>IF(Q91="SIN_EJECUCION_DOMINIO","FALLO_CAPTURA",IF(OR(Q91="CAPTURA_MAL_FORMADA",Q91="IDENTIDAD",Q91="OBSERVACION_MAL_FORMADA",Q91="LEXEMA_O_FORMA"),"NO_ADMISION",IF(OR(Q91="PERFIL_NO_CONSTITUIDO",Q91="RESULTADO_NO_TERMINAL"),"FUERA_PERFIL",IF(Q91="CONTEXTO_NO_CONSTITUIDO","CONFIGURACION_PENDIENTE","VALIDA"))))</x:f>
        <x:v>FALLO_CAPTURA</x:v>
      </x:c>
      <x:c r="P91" s="12" t="str">
        <x:f>IF(O91&lt;&gt;"VALIDA","",IF(Q91=AA91,"1",IF(Q91=AB91,"0","U")))</x:f>
      </x:c>
      <x:c r="Q91" s="12" t="str">
        <x:f>IF(E91="FALLO","SIN_EJECUCION_DOMINIO",IF(E91&lt;&gt;"LEGIBLE","CAPTURA_MAL_FORMADA",IF(D91&lt;&gt;"COINCIDE","IDENTIDAD",IF(OR(T91="",C91&lt;&gt;T91),"PERFIL_NO_CONSTITUIDO",IF(K91&lt;&gt;V91,IF(V91="ORDEN_ACREDITADO","ORDEN_NO_ACREDITADO","CONTEXTO_NO_CONSTITUIDO"),IF(AND(G91="AUSENTE",H91="",I91=""),"DATO_AUSENTE",IF(AND(G91="CONFLICTO",H91="",I91=""),"CONFLICTO_OBSERVACIONAL",IF(G91&lt;&gt;"UNICA","OBSERVACION_MAL_FORMADA",IF(F91&lt;&gt;U91,"OBSERVACION_INSUFICIENTE",IF(W91="RESULTADO",IF(H91=X91,AA91,IF(OR(H91="orcSucceededWithErrors",H91="orcFailed",H91="orcAborted"),AB91,IF(OR(H91="orcNotStarted",H91="orcInProgress"),"RESULTADO_NO_TERMINAL","LEXEMA_O_FORMA"))),IF(W91="EVENTO_BOOT",IF(H91=X91,AA91,IF(OR(H91="NINGUNO",H91="SOLO_HIBRIDO"),IF(J91="COMPLETA",AB91,"COBERTURA_INSUFICIENTE"),"LEXEMA_O_FORMA")),IF(W91="REQUISITO_SOFT",IF(H91=X91,AA91,IF(H91=Z91,AB91,"LEXEMA_O_FORMA")),IF(W91="EVENTO_PROC",IF(H91=X91,AA91,IF(H91=Z91,IF(J91="COMPLETA",AB91,"COBERTURA_INSUFICIENTE"),"LEXEMA_O_FORMA")),IF(W91="IMAGEN",IF(AND(AND(ISTEXT(H91),LEN(("x"&amp;H91))=65,EXACT(("x"&amp;H91),LOWER(("x"&amp;H91))),ISERROR(SEARCH(" ",("x"&amp;H91))),ISERROR(SEARCH(CHAR(9),("x"&amp;H91))),ISERROR(SEARCH(CHAR(10),("x"&amp;H91))),ISERROR(SEARCH(CHAR(13),("x"&amp;H91))),IFERROR(HEX2DEC(MID(("x"&amp;H91),2,8))&gt;=0,FALSE),IFERROR(HEX2DEC(MID(("x"&amp;H91),10,8))&gt;=0,FALSE),IFERROR(HEX2DEC(MID(("x"&amp;H91),18,8))&gt;=0,FALSE),IFERROR(HEX2DEC(MID(("x"&amp;H91),26,8))&gt;=0,FALSE),IFERROR(HEX2DEC(MID(("x"&amp;H91),34,8))&gt;=0,FALSE),IFERROR(HEX2DEC(MID(("x"&amp;H91),42,8))&gt;=0,FALSE),IFERROR(HEX2DEC(MID(("x"&amp;H91),50,8))&gt;=0,FALSE),IFERROR(HEX2DEC(MID(("x"&amp;H91),58,8))&gt;=0,FALSE)),AND(ISTEXT(I91),LEN(("x"&amp;I91))=65,EXACT(("x"&amp;I91),LOWER(("x"&amp;I91))),ISERROR(SEARCH(" ",("x"&amp;I91))),ISERROR(SEARCH(CHAR(9),("x"&amp;I91))),ISERROR(SEARCH(CHAR(10),("x"&amp;I91))),ISERROR(SEARCH(CHAR(13),("x"&amp;I91))),IFERROR(HEX2DEC(MID(("x"&amp;I91),2,8))&gt;=0,FALSE),IFERROR(HEX2DEC(MID(("x"&amp;I91),10,8))&gt;=0,FALSE),IFERROR(HEX2DEC(MID(("x"&amp;I91),18,8))&gt;=0,FALSE),IFERROR(HEX2DEC(MID(("x"&amp;I91),26,8))&gt;=0,FALSE),IFERROR(HEX2DEC(MID(("x"&amp;I91),34,8))&gt;=0,FALSE),IFERROR(HEX2DEC(MID(("x"&amp;I91),42,8))&gt;=0,FALSE),IFERROR(HEX2DEC(MID(("x"&amp;I91),50,8))&gt;=0,FALSE),IFERROR(HEX2DEC(MID(("x"&amp;I91),58,8))&gt;=0,FALSE))),IF(EXACT("x"&amp;H91,"x"&amp;I91),AA91,AB91),"LEXEMA_O_FORMA"),IF(W91="PRUEBA",IF(H91=X91,AA91,IF(H91=Z91,AB91,"LEXEMA_O_FORMA")),IF(W91="RETIRADA",IF(AND(H91="NINGUNO",I91=""),IF(J91="COMPLETA",AB91,"COBERTURA_INSUFICIENTE"),IF(AND(OR(H91="uoInstallation",H91="uoUninstallation"),OR(I91="orcSucceeded",I91="orcSucceededWithErrors",I91="orcFailed",I91="orcAborted",I91="orcInProgress",I91="orcNotStarted")),IF(AND(H91=X91,I91=Y91),AA91,IF(AND(H91=X91,OR(I91="orcSucceededWithErrors",I91="orcInProgress",I91="orcNotStarted")),"RESULTADO_RETIRADA_INCIERTO",IF(J91="COMPLETA",AB91,"COBERTURA_INSUFICIENTE"))),"LEXEMA_O_FORMA")),IF(W91="CAMBIO",IF(OR(H91="CAMBIO",H91="CAMBIO_Y_RETORNO"),AA91,IF(OR(H91="NINGUNO",H91="SOLO_RENOMBRE"),IF(J91="COMPLETA",AB91,"COBERTURA_INSUFICIENTE"),"LEXEMA_O_FORMA")),IF(W91="RESTAURACION",IF(H91=X91,AA91,IF(OR(H91="NINGUNO",H91="RESTAURACION_POSTERIOR",H91="RESTAURACION_FALLIDA"),IF(J91="COMPLETA",AB91,"COBERTURA_INSUFICIENTE"),"LEXEMA_O_FORMA")),"PERFIL_NO_CONSTITUIDO"))))))))))))))))))</x:f>
        <x:v>SIN_EJECUCION_DOMINIO</x:v>
      </x:c>
      <x:c r="R91" s="12" t="str">
        <x:f>IF(AND(L91=O91,M91=P91,N91=Q91),"PASA","NO_PASA")</x:f>
        <x:v>PASA</x:v>
      </x:c>
      <x:c r="S91" s="4" t="str">
        <x:v>El observador falla; no existe ejecución de dominio ni Tri alternativo.</x:v>
      </x:c>
      <x:c r="T91" s="12" t="str">
        <x:f>IFERROR(INDEX('55_Codificacion_ensayo'!$B$5:$B$13,MATCH(B91,'55_Codificacion_ensayo'!$A$5:$A$13,0)),"")</x:f>
        <x:v>HISTORIA-RETIRADA-ACTUALIZACION-0.1</x:v>
      </x:c>
      <x:c r="U91" s="12" t="str">
        <x:f>IFERROR(INDEX('55_Codificacion_ensayo'!$C$5:$C$13,MATCH(B91,'55_Codificacion_ensayo'!$A$5:$A$13,0)),"")</x:f>
        <x:v>HISTORIA_WUA</x:v>
      </x:c>
      <x:c r="V91" s="12" t="str">
        <x:f>IFERROR(INDEX('55_Codificacion_ensayo'!$D$5:$D$13,MATCH(B91,'55_Codificacion_ensayo'!$A$5:$A$13,0)),"")</x:f>
        <x:v>ORDEN_ACREDITADO</x:v>
      </x:c>
      <x:c r="W91" s="12" t="str">
        <x:f>IFERROR(INDEX('55_Codificacion_ensayo'!$E$5:$E$13,MATCH(B91,'55_Codificacion_ensayo'!$A$5:$A$13,0)),"")</x:f>
        <x:v>RETIRADA</x:v>
      </x:c>
      <x:c r="X91" s="12" t="str">
        <x:f>IFERROR(INDEX('55_Codificacion_ensayo'!$F$5:$F$13,MATCH(B91,'55_Codificacion_ensayo'!$A$5:$A$13,0)),"")</x:f>
        <x:v>uoUninstallation</x:v>
      </x:c>
      <x:c r="Y91" s="12" t="str">
        <x:f>IFERROR(INDEX('55_Codificacion_ensayo'!$G$5:$G$13,MATCH(B91,'55_Codificacion_ensayo'!$A$5:$A$13,0)),"")</x:f>
        <x:v>orcSucceeded</x:v>
      </x:c>
      <x:c r="Z91" s="12" t="str">
        <x:f>IFERROR(INDEX('55_Codificacion_ensayo'!$H$5:$H$13,MATCH(B91,'55_Codificacion_ensayo'!$A$5:$A$13,0)),"")</x:f>
        <x:v>NINGUNO</x:v>
      </x:c>
      <x:c r="AA91" s="12" t="str">
        <x:f>IFERROR(INDEX('55_Codificacion_ensayo'!$I$5:$I$13,MATCH(B91,'55_Codificacion_ensayo'!$A$5:$A$13,0)),"")</x:f>
        <x:v>RETIRADA_EXITOSA</x:v>
      </x:c>
      <x:c r="AB91" s="12" t="str">
        <x:f>IFERROR(INDEX('55_Codificacion_ensayo'!$J$5:$J$13,MATCH(B91,'55_Codificacion_ensayo'!$A$5:$A$13,0)),"")</x:f>
        <x:v>SIN_RETIRADA_EXITOSA</x:v>
      </x:c>
    </x:row>
    <x:row r="92" ht="47" customHeight="1">
      <x:c r="A92" s="4" t="str">
        <x:v>L10-08-06</x:v>
      </x:c>
      <x:c r="B92" s="4" t="str">
        <x:v>PAR-CYB-RETIRADA-EXITOSA-COMUNICADA-001</x:v>
      </x:c>
      <x:c r="C92" s="4" t="str">
        <x:v>HISTORIA-RETIRADA-ACTUALIZACION-0.1</x:v>
      </x:c>
      <x:c r="D92" s="4" t="str">
        <x:v>OTRO</x:v>
      </x:c>
      <x:c r="E92" s="4" t="str">
        <x:v>LEGIBLE</x:v>
      </x:c>
      <x:c r="F92" s="4" t="str">
        <x:v>HISTORIA_WUA</x:v>
      </x:c>
      <x:c r="G92" s="4" t="str">
        <x:v>UNICA</x:v>
      </x:c>
      <x:c r="H92" s="4" t="str">
        <x:v>uoUninstallation</x:v>
      </x:c>
      <x:c r="I92" s="4" t="str">
        <x:v>orcSucceeded</x:v>
      </x:c>
      <x:c r="J92" s="4" t="str">
        <x:v>COMPLETA</x:v>
      </x:c>
      <x:c r="K92" s="4" t="str">
        <x:v>ORDEN_ACREDITADO</x:v>
      </x:c>
      <x:c r="L92" s="4" t="str">
        <x:v>NO_ADMISION</x:v>
      </x:c>
      <x:c r="M92" s="4" t="str"/>
      <x:c r="N92" s="4" t="str">
        <x:v>IDENTIDAD</x:v>
      </x:c>
      <x:c r="O92" s="12" t="str">
        <x:f>IF(Q92="SIN_EJECUCION_DOMINIO","FALLO_CAPTURA",IF(OR(Q92="CAPTURA_MAL_FORMADA",Q92="IDENTIDAD",Q92="OBSERVACION_MAL_FORMADA",Q92="LEXEMA_O_FORMA"),"NO_ADMISION",IF(OR(Q92="PERFIL_NO_CONSTITUIDO",Q92="RESULTADO_NO_TERMINAL"),"FUERA_PERFIL",IF(Q92="CONTEXTO_NO_CONSTITUIDO","CONFIGURACION_PENDIENTE","VALIDA"))))</x:f>
        <x:v>NO_ADMISION</x:v>
      </x:c>
      <x:c r="P92" s="12" t="str">
        <x:f>IF(O92&lt;&gt;"VALIDA","",IF(Q92=AA92,"1",IF(Q92=AB92,"0","U")))</x:f>
      </x:c>
      <x:c r="Q92" s="12" t="str">
        <x:f>IF(E92="FALLO","SIN_EJECUCION_DOMINIO",IF(E92&lt;&gt;"LEGIBLE","CAPTURA_MAL_FORMADA",IF(D92&lt;&gt;"COINCIDE","IDENTIDAD",IF(OR(T92="",C92&lt;&gt;T92),"PERFIL_NO_CONSTITUIDO",IF(K92&lt;&gt;V92,IF(V92="ORDEN_ACREDITADO","ORDEN_NO_ACREDITADO","CONTEXTO_NO_CONSTITUIDO"),IF(AND(G92="AUSENTE",H92="",I92=""),"DATO_AUSENTE",IF(AND(G92="CONFLICTO",H92="",I92=""),"CONFLICTO_OBSERVACIONAL",IF(G92&lt;&gt;"UNICA","OBSERVACION_MAL_FORMADA",IF(F92&lt;&gt;U92,"OBSERVACION_INSUFICIENTE",IF(W92="RESULTADO",IF(H92=X92,AA92,IF(OR(H92="orcSucceededWithErrors",H92="orcFailed",H92="orcAborted"),AB92,IF(OR(H92="orcNotStarted",H92="orcInProgress"),"RESULTADO_NO_TERMINAL","LEXEMA_O_FORMA"))),IF(W92="EVENTO_BOOT",IF(H92=X92,AA92,IF(OR(H92="NINGUNO",H92="SOLO_HIBRIDO"),IF(J92="COMPLETA",AB92,"COBERTURA_INSUFICIENTE"),"LEXEMA_O_FORMA")),IF(W92="REQUISITO_SOFT",IF(H92=X92,AA92,IF(H92=Z92,AB92,"LEXEMA_O_FORMA")),IF(W92="EVENTO_PROC",IF(H92=X92,AA92,IF(H92=Z92,IF(J92="COMPLETA",AB92,"COBERTURA_INSUFICIENTE"),"LEXEMA_O_FORMA")),IF(W92="IMAGEN",IF(AND(AND(ISTEXT(H92),LEN(("x"&amp;H92))=65,EXACT(("x"&amp;H92),LOWER(("x"&amp;H92))),ISERROR(SEARCH(" ",("x"&amp;H92))),ISERROR(SEARCH(CHAR(9),("x"&amp;H92))),ISERROR(SEARCH(CHAR(10),("x"&amp;H92))),ISERROR(SEARCH(CHAR(13),("x"&amp;H92))),IFERROR(HEX2DEC(MID(("x"&amp;H92),2,8))&gt;=0,FALSE),IFERROR(HEX2DEC(MID(("x"&amp;H92),10,8))&gt;=0,FALSE),IFERROR(HEX2DEC(MID(("x"&amp;H92),18,8))&gt;=0,FALSE),IFERROR(HEX2DEC(MID(("x"&amp;H92),26,8))&gt;=0,FALSE),IFERROR(HEX2DEC(MID(("x"&amp;H92),34,8))&gt;=0,FALSE),IFERROR(HEX2DEC(MID(("x"&amp;H92),42,8))&gt;=0,FALSE),IFERROR(HEX2DEC(MID(("x"&amp;H92),50,8))&gt;=0,FALSE),IFERROR(HEX2DEC(MID(("x"&amp;H92),58,8))&gt;=0,FALSE)),AND(ISTEXT(I92),LEN(("x"&amp;I92))=65,EXACT(("x"&amp;I92),LOWER(("x"&amp;I92))),ISERROR(SEARCH(" ",("x"&amp;I92))),ISERROR(SEARCH(CHAR(9),("x"&amp;I92))),ISERROR(SEARCH(CHAR(10),("x"&amp;I92))),ISERROR(SEARCH(CHAR(13),("x"&amp;I92))),IFERROR(HEX2DEC(MID(("x"&amp;I92),2,8))&gt;=0,FALSE),IFERROR(HEX2DEC(MID(("x"&amp;I92),10,8))&gt;=0,FALSE),IFERROR(HEX2DEC(MID(("x"&amp;I92),18,8))&gt;=0,FALSE),IFERROR(HEX2DEC(MID(("x"&amp;I92),26,8))&gt;=0,FALSE),IFERROR(HEX2DEC(MID(("x"&amp;I92),34,8))&gt;=0,FALSE),IFERROR(HEX2DEC(MID(("x"&amp;I92),42,8))&gt;=0,FALSE),IFERROR(HEX2DEC(MID(("x"&amp;I92),50,8))&gt;=0,FALSE),IFERROR(HEX2DEC(MID(("x"&amp;I92),58,8))&gt;=0,FALSE))),IF(EXACT("x"&amp;H92,"x"&amp;I92),AA92,AB92),"LEXEMA_O_FORMA"),IF(W92="PRUEBA",IF(H92=X92,AA92,IF(H92=Z92,AB92,"LEXEMA_O_FORMA")),IF(W92="RETIRADA",IF(AND(H92="NINGUNO",I92=""),IF(J92="COMPLETA",AB92,"COBERTURA_INSUFICIENTE"),IF(AND(OR(H92="uoInstallation",H92="uoUninstallation"),OR(I92="orcSucceeded",I92="orcSucceededWithErrors",I92="orcFailed",I92="orcAborted",I92="orcInProgress",I92="orcNotStarted")),IF(AND(H92=X92,I92=Y92),AA92,IF(AND(H92=X92,OR(I92="orcSucceededWithErrors",I92="orcInProgress",I92="orcNotStarted")),"RESULTADO_RETIRADA_INCIERTO",IF(J92="COMPLETA",AB92,"COBERTURA_INSUFICIENTE"))),"LEXEMA_O_FORMA")),IF(W92="CAMBIO",IF(OR(H92="CAMBIO",H92="CAMBIO_Y_RETORNO"),AA92,IF(OR(H92="NINGUNO",H92="SOLO_RENOMBRE"),IF(J92="COMPLETA",AB92,"COBERTURA_INSUFICIENTE"),"LEXEMA_O_FORMA")),IF(W92="RESTAURACION",IF(H92=X92,AA92,IF(OR(H92="NINGUNO",H92="RESTAURACION_POSTERIOR",H92="RESTAURACION_FALLIDA"),IF(J92="COMPLETA",AB92,"COBERTURA_INSUFICIENTE"),"LEXEMA_O_FORMA")),"PERFIL_NO_CONSTITUIDO"))))))))))))))))))</x:f>
        <x:v>IDENTIDAD</x:v>
      </x:c>
      <x:c r="R92" s="12" t="str">
        <x:f>IF(AND(L92=O92,M92=P92,N92=Q92),"PASA","NO_PASA")</x:f>
        <x:v>PASA</x:v>
      </x:c>
      <x:c r="S92" s="4" t="str">
        <x:v>El testigo pertenece a otro sujeto; no se recicla su dato.</x:v>
      </x:c>
      <x:c r="T92" s="12" t="str">
        <x:f>IFERROR(INDEX('55_Codificacion_ensayo'!$B$5:$B$13,MATCH(B92,'55_Codificacion_ensayo'!$A$5:$A$13,0)),"")</x:f>
        <x:v>HISTORIA-RETIRADA-ACTUALIZACION-0.1</x:v>
      </x:c>
      <x:c r="U92" s="12" t="str">
        <x:f>IFERROR(INDEX('55_Codificacion_ensayo'!$C$5:$C$13,MATCH(B92,'55_Codificacion_ensayo'!$A$5:$A$13,0)),"")</x:f>
        <x:v>HISTORIA_WUA</x:v>
      </x:c>
      <x:c r="V92" s="12" t="str">
        <x:f>IFERROR(INDEX('55_Codificacion_ensayo'!$D$5:$D$13,MATCH(B92,'55_Codificacion_ensayo'!$A$5:$A$13,0)),"")</x:f>
        <x:v>ORDEN_ACREDITADO</x:v>
      </x:c>
      <x:c r="W92" s="12" t="str">
        <x:f>IFERROR(INDEX('55_Codificacion_ensayo'!$E$5:$E$13,MATCH(B92,'55_Codificacion_ensayo'!$A$5:$A$13,0)),"")</x:f>
        <x:v>RETIRADA</x:v>
      </x:c>
      <x:c r="X92" s="12" t="str">
        <x:f>IFERROR(INDEX('55_Codificacion_ensayo'!$F$5:$F$13,MATCH(B92,'55_Codificacion_ensayo'!$A$5:$A$13,0)),"")</x:f>
        <x:v>uoUninstallation</x:v>
      </x:c>
      <x:c r="Y92" s="12" t="str">
        <x:f>IFERROR(INDEX('55_Codificacion_ensayo'!$G$5:$G$13,MATCH(B92,'55_Codificacion_ensayo'!$A$5:$A$13,0)),"")</x:f>
        <x:v>orcSucceeded</x:v>
      </x:c>
      <x:c r="Z92" s="12" t="str">
        <x:f>IFERROR(INDEX('55_Codificacion_ensayo'!$H$5:$H$13,MATCH(B92,'55_Codificacion_ensayo'!$A$5:$A$13,0)),"")</x:f>
        <x:v>NINGUNO</x:v>
      </x:c>
      <x:c r="AA92" s="12" t="str">
        <x:f>IFERROR(INDEX('55_Codificacion_ensayo'!$I$5:$I$13,MATCH(B92,'55_Codificacion_ensayo'!$A$5:$A$13,0)),"")</x:f>
        <x:v>RETIRADA_EXITOSA</x:v>
      </x:c>
      <x:c r="AB92" s="12" t="str">
        <x:f>IFERROR(INDEX('55_Codificacion_ensayo'!$J$5:$J$13,MATCH(B92,'55_Codificacion_ensayo'!$A$5:$A$13,0)),"")</x:f>
        <x:v>SIN_RETIRADA_EXITOSA</x:v>
      </x:c>
    </x:row>
    <x:row r="93" ht="47" customHeight="1">
      <x:c r="A93" s="4" t="str">
        <x:v>L10-08-07</x:v>
      </x:c>
      <x:c r="B93" s="4" t="str">
        <x:v>PAR-CYB-RETIRADA-EXITOSA-COMUNICADA-001</x:v>
      </x:c>
      <x:c r="C93" s="4" t="str">
        <x:v>HISTORIA-RETIRADA-ACTUALIZACION-0.1</x:v>
      </x:c>
      <x:c r="D93" s="4" t="str">
        <x:v>COINCIDE</x:v>
      </x:c>
      <x:c r="E93" s="4" t="str">
        <x:v>LEGIBLE</x:v>
      </x:c>
      <x:c r="F93" s="4" t="str">
        <x:v>FUENTE_GENERAL</x:v>
      </x:c>
      <x:c r="G93" s="4" t="str">
        <x:v>UNICA</x:v>
      </x:c>
      <x:c r="H93" s="4" t="str">
        <x:v>uoUninstallation</x:v>
      </x:c>
      <x:c r="I93" s="4" t="str">
        <x:v>orcSucceeded</x:v>
      </x:c>
      <x:c r="J93" s="4" t="str">
        <x:v>COMPLETA</x:v>
      </x:c>
      <x:c r="K93" s="4" t="str">
        <x:v>ORDEN_ACREDITADO</x:v>
      </x:c>
      <x:c r="L93" s="4" t="str">
        <x:v>VALIDA</x:v>
      </x:c>
      <x:c r="M93" s="4" t="str">
        <x:v>U</x:v>
      </x:c>
      <x:c r="N93" s="4" t="str">
        <x:v>OBSERVACION_INSUFICIENTE</x:v>
      </x:c>
      <x:c r="O93" s="12" t="str">
        <x:f>IF(Q93="SIN_EJECUCION_DOMINIO","FALLO_CAPTURA",IF(OR(Q93="CAPTURA_MAL_FORMADA",Q93="IDENTIDAD",Q93="OBSERVACION_MAL_FORMADA",Q93="LEXEMA_O_FORMA"),"NO_ADMISION",IF(OR(Q93="PERFIL_NO_CONSTITUIDO",Q93="RESULTADO_NO_TERMINAL"),"FUERA_PERFIL",IF(Q93="CONTEXTO_NO_CONSTITUIDO","CONFIGURACION_PENDIENTE","VALIDA"))))</x:f>
        <x:v>VALIDA</x:v>
      </x:c>
      <x:c r="P93" s="12" t="str">
        <x:f>IF(O93&lt;&gt;"VALIDA","",IF(Q93=AA93,"1",IF(Q93=AB93,"0","U")))</x:f>
        <x:v>U</x:v>
      </x:c>
      <x:c r="Q93" s="12" t="str">
        <x:f>IF(E93="FALLO","SIN_EJECUCION_DOMINIO",IF(E93&lt;&gt;"LEGIBLE","CAPTURA_MAL_FORMADA",IF(D93&lt;&gt;"COINCIDE","IDENTIDAD",IF(OR(T93="",C93&lt;&gt;T93),"PERFIL_NO_CONSTITUIDO",IF(K93&lt;&gt;V93,IF(V93="ORDEN_ACREDITADO","ORDEN_NO_ACREDITADO","CONTEXTO_NO_CONSTITUIDO"),IF(AND(G93="AUSENTE",H93="",I93=""),"DATO_AUSENTE",IF(AND(G93="CONFLICTO",H93="",I93=""),"CONFLICTO_OBSERVACIONAL",IF(G93&lt;&gt;"UNICA","OBSERVACION_MAL_FORMADA",IF(F93&lt;&gt;U93,"OBSERVACION_INSUFICIENTE",IF(W93="RESULTADO",IF(H93=X93,AA93,IF(OR(H93="orcSucceededWithErrors",H93="orcFailed",H93="orcAborted"),AB93,IF(OR(H93="orcNotStarted",H93="orcInProgress"),"RESULTADO_NO_TERMINAL","LEXEMA_O_FORMA"))),IF(W93="EVENTO_BOOT",IF(H93=X93,AA93,IF(OR(H93="NINGUNO",H93="SOLO_HIBRIDO"),IF(J93="COMPLETA",AB93,"COBERTURA_INSUFICIENTE"),"LEXEMA_O_FORMA")),IF(W93="REQUISITO_SOFT",IF(H93=X93,AA93,IF(H93=Z93,AB93,"LEXEMA_O_FORMA")),IF(W93="EVENTO_PROC",IF(H93=X93,AA93,IF(H93=Z93,IF(J93="COMPLETA",AB93,"COBERTURA_INSUFICIENTE"),"LEXEMA_O_FORMA")),IF(W93="IMAGEN",IF(AND(AND(ISTEXT(H93),LEN(("x"&amp;H93))=65,EXACT(("x"&amp;H93),LOWER(("x"&amp;H93))),ISERROR(SEARCH(" ",("x"&amp;H93))),ISERROR(SEARCH(CHAR(9),("x"&amp;H93))),ISERROR(SEARCH(CHAR(10),("x"&amp;H93))),ISERROR(SEARCH(CHAR(13),("x"&amp;H93))),IFERROR(HEX2DEC(MID(("x"&amp;H93),2,8))&gt;=0,FALSE),IFERROR(HEX2DEC(MID(("x"&amp;H93),10,8))&gt;=0,FALSE),IFERROR(HEX2DEC(MID(("x"&amp;H93),18,8))&gt;=0,FALSE),IFERROR(HEX2DEC(MID(("x"&amp;H93),26,8))&gt;=0,FALSE),IFERROR(HEX2DEC(MID(("x"&amp;H93),34,8))&gt;=0,FALSE),IFERROR(HEX2DEC(MID(("x"&amp;H93),42,8))&gt;=0,FALSE),IFERROR(HEX2DEC(MID(("x"&amp;H93),50,8))&gt;=0,FALSE),IFERROR(HEX2DEC(MID(("x"&amp;H93),58,8))&gt;=0,FALSE)),AND(ISTEXT(I93),LEN(("x"&amp;I93))=65,EXACT(("x"&amp;I93),LOWER(("x"&amp;I93))),ISERROR(SEARCH(" ",("x"&amp;I93))),ISERROR(SEARCH(CHAR(9),("x"&amp;I93))),ISERROR(SEARCH(CHAR(10),("x"&amp;I93))),ISERROR(SEARCH(CHAR(13),("x"&amp;I93))),IFERROR(HEX2DEC(MID(("x"&amp;I93),2,8))&gt;=0,FALSE),IFERROR(HEX2DEC(MID(("x"&amp;I93),10,8))&gt;=0,FALSE),IFERROR(HEX2DEC(MID(("x"&amp;I93),18,8))&gt;=0,FALSE),IFERROR(HEX2DEC(MID(("x"&amp;I93),26,8))&gt;=0,FALSE),IFERROR(HEX2DEC(MID(("x"&amp;I93),34,8))&gt;=0,FALSE),IFERROR(HEX2DEC(MID(("x"&amp;I93),42,8))&gt;=0,FALSE),IFERROR(HEX2DEC(MID(("x"&amp;I93),50,8))&gt;=0,FALSE),IFERROR(HEX2DEC(MID(("x"&amp;I93),58,8))&gt;=0,FALSE))),IF(EXACT("x"&amp;H93,"x"&amp;I93),AA93,AB93),"LEXEMA_O_FORMA"),IF(W93="PRUEBA",IF(H93=X93,AA93,IF(H93=Z93,AB93,"LEXEMA_O_FORMA")),IF(W93="RETIRADA",IF(AND(H93="NINGUNO",I93=""),IF(J93="COMPLETA",AB93,"COBERTURA_INSUFICIENTE"),IF(AND(OR(H93="uoInstallation",H93="uoUninstallation"),OR(I93="orcSucceeded",I93="orcSucceededWithErrors",I93="orcFailed",I93="orcAborted",I93="orcInProgress",I93="orcNotStarted")),IF(AND(H93=X93,I93=Y93),AA93,IF(AND(H93=X93,OR(I93="orcSucceededWithErrors",I93="orcInProgress",I93="orcNotStarted")),"RESULTADO_RETIRADA_INCIERTO",IF(J93="COMPLETA",AB93,"COBERTURA_INSUFICIENTE"))),"LEXEMA_O_FORMA")),IF(W93="CAMBIO",IF(OR(H93="CAMBIO",H93="CAMBIO_Y_RETORNO"),AA93,IF(OR(H93="NINGUNO",H93="SOLO_RENOMBRE"),IF(J93="COMPLETA",AB93,"COBERTURA_INSUFICIENTE"),"LEXEMA_O_FORMA")),IF(W93="RESTAURACION",IF(H93=X93,AA93,IF(OR(H93="NINGUNO",H93="RESTAURACION_POSTERIOR",H93="RESTAURACION_FALLIDA"),IF(J93="COMPLETA",AB93,"COBERTURA_INSUFICIENTE"),"LEXEMA_O_FORMA")),"PERFIL_NO_CONSTITUIDO"))))))))))))))))))</x:f>
        <x:v>OBSERVACION_INSUFICIENTE</x:v>
      </x:c>
      <x:c r="R93" s="12" t="str">
        <x:f>IF(AND(L93=O93,M93=P93,N93=Q93),"PASA","NO_PASA")</x:f>
        <x:v>PASA</x:v>
      </x:c>
      <x:c r="S93" s="4" t="str">
        <x:v>Una fuente del dominio no sustituye la observación específica del episodio.</x:v>
      </x:c>
      <x:c r="T93" s="12" t="str">
        <x:f>IFERROR(INDEX('55_Codificacion_ensayo'!$B$5:$B$13,MATCH(B93,'55_Codificacion_ensayo'!$A$5:$A$13,0)),"")</x:f>
        <x:v>HISTORIA-RETIRADA-ACTUALIZACION-0.1</x:v>
      </x:c>
      <x:c r="U93" s="12" t="str">
        <x:f>IFERROR(INDEX('55_Codificacion_ensayo'!$C$5:$C$13,MATCH(B93,'55_Codificacion_ensayo'!$A$5:$A$13,0)),"")</x:f>
        <x:v>HISTORIA_WUA</x:v>
      </x:c>
      <x:c r="V93" s="12" t="str">
        <x:f>IFERROR(INDEX('55_Codificacion_ensayo'!$D$5:$D$13,MATCH(B93,'55_Codificacion_ensayo'!$A$5:$A$13,0)),"")</x:f>
        <x:v>ORDEN_ACREDITADO</x:v>
      </x:c>
      <x:c r="W93" s="12" t="str">
        <x:f>IFERROR(INDEX('55_Codificacion_ensayo'!$E$5:$E$13,MATCH(B93,'55_Codificacion_ensayo'!$A$5:$A$13,0)),"")</x:f>
        <x:v>RETIRADA</x:v>
      </x:c>
      <x:c r="X93" s="12" t="str">
        <x:f>IFERROR(INDEX('55_Codificacion_ensayo'!$F$5:$F$13,MATCH(B93,'55_Codificacion_ensayo'!$A$5:$A$13,0)),"")</x:f>
        <x:v>uoUninstallation</x:v>
      </x:c>
      <x:c r="Y93" s="12" t="str">
        <x:f>IFERROR(INDEX('55_Codificacion_ensayo'!$G$5:$G$13,MATCH(B93,'55_Codificacion_ensayo'!$A$5:$A$13,0)),"")</x:f>
        <x:v>orcSucceeded</x:v>
      </x:c>
      <x:c r="Z93" s="12" t="str">
        <x:f>IFERROR(INDEX('55_Codificacion_ensayo'!$H$5:$H$13,MATCH(B93,'55_Codificacion_ensayo'!$A$5:$A$13,0)),"")</x:f>
        <x:v>NINGUNO</x:v>
      </x:c>
      <x:c r="AA93" s="12" t="str">
        <x:f>IFERROR(INDEX('55_Codificacion_ensayo'!$I$5:$I$13,MATCH(B93,'55_Codificacion_ensayo'!$A$5:$A$13,0)),"")</x:f>
        <x:v>RETIRADA_EXITOSA</x:v>
      </x:c>
      <x:c r="AB93" s="12" t="str">
        <x:f>IFERROR(INDEX('55_Codificacion_ensayo'!$J$5:$J$13,MATCH(B93,'55_Codificacion_ensayo'!$A$5:$A$13,0)),"")</x:f>
        <x:v>SIN_RETIRADA_EXITOSA</x:v>
      </x:c>
    </x:row>
    <x:row r="94" ht="47" customHeight="1">
      <x:c r="A94" s="4" t="str">
        <x:v>L10-08-08</x:v>
      </x:c>
      <x:c r="B94" s="4" t="str">
        <x:v>PAR-CYB-RETIRADA-EXITOSA-COMUNICADA-001</x:v>
      </x:c>
      <x:c r="C94" s="4" t="str">
        <x:v>OTRO_PERFIL</x:v>
      </x:c>
      <x:c r="D94" s="4" t="str">
        <x:v>COINCIDE</x:v>
      </x:c>
      <x:c r="E94" s="4" t="str">
        <x:v>LEGIBLE</x:v>
      </x:c>
      <x:c r="F94" s="4" t="str">
        <x:v>HISTORIA_WUA</x:v>
      </x:c>
      <x:c r="G94" s="4" t="str">
        <x:v>UNICA</x:v>
      </x:c>
      <x:c r="H94" s="4" t="str">
        <x:v>uoUninstallation</x:v>
      </x:c>
      <x:c r="I94" s="4" t="str">
        <x:v>orcSucceeded</x:v>
      </x:c>
      <x:c r="J94" s="4" t="str">
        <x:v>COMPLETA</x:v>
      </x:c>
      <x:c r="K94" s="4" t="str">
        <x:v>ORDEN_ACREDITADO</x:v>
      </x:c>
      <x:c r="L94" s="4" t="str">
        <x:v>FUERA_PERFIL</x:v>
      </x:c>
      <x:c r="M94" s="4" t="str"/>
      <x:c r="N94" s="4" t="str">
        <x:v>PERFIL_NO_CONSTITUIDO</x:v>
      </x:c>
      <x:c r="O94" s="12" t="str">
        <x:f>IF(Q94="SIN_EJECUCION_DOMINIO","FALLO_CAPTURA",IF(OR(Q94="CAPTURA_MAL_FORMADA",Q94="IDENTIDAD",Q94="OBSERVACION_MAL_FORMADA",Q94="LEXEMA_O_FORMA"),"NO_ADMISION",IF(OR(Q94="PERFIL_NO_CONSTITUIDO",Q94="RESULTADO_NO_TERMINAL"),"FUERA_PERFIL",IF(Q94="CONTEXTO_NO_CONSTITUIDO","CONFIGURACION_PENDIENTE","VALIDA"))))</x:f>
        <x:v>FUERA_PERFIL</x:v>
      </x:c>
      <x:c r="P94" s="12" t="str">
        <x:f>IF(O94&lt;&gt;"VALIDA","",IF(Q94=AA94,"1",IF(Q94=AB94,"0","U")))</x:f>
      </x:c>
      <x:c r="Q94" s="12" t="str">
        <x:f>IF(E94="FALLO","SIN_EJECUCION_DOMINIO",IF(E94&lt;&gt;"LEGIBLE","CAPTURA_MAL_FORMADA",IF(D94&lt;&gt;"COINCIDE","IDENTIDAD",IF(OR(T94="",C94&lt;&gt;T94),"PERFIL_NO_CONSTITUIDO",IF(K94&lt;&gt;V94,IF(V94="ORDEN_ACREDITADO","ORDEN_NO_ACREDITADO","CONTEXTO_NO_CONSTITUIDO"),IF(AND(G94="AUSENTE",H94="",I94=""),"DATO_AUSENTE",IF(AND(G94="CONFLICTO",H94="",I94=""),"CONFLICTO_OBSERVACIONAL",IF(G94&lt;&gt;"UNICA","OBSERVACION_MAL_FORMADA",IF(F94&lt;&gt;U94,"OBSERVACION_INSUFICIENTE",IF(W94="RESULTADO",IF(H94=X94,AA94,IF(OR(H94="orcSucceededWithErrors",H94="orcFailed",H94="orcAborted"),AB94,IF(OR(H94="orcNotStarted",H94="orcInProgress"),"RESULTADO_NO_TERMINAL","LEXEMA_O_FORMA"))),IF(W94="EVENTO_BOOT",IF(H94=X94,AA94,IF(OR(H94="NINGUNO",H94="SOLO_HIBRIDO"),IF(J94="COMPLETA",AB94,"COBERTURA_INSUFICIENTE"),"LEXEMA_O_FORMA")),IF(W94="REQUISITO_SOFT",IF(H94=X94,AA94,IF(H94=Z94,AB94,"LEXEMA_O_FORMA")),IF(W94="EVENTO_PROC",IF(H94=X94,AA94,IF(H94=Z94,IF(J94="COMPLETA",AB94,"COBERTURA_INSUFICIENTE"),"LEXEMA_O_FORMA")),IF(W94="IMAGEN",IF(AND(AND(ISTEXT(H94),LEN(("x"&amp;H94))=65,EXACT(("x"&amp;H94),LOWER(("x"&amp;H94))),ISERROR(SEARCH(" ",("x"&amp;H94))),ISERROR(SEARCH(CHAR(9),("x"&amp;H94))),ISERROR(SEARCH(CHAR(10),("x"&amp;H94))),ISERROR(SEARCH(CHAR(13),("x"&amp;H94))),IFERROR(HEX2DEC(MID(("x"&amp;H94),2,8))&gt;=0,FALSE),IFERROR(HEX2DEC(MID(("x"&amp;H94),10,8))&gt;=0,FALSE),IFERROR(HEX2DEC(MID(("x"&amp;H94),18,8))&gt;=0,FALSE),IFERROR(HEX2DEC(MID(("x"&amp;H94),26,8))&gt;=0,FALSE),IFERROR(HEX2DEC(MID(("x"&amp;H94),34,8))&gt;=0,FALSE),IFERROR(HEX2DEC(MID(("x"&amp;H94),42,8))&gt;=0,FALSE),IFERROR(HEX2DEC(MID(("x"&amp;H94),50,8))&gt;=0,FALSE),IFERROR(HEX2DEC(MID(("x"&amp;H94),58,8))&gt;=0,FALSE)),AND(ISTEXT(I94),LEN(("x"&amp;I94))=65,EXACT(("x"&amp;I94),LOWER(("x"&amp;I94))),ISERROR(SEARCH(" ",("x"&amp;I94))),ISERROR(SEARCH(CHAR(9),("x"&amp;I94))),ISERROR(SEARCH(CHAR(10),("x"&amp;I94))),ISERROR(SEARCH(CHAR(13),("x"&amp;I94))),IFERROR(HEX2DEC(MID(("x"&amp;I94),2,8))&gt;=0,FALSE),IFERROR(HEX2DEC(MID(("x"&amp;I94),10,8))&gt;=0,FALSE),IFERROR(HEX2DEC(MID(("x"&amp;I94),18,8))&gt;=0,FALSE),IFERROR(HEX2DEC(MID(("x"&amp;I94),26,8))&gt;=0,FALSE),IFERROR(HEX2DEC(MID(("x"&amp;I94),34,8))&gt;=0,FALSE),IFERROR(HEX2DEC(MID(("x"&amp;I94),42,8))&gt;=0,FALSE),IFERROR(HEX2DEC(MID(("x"&amp;I94),50,8))&gt;=0,FALSE),IFERROR(HEX2DEC(MID(("x"&amp;I94),58,8))&gt;=0,FALSE))),IF(EXACT("x"&amp;H94,"x"&amp;I94),AA94,AB94),"LEXEMA_O_FORMA"),IF(W94="PRUEBA",IF(H94=X94,AA94,IF(H94=Z94,AB94,"LEXEMA_O_FORMA")),IF(W94="RETIRADA",IF(AND(H94="NINGUNO",I94=""),IF(J94="COMPLETA",AB94,"COBERTURA_INSUFICIENTE"),IF(AND(OR(H94="uoInstallation",H94="uoUninstallation"),OR(I94="orcSucceeded",I94="orcSucceededWithErrors",I94="orcFailed",I94="orcAborted",I94="orcInProgress",I94="orcNotStarted")),IF(AND(H94=X94,I94=Y94),AA94,IF(AND(H94=X94,OR(I94="orcSucceededWithErrors",I94="orcInProgress",I94="orcNotStarted")),"RESULTADO_RETIRADA_INCIERTO",IF(J94="COMPLETA",AB94,"COBERTURA_INSUFICIENTE"))),"LEXEMA_O_FORMA")),IF(W94="CAMBIO",IF(OR(H94="CAMBIO",H94="CAMBIO_Y_RETORNO"),AA94,IF(OR(H94="NINGUNO",H94="SOLO_RENOMBRE"),IF(J94="COMPLETA",AB94,"COBERTURA_INSUFICIENTE"),"LEXEMA_O_FORMA")),IF(W94="RESTAURACION",IF(H94=X94,AA94,IF(OR(H94="NINGUNO",H94="RESTAURACION_POSTERIOR",H94="RESTAURACION_FALLIDA"),IF(J94="COMPLETA",AB94,"COBERTURA_INSUFICIENTE"),"LEXEMA_O_FORMA")),"PERFIL_NO_CONSTITUIDO"))))))))))))))))))</x:f>
        <x:v>PERFIL_NO_CONSTITUIDO</x:v>
      </x:c>
      <x:c r="R94" s="12" t="str">
        <x:f>IF(AND(L94=O94,M94=P94,N94=Q94),"PASA","NO_PASA")</x:f>
        <x:v>PASA</x:v>
      </x:c>
      <x:c r="S94" s="4" t="str">
        <x:v>Perfil de otro producto no se normaliza por analogía.</x:v>
      </x:c>
      <x:c r="T94" s="12" t="str">
        <x:f>IFERROR(INDEX('55_Codificacion_ensayo'!$B$5:$B$13,MATCH(B94,'55_Codificacion_ensayo'!$A$5:$A$13,0)),"")</x:f>
        <x:v>HISTORIA-RETIRADA-ACTUALIZACION-0.1</x:v>
      </x:c>
      <x:c r="U94" s="12" t="str">
        <x:f>IFERROR(INDEX('55_Codificacion_ensayo'!$C$5:$C$13,MATCH(B94,'55_Codificacion_ensayo'!$A$5:$A$13,0)),"")</x:f>
        <x:v>HISTORIA_WUA</x:v>
      </x:c>
      <x:c r="V94" s="12" t="str">
        <x:f>IFERROR(INDEX('55_Codificacion_ensayo'!$D$5:$D$13,MATCH(B94,'55_Codificacion_ensayo'!$A$5:$A$13,0)),"")</x:f>
        <x:v>ORDEN_ACREDITADO</x:v>
      </x:c>
      <x:c r="W94" s="12" t="str">
        <x:f>IFERROR(INDEX('55_Codificacion_ensayo'!$E$5:$E$13,MATCH(B94,'55_Codificacion_ensayo'!$A$5:$A$13,0)),"")</x:f>
        <x:v>RETIRADA</x:v>
      </x:c>
      <x:c r="X94" s="12" t="str">
        <x:f>IFERROR(INDEX('55_Codificacion_ensayo'!$F$5:$F$13,MATCH(B94,'55_Codificacion_ensayo'!$A$5:$A$13,0)),"")</x:f>
        <x:v>uoUninstallation</x:v>
      </x:c>
      <x:c r="Y94" s="12" t="str">
        <x:f>IFERROR(INDEX('55_Codificacion_ensayo'!$G$5:$G$13,MATCH(B94,'55_Codificacion_ensayo'!$A$5:$A$13,0)),"")</x:f>
        <x:v>orcSucceeded</x:v>
      </x:c>
      <x:c r="Z94" s="12" t="str">
        <x:f>IFERROR(INDEX('55_Codificacion_ensayo'!$H$5:$H$13,MATCH(B94,'55_Codificacion_ensayo'!$A$5:$A$13,0)),"")</x:f>
        <x:v>NINGUNO</x:v>
      </x:c>
      <x:c r="AA94" s="12" t="str">
        <x:f>IFERROR(INDEX('55_Codificacion_ensayo'!$I$5:$I$13,MATCH(B94,'55_Codificacion_ensayo'!$A$5:$A$13,0)),"")</x:f>
        <x:v>RETIRADA_EXITOSA</x:v>
      </x:c>
      <x:c r="AB94" s="12" t="str">
        <x:f>IFERROR(INDEX('55_Codificacion_ensayo'!$J$5:$J$13,MATCH(B94,'55_Codificacion_ensayo'!$A$5:$A$13,0)),"")</x:f>
        <x:v>SIN_RETIRADA_EXITOSA</x:v>
      </x:c>
    </x:row>
    <x:row r="95" ht="47" customHeight="1">
      <x:c r="A95" s="4" t="str">
        <x:v>L10-08-09</x:v>
      </x:c>
      <x:c r="B95" s="4" t="str">
        <x:v>PAR-CYB-RETIRADA-EXITOSA-COMUNICADA-001</x:v>
      </x:c>
      <x:c r="C95" s="4" t="str">
        <x:v>HISTORIA-RETIRADA-ACTUALIZACION-0.1</x:v>
      </x:c>
      <x:c r="D95" s="4" t="str">
        <x:v>COINCIDE</x:v>
      </x:c>
      <x:c r="E95" s="4" t="str">
        <x:v>LEGIBLE</x:v>
      </x:c>
      <x:c r="F95" s="4" t="str">
        <x:v>HISTORIA_WUA</x:v>
      </x:c>
      <x:c r="G95" s="4" t="str">
        <x:v>UNICA</x:v>
      </x:c>
      <x:c r="H95" s="4" t="str">
        <x:v>true false desconocido</x:v>
      </x:c>
      <x:c r="I95" s="4" t="str">
        <x:v>orcSucceeded</x:v>
      </x:c>
      <x:c r="J95" s="4" t="str">
        <x:v>COMPLETA</x:v>
      </x:c>
      <x:c r="K95" s="4" t="str">
        <x:v>ORDEN_ACREDITADO</x:v>
      </x:c>
      <x:c r="L95" s="4" t="str">
        <x:v>NO_ADMISION</x:v>
      </x:c>
      <x:c r="M95" s="4" t="str"/>
      <x:c r="N95" s="4" t="str">
        <x:v>LEXEMA_O_FORMA</x:v>
      </x:c>
      <x:c r="O95" s="12" t="str">
        <x:f>IF(Q95="SIN_EJECUCION_DOMINIO","FALLO_CAPTURA",IF(OR(Q95="CAPTURA_MAL_FORMADA",Q95="IDENTIDAD",Q95="OBSERVACION_MAL_FORMADA",Q95="LEXEMA_O_FORMA"),"NO_ADMISION",IF(OR(Q95="PERFIL_NO_CONSTITUIDO",Q95="RESULTADO_NO_TERMINAL"),"FUERA_PERFIL",IF(Q95="CONTEXTO_NO_CONSTITUIDO","CONFIGURACION_PENDIENTE","VALIDA"))))</x:f>
        <x:v>NO_ADMISION</x:v>
      </x:c>
      <x:c r="P95" s="12" t="str">
        <x:f>IF(O95&lt;&gt;"VALIDA","",IF(Q95=AA95,"1",IF(Q95=AB95,"0","U")))</x:f>
      </x:c>
      <x:c r="Q95" s="12" t="str">
        <x:f>IF(E95="FALLO","SIN_EJECUCION_DOMINIO",IF(E95&lt;&gt;"LEGIBLE","CAPTURA_MAL_FORMADA",IF(D95&lt;&gt;"COINCIDE","IDENTIDAD",IF(OR(T95="",C95&lt;&gt;T95),"PERFIL_NO_CONSTITUIDO",IF(K95&lt;&gt;V95,IF(V95="ORDEN_ACREDITADO","ORDEN_NO_ACREDITADO","CONTEXTO_NO_CONSTITUIDO"),IF(AND(G95="AUSENTE",H95="",I95=""),"DATO_AUSENTE",IF(AND(G95="CONFLICTO",H95="",I95=""),"CONFLICTO_OBSERVACIONAL",IF(G95&lt;&gt;"UNICA","OBSERVACION_MAL_FORMADA",IF(F95&lt;&gt;U95,"OBSERVACION_INSUFICIENTE",IF(W95="RESULTADO",IF(H95=X95,AA95,IF(OR(H95="orcSucceededWithErrors",H95="orcFailed",H95="orcAborted"),AB95,IF(OR(H95="orcNotStarted",H95="orcInProgress"),"RESULTADO_NO_TERMINAL","LEXEMA_O_FORMA"))),IF(W95="EVENTO_BOOT",IF(H95=X95,AA95,IF(OR(H95="NINGUNO",H95="SOLO_HIBRIDO"),IF(J95="COMPLETA",AB95,"COBERTURA_INSUFICIENTE"),"LEXEMA_O_FORMA")),IF(W95="REQUISITO_SOFT",IF(H95=X95,AA95,IF(H95=Z95,AB95,"LEXEMA_O_FORMA")),IF(W95="EVENTO_PROC",IF(H95=X95,AA95,IF(H95=Z95,IF(J95="COMPLETA",AB95,"COBERTURA_INSUFICIENTE"),"LEXEMA_O_FORMA")),IF(W95="IMAGEN",IF(AND(AND(ISTEXT(H95),LEN(("x"&amp;H95))=65,EXACT(("x"&amp;H95),LOWER(("x"&amp;H95))),ISERROR(SEARCH(" ",("x"&amp;H95))),ISERROR(SEARCH(CHAR(9),("x"&amp;H95))),ISERROR(SEARCH(CHAR(10),("x"&amp;H95))),ISERROR(SEARCH(CHAR(13),("x"&amp;H95))),IFERROR(HEX2DEC(MID(("x"&amp;H95),2,8))&gt;=0,FALSE),IFERROR(HEX2DEC(MID(("x"&amp;H95),10,8))&gt;=0,FALSE),IFERROR(HEX2DEC(MID(("x"&amp;H95),18,8))&gt;=0,FALSE),IFERROR(HEX2DEC(MID(("x"&amp;H95),26,8))&gt;=0,FALSE),IFERROR(HEX2DEC(MID(("x"&amp;H95),34,8))&gt;=0,FALSE),IFERROR(HEX2DEC(MID(("x"&amp;H95),42,8))&gt;=0,FALSE),IFERROR(HEX2DEC(MID(("x"&amp;H95),50,8))&gt;=0,FALSE),IFERROR(HEX2DEC(MID(("x"&amp;H95),58,8))&gt;=0,FALSE)),AND(ISTEXT(I95),LEN(("x"&amp;I95))=65,EXACT(("x"&amp;I95),LOWER(("x"&amp;I95))),ISERROR(SEARCH(" ",("x"&amp;I95))),ISERROR(SEARCH(CHAR(9),("x"&amp;I95))),ISERROR(SEARCH(CHAR(10),("x"&amp;I95))),ISERROR(SEARCH(CHAR(13),("x"&amp;I95))),IFERROR(HEX2DEC(MID(("x"&amp;I95),2,8))&gt;=0,FALSE),IFERROR(HEX2DEC(MID(("x"&amp;I95),10,8))&gt;=0,FALSE),IFERROR(HEX2DEC(MID(("x"&amp;I95),18,8))&gt;=0,FALSE),IFERROR(HEX2DEC(MID(("x"&amp;I95),26,8))&gt;=0,FALSE),IFERROR(HEX2DEC(MID(("x"&amp;I95),34,8))&gt;=0,FALSE),IFERROR(HEX2DEC(MID(("x"&amp;I95),42,8))&gt;=0,FALSE),IFERROR(HEX2DEC(MID(("x"&amp;I95),50,8))&gt;=0,FALSE),IFERROR(HEX2DEC(MID(("x"&amp;I95),58,8))&gt;=0,FALSE))),IF(EXACT("x"&amp;H95,"x"&amp;I95),AA95,AB95),"LEXEMA_O_FORMA"),IF(W95="PRUEBA",IF(H95=X95,AA95,IF(H95=Z95,AB95,"LEXEMA_O_FORMA")),IF(W95="RETIRADA",IF(AND(H95="NINGUNO",I95=""),IF(J95="COMPLETA",AB95,"COBERTURA_INSUFICIENTE"),IF(AND(OR(H95="uoInstallation",H95="uoUninstallation"),OR(I95="orcSucceeded",I95="orcSucceededWithErrors",I95="orcFailed",I95="orcAborted",I95="orcInProgress",I95="orcNotStarted")),IF(AND(H95=X95,I95=Y95),AA95,IF(AND(H95=X95,OR(I95="orcSucceededWithErrors",I95="orcInProgress",I95="orcNotStarted")),"RESULTADO_RETIRADA_INCIERTO",IF(J95="COMPLETA",AB95,"COBERTURA_INSUFICIENTE"))),"LEXEMA_O_FORMA")),IF(W95="CAMBIO",IF(OR(H95="CAMBIO",H95="CAMBIO_Y_RETORNO"),AA95,IF(OR(H95="NINGUNO",H95="SOLO_RENOMBRE"),IF(J95="COMPLETA",AB95,"COBERTURA_INSUFICIENTE"),"LEXEMA_O_FORMA")),IF(W95="RESTAURACION",IF(H95=X95,AA95,IF(OR(H95="NINGUNO",H95="RESTAURACION_POSTERIOR",H95="RESTAURACION_FALLIDA"),IF(J95="COMPLETA",AB95,"COBERTURA_INSUFICIENTE"),"LEXEMA_O_FORMA")),"PERFIL_NO_CONSTITUIDO"))))))))))))))))))</x:f>
        <x:v>LEXEMA_O_FORMA</x:v>
      </x:c>
      <x:c r="R95" s="12" t="str">
        <x:f>IF(AND(L95=O95,M95=P95,N95=Q95),"PASA","NO_PASA")</x:f>
        <x:v>PASA</x:v>
      </x:c>
      <x:c r="S95" s="4" t="str">
        <x:v>La observación usa un lexema ajeno al contrato.</x:v>
      </x:c>
      <x:c r="T95" s="12" t="str">
        <x:f>IFERROR(INDEX('55_Codificacion_ensayo'!$B$5:$B$13,MATCH(B95,'55_Codificacion_ensayo'!$A$5:$A$13,0)),"")</x:f>
        <x:v>HISTORIA-RETIRADA-ACTUALIZACION-0.1</x:v>
      </x:c>
      <x:c r="U95" s="12" t="str">
        <x:f>IFERROR(INDEX('55_Codificacion_ensayo'!$C$5:$C$13,MATCH(B95,'55_Codificacion_ensayo'!$A$5:$A$13,0)),"")</x:f>
        <x:v>HISTORIA_WUA</x:v>
      </x:c>
      <x:c r="V95" s="12" t="str">
        <x:f>IFERROR(INDEX('55_Codificacion_ensayo'!$D$5:$D$13,MATCH(B95,'55_Codificacion_ensayo'!$A$5:$A$13,0)),"")</x:f>
        <x:v>ORDEN_ACREDITADO</x:v>
      </x:c>
      <x:c r="W95" s="12" t="str">
        <x:f>IFERROR(INDEX('55_Codificacion_ensayo'!$E$5:$E$13,MATCH(B95,'55_Codificacion_ensayo'!$A$5:$A$13,0)),"")</x:f>
        <x:v>RETIRADA</x:v>
      </x:c>
      <x:c r="X95" s="12" t="str">
        <x:f>IFERROR(INDEX('55_Codificacion_ensayo'!$F$5:$F$13,MATCH(B95,'55_Codificacion_ensayo'!$A$5:$A$13,0)),"")</x:f>
        <x:v>uoUninstallation</x:v>
      </x:c>
      <x:c r="Y95" s="12" t="str">
        <x:f>IFERROR(INDEX('55_Codificacion_ensayo'!$G$5:$G$13,MATCH(B95,'55_Codificacion_ensayo'!$A$5:$A$13,0)),"")</x:f>
        <x:v>orcSucceeded</x:v>
      </x:c>
      <x:c r="Z95" s="12" t="str">
        <x:f>IFERROR(INDEX('55_Codificacion_ensayo'!$H$5:$H$13,MATCH(B95,'55_Codificacion_ensayo'!$A$5:$A$13,0)),"")</x:f>
        <x:v>NINGUNO</x:v>
      </x:c>
      <x:c r="AA95" s="12" t="str">
        <x:f>IFERROR(INDEX('55_Codificacion_ensayo'!$I$5:$I$13,MATCH(B95,'55_Codificacion_ensayo'!$A$5:$A$13,0)),"")</x:f>
        <x:v>RETIRADA_EXITOSA</x:v>
      </x:c>
      <x:c r="AB95" s="12" t="str">
        <x:f>IFERROR(INDEX('55_Codificacion_ensayo'!$J$5:$J$13,MATCH(B95,'55_Codificacion_ensayo'!$A$5:$A$13,0)),"")</x:f>
        <x:v>SIN_RETIRADA_EXITOSA</x:v>
      </x:c>
    </x:row>
    <x:row r="96" ht="47" customHeight="1">
      <x:c r="A96" s="4" t="str">
        <x:v>L10-08-10</x:v>
      </x:c>
      <x:c r="B96" s="4" t="str">
        <x:v>PAR-CYB-RETIRADA-EXITOSA-COMUNICADA-001</x:v>
      </x:c>
      <x:c r="C96" s="4" t="str">
        <x:v>HISTORIA-RETIRADA-ACTUALIZACION-0.1</x:v>
      </x:c>
      <x:c r="D96" s="4" t="str">
        <x:v>COINCIDE</x:v>
      </x:c>
      <x:c r="E96" s="4" t="str">
        <x:v>LEGIBLE</x:v>
      </x:c>
      <x:c r="F96" s="4" t="str">
        <x:v>HISTORIA_WUA</x:v>
      </x:c>
      <x:c r="G96" s="4" t="str">
        <x:v>UNICA</x:v>
      </x:c>
      <x:c r="H96" s="4" t="str">
        <x:v>NINGUNO</x:v>
      </x:c>
      <x:c r="I96" s="4" t="str"/>
      <x:c r="J96" s="4" t="str">
        <x:v>PARCIAL</x:v>
      </x:c>
      <x:c r="K96" s="4" t="str">
        <x:v>ORDEN_ACREDITADO</x:v>
      </x:c>
      <x:c r="L96" s="4" t="str">
        <x:v>VALIDA</x:v>
      </x:c>
      <x:c r="M96" s="4" t="str">
        <x:v>U</x:v>
      </x:c>
      <x:c r="N96" s="4" t="str">
        <x:v>COBERTURA_INSUFICIENTE</x:v>
      </x:c>
      <x:c r="O96" s="12" t="str">
        <x:f>IF(Q96="SIN_EJECUCION_DOMINIO","FALLO_CAPTURA",IF(OR(Q96="CAPTURA_MAL_FORMADA",Q96="IDENTIDAD",Q96="OBSERVACION_MAL_FORMADA",Q96="LEXEMA_O_FORMA"),"NO_ADMISION",IF(OR(Q96="PERFIL_NO_CONSTITUIDO",Q96="RESULTADO_NO_TERMINAL"),"FUERA_PERFIL",IF(Q96="CONTEXTO_NO_CONSTITUIDO","CONFIGURACION_PENDIENTE","VALIDA"))))</x:f>
        <x:v>VALIDA</x:v>
      </x:c>
      <x:c r="P96" s="12" t="str">
        <x:f>IF(O96&lt;&gt;"VALIDA","",IF(Q96=AA96,"1",IF(Q96=AB96,"0","U")))</x:f>
        <x:v>U</x:v>
      </x:c>
      <x:c r="Q96" s="12" t="str">
        <x:f>IF(E96="FALLO","SIN_EJECUCION_DOMINIO",IF(E96&lt;&gt;"LEGIBLE","CAPTURA_MAL_FORMADA",IF(D96&lt;&gt;"COINCIDE","IDENTIDAD",IF(OR(T96="",C96&lt;&gt;T96),"PERFIL_NO_CONSTITUIDO",IF(K96&lt;&gt;V96,IF(V96="ORDEN_ACREDITADO","ORDEN_NO_ACREDITADO","CONTEXTO_NO_CONSTITUIDO"),IF(AND(G96="AUSENTE",H96="",I96=""),"DATO_AUSENTE",IF(AND(G96="CONFLICTO",H96="",I96=""),"CONFLICTO_OBSERVACIONAL",IF(G96&lt;&gt;"UNICA","OBSERVACION_MAL_FORMADA",IF(F96&lt;&gt;U96,"OBSERVACION_INSUFICIENTE",IF(W96="RESULTADO",IF(H96=X96,AA96,IF(OR(H96="orcSucceededWithErrors",H96="orcFailed",H96="orcAborted"),AB96,IF(OR(H96="orcNotStarted",H96="orcInProgress"),"RESULTADO_NO_TERMINAL","LEXEMA_O_FORMA"))),IF(W96="EVENTO_BOOT",IF(H96=X96,AA96,IF(OR(H96="NINGUNO",H96="SOLO_HIBRIDO"),IF(J96="COMPLETA",AB96,"COBERTURA_INSUFICIENTE"),"LEXEMA_O_FORMA")),IF(W96="REQUISITO_SOFT",IF(H96=X96,AA96,IF(H96=Z96,AB96,"LEXEMA_O_FORMA")),IF(W96="EVENTO_PROC",IF(H96=X96,AA96,IF(H96=Z96,IF(J96="COMPLETA",AB96,"COBERTURA_INSUFICIENTE"),"LEXEMA_O_FORMA")),IF(W96="IMAGEN",IF(AND(AND(ISTEXT(H96),LEN(("x"&amp;H96))=65,EXACT(("x"&amp;H96),LOWER(("x"&amp;H96))),ISERROR(SEARCH(" ",("x"&amp;H96))),ISERROR(SEARCH(CHAR(9),("x"&amp;H96))),ISERROR(SEARCH(CHAR(10),("x"&amp;H96))),ISERROR(SEARCH(CHAR(13),("x"&amp;H96))),IFERROR(HEX2DEC(MID(("x"&amp;H96),2,8))&gt;=0,FALSE),IFERROR(HEX2DEC(MID(("x"&amp;H96),10,8))&gt;=0,FALSE),IFERROR(HEX2DEC(MID(("x"&amp;H96),18,8))&gt;=0,FALSE),IFERROR(HEX2DEC(MID(("x"&amp;H96),26,8))&gt;=0,FALSE),IFERROR(HEX2DEC(MID(("x"&amp;H96),34,8))&gt;=0,FALSE),IFERROR(HEX2DEC(MID(("x"&amp;H96),42,8))&gt;=0,FALSE),IFERROR(HEX2DEC(MID(("x"&amp;H96),50,8))&gt;=0,FALSE),IFERROR(HEX2DEC(MID(("x"&amp;H96),58,8))&gt;=0,FALSE)),AND(ISTEXT(I96),LEN(("x"&amp;I96))=65,EXACT(("x"&amp;I96),LOWER(("x"&amp;I96))),ISERROR(SEARCH(" ",("x"&amp;I96))),ISERROR(SEARCH(CHAR(9),("x"&amp;I96))),ISERROR(SEARCH(CHAR(10),("x"&amp;I96))),ISERROR(SEARCH(CHAR(13),("x"&amp;I96))),IFERROR(HEX2DEC(MID(("x"&amp;I96),2,8))&gt;=0,FALSE),IFERROR(HEX2DEC(MID(("x"&amp;I96),10,8))&gt;=0,FALSE),IFERROR(HEX2DEC(MID(("x"&amp;I96),18,8))&gt;=0,FALSE),IFERROR(HEX2DEC(MID(("x"&amp;I96),26,8))&gt;=0,FALSE),IFERROR(HEX2DEC(MID(("x"&amp;I96),34,8))&gt;=0,FALSE),IFERROR(HEX2DEC(MID(("x"&amp;I96),42,8))&gt;=0,FALSE),IFERROR(HEX2DEC(MID(("x"&amp;I96),50,8))&gt;=0,FALSE),IFERROR(HEX2DEC(MID(("x"&amp;I96),58,8))&gt;=0,FALSE))),IF(EXACT("x"&amp;H96,"x"&amp;I96),AA96,AB96),"LEXEMA_O_FORMA"),IF(W96="PRUEBA",IF(H96=X96,AA96,IF(H96=Z96,AB96,"LEXEMA_O_FORMA")),IF(W96="RETIRADA",IF(AND(H96="NINGUNO",I96=""),IF(J96="COMPLETA",AB96,"COBERTURA_INSUFICIENTE"),IF(AND(OR(H96="uoInstallation",H96="uoUninstallation"),OR(I96="orcSucceeded",I96="orcSucceededWithErrors",I96="orcFailed",I96="orcAborted",I96="orcInProgress",I96="orcNotStarted")),IF(AND(H96=X96,I96=Y96),AA96,IF(AND(H96=X96,OR(I96="orcSucceededWithErrors",I96="orcInProgress",I96="orcNotStarted")),"RESULTADO_RETIRADA_INCIERTO",IF(J96="COMPLETA",AB96,"COBERTURA_INSUFICIENTE"))),"LEXEMA_O_FORMA")),IF(W96="CAMBIO",IF(OR(H96="CAMBIO",H96="CAMBIO_Y_RETORNO"),AA96,IF(OR(H96="NINGUNO",H96="SOLO_RENOMBRE"),IF(J96="COMPLETA",AB96,"COBERTURA_INSUFICIENTE"),"LEXEMA_O_FORMA")),IF(W96="RESTAURACION",IF(H96=X96,AA96,IF(OR(H96="NINGUNO",H96="RESTAURACION_POSTERIOR",H96="RESTAURACION_FALLIDA"),IF(J96="COMPLETA",AB96,"COBERTURA_INSUFICIENTE"),"LEXEMA_O_FORMA")),"PERFIL_NO_CONSTITUIDO"))))))))))))))))))</x:f>
        <x:v>COBERTURA_INSUFICIENTE</x:v>
      </x:c>
      <x:c r="R96" s="12" t="str">
        <x:f>IF(AND(L96=O96,M96=P96,N96=Q96),"PASA","NO_PASA")</x:f>
        <x:v>PASA</x:v>
      </x:c>
      <x:c r="S96" s="4" t="str">
        <x:v>Ningún evento encontrado en cobertura parcial: U, no 0.</x:v>
      </x:c>
      <x:c r="T96" s="12" t="str">
        <x:f>IFERROR(INDEX('55_Codificacion_ensayo'!$B$5:$B$13,MATCH(B96,'55_Codificacion_ensayo'!$A$5:$A$13,0)),"")</x:f>
        <x:v>HISTORIA-RETIRADA-ACTUALIZACION-0.1</x:v>
      </x:c>
      <x:c r="U96" s="12" t="str">
        <x:f>IFERROR(INDEX('55_Codificacion_ensayo'!$C$5:$C$13,MATCH(B96,'55_Codificacion_ensayo'!$A$5:$A$13,0)),"")</x:f>
        <x:v>HISTORIA_WUA</x:v>
      </x:c>
      <x:c r="V96" s="12" t="str">
        <x:f>IFERROR(INDEX('55_Codificacion_ensayo'!$D$5:$D$13,MATCH(B96,'55_Codificacion_ensayo'!$A$5:$A$13,0)),"")</x:f>
        <x:v>ORDEN_ACREDITADO</x:v>
      </x:c>
      <x:c r="W96" s="12" t="str">
        <x:f>IFERROR(INDEX('55_Codificacion_ensayo'!$E$5:$E$13,MATCH(B96,'55_Codificacion_ensayo'!$A$5:$A$13,0)),"")</x:f>
        <x:v>RETIRADA</x:v>
      </x:c>
      <x:c r="X96" s="12" t="str">
        <x:f>IFERROR(INDEX('55_Codificacion_ensayo'!$F$5:$F$13,MATCH(B96,'55_Codificacion_ensayo'!$A$5:$A$13,0)),"")</x:f>
        <x:v>uoUninstallation</x:v>
      </x:c>
      <x:c r="Y96" s="12" t="str">
        <x:f>IFERROR(INDEX('55_Codificacion_ensayo'!$G$5:$G$13,MATCH(B96,'55_Codificacion_ensayo'!$A$5:$A$13,0)),"")</x:f>
        <x:v>orcSucceeded</x:v>
      </x:c>
      <x:c r="Z96" s="12" t="str">
        <x:f>IFERROR(INDEX('55_Codificacion_ensayo'!$H$5:$H$13,MATCH(B96,'55_Codificacion_ensayo'!$A$5:$A$13,0)),"")</x:f>
        <x:v>NINGUNO</x:v>
      </x:c>
      <x:c r="AA96" s="12" t="str">
        <x:f>IFERROR(INDEX('55_Codificacion_ensayo'!$I$5:$I$13,MATCH(B96,'55_Codificacion_ensayo'!$A$5:$A$13,0)),"")</x:f>
        <x:v>RETIRADA_EXITOSA</x:v>
      </x:c>
      <x:c r="AB96" s="12" t="str">
        <x:f>IFERROR(INDEX('55_Codificacion_ensayo'!$J$5:$J$13,MATCH(B96,'55_Codificacion_ensayo'!$A$5:$A$13,0)),"")</x:f>
        <x:v>SIN_RETIRADA_EXITOSA</x:v>
      </x:c>
    </x:row>
    <x:row r="97" ht="47" customHeight="1">
      <x:c r="A97" s="4" t="str">
        <x:v>L10-08-11</x:v>
      </x:c>
      <x:c r="B97" s="4" t="str">
        <x:v>PAR-CYB-RETIRADA-EXITOSA-COMUNICADA-001</x:v>
      </x:c>
      <x:c r="C97" s="4" t="str">
        <x:v>HISTORIA-RETIRADA-ACTUALIZACION-0.1</x:v>
      </x:c>
      <x:c r="D97" s="4" t="str">
        <x:v>COINCIDE</x:v>
      </x:c>
      <x:c r="E97" s="4" t="str">
        <x:v>LEGIBLE</x:v>
      </x:c>
      <x:c r="F97" s="4" t="str">
        <x:v>HISTORIA_WUA</x:v>
      </x:c>
      <x:c r="G97" s="4" t="str">
        <x:v>UNICA</x:v>
      </x:c>
      <x:c r="H97" s="4" t="str">
        <x:v>uoUninstallation</x:v>
      </x:c>
      <x:c r="I97" s="4" t="str">
        <x:v>orcSucceeded</x:v>
      </x:c>
      <x:c r="J97" s="4" t="str">
        <x:v>PARCIAL</x:v>
      </x:c>
      <x:c r="K97" s="4" t="str">
        <x:v>ORDEN_ACREDITADO</x:v>
      </x:c>
      <x:c r="L97" s="4" t="str">
        <x:v>VALIDA</x:v>
      </x:c>
      <x:c r="M97" s="4" t="str">
        <x:v>1</x:v>
      </x:c>
      <x:c r="N97" s="4" t="str">
        <x:v>RETIRADA_EXITOSA</x:v>
      </x:c>
      <x:c r="O97" s="12" t="str">
        <x:f>IF(Q97="SIN_EJECUCION_DOMINIO","FALLO_CAPTURA",IF(OR(Q97="CAPTURA_MAL_FORMADA",Q97="IDENTIDAD",Q97="OBSERVACION_MAL_FORMADA",Q97="LEXEMA_O_FORMA"),"NO_ADMISION",IF(OR(Q97="PERFIL_NO_CONSTITUIDO",Q97="RESULTADO_NO_TERMINAL"),"FUERA_PERFIL",IF(Q97="CONTEXTO_NO_CONSTITUIDO","CONFIGURACION_PENDIENTE","VALIDA"))))</x:f>
        <x:v>VALIDA</x:v>
      </x:c>
      <x:c r="P97" s="12" t="str">
        <x:f>IF(O97&lt;&gt;"VALIDA","",IF(Q97=AA97,"1",IF(Q97=AB97,"0","U")))</x:f>
        <x:v>1</x:v>
      </x:c>
      <x:c r="Q97" s="12" t="str">
        <x:f>IF(E97="FALLO","SIN_EJECUCION_DOMINIO",IF(E97&lt;&gt;"LEGIBLE","CAPTURA_MAL_FORMADA",IF(D97&lt;&gt;"COINCIDE","IDENTIDAD",IF(OR(T97="",C97&lt;&gt;T97),"PERFIL_NO_CONSTITUIDO",IF(K97&lt;&gt;V97,IF(V97="ORDEN_ACREDITADO","ORDEN_NO_ACREDITADO","CONTEXTO_NO_CONSTITUIDO"),IF(AND(G97="AUSENTE",H97="",I97=""),"DATO_AUSENTE",IF(AND(G97="CONFLICTO",H97="",I97=""),"CONFLICTO_OBSERVACIONAL",IF(G97&lt;&gt;"UNICA","OBSERVACION_MAL_FORMADA",IF(F97&lt;&gt;U97,"OBSERVACION_INSUFICIENTE",IF(W97="RESULTADO",IF(H97=X97,AA97,IF(OR(H97="orcSucceededWithErrors",H97="orcFailed",H97="orcAborted"),AB97,IF(OR(H97="orcNotStarted",H97="orcInProgress"),"RESULTADO_NO_TERMINAL","LEXEMA_O_FORMA"))),IF(W97="EVENTO_BOOT",IF(H97=X97,AA97,IF(OR(H97="NINGUNO",H97="SOLO_HIBRIDO"),IF(J97="COMPLETA",AB97,"COBERTURA_INSUFICIENTE"),"LEXEMA_O_FORMA")),IF(W97="REQUISITO_SOFT",IF(H97=X97,AA97,IF(H97=Z97,AB97,"LEXEMA_O_FORMA")),IF(W97="EVENTO_PROC",IF(H97=X97,AA97,IF(H97=Z97,IF(J97="COMPLETA",AB97,"COBERTURA_INSUFICIENTE"),"LEXEMA_O_FORMA")),IF(W97="IMAGEN",IF(AND(AND(ISTEXT(H97),LEN(("x"&amp;H97))=65,EXACT(("x"&amp;H97),LOWER(("x"&amp;H97))),ISERROR(SEARCH(" ",("x"&amp;H97))),ISERROR(SEARCH(CHAR(9),("x"&amp;H97))),ISERROR(SEARCH(CHAR(10),("x"&amp;H97))),ISERROR(SEARCH(CHAR(13),("x"&amp;H97))),IFERROR(HEX2DEC(MID(("x"&amp;H97),2,8))&gt;=0,FALSE),IFERROR(HEX2DEC(MID(("x"&amp;H97),10,8))&gt;=0,FALSE),IFERROR(HEX2DEC(MID(("x"&amp;H97),18,8))&gt;=0,FALSE),IFERROR(HEX2DEC(MID(("x"&amp;H97),26,8))&gt;=0,FALSE),IFERROR(HEX2DEC(MID(("x"&amp;H97),34,8))&gt;=0,FALSE),IFERROR(HEX2DEC(MID(("x"&amp;H97),42,8))&gt;=0,FALSE),IFERROR(HEX2DEC(MID(("x"&amp;H97),50,8))&gt;=0,FALSE),IFERROR(HEX2DEC(MID(("x"&amp;H97),58,8))&gt;=0,FALSE)),AND(ISTEXT(I97),LEN(("x"&amp;I97))=65,EXACT(("x"&amp;I97),LOWER(("x"&amp;I97))),ISERROR(SEARCH(" ",("x"&amp;I97))),ISERROR(SEARCH(CHAR(9),("x"&amp;I97))),ISERROR(SEARCH(CHAR(10),("x"&amp;I97))),ISERROR(SEARCH(CHAR(13),("x"&amp;I97))),IFERROR(HEX2DEC(MID(("x"&amp;I97),2,8))&gt;=0,FALSE),IFERROR(HEX2DEC(MID(("x"&amp;I97),10,8))&gt;=0,FALSE),IFERROR(HEX2DEC(MID(("x"&amp;I97),18,8))&gt;=0,FALSE),IFERROR(HEX2DEC(MID(("x"&amp;I97),26,8))&gt;=0,FALSE),IFERROR(HEX2DEC(MID(("x"&amp;I97),34,8))&gt;=0,FALSE),IFERROR(HEX2DEC(MID(("x"&amp;I97),42,8))&gt;=0,FALSE),IFERROR(HEX2DEC(MID(("x"&amp;I97),50,8))&gt;=0,FALSE),IFERROR(HEX2DEC(MID(("x"&amp;I97),58,8))&gt;=0,FALSE))),IF(EXACT("x"&amp;H97,"x"&amp;I97),AA97,AB97),"LEXEMA_O_FORMA"),IF(W97="PRUEBA",IF(H97=X97,AA97,IF(H97=Z97,AB97,"LEXEMA_O_FORMA")),IF(W97="RETIRADA",IF(AND(H97="NINGUNO",I97=""),IF(J97="COMPLETA",AB97,"COBERTURA_INSUFICIENTE"),IF(AND(OR(H97="uoInstallation",H97="uoUninstallation"),OR(I97="orcSucceeded",I97="orcSucceededWithErrors",I97="orcFailed",I97="orcAborted",I97="orcInProgress",I97="orcNotStarted")),IF(AND(H97=X97,I97=Y97),AA97,IF(AND(H97=X97,OR(I97="orcSucceededWithErrors",I97="orcInProgress",I97="orcNotStarted")),"RESULTADO_RETIRADA_INCIERTO",IF(J97="COMPLETA",AB97,"COBERTURA_INSUFICIENTE"))),"LEXEMA_O_FORMA")),IF(W97="CAMBIO",IF(OR(H97="CAMBIO",H97="CAMBIO_Y_RETORNO"),AA97,IF(OR(H97="NINGUNO",H97="SOLO_RENOMBRE"),IF(J97="COMPLETA",AB97,"COBERTURA_INSUFICIENTE"),"LEXEMA_O_FORMA")),IF(W97="RESTAURACION",IF(H97=X97,AA97,IF(OR(H97="NINGUNO",H97="RESTAURACION_POSTERIOR",H97="RESTAURACION_FALLIDA"),IF(J97="COMPLETA",AB97,"COBERTURA_INSUFICIENTE"),"LEXEMA_O_FORMA")),"PERFIL_NO_CONSTITUIDO"))))))))))))))))))</x:f>
        <x:v>RETIRADA_EXITOSA</x:v>
      </x:c>
      <x:c r="R97" s="12" t="str">
        <x:f>IF(AND(L97=O97,M97=P97,N97=Q97),"PASA","NO_PASA")</x:f>
        <x:v>PASA</x:v>
      </x:c>
      <x:c r="S97" s="4" t="str">
        <x:v>Un testigo positivo acredita existencia aunque la historia restante sea parcial.</x:v>
      </x:c>
      <x:c r="T97" s="12" t="str">
        <x:f>IFERROR(INDEX('55_Codificacion_ensayo'!$B$5:$B$13,MATCH(B97,'55_Codificacion_ensayo'!$A$5:$A$13,0)),"")</x:f>
        <x:v>HISTORIA-RETIRADA-ACTUALIZACION-0.1</x:v>
      </x:c>
      <x:c r="U97" s="12" t="str">
        <x:f>IFERROR(INDEX('55_Codificacion_ensayo'!$C$5:$C$13,MATCH(B97,'55_Codificacion_ensayo'!$A$5:$A$13,0)),"")</x:f>
        <x:v>HISTORIA_WUA</x:v>
      </x:c>
      <x:c r="V97" s="12" t="str">
        <x:f>IFERROR(INDEX('55_Codificacion_ensayo'!$D$5:$D$13,MATCH(B97,'55_Codificacion_ensayo'!$A$5:$A$13,0)),"")</x:f>
        <x:v>ORDEN_ACREDITADO</x:v>
      </x:c>
      <x:c r="W97" s="12" t="str">
        <x:f>IFERROR(INDEX('55_Codificacion_ensayo'!$E$5:$E$13,MATCH(B97,'55_Codificacion_ensayo'!$A$5:$A$13,0)),"")</x:f>
        <x:v>RETIRADA</x:v>
      </x:c>
      <x:c r="X97" s="12" t="str">
        <x:f>IFERROR(INDEX('55_Codificacion_ensayo'!$F$5:$F$13,MATCH(B97,'55_Codificacion_ensayo'!$A$5:$A$13,0)),"")</x:f>
        <x:v>uoUninstallation</x:v>
      </x:c>
      <x:c r="Y97" s="12" t="str">
        <x:f>IFERROR(INDEX('55_Codificacion_ensayo'!$G$5:$G$13,MATCH(B97,'55_Codificacion_ensayo'!$A$5:$A$13,0)),"")</x:f>
        <x:v>orcSucceeded</x:v>
      </x:c>
      <x:c r="Z97" s="12" t="str">
        <x:f>IFERROR(INDEX('55_Codificacion_ensayo'!$H$5:$H$13,MATCH(B97,'55_Codificacion_ensayo'!$A$5:$A$13,0)),"")</x:f>
        <x:v>NINGUNO</x:v>
      </x:c>
      <x:c r="AA97" s="12" t="str">
        <x:f>IFERROR(INDEX('55_Codificacion_ensayo'!$I$5:$I$13,MATCH(B97,'55_Codificacion_ensayo'!$A$5:$A$13,0)),"")</x:f>
        <x:v>RETIRADA_EXITOSA</x:v>
      </x:c>
      <x:c r="AB97" s="12" t="str">
        <x:f>IFERROR(INDEX('55_Codificacion_ensayo'!$J$5:$J$13,MATCH(B97,'55_Codificacion_ensayo'!$A$5:$A$13,0)),"")</x:f>
        <x:v>SIN_RETIRADA_EXITOSA</x:v>
      </x:c>
    </x:row>
    <x:row r="98" ht="47" customHeight="1">
      <x:c r="A98" s="4" t="str">
        <x:v>L10-08-12</x:v>
      </x:c>
      <x:c r="B98" s="4" t="str">
        <x:v>PAR-CYB-RETIRADA-EXITOSA-COMUNICADA-001</x:v>
      </x:c>
      <x:c r="C98" s="4" t="str">
        <x:v>HISTORIA-RETIRADA-ACTUALIZACION-0.1</x:v>
      </x:c>
      <x:c r="D98" s="4" t="str">
        <x:v>COINCIDE</x:v>
      </x:c>
      <x:c r="E98" s="4" t="str">
        <x:v>LEGIBLE</x:v>
      </x:c>
      <x:c r="F98" s="4" t="str">
        <x:v>HISTORIA_WUA</x:v>
      </x:c>
      <x:c r="G98" s="4" t="str">
        <x:v>UNICA</x:v>
      </x:c>
      <x:c r="H98" s="4" t="str">
        <x:v>uoUninstallation</x:v>
      </x:c>
      <x:c r="I98" s="4" t="str">
        <x:v>orcSucceeded</x:v>
      </x:c>
      <x:c r="J98" s="4" t="str">
        <x:v>COMPLETA</x:v>
      </x:c>
      <x:c r="K98" s="4" t="str">
        <x:v>ORDEN_INCIERTO</x:v>
      </x:c>
      <x:c r="L98" s="4" t="str">
        <x:v>VALIDA</x:v>
      </x:c>
      <x:c r="M98" s="4" t="str">
        <x:v>U</x:v>
      </x:c>
      <x:c r="N98" s="4" t="str">
        <x:v>ORDEN_NO_ACREDITADO</x:v>
      </x:c>
      <x:c r="O98" s="12" t="str">
        <x:f>IF(Q98="SIN_EJECUCION_DOMINIO","FALLO_CAPTURA",IF(OR(Q98="CAPTURA_MAL_FORMADA",Q98="IDENTIDAD",Q98="OBSERVACION_MAL_FORMADA",Q98="LEXEMA_O_FORMA"),"NO_ADMISION",IF(OR(Q98="PERFIL_NO_CONSTITUIDO",Q98="RESULTADO_NO_TERMINAL"),"FUERA_PERFIL",IF(Q98="CONTEXTO_NO_CONSTITUIDO","CONFIGURACION_PENDIENTE","VALIDA"))))</x:f>
        <x:v>VALIDA</x:v>
      </x:c>
      <x:c r="P98" s="12" t="str">
        <x:f>IF(O98&lt;&gt;"VALIDA","",IF(Q98=AA98,"1",IF(Q98=AB98,"0","U")))</x:f>
        <x:v>U</x:v>
      </x:c>
      <x:c r="Q98" s="12" t="str">
        <x:f>IF(E98="FALLO","SIN_EJECUCION_DOMINIO",IF(E98&lt;&gt;"LEGIBLE","CAPTURA_MAL_FORMADA",IF(D98&lt;&gt;"COINCIDE","IDENTIDAD",IF(OR(T98="",C98&lt;&gt;T98),"PERFIL_NO_CONSTITUIDO",IF(K98&lt;&gt;V98,IF(V98="ORDEN_ACREDITADO","ORDEN_NO_ACREDITADO","CONTEXTO_NO_CONSTITUIDO"),IF(AND(G98="AUSENTE",H98="",I98=""),"DATO_AUSENTE",IF(AND(G98="CONFLICTO",H98="",I98=""),"CONFLICTO_OBSERVACIONAL",IF(G98&lt;&gt;"UNICA","OBSERVACION_MAL_FORMADA",IF(F98&lt;&gt;U98,"OBSERVACION_INSUFICIENTE",IF(W98="RESULTADO",IF(H98=X98,AA98,IF(OR(H98="orcSucceededWithErrors",H98="orcFailed",H98="orcAborted"),AB98,IF(OR(H98="orcNotStarted",H98="orcInProgress"),"RESULTADO_NO_TERMINAL","LEXEMA_O_FORMA"))),IF(W98="EVENTO_BOOT",IF(H98=X98,AA98,IF(OR(H98="NINGUNO",H98="SOLO_HIBRIDO"),IF(J98="COMPLETA",AB98,"COBERTURA_INSUFICIENTE"),"LEXEMA_O_FORMA")),IF(W98="REQUISITO_SOFT",IF(H98=X98,AA98,IF(H98=Z98,AB98,"LEXEMA_O_FORMA")),IF(W98="EVENTO_PROC",IF(H98=X98,AA98,IF(H98=Z98,IF(J98="COMPLETA",AB98,"COBERTURA_INSUFICIENTE"),"LEXEMA_O_FORMA")),IF(W98="IMAGEN",IF(AND(AND(ISTEXT(H98),LEN(("x"&amp;H98))=65,EXACT(("x"&amp;H98),LOWER(("x"&amp;H98))),ISERROR(SEARCH(" ",("x"&amp;H98))),ISERROR(SEARCH(CHAR(9),("x"&amp;H98))),ISERROR(SEARCH(CHAR(10),("x"&amp;H98))),ISERROR(SEARCH(CHAR(13),("x"&amp;H98))),IFERROR(HEX2DEC(MID(("x"&amp;H98),2,8))&gt;=0,FALSE),IFERROR(HEX2DEC(MID(("x"&amp;H98),10,8))&gt;=0,FALSE),IFERROR(HEX2DEC(MID(("x"&amp;H98),18,8))&gt;=0,FALSE),IFERROR(HEX2DEC(MID(("x"&amp;H98),26,8))&gt;=0,FALSE),IFERROR(HEX2DEC(MID(("x"&amp;H98),34,8))&gt;=0,FALSE),IFERROR(HEX2DEC(MID(("x"&amp;H98),42,8))&gt;=0,FALSE),IFERROR(HEX2DEC(MID(("x"&amp;H98),50,8))&gt;=0,FALSE),IFERROR(HEX2DEC(MID(("x"&amp;H98),58,8))&gt;=0,FALSE)),AND(ISTEXT(I98),LEN(("x"&amp;I98))=65,EXACT(("x"&amp;I98),LOWER(("x"&amp;I98))),ISERROR(SEARCH(" ",("x"&amp;I98))),ISERROR(SEARCH(CHAR(9),("x"&amp;I98))),ISERROR(SEARCH(CHAR(10),("x"&amp;I98))),ISERROR(SEARCH(CHAR(13),("x"&amp;I98))),IFERROR(HEX2DEC(MID(("x"&amp;I98),2,8))&gt;=0,FALSE),IFERROR(HEX2DEC(MID(("x"&amp;I98),10,8))&gt;=0,FALSE),IFERROR(HEX2DEC(MID(("x"&amp;I98),18,8))&gt;=0,FALSE),IFERROR(HEX2DEC(MID(("x"&amp;I98),26,8))&gt;=0,FALSE),IFERROR(HEX2DEC(MID(("x"&amp;I98),34,8))&gt;=0,FALSE),IFERROR(HEX2DEC(MID(("x"&amp;I98),42,8))&gt;=0,FALSE),IFERROR(HEX2DEC(MID(("x"&amp;I98),50,8))&gt;=0,FALSE),IFERROR(HEX2DEC(MID(("x"&amp;I98),58,8))&gt;=0,FALSE))),IF(EXACT("x"&amp;H98,"x"&amp;I98),AA98,AB98),"LEXEMA_O_FORMA"),IF(W98="PRUEBA",IF(H98=X98,AA98,IF(H98=Z98,AB98,"LEXEMA_O_FORMA")),IF(W98="RETIRADA",IF(AND(H98="NINGUNO",I98=""),IF(J98="COMPLETA",AB98,"COBERTURA_INSUFICIENTE"),IF(AND(OR(H98="uoInstallation",H98="uoUninstallation"),OR(I98="orcSucceeded",I98="orcSucceededWithErrors",I98="orcFailed",I98="orcAborted",I98="orcInProgress",I98="orcNotStarted")),IF(AND(H98=X98,I98=Y98),AA98,IF(AND(H98=X98,OR(I98="orcSucceededWithErrors",I98="orcInProgress",I98="orcNotStarted")),"RESULTADO_RETIRADA_INCIERTO",IF(J98="COMPLETA",AB98,"COBERTURA_INSUFICIENTE"))),"LEXEMA_O_FORMA")),IF(W98="CAMBIO",IF(OR(H98="CAMBIO",H98="CAMBIO_Y_RETORNO"),AA98,IF(OR(H98="NINGUNO",H98="SOLO_RENOMBRE"),IF(J98="COMPLETA",AB98,"COBERTURA_INSUFICIENTE"),"LEXEMA_O_FORMA")),IF(W98="RESTAURACION",IF(H98=X98,AA98,IF(OR(H98="NINGUNO",H98="RESTAURACION_POSTERIOR",H98="RESTAURACION_FALLIDA"),IF(J98="COMPLETA",AB98,"COBERTURA_INSUFICIENTE"),"LEXEMA_O_FORMA")),"PERFIL_NO_CONSTITUIDO"))))))))))))))))))</x:f>
        <x:v>ORDEN_NO_ACREDITADO</x:v>
      </x:c>
      <x:c r="R98" s="12" t="str">
        <x:f>IF(AND(L98=O98,M98=P98,N98=Q98),"PASA","NO_PASA")</x:f>
        <x:v>PASA</x:v>
      </x:c>
      <x:c r="S98" s="4" t="str">
        <x:v>El orden no está acreditado; la mera fecha no prueba posterioridad.</x:v>
      </x:c>
      <x:c r="T98" s="12" t="str">
        <x:f>IFERROR(INDEX('55_Codificacion_ensayo'!$B$5:$B$13,MATCH(B98,'55_Codificacion_ensayo'!$A$5:$A$13,0)),"")</x:f>
        <x:v>HISTORIA-RETIRADA-ACTUALIZACION-0.1</x:v>
      </x:c>
      <x:c r="U98" s="12" t="str">
        <x:f>IFERROR(INDEX('55_Codificacion_ensayo'!$C$5:$C$13,MATCH(B98,'55_Codificacion_ensayo'!$A$5:$A$13,0)),"")</x:f>
        <x:v>HISTORIA_WUA</x:v>
      </x:c>
      <x:c r="V98" s="12" t="str">
        <x:f>IFERROR(INDEX('55_Codificacion_ensayo'!$D$5:$D$13,MATCH(B98,'55_Codificacion_ensayo'!$A$5:$A$13,0)),"")</x:f>
        <x:v>ORDEN_ACREDITADO</x:v>
      </x:c>
      <x:c r="W98" s="12" t="str">
        <x:f>IFERROR(INDEX('55_Codificacion_ensayo'!$E$5:$E$13,MATCH(B98,'55_Codificacion_ensayo'!$A$5:$A$13,0)),"")</x:f>
        <x:v>RETIRADA</x:v>
      </x:c>
      <x:c r="X98" s="12" t="str">
        <x:f>IFERROR(INDEX('55_Codificacion_ensayo'!$F$5:$F$13,MATCH(B98,'55_Codificacion_ensayo'!$A$5:$A$13,0)),"")</x:f>
        <x:v>uoUninstallation</x:v>
      </x:c>
      <x:c r="Y98" s="12" t="str">
        <x:f>IFERROR(INDEX('55_Codificacion_ensayo'!$G$5:$G$13,MATCH(B98,'55_Codificacion_ensayo'!$A$5:$A$13,0)),"")</x:f>
        <x:v>orcSucceeded</x:v>
      </x:c>
      <x:c r="Z98" s="12" t="str">
        <x:f>IFERROR(INDEX('55_Codificacion_ensayo'!$H$5:$H$13,MATCH(B98,'55_Codificacion_ensayo'!$A$5:$A$13,0)),"")</x:f>
        <x:v>NINGUNO</x:v>
      </x:c>
      <x:c r="AA98" s="12" t="str">
        <x:f>IFERROR(INDEX('55_Codificacion_ensayo'!$I$5:$I$13,MATCH(B98,'55_Codificacion_ensayo'!$A$5:$A$13,0)),"")</x:f>
        <x:v>RETIRADA_EXITOSA</x:v>
      </x:c>
      <x:c r="AB98" s="12" t="str">
        <x:f>IFERROR(INDEX('55_Codificacion_ensayo'!$J$5:$J$13,MATCH(B98,'55_Codificacion_ensayo'!$A$5:$A$13,0)),"")</x:f>
        <x:v>SIN_RETIRADA_EXITOSA</x:v>
      </x:c>
    </x:row>
    <x:row r="99" ht="47" customHeight="1">
      <x:c r="A99" s="4" t="str">
        <x:v>L10-08-13</x:v>
      </x:c>
      <x:c r="B99" s="4" t="str">
        <x:v>PAR-CYB-RETIRADA-EXITOSA-COMUNICADA-001</x:v>
      </x:c>
      <x:c r="C99" s="4" t="str">
        <x:v>HISTORIA-RETIRADA-ACTUALIZACION-0.1</x:v>
      </x:c>
      <x:c r="D99" s="4" t="str">
        <x:v>COINCIDE</x:v>
      </x:c>
      <x:c r="E99" s="4" t="str">
        <x:v>LEGIBLE</x:v>
      </x:c>
      <x:c r="F99" s="4" t="str">
        <x:v>HISTORIA_WUA</x:v>
      </x:c>
      <x:c r="G99" s="4" t="str">
        <x:v>UNICA</x:v>
      </x:c>
      <x:c r="H99" s="4" t="str">
        <x:v>uoUninstallation</x:v>
      </x:c>
      <x:c r="I99" s="4" t="str">
        <x:v>orcFailed</x:v>
      </x:c>
      <x:c r="J99" s="4" t="str">
        <x:v>COMPLETA</x:v>
      </x:c>
      <x:c r="K99" s="4" t="str">
        <x:v>ORDEN_ACREDITADO</x:v>
      </x:c>
      <x:c r="L99" s="4" t="str">
        <x:v>VALIDA</x:v>
      </x:c>
      <x:c r="M99" s="4" t="str">
        <x:v>0</x:v>
      </x:c>
      <x:c r="N99" s="4" t="str">
        <x:v>SIN_RETIRADA_EXITOSA</x:v>
      </x:c>
      <x:c r="O99" s="12" t="str">
        <x:f>IF(Q99="SIN_EJECUCION_DOMINIO","FALLO_CAPTURA",IF(OR(Q99="CAPTURA_MAL_FORMADA",Q99="IDENTIDAD",Q99="OBSERVACION_MAL_FORMADA",Q99="LEXEMA_O_FORMA"),"NO_ADMISION",IF(OR(Q99="PERFIL_NO_CONSTITUIDO",Q99="RESULTADO_NO_TERMINAL"),"FUERA_PERFIL",IF(Q99="CONTEXTO_NO_CONSTITUIDO","CONFIGURACION_PENDIENTE","VALIDA"))))</x:f>
        <x:v>VALIDA</x:v>
      </x:c>
      <x:c r="P99" s="12" t="str">
        <x:f>IF(O99&lt;&gt;"VALIDA","",IF(Q99=AA99,"1",IF(Q99=AB99,"0","U")))</x:f>
        <x:v>0</x:v>
      </x:c>
      <x:c r="Q99" s="12" t="str">
        <x:f>IF(E99="FALLO","SIN_EJECUCION_DOMINIO",IF(E99&lt;&gt;"LEGIBLE","CAPTURA_MAL_FORMADA",IF(D99&lt;&gt;"COINCIDE","IDENTIDAD",IF(OR(T99="",C99&lt;&gt;T99),"PERFIL_NO_CONSTITUIDO",IF(K99&lt;&gt;V99,IF(V99="ORDEN_ACREDITADO","ORDEN_NO_ACREDITADO","CONTEXTO_NO_CONSTITUIDO"),IF(AND(G99="AUSENTE",H99="",I99=""),"DATO_AUSENTE",IF(AND(G99="CONFLICTO",H99="",I99=""),"CONFLICTO_OBSERVACIONAL",IF(G99&lt;&gt;"UNICA","OBSERVACION_MAL_FORMADA",IF(F99&lt;&gt;U99,"OBSERVACION_INSUFICIENTE",IF(W99="RESULTADO",IF(H99=X99,AA99,IF(OR(H99="orcSucceededWithErrors",H99="orcFailed",H99="orcAborted"),AB99,IF(OR(H99="orcNotStarted",H99="orcInProgress"),"RESULTADO_NO_TERMINAL","LEXEMA_O_FORMA"))),IF(W99="EVENTO_BOOT",IF(H99=X99,AA99,IF(OR(H99="NINGUNO",H99="SOLO_HIBRIDO"),IF(J99="COMPLETA",AB99,"COBERTURA_INSUFICIENTE"),"LEXEMA_O_FORMA")),IF(W99="REQUISITO_SOFT",IF(H99=X99,AA99,IF(H99=Z99,AB99,"LEXEMA_O_FORMA")),IF(W99="EVENTO_PROC",IF(H99=X99,AA99,IF(H99=Z99,IF(J99="COMPLETA",AB99,"COBERTURA_INSUFICIENTE"),"LEXEMA_O_FORMA")),IF(W99="IMAGEN",IF(AND(AND(ISTEXT(H99),LEN(("x"&amp;H99))=65,EXACT(("x"&amp;H99),LOWER(("x"&amp;H99))),ISERROR(SEARCH(" ",("x"&amp;H99))),ISERROR(SEARCH(CHAR(9),("x"&amp;H99))),ISERROR(SEARCH(CHAR(10),("x"&amp;H99))),ISERROR(SEARCH(CHAR(13),("x"&amp;H99))),IFERROR(HEX2DEC(MID(("x"&amp;H99),2,8))&gt;=0,FALSE),IFERROR(HEX2DEC(MID(("x"&amp;H99),10,8))&gt;=0,FALSE),IFERROR(HEX2DEC(MID(("x"&amp;H99),18,8))&gt;=0,FALSE),IFERROR(HEX2DEC(MID(("x"&amp;H99),26,8))&gt;=0,FALSE),IFERROR(HEX2DEC(MID(("x"&amp;H99),34,8))&gt;=0,FALSE),IFERROR(HEX2DEC(MID(("x"&amp;H99),42,8))&gt;=0,FALSE),IFERROR(HEX2DEC(MID(("x"&amp;H99),50,8))&gt;=0,FALSE),IFERROR(HEX2DEC(MID(("x"&amp;H99),58,8))&gt;=0,FALSE)),AND(ISTEXT(I99),LEN(("x"&amp;I99))=65,EXACT(("x"&amp;I99),LOWER(("x"&amp;I99))),ISERROR(SEARCH(" ",("x"&amp;I99))),ISERROR(SEARCH(CHAR(9),("x"&amp;I99))),ISERROR(SEARCH(CHAR(10),("x"&amp;I99))),ISERROR(SEARCH(CHAR(13),("x"&amp;I99))),IFERROR(HEX2DEC(MID(("x"&amp;I99),2,8))&gt;=0,FALSE),IFERROR(HEX2DEC(MID(("x"&amp;I99),10,8))&gt;=0,FALSE),IFERROR(HEX2DEC(MID(("x"&amp;I99),18,8))&gt;=0,FALSE),IFERROR(HEX2DEC(MID(("x"&amp;I99),26,8))&gt;=0,FALSE),IFERROR(HEX2DEC(MID(("x"&amp;I99),34,8))&gt;=0,FALSE),IFERROR(HEX2DEC(MID(("x"&amp;I99),42,8))&gt;=0,FALSE),IFERROR(HEX2DEC(MID(("x"&amp;I99),50,8))&gt;=0,FALSE),IFERROR(HEX2DEC(MID(("x"&amp;I99),58,8))&gt;=0,FALSE))),IF(EXACT("x"&amp;H99,"x"&amp;I99),AA99,AB99),"LEXEMA_O_FORMA"),IF(W99="PRUEBA",IF(H99=X99,AA99,IF(H99=Z99,AB99,"LEXEMA_O_FORMA")),IF(W99="RETIRADA",IF(AND(H99="NINGUNO",I99=""),IF(J99="COMPLETA",AB99,"COBERTURA_INSUFICIENTE"),IF(AND(OR(H99="uoInstallation",H99="uoUninstallation"),OR(I99="orcSucceeded",I99="orcSucceededWithErrors",I99="orcFailed",I99="orcAborted",I99="orcInProgress",I99="orcNotStarted")),IF(AND(H99=X99,I99=Y99),AA99,IF(AND(H99=X99,OR(I99="orcSucceededWithErrors",I99="orcInProgress",I99="orcNotStarted")),"RESULTADO_RETIRADA_INCIERTO",IF(J99="COMPLETA",AB99,"COBERTURA_INSUFICIENTE"))),"LEXEMA_O_FORMA")),IF(W99="CAMBIO",IF(OR(H99="CAMBIO",H99="CAMBIO_Y_RETORNO"),AA99,IF(OR(H99="NINGUNO",H99="SOLO_RENOMBRE"),IF(J99="COMPLETA",AB99,"COBERTURA_INSUFICIENTE"),"LEXEMA_O_FORMA")),IF(W99="RESTAURACION",IF(H99=X99,AA99,IF(OR(H99="NINGUNO",H99="RESTAURACION_POSTERIOR",H99="RESTAURACION_FALLIDA"),IF(J99="COMPLETA",AB99,"COBERTURA_INSUFICIENTE"),"LEXEMA_O_FORMA")),"PERFIL_NO_CONSTITUIDO"))))))))))))))))))</x:f>
        <x:v>SIN_RETIRADA_EXITOSA</x:v>
      </x:c>
      <x:c r="R99" s="12" t="str">
        <x:f>IF(AND(L99=O99,M99=P99,N99=Q99),"PASA","NO_PASA")</x:f>
        <x:v>PASA</x:v>
      </x:c>
      <x:c r="S99" s="4" t="str">
        <x:v>Desinstalación fallida no equivale a retirada exitosa, con cobertura completa.</x:v>
      </x:c>
      <x:c r="T99" s="12" t="str">
        <x:f>IFERROR(INDEX('55_Codificacion_ensayo'!$B$5:$B$13,MATCH(B99,'55_Codificacion_ensayo'!$A$5:$A$13,0)),"")</x:f>
        <x:v>HISTORIA-RETIRADA-ACTUALIZACION-0.1</x:v>
      </x:c>
      <x:c r="U99" s="12" t="str">
        <x:f>IFERROR(INDEX('55_Codificacion_ensayo'!$C$5:$C$13,MATCH(B99,'55_Codificacion_ensayo'!$A$5:$A$13,0)),"")</x:f>
        <x:v>HISTORIA_WUA</x:v>
      </x:c>
      <x:c r="V99" s="12" t="str">
        <x:f>IFERROR(INDEX('55_Codificacion_ensayo'!$D$5:$D$13,MATCH(B99,'55_Codificacion_ensayo'!$A$5:$A$13,0)),"")</x:f>
        <x:v>ORDEN_ACREDITADO</x:v>
      </x:c>
      <x:c r="W99" s="12" t="str">
        <x:f>IFERROR(INDEX('55_Codificacion_ensayo'!$E$5:$E$13,MATCH(B99,'55_Codificacion_ensayo'!$A$5:$A$13,0)),"")</x:f>
        <x:v>RETIRADA</x:v>
      </x:c>
      <x:c r="X99" s="12" t="str">
        <x:f>IFERROR(INDEX('55_Codificacion_ensayo'!$F$5:$F$13,MATCH(B99,'55_Codificacion_ensayo'!$A$5:$A$13,0)),"")</x:f>
        <x:v>uoUninstallation</x:v>
      </x:c>
      <x:c r="Y99" s="12" t="str">
        <x:f>IFERROR(INDEX('55_Codificacion_ensayo'!$G$5:$G$13,MATCH(B99,'55_Codificacion_ensayo'!$A$5:$A$13,0)),"")</x:f>
        <x:v>orcSucceeded</x:v>
      </x:c>
      <x:c r="Z99" s="12" t="str">
        <x:f>IFERROR(INDEX('55_Codificacion_ensayo'!$H$5:$H$13,MATCH(B99,'55_Codificacion_ensayo'!$A$5:$A$13,0)),"")</x:f>
        <x:v>NINGUNO</x:v>
      </x:c>
      <x:c r="AA99" s="12" t="str">
        <x:f>IFERROR(INDEX('55_Codificacion_ensayo'!$I$5:$I$13,MATCH(B99,'55_Codificacion_ensayo'!$A$5:$A$13,0)),"")</x:f>
        <x:v>RETIRADA_EXITOSA</x:v>
      </x:c>
      <x:c r="AB99" s="12" t="str">
        <x:f>IFERROR(INDEX('55_Codificacion_ensayo'!$J$5:$J$13,MATCH(B99,'55_Codificacion_ensayo'!$A$5:$A$13,0)),"")</x:f>
        <x:v>SIN_RETIRADA_EXITOSA</x:v>
      </x:c>
    </x:row>
    <x:row r="100" ht="47" customHeight="1">
      <x:c r="A100" s="4" t="str">
        <x:v>L10-08-14</x:v>
      </x:c>
      <x:c r="B100" s="4" t="str">
        <x:v>PAR-CYB-RETIRADA-EXITOSA-COMUNICADA-001</x:v>
      </x:c>
      <x:c r="C100" s="4" t="str">
        <x:v>HISTORIA-RETIRADA-ACTUALIZACION-0.1</x:v>
      </x:c>
      <x:c r="D100" s="4" t="str">
        <x:v>COINCIDE</x:v>
      </x:c>
      <x:c r="E100" s="4" t="str">
        <x:v>LEGIBLE</x:v>
      </x:c>
      <x:c r="F100" s="4" t="str">
        <x:v>HISTORIA_WUA</x:v>
      </x:c>
      <x:c r="G100" s="4" t="str">
        <x:v>UNICA</x:v>
      </x:c>
      <x:c r="H100" s="4" t="str">
        <x:v>uoUninstallation</x:v>
      </x:c>
      <x:c r="I100" s="4" t="str">
        <x:v>orcSucceededWithErrors</x:v>
      </x:c>
      <x:c r="J100" s="4" t="str">
        <x:v>COMPLETA</x:v>
      </x:c>
      <x:c r="K100" s="4" t="str">
        <x:v>ORDEN_ACREDITADO</x:v>
      </x:c>
      <x:c r="L100" s="4" t="str">
        <x:v>VALIDA</x:v>
      </x:c>
      <x:c r="M100" s="4" t="str">
        <x:v>U</x:v>
      </x:c>
      <x:c r="N100" s="4" t="str">
        <x:v>RESULTADO_RETIRADA_INCIERTO</x:v>
      </x:c>
      <x:c r="O100" s="12" t="str">
        <x:f>IF(Q100="SIN_EJECUCION_DOMINIO","FALLO_CAPTURA",IF(OR(Q100="CAPTURA_MAL_FORMADA",Q100="IDENTIDAD",Q100="OBSERVACION_MAL_FORMADA",Q100="LEXEMA_O_FORMA"),"NO_ADMISION",IF(OR(Q100="PERFIL_NO_CONSTITUIDO",Q100="RESULTADO_NO_TERMINAL"),"FUERA_PERFIL",IF(Q100="CONTEXTO_NO_CONSTITUIDO","CONFIGURACION_PENDIENTE","VALIDA"))))</x:f>
        <x:v>VALIDA</x:v>
      </x:c>
      <x:c r="P100" s="12" t="str">
        <x:f>IF(O100&lt;&gt;"VALIDA","",IF(Q100=AA100,"1",IF(Q100=AB100,"0","U")))</x:f>
        <x:v>U</x:v>
      </x:c>
      <x:c r="Q100" s="12" t="str">
        <x:f>IF(E100="FALLO","SIN_EJECUCION_DOMINIO",IF(E100&lt;&gt;"LEGIBLE","CAPTURA_MAL_FORMADA",IF(D100&lt;&gt;"COINCIDE","IDENTIDAD",IF(OR(T100="",C100&lt;&gt;T100),"PERFIL_NO_CONSTITUIDO",IF(K100&lt;&gt;V100,IF(V100="ORDEN_ACREDITADO","ORDEN_NO_ACREDITADO","CONTEXTO_NO_CONSTITUIDO"),IF(AND(G100="AUSENTE",H100="",I100=""),"DATO_AUSENTE",IF(AND(G100="CONFLICTO",H100="",I100=""),"CONFLICTO_OBSERVACIONAL",IF(G100&lt;&gt;"UNICA","OBSERVACION_MAL_FORMADA",IF(F100&lt;&gt;U100,"OBSERVACION_INSUFICIENTE",IF(W100="RESULTADO",IF(H100=X100,AA100,IF(OR(H100="orcSucceededWithErrors",H100="orcFailed",H100="orcAborted"),AB100,IF(OR(H100="orcNotStarted",H100="orcInProgress"),"RESULTADO_NO_TERMINAL","LEXEMA_O_FORMA"))),IF(W100="EVENTO_BOOT",IF(H100=X100,AA100,IF(OR(H100="NINGUNO",H100="SOLO_HIBRIDO"),IF(J100="COMPLETA",AB100,"COBERTURA_INSUFICIENTE"),"LEXEMA_O_FORMA")),IF(W100="REQUISITO_SOFT",IF(H100=X100,AA100,IF(H100=Z100,AB100,"LEXEMA_O_FORMA")),IF(W100="EVENTO_PROC",IF(H100=X100,AA100,IF(H100=Z100,IF(J100="COMPLETA",AB100,"COBERTURA_INSUFICIENTE"),"LEXEMA_O_FORMA")),IF(W100="IMAGEN",IF(AND(AND(ISTEXT(H100),LEN(("x"&amp;H100))=65,EXACT(("x"&amp;H100),LOWER(("x"&amp;H100))),ISERROR(SEARCH(" ",("x"&amp;H100))),ISERROR(SEARCH(CHAR(9),("x"&amp;H100))),ISERROR(SEARCH(CHAR(10),("x"&amp;H100))),ISERROR(SEARCH(CHAR(13),("x"&amp;H100))),IFERROR(HEX2DEC(MID(("x"&amp;H100),2,8))&gt;=0,FALSE),IFERROR(HEX2DEC(MID(("x"&amp;H100),10,8))&gt;=0,FALSE),IFERROR(HEX2DEC(MID(("x"&amp;H100),18,8))&gt;=0,FALSE),IFERROR(HEX2DEC(MID(("x"&amp;H100),26,8))&gt;=0,FALSE),IFERROR(HEX2DEC(MID(("x"&amp;H100),34,8))&gt;=0,FALSE),IFERROR(HEX2DEC(MID(("x"&amp;H100),42,8))&gt;=0,FALSE),IFERROR(HEX2DEC(MID(("x"&amp;H100),50,8))&gt;=0,FALSE),IFERROR(HEX2DEC(MID(("x"&amp;H100),58,8))&gt;=0,FALSE)),AND(ISTEXT(I100),LEN(("x"&amp;I100))=65,EXACT(("x"&amp;I100),LOWER(("x"&amp;I100))),ISERROR(SEARCH(" ",("x"&amp;I100))),ISERROR(SEARCH(CHAR(9),("x"&amp;I100))),ISERROR(SEARCH(CHAR(10),("x"&amp;I100))),ISERROR(SEARCH(CHAR(13),("x"&amp;I100))),IFERROR(HEX2DEC(MID(("x"&amp;I100),2,8))&gt;=0,FALSE),IFERROR(HEX2DEC(MID(("x"&amp;I100),10,8))&gt;=0,FALSE),IFERROR(HEX2DEC(MID(("x"&amp;I100),18,8))&gt;=0,FALSE),IFERROR(HEX2DEC(MID(("x"&amp;I100),26,8))&gt;=0,FALSE),IFERROR(HEX2DEC(MID(("x"&amp;I100),34,8))&gt;=0,FALSE),IFERROR(HEX2DEC(MID(("x"&amp;I100),42,8))&gt;=0,FALSE),IFERROR(HEX2DEC(MID(("x"&amp;I100),50,8))&gt;=0,FALSE),IFERROR(HEX2DEC(MID(("x"&amp;I100),58,8))&gt;=0,FALSE))),IF(EXACT("x"&amp;H100,"x"&amp;I100),AA100,AB100),"LEXEMA_O_FORMA"),IF(W100="PRUEBA",IF(H100=X100,AA100,IF(H100=Z100,AB100,"LEXEMA_O_FORMA")),IF(W100="RETIRADA",IF(AND(H100="NINGUNO",I100=""),IF(J100="COMPLETA",AB100,"COBERTURA_INSUFICIENTE"),IF(AND(OR(H100="uoInstallation",H100="uoUninstallation"),OR(I100="orcSucceeded",I100="orcSucceededWithErrors",I100="orcFailed",I100="orcAborted",I100="orcInProgress",I100="orcNotStarted")),IF(AND(H100=X100,I100=Y100),AA100,IF(AND(H100=X100,OR(I100="orcSucceededWithErrors",I100="orcInProgress",I100="orcNotStarted")),"RESULTADO_RETIRADA_INCIERTO",IF(J100="COMPLETA",AB100,"COBERTURA_INSUFICIENTE"))),"LEXEMA_O_FORMA")),IF(W100="CAMBIO",IF(OR(H100="CAMBIO",H100="CAMBIO_Y_RETORNO"),AA100,IF(OR(H100="NINGUNO",H100="SOLO_RENOMBRE"),IF(J100="COMPLETA",AB100,"COBERTURA_INSUFICIENTE"),"LEXEMA_O_FORMA")),IF(W100="RESTAURACION",IF(H100=X100,AA100,IF(OR(H100="NINGUNO",H100="RESTAURACION_POSTERIOR",H100="RESTAURACION_FALLIDA"),IF(J100="COMPLETA",AB100,"COBERTURA_INSUFICIENTE"),"LEXEMA_O_FORMA")),"PERFIL_NO_CONSTITUIDO"))))))))))))))))))</x:f>
        <x:v>RESULTADO_RETIRADA_INCIERTO</x:v>
      </x:c>
      <x:c r="R100" s="12" t="str">
        <x:f>IF(AND(L100=O100,M100=P100,N100=Q100),"PASA","NO_PASA")</x:f>
        <x:v>PASA</x:v>
      </x:c>
      <x:c r="S100" s="4" t="str">
        <x:v>Éxito con errores no acredita retirada íntegra ni ausencia de ésta.</x:v>
      </x:c>
      <x:c r="T100" s="12" t="str">
        <x:f>IFERROR(INDEX('55_Codificacion_ensayo'!$B$5:$B$13,MATCH(B100,'55_Codificacion_ensayo'!$A$5:$A$13,0)),"")</x:f>
        <x:v>HISTORIA-RETIRADA-ACTUALIZACION-0.1</x:v>
      </x:c>
      <x:c r="U100" s="12" t="str">
        <x:f>IFERROR(INDEX('55_Codificacion_ensayo'!$C$5:$C$13,MATCH(B100,'55_Codificacion_ensayo'!$A$5:$A$13,0)),"")</x:f>
        <x:v>HISTORIA_WUA</x:v>
      </x:c>
      <x:c r="V100" s="12" t="str">
        <x:f>IFERROR(INDEX('55_Codificacion_ensayo'!$D$5:$D$13,MATCH(B100,'55_Codificacion_ensayo'!$A$5:$A$13,0)),"")</x:f>
        <x:v>ORDEN_ACREDITADO</x:v>
      </x:c>
      <x:c r="W100" s="12" t="str">
        <x:f>IFERROR(INDEX('55_Codificacion_ensayo'!$E$5:$E$13,MATCH(B100,'55_Codificacion_ensayo'!$A$5:$A$13,0)),"")</x:f>
        <x:v>RETIRADA</x:v>
      </x:c>
      <x:c r="X100" s="12" t="str">
        <x:f>IFERROR(INDEX('55_Codificacion_ensayo'!$F$5:$F$13,MATCH(B100,'55_Codificacion_ensayo'!$A$5:$A$13,0)),"")</x:f>
        <x:v>uoUninstallation</x:v>
      </x:c>
      <x:c r="Y100" s="12" t="str">
        <x:f>IFERROR(INDEX('55_Codificacion_ensayo'!$G$5:$G$13,MATCH(B100,'55_Codificacion_ensayo'!$A$5:$A$13,0)),"")</x:f>
        <x:v>orcSucceeded</x:v>
      </x:c>
      <x:c r="Z100" s="12" t="str">
        <x:f>IFERROR(INDEX('55_Codificacion_ensayo'!$H$5:$H$13,MATCH(B100,'55_Codificacion_ensayo'!$A$5:$A$13,0)),"")</x:f>
        <x:v>NINGUNO</x:v>
      </x:c>
      <x:c r="AA100" s="12" t="str">
        <x:f>IFERROR(INDEX('55_Codificacion_ensayo'!$I$5:$I$13,MATCH(B100,'55_Codificacion_ensayo'!$A$5:$A$13,0)),"")</x:f>
        <x:v>RETIRADA_EXITOSA</x:v>
      </x:c>
      <x:c r="AB100" s="12" t="str">
        <x:f>IFERROR(INDEX('55_Codificacion_ensayo'!$J$5:$J$13,MATCH(B100,'55_Codificacion_ensayo'!$A$5:$A$13,0)),"")</x:f>
        <x:v>SIN_RETIRADA_EXITOSA</x:v>
      </x:c>
    </x:row>
    <x:row r="101" ht="47" customHeight="1">
      <x:c r="A101" s="4" t="str">
        <x:v>L10-08-15</x:v>
      </x:c>
      <x:c r="B101" s="4" t="str">
        <x:v>PAR-CYB-RETIRADA-EXITOSA-COMUNICADA-001</x:v>
      </x:c>
      <x:c r="C101" s="4" t="str">
        <x:v>HISTORIA-RETIRADA-ACTUALIZACION-0.1</x:v>
      </x:c>
      <x:c r="D101" s="4" t="str">
        <x:v>COINCIDE</x:v>
      </x:c>
      <x:c r="E101" s="4" t="str">
        <x:v>LEGIBLE</x:v>
      </x:c>
      <x:c r="F101" s="4" t="str">
        <x:v>HISTORIA_WUA</x:v>
      </x:c>
      <x:c r="G101" s="4" t="str">
        <x:v>UNICA</x:v>
      </x:c>
      <x:c r="H101" s="4" t="str">
        <x:v>uoInstallation</x:v>
      </x:c>
      <x:c r="I101" s="4" t="str">
        <x:v>orcSucceeded</x:v>
      </x:c>
      <x:c r="J101" s="4" t="str">
        <x:v>COMPLETA</x:v>
      </x:c>
      <x:c r="K101" s="4" t="str">
        <x:v>ORDEN_ACREDITADO</x:v>
      </x:c>
      <x:c r="L101" s="4" t="str">
        <x:v>VALIDA</x:v>
      </x:c>
      <x:c r="M101" s="4" t="str">
        <x:v>0</x:v>
      </x:c>
      <x:c r="N101" s="4" t="str">
        <x:v>SIN_RETIRADA_EXITOSA</x:v>
      </x:c>
      <x:c r="O101" s="12" t="str">
        <x:f>IF(Q101="SIN_EJECUCION_DOMINIO","FALLO_CAPTURA",IF(OR(Q101="CAPTURA_MAL_FORMADA",Q101="IDENTIDAD",Q101="OBSERVACION_MAL_FORMADA",Q101="LEXEMA_O_FORMA"),"NO_ADMISION",IF(OR(Q101="PERFIL_NO_CONSTITUIDO",Q101="RESULTADO_NO_TERMINAL"),"FUERA_PERFIL",IF(Q101="CONTEXTO_NO_CONSTITUIDO","CONFIGURACION_PENDIENTE","VALIDA"))))</x:f>
        <x:v>VALIDA</x:v>
      </x:c>
      <x:c r="P101" s="12" t="str">
        <x:f>IF(O101&lt;&gt;"VALIDA","",IF(Q101=AA101,"1",IF(Q101=AB101,"0","U")))</x:f>
        <x:v>0</x:v>
      </x:c>
      <x:c r="Q101" s="12" t="str">
        <x:f>IF(E101="FALLO","SIN_EJECUCION_DOMINIO",IF(E101&lt;&gt;"LEGIBLE","CAPTURA_MAL_FORMADA",IF(D101&lt;&gt;"COINCIDE","IDENTIDAD",IF(OR(T101="",C101&lt;&gt;T101),"PERFIL_NO_CONSTITUIDO",IF(K101&lt;&gt;V101,IF(V101="ORDEN_ACREDITADO","ORDEN_NO_ACREDITADO","CONTEXTO_NO_CONSTITUIDO"),IF(AND(G101="AUSENTE",H101="",I101=""),"DATO_AUSENTE",IF(AND(G101="CONFLICTO",H101="",I101=""),"CONFLICTO_OBSERVACIONAL",IF(G101&lt;&gt;"UNICA","OBSERVACION_MAL_FORMADA",IF(F101&lt;&gt;U101,"OBSERVACION_INSUFICIENTE",IF(W101="RESULTADO",IF(H101=X101,AA101,IF(OR(H101="orcSucceededWithErrors",H101="orcFailed",H101="orcAborted"),AB101,IF(OR(H101="orcNotStarted",H101="orcInProgress"),"RESULTADO_NO_TERMINAL","LEXEMA_O_FORMA"))),IF(W101="EVENTO_BOOT",IF(H101=X101,AA101,IF(OR(H101="NINGUNO",H101="SOLO_HIBRIDO"),IF(J101="COMPLETA",AB101,"COBERTURA_INSUFICIENTE"),"LEXEMA_O_FORMA")),IF(W101="REQUISITO_SOFT",IF(H101=X101,AA101,IF(H101=Z101,AB101,"LEXEMA_O_FORMA")),IF(W101="EVENTO_PROC",IF(H101=X101,AA101,IF(H101=Z101,IF(J101="COMPLETA",AB101,"COBERTURA_INSUFICIENTE"),"LEXEMA_O_FORMA")),IF(W101="IMAGEN",IF(AND(AND(ISTEXT(H101),LEN(("x"&amp;H101))=65,EXACT(("x"&amp;H101),LOWER(("x"&amp;H101))),ISERROR(SEARCH(" ",("x"&amp;H101))),ISERROR(SEARCH(CHAR(9),("x"&amp;H101))),ISERROR(SEARCH(CHAR(10),("x"&amp;H101))),ISERROR(SEARCH(CHAR(13),("x"&amp;H101))),IFERROR(HEX2DEC(MID(("x"&amp;H101),2,8))&gt;=0,FALSE),IFERROR(HEX2DEC(MID(("x"&amp;H101),10,8))&gt;=0,FALSE),IFERROR(HEX2DEC(MID(("x"&amp;H101),18,8))&gt;=0,FALSE),IFERROR(HEX2DEC(MID(("x"&amp;H101),26,8))&gt;=0,FALSE),IFERROR(HEX2DEC(MID(("x"&amp;H101),34,8))&gt;=0,FALSE),IFERROR(HEX2DEC(MID(("x"&amp;H101),42,8))&gt;=0,FALSE),IFERROR(HEX2DEC(MID(("x"&amp;H101),50,8))&gt;=0,FALSE),IFERROR(HEX2DEC(MID(("x"&amp;H101),58,8))&gt;=0,FALSE)),AND(ISTEXT(I101),LEN(("x"&amp;I101))=65,EXACT(("x"&amp;I101),LOWER(("x"&amp;I101))),ISERROR(SEARCH(" ",("x"&amp;I101))),ISERROR(SEARCH(CHAR(9),("x"&amp;I101))),ISERROR(SEARCH(CHAR(10),("x"&amp;I101))),ISERROR(SEARCH(CHAR(13),("x"&amp;I101))),IFERROR(HEX2DEC(MID(("x"&amp;I101),2,8))&gt;=0,FALSE),IFERROR(HEX2DEC(MID(("x"&amp;I101),10,8))&gt;=0,FALSE),IFERROR(HEX2DEC(MID(("x"&amp;I101),18,8))&gt;=0,FALSE),IFERROR(HEX2DEC(MID(("x"&amp;I101),26,8))&gt;=0,FALSE),IFERROR(HEX2DEC(MID(("x"&amp;I101),34,8))&gt;=0,FALSE),IFERROR(HEX2DEC(MID(("x"&amp;I101),42,8))&gt;=0,FALSE),IFERROR(HEX2DEC(MID(("x"&amp;I101),50,8))&gt;=0,FALSE),IFERROR(HEX2DEC(MID(("x"&amp;I101),58,8))&gt;=0,FALSE))),IF(EXACT("x"&amp;H101,"x"&amp;I101),AA101,AB101),"LEXEMA_O_FORMA"),IF(W101="PRUEBA",IF(H101=X101,AA101,IF(H101=Z101,AB101,"LEXEMA_O_FORMA")),IF(W101="RETIRADA",IF(AND(H101="NINGUNO",I101=""),IF(J101="COMPLETA",AB101,"COBERTURA_INSUFICIENTE"),IF(AND(OR(H101="uoInstallation",H101="uoUninstallation"),OR(I101="orcSucceeded",I101="orcSucceededWithErrors",I101="orcFailed",I101="orcAborted",I101="orcInProgress",I101="orcNotStarted")),IF(AND(H101=X101,I101=Y101),AA101,IF(AND(H101=X101,OR(I101="orcSucceededWithErrors",I101="orcInProgress",I101="orcNotStarted")),"RESULTADO_RETIRADA_INCIERTO",IF(J101="COMPLETA",AB101,"COBERTURA_INSUFICIENTE"))),"LEXEMA_O_FORMA")),IF(W101="CAMBIO",IF(OR(H101="CAMBIO",H101="CAMBIO_Y_RETORNO"),AA101,IF(OR(H101="NINGUNO",H101="SOLO_RENOMBRE"),IF(J101="COMPLETA",AB101,"COBERTURA_INSUFICIENTE"),"LEXEMA_O_FORMA")),IF(W101="RESTAURACION",IF(H101=X101,AA101,IF(OR(H101="NINGUNO",H101="RESTAURACION_POSTERIOR",H101="RESTAURACION_FALLIDA"),IF(J101="COMPLETA",AB101,"COBERTURA_INSUFICIENTE"),"LEXEMA_O_FORMA")),"PERFIL_NO_CONSTITUIDO"))))))))))))))))))</x:f>
        <x:v>SIN_RETIRADA_EXITOSA</x:v>
      </x:c>
      <x:c r="R101" s="12" t="str">
        <x:f>IF(AND(L101=O101,M101=P101,N101=Q101),"PASA","NO_PASA")</x:f>
        <x:v>PASA</x:v>
      </x:c>
      <x:c r="S101" s="4" t="str">
        <x:v>Un resultado de instalación no es una retirada.</x:v>
      </x:c>
      <x:c r="T101" s="12" t="str">
        <x:f>IFERROR(INDEX('55_Codificacion_ensayo'!$B$5:$B$13,MATCH(B101,'55_Codificacion_ensayo'!$A$5:$A$13,0)),"")</x:f>
        <x:v>HISTORIA-RETIRADA-ACTUALIZACION-0.1</x:v>
      </x:c>
      <x:c r="U101" s="12" t="str">
        <x:f>IFERROR(INDEX('55_Codificacion_ensayo'!$C$5:$C$13,MATCH(B101,'55_Codificacion_ensayo'!$A$5:$A$13,0)),"")</x:f>
        <x:v>HISTORIA_WUA</x:v>
      </x:c>
      <x:c r="V101" s="12" t="str">
        <x:f>IFERROR(INDEX('55_Codificacion_ensayo'!$D$5:$D$13,MATCH(B101,'55_Codificacion_ensayo'!$A$5:$A$13,0)),"")</x:f>
        <x:v>ORDEN_ACREDITADO</x:v>
      </x:c>
      <x:c r="W101" s="12" t="str">
        <x:f>IFERROR(INDEX('55_Codificacion_ensayo'!$E$5:$E$13,MATCH(B101,'55_Codificacion_ensayo'!$A$5:$A$13,0)),"")</x:f>
        <x:v>RETIRADA</x:v>
      </x:c>
      <x:c r="X101" s="12" t="str">
        <x:f>IFERROR(INDEX('55_Codificacion_ensayo'!$F$5:$F$13,MATCH(B101,'55_Codificacion_ensayo'!$A$5:$A$13,0)),"")</x:f>
        <x:v>uoUninstallation</x:v>
      </x:c>
      <x:c r="Y101" s="12" t="str">
        <x:f>IFERROR(INDEX('55_Codificacion_ensayo'!$G$5:$G$13,MATCH(B101,'55_Codificacion_ensayo'!$A$5:$A$13,0)),"")</x:f>
        <x:v>orcSucceeded</x:v>
      </x:c>
      <x:c r="Z101" s="12" t="str">
        <x:f>IFERROR(INDEX('55_Codificacion_ensayo'!$H$5:$H$13,MATCH(B101,'55_Codificacion_ensayo'!$A$5:$A$13,0)),"")</x:f>
        <x:v>NINGUNO</x:v>
      </x:c>
      <x:c r="AA101" s="12" t="str">
        <x:f>IFERROR(INDEX('55_Codificacion_ensayo'!$I$5:$I$13,MATCH(B101,'55_Codificacion_ensayo'!$A$5:$A$13,0)),"")</x:f>
        <x:v>RETIRADA_EXITOSA</x:v>
      </x:c>
      <x:c r="AB101" s="12" t="str">
        <x:f>IFERROR(INDEX('55_Codificacion_ensayo'!$J$5:$J$13,MATCH(B101,'55_Codificacion_ensayo'!$A$5:$A$13,0)),"")</x:f>
        <x:v>SIN_RETIRADA_EXITOSA</x:v>
      </x:c>
    </x:row>
    <x:row r="102" ht="47" customHeight="1">
      <x:c r="A102" s="4" t="str">
        <x:v>L10-09-01</x:v>
      </x:c>
      <x:c r="B102" s="4" t="str">
        <x:v>PAR-CYB-CAMBIO-COMPONENTE-POSTERIOR-001</x:v>
      </x:c>
      <x:c r="C102" s="4" t="str">
        <x:v>HISTORIA-CAMBIO-COMPONENTE-0.1</x:v>
      </x:c>
      <x:c r="D102" s="4" t="str">
        <x:v>COINCIDE</x:v>
      </x:c>
      <x:c r="E102" s="4" t="str">
        <x:v>LEGIBLE</x:v>
      </x:c>
      <x:c r="F102" s="4" t="str">
        <x:v>HISTORIA_BINARIA</x:v>
      </x:c>
      <x:c r="G102" s="4" t="str">
        <x:v>UNICA</x:v>
      </x:c>
      <x:c r="H102" s="4" t="str">
        <x:v>CAMBIO</x:v>
      </x:c>
      <x:c r="I102" s="4" t="str"/>
      <x:c r="J102" s="4" t="str">
        <x:v>COMPLETA</x:v>
      </x:c>
      <x:c r="K102" s="4" t="str">
        <x:v>ORDEN_ACREDITADO</x:v>
      </x:c>
      <x:c r="L102" s="4" t="str">
        <x:v>VALIDA</x:v>
      </x:c>
      <x:c r="M102" s="4" t="str">
        <x:v>1</x:v>
      </x:c>
      <x:c r="N102" s="4" t="str">
        <x:v>CAMBIO_POSTERIOR</x:v>
      </x:c>
      <x:c r="O102" s="12" t="str">
        <x:f>IF(Q102="SIN_EJECUCION_DOMINIO","FALLO_CAPTURA",IF(OR(Q102="CAPTURA_MAL_FORMADA",Q102="IDENTIDAD",Q102="OBSERVACION_MAL_FORMADA",Q102="LEXEMA_O_FORMA"),"NO_ADMISION",IF(OR(Q102="PERFIL_NO_CONSTITUIDO",Q102="RESULTADO_NO_TERMINAL"),"FUERA_PERFIL",IF(Q102="CONTEXTO_NO_CONSTITUIDO","CONFIGURACION_PENDIENTE","VALIDA"))))</x:f>
        <x:v>VALIDA</x:v>
      </x:c>
      <x:c r="P102" s="12" t="str">
        <x:f>IF(O102&lt;&gt;"VALIDA","",IF(Q102=AA102,"1",IF(Q102=AB102,"0","U")))</x:f>
        <x:v>1</x:v>
      </x:c>
      <x:c r="Q102" s="12" t="str">
        <x:f>IF(E102="FALLO","SIN_EJECUCION_DOMINIO",IF(E102&lt;&gt;"LEGIBLE","CAPTURA_MAL_FORMADA",IF(D102&lt;&gt;"COINCIDE","IDENTIDAD",IF(OR(T102="",C102&lt;&gt;T102),"PERFIL_NO_CONSTITUIDO",IF(K102&lt;&gt;V102,IF(V102="ORDEN_ACREDITADO","ORDEN_NO_ACREDITADO","CONTEXTO_NO_CONSTITUIDO"),IF(AND(G102="AUSENTE",H102="",I102=""),"DATO_AUSENTE",IF(AND(G102="CONFLICTO",H102="",I102=""),"CONFLICTO_OBSERVACIONAL",IF(G102&lt;&gt;"UNICA","OBSERVACION_MAL_FORMADA",IF(F102&lt;&gt;U102,"OBSERVACION_INSUFICIENTE",IF(W102="RESULTADO",IF(H102=X102,AA102,IF(OR(H102="orcSucceededWithErrors",H102="orcFailed",H102="orcAborted"),AB102,IF(OR(H102="orcNotStarted",H102="orcInProgress"),"RESULTADO_NO_TERMINAL","LEXEMA_O_FORMA"))),IF(W102="EVENTO_BOOT",IF(H102=X102,AA102,IF(OR(H102="NINGUNO",H102="SOLO_HIBRIDO"),IF(J102="COMPLETA",AB102,"COBERTURA_INSUFICIENTE"),"LEXEMA_O_FORMA")),IF(W102="REQUISITO_SOFT",IF(H102=X102,AA102,IF(H102=Z102,AB102,"LEXEMA_O_FORMA")),IF(W102="EVENTO_PROC",IF(H102=X102,AA102,IF(H102=Z102,IF(J102="COMPLETA",AB102,"COBERTURA_INSUFICIENTE"),"LEXEMA_O_FORMA")),IF(W102="IMAGEN",IF(AND(AND(ISTEXT(H102),LEN(("x"&amp;H102))=65,EXACT(("x"&amp;H102),LOWER(("x"&amp;H102))),ISERROR(SEARCH(" ",("x"&amp;H102))),ISERROR(SEARCH(CHAR(9),("x"&amp;H102))),ISERROR(SEARCH(CHAR(10),("x"&amp;H102))),ISERROR(SEARCH(CHAR(13),("x"&amp;H102))),IFERROR(HEX2DEC(MID(("x"&amp;H102),2,8))&gt;=0,FALSE),IFERROR(HEX2DEC(MID(("x"&amp;H102),10,8))&gt;=0,FALSE),IFERROR(HEX2DEC(MID(("x"&amp;H102),18,8))&gt;=0,FALSE),IFERROR(HEX2DEC(MID(("x"&amp;H102),26,8))&gt;=0,FALSE),IFERROR(HEX2DEC(MID(("x"&amp;H102),34,8))&gt;=0,FALSE),IFERROR(HEX2DEC(MID(("x"&amp;H102),42,8))&gt;=0,FALSE),IFERROR(HEX2DEC(MID(("x"&amp;H102),50,8))&gt;=0,FALSE),IFERROR(HEX2DEC(MID(("x"&amp;H102),58,8))&gt;=0,FALSE)),AND(ISTEXT(I102),LEN(("x"&amp;I102))=65,EXACT(("x"&amp;I102),LOWER(("x"&amp;I102))),ISERROR(SEARCH(" ",("x"&amp;I102))),ISERROR(SEARCH(CHAR(9),("x"&amp;I102))),ISERROR(SEARCH(CHAR(10),("x"&amp;I102))),ISERROR(SEARCH(CHAR(13),("x"&amp;I102))),IFERROR(HEX2DEC(MID(("x"&amp;I102),2,8))&gt;=0,FALSE),IFERROR(HEX2DEC(MID(("x"&amp;I102),10,8))&gt;=0,FALSE),IFERROR(HEX2DEC(MID(("x"&amp;I102),18,8))&gt;=0,FALSE),IFERROR(HEX2DEC(MID(("x"&amp;I102),26,8))&gt;=0,FALSE),IFERROR(HEX2DEC(MID(("x"&amp;I102),34,8))&gt;=0,FALSE),IFERROR(HEX2DEC(MID(("x"&amp;I102),42,8))&gt;=0,FALSE),IFERROR(HEX2DEC(MID(("x"&amp;I102),50,8))&gt;=0,FALSE),IFERROR(HEX2DEC(MID(("x"&amp;I102),58,8))&gt;=0,FALSE))),IF(EXACT("x"&amp;H102,"x"&amp;I102),AA102,AB102),"LEXEMA_O_FORMA"),IF(W102="PRUEBA",IF(H102=X102,AA102,IF(H102=Z102,AB102,"LEXEMA_O_FORMA")),IF(W102="RETIRADA",IF(AND(H102="NINGUNO",I102=""),IF(J102="COMPLETA",AB102,"COBERTURA_INSUFICIENTE"),IF(AND(OR(H102="uoInstallation",H102="uoUninstallation"),OR(I102="orcSucceeded",I102="orcSucceededWithErrors",I102="orcFailed",I102="orcAborted",I102="orcInProgress",I102="orcNotStarted")),IF(AND(H102=X102,I102=Y102),AA102,IF(AND(H102=X102,OR(I102="orcSucceededWithErrors",I102="orcInProgress",I102="orcNotStarted")),"RESULTADO_RETIRADA_INCIERTO",IF(J102="COMPLETA",AB102,"COBERTURA_INSUFICIENTE"))),"LEXEMA_O_FORMA")),IF(W102="CAMBIO",IF(OR(H102="CAMBIO",H102="CAMBIO_Y_RETORNO"),AA102,IF(OR(H102="NINGUNO",H102="SOLO_RENOMBRE"),IF(J102="COMPLETA",AB102,"COBERTURA_INSUFICIENTE"),"LEXEMA_O_FORMA")),IF(W102="RESTAURACION",IF(H102=X102,AA102,IF(OR(H102="NINGUNO",H102="RESTAURACION_POSTERIOR",H102="RESTAURACION_FALLIDA"),IF(J102="COMPLETA",AB102,"COBERTURA_INSUFICIENTE"),"LEXEMA_O_FORMA")),"PERFIL_NO_CONSTITUIDO"))))))))))))))))))</x:f>
        <x:v>CAMBIO_POSTERIOR</x:v>
      </x:c>
      <x:c r="R102" s="12" t="str">
        <x:f>IF(AND(L102=O102,M102=P102,N102=Q102),"PASA","NO_PASA")</x:f>
        <x:v>PASA</x:v>
      </x:c>
      <x:c r="S102" s="4" t="str">
        <x:v>Testigo positivo de la proposición; no licencia ninguna conclusión más amplia.</x:v>
      </x:c>
      <x:c r="T102" s="12" t="str">
        <x:f>IFERROR(INDEX('55_Codificacion_ensayo'!$B$5:$B$13,MATCH(B102,'55_Codificacion_ensayo'!$A$5:$A$13,0)),"")</x:f>
        <x:v>HISTORIA-CAMBIO-COMPONENTE-0.1</x:v>
      </x:c>
      <x:c r="U102" s="12" t="str">
        <x:f>IFERROR(INDEX('55_Codificacion_ensayo'!$C$5:$C$13,MATCH(B102,'55_Codificacion_ensayo'!$A$5:$A$13,0)),"")</x:f>
        <x:v>HISTORIA_BINARIA</x:v>
      </x:c>
      <x:c r="V102" s="12" t="str">
        <x:f>IFERROR(INDEX('55_Codificacion_ensayo'!$D$5:$D$13,MATCH(B102,'55_Codificacion_ensayo'!$A$5:$A$13,0)),"")</x:f>
        <x:v>ORDEN_ACREDITADO</x:v>
      </x:c>
      <x:c r="W102" s="12" t="str">
        <x:f>IFERROR(INDEX('55_Codificacion_ensayo'!$E$5:$E$13,MATCH(B102,'55_Codificacion_ensayo'!$A$5:$A$13,0)),"")</x:f>
        <x:v>CAMBIO</x:v>
      </x:c>
      <x:c r="X102" s="12" t="str">
        <x:f>IFERROR(INDEX('55_Codificacion_ensayo'!$F$5:$F$13,MATCH(B102,'55_Codificacion_ensayo'!$A$5:$A$13,0)),"")</x:f>
        <x:v>CAMBIO</x:v>
      </x:c>
      <x:c r="Y102" s="12" t="str">
        <x:f>IFERROR(INDEX('55_Codificacion_ensayo'!$G$5:$G$13,MATCH(B102,'55_Codificacion_ensayo'!$A$5:$A$13,0)),"")</x:f>
      </x:c>
      <x:c r="Z102" s="12" t="str">
        <x:f>IFERROR(INDEX('55_Codificacion_ensayo'!$H$5:$H$13,MATCH(B102,'55_Codificacion_ensayo'!$A$5:$A$13,0)),"")</x:f>
        <x:v>NINGUNO</x:v>
      </x:c>
      <x:c r="AA102" s="12" t="str">
        <x:f>IFERROR(INDEX('55_Codificacion_ensayo'!$I$5:$I$13,MATCH(B102,'55_Codificacion_ensayo'!$A$5:$A$13,0)),"")</x:f>
        <x:v>CAMBIO_POSTERIOR</x:v>
      </x:c>
      <x:c r="AB102" s="12" t="str">
        <x:f>IFERROR(INDEX('55_Codificacion_ensayo'!$J$5:$J$13,MATCH(B102,'55_Codificacion_ensayo'!$A$5:$A$13,0)),"")</x:f>
        <x:v>SIN_CAMBIO_ACREDITADO</x:v>
      </x:c>
    </x:row>
    <x:row r="103" ht="47" customHeight="1">
      <x:c r="A103" s="4" t="str">
        <x:v>L10-09-02</x:v>
      </x:c>
      <x:c r="B103" s="4" t="str">
        <x:v>PAR-CYB-CAMBIO-COMPONENTE-POSTERIOR-001</x:v>
      </x:c>
      <x:c r="C103" s="4" t="str">
        <x:v>HISTORIA-CAMBIO-COMPONENTE-0.1</x:v>
      </x:c>
      <x:c r="D103" s="4" t="str">
        <x:v>COINCIDE</x:v>
      </x:c>
      <x:c r="E103" s="4" t="str">
        <x:v>LEGIBLE</x:v>
      </x:c>
      <x:c r="F103" s="4" t="str">
        <x:v>HISTORIA_BINARIA</x:v>
      </x:c>
      <x:c r="G103" s="4" t="str">
        <x:v>UNICA</x:v>
      </x:c>
      <x:c r="H103" s="4" t="str">
        <x:v>NINGUNO</x:v>
      </x:c>
      <x:c r="I103" s="4" t="str"/>
      <x:c r="J103" s="4" t="str">
        <x:v>COMPLETA</x:v>
      </x:c>
      <x:c r="K103" s="4" t="str">
        <x:v>ORDEN_ACREDITADO</x:v>
      </x:c>
      <x:c r="L103" s="4" t="str">
        <x:v>VALIDA</x:v>
      </x:c>
      <x:c r="M103" s="4" t="str">
        <x:v>0</x:v>
      </x:c>
      <x:c r="N103" s="4" t="str">
        <x:v>SIN_CAMBIO_ACREDITADO</x:v>
      </x:c>
      <x:c r="O103" s="12" t="str">
        <x:f>IF(Q103="SIN_EJECUCION_DOMINIO","FALLO_CAPTURA",IF(OR(Q103="CAPTURA_MAL_FORMADA",Q103="IDENTIDAD",Q103="OBSERVACION_MAL_FORMADA",Q103="LEXEMA_O_FORMA"),"NO_ADMISION",IF(OR(Q103="PERFIL_NO_CONSTITUIDO",Q103="RESULTADO_NO_TERMINAL"),"FUERA_PERFIL",IF(Q103="CONTEXTO_NO_CONSTITUIDO","CONFIGURACION_PENDIENTE","VALIDA"))))</x:f>
        <x:v>VALIDA</x:v>
      </x:c>
      <x:c r="P103" s="12" t="str">
        <x:f>IF(O103&lt;&gt;"VALIDA","",IF(Q103=AA103,"1",IF(Q103=AB103,"0","U")))</x:f>
        <x:v>0</x:v>
      </x:c>
      <x:c r="Q103" s="12" t="str">
        <x:f>IF(E103="FALLO","SIN_EJECUCION_DOMINIO",IF(E103&lt;&gt;"LEGIBLE","CAPTURA_MAL_FORMADA",IF(D103&lt;&gt;"COINCIDE","IDENTIDAD",IF(OR(T103="",C103&lt;&gt;T103),"PERFIL_NO_CONSTITUIDO",IF(K103&lt;&gt;V103,IF(V103="ORDEN_ACREDITADO","ORDEN_NO_ACREDITADO","CONTEXTO_NO_CONSTITUIDO"),IF(AND(G103="AUSENTE",H103="",I103=""),"DATO_AUSENTE",IF(AND(G103="CONFLICTO",H103="",I103=""),"CONFLICTO_OBSERVACIONAL",IF(G103&lt;&gt;"UNICA","OBSERVACION_MAL_FORMADA",IF(F103&lt;&gt;U103,"OBSERVACION_INSUFICIENTE",IF(W103="RESULTADO",IF(H103=X103,AA103,IF(OR(H103="orcSucceededWithErrors",H103="orcFailed",H103="orcAborted"),AB103,IF(OR(H103="orcNotStarted",H103="orcInProgress"),"RESULTADO_NO_TERMINAL","LEXEMA_O_FORMA"))),IF(W103="EVENTO_BOOT",IF(H103=X103,AA103,IF(OR(H103="NINGUNO",H103="SOLO_HIBRIDO"),IF(J103="COMPLETA",AB103,"COBERTURA_INSUFICIENTE"),"LEXEMA_O_FORMA")),IF(W103="REQUISITO_SOFT",IF(H103=X103,AA103,IF(H103=Z103,AB103,"LEXEMA_O_FORMA")),IF(W103="EVENTO_PROC",IF(H103=X103,AA103,IF(H103=Z103,IF(J103="COMPLETA",AB103,"COBERTURA_INSUFICIENTE"),"LEXEMA_O_FORMA")),IF(W103="IMAGEN",IF(AND(AND(ISTEXT(H103),LEN(("x"&amp;H103))=65,EXACT(("x"&amp;H103),LOWER(("x"&amp;H103))),ISERROR(SEARCH(" ",("x"&amp;H103))),ISERROR(SEARCH(CHAR(9),("x"&amp;H103))),ISERROR(SEARCH(CHAR(10),("x"&amp;H103))),ISERROR(SEARCH(CHAR(13),("x"&amp;H103))),IFERROR(HEX2DEC(MID(("x"&amp;H103),2,8))&gt;=0,FALSE),IFERROR(HEX2DEC(MID(("x"&amp;H103),10,8))&gt;=0,FALSE),IFERROR(HEX2DEC(MID(("x"&amp;H103),18,8))&gt;=0,FALSE),IFERROR(HEX2DEC(MID(("x"&amp;H103),26,8))&gt;=0,FALSE),IFERROR(HEX2DEC(MID(("x"&amp;H103),34,8))&gt;=0,FALSE),IFERROR(HEX2DEC(MID(("x"&amp;H103),42,8))&gt;=0,FALSE),IFERROR(HEX2DEC(MID(("x"&amp;H103),50,8))&gt;=0,FALSE),IFERROR(HEX2DEC(MID(("x"&amp;H103),58,8))&gt;=0,FALSE)),AND(ISTEXT(I103),LEN(("x"&amp;I103))=65,EXACT(("x"&amp;I103),LOWER(("x"&amp;I103))),ISERROR(SEARCH(" ",("x"&amp;I103))),ISERROR(SEARCH(CHAR(9),("x"&amp;I103))),ISERROR(SEARCH(CHAR(10),("x"&amp;I103))),ISERROR(SEARCH(CHAR(13),("x"&amp;I103))),IFERROR(HEX2DEC(MID(("x"&amp;I103),2,8))&gt;=0,FALSE),IFERROR(HEX2DEC(MID(("x"&amp;I103),10,8))&gt;=0,FALSE),IFERROR(HEX2DEC(MID(("x"&amp;I103),18,8))&gt;=0,FALSE),IFERROR(HEX2DEC(MID(("x"&amp;I103),26,8))&gt;=0,FALSE),IFERROR(HEX2DEC(MID(("x"&amp;I103),34,8))&gt;=0,FALSE),IFERROR(HEX2DEC(MID(("x"&amp;I103),42,8))&gt;=0,FALSE),IFERROR(HEX2DEC(MID(("x"&amp;I103),50,8))&gt;=0,FALSE),IFERROR(HEX2DEC(MID(("x"&amp;I103),58,8))&gt;=0,FALSE))),IF(EXACT("x"&amp;H103,"x"&amp;I103),AA103,AB103),"LEXEMA_O_FORMA"),IF(W103="PRUEBA",IF(H103=X103,AA103,IF(H103=Z103,AB103,"LEXEMA_O_FORMA")),IF(W103="RETIRADA",IF(AND(H103="NINGUNO",I103=""),IF(J103="COMPLETA",AB103,"COBERTURA_INSUFICIENTE"),IF(AND(OR(H103="uoInstallation",H103="uoUninstallation"),OR(I103="orcSucceeded",I103="orcSucceededWithErrors",I103="orcFailed",I103="orcAborted",I103="orcInProgress",I103="orcNotStarted")),IF(AND(H103=X103,I103=Y103),AA103,IF(AND(H103=X103,OR(I103="orcSucceededWithErrors",I103="orcInProgress",I103="orcNotStarted")),"RESULTADO_RETIRADA_INCIERTO",IF(J103="COMPLETA",AB103,"COBERTURA_INSUFICIENTE"))),"LEXEMA_O_FORMA")),IF(W103="CAMBIO",IF(OR(H103="CAMBIO",H103="CAMBIO_Y_RETORNO"),AA103,IF(OR(H103="NINGUNO",H103="SOLO_RENOMBRE"),IF(J103="COMPLETA",AB103,"COBERTURA_INSUFICIENTE"),"LEXEMA_O_FORMA")),IF(W103="RESTAURACION",IF(H103=X103,AA103,IF(OR(H103="NINGUNO",H103="RESTAURACION_POSTERIOR",H103="RESTAURACION_FALLIDA"),IF(J103="COMPLETA",AB103,"COBERTURA_INSUFICIENTE"),"LEXEMA_O_FORMA")),"PERFIL_NO_CONSTITUIDO"))))))))))))))))))</x:f>
        <x:v>SIN_CAMBIO_ACREDITADO</x:v>
      </x:c>
      <x:c r="R103" s="12" t="str">
        <x:f>IF(AND(L103=O103,M103=P103,N103=Q103),"PASA","NO_PASA")</x:f>
        <x:v>PASA</x:v>
      </x:c>
      <x:c r="S103" s="4" t="str">
        <x:v>Negativo explícito; en eventos exige cobertura del intervalo.</x:v>
      </x:c>
      <x:c r="T103" s="12" t="str">
        <x:f>IFERROR(INDEX('55_Codificacion_ensayo'!$B$5:$B$13,MATCH(B103,'55_Codificacion_ensayo'!$A$5:$A$13,0)),"")</x:f>
        <x:v>HISTORIA-CAMBIO-COMPONENTE-0.1</x:v>
      </x:c>
      <x:c r="U103" s="12" t="str">
        <x:f>IFERROR(INDEX('55_Codificacion_ensayo'!$C$5:$C$13,MATCH(B103,'55_Codificacion_ensayo'!$A$5:$A$13,0)),"")</x:f>
        <x:v>HISTORIA_BINARIA</x:v>
      </x:c>
      <x:c r="V103" s="12" t="str">
        <x:f>IFERROR(INDEX('55_Codificacion_ensayo'!$D$5:$D$13,MATCH(B103,'55_Codificacion_ensayo'!$A$5:$A$13,0)),"")</x:f>
        <x:v>ORDEN_ACREDITADO</x:v>
      </x:c>
      <x:c r="W103" s="12" t="str">
        <x:f>IFERROR(INDEX('55_Codificacion_ensayo'!$E$5:$E$13,MATCH(B103,'55_Codificacion_ensayo'!$A$5:$A$13,0)),"")</x:f>
        <x:v>CAMBIO</x:v>
      </x:c>
      <x:c r="X103" s="12" t="str">
        <x:f>IFERROR(INDEX('55_Codificacion_ensayo'!$F$5:$F$13,MATCH(B103,'55_Codificacion_ensayo'!$A$5:$A$13,0)),"")</x:f>
        <x:v>CAMBIO</x:v>
      </x:c>
      <x:c r="Y103" s="12" t="str">
        <x:f>IFERROR(INDEX('55_Codificacion_ensayo'!$G$5:$G$13,MATCH(B103,'55_Codificacion_ensayo'!$A$5:$A$13,0)),"")</x:f>
      </x:c>
      <x:c r="Z103" s="12" t="str">
        <x:f>IFERROR(INDEX('55_Codificacion_ensayo'!$H$5:$H$13,MATCH(B103,'55_Codificacion_ensayo'!$A$5:$A$13,0)),"")</x:f>
        <x:v>NINGUNO</x:v>
      </x:c>
      <x:c r="AA103" s="12" t="str">
        <x:f>IFERROR(INDEX('55_Codificacion_ensayo'!$I$5:$I$13,MATCH(B103,'55_Codificacion_ensayo'!$A$5:$A$13,0)),"")</x:f>
        <x:v>CAMBIO_POSTERIOR</x:v>
      </x:c>
      <x:c r="AB103" s="12" t="str">
        <x:f>IFERROR(INDEX('55_Codificacion_ensayo'!$J$5:$J$13,MATCH(B103,'55_Codificacion_ensayo'!$A$5:$A$13,0)),"")</x:f>
        <x:v>SIN_CAMBIO_ACREDITADO</x:v>
      </x:c>
    </x:row>
    <x:row r="104" ht="47" customHeight="1">
      <x:c r="A104" s="4" t="str">
        <x:v>L10-09-03</x:v>
      </x:c>
      <x:c r="B104" s="4" t="str">
        <x:v>PAR-CYB-CAMBIO-COMPONENTE-POSTERIOR-001</x:v>
      </x:c>
      <x:c r="C104" s="4" t="str">
        <x:v>HISTORIA-CAMBIO-COMPONENTE-0.1</x:v>
      </x:c>
      <x:c r="D104" s="4" t="str">
        <x:v>COINCIDE</x:v>
      </x:c>
      <x:c r="E104" s="4" t="str">
        <x:v>LEGIBLE</x:v>
      </x:c>
      <x:c r="F104" s="4" t="str">
        <x:v>HISTORIA_BINARIA</x:v>
      </x:c>
      <x:c r="G104" s="4" t="str">
        <x:v>AUSENTE</x:v>
      </x:c>
      <x:c r="H104" s="4" t="str"/>
      <x:c r="I104" s="4" t="str"/>
      <x:c r="J104" s="4" t="str">
        <x:v>COMPLETA</x:v>
      </x:c>
      <x:c r="K104" s="4" t="str">
        <x:v>ORDEN_ACREDITADO</x:v>
      </x:c>
      <x:c r="L104" s="4" t="str">
        <x:v>VALIDA</x:v>
      </x:c>
      <x:c r="M104" s="4" t="str">
        <x:v>U</x:v>
      </x:c>
      <x:c r="N104" s="4" t="str">
        <x:v>DATO_AUSENTE</x:v>
      </x:c>
      <x:c r="O104" s="12" t="str">
        <x:f>IF(Q104="SIN_EJECUCION_DOMINIO","FALLO_CAPTURA",IF(OR(Q104="CAPTURA_MAL_FORMADA",Q104="IDENTIDAD",Q104="OBSERVACION_MAL_FORMADA",Q104="LEXEMA_O_FORMA"),"NO_ADMISION",IF(OR(Q104="PERFIL_NO_CONSTITUIDO",Q104="RESULTADO_NO_TERMINAL"),"FUERA_PERFIL",IF(Q104="CONTEXTO_NO_CONSTITUIDO","CONFIGURACION_PENDIENTE","VALIDA"))))</x:f>
        <x:v>VALIDA</x:v>
      </x:c>
      <x:c r="P104" s="12" t="str">
        <x:f>IF(O104&lt;&gt;"VALIDA","",IF(Q104=AA104,"1",IF(Q104=AB104,"0","U")))</x:f>
        <x:v>U</x:v>
      </x:c>
      <x:c r="Q104" s="12" t="str">
        <x:f>IF(E104="FALLO","SIN_EJECUCION_DOMINIO",IF(E104&lt;&gt;"LEGIBLE","CAPTURA_MAL_FORMADA",IF(D104&lt;&gt;"COINCIDE","IDENTIDAD",IF(OR(T104="",C104&lt;&gt;T104),"PERFIL_NO_CONSTITUIDO",IF(K104&lt;&gt;V104,IF(V104="ORDEN_ACREDITADO","ORDEN_NO_ACREDITADO","CONTEXTO_NO_CONSTITUIDO"),IF(AND(G104="AUSENTE",H104="",I104=""),"DATO_AUSENTE",IF(AND(G104="CONFLICTO",H104="",I104=""),"CONFLICTO_OBSERVACIONAL",IF(G104&lt;&gt;"UNICA","OBSERVACION_MAL_FORMADA",IF(F104&lt;&gt;U104,"OBSERVACION_INSUFICIENTE",IF(W104="RESULTADO",IF(H104=X104,AA104,IF(OR(H104="orcSucceededWithErrors",H104="orcFailed",H104="orcAborted"),AB104,IF(OR(H104="orcNotStarted",H104="orcInProgress"),"RESULTADO_NO_TERMINAL","LEXEMA_O_FORMA"))),IF(W104="EVENTO_BOOT",IF(H104=X104,AA104,IF(OR(H104="NINGUNO",H104="SOLO_HIBRIDO"),IF(J104="COMPLETA",AB104,"COBERTURA_INSUFICIENTE"),"LEXEMA_O_FORMA")),IF(W104="REQUISITO_SOFT",IF(H104=X104,AA104,IF(H104=Z104,AB104,"LEXEMA_O_FORMA")),IF(W104="EVENTO_PROC",IF(H104=X104,AA104,IF(H104=Z104,IF(J104="COMPLETA",AB104,"COBERTURA_INSUFICIENTE"),"LEXEMA_O_FORMA")),IF(W104="IMAGEN",IF(AND(AND(ISTEXT(H104),LEN(("x"&amp;H104))=65,EXACT(("x"&amp;H104),LOWER(("x"&amp;H104))),ISERROR(SEARCH(" ",("x"&amp;H104))),ISERROR(SEARCH(CHAR(9),("x"&amp;H104))),ISERROR(SEARCH(CHAR(10),("x"&amp;H104))),ISERROR(SEARCH(CHAR(13),("x"&amp;H104))),IFERROR(HEX2DEC(MID(("x"&amp;H104),2,8))&gt;=0,FALSE),IFERROR(HEX2DEC(MID(("x"&amp;H104),10,8))&gt;=0,FALSE),IFERROR(HEX2DEC(MID(("x"&amp;H104),18,8))&gt;=0,FALSE),IFERROR(HEX2DEC(MID(("x"&amp;H104),26,8))&gt;=0,FALSE),IFERROR(HEX2DEC(MID(("x"&amp;H104),34,8))&gt;=0,FALSE),IFERROR(HEX2DEC(MID(("x"&amp;H104),42,8))&gt;=0,FALSE),IFERROR(HEX2DEC(MID(("x"&amp;H104),50,8))&gt;=0,FALSE),IFERROR(HEX2DEC(MID(("x"&amp;H104),58,8))&gt;=0,FALSE)),AND(ISTEXT(I104),LEN(("x"&amp;I104))=65,EXACT(("x"&amp;I104),LOWER(("x"&amp;I104))),ISERROR(SEARCH(" ",("x"&amp;I104))),ISERROR(SEARCH(CHAR(9),("x"&amp;I104))),ISERROR(SEARCH(CHAR(10),("x"&amp;I104))),ISERROR(SEARCH(CHAR(13),("x"&amp;I104))),IFERROR(HEX2DEC(MID(("x"&amp;I104),2,8))&gt;=0,FALSE),IFERROR(HEX2DEC(MID(("x"&amp;I104),10,8))&gt;=0,FALSE),IFERROR(HEX2DEC(MID(("x"&amp;I104),18,8))&gt;=0,FALSE),IFERROR(HEX2DEC(MID(("x"&amp;I104),26,8))&gt;=0,FALSE),IFERROR(HEX2DEC(MID(("x"&amp;I104),34,8))&gt;=0,FALSE),IFERROR(HEX2DEC(MID(("x"&amp;I104),42,8))&gt;=0,FALSE),IFERROR(HEX2DEC(MID(("x"&amp;I104),50,8))&gt;=0,FALSE),IFERROR(HEX2DEC(MID(("x"&amp;I104),58,8))&gt;=0,FALSE))),IF(EXACT("x"&amp;H104,"x"&amp;I104),AA104,AB104),"LEXEMA_O_FORMA"),IF(W104="PRUEBA",IF(H104=X104,AA104,IF(H104=Z104,AB104,"LEXEMA_O_FORMA")),IF(W104="RETIRADA",IF(AND(H104="NINGUNO",I104=""),IF(J104="COMPLETA",AB104,"COBERTURA_INSUFICIENTE"),IF(AND(OR(H104="uoInstallation",H104="uoUninstallation"),OR(I104="orcSucceeded",I104="orcSucceededWithErrors",I104="orcFailed",I104="orcAborted",I104="orcInProgress",I104="orcNotStarted")),IF(AND(H104=X104,I104=Y104),AA104,IF(AND(H104=X104,OR(I104="orcSucceededWithErrors",I104="orcInProgress",I104="orcNotStarted")),"RESULTADO_RETIRADA_INCIERTO",IF(J104="COMPLETA",AB104,"COBERTURA_INSUFICIENTE"))),"LEXEMA_O_FORMA")),IF(W104="CAMBIO",IF(OR(H104="CAMBIO",H104="CAMBIO_Y_RETORNO"),AA104,IF(OR(H104="NINGUNO",H104="SOLO_RENOMBRE"),IF(J104="COMPLETA",AB104,"COBERTURA_INSUFICIENTE"),"LEXEMA_O_FORMA")),IF(W104="RESTAURACION",IF(H104=X104,AA104,IF(OR(H104="NINGUNO",H104="RESTAURACION_POSTERIOR",H104="RESTAURACION_FALLIDA"),IF(J104="COMPLETA",AB104,"COBERTURA_INSUFICIENTE"),"LEXEMA_O_FORMA")),"PERFIL_NO_CONSTITUIDO"))))))))))))))))))</x:f>
        <x:v>DATO_AUSENTE</x:v>
      </x:c>
      <x:c r="R104" s="12" t="str">
        <x:f>IF(AND(L104=O104,M104=P104,N104=Q104),"PASA","NO_PASA")</x:f>
        <x:v>PASA</x:v>
      </x:c>
      <x:c r="S104" s="4" t="str">
        <x:v>Documento declara que falta la observación, sin convertir ausencia en 0.</x:v>
      </x:c>
      <x:c r="T104" s="12" t="str">
        <x:f>IFERROR(INDEX('55_Codificacion_ensayo'!$B$5:$B$13,MATCH(B104,'55_Codificacion_ensayo'!$A$5:$A$13,0)),"")</x:f>
        <x:v>HISTORIA-CAMBIO-COMPONENTE-0.1</x:v>
      </x:c>
      <x:c r="U104" s="12" t="str">
        <x:f>IFERROR(INDEX('55_Codificacion_ensayo'!$C$5:$C$13,MATCH(B104,'55_Codificacion_ensayo'!$A$5:$A$13,0)),"")</x:f>
        <x:v>HISTORIA_BINARIA</x:v>
      </x:c>
      <x:c r="V104" s="12" t="str">
        <x:f>IFERROR(INDEX('55_Codificacion_ensayo'!$D$5:$D$13,MATCH(B104,'55_Codificacion_ensayo'!$A$5:$A$13,0)),"")</x:f>
        <x:v>ORDEN_ACREDITADO</x:v>
      </x:c>
      <x:c r="W104" s="12" t="str">
        <x:f>IFERROR(INDEX('55_Codificacion_ensayo'!$E$5:$E$13,MATCH(B104,'55_Codificacion_ensayo'!$A$5:$A$13,0)),"")</x:f>
        <x:v>CAMBIO</x:v>
      </x:c>
      <x:c r="X104" s="12" t="str">
        <x:f>IFERROR(INDEX('55_Codificacion_ensayo'!$F$5:$F$13,MATCH(B104,'55_Codificacion_ensayo'!$A$5:$A$13,0)),"")</x:f>
        <x:v>CAMBIO</x:v>
      </x:c>
      <x:c r="Y104" s="12" t="str">
        <x:f>IFERROR(INDEX('55_Codificacion_ensayo'!$G$5:$G$13,MATCH(B104,'55_Codificacion_ensayo'!$A$5:$A$13,0)),"")</x:f>
      </x:c>
      <x:c r="Z104" s="12" t="str">
        <x:f>IFERROR(INDEX('55_Codificacion_ensayo'!$H$5:$H$13,MATCH(B104,'55_Codificacion_ensayo'!$A$5:$A$13,0)),"")</x:f>
        <x:v>NINGUNO</x:v>
      </x:c>
      <x:c r="AA104" s="12" t="str">
        <x:f>IFERROR(INDEX('55_Codificacion_ensayo'!$I$5:$I$13,MATCH(B104,'55_Codificacion_ensayo'!$A$5:$A$13,0)),"")</x:f>
        <x:v>CAMBIO_POSTERIOR</x:v>
      </x:c>
      <x:c r="AB104" s="12" t="str">
        <x:f>IFERROR(INDEX('55_Codificacion_ensayo'!$J$5:$J$13,MATCH(B104,'55_Codificacion_ensayo'!$A$5:$A$13,0)),"")</x:f>
        <x:v>SIN_CAMBIO_ACREDITADO</x:v>
      </x:c>
    </x:row>
    <x:row r="105" ht="47" customHeight="1">
      <x:c r="A105" s="4" t="str">
        <x:v>L10-09-04</x:v>
      </x:c>
      <x:c r="B105" s="4" t="str">
        <x:v>PAR-CYB-CAMBIO-COMPONENTE-POSTERIOR-001</x:v>
      </x:c>
      <x:c r="C105" s="4" t="str">
        <x:v>HISTORIA-CAMBIO-COMPONENTE-0.1</x:v>
      </x:c>
      <x:c r="D105" s="4" t="str">
        <x:v>COINCIDE</x:v>
      </x:c>
      <x:c r="E105" s="4" t="str">
        <x:v>LEGIBLE</x:v>
      </x:c>
      <x:c r="F105" s="4" t="str">
        <x:v>HISTORIA_BINARIA</x:v>
      </x:c>
      <x:c r="G105" s="4" t="str">
        <x:v>CONFLICTO</x:v>
      </x:c>
      <x:c r="H105" s="4" t="str"/>
      <x:c r="I105" s="4" t="str"/>
      <x:c r="J105" s="4" t="str">
        <x:v>COMPLETA</x:v>
      </x:c>
      <x:c r="K105" s="4" t="str">
        <x:v>ORDEN_ACREDITADO</x:v>
      </x:c>
      <x:c r="L105" s="4" t="str">
        <x:v>VALIDA</x:v>
      </x:c>
      <x:c r="M105" s="4" t="str">
        <x:v>U</x:v>
      </x:c>
      <x:c r="N105" s="4" t="str">
        <x:v>CONFLICTO_OBSERVACIONAL</x:v>
      </x:c>
      <x:c r="O105" s="12" t="str">
        <x:f>IF(Q105="SIN_EJECUCION_DOMINIO","FALLO_CAPTURA",IF(OR(Q105="CAPTURA_MAL_FORMADA",Q105="IDENTIDAD",Q105="OBSERVACION_MAL_FORMADA",Q105="LEXEMA_O_FORMA"),"NO_ADMISION",IF(OR(Q105="PERFIL_NO_CONSTITUIDO",Q105="RESULTADO_NO_TERMINAL"),"FUERA_PERFIL",IF(Q105="CONTEXTO_NO_CONSTITUIDO","CONFIGURACION_PENDIENTE","VALIDA"))))</x:f>
        <x:v>VALIDA</x:v>
      </x:c>
      <x:c r="P105" s="12" t="str">
        <x:f>IF(O105&lt;&gt;"VALIDA","",IF(Q105=AA105,"1",IF(Q105=AB105,"0","U")))</x:f>
        <x:v>U</x:v>
      </x:c>
      <x:c r="Q105" s="12" t="str">
        <x:f>IF(E105="FALLO","SIN_EJECUCION_DOMINIO",IF(E105&lt;&gt;"LEGIBLE","CAPTURA_MAL_FORMADA",IF(D105&lt;&gt;"COINCIDE","IDENTIDAD",IF(OR(T105="",C105&lt;&gt;T105),"PERFIL_NO_CONSTITUIDO",IF(K105&lt;&gt;V105,IF(V105="ORDEN_ACREDITADO","ORDEN_NO_ACREDITADO","CONTEXTO_NO_CONSTITUIDO"),IF(AND(G105="AUSENTE",H105="",I105=""),"DATO_AUSENTE",IF(AND(G105="CONFLICTO",H105="",I105=""),"CONFLICTO_OBSERVACIONAL",IF(G105&lt;&gt;"UNICA","OBSERVACION_MAL_FORMADA",IF(F105&lt;&gt;U105,"OBSERVACION_INSUFICIENTE",IF(W105="RESULTADO",IF(H105=X105,AA105,IF(OR(H105="orcSucceededWithErrors",H105="orcFailed",H105="orcAborted"),AB105,IF(OR(H105="orcNotStarted",H105="orcInProgress"),"RESULTADO_NO_TERMINAL","LEXEMA_O_FORMA"))),IF(W105="EVENTO_BOOT",IF(H105=X105,AA105,IF(OR(H105="NINGUNO",H105="SOLO_HIBRIDO"),IF(J105="COMPLETA",AB105,"COBERTURA_INSUFICIENTE"),"LEXEMA_O_FORMA")),IF(W105="REQUISITO_SOFT",IF(H105=X105,AA105,IF(H105=Z105,AB105,"LEXEMA_O_FORMA")),IF(W105="EVENTO_PROC",IF(H105=X105,AA105,IF(H105=Z105,IF(J105="COMPLETA",AB105,"COBERTURA_INSUFICIENTE"),"LEXEMA_O_FORMA")),IF(W105="IMAGEN",IF(AND(AND(ISTEXT(H105),LEN(("x"&amp;H105))=65,EXACT(("x"&amp;H105),LOWER(("x"&amp;H105))),ISERROR(SEARCH(" ",("x"&amp;H105))),ISERROR(SEARCH(CHAR(9),("x"&amp;H105))),ISERROR(SEARCH(CHAR(10),("x"&amp;H105))),ISERROR(SEARCH(CHAR(13),("x"&amp;H105))),IFERROR(HEX2DEC(MID(("x"&amp;H105),2,8))&gt;=0,FALSE),IFERROR(HEX2DEC(MID(("x"&amp;H105),10,8))&gt;=0,FALSE),IFERROR(HEX2DEC(MID(("x"&amp;H105),18,8))&gt;=0,FALSE),IFERROR(HEX2DEC(MID(("x"&amp;H105),26,8))&gt;=0,FALSE),IFERROR(HEX2DEC(MID(("x"&amp;H105),34,8))&gt;=0,FALSE),IFERROR(HEX2DEC(MID(("x"&amp;H105),42,8))&gt;=0,FALSE),IFERROR(HEX2DEC(MID(("x"&amp;H105),50,8))&gt;=0,FALSE),IFERROR(HEX2DEC(MID(("x"&amp;H105),58,8))&gt;=0,FALSE)),AND(ISTEXT(I105),LEN(("x"&amp;I105))=65,EXACT(("x"&amp;I105),LOWER(("x"&amp;I105))),ISERROR(SEARCH(" ",("x"&amp;I105))),ISERROR(SEARCH(CHAR(9),("x"&amp;I105))),ISERROR(SEARCH(CHAR(10),("x"&amp;I105))),ISERROR(SEARCH(CHAR(13),("x"&amp;I105))),IFERROR(HEX2DEC(MID(("x"&amp;I105),2,8))&gt;=0,FALSE),IFERROR(HEX2DEC(MID(("x"&amp;I105),10,8))&gt;=0,FALSE),IFERROR(HEX2DEC(MID(("x"&amp;I105),18,8))&gt;=0,FALSE),IFERROR(HEX2DEC(MID(("x"&amp;I105),26,8))&gt;=0,FALSE),IFERROR(HEX2DEC(MID(("x"&amp;I105),34,8))&gt;=0,FALSE),IFERROR(HEX2DEC(MID(("x"&amp;I105),42,8))&gt;=0,FALSE),IFERROR(HEX2DEC(MID(("x"&amp;I105),50,8))&gt;=0,FALSE),IFERROR(HEX2DEC(MID(("x"&amp;I105),58,8))&gt;=0,FALSE))),IF(EXACT("x"&amp;H105,"x"&amp;I105),AA105,AB105),"LEXEMA_O_FORMA"),IF(W105="PRUEBA",IF(H105=X105,AA105,IF(H105=Z105,AB105,"LEXEMA_O_FORMA")),IF(W105="RETIRADA",IF(AND(H105="NINGUNO",I105=""),IF(J105="COMPLETA",AB105,"COBERTURA_INSUFICIENTE"),IF(AND(OR(H105="uoInstallation",H105="uoUninstallation"),OR(I105="orcSucceeded",I105="orcSucceededWithErrors",I105="orcFailed",I105="orcAborted",I105="orcInProgress",I105="orcNotStarted")),IF(AND(H105=X105,I105=Y105),AA105,IF(AND(H105=X105,OR(I105="orcSucceededWithErrors",I105="orcInProgress",I105="orcNotStarted")),"RESULTADO_RETIRADA_INCIERTO",IF(J105="COMPLETA",AB105,"COBERTURA_INSUFICIENTE"))),"LEXEMA_O_FORMA")),IF(W105="CAMBIO",IF(OR(H105="CAMBIO",H105="CAMBIO_Y_RETORNO"),AA105,IF(OR(H105="NINGUNO",H105="SOLO_RENOMBRE"),IF(J105="COMPLETA",AB105,"COBERTURA_INSUFICIENTE"),"LEXEMA_O_FORMA")),IF(W105="RESTAURACION",IF(H105=X105,AA105,IF(OR(H105="NINGUNO",H105="RESTAURACION_POSTERIOR",H105="RESTAURACION_FALLIDA"),IF(J105="COMPLETA",AB105,"COBERTURA_INSUFICIENTE"),"LEXEMA_O_FORMA")),"PERFIL_NO_CONSTITUIDO"))))))))))))))))))</x:f>
        <x:v>CONFLICTO_OBSERVACIONAL</x:v>
      </x:c>
      <x:c r="R105" s="12" t="str">
        <x:f>IF(AND(L105=O105,M105=P105,N105=Q105),"PASA","NO_PASA")</x:f>
        <x:v>PASA</x:v>
      </x:c>
      <x:c r="S105" s="4" t="str">
        <x:v>Conflicto entre observaciones admitidas del mismo sujeto y corte.</x:v>
      </x:c>
      <x:c r="T105" s="12" t="str">
        <x:f>IFERROR(INDEX('55_Codificacion_ensayo'!$B$5:$B$13,MATCH(B105,'55_Codificacion_ensayo'!$A$5:$A$13,0)),"")</x:f>
        <x:v>HISTORIA-CAMBIO-COMPONENTE-0.1</x:v>
      </x:c>
      <x:c r="U105" s="12" t="str">
        <x:f>IFERROR(INDEX('55_Codificacion_ensayo'!$C$5:$C$13,MATCH(B105,'55_Codificacion_ensayo'!$A$5:$A$13,0)),"")</x:f>
        <x:v>HISTORIA_BINARIA</x:v>
      </x:c>
      <x:c r="V105" s="12" t="str">
        <x:f>IFERROR(INDEX('55_Codificacion_ensayo'!$D$5:$D$13,MATCH(B105,'55_Codificacion_ensayo'!$A$5:$A$13,0)),"")</x:f>
        <x:v>ORDEN_ACREDITADO</x:v>
      </x:c>
      <x:c r="W105" s="12" t="str">
        <x:f>IFERROR(INDEX('55_Codificacion_ensayo'!$E$5:$E$13,MATCH(B105,'55_Codificacion_ensayo'!$A$5:$A$13,0)),"")</x:f>
        <x:v>CAMBIO</x:v>
      </x:c>
      <x:c r="X105" s="12" t="str">
        <x:f>IFERROR(INDEX('55_Codificacion_ensayo'!$F$5:$F$13,MATCH(B105,'55_Codificacion_ensayo'!$A$5:$A$13,0)),"")</x:f>
        <x:v>CAMBIO</x:v>
      </x:c>
      <x:c r="Y105" s="12" t="str">
        <x:f>IFERROR(INDEX('55_Codificacion_ensayo'!$G$5:$G$13,MATCH(B105,'55_Codificacion_ensayo'!$A$5:$A$13,0)),"")</x:f>
      </x:c>
      <x:c r="Z105" s="12" t="str">
        <x:f>IFERROR(INDEX('55_Codificacion_ensayo'!$H$5:$H$13,MATCH(B105,'55_Codificacion_ensayo'!$A$5:$A$13,0)),"")</x:f>
        <x:v>NINGUNO</x:v>
      </x:c>
      <x:c r="AA105" s="12" t="str">
        <x:f>IFERROR(INDEX('55_Codificacion_ensayo'!$I$5:$I$13,MATCH(B105,'55_Codificacion_ensayo'!$A$5:$A$13,0)),"")</x:f>
        <x:v>CAMBIO_POSTERIOR</x:v>
      </x:c>
      <x:c r="AB105" s="12" t="str">
        <x:f>IFERROR(INDEX('55_Codificacion_ensayo'!$J$5:$J$13,MATCH(B105,'55_Codificacion_ensayo'!$A$5:$A$13,0)),"")</x:f>
        <x:v>SIN_CAMBIO_ACREDITADO</x:v>
      </x:c>
    </x:row>
    <x:row r="106" ht="47" customHeight="1">
      <x:c r="A106" s="4" t="str">
        <x:v>L10-09-05</x:v>
      </x:c>
      <x:c r="B106" s="4" t="str">
        <x:v>PAR-CYB-CAMBIO-COMPONENTE-POSTERIOR-001</x:v>
      </x:c>
      <x:c r="C106" s="4" t="str">
        <x:v>HISTORIA-CAMBIO-COMPONENTE-0.1</x:v>
      </x:c>
      <x:c r="D106" s="4" t="str">
        <x:v>COINCIDE</x:v>
      </x:c>
      <x:c r="E106" s="4" t="str">
        <x:v>FALLO</x:v>
      </x:c>
      <x:c r="F106" s="4" t="str">
        <x:v>HISTORIA_BINARIA</x:v>
      </x:c>
      <x:c r="G106" s="4" t="str">
        <x:v>UNICA</x:v>
      </x:c>
      <x:c r="H106" s="4" t="str">
        <x:v>CAMBIO</x:v>
      </x:c>
      <x:c r="I106" s="4" t="str"/>
      <x:c r="J106" s="4" t="str">
        <x:v>COMPLETA</x:v>
      </x:c>
      <x:c r="K106" s="4" t="str">
        <x:v>ORDEN_ACREDITADO</x:v>
      </x:c>
      <x:c r="L106" s="4" t="str">
        <x:v>FALLO_CAPTURA</x:v>
      </x:c>
      <x:c r="M106" s="4" t="str"/>
      <x:c r="N106" s="4" t="str">
        <x:v>SIN_EJECUCION_DOMINIO</x:v>
      </x:c>
      <x:c r="O106" s="12" t="str">
        <x:f>IF(Q106="SIN_EJECUCION_DOMINIO","FALLO_CAPTURA",IF(OR(Q106="CAPTURA_MAL_FORMADA",Q106="IDENTIDAD",Q106="OBSERVACION_MAL_FORMADA",Q106="LEXEMA_O_FORMA"),"NO_ADMISION",IF(OR(Q106="PERFIL_NO_CONSTITUIDO",Q106="RESULTADO_NO_TERMINAL"),"FUERA_PERFIL",IF(Q106="CONTEXTO_NO_CONSTITUIDO","CONFIGURACION_PENDIENTE","VALIDA"))))</x:f>
        <x:v>FALLO_CAPTURA</x:v>
      </x:c>
      <x:c r="P106" s="12" t="str">
        <x:f>IF(O106&lt;&gt;"VALIDA","",IF(Q106=AA106,"1",IF(Q106=AB106,"0","U")))</x:f>
      </x:c>
      <x:c r="Q106" s="12" t="str">
        <x:f>IF(E106="FALLO","SIN_EJECUCION_DOMINIO",IF(E106&lt;&gt;"LEGIBLE","CAPTURA_MAL_FORMADA",IF(D106&lt;&gt;"COINCIDE","IDENTIDAD",IF(OR(T106="",C106&lt;&gt;T106),"PERFIL_NO_CONSTITUIDO",IF(K106&lt;&gt;V106,IF(V106="ORDEN_ACREDITADO","ORDEN_NO_ACREDITADO","CONTEXTO_NO_CONSTITUIDO"),IF(AND(G106="AUSENTE",H106="",I106=""),"DATO_AUSENTE",IF(AND(G106="CONFLICTO",H106="",I106=""),"CONFLICTO_OBSERVACIONAL",IF(G106&lt;&gt;"UNICA","OBSERVACION_MAL_FORMADA",IF(F106&lt;&gt;U106,"OBSERVACION_INSUFICIENTE",IF(W106="RESULTADO",IF(H106=X106,AA106,IF(OR(H106="orcSucceededWithErrors",H106="orcFailed",H106="orcAborted"),AB106,IF(OR(H106="orcNotStarted",H106="orcInProgress"),"RESULTADO_NO_TERMINAL","LEXEMA_O_FORMA"))),IF(W106="EVENTO_BOOT",IF(H106=X106,AA106,IF(OR(H106="NINGUNO",H106="SOLO_HIBRIDO"),IF(J106="COMPLETA",AB106,"COBERTURA_INSUFICIENTE"),"LEXEMA_O_FORMA")),IF(W106="REQUISITO_SOFT",IF(H106=X106,AA106,IF(H106=Z106,AB106,"LEXEMA_O_FORMA")),IF(W106="EVENTO_PROC",IF(H106=X106,AA106,IF(H106=Z106,IF(J106="COMPLETA",AB106,"COBERTURA_INSUFICIENTE"),"LEXEMA_O_FORMA")),IF(W106="IMAGEN",IF(AND(AND(ISTEXT(H106),LEN(("x"&amp;H106))=65,EXACT(("x"&amp;H106),LOWER(("x"&amp;H106))),ISERROR(SEARCH(" ",("x"&amp;H106))),ISERROR(SEARCH(CHAR(9),("x"&amp;H106))),ISERROR(SEARCH(CHAR(10),("x"&amp;H106))),ISERROR(SEARCH(CHAR(13),("x"&amp;H106))),IFERROR(HEX2DEC(MID(("x"&amp;H106),2,8))&gt;=0,FALSE),IFERROR(HEX2DEC(MID(("x"&amp;H106),10,8))&gt;=0,FALSE),IFERROR(HEX2DEC(MID(("x"&amp;H106),18,8))&gt;=0,FALSE),IFERROR(HEX2DEC(MID(("x"&amp;H106),26,8))&gt;=0,FALSE),IFERROR(HEX2DEC(MID(("x"&amp;H106),34,8))&gt;=0,FALSE),IFERROR(HEX2DEC(MID(("x"&amp;H106),42,8))&gt;=0,FALSE),IFERROR(HEX2DEC(MID(("x"&amp;H106),50,8))&gt;=0,FALSE),IFERROR(HEX2DEC(MID(("x"&amp;H106),58,8))&gt;=0,FALSE)),AND(ISTEXT(I106),LEN(("x"&amp;I106))=65,EXACT(("x"&amp;I106),LOWER(("x"&amp;I106))),ISERROR(SEARCH(" ",("x"&amp;I106))),ISERROR(SEARCH(CHAR(9),("x"&amp;I106))),ISERROR(SEARCH(CHAR(10),("x"&amp;I106))),ISERROR(SEARCH(CHAR(13),("x"&amp;I106))),IFERROR(HEX2DEC(MID(("x"&amp;I106),2,8))&gt;=0,FALSE),IFERROR(HEX2DEC(MID(("x"&amp;I106),10,8))&gt;=0,FALSE),IFERROR(HEX2DEC(MID(("x"&amp;I106),18,8))&gt;=0,FALSE),IFERROR(HEX2DEC(MID(("x"&amp;I106),26,8))&gt;=0,FALSE),IFERROR(HEX2DEC(MID(("x"&amp;I106),34,8))&gt;=0,FALSE),IFERROR(HEX2DEC(MID(("x"&amp;I106),42,8))&gt;=0,FALSE),IFERROR(HEX2DEC(MID(("x"&amp;I106),50,8))&gt;=0,FALSE),IFERROR(HEX2DEC(MID(("x"&amp;I106),58,8))&gt;=0,FALSE))),IF(EXACT("x"&amp;H106,"x"&amp;I106),AA106,AB106),"LEXEMA_O_FORMA"),IF(W106="PRUEBA",IF(H106=X106,AA106,IF(H106=Z106,AB106,"LEXEMA_O_FORMA")),IF(W106="RETIRADA",IF(AND(H106="NINGUNO",I106=""),IF(J106="COMPLETA",AB106,"COBERTURA_INSUFICIENTE"),IF(AND(OR(H106="uoInstallation",H106="uoUninstallation"),OR(I106="orcSucceeded",I106="orcSucceededWithErrors",I106="orcFailed",I106="orcAborted",I106="orcInProgress",I106="orcNotStarted")),IF(AND(H106=X106,I106=Y106),AA106,IF(AND(H106=X106,OR(I106="orcSucceededWithErrors",I106="orcInProgress",I106="orcNotStarted")),"RESULTADO_RETIRADA_INCIERTO",IF(J106="COMPLETA",AB106,"COBERTURA_INSUFICIENTE"))),"LEXEMA_O_FORMA")),IF(W106="CAMBIO",IF(OR(H106="CAMBIO",H106="CAMBIO_Y_RETORNO"),AA106,IF(OR(H106="NINGUNO",H106="SOLO_RENOMBRE"),IF(J106="COMPLETA",AB106,"COBERTURA_INSUFICIENTE"),"LEXEMA_O_FORMA")),IF(W106="RESTAURACION",IF(H106=X106,AA106,IF(OR(H106="NINGUNO",H106="RESTAURACION_POSTERIOR",H106="RESTAURACION_FALLIDA"),IF(J106="COMPLETA",AB106,"COBERTURA_INSUFICIENTE"),"LEXEMA_O_FORMA")),"PERFIL_NO_CONSTITUIDO"))))))))))))))))))</x:f>
        <x:v>SIN_EJECUCION_DOMINIO</x:v>
      </x:c>
      <x:c r="R106" s="12" t="str">
        <x:f>IF(AND(L106=O106,M106=P106,N106=Q106),"PASA","NO_PASA")</x:f>
        <x:v>PASA</x:v>
      </x:c>
      <x:c r="S106" s="4" t="str">
        <x:v>El observador falla; no existe ejecución de dominio ni Tri alternativo.</x:v>
      </x:c>
      <x:c r="T106" s="12" t="str">
        <x:f>IFERROR(INDEX('55_Codificacion_ensayo'!$B$5:$B$13,MATCH(B106,'55_Codificacion_ensayo'!$A$5:$A$13,0)),"")</x:f>
        <x:v>HISTORIA-CAMBIO-COMPONENTE-0.1</x:v>
      </x:c>
      <x:c r="U106" s="12" t="str">
        <x:f>IFERROR(INDEX('55_Codificacion_ensayo'!$C$5:$C$13,MATCH(B106,'55_Codificacion_ensayo'!$A$5:$A$13,0)),"")</x:f>
        <x:v>HISTORIA_BINARIA</x:v>
      </x:c>
      <x:c r="V106" s="12" t="str">
        <x:f>IFERROR(INDEX('55_Codificacion_ensayo'!$D$5:$D$13,MATCH(B106,'55_Codificacion_ensayo'!$A$5:$A$13,0)),"")</x:f>
        <x:v>ORDEN_ACREDITADO</x:v>
      </x:c>
      <x:c r="W106" s="12" t="str">
        <x:f>IFERROR(INDEX('55_Codificacion_ensayo'!$E$5:$E$13,MATCH(B106,'55_Codificacion_ensayo'!$A$5:$A$13,0)),"")</x:f>
        <x:v>CAMBIO</x:v>
      </x:c>
      <x:c r="X106" s="12" t="str">
        <x:f>IFERROR(INDEX('55_Codificacion_ensayo'!$F$5:$F$13,MATCH(B106,'55_Codificacion_ensayo'!$A$5:$A$13,0)),"")</x:f>
        <x:v>CAMBIO</x:v>
      </x:c>
      <x:c r="Y106" s="12" t="str">
        <x:f>IFERROR(INDEX('55_Codificacion_ensayo'!$G$5:$G$13,MATCH(B106,'55_Codificacion_ensayo'!$A$5:$A$13,0)),"")</x:f>
      </x:c>
      <x:c r="Z106" s="12" t="str">
        <x:f>IFERROR(INDEX('55_Codificacion_ensayo'!$H$5:$H$13,MATCH(B106,'55_Codificacion_ensayo'!$A$5:$A$13,0)),"")</x:f>
        <x:v>NINGUNO</x:v>
      </x:c>
      <x:c r="AA106" s="12" t="str">
        <x:f>IFERROR(INDEX('55_Codificacion_ensayo'!$I$5:$I$13,MATCH(B106,'55_Codificacion_ensayo'!$A$5:$A$13,0)),"")</x:f>
        <x:v>CAMBIO_POSTERIOR</x:v>
      </x:c>
      <x:c r="AB106" s="12" t="str">
        <x:f>IFERROR(INDEX('55_Codificacion_ensayo'!$J$5:$J$13,MATCH(B106,'55_Codificacion_ensayo'!$A$5:$A$13,0)),"")</x:f>
        <x:v>SIN_CAMBIO_ACREDITADO</x:v>
      </x:c>
    </x:row>
    <x:row r="107" ht="47" customHeight="1">
      <x:c r="A107" s="4" t="str">
        <x:v>L10-09-06</x:v>
      </x:c>
      <x:c r="B107" s="4" t="str">
        <x:v>PAR-CYB-CAMBIO-COMPONENTE-POSTERIOR-001</x:v>
      </x:c>
      <x:c r="C107" s="4" t="str">
        <x:v>HISTORIA-CAMBIO-COMPONENTE-0.1</x:v>
      </x:c>
      <x:c r="D107" s="4" t="str">
        <x:v>OTRO</x:v>
      </x:c>
      <x:c r="E107" s="4" t="str">
        <x:v>LEGIBLE</x:v>
      </x:c>
      <x:c r="F107" s="4" t="str">
        <x:v>HISTORIA_BINARIA</x:v>
      </x:c>
      <x:c r="G107" s="4" t="str">
        <x:v>UNICA</x:v>
      </x:c>
      <x:c r="H107" s="4" t="str">
        <x:v>CAMBIO</x:v>
      </x:c>
      <x:c r="I107" s="4" t="str"/>
      <x:c r="J107" s="4" t="str">
        <x:v>COMPLETA</x:v>
      </x:c>
      <x:c r="K107" s="4" t="str">
        <x:v>ORDEN_ACREDITADO</x:v>
      </x:c>
      <x:c r="L107" s="4" t="str">
        <x:v>NO_ADMISION</x:v>
      </x:c>
      <x:c r="M107" s="4" t="str"/>
      <x:c r="N107" s="4" t="str">
        <x:v>IDENTIDAD</x:v>
      </x:c>
      <x:c r="O107" s="12" t="str">
        <x:f>IF(Q107="SIN_EJECUCION_DOMINIO","FALLO_CAPTURA",IF(OR(Q107="CAPTURA_MAL_FORMADA",Q107="IDENTIDAD",Q107="OBSERVACION_MAL_FORMADA",Q107="LEXEMA_O_FORMA"),"NO_ADMISION",IF(OR(Q107="PERFIL_NO_CONSTITUIDO",Q107="RESULTADO_NO_TERMINAL"),"FUERA_PERFIL",IF(Q107="CONTEXTO_NO_CONSTITUIDO","CONFIGURACION_PENDIENTE","VALIDA"))))</x:f>
        <x:v>NO_ADMISION</x:v>
      </x:c>
      <x:c r="P107" s="12" t="str">
        <x:f>IF(O107&lt;&gt;"VALIDA","",IF(Q107=AA107,"1",IF(Q107=AB107,"0","U")))</x:f>
      </x:c>
      <x:c r="Q107" s="12" t="str">
        <x:f>IF(E107="FALLO","SIN_EJECUCION_DOMINIO",IF(E107&lt;&gt;"LEGIBLE","CAPTURA_MAL_FORMADA",IF(D107&lt;&gt;"COINCIDE","IDENTIDAD",IF(OR(T107="",C107&lt;&gt;T107),"PERFIL_NO_CONSTITUIDO",IF(K107&lt;&gt;V107,IF(V107="ORDEN_ACREDITADO","ORDEN_NO_ACREDITADO","CONTEXTO_NO_CONSTITUIDO"),IF(AND(G107="AUSENTE",H107="",I107=""),"DATO_AUSENTE",IF(AND(G107="CONFLICTO",H107="",I107=""),"CONFLICTO_OBSERVACIONAL",IF(G107&lt;&gt;"UNICA","OBSERVACION_MAL_FORMADA",IF(F107&lt;&gt;U107,"OBSERVACION_INSUFICIENTE",IF(W107="RESULTADO",IF(H107=X107,AA107,IF(OR(H107="orcSucceededWithErrors",H107="orcFailed",H107="orcAborted"),AB107,IF(OR(H107="orcNotStarted",H107="orcInProgress"),"RESULTADO_NO_TERMINAL","LEXEMA_O_FORMA"))),IF(W107="EVENTO_BOOT",IF(H107=X107,AA107,IF(OR(H107="NINGUNO",H107="SOLO_HIBRIDO"),IF(J107="COMPLETA",AB107,"COBERTURA_INSUFICIENTE"),"LEXEMA_O_FORMA")),IF(W107="REQUISITO_SOFT",IF(H107=X107,AA107,IF(H107=Z107,AB107,"LEXEMA_O_FORMA")),IF(W107="EVENTO_PROC",IF(H107=X107,AA107,IF(H107=Z107,IF(J107="COMPLETA",AB107,"COBERTURA_INSUFICIENTE"),"LEXEMA_O_FORMA")),IF(W107="IMAGEN",IF(AND(AND(ISTEXT(H107),LEN(("x"&amp;H107))=65,EXACT(("x"&amp;H107),LOWER(("x"&amp;H107))),ISERROR(SEARCH(" ",("x"&amp;H107))),ISERROR(SEARCH(CHAR(9),("x"&amp;H107))),ISERROR(SEARCH(CHAR(10),("x"&amp;H107))),ISERROR(SEARCH(CHAR(13),("x"&amp;H107))),IFERROR(HEX2DEC(MID(("x"&amp;H107),2,8))&gt;=0,FALSE),IFERROR(HEX2DEC(MID(("x"&amp;H107),10,8))&gt;=0,FALSE),IFERROR(HEX2DEC(MID(("x"&amp;H107),18,8))&gt;=0,FALSE),IFERROR(HEX2DEC(MID(("x"&amp;H107),26,8))&gt;=0,FALSE),IFERROR(HEX2DEC(MID(("x"&amp;H107),34,8))&gt;=0,FALSE),IFERROR(HEX2DEC(MID(("x"&amp;H107),42,8))&gt;=0,FALSE),IFERROR(HEX2DEC(MID(("x"&amp;H107),50,8))&gt;=0,FALSE),IFERROR(HEX2DEC(MID(("x"&amp;H107),58,8))&gt;=0,FALSE)),AND(ISTEXT(I107),LEN(("x"&amp;I107))=65,EXACT(("x"&amp;I107),LOWER(("x"&amp;I107))),ISERROR(SEARCH(" ",("x"&amp;I107))),ISERROR(SEARCH(CHAR(9),("x"&amp;I107))),ISERROR(SEARCH(CHAR(10),("x"&amp;I107))),ISERROR(SEARCH(CHAR(13),("x"&amp;I107))),IFERROR(HEX2DEC(MID(("x"&amp;I107),2,8))&gt;=0,FALSE),IFERROR(HEX2DEC(MID(("x"&amp;I107),10,8))&gt;=0,FALSE),IFERROR(HEX2DEC(MID(("x"&amp;I107),18,8))&gt;=0,FALSE),IFERROR(HEX2DEC(MID(("x"&amp;I107),26,8))&gt;=0,FALSE),IFERROR(HEX2DEC(MID(("x"&amp;I107),34,8))&gt;=0,FALSE),IFERROR(HEX2DEC(MID(("x"&amp;I107),42,8))&gt;=0,FALSE),IFERROR(HEX2DEC(MID(("x"&amp;I107),50,8))&gt;=0,FALSE),IFERROR(HEX2DEC(MID(("x"&amp;I107),58,8))&gt;=0,FALSE))),IF(EXACT("x"&amp;H107,"x"&amp;I107),AA107,AB107),"LEXEMA_O_FORMA"),IF(W107="PRUEBA",IF(H107=X107,AA107,IF(H107=Z107,AB107,"LEXEMA_O_FORMA")),IF(W107="RETIRADA",IF(AND(H107="NINGUNO",I107=""),IF(J107="COMPLETA",AB107,"COBERTURA_INSUFICIENTE"),IF(AND(OR(H107="uoInstallation",H107="uoUninstallation"),OR(I107="orcSucceeded",I107="orcSucceededWithErrors",I107="orcFailed",I107="orcAborted",I107="orcInProgress",I107="orcNotStarted")),IF(AND(H107=X107,I107=Y107),AA107,IF(AND(H107=X107,OR(I107="orcSucceededWithErrors",I107="orcInProgress",I107="orcNotStarted")),"RESULTADO_RETIRADA_INCIERTO",IF(J107="COMPLETA",AB107,"COBERTURA_INSUFICIENTE"))),"LEXEMA_O_FORMA")),IF(W107="CAMBIO",IF(OR(H107="CAMBIO",H107="CAMBIO_Y_RETORNO"),AA107,IF(OR(H107="NINGUNO",H107="SOLO_RENOMBRE"),IF(J107="COMPLETA",AB107,"COBERTURA_INSUFICIENTE"),"LEXEMA_O_FORMA")),IF(W107="RESTAURACION",IF(H107=X107,AA107,IF(OR(H107="NINGUNO",H107="RESTAURACION_POSTERIOR",H107="RESTAURACION_FALLIDA"),IF(J107="COMPLETA",AB107,"COBERTURA_INSUFICIENTE"),"LEXEMA_O_FORMA")),"PERFIL_NO_CONSTITUIDO"))))))))))))))))))</x:f>
        <x:v>IDENTIDAD</x:v>
      </x:c>
      <x:c r="R107" s="12" t="str">
        <x:f>IF(AND(L107=O107,M107=P107,N107=Q107),"PASA","NO_PASA")</x:f>
        <x:v>PASA</x:v>
      </x:c>
      <x:c r="S107" s="4" t="str">
        <x:v>El testigo pertenece a otro sujeto; no se recicla su dato.</x:v>
      </x:c>
      <x:c r="T107" s="12" t="str">
        <x:f>IFERROR(INDEX('55_Codificacion_ensayo'!$B$5:$B$13,MATCH(B107,'55_Codificacion_ensayo'!$A$5:$A$13,0)),"")</x:f>
        <x:v>HISTORIA-CAMBIO-COMPONENTE-0.1</x:v>
      </x:c>
      <x:c r="U107" s="12" t="str">
        <x:f>IFERROR(INDEX('55_Codificacion_ensayo'!$C$5:$C$13,MATCH(B107,'55_Codificacion_ensayo'!$A$5:$A$13,0)),"")</x:f>
        <x:v>HISTORIA_BINARIA</x:v>
      </x:c>
      <x:c r="V107" s="12" t="str">
        <x:f>IFERROR(INDEX('55_Codificacion_ensayo'!$D$5:$D$13,MATCH(B107,'55_Codificacion_ensayo'!$A$5:$A$13,0)),"")</x:f>
        <x:v>ORDEN_ACREDITADO</x:v>
      </x:c>
      <x:c r="W107" s="12" t="str">
        <x:f>IFERROR(INDEX('55_Codificacion_ensayo'!$E$5:$E$13,MATCH(B107,'55_Codificacion_ensayo'!$A$5:$A$13,0)),"")</x:f>
        <x:v>CAMBIO</x:v>
      </x:c>
      <x:c r="X107" s="12" t="str">
        <x:f>IFERROR(INDEX('55_Codificacion_ensayo'!$F$5:$F$13,MATCH(B107,'55_Codificacion_ensayo'!$A$5:$A$13,0)),"")</x:f>
        <x:v>CAMBIO</x:v>
      </x:c>
      <x:c r="Y107" s="12" t="str">
        <x:f>IFERROR(INDEX('55_Codificacion_ensayo'!$G$5:$G$13,MATCH(B107,'55_Codificacion_ensayo'!$A$5:$A$13,0)),"")</x:f>
      </x:c>
      <x:c r="Z107" s="12" t="str">
        <x:f>IFERROR(INDEX('55_Codificacion_ensayo'!$H$5:$H$13,MATCH(B107,'55_Codificacion_ensayo'!$A$5:$A$13,0)),"")</x:f>
        <x:v>NINGUNO</x:v>
      </x:c>
      <x:c r="AA107" s="12" t="str">
        <x:f>IFERROR(INDEX('55_Codificacion_ensayo'!$I$5:$I$13,MATCH(B107,'55_Codificacion_ensayo'!$A$5:$A$13,0)),"")</x:f>
        <x:v>CAMBIO_POSTERIOR</x:v>
      </x:c>
      <x:c r="AB107" s="12" t="str">
        <x:f>IFERROR(INDEX('55_Codificacion_ensayo'!$J$5:$J$13,MATCH(B107,'55_Codificacion_ensayo'!$A$5:$A$13,0)),"")</x:f>
        <x:v>SIN_CAMBIO_ACREDITADO</x:v>
      </x:c>
    </x:row>
    <x:row r="108" ht="47" customHeight="1">
      <x:c r="A108" s="4" t="str">
        <x:v>L10-09-07</x:v>
      </x:c>
      <x:c r="B108" s="4" t="str">
        <x:v>PAR-CYB-CAMBIO-COMPONENTE-POSTERIOR-001</x:v>
      </x:c>
      <x:c r="C108" s="4" t="str">
        <x:v>HISTORIA-CAMBIO-COMPONENTE-0.1</x:v>
      </x:c>
      <x:c r="D108" s="4" t="str">
        <x:v>COINCIDE</x:v>
      </x:c>
      <x:c r="E108" s="4" t="str">
        <x:v>LEGIBLE</x:v>
      </x:c>
      <x:c r="F108" s="4" t="str">
        <x:v>FUENTE_GENERAL</x:v>
      </x:c>
      <x:c r="G108" s="4" t="str">
        <x:v>UNICA</x:v>
      </x:c>
      <x:c r="H108" s="4" t="str">
        <x:v>CAMBIO</x:v>
      </x:c>
      <x:c r="I108" s="4" t="str"/>
      <x:c r="J108" s="4" t="str">
        <x:v>COMPLETA</x:v>
      </x:c>
      <x:c r="K108" s="4" t="str">
        <x:v>ORDEN_ACREDITADO</x:v>
      </x:c>
      <x:c r="L108" s="4" t="str">
        <x:v>VALIDA</x:v>
      </x:c>
      <x:c r="M108" s="4" t="str">
        <x:v>U</x:v>
      </x:c>
      <x:c r="N108" s="4" t="str">
        <x:v>OBSERVACION_INSUFICIENTE</x:v>
      </x:c>
      <x:c r="O108" s="12" t="str">
        <x:f>IF(Q108="SIN_EJECUCION_DOMINIO","FALLO_CAPTURA",IF(OR(Q108="CAPTURA_MAL_FORMADA",Q108="IDENTIDAD",Q108="OBSERVACION_MAL_FORMADA",Q108="LEXEMA_O_FORMA"),"NO_ADMISION",IF(OR(Q108="PERFIL_NO_CONSTITUIDO",Q108="RESULTADO_NO_TERMINAL"),"FUERA_PERFIL",IF(Q108="CONTEXTO_NO_CONSTITUIDO","CONFIGURACION_PENDIENTE","VALIDA"))))</x:f>
        <x:v>VALIDA</x:v>
      </x:c>
      <x:c r="P108" s="12" t="str">
        <x:f>IF(O108&lt;&gt;"VALIDA","",IF(Q108=AA108,"1",IF(Q108=AB108,"0","U")))</x:f>
        <x:v>U</x:v>
      </x:c>
      <x:c r="Q108" s="12" t="str">
        <x:f>IF(E108="FALLO","SIN_EJECUCION_DOMINIO",IF(E108&lt;&gt;"LEGIBLE","CAPTURA_MAL_FORMADA",IF(D108&lt;&gt;"COINCIDE","IDENTIDAD",IF(OR(T108="",C108&lt;&gt;T108),"PERFIL_NO_CONSTITUIDO",IF(K108&lt;&gt;V108,IF(V108="ORDEN_ACREDITADO","ORDEN_NO_ACREDITADO","CONTEXTO_NO_CONSTITUIDO"),IF(AND(G108="AUSENTE",H108="",I108=""),"DATO_AUSENTE",IF(AND(G108="CONFLICTO",H108="",I108=""),"CONFLICTO_OBSERVACIONAL",IF(G108&lt;&gt;"UNICA","OBSERVACION_MAL_FORMADA",IF(F108&lt;&gt;U108,"OBSERVACION_INSUFICIENTE",IF(W108="RESULTADO",IF(H108=X108,AA108,IF(OR(H108="orcSucceededWithErrors",H108="orcFailed",H108="orcAborted"),AB108,IF(OR(H108="orcNotStarted",H108="orcInProgress"),"RESULTADO_NO_TERMINAL","LEXEMA_O_FORMA"))),IF(W108="EVENTO_BOOT",IF(H108=X108,AA108,IF(OR(H108="NINGUNO",H108="SOLO_HIBRIDO"),IF(J108="COMPLETA",AB108,"COBERTURA_INSUFICIENTE"),"LEXEMA_O_FORMA")),IF(W108="REQUISITO_SOFT",IF(H108=X108,AA108,IF(H108=Z108,AB108,"LEXEMA_O_FORMA")),IF(W108="EVENTO_PROC",IF(H108=X108,AA108,IF(H108=Z108,IF(J108="COMPLETA",AB108,"COBERTURA_INSUFICIENTE"),"LEXEMA_O_FORMA")),IF(W108="IMAGEN",IF(AND(AND(ISTEXT(H108),LEN(("x"&amp;H108))=65,EXACT(("x"&amp;H108),LOWER(("x"&amp;H108))),ISERROR(SEARCH(" ",("x"&amp;H108))),ISERROR(SEARCH(CHAR(9),("x"&amp;H108))),ISERROR(SEARCH(CHAR(10),("x"&amp;H108))),ISERROR(SEARCH(CHAR(13),("x"&amp;H108))),IFERROR(HEX2DEC(MID(("x"&amp;H108),2,8))&gt;=0,FALSE),IFERROR(HEX2DEC(MID(("x"&amp;H108),10,8))&gt;=0,FALSE),IFERROR(HEX2DEC(MID(("x"&amp;H108),18,8))&gt;=0,FALSE),IFERROR(HEX2DEC(MID(("x"&amp;H108),26,8))&gt;=0,FALSE),IFERROR(HEX2DEC(MID(("x"&amp;H108),34,8))&gt;=0,FALSE),IFERROR(HEX2DEC(MID(("x"&amp;H108),42,8))&gt;=0,FALSE),IFERROR(HEX2DEC(MID(("x"&amp;H108),50,8))&gt;=0,FALSE),IFERROR(HEX2DEC(MID(("x"&amp;H108),58,8))&gt;=0,FALSE)),AND(ISTEXT(I108),LEN(("x"&amp;I108))=65,EXACT(("x"&amp;I108),LOWER(("x"&amp;I108))),ISERROR(SEARCH(" ",("x"&amp;I108))),ISERROR(SEARCH(CHAR(9),("x"&amp;I108))),ISERROR(SEARCH(CHAR(10),("x"&amp;I108))),ISERROR(SEARCH(CHAR(13),("x"&amp;I108))),IFERROR(HEX2DEC(MID(("x"&amp;I108),2,8))&gt;=0,FALSE),IFERROR(HEX2DEC(MID(("x"&amp;I108),10,8))&gt;=0,FALSE),IFERROR(HEX2DEC(MID(("x"&amp;I108),18,8))&gt;=0,FALSE),IFERROR(HEX2DEC(MID(("x"&amp;I108),26,8))&gt;=0,FALSE),IFERROR(HEX2DEC(MID(("x"&amp;I108),34,8))&gt;=0,FALSE),IFERROR(HEX2DEC(MID(("x"&amp;I108),42,8))&gt;=0,FALSE),IFERROR(HEX2DEC(MID(("x"&amp;I108),50,8))&gt;=0,FALSE),IFERROR(HEX2DEC(MID(("x"&amp;I108),58,8))&gt;=0,FALSE))),IF(EXACT("x"&amp;H108,"x"&amp;I108),AA108,AB108),"LEXEMA_O_FORMA"),IF(W108="PRUEBA",IF(H108=X108,AA108,IF(H108=Z108,AB108,"LEXEMA_O_FORMA")),IF(W108="RETIRADA",IF(AND(H108="NINGUNO",I108=""),IF(J108="COMPLETA",AB108,"COBERTURA_INSUFICIENTE"),IF(AND(OR(H108="uoInstallation",H108="uoUninstallation"),OR(I108="orcSucceeded",I108="orcSucceededWithErrors",I108="orcFailed",I108="orcAborted",I108="orcInProgress",I108="orcNotStarted")),IF(AND(H108=X108,I108=Y108),AA108,IF(AND(H108=X108,OR(I108="orcSucceededWithErrors",I108="orcInProgress",I108="orcNotStarted")),"RESULTADO_RETIRADA_INCIERTO",IF(J108="COMPLETA",AB108,"COBERTURA_INSUFICIENTE"))),"LEXEMA_O_FORMA")),IF(W108="CAMBIO",IF(OR(H108="CAMBIO",H108="CAMBIO_Y_RETORNO"),AA108,IF(OR(H108="NINGUNO",H108="SOLO_RENOMBRE"),IF(J108="COMPLETA",AB108,"COBERTURA_INSUFICIENTE"),"LEXEMA_O_FORMA")),IF(W108="RESTAURACION",IF(H108=X108,AA108,IF(OR(H108="NINGUNO",H108="RESTAURACION_POSTERIOR",H108="RESTAURACION_FALLIDA"),IF(J108="COMPLETA",AB108,"COBERTURA_INSUFICIENTE"),"LEXEMA_O_FORMA")),"PERFIL_NO_CONSTITUIDO"))))))))))))))))))</x:f>
        <x:v>OBSERVACION_INSUFICIENTE</x:v>
      </x:c>
      <x:c r="R108" s="12" t="str">
        <x:f>IF(AND(L108=O108,M108=P108,N108=Q108),"PASA","NO_PASA")</x:f>
        <x:v>PASA</x:v>
      </x:c>
      <x:c r="S108" s="4" t="str">
        <x:v>Una fuente del dominio no sustituye la observación específica del episodio.</x:v>
      </x:c>
      <x:c r="T108" s="12" t="str">
        <x:f>IFERROR(INDEX('55_Codificacion_ensayo'!$B$5:$B$13,MATCH(B108,'55_Codificacion_ensayo'!$A$5:$A$13,0)),"")</x:f>
        <x:v>HISTORIA-CAMBIO-COMPONENTE-0.1</x:v>
      </x:c>
      <x:c r="U108" s="12" t="str">
        <x:f>IFERROR(INDEX('55_Codificacion_ensayo'!$C$5:$C$13,MATCH(B108,'55_Codificacion_ensayo'!$A$5:$A$13,0)),"")</x:f>
        <x:v>HISTORIA_BINARIA</x:v>
      </x:c>
      <x:c r="V108" s="12" t="str">
        <x:f>IFERROR(INDEX('55_Codificacion_ensayo'!$D$5:$D$13,MATCH(B108,'55_Codificacion_ensayo'!$A$5:$A$13,0)),"")</x:f>
        <x:v>ORDEN_ACREDITADO</x:v>
      </x:c>
      <x:c r="W108" s="12" t="str">
        <x:f>IFERROR(INDEX('55_Codificacion_ensayo'!$E$5:$E$13,MATCH(B108,'55_Codificacion_ensayo'!$A$5:$A$13,0)),"")</x:f>
        <x:v>CAMBIO</x:v>
      </x:c>
      <x:c r="X108" s="12" t="str">
        <x:f>IFERROR(INDEX('55_Codificacion_ensayo'!$F$5:$F$13,MATCH(B108,'55_Codificacion_ensayo'!$A$5:$A$13,0)),"")</x:f>
        <x:v>CAMBIO</x:v>
      </x:c>
      <x:c r="Y108" s="12" t="str">
        <x:f>IFERROR(INDEX('55_Codificacion_ensayo'!$G$5:$G$13,MATCH(B108,'55_Codificacion_ensayo'!$A$5:$A$13,0)),"")</x:f>
      </x:c>
      <x:c r="Z108" s="12" t="str">
        <x:f>IFERROR(INDEX('55_Codificacion_ensayo'!$H$5:$H$13,MATCH(B108,'55_Codificacion_ensayo'!$A$5:$A$13,0)),"")</x:f>
        <x:v>NINGUNO</x:v>
      </x:c>
      <x:c r="AA108" s="12" t="str">
        <x:f>IFERROR(INDEX('55_Codificacion_ensayo'!$I$5:$I$13,MATCH(B108,'55_Codificacion_ensayo'!$A$5:$A$13,0)),"")</x:f>
        <x:v>CAMBIO_POSTERIOR</x:v>
      </x:c>
      <x:c r="AB108" s="12" t="str">
        <x:f>IFERROR(INDEX('55_Codificacion_ensayo'!$J$5:$J$13,MATCH(B108,'55_Codificacion_ensayo'!$A$5:$A$13,0)),"")</x:f>
        <x:v>SIN_CAMBIO_ACREDITADO</x:v>
      </x:c>
    </x:row>
    <x:row r="109" ht="47" customHeight="1">
      <x:c r="A109" s="4" t="str">
        <x:v>L10-09-08</x:v>
      </x:c>
      <x:c r="B109" s="4" t="str">
        <x:v>PAR-CYB-CAMBIO-COMPONENTE-POSTERIOR-001</x:v>
      </x:c>
      <x:c r="C109" s="4" t="str">
        <x:v>OTRO_PERFIL</x:v>
      </x:c>
      <x:c r="D109" s="4" t="str">
        <x:v>COINCIDE</x:v>
      </x:c>
      <x:c r="E109" s="4" t="str">
        <x:v>LEGIBLE</x:v>
      </x:c>
      <x:c r="F109" s="4" t="str">
        <x:v>HISTORIA_BINARIA</x:v>
      </x:c>
      <x:c r="G109" s="4" t="str">
        <x:v>UNICA</x:v>
      </x:c>
      <x:c r="H109" s="4" t="str">
        <x:v>CAMBIO</x:v>
      </x:c>
      <x:c r="I109" s="4" t="str"/>
      <x:c r="J109" s="4" t="str">
        <x:v>COMPLETA</x:v>
      </x:c>
      <x:c r="K109" s="4" t="str">
        <x:v>ORDEN_ACREDITADO</x:v>
      </x:c>
      <x:c r="L109" s="4" t="str">
        <x:v>FUERA_PERFIL</x:v>
      </x:c>
      <x:c r="M109" s="4" t="str"/>
      <x:c r="N109" s="4" t="str">
        <x:v>PERFIL_NO_CONSTITUIDO</x:v>
      </x:c>
      <x:c r="O109" s="12" t="str">
        <x:f>IF(Q109="SIN_EJECUCION_DOMINIO","FALLO_CAPTURA",IF(OR(Q109="CAPTURA_MAL_FORMADA",Q109="IDENTIDAD",Q109="OBSERVACION_MAL_FORMADA",Q109="LEXEMA_O_FORMA"),"NO_ADMISION",IF(OR(Q109="PERFIL_NO_CONSTITUIDO",Q109="RESULTADO_NO_TERMINAL"),"FUERA_PERFIL",IF(Q109="CONTEXTO_NO_CONSTITUIDO","CONFIGURACION_PENDIENTE","VALIDA"))))</x:f>
        <x:v>FUERA_PERFIL</x:v>
      </x:c>
      <x:c r="P109" s="12" t="str">
        <x:f>IF(O109&lt;&gt;"VALIDA","",IF(Q109=AA109,"1",IF(Q109=AB109,"0","U")))</x:f>
      </x:c>
      <x:c r="Q109" s="12" t="str">
        <x:f>IF(E109="FALLO","SIN_EJECUCION_DOMINIO",IF(E109&lt;&gt;"LEGIBLE","CAPTURA_MAL_FORMADA",IF(D109&lt;&gt;"COINCIDE","IDENTIDAD",IF(OR(T109="",C109&lt;&gt;T109),"PERFIL_NO_CONSTITUIDO",IF(K109&lt;&gt;V109,IF(V109="ORDEN_ACREDITADO","ORDEN_NO_ACREDITADO","CONTEXTO_NO_CONSTITUIDO"),IF(AND(G109="AUSENTE",H109="",I109=""),"DATO_AUSENTE",IF(AND(G109="CONFLICTO",H109="",I109=""),"CONFLICTO_OBSERVACIONAL",IF(G109&lt;&gt;"UNICA","OBSERVACION_MAL_FORMADA",IF(F109&lt;&gt;U109,"OBSERVACION_INSUFICIENTE",IF(W109="RESULTADO",IF(H109=X109,AA109,IF(OR(H109="orcSucceededWithErrors",H109="orcFailed",H109="orcAborted"),AB109,IF(OR(H109="orcNotStarted",H109="orcInProgress"),"RESULTADO_NO_TERMINAL","LEXEMA_O_FORMA"))),IF(W109="EVENTO_BOOT",IF(H109=X109,AA109,IF(OR(H109="NINGUNO",H109="SOLO_HIBRIDO"),IF(J109="COMPLETA",AB109,"COBERTURA_INSUFICIENTE"),"LEXEMA_O_FORMA")),IF(W109="REQUISITO_SOFT",IF(H109=X109,AA109,IF(H109=Z109,AB109,"LEXEMA_O_FORMA")),IF(W109="EVENTO_PROC",IF(H109=X109,AA109,IF(H109=Z109,IF(J109="COMPLETA",AB109,"COBERTURA_INSUFICIENTE"),"LEXEMA_O_FORMA")),IF(W109="IMAGEN",IF(AND(AND(ISTEXT(H109),LEN(("x"&amp;H109))=65,EXACT(("x"&amp;H109),LOWER(("x"&amp;H109))),ISERROR(SEARCH(" ",("x"&amp;H109))),ISERROR(SEARCH(CHAR(9),("x"&amp;H109))),ISERROR(SEARCH(CHAR(10),("x"&amp;H109))),ISERROR(SEARCH(CHAR(13),("x"&amp;H109))),IFERROR(HEX2DEC(MID(("x"&amp;H109),2,8))&gt;=0,FALSE),IFERROR(HEX2DEC(MID(("x"&amp;H109),10,8))&gt;=0,FALSE),IFERROR(HEX2DEC(MID(("x"&amp;H109),18,8))&gt;=0,FALSE),IFERROR(HEX2DEC(MID(("x"&amp;H109),26,8))&gt;=0,FALSE),IFERROR(HEX2DEC(MID(("x"&amp;H109),34,8))&gt;=0,FALSE),IFERROR(HEX2DEC(MID(("x"&amp;H109),42,8))&gt;=0,FALSE),IFERROR(HEX2DEC(MID(("x"&amp;H109),50,8))&gt;=0,FALSE),IFERROR(HEX2DEC(MID(("x"&amp;H109),58,8))&gt;=0,FALSE)),AND(ISTEXT(I109),LEN(("x"&amp;I109))=65,EXACT(("x"&amp;I109),LOWER(("x"&amp;I109))),ISERROR(SEARCH(" ",("x"&amp;I109))),ISERROR(SEARCH(CHAR(9),("x"&amp;I109))),ISERROR(SEARCH(CHAR(10),("x"&amp;I109))),ISERROR(SEARCH(CHAR(13),("x"&amp;I109))),IFERROR(HEX2DEC(MID(("x"&amp;I109),2,8))&gt;=0,FALSE),IFERROR(HEX2DEC(MID(("x"&amp;I109),10,8))&gt;=0,FALSE),IFERROR(HEX2DEC(MID(("x"&amp;I109),18,8))&gt;=0,FALSE),IFERROR(HEX2DEC(MID(("x"&amp;I109),26,8))&gt;=0,FALSE),IFERROR(HEX2DEC(MID(("x"&amp;I109),34,8))&gt;=0,FALSE),IFERROR(HEX2DEC(MID(("x"&amp;I109),42,8))&gt;=0,FALSE),IFERROR(HEX2DEC(MID(("x"&amp;I109),50,8))&gt;=0,FALSE),IFERROR(HEX2DEC(MID(("x"&amp;I109),58,8))&gt;=0,FALSE))),IF(EXACT("x"&amp;H109,"x"&amp;I109),AA109,AB109),"LEXEMA_O_FORMA"),IF(W109="PRUEBA",IF(H109=X109,AA109,IF(H109=Z109,AB109,"LEXEMA_O_FORMA")),IF(W109="RETIRADA",IF(AND(H109="NINGUNO",I109=""),IF(J109="COMPLETA",AB109,"COBERTURA_INSUFICIENTE"),IF(AND(OR(H109="uoInstallation",H109="uoUninstallation"),OR(I109="orcSucceeded",I109="orcSucceededWithErrors",I109="orcFailed",I109="orcAborted",I109="orcInProgress",I109="orcNotStarted")),IF(AND(H109=X109,I109=Y109),AA109,IF(AND(H109=X109,OR(I109="orcSucceededWithErrors",I109="orcInProgress",I109="orcNotStarted")),"RESULTADO_RETIRADA_INCIERTO",IF(J109="COMPLETA",AB109,"COBERTURA_INSUFICIENTE"))),"LEXEMA_O_FORMA")),IF(W109="CAMBIO",IF(OR(H109="CAMBIO",H109="CAMBIO_Y_RETORNO"),AA109,IF(OR(H109="NINGUNO",H109="SOLO_RENOMBRE"),IF(J109="COMPLETA",AB109,"COBERTURA_INSUFICIENTE"),"LEXEMA_O_FORMA")),IF(W109="RESTAURACION",IF(H109=X109,AA109,IF(OR(H109="NINGUNO",H109="RESTAURACION_POSTERIOR",H109="RESTAURACION_FALLIDA"),IF(J109="COMPLETA",AB109,"COBERTURA_INSUFICIENTE"),"LEXEMA_O_FORMA")),"PERFIL_NO_CONSTITUIDO"))))))))))))))))))</x:f>
        <x:v>PERFIL_NO_CONSTITUIDO</x:v>
      </x:c>
      <x:c r="R109" s="12" t="str">
        <x:f>IF(AND(L109=O109,M109=P109,N109=Q109),"PASA","NO_PASA")</x:f>
        <x:v>PASA</x:v>
      </x:c>
      <x:c r="S109" s="4" t="str">
        <x:v>Perfil de otro producto no se normaliza por analogía.</x:v>
      </x:c>
      <x:c r="T109" s="12" t="str">
        <x:f>IFERROR(INDEX('55_Codificacion_ensayo'!$B$5:$B$13,MATCH(B109,'55_Codificacion_ensayo'!$A$5:$A$13,0)),"")</x:f>
        <x:v>HISTORIA-CAMBIO-COMPONENTE-0.1</x:v>
      </x:c>
      <x:c r="U109" s="12" t="str">
        <x:f>IFERROR(INDEX('55_Codificacion_ensayo'!$C$5:$C$13,MATCH(B109,'55_Codificacion_ensayo'!$A$5:$A$13,0)),"")</x:f>
        <x:v>HISTORIA_BINARIA</x:v>
      </x:c>
      <x:c r="V109" s="12" t="str">
        <x:f>IFERROR(INDEX('55_Codificacion_ensayo'!$D$5:$D$13,MATCH(B109,'55_Codificacion_ensayo'!$A$5:$A$13,0)),"")</x:f>
        <x:v>ORDEN_ACREDITADO</x:v>
      </x:c>
      <x:c r="W109" s="12" t="str">
        <x:f>IFERROR(INDEX('55_Codificacion_ensayo'!$E$5:$E$13,MATCH(B109,'55_Codificacion_ensayo'!$A$5:$A$13,0)),"")</x:f>
        <x:v>CAMBIO</x:v>
      </x:c>
      <x:c r="X109" s="12" t="str">
        <x:f>IFERROR(INDEX('55_Codificacion_ensayo'!$F$5:$F$13,MATCH(B109,'55_Codificacion_ensayo'!$A$5:$A$13,0)),"")</x:f>
        <x:v>CAMBIO</x:v>
      </x:c>
      <x:c r="Y109" s="12" t="str">
        <x:f>IFERROR(INDEX('55_Codificacion_ensayo'!$G$5:$G$13,MATCH(B109,'55_Codificacion_ensayo'!$A$5:$A$13,0)),"")</x:f>
      </x:c>
      <x:c r="Z109" s="12" t="str">
        <x:f>IFERROR(INDEX('55_Codificacion_ensayo'!$H$5:$H$13,MATCH(B109,'55_Codificacion_ensayo'!$A$5:$A$13,0)),"")</x:f>
        <x:v>NINGUNO</x:v>
      </x:c>
      <x:c r="AA109" s="12" t="str">
        <x:f>IFERROR(INDEX('55_Codificacion_ensayo'!$I$5:$I$13,MATCH(B109,'55_Codificacion_ensayo'!$A$5:$A$13,0)),"")</x:f>
        <x:v>CAMBIO_POSTERIOR</x:v>
      </x:c>
      <x:c r="AB109" s="12" t="str">
        <x:f>IFERROR(INDEX('55_Codificacion_ensayo'!$J$5:$J$13,MATCH(B109,'55_Codificacion_ensayo'!$A$5:$A$13,0)),"")</x:f>
        <x:v>SIN_CAMBIO_ACREDITADO</x:v>
      </x:c>
    </x:row>
    <x:row r="110" ht="47" customHeight="1">
      <x:c r="A110" s="4" t="str">
        <x:v>L10-09-09</x:v>
      </x:c>
      <x:c r="B110" s="4" t="str">
        <x:v>PAR-CYB-CAMBIO-COMPONENTE-POSTERIOR-001</x:v>
      </x:c>
      <x:c r="C110" s="4" t="str">
        <x:v>HISTORIA-CAMBIO-COMPONENTE-0.1</x:v>
      </x:c>
      <x:c r="D110" s="4" t="str">
        <x:v>COINCIDE</x:v>
      </x:c>
      <x:c r="E110" s="4" t="str">
        <x:v>LEGIBLE</x:v>
      </x:c>
      <x:c r="F110" s="4" t="str">
        <x:v>HISTORIA_BINARIA</x:v>
      </x:c>
      <x:c r="G110" s="4" t="str">
        <x:v>UNICA</x:v>
      </x:c>
      <x:c r="H110" s="4" t="str">
        <x:v>true false desconocido</x:v>
      </x:c>
      <x:c r="I110" s="4" t="str"/>
      <x:c r="J110" s="4" t="str">
        <x:v>COMPLETA</x:v>
      </x:c>
      <x:c r="K110" s="4" t="str">
        <x:v>ORDEN_ACREDITADO</x:v>
      </x:c>
      <x:c r="L110" s="4" t="str">
        <x:v>NO_ADMISION</x:v>
      </x:c>
      <x:c r="M110" s="4" t="str"/>
      <x:c r="N110" s="4" t="str">
        <x:v>LEXEMA_O_FORMA</x:v>
      </x:c>
      <x:c r="O110" s="12" t="str">
        <x:f>IF(Q110="SIN_EJECUCION_DOMINIO","FALLO_CAPTURA",IF(OR(Q110="CAPTURA_MAL_FORMADA",Q110="IDENTIDAD",Q110="OBSERVACION_MAL_FORMADA",Q110="LEXEMA_O_FORMA"),"NO_ADMISION",IF(OR(Q110="PERFIL_NO_CONSTITUIDO",Q110="RESULTADO_NO_TERMINAL"),"FUERA_PERFIL",IF(Q110="CONTEXTO_NO_CONSTITUIDO","CONFIGURACION_PENDIENTE","VALIDA"))))</x:f>
        <x:v>NO_ADMISION</x:v>
      </x:c>
      <x:c r="P110" s="12" t="str">
        <x:f>IF(O110&lt;&gt;"VALIDA","",IF(Q110=AA110,"1",IF(Q110=AB110,"0","U")))</x:f>
      </x:c>
      <x:c r="Q110" s="12" t="str">
        <x:f>IF(E110="FALLO","SIN_EJECUCION_DOMINIO",IF(E110&lt;&gt;"LEGIBLE","CAPTURA_MAL_FORMADA",IF(D110&lt;&gt;"COINCIDE","IDENTIDAD",IF(OR(T110="",C110&lt;&gt;T110),"PERFIL_NO_CONSTITUIDO",IF(K110&lt;&gt;V110,IF(V110="ORDEN_ACREDITADO","ORDEN_NO_ACREDITADO","CONTEXTO_NO_CONSTITUIDO"),IF(AND(G110="AUSENTE",H110="",I110=""),"DATO_AUSENTE",IF(AND(G110="CONFLICTO",H110="",I110=""),"CONFLICTO_OBSERVACIONAL",IF(G110&lt;&gt;"UNICA","OBSERVACION_MAL_FORMADA",IF(F110&lt;&gt;U110,"OBSERVACION_INSUFICIENTE",IF(W110="RESULTADO",IF(H110=X110,AA110,IF(OR(H110="orcSucceededWithErrors",H110="orcFailed",H110="orcAborted"),AB110,IF(OR(H110="orcNotStarted",H110="orcInProgress"),"RESULTADO_NO_TERMINAL","LEXEMA_O_FORMA"))),IF(W110="EVENTO_BOOT",IF(H110=X110,AA110,IF(OR(H110="NINGUNO",H110="SOLO_HIBRIDO"),IF(J110="COMPLETA",AB110,"COBERTURA_INSUFICIENTE"),"LEXEMA_O_FORMA")),IF(W110="REQUISITO_SOFT",IF(H110=X110,AA110,IF(H110=Z110,AB110,"LEXEMA_O_FORMA")),IF(W110="EVENTO_PROC",IF(H110=X110,AA110,IF(H110=Z110,IF(J110="COMPLETA",AB110,"COBERTURA_INSUFICIENTE"),"LEXEMA_O_FORMA")),IF(W110="IMAGEN",IF(AND(AND(ISTEXT(H110),LEN(("x"&amp;H110))=65,EXACT(("x"&amp;H110),LOWER(("x"&amp;H110))),ISERROR(SEARCH(" ",("x"&amp;H110))),ISERROR(SEARCH(CHAR(9),("x"&amp;H110))),ISERROR(SEARCH(CHAR(10),("x"&amp;H110))),ISERROR(SEARCH(CHAR(13),("x"&amp;H110))),IFERROR(HEX2DEC(MID(("x"&amp;H110),2,8))&gt;=0,FALSE),IFERROR(HEX2DEC(MID(("x"&amp;H110),10,8))&gt;=0,FALSE),IFERROR(HEX2DEC(MID(("x"&amp;H110),18,8))&gt;=0,FALSE),IFERROR(HEX2DEC(MID(("x"&amp;H110),26,8))&gt;=0,FALSE),IFERROR(HEX2DEC(MID(("x"&amp;H110),34,8))&gt;=0,FALSE),IFERROR(HEX2DEC(MID(("x"&amp;H110),42,8))&gt;=0,FALSE),IFERROR(HEX2DEC(MID(("x"&amp;H110),50,8))&gt;=0,FALSE),IFERROR(HEX2DEC(MID(("x"&amp;H110),58,8))&gt;=0,FALSE)),AND(ISTEXT(I110),LEN(("x"&amp;I110))=65,EXACT(("x"&amp;I110),LOWER(("x"&amp;I110))),ISERROR(SEARCH(" ",("x"&amp;I110))),ISERROR(SEARCH(CHAR(9),("x"&amp;I110))),ISERROR(SEARCH(CHAR(10),("x"&amp;I110))),ISERROR(SEARCH(CHAR(13),("x"&amp;I110))),IFERROR(HEX2DEC(MID(("x"&amp;I110),2,8))&gt;=0,FALSE),IFERROR(HEX2DEC(MID(("x"&amp;I110),10,8))&gt;=0,FALSE),IFERROR(HEX2DEC(MID(("x"&amp;I110),18,8))&gt;=0,FALSE),IFERROR(HEX2DEC(MID(("x"&amp;I110),26,8))&gt;=0,FALSE),IFERROR(HEX2DEC(MID(("x"&amp;I110),34,8))&gt;=0,FALSE),IFERROR(HEX2DEC(MID(("x"&amp;I110),42,8))&gt;=0,FALSE),IFERROR(HEX2DEC(MID(("x"&amp;I110),50,8))&gt;=0,FALSE),IFERROR(HEX2DEC(MID(("x"&amp;I110),58,8))&gt;=0,FALSE))),IF(EXACT("x"&amp;H110,"x"&amp;I110),AA110,AB110),"LEXEMA_O_FORMA"),IF(W110="PRUEBA",IF(H110=X110,AA110,IF(H110=Z110,AB110,"LEXEMA_O_FORMA")),IF(W110="RETIRADA",IF(AND(H110="NINGUNO",I110=""),IF(J110="COMPLETA",AB110,"COBERTURA_INSUFICIENTE"),IF(AND(OR(H110="uoInstallation",H110="uoUninstallation"),OR(I110="orcSucceeded",I110="orcSucceededWithErrors",I110="orcFailed",I110="orcAborted",I110="orcInProgress",I110="orcNotStarted")),IF(AND(H110=X110,I110=Y110),AA110,IF(AND(H110=X110,OR(I110="orcSucceededWithErrors",I110="orcInProgress",I110="orcNotStarted")),"RESULTADO_RETIRADA_INCIERTO",IF(J110="COMPLETA",AB110,"COBERTURA_INSUFICIENTE"))),"LEXEMA_O_FORMA")),IF(W110="CAMBIO",IF(OR(H110="CAMBIO",H110="CAMBIO_Y_RETORNO"),AA110,IF(OR(H110="NINGUNO",H110="SOLO_RENOMBRE"),IF(J110="COMPLETA",AB110,"COBERTURA_INSUFICIENTE"),"LEXEMA_O_FORMA")),IF(W110="RESTAURACION",IF(H110=X110,AA110,IF(OR(H110="NINGUNO",H110="RESTAURACION_POSTERIOR",H110="RESTAURACION_FALLIDA"),IF(J110="COMPLETA",AB110,"COBERTURA_INSUFICIENTE"),"LEXEMA_O_FORMA")),"PERFIL_NO_CONSTITUIDO"))))))))))))))))))</x:f>
        <x:v>LEXEMA_O_FORMA</x:v>
      </x:c>
      <x:c r="R110" s="12" t="str">
        <x:f>IF(AND(L110=O110,M110=P110,N110=Q110),"PASA","NO_PASA")</x:f>
        <x:v>PASA</x:v>
      </x:c>
      <x:c r="S110" s="4" t="str">
        <x:v>La observación usa un lexema ajeno al contrato.</x:v>
      </x:c>
      <x:c r="T110" s="12" t="str">
        <x:f>IFERROR(INDEX('55_Codificacion_ensayo'!$B$5:$B$13,MATCH(B110,'55_Codificacion_ensayo'!$A$5:$A$13,0)),"")</x:f>
        <x:v>HISTORIA-CAMBIO-COMPONENTE-0.1</x:v>
      </x:c>
      <x:c r="U110" s="12" t="str">
        <x:f>IFERROR(INDEX('55_Codificacion_ensayo'!$C$5:$C$13,MATCH(B110,'55_Codificacion_ensayo'!$A$5:$A$13,0)),"")</x:f>
        <x:v>HISTORIA_BINARIA</x:v>
      </x:c>
      <x:c r="V110" s="12" t="str">
        <x:f>IFERROR(INDEX('55_Codificacion_ensayo'!$D$5:$D$13,MATCH(B110,'55_Codificacion_ensayo'!$A$5:$A$13,0)),"")</x:f>
        <x:v>ORDEN_ACREDITADO</x:v>
      </x:c>
      <x:c r="W110" s="12" t="str">
        <x:f>IFERROR(INDEX('55_Codificacion_ensayo'!$E$5:$E$13,MATCH(B110,'55_Codificacion_ensayo'!$A$5:$A$13,0)),"")</x:f>
        <x:v>CAMBIO</x:v>
      </x:c>
      <x:c r="X110" s="12" t="str">
        <x:f>IFERROR(INDEX('55_Codificacion_ensayo'!$F$5:$F$13,MATCH(B110,'55_Codificacion_ensayo'!$A$5:$A$13,0)),"")</x:f>
        <x:v>CAMBIO</x:v>
      </x:c>
      <x:c r="Y110" s="12" t="str">
        <x:f>IFERROR(INDEX('55_Codificacion_ensayo'!$G$5:$G$13,MATCH(B110,'55_Codificacion_ensayo'!$A$5:$A$13,0)),"")</x:f>
      </x:c>
      <x:c r="Z110" s="12" t="str">
        <x:f>IFERROR(INDEX('55_Codificacion_ensayo'!$H$5:$H$13,MATCH(B110,'55_Codificacion_ensayo'!$A$5:$A$13,0)),"")</x:f>
        <x:v>NINGUNO</x:v>
      </x:c>
      <x:c r="AA110" s="12" t="str">
        <x:f>IFERROR(INDEX('55_Codificacion_ensayo'!$I$5:$I$13,MATCH(B110,'55_Codificacion_ensayo'!$A$5:$A$13,0)),"")</x:f>
        <x:v>CAMBIO_POSTERIOR</x:v>
      </x:c>
      <x:c r="AB110" s="12" t="str">
        <x:f>IFERROR(INDEX('55_Codificacion_ensayo'!$J$5:$J$13,MATCH(B110,'55_Codificacion_ensayo'!$A$5:$A$13,0)),"")</x:f>
        <x:v>SIN_CAMBIO_ACREDITADO</x:v>
      </x:c>
    </x:row>
    <x:row r="111" ht="47" customHeight="1">
      <x:c r="A111" s="4" t="str">
        <x:v>L10-09-10</x:v>
      </x:c>
      <x:c r="B111" s="4" t="str">
        <x:v>PAR-CYB-CAMBIO-COMPONENTE-POSTERIOR-001</x:v>
      </x:c>
      <x:c r="C111" s="4" t="str">
        <x:v>HISTORIA-CAMBIO-COMPONENTE-0.1</x:v>
      </x:c>
      <x:c r="D111" s="4" t="str">
        <x:v>COINCIDE</x:v>
      </x:c>
      <x:c r="E111" s="4" t="str">
        <x:v>LEGIBLE</x:v>
      </x:c>
      <x:c r="F111" s="4" t="str">
        <x:v>HISTORIA_BINARIA</x:v>
      </x:c>
      <x:c r="G111" s="4" t="str">
        <x:v>UNICA</x:v>
      </x:c>
      <x:c r="H111" s="4" t="str">
        <x:v>NINGUNO</x:v>
      </x:c>
      <x:c r="I111" s="4" t="str"/>
      <x:c r="J111" s="4" t="str">
        <x:v>PARCIAL</x:v>
      </x:c>
      <x:c r="K111" s="4" t="str">
        <x:v>ORDEN_ACREDITADO</x:v>
      </x:c>
      <x:c r="L111" s="4" t="str">
        <x:v>VALIDA</x:v>
      </x:c>
      <x:c r="M111" s="4" t="str">
        <x:v>U</x:v>
      </x:c>
      <x:c r="N111" s="4" t="str">
        <x:v>COBERTURA_INSUFICIENTE</x:v>
      </x:c>
      <x:c r="O111" s="12" t="str">
        <x:f>IF(Q111="SIN_EJECUCION_DOMINIO","FALLO_CAPTURA",IF(OR(Q111="CAPTURA_MAL_FORMADA",Q111="IDENTIDAD",Q111="OBSERVACION_MAL_FORMADA",Q111="LEXEMA_O_FORMA"),"NO_ADMISION",IF(OR(Q111="PERFIL_NO_CONSTITUIDO",Q111="RESULTADO_NO_TERMINAL"),"FUERA_PERFIL",IF(Q111="CONTEXTO_NO_CONSTITUIDO","CONFIGURACION_PENDIENTE","VALIDA"))))</x:f>
        <x:v>VALIDA</x:v>
      </x:c>
      <x:c r="P111" s="12" t="str">
        <x:f>IF(O111&lt;&gt;"VALIDA","",IF(Q111=AA111,"1",IF(Q111=AB111,"0","U")))</x:f>
        <x:v>U</x:v>
      </x:c>
      <x:c r="Q111" s="12" t="str">
        <x:f>IF(E111="FALLO","SIN_EJECUCION_DOMINIO",IF(E111&lt;&gt;"LEGIBLE","CAPTURA_MAL_FORMADA",IF(D111&lt;&gt;"COINCIDE","IDENTIDAD",IF(OR(T111="",C111&lt;&gt;T111),"PERFIL_NO_CONSTITUIDO",IF(K111&lt;&gt;V111,IF(V111="ORDEN_ACREDITADO","ORDEN_NO_ACREDITADO","CONTEXTO_NO_CONSTITUIDO"),IF(AND(G111="AUSENTE",H111="",I111=""),"DATO_AUSENTE",IF(AND(G111="CONFLICTO",H111="",I111=""),"CONFLICTO_OBSERVACIONAL",IF(G111&lt;&gt;"UNICA","OBSERVACION_MAL_FORMADA",IF(F111&lt;&gt;U111,"OBSERVACION_INSUFICIENTE",IF(W111="RESULTADO",IF(H111=X111,AA111,IF(OR(H111="orcSucceededWithErrors",H111="orcFailed",H111="orcAborted"),AB111,IF(OR(H111="orcNotStarted",H111="orcInProgress"),"RESULTADO_NO_TERMINAL","LEXEMA_O_FORMA"))),IF(W111="EVENTO_BOOT",IF(H111=X111,AA111,IF(OR(H111="NINGUNO",H111="SOLO_HIBRIDO"),IF(J111="COMPLETA",AB111,"COBERTURA_INSUFICIENTE"),"LEXEMA_O_FORMA")),IF(W111="REQUISITO_SOFT",IF(H111=X111,AA111,IF(H111=Z111,AB111,"LEXEMA_O_FORMA")),IF(W111="EVENTO_PROC",IF(H111=X111,AA111,IF(H111=Z111,IF(J111="COMPLETA",AB111,"COBERTURA_INSUFICIENTE"),"LEXEMA_O_FORMA")),IF(W111="IMAGEN",IF(AND(AND(ISTEXT(H111),LEN(("x"&amp;H111))=65,EXACT(("x"&amp;H111),LOWER(("x"&amp;H111))),ISERROR(SEARCH(" ",("x"&amp;H111))),ISERROR(SEARCH(CHAR(9),("x"&amp;H111))),ISERROR(SEARCH(CHAR(10),("x"&amp;H111))),ISERROR(SEARCH(CHAR(13),("x"&amp;H111))),IFERROR(HEX2DEC(MID(("x"&amp;H111),2,8))&gt;=0,FALSE),IFERROR(HEX2DEC(MID(("x"&amp;H111),10,8))&gt;=0,FALSE),IFERROR(HEX2DEC(MID(("x"&amp;H111),18,8))&gt;=0,FALSE),IFERROR(HEX2DEC(MID(("x"&amp;H111),26,8))&gt;=0,FALSE),IFERROR(HEX2DEC(MID(("x"&amp;H111),34,8))&gt;=0,FALSE),IFERROR(HEX2DEC(MID(("x"&amp;H111),42,8))&gt;=0,FALSE),IFERROR(HEX2DEC(MID(("x"&amp;H111),50,8))&gt;=0,FALSE),IFERROR(HEX2DEC(MID(("x"&amp;H111),58,8))&gt;=0,FALSE)),AND(ISTEXT(I111),LEN(("x"&amp;I111))=65,EXACT(("x"&amp;I111),LOWER(("x"&amp;I111))),ISERROR(SEARCH(" ",("x"&amp;I111))),ISERROR(SEARCH(CHAR(9),("x"&amp;I111))),ISERROR(SEARCH(CHAR(10),("x"&amp;I111))),ISERROR(SEARCH(CHAR(13),("x"&amp;I111))),IFERROR(HEX2DEC(MID(("x"&amp;I111),2,8))&gt;=0,FALSE),IFERROR(HEX2DEC(MID(("x"&amp;I111),10,8))&gt;=0,FALSE),IFERROR(HEX2DEC(MID(("x"&amp;I111),18,8))&gt;=0,FALSE),IFERROR(HEX2DEC(MID(("x"&amp;I111),26,8))&gt;=0,FALSE),IFERROR(HEX2DEC(MID(("x"&amp;I111),34,8))&gt;=0,FALSE),IFERROR(HEX2DEC(MID(("x"&amp;I111),42,8))&gt;=0,FALSE),IFERROR(HEX2DEC(MID(("x"&amp;I111),50,8))&gt;=0,FALSE),IFERROR(HEX2DEC(MID(("x"&amp;I111),58,8))&gt;=0,FALSE))),IF(EXACT("x"&amp;H111,"x"&amp;I111),AA111,AB111),"LEXEMA_O_FORMA"),IF(W111="PRUEBA",IF(H111=X111,AA111,IF(H111=Z111,AB111,"LEXEMA_O_FORMA")),IF(W111="RETIRADA",IF(AND(H111="NINGUNO",I111=""),IF(J111="COMPLETA",AB111,"COBERTURA_INSUFICIENTE"),IF(AND(OR(H111="uoInstallation",H111="uoUninstallation"),OR(I111="orcSucceeded",I111="orcSucceededWithErrors",I111="orcFailed",I111="orcAborted",I111="orcInProgress",I111="orcNotStarted")),IF(AND(H111=X111,I111=Y111),AA111,IF(AND(H111=X111,OR(I111="orcSucceededWithErrors",I111="orcInProgress",I111="orcNotStarted")),"RESULTADO_RETIRADA_INCIERTO",IF(J111="COMPLETA",AB111,"COBERTURA_INSUFICIENTE"))),"LEXEMA_O_FORMA")),IF(W111="CAMBIO",IF(OR(H111="CAMBIO",H111="CAMBIO_Y_RETORNO"),AA111,IF(OR(H111="NINGUNO",H111="SOLO_RENOMBRE"),IF(J111="COMPLETA",AB111,"COBERTURA_INSUFICIENTE"),"LEXEMA_O_FORMA")),IF(W111="RESTAURACION",IF(H111=X111,AA111,IF(OR(H111="NINGUNO",H111="RESTAURACION_POSTERIOR",H111="RESTAURACION_FALLIDA"),IF(J111="COMPLETA",AB111,"COBERTURA_INSUFICIENTE"),"LEXEMA_O_FORMA")),"PERFIL_NO_CONSTITUIDO"))))))))))))))))))</x:f>
        <x:v>COBERTURA_INSUFICIENTE</x:v>
      </x:c>
      <x:c r="R111" s="12" t="str">
        <x:f>IF(AND(L111=O111,M111=P111,N111=Q111),"PASA","NO_PASA")</x:f>
        <x:v>PASA</x:v>
      </x:c>
      <x:c r="S111" s="4" t="str">
        <x:v>Ningún evento encontrado en cobertura parcial: U, no 0.</x:v>
      </x:c>
      <x:c r="T111" s="12" t="str">
        <x:f>IFERROR(INDEX('55_Codificacion_ensayo'!$B$5:$B$13,MATCH(B111,'55_Codificacion_ensayo'!$A$5:$A$13,0)),"")</x:f>
        <x:v>HISTORIA-CAMBIO-COMPONENTE-0.1</x:v>
      </x:c>
      <x:c r="U111" s="12" t="str">
        <x:f>IFERROR(INDEX('55_Codificacion_ensayo'!$C$5:$C$13,MATCH(B111,'55_Codificacion_ensayo'!$A$5:$A$13,0)),"")</x:f>
        <x:v>HISTORIA_BINARIA</x:v>
      </x:c>
      <x:c r="V111" s="12" t="str">
        <x:f>IFERROR(INDEX('55_Codificacion_ensayo'!$D$5:$D$13,MATCH(B111,'55_Codificacion_ensayo'!$A$5:$A$13,0)),"")</x:f>
        <x:v>ORDEN_ACREDITADO</x:v>
      </x:c>
      <x:c r="W111" s="12" t="str">
        <x:f>IFERROR(INDEX('55_Codificacion_ensayo'!$E$5:$E$13,MATCH(B111,'55_Codificacion_ensayo'!$A$5:$A$13,0)),"")</x:f>
        <x:v>CAMBIO</x:v>
      </x:c>
      <x:c r="X111" s="12" t="str">
        <x:f>IFERROR(INDEX('55_Codificacion_ensayo'!$F$5:$F$13,MATCH(B111,'55_Codificacion_ensayo'!$A$5:$A$13,0)),"")</x:f>
        <x:v>CAMBIO</x:v>
      </x:c>
      <x:c r="Y111" s="12" t="str">
        <x:f>IFERROR(INDEX('55_Codificacion_ensayo'!$G$5:$G$13,MATCH(B111,'55_Codificacion_ensayo'!$A$5:$A$13,0)),"")</x:f>
      </x:c>
      <x:c r="Z111" s="12" t="str">
        <x:f>IFERROR(INDEX('55_Codificacion_ensayo'!$H$5:$H$13,MATCH(B111,'55_Codificacion_ensayo'!$A$5:$A$13,0)),"")</x:f>
        <x:v>NINGUNO</x:v>
      </x:c>
      <x:c r="AA111" s="12" t="str">
        <x:f>IFERROR(INDEX('55_Codificacion_ensayo'!$I$5:$I$13,MATCH(B111,'55_Codificacion_ensayo'!$A$5:$A$13,0)),"")</x:f>
        <x:v>CAMBIO_POSTERIOR</x:v>
      </x:c>
      <x:c r="AB111" s="12" t="str">
        <x:f>IFERROR(INDEX('55_Codificacion_ensayo'!$J$5:$J$13,MATCH(B111,'55_Codificacion_ensayo'!$A$5:$A$13,0)),"")</x:f>
        <x:v>SIN_CAMBIO_ACREDITADO</x:v>
      </x:c>
    </x:row>
    <x:row r="112" ht="47" customHeight="1">
      <x:c r="A112" s="4" t="str">
        <x:v>L10-09-11</x:v>
      </x:c>
      <x:c r="B112" s="4" t="str">
        <x:v>PAR-CYB-CAMBIO-COMPONENTE-POSTERIOR-001</x:v>
      </x:c>
      <x:c r="C112" s="4" t="str">
        <x:v>HISTORIA-CAMBIO-COMPONENTE-0.1</x:v>
      </x:c>
      <x:c r="D112" s="4" t="str">
        <x:v>COINCIDE</x:v>
      </x:c>
      <x:c r="E112" s="4" t="str">
        <x:v>LEGIBLE</x:v>
      </x:c>
      <x:c r="F112" s="4" t="str">
        <x:v>HISTORIA_BINARIA</x:v>
      </x:c>
      <x:c r="G112" s="4" t="str">
        <x:v>UNICA</x:v>
      </x:c>
      <x:c r="H112" s="4" t="str">
        <x:v>CAMBIO</x:v>
      </x:c>
      <x:c r="I112" s="4" t="str"/>
      <x:c r="J112" s="4" t="str">
        <x:v>PARCIAL</x:v>
      </x:c>
      <x:c r="K112" s="4" t="str">
        <x:v>ORDEN_ACREDITADO</x:v>
      </x:c>
      <x:c r="L112" s="4" t="str">
        <x:v>VALIDA</x:v>
      </x:c>
      <x:c r="M112" s="4" t="str">
        <x:v>1</x:v>
      </x:c>
      <x:c r="N112" s="4" t="str">
        <x:v>CAMBIO_POSTERIOR</x:v>
      </x:c>
      <x:c r="O112" s="12" t="str">
        <x:f>IF(Q112="SIN_EJECUCION_DOMINIO","FALLO_CAPTURA",IF(OR(Q112="CAPTURA_MAL_FORMADA",Q112="IDENTIDAD",Q112="OBSERVACION_MAL_FORMADA",Q112="LEXEMA_O_FORMA"),"NO_ADMISION",IF(OR(Q112="PERFIL_NO_CONSTITUIDO",Q112="RESULTADO_NO_TERMINAL"),"FUERA_PERFIL",IF(Q112="CONTEXTO_NO_CONSTITUIDO","CONFIGURACION_PENDIENTE","VALIDA"))))</x:f>
        <x:v>VALIDA</x:v>
      </x:c>
      <x:c r="P112" s="12" t="str">
        <x:f>IF(O112&lt;&gt;"VALIDA","",IF(Q112=AA112,"1",IF(Q112=AB112,"0","U")))</x:f>
        <x:v>1</x:v>
      </x:c>
      <x:c r="Q112" s="12" t="str">
        <x:f>IF(E112="FALLO","SIN_EJECUCION_DOMINIO",IF(E112&lt;&gt;"LEGIBLE","CAPTURA_MAL_FORMADA",IF(D112&lt;&gt;"COINCIDE","IDENTIDAD",IF(OR(T112="",C112&lt;&gt;T112),"PERFIL_NO_CONSTITUIDO",IF(K112&lt;&gt;V112,IF(V112="ORDEN_ACREDITADO","ORDEN_NO_ACREDITADO","CONTEXTO_NO_CONSTITUIDO"),IF(AND(G112="AUSENTE",H112="",I112=""),"DATO_AUSENTE",IF(AND(G112="CONFLICTO",H112="",I112=""),"CONFLICTO_OBSERVACIONAL",IF(G112&lt;&gt;"UNICA","OBSERVACION_MAL_FORMADA",IF(F112&lt;&gt;U112,"OBSERVACION_INSUFICIENTE",IF(W112="RESULTADO",IF(H112=X112,AA112,IF(OR(H112="orcSucceededWithErrors",H112="orcFailed",H112="orcAborted"),AB112,IF(OR(H112="orcNotStarted",H112="orcInProgress"),"RESULTADO_NO_TERMINAL","LEXEMA_O_FORMA"))),IF(W112="EVENTO_BOOT",IF(H112=X112,AA112,IF(OR(H112="NINGUNO",H112="SOLO_HIBRIDO"),IF(J112="COMPLETA",AB112,"COBERTURA_INSUFICIENTE"),"LEXEMA_O_FORMA")),IF(W112="REQUISITO_SOFT",IF(H112=X112,AA112,IF(H112=Z112,AB112,"LEXEMA_O_FORMA")),IF(W112="EVENTO_PROC",IF(H112=X112,AA112,IF(H112=Z112,IF(J112="COMPLETA",AB112,"COBERTURA_INSUFICIENTE"),"LEXEMA_O_FORMA")),IF(W112="IMAGEN",IF(AND(AND(ISTEXT(H112),LEN(("x"&amp;H112))=65,EXACT(("x"&amp;H112),LOWER(("x"&amp;H112))),ISERROR(SEARCH(" ",("x"&amp;H112))),ISERROR(SEARCH(CHAR(9),("x"&amp;H112))),ISERROR(SEARCH(CHAR(10),("x"&amp;H112))),ISERROR(SEARCH(CHAR(13),("x"&amp;H112))),IFERROR(HEX2DEC(MID(("x"&amp;H112),2,8))&gt;=0,FALSE),IFERROR(HEX2DEC(MID(("x"&amp;H112),10,8))&gt;=0,FALSE),IFERROR(HEX2DEC(MID(("x"&amp;H112),18,8))&gt;=0,FALSE),IFERROR(HEX2DEC(MID(("x"&amp;H112),26,8))&gt;=0,FALSE),IFERROR(HEX2DEC(MID(("x"&amp;H112),34,8))&gt;=0,FALSE),IFERROR(HEX2DEC(MID(("x"&amp;H112),42,8))&gt;=0,FALSE),IFERROR(HEX2DEC(MID(("x"&amp;H112),50,8))&gt;=0,FALSE),IFERROR(HEX2DEC(MID(("x"&amp;H112),58,8))&gt;=0,FALSE)),AND(ISTEXT(I112),LEN(("x"&amp;I112))=65,EXACT(("x"&amp;I112),LOWER(("x"&amp;I112))),ISERROR(SEARCH(" ",("x"&amp;I112))),ISERROR(SEARCH(CHAR(9),("x"&amp;I112))),ISERROR(SEARCH(CHAR(10),("x"&amp;I112))),ISERROR(SEARCH(CHAR(13),("x"&amp;I112))),IFERROR(HEX2DEC(MID(("x"&amp;I112),2,8))&gt;=0,FALSE),IFERROR(HEX2DEC(MID(("x"&amp;I112),10,8))&gt;=0,FALSE),IFERROR(HEX2DEC(MID(("x"&amp;I112),18,8))&gt;=0,FALSE),IFERROR(HEX2DEC(MID(("x"&amp;I112),26,8))&gt;=0,FALSE),IFERROR(HEX2DEC(MID(("x"&amp;I112),34,8))&gt;=0,FALSE),IFERROR(HEX2DEC(MID(("x"&amp;I112),42,8))&gt;=0,FALSE),IFERROR(HEX2DEC(MID(("x"&amp;I112),50,8))&gt;=0,FALSE),IFERROR(HEX2DEC(MID(("x"&amp;I112),58,8))&gt;=0,FALSE))),IF(EXACT("x"&amp;H112,"x"&amp;I112),AA112,AB112),"LEXEMA_O_FORMA"),IF(W112="PRUEBA",IF(H112=X112,AA112,IF(H112=Z112,AB112,"LEXEMA_O_FORMA")),IF(W112="RETIRADA",IF(AND(H112="NINGUNO",I112=""),IF(J112="COMPLETA",AB112,"COBERTURA_INSUFICIENTE"),IF(AND(OR(H112="uoInstallation",H112="uoUninstallation"),OR(I112="orcSucceeded",I112="orcSucceededWithErrors",I112="orcFailed",I112="orcAborted",I112="orcInProgress",I112="orcNotStarted")),IF(AND(H112=X112,I112=Y112),AA112,IF(AND(H112=X112,OR(I112="orcSucceededWithErrors",I112="orcInProgress",I112="orcNotStarted")),"RESULTADO_RETIRADA_INCIERTO",IF(J112="COMPLETA",AB112,"COBERTURA_INSUFICIENTE"))),"LEXEMA_O_FORMA")),IF(W112="CAMBIO",IF(OR(H112="CAMBIO",H112="CAMBIO_Y_RETORNO"),AA112,IF(OR(H112="NINGUNO",H112="SOLO_RENOMBRE"),IF(J112="COMPLETA",AB112,"COBERTURA_INSUFICIENTE"),"LEXEMA_O_FORMA")),IF(W112="RESTAURACION",IF(H112=X112,AA112,IF(OR(H112="NINGUNO",H112="RESTAURACION_POSTERIOR",H112="RESTAURACION_FALLIDA"),IF(J112="COMPLETA",AB112,"COBERTURA_INSUFICIENTE"),"LEXEMA_O_FORMA")),"PERFIL_NO_CONSTITUIDO"))))))))))))))))))</x:f>
        <x:v>CAMBIO_POSTERIOR</x:v>
      </x:c>
      <x:c r="R112" s="12" t="str">
        <x:f>IF(AND(L112=O112,M112=P112,N112=Q112),"PASA","NO_PASA")</x:f>
        <x:v>PASA</x:v>
      </x:c>
      <x:c r="S112" s="4" t="str">
        <x:v>Un testigo positivo acredita existencia aunque la historia restante sea parcial.</x:v>
      </x:c>
      <x:c r="T112" s="12" t="str">
        <x:f>IFERROR(INDEX('55_Codificacion_ensayo'!$B$5:$B$13,MATCH(B112,'55_Codificacion_ensayo'!$A$5:$A$13,0)),"")</x:f>
        <x:v>HISTORIA-CAMBIO-COMPONENTE-0.1</x:v>
      </x:c>
      <x:c r="U112" s="12" t="str">
        <x:f>IFERROR(INDEX('55_Codificacion_ensayo'!$C$5:$C$13,MATCH(B112,'55_Codificacion_ensayo'!$A$5:$A$13,0)),"")</x:f>
        <x:v>HISTORIA_BINARIA</x:v>
      </x:c>
      <x:c r="V112" s="12" t="str">
        <x:f>IFERROR(INDEX('55_Codificacion_ensayo'!$D$5:$D$13,MATCH(B112,'55_Codificacion_ensayo'!$A$5:$A$13,0)),"")</x:f>
        <x:v>ORDEN_ACREDITADO</x:v>
      </x:c>
      <x:c r="W112" s="12" t="str">
        <x:f>IFERROR(INDEX('55_Codificacion_ensayo'!$E$5:$E$13,MATCH(B112,'55_Codificacion_ensayo'!$A$5:$A$13,0)),"")</x:f>
        <x:v>CAMBIO</x:v>
      </x:c>
      <x:c r="X112" s="12" t="str">
        <x:f>IFERROR(INDEX('55_Codificacion_ensayo'!$F$5:$F$13,MATCH(B112,'55_Codificacion_ensayo'!$A$5:$A$13,0)),"")</x:f>
        <x:v>CAMBIO</x:v>
      </x:c>
      <x:c r="Y112" s="12" t="str">
        <x:f>IFERROR(INDEX('55_Codificacion_ensayo'!$G$5:$G$13,MATCH(B112,'55_Codificacion_ensayo'!$A$5:$A$13,0)),"")</x:f>
      </x:c>
      <x:c r="Z112" s="12" t="str">
        <x:f>IFERROR(INDEX('55_Codificacion_ensayo'!$H$5:$H$13,MATCH(B112,'55_Codificacion_ensayo'!$A$5:$A$13,0)),"")</x:f>
        <x:v>NINGUNO</x:v>
      </x:c>
      <x:c r="AA112" s="12" t="str">
        <x:f>IFERROR(INDEX('55_Codificacion_ensayo'!$I$5:$I$13,MATCH(B112,'55_Codificacion_ensayo'!$A$5:$A$13,0)),"")</x:f>
        <x:v>CAMBIO_POSTERIOR</x:v>
      </x:c>
      <x:c r="AB112" s="12" t="str">
        <x:f>IFERROR(INDEX('55_Codificacion_ensayo'!$J$5:$J$13,MATCH(B112,'55_Codificacion_ensayo'!$A$5:$A$13,0)),"")</x:f>
        <x:v>SIN_CAMBIO_ACREDITADO</x:v>
      </x:c>
    </x:row>
    <x:row r="113" ht="47" customHeight="1">
      <x:c r="A113" s="4" t="str">
        <x:v>L10-09-12</x:v>
      </x:c>
      <x:c r="B113" s="4" t="str">
        <x:v>PAR-CYB-CAMBIO-COMPONENTE-POSTERIOR-001</x:v>
      </x:c>
      <x:c r="C113" s="4" t="str">
        <x:v>HISTORIA-CAMBIO-COMPONENTE-0.1</x:v>
      </x:c>
      <x:c r="D113" s="4" t="str">
        <x:v>COINCIDE</x:v>
      </x:c>
      <x:c r="E113" s="4" t="str">
        <x:v>LEGIBLE</x:v>
      </x:c>
      <x:c r="F113" s="4" t="str">
        <x:v>HISTORIA_BINARIA</x:v>
      </x:c>
      <x:c r="G113" s="4" t="str">
        <x:v>UNICA</x:v>
      </x:c>
      <x:c r="H113" s="4" t="str">
        <x:v>CAMBIO</x:v>
      </x:c>
      <x:c r="I113" s="4" t="str"/>
      <x:c r="J113" s="4" t="str">
        <x:v>COMPLETA</x:v>
      </x:c>
      <x:c r="K113" s="4" t="str">
        <x:v>ORDEN_INCIERTO</x:v>
      </x:c>
      <x:c r="L113" s="4" t="str">
        <x:v>VALIDA</x:v>
      </x:c>
      <x:c r="M113" s="4" t="str">
        <x:v>U</x:v>
      </x:c>
      <x:c r="N113" s="4" t="str">
        <x:v>ORDEN_NO_ACREDITADO</x:v>
      </x:c>
      <x:c r="O113" s="12" t="str">
        <x:f>IF(Q113="SIN_EJECUCION_DOMINIO","FALLO_CAPTURA",IF(OR(Q113="CAPTURA_MAL_FORMADA",Q113="IDENTIDAD",Q113="OBSERVACION_MAL_FORMADA",Q113="LEXEMA_O_FORMA"),"NO_ADMISION",IF(OR(Q113="PERFIL_NO_CONSTITUIDO",Q113="RESULTADO_NO_TERMINAL"),"FUERA_PERFIL",IF(Q113="CONTEXTO_NO_CONSTITUIDO","CONFIGURACION_PENDIENTE","VALIDA"))))</x:f>
        <x:v>VALIDA</x:v>
      </x:c>
      <x:c r="P113" s="12" t="str">
        <x:f>IF(O113&lt;&gt;"VALIDA","",IF(Q113=AA113,"1",IF(Q113=AB113,"0","U")))</x:f>
        <x:v>U</x:v>
      </x:c>
      <x:c r="Q113" s="12" t="str">
        <x:f>IF(E113="FALLO","SIN_EJECUCION_DOMINIO",IF(E113&lt;&gt;"LEGIBLE","CAPTURA_MAL_FORMADA",IF(D113&lt;&gt;"COINCIDE","IDENTIDAD",IF(OR(T113="",C113&lt;&gt;T113),"PERFIL_NO_CONSTITUIDO",IF(K113&lt;&gt;V113,IF(V113="ORDEN_ACREDITADO","ORDEN_NO_ACREDITADO","CONTEXTO_NO_CONSTITUIDO"),IF(AND(G113="AUSENTE",H113="",I113=""),"DATO_AUSENTE",IF(AND(G113="CONFLICTO",H113="",I113=""),"CONFLICTO_OBSERVACIONAL",IF(G113&lt;&gt;"UNICA","OBSERVACION_MAL_FORMADA",IF(F113&lt;&gt;U113,"OBSERVACION_INSUFICIENTE",IF(W113="RESULTADO",IF(H113=X113,AA113,IF(OR(H113="orcSucceededWithErrors",H113="orcFailed",H113="orcAborted"),AB113,IF(OR(H113="orcNotStarted",H113="orcInProgress"),"RESULTADO_NO_TERMINAL","LEXEMA_O_FORMA"))),IF(W113="EVENTO_BOOT",IF(H113=X113,AA113,IF(OR(H113="NINGUNO",H113="SOLO_HIBRIDO"),IF(J113="COMPLETA",AB113,"COBERTURA_INSUFICIENTE"),"LEXEMA_O_FORMA")),IF(W113="REQUISITO_SOFT",IF(H113=X113,AA113,IF(H113=Z113,AB113,"LEXEMA_O_FORMA")),IF(W113="EVENTO_PROC",IF(H113=X113,AA113,IF(H113=Z113,IF(J113="COMPLETA",AB113,"COBERTURA_INSUFICIENTE"),"LEXEMA_O_FORMA")),IF(W113="IMAGEN",IF(AND(AND(ISTEXT(H113),LEN(("x"&amp;H113))=65,EXACT(("x"&amp;H113),LOWER(("x"&amp;H113))),ISERROR(SEARCH(" ",("x"&amp;H113))),ISERROR(SEARCH(CHAR(9),("x"&amp;H113))),ISERROR(SEARCH(CHAR(10),("x"&amp;H113))),ISERROR(SEARCH(CHAR(13),("x"&amp;H113))),IFERROR(HEX2DEC(MID(("x"&amp;H113),2,8))&gt;=0,FALSE),IFERROR(HEX2DEC(MID(("x"&amp;H113),10,8))&gt;=0,FALSE),IFERROR(HEX2DEC(MID(("x"&amp;H113),18,8))&gt;=0,FALSE),IFERROR(HEX2DEC(MID(("x"&amp;H113),26,8))&gt;=0,FALSE),IFERROR(HEX2DEC(MID(("x"&amp;H113),34,8))&gt;=0,FALSE),IFERROR(HEX2DEC(MID(("x"&amp;H113),42,8))&gt;=0,FALSE),IFERROR(HEX2DEC(MID(("x"&amp;H113),50,8))&gt;=0,FALSE),IFERROR(HEX2DEC(MID(("x"&amp;H113),58,8))&gt;=0,FALSE)),AND(ISTEXT(I113),LEN(("x"&amp;I113))=65,EXACT(("x"&amp;I113),LOWER(("x"&amp;I113))),ISERROR(SEARCH(" ",("x"&amp;I113))),ISERROR(SEARCH(CHAR(9),("x"&amp;I113))),ISERROR(SEARCH(CHAR(10),("x"&amp;I113))),ISERROR(SEARCH(CHAR(13),("x"&amp;I113))),IFERROR(HEX2DEC(MID(("x"&amp;I113),2,8))&gt;=0,FALSE),IFERROR(HEX2DEC(MID(("x"&amp;I113),10,8))&gt;=0,FALSE),IFERROR(HEX2DEC(MID(("x"&amp;I113),18,8))&gt;=0,FALSE),IFERROR(HEX2DEC(MID(("x"&amp;I113),26,8))&gt;=0,FALSE),IFERROR(HEX2DEC(MID(("x"&amp;I113),34,8))&gt;=0,FALSE),IFERROR(HEX2DEC(MID(("x"&amp;I113),42,8))&gt;=0,FALSE),IFERROR(HEX2DEC(MID(("x"&amp;I113),50,8))&gt;=0,FALSE),IFERROR(HEX2DEC(MID(("x"&amp;I113),58,8))&gt;=0,FALSE))),IF(EXACT("x"&amp;H113,"x"&amp;I113),AA113,AB113),"LEXEMA_O_FORMA"),IF(W113="PRUEBA",IF(H113=X113,AA113,IF(H113=Z113,AB113,"LEXEMA_O_FORMA")),IF(W113="RETIRADA",IF(AND(H113="NINGUNO",I113=""),IF(J113="COMPLETA",AB113,"COBERTURA_INSUFICIENTE"),IF(AND(OR(H113="uoInstallation",H113="uoUninstallation"),OR(I113="orcSucceeded",I113="orcSucceededWithErrors",I113="orcFailed",I113="orcAborted",I113="orcInProgress",I113="orcNotStarted")),IF(AND(H113=X113,I113=Y113),AA113,IF(AND(H113=X113,OR(I113="orcSucceededWithErrors",I113="orcInProgress",I113="orcNotStarted")),"RESULTADO_RETIRADA_INCIERTO",IF(J113="COMPLETA",AB113,"COBERTURA_INSUFICIENTE"))),"LEXEMA_O_FORMA")),IF(W113="CAMBIO",IF(OR(H113="CAMBIO",H113="CAMBIO_Y_RETORNO"),AA113,IF(OR(H113="NINGUNO",H113="SOLO_RENOMBRE"),IF(J113="COMPLETA",AB113,"COBERTURA_INSUFICIENTE"),"LEXEMA_O_FORMA")),IF(W113="RESTAURACION",IF(H113=X113,AA113,IF(OR(H113="NINGUNO",H113="RESTAURACION_POSTERIOR",H113="RESTAURACION_FALLIDA"),IF(J113="COMPLETA",AB113,"COBERTURA_INSUFICIENTE"),"LEXEMA_O_FORMA")),"PERFIL_NO_CONSTITUIDO"))))))))))))))))))</x:f>
        <x:v>ORDEN_NO_ACREDITADO</x:v>
      </x:c>
      <x:c r="R113" s="12" t="str">
        <x:f>IF(AND(L113=O113,M113=P113,N113=Q113),"PASA","NO_PASA")</x:f>
        <x:v>PASA</x:v>
      </x:c>
      <x:c r="S113" s="4" t="str">
        <x:v>El orden no está acreditado; la mera fecha no prueba posterioridad.</x:v>
      </x:c>
      <x:c r="T113" s="12" t="str">
        <x:f>IFERROR(INDEX('55_Codificacion_ensayo'!$B$5:$B$13,MATCH(B113,'55_Codificacion_ensayo'!$A$5:$A$13,0)),"")</x:f>
        <x:v>HISTORIA-CAMBIO-COMPONENTE-0.1</x:v>
      </x:c>
      <x:c r="U113" s="12" t="str">
        <x:f>IFERROR(INDEX('55_Codificacion_ensayo'!$C$5:$C$13,MATCH(B113,'55_Codificacion_ensayo'!$A$5:$A$13,0)),"")</x:f>
        <x:v>HISTORIA_BINARIA</x:v>
      </x:c>
      <x:c r="V113" s="12" t="str">
        <x:f>IFERROR(INDEX('55_Codificacion_ensayo'!$D$5:$D$13,MATCH(B113,'55_Codificacion_ensayo'!$A$5:$A$13,0)),"")</x:f>
        <x:v>ORDEN_ACREDITADO</x:v>
      </x:c>
      <x:c r="W113" s="12" t="str">
        <x:f>IFERROR(INDEX('55_Codificacion_ensayo'!$E$5:$E$13,MATCH(B113,'55_Codificacion_ensayo'!$A$5:$A$13,0)),"")</x:f>
        <x:v>CAMBIO</x:v>
      </x:c>
      <x:c r="X113" s="12" t="str">
        <x:f>IFERROR(INDEX('55_Codificacion_ensayo'!$F$5:$F$13,MATCH(B113,'55_Codificacion_ensayo'!$A$5:$A$13,0)),"")</x:f>
        <x:v>CAMBIO</x:v>
      </x:c>
      <x:c r="Y113" s="12" t="str">
        <x:f>IFERROR(INDEX('55_Codificacion_ensayo'!$G$5:$G$13,MATCH(B113,'55_Codificacion_ensayo'!$A$5:$A$13,0)),"")</x:f>
      </x:c>
      <x:c r="Z113" s="12" t="str">
        <x:f>IFERROR(INDEX('55_Codificacion_ensayo'!$H$5:$H$13,MATCH(B113,'55_Codificacion_ensayo'!$A$5:$A$13,0)),"")</x:f>
        <x:v>NINGUNO</x:v>
      </x:c>
      <x:c r="AA113" s="12" t="str">
        <x:f>IFERROR(INDEX('55_Codificacion_ensayo'!$I$5:$I$13,MATCH(B113,'55_Codificacion_ensayo'!$A$5:$A$13,0)),"")</x:f>
        <x:v>CAMBIO_POSTERIOR</x:v>
      </x:c>
      <x:c r="AB113" s="12" t="str">
        <x:f>IFERROR(INDEX('55_Codificacion_ensayo'!$J$5:$J$13,MATCH(B113,'55_Codificacion_ensayo'!$A$5:$A$13,0)),"")</x:f>
        <x:v>SIN_CAMBIO_ACREDITADO</x:v>
      </x:c>
    </x:row>
    <x:row r="114" ht="47" customHeight="1">
      <x:c r="A114" s="4" t="str">
        <x:v>L10-09-13</x:v>
      </x:c>
      <x:c r="B114" s="4" t="str">
        <x:v>PAR-CYB-CAMBIO-COMPONENTE-POSTERIOR-001</x:v>
      </x:c>
      <x:c r="C114" s="4" t="str">
        <x:v>HISTORIA-CAMBIO-COMPONENTE-0.1</x:v>
      </x:c>
      <x:c r="D114" s="4" t="str">
        <x:v>COINCIDE</x:v>
      </x:c>
      <x:c r="E114" s="4" t="str">
        <x:v>LEGIBLE</x:v>
      </x:c>
      <x:c r="F114" s="4" t="str">
        <x:v>HISTORIA_BINARIA</x:v>
      </x:c>
      <x:c r="G114" s="4" t="str">
        <x:v>UNICA</x:v>
      </x:c>
      <x:c r="H114" s="4" t="str">
        <x:v>CAMBIO_Y_RETORNO</x:v>
      </x:c>
      <x:c r="I114" s="4" t="str"/>
      <x:c r="J114" s="4" t="str">
        <x:v>COMPLETA</x:v>
      </x:c>
      <x:c r="K114" s="4" t="str">
        <x:v>ORDEN_ACREDITADO</x:v>
      </x:c>
      <x:c r="L114" s="4" t="str">
        <x:v>VALIDA</x:v>
      </x:c>
      <x:c r="M114" s="4" t="str">
        <x:v>1</x:v>
      </x:c>
      <x:c r="N114" s="4" t="str">
        <x:v>CAMBIO_POSTERIOR</x:v>
      </x:c>
      <x:c r="O114" s="12" t="str">
        <x:f>IF(Q114="SIN_EJECUCION_DOMINIO","FALLO_CAPTURA",IF(OR(Q114="CAPTURA_MAL_FORMADA",Q114="IDENTIDAD",Q114="OBSERVACION_MAL_FORMADA",Q114="LEXEMA_O_FORMA"),"NO_ADMISION",IF(OR(Q114="PERFIL_NO_CONSTITUIDO",Q114="RESULTADO_NO_TERMINAL"),"FUERA_PERFIL",IF(Q114="CONTEXTO_NO_CONSTITUIDO","CONFIGURACION_PENDIENTE","VALIDA"))))</x:f>
        <x:v>VALIDA</x:v>
      </x:c>
      <x:c r="P114" s="12" t="str">
        <x:f>IF(O114&lt;&gt;"VALIDA","",IF(Q114=AA114,"1",IF(Q114=AB114,"0","U")))</x:f>
        <x:v>1</x:v>
      </x:c>
      <x:c r="Q114" s="12" t="str">
        <x:f>IF(E114="FALLO","SIN_EJECUCION_DOMINIO",IF(E114&lt;&gt;"LEGIBLE","CAPTURA_MAL_FORMADA",IF(D114&lt;&gt;"COINCIDE","IDENTIDAD",IF(OR(T114="",C114&lt;&gt;T114),"PERFIL_NO_CONSTITUIDO",IF(K114&lt;&gt;V114,IF(V114="ORDEN_ACREDITADO","ORDEN_NO_ACREDITADO","CONTEXTO_NO_CONSTITUIDO"),IF(AND(G114="AUSENTE",H114="",I114=""),"DATO_AUSENTE",IF(AND(G114="CONFLICTO",H114="",I114=""),"CONFLICTO_OBSERVACIONAL",IF(G114&lt;&gt;"UNICA","OBSERVACION_MAL_FORMADA",IF(F114&lt;&gt;U114,"OBSERVACION_INSUFICIENTE",IF(W114="RESULTADO",IF(H114=X114,AA114,IF(OR(H114="orcSucceededWithErrors",H114="orcFailed",H114="orcAborted"),AB114,IF(OR(H114="orcNotStarted",H114="orcInProgress"),"RESULTADO_NO_TERMINAL","LEXEMA_O_FORMA"))),IF(W114="EVENTO_BOOT",IF(H114=X114,AA114,IF(OR(H114="NINGUNO",H114="SOLO_HIBRIDO"),IF(J114="COMPLETA",AB114,"COBERTURA_INSUFICIENTE"),"LEXEMA_O_FORMA")),IF(W114="REQUISITO_SOFT",IF(H114=X114,AA114,IF(H114=Z114,AB114,"LEXEMA_O_FORMA")),IF(W114="EVENTO_PROC",IF(H114=X114,AA114,IF(H114=Z114,IF(J114="COMPLETA",AB114,"COBERTURA_INSUFICIENTE"),"LEXEMA_O_FORMA")),IF(W114="IMAGEN",IF(AND(AND(ISTEXT(H114),LEN(("x"&amp;H114))=65,EXACT(("x"&amp;H114),LOWER(("x"&amp;H114))),ISERROR(SEARCH(" ",("x"&amp;H114))),ISERROR(SEARCH(CHAR(9),("x"&amp;H114))),ISERROR(SEARCH(CHAR(10),("x"&amp;H114))),ISERROR(SEARCH(CHAR(13),("x"&amp;H114))),IFERROR(HEX2DEC(MID(("x"&amp;H114),2,8))&gt;=0,FALSE),IFERROR(HEX2DEC(MID(("x"&amp;H114),10,8))&gt;=0,FALSE),IFERROR(HEX2DEC(MID(("x"&amp;H114),18,8))&gt;=0,FALSE),IFERROR(HEX2DEC(MID(("x"&amp;H114),26,8))&gt;=0,FALSE),IFERROR(HEX2DEC(MID(("x"&amp;H114),34,8))&gt;=0,FALSE),IFERROR(HEX2DEC(MID(("x"&amp;H114),42,8))&gt;=0,FALSE),IFERROR(HEX2DEC(MID(("x"&amp;H114),50,8))&gt;=0,FALSE),IFERROR(HEX2DEC(MID(("x"&amp;H114),58,8))&gt;=0,FALSE)),AND(ISTEXT(I114),LEN(("x"&amp;I114))=65,EXACT(("x"&amp;I114),LOWER(("x"&amp;I114))),ISERROR(SEARCH(" ",("x"&amp;I114))),ISERROR(SEARCH(CHAR(9),("x"&amp;I114))),ISERROR(SEARCH(CHAR(10),("x"&amp;I114))),ISERROR(SEARCH(CHAR(13),("x"&amp;I114))),IFERROR(HEX2DEC(MID(("x"&amp;I114),2,8))&gt;=0,FALSE),IFERROR(HEX2DEC(MID(("x"&amp;I114),10,8))&gt;=0,FALSE),IFERROR(HEX2DEC(MID(("x"&amp;I114),18,8))&gt;=0,FALSE),IFERROR(HEX2DEC(MID(("x"&amp;I114),26,8))&gt;=0,FALSE),IFERROR(HEX2DEC(MID(("x"&amp;I114),34,8))&gt;=0,FALSE),IFERROR(HEX2DEC(MID(("x"&amp;I114),42,8))&gt;=0,FALSE),IFERROR(HEX2DEC(MID(("x"&amp;I114),50,8))&gt;=0,FALSE),IFERROR(HEX2DEC(MID(("x"&amp;I114),58,8))&gt;=0,FALSE))),IF(EXACT("x"&amp;H114,"x"&amp;I114),AA114,AB114),"LEXEMA_O_FORMA"),IF(W114="PRUEBA",IF(H114=X114,AA114,IF(H114=Z114,AB114,"LEXEMA_O_FORMA")),IF(W114="RETIRADA",IF(AND(H114="NINGUNO",I114=""),IF(J114="COMPLETA",AB114,"COBERTURA_INSUFICIENTE"),IF(AND(OR(H114="uoInstallation",H114="uoUninstallation"),OR(I114="orcSucceeded",I114="orcSucceededWithErrors",I114="orcFailed",I114="orcAborted",I114="orcInProgress",I114="orcNotStarted")),IF(AND(H114=X114,I114=Y114),AA114,IF(AND(H114=X114,OR(I114="orcSucceededWithErrors",I114="orcInProgress",I114="orcNotStarted")),"RESULTADO_RETIRADA_INCIERTO",IF(J114="COMPLETA",AB114,"COBERTURA_INSUFICIENTE"))),"LEXEMA_O_FORMA")),IF(W114="CAMBIO",IF(OR(H114="CAMBIO",H114="CAMBIO_Y_RETORNO"),AA114,IF(OR(H114="NINGUNO",H114="SOLO_RENOMBRE"),IF(J114="COMPLETA",AB114,"COBERTURA_INSUFICIENTE"),"LEXEMA_O_FORMA")),IF(W114="RESTAURACION",IF(H114=X114,AA114,IF(OR(H114="NINGUNO",H114="RESTAURACION_POSTERIOR",H114="RESTAURACION_FALLIDA"),IF(J114="COMPLETA",AB114,"COBERTURA_INSUFICIENTE"),"LEXEMA_O_FORMA")),"PERFIL_NO_CONSTITUIDO"))))))))))))))))))</x:f>
        <x:v>CAMBIO_POSTERIOR</x:v>
      </x:c>
      <x:c r="R114" s="12" t="str">
        <x:f>IF(AND(L114=O114,M114=P114,N114=Q114),"PASA","NO_PASA")</x:f>
        <x:v>PASA</x:v>
      </x:c>
      <x:c r="S114" s="4" t="str">
        <x:v>Cambio seguido de retorno conserva el evento aunque coincidan extremos.</x:v>
      </x:c>
      <x:c r="T114" s="12" t="str">
        <x:f>IFERROR(INDEX('55_Codificacion_ensayo'!$B$5:$B$13,MATCH(B114,'55_Codificacion_ensayo'!$A$5:$A$13,0)),"")</x:f>
        <x:v>HISTORIA-CAMBIO-COMPONENTE-0.1</x:v>
      </x:c>
      <x:c r="U114" s="12" t="str">
        <x:f>IFERROR(INDEX('55_Codificacion_ensayo'!$C$5:$C$13,MATCH(B114,'55_Codificacion_ensayo'!$A$5:$A$13,0)),"")</x:f>
        <x:v>HISTORIA_BINARIA</x:v>
      </x:c>
      <x:c r="V114" s="12" t="str">
        <x:f>IFERROR(INDEX('55_Codificacion_ensayo'!$D$5:$D$13,MATCH(B114,'55_Codificacion_ensayo'!$A$5:$A$13,0)),"")</x:f>
        <x:v>ORDEN_ACREDITADO</x:v>
      </x:c>
      <x:c r="W114" s="12" t="str">
        <x:f>IFERROR(INDEX('55_Codificacion_ensayo'!$E$5:$E$13,MATCH(B114,'55_Codificacion_ensayo'!$A$5:$A$13,0)),"")</x:f>
        <x:v>CAMBIO</x:v>
      </x:c>
      <x:c r="X114" s="12" t="str">
        <x:f>IFERROR(INDEX('55_Codificacion_ensayo'!$F$5:$F$13,MATCH(B114,'55_Codificacion_ensayo'!$A$5:$A$13,0)),"")</x:f>
        <x:v>CAMBIO</x:v>
      </x:c>
      <x:c r="Y114" s="12" t="str">
        <x:f>IFERROR(INDEX('55_Codificacion_ensayo'!$G$5:$G$13,MATCH(B114,'55_Codificacion_ensayo'!$A$5:$A$13,0)),"")</x:f>
      </x:c>
      <x:c r="Z114" s="12" t="str">
        <x:f>IFERROR(INDEX('55_Codificacion_ensayo'!$H$5:$H$13,MATCH(B114,'55_Codificacion_ensayo'!$A$5:$A$13,0)),"")</x:f>
        <x:v>NINGUNO</x:v>
      </x:c>
      <x:c r="AA114" s="12" t="str">
        <x:f>IFERROR(INDEX('55_Codificacion_ensayo'!$I$5:$I$13,MATCH(B114,'55_Codificacion_ensayo'!$A$5:$A$13,0)),"")</x:f>
        <x:v>CAMBIO_POSTERIOR</x:v>
      </x:c>
      <x:c r="AB114" s="12" t="str">
        <x:f>IFERROR(INDEX('55_Codificacion_ensayo'!$J$5:$J$13,MATCH(B114,'55_Codificacion_ensayo'!$A$5:$A$13,0)),"")</x:f>
        <x:v>SIN_CAMBIO_ACREDITADO</x:v>
      </x:c>
    </x:row>
    <x:row r="115" ht="47" customHeight="1">
      <x:c r="A115" s="4" t="str">
        <x:v>L10-09-14</x:v>
      </x:c>
      <x:c r="B115" s="4" t="str">
        <x:v>PAR-CYB-CAMBIO-COMPONENTE-POSTERIOR-001</x:v>
      </x:c>
      <x:c r="C115" s="4" t="str">
        <x:v>HISTORIA-CAMBIO-COMPONENTE-0.1</x:v>
      </x:c>
      <x:c r="D115" s="4" t="str">
        <x:v>COINCIDE</x:v>
      </x:c>
      <x:c r="E115" s="4" t="str">
        <x:v>LEGIBLE</x:v>
      </x:c>
      <x:c r="F115" s="4" t="str">
        <x:v>SOLO_EXTREMOS</x:v>
      </x:c>
      <x:c r="G115" s="4" t="str">
        <x:v>UNICA</x:v>
      </x:c>
      <x:c r="H115" s="4" t="str">
        <x:v>CAMBIO</x:v>
      </x:c>
      <x:c r="I115" s="4" t="str"/>
      <x:c r="J115" s="4" t="str">
        <x:v>COMPLETA</x:v>
      </x:c>
      <x:c r="K115" s="4" t="str">
        <x:v>ORDEN_ACREDITADO</x:v>
      </x:c>
      <x:c r="L115" s="4" t="str">
        <x:v>VALIDA</x:v>
      </x:c>
      <x:c r="M115" s="4" t="str">
        <x:v>U</x:v>
      </x:c>
      <x:c r="N115" s="4" t="str">
        <x:v>OBSERVACION_INSUFICIENTE</x:v>
      </x:c>
      <x:c r="O115" s="12" t="str">
        <x:f>IF(Q115="SIN_EJECUCION_DOMINIO","FALLO_CAPTURA",IF(OR(Q115="CAPTURA_MAL_FORMADA",Q115="IDENTIDAD",Q115="OBSERVACION_MAL_FORMADA",Q115="LEXEMA_O_FORMA"),"NO_ADMISION",IF(OR(Q115="PERFIL_NO_CONSTITUIDO",Q115="RESULTADO_NO_TERMINAL"),"FUERA_PERFIL",IF(Q115="CONTEXTO_NO_CONSTITUIDO","CONFIGURACION_PENDIENTE","VALIDA"))))</x:f>
        <x:v>VALIDA</x:v>
      </x:c>
      <x:c r="P115" s="12" t="str">
        <x:f>IF(O115&lt;&gt;"VALIDA","",IF(Q115=AA115,"1",IF(Q115=AB115,"0","U")))</x:f>
        <x:v>U</x:v>
      </x:c>
      <x:c r="Q115" s="12" t="str">
        <x:f>IF(E115="FALLO","SIN_EJECUCION_DOMINIO",IF(E115&lt;&gt;"LEGIBLE","CAPTURA_MAL_FORMADA",IF(D115&lt;&gt;"COINCIDE","IDENTIDAD",IF(OR(T115="",C115&lt;&gt;T115),"PERFIL_NO_CONSTITUIDO",IF(K115&lt;&gt;V115,IF(V115="ORDEN_ACREDITADO","ORDEN_NO_ACREDITADO","CONTEXTO_NO_CONSTITUIDO"),IF(AND(G115="AUSENTE",H115="",I115=""),"DATO_AUSENTE",IF(AND(G115="CONFLICTO",H115="",I115=""),"CONFLICTO_OBSERVACIONAL",IF(G115&lt;&gt;"UNICA","OBSERVACION_MAL_FORMADA",IF(F115&lt;&gt;U115,"OBSERVACION_INSUFICIENTE",IF(W115="RESULTADO",IF(H115=X115,AA115,IF(OR(H115="orcSucceededWithErrors",H115="orcFailed",H115="orcAborted"),AB115,IF(OR(H115="orcNotStarted",H115="orcInProgress"),"RESULTADO_NO_TERMINAL","LEXEMA_O_FORMA"))),IF(W115="EVENTO_BOOT",IF(H115=X115,AA115,IF(OR(H115="NINGUNO",H115="SOLO_HIBRIDO"),IF(J115="COMPLETA",AB115,"COBERTURA_INSUFICIENTE"),"LEXEMA_O_FORMA")),IF(W115="REQUISITO_SOFT",IF(H115=X115,AA115,IF(H115=Z115,AB115,"LEXEMA_O_FORMA")),IF(W115="EVENTO_PROC",IF(H115=X115,AA115,IF(H115=Z115,IF(J115="COMPLETA",AB115,"COBERTURA_INSUFICIENTE"),"LEXEMA_O_FORMA")),IF(W115="IMAGEN",IF(AND(AND(ISTEXT(H115),LEN(("x"&amp;H115))=65,EXACT(("x"&amp;H115),LOWER(("x"&amp;H115))),ISERROR(SEARCH(" ",("x"&amp;H115))),ISERROR(SEARCH(CHAR(9),("x"&amp;H115))),ISERROR(SEARCH(CHAR(10),("x"&amp;H115))),ISERROR(SEARCH(CHAR(13),("x"&amp;H115))),IFERROR(HEX2DEC(MID(("x"&amp;H115),2,8))&gt;=0,FALSE),IFERROR(HEX2DEC(MID(("x"&amp;H115),10,8))&gt;=0,FALSE),IFERROR(HEX2DEC(MID(("x"&amp;H115),18,8))&gt;=0,FALSE),IFERROR(HEX2DEC(MID(("x"&amp;H115),26,8))&gt;=0,FALSE),IFERROR(HEX2DEC(MID(("x"&amp;H115),34,8))&gt;=0,FALSE),IFERROR(HEX2DEC(MID(("x"&amp;H115),42,8))&gt;=0,FALSE),IFERROR(HEX2DEC(MID(("x"&amp;H115),50,8))&gt;=0,FALSE),IFERROR(HEX2DEC(MID(("x"&amp;H115),58,8))&gt;=0,FALSE)),AND(ISTEXT(I115),LEN(("x"&amp;I115))=65,EXACT(("x"&amp;I115),LOWER(("x"&amp;I115))),ISERROR(SEARCH(" ",("x"&amp;I115))),ISERROR(SEARCH(CHAR(9),("x"&amp;I115))),ISERROR(SEARCH(CHAR(10),("x"&amp;I115))),ISERROR(SEARCH(CHAR(13),("x"&amp;I115))),IFERROR(HEX2DEC(MID(("x"&amp;I115),2,8))&gt;=0,FALSE),IFERROR(HEX2DEC(MID(("x"&amp;I115),10,8))&gt;=0,FALSE),IFERROR(HEX2DEC(MID(("x"&amp;I115),18,8))&gt;=0,FALSE),IFERROR(HEX2DEC(MID(("x"&amp;I115),26,8))&gt;=0,FALSE),IFERROR(HEX2DEC(MID(("x"&amp;I115),34,8))&gt;=0,FALSE),IFERROR(HEX2DEC(MID(("x"&amp;I115),42,8))&gt;=0,FALSE),IFERROR(HEX2DEC(MID(("x"&amp;I115),50,8))&gt;=0,FALSE),IFERROR(HEX2DEC(MID(("x"&amp;I115),58,8))&gt;=0,FALSE))),IF(EXACT("x"&amp;H115,"x"&amp;I115),AA115,AB115),"LEXEMA_O_FORMA"),IF(W115="PRUEBA",IF(H115=X115,AA115,IF(H115=Z115,AB115,"LEXEMA_O_FORMA")),IF(W115="RETIRADA",IF(AND(H115="NINGUNO",I115=""),IF(J115="COMPLETA",AB115,"COBERTURA_INSUFICIENTE"),IF(AND(OR(H115="uoInstallation",H115="uoUninstallation"),OR(I115="orcSucceeded",I115="orcSucceededWithErrors",I115="orcFailed",I115="orcAborted",I115="orcInProgress",I115="orcNotStarted")),IF(AND(H115=X115,I115=Y115),AA115,IF(AND(H115=X115,OR(I115="orcSucceededWithErrors",I115="orcInProgress",I115="orcNotStarted")),"RESULTADO_RETIRADA_INCIERTO",IF(J115="COMPLETA",AB115,"COBERTURA_INSUFICIENTE"))),"LEXEMA_O_FORMA")),IF(W115="CAMBIO",IF(OR(H115="CAMBIO",H115="CAMBIO_Y_RETORNO"),AA115,IF(OR(H115="NINGUNO",H115="SOLO_RENOMBRE"),IF(J115="COMPLETA",AB115,"COBERTURA_INSUFICIENTE"),"LEXEMA_O_FORMA")),IF(W115="RESTAURACION",IF(H115=X115,AA115,IF(OR(H115="NINGUNO",H115="RESTAURACION_POSTERIOR",H115="RESTAURACION_FALLIDA"),IF(J115="COMPLETA",AB115,"COBERTURA_INSUFICIENTE"),"LEXEMA_O_FORMA")),"PERFIL_NO_CONSTITUIDO"))))))))))))))))))</x:f>
        <x:v>OBSERVACION_INSUFICIENTE</x:v>
      </x:c>
      <x:c r="R115" s="12" t="str">
        <x:f>IF(AND(L115=O115,M115=P115,N115=Q115),"PASA","NO_PASA")</x:f>
        <x:v>PASA</x:v>
      </x:c>
      <x:c r="S115" s="4" t="str">
        <x:v>Igualdad de estados extremos sin historia no prueba ausencia de cambios.</x:v>
      </x:c>
      <x:c r="T115" s="12" t="str">
        <x:f>IFERROR(INDEX('55_Codificacion_ensayo'!$B$5:$B$13,MATCH(B115,'55_Codificacion_ensayo'!$A$5:$A$13,0)),"")</x:f>
        <x:v>HISTORIA-CAMBIO-COMPONENTE-0.1</x:v>
      </x:c>
      <x:c r="U115" s="12" t="str">
        <x:f>IFERROR(INDEX('55_Codificacion_ensayo'!$C$5:$C$13,MATCH(B115,'55_Codificacion_ensayo'!$A$5:$A$13,0)),"")</x:f>
        <x:v>HISTORIA_BINARIA</x:v>
      </x:c>
      <x:c r="V115" s="12" t="str">
        <x:f>IFERROR(INDEX('55_Codificacion_ensayo'!$D$5:$D$13,MATCH(B115,'55_Codificacion_ensayo'!$A$5:$A$13,0)),"")</x:f>
        <x:v>ORDEN_ACREDITADO</x:v>
      </x:c>
      <x:c r="W115" s="12" t="str">
        <x:f>IFERROR(INDEX('55_Codificacion_ensayo'!$E$5:$E$13,MATCH(B115,'55_Codificacion_ensayo'!$A$5:$A$13,0)),"")</x:f>
        <x:v>CAMBIO</x:v>
      </x:c>
      <x:c r="X115" s="12" t="str">
        <x:f>IFERROR(INDEX('55_Codificacion_ensayo'!$F$5:$F$13,MATCH(B115,'55_Codificacion_ensayo'!$A$5:$A$13,0)),"")</x:f>
        <x:v>CAMBIO</x:v>
      </x:c>
      <x:c r="Y115" s="12" t="str">
        <x:f>IFERROR(INDEX('55_Codificacion_ensayo'!$G$5:$G$13,MATCH(B115,'55_Codificacion_ensayo'!$A$5:$A$13,0)),"")</x:f>
      </x:c>
      <x:c r="Z115" s="12" t="str">
        <x:f>IFERROR(INDEX('55_Codificacion_ensayo'!$H$5:$H$13,MATCH(B115,'55_Codificacion_ensayo'!$A$5:$A$13,0)),"")</x:f>
        <x:v>NINGUNO</x:v>
      </x:c>
      <x:c r="AA115" s="12" t="str">
        <x:f>IFERROR(INDEX('55_Codificacion_ensayo'!$I$5:$I$13,MATCH(B115,'55_Codificacion_ensayo'!$A$5:$A$13,0)),"")</x:f>
        <x:v>CAMBIO_POSTERIOR</x:v>
      </x:c>
      <x:c r="AB115" s="12" t="str">
        <x:f>IFERROR(INDEX('55_Codificacion_ensayo'!$J$5:$J$13,MATCH(B115,'55_Codificacion_ensayo'!$A$5:$A$13,0)),"")</x:f>
        <x:v>SIN_CAMBIO_ACREDITADO</x:v>
      </x:c>
    </x:row>
    <x:row r="116" ht="47" customHeight="1">
      <x:c r="A116" s="4" t="str">
        <x:v>L10-09-15</x:v>
      </x:c>
      <x:c r="B116" s="4" t="str">
        <x:v>PAR-CYB-CAMBIO-COMPONENTE-POSTERIOR-001</x:v>
      </x:c>
      <x:c r="C116" s="4" t="str">
        <x:v>HISTORIA-CAMBIO-COMPONENTE-0.1</x:v>
      </x:c>
      <x:c r="D116" s="4" t="str">
        <x:v>COINCIDE</x:v>
      </x:c>
      <x:c r="E116" s="4" t="str">
        <x:v>LEGIBLE</x:v>
      </x:c>
      <x:c r="F116" s="4" t="str">
        <x:v>HISTORIA_BINARIA</x:v>
      </x:c>
      <x:c r="G116" s="4" t="str">
        <x:v>UNICA</x:v>
      </x:c>
      <x:c r="H116" s="4" t="str">
        <x:v>SOLO_RENOMBRE</x:v>
      </x:c>
      <x:c r="I116" s="4" t="str"/>
      <x:c r="J116" s="4" t="str">
        <x:v>COMPLETA</x:v>
      </x:c>
      <x:c r="K116" s="4" t="str">
        <x:v>ORDEN_ACREDITADO</x:v>
      </x:c>
      <x:c r="L116" s="4" t="str">
        <x:v>VALIDA</x:v>
      </x:c>
      <x:c r="M116" s="4" t="str">
        <x:v>0</x:v>
      </x:c>
      <x:c r="N116" s="4" t="str">
        <x:v>SIN_CAMBIO_ACREDITADO</x:v>
      </x:c>
      <x:c r="O116" s="12" t="str">
        <x:f>IF(Q116="SIN_EJECUCION_DOMINIO","FALLO_CAPTURA",IF(OR(Q116="CAPTURA_MAL_FORMADA",Q116="IDENTIDAD",Q116="OBSERVACION_MAL_FORMADA",Q116="LEXEMA_O_FORMA"),"NO_ADMISION",IF(OR(Q116="PERFIL_NO_CONSTITUIDO",Q116="RESULTADO_NO_TERMINAL"),"FUERA_PERFIL",IF(Q116="CONTEXTO_NO_CONSTITUIDO","CONFIGURACION_PENDIENTE","VALIDA"))))</x:f>
        <x:v>VALIDA</x:v>
      </x:c>
      <x:c r="P116" s="12" t="str">
        <x:f>IF(O116&lt;&gt;"VALIDA","",IF(Q116=AA116,"1",IF(Q116=AB116,"0","U")))</x:f>
        <x:v>0</x:v>
      </x:c>
      <x:c r="Q116" s="12" t="str">
        <x:f>IF(E116="FALLO","SIN_EJECUCION_DOMINIO",IF(E116&lt;&gt;"LEGIBLE","CAPTURA_MAL_FORMADA",IF(D116&lt;&gt;"COINCIDE","IDENTIDAD",IF(OR(T116="",C116&lt;&gt;T116),"PERFIL_NO_CONSTITUIDO",IF(K116&lt;&gt;V116,IF(V116="ORDEN_ACREDITADO","ORDEN_NO_ACREDITADO","CONTEXTO_NO_CONSTITUIDO"),IF(AND(G116="AUSENTE",H116="",I116=""),"DATO_AUSENTE",IF(AND(G116="CONFLICTO",H116="",I116=""),"CONFLICTO_OBSERVACIONAL",IF(G116&lt;&gt;"UNICA","OBSERVACION_MAL_FORMADA",IF(F116&lt;&gt;U116,"OBSERVACION_INSUFICIENTE",IF(W116="RESULTADO",IF(H116=X116,AA116,IF(OR(H116="orcSucceededWithErrors",H116="orcFailed",H116="orcAborted"),AB116,IF(OR(H116="orcNotStarted",H116="orcInProgress"),"RESULTADO_NO_TERMINAL","LEXEMA_O_FORMA"))),IF(W116="EVENTO_BOOT",IF(H116=X116,AA116,IF(OR(H116="NINGUNO",H116="SOLO_HIBRIDO"),IF(J116="COMPLETA",AB116,"COBERTURA_INSUFICIENTE"),"LEXEMA_O_FORMA")),IF(W116="REQUISITO_SOFT",IF(H116=X116,AA116,IF(H116=Z116,AB116,"LEXEMA_O_FORMA")),IF(W116="EVENTO_PROC",IF(H116=X116,AA116,IF(H116=Z116,IF(J116="COMPLETA",AB116,"COBERTURA_INSUFICIENTE"),"LEXEMA_O_FORMA")),IF(W116="IMAGEN",IF(AND(AND(ISTEXT(H116),LEN(("x"&amp;H116))=65,EXACT(("x"&amp;H116),LOWER(("x"&amp;H116))),ISERROR(SEARCH(" ",("x"&amp;H116))),ISERROR(SEARCH(CHAR(9),("x"&amp;H116))),ISERROR(SEARCH(CHAR(10),("x"&amp;H116))),ISERROR(SEARCH(CHAR(13),("x"&amp;H116))),IFERROR(HEX2DEC(MID(("x"&amp;H116),2,8))&gt;=0,FALSE),IFERROR(HEX2DEC(MID(("x"&amp;H116),10,8))&gt;=0,FALSE),IFERROR(HEX2DEC(MID(("x"&amp;H116),18,8))&gt;=0,FALSE),IFERROR(HEX2DEC(MID(("x"&amp;H116),26,8))&gt;=0,FALSE),IFERROR(HEX2DEC(MID(("x"&amp;H116),34,8))&gt;=0,FALSE),IFERROR(HEX2DEC(MID(("x"&amp;H116),42,8))&gt;=0,FALSE),IFERROR(HEX2DEC(MID(("x"&amp;H116),50,8))&gt;=0,FALSE),IFERROR(HEX2DEC(MID(("x"&amp;H116),58,8))&gt;=0,FALSE)),AND(ISTEXT(I116),LEN(("x"&amp;I116))=65,EXACT(("x"&amp;I116),LOWER(("x"&amp;I116))),ISERROR(SEARCH(" ",("x"&amp;I116))),ISERROR(SEARCH(CHAR(9),("x"&amp;I116))),ISERROR(SEARCH(CHAR(10),("x"&amp;I116))),ISERROR(SEARCH(CHAR(13),("x"&amp;I116))),IFERROR(HEX2DEC(MID(("x"&amp;I116),2,8))&gt;=0,FALSE),IFERROR(HEX2DEC(MID(("x"&amp;I116),10,8))&gt;=0,FALSE),IFERROR(HEX2DEC(MID(("x"&amp;I116),18,8))&gt;=0,FALSE),IFERROR(HEX2DEC(MID(("x"&amp;I116),26,8))&gt;=0,FALSE),IFERROR(HEX2DEC(MID(("x"&amp;I116),34,8))&gt;=0,FALSE),IFERROR(HEX2DEC(MID(("x"&amp;I116),42,8))&gt;=0,FALSE),IFERROR(HEX2DEC(MID(("x"&amp;I116),50,8))&gt;=0,FALSE),IFERROR(HEX2DEC(MID(("x"&amp;I116),58,8))&gt;=0,FALSE))),IF(EXACT("x"&amp;H116,"x"&amp;I116),AA116,AB116),"LEXEMA_O_FORMA"),IF(W116="PRUEBA",IF(H116=X116,AA116,IF(H116=Z116,AB116,"LEXEMA_O_FORMA")),IF(W116="RETIRADA",IF(AND(H116="NINGUNO",I116=""),IF(J116="COMPLETA",AB116,"COBERTURA_INSUFICIENTE"),IF(AND(OR(H116="uoInstallation",H116="uoUninstallation"),OR(I116="orcSucceeded",I116="orcSucceededWithErrors",I116="orcFailed",I116="orcAborted",I116="orcInProgress",I116="orcNotStarted")),IF(AND(H116=X116,I116=Y116),AA116,IF(AND(H116=X116,OR(I116="orcSucceededWithErrors",I116="orcInProgress",I116="orcNotStarted")),"RESULTADO_RETIRADA_INCIERTO",IF(J116="COMPLETA",AB116,"COBERTURA_INSUFICIENTE"))),"LEXEMA_O_FORMA")),IF(W116="CAMBIO",IF(OR(H116="CAMBIO",H116="CAMBIO_Y_RETORNO"),AA116,IF(OR(H116="NINGUNO",H116="SOLO_RENOMBRE"),IF(J116="COMPLETA",AB116,"COBERTURA_INSUFICIENTE"),"LEXEMA_O_FORMA")),IF(W116="RESTAURACION",IF(H116=X116,AA116,IF(OR(H116="NINGUNO",H116="RESTAURACION_POSTERIOR",H116="RESTAURACION_FALLIDA"),IF(J116="COMPLETA",AB116,"COBERTURA_INSUFICIENTE"),"LEXEMA_O_FORMA")),"PERFIL_NO_CONSTITUIDO"))))))))))))))))))</x:f>
        <x:v>SIN_CAMBIO_ACREDITADO</x:v>
      </x:c>
      <x:c r="R116" s="12" t="str">
        <x:f>IF(AND(L116=O116,M116=P116,N116=Q116),"PASA","NO_PASA")</x:f>
        <x:v>PASA</x:v>
      </x:c>
      <x:c r="S116" s="4" t="str">
        <x:v>Renombrado de catálogo sin cambio binario no pertenece al predicado.</x:v>
      </x:c>
      <x:c r="T116" s="12" t="str">
        <x:f>IFERROR(INDEX('55_Codificacion_ensayo'!$B$5:$B$13,MATCH(B116,'55_Codificacion_ensayo'!$A$5:$A$13,0)),"")</x:f>
        <x:v>HISTORIA-CAMBIO-COMPONENTE-0.1</x:v>
      </x:c>
      <x:c r="U116" s="12" t="str">
        <x:f>IFERROR(INDEX('55_Codificacion_ensayo'!$C$5:$C$13,MATCH(B116,'55_Codificacion_ensayo'!$A$5:$A$13,0)),"")</x:f>
        <x:v>HISTORIA_BINARIA</x:v>
      </x:c>
      <x:c r="V116" s="12" t="str">
        <x:f>IFERROR(INDEX('55_Codificacion_ensayo'!$D$5:$D$13,MATCH(B116,'55_Codificacion_ensayo'!$A$5:$A$13,0)),"")</x:f>
        <x:v>ORDEN_ACREDITADO</x:v>
      </x:c>
      <x:c r="W116" s="12" t="str">
        <x:f>IFERROR(INDEX('55_Codificacion_ensayo'!$E$5:$E$13,MATCH(B116,'55_Codificacion_ensayo'!$A$5:$A$13,0)),"")</x:f>
        <x:v>CAMBIO</x:v>
      </x:c>
      <x:c r="X116" s="12" t="str">
        <x:f>IFERROR(INDEX('55_Codificacion_ensayo'!$F$5:$F$13,MATCH(B116,'55_Codificacion_ensayo'!$A$5:$A$13,0)),"")</x:f>
        <x:v>CAMBIO</x:v>
      </x:c>
      <x:c r="Y116" s="12" t="str">
        <x:f>IFERROR(INDEX('55_Codificacion_ensayo'!$G$5:$G$13,MATCH(B116,'55_Codificacion_ensayo'!$A$5:$A$13,0)),"")</x:f>
      </x:c>
      <x:c r="Z116" s="12" t="str">
        <x:f>IFERROR(INDEX('55_Codificacion_ensayo'!$H$5:$H$13,MATCH(B116,'55_Codificacion_ensayo'!$A$5:$A$13,0)),"")</x:f>
        <x:v>NINGUNO</x:v>
      </x:c>
      <x:c r="AA116" s="12" t="str">
        <x:f>IFERROR(INDEX('55_Codificacion_ensayo'!$I$5:$I$13,MATCH(B116,'55_Codificacion_ensayo'!$A$5:$A$13,0)),"")</x:f>
        <x:v>CAMBIO_POSTERIOR</x:v>
      </x:c>
      <x:c r="AB116" s="12" t="str">
        <x:f>IFERROR(INDEX('55_Codificacion_ensayo'!$J$5:$J$13,MATCH(B116,'55_Codificacion_ensayo'!$A$5:$A$13,0)),"")</x:f>
        <x:v>SIN_CAMBIO_ACREDITADO</x:v>
      </x:c>
    </x:row>
    <x:row r="117" ht="47" customHeight="1">
      <x:c r="A117" s="4" t="str">
        <x:v>L10-10-01</x:v>
      </x:c>
      <x:c r="B117" s="4" t="str">
        <x:v>PAR-CYB-RESTAURACION-PREVIA-COMUNICADA-001</x:v>
      </x:c>
      <x:c r="C117" s="4" t="str">
        <x:v>HISTORIA-RESTAURACION-PREVIA-0.1</x:v>
      </x:c>
      <x:c r="D117" s="4" t="str">
        <x:v>COINCIDE</x:v>
      </x:c>
      <x:c r="E117" s="4" t="str">
        <x:v>LEGIBLE</x:v>
      </x:c>
      <x:c r="F117" s="4" t="str">
        <x:v>TRABAJO_RESTAURACION</x:v>
      </x:c>
      <x:c r="G117" s="4" t="str">
        <x:v>UNICA</x:v>
      </x:c>
      <x:c r="H117" s="4" t="str">
        <x:v>RESTAURACION_PREVIA</x:v>
      </x:c>
      <x:c r="I117" s="4" t="str"/>
      <x:c r="J117" s="4" t="str">
        <x:v>COMPLETA</x:v>
      </x:c>
      <x:c r="K117" s="4" t="str">
        <x:v>ORDEN_ACREDITADO</x:v>
      </x:c>
      <x:c r="L117" s="4" t="str">
        <x:v>VALIDA</x:v>
      </x:c>
      <x:c r="M117" s="4" t="str">
        <x:v>1</x:v>
      </x:c>
      <x:c r="N117" s="4" t="str">
        <x:v>RESTAURACION_PREVIA</x:v>
      </x:c>
      <x:c r="O117" s="12" t="str">
        <x:f>IF(Q117="SIN_EJECUCION_DOMINIO","FALLO_CAPTURA",IF(OR(Q117="CAPTURA_MAL_FORMADA",Q117="IDENTIDAD",Q117="OBSERVACION_MAL_FORMADA",Q117="LEXEMA_O_FORMA"),"NO_ADMISION",IF(OR(Q117="PERFIL_NO_CONSTITUIDO",Q117="RESULTADO_NO_TERMINAL"),"FUERA_PERFIL",IF(Q117="CONTEXTO_NO_CONSTITUIDO","CONFIGURACION_PENDIENTE","VALIDA"))))</x:f>
        <x:v>VALIDA</x:v>
      </x:c>
      <x:c r="P117" s="12" t="str">
        <x:f>IF(O117&lt;&gt;"VALIDA","",IF(Q117=AA117,"1",IF(Q117=AB117,"0","U")))</x:f>
        <x:v>1</x:v>
      </x:c>
      <x:c r="Q117" s="12" t="str">
        <x:f>IF(E117="FALLO","SIN_EJECUCION_DOMINIO",IF(E117&lt;&gt;"LEGIBLE","CAPTURA_MAL_FORMADA",IF(D117&lt;&gt;"COINCIDE","IDENTIDAD",IF(OR(T117="",C117&lt;&gt;T117),"PERFIL_NO_CONSTITUIDO",IF(K117&lt;&gt;V117,IF(V117="ORDEN_ACREDITADO","ORDEN_NO_ACREDITADO","CONTEXTO_NO_CONSTITUIDO"),IF(AND(G117="AUSENTE",H117="",I117=""),"DATO_AUSENTE",IF(AND(G117="CONFLICTO",H117="",I117=""),"CONFLICTO_OBSERVACIONAL",IF(G117&lt;&gt;"UNICA","OBSERVACION_MAL_FORMADA",IF(F117&lt;&gt;U117,"OBSERVACION_INSUFICIENTE",IF(W117="RESULTADO",IF(H117=X117,AA117,IF(OR(H117="orcSucceededWithErrors",H117="orcFailed",H117="orcAborted"),AB117,IF(OR(H117="orcNotStarted",H117="orcInProgress"),"RESULTADO_NO_TERMINAL","LEXEMA_O_FORMA"))),IF(W117="EVENTO_BOOT",IF(H117=X117,AA117,IF(OR(H117="NINGUNO",H117="SOLO_HIBRIDO"),IF(J117="COMPLETA",AB117,"COBERTURA_INSUFICIENTE"),"LEXEMA_O_FORMA")),IF(W117="REQUISITO_SOFT",IF(H117=X117,AA117,IF(H117=Z117,AB117,"LEXEMA_O_FORMA")),IF(W117="EVENTO_PROC",IF(H117=X117,AA117,IF(H117=Z117,IF(J117="COMPLETA",AB117,"COBERTURA_INSUFICIENTE"),"LEXEMA_O_FORMA")),IF(W117="IMAGEN",IF(AND(AND(ISTEXT(H117),LEN(("x"&amp;H117))=65,EXACT(("x"&amp;H117),LOWER(("x"&amp;H117))),ISERROR(SEARCH(" ",("x"&amp;H117))),ISERROR(SEARCH(CHAR(9),("x"&amp;H117))),ISERROR(SEARCH(CHAR(10),("x"&amp;H117))),ISERROR(SEARCH(CHAR(13),("x"&amp;H117))),IFERROR(HEX2DEC(MID(("x"&amp;H117),2,8))&gt;=0,FALSE),IFERROR(HEX2DEC(MID(("x"&amp;H117),10,8))&gt;=0,FALSE),IFERROR(HEX2DEC(MID(("x"&amp;H117),18,8))&gt;=0,FALSE),IFERROR(HEX2DEC(MID(("x"&amp;H117),26,8))&gt;=0,FALSE),IFERROR(HEX2DEC(MID(("x"&amp;H117),34,8))&gt;=0,FALSE),IFERROR(HEX2DEC(MID(("x"&amp;H117),42,8))&gt;=0,FALSE),IFERROR(HEX2DEC(MID(("x"&amp;H117),50,8))&gt;=0,FALSE),IFERROR(HEX2DEC(MID(("x"&amp;H117),58,8))&gt;=0,FALSE)),AND(ISTEXT(I117),LEN(("x"&amp;I117))=65,EXACT(("x"&amp;I117),LOWER(("x"&amp;I117))),ISERROR(SEARCH(" ",("x"&amp;I117))),ISERROR(SEARCH(CHAR(9),("x"&amp;I117))),ISERROR(SEARCH(CHAR(10),("x"&amp;I117))),ISERROR(SEARCH(CHAR(13),("x"&amp;I117))),IFERROR(HEX2DEC(MID(("x"&amp;I117),2,8))&gt;=0,FALSE),IFERROR(HEX2DEC(MID(("x"&amp;I117),10,8))&gt;=0,FALSE),IFERROR(HEX2DEC(MID(("x"&amp;I117),18,8))&gt;=0,FALSE),IFERROR(HEX2DEC(MID(("x"&amp;I117),26,8))&gt;=0,FALSE),IFERROR(HEX2DEC(MID(("x"&amp;I117),34,8))&gt;=0,FALSE),IFERROR(HEX2DEC(MID(("x"&amp;I117),42,8))&gt;=0,FALSE),IFERROR(HEX2DEC(MID(("x"&amp;I117),50,8))&gt;=0,FALSE),IFERROR(HEX2DEC(MID(("x"&amp;I117),58,8))&gt;=0,FALSE))),IF(EXACT("x"&amp;H117,"x"&amp;I117),AA117,AB117),"LEXEMA_O_FORMA"),IF(W117="PRUEBA",IF(H117=X117,AA117,IF(H117=Z117,AB117,"LEXEMA_O_FORMA")),IF(W117="RETIRADA",IF(AND(H117="NINGUNO",I117=""),IF(J117="COMPLETA",AB117,"COBERTURA_INSUFICIENTE"),IF(AND(OR(H117="uoInstallation",H117="uoUninstallation"),OR(I117="orcSucceeded",I117="orcSucceededWithErrors",I117="orcFailed",I117="orcAborted",I117="orcInProgress",I117="orcNotStarted")),IF(AND(H117=X117,I117=Y117),AA117,IF(AND(H117=X117,OR(I117="orcSucceededWithErrors",I117="orcInProgress",I117="orcNotStarted")),"RESULTADO_RETIRADA_INCIERTO",IF(J117="COMPLETA",AB117,"COBERTURA_INSUFICIENTE"))),"LEXEMA_O_FORMA")),IF(W117="CAMBIO",IF(OR(H117="CAMBIO",H117="CAMBIO_Y_RETORNO"),AA117,IF(OR(H117="NINGUNO",H117="SOLO_RENOMBRE"),IF(J117="COMPLETA",AB117,"COBERTURA_INSUFICIENTE"),"LEXEMA_O_FORMA")),IF(W117="RESTAURACION",IF(H117=X117,AA117,IF(OR(H117="NINGUNO",H117="RESTAURACION_POSTERIOR",H117="RESTAURACION_FALLIDA"),IF(J117="COMPLETA",AB117,"COBERTURA_INSUFICIENTE"),"LEXEMA_O_FORMA")),"PERFIL_NO_CONSTITUIDO"))))))))))))))))))</x:f>
        <x:v>RESTAURACION_PREVIA</x:v>
      </x:c>
      <x:c r="R117" s="12" t="str">
        <x:f>IF(AND(L117=O117,M117=P117,N117=Q117),"PASA","NO_PASA")</x:f>
        <x:v>PASA</x:v>
      </x:c>
      <x:c r="S117" s="4" t="str">
        <x:v>Testigo positivo de la proposición; no licencia ninguna conclusión más amplia.</x:v>
      </x:c>
      <x:c r="T117" s="12" t="str">
        <x:f>IFERROR(INDEX('55_Codificacion_ensayo'!$B$5:$B$13,MATCH(B117,'55_Codificacion_ensayo'!$A$5:$A$13,0)),"")</x:f>
        <x:v>HISTORIA-RESTAURACION-PREVIA-0.1</x:v>
      </x:c>
      <x:c r="U117" s="12" t="str">
        <x:f>IFERROR(INDEX('55_Codificacion_ensayo'!$C$5:$C$13,MATCH(B117,'55_Codificacion_ensayo'!$A$5:$A$13,0)),"")</x:f>
        <x:v>TRABAJO_RESTAURACION</x:v>
      </x:c>
      <x:c r="V117" s="12" t="str">
        <x:f>IFERROR(INDEX('55_Codificacion_ensayo'!$D$5:$D$13,MATCH(B117,'55_Codificacion_ensayo'!$A$5:$A$13,0)),"")</x:f>
        <x:v>ORDEN_ACREDITADO</x:v>
      </x:c>
      <x:c r="W117" s="12" t="str">
        <x:f>IFERROR(INDEX('55_Codificacion_ensayo'!$E$5:$E$13,MATCH(B117,'55_Codificacion_ensayo'!$A$5:$A$13,0)),"")</x:f>
        <x:v>RESTAURACION</x:v>
      </x:c>
      <x:c r="X117" s="12" t="str">
        <x:f>IFERROR(INDEX('55_Codificacion_ensayo'!$F$5:$F$13,MATCH(B117,'55_Codificacion_ensayo'!$A$5:$A$13,0)),"")</x:f>
        <x:v>RESTAURACION_PREVIA</x:v>
      </x:c>
      <x:c r="Y117" s="12" t="str">
        <x:f>IFERROR(INDEX('55_Codificacion_ensayo'!$G$5:$G$13,MATCH(B117,'55_Codificacion_ensayo'!$A$5:$A$13,0)),"")</x:f>
      </x:c>
      <x:c r="Z117" s="12" t="str">
        <x:f>IFERROR(INDEX('55_Codificacion_ensayo'!$H$5:$H$13,MATCH(B117,'55_Codificacion_ensayo'!$A$5:$A$13,0)),"")</x:f>
        <x:v>NINGUNO</x:v>
      </x:c>
      <x:c r="AA117" s="12" t="str">
        <x:f>IFERROR(INDEX('55_Codificacion_ensayo'!$I$5:$I$13,MATCH(B117,'55_Codificacion_ensayo'!$A$5:$A$13,0)),"")</x:f>
        <x:v>RESTAURACION_PREVIA</x:v>
      </x:c>
      <x:c r="AB117" s="12" t="str">
        <x:f>IFERROR(INDEX('55_Codificacion_ensayo'!$J$5:$J$13,MATCH(B117,'55_Codificacion_ensayo'!$A$5:$A$13,0)),"")</x:f>
        <x:v>SIN_RESTAURACION_PREVIA</x:v>
      </x:c>
    </x:row>
    <x:row r="118" ht="47" customHeight="1">
      <x:c r="A118" s="4" t="str">
        <x:v>L10-10-02</x:v>
      </x:c>
      <x:c r="B118" s="4" t="str">
        <x:v>PAR-CYB-RESTAURACION-PREVIA-COMUNICADA-001</x:v>
      </x:c>
      <x:c r="C118" s="4" t="str">
        <x:v>HISTORIA-RESTAURACION-PREVIA-0.1</x:v>
      </x:c>
      <x:c r="D118" s="4" t="str">
        <x:v>COINCIDE</x:v>
      </x:c>
      <x:c r="E118" s="4" t="str">
        <x:v>LEGIBLE</x:v>
      </x:c>
      <x:c r="F118" s="4" t="str">
        <x:v>TRABAJO_RESTAURACION</x:v>
      </x:c>
      <x:c r="G118" s="4" t="str">
        <x:v>UNICA</x:v>
      </x:c>
      <x:c r="H118" s="4" t="str">
        <x:v>NINGUNO</x:v>
      </x:c>
      <x:c r="I118" s="4" t="str"/>
      <x:c r="J118" s="4" t="str">
        <x:v>COMPLETA</x:v>
      </x:c>
      <x:c r="K118" s="4" t="str">
        <x:v>ORDEN_ACREDITADO</x:v>
      </x:c>
      <x:c r="L118" s="4" t="str">
        <x:v>VALIDA</x:v>
      </x:c>
      <x:c r="M118" s="4" t="str">
        <x:v>0</x:v>
      </x:c>
      <x:c r="N118" s="4" t="str">
        <x:v>SIN_RESTAURACION_PREVIA</x:v>
      </x:c>
      <x:c r="O118" s="12" t="str">
        <x:f>IF(Q118="SIN_EJECUCION_DOMINIO","FALLO_CAPTURA",IF(OR(Q118="CAPTURA_MAL_FORMADA",Q118="IDENTIDAD",Q118="OBSERVACION_MAL_FORMADA",Q118="LEXEMA_O_FORMA"),"NO_ADMISION",IF(OR(Q118="PERFIL_NO_CONSTITUIDO",Q118="RESULTADO_NO_TERMINAL"),"FUERA_PERFIL",IF(Q118="CONTEXTO_NO_CONSTITUIDO","CONFIGURACION_PENDIENTE","VALIDA"))))</x:f>
        <x:v>VALIDA</x:v>
      </x:c>
      <x:c r="P118" s="12" t="str">
        <x:f>IF(O118&lt;&gt;"VALIDA","",IF(Q118=AA118,"1",IF(Q118=AB118,"0","U")))</x:f>
        <x:v>0</x:v>
      </x:c>
      <x:c r="Q118" s="12" t="str">
        <x:f>IF(E118="FALLO","SIN_EJECUCION_DOMINIO",IF(E118&lt;&gt;"LEGIBLE","CAPTURA_MAL_FORMADA",IF(D118&lt;&gt;"COINCIDE","IDENTIDAD",IF(OR(T118="",C118&lt;&gt;T118),"PERFIL_NO_CONSTITUIDO",IF(K118&lt;&gt;V118,IF(V118="ORDEN_ACREDITADO","ORDEN_NO_ACREDITADO","CONTEXTO_NO_CONSTITUIDO"),IF(AND(G118="AUSENTE",H118="",I118=""),"DATO_AUSENTE",IF(AND(G118="CONFLICTO",H118="",I118=""),"CONFLICTO_OBSERVACIONAL",IF(G118&lt;&gt;"UNICA","OBSERVACION_MAL_FORMADA",IF(F118&lt;&gt;U118,"OBSERVACION_INSUFICIENTE",IF(W118="RESULTADO",IF(H118=X118,AA118,IF(OR(H118="orcSucceededWithErrors",H118="orcFailed",H118="orcAborted"),AB118,IF(OR(H118="orcNotStarted",H118="orcInProgress"),"RESULTADO_NO_TERMINAL","LEXEMA_O_FORMA"))),IF(W118="EVENTO_BOOT",IF(H118=X118,AA118,IF(OR(H118="NINGUNO",H118="SOLO_HIBRIDO"),IF(J118="COMPLETA",AB118,"COBERTURA_INSUFICIENTE"),"LEXEMA_O_FORMA")),IF(W118="REQUISITO_SOFT",IF(H118=X118,AA118,IF(H118=Z118,AB118,"LEXEMA_O_FORMA")),IF(W118="EVENTO_PROC",IF(H118=X118,AA118,IF(H118=Z118,IF(J118="COMPLETA",AB118,"COBERTURA_INSUFICIENTE"),"LEXEMA_O_FORMA")),IF(W118="IMAGEN",IF(AND(AND(ISTEXT(H118),LEN(("x"&amp;H118))=65,EXACT(("x"&amp;H118),LOWER(("x"&amp;H118))),ISERROR(SEARCH(" ",("x"&amp;H118))),ISERROR(SEARCH(CHAR(9),("x"&amp;H118))),ISERROR(SEARCH(CHAR(10),("x"&amp;H118))),ISERROR(SEARCH(CHAR(13),("x"&amp;H118))),IFERROR(HEX2DEC(MID(("x"&amp;H118),2,8))&gt;=0,FALSE),IFERROR(HEX2DEC(MID(("x"&amp;H118),10,8))&gt;=0,FALSE),IFERROR(HEX2DEC(MID(("x"&amp;H118),18,8))&gt;=0,FALSE),IFERROR(HEX2DEC(MID(("x"&amp;H118),26,8))&gt;=0,FALSE),IFERROR(HEX2DEC(MID(("x"&amp;H118),34,8))&gt;=0,FALSE),IFERROR(HEX2DEC(MID(("x"&amp;H118),42,8))&gt;=0,FALSE),IFERROR(HEX2DEC(MID(("x"&amp;H118),50,8))&gt;=0,FALSE),IFERROR(HEX2DEC(MID(("x"&amp;H118),58,8))&gt;=0,FALSE)),AND(ISTEXT(I118),LEN(("x"&amp;I118))=65,EXACT(("x"&amp;I118),LOWER(("x"&amp;I118))),ISERROR(SEARCH(" ",("x"&amp;I118))),ISERROR(SEARCH(CHAR(9),("x"&amp;I118))),ISERROR(SEARCH(CHAR(10),("x"&amp;I118))),ISERROR(SEARCH(CHAR(13),("x"&amp;I118))),IFERROR(HEX2DEC(MID(("x"&amp;I118),2,8))&gt;=0,FALSE),IFERROR(HEX2DEC(MID(("x"&amp;I118),10,8))&gt;=0,FALSE),IFERROR(HEX2DEC(MID(("x"&amp;I118),18,8))&gt;=0,FALSE),IFERROR(HEX2DEC(MID(("x"&amp;I118),26,8))&gt;=0,FALSE),IFERROR(HEX2DEC(MID(("x"&amp;I118),34,8))&gt;=0,FALSE),IFERROR(HEX2DEC(MID(("x"&amp;I118),42,8))&gt;=0,FALSE),IFERROR(HEX2DEC(MID(("x"&amp;I118),50,8))&gt;=0,FALSE),IFERROR(HEX2DEC(MID(("x"&amp;I118),58,8))&gt;=0,FALSE))),IF(EXACT("x"&amp;H118,"x"&amp;I118),AA118,AB118),"LEXEMA_O_FORMA"),IF(W118="PRUEBA",IF(H118=X118,AA118,IF(H118=Z118,AB118,"LEXEMA_O_FORMA")),IF(W118="RETIRADA",IF(AND(H118="NINGUNO",I118=""),IF(J118="COMPLETA",AB118,"COBERTURA_INSUFICIENTE"),IF(AND(OR(H118="uoInstallation",H118="uoUninstallation"),OR(I118="orcSucceeded",I118="orcSucceededWithErrors",I118="orcFailed",I118="orcAborted",I118="orcInProgress",I118="orcNotStarted")),IF(AND(H118=X118,I118=Y118),AA118,IF(AND(H118=X118,OR(I118="orcSucceededWithErrors",I118="orcInProgress",I118="orcNotStarted")),"RESULTADO_RETIRADA_INCIERTO",IF(J118="COMPLETA",AB118,"COBERTURA_INSUFICIENTE"))),"LEXEMA_O_FORMA")),IF(W118="CAMBIO",IF(OR(H118="CAMBIO",H118="CAMBIO_Y_RETORNO"),AA118,IF(OR(H118="NINGUNO",H118="SOLO_RENOMBRE"),IF(J118="COMPLETA",AB118,"COBERTURA_INSUFICIENTE"),"LEXEMA_O_FORMA")),IF(W118="RESTAURACION",IF(H118=X118,AA118,IF(OR(H118="NINGUNO",H118="RESTAURACION_POSTERIOR",H118="RESTAURACION_FALLIDA"),IF(J118="COMPLETA",AB118,"COBERTURA_INSUFICIENTE"),"LEXEMA_O_FORMA")),"PERFIL_NO_CONSTITUIDO"))))))))))))))))))</x:f>
        <x:v>SIN_RESTAURACION_PREVIA</x:v>
      </x:c>
      <x:c r="R118" s="12" t="str">
        <x:f>IF(AND(L118=O118,M118=P118,N118=Q118),"PASA","NO_PASA")</x:f>
        <x:v>PASA</x:v>
      </x:c>
      <x:c r="S118" s="4" t="str">
        <x:v>Negativo explícito; en eventos exige cobertura del intervalo.</x:v>
      </x:c>
      <x:c r="T118" s="12" t="str">
        <x:f>IFERROR(INDEX('55_Codificacion_ensayo'!$B$5:$B$13,MATCH(B118,'55_Codificacion_ensayo'!$A$5:$A$13,0)),"")</x:f>
        <x:v>HISTORIA-RESTAURACION-PREVIA-0.1</x:v>
      </x:c>
      <x:c r="U118" s="12" t="str">
        <x:f>IFERROR(INDEX('55_Codificacion_ensayo'!$C$5:$C$13,MATCH(B118,'55_Codificacion_ensayo'!$A$5:$A$13,0)),"")</x:f>
        <x:v>TRABAJO_RESTAURACION</x:v>
      </x:c>
      <x:c r="V118" s="12" t="str">
        <x:f>IFERROR(INDEX('55_Codificacion_ensayo'!$D$5:$D$13,MATCH(B118,'55_Codificacion_ensayo'!$A$5:$A$13,0)),"")</x:f>
        <x:v>ORDEN_ACREDITADO</x:v>
      </x:c>
      <x:c r="W118" s="12" t="str">
        <x:f>IFERROR(INDEX('55_Codificacion_ensayo'!$E$5:$E$13,MATCH(B118,'55_Codificacion_ensayo'!$A$5:$A$13,0)),"")</x:f>
        <x:v>RESTAURACION</x:v>
      </x:c>
      <x:c r="X118" s="12" t="str">
        <x:f>IFERROR(INDEX('55_Codificacion_ensayo'!$F$5:$F$13,MATCH(B118,'55_Codificacion_ensayo'!$A$5:$A$13,0)),"")</x:f>
        <x:v>RESTAURACION_PREVIA</x:v>
      </x:c>
      <x:c r="Y118" s="12" t="str">
        <x:f>IFERROR(INDEX('55_Codificacion_ensayo'!$G$5:$G$13,MATCH(B118,'55_Codificacion_ensayo'!$A$5:$A$13,0)),"")</x:f>
      </x:c>
      <x:c r="Z118" s="12" t="str">
        <x:f>IFERROR(INDEX('55_Codificacion_ensayo'!$H$5:$H$13,MATCH(B118,'55_Codificacion_ensayo'!$A$5:$A$13,0)),"")</x:f>
        <x:v>NINGUNO</x:v>
      </x:c>
      <x:c r="AA118" s="12" t="str">
        <x:f>IFERROR(INDEX('55_Codificacion_ensayo'!$I$5:$I$13,MATCH(B118,'55_Codificacion_ensayo'!$A$5:$A$13,0)),"")</x:f>
        <x:v>RESTAURACION_PREVIA</x:v>
      </x:c>
      <x:c r="AB118" s="12" t="str">
        <x:f>IFERROR(INDEX('55_Codificacion_ensayo'!$J$5:$J$13,MATCH(B118,'55_Codificacion_ensayo'!$A$5:$A$13,0)),"")</x:f>
        <x:v>SIN_RESTAURACION_PREVIA</x:v>
      </x:c>
    </x:row>
    <x:row r="119" ht="47" customHeight="1">
      <x:c r="A119" s="4" t="str">
        <x:v>L10-10-03</x:v>
      </x:c>
      <x:c r="B119" s="4" t="str">
        <x:v>PAR-CYB-RESTAURACION-PREVIA-COMUNICADA-001</x:v>
      </x:c>
      <x:c r="C119" s="4" t="str">
        <x:v>HISTORIA-RESTAURACION-PREVIA-0.1</x:v>
      </x:c>
      <x:c r="D119" s="4" t="str">
        <x:v>COINCIDE</x:v>
      </x:c>
      <x:c r="E119" s="4" t="str">
        <x:v>LEGIBLE</x:v>
      </x:c>
      <x:c r="F119" s="4" t="str">
        <x:v>TRABAJO_RESTAURACION</x:v>
      </x:c>
      <x:c r="G119" s="4" t="str">
        <x:v>AUSENTE</x:v>
      </x:c>
      <x:c r="H119" s="4" t="str"/>
      <x:c r="I119" s="4" t="str"/>
      <x:c r="J119" s="4" t="str">
        <x:v>COMPLETA</x:v>
      </x:c>
      <x:c r="K119" s="4" t="str">
        <x:v>ORDEN_ACREDITADO</x:v>
      </x:c>
      <x:c r="L119" s="4" t="str">
        <x:v>VALIDA</x:v>
      </x:c>
      <x:c r="M119" s="4" t="str">
        <x:v>U</x:v>
      </x:c>
      <x:c r="N119" s="4" t="str">
        <x:v>DATO_AUSENTE</x:v>
      </x:c>
      <x:c r="O119" s="12" t="str">
        <x:f>IF(Q119="SIN_EJECUCION_DOMINIO","FALLO_CAPTURA",IF(OR(Q119="CAPTURA_MAL_FORMADA",Q119="IDENTIDAD",Q119="OBSERVACION_MAL_FORMADA",Q119="LEXEMA_O_FORMA"),"NO_ADMISION",IF(OR(Q119="PERFIL_NO_CONSTITUIDO",Q119="RESULTADO_NO_TERMINAL"),"FUERA_PERFIL",IF(Q119="CONTEXTO_NO_CONSTITUIDO","CONFIGURACION_PENDIENTE","VALIDA"))))</x:f>
        <x:v>VALIDA</x:v>
      </x:c>
      <x:c r="P119" s="12" t="str">
        <x:f>IF(O119&lt;&gt;"VALIDA","",IF(Q119=AA119,"1",IF(Q119=AB119,"0","U")))</x:f>
        <x:v>U</x:v>
      </x:c>
      <x:c r="Q119" s="12" t="str">
        <x:f>IF(E119="FALLO","SIN_EJECUCION_DOMINIO",IF(E119&lt;&gt;"LEGIBLE","CAPTURA_MAL_FORMADA",IF(D119&lt;&gt;"COINCIDE","IDENTIDAD",IF(OR(T119="",C119&lt;&gt;T119),"PERFIL_NO_CONSTITUIDO",IF(K119&lt;&gt;V119,IF(V119="ORDEN_ACREDITADO","ORDEN_NO_ACREDITADO","CONTEXTO_NO_CONSTITUIDO"),IF(AND(G119="AUSENTE",H119="",I119=""),"DATO_AUSENTE",IF(AND(G119="CONFLICTO",H119="",I119=""),"CONFLICTO_OBSERVACIONAL",IF(G119&lt;&gt;"UNICA","OBSERVACION_MAL_FORMADA",IF(F119&lt;&gt;U119,"OBSERVACION_INSUFICIENTE",IF(W119="RESULTADO",IF(H119=X119,AA119,IF(OR(H119="orcSucceededWithErrors",H119="orcFailed",H119="orcAborted"),AB119,IF(OR(H119="orcNotStarted",H119="orcInProgress"),"RESULTADO_NO_TERMINAL","LEXEMA_O_FORMA"))),IF(W119="EVENTO_BOOT",IF(H119=X119,AA119,IF(OR(H119="NINGUNO",H119="SOLO_HIBRIDO"),IF(J119="COMPLETA",AB119,"COBERTURA_INSUFICIENTE"),"LEXEMA_O_FORMA")),IF(W119="REQUISITO_SOFT",IF(H119=X119,AA119,IF(H119=Z119,AB119,"LEXEMA_O_FORMA")),IF(W119="EVENTO_PROC",IF(H119=X119,AA119,IF(H119=Z119,IF(J119="COMPLETA",AB119,"COBERTURA_INSUFICIENTE"),"LEXEMA_O_FORMA")),IF(W119="IMAGEN",IF(AND(AND(ISTEXT(H119),LEN(("x"&amp;H119))=65,EXACT(("x"&amp;H119),LOWER(("x"&amp;H119))),ISERROR(SEARCH(" ",("x"&amp;H119))),ISERROR(SEARCH(CHAR(9),("x"&amp;H119))),ISERROR(SEARCH(CHAR(10),("x"&amp;H119))),ISERROR(SEARCH(CHAR(13),("x"&amp;H119))),IFERROR(HEX2DEC(MID(("x"&amp;H119),2,8))&gt;=0,FALSE),IFERROR(HEX2DEC(MID(("x"&amp;H119),10,8))&gt;=0,FALSE),IFERROR(HEX2DEC(MID(("x"&amp;H119),18,8))&gt;=0,FALSE),IFERROR(HEX2DEC(MID(("x"&amp;H119),26,8))&gt;=0,FALSE),IFERROR(HEX2DEC(MID(("x"&amp;H119),34,8))&gt;=0,FALSE),IFERROR(HEX2DEC(MID(("x"&amp;H119),42,8))&gt;=0,FALSE),IFERROR(HEX2DEC(MID(("x"&amp;H119),50,8))&gt;=0,FALSE),IFERROR(HEX2DEC(MID(("x"&amp;H119),58,8))&gt;=0,FALSE)),AND(ISTEXT(I119),LEN(("x"&amp;I119))=65,EXACT(("x"&amp;I119),LOWER(("x"&amp;I119))),ISERROR(SEARCH(" ",("x"&amp;I119))),ISERROR(SEARCH(CHAR(9),("x"&amp;I119))),ISERROR(SEARCH(CHAR(10),("x"&amp;I119))),ISERROR(SEARCH(CHAR(13),("x"&amp;I119))),IFERROR(HEX2DEC(MID(("x"&amp;I119),2,8))&gt;=0,FALSE),IFERROR(HEX2DEC(MID(("x"&amp;I119),10,8))&gt;=0,FALSE),IFERROR(HEX2DEC(MID(("x"&amp;I119),18,8))&gt;=0,FALSE),IFERROR(HEX2DEC(MID(("x"&amp;I119),26,8))&gt;=0,FALSE),IFERROR(HEX2DEC(MID(("x"&amp;I119),34,8))&gt;=0,FALSE),IFERROR(HEX2DEC(MID(("x"&amp;I119),42,8))&gt;=0,FALSE),IFERROR(HEX2DEC(MID(("x"&amp;I119),50,8))&gt;=0,FALSE),IFERROR(HEX2DEC(MID(("x"&amp;I119),58,8))&gt;=0,FALSE))),IF(EXACT("x"&amp;H119,"x"&amp;I119),AA119,AB119),"LEXEMA_O_FORMA"),IF(W119="PRUEBA",IF(H119=X119,AA119,IF(H119=Z119,AB119,"LEXEMA_O_FORMA")),IF(W119="RETIRADA",IF(AND(H119="NINGUNO",I119=""),IF(J119="COMPLETA",AB119,"COBERTURA_INSUFICIENTE"),IF(AND(OR(H119="uoInstallation",H119="uoUninstallation"),OR(I119="orcSucceeded",I119="orcSucceededWithErrors",I119="orcFailed",I119="orcAborted",I119="orcInProgress",I119="orcNotStarted")),IF(AND(H119=X119,I119=Y119),AA119,IF(AND(H119=X119,OR(I119="orcSucceededWithErrors",I119="orcInProgress",I119="orcNotStarted")),"RESULTADO_RETIRADA_INCIERTO",IF(J119="COMPLETA",AB119,"COBERTURA_INSUFICIENTE"))),"LEXEMA_O_FORMA")),IF(W119="CAMBIO",IF(OR(H119="CAMBIO",H119="CAMBIO_Y_RETORNO"),AA119,IF(OR(H119="NINGUNO",H119="SOLO_RENOMBRE"),IF(J119="COMPLETA",AB119,"COBERTURA_INSUFICIENTE"),"LEXEMA_O_FORMA")),IF(W119="RESTAURACION",IF(H119=X119,AA119,IF(OR(H119="NINGUNO",H119="RESTAURACION_POSTERIOR",H119="RESTAURACION_FALLIDA"),IF(J119="COMPLETA",AB119,"COBERTURA_INSUFICIENTE"),"LEXEMA_O_FORMA")),"PERFIL_NO_CONSTITUIDO"))))))))))))))))))</x:f>
        <x:v>DATO_AUSENTE</x:v>
      </x:c>
      <x:c r="R119" s="12" t="str">
        <x:f>IF(AND(L119=O119,M119=P119,N119=Q119),"PASA","NO_PASA")</x:f>
        <x:v>PASA</x:v>
      </x:c>
      <x:c r="S119" s="4" t="str">
        <x:v>Documento declara que falta la observación, sin convertir ausencia en 0.</x:v>
      </x:c>
      <x:c r="T119" s="12" t="str">
        <x:f>IFERROR(INDEX('55_Codificacion_ensayo'!$B$5:$B$13,MATCH(B119,'55_Codificacion_ensayo'!$A$5:$A$13,0)),"")</x:f>
        <x:v>HISTORIA-RESTAURACION-PREVIA-0.1</x:v>
      </x:c>
      <x:c r="U119" s="12" t="str">
        <x:f>IFERROR(INDEX('55_Codificacion_ensayo'!$C$5:$C$13,MATCH(B119,'55_Codificacion_ensayo'!$A$5:$A$13,0)),"")</x:f>
        <x:v>TRABAJO_RESTAURACION</x:v>
      </x:c>
      <x:c r="V119" s="12" t="str">
        <x:f>IFERROR(INDEX('55_Codificacion_ensayo'!$D$5:$D$13,MATCH(B119,'55_Codificacion_ensayo'!$A$5:$A$13,0)),"")</x:f>
        <x:v>ORDEN_ACREDITADO</x:v>
      </x:c>
      <x:c r="W119" s="12" t="str">
        <x:f>IFERROR(INDEX('55_Codificacion_ensayo'!$E$5:$E$13,MATCH(B119,'55_Codificacion_ensayo'!$A$5:$A$13,0)),"")</x:f>
        <x:v>RESTAURACION</x:v>
      </x:c>
      <x:c r="X119" s="12" t="str">
        <x:f>IFERROR(INDEX('55_Codificacion_ensayo'!$F$5:$F$13,MATCH(B119,'55_Codificacion_ensayo'!$A$5:$A$13,0)),"")</x:f>
        <x:v>RESTAURACION_PREVIA</x:v>
      </x:c>
      <x:c r="Y119" s="12" t="str">
        <x:f>IFERROR(INDEX('55_Codificacion_ensayo'!$G$5:$G$13,MATCH(B119,'55_Codificacion_ensayo'!$A$5:$A$13,0)),"")</x:f>
      </x:c>
      <x:c r="Z119" s="12" t="str">
        <x:f>IFERROR(INDEX('55_Codificacion_ensayo'!$H$5:$H$13,MATCH(B119,'55_Codificacion_ensayo'!$A$5:$A$13,0)),"")</x:f>
        <x:v>NINGUNO</x:v>
      </x:c>
      <x:c r="AA119" s="12" t="str">
        <x:f>IFERROR(INDEX('55_Codificacion_ensayo'!$I$5:$I$13,MATCH(B119,'55_Codificacion_ensayo'!$A$5:$A$13,0)),"")</x:f>
        <x:v>RESTAURACION_PREVIA</x:v>
      </x:c>
      <x:c r="AB119" s="12" t="str">
        <x:f>IFERROR(INDEX('55_Codificacion_ensayo'!$J$5:$J$13,MATCH(B119,'55_Codificacion_ensayo'!$A$5:$A$13,0)),"")</x:f>
        <x:v>SIN_RESTAURACION_PREVIA</x:v>
      </x:c>
    </x:row>
    <x:row r="120" ht="47" customHeight="1">
      <x:c r="A120" s="4" t="str">
        <x:v>L10-10-04</x:v>
      </x:c>
      <x:c r="B120" s="4" t="str">
        <x:v>PAR-CYB-RESTAURACION-PREVIA-COMUNICADA-001</x:v>
      </x:c>
      <x:c r="C120" s="4" t="str">
        <x:v>HISTORIA-RESTAURACION-PREVIA-0.1</x:v>
      </x:c>
      <x:c r="D120" s="4" t="str">
        <x:v>COINCIDE</x:v>
      </x:c>
      <x:c r="E120" s="4" t="str">
        <x:v>LEGIBLE</x:v>
      </x:c>
      <x:c r="F120" s="4" t="str">
        <x:v>TRABAJO_RESTAURACION</x:v>
      </x:c>
      <x:c r="G120" s="4" t="str">
        <x:v>CONFLICTO</x:v>
      </x:c>
      <x:c r="H120" s="4" t="str"/>
      <x:c r="I120" s="4" t="str"/>
      <x:c r="J120" s="4" t="str">
        <x:v>COMPLETA</x:v>
      </x:c>
      <x:c r="K120" s="4" t="str">
        <x:v>ORDEN_ACREDITADO</x:v>
      </x:c>
      <x:c r="L120" s="4" t="str">
        <x:v>VALIDA</x:v>
      </x:c>
      <x:c r="M120" s="4" t="str">
        <x:v>U</x:v>
      </x:c>
      <x:c r="N120" s="4" t="str">
        <x:v>CONFLICTO_OBSERVACIONAL</x:v>
      </x:c>
      <x:c r="O120" s="12" t="str">
        <x:f>IF(Q120="SIN_EJECUCION_DOMINIO","FALLO_CAPTURA",IF(OR(Q120="CAPTURA_MAL_FORMADA",Q120="IDENTIDAD",Q120="OBSERVACION_MAL_FORMADA",Q120="LEXEMA_O_FORMA"),"NO_ADMISION",IF(OR(Q120="PERFIL_NO_CONSTITUIDO",Q120="RESULTADO_NO_TERMINAL"),"FUERA_PERFIL",IF(Q120="CONTEXTO_NO_CONSTITUIDO","CONFIGURACION_PENDIENTE","VALIDA"))))</x:f>
        <x:v>VALIDA</x:v>
      </x:c>
      <x:c r="P120" s="12" t="str">
        <x:f>IF(O120&lt;&gt;"VALIDA","",IF(Q120=AA120,"1",IF(Q120=AB120,"0","U")))</x:f>
        <x:v>U</x:v>
      </x:c>
      <x:c r="Q120" s="12" t="str">
        <x:f>IF(E120="FALLO","SIN_EJECUCION_DOMINIO",IF(E120&lt;&gt;"LEGIBLE","CAPTURA_MAL_FORMADA",IF(D120&lt;&gt;"COINCIDE","IDENTIDAD",IF(OR(T120="",C120&lt;&gt;T120),"PERFIL_NO_CONSTITUIDO",IF(K120&lt;&gt;V120,IF(V120="ORDEN_ACREDITADO","ORDEN_NO_ACREDITADO","CONTEXTO_NO_CONSTITUIDO"),IF(AND(G120="AUSENTE",H120="",I120=""),"DATO_AUSENTE",IF(AND(G120="CONFLICTO",H120="",I120=""),"CONFLICTO_OBSERVACIONAL",IF(G120&lt;&gt;"UNICA","OBSERVACION_MAL_FORMADA",IF(F120&lt;&gt;U120,"OBSERVACION_INSUFICIENTE",IF(W120="RESULTADO",IF(H120=X120,AA120,IF(OR(H120="orcSucceededWithErrors",H120="orcFailed",H120="orcAborted"),AB120,IF(OR(H120="orcNotStarted",H120="orcInProgress"),"RESULTADO_NO_TERMINAL","LEXEMA_O_FORMA"))),IF(W120="EVENTO_BOOT",IF(H120=X120,AA120,IF(OR(H120="NINGUNO",H120="SOLO_HIBRIDO"),IF(J120="COMPLETA",AB120,"COBERTURA_INSUFICIENTE"),"LEXEMA_O_FORMA")),IF(W120="REQUISITO_SOFT",IF(H120=X120,AA120,IF(H120=Z120,AB120,"LEXEMA_O_FORMA")),IF(W120="EVENTO_PROC",IF(H120=X120,AA120,IF(H120=Z120,IF(J120="COMPLETA",AB120,"COBERTURA_INSUFICIENTE"),"LEXEMA_O_FORMA")),IF(W120="IMAGEN",IF(AND(AND(ISTEXT(H120),LEN(("x"&amp;H120))=65,EXACT(("x"&amp;H120),LOWER(("x"&amp;H120))),ISERROR(SEARCH(" ",("x"&amp;H120))),ISERROR(SEARCH(CHAR(9),("x"&amp;H120))),ISERROR(SEARCH(CHAR(10),("x"&amp;H120))),ISERROR(SEARCH(CHAR(13),("x"&amp;H120))),IFERROR(HEX2DEC(MID(("x"&amp;H120),2,8))&gt;=0,FALSE),IFERROR(HEX2DEC(MID(("x"&amp;H120),10,8))&gt;=0,FALSE),IFERROR(HEX2DEC(MID(("x"&amp;H120),18,8))&gt;=0,FALSE),IFERROR(HEX2DEC(MID(("x"&amp;H120),26,8))&gt;=0,FALSE),IFERROR(HEX2DEC(MID(("x"&amp;H120),34,8))&gt;=0,FALSE),IFERROR(HEX2DEC(MID(("x"&amp;H120),42,8))&gt;=0,FALSE),IFERROR(HEX2DEC(MID(("x"&amp;H120),50,8))&gt;=0,FALSE),IFERROR(HEX2DEC(MID(("x"&amp;H120),58,8))&gt;=0,FALSE)),AND(ISTEXT(I120),LEN(("x"&amp;I120))=65,EXACT(("x"&amp;I120),LOWER(("x"&amp;I120))),ISERROR(SEARCH(" ",("x"&amp;I120))),ISERROR(SEARCH(CHAR(9),("x"&amp;I120))),ISERROR(SEARCH(CHAR(10),("x"&amp;I120))),ISERROR(SEARCH(CHAR(13),("x"&amp;I120))),IFERROR(HEX2DEC(MID(("x"&amp;I120),2,8))&gt;=0,FALSE),IFERROR(HEX2DEC(MID(("x"&amp;I120),10,8))&gt;=0,FALSE),IFERROR(HEX2DEC(MID(("x"&amp;I120),18,8))&gt;=0,FALSE),IFERROR(HEX2DEC(MID(("x"&amp;I120),26,8))&gt;=0,FALSE),IFERROR(HEX2DEC(MID(("x"&amp;I120),34,8))&gt;=0,FALSE),IFERROR(HEX2DEC(MID(("x"&amp;I120),42,8))&gt;=0,FALSE),IFERROR(HEX2DEC(MID(("x"&amp;I120),50,8))&gt;=0,FALSE),IFERROR(HEX2DEC(MID(("x"&amp;I120),58,8))&gt;=0,FALSE))),IF(EXACT("x"&amp;H120,"x"&amp;I120),AA120,AB120),"LEXEMA_O_FORMA"),IF(W120="PRUEBA",IF(H120=X120,AA120,IF(H120=Z120,AB120,"LEXEMA_O_FORMA")),IF(W120="RETIRADA",IF(AND(H120="NINGUNO",I120=""),IF(J120="COMPLETA",AB120,"COBERTURA_INSUFICIENTE"),IF(AND(OR(H120="uoInstallation",H120="uoUninstallation"),OR(I120="orcSucceeded",I120="orcSucceededWithErrors",I120="orcFailed",I120="orcAborted",I120="orcInProgress",I120="orcNotStarted")),IF(AND(H120=X120,I120=Y120),AA120,IF(AND(H120=X120,OR(I120="orcSucceededWithErrors",I120="orcInProgress",I120="orcNotStarted")),"RESULTADO_RETIRADA_INCIERTO",IF(J120="COMPLETA",AB120,"COBERTURA_INSUFICIENTE"))),"LEXEMA_O_FORMA")),IF(W120="CAMBIO",IF(OR(H120="CAMBIO",H120="CAMBIO_Y_RETORNO"),AA120,IF(OR(H120="NINGUNO",H120="SOLO_RENOMBRE"),IF(J120="COMPLETA",AB120,"COBERTURA_INSUFICIENTE"),"LEXEMA_O_FORMA")),IF(W120="RESTAURACION",IF(H120=X120,AA120,IF(OR(H120="NINGUNO",H120="RESTAURACION_POSTERIOR",H120="RESTAURACION_FALLIDA"),IF(J120="COMPLETA",AB120,"COBERTURA_INSUFICIENTE"),"LEXEMA_O_FORMA")),"PERFIL_NO_CONSTITUIDO"))))))))))))))))))</x:f>
        <x:v>CONFLICTO_OBSERVACIONAL</x:v>
      </x:c>
      <x:c r="R120" s="12" t="str">
        <x:f>IF(AND(L120=O120,M120=P120,N120=Q120),"PASA","NO_PASA")</x:f>
        <x:v>PASA</x:v>
      </x:c>
      <x:c r="S120" s="4" t="str">
        <x:v>Conflicto entre observaciones admitidas del mismo sujeto y corte.</x:v>
      </x:c>
      <x:c r="T120" s="12" t="str">
        <x:f>IFERROR(INDEX('55_Codificacion_ensayo'!$B$5:$B$13,MATCH(B120,'55_Codificacion_ensayo'!$A$5:$A$13,0)),"")</x:f>
        <x:v>HISTORIA-RESTAURACION-PREVIA-0.1</x:v>
      </x:c>
      <x:c r="U120" s="12" t="str">
        <x:f>IFERROR(INDEX('55_Codificacion_ensayo'!$C$5:$C$13,MATCH(B120,'55_Codificacion_ensayo'!$A$5:$A$13,0)),"")</x:f>
        <x:v>TRABAJO_RESTAURACION</x:v>
      </x:c>
      <x:c r="V120" s="12" t="str">
        <x:f>IFERROR(INDEX('55_Codificacion_ensayo'!$D$5:$D$13,MATCH(B120,'55_Codificacion_ensayo'!$A$5:$A$13,0)),"")</x:f>
        <x:v>ORDEN_ACREDITADO</x:v>
      </x:c>
      <x:c r="W120" s="12" t="str">
        <x:f>IFERROR(INDEX('55_Codificacion_ensayo'!$E$5:$E$13,MATCH(B120,'55_Codificacion_ensayo'!$A$5:$A$13,0)),"")</x:f>
        <x:v>RESTAURACION</x:v>
      </x:c>
      <x:c r="X120" s="12" t="str">
        <x:f>IFERROR(INDEX('55_Codificacion_ensayo'!$F$5:$F$13,MATCH(B120,'55_Codificacion_ensayo'!$A$5:$A$13,0)),"")</x:f>
        <x:v>RESTAURACION_PREVIA</x:v>
      </x:c>
      <x:c r="Y120" s="12" t="str">
        <x:f>IFERROR(INDEX('55_Codificacion_ensayo'!$G$5:$G$13,MATCH(B120,'55_Codificacion_ensayo'!$A$5:$A$13,0)),"")</x:f>
      </x:c>
      <x:c r="Z120" s="12" t="str">
        <x:f>IFERROR(INDEX('55_Codificacion_ensayo'!$H$5:$H$13,MATCH(B120,'55_Codificacion_ensayo'!$A$5:$A$13,0)),"")</x:f>
        <x:v>NINGUNO</x:v>
      </x:c>
      <x:c r="AA120" s="12" t="str">
        <x:f>IFERROR(INDEX('55_Codificacion_ensayo'!$I$5:$I$13,MATCH(B120,'55_Codificacion_ensayo'!$A$5:$A$13,0)),"")</x:f>
        <x:v>RESTAURACION_PREVIA</x:v>
      </x:c>
      <x:c r="AB120" s="12" t="str">
        <x:f>IFERROR(INDEX('55_Codificacion_ensayo'!$J$5:$J$13,MATCH(B120,'55_Codificacion_ensayo'!$A$5:$A$13,0)),"")</x:f>
        <x:v>SIN_RESTAURACION_PREVIA</x:v>
      </x:c>
    </x:row>
    <x:row r="121" ht="47" customHeight="1">
      <x:c r="A121" s="4" t="str">
        <x:v>L10-10-05</x:v>
      </x:c>
      <x:c r="B121" s="4" t="str">
        <x:v>PAR-CYB-RESTAURACION-PREVIA-COMUNICADA-001</x:v>
      </x:c>
      <x:c r="C121" s="4" t="str">
        <x:v>HISTORIA-RESTAURACION-PREVIA-0.1</x:v>
      </x:c>
      <x:c r="D121" s="4" t="str">
        <x:v>COINCIDE</x:v>
      </x:c>
      <x:c r="E121" s="4" t="str">
        <x:v>FALLO</x:v>
      </x:c>
      <x:c r="F121" s="4" t="str">
        <x:v>TRABAJO_RESTAURACION</x:v>
      </x:c>
      <x:c r="G121" s="4" t="str">
        <x:v>UNICA</x:v>
      </x:c>
      <x:c r="H121" s="4" t="str">
        <x:v>RESTAURACION_PREVIA</x:v>
      </x:c>
      <x:c r="I121" s="4" t="str"/>
      <x:c r="J121" s="4" t="str">
        <x:v>COMPLETA</x:v>
      </x:c>
      <x:c r="K121" s="4" t="str">
        <x:v>ORDEN_ACREDITADO</x:v>
      </x:c>
      <x:c r="L121" s="4" t="str">
        <x:v>FALLO_CAPTURA</x:v>
      </x:c>
      <x:c r="M121" s="4" t="str"/>
      <x:c r="N121" s="4" t="str">
        <x:v>SIN_EJECUCION_DOMINIO</x:v>
      </x:c>
      <x:c r="O121" s="12" t="str">
        <x:f>IF(Q121="SIN_EJECUCION_DOMINIO","FALLO_CAPTURA",IF(OR(Q121="CAPTURA_MAL_FORMADA",Q121="IDENTIDAD",Q121="OBSERVACION_MAL_FORMADA",Q121="LEXEMA_O_FORMA"),"NO_ADMISION",IF(OR(Q121="PERFIL_NO_CONSTITUIDO",Q121="RESULTADO_NO_TERMINAL"),"FUERA_PERFIL",IF(Q121="CONTEXTO_NO_CONSTITUIDO","CONFIGURACION_PENDIENTE","VALIDA"))))</x:f>
        <x:v>FALLO_CAPTURA</x:v>
      </x:c>
      <x:c r="P121" s="12" t="str">
        <x:f>IF(O121&lt;&gt;"VALIDA","",IF(Q121=AA121,"1",IF(Q121=AB121,"0","U")))</x:f>
      </x:c>
      <x:c r="Q121" s="12" t="str">
        <x:f>IF(E121="FALLO","SIN_EJECUCION_DOMINIO",IF(E121&lt;&gt;"LEGIBLE","CAPTURA_MAL_FORMADA",IF(D121&lt;&gt;"COINCIDE","IDENTIDAD",IF(OR(T121="",C121&lt;&gt;T121),"PERFIL_NO_CONSTITUIDO",IF(K121&lt;&gt;V121,IF(V121="ORDEN_ACREDITADO","ORDEN_NO_ACREDITADO","CONTEXTO_NO_CONSTITUIDO"),IF(AND(G121="AUSENTE",H121="",I121=""),"DATO_AUSENTE",IF(AND(G121="CONFLICTO",H121="",I121=""),"CONFLICTO_OBSERVACIONAL",IF(G121&lt;&gt;"UNICA","OBSERVACION_MAL_FORMADA",IF(F121&lt;&gt;U121,"OBSERVACION_INSUFICIENTE",IF(W121="RESULTADO",IF(H121=X121,AA121,IF(OR(H121="orcSucceededWithErrors",H121="orcFailed",H121="orcAborted"),AB121,IF(OR(H121="orcNotStarted",H121="orcInProgress"),"RESULTADO_NO_TERMINAL","LEXEMA_O_FORMA"))),IF(W121="EVENTO_BOOT",IF(H121=X121,AA121,IF(OR(H121="NINGUNO",H121="SOLO_HIBRIDO"),IF(J121="COMPLETA",AB121,"COBERTURA_INSUFICIENTE"),"LEXEMA_O_FORMA")),IF(W121="REQUISITO_SOFT",IF(H121=X121,AA121,IF(H121=Z121,AB121,"LEXEMA_O_FORMA")),IF(W121="EVENTO_PROC",IF(H121=X121,AA121,IF(H121=Z121,IF(J121="COMPLETA",AB121,"COBERTURA_INSUFICIENTE"),"LEXEMA_O_FORMA")),IF(W121="IMAGEN",IF(AND(AND(ISTEXT(H121),LEN(("x"&amp;H121))=65,EXACT(("x"&amp;H121),LOWER(("x"&amp;H121))),ISERROR(SEARCH(" ",("x"&amp;H121))),ISERROR(SEARCH(CHAR(9),("x"&amp;H121))),ISERROR(SEARCH(CHAR(10),("x"&amp;H121))),ISERROR(SEARCH(CHAR(13),("x"&amp;H121))),IFERROR(HEX2DEC(MID(("x"&amp;H121),2,8))&gt;=0,FALSE),IFERROR(HEX2DEC(MID(("x"&amp;H121),10,8))&gt;=0,FALSE),IFERROR(HEX2DEC(MID(("x"&amp;H121),18,8))&gt;=0,FALSE),IFERROR(HEX2DEC(MID(("x"&amp;H121),26,8))&gt;=0,FALSE),IFERROR(HEX2DEC(MID(("x"&amp;H121),34,8))&gt;=0,FALSE),IFERROR(HEX2DEC(MID(("x"&amp;H121),42,8))&gt;=0,FALSE),IFERROR(HEX2DEC(MID(("x"&amp;H121),50,8))&gt;=0,FALSE),IFERROR(HEX2DEC(MID(("x"&amp;H121),58,8))&gt;=0,FALSE)),AND(ISTEXT(I121),LEN(("x"&amp;I121))=65,EXACT(("x"&amp;I121),LOWER(("x"&amp;I121))),ISERROR(SEARCH(" ",("x"&amp;I121))),ISERROR(SEARCH(CHAR(9),("x"&amp;I121))),ISERROR(SEARCH(CHAR(10),("x"&amp;I121))),ISERROR(SEARCH(CHAR(13),("x"&amp;I121))),IFERROR(HEX2DEC(MID(("x"&amp;I121),2,8))&gt;=0,FALSE),IFERROR(HEX2DEC(MID(("x"&amp;I121),10,8))&gt;=0,FALSE),IFERROR(HEX2DEC(MID(("x"&amp;I121),18,8))&gt;=0,FALSE),IFERROR(HEX2DEC(MID(("x"&amp;I121),26,8))&gt;=0,FALSE),IFERROR(HEX2DEC(MID(("x"&amp;I121),34,8))&gt;=0,FALSE),IFERROR(HEX2DEC(MID(("x"&amp;I121),42,8))&gt;=0,FALSE),IFERROR(HEX2DEC(MID(("x"&amp;I121),50,8))&gt;=0,FALSE),IFERROR(HEX2DEC(MID(("x"&amp;I121),58,8))&gt;=0,FALSE))),IF(EXACT("x"&amp;H121,"x"&amp;I121),AA121,AB121),"LEXEMA_O_FORMA"),IF(W121="PRUEBA",IF(H121=X121,AA121,IF(H121=Z121,AB121,"LEXEMA_O_FORMA")),IF(W121="RETIRADA",IF(AND(H121="NINGUNO",I121=""),IF(J121="COMPLETA",AB121,"COBERTURA_INSUFICIENTE"),IF(AND(OR(H121="uoInstallation",H121="uoUninstallation"),OR(I121="orcSucceeded",I121="orcSucceededWithErrors",I121="orcFailed",I121="orcAborted",I121="orcInProgress",I121="orcNotStarted")),IF(AND(H121=X121,I121=Y121),AA121,IF(AND(H121=X121,OR(I121="orcSucceededWithErrors",I121="orcInProgress",I121="orcNotStarted")),"RESULTADO_RETIRADA_INCIERTO",IF(J121="COMPLETA",AB121,"COBERTURA_INSUFICIENTE"))),"LEXEMA_O_FORMA")),IF(W121="CAMBIO",IF(OR(H121="CAMBIO",H121="CAMBIO_Y_RETORNO"),AA121,IF(OR(H121="NINGUNO",H121="SOLO_RENOMBRE"),IF(J121="COMPLETA",AB121,"COBERTURA_INSUFICIENTE"),"LEXEMA_O_FORMA")),IF(W121="RESTAURACION",IF(H121=X121,AA121,IF(OR(H121="NINGUNO",H121="RESTAURACION_POSTERIOR",H121="RESTAURACION_FALLIDA"),IF(J121="COMPLETA",AB121,"COBERTURA_INSUFICIENTE"),"LEXEMA_O_FORMA")),"PERFIL_NO_CONSTITUIDO"))))))))))))))))))</x:f>
        <x:v>SIN_EJECUCION_DOMINIO</x:v>
      </x:c>
      <x:c r="R121" s="12" t="str">
        <x:f>IF(AND(L121=O121,M121=P121,N121=Q121),"PASA","NO_PASA")</x:f>
        <x:v>PASA</x:v>
      </x:c>
      <x:c r="S121" s="4" t="str">
        <x:v>El observador falla; no existe ejecución de dominio ni Tri alternativo.</x:v>
      </x:c>
      <x:c r="T121" s="12" t="str">
        <x:f>IFERROR(INDEX('55_Codificacion_ensayo'!$B$5:$B$13,MATCH(B121,'55_Codificacion_ensayo'!$A$5:$A$13,0)),"")</x:f>
        <x:v>HISTORIA-RESTAURACION-PREVIA-0.1</x:v>
      </x:c>
      <x:c r="U121" s="12" t="str">
        <x:f>IFERROR(INDEX('55_Codificacion_ensayo'!$C$5:$C$13,MATCH(B121,'55_Codificacion_ensayo'!$A$5:$A$13,0)),"")</x:f>
        <x:v>TRABAJO_RESTAURACION</x:v>
      </x:c>
      <x:c r="V121" s="12" t="str">
        <x:f>IFERROR(INDEX('55_Codificacion_ensayo'!$D$5:$D$13,MATCH(B121,'55_Codificacion_ensayo'!$A$5:$A$13,0)),"")</x:f>
        <x:v>ORDEN_ACREDITADO</x:v>
      </x:c>
      <x:c r="W121" s="12" t="str">
        <x:f>IFERROR(INDEX('55_Codificacion_ensayo'!$E$5:$E$13,MATCH(B121,'55_Codificacion_ensayo'!$A$5:$A$13,0)),"")</x:f>
        <x:v>RESTAURACION</x:v>
      </x:c>
      <x:c r="X121" s="12" t="str">
        <x:f>IFERROR(INDEX('55_Codificacion_ensayo'!$F$5:$F$13,MATCH(B121,'55_Codificacion_ensayo'!$A$5:$A$13,0)),"")</x:f>
        <x:v>RESTAURACION_PREVIA</x:v>
      </x:c>
      <x:c r="Y121" s="12" t="str">
        <x:f>IFERROR(INDEX('55_Codificacion_ensayo'!$G$5:$G$13,MATCH(B121,'55_Codificacion_ensayo'!$A$5:$A$13,0)),"")</x:f>
      </x:c>
      <x:c r="Z121" s="12" t="str">
        <x:f>IFERROR(INDEX('55_Codificacion_ensayo'!$H$5:$H$13,MATCH(B121,'55_Codificacion_ensayo'!$A$5:$A$13,0)),"")</x:f>
        <x:v>NINGUNO</x:v>
      </x:c>
      <x:c r="AA121" s="12" t="str">
        <x:f>IFERROR(INDEX('55_Codificacion_ensayo'!$I$5:$I$13,MATCH(B121,'55_Codificacion_ensayo'!$A$5:$A$13,0)),"")</x:f>
        <x:v>RESTAURACION_PREVIA</x:v>
      </x:c>
      <x:c r="AB121" s="12" t="str">
        <x:f>IFERROR(INDEX('55_Codificacion_ensayo'!$J$5:$J$13,MATCH(B121,'55_Codificacion_ensayo'!$A$5:$A$13,0)),"")</x:f>
        <x:v>SIN_RESTAURACION_PREVIA</x:v>
      </x:c>
    </x:row>
    <x:row r="122" ht="47" customHeight="1">
      <x:c r="A122" s="4" t="str">
        <x:v>L10-10-06</x:v>
      </x:c>
      <x:c r="B122" s="4" t="str">
        <x:v>PAR-CYB-RESTAURACION-PREVIA-COMUNICADA-001</x:v>
      </x:c>
      <x:c r="C122" s="4" t="str">
        <x:v>HISTORIA-RESTAURACION-PREVIA-0.1</x:v>
      </x:c>
      <x:c r="D122" s="4" t="str">
        <x:v>OTRO</x:v>
      </x:c>
      <x:c r="E122" s="4" t="str">
        <x:v>LEGIBLE</x:v>
      </x:c>
      <x:c r="F122" s="4" t="str">
        <x:v>TRABAJO_RESTAURACION</x:v>
      </x:c>
      <x:c r="G122" s="4" t="str">
        <x:v>UNICA</x:v>
      </x:c>
      <x:c r="H122" s="4" t="str">
        <x:v>RESTAURACION_PREVIA</x:v>
      </x:c>
      <x:c r="I122" s="4" t="str"/>
      <x:c r="J122" s="4" t="str">
        <x:v>COMPLETA</x:v>
      </x:c>
      <x:c r="K122" s="4" t="str">
        <x:v>ORDEN_ACREDITADO</x:v>
      </x:c>
      <x:c r="L122" s="4" t="str">
        <x:v>NO_ADMISION</x:v>
      </x:c>
      <x:c r="M122" s="4" t="str"/>
      <x:c r="N122" s="4" t="str">
        <x:v>IDENTIDAD</x:v>
      </x:c>
      <x:c r="O122" s="12" t="str">
        <x:f>IF(Q122="SIN_EJECUCION_DOMINIO","FALLO_CAPTURA",IF(OR(Q122="CAPTURA_MAL_FORMADA",Q122="IDENTIDAD",Q122="OBSERVACION_MAL_FORMADA",Q122="LEXEMA_O_FORMA"),"NO_ADMISION",IF(OR(Q122="PERFIL_NO_CONSTITUIDO",Q122="RESULTADO_NO_TERMINAL"),"FUERA_PERFIL",IF(Q122="CONTEXTO_NO_CONSTITUIDO","CONFIGURACION_PENDIENTE","VALIDA"))))</x:f>
        <x:v>NO_ADMISION</x:v>
      </x:c>
      <x:c r="P122" s="12" t="str">
        <x:f>IF(O122&lt;&gt;"VALIDA","",IF(Q122=AA122,"1",IF(Q122=AB122,"0","U")))</x:f>
      </x:c>
      <x:c r="Q122" s="12" t="str">
        <x:f>IF(E122="FALLO","SIN_EJECUCION_DOMINIO",IF(E122&lt;&gt;"LEGIBLE","CAPTURA_MAL_FORMADA",IF(D122&lt;&gt;"COINCIDE","IDENTIDAD",IF(OR(T122="",C122&lt;&gt;T122),"PERFIL_NO_CONSTITUIDO",IF(K122&lt;&gt;V122,IF(V122="ORDEN_ACREDITADO","ORDEN_NO_ACREDITADO","CONTEXTO_NO_CONSTITUIDO"),IF(AND(G122="AUSENTE",H122="",I122=""),"DATO_AUSENTE",IF(AND(G122="CONFLICTO",H122="",I122=""),"CONFLICTO_OBSERVACIONAL",IF(G122&lt;&gt;"UNICA","OBSERVACION_MAL_FORMADA",IF(F122&lt;&gt;U122,"OBSERVACION_INSUFICIENTE",IF(W122="RESULTADO",IF(H122=X122,AA122,IF(OR(H122="orcSucceededWithErrors",H122="orcFailed",H122="orcAborted"),AB122,IF(OR(H122="orcNotStarted",H122="orcInProgress"),"RESULTADO_NO_TERMINAL","LEXEMA_O_FORMA"))),IF(W122="EVENTO_BOOT",IF(H122=X122,AA122,IF(OR(H122="NINGUNO",H122="SOLO_HIBRIDO"),IF(J122="COMPLETA",AB122,"COBERTURA_INSUFICIENTE"),"LEXEMA_O_FORMA")),IF(W122="REQUISITO_SOFT",IF(H122=X122,AA122,IF(H122=Z122,AB122,"LEXEMA_O_FORMA")),IF(W122="EVENTO_PROC",IF(H122=X122,AA122,IF(H122=Z122,IF(J122="COMPLETA",AB122,"COBERTURA_INSUFICIENTE"),"LEXEMA_O_FORMA")),IF(W122="IMAGEN",IF(AND(AND(ISTEXT(H122),LEN(("x"&amp;H122))=65,EXACT(("x"&amp;H122),LOWER(("x"&amp;H122))),ISERROR(SEARCH(" ",("x"&amp;H122))),ISERROR(SEARCH(CHAR(9),("x"&amp;H122))),ISERROR(SEARCH(CHAR(10),("x"&amp;H122))),ISERROR(SEARCH(CHAR(13),("x"&amp;H122))),IFERROR(HEX2DEC(MID(("x"&amp;H122),2,8))&gt;=0,FALSE),IFERROR(HEX2DEC(MID(("x"&amp;H122),10,8))&gt;=0,FALSE),IFERROR(HEX2DEC(MID(("x"&amp;H122),18,8))&gt;=0,FALSE),IFERROR(HEX2DEC(MID(("x"&amp;H122),26,8))&gt;=0,FALSE),IFERROR(HEX2DEC(MID(("x"&amp;H122),34,8))&gt;=0,FALSE),IFERROR(HEX2DEC(MID(("x"&amp;H122),42,8))&gt;=0,FALSE),IFERROR(HEX2DEC(MID(("x"&amp;H122),50,8))&gt;=0,FALSE),IFERROR(HEX2DEC(MID(("x"&amp;H122),58,8))&gt;=0,FALSE)),AND(ISTEXT(I122),LEN(("x"&amp;I122))=65,EXACT(("x"&amp;I122),LOWER(("x"&amp;I122))),ISERROR(SEARCH(" ",("x"&amp;I122))),ISERROR(SEARCH(CHAR(9),("x"&amp;I122))),ISERROR(SEARCH(CHAR(10),("x"&amp;I122))),ISERROR(SEARCH(CHAR(13),("x"&amp;I122))),IFERROR(HEX2DEC(MID(("x"&amp;I122),2,8))&gt;=0,FALSE),IFERROR(HEX2DEC(MID(("x"&amp;I122),10,8))&gt;=0,FALSE),IFERROR(HEX2DEC(MID(("x"&amp;I122),18,8))&gt;=0,FALSE),IFERROR(HEX2DEC(MID(("x"&amp;I122),26,8))&gt;=0,FALSE),IFERROR(HEX2DEC(MID(("x"&amp;I122),34,8))&gt;=0,FALSE),IFERROR(HEX2DEC(MID(("x"&amp;I122),42,8))&gt;=0,FALSE),IFERROR(HEX2DEC(MID(("x"&amp;I122),50,8))&gt;=0,FALSE),IFERROR(HEX2DEC(MID(("x"&amp;I122),58,8))&gt;=0,FALSE))),IF(EXACT("x"&amp;H122,"x"&amp;I122),AA122,AB122),"LEXEMA_O_FORMA"),IF(W122="PRUEBA",IF(H122=X122,AA122,IF(H122=Z122,AB122,"LEXEMA_O_FORMA")),IF(W122="RETIRADA",IF(AND(H122="NINGUNO",I122=""),IF(J122="COMPLETA",AB122,"COBERTURA_INSUFICIENTE"),IF(AND(OR(H122="uoInstallation",H122="uoUninstallation"),OR(I122="orcSucceeded",I122="orcSucceededWithErrors",I122="orcFailed",I122="orcAborted",I122="orcInProgress",I122="orcNotStarted")),IF(AND(H122=X122,I122=Y122),AA122,IF(AND(H122=X122,OR(I122="orcSucceededWithErrors",I122="orcInProgress",I122="orcNotStarted")),"RESULTADO_RETIRADA_INCIERTO",IF(J122="COMPLETA",AB122,"COBERTURA_INSUFICIENTE"))),"LEXEMA_O_FORMA")),IF(W122="CAMBIO",IF(OR(H122="CAMBIO",H122="CAMBIO_Y_RETORNO"),AA122,IF(OR(H122="NINGUNO",H122="SOLO_RENOMBRE"),IF(J122="COMPLETA",AB122,"COBERTURA_INSUFICIENTE"),"LEXEMA_O_FORMA")),IF(W122="RESTAURACION",IF(H122=X122,AA122,IF(OR(H122="NINGUNO",H122="RESTAURACION_POSTERIOR",H122="RESTAURACION_FALLIDA"),IF(J122="COMPLETA",AB122,"COBERTURA_INSUFICIENTE"),"LEXEMA_O_FORMA")),"PERFIL_NO_CONSTITUIDO"))))))))))))))))))</x:f>
        <x:v>IDENTIDAD</x:v>
      </x:c>
      <x:c r="R122" s="12" t="str">
        <x:f>IF(AND(L122=O122,M122=P122,N122=Q122),"PASA","NO_PASA")</x:f>
        <x:v>PASA</x:v>
      </x:c>
      <x:c r="S122" s="4" t="str">
        <x:v>El testigo pertenece a otro sujeto; no se recicla su dato.</x:v>
      </x:c>
      <x:c r="T122" s="12" t="str">
        <x:f>IFERROR(INDEX('55_Codificacion_ensayo'!$B$5:$B$13,MATCH(B122,'55_Codificacion_ensayo'!$A$5:$A$13,0)),"")</x:f>
        <x:v>HISTORIA-RESTAURACION-PREVIA-0.1</x:v>
      </x:c>
      <x:c r="U122" s="12" t="str">
        <x:f>IFERROR(INDEX('55_Codificacion_ensayo'!$C$5:$C$13,MATCH(B122,'55_Codificacion_ensayo'!$A$5:$A$13,0)),"")</x:f>
        <x:v>TRABAJO_RESTAURACION</x:v>
      </x:c>
      <x:c r="V122" s="12" t="str">
        <x:f>IFERROR(INDEX('55_Codificacion_ensayo'!$D$5:$D$13,MATCH(B122,'55_Codificacion_ensayo'!$A$5:$A$13,0)),"")</x:f>
        <x:v>ORDEN_ACREDITADO</x:v>
      </x:c>
      <x:c r="W122" s="12" t="str">
        <x:f>IFERROR(INDEX('55_Codificacion_ensayo'!$E$5:$E$13,MATCH(B122,'55_Codificacion_ensayo'!$A$5:$A$13,0)),"")</x:f>
        <x:v>RESTAURACION</x:v>
      </x:c>
      <x:c r="X122" s="12" t="str">
        <x:f>IFERROR(INDEX('55_Codificacion_ensayo'!$F$5:$F$13,MATCH(B122,'55_Codificacion_ensayo'!$A$5:$A$13,0)),"")</x:f>
        <x:v>RESTAURACION_PREVIA</x:v>
      </x:c>
      <x:c r="Y122" s="12" t="str">
        <x:f>IFERROR(INDEX('55_Codificacion_ensayo'!$G$5:$G$13,MATCH(B122,'55_Codificacion_ensayo'!$A$5:$A$13,0)),"")</x:f>
      </x:c>
      <x:c r="Z122" s="12" t="str">
        <x:f>IFERROR(INDEX('55_Codificacion_ensayo'!$H$5:$H$13,MATCH(B122,'55_Codificacion_ensayo'!$A$5:$A$13,0)),"")</x:f>
        <x:v>NINGUNO</x:v>
      </x:c>
      <x:c r="AA122" s="12" t="str">
        <x:f>IFERROR(INDEX('55_Codificacion_ensayo'!$I$5:$I$13,MATCH(B122,'55_Codificacion_ensayo'!$A$5:$A$13,0)),"")</x:f>
        <x:v>RESTAURACION_PREVIA</x:v>
      </x:c>
      <x:c r="AB122" s="12" t="str">
        <x:f>IFERROR(INDEX('55_Codificacion_ensayo'!$J$5:$J$13,MATCH(B122,'55_Codificacion_ensayo'!$A$5:$A$13,0)),"")</x:f>
        <x:v>SIN_RESTAURACION_PREVIA</x:v>
      </x:c>
    </x:row>
    <x:row r="123" ht="47" customHeight="1">
      <x:c r="A123" s="4" t="str">
        <x:v>L10-10-07</x:v>
      </x:c>
      <x:c r="B123" s="4" t="str">
        <x:v>PAR-CYB-RESTAURACION-PREVIA-COMUNICADA-001</x:v>
      </x:c>
      <x:c r="C123" s="4" t="str">
        <x:v>HISTORIA-RESTAURACION-PREVIA-0.1</x:v>
      </x:c>
      <x:c r="D123" s="4" t="str">
        <x:v>COINCIDE</x:v>
      </x:c>
      <x:c r="E123" s="4" t="str">
        <x:v>LEGIBLE</x:v>
      </x:c>
      <x:c r="F123" s="4" t="str">
        <x:v>FUENTE_GENERAL</x:v>
      </x:c>
      <x:c r="G123" s="4" t="str">
        <x:v>UNICA</x:v>
      </x:c>
      <x:c r="H123" s="4" t="str">
        <x:v>RESTAURACION_PREVIA</x:v>
      </x:c>
      <x:c r="I123" s="4" t="str"/>
      <x:c r="J123" s="4" t="str">
        <x:v>COMPLETA</x:v>
      </x:c>
      <x:c r="K123" s="4" t="str">
        <x:v>ORDEN_ACREDITADO</x:v>
      </x:c>
      <x:c r="L123" s="4" t="str">
        <x:v>VALIDA</x:v>
      </x:c>
      <x:c r="M123" s="4" t="str">
        <x:v>U</x:v>
      </x:c>
      <x:c r="N123" s="4" t="str">
        <x:v>OBSERVACION_INSUFICIENTE</x:v>
      </x:c>
      <x:c r="O123" s="12" t="str">
        <x:f>IF(Q123="SIN_EJECUCION_DOMINIO","FALLO_CAPTURA",IF(OR(Q123="CAPTURA_MAL_FORMADA",Q123="IDENTIDAD",Q123="OBSERVACION_MAL_FORMADA",Q123="LEXEMA_O_FORMA"),"NO_ADMISION",IF(OR(Q123="PERFIL_NO_CONSTITUIDO",Q123="RESULTADO_NO_TERMINAL"),"FUERA_PERFIL",IF(Q123="CONTEXTO_NO_CONSTITUIDO","CONFIGURACION_PENDIENTE","VALIDA"))))</x:f>
        <x:v>VALIDA</x:v>
      </x:c>
      <x:c r="P123" s="12" t="str">
        <x:f>IF(O123&lt;&gt;"VALIDA","",IF(Q123=AA123,"1",IF(Q123=AB123,"0","U")))</x:f>
        <x:v>U</x:v>
      </x:c>
      <x:c r="Q123" s="12" t="str">
        <x:f>IF(E123="FALLO","SIN_EJECUCION_DOMINIO",IF(E123&lt;&gt;"LEGIBLE","CAPTURA_MAL_FORMADA",IF(D123&lt;&gt;"COINCIDE","IDENTIDAD",IF(OR(T123="",C123&lt;&gt;T123),"PERFIL_NO_CONSTITUIDO",IF(K123&lt;&gt;V123,IF(V123="ORDEN_ACREDITADO","ORDEN_NO_ACREDITADO","CONTEXTO_NO_CONSTITUIDO"),IF(AND(G123="AUSENTE",H123="",I123=""),"DATO_AUSENTE",IF(AND(G123="CONFLICTO",H123="",I123=""),"CONFLICTO_OBSERVACIONAL",IF(G123&lt;&gt;"UNICA","OBSERVACION_MAL_FORMADA",IF(F123&lt;&gt;U123,"OBSERVACION_INSUFICIENTE",IF(W123="RESULTADO",IF(H123=X123,AA123,IF(OR(H123="orcSucceededWithErrors",H123="orcFailed",H123="orcAborted"),AB123,IF(OR(H123="orcNotStarted",H123="orcInProgress"),"RESULTADO_NO_TERMINAL","LEXEMA_O_FORMA"))),IF(W123="EVENTO_BOOT",IF(H123=X123,AA123,IF(OR(H123="NINGUNO",H123="SOLO_HIBRIDO"),IF(J123="COMPLETA",AB123,"COBERTURA_INSUFICIENTE"),"LEXEMA_O_FORMA")),IF(W123="REQUISITO_SOFT",IF(H123=X123,AA123,IF(H123=Z123,AB123,"LEXEMA_O_FORMA")),IF(W123="EVENTO_PROC",IF(H123=X123,AA123,IF(H123=Z123,IF(J123="COMPLETA",AB123,"COBERTURA_INSUFICIENTE"),"LEXEMA_O_FORMA")),IF(W123="IMAGEN",IF(AND(AND(ISTEXT(H123),LEN(("x"&amp;H123))=65,EXACT(("x"&amp;H123),LOWER(("x"&amp;H123))),ISERROR(SEARCH(" ",("x"&amp;H123))),ISERROR(SEARCH(CHAR(9),("x"&amp;H123))),ISERROR(SEARCH(CHAR(10),("x"&amp;H123))),ISERROR(SEARCH(CHAR(13),("x"&amp;H123))),IFERROR(HEX2DEC(MID(("x"&amp;H123),2,8))&gt;=0,FALSE),IFERROR(HEX2DEC(MID(("x"&amp;H123),10,8))&gt;=0,FALSE),IFERROR(HEX2DEC(MID(("x"&amp;H123),18,8))&gt;=0,FALSE),IFERROR(HEX2DEC(MID(("x"&amp;H123),26,8))&gt;=0,FALSE),IFERROR(HEX2DEC(MID(("x"&amp;H123),34,8))&gt;=0,FALSE),IFERROR(HEX2DEC(MID(("x"&amp;H123),42,8))&gt;=0,FALSE),IFERROR(HEX2DEC(MID(("x"&amp;H123),50,8))&gt;=0,FALSE),IFERROR(HEX2DEC(MID(("x"&amp;H123),58,8))&gt;=0,FALSE)),AND(ISTEXT(I123),LEN(("x"&amp;I123))=65,EXACT(("x"&amp;I123),LOWER(("x"&amp;I123))),ISERROR(SEARCH(" ",("x"&amp;I123))),ISERROR(SEARCH(CHAR(9),("x"&amp;I123))),ISERROR(SEARCH(CHAR(10),("x"&amp;I123))),ISERROR(SEARCH(CHAR(13),("x"&amp;I123))),IFERROR(HEX2DEC(MID(("x"&amp;I123),2,8))&gt;=0,FALSE),IFERROR(HEX2DEC(MID(("x"&amp;I123),10,8))&gt;=0,FALSE),IFERROR(HEX2DEC(MID(("x"&amp;I123),18,8))&gt;=0,FALSE),IFERROR(HEX2DEC(MID(("x"&amp;I123),26,8))&gt;=0,FALSE),IFERROR(HEX2DEC(MID(("x"&amp;I123),34,8))&gt;=0,FALSE),IFERROR(HEX2DEC(MID(("x"&amp;I123),42,8))&gt;=0,FALSE),IFERROR(HEX2DEC(MID(("x"&amp;I123),50,8))&gt;=0,FALSE),IFERROR(HEX2DEC(MID(("x"&amp;I123),58,8))&gt;=0,FALSE))),IF(EXACT("x"&amp;H123,"x"&amp;I123),AA123,AB123),"LEXEMA_O_FORMA"),IF(W123="PRUEBA",IF(H123=X123,AA123,IF(H123=Z123,AB123,"LEXEMA_O_FORMA")),IF(W123="RETIRADA",IF(AND(H123="NINGUNO",I123=""),IF(J123="COMPLETA",AB123,"COBERTURA_INSUFICIENTE"),IF(AND(OR(H123="uoInstallation",H123="uoUninstallation"),OR(I123="orcSucceeded",I123="orcSucceededWithErrors",I123="orcFailed",I123="orcAborted",I123="orcInProgress",I123="orcNotStarted")),IF(AND(H123=X123,I123=Y123),AA123,IF(AND(H123=X123,OR(I123="orcSucceededWithErrors",I123="orcInProgress",I123="orcNotStarted")),"RESULTADO_RETIRADA_INCIERTO",IF(J123="COMPLETA",AB123,"COBERTURA_INSUFICIENTE"))),"LEXEMA_O_FORMA")),IF(W123="CAMBIO",IF(OR(H123="CAMBIO",H123="CAMBIO_Y_RETORNO"),AA123,IF(OR(H123="NINGUNO",H123="SOLO_RENOMBRE"),IF(J123="COMPLETA",AB123,"COBERTURA_INSUFICIENTE"),"LEXEMA_O_FORMA")),IF(W123="RESTAURACION",IF(H123=X123,AA123,IF(OR(H123="NINGUNO",H123="RESTAURACION_POSTERIOR",H123="RESTAURACION_FALLIDA"),IF(J123="COMPLETA",AB123,"COBERTURA_INSUFICIENTE"),"LEXEMA_O_FORMA")),"PERFIL_NO_CONSTITUIDO"))))))))))))))))))</x:f>
        <x:v>OBSERVACION_INSUFICIENTE</x:v>
      </x:c>
      <x:c r="R123" s="12" t="str">
        <x:f>IF(AND(L123=O123,M123=P123,N123=Q123),"PASA","NO_PASA")</x:f>
        <x:v>PASA</x:v>
      </x:c>
      <x:c r="S123" s="4" t="str">
        <x:v>Una fuente del dominio no sustituye la observación específica del episodio.</x:v>
      </x:c>
      <x:c r="T123" s="12" t="str">
        <x:f>IFERROR(INDEX('55_Codificacion_ensayo'!$B$5:$B$13,MATCH(B123,'55_Codificacion_ensayo'!$A$5:$A$13,0)),"")</x:f>
        <x:v>HISTORIA-RESTAURACION-PREVIA-0.1</x:v>
      </x:c>
      <x:c r="U123" s="12" t="str">
        <x:f>IFERROR(INDEX('55_Codificacion_ensayo'!$C$5:$C$13,MATCH(B123,'55_Codificacion_ensayo'!$A$5:$A$13,0)),"")</x:f>
        <x:v>TRABAJO_RESTAURACION</x:v>
      </x:c>
      <x:c r="V123" s="12" t="str">
        <x:f>IFERROR(INDEX('55_Codificacion_ensayo'!$D$5:$D$13,MATCH(B123,'55_Codificacion_ensayo'!$A$5:$A$13,0)),"")</x:f>
        <x:v>ORDEN_ACREDITADO</x:v>
      </x:c>
      <x:c r="W123" s="12" t="str">
        <x:f>IFERROR(INDEX('55_Codificacion_ensayo'!$E$5:$E$13,MATCH(B123,'55_Codificacion_ensayo'!$A$5:$A$13,0)),"")</x:f>
        <x:v>RESTAURACION</x:v>
      </x:c>
      <x:c r="X123" s="12" t="str">
        <x:f>IFERROR(INDEX('55_Codificacion_ensayo'!$F$5:$F$13,MATCH(B123,'55_Codificacion_ensayo'!$A$5:$A$13,0)),"")</x:f>
        <x:v>RESTAURACION_PREVIA</x:v>
      </x:c>
      <x:c r="Y123" s="12" t="str">
        <x:f>IFERROR(INDEX('55_Codificacion_ensayo'!$G$5:$G$13,MATCH(B123,'55_Codificacion_ensayo'!$A$5:$A$13,0)),"")</x:f>
      </x:c>
      <x:c r="Z123" s="12" t="str">
        <x:f>IFERROR(INDEX('55_Codificacion_ensayo'!$H$5:$H$13,MATCH(B123,'55_Codificacion_ensayo'!$A$5:$A$13,0)),"")</x:f>
        <x:v>NINGUNO</x:v>
      </x:c>
      <x:c r="AA123" s="12" t="str">
        <x:f>IFERROR(INDEX('55_Codificacion_ensayo'!$I$5:$I$13,MATCH(B123,'55_Codificacion_ensayo'!$A$5:$A$13,0)),"")</x:f>
        <x:v>RESTAURACION_PREVIA</x:v>
      </x:c>
      <x:c r="AB123" s="12" t="str">
        <x:f>IFERROR(INDEX('55_Codificacion_ensayo'!$J$5:$J$13,MATCH(B123,'55_Codificacion_ensayo'!$A$5:$A$13,0)),"")</x:f>
        <x:v>SIN_RESTAURACION_PREVIA</x:v>
      </x:c>
    </x:row>
    <x:row r="124" ht="47" customHeight="1">
      <x:c r="A124" s="4" t="str">
        <x:v>L10-10-08</x:v>
      </x:c>
      <x:c r="B124" s="4" t="str">
        <x:v>PAR-CYB-RESTAURACION-PREVIA-COMUNICADA-001</x:v>
      </x:c>
      <x:c r="C124" s="4" t="str">
        <x:v>OTRO_PERFIL</x:v>
      </x:c>
      <x:c r="D124" s="4" t="str">
        <x:v>COINCIDE</x:v>
      </x:c>
      <x:c r="E124" s="4" t="str">
        <x:v>LEGIBLE</x:v>
      </x:c>
      <x:c r="F124" s="4" t="str">
        <x:v>TRABAJO_RESTAURACION</x:v>
      </x:c>
      <x:c r="G124" s="4" t="str">
        <x:v>UNICA</x:v>
      </x:c>
      <x:c r="H124" s="4" t="str">
        <x:v>RESTAURACION_PREVIA</x:v>
      </x:c>
      <x:c r="I124" s="4" t="str"/>
      <x:c r="J124" s="4" t="str">
        <x:v>COMPLETA</x:v>
      </x:c>
      <x:c r="K124" s="4" t="str">
        <x:v>ORDEN_ACREDITADO</x:v>
      </x:c>
      <x:c r="L124" s="4" t="str">
        <x:v>FUERA_PERFIL</x:v>
      </x:c>
      <x:c r="M124" s="4" t="str"/>
      <x:c r="N124" s="4" t="str">
        <x:v>PERFIL_NO_CONSTITUIDO</x:v>
      </x:c>
      <x:c r="O124" s="12" t="str">
        <x:f>IF(Q124="SIN_EJECUCION_DOMINIO","FALLO_CAPTURA",IF(OR(Q124="CAPTURA_MAL_FORMADA",Q124="IDENTIDAD",Q124="OBSERVACION_MAL_FORMADA",Q124="LEXEMA_O_FORMA"),"NO_ADMISION",IF(OR(Q124="PERFIL_NO_CONSTITUIDO",Q124="RESULTADO_NO_TERMINAL"),"FUERA_PERFIL",IF(Q124="CONTEXTO_NO_CONSTITUIDO","CONFIGURACION_PENDIENTE","VALIDA"))))</x:f>
        <x:v>FUERA_PERFIL</x:v>
      </x:c>
      <x:c r="P124" s="12" t="str">
        <x:f>IF(O124&lt;&gt;"VALIDA","",IF(Q124=AA124,"1",IF(Q124=AB124,"0","U")))</x:f>
      </x:c>
      <x:c r="Q124" s="12" t="str">
        <x:f>IF(E124="FALLO","SIN_EJECUCION_DOMINIO",IF(E124&lt;&gt;"LEGIBLE","CAPTURA_MAL_FORMADA",IF(D124&lt;&gt;"COINCIDE","IDENTIDAD",IF(OR(T124="",C124&lt;&gt;T124),"PERFIL_NO_CONSTITUIDO",IF(K124&lt;&gt;V124,IF(V124="ORDEN_ACREDITADO","ORDEN_NO_ACREDITADO","CONTEXTO_NO_CONSTITUIDO"),IF(AND(G124="AUSENTE",H124="",I124=""),"DATO_AUSENTE",IF(AND(G124="CONFLICTO",H124="",I124=""),"CONFLICTO_OBSERVACIONAL",IF(G124&lt;&gt;"UNICA","OBSERVACION_MAL_FORMADA",IF(F124&lt;&gt;U124,"OBSERVACION_INSUFICIENTE",IF(W124="RESULTADO",IF(H124=X124,AA124,IF(OR(H124="orcSucceededWithErrors",H124="orcFailed",H124="orcAborted"),AB124,IF(OR(H124="orcNotStarted",H124="orcInProgress"),"RESULTADO_NO_TERMINAL","LEXEMA_O_FORMA"))),IF(W124="EVENTO_BOOT",IF(H124=X124,AA124,IF(OR(H124="NINGUNO",H124="SOLO_HIBRIDO"),IF(J124="COMPLETA",AB124,"COBERTURA_INSUFICIENTE"),"LEXEMA_O_FORMA")),IF(W124="REQUISITO_SOFT",IF(H124=X124,AA124,IF(H124=Z124,AB124,"LEXEMA_O_FORMA")),IF(W124="EVENTO_PROC",IF(H124=X124,AA124,IF(H124=Z124,IF(J124="COMPLETA",AB124,"COBERTURA_INSUFICIENTE"),"LEXEMA_O_FORMA")),IF(W124="IMAGEN",IF(AND(AND(ISTEXT(H124),LEN(("x"&amp;H124))=65,EXACT(("x"&amp;H124),LOWER(("x"&amp;H124))),ISERROR(SEARCH(" ",("x"&amp;H124))),ISERROR(SEARCH(CHAR(9),("x"&amp;H124))),ISERROR(SEARCH(CHAR(10),("x"&amp;H124))),ISERROR(SEARCH(CHAR(13),("x"&amp;H124))),IFERROR(HEX2DEC(MID(("x"&amp;H124),2,8))&gt;=0,FALSE),IFERROR(HEX2DEC(MID(("x"&amp;H124),10,8))&gt;=0,FALSE),IFERROR(HEX2DEC(MID(("x"&amp;H124),18,8))&gt;=0,FALSE),IFERROR(HEX2DEC(MID(("x"&amp;H124),26,8))&gt;=0,FALSE),IFERROR(HEX2DEC(MID(("x"&amp;H124),34,8))&gt;=0,FALSE),IFERROR(HEX2DEC(MID(("x"&amp;H124),42,8))&gt;=0,FALSE),IFERROR(HEX2DEC(MID(("x"&amp;H124),50,8))&gt;=0,FALSE),IFERROR(HEX2DEC(MID(("x"&amp;H124),58,8))&gt;=0,FALSE)),AND(ISTEXT(I124),LEN(("x"&amp;I124))=65,EXACT(("x"&amp;I124),LOWER(("x"&amp;I124))),ISERROR(SEARCH(" ",("x"&amp;I124))),ISERROR(SEARCH(CHAR(9),("x"&amp;I124))),ISERROR(SEARCH(CHAR(10),("x"&amp;I124))),ISERROR(SEARCH(CHAR(13),("x"&amp;I124))),IFERROR(HEX2DEC(MID(("x"&amp;I124),2,8))&gt;=0,FALSE),IFERROR(HEX2DEC(MID(("x"&amp;I124),10,8))&gt;=0,FALSE),IFERROR(HEX2DEC(MID(("x"&amp;I124),18,8))&gt;=0,FALSE),IFERROR(HEX2DEC(MID(("x"&amp;I124),26,8))&gt;=0,FALSE),IFERROR(HEX2DEC(MID(("x"&amp;I124),34,8))&gt;=0,FALSE),IFERROR(HEX2DEC(MID(("x"&amp;I124),42,8))&gt;=0,FALSE),IFERROR(HEX2DEC(MID(("x"&amp;I124),50,8))&gt;=0,FALSE),IFERROR(HEX2DEC(MID(("x"&amp;I124),58,8))&gt;=0,FALSE))),IF(EXACT("x"&amp;H124,"x"&amp;I124),AA124,AB124),"LEXEMA_O_FORMA"),IF(W124="PRUEBA",IF(H124=X124,AA124,IF(H124=Z124,AB124,"LEXEMA_O_FORMA")),IF(W124="RETIRADA",IF(AND(H124="NINGUNO",I124=""),IF(J124="COMPLETA",AB124,"COBERTURA_INSUFICIENTE"),IF(AND(OR(H124="uoInstallation",H124="uoUninstallation"),OR(I124="orcSucceeded",I124="orcSucceededWithErrors",I124="orcFailed",I124="orcAborted",I124="orcInProgress",I124="orcNotStarted")),IF(AND(H124=X124,I124=Y124),AA124,IF(AND(H124=X124,OR(I124="orcSucceededWithErrors",I124="orcInProgress",I124="orcNotStarted")),"RESULTADO_RETIRADA_INCIERTO",IF(J124="COMPLETA",AB124,"COBERTURA_INSUFICIENTE"))),"LEXEMA_O_FORMA")),IF(W124="CAMBIO",IF(OR(H124="CAMBIO",H124="CAMBIO_Y_RETORNO"),AA124,IF(OR(H124="NINGUNO",H124="SOLO_RENOMBRE"),IF(J124="COMPLETA",AB124,"COBERTURA_INSUFICIENTE"),"LEXEMA_O_FORMA")),IF(W124="RESTAURACION",IF(H124=X124,AA124,IF(OR(H124="NINGUNO",H124="RESTAURACION_POSTERIOR",H124="RESTAURACION_FALLIDA"),IF(J124="COMPLETA",AB124,"COBERTURA_INSUFICIENTE"),"LEXEMA_O_FORMA")),"PERFIL_NO_CONSTITUIDO"))))))))))))))))))</x:f>
        <x:v>PERFIL_NO_CONSTITUIDO</x:v>
      </x:c>
      <x:c r="R124" s="12" t="str">
        <x:f>IF(AND(L124=O124,M124=P124,N124=Q124),"PASA","NO_PASA")</x:f>
        <x:v>PASA</x:v>
      </x:c>
      <x:c r="S124" s="4" t="str">
        <x:v>Perfil de otro producto no se normaliza por analogía.</x:v>
      </x:c>
      <x:c r="T124" s="12" t="str">
        <x:f>IFERROR(INDEX('55_Codificacion_ensayo'!$B$5:$B$13,MATCH(B124,'55_Codificacion_ensayo'!$A$5:$A$13,0)),"")</x:f>
        <x:v>HISTORIA-RESTAURACION-PREVIA-0.1</x:v>
      </x:c>
      <x:c r="U124" s="12" t="str">
        <x:f>IFERROR(INDEX('55_Codificacion_ensayo'!$C$5:$C$13,MATCH(B124,'55_Codificacion_ensayo'!$A$5:$A$13,0)),"")</x:f>
        <x:v>TRABAJO_RESTAURACION</x:v>
      </x:c>
      <x:c r="V124" s="12" t="str">
        <x:f>IFERROR(INDEX('55_Codificacion_ensayo'!$D$5:$D$13,MATCH(B124,'55_Codificacion_ensayo'!$A$5:$A$13,0)),"")</x:f>
        <x:v>ORDEN_ACREDITADO</x:v>
      </x:c>
      <x:c r="W124" s="12" t="str">
        <x:f>IFERROR(INDEX('55_Codificacion_ensayo'!$E$5:$E$13,MATCH(B124,'55_Codificacion_ensayo'!$A$5:$A$13,0)),"")</x:f>
        <x:v>RESTAURACION</x:v>
      </x:c>
      <x:c r="X124" s="12" t="str">
        <x:f>IFERROR(INDEX('55_Codificacion_ensayo'!$F$5:$F$13,MATCH(B124,'55_Codificacion_ensayo'!$A$5:$A$13,0)),"")</x:f>
        <x:v>RESTAURACION_PREVIA</x:v>
      </x:c>
      <x:c r="Y124" s="12" t="str">
        <x:f>IFERROR(INDEX('55_Codificacion_ensayo'!$G$5:$G$13,MATCH(B124,'55_Codificacion_ensayo'!$A$5:$A$13,0)),"")</x:f>
      </x:c>
      <x:c r="Z124" s="12" t="str">
        <x:f>IFERROR(INDEX('55_Codificacion_ensayo'!$H$5:$H$13,MATCH(B124,'55_Codificacion_ensayo'!$A$5:$A$13,0)),"")</x:f>
        <x:v>NINGUNO</x:v>
      </x:c>
      <x:c r="AA124" s="12" t="str">
        <x:f>IFERROR(INDEX('55_Codificacion_ensayo'!$I$5:$I$13,MATCH(B124,'55_Codificacion_ensayo'!$A$5:$A$13,0)),"")</x:f>
        <x:v>RESTAURACION_PREVIA</x:v>
      </x:c>
      <x:c r="AB124" s="12" t="str">
        <x:f>IFERROR(INDEX('55_Codificacion_ensayo'!$J$5:$J$13,MATCH(B124,'55_Codificacion_ensayo'!$A$5:$A$13,0)),"")</x:f>
        <x:v>SIN_RESTAURACION_PREVIA</x:v>
      </x:c>
    </x:row>
    <x:row r="125" ht="47" customHeight="1">
      <x:c r="A125" s="4" t="str">
        <x:v>L10-10-09</x:v>
      </x:c>
      <x:c r="B125" s="4" t="str">
        <x:v>PAR-CYB-RESTAURACION-PREVIA-COMUNICADA-001</x:v>
      </x:c>
      <x:c r="C125" s="4" t="str">
        <x:v>HISTORIA-RESTAURACION-PREVIA-0.1</x:v>
      </x:c>
      <x:c r="D125" s="4" t="str">
        <x:v>COINCIDE</x:v>
      </x:c>
      <x:c r="E125" s="4" t="str">
        <x:v>LEGIBLE</x:v>
      </x:c>
      <x:c r="F125" s="4" t="str">
        <x:v>TRABAJO_RESTAURACION</x:v>
      </x:c>
      <x:c r="G125" s="4" t="str">
        <x:v>UNICA</x:v>
      </x:c>
      <x:c r="H125" s="4" t="str">
        <x:v>true false desconocido</x:v>
      </x:c>
      <x:c r="I125" s="4" t="str"/>
      <x:c r="J125" s="4" t="str">
        <x:v>COMPLETA</x:v>
      </x:c>
      <x:c r="K125" s="4" t="str">
        <x:v>ORDEN_ACREDITADO</x:v>
      </x:c>
      <x:c r="L125" s="4" t="str">
        <x:v>NO_ADMISION</x:v>
      </x:c>
      <x:c r="M125" s="4" t="str"/>
      <x:c r="N125" s="4" t="str">
        <x:v>LEXEMA_O_FORMA</x:v>
      </x:c>
      <x:c r="O125" s="12" t="str">
        <x:f>IF(Q125="SIN_EJECUCION_DOMINIO","FALLO_CAPTURA",IF(OR(Q125="CAPTURA_MAL_FORMADA",Q125="IDENTIDAD",Q125="OBSERVACION_MAL_FORMADA",Q125="LEXEMA_O_FORMA"),"NO_ADMISION",IF(OR(Q125="PERFIL_NO_CONSTITUIDO",Q125="RESULTADO_NO_TERMINAL"),"FUERA_PERFIL",IF(Q125="CONTEXTO_NO_CONSTITUIDO","CONFIGURACION_PENDIENTE","VALIDA"))))</x:f>
        <x:v>NO_ADMISION</x:v>
      </x:c>
      <x:c r="P125" s="12" t="str">
        <x:f>IF(O125&lt;&gt;"VALIDA","",IF(Q125=AA125,"1",IF(Q125=AB125,"0","U")))</x:f>
      </x:c>
      <x:c r="Q125" s="12" t="str">
        <x:f>IF(E125="FALLO","SIN_EJECUCION_DOMINIO",IF(E125&lt;&gt;"LEGIBLE","CAPTURA_MAL_FORMADA",IF(D125&lt;&gt;"COINCIDE","IDENTIDAD",IF(OR(T125="",C125&lt;&gt;T125),"PERFIL_NO_CONSTITUIDO",IF(K125&lt;&gt;V125,IF(V125="ORDEN_ACREDITADO","ORDEN_NO_ACREDITADO","CONTEXTO_NO_CONSTITUIDO"),IF(AND(G125="AUSENTE",H125="",I125=""),"DATO_AUSENTE",IF(AND(G125="CONFLICTO",H125="",I125=""),"CONFLICTO_OBSERVACIONAL",IF(G125&lt;&gt;"UNICA","OBSERVACION_MAL_FORMADA",IF(F125&lt;&gt;U125,"OBSERVACION_INSUFICIENTE",IF(W125="RESULTADO",IF(H125=X125,AA125,IF(OR(H125="orcSucceededWithErrors",H125="orcFailed",H125="orcAborted"),AB125,IF(OR(H125="orcNotStarted",H125="orcInProgress"),"RESULTADO_NO_TERMINAL","LEXEMA_O_FORMA"))),IF(W125="EVENTO_BOOT",IF(H125=X125,AA125,IF(OR(H125="NINGUNO",H125="SOLO_HIBRIDO"),IF(J125="COMPLETA",AB125,"COBERTURA_INSUFICIENTE"),"LEXEMA_O_FORMA")),IF(W125="REQUISITO_SOFT",IF(H125=X125,AA125,IF(H125=Z125,AB125,"LEXEMA_O_FORMA")),IF(W125="EVENTO_PROC",IF(H125=X125,AA125,IF(H125=Z125,IF(J125="COMPLETA",AB125,"COBERTURA_INSUFICIENTE"),"LEXEMA_O_FORMA")),IF(W125="IMAGEN",IF(AND(AND(ISTEXT(H125),LEN(("x"&amp;H125))=65,EXACT(("x"&amp;H125),LOWER(("x"&amp;H125))),ISERROR(SEARCH(" ",("x"&amp;H125))),ISERROR(SEARCH(CHAR(9),("x"&amp;H125))),ISERROR(SEARCH(CHAR(10),("x"&amp;H125))),ISERROR(SEARCH(CHAR(13),("x"&amp;H125))),IFERROR(HEX2DEC(MID(("x"&amp;H125),2,8))&gt;=0,FALSE),IFERROR(HEX2DEC(MID(("x"&amp;H125),10,8))&gt;=0,FALSE),IFERROR(HEX2DEC(MID(("x"&amp;H125),18,8))&gt;=0,FALSE),IFERROR(HEX2DEC(MID(("x"&amp;H125),26,8))&gt;=0,FALSE),IFERROR(HEX2DEC(MID(("x"&amp;H125),34,8))&gt;=0,FALSE),IFERROR(HEX2DEC(MID(("x"&amp;H125),42,8))&gt;=0,FALSE),IFERROR(HEX2DEC(MID(("x"&amp;H125),50,8))&gt;=0,FALSE),IFERROR(HEX2DEC(MID(("x"&amp;H125),58,8))&gt;=0,FALSE)),AND(ISTEXT(I125),LEN(("x"&amp;I125))=65,EXACT(("x"&amp;I125),LOWER(("x"&amp;I125))),ISERROR(SEARCH(" ",("x"&amp;I125))),ISERROR(SEARCH(CHAR(9),("x"&amp;I125))),ISERROR(SEARCH(CHAR(10),("x"&amp;I125))),ISERROR(SEARCH(CHAR(13),("x"&amp;I125))),IFERROR(HEX2DEC(MID(("x"&amp;I125),2,8))&gt;=0,FALSE),IFERROR(HEX2DEC(MID(("x"&amp;I125),10,8))&gt;=0,FALSE),IFERROR(HEX2DEC(MID(("x"&amp;I125),18,8))&gt;=0,FALSE),IFERROR(HEX2DEC(MID(("x"&amp;I125),26,8))&gt;=0,FALSE),IFERROR(HEX2DEC(MID(("x"&amp;I125),34,8))&gt;=0,FALSE),IFERROR(HEX2DEC(MID(("x"&amp;I125),42,8))&gt;=0,FALSE),IFERROR(HEX2DEC(MID(("x"&amp;I125),50,8))&gt;=0,FALSE),IFERROR(HEX2DEC(MID(("x"&amp;I125),58,8))&gt;=0,FALSE))),IF(EXACT("x"&amp;H125,"x"&amp;I125),AA125,AB125),"LEXEMA_O_FORMA"),IF(W125="PRUEBA",IF(H125=X125,AA125,IF(H125=Z125,AB125,"LEXEMA_O_FORMA")),IF(W125="RETIRADA",IF(AND(H125="NINGUNO",I125=""),IF(J125="COMPLETA",AB125,"COBERTURA_INSUFICIENTE"),IF(AND(OR(H125="uoInstallation",H125="uoUninstallation"),OR(I125="orcSucceeded",I125="orcSucceededWithErrors",I125="orcFailed",I125="orcAborted",I125="orcInProgress",I125="orcNotStarted")),IF(AND(H125=X125,I125=Y125),AA125,IF(AND(H125=X125,OR(I125="orcSucceededWithErrors",I125="orcInProgress",I125="orcNotStarted")),"RESULTADO_RETIRADA_INCIERTO",IF(J125="COMPLETA",AB125,"COBERTURA_INSUFICIENTE"))),"LEXEMA_O_FORMA")),IF(W125="CAMBIO",IF(OR(H125="CAMBIO",H125="CAMBIO_Y_RETORNO"),AA125,IF(OR(H125="NINGUNO",H125="SOLO_RENOMBRE"),IF(J125="COMPLETA",AB125,"COBERTURA_INSUFICIENTE"),"LEXEMA_O_FORMA")),IF(W125="RESTAURACION",IF(H125=X125,AA125,IF(OR(H125="NINGUNO",H125="RESTAURACION_POSTERIOR",H125="RESTAURACION_FALLIDA"),IF(J125="COMPLETA",AB125,"COBERTURA_INSUFICIENTE"),"LEXEMA_O_FORMA")),"PERFIL_NO_CONSTITUIDO"))))))))))))))))))</x:f>
        <x:v>LEXEMA_O_FORMA</x:v>
      </x:c>
      <x:c r="R125" s="12" t="str">
        <x:f>IF(AND(L125=O125,M125=P125,N125=Q125),"PASA","NO_PASA")</x:f>
        <x:v>PASA</x:v>
      </x:c>
      <x:c r="S125" s="4" t="str">
        <x:v>La observación usa un lexema ajeno al contrato.</x:v>
      </x:c>
      <x:c r="T125" s="12" t="str">
        <x:f>IFERROR(INDEX('55_Codificacion_ensayo'!$B$5:$B$13,MATCH(B125,'55_Codificacion_ensayo'!$A$5:$A$13,0)),"")</x:f>
        <x:v>HISTORIA-RESTAURACION-PREVIA-0.1</x:v>
      </x:c>
      <x:c r="U125" s="12" t="str">
        <x:f>IFERROR(INDEX('55_Codificacion_ensayo'!$C$5:$C$13,MATCH(B125,'55_Codificacion_ensayo'!$A$5:$A$13,0)),"")</x:f>
        <x:v>TRABAJO_RESTAURACION</x:v>
      </x:c>
      <x:c r="V125" s="12" t="str">
        <x:f>IFERROR(INDEX('55_Codificacion_ensayo'!$D$5:$D$13,MATCH(B125,'55_Codificacion_ensayo'!$A$5:$A$13,0)),"")</x:f>
        <x:v>ORDEN_ACREDITADO</x:v>
      </x:c>
      <x:c r="W125" s="12" t="str">
        <x:f>IFERROR(INDEX('55_Codificacion_ensayo'!$E$5:$E$13,MATCH(B125,'55_Codificacion_ensayo'!$A$5:$A$13,0)),"")</x:f>
        <x:v>RESTAURACION</x:v>
      </x:c>
      <x:c r="X125" s="12" t="str">
        <x:f>IFERROR(INDEX('55_Codificacion_ensayo'!$F$5:$F$13,MATCH(B125,'55_Codificacion_ensayo'!$A$5:$A$13,0)),"")</x:f>
        <x:v>RESTAURACION_PREVIA</x:v>
      </x:c>
      <x:c r="Y125" s="12" t="str">
        <x:f>IFERROR(INDEX('55_Codificacion_ensayo'!$G$5:$G$13,MATCH(B125,'55_Codificacion_ensayo'!$A$5:$A$13,0)),"")</x:f>
      </x:c>
      <x:c r="Z125" s="12" t="str">
        <x:f>IFERROR(INDEX('55_Codificacion_ensayo'!$H$5:$H$13,MATCH(B125,'55_Codificacion_ensayo'!$A$5:$A$13,0)),"")</x:f>
        <x:v>NINGUNO</x:v>
      </x:c>
      <x:c r="AA125" s="12" t="str">
        <x:f>IFERROR(INDEX('55_Codificacion_ensayo'!$I$5:$I$13,MATCH(B125,'55_Codificacion_ensayo'!$A$5:$A$13,0)),"")</x:f>
        <x:v>RESTAURACION_PREVIA</x:v>
      </x:c>
      <x:c r="AB125" s="12" t="str">
        <x:f>IFERROR(INDEX('55_Codificacion_ensayo'!$J$5:$J$13,MATCH(B125,'55_Codificacion_ensayo'!$A$5:$A$13,0)),"")</x:f>
        <x:v>SIN_RESTAURACION_PREVIA</x:v>
      </x:c>
    </x:row>
    <x:row r="126" ht="47" customHeight="1">
      <x:c r="A126" s="4" t="str">
        <x:v>L10-10-10</x:v>
      </x:c>
      <x:c r="B126" s="4" t="str">
        <x:v>PAR-CYB-RESTAURACION-PREVIA-COMUNICADA-001</x:v>
      </x:c>
      <x:c r="C126" s="4" t="str">
        <x:v>HISTORIA-RESTAURACION-PREVIA-0.1</x:v>
      </x:c>
      <x:c r="D126" s="4" t="str">
        <x:v>COINCIDE</x:v>
      </x:c>
      <x:c r="E126" s="4" t="str">
        <x:v>LEGIBLE</x:v>
      </x:c>
      <x:c r="F126" s="4" t="str">
        <x:v>TRABAJO_RESTAURACION</x:v>
      </x:c>
      <x:c r="G126" s="4" t="str">
        <x:v>UNICA</x:v>
      </x:c>
      <x:c r="H126" s="4" t="str">
        <x:v>NINGUNO</x:v>
      </x:c>
      <x:c r="I126" s="4" t="str"/>
      <x:c r="J126" s="4" t="str">
        <x:v>PARCIAL</x:v>
      </x:c>
      <x:c r="K126" s="4" t="str">
        <x:v>ORDEN_ACREDITADO</x:v>
      </x:c>
      <x:c r="L126" s="4" t="str">
        <x:v>VALIDA</x:v>
      </x:c>
      <x:c r="M126" s="4" t="str">
        <x:v>U</x:v>
      </x:c>
      <x:c r="N126" s="4" t="str">
        <x:v>COBERTURA_INSUFICIENTE</x:v>
      </x:c>
      <x:c r="O126" s="12" t="str">
        <x:f>IF(Q126="SIN_EJECUCION_DOMINIO","FALLO_CAPTURA",IF(OR(Q126="CAPTURA_MAL_FORMADA",Q126="IDENTIDAD",Q126="OBSERVACION_MAL_FORMADA",Q126="LEXEMA_O_FORMA"),"NO_ADMISION",IF(OR(Q126="PERFIL_NO_CONSTITUIDO",Q126="RESULTADO_NO_TERMINAL"),"FUERA_PERFIL",IF(Q126="CONTEXTO_NO_CONSTITUIDO","CONFIGURACION_PENDIENTE","VALIDA"))))</x:f>
        <x:v>VALIDA</x:v>
      </x:c>
      <x:c r="P126" s="12" t="str">
        <x:f>IF(O126&lt;&gt;"VALIDA","",IF(Q126=AA126,"1",IF(Q126=AB126,"0","U")))</x:f>
        <x:v>U</x:v>
      </x:c>
      <x:c r="Q126" s="12" t="str">
        <x:f>IF(E126="FALLO","SIN_EJECUCION_DOMINIO",IF(E126&lt;&gt;"LEGIBLE","CAPTURA_MAL_FORMADA",IF(D126&lt;&gt;"COINCIDE","IDENTIDAD",IF(OR(T126="",C126&lt;&gt;T126),"PERFIL_NO_CONSTITUIDO",IF(K126&lt;&gt;V126,IF(V126="ORDEN_ACREDITADO","ORDEN_NO_ACREDITADO","CONTEXTO_NO_CONSTITUIDO"),IF(AND(G126="AUSENTE",H126="",I126=""),"DATO_AUSENTE",IF(AND(G126="CONFLICTO",H126="",I126=""),"CONFLICTO_OBSERVACIONAL",IF(G126&lt;&gt;"UNICA","OBSERVACION_MAL_FORMADA",IF(F126&lt;&gt;U126,"OBSERVACION_INSUFICIENTE",IF(W126="RESULTADO",IF(H126=X126,AA126,IF(OR(H126="orcSucceededWithErrors",H126="orcFailed",H126="orcAborted"),AB126,IF(OR(H126="orcNotStarted",H126="orcInProgress"),"RESULTADO_NO_TERMINAL","LEXEMA_O_FORMA"))),IF(W126="EVENTO_BOOT",IF(H126=X126,AA126,IF(OR(H126="NINGUNO",H126="SOLO_HIBRIDO"),IF(J126="COMPLETA",AB126,"COBERTURA_INSUFICIENTE"),"LEXEMA_O_FORMA")),IF(W126="REQUISITO_SOFT",IF(H126=X126,AA126,IF(H126=Z126,AB126,"LEXEMA_O_FORMA")),IF(W126="EVENTO_PROC",IF(H126=X126,AA126,IF(H126=Z126,IF(J126="COMPLETA",AB126,"COBERTURA_INSUFICIENTE"),"LEXEMA_O_FORMA")),IF(W126="IMAGEN",IF(AND(AND(ISTEXT(H126),LEN(("x"&amp;H126))=65,EXACT(("x"&amp;H126),LOWER(("x"&amp;H126))),ISERROR(SEARCH(" ",("x"&amp;H126))),ISERROR(SEARCH(CHAR(9),("x"&amp;H126))),ISERROR(SEARCH(CHAR(10),("x"&amp;H126))),ISERROR(SEARCH(CHAR(13),("x"&amp;H126))),IFERROR(HEX2DEC(MID(("x"&amp;H126),2,8))&gt;=0,FALSE),IFERROR(HEX2DEC(MID(("x"&amp;H126),10,8))&gt;=0,FALSE),IFERROR(HEX2DEC(MID(("x"&amp;H126),18,8))&gt;=0,FALSE),IFERROR(HEX2DEC(MID(("x"&amp;H126),26,8))&gt;=0,FALSE),IFERROR(HEX2DEC(MID(("x"&amp;H126),34,8))&gt;=0,FALSE),IFERROR(HEX2DEC(MID(("x"&amp;H126),42,8))&gt;=0,FALSE),IFERROR(HEX2DEC(MID(("x"&amp;H126),50,8))&gt;=0,FALSE),IFERROR(HEX2DEC(MID(("x"&amp;H126),58,8))&gt;=0,FALSE)),AND(ISTEXT(I126),LEN(("x"&amp;I126))=65,EXACT(("x"&amp;I126),LOWER(("x"&amp;I126))),ISERROR(SEARCH(" ",("x"&amp;I126))),ISERROR(SEARCH(CHAR(9),("x"&amp;I126))),ISERROR(SEARCH(CHAR(10),("x"&amp;I126))),ISERROR(SEARCH(CHAR(13),("x"&amp;I126))),IFERROR(HEX2DEC(MID(("x"&amp;I126),2,8))&gt;=0,FALSE),IFERROR(HEX2DEC(MID(("x"&amp;I126),10,8))&gt;=0,FALSE),IFERROR(HEX2DEC(MID(("x"&amp;I126),18,8))&gt;=0,FALSE),IFERROR(HEX2DEC(MID(("x"&amp;I126),26,8))&gt;=0,FALSE),IFERROR(HEX2DEC(MID(("x"&amp;I126),34,8))&gt;=0,FALSE),IFERROR(HEX2DEC(MID(("x"&amp;I126),42,8))&gt;=0,FALSE),IFERROR(HEX2DEC(MID(("x"&amp;I126),50,8))&gt;=0,FALSE),IFERROR(HEX2DEC(MID(("x"&amp;I126),58,8))&gt;=0,FALSE))),IF(EXACT("x"&amp;H126,"x"&amp;I126),AA126,AB126),"LEXEMA_O_FORMA"),IF(W126="PRUEBA",IF(H126=X126,AA126,IF(H126=Z126,AB126,"LEXEMA_O_FORMA")),IF(W126="RETIRADA",IF(AND(H126="NINGUNO",I126=""),IF(J126="COMPLETA",AB126,"COBERTURA_INSUFICIENTE"),IF(AND(OR(H126="uoInstallation",H126="uoUninstallation"),OR(I126="orcSucceeded",I126="orcSucceededWithErrors",I126="orcFailed",I126="orcAborted",I126="orcInProgress",I126="orcNotStarted")),IF(AND(H126=X126,I126=Y126),AA126,IF(AND(H126=X126,OR(I126="orcSucceededWithErrors",I126="orcInProgress",I126="orcNotStarted")),"RESULTADO_RETIRADA_INCIERTO",IF(J126="COMPLETA",AB126,"COBERTURA_INSUFICIENTE"))),"LEXEMA_O_FORMA")),IF(W126="CAMBIO",IF(OR(H126="CAMBIO",H126="CAMBIO_Y_RETORNO"),AA126,IF(OR(H126="NINGUNO",H126="SOLO_RENOMBRE"),IF(J126="COMPLETA",AB126,"COBERTURA_INSUFICIENTE"),"LEXEMA_O_FORMA")),IF(W126="RESTAURACION",IF(H126=X126,AA126,IF(OR(H126="NINGUNO",H126="RESTAURACION_POSTERIOR",H126="RESTAURACION_FALLIDA"),IF(J126="COMPLETA",AB126,"COBERTURA_INSUFICIENTE"),"LEXEMA_O_FORMA")),"PERFIL_NO_CONSTITUIDO"))))))))))))))))))</x:f>
        <x:v>COBERTURA_INSUFICIENTE</x:v>
      </x:c>
      <x:c r="R126" s="12" t="str">
        <x:f>IF(AND(L126=O126,M126=P126,N126=Q126),"PASA","NO_PASA")</x:f>
        <x:v>PASA</x:v>
      </x:c>
      <x:c r="S126" s="4" t="str">
        <x:v>Ningún evento encontrado en cobertura parcial: U, no 0.</x:v>
      </x:c>
      <x:c r="T126" s="12" t="str">
        <x:f>IFERROR(INDEX('55_Codificacion_ensayo'!$B$5:$B$13,MATCH(B126,'55_Codificacion_ensayo'!$A$5:$A$13,0)),"")</x:f>
        <x:v>HISTORIA-RESTAURACION-PREVIA-0.1</x:v>
      </x:c>
      <x:c r="U126" s="12" t="str">
        <x:f>IFERROR(INDEX('55_Codificacion_ensayo'!$C$5:$C$13,MATCH(B126,'55_Codificacion_ensayo'!$A$5:$A$13,0)),"")</x:f>
        <x:v>TRABAJO_RESTAURACION</x:v>
      </x:c>
      <x:c r="V126" s="12" t="str">
        <x:f>IFERROR(INDEX('55_Codificacion_ensayo'!$D$5:$D$13,MATCH(B126,'55_Codificacion_ensayo'!$A$5:$A$13,0)),"")</x:f>
        <x:v>ORDEN_ACREDITADO</x:v>
      </x:c>
      <x:c r="W126" s="12" t="str">
        <x:f>IFERROR(INDEX('55_Codificacion_ensayo'!$E$5:$E$13,MATCH(B126,'55_Codificacion_ensayo'!$A$5:$A$13,0)),"")</x:f>
        <x:v>RESTAURACION</x:v>
      </x:c>
      <x:c r="X126" s="12" t="str">
        <x:f>IFERROR(INDEX('55_Codificacion_ensayo'!$F$5:$F$13,MATCH(B126,'55_Codificacion_ensayo'!$A$5:$A$13,0)),"")</x:f>
        <x:v>RESTAURACION_PREVIA</x:v>
      </x:c>
      <x:c r="Y126" s="12" t="str">
        <x:f>IFERROR(INDEX('55_Codificacion_ensayo'!$G$5:$G$13,MATCH(B126,'55_Codificacion_ensayo'!$A$5:$A$13,0)),"")</x:f>
      </x:c>
      <x:c r="Z126" s="12" t="str">
        <x:f>IFERROR(INDEX('55_Codificacion_ensayo'!$H$5:$H$13,MATCH(B126,'55_Codificacion_ensayo'!$A$5:$A$13,0)),"")</x:f>
        <x:v>NINGUNO</x:v>
      </x:c>
      <x:c r="AA126" s="12" t="str">
        <x:f>IFERROR(INDEX('55_Codificacion_ensayo'!$I$5:$I$13,MATCH(B126,'55_Codificacion_ensayo'!$A$5:$A$13,0)),"")</x:f>
        <x:v>RESTAURACION_PREVIA</x:v>
      </x:c>
      <x:c r="AB126" s="12" t="str">
        <x:f>IFERROR(INDEX('55_Codificacion_ensayo'!$J$5:$J$13,MATCH(B126,'55_Codificacion_ensayo'!$A$5:$A$13,0)),"")</x:f>
        <x:v>SIN_RESTAURACION_PREVIA</x:v>
      </x:c>
    </x:row>
    <x:row r="127" ht="47" customHeight="1">
      <x:c r="A127" s="4" t="str">
        <x:v>L10-10-11</x:v>
      </x:c>
      <x:c r="B127" s="4" t="str">
        <x:v>PAR-CYB-RESTAURACION-PREVIA-COMUNICADA-001</x:v>
      </x:c>
      <x:c r="C127" s="4" t="str">
        <x:v>HISTORIA-RESTAURACION-PREVIA-0.1</x:v>
      </x:c>
      <x:c r="D127" s="4" t="str">
        <x:v>COINCIDE</x:v>
      </x:c>
      <x:c r="E127" s="4" t="str">
        <x:v>LEGIBLE</x:v>
      </x:c>
      <x:c r="F127" s="4" t="str">
        <x:v>TRABAJO_RESTAURACION</x:v>
      </x:c>
      <x:c r="G127" s="4" t="str">
        <x:v>UNICA</x:v>
      </x:c>
      <x:c r="H127" s="4" t="str">
        <x:v>RESTAURACION_PREVIA</x:v>
      </x:c>
      <x:c r="I127" s="4" t="str"/>
      <x:c r="J127" s="4" t="str">
        <x:v>PARCIAL</x:v>
      </x:c>
      <x:c r="K127" s="4" t="str">
        <x:v>ORDEN_ACREDITADO</x:v>
      </x:c>
      <x:c r="L127" s="4" t="str">
        <x:v>VALIDA</x:v>
      </x:c>
      <x:c r="M127" s="4" t="str">
        <x:v>1</x:v>
      </x:c>
      <x:c r="N127" s="4" t="str">
        <x:v>RESTAURACION_PREVIA</x:v>
      </x:c>
      <x:c r="O127" s="12" t="str">
        <x:f>IF(Q127="SIN_EJECUCION_DOMINIO","FALLO_CAPTURA",IF(OR(Q127="CAPTURA_MAL_FORMADA",Q127="IDENTIDAD",Q127="OBSERVACION_MAL_FORMADA",Q127="LEXEMA_O_FORMA"),"NO_ADMISION",IF(OR(Q127="PERFIL_NO_CONSTITUIDO",Q127="RESULTADO_NO_TERMINAL"),"FUERA_PERFIL",IF(Q127="CONTEXTO_NO_CONSTITUIDO","CONFIGURACION_PENDIENTE","VALIDA"))))</x:f>
        <x:v>VALIDA</x:v>
      </x:c>
      <x:c r="P127" s="12" t="str">
        <x:f>IF(O127&lt;&gt;"VALIDA","",IF(Q127=AA127,"1",IF(Q127=AB127,"0","U")))</x:f>
        <x:v>1</x:v>
      </x:c>
      <x:c r="Q127" s="12" t="str">
        <x:f>IF(E127="FALLO","SIN_EJECUCION_DOMINIO",IF(E127&lt;&gt;"LEGIBLE","CAPTURA_MAL_FORMADA",IF(D127&lt;&gt;"COINCIDE","IDENTIDAD",IF(OR(T127="",C127&lt;&gt;T127),"PERFIL_NO_CONSTITUIDO",IF(K127&lt;&gt;V127,IF(V127="ORDEN_ACREDITADO","ORDEN_NO_ACREDITADO","CONTEXTO_NO_CONSTITUIDO"),IF(AND(G127="AUSENTE",H127="",I127=""),"DATO_AUSENTE",IF(AND(G127="CONFLICTO",H127="",I127=""),"CONFLICTO_OBSERVACIONAL",IF(G127&lt;&gt;"UNICA","OBSERVACION_MAL_FORMADA",IF(F127&lt;&gt;U127,"OBSERVACION_INSUFICIENTE",IF(W127="RESULTADO",IF(H127=X127,AA127,IF(OR(H127="orcSucceededWithErrors",H127="orcFailed",H127="orcAborted"),AB127,IF(OR(H127="orcNotStarted",H127="orcInProgress"),"RESULTADO_NO_TERMINAL","LEXEMA_O_FORMA"))),IF(W127="EVENTO_BOOT",IF(H127=X127,AA127,IF(OR(H127="NINGUNO",H127="SOLO_HIBRIDO"),IF(J127="COMPLETA",AB127,"COBERTURA_INSUFICIENTE"),"LEXEMA_O_FORMA")),IF(W127="REQUISITO_SOFT",IF(H127=X127,AA127,IF(H127=Z127,AB127,"LEXEMA_O_FORMA")),IF(W127="EVENTO_PROC",IF(H127=X127,AA127,IF(H127=Z127,IF(J127="COMPLETA",AB127,"COBERTURA_INSUFICIENTE"),"LEXEMA_O_FORMA")),IF(W127="IMAGEN",IF(AND(AND(ISTEXT(H127),LEN(("x"&amp;H127))=65,EXACT(("x"&amp;H127),LOWER(("x"&amp;H127))),ISERROR(SEARCH(" ",("x"&amp;H127))),ISERROR(SEARCH(CHAR(9),("x"&amp;H127))),ISERROR(SEARCH(CHAR(10),("x"&amp;H127))),ISERROR(SEARCH(CHAR(13),("x"&amp;H127))),IFERROR(HEX2DEC(MID(("x"&amp;H127),2,8))&gt;=0,FALSE),IFERROR(HEX2DEC(MID(("x"&amp;H127),10,8))&gt;=0,FALSE),IFERROR(HEX2DEC(MID(("x"&amp;H127),18,8))&gt;=0,FALSE),IFERROR(HEX2DEC(MID(("x"&amp;H127),26,8))&gt;=0,FALSE),IFERROR(HEX2DEC(MID(("x"&amp;H127),34,8))&gt;=0,FALSE),IFERROR(HEX2DEC(MID(("x"&amp;H127),42,8))&gt;=0,FALSE),IFERROR(HEX2DEC(MID(("x"&amp;H127),50,8))&gt;=0,FALSE),IFERROR(HEX2DEC(MID(("x"&amp;H127),58,8))&gt;=0,FALSE)),AND(ISTEXT(I127),LEN(("x"&amp;I127))=65,EXACT(("x"&amp;I127),LOWER(("x"&amp;I127))),ISERROR(SEARCH(" ",("x"&amp;I127))),ISERROR(SEARCH(CHAR(9),("x"&amp;I127))),ISERROR(SEARCH(CHAR(10),("x"&amp;I127))),ISERROR(SEARCH(CHAR(13),("x"&amp;I127))),IFERROR(HEX2DEC(MID(("x"&amp;I127),2,8))&gt;=0,FALSE),IFERROR(HEX2DEC(MID(("x"&amp;I127),10,8))&gt;=0,FALSE),IFERROR(HEX2DEC(MID(("x"&amp;I127),18,8))&gt;=0,FALSE),IFERROR(HEX2DEC(MID(("x"&amp;I127),26,8))&gt;=0,FALSE),IFERROR(HEX2DEC(MID(("x"&amp;I127),34,8))&gt;=0,FALSE),IFERROR(HEX2DEC(MID(("x"&amp;I127),42,8))&gt;=0,FALSE),IFERROR(HEX2DEC(MID(("x"&amp;I127),50,8))&gt;=0,FALSE),IFERROR(HEX2DEC(MID(("x"&amp;I127),58,8))&gt;=0,FALSE))),IF(EXACT("x"&amp;H127,"x"&amp;I127),AA127,AB127),"LEXEMA_O_FORMA"),IF(W127="PRUEBA",IF(H127=X127,AA127,IF(H127=Z127,AB127,"LEXEMA_O_FORMA")),IF(W127="RETIRADA",IF(AND(H127="NINGUNO",I127=""),IF(J127="COMPLETA",AB127,"COBERTURA_INSUFICIENTE"),IF(AND(OR(H127="uoInstallation",H127="uoUninstallation"),OR(I127="orcSucceeded",I127="orcSucceededWithErrors",I127="orcFailed",I127="orcAborted",I127="orcInProgress",I127="orcNotStarted")),IF(AND(H127=X127,I127=Y127),AA127,IF(AND(H127=X127,OR(I127="orcSucceededWithErrors",I127="orcInProgress",I127="orcNotStarted")),"RESULTADO_RETIRADA_INCIERTO",IF(J127="COMPLETA",AB127,"COBERTURA_INSUFICIENTE"))),"LEXEMA_O_FORMA")),IF(W127="CAMBIO",IF(OR(H127="CAMBIO",H127="CAMBIO_Y_RETORNO"),AA127,IF(OR(H127="NINGUNO",H127="SOLO_RENOMBRE"),IF(J127="COMPLETA",AB127,"COBERTURA_INSUFICIENTE"),"LEXEMA_O_FORMA")),IF(W127="RESTAURACION",IF(H127=X127,AA127,IF(OR(H127="NINGUNO",H127="RESTAURACION_POSTERIOR",H127="RESTAURACION_FALLIDA"),IF(J127="COMPLETA",AB127,"COBERTURA_INSUFICIENTE"),"LEXEMA_O_FORMA")),"PERFIL_NO_CONSTITUIDO"))))))))))))))))))</x:f>
        <x:v>RESTAURACION_PREVIA</x:v>
      </x:c>
      <x:c r="R127" s="12" t="str">
        <x:f>IF(AND(L127=O127,M127=P127,N127=Q127),"PASA","NO_PASA")</x:f>
        <x:v>PASA</x:v>
      </x:c>
      <x:c r="S127" s="4" t="str">
        <x:v>Un testigo positivo acredita existencia aunque la historia restante sea parcial.</x:v>
      </x:c>
      <x:c r="T127" s="12" t="str">
        <x:f>IFERROR(INDEX('55_Codificacion_ensayo'!$B$5:$B$13,MATCH(B127,'55_Codificacion_ensayo'!$A$5:$A$13,0)),"")</x:f>
        <x:v>HISTORIA-RESTAURACION-PREVIA-0.1</x:v>
      </x:c>
      <x:c r="U127" s="12" t="str">
        <x:f>IFERROR(INDEX('55_Codificacion_ensayo'!$C$5:$C$13,MATCH(B127,'55_Codificacion_ensayo'!$A$5:$A$13,0)),"")</x:f>
        <x:v>TRABAJO_RESTAURACION</x:v>
      </x:c>
      <x:c r="V127" s="12" t="str">
        <x:f>IFERROR(INDEX('55_Codificacion_ensayo'!$D$5:$D$13,MATCH(B127,'55_Codificacion_ensayo'!$A$5:$A$13,0)),"")</x:f>
        <x:v>ORDEN_ACREDITADO</x:v>
      </x:c>
      <x:c r="W127" s="12" t="str">
        <x:f>IFERROR(INDEX('55_Codificacion_ensayo'!$E$5:$E$13,MATCH(B127,'55_Codificacion_ensayo'!$A$5:$A$13,0)),"")</x:f>
        <x:v>RESTAURACION</x:v>
      </x:c>
      <x:c r="X127" s="12" t="str">
        <x:f>IFERROR(INDEX('55_Codificacion_ensayo'!$F$5:$F$13,MATCH(B127,'55_Codificacion_ensayo'!$A$5:$A$13,0)),"")</x:f>
        <x:v>RESTAURACION_PREVIA</x:v>
      </x:c>
      <x:c r="Y127" s="12" t="str">
        <x:f>IFERROR(INDEX('55_Codificacion_ensayo'!$G$5:$G$13,MATCH(B127,'55_Codificacion_ensayo'!$A$5:$A$13,0)),"")</x:f>
      </x:c>
      <x:c r="Z127" s="12" t="str">
        <x:f>IFERROR(INDEX('55_Codificacion_ensayo'!$H$5:$H$13,MATCH(B127,'55_Codificacion_ensayo'!$A$5:$A$13,0)),"")</x:f>
        <x:v>NINGUNO</x:v>
      </x:c>
      <x:c r="AA127" s="12" t="str">
        <x:f>IFERROR(INDEX('55_Codificacion_ensayo'!$I$5:$I$13,MATCH(B127,'55_Codificacion_ensayo'!$A$5:$A$13,0)),"")</x:f>
        <x:v>RESTAURACION_PREVIA</x:v>
      </x:c>
      <x:c r="AB127" s="12" t="str">
        <x:f>IFERROR(INDEX('55_Codificacion_ensayo'!$J$5:$J$13,MATCH(B127,'55_Codificacion_ensayo'!$A$5:$A$13,0)),"")</x:f>
        <x:v>SIN_RESTAURACION_PREVIA</x:v>
      </x:c>
    </x:row>
    <x:row r="128" ht="47" customHeight="1">
      <x:c r="A128" s="4" t="str">
        <x:v>L10-10-12</x:v>
      </x:c>
      <x:c r="B128" s="4" t="str">
        <x:v>PAR-CYB-RESTAURACION-PREVIA-COMUNICADA-001</x:v>
      </x:c>
      <x:c r="C128" s="4" t="str">
        <x:v>HISTORIA-RESTAURACION-PREVIA-0.1</x:v>
      </x:c>
      <x:c r="D128" s="4" t="str">
        <x:v>COINCIDE</x:v>
      </x:c>
      <x:c r="E128" s="4" t="str">
        <x:v>LEGIBLE</x:v>
      </x:c>
      <x:c r="F128" s="4" t="str">
        <x:v>TRABAJO_RESTAURACION</x:v>
      </x:c>
      <x:c r="G128" s="4" t="str">
        <x:v>UNICA</x:v>
      </x:c>
      <x:c r="H128" s="4" t="str">
        <x:v>RESTAURACION_PREVIA</x:v>
      </x:c>
      <x:c r="I128" s="4" t="str"/>
      <x:c r="J128" s="4" t="str">
        <x:v>COMPLETA</x:v>
      </x:c>
      <x:c r="K128" s="4" t="str">
        <x:v>ORDEN_INCIERTO</x:v>
      </x:c>
      <x:c r="L128" s="4" t="str">
        <x:v>VALIDA</x:v>
      </x:c>
      <x:c r="M128" s="4" t="str">
        <x:v>U</x:v>
      </x:c>
      <x:c r="N128" s="4" t="str">
        <x:v>ORDEN_NO_ACREDITADO</x:v>
      </x:c>
      <x:c r="O128" s="12" t="str">
        <x:f>IF(Q128="SIN_EJECUCION_DOMINIO","FALLO_CAPTURA",IF(OR(Q128="CAPTURA_MAL_FORMADA",Q128="IDENTIDAD",Q128="OBSERVACION_MAL_FORMADA",Q128="LEXEMA_O_FORMA"),"NO_ADMISION",IF(OR(Q128="PERFIL_NO_CONSTITUIDO",Q128="RESULTADO_NO_TERMINAL"),"FUERA_PERFIL",IF(Q128="CONTEXTO_NO_CONSTITUIDO","CONFIGURACION_PENDIENTE","VALIDA"))))</x:f>
        <x:v>VALIDA</x:v>
      </x:c>
      <x:c r="P128" s="12" t="str">
        <x:f>IF(O128&lt;&gt;"VALIDA","",IF(Q128=AA128,"1",IF(Q128=AB128,"0","U")))</x:f>
        <x:v>U</x:v>
      </x:c>
      <x:c r="Q128" s="12" t="str">
        <x:f>IF(E128="FALLO","SIN_EJECUCION_DOMINIO",IF(E128&lt;&gt;"LEGIBLE","CAPTURA_MAL_FORMADA",IF(D128&lt;&gt;"COINCIDE","IDENTIDAD",IF(OR(T128="",C128&lt;&gt;T128),"PERFIL_NO_CONSTITUIDO",IF(K128&lt;&gt;V128,IF(V128="ORDEN_ACREDITADO","ORDEN_NO_ACREDITADO","CONTEXTO_NO_CONSTITUIDO"),IF(AND(G128="AUSENTE",H128="",I128=""),"DATO_AUSENTE",IF(AND(G128="CONFLICTO",H128="",I128=""),"CONFLICTO_OBSERVACIONAL",IF(G128&lt;&gt;"UNICA","OBSERVACION_MAL_FORMADA",IF(F128&lt;&gt;U128,"OBSERVACION_INSUFICIENTE",IF(W128="RESULTADO",IF(H128=X128,AA128,IF(OR(H128="orcSucceededWithErrors",H128="orcFailed",H128="orcAborted"),AB128,IF(OR(H128="orcNotStarted",H128="orcInProgress"),"RESULTADO_NO_TERMINAL","LEXEMA_O_FORMA"))),IF(W128="EVENTO_BOOT",IF(H128=X128,AA128,IF(OR(H128="NINGUNO",H128="SOLO_HIBRIDO"),IF(J128="COMPLETA",AB128,"COBERTURA_INSUFICIENTE"),"LEXEMA_O_FORMA")),IF(W128="REQUISITO_SOFT",IF(H128=X128,AA128,IF(H128=Z128,AB128,"LEXEMA_O_FORMA")),IF(W128="EVENTO_PROC",IF(H128=X128,AA128,IF(H128=Z128,IF(J128="COMPLETA",AB128,"COBERTURA_INSUFICIENTE"),"LEXEMA_O_FORMA")),IF(W128="IMAGEN",IF(AND(AND(ISTEXT(H128),LEN(("x"&amp;H128))=65,EXACT(("x"&amp;H128),LOWER(("x"&amp;H128))),ISERROR(SEARCH(" ",("x"&amp;H128))),ISERROR(SEARCH(CHAR(9),("x"&amp;H128))),ISERROR(SEARCH(CHAR(10),("x"&amp;H128))),ISERROR(SEARCH(CHAR(13),("x"&amp;H128))),IFERROR(HEX2DEC(MID(("x"&amp;H128),2,8))&gt;=0,FALSE),IFERROR(HEX2DEC(MID(("x"&amp;H128),10,8))&gt;=0,FALSE),IFERROR(HEX2DEC(MID(("x"&amp;H128),18,8))&gt;=0,FALSE),IFERROR(HEX2DEC(MID(("x"&amp;H128),26,8))&gt;=0,FALSE),IFERROR(HEX2DEC(MID(("x"&amp;H128),34,8))&gt;=0,FALSE),IFERROR(HEX2DEC(MID(("x"&amp;H128),42,8))&gt;=0,FALSE),IFERROR(HEX2DEC(MID(("x"&amp;H128),50,8))&gt;=0,FALSE),IFERROR(HEX2DEC(MID(("x"&amp;H128),58,8))&gt;=0,FALSE)),AND(ISTEXT(I128),LEN(("x"&amp;I128))=65,EXACT(("x"&amp;I128),LOWER(("x"&amp;I128))),ISERROR(SEARCH(" ",("x"&amp;I128))),ISERROR(SEARCH(CHAR(9),("x"&amp;I128))),ISERROR(SEARCH(CHAR(10),("x"&amp;I128))),ISERROR(SEARCH(CHAR(13),("x"&amp;I128))),IFERROR(HEX2DEC(MID(("x"&amp;I128),2,8))&gt;=0,FALSE),IFERROR(HEX2DEC(MID(("x"&amp;I128),10,8))&gt;=0,FALSE),IFERROR(HEX2DEC(MID(("x"&amp;I128),18,8))&gt;=0,FALSE),IFERROR(HEX2DEC(MID(("x"&amp;I128),26,8))&gt;=0,FALSE),IFERROR(HEX2DEC(MID(("x"&amp;I128),34,8))&gt;=0,FALSE),IFERROR(HEX2DEC(MID(("x"&amp;I128),42,8))&gt;=0,FALSE),IFERROR(HEX2DEC(MID(("x"&amp;I128),50,8))&gt;=0,FALSE),IFERROR(HEX2DEC(MID(("x"&amp;I128),58,8))&gt;=0,FALSE))),IF(EXACT("x"&amp;H128,"x"&amp;I128),AA128,AB128),"LEXEMA_O_FORMA"),IF(W128="PRUEBA",IF(H128=X128,AA128,IF(H128=Z128,AB128,"LEXEMA_O_FORMA")),IF(W128="RETIRADA",IF(AND(H128="NINGUNO",I128=""),IF(J128="COMPLETA",AB128,"COBERTURA_INSUFICIENTE"),IF(AND(OR(H128="uoInstallation",H128="uoUninstallation"),OR(I128="orcSucceeded",I128="orcSucceededWithErrors",I128="orcFailed",I128="orcAborted",I128="orcInProgress",I128="orcNotStarted")),IF(AND(H128=X128,I128=Y128),AA128,IF(AND(H128=X128,OR(I128="orcSucceededWithErrors",I128="orcInProgress",I128="orcNotStarted")),"RESULTADO_RETIRADA_INCIERTO",IF(J128="COMPLETA",AB128,"COBERTURA_INSUFICIENTE"))),"LEXEMA_O_FORMA")),IF(W128="CAMBIO",IF(OR(H128="CAMBIO",H128="CAMBIO_Y_RETORNO"),AA128,IF(OR(H128="NINGUNO",H128="SOLO_RENOMBRE"),IF(J128="COMPLETA",AB128,"COBERTURA_INSUFICIENTE"),"LEXEMA_O_FORMA")),IF(W128="RESTAURACION",IF(H128=X128,AA128,IF(OR(H128="NINGUNO",H128="RESTAURACION_POSTERIOR",H128="RESTAURACION_FALLIDA"),IF(J128="COMPLETA",AB128,"COBERTURA_INSUFICIENTE"),"LEXEMA_O_FORMA")),"PERFIL_NO_CONSTITUIDO"))))))))))))))))))</x:f>
        <x:v>ORDEN_NO_ACREDITADO</x:v>
      </x:c>
      <x:c r="R128" s="12" t="str">
        <x:f>IF(AND(L128=O128,M128=P128,N128=Q128),"PASA","NO_PASA")</x:f>
        <x:v>PASA</x:v>
      </x:c>
      <x:c r="S128" s="4" t="str">
        <x:v>El orden no está acreditado; la mera fecha no prueba posterioridad.</x:v>
      </x:c>
      <x:c r="T128" s="12" t="str">
        <x:f>IFERROR(INDEX('55_Codificacion_ensayo'!$B$5:$B$13,MATCH(B128,'55_Codificacion_ensayo'!$A$5:$A$13,0)),"")</x:f>
        <x:v>HISTORIA-RESTAURACION-PREVIA-0.1</x:v>
      </x:c>
      <x:c r="U128" s="12" t="str">
        <x:f>IFERROR(INDEX('55_Codificacion_ensayo'!$C$5:$C$13,MATCH(B128,'55_Codificacion_ensayo'!$A$5:$A$13,0)),"")</x:f>
        <x:v>TRABAJO_RESTAURACION</x:v>
      </x:c>
      <x:c r="V128" s="12" t="str">
        <x:f>IFERROR(INDEX('55_Codificacion_ensayo'!$D$5:$D$13,MATCH(B128,'55_Codificacion_ensayo'!$A$5:$A$13,0)),"")</x:f>
        <x:v>ORDEN_ACREDITADO</x:v>
      </x:c>
      <x:c r="W128" s="12" t="str">
        <x:f>IFERROR(INDEX('55_Codificacion_ensayo'!$E$5:$E$13,MATCH(B128,'55_Codificacion_ensayo'!$A$5:$A$13,0)),"")</x:f>
        <x:v>RESTAURACION</x:v>
      </x:c>
      <x:c r="X128" s="12" t="str">
        <x:f>IFERROR(INDEX('55_Codificacion_ensayo'!$F$5:$F$13,MATCH(B128,'55_Codificacion_ensayo'!$A$5:$A$13,0)),"")</x:f>
        <x:v>RESTAURACION_PREVIA</x:v>
      </x:c>
      <x:c r="Y128" s="12" t="str">
        <x:f>IFERROR(INDEX('55_Codificacion_ensayo'!$G$5:$G$13,MATCH(B128,'55_Codificacion_ensayo'!$A$5:$A$13,0)),"")</x:f>
      </x:c>
      <x:c r="Z128" s="12" t="str">
        <x:f>IFERROR(INDEX('55_Codificacion_ensayo'!$H$5:$H$13,MATCH(B128,'55_Codificacion_ensayo'!$A$5:$A$13,0)),"")</x:f>
        <x:v>NINGUNO</x:v>
      </x:c>
      <x:c r="AA128" s="12" t="str">
        <x:f>IFERROR(INDEX('55_Codificacion_ensayo'!$I$5:$I$13,MATCH(B128,'55_Codificacion_ensayo'!$A$5:$A$13,0)),"")</x:f>
        <x:v>RESTAURACION_PREVIA</x:v>
      </x:c>
      <x:c r="AB128" s="12" t="str">
        <x:f>IFERROR(INDEX('55_Codificacion_ensayo'!$J$5:$J$13,MATCH(B128,'55_Codificacion_ensayo'!$A$5:$A$13,0)),"")</x:f>
        <x:v>SIN_RESTAURACION_PREVIA</x:v>
      </x:c>
    </x:row>
    <x:row r="129" ht="47" customHeight="1">
      <x:c r="A129" s="4" t="str">
        <x:v>L10-10-13</x:v>
      </x:c>
      <x:c r="B129" s="4" t="str">
        <x:v>PAR-CYB-RESTAURACION-PREVIA-COMUNICADA-001</x:v>
      </x:c>
      <x:c r="C129" s="4" t="str">
        <x:v>HISTORIA-RESTAURACION-PREVIA-0.1</x:v>
      </x:c>
      <x:c r="D129" s="4" t="str">
        <x:v>COINCIDE</x:v>
      </x:c>
      <x:c r="E129" s="4" t="str">
        <x:v>LEGIBLE</x:v>
      </x:c>
      <x:c r="F129" s="4" t="str">
        <x:v>TRABAJO_RESTAURACION</x:v>
      </x:c>
      <x:c r="G129" s="4" t="str">
        <x:v>UNICA</x:v>
      </x:c>
      <x:c r="H129" s="4" t="str">
        <x:v>RESTAURACION_POSTERIOR</x:v>
      </x:c>
      <x:c r="I129" s="4" t="str"/>
      <x:c r="J129" s="4" t="str">
        <x:v>COMPLETA</x:v>
      </x:c>
      <x:c r="K129" s="4" t="str">
        <x:v>ORDEN_ACREDITADO</x:v>
      </x:c>
      <x:c r="L129" s="4" t="str">
        <x:v>VALIDA</x:v>
      </x:c>
      <x:c r="M129" s="4" t="str">
        <x:v>0</x:v>
      </x:c>
      <x:c r="N129" s="4" t="str">
        <x:v>SIN_RESTAURACION_PREVIA</x:v>
      </x:c>
      <x:c r="O129" s="12" t="str">
        <x:f>IF(Q129="SIN_EJECUCION_DOMINIO","FALLO_CAPTURA",IF(OR(Q129="CAPTURA_MAL_FORMADA",Q129="IDENTIDAD",Q129="OBSERVACION_MAL_FORMADA",Q129="LEXEMA_O_FORMA"),"NO_ADMISION",IF(OR(Q129="PERFIL_NO_CONSTITUIDO",Q129="RESULTADO_NO_TERMINAL"),"FUERA_PERFIL",IF(Q129="CONTEXTO_NO_CONSTITUIDO","CONFIGURACION_PENDIENTE","VALIDA"))))</x:f>
        <x:v>VALIDA</x:v>
      </x:c>
      <x:c r="P129" s="12" t="str">
        <x:f>IF(O129&lt;&gt;"VALIDA","",IF(Q129=AA129,"1",IF(Q129=AB129,"0","U")))</x:f>
        <x:v>0</x:v>
      </x:c>
      <x:c r="Q129" s="12" t="str">
        <x:f>IF(E129="FALLO","SIN_EJECUCION_DOMINIO",IF(E129&lt;&gt;"LEGIBLE","CAPTURA_MAL_FORMADA",IF(D129&lt;&gt;"COINCIDE","IDENTIDAD",IF(OR(T129="",C129&lt;&gt;T129),"PERFIL_NO_CONSTITUIDO",IF(K129&lt;&gt;V129,IF(V129="ORDEN_ACREDITADO","ORDEN_NO_ACREDITADO","CONTEXTO_NO_CONSTITUIDO"),IF(AND(G129="AUSENTE",H129="",I129=""),"DATO_AUSENTE",IF(AND(G129="CONFLICTO",H129="",I129=""),"CONFLICTO_OBSERVACIONAL",IF(G129&lt;&gt;"UNICA","OBSERVACION_MAL_FORMADA",IF(F129&lt;&gt;U129,"OBSERVACION_INSUFICIENTE",IF(W129="RESULTADO",IF(H129=X129,AA129,IF(OR(H129="orcSucceededWithErrors",H129="orcFailed",H129="orcAborted"),AB129,IF(OR(H129="orcNotStarted",H129="orcInProgress"),"RESULTADO_NO_TERMINAL","LEXEMA_O_FORMA"))),IF(W129="EVENTO_BOOT",IF(H129=X129,AA129,IF(OR(H129="NINGUNO",H129="SOLO_HIBRIDO"),IF(J129="COMPLETA",AB129,"COBERTURA_INSUFICIENTE"),"LEXEMA_O_FORMA")),IF(W129="REQUISITO_SOFT",IF(H129=X129,AA129,IF(H129=Z129,AB129,"LEXEMA_O_FORMA")),IF(W129="EVENTO_PROC",IF(H129=X129,AA129,IF(H129=Z129,IF(J129="COMPLETA",AB129,"COBERTURA_INSUFICIENTE"),"LEXEMA_O_FORMA")),IF(W129="IMAGEN",IF(AND(AND(ISTEXT(H129),LEN(("x"&amp;H129))=65,EXACT(("x"&amp;H129),LOWER(("x"&amp;H129))),ISERROR(SEARCH(" ",("x"&amp;H129))),ISERROR(SEARCH(CHAR(9),("x"&amp;H129))),ISERROR(SEARCH(CHAR(10),("x"&amp;H129))),ISERROR(SEARCH(CHAR(13),("x"&amp;H129))),IFERROR(HEX2DEC(MID(("x"&amp;H129),2,8))&gt;=0,FALSE),IFERROR(HEX2DEC(MID(("x"&amp;H129),10,8))&gt;=0,FALSE),IFERROR(HEX2DEC(MID(("x"&amp;H129),18,8))&gt;=0,FALSE),IFERROR(HEX2DEC(MID(("x"&amp;H129),26,8))&gt;=0,FALSE),IFERROR(HEX2DEC(MID(("x"&amp;H129),34,8))&gt;=0,FALSE),IFERROR(HEX2DEC(MID(("x"&amp;H129),42,8))&gt;=0,FALSE),IFERROR(HEX2DEC(MID(("x"&amp;H129),50,8))&gt;=0,FALSE),IFERROR(HEX2DEC(MID(("x"&amp;H129),58,8))&gt;=0,FALSE)),AND(ISTEXT(I129),LEN(("x"&amp;I129))=65,EXACT(("x"&amp;I129),LOWER(("x"&amp;I129))),ISERROR(SEARCH(" ",("x"&amp;I129))),ISERROR(SEARCH(CHAR(9),("x"&amp;I129))),ISERROR(SEARCH(CHAR(10),("x"&amp;I129))),ISERROR(SEARCH(CHAR(13),("x"&amp;I129))),IFERROR(HEX2DEC(MID(("x"&amp;I129),2,8))&gt;=0,FALSE),IFERROR(HEX2DEC(MID(("x"&amp;I129),10,8))&gt;=0,FALSE),IFERROR(HEX2DEC(MID(("x"&amp;I129),18,8))&gt;=0,FALSE),IFERROR(HEX2DEC(MID(("x"&amp;I129),26,8))&gt;=0,FALSE),IFERROR(HEX2DEC(MID(("x"&amp;I129),34,8))&gt;=0,FALSE),IFERROR(HEX2DEC(MID(("x"&amp;I129),42,8))&gt;=0,FALSE),IFERROR(HEX2DEC(MID(("x"&amp;I129),50,8))&gt;=0,FALSE),IFERROR(HEX2DEC(MID(("x"&amp;I129),58,8))&gt;=0,FALSE))),IF(EXACT("x"&amp;H129,"x"&amp;I129),AA129,AB129),"LEXEMA_O_FORMA"),IF(W129="PRUEBA",IF(H129=X129,AA129,IF(H129=Z129,AB129,"LEXEMA_O_FORMA")),IF(W129="RETIRADA",IF(AND(H129="NINGUNO",I129=""),IF(J129="COMPLETA",AB129,"COBERTURA_INSUFICIENTE"),IF(AND(OR(H129="uoInstallation",H129="uoUninstallation"),OR(I129="orcSucceeded",I129="orcSucceededWithErrors",I129="orcFailed",I129="orcAborted",I129="orcInProgress",I129="orcNotStarted")),IF(AND(H129=X129,I129=Y129),AA129,IF(AND(H129=X129,OR(I129="orcSucceededWithErrors",I129="orcInProgress",I129="orcNotStarted")),"RESULTADO_RETIRADA_INCIERTO",IF(J129="COMPLETA",AB129,"COBERTURA_INSUFICIENTE"))),"LEXEMA_O_FORMA")),IF(W129="CAMBIO",IF(OR(H129="CAMBIO",H129="CAMBIO_Y_RETORNO"),AA129,IF(OR(H129="NINGUNO",H129="SOLO_RENOMBRE"),IF(J129="COMPLETA",AB129,"COBERTURA_INSUFICIENTE"),"LEXEMA_O_FORMA")),IF(W129="RESTAURACION",IF(H129=X129,AA129,IF(OR(H129="NINGUNO",H129="RESTAURACION_POSTERIOR",H129="RESTAURACION_FALLIDA"),IF(J129="COMPLETA",AB129,"COBERTURA_INSUFICIENTE"),"LEXEMA_O_FORMA")),"PERFIL_NO_CONSTITUIDO"))))))))))))))))))</x:f>
        <x:v>SIN_RESTAURACION_PREVIA</x:v>
      </x:c>
      <x:c r="R129" s="12" t="str">
        <x:f>IF(AND(L129=O129,M129=P129,N129=Q129),"PASA","NO_PASA")</x:f>
        <x:v>PASA</x:v>
      </x:c>
      <x:c r="S129" s="4" t="str">
        <x:v>Punto posterior a instalación, en historia completa: no es restauración previa.</x:v>
      </x:c>
      <x:c r="T129" s="12" t="str">
        <x:f>IFERROR(INDEX('55_Codificacion_ensayo'!$B$5:$B$13,MATCH(B129,'55_Codificacion_ensayo'!$A$5:$A$13,0)),"")</x:f>
        <x:v>HISTORIA-RESTAURACION-PREVIA-0.1</x:v>
      </x:c>
      <x:c r="U129" s="12" t="str">
        <x:f>IFERROR(INDEX('55_Codificacion_ensayo'!$C$5:$C$13,MATCH(B129,'55_Codificacion_ensayo'!$A$5:$A$13,0)),"")</x:f>
        <x:v>TRABAJO_RESTAURACION</x:v>
      </x:c>
      <x:c r="V129" s="12" t="str">
        <x:f>IFERROR(INDEX('55_Codificacion_ensayo'!$D$5:$D$13,MATCH(B129,'55_Codificacion_ensayo'!$A$5:$A$13,0)),"")</x:f>
        <x:v>ORDEN_ACREDITADO</x:v>
      </x:c>
      <x:c r="W129" s="12" t="str">
        <x:f>IFERROR(INDEX('55_Codificacion_ensayo'!$E$5:$E$13,MATCH(B129,'55_Codificacion_ensayo'!$A$5:$A$13,0)),"")</x:f>
        <x:v>RESTAURACION</x:v>
      </x:c>
      <x:c r="X129" s="12" t="str">
        <x:f>IFERROR(INDEX('55_Codificacion_ensayo'!$F$5:$F$13,MATCH(B129,'55_Codificacion_ensayo'!$A$5:$A$13,0)),"")</x:f>
        <x:v>RESTAURACION_PREVIA</x:v>
      </x:c>
      <x:c r="Y129" s="12" t="str">
        <x:f>IFERROR(INDEX('55_Codificacion_ensayo'!$G$5:$G$13,MATCH(B129,'55_Codificacion_ensayo'!$A$5:$A$13,0)),"")</x:f>
      </x:c>
      <x:c r="Z129" s="12" t="str">
        <x:f>IFERROR(INDEX('55_Codificacion_ensayo'!$H$5:$H$13,MATCH(B129,'55_Codificacion_ensayo'!$A$5:$A$13,0)),"")</x:f>
        <x:v>NINGUNO</x:v>
      </x:c>
      <x:c r="AA129" s="12" t="str">
        <x:f>IFERROR(INDEX('55_Codificacion_ensayo'!$I$5:$I$13,MATCH(B129,'55_Codificacion_ensayo'!$A$5:$A$13,0)),"")</x:f>
        <x:v>RESTAURACION_PREVIA</x:v>
      </x:c>
      <x:c r="AB129" s="12" t="str">
        <x:f>IFERROR(INDEX('55_Codificacion_ensayo'!$J$5:$J$13,MATCH(B129,'55_Codificacion_ensayo'!$A$5:$A$13,0)),"")</x:f>
        <x:v>SIN_RESTAURACION_PREVIA</x:v>
      </x:c>
    </x:row>
    <x:row r="130" ht="47" customHeight="1">
      <x:c r="A130" s="4" t="str">
        <x:v>L10-10-14</x:v>
      </x:c>
      <x:c r="B130" s="4" t="str">
        <x:v>PAR-CYB-RESTAURACION-PREVIA-COMUNICADA-001</x:v>
      </x:c>
      <x:c r="C130" s="4" t="str">
        <x:v>HISTORIA-RESTAURACION-PREVIA-0.1</x:v>
      </x:c>
      <x:c r="D130" s="4" t="str">
        <x:v>COINCIDE</x:v>
      </x:c>
      <x:c r="E130" s="4" t="str">
        <x:v>LEGIBLE</x:v>
      </x:c>
      <x:c r="F130" s="4" t="str">
        <x:v>NOMBRE_BACKUP</x:v>
      </x:c>
      <x:c r="G130" s="4" t="str">
        <x:v>UNICA</x:v>
      </x:c>
      <x:c r="H130" s="4" t="str">
        <x:v>RESTAURACION_PREVIA</x:v>
      </x:c>
      <x:c r="I130" s="4" t="str"/>
      <x:c r="J130" s="4" t="str">
        <x:v>COMPLETA</x:v>
      </x:c>
      <x:c r="K130" s="4" t="str">
        <x:v>ORDEN_ACREDITADO</x:v>
      </x:c>
      <x:c r="L130" s="4" t="str">
        <x:v>VALIDA</x:v>
      </x:c>
      <x:c r="M130" s="4" t="str">
        <x:v>U</x:v>
      </x:c>
      <x:c r="N130" s="4" t="str">
        <x:v>OBSERVACION_INSUFICIENTE</x:v>
      </x:c>
      <x:c r="O130" s="12" t="str">
        <x:f>IF(Q130="SIN_EJECUCION_DOMINIO","FALLO_CAPTURA",IF(OR(Q130="CAPTURA_MAL_FORMADA",Q130="IDENTIDAD",Q130="OBSERVACION_MAL_FORMADA",Q130="LEXEMA_O_FORMA"),"NO_ADMISION",IF(OR(Q130="PERFIL_NO_CONSTITUIDO",Q130="RESULTADO_NO_TERMINAL"),"FUERA_PERFIL",IF(Q130="CONTEXTO_NO_CONSTITUIDO","CONFIGURACION_PENDIENTE","VALIDA"))))</x:f>
        <x:v>VALIDA</x:v>
      </x:c>
      <x:c r="P130" s="12" t="str">
        <x:f>IF(O130&lt;&gt;"VALIDA","",IF(Q130=AA130,"1",IF(Q130=AB130,"0","U")))</x:f>
        <x:v>U</x:v>
      </x:c>
      <x:c r="Q130" s="12" t="str">
        <x:f>IF(E130="FALLO","SIN_EJECUCION_DOMINIO",IF(E130&lt;&gt;"LEGIBLE","CAPTURA_MAL_FORMADA",IF(D130&lt;&gt;"COINCIDE","IDENTIDAD",IF(OR(T130="",C130&lt;&gt;T130),"PERFIL_NO_CONSTITUIDO",IF(K130&lt;&gt;V130,IF(V130="ORDEN_ACREDITADO","ORDEN_NO_ACREDITADO","CONTEXTO_NO_CONSTITUIDO"),IF(AND(G130="AUSENTE",H130="",I130=""),"DATO_AUSENTE",IF(AND(G130="CONFLICTO",H130="",I130=""),"CONFLICTO_OBSERVACIONAL",IF(G130&lt;&gt;"UNICA","OBSERVACION_MAL_FORMADA",IF(F130&lt;&gt;U130,"OBSERVACION_INSUFICIENTE",IF(W130="RESULTADO",IF(H130=X130,AA130,IF(OR(H130="orcSucceededWithErrors",H130="orcFailed",H130="orcAborted"),AB130,IF(OR(H130="orcNotStarted",H130="orcInProgress"),"RESULTADO_NO_TERMINAL","LEXEMA_O_FORMA"))),IF(W130="EVENTO_BOOT",IF(H130=X130,AA130,IF(OR(H130="NINGUNO",H130="SOLO_HIBRIDO"),IF(J130="COMPLETA",AB130,"COBERTURA_INSUFICIENTE"),"LEXEMA_O_FORMA")),IF(W130="REQUISITO_SOFT",IF(H130=X130,AA130,IF(H130=Z130,AB130,"LEXEMA_O_FORMA")),IF(W130="EVENTO_PROC",IF(H130=X130,AA130,IF(H130=Z130,IF(J130="COMPLETA",AB130,"COBERTURA_INSUFICIENTE"),"LEXEMA_O_FORMA")),IF(W130="IMAGEN",IF(AND(AND(ISTEXT(H130),LEN(("x"&amp;H130))=65,EXACT(("x"&amp;H130),LOWER(("x"&amp;H130))),ISERROR(SEARCH(" ",("x"&amp;H130))),ISERROR(SEARCH(CHAR(9),("x"&amp;H130))),ISERROR(SEARCH(CHAR(10),("x"&amp;H130))),ISERROR(SEARCH(CHAR(13),("x"&amp;H130))),IFERROR(HEX2DEC(MID(("x"&amp;H130),2,8))&gt;=0,FALSE),IFERROR(HEX2DEC(MID(("x"&amp;H130),10,8))&gt;=0,FALSE),IFERROR(HEX2DEC(MID(("x"&amp;H130),18,8))&gt;=0,FALSE),IFERROR(HEX2DEC(MID(("x"&amp;H130),26,8))&gt;=0,FALSE),IFERROR(HEX2DEC(MID(("x"&amp;H130),34,8))&gt;=0,FALSE),IFERROR(HEX2DEC(MID(("x"&amp;H130),42,8))&gt;=0,FALSE),IFERROR(HEX2DEC(MID(("x"&amp;H130),50,8))&gt;=0,FALSE),IFERROR(HEX2DEC(MID(("x"&amp;H130),58,8))&gt;=0,FALSE)),AND(ISTEXT(I130),LEN(("x"&amp;I130))=65,EXACT(("x"&amp;I130),LOWER(("x"&amp;I130))),ISERROR(SEARCH(" ",("x"&amp;I130))),ISERROR(SEARCH(CHAR(9),("x"&amp;I130))),ISERROR(SEARCH(CHAR(10),("x"&amp;I130))),ISERROR(SEARCH(CHAR(13),("x"&amp;I130))),IFERROR(HEX2DEC(MID(("x"&amp;I130),2,8))&gt;=0,FALSE),IFERROR(HEX2DEC(MID(("x"&amp;I130),10,8))&gt;=0,FALSE),IFERROR(HEX2DEC(MID(("x"&amp;I130),18,8))&gt;=0,FALSE),IFERROR(HEX2DEC(MID(("x"&amp;I130),26,8))&gt;=0,FALSE),IFERROR(HEX2DEC(MID(("x"&amp;I130),34,8))&gt;=0,FALSE),IFERROR(HEX2DEC(MID(("x"&amp;I130),42,8))&gt;=0,FALSE),IFERROR(HEX2DEC(MID(("x"&amp;I130),50,8))&gt;=0,FALSE),IFERROR(HEX2DEC(MID(("x"&amp;I130),58,8))&gt;=0,FALSE))),IF(EXACT("x"&amp;H130,"x"&amp;I130),AA130,AB130),"LEXEMA_O_FORMA"),IF(W130="PRUEBA",IF(H130=X130,AA130,IF(H130=Z130,AB130,"LEXEMA_O_FORMA")),IF(W130="RETIRADA",IF(AND(H130="NINGUNO",I130=""),IF(J130="COMPLETA",AB130,"COBERTURA_INSUFICIENTE"),IF(AND(OR(H130="uoInstallation",H130="uoUninstallation"),OR(I130="orcSucceeded",I130="orcSucceededWithErrors",I130="orcFailed",I130="orcAborted",I130="orcInProgress",I130="orcNotStarted")),IF(AND(H130=X130,I130=Y130),AA130,IF(AND(H130=X130,OR(I130="orcSucceededWithErrors",I130="orcInProgress",I130="orcNotStarted")),"RESULTADO_RETIRADA_INCIERTO",IF(J130="COMPLETA",AB130,"COBERTURA_INSUFICIENTE"))),"LEXEMA_O_FORMA")),IF(W130="CAMBIO",IF(OR(H130="CAMBIO",H130="CAMBIO_Y_RETORNO"),AA130,IF(OR(H130="NINGUNO",H130="SOLO_RENOMBRE"),IF(J130="COMPLETA",AB130,"COBERTURA_INSUFICIENTE"),"LEXEMA_O_FORMA")),IF(W130="RESTAURACION",IF(H130=X130,AA130,IF(OR(H130="NINGUNO",H130="RESTAURACION_POSTERIOR",H130="RESTAURACION_FALLIDA"),IF(J130="COMPLETA",AB130,"COBERTURA_INSUFICIENTE"),"LEXEMA_O_FORMA")),"PERFIL_NO_CONSTITUIDO"))))))))))))))))))</x:f>
        <x:v>OBSERVACION_INSUFICIENTE</x:v>
      </x:c>
      <x:c r="R130" s="12" t="str">
        <x:f>IF(AND(L130=O130,M130=P130,N130=Q130),"PASA","NO_PASA")</x:f>
        <x:v>PASA</x:v>
      </x:c>
      <x:c r="S130" s="4" t="str">
        <x:v>Nombre de backup sin manifiesto no acredita el origen anterior.</x:v>
      </x:c>
      <x:c r="T130" s="12" t="str">
        <x:f>IFERROR(INDEX('55_Codificacion_ensayo'!$B$5:$B$13,MATCH(B130,'55_Codificacion_ensayo'!$A$5:$A$13,0)),"")</x:f>
        <x:v>HISTORIA-RESTAURACION-PREVIA-0.1</x:v>
      </x:c>
      <x:c r="U130" s="12" t="str">
        <x:f>IFERROR(INDEX('55_Codificacion_ensayo'!$C$5:$C$13,MATCH(B130,'55_Codificacion_ensayo'!$A$5:$A$13,0)),"")</x:f>
        <x:v>TRABAJO_RESTAURACION</x:v>
      </x:c>
      <x:c r="V130" s="12" t="str">
        <x:f>IFERROR(INDEX('55_Codificacion_ensayo'!$D$5:$D$13,MATCH(B130,'55_Codificacion_ensayo'!$A$5:$A$13,0)),"")</x:f>
        <x:v>ORDEN_ACREDITADO</x:v>
      </x:c>
      <x:c r="W130" s="12" t="str">
        <x:f>IFERROR(INDEX('55_Codificacion_ensayo'!$E$5:$E$13,MATCH(B130,'55_Codificacion_ensayo'!$A$5:$A$13,0)),"")</x:f>
        <x:v>RESTAURACION</x:v>
      </x:c>
      <x:c r="X130" s="12" t="str">
        <x:f>IFERROR(INDEX('55_Codificacion_ensayo'!$F$5:$F$13,MATCH(B130,'55_Codificacion_ensayo'!$A$5:$A$13,0)),"")</x:f>
        <x:v>RESTAURACION_PREVIA</x:v>
      </x:c>
      <x:c r="Y130" s="12" t="str">
        <x:f>IFERROR(INDEX('55_Codificacion_ensayo'!$G$5:$G$13,MATCH(B130,'55_Codificacion_ensayo'!$A$5:$A$13,0)),"")</x:f>
      </x:c>
      <x:c r="Z130" s="12" t="str">
        <x:f>IFERROR(INDEX('55_Codificacion_ensayo'!$H$5:$H$13,MATCH(B130,'55_Codificacion_ensayo'!$A$5:$A$13,0)),"")</x:f>
        <x:v>NINGUNO</x:v>
      </x:c>
      <x:c r="AA130" s="12" t="str">
        <x:f>IFERROR(INDEX('55_Codificacion_ensayo'!$I$5:$I$13,MATCH(B130,'55_Codificacion_ensayo'!$A$5:$A$13,0)),"")</x:f>
        <x:v>RESTAURACION_PREVIA</x:v>
      </x:c>
      <x:c r="AB130" s="12" t="str">
        <x:f>IFERROR(INDEX('55_Codificacion_ensayo'!$J$5:$J$13,MATCH(B130,'55_Codificacion_ensayo'!$A$5:$A$13,0)),"")</x:f>
        <x:v>SIN_RESTAURACION_PREVIA</x:v>
      </x:c>
    </x:row>
    <x:row r="131" ht="47" customHeight="1">
      <x:c r="A131" s="4" t="str">
        <x:v>L10-10-15</x:v>
      </x:c>
      <x:c r="B131" s="4" t="str">
        <x:v>PAR-CYB-RESTAURACION-PREVIA-COMUNICADA-001</x:v>
      </x:c>
      <x:c r="C131" s="4" t="str">
        <x:v>HISTORIA-RESTAURACION-PREVIA-0.1</x:v>
      </x:c>
      <x:c r="D131" s="4" t="str">
        <x:v>COINCIDE</x:v>
      </x:c>
      <x:c r="E131" s="4" t="str">
        <x:v>LEGIBLE</x:v>
      </x:c>
      <x:c r="F131" s="4" t="str">
        <x:v>TRABAJO_RESTAURACION</x:v>
      </x:c>
      <x:c r="G131" s="4" t="str">
        <x:v>UNICA</x:v>
      </x:c>
      <x:c r="H131" s="4" t="str">
        <x:v>RESTAURACION_FALLIDA</x:v>
      </x:c>
      <x:c r="I131" s="4" t="str"/>
      <x:c r="J131" s="4" t="str">
        <x:v>COMPLETA</x:v>
      </x:c>
      <x:c r="K131" s="4" t="str">
        <x:v>ORDEN_ACREDITADO</x:v>
      </x:c>
      <x:c r="L131" s="4" t="str">
        <x:v>VALIDA</x:v>
      </x:c>
      <x:c r="M131" s="4" t="str">
        <x:v>0</x:v>
      </x:c>
      <x:c r="N131" s="4" t="str">
        <x:v>SIN_RESTAURACION_PREVIA</x:v>
      </x:c>
      <x:c r="O131" s="12" t="str">
        <x:f>IF(Q131="SIN_EJECUCION_DOMINIO","FALLO_CAPTURA",IF(OR(Q131="CAPTURA_MAL_FORMADA",Q131="IDENTIDAD",Q131="OBSERVACION_MAL_FORMADA",Q131="LEXEMA_O_FORMA"),"NO_ADMISION",IF(OR(Q131="PERFIL_NO_CONSTITUIDO",Q131="RESULTADO_NO_TERMINAL"),"FUERA_PERFIL",IF(Q131="CONTEXTO_NO_CONSTITUIDO","CONFIGURACION_PENDIENTE","VALIDA"))))</x:f>
        <x:v>VALIDA</x:v>
      </x:c>
      <x:c r="P131" s="12" t="str">
        <x:f>IF(O131&lt;&gt;"VALIDA","",IF(Q131=AA131,"1",IF(Q131=AB131,"0","U")))</x:f>
        <x:v>0</x:v>
      </x:c>
      <x:c r="Q131" s="12" t="str">
        <x:f>IF(E131="FALLO","SIN_EJECUCION_DOMINIO",IF(E131&lt;&gt;"LEGIBLE","CAPTURA_MAL_FORMADA",IF(D131&lt;&gt;"COINCIDE","IDENTIDAD",IF(OR(T131="",C131&lt;&gt;T131),"PERFIL_NO_CONSTITUIDO",IF(K131&lt;&gt;V131,IF(V131="ORDEN_ACREDITADO","ORDEN_NO_ACREDITADO","CONTEXTO_NO_CONSTITUIDO"),IF(AND(G131="AUSENTE",H131="",I131=""),"DATO_AUSENTE",IF(AND(G131="CONFLICTO",H131="",I131=""),"CONFLICTO_OBSERVACIONAL",IF(G131&lt;&gt;"UNICA","OBSERVACION_MAL_FORMADA",IF(F131&lt;&gt;U131,"OBSERVACION_INSUFICIENTE",IF(W131="RESULTADO",IF(H131=X131,AA131,IF(OR(H131="orcSucceededWithErrors",H131="orcFailed",H131="orcAborted"),AB131,IF(OR(H131="orcNotStarted",H131="orcInProgress"),"RESULTADO_NO_TERMINAL","LEXEMA_O_FORMA"))),IF(W131="EVENTO_BOOT",IF(H131=X131,AA131,IF(OR(H131="NINGUNO",H131="SOLO_HIBRIDO"),IF(J131="COMPLETA",AB131,"COBERTURA_INSUFICIENTE"),"LEXEMA_O_FORMA")),IF(W131="REQUISITO_SOFT",IF(H131=X131,AA131,IF(H131=Z131,AB131,"LEXEMA_O_FORMA")),IF(W131="EVENTO_PROC",IF(H131=X131,AA131,IF(H131=Z131,IF(J131="COMPLETA",AB131,"COBERTURA_INSUFICIENTE"),"LEXEMA_O_FORMA")),IF(W131="IMAGEN",IF(AND(AND(ISTEXT(H131),LEN(("x"&amp;H131))=65,EXACT(("x"&amp;H131),LOWER(("x"&amp;H131))),ISERROR(SEARCH(" ",("x"&amp;H131))),ISERROR(SEARCH(CHAR(9),("x"&amp;H131))),ISERROR(SEARCH(CHAR(10),("x"&amp;H131))),ISERROR(SEARCH(CHAR(13),("x"&amp;H131))),IFERROR(HEX2DEC(MID(("x"&amp;H131),2,8))&gt;=0,FALSE),IFERROR(HEX2DEC(MID(("x"&amp;H131),10,8))&gt;=0,FALSE),IFERROR(HEX2DEC(MID(("x"&amp;H131),18,8))&gt;=0,FALSE),IFERROR(HEX2DEC(MID(("x"&amp;H131),26,8))&gt;=0,FALSE),IFERROR(HEX2DEC(MID(("x"&amp;H131),34,8))&gt;=0,FALSE),IFERROR(HEX2DEC(MID(("x"&amp;H131),42,8))&gt;=0,FALSE),IFERROR(HEX2DEC(MID(("x"&amp;H131),50,8))&gt;=0,FALSE),IFERROR(HEX2DEC(MID(("x"&amp;H131),58,8))&gt;=0,FALSE)),AND(ISTEXT(I131),LEN(("x"&amp;I131))=65,EXACT(("x"&amp;I131),LOWER(("x"&amp;I131))),ISERROR(SEARCH(" ",("x"&amp;I131))),ISERROR(SEARCH(CHAR(9),("x"&amp;I131))),ISERROR(SEARCH(CHAR(10),("x"&amp;I131))),ISERROR(SEARCH(CHAR(13),("x"&amp;I131))),IFERROR(HEX2DEC(MID(("x"&amp;I131),2,8))&gt;=0,FALSE),IFERROR(HEX2DEC(MID(("x"&amp;I131),10,8))&gt;=0,FALSE),IFERROR(HEX2DEC(MID(("x"&amp;I131),18,8))&gt;=0,FALSE),IFERROR(HEX2DEC(MID(("x"&amp;I131),26,8))&gt;=0,FALSE),IFERROR(HEX2DEC(MID(("x"&amp;I131),34,8))&gt;=0,FALSE),IFERROR(HEX2DEC(MID(("x"&amp;I131),42,8))&gt;=0,FALSE),IFERROR(HEX2DEC(MID(("x"&amp;I131),50,8))&gt;=0,FALSE),IFERROR(HEX2DEC(MID(("x"&amp;I131),58,8))&gt;=0,FALSE))),IF(EXACT("x"&amp;H131,"x"&amp;I131),AA131,AB131),"LEXEMA_O_FORMA"),IF(W131="PRUEBA",IF(H131=X131,AA131,IF(H131=Z131,AB131,"LEXEMA_O_FORMA")),IF(W131="RETIRADA",IF(AND(H131="NINGUNO",I131=""),IF(J131="COMPLETA",AB131,"COBERTURA_INSUFICIENTE"),IF(AND(OR(H131="uoInstallation",H131="uoUninstallation"),OR(I131="orcSucceeded",I131="orcSucceededWithErrors",I131="orcFailed",I131="orcAborted",I131="orcInProgress",I131="orcNotStarted")),IF(AND(H131=X131,I131=Y131),AA131,IF(AND(H131=X131,OR(I131="orcSucceededWithErrors",I131="orcInProgress",I131="orcNotStarted")),"RESULTADO_RETIRADA_INCIERTO",IF(J131="COMPLETA",AB131,"COBERTURA_INSUFICIENTE"))),"LEXEMA_O_FORMA")),IF(W131="CAMBIO",IF(OR(H131="CAMBIO",H131="CAMBIO_Y_RETORNO"),AA131,IF(OR(H131="NINGUNO",H131="SOLO_RENOMBRE"),IF(J131="COMPLETA",AB131,"COBERTURA_INSUFICIENTE"),"LEXEMA_O_FORMA")),IF(W131="RESTAURACION",IF(H131=X131,AA131,IF(OR(H131="NINGUNO",H131="RESTAURACION_POSTERIOR",H131="RESTAURACION_FALLIDA"),IF(J131="COMPLETA",AB131,"COBERTURA_INSUFICIENTE"),"LEXEMA_O_FORMA")),"PERFIL_NO_CONSTITUIDO"))))))))))))))))))</x:f>
        <x:v>SIN_RESTAURACION_PREVIA</x:v>
      </x:c>
      <x:c r="R131" s="12" t="str">
        <x:f>IF(AND(L131=O131,M131=P131,N131=Q131),"PASA","NO_PASA")</x:f>
        <x:v>PASA</x:v>
      </x:c>
      <x:c r="S131" s="4" t="str">
        <x:v>Trabajo fallido no es restauración satisfactoria comunicada.</x:v>
      </x:c>
      <x:c r="T131" s="12" t="str">
        <x:f>IFERROR(INDEX('55_Codificacion_ensayo'!$B$5:$B$13,MATCH(B131,'55_Codificacion_ensayo'!$A$5:$A$13,0)),"")</x:f>
        <x:v>HISTORIA-RESTAURACION-PREVIA-0.1</x:v>
      </x:c>
      <x:c r="U131" s="12" t="str">
        <x:f>IFERROR(INDEX('55_Codificacion_ensayo'!$C$5:$C$13,MATCH(B131,'55_Codificacion_ensayo'!$A$5:$A$13,0)),"")</x:f>
        <x:v>TRABAJO_RESTAURACION</x:v>
      </x:c>
      <x:c r="V131" s="12" t="str">
        <x:f>IFERROR(INDEX('55_Codificacion_ensayo'!$D$5:$D$13,MATCH(B131,'55_Codificacion_ensayo'!$A$5:$A$13,0)),"")</x:f>
        <x:v>ORDEN_ACREDITADO</x:v>
      </x:c>
      <x:c r="W131" s="12" t="str">
        <x:f>IFERROR(INDEX('55_Codificacion_ensayo'!$E$5:$E$13,MATCH(B131,'55_Codificacion_ensayo'!$A$5:$A$13,0)),"")</x:f>
        <x:v>RESTAURACION</x:v>
      </x:c>
      <x:c r="X131" s="12" t="str">
        <x:f>IFERROR(INDEX('55_Codificacion_ensayo'!$F$5:$F$13,MATCH(B131,'55_Codificacion_ensayo'!$A$5:$A$13,0)),"")</x:f>
        <x:v>RESTAURACION_PREVIA</x:v>
      </x:c>
      <x:c r="Y131" s="12" t="str">
        <x:f>IFERROR(INDEX('55_Codificacion_ensayo'!$G$5:$G$13,MATCH(B131,'55_Codificacion_ensayo'!$A$5:$A$13,0)),"")</x:f>
      </x:c>
      <x:c r="Z131" s="12" t="str">
        <x:f>IFERROR(INDEX('55_Codificacion_ensayo'!$H$5:$H$13,MATCH(B131,'55_Codificacion_ensayo'!$A$5:$A$13,0)),"")</x:f>
        <x:v>NINGUNO</x:v>
      </x:c>
      <x:c r="AA131" s="12" t="str">
        <x:f>IFERROR(INDEX('55_Codificacion_ensayo'!$I$5:$I$13,MATCH(B131,'55_Codificacion_ensayo'!$A$5:$A$13,0)),"")</x:f>
        <x:v>RESTAURACION_PREVIA</x:v>
      </x:c>
      <x:c r="AB131" s="12" t="str">
        <x:f>IFERROR(INDEX('55_Codificacion_ensayo'!$J$5:$J$13,MATCH(B131,'55_Codificacion_ensayo'!$A$5:$A$13,0)),"")</x:f>
        <x:v>SIN_RESTAURACION_PREVIA</x:v>
      </x:c>
    </x:row>
  </x:sheetData>
  <x:mergeCells>
    <x:mergeCell ref="A1:D1"/>
    <x:mergeCell ref="A2:F2"/>
  </x:mergeCells>
  <x:conditionalFormatting sqref="R5:R131">
    <x:cfRule type="expression" dxfId="24" priority="1">
      <x:formula>R5="NO_PASA"</x:formula>
    </x:cfRule>
  </x:conditionalFormatting>
  <x:pageMargins left="0.7" right="0.7" top="0.75" bottom="0.75" header="0.3" footer="0.3"/>
  <x:tableParts count="1">
    <x:tablePart xmlns:r="http://schemas.openxmlformats.org/officeDocument/2006/relationships" r:id="R61490ea2965d46b9"/>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102" hidden="0" customWidth="1"/>
    <x:col min="4" max="4" width="31" hidden="0" customWidth="1"/>
    <x:col min="5" max="5" width="119" hidden="0" customWidth="1"/>
  </x:cols>
  <x:sheetData>
    <x:row r="1" ht="35" customHeight="1">
      <x:c r="A1" s="6" t="str">
        <x:v>ADVERSARIAL INTERNA · correcciones y límites</x:v>
      </x:c>
      <x:c r="B1" s="6"/>
      <x:c r="C1" s="6"/>
      <x:c r="D1" s="6"/>
      <x:c r="E1" s="6"/>
    </x:row>
    <x:row r="2" ht="52" customHeight="1">
      <x:c r="A2" s="8" t="str">
        <x:v>Veinte ataques. Se registran correcciones materiales y deuda conservada; no se presenta como auditoría externa.</x:v>
      </x:c>
      <x:c r="B2" s="8"/>
      <x:c r="C2" s="8"/>
      <x:c r="D2" s="8"/>
      <x:c r="E2" s="8"/>
    </x:row>
    <x:row r="3">
      <x:c r="A3" s="4"/>
      <x:c r="B3" s="4"/>
      <x:c r="C3" s="4"/>
      <x:c r="D3" s="4"/>
      <x:c r="E3" s="4"/>
    </x:row>
    <x:row r="4" ht="42" customHeight="1">
      <x:c r="A4" s="10" t="str">
        <x:v>Ataque</x:v>
      </x:c>
      <x:c r="B4" s="10" t="str">
        <x:v>Objeto</x:v>
      </x:c>
      <x:c r="C4" s="10" t="str">
        <x:v>Refutación buscada</x:v>
      </x:c>
      <x:c r="D4" s="10" t="str">
        <x:v>Resolución</x:v>
      </x:c>
      <x:c r="E4" s="10" t="str">
        <x:v>Resultado material</x:v>
      </x:c>
    </x:row>
    <x:row r="5" ht="47" customHeight="1">
      <x:c r="A5" s="4" t="str">
        <x:v>A01</x:v>
      </x:c>
      <x:c r="B5" s="4" t="str">
        <x:v>Cuota de diez</x:v>
      </x:c>
      <x:c r="C5" s="4" t="str">
        <x:v>Nueve entradas no se obtienen dividiendo enums o nombres de campos.</x:v>
      </x:c>
      <x:c r="D5" s="4" t="str">
        <x:v>Absorbido</x:v>
      </x:c>
      <x:c r="E5" s="4" t="str">
        <x:v>Nueve predicados, nueve funciones y nueve ablaciones; número solicitado no gobierna la prueba.</x:v>
      </x:c>
    </x:row>
    <x:row r="6" ht="47" customHeight="1">
      <x:c r="A6" s="4" t="str">
        <x:v>A02</x:v>
      </x:c>
      <x:c r="B6" s="4" t="str">
        <x:v>Reinicio de software compuesto</x:v>
      </x:c>
      <x:c r="C6" s="4" t="str">
        <x:v>Terminar la generación y crear otra útil son separables.</x:v>
      </x:c>
      <x:c r="D6" s="4" t="str">
        <x:v>Corregido antes de G5</x:v>
      </x:c>
      <x:c r="E6" s="4" t="str">
        <x:v>P05 sólo termina generación previa; cumplimiento íntegro de P04 queda pendiente.</x:v>
      </x:c>
    </x:row>
    <x:row r="7" ht="47" customHeight="1">
      <x:c r="A7" s="4" t="str">
        <x:v>A03</x:v>
      </x:c>
      <x:c r="B7" s="4" t="str">
        <x:v>Duplicación P06/P09</x:v>
      </x:c>
      <x:c r="C7" s="4" t="str">
        <x:v>Comparar imágenes actuales podía repetir el complemento de P06.</x:v>
      </x:c>
      <x:c r="D7" s="4" t="str">
        <x:v>Corregido antes de G5</x:v>
      </x:c>
      <x:c r="E7" s="4" t="str">
        <x:v>P09 conserva historia de cambio y retorno, no desigualdad de extremos.</x:v>
      </x:c>
    </x:row>
    <x:row r="8" ht="47" customHeight="1">
      <x:c r="A8" s="4" t="str">
        <x:v>A04</x:v>
      </x:c>
      <x:c r="B8" s="4" t="str">
        <x:v>Fast Startup</x:v>
      </x:c>
      <x:c r="C8" s="4" t="str">
        <x:v>Apagar/encender o solicitar reinicio no prueba reinicio íntegro.</x:v>
      </x:c>
      <x:c r="D8" s="4" t="str">
        <x:v>Absorbido</x:v>
      </x:c>
      <x:c r="E8" s="4" t="str">
        <x:v>T007; testigos positivos, híbridos y cobertura parcial.</x:v>
      </x:c>
    </x:row>
    <x:row r="9" ht="47" customHeight="1">
      <x:c r="A9" s="4" t="str">
        <x:v>A05</x:v>
      </x:c>
      <x:c r="B9" s="4" t="str">
        <x:v>Éxito WUA y efecto</x:v>
      </x:c>
      <x:c r="C9" s="4" t="str">
        <x:v>orcSucceeded no acredita efecto. Fallo de instalación no es fallo del observador.</x:v>
      </x:c>
      <x:c r="D9" s="4" t="str">
        <x:v>Absorbido</x:v>
      </x:c>
      <x:c r="E9" s="4" t="str">
        <x:v>P02 separado de P06/P07 y de FALLO_CAPTURA.</x:v>
      </x:c>
    </x:row>
    <x:row r="10" ht="47" customHeight="1">
      <x:c r="A10" s="4" t="str">
        <x:v>A06</x:v>
      </x:c>
      <x:c r="B10" s="4" t="str">
        <x:v>Host, huésped y proceso</x:v>
      </x:c>
      <x:c r="C10" s="4" t="str">
        <x:v>Reinicio de host físico no se atribuye a un huésped o proceso sin vínculo.</x:v>
      </x:c>
      <x:c r="D10" s="4" t="str">
        <x:v>Absorbido</x:v>
      </x:c>
      <x:c r="E10" s="4" t="str">
        <x:v>Identidad fuera de admisión; perfiles y sujetos explícitos.</x:v>
      </x:c>
    </x:row>
    <x:row r="11" ht="47" customHeight="1">
      <x:c r="A11" s="4" t="str">
        <x:v>A07</x:v>
      </x:c>
      <x:c r="B11" s="4" t="str">
        <x:v>PID/puntero</x:v>
      </x:c>
      <x:c r="C11" s="4" t="str">
        <x:v>PID reutilizado o puntero no identifica generación ni contenido cargado.</x:v>
      </x:c>
      <x:c r="D11" s="4" t="str">
        <x:v>Absorbido</x:v>
      </x:c>
      <x:c r="E11" s="4" t="str">
        <x:v>P05 exige generación; P06 exige método de identidad, no dirección/tamaño.</x:v>
      </x:c>
    </x:row>
    <x:row r="12" ht="47" customHeight="1">
      <x:c r="A12" s="4" t="str">
        <x:v>A08</x:v>
      </x:c>
      <x:c r="B12" s="4" t="str">
        <x:v>Disco frente a ejecución</x:v>
      </x:c>
      <x:c r="C12" s="4" t="str">
        <x:v>DLL hallada en disco no demuestra DLL cargada.</x:v>
      </x:c>
      <x:c r="D12" s="4" t="str">
        <x:v>Absorbido</x:v>
      </x:c>
      <x:c r="E12" s="4" t="str">
        <x:v>T008/T012/T013 y negativos específicos en P06.</x:v>
      </x:c>
    </x:row>
    <x:row r="13" ht="47" customHeight="1">
      <x:c r="A13" s="4" t="str">
        <x:v>A09</x:v>
      </x:c>
      <x:c r="B13" s="4" t="str">
        <x:v>Ausencia equivale a no</x:v>
      </x:c>
      <x:c r="C13" s="4" t="str">
        <x:v>Registro incompleto no acredita que no ocurrió un evento.</x:v>
      </x:c>
      <x:c r="D13" s="4" t="str">
        <x:v>Absorbido</x:v>
      </x:c>
      <x:c r="E13" s="4" t="str">
        <x:v>Positivo existencial con testigo; negativo requiere cobertura; parcial sin positivo produce U.</x:v>
      </x:c>
    </x:row>
    <x:row r="14" ht="47" customHeight="1">
      <x:c r="A14" s="4" t="str">
        <x:v>A10</x:v>
      </x:c>
      <x:c r="B14" s="4" t="str">
        <x:v>Restauración necesariamente vulnerable</x:v>
      </x:c>
      <x:c r="C14" s="4" t="str">
        <x:v>Un punto previo puede contener la misma corrección o restaurar otro ámbito.</x:v>
      </x:c>
      <x:c r="D14" s="4" t="str">
        <x:v>Absorbido</x:v>
      </x:c>
      <x:c r="E14" s="4" t="str">
        <x:v>P10 sólo suceso comunicado; daño depende de contenido/ámbito.</x:v>
      </x:c>
    </x:row>
    <x:row r="15" ht="47" customHeight="1">
      <x:c r="A15" s="4" t="str">
        <x:v>A11</x:v>
      </x:c>
      <x:c r="B15" s="4" t="str">
        <x:v>Retirada e inventario</x:v>
      </x:c>
      <x:c r="C15" s="4" t="str">
        <x:v>Ausencia actual del paquete no demuestra desinstalación posterior.</x:v>
      </x:c>
      <x:c r="D15" s="4" t="str">
        <x:v>Absorbido</x:v>
      </x:c>
      <x:c r="E15" s="4" t="str">
        <x:v>P08 fuente histórica con operación y resultado; reinstalar no borra el evento.</x:v>
      </x:c>
    </x:row>
    <x:row r="16" ht="47" customHeight="1">
      <x:c r="A16" s="4" t="str">
        <x:v>A12</x:v>
      </x:c>
      <x:c r="B16" s="4" t="str">
        <x:v>Cambio de catálogo</x:v>
      </x:c>
      <x:c r="C16" s="4" t="str">
        <x:v>Renombre, nueva versión de fuente y cambio binario no son equivalentes.</x:v>
      </x:c>
      <x:c r="D16" s="4" t="str">
        <x:v>Absorbido</x:v>
      </x:c>
      <x:c r="E16" s="4" t="str">
        <x:v>P09 exige transición binaria; fuente nueva va por revisión humana, no Tri automática.</x:v>
      </x:c>
    </x:row>
    <x:row r="17" ht="47" customHeight="1">
      <x:c r="A17" s="4" t="str">
        <x:v>A13</x:v>
      </x:c>
      <x:c r="B17" s="4" t="str">
        <x:v>Oráculo tautológico</x:v>
      </x:c>
      <x:c r="C17" s="4" t="str">
        <x:v>Copiar «apto» no demuestra corrección o sensibilidad operacional.</x:v>
      </x:c>
      <x:c r="D17" s="4" t="str">
        <x:v>Límite conservado</x:v>
      </x:c>
      <x:c r="E17" s="4" t="str">
        <x:v>P07 exige criterio unitario y evidencia; sólo se ensaya su contrato, sin atribuir prueba de campo.</x:v>
      </x:c>
    </x:row>
    <x:row r="18" ht="47" customHeight="1">
      <x:c r="A18" s="4" t="str">
        <x:v>A14</x:v>
      </x:c>
      <x:c r="B18" s="4" t="str">
        <x:v>Captura universal</x:v>
      </x:c>
      <x:c r="C18" s="4" t="str">
        <x:v>Las fórmulas no validan registro, reloj, autenticidad o método de identidad.</x:v>
      </x:c>
      <x:c r="D18" s="4" t="str">
        <x:v>Deuda atribuida</x:v>
      </x:c>
      <x:c r="E18" s="4" t="str">
        <x:v>Perfiles de adquisición/admisión productiva pendientes en QCY-02; no aptitud operacional.</x:v>
      </x:c>
    </x:row>
    <x:row r="19" ht="47" customHeight="1">
      <x:c r="A19" s="4" t="str">
        <x:v>A15</x:v>
      </x:c>
      <x:c r="B19" s="4" t="str">
        <x:v>Todo D3/D4 resuelto</x:v>
      </x:c>
      <x:c r="C19" s="4" t="str">
        <x:v>Software unitario no cubre redespliegue/configuración o todas las instancias.</x:v>
      </x:c>
      <x:c r="D19" s="4" t="str">
        <x:v>Límite conservado</x:v>
      </x:c>
      <x:c r="E19" s="4" t="str">
        <x:v>52 mantiene cobertura parcial; no se crean raíces ni se declaran 21 pendientes por simple resta.</x:v>
      </x:c>
    </x:row>
    <x:row r="20" ht="47" customHeight="1">
      <x:c r="A20" s="4" t="str">
        <x:v>A16</x:v>
      </x:c>
      <x:c r="B20" s="4" t="str">
        <x:v>Autorización humana</x:v>
      </x:c>
      <x:c r="C20" s="4" t="str">
        <x:v>Conformidad con P01 no aprueba nominalmente nueve fichas aún no presentadas.</x:v>
      </x:c>
      <x:c r="D20" s="4" t="str">
        <x:v>Absorbido</x:v>
      </x:c>
      <x:c r="E20" s="4" t="str">
        <x:v>P01 adoptado; P02–P10 favorable de unidad y pendiente de adopción nominal.</x:v>
      </x:c>
    </x:row>
    <x:row r="21" ht="47" customHeight="1">
      <x:c r="A21" s="4" t="str">
        <x:v>A17</x:v>
      </x:c>
      <x:c r="B21" s="4" t="str">
        <x:v>Consecuencia como orden</x:v>
      </x:c>
      <x:c r="C21" s="4" t="str">
        <x:v>Necesidad no equivale a permiso de reiniciar ahora.</x:v>
      </x:c>
      <x:c r="D21" s="4" t="str">
        <x:v>Absorbido</x:v>
      </x:c>
      <x:c r="E21" s="4" t="str">
        <x:v>QCY-06/07 mantienen servicio, dependencia, alternativa, ventana, autoridad y proporcionalidad.</x:v>
      </x:c>
    </x:row>
    <x:row r="22" ht="47" customHeight="1">
      <x:c r="A22" s="4" t="str">
        <x:v>A18</x:v>
      </x:c>
      <x:c r="B22" s="4" t="str">
        <x:v>Diez forman célula</x:v>
      </x:c>
      <x:c r="C22" s="4" t="str">
        <x:v>9 o 10 entradas no acreditan SV(9,3).</x:v>
      </x:c>
      <x:c r="D22" s="4" t="str">
        <x:v>Absorbido</x:v>
      </x:c>
      <x:c r="E22" s="4" t="str">
        <x:v>Cero células, rutas y Frames; propiedad futura única.</x:v>
      </x:c>
    </x:row>
    <x:row r="23" ht="47" customHeight="1">
      <x:c r="A23" s="4" t="str">
        <x:v>A19</x:v>
      </x:c>
      <x:c r="B23" s="4" t="str">
        <x:v>Aprendizaje en consulta</x:v>
      </x:c>
      <x:c r="C23" s="4" t="str">
        <x:v>Nueva fuente investigada no puede sustituir el conocimiento vigente automáticamente.</x:v>
      </x:c>
      <x:c r="D23" s="4" t="str">
        <x:v>Absorbido</x:v>
      </x:c>
      <x:c r="E23" s="4" t="str">
        <x:v>Capturas candidatas congeladas; adopción humana antes de alterar el corte del agente.</x:v>
      </x:c>
    </x:row>
    <x:row r="24" ht="47" customHeight="1">
      <x:c r="A24" s="4" t="str">
        <x:v>A20</x:v>
      </x:c>
      <x:c r="B24" s="4" t="str">
        <x:v>Exceso de alegación de pruebas</x:v>
      </x:c>
      <x:c r="C24" s="4" t="str">
        <x:v>Igualdad de tablas o bytes no demuestra suficiencia del Lenguaje.</x:v>
      </x:c>
      <x:c r="D24" s="4" t="str">
        <x:v>Absorbido</x:v>
      </x:c>
      <x:c r="E24" s="4" t="str">
        <x:v>Ensayo documental con ablación/sensibilidad; sin SV, campo ni segunda semántica independiente.</x:v>
      </x:c>
    </x:row>
  </x:sheetData>
  <x:mergeCells>
    <x:mergeCell ref="A1:D1"/>
    <x:mergeCell ref="A2:E2"/>
  </x:mergeCells>
  <x:pageMargins left="0.7" right="0.7" top="0.75" bottom="0.75" header="0.3" footer="0.3"/>
  <x:tableParts count="1">
    <x:tablePart xmlns:r="http://schemas.openxmlformats.org/officeDocument/2006/relationships" r:id="Ra5f2be923a0b4dd8"/>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21" hidden="0" customWidth="1"/>
    <x:col min="2" max="2" width="40" hidden="0" customWidth="1"/>
    <x:col min="3" max="3" width="23" hidden="0" customWidth="1"/>
    <x:col min="4" max="4" width="43" hidden="0" customWidth="1"/>
    <x:col min="5" max="5" width="110" hidden="0" customWidth="1"/>
    <x:col min="6" max="6" width="73" hidden="0" customWidth="1"/>
  </x:cols>
  <x:sheetData>
    <x:row r="1" ht="35" customHeight="1">
      <x:c r="A1" s="6" t="str">
        <x:v>COBERTURA ACTUAL · Q0 conserva 31 distinciones</x:v>
      </x:c>
      <x:c r="B1" s="6"/>
      <x:c r="C1" s="6"/>
      <x:c r="D1" s="6"/>
      <x:c r="E1" s="6"/>
      <x:c r="F1" s="6"/>
    </x:row>
    <x:row r="2" ht="52" customHeight="1">
      <x:c r="A2" s="8" t="str">
        <x:v>La adjudicación parcial no elimina una laguna. La hoja 38 conserva el corte histórico previo de Q0.</x:v>
      </x:c>
      <x:c r="B2" s="8"/>
      <x:c r="C2" s="8"/>
      <x:c r="D2" s="8"/>
      <x:c r="E2" s="8"/>
      <x:c r="F2" s="8"/>
    </x:row>
    <x:row r="3">
      <x:c r="A3" s="4"/>
      <x:c r="B3" s="4"/>
      <x:c r="C3" s="4"/>
      <x:c r="D3" s="4"/>
      <x:c r="E3" s="4"/>
      <x:c r="F3" s="4"/>
    </x:row>
    <x:row r="4" ht="42" customHeight="1">
      <x:c r="A4" s="10" t="str">
        <x:v>Distinción</x:v>
      </x:c>
      <x:c r="B4" s="10" t="str">
        <x:v>Objeto</x:v>
      </x:c>
      <x:c r="C4" s="10" t="str">
        <x:v>Parámetro enlazado</x:v>
      </x:c>
      <x:c r="D4" s="10" t="str">
        <x:v>Estado de cobertura</x:v>
      </x:c>
      <x:c r="E4" s="10" t="str">
        <x:v>Laguna / alcance</x:v>
      </x:c>
      <x:c r="F4" s="10" t="str">
        <x:v>Regla</x:v>
      </x:c>
    </x:row>
    <x:row r="5" ht="47" customHeight="1">
      <x:c r="A5" s="4" t="str">
        <x:v>QCY-01-D1</x:v>
      </x:c>
      <x:c r="B5" s="4" t="str">
        <x:v>activo</x:v>
      </x:c>
      <x:c r="C5" s="4" t="str"/>
      <x:c r="D5" s="4" t="str">
        <x:v>PENDIENTE</x:v>
      </x:c>
      <x:c r="E5" s="4" t="str">
        <x:v>Necesidad no resuelta; bloquea la capacidad de cierre que dependa de ella.</x:v>
      </x:c>
      <x:c r="F5" s="4" t="str">
        <x:v>Sin nuevas raíces ni subdivisión exhaustiva declarada.</x:v>
      </x:c>
    </x:row>
    <x:row r="6" ht="47" customHeight="1">
      <x:c r="A6" s="4" t="str">
        <x:v>QCY-01-D2</x:v>
      </x:c>
      <x:c r="B6" s="4" t="str">
        <x:v>componente/configuración</x:v>
      </x:c>
      <x:c r="C6" s="4" t="str"/>
      <x:c r="D6" s="4" t="str">
        <x:v>PENDIENTE</x:v>
      </x:c>
      <x:c r="E6" s="4" t="str">
        <x:v>Necesidad no resuelta; bloquea la capacidad de cierre que dependa de ella.</x:v>
      </x:c>
      <x:c r="F6" s="4" t="str">
        <x:v>Sin nuevas raíces ni subdivisión exhaustiva declarada.</x:v>
      </x:c>
    </x:row>
    <x:row r="7" ht="47" customHeight="1">
      <x:c r="A7" s="4" t="str">
        <x:v>QCY-01-D3</x:v>
      </x:c>
      <x:c r="B7" s="4" t="str">
        <x:v>vulnerabilidad</x:v>
      </x:c>
      <x:c r="C7" s="4" t="str"/>
      <x:c r="D7" s="4" t="str">
        <x:v>PENDIENTE</x:v>
      </x:c>
      <x:c r="E7" s="4" t="str">
        <x:v>Necesidad no resuelta; bloquea la capacidad de cierre que dependa de ella.</x:v>
      </x:c>
      <x:c r="F7" s="4" t="str">
        <x:v>Sin nuevas raíces ni subdivisión exhaustiva declarada.</x:v>
      </x:c>
    </x:row>
    <x:row r="8" ht="47" customHeight="1">
      <x:c r="A8" s="4" t="str">
        <x:v>QCY-01-D4</x:v>
      </x:c>
      <x:c r="B8" s="4" t="str">
        <x:v>actualización aplicable</x:v>
      </x:c>
      <x:c r="C8" s="4" t="str"/>
      <x:c r="D8" s="4" t="str">
        <x:v>PENDIENTE</x:v>
      </x:c>
      <x:c r="E8" s="4" t="str">
        <x:v>Necesidad no resuelta; bloquea la capacidad de cierre que dependa de ella.</x:v>
      </x:c>
      <x:c r="F8" s="4" t="str">
        <x:v>Sin nuevas raíces ni subdivisión exhaustiva declarada.</x:v>
      </x:c>
    </x:row>
    <x:row r="9" ht="47" customHeight="1">
      <x:c r="A9" s="4" t="str">
        <x:v>QCY-02-D1</x:v>
      </x:c>
      <x:c r="B9" s="4" t="str">
        <x:v>identidad del episodio</x:v>
      </x:c>
      <x:c r="C9" s="4" t="str"/>
      <x:c r="D9" s="4" t="str">
        <x:v>PENDIENTE</x:v>
      </x:c>
      <x:c r="E9" s="4" t="str">
        <x:v>Necesidad no resuelta; bloquea la capacidad de cierre que dependa de ella.</x:v>
      </x:c>
      <x:c r="F9" s="4" t="str">
        <x:v>Sin nuevas raíces ni subdivisión exhaustiva declarada.</x:v>
      </x:c>
    </x:row>
    <x:row r="10" ht="47" customHeight="1">
      <x:c r="A10" s="4" t="str">
        <x:v>QCY-02-D2</x:v>
      </x:c>
      <x:c r="B10" s="4" t="str">
        <x:v>integridad</x:v>
      </x:c>
      <x:c r="C10" s="4" t="str"/>
      <x:c r="D10" s="4" t="str">
        <x:v>PENDIENTE</x:v>
      </x:c>
      <x:c r="E10" s="4" t="str">
        <x:v>Necesidad no resuelta; bloquea la capacidad de cierre que dependa de ella.</x:v>
      </x:c>
      <x:c r="F10" s="4" t="str">
        <x:v>Sin nuevas raíces ni subdivisión exhaustiva declarada.</x:v>
      </x:c>
    </x:row>
    <x:row r="11" ht="47" customHeight="1">
      <x:c r="A11" s="4" t="str">
        <x:v>QCY-02-D3</x:v>
      </x:c>
      <x:c r="B11" s="4" t="str">
        <x:v>procedencia/admisión</x:v>
      </x:c>
      <x:c r="C11" s="4" t="str"/>
      <x:c r="D11" s="4" t="str">
        <x:v>PENDIENTE</x:v>
      </x:c>
      <x:c r="E11" s="4" t="str">
        <x:v>Necesidad no resuelta; bloquea la capacidad de cierre que dependa de ella.</x:v>
      </x:c>
      <x:c r="F11" s="4" t="str">
        <x:v>Sin nuevas raíces ni subdivisión exhaustiva declarada.</x:v>
      </x:c>
    </x:row>
    <x:row r="12" ht="47" customHeight="1">
      <x:c r="A12" s="4" t="str">
        <x:v>QCY-03-D1</x:v>
      </x:c>
      <x:c r="B12" s="4" t="str">
        <x:v>operación individual</x:v>
      </x:c>
      <x:c r="C12" s="4" t="str"/>
      <x:c r="D12" s="4" t="str">
        <x:v>PENDIENTE</x:v>
      </x:c>
      <x:c r="E12" s="4" t="str">
        <x:v>Necesidad no resuelta; bloquea la capacidad de cierre que dependa de ella.</x:v>
      </x:c>
      <x:c r="F12" s="4" t="str">
        <x:v>Sin nuevas raíces ni subdivisión exhaustiva declarada.</x:v>
      </x:c>
    </x:row>
    <x:row r="13" ht="47" customHeight="1">
      <x:c r="A13" s="4" t="str">
        <x:v>QCY-03-D2</x:v>
      </x:c>
      <x:c r="B13" s="4" t="str">
        <x:v>estado final comunicado</x:v>
      </x:c>
      <x:c r="C13" s="4" t="str">
        <x:v>P02</x:v>
      </x:c>
      <x:c r="D13" s="4" t="str">
        <x:v>ADJUDICACION_EN_ALCANCE_DECLARADO</x:v>
      </x:c>
      <x:c r="E13" s="4" t="str">
        <x:v>No equivale a cobertura exhaustiva del uso profesional; ver contrato y límite.</x:v>
      </x:c>
      <x:c r="F13" s="4" t="str">
        <x:v>Sin nuevas raíces ni subdivisión exhaustiva declarada.</x:v>
      </x:c>
    </x:row>
    <x:row r="14" ht="47" customHeight="1">
      <x:c r="A14" s="4" t="str">
        <x:v>QCY-03-D3</x:v>
      </x:c>
      <x:c r="B14" s="4" t="str">
        <x:v>errores asociados</x:v>
      </x:c>
      <x:c r="C14" s="4" t="str"/>
      <x:c r="D14" s="4" t="str">
        <x:v>PENDIENTE</x:v>
      </x:c>
      <x:c r="E14" s="4" t="str">
        <x:v>Necesidad no resuelta; bloquea la capacidad de cierre que dependa de ella.</x:v>
      </x:c>
      <x:c r="F14" s="4" t="str">
        <x:v>Sin nuevas raíces ni subdivisión exhaustiva declarada.</x:v>
      </x:c>
    </x:row>
    <x:row r="15" ht="47" customHeight="1">
      <x:c r="A15" s="4" t="str">
        <x:v>QCY-04-D1</x:v>
      </x:c>
      <x:c r="B15" s="4" t="str">
        <x:v>requisito de reinicio del sistema</x:v>
      </x:c>
      <x:c r="C15" s="4" t="str">
        <x:v>P01</x:v>
      </x:c>
      <x:c r="D15" s="4" t="str">
        <x:v>ADJUDICACION_EN_ALCANCE_DECLARADO</x:v>
      </x:c>
      <x:c r="E15" s="4" t="str">
        <x:v>No equivale a cobertura exhaustiva del uso profesional; ver contrato y límite.</x:v>
      </x:c>
      <x:c r="F15" s="4" t="str">
        <x:v>Sin nuevas raíces ni subdivisión exhaustiva declarada.</x:v>
      </x:c>
    </x:row>
    <x:row r="16" ht="47" customHeight="1">
      <x:c r="A16" s="4" t="str">
        <x:v>QCY-04-D2</x:v>
      </x:c>
      <x:c r="B16" s="4" t="str">
        <x:v>reinicio posterior realizado</x:v>
      </x:c>
      <x:c r="C16" s="4" t="str">
        <x:v>P03</x:v>
      </x:c>
      <x:c r="D16" s="4" t="str">
        <x:v>ADJUDICACION_EN_ALCANCE_DECLARADO</x:v>
      </x:c>
      <x:c r="E16" s="4" t="str">
        <x:v>No equivale a cobertura exhaustiva del uso profesional; ver contrato y límite.</x:v>
      </x:c>
      <x:c r="F16" s="4" t="str">
        <x:v>Sin nuevas raíces ni subdivisión exhaustiva declarada.</x:v>
      </x:c>
    </x:row>
    <x:row r="17" ht="47" customHeight="1">
      <x:c r="A17" s="4" t="str">
        <x:v>QCY-04-D3</x:v>
      </x:c>
      <x:c r="B17" s="4" t="str">
        <x:v>otros cambios requeridos</x:v>
      </x:c>
      <x:c r="C17" s="4" t="str">
        <x:v>P04</x:v>
      </x:c>
      <x:c r="D17" s="4" t="str">
        <x:v>COBERTURA_PARCIAL</x:v>
      </x:c>
      <x:c r="E17" s="4" t="str">
        <x:v>Sólo reinicio de un software. Otros cambios requeridos pendientes.</x:v>
      </x:c>
      <x:c r="F17" s="4" t="str">
        <x:v>Sin nuevas raíces ni subdivisión exhaustiva declarada.</x:v>
      </x:c>
    </x:row>
    <x:row r="18" ht="47" customHeight="1">
      <x:c r="A18" s="4" t="str">
        <x:v>QCY-04-D4</x:v>
      </x:c>
      <x:c r="B18" s="4" t="str">
        <x:v>otros cambios realizados</x:v>
      </x:c>
      <x:c r="C18" s="4" t="str">
        <x:v>P05</x:v>
      </x:c>
      <x:c r="D18" s="4" t="str">
        <x:v>COBERTURA_PARCIAL</x:v>
      </x:c>
      <x:c r="E18" s="4" t="str">
        <x:v>Sólo terminación de una generación. Nuevo arranque, disponibilidad y otros cambios pendientes.</x:v>
      </x:c>
      <x:c r="F18" s="4" t="str">
        <x:v>Sin nuevas raíces ni subdivisión exhaustiva declarada.</x:v>
      </x:c>
    </x:row>
    <x:row r="19" ht="47" customHeight="1">
      <x:c r="A19" s="4" t="str">
        <x:v>QCY-05-D1</x:v>
      </x:c>
      <x:c r="B19" s="4" t="str">
        <x:v>criterio de comprobación</x:v>
      </x:c>
      <x:c r="C19" s="4" t="str"/>
      <x:c r="D19" s="4" t="str">
        <x:v>PENDIENTE</x:v>
      </x:c>
      <x:c r="E19" s="4" t="str">
        <x:v>Necesidad no resuelta; bloquea la capacidad de cierre que dependa de ella.</x:v>
      </x:c>
      <x:c r="F19" s="4" t="str">
        <x:v>Sin nuevas raíces ni subdivisión exhaustiva declarada.</x:v>
      </x:c>
    </x:row>
    <x:row r="20" ht="47" customHeight="1">
      <x:c r="A20" s="4" t="str">
        <x:v>QCY-05-D2</x:v>
      </x:c>
      <x:c r="B20" s="4" t="str">
        <x:v>estado activo</x:v>
      </x:c>
      <x:c r="C20" s="4" t="str">
        <x:v>P06</x:v>
      </x:c>
      <x:c r="D20" s="4" t="str">
        <x:v>COBERTURA_PARCIAL</x:v>
      </x:c>
      <x:c r="E20" s="4" t="str">
        <x:v>Sólo identidad de una imagen cargada. Otras instancias y estado de configuración pendientes.</x:v>
      </x:c>
      <x:c r="F20" s="4" t="str">
        <x:v>Sin nuevas raíces ni subdivisión exhaustiva declarada.</x:v>
      </x:c>
    </x:row>
    <x:row r="21" ht="47" customHeight="1">
      <x:c r="A21" s="4" t="str">
        <x:v>QCY-05-D3</x:v>
      </x:c>
      <x:c r="B21" s="4" t="str">
        <x:v>resultado de comprobación</x:v>
      </x:c>
      <x:c r="C21" s="4" t="str">
        <x:v>P07</x:v>
      </x:c>
      <x:c r="D21" s="4" t="str">
        <x:v>ADJUDICACION_EN_ALCANCE_DECLARADO</x:v>
      </x:c>
      <x:c r="E21" s="4" t="str">
        <x:v>No equivale a cobertura exhaustiva del uso profesional; ver contrato y límite.</x:v>
      </x:c>
      <x:c r="F21" s="4" t="str">
        <x:v>Sin nuevas raíces ni subdivisión exhaustiva declarada.</x:v>
      </x:c>
    </x:row>
    <x:row r="22" ht="47" customHeight="1">
      <x:c r="A22" s="4" t="str">
        <x:v>QCY-06-D1</x:v>
      </x:c>
      <x:c r="B22" s="4" t="str">
        <x:v>servicio afectado</x:v>
      </x:c>
      <x:c r="C22" s="4" t="str"/>
      <x:c r="D22" s="4" t="str">
        <x:v>PENDIENTE</x:v>
      </x:c>
      <x:c r="E22" s="4" t="str">
        <x:v>Necesidad no resuelta; bloquea la capacidad de cierre que dependa de ella.</x:v>
      </x:c>
      <x:c r="F22" s="4" t="str">
        <x:v>Sin nuevas raíces ni subdivisión exhaustiva declarada.</x:v>
      </x:c>
    </x:row>
    <x:row r="23" ht="47" customHeight="1">
      <x:c r="A23" s="4" t="str">
        <x:v>QCY-06-D2</x:v>
      </x:c>
      <x:c r="B23" s="4" t="str">
        <x:v>dependencias</x:v>
      </x:c>
      <x:c r="C23" s="4" t="str"/>
      <x:c r="D23" s="4" t="str">
        <x:v>PENDIENTE</x:v>
      </x:c>
      <x:c r="E23" s="4" t="str">
        <x:v>Necesidad no resuelta; bloquea la capacidad de cierre que dependa de ella.</x:v>
      </x:c>
      <x:c r="F23" s="4" t="str">
        <x:v>Sin nuevas raíces ni subdivisión exhaustiva declarada.</x:v>
      </x:c>
    </x:row>
    <x:row r="24" ht="47" customHeight="1">
      <x:c r="A24" s="4" t="str">
        <x:v>QCY-06-D3</x:v>
      </x:c>
      <x:c r="B24" s="4" t="str">
        <x:v>impacto de interrupción</x:v>
      </x:c>
      <x:c r="C24" s="4" t="str"/>
      <x:c r="D24" s="4" t="str">
        <x:v>PENDIENTE</x:v>
      </x:c>
      <x:c r="E24" s="4" t="str">
        <x:v>Necesidad no resuelta; bloquea la capacidad de cierre que dependa de ella.</x:v>
      </x:c>
      <x:c r="F24" s="4" t="str">
        <x:v>Sin nuevas raíces ni subdivisión exhaustiva declarada.</x:v>
      </x:c>
    </x:row>
    <x:row r="25" ht="47" customHeight="1">
      <x:c r="A25" s="4" t="str">
        <x:v>QCY-07-D1</x:v>
      </x:c>
      <x:c r="B25" s="4" t="str">
        <x:v>alternativas</x:v>
      </x:c>
      <x:c r="C25" s="4" t="str"/>
      <x:c r="D25" s="4" t="str">
        <x:v>PENDIENTE</x:v>
      </x:c>
      <x:c r="E25" s="4" t="str">
        <x:v>Necesidad no resuelta; bloquea la capacidad de cierre que dependa de ella.</x:v>
      </x:c>
      <x:c r="F25" s="4" t="str">
        <x:v>Sin nuevas raíces ni subdivisión exhaustiva declarada.</x:v>
      </x:c>
    </x:row>
    <x:row r="26" ht="47" customHeight="1">
      <x:c r="A26" s="4" t="str">
        <x:v>QCY-07-D2</x:v>
      </x:c>
      <x:c r="B26" s="4" t="str">
        <x:v>ventana</x:v>
      </x:c>
      <x:c r="C26" s="4" t="str"/>
      <x:c r="D26" s="4" t="str">
        <x:v>PENDIENTE</x:v>
      </x:c>
      <x:c r="E26" s="4" t="str">
        <x:v>Necesidad no resuelta; bloquea la capacidad de cierre que dependa de ella.</x:v>
      </x:c>
      <x:c r="F26" s="4" t="str">
        <x:v>Sin nuevas raíces ni subdivisión exhaustiva declarada.</x:v>
      </x:c>
    </x:row>
    <x:row r="27" ht="47" customHeight="1">
      <x:c r="A27" s="4" t="str">
        <x:v>QCY-07-D3</x:v>
      </x:c>
      <x:c r="B27" s="4" t="str">
        <x:v>autoridad concreta</x:v>
      </x:c>
      <x:c r="C27" s="4" t="str"/>
      <x:c r="D27" s="4" t="str">
        <x:v>PENDIENTE</x:v>
      </x:c>
      <x:c r="E27" s="4" t="str">
        <x:v>Necesidad no resuelta; bloquea la capacidad de cierre que dependa de ella.</x:v>
      </x:c>
      <x:c r="F27" s="4" t="str">
        <x:v>Sin nuevas raíces ni subdivisión exhaustiva declarada.</x:v>
      </x:c>
    </x:row>
    <x:row r="28" ht="47" customHeight="1">
      <x:c r="A28" s="4" t="str">
        <x:v>QCY-07-D4</x:v>
      </x:c>
      <x:c r="B28" s="4" t="str">
        <x:v>balance de coste/valor</x:v>
      </x:c>
      <x:c r="C28" s="4" t="str"/>
      <x:c r="D28" s="4" t="str">
        <x:v>PENDIENTE</x:v>
      </x:c>
      <x:c r="E28" s="4" t="str">
        <x:v>Necesidad no resuelta; bloquea la capacidad de cierre que dependa de ella.</x:v>
      </x:c>
      <x:c r="F28" s="4" t="str">
        <x:v>Sin nuevas raíces ni subdivisión exhaustiva declarada.</x:v>
      </x:c>
    </x:row>
    <x:row r="29" ht="47" customHeight="1">
      <x:c r="A29" s="4" t="str">
        <x:v>QCY-08-D1</x:v>
      </x:c>
      <x:c r="B29" s="4" t="str">
        <x:v>retirada/reversión</x:v>
      </x:c>
      <x:c r="C29" s="4" t="str">
        <x:v>P08</x:v>
      </x:c>
      <x:c r="D29" s="4" t="str">
        <x:v>COBERTURA_PARCIAL</x:v>
      </x:c>
      <x:c r="E29" s="4" t="str">
        <x:v>Sólo retirada comunicada; otras formas de reversión pendientes.</x:v>
      </x:c>
      <x:c r="F29" s="4" t="str">
        <x:v>Sin nuevas raíces ni subdivisión exhaustiva declarada.</x:v>
      </x:c>
    </x:row>
    <x:row r="30" ht="47" customHeight="1">
      <x:c r="A30" s="4" t="str">
        <x:v>QCY-08-D2</x:v>
      </x:c>
      <x:c r="B30" s="4" t="str">
        <x:v>cambio de componente</x:v>
      </x:c>
      <x:c r="C30" s="4" t="str">
        <x:v>P09</x:v>
      </x:c>
      <x:c r="D30" s="4" t="str">
        <x:v>COBERTURA_PARCIAL</x:v>
      </x:c>
      <x:c r="E30" s="4" t="str">
        <x:v>Sólo historia binaria; otros cambios de componente/configuración pendientes.</x:v>
      </x:c>
      <x:c r="F30" s="4" t="str">
        <x:v>Sin nuevas raíces ni subdivisión exhaustiva declarada.</x:v>
      </x:c>
    </x:row>
    <x:row r="31" ht="47" customHeight="1">
      <x:c r="A31" s="4" t="str">
        <x:v>QCY-08-D3</x:v>
      </x:c>
      <x:c r="B31" s="4" t="str">
        <x:v>restauración de estado previo</x:v>
      </x:c>
      <x:c r="C31" s="4" t="str">
        <x:v>P10</x:v>
      </x:c>
      <x:c r="D31" s="4" t="str">
        <x:v>ADJUDICACION_EN_ALCANCE_DECLARADO</x:v>
      </x:c>
      <x:c r="E31" s="4" t="str">
        <x:v>No equivale a cobertura exhaustiva del uso profesional; ver contrato y límite.</x:v>
      </x:c>
      <x:c r="F31" s="4" t="str">
        <x:v>Sin nuevas raíces ni subdivisión exhaustiva declarada.</x:v>
      </x:c>
    </x:row>
    <x:row r="32" ht="47" customHeight="1">
      <x:c r="A32" s="4" t="str">
        <x:v>QCY-09-D1</x:v>
      </x:c>
      <x:c r="B32" s="4" t="str">
        <x:v>cobertura de dependencias</x:v>
      </x:c>
      <x:c r="C32" s="4" t="str"/>
      <x:c r="D32" s="4" t="str">
        <x:v>PENDIENTE</x:v>
      </x:c>
      <x:c r="E32" s="4" t="str">
        <x:v>Necesidad no resuelta; bloquea la capacidad de cierre que dependa de ella.</x:v>
      </x:c>
      <x:c r="F32" s="4" t="str">
        <x:v>Sin nuevas raíces ni subdivisión exhaustiva declarada.</x:v>
      </x:c>
    </x:row>
    <x:row r="33" ht="47" customHeight="1">
      <x:c r="A33" s="4" t="str">
        <x:v>QCY-09-D2</x:v>
      </x:c>
      <x:c r="B33" s="4" t="str">
        <x:v>incertidumbres</x:v>
      </x:c>
      <x:c r="C33" s="4" t="str"/>
      <x:c r="D33" s="4" t="str">
        <x:v>PENDIENTE</x:v>
      </x:c>
      <x:c r="E33" s="4" t="str">
        <x:v>Necesidad no resuelta; bloquea la capacidad de cierre que dependa de ella.</x:v>
      </x:c>
      <x:c r="F33" s="4" t="str">
        <x:v>Sin nuevas raíces ni subdivisión exhaustiva declarada.</x:v>
      </x:c>
    </x:row>
    <x:row r="34" ht="47" customHeight="1">
      <x:c r="A34" s="4" t="str">
        <x:v>QCY-09-D3</x:v>
      </x:c>
      <x:c r="B34" s="4" t="str">
        <x:v>justificación</x:v>
      </x:c>
      <x:c r="C34" s="4" t="str"/>
      <x:c r="D34" s="4" t="str">
        <x:v>PENDIENTE</x:v>
      </x:c>
      <x:c r="E34" s="4" t="str">
        <x:v>Necesidad no resuelta; bloquea la capacidad de cierre que dependa de ella.</x:v>
      </x:c>
      <x:c r="F34" s="4" t="str">
        <x:v>Sin nuevas raíces ni subdivisión exhaustiva declarada.</x:v>
      </x:c>
    </x:row>
    <x:row r="35" ht="47" customHeight="1">
      <x:c r="A35" s="4" t="str">
        <x:v>QCY-09-D4</x:v>
      </x:c>
      <x:c r="B35" s="4" t="str">
        <x:v>destinatario responsable</x:v>
      </x:c>
      <x:c r="C35" s="4" t="str"/>
      <x:c r="D35" s="4" t="str">
        <x:v>PENDIENTE</x:v>
      </x:c>
      <x:c r="E35" s="4" t="str">
        <x:v>Necesidad no resuelta; bloquea la capacidad de cierre que dependa de ella.</x:v>
      </x:c>
      <x:c r="F35" s="4" t="str">
        <x:v>Sin nuevas raíces ni subdivisión exhaustiva declarada.</x:v>
      </x:c>
    </x:row>
  </x:sheetData>
  <x:mergeCells>
    <x:mergeCell ref="A1:D1"/>
    <x:mergeCell ref="A2:F2"/>
  </x:mergeCells>
  <x:pageMargins left="0.7" right="0.7" top="0.75" bottom="0.75" header="0.3" footer="0.3"/>
  <x:tableParts count="1">
    <x:tablePart xmlns:r="http://schemas.openxmlformats.org/officeDocument/2006/relationships" r:id="Rcf82a96afa074086"/>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2" hidden="0" customWidth="1"/>
    <x:col min="2" max="2" width="58" hidden="0" customWidth="1"/>
    <x:col min="3" max="3" width="106" hidden="0" customWidth="1"/>
    <x:col min="4" max="4" width="66" hidden="0" customWidth="1"/>
    <x:col min="5" max="5" width="106" hidden="0" customWidth="1"/>
    <x:col min="6" max="6" width="19" hidden="0" customWidth="1"/>
    <x:col min="7" max="7" width="29" hidden="0" customWidth="1"/>
    <x:col min="8" max="8" width="21" hidden="0" customWidth="1"/>
    <x:col min="9" max="9" width="70" hidden="0" customWidth="1"/>
    <x:col min="10" max="10" width="50" hidden="0" customWidth="1"/>
  </x:cols>
  <x:sheetData>
    <x:row r="1" ht="35" customHeight="1">
      <x:c r="A1" s="6" t="str">
        <x:v>FUENTES · siete capturas adicionales</x:v>
      </x:c>
      <x:c r="B1" s="6"/>
      <x:c r="C1" s="6"/>
      <x:c r="D1" s="6"/>
      <x:c r="E1" s="6"/>
      <x:c r="F1" s="6"/>
      <x:c r="G1" s="6"/>
      <x:c r="H1" s="6"/>
      <x:c r="I1" s="6"/>
      <x:c r="J1" s="6"/>
    </x:row>
    <x:row r="2" ht="52" customHeight="1">
      <x:c r="A2" s="8" t="str">
        <x:v>T001–T006 permanecen fijadas en 43. Metadato ms.date y fecha visible se conservan por separado cuando difieren.</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Título</x:v>
      </x:c>
      <x:c r="C4" s="10" t="str">
        <x:v>URL</x:v>
      </x:c>
      <x:c r="D4" s="10" t="str">
        <x:v>Localizador</x:v>
      </x:c>
      <x:c r="E4" s="10" t="str">
        <x:v>Alcance leído</x:v>
      </x:c>
      <x:c r="F4" s="10" t="str">
        <x:v>Fecha visible</x:v>
      </x:c>
      <x:c r="G4" s="10" t="str">
        <x:v>ms.date</x:v>
      </x:c>
      <x:c r="H4" s="10" t="str">
        <x:v>Bytes exactos</x:v>
      </x:c>
      <x:c r="I4" s="10" t="str">
        <x:v>SHA-256</x:v>
      </x:c>
      <x:c r="J4" s="10" t="str">
        <x:v>Estatuto</x:v>
      </x:c>
    </x:row>
    <x:row r="5" ht="47" customHeight="1">
      <x:c r="A5" s="4" t="str">
        <x:v>T007</x:v>
      </x:c>
      <x:c r="B5" s="4" t="str">
        <x:v>Updates may not be installed with Fast Startup in Windows 10</x:v>
      </x:c>
      <x:c r="C5" s="4" t="str">
        <x:v>https://learn.microsoft.com/en-us/troubleshoot/windows-client/setup-upgrade-and-drivers/updates-not-install-with-fast-startup</x:v>
      </x:c>
      <x:c r="D5" s="4" t="str">
        <x:v>Summary; More information</x:v>
      </x:c>
      <x:c r="E5" s="4" t="str">
        <x:v>Reinicio completo frente a Fast Startup; alcance Windows 10 y salvedad MEMCM.</x:v>
      </x:c>
      <x:c r="F5" s="4" t="str">
        <x:v>2026-02-12</x:v>
      </x:c>
      <x:c r="G5" s="4" t="str">
        <x:v>ms.date=2026-02-12T00:00:00Z</x:v>
      </x:c>
      <x:c r="H5" s="4" t="str">
        <x:v>49266</x:v>
      </x:c>
      <x:c r="I5" s="4" t="str">
        <x:v>0b4d699ffb67dff435405c972ad5be5a4788b3b658939cb3e54e53424ba487dd</x:v>
      </x:c>
      <x:c r="J5" s="4" t="str">
        <x:v>CUERPO_TECNICO_LEIDO; PERFIL_PRODUCTIVO_PENDIENTE</x:v>
      </x:c>
    </x:row>
    <x:row r="6" ht="47" customHeight="1">
      <x:c r="A6" s="4" t="str">
        <x:v>T008</x:v>
      </x:c>
      <x:c r="B6" s="4" t="str">
        <x:v>Dynamic-link library search order</x:v>
      </x:c>
      <x:c r="C6" s="4" t="str">
        <x:v>https://learn.microsoft.com/en-us/windows/win32/dlls/dynamic-link-library-search-order</x:v>
      </x:c>
      <x:c r="D6" s="4" t="str">
        <x:v>Introducción; Factors that affect searching; órdenes y Remarks</x:v>
      </x:c>
      <x:c r="E6" s="4" t="str">
        <x:v>Versiones coexistentes y resolución real; una ruta esperada no prueba qué módulo se cargó.</x:v>
      </x:c>
      <x:c r="F6" s="4" t="str">
        <x:v>2023-02-09</x:v>
      </x:c>
      <x:c r="G6" s="4" t="str">
        <x:v>ms.date=2023-02-08T00:00:00Z</x:v>
      </x:c>
      <x:c r="H6" s="4" t="str">
        <x:v>63810</x:v>
      </x:c>
      <x:c r="I6" s="4" t="str">
        <x:v>ca2ff1a77ec797c516025925c6f3df38358b0f8b306cd0778f09186cfadc7a16</x:v>
      </x:c>
      <x:c r="J6" s="4" t="str">
        <x:v>CUERPO_TECNICO_LEIDO; PERFIL_PRODUCTIVO_PENDIENTE</x:v>
      </x:c>
    </x:row>
    <x:row r="7" ht="47" customHeight="1">
      <x:c r="A7" s="4" t="str">
        <x:v>T009</x:v>
      </x:c>
      <x:c r="B7" s="4" t="str">
        <x:v>About Restart Manager</x:v>
      </x:c>
      <x:c r="C7" s="4" t="str">
        <x:v>https://learn.microsoft.com/en-us/windows/win32/rstmgr/about-restart-manager</x:v>
      </x:c>
      <x:c r="D7" s="4" t="str">
        <x:v>In this article</x:v>
      </x:c>
      <x:c r="E7" s="4" t="str">
        <x:v>Reinicio de aplicaciones/servicios, ficheros en uso, privilegios y servicios críticos.</x:v>
      </x:c>
      <x:c r="F7" s="4" t="str">
        <x:v>2020-08-19</x:v>
      </x:c>
      <x:c r="G7" s="4" t="str">
        <x:v>ms.date=2018-05-31T00:00:00Z</x:v>
      </x:c>
      <x:c r="H7" s="4" t="str">
        <x:v>49235</x:v>
      </x:c>
      <x:c r="I7" s="4" t="str">
        <x:v>31523632eb52da14a7aafb6b8315b19e0ac8b2c5ef3ee11abe12ce5d9c4aded9</x:v>
      </x:c>
      <x:c r="J7" s="4" t="str">
        <x:v>CUERPO_TECNICO_LEIDO; PERFIL_PRODUCTIVO_PENDIENTE</x:v>
      </x:c>
    </x:row>
    <x:row r="8" ht="47" customHeight="1">
      <x:c r="A8" s="4" t="str">
        <x:v>T010</x:v>
      </x:c>
      <x:c r="B8" s="4" t="str">
        <x:v>IUpdateHistoryEntry interface (wuapi.h)</x:v>
      </x:c>
      <x:c r="C8" s="4" t="str">
        <x:v>https://learn.microsoft.com/en-us/windows/win32/api/wuapi/nn-wuapi-iupdatehistoryentry</x:v>
      </x:c>
      <x:c r="D8" s="4" t="str">
        <x:v>Methods</x:v>
      </x:c>
      <x:c r="E8" s="4" t="str">
        <x:v>Historia: identidad, operación, resultado y fecha son campos distintos; no garantiza cobertura completa.</x:v>
      </x:c>
      <x:c r="F8" s="4" t="str">
        <x:v>2023-02-16</x:v>
      </x:c>
      <x:c r="G8" s="4" t="str">
        <x:v>ms.date=2018-12-05T00:00:00Z</x:v>
      </x:c>
      <x:c r="H8" s="4" t="str">
        <x:v>52577</x:v>
      </x:c>
      <x:c r="I8" s="4" t="str">
        <x:v>1c10caa71f853e1a5f70b241d408b584956f0285086c2e726f93ab465d242f7d</x:v>
      </x:c>
      <x:c r="J8" s="4" t="str">
        <x:v>CUERPO_TECNICO_LEIDO; PERFIL_PRODUCTIVO_PENDIENTE</x:v>
      </x:c>
    </x:row>
    <x:row r="9" ht="47" customHeight="1">
      <x:c r="A9" s="4" t="str">
        <x:v>T011</x:v>
      </x:c>
      <x:c r="B9" s="4" t="str">
        <x:v>UpdateOperation enumeration (wuapi.h)</x:v>
      </x:c>
      <x:c r="C9" s="4" t="str">
        <x:v>https://learn.microsoft.com/en-us/windows/win32/api/wuapi/ne-wuapi-updateoperation</x:v>
      </x:c>
      <x:c r="D9" s="4" t="str">
        <x:v>Constants</x:v>
      </x:c>
      <x:c r="E9" s="4" t="str">
        <x:v>Instalación y desinstalación son operaciones distintas; no se convierten sus enteros directamente a Tri.</x:v>
      </x:c>
      <x:c r="F9" s="4" t="str">
        <x:v>2024-02-22</x:v>
      </x:c>
      <x:c r="G9" s="4" t="str">
        <x:v>ms.date=2018-12-05T00:00:00Z</x:v>
      </x:c>
      <x:c r="H9" s="4" t="str">
        <x:v>49531</x:v>
      </x:c>
      <x:c r="I9" s="4" t="str">
        <x:v>8a46244c749fd5b075d756d5d01116ff9a58e2a8168eed766d4337aef07197b8</x:v>
      </x:c>
      <x:c r="J9" s="4" t="str">
        <x:v>CUERPO_TECNICO_LEIDO; PERFIL_PRODUCTIVO_PENDIENTE</x:v>
      </x:c>
    </x:row>
    <x:row r="10" ht="47" customHeight="1">
      <x:c r="A10" s="4" t="str">
        <x:v>T012</x:v>
      </x:c>
      <x:c r="B10" s="4" t="str">
        <x:v>GetModuleInformation function (psapi.h)</x:v>
      </x:c>
      <x:c r="C10" s="4" t="str">
        <x:v>https://learn.microsoft.com/en-us/windows/win32/api/psapi/nf-psapi-getmoduleinformation</x:v>
      </x:c>
      <x:c r="D10" s="4" t="str">
        <x:v>Parameters; Return value; Remarks</x:v>
      </x:c>
      <x:c r="E10" s="4" t="str">
        <x:v>La llamada recoge MODULEINFO y tiene fallos/permisos; no certifica una imagen correctora.</x:v>
      </x:c>
      <x:c r="F10" s="4" t="str">
        <x:v>2024-02-22</x:v>
      </x:c>
      <x:c r="G10" s="4" t="str">
        <x:v>ms.date=2018-12-05T00:00:00Z</x:v>
      </x:c>
      <x:c r="H10" s="4" t="str">
        <x:v>54456</x:v>
      </x:c>
      <x:c r="I10" s="4" t="str">
        <x:v>6a3de9519144cdc43ab32fa5c207975809fdb14913b20e9473d84b74f8f656d2</x:v>
      </x:c>
      <x:c r="J10" s="4" t="str">
        <x:v>CUERPO_TECNICO_LEIDO; PERFIL_PRODUCTIVO_PENDIENTE</x:v>
      </x:c>
    </x:row>
    <x:row r="11" ht="47" customHeight="1">
      <x:c r="A11" s="4" t="str">
        <x:v>T013</x:v>
      </x:c>
      <x:c r="B11" s="4" t="str">
        <x:v>MODULEINFO structure (psapi.h)</x:v>
      </x:c>
      <x:c r="C11" s="4" t="str">
        <x:v>https://learn.microsoft.com/en-us/windows/win32/api/psapi/ns-psapi-moduleinfo</x:v>
      </x:c>
      <x:c r="D11" s="4" t="str">
        <x:v>Members; Remarks</x:v>
      </x:c>
      <x:c r="E11" s="4" t="str">
        <x:v>Dirección, tamaño y punto de entrada; no son un digest del código cargado.</x:v>
      </x:c>
      <x:c r="F11" s="4" t="str">
        <x:v>2024-02-22</x:v>
      </x:c>
      <x:c r="G11" s="4" t="str">
        <x:v>ms.date=2018-12-05T00:00:00Z</x:v>
      </x:c>
      <x:c r="H11" s="4" t="str">
        <x:v>49924</x:v>
      </x:c>
      <x:c r="I11" s="4" t="str">
        <x:v>d2e50a2cb472165399ae7a673d5946337d340f5162062ec1373bb6af9e63c230</x:v>
      </x:c>
      <x:c r="J11" s="4" t="str">
        <x:v>CUERPO_TECNICO_LEIDO; PERFIL_PRODUCTIVO_PENDIENTE</x:v>
      </x:c>
    </x:row>
  </x:sheetData>
  <x:mergeCells>
    <x:mergeCell ref="A1:D1"/>
    <x:mergeCell ref="A2:F2"/>
  </x:mergeCells>
  <x:pageMargins left="0.7" right="0.7" top="0.75" bottom="0.75" header="0.3" footer="0.3"/>
  <x:tableParts count="1">
    <x:tablePart xmlns:r="http://schemas.openxmlformats.org/officeDocument/2006/relationships" r:id="Rf13b0a1c6e764cfd"/>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9" hidden="0" customWidth="1"/>
    <x:col min="2" max="2" width="62" hidden="0" customWidth="1"/>
    <x:col min="3" max="3" width="24" hidden="0" customWidth="1"/>
    <x:col min="4" max="4" width="21" hidden="0" customWidth="1"/>
    <x:col min="5" max="5" width="120" hidden="0" customWidth="1"/>
  </x:cols>
  <x:sheetData>
    <x:row r="1" ht="35" customHeight="1">
      <x:c r="A1" s="6" t="str">
        <x:v>CONTROL · resultado documental del lote</x:v>
      </x:c>
      <x:c r="B1" s="6"/>
      <x:c r="C1" s="6"/>
      <x:c r="D1" s="6"/>
      <x:c r="E1" s="6"/>
    </x:row>
    <x:row r="2" ht="52" customHeight="1">
      <x:c r="A2" s="8" t="str">
        <x:v>Fórmulas visibles y mutación de un esperado. La concordancia es un resultado acotado a los testigos.</x:v>
      </x:c>
      <x:c r="B2" s="8"/>
      <x:c r="C2" s="8"/>
      <x:c r="D2" s="8"/>
      <x:c r="E2" s="8"/>
    </x:row>
    <x:row r="3">
      <x:c r="A3" s="4"/>
      <x:c r="B3" s="4"/>
      <x:c r="C3" s="4"/>
      <x:c r="D3" s="4"/>
      <x:c r="E3" s="4"/>
    </x:row>
    <x:row r="4" ht="42" customHeight="1">
      <x:c r="A4" s="10" t="str">
        <x:v>Control</x:v>
      </x:c>
      <x:c r="B4" s="10" t="str">
        <x:v>Magnitud</x:v>
      </x:c>
      <x:c r="C4" s="10" t="str">
        <x:v>Observado</x:v>
      </x:c>
      <x:c r="D4" s="10" t="str">
        <x:v>Esperado</x:v>
      </x:c>
      <x:c r="E4" s="10" t="str">
        <x:v>Alcance</x:v>
      </x:c>
    </x:row>
    <x:row r="5" ht="47" customHeight="1">
      <x:c r="A5" s="4" t="str">
        <x:v>L10-C01</x:v>
      </x:c>
      <x:c r="B5" s="4" t="str">
        <x:v>Parámetros registrados</x:v>
      </x:c>
      <x:c r="C5" s="17" t="n">
        <x:f>COUNTA('46_Registro_diez'!$B$5:$B$14)</x:f>
        <x:v>10</x:v>
      </x:c>
      <x:c r="D5" s="13" t="n">
        <x:v>10</x:v>
      </x:c>
      <x:c r="E5" s="4" t="str">
        <x:v>Definiciones de 46; no instancias ni hojas.</x:v>
      </x:c>
    </x:row>
    <x:row r="6" ht="47" customHeight="1">
      <x:c r="A6" s="4" t="str">
        <x:v>L10-C02</x:v>
      </x:c>
      <x:c r="B6" s="4" t="str">
        <x:v>Adoptados nominalmente</x:v>
      </x:c>
      <x:c r="C6" s="17" t="n">
        <x:f>COUNTIF('46_Registro_diez'!$I$5:$I$14,"ADOPTADO_POR_DIRECCION")</x:f>
        <x:v>1</x:v>
      </x:c>
      <x:c r="D6" s="13" t="n">
        <x:v>1</x:v>
      </x:c>
      <x:c r="E6" s="4" t="str">
        <x:v>P01; no se anticipa la adopción de P02–P10.</x:v>
      </x:c>
    </x:row>
    <x:row r="7" ht="47" customHeight="1">
      <x:c r="A7" s="4" t="str">
        <x:v>L10-C03</x:v>
      </x:c>
      <x:c r="B7" s="4" t="str">
        <x:v>Nuevos dictámenes</x:v>
      </x:c>
      <x:c r="C7" s="17" t="n">
        <x:f>COUNTIF('46_Registro_diez'!$I$5:$I$14,"PENDIENTE_DE_ADOPCION_NOMINAL")</x:f>
        <x:v>9</x:v>
      </x:c>
      <x:c r="D7" s="13" t="n">
        <x:v>9</x:v>
      </x:c>
      <x:c r="E7" s="4" t="str">
        <x:v>Nueve fichas con prueba de identidad, función, U, ablación y partición.</x:v>
      </x:c>
    </x:row>
    <x:row r="8" ht="47" customHeight="1">
      <x:c r="A8" s="4" t="str">
        <x:v>L10-C04</x:v>
      </x:c>
      <x:c r="B8" s="4" t="str">
        <x:v>Identidades duplicadas</x:v>
      </x:c>
      <x:c r="C8" s="17" t="n">
        <x:f>COUNTIF('46_Registro_diez'!$B$5:$B$14,'46_Registro_diez'!B5)-1+COUNTIF('46_Registro_diez'!$B$5:$B$14,'46_Registro_diez'!B6)-1+COUNTIF('46_Registro_diez'!$B$5:$B$14,'46_Registro_diez'!B7)-1+COUNTIF('46_Registro_diez'!$B$5:$B$14,'46_Registro_diez'!B8)-1+COUNTIF('46_Registro_diez'!$B$5:$B$14,'46_Registro_diez'!B9)-1+COUNTIF('46_Registro_diez'!$B$5:$B$14,'46_Registro_diez'!B10)-1+COUNTIF('46_Registro_diez'!$B$5:$B$14,'46_Registro_diez'!B11)-1+COUNTIF('46_Registro_diez'!$B$5:$B$14,'46_Registro_diez'!B12)-1+COUNTIF('46_Registro_diez'!$B$5:$B$14,'46_Registro_diez'!B13)-1+COUNTIF('46_Registro_diez'!$B$5:$B$14,'46_Registro_diez'!B14)-1</x:f>
        <x:v>0</x:v>
      </x:c>
      <x:c r="D8" s="13" t="n">
        <x:v>0</x:v>
      </x:c>
      <x:c r="E8" s="4" t="str">
        <x:v>La unicidad es un control necesario, no prueba semántica.</x:v>
      </x:c>
    </x:row>
    <x:row r="9" ht="47" customHeight="1">
      <x:c r="A9" s="4" t="str">
        <x:v>L10-C05</x:v>
      </x:c>
      <x:c r="B9" s="4" t="str">
        <x:v>Testigos nuevos</x:v>
      </x:c>
      <x:c r="C9" s="17" t="n">
        <x:f>COUNTA('50_Testigos_lote'!$A$5:$A$131)</x:f>
        <x:v>127</x:v>
      </x:c>
      <x:c r="D9" s="13" t="n">
        <x:v>127</x:v>
      </x:c>
      <x:c r="E9" s="4" t="str">
        <x:v>Esperados fijados antes de evaluación de fórmulas.</x:v>
      </x:c>
    </x:row>
    <x:row r="10" ht="47" customHeight="1">
      <x:c r="A10" s="4" t="str">
        <x:v>L10-C06</x:v>
      </x:c>
      <x:c r="B10" s="4" t="str">
        <x:v>Discordancias de testigos</x:v>
      </x:c>
      <x:c r="C10" s="17" t="n">
        <x:f>COUNTIF('50_Testigos_lote'!$R$5:$R$131,"NO_PASA")</x:f>
        <x:v>0</x:v>
      </x:c>
      <x:c r="D10" s="13" t="n">
        <x:v>0</x:v>
      </x:c>
      <x:c r="E10" s="4" t="str">
        <x:v>No acredita capturador ni consejo productivo.</x:v>
      </x:c>
    </x:row>
    <x:row r="11" ht="47" customHeight="1">
      <x:c r="A11" s="4" t="str">
        <x:v>L10-C07</x:v>
      </x:c>
      <x:c r="B11" s="4" t="str">
        <x:v>Distinciones Q0 registradas</x:v>
      </x:c>
      <x:c r="C11" s="17" t="n">
        <x:f>COUNTA('52_Cobertura_Q0_actual'!$A$5:$A$35)</x:f>
        <x:v>31</x:v>
      </x:c>
      <x:c r="D11" s="13" t="n">
        <x:v>31</x:v>
      </x:c>
      <x:c r="E11" s="4" t="str">
        <x:v>No se amplió el inventario.</x:v>
      </x:c>
    </x:row>
    <x:row r="12" ht="47" customHeight="1">
      <x:c r="A12" s="4" t="str">
        <x:v>L10-C08</x:v>
      </x:c>
      <x:c r="B12" s="4" t="str">
        <x:v>Ablaciones ejecutadas</x:v>
      </x:c>
      <x:c r="C12" s="13" t="n">
        <x:v>9</x:v>
      </x:c>
      <x:c r="D12" s="13" t="n">
        <x:v>9</x:v>
      </x:c>
      <x:c r="E12" s="4" t="str">
        <x:v>Proyecciones semánticas acotadas; no ejecución SV.</x:v>
      </x:c>
    </x:row>
    <x:row r="13" ht="47" customHeight="1">
      <x:c r="A13" s="4" t="str">
        <x:v>L10-C09</x:v>
      </x:c>
      <x:c r="B13" s="4" t="str">
        <x:v>Mutantes de ablación detectados</x:v>
      </x:c>
      <x:c r="C13" s="13" t="n">
        <x:v>9</x:v>
      </x:c>
      <x:c r="D13" s="13" t="n">
        <x:v>9</x:v>
      </x:c>
      <x:c r="E13" s="4" t="str">
        <x:v>Observador que ignora cada estado pierde la obligación correspondiente.</x:v>
      </x:c>
    </x:row>
    <x:row r="14" ht="47" customHeight="1">
      <x:c r="A14" s="4" t="str">
        <x:v>L10-C10</x:v>
      </x:c>
      <x:c r="B14" s="4" t="str">
        <x:v>Casos del primer átomo conservados</x:v>
      </x:c>
      <x:c r="C14" s="17" t="n">
        <x:f>COUNTA('41_Testigos_G5'!$A$5:$A$32)</x:f>
        <x:v>28</x:v>
      </x:c>
      <x:c r="D14" s="13" t="n">
        <x:v>28</x:v>
      </x:c>
      <x:c r="E14" s="4" t="str">
        <x:v>Se reejecutan en 41; contrato de P01 sin cambios.</x:v>
      </x:c>
    </x:row>
    <x:row r="15" ht="47" customHeight="1">
      <x:c r="A15" s="4" t="str">
        <x:v>L10-C11</x:v>
      </x:c>
      <x:c r="B15" s="4" t="str">
        <x:v>Nuevas fuentes capturadas</x:v>
      </x:c>
      <x:c r="C15" s="17" t="n">
        <x:f>COUNTA('53_Fuentes_lote'!$A$5:$A$11)</x:f>
        <x:v>7</x:v>
      </x:c>
      <x:c r="D15" s="13" t="n">
        <x:v>7</x:v>
      </x:c>
      <x:c r="E15" s="4" t="str">
        <x:v>Originales y huellas.</x:v>
      </x:c>
    </x:row>
    <x:row r="16" ht="47" customHeight="1">
      <x:c r="A16" s="4" t="str">
        <x:v>L10-C12</x:v>
      </x:c>
      <x:c r="B16" s="4" t="str">
        <x:v>Ataques internos</x:v>
      </x:c>
      <x:c r="C16" s="17" t="n">
        <x:f>COUNTA('51_Adversarial_lote'!$A$5:$A$24)</x:f>
        <x:v>20</x:v>
      </x:c>
      <x:c r="D16" s="13" t="n">
        <x:v>20</x:v>
      </x:c>
      <x:c r="E16" s="4" t="str">
        <x:v>Reparos absorbidos y deudas explícitas.</x:v>
      </x:c>
    </x:row>
    <x:row r="17" ht="47" customHeight="1">
      <x:c r="A17" s="4" t="str">
        <x:v>L10-C13</x:v>
      </x:c>
      <x:c r="B17" s="4" t="str">
        <x:v>Entradas Q0 con cobertura parcial</x:v>
      </x:c>
      <x:c r="C17" s="17" t="n">
        <x:f>COUNTIF('52_Cobertura_Q0_actual'!$D$5:$D$35,"COBERTURA_PARCIAL")</x:f>
        <x:v>5</x:v>
      </x:c>
      <x:c r="D17" s="13" t="n">
        <x:v>5</x:v>
      </x:c>
      <x:c r="E17" s="4" t="str">
        <x:v>No se ocultan bajo «dictaminado».</x:v>
      </x:c>
    </x:row>
    <x:row r="18" ht="47" customHeight="1">
      <x:c r="A18" s="4" t="str">
        <x:v>L10-C14</x:v>
      </x:c>
      <x:c r="B18" s="4" t="str">
        <x:v>Errores nuevos de referencia</x:v>
      </x:c>
      <x:c r="C18" s="17" t="n">
        <x:f>COUNTBLANK('50_Testigos_lote'!$T$5:$T$131)+COUNTIF('55_Codificacion_ensayo'!$A$5:$A$13,'55_Codificacion_ensayo'!A5)-1+COUNTIF('55_Codificacion_ensayo'!$A$5:$A$13,'55_Codificacion_ensayo'!A6)-1+COUNTIF('55_Codificacion_ensayo'!$A$5:$A$13,'55_Codificacion_ensayo'!A7)-1+COUNTIF('55_Codificacion_ensayo'!$A$5:$A$13,'55_Codificacion_ensayo'!A8)-1+COUNTIF('55_Codificacion_ensayo'!$A$5:$A$13,'55_Codificacion_ensayo'!A9)-1+COUNTIF('55_Codificacion_ensayo'!$A$5:$A$13,'55_Codificacion_ensayo'!A10)-1+COUNTIF('55_Codificacion_ensayo'!$A$5:$A$13,'55_Codificacion_ensayo'!A11)-1+COUNTIF('55_Codificacion_ensayo'!$A$5:$A$13,'55_Codificacion_ensayo'!A12)-1+COUNTIF('55_Codificacion_ensayo'!$A$5:$A$13,'55_Codificacion_ensayo'!A13)-1</x:f>
        <x:v>0</x:v>
      </x:c>
      <x:c r="D18" s="13" t="n">
        <x:v>0</x:v>
      </x:c>
      <x:c r="E18" s="4" t="str">
        <x:v>Cada caso corresponde a exactamente un perfil de 55.</x:v>
      </x:c>
    </x:row>
  </x:sheetData>
  <x:mergeCells>
    <x:mergeCell ref="A1:D1"/>
    <x:mergeCell ref="A2:E2"/>
  </x:mergeCells>
  <x:conditionalFormatting sqref="C5:C18">
    <x:cfRule type="expression" dxfId="25" priority="1">
      <x:formula>C5&lt;&gt;D5</x:formula>
    </x:cfRule>
  </x:conditionalFormatting>
  <x:pageMargins left="0.7" right="0.7" top="0.75" bottom="0.75" header="0.3" footer="0.3"/>
  <x:tableParts count="1">
    <x:tablePart xmlns:r="http://schemas.openxmlformats.org/officeDocument/2006/relationships" r:id="Rbe309063ed294cae"/>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51" hidden="0" customWidth="1"/>
    <x:col min="2" max="2" width="53" hidden="0" customWidth="1"/>
    <x:col min="3" max="3" width="33" hidden="0" customWidth="1"/>
    <x:col min="4" max="4" width="35" hidden="0" customWidth="1"/>
    <x:col min="5" max="5" width="25" hidden="0" customWidth="1"/>
    <x:col min="6" max="6" width="68" hidden="0" customWidth="1"/>
    <x:col min="7" max="7" width="68" hidden="0" customWidth="1"/>
    <x:col min="8" max="8" width="68" hidden="0" customWidth="1"/>
    <x:col min="9" max="9" width="40" hidden="0" customWidth="1"/>
    <x:col min="10" max="10" width="40" hidden="0" customWidth="1"/>
  </x:cols>
  <x:sheetData>
    <x:row r="1" ht="35" customHeight="1">
      <x:c r="A1" s="6" t="str">
        <x:v>CODIFICACIÓN DEL ENSAYO · contratos explícitos</x:v>
      </x:c>
      <x:c r="B1" s="6"/>
      <x:c r="C1" s="6"/>
      <x:c r="D1" s="6"/>
      <x:c r="E1" s="6"/>
      <x:c r="F1" s="6"/>
      <x:c r="G1" s="6"/>
      <x:c r="H1" s="6"/>
      <x:c r="I1" s="6"/>
      <x:c r="J1" s="6"/>
    </x:row>
    <x:row r="2" ht="52" customHeight="1">
      <x:c r="A2" s="8" t="str">
        <x:v>Los valores etiquetados describen testigos sintéticos admitidos. No son enums SV ni certificación automática de la evidencia de origen.</x:v>
      </x:c>
      <x:c r="B2" s="8"/>
      <x:c r="C2" s="8"/>
      <x:c r="D2" s="8"/>
      <x:c r="E2" s="8"/>
      <x:c r="F2" s="8"/>
      <x:c r="G2" s="8"/>
      <x:c r="H2" s="8"/>
      <x:c r="I2" s="8"/>
      <x:c r="J2" s="8"/>
    </x:row>
    <x:row r="3">
      <x:c r="A3" s="4"/>
      <x:c r="B3" s="4"/>
      <x:c r="C3" s="4"/>
      <x:c r="D3" s="4"/>
      <x:c r="E3" s="4"/>
      <x:c r="F3" s="4"/>
      <x:c r="G3" s="4"/>
      <x:c r="H3" s="4"/>
      <x:c r="I3" s="4"/>
      <x:c r="J3" s="4"/>
    </x:row>
    <x:row r="4" ht="42" customHeight="1">
      <x:c r="A4" s="10" t="str">
        <x:v>Parámetro</x:v>
      </x:c>
      <x:c r="B4" s="10" t="str">
        <x:v>Perfil</x:v>
      </x:c>
      <x:c r="C4" s="10" t="str">
        <x:v>Soporte requerido</x:v>
      </x:c>
      <x:c r="D4" s="10" t="str">
        <x:v>Contexto requerido</x:v>
      </x:c>
      <x:c r="E4" s="10" t="str">
        <x:v>Modo</x:v>
      </x:c>
      <x:c r="F4" s="10" t="str">
        <x:v>Positivo 1</x:v>
      </x:c>
      <x:c r="G4" s="10" t="str">
        <x:v>Auxiliar</x:v>
      </x:c>
      <x:c r="H4" s="10" t="str">
        <x:v>Negativo</x:v>
      </x:c>
      <x:c r="I4" s="10" t="str">
        <x:v>Diagnóstico 1</x:v>
      </x:c>
      <x:c r="J4" s="10" t="str">
        <x:v>Diagnóstico 0</x:v>
      </x:c>
    </x:row>
    <x:row r="5" ht="47" customHeight="1">
      <x:c r="A5" s="4" t="str">
        <x:v>PAR-CYB-INSTALACION-EXITO-COMUNICADO-001</x:v>
      </x:c>
      <x:c r="B5" s="4" t="str">
        <x:v>WUA-RESULTADO-INDIVIDUAL-0.1</x:v>
      </x:c>
      <x:c r="C5" s="4" t="str">
        <x:v>RESULTADO_WUA_INDIVIDUAL</x:v>
      </x:c>
      <x:c r="D5" s="4" t="str">
        <x:v>INSTALAR_INDIVIDUAL</x:v>
      </x:c>
      <x:c r="E5" s="4" t="str">
        <x:v>RESULTADO</x:v>
      </x:c>
      <x:c r="F5" s="4" t="str">
        <x:v>orcSucceeded</x:v>
      </x:c>
      <x:c r="G5" s="4" t="str"/>
      <x:c r="H5" s="4" t="str">
        <x:v>orcFailed</x:v>
      </x:c>
      <x:c r="I5" s="4" t="str">
        <x:v>EXITO_COMUNICADO</x:v>
      </x:c>
      <x:c r="J5" s="4" t="str">
        <x:v>NO_EXITO_PLENO</x:v>
      </x:c>
    </x:row>
    <x:row r="6" ht="47" customHeight="1">
      <x:c r="A6" s="4" t="str">
        <x:v>PAR-CYB-REINICIO-SISTEMA-REALIZADO-001</x:v>
      </x:c>
      <x:c r="B6" s="4" t="str">
        <x:v>EVENTO-REINICIO-COMPLETO-0.1</x:v>
      </x:c>
      <x:c r="C6" s="4" t="str">
        <x:v>ARRANQUE_COMPLETO</x:v>
      </x:c>
      <x:c r="D6" s="4" t="str">
        <x:v>ORDEN_ACREDITADO</x:v>
      </x:c>
      <x:c r="E6" s="4" t="str">
        <x:v>EVENTO_BOOT</x:v>
      </x:c>
      <x:c r="F6" s="4" t="str">
        <x:v>REINICIO_COMPLETO</x:v>
      </x:c>
      <x:c r="G6" s="4" t="str"/>
      <x:c r="H6" s="4" t="str">
        <x:v>NINGUNO</x:v>
      </x:c>
      <x:c r="I6" s="4" t="str">
        <x:v>REINICIO_REALIZADO</x:v>
      </x:c>
      <x:c r="J6" s="4" t="str">
        <x:v>SIN_REINICIO_COMPLETO</x:v>
      </x:c>
    </x:row>
    <x:row r="7" ht="47" customHeight="1">
      <x:c r="A7" s="4" t="str">
        <x:v>PAR-CYB-REINICIO-SOFTWARE-REQUERIDO-001</x:v>
      </x:c>
      <x:c r="B7" s="4" t="str">
        <x:v>REQUISITO-SOFTWARE-INDIVIDUAL-0.1</x:v>
      </x:c>
      <x:c r="C7" s="4" t="str">
        <x:v>INSTRUCCION_ESPECIFICA</x:v>
      </x:c>
      <x:c r="D7" s="4" t="str">
        <x:v>UN_SOFTWARE</x:v>
      </x:c>
      <x:c r="E7" s="4" t="str">
        <x:v>REQUISITO_SOFT</x:v>
      </x:c>
      <x:c r="F7" s="4" t="str">
        <x:v>true</x:v>
      </x:c>
      <x:c r="G7" s="4" t="str"/>
      <x:c r="H7" s="4" t="str">
        <x:v>false</x:v>
      </x:c>
      <x:c r="I7" s="4" t="str">
        <x:v>REQUISITO_SOFTWARE_SI</x:v>
      </x:c>
      <x:c r="J7" s="4" t="str">
        <x:v>REQUISITO_SOFTWARE_NO</x:v>
      </x:c>
    </x:row>
    <x:row r="8" ht="47" customHeight="1">
      <x:c r="A8" s="4" t="str">
        <x:v>PAR-CYB-GENERACION-PROCESO-TERMINADA-001</x:v>
      </x:c>
      <x:c r="B8" s="4" t="str">
        <x:v>TERMINACION-GENERACION-PROCESO-0.1</x:v>
      </x:c>
      <x:c r="C8" s="4" t="str">
        <x:v>CICLO_GENERACION</x:v>
      </x:c>
      <x:c r="D8" s="4" t="str">
        <x:v>ORDEN_ACREDITADO</x:v>
      </x:c>
      <x:c r="E8" s="4" t="str">
        <x:v>EVENTO_PROC</x:v>
      </x:c>
      <x:c r="F8" s="4" t="str">
        <x:v>TERMINADA</x:v>
      </x:c>
      <x:c r="G8" s="4" t="str"/>
      <x:c r="H8" s="4" t="str">
        <x:v>NINGUNO</x:v>
      </x:c>
      <x:c r="I8" s="4" t="str">
        <x:v>GENERACION_TERMINADA</x:v>
      </x:c>
      <x:c r="J8" s="4" t="str">
        <x:v>SIN_TERMINACION</x:v>
      </x:c>
    </x:row>
    <x:row r="9" ht="47" customHeight="1">
      <x:c r="A9" s="4" t="str">
        <x:v>PAR-CYB-IMAGEN-OBJETIVO-ACTIVA-001</x:v>
      </x:c>
      <x:c r="B9" s="4" t="str">
        <x:v>IDENTIDAD-IMAGEN-CARGADA-0.1</x:v>
      </x:c>
      <x:c r="C9" s="4" t="str">
        <x:v>IMAGEN_CARGADA</x:v>
      </x:c>
      <x:c r="D9" s="4" t="str">
        <x:v>METODO_ADMITIDO</x:v>
      </x:c>
      <x:c r="E9" s="4" t="str">
        <x:v>IMAGEN</x:v>
      </x:c>
      <x:c r="F9" s="4" t="str">
        <x:v>aaaaaaaaaaaaaaaaaaaaaaaaaaaaaaaaaaaaaaaaaaaaaaaaaaaaaaaaaaaaaaaa</x:v>
      </x:c>
      <x:c r="G9" s="4" t="str">
        <x:v>aaaaaaaaaaaaaaaaaaaaaaaaaaaaaaaaaaaaaaaaaaaaaaaaaaaaaaaaaaaaaaaa</x:v>
      </x:c>
      <x:c r="H9" s="4" t="str">
        <x:v>bbbbbbbbbbbbbbbbbbbbbbbbbbbbbbbbbbbbbbbbbbbbbbbbbbbbbbbbbbbbbbbb</x:v>
      </x:c>
      <x:c r="I9" s="4" t="str">
        <x:v>IMAGEN_OBJETIVO</x:v>
      </x:c>
      <x:c r="J9" s="4" t="str">
        <x:v>OTRA_IMAGEN</x:v>
      </x:c>
    </x:row>
    <x:row r="10" ht="47" customHeight="1">
      <x:c r="A10" s="4" t="str">
        <x:v>PAR-CYB-COMPROBACION-POSITIVA-001</x:v>
      </x:c>
      <x:c r="B10" s="4" t="str">
        <x:v>COMPROBACION-CRITERIO-UNITARIO-0.1</x:v>
      </x:c>
      <x:c r="C10" s="4" t="str">
        <x:v>INFORME_PRUEBA</x:v>
      </x:c>
      <x:c r="D10" s="4" t="str">
        <x:v>ORACULO_UNITARIO</x:v>
      </x:c>
      <x:c r="E10" s="4" t="str">
        <x:v>PRUEBA</x:v>
      </x:c>
      <x:c r="F10" s="4" t="str">
        <x:v>CRITERIO_CUMPLIDO</x:v>
      </x:c>
      <x:c r="G10" s="4" t="str"/>
      <x:c r="H10" s="4" t="str">
        <x:v>CRITERIO_NO_CUMPLIDO</x:v>
      </x:c>
      <x:c r="I10" s="4" t="str">
        <x:v>CRITERIO_POSITIVO</x:v>
      </x:c>
      <x:c r="J10" s="4" t="str">
        <x:v>CRITERIO_NEGATIVO</x:v>
      </x:c>
    </x:row>
    <x:row r="11" ht="47" customHeight="1">
      <x:c r="A11" s="4" t="str">
        <x:v>PAR-CYB-RETIRADA-EXITOSA-COMUNICADA-001</x:v>
      </x:c>
      <x:c r="B11" s="4" t="str">
        <x:v>HISTORIA-RETIRADA-ACTUALIZACION-0.1</x:v>
      </x:c>
      <x:c r="C11" s="4" t="str">
        <x:v>HISTORIA_WUA</x:v>
      </x:c>
      <x:c r="D11" s="4" t="str">
        <x:v>ORDEN_ACREDITADO</x:v>
      </x:c>
      <x:c r="E11" s="4" t="str">
        <x:v>RETIRADA</x:v>
      </x:c>
      <x:c r="F11" s="4" t="str">
        <x:v>uoUninstallation</x:v>
      </x:c>
      <x:c r="G11" s="4" t="str">
        <x:v>orcSucceeded</x:v>
      </x:c>
      <x:c r="H11" s="4" t="str">
        <x:v>NINGUNO</x:v>
      </x:c>
      <x:c r="I11" s="4" t="str">
        <x:v>RETIRADA_EXITOSA</x:v>
      </x:c>
      <x:c r="J11" s="4" t="str">
        <x:v>SIN_RETIRADA_EXITOSA</x:v>
      </x:c>
    </x:row>
    <x:row r="12" ht="47" customHeight="1">
      <x:c r="A12" s="4" t="str">
        <x:v>PAR-CYB-CAMBIO-COMPONENTE-POSTERIOR-001</x:v>
      </x:c>
      <x:c r="B12" s="4" t="str">
        <x:v>HISTORIA-CAMBIO-COMPONENTE-0.1</x:v>
      </x:c>
      <x:c r="C12" s="4" t="str">
        <x:v>HISTORIA_BINARIA</x:v>
      </x:c>
      <x:c r="D12" s="4" t="str">
        <x:v>ORDEN_ACREDITADO</x:v>
      </x:c>
      <x:c r="E12" s="4" t="str">
        <x:v>CAMBIO</x:v>
      </x:c>
      <x:c r="F12" s="4" t="str">
        <x:v>CAMBIO</x:v>
      </x:c>
      <x:c r="G12" s="4" t="str"/>
      <x:c r="H12" s="4" t="str">
        <x:v>NINGUNO</x:v>
      </x:c>
      <x:c r="I12" s="4" t="str">
        <x:v>CAMBIO_POSTERIOR</x:v>
      </x:c>
      <x:c r="J12" s="4" t="str">
        <x:v>SIN_CAMBIO_ACREDITADO</x:v>
      </x:c>
    </x:row>
    <x:row r="13" ht="47" customHeight="1">
      <x:c r="A13" s="4" t="str">
        <x:v>PAR-CYB-RESTAURACION-PREVIA-COMUNICADA-001</x:v>
      </x:c>
      <x:c r="B13" s="4" t="str">
        <x:v>HISTORIA-RESTAURACION-PREVIA-0.1</x:v>
      </x:c>
      <x:c r="C13" s="4" t="str">
        <x:v>TRABAJO_RESTAURACION</x:v>
      </x:c>
      <x:c r="D13" s="4" t="str">
        <x:v>ORDEN_ACREDITADO</x:v>
      </x:c>
      <x:c r="E13" s="4" t="str">
        <x:v>RESTAURACION</x:v>
      </x:c>
      <x:c r="F13" s="4" t="str">
        <x:v>RESTAURACION_PREVIA</x:v>
      </x:c>
      <x:c r="G13" s="4" t="str"/>
      <x:c r="H13" s="4" t="str">
        <x:v>NINGUNO</x:v>
      </x:c>
      <x:c r="I13" s="4" t="str">
        <x:v>RESTAURACION_PREVIA</x:v>
      </x:c>
      <x:c r="J13" s="4" t="str">
        <x:v>SIN_RESTAURACION_PREVIA</x:v>
      </x:c>
    </x:row>
  </x:sheetData>
  <x:mergeCells>
    <x:mergeCell ref="A1:D1"/>
    <x:mergeCell ref="A2:F2"/>
  </x:mergeCells>
  <x:pageMargins left="0.7" right="0.7" top="0.75" bottom="0.75" header="0.3" footer="0.3"/>
  <x:tableParts count="1">
    <x:tablePart xmlns:r="http://schemas.openxmlformats.org/officeDocument/2006/relationships" r:id="R77b649f7e5ad4291"/>
  </x:tableParts>
</x:worksheet>
</file>

<file path=xl/worksheets/sheet5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0" hidden="0" customWidth="1"/>
    <x:col min="2" max="2" width="66" hidden="0" customWidth="1"/>
    <x:col min="3" max="3" width="91" hidden="0" customWidth="1"/>
    <x:col min="4" max="4" width="91" hidden="0" customWidth="1"/>
  </x:cols>
  <x:sheetData>
    <x:row r="1" ht="34" customHeight="1">
      <x:c r="A1" s="23" t="str">
        <x:v>OP-CYB-001 · dictamen del recorrido</x:v>
      </x:c>
      <x:c r="B1" s="23"/>
      <x:c r="C1" s="23"/>
      <x:c r="D1" s="23"/>
    </x:row>
    <x:row r="2" ht="57" customHeight="1">
      <x:c r="A2" s="24" t="str">
        <x:v>09-09-2026. Q0 v0.1: nueve raíces y 31 distinciones. Inventario tratado; suficiencia operacional no acreditada.</x:v>
      </x:c>
      <x:c r="B2" s="24"/>
      <x:c r="C2" s="24"/>
      <x:c r="D2" s="24"/>
    </x:row>
    <x:row r="3">
      <x:c r="A3" s="21"/>
      <x:c r="B3" s="21"/>
      <x:c r="C3" s="21"/>
      <x:c r="D3" s="21"/>
    </x:row>
    <x:row r="4" ht="48" customHeight="1">
      <x:c r="A4" s="26" t="str">
        <x:v>Cuestión</x:v>
      </x:c>
      <x:c r="B4" s="26" t="str">
        <x:v>Resultado</x:v>
      </x:c>
      <x:c r="C4" s="26" t="str">
        <x:v>Fundamento</x:v>
      </x:c>
      <x:c r="D4" s="26" t="str">
        <x:v>Límite o siguiente responsable</x:v>
      </x:c>
    </x:row>
    <x:row r="5" ht="44" customHeight="1">
      <x:c r="A5" s="21" t="str">
        <x:v>Encargo</x:v>
      </x:c>
      <x:c r="B5" s="21" t="str">
        <x:v>Continuar hasta agotar el primer universo</x:v>
      </x:c>
      <x:c r="C5" s="21" t="str">
        <x:v>Mandato humano de 09-09-2026; continuidad sobre ffbf579094f7608ebf568ed1aa51c318cfc4ab3f</x:v>
      </x:c>
      <x:c r="D5" s="21" t="str">
        <x:v>No modifica retrospectivamente acta/manifiesto de 08-09-2026.</x:v>
      </x:c>
    </x:row>
    <x:row r="6" ht="43" customHeight="1">
      <x:c r="A6" s="21" t="str">
        <x:v>Inventario paramétrico</x:v>
      </x:c>
      <x:c r="B6" s="21" t="str">
        <x:v>15 definiciones documentales en sus perfiles</x:v>
      </x:c>
      <x:c r="C6" s="21" t="str">
        <x:v>Diez conservadas y cinco adicionales; no se fuerza un tamaño geométrico</x:v>
      </x:c>
      <x:c r="D6" s="21" t="str">
        <x:v>Cinco nuevas sujetas a adopción constitutiva humana.</x:v>
      </x:c>
    </x:row>
    <x:row r="7" ht="43" customHeight="1">
      <x:c r="A7" s="21" t="str">
        <x:v>Cobertura Q0</x:v>
      </x:c>
      <x:c r="B7" s="21" t="str">
        <x:v>31/31 distinciones tratadas en contrato</x:v>
      </x:c>
      <x:c r="C7" s="21" t="str">
        <x:v>59 conserva la correspondencia completa y las dependencias bloqueadas</x:v>
      </x:c>
      <x:c r="D7" s="21" t="str">
        <x:v>Tratada no significa satisfecha en un sistema ni puerta superada.</x:v>
      </x:c>
    </x:row>
    <x:row r="8" ht="44" customHeight="1">
      <x:c r="A8" s="21" t="str">
        <x:v>Conocimiento enlazado</x:v>
      </x:c>
      <x:c r="B8" s="21" t="str">
        <x:v>Estado activo, persistencia, generaciones, requisitos y cambios separados</x:v>
      </x:c>
      <x:c r="C8" s="21" t="str">
        <x:v>Las hojas 60 y 61 contienen catorce controles y dieciséis relaciones del consejo</x:v>
      </x:c>
      <x:c r="D8" s="21" t="str">
        <x:v>Fuentes generales no son observaciones del episodio.</x:v>
      </x:c>
    </x:row>
    <x:row r="9" ht="43" customHeight="1">
      <x:c r="A9" s="21" t="str">
        <x:v>G6 y propiedad</x:v>
      </x:c>
      <x:c r="B9" s="21" t="str">
        <x:v>NO ACREDITADA</x:v>
      </x:c>
      <x:c r="C9" s="21" t="str">
        <x:v>Recuento de definiciones no determina los sujetos ni la geometría de sus estados</x:v>
      </x:c>
      <x:c r="D9" s="21" t="str">
        <x:v>No hay células, rutas SV ni Frames CYB constituidos. D-CYB-02.</x:v>
      </x:c>
    </x:row>
    <x:row r="10" ht="43" customHeight="1">
      <x:c r="A10" s="21" t="str">
        <x:v>Contraste nativo</x:v>
      </x:c>
      <x:c r="B10" s="21" t="str">
        <x:v>Transporte nominal y unicidad contrastados</x:v>
      </x:c>
      <x:c r="C10" s="21" t="str">
        <x:v>Tres casos, dos ejecuciones cada uno; E115 en mapping repetido</x:v>
      </x:c>
      <x:c r="D10" s="21" t="str">
        <x:v>Totalidad no alcanzada sin asociación; no ejecuta Q0.</x:v>
      </x:c>
    </x:row>
    <x:row r="11" ht="43" customHeight="1">
      <x:c r="A11" s="21" t="str">
        <x:v>Ensayos documentales</x:v>
      </x:c>
      <x:c r="B11" s="21" t="str">
        <x:v>65 casos de cinco candidatos y 51 controles</x:v>
      </x:c>
      <x:c r="C11" s="21" t="str">
        <x:v>Oráculos previos, cinco ablaciones y tres mutantes de sensibilidad detectados</x:v>
      </x:c>
      <x:c r="D11" s="21" t="str">
        <x:v>No Windows real, reinicios, despliegues ni vulnerabilidad material.</x:v>
      </x:c>
    </x:row>
    <x:row r="12" ht="44" customHeight="1">
      <x:c r="A12" s="21" t="str">
        <x:v>Autoridad</x:v>
      </x:c>
      <x:c r="B12" s="21" t="str">
        <x:v>IA consejera; experto destinatario y permisos concretos diferenciados</x:v>
      </x:c>
      <x:c r="C12" s="21" t="str">
        <x:v>C11 y C14; nuevas reglas antes de adopción por Dirección</x:v>
      </x:c>
      <x:c r="D12" s="21" t="str">
        <x:v>No firma humana inventada ni actualización automática de conocimiento.</x:v>
      </x:c>
    </x:row>
    <x:row r="13" ht="43" customHeight="1">
      <x:c r="A13" s="21" t="str">
        <x:v>Conclusión</x:v>
      </x:c>
      <x:c r="B13" s="21" t="str">
        <x:v>TERMINACIÓN DOCUMENTAL CON INSUFICIENCIAS ATRIBUIDAS</x:v>
      </x:c>
      <x:c r="C13" s="21" t="str">
        <x:v>El inventario de este corte no mantiene candidatos sin estatuto</x:v>
      </x:c>
      <x:c r="D13" s="21" t="str">
        <x:v>No se declara universo operacional agotado ni fila 8 superada.</x:v>
      </x:c>
    </x:row>
    <x:row r="14" ht="43" customHeight="1">
      <x:c r="A14" s="21" t="str">
        <x:v>Continuación necesaria</x:v>
      </x:c>
      <x:c r="B14" s="21" t="str">
        <x:v>Resolver D-CYB-01/02 en CYB y D-CYB-03 con Lenguaje</x:v>
      </x:c>
      <x:c r="C14" s="21" t="str">
        <x:v>Contrato y deuda preparados en el paquete único</x:v>
      </x:c>
      <x:c r="D14" s="21" t="str">
        <x:v>No se abre otro universo. La finitud no elimina dependencias indispensables.</x:v>
      </x:c>
    </x:row>
    <x:row r="15" ht="44" customHeight="1">
      <x:c r="A15" s="21" t="str">
        <x:v>Catálogo principal</x:v>
      </x:c>
      <x:c r="B15" s="21" t="str">
        <x:v>Excel v0.6; v0.5 histórico íntegro salvo portada de navegación</x:v>
      </x:c>
      <x:c r="C15" s="21" t="str">
        <x:v>57–65 contienen el corte actual; hojas anteriores conservan fechas y estados históricos</x:v>
      </x:c>
      <x:c r="D15" s="21" t="str">
        <x:v>El dominio internacional sigue abierto; no se emite proyección final del catálogo.</x:v>
      </x:c>
    </x:row>
  </x:sheetData>
  <x:mergeCells>
    <x:mergeCell ref="A1:D1"/>
    <x:mergeCell ref="A2:D2"/>
  </x:mergeCells>
  <x:pageMargins left="0.7" right="0.7" top="0.75" bottom="0.75" header="0.3" footer="0.3"/>
  <x:tableParts count="1">
    <x:tablePart xmlns:r="http://schemas.openxmlformats.org/officeDocument/2006/relationships" r:id="Rdcd0bdfec2b24a93"/>
  </x:tableParts>
</x:worksheet>
</file>

<file path=xl/worksheets/sheet5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3" hidden="0" customWidth="1"/>
    <x:col min="3" max="3" width="49" hidden="0" customWidth="1"/>
    <x:col min="4" max="4" width="22" hidden="0" customWidth="1"/>
    <x:col min="5" max="5" width="104" hidden="0" customWidth="1"/>
    <x:col min="6" max="6" width="57" hidden="0" customWidth="1"/>
    <x:col min="7" max="7" width="60" hidden="0" customWidth="1"/>
    <x:col min="8" max="8" width="94" hidden="0" customWidth="1"/>
  </x:cols>
  <x:sheetData>
    <x:row r="1" ht="34" customHeight="1">
      <x:c r="A1" s="23" t="str">
        <x:v>QUINCE DEFINICIONES · identidad y estatuto</x:v>
      </x:c>
      <x:c r="B1" s="23"/>
      <x:c r="C1" s="23"/>
      <x:c r="D1" s="23"/>
      <x:c r="E1" s="23"/>
      <x:c r="F1" s="23"/>
      <x:c r="G1" s="23"/>
      <x:c r="H1" s="23"/>
    </x:row>
    <x:row r="2" ht="57" customHeight="1">
      <x:c r="A2" s="24" t="str">
        <x:v>Una definición no es automáticamente una posición matricial. Sujetos simultáneos independientes no comparten un valor.</x:v>
      </x:c>
      <x:c r="B2" s="24"/>
      <x:c r="C2" s="24"/>
      <x:c r="D2" s="24"/>
      <x:c r="E2" s="24"/>
      <x:c r="F2" s="24"/>
      <x:c r="G2" s="24"/>
      <x:c r="H2" s="24"/>
    </x:row>
    <x:row r="3">
      <x:c r="A3" s="21"/>
      <x:c r="B3" s="21"/>
      <x:c r="C3" s="21"/>
      <x:c r="D3" s="21"/>
      <x:c r="E3" s="21"/>
      <x:c r="F3" s="21"/>
      <x:c r="G3" s="21"/>
      <x:c r="H3" s="21"/>
    </x:row>
    <x:row r="4" ht="48" customHeight="1">
      <x:c r="A4" s="26" t="str">
        <x:v>Alias</x:v>
      </x:c>
      <x:c r="B4" s="26" t="str">
        <x:v>Identidad canónica</x:v>
      </x:c>
      <x:c r="C4" s="26" t="str">
        <x:v>Nombre</x:v>
      </x:c>
      <x:c r="D4" s="26" t="str">
        <x:v>Q0</x:v>
      </x:c>
      <x:c r="E4" s="26" t="str">
        <x:v>Proposición única</x:v>
      </x:c>
      <x:c r="F4" s="26" t="str">
        <x:v>Estatuto vigente</x:v>
      </x:c>
      <x:c r="G4" s="26" t="str">
        <x:v>Perfil / contrato</x:v>
      </x:c>
      <x:c r="H4" s="26" t="str">
        <x:v>Límite</x:v>
      </x:c>
    </x:row>
    <x:row r="5" ht="44" customHeight="1">
      <x:c r="A5" s="21" t="str">
        <x:v>P01</x:v>
      </x:c>
      <x:c r="B5" s="21" t="str">
        <x:v>PAR-CYB-REINICIO-SISTEMA-REQUERIDO-001</x:v>
      </x:c>
      <x:c r="C5" s="21" t="str">
        <x:v>Reinicio del sistema requerido</x:v>
      </x:c>
      <x:c r="D5" s="21" t="str">
        <x:v>QCY-04-D1</x:v>
      </x:c>
      <x:c r="E5" s="21" t="str">
        <x:v>Al terminar la instalación individual identificada, era necesario reiniciar el sistema anfitrión para completarla.</x:v>
      </x:c>
      <x:c r="F5" s="21" t="str">
        <x:v>ADOPTADO P01 / CONFORMIDAD GENERAL LOTE P02–P10</x:v>
      </x:c>
      <x:c r="G5" s="21" t="str">
        <x:v>Perfil y contrato conservados en 36–55.</x:v>
      </x:c>
      <x:c r="H5" s="21" t="str">
        <x:v>No se reescribe el estatuto histórico de la entrega anterior.</x:v>
      </x:c>
    </x:row>
    <x:row r="6" ht="44" customHeight="1">
      <x:c r="A6" s="21" t="str">
        <x:v>P02</x:v>
      </x:c>
      <x:c r="B6" s="21" t="str">
        <x:v>PAR-CYB-INSTALACION-EXITO-COMUNICADO-001</x:v>
      </x:c>
      <x:c r="C6" s="21" t="str">
        <x:v>Éxito comunicado de instalación</x:v>
      </x:c>
      <x:c r="D6" s="21" t="str">
        <x:v>QCY-03-D2</x:v>
      </x:c>
      <x:c r="E6" s="21" t="str">
        <x:v>La operación individual de instalación identificada comunicó terminación satisfactoria sin el calificador de errores del emisor.</x:v>
      </x:c>
      <x:c r="F6" s="21" t="str">
        <x:v>ADOPTADO P01 / CONFORMIDAD GENERAL LOTE P02–P10</x:v>
      </x:c>
      <x:c r="G6" s="21" t="str">
        <x:v>Perfil y contrato conservados en 36–55.</x:v>
      </x:c>
      <x:c r="H6" s="21" t="str">
        <x:v>No se reescribe el estatuto histórico de la entrega anterior.</x:v>
      </x:c>
    </x:row>
    <x:row r="7" ht="44" customHeight="1">
      <x:c r="A7" s="21" t="str">
        <x:v>P03</x:v>
      </x:c>
      <x:c r="B7" s="21" t="str">
        <x:v>PAR-CYB-REINICIO-SISTEMA-REALIZADO-001</x:v>
      </x:c>
      <x:c r="C7" s="21" t="str">
        <x:v>Reinicio completo realizado</x:v>
      </x:c>
      <x:c r="D7" s="21" t="str">
        <x:v>QCY-04-D2</x:v>
      </x:c>
      <x:c r="E7" s="21" t="str">
        <x:v>Se completó al menos un reinicio íntegro del sistema anfitrión después del resultado de instalación y no después del corte.</x:v>
      </x:c>
      <x:c r="F7" s="21" t="str">
        <x:v>ADOPTADO P01 / CONFORMIDAD GENERAL LOTE P02–P10</x:v>
      </x:c>
      <x:c r="G7" s="21" t="str">
        <x:v>Perfil y contrato conservados en 36–55.</x:v>
      </x:c>
      <x:c r="H7" s="21" t="str">
        <x:v>No se reescribe el estatuto histórico de la entrega anterior.</x:v>
      </x:c>
    </x:row>
    <x:row r="8" ht="44" customHeight="1">
      <x:c r="A8" s="21" t="str">
        <x:v>P04</x:v>
      </x:c>
      <x:c r="B8" s="21" t="str">
        <x:v>PAR-CYB-REINICIO-SOFTWARE-REQUERIDO-001</x:v>
      </x:c>
      <x:c r="C8" s="21" t="str">
        <x:v>Reinicio de software requerido</x:v>
      </x:c>
      <x:c r="D8" s="21" t="str">
        <x:v>QCY-04-D3</x:v>
      </x:c>
      <x:c r="E8" s="21" t="str">
        <x:v>La instrucción específica admitida para completar esta instalación exigía reiniciar el software identificado.</x:v>
      </x:c>
      <x:c r="F8" s="21" t="str">
        <x:v>ADOPTADO P01 / CONFORMIDAD GENERAL LOTE P02–P10</x:v>
      </x:c>
      <x:c r="G8" s="21" t="str">
        <x:v>Perfil y contrato conservados en 36–55.</x:v>
      </x:c>
      <x:c r="H8" s="21" t="str">
        <x:v>No se reescribe el estatuto histórico de la entrega anterior.</x:v>
      </x:c>
    </x:row>
    <x:row r="9" ht="44" customHeight="1">
      <x:c r="A9" s="21" t="str">
        <x:v>P05</x:v>
      </x:c>
      <x:c r="B9" s="21" t="str">
        <x:v>PAR-CYB-GENERACION-PROCESO-TERMINADA-001</x:v>
      </x:c>
      <x:c r="C9" s="21" t="str">
        <x:v>Generación previa de proceso terminada</x:v>
      </x:c>
      <x:c r="D9" s="21" t="str">
        <x:v>QCY-04-D4</x:v>
      </x:c>
      <x:c r="E9" s="21" t="str">
        <x:v>Terminó la ejecución de la generación de proceso identificada después del ancla de instalación y no después del corte.</x:v>
      </x:c>
      <x:c r="F9" s="21" t="str">
        <x:v>ADOPTADO P01 / CONFORMIDAD GENERAL LOTE P02–P10</x:v>
      </x:c>
      <x:c r="G9" s="21" t="str">
        <x:v>Perfil y contrato conservados en 36–55.</x:v>
      </x:c>
      <x:c r="H9" s="21" t="str">
        <x:v>No se reescribe el estatuto histórico de la entrega anterior.</x:v>
      </x:c>
    </x:row>
    <x:row r="10" ht="44" customHeight="1">
      <x:c r="A10" s="21" t="str">
        <x:v>P06</x:v>
      </x:c>
      <x:c r="B10" s="21" t="str">
        <x:v>PAR-CYB-IMAGEN-OBJETIVO-ACTIVA-001</x:v>
      </x:c>
      <x:c r="C10" s="21" t="str">
        <x:v>Imagen objetivo activa</x:v>
      </x:c>
      <x:c r="D10" s="21" t="str">
        <x:v>QCY-05-D2</x:v>
      </x:c>
      <x:c r="E10" s="21" t="str">
        <x:v>La imagen del componente cargada en la instancia evaluada al corte coincide con la imagen objetivo previamente fijada.</x:v>
      </x:c>
      <x:c r="F10" s="21" t="str">
        <x:v>ADOPTADO P01 / CONFORMIDAD GENERAL LOTE P02–P10</x:v>
      </x:c>
      <x:c r="G10" s="21" t="str">
        <x:v>Perfil y contrato conservados en 36–55.</x:v>
      </x:c>
      <x:c r="H10" s="21" t="str">
        <x:v>No se reescribe el estatuto histórico de la entrega anterior.</x:v>
      </x:c>
    </x:row>
    <x:row r="11" ht="44" customHeight="1">
      <x:c r="A11" s="21" t="str">
        <x:v>P07</x:v>
      </x:c>
      <x:c r="B11" s="21" t="str">
        <x:v>PAR-CYB-COMPROBACION-POSITIVA-001</x:v>
      </x:c>
      <x:c r="C11" s="21" t="str">
        <x:v>Resultado positivo de comprobación</x:v>
      </x:c>
      <x:c r="D11" s="21" t="str">
        <x:v>QCY-05-D3</x:v>
      </x:c>
      <x:c r="E11" s="21" t="str">
        <x:v>La comprobación individual identificada satisfizo el único criterio de aceptación previamente fijado para ella.</x:v>
      </x:c>
      <x:c r="F11" s="21" t="str">
        <x:v>ADOPTADO P01 / CONFORMIDAD GENERAL LOTE P02–P10</x:v>
      </x:c>
      <x:c r="G11" s="21" t="str">
        <x:v>Perfil y contrato conservados en 36–55.</x:v>
      </x:c>
      <x:c r="H11" s="21" t="str">
        <x:v>No se reescribe el estatuto histórico de la entrega anterior.</x:v>
      </x:c>
    </x:row>
    <x:row r="12" ht="44" customHeight="1">
      <x:c r="A12" s="21" t="str">
        <x:v>P08</x:v>
      </x:c>
      <x:c r="B12" s="21" t="str">
        <x:v>PAR-CYB-RETIRADA-EXITOSA-COMUNICADA-001</x:v>
      </x:c>
      <x:c r="C12" s="21" t="str">
        <x:v>Retirada exitosa comunicada</x:v>
      </x:c>
      <x:c r="D12" s="21" t="str">
        <x:v>QCY-08-D1</x:v>
      </x:c>
      <x:c r="E12" s="21" t="str">
        <x:v>Existe después de la instalación y hasta el corte una operación de retirada de esa actualización que comunica éxito.</x:v>
      </x:c>
      <x:c r="F12" s="21" t="str">
        <x:v>ADOPTADO P01 / CONFORMIDAD GENERAL LOTE P02–P10</x:v>
      </x:c>
      <x:c r="G12" s="21" t="str">
        <x:v>Perfil y contrato conservados en 36–55.</x:v>
      </x:c>
      <x:c r="H12" s="21" t="str">
        <x:v>No se reescribe el estatuto histórico de la entrega anterior.</x:v>
      </x:c>
    </x:row>
    <x:row r="13" ht="44" customHeight="1">
      <x:c r="A13" s="21" t="str">
        <x:v>P09</x:v>
      </x:c>
      <x:c r="B13" s="21" t="str">
        <x:v>PAR-CYB-CAMBIO-COMPONENTE-POSTERIOR-001</x:v>
      </x:c>
      <x:c r="C13" s="21" t="str">
        <x:v>Cambio posterior del componente</x:v>
      </x:c>
      <x:c r="D13" s="21" t="str">
        <x:v>QCY-08-D2</x:v>
      </x:c>
      <x:c r="E13" s="21" t="str">
        <x:v>Ocurrió al menos un cambio de identidad binaria del componente desde la comprobación de referencia hasta el corte.</x:v>
      </x:c>
      <x:c r="F13" s="21" t="str">
        <x:v>ADOPTADO P01 / CONFORMIDAD GENERAL LOTE P02–P10</x:v>
      </x:c>
      <x:c r="G13" s="21" t="str">
        <x:v>Perfil y contrato conservados en 36–55.</x:v>
      </x:c>
      <x:c r="H13" s="21" t="str">
        <x:v>No se reescribe el estatuto histórico de la entrega anterior.</x:v>
      </x:c>
    </x:row>
    <x:row r="14" ht="44" customHeight="1">
      <x:c r="A14" s="21" t="str">
        <x:v>P10</x:v>
      </x:c>
      <x:c r="B14" s="21" t="str">
        <x:v>PAR-CYB-RESTAURACION-PREVIA-COMUNICADA-001</x:v>
      </x:c>
      <x:c r="C14" s="21" t="str">
        <x:v>Restauración desde estado anterior comunicada</x:v>
      </x:c>
      <x:c r="D14" s="21" t="str">
        <x:v>QCY-08-D3</x:v>
      </x:c>
      <x:c r="E14" s="21" t="str">
        <x:v>Se comunicó la terminación satisfactoria de una restauración cuyo punto de origen fue capturado antes de la instalación evaluada.</x:v>
      </x:c>
      <x:c r="F14" s="21" t="str">
        <x:v>ADOPTADO P01 / CONFORMIDAD GENERAL LOTE P02–P10</x:v>
      </x:c>
      <x:c r="G14" s="21" t="str">
        <x:v>Perfil y contrato conservados en 36–55.</x:v>
      </x:c>
      <x:c r="H14" s="21" t="str">
        <x:v>No se reescribe el estatuto histórico de la entrega anterior.</x:v>
      </x:c>
    </x:row>
    <x:row r="15" ht="59" customHeight="1">
      <x:c r="A15" s="21" t="str">
        <x:v>P11</x:v>
      </x:c>
      <x:c r="B15" s="21" t="str">
        <x:v>PAR-CYB-GENERACION-PROCESO-CREADA-001</x:v>
      </x:c>
      <x:c r="C15" s="21" t="str">
        <x:v>Generación de proceso creada después de instalar</x:v>
      </x:c>
      <x:c r="D15" s="21" t="str">
        <x:v>QCY-04-D4</x:v>
      </x:c>
      <x:c r="E15" s="21" t="str">
        <x:v>La generación identificada del proceso fue creada después del ancla de instalación y no después del corte.</x:v>
      </x:c>
      <x:c r="F15" s="21" t="str">
        <x:v>NUEVO DICTAMEN DE UNIDAD; ADOPCIÓN PENDIENTE</x:v>
      </x:c>
      <x:c r="G15" s="21" t="str">
        <x:v>CREACION-GENERACION-0.1</x:v>
      </x:c>
      <x:c r="H15" s="21" t="str">
        <x:v>Perfil Win32 documental. No confundir el éxito de CreateProcessW con inicialización. No concluye vida actual, salud, terminación de hijos ni cierre de recursos compartidos.</x:v>
      </x:c>
    </x:row>
    <x:row r="16" ht="44" customHeight="1">
      <x:c r="A16" s="21" t="str">
        <x:v>P12</x:v>
      </x:c>
      <x:c r="B16" s="21" t="str">
        <x:v>PAR-CYB-VALOR-CONFIGURACION-EFECTIVO-OBJETIVO-001</x:v>
      </x:c>
      <x:c r="C16" s="21" t="str">
        <x:v>Valor efectivo de configuración igual al objetivo</x:v>
      </x:c>
      <x:c r="D16" s="21" t="str">
        <x:v>QCY-05-D2</x:v>
      </x:c>
      <x:c r="E16" s="21" t="str">
        <x:v>El valor efectivo de una única clave de configuración en el consumidor identificado coincide con el valor objetivo previamente admitido.</x:v>
      </x:c>
      <x:c r="F16" s="21" t="str">
        <x:v>NUEVO DICTAMEN DE UNIDAD; ADOPCIÓN PENDIENTE</x:v>
      </x:c>
      <x:c r="G16" s="21" t="str">
        <x:v>CONFIGURACION-CLAVE-EFECTIVA-0.1</x:v>
      </x:c>
      <x:c r="H16" s="21" t="str">
        <x:v>El método efectivo de cada producto no se inventa. El contrato se prueba sobre observaciones sintéticas ya tipadas; captura real pendiente D-CYB-01.</x:v>
      </x:c>
    </x:row>
    <x:row r="17" ht="44" customHeight="1">
      <x:c r="A17" s="21" t="str">
        <x:v>P13</x:v>
      </x:c>
      <x:c r="B17" s="21" t="str">
        <x:v>PAR-CYB-ARTEFACTO-PERSISTENTE-OBJETIVO-001</x:v>
      </x:c>
      <x:c r="C17" s="21" t="str">
        <x:v>Artefacto persistente igual al objetivo</x:v>
      </x:c>
      <x:c r="D17" s="21" t="str">
        <x:v>QCY-05-D2</x:v>
      </x:c>
      <x:c r="E17" s="21" t="str">
        <x:v>Los bytes del artefacto binario persistente identificado coinciden con el artefacto objetivo admitido, según el método de identidad fijado.</x:v>
      </x:c>
      <x:c r="F17" s="21" t="str">
        <x:v>NUEVO DICTAMEN DE UNIDAD; ADOPCIÓN PENDIENTE</x:v>
      </x:c>
      <x:c r="G17" s="21" t="str">
        <x:v>IDENTIDAD-ARTEFACTO-PERSISTENTE-0.1</x:v>
      </x:c>
      <x:c r="H17" s="21" t="str">
        <x:v>Perfil de fichero binario completo. No extiende una lectura de fichero a firmware activo, cachés, JIT o memoria. Comparación con hash de memoria cruda no autorizada.</x:v>
      </x:c>
    </x:row>
    <x:row r="18" ht="44" customHeight="1">
      <x:c r="A18" s="21" t="str">
        <x:v>P14</x:v>
      </x:c>
      <x:c r="B18" s="21" t="str">
        <x:v>PAR-CYB-CAMBIO-CONFIGURACION-POSTERIOR-001</x:v>
      </x:c>
      <x:c r="C18" s="21" t="str">
        <x:v>Cambio posterior de un valor de configuración</x:v>
      </x:c>
      <x:c r="D18" s="21" t="str">
        <x:v>QCY-08-D2</x:v>
      </x:c>
      <x:c r="E18" s="21" t="str">
        <x:v>Se produjo al menos una transición del valor de la clave de configuración identificada entre la comprobación de referencia y el corte.</x:v>
      </x:c>
      <x:c r="F18" s="21" t="str">
        <x:v>NUEVO DICTAMEN DE UNIDAD; ADOPCIÓN PENDIENTE</x:v>
      </x:c>
      <x:c r="G18" s="21" t="str">
        <x:v>HISTORIA-CLAVE-CONFIGURACION-0.1</x:v>
      </x:c>
      <x:c r="H18" s="21" t="str">
        <x:v>No deduce transición de dos extremos iguales. No presupone que toda restauración cambie esa clave. Captura continua completa no acreditada en sistemas reales.</x:v>
      </x:c>
    </x:row>
    <x:row r="19" ht="44" customHeight="1">
      <x:c r="A19" s="21" t="str">
        <x:v>P15</x:v>
      </x:c>
      <x:c r="B19" s="21" t="str">
        <x:v>PAR-CYB-OTRO-CAMBIO-UNITARIO-REQUERIDO-001</x:v>
      </x:c>
      <x:c r="C19" s="21" t="str">
        <x:v>Otro cambio unitario requerido para completar</x:v>
      </x:c>
      <x:c r="D19" s="21" t="str">
        <x:v>QCY-04-D3</x:v>
      </x:c>
      <x:c r="E19" s="21" t="str">
        <x:v>La regla específica admitida exige el cambio unitario identificado para completar esta instalación en su contexto aplicable.</x:v>
      </x:c>
      <x:c r="F19" s="21" t="str">
        <x:v>NUEVO DICTAMEN DE UNIDAD; ADOPCIÓN PENDIENTE</x:v>
      </x:c>
      <x:c r="G19" s="21" t="str">
        <x:v>REQUISITO-CAMBIO-UNITARIO-0.1</x:v>
      </x:c>
      <x:c r="H19" s="21" t="str">
        <x:v>No convierte un verbo genérico en átomo de ejecución. P15 sólo requisito; el cumplimiento se reconstruye con testigos de estado y P07 para cada criterio unitario.</x:v>
      </x:c>
    </x:row>
  </x:sheetData>
  <x:mergeCells>
    <x:mergeCell ref="A1:D1"/>
    <x:mergeCell ref="A2:F2"/>
  </x:mergeCells>
  <x:pageMargins left="0.7" right="0.7" top="0.75" bottom="0.75" header="0.3" footer="0.3"/>
  <x:tableParts count="1">
    <x:tablePart xmlns:r="http://schemas.openxmlformats.org/officeDocument/2006/relationships" r:id="R3a9e03a866d846dd"/>
  </x:tableParts>
</x:worksheet>
</file>

<file path=xl/worksheets/sheet5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6" hidden="0" customWidth="1"/>
    <x:col min="3" max="3" width="27" hidden="0" customWidth="1"/>
    <x:col min="4" max="4" width="153" hidden="0" customWidth="1"/>
  </x:cols>
  <x:sheetData>
    <x:row r="1" ht="34" customHeight="1">
      <x:c r="A1" s="23" t="str">
        <x:v>CINCO CONTRATOS · observables y atomicidad</x:v>
      </x:c>
      <x:c r="B1" s="23"/>
      <x:c r="C1" s="23"/>
      <x:c r="D1" s="23"/>
    </x:row>
    <x:row r="2" ht="57" customHeight="1">
      <x:c r="A2" s="24" t="str">
        <x:v>Las consecuencias preceden al dictamen. El perfil de lectura se distingue de su ejecución real.</x:v>
      </x:c>
      <x:c r="B2" s="24"/>
      <x:c r="C2" s="24"/>
      <x:c r="D2" s="24"/>
    </x:row>
    <x:row r="3">
      <x:c r="A3" s="21"/>
      <x:c r="B3" s="21"/>
      <x:c r="C3" s="21"/>
      <x:c r="D3" s="21"/>
    </x:row>
    <x:row r="4" ht="48" customHeight="1">
      <x:c r="A4" s="26" t="str">
        <x:v>Alias</x:v>
      </x:c>
      <x:c r="B4" s="26" t="str">
        <x:v>Identidad</x:v>
      </x:c>
      <x:c r="C4" s="26" t="str">
        <x:v>Componente contractual</x:v>
      </x:c>
      <x:c r="D4" s="26" t="str">
        <x:v>Contenido</x:v>
      </x:c>
    </x:row>
    <x:row r="5" ht="43" customHeight="1">
      <x:c r="A5" s="21" t="str">
        <x:v>P11</x:v>
      </x:c>
      <x:c r="B5" s="21" t="str">
        <x:v>PAR-CYB-GENERACION-PROCESO-CREADA-001</x:v>
      </x:c>
      <x:c r="C5" s="21" t="str">
        <x:v>predicado</x:v>
      </x:c>
      <x:c r="D5" s="21" t="str">
        <x:v>La generación identificada del proceso fue creada después del ancla de instalación y no después del corte.</x:v>
      </x:c>
    </x:row>
    <x:row r="6" ht="43" customHeight="1">
      <x:c r="A6" s="21" t="str">
        <x:v>P11</x:v>
      </x:c>
      <x:c r="B6" s="21" t="str">
        <x:v>PAR-CYB-GENERACION-PROCESO-CREADA-001</x:v>
      </x:c>
      <x:c r="C6" s="21" t="str">
        <x:v>perfil</x:v>
      </x:c>
      <x:c r="D6" s="21" t="str">
        <x:v>CREACION-GENERACION-0.1</x:v>
      </x:c>
    </x:row>
    <x:row r="7" ht="44" customHeight="1">
      <x:c r="A7" s="21" t="str">
        <x:v>P11</x:v>
      </x:c>
      <x:c r="B7" s="21" t="str">
        <x:v>PAR-CYB-GENERACION-PROCESO-CREADA-001</x:v>
      </x:c>
      <x:c r="C7" s="21" t="str">
        <x:v>observables</x:v>
      </x:c>
      <x:c r="D7" s="21" t="str">
        <x:v>Activo, PID y tiempo de creación exacto, época de arranque si procede, ancla, corte y orden temporal acreditado; registro de creación o prueba explícita de creación fuera del intervalo.</x:v>
      </x:c>
    </x:row>
    <x:row r="8" ht="44" customHeight="1">
      <x:c r="A8" s="21" t="str">
        <x:v>P11</x:v>
      </x:c>
      <x:c r="B8" s="21" t="str">
        <x:v>PAR-CYB-GENERACION-PROCESO-CREADA-001</x:v>
      </x:c>
      <x:c r="C8" s="21" t="str">
        <x:v>regla</x:v>
      </x:c>
      <x:c r="D8" s="21" t="str">
        <x:v>Creación en (ancla,corte] → 1. Creación acreditada anterior o igual al ancla → 0. Sin observación concluyente → U. Un instante posterior al corte es evidencia ajena al corte, no un 0.</x:v>
      </x:c>
    </x:row>
    <x:row r="9" ht="43" customHeight="1">
      <x:c r="A9" s="21" t="str">
        <x:v>P11</x:v>
      </x:c>
      <x:c r="B9" s="21" t="str">
        <x:v>PAR-CYB-GENERACION-PROCESO-CREADA-001</x:v>
      </x:c>
      <x:c r="C9" s="21" t="str">
        <x:v>causas_u</x:v>
      </x:c>
      <x:c r="D9" s="21" t="str">
        <x:v>U_CREACION_NO_OBSERVADA; U_ORDEN_TEMPORAL; U_CONFLICTO. PID sin generación no se admite. Un error del capturador no produce Tri.</x:v>
      </x:c>
    </x:row>
    <x:row r="10" ht="44" customHeight="1">
      <x:c r="A10" s="21" t="str">
        <x:v>P11</x:v>
      </x:c>
      <x:c r="B10" s="21" t="str">
        <x:v>PAR-CYB-GENERACION-PROCESO-CREADA-001</x:v>
      </x:c>
      <x:c r="C10" s="21" t="str">
        <x:v>consecuencia</x:v>
      </x:c>
      <x:c r="D10" s="21" t="str">
        <x:v>C11: P05=1 no prueba que exista sustituto. Omitir creación puede hacer aconsejar cerrar cuando sólo se detuvo el proceso anterior, con servicio todavía ausente si dependía del sustituto.</x:v>
      </x:c>
    </x:row>
    <x:row r="11" ht="44" customHeight="1">
      <x:c r="A11" s="21" t="str">
        <x:v>P11</x:v>
      </x:c>
      <x:c r="B11" s="21" t="str">
        <x:v>PAR-CYB-GENERACION-PROCESO-CREADA-001</x:v>
      </x:c>
      <x:c r="C11" s="21" t="str">
        <x:v>exceso</x:v>
      </x:c>
      <x:c r="D11" s="21" t="str">
        <x:v>No exige reiniciar de nuevo una generación ya creada. Creación no acredita inicialización ni servicio útil: P07 se usa con criterio de disponibilidad separado.</x:v>
      </x:c>
    </x:row>
    <x:row r="12" ht="44" customHeight="1">
      <x:c r="A12" s="21" t="str">
        <x:v>P11</x:v>
      </x:c>
      <x:c r="B12" s="21" t="str">
        <x:v>PAR-CYB-GENERACION-PROCESO-CREADA-001</x:v>
      </x:c>
      <x:c r="C12" s="21" t="str">
        <x:v>independencia</x:v>
      </x:c>
      <x:c r="D12" s="21" t="str">
        <x:v>P05=1 tanto con sustituto creado como sin él. P11=1 puede coexistir con fallo de inicialización. P06 distingue imagen de la generación y no fecha de creación.</x:v>
      </x:c>
    </x:row>
    <x:row r="13" ht="43" customHeight="1">
      <x:c r="A13" s="21" t="str">
        <x:v>P11</x:v>
      </x:c>
      <x:c r="B13" s="21" t="str">
        <x:v>PAR-CYB-GENERACION-PROCESO-CREADA-001</x:v>
      </x:c>
      <x:c r="C13" s="21" t="str">
        <x:v>particion</x:v>
      </x:c>
      <x:c r="D13" s="21" t="str">
        <x:v>PID/tiempo son identidad y orden, no dos estados profesionales. Creado, inicializado y útil sí se separan; sólo creado pertenece a P11.</x:v>
      </x:c>
    </x:row>
    <x:row r="14" ht="43" customHeight="1">
      <x:c r="A14" s="21" t="str">
        <x:v>P11</x:v>
      </x:c>
      <x:c r="B14" s="21" t="str">
        <x:v>PAR-CYB-GENERACION-PROCESO-CREADA-001</x:v>
      </x:c>
      <x:c r="C14" s="21" t="str">
        <x:v>fuentes</x:v>
      </x:c>
      <x:c r="D14" s="21" t="str">
        <x:v>R025 IV.4; T014 introducción/Members; T015 Return value; T016 procesos hijos</x:v>
      </x:c>
    </x:row>
    <x:row r="15" ht="44" customHeight="1">
      <x:c r="A15" s="21" t="str">
        <x:v>P11</x:v>
      </x:c>
      <x:c r="B15" s="21" t="str">
        <x:v>PAR-CYB-GENERACION-PROCESO-CREADA-001</x:v>
      </x:c>
      <x:c r="C15" s="21" t="str">
        <x:v>limite</x:v>
      </x:c>
      <x:c r="D15" s="21" t="str">
        <x:v>Perfil Win32 documental. No confundir el éxito de CreateProcessW con inicialización. No concluye vida actual, salud, terminación de hijos ni cierre de recursos compartidos.</x:v>
      </x:c>
    </x:row>
    <x:row r="16" ht="43" customHeight="1">
      <x:c r="A16" s="21" t="str">
        <x:v>P12</x:v>
      </x:c>
      <x:c r="B16" s="21" t="str">
        <x:v>PAR-CYB-VALOR-CONFIGURACION-EFECTIVO-OBJETIVO-001</x:v>
      </x:c>
      <x:c r="C16" s="21" t="str">
        <x:v>predicado</x:v>
      </x:c>
      <x:c r="D16" s="21" t="str">
        <x:v>El valor efectivo de una única clave de configuración en el consumidor identificado coincide con el valor objetivo previamente admitido.</x:v>
      </x:c>
    </x:row>
    <x:row r="17" ht="43" customHeight="1">
      <x:c r="A17" s="21" t="str">
        <x:v>P12</x:v>
      </x:c>
      <x:c r="B17" s="21" t="str">
        <x:v>PAR-CYB-VALOR-CONFIGURACION-EFECTIVO-OBJETIVO-001</x:v>
      </x:c>
      <x:c r="C17" s="21" t="str">
        <x:v>perfil</x:v>
      </x:c>
      <x:c r="D17" s="21" t="str">
        <x:v>CONFIGURACION-CLAVE-EFECTIVA-0.1</x:v>
      </x:c>
    </x:row>
    <x:row r="18" ht="44" customHeight="1">
      <x:c r="A18" s="21" t="str">
        <x:v>P12</x:v>
      </x:c>
      <x:c r="B18" s="21" t="str">
        <x:v>PAR-CYB-VALOR-CONFIGURACION-EFECTIVO-OBJETIVO-001</x:v>
      </x:c>
      <x:c r="C18" s="21" t="str">
        <x:v>observables</x:v>
      </x:c>
      <x:c r="D18" s="21" t="str">
        <x:v>Consumidor/generación, clave, tipo, valor efectivo al corte, objetivo, método de lectura y equivalencia tipada admitidos; valor persistido conservado separadamente.</x:v>
      </x:c>
    </x:row>
    <x:row r="19" ht="44" customHeight="1">
      <x:c r="A19" s="21" t="str">
        <x:v>P12</x:v>
      </x:c>
      <x:c r="B19" s="21" t="str">
        <x:v>PAR-CYB-VALOR-CONFIGURACION-EFECTIVO-OBJETIVO-001</x:v>
      </x:c>
      <x:c r="C19" s="21" t="str">
        <x:v>regla</x:v>
      </x:c>
      <x:c r="D19" s="21" t="str">
        <x:v>Mismo tipo y valor efectivo igual al objetivo → 1; mismo tipo y valor diferente → 0; lectura efectiva desconocida o contradictoria → U. La inexistencia es un valor sólo cuando el esquema la define explícitamente.</x:v>
      </x:c>
    </x:row>
    <x:row r="20" ht="44" customHeight="1">
      <x:c r="A20" s="21" t="str">
        <x:v>P12</x:v>
      </x:c>
      <x:c r="B20" s="21" t="str">
        <x:v>PAR-CYB-VALOR-CONFIGURACION-EFECTIVO-OBJETIVO-001</x:v>
      </x:c>
      <x:c r="C20" s="21" t="str">
        <x:v>causas_u</x:v>
      </x:c>
      <x:c r="D20" s="21" t="str">
        <x:v>U_VALOR_EFECTIVO; U_CONFLICTO; U_CORTE. Método o equivalencia no fijados: configuración pendiente. Valor del fichero de configuración no basta.</x:v>
      </x:c>
    </x:row>
    <x:row r="21" ht="44" customHeight="1">
      <x:c r="A21" s="21" t="str">
        <x:v>P12</x:v>
      </x:c>
      <x:c r="B21" s="21" t="str">
        <x:v>PAR-CYB-VALOR-CONFIGURACION-EFECTIVO-OBJETIVO-001</x:v>
      </x:c>
      <x:c r="C21" s="21" t="str">
        <x:v>consecuencia</x:v>
      </x:c>
      <x:c r="D21" s="21" t="str">
        <x:v>C12: binario actualizado y configuración guardada pueden coexistir con consumidor que conserva el valor anterior. Omitir carga efectiva permite atribuir efecto corrector no comprobado.</x:v>
      </x:c>
    </x:row>
    <x:row r="22" ht="44" customHeight="1">
      <x:c r="A22" s="21" t="str">
        <x:v>P12</x:v>
      </x:c>
      <x:c r="B22" s="21" t="str">
        <x:v>PAR-CYB-VALOR-CONFIGURACION-EFECTIVO-OBJETIVO-001</x:v>
      </x:c>
      <x:c r="C22" s="21" t="str">
        <x:v>exceso</x:v>
      </x:c>
      <x:c r="D22" s="21" t="str">
        <x:v>Un valor diferente puede ser otra configuración admitida: 0 no prueba vulnerabilidad. No se fuerza una clave que no exige la regla aplicable.</x:v>
      </x:c>
    </x:row>
    <x:row r="23" ht="44" customHeight="1">
      <x:c r="A23" s="21" t="str">
        <x:v>P12</x:v>
      </x:c>
      <x:c r="B23" s="21" t="str">
        <x:v>PAR-CYB-VALOR-CONFIGURACION-EFECTIVO-OBJETIVO-001</x:v>
      </x:c>
      <x:c r="C23" s="21" t="str">
        <x:v>independencia</x:v>
      </x:c>
      <x:c r="D23" s="21" t="str">
        <x:v>Misma imagen P06=1 con valores efectivos distintos; mismo fichero guardado con lectura efectiva antigua o nueva; P07 es resultado comunicado de prueba, no este valor.</x:v>
      </x:c>
    </x:row>
    <x:row r="24" ht="44" customHeight="1">
      <x:c r="A24" s="21" t="str">
        <x:v>P12</x:v>
      </x:c>
      <x:c r="B24" s="21" t="str">
        <x:v>PAR-CYB-VALOR-CONFIGURACION-EFECTIVO-OBJETIVO-001</x:v>
      </x:c>
      <x:c r="C24" s="21" t="str">
        <x:v>particion</x:v>
      </x:c>
      <x:c r="D24" s="21" t="str">
        <x:v>Una clave escalar y un consumidor. Un objeto con varias claves independientes se rechaza como compuesto; sus campos no se empaquetan para obtener un átomo.</x:v>
      </x:c>
    </x:row>
    <x:row r="25" ht="43" customHeight="1">
      <x:c r="A25" s="21" t="str">
        <x:v>P12</x:v>
      </x:c>
      <x:c r="B25" s="21" t="str">
        <x:v>PAR-CYB-VALOR-CONFIGURACION-EFECTIVO-OBJETIVO-001</x:v>
      </x:c>
      <x:c r="C25" s="21" t="str">
        <x:v>fuentes</x:v>
      </x:c>
      <x:c r="D25" s="21" t="str">
        <x:v>R025 IV.2/4/5; T001 §2.2 y §2.3.2; F018 §3.4</x:v>
      </x:c>
    </x:row>
    <x:row r="26" ht="44" customHeight="1">
      <x:c r="A26" s="21" t="str">
        <x:v>P12</x:v>
      </x:c>
      <x:c r="B26" s="21" t="str">
        <x:v>PAR-CYB-VALOR-CONFIGURACION-EFECTIVO-OBJETIVO-001</x:v>
      </x:c>
      <x:c r="C26" s="21" t="str">
        <x:v>limite</x:v>
      </x:c>
      <x:c r="D26" s="21" t="str">
        <x:v>El método efectivo de cada producto no se inventa. El contrato se prueba sobre observaciones sintéticas ya tipadas; captura real pendiente D-CYB-01.</x:v>
      </x:c>
    </x:row>
    <x:row r="27" ht="44" customHeight="1">
      <x:c r="A27" s="21" t="str">
        <x:v>P13</x:v>
      </x:c>
      <x:c r="B27" s="21" t="str">
        <x:v>PAR-CYB-ARTEFACTO-PERSISTENTE-OBJETIVO-001</x:v>
      </x:c>
      <x:c r="C27" s="21" t="str">
        <x:v>predicado</x:v>
      </x:c>
      <x:c r="D27" s="21" t="str">
        <x:v>Los bytes del artefacto binario persistente identificado coinciden con el artefacto objetivo admitido, según el método de identidad fijado.</x:v>
      </x:c>
    </x:row>
    <x:row r="28" ht="43" customHeight="1">
      <x:c r="A28" s="21" t="str">
        <x:v>P13</x:v>
      </x:c>
      <x:c r="B28" s="21" t="str">
        <x:v>PAR-CYB-ARTEFACTO-PERSISTENTE-OBJETIVO-001</x:v>
      </x:c>
      <x:c r="C28" s="21" t="str">
        <x:v>perfil</x:v>
      </x:c>
      <x:c r="D28" s="21" t="str">
        <x:v>IDENTIDAD-ARTEFACTO-PERSISTENTE-0.1</x:v>
      </x:c>
    </x:row>
    <x:row r="29" ht="44" customHeight="1">
      <x:c r="A29" s="21" t="str">
        <x:v>P13</x:v>
      </x:c>
      <x:c r="B29" s="21" t="str">
        <x:v>PAR-CYB-ARTEFACTO-PERSISTENTE-OBJETIVO-001</x:v>
      </x:c>
      <x:c r="C29" s="21" t="str">
        <x:v>observables</x:v>
      </x:c>
      <x:c r="D29" s="21" t="str">
        <x:v>Activo, objeto de almacenamiento, alcance completo, lectura consistente al corte, identidad del método, digest y referencia auténtica del objetivo.</x:v>
      </x:c>
    </x:row>
    <x:row r="30" ht="44" customHeight="1">
      <x:c r="A30" s="21" t="str">
        <x:v>P13</x:v>
      </x:c>
      <x:c r="B30" s="21" t="str">
        <x:v>PAR-CYB-ARTEFACTO-PERSISTENTE-OBJETIVO-001</x:v>
      </x:c>
      <x:c r="C30" s="21" t="str">
        <x:v>regla</x:v>
      </x:c>
      <x:c r="D30" s="21" t="str">
        <x:v>Identidades completas iguales → 1; completas distintas → 0; lectura parcial/inconsistente o ausente → U. El digest identifica bytes; no acredita por sí mismo autoría o corrección.</x:v>
      </x:c>
    </x:row>
    <x:row r="31" ht="44" customHeight="1">
      <x:c r="A31" s="21" t="str">
        <x:v>P13</x:v>
      </x:c>
      <x:c r="B31" s="21" t="str">
        <x:v>PAR-CYB-ARTEFACTO-PERSISTENTE-OBJETIVO-001</x:v>
      </x:c>
      <x:c r="C31" s="21" t="str">
        <x:v>causas_u</x:v>
      </x:c>
      <x:c r="D31" s="21" t="str">
        <x:v>U_LECTURA_PARCIAL; U_CORTE_INCONSISTENTE; U_AUSENCIA; U_CONFLICTO. Referencia sin procedencia admitida: no admisión. Identificador truncado: no admisión.</x:v>
      </x:c>
    </x:row>
    <x:row r="32" ht="44" customHeight="1">
      <x:c r="A32" s="21" t="str">
        <x:v>P13</x:v>
      </x:c>
      <x:c r="B32" s="21" t="str">
        <x:v>PAR-CYB-ARTEFACTO-PERSISTENTE-OBJETIVO-001</x:v>
      </x:c>
      <x:c r="C32" s="21" t="str">
        <x:v>consecuencia</x:v>
      </x:c>
      <x:c r="D32" s="21" t="str">
        <x:v>C13: una imagen corregida puede seguir en memoria aunque en disco haya vuelto una antigua que se cargará después. Omitir el estado persistente oculta esa divergencia y la necesidad de revisarla.</x:v>
      </x:c>
    </x:row>
    <x:row r="33" ht="44" customHeight="1">
      <x:c r="A33" s="21" t="str">
        <x:v>P13</x:v>
      </x:c>
      <x:c r="B33" s="21" t="str">
        <x:v>PAR-CYB-ARTEFACTO-PERSISTENTE-OBJETIVO-001</x:v>
      </x:c>
      <x:c r="C33" s="21" t="str">
        <x:v>exceso</x:v>
      </x:c>
      <x:c r="D33" s="21" t="str">
        <x:v>No se reemplaza una versión diferente sólo porque difiera: puede ser una alternativa correctora. Tampoco se equipara fichero ausente con ausencia completa de la actualización.</x:v>
      </x:c>
    </x:row>
    <x:row r="34" ht="44" customHeight="1">
      <x:c r="A34" s="21" t="str">
        <x:v>P13</x:v>
      </x:c>
      <x:c r="B34" s="21" t="str">
        <x:v>PAR-CYB-ARTEFACTO-PERSISTENTE-OBJETIVO-001</x:v>
      </x:c>
      <x:c r="C34" s="21" t="str">
        <x:v>independencia</x:v>
      </x:c>
      <x:c r="D34" s="21" t="str">
        <x:v>P06=1 mientras P13=0 después de reemplazo en disco. P13=1 mientras P06=0 antes de recarga. P09 habla de historia, no identidad actual del almacenamiento.</x:v>
      </x:c>
    </x:row>
    <x:row r="35" ht="44" customHeight="1">
      <x:c r="A35" s="21" t="str">
        <x:v>P13</x:v>
      </x:c>
      <x:c r="B35" s="21" t="str">
        <x:v>PAR-CYB-ARTEFACTO-PERSISTENTE-OBJETIVO-001</x:v>
      </x:c>
      <x:c r="C35" s="21" t="str">
        <x:v>particion</x:v>
      </x:c>
      <x:c r="D35" s="21" t="str">
        <x:v>Una identidad de contenido completa del objeto. Ruta, tamaño, versión y firma son evidencias/controles, no componentes booleanos a sumar. Conjuntos de ficheros se enumeran, no se comprimen.</x:v>
      </x:c>
    </x:row>
    <x:row r="36" ht="43" customHeight="1">
      <x:c r="A36" s="21" t="str">
        <x:v>P13</x:v>
      </x:c>
      <x:c r="B36" s="21" t="str">
        <x:v>PAR-CYB-ARTEFACTO-PERSISTENTE-OBJETIVO-001</x:v>
      </x:c>
      <x:c r="C36" s="21" t="str">
        <x:v>fuentes</x:v>
      </x:c>
      <x:c r="D36" s="21" t="str">
        <x:v>R025 IV.5/6; T001 §2.3.2–2.3.4; T008 Factors that affect searching</x:v>
      </x:c>
    </x:row>
    <x:row r="37" ht="44" customHeight="1">
      <x:c r="A37" s="21" t="str">
        <x:v>P13</x:v>
      </x:c>
      <x:c r="B37" s="21" t="str">
        <x:v>PAR-CYB-ARTEFACTO-PERSISTENTE-OBJETIVO-001</x:v>
      </x:c>
      <x:c r="C37" s="21" t="str">
        <x:v>limite</x:v>
      </x:c>
      <x:c r="D37" s="21" t="str">
        <x:v>Perfil de fichero binario completo. No extiende una lectura de fichero a firmware activo, cachés, JIT o memoria. Comparación con hash de memoria cruda no autorizada.</x:v>
      </x:c>
    </x:row>
    <x:row r="38" ht="43" customHeight="1">
      <x:c r="A38" s="21" t="str">
        <x:v>P14</x:v>
      </x:c>
      <x:c r="B38" s="21" t="str">
        <x:v>PAR-CYB-CAMBIO-CONFIGURACION-POSTERIOR-001</x:v>
      </x:c>
      <x:c r="C38" s="21" t="str">
        <x:v>predicado</x:v>
      </x:c>
      <x:c r="D38" s="21" t="str">
        <x:v>Se produjo al menos una transición del valor de la clave de configuración identificada entre la comprobación de referencia y el corte.</x:v>
      </x:c>
    </x:row>
    <x:row r="39" ht="43" customHeight="1">
      <x:c r="A39" s="21" t="str">
        <x:v>P14</x:v>
      </x:c>
      <x:c r="B39" s="21" t="str">
        <x:v>PAR-CYB-CAMBIO-CONFIGURACION-POSTERIOR-001</x:v>
      </x:c>
      <x:c r="C39" s="21" t="str">
        <x:v>perfil</x:v>
      </x:c>
      <x:c r="D39" s="21" t="str">
        <x:v>HISTORIA-CLAVE-CONFIGURACION-0.1</x:v>
      </x:c>
    </x:row>
    <x:row r="40" ht="44" customHeight="1">
      <x:c r="A40" s="21" t="str">
        <x:v>P14</x:v>
      </x:c>
      <x:c r="B40" s="21" t="str">
        <x:v>PAR-CYB-CAMBIO-CONFIGURACION-POSTERIOR-001</x:v>
      </x:c>
      <x:c r="C40" s="21" t="str">
        <x:v>observables</x:v>
      </x:c>
      <x:c r="D40" s="21" t="str">
        <x:v>Clave y consumidor, referencia/corte, transiciones identificadas y ordenadas, valores tipados y cobertura del historial para concluir ausencia.</x:v>
      </x:c>
    </x:row>
    <x:row r="41" ht="44" customHeight="1">
      <x:c r="A41" s="21" t="str">
        <x:v>P14</x:v>
      </x:c>
      <x:c r="B41" s="21" t="str">
        <x:v>PAR-CYB-CAMBIO-CONFIGURACION-POSTERIOR-001</x:v>
      </x:c>
      <x:c r="C41" s="21" t="str">
        <x:v>regla</x:v>
      </x:c>
      <x:c r="D41" s="21" t="str">
        <x:v>Transición acreditada dentro del intervalo → 1, incluso con retorno al valor original. Sin transición y con historial completo → 0. Sin transición demostrada pero cobertura parcial → U.</x:v>
      </x:c>
    </x:row>
    <x:row r="42" ht="44" customHeight="1">
      <x:c r="A42" s="21" t="str">
        <x:v>P14</x:v>
      </x:c>
      <x:c r="B42" s="21" t="str">
        <x:v>PAR-CYB-CAMBIO-CONFIGURACION-POSTERIOR-001</x:v>
      </x:c>
      <x:c r="C42" s="21" t="str">
        <x:v>causas_u</x:v>
      </x:c>
      <x:c r="D42" s="21" t="str">
        <x:v>U_COBERTURA; U_ORDEN; U_CONFLICTO. Edición que conserva el mismo valor no prueba transición del valor. Se fija si se observa valor efectivo o persistente; no se mezclan.</x:v>
      </x:c>
    </x:row>
    <x:row r="43" ht="44" customHeight="1">
      <x:c r="A43" s="21" t="str">
        <x:v>P14</x:v>
      </x:c>
      <x:c r="B43" s="21" t="str">
        <x:v>PAR-CYB-CAMBIO-CONFIGURACION-POSTERIOR-001</x:v>
      </x:c>
      <x:c r="C43" s="21" t="str">
        <x:v>consecuencia</x:v>
      </x:c>
      <x:c r="D43" s="21" t="str">
        <x:v>C14: una comprobación anterior puede haber perdido vigencia por cambio de configuración sin cambiar el binario. Omitir esa relación permite reutilizar evidencia fuera de su alcance temporal.</x:v>
      </x:c>
    </x:row>
    <x:row r="44" ht="44" customHeight="1">
      <x:c r="A44" s="21" t="str">
        <x:v>P14</x:v>
      </x:c>
      <x:c r="B44" s="21" t="str">
        <x:v>PAR-CYB-CAMBIO-CONFIGURACION-POSTERIOR-001</x:v>
      </x:c>
      <x:c r="C44" s="21" t="str">
        <x:v>exceso</x:v>
      </x:c>
      <x:c r="D44" s="21" t="str">
        <x:v>Cambio no equivale a fallo ni vulnerabilidad. Se reevalúan sólo criterios que dependen de la clave; no se impone repetir todo por una modificación irrelevante.</x:v>
      </x:c>
    </x:row>
    <x:row r="45" ht="44" customHeight="1">
      <x:c r="A45" s="21" t="str">
        <x:v>P14</x:v>
      </x:c>
      <x:c r="B45" s="21" t="str">
        <x:v>PAR-CYB-CAMBIO-CONFIGURACION-POSTERIOR-001</x:v>
      </x:c>
      <x:c r="C45" s="21" t="str">
        <x:v>independencia</x:v>
      </x:c>
      <x:c r="D45" s="21" t="str">
        <x:v>P09=0 y P14=1 al variar una clave sin variar el binario. P12=1 con cambio y retorno o sin cambio: el estado final no determina la historia.</x:v>
      </x:c>
    </x:row>
    <x:row r="46" ht="44" customHeight="1">
      <x:c r="A46" s="21" t="str">
        <x:v>P14</x:v>
      </x:c>
      <x:c r="B46" s="21" t="str">
        <x:v>PAR-CYB-CAMBIO-CONFIGURACION-POSTERIOR-001</x:v>
      </x:c>
      <x:c r="C46" s="21" t="str">
        <x:v>particion</x:v>
      </x:c>
      <x:c r="D46" s="21" t="str">
        <x:v>Una clave y un ámbito temporal. Existencia de transición es un predicado; número, causa, actor y daños no se agregan. Configuración efectiva y persistente requieren sujetos separados.</x:v>
      </x:c>
    </x:row>
    <x:row r="47" ht="43" customHeight="1">
      <x:c r="A47" s="21" t="str">
        <x:v>P14</x:v>
      </x:c>
      <x:c r="B47" s="21" t="str">
        <x:v>PAR-CYB-CAMBIO-CONFIGURACION-POSTERIOR-001</x:v>
      </x:c>
      <x:c r="C47" s="21" t="str">
        <x:v>fuentes</x:v>
      </x:c>
      <x:c r="D47" s="21" t="str">
        <x:v>R025 IV.2/5; T001 §2.2, §2.3.2 y §2.3.4; F018 §3.4</x:v>
      </x:c>
    </x:row>
    <x:row r="48" ht="44" customHeight="1">
      <x:c r="A48" s="21" t="str">
        <x:v>P14</x:v>
      </x:c>
      <x:c r="B48" s="21" t="str">
        <x:v>PAR-CYB-CAMBIO-CONFIGURACION-POSTERIOR-001</x:v>
      </x:c>
      <x:c r="C48" s="21" t="str">
        <x:v>limite</x:v>
      </x:c>
      <x:c r="D48" s="21" t="str">
        <x:v>No deduce transición de dos extremos iguales. No presupone que toda restauración cambie esa clave. Captura continua completa no acreditada en sistemas reales.</x:v>
      </x:c>
    </x:row>
    <x:row r="49" ht="43" customHeight="1">
      <x:c r="A49" s="21" t="str">
        <x:v>P15</x:v>
      </x:c>
      <x:c r="B49" s="21" t="str">
        <x:v>PAR-CYB-OTRO-CAMBIO-UNITARIO-REQUERIDO-001</x:v>
      </x:c>
      <x:c r="C49" s="21" t="str">
        <x:v>predicado</x:v>
      </x:c>
      <x:c r="D49" s="21" t="str">
        <x:v>La regla específica admitida exige el cambio unitario identificado para completar esta instalación en su contexto aplicable.</x:v>
      </x:c>
    </x:row>
    <x:row r="50" ht="43" customHeight="1">
      <x:c r="A50" s="21" t="str">
        <x:v>P15</x:v>
      </x:c>
      <x:c r="B50" s="21" t="str">
        <x:v>PAR-CYB-OTRO-CAMBIO-UNITARIO-REQUERIDO-001</x:v>
      </x:c>
      <x:c r="C50" s="21" t="str">
        <x:v>perfil</x:v>
      </x:c>
      <x:c r="D50" s="21" t="str">
        <x:v>REQUISITO-CAMBIO-UNITARIO-0.1</x:v>
      </x:c>
    </x:row>
    <x:row r="51" ht="44" customHeight="1">
      <x:c r="A51" s="21" t="str">
        <x:v>P15</x:v>
      </x:c>
      <x:c r="B51" s="21" t="str">
        <x:v>PAR-CYB-OTRO-CAMBIO-UNITARIO-REQUERIDO-001</x:v>
      </x:c>
      <x:c r="C51" s="21" t="str">
        <x:v>observables</x:v>
      </x:c>
      <x:c r="D51" s="21" t="str">
        <x:v>Regla versionada, activo/componente/actualización, condición de aplicación resuelta, acción indivisible con objetivo y criterio terminal; excluye reinicio del sistema y de software ya propiedad de P01/P04.</x:v>
      </x:c>
    </x:row>
    <x:row r="52" ht="44" customHeight="1">
      <x:c r="A52" s="21" t="str">
        <x:v>P15</x:v>
      </x:c>
      <x:c r="B52" s="21" t="str">
        <x:v>PAR-CYB-OTRO-CAMBIO-UNITARIO-REQUERIDO-001</x:v>
      </x:c>
      <x:c r="C52" s="21" t="str">
        <x:v>regla</x:v>
      </x:c>
      <x:c r="D52" s="21" t="str">
        <x:v>Regla aplicable exige acción → 1; declara expresamente que no la exige → 0; evidencia admitida ausente/contradictoria → U. Condición de aplicación no resuelta bloquea el perfil; no equivale a 0.</x:v>
      </x:c>
    </x:row>
    <x:row r="53" ht="44" customHeight="1">
      <x:c r="A53" s="21" t="str">
        <x:v>P15</x:v>
      </x:c>
      <x:c r="B53" s="21" t="str">
        <x:v>PAR-CYB-OTRO-CAMBIO-UNITARIO-REQUERIDO-001</x:v>
      </x:c>
      <x:c r="C53" s="21" t="str">
        <x:v>causas_u</x:v>
      </x:c>
      <x:c r="D53" s="21" t="str">
        <x:v>U_REQUISITO_NO_DOCUMENTADO; U_CONFLICTO. Regla no adoptada: configuración pendiente. Acción con efectos separables sin descomposición: no adjudicada, no Tri.</x:v>
      </x:c>
    </x:row>
    <x:row r="54" ht="44" customHeight="1">
      <x:c r="A54" s="21" t="str">
        <x:v>P15</x:v>
      </x:c>
      <x:c r="B54" s="21" t="str">
        <x:v>PAR-CYB-OTRO-CAMBIO-UNITARIO-REQUERIDO-001</x:v>
      </x:c>
      <x:c r="C54" s="21" t="str">
        <x:v>consecuencia</x:v>
      </x:c>
      <x:c r="D54" s="21" t="str">
        <x:v>C15: un instalador puede exigir configurar, redesplegar o realizar otra acción además del reinicio. Omitir esa obligación puede confundir aplicación del paquete con corrección efectiva.</x:v>
      </x:c>
    </x:row>
    <x:row r="55" ht="43" customHeight="1">
      <x:c r="A55" s="21" t="str">
        <x:v>P15</x:v>
      </x:c>
      <x:c r="B55" s="21" t="str">
        <x:v>PAR-CYB-OTRO-CAMBIO-UNITARIO-REQUERIDO-001</x:v>
      </x:c>
      <x:c r="C55" s="21" t="str">
        <x:v>exceso</x:v>
      </x:c>
      <x:c r="D55" s="21" t="str">
        <x:v>No impone todos los ejemplos de NIST a todas las instalaciones. No realiza el cambio ni autoriza al consejero a ejecutarlo.</x:v>
      </x:c>
    </x:row>
    <x:row r="56" ht="44" customHeight="1">
      <x:c r="A56" s="21" t="str">
        <x:v>P15</x:v>
      </x:c>
      <x:c r="B56" s="21" t="str">
        <x:v>PAR-CYB-OTRO-CAMBIO-UNITARIO-REQUERIDO-001</x:v>
      </x:c>
      <x:c r="C56" s="21" t="str">
        <x:v>independencia</x:v>
      </x:c>
      <x:c r="D56" s="21" t="str">
        <x:v>P01=0/P04=0 tanto con configuración adicional requerida como sin ella; P15 informa obligación, P12/P13/P07 informan estado o comprobación de cumplimiento.</x:v>
      </x:c>
    </x:row>
    <x:row r="57" ht="44" customHeight="1">
      <x:c r="A57" s="21" t="str">
        <x:v>P15</x:v>
      </x:c>
      <x:c r="B57" s="21" t="str">
        <x:v>PAR-CYB-OTRO-CAMBIO-UNITARIO-REQUERIDO-001</x:v>
      </x:c>
      <x:c r="C57" s="21" t="str">
        <x:v>particion</x:v>
      </x:c>
      <x:c r="D57" s="21" t="str">
        <x:v>Esquema de predicado para una acción ya individualizada, no bolsa de acciones. Un redespliegue completo suele ser compuesto: sus requisitos elementales deben enumerarse antes de usar P15.</x:v>
      </x:c>
    </x:row>
    <x:row r="58" ht="43" customHeight="1">
      <x:c r="A58" s="21" t="str">
        <x:v>P15</x:v>
      </x:c>
      <x:c r="B58" s="21" t="str">
        <x:v>PAR-CYB-OTRO-CAMBIO-UNITARIO-REQUERIDO-001</x:v>
      </x:c>
      <x:c r="C58" s="21" t="str">
        <x:v>fuentes</x:v>
      </x:c>
      <x:c r="D58" s="21" t="str">
        <x:v>R025; R028; R035 IV.9; T001 §2.3.2</x:v>
      </x:c>
    </x:row>
    <x:row r="59" ht="44" customHeight="1">
      <x:c r="A59" s="21" t="str">
        <x:v>P15</x:v>
      </x:c>
      <x:c r="B59" s="21" t="str">
        <x:v>PAR-CYB-OTRO-CAMBIO-UNITARIO-REQUERIDO-001</x:v>
      </x:c>
      <x:c r="C59" s="21" t="str">
        <x:v>limite</x:v>
      </x:c>
      <x:c r="D59" s="21" t="str">
        <x:v>No convierte un verbo genérico en átomo de ejecución. P15 sólo requisito; el cumplimiento se reconstruye con testigos de estado y P07 para cada criterio unitario.</x:v>
      </x:c>
    </x:row>
  </x:sheetData>
  <x:mergeCells>
    <x:mergeCell ref="A1:D1"/>
    <x:mergeCell ref="A2:D2"/>
  </x:mergeCells>
  <x:pageMargins left="0.7" right="0.7" top="0.75" bottom="0.75" header="0.3" footer="0.3"/>
  <x:tableParts count="1">
    <x:tablePart xmlns:r="http://schemas.openxmlformats.org/officeDocument/2006/relationships" r:id="Rb807f7f02590423e"/>
  </x:tableParts>
</x:worksheet>
</file>

<file path=xl/worksheets/sheet6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56" hidden="0" customWidth="1"/>
    <x:col min="3" max="3" width="34" hidden="0" customWidth="1"/>
    <x:col min="4" max="4" width="84" hidden="0" customWidth="1"/>
    <x:col min="5" max="5" width="52" hidden="0" customWidth="1"/>
    <x:col min="6" max="6" width="106" hidden="0" customWidth="1"/>
  </x:cols>
  <x:sheetData>
    <x:row r="1" ht="34" customHeight="1">
      <x:c r="A1" s="23" t="str">
        <x:v>Q0 · correspondencia terminal del inventario</x:v>
      </x:c>
      <x:c r="B1" s="23"/>
      <x:c r="C1" s="23"/>
      <x:c r="D1" s="23"/>
      <x:c r="E1" s="23"/>
      <x:c r="F1" s="23"/>
    </x:row>
    <x:row r="2" ht="57" customHeight="1">
      <x:c r="A2" s="24" t="str">
        <x:v>Nueve raíces / 31 distinciones. Los compuestos se cierran como contratos finitos con límites; no como nuevos átomos.</x:v>
      </x:c>
      <x:c r="B2" s="24"/>
      <x:c r="C2" s="24"/>
      <x:c r="D2" s="24"/>
      <x:c r="E2" s="24"/>
      <x:c r="F2" s="24"/>
    </x:row>
    <x:row r="3">
      <x:c r="A3" s="21"/>
      <x:c r="B3" s="21"/>
      <x:c r="C3" s="21"/>
      <x:c r="D3" s="21"/>
      <x:c r="E3" s="21"/>
      <x:c r="F3" s="21"/>
    </x:row>
    <x:row r="4" ht="48" customHeight="1">
      <x:c r="A4" s="26" t="str">
        <x:v>Distinción</x:v>
      </x:c>
      <x:c r="B4" s="26" t="str">
        <x:v>Referencias</x:v>
      </x:c>
      <x:c r="C4" s="26" t="str">
        <x:v>Estatuto</x:v>
      </x:c>
      <x:c r="D4" s="26" t="str">
        <x:v>Resolución documental</x:v>
      </x:c>
      <x:c r="E4" s="26" t="str">
        <x:v>Terminación</x:v>
      </x:c>
      <x:c r="F4" s="26" t="str">
        <x:v>Dependencia que bloquea capacidad</x:v>
      </x:c>
    </x:row>
    <x:row r="5" ht="44" customHeight="1">
      <x:c r="A5" s="21" t="str">
        <x:v>QCY-01-D1</x:v>
      </x:c>
      <x:c r="B5" s="21" t="str">
        <x:v>C01</x:v>
      </x:c>
      <x:c r="C5" s="21" t="str">
        <x:v>CONTEXTUAL</x:v>
      </x:c>
      <x:c r="D5" s="21" t="str">
        <x:v>Activo y ámbito inequívocos</x:v>
      </x:c>
      <x:c r="E5" s="21" t="str">
        <x:v>TRATADA_EN_CONTRATO_DOCUMENTAL</x:v>
      </x:c>
      <x:c r="F5" s="21" t="str">
        <x:v>D-CYB-01: instanciación y evidencia del episodio; D-CYB-02/03: arquitectura y ejecución SV no acreditadas.</x:v>
      </x:c>
    </x:row>
    <x:row r="6" ht="44" customHeight="1">
      <x:c r="A6" s="21" t="str">
        <x:v>QCY-01-D2</x:v>
      </x:c>
      <x:c r="B6" s="21" t="str">
        <x:v>C01,C05</x:v>
      </x:c>
      <x:c r="C6" s="21" t="str">
        <x:v>CONTEXTUAL</x:v>
      </x:c>
      <x:c r="D6" s="21" t="str">
        <x:v>Componente, configuración y consumidores enumerados</x:v>
      </x:c>
      <x:c r="E6" s="21" t="str">
        <x:v>TRATADA_EN_CONTRATO_DOCUMENTAL</x:v>
      </x:c>
      <x:c r="F6" s="21" t="str">
        <x:v>D-CYB-01: instanciación y evidencia del episodio; D-CYB-02/03: arquitectura y ejecución SV no acreditadas.</x:v>
      </x:c>
    </x:row>
    <x:row r="7" ht="44" customHeight="1">
      <x:c r="A7" s="21" t="str">
        <x:v>QCY-01-D3</x:v>
      </x:c>
      <x:c r="B7" s="21" t="str">
        <x:v>C01,C14</x:v>
      </x:c>
      <x:c r="C7" s="21" t="str">
        <x:v>CONTEXTUAL</x:v>
      </x:c>
      <x:c r="D7" s="21" t="str">
        <x:v>Vulnerabilidad y referencia congelada</x:v>
      </x:c>
      <x:c r="E7" s="21" t="str">
        <x:v>TRATADA_EN_CONTRATO_DOCUMENTAL</x:v>
      </x:c>
      <x:c r="F7" s="21" t="str">
        <x:v>D-CYB-01: instanciación y evidencia del episodio; D-CYB-02/03: arquitectura y ejecución SV no acreditadas.</x:v>
      </x:c>
    </x:row>
    <x:row r="8" ht="44" customHeight="1">
      <x:c r="A8" s="21" t="str">
        <x:v>QCY-01-D4</x:v>
      </x:c>
      <x:c r="B8" s="21" t="str">
        <x:v>C01</x:v>
      </x:c>
      <x:c r="C8" s="21" t="str">
        <x:v>CONTROL_COMPUESTO</x:v>
      </x:c>
      <x:c r="D8" s="21" t="str">
        <x:v>Aplicabilidad resuelta por regla específica</x:v>
      </x:c>
      <x:c r="E8" s="21" t="str">
        <x:v>TRATADA_EN_CONTRATO_DOCUMENTAL</x:v>
      </x:c>
      <x:c r="F8" s="21" t="str">
        <x:v>D-CYB-01: instanciación y evidencia del episodio; D-CYB-02/03: arquitectura y ejecución SV no acreditadas.</x:v>
      </x:c>
    </x:row>
    <x:row r="9" ht="44" customHeight="1">
      <x:c r="A9" s="21" t="str">
        <x:v>QCY-02-D1</x:v>
      </x:c>
      <x:c r="B9" s="21" t="str">
        <x:v>C02,C03</x:v>
      </x:c>
      <x:c r="C9" s="21" t="str">
        <x:v>CONTEXTUAL</x:v>
      </x:c>
      <x:c r="D9" s="21" t="str">
        <x:v>Episodio individual y corte</x:v>
      </x:c>
      <x:c r="E9" s="21" t="str">
        <x:v>TRATADA_EN_CONTRATO_DOCUMENTAL</x:v>
      </x:c>
      <x:c r="F9" s="21" t="str">
        <x:v>D-CYB-01: instanciación y evidencia del episodio; D-CYB-02/03: arquitectura y ejecución SV no acreditadas.</x:v>
      </x:c>
    </x:row>
    <x:row r="10" ht="44" customHeight="1">
      <x:c r="A10" s="21" t="str">
        <x:v>QCY-02-D2</x:v>
      </x:c>
      <x:c r="B10" s="21" t="str">
        <x:v>C02</x:v>
      </x:c>
      <x:c r="C10" s="21" t="str">
        <x:v>CONTROL</x:v>
      </x:c>
      <x:c r="D10" s="21" t="str">
        <x:v>Integridad no sustituye procedencia</x:v>
      </x:c>
      <x:c r="E10" s="21" t="str">
        <x:v>TRATADA_EN_CONTRATO_DOCUMENTAL</x:v>
      </x:c>
      <x:c r="F10" s="21" t="str">
        <x:v>D-CYB-01: instanciación y evidencia del episodio; D-CYB-02/03: arquitectura y ejecución SV no acreditadas.</x:v>
      </x:c>
    </x:row>
    <x:row r="11" ht="44" customHeight="1">
      <x:c r="A11" s="21" t="str">
        <x:v>QCY-02-D3</x:v>
      </x:c>
      <x:c r="B11" s="21" t="str">
        <x:v>C02,C14</x:v>
      </x:c>
      <x:c r="C11" s="21" t="str">
        <x:v>CONTROL</x:v>
      </x:c>
      <x:c r="D11" s="21" t="str">
        <x:v>Admisión humana y de origen diferenciadas</x:v>
      </x:c>
      <x:c r="E11" s="21" t="str">
        <x:v>TRATADA_EN_CONTRATO_DOCUMENTAL</x:v>
      </x:c>
      <x:c r="F11" s="21" t="str">
        <x:v>D-CYB-01: instanciación y evidencia del episodio; D-CYB-02/03: arquitectura y ejecución SV no acreditadas.</x:v>
      </x:c>
    </x:row>
    <x:row r="12" ht="44" customHeight="1">
      <x:c r="A12" s="21" t="str">
        <x:v>QCY-03-D1</x:v>
      </x:c>
      <x:c r="B12" s="21" t="str">
        <x:v>C03</x:v>
      </x:c>
      <x:c r="C12" s="21" t="str">
        <x:v>CONTEXTUAL</x:v>
      </x:c>
      <x:c r="D12" s="21" t="str">
        <x:v>Operación individual conservada</x:v>
      </x:c>
      <x:c r="E12" s="21" t="str">
        <x:v>TRATADA_EN_CONTRATO_DOCUMENTAL</x:v>
      </x:c>
      <x:c r="F12" s="21" t="str">
        <x:v>D-CYB-01: instanciación y evidencia del episodio; D-CYB-02/03: arquitectura y ejecución SV no acreditadas.</x:v>
      </x:c>
    </x:row>
    <x:row r="13" ht="44" customHeight="1">
      <x:c r="A13" s="21" t="str">
        <x:v>QCY-03-D2</x:v>
      </x:c>
      <x:c r="B13" s="21" t="str">
        <x:v>P02,C03</x:v>
      </x:c>
      <x:c r="C13" s="21" t="str">
        <x:v>PARAMETRO</x:v>
      </x:c>
      <x:c r="D13" s="21" t="str">
        <x:v>Éxito comunicado</x:v>
      </x:c>
      <x:c r="E13" s="21" t="str">
        <x:v>TRATADA_EN_CONTRATO_DOCUMENTAL</x:v>
      </x:c>
      <x:c r="F13" s="21" t="str">
        <x:v>D-CYB-01: instanciación y evidencia del episodio; D-CYB-02/03: arquitectura y ejecución SV no acreditadas.</x:v>
      </x:c>
    </x:row>
    <x:row r="14" ht="44" customHeight="1">
      <x:c r="A14" s="21" t="str">
        <x:v>QCY-03-D3</x:v>
      </x:c>
      <x:c r="B14" s="21" t="str">
        <x:v>C03</x:v>
      </x:c>
      <x:c r="C14" s="21" t="str">
        <x:v>CONTEXTUAL</x:v>
      </x:c>
      <x:c r="D14" s="21" t="str">
        <x:v>Errores preservados e interpretables</x:v>
      </x:c>
      <x:c r="E14" s="21" t="str">
        <x:v>TRATADA_EN_CONTRATO_DOCUMENTAL</x:v>
      </x:c>
      <x:c r="F14" s="21" t="str">
        <x:v>D-CYB-01: instanciación y evidencia del episodio; D-CYB-02/03: arquitectura y ejecución SV no acreditadas.</x:v>
      </x:c>
    </x:row>
    <x:row r="15" ht="44" customHeight="1">
      <x:c r="A15" s="21" t="str">
        <x:v>QCY-04-D1</x:v>
      </x:c>
      <x:c r="B15" s="21" t="str">
        <x:v>P01</x:v>
      </x:c>
      <x:c r="C15" s="21" t="str">
        <x:v>PARAMETRO</x:v>
      </x:c>
      <x:c r="D15" s="21" t="str">
        <x:v>Requisito histórico en perfil</x:v>
      </x:c>
      <x:c r="E15" s="21" t="str">
        <x:v>TRATADA_EN_CONTRATO_DOCUMENTAL</x:v>
      </x:c>
      <x:c r="F15" s="21" t="str">
        <x:v>D-CYB-01: instanciación y evidencia del episodio; D-CYB-02/03: arquitectura y ejecución SV no acreditadas.</x:v>
      </x:c>
    </x:row>
    <x:row r="16" ht="44" customHeight="1">
      <x:c r="A16" s="21" t="str">
        <x:v>QCY-04-D2</x:v>
      </x:c>
      <x:c r="B16" s="21" t="str">
        <x:v>P03</x:v>
      </x:c>
      <x:c r="C16" s="21" t="str">
        <x:v>PARAMETRO</x:v>
      </x:c>
      <x:c r="D16" s="21" t="str">
        <x:v>Reinicio íntegro posterior</x:v>
      </x:c>
      <x:c r="E16" s="21" t="str">
        <x:v>TRATADA_EN_CONTRATO_DOCUMENTAL</x:v>
      </x:c>
      <x:c r="F16" s="21" t="str">
        <x:v>D-CYB-01: instanciación y evidencia del episodio; D-CYB-02/03: arquitectura y ejecución SV no acreditadas.</x:v>
      </x:c>
    </x:row>
    <x:row r="17" ht="44" customHeight="1">
      <x:c r="A17" s="21" t="str">
        <x:v>QCY-04-D3</x:v>
      </x:c>
      <x:c r="B17" s="21" t="str">
        <x:v>P04,P15,C04</x:v>
      </x:c>
      <x:c r="C17" s="21" t="str">
        <x:v>COMPUESTO_ACOTADO</x:v>
      </x:c>
      <x:c r="D17" s="21" t="str">
        <x:v>Obligaciones del software y otras individualizadas</x:v>
      </x:c>
      <x:c r="E17" s="21" t="str">
        <x:v>TRATADA_EN_CONTRATO_DOCUMENTAL</x:v>
      </x:c>
      <x:c r="F17" s="21" t="str">
        <x:v>D-CYB-01: instanciación y evidencia del episodio; D-CYB-02/03: arquitectura y ejecución SV no acreditadas.</x:v>
      </x:c>
    </x:row>
    <x:row r="18" ht="44" customHeight="1">
      <x:c r="A18" s="21" t="str">
        <x:v>QCY-04-D4</x:v>
      </x:c>
      <x:c r="B18" s="21" t="str">
        <x:v>P05,P11,P06,P12,P13,P07,C04,C05</x:v>
      </x:c>
      <x:c r="C18" s="21" t="str">
        <x:v>COMPUESTO_ACOTADO</x:v>
      </x:c>
      <x:c r="D18" s="21" t="str">
        <x:v>Cumplimiento por estado, generación y criterio unitario</x:v>
      </x:c>
      <x:c r="E18" s="21" t="str">
        <x:v>TRATADA_EN_CONTRATO_DOCUMENTAL</x:v>
      </x:c>
      <x:c r="F18" s="21" t="str">
        <x:v>D-CYB-01: instanciación y evidencia del episodio; D-CYB-02/03: arquitectura y ejecución SV no acreditadas.</x:v>
      </x:c>
    </x:row>
    <x:row r="19" ht="44" customHeight="1">
      <x:c r="A19" s="21" t="str">
        <x:v>QCY-05-D1</x:v>
      </x:c>
      <x:c r="B19" s="21" t="str">
        <x:v>C06</x:v>
      </x:c>
      <x:c r="C19" s="21" t="str">
        <x:v>CONTROL</x:v>
      </x:c>
      <x:c r="D19" s="21" t="str">
        <x:v>Criterio y sensibilidad propios</x:v>
      </x:c>
      <x:c r="E19" s="21" t="str">
        <x:v>TRATADA_EN_CONTRATO_DOCUMENTAL</x:v>
      </x:c>
      <x:c r="F19" s="21" t="str">
        <x:v>D-CYB-01: instanciación y evidencia del episodio; D-CYB-02/03: arquitectura y ejecución SV no acreditadas.</x:v>
      </x:c>
    </x:row>
    <x:row r="20" ht="44" customHeight="1">
      <x:c r="A20" s="21" t="str">
        <x:v>QCY-05-D2</x:v>
      </x:c>
      <x:c r="B20" s="21" t="str">
        <x:v>P06,P12,P13,C05</x:v>
      </x:c>
      <x:c r="C20" s="21" t="str">
        <x:v>COMPUESTO_ACOTADO</x:v>
      </x:c>
      <x:c r="D20" s="21" t="str">
        <x:v>Memoria, valor efectivo y persistencia separados</x:v>
      </x:c>
      <x:c r="E20" s="21" t="str">
        <x:v>TRATADA_EN_CONTRATO_DOCUMENTAL</x:v>
      </x:c>
      <x:c r="F20" s="21" t="str">
        <x:v>D-CYB-01: instanciación y evidencia del episodio; D-CYB-02/03: arquitectura y ejecución SV no acreditadas.</x:v>
      </x:c>
    </x:row>
    <x:row r="21" ht="44" customHeight="1">
      <x:c r="A21" s="21" t="str">
        <x:v>QCY-05-D3</x:v>
      </x:c>
      <x:c r="B21" s="21" t="str">
        <x:v>P07,C06</x:v>
      </x:c>
      <x:c r="C21" s="21" t="str">
        <x:v>PARAMETRO_Y_CONTROL</x:v>
      </x:c>
      <x:c r="D21" s="21" t="str">
        <x:v>Resultado no sustituye cualificación de la prueba</x:v>
      </x:c>
      <x:c r="E21" s="21" t="str">
        <x:v>TRATADA_EN_CONTRATO_DOCUMENTAL</x:v>
      </x:c>
      <x:c r="F21" s="21" t="str">
        <x:v>D-CYB-01: instanciación y evidencia del episodio; D-CYB-02/03: arquitectura y ejecución SV no acreditadas.</x:v>
      </x:c>
    </x:row>
    <x:row r="22" ht="44" customHeight="1">
      <x:c r="A22" s="21" t="str">
        <x:v>QCY-06-D1</x:v>
      </x:c>
      <x:c r="B22" s="21" t="str">
        <x:v>C05</x:v>
      </x:c>
      <x:c r="C22" s="21" t="str">
        <x:v>CONTEXTUAL</x:v>
      </x:c>
      <x:c r="D22" s="21" t="str">
        <x:v>Servicio y consumidores</x:v>
      </x:c>
      <x:c r="E22" s="21" t="str">
        <x:v>TRATADA_EN_CONTRATO_DOCUMENTAL</x:v>
      </x:c>
      <x:c r="F22" s="21" t="str">
        <x:v>D-CYB-01: instanciación y evidencia del episodio; D-CYB-02/03: arquitectura y ejecución SV no acreditadas.</x:v>
      </x:c>
    </x:row>
    <x:row r="23" ht="44" customHeight="1">
      <x:c r="A23" s="21" t="str">
        <x:v>QCY-06-D2</x:v>
      </x:c>
      <x:c r="B23" s="21" t="str">
        <x:v>C05</x:v>
      </x:c>
      <x:c r="C23" s="21" t="str">
        <x:v>CONTROL</x:v>
      </x:c>
      <x:c r="D23" s="21" t="str">
        <x:v>Cierre de dependencias y fronteras</x:v>
      </x:c>
      <x:c r="E23" s="21" t="str">
        <x:v>TRATADA_EN_CONTRATO_DOCUMENTAL</x:v>
      </x:c>
      <x:c r="F23" s="21" t="str">
        <x:v>D-CYB-01: instanciación y evidencia del episodio; D-CYB-02/03: arquitectura y ejecución SV no acreditadas.</x:v>
      </x:c>
    </x:row>
    <x:row r="24" ht="44" customHeight="1">
      <x:c r="A24" s="21" t="str">
        <x:v>QCY-06-D3</x:v>
      </x:c>
      <x:c r="B24" s="21" t="str">
        <x:v>C08</x:v>
      </x:c>
      <x:c r="C24" s="21" t="str">
        <x:v>CONTEXTO_Y_JUICIO</x:v>
      </x:c>
      <x:c r="D24" s="21" t="str">
        <x:v>Impactos sin falsa cuantificación</x:v>
      </x:c>
      <x:c r="E24" s="21" t="str">
        <x:v>TRATADA_EN_CONTRATO_DOCUMENTAL</x:v>
      </x:c>
      <x:c r="F24" s="21" t="str">
        <x:v>D-CYB-01: instanciación y evidencia del episodio; D-CYB-02/03: arquitectura y ejecución SV no acreditadas.</x:v>
      </x:c>
    </x:row>
    <x:row r="25" ht="44" customHeight="1">
      <x:c r="A25" s="21" t="str">
        <x:v>QCY-07-D1</x:v>
      </x:c>
      <x:c r="B25" s="21" t="str">
        <x:v>C09</x:v>
      </x:c>
      <x:c r="C25" s="21" t="str">
        <x:v>CONTEXTO_Y_JUICIO</x:v>
      </x:c>
      <x:c r="D25" s="21" t="str">
        <x:v>Alternativas sin falsa corrección</x:v>
      </x:c>
      <x:c r="E25" s="21" t="str">
        <x:v>TRATADA_EN_CONTRATO_DOCUMENTAL</x:v>
      </x:c>
      <x:c r="F25" s="21" t="str">
        <x:v>D-CYB-01: instanciación y evidencia del episodio; D-CYB-02/03: arquitectura y ejecución SV no acreditadas.</x:v>
      </x:c>
    </x:row>
    <x:row r="26" ht="44" customHeight="1">
      <x:c r="A26" s="21" t="str">
        <x:v>QCY-07-D2</x:v>
      </x:c>
      <x:c r="B26" s="21" t="str">
        <x:v>C10</x:v>
      </x:c>
      <x:c r="C26" s="21" t="str">
        <x:v>CONTROL</x:v>
      </x:c>
      <x:c r="D26" s="21" t="str">
        <x:v>Ventana, duración y recuperación</x:v>
      </x:c>
      <x:c r="E26" s="21" t="str">
        <x:v>TRATADA_EN_CONTRATO_DOCUMENTAL</x:v>
      </x:c>
      <x:c r="F26" s="21" t="str">
        <x:v>D-CYB-01: instanciación y evidencia del episodio; D-CYB-02/03: arquitectura y ejecución SV no acreditadas.</x:v>
      </x:c>
    </x:row>
    <x:row r="27" ht="44" customHeight="1">
      <x:c r="A27" s="21" t="str">
        <x:v>QCY-07-D3</x:v>
      </x:c>
      <x:c r="B27" s="21" t="str">
        <x:v>C11</x:v>
      </x:c>
      <x:c r="C27" s="21" t="str">
        <x:v>CONTROL_HUMANO</x:v>
      </x:c>
      <x:c r="D27" s="21" t="str">
        <x:v>Permiso concreto independiente del consejo</x:v>
      </x:c>
      <x:c r="E27" s="21" t="str">
        <x:v>TRATADA_EN_CONTRATO_DOCUMENTAL</x:v>
      </x:c>
      <x:c r="F27" s="21" t="str">
        <x:v>D-CYB-01: instanciación y evidencia del episodio; D-CYB-02/03: arquitectura y ejecución SV no acreditadas.</x:v>
      </x:c>
    </x:row>
    <x:row r="28" ht="44" customHeight="1">
      <x:c r="A28" s="21" t="str">
        <x:v>QCY-07-D4</x:v>
      </x:c>
      <x:c r="B28" s="21" t="str">
        <x:v>C12</x:v>
      </x:c>
      <x:c r="C28" s="21" t="str">
        <x:v>CONTEXTO_Y_JUICIO</x:v>
      </x:c>
      <x:c r="D28" s="21" t="str">
        <x:v>Proporcionalidad sobre valor protegido</x:v>
      </x:c>
      <x:c r="E28" s="21" t="str">
        <x:v>TRATADA_EN_CONTRATO_DOCUMENTAL</x:v>
      </x:c>
      <x:c r="F28" s="21" t="str">
        <x:v>D-CYB-01: instanciación y evidencia del episodio; D-CYB-02/03: arquitectura y ejecución SV no acreditadas.</x:v>
      </x:c>
    </x:row>
    <x:row r="29" ht="44" customHeight="1">
      <x:c r="A29" s="21" t="str">
        <x:v>QCY-08-D1</x:v>
      </x:c>
      <x:c r="B29" s="21" t="str">
        <x:v>P08,P06,P12,P13,C07</x:v>
      </x:c>
      <x:c r="C29" s="21" t="str">
        <x:v>COMPUESTO_ACOTADO</x:v>
      </x:c>
      <x:c r="D29" s="21" t="str">
        <x:v>Retirada comunicada y otras reversiones por estado</x:v>
      </x:c>
      <x:c r="E29" s="21" t="str">
        <x:v>TRATADA_EN_CONTRATO_DOCUMENTAL</x:v>
      </x:c>
      <x:c r="F29" s="21" t="str">
        <x:v>D-CYB-01: instanciación y evidencia del episodio; D-CYB-02/03: arquitectura y ejecución SV no acreditadas.</x:v>
      </x:c>
    </x:row>
    <x:row r="30" ht="44" customHeight="1">
      <x:c r="A30" s="21" t="str">
        <x:v>QCY-08-D2</x:v>
      </x:c>
      <x:c r="B30" s="21" t="str">
        <x:v>P09,P14,C07</x:v>
      </x:c>
      <x:c r="C30" s="21" t="str">
        <x:v>COMPUESTO_ACOTADO</x:v>
      </x:c>
      <x:c r="D30" s="21" t="str">
        <x:v>Historia binaria y de configuración</x:v>
      </x:c>
      <x:c r="E30" s="21" t="str">
        <x:v>TRATADA_EN_CONTRATO_DOCUMENTAL</x:v>
      </x:c>
      <x:c r="F30" s="21" t="str">
        <x:v>D-CYB-01: instanciación y evidencia del episodio; D-CYB-02/03: arquitectura y ejecución SV no acreditadas.</x:v>
      </x:c>
    </x:row>
    <x:row r="31" ht="44" customHeight="1">
      <x:c r="A31" s="21" t="str">
        <x:v>QCY-08-D3</x:v>
      </x:c>
      <x:c r="B31" s="21" t="str">
        <x:v>P10,C07</x:v>
      </x:c>
      <x:c r="C31" s="21" t="str">
        <x:v>PARAMETRO_Y_CONTROL</x:v>
      </x:c>
      <x:c r="D31" s="21" t="str">
        <x:v>Restauración comunicada y alcance afectado</x:v>
      </x:c>
      <x:c r="E31" s="21" t="str">
        <x:v>TRATADA_EN_CONTRATO_DOCUMENTAL</x:v>
      </x:c>
      <x:c r="F31" s="21" t="str">
        <x:v>D-CYB-01: instanciación y evidencia del episodio; D-CYB-02/03: arquitectura y ejecución SV no acreditadas.</x:v>
      </x:c>
    </x:row>
    <x:row r="32" ht="44" customHeight="1">
      <x:c r="A32" s="21" t="str">
        <x:v>QCY-09-D1</x:v>
      </x:c>
      <x:c r="B32" s="21" t="str">
        <x:v>C05</x:v>
      </x:c>
      <x:c r="C32" s="21" t="str">
        <x:v>CONTROL</x:v>
      </x:c>
      <x:c r="D32" s="21" t="str">
        <x:v>Cobertura de sujetos y dependencias</x:v>
      </x:c>
      <x:c r="E32" s="21" t="str">
        <x:v>TRATADA_EN_CONTRATO_DOCUMENTAL</x:v>
      </x:c>
      <x:c r="F32" s="21" t="str">
        <x:v>D-CYB-01: instanciación y evidencia del episodio; D-CYB-02/03: arquitectura y ejecución SV no acreditadas.</x:v>
      </x:c>
    </x:row>
    <x:row r="33" ht="44" customHeight="1">
      <x:c r="A33" s="21" t="str">
        <x:v>QCY-09-D2</x:v>
      </x:c>
      <x:c r="B33" s="21" t="str">
        <x:v>C13</x:v>
      </x:c>
      <x:c r="C33" s="21" t="str">
        <x:v>CONTROL</x:v>
      </x:c>
      <x:c r="D33" s="21" t="str">
        <x:v>Incertidumbres no ocultadas</x:v>
      </x:c>
      <x:c r="E33" s="21" t="str">
        <x:v>TRATADA_EN_CONTRATO_DOCUMENTAL</x:v>
      </x:c>
      <x:c r="F33" s="21" t="str">
        <x:v>D-CYB-01: instanciación y evidencia del episodio; D-CYB-02/03: arquitectura y ejecución SV no acreditadas.</x:v>
      </x:c>
    </x:row>
    <x:row r="34" ht="44" customHeight="1">
      <x:c r="A34" s="21" t="str">
        <x:v>QCY-09-D3</x:v>
      </x:c>
      <x:c r="B34" s="21" t="str">
        <x:v>C13,C14</x:v>
      </x:c>
      <x:c r="C34" s="21" t="str">
        <x:v>CONTROL</x:v>
      </x:c>
      <x:c r="D34" s="21" t="str">
        <x:v>Justificación reproducible y gobernada</x:v>
      </x:c>
      <x:c r="E34" s="21" t="str">
        <x:v>TRATADA_EN_CONTRATO_DOCUMENTAL</x:v>
      </x:c>
      <x:c r="F34" s="21" t="str">
        <x:v>D-CYB-01: instanciación y evidencia del episodio; D-CYB-02/03: arquitectura y ejecución SV no acreditadas.</x:v>
      </x:c>
    </x:row>
    <x:row r="35" ht="44" customHeight="1">
      <x:c r="A35" s="21" t="str">
        <x:v>QCY-09-D4</x:v>
      </x:c>
      <x:c r="B35" s="21" t="str">
        <x:v>C11</x:v>
      </x:c>
      <x:c r="C35" s="21" t="str">
        <x:v>CONTROL_HUMANO</x:v>
      </x:c>
      <x:c r="D35" s="21" t="str">
        <x:v>Destinatario responsable inequívoco</x:v>
      </x:c>
      <x:c r="E35" s="21" t="str">
        <x:v>TRATADA_EN_CONTRATO_DOCUMENTAL</x:v>
      </x:c>
      <x:c r="F35" s="21" t="str">
        <x:v>D-CYB-01: instanciación y evidencia del episodio; D-CYB-02/03: arquitectura y ejecución SV no acreditadas.</x:v>
      </x:c>
    </x:row>
  </x:sheetData>
  <x:mergeCells>
    <x:mergeCell ref="A1:D1"/>
    <x:mergeCell ref="A2:F2"/>
  </x:mergeCells>
  <x:pageMargins left="0.7" right="0.7" top="0.75" bottom="0.75" header="0.3" footer="0.3"/>
  <x:tableParts count="1">
    <x:tablePart xmlns:r="http://schemas.openxmlformats.org/officeDocument/2006/relationships" r:id="R953f727203274823"/>
  </x:tableParts>
</x:worksheet>
</file>

<file path=xl/worksheets/sheet6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7" hidden="0" customWidth="1"/>
    <x:col min="3" max="3" width="24" hidden="0" customWidth="1"/>
    <x:col min="4" max="4" width="157" hidden="0" customWidth="1"/>
  </x:cols>
  <x:sheetData>
    <x:row r="1" ht="34" customHeight="1">
      <x:c r="A1" s="23" t="str">
        <x:v>IDENTIDAD, EVIDENCIA Y CONSEJO · catorce contratos</x:v>
      </x:c>
      <x:c r="B1" s="23"/>
      <x:c r="C1" s="23"/>
      <x:c r="D1" s="23"/>
    </x:row>
    <x:row r="2" ht="57" customHeight="1">
      <x:c r="A2" s="24" t="str">
        <x:v>Los controles no se convierten en parámetros. Una etiqueta de aprobación no autentica a un productor ni una autoridad.</x:v>
      </x:c>
      <x:c r="B2" s="24"/>
      <x:c r="C2" s="24"/>
      <x:c r="D2" s="24"/>
    </x:row>
    <x:row r="3">
      <x:c r="A3" s="21"/>
      <x:c r="B3" s="21"/>
      <x:c r="C3" s="21"/>
      <x:c r="D3" s="21"/>
    </x:row>
    <x:row r="4" ht="48" customHeight="1">
      <x:c r="A4" s="26" t="str">
        <x:v>Control</x:v>
      </x:c>
      <x:c r="B4" s="26" t="str">
        <x:v>Nombre</x:v>
      </x:c>
      <x:c r="C4" s="26" t="str">
        <x:v>Apartado</x:v>
      </x:c>
      <x:c r="D4" s="26" t="str">
        <x:v>Contrato y consecuencia</x:v>
      </x:c>
    </x:row>
    <x:row r="5" ht="43" customHeight="1">
      <x:c r="A5" s="21" t="str">
        <x:v>C01</x:v>
      </x:c>
      <x:c r="B5" s="21" t="str">
        <x:v>Identidad y aplicabilidad</x:v>
      </x:c>
      <x:c r="C5" s="21" t="str">
        <x:v>q</x:v>
      </x:c>
      <x:c r="D5" s="21" t="str">
        <x:v>QCY-01-D1,D2,D3,D4</x:v>
      </x:c>
    </x:row>
    <x:row r="6" ht="74" customHeight="1">
      <x:c r="A6" s="21" t="str">
        <x:v>C01</x:v>
      </x:c>
      <x:c r="B6" s="21" t="str">
        <x:v>Identidad y aplicabilidad</x:v>
      </x:c>
      <x:c r="C6" s="21" t="str">
        <x:v>contrato</x:v>
      </x:c>
      <x:c r="D6" s="21" t="str">
        <x:v>Fijar activo estable y entorno/arranque; componente, configuración, vulnerabilidad con estado/versionado, actualización y relación correctora exacta. Evaluar la conjunción de condiciones del aviso del proveedor en este contexto. APLICABLE sólo con todas acreditadas; NO_APLICABLE sólo con refutación suficiente según la lógica de esa regla; desconocido o conflicto → APLICABILIDAD_NO_RESUELTA. Un CVE rechazado activa revisión de referencia, no un valor Tri ni prueba de corrección.</x:v>
      </x:c>
    </x:row>
    <x:row r="7" ht="43" customHeight="1">
      <x:c r="A7" s="21" t="str">
        <x:v>C01</x:v>
      </x:c>
      <x:c r="B7" s="21" t="str">
        <x:v>Identidad y aplicabilidad</x:v>
      </x:c>
      <x:c r="C7" s="21" t="str">
        <x:v>consecuencia</x:v>
      </x:c>
      <x:c r="D7" s="21" t="str">
        <x:v>Identidad nominal o una versión similar puede hacer cerrar el activo equivocado. Sobreincluir exige trabajos sin pertinencia.</x:v>
      </x:c>
    </x:row>
    <x:row r="8" ht="44" customHeight="1">
      <x:c r="A8" s="21" t="str">
        <x:v>C01</x:v>
      </x:c>
      <x:c r="B8" s="21" t="str">
        <x:v>Identidad y aplicabilidad</x:v>
      </x:c>
      <x:c r="C8" s="21" t="str">
        <x:v>prueba</x:v>
      </x:c>
      <x:c r="D8" s="21" t="str">
        <x:v>Mismo nombre con otro activo; aviso para otra arquitectura; condición desconocida; aviso cambiado tras el corte; NO_APLICABLE fundado sin fingir parche aplicado.</x:v>
      </x:c>
    </x:row>
    <x:row r="9" ht="43" customHeight="1">
      <x:c r="A9" s="21" t="str">
        <x:v>C01</x:v>
      </x:c>
      <x:c r="B9" s="21" t="str">
        <x:v>Identidad y aplicabilidad</x:v>
      </x:c>
      <x:c r="C9" s="21" t="str">
        <x:v>fuente</x:v>
      </x:c>
      <x:c r="D9" s="21" t="str">
        <x:v>T001 §2.2/3.2; instrucción §5.4–5.5; R025</x:v>
      </x:c>
    </x:row>
    <x:row r="10" ht="43" customHeight="1">
      <x:c r="A10" s="21" t="str">
        <x:v>C01</x:v>
      </x:c>
      <x:c r="B10" s="21" t="str">
        <x:v>Identidad y aplicabilidad</x:v>
      </x:c>
      <x:c r="C10" s="21" t="str">
        <x:v>responsable</x:v>
      </x:c>
      <x:c r="D10" s="21" t="str">
        <x:v>Experto del activo admite hechos; Dirección admite corte de conocimiento</x:v>
      </x:c>
    </x:row>
    <x:row r="11" ht="43" customHeight="1">
      <x:c r="A11" s="21" t="str">
        <x:v>C02</x:v>
      </x:c>
      <x:c r="B11" s="21" t="str">
        <x:v>Admisión e integridad de evidencia</x:v>
      </x:c>
      <x:c r="C11" s="21" t="str">
        <x:v>q</x:v>
      </x:c>
      <x:c r="D11" s="21" t="str">
        <x:v>QCY-02-D1,D2,D3</x:v>
      </x:c>
    </x:row>
    <x:row r="12" ht="89" customHeight="1">
      <x:c r="A12" s="21" t="str">
        <x:v>C02</x:v>
      </x:c>
      <x:c r="B12" s="21" t="str">
        <x:v>Admisión e integridad de evidencia</x:v>
      </x:c>
      <x:c r="C12" s="21" t="str">
        <x:v>contrato</x:v>
      </x:c>
      <x:c r="D12" s="21" t="str">
        <x:v>Conservar bytes antes de conversión, tamaño y SHA-256; identidad del productor/capturador, método y versión, permisos, activo/episodio, instante y precisión/orden, original y normalización, localizador, custodia y responsable que admite. Comparar hash original/recalculado; comprobar autoridad y ámbito por referencia verificable separada. Digest válido no autentica productor. Claves repetidas, identidades cruzadas, firma no verificada cuando exigida o alteración → NO_ADMITIDA. Captura fallida → FALLO_TECNICO sin salida del dominio. Ausencia declarada dentro de perfil admitido puede dar U.</x:v>
      </x:c>
    </x:row>
    <x:row r="13" ht="43" customHeight="1">
      <x:c r="A13" s="21" t="str">
        <x:v>C02</x:v>
      </x:c>
      <x:c r="B13" s="21" t="str">
        <x:v>Admisión e integridad de evidencia</x:v>
      </x:c>
      <x:c r="C13" s="21" t="str">
        <x:v>consecuencia</x:v>
      </x:c>
      <x:c r="D13" s="21" t="str">
        <x:v>Un fichero íntegro falsamente atribuido puede sustentar un cierre falso; rechazar toda ausencia como fallo oculta incertidumbre válida.</x:v>
      </x:c>
    </x:row>
    <x:row r="14" ht="44" customHeight="1">
      <x:c r="A14" s="21" t="str">
        <x:v>C02</x:v>
      </x:c>
      <x:c r="B14" s="21" t="str">
        <x:v>Admisión e integridad de evidencia</x:v>
      </x:c>
      <x:c r="C14" s="21" t="str">
        <x:v>prueba</x:v>
      </x:c>
      <x:c r="D14" s="21" t="str">
        <x:v>Alteración de un byte; hash rehecho por atacante sin productor autorizado; productor correcto fuera de ámbito; duplicado JSON; entero &gt;2^53 y decimal conservados; fallo no convertido a U.</x:v>
      </x:c>
    </x:row>
    <x:row r="15" ht="43" customHeight="1">
      <x:c r="A15" s="21" t="str">
        <x:v>C02</x:v>
      </x:c>
      <x:c r="B15" s="21" t="str">
        <x:v>Admisión e integridad de evidencia</x:v>
      </x:c>
      <x:c r="C15" s="21" t="str">
        <x:v>fuente</x:v>
      </x:c>
      <x:c r="D15" s="21" t="str">
        <x:v>Instrucción §5.5/7.3/9; T001 §2.3.1; F018 §7.4</x:v>
      </x:c>
    </x:row>
    <x:row r="16" ht="43" customHeight="1">
      <x:c r="A16" s="21" t="str">
        <x:v>C02</x:v>
      </x:c>
      <x:c r="B16" s="21" t="str">
        <x:v>Admisión e integridad de evidencia</x:v>
      </x:c>
      <x:c r="C16" s="21" t="str">
        <x:v>responsable</x:v>
      </x:c>
      <x:c r="D16" s="21" t="str">
        <x:v>Custodio de evidencia y experto; capturador en D-CYB-01</x:v>
      </x:c>
    </x:row>
    <x:row r="17" ht="43" customHeight="1">
      <x:c r="A17" s="21" t="str">
        <x:v>C03</x:v>
      </x:c>
      <x:c r="B17" s="21" t="str">
        <x:v>Operación individual y error</x:v>
      </x:c>
      <x:c r="C17" s="21" t="str">
        <x:v>q</x:v>
      </x:c>
      <x:c r="D17" s="21" t="str">
        <x:v>QCY-03-D1,D3</x:v>
      </x:c>
    </x:row>
    <x:row r="18" ht="59" customHeight="1">
      <x:c r="A18" s="21" t="str">
        <x:v>C03</x:v>
      </x:c>
      <x:c r="B18" s="21" t="str">
        <x:v>Operación individual y error</x:v>
      </x:c>
      <x:c r="C18" s="21" t="str">
        <x:v>contrato</x:v>
      </x:c>
      <x:c r="D18" s="21" t="str">
        <x:v>Preservar colección original de instalación, índice, UpdateIdentity y revisión, host, intento, fin individual, ResultCode y HResult sin colapsarlos. Índice fuera de rango/otra colección → no admisión. Error de instalación es hecho del dominio; error al leer es fallo del observador. P02=0 pide interpretar error y efecto parcial, no afirmar que nada se instaló. No activar P01 fuera de su perfil orcSucceeded.</x:v>
      </x:c>
    </x:row>
    <x:row r="19" ht="43" customHeight="1">
      <x:c r="A19" s="21" t="str">
        <x:v>C03</x:v>
      </x:c>
      <x:c r="B19" s="21" t="str">
        <x:v>Operación individual y error</x:v>
      </x:c>
      <x:c r="C19" s="21" t="str">
        <x:v>consecuencia</x:v>
      </x:c>
      <x:c r="D19" s="21" t="str">
        <x:v>Resultado agregado puede ocultar fallo individual; HResult aislado no sustituye el contrato de resultado.</x:v>
      </x:c>
    </x:row>
    <x:row r="20" ht="43" customHeight="1">
      <x:c r="A20" s="21" t="str">
        <x:v>C03</x:v>
      </x:c>
      <x:c r="B20" s="21" t="str">
        <x:v>Operación individual y error</x:v>
      </x:c>
      <x:c r="C20" s="21" t="str">
        <x:v>prueba</x:v>
      </x:c>
      <x:c r="D20" s="21" t="str">
        <x:v>Colección reordenada; agregado exitoso con elemento fallido; instalación abortada frente a fallo de lectura; P01 fuera de perfil.</x:v>
      </x:c>
    </x:row>
    <x:row r="21" ht="43" customHeight="1">
      <x:c r="A21" s="21" t="str">
        <x:v>C03</x:v>
      </x:c>
      <x:c r="B21" s="21" t="str">
        <x:v>Operación individual y error</x:v>
      </x:c>
      <x:c r="C21" s="21" t="str">
        <x:v>fuente</x:v>
      </x:c>
      <x:c r="D21" s="21" t="str">
        <x:v>T004–T006; R025</x:v>
      </x:c>
    </x:row>
    <x:row r="22" ht="43" customHeight="1">
      <x:c r="A22" s="21" t="str">
        <x:v>C03</x:v>
      </x:c>
      <x:c r="B22" s="21" t="str">
        <x:v>Operación individual y error</x:v>
      </x:c>
      <x:c r="C22" s="21" t="str">
        <x:v>responsable</x:v>
      </x:c>
      <x:c r="D22" s="21" t="str">
        <x:v>Experto de actualización</x:v>
      </x:c>
    </x:row>
    <x:row r="23" ht="43" customHeight="1">
      <x:c r="A23" s="21" t="str">
        <x:v>C04</x:v>
      </x:c>
      <x:c r="B23" s="21" t="str">
        <x:v>Lista finita de requisitos y cumplimiento</x:v>
      </x:c>
      <x:c r="C23" s="21" t="str">
        <x:v>q</x:v>
      </x:c>
      <x:c r="D23" s="21" t="str">
        <x:v>QCY-04-D3,D4</x:v>
      </x:c>
    </x:row>
    <x:row r="24" ht="89" customHeight="1">
      <x:c r="A24" s="21" t="str">
        <x:v>C04</x:v>
      </x:c>
      <x:c r="B24" s="21" t="str">
        <x:v>Lista finita de requisitos y cumplimiento</x:v>
      </x:c>
      <x:c r="C24" s="21" t="str">
        <x:v>contrato</x:v>
      </x:c>
      <x:c r="D24" s="21" t="str">
        <x:v>Antes de dictaminar, enumerar requisitos aplicables desde la regla específica: sistema P01/P03, software P04/P05/P11/P06 y criterio útil P07, otros P15 con obligaciones elementales y sus pruebas. La lista vacía necesita declaración explícita de ausencia de requisitos y cobertura de la instrucción. REQ COMPLETO sólo si cada obligación tiene prueba pertinente y vigente; desconocida mantiene INSUFICIENTE. Redespliegue, cambio de configuración, invalidación de caché o controlador no se equiparan: descomponer por efectos requeridos. Clase no soportada → D-CYB-01, nunca omisión silenciosa.</x:v>
      </x:c>
    </x:row>
    <x:row r="25" ht="44" customHeight="1">
      <x:c r="A25" s="21" t="str">
        <x:v>C04</x:v>
      </x:c>
      <x:c r="B25" s="21" t="str">
        <x:v>Lista finita de requisitos y cumplimiento</x:v>
      </x:c>
      <x:c r="C25" s="21" t="str">
        <x:v>consecuencia</x:v>
      </x:c>
      <x:c r="D25" s="21" t="str">
        <x:v>Terminar padre no termina hijos; crear sustituto no termina inicialización; redesplegar una réplica no actualiza todas. Consejo excesivo: exigir una acción no requerida.</x:v>
      </x:c>
    </x:row>
    <x:row r="26" ht="43" customHeight="1">
      <x:c r="A26" s="21" t="str">
        <x:v>C04</x:v>
      </x:c>
      <x:c r="B26" s="21" t="str">
        <x:v>Lista finita de requisitos y cumplimiento</x:v>
      </x:c>
      <x:c r="C26" s="21" t="str">
        <x:v>prueba</x:v>
      </x:c>
      <x:c r="D26" s="21" t="str">
        <x:v>Padre parado/hijo activo; creación con DLL fallida; dos obligaciones y sólo una satisfecha; lista vacía sin declaración; caché no observada.</x:v>
      </x:c>
    </x:row>
    <x:row r="27" ht="43" customHeight="1">
      <x:c r="A27" s="21" t="str">
        <x:v>C04</x:v>
      </x:c>
      <x:c r="B27" s="21" t="str">
        <x:v>Lista finita de requisitos y cumplimiento</x:v>
      </x:c>
      <x:c r="C27" s="21" t="str">
        <x:v>fuente</x:v>
      </x:c>
      <x:c r="D27" s="21" t="str">
        <x:v>T001 §2.3.2; T009; T014–T016; R025</x:v>
      </x:c>
    </x:row>
    <x:row r="28" ht="43" customHeight="1">
      <x:c r="A28" s="21" t="str">
        <x:v>C04</x:v>
      </x:c>
      <x:c r="B28" s="21" t="str">
        <x:v>Lista finita de requisitos y cumplimiento</x:v>
      </x:c>
      <x:c r="C28" s="21" t="str">
        <x:v>responsable</x:v>
      </x:c>
      <x:c r="D28" s="21" t="str">
        <x:v>Unidad de dominio y experto del producto</x:v>
      </x:c>
    </x:row>
    <x:row r="29" ht="43" customHeight="1">
      <x:c r="A29" s="21" t="str">
        <x:v>C05</x:v>
      </x:c>
      <x:c r="B29" s="21" t="str">
        <x:v>Instancias y dependencias con cierre finito</x:v>
      </x:c>
      <x:c r="C29" s="21" t="str">
        <x:v>q</x:v>
      </x:c>
      <x:c r="D29" s="21" t="str">
        <x:v>QCY-06-D1,D2;QCY-09-D1</x:v>
      </x:c>
    </x:row>
    <x:row r="30" ht="89" customHeight="1">
      <x:c r="A30" s="21" t="str">
        <x:v>C05</x:v>
      </x:c>
      <x:c r="B30" s="21" t="str">
        <x:v>Instancias y dependencias con cierre finito</x:v>
      </x:c>
      <x:c r="C30" s="21" t="str">
        <x:v>contrato</x:v>
      </x:c>
      <x:c r="D30" s="21" t="str">
        <x:v>Manifestar al corte conjuntos finitos de componentes, consumidores/instancias, servicios y enlaces de dependencia, con identidad y método de enumeración. Expansión desde el componente corregido por aristas pertinentes hasta punto fijo; conjunto de visitados evita ciclos. Cada frontera externa necesita responsable, contrato, evidencia o bloqueo; límite de búsqueda agotado no es cobertura. Una instancia excluida exige prueba de no consumo/pertinencia. Inventarios disco/runtime/controlador/caché/configuración distinguidos. Repetir una definición paramétrica para sujetos independientes exige estados y usos separados; no copiar un único valor.</x:v>
      </x:c>
    </x:row>
    <x:row r="31" ht="43" customHeight="1">
      <x:c r="A31" s="21" t="str">
        <x:v>C05</x:v>
      </x:c>
      <x:c r="B31" s="21" t="str">
        <x:v>Instancias y dependencias con cierre finito</x:v>
      </x:c>
      <x:c r="C31" s="21" t="str">
        <x:v>consecuencia</x:v>
      </x:c>
      <x:c r="D31" s="21" t="str">
        <x:v>Una biblioteca correcta en una instancia puede ocultar otra antigua. Omitir un proveedor o dependencia puede ocultar interrupción y arrastre.</x:v>
      </x:c>
    </x:row>
    <x:row r="32" ht="44" customHeight="1">
      <x:c r="A32" s="21" t="str">
        <x:v>C05</x:v>
      </x:c>
      <x:c r="B32" s="21" t="str">
        <x:v>Instancias y dependencias con cierre finito</x:v>
      </x:c>
      <x:c r="C32" s="21" t="str">
        <x:v>prueba</x:v>
      </x:c>
      <x:c r="D32" s="21" t="str">
        <x:v>A→B→A termina sin perder arista; segunda instancia omitida; dependencia externa sin prueba; identidad duplicada; inventario vacío no acreditado.</x:v>
      </x:c>
    </x:row>
    <x:row r="33" ht="43" customHeight="1">
      <x:c r="A33" s="21" t="str">
        <x:v>C05</x:v>
      </x:c>
      <x:c r="B33" s="21" t="str">
        <x:v>Instancias y dependencias con cierre finito</x:v>
      </x:c>
      <x:c r="C33" s="21" t="str">
        <x:v>fuente</x:v>
      </x:c>
      <x:c r="D33" s="21" t="str">
        <x:v>T001 §2.2/3.2; T008; T016; R025/R033/R036</x:v>
      </x:c>
    </x:row>
    <x:row r="34" ht="43" customHeight="1">
      <x:c r="A34" s="21" t="str">
        <x:v>C05</x:v>
      </x:c>
      <x:c r="B34" s="21" t="str">
        <x:v>Instancias y dependencias con cierre finito</x:v>
      </x:c>
      <x:c r="C34" s="21" t="str">
        <x:v>responsable</x:v>
      </x:c>
      <x:c r="D34" s="21" t="str">
        <x:v>Propietario del activo y responsables de servicios; dominio constituye usos</x:v>
      </x:c>
    </x:row>
    <x:row r="35" ht="43" customHeight="1">
      <x:c r="A35" s="21" t="str">
        <x:v>C06</x:v>
      </x:c>
      <x:c r="B35" s="21" t="str">
        <x:v>Criterio y sensibilidad del observador</x:v>
      </x:c>
      <x:c r="C35" s="21" t="str">
        <x:v>q</x:v>
      </x:c>
      <x:c r="D35" s="21" t="str">
        <x:v>QCY-05-D1,D3</x:v>
      </x:c>
    </x:row>
    <x:row r="36" ht="89" customHeight="1">
      <x:c r="A36" s="21" t="str">
        <x:v>C06</x:v>
      </x:c>
      <x:c r="B36" s="21" t="str">
        <x:v>Criterio y sensibilidad del observador</x:v>
      </x:c>
      <x:c r="C36" s="21" t="str">
        <x:v>contrato</x:v>
      </x:c>
      <x:c r="D36" s="21" t="str">
        <x:v>Plan previo: predicado unitario, fuente/regla, condiciones de aplicación, dato observado, método/versiones, cobertura y horizonte, oráculos positivo y negativo independientes del resultado, tolerancias sólo justificadas. Ejecutar observador sobre ambos testigos y mutantes que siempre responden positivo, negativo o ignoran el dato decisivo. Un scanner sin hallazgos con acceso insuficiente no acredita corrección. P07 sólo registra resultado de criterio admisible; la aptitud de la prueba es control externo. Repetir dos veces el mismo núcleo no constituye independencia semántica.</x:v>
      </x:c>
    </x:row>
    <x:row r="37" ht="44" customHeight="1">
      <x:c r="A37" s="21" t="str">
        <x:v>C06</x:v>
      </x:c>
      <x:c r="B37" s="21" t="str">
        <x:v>Criterio y sensibilidad del observador</x:v>
      </x:c>
      <x:c r="C37" s="21" t="str">
        <x:v>consecuencia</x:v>
      </x:c>
      <x:c r="D37" s="21" t="str">
        <x:v>Sin sensibilidad se puede confundir falta de defectos con incapacidad para verlos. Falsos positivos pueden impulsar interrupciones innecesarias.</x:v>
      </x:c>
    </x:row>
    <x:row r="38" ht="44" customHeight="1">
      <x:c r="A38" s="21" t="str">
        <x:v>C06</x:v>
      </x:c>
      <x:c r="B38" s="21" t="str">
        <x:v>Criterio y sensibilidad del observador</x:v>
      </x:c>
      <x:c r="C38" s="21" t="str">
        <x:v>prueba</x:v>
      </x:c>
      <x:c r="D38" s="21" t="str">
        <x:v>Testigo defecto residual; testigo corregido; sensor ciego; acceso insuficiente; objetivo/umbral elegido después de ver resultado; dos herramientas con misma base.</x:v>
      </x:c>
    </x:row>
    <x:row r="39" ht="43" customHeight="1">
      <x:c r="A39" s="21" t="str">
        <x:v>C06</x:v>
      </x:c>
      <x:c r="B39" s="21" t="str">
        <x:v>Criterio y sensibilidad del observador</x:v>
      </x:c>
      <x:c r="C39" s="21" t="str">
        <x:v>fuente</x:v>
      </x:c>
      <x:c r="D39" s="21" t="str">
        <x:v>F018 §4.3 y §7.3; instrucción §9/11; R040</x:v>
      </x:c>
    </x:row>
    <x:row r="40" ht="43" customHeight="1">
      <x:c r="A40" s="21" t="str">
        <x:v>C06</x:v>
      </x:c>
      <x:c r="B40" s="21" t="str">
        <x:v>Criterio y sensibilidad del observador</x:v>
      </x:c>
      <x:c r="C40" s="21" t="str">
        <x:v>responsable</x:v>
      </x:c>
      <x:c r="D40" s="21" t="str">
        <x:v>Responsable de comprobación; revisión del experto</x:v>
      </x:c>
    </x:row>
    <x:row r="41" ht="43" customHeight="1">
      <x:c r="A41" s="21" t="str">
        <x:v>C07</x:v>
      </x:c>
      <x:c r="B41" s="21" t="str">
        <x:v>Vigencia después de cambios</x:v>
      </x:c>
      <x:c r="C41" s="21" t="str">
        <x:v>q</x:v>
      </x:c>
      <x:c r="D41" s="21" t="str">
        <x:v>QCY-08-D1,D2,D3</x:v>
      </x:c>
    </x:row>
    <x:row r="42" ht="74" customHeight="1">
      <x:c r="A42" s="21" t="str">
        <x:v>C07</x:v>
      </x:c>
      <x:c r="B42" s="21" t="str">
        <x:v>Vigencia después de cambios</x:v>
      </x:c>
      <x:c r="C42" s="21" t="str">
        <x:v>contrato</x:v>
      </x:c>
      <x:c r="D42" s="21" t="str">
        <x:v>Relacionar cada evidencia con los componentes/claves/instancias y el horizonte que presupone. P08/P09/P10/P14 activan revisión sólo de dependencias afectadas; P06/P12/P13 describen estado actual. Cambio y retorno no elimina el suceso; igualdad final no renueva una comprobación de comportamiento. Una reversión por mecanismo distinto de desinstalación se evalúa por estado y alcance restaurado, no se fuerza P08. Historia parcial bloquea afirmación de ausencia de cambio.</x:v>
      </x:c>
    </x:row>
    <x:row r="43" ht="44" customHeight="1">
      <x:c r="A43" s="21" t="str">
        <x:v>C07</x:v>
      </x:c>
      <x:c r="B43" s="21" t="str">
        <x:v>Vigencia después de cambios</x:v>
      </x:c>
      <x:c r="C43" s="21" t="str">
        <x:v>consecuencia</x:v>
      </x:c>
      <x:c r="D43" s="21" t="str">
        <x:v>Reutilizar una comprobación tras restauración puede ocultar reversión. Invalidar indiscriminadamente toda evidencia también produce trabajo y coste sin fundamento.</x:v>
      </x:c>
    </x:row>
    <x:row r="44" ht="43" customHeight="1">
      <x:c r="A44" s="21" t="str">
        <x:v>C07</x:v>
      </x:c>
      <x:c r="B44" s="21" t="str">
        <x:v>Vigencia después de cambios</x:v>
      </x:c>
      <x:c r="C44" s="21" t="str">
        <x:v>prueba</x:v>
      </x:c>
      <x:c r="D44" s="21" t="str">
        <x:v>Cambio/retorno; rollback sin desinstalación; configuración restaurada con binario igual; cambio irrelevante no anula criterio independiente.</x:v>
      </x:c>
    </x:row>
    <x:row r="45" ht="43" customHeight="1">
      <x:c r="A45" s="21" t="str">
        <x:v>C07</x:v>
      </x:c>
      <x:c r="B45" s="21" t="str">
        <x:v>Vigencia después de cambios</x:v>
      </x:c>
      <x:c r="C45" s="21" t="str">
        <x:v>fuente</x:v>
      </x:c>
      <x:c r="D45" s="21" t="str">
        <x:v>T001 §2.3.4; T010/11; R025/R033</x:v>
      </x:c>
    </x:row>
    <x:row r="46" ht="43" customHeight="1">
      <x:c r="A46" s="21" t="str">
        <x:v>C07</x:v>
      </x:c>
      <x:c r="B46" s="21" t="str">
        <x:v>Vigencia después de cambios</x:v>
      </x:c>
      <x:c r="C46" s="21" t="str">
        <x:v>responsable</x:v>
      </x:c>
      <x:c r="D46" s="21" t="str">
        <x:v>Experto y custodio del historial</x:v>
      </x:c>
    </x:row>
    <x:row r="47" ht="43" customHeight="1">
      <x:c r="A47" s="21" t="str">
        <x:v>C08</x:v>
      </x:c>
      <x:c r="B47" s="21" t="str">
        <x:v>Impacto y servicio protegido</x:v>
      </x:c>
      <x:c r="C47" s="21" t="str">
        <x:v>q</x:v>
      </x:c>
      <x:c r="D47" s="21" t="str">
        <x:v>QCY-06-D3</x:v>
      </x:c>
    </x:row>
    <x:row r="48" ht="74" customHeight="1">
      <x:c r="A48" s="21" t="str">
        <x:v>C08</x:v>
      </x:c>
      <x:c r="B48" s="21" t="str">
        <x:v>Impacto y servicio protegido</x:v>
      </x:c>
      <x:c r="C48" s="21" t="str">
        <x:v>contrato</x:v>
      </x:c>
      <x:c r="D48" s="21" t="str">
        <x:v>Registrar servicio/función protegida, consumidores, consecuencias de indisponibilidad, degradación, seguridad y datos; duración estimada como intervalo con procedencia, ventana de tolerancia y dependencias de recuperación. Separar hecho medido, hipótesis y juicio humano. Probabilidades y valores no se inventan. Un RTO declarado es objetivo, no observación de recuperación. Impactos no monetizados permanecen explícitos y no se convierten en cero.</x:v>
      </x:c>
    </x:row>
    <x:row r="49" ht="44" customHeight="1">
      <x:c r="A49" s="21" t="str">
        <x:v>C08</x:v>
      </x:c>
      <x:c r="B49" s="21" t="str">
        <x:v>Impacto y servicio protegido</x:v>
      </x:c>
      <x:c r="C49" s="21" t="str">
        <x:v>consecuencia</x:v>
      </x:c>
      <x:c r="D49" s="21" t="str">
        <x:v>Aconsejar reinicio sin dependencia asistencial/negocial puede trasladar un riesgo mayor; sobredimensionar impacto sin fuente paraliza mantenimiento.</x:v>
      </x:c>
    </x:row>
    <x:row r="50" ht="43" customHeight="1">
      <x:c r="A50" s="21" t="str">
        <x:v>C08</x:v>
      </x:c>
      <x:c r="B50" s="21" t="str">
        <x:v>Impacto y servicio protegido</x:v>
      </x:c>
      <x:c r="C50" s="21" t="str">
        <x:v>prueba</x:v>
      </x:c>
      <x:c r="D50" s="21" t="str">
        <x:v>Activo barato/servicio crítico; RTO menor que interrupción prevista; impacto desconocido; doble cómputo de la misma pérdida.</x:v>
      </x:c>
    </x:row>
    <x:row r="51" ht="43" customHeight="1">
      <x:c r="A51" s="21" t="str">
        <x:v>C08</x:v>
      </x:c>
      <x:c r="B51" s="21" t="str">
        <x:v>Impacto y servicio protegido</x:v>
      </x:c>
      <x:c r="C51" s="21" t="str">
        <x:v>fuente</x:v>
      </x:c>
      <x:c r="D51" s="21" t="str">
        <x:v>R033 IV.7; R035 IV.6/9/11; T001 §3.1–3.2</x:v>
      </x:c>
    </x:row>
    <x:row r="52" ht="43" customHeight="1">
      <x:c r="A52" s="21" t="str">
        <x:v>C08</x:v>
      </x:c>
      <x:c r="B52" s="21" t="str">
        <x:v>Impacto y servicio protegido</x:v>
      </x:c>
      <x:c r="C52" s="21" t="str">
        <x:v>responsable</x:v>
      </x:c>
      <x:c r="D52" s="21" t="str">
        <x:v>Propietario del servicio y experto</x:v>
      </x:c>
    </x:row>
    <x:row r="53" ht="43" customHeight="1">
      <x:c r="A53" s="21" t="str">
        <x:v>C09</x:v>
      </x:c>
      <x:c r="B53" s="21" t="str">
        <x:v>Alternativas comparables</x:v>
      </x:c>
      <x:c r="C53" s="21" t="str">
        <x:v>q</x:v>
      </x:c>
      <x:c r="D53" s="21" t="str">
        <x:v>QCY-07-D1</x:v>
      </x:c>
    </x:row>
    <x:row r="54" ht="74" customHeight="1">
      <x:c r="A54" s="21" t="str">
        <x:v>C09</x:v>
      </x:c>
      <x:c r="B54" s="21" t="str">
        <x:v>Alternativas comparables</x:v>
      </x:c>
      <x:c r="C54" s="21" t="str">
        <x:v>contrato</x:v>
      </x:c>
      <x:c r="D54" s="21" t="str">
        <x:v>Conjunto finito pertinente al episodio: completar ahora, completar en ventana, alternativa del proveedor, mitigación temporal, mantener abierto y escalar, o exclusión fundada. Registrar viabilidad, efectos esperados, dependencias, reversibilidad y riesgo residual con fuentes. No acción es alternativa explícita si considerada; no es riesgo cero. Mitigar o aceptar riesgo no significa vulnerabilidad corregida. Una alternativa dominada se descarta sólo bajo dimensiones comparables y evidencia suficiente.</x:v>
      </x:c>
    </x:row>
    <x:row r="55" ht="44" customHeight="1">
      <x:c r="A55" s="21" t="str">
        <x:v>C09</x:v>
      </x:c>
      <x:c r="B55" s="21" t="str">
        <x:v>Alternativas comparables</x:v>
      </x:c>
      <x:c r="C55" s="21" t="str">
        <x:v>consecuencia</x:v>
      </x:c>
      <x:c r="D55" s="21" t="str">
        <x:v>Una falsa dicotomía entre reiniciar ya y cerrar puede omitir continuidad gradual; ofrecer mitigación como corrección falsa cambia indebidamente el producto.</x:v>
      </x:c>
    </x:row>
    <x:row r="56" ht="44" customHeight="1">
      <x:c r="A56" s="21" t="str">
        <x:v>C09</x:v>
      </x:c>
      <x:c r="B56" s="21" t="str">
        <x:v>Alternativas comparables</x:v>
      </x:c>
      <x:c r="C56" s="21" t="str">
        <x:v>prueba</x:v>
      </x:c>
      <x:c r="D56" s="21" t="str">
        <x:v>Mitigación viable deja cierre de corrección insuficiente; alternativa menos disruptiva; alternativa sin soporte; incertidumbre impide ordenar.</x:v>
      </x:c>
    </x:row>
    <x:row r="57" ht="43" customHeight="1">
      <x:c r="A57" s="21" t="str">
        <x:v>C09</x:v>
      </x:c>
      <x:c r="B57" s="21" t="str">
        <x:v>Alternativas comparables</x:v>
      </x:c>
      <x:c r="C57" s="21" t="str">
        <x:v>fuente</x:v>
      </x:c>
      <x:c r="D57" s="21" t="str">
        <x:v>T001 §2.1/3.3/3.5; R035 IV.9</x:v>
      </x:c>
    </x:row>
    <x:row r="58" ht="43" customHeight="1">
      <x:c r="A58" s="21" t="str">
        <x:v>C09</x:v>
      </x:c>
      <x:c r="B58" s="21" t="str">
        <x:v>Alternativas comparables</x:v>
      </x:c>
      <x:c r="C58" s="21" t="str">
        <x:v>responsable</x:v>
      </x:c>
      <x:c r="D58" s="21" t="str">
        <x:v>Experto propone; propietario decide</x:v>
      </x:c>
    </x:row>
    <x:row r="59" ht="43" customHeight="1">
      <x:c r="A59" s="21" t="str">
        <x:v>C10</x:v>
      </x:c>
      <x:c r="B59" s="21" t="str">
        <x:v>Ventana y orden temporal</x:v>
      </x:c>
      <x:c r="C59" s="21" t="str">
        <x:v>q</x:v>
      </x:c>
      <x:c r="D59" s="21" t="str">
        <x:v>QCY-07-D2</x:v>
      </x:c>
    </x:row>
    <x:row r="60" ht="59" customHeight="1">
      <x:c r="A60" s="21" t="str">
        <x:v>C10</x:v>
      </x:c>
      <x:c r="B60" s="21" t="str">
        <x:v>Ventana y orden temporal</x:v>
      </x:c>
      <x:c r="C60" s="21" t="str">
        <x:v>contrato</x:v>
      </x:c>
      <x:c r="D60" s="21" t="str">
        <x:v>Intervalo de actuación permitido [inicio,fin), zona UTC u offset explícito, duración y margen de recuperación justificados, tolerancia de reloj y dependencia previa. La previsión completa debe caber; fin exacto fuera si se inicia una nueva acción. Relojes sin orden fiable → incertidumbre temporal. Ventana disponible no es permiso ni obliga a actuar. No se calcula una ventana con horas de husos mezclados.</x:v>
      </x:c>
    </x:row>
    <x:row r="61" ht="43" customHeight="1">
      <x:c r="A61" s="21" t="str">
        <x:v>C10</x:v>
      </x:c>
      <x:c r="B61" s="21" t="str">
        <x:v>Ventana y orden temporal</x:v>
      </x:c>
      <x:c r="C61" s="21" t="str">
        <x:v>consecuencia</x:v>
      </x:c>
      <x:c r="D61" s="21" t="str">
        <x:v>Ignorar duración/recuperación puede invadir servicio necesario; interpretar huso erróneo puede provocar interrupción fuera de ventana.</x:v>
      </x:c>
    </x:row>
    <x:row r="62" ht="43" customHeight="1">
      <x:c r="A62" s="21" t="str">
        <x:v>C10</x:v>
      </x:c>
      <x:c r="B62" s="21" t="str">
        <x:v>Ventana y orden temporal</x:v>
      </x:c>
      <x:c r="C62" s="21" t="str">
        <x:v>prueba</x:v>
      </x:c>
      <x:c r="D62" s="21" t="str">
        <x:v>Límites iguales; fin exacto; offset incompatible; duración sin margen; incertidumbre de reloj que atraviesa frontera.</x:v>
      </x:c>
    </x:row>
    <x:row r="63" ht="43" customHeight="1">
      <x:c r="A63" s="21" t="str">
        <x:v>C10</x:v>
      </x:c>
      <x:c r="B63" s="21" t="str">
        <x:v>Ventana y orden temporal</x:v>
      </x:c>
      <x:c r="C63" s="21" t="str">
        <x:v>fuente</x:v>
      </x:c>
      <x:c r="D63" s="21" t="str">
        <x:v>T001 §3.2/3.5; R033 IV.7</x:v>
      </x:c>
    </x:row>
    <x:row r="64" ht="43" customHeight="1">
      <x:c r="A64" s="21" t="str">
        <x:v>C10</x:v>
      </x:c>
      <x:c r="B64" s="21" t="str">
        <x:v>Ventana y orden temporal</x:v>
      </x:c>
      <x:c r="C64" s="21" t="str">
        <x:v>responsable</x:v>
      </x:c>
      <x:c r="D64" s="21" t="str">
        <x:v>Responsable de cambio y servicio</x:v>
      </x:c>
    </x:row>
    <x:row r="65" ht="43" customHeight="1">
      <x:c r="A65" s="21" t="str">
        <x:v>C11</x:v>
      </x:c>
      <x:c r="B65" s="21" t="str">
        <x:v>Autoridad concreta y destinatario</x:v>
      </x:c>
      <x:c r="C65" s="21" t="str">
        <x:v>q</x:v>
      </x:c>
      <x:c r="D65" s="21" t="str">
        <x:v>QCY-07-D3;QCY-09-D4</x:v>
      </x:c>
    </x:row>
    <x:row r="66" ht="74" customHeight="1">
      <x:c r="A66" s="21" t="str">
        <x:v>C11</x:v>
      </x:c>
      <x:c r="B66" s="21" t="str">
        <x:v>Autoridad concreta y destinatario</x:v>
      </x:c>
      <x:c r="C66" s="21" t="str">
        <x:v>contrato</x:v>
      </x:c>
      <x:c r="D66" s="21" t="str">
        <x:v>Registrar Director del dominio, experto destinatario, propietario del activo/servicio y ejecutor autorizado como funciones separadas, pudiendo coincidir personas si acreditado. Evidencia de delegación, acción y activo permitidos, vigencia, límites y responsable de cierre. La facultad de investigar o proponer no permite reiniciar/desplegar. La IA redacta consejo, no firma decisiones humanas ni asume autenticación por un nombre en Excel.</x:v>
      </x:c>
    </x:row>
    <x:row r="67" ht="44" customHeight="1">
      <x:c r="A67" s="21" t="str">
        <x:v>C11</x:v>
      </x:c>
      <x:c r="B67" s="21" t="str">
        <x:v>Autoridad concreta y destinatario</x:v>
      </x:c>
      <x:c r="C67" s="21" t="str">
        <x:v>consecuencia</x:v>
      </x:c>
      <x:c r="D67" s="21" t="str">
        <x:v>Consejo técnicamente plausible sin permiso puede provocar intervención indebida; no identificar destinatario responsable deja incertidumbres sin resolver.</x:v>
      </x:c>
    </x:row>
    <x:row r="68" ht="43" customHeight="1">
      <x:c r="A68" s="21" t="str">
        <x:v>C11</x:v>
      </x:c>
      <x:c r="B68" s="21" t="str">
        <x:v>Autoridad concreta y destinatario</x:v>
      </x:c>
      <x:c r="C68" s="21" t="str">
        <x:v>prueba</x:v>
      </x:c>
      <x:c r="D68" s="21" t="str">
        <x:v>Firma válida para otro activo; autorización caducada; Director del catálogo sin permiso del cliente; orden de IA tomada por autorización.</x:v>
      </x:c>
    </x:row>
    <x:row r="69" ht="43" customHeight="1">
      <x:c r="A69" s="21" t="str">
        <x:v>C11</x:v>
      </x:c>
      <x:c r="B69" s="21" t="str">
        <x:v>Autoridad concreta y destinatario</x:v>
      </x:c>
      <x:c r="C69" s="21" t="str">
        <x:v>fuente</x:v>
      </x:c>
      <x:c r="D69" s="21" t="str">
        <x:v>Instrucción §8; F018 §6.5/Apéndice B; R035 IV.11</x:v>
      </x:c>
    </x:row>
    <x:row r="70" ht="43" customHeight="1">
      <x:c r="A70" s="21" t="str">
        <x:v>C11</x:v>
      </x:c>
      <x:c r="B70" s="21" t="str">
        <x:v>Autoridad concreta y destinatario</x:v>
      </x:c>
      <x:c r="C70" s="21" t="str">
        <x:v>responsable</x:v>
      </x:c>
      <x:c r="D70" s="21" t="str">
        <x:v>Sede organizativa del activo; Dirección sólo constitución</x:v>
      </x:c>
    </x:row>
    <x:row r="71" ht="43" customHeight="1">
      <x:c r="A71" s="21" t="str">
        <x:v>C12</x:v>
      </x:c>
      <x:c r="B71" s="21" t="str">
        <x:v>Balance exacto de coste y valor</x:v>
      </x:c>
      <x:c r="C71" s="21" t="str">
        <x:v>q</x:v>
      </x:c>
      <x:c r="D71" s="21" t="str">
        <x:v>QCY-07-D4</x:v>
      </x:c>
    </x:row>
    <x:row r="72" ht="89" customHeight="1">
      <x:c r="A72" s="21" t="str">
        <x:v>C12</x:v>
      </x:c>
      <x:c r="B72" s="21" t="str">
        <x:v>Balance exacto de coste y valor</x:v>
      </x:c>
      <x:c r="C72" s="21" t="str">
        <x:v>contrato</x:v>
      </x:c>
      <x:c r="D72" s="21" t="str">
        <x:v>Aplicar el principio humano de proporcionalidad sobre el valor protegido completo y el mismo horizonte. Conservar originales decimales/unidad/moneda/base y método; separar coste directo, interrupción, verificación, recuperación y riesgo residual sin doble conteo. Para intervalos comparables: coste mínimo &gt; valor máximo demuestra exceso; coste máximo ≤ valor mínimo sólo supera esta comparación, no acredita conveniencia total; solapamiento o no monetizables → juicio no resuelto. No convertir datos desconocidos en cero ni compensar informalmente restricciones humanas. No calcular ROI con denominador desconocido.</x:v>
      </x:c>
    </x:row>
    <x:row r="73" ht="44" customHeight="1">
      <x:c r="A73" s="21" t="str">
        <x:v>C12</x:v>
      </x:c>
      <x:c r="B73" s="21" t="str">
        <x:v>Balance exacto de coste y valor</x:v>
      </x:c>
      <x:c r="C73" s="21" t="str">
        <x:v>consecuencia</x:v>
      </x:c>
      <x:c r="D73" s="21" t="str">
        <x:v>Precio de compra subestima valor del servicio; falsa precisión puede justificar gasto superior a lo protegido o descartar una protección necesaria.</x:v>
      </x:c>
    </x:row>
    <x:row r="74" ht="43" customHeight="1">
      <x:c r="A74" s="21" t="str">
        <x:v>C12</x:v>
      </x:c>
      <x:c r="B74" s="21" t="str">
        <x:v>Balance exacto de coste y valor</x:v>
      </x:c>
      <x:c r="C74" s="21" t="str">
        <x:v>prueba</x:v>
      </x:c>
      <x:c r="D74" s="21" t="str">
        <x:v>7.50 exacto; 9007199254740993 conservado; distintas monedas; coste mínimo superior; intervalos solapados; valor no monetizado.</x:v>
      </x:c>
    </x:row>
    <x:row r="75" ht="43" customHeight="1">
      <x:c r="A75" s="21" t="str">
        <x:v>C12</x:v>
      </x:c>
      <x:c r="B75" s="21" t="str">
        <x:v>Balance exacto de coste y valor</x:v>
      </x:c>
      <x:c r="C75" s="21" t="str">
        <x:v>fuente</x:v>
      </x:c>
      <x:c r="D75" s="21" t="str">
        <x:v>Mandato humano de proporcionalidad; R035 IV.6/9/11; T001 §3; instrucción §7.3</x:v>
      </x:c>
    </x:row>
    <x:row r="76" ht="43" customHeight="1">
      <x:c r="A76" s="21" t="str">
        <x:v>C12</x:v>
      </x:c>
      <x:c r="B76" s="21" t="str">
        <x:v>Balance exacto de coste y valor</x:v>
      </x:c>
      <x:c r="C76" s="21" t="str">
        <x:v>responsable</x:v>
      </x:c>
      <x:c r="D76" s="21" t="str">
        <x:v>Propietario del servicio y experto; Dirección no sustituye valoración del cliente</x:v>
      </x:c>
    </x:row>
    <x:row r="77" ht="43" customHeight="1">
      <x:c r="A77" s="21" t="str">
        <x:v>C13</x:v>
      </x:c>
      <x:c r="B77" s="21" t="str">
        <x:v>Explicación y producto profesional</x:v>
      </x:c>
      <x:c r="C77" s="21" t="str">
        <x:v>q</x:v>
      </x:c>
      <x:c r="D77" s="21" t="str">
        <x:v>QCY-09-D2,D3</x:v>
      </x:c>
    </x:row>
    <x:row r="78" ht="74" customHeight="1">
      <x:c r="A78" s="21" t="str">
        <x:v>C13</x:v>
      </x:c>
      <x:c r="B78" s="21" t="str">
        <x:v>Explicación y producto profesional</x:v>
      </x:c>
      <x:c r="C78" s="21" t="str">
        <x:v>contrato</x:v>
      </x:c>
      <x:c r="D78" s="21" t="str">
        <x:v>Expediente de consejo con identidad/corte, fuentes admitidas, observables, estados por sujeto, reglas y relaciones utilizadas, incertidumbres y bloqueos, consecuencias condicionadas, alternativas, autoridad destinataria y alcance. SUFICIENTE sólo para la afirmación concreta con todas sus obligaciones cubiertas; INSUFICIENTE si falta una indispensable; EXCLUSION_FUNDADA si la operación no aplica con prueba. Fallo técnico carece de producto del dominio. La plantilla y los ensayos son explicación documental, no Frame SV.</x:v>
      </x:c>
    </x:row>
    <x:row r="79" ht="43" customHeight="1">
      <x:c r="A79" s="21" t="str">
        <x:v>C13</x:v>
      </x:c>
      <x:c r="B79" s="21" t="str">
        <x:v>Explicación y producto profesional</x:v>
      </x:c>
      <x:c r="C79" s="21" t="str">
        <x:v>consecuencia</x:v>
      </x:c>
      <x:c r="D79" s="21" t="str">
        <x:v>Una respuesta sin relaciones puede ser correcta por azar e imposible de auditar; mezclar mitigación con corrección encubre riesgo residual.</x:v>
      </x:c>
    </x:row>
    <x:row r="80" ht="44" customHeight="1">
      <x:c r="A80" s="21" t="str">
        <x:v>C13</x:v>
      </x:c>
      <x:c r="B80" s="21" t="str">
        <x:v>Explicación y producto profesional</x:v>
      </x:c>
      <x:c r="C80" s="21" t="str">
        <x:v>prueba</x:v>
      </x:c>
      <x:c r="D80" s="21" t="str">
        <x:v>Mismos bytes de identidad completa → mismos bytes documentales; omitir una dependencia altera dictamen; fallo no genera salida alternativa; incertidumbre relevante visible.</x:v>
      </x:c>
    </x:row>
    <x:row r="81" ht="43" customHeight="1">
      <x:c r="A81" s="21" t="str">
        <x:v>C13</x:v>
      </x:c>
      <x:c r="B81" s="21" t="str">
        <x:v>Explicación y producto profesional</x:v>
      </x:c>
      <x:c r="C81" s="21" t="str">
        <x:v>fuente</x:v>
      </x:c>
      <x:c r="D81" s="21" t="str">
        <x:v>Instrucción §8/9/11; pilares; T001 §2.3.3</x:v>
      </x:c>
    </x:row>
    <x:row r="82" ht="43" customHeight="1">
      <x:c r="A82" s="21" t="str">
        <x:v>C13</x:v>
      </x:c>
      <x:c r="B82" s="21" t="str">
        <x:v>Explicación y producto profesional</x:v>
      </x:c>
      <x:c r="C82" s="21" t="str">
        <x:v>responsable</x:v>
      </x:c>
      <x:c r="D82" s="21" t="str">
        <x:v>IA propone explicación; experto juzga y decide</x:v>
      </x:c>
    </x:row>
    <x:row r="83" ht="43" customHeight="1">
      <x:c r="A83" s="21" t="str">
        <x:v>C14</x:v>
      </x:c>
      <x:c r="B83" s="21" t="str">
        <x:v>Congelado y reevaluación gobernada</x:v>
      </x:c>
      <x:c r="C83" s="21" t="str">
        <x:v>q</x:v>
      </x:c>
      <x:c r="D83" s="21" t="str">
        <x:v>QCY-02-D3;QCY-09-D3</x:v>
      </x:c>
    </x:row>
    <x:row r="84" ht="74" customHeight="1">
      <x:c r="A84" s="21" t="str">
        <x:v>C14</x:v>
      </x:c>
      <x:c r="B84" s="21" t="str">
        <x:v>Congelado y reevaluación gobernada</x:v>
      </x:c>
      <x:c r="C84" s="21" t="str">
        <x:v>contrato</x:v>
      </x:c>
      <x:c r="D84" s="21" t="str">
        <x:v>Separar adquisición de fuentes candidatas, admisión del corte de conocimiento por Dirección y recepción de nuevos hechos del episodio. Conservar versión anterior, impactos y decisión prospectiva. No consultar latest durante evaluación. Un cambio de catálogo no reescribe la historia; la nueva referencia requiere evaluación y aptitud humana antes de uso. Identidad completa incluye todos los bytes/cortes de reglas, datos y realizador realmente usados.</x:v>
      </x:c>
    </x:row>
    <x:row r="85" ht="44" customHeight="1">
      <x:c r="A85" s="21" t="str">
        <x:v>C14</x:v>
      </x:c>
      <x:c r="B85" s="21" t="str">
        <x:v>Congelado y reevaluación gobernada</x:v>
      </x:c>
      <x:c r="C85" s="21" t="str">
        <x:v>consecuencia</x:v>
      </x:c>
      <x:c r="D85" s="21" t="str">
        <x:v>Una evaluación aparentemente idéntica puede cambiar al consultar fuentes vivas; congelar hechos para siempre impediría advertir nuevos cambios reales.</x:v>
      </x:c>
    </x:row>
    <x:row r="86" ht="44" customHeight="1">
      <x:c r="A86" s="21" t="str">
        <x:v>C14</x:v>
      </x:c>
      <x:c r="B86" s="21" t="str">
        <x:v>Congelado y reevaluación gobernada</x:v>
      </x:c>
      <x:c r="C86" s="21" t="str">
        <x:v>prueba</x:v>
      </x:c>
      <x:c r="D86" s="21" t="str">
        <x:v>Catálogo cambia con mismo nombre; nueva observación sin nueva regla; sustitución automática de dependencia; cambio de regla produce identidad distinta.</x:v>
      </x:c>
    </x:row>
    <x:row r="87" ht="43" customHeight="1">
      <x:c r="A87" s="21" t="str">
        <x:v>C14</x:v>
      </x:c>
      <x:c r="B87" s="21" t="str">
        <x:v>Congelado y reevaluación gobernada</x:v>
      </x:c>
      <x:c r="C87" s="21" t="str">
        <x:v>fuente</x:v>
      </x:c>
      <x:c r="D87" s="21" t="str">
        <x:v>Instrucción §5.4–5.5/8/9; mandato humano</x:v>
      </x:c>
    </x:row>
    <x:row r="88" ht="43" customHeight="1">
      <x:c r="A88" s="21" t="str">
        <x:v>C14</x:v>
      </x:c>
      <x:c r="B88" s="21" t="str">
        <x:v>Congelado y reevaluación gobernada</x:v>
      </x:c>
      <x:c r="C88" s="21" t="str">
        <x:v>responsable</x:v>
      </x:c>
      <x:c r="D88" s="21" t="str">
        <x:v>Dirección adopta conocimiento; experto/custodio reciben hechos</x:v>
      </x:c>
    </x:row>
  </x:sheetData>
  <x:mergeCells>
    <x:mergeCell ref="A1:D1"/>
    <x:mergeCell ref="A2:D2"/>
  </x:mergeCells>
  <x:pageMargins left="0.7" right="0.7" top="0.75" bottom="0.75" header="0.3" footer="0.3"/>
  <x:tableParts count="1">
    <x:tablePart xmlns:r="http://schemas.openxmlformats.org/officeDocument/2006/relationships" r:id="R6dfe7a5f2af54af0"/>
  </x:tableParts>
</x:worksheet>
</file>

<file path=xl/worksheets/sheet6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44" hidden="0" customWidth="1"/>
    <x:col min="3" max="3" width="51" hidden="0" customWidth="1"/>
    <x:col min="4" max="4" width="109" hidden="0" customWidth="1"/>
    <x:col min="5" max="5" width="107" hidden="0" customWidth="1"/>
    <x:col min="6" max="6" width="29" hidden="0" customWidth="1"/>
  </x:cols>
  <x:sheetData>
    <x:row r="1" ht="34" customHeight="1">
      <x:c r="A1" s="23" t="str">
        <x:v>RELACIONES PROFESIONALES · qué exige qué</x:v>
      </x:c>
      <x:c r="B1" s="23"/>
      <x:c r="C1" s="23"/>
      <x:c r="D1" s="23"/>
      <x:c r="E1" s="23"/>
      <x:c r="F1" s="23"/>
    </x:row>
    <x:row r="2" ht="57" customHeight="1">
      <x:c r="A2" s="24" t="str">
        <x:v>Mapa de dependencia del consejo; no constituye rutas SV, criticidades computadas ni Frame.</x:v>
      </x:c>
      <x:c r="B2" s="24"/>
      <x:c r="C2" s="24"/>
      <x:c r="D2" s="24"/>
      <x:c r="E2" s="24"/>
      <x:c r="F2" s="24"/>
    </x:row>
    <x:row r="3">
      <x:c r="A3" s="21"/>
      <x:c r="B3" s="21"/>
      <x:c r="C3" s="21"/>
      <x:c r="D3" s="21"/>
      <x:c r="E3" s="21"/>
      <x:c r="F3" s="21"/>
    </x:row>
    <x:row r="4" ht="48" customHeight="1">
      <x:c r="A4" s="26" t="str">
        <x:v>Relación</x:v>
      </x:c>
      <x:c r="B4" s="26" t="str">
        <x:v>Antecedente</x:v>
      </x:c>
      <x:c r="C4" s="26" t="str">
        <x:v>Consecuente</x:v>
      </x:c>
      <x:c r="D4" s="26" t="str">
        <x:v>Relación / condición</x:v>
      </x:c>
      <x:c r="E4" s="26" t="str">
        <x:v>Consecuencia de omisión</x:v>
      </x:c>
      <x:c r="F4" s="26" t="str">
        <x:v>Q0</x:v>
      </x:c>
    </x:row>
    <x:row r="5" ht="43" customHeight="1">
      <x:c r="A5" s="21" t="str">
        <x:v>R01</x:v>
      </x:c>
      <x:c r="B5" s="21" t="str">
        <x:v>C01,C02,C03</x:v>
      </x:c>
      <x:c r="C5" s="21" t="str">
        <x:v>P01–P15</x:v>
      </x:c>
      <x:c r="D5" s="21" t="str">
        <x:v>Admitir sujeto, episodio, regla y observación antes de transducir</x:v>
      </x:c>
      <x:c r="E5" s="21" t="str">
        <x:v>No usar Tri de un objeto ajeno o de una captura fallida</x:v>
      </x:c>
      <x:c r="F5" s="21" t="str">
        <x:v>QCY-01/02/03</x:v>
      </x:c>
    </x:row>
    <x:row r="6" ht="43" customHeight="1">
      <x:c r="A6" s="21" t="str">
        <x:v>R02</x:v>
      </x:c>
      <x:c r="B6" s="21" t="str">
        <x:v>P01</x:v>
      </x:c>
      <x:c r="C6" s="21" t="str">
        <x:v>P03</x:v>
      </x:c>
      <x:c r="D6" s="21" t="str">
        <x:v>Si el requisito histórico es 1, exigir reinicio íntegro posterior</x:v>
      </x:c>
      <x:c r="E6" s="21" t="str">
        <x:v>Éxito comunicado no prueba completitud del sistema</x:v>
      </x:c>
      <x:c r="F6" s="21" t="str">
        <x:v>QCY-04-D1/D2</x:v>
      </x:c>
    </x:row>
    <x:row r="7" ht="43" customHeight="1">
      <x:c r="A7" s="21" t="str">
        <x:v>R03</x:v>
      </x:c>
      <x:c r="B7" s="21" t="str">
        <x:v>P04</x:v>
      </x:c>
      <x:c r="C7" s="21" t="str">
        <x:v>P05,P11</x:v>
      </x:c>
      <x:c r="D7" s="21" t="str">
        <x:v>Si el software exige reinicio, separar término de generación previa y creación posterior</x:v>
      </x:c>
      <x:c r="E7" s="21" t="str">
        <x:v>No equiparar detención con sustitución</x:v>
      </x:c>
      <x:c r="F7" s="21" t="str">
        <x:v>QCY-04-D3/D4</x:v>
      </x:c>
    </x:row>
    <x:row r="8" ht="43" customHeight="1">
      <x:c r="A8" s="21" t="str">
        <x:v>R04</x:v>
      </x:c>
      <x:c r="B8" s="21" t="str">
        <x:v>P11</x:v>
      </x:c>
      <x:c r="C8" s="21" t="str">
        <x:v>P06,P07</x:v>
      </x:c>
      <x:c r="D8" s="21" t="str">
        <x:v>Creación posterior no prueba imagen correcta ni servicio útil</x:v>
      </x:c>
      <x:c r="E8" s="21" t="str">
        <x:v>DLL ausente puede terminar inicialización tras CreateProcess exitoso</x:v>
      </x:c>
      <x:c r="F8" s="21" t="str">
        <x:v>QCY-04/05</x:v>
      </x:c>
    </x:row>
    <x:row r="9" ht="43" customHeight="1">
      <x:c r="A9" s="21" t="str">
        <x:v>R05</x:v>
      </x:c>
      <x:c r="B9" s="21" t="str">
        <x:v>P05,C05</x:v>
      </x:c>
      <x:c r="C9" s="21" t="str">
        <x:v>P05 por cada hijo/consumidor pertinente</x:v>
      </x:c>
      <x:c r="D9" s="21" t="str">
        <x:v>Un padre terminado no termina automáticamente hijos ni todos los usos de objetos compartidos</x:v>
      </x:c>
      <x:c r="E9" s="21" t="str">
        <x:v>No presumir liberación total a partir de una instancia</x:v>
      </x:c>
      <x:c r="F9" s="21" t="str">
        <x:v>QCY-04/06/09</x:v>
      </x:c>
    </x:row>
    <x:row r="10" ht="43" customHeight="1">
      <x:c r="A10" s="21" t="str">
        <x:v>R06</x:v>
      </x:c>
      <x:c r="B10" s="21" t="str">
        <x:v>P06,P13</x:v>
      </x:c>
      <x:c r="C10" s="21" t="str">
        <x:v>C06</x:v>
      </x:c>
      <x:c r="D10" s="21" t="str">
        <x:v>Comparar imagen activa y artefacto persistente sin equipararlos</x:v>
      </x:c>
      <x:c r="E10" s="21" t="str">
        <x:v>Una corrección puede no estar cargada o no persistir para carga futura</x:v>
      </x:c>
      <x:c r="F10" s="21" t="str">
        <x:v>QCY-05-D2</x:v>
      </x:c>
    </x:row>
    <x:row r="11" ht="43" customHeight="1">
      <x:c r="A11" s="21" t="str">
        <x:v>R07</x:v>
      </x:c>
      <x:c r="B11" s="21" t="str">
        <x:v>P12</x:v>
      </x:c>
      <x:c r="C11" s="21" t="str">
        <x:v>P07</x:v>
      </x:c>
      <x:c r="D11" s="21" t="str">
        <x:v>Valor efectivo objetivo distinto de fichero escrito y distinto de prueba funcional</x:v>
      </x:c>
      <x:c r="E11" s="21" t="str">
        <x:v>No atribuir efecto corrector sólo por haber guardado configuración</x:v>
      </x:c>
      <x:c r="F11" s="21" t="str">
        <x:v>QCY-05</x:v>
      </x:c>
    </x:row>
    <x:row r="12" ht="43" customHeight="1">
      <x:c r="A12" s="21" t="str">
        <x:v>R08</x:v>
      </x:c>
      <x:c r="B12" s="21" t="str">
        <x:v>P15,C04</x:v>
      </x:c>
      <x:c r="C12" s="21" t="str">
        <x:v>P07 y estados pertinentes</x:v>
      </x:c>
      <x:c r="D12" s="21" t="str">
        <x:v>Cada obligación unitaria tiene prueba y criterio terminal propio</x:v>
      </x:c>
      <x:c r="E12" s="21" t="str">
        <x:v>Una tarea agregada no acredita todos sus efectos</x:v>
      </x:c>
      <x:c r="F12" s="21" t="str">
        <x:v>QCY-04-D3/D4</x:v>
      </x:c>
    </x:row>
    <x:row r="13" ht="43" customHeight="1">
      <x:c r="A13" s="21" t="str">
        <x:v>R09</x:v>
      </x:c>
      <x:c r="B13" s="21" t="str">
        <x:v>P08,P09,P10,P14</x:v>
      </x:c>
      <x:c r="C13" s="21" t="str">
        <x:v>C07</x:v>
      </x:c>
      <x:c r="D13" s="21" t="str">
        <x:v>Revisar vigencia de evidencia que dependa del objeto cambiado</x:v>
      </x:c>
      <x:c r="E13" s="21" t="str">
        <x:v>Cambio y retorno no borran historia ni renuevan la comprobación</x:v>
      </x:c>
      <x:c r="F13" s="21" t="str">
        <x:v>QCY-08</x:v>
      </x:c>
    </x:row>
    <x:row r="14" ht="43" customHeight="1">
      <x:c r="A14" s="21" t="str">
        <x:v>R10</x:v>
      </x:c>
      <x:c r="B14" s="21" t="str">
        <x:v>C05</x:v>
      </x:c>
      <x:c r="C14" s="21" t="str">
        <x:v>C06,C13</x:v>
      </x:c>
      <x:c r="D14" s="21" t="str">
        <x:v>Cubrir todas las instancias declaradas y fronteras antes del consejo de cierre</x:v>
      </x:c>
      <x:c r="E14" s="21" t="str">
        <x:v>Una instancia positiva no representa el conjunto</x:v>
      </x:c>
      <x:c r="F14" s="21" t="str">
        <x:v>QCY-09-D1</x:v>
      </x:c>
    </x:row>
    <x:row r="15" ht="43" customHeight="1">
      <x:c r="A15" s="21" t="str">
        <x:v>R11</x:v>
      </x:c>
      <x:c r="B15" s="21" t="str">
        <x:v>C06</x:v>
      </x:c>
      <x:c r="C15" s="21" t="str">
        <x:v>P07</x:v>
      </x:c>
      <x:c r="D15" s="21" t="str">
        <x:v>Criterio previo con sensibilidad y acceso adecuados</x:v>
      </x:c>
      <x:c r="E15" s="21" t="str">
        <x:v>Sin hallazgos puede ser ceguera del observador</x:v>
      </x:c>
      <x:c r="F15" s="21" t="str">
        <x:v>QCY-05-D1/D3</x:v>
      </x:c>
    </x:row>
    <x:row r="16" ht="44" customHeight="1">
      <x:c r="A16" s="21" t="str">
        <x:v>R12</x:v>
      </x:c>
      <x:c r="B16" s="21" t="str">
        <x:v>C08,C09</x:v>
      </x:c>
      <x:c r="C16" s="21" t="str">
        <x:v>C10,C11,C12</x:v>
      </x:c>
      <x:c r="D16" s="21" t="str">
        <x:v>Si se aconseja acción pendiente, valorar impactos, alternativas, ventana, permiso y proporcionalidad</x:v>
      </x:c>
      <x:c r="E16" s="21" t="str">
        <x:v>No se ordena reinicio sólo porque una obligación esté pendiente</x:v>
      </x:c>
      <x:c r="F16" s="21" t="str">
        <x:v>QCY-06/07</x:v>
      </x:c>
    </x:row>
    <x:row r="17" ht="43" customHeight="1">
      <x:c r="A17" s="21" t="str">
        <x:v>R13</x:v>
      </x:c>
      <x:c r="B17" s="21" t="str">
        <x:v>C10</x:v>
      </x:c>
      <x:c r="C17" s="21" t="str">
        <x:v>C11</x:v>
      </x:c>
      <x:c r="D17" s="21" t="str">
        <x:v>Cabida temporal y autorización son condiciones distintas</x:v>
      </x:c>
      <x:c r="E17" s="21" t="str">
        <x:v>Una ventana abierta no da permiso</x:v>
      </x:c>
      <x:c r="F17" s="21" t="str">
        <x:v>QCY-07-D2/D3</x:v>
      </x:c>
    </x:row>
    <x:row r="18" ht="43" customHeight="1">
      <x:c r="A18" s="21" t="str">
        <x:v>R14</x:v>
      </x:c>
      <x:c r="B18" s="21" t="str">
        <x:v>C12</x:v>
      </x:c>
      <x:c r="C18" s="21" t="str">
        <x:v>C09,C13</x:v>
      </x:c>
      <x:c r="D18" s="21" t="str">
        <x:v>Exceso probado descarta proporcionalidad de esa alternativa; incertidumbre conserva juicio abierto</x:v>
      </x:c>
      <x:c r="E18" s="21" t="str">
        <x:v>Coste del activo no agota valor del servicio; mitigación no es corrección</x:v>
      </x:c>
      <x:c r="F18" s="21" t="str">
        <x:v>QCY-07-D4</x:v>
      </x:c>
    </x:row>
    <x:row r="19" ht="43" customHeight="1">
      <x:c r="A19" s="21" t="str">
        <x:v>R15</x:v>
      </x:c>
      <x:c r="B19" s="21" t="str">
        <x:v>C01–C14 y parámetros aplicables</x:v>
      </x:c>
      <x:c r="C19" s="21" t="str">
        <x:v>C13</x:v>
      </x:c>
      <x:c r="D19" s="21" t="str">
        <x:v>Explicar datos, reglas, U, consecuencias y bloqueos del alcance</x:v>
      </x:c>
      <x:c r="E19" s="21" t="str">
        <x:v>No ocultar deuda bajo una conclusión global favorable</x:v>
      </x:c>
      <x:c r="F19" s="21" t="str">
        <x:v>QCY-09</x:v>
      </x:c>
    </x:row>
    <x:row r="20" ht="43" customHeight="1">
      <x:c r="A20" s="21" t="str">
        <x:v>R16</x:v>
      </x:c>
      <x:c r="B20" s="21" t="str">
        <x:v>C14</x:v>
      </x:c>
      <x:c r="C20" s="21" t="str">
        <x:v>Todos los contratos</x:v>
      </x:c>
      <x:c r="D20" s="21" t="str">
        <x:v>Nuevos hechos reevalúan; nuevo conocimiento requiere admisión humana previa</x:v>
      </x:c>
      <x:c r="E20" s="21" t="str">
        <x:v>Identidad completa y cortes congelados para repetición</x:v>
      </x:c>
      <x:c r="F20" s="21" t="str">
        <x:v>QCY-02/09</x:v>
      </x:c>
    </x:row>
  </x:sheetData>
  <x:mergeCells>
    <x:mergeCell ref="A1:D1"/>
    <x:mergeCell ref="A2:F2"/>
  </x:mergeCells>
  <x:pageMargins left="0.7" right="0.7" top="0.75" bottom="0.75" header="0.3" footer="0.3"/>
  <x:tableParts count="1">
    <x:tablePart xmlns:r="http://schemas.openxmlformats.org/officeDocument/2006/relationships" r:id="R55068d19708a4d23"/>
  </x:tableParts>
</x:worksheet>
</file>

<file path=xl/worksheets/sheet6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15" hidden="0" customWidth="1"/>
    <x:col min="3" max="3" width="69" hidden="0" customWidth="1"/>
    <x:col min="4" max="4" width="24" hidden="0" customWidth="1"/>
    <x:col min="5" max="5" width="25" hidden="0" customWidth="1"/>
    <x:col min="6" max="6" width="24" hidden="0" customWidth="1"/>
    <x:col min="7" max="7" width="26" hidden="0" customWidth="1"/>
    <x:col min="8" max="8" width="19" hidden="0" customWidth="1"/>
    <x:col min="9" max="9" width="22" hidden="0" customWidth="1"/>
    <x:col min="10" max="10" width="22" hidden="0" customWidth="1"/>
    <x:col min="11" max="11" width="70" hidden="0" customWidth="1"/>
    <x:col min="12" max="12" width="70" hidden="0" customWidth="1"/>
    <x:col min="13" max="13" width="30" hidden="0" customWidth="1"/>
    <x:col min="14" max="14" width="30" hidden="0" customWidth="1"/>
    <x:col min="15" max="15" width="25" hidden="0" customWidth="1"/>
    <x:col min="16" max="16" width="39" hidden="0" customWidth="1"/>
    <x:col min="17" max="17" width="39" hidden="0" customWidth="1"/>
    <x:col min="18" max="18" width="27" hidden="0" customWidth="1"/>
    <x:col min="19" max="19" width="115" hidden="0" customWidth="1"/>
  </x:cols>
  <x:sheetData>
    <x:row r="1" ht="34" customHeight="1">
      <x:c r="A1" s="23" t="str">
        <x:v>TESTIGOS · cinco candidatos</x:v>
      </x:c>
      <x:c r="B1" s="23"/>
      <x:c r="C1" s="23"/>
      <x:c r="D1" s="23"/>
      <x:c r="E1" s="23"/>
      <x:c r="F1" s="23"/>
      <x:c r="G1" s="23"/>
      <x:c r="H1" s="23"/>
      <x:c r="I1" s="23"/>
      <x:c r="J1" s="23"/>
      <x:c r="K1" s="23"/>
      <x:c r="L1" s="23"/>
      <x:c r="M1" s="23"/>
      <x:c r="N1" s="23"/>
      <x:c r="O1" s="23"/>
      <x:c r="P1" s="23"/>
      <x:c r="Q1" s="23"/>
      <x:c r="R1" s="23"/>
      <x:c r="S1" s="23"/>
    </x:row>
    <x:row r="2" ht="57" customHeight="1">
      <x:c r="A2" s="24" t="str">
        <x:v>Esperados previos, resultados del observador documental y control Excel de concordancia. Enteros y huellas exactos como texto.</x:v>
      </x:c>
      <x:c r="B2" s="24"/>
      <x:c r="C2" s="24"/>
      <x:c r="D2" s="24"/>
      <x:c r="E2" s="24"/>
      <x:c r="F2" s="24"/>
      <x:c r="G2" s="24"/>
      <x:c r="H2" s="24"/>
      <x:c r="I2" s="24"/>
      <x:c r="J2" s="24"/>
      <x:c r="K2" s="24"/>
      <x:c r="L2" s="24"/>
      <x:c r="M2" s="24"/>
      <x:c r="N2" s="24"/>
      <x:c r="O2" s="24"/>
      <x:c r="P2" s="24"/>
      <x:c r="Q2" s="24"/>
      <x:c r="R2" s="24"/>
      <x:c r="S2" s="24"/>
    </x:row>
    <x:row r="3">
      <x:c r="A3" s="21"/>
      <x:c r="B3" s="21"/>
      <x:c r="C3" s="21"/>
      <x:c r="D3" s="21"/>
      <x:c r="E3" s="21"/>
      <x:c r="F3" s="21"/>
      <x:c r="G3" s="21"/>
      <x:c r="H3" s="21"/>
      <x:c r="I3" s="21"/>
      <x:c r="J3" s="21"/>
      <x:c r="K3" s="21"/>
      <x:c r="L3" s="21"/>
      <x:c r="M3" s="21"/>
      <x:c r="N3" s="21"/>
      <x:c r="O3" s="21"/>
      <x:c r="P3" s="21"/>
      <x:c r="Q3" s="21"/>
      <x:c r="R3" s="21"/>
      <x:c r="S3" s="21"/>
    </x:row>
    <x:row r="4" ht="48" customHeight="1">
      <x:c r="A4" s="26" t="str">
        <x:v>Caso</x:v>
      </x:c>
      <x:c r="B4" s="26" t="str">
        <x:v>Parámetro</x:v>
      </x:c>
      <x:c r="C4" s="26" t="str">
        <x:v>Ataque</x:v>
      </x:c>
      <x:c r="D4" s="26" t="str">
        <x:v>Recepción</x:v>
      </x:c>
      <x:c r="E4" s="26" t="str">
        <x:v>Perfil</x:v>
      </x:c>
      <x:c r="F4" s="26" t="str">
        <x:v>Pertinencia</x:v>
      </x:c>
      <x:c r="G4" s="26" t="str">
        <x:v>Observación</x:v>
      </x:c>
      <x:c r="H4" s="26" t="str">
        <x:v>Conflicto</x:v>
      </x:c>
      <x:c r="I4" s="26" t="str">
        <x:v>Tipo</x:v>
      </x:c>
      <x:c r="J4" s="26" t="str">
        <x:v>Tipo objetivo</x:v>
      </x:c>
      <x:c r="K4" s="26" t="str">
        <x:v>Valor</x:v>
      </x:c>
      <x:c r="L4" s="26" t="str">
        <x:v>Objetivo</x:v>
      </x:c>
      <x:c r="M4" s="26" t="str">
        <x:v>Ancla exacta</x:v>
      </x:c>
      <x:c r="N4" s="26" t="str">
        <x:v>Corte exacto</x:v>
      </x:c>
      <x:c r="O4" s="26" t="str">
        <x:v>Cobertura</x:v>
      </x:c>
      <x:c r="P4" s="26" t="str">
        <x:v>Esperado previo</x:v>
      </x:c>
      <x:c r="Q4" s="26" t="str">
        <x:v>Resultado ejecutado</x:v>
      </x:c>
      <x:c r="R4" s="26" t="str">
        <x:v>Concordancia Excel</x:v>
      </x:c>
      <x:c r="S4" s="26" t="str">
        <x:v>Entrada íntegra</x:v>
      </x:c>
    </x:row>
    <x:row r="5" ht="59" customHeight="1">
      <x:c r="A5" s="21" t="str">
        <x:v>TC-001</x:v>
      </x:c>
      <x:c r="B5" s="21" t="str">
        <x:v>P11</x:v>
      </x:c>
      <x:c r="C5" s="21" t="str">
        <x:v>Testigo positivo del predicado</x:v>
      </x:c>
      <x:c r="D5" s="21" t="str">
        <x:v>ADMITIDA</x:v>
      </x:c>
      <x:c r="E5" s="21" t="str">
        <x:v>FIJADO</x:v>
      </x:c>
      <x:c r="F5" s="21" t="str">
        <x:v>SI</x:v>
      </x:c>
      <x:c r="G5" s="21" t="str">
        <x:v>PRESENTE</x:v>
      </x:c>
      <x:c r="H5" s="21" t="str">
        <x:v>NO</x:v>
      </x:c>
      <x:c r="I5" s="21" t="str">
        <x:v>TEXTO</x:v>
      </x:c>
      <x:c r="J5" s="21" t="str">
        <x:v>TEXTO</x:v>
      </x:c>
      <x:c r="K5" s="21" t="str">
        <x:v>150</x:v>
      </x:c>
      <x:c r="L5" s="21" t="str">
        <x:v>objetivo</x:v>
      </x:c>
      <x:c r="M5" s="21" t="str">
        <x:v>100</x:v>
      </x:c>
      <x:c r="N5" s="21" t="str">
        <x:v>200</x:v>
      </x:c>
      <x:c r="O5" s="21" t="str">
        <x:v>COMPLETA</x:v>
      </x:c>
      <x:c r="P5" s="21" t="str">
        <x:v>1</x:v>
      </x:c>
      <x:c r="Q5" s="21" t="str">
        <x:v>1</x:v>
      </x:c>
      <x:c r="R5" s="27" t="str">
        <x:f>IF(EXACT("x"&amp;P5,"x"&amp;Q5),"PASA","DISCORDA")</x:f>
        <x:v>PASA</x:v>
      </x:c>
      <x:c r="S5" s="21" t="str">
        <x:v>{"ancla": "100", "cobertura": "COMPLETA", "conflicto": "NO", "corte": "200", "objetivo": "objetivo", "observacion": "PRESENTE", "parametro": "P11", "perfil": "FIJADO", "pertinencia": "SI", "recepcion": "ADMITIDA", "tipo": "TEXTO", "tipo_objetivo": "TEXTO", "valor": "150"}</x:v>
      </x:c>
    </x:row>
    <x:row r="6" ht="59" customHeight="1">
      <x:c r="A6" s="21" t="str">
        <x:v>TC-002</x:v>
      </x:c>
      <x:c r="B6" s="21" t="str">
        <x:v>P11</x:v>
      </x:c>
      <x:c r="C6" s="21" t="str">
        <x:v>Negación acreditada</x:v>
      </x:c>
      <x:c r="D6" s="21" t="str">
        <x:v>ADMITIDA</x:v>
      </x:c>
      <x:c r="E6" s="21" t="str">
        <x:v>FIJADO</x:v>
      </x:c>
      <x:c r="F6" s="21" t="str">
        <x:v>SI</x:v>
      </x:c>
      <x:c r="G6" s="21" t="str">
        <x:v>PRESENTE</x:v>
      </x:c>
      <x:c r="H6" s="21" t="str">
        <x:v>NO</x:v>
      </x:c>
      <x:c r="I6" s="21" t="str">
        <x:v>TEXTO</x:v>
      </x:c>
      <x:c r="J6" s="21" t="str">
        <x:v>TEXTO</x:v>
      </x:c>
      <x:c r="K6" s="21" t="str">
        <x:v>100</x:v>
      </x:c>
      <x:c r="L6" s="21" t="str">
        <x:v>objetivo</x:v>
      </x:c>
      <x:c r="M6" s="21" t="str">
        <x:v>100</x:v>
      </x:c>
      <x:c r="N6" s="21" t="str">
        <x:v>200</x:v>
      </x:c>
      <x:c r="O6" s="21" t="str">
        <x:v>COMPLETA</x:v>
      </x:c>
      <x:c r="P6" s="21" t="str">
        <x:v>0</x:v>
      </x:c>
      <x:c r="Q6" s="21" t="str">
        <x:v>0</x:v>
      </x:c>
      <x:c r="R6" s="27" t="str">
        <x:f>IF(EXACT("x"&amp;P6,"x"&amp;Q6),"PASA","DISCORDA")</x:f>
        <x:v>PASA</x:v>
      </x:c>
      <x:c r="S6" s="21" t="str">
        <x:v>{"ancla": "100", "cobertura": "COMPLETA", "conflicto": "NO", "corte": "200", "objetivo": "objetivo", "observacion": "PRESENTE", "parametro": "P11", "perfil": "FIJADO", "pertinencia": "SI", "recepcion": "ADMITIDA", "tipo": "TEXTO", "tipo_objetivo": "TEXTO", "valor": "100"}</x:v>
      </x:c>
    </x:row>
    <x:row r="7" ht="59" customHeight="1">
      <x:c r="A7" s="21" t="str">
        <x:v>TC-003</x:v>
      </x:c>
      <x:c r="B7" s="21" t="str">
        <x:v>P11</x:v>
      </x:c>
      <x:c r="C7" s="21" t="str">
        <x:v>Ausencia declarada no es cero</x:v>
      </x:c>
      <x:c r="D7" s="21" t="str">
        <x:v>ADMITIDA</x:v>
      </x:c>
      <x:c r="E7" s="21" t="str">
        <x:v>FIJADO</x:v>
      </x:c>
      <x:c r="F7" s="21" t="str">
        <x:v>SI</x:v>
      </x:c>
      <x:c r="G7" s="21" t="str">
        <x:v>AUSENTE</x:v>
      </x:c>
      <x:c r="H7" s="21" t="str">
        <x:v>NO</x:v>
      </x:c>
      <x:c r="I7" s="21" t="str">
        <x:v>TEXTO</x:v>
      </x:c>
      <x:c r="J7" s="21" t="str">
        <x:v>TEXTO</x:v>
      </x:c>
      <x:c r="K7" s="21" t="str">
        <x:v>150</x:v>
      </x:c>
      <x:c r="L7" s="21" t="str">
        <x:v>objetivo</x:v>
      </x:c>
      <x:c r="M7" s="21" t="str">
        <x:v>100</x:v>
      </x:c>
      <x:c r="N7" s="21" t="str">
        <x:v>200</x:v>
      </x:c>
      <x:c r="O7" s="21" t="str">
        <x:v>COMPLETA</x:v>
      </x:c>
      <x:c r="P7" s="21" t="str">
        <x:v>U</x:v>
      </x:c>
      <x:c r="Q7" s="21" t="str">
        <x:v>U</x:v>
      </x:c>
      <x:c r="R7" s="27" t="str">
        <x:f>IF(EXACT("x"&amp;P7,"x"&amp;Q7),"PASA","DISCORDA")</x:f>
        <x:v>PASA</x:v>
      </x:c>
      <x:c r="S7" s="21" t="str">
        <x:v>{"ancla": "100", "cobertura": "COMPLETA", "conflicto": "NO", "corte": "200", "objetivo": "objetivo", "observacion": "AUSENTE", "parametro": "P11", "perfil": "FIJADO", "pertinencia": "SI", "recepcion": "ADMITIDA", "tipo": "TEXTO", "tipo_objetivo": "TEXTO", "valor": "150"}</x:v>
      </x:c>
    </x:row>
    <x:row r="8" ht="59" customHeight="1">
      <x:c r="A8" s="21" t="str">
        <x:v>TC-004</x:v>
      </x:c>
      <x:c r="B8" s="21" t="str">
        <x:v>P11</x:v>
      </x:c>
      <x:c r="C8" s="21" t="str">
        <x:v>Conflicto admitido</x:v>
      </x:c>
      <x:c r="D8" s="21" t="str">
        <x:v>ADMITIDA</x:v>
      </x:c>
      <x:c r="E8" s="21" t="str">
        <x:v>FIJADO</x:v>
      </x:c>
      <x:c r="F8" s="21" t="str">
        <x:v>SI</x:v>
      </x:c>
      <x:c r="G8" s="21" t="str">
        <x:v>PRESENTE</x:v>
      </x:c>
      <x:c r="H8" s="21" t="str">
        <x:v>SI</x:v>
      </x:c>
      <x:c r="I8" s="21" t="str">
        <x:v>TEXTO</x:v>
      </x:c>
      <x:c r="J8" s="21" t="str">
        <x:v>TEXTO</x:v>
      </x:c>
      <x:c r="K8" s="21" t="str">
        <x:v>150</x:v>
      </x:c>
      <x:c r="L8" s="21" t="str">
        <x:v>objetivo</x:v>
      </x:c>
      <x:c r="M8" s="21" t="str">
        <x:v>100</x:v>
      </x:c>
      <x:c r="N8" s="21" t="str">
        <x:v>200</x:v>
      </x:c>
      <x:c r="O8" s="21" t="str">
        <x:v>COMPLETA</x:v>
      </x:c>
      <x:c r="P8" s="21" t="str">
        <x:v>U</x:v>
      </x:c>
      <x:c r="Q8" s="21" t="str">
        <x:v>U</x:v>
      </x:c>
      <x:c r="R8" s="27" t="str">
        <x:f>IF(EXACT("x"&amp;P8,"x"&amp;Q8),"PASA","DISCORDA")</x:f>
        <x:v>PASA</x:v>
      </x:c>
      <x:c r="S8" s="21" t="str">
        <x:v>{"ancla": "100", "cobertura": "COMPLETA", "conflicto": "SI", "corte": "200", "objetivo": "objetivo", "observacion": "PRESENTE", "parametro": "P11", "perfil": "FIJADO", "pertinencia": "SI", "recepcion": "ADMITIDA", "tipo": "TEXTO", "tipo_objetivo": "TEXTO", "valor": "150"}</x:v>
      </x:c>
    </x:row>
    <x:row r="9" ht="59" customHeight="1">
      <x:c r="A9" s="21" t="str">
        <x:v>TC-005</x:v>
      </x:c>
      <x:c r="B9" s="21" t="str">
        <x:v>P11</x:v>
      </x:c>
      <x:c r="C9" s="21" t="str">
        <x:v>Fallo de captura sin Tri</x:v>
      </x:c>
      <x:c r="D9" s="21" t="str">
        <x:v>FALLO</x:v>
      </x:c>
      <x:c r="E9" s="21" t="str">
        <x:v>FIJADO</x:v>
      </x:c>
      <x:c r="F9" s="21" t="str">
        <x:v>SI</x:v>
      </x:c>
      <x:c r="G9" s="21" t="str">
        <x:v>PRESENTE</x:v>
      </x:c>
      <x:c r="H9" s="21" t="str">
        <x:v>NO</x:v>
      </x:c>
      <x:c r="I9" s="21" t="str">
        <x:v>TEXTO</x:v>
      </x:c>
      <x:c r="J9" s="21" t="str">
        <x:v>TEXTO</x:v>
      </x:c>
      <x:c r="K9" s="21" t="str">
        <x:v>150</x:v>
      </x:c>
      <x:c r="L9" s="21" t="str">
        <x:v>objetivo</x:v>
      </x:c>
      <x:c r="M9" s="21" t="str">
        <x:v>100</x:v>
      </x:c>
      <x:c r="N9" s="21" t="str">
        <x:v>200</x:v>
      </x:c>
      <x:c r="O9" s="21" t="str">
        <x:v>COMPLETA</x:v>
      </x:c>
      <x:c r="P9" s="21" t="str">
        <x:v>FALLO_TECNICO</x:v>
      </x:c>
      <x:c r="Q9" s="21" t="str">
        <x:v>FALLO_TECNICO</x:v>
      </x:c>
      <x:c r="R9" s="27" t="str">
        <x:f>IF(EXACT("x"&amp;P9,"x"&amp;Q9),"PASA","DISCORDA")</x:f>
        <x:v>PASA</x:v>
      </x:c>
      <x:c r="S9" s="21" t="str">
        <x:v>{"ancla": "100", "cobertura": "COMPLETA", "conflicto": "NO", "corte": "200", "objetivo": "objetivo", "observacion": "PRESENTE", "parametro": "P11", "perfil": "FIJADO", "pertinencia": "SI", "recepcion": "FALLO", "tipo": "TEXTO", "tipo_objetivo": "TEXTO", "valor": "150"}</x:v>
      </x:c>
    </x:row>
    <x:row r="10" ht="59" customHeight="1">
      <x:c r="A10" s="21" t="str">
        <x:v>TC-006</x:v>
      </x:c>
      <x:c r="B10" s="21" t="str">
        <x:v>P11</x:v>
      </x:c>
      <x:c r="C10" s="21" t="str">
        <x:v>Origen no admitido</x:v>
      </x:c>
      <x:c r="D10" s="21" t="str">
        <x:v>RECHAZADA</x:v>
      </x:c>
      <x:c r="E10" s="21" t="str">
        <x:v>FIJADO</x:v>
      </x:c>
      <x:c r="F10" s="21" t="str">
        <x:v>SI</x:v>
      </x:c>
      <x:c r="G10" s="21" t="str">
        <x:v>PRESENTE</x:v>
      </x:c>
      <x:c r="H10" s="21" t="str">
        <x:v>NO</x:v>
      </x:c>
      <x:c r="I10" s="21" t="str">
        <x:v>TEXTO</x:v>
      </x:c>
      <x:c r="J10" s="21" t="str">
        <x:v>TEXTO</x:v>
      </x:c>
      <x:c r="K10" s="21" t="str">
        <x:v>150</x:v>
      </x:c>
      <x:c r="L10" s="21" t="str">
        <x:v>objetivo</x:v>
      </x:c>
      <x:c r="M10" s="21" t="str">
        <x:v>100</x:v>
      </x:c>
      <x:c r="N10" s="21" t="str">
        <x:v>200</x:v>
      </x:c>
      <x:c r="O10" s="21" t="str">
        <x:v>COMPLETA</x:v>
      </x:c>
      <x:c r="P10" s="21" t="str">
        <x:v>NO_ADMITIDA</x:v>
      </x:c>
      <x:c r="Q10" s="21" t="str">
        <x:v>NO_ADMITIDA</x:v>
      </x:c>
      <x:c r="R10" s="27" t="str">
        <x:f>IF(EXACT("x"&amp;P10,"x"&amp;Q10),"PASA","DISCORDA")</x:f>
        <x:v>PASA</x:v>
      </x:c>
      <x:c r="S10" s="21" t="str">
        <x:v>{"ancla": "100", "cobertura": "COMPLETA", "conflicto": "NO", "corte": "200", "objetivo": "objetivo", "observacion": "PRESENTE", "parametro": "P11", "perfil": "FIJADO", "pertinencia": "SI", "recepcion": "RECHAZADA", "tipo": "TEXTO", "tipo_objetivo": "TEXTO", "valor": "150"}</x:v>
      </x:c>
    </x:row>
    <x:row r="11" ht="59" customHeight="1">
      <x:c r="A11" s="21" t="str">
        <x:v>TC-007</x:v>
      </x:c>
      <x:c r="B11" s="21" t="str">
        <x:v>P11</x:v>
      </x:c>
      <x:c r="C11" s="21" t="str">
        <x:v>Perfil sin regla</x:v>
      </x:c>
      <x:c r="D11" s="21" t="str">
        <x:v>ADMITIDA</x:v>
      </x:c>
      <x:c r="E11" s="21" t="str">
        <x:v>PENDIENTE</x:v>
      </x:c>
      <x:c r="F11" s="21" t="str">
        <x:v>SI</x:v>
      </x:c>
      <x:c r="G11" s="21" t="str">
        <x:v>PRESENTE</x:v>
      </x:c>
      <x:c r="H11" s="21" t="str">
        <x:v>NO</x:v>
      </x:c>
      <x:c r="I11" s="21" t="str">
        <x:v>TEXTO</x:v>
      </x:c>
      <x:c r="J11" s="21" t="str">
        <x:v>TEXTO</x:v>
      </x:c>
      <x:c r="K11" s="21" t="str">
        <x:v>150</x:v>
      </x:c>
      <x:c r="L11" s="21" t="str">
        <x:v>objetivo</x:v>
      </x:c>
      <x:c r="M11" s="21" t="str">
        <x:v>100</x:v>
      </x:c>
      <x:c r="N11" s="21" t="str">
        <x:v>200</x:v>
      </x:c>
      <x:c r="O11" s="21" t="str">
        <x:v>COMPLETA</x:v>
      </x:c>
      <x:c r="P11" s="21" t="str">
        <x:v>CONFIGURACION_PENDIENTE</x:v>
      </x:c>
      <x:c r="Q11" s="21" t="str">
        <x:v>CONFIGURACION_PENDIENTE</x:v>
      </x:c>
      <x:c r="R11" s="27" t="str">
        <x:f>IF(EXACT("x"&amp;P11,"x"&amp;Q11),"PASA","DISCORDA")</x:f>
        <x:v>PASA</x:v>
      </x:c>
      <x:c r="S11" s="21" t="str">
        <x:v>{"ancla": "100", "cobertura": "COMPLETA", "conflicto": "NO", "corte": "200", "objetivo": "objetivo", "observacion": "PRESENTE", "parametro": "P11", "perfil": "PENDIENTE", "pertinencia": "SI", "recepcion": "ADMITIDA", "tipo": "TEXTO", "tipo_objetivo": "TEXTO", "valor": "150"}</x:v>
      </x:c>
    </x:row>
    <x:row r="12" ht="59" customHeight="1">
      <x:c r="A12" s="21" t="str">
        <x:v>TC-008</x:v>
      </x:c>
      <x:c r="B12" s="21" t="str">
        <x:v>P11</x:v>
      </x:c>
      <x:c r="C12" s="21" t="str">
        <x:v>Sujeto fuera del perfil</x:v>
      </x:c>
      <x:c r="D12" s="21" t="str">
        <x:v>ADMITIDA</x:v>
      </x:c>
      <x:c r="E12" s="21" t="str">
        <x:v>FIJADO</x:v>
      </x:c>
      <x:c r="F12" s="21" t="str">
        <x:v>NO</x:v>
      </x:c>
      <x:c r="G12" s="21" t="str">
        <x:v>PRESENTE</x:v>
      </x:c>
      <x:c r="H12" s="21" t="str">
        <x:v>NO</x:v>
      </x:c>
      <x:c r="I12" s="21" t="str">
        <x:v>TEXTO</x:v>
      </x:c>
      <x:c r="J12" s="21" t="str">
        <x:v>TEXTO</x:v>
      </x:c>
      <x:c r="K12" s="21" t="str">
        <x:v>150</x:v>
      </x:c>
      <x:c r="L12" s="21" t="str">
        <x:v>objetivo</x:v>
      </x:c>
      <x:c r="M12" s="21" t="str">
        <x:v>100</x:v>
      </x:c>
      <x:c r="N12" s="21" t="str">
        <x:v>200</x:v>
      </x:c>
      <x:c r="O12" s="21" t="str">
        <x:v>COMPLETA</x:v>
      </x:c>
      <x:c r="P12" s="21" t="str">
        <x:v>FUERA_DE_PERFIL</x:v>
      </x:c>
      <x:c r="Q12" s="21" t="str">
        <x:v>FUERA_DE_PERFIL</x:v>
      </x:c>
      <x:c r="R12" s="27" t="str">
        <x:f>IF(EXACT("x"&amp;P12,"x"&amp;Q12),"PASA","DISCORDA")</x:f>
        <x:v>PASA</x:v>
      </x:c>
      <x:c r="S12" s="21" t="str">
        <x:v>{"ancla": "100", "cobertura": "COMPLETA", "conflicto": "NO", "corte": "200", "objetivo": "objetivo", "observacion": "PRESENTE", "parametro": "P11", "perfil": "FIJADO", "pertinencia": "NO", "recepcion": "ADMITIDA", "tipo": "TEXTO", "tipo_objetivo": "TEXTO", "valor": "150"}</x:v>
      </x:c>
    </x:row>
    <x:row r="13" ht="59" customHeight="1">
      <x:c r="A13" s="21" t="str">
        <x:v>TC-009</x:v>
      </x:c>
      <x:c r="B13" s="21" t="str">
        <x:v>P12</x:v>
      </x:c>
      <x:c r="C13" s="21" t="str">
        <x:v>Testigo positivo del predicado</x:v>
      </x:c>
      <x:c r="D13" s="21" t="str">
        <x:v>ADMITIDA</x:v>
      </x:c>
      <x:c r="E13" s="21" t="str">
        <x:v>FIJADO</x:v>
      </x:c>
      <x:c r="F13" s="21" t="str">
        <x:v>SI</x:v>
      </x:c>
      <x:c r="G13" s="21" t="str">
        <x:v>PRESENTE</x:v>
      </x:c>
      <x:c r="H13" s="21" t="str">
        <x:v>NO</x:v>
      </x:c>
      <x:c r="I13" s="21" t="str">
        <x:v>TEXTO</x:v>
      </x:c>
      <x:c r="J13" s="21" t="str">
        <x:v>TEXTO</x:v>
      </x:c>
      <x:c r="K13" s="21" t="str">
        <x:v>objetivo</x:v>
      </x:c>
      <x:c r="L13" s="21" t="str">
        <x:v>objetivo</x:v>
      </x:c>
      <x:c r="M13" s="21" t="str">
        <x:v>100</x:v>
      </x:c>
      <x:c r="N13" s="21" t="str">
        <x:v>200</x:v>
      </x:c>
      <x:c r="O13" s="21" t="str">
        <x:v>COMPLETA</x:v>
      </x:c>
      <x:c r="P13" s="21" t="str">
        <x:v>1</x:v>
      </x:c>
      <x:c r="Q13" s="21" t="str">
        <x:v>1</x:v>
      </x:c>
      <x:c r="R13" s="27" t="str">
        <x:f>IF(EXACT("x"&amp;P13,"x"&amp;Q13),"PASA","DISCORDA")</x:f>
        <x:v>PASA</x:v>
      </x:c>
      <x:c r="S13" s="21" t="str">
        <x:v>{"ancla": "100", "cobertura": "COMPLETA", "conflicto": "NO", "corte": "200", "objetivo": "objetivo", "observacion": "PRESENTE", "parametro": "P12", "perfil": "FIJADO", "pertinencia": "SI", "recepcion": "ADMITIDA", "tipo": "TEXTO", "tipo_objetivo": "TEXTO", "valor": "objetivo"}</x:v>
      </x:c>
    </x:row>
    <x:row r="14" ht="59" customHeight="1">
      <x:c r="A14" s="21" t="str">
        <x:v>TC-010</x:v>
      </x:c>
      <x:c r="B14" s="21" t="str">
        <x:v>P12</x:v>
      </x:c>
      <x:c r="C14" s="21" t="str">
        <x:v>Negación acreditada</x:v>
      </x:c>
      <x:c r="D14" s="21" t="str">
        <x:v>ADMITIDA</x:v>
      </x:c>
      <x:c r="E14" s="21" t="str">
        <x:v>FIJADO</x:v>
      </x:c>
      <x:c r="F14" s="21" t="str">
        <x:v>SI</x:v>
      </x:c>
      <x:c r="G14" s="21" t="str">
        <x:v>PRESENTE</x:v>
      </x:c>
      <x:c r="H14" s="21" t="str">
        <x:v>NO</x:v>
      </x:c>
      <x:c r="I14" s="21" t="str">
        <x:v>TEXTO</x:v>
      </x:c>
      <x:c r="J14" s="21" t="str">
        <x:v>TEXTO</x:v>
      </x:c>
      <x:c r="K14" s="21" t="str">
        <x:v>anterior</x:v>
      </x:c>
      <x:c r="L14" s="21" t="str">
        <x:v>objetivo</x:v>
      </x:c>
      <x:c r="M14" s="21" t="str">
        <x:v>100</x:v>
      </x:c>
      <x:c r="N14" s="21" t="str">
        <x:v>200</x:v>
      </x:c>
      <x:c r="O14" s="21" t="str">
        <x:v>COMPLETA</x:v>
      </x:c>
      <x:c r="P14" s="21" t="str">
        <x:v>0</x:v>
      </x:c>
      <x:c r="Q14" s="21" t="str">
        <x:v>0</x:v>
      </x:c>
      <x:c r="R14" s="27" t="str">
        <x:f>IF(EXACT("x"&amp;P14,"x"&amp;Q14),"PASA","DISCORDA")</x:f>
        <x:v>PASA</x:v>
      </x:c>
      <x:c r="S14" s="21" t="str">
        <x:v>{"ancla": "100", "cobertura": "COMPLETA", "conflicto": "NO", "corte": "200", "objetivo": "objetivo", "observacion": "PRESENTE", "parametro": "P12", "perfil": "FIJADO", "pertinencia": "SI", "recepcion": "ADMITIDA", "tipo": "TEXTO", "tipo_objetivo": "TEXTO", "valor": "anterior"}</x:v>
      </x:c>
    </x:row>
    <x:row r="15" ht="59" customHeight="1">
      <x:c r="A15" s="21" t="str">
        <x:v>TC-011</x:v>
      </x:c>
      <x:c r="B15" s="21" t="str">
        <x:v>P12</x:v>
      </x:c>
      <x:c r="C15" s="21" t="str">
        <x:v>Ausencia declarada no es cero</x:v>
      </x:c>
      <x:c r="D15" s="21" t="str">
        <x:v>ADMITIDA</x:v>
      </x:c>
      <x:c r="E15" s="21" t="str">
        <x:v>FIJADO</x:v>
      </x:c>
      <x:c r="F15" s="21" t="str">
        <x:v>SI</x:v>
      </x:c>
      <x:c r="G15" s="21" t="str">
        <x:v>AUSENTE</x:v>
      </x:c>
      <x:c r="H15" s="21" t="str">
        <x:v>NO</x:v>
      </x:c>
      <x:c r="I15" s="21" t="str">
        <x:v>TEXTO</x:v>
      </x:c>
      <x:c r="J15" s="21" t="str">
        <x:v>TEXTO</x:v>
      </x:c>
      <x:c r="K15" s="21" t="str">
        <x:v>objetivo</x:v>
      </x:c>
      <x:c r="L15" s="21" t="str">
        <x:v>objetivo</x:v>
      </x:c>
      <x:c r="M15" s="21" t="str">
        <x:v>100</x:v>
      </x:c>
      <x:c r="N15" s="21" t="str">
        <x:v>200</x:v>
      </x:c>
      <x:c r="O15" s="21" t="str">
        <x:v>COMPLETA</x:v>
      </x:c>
      <x:c r="P15" s="21" t="str">
        <x:v>U</x:v>
      </x:c>
      <x:c r="Q15" s="21" t="str">
        <x:v>U</x:v>
      </x:c>
      <x:c r="R15" s="27" t="str">
        <x:f>IF(EXACT("x"&amp;P15,"x"&amp;Q15),"PASA","DISCORDA")</x:f>
        <x:v>PASA</x:v>
      </x:c>
      <x:c r="S15" s="21" t="str">
        <x:v>{"ancla": "100", "cobertura": "COMPLETA", "conflicto": "NO", "corte": "200", "objetivo": "objetivo", "observacion": "AUSENTE", "parametro": "P12", "perfil": "FIJADO", "pertinencia": "SI", "recepcion": "ADMITIDA", "tipo": "TEXTO", "tipo_objetivo": "TEXTO", "valor": "objetivo"}</x:v>
      </x:c>
    </x:row>
    <x:row r="16" ht="59" customHeight="1">
      <x:c r="A16" s="21" t="str">
        <x:v>TC-012</x:v>
      </x:c>
      <x:c r="B16" s="21" t="str">
        <x:v>P12</x:v>
      </x:c>
      <x:c r="C16" s="21" t="str">
        <x:v>Conflicto admitido</x:v>
      </x:c>
      <x:c r="D16" s="21" t="str">
        <x:v>ADMITIDA</x:v>
      </x:c>
      <x:c r="E16" s="21" t="str">
        <x:v>FIJADO</x:v>
      </x:c>
      <x:c r="F16" s="21" t="str">
        <x:v>SI</x:v>
      </x:c>
      <x:c r="G16" s="21" t="str">
        <x:v>PRESENTE</x:v>
      </x:c>
      <x:c r="H16" s="21" t="str">
        <x:v>SI</x:v>
      </x:c>
      <x:c r="I16" s="21" t="str">
        <x:v>TEXTO</x:v>
      </x:c>
      <x:c r="J16" s="21" t="str">
        <x:v>TEXTO</x:v>
      </x:c>
      <x:c r="K16" s="21" t="str">
        <x:v>objetivo</x:v>
      </x:c>
      <x:c r="L16" s="21" t="str">
        <x:v>objetivo</x:v>
      </x:c>
      <x:c r="M16" s="21" t="str">
        <x:v>100</x:v>
      </x:c>
      <x:c r="N16" s="21" t="str">
        <x:v>200</x:v>
      </x:c>
      <x:c r="O16" s="21" t="str">
        <x:v>COMPLETA</x:v>
      </x:c>
      <x:c r="P16" s="21" t="str">
        <x:v>U</x:v>
      </x:c>
      <x:c r="Q16" s="21" t="str">
        <x:v>U</x:v>
      </x:c>
      <x:c r="R16" s="27" t="str">
        <x:f>IF(EXACT("x"&amp;P16,"x"&amp;Q16),"PASA","DISCORDA")</x:f>
        <x:v>PASA</x:v>
      </x:c>
      <x:c r="S16" s="21" t="str">
        <x:v>{"ancla": "100", "cobertura": "COMPLETA", "conflicto": "SI", "corte": "200", "objetivo": "objetivo", "observacion": "PRESENTE", "parametro": "P12", "perfil": "FIJADO", "pertinencia": "SI", "recepcion": "ADMITIDA", "tipo": "TEXTO", "tipo_objetivo": "TEXTO", "valor": "objetivo"}</x:v>
      </x:c>
    </x:row>
    <x:row r="17" ht="59" customHeight="1">
      <x:c r="A17" s="21" t="str">
        <x:v>TC-013</x:v>
      </x:c>
      <x:c r="B17" s="21" t="str">
        <x:v>P12</x:v>
      </x:c>
      <x:c r="C17" s="21" t="str">
        <x:v>Fallo de captura sin Tri</x:v>
      </x:c>
      <x:c r="D17" s="21" t="str">
        <x:v>FALLO</x:v>
      </x:c>
      <x:c r="E17" s="21" t="str">
        <x:v>FIJADO</x:v>
      </x:c>
      <x:c r="F17" s="21" t="str">
        <x:v>SI</x:v>
      </x:c>
      <x:c r="G17" s="21" t="str">
        <x:v>PRESENTE</x:v>
      </x:c>
      <x:c r="H17" s="21" t="str">
        <x:v>NO</x:v>
      </x:c>
      <x:c r="I17" s="21" t="str">
        <x:v>TEXTO</x:v>
      </x:c>
      <x:c r="J17" s="21" t="str">
        <x:v>TEXTO</x:v>
      </x:c>
      <x:c r="K17" s="21" t="str">
        <x:v>objetivo</x:v>
      </x:c>
      <x:c r="L17" s="21" t="str">
        <x:v>objetivo</x:v>
      </x:c>
      <x:c r="M17" s="21" t="str">
        <x:v>100</x:v>
      </x:c>
      <x:c r="N17" s="21" t="str">
        <x:v>200</x:v>
      </x:c>
      <x:c r="O17" s="21" t="str">
        <x:v>COMPLETA</x:v>
      </x:c>
      <x:c r="P17" s="21" t="str">
        <x:v>FALLO_TECNICO</x:v>
      </x:c>
      <x:c r="Q17" s="21" t="str">
        <x:v>FALLO_TECNICO</x:v>
      </x:c>
      <x:c r="R17" s="27" t="str">
        <x:f>IF(EXACT("x"&amp;P17,"x"&amp;Q17),"PASA","DISCORDA")</x:f>
        <x:v>PASA</x:v>
      </x:c>
      <x:c r="S17" s="21" t="str">
        <x:v>{"ancla": "100", "cobertura": "COMPLETA", "conflicto": "NO", "corte": "200", "objetivo": "objetivo", "observacion": "PRESENTE", "parametro": "P12", "perfil": "FIJADO", "pertinencia": "SI", "recepcion": "FALLO", "tipo": "TEXTO", "tipo_objetivo": "TEXTO", "valor": "objetivo"}</x:v>
      </x:c>
    </x:row>
    <x:row r="18" ht="59" customHeight="1">
      <x:c r="A18" s="21" t="str">
        <x:v>TC-014</x:v>
      </x:c>
      <x:c r="B18" s="21" t="str">
        <x:v>P12</x:v>
      </x:c>
      <x:c r="C18" s="21" t="str">
        <x:v>Origen no admitido</x:v>
      </x:c>
      <x:c r="D18" s="21" t="str">
        <x:v>RECHAZADA</x:v>
      </x:c>
      <x:c r="E18" s="21" t="str">
        <x:v>FIJADO</x:v>
      </x:c>
      <x:c r="F18" s="21" t="str">
        <x:v>SI</x:v>
      </x:c>
      <x:c r="G18" s="21" t="str">
        <x:v>PRESENTE</x:v>
      </x:c>
      <x:c r="H18" s="21" t="str">
        <x:v>NO</x:v>
      </x:c>
      <x:c r="I18" s="21" t="str">
        <x:v>TEXTO</x:v>
      </x:c>
      <x:c r="J18" s="21" t="str">
        <x:v>TEXTO</x:v>
      </x:c>
      <x:c r="K18" s="21" t="str">
        <x:v>objetivo</x:v>
      </x:c>
      <x:c r="L18" s="21" t="str">
        <x:v>objetivo</x:v>
      </x:c>
      <x:c r="M18" s="21" t="str">
        <x:v>100</x:v>
      </x:c>
      <x:c r="N18" s="21" t="str">
        <x:v>200</x:v>
      </x:c>
      <x:c r="O18" s="21" t="str">
        <x:v>COMPLETA</x:v>
      </x:c>
      <x:c r="P18" s="21" t="str">
        <x:v>NO_ADMITIDA</x:v>
      </x:c>
      <x:c r="Q18" s="21" t="str">
        <x:v>NO_ADMITIDA</x:v>
      </x:c>
      <x:c r="R18" s="27" t="str">
        <x:f>IF(EXACT("x"&amp;P18,"x"&amp;Q18),"PASA","DISCORDA")</x:f>
        <x:v>PASA</x:v>
      </x:c>
      <x:c r="S18" s="21" t="str">
        <x:v>{"ancla": "100", "cobertura": "COMPLETA", "conflicto": "NO", "corte": "200", "objetivo": "objetivo", "observacion": "PRESENTE", "parametro": "P12", "perfil": "FIJADO", "pertinencia": "SI", "recepcion": "RECHAZADA", "tipo": "TEXTO", "tipo_objetivo": "TEXTO", "valor": "objetivo"}</x:v>
      </x:c>
    </x:row>
    <x:row r="19" ht="59" customHeight="1">
      <x:c r="A19" s="21" t="str">
        <x:v>TC-015</x:v>
      </x:c>
      <x:c r="B19" s="21" t="str">
        <x:v>P12</x:v>
      </x:c>
      <x:c r="C19" s="21" t="str">
        <x:v>Perfil sin regla</x:v>
      </x:c>
      <x:c r="D19" s="21" t="str">
        <x:v>ADMITIDA</x:v>
      </x:c>
      <x:c r="E19" s="21" t="str">
        <x:v>PENDIENTE</x:v>
      </x:c>
      <x:c r="F19" s="21" t="str">
        <x:v>SI</x:v>
      </x:c>
      <x:c r="G19" s="21" t="str">
        <x:v>PRESENTE</x:v>
      </x:c>
      <x:c r="H19" s="21" t="str">
        <x:v>NO</x:v>
      </x:c>
      <x:c r="I19" s="21" t="str">
        <x:v>TEXTO</x:v>
      </x:c>
      <x:c r="J19" s="21" t="str">
        <x:v>TEXTO</x:v>
      </x:c>
      <x:c r="K19" s="21" t="str">
        <x:v>objetivo</x:v>
      </x:c>
      <x:c r="L19" s="21" t="str">
        <x:v>objetivo</x:v>
      </x:c>
      <x:c r="M19" s="21" t="str">
        <x:v>100</x:v>
      </x:c>
      <x:c r="N19" s="21" t="str">
        <x:v>200</x:v>
      </x:c>
      <x:c r="O19" s="21" t="str">
        <x:v>COMPLETA</x:v>
      </x:c>
      <x:c r="P19" s="21" t="str">
        <x:v>CONFIGURACION_PENDIENTE</x:v>
      </x:c>
      <x:c r="Q19" s="21" t="str">
        <x:v>CONFIGURACION_PENDIENTE</x:v>
      </x:c>
      <x:c r="R19" s="27" t="str">
        <x:f>IF(EXACT("x"&amp;P19,"x"&amp;Q19),"PASA","DISCORDA")</x:f>
        <x:v>PASA</x:v>
      </x:c>
      <x:c r="S19" s="21" t="str">
        <x:v>{"ancla": "100", "cobertura": "COMPLETA", "conflicto": "NO", "corte": "200", "objetivo": "objetivo", "observacion": "PRESENTE", "parametro": "P12", "perfil": "PENDIENTE", "pertinencia": "SI", "recepcion": "ADMITIDA", "tipo": "TEXTO", "tipo_objetivo": "TEXTO", "valor": "objetivo"}</x:v>
      </x:c>
    </x:row>
    <x:row r="20" ht="59" customHeight="1">
      <x:c r="A20" s="21" t="str">
        <x:v>TC-016</x:v>
      </x:c>
      <x:c r="B20" s="21" t="str">
        <x:v>P12</x:v>
      </x:c>
      <x:c r="C20" s="21" t="str">
        <x:v>Sujeto fuera del perfil</x:v>
      </x:c>
      <x:c r="D20" s="21" t="str">
        <x:v>ADMITIDA</x:v>
      </x:c>
      <x:c r="E20" s="21" t="str">
        <x:v>FIJADO</x:v>
      </x:c>
      <x:c r="F20" s="21" t="str">
        <x:v>NO</x:v>
      </x:c>
      <x:c r="G20" s="21" t="str">
        <x:v>PRESENTE</x:v>
      </x:c>
      <x:c r="H20" s="21" t="str">
        <x:v>NO</x:v>
      </x:c>
      <x:c r="I20" s="21" t="str">
        <x:v>TEXTO</x:v>
      </x:c>
      <x:c r="J20" s="21" t="str">
        <x:v>TEXTO</x:v>
      </x:c>
      <x:c r="K20" s="21" t="str">
        <x:v>objetivo</x:v>
      </x:c>
      <x:c r="L20" s="21" t="str">
        <x:v>objetivo</x:v>
      </x:c>
      <x:c r="M20" s="21" t="str">
        <x:v>100</x:v>
      </x:c>
      <x:c r="N20" s="21" t="str">
        <x:v>200</x:v>
      </x:c>
      <x:c r="O20" s="21" t="str">
        <x:v>COMPLETA</x:v>
      </x:c>
      <x:c r="P20" s="21" t="str">
        <x:v>FUERA_DE_PERFIL</x:v>
      </x:c>
      <x:c r="Q20" s="21" t="str">
        <x:v>FUERA_DE_PERFIL</x:v>
      </x:c>
      <x:c r="R20" s="27" t="str">
        <x:f>IF(EXACT("x"&amp;P20,"x"&amp;Q20),"PASA","DISCORDA")</x:f>
        <x:v>PASA</x:v>
      </x:c>
      <x:c r="S20" s="21" t="str">
        <x:v>{"ancla": "100", "cobertura": "COMPLETA", "conflicto": "NO", "corte": "200", "objetivo": "objetivo", "observacion": "PRESENTE", "parametro": "P12", "perfil": "FIJADO", "pertinencia": "NO", "recepcion": "ADMITIDA", "tipo": "TEXTO", "tipo_objetivo": "TEXTO", "valor": "objetivo"}</x:v>
      </x:c>
    </x:row>
    <x:row r="21" ht="74" customHeight="1">
      <x:c r="A21" s="21" t="str">
        <x:v>TC-017</x:v>
      </x:c>
      <x:c r="B21" s="21" t="str">
        <x:v>P13</x:v>
      </x:c>
      <x:c r="C21" s="21" t="str">
        <x:v>Testigo positivo del predicado</x:v>
      </x:c>
      <x:c r="D21" s="21" t="str">
        <x:v>ADMITIDA</x:v>
      </x:c>
      <x:c r="E21" s="21" t="str">
        <x:v>FIJADO</x:v>
      </x:c>
      <x:c r="F21" s="21" t="str">
        <x:v>SI</x:v>
      </x:c>
      <x:c r="G21" s="21" t="str">
        <x:v>PRESENTE</x:v>
      </x:c>
      <x:c r="H21" s="21" t="str">
        <x:v>NO</x:v>
      </x:c>
      <x:c r="I21" s="21" t="str">
        <x:v>TEXTO</x:v>
      </x:c>
      <x:c r="J21" s="21" t="str">
        <x:v>TEXTO</x:v>
      </x:c>
      <x:c r="K21" s="21" t="str">
        <x:v>0000000000000000000000000000000000000000000000000000000000000001</x:v>
      </x:c>
      <x:c r="L21" s="21" t="str">
        <x:v>0000000000000000000000000000000000000000000000000000000000000001</x:v>
      </x:c>
      <x:c r="M21" s="21" t="str">
        <x:v>100</x:v>
      </x:c>
      <x:c r="N21" s="21" t="str">
        <x:v>200</x:v>
      </x:c>
      <x:c r="O21" s="21" t="str">
        <x:v>COMPLETA</x:v>
      </x:c>
      <x:c r="P21" s="21" t="str">
        <x:v>1</x:v>
      </x:c>
      <x:c r="Q21" s="21" t="str">
        <x:v>1</x:v>
      </x:c>
      <x:c r="R21" s="27" t="str">
        <x:f>IF(EXACT("x"&amp;P21,"x"&amp;Q21),"PASA","DISCORDA")</x:f>
        <x:v>PASA</x:v>
      </x:c>
      <x:c r="S21"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2" ht="74" customHeight="1">
      <x:c r="A22" s="21" t="str">
        <x:v>TC-018</x:v>
      </x:c>
      <x:c r="B22" s="21" t="str">
        <x:v>P13</x:v>
      </x:c>
      <x:c r="C22" s="21" t="str">
        <x:v>Negación acreditada</x:v>
      </x:c>
      <x:c r="D22" s="21" t="str">
        <x:v>ADMITIDA</x:v>
      </x:c>
      <x:c r="E22" s="21" t="str">
        <x:v>FIJADO</x:v>
      </x:c>
      <x:c r="F22" s="21" t="str">
        <x:v>SI</x:v>
      </x:c>
      <x:c r="G22" s="21" t="str">
        <x:v>PRESENTE</x:v>
      </x:c>
      <x:c r="H22" s="21" t="str">
        <x:v>NO</x:v>
      </x:c>
      <x:c r="I22" s="21" t="str">
        <x:v>TEXTO</x:v>
      </x:c>
      <x:c r="J22" s="21" t="str">
        <x:v>TEXTO</x:v>
      </x:c>
      <x:c r="K22" s="21" t="str">
        <x:v>0000000000000000000000000000000000000000000000000000000000000002</x:v>
      </x:c>
      <x:c r="L22" s="21" t="str">
        <x:v>0000000000000000000000000000000000000000000000000000000000000001</x:v>
      </x:c>
      <x:c r="M22" s="21" t="str">
        <x:v>100</x:v>
      </x:c>
      <x:c r="N22" s="21" t="str">
        <x:v>200</x:v>
      </x:c>
      <x:c r="O22" s="21" t="str">
        <x:v>COMPLETA</x:v>
      </x:c>
      <x:c r="P22" s="21" t="str">
        <x:v>0</x:v>
      </x:c>
      <x:c r="Q22" s="21" t="str">
        <x:v>0</x:v>
      </x:c>
      <x:c r="R22" s="27" t="str">
        <x:f>IF(EXACT("x"&amp;P22,"x"&amp;Q22),"PASA","DISCORDA")</x:f>
        <x:v>PASA</x:v>
      </x:c>
      <x:c r="S22"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"0000000000000000000000000000000000000000000000000000000000000002"}</x:v>
      </x:c>
    </x:row>
    <x:row r="23" ht="74" customHeight="1">
      <x:c r="A23" s="21" t="str">
        <x:v>TC-019</x:v>
      </x:c>
      <x:c r="B23" s="21" t="str">
        <x:v>P13</x:v>
      </x:c>
      <x:c r="C23" s="21" t="str">
        <x:v>Ausencia declarada no es cero</x:v>
      </x:c>
      <x:c r="D23" s="21" t="str">
        <x:v>ADMITIDA</x:v>
      </x:c>
      <x:c r="E23" s="21" t="str">
        <x:v>FIJADO</x:v>
      </x:c>
      <x:c r="F23" s="21" t="str">
        <x:v>SI</x:v>
      </x:c>
      <x:c r="G23" s="21" t="str">
        <x:v>AUSENTE</x:v>
      </x:c>
      <x:c r="H23" s="21" t="str">
        <x:v>NO</x:v>
      </x:c>
      <x:c r="I23" s="21" t="str">
        <x:v>TEXTO</x:v>
      </x:c>
      <x:c r="J23" s="21" t="str">
        <x:v>TEXTO</x:v>
      </x:c>
      <x:c r="K23" s="21" t="str">
        <x:v>0000000000000000000000000000000000000000000000000000000000000001</x:v>
      </x:c>
      <x:c r="L23" s="21" t="str">
        <x:v>0000000000000000000000000000000000000000000000000000000000000001</x:v>
      </x:c>
      <x:c r="M23" s="21" t="str">
        <x:v>100</x:v>
      </x:c>
      <x:c r="N23" s="21" t="str">
        <x:v>200</x:v>
      </x:c>
      <x:c r="O23" s="21" t="str">
        <x:v>COMPLETA</x:v>
      </x:c>
      <x:c r="P23" s="21" t="str">
        <x:v>U</x:v>
      </x:c>
      <x:c r="Q23" s="21" t="str">
        <x:v>U</x:v>
      </x:c>
      <x:c r="R23" s="27" t="str">
        <x:f>IF(EXACT("x"&amp;P23,"x"&amp;Q23),"PASA","DISCORDA")</x:f>
        <x:v>PASA</x:v>
      </x:c>
      <x:c r="S23" s="21" t="str">
        <x:v>{"ancla": "100", "cobertura": "COMPLETA", "conflicto": "NO", "corte": "200", "objetivo": "0000000000000000000000000000000000000000000000000000000000000001", "observacion": "AUSENTE", "parametro": "P13", "perfil": "FIJADO", "pertinencia": "SI", "recepcion": "ADMITIDA", "tipo": "TEXTO", "tipo_objetivo": "TEXTO", "valor": "0000000000000000000000000000000000000000000000000000000000000001"}</x:v>
      </x:c>
    </x:row>
    <x:row r="24" ht="74" customHeight="1">
      <x:c r="A24" s="21" t="str">
        <x:v>TC-020</x:v>
      </x:c>
      <x:c r="B24" s="21" t="str">
        <x:v>P13</x:v>
      </x:c>
      <x:c r="C24" s="21" t="str">
        <x:v>Conflicto admitido</x:v>
      </x:c>
      <x:c r="D24" s="21" t="str">
        <x:v>ADMITIDA</x:v>
      </x:c>
      <x:c r="E24" s="21" t="str">
        <x:v>FIJADO</x:v>
      </x:c>
      <x:c r="F24" s="21" t="str">
        <x:v>SI</x:v>
      </x:c>
      <x:c r="G24" s="21" t="str">
        <x:v>PRESENTE</x:v>
      </x:c>
      <x:c r="H24" s="21" t="str">
        <x:v>SI</x:v>
      </x:c>
      <x:c r="I24" s="21" t="str">
        <x:v>TEXTO</x:v>
      </x:c>
      <x:c r="J24" s="21" t="str">
        <x:v>TEXTO</x:v>
      </x:c>
      <x:c r="K24" s="21" t="str">
        <x:v>0000000000000000000000000000000000000000000000000000000000000001</x:v>
      </x:c>
      <x:c r="L24" s="21" t="str">
        <x:v>0000000000000000000000000000000000000000000000000000000000000001</x:v>
      </x:c>
      <x:c r="M24" s="21" t="str">
        <x:v>100</x:v>
      </x:c>
      <x:c r="N24" s="21" t="str">
        <x:v>200</x:v>
      </x:c>
      <x:c r="O24" s="21" t="str">
        <x:v>COMPLETA</x:v>
      </x:c>
      <x:c r="P24" s="21" t="str">
        <x:v>U</x:v>
      </x:c>
      <x:c r="Q24" s="21" t="str">
        <x:v>U</x:v>
      </x:c>
      <x:c r="R24" s="27" t="str">
        <x:f>IF(EXACT("x"&amp;P24,"x"&amp;Q24),"PASA","DISCORDA")</x:f>
        <x:v>PASA</x:v>
      </x:c>
      <x:c r="S24" s="21" t="str">
        <x:v>{"ancla": "100", "cobertura": "COMPLETA", "conflicto": "SI",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5" ht="74" customHeight="1">
      <x:c r="A25" s="21" t="str">
        <x:v>TC-021</x:v>
      </x:c>
      <x:c r="B25" s="21" t="str">
        <x:v>P13</x:v>
      </x:c>
      <x:c r="C25" s="21" t="str">
        <x:v>Fallo de captura sin Tri</x:v>
      </x:c>
      <x:c r="D25" s="21" t="str">
        <x:v>FALLO</x:v>
      </x:c>
      <x:c r="E25" s="21" t="str">
        <x:v>FIJADO</x:v>
      </x:c>
      <x:c r="F25" s="21" t="str">
        <x:v>SI</x:v>
      </x:c>
      <x:c r="G25" s="21" t="str">
        <x:v>PRESENTE</x:v>
      </x:c>
      <x:c r="H25" s="21" t="str">
        <x:v>NO</x:v>
      </x:c>
      <x:c r="I25" s="21" t="str">
        <x:v>TEXTO</x:v>
      </x:c>
      <x:c r="J25" s="21" t="str">
        <x:v>TEXTO</x:v>
      </x:c>
      <x:c r="K25" s="21" t="str">
        <x:v>0000000000000000000000000000000000000000000000000000000000000001</x:v>
      </x:c>
      <x:c r="L25" s="21" t="str">
        <x:v>0000000000000000000000000000000000000000000000000000000000000001</x:v>
      </x:c>
      <x:c r="M25" s="21" t="str">
        <x:v>100</x:v>
      </x:c>
      <x:c r="N25" s="21" t="str">
        <x:v>200</x:v>
      </x:c>
      <x:c r="O25" s="21" t="str">
        <x:v>COMPLETA</x:v>
      </x:c>
      <x:c r="P25" s="21" t="str">
        <x:v>FALLO_TECNICO</x:v>
      </x:c>
      <x:c r="Q25" s="21" t="str">
        <x:v>FALLO_TECNICO</x:v>
      </x:c>
      <x:c r="R25" s="27" t="str">
        <x:f>IF(EXACT("x"&amp;P25,"x"&amp;Q25),"PASA","DISCORDA")</x:f>
        <x:v>PASA</x:v>
      </x:c>
      <x:c r="S25" s="21" t="str">
        <x:v>{"ancla": "100", "cobertura": "COMPLETA", "conflicto": "NO", "corte": "200", "objetivo": "0000000000000000000000000000000000000000000000000000000000000001", "observacion": "PRESENTE", "parametro": "P13", "perfil": "FIJADO", "pertinencia": "SI", "recepcion": "FALLO", "tipo": "TEXTO", "tipo_objetivo": "TEXTO", "valor": "0000000000000000000000000000000000000000000000000000000000000001"}</x:v>
      </x:c>
    </x:row>
    <x:row r="26" ht="74" customHeight="1">
      <x:c r="A26" s="21" t="str">
        <x:v>TC-022</x:v>
      </x:c>
      <x:c r="B26" s="21" t="str">
        <x:v>P13</x:v>
      </x:c>
      <x:c r="C26" s="21" t="str">
        <x:v>Origen no admitido</x:v>
      </x:c>
      <x:c r="D26" s="21" t="str">
        <x:v>RECHAZADA</x:v>
      </x:c>
      <x:c r="E26" s="21" t="str">
        <x:v>FIJADO</x:v>
      </x:c>
      <x:c r="F26" s="21" t="str">
        <x:v>SI</x:v>
      </x:c>
      <x:c r="G26" s="21" t="str">
        <x:v>PRESENTE</x:v>
      </x:c>
      <x:c r="H26" s="21" t="str">
        <x:v>NO</x:v>
      </x:c>
      <x:c r="I26" s="21" t="str">
        <x:v>TEXTO</x:v>
      </x:c>
      <x:c r="J26" s="21" t="str">
        <x:v>TEXTO</x:v>
      </x:c>
      <x:c r="K26" s="21" t="str">
        <x:v>0000000000000000000000000000000000000000000000000000000000000001</x:v>
      </x:c>
      <x:c r="L26" s="21" t="str">
        <x:v>0000000000000000000000000000000000000000000000000000000000000001</x:v>
      </x:c>
      <x:c r="M26" s="21" t="str">
        <x:v>100</x:v>
      </x:c>
      <x:c r="N26" s="21" t="str">
        <x:v>200</x:v>
      </x:c>
      <x:c r="O26" s="21" t="str">
        <x:v>COMPLETA</x:v>
      </x:c>
      <x:c r="P26" s="21" t="str">
        <x:v>NO_ADMITIDA</x:v>
      </x:c>
      <x:c r="Q26" s="21" t="str">
        <x:v>NO_ADMITIDA</x:v>
      </x:c>
      <x:c r="R26" s="27" t="str">
        <x:f>IF(EXACT("x"&amp;P26,"x"&amp;Q26),"PASA","DISCORDA")</x:f>
        <x:v>PASA</x:v>
      </x:c>
      <x:c r="S26" s="21" t="str">
        <x:v>{"ancla": "100", "cobertura": "COMPLETA", "conflicto": "NO", "corte": "200", "objetivo": "0000000000000000000000000000000000000000000000000000000000000001", "observacion": "PRESENTE", "parametro": "P13", "perfil": "FIJADO", "pertinencia": "SI", "recepcion": "RECHAZADA", "tipo": "TEXTO", "tipo_objetivo": "TEXTO", "valor": "0000000000000000000000000000000000000000000000000000000000000001"}</x:v>
      </x:c>
    </x:row>
    <x:row r="27" ht="74" customHeight="1">
      <x:c r="A27" s="21" t="str">
        <x:v>TC-023</x:v>
      </x:c>
      <x:c r="B27" s="21" t="str">
        <x:v>P13</x:v>
      </x:c>
      <x:c r="C27" s="21" t="str">
        <x:v>Perfil sin regla</x:v>
      </x:c>
      <x:c r="D27" s="21" t="str">
        <x:v>ADMITIDA</x:v>
      </x:c>
      <x:c r="E27" s="21" t="str">
        <x:v>PENDIENTE</x:v>
      </x:c>
      <x:c r="F27" s="21" t="str">
        <x:v>SI</x:v>
      </x:c>
      <x:c r="G27" s="21" t="str">
        <x:v>PRESENTE</x:v>
      </x:c>
      <x:c r="H27" s="21" t="str">
        <x:v>NO</x:v>
      </x:c>
      <x:c r="I27" s="21" t="str">
        <x:v>TEXTO</x:v>
      </x:c>
      <x:c r="J27" s="21" t="str">
        <x:v>TEXTO</x:v>
      </x:c>
      <x:c r="K27" s="21" t="str">
        <x:v>0000000000000000000000000000000000000000000000000000000000000001</x:v>
      </x:c>
      <x:c r="L27" s="21" t="str">
        <x:v>0000000000000000000000000000000000000000000000000000000000000001</x:v>
      </x:c>
      <x:c r="M27" s="21" t="str">
        <x:v>100</x:v>
      </x:c>
      <x:c r="N27" s="21" t="str">
        <x:v>200</x:v>
      </x:c>
      <x:c r="O27" s="21" t="str">
        <x:v>COMPLETA</x:v>
      </x:c>
      <x:c r="P27" s="21" t="str">
        <x:v>CONFIGURACION_PENDIENTE</x:v>
      </x:c>
      <x:c r="Q27" s="21" t="str">
        <x:v>CONFIGURACION_PENDIENTE</x:v>
      </x:c>
      <x:c r="R27" s="27" t="str">
        <x:f>IF(EXACT("x"&amp;P27,"x"&amp;Q27),"PASA","DISCORDA")</x:f>
        <x:v>PASA</x:v>
      </x:c>
      <x:c r="S27" s="21" t="str">
        <x:v>{"ancla": "100", "cobertura": "COMPLETA", "conflicto": "NO", "corte": "200", "objetivo": "0000000000000000000000000000000000000000000000000000000000000001", "observacion": "PRESENTE", "parametro": "P13", "perfil": "PENDIENTE", "pertinencia": "SI", "recepcion": "ADMITIDA", "tipo": "TEXTO", "tipo_objetivo": "TEXTO", "valor": "0000000000000000000000000000000000000000000000000000000000000001"}</x:v>
      </x:c>
    </x:row>
    <x:row r="28" ht="74" customHeight="1">
      <x:c r="A28" s="21" t="str">
        <x:v>TC-024</x:v>
      </x:c>
      <x:c r="B28" s="21" t="str">
        <x:v>P13</x:v>
      </x:c>
      <x:c r="C28" s="21" t="str">
        <x:v>Sujeto fuera del perfil</x:v>
      </x:c>
      <x:c r="D28" s="21" t="str">
        <x:v>ADMITIDA</x:v>
      </x:c>
      <x:c r="E28" s="21" t="str">
        <x:v>FIJADO</x:v>
      </x:c>
      <x:c r="F28" s="21" t="str">
        <x:v>NO</x:v>
      </x:c>
      <x:c r="G28" s="21" t="str">
        <x:v>PRESENTE</x:v>
      </x:c>
      <x:c r="H28" s="21" t="str">
        <x:v>NO</x:v>
      </x:c>
      <x:c r="I28" s="21" t="str">
        <x:v>TEXTO</x:v>
      </x:c>
      <x:c r="J28" s="21" t="str">
        <x:v>TEXTO</x:v>
      </x:c>
      <x:c r="K28" s="21" t="str">
        <x:v>0000000000000000000000000000000000000000000000000000000000000001</x:v>
      </x:c>
      <x:c r="L28" s="21" t="str">
        <x:v>0000000000000000000000000000000000000000000000000000000000000001</x:v>
      </x:c>
      <x:c r="M28" s="21" t="str">
        <x:v>100</x:v>
      </x:c>
      <x:c r="N28" s="21" t="str">
        <x:v>200</x:v>
      </x:c>
      <x:c r="O28" s="21" t="str">
        <x:v>COMPLETA</x:v>
      </x:c>
      <x:c r="P28" s="21" t="str">
        <x:v>FUERA_DE_PERFIL</x:v>
      </x:c>
      <x:c r="Q28" s="21" t="str">
        <x:v>FUERA_DE_PERFIL</x:v>
      </x:c>
      <x:c r="R28" s="27" t="str">
        <x:f>IF(EXACT("x"&amp;P28,"x"&amp;Q28),"PASA","DISCORDA")</x:f>
        <x:v>PASA</x:v>
      </x:c>
      <x:c r="S28" s="21" t="str">
        <x:v>{"ancla": "100", "cobertura": "COMPLETA", "conflicto": "NO", "corte": "200", "objetivo": "0000000000000000000000000000000000000000000000000000000000000001", "observacion": "PRESENTE", "parametro": "P13", "perfil": "FIJADO", "pertinencia": "NO", "recepcion": "ADMITIDA", "tipo": "TEXTO", "tipo_objetivo": "TEXTO", "valor": "0000000000000000000000000000000000000000000000000000000000000001"}</x:v>
      </x:c>
    </x:row>
    <x:row r="29" ht="59" customHeight="1">
      <x:c r="A29" s="21" t="str">
        <x:v>TC-025</x:v>
      </x:c>
      <x:c r="B29" s="21" t="str">
        <x:v>P14</x:v>
      </x:c>
      <x:c r="C29" s="21" t="str">
        <x:v>Testigo positivo del predicado</x:v>
      </x:c>
      <x:c r="D29" s="21" t="str">
        <x:v>ADMITIDA</x:v>
      </x:c>
      <x:c r="E29" s="21" t="str">
        <x:v>FIJADO</x:v>
      </x:c>
      <x:c r="F29" s="21" t="str">
        <x:v>SI</x:v>
      </x:c>
      <x:c r="G29" s="21" t="str">
        <x:v>PRESENTE</x:v>
      </x:c>
      <x:c r="H29" s="21" t="str">
        <x:v>NO</x:v>
      </x:c>
      <x:c r="I29" s="21" t="str">
        <x:v>TEXTO</x:v>
      </x:c>
      <x:c r="J29" s="21" t="str">
        <x:v>TEXTO</x:v>
      </x:c>
      <x:c r="K29" s="21" t="str">
        <x:v>TRANSICION</x:v>
      </x:c>
      <x:c r="L29" s="21" t="str">
        <x:v>objetivo</x:v>
      </x:c>
      <x:c r="M29" s="21" t="str">
        <x:v>100</x:v>
      </x:c>
      <x:c r="N29" s="21" t="str">
        <x:v>200</x:v>
      </x:c>
      <x:c r="O29" s="21" t="str">
        <x:v>COMPLETA</x:v>
      </x:c>
      <x:c r="P29" s="21" t="str">
        <x:v>1</x:v>
      </x:c>
      <x:c r="Q29" s="21" t="str">
        <x:v>1</x:v>
      </x:c>
      <x:c r="R29" s="27" t="str">
        <x:f>IF(EXACT("x"&amp;P29,"x"&amp;Q29),"PASA","DISCORDA")</x:f>
        <x:v>PASA</x:v>
      </x:c>
      <x:c r="S29" s="21" t="str">
        <x:v>{"ancla": "100", "cobertura": "COMPLETA", "conflicto": "NO", "corte": "200", "objetivo": "objetivo", "observacion": "PRESENTE", "parametro": "P14", "perfil": "FIJADO", "pertinencia": "SI", "recepcion": "ADMITIDA", "tipo": "TEXTO", "tipo_objetivo": "TEXTO", "valor": "TRANSICION"}</x:v>
      </x:c>
    </x:row>
    <x:row r="30" ht="59" customHeight="1">
      <x:c r="A30" s="21" t="str">
        <x:v>TC-026</x:v>
      </x:c>
      <x:c r="B30" s="21" t="str">
        <x:v>P14</x:v>
      </x:c>
      <x:c r="C30" s="21" t="str">
        <x:v>Negación acreditada</x:v>
      </x:c>
      <x:c r="D30" s="21" t="str">
        <x:v>ADMITIDA</x:v>
      </x:c>
      <x:c r="E30" s="21" t="str">
        <x:v>FIJADO</x:v>
      </x:c>
      <x:c r="F30" s="21" t="str">
        <x:v>SI</x:v>
      </x:c>
      <x:c r="G30" s="21" t="str">
        <x:v>PRESENTE</x:v>
      </x:c>
      <x:c r="H30" s="21" t="str">
        <x:v>NO</x:v>
      </x:c>
      <x:c r="I30" s="21" t="str">
        <x:v>TEXTO</x:v>
      </x:c>
      <x:c r="J30" s="21" t="str">
        <x:v>TEXTO</x:v>
      </x:c>
      <x:c r="K30" s="21" t="str">
        <x:v>SIN_TRANSICION</x:v>
      </x:c>
      <x:c r="L30" s="21" t="str">
        <x:v>objetivo</x:v>
      </x:c>
      <x:c r="M30" s="21" t="str">
        <x:v>100</x:v>
      </x:c>
      <x:c r="N30" s="21" t="str">
        <x:v>200</x:v>
      </x:c>
      <x:c r="O30" s="21" t="str">
        <x:v>COMPLETA</x:v>
      </x:c>
      <x:c r="P30" s="21" t="str">
        <x:v>0</x:v>
      </x:c>
      <x:c r="Q30" s="21" t="str">
        <x:v>0</x:v>
      </x:c>
      <x:c r="R30" s="27" t="str">
        <x:f>IF(EXACT("x"&amp;P30,"x"&amp;Q30),"PASA","DISCORDA")</x:f>
        <x:v>PASA</x:v>
      </x:c>
      <x:c r="S30" s="21" t="str">
        <x:v>{"ancla": "100", "cobertura": "COMPLETA", "conflicto": "NO", "corte": "200", "objetivo": "objetivo", "observacion": "PRESENTE", "parametro": "P14", "perfil": "FIJADO", "pertinencia": "SI", "recepcion": "ADMITIDA", "tipo": "TEXTO", "tipo_objetivo": "TEXTO", "valor": "SIN_TRANSICION"}</x:v>
      </x:c>
    </x:row>
    <x:row r="31" ht="59" customHeight="1">
      <x:c r="A31" s="21" t="str">
        <x:v>TC-027</x:v>
      </x:c>
      <x:c r="B31" s="21" t="str">
        <x:v>P14</x:v>
      </x:c>
      <x:c r="C31" s="21" t="str">
        <x:v>Ausencia declarada no es cero</x:v>
      </x:c>
      <x:c r="D31" s="21" t="str">
        <x:v>ADMITIDA</x:v>
      </x:c>
      <x:c r="E31" s="21" t="str">
        <x:v>FIJADO</x:v>
      </x:c>
      <x:c r="F31" s="21" t="str">
        <x:v>SI</x:v>
      </x:c>
      <x:c r="G31" s="21" t="str">
        <x:v>AUSENTE</x:v>
      </x:c>
      <x:c r="H31" s="21" t="str">
        <x:v>NO</x:v>
      </x:c>
      <x:c r="I31" s="21" t="str">
        <x:v>TEXTO</x:v>
      </x:c>
      <x:c r="J31" s="21" t="str">
        <x:v>TEXTO</x:v>
      </x:c>
      <x:c r="K31" s="21" t="str">
        <x:v>TRANSICION</x:v>
      </x:c>
      <x:c r="L31" s="21" t="str">
        <x:v>objetivo</x:v>
      </x:c>
      <x:c r="M31" s="21" t="str">
        <x:v>100</x:v>
      </x:c>
      <x:c r="N31" s="21" t="str">
        <x:v>200</x:v>
      </x:c>
      <x:c r="O31" s="21" t="str">
        <x:v>COMPLETA</x:v>
      </x:c>
      <x:c r="P31" s="21" t="str">
        <x:v>U</x:v>
      </x:c>
      <x:c r="Q31" s="21" t="str">
        <x:v>U</x:v>
      </x:c>
      <x:c r="R31" s="27" t="str">
        <x:f>IF(EXACT("x"&amp;P31,"x"&amp;Q31),"PASA","DISCORDA")</x:f>
        <x:v>PASA</x:v>
      </x:c>
      <x:c r="S31" s="21" t="str">
        <x:v>{"ancla": "100", "cobertura": "COMPLETA", "conflicto": "NO", "corte": "200", "objetivo": "objetivo", "observacion": "AUSENTE", "parametro": "P14", "perfil": "FIJADO", "pertinencia": "SI", "recepcion": "ADMITIDA", "tipo": "TEXTO", "tipo_objetivo": "TEXTO", "valor": "TRANSICION"}</x:v>
      </x:c>
    </x:row>
    <x:row r="32" ht="59" customHeight="1">
      <x:c r="A32" s="21" t="str">
        <x:v>TC-028</x:v>
      </x:c>
      <x:c r="B32" s="21" t="str">
        <x:v>P14</x:v>
      </x:c>
      <x:c r="C32" s="21" t="str">
        <x:v>Conflicto admitido</x:v>
      </x:c>
      <x:c r="D32" s="21" t="str">
        <x:v>ADMITIDA</x:v>
      </x:c>
      <x:c r="E32" s="21" t="str">
        <x:v>FIJADO</x:v>
      </x:c>
      <x:c r="F32" s="21" t="str">
        <x:v>SI</x:v>
      </x:c>
      <x:c r="G32" s="21" t="str">
        <x:v>PRESENTE</x:v>
      </x:c>
      <x:c r="H32" s="21" t="str">
        <x:v>SI</x:v>
      </x:c>
      <x:c r="I32" s="21" t="str">
        <x:v>TEXTO</x:v>
      </x:c>
      <x:c r="J32" s="21" t="str">
        <x:v>TEXTO</x:v>
      </x:c>
      <x:c r="K32" s="21" t="str">
        <x:v>TRANSICION</x:v>
      </x:c>
      <x:c r="L32" s="21" t="str">
        <x:v>objetivo</x:v>
      </x:c>
      <x:c r="M32" s="21" t="str">
        <x:v>100</x:v>
      </x:c>
      <x:c r="N32" s="21" t="str">
        <x:v>200</x:v>
      </x:c>
      <x:c r="O32" s="21" t="str">
        <x:v>COMPLETA</x:v>
      </x:c>
      <x:c r="P32" s="21" t="str">
        <x:v>U</x:v>
      </x:c>
      <x:c r="Q32" s="21" t="str">
        <x:v>U</x:v>
      </x:c>
      <x:c r="R32" s="27" t="str">
        <x:f>IF(EXACT("x"&amp;P32,"x"&amp;Q32),"PASA","DISCORDA")</x:f>
        <x:v>PASA</x:v>
      </x:c>
      <x:c r="S32" s="21" t="str">
        <x:v>{"ancla": "100", "cobertura": "COMPLETA", "conflicto": "SI", "corte": "200", "objetivo": "objetivo", "observacion": "PRESENTE", "parametro": "P14", "perfil": "FIJADO", "pertinencia": "SI", "recepcion": "ADMITIDA", "tipo": "TEXTO", "tipo_objetivo": "TEXTO", "valor": "TRANSICION"}</x:v>
      </x:c>
    </x:row>
    <x:row r="33" ht="59" customHeight="1">
      <x:c r="A33" s="21" t="str">
        <x:v>TC-029</x:v>
      </x:c>
      <x:c r="B33" s="21" t="str">
        <x:v>P14</x:v>
      </x:c>
      <x:c r="C33" s="21" t="str">
        <x:v>Fallo de captura sin Tri</x:v>
      </x:c>
      <x:c r="D33" s="21" t="str">
        <x:v>FALLO</x:v>
      </x:c>
      <x:c r="E33" s="21" t="str">
        <x:v>FIJADO</x:v>
      </x:c>
      <x:c r="F33" s="21" t="str">
        <x:v>SI</x:v>
      </x:c>
      <x:c r="G33" s="21" t="str">
        <x:v>PRESENTE</x:v>
      </x:c>
      <x:c r="H33" s="21" t="str">
        <x:v>NO</x:v>
      </x:c>
      <x:c r="I33" s="21" t="str">
        <x:v>TEXTO</x:v>
      </x:c>
      <x:c r="J33" s="21" t="str">
        <x:v>TEXTO</x:v>
      </x:c>
      <x:c r="K33" s="21" t="str">
        <x:v>TRANSICION</x:v>
      </x:c>
      <x:c r="L33" s="21" t="str">
        <x:v>objetivo</x:v>
      </x:c>
      <x:c r="M33" s="21" t="str">
        <x:v>100</x:v>
      </x:c>
      <x:c r="N33" s="21" t="str">
        <x:v>200</x:v>
      </x:c>
      <x:c r="O33" s="21" t="str">
        <x:v>COMPLETA</x:v>
      </x:c>
      <x:c r="P33" s="21" t="str">
        <x:v>FALLO_TECNICO</x:v>
      </x:c>
      <x:c r="Q33" s="21" t="str">
        <x:v>FALLO_TECNICO</x:v>
      </x:c>
      <x:c r="R33" s="27" t="str">
        <x:f>IF(EXACT("x"&amp;P33,"x"&amp;Q33),"PASA","DISCORDA")</x:f>
        <x:v>PASA</x:v>
      </x:c>
      <x:c r="S33" s="21" t="str">
        <x:v>{"ancla": "100", "cobertura": "COMPLETA", "conflicto": "NO", "corte": "200", "objetivo": "objetivo", "observacion": "PRESENTE", "parametro": "P14", "perfil": "FIJADO", "pertinencia": "SI", "recepcion": "FALLO", "tipo": "TEXTO", "tipo_objetivo": "TEXTO", "valor": "TRANSICION"}</x:v>
      </x:c>
    </x:row>
    <x:row r="34" ht="59" customHeight="1">
      <x:c r="A34" s="21" t="str">
        <x:v>TC-030</x:v>
      </x:c>
      <x:c r="B34" s="21" t="str">
        <x:v>P14</x:v>
      </x:c>
      <x:c r="C34" s="21" t="str">
        <x:v>Origen no admitido</x:v>
      </x:c>
      <x:c r="D34" s="21" t="str">
        <x:v>RECHAZADA</x:v>
      </x:c>
      <x:c r="E34" s="21" t="str">
        <x:v>FIJADO</x:v>
      </x:c>
      <x:c r="F34" s="21" t="str">
        <x:v>SI</x:v>
      </x:c>
      <x:c r="G34" s="21" t="str">
        <x:v>PRESENTE</x:v>
      </x:c>
      <x:c r="H34" s="21" t="str">
        <x:v>NO</x:v>
      </x:c>
      <x:c r="I34" s="21" t="str">
        <x:v>TEXTO</x:v>
      </x:c>
      <x:c r="J34" s="21" t="str">
        <x:v>TEXTO</x:v>
      </x:c>
      <x:c r="K34" s="21" t="str">
        <x:v>TRANSICION</x:v>
      </x:c>
      <x:c r="L34" s="21" t="str">
        <x:v>objetivo</x:v>
      </x:c>
      <x:c r="M34" s="21" t="str">
        <x:v>100</x:v>
      </x:c>
      <x:c r="N34" s="21" t="str">
        <x:v>200</x:v>
      </x:c>
      <x:c r="O34" s="21" t="str">
        <x:v>COMPLETA</x:v>
      </x:c>
      <x:c r="P34" s="21" t="str">
        <x:v>NO_ADMITIDA</x:v>
      </x:c>
      <x:c r="Q34" s="21" t="str">
        <x:v>NO_ADMITIDA</x:v>
      </x:c>
      <x:c r="R34" s="27" t="str">
        <x:f>IF(EXACT("x"&amp;P34,"x"&amp;Q34),"PASA","DISCORDA")</x:f>
        <x:v>PASA</x:v>
      </x:c>
      <x:c r="S34" s="21" t="str">
        <x:v>{"ancla": "100", "cobertura": "COMPLETA", "conflicto": "NO", "corte": "200", "objetivo": "objetivo", "observacion": "PRESENTE", "parametro": "P14", "perfil": "FIJADO", "pertinencia": "SI", "recepcion": "RECHAZADA", "tipo": "TEXTO", "tipo_objetivo": "TEXTO", "valor": "TRANSICION"}</x:v>
      </x:c>
    </x:row>
    <x:row r="35" ht="59" customHeight="1">
      <x:c r="A35" s="21" t="str">
        <x:v>TC-031</x:v>
      </x:c>
      <x:c r="B35" s="21" t="str">
        <x:v>P14</x:v>
      </x:c>
      <x:c r="C35" s="21" t="str">
        <x:v>Perfil sin regla</x:v>
      </x:c>
      <x:c r="D35" s="21" t="str">
        <x:v>ADMITIDA</x:v>
      </x:c>
      <x:c r="E35" s="21" t="str">
        <x:v>PENDIENTE</x:v>
      </x:c>
      <x:c r="F35" s="21" t="str">
        <x:v>SI</x:v>
      </x:c>
      <x:c r="G35" s="21" t="str">
        <x:v>PRESENTE</x:v>
      </x:c>
      <x:c r="H35" s="21" t="str">
        <x:v>NO</x:v>
      </x:c>
      <x:c r="I35" s="21" t="str">
        <x:v>TEXTO</x:v>
      </x:c>
      <x:c r="J35" s="21" t="str">
        <x:v>TEXTO</x:v>
      </x:c>
      <x:c r="K35" s="21" t="str">
        <x:v>TRANSICION</x:v>
      </x:c>
      <x:c r="L35" s="21" t="str">
        <x:v>objetivo</x:v>
      </x:c>
      <x:c r="M35" s="21" t="str">
        <x:v>100</x:v>
      </x:c>
      <x:c r="N35" s="21" t="str">
        <x:v>200</x:v>
      </x:c>
      <x:c r="O35" s="21" t="str">
        <x:v>COMPLETA</x:v>
      </x:c>
      <x:c r="P35" s="21" t="str">
        <x:v>CONFIGURACION_PENDIENTE</x:v>
      </x:c>
      <x:c r="Q35" s="21" t="str">
        <x:v>CONFIGURACION_PENDIENTE</x:v>
      </x:c>
      <x:c r="R35" s="27" t="str">
        <x:f>IF(EXACT("x"&amp;P35,"x"&amp;Q35),"PASA","DISCORDA")</x:f>
        <x:v>PASA</x:v>
      </x:c>
      <x:c r="S35" s="21" t="str">
        <x:v>{"ancla": "100", "cobertura": "COMPLETA", "conflicto": "NO", "corte": "200", "objetivo": "objetivo", "observacion": "PRESENTE", "parametro": "P14", "perfil": "PENDIENTE", "pertinencia": "SI", "recepcion": "ADMITIDA", "tipo": "TEXTO", "tipo_objetivo": "TEXTO", "valor": "TRANSICION"}</x:v>
      </x:c>
    </x:row>
    <x:row r="36" ht="59" customHeight="1">
      <x:c r="A36" s="21" t="str">
        <x:v>TC-032</x:v>
      </x:c>
      <x:c r="B36" s="21" t="str">
        <x:v>P14</x:v>
      </x:c>
      <x:c r="C36" s="21" t="str">
        <x:v>Sujeto fuera del perfil</x:v>
      </x:c>
      <x:c r="D36" s="21" t="str">
        <x:v>ADMITIDA</x:v>
      </x:c>
      <x:c r="E36" s="21" t="str">
        <x:v>FIJADO</x:v>
      </x:c>
      <x:c r="F36" s="21" t="str">
        <x:v>NO</x:v>
      </x:c>
      <x:c r="G36" s="21" t="str">
        <x:v>PRESENTE</x:v>
      </x:c>
      <x:c r="H36" s="21" t="str">
        <x:v>NO</x:v>
      </x:c>
      <x:c r="I36" s="21" t="str">
        <x:v>TEXTO</x:v>
      </x:c>
      <x:c r="J36" s="21" t="str">
        <x:v>TEXTO</x:v>
      </x:c>
      <x:c r="K36" s="21" t="str">
        <x:v>TRANSICION</x:v>
      </x:c>
      <x:c r="L36" s="21" t="str">
        <x:v>objetivo</x:v>
      </x:c>
      <x:c r="M36" s="21" t="str">
        <x:v>100</x:v>
      </x:c>
      <x:c r="N36" s="21" t="str">
        <x:v>200</x:v>
      </x:c>
      <x:c r="O36" s="21" t="str">
        <x:v>COMPLETA</x:v>
      </x:c>
      <x:c r="P36" s="21" t="str">
        <x:v>FUERA_DE_PERFIL</x:v>
      </x:c>
      <x:c r="Q36" s="21" t="str">
        <x:v>FUERA_DE_PERFIL</x:v>
      </x:c>
      <x:c r="R36" s="27" t="str">
        <x:f>IF(EXACT("x"&amp;P36,"x"&amp;Q36),"PASA","DISCORDA")</x:f>
        <x:v>PASA</x:v>
      </x:c>
      <x:c r="S36" s="21" t="str">
        <x:v>{"ancla": "100", "cobertura": "COMPLETA", "conflicto": "NO", "corte": "200", "objetivo": "objetivo", "observacion": "PRESENTE", "parametro": "P14", "perfil": "FIJADO", "pertinencia": "NO", "recepcion": "ADMITIDA", "tipo": "TEXTO", "tipo_objetivo": "TEXTO", "valor": "TRANSICION"}</x:v>
      </x:c>
    </x:row>
    <x:row r="37" ht="59" customHeight="1">
      <x:c r="A37" s="21" t="str">
        <x:v>TC-033</x:v>
      </x:c>
      <x:c r="B37" s="21" t="str">
        <x:v>P15</x:v>
      </x:c>
      <x:c r="C37" s="21" t="str">
        <x:v>Testigo positivo del predicado</x:v>
      </x:c>
      <x:c r="D37" s="21" t="str">
        <x:v>ADMITIDA</x:v>
      </x:c>
      <x:c r="E37" s="21" t="str">
        <x:v>FIJADO</x:v>
      </x:c>
      <x:c r="F37" s="21" t="str">
        <x:v>SI</x:v>
      </x:c>
      <x:c r="G37" s="21" t="str">
        <x:v>PRESENTE</x:v>
      </x:c>
      <x:c r="H37" s="21" t="str">
        <x:v>NO</x:v>
      </x:c>
      <x:c r="I37" s="21" t="str">
        <x:v>TEXTO</x:v>
      </x:c>
      <x:c r="J37" s="21" t="str">
        <x:v>TEXTO</x:v>
      </x:c>
      <x:c r="K37" s="21" t="str">
        <x:v>EXIGE</x:v>
      </x:c>
      <x:c r="L37" s="21" t="str">
        <x:v>objetivo</x:v>
      </x:c>
      <x:c r="M37" s="21" t="str">
        <x:v>100</x:v>
      </x:c>
      <x:c r="N37" s="21" t="str">
        <x:v>200</x:v>
      </x:c>
      <x:c r="O37" s="21" t="str">
        <x:v>COMPLETA</x:v>
      </x:c>
      <x:c r="P37" s="21" t="str">
        <x:v>1</x:v>
      </x:c>
      <x:c r="Q37" s="21" t="str">
        <x:v>1</x:v>
      </x:c>
      <x:c r="R37" s="27" t="str">
        <x:f>IF(EXACT("x"&amp;P37,"x"&amp;Q37),"PASA","DISCORDA")</x:f>
        <x:v>PASA</x:v>
      </x:c>
      <x:c r="S37" s="21" t="str">
        <x:v>{"ancla": "100", "cobertura": "COMPLETA", "conflicto": "NO", "corte": "200", "objetivo": "objetivo", "observacion": "PRESENTE", "parametro": "P15", "perfil": "FIJADO", "pertinencia": "SI", "recepcion": "ADMITIDA", "tipo": "TEXTO", "tipo_objetivo": "TEXTO", "valor": "EXIGE"}</x:v>
      </x:c>
    </x:row>
    <x:row r="38" ht="59" customHeight="1">
      <x:c r="A38" s="21" t="str">
        <x:v>TC-034</x:v>
      </x:c>
      <x:c r="B38" s="21" t="str">
        <x:v>P15</x:v>
      </x:c>
      <x:c r="C38" s="21" t="str">
        <x:v>Negación acreditada</x:v>
      </x:c>
      <x:c r="D38" s="21" t="str">
        <x:v>ADMITIDA</x:v>
      </x:c>
      <x:c r="E38" s="21" t="str">
        <x:v>FIJADO</x:v>
      </x:c>
      <x:c r="F38" s="21" t="str">
        <x:v>SI</x:v>
      </x:c>
      <x:c r="G38" s="21" t="str">
        <x:v>PRESENTE</x:v>
      </x:c>
      <x:c r="H38" s="21" t="str">
        <x:v>NO</x:v>
      </x:c>
      <x:c r="I38" s="21" t="str">
        <x:v>TEXTO</x:v>
      </x:c>
      <x:c r="J38" s="21" t="str">
        <x:v>TEXTO</x:v>
      </x:c>
      <x:c r="K38" s="21" t="str">
        <x:v>NO_EXIGE</x:v>
      </x:c>
      <x:c r="L38" s="21" t="str">
        <x:v>objetivo</x:v>
      </x:c>
      <x:c r="M38" s="21" t="str">
        <x:v>100</x:v>
      </x:c>
      <x:c r="N38" s="21" t="str">
        <x:v>200</x:v>
      </x:c>
      <x:c r="O38" s="21" t="str">
        <x:v>COMPLETA</x:v>
      </x:c>
      <x:c r="P38" s="21" t="str">
        <x:v>0</x:v>
      </x:c>
      <x:c r="Q38" s="21" t="str">
        <x:v>0</x:v>
      </x:c>
      <x:c r="R38" s="27" t="str">
        <x:f>IF(EXACT("x"&amp;P38,"x"&amp;Q38),"PASA","DISCORDA")</x:f>
        <x:v>PASA</x:v>
      </x:c>
      <x:c r="S38" s="21" t="str">
        <x:v>{"ancla": "100", "cobertura": "COMPLETA", "conflicto": "NO", "corte": "200", "objetivo": "objetivo", "observacion": "PRESENTE", "parametro": "P15", "perfil": "FIJADO", "pertinencia": "SI", "recepcion": "ADMITIDA", "tipo": "TEXTO", "tipo_objetivo": "TEXTO", "valor": "NO_EXIGE"}</x:v>
      </x:c>
    </x:row>
    <x:row r="39" ht="59" customHeight="1">
      <x:c r="A39" s="21" t="str">
        <x:v>TC-035</x:v>
      </x:c>
      <x:c r="B39" s="21" t="str">
        <x:v>P15</x:v>
      </x:c>
      <x:c r="C39" s="21" t="str">
        <x:v>Ausencia declarada no es cero</x:v>
      </x:c>
      <x:c r="D39" s="21" t="str">
        <x:v>ADMITIDA</x:v>
      </x:c>
      <x:c r="E39" s="21" t="str">
        <x:v>FIJADO</x:v>
      </x:c>
      <x:c r="F39" s="21" t="str">
        <x:v>SI</x:v>
      </x:c>
      <x:c r="G39" s="21" t="str">
        <x:v>AUSENTE</x:v>
      </x:c>
      <x:c r="H39" s="21" t="str">
        <x:v>NO</x:v>
      </x:c>
      <x:c r="I39" s="21" t="str">
        <x:v>TEXTO</x:v>
      </x:c>
      <x:c r="J39" s="21" t="str">
        <x:v>TEXTO</x:v>
      </x:c>
      <x:c r="K39" s="21" t="str">
        <x:v>EXIGE</x:v>
      </x:c>
      <x:c r="L39" s="21" t="str">
        <x:v>objetivo</x:v>
      </x:c>
      <x:c r="M39" s="21" t="str">
        <x:v>100</x:v>
      </x:c>
      <x:c r="N39" s="21" t="str">
        <x:v>200</x:v>
      </x:c>
      <x:c r="O39" s="21" t="str">
        <x:v>COMPLETA</x:v>
      </x:c>
      <x:c r="P39" s="21" t="str">
        <x:v>U</x:v>
      </x:c>
      <x:c r="Q39" s="21" t="str">
        <x:v>U</x:v>
      </x:c>
      <x:c r="R39" s="27" t="str">
        <x:f>IF(EXACT("x"&amp;P39,"x"&amp;Q39),"PASA","DISCORDA")</x:f>
        <x:v>PASA</x:v>
      </x:c>
      <x:c r="S39" s="21" t="str">
        <x:v>{"ancla": "100", "cobertura": "COMPLETA", "conflicto": "NO", "corte": "200", "objetivo": "objetivo", "observacion": "AUSENTE", "parametro": "P15", "perfil": "FIJADO", "pertinencia": "SI", "recepcion": "ADMITIDA", "tipo": "TEXTO", "tipo_objetivo": "TEXTO", "valor": "EXIGE"}</x:v>
      </x:c>
    </x:row>
    <x:row r="40" ht="59" customHeight="1">
      <x:c r="A40" s="21" t="str">
        <x:v>TC-036</x:v>
      </x:c>
      <x:c r="B40" s="21" t="str">
        <x:v>P15</x:v>
      </x:c>
      <x:c r="C40" s="21" t="str">
        <x:v>Conflicto admitido</x:v>
      </x:c>
      <x:c r="D40" s="21" t="str">
        <x:v>ADMITIDA</x:v>
      </x:c>
      <x:c r="E40" s="21" t="str">
        <x:v>FIJADO</x:v>
      </x:c>
      <x:c r="F40" s="21" t="str">
        <x:v>SI</x:v>
      </x:c>
      <x:c r="G40" s="21" t="str">
        <x:v>PRESENTE</x:v>
      </x:c>
      <x:c r="H40" s="21" t="str">
        <x:v>SI</x:v>
      </x:c>
      <x:c r="I40" s="21" t="str">
        <x:v>TEXTO</x:v>
      </x:c>
      <x:c r="J40" s="21" t="str">
        <x:v>TEXTO</x:v>
      </x:c>
      <x:c r="K40" s="21" t="str">
        <x:v>EXIGE</x:v>
      </x:c>
      <x:c r="L40" s="21" t="str">
        <x:v>objetivo</x:v>
      </x:c>
      <x:c r="M40" s="21" t="str">
        <x:v>100</x:v>
      </x:c>
      <x:c r="N40" s="21" t="str">
        <x:v>200</x:v>
      </x:c>
      <x:c r="O40" s="21" t="str">
        <x:v>COMPLETA</x:v>
      </x:c>
      <x:c r="P40" s="21" t="str">
        <x:v>U</x:v>
      </x:c>
      <x:c r="Q40" s="21" t="str">
        <x:v>U</x:v>
      </x:c>
      <x:c r="R40" s="27" t="str">
        <x:f>IF(EXACT("x"&amp;P40,"x"&amp;Q40),"PASA","DISCORDA")</x:f>
        <x:v>PASA</x:v>
      </x:c>
      <x:c r="S40" s="21" t="str">
        <x:v>{"ancla": "100", "cobertura": "COMPLETA", "conflicto": "SI", "corte": "200", "objetivo": "objetivo", "observacion": "PRESENTE", "parametro": "P15", "perfil": "FIJADO", "pertinencia": "SI", "recepcion": "ADMITIDA", "tipo": "TEXTO", "tipo_objetivo": "TEXTO", "valor": "EXIGE"}</x:v>
      </x:c>
    </x:row>
    <x:row r="41" ht="59" customHeight="1">
      <x:c r="A41" s="21" t="str">
        <x:v>TC-037</x:v>
      </x:c>
      <x:c r="B41" s="21" t="str">
        <x:v>P15</x:v>
      </x:c>
      <x:c r="C41" s="21" t="str">
        <x:v>Fallo de captura sin Tri</x:v>
      </x:c>
      <x:c r="D41" s="21" t="str">
        <x:v>FALLO</x:v>
      </x:c>
      <x:c r="E41" s="21" t="str">
        <x:v>FIJADO</x:v>
      </x:c>
      <x:c r="F41" s="21" t="str">
        <x:v>SI</x:v>
      </x:c>
      <x:c r="G41" s="21" t="str">
        <x:v>PRESENTE</x:v>
      </x:c>
      <x:c r="H41" s="21" t="str">
        <x:v>NO</x:v>
      </x:c>
      <x:c r="I41" s="21" t="str">
        <x:v>TEXTO</x:v>
      </x:c>
      <x:c r="J41" s="21" t="str">
        <x:v>TEXTO</x:v>
      </x:c>
      <x:c r="K41" s="21" t="str">
        <x:v>EXIGE</x:v>
      </x:c>
      <x:c r="L41" s="21" t="str">
        <x:v>objetivo</x:v>
      </x:c>
      <x:c r="M41" s="21" t="str">
        <x:v>100</x:v>
      </x:c>
      <x:c r="N41" s="21" t="str">
        <x:v>200</x:v>
      </x:c>
      <x:c r="O41" s="21" t="str">
        <x:v>COMPLETA</x:v>
      </x:c>
      <x:c r="P41" s="21" t="str">
        <x:v>FALLO_TECNICO</x:v>
      </x:c>
      <x:c r="Q41" s="21" t="str">
        <x:v>FALLO_TECNICO</x:v>
      </x:c>
      <x:c r="R41" s="27" t="str">
        <x:f>IF(EXACT("x"&amp;P41,"x"&amp;Q41),"PASA","DISCORDA")</x:f>
        <x:v>PASA</x:v>
      </x:c>
      <x:c r="S41" s="21" t="str">
        <x:v>{"ancla": "100", "cobertura": "COMPLETA", "conflicto": "NO", "corte": "200", "objetivo": "objetivo", "observacion": "PRESENTE", "parametro": "P15", "perfil": "FIJADO", "pertinencia": "SI", "recepcion": "FALLO", "tipo": "TEXTO", "tipo_objetivo": "TEXTO", "valor": "EXIGE"}</x:v>
      </x:c>
    </x:row>
    <x:row r="42" ht="59" customHeight="1">
      <x:c r="A42" s="21" t="str">
        <x:v>TC-038</x:v>
      </x:c>
      <x:c r="B42" s="21" t="str">
        <x:v>P15</x:v>
      </x:c>
      <x:c r="C42" s="21" t="str">
        <x:v>Origen no admitido</x:v>
      </x:c>
      <x:c r="D42" s="21" t="str">
        <x:v>RECHAZADA</x:v>
      </x:c>
      <x:c r="E42" s="21" t="str">
        <x:v>FIJADO</x:v>
      </x:c>
      <x:c r="F42" s="21" t="str">
        <x:v>SI</x:v>
      </x:c>
      <x:c r="G42" s="21" t="str">
        <x:v>PRESENTE</x:v>
      </x:c>
      <x:c r="H42" s="21" t="str">
        <x:v>NO</x:v>
      </x:c>
      <x:c r="I42" s="21" t="str">
        <x:v>TEXTO</x:v>
      </x:c>
      <x:c r="J42" s="21" t="str">
        <x:v>TEXTO</x:v>
      </x:c>
      <x:c r="K42" s="21" t="str">
        <x:v>EXIGE</x:v>
      </x:c>
      <x:c r="L42" s="21" t="str">
        <x:v>objetivo</x:v>
      </x:c>
      <x:c r="M42" s="21" t="str">
        <x:v>100</x:v>
      </x:c>
      <x:c r="N42" s="21" t="str">
        <x:v>200</x:v>
      </x:c>
      <x:c r="O42" s="21" t="str">
        <x:v>COMPLETA</x:v>
      </x:c>
      <x:c r="P42" s="21" t="str">
        <x:v>NO_ADMITIDA</x:v>
      </x:c>
      <x:c r="Q42" s="21" t="str">
        <x:v>NO_ADMITIDA</x:v>
      </x:c>
      <x:c r="R42" s="27" t="str">
        <x:f>IF(EXACT("x"&amp;P42,"x"&amp;Q42),"PASA","DISCORDA")</x:f>
        <x:v>PASA</x:v>
      </x:c>
      <x:c r="S42" s="21" t="str">
        <x:v>{"ancla": "100", "cobertura": "COMPLETA", "conflicto": "NO", "corte": "200", "objetivo": "objetivo", "observacion": "PRESENTE", "parametro": "P15", "perfil": "FIJADO", "pertinencia": "SI", "recepcion": "RECHAZADA", "tipo": "TEXTO", "tipo_objetivo": "TEXTO", "valor": "EXIGE"}</x:v>
      </x:c>
    </x:row>
    <x:row r="43" ht="59" customHeight="1">
      <x:c r="A43" s="21" t="str">
        <x:v>TC-039</x:v>
      </x:c>
      <x:c r="B43" s="21" t="str">
        <x:v>P15</x:v>
      </x:c>
      <x:c r="C43" s="21" t="str">
        <x:v>Perfil sin regla</x:v>
      </x:c>
      <x:c r="D43" s="21" t="str">
        <x:v>ADMITIDA</x:v>
      </x:c>
      <x:c r="E43" s="21" t="str">
        <x:v>PENDIENTE</x:v>
      </x:c>
      <x:c r="F43" s="21" t="str">
        <x:v>SI</x:v>
      </x:c>
      <x:c r="G43" s="21" t="str">
        <x:v>PRESENTE</x:v>
      </x:c>
      <x:c r="H43" s="21" t="str">
        <x:v>NO</x:v>
      </x:c>
      <x:c r="I43" s="21" t="str">
        <x:v>TEXTO</x:v>
      </x:c>
      <x:c r="J43" s="21" t="str">
        <x:v>TEXTO</x:v>
      </x:c>
      <x:c r="K43" s="21" t="str">
        <x:v>EXIGE</x:v>
      </x:c>
      <x:c r="L43" s="21" t="str">
        <x:v>objetivo</x:v>
      </x:c>
      <x:c r="M43" s="21" t="str">
        <x:v>100</x:v>
      </x:c>
      <x:c r="N43" s="21" t="str">
        <x:v>200</x:v>
      </x:c>
      <x:c r="O43" s="21" t="str">
        <x:v>COMPLETA</x:v>
      </x:c>
      <x:c r="P43" s="21" t="str">
        <x:v>CONFIGURACION_PENDIENTE</x:v>
      </x:c>
      <x:c r="Q43" s="21" t="str">
        <x:v>CONFIGURACION_PENDIENTE</x:v>
      </x:c>
      <x:c r="R43" s="27" t="str">
        <x:f>IF(EXACT("x"&amp;P43,"x"&amp;Q43),"PASA","DISCORDA")</x:f>
        <x:v>PASA</x:v>
      </x:c>
      <x:c r="S43" s="21" t="str">
        <x:v>{"ancla": "100", "cobertura": "COMPLETA", "conflicto": "NO", "corte": "200", "objetivo": "objetivo", "observacion": "PRESENTE", "parametro": "P15", "perfil": "PENDIENTE", "pertinencia": "SI", "recepcion": "ADMITIDA", "tipo": "TEXTO", "tipo_objetivo": "TEXTO", "valor": "EXIGE"}</x:v>
      </x:c>
    </x:row>
    <x:row r="44" ht="59" customHeight="1">
      <x:c r="A44" s="21" t="str">
        <x:v>TC-040</x:v>
      </x:c>
      <x:c r="B44" s="21" t="str">
        <x:v>P15</x:v>
      </x:c>
      <x:c r="C44" s="21" t="str">
        <x:v>Sujeto fuera del perfil</x:v>
      </x:c>
      <x:c r="D44" s="21" t="str">
        <x:v>ADMITIDA</x:v>
      </x:c>
      <x:c r="E44" s="21" t="str">
        <x:v>FIJADO</x:v>
      </x:c>
      <x:c r="F44" s="21" t="str">
        <x:v>NO</x:v>
      </x:c>
      <x:c r="G44" s="21" t="str">
        <x:v>PRESENTE</x:v>
      </x:c>
      <x:c r="H44" s="21" t="str">
        <x:v>NO</x:v>
      </x:c>
      <x:c r="I44" s="21" t="str">
        <x:v>TEXTO</x:v>
      </x:c>
      <x:c r="J44" s="21" t="str">
        <x:v>TEXTO</x:v>
      </x:c>
      <x:c r="K44" s="21" t="str">
        <x:v>EXIGE</x:v>
      </x:c>
      <x:c r="L44" s="21" t="str">
        <x:v>objetivo</x:v>
      </x:c>
      <x:c r="M44" s="21" t="str">
        <x:v>100</x:v>
      </x:c>
      <x:c r="N44" s="21" t="str">
        <x:v>200</x:v>
      </x:c>
      <x:c r="O44" s="21" t="str">
        <x:v>COMPLETA</x:v>
      </x:c>
      <x:c r="P44" s="21" t="str">
        <x:v>FUERA_DE_PERFIL</x:v>
      </x:c>
      <x:c r="Q44" s="21" t="str">
        <x:v>FUERA_DE_PERFIL</x:v>
      </x:c>
      <x:c r="R44" s="27" t="str">
        <x:f>IF(EXACT("x"&amp;P44,"x"&amp;Q44),"PASA","DISCORDA")</x:f>
        <x:v>PASA</x:v>
      </x:c>
      <x:c r="S44" s="21" t="str">
        <x:v>{"ancla": "100", "cobertura": "COMPLETA", "conflicto": "NO", "corte": "200", "objetivo": "objetivo", "observacion": "PRESENTE", "parametro": "P15", "perfil": "FIJADO", "pertinencia": "NO", "recepcion": "ADMITIDA", "tipo": "TEXTO", "tipo_objetivo": "TEXTO", "valor": "EXIGE"}</x:v>
      </x:c>
    </x:row>
    <x:row r="45" ht="59" customHeight="1">
      <x:c r="A45" s="21" t="str">
        <x:v>TC-041</x:v>
      </x:c>
      <x:c r="B45" s="21" t="str">
        <x:v>P11</x:v>
      </x:c>
      <x:c r="C45" s="21" t="str">
        <x:v>Creación exacta al corte incluida</x:v>
      </x:c>
      <x:c r="D45" s="21" t="str">
        <x:v>ADMITIDA</x:v>
      </x:c>
      <x:c r="E45" s="21" t="str">
        <x:v>FIJADO</x:v>
      </x:c>
      <x:c r="F45" s="21" t="str">
        <x:v>SI</x:v>
      </x:c>
      <x:c r="G45" s="21" t="str">
        <x:v>PRESENTE</x:v>
      </x:c>
      <x:c r="H45" s="21" t="str">
        <x:v>NO</x:v>
      </x:c>
      <x:c r="I45" s="21" t="str">
        <x:v>TEXTO</x:v>
      </x:c>
      <x:c r="J45" s="21" t="str">
        <x:v>TEXTO</x:v>
      </x:c>
      <x:c r="K45" s="21" t="str">
        <x:v>200</x:v>
      </x:c>
      <x:c r="L45" s="21" t="str">
        <x:v>objetivo</x:v>
      </x:c>
      <x:c r="M45" s="21" t="str">
        <x:v>100</x:v>
      </x:c>
      <x:c r="N45" s="21" t="str">
        <x:v>200</x:v>
      </x:c>
      <x:c r="O45" s="21" t="str">
        <x:v>COMPLETA</x:v>
      </x:c>
      <x:c r="P45" s="21" t="str">
        <x:v>1</x:v>
      </x:c>
      <x:c r="Q45" s="21" t="str">
        <x:v>1</x:v>
      </x:c>
      <x:c r="R45" s="27" t="str">
        <x:f>IF(EXACT("x"&amp;P45,"x"&amp;Q45),"PASA","DISCORDA")</x:f>
        <x:v>PASA</x:v>
      </x:c>
      <x:c r="S45" s="21" t="str">
        <x:v>{"ancla": "100", "cobertura": "COMPLETA", "conflicto": "NO", "corte": "200", "objetivo": "objetivo", "observacion": "PRESENTE", "parametro": "P11", "perfil": "FIJADO", "pertinencia": "SI", "recepcion": "ADMITIDA", "tipo": "TEXTO", "tipo_objetivo": "TEXTO", "valor": "200"}</x:v>
      </x:c>
    </x:row>
    <x:row r="46" ht="59" customHeight="1">
      <x:c r="A46" s="21" t="str">
        <x:v>TC-042</x:v>
      </x:c>
      <x:c r="B46" s="21" t="str">
        <x:v>P11</x:v>
      </x:c>
      <x:c r="C46" s="21" t="str">
        <x:v>Creación posterior ajena al corte</x:v>
      </x:c>
      <x:c r="D46" s="21" t="str">
        <x:v>ADMITIDA</x:v>
      </x:c>
      <x:c r="E46" s="21" t="str">
        <x:v>FIJADO</x:v>
      </x:c>
      <x:c r="F46" s="21" t="str">
        <x:v>SI</x:v>
      </x:c>
      <x:c r="G46" s="21" t="str">
        <x:v>PRESENTE</x:v>
      </x:c>
      <x:c r="H46" s="21" t="str">
        <x:v>NO</x:v>
      </x:c>
      <x:c r="I46" s="21" t="str">
        <x:v>TEXTO</x:v>
      </x:c>
      <x:c r="J46" s="21" t="str">
        <x:v>TEXTO</x:v>
      </x:c>
      <x:c r="K46" s="21" t="str">
        <x:v>201</x:v>
      </x:c>
      <x:c r="L46" s="21" t="str">
        <x:v>objetivo</x:v>
      </x:c>
      <x:c r="M46" s="21" t="str">
        <x:v>100</x:v>
      </x:c>
      <x:c r="N46" s="21" t="str">
        <x:v>200</x:v>
      </x:c>
      <x:c r="O46" s="21" t="str">
        <x:v>COMPLETA</x:v>
      </x:c>
      <x:c r="P46" s="21" t="str">
        <x:v>NO_ADMITIDA</x:v>
      </x:c>
      <x:c r="Q46" s="21" t="str">
        <x:v>NO_ADMITIDA</x:v>
      </x:c>
      <x:c r="R46" s="27" t="str">
        <x:f>IF(EXACT("x"&amp;P46,"x"&amp;Q46),"PASA","DISCORDA")</x:f>
        <x:v>PASA</x:v>
      </x:c>
      <x:c r="S46" s="21" t="str">
        <x:v>{"ancla": "100", "cobertura": "COMPLETA", "conflicto": "NO", "corte": "200", "objetivo": "objetivo", "observacion": "PRESENTE", "parametro": "P11", "perfil": "FIJADO", "pertinencia": "SI", "recepcion": "ADMITIDA", "tipo": "TEXTO", "tipo_objetivo": "TEXTO", "valor": "201"}</x:v>
      </x:c>
    </x:row>
    <x:row r="47" ht="59" customHeight="1">
      <x:c r="A47" s="21" t="str">
        <x:v>TC-043</x:v>
      </x:c>
      <x:c r="B47" s="21" t="str">
        <x:v>P11</x:v>
      </x:c>
      <x:c r="C47" s="21" t="str">
        <x:v>Orden no acreditado</x:v>
      </x:c>
      <x:c r="D47" s="21" t="str">
        <x:v>ADMITIDA</x:v>
      </x:c>
      <x:c r="E47" s="21" t="str">
        <x:v>FIJADO</x:v>
      </x:c>
      <x:c r="F47" s="21" t="str">
        <x:v>SI</x:v>
      </x:c>
      <x:c r="G47" s="21" t="str">
        <x:v>ORDEN_INCIERTO</x:v>
      </x:c>
      <x:c r="H47" s="21" t="str">
        <x:v>NO</x:v>
      </x:c>
      <x:c r="I47" s="21" t="str">
        <x:v>TEXTO</x:v>
      </x:c>
      <x:c r="J47" s="21" t="str">
        <x:v>TEXTO</x:v>
      </x:c>
      <x:c r="K47" s="21" t="str">
        <x:v>?</x:v>
      </x:c>
      <x:c r="L47" s="21" t="str">
        <x:v>objetivo</x:v>
      </x:c>
      <x:c r="M47" s="21" t="str">
        <x:v>100</x:v>
      </x:c>
      <x:c r="N47" s="21" t="str">
        <x:v>200</x:v>
      </x:c>
      <x:c r="O47" s="21" t="str">
        <x:v>COMPLETA</x:v>
      </x:c>
      <x:c r="P47" s="21" t="str">
        <x:v>U</x:v>
      </x:c>
      <x:c r="Q47" s="21" t="str">
        <x:v>U</x:v>
      </x:c>
      <x:c r="R47" s="27" t="str">
        <x:f>IF(EXACT("x"&amp;P47,"x"&amp;Q47),"PASA","DISCORDA")</x:f>
        <x:v>PASA</x:v>
      </x:c>
      <x:c r="S47" s="21" t="str">
        <x:v>{"ancla": "100", "cobertura": "COMPLETA", "conflicto": "NO", "corte": "200", "objetivo": "objetivo", "observacion": "ORDEN_INCIERTO", "parametro": "P11", "perfil": "FIJADO", "pertinencia": "SI", "recepcion": "ADMITIDA", "tipo": "TEXTO", "tipo_objetivo": "TEXTO", "valor": "?"}</x:v>
      </x:c>
    </x:row>
    <x:row r="48" ht="59" customHeight="1">
      <x:c r="A48" s="21" t="str">
        <x:v>TC-044</x:v>
      </x:c>
      <x:c r="B48" s="21" t="str">
        <x:v>P11</x:v>
      </x:c>
      <x:c r="C48" s="21" t="str">
        <x:v>Solicitud de creación no acredita evento</x:v>
      </x:c>
      <x:c r="D48" s="21" t="str">
        <x:v>ADMITIDA</x:v>
      </x:c>
      <x:c r="E48" s="21" t="str">
        <x:v>FIJADO</x:v>
      </x:c>
      <x:c r="F48" s="21" t="str">
        <x:v>SI</x:v>
      </x:c>
      <x:c r="G48" s="21" t="str">
        <x:v>INDIRECTA</x:v>
      </x:c>
      <x:c r="H48" s="21" t="str">
        <x:v>NO</x:v>
      </x:c>
      <x:c r="I48" s="21" t="str">
        <x:v>TEXTO</x:v>
      </x:c>
      <x:c r="J48" s="21" t="str">
        <x:v>TEXTO</x:v>
      </x:c>
      <x:c r="K48" s="21" t="str">
        <x:v>SOLICITADA</x:v>
      </x:c>
      <x:c r="L48" s="21" t="str">
        <x:v>objetivo</x:v>
      </x:c>
      <x:c r="M48" s="21" t="str">
        <x:v>100</x:v>
      </x:c>
      <x:c r="N48" s="21" t="str">
        <x:v>200</x:v>
      </x:c>
      <x:c r="O48" s="21" t="str">
        <x:v>COMPLETA</x:v>
      </x:c>
      <x:c r="P48" s="21" t="str">
        <x:v>U</x:v>
      </x:c>
      <x:c r="Q48" s="21" t="str">
        <x:v>U</x:v>
      </x:c>
      <x:c r="R48" s="27" t="str">
        <x:f>IF(EXACT("x"&amp;P48,"x"&amp;Q48),"PASA","DISCORDA")</x:f>
        <x:v>PASA</x:v>
      </x:c>
      <x:c r="S48" s="21" t="str">
        <x:v>{"ancla": "100", "cobertura": "COMPLETA", "conflicto": "NO", "corte": "200", "objetivo": "objetivo", "observacion": "INDIRECTA", "parametro": "P11", "perfil": "FIJADO", "pertinencia": "SI", "recepcion": "ADMITIDA", "tipo": "TEXTO", "tipo_objetivo": "TEXTO", "valor": "SOLICITADA"}</x:v>
      </x:c>
    </x:row>
    <x:row r="49" ht="74" customHeight="1">
      <x:c r="A49" s="21" t="str">
        <x:v>TC-045</x:v>
      </x:c>
      <x:c r="B49" s="21" t="str">
        <x:v>P11</x:v>
      </x:c>
      <x:c r="C49" s="21" t="str">
        <x:v>Instante entero exacto mayor de 2^53</x:v>
      </x:c>
      <x:c r="D49" s="21" t="str">
        <x:v>ADMITIDA</x:v>
      </x:c>
      <x:c r="E49" s="21" t="str">
        <x:v>FIJADO</x:v>
      </x:c>
      <x:c r="F49" s="21" t="str">
        <x:v>SI</x:v>
      </x:c>
      <x:c r="G49" s="21" t="str">
        <x:v>PRESENTE</x:v>
      </x:c>
      <x:c r="H49" s="21" t="str">
        <x:v>NO</x:v>
      </x:c>
      <x:c r="I49" s="21" t="str">
        <x:v>TEXTO</x:v>
      </x:c>
      <x:c r="J49" s="21" t="str">
        <x:v>TEXTO</x:v>
      </x:c>
      <x:c r="K49" s="21" t="str">
        <x:v>9007199254740993</x:v>
      </x:c>
      <x:c r="L49" s="21" t="str">
        <x:v>objetivo</x:v>
      </x:c>
      <x:c r="M49" s="21" t="str">
        <x:v>9007199254740992</x:v>
      </x:c>
      <x:c r="N49" s="21" t="str">
        <x:v>9007199254740994</x:v>
      </x:c>
      <x:c r="O49" s="21" t="str">
        <x:v>COMPLETA</x:v>
      </x:c>
      <x:c r="P49" s="21" t="str">
        <x:v>1</x:v>
      </x:c>
      <x:c r="Q49" s="21" t="str">
        <x:v>1</x:v>
      </x:c>
      <x:c r="R49" s="27" t="str">
        <x:f>IF(EXACT("x"&amp;P49,"x"&amp;Q49),"PASA","DISCORDA")</x:f>
        <x:v>PASA</x:v>
      </x:c>
      <x:c r="S49" s="21" t="str">
        <x:v>{"ancla": "9007199254740992", "cobertura": "COMPLETA", "conflicto": "NO", "corte": "9007199254740994", "objetivo": "objetivo", "observacion": "PRESENTE", "parametro": "P11", "perfil": "FIJADO", "pertinencia": "SI", "recepcion": "ADMITIDA", "tipo": "TEXTO", "tipo_objetivo": "TEXTO", "valor": "9007199254740993"}</x:v>
      </x:c>
    </x:row>
    <x:row r="50" ht="59" customHeight="1">
      <x:c r="A50" s="21" t="str">
        <x:v>TC-046</x:v>
      </x:c>
      <x:c r="B50" s="21" t="str">
        <x:v>P12</x:v>
      </x:c>
      <x:c r="C50" s="21" t="str">
        <x:v>Valor escrito en disco no efectivo</x:v>
      </x:c>
      <x:c r="D50" s="21" t="str">
        <x:v>ADMITIDA</x:v>
      </x:c>
      <x:c r="E50" s="21" t="str">
        <x:v>FIJADO</x:v>
      </x:c>
      <x:c r="F50" s="21" t="str">
        <x:v>SI</x:v>
      </x:c>
      <x:c r="G50" s="21" t="str">
        <x:v>INDIRECTA</x:v>
      </x:c>
      <x:c r="H50" s="21" t="str">
        <x:v>NO</x:v>
      </x:c>
      <x:c r="I50" s="21" t="str">
        <x:v>TEXTO</x:v>
      </x:c>
      <x:c r="J50" s="21" t="str">
        <x:v>TEXTO</x:v>
      </x:c>
      <x:c r="K50" s="21" t="str">
        <x:v>objetivo</x:v>
      </x:c>
      <x:c r="L50" s="21" t="str">
        <x:v>objetivo</x:v>
      </x:c>
      <x:c r="M50" s="21" t="str">
        <x:v>100</x:v>
      </x:c>
      <x:c r="N50" s="21" t="str">
        <x:v>200</x:v>
      </x:c>
      <x:c r="O50" s="21" t="str">
        <x:v>COMPLETA</x:v>
      </x:c>
      <x:c r="P50" s="21" t="str">
        <x:v>U</x:v>
      </x:c>
      <x:c r="Q50" s="21" t="str">
        <x:v>U</x:v>
      </x:c>
      <x:c r="R50" s="27" t="str">
        <x:f>IF(EXACT("x"&amp;P50,"x"&amp;Q50),"PASA","DISCORDA")</x:f>
        <x:v>PASA</x:v>
      </x:c>
      <x:c r="S50" s="21" t="str">
        <x:v>{"ancla": "100", "cobertura": "COMPLETA", "conflicto": "NO", "corte": "200", "objetivo": "objetivo", "observacion": "INDIRECTA", "parametro": "P12", "perfil": "FIJADO", "pertinencia": "SI", "recepcion": "ADMITIDA", "tipo": "TEXTO", "tipo_objetivo": "TEXTO", "valor": "objetivo"}</x:v>
      </x:c>
    </x:row>
    <x:row r="51" ht="59" customHeight="1">
      <x:c r="A51" s="21" t="str">
        <x:v>TC-047</x:v>
      </x:c>
      <x:c r="B51" s="21" t="str">
        <x:v>P12</x:v>
      </x:c>
      <x:c r="C51" s="21" t="str">
        <x:v>Tipos distintos no equivalentes</x:v>
      </x:c>
      <x:c r="D51" s="21" t="str">
        <x:v>ADMITIDA</x:v>
      </x:c>
      <x:c r="E51" s="21" t="str">
        <x:v>FIJADO</x:v>
      </x:c>
      <x:c r="F51" s="21" t="str">
        <x:v>SI</x:v>
      </x:c>
      <x:c r="G51" s="21" t="str">
        <x:v>PRESENTE</x:v>
      </x:c>
      <x:c r="H51" s="21" t="str">
        <x:v>NO</x:v>
      </x:c>
      <x:c r="I51" s="21" t="str">
        <x:v>BOOL</x:v>
      </x:c>
      <x:c r="J51" s="21" t="str">
        <x:v>TEXTO</x:v>
      </x:c>
      <x:c r="K51" s="21" t="str">
        <x:v>true</x:v>
      </x:c>
      <x:c r="L51" s="21" t="str">
        <x:v>true</x:v>
      </x:c>
      <x:c r="M51" s="21" t="str">
        <x:v>100</x:v>
      </x:c>
      <x:c r="N51" s="21" t="str">
        <x:v>200</x:v>
      </x:c>
      <x:c r="O51" s="21" t="str">
        <x:v>COMPLETA</x:v>
      </x:c>
      <x:c r="P51" s="21" t="str">
        <x:v>NO_ADMITIDA</x:v>
      </x:c>
      <x:c r="Q51" s="21" t="str">
        <x:v>NO_ADMITIDA</x:v>
      </x:c>
      <x:c r="R51" s="27" t="str">
        <x:f>IF(EXACT("x"&amp;P51,"x"&amp;Q51),"PASA","DISCORDA")</x:f>
        <x:v>PASA</x:v>
      </x:c>
      <x:c r="S51" s="21" t="str">
        <x:v>{"ancla": "100", "cobertura": "COMPLETA", "conflicto": "NO", "corte": "200", "objetivo": "true", "observacion": "PRESENTE", "parametro": "P12", "perfil": "FIJADO", "pertinencia": "SI", "recepcion": "ADMITIDA", "tipo": "BOOL", "tipo_objetivo": "TEXTO", "valor": "true"}</x:v>
      </x:c>
    </x:row>
    <x:row r="52" ht="59" customHeight="1">
      <x:c r="A52" s="21" t="str">
        <x:v>TC-048</x:v>
      </x:c>
      <x:c r="B52" s="21" t="str">
        <x:v>P12</x:v>
      </x:c>
      <x:c r="C52" s="21" t="str">
        <x:v>Clave compuesta sin adjudicación</x:v>
      </x:c>
      <x:c r="D52" s="21" t="str">
        <x:v>ADMITIDA</x:v>
      </x:c>
      <x:c r="E52" s="21" t="str">
        <x:v>COMPUESTO</x:v>
      </x:c>
      <x:c r="F52" s="21" t="str">
        <x:v>SI</x:v>
      </x:c>
      <x:c r="G52" s="21" t="str">
        <x:v>PRESENTE</x:v>
      </x:c>
      <x:c r="H52" s="21" t="str">
        <x:v>NO</x:v>
      </x:c>
      <x:c r="I52" s="21" t="str">
        <x:v>TEXTO</x:v>
      </x:c>
      <x:c r="J52" s="21" t="str">
        <x:v>TEXTO</x:v>
      </x:c>
      <x:c r="K52" s="21" t="str">
        <x:v>objetivo</x:v>
      </x:c>
      <x:c r="L52" s="21" t="str">
        <x:v>objetivo</x:v>
      </x:c>
      <x:c r="M52" s="21" t="str">
        <x:v>100</x:v>
      </x:c>
      <x:c r="N52" s="21" t="str">
        <x:v>200</x:v>
      </x:c>
      <x:c r="O52" s="21" t="str">
        <x:v>COMPLETA</x:v>
      </x:c>
      <x:c r="P52" s="21" t="str">
        <x:v>CONFIGURACION_PENDIENTE</x:v>
      </x:c>
      <x:c r="Q52" s="21" t="str">
        <x:v>CONFIGURACION_PENDIENTE</x:v>
      </x:c>
      <x:c r="R52" s="27" t="str">
        <x:f>IF(EXACT("x"&amp;P52,"x"&amp;Q52),"PASA","DISCORDA")</x:f>
        <x:v>PASA</x:v>
      </x:c>
      <x:c r="S52" s="21" t="str">
        <x:v>{"ancla": "100", "cobertura": "COMPLETA", "conflicto": "NO", "corte": "200", "objetivo": "objetivo", "observacion": "PRESENTE", "parametro": "P12", "perfil": "COMPUESTO", "pertinencia": "SI", "recepcion": "ADMITIDA", "tipo": "TEXTO", "tipo_objetivo": "TEXTO", "valor": "objetivo"}</x:v>
      </x:c>
    </x:row>
    <x:row r="53" ht="59" customHeight="1">
      <x:c r="A53" s="21" t="str">
        <x:v>TC-049</x:v>
      </x:c>
      <x:c r="B53" s="21" t="str">
        <x:v>P12</x:v>
      </x:c>
      <x:c r="C53" s="21" t="str">
        <x:v>Cero textual distinto de ausencia</x:v>
      </x:c>
      <x:c r="D53" s="21" t="str">
        <x:v>ADMITIDA</x:v>
      </x:c>
      <x:c r="E53" s="21" t="str">
        <x:v>FIJADO</x:v>
      </x:c>
      <x:c r="F53" s="21" t="str">
        <x:v>SI</x:v>
      </x:c>
      <x:c r="G53" s="21" t="str">
        <x:v>PRESENTE</x:v>
      </x:c>
      <x:c r="H53" s="21" t="str">
        <x:v>NO</x:v>
      </x:c>
      <x:c r="I53" s="21" t="str">
        <x:v>TEXTO</x:v>
      </x:c>
      <x:c r="J53" s="21" t="str">
        <x:v>TEXTO</x:v>
      </x:c>
      <x:c r="K53" s="21" t="str">
        <x:v>0</x:v>
      </x:c>
      <x:c r="L53" s="21" t="str">
        <x:v>0</x:v>
      </x:c>
      <x:c r="M53" s="21" t="str">
        <x:v>100</x:v>
      </x:c>
      <x:c r="N53" s="21" t="str">
        <x:v>200</x:v>
      </x:c>
      <x:c r="O53" s="21" t="str">
        <x:v>COMPLETA</x:v>
      </x:c>
      <x:c r="P53" s="21" t="str">
        <x:v>1</x:v>
      </x:c>
      <x:c r="Q53" s="21" t="str">
        <x:v>1</x:v>
      </x:c>
      <x:c r="R53" s="27" t="str">
        <x:f>IF(EXACT("x"&amp;P53,"x"&amp;Q53),"PASA","DISCORDA")</x:f>
        <x:v>PASA</x:v>
      </x:c>
      <x:c r="S53" s="21" t="str">
        <x:v>{"ancla": "100", "cobertura": "COMPLETA", "conflicto": "NO", "corte": "200", "objetivo": "0", "observacion": "PRESENTE", "parametro": "P12", "perfil": "FIJADO", "pertinencia": "SI", "recepcion": "ADMITIDA", "tipo": "TEXTO", "tipo_objetivo": "TEXTO", "valor": "0"}</x:v>
      </x:c>
    </x:row>
    <x:row r="54" ht="59" customHeight="1">
      <x:c r="A54" s="21" t="str">
        <x:v>TC-050</x:v>
      </x:c>
      <x:c r="B54" s="21" t="str">
        <x:v>P12</x:v>
      </x:c>
      <x:c r="C54" s="21" t="str">
        <x:v>Ceros iniciales no normalizados sin regla</x:v>
      </x:c>
      <x:c r="D54" s="21" t="str">
        <x:v>ADMITIDA</x:v>
      </x:c>
      <x:c r="E54" s="21" t="str">
        <x:v>FIJADO</x:v>
      </x:c>
      <x:c r="F54" s="21" t="str">
        <x:v>SI</x:v>
      </x:c>
      <x:c r="G54" s="21" t="str">
        <x:v>PRESENTE</x:v>
      </x:c>
      <x:c r="H54" s="21" t="str">
        <x:v>NO</x:v>
      </x:c>
      <x:c r="I54" s="21" t="str">
        <x:v>TEXTO</x:v>
      </x:c>
      <x:c r="J54" s="21" t="str">
        <x:v>TEXTO</x:v>
      </x:c>
      <x:c r="K54" s="21" t="str">
        <x:v>00</x:v>
      </x:c>
      <x:c r="L54" s="21" t="str">
        <x:v>0</x:v>
      </x:c>
      <x:c r="M54" s="21" t="str">
        <x:v>100</x:v>
      </x:c>
      <x:c r="N54" s="21" t="str">
        <x:v>200</x:v>
      </x:c>
      <x:c r="O54" s="21" t="str">
        <x:v>COMPLETA</x:v>
      </x:c>
      <x:c r="P54" s="21" t="str">
        <x:v>0</x:v>
      </x:c>
      <x:c r="Q54" s="21" t="str">
        <x:v>0</x:v>
      </x:c>
      <x:c r="R54" s="27" t="str">
        <x:f>IF(EXACT("x"&amp;P54,"x"&amp;Q54),"PASA","DISCORDA")</x:f>
        <x:v>PASA</x:v>
      </x:c>
      <x:c r="S54" s="21" t="str">
        <x:v>{"ancla": "100", "cobertura": "COMPLETA", "conflicto": "NO", "corte": "200", "objetivo": "0", "observacion": "PRESENTE", "parametro": "P12", "perfil": "FIJADO", "pertinencia": "SI", "recepcion": "ADMITIDA", "tipo": "TEXTO", "tipo_objetivo": "TEXTO", "valor": "00"}</x:v>
      </x:c>
    </x:row>
    <x:row r="55" ht="59" customHeight="1">
      <x:c r="A55" s="21" t="str">
        <x:v>TC-051</x:v>
      </x:c>
      <x:c r="B55" s="21" t="str">
        <x:v>P13</x:v>
      </x:c>
      <x:c r="C55" s="21" t="str">
        <x:v>Ruta o versión no prueba bytes</x:v>
      </x:c>
      <x:c r="D55" s="21" t="str">
        <x:v>ADMITIDA</x:v>
      </x:c>
      <x:c r="E55" s="21" t="str">
        <x:v>FIJADO</x:v>
      </x:c>
      <x:c r="F55" s="21" t="str">
        <x:v>SI</x:v>
      </x:c>
      <x:c r="G55" s="21" t="str">
        <x:v>INDIRECTA</x:v>
      </x:c>
      <x:c r="H55" s="21" t="str">
        <x:v>NO</x:v>
      </x:c>
      <x:c r="I55" s="21" t="str">
        <x:v>TEXTO</x:v>
      </x:c>
      <x:c r="J55" s="21" t="str">
        <x:v>TEXTO</x:v>
      </x:c>
      <x:c r="K55" s="21" t="str">
        <x:v>objetivo</x:v>
      </x:c>
      <x:c r="L55" s="21" t="str">
        <x:v>objetivo</x:v>
      </x:c>
      <x:c r="M55" s="21" t="str">
        <x:v>100</x:v>
      </x:c>
      <x:c r="N55" s="21" t="str">
        <x:v>200</x:v>
      </x:c>
      <x:c r="O55" s="21" t="str">
        <x:v>COMPLETA</x:v>
      </x:c>
      <x:c r="P55" s="21" t="str">
        <x:v>U</x:v>
      </x:c>
      <x:c r="Q55" s="21" t="str">
        <x:v>U</x:v>
      </x:c>
      <x:c r="R55" s="27" t="str">
        <x:f>IF(EXACT("x"&amp;P55,"x"&amp;Q55),"PASA","DISCORDA")</x:f>
        <x:v>PASA</x:v>
      </x:c>
      <x:c r="S55" s="21" t="str">
        <x:v>{"ancla": "100", "cobertura": "COMPLETA", "conflicto": "NO", "corte": "200", "objetivo": "objetivo", "observacion": "INDIRECTA", "parametro": "P13", "perfil": "FIJADO", "pertinencia": "SI", "recepcion": "ADMITIDA", "tipo": "TEXTO", "tipo_objetivo": "TEXTO", "valor": "objetivo"}</x:v>
      </x:c>
    </x:row>
    <x:row r="56" ht="59" customHeight="1">
      <x:c r="A56" s="21" t="str">
        <x:v>TC-052</x:v>
      </x:c>
      <x:c r="B56" s="21" t="str">
        <x:v>P13</x:v>
      </x:c>
      <x:c r="C56" s="21" t="str">
        <x:v>Lectura inconsistente</x:v>
      </x:c>
      <x:c r="D56" s="21" t="str">
        <x:v>ADMITIDA</x:v>
      </x:c>
      <x:c r="E56" s="21" t="str">
        <x:v>FIJADO</x:v>
      </x:c>
      <x:c r="F56" s="21" t="str">
        <x:v>SI</x:v>
      </x:c>
      <x:c r="G56" s="21" t="str">
        <x:v>PARCIAL</x:v>
      </x:c>
      <x:c r="H56" s="21" t="str">
        <x:v>NO</x:v>
      </x:c>
      <x:c r="I56" s="21" t="str">
        <x:v>TEXTO</x:v>
      </x:c>
      <x:c r="J56" s="21" t="str">
        <x:v>TEXTO</x:v>
      </x:c>
      <x:c r="K56" s="21" t="str">
        <x:v>objetivo</x:v>
      </x:c>
      <x:c r="L56" s="21" t="str">
        <x:v>objetivo</x:v>
      </x:c>
      <x:c r="M56" s="21" t="str">
        <x:v>100</x:v>
      </x:c>
      <x:c r="N56" s="21" t="str">
        <x:v>200</x:v>
      </x:c>
      <x:c r="O56" s="21" t="str">
        <x:v>COMPLETA</x:v>
      </x:c>
      <x:c r="P56" s="21" t="str">
        <x:v>U</x:v>
      </x:c>
      <x:c r="Q56" s="21" t="str">
        <x:v>U</x:v>
      </x:c>
      <x:c r="R56" s="27" t="str">
        <x:f>IF(EXACT("x"&amp;P56,"x"&amp;Q56),"PASA","DISCORDA")</x:f>
        <x:v>PASA</x:v>
      </x:c>
      <x:c r="S56" s="21" t="str">
        <x:v>{"ancla": "100", "cobertura": "COMPLETA", "conflicto": "NO", "corte": "200", "objetivo": "objetivo", "observacion": "PARCIAL", "parametro": "P13", "perfil": "FIJADO", "pertinencia": "SI", "recepcion": "ADMITIDA", "tipo": "TEXTO", "tipo_objetivo": "TEXTO", "valor": "objetivo"}</x:v>
      </x:c>
    </x:row>
    <x:row r="57" ht="74" customHeight="1">
      <x:c r="A57" s="21" t="str">
        <x:v>TC-053</x:v>
      </x:c>
      <x:c r="B57" s="21" t="str">
        <x:v>P13</x:v>
      </x:c>
      <x:c r="C57" s="21" t="str">
        <x:v>Digest truncado</x:v>
      </x:c>
      <x:c r="D57" s="21" t="str">
        <x:v>ADMITIDA</x:v>
      </x:c>
      <x:c r="E57" s="21" t="str">
        <x:v>FIJADO</x:v>
      </x:c>
      <x:c r="F57" s="21" t="str">
        <x:v>SI</x:v>
      </x:c>
      <x:c r="G57" s="21" t="str">
        <x:v>PRESENTE</x:v>
      </x:c>
      <x:c r="H57" s="21" t="str">
        <x:v>NO</x:v>
      </x:c>
      <x:c r="I57" s="21" t="str">
        <x:v>TEXTO</x:v>
      </x:c>
      <x:c r="J57" s="21" t="str">
        <x:v>TEXTO</x:v>
      </x:c>
      <x:c r="K57" s="21" t="str">
        <x:v>aaaaaaaaaaaaaaaaaaaaaaaaaaaaaaaaaaaaaaaaaaaaaaaaaaaaaaaaaaaaaaa</x:v>
      </x:c>
      <x:c r="L57" s="21" t="str">
        <x:v>aaaaaaaaaaaaaaaaaaaaaaaaaaaaaaaaaaaaaaaaaaaaaaaaaaaaaaaaaaaaaaaa</x:v>
      </x:c>
      <x:c r="M57" s="21" t="str">
        <x:v>100</x:v>
      </x:c>
      <x:c r="N57" s="21" t="str">
        <x:v>200</x:v>
      </x:c>
      <x:c r="O57" s="21" t="str">
        <x:v>COMPLETA</x:v>
      </x:c>
      <x:c r="P57" s="21" t="str">
        <x:v>NO_ADMITIDA</x:v>
      </x:c>
      <x:c r="Q57" s="21" t="str">
        <x:v>NO_ADMITIDA</x:v>
      </x:c>
      <x:c r="R57" s="27" t="str">
        <x:f>IF(EXACT("x"&amp;P57,"x"&amp;Q57),"PASA","DISCORDA")</x:f>
        <x:v>PASA</x:v>
      </x:c>
      <x:c r="S57" s="21" t="str">
        <x:v>{"ancla": "100", "cobertura": "COMPLETA", "conflicto": "NO", "corte": "200", "objetivo": "aaaaaaaaaaaaaaaaaaaaaaaaaaaaaaaaaaaaaaaaaaaaaaaaaaaaaaaaaaaaaaaa", "observacion": "PRESENTE", "parametro": "P13", "perfil": "FIJADO", "pertinencia": "SI", "recepcion": "ADMITIDA", "tipo": "TEXTO", "tipo_objetivo": "TEXTO", "valor": "aaaaaaaaaaaaaaaaaaaaaaaaaaaaaaaaaaaaaaaaaaaaaaaaaaaaaaaaaaaaaaa"}</x:v>
      </x:c>
    </x:row>
    <x:row r="58" ht="74" customHeight="1">
      <x:c r="A58" s="21" t="str">
        <x:v>TC-054</x:v>
      </x:c>
      <x:c r="B58" s="21" t="str">
        <x:v>P13</x:v>
      </x:c>
      <x:c r="C58" s="21" t="str">
        <x:v>Digest con carácter no hexadecimal</x:v>
      </x:c>
      <x:c r="D58" s="21" t="str">
        <x:v>ADMITIDA</x:v>
      </x:c>
      <x:c r="E58" s="21" t="str">
        <x:v>FIJADO</x:v>
      </x:c>
      <x:c r="F58" s="21" t="str">
        <x:v>SI</x:v>
      </x:c>
      <x:c r="G58" s="21" t="str">
        <x:v>PRESENTE</x:v>
      </x:c>
      <x:c r="H58" s="21" t="str">
        <x:v>NO</x:v>
      </x:c>
      <x:c r="I58" s="21" t="str">
        <x:v>TEXTO</x:v>
      </x:c>
      <x:c r="J58" s="21" t="str">
        <x:v>TEXTO</x:v>
      </x:c>
      <x:c r="K58" s="21" t="str">
        <x:v>gggggggggggggggggggggggggggggggggggggggggggggggggggggggggggggggg</x:v>
      </x:c>
      <x:c r="L58" s="21" t="str">
        <x:v>aaaaaaaaaaaaaaaaaaaaaaaaaaaaaaaaaaaaaaaaaaaaaaaaaaaaaaaaaaaaaaaa</x:v>
      </x:c>
      <x:c r="M58" s="21" t="str">
        <x:v>100</x:v>
      </x:c>
      <x:c r="N58" s="21" t="str">
        <x:v>200</x:v>
      </x:c>
      <x:c r="O58" s="21" t="str">
        <x:v>COMPLETA</x:v>
      </x:c>
      <x:c r="P58" s="21" t="str">
        <x:v>NO_ADMITIDA</x:v>
      </x:c>
      <x:c r="Q58" s="21" t="str">
        <x:v>NO_ADMITIDA</x:v>
      </x:c>
      <x:c r="R58" s="27" t="str">
        <x:f>IF(EXACT("x"&amp;P58,"x"&amp;Q58),"PASA","DISCORDA")</x:f>
        <x:v>PASA</x:v>
      </x:c>
      <x:c r="S58" s="21" t="str">
        <x:v>{"ancla": "100", "cobertura": "COMPLETA", "conflicto": "NO", "corte": "200", "objetivo": "aaaaaaaaaaaaaaaaaaaaaaaaaaaaaaaaaaaaaaaaaaaaaaaaaaaaaaaaaaaaaaaa", "observacion": "PRESENTE", "parametro": "P13", "perfil": "FIJADO", "pertinencia": "SI", "recepcion": "ADMITIDA", "tipo": "TEXTO", "tipo_objetivo": "TEXTO", "valor": "gggggggggggggggggggggggggggggggggggggggggggggggggggggggggggggggg"}</x:v>
      </x:c>
    </x:row>
    <x:row r="59" ht="74" customHeight="1">
      <x:c r="A59" s="21" t="str">
        <x:v>TC-055</x:v>
      </x:c>
      <x:c r="B59" s="21" t="str">
        <x:v>P13</x:v>
      </x:c>
      <x:c r="C59" s="21" t="str">
        <x:v>Referencia de memoria usada como disco</x:v>
      </x:c>
      <x:c r="D59" s="21" t="str">
        <x:v>ADMITIDA</x:v>
      </x:c>
      <x:c r="E59" s="21" t="str">
        <x:v>FIJADO</x:v>
      </x:c>
      <x:c r="F59" s="21" t="str">
        <x:v>NO</x:v>
      </x:c>
      <x:c r="G59" s="21" t="str">
        <x:v>PRESENTE</x:v>
      </x:c>
      <x:c r="H59" s="21" t="str">
        <x:v>NO</x:v>
      </x:c>
      <x:c r="I59" s="21" t="str">
        <x:v>TEXTO</x:v>
      </x:c>
      <x:c r="J59" s="21" t="str">
        <x:v>TEXTO</x:v>
      </x:c>
      <x:c r="K59" s="21" t="str">
        <x:v>aaaaaaaaaaaaaaaaaaaaaaaaaaaaaaaaaaaaaaaaaaaaaaaaaaaaaaaaaaaaaaaa</x:v>
      </x:c>
      <x:c r="L59" s="21" t="str">
        <x:v>aaaaaaaaaaaaaaaaaaaaaaaaaaaaaaaaaaaaaaaaaaaaaaaaaaaaaaaaaaaaaaaa</x:v>
      </x:c>
      <x:c r="M59" s="21" t="str">
        <x:v>100</x:v>
      </x:c>
      <x:c r="N59" s="21" t="str">
        <x:v>200</x:v>
      </x:c>
      <x:c r="O59" s="21" t="str">
        <x:v>COMPLETA</x:v>
      </x:c>
      <x:c r="P59" s="21" t="str">
        <x:v>FUERA_DE_PERFIL</x:v>
      </x:c>
      <x:c r="Q59" s="21" t="str">
        <x:v>FUERA_DE_PERFIL</x:v>
      </x:c>
      <x:c r="R59" s="27" t="str">
        <x:f>IF(EXACT("x"&amp;P59,"x"&amp;Q59),"PASA","DISCORDA")</x:f>
        <x:v>PASA</x:v>
      </x:c>
      <x:c r="S59" s="21" t="str">
        <x:v>{"ancla": "100", "cobertura": "COMPLETA", "conflicto": "NO", "corte": "200", "objetivo": "aaaaaaaaaaaaaaaaaaaaaaaaaaaaaaaaaaaaaaaaaaaaaaaaaaaaaaaaaaaaaaaa", "observacion": "PRESENTE", "parametro": "P13", "perfil": "FIJADO", "pertinencia": "NO", "recepcion": "ADMITIDA", "tipo": "TEXTO", "tipo_objetivo": "TEXTO", "valor": "aaaaaaaaaaaaaaaaaaaaaaaaaaaaaaaaaaaaaaaaaaaaaaaaaaaaaaaaaaaaaaaa"}</x:v>
      </x:c>
    </x:row>
    <x:row r="60" ht="59" customHeight="1">
      <x:c r="A60" s="21" t="str">
        <x:v>TC-056</x:v>
      </x:c>
      <x:c r="B60" s="21" t="str">
        <x:v>P14</x:v>
      </x:c>
      <x:c r="C60" s="21" t="str">
        <x:v>Cambio y retorno conserva historia</x:v>
      </x:c>
      <x:c r="D60" s="21" t="str">
        <x:v>ADMITIDA</x:v>
      </x:c>
      <x:c r="E60" s="21" t="str">
        <x:v>FIJADO</x:v>
      </x:c>
      <x:c r="F60" s="21" t="str">
        <x:v>SI</x:v>
      </x:c>
      <x:c r="G60" s="21" t="str">
        <x:v>PRESENTE</x:v>
      </x:c>
      <x:c r="H60" s="21" t="str">
        <x:v>NO</x:v>
      </x:c>
      <x:c r="I60" s="21" t="str">
        <x:v>TEXTO</x:v>
      </x:c>
      <x:c r="J60" s="21" t="str">
        <x:v>TEXTO</x:v>
      </x:c>
      <x:c r="K60" s="21" t="str">
        <x:v>TRANSICION_Y_RETORNO</x:v>
      </x:c>
      <x:c r="L60" s="21" t="str">
        <x:v>objetivo</x:v>
      </x:c>
      <x:c r="M60" s="21" t="str">
        <x:v>100</x:v>
      </x:c>
      <x:c r="N60" s="21" t="str">
        <x:v>200</x:v>
      </x:c>
      <x:c r="O60" s="21" t="str">
        <x:v>COMPLETA</x:v>
      </x:c>
      <x:c r="P60" s="21" t="str">
        <x:v>1</x:v>
      </x:c>
      <x:c r="Q60" s="21" t="str">
        <x:v>1</x:v>
      </x:c>
      <x:c r="R60" s="27" t="str">
        <x:f>IF(EXACT("x"&amp;P60,"x"&amp;Q60),"PASA","DISCORDA")</x:f>
        <x:v>PASA</x:v>
      </x:c>
      <x:c r="S60" s="21" t="str">
        <x:v>{"ancla": "100", "cobertura": "COMPLETA", "conflicto": "NO", "corte": "200", "objetivo": "objetivo", "observacion": "PRESENTE", "parametro": "P14", "perfil": "FIJADO", "pertinencia": "SI", "recepcion": "ADMITIDA", "tipo": "TEXTO", "tipo_objetivo": "TEXTO", "valor": "TRANSICION_Y_RETORNO"}</x:v>
      </x:c>
    </x:row>
    <x:row r="61" ht="59" customHeight="1">
      <x:c r="A61" s="21" t="str">
        <x:v>TC-057</x:v>
      </x:c>
      <x:c r="B61" s="21" t="str">
        <x:v>P14</x:v>
      </x:c>
      <x:c r="C61" s="21" t="str">
        <x:v>Sin cambio pero historia parcial</x:v>
      </x:c>
      <x:c r="D61" s="21" t="str">
        <x:v>ADMITIDA</x:v>
      </x:c>
      <x:c r="E61" s="21" t="str">
        <x:v>FIJADO</x:v>
      </x:c>
      <x:c r="F61" s="21" t="str">
        <x:v>SI</x:v>
      </x:c>
      <x:c r="G61" s="21" t="str">
        <x:v>PRESENTE</x:v>
      </x:c>
      <x:c r="H61" s="21" t="str">
        <x:v>NO</x:v>
      </x:c>
      <x:c r="I61" s="21" t="str">
        <x:v>TEXTO</x:v>
      </x:c>
      <x:c r="J61" s="21" t="str">
        <x:v>TEXTO</x:v>
      </x:c>
      <x:c r="K61" s="21" t="str">
        <x:v>SIN_TRANSICION</x:v>
      </x:c>
      <x:c r="L61" s="21" t="str">
        <x:v>objetivo</x:v>
      </x:c>
      <x:c r="M61" s="21" t="str">
        <x:v>100</x:v>
      </x:c>
      <x:c r="N61" s="21" t="str">
        <x:v>200</x:v>
      </x:c>
      <x:c r="O61" s="21" t="str">
        <x:v>PARCIAL</x:v>
      </x:c>
      <x:c r="P61" s="21" t="str">
        <x:v>U</x:v>
      </x:c>
      <x:c r="Q61" s="21" t="str">
        <x:v>U</x:v>
      </x:c>
      <x:c r="R61" s="27" t="str">
        <x:f>IF(EXACT("x"&amp;P61,"x"&amp;Q61),"PASA","DISCORDA")</x:f>
        <x:v>PASA</x:v>
      </x:c>
      <x:c r="S61" s="21" t="str">
        <x:v>{"ancla": "100", "cobertura": "PARCIAL", "conflicto": "NO", "corte": "200", "objetivo": "objetivo", "observacion": "PRESENTE", "parametro": "P14", "perfil": "FIJADO", "pertinencia": "SI", "recepcion": "ADMITIDA", "tipo": "TEXTO", "tipo_objetivo": "TEXTO", "valor": "SIN_TRANSICION"}</x:v>
      </x:c>
    </x:row>
    <x:row r="62" ht="59" customHeight="1">
      <x:c r="A62" s="21" t="str">
        <x:v>TC-058</x:v>
      </x:c>
      <x:c r="B62" s="21" t="str">
        <x:v>P14</x:v>
      </x:c>
      <x:c r="C62" s="21" t="str">
        <x:v>Transición positiva con historia parcial</x:v>
      </x:c>
      <x:c r="D62" s="21" t="str">
        <x:v>ADMITIDA</x:v>
      </x:c>
      <x:c r="E62" s="21" t="str">
        <x:v>FIJADO</x:v>
      </x:c>
      <x:c r="F62" s="21" t="str">
        <x:v>SI</x:v>
      </x:c>
      <x:c r="G62" s="21" t="str">
        <x:v>PRESENTE</x:v>
      </x:c>
      <x:c r="H62" s="21" t="str">
        <x:v>NO</x:v>
      </x:c>
      <x:c r="I62" s="21" t="str">
        <x:v>TEXTO</x:v>
      </x:c>
      <x:c r="J62" s="21" t="str">
        <x:v>TEXTO</x:v>
      </x:c>
      <x:c r="K62" s="21" t="str">
        <x:v>TRANSICION</x:v>
      </x:c>
      <x:c r="L62" s="21" t="str">
        <x:v>objetivo</x:v>
      </x:c>
      <x:c r="M62" s="21" t="str">
        <x:v>100</x:v>
      </x:c>
      <x:c r="N62" s="21" t="str">
        <x:v>200</x:v>
      </x:c>
      <x:c r="O62" s="21" t="str">
        <x:v>PARCIAL</x:v>
      </x:c>
      <x:c r="P62" s="21" t="str">
        <x:v>1</x:v>
      </x:c>
      <x:c r="Q62" s="21" t="str">
        <x:v>1</x:v>
      </x:c>
      <x:c r="R62" s="27" t="str">
        <x:f>IF(EXACT("x"&amp;P62,"x"&amp;Q62),"PASA","DISCORDA")</x:f>
        <x:v>PASA</x:v>
      </x:c>
      <x:c r="S62" s="21" t="str">
        <x:v>{"ancla": "100", "cobertura": "PARCIAL", "conflicto": "NO", "corte": "200", "objetivo": "objetivo", "observacion": "PRESENTE", "parametro": "P14", "perfil": "FIJADO", "pertinencia": "SI", "recepcion": "ADMITIDA", "tipo": "TEXTO", "tipo_objetivo": "TEXTO", "valor": "TRANSICION"}</x:v>
      </x:c>
    </x:row>
    <x:row r="63" ht="59" customHeight="1">
      <x:c r="A63" s="21" t="str">
        <x:v>TC-059</x:v>
      </x:c>
      <x:c r="B63" s="21" t="str">
        <x:v>P14</x:v>
      </x:c>
      <x:c r="C63" s="21" t="str">
        <x:v>Extremos iguales sin historia</x:v>
      </x:c>
      <x:c r="D63" s="21" t="str">
        <x:v>ADMITIDA</x:v>
      </x:c>
      <x:c r="E63" s="21" t="str">
        <x:v>FIJADO</x:v>
      </x:c>
      <x:c r="F63" s="21" t="str">
        <x:v>SI</x:v>
      </x:c>
      <x:c r="G63" s="21" t="str">
        <x:v>PRESENTE</x:v>
      </x:c>
      <x:c r="H63" s="21" t="str">
        <x:v>NO</x:v>
      </x:c>
      <x:c r="I63" s="21" t="str">
        <x:v>TEXTO</x:v>
      </x:c>
      <x:c r="J63" s="21" t="str">
        <x:v>TEXTO</x:v>
      </x:c>
      <x:c r="K63" s="21" t="str">
        <x:v>EXTREMOS_IGUALES</x:v>
      </x:c>
      <x:c r="L63" s="21" t="str">
        <x:v>objetivo</x:v>
      </x:c>
      <x:c r="M63" s="21" t="str">
        <x:v>100</x:v>
      </x:c>
      <x:c r="N63" s="21" t="str">
        <x:v>200</x:v>
      </x:c>
      <x:c r="O63" s="21" t="str">
        <x:v>PARCIAL</x:v>
      </x:c>
      <x:c r="P63" s="21" t="str">
        <x:v>U</x:v>
      </x:c>
      <x:c r="Q63" s="21" t="str">
        <x:v>U</x:v>
      </x:c>
      <x:c r="R63" s="27" t="str">
        <x:f>IF(EXACT("x"&amp;P63,"x"&amp;Q63),"PASA","DISCORDA")</x:f>
        <x:v>PASA</x:v>
      </x:c>
      <x:c r="S63" s="21" t="str">
        <x:v>{"ancla": "100", "cobertura": "PARCIAL", "conflicto": "NO", "corte": "200", "objetivo": "objetivo", "observacion": "PRESENTE", "parametro": "P14", "perfil": "FIJADO", "pertinencia": "SI", "recepcion": "ADMITIDA", "tipo": "TEXTO", "tipo_objetivo": "TEXTO", "valor": "EXTREMOS_IGUALES"}</x:v>
      </x:c>
    </x:row>
    <x:row r="64" ht="59" customHeight="1">
      <x:c r="A64" s="21" t="str">
        <x:v>TC-060</x:v>
      </x:c>
      <x:c r="B64" s="21" t="str">
        <x:v>P14</x:v>
      </x:c>
      <x:c r="C64" s="21" t="str">
        <x:v>Reescritura con igual valor e historial completo</x:v>
      </x:c>
      <x:c r="D64" s="21" t="str">
        <x:v>ADMITIDA</x:v>
      </x:c>
      <x:c r="E64" s="21" t="str">
        <x:v>FIJADO</x:v>
      </x:c>
      <x:c r="F64" s="21" t="str">
        <x:v>SI</x:v>
      </x:c>
      <x:c r="G64" s="21" t="str">
        <x:v>PRESENTE</x:v>
      </x:c>
      <x:c r="H64" s="21" t="str">
        <x:v>NO</x:v>
      </x:c>
      <x:c r="I64" s="21" t="str">
        <x:v>TEXTO</x:v>
      </x:c>
      <x:c r="J64" s="21" t="str">
        <x:v>TEXTO</x:v>
      </x:c>
      <x:c r="K64" s="21" t="str">
        <x:v>MISMO_VALOR</x:v>
      </x:c>
      <x:c r="L64" s="21" t="str">
        <x:v>objetivo</x:v>
      </x:c>
      <x:c r="M64" s="21" t="str">
        <x:v>100</x:v>
      </x:c>
      <x:c r="N64" s="21" t="str">
        <x:v>200</x:v>
      </x:c>
      <x:c r="O64" s="21" t="str">
        <x:v>COMPLETA</x:v>
      </x:c>
      <x:c r="P64" s="21" t="str">
        <x:v>0</x:v>
      </x:c>
      <x:c r="Q64" s="21" t="str">
        <x:v>0</x:v>
      </x:c>
      <x:c r="R64" s="27" t="str">
        <x:f>IF(EXACT("x"&amp;P64,"x"&amp;Q64),"PASA","DISCORDA")</x:f>
        <x:v>PASA</x:v>
      </x:c>
      <x:c r="S64" s="21" t="str">
        <x:v>{"ancla": "100", "cobertura": "COMPLETA", "conflicto": "NO", "corte": "200", "objetivo": "objetivo", "observacion": "PRESENTE", "parametro": "P14", "perfil": "FIJADO", "pertinencia": "SI", "recepcion": "ADMITIDA", "tipo": "TEXTO", "tipo_objetivo": "TEXTO", "valor": "MISMO_VALOR"}</x:v>
      </x:c>
    </x:row>
    <x:row r="65" ht="59" customHeight="1">
      <x:c r="A65" s="21" t="str">
        <x:v>TC-061</x:v>
      </x:c>
      <x:c r="B65" s="21" t="str">
        <x:v>P15</x:v>
      </x:c>
      <x:c r="C65" s="21" t="str">
        <x:v>Regla general NIST no requisito específico</x:v>
      </x:c>
      <x:c r="D65" s="21" t="str">
        <x:v>ADMITIDA</x:v>
      </x:c>
      <x:c r="E65" s="21" t="str">
        <x:v>FIJADO</x:v>
      </x:c>
      <x:c r="F65" s="21" t="str">
        <x:v>SI</x:v>
      </x:c>
      <x:c r="G65" s="21" t="str">
        <x:v>INDIRECTA</x:v>
      </x:c>
      <x:c r="H65" s="21" t="str">
        <x:v>NO</x:v>
      </x:c>
      <x:c r="I65" s="21" t="str">
        <x:v>TEXTO</x:v>
      </x:c>
      <x:c r="J65" s="21" t="str">
        <x:v>TEXTO</x:v>
      </x:c>
      <x:c r="K65" s="21" t="str">
        <x:v>EJEMPLO_NIST</x:v>
      </x:c>
      <x:c r="L65" s="21" t="str">
        <x:v>objetivo</x:v>
      </x:c>
      <x:c r="M65" s="21" t="str">
        <x:v>100</x:v>
      </x:c>
      <x:c r="N65" s="21" t="str">
        <x:v>200</x:v>
      </x:c>
      <x:c r="O65" s="21" t="str">
        <x:v>COMPLETA</x:v>
      </x:c>
      <x:c r="P65" s="21" t="str">
        <x:v>U</x:v>
      </x:c>
      <x:c r="Q65" s="21" t="str">
        <x:v>U</x:v>
      </x:c>
      <x:c r="R65" s="27" t="str">
        <x:f>IF(EXACT("x"&amp;P65,"x"&amp;Q65),"PASA","DISCORDA")</x:f>
        <x:v>PASA</x:v>
      </x:c>
      <x:c r="S65" s="21" t="str">
        <x:v>{"ancla": "100", "cobertura": "COMPLETA", "conflicto": "NO", "corte": "200", "objetivo": "objetivo", "observacion": "INDIRECTA", "parametro": "P15", "perfil": "FIJADO", "pertinencia": "SI", "recepcion": "ADMITIDA", "tipo": "TEXTO", "tipo_objetivo": "TEXTO", "valor": "EJEMPLO_NIST"}</x:v>
      </x:c>
    </x:row>
    <x:row r="66" ht="59" customHeight="1">
      <x:c r="A66" s="21" t="str">
        <x:v>TC-062</x:v>
      </x:c>
      <x:c r="B66" s="21" t="str">
        <x:v>P15</x:v>
      </x:c>
      <x:c r="C66" s="21" t="str">
        <x:v>Acción agrupa dos efectos</x:v>
      </x:c>
      <x:c r="D66" s="21" t="str">
        <x:v>ADMITIDA</x:v>
      </x:c>
      <x:c r="E66" s="21" t="str">
        <x:v>COMPUESTO</x:v>
      </x:c>
      <x:c r="F66" s="21" t="str">
        <x:v>SI</x:v>
      </x:c>
      <x:c r="G66" s="21" t="str">
        <x:v>PRESENTE</x:v>
      </x:c>
      <x:c r="H66" s="21" t="str">
        <x:v>NO</x:v>
      </x:c>
      <x:c r="I66" s="21" t="str">
        <x:v>TEXTO</x:v>
      </x:c>
      <x:c r="J66" s="21" t="str">
        <x:v>TEXTO</x:v>
      </x:c>
      <x:c r="K66" s="21" t="str">
        <x:v>EXIGE</x:v>
      </x:c>
      <x:c r="L66" s="21" t="str">
        <x:v>objetivo</x:v>
      </x:c>
      <x:c r="M66" s="21" t="str">
        <x:v>100</x:v>
      </x:c>
      <x:c r="N66" s="21" t="str">
        <x:v>200</x:v>
      </x:c>
      <x:c r="O66" s="21" t="str">
        <x:v>COMPLETA</x:v>
      </x:c>
      <x:c r="P66" s="21" t="str">
        <x:v>CONFIGURACION_PENDIENTE</x:v>
      </x:c>
      <x:c r="Q66" s="21" t="str">
        <x:v>CONFIGURACION_PENDIENTE</x:v>
      </x:c>
      <x:c r="R66" s="27" t="str">
        <x:f>IF(EXACT("x"&amp;P66,"x"&amp;Q66),"PASA","DISCORDA")</x:f>
        <x:v>PASA</x:v>
      </x:c>
      <x:c r="S66" s="21" t="str">
        <x:v>{"ancla": "100", "cobertura": "COMPLETA", "conflicto": "NO", "corte": "200", "objetivo": "objetivo", "observacion": "PRESENTE", "parametro": "P15", "perfil": "COMPUESTO", "pertinencia": "SI", "recepcion": "ADMITIDA", "tipo": "TEXTO", "tipo_objetivo": "TEXTO", "valor": "EXIGE"}</x:v>
      </x:c>
    </x:row>
    <x:row r="67" ht="59" customHeight="1">
      <x:c r="A67" s="21" t="str">
        <x:v>TC-063</x:v>
      </x:c>
      <x:c r="B67" s="21" t="str">
        <x:v>P15</x:v>
      </x:c>
      <x:c r="C67" s="21" t="str">
        <x:v>Reinicio ya propiedad P01/P04</x:v>
      </x:c>
      <x:c r="D67" s="21" t="str">
        <x:v>ADMITIDA</x:v>
      </x:c>
      <x:c r="E67" s="21" t="str">
        <x:v>FIJADO</x:v>
      </x:c>
      <x:c r="F67" s="21" t="str">
        <x:v>NO</x:v>
      </x:c>
      <x:c r="G67" s="21" t="str">
        <x:v>PRESENTE</x:v>
      </x:c>
      <x:c r="H67" s="21" t="str">
        <x:v>NO</x:v>
      </x:c>
      <x:c r="I67" s="21" t="str">
        <x:v>TEXTO</x:v>
      </x:c>
      <x:c r="J67" s="21" t="str">
        <x:v>TEXTO</x:v>
      </x:c>
      <x:c r="K67" s="21" t="str">
        <x:v>EXIGE</x:v>
      </x:c>
      <x:c r="L67" s="21" t="str">
        <x:v>objetivo</x:v>
      </x:c>
      <x:c r="M67" s="21" t="str">
        <x:v>100</x:v>
      </x:c>
      <x:c r="N67" s="21" t="str">
        <x:v>200</x:v>
      </x:c>
      <x:c r="O67" s="21" t="str">
        <x:v>COMPLETA</x:v>
      </x:c>
      <x:c r="P67" s="21" t="str">
        <x:v>FUERA_DE_PERFIL</x:v>
      </x:c>
      <x:c r="Q67" s="21" t="str">
        <x:v>FUERA_DE_PERFIL</x:v>
      </x:c>
      <x:c r="R67" s="27" t="str">
        <x:f>IF(EXACT("x"&amp;P67,"x"&amp;Q67),"PASA","DISCORDA")</x:f>
        <x:v>PASA</x:v>
      </x:c>
      <x:c r="S67" s="21" t="str">
        <x:v>{"ancla": "100", "cobertura": "COMPLETA", "conflicto": "NO", "corte": "200", "objetivo": "objetivo", "observacion": "PRESENTE", "parametro": "P15", "perfil": "FIJADO", "pertinencia": "NO", "recepcion": "ADMITIDA", "tipo": "TEXTO", "tipo_objetivo": "TEXTO", "valor": "EXIGE"}</x:v>
      </x:c>
    </x:row>
    <x:row r="68" ht="59" customHeight="1">
      <x:c r="A68" s="21" t="str">
        <x:v>TC-064</x:v>
      </x:c>
      <x:c r="B68" s="21" t="str">
        <x:v>P15</x:v>
      </x:c>
      <x:c r="C68" s="21" t="str">
        <x:v>Condición de aplicabilidad sin resolver</x:v>
      </x:c>
      <x:c r="D68" s="21" t="str">
        <x:v>ADMITIDA</x:v>
      </x:c>
      <x:c r="E68" s="21" t="str">
        <x:v>FIJADO</x:v>
      </x:c>
      <x:c r="F68" s="21" t="str">
        <x:v>INCIERTA</x:v>
      </x:c>
      <x:c r="G68" s="21" t="str">
        <x:v>PRESENTE</x:v>
      </x:c>
      <x:c r="H68" s="21" t="str">
        <x:v>NO</x:v>
      </x:c>
      <x:c r="I68" s="21" t="str">
        <x:v>TEXTO</x:v>
      </x:c>
      <x:c r="J68" s="21" t="str">
        <x:v>TEXTO</x:v>
      </x:c>
      <x:c r="K68" s="21" t="str">
        <x:v>EXIGE</x:v>
      </x:c>
      <x:c r="L68" s="21" t="str">
        <x:v>objetivo</x:v>
      </x:c>
      <x:c r="M68" s="21" t="str">
        <x:v>100</x:v>
      </x:c>
      <x:c r="N68" s="21" t="str">
        <x:v>200</x:v>
      </x:c>
      <x:c r="O68" s="21" t="str">
        <x:v>COMPLETA</x:v>
      </x:c>
      <x:c r="P68" s="21" t="str">
        <x:v>CONFIGURACION_PENDIENTE</x:v>
      </x:c>
      <x:c r="Q68" s="21" t="str">
        <x:v>CONFIGURACION_PENDIENTE</x:v>
      </x:c>
      <x:c r="R68" s="27" t="str">
        <x:f>IF(EXACT("x"&amp;P68,"x"&amp;Q68),"PASA","DISCORDA")</x:f>
        <x:v>PASA</x:v>
      </x:c>
      <x:c r="S68" s="21" t="str">
        <x:v>{"ancla": "100", "cobertura": "COMPLETA", "conflicto": "NO", "corte": "200", "objetivo": "objetivo", "observacion": "PRESENTE", "parametro": "P15", "perfil": "FIJADO", "pertinencia": "INCIERTA", "recepcion": "ADMITIDA", "tipo": "TEXTO", "tipo_objetivo": "TEXTO", "valor": "EXIGE"}</x:v>
      </x:c>
    </x:row>
    <x:row r="69" ht="59" customHeight="1">
      <x:c r="A69" s="21" t="str">
        <x:v>TC-065</x:v>
      </x:c>
      <x:c r="B69" s="21" t="str">
        <x:v>P15</x:v>
      </x:c>
      <x:c r="C69" s="21" t="str">
        <x:v>Falso explícito no ausencia</x:v>
      </x:c>
      <x:c r="D69" s="21" t="str">
        <x:v>ADMITIDA</x:v>
      </x:c>
      <x:c r="E69" s="21" t="str">
        <x:v>FIJADO</x:v>
      </x:c>
      <x:c r="F69" s="21" t="str">
        <x:v>SI</x:v>
      </x:c>
      <x:c r="G69" s="21" t="str">
        <x:v>PRESENTE</x:v>
      </x:c>
      <x:c r="H69" s="21" t="str">
        <x:v>NO</x:v>
      </x:c>
      <x:c r="I69" s="21" t="str">
        <x:v>TEXTO</x:v>
      </x:c>
      <x:c r="J69" s="21" t="str">
        <x:v>TEXTO</x:v>
      </x:c>
      <x:c r="K69" s="21" t="str">
        <x:v>NO_EXIGE</x:v>
      </x:c>
      <x:c r="L69" s="21" t="str">
        <x:v>objetivo</x:v>
      </x:c>
      <x:c r="M69" s="21" t="str">
        <x:v>100</x:v>
      </x:c>
      <x:c r="N69" s="21" t="str">
        <x:v>200</x:v>
      </x:c>
      <x:c r="O69" s="21" t="str">
        <x:v>COMPLETA</x:v>
      </x:c>
      <x:c r="P69" s="21" t="str">
        <x:v>0</x:v>
      </x:c>
      <x:c r="Q69" s="21" t="str">
        <x:v>0</x:v>
      </x:c>
      <x:c r="R69" s="27" t="str">
        <x:f>IF(EXACT("x"&amp;P69,"x"&amp;Q69),"PASA","DISCORDA")</x:f>
        <x:v>PASA</x:v>
      </x:c>
      <x:c r="S69" s="21" t="str">
        <x:v>{"ancla": "100", "cobertura": "COMPLETA", "conflicto": "NO", "corte": "200", "objetivo": "objetivo", "observacion": "PRESENTE", "parametro": "P15", "perfil": "FIJADO", "pertinencia": "SI", "recepcion": "ADMITIDA", "tipo": "TEXTO", "tipo_objetivo": "TEXTO", "valor": "NO_EXIGE"}</x:v>
      </x:c>
    </x:row>
  </x:sheetData>
  <x:mergeCells>
    <x:mergeCell ref="A1:D1"/>
    <x:mergeCell ref="A2:F2"/>
  </x:mergeCells>
  <x:conditionalFormatting sqref="R5:R69">
    <x:cfRule type="containsText" dxfId="26" priority="1" operator="containsText" text="DISCORDA"/>
  </x:conditionalFormatting>
  <x:pageMargins left="0.7" right="0.7" top="0.75" bottom="0.75" header="0.3" footer="0.3"/>
  <x:tableParts count="1">
    <x:tablePart xmlns:r="http://schemas.openxmlformats.org/officeDocument/2006/relationships" r:id="R03f00eda3dc643dc"/>
  </x:tableParts>
</x:worksheet>
</file>

<file path=xl/worksheets/sheet6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9" hidden="0" customWidth="1"/>
    <x:col min="2" max="2" width="93" hidden="0" customWidth="1"/>
    <x:col min="3" max="3" width="50" hidden="0" customWidth="1"/>
    <x:col min="4" max="4" width="50" hidden="0" customWidth="1"/>
    <x:col min="5" max="5" width="28" hidden="0" customWidth="1"/>
    <x:col min="6" max="6" width="77" hidden="0" customWidth="1"/>
  </x:cols>
  <x:sheetData>
    <x:row r="1" ht="34" customHeight="1">
      <x:c r="A1" s="23" t="str">
        <x:v>CONTRASTE · evidencia, cobertura, autoridad y proporcionalidad</x:v>
      </x:c>
      <x:c r="B1" s="23"/>
      <x:c r="C1" s="23"/>
      <x:c r="D1" s="23"/>
      <x:c r="E1" s="23"/>
      <x:c r="F1" s="23"/>
    </x:row>
    <x:row r="2" ht="57" customHeight="1">
      <x:c r="A2" s="24" t="str">
        <x:v>Un resultado compara la condición atacada. Las pruebas documentales no verifican permisos ni sensores de una organización real.</x:v>
      </x:c>
      <x:c r="B2" s="24"/>
      <x:c r="C2" s="24"/>
      <x:c r="D2" s="24"/>
      <x:c r="E2" s="24"/>
      <x:c r="F2" s="24"/>
    </x:row>
    <x:row r="3">
      <x:c r="A3" s="21"/>
      <x:c r="B3" s="21"/>
      <x:c r="C3" s="21"/>
      <x:c r="D3" s="21"/>
      <x:c r="E3" s="21"/>
      <x:c r="F3" s="21"/>
    </x:row>
    <x:row r="4" ht="48" customHeight="1">
      <x:c r="A4" s="26" t="str">
        <x:v>Caso</x:v>
      </x:c>
      <x:c r="B4" s="26" t="str">
        <x:v>Ataque</x:v>
      </x:c>
      <x:c r="C4" s="26" t="str">
        <x:v>Esperado previo</x:v>
      </x:c>
      <x:c r="D4" s="26" t="str">
        <x:v>Resultado ejecutado</x:v>
      </x:c>
      <x:c r="E4" s="26" t="str">
        <x:v>Concordancia Excel</x:v>
      </x:c>
      <x:c r="F4" s="26" t="str">
        <x:v>Alcance</x:v>
      </x:c>
    </x:row>
    <x:row r="5" ht="43" customHeight="1">
      <x:c r="A5" s="21" t="str">
        <x:v>E01</x:v>
      </x:c>
      <x:c r="B5" s="21" t="str">
        <x:v>Control completo</x:v>
      </x:c>
      <x:c r="C5" s="21" t="str">
        <x:v>ADMISIBLE_DOCUMENTAL</x:v>
      </x:c>
      <x:c r="D5" s="21" t="str">
        <x:v>ADMISIBLE_DOCUMENTAL</x:v>
      </x:c>
      <x:c r="E5" s="27" t="str">
        <x:f>IF(C5="MAYOR_QUE_CERO",IF(VALUE(D5)&gt;0,"PASA","DISCORDA"),IF(EXACT("x"&amp;C5,"x"&amp;D5),"PASA","DISCORDA"))</x:f>
        <x:v>PASA</x:v>
      </x:c>
      <x:c r="F5" s="21" t="str">
        <x:v>EJECUTADO_EN_OBSERVADOR_DOCUMENTAL</x:v>
      </x:c>
    </x:row>
    <x:row r="6" ht="43" customHeight="1">
      <x:c r="A6" s="21" t="str">
        <x:v>E02</x:v>
      </x:c>
      <x:c r="B6" s="21" t="str">
        <x:v>Un byte cambiado</x:v>
      </x:c>
      <x:c r="C6" s="21" t="str">
        <x:v>INTEGRIDAD</x:v>
      </x:c>
      <x:c r="D6" s="21" t="str">
        <x:v>INTEGRIDAD</x:v>
      </x:c>
      <x:c r="E6" s="27" t="str">
        <x:f>IF(C6="MAYOR_QUE_CERO",IF(VALUE(D6)&gt;0,"PASA","DISCORDA"),IF(EXACT("x"&amp;C6,"x"&amp;D6),"PASA","DISCORDA"))</x:f>
        <x:v>PASA</x:v>
      </x:c>
      <x:c r="F6" s="21" t="str">
        <x:v>EJECUTADO_EN_OBSERVADOR_DOCUMENTAL</x:v>
      </x:c>
    </x:row>
    <x:row r="7" ht="43" customHeight="1">
      <x:c r="A7" s="21" t="str">
        <x:v>E03</x:v>
      </x:c>
      <x:c r="B7" s="21" t="str">
        <x:v>Hash correcto con productor no autorizado</x:v>
      </x:c>
      <x:c r="C7" s="21" t="str">
        <x:v>PRODUCTOR</x:v>
      </x:c>
      <x:c r="D7" s="21" t="str">
        <x:v>PRODUCTOR</x:v>
      </x:c>
      <x:c r="E7" s="27" t="str">
        <x:f>IF(C7="MAYOR_QUE_CERO",IF(VALUE(D7)&gt;0,"PASA","DISCORDA"),IF(EXACT("x"&amp;C7,"x"&amp;D7),"PASA","DISCORDA"))</x:f>
        <x:v>PASA</x:v>
      </x:c>
      <x:c r="F7" s="21" t="str">
        <x:v>EJECUTADO_EN_OBSERVADOR_DOCUMENTAL</x:v>
      </x:c>
    </x:row>
    <x:row r="8" ht="43" customHeight="1">
      <x:c r="A8" s="21" t="str">
        <x:v>E04</x:v>
      </x:c>
      <x:c r="B8" s="21" t="str">
        <x:v>Productor admitido para otro activo</x:v>
      </x:c>
      <x:c r="C8" s="21" t="str">
        <x:v>AMBITO</x:v>
      </x:c>
      <x:c r="D8" s="21" t="str">
        <x:v>AMBITO</x:v>
      </x:c>
      <x:c r="E8" s="27" t="str">
        <x:f>IF(C8="MAYOR_QUE_CERO",IF(VALUE(D8)&gt;0,"PASA","DISCORDA"),IF(EXACT("x"&amp;C8,"x"&amp;D8),"PASA","DISCORDA"))</x:f>
        <x:v>PASA</x:v>
      </x:c>
      <x:c r="F8" s="21" t="str">
        <x:v>EJECUTADO_EN_OBSERVADOR_DOCUMENTAL</x:v>
      </x:c>
    </x:row>
    <x:row r="9" ht="43" customHeight="1">
      <x:c r="A9" s="21" t="str">
        <x:v>E05</x:v>
      </x:c>
      <x:c r="B9" s="21" t="str">
        <x:v>Claves únicas y originales exactos</x:v>
      </x:c>
      <x:c r="C9" s="21" t="str">
        <x:v>CLAVE_REPETIDA</x:v>
      </x:c>
      <x:c r="D9" s="21" t="str">
        <x:v>CLAVE_REPETIDA</x:v>
      </x:c>
      <x:c r="E9" s="27" t="str">
        <x:f>IF(C9="MAYOR_QUE_CERO",IF(VALUE(D9)&gt;0,"PASA","DISCORDA"),IF(EXACT("x"&amp;C9,"x"&amp;D9),"PASA","DISCORDA"))</x:f>
        <x:v>PASA</x:v>
      </x:c>
      <x:c r="F9" s="21" t="str">
        <x:v>EJECUTADO_EN_OBSERVADOR_DOCUMENTAL</x:v>
      </x:c>
    </x:row>
    <x:row r="10" ht="43" customHeight="1">
      <x:c r="A10" s="21" t="str">
        <x:v>E06</x:v>
      </x:c>
      <x:c r="B10" s="21" t="str">
        <x:v>Claves únicas y originales exactos</x:v>
      </x:c>
      <x:c r="C10" s="21" t="str">
        <x:v>EXACTO</x:v>
      </x:c>
      <x:c r="D10" s="21" t="str">
        <x:v>EXACTO</x:v>
      </x:c>
      <x:c r="E10" s="27" t="str">
        <x:f>IF(C10="MAYOR_QUE_CERO",IF(VALUE(D10)&gt;0,"PASA","DISCORDA"),IF(EXACT("x"&amp;C10,"x"&amp;D10),"PASA","DISCORDA"))</x:f>
        <x:v>PASA</x:v>
      </x:c>
      <x:c r="F10" s="21" t="str">
        <x:v>EJECUTADO_EN_OBSERVADOR_DOCUMENTAL</x:v>
      </x:c>
    </x:row>
    <x:row r="11" ht="43" customHeight="1">
      <x:c r="A11" s="21" t="str">
        <x:v>E07</x:v>
      </x:c>
      <x:c r="B11" s="21" t="str">
        <x:v>Ciclo sin omisión ni bucle infinito</x:v>
      </x:c>
      <x:c r="C11" s="21" t="str">
        <x:v>COBERTURA_DEL_GRAFO_DECLARADO</x:v>
      </x:c>
      <x:c r="D11" s="21" t="str">
        <x:v>COBERTURA_DEL_GRAFO_DECLARADO</x:v>
      </x:c>
      <x:c r="E11" s="27" t="str">
        <x:f>IF(C11="MAYOR_QUE_CERO",IF(VALUE(D11)&gt;0,"PASA","DISCORDA"),IF(EXACT("x"&amp;C11,"x"&amp;D11),"PASA","DISCORDA"))</x:f>
        <x:v>PASA</x:v>
      </x:c>
      <x:c r="F11" s="21" t="str">
        <x:v>EJECUTADO_EN_OBSERVADOR_DOCUMENTAL</x:v>
      </x:c>
    </x:row>
    <x:row r="12" ht="43" customHeight="1">
      <x:c r="A12" s="21" t="str">
        <x:v>E08</x:v>
      </x:c>
      <x:c r="B12" s="21" t="str">
        <x:v>Segunda instancia omitida</x:v>
      </x:c>
      <x:c r="C12" s="21" t="str">
        <x:v>INSTANCIA_NO_CUBIERTA</x:v>
      </x:c>
      <x:c r="D12" s="21" t="str">
        <x:v>INSTANCIA_NO_CUBIERTA</x:v>
      </x:c>
      <x:c r="E12" s="27" t="str">
        <x:f>IF(C12="MAYOR_QUE_CERO",IF(VALUE(D12)&gt;0,"PASA","DISCORDA"),IF(EXACT("x"&amp;C12,"x"&amp;D12),"PASA","DISCORDA"))</x:f>
        <x:v>PASA</x:v>
      </x:c>
      <x:c r="F12" s="21" t="str">
        <x:v>EJECUTADO_EN_OBSERVADOR_DOCUMENTAL</x:v>
      </x:c>
    </x:row>
    <x:row r="13" ht="43" customHeight="1">
      <x:c r="A13" s="21" t="str">
        <x:v>E09</x:v>
      </x:c>
      <x:c r="B13" s="21" t="str">
        <x:v>Dependencia externa</x:v>
      </x:c>
      <x:c r="C13" s="21" t="str">
        <x:v>FRONTERA_SIN_EVIDENCIA</x:v>
      </x:c>
      <x:c r="D13" s="21" t="str">
        <x:v>FRONTERA_SIN_EVIDENCIA</x:v>
      </x:c>
      <x:c r="E13" s="27" t="str">
        <x:f>IF(C13="MAYOR_QUE_CERO",IF(VALUE(D13)&gt;0,"PASA","DISCORDA"),IF(EXACT("x"&amp;C13,"x"&amp;D13),"PASA","DISCORDA"))</x:f>
        <x:v>PASA</x:v>
      </x:c>
      <x:c r="F13" s="21" t="str">
        <x:v>EJECUTADO_EN_OBSERVADOR_DOCUMENTAL</x:v>
      </x:c>
    </x:row>
    <x:row r="14" ht="43" customHeight="1">
      <x:c r="A14" s="21" t="str">
        <x:v>E10</x:v>
      </x:c>
      <x:c r="B14" s="21" t="str">
        <x:v>Frontera explícita acreditada en testigo</x:v>
      </x:c>
      <x:c r="C14" s="21" t="str">
        <x:v>COBERTURA_DEL_GRAFO_DECLARADO</x:v>
      </x:c>
      <x:c r="D14" s="21" t="str">
        <x:v>COBERTURA_DEL_GRAFO_DECLARADO</x:v>
      </x:c>
      <x:c r="E14" s="27" t="str">
        <x:f>IF(C14="MAYOR_QUE_CERO",IF(VALUE(D14)&gt;0,"PASA","DISCORDA"),IF(EXACT("x"&amp;C14,"x"&amp;D14),"PASA","DISCORDA"))</x:f>
        <x:v>PASA</x:v>
      </x:c>
      <x:c r="F14" s="21" t="str">
        <x:v>EJECUTADO_EN_OBSERVADOR_DOCUMENTAL</x:v>
      </x:c>
    </x:row>
    <x:row r="15" ht="43" customHeight="1">
      <x:c r="A15" s="21" t="str">
        <x:v>E11</x:v>
      </x:c>
      <x:c r="B15" s="21" t="str">
        <x:v>Duplicado no infla cobertura</x:v>
      </x:c>
      <x:c r="C15" s="21" t="str">
        <x:v>IDENTIDAD_DUPLICADA</x:v>
      </x:c>
      <x:c r="D15" s="21" t="str">
        <x:v>IDENTIDAD_DUPLICADA</x:v>
      </x:c>
      <x:c r="E15" s="27" t="str">
        <x:f>IF(C15="MAYOR_QUE_CERO",IF(VALUE(D15)&gt;0,"PASA","DISCORDA"),IF(EXACT("x"&amp;C15,"x"&amp;D15),"PASA","DISCORDA"))</x:f>
        <x:v>PASA</x:v>
      </x:c>
      <x:c r="F15" s="21" t="str">
        <x:v>EJECUTADO_EN_OBSERVADOR_DOCUMENTAL</x:v>
      </x:c>
    </x:row>
    <x:row r="16" ht="43" customHeight="1">
      <x:c r="A16" s="21" t="str">
        <x:v>E12</x:v>
      </x:c>
      <x:c r="B16" s="21" t="str">
        <x:v>Lista vacía sin cobertura</x:v>
      </x:c>
      <x:c r="C16" s="21" t="str">
        <x:v>ORIGEN_AUSENTE</x:v>
      </x:c>
      <x:c r="D16" s="21" t="str">
        <x:v>ORIGEN_AUSENTE</x:v>
      </x:c>
      <x:c r="E16" s="27" t="str">
        <x:f>IF(C16="MAYOR_QUE_CERO",IF(VALUE(D16)&gt;0,"PASA","DISCORDA"),IF(EXACT("x"&amp;C16,"x"&amp;D16),"PASA","DISCORDA"))</x:f>
        <x:v>PASA</x:v>
      </x:c>
      <x:c r="F16" s="21" t="str">
        <x:v>EJECUTADO_EN_OBSERVADOR_DOCUMENTAL</x:v>
      </x:c>
    </x:row>
    <x:row r="17" ht="43" customHeight="1">
      <x:c r="A17" s="21" t="str">
        <x:v>E13</x:v>
      </x:c>
      <x:c r="B17" s="21" t="str">
        <x:v>Balance exacto y fronteras de incertidumbre</x:v>
      </x:c>
      <x:c r="C17" s="21" t="str">
        <x:v>COMPARACION_NO_EXCEDE</x:v>
      </x:c>
      <x:c r="D17" s="21" t="str">
        <x:v>COMPARACION_NO_EXCEDE</x:v>
      </x:c>
      <x:c r="E17" s="27" t="str">
        <x:f>IF(C17="MAYOR_QUE_CERO",IF(VALUE(D17)&gt;0,"PASA","DISCORDA"),IF(EXACT("x"&amp;C17,"x"&amp;D17),"PASA","DISCORDA"))</x:f>
        <x:v>PASA</x:v>
      </x:c>
      <x:c r="F17" s="21" t="str">
        <x:v>EJECUTADO_EN_OBSERVADOR_DOCUMENTAL</x:v>
      </x:c>
    </x:row>
    <x:row r="18" ht="43" customHeight="1">
      <x:c r="A18" s="21" t="str">
        <x:v>E14</x:v>
      </x:c>
      <x:c r="B18" s="21" t="str">
        <x:v>Balance exacto y fronteras de incertidumbre</x:v>
      </x:c>
      <x:c r="C18" s="21" t="str">
        <x:v>EXCESO_ACREDITADO</x:v>
      </x:c>
      <x:c r="D18" s="21" t="str">
        <x:v>EXCESO_ACREDITADO</x:v>
      </x:c>
      <x:c r="E18" s="27" t="str">
        <x:f>IF(C18="MAYOR_QUE_CERO",IF(VALUE(D18)&gt;0,"PASA","DISCORDA"),IF(EXACT("x"&amp;C18,"x"&amp;D18),"PASA","DISCORDA"))</x:f>
        <x:v>PASA</x:v>
      </x:c>
      <x:c r="F18" s="21" t="str">
        <x:v>EJECUTADO_EN_OBSERVADOR_DOCUMENTAL</x:v>
      </x:c>
    </x:row>
    <x:row r="19" ht="43" customHeight="1">
      <x:c r="A19" s="21" t="str">
        <x:v>E15</x:v>
      </x:c>
      <x:c r="B19" s="21" t="str">
        <x:v>Balance exacto y fronteras de incertidumbre</x:v>
      </x:c>
      <x:c r="C19" s="21" t="str">
        <x:v>JUICIO_NO_RESUELTO</x:v>
      </x:c>
      <x:c r="D19" s="21" t="str">
        <x:v>JUICIO_NO_RESUELTO</x:v>
      </x:c>
      <x:c r="E19" s="27" t="str">
        <x:f>IF(C19="MAYOR_QUE_CERO",IF(VALUE(D19)&gt;0,"PASA","DISCORDA"),IF(EXACT("x"&amp;C19,"x"&amp;D19),"PASA","DISCORDA"))</x:f>
        <x:v>PASA</x:v>
      </x:c>
      <x:c r="F19" s="21" t="str">
        <x:v>EJECUTADO_EN_OBSERVADOR_DOCUMENTAL</x:v>
      </x:c>
    </x:row>
    <x:row r="20" ht="43" customHeight="1">
      <x:c r="A20" s="21" t="str">
        <x:v>E16</x:v>
      </x:c>
      <x:c r="B20" s="21" t="str">
        <x:v>Balance exacto y fronteras de incertidumbre</x:v>
      </x:c>
      <x:c r="C20" s="21" t="str">
        <x:v>EXCESO_ACREDITADO</x:v>
      </x:c>
      <x:c r="D20" s="21" t="str">
        <x:v>EXCESO_ACREDITADO</x:v>
      </x:c>
      <x:c r="E20" s="27" t="str">
        <x:f>IF(C20="MAYOR_QUE_CERO",IF(VALUE(D20)&gt;0,"PASA","DISCORDA"),IF(EXACT("x"&amp;C20,"x"&amp;D20),"PASA","DISCORDA"))</x:f>
        <x:v>PASA</x:v>
      </x:c>
      <x:c r="F20" s="21" t="str">
        <x:v>EJECUTADO_EN_OBSERVADOR_DOCUMENTAL</x:v>
      </x:c>
    </x:row>
    <x:row r="21" ht="43" customHeight="1">
      <x:c r="A21" s="21" t="str">
        <x:v>E17</x:v>
      </x:c>
      <x:c r="B21" s="21" t="str">
        <x:v>Balance exacto y fronteras de incertidumbre</x:v>
      </x:c>
      <x:c r="C21" s="21" t="str">
        <x:v>INTERVALO_INVALIDO</x:v>
      </x:c>
      <x:c r="D21" s="21" t="str">
        <x:v>INTERVALO_INVALIDO</x:v>
      </x:c>
      <x:c r="E21" s="27" t="str">
        <x:f>IF(C21="MAYOR_QUE_CERO",IF(VALUE(D21)&gt;0,"PASA","DISCORDA"),IF(EXACT("x"&amp;C21,"x"&amp;D21),"PASA","DISCORDA"))</x:f>
        <x:v>PASA</x:v>
      </x:c>
      <x:c r="F21" s="21" t="str">
        <x:v>EJECUTADO_EN_OBSERVADOR_DOCUMENTAL</x:v>
      </x:c>
    </x:row>
    <x:row r="22" ht="43" customHeight="1">
      <x:c r="A22" s="21" t="str">
        <x:v>E18</x:v>
      </x:c>
      <x:c r="B22" s="21" t="str">
        <x:v>Balance exacto y fronteras de incertidumbre</x:v>
      </x:c>
      <x:c r="C22" s="21" t="str">
        <x:v>DATO_NO_ADMITIDO</x:v>
      </x:c>
      <x:c r="D22" s="21" t="str">
        <x:v>DATO_NO_ADMITIDO</x:v>
      </x:c>
      <x:c r="E22" s="27" t="str">
        <x:f>IF(C22="MAYOR_QUE_CERO",IF(VALUE(D22)&gt;0,"PASA","DISCORDA"),IF(EXACT("x"&amp;C22,"x"&amp;D22),"PASA","DISCORDA"))</x:f>
        <x:v>PASA</x:v>
      </x:c>
      <x:c r="F22" s="21" t="str">
        <x:v>EJECUTADO_EN_OBSERVADOR_DOCUMENTAL</x:v>
      </x:c>
    </x:row>
    <x:row r="23" ht="43" customHeight="1">
      <x:c r="A23" s="21" t="str">
        <x:v>E19</x:v>
      </x:c>
      <x:c r="B23" s="21" t="str">
        <x:v>No conversión inventada</x:v>
      </x:c>
      <x:c r="C23" s="21" t="str">
        <x:v>UNIDADES_INCOMPATIBLES</x:v>
      </x:c>
      <x:c r="D23" s="21" t="str">
        <x:v>UNIDADES_INCOMPATIBLES</x:v>
      </x:c>
      <x:c r="E23" s="27" t="str">
        <x:f>IF(C23="MAYOR_QUE_CERO",IF(VALUE(D23)&gt;0,"PASA","DISCORDA"),IF(EXACT("x"&amp;C23,"x"&amp;D23),"PASA","DISCORDA"))</x:f>
        <x:v>PASA</x:v>
      </x:c>
      <x:c r="F23" s="21" t="str">
        <x:v>EJECUTADO_EN_OBSERVADOR_DOCUMENTAL</x:v>
      </x:c>
    </x:row>
    <x:row r="24" ht="43" customHeight="1">
      <x:c r="A24" s="21" t="str">
        <x:v>E20</x:v>
      </x:c>
      <x:c r="B24" s="21" t="str">
        <x:v>Impacto no monetizado no es cero</x:v>
      </x:c>
      <x:c r="C24" s="21" t="str">
        <x:v>JUICIO_NO_RESUELTO</x:v>
      </x:c>
      <x:c r="D24" s="21" t="str">
        <x:v>JUICIO_NO_RESUELTO</x:v>
      </x:c>
      <x:c r="E24" s="27" t="str">
        <x:f>IF(C24="MAYOR_QUE_CERO",IF(VALUE(D24)&gt;0,"PASA","DISCORDA"),IF(EXACT("x"&amp;C24,"x"&amp;D24),"PASA","DISCORDA"))</x:f>
        <x:v>PASA</x:v>
      </x:c>
      <x:c r="F24" s="21" t="str">
        <x:v>EJECUTADO_EN_OBSERVADOR_DOCUMENTAL</x:v>
      </x:c>
    </x:row>
    <x:row r="25" ht="43" customHeight="1">
      <x:c r="A25" s="21" t="str">
        <x:v>E21</x:v>
      </x:c>
      <x:c r="B25" s="21" t="str">
        <x:v>Caso acotado completo; no ejecución SV</x:v>
      </x:c>
      <x:c r="C25" s="21" t="str">
        <x:v>SUFICIENTE_EN_ALCANCE_SINTETICO</x:v>
      </x:c>
      <x:c r="D25" s="21" t="str">
        <x:v>SUFICIENTE_EN_ALCANCE_SINTETICO</x:v>
      </x:c>
      <x:c r="E25" s="27" t="str">
        <x:f>IF(C25="MAYOR_QUE_CERO",IF(VALUE(D25)&gt;0,"PASA","DISCORDA"),IF(EXACT("x"&amp;C25,"x"&amp;D25),"PASA","DISCORDA"))</x:f>
        <x:v>PASA</x:v>
      </x:c>
      <x:c r="F25" s="21" t="str">
        <x:v>EJECUTADO_EN_OBSERVADOR_DOCUMENTAL</x:v>
      </x:c>
    </x:row>
    <x:row r="26" ht="43" customHeight="1">
      <x:c r="A26" s="21" t="str">
        <x:v>E22</x:v>
      </x:c>
      <x:c r="B26" s="21" t="str">
        <x:v>Omitir integridad</x:v>
      </x:c>
      <x:c r="C26" s="21" t="str">
        <x:v>INSUFICIENTE</x:v>
      </x:c>
      <x:c r="D26" s="21" t="str">
        <x:v>INSUFICIENTE</x:v>
      </x:c>
      <x:c r="E26" s="27" t="str">
        <x:f>IF(C26="MAYOR_QUE_CERO",IF(VALUE(D26)&gt;0,"PASA","DISCORDA"),IF(EXACT("x"&amp;C26,"x"&amp;D26),"PASA","DISCORDA"))</x:f>
        <x:v>PASA</x:v>
      </x:c>
      <x:c r="F26" s="21" t="str">
        <x:v>EJECUTADO_EN_OBSERVADOR_DOCUMENTAL</x:v>
      </x:c>
    </x:row>
    <x:row r="27" ht="43" customHeight="1">
      <x:c r="A27" s="21" t="str">
        <x:v>E23</x:v>
      </x:c>
      <x:c r="B27" s="21" t="str">
        <x:v>Omitir aplicabilidad</x:v>
      </x:c>
      <x:c r="C27" s="21" t="str">
        <x:v>INSUFICIENTE</x:v>
      </x:c>
      <x:c r="D27" s="21" t="str">
        <x:v>INSUFICIENTE</x:v>
      </x:c>
      <x:c r="E27" s="27" t="str">
        <x:f>IF(C27="MAYOR_QUE_CERO",IF(VALUE(D27)&gt;0,"PASA","DISCORDA"),IF(EXACT("x"&amp;C27,"x"&amp;D27),"PASA","DISCORDA"))</x:f>
        <x:v>PASA</x:v>
      </x:c>
      <x:c r="F27" s="21" t="str">
        <x:v>EJECUTADO_EN_OBSERVADOR_DOCUMENTAL</x:v>
      </x:c>
    </x:row>
    <x:row r="28" ht="43" customHeight="1">
      <x:c r="A28" s="21" t="str">
        <x:v>E24</x:v>
      </x:c>
      <x:c r="B28" s="21" t="str">
        <x:v>Omitir completitud</x:v>
      </x:c>
      <x:c r="C28" s="21" t="str">
        <x:v>INSUFICIENTE</x:v>
      </x:c>
      <x:c r="D28" s="21" t="str">
        <x:v>INSUFICIENTE</x:v>
      </x:c>
      <x:c r="E28" s="27" t="str">
        <x:f>IF(C28="MAYOR_QUE_CERO",IF(VALUE(D28)&gt;0,"PASA","DISCORDA"),IF(EXACT("x"&amp;C28,"x"&amp;D28),"PASA","DISCORDA"))</x:f>
        <x:v>PASA</x:v>
      </x:c>
      <x:c r="F28" s="21" t="str">
        <x:v>EJECUTADO_EN_OBSERVADOR_DOCUMENTAL</x:v>
      </x:c>
    </x:row>
    <x:row r="29" ht="43" customHeight="1">
      <x:c r="A29" s="21" t="str">
        <x:v>E25</x:v>
      </x:c>
      <x:c r="B29" s="21" t="str">
        <x:v>Omitir efecto</x:v>
      </x:c>
      <x:c r="C29" s="21" t="str">
        <x:v>INSUFICIENTE</x:v>
      </x:c>
      <x:c r="D29" s="21" t="str">
        <x:v>INSUFICIENTE</x:v>
      </x:c>
      <x:c r="E29" s="27" t="str">
        <x:f>IF(C29="MAYOR_QUE_CERO",IF(VALUE(D29)&gt;0,"PASA","DISCORDA"),IF(EXACT("x"&amp;C29,"x"&amp;D29),"PASA","DISCORDA"))</x:f>
        <x:v>PASA</x:v>
      </x:c>
      <x:c r="F29" s="21" t="str">
        <x:v>EJECUTADO_EN_OBSERVADOR_DOCUMENTAL</x:v>
      </x:c>
    </x:row>
    <x:row r="30" ht="43" customHeight="1">
      <x:c r="A30" s="21" t="str">
        <x:v>E26</x:v>
      </x:c>
      <x:c r="B30" s="21" t="str">
        <x:v>Omitir vigencia</x:v>
      </x:c>
      <x:c r="C30" s="21" t="str">
        <x:v>INSUFICIENTE</x:v>
      </x:c>
      <x:c r="D30" s="21" t="str">
        <x:v>INSUFICIENTE</x:v>
      </x:c>
      <x:c r="E30" s="27" t="str">
        <x:f>IF(C30="MAYOR_QUE_CERO",IF(VALUE(D30)&gt;0,"PASA","DISCORDA"),IF(EXACT("x"&amp;C30,"x"&amp;D30),"PASA","DISCORDA"))</x:f>
        <x:v>PASA</x:v>
      </x:c>
      <x:c r="F30" s="21" t="str">
        <x:v>EJECUTADO_EN_OBSERVADOR_DOCUMENTAL</x:v>
      </x:c>
    </x:row>
    <x:row r="31" ht="43" customHeight="1">
      <x:c r="A31" s="21" t="str">
        <x:v>E27</x:v>
      </x:c>
      <x:c r="B31" s="21" t="str">
        <x:v>Omitir cobertura</x:v>
      </x:c>
      <x:c r="C31" s="21" t="str">
        <x:v>INSUFICIENTE</x:v>
      </x:c>
      <x:c r="D31" s="21" t="str">
        <x:v>INSUFICIENTE</x:v>
      </x:c>
      <x:c r="E31" s="27" t="str">
        <x:f>IF(C31="MAYOR_QUE_CERO",IF(VALUE(D31)&gt;0,"PASA","DISCORDA"),IF(EXACT("x"&amp;C31,"x"&amp;D31),"PASA","DISCORDA"))</x:f>
        <x:v>PASA</x:v>
      </x:c>
      <x:c r="F31" s="21" t="str">
        <x:v>EJECUTADO_EN_OBSERVADOR_DOCUMENTAL</x:v>
      </x:c>
    </x:row>
    <x:row r="32" ht="43" customHeight="1">
      <x:c r="A32" s="21" t="str">
        <x:v>E28</x:v>
      </x:c>
      <x:c r="B32" s="21" t="str">
        <x:v>Omitir destinatario</x:v>
      </x:c>
      <x:c r="C32" s="21" t="str">
        <x:v>INSUFICIENTE</x:v>
      </x:c>
      <x:c r="D32" s="21" t="str">
        <x:v>INSUFICIENTE</x:v>
      </x:c>
      <x:c r="E32" s="27" t="str">
        <x:f>IF(C32="MAYOR_QUE_CERO",IF(VALUE(D32)&gt;0,"PASA","DISCORDA"),IF(EXACT("x"&amp;C32,"x"&amp;D32),"PASA","DISCORDA"))</x:f>
        <x:v>PASA</x:v>
      </x:c>
      <x:c r="F32" s="21" t="str">
        <x:v>EJECUTADO_EN_OBSERVADOR_DOCUMENTAL</x:v>
      </x:c>
    </x:row>
    <x:row r="33" ht="43" customHeight="1">
      <x:c r="A33" s="21" t="str">
        <x:v>E29</x:v>
      </x:c>
      <x:c r="B33" s="21" t="str">
        <x:v>Fallo no es salida alternativa</x:v>
      </x:c>
      <x:c r="C33" s="21" t="str">
        <x:v>FALLO_TECNICO_SIN_PRODUCTO</x:v>
      </x:c>
      <x:c r="D33" s="21" t="str">
        <x:v>FALLO_TECNICO_SIN_PRODUCTO</x:v>
      </x:c>
      <x:c r="E33" s="27" t="str">
        <x:f>IF(C33="MAYOR_QUE_CERO",IF(VALUE(D33)&gt;0,"PASA","DISCORDA"),IF(EXACT("x"&amp;C33,"x"&amp;D33),"PASA","DISCORDA"))</x:f>
        <x:v>PASA</x:v>
      </x:c>
      <x:c r="F33" s="21" t="str">
        <x:v>EJECUTADO_EN_OBSERVADOR_DOCUMENTAL</x:v>
      </x:c>
    </x:row>
    <x:row r="34" ht="43" customHeight="1">
      <x:c r="A34" s="21" t="str">
        <x:v>E30</x:v>
      </x:c>
      <x:c r="B34" s="21" t="str">
        <x:v>No admisión no es U</x:v>
      </x:c>
      <x:c r="C34" s="21" t="str">
        <x:v>NO_ADMITIDA_SIN_DICTAMEN</x:v>
      </x:c>
      <x:c r="D34" s="21" t="str">
        <x:v>NO_ADMITIDA_SIN_DICTAMEN</x:v>
      </x:c>
      <x:c r="E34" s="27" t="str">
        <x:f>IF(C34="MAYOR_QUE_CERO",IF(VALUE(D34)&gt;0,"PASA","DISCORDA"),IF(EXACT("x"&amp;C34,"x"&amp;D34),"PASA","DISCORDA"))</x:f>
        <x:v>PASA</x:v>
      </x:c>
      <x:c r="F34" s="21" t="str">
        <x:v>EJECUTADO_EN_OBSERVADOR_DOCUMENTAL</x:v>
      </x:c>
    </x:row>
    <x:row r="35" ht="43" customHeight="1">
      <x:c r="A35" s="21" t="str">
        <x:v>E31</x:v>
      </x:c>
      <x:c r="B35" s="21" t="str">
        <x:v>Exclusión no afirma corrección</x:v>
      </x:c>
      <x:c r="C35" s="21" t="str">
        <x:v>EXCLUSION_FUNDADA</x:v>
      </x:c>
      <x:c r="D35" s="21" t="str">
        <x:v>EXCLUSION_FUNDADA</x:v>
      </x:c>
      <x:c r="E35" s="27" t="str">
        <x:f>IF(C35="MAYOR_QUE_CERO",IF(VALUE(D35)&gt;0,"PASA","DISCORDA"),IF(EXACT("x"&amp;C35,"x"&amp;D35),"PASA","DISCORDA"))</x:f>
        <x:v>PASA</x:v>
      </x:c>
      <x:c r="F35" s="21" t="str">
        <x:v>EJECUTADO_EN_OBSERVADOR_DOCUMENTAL</x:v>
      </x:c>
    </x:row>
    <x:row r="36" ht="43" customHeight="1">
      <x:c r="A36" s="21" t="str">
        <x:v>E32</x:v>
      </x:c>
      <x:c r="B36" s="21" t="str">
        <x:v>Desconocimiento no es exclusión fundada</x:v>
      </x:c>
      <x:c r="C36" s="21" t="str">
        <x:v>INSUFICIENTE</x:v>
      </x:c>
      <x:c r="D36" s="21" t="str">
        <x:v>INSUFICIENTE</x:v>
      </x:c>
      <x:c r="E36" s="27" t="str">
        <x:f>IF(C36="MAYOR_QUE_CERO",IF(VALUE(D36)&gt;0,"PASA","DISCORDA"),IF(EXACT("x"&amp;C36,"x"&amp;D36),"PASA","DISCORDA"))</x:f>
        <x:v>PASA</x:v>
      </x:c>
      <x:c r="F36" s="21" t="str">
        <x:v>EJECUTADO_EN_OBSERVADOR_DOCUMENTAL</x:v>
      </x:c>
    </x:row>
    <x:row r="37" ht="43" customHeight="1">
      <x:c r="A37" s="21" t="str">
        <x:v>E33</x:v>
      </x:c>
      <x:c r="B37" s="21" t="str">
        <x:v>Conjunción vacía no crea suficiencia</x:v>
      </x:c>
      <x:c r="C37" s="21" t="str">
        <x:v>INSUFICIENTE</x:v>
      </x:c>
      <x:c r="D37" s="21" t="str">
        <x:v>INSUFICIENTE</x:v>
      </x:c>
      <x:c r="E37" s="27" t="str">
        <x:f>IF(C37="MAYOR_QUE_CERO",IF(VALUE(D37)&gt;0,"PASA","DISCORDA"),IF(EXACT("x"&amp;C37,"x"&amp;D37),"PASA","DISCORDA"))</x:f>
        <x:v>PASA</x:v>
      </x:c>
      <x:c r="F37" s="21" t="str">
        <x:v>EJECUTADO_EN_OBSERVADOR_DOCUMENTAL</x:v>
      </x:c>
    </x:row>
    <x:row r="38" ht="43" customHeight="1">
      <x:c r="A38" s="21" t="str">
        <x:v>E34</x:v>
      </x:c>
      <x:c r="B38" s="21" t="str">
        <x:v>Conjunción de condiciones admitidas</x:v>
      </x:c>
      <x:c r="C38" s="21" t="str">
        <x:v>APLICABLE</x:v>
      </x:c>
      <x:c r="D38" s="21" t="str">
        <x:v>APLICABLE</x:v>
      </x:c>
      <x:c r="E38" s="27" t="str">
        <x:f>IF(C38="MAYOR_QUE_CERO",IF(VALUE(D38)&gt;0,"PASA","DISCORDA"),IF(EXACT("x"&amp;C38,"x"&amp;D38),"PASA","DISCORDA"))</x:f>
        <x:v>PASA</x:v>
      </x:c>
      <x:c r="F38" s="21" t="str">
        <x:v>EJECUTADO_EN_OBSERVADOR_DOCUMENTAL</x:v>
      </x:c>
    </x:row>
    <x:row r="39" ht="43" customHeight="1">
      <x:c r="A39" s="21" t="str">
        <x:v>E35</x:v>
      </x:c>
      <x:c r="B39" s="21" t="str">
        <x:v>Condición desconocida no es falsa</x:v>
      </x:c>
      <x:c r="C39" s="21" t="str">
        <x:v>NO_RESUELTA</x:v>
      </x:c>
      <x:c r="D39" s="21" t="str">
        <x:v>NO_RESUELTA</x:v>
      </x:c>
      <x:c r="E39" s="27" t="str">
        <x:f>IF(C39="MAYOR_QUE_CERO",IF(VALUE(D39)&gt;0,"PASA","DISCORDA"),IF(EXACT("x"&amp;C39,"x"&amp;D39),"PASA","DISCORDA"))</x:f>
        <x:v>PASA</x:v>
      </x:c>
      <x:c r="F39" s="21" t="str">
        <x:v>EJECUTADO_EN_OBSERVADOR_DOCUMENTAL</x:v>
      </x:c>
    </x:row>
    <x:row r="40" ht="43" customHeight="1">
      <x:c r="A40" s="21" t="str">
        <x:v>E36</x:v>
      </x:c>
      <x:c r="B40" s="21" t="str">
        <x:v>Refutación suficiente en conjunción explícita</x:v>
      </x:c>
      <x:c r="C40" s="21" t="str">
        <x:v>NO_APLICABLE</x:v>
      </x:c>
      <x:c r="D40" s="21" t="str">
        <x:v>NO_APLICABLE</x:v>
      </x:c>
      <x:c r="E40" s="27" t="str">
        <x:f>IF(C40="MAYOR_QUE_CERO",IF(VALUE(D40)&gt;0,"PASA","DISCORDA"),IF(EXACT("x"&amp;C40,"x"&amp;D40),"PASA","DISCORDA"))</x:f>
        <x:v>PASA</x:v>
      </x:c>
      <x:c r="F40" s="21" t="str">
        <x:v>EJECUTADO_EN_OBSERVADOR_DOCUMENTAL</x:v>
      </x:c>
    </x:row>
    <x:row r="41" ht="43" customHeight="1">
      <x:c r="A41" s="21" t="str">
        <x:v>E37</x:v>
      </x:c>
      <x:c r="B41" s="21" t="str">
        <x:v>Regla vacía no acredita pertinencia</x:v>
      </x:c>
      <x:c r="C41" s="21" t="str">
        <x:v>NO_RESUELTA</x:v>
      </x:c>
      <x:c r="D41" s="21" t="str">
        <x:v>NO_RESUELTA</x:v>
      </x:c>
      <x:c r="E41" s="27" t="str">
        <x:f>IF(C41="MAYOR_QUE_CERO",IF(VALUE(D41)&gt;0,"PASA","DISCORDA"),IF(EXACT("x"&amp;C41,"x"&amp;D41),"PASA","DISCORDA"))</x:f>
        <x:v>PASA</x:v>
      </x:c>
      <x:c r="F41" s="21" t="str">
        <x:v>EJECUTADO_EN_OBSERVADOR_DOCUMENTAL</x:v>
      </x:c>
    </x:row>
    <x:row r="42" ht="43" customHeight="1">
      <x:c r="A42" s="21" t="str">
        <x:v>E38</x:v>
      </x:c>
      <x:c r="B42" s="21" t="str">
        <x:v>Duración y recuperación caben exactamente</x:v>
      </x:c>
      <x:c r="C42" s="21" t="str">
        <x:v>CABE</x:v>
      </x:c>
      <x:c r="D42" s="21" t="str">
        <x:v>CABE</x:v>
      </x:c>
      <x:c r="E42" s="27" t="str">
        <x:f>IF(C42="MAYOR_QUE_CERO",IF(VALUE(D42)&gt;0,"PASA","DISCORDA"),IF(EXACT("x"&amp;C42,"x"&amp;D42),"PASA","DISCORDA"))</x:f>
        <x:v>PASA</x:v>
      </x:c>
      <x:c r="F42" s="21" t="str">
        <x:v>EJECUTADO_EN_OBSERVADOR_DOCUMENTAL</x:v>
      </x:c>
    </x:row>
    <x:row r="43" ht="43" customHeight="1">
      <x:c r="A43" s="21" t="str">
        <x:v>E39</x:v>
      </x:c>
      <x:c r="B43" s="21" t="str">
        <x:v>Comenzar al fin excluido</x:v>
      </x:c>
      <x:c r="C43" s="21" t="str">
        <x:v>NO_CABE</x:v>
      </x:c>
      <x:c r="D43" s="21" t="str">
        <x:v>NO_CABE</x:v>
      </x:c>
      <x:c r="E43" s="27" t="str">
        <x:f>IF(C43="MAYOR_QUE_CERO",IF(VALUE(D43)&gt;0,"PASA","DISCORDA"),IF(EXACT("x"&amp;C43,"x"&amp;D43),"PASA","DISCORDA"))</x:f>
        <x:v>PASA</x:v>
      </x:c>
      <x:c r="F43" s="21" t="str">
        <x:v>EJECUTADO_EN_OBSERVADOR_DOCUMENTAL</x:v>
      </x:c>
    </x:row>
    <x:row r="44" ht="43" customHeight="1">
      <x:c r="A44" s="21" t="str">
        <x:v>E40</x:v>
      </x:c>
      <x:c r="B44" s="21" t="str">
        <x:v>Recuperación invade frontera</x:v>
      </x:c>
      <x:c r="C44" s="21" t="str">
        <x:v>NO_CABE</x:v>
      </x:c>
      <x:c r="D44" s="21" t="str">
        <x:v>NO_CABE</x:v>
      </x:c>
      <x:c r="E44" s="27" t="str">
        <x:f>IF(C44="MAYOR_QUE_CERO",IF(VALUE(D44)&gt;0,"PASA","DISCORDA"),IF(EXACT("x"&amp;C44,"x"&amp;D44),"PASA","DISCORDA"))</x:f>
        <x:v>PASA</x:v>
      </x:c>
      <x:c r="F44" s="21" t="str">
        <x:v>EJECUTADO_EN_OBSERVADOR_DOCUMENTAL</x:v>
      </x:c>
    </x:row>
    <x:row r="45" ht="43" customHeight="1">
      <x:c r="A45" s="21" t="str">
        <x:v>E41</x:v>
      </x:c>
      <x:c r="B45" s="21" t="str">
        <x:v>Orden no fiable no se redondea</x:v>
      </x:c>
      <x:c r="C45" s="21" t="str">
        <x:v>ORDEN_NO_RESUELTO</x:v>
      </x:c>
      <x:c r="D45" s="21" t="str">
        <x:v>ORDEN_NO_RESUELTO</x:v>
      </x:c>
      <x:c r="E45" s="27" t="str">
        <x:f>IF(C45="MAYOR_QUE_CERO",IF(VALUE(D45)&gt;0,"PASA","DISCORDA"),IF(EXACT("x"&amp;C45,"x"&amp;D45),"PASA","DISCORDA"))</x:f>
        <x:v>PASA</x:v>
      </x:c>
      <x:c r="F45" s="21" t="str">
        <x:v>EJECUTADO_EN_OBSERVADOR_DOCUMENTAL</x:v>
      </x:c>
    </x:row>
    <x:row r="46" ht="43" customHeight="1">
      <x:c r="A46" s="21" t="str">
        <x:v>E42</x:v>
      </x:c>
      <x:c r="B46" s="21" t="str">
        <x:v>Intervalo vacío</x:v>
      </x:c>
      <x:c r="C46" s="21" t="str">
        <x:v>INTERVALO_INVALIDO</x:v>
      </x:c>
      <x:c r="D46" s="21" t="str">
        <x:v>INTERVALO_INVALIDO</x:v>
      </x:c>
      <x:c r="E46" s="27" t="str">
        <x:f>IF(C46="MAYOR_QUE_CERO",IF(VALUE(D46)&gt;0,"PASA","DISCORDA"),IF(EXACT("x"&amp;C46,"x"&amp;D46),"PASA","DISCORDA"))</x:f>
        <x:v>PASA</x:v>
      </x:c>
      <x:c r="F46" s="21" t="str">
        <x:v>EJECUTADO_EN_OBSERVADOR_DOCUMENTAL</x:v>
      </x:c>
    </x:row>
    <x:row r="47" ht="43" customHeight="1">
      <x:c r="A47" s="21" t="str">
        <x:v>E43</x:v>
      </x:c>
      <x:c r="B47" s="21" t="str">
        <x:v>Permiso concreto en testigo sintético</x:v>
      </x:c>
      <x:c r="C47" s="21" t="str">
        <x:v>PERMISO_DOCUMENTADO</x:v>
      </x:c>
      <x:c r="D47" s="21" t="str">
        <x:v>PERMISO_DOCUMENTADO</x:v>
      </x:c>
      <x:c r="E47" s="27" t="str">
        <x:f>IF(C47="MAYOR_QUE_CERO",IF(VALUE(D47)&gt;0,"PASA","DISCORDA"),IF(EXACT("x"&amp;C47,"x"&amp;D47),"PASA","DISCORDA"))</x:f>
        <x:v>PASA</x:v>
      </x:c>
      <x:c r="F47" s="21" t="str">
        <x:v>EJECUTADO_EN_OBSERVADOR_DOCUMENTAL</x:v>
      </x:c>
    </x:row>
    <x:row r="48" ht="43" customHeight="1">
      <x:c r="A48" s="21" t="str">
        <x:v>E44</x:v>
      </x:c>
      <x:c r="B48" s="21" t="str">
        <x:v>Permiso de otro activo</x:v>
      </x:c>
      <x:c r="C48" s="21" t="str">
        <x:v>FUERA_DE_AMBITO</x:v>
      </x:c>
      <x:c r="D48" s="21" t="str">
        <x:v>FUERA_DE_AMBITO</x:v>
      </x:c>
      <x:c r="E48" s="27" t="str">
        <x:f>IF(C48="MAYOR_QUE_CERO",IF(VALUE(D48)&gt;0,"PASA","DISCORDA"),IF(EXACT("x"&amp;C48,"x"&amp;D48),"PASA","DISCORDA"))</x:f>
        <x:v>PASA</x:v>
      </x:c>
      <x:c r="F48" s="21" t="str">
        <x:v>EJECUTADO_EN_OBSERVADOR_DOCUMENTAL</x:v>
      </x:c>
    </x:row>
    <x:row r="49" ht="43" customHeight="1">
      <x:c r="A49" s="21" t="str">
        <x:v>E45</x:v>
      </x:c>
      <x:c r="B49" s="21" t="str">
        <x:v>Permiso caducado</x:v>
      </x:c>
      <x:c r="C49" s="21" t="str">
        <x:v>NO_VIGENTE</x:v>
      </x:c>
      <x:c r="D49" s="21" t="str">
        <x:v>NO_VIGENTE</x:v>
      </x:c>
      <x:c r="E49" s="27" t="str">
        <x:f>IF(C49="MAYOR_QUE_CERO",IF(VALUE(D49)&gt;0,"PASA","DISCORDA"),IF(EXACT("x"&amp;C49,"x"&amp;D49),"PASA","DISCORDA"))</x:f>
        <x:v>PASA</x:v>
      </x:c>
      <x:c r="F49" s="21" t="str">
        <x:v>EJECUTADO_EN_OBSERVADOR_DOCUMENTAL</x:v>
      </x:c>
    </x:row>
    <x:row r="50" ht="43" customHeight="1">
      <x:c r="A50" s="21" t="str">
        <x:v>E46</x:v>
      </x:c>
      <x:c r="B50" s="21" t="str">
        <x:v>Dirección curricular no sustituye organización</x:v>
      </x:c>
      <x:c r="C50" s="21" t="str">
        <x:v>NO_ACREDITADO</x:v>
      </x:c>
      <x:c r="D50" s="21" t="str">
        <x:v>NO_ACREDITADO</x:v>
      </x:c>
      <x:c r="E50" s="27" t="str">
        <x:f>IF(C50="MAYOR_QUE_CERO",IF(VALUE(D50)&gt;0,"PASA","DISCORDA"),IF(EXACT("x"&amp;C50,"x"&amp;D50),"PASA","DISCORDA"))</x:f>
        <x:v>PASA</x:v>
      </x:c>
      <x:c r="F50" s="21" t="str">
        <x:v>EJECUTADO_EN_OBSERVADOR_DOCUMENTAL</x:v>
      </x:c>
    </x:row>
    <x:row r="51" ht="43" customHeight="1">
      <x:c r="A51" s="21" t="str">
        <x:v>E47</x:v>
      </x:c>
      <x:c r="B51" s="21" t="str">
        <x:v>Acción no autorizada</x:v>
      </x:c>
      <x:c r="C51" s="21" t="str">
        <x:v>FUERA_DE_AMBITO</x:v>
      </x:c>
      <x:c r="D51" s="21" t="str">
        <x:v>FUERA_DE_AMBITO</x:v>
      </x:c>
      <x:c r="E51" s="27" t="str">
        <x:f>IF(C51="MAYOR_QUE_CERO",IF(VALUE(D51)&gt;0,"PASA","DISCORDA"),IF(EXACT("x"&amp;C51,"x"&amp;D51),"PASA","DISCORDA"))</x:f>
        <x:v>PASA</x:v>
      </x:c>
      <x:c r="F51" s="21" t="str">
        <x:v>EJECUTADO_EN_OBSERVADOR_DOCUMENTAL</x:v>
      </x:c>
    </x:row>
    <x:row r="52" ht="43" customHeight="1">
      <x:c r="A52" s="21" t="str">
        <x:v>E48</x:v>
      </x:c>
      <x:c r="B52" s="21" t="str">
        <x:v>Hijo no cubierto</x:v>
      </x:c>
      <x:c r="C52" s="21" t="str">
        <x:v>INSUFICIENTE</x:v>
      </x:c>
      <x:c r="D52" s="21" t="str">
        <x:v>INSUFICIENTE</x:v>
      </x:c>
      <x:c r="E52" s="27" t="str">
        <x:f>IF(C52="MAYOR_QUE_CERO",IF(VALUE(D52)&gt;0,"PASA","DISCORDA"),IF(EXACT("x"&amp;C52,"x"&amp;D52),"PASA","DISCORDA"))</x:f>
        <x:v>PASA</x:v>
      </x:c>
      <x:c r="F52" s="21" t="str">
        <x:v>EJECUTADO_EN_OBSERVADOR_DOCUMENTAL</x:v>
      </x:c>
    </x:row>
    <x:row r="53" ht="43" customHeight="1">
      <x:c r="A53" s="21" t="str">
        <x:v>E49</x:v>
      </x:c>
      <x:c r="B53" s="21" t="str">
        <x:v>Crear no inicializar</x:v>
      </x:c>
      <x:c r="C53" s="21" t="str">
        <x:v>INSUFICIENTE</x:v>
      </x:c>
      <x:c r="D53" s="21" t="str">
        <x:v>INSUFICIENTE</x:v>
      </x:c>
      <x:c r="E53" s="27" t="str">
        <x:f>IF(C53="MAYOR_QUE_CERO",IF(VALUE(D53)&gt;0,"PASA","DISCORDA"),IF(EXACT("x"&amp;C53,"x"&amp;D53),"PASA","DISCORDA"))</x:f>
        <x:v>PASA</x:v>
      </x:c>
      <x:c r="F53" s="21" t="str">
        <x:v>EJECUTADO_EN_OBSERVADOR_DOCUMENTAL</x:v>
      </x:c>
    </x:row>
    <x:row r="54" ht="43" customHeight="1">
      <x:c r="A54" s="21" t="str">
        <x:v>E50</x:v>
      </x:c>
      <x:c r="B54" s="21" t="str">
        <x:v>Mitigación no corrección</x:v>
      </x:c>
      <x:c r="C54" s="21" t="str">
        <x:v>INSUFICIENTE</x:v>
      </x:c>
      <x:c r="D54" s="21" t="str">
        <x:v>INSUFICIENTE</x:v>
      </x:c>
      <x:c r="E54" s="27" t="str">
        <x:f>IF(C54="MAYOR_QUE_CERO",IF(VALUE(D54)&gt;0,"PASA","DISCORDA"),IF(EXACT("x"&amp;C54,"x"&amp;D54),"PASA","DISCORDA"))</x:f>
        <x:v>PASA</x:v>
      </x:c>
      <x:c r="F54" s="21" t="str">
        <x:v>EJECUTADO_EN_OBSERVADOR_DOCUMENTAL</x:v>
      </x:c>
    </x:row>
    <x:row r="55" ht="43" customHeight="1">
      <x:c r="A55" s="21" t="str">
        <x:v>E51</x:v>
      </x:c>
      <x:c r="B55" s="21" t="str">
        <x:v>Historia anterior sin vigencia</x:v>
      </x:c>
      <x:c r="C55" s="21" t="str">
        <x:v>INSUFICIENTE</x:v>
      </x:c>
      <x:c r="D55" s="21" t="str">
        <x:v>INSUFICIENTE</x:v>
      </x:c>
      <x:c r="E55" s="27" t="str">
        <x:f>IF(C55="MAYOR_QUE_CERO",IF(VALUE(D55)&gt;0,"PASA","DISCORDA"),IF(EXACT("x"&amp;C55,"x"&amp;D55),"PASA","DISCORDA"))</x:f>
        <x:v>PASA</x:v>
      </x:c>
      <x:c r="F55" s="21" t="str">
        <x:v>EJECUTADO_EN_OBSERVADOR_DOCUMENTAL</x:v>
      </x:c>
    </x:row>
    <x:row r="56" ht="43" customHeight="1">
      <x:c r="A56" s="21" t="str">
        <x:v>S-correcto</x:v>
      </x:c>
      <x:c r="B56" s="21" t="str">
        <x:v>Observador de igualdad: correcto=0; mutantes deben discrepar</x:v>
      </x:c>
      <x:c r="C56" s="21" t="str">
        <x:v>0</x:v>
      </x:c>
      <x:c r="D56" s="21" t="str">
        <x:v>0</x:v>
      </x:c>
      <x:c r="E56" s="27" t="str">
        <x:f>IF(C56="MAYOR_QUE_CERO",IF(VALUE(D56)&gt;0,"PASA","DISCORDA"),IF(EXACT("x"&amp;C56,"x"&amp;D56),"PASA","DISCORDA"))</x:f>
        <x:v>PASA</x:v>
      </x:c>
      <x:c r="F56" s="21" t="str">
        <x:v>EJECUTADO; NO SENSIBILIDAD DE SENSOR REAL</x:v>
      </x:c>
    </x:row>
    <x:row r="57" ht="43" customHeight="1">
      <x:c r="A57" s="21" t="str">
        <x:v>S-ignora_objetivo</x:v>
      </x:c>
      <x:c r="B57" s="21" t="str">
        <x:v>Observador de igualdad: correcto=0; mutantes deben discrepar</x:v>
      </x:c>
      <x:c r="C57" s="21" t="str">
        <x:v>MAYOR_QUE_CERO</x:v>
      </x:c>
      <x:c r="D57" s="21" t="str">
        <x:v>1</x:v>
      </x:c>
      <x:c r="E57" s="27" t="str">
        <x:f>IF(C57="MAYOR_QUE_CERO",IF(VALUE(D57)&gt;0,"PASA","DISCORDA"),IF(EXACT("x"&amp;C57,"x"&amp;D57),"PASA","DISCORDA"))</x:f>
        <x:v>PASA</x:v>
      </x:c>
      <x:c r="F57" s="21" t="str">
        <x:v>EJECUTADO; NO SENSIBILIDAD DE SENSOR REAL</x:v>
      </x:c>
    </x:row>
    <x:row r="58" ht="43" customHeight="1">
      <x:c r="A58" s="21" t="str">
        <x:v>S-siempre_negativo</x:v>
      </x:c>
      <x:c r="B58" s="21" t="str">
        <x:v>Observador de igualdad: correcto=0; mutantes deben discrepar</x:v>
      </x:c>
      <x:c r="C58" s="21" t="str">
        <x:v>MAYOR_QUE_CERO</x:v>
      </x:c>
      <x:c r="D58" s="21" t="str">
        <x:v>2</x:v>
      </x:c>
      <x:c r="E58" s="27" t="str">
        <x:f>IF(C58="MAYOR_QUE_CERO",IF(VALUE(D58)&gt;0,"PASA","DISCORDA"),IF(EXACT("x"&amp;C58,"x"&amp;D58),"PASA","DISCORDA"))</x:f>
        <x:v>PASA</x:v>
      </x:c>
      <x:c r="F58" s="21" t="str">
        <x:v>EJECUTADO; NO SENSIBILIDAD DE SENSOR REAL</x:v>
      </x:c>
    </x:row>
    <x:row r="59" ht="43" customHeight="1">
      <x:c r="A59" s="21" t="str">
        <x:v>S-siempre_positivo</x:v>
      </x:c>
      <x:c r="B59" s="21" t="str">
        <x:v>Observador de igualdad: correcto=0; mutantes deben discrepar</x:v>
      </x:c>
      <x:c r="C59" s="21" t="str">
        <x:v>MAYOR_QUE_CERO</x:v>
      </x:c>
      <x:c r="D59" s="21" t="str">
        <x:v>1</x:v>
      </x:c>
      <x:c r="E59" s="27" t="str">
        <x:f>IF(C59="MAYOR_QUE_CERO",IF(VALUE(D59)&gt;0,"PASA","DISCORDA"),IF(EXACT("x"&amp;C59,"x"&amp;D59),"PASA","DISCORDA"))</x:f>
        <x:v>PASA</x:v>
      </x:c>
      <x:c r="F59" s="21" t="str">
        <x:v>EJECUTADO; NO SENSIBILIDAD DE SENSOR REAL</x:v>
      </x:c>
    </x:row>
  </x:sheetData>
  <x:mergeCells>
    <x:mergeCell ref="A1:D1"/>
    <x:mergeCell ref="A2:F2"/>
  </x:mergeCells>
  <x:conditionalFormatting sqref="E5:E59">
    <x:cfRule type="containsText" dxfId="27" priority="1" operator="containsText" text="DISCORDA"/>
  </x:conditionalFormatting>
  <x:pageMargins left="0.7" right="0.7" top="0.75" bottom="0.75" header="0.3" footer="0.3"/>
  <x:tableParts count="1">
    <x:tablePart xmlns:r="http://schemas.openxmlformats.org/officeDocument/2006/relationships" r:id="Re6c2be35064d47de"/>
  </x:tableParts>
</x:worksheet>
</file>

<file path=xl/worksheets/sheet6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9" hidden="0" customWidth="1"/>
    <x:col min="2" max="2" width="78" hidden="0" customWidth="1"/>
    <x:col min="3" max="3" width="49" hidden="0" customWidth="1"/>
    <x:col min="4" max="4" width="162" hidden="0" customWidth="1"/>
  </x:cols>
  <x:sheetData>
    <x:row r="1" ht="34" customHeight="1">
      <x:c r="A1" s="23" t="str">
        <x:v>ADVERSARIAL Y DEUDA · límites que tienen efecto</x:v>
      </x:c>
      <x:c r="B1" s="23"/>
      <x:c r="C1" s="23"/>
      <x:c r="D1" s="23"/>
    </x:row>
    <x:row r="2" ht="57" customHeight="1">
      <x:c r="A2" s="24" t="str">
        <x:v>Revisión interna de esta unidad. No es auditoría externa independiente. Ninguna deuda imprescindible queda ocultada por un cierre nominal.</x:v>
      </x:c>
      <x:c r="B2" s="24"/>
      <x:c r="C2" s="24"/>
      <x:c r="D2" s="24"/>
    </x:row>
    <x:row r="3">
      <x:c r="A3" s="21"/>
      <x:c r="B3" s="21"/>
      <x:c r="C3" s="21"/>
      <x:c r="D3" s="21"/>
    </x:row>
    <x:row r="4" ht="48" customHeight="1">
      <x:c r="A4" s="26" t="str">
        <x:v>ID</x:v>
      </x:c>
      <x:c r="B4" s="26" t="str">
        <x:v>Ataque / deuda</x:v>
      </x:c>
      <x:c r="C4" s="26" t="str">
        <x:v>Resultado / responsable</x:v>
      </x:c>
      <x:c r="D4" s="26" t="str">
        <x:v>Resolución / capacidad bloqueada</x:v>
      </x:c>
    </x:row>
    <x:row r="5" ht="43" customHeight="1">
      <x:c r="A5" s="21" t="str">
        <x:v>A01</x:v>
      </x:c>
      <x:c r="B5" s="21" t="str">
        <x:v>Quince definiciones tratadas como quince estados</x:v>
      </x:c>
      <x:c r="C5" s="21" t="str">
        <x:v>REPARO INCORPORADO</x:v>
      </x:c>
      <x:c r="D5" s="21" t="str">
        <x:v>Los usos y sujetos simultáneos deben tener identidad y estado propios. D-CYB-02 impide declarar arquitectura a partir del recuento.</x:v>
      </x:c>
    </x:row>
    <x:row r="6" ht="43" customHeight="1">
      <x:c r="A6" s="21" t="str">
        <x:v>A02</x:v>
      </x:c>
      <x:c r="B6" s="21" t="str">
        <x:v>Elegir nueve de quince por proximidad editorial</x:v>
      </x:c>
      <x:c r="C6" s="21" t="str">
        <x:v>RECHAZADO</x:v>
      </x:c>
      <x:c r="D6" s="21" t="str">
        <x:v>No se ha acreditado propiedad semántica ni cobertura de los seis restantes. No se constituye célula.</x:v>
      </x:c>
    </x:row>
    <x:row r="7" ht="43" customHeight="1">
      <x:c r="A7" s="21" t="str">
        <x:v>A03</x:v>
      </x:c>
      <x:c r="B7" s="21" t="str">
        <x:v>Rellenar hasta dieciséis con un control</x:v>
      </x:c>
      <x:c r="C7" s="21" t="str">
        <x:v>RECHAZADO</x:v>
      </x:c>
      <x:c r="D7" s="21" t="str">
        <x:v>C01–C14 no son átomos por conveniencia geométrica.</x:v>
      </x:c>
    </x:row>
    <x:row r="8" ht="43" customHeight="1">
      <x:c r="A8" s="21" t="str">
        <x:v>A04</x:v>
      </x:c>
      <x:c r="B8" s="21" t="str">
        <x:v>Convertir prueba positiva genérica en todas las pruebas</x:v>
      </x:c>
      <x:c r="C8" s="21" t="str">
        <x:v>RECHAZADO</x:v>
      </x:c>
      <x:c r="D8" s="21" t="str">
        <x:v>P07 por criterio/sujeto preserva usos y estados; un resultado no se replica.</x:v>
      </x:c>
    </x:row>
    <x:row r="9" ht="43" customHeight="1">
      <x:c r="A9" s="21" t="str">
        <x:v>A05</x:v>
      </x:c>
      <x:c r="B9" s="21" t="str">
        <x:v>P11 es inicialización y disponibilidad</x:v>
      </x:c>
      <x:c r="C9" s="21" t="str">
        <x:v>REPARO PREVENIDO</x:v>
      </x:c>
      <x:c r="D9" s="21" t="str">
        <x:v>CreateProcess retorna antes de inicialización; P11 sólo creación; P07 criterio útil separado.</x:v>
      </x:c>
    </x:row>
    <x:row r="10" ht="43" customHeight="1">
      <x:c r="A10" s="21" t="str">
        <x:v>A06</x:v>
      </x:c>
      <x:c r="B10" s="21" t="str">
        <x:v>P12 es contenido del fichero de configuración</x:v>
      </x:c>
      <x:c r="C10" s="21" t="str">
        <x:v>RECHAZADO</x:v>
      </x:c>
      <x:c r="D10" s="21" t="str">
        <x:v>Valor efectivo exige método específico; lectura indirecta mantiene U.</x:v>
      </x:c>
    </x:row>
    <x:row r="11" ht="43" customHeight="1">
      <x:c r="A11" s="21" t="str">
        <x:v>A07</x:v>
      </x:c>
      <x:c r="B11" s="21" t="str">
        <x:v>P13 equivale a P06</x:v>
      </x:c>
      <x:c r="C11" s="21" t="str">
        <x:v>REFUTADO EN TESTIGO</x:v>
      </x:c>
      <x:c r="D11" s="21" t="str">
        <x:v>Disco y memoria pueden divergir en ambas direcciones.</x:v>
      </x:c>
    </x:row>
    <x:row r="12" ht="43" customHeight="1">
      <x:c r="A12" s="21" t="str">
        <x:v>A08</x:v>
      </x:c>
      <x:c r="B12" s="21" t="str">
        <x:v>P14 duplica P09 o P12</x:v>
      </x:c>
      <x:c r="C12" s="21" t="str">
        <x:v>REFUTADO EN TESTIGO</x:v>
      </x:c>
      <x:c r="D12" s="21" t="str">
        <x:v>Cambio de configuración sin cambio binario y cambio/retorno con mismo final.</x:v>
      </x:c>
    </x:row>
    <x:row r="13" ht="43" customHeight="1">
      <x:c r="A13" s="21" t="str">
        <x:v>A09</x:v>
      </x:c>
      <x:c r="B13" s="21" t="str">
        <x:v>P15 agrupa todas las tareas pendientes</x:v>
      </x:c>
      <x:c r="C13" s="21" t="str">
        <x:v>RECHAZADO</x:v>
      </x:c>
      <x:c r="D13" s="21" t="str">
        <x:v>Sólo requisito de acción previamente individualizada; tareas compuestas necesitan obligaciones separables.</x:v>
      </x:c>
    </x:row>
    <x:row r="14" ht="43" customHeight="1">
      <x:c r="A14" s="21" t="str">
        <x:v>A10</x:v>
      </x:c>
      <x:c r="B14" s="21" t="str">
        <x:v>P05 padre implica hijos terminados</x:v>
      </x:c>
      <x:c r="C14" s="21" t="str">
        <x:v>RECHAZADO</x:v>
      </x:c>
      <x:c r="D14" s="21" t="str">
        <x:v>T016 distingue hijos y objetos compartidos; C05 exige cobertura.</x:v>
      </x:c>
    </x:row>
    <x:row r="15" ht="43" customHeight="1">
      <x:c r="A15" s="21" t="str">
        <x:v>A11</x:v>
      </x:c>
      <x:c r="B15" s="21" t="str">
        <x:v>Digest correcto autentica productor</x:v>
      </x:c>
      <x:c r="C15" s="21" t="str">
        <x:v>REFUTADO EN ENSAYO</x:v>
      </x:c>
      <x:c r="D15" s="21" t="str">
        <x:v>E03 conserva hash correcto y rechaza productor no admitido.</x:v>
      </x:c>
    </x:row>
    <x:row r="16" ht="43" customHeight="1">
      <x:c r="A16" s="21" t="str">
        <x:v>A12</x:v>
      </x:c>
      <x:c r="B16" s="21" t="str">
        <x:v>Lista o historial vacío acredita ausencia</x:v>
      </x:c>
      <x:c r="C16" s="21" t="str">
        <x:v>REFUTADO EN ENSAYO</x:v>
      </x:c>
      <x:c r="D16" s="21" t="str">
        <x:v>E12/E33 y testigos P14 impiden cierre vacío sin cobertura.</x:v>
      </x:c>
    </x:row>
    <x:row r="17" ht="43" customHeight="1">
      <x:c r="A17" s="21" t="str">
        <x:v>A13</x:v>
      </x:c>
      <x:c r="B17" s="21" t="str">
        <x:v>Sensor siempre positivo parece suficiente</x:v>
      </x:c>
      <x:c r="C17" s="21" t="str">
        <x:v>REFUTADO EN ENSAYO</x:v>
      </x:c>
      <x:c r="D17" s="21" t="str">
        <x:v>Testigo residual lo detecta; sensor siempre negativo y que memoriza objetivo también se detectan.</x:v>
      </x:c>
    </x:row>
    <x:row r="18" ht="43" customHeight="1">
      <x:c r="A18" s="21" t="str">
        <x:v>A14</x:v>
      </x:c>
      <x:c r="B18" s="21" t="str">
        <x:v>Totalidad de salida ensayada sin asociación</x:v>
      </x:c>
      <x:c r="C18" s="21" t="str">
        <x:v>ERROR DEL ORÁCULO CORREGIDO</x:v>
      </x:c>
      <x:c r="D18" s="21" t="str">
        <x:v>Se conserva esperado inicial fallido. Sin CellSpec no se alcanza totalidad relativa; no se declara defecto ni prueba favorable.</x:v>
      </x:c>
    </x:row>
    <x:row r="19" ht="43" customHeight="1">
      <x:c r="A19" s="21" t="str">
        <x:v>A15</x:v>
      </x:c>
      <x:c r="B19" s="21" t="str">
        <x:v>Transporte nominal demuestra observación→Tri</x:v>
      </x:c>
      <x:c r="C19" s="21" t="str">
        <x:v>RECHAZADO</x:v>
      </x:c>
      <x:c r="D19" s="21" t="str">
        <x:v>Salida nativa contiene referencia CapturadorNoEjecutado y operations vacías.</x:v>
      </x:c>
    </x:row>
    <x:row r="20" ht="43" customHeight="1">
      <x:c r="A20" s="21" t="str">
        <x:v>A16</x:v>
      </x:c>
      <x:c r="B20" s="21" t="str">
        <x:v>Coste pequeño del activo implica poco valor</x:v>
      </x:c>
      <x:c r="C20" s="21" t="str">
        <x:v>RECHAZADO</x:v>
      </x:c>
      <x:c r="D20" s="21" t="str">
        <x:v>C08/C12 conservan misión, impactos y no monetizados.</x:v>
      </x:c>
    </x:row>
    <x:row r="21" ht="43" customHeight="1">
      <x:c r="A21" s="21" t="str">
        <x:v>A17</x:v>
      </x:c>
      <x:c r="B21" s="21" t="str">
        <x:v>Aceptar riesgo permite cerrar corrección</x:v>
      </x:c>
      <x:c r="C21" s="21" t="str">
        <x:v>REFUTADO EN ENSAYO</x:v>
      </x:c>
      <x:c r="D21" s="21" t="str">
        <x:v>E50 diferencia mitigación y corrección; C09 mantiene riesgo residual.</x:v>
      </x:c>
    </x:row>
    <x:row r="22" ht="43" customHeight="1">
      <x:c r="A22" s="21" t="str">
        <x:v>A18</x:v>
      </x:c>
      <x:c r="B22" s="21" t="str">
        <x:v>Ventana o Dirección del catálogo dan permiso</x:v>
      </x:c>
      <x:c r="C22" s="21" t="str">
        <x:v>REFUTADO EN ENSAYO</x:v>
      </x:c>
      <x:c r="D22" s="21" t="str">
        <x:v>E44–47 separan ámbito, vigencia, acción y organización del activo.</x:v>
      </x:c>
    </x:row>
    <x:row r="23" ht="43" customHeight="1">
      <x:c r="A23" s="21" t="str">
        <x:v>A19</x:v>
      </x:c>
      <x:c r="B23" s="21" t="str">
        <x:v>Treinta y una etiquetas terminales acreditan aptitud</x:v>
      </x:c>
      <x:c r="C23" s="21" t="str">
        <x:v>RECHAZADO</x:v>
      </x:c>
      <x:c r="D23" s="21" t="str">
        <x:v>D-CYB-01–05 bloquean capacidades; cierre sólo documental, G6/fila8 no superados.</x:v>
      </x:c>
    </x:row>
    <x:row r="24" ht="43" customHeight="1">
      <x:c r="A24" s="21" t="str">
        <x:v>A20</x:v>
      </x:c>
      <x:c r="B24" s="21" t="str">
        <x:v>Autoadopción de P11–P15 por luz verde general</x:v>
      </x:c>
      <x:c r="C24" s="21" t="str">
        <x:v>RECHAZADO</x:v>
      </x:c>
      <x:c r="D24" s="21" t="str">
        <x:v>Mandato permite trabajo y entrega, no firma anticipada de resultados nuevos.</x:v>
      </x:c>
    </x:row>
    <x:row r="25" ht="43" customHeight="1">
      <x:c r="A25" s="21" t="str">
        <x:v>A21</x:v>
      </x:c>
      <x:c r="B25" s="21" t="str">
        <x:v>Continuar ramas y nuevas raíces hasta lograr tamaño</x:v>
      </x:c>
      <x:c r="C25" s="21" t="str">
        <x:v>RECHAZADO</x:v>
      </x:c>
      <x:c r="D25" s="21" t="str">
        <x:v>Q0 conserva31; no se abre segundo universo ni se modifica Lenguaje.</x:v>
      </x:c>
    </x:row>
    <x:row r="26" ht="43" customHeight="1">
      <x:c r="A26" s="21" t="str">
        <x:v>A22</x:v>
      </x:c>
      <x:c r="B26" s="21" t="str">
        <x:v>Nueva configuración impone repetir toda prueba</x:v>
      </x:c>
      <x:c r="C26" s="21" t="str">
        <x:v>RECHAZADO</x:v>
      </x:c>
      <x:c r="D26" s="21" t="str">
        <x:v>C07 exige relación afectada; cambios irrelevantes no invalidan automáticamente evidencia independiente.</x:v>
      </x:c>
    </x:row>
    <x:row r="27" ht="59" customHeight="1">
      <x:c r="A27" s="21" t="str">
        <x:v>D-CYB-01</x:v>
      </x:c>
      <x:c r="B27" s="21" t="str">
        <x:v>CAPTURA_E_INSTANCIACION</x:v>
      </x:c>
      <x:c r="C27" s="21" t="str">
        <x:v>Experto del producto/activo y unidad CYB</x:v>
      </x:c>
      <x:c r="D27" s="21" t="str">
        <x:v>Métodos reales, regla específica de actualización, inventario completo, autoridad/coste/impacto y transductores de sus tipos. Sin ellos no hay consejo real suficiente. Cierre: Instanciar contrato en episodio autorizado; validar fuentes, capturadores, negaciones por cobertura y pruebas con sensibilidad. No se declara defecto del Lenguaje por falta de un sistema real.</x:v>
      </x:c>
    </x:row>
    <x:row r="28" ht="59" customHeight="1">
      <x:c r="A28" s="21" t="str">
        <x:v>D-CYB-02</x:v>
      </x:c>
      <x:c r="B28" s="21" t="str">
        <x:v>CONSTITUCION_G6</x:v>
      </x:c>
      <x:c r="C28" s="21" t="str">
        <x:v>Unidad CYB / Dirección</x:v>
      </x:c>
      <x:c r="D28" s="21" t="str">
        <x:v>No se ha demostrado una arquitectura SV legítima que asigne propiedad a todos los estados independientes; 15 definiciones no determinan cardinalidad de instancias. Cierre: Constituir sujetos/usos finitos del perfil, probar agrupación semántica y propiedad sin duplicar ni rellenar; someter candidata a decisión humana. G6 no superada; G7 y Frame dependientes bloqueados. No se acusa a SV(9,3) de un defecto a partir del recuento.</x:v>
      </x:c>
    </x:row>
    <x:row r="29" ht="59" customHeight="1">
      <x:c r="A29" s="21" t="str">
        <x:v>D-CYB-03</x:v>
      </x:c>
      <x:c r="B29" s="21" t="str">
        <x:v>EJECUCION_Y_TRANSDUCCION</x:v>
      </x:c>
      <x:c r="C29" s="21" t="str">
        <x:v>Unidad del Lenguaje SV</x:v>
      </x:c>
      <x:c r="D29" s="21" t="str">
        <x:v>El corte recibido no acredita observación→Tri ni ejecución Q0 causal con autoridad, sensibilidad y explicación completa. Cierre: Resolver o delimitar requisitos CYB y devolver candidata identificada, con evidencia de sus capacidades reales. Requisito de contrato, no refutación binaria ejecutada de capacidad que el corte no promete.</x:v>
      </x:c>
    </x:row>
    <x:row r="30" ht="44" customHeight="1">
      <x:c r="A30" s="21" t="str">
        <x:v>D-CYB-04</x:v>
      </x:c>
      <x:c r="B30" s="21" t="str">
        <x:v>ADMISION_CONSTITUTIVA_NUEVA</x:v>
      </x:c>
      <x:c r="C30" s="21" t="str">
        <x:v>Dirección</x:v>
      </x:c>
      <x:c r="D30" s="21" t="str">
        <x:v>P11–P15 y controles nuevos son dictámenes de la unidad. La orden de continuar no es firma de aptitud anticipada. Cierre: Decisión humana sobre el paquete antes de incorporarlo como conocimiento gobernante de un agente. No impide completar investigación ni entrega documental.</x:v>
      </x:c>
    </x:row>
    <x:row r="31" ht="59" customHeight="1">
      <x:c r="A31" s="21" t="str">
        <x:v>D-CYB-05</x:v>
      </x:c>
      <x:c r="B31" s="21" t="str">
        <x:v>CONTRASTE_EMPIRICO</x:v>
      </x:c>
      <x:c r="C31" s="21" t="str">
        <x:v>Responsable del ensayo autorizado / unidad CYB</x:v>
      </x:c>
      <x:c r="D31" s="21" t="str">
        <x:v>No se han ejecutado patch, reinicio, lectura Win32, restauración ni test de vulnerabilidad en activo real. Cierre: Ensayo autorizado y aislado, escenario representativo y oráculos independientes; resolver D01–03 correspondientes. Los testigos sintéticos prueban reglas documentales, no eficacia material.</x:v>
      </x:c>
    </x:row>
  </x:sheetData>
  <x:mergeCells>
    <x:mergeCell ref="A1:D1"/>
    <x:mergeCell ref="A2:D2"/>
  </x:mergeCells>
  <x:pageMargins left="0.7" right="0.7" top="0.75" bottom="0.75" header="0.3" footer="0.3"/>
  <x:tableParts count="1">
    <x:tablePart xmlns:r="http://schemas.openxmlformats.org/officeDocument/2006/relationships" r:id="R16ec15dbc6a94ad9"/>
  </x:tableParts>
</x:worksheet>
</file>

<file path=xl/worksheets/sheet6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7" hidden="0" customWidth="1"/>
    <x:col min="2" max="2" width="44" hidden="0" customWidth="1"/>
    <x:col min="3" max="3" width="98" hidden="0" customWidth="1"/>
    <x:col min="4" max="4" width="78" hidden="0" customWidth="1"/>
    <x:col min="5" max="5" width="46" hidden="0" customWidth="1"/>
    <x:col min="6" max="6" width="74" hidden="0" customWidth="1"/>
    <x:col min="7" max="7" width="16" hidden="0" customWidth="1"/>
    <x:col min="8" max="8" width="74" hidden="0" customWidth="1"/>
  </x:cols>
  <x:sheetData>
    <x:row r="1" ht="34" customHeight="1">
      <x:c r="A1" s="23" t="str">
        <x:v>FUENTES Y CONTROL DEL CORTE</x:v>
      </x:c>
      <x:c r="B1" s="23"/>
      <x:c r="C1" s="23"/>
      <x:c r="D1" s="23"/>
      <x:c r="E1" s="23"/>
      <x:c r="F1" s="23"/>
      <x:c r="G1" s="23"/>
      <x:c r="H1" s="23"/>
    </x:row>
    <x:row r="2" ht="57" customHeight="1">
      <x:c r="A2" s="24" t="str">
        <x:v>Originales conservados; citas localizadas. Fechas de metadato no sustituyen fecha visible de revisión. Libros anteriores conservan su trazabilidad curricular.</x:v>
      </x:c>
      <x:c r="B2" s="24"/>
      <x:c r="C2" s="24"/>
      <x:c r="D2" s="24"/>
      <x:c r="E2" s="24"/>
      <x:c r="F2" s="24"/>
      <x:c r="G2" s="24"/>
      <x:c r="H2" s="24"/>
    </x:row>
    <x:row r="3">
      <x:c r="A3" s="21"/>
      <x:c r="B3" s="21"/>
      <x:c r="C3" s="21"/>
      <x:c r="D3" s="21"/>
      <x:c r="E3" s="21"/>
      <x:c r="F3" s="21"/>
      <x:c r="G3" s="21"/>
      <x:c r="H3" s="21"/>
    </x:row>
    <x:row r="4" ht="48" customHeight="1">
      <x:c r="A4" s="26" t="str">
        <x:v>ID</x:v>
      </x:c>
      <x:c r="B4" s="26" t="str">
        <x:v>Fuente</x:v>
      </x:c>
      <x:c r="C4" s="26" t="str">
        <x:v>URL</x:v>
      </x:c>
      <x:c r="D4" s="26" t="str">
        <x:v>Localizador aplicado</x:v>
      </x:c>
      <x:c r="E4" s="26" t="str">
        <x:v>Edición / metadato</x:v>
      </x:c>
      <x:c r="F4" s="26" t="str">
        <x:v>SHA-256 original</x:v>
      </x:c>
      <x:c r="G4" s="26" t="str">
        <x:v>Bytes</x:v>
      </x:c>
      <x:c r="H4" s="26" t="str">
        <x:v>Captura / corte</x:v>
      </x:c>
    </x:row>
    <x:row r="5" ht="44" customHeight="1">
      <x:c r="A5" s="21" t="str">
        <x:v>T014</x:v>
      </x:c>
      <x:c r="B5" s="21" t="str">
        <x:v>RM_UNIQUE_PROCESS</x:v>
      </x:c>
      <x:c r="C5" s="21" t="str">
        <x:v>https://learn.microsoft.com/en-us/windows/win32/api/restartmanager/ns-restartmanager-rm_unique_process</x:v>
      </x:c>
      <x:c r="D5" s="21" t="str">
        <x:v>Introducción; Members; Remarks</x:v>
      </x:c>
      <x:c r="E5" s="21" t="str">
        <x:v>ms.date=2018-12-05T00:00:00Z</x:v>
      </x:c>
      <x:c r="F5" s="21" t="str">
        <x:v>85e053da03c91dc097e5b4943545a488e6ed157d128ac764cfd3c49d6c7849c3</x:v>
      </x:c>
      <x:c r="G5" s="21" t="str">
        <x:v>50868</x:v>
      </x:c>
      <x:c r="H5" s="21" t="str">
        <x:v>captura=2026-09-09T03:05:35.312440+00:00</x:v>
      </x:c>
    </x:row>
    <x:row r="6" ht="44" customHeight="1">
      <x:c r="A6" s="21" t="str">
        <x:v>T015</x:v>
      </x:c>
      <x:c r="B6" s="21" t="str">
        <x:v>CreateProcessW</x:v>
      </x:c>
      <x:c r="C6" s="21" t="str">
        <x:v>https://learn.microsoft.com/en-us/windows/win32/api/processthreadsapi/nf-processthreadsapi-createprocessw</x:v>
      </x:c>
      <x:c r="D6" s="21" t="str">
        <x:v>Return value; Remarks</x:v>
      </x:c>
      <x:c r="E6" s="21" t="str">
        <x:v>ms.date=2018-12-05T00:00:00Z</x:v>
      </x:c>
      <x:c r="F6" s="21" t="str">
        <x:v>11a98c6ebf66ed61dd65bfdd30b0d41a109e9095efb25dbf4084d03a310ddf04</x:v>
      </x:c>
      <x:c r="G6" s="21" t="str">
        <x:v>76621</x:v>
      </x:c>
      <x:c r="H6" s="21" t="str">
        <x:v>captura=2026-09-09T03:05:45.371345+00:00</x:v>
      </x:c>
    </x:row>
    <x:row r="7" ht="43" customHeight="1">
      <x:c r="A7" s="21" t="str">
        <x:v>T016</x:v>
      </x:c>
      <x:c r="B7" s="21" t="str">
        <x:v>Terminating a Process</x:v>
      </x:c>
      <x:c r="C7" s="21" t="str">
        <x:v>https://learn.microsoft.com/en-us/windows/win32/procthread/terminating-a-process</x:v>
      </x:c>
      <x:c r="D7" s="21" t="str">
        <x:v>In this article; How Processes are Terminated</x:v>
      </x:c>
      <x:c r="E7" s="21" t="str">
        <x:v>ms.date=2025-07-14T00:00:00Z</x:v>
      </x:c>
      <x:c r="F7" s="21" t="str">
        <x:v>86170fc387e742c7eebce69f9e046e8eed77e60bac7036da8bb23c03494769f3</x:v>
      </x:c>
      <x:c r="G7" s="21" t="str">
        <x:v>55831</x:v>
      </x:c>
      <x:c r="H7" s="21" t="str">
        <x:v>captura=2026-09-09T03:05:55.929381+00:00</x:v>
      </x:c>
    </x:row>
    <x:row r="8" ht="43" customHeight="1">
      <x:c r="A8" s="21" t="str">
        <x:v>T001</x:v>
      </x:c>
      <x:c r="B8" s="21" t="str">
        <x:v>NIST SP 800-40r4</x:v>
      </x:c>
      <x:c r="C8" s="21" t="str">
        <x:v>https://nvlpubs.nist.gov/nistpubs/SpecialPublications/NIST.SP.800-40r4.pdf</x:v>
      </x:c>
      <x:c r="D8" s="21" t="str">
        <x:v>§2.2–2.3.4; §3.1–3.5</x:v>
      </x:c>
      <x:c r="E8" s="21" t="str">
        <x:v>Fuente congelada reutilizada</x:v>
      </x:c>
      <x:c r="F8" s="21" t="str">
        <x:v>351f4a828d6c0bc8bf98f25ba3f87ec5add0ed8cf8bb4a6e6cb4e7e4a9731833</x:v>
      </x:c>
      <x:c r="G8" s="21" t="str">
        <x:v>562944</x:v>
      </x:c>
      <x:c r="H8" s="21" t="str">
        <x:v>Corte local antecedente; no latest</x:v>
      </x:c>
    </x:row>
    <x:row r="9" ht="43" customHeight="1">
      <x:c r="A9" s="21" t="str">
        <x:v>F018</x:v>
      </x:c>
      <x:c r="B9" s="21" t="str">
        <x:v>NIST SP 800-115</x:v>
      </x:c>
      <x:c r="C9" s="21" t="str">
        <x:v>https://nvlpubs.nist.gov/nistpubs/Legacy/SP/nistspecialpublication800-115.pdf</x:v>
      </x:c>
      <x:c r="D9" s="21" t="str">
        <x:v>§3.4–3.6, §4.3, §6.5, §7.3–7.4</x:v>
      </x:c>
      <x:c r="E9" s="21" t="str">
        <x:v>Fuente congelada reutilizada</x:v>
      </x:c>
      <x:c r="F9" s="21" t="str">
        <x:v>58e5ed41e5c8ca34ce14fd80b70f118f2c6d613d1647bc307edca30bcc45f063</x:v>
      </x:c>
      <x:c r="G9" s="21" t="str">
        <x:v>544047</x:v>
      </x:c>
      <x:c r="H9" s="21" t="str">
        <x:v>Corte local antecedente; no latest</x:v>
      </x:c>
    </x:row>
    <x:row r="12" ht="48" customHeight="1">
      <x:c r="A12" s="30" t="str">
        <x:v>Control</x:v>
      </x:c>
      <x:c r="B12" s="30" t="str">
        <x:v>Resultado calculado</x:v>
      </x:c>
      <x:c r="C12" s="30" t="str">
        <x:v>Esperado del corte</x:v>
      </x:c>
      <x:c r="D12" s="30" t="str">
        <x:v>Qué detecta</x:v>
      </x:c>
    </x:row>
    <x:row r="13" ht="48" customHeight="1">
      <x:c r="A13" s="29" t="str">
        <x:v>Definiciones</x:v>
      </x:c>
      <x:c r="B13" s="31" t="n">
        <x:f>COUNTA('57_Registro_actual'!A5:A19)</x:f>
        <x:v>15</x:v>
      </x:c>
      <x:c r="C13" s="29" t="str">
        <x:v>15</x:v>
      </x:c>
      <x:c r="D13" s="29" t="str">
        <x:v>Recuento del registro</x:v>
      </x:c>
    </x:row>
    <x:row r="14" ht="48" customHeight="1">
      <x:c r="A14" s="29" t="str">
        <x:v>Distinciones Q0</x:v>
      </x:c>
      <x:c r="B14" s="31" t="n">
        <x:f>COUNTA('59_Q0_terminal'!A5:A35)</x:f>
        <x:v>31</x:v>
      </x:c>
      <x:c r="C14" s="29" t="str">
        <x:v>31</x:v>
      </x:c>
      <x:c r="D14" s="29" t="str">
        <x:v>Cobertura de inventario</x:v>
      </x:c>
    </x:row>
    <x:row r="15" ht="48" customHeight="1">
      <x:c r="A15" s="29" t="str">
        <x:v>Casos nuevos discordantes</x:v>
      </x:c>
      <x:c r="B15" s="31" t="n">
        <x:f>COUNTIF('62_Testigos_nuevos'!R5:R69,"DISCORDA")</x:f>
        <x:v>0</x:v>
      </x:c>
      <x:c r="C15" s="29" t="str">
        <x:v>0</x:v>
      </x:c>
      <x:c r="D15" s="29" t="str">
        <x:v>Esperado frente a resultado ejecutado</x:v>
      </x:c>
    </x:row>
    <x:row r="16" ht="48" customHeight="1">
      <x:c r="A16" s="29" t="str">
        <x:v>Controles discordantes</x:v>
      </x:c>
      <x:c r="B16" s="31" t="n">
        <x:f>COUNTIF('63_Contraste_controles'!E5:E59,"DISCORDA")</x:f>
        <x:v>0</x:v>
      </x:c>
      <x:c r="C16" s="29" t="str">
        <x:v>0</x:v>
      </x:c>
      <x:c r="D16" s="29" t="str">
        <x:v>Concordancia de contratos</x:v>
      </x:c>
    </x:row>
    <x:row r="17" ht="48" customHeight="1">
      <x:c r="A17" s="29" t="str">
        <x:v>Identidades repetidas</x:v>
      </x:c>
      <x:c r="B17" s="31" t="n">
        <x:f>IF(COUNTIF('57_Registro_actual'!B5:B19,'57_Registro_actual'!B5)=1,0,1)+IF(COUNTIF('57_Registro_actual'!B5:B19,'57_Registro_actual'!B6)=1,0,1)+IF(COUNTIF('57_Registro_actual'!B5:B19,'57_Registro_actual'!B7)=1,0,1)+IF(COUNTIF('57_Registro_actual'!B5:B19,'57_Registro_actual'!B8)=1,0,1)+IF(COUNTIF('57_Registro_actual'!B5:B19,'57_Registro_actual'!B9)=1,0,1)+IF(COUNTIF('57_Registro_actual'!B5:B19,'57_Registro_actual'!B10)=1,0,1)+IF(COUNTIF('57_Registro_actual'!B5:B19,'57_Registro_actual'!B11)=1,0,1)+IF(COUNTIF('57_Registro_actual'!B5:B19,'57_Registro_actual'!B12)=1,0,1)+IF(COUNTIF('57_Registro_actual'!B5:B19,'57_Registro_actual'!B13)=1,0,1)+IF(COUNTIF('57_Registro_actual'!B5:B19,'57_Registro_actual'!B14)=1,0,1)+IF(COUNTIF('57_Registro_actual'!B5:B19,'57_Registro_actual'!B15)=1,0,1)+IF(COUNTIF('57_Registro_actual'!B5:B19,'57_Registro_actual'!B16)=1,0,1)+IF(COUNTIF('57_Registro_actual'!B5:B19,'57_Registro_actual'!B17)=1,0,1)+IF(COUNTIF('57_Registro_actual'!B5:B19,'57_Registro_actual'!B18)=1,0,1)+IF(COUNTIF('57_Registro_actual'!B5:B19,'57_Registro_actual'!B19)=1,0,1)</x:f>
        <x:v>0</x:v>
      </x:c>
      <x:c r="C17" s="29" t="str">
        <x:v>0</x:v>
      </x:c>
      <x:c r="D17" s="29" t="str">
        <x:v>Duplicación del registro</x:v>
      </x:c>
    </x:row>
    <x:row r="18" ht="48" customHeight="1">
      <x:c r="A18" s="29" t="str">
        <x:v>Q0 repetidas</x:v>
      </x:c>
      <x:c r="B18" s="31" t="n">
        <x:f>IF(COUNTIF('59_Q0_terminal'!A5:A35,'59_Q0_terminal'!A5)=1,0,1)+IF(COUNTIF('59_Q0_terminal'!A5:A35,'59_Q0_terminal'!A6)=1,0,1)+IF(COUNTIF('59_Q0_terminal'!A5:A35,'59_Q0_terminal'!A7)=1,0,1)+IF(COUNTIF('59_Q0_terminal'!A5:A35,'59_Q0_terminal'!A8)=1,0,1)+IF(COUNTIF('59_Q0_terminal'!A5:A35,'59_Q0_terminal'!A9)=1,0,1)+IF(COUNTIF('59_Q0_terminal'!A5:A35,'59_Q0_terminal'!A10)=1,0,1)+IF(COUNTIF('59_Q0_terminal'!A5:A35,'59_Q0_terminal'!A11)=1,0,1)+IF(COUNTIF('59_Q0_terminal'!A5:A35,'59_Q0_terminal'!A12)=1,0,1)+IF(COUNTIF('59_Q0_terminal'!A5:A35,'59_Q0_terminal'!A13)=1,0,1)+IF(COUNTIF('59_Q0_terminal'!A5:A35,'59_Q0_terminal'!A14)=1,0,1)+IF(COUNTIF('59_Q0_terminal'!A5:A35,'59_Q0_terminal'!A15)=1,0,1)+IF(COUNTIF('59_Q0_terminal'!A5:A35,'59_Q0_terminal'!A16)=1,0,1)+IF(COUNTIF('59_Q0_terminal'!A5:A35,'59_Q0_terminal'!A17)=1,0,1)+IF(COUNTIF('59_Q0_terminal'!A5:A35,'59_Q0_terminal'!A18)=1,0,1)+IF(COUNTIF('59_Q0_terminal'!A5:A35,'59_Q0_terminal'!A19)=1,0,1)+IF(COUNTIF('59_Q0_terminal'!A5:A35,'59_Q0_terminal'!A20)=1,0,1)+IF(COUNTIF('59_Q0_terminal'!A5:A35,'59_Q0_terminal'!A21)=1,0,1)+IF(COUNTIF('59_Q0_terminal'!A5:A35,'59_Q0_terminal'!A22)=1,0,1)+IF(COUNTIF('59_Q0_terminal'!A5:A35,'59_Q0_terminal'!A23)=1,0,1)+IF(COUNTIF('59_Q0_terminal'!A5:A35,'59_Q0_terminal'!A24)=1,0,1)+IF(COUNTIF('59_Q0_terminal'!A5:A35,'59_Q0_terminal'!A25)=1,0,1)+IF(COUNTIF('59_Q0_terminal'!A5:A35,'59_Q0_terminal'!A26)=1,0,1)+IF(COUNTIF('59_Q0_terminal'!A5:A35,'59_Q0_terminal'!A27)=1,0,1)+IF(COUNTIF('59_Q0_terminal'!A5:A35,'59_Q0_terminal'!A28)=1,0,1)+IF(COUNTIF('59_Q0_terminal'!A5:A35,'59_Q0_terminal'!A29)=1,0,1)+IF(COUNTIF('59_Q0_terminal'!A5:A35,'59_Q0_terminal'!A30)=1,0,1)+IF(COUNTIF('59_Q0_terminal'!A5:A35,'59_Q0_terminal'!A31)=1,0,1)+IF(COUNTIF('59_Q0_terminal'!A5:A35,'59_Q0_terminal'!A32)=1,0,1)+IF(COUNTIF('59_Q0_terminal'!A5:A35,'59_Q0_terminal'!A33)=1,0,1)+IF(COUNTIF('59_Q0_terminal'!A5:A35,'59_Q0_terminal'!A34)=1,0,1)+IF(COUNTIF('59_Q0_terminal'!A5:A35,'59_Q0_terminal'!A35)=1,0,1)</x:f>
        <x:v>0</x:v>
      </x:c>
      <x:c r="C18" s="29" t="str">
        <x:v>0</x:v>
      </x:c>
      <x:c r="D18" s="29" t="str">
        <x:v>Recuento sin identidad duplicada</x:v>
      </x:c>
    </x:row>
  </x:sheetData>
  <x:mergeCells>
    <x:mergeCell ref="A1:D1"/>
    <x:mergeCell ref="A2:F2"/>
  </x:mergeCells>
  <x:pageMargins left="0.7" right="0.7" top="0.75" bottom="0.75" header="0.3" footer="0.3"/>
  <x:tableParts count="1">
    <x:tablePart xmlns:r="http://schemas.openxmlformats.org/officeDocument/2006/relationships" r:id="Rd6589cc846734cb4"/>
  </x:tableParts>
</x:worksheet>
</file>

<file path=xl/worksheets/sheet6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4" hidden="0" customWidth="1"/>
    <x:col min="2" max="2" width="66" hidden="0" customWidth="1"/>
    <x:col min="3" max="3" width="94" hidden="0" customWidth="1"/>
  </x:cols>
  <x:sheetData>
    <x:row r="1" ht="34" customHeight="1">
      <x:c r="A1" s="36" t="str">
        <x:v>Primer universo: constitución y agotamiento</x:v>
      </x:c>
      <x:c r="B1" s="35"/>
      <x:c r="C1" s="35"/>
    </x:row>
    <x:row r="2" ht="46" customHeight="1">
      <x:c r="A2" s="37" t="str">
        <x:v>Versión 0.8 del libro. OP-CYB-001 concluido en su inventario paramétrico; la decisión siguiente corresponde al Director.</x:v>
      </x:c>
      <x:c r="B2" s="35"/>
      <x:c r="C2" s="35"/>
    </x:row>
    <x:row r="3">
      <x:c r="A3" s="35"/>
      <x:c r="B3" s="35"/>
      <x:c r="C3" s="35"/>
    </x:row>
    <x:row r="4" ht="42" customHeight="1">
      <x:c r="A4" s="39" t="str">
        <x:v>Cuestión</x:v>
      </x:c>
      <x:c r="B4" s="39" t="str">
        <x:v>Resultado</x:v>
      </x:c>
      <x:c r="C4" s="39" t="str">
        <x:v>Fundamento</x:v>
      </x:c>
    </x:row>
    <x:row r="5" ht="43" customHeight="1">
      <x:c r="A5" s="35" t="str">
        <x:v>Objeto</x:v>
      </x:c>
      <x:c r="B5" s="35" t="str">
        <x:v>Consejo sobre evidencia de corrección por actualización</x:v>
      </x:c>
      <x:c r="C5" s="35" t="str">
        <x:v>Un activo, vulnerabilidad, actualización, episodio y horizonte declarados.</x:v>
      </x:c>
    </x:row>
    <x:row r="6" ht="43" customHeight="1">
      <x:c r="A6" s="35" t="str">
        <x:v>Parámetros constituidos</x:v>
      </x:c>
      <x:c r="B6" s="35" t="n">
        <x:f>COUNTA('67_Parametros'!A5:A28)</x:f>
        <x:v>24</x:v>
      </x:c>
      <x:c r="C6" s="35" t="str">
        <x:v>Definiciones del registro 67. La cantidad no determina la geometría SV.</x:v>
      </x:c>
    </x:row>
    <x:row r="7" ht="43" customHeight="1">
      <x:c r="A7" s="35" t="str">
        <x:v>Parámetros nuevos</x:v>
      </x:c>
      <x:c r="B7" s="35" t="n">
        <x:v>9</x:v>
      </x:c>
      <x:c r="C7" s="35" t="str">
        <x:v>P16–P24; quince identidades anteriores conservadas.</x:v>
      </x:c>
    </x:row>
    <x:row r="8" ht="43" customHeight="1">
      <x:c r="A8" s="35" t="str">
        <x:v>Agotamiento</x:v>
      </x:c>
      <x:c r="B8" s="35" t="str">
        <x:v>Inventario paramétrico concluido</x:v>
      </x:c>
      <x:c r="C8" s="35" t="str">
        <x:v>20 ámbitos; ocho clases de acción; 36 candidatos adicionales resueltos.</x:v>
      </x:c>
    </x:row>
    <x:row r="9" ht="47" customHeight="1">
      <x:c r="A9" s="35" t="str">
        <x:v>Universos: escenario compacto</x:v>
      </x:c>
      <x:c r="B9" s="40" t="n">
        <x:f>'70_Estimacion'!B37</x:f>
        <x:v>29</x:v>
      </x:c>
      <x:c r="C9" s="35" t="str">
        <x:v>Supuestos y desglose en 70_Estimacion.</x:v>
      </x:c>
    </x:row>
    <x:row r="10" ht="43" customHeight="1">
      <x:c r="A10" s="35" t="str">
        <x:v>Universos: escenario central</x:v>
      </x:c>
      <x:c r="B10" s="40" t="n">
        <x:f>'70_Estimacion'!B38</x:f>
        <x:v>38</x:v>
      </x:c>
      <x:c r="C10" s="35" t="str">
        <x:v>No equivale a cantidad ya constituida.</x:v>
      </x:c>
    </x:row>
    <x:row r="11" ht="43" customHeight="1">
      <x:c r="A11" s="35" t="str">
        <x:v>Universos: escenario amplio</x:v>
      </x:c>
      <x:c r="B11" s="40" t="n">
        <x:f>'70_Estimacion'!B39</x:f>
        <x:v>59</x:v>
      </x:c>
      <x:c r="C11" s="35" t="str">
        <x:v>Incluye la frontera institucional condicionada de CYO-20.</x:v>
      </x:c>
    </x:row>
    <x:row r="12" ht="47" customHeight="1">
      <x:c r="A12" s="35" t="str">
        <x:v>Parámetros: escenario compacto</x:v>
      </x:c>
      <x:c r="B12" s="40" t="n">
        <x:f>'70_Estimacion'!G37</x:f>
        <x:v>286</x:v>
      </x:c>
      <x:c r="C12" s="35" t="str">
        <x:v>Estimación de definiciones únicas tras reutilización supuesta.</x:v>
      </x:c>
    </x:row>
    <x:row r="13" ht="47" customHeight="1">
      <x:c r="A13" s="35" t="str">
        <x:v>Parámetros: escenario central</x:v>
      </x:c>
      <x:c r="B13" s="40" t="n">
        <x:f>'70_Estimacion'!G38</x:f>
        <x:v>551</x:v>
      </x:c>
      <x:c r="C13" s="35" t="str">
        <x:v>Lectura prudente: aproximadamente 550; no predicción exacta.</x:v>
      </x:c>
    </x:row>
    <x:row r="14" ht="43" customHeight="1">
      <x:c r="A14" s="35" t="str">
        <x:v>Parámetros: escenario amplio</x:v>
      </x:c>
      <x:c r="B14" s="40" t="n">
        <x:f>'70_Estimacion'!G39</x:f>
        <x:v>1062</x:v>
      </x:c>
      <x:c r="C14" s="35" t="str">
        <x:v>Escenario sin reutilización supuesta entre nuevas agrupaciones.</x:v>
      </x:c>
    </x:row>
    <x:row r="15" ht="43" customHeight="1">
      <x:c r="A15" s="35" t="str">
        <x:v>Papel de la IA</x:v>
      </x:c>
      <x:c r="B15" s="35" t="str">
        <x:v>Consejera vinculada al experto</x:v>
      </x:c>
      <x:c r="C15" s="35" t="str">
        <x:v>Conocimiento versionado, evidencia trazable, explicación y consecuencias.</x:v>
      </x:c>
    </x:row>
    <x:row r="16" ht="43" customHeight="1">
      <x:c r="A16" s="35" t="str">
        <x:v>Decisión siguiente</x:v>
      </x:c>
      <x:c r="B16" s="35" t="str">
        <x:v>Reservada al Director</x:v>
      </x:c>
      <x:c r="C16" s="35" t="str">
        <x:v>Contrastar el primer universo con el Lenguaje o completar antes un segundo.</x:v>
      </x:c>
    </x:row>
    <x:row r="17" ht="47" customHeight="1">
      <x:c r="A17" s="35" t="str">
        <x:v>Comprobaciones</x:v>
      </x:c>
      <x:c r="B17" s="35" t="str">
        <x:v>64 casos documentales sintéticos</x:v>
      </x:c>
      <x:c r="C17" s="35" t="str">
        <x:v>Siete observadores modificados deliberadamente fueron refutados; sin ensayo sobre activos.</x:v>
      </x:c>
    </x:row>
    <x:row r="18" ht="47" customHeight="1">
      <x:c r="A18" s="35" t="str">
        <x:v>Historia</x:v>
      </x:c>
      <x:c r="B18" s="35" t="str">
        <x:v>Hojas 36–65: antecedentes</x:v>
      </x:c>
      <x:c r="C18" s="35" t="str">
        <x:v>El registro y dictamen actuales son 66–72. Se conservan las fuentes educativas y sus relaciones.</x:v>
      </x:c>
    </x:row>
    <x:row r="19" ht="47" customHeight="1">
      <x:c r="A19" s="35" t="str">
        <x:v>Lectura</x:v>
      </x:c>
      <x:c r="B19" s="35" t="str">
        <x:v>67 parámetros; 68 consecuencias; 69 cobertura</x:v>
      </x:c>
      <x:c r="C19" s="35" t="str">
        <x:v>70 estimación; 71 bibliografía; 72 ensayos. Informe académico en el expediente del universo.</x:v>
      </x:c>
    </x:row>
  </x:sheetData>
  <x:mergeCells>
    <x:mergeCell ref="A1:C1"/>
    <x:mergeCell ref="A2:C2"/>
  </x:mergeCells>
  <x:pageMargins left="0.7" right="0.7" top="0.75" bottom="0.75" header="0.3" footer="0.3"/>
  <x:tableParts count="1">
    <x:tablePart xmlns:r="http://schemas.openxmlformats.org/officeDocument/2006/relationships" r:id="R63e1d59390db43df"/>
  </x:tableParts>
</x:worksheet>
</file>

<file path=xl/worksheets/sheet6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3" hidden="0" customWidth="1"/>
    <x:col min="3" max="3" width="12" hidden="0" customWidth="1"/>
    <x:col min="4" max="4" width="44" hidden="0" customWidth="1"/>
    <x:col min="5" max="5" width="55" hidden="0" customWidth="1"/>
    <x:col min="6" max="6" width="73" hidden="0" customWidth="1"/>
    <x:col min="7" max="7" width="48" hidden="0" customWidth="1"/>
    <x:col min="8" max="8" width="48" hidden="0" customWidth="1"/>
    <x:col min="9" max="9" width="48" hidden="0" customWidth="1"/>
    <x:col min="10" max="10" width="100" hidden="0" customWidth="1"/>
    <x:col min="11" max="11" width="43" hidden="0" customWidth="1"/>
  </x:cols>
  <x:sheetData>
    <x:row r="1" ht="34" customHeight="1">
      <x:c r="A1" s="36" t="str">
        <x:v>Catálogo atómico actual de OP-CYB-001</x:v>
      </x:c>
      <x:c r="B1" s="35"/>
      <x:c r="C1" s="35"/>
      <x:c r="D1" s="35"/>
      <x:c r="E1" s="35"/>
      <x:c r="F1" s="35"/>
      <x:c r="G1" s="35"/>
      <x:c r="H1" s="35"/>
      <x:c r="I1" s="35"/>
      <x:c r="J1" s="35"/>
      <x:c r="K1" s="35"/>
    </x:row>
    <x:row r="2" ht="46" customHeight="1">
      <x:c r="A2" s="37" t="str">
        <x:v>Cada definición conserva una proposición, sujeto, regla, incertidumbre y método. Un uso independiente conserva su propio estado.</x:v>
      </x:c>
      <x:c r="B2" s="35"/>
      <x:c r="C2" s="35"/>
      <x:c r="D2" s="35"/>
      <x:c r="E2" s="35"/>
      <x:c r="F2" s="35"/>
      <x:c r="G2" s="35"/>
      <x:c r="H2" s="35"/>
      <x:c r="I2" s="35"/>
      <x:c r="J2" s="35"/>
      <x:c r="K2" s="35"/>
    </x:row>
    <x:row r="3">
      <x:c r="A3" s="35"/>
      <x:c r="B3" s="35"/>
      <x:c r="C3" s="35"/>
      <x:c r="D3" s="35"/>
      <x:c r="E3" s="35"/>
      <x:c r="F3" s="35"/>
      <x:c r="G3" s="35"/>
      <x:c r="H3" s="35"/>
      <x:c r="I3" s="35"/>
      <x:c r="J3" s="35"/>
      <x:c r="K3" s="35"/>
    </x:row>
    <x:row r="4" ht="42" customHeight="1">
      <x:c r="A4" s="39" t="str">
        <x:v>Parámetro</x:v>
      </x:c>
      <x:c r="B4" s="39" t="str">
        <x:v>Identidad estable</x:v>
      </x:c>
      <x:c r="C4" s="39" t="str">
        <x:v>Versión</x:v>
      </x:c>
      <x:c r="D4" s="39" t="str">
        <x:v>Denominación</x:v>
      </x:c>
      <x:c r="E4" s="39" t="str">
        <x:v>Sujeto</x:v>
      </x:c>
      <x:c r="F4" s="39" t="str">
        <x:v>Proposición</x:v>
      </x:c>
      <x:c r="G4" s="39" t="str">
        <x:v>Condición de 1</x:v>
      </x:c>
      <x:c r="H4" s="39" t="str">
        <x:v>Condición de 0</x:v>
      </x:c>
      <x:c r="I4" s="39" t="str">
        <x:v>Condición de U</x:v>
      </x:c>
      <x:c r="J4" s="39" t="str">
        <x:v>Observación y límites</x:v>
      </x:c>
      <x:c r="K4" s="39" t="str">
        <x:v>Fuentes</x:v>
      </x:c>
    </x:row>
    <x:row r="5" ht="62" customHeight="1">
      <x:c r="A5" s="35" t="str">
        <x:v>P01</x:v>
      </x:c>
      <x:c r="B5" s="35" t="str">
        <x:v>PAR-CYB-REINICIO-SISTEMA-REQUERIDO-001</x:v>
      </x:c>
      <x:c r="C5" s="35" t="str">
        <x:v>0.2</x:v>
      </x:c>
      <x:c r="D5" s="35" t="str">
        <x:v>Necesidad de reiniciar el sistema</x:v>
      </x:c>
      <x:c r="E5" s="35" t="str">
        <x:v>Un sistema y un episodio de instalación terminada</x:v>
      </x:c>
      <x:c r="F5" s="35" t="str">
        <x:v>Al finalizar la instalación, su regla o resultado individual aplicable exigía reiniciar íntegramente el sistema.</x:v>
      </x:c>
      <x:c r="G5" s="35" t="str">
        <x:v>Exigencia explícita.</x:v>
      </x:c>
      <x:c r="H5" s="35" t="str">
        <x:v>Ausencia de exigencia explícitamente acreditada.</x:v>
      </x:c>
      <x:c r="I5" s="35" t="str">
        <x:v>Requisito desconocido o contradictorio.</x:v>
      </x:c>
      <x:c r="J5" s="35" t="str">
        <x:v>Perfil WUA conservado: resultado individual orcSucceeded y RebootRequired. Perfil documental adicional: instrucción específica del producto, aplicabilidad acreditada y requisito histórico explícito; nunca se deduce del consejo general de NIST.</x:v>
      </x:c>
      <x:c r="K5" s="35" t="str">
        <x:v>T002, T003, T004, T006; T001 §2.3.2</x:v>
      </x:c>
    </x:row>
    <x:row r="6" ht="47" customHeight="1">
      <x:c r="A6" s="35" t="str">
        <x:v>P02</x:v>
      </x:c>
      <x:c r="B6" s="35" t="str">
        <x:v>PAR-CYB-INSTALACION-EXITO-COMUNICADO-001</x:v>
      </x:c>
      <x:c r="C6" s="35" t="str">
        <x:v>0.1</x:v>
      </x:c>
      <x:c r="D6" s="35" t="str">
        <x:v>Terminación satisfactoria comunicada de la instalación</x:v>
      </x:c>
      <x:c r="E6" s="35" t="str">
        <x:v>Un intento individual de instalación</x:v>
      </x:c>
      <x:c r="F6" s="35" t="str">
        <x:v>El emisor comunicó terminación satisfactoria sin calificación de errores.</x:v>
      </x:c>
      <x:c r="G6" s="35" t="str">
        <x:v>Estado terminal satisfactorio sin errores según el contrato del emisor.</x:v>
      </x:c>
      <x:c r="H6" s="35" t="str">
        <x:v>Estado terminal de fallo, aborto o éxito con errores.</x:v>
      </x:c>
      <x:c r="I6" s="35" t="str">
        <x:v>Resultado terminal ausente o contradictorio.</x:v>
      </x:c>
      <x:c r="J6" s="35" t="str">
        <x:v>WUA: orcSucceeded se distingue de SucceededWithErrors, Failed y Aborted. NotStarted e InProgress no pertenecen al perfil terminal.</x:v>
      </x:c>
      <x:c r="K6" s="35" t="str">
        <x:v>T004–T006</x:v>
      </x:c>
    </x:row>
    <x:row r="7" ht="47" customHeight="1">
      <x:c r="A7" s="35" t="str">
        <x:v>P03</x:v>
      </x:c>
      <x:c r="B7" s="35" t="str">
        <x:v>PAR-CYB-REINICIO-SISTEMA-REALIZADO-001</x:v>
      </x:c>
      <x:c r="C7" s="35" t="str">
        <x:v>0.1</x:v>
      </x:c>
      <x:c r="D7" s="35" t="str">
        <x:v>Reinicio íntegro realizado</x:v>
      </x:c>
      <x:c r="E7" s="35" t="str">
        <x:v>Un sistema durante el intervalo posterior a la instalación</x:v>
      </x:c>
      <x:c r="F7" s="35" t="str">
        <x:v>Se completó un reinicio íntegro después de la instalación y antes o en el instante de evaluación.</x:v>
      </x:c>
      <x:c r="G7" s="35" t="str">
        <x:v>Evento completo acreditado dentro del intervalo.</x:v>
      </x:c>
      <x:c r="H7" s="35" t="str">
        <x:v>Historia completa sin ese evento.</x:v>
      </x:c>
      <x:c r="I7" s="35" t="str">
        <x:v>Historia parcial, orden temporal incierto o conflicto.</x:v>
      </x:c>
      <x:c r="J7" s="35" t="str">
        <x:v>Registro de arranque que acredite identidad, orden y clase. El ejemplo de Fast Startup corresponde a Windows 10.</x:v>
      </x:c>
      <x:c r="K7" s="35" t="str">
        <x:v>T001 §2.3.2; T007</x:v>
      </x:c>
    </x:row>
    <x:row r="8" ht="47" customHeight="1">
      <x:c r="A8" s="35" t="str">
        <x:v>P04</x:v>
      </x:c>
      <x:c r="B8" s="35" t="str">
        <x:v>PAR-CYB-REINICIO-SOFTWARE-REQUERIDO-001</x:v>
      </x:c>
      <x:c r="C8" s="35" t="str">
        <x:v>0.1</x:v>
      </x:c>
      <x:c r="D8" s="35" t="str">
        <x:v>Necesidad de reiniciar un programa</x:v>
      </x:c>
      <x:c r="E8" s="35" t="str">
        <x:v>Un programa y una instalación</x:v>
      </x:c>
      <x:c r="F8" s="35" t="str">
        <x:v>La instrucción aplicable exigía reiniciar el programa identificado para completar el cambio.</x:v>
      </x:c>
      <x:c r="G8" s="35" t="str">
        <x:v>Requisito explícito.</x:v>
      </x:c>
      <x:c r="H8" s="35" t="str">
        <x:v>Declaración explícita de que no se requiere ese reinicio.</x:v>
      </x:c>
      <x:c r="I8" s="35" t="str">
        <x:v>Instrucción insuficiente o contradictoria.</x:v>
      </x:c>
      <x:c r="J8" s="35" t="str">
        <x:v>Instrucción específica, programa e instalación individualizados; Restart Manager ilustra el mecanismo, no fija la obligación del caso.</x:v>
      </x:c>
      <x:c r="K8" s="35" t="str">
        <x:v>T001 §2.3.2; T009</x:v>
      </x:c>
    </x:row>
    <x:row r="9" ht="47" customHeight="1">
      <x:c r="A9" s="35" t="str">
        <x:v>P05</x:v>
      </x:c>
      <x:c r="B9" s="35" t="str">
        <x:v>PAR-CYB-GENERACION-PROCESO-TERMINADA-001</x:v>
      </x:c>
      <x:c r="C9" s="35" t="str">
        <x:v>0.1</x:v>
      </x:c>
      <x:c r="D9" s="35" t="str">
        <x:v>Terminación de la generación anterior de un proceso</x:v>
      </x:c>
      <x:c r="E9" s="35" t="str">
        <x:v>Una generación identificada de proceso</x:v>
      </x:c>
      <x:c r="F9" s="35" t="str">
        <x:v>La generación anterior del proceso terminó durante el intervalo pertinente.</x:v>
      </x:c>
      <x:c r="G9" s="35" t="str">
        <x:v>Terminación acreditada.</x:v>
      </x:c>
      <x:c r="H9" s="35" t="str">
        <x:v>Permanencia acreditada de esa generación o historia completa sin terminación.</x:v>
      </x:c>
      <x:c r="I9" s="35" t="str">
        <x:v>Vida o terminación no acreditadas.</x:v>
      </x:c>
      <x:c r="J9" s="35" t="str">
        <x:v>PID y tiempo exacto de creación, sistema y registro de terminación. No se usa el PID aislado.</x:v>
      </x:c>
      <x:c r="K9" s="35" t="str">
        <x:v>T014; T016</x:v>
      </x:c>
    </x:row>
    <x:row r="10" ht="62" customHeight="1">
      <x:c r="A10" s="35" t="str">
        <x:v>P06</x:v>
      </x:c>
      <x:c r="B10" s="35" t="str">
        <x:v>PAR-CYB-IMAGEN-OBJETIVO-ACTIVA-001</x:v>
      </x:c>
      <x:c r="C10" s="35" t="str">
        <x:v>0.2</x:v>
      </x:c>
      <x:c r="D10" s="35" t="str">
        <x:v>Identidad objetivo de la imagen utilizada</x:v>
      </x:c>
      <x:c r="E10" s="35" t="str">
        <x:v>Una imagen ejecutable utilizada por una instancia</x:v>
      </x:c>
      <x:c r="F10" s="35" t="str">
        <x:v>La identidad de la imagen utilizada coincide con la identidad objetivo previamente admitida.</x:v>
      </x:c>
      <x:c r="G10" s="35" t="str">
        <x:v>Identidad completa y método pertinente coincidentes.</x:v>
      </x:c>
      <x:c r="H10" s="35" t="str">
        <x:v>Identidad completa diferente.</x:v>
      </x:c>
      <x:c r="I10" s="35" t="str">
        <x:v>Identidad parcial, lectura inconsistente o conflicto.</x:v>
      </x:c>
      <x:c r="J10" s="35" t="str">
        <x:v>Win32: MODULEINFO no acredita identidad de contenido. Para núcleo o firmware se exige un método específico que identifique la imagen utilizada; la lectura de un archivo descargado no lo sustituye. La ampliación semántica de perfil se declara en v0.2.</x:v>
      </x:c>
      <x:c r="K10" s="35" t="str">
        <x:v>T008; T012; T013; B02 §§3–4</x:v>
      </x:c>
    </x:row>
    <x:row r="11" ht="62" customHeight="1">
      <x:c r="A11" s="35" t="str">
        <x:v>P07</x:v>
      </x:c>
      <x:c r="B11" s="35" t="str">
        <x:v>PAR-CYB-COMPROBACION-POSITIVA-001</x:v>
      </x:c>
      <x:c r="C11" s="35" t="str">
        <x:v>0.2</x:v>
      </x:c>
      <x:c r="D11" s="35" t="str">
        <x:v>Resultado favorable de una comprobación individual</x:v>
      </x:c>
      <x:c r="E11" s="35" t="str">
        <x:v>Una ejecución válida de una prueba con un único criterio</x:v>
      </x:c>
      <x:c r="F11" s="35" t="str">
        <x:v>La comprobación individual produjo el resultado favorable definido antes de ejecutarla.</x:v>
      </x:c>
      <x:c r="G11" s="35" t="str">
        <x:v>Resultado que satisface el criterio fijado.</x:v>
      </x:c>
      <x:c r="H11" s="35" t="str">
        <x:v>Resultado válido que no lo satisface.</x:v>
      </x:c>
      <x:c r="I11" s="35" t="str">
        <x:v>Resultado ausente, indeterminado o contradictorio.</x:v>
      </x:c>
      <x:c r="J11" s="35" t="str">
        <x:v>Criterio y casos positivos/negativos anteriores al ensayo; umbral y alcance expresos. No sustituye los estados de P16–P24 ni permite introducir conocimiento nuevo durante el consejo.</x:v>
      </x:c>
      <x:c r="K11" s="35" t="str">
        <x:v>F018 §§4.3, 6.5, 7.3; T001 §2.3.3; B08 §1; B09 §1</x:v>
      </x:c>
    </x:row>
    <x:row r="12" ht="47" customHeight="1">
      <x:c r="A12" s="35" t="str">
        <x:v>P08</x:v>
      </x:c>
      <x:c r="B12" s="35" t="str">
        <x:v>PAR-CYB-RETIRADA-EXITOSA-COMUNICADA-001</x:v>
      </x:c>
      <x:c r="C12" s="35" t="str">
        <x:v>0.1</x:v>
      </x:c>
      <x:c r="D12" s="35" t="str">
        <x:v>Retirada satisfactoria comunicada de la actualización</x:v>
      </x:c>
      <x:c r="E12" s="35" t="str">
        <x:v>Un episodio de retirada posterior a la instalación</x:v>
      </x:c>
      <x:c r="F12" s="35" t="str">
        <x:v>Se comunicó la retirada satisfactoria de la actualización dentro del intervalo observado.</x:v>
      </x:c>
      <x:c r="G12" s="35" t="str">
        <x:v>Evento de retirada satisfactoria acreditado.</x:v>
      </x:c>
      <x:c r="H12" s="35" t="str">
        <x:v>Historia completa sin tal evento.</x:v>
      </x:c>
      <x:c r="I12" s="35" t="str">
        <x:v>Historia insuficiente o conflicto.</x:v>
      </x:c>
      <x:c r="J12" s="35" t="str">
        <x:v>Historia individual de actualización. La lista de eventos no acredita por sí misma cobertura completa.</x:v>
      </x:c>
      <x:c r="K12" s="35" t="str">
        <x:v>T010; T011; T001 §2.3.4</x:v>
      </x:c>
    </x:row>
    <x:row r="13" ht="47" customHeight="1">
      <x:c r="A13" s="35" t="str">
        <x:v>P09</x:v>
      </x:c>
      <x:c r="B13" s="35" t="str">
        <x:v>PAR-CYB-CAMBIO-COMPONENTE-POSTERIOR-001</x:v>
      </x:c>
      <x:c r="C13" s="35" t="str">
        <x:v>0.1</x:v>
      </x:c>
      <x:c r="D13" s="35" t="str">
        <x:v>Cambio posterior de un componente binario</x:v>
      </x:c>
      <x:c r="E13" s="35" t="str">
        <x:v>Un componente durante el intervalo posterior a su comprobación</x:v>
      </x:c>
      <x:c r="F13" s="35" t="str">
        <x:v>La identidad binaria del componente cambió al menos una vez dentro del intervalo.</x:v>
      </x:c>
      <x:c r="G13" s="35" t="str">
        <x:v>Transición acreditada, aunque después se recupere la identidad original.</x:v>
      </x:c>
      <x:c r="H13" s="35" t="str">
        <x:v>Historia completa sin transición.</x:v>
      </x:c>
      <x:c r="I13" s="35" t="str">
        <x:v>Cobertura u orden insuficientes.</x:v>
      </x:c>
      <x:c r="J13" s="35" t="str">
        <x:v>Historia completa para negar cambios. El intervalo y el ámbito del componente se fijan previamente.</x:v>
      </x:c>
      <x:c r="K13" s="35" t="str">
        <x:v>T001 §2.3.4; B01 §§3.3.4, 3.4</x:v>
      </x:c>
    </x:row>
    <x:row r="14" ht="47" customHeight="1">
      <x:c r="A14" s="35" t="str">
        <x:v>P10</x:v>
      </x:c>
      <x:c r="B14" s="35" t="str">
        <x:v>PAR-CYB-RESTAURACION-PREVIA-COMUNICADA-001</x:v>
      </x:c>
      <x:c r="C14" s="35" t="str">
        <x:v>0.1</x:v>
      </x:c>
      <x:c r="D14" s="35" t="str">
        <x:v>Restauración previa comunicada</x:v>
      </x:c>
      <x:c r="E14" s="35" t="str">
        <x:v>Un episodio de restauración y su objeto</x:v>
      </x:c>
      <x:c r="F14" s="35" t="str">
        <x:v>Se comunicó restauración satisfactoria desde un estado capturado antes de la instalación.</x:v>
      </x:c>
      <x:c r="G14" s="35" t="str">
        <x:v>Restauración satisfactoria, origen anterior y alcance acreditados.</x:v>
      </x:c>
      <x:c r="H14" s="35" t="str">
        <x:v>Historia completa que excluya tal restauración.</x:v>
      </x:c>
      <x:c r="I14" s="35" t="str">
        <x:v>Origen, alcance o cobertura temporal no acreditados.</x:v>
      </x:c>
      <x:c r="J14" s="35" t="str">
        <x:v>Registro de restauración con objeto, origen y resultado. No se ejecuta una recuperación.</x:v>
      </x:c>
      <x:c r="K14" s="35" t="str">
        <x:v>T001 §2.3.4; B10 §§3.4.1, 4.3</x:v>
      </x:c>
    </x:row>
    <x:row r="15" ht="47" customHeight="1">
      <x:c r="A15" s="35" t="str">
        <x:v>P11</x:v>
      </x:c>
      <x:c r="B15" s="35" t="str">
        <x:v>PAR-CYB-GENERACION-PROCESO-CREADA-001</x:v>
      </x:c>
      <x:c r="C15" s="35" t="str">
        <x:v>0.1</x:v>
      </x:c>
      <x:c r="D15" s="35" t="str">
        <x:v>Creación de una nueva generación de proceso</x:v>
      </x:c>
      <x:c r="E15" s="35" t="str">
        <x:v>Una generación identificada de proceso</x:v>
      </x:c>
      <x:c r="F15" s="35" t="str">
        <x:v>La generación se creó después de la instalación y no después del instante de evaluación.</x:v>
      </x:c>
      <x:c r="G15" s="35" t="str">
        <x:v>Creación acreditada dentro del intervalo.</x:v>
      </x:c>
      <x:c r="H15" s="35" t="str">
        <x:v>Creación acreditada anterior o simultánea a la instalación.</x:v>
      </x:c>
      <x:c r="I15" s="35" t="str">
        <x:v>Instante u orden desconocidos.</x:v>
      </x:c>
      <x:c r="J15" s="35" t="str">
        <x:v>Registro de creación y orden temporal exacto. Una observación posterior al instante de evaluación no pertenece al caso.</x:v>
      </x:c>
      <x:c r="K15" s="35" t="str">
        <x:v>T014; T015</x:v>
      </x:c>
    </x:row>
    <x:row r="16" ht="47" customHeight="1">
      <x:c r="A16" s="35" t="str">
        <x:v>P12</x:v>
      </x:c>
      <x:c r="B16" s="35" t="str">
        <x:v>PAR-CYB-VALOR-CONFIGURACION-EFECTIVO-OBJETIVO-001</x:v>
      </x:c>
      <x:c r="C16" s="35" t="str">
        <x:v>0.1</x:v>
      </x:c>
      <x:c r="D16" s="35" t="str">
        <x:v>Valor efectivo de configuración objetivo</x:v>
      </x:c>
      <x:c r="E16" s="35" t="str">
        <x:v>Una clave escalar en un consumidor</x:v>
      </x:c>
      <x:c r="F16" s="35" t="str">
        <x:v>El valor efectivo de la clave coincide con el valor objetivo admitido.</x:v>
      </x:c>
      <x:c r="G16" s="35" t="str">
        <x:v>Mismo tipo y valor efectivo coincidentes.</x:v>
      </x:c>
      <x:c r="H16" s="35" t="str">
        <x:v>Valor efectivo del mismo tipo diferente.</x:v>
      </x:c>
      <x:c r="I16" s="35" t="str">
        <x:v>Valor efectivo desconocido o contradictorio.</x:v>
      </x:c>
      <x:c r="J16" s="35" t="str">
        <x:v>Método específico de lectura efectiva y equivalencia tipada; ausencia sólo es valor si el esquema lo define.</x:v>
      </x:c>
      <x:c r="K16" s="35" t="str">
        <x:v>T001 §2.3.2; F018 §3.4; B01 §3.2</x:v>
      </x:c>
    </x:row>
    <x:row r="17" ht="47" customHeight="1">
      <x:c r="A17" s="35" t="str">
        <x:v>P13</x:v>
      </x:c>
      <x:c r="B17" s="35" t="str">
        <x:v>PAR-CYB-ARTEFACTO-PERSISTENTE-OBJETIVO-001</x:v>
      </x:c>
      <x:c r="C17" s="35" t="str">
        <x:v>0.2</x:v>
      </x:c>
      <x:c r="D17" s="35" t="str">
        <x:v>Identidad objetivo del artefacto almacenado</x:v>
      </x:c>
      <x:c r="E17" s="35" t="str">
        <x:v>Un artefacto binario completo y su ubicación</x:v>
      </x:c>
      <x:c r="F17" s="35" t="str">
        <x:v>La identidad del artefacto almacenado coincide con el objetivo admitido.</x:v>
      </x:c>
      <x:c r="G17" s="35" t="str">
        <x:v>Contenido completo coincidente según el método fijado.</x:v>
      </x:c>
      <x:c r="H17" s="35" t="str">
        <x:v>Contenido completo diferente.</x:v>
      </x:c>
      <x:c r="I17" s="35" t="str">
        <x:v>Lectura parcial o inconsistente.</x:v>
      </x:c>
      <x:c r="J17" s="35" t="str">
        <x:v>Lectura consistente del objeto completo, incluido un objeto binario de firmware si existe un perfil admitido. No afirma durabilidad física frente a un fallo eléctrico.</x:v>
      </x:c>
      <x:c r="K17" s="35" t="str">
        <x:v>T001 §§2.3.2–2.3.4; T008; B02 §4; B03 §§3.10, 3.13</x:v>
      </x:c>
    </x:row>
    <x:row r="18" ht="47" customHeight="1">
      <x:c r="A18" s="35" t="str">
        <x:v>P14</x:v>
      </x:c>
      <x:c r="B18" s="35" t="str">
        <x:v>PAR-CYB-CAMBIO-CONFIGURACION-POSTERIOR-001</x:v>
      </x:c>
      <x:c r="C18" s="35" t="str">
        <x:v>0.1</x:v>
      </x:c>
      <x:c r="D18" s="35" t="str">
        <x:v>Cambio posterior de configuración</x:v>
      </x:c>
      <x:c r="E18" s="35" t="str">
        <x:v>Una clave y su ámbito efectivo o persistente</x:v>
      </x:c>
      <x:c r="F18" s="35" t="str">
        <x:v>El valor de la clave cambió después de la comprobación de referencia.</x:v>
      </x:c>
      <x:c r="G18" s="35" t="str">
        <x:v>Transición acreditada dentro del intervalo.</x:v>
      </x:c>
      <x:c r="H18" s="35" t="str">
        <x:v>Historia completa sin transición.</x:v>
      </x:c>
      <x:c r="I18" s="35" t="str">
        <x:v>Cobertura temporal o valores insuficientes.</x:v>
      </x:c>
      <x:c r="J18" s="35" t="str">
        <x:v>Historia de valores tipados; cambio y retorno cuenta como cambio.</x:v>
      </x:c>
      <x:c r="K18" s="35" t="str">
        <x:v>T001 §2.3.4; B01 §§3.3.4, 3.4</x:v>
      </x:c>
    </x:row>
    <x:row r="19" ht="47" customHeight="1">
      <x:c r="A19" s="35" t="str">
        <x:v>P15</x:v>
      </x:c>
      <x:c r="B19" s="35" t="str">
        <x:v>PAR-CYB-OTRO-CAMBIO-UNITARIO-REQUERIDO-001</x:v>
      </x:c>
      <x:c r="C19" s="35" t="str">
        <x:v>0.2</x:v>
      </x:c>
      <x:c r="D19" s="35" t="str">
        <x:v>Necesidad de otra acción de terminación</x:v>
      </x:c>
      <x:c r="E19" s="35" t="str">
        <x:v>Una acción unitaria distinta de los reinicios de P01 y P04</x:v>
      </x:c>
      <x:c r="F19" s="35" t="str">
        <x:v>La instrucción aplicable exige esa acción para completar la actualización.</x:v>
      </x:c>
      <x:c r="G19" s="35" t="str">
        <x:v>Obligación específica explícita.</x:v>
      </x:c>
      <x:c r="H19" s="35" t="str">
        <x:v>Declaración explícita de ausencia de esa obligación.</x:v>
      </x:c>
      <x:c r="I19" s="35" t="str">
        <x:v>Obligación desconocida o contradictoria.</x:v>
      </x:c>
      <x:c r="J19" s="35" t="str">
        <x:v>Registro cerrado de clases de acción y criterios de cumplimiento en esta versión. Prohibido añadir una acción semánticamente nueva por texto libre durante el consejo.</x:v>
      </x:c>
      <x:c r="K19" s="35" t="str">
        <x:v>T001 §2.3.2; B01 §3.3.2</x:v>
      </x:c>
    </x:row>
    <x:row r="20" ht="47" customHeight="1">
      <x:c r="A20" s="35" t="str">
        <x:v>P16</x:v>
      </x:c>
      <x:c r="B20" s="35" t="str">
        <x:v>PAR-CYB-VALOR-CONFIGURACION-PERSISTENTE-OBJETIVO-001</x:v>
      </x:c>
      <x:c r="C20" s="35" t="str">
        <x:v>0.1</x:v>
      </x:c>
      <x:c r="D20" s="35" t="str">
        <x:v>Valor persistente de configuración objetivo</x:v>
      </x:c>
      <x:c r="E20" s="35" t="str">
        <x:v>Una clave escalar en su repositorio de configuración</x:v>
      </x:c>
      <x:c r="F20" s="35" t="str">
        <x:v>El valor persistente de la clave coincide con el objetivo admitido.</x:v>
      </x:c>
      <x:c r="G20" s="35" t="str">
        <x:v>Valor persistente tipado coincidente.</x:v>
      </x:c>
      <x:c r="H20" s="35" t="str">
        <x:v>Valor persistente tipado diferente.</x:v>
      </x:c>
      <x:c r="I20" s="35" t="str">
        <x:v>Lectura persistente insuficiente o conflicto.</x:v>
      </x:c>
      <x:c r="J20" s="35" t="str">
        <x:v>Lectura consistente del repositorio autoritativo, con tipo y objetivo fijados; no se infiere de la lectura efectiva.</x:v>
      </x:c>
      <x:c r="K20" s="35" t="str">
        <x:v>B01 §3.2; T001 §2.3.2; F018 §3.4</x:v>
      </x:c>
    </x:row>
    <x:row r="21" ht="47" customHeight="1">
      <x:c r="A21" s="35" t="str">
        <x:v>P17</x:v>
      </x:c>
      <x:c r="B21" s="35" t="str">
        <x:v>PAR-CYB-INICIALIZACION-PROCESO-COMPLETADA-001</x:v>
      </x:c>
      <x:c r="C21" s="35" t="str">
        <x:v>0.1</x:v>
      </x:c>
      <x:c r="D21" s="35" t="str">
        <x:v>Inicialización del proceso completada</x:v>
      </x:c>
      <x:c r="E21" s="35" t="str">
        <x:v>Una generación de proceso y un hito de inicialización</x:v>
      </x:c>
      <x:c r="F21" s="35" t="str">
        <x:v>La generación alcanzó el hito de inicialización definido para su utilización.</x:v>
      </x:c>
      <x:c r="G21" s="35" t="str">
        <x:v>Hito terminal acreditado mediante señal específica.</x:v>
      </x:c>
      <x:c r="H21" s="35" t="str">
        <x:v>Fallo terminal de inicialización o estado previo al hito acreditados.</x:v>
      </x:c>
      <x:c r="I21" s="35" t="str">
        <x:v>Sin evidencia específica del hito.</x:v>
      </x:c>
      <x:c r="J21" s="35" t="str">
        <x:v>Señal de inicialización propia del programa, identidad de generación e instante. El retorno de CreateProcessW no sirve como señal suficiente.</x:v>
      </x:c>
      <x:c r="K21" s="35" t="str">
        <x:v>T015, Return value; R025</x:v>
      </x:c>
    </x:row>
    <x:row r="22" ht="47" customHeight="1">
      <x:c r="A22" s="35" t="str">
        <x:v>P18</x:v>
      </x:c>
      <x:c r="B22" s="35" t="str">
        <x:v>PAR-CYB-PARCHE-EJECUCION-HABILITADO-001</x:v>
      </x:c>
      <x:c r="C22" s="35" t="str">
        <x:v>0.1</x:v>
      </x:c>
      <x:c r="D22" s="35" t="str">
        <x:v>Habilitación de un parche en ejecución</x:v>
      </x:c>
      <x:c r="E22" s="35" t="str">
        <x:v>Un parche del núcleo identificado</x:v>
      </x:c>
      <x:c r="F22" s="35" t="str">
        <x:v>El mecanismo de aplicación mantiene habilitado el parche identificado en el instante evaluado.</x:v>
      </x:c>
      <x:c r="G22" s="35" t="str">
        <x:v>Estado habilitado acreditado.</x:v>
      </x:c>
      <x:c r="H22" s="35" t="str">
        <x:v>Estado deshabilitado acreditado.</x:v>
      </x:c>
      <x:c r="I22" s="35" t="str">
        <x:v>Estado no observado o contradictorio.</x:v>
      </x:c>
      <x:c r="J22" s="35" t="str">
        <x:v>Perfil Linux 6.8: enabled del parche. Se preservan identidad, instante y dirección de la transición.</x:v>
      </x:c>
      <x:c r="K22" s="35" t="str">
        <x:v>B04 §§3, 5.2, 5.4</x:v>
      </x:c>
    </x:row>
    <x:row r="23" ht="77" customHeight="1">
      <x:c r="A23" s="35" t="str">
        <x:v>P19</x:v>
      </x:c>
      <x:c r="B23" s="35" t="str">
        <x:v>PAR-CYB-TAREA-ESTADO-PARCHE-OBJETIVO-001</x:v>
      </x:c>
      <x:c r="C23" s="35" t="str">
        <x:v>0.1</x:v>
      </x:c>
      <x:c r="D23" s="35" t="str">
        <x:v>Estado objetivo de parche en una tarea</x:v>
      </x:c>
      <x:c r="E23" s="35" t="str">
        <x:v>Una tarea y una transición de parche identificadas</x:v>
      </x:c>
      <x:c r="F23" s="35" t="str">
        <x:v>La tarea se encuentra en el estado de parche de referencia previamente admitido, durante la transición identificada.</x:v>
      </x:c>
      <x:c r="G23" s="35" t="str">
        <x:v>Estado de la tarea igual a la referencia fijada antes de evaluar.</x:v>
      </x:c>
      <x:c r="H23" s="35" t="str">
        <x:v>Estado de la tarea contrario al objetivo.</x:v>
      </x:c>
      <x:c r="I23" s="35" t="str">
        <x:v>Observación insuficiente, conflicto o estado no interpretable en ese contexto.</x:v>
      </x:c>
      <x:c r="J23" s="35" t="str">
        <x:v>Linux 6.8: patch_state 0/1 se compara con una referencia fijada previamente; la dirección de transición se conserva, pero no redefine esa referencia. El valor -1 fuera de transición no significa sin parche ni equivale a Tri.U; ese perfil no está activo.</x:v>
      </x:c>
      <x:c r="K23" s="35" t="str">
        <x:v>B04 §3</x:v>
      </x:c>
    </x:row>
    <x:row r="24" ht="47" customHeight="1">
      <x:c r="A24" s="35" t="str">
        <x:v>P20</x:v>
      </x:c>
      <x:c r="B24" s="35" t="str">
        <x:v>PAR-CYB-REFERENCIA-RECURSO-ANTERIOR-VIGENTE-001</x:v>
      </x:c>
      <x:c r="C24" s="35" t="str">
        <x:v>0.1</x:v>
      </x:c>
      <x:c r="D24" s="35" t="str">
        <x:v>Referencia vigente a un recurso anterior</x:v>
      </x:c>
      <x:c r="E24" s="35" t="str">
        <x:v>Un consumidor y un recurso de generación anterior</x:v>
      </x:c>
      <x:c r="F24" s="35" t="str">
        <x:v>El consumidor mantiene una referencia utilizable al recurso anterior identificado.</x:v>
      </x:c>
      <x:c r="G24" s="35" t="str">
        <x:v>Referencia utilizable acreditada.</x:v>
      </x:c>
      <x:c r="H24" s="35" t="str">
        <x:v>Ausencia acreditada de esa referencia en el consumidor.</x:v>
      </x:c>
      <x:c r="I24" s="35" t="str">
        <x:v>Enumeración o validez de referencia insuficientes.</x:v>
      </x:c>
      <x:c r="J24" s="35" t="str">
        <x:v>Identidad de generación, titular, ámbito y posibilidad de uso; ausencia exige enumeración completa del ámbito del consumidor.</x:v>
      </x:c>
      <x:c r="K24" s="35" t="str">
        <x:v>T016; B04 §5.5; R025</x:v>
      </x:c>
    </x:row>
    <x:row r="25" ht="62" customHeight="1">
      <x:c r="A25" s="35" t="str">
        <x:v>P21</x:v>
      </x:c>
      <x:c r="B25" s="35" t="str">
        <x:v>PAR-CYB-ENTRADA-CACHE-CONTENIDO-OBJETIVO-001</x:v>
      </x:c>
      <x:c r="C25" s="35" t="str">
        <x:v>0.1</x:v>
      </x:c>
      <x:c r="D25" s="35" t="str">
        <x:v>Contenido objetivo de una entrada de caché</x:v>
      </x:c>
      <x:c r="E25" s="35" t="str">
        <x:v>Una entrada de caché y su consumidor</x:v>
      </x:c>
      <x:c r="F25" s="35" t="str">
        <x:v>El contenido utilizable de la entrada coincide con el objetivo definido para ese consumidor.</x:v>
      </x:c>
      <x:c r="G25" s="35" t="str">
        <x:v>Contenido e identidad de entrada coincidentes con el objetivo.</x:v>
      </x:c>
      <x:c r="H25" s="35" t="str">
        <x:v>Contenido utilizable diferente.</x:v>
      </x:c>
      <x:c r="I25" s="35" t="str">
        <x:v>Entrada o contenido no observables de forma concluyente.</x:v>
      </x:c>
      <x:c r="J25" s="35" t="str">
        <x:v>Perfil de caché de datos derivados: clave, generación, consumidor y criterio de identidad. La correspondencia entre origen y entrada debe estar documentada antes de usarla.</x:v>
      </x:c>
      <x:c r="K25" s="35" t="str">
        <x:v>B11, File Caching; B05 §4; R025</x:v>
      </x:c>
    </x:row>
    <x:row r="26" ht="47" customHeight="1">
      <x:c r="A26" s="35" t="str">
        <x:v>P22</x:v>
      </x:c>
      <x:c r="B26" s="35" t="str">
        <x:v>PAR-CYB-SELECCION-PROXIMA-CARGA-OBJETIVO-001</x:v>
      </x:c>
      <x:c r="C26" s="35" t="str">
        <x:v>0.1</x:v>
      </x:c>
      <x:c r="D26" s="35" t="str">
        <x:v>Selección del objetivo para la próxima carga</x:v>
      </x:c>
      <x:c r="E26" s="35" t="str">
        <x:v>Un punto de carga y su configuración de selección</x:v>
      </x:c>
      <x:c r="F26" s="35" t="str">
        <x:v>La selección resuelta en el instante de evaluación designa el artefacto objetivo.</x:v>
      </x:c>
      <x:c r="G26" s="35" t="str">
        <x:v>Selección inequívoca del objetivo.</x:v>
      </x:c>
      <x:c r="H26" s="35" t="str">
        <x:v>Selección inequívoca de otro artefacto.</x:v>
      </x:c>
      <x:c r="I26" s="35" t="str">
        <x:v>Selección ambigua, cambiante o no resuelta.</x:v>
      </x:c>
      <x:c r="J26" s="35" t="str">
        <x:v>Regla de resolución del cargador fijada y entradas completas; para bancos de firmware se exige su regla específica. No se extrapola la búsqueda de DLL a firmware.</x:v>
      </x:c>
      <x:c r="K26" s="35" t="str">
        <x:v>T008, Factors that affect searching; B03 §§3.10, 3.11, 3.21</x:v>
      </x:c>
    </x:row>
    <x:row r="27" ht="62" customHeight="1">
      <x:c r="A27" s="35" t="str">
        <x:v>P23</x:v>
      </x:c>
      <x:c r="B27" s="35" t="str">
        <x:v>PAR-CYB-SINCRONIZACION-ARCHIVO-EXITO-COMUNICADO-001</x:v>
      </x:c>
      <x:c r="C27" s="35" t="str">
        <x:v>0.1</x:v>
      </x:c>
      <x:c r="D27" s="35" t="str">
        <x:v>Sincronización satisfactoria comunicada del archivo</x:v>
      </x:c>
      <x:c r="E27" s="35" t="str">
        <x:v>Una operación de sincronización y un archivo</x:v>
      </x:c>
      <x:c r="F27" s="35" t="str">
        <x:v>La operación de sincronización del archivo comunicó terminación satisfactoria.</x:v>
      </x:c>
      <x:c r="G27" s="35" t="str">
        <x:v>Resultado satisfactorio según el contrato de la operación.</x:v>
      </x:c>
      <x:c r="H27" s="35" t="str">
        <x:v>Resultado de fallo según ese contrato.</x:v>
      </x:c>
      <x:c r="I27" s="35" t="str">
        <x:v>Resultado no disponible o contradictorio.</x:v>
      </x:c>
      <x:c r="J27" s="35" t="str">
        <x:v>Perfil FlushFileBuffers para un archivo y sistema admitidos. FlushViewOfFile no es evidencia equivalente; el modelo de almacenamiento y sus garantías permanecen expresos.</x:v>
      </x:c>
      <x:c r="K27" s="35" t="str">
        <x:v>B06, Return value y Remarks; B07, Remarks; B11</x:v>
      </x:c>
    </x:row>
    <x:row r="28" ht="47" customHeight="1">
      <x:c r="A28" s="35" t="str">
        <x:v>P24</x:v>
      </x:c>
      <x:c r="B28" s="35" t="str">
        <x:v>PAR-CYB-OPERACION-DIFERIDA-ARCHIVO-PENDIENTE-001</x:v>
      </x:c>
      <x:c r="C28" s="35" t="str">
        <x:v>0.1</x:v>
      </x:c>
      <x:c r="D28" s="35" t="str">
        <x:v>Operación diferida de archivo pendiente</x:v>
      </x:c>
      <x:c r="E28" s="35" t="str">
        <x:v>Una operación diferida de archivo identificada</x:v>
      </x:c>
      <x:c r="F28" s="35" t="str">
        <x:v>La operación permanece pendiente en el mecanismo que debe ejecutarla.</x:v>
      </x:c>
      <x:c r="G28" s="35" t="str">
        <x:v>Entrada pendiente identificada y vigente.</x:v>
      </x:c>
      <x:c r="H28" s="35" t="str">
        <x:v>Ausencia acreditada en una enumeración completa de ese mecanismo.</x:v>
      </x:c>
      <x:c r="I28" s="35" t="str">
        <x:v>Lectura incompleta o correspondencia ambigua.</x:v>
      </x:c>
      <x:c r="J28" s="35" t="str">
        <x:v>Perfil PendingFileRenameOperations: origen, destino, orden e instalación. No se modifica el registro ni se programa ninguna operación.</x:v>
      </x:c>
      <x:c r="K28" s="35" t="str">
        <x:v>B12, MOVEFILE_DELAY_UNTIL_REBOOT y Remarks</x:v>
      </x:c>
    </x:row>
  </x:sheetData>
  <x:mergeCells>
    <x:mergeCell ref="A1:D1"/>
    <x:mergeCell ref="A2:F2"/>
  </x:mergeCells>
  <x:pageMargins left="0.7" right="0.7" top="0.75" bottom="0.75" header="0.3" footer="0.3"/>
  <x:tableParts count="1">
    <x:tablePart xmlns:r="http://schemas.openxmlformats.org/officeDocument/2006/relationships" r:id="Re19361872c9143d1"/>
  </x:tableParts>
</x:worksheet>
</file>

<file path=xl/worksheets/sheet6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69" hidden="0" customWidth="1"/>
    <x:col min="3" max="3" width="73" hidden="0" customWidth="1"/>
    <x:col min="4" max="4" width="76" hidden="0" customWidth="1"/>
    <x:col min="5" max="5" width="65" hidden="0" customWidth="1"/>
    <x:col min="6" max="6" width="78" hidden="0" customWidth="1"/>
    <x:col min="7" max="7" width="85" hidden="0" customWidth="1"/>
    <x:col min="8" max="8" width="24" hidden="0" customWidth="1"/>
    <x:col min="9" max="9" width="43" hidden="0" customWidth="1"/>
  </x:cols>
  <x:sheetData>
    <x:row r="1" ht="34" customHeight="1">
      <x:c r="A1" s="36" t="str">
        <x:v>Conocimiento enlazado y consecuencias</x:v>
      </x:c>
      <x:c r="B1" s="35"/>
      <x:c r="C1" s="35"/>
      <x:c r="D1" s="35"/>
      <x:c r="E1" s="35"/>
      <x:c r="F1" s="35"/>
      <x:c r="G1" s="35"/>
      <x:c r="H1" s="35"/>
      <x:c r="I1" s="35"/>
    </x:row>
    <x:row r="2" ht="46" customHeight="1">
      <x:c r="A2" s="37" t="str">
        <x:v>Consecuencias potenciales de consejo erróneo, con argumentos de independencia; no se declara daño observado.</x:v>
      </x:c>
      <x:c r="B2" s="35"/>
      <x:c r="C2" s="35"/>
      <x:c r="D2" s="35"/>
      <x:c r="E2" s="35"/>
      <x:c r="F2" s="35"/>
      <x:c r="G2" s="35"/>
      <x:c r="H2" s="35"/>
      <x:c r="I2" s="35"/>
    </x:row>
    <x:row r="3">
      <x:c r="A3" s="35"/>
      <x:c r="B3" s="35"/>
      <x:c r="C3" s="35"/>
      <x:c r="D3" s="35"/>
      <x:c r="E3" s="35"/>
      <x:c r="F3" s="35"/>
      <x:c r="G3" s="35"/>
      <x:c r="H3" s="35"/>
      <x:c r="I3" s="35"/>
    </x:row>
    <x:row r="4" ht="42" customHeight="1">
      <x:c r="A4" s="39" t="str">
        <x:v>Parámetro</x:v>
      </x:c>
      <x:c r="B4" s="39" t="str">
        <x:v>Conocimiento necesario</x:v>
      </x:c>
      <x:c r="C4" s="39" t="str">
        <x:v>Relación</x:v>
      </x:c>
      <x:c r="D4" s="39" t="str">
        <x:v>Consecuencia de omisión</x:v>
      </x:c>
      <x:c r="E4" s="39" t="str">
        <x:v>Consecuencia del exceso</x:v>
      </x:c>
      <x:c r="F4" s="39" t="str">
        <x:v>Variación independiente</x:v>
      </x:c>
      <x:c r="G4" s="39" t="str">
        <x:v>Partición examinada</x:v>
      </x:c>
      <x:c r="H4" s="39" t="str">
        <x:v>Comparación principal</x:v>
      </x:c>
      <x:c r="I4" s="39" t="str">
        <x:v>Fuentes</x:v>
      </x:c>
    </x:row>
    <x:row r="5" ht="47" customHeight="1">
      <x:c r="A5" s="35" t="str">
        <x:v>P01</x:v>
      </x:c>
      <x:c r="B5" s="35" t="str">
        <x:v>La finalización del instalador y la activación del cambio son momentos diferentes.</x:v>
      </x:c>
      <x:c r="C5" s="35" t="str">
        <x:v>El requisito histórico se contrasta con el reinicio posterior, P03.</x:v>
      </x:c>
      <x:c r="D5" s="35" t="str">
        <x:v>Sin este enlace puede declararse corregida una instancia que todavía utiliza el estado anterior.</x:v>
      </x:c>
      <x:c r="E5" s="35" t="str">
        <x:v>La ausencia de evidencia del requisito no justifica ordenar un reinicio.</x:v>
      </x:c>
      <x:c r="F5" s="35" t="str">
        <x:v>La instalación exige reiniciar tanto antes como después de que el reinicio se complete.</x:v>
      </x:c>
      <x:c r="G5" s="35" t="str">
        <x:v>El carácter íntegro identifica el reinicio exigido; no reúne reinicio y cumplimiento.</x:v>
      </x:c>
      <x:c r="H5" s="35" t="str">
        <x:v>P03</x:v>
      </x:c>
      <x:c r="I5" s="35" t="str">
        <x:v>T002, T003, T004, T006; T001 §2.3.2</x:v>
      </x:c>
    </x:row>
    <x:row r="6" ht="47" customHeight="1">
      <x:c r="A6" s="35" t="str">
        <x:v>P02</x:v>
      </x:c>
      <x:c r="B6" s="35" t="str">
        <x:v>Un resultado agregado puede ocultar el fallo de un elemento.</x:v>
      </x:c>
      <x:c r="C6" s="35" t="str">
        <x:v>La correspondencia entre elemento, intento y resultado precede a la interpretación.</x:v>
      </x:c>
      <x:c r="D6" s="35" t="str">
        <x:v>El experto podría aceptar una operación parcial como finalizada satisfactoriamente.</x:v>
      </x:c>
      <x:c r="E6" s="35" t="str">
        <x:v>El valor 0 no significa que no se modificase ningún componente.</x:v>
      </x:c>
      <x:c r="F6" s="35" t="str">
        <x:v>Una instalación anterior puede mantener la imagen correcta aunque el intento actual falle.</x:v>
      </x:c>
      <x:c r="G6" s="35" t="str">
        <x:v>Los códigos se conservan como observables; no se crea un parámetro por cada código.</x:v>
      </x:c>
      <x:c r="H6" s="35" t="str">
        <x:v>P06</x:v>
      </x:c>
      <x:c r="I6" s="35" t="str">
        <x:v>T004–T006</x:v>
      </x:c>
    </x:row>
    <x:row r="7" ht="47" customHeight="1">
      <x:c r="A7" s="35" t="str">
        <x:v>P03</x:v>
      </x:c>
      <x:c r="B7" s="35" t="str">
        <x:v>El arranque híbrido puede conservar parte del estado del sistema.</x:v>
      </x:c>
      <x:c r="C7" s="35" t="str">
        <x:v>El evento completo satisface una obligación de reinicio, si esta existe.</x:v>
      </x:c>
      <x:c r="D7" s="35" t="str">
        <x:v>Equiparar un encendido híbrido a un reinicio íntegro puede conservar componentes anteriores.</x:v>
      </x:c>
      <x:c r="E7" s="35" t="str">
        <x:v>Repetir un reinicio ya acreditado puede interrumpir innecesariamente el servicio.</x:v>
      </x:c>
      <x:c r="F7" s="35" t="str">
        <x:v>Con el mismo requisito, el reinicio puede haberse realizado o seguir pendiente.</x:v>
      </x:c>
      <x:c r="G7" s="35" t="str">
        <x:v>Fecha y clase de arranque identifican un evento; no constituyen dos decisiones independientes.</x:v>
      </x:c>
      <x:c r="H7" s="35" t="str">
        <x:v>P01</x:v>
      </x:c>
      <x:c r="I7" s="35" t="str">
        <x:v>T001 §2.3.2; T007</x:v>
      </x:c>
    </x:row>
    <x:row r="8" ht="47" customHeight="1">
      <x:c r="A8" s="35" t="str">
        <x:v>P04</x:v>
      </x:c>
      <x:c r="B8" s="35" t="str">
        <x:v>Un cambio puede requerir reiniciar un programa sin reiniciar el sistema.</x:v>
      </x:c>
      <x:c r="C8" s="35" t="str">
        <x:v>El requisito se enlaza con terminación, creación, inicialización e imagen utilizada.</x:v>
      </x:c>
      <x:c r="D8" s="35" t="str">
        <x:v>La instalación podría cerrarse mientras continúa el programa anterior.</x:v>
      </x:c>
      <x:c r="E8" s="35" t="str">
        <x:v>No se reinician todos los programas por analogía con uno afectado.</x:v>
      </x:c>
      <x:c r="F8" s="35" t="str">
        <x:v>El sistema puede no requerir reinicio y el programa sí.</x:v>
      </x:c>
      <x:c r="G8" s="35" t="str">
        <x:v>Una obligación para un programa; la ejecución de dicha obligación se descompone.</x:v>
      </x:c>
      <x:c r="H8" s="35" t="str">
        <x:v>P01</x:v>
      </x:c>
      <x:c r="I8" s="35" t="str">
        <x:v>T001 §2.3.2; T009</x:v>
      </x:c>
    </x:row>
    <x:row r="9" ht="47" customHeight="1">
      <x:c r="A9" s="35" t="str">
        <x:v>P05</x:v>
      </x:c>
      <x:c r="B9" s="35" t="str">
        <x:v>Un identificador de proceso puede reutilizarse y terminar un padre no termina necesariamente sus hijos.</x:v>
      </x:c>
      <x:c r="C9" s="35" t="str">
        <x:v>La generación y sus consumidores se conservan por separado.</x:v>
      </x:c>
      <x:c r="D9" s="35" t="str">
        <x:v>Puede persistir ejecución anterior aunque se haya detenido el proceso nominalmente principal.</x:v>
      </x:c>
      <x:c r="E9" s="35" t="str">
        <x:v>No se terminan otros procesos únicamente por compartir un nombre.</x:v>
      </x:c>
      <x:c r="F9" s="35" t="str">
        <x:v>El proceso anterior puede terminar sin que se cree su sustituto.</x:v>
      </x:c>
      <x:c r="G9" s="35" t="str">
        <x:v>Identidad de generación y evento de terminación; los hijos tienen otras identidades.</x:v>
      </x:c>
      <x:c r="H9" s="35" t="str">
        <x:v>P11</x:v>
      </x:c>
      <x:c r="I9" s="35" t="str">
        <x:v>T014; T016</x:v>
      </x:c>
    </x:row>
    <x:row r="10" ht="62" customHeight="1">
      <x:c r="A10" s="35" t="str">
        <x:v>P06</x:v>
      </x:c>
      <x:c r="B10" s="35" t="str">
        <x:v>La imagen utilizada puede diferir de la almacenada; el programa residente de un dispositivo también tiene un ámbito propio.</x:v>
      </x:c>
      <x:c r="C10" s="35" t="str">
        <x:v>Se relacionan imagen utilizada, almacenamiento, selección y consumidor.</x:v>
      </x:c>
      <x:c r="D10" s="35" t="str">
        <x:v>Una versión correcta en disco puede ocultar ejecución anterior en memoria o en un dispositivo.</x:v>
      </x:c>
      <x:c r="E10" s="35" t="str">
        <x:v>Una identidad diferente no demuestra por sí sola vulnerabilidad.</x:v>
      </x:c>
      <x:c r="F10" s="35" t="str">
        <x:v>La imagen nueva puede estar almacenada mientras continúa utilizándose la anterior, o suceder lo contrario.</x:v>
      </x:c>
      <x:c r="G10" s="35" t="str">
        <x:v>Una imagen y un consumidor. Biblioteca, núcleo y firmware no se cuentan de nuevo si conservan exactamente esta proposición.</x:v>
      </x:c>
      <x:c r="H10" s="35" t="str">
        <x:v>P13</x:v>
      </x:c>
      <x:c r="I10" s="35" t="str">
        <x:v>T008; T012; T013; B02 §§3–4</x:v>
      </x:c>
    </x:row>
    <x:row r="11" ht="62" customHeight="1">
      <x:c r="A11" s="35" t="str">
        <x:v>P07</x:v>
      </x:c>
      <x:c r="B11" s="35" t="str">
        <x:v>Una comprobación puede no detectar una corrección incompleta.</x:v>
      </x:c>
      <x:c r="C11" s="35" t="str">
        <x:v>El resultado sólo se interpreta con el criterio, la cobertura y la sensibilidad propios del observador.</x:v>
      </x:c>
      <x:c r="D11" s="35" t="str">
        <x:v>Un informe sin hallazgos puede ocultar la incapacidad para observar el defecto residual.</x:v>
      </x:c>
      <x:c r="E11" s="35" t="str">
        <x:v>Un resultado desfavorable no autoriza una intervención automática.</x:v>
      </x:c>
      <x:c r="F11" s="35" t="str">
        <x:v>Una identidad objetivo puede coexistir con fallo de una comprobación funcional independiente.</x:v>
      </x:c>
      <x:c r="G11" s="35" t="str">
        <x:v>Es un resultado de prueba, no el estado universal de seguridad. Dos criterios independientes requieren dos usos identificados; una prueba compuesta no se convierte en átomo.</x:v>
      </x:c>
      <x:c r="H11" s="35" t="str">
        <x:v>P06</x:v>
      </x:c>
      <x:c r="I11" s="35" t="str">
        <x:v>F018 §§4.3, 6.5, 7.3; T001 §2.3.3; B08 §1; B09 §1</x:v>
      </x:c>
    </x:row>
    <x:row r="12" ht="47" customHeight="1">
      <x:c r="A12" s="35" t="str">
        <x:v>P08</x:v>
      </x:c>
      <x:c r="B12" s="35" t="str">
        <x:v>La retirada es un acontecimiento histórico, incluso si después se reinstala.</x:v>
      </x:c>
      <x:c r="C12" s="35" t="str">
        <x:v>El acontecimiento obliga a revisar la vigencia de las pruebas afectadas.</x:v>
      </x:c>
      <x:c r="D12" s="35" t="str">
        <x:v>Se podría reutilizar una comprobación anterior a la retirada.</x:v>
      </x:c>
      <x:c r="E12" s="35" t="str">
        <x:v>Retirar una actualización no demuestra que todo el sistema haya vuelto a una versión vulnerable.</x:v>
      </x:c>
      <x:c r="F12" s="35" t="str">
        <x:v>El archivo objetivo puede volver a estar presente tras una reinstalación sin borrar la retirada.</x:v>
      </x:c>
      <x:c r="G12" s="35" t="str">
        <x:v>Existencia de un acontecimiento; no incluye el estado final ni la causa.</x:v>
      </x:c>
      <x:c r="H12" s="35" t="str">
        <x:v>P13</x:v>
      </x:c>
      <x:c r="I12" s="35" t="str">
        <x:v>T010; T011; T001 §2.3.4</x:v>
      </x:c>
    </x:row>
    <x:row r="13" ht="47" customHeight="1">
      <x:c r="A13" s="35" t="str">
        <x:v>P09</x:v>
      </x:c>
      <x:c r="B13" s="35" t="str">
        <x:v>Dos extremos iguales pueden ocultar una modificación intermedia.</x:v>
      </x:c>
      <x:c r="C13" s="35" t="str">
        <x:v>La vigencia de la prueba depende del componente y de su historia.</x:v>
      </x:c>
      <x:c r="D13" s="35" t="str">
        <x:v>Una comprobación antigua podría atribuirse indebidamente al estado actual.</x:v>
      </x:c>
      <x:c r="E13" s="35" t="str">
        <x:v>Un cambio irrelevante para el criterio no obliga a repetir todas las pruebas.</x:v>
      </x:c>
      <x:c r="F13" s="35" t="str">
        <x:v>La misma identidad final puede provenir de una historia estable o de cambio y retorno.</x:v>
      </x:c>
      <x:c r="G13" s="35" t="str">
        <x:v>La existencia de transición es única; cantidad, causa y actor se conservan como evidencia.</x:v>
      </x:c>
      <x:c r="H13" s="35" t="str">
        <x:v>P13</x:v>
      </x:c>
      <x:c r="I13" s="35" t="str">
        <x:v>T001 §2.3.4; B01 §§3.3.4, 3.4</x:v>
      </x:c>
    </x:row>
    <x:row r="14" ht="47" customHeight="1">
      <x:c r="A14" s="35" t="str">
        <x:v>P10</x:v>
      </x:c>
      <x:c r="B14" s="35" t="str">
        <x:v>Una restauración puede reintroducir estados anteriores por un mecanismo distinto de la desinstalación.</x:v>
      </x:c>
      <x:c r="C14" s="35" t="str">
        <x:v>Se revisan las pruebas de los objetos realmente restaurados.</x:v>
      </x:c>
      <x:c r="D14" s="35" t="str">
        <x:v>El experto podría aceptar una corrección basándose en pruebas anteriores a la restauración.</x:v>
      </x:c>
      <x:c r="E14" s="35" t="str">
        <x:v>La antigüedad de una copia no demuestra que todos sus componentes sean vulnerables.</x:v>
      </x:c>
      <x:c r="F14" s="35" t="str">
        <x:v>Restaurar una máquina virtual puede no generar un evento de desinstalación.</x:v>
      </x:c>
      <x:c r="G14" s="35" t="str">
        <x:v>Evento con procedencia temporal; no reúne restauración y vulnerabilidad.</x:v>
      </x:c>
      <x:c r="H14" s="35" t="str">
        <x:v>P08</x:v>
      </x:c>
      <x:c r="I14" s="35" t="str">
        <x:v>T001 §2.3.4; B10 §§3.4.1, 4.3</x:v>
      </x:c>
    </x:row>
    <x:row r="15" ht="47" customHeight="1">
      <x:c r="A15" s="35" t="str">
        <x:v>P11</x:v>
      </x:c>
      <x:c r="B15" s="35" t="str">
        <x:v>Crear un proceso no acredita que haya terminado su inicialización.</x:v>
      </x:c>
      <x:c r="C15" s="35" t="str">
        <x:v>Creación, inicialización y utilización de la imagen se conservan como estados distintos.</x:v>
      </x:c>
      <x:c r="D15" s="35" t="str">
        <x:v>Podría aceptarse la mera terminación del proceso anterior sin comprobar su sustitución.</x:v>
      </x:c>
      <x:c r="E15" s="35" t="str">
        <x:v>No se crea otra instancia por ignorar una creación ya acreditada.</x:v>
      </x:c>
      <x:c r="F15" s="35" t="str">
        <x:v>La generación anterior puede terminar con o sin creación posterior.</x:v>
      </x:c>
      <x:c r="G15" s="35" t="str">
        <x:v>PID y tiempo son identidad; no se añade la inicialización al mismo parámetro.</x:v>
      </x:c>
      <x:c r="H15" s="35" t="str">
        <x:v>P05</x:v>
      </x:c>
      <x:c r="I15" s="35" t="str">
        <x:v>T014; T015</x:v>
      </x:c>
    </x:row>
    <x:row r="16" ht="47" customHeight="1">
      <x:c r="A16" s="35" t="str">
        <x:v>P12</x:v>
      </x:c>
      <x:c r="B16" s="35" t="str">
        <x:v>Guardar una configuración no demuestra que el consumidor la haya incorporado.</x:v>
      </x:c>
      <x:c r="C16" s="35" t="str">
        <x:v>El valor efectivo se compara con el persistente, P16.</x:v>
      </x:c>
      <x:c r="D16" s="35" t="str">
        <x:v>Puede persistir una condición insegura aunque el archivo de configuración parezca correcto.</x:v>
      </x:c>
      <x:c r="E16" s="35" t="str">
        <x:v>Una alternativa autorizada no se rechaza sólo por diferir de otro objetivo.</x:v>
      </x:c>
      <x:c r="F16" s="35" t="str">
        <x:v>El valor persistente puede cambiar antes de que lo utilice el consumidor.</x:v>
      </x:c>
      <x:c r="G16" s="35" t="str">
        <x:v>Una clave escalar. Un objeto con varias propiedades exige separación por significado.</x:v>
      </x:c>
      <x:c r="H16" s="35" t="str">
        <x:v>P16</x:v>
      </x:c>
      <x:c r="I16" s="35" t="str">
        <x:v>T001 §2.3.2; F018 §3.4; B01 §3.2</x:v>
      </x:c>
    </x:row>
    <x:row r="17" ht="47" customHeight="1">
      <x:c r="A17" s="35" t="str">
        <x:v>P13</x:v>
      </x:c>
      <x:c r="B17" s="35" t="str">
        <x:v>Almacenamiento, utilización y selección de próxima carga son estados distintos.</x:v>
      </x:c>
      <x:c r="C17" s="35" t="str">
        <x:v>Se enlaza con P06, P22 y la sincronización comunicada P23.</x:v>
      </x:c>
      <x:c r="D17" s="35" t="str">
        <x:v>Puede aceptarse un estado que volverá a cargar un artefacto anterior.</x:v>
      </x:c>
      <x:c r="E17" s="35" t="str">
        <x:v>La discrepancia de identidad no acredita por sí sola un defecto de seguridad.</x:v>
      </x:c>
      <x:c r="F17" s="35" t="str">
        <x:v>El archivo puede ser nuevo y la imagen utilizada antigua.</x:v>
      </x:c>
      <x:c r="G17" s="35" t="str">
        <x:v>Un artefacto, no una colección. Su integridad no incorpora autenticidad ni corrección funcional.</x:v>
      </x:c>
      <x:c r="H17" s="35" t="str">
        <x:v>P06</x:v>
      </x:c>
      <x:c r="I17" s="35" t="str">
        <x:v>T001 §§2.3.2–2.3.4; T008; B02 §4; B03 §§3.10, 3.13</x:v>
      </x:c>
    </x:row>
    <x:row r="18" ht="47" customHeight="1">
      <x:c r="A18" s="35" t="str">
        <x:v>P14</x:v>
      </x:c>
      <x:c r="B18" s="35" t="str">
        <x:v>El cambio de configuración puede invalidar una prueba sin modificar el ejecutable.</x:v>
      </x:c>
      <x:c r="C18" s="35" t="str">
        <x:v>Sólo se revisan pruebas cuyo criterio depende de esa clave.</x:v>
      </x:c>
      <x:c r="D18" s="35" t="str">
        <x:v>Puede conservarse una conclusión que ya no corresponde a la configuración evaluada.</x:v>
      </x:c>
      <x:c r="E18" s="35" t="str">
        <x:v>Invalidar pruebas independientes produce trabajo sin fundamento.</x:v>
      </x:c>
      <x:c r="F18" s="35" t="str">
        <x:v>Puede cambiar una clave sin cambiar ningún binario.</x:v>
      </x:c>
      <x:c r="G18" s="35" t="str">
        <x:v>Un valor y un ámbito; efectivo y persistente llevan usos separados.</x:v>
      </x:c>
      <x:c r="H18" s="35" t="str">
        <x:v>P09</x:v>
      </x:c>
      <x:c r="I18" s="35" t="str">
        <x:v>T001 §2.3.4; B01 §§3.3.4, 3.4</x:v>
      </x:c>
    </x:row>
    <x:row r="19" ht="47" customHeight="1">
      <x:c r="A19" s="35" t="str">
        <x:v>P15</x:v>
      </x:c>
      <x:c r="B19" s="35" t="str">
        <x:v>La actualización puede exigir configuración, sustitución, invalidación o activación adicionales.</x:v>
      </x:c>
      <x:c r="C19" s="35" t="str">
        <x:v>Cada acción se enlaza con sus estados de cumplimiento; el verbo no constituye evidencia.</x:v>
      </x:c>
      <x:c r="D19" s="35" t="str">
        <x:v>Puede confundirse recepción del paquete con terminación de todos los efectos exigidos.</x:v>
      </x:c>
      <x:c r="E19" s="35" t="str">
        <x:v>La lista de posibilidades no es una lista de acciones obligatorias para todos los casos.</x:v>
      </x:c>
      <x:c r="F19" s="35" t="str">
        <x:v>Puede exigirse una configuración adicional sin reiniciar el sistema.</x:v>
      </x:c>
      <x:c r="G19" s="35" t="str">
        <x:v>Sólo registra obligación. Una acción con resultados independientes se descompone antes de evaluarla.</x:v>
      </x:c>
      <x:c r="H19" s="35" t="str">
        <x:v>P01</x:v>
      </x:c>
      <x:c r="I19" s="35" t="str">
        <x:v>T001 §2.3.2; B01 §3.3.2</x:v>
      </x:c>
    </x:row>
    <x:row r="20" ht="47" customHeight="1">
      <x:c r="A20" s="35" t="str">
        <x:v>P16</x:v>
      </x:c>
      <x:c r="B20" s="35" t="str">
        <x:v>Una configuración correcta en uso puede no conservarse para la próxima carga.</x:v>
      </x:c>
      <x:c r="C20" s="35" t="str">
        <x:v>P12 y P16 describen estados que pueden divergir.</x:v>
      </x:c>
      <x:c r="D20" s="35" t="str">
        <x:v>Una recarga posterior podría recuperar la configuración anterior.</x:v>
      </x:c>
      <x:c r="E20" s="35" t="str">
        <x:v>No se sobrescribe una configuración por confundir dos repositorios o ámbitos.</x:v>
      </x:c>
      <x:c r="F20" s="35" t="str">
        <x:v>El consumidor conserva un valor nuevo mientras el repositorio vuelve al antiguo.</x:v>
      </x:c>
      <x:c r="G20" s="35" t="str">
        <x:v>Un valor escalar persistente; la clave y su repositorio identifican el sujeto.</x:v>
      </x:c>
      <x:c r="H20" s="35" t="str">
        <x:v>P12</x:v>
      </x:c>
      <x:c r="I20" s="35" t="str">
        <x:v>B01 §3.2; T001 §2.3.2; F018 §3.4</x:v>
      </x:c>
    </x:row>
    <x:row r="21" ht="47" customHeight="1">
      <x:c r="A21" s="35" t="str">
        <x:v>P17</x:v>
      </x:c>
      <x:c r="B21" s="35" t="str">
        <x:v>La creación puede preceder a fallos de carga e inicialización.</x:v>
      </x:c>
      <x:c r="C21" s="35" t="str">
        <x:v>P11 no implica P17; P17 tampoco demuestra salud funcional sostenida.</x:v>
      </x:c>
      <x:c r="D21" s="35" t="str">
        <x:v>Una instancia creada pero no inicializada podría presentarse como sustituto disponible.</x:v>
      </x:c>
      <x:c r="E21" s="35" t="str">
        <x:v>No se confunde una inicialización lenta con un fallo definitivo sin evidencia.</x:v>
      </x:c>
      <x:c r="F21" s="35" t="str">
        <x:v>CreateProcessW puede devolver éxito y la inicialización terminar o fallar después.</x:v>
      </x:c>
      <x:c r="G21" s="35" t="str">
        <x:v>Un hito unitario definido. Si reúne preparación de componentes independientes, se separan sus usos.</x:v>
      </x:c>
      <x:c r="H21" s="35" t="str">
        <x:v>P11</x:v>
      </x:c>
      <x:c r="I21" s="35" t="str">
        <x:v>T015, Return value; R025</x:v>
      </x:c>
    </x:row>
    <x:row r="22" ht="62" customHeight="1">
      <x:c r="A22" s="35" t="str">
        <x:v>P18</x:v>
      </x:c>
      <x:c r="B22" s="35" t="str">
        <x:v>La habilitación y la transición de las tareas son estados distintos.</x:v>
      </x:c>
      <x:c r="C22" s="35" t="str">
        <x:v>P18 se enlaza con P19 por tarea y con la cobertura de tareas.</x:v>
      </x:c>
      <x:c r="D22" s="35" t="str">
        <x:v>Podría confundirse habilitación con aplicación completa en todas las tareas.</x:v>
      </x:c>
      <x:c r="E22" s="35" t="str">
        <x:v>No se fuerza una transición por el mero hecho de encontrarla pendiente.</x:v>
      </x:c>
      <x:c r="F22" s="35" t="str">
        <x:v>El estado habilitado puede cambiar al invertir una transición mientras una tarea conserva todavía el mismo estado de parche de referencia.</x:v>
      </x:c>
      <x:c r="G22" s="35" t="str">
        <x:v>Un estado del mecanismo; la transición por tarea queda fuera de la proposición.</x:v>
      </x:c>
      <x:c r="H22" s="35" t="str">
        <x:v>P19</x:v>
      </x:c>
      <x:c r="I22" s="35" t="str">
        <x:v>B04 §§3, 5.2, 5.4</x:v>
      </x:c>
    </x:row>
    <x:row r="23" ht="47" customHeight="1">
      <x:c r="A23" s="35" t="str">
        <x:v>P19</x:v>
      </x:c>
      <x:c r="B23" s="35" t="str">
        <x:v>Las tareas pueden transitar en momentos diferentes.</x:v>
      </x:c>
      <x:c r="C23" s="35" t="str">
        <x:v>Cada tarea tiene un uso independiente; un estado global no se copia a todas.</x:v>
      </x:c>
      <x:c r="D23" s="35" t="str">
        <x:v>Una tarea puede seguir utilizando funciones anteriores mientras otras ya han transitado.</x:v>
      </x:c>
      <x:c r="E23" s="35" t="str">
        <x:v>Se evita forzar o reiniciar tareas que ya alcanzaron el objetivo.</x:v>
      </x:c>
      <x:c r="F23" s="35" t="str">
        <x:v>Con el mismo enabled, dos tareas pueden tener estados de parche distintos.</x:v>
      </x:c>
      <x:c r="G23" s="35" t="str">
        <x:v>Una tarea y una transición. La conjunción sobre todas las tareas es una composición.</x:v>
      </x:c>
      <x:c r="H23" s="35" t="str">
        <x:v>P18</x:v>
      </x:c>
      <x:c r="I23" s="35" t="str">
        <x:v>B04 §3</x:v>
      </x:c>
    </x:row>
    <x:row r="24" ht="47" customHeight="1">
      <x:c r="A24" s="35" t="str">
        <x:v>P20</x:v>
      </x:c>
      <x:c r="B24" s="35" t="str">
        <x:v>La terminación de un proceso no elimina todas las referencias conservadas por otros consumidores.</x:v>
      </x:c>
      <x:c r="C24" s="35" t="str">
        <x:v>La referencia se enlaza con el consumidor y la obligación de sustituir el recurso.</x:v>
      </x:c>
      <x:c r="D24" s="35" t="str">
        <x:v>Puede persistir utilización del recurso anterior o ser insegura su retirada.</x:v>
      </x:c>
      <x:c r="E24" s="35" t="str">
        <x:v>No se retira un recurso todavía referenciado ni se confunde mera dirección numérica con referencia vigente.</x:v>
      </x:c>
      <x:c r="F24" s="35" t="str">
        <x:v>El proceso principal puede terminar mientras otro consumidor conserva una referencia.</x:v>
      </x:c>
      <x:c r="G24" s="35" t="str">
        <x:v>Una relación consumidor–recurso. La existencia de referencia y el contenido del recurso son estados diferentes.</x:v>
      </x:c>
      <x:c r="H24" s="35" t="str">
        <x:v>P05</x:v>
      </x:c>
      <x:c r="I24" s="35" t="str">
        <x:v>T016; B04 §5.5; R025</x:v>
      </x:c>
    </x:row>
    <x:row r="25" ht="47" customHeight="1">
      <x:c r="A25" s="35" t="str">
        <x:v>P21</x:v>
      </x:c>
      <x:c r="B25" s="35" t="str">
        <x:v>Un estado conservado en memoria puede diferir del que se volvería a cargar desde su origen.</x:v>
      </x:c>
      <x:c r="C25" s="35" t="str">
        <x:v>El origen correcto no determina por sí solo la entrada utilizada.</x:v>
      </x:c>
      <x:c r="D25" s="35" t="str">
        <x:v>El consumidor podría seguir tomando decisiones con estado anterior pese a la actualización del origen.</x:v>
      </x:c>
      <x:c r="E25" s="35" t="str">
        <x:v>No se vacía toda caché ni se confunde ausencia de entrada con contenido obsoleto.</x:v>
      </x:c>
      <x:c r="F25" s="35" t="str">
        <x:v>El artefacto de origen puede ser idéntico y la entrada conservada diferente.</x:v>
      </x:c>
      <x:c r="G25" s="35" t="str">
        <x:v>Una entrada con un contenido semánticamente indivisible. Configuración efectiva se remite a P12; código utilizado a P06, sin doble conteo.</x:v>
      </x:c>
      <x:c r="H25" s="35" t="str">
        <x:v>P13</x:v>
      </x:c>
      <x:c r="I25" s="35" t="str">
        <x:v>B11, File Caching; B05 §4; R025</x:v>
      </x:c>
    </x:row>
    <x:row r="26" ht="47" customHeight="1">
      <x:c r="A26" s="35" t="str">
        <x:v>P22</x:v>
      </x:c>
      <x:c r="B26" s="35" t="str">
        <x:v>El artefacto correcto puede estar presente sin ser el que selecciona el cargador.</x:v>
      </x:c>
      <x:c r="C26" s="35" t="str">
        <x:v>Selección, contenido almacenado e imagen utilizada se contrastan por separado.</x:v>
      </x:c>
      <x:c r="D26" s="35" t="str">
        <x:v>Una próxima carga podría volver al artefacto anterior aunque el objetivo esté disponible.</x:v>
      </x:c>
      <x:c r="E26" s="35" t="str">
        <x:v>No se elimina una copia legítima por confundir presencia y prioridad de selección.</x:v>
      </x:c>
      <x:c r="F26" s="35" t="str">
        <x:v>Dos configuraciones de búsqueda pueden seleccionar archivos distintos con los mismos archivos almacenados.</x:v>
      </x:c>
      <x:c r="G26" s="35" t="str">
        <x:v>Una relación de selección resuelta; no promete que ocurra una carga futura.</x:v>
      </x:c>
      <x:c r="H26" s="35" t="str">
        <x:v>P13</x:v>
      </x:c>
      <x:c r="I26" s="35" t="str">
        <x:v>T008, Factors that affect searching; B03 §§3.10, 3.11, 3.21</x:v>
      </x:c>
    </x:row>
    <x:row r="27" ht="47" customHeight="1">
      <x:c r="A27" s="35" t="str">
        <x:v>P23</x:v>
      </x:c>
      <x:c r="B27" s="35" t="str">
        <x:v>La escritura visible y la sincronización comunicada tienen alcances diferentes.</x:v>
      </x:c>
      <x:c r="C27" s="35" t="str">
        <x:v>P13 describe contenido leído; P23 describe un resultado de sincronización identificado.</x:v>
      </x:c>
      <x:c r="D27" s="35" t="str">
        <x:v>Una lectura correcta podría confundirse con acreditación de persistencia bajo el modelo de fallo aplicable.</x:v>
      </x:c>
      <x:c r="E27" s="35" t="str">
        <x:v>No se ordenan sincronizaciones repetidas sin necesidad ni se atribuye durabilidad física ilimitada.</x:v>
      </x:c>
      <x:c r="F27" s="35" t="str">
        <x:v>La lectura del archivo puede ser correcta antes y después de una sincronización fallida.</x:v>
      </x:c>
      <x:c r="G27" s="35" t="str">
        <x:v>Un resultado comunicado. Metadatos, datos y dispositivo requieren identificación del alcance, no una garantía agregada.</x:v>
      </x:c>
      <x:c r="H27" s="35" t="str">
        <x:v>P13</x:v>
      </x:c>
      <x:c r="I27" s="35" t="str">
        <x:v>B06, Return value y Remarks; B07, Remarks; B11</x:v>
      </x:c>
    </x:row>
    <x:row r="28" ht="47" customHeight="1">
      <x:c r="A28" s="35" t="str">
        <x:v>P24</x:v>
      </x:c>
      <x:c r="B28" s="35" t="str">
        <x:v>Aceptar una operación diferida no demuestra su ejecución.</x:v>
      </x:c>
      <x:c r="C28" s="35" t="str">
        <x:v>La pendiente se enlaza con el archivo, su identidad y la condición de ejecución.</x:v>
      </x:c>
      <x:c r="D28" s="35" t="str">
        <x:v>El experto podría dar por aplicada una sustitución que sólo fue programada.</x:v>
      </x:c>
      <x:c r="E28" s="35" t="str">
        <x:v>La ausencia de pendiente tampoco demuestra éxito: la operación pudo cancelarse.</x:v>
      </x:c>
      <x:c r="F28" s="35" t="str">
        <x:v>La instalación puede comunicar éxito con o sin operación diferida pendiente.</x:v>
      </x:c>
      <x:c r="G28" s="35" t="str">
        <x:v>Una operación de un mecanismo, no todas las acciones pendientes del sistema.</x:v>
      </x:c>
      <x:c r="H28" s="35" t="str">
        <x:v>P02</x:v>
      </x:c>
      <x:c r="I28" s="35" t="str">
        <x:v>B12, MOVEFILE_DELAY_UNTIL_REBOOT y Remarks</x:v>
      </x:c>
    </x:row>
  </x:sheetData>
  <x:mergeCells>
    <x:mergeCell ref="A1:D1"/>
    <x:mergeCell ref="A2:F2"/>
  </x:mergeCells>
  <x:pageMargins left="0.7" right="0.7" top="0.75" bottom="0.75" header="0.3" footer="0.3"/>
  <x:tableParts count="1">
    <x:tablePart xmlns:r="http://schemas.openxmlformats.org/officeDocument/2006/relationships" r:id="Rf813925bd67c4286"/>
  </x:tableParts>
</x:worksheet>
</file>

<file path=xl/worksheets/sheet7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22" hidden="0" customWidth="1"/>
    <x:col min="3" max="3" width="65" hidden="0" customWidth="1"/>
    <x:col min="4" max="4" width="88" hidden="0" customWidth="1"/>
    <x:col min="5" max="5" width="135" hidden="0" customWidth="1"/>
    <x:col min="6" max="6" width="68" hidden="0" customWidth="1"/>
  </x:cols>
  <x:sheetData>
    <x:row r="1" ht="34" customHeight="1">
      <x:c r="A1" s="36" t="str">
        <x:v>Cobertura y adjudicación de candidatos</x:v>
      </x:c>
      <x:c r="B1" s="35"/>
      <x:c r="C1" s="35"/>
      <x:c r="D1" s="35"/>
      <x:c r="E1" s="35"/>
      <x:c r="F1" s="35"/>
    </x:row>
    <x:row r="2" ht="46" customHeight="1">
      <x:c r="A2" s="37" t="str">
        <x:v>Veinte ámbitos, 36 candidatos adicionales, catorce controles, 31 distinciones y ocho clases de acción.</x:v>
      </x:c>
      <x:c r="B2" s="35"/>
      <x:c r="C2" s="35"/>
      <x:c r="D2" s="35"/>
      <x:c r="E2" s="35"/>
      <x:c r="F2" s="35"/>
    </x:row>
    <x:row r="3">
      <x:c r="A3" s="35"/>
      <x:c r="B3" s="35"/>
      <x:c r="C3" s="35"/>
      <x:c r="D3" s="35"/>
      <x:c r="E3" s="35"/>
      <x:c r="F3" s="35"/>
    </x:row>
    <x:row r="4" ht="42" customHeight="1">
      <x:c r="A4" s="39" t="str">
        <x:v>Tipo</x:v>
      </x:c>
      <x:c r="B4" s="39" t="str">
        <x:v>Identidad</x:v>
      </x:c>
      <x:c r="C4" s="39" t="str">
        <x:v>Necesidad examinada</x:v>
      </x:c>
      <x:c r="D4" s="39" t="str">
        <x:v>Representación o resolución</x:v>
      </x:c>
      <x:c r="E4" s="39" t="str">
        <x:v>Justificación y contraejemplo</x:v>
      </x:c>
      <x:c r="F4" s="39" t="str">
        <x:v>Fundamento</x:v>
      </x:c>
    </x:row>
    <x:row r="5" ht="47" customHeight="1">
      <x:c r="A5" s="35" t="str">
        <x:v>Ámbito</x:v>
      </x:c>
      <x:c r="B5" s="35" t="str">
        <x:v>A01</x:v>
      </x:c>
      <x:c r="C5" s="35" t="str">
        <x:v>Correspondencia del caso</x:v>
      </x:c>
      <x:c r="D5" s="35" t="str">
        <x:v>C01</x:v>
      </x:c>
      <x:c r="E5" s="35" t="str">
        <x:v>La igualdad nominal no acredita identidad; las precondiciones de plataforma se resuelven antes de activar los parámetros.</x:v>
      </x:c>
      <x:c r="F5" s="35" t="str">
        <x:v>T001 §3.2; B03 §§3.3–3.6</x:v>
      </x:c>
    </x:row>
    <x:row r="6" ht="47" customHeight="1">
      <x:c r="A6" s="35" t="str">
        <x:v>Ámbito</x:v>
      </x:c>
      <x:c r="B6" s="35" t="str">
        <x:v>A02</x:v>
      </x:c>
      <x:c r="C6" s="35" t="str">
        <x:v>Autenticidad y custodia</x:v>
      </x:c>
      <x:c r="D6" s="35" t="str">
        <x:v>C02, C14</x:v>
      </x:c>
      <x:c r="E6" s="35" t="str">
        <x:v>Una firma válida no implica autorización; una huella correcta no autentica al productor. Cada requisito se comprueba por separado.</x:v>
      </x:c>
      <x:c r="F6" s="35" t="str">
        <x:v>T001 §2.3.1; B03 §§3.7, 3.13, 3.15, 3.25</x:v>
      </x:c>
    </x:row>
    <x:row r="7" ht="43" customHeight="1">
      <x:c r="A7" s="35" t="str">
        <x:v>Ámbito</x:v>
      </x:c>
      <x:c r="B7" s="35" t="str">
        <x:v>A03</x:v>
      </x:c>
      <x:c r="C7" s="35" t="str">
        <x:v>Resultado de instalación</x:v>
      </x:c>
      <x:c r="D7" s="35" t="str">
        <x:v>P02, C03</x:v>
      </x:c>
      <x:c r="E7" s="35" t="str">
        <x:v>Se conserva el resultado completo del emisor y la correspondencia con el elemento instalado.</x:v>
      </x:c>
      <x:c r="F7" s="35" t="str">
        <x:v>T004–T006</x:v>
      </x:c>
    </x:row>
    <x:row r="8" ht="43" customHeight="1">
      <x:c r="A8" s="35" t="str">
        <x:v>Ámbito</x:v>
      </x:c>
      <x:c r="B8" s="35" t="str">
        <x:v>A04</x:v>
      </x:c>
      <x:c r="C8" s="35" t="str">
        <x:v>Reinicio del sistema</x:v>
      </x:c>
      <x:c r="D8" s="35" t="str">
        <x:v>P01, P03</x:v>
      </x:c>
      <x:c r="E8" s="35" t="str">
        <x:v>La necesidad y su cumplimiento no se fusionan.</x:v>
      </x:c>
      <x:c r="F8" s="35" t="str">
        <x:v>T002; T007</x:v>
      </x:c>
    </x:row>
    <x:row r="9" ht="43" customHeight="1">
      <x:c r="A9" s="35" t="str">
        <x:v>Ámbito</x:v>
      </x:c>
      <x:c r="B9" s="35" t="str">
        <x:v>A05</x:v>
      </x:c>
      <x:c r="C9" s="35" t="str">
        <x:v>Reinicio de programas</x:v>
      </x:c>
      <x:c r="D9" s="35" t="str">
        <x:v>P04, P05, P11, P17, P20</x:v>
      </x:c>
      <x:c r="E9" s="35" t="str">
        <x:v>La cadena completa impide aceptar la sola creación o terminación como reinicio suficiente.</x:v>
      </x:c>
      <x:c r="F9" s="35" t="str">
        <x:v>T009; T014–T016</x:v>
      </x:c>
    </x:row>
    <x:row r="10" ht="43" customHeight="1">
      <x:c r="A10" s="35" t="str">
        <x:v>Ámbito</x:v>
      </x:c>
      <x:c r="B10" s="35" t="str">
        <x:v>A06</x:v>
      </x:c>
      <x:c r="C10" s="35" t="str">
        <x:v>Estado de ejecutables</x:v>
      </x:c>
      <x:c r="D10" s="35" t="str">
        <x:v>P06, P13, P22</x:v>
      </x:c>
      <x:c r="E10" s="35" t="str">
        <x:v>Tres estados independientes, con perfil específico para bibliotecas, núcleo o firmware.</x:v>
      </x:c>
      <x:c r="F10" s="35" t="str">
        <x:v>T008; B02 §4; B03 §§3.10–3.13</x:v>
      </x:c>
    </x:row>
    <x:row r="11" ht="43" customHeight="1">
      <x:c r="A11" s="35" t="str">
        <x:v>Ámbito</x:v>
      </x:c>
      <x:c r="B11" s="35" t="str">
        <x:v>A07</x:v>
      </x:c>
      <x:c r="C11" s="35" t="str">
        <x:v>Configuración</x:v>
      </x:c>
      <x:c r="D11" s="35" t="str">
        <x:v>P12, P14, P16</x:v>
      </x:c>
      <x:c r="E11" s="35" t="str">
        <x:v>Las claves se individualizan; la configuración no se reduce al archivo completo.</x:v>
      </x:c>
      <x:c r="F11" s="35" t="str">
        <x:v>B01 §§3.2–3.4; F018 §3.4</x:v>
      </x:c>
    </x:row>
    <x:row r="12" ht="43" customHeight="1">
      <x:c r="A12" s="35" t="str">
        <x:v>Ámbito</x:v>
      </x:c>
      <x:c r="B12" s="35" t="str">
        <x:v>A08</x:v>
      </x:c>
      <x:c r="C12" s="35" t="str">
        <x:v>Parche en ejecución</x:v>
      </x:c>
      <x:c r="D12" s="35" t="str">
        <x:v>P18, P19, C05</x:v>
      </x:c>
      <x:c r="E12" s="35" t="str">
        <x:v>Se distinguen los estados por tarea y se cubren las tareas pertinentes; -1 no se convierte en 0.</x:v>
      </x:c>
      <x:c r="F12" s="35" t="str">
        <x:v>B04 §§3–5</x:v>
      </x:c>
    </x:row>
    <x:row r="13" ht="43" customHeight="1">
      <x:c r="A13" s="35" t="str">
        <x:v>Ámbito</x:v>
      </x:c>
      <x:c r="B13" s="35" t="str">
        <x:v>A09</x:v>
      </x:c>
      <x:c r="C13" s="35" t="str">
        <x:v>Estado residual</x:v>
      </x:c>
      <x:c r="D13" s="35" t="str">
        <x:v>P20, P21</x:v>
      </x:c>
      <x:c r="E13" s="35" t="str">
        <x:v>Se sigue cada consumidor y recurso pertinente. La palabra caché no justifica una limpieza indiscriminada.</x:v>
      </x:c>
      <x:c r="F13" s="35" t="str">
        <x:v>T016; B05 §4; B11</x:v>
      </x:c>
    </x:row>
    <x:row r="14" ht="43" customHeight="1">
      <x:c r="A14" s="35" t="str">
        <x:v>Ámbito</x:v>
      </x:c>
      <x:c r="B14" s="35" t="str">
        <x:v>A10</x:v>
      </x:c>
      <x:c r="C14" s="35" t="str">
        <x:v>Escritura y diferimiento</x:v>
      </x:c>
      <x:c r="D14" s="35" t="str">
        <x:v>P13, P23, P24</x:v>
      </x:c>
      <x:c r="E14" s="35" t="str">
        <x:v>Lectura, sincronización y programación diferida conservan evidencias separadas.</x:v>
      </x:c>
      <x:c r="F14" s="35" t="str">
        <x:v>B06; B07; B12</x:v>
      </x:c>
    </x:row>
    <x:row r="15" ht="43" customHeight="1">
      <x:c r="A15" s="35" t="str">
        <x:v>Ámbito</x:v>
      </x:c>
      <x:c r="B15" s="35" t="str">
        <x:v>A11</x:v>
      </x:c>
      <x:c r="C15" s="35" t="str">
        <x:v>Otros efectos exigidos</x:v>
      </x:c>
      <x:c r="D15" s="35" t="str">
        <x:v>P15 y registro de clases</x:v>
      </x:c>
      <x:c r="E15" s="35" t="str">
        <x:v>No se admite una clase nueva por texto libre; cada efecto se asigna al estado que lo acredita.</x:v>
      </x:c>
      <x:c r="F15" s="35" t="str">
        <x:v>T001 §2.3.2; B05 §§2–4</x:v>
      </x:c>
    </x:row>
    <x:row r="16" ht="43" customHeight="1">
      <x:c r="A16" s="35" t="str">
        <x:v>Ámbito</x:v>
      </x:c>
      <x:c r="B16" s="35" t="str">
        <x:v>A12</x:v>
      </x:c>
      <x:c r="C16" s="35" t="str">
        <x:v>Corrección íntegra</x:v>
      </x:c>
      <x:c r="D16" s="35" t="str">
        <x:v>P07, C04, C06</x:v>
      </x:c>
      <x:c r="E16" s="35" t="str">
        <x:v>Cada obligación de corrección se verifica; compilar o reconocer un fragmento no cierra el conjunto.</x:v>
      </x:c>
      <x:c r="F16" s="35" t="str">
        <x:v>B08 §1; B09 §1; F018 §4.3</x:v>
      </x:c>
    </x:row>
    <x:row r="17" ht="43" customHeight="1">
      <x:c r="A17" s="35" t="str">
        <x:v>Ámbito</x:v>
      </x:c>
      <x:c r="B17" s="35" t="str">
        <x:v>A13</x:v>
      </x:c>
      <x:c r="C17" s="35" t="str">
        <x:v>Alcance de observación</x:v>
      </x:c>
      <x:c r="D17" s="35" t="str">
        <x:v>C02, C06</x:v>
      </x:c>
      <x:c r="E17" s="35" t="str">
        <x:v>Casos favorables y desfavorables independientes del resultado esperado; límites de acceso explícitos.</x:v>
      </x:c>
      <x:c r="F17" s="35" t="str">
        <x:v>F018 §§4.3, 6.5, 7.3</x:v>
      </x:c>
    </x:row>
    <x:row r="18" ht="47" customHeight="1">
      <x:c r="A18" s="35" t="str">
        <x:v>Ámbito</x:v>
      </x:c>
      <x:c r="B18" s="35" t="str">
        <x:v>A14</x:v>
      </x:c>
      <x:c r="C18" s="35" t="str">
        <x:v>Instancias y dependencias</x:v>
      </x:c>
      <x:c r="D18" s="35" t="str">
        <x:v>C05 y usos independientes</x:v>
      </x:c>
      <x:c r="E18" s="35" t="str">
        <x:v>Cada sujeto posee su propio estado; el recorrido termina al cubrir todas las relaciones pertinentes o declarar una frontera responsable.</x:v>
      </x:c>
      <x:c r="F18" s="35" t="str">
        <x:v>T001 §3.2; B01 §3.3.3</x:v>
      </x:c>
    </x:row>
    <x:row r="19" ht="43" customHeight="1">
      <x:c r="A19" s="35" t="str">
        <x:v>Ámbito</x:v>
      </x:c>
      <x:c r="B19" s="35" t="str">
        <x:v>A15</x:v>
      </x:c>
      <x:c r="C19" s="35" t="str">
        <x:v>Pérdida de vigencia</x:v>
      </x:c>
      <x:c r="D19" s="35" t="str">
        <x:v>P08, P09, P10, P14, C07</x:v>
      </x:c>
      <x:c r="E19" s="35" t="str">
        <x:v>El cambio y retorno se conserva; una modificación sólo afecta a la evidencia dependiente de ella.</x:v>
      </x:c>
      <x:c r="F19" s="35" t="str">
        <x:v>T001 §2.3.4; B01 §3.3.4</x:v>
      </x:c>
    </x:row>
    <x:row r="20" ht="43" customHeight="1">
      <x:c r="A20" s="35" t="str">
        <x:v>Ámbito</x:v>
      </x:c>
      <x:c r="B20" s="35" t="str">
        <x:v>A16</x:v>
      </x:c>
      <x:c r="C20" s="35" t="str">
        <x:v>Efecto funcional y datos</x:v>
      </x:c>
      <x:c r="D20" s="35" t="str">
        <x:v>P07 por criterio; C08</x:v>
      </x:c>
      <x:c r="E20" s="35" t="str">
        <x:v>Los criterios se separan; una prueba de disponibilidad no sustituye una prueba de integridad.</x:v>
      </x:c>
      <x:c r="F20" s="35" t="str">
        <x:v>B01 §3.3.3; B10 §3.2</x:v>
      </x:c>
    </x:row>
    <x:row r="21" ht="43" customHeight="1">
      <x:c r="A21" s="35" t="str">
        <x:v>Ámbito</x:v>
      </x:c>
      <x:c r="B21" s="35" t="str">
        <x:v>A17</x:v>
      </x:c>
      <x:c r="C21" s="35" t="str">
        <x:v>Alternativas y recuperación</x:v>
      </x:c>
      <x:c r="D21" s="35" t="str">
        <x:v>C09; P07 por comprobación</x:v>
      </x:c>
      <x:c r="E21" s="35" t="str">
        <x:v>Se comparan resultados y perjuicios; ninguna alternativa cambia el hecho de si la corrección está acreditada.</x:v>
      </x:c>
      <x:c r="F21" s="35" t="str">
        <x:v>T001 §§3.3–3.5; B10 §§3.4, 4.3</x:v>
      </x:c>
    </x:row>
    <x:row r="22" ht="43" customHeight="1">
      <x:c r="A22" s="35" t="str">
        <x:v>Ámbito</x:v>
      </x:c>
      <x:c r="B22" s="35" t="str">
        <x:v>A18</x:v>
      </x:c>
      <x:c r="C22" s="35" t="str">
        <x:v>Tiempo y autorización</x:v>
      </x:c>
      <x:c r="D22" s="35" t="str">
        <x:v>C10, C11</x:v>
      </x:c>
      <x:c r="E22" s="35" t="str">
        <x:v>Una ventana disponible no constituye autorización; un permiso vencido no se conserva como vigente.</x:v>
      </x:c>
      <x:c r="F22" s="35" t="str">
        <x:v>B01 §§3.3.1–3.3.2; B10 §3.2</x:v>
      </x:c>
    </x:row>
    <x:row r="23" ht="47" customHeight="1">
      <x:c r="A23" s="35" t="str">
        <x:v>Ámbito</x:v>
      </x:c>
      <x:c r="B23" s="35" t="str">
        <x:v>A19</x:v>
      </x:c>
      <x:c r="C23" s="35" t="str">
        <x:v>Proporcionalidad</x:v>
      </x:c>
      <x:c r="D23" s="35" t="str">
        <x:v>C08, C12</x:v>
      </x:c>
      <x:c r="E23" s="35" t="str">
        <x:v>Se conserva la incertidumbre económica y lo no monetizable; no se sustituye el valor del servicio por el precio del equipo.</x:v>
      </x:c>
      <x:c r="F23" s="35" t="str">
        <x:v>R035; T001 §3.1; B10 §3.2</x:v>
      </x:c>
    </x:row>
    <x:row r="24" ht="47" customHeight="1">
      <x:c r="A24" s="35" t="str">
        <x:v>Ámbito</x:v>
      </x:c>
      <x:c r="B24" s="35" t="str">
        <x:v>A20</x:v>
      </x:c>
      <x:c r="C24" s="35" t="str">
        <x:v>Explicación y gobierno</x:v>
      </x:c>
      <x:c r="D24" s="35" t="str">
        <x:v>C13, C14</x:v>
      </x:c>
      <x:c r="E24" s="35" t="str">
        <x:v>El informe permite reconstruir el consejo; no se presenta como Frame SV antes de constituir su representación legítima.</x:v>
      </x:c>
      <x:c r="F24" s="35" t="str">
        <x:v>Acta del español; instrucción aprobada; contrato de atomicidad</x:v>
      </x:c>
    </x:row>
    <x:row r="25" ht="43" customHeight="1">
      <x:c r="A25" s="35" t="str">
        <x:v>Candidato</x:v>
      </x:c>
      <x:c r="B25" s="35" t="str">
        <x:v>R01</x:v>
      </x:c>
      <x:c r="C25" s="35" t="str">
        <x:v>Activo correctamente identificado</x:v>
      </x:c>
      <x:c r="D25" s="35" t="str">
        <x:v>Contexto; C01</x:v>
      </x:c>
      <x:c r="E25" s="35" t="str">
        <x:v>Es la identidad que hace admisible el caso; su defecto no representa el estado de la corrección.</x:v>
      </x:c>
      <x:c r="F25" s="35" t="str">
        <x:v>Adjudicación según contrato SV-AT</x:v>
      </x:c>
    </x:row>
    <x:row r="26" ht="47" customHeight="1">
      <x:c r="A26" s="35" t="str">
        <x:v>Candidato</x:v>
      </x:c>
      <x:c r="B26" s="35" t="str">
        <x:v>R02</x:v>
      </x:c>
      <x:c r="C26" s="35" t="str">
        <x:v>Actualización aplicable</x:v>
      </x:c>
      <x:c r="D26" s="35" t="str">
        <x:v>Control; C01</x:v>
      </x:c>
      <x:c r="E26" s="35" t="str">
        <x:v>La conjunción de arquitectura, precursor, versión y condiciones se resuelve antes de activar; no se comprime en un átomo.</x:v>
      </x:c>
      <x:c r="F26" s="35" t="str">
        <x:v>Adjudicación según contrato SV-AT</x:v>
      </x:c>
    </x:row>
    <x:row r="27" ht="43" customHeight="1">
      <x:c r="A27" s="35" t="str">
        <x:v>Candidato</x:v>
      </x:c>
      <x:c r="B27" s="35" t="str">
        <x:v>R03</x:v>
      </x:c>
      <x:c r="C27" s="35" t="str">
        <x:v>Firma válida</x:v>
      </x:c>
      <x:c r="D27" s="35" t="str">
        <x:v>Control; C02</x:v>
      </x:c>
      <x:c r="E27" s="35" t="str">
        <x:v>La admisión distingue comprobación criptográfica, identidad del firmante y autorización.</x:v>
      </x:c>
      <x:c r="F27" s="35" t="str">
        <x:v>Adjudicación según contrato SV-AT</x:v>
      </x:c>
    </x:row>
    <x:row r="28" ht="43" customHeight="1">
      <x:c r="A28" s="35" t="str">
        <x:v>Candidato</x:v>
      </x:c>
      <x:c r="B28" s="35" t="str">
        <x:v>R04</x:v>
      </x:c>
      <x:c r="C28" s="35" t="str">
        <x:v>Huella coincidente de evidencia</x:v>
      </x:c>
      <x:c r="D28" s="35" t="str">
        <x:v>Control; C02</x:v>
      </x:c>
      <x:c r="E28" s="35" t="str">
        <x:v>Identifica bytes de prueba; no es el estado del activo ni autentica el productor.</x:v>
      </x:c>
      <x:c r="F28" s="35" t="str">
        <x:v>Adjudicación según contrato SV-AT</x:v>
      </x:c>
    </x:row>
    <x:row r="29" ht="43" customHeight="1">
      <x:c r="A29" s="35" t="str">
        <x:v>Candidato</x:v>
      </x:c>
      <x:c r="B29" s="35" t="str">
        <x:v>R05</x:v>
      </x:c>
      <x:c r="C29" s="35" t="str">
        <x:v>Prueba procedente de autoridad válida</x:v>
      </x:c>
      <x:c r="D29" s="35" t="str">
        <x:v>Control; C02</x:v>
      </x:c>
      <x:c r="E29" s="35" t="str">
        <x:v>Controla qué evidencia se admite y conserva su motivo de rechazo.</x:v>
      </x:c>
      <x:c r="F29" s="35" t="str">
        <x:v>Adjudicación según contrato SV-AT</x:v>
      </x:c>
    </x:row>
    <x:row r="30" ht="43" customHeight="1">
      <x:c r="A30" s="35" t="str">
        <x:v>Candidato</x:v>
      </x:c>
      <x:c r="B30" s="35" t="str">
        <x:v>R06</x:v>
      </x:c>
      <x:c r="C30" s="35" t="str">
        <x:v>Referencia normativa vigente</x:v>
      </x:c>
      <x:c r="D30" s="35" t="str">
        <x:v>Control; C14</x:v>
      </x:c>
      <x:c r="E30" s="35" t="str">
        <x:v>La revisión del conocimiento requiere decisión humana y no altera Tri.</x:v>
      </x:c>
      <x:c r="F30" s="35" t="str">
        <x:v>Adjudicación según contrato SV-AT</x:v>
      </x:c>
    </x:row>
    <x:row r="31" ht="43" customHeight="1">
      <x:c r="A31" s="35" t="str">
        <x:v>Candidato</x:v>
      </x:c>
      <x:c r="B31" s="35" t="str">
        <x:v>R07</x:v>
      </x:c>
      <x:c r="C31" s="35" t="str">
        <x:v>Todos los archivos actualizados</x:v>
      </x:c>
      <x:c r="D31" s="35" t="str">
        <x:v>Composición; P13; C05</x:v>
      </x:c>
      <x:c r="E31" s="35" t="str">
        <x:v>Cada archivo mantiene su estado; se exige cobertura del conjunto.</x:v>
      </x:c>
      <x:c r="F31" s="35" t="str">
        <x:v>Adjudicación según contrato SV-AT</x:v>
      </x:c>
    </x:row>
    <x:row r="32" ht="43" customHeight="1">
      <x:c r="A32" s="35" t="str">
        <x:v>Candidato</x:v>
      </x:c>
      <x:c r="B32" s="35" t="str">
        <x:v>R08</x:v>
      </x:c>
      <x:c r="C32" s="35" t="str">
        <x:v>Todo el software reiniciado</x:v>
      </x:c>
      <x:c r="D32" s="35" t="str">
        <x:v>Composición; P04, P05, P11, P17, P20</x:v>
      </x:c>
      <x:c r="E32" s="35" t="str">
        <x:v>Agrupa obligaciones e instancias independientes.</x:v>
      </x:c>
      <x:c r="F32" s="35" t="str">
        <x:v>Adjudicación según contrato SV-AT</x:v>
      </x:c>
    </x:row>
    <x:row r="33" ht="47" customHeight="1">
      <x:c r="A33" s="35" t="str">
        <x:v>Candidato</x:v>
      </x:c>
      <x:c r="B33" s="35" t="str">
        <x:v>R09</x:v>
      </x:c>
      <x:c r="C33" s="35" t="str">
        <x:v>Proceso actualmente vivo</x:v>
      </x:c>
      <x:c r="D33" s="35" t="str">
        <x:v>Derivable en el perfil; P05, P11; historia de generación</x:v>
      </x:c>
      <x:c r="E33" s="35" t="str">
        <x:v>Para una generación con nacimiento y terminación completamente conocidos, la vida al corte se deriva. Si falta historia, la proposición no adquiere evidencia nueva por cambiarle el nombre.</x:v>
      </x:c>
      <x:c r="F33" s="35" t="str">
        <x:v>Adjudicación según contrato SV-AT</x:v>
      </x:c>
    </x:row>
    <x:row r="34" ht="43" customHeight="1">
      <x:c r="A34" s="35" t="str">
        <x:v>Candidato</x:v>
      </x:c>
      <x:c r="B34" s="35" t="str">
        <x:v>R10</x:v>
      </x:c>
      <x:c r="C34" s="35" t="str">
        <x:v>PID nuevo</x:v>
      </x:c>
      <x:c r="D34" s="35" t="str">
        <x:v>Observable; P11; T014</x:v>
      </x:c>
      <x:c r="E34" s="35" t="str">
        <x:v>Un PID aislado no identifica una generación nueva.</x:v>
      </x:c>
      <x:c r="F34" s="35" t="str">
        <x:v>Adjudicación según contrato SV-AT</x:v>
      </x:c>
    </x:row>
    <x:row r="35" ht="43" customHeight="1">
      <x:c r="A35" s="35" t="str">
        <x:v>Candidato</x:v>
      </x:c>
      <x:c r="B35" s="35" t="str">
        <x:v>R11</x:v>
      </x:c>
      <x:c r="C35" s="35" t="str">
        <x:v>Programa saludable</x:v>
      </x:c>
      <x:c r="D35" s="35" t="str">
        <x:v>Composición; P07 por función; C06</x:v>
      </x:c>
      <x:c r="E35" s="35" t="str">
        <x:v>Disponibilidad, corrección funcional e integridad pueden variar independientemente.</x:v>
      </x:c>
      <x:c r="F35" s="35" t="str">
        <x:v>Adjudicación según contrato SV-AT</x:v>
      </x:c>
    </x:row>
    <x:row r="36" ht="43" customHeight="1">
      <x:c r="A36" s="35" t="str">
        <x:v>Candidato</x:v>
      </x:c>
      <x:c r="B36" s="35" t="str">
        <x:v>R12</x:v>
      </x:c>
      <x:c r="C36" s="35" t="str">
        <x:v>Versión textual correcta</x:v>
      </x:c>
      <x:c r="D36" s="35" t="str">
        <x:v>Observable; P06, P13</x:v>
      </x:c>
      <x:c r="E36" s="35" t="str">
        <x:v>Una etiqueta no sustituye la identidad y el método exigidos.</x:v>
      </x:c>
      <x:c r="F36" s="35" t="str">
        <x:v>Adjudicación según contrato SV-AT</x:v>
      </x:c>
    </x:row>
    <x:row r="37" ht="43" customHeight="1">
      <x:c r="A37" s="35" t="str">
        <x:v>Candidato</x:v>
      </x:c>
      <x:c r="B37" s="35" t="str">
        <x:v>R13</x:v>
      </x:c>
      <x:c r="C37" s="35" t="str">
        <x:v>Firmware correcto</x:v>
      </x:c>
      <x:c r="D37" s="35" t="str">
        <x:v>Composición; P06, P13, P22, P07; C01</x:v>
      </x:c>
      <x:c r="E37" s="35" t="str">
        <x:v>Almacenamiento, selección, utilización y corrección son diferentes.</x:v>
      </x:c>
      <x:c r="F37" s="35" t="str">
        <x:v>Adjudicación según contrato SV-AT</x:v>
      </x:c>
    </x:row>
    <x:row r="38" ht="43" customHeight="1">
      <x:c r="A38" s="35" t="str">
        <x:v>Candidato</x:v>
      </x:c>
      <x:c r="B38" s="35" t="str">
        <x:v>R14</x:v>
      </x:c>
      <x:c r="C38" s="35" t="str">
        <x:v>Dirección de memoria reiniciada</x:v>
      </x:c>
      <x:c r="D38" s="35" t="str">
        <x:v>Observable; P20</x:v>
      </x:c>
      <x:c r="E38" s="35" t="str">
        <x:v>El valor numérico de una dirección no acredita identidad, vigencia ni uso del recurso.</x:v>
      </x:c>
      <x:c r="F38" s="35" t="str">
        <x:v>Adjudicación según contrato SV-AT</x:v>
      </x:c>
    </x:row>
    <x:row r="39" ht="43" customHeight="1">
      <x:c r="A39" s="35" t="str">
        <x:v>Candidato</x:v>
      </x:c>
      <x:c r="B39" s="35" t="str">
        <x:v>R15</x:v>
      </x:c>
      <x:c r="C39" s="35" t="str">
        <x:v>Caché completamente limpia</x:v>
      </x:c>
      <x:c r="D39" s="35" t="str">
        <x:v>Composición; P21; C05</x:v>
      </x:c>
      <x:c r="E39" s="35" t="str">
        <x:v>La pertinencia se establece por entradas y consumidores; vacío no significa correcto.</x:v>
      </x:c>
      <x:c r="F39" s="35" t="str">
        <x:v>Adjudicación según contrato SV-AT</x:v>
      </x:c>
    </x:row>
    <x:row r="40" ht="43" customHeight="1">
      <x:c r="A40" s="35" t="str">
        <x:v>Candidato</x:v>
      </x:c>
      <x:c r="B40" s="35" t="str">
        <x:v>R16</x:v>
      </x:c>
      <x:c r="C40" s="35" t="str">
        <x:v>Parche completo en todas las tareas</x:v>
      </x:c>
      <x:c r="D40" s="35" t="str">
        <x:v>Composición; P19; C05</x:v>
      </x:c>
      <x:c r="E40" s="35" t="str">
        <x:v>Conjunción de estados por tarea, no parámetro adicional.</x:v>
      </x:c>
      <x:c r="F40" s="35" t="str">
        <x:v>Adjudicación según contrato SV-AT</x:v>
      </x:c>
    </x:row>
    <x:row r="41" ht="43" customHeight="1">
      <x:c r="A41" s="35" t="str">
        <x:v>Candidato</x:v>
      </x:c>
      <x:c r="B41" s="35" t="str">
        <x:v>R17</x:v>
      </x:c>
      <x:c r="C41" s="35" t="str">
        <x:v>Transición terminada sin riesgo</x:v>
      </x:c>
      <x:c r="D41" s="35" t="str">
        <x:v>Composición; P19, P20; C06</x:v>
      </x:c>
      <x:c r="E41" s="35" t="str">
        <x:v>Estado de transición y seguridad de la operación no se fusionan.</x:v>
      </x:c>
      <x:c r="F41" s="35" t="str">
        <x:v>Adjudicación según contrato SV-AT</x:v>
      </x:c>
    </x:row>
    <x:row r="42" ht="47" customHeight="1">
      <x:c r="A42" s="35" t="str">
        <x:v>Candidato</x:v>
      </x:c>
      <x:c r="B42" s="35" t="str">
        <x:v>R18</x:v>
      </x:c>
      <x:c r="C42" s="35" t="str">
        <x:v>Valor -1 de patch_state</x:v>
      </x:c>
      <x:c r="D42" s="35" t="str">
        <x:v>Fuera del perfil; P19</x:v>
      </x:c>
      <x:c r="E42" s="35" t="str">
        <x:v>Fuera de transición no se interpreta como ausencia de parche. Es un estado del mecanismo que cambia la activación del perfil.</x:v>
      </x:c>
      <x:c r="F42" s="35" t="str">
        <x:v>Adjudicación según contrato SV-AT</x:v>
      </x:c>
    </x:row>
    <x:row r="43" ht="43" customHeight="1">
      <x:c r="A43" s="35" t="str">
        <x:v>Candidato</x:v>
      </x:c>
      <x:c r="B43" s="35" t="str">
        <x:v>R19</x:v>
      </x:c>
      <x:c r="C43" s="35" t="str">
        <x:v>Retirada y reversión equivalentes</x:v>
      </x:c>
      <x:c r="D43" s="35" t="str">
        <x:v>Desestimado; P08, P10, P09, P14</x:v>
      </x:c>
      <x:c r="E43" s="35" t="str">
        <x:v>Los mecanismos e historias difieren; no se crea un átomo que los equipare.</x:v>
      </x:c>
      <x:c r="F43" s="35" t="str">
        <x:v>Adjudicación según contrato SV-AT</x:v>
      </x:c>
    </x:row>
    <x:row r="44" ht="43" customHeight="1">
      <x:c r="A44" s="35" t="str">
        <x:v>Candidato</x:v>
      </x:c>
      <x:c r="B44" s="35" t="str">
        <x:v>R20</x:v>
      </x:c>
      <x:c r="C44" s="35" t="str">
        <x:v>Corrección íntegra de la vulnerabilidad</x:v>
      </x:c>
      <x:c r="D44" s="35" t="str">
        <x:v>Composición; C04, C05, C06; P07</x:v>
      </x:c>
      <x:c r="E44" s="35" t="str">
        <x:v>Es el resultado profesional que se debe justificar; hacerlo átomo ocultaría sus requisitos.</x:v>
      </x:c>
      <x:c r="F44" s="35" t="str">
        <x:v>Adjudicación según contrato SV-AT</x:v>
      </x:c>
    </x:row>
    <x:row r="45" ht="43" customHeight="1">
      <x:c r="A45" s="35" t="str">
        <x:v>Candidato</x:v>
      </x:c>
      <x:c r="B45" s="35" t="str">
        <x:v>R21</x:v>
      </x:c>
      <x:c r="C45" s="35" t="str">
        <x:v>Sin hallazgos de vulnerabilidad</x:v>
      </x:c>
      <x:c r="D45" s="35" t="str">
        <x:v>Resultado de prueba; P07; C06</x:v>
      </x:c>
      <x:c r="E45" s="35" t="str">
        <x:v>Sólo tiene sentido con cobertura y sensibilidad; no acredita ausencia universal.</x:v>
      </x:c>
      <x:c r="F45" s="35" t="str">
        <x:v>Adjudicación según contrato SV-AT</x:v>
      </x:c>
    </x:row>
    <x:row r="46" ht="43" customHeight="1">
      <x:c r="A46" s="35" t="str">
        <x:v>Candidato</x:v>
      </x:c>
      <x:c r="B46" s="35" t="str">
        <x:v>R22</x:v>
      </x:c>
      <x:c r="C46" s="35" t="str">
        <x:v>Conjunto de dependencias completo</x:v>
      </x:c>
      <x:c r="D46" s="35" t="str">
        <x:v>Control; C05</x:v>
      </x:c>
      <x:c r="E46" s="35" t="str">
        <x:v>La cobertura debe acreditarse mediante inventario y fronteras, no por un booleano autodeclarado.</x:v>
      </x:c>
      <x:c r="F46" s="35" t="str">
        <x:v>Adjudicación según contrato SV-AT</x:v>
      </x:c>
    </x:row>
    <x:row r="47" ht="43" customHeight="1">
      <x:c r="A47" s="35" t="str">
        <x:v>Candidato</x:v>
      </x:c>
      <x:c r="B47" s="35" t="str">
        <x:v>R23</x:v>
      </x:c>
      <x:c r="C47" s="35" t="str">
        <x:v>Observador suficientemente sensible</x:v>
      </x:c>
      <x:c r="D47" s="35" t="str">
        <x:v>Control; C06</x:v>
      </x:c>
      <x:c r="E47" s="35" t="str">
        <x:v>Se demuestra por pruebas pertinentes; no se permite que el resultado se autentique a sí mismo.</x:v>
      </x:c>
      <x:c r="F47" s="35" t="str">
        <x:v>Adjudicación según contrato SV-AT</x:v>
      </x:c>
    </x:row>
    <x:row r="48" ht="43" customHeight="1">
      <x:c r="A48" s="35" t="str">
        <x:v>Candidato</x:v>
      </x:c>
      <x:c r="B48" s="35" t="str">
        <x:v>R24</x:v>
      </x:c>
      <x:c r="C48" s="35" t="str">
        <x:v>Permiso para intervenir</x:v>
      </x:c>
      <x:c r="D48" s="35" t="str">
        <x:v>Control humano; C11</x:v>
      </x:c>
      <x:c r="E48" s="35" t="str">
        <x:v>Se conserva el acto de autorización, su alcance y vigencia; la IA no crea esa autoridad.</x:v>
      </x:c>
      <x:c r="F48" s="35" t="str">
        <x:v>Adjudicación según contrato SV-AT</x:v>
      </x:c>
    </x:row>
    <x:row r="49" ht="43" customHeight="1">
      <x:c r="A49" s="35" t="str">
        <x:v>Candidato</x:v>
      </x:c>
      <x:c r="B49" s="35" t="str">
        <x:v>R25</x:v>
      </x:c>
      <x:c r="C49" s="35" t="str">
        <x:v>Ventana suficiente</x:v>
      </x:c>
      <x:c r="D49" s="35" t="str">
        <x:v>Juicio y contexto; C10</x:v>
      </x:c>
      <x:c r="E49" s="35" t="str">
        <x:v>Depende de tiempos, dependencias y recuperación; sus magnitudes permanecen separadas.</x:v>
      </x:c>
      <x:c r="F49" s="35" t="str">
        <x:v>Adjudicación según contrato SV-AT</x:v>
      </x:c>
    </x:row>
    <x:row r="50" ht="43" customHeight="1">
      <x:c r="A50" s="35" t="str">
        <x:v>Candidato</x:v>
      </x:c>
      <x:c r="B50" s="35" t="str">
        <x:v>R26</x:v>
      </x:c>
      <x:c r="C50" s="35" t="str">
        <x:v>Coste proporcionado</x:v>
      </x:c>
      <x:c r="D50" s="35" t="str">
        <x:v>Juicio humano; C12</x:v>
      </x:c>
      <x:c r="E50" s="35" t="str">
        <x:v>No se convierte una valoración multicriterio en un estado técnico ni en suma arbitraria.</x:v>
      </x:c>
      <x:c r="F50" s="35" t="str">
        <x:v>Adjudicación según contrato SV-AT</x:v>
      </x:c>
    </x:row>
    <x:row r="51" ht="43" customHeight="1">
      <x:c r="A51" s="35" t="str">
        <x:v>Candidato</x:v>
      </x:c>
      <x:c r="B51" s="35" t="str">
        <x:v>R27</x:v>
      </x:c>
      <x:c r="C51" s="35" t="str">
        <x:v>Disponibilidad tras actualizar</x:v>
      </x:c>
      <x:c r="D51" s="35" t="str">
        <x:v>Resultado de prueba; P07 por criterio; C08</x:v>
      </x:c>
      <x:c r="E51" s="35" t="str">
        <x:v>Se comprueba la función concreta y el horizonte; no se presume por inicialización.</x:v>
      </x:c>
      <x:c r="F51" s="35" t="str">
        <x:v>Adjudicación según contrato SV-AT</x:v>
      </x:c>
    </x:row>
    <x:row r="52" ht="43" customHeight="1">
      <x:c r="A52" s="35" t="str">
        <x:v>Candidato</x:v>
      </x:c>
      <x:c r="B52" s="35" t="str">
        <x:v>R28</x:v>
      </x:c>
      <x:c r="C52" s="35" t="str">
        <x:v>Datos íntegros tras migrar</x:v>
      </x:c>
      <x:c r="D52" s="35" t="str">
        <x:v>Composición de criterios; P07 por invariante; AC07</x:v>
      </x:c>
      <x:c r="E52" s="35" t="str">
        <x:v>Los invariantes se fijan antes de probar y se separan si generan consecuencias independientes.</x:v>
      </x:c>
      <x:c r="F52" s="35" t="str">
        <x:v>Adjudicación según contrato SV-AT</x:v>
      </x:c>
    </x:row>
    <x:row r="53" ht="43" customHeight="1">
      <x:c r="A53" s="35" t="str">
        <x:v>Candidato</x:v>
      </x:c>
      <x:c r="B53" s="35" t="str">
        <x:v>R29</x:v>
      </x:c>
      <x:c r="C53" s="35" t="str">
        <x:v>Reversión segura garantizada</x:v>
      </x:c>
      <x:c r="D53" s="35" t="str">
        <x:v>Composición y referencia; C09; P07; C05</x:v>
      </x:c>
      <x:c r="E53" s="35" t="str">
        <x:v>Requiere capacidad de recuperación y alcance propios; no es permiso ni resultado del cambio.</x:v>
      </x:c>
      <x:c r="F53" s="35" t="str">
        <x:v>Adjudicación según contrato SV-AT</x:v>
      </x:c>
    </x:row>
    <x:row r="54" ht="43" customHeight="1">
      <x:c r="A54" s="35" t="str">
        <x:v>Candidato</x:v>
      </x:c>
      <x:c r="B54" s="35" t="str">
        <x:v>R30</x:v>
      </x:c>
      <x:c r="C54" s="35" t="str">
        <x:v>Durabilidad física garantizada</x:v>
      </x:c>
      <x:c r="D54" s="35" t="str">
        <x:v>Composición de garantías; P23; C02; C06</x:v>
      </x:c>
      <x:c r="E54" s="35" t="str">
        <x:v>El retorno de una operación no acredita todos los supuestos del dispositivo y del modelo de fallo.</x:v>
      </x:c>
      <x:c r="F54" s="35" t="str">
        <x:v>Adjudicación según contrato SV-AT</x:v>
      </x:c>
    </x:row>
    <x:row r="55" ht="43" customHeight="1">
      <x:c r="A55" s="35" t="str">
        <x:v>Candidato</x:v>
      </x:c>
      <x:c r="B55" s="35" t="str">
        <x:v>R31</x:v>
      </x:c>
      <x:c r="C55" s="35" t="str">
        <x:v>Sin operación pendiente, luego aplicada</x:v>
      </x:c>
      <x:c r="D55" s="35" t="str">
        <x:v>Desestimado; P24, P13</x:v>
      </x:c>
      <x:c r="E55" s="35" t="str">
        <x:v>La cancelación ofrece un contraejemplo; ausencia de pendiente no implica éxito.</x:v>
      </x:c>
      <x:c r="F55" s="35" t="str">
        <x:v>Adjudicación según contrato SV-AT</x:v>
      </x:c>
    </x:row>
    <x:row r="56" ht="43" customHeight="1">
      <x:c r="A56" s="35" t="str">
        <x:v>Candidato</x:v>
      </x:c>
      <x:c r="B56" s="35" t="str">
        <x:v>R32</x:v>
      </x:c>
      <x:c r="C56" s="35" t="str">
        <x:v>OT actualizado con reglas IT</x:v>
      </x:c>
      <x:c r="D56" s="35" t="str">
        <x:v>Fuera de alcance; CYO-14</x:v>
      </x:c>
      <x:c r="E56" s="35" t="str">
        <x:v>El proceso físico y su autoridad exigen otro universo; la frontera se declara.</x:v>
      </x:c>
      <x:c r="F56" s="35" t="str">
        <x:v>Adjudicación según contrato SV-AT</x:v>
      </x:c>
    </x:row>
    <x:row r="57" ht="47" customHeight="1">
      <x:c r="A57" s="35" t="str">
        <x:v>Candidato</x:v>
      </x:c>
      <x:c r="B57" s="35" t="str">
        <x:v>R33</x:v>
      </x:c>
      <x:c r="C57" s="35" t="str">
        <x:v>Modelo de IA robusto después de actualizar</x:v>
      </x:c>
      <x:c r="D57" s="35" t="str">
        <x:v>Fuera de alcance sustantivo; CYO-23; C09</x:v>
      </x:c>
      <x:c r="E57" s="35" t="str">
        <x:v>OP-CYB-001 puede seguir su artefacto de software; robustez, sesgo y privacidad necesitan criterios del universo de IA.</x:v>
      </x:c>
      <x:c r="F57" s="35" t="str">
        <x:v>Adjudicación según contrato SV-AT</x:v>
      </x:c>
    </x:row>
    <x:row r="58" ht="43" customHeight="1">
      <x:c r="A58" s="35" t="str">
        <x:v>Candidato</x:v>
      </x:c>
      <x:c r="B58" s="35" t="str">
        <x:v>R34</x:v>
      </x:c>
      <x:c r="C58" s="35" t="str">
        <x:v>Nuevo CVE obliga a cambiar automáticamente</x:v>
      </x:c>
      <x:c r="D58" s="35" t="str">
        <x:v>Desestimado; C14</x:v>
      </x:c>
      <x:c r="E58" s="35" t="str">
        <x:v>La adquisición externa no modifica por sí sola el conocimiento admitido.</x:v>
      </x:c>
      <x:c r="F58" s="35" t="str">
        <x:v>Adjudicación según contrato SV-AT</x:v>
      </x:c>
    </x:row>
    <x:row r="59" ht="43" customHeight="1">
      <x:c r="A59" s="35" t="str">
        <x:v>Candidato</x:v>
      </x:c>
      <x:c r="B59" s="35" t="str">
        <x:v>R35</x:v>
      </x:c>
      <x:c r="C59" s="35" t="str">
        <x:v>Puntuación única de seguridad</x:v>
      </x:c>
      <x:c r="D59" s="35" t="str">
        <x:v>Desestimado; C13</x:v>
      </x:c>
      <x:c r="E59" s="35" t="str">
        <x:v>Ocultaría incertidumbres, condiciones y consecuencias no compensables.</x:v>
      </x:c>
      <x:c r="F59" s="35" t="str">
        <x:v>Adjudicación según contrato SV-AT</x:v>
      </x:c>
    </x:row>
    <x:row r="60" ht="43" customHeight="1">
      <x:c r="A60" s="35" t="str">
        <x:v>Candidato</x:v>
      </x:c>
      <x:c r="B60" s="35" t="str">
        <x:v>R36</x:v>
      </x:c>
      <x:c r="C60" s="35" t="str">
        <x:v>Parámetro adicional para completar 25 posiciones</x:v>
      </x:c>
      <x:c r="D60" s="35" t="str">
        <x:v>Desestimado; Doctrina SV</x:v>
      </x:c>
      <x:c r="E60" s="35" t="str">
        <x:v>La geometría no crea una distinción profesional; no se añade relleno.</x:v>
      </x:c>
      <x:c r="F60" s="35" t="str">
        <x:v>Adjudicación según contrato SV-AT</x:v>
      </x:c>
    </x:row>
    <x:row r="61" ht="77" customHeight="1">
      <x:c r="A61" s="35" t="str">
        <x:v>Control</x:v>
      </x:c>
      <x:c r="B61" s="35" t="str">
        <x:v>C01</x:v>
      </x:c>
      <x:c r="C61" s="35" t="str">
        <x:v>Identidad y aplicabilidad</x:v>
      </x:c>
      <x:c r="D61" s="35" t="str">
        <x:v>Contexto, evidencia o gobierno</x:v>
      </x:c>
      <x:c r="E61" s="35" t="str">
        <x:v>Identificar activo, componente, vulnerabilidad, actualización, episodio y horizonte. Resolver por separado las condiciones del aviso aplicable: plataforma, arquitectura, versión, precursor y configuración. Si falta una condición decisiva, la aplicabilidad queda sin resolver. Una exclusión exige evidencia de que la regla no corresponde al caso. Contraejemplo: Nombre coincidente en otro equipo; paquete para otra arquitectura; condición desconocida.</x:v>
      </x:c>
      <x:c r="F61" s="35" t="str">
        <x:v>T001 §3.2; B03 §§3.3–3.6</x:v>
      </x:c>
    </x:row>
    <x:row r="62" ht="92" customHeight="1">
      <x:c r="A62" s="35" t="str">
        <x:v>Control</x:v>
      </x:c>
      <x:c r="B62" s="35" t="str">
        <x:v>C02</x:v>
      </x:c>
      <x:c r="C62" s="35" t="str">
        <x:v>Admisión de evidencia</x:v>
      </x:c>
      <x:c r="D62" s="35" t="str">
        <x:v>Contexto, evidencia o gobierno</x:v>
      </x:c>
      <x:c r="E62" s="35" t="str">
        <x:v>Conservar original, origen, productor, método, versión, permisos de observación, ámbito, instante, precisión, normalización y cadena de custodia. Verificar separadamente integridad, autenticidad y autorización. Conservar magnitudes exactas antes de conversión. Un defecto de admisión no se transforma en un estado del activo. Contraejemplo: Huella rehecha sobre evidencia falsificada; firma válida de autor no autorizado; lector sin permisos; tipo cambiado.</x:v>
      </x:c>
      <x:c r="F62" s="35" t="str">
        <x:v>T001 §2.3.1; F018 §7.4; B03 §§3.13, 3.15, 3.25</x:v>
      </x:c>
    </x:row>
    <x:row r="63" ht="77" customHeight="1">
      <x:c r="A63" s="35" t="str">
        <x:v>Control</x:v>
      </x:c>
      <x:c r="B63" s="35" t="str">
        <x:v>C03</x:v>
      </x:c>
      <x:c r="C63" s="35" t="str">
        <x:v>Correspondencia e interpretación de resultados</x:v>
      </x:c>
      <x:c r="D63" s="35" t="str">
        <x:v>Contexto, evidencia o gobierno</x:v>
      </x:c>
      <x:c r="E63" s="35" t="str">
        <x:v>Vincular cada resultado al intento y elemento originales. Conservar códigos y errores completos. Un éxito con errores exige analizar qué efectos se produjeron; no prueba éxito íntegro ni ausencia total de modificación. El fallo de instalación es un hecho distinto del fallo al observarla. Contraejemplo: Índice de otra colección; éxito agregado con elemento fallido; confusión entre error de operación y de lectura.</x:v>
      </x:c>
      <x:c r="F63" s="35" t="str">
        <x:v>T004–T006</x:v>
      </x:c>
    </x:row>
    <x:row r="64" ht="77" customHeight="1">
      <x:c r="A64" s="35" t="str">
        <x:v>Control</x:v>
      </x:c>
      <x:c r="B64" s="35" t="str">
        <x:v>C04</x:v>
      </x:c>
      <x:c r="C64" s="35" t="str">
        <x:v>Integridad de obligaciones</x:v>
      </x:c>
      <x:c r="D64" s="35" t="str">
        <x:v>Contexto, evidencia o gobierno</x:v>
      </x:c>
      <x:c r="E64" s="35" t="str">
        <x:v>Enumerar las obligaciones específicas y sus efectos exigidos. Cada obligación se asigna a una de las ocho clases y a estados de cumplimiento individualizados. Una lista vacía exige evidencia de que no existen acciones adicionales. Ninguna obligación pertinente queda sustituida por un texto genérico de suficiencia. Contraejemplo: Sólo se comprueba un efecto de una acción compuesta; lista vacía sin fuente; nueva clase añadida durante el consejo.</x:v>
      </x:c>
      <x:c r="F64" s="35" t="str">
        <x:v>T001 §2.3.2; B01 §3.3.2</x:v>
      </x:c>
    </x:row>
    <x:row r="65" ht="92" customHeight="1">
      <x:c r="A65" s="35" t="str">
        <x:v>Control</x:v>
      </x:c>
      <x:c r="B65" s="35" t="str">
        <x:v>C05</x:v>
      </x:c>
      <x:c r="C65" s="35" t="str">
        <x:v>Cobertura de sujetos y dependencias</x:v>
      </x:c>
      <x:c r="D65" s="35" t="str">
        <x:v>Contexto, evidencia o gobierno</x:v>
      </x:c>
      <x:c r="E65" s="35" t="str">
        <x:v>Conservar conjuntos finitos de componentes, consumidores, instancias y relaciones pertinentes. Recorrer las dependencias hasta que no aparezcan sujetos nuevos, conservando ciclos sin repetir nodos. Cada frontera externa identifica responsable, contrato y evidencia o insuficiencia. Un límite de búsqueda alcanzado no prueba cobertura. Contraejemplo: Segunda réplica omitida; recurso compartido sin titular; ciclo de dependencias; inventario vacío injustificado.</x:v>
      </x:c>
      <x:c r="F65" s="35" t="str">
        <x:v>T001 §3.2; B01 §3.3.3; B04 §3</x:v>
      </x:c>
    </x:row>
    <x:row r="66" ht="77" customHeight="1">
      <x:c r="A66" s="35" t="str">
        <x:v>Control</x:v>
      </x:c>
      <x:c r="B66" s="35" t="str">
        <x:v>C06</x:v>
      </x:c>
      <x:c r="C66" s="35" t="str">
        <x:v>Validez de la comprobación</x:v>
      </x:c>
      <x:c r="D66" s="35" t="str">
        <x:v>Contexto, evidencia o gobierno</x:v>
      </x:c>
      <x:c r="E66" s="35" t="str">
        <x:v>Fijar antes de probar el criterio unitario, su referencia, condiciones, observador, alcance y tolerancias justificadas. Contrastar casos que deben distinguirse y registrar falsos positivos y negativos. El resultado de una prueba no acredita por sí mismo la sensibilidad de su observador. Contraejemplo: Escáner sin acceso; versión detectada sin corrección íntegra; dos herramientas con igual limitación; criterio elegido después del resultado.</x:v>
      </x:c>
      <x:c r="F66" s="35" t="str">
        <x:v>F018 §§4.3, 6.5, 7.3; B08 §1; B09 §1</x:v>
      </x:c>
    </x:row>
    <x:row r="67" ht="92" customHeight="1">
      <x:c r="A67" s="35" t="str">
        <x:v>Control</x:v>
      </x:c>
      <x:c r="B67" s="35" t="str">
        <x:v>C07</x:v>
      </x:c>
      <x:c r="C67" s="35" t="str">
        <x:v>Vigencia y orden de los hechos</x:v>
      </x:c>
      <x:c r="D67" s="35" t="str">
        <x:v>Contexto, evidencia o gobierno</x:v>
      </x:c>
      <x:c r="E67" s="35" t="str">
        <x:v>Relacionar cada evidencia con sus objetos, condiciones e intervalo. Examinar cambios posteriores sólo en las dependencias que afectan al criterio. Conservar cambio y retorno. Una nueva escritura puede dejar fuera de alcance una sincronización anterior. Una comprobación posterior pertinente puede renovar la evidencia sin borrar la historia. Contraejemplo: Extremos iguales con cambio intermedio; sincronización de otra escritura; restauración fuera del ámbito de la prueba.</x:v>
      </x:c>
      <x:c r="F67" s="35" t="str">
        <x:v>T001 §2.3.4; B01 §§3.3.4, 3.4; B06</x:v>
      </x:c>
    </x:row>
    <x:row r="68" ht="77" customHeight="1">
      <x:c r="A68" s="35" t="str">
        <x:v>Control</x:v>
      </x:c>
      <x:c r="B68" s="35" t="str">
        <x:v>C08</x:v>
      </x:c>
      <x:c r="C68" s="35" t="str">
        <x:v>Impactos sobre servicios y datos</x:v>
      </x:c>
      <x:c r="D68" s="35" t="str">
        <x:v>Contexto, evidencia o gobierno</x:v>
      </x:c>
      <x:c r="E68" s="35" t="str">
        <x:v>Identificar funciones protegidas y consecuencias de indisponibilidad, degradación, pérdida de integridad o exposición. Separar datos observados, hipótesis y valoración humana. Un objetivo de recuperación no es una recuperación demostrada. Contraejemplo: Equipo barato del que depende un servicio de alto valor; impacto no monetizado convertido en cero.</x:v>
      </x:c>
      <x:c r="F68" s="35" t="str">
        <x:v>B01 §3.3.3; B10 §3.2</x:v>
      </x:c>
    </x:row>
    <x:row r="69" ht="77" customHeight="1">
      <x:c r="A69" s="35" t="str">
        <x:v>Control</x:v>
      </x:c>
      <x:c r="B69" s="35" t="str">
        <x:v>C09</x:v>
      </x:c>
      <x:c r="C69" s="35" t="str">
        <x:v>Comparación de alternativas</x:v>
      </x:c>
      <x:c r="D69" s="35" t="str">
        <x:v>Contexto, evidencia o gobierno</x:v>
      </x:c>
      <x:c r="E69" s="35" t="str">
        <x:v>Describir completar, aplazar con medidas, sustituir, aislar o recuperar cuando sean pertinentes. Comparar el efecto corrector, los perjuicios y los requisitos de cada opción. Una medida compensatoria o una aceptación de riesgo no se presenta como corrección realizada. Contraejemplo: Aislamiento tratado como parche aplicado; restauración propuesta sin conocer su capacidad o alcance.</x:v>
      </x:c>
      <x:c r="F69" s="35" t="str">
        <x:v>T001 §§3.3–3.5; B10 §§3.4, 4.3</x:v>
      </x:c>
    </x:row>
    <x:row r="70" ht="77" customHeight="1">
      <x:c r="A70" s="35" t="str">
        <x:v>Control</x:v>
      </x:c>
      <x:c r="B70" s="35" t="str">
        <x:v>C10</x:v>
      </x:c>
      <x:c r="C70" s="35" t="str">
        <x:v>Viabilidad temporal</x:v>
      </x:c>
      <x:c r="D70" s="35" t="str">
        <x:v>Contexto, evidencia o gobierno</x:v>
      </x:c>
      <x:c r="E70" s="35" t="str">
        <x:v>Declarar ventana, duración de actuación, validación y recuperación, con dependencias y márgenes justificados. Las estimaciones desconocidas se mantienen abiertas. Este análisis sólo se activa si el consejo contempla una actuación pendiente. Contraejemplo: Duración de reinicio considerada sin tiempo de recuperación; ventana disponible confundida con permiso.</x:v>
      </x:c>
      <x:c r="F70" s="35" t="str">
        <x:v>B10 §3.2; B01 §3.3.2</x:v>
      </x:c>
    </x:row>
    <x:row r="71" ht="77" customHeight="1">
      <x:c r="A71" s="35" t="str">
        <x:v>Control</x:v>
      </x:c>
      <x:c r="B71" s="35" t="str">
        <x:v>C11</x:v>
      </x:c>
      <x:c r="C71" s="35" t="str">
        <x:v>Autoridad concreta</x:v>
      </x:c>
      <x:c r="D71" s="35" t="str">
        <x:v>Contexto, evidencia o gobierno</x:v>
      </x:c>
      <x:c r="E71" s="35" t="str">
        <x:v>Identificar responsable, acto autorizado, objeto, alcance temporal y restricciones. El consejo no crea autorización. La revocación o caducidad de un permiso impide tratarlo como vigente. La admisión del conocimiento corresponde a la autoridad humana competente del proyecto. Contraejemplo: Permiso para otro activo; autorización vencida; IA que se concede una excepción.</x:v>
      </x:c>
      <x:c r="F71" s="35" t="str">
        <x:v>B01 §§3.3.1–3.3.2; SV-IN y mandato humano posterior</x:v>
      </x:c>
    </x:row>
    <x:row r="72" ht="77" customHeight="1">
      <x:c r="A72" s="35" t="str">
        <x:v>Control</x:v>
      </x:c>
      <x:c r="B72" s="35" t="str">
        <x:v>C12</x:v>
      </x:c>
      <x:c r="C72" s="35" t="str">
        <x:v>Proporcionalidad de coste y valor</x:v>
      </x:c>
      <x:c r="D72" s="35" t="str">
        <x:v>Contexto, evidencia o gobierno</x:v>
      </x:c>
      <x:c r="E72" s="35" t="str">
        <x:v>Comparar costes totales pertinentes y valor del servicio protegido en un mismo horizonte y con unidades compatibles. Evitar doble cómputo y probabilidades inventadas. Conservar perjuicios no monetizados. Presentar al experto alternativas no ordenables con la evidencia disponible. Contraejemplo: Coste de seguridad comparado sólo con precio del equipo; suma de pérdidas que representan el mismo perjuicio.</x:v>
      </x:c>
      <x:c r="F72" s="35" t="str">
        <x:v>R035; T001 §3.1; B10 §3.2; principio del Director</x:v>
      </x:c>
    </x:row>
    <x:row r="73" ht="77" customHeight="1">
      <x:c r="A73" s="35" t="str">
        <x:v>Control</x:v>
      </x:c>
      <x:c r="B73" s="35" t="str">
        <x:v>C13</x:v>
      </x:c>
      <x:c r="C73" s="35" t="str">
        <x:v>Dictamen explicado</x:v>
      </x:c>
      <x:c r="D73" s="35" t="str">
        <x:v>Contexto, evidencia o gobierno</x:v>
      </x:c>
      <x:c r="E73" s="35" t="str">
        <x:v>Conservar la cadena entre pregunta, fuente, regla, observación, estado, relación, incertidumbre y consecuencia. Identificar el destinatario responsable y el alcance de suficiencia. Un fallo técnico produce registro técnico, sin salida alternativa del dominio. No denominar Frame a un informe sin representación SV constituida. Contraejemplo: Conclusión sin relación causal declarada; suma de estados heterogéneos; incertidumbre omitida.</x:v>
      </x:c>
      <x:c r="F73" s="35" t="str">
        <x:v>SV-IN; SV-AT</x:v>
      </x:c>
    </x:row>
    <x:row r="74" ht="77" customHeight="1">
      <x:c r="A74" s="35" t="str">
        <x:v>Control</x:v>
      </x:c>
      <x:c r="B74" s="35" t="str">
        <x:v>C14</x:v>
      </x:c>
      <x:c r="C74" s="35" t="str">
        <x:v>Control de versiones del conocimiento</x:v>
      </x:c>
      <x:c r="D74" s="35" t="str">
        <x:v>Contexto, evidencia o gobierno</x:v>
      </x:c>
      <x:c r="E74" s="35" t="str">
        <x:v>Fijar las fuentes y reglas antes de cada evaluación. Adquirir novedades en una actividad separada y someter su admisión a decisión humana. Los cambios de catálogos externos pueden exigir revisión, pero no sustituyen automáticamente el conocimiento ni añaden valores a Tri. Contraejemplo: Uso de latest; cambio de CVE equiparado a técnica retirada de otro catálogo; actualización silenciosa de criterio.</x:v>
      </x:c>
      <x:c r="F74" s="35" t="str">
        <x:v>SV-IN §§5.4–5.5; mandato del Director</x:v>
      </x:c>
    </x:row>
    <x:row r="75" ht="43" customHeight="1">
      <x:c r="A75" s="35" t="str">
        <x:v>Distinción</x:v>
      </x:c>
      <x:c r="B75" s="35" t="str">
        <x:v>QCY-01-D1</x:v>
      </x:c>
      <x:c r="C75" s="35" t="str">
        <x:v>Identidad del activo</x:v>
      </x:c>
      <x:c r="D75" s="35" t="str">
        <x:v>C01</x:v>
      </x:c>
      <x:c r="E75" s="35" t="str">
        <x:v>Identidad antecedente conservada y resolución actual individualizada.</x:v>
      </x:c>
      <x:c r="F75" s="35" t="str">
        <x:v>Manifiesto antecedente; revisión v0.2</x:v>
      </x:c>
    </x:row>
    <x:row r="76" ht="43" customHeight="1">
      <x:c r="A76" s="35" t="str">
        <x:v>Distinción</x:v>
      </x:c>
      <x:c r="B76" s="35" t="str">
        <x:v>QCY-01-D2</x:v>
      </x:c>
      <x:c r="C76" s="35" t="str">
        <x:v>Componente y configuración</x:v>
      </x:c>
      <x:c r="D76" s="35" t="str">
        <x:v>C01, C05; P06, P12, P13, P16</x:v>
      </x:c>
      <x:c r="E76" s="35" t="str">
        <x:v>Identidad antecedente conservada y resolución actual individualizada.</x:v>
      </x:c>
      <x:c r="F76" s="35" t="str">
        <x:v>Manifiesto antecedente; revisión v0.2</x:v>
      </x:c>
    </x:row>
    <x:row r="77" ht="43" customHeight="1">
      <x:c r="A77" s="35" t="str">
        <x:v>Distinción</x:v>
      </x:c>
      <x:c r="B77" s="35" t="str">
        <x:v>QCY-01-D3</x:v>
      </x:c>
      <x:c r="C77" s="35" t="str">
        <x:v>Referencia de vulnerabilidad</x:v>
      </x:c>
      <x:c r="D77" s="35" t="str">
        <x:v>C01, C14</x:v>
      </x:c>
      <x:c r="E77" s="35" t="str">
        <x:v>Identidad antecedente conservada y resolución actual individualizada.</x:v>
      </x:c>
      <x:c r="F77" s="35" t="str">
        <x:v>Manifiesto antecedente; revisión v0.2</x:v>
      </x:c>
    </x:row>
    <x:row r="78" ht="43" customHeight="1">
      <x:c r="A78" s="35" t="str">
        <x:v>Distinción</x:v>
      </x:c>
      <x:c r="B78" s="35" t="str">
        <x:v>QCY-01-D4</x:v>
      </x:c>
      <x:c r="C78" s="35" t="str">
        <x:v>Aplicabilidad de la actualización</x:v>
      </x:c>
      <x:c r="D78" s="35" t="str">
        <x:v>C01, C02</x:v>
      </x:c>
      <x:c r="E78" s="35" t="str">
        <x:v>Identidad antecedente conservada y resolución actual individualizada.</x:v>
      </x:c>
      <x:c r="F78" s="35" t="str">
        <x:v>Manifiesto antecedente; revisión v0.2</x:v>
      </x:c>
    </x:row>
    <x:row r="79" ht="43" customHeight="1">
      <x:c r="A79" s="35" t="str">
        <x:v>Distinción</x:v>
      </x:c>
      <x:c r="B79" s="35" t="str">
        <x:v>QCY-02-D1</x:v>
      </x:c>
      <x:c r="C79" s="35" t="str">
        <x:v>Identidad del episodio</x:v>
      </x:c>
      <x:c r="D79" s="35" t="str">
        <x:v>C01, C03, C07</x:v>
      </x:c>
      <x:c r="E79" s="35" t="str">
        <x:v>Identidad antecedente conservada y resolución actual individualizada.</x:v>
      </x:c>
      <x:c r="F79" s="35" t="str">
        <x:v>Manifiesto antecedente; revisión v0.2</x:v>
      </x:c>
    </x:row>
    <x:row r="80" ht="43" customHeight="1">
      <x:c r="A80" s="35" t="str">
        <x:v>Distinción</x:v>
      </x:c>
      <x:c r="B80" s="35" t="str">
        <x:v>QCY-02-D2</x:v>
      </x:c>
      <x:c r="C80" s="35" t="str">
        <x:v>Integridad de la evidencia</x:v>
      </x:c>
      <x:c r="D80" s="35" t="str">
        <x:v>C02</x:v>
      </x:c>
      <x:c r="E80" s="35" t="str">
        <x:v>Identidad antecedente conservada y resolución actual individualizada.</x:v>
      </x:c>
      <x:c r="F80" s="35" t="str">
        <x:v>Manifiesto antecedente; revisión v0.2</x:v>
      </x:c>
    </x:row>
    <x:row r="81" ht="43" customHeight="1">
      <x:c r="A81" s="35" t="str">
        <x:v>Distinción</x:v>
      </x:c>
      <x:c r="B81" s="35" t="str">
        <x:v>QCY-02-D3</x:v>
      </x:c>
      <x:c r="C81" s="35" t="str">
        <x:v>Procedencia y admisión</x:v>
      </x:c>
      <x:c r="D81" s="35" t="str">
        <x:v>C02, C11, C14</x:v>
      </x:c>
      <x:c r="E81" s="35" t="str">
        <x:v>Identidad antecedente conservada y resolución actual individualizada.</x:v>
      </x:c>
      <x:c r="F81" s="35" t="str">
        <x:v>Manifiesto antecedente; revisión v0.2</x:v>
      </x:c>
    </x:row>
    <x:row r="82" ht="43" customHeight="1">
      <x:c r="A82" s="35" t="str">
        <x:v>Distinción</x:v>
      </x:c>
      <x:c r="B82" s="35" t="str">
        <x:v>QCY-03-D1</x:v>
      </x:c>
      <x:c r="C82" s="35" t="str">
        <x:v>Operación individual</x:v>
      </x:c>
      <x:c r="D82" s="35" t="str">
        <x:v>C03</x:v>
      </x:c>
      <x:c r="E82" s="35" t="str">
        <x:v>Identidad antecedente conservada y resolución actual individualizada.</x:v>
      </x:c>
      <x:c r="F82" s="35" t="str">
        <x:v>Manifiesto antecedente; revisión v0.2</x:v>
      </x:c>
    </x:row>
    <x:row r="83" ht="43" customHeight="1">
      <x:c r="A83" s="35" t="str">
        <x:v>Distinción</x:v>
      </x:c>
      <x:c r="B83" s="35" t="str">
        <x:v>QCY-03-D2</x:v>
      </x:c>
      <x:c r="C83" s="35" t="str">
        <x:v>Resultado terminal comunicado</x:v>
      </x:c>
      <x:c r="D83" s="35" t="str">
        <x:v>P02; C03</x:v>
      </x:c>
      <x:c r="E83" s="35" t="str">
        <x:v>Identidad antecedente conservada y resolución actual individualizada.</x:v>
      </x:c>
      <x:c r="F83" s="35" t="str">
        <x:v>Manifiesto antecedente; revisión v0.2</x:v>
      </x:c>
    </x:row>
    <x:row r="84" ht="43" customHeight="1">
      <x:c r="A84" s="35" t="str">
        <x:v>Distinción</x:v>
      </x:c>
      <x:c r="B84" s="35" t="str">
        <x:v>QCY-03-D3</x:v>
      </x:c>
      <x:c r="C84" s="35" t="str">
        <x:v>Errores asociados</x:v>
      </x:c>
      <x:c r="D84" s="35" t="str">
        <x:v>C03; P07 por criterio afectado</x:v>
      </x:c>
      <x:c r="E84" s="35" t="str">
        <x:v>Identidad antecedente conservada y resolución actual individualizada.</x:v>
      </x:c>
      <x:c r="F84" s="35" t="str">
        <x:v>Manifiesto antecedente; revisión v0.2</x:v>
      </x:c>
    </x:row>
    <x:row r="85" ht="43" customHeight="1">
      <x:c r="A85" s="35" t="str">
        <x:v>Distinción</x:v>
      </x:c>
      <x:c r="B85" s="35" t="str">
        <x:v>QCY-04-D1</x:v>
      </x:c>
      <x:c r="C85" s="35" t="str">
        <x:v>Necesidad de reinicio del sistema</x:v>
      </x:c>
      <x:c r="D85" s="35" t="str">
        <x:v>P01</x:v>
      </x:c>
      <x:c r="E85" s="35" t="str">
        <x:v>Identidad antecedente conservada y resolución actual individualizada.</x:v>
      </x:c>
      <x:c r="F85" s="35" t="str">
        <x:v>Manifiesto antecedente; revisión v0.2</x:v>
      </x:c>
    </x:row>
    <x:row r="86" ht="43" customHeight="1">
      <x:c r="A86" s="35" t="str">
        <x:v>Distinción</x:v>
      </x:c>
      <x:c r="B86" s="35" t="str">
        <x:v>QCY-04-D2</x:v>
      </x:c>
      <x:c r="C86" s="35" t="str">
        <x:v>Reinicio íntegro realizado</x:v>
      </x:c>
      <x:c r="D86" s="35" t="str">
        <x:v>P03</x:v>
      </x:c>
      <x:c r="E86" s="35" t="str">
        <x:v>Identidad antecedente conservada y resolución actual individualizada.</x:v>
      </x:c>
      <x:c r="F86" s="35" t="str">
        <x:v>Manifiesto antecedente; revisión v0.2</x:v>
      </x:c>
    </x:row>
    <x:row r="87" ht="43" customHeight="1">
      <x:c r="A87" s="35" t="str">
        <x:v>Distinción</x:v>
      </x:c>
      <x:c r="B87" s="35" t="str">
        <x:v>QCY-04-D3</x:v>
      </x:c>
      <x:c r="C87" s="35" t="str">
        <x:v>Otros cambios requeridos</x:v>
      </x:c>
      <x:c r="D87" s="35" t="str">
        <x:v>P04, P15; C04; AC01–AC08</x:v>
      </x:c>
      <x:c r="E87" s="35" t="str">
        <x:v>Identidad antecedente conservada y resolución actual individualizada.</x:v>
      </x:c>
      <x:c r="F87" s="35" t="str">
        <x:v>Manifiesto antecedente; revisión v0.2</x:v>
      </x:c>
    </x:row>
    <x:row r="88" ht="43" customHeight="1">
      <x:c r="A88" s="35" t="str">
        <x:v>Distinción</x:v>
      </x:c>
      <x:c r="B88" s="35" t="str">
        <x:v>QCY-04-D4</x:v>
      </x:c>
      <x:c r="C88" s="35" t="str">
        <x:v>Cumplimiento de los cambios</x:v>
      </x:c>
      <x:c r="D88" s="35" t="str">
        <x:v>P05, P06, P07, P11–P13, P16–P24; C04, C05</x:v>
      </x:c>
      <x:c r="E88" s="35" t="str">
        <x:v>Identidad antecedente conservada y resolución actual individualizada.</x:v>
      </x:c>
      <x:c r="F88" s="35" t="str">
        <x:v>Manifiesto antecedente; revisión v0.2</x:v>
      </x:c>
    </x:row>
    <x:row r="89" ht="43" customHeight="1">
      <x:c r="A89" s="35" t="str">
        <x:v>Distinción</x:v>
      </x:c>
      <x:c r="B89" s="35" t="str">
        <x:v>QCY-05-D1</x:v>
      </x:c>
      <x:c r="C89" s="35" t="str">
        <x:v>Criterio de comprobación</x:v>
      </x:c>
      <x:c r="D89" s="35" t="str">
        <x:v>C06</x:v>
      </x:c>
      <x:c r="E89" s="35" t="str">
        <x:v>Identidad antecedente conservada y resolución actual individualizada.</x:v>
      </x:c>
      <x:c r="F89" s="35" t="str">
        <x:v>Manifiesto antecedente; revisión v0.2</x:v>
      </x:c>
    </x:row>
    <x:row r="90" ht="43" customHeight="1">
      <x:c r="A90" s="35" t="str">
        <x:v>Distinción</x:v>
      </x:c>
      <x:c r="B90" s="35" t="str">
        <x:v>QCY-05-D2</x:v>
      </x:c>
      <x:c r="C90" s="35" t="str">
        <x:v>Estado utilizado y estados relacionados</x:v>
      </x:c>
      <x:c r="D90" s="35" t="str">
        <x:v>P06, P12, P13, P16–P24; C05, C07</x:v>
      </x:c>
      <x:c r="E90" s="35" t="str">
        <x:v>Identidad antecedente conservada y resolución actual individualizada.</x:v>
      </x:c>
      <x:c r="F90" s="35" t="str">
        <x:v>Manifiesto antecedente; revisión v0.2</x:v>
      </x:c>
    </x:row>
    <x:row r="91" ht="43" customHeight="1">
      <x:c r="A91" s="35" t="str">
        <x:v>Distinción</x:v>
      </x:c>
      <x:c r="B91" s="35" t="str">
        <x:v>QCY-05-D3</x:v>
      </x:c>
      <x:c r="C91" s="35" t="str">
        <x:v>Resultado de la comprobación</x:v>
      </x:c>
      <x:c r="D91" s="35" t="str">
        <x:v>P07; C06</x:v>
      </x:c>
      <x:c r="E91" s="35" t="str">
        <x:v>Identidad antecedente conservada y resolución actual individualizada.</x:v>
      </x:c>
      <x:c r="F91" s="35" t="str">
        <x:v>Manifiesto antecedente; revisión v0.2</x:v>
      </x:c>
    </x:row>
    <x:row r="92" ht="43" customHeight="1">
      <x:c r="A92" s="35" t="str">
        <x:v>Distinción</x:v>
      </x:c>
      <x:c r="B92" s="35" t="str">
        <x:v>QCY-06-D1</x:v>
      </x:c>
      <x:c r="C92" s="35" t="str">
        <x:v>Servicio afectado</x:v>
      </x:c>
      <x:c r="D92" s="35" t="str">
        <x:v>C05, C08</x:v>
      </x:c>
      <x:c r="E92" s="35" t="str">
        <x:v>Identidad antecedente conservada y resolución actual individualizada.</x:v>
      </x:c>
      <x:c r="F92" s="35" t="str">
        <x:v>Manifiesto antecedente; revisión v0.2</x:v>
      </x:c>
    </x:row>
    <x:row r="93" ht="43" customHeight="1">
      <x:c r="A93" s="35" t="str">
        <x:v>Distinción</x:v>
      </x:c>
      <x:c r="B93" s="35" t="str">
        <x:v>QCY-06-D2</x:v>
      </x:c>
      <x:c r="C93" s="35" t="str">
        <x:v>Dependencias</x:v>
      </x:c>
      <x:c r="D93" s="35" t="str">
        <x:v>C05; P20 por relación pertinente</x:v>
      </x:c>
      <x:c r="E93" s="35" t="str">
        <x:v>Identidad antecedente conservada y resolución actual individualizada.</x:v>
      </x:c>
      <x:c r="F93" s="35" t="str">
        <x:v>Manifiesto antecedente; revisión v0.2</x:v>
      </x:c>
    </x:row>
    <x:row r="94" ht="43" customHeight="1">
      <x:c r="A94" s="35" t="str">
        <x:v>Distinción</x:v>
      </x:c>
      <x:c r="B94" s="35" t="str">
        <x:v>QCY-06-D3</x:v>
      </x:c>
      <x:c r="C94" s="35" t="str">
        <x:v>Consecuencias de interrupción</x:v>
      </x:c>
      <x:c r="D94" s="35" t="str">
        <x:v>C08, C10, C12</x:v>
      </x:c>
      <x:c r="E94" s="35" t="str">
        <x:v>Identidad antecedente conservada y resolución actual individualizada.</x:v>
      </x:c>
      <x:c r="F94" s="35" t="str">
        <x:v>Manifiesto antecedente; revisión v0.2</x:v>
      </x:c>
    </x:row>
    <x:row r="95" ht="43" customHeight="1">
      <x:c r="A95" s="35" t="str">
        <x:v>Distinción</x:v>
      </x:c>
      <x:c r="B95" s="35" t="str">
        <x:v>QCY-07-D1</x:v>
      </x:c>
      <x:c r="C95" s="35" t="str">
        <x:v>Alternativas</x:v>
      </x:c>
      <x:c r="D95" s="35" t="str">
        <x:v>C09</x:v>
      </x:c>
      <x:c r="E95" s="35" t="str">
        <x:v>Identidad antecedente conservada y resolución actual individualizada.</x:v>
      </x:c>
      <x:c r="F95" s="35" t="str">
        <x:v>Manifiesto antecedente; revisión v0.2</x:v>
      </x:c>
    </x:row>
    <x:row r="96" ht="43" customHeight="1">
      <x:c r="A96" s="35" t="str">
        <x:v>Distinción</x:v>
      </x:c>
      <x:c r="B96" s="35" t="str">
        <x:v>QCY-07-D2</x:v>
      </x:c>
      <x:c r="C96" s="35" t="str">
        <x:v>Ventana temporal</x:v>
      </x:c>
      <x:c r="D96" s="35" t="str">
        <x:v>C10</x:v>
      </x:c>
      <x:c r="E96" s="35" t="str">
        <x:v>Identidad antecedente conservada y resolución actual individualizada.</x:v>
      </x:c>
      <x:c r="F96" s="35" t="str">
        <x:v>Manifiesto antecedente; revisión v0.2</x:v>
      </x:c>
    </x:row>
    <x:row r="97" ht="43" customHeight="1">
      <x:c r="A97" s="35" t="str">
        <x:v>Distinción</x:v>
      </x:c>
      <x:c r="B97" s="35" t="str">
        <x:v>QCY-07-D3</x:v>
      </x:c>
      <x:c r="C97" s="35" t="str">
        <x:v>Autoridad para actuar</x:v>
      </x:c>
      <x:c r="D97" s="35" t="str">
        <x:v>C11</x:v>
      </x:c>
      <x:c r="E97" s="35" t="str">
        <x:v>Identidad antecedente conservada y resolución actual individualizada.</x:v>
      </x:c>
      <x:c r="F97" s="35" t="str">
        <x:v>Manifiesto antecedente; revisión v0.2</x:v>
      </x:c>
    </x:row>
    <x:row r="98" ht="43" customHeight="1">
      <x:c r="A98" s="35" t="str">
        <x:v>Distinción</x:v>
      </x:c>
      <x:c r="B98" s="35" t="str">
        <x:v>QCY-07-D4</x:v>
      </x:c>
      <x:c r="C98" s="35" t="str">
        <x:v>Balance de coste y valor</x:v>
      </x:c>
      <x:c r="D98" s="35" t="str">
        <x:v>C08, C12</x:v>
      </x:c>
      <x:c r="E98" s="35" t="str">
        <x:v>Identidad antecedente conservada y resolución actual individualizada.</x:v>
      </x:c>
      <x:c r="F98" s="35" t="str">
        <x:v>Manifiesto antecedente; revisión v0.2</x:v>
      </x:c>
    </x:row>
    <x:row r="99" ht="43" customHeight="1">
      <x:c r="A99" s="35" t="str">
        <x:v>Distinción</x:v>
      </x:c>
      <x:c r="B99" s="35" t="str">
        <x:v>QCY-08-D1</x:v>
      </x:c>
      <x:c r="C99" s="35" t="str">
        <x:v>Retirada y reversión</x:v>
      </x:c>
      <x:c r="D99" s="35" t="str">
        <x:v>P08; P06, P13, P18, P19 según mecanismo; C07</x:v>
      </x:c>
      <x:c r="E99" s="35" t="str">
        <x:v>Identidad antecedente conservada y resolución actual individualizada.</x:v>
      </x:c>
      <x:c r="F99" s="35" t="str">
        <x:v>Manifiesto antecedente; revisión v0.2</x:v>
      </x:c>
    </x:row>
    <x:row r="100" ht="43" customHeight="1">
      <x:c r="A100" s="35" t="str">
        <x:v>Distinción</x:v>
      </x:c>
      <x:c r="B100" s="35" t="str">
        <x:v>QCY-08-D2</x:v>
      </x:c>
      <x:c r="C100" s="35" t="str">
        <x:v>Cambio posterior de componente</x:v>
      </x:c>
      <x:c r="D100" s="35" t="str">
        <x:v>P09, P14; C07</x:v>
      </x:c>
      <x:c r="E100" s="35" t="str">
        <x:v>Identidad antecedente conservada y resolución actual individualizada.</x:v>
      </x:c>
      <x:c r="F100" s="35" t="str">
        <x:v>Manifiesto antecedente; revisión v0.2</x:v>
      </x:c>
    </x:row>
    <x:row r="101" ht="43" customHeight="1">
      <x:c r="A101" s="35" t="str">
        <x:v>Distinción</x:v>
      </x:c>
      <x:c r="B101" s="35" t="str">
        <x:v>QCY-08-D3</x:v>
      </x:c>
      <x:c r="C101" s="35" t="str">
        <x:v>Restauración anterior</x:v>
      </x:c>
      <x:c r="D101" s="35" t="str">
        <x:v>P10; C07, C09</x:v>
      </x:c>
      <x:c r="E101" s="35" t="str">
        <x:v>Identidad antecedente conservada y resolución actual individualizada.</x:v>
      </x:c>
      <x:c r="F101" s="35" t="str">
        <x:v>Manifiesto antecedente; revisión v0.2</x:v>
      </x:c>
    </x:row>
    <x:row r="102" ht="43" customHeight="1">
      <x:c r="A102" s="35" t="str">
        <x:v>Distinción</x:v>
      </x:c>
      <x:c r="B102" s="35" t="str">
        <x:v>QCY-09-D1</x:v>
      </x:c>
      <x:c r="C102" s="35" t="str">
        <x:v>Cobertura de dependencias</x:v>
      </x:c>
      <x:c r="D102" s="35" t="str">
        <x:v>C05</x:v>
      </x:c>
      <x:c r="E102" s="35" t="str">
        <x:v>Identidad antecedente conservada y resolución actual individualizada.</x:v>
      </x:c>
      <x:c r="F102" s="35" t="str">
        <x:v>Manifiesto antecedente; revisión v0.2</x:v>
      </x:c>
    </x:row>
    <x:row r="103" ht="43" customHeight="1">
      <x:c r="A103" s="35" t="str">
        <x:v>Distinción</x:v>
      </x:c>
      <x:c r="B103" s="35" t="str">
        <x:v>QCY-09-D2</x:v>
      </x:c>
      <x:c r="C103" s="35" t="str">
        <x:v>Incertidumbres</x:v>
      </x:c>
      <x:c r="D103" s="35" t="str">
        <x:v>U propia de cada parámetro; C02, C06, C13</x:v>
      </x:c>
      <x:c r="E103" s="35" t="str">
        <x:v>Identidad antecedente conservada y resolución actual individualizada.</x:v>
      </x:c>
      <x:c r="F103" s="35" t="str">
        <x:v>Manifiesto antecedente; revisión v0.2</x:v>
      </x:c>
    </x:row>
    <x:row r="104" ht="43" customHeight="1">
      <x:c r="A104" s="35" t="str">
        <x:v>Distinción</x:v>
      </x:c>
      <x:c r="B104" s="35" t="str">
        <x:v>QCY-09-D3</x:v>
      </x:c>
      <x:c r="C104" s="35" t="str">
        <x:v>Justificación del consejo</x:v>
      </x:c>
      <x:c r="D104" s="35" t="str">
        <x:v>C13, C14</x:v>
      </x:c>
      <x:c r="E104" s="35" t="str">
        <x:v>Identidad antecedente conservada y resolución actual individualizada.</x:v>
      </x:c>
      <x:c r="F104" s="35" t="str">
        <x:v>Manifiesto antecedente; revisión v0.2</x:v>
      </x:c>
    </x:row>
    <x:row r="105" ht="43" customHeight="1">
      <x:c r="A105" s="35" t="str">
        <x:v>Distinción</x:v>
      </x:c>
      <x:c r="B105" s="35" t="str">
        <x:v>QCY-09-D4</x:v>
      </x:c>
      <x:c r="C105" s="35" t="str">
        <x:v>Destinatario responsable</x:v>
      </x:c>
      <x:c r="D105" s="35" t="str">
        <x:v>C11, C13</x:v>
      </x:c>
      <x:c r="E105" s="35" t="str">
        <x:v>Identidad antecedente conservada y resolución actual individualizada.</x:v>
      </x:c>
      <x:c r="F105" s="35" t="str">
        <x:v>Manifiesto antecedente; revisión v0.2</x:v>
      </x:c>
    </x:row>
    <x:row r="106" ht="43" customHeight="1">
      <x:c r="A106" s="35" t="str">
        <x:v>Clase de acción</x:v>
      </x:c>
      <x:c r="B106" s="35" t="str">
        <x:v>AC01</x:v>
      </x:c>
      <x:c r="C106" s="35" t="str">
        <x:v>Reinicio del sistema</x:v>
      </x:c>
      <x:c r="D106" s="35" t="str">
        <x:v>P01; P03; P06 cuando corresponda</x:v>
      </x:c>
      <x:c r="E106" s="35" t="str">
        <x:v>Un reinicio solicitado no es un reinicio completado.</x:v>
      </x:c>
      <x:c r="F106" s="35" t="str">
        <x:v>T001 §2.3.2; perfiles citados en los parámetros</x:v>
      </x:c>
    </x:row>
    <x:row r="107" ht="43" customHeight="1">
      <x:c r="A107" s="35" t="str">
        <x:v>Clase de acción</x:v>
      </x:c>
      <x:c r="B107" s="35" t="str">
        <x:v>AC02</x:v>
      </x:c>
      <x:c r="C107" s="35" t="str">
        <x:v>Reinicio de un programa</x:v>
      </x:c>
      <x:c r="D107" s="35" t="str">
        <x:v>P04; P05, P11, P17, P06, P20 y P07 por función exigida</x:v>
      </x:c>
      <x:c r="E107" s="35" t="str">
        <x:v>No se exige detener consumidores ajenos al programa.</x:v>
      </x:c>
      <x:c r="F107" s="35" t="str">
        <x:v>T001 §2.3.2; perfiles citados en los parámetros</x:v>
      </x:c>
    </x:row>
    <x:row r="108" ht="43" customHeight="1">
      <x:c r="A108" s="35" t="str">
        <x:v>Clase de acción</x:v>
      </x:c>
      <x:c r="B108" s="35" t="str">
        <x:v>AC03</x:v>
      </x:c>
      <x:c r="C108" s="35" t="str">
        <x:v>Modificación de configuración</x:v>
      </x:c>
      <x:c r="D108" s="35" t="str">
        <x:v>P15; P12, P16, P14; P07 por efecto requerido</x:v>
      </x:c>
      <x:c r="E108" s="35" t="str">
        <x:v>Una clave por estado y ámbito.</x:v>
      </x:c>
      <x:c r="F108" s="35" t="str">
        <x:v>T001 §2.3.2; perfiles citados en los parámetros</x:v>
      </x:c>
    </x:row>
    <x:row r="109" ht="43" customHeight="1">
      <x:c r="A109" s="35" t="str">
        <x:v>Clase de acción</x:v>
      </x:c>
      <x:c r="B109" s="35" t="str">
        <x:v>AC04</x:v>
      </x:c>
      <x:c r="C109" s="35" t="str">
        <x:v>Sustitución o despliegue de artefacto</x:v>
      </x:c>
      <x:c r="D109" s="35" t="str">
        <x:v>P15; P13, P06, P22, P23; C05 para instancias</x:v>
      </x:c>
      <x:c r="E109" s="35" t="str">
        <x:v>La carga y la durabilidad no se deducen de una ruta de archivo.</x:v>
      </x:c>
      <x:c r="F109" s="35" t="str">
        <x:v>T001 §2.3.2; perfiles citados en los parámetros</x:v>
      </x:c>
    </x:row>
    <x:row r="110" ht="43" customHeight="1">
      <x:c r="A110" s="35" t="str">
        <x:v>Clase de acción</x:v>
      </x:c>
      <x:c r="B110" s="35" t="str">
        <x:v>AC05</x:v>
      </x:c>
      <x:c r="C110" s="35" t="str">
        <x:v>Aplicación de parche durante la ejecución</x:v>
      </x:c>
      <x:c r="D110" s="35" t="str">
        <x:v>P15; P18, P19, P20, P21; P07 por condición correctora</x:v>
      </x:c>
      <x:c r="E110" s="35" t="str">
        <x:v>La cobertura de tareas y el estado compartido se comprueban separadamente.</x:v>
      </x:c>
      <x:c r="F110" s="35" t="str">
        <x:v>T001 §2.3.2; perfiles citados en los parámetros</x:v>
      </x:c>
    </x:row>
    <x:row r="111" ht="43" customHeight="1">
      <x:c r="A111" s="35" t="str">
        <x:v>Clase de acción</x:v>
      </x:c>
      <x:c r="B111" s="35" t="str">
        <x:v>AC06</x:v>
      </x:c>
      <x:c r="C111" s="35" t="str">
        <x:v>Operación diferida de archivo</x:v>
      </x:c>
      <x:c r="D111" s="35" t="str">
        <x:v>P15; P24, P13, P23 y la condición de ejecución pertinente</x:v>
      </x:c>
      <x:c r="E111" s="35" t="str">
        <x:v>Ausencia de pendiente no acredita que la operación terminase con éxito.</x:v>
      </x:c>
      <x:c r="F111" s="35" t="str">
        <x:v>T001 §2.3.2; perfiles citados en los parámetros</x:v>
      </x:c>
    </x:row>
    <x:row r="112" ht="47" customHeight="1">
      <x:c r="A112" s="35" t="str">
        <x:v>Clase de acción</x:v>
      </x:c>
      <x:c r="B112" s="35" t="str">
        <x:v>AC07</x:v>
      </x:c>
      <x:c r="C112" s="35" t="str">
        <x:v>Actualización de estado derivado o compartido</x:v>
      </x:c>
      <x:c r="D112" s="35" t="str">
        <x:v>P15; P20, P21 y P07 por cada invariante funcional</x:v>
      </x:c>
      <x:c r="E112" s="35" t="str">
        <x:v>No se oculta una nueva clase de estado en un resultado global; las variables de configuración se asignan a P12/P16.</x:v>
      </x:c>
      <x:c r="F112" s="35" t="str">
        <x:v>T001 §2.3.2; perfiles citados en los parámetros</x:v>
      </x:c>
    </x:row>
    <x:row r="113" ht="43" customHeight="1">
      <x:c r="A113" s="35" t="str">
        <x:v>Clase de acción</x:v>
      </x:c>
      <x:c r="B113" s="35" t="str">
        <x:v>AC08</x:v>
      </x:c>
      <x:c r="C113" s="35" t="str">
        <x:v>Activación de imagen de firmware</x:v>
      </x:c>
      <x:c r="D113" s="35" t="str">
        <x:v>P15; P13, P22, P06; P07 por compatibilidad y efecto requeridos</x:v>
      </x:c>
      <x:c r="E113" s="35" t="str">
        <x:v>Perfil específico del dispositivo; una imagen descargada no acredita su activación.</x:v>
      </x:c>
      <x:c r="F113" s="35" t="str">
        <x:v>T001 §2.3.2; perfiles citados en los parámetros</x:v>
      </x:c>
    </x:row>
  </x:sheetData>
  <x:mergeCells>
    <x:mergeCell ref="A1:D1"/>
    <x:mergeCell ref="A2:F2"/>
  </x:mergeCells>
  <x:pageMargins left="0.7" right="0.7" top="0.75" bottom="0.75" header="0.3" footer="0.3"/>
  <x:tableParts count="1">
    <x:tablePart xmlns:r="http://schemas.openxmlformats.org/officeDocument/2006/relationships" r:id="R9677a0c8778e4846"/>
  </x:tableParts>
</x:worksheet>
</file>

<file path=xl/worksheets/sheet7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7" hidden="0" customWidth="1"/>
    <x:col min="2" max="2" width="48" hidden="0" customWidth="1"/>
    <x:col min="3" max="3" width="18" hidden="0" customWidth="1"/>
    <x:col min="4" max="4" width="18" hidden="0" customWidth="1"/>
    <x:col min="5" max="5" width="18" hidden="0" customWidth="1"/>
    <x:col min="6" max="6" width="20" hidden="0" customWidth="1"/>
    <x:col min="7" max="7" width="20" hidden="0" customWidth="1"/>
    <x:col min="8" max="8" width="20" hidden="0" customWidth="1"/>
    <x:col min="9" max="9" width="90" hidden="0" customWidth="1"/>
    <x:col min="10" max="10" width="110" hidden="0" customWidth="1"/>
    <x:col min="11" max="11" width="110" hidden="0" customWidth="1"/>
    <x:col min="12" max="12" width="60" hidden="0" customWidth="1"/>
  </x:cols>
  <x:sheetData>
    <x:row r="1" ht="34" customHeight="1">
      <x:c r="A1" s="36" t="str">
        <x:v>Dimensión prevista del dominio</x:v>
      </x:c>
      <x:c r="B1" s="35"/>
      <x:c r="C1" s="35"/>
      <x:c r="D1" s="35"/>
      <x:c r="E1" s="35"/>
      <x:c r="F1" s="35"/>
      <x:c r="G1" s="35"/>
      <x:c r="H1" s="35"/>
      <x:c r="I1" s="35"/>
      <x:c r="J1" s="35"/>
      <x:c r="K1" s="35"/>
      <x:c r="L1" s="35"/>
    </x:row>
    <x:row r="2" ht="46" customHeight="1">
      <x:c r="A2" s="37" t="str">
        <x:v>Escenarios de planificación. Las cantidades son hipótesis editables; sólo las 24 definiciones de OP-CYB-001 están constituidas.</x:v>
      </x:c>
      <x:c r="B2" s="35"/>
      <x:c r="C2" s="35"/>
      <x:c r="D2" s="35"/>
      <x:c r="E2" s="35"/>
      <x:c r="F2" s="35"/>
      <x:c r="G2" s="35"/>
      <x:c r="H2" s="35"/>
      <x:c r="I2" s="35"/>
      <x:c r="J2" s="35"/>
      <x:c r="K2" s="35"/>
      <x:c r="L2" s="35"/>
    </x:row>
    <x:row r="3">
      <x:c r="A3" s="35"/>
      <x:c r="B3" s="35"/>
      <x:c r="C3" s="35"/>
      <x:c r="D3" s="35"/>
      <x:c r="E3" s="35"/>
      <x:c r="F3" s="35"/>
      <x:c r="G3" s="35"/>
      <x:c r="H3" s="35"/>
      <x:c r="I3" s="35"/>
      <x:c r="J3" s="35"/>
      <x:c r="K3" s="35"/>
      <x:c r="L3" s="35"/>
    </x:row>
    <x:row r="4" ht="42" customHeight="1">
      <x:c r="A4" s="39" t="str">
        <x:v>Operación</x:v>
      </x:c>
      <x:c r="B4" s="39" t="str">
        <x:v>Familia profesional</x:v>
      </x:c>
      <x:c r="C4" s="39" t="str">
        <x:v>Universos compacto</x:v>
      </x:c>
      <x:c r="D4" s="39" t="str">
        <x:v>Universos central</x:v>
      </x:c>
      <x:c r="E4" s="39" t="str">
        <x:v>Universos amplio</x:v>
      </x:c>
      <x:c r="F4" s="39" t="str">
        <x:v>Adicionales compacto</x:v>
      </x:c>
      <x:c r="G4" s="39" t="str">
        <x:v>Adicionales central</x:v>
      </x:c>
      <x:c r="H4" s="39" t="str">
        <x:v>Adicionales amplio</x:v>
      </x:c>
      <x:c r="I4" s="39" t="str">
        <x:v>Justificación de partición</x:v>
      </x:c>
      <x:c r="J4" s="39" t="str">
        <x:v>Conocimiento de base</x:v>
      </x:c>
      <x:c r="K4" s="39" t="str">
        <x:v>Consecuencia de omitirlo</x:v>
      </x:c>
      <x:c r="L4" s="39" t="str">
        <x:v>Referencia educativa</x:v>
      </x:c>
    </x:row>
    <x:row r="5" ht="47" customHeight="1">
      <x:c r="A5" s="35" t="str">
        <x:v>CYO-01</x:v>
      </x:c>
      <x:c r="B5" s="35" t="str">
        <x:v>Riesgo y tratamiento</x:v>
      </x:c>
      <x:c r="C5" s="41" t="n">
        <x:v>1</x:v>
      </x:c>
      <x:c r="D5" s="41" t="n">
        <x:v>1</x:v>
      </x:c>
      <x:c r="E5" s="41" t="n">
        <x:v>2</x:v>
      </x:c>
      <x:c r="F5" s="41" t="n">
        <x:v>16</x:v>
      </x:c>
      <x:c r="G5" s="41" t="n">
        <x:v>24</x:v>
      </x:c>
      <x:c r="H5" s="41" t="n">
        <x:v>40</x:v>
      </x:c>
      <x:c r="I5" s="35" t="str">
        <x:v>Separación eventual entre valoración del riesgo y selección del tratamiento.</x:v>
      </x:c>
      <x:c r="J5" s="35" t="str">
        <x:v>Estimar con supuestos, comparar alternativas y justificar consecuencias</x:v>
      </x:c>
      <x:c r="K5" s="35" t="str">
        <x:v>Una cifra de riesgo puede ocultar costes, dependencias y pérdidas no consideradas.</x:v>
      </x:c>
      <x:c r="L5" s="35" t="str">
        <x:v>R035; IV: métodos, calibración, tratamiento y comunicación</x:v>
      </x:c>
    </x:row>
    <x:row r="6" ht="47" customHeight="1">
      <x:c r="A6" s="35" t="str">
        <x:v>CYO-02</x:v>
      </x:c>
      <x:c r="B6" s="35" t="str">
        <x:v>Arquitectura segura</x:v>
      </x:c>
      <x:c r="C6" s="41" t="n">
        <x:v>1</x:v>
      </x:c>
      <x:c r="D6" s="41" t="n">
        <x:v>2</x:v>
      </x:c>
      <x:c r="E6" s="41" t="n">
        <x:v>3</x:v>
      </x:c>
      <x:c r="F6" s="41" t="n">
        <x:v>20</x:v>
      </x:c>
      <x:c r="G6" s="41" t="n">
        <x:v>32</x:v>
      </x:c>
      <x:c r="H6" s="41" t="n">
        <x:v>52</x:v>
      </x:c>
      <x:c r="I6" s="35" t="str">
        <x:v>Fronteras de confianza, aislamiento e integración pueden requerir productos distintos.</x:v>
      </x:c>
      <x:c r="J6" s="35" t="str">
        <x:v>Razonar sobre superficies, segmentación y dependencias</x:v>
      </x:c>
      <x:c r="K6" s="35" t="str">
        <x:v>Un control local puede dejar sin proteger una dependencia del servicio.</x:v>
      </x:c>
      <x:c r="L6" s="35" t="str">
        <x:v>R019; IV: seguridad de redes; complemento R029 redes/nube</x:v>
      </x:c>
    </x:row>
    <x:row r="7" ht="47" customHeight="1">
      <x:c r="A7" s="35" t="str">
        <x:v>CYO-03</x:v>
      </x:c>
      <x:c r="B7" s="35" t="str">
        <x:v>Acceso y privilegios</x:v>
      </x:c>
      <x:c r="C7" s="41" t="n">
        <x:v>1</x:v>
      </x:c>
      <x:c r="D7" s="41" t="n">
        <x:v>1</x:v>
      </x:c>
      <x:c r="E7" s="41" t="n">
        <x:v>2</x:v>
      </x:c>
      <x:c r="F7" s="41" t="n">
        <x:v>14</x:v>
      </x:c>
      <x:c r="G7" s="41" t="n">
        <x:v>22</x:v>
      </x:c>
      <x:c r="H7" s="41" t="n">
        <x:v>36</x:v>
      </x:c>
      <x:c r="I7" s="35" t="str">
        <x:v>Concesión, revisión y revocación; posible separación entre identidad y privilegio.</x:v>
      </x:c>
      <x:c r="J7" s="35" t="str">
        <x:v>Distinguir identidad, autenticación, autorización y privilegio efectivo</x:v>
      </x:c>
      <x:c r="K7" s="35" t="str">
        <x:v>Identificar al usuario no demuestra que deba disponer de ese acceso.</x:v>
      </x:c>
      <x:c r="L7" s="35" t="str">
        <x:v>R024; IV: acceso y seguridad de datos; contraste NICE T1548</x:v>
      </x:c>
    </x:row>
    <x:row r="8" ht="43" customHeight="1">
      <x:c r="A8" s="35" t="str">
        <x:v>CYO-04</x:v>
      </x:c>
      <x:c r="B8" s="35" t="str">
        <x:v>Evaluación técnica autorizada</x:v>
      </x:c>
      <x:c r="C8" s="41" t="n">
        <x:v>1</x:v>
      </x:c>
      <x:c r="D8" s="41" t="n">
        <x:v>2</x:v>
      </x:c>
      <x:c r="E8" s="41" t="n">
        <x:v>3</x:v>
      </x:c>
      <x:c r="F8" s="41" t="n">
        <x:v>18</x:v>
      </x:c>
      <x:c r="G8" s="41" t="n">
        <x:v>30</x:v>
      </x:c>
      <x:c r="H8" s="41" t="n">
        <x:v>48</x:v>
      </x:c>
      <x:c r="I8" s="35" t="str">
        <x:v>Configuración, aplicación y red presentan objetos y criterios diferentes.</x:v>
      </x:c>
      <x:c r="J8" s="35" t="str">
        <x:v>Diseñar y ejecutar pruebas delimitadas; informar incertidumbre</x:v>
      </x:c>
      <x:c r="K8" s="35" t="str">
        <x:v>Una prueba fuera de alcance puede producir daño sin autorización.</x:v>
      </x:c>
      <x:c r="L8" s="35" t="str">
        <x:v>R034; IV: alcance, fases y pruebas; R015 como base</x:v>
      </x:c>
    </x:row>
    <x:row r="9" ht="47" customHeight="1">
      <x:c r="A9" s="35" t="str">
        <x:v>CYO-05</x:v>
      </x:c>
      <x:c r="B9" s="35" t="str">
        <x:v>Entrega segura de software</x:v>
      </x:c>
      <x:c r="C9" s="41" t="n">
        <x:v>1</x:v>
      </x:c>
      <x:c r="D9" s="41" t="n">
        <x:v>2</x:v>
      </x:c>
      <x:c r="E9" s="41" t="n">
        <x:v>3</x:v>
      </x:c>
      <x:c r="F9" s="41" t="n">
        <x:v>20</x:v>
      </x:c>
      <x:c r="G9" s="41" t="n">
        <x:v>32</x:v>
      </x:c>
      <x:c r="H9" s="41" t="n">
        <x:v>50</x:v>
      </x:c>
      <x:c r="I9" s="35" t="str">
        <x:v>Construcción, dependencia y liberación; estados de procedencia y verificación propios.</x:v>
      </x:c>
      <x:c r="J9" s="35" t="str">
        <x:v>Rastrear defectos entre requisitos, código, pruebas y versión</x:v>
      </x:c>
      <x:c r="K9" s="35" t="str">
        <x:v>Probar otra construcción deja sin evidencia la entrega examinada.</x:v>
      </x:c>
      <x:c r="L9" s="35" t="str">
        <x:v>R028; IV: desarrollo y análisis seguro; R023 ingeniería</x:v>
      </x:c>
    </x:row>
    <x:row r="10" ht="47" customHeight="1">
      <x:c r="A10" s="35" t="str">
        <x:v>CYO-06</x:v>
      </x:c>
      <x:c r="B10" s="35" t="str">
        <x:v>Proveedor y dependencia</x:v>
      </x:c>
      <x:c r="C10" s="41" t="n">
        <x:v>1</x:v>
      </x:c>
      <x:c r="D10" s="41" t="n">
        <x:v>1</x:v>
      </x:c>
      <x:c r="E10" s="41" t="n">
        <x:v>2</x:v>
      </x:c>
      <x:c r="F10" s="41" t="n">
        <x:v>10</x:v>
      </x:c>
      <x:c r="G10" s="41" t="n">
        <x:v>18</x:v>
      </x:c>
      <x:c r="H10" s="41" t="n">
        <x:v>30</x:v>
      </x:c>
      <x:c r="I10" s="35" t="str">
        <x:v>Evaluación inicial y seguimiento contractual pueden separarse.</x:v>
      </x:c>
      <x:c r="J10" s="35" t="str">
        <x:v>Valorar dependencia, garantías verificables y responsabilidad</x:v>
      </x:c>
      <x:c r="K10" s="35" t="str">
        <x:v>Una dependencia no evaluada puede trasladar riesgo al servicio.</x:v>
      </x:c>
      <x:c r="L10" s="35" t="str">
        <x:v>R035; IV: transferencia y tratamiento; NICE OG-WRL-017 como contraste</x:v>
      </x:c>
    </x:row>
    <x:row r="11" ht="47" customHeight="1">
      <x:c r="A11" s="35" t="str">
        <x:v>CYO-07</x:v>
      </x:c>
      <x:c r="B11" s="35" t="str">
        <x:v>Clasificación de alertas</x:v>
      </x:c>
      <x:c r="C11" s="41" t="n">
        <x:v>1</x:v>
      </x:c>
      <x:c r="D11" s="41" t="n">
        <x:v>1</x:v>
      </x:c>
      <x:c r="E11" s="41" t="n">
        <x:v>1</x:v>
      </x:c>
      <x:c r="F11" s="41" t="n">
        <x:v>12</x:v>
      </x:c>
      <x:c r="G11" s="41" t="n">
        <x:v>18</x:v>
      </x:c>
      <x:c r="H11" s="41" t="n">
        <x:v>28</x:v>
      </x:c>
      <x:c r="I11" s="35" t="str">
        <x:v>Un producto de clasificación, con evidencia, contexto y errores diferenciados.</x:v>
      </x:c>
      <x:c r="J11" s="35" t="str">
        <x:v>Contrastar señales, calidad de evidencia y contexto de servicio</x:v>
      </x:c>
      <x:c r="K11" s="35" t="str">
        <x:v>Ausencia de señal puede confundirse con ausencia de actividad.</x:v>
      </x:c>
      <x:c r="L11" s="35" t="str">
        <x:v>R033; IV: SOC, correlación y gestión de incidentes</x:v>
      </x:c>
    </x:row>
    <x:row r="12" ht="43" customHeight="1">
      <x:c r="A12" s="35" t="str">
        <x:v>CYO-08</x:v>
      </x:c>
      <x:c r="B12" s="35" t="str">
        <x:v>Inteligencia de amenazas</x:v>
      </x:c>
      <x:c r="C12" s="41" t="n">
        <x:v>1</x:v>
      </x:c>
      <x:c r="D12" s="41" t="n">
        <x:v>1</x:v>
      </x:c>
      <x:c r="E12" s="41" t="n">
        <x:v>2</x:v>
      </x:c>
      <x:c r="F12" s="41" t="n">
        <x:v>12</x:v>
      </x:c>
      <x:c r="G12" s="41" t="n">
        <x:v>20</x:v>
      </x:c>
      <x:c r="H12" s="41" t="n">
        <x:v>32</x:v>
      </x:c>
      <x:c r="I12" s="35" t="str">
        <x:v>Producción analítica y aplicabilidad operativa de información recibida.</x:v>
      </x:c>
      <x:c r="J12" s="35" t="str">
        <x:v>Relacionar fuentes y contexto con una pregunta profesional</x:v>
      </x:c>
      <x:c r="K12" s="35" t="str">
        <x:v>Una atribución no sostenida puede orientar una defensa equivocada.</x:v>
      </x:c>
      <x:c r="L12" s="35" t="str">
        <x:v>R033; IV: inteligencia de amenazas</x:v>
      </x:c>
    </x:row>
    <x:row r="13" ht="43" customHeight="1">
      <x:c r="A13" s="35" t="str">
        <x:v>CYO-09</x:v>
      </x:c>
      <x:c r="B13" s="35" t="str">
        <x:v>Plan de respuesta</x:v>
      </x:c>
      <x:c r="C13" s="41" t="n">
        <x:v>1</x:v>
      </x:c>
      <x:c r="D13" s="41" t="n">
        <x:v>1</x:v>
      </x:c>
      <x:c r="E13" s="41" t="n">
        <x:v>1</x:v>
      </x:c>
      <x:c r="F13" s="41" t="n">
        <x:v>8</x:v>
      </x:c>
      <x:c r="G13" s="41" t="n">
        <x:v>14</x:v>
      </x:c>
      <x:c r="H13" s="41" t="n">
        <x:v>24</x:v>
      </x:c>
      <x:c r="I13" s="35" t="str">
        <x:v>Preparación y decisión del plan, separadas de la respuesta efectiva.</x:v>
      </x:c>
      <x:c r="J13" s="35" t="str">
        <x:v>Planificar contención y recuperación considerando efectos laterales</x:v>
      </x:c>
      <x:c r="K13" s="35" t="str">
        <x:v>Una medida puede interrumpir más de lo que protege.</x:v>
      </x:c>
      <x:c r="L13" s="35" t="str">
        <x:v>R033; IV: respuesta; R035 balance de tratamiento</x:v>
      </x:c>
    </x:row>
    <x:row r="14" ht="47" customHeight="1">
      <x:c r="A14" s="35" t="str">
        <x:v>CYO-10</x:v>
      </x:c>
      <x:c r="B14" s="35" t="str">
        <x:v>Análisis forense</x:v>
      </x:c>
      <x:c r="C14" s="41" t="n">
        <x:v>1</x:v>
      </x:c>
      <x:c r="D14" s="41" t="n">
        <x:v>2</x:v>
      </x:c>
      <x:c r="E14" s="41" t="n">
        <x:v>3</x:v>
      </x:c>
      <x:c r="F14" s="41" t="n">
        <x:v>18</x:v>
      </x:c>
      <x:c r="G14" s="41" t="n">
        <x:v>30</x:v>
      </x:c>
      <x:c r="H14" s="41" t="n">
        <x:v>48</x:v>
      </x:c>
      <x:c r="I14" s="35" t="str">
        <x:v>Adquisición, reconstrucción e interpretación pueden exigir productos diferentes.</x:v>
      </x:c>
      <x:c r="J14" s="35" t="str">
        <x:v>Separar original, copia, transformación, observación e interpretación</x:v>
      </x:c>
      <x:c r="K14" s="35" t="str">
        <x:v>Perder procedencia impide sostener una conclusión con esa evidencia.</x:v>
      </x:c>
      <x:c r="L14" s="35" t="str">
        <x:v>R033; IV: DFIR y cadena de custodia</x:v>
      </x:c>
    </x:row>
    <x:row r="15" ht="43" customHeight="1">
      <x:c r="A15" s="35" t="str">
        <x:v>CYO-11</x:v>
      </x:c>
      <x:c r="B15" s="35" t="str">
        <x:v>Preparación de recuperación</x:v>
      </x:c>
      <x:c r="C15" s="41" t="n">
        <x:v>1</x:v>
      </x:c>
      <x:c r="D15" s="41" t="n">
        <x:v>1</x:v>
      </x:c>
      <x:c r="E15" s="41" t="n">
        <x:v>2</x:v>
      </x:c>
      <x:c r="F15" s="41" t="n">
        <x:v>12</x:v>
      </x:c>
      <x:c r="G15" s="41" t="n">
        <x:v>20</x:v>
      </x:c>
      <x:c r="H15" s="41" t="n">
        <x:v>32</x:v>
      </x:c>
      <x:c r="I15" s="35" t="str">
        <x:v>Preparación y prueba del plan; no se cuenta la restauración efectiva aquí.</x:v>
      </x:c>
      <x:c r="J15" s="35" t="str">
        <x:v>Ensayar recuperación con dependencias, objetivos y límites</x:v>
      </x:c>
      <x:c r="K15" s="35" t="str">
        <x:v>Una copia existente puede resultar inútil al necesitar recuperación.</x:v>
      </x:c>
      <x:c r="L15" s="35" t="str">
        <x:v>R033; IV: BCP/DRP, RPO y RTO</x:v>
      </x:c>
    </x:row>
    <x:row r="16" ht="47" customHeight="1">
      <x:c r="A16" s="35" t="str">
        <x:v>CYO-12</x:v>
      </x:c>
      <x:c r="B16" s="35" t="str">
        <x:v>Cambio y mantenimiento</x:v>
      </x:c>
      <x:c r="C16" s="41" t="n">
        <x:v>1</x:v>
      </x:c>
      <x:c r="D16" s="41" t="n">
        <x:v>1</x:v>
      </x:c>
      <x:c r="E16" s="41" t="n">
        <x:v>2</x:v>
      </x:c>
      <x:c r="F16" s="41" t="n">
        <x:v>6</x:v>
      </x:c>
      <x:c r="G16" s="41" t="n">
        <x:v>10</x:v>
      </x:c>
      <x:c r="H16" s="41" t="n">
        <x:v>18</x:v>
      </x:c>
      <x:c r="I16" s="35" t="str">
        <x:v>Diseño y autorización del cambio; se descuenta el cierre por actualización ya constituido.</x:v>
      </x:c>
      <x:c r="J16" s="35" t="str">
        <x:v>Comprender ejecución y aislamiento; comprobar el efecto del cambio</x:v>
      </x:c>
      <x:c r="K16" s="35" t="str">
        <x:v>Documentar una configuración deseada no demuestra la efectiva.</x:v>
      </x:c>
      <x:c r="L16" s="35" t="str">
        <x:v>R025; IV: sistemas operativos; R019 configuración segura</x:v>
      </x:c>
    </x:row>
    <x:row r="17" ht="43" customHeight="1">
      <x:c r="A17" s="35" t="str">
        <x:v>CYO-13</x:v>
      </x:c>
      <x:c r="B17" s="35" t="str">
        <x:v>Protección criptográfica</x:v>
      </x:c>
      <x:c r="C17" s="41" t="n">
        <x:v>1</x:v>
      </x:c>
      <x:c r="D17" s="41" t="n">
        <x:v>2</x:v>
      </x:c>
      <x:c r="E17" s="41" t="n">
        <x:v>3</x:v>
      </x:c>
      <x:c r="F17" s="41" t="n">
        <x:v>18</x:v>
      </x:c>
      <x:c r="G17" s="41" t="n">
        <x:v>28</x:v>
      </x:c>
      <x:c r="H17" s="41" t="n">
        <x:v>44</x:v>
      </x:c>
      <x:c r="I17" s="35" t="str">
        <x:v>Selección y empleo, claves y validación de protocolos pueden separarse.</x:v>
      </x:c>
      <x:c r="J17" s="35" t="str">
        <x:v>Elegir y analizar construcciones según la propiedad necesaria</x:v>
      </x:c>
      <x:c r="K17" s="35" t="str">
        <x:v>Confundir hash, firma y cifrado puede dejar sin garantía el objetivo.</x:v>
      </x:c>
      <x:c r="L17" s="35" t="str">
        <x:v>R007; IV: cifrado, autenticación, hash y firma</x:v>
      </x:c>
    </x:row>
    <x:row r="18" ht="43" customHeight="1">
      <x:c r="A18" s="35" t="str">
        <x:v>CYO-14</x:v>
      </x:c>
      <x:c r="B18" s="35" t="str">
        <x:v>Seguridad de sistemas ciberfísicos</x:v>
      </x:c>
      <x:c r="C18" s="41" t="n">
        <x:v>1</x:v>
      </x:c>
      <x:c r="D18" s="41" t="n">
        <x:v>2</x:v>
      </x:c>
      <x:c r="E18" s="41" t="n">
        <x:v>3</x:v>
      </x:c>
      <x:c r="F18" s="41" t="n">
        <x:v>22</x:v>
      </x:c>
      <x:c r="G18" s="41" t="n">
        <x:v>36</x:v>
      </x:c>
      <x:c r="H18" s="41" t="n">
        <x:v>58</x:v>
      </x:c>
      <x:c r="I18" s="35" t="str">
        <x:v>Proceso físico, protección y mantenimiento; no extrapolación directa de IT.</x:v>
      </x:c>
      <x:c r="J18" s="35" t="str">
        <x:v>Analizar cascadas y compatibilidad entre seguridad y operación</x:v>
      </x:c>
      <x:c r="K18" s="35" t="str">
        <x:v>Una respuesta digital puede afectar a la continuidad o al proceso físico.</x:v>
      </x:c>
      <x:c r="L18" s="35" t="str">
        <x:v>R036; IV: infraestructuras e interdependencias</x:v>
      </x:c>
    </x:row>
    <x:row r="19" ht="47" customHeight="1">
      <x:c r="A19" s="35" t="str">
        <x:v>CYO-15</x:v>
      </x:c>
      <x:c r="B19" s="35" t="str">
        <x:v>Admisibilidad de un uso de IA</x:v>
      </x:c>
      <x:c r="C19" s="41" t="n">
        <x:v>1</x:v>
      </x:c>
      <x:c r="D19" s="41" t="n">
        <x:v>1</x:v>
      </x:c>
      <x:c r="E19" s="41" t="n">
        <x:v>1</x:v>
      </x:c>
      <x:c r="F19" s="41" t="n">
        <x:v>8</x:v>
      </x:c>
      <x:c r="G19" s="41" t="n">
        <x:v>14</x:v>
      </x:c>
      <x:c r="H19" s="41" t="n">
        <x:v>24</x:v>
      </x:c>
      <x:c r="I19" s="35" t="str">
        <x:v>Decisión sobre un uso concreto, diferenciada de la política general.</x:v>
      </x:c>
      <x:c r="J19" s="35" t="str">
        <x:v>Juzgar adecuación al uso con afectados, alternativas y límites</x:v>
      </x:c>
      <x:c r="K19" s="35" t="str">
        <x:v>Un modelo técnicamente válido puede ser improcedente para ese uso.</x:v>
      </x:c>
      <x:c r="L19" s="35" t="str">
        <x:v>M003; CLO: confianza, ética y evaluación; R037 gobierno</x:v>
      </x:c>
    </x:row>
    <x:row r="20" ht="43" customHeight="1">
      <x:c r="A20" s="35" t="str">
        <x:v>CYO-16</x:v>
      </x:c>
      <x:c r="B20" s="35" t="str">
        <x:v>Auditoría de controles</x:v>
      </x:c>
      <x:c r="C20" s="41" t="n">
        <x:v>1</x:v>
      </x:c>
      <x:c r="D20" s="41" t="n">
        <x:v>1</x:v>
      </x:c>
      <x:c r="E20" s="41" t="n">
        <x:v>2</x:v>
      </x:c>
      <x:c r="F20" s="41" t="n">
        <x:v>10</x:v>
      </x:c>
      <x:c r="G20" s="41" t="n">
        <x:v>16</x:v>
      </x:c>
      <x:c r="H20" s="41" t="n">
        <x:v>26</x:v>
      </x:c>
      <x:c r="I20" s="35" t="str">
        <x:v>Diseño y funcionamiento del control pueden dar productos diferentes.</x:v>
      </x:c>
      <x:c r="J20" s="35" t="str">
        <x:v>Planificar pruebas y sostener conclusiones frente a criterios</x:v>
      </x:c>
      <x:c r="K20" s="35" t="str">
        <x:v>Una comprobación superficial puede ocultar un incumplimiento material.</x:v>
      </x:c>
      <x:c r="L20" s="35" t="str">
        <x:v>R032; II/IV: auditoría y evidencia</x:v>
      </x:c>
    </x:row>
    <x:row r="21" ht="47" customHeight="1">
      <x:c r="A21" s="35" t="str">
        <x:v>CYO-17</x:v>
      </x:c>
      <x:c r="B21" s="35" t="str">
        <x:v>Privacidad y obligaciones</x:v>
      </x:c>
      <x:c r="C21" s="41" t="n">
        <x:v>1</x:v>
      </x:c>
      <x:c r="D21" s="41" t="n">
        <x:v>2</x:v>
      </x:c>
      <x:c r="E21" s="41" t="n">
        <x:v>3</x:v>
      </x:c>
      <x:c r="F21" s="41" t="n">
        <x:v>12</x:v>
      </x:c>
      <x:c r="G21" s="41" t="n">
        <x:v>22</x:v>
      </x:c>
      <x:c r="H21" s="41" t="n">
        <x:v>38</x:v>
      </x:c>
      <x:c r="I21" s="35" t="str">
        <x:v>Tratamiento de datos, derechos y obligaciones según jurisdicción y función.</x:v>
      </x:c>
      <x:c r="J21" s="35" t="str">
        <x:v>Distinguir regla aplicable, supuesto y autoridad</x:v>
      </x:c>
      <x:c r="K21" s="35" t="str">
        <x:v>Importar una obligación por analogía puede producir un consejo improcedente.</x:v>
      </x:c>
      <x:c r="L21" s="35" t="str">
        <x:v>R012; IV: derecho; textos vigentes concretos requieren examen propio</x:v>
      </x:c>
    </x:row>
    <x:row r="22" ht="47" customHeight="1">
      <x:c r="A22" s="35" t="str">
        <x:v>CYO-18</x:v>
      </x:c>
      <x:c r="B22" s="35" t="str">
        <x:v>Diseño curricular</x:v>
      </x:c>
      <x:c r="C22" s="41" t="n">
        <x:v>1</x:v>
      </x:c>
      <x:c r="D22" s="41" t="n">
        <x:v>1</x:v>
      </x:c>
      <x:c r="E22" s="41" t="n">
        <x:v>1</x:v>
      </x:c>
      <x:c r="F22" s="41" t="n">
        <x:v>8</x:v>
      </x:c>
      <x:c r="G22" s="41" t="n">
        <x:v>14</x:v>
      </x:c>
      <x:c r="H22" s="41" t="n">
        <x:v>24</x:v>
      </x:c>
      <x:c r="I22" s="35" t="str">
        <x:v>Resultados de aprendizaje, secuencia y cobertura del plan.</x:v>
      </x:c>
      <x:c r="J22" s="35" t="str">
        <x:v>Diseñar aprendizaje que permita justificar decisiones y sus consecuencias</x:v>
      </x:c>
      <x:c r="K22" s="35" t="str">
        <x:v>Un temario sin práctica evaluada no acredita juicio profesional.</x:v>
      </x:c>
      <x:c r="L22" s="35" t="str">
        <x:v>R040; II/IV/VII.A: integración y evaluación; NICE OG-WRL-003/004</x:v>
      </x:c>
    </x:row>
    <x:row r="23" ht="47" customHeight="1">
      <x:c r="A23" s="35" t="str">
        <x:v>CYO-19</x:v>
      </x:c>
      <x:c r="B23" s="35" t="str">
        <x:v>Investigación</x:v>
      </x:c>
      <x:c r="C23" s="41" t="n">
        <x:v>1</x:v>
      </x:c>
      <x:c r="D23" s="41" t="n">
        <x:v>1</x:v>
      </x:c>
      <x:c r="E23" s="41" t="n">
        <x:v>2</x:v>
      </x:c>
      <x:c r="F23" s="41" t="n">
        <x:v>12</x:v>
      </x:c>
      <x:c r="G23" s="41" t="n">
        <x:v>20</x:v>
      </x:c>
      <x:c r="H23" s="41" t="n">
        <x:v>34</x:v>
      </x:c>
      <x:c r="I23" s="35" t="str">
        <x:v>Diseño del contraste e interpretación; amenazas a la validez.</x:v>
      </x:c>
      <x:c r="J23" s="35" t="str">
        <x:v>Contrastar hipótesis y comunicar validez y límites</x:v>
      </x:c>
      <x:c r="K23" s="35" t="str">
        <x:v>Adoptar una novedad sin evaluar evidencia puede degradar el dominio.</x:v>
      </x:c>
      <x:c r="L23" s="35" t="str">
        <x:v>W016; Learning outcomes: método y lectura crítica; R040</x:v>
      </x:c>
    </x:row>
    <x:row r="24" ht="47" customHeight="1">
      <x:c r="A24" s="35" t="str">
        <x:v>CYO-20</x:v>
      </x:c>
      <x:c r="B24" s="35" t="str">
        <x:v>Investigación de ciberdelitos</x:v>
      </x:c>
      <x:c r="C24" s="41" t="n">
        <x:v>0</x:v>
      </x:c>
      <x:c r="D24" s="41" t="n">
        <x:v>0</x:v>
      </x:c>
      <x:c r="E24" s="41" t="n">
        <x:v>1</x:v>
      </x:c>
      <x:c r="F24" s="41" t="n">
        <x:v>0</x:v>
      </x:c>
      <x:c r="G24" s="41" t="n">
        <x:v>0</x:v>
      </x:c>
      <x:c r="H24" s="41" t="n">
        <x:v>28</x:v>
      </x:c>
      <x:c r="I24" s="35" t="str">
        <x:v>Sólo el escenario amplio incorpora la frontera institucional todavía condicionada.</x:v>
      </x:c>
      <x:c r="J24" s="35" t="str">
        <x:v>Distinguir análisis técnico, investigación legal y atribución</x:v>
      </x:c>
      <x:c r="K24" s="35" t="str">
        <x:v>Confundir un indicio técnico con culpabilidad excede la competencia.</x:v>
      </x:c>
      <x:c r="L24" s="35" t="str">
        <x:v>R012; Ancla educativa jurídica; NICE IN-WRL-001 aporta el rol profesional</x:v>
      </x:c>
    </x:row>
    <x:row r="25" ht="47" customHeight="1">
      <x:c r="A25" s="35" t="str">
        <x:v>CYO-21</x:v>
      </x:c>
      <x:c r="B25" s="35" t="str">
        <x:v>Autorización de operación</x:v>
      </x:c>
      <x:c r="C25" s="41" t="n">
        <x:v>1</x:v>
      </x:c>
      <x:c r="D25" s="41" t="n">
        <x:v>1</x:v>
      </x:c>
      <x:c r="E25" s="41" t="n">
        <x:v>1</x:v>
      </x:c>
      <x:c r="F25" s="41" t="n">
        <x:v>8</x:v>
      </x:c>
      <x:c r="G25" s="41" t="n">
        <x:v>14</x:v>
      </x:c>
      <x:c r="H25" s="41" t="n">
        <x:v>22</x:v>
      </x:c>
      <x:c r="I25" s="35" t="str">
        <x:v>Evidencia de suficiencia y aceptación expresa por la autoridad.</x:v>
      </x:c>
      <x:c r="J25" s="35" t="str">
        <x:v>Integrar dictámenes conservando quién acepta qué riesgo</x:v>
      </x:c>
      <x:c r="K25" s="35" t="str">
        <x:v>Una suma de informes no sustituye una decisión de autorización.</x:v>
      </x:c>
      <x:c r="L25" s="35" t="str">
        <x:v>R037; IV: gobierno; NICE OG-WRL-013 distingue autoridad</x:v>
      </x:c>
    </x:row>
    <x:row r="26" ht="47" customHeight="1">
      <x:c r="A26" s="35" t="str">
        <x:v>CYO-22</x:v>
      </x:c>
      <x:c r="B26" s="35" t="str">
        <x:v>Actividad educativa y evaluación</x:v>
      </x:c>
      <x:c r="C26" s="41" t="n">
        <x:v>1</x:v>
      </x:c>
      <x:c r="D26" s="41" t="n">
        <x:v>1</x:v>
      </x:c>
      <x:c r="E26" s="41" t="n">
        <x:v>1</x:v>
      </x:c>
      <x:c r="F26" s="41" t="n">
        <x:v>8</x:v>
      </x:c>
      <x:c r="G26" s="41" t="n">
        <x:v>12</x:v>
      </x:c>
      <x:c r="H26" s="41" t="n">
        <x:v>20</x:v>
      </x:c>
      <x:c r="I26" s="35" t="str">
        <x:v>Desempeño observado y retroalimentación; no se duplica el diseño curricular.</x:v>
      </x:c>
      <x:c r="J26" s="35" t="str">
        <x:v>Observar desempeño, justificar juicio y corregir carencias</x:v>
      </x:c>
      <x:c r="K26" s="35" t="str">
        <x:v>Una acreditación sin evidencia puede ocultar incapacidad para reconocer consecuencias.</x:v>
      </x:c>
      <x:c r="L26" s="35" t="str">
        <x:v>R038; II/IV/VII.A: proyecto formativo, tutores y memoria; M001</x:v>
      </x:c>
    </x:row>
    <x:row r="27" ht="47" customHeight="1">
      <x:c r="A27" s="35" t="str">
        <x:v>CYO-23</x:v>
      </x:c>
      <x:c r="B27" s="35" t="str">
        <x:v>Evaluación técnica de IA</x:v>
      </x:c>
      <x:c r="C27" s="41" t="n">
        <x:v>1</x:v>
      </x:c>
      <x:c r="D27" s="41" t="n">
        <x:v>2</x:v>
      </x:c>
      <x:c r="E27" s="41" t="n">
        <x:v>3</x:v>
      </x:c>
      <x:c r="F27" s="41" t="n">
        <x:v>24</x:v>
      </x:c>
      <x:c r="G27" s="41" t="n">
        <x:v>40</x:v>
      </x:c>
      <x:c r="H27" s="41" t="n">
        <x:v>64</x:v>
      </x:c>
      <x:c r="I27" s="35" t="str">
        <x:v>Robustez y seguridad, datos y privacidad, validez y comportamiento por población.</x:v>
      </x:c>
      <x:c r="J27" s="35" t="str">
        <x:v>Diseñar contrastes y juzgar generalización, ataques, errores y recursos</x:v>
      </x:c>
      <x:c r="K27" s="35" t="str">
        <x:v>Una buena métrica puede ocultar contaminación de datos o fallos relevantes para el uso.</x:v>
      </x:c>
      <x:c r="L27" s="35" t="str">
        <x:v>M002; CLO: extracción de características y evaluación; M003 robustez; M004 rendimiento</x:v>
      </x:c>
    </x:row>
    <x:row r="28" ht="43" customHeight="1">
      <x:c r="A28" s="35" t="str">
        <x:v>CYO-24</x:v>
      </x:c>
      <x:c r="B28" s="35" t="str">
        <x:v>Respuesta efectiva a incidentes</x:v>
      </x:c>
      <x:c r="C28" s="41" t="n">
        <x:v>1</x:v>
      </x:c>
      <x:c r="D28" s="41" t="n">
        <x:v>1</x:v>
      </x:c>
      <x:c r="E28" s="41" t="n">
        <x:v>2</x:v>
      </x:c>
      <x:c r="F28" s="41" t="n">
        <x:v>18</x:v>
      </x:c>
      <x:c r="G28" s="41" t="n">
        <x:v>30</x:v>
      </x:c>
      <x:c r="H28" s="41" t="n">
        <x:v>48</x:v>
      </x:c>
      <x:c r="I28" s="35" t="str">
        <x:v>Contención y erradicación pueden necesitar universos separados.</x:v>
      </x:c>
      <x:c r="J28" s="35" t="str">
        <x:v>Comprobar qué ocurrió tras actuar y conservar responsabilidad</x:v>
      </x:c>
      <x:c r="K28" s="35" t="str">
        <x:v>Confundir plan con efecto puede declarar contenido un incidente activo.</x:v>
      </x:c>
      <x:c r="L28" s="35" t="str">
        <x:v>R033; IV: ciclo de respuesta y coordinación</x:v>
      </x:c>
    </x:row>
    <x:row r="29" ht="43" customHeight="1">
      <x:c r="A29" s="35" t="str">
        <x:v>CYO-25</x:v>
      </x:c>
      <x:c r="B29" s="35" t="str">
        <x:v>Restauración y retorno al servicio</x:v>
      </x:c>
      <x:c r="C29" s="41" t="n">
        <x:v>1</x:v>
      </x:c>
      <x:c r="D29" s="41" t="n">
        <x:v>1</x:v>
      </x:c>
      <x:c r="E29" s="41" t="n">
        <x:v>2</x:v>
      </x:c>
      <x:c r="F29" s="41" t="n">
        <x:v>16</x:v>
      </x:c>
      <x:c r="G29" s="41" t="n">
        <x:v>26</x:v>
      </x:c>
      <x:c r="H29" s="41" t="n">
        <x:v>42</x:v>
      </x:c>
      <x:c r="I29" s="35" t="str">
        <x:v>Restauración, integridad y reanudación se distinguen de la preparación.</x:v>
      </x:c>
      <x:c r="J29" s="35" t="str">
        <x:v>Verificar estado recuperado y justificar condiciones de retorno</x:v>
      </x:c>
      <x:c r="K29" s="35" t="str">
        <x:v>Reabrir sin verificar dependencias puede reproducir el fallo o perder datos.</x:v>
      </x:c>
      <x:c r="L29" s="35" t="str">
        <x:v>R033; IV: recuperación; R036 dependencias</x:v>
      </x:c>
    </x:row>
    <x:row r="30" ht="47" customHeight="1">
      <x:c r="A30" s="35" t="str">
        <x:v>CYO-26</x:v>
      </x:c>
      <x:c r="B30" s="35" t="str">
        <x:v>Tratamiento de vulnerabilidades</x:v>
      </x:c>
      <x:c r="C30" s="41" t="n">
        <x:v>2</x:v>
      </x:c>
      <x:c r="D30" s="41" t="n">
        <x:v>3</x:v>
      </x:c>
      <x:c r="E30" s="41" t="n">
        <x:v>4</x:v>
      </x:c>
      <x:c r="F30" s="41" t="n">
        <x:v>12</x:v>
      </x:c>
      <x:c r="G30" s="41" t="n">
        <x:v>22</x:v>
      </x:c>
      <x:c r="H30" s="41" t="n">
        <x:v>36</x:v>
      </x:c>
      <x:c r="I30" s="35" t="str">
        <x:v>Incluye OP-CYB-001 ya constituido; además, priorización, tratamiento y excepciones según escenario.</x:v>
      </x:c>
      <x:c r="J30" s="35" t="str">
        <x:v>Relacionar evidencia técnica, exposición, impacto y coste de corrección</x:v>
      </x:c>
      <x:c r="K30" s="35" t="str">
        <x:v>Priorizar por una cifra aislada puede desplazar un riesgo más relevante.</x:v>
      </x:c>
      <x:c r="L30" s="35" t="str">
        <x:v>R035; IV: tratamiento; R034 hallazgos; NICE PD-WRL-007</x:v>
      </x:c>
    </x:row>
    <x:row r="31" ht="47" customHeight="1">
      <x:c r="A31" s="35" t="str">
        <x:v>CYO-27</x:v>
      </x:c>
      <x:c r="B31" s="35" t="str">
        <x:v>Validación de detección</x:v>
      </x:c>
      <x:c r="C31" s="41" t="n">
        <x:v>1</x:v>
      </x:c>
      <x:c r="D31" s="41" t="n">
        <x:v>1</x:v>
      </x:c>
      <x:c r="E31" s="41" t="n">
        <x:v>2</x:v>
      </x:c>
      <x:c r="F31" s="41" t="n">
        <x:v>14</x:v>
      </x:c>
      <x:c r="G31" s="41" t="n">
        <x:v>24</x:v>
      </x:c>
      <x:c r="H31" s="41" t="n">
        <x:v>40</x:v>
      </x:c>
      <x:c r="I31" s="35" t="str">
        <x:v>Cobertura de hipótesis y validación de reglas; posible separación por finalidad.</x:v>
      </x:c>
      <x:c r="J31" s="35" t="str">
        <x:v>Justificar observabilidad y comprobar detectabilidad y carga</x:v>
      </x:c>
      <x:c r="K31" s="35" t="str">
        <x:v>Un detector correcto puede ser ineficaz si no recibe la evidencia necesaria.</x:v>
      </x:c>
      <x:c r="L31" s="35" t="str">
        <x:v>R033; IV: SIEM, correlación y detección; R029 red</x:v>
      </x:c>
    </x:row>
    <x:row r="32" ht="43" customHeight="1">
      <x:c r="A32" s="35" t="str">
        <x:v>CYO-28</x:v>
      </x:c>
      <x:c r="B32" s="35" t="str">
        <x:v>Búsqueda de amenazas por hipótesis</x:v>
      </x:c>
      <x:c r="C32" s="41" t="n">
        <x:v>1</x:v>
      </x:c>
      <x:c r="D32" s="41" t="n">
        <x:v>1</x:v>
      </x:c>
      <x:c r="E32" s="41" t="n">
        <x:v>1</x:v>
      </x:c>
      <x:c r="F32" s="41" t="n">
        <x:v>10</x:v>
      </x:c>
      <x:c r="G32" s="41" t="n">
        <x:v>18</x:v>
      </x:c>
      <x:c r="H32" s="41" t="n">
        <x:v>30</x:v>
      </x:c>
      <x:c r="I32" s="35" t="str">
        <x:v>Un producto de contraste de hipótesis, distinto de clasificar una alerta.</x:v>
      </x:c>
      <x:c r="J32" s="35" t="str">
        <x:v>Investigar actividad que puede eludir controles con hipótesis comprobables</x:v>
      </x:c>
      <x:c r="K32" s="35" t="str">
        <x:v>Limitarse a las alertas omite amenazas fuera de su cobertura.</x:v>
      </x:c>
      <x:c r="L32" s="35" t="str">
        <x:v>R033; IV: tema 6 hunting; G009 contraste</x:v>
      </x:c>
    </x:row>
    <x:row r="33" ht="47" customHeight="1">
      <x:c r="A33" s="35" t="str">
        <x:v>CYO-29</x:v>
      </x:c>
      <x:c r="B33" s="35" t="str">
        <x:v>Política corporativa de IA</x:v>
      </x:c>
      <x:c r="C33" s="41" t="n">
        <x:v>1</x:v>
      </x:c>
      <x:c r="D33" s="41" t="n">
        <x:v>1</x:v>
      </x:c>
      <x:c r="E33" s="41" t="n">
        <x:v>1</x:v>
      </x:c>
      <x:c r="F33" s="41" t="n">
        <x:v>8</x:v>
      </x:c>
      <x:c r="G33" s="41" t="n">
        <x:v>14</x:v>
      </x:c>
      <x:c r="H33" s="41" t="n">
        <x:v>22</x:v>
      </x:c>
      <x:c r="I33" s="35" t="str">
        <x:v>Reglas de uso, excepciones y revisión de política; no aprobación de cada caso.</x:v>
      </x:c>
      <x:c r="J33" s="35" t="str">
        <x:v>Traducir objetivos y responsabilidades en reglas de uso revisables</x:v>
      </x:c>
      <x:c r="K33" s="35" t="str">
        <x:v>Una política sin inventario puede dejar usos reales fuera de supervisión.</x:v>
      </x:c>
      <x:c r="L33" s="35" t="str">
        <x:v>R037; IV: gobierno; M003 ética; AN-02 especificidad IA</x:v>
      </x:c>
    </x:row>
    <x:row r="36" ht="66" customHeight="1">
      <x:c r="A36" s="48" t="str">
        <x:v>Escenario</x:v>
      </x:c>
      <x:c r="B36" s="48" t="str">
        <x:v>Universos</x:v>
      </x:c>
      <x:c r="C36" s="48" t="str">
        <x:v>Incidencias adicionales</x:v>
      </x:c>
      <x:c r="D36" s="48" t="str">
        <x:v>Reutilización supuesta</x:v>
      </x:c>
      <x:c r="E36" s="48" t="str">
        <x:v>Nuevos únicos estimados</x:v>
      </x:c>
      <x:c r="F36" s="48" t="str">
        <x:v>Constituidos</x:v>
      </x:c>
      <x:c r="G36" s="48" t="str">
        <x:v>Total previsto</x:v>
      </x:c>
      <x:c r="H36" s="48" t="str">
        <x:v>Interpretación</x:v>
      </x:c>
    </x:row>
    <x:row r="37" ht="66" customHeight="1">
      <x:c r="A37" s="33" t="str">
        <x:v>Compacto</x:v>
      </x:c>
      <x:c r="B37" s="49" t="n">
        <x:f>SUM(C5:C33)</x:f>
        <x:v>29</x:v>
      </x:c>
      <x:c r="C37" s="49" t="n">
        <x:f>SUM(F5:F33)</x:f>
        <x:v>374</x:v>
      </x:c>
      <x:c r="D37" s="46" t="n">
        <x:v>0.3</x:v>
      </x:c>
      <x:c r="E37" s="49" t="n">
        <x:f>ROUND(C37*(1-D37),0)</x:f>
        <x:v>262</x:v>
      </x:c>
      <x:c r="F37" s="49" t="n">
        <x:f>COUNTA('67_Parametros'!A5:A28)</x:f>
        <x:v>24</x:v>
      </x:c>
      <x:c r="G37" s="49" t="n">
        <x:f>E37+F37</x:f>
        <x:v>286</x:v>
      </x:c>
      <x:c r="H37" s="33" t="str">
        <x:v>Mayor agrupación y reutilización supuestas.</x:v>
      </x:c>
    </x:row>
    <x:row r="38" ht="66" customHeight="1">
      <x:c r="A38" s="33" t="str">
        <x:v>Central</x:v>
      </x:c>
      <x:c r="B38" s="49" t="n">
        <x:f>SUM(D5:D33)</x:f>
        <x:v>38</x:v>
      </x:c>
      <x:c r="C38" s="49" t="n">
        <x:f>SUM(G5:G33)</x:f>
        <x:v>620</x:v>
      </x:c>
      <x:c r="D38" s="46" t="n">
        <x:v>0.15</x:v>
      </x:c>
      <x:c r="E38" s="49" t="n">
        <x:f>ROUND(C38*(1-D38),0)</x:f>
        <x:v>527</x:v>
      </x:c>
      <x:c r="F38" s="49" t="n">
        <x:f>COUNTA('67_Parametros'!A5:A28)</x:f>
        <x:v>24</x:v>
      </x:c>
      <x:c r="G38" s="49" t="n">
        <x:f>E38+F38</x:f>
        <x:v>551</x:v>
      </x:c>
      <x:c r="H38" s="33" t="str">
        <x:v>Hipótesis central sin calibración estadística.</x:v>
      </x:c>
    </x:row>
    <x:row r="39" ht="66" customHeight="1">
      <x:c r="A39" s="33" t="str">
        <x:v>Amplio</x:v>
      </x:c>
      <x:c r="B39" s="49" t="n">
        <x:f>SUM(E5:E33)</x:f>
        <x:v>59</x:v>
      </x:c>
      <x:c r="C39" s="49" t="n">
        <x:f>SUM(H5:H33)</x:f>
        <x:v>1038</x:v>
      </x:c>
      <x:c r="D39" s="46" t="n">
        <x:v>0</x:v>
      </x:c>
      <x:c r="E39" s="49" t="n">
        <x:f>ROUND(C39*(1-D39),0)</x:f>
        <x:v>1038</x:v>
      </x:c>
      <x:c r="F39" s="49" t="n">
        <x:f>COUNTA('67_Parametros'!A5:A28)</x:f>
        <x:v>24</x:v>
      </x:c>
      <x:c r="G39" s="49" t="n">
        <x:f>E39+F39</x:f>
        <x:v>1062</x:v>
      </x:c>
      <x:c r="H39" s="33" t="str">
        <x:v>Más separación; sin descontar reutilización.</x:v>
      </x:c>
    </x:row>
    <x:row r="40" ht="66" customHeight="1">
      <x:c r="A40" s="33"/>
      <x:c r="B40" s="33"/>
      <x:c r="C40" s="33"/>
      <x:c r="D40" s="33"/>
      <x:c r="E40" s="33"/>
      <x:c r="F40" s="33"/>
      <x:c r="G40" s="33"/>
      <x:c r="H40" s="33"/>
    </x:row>
    <x:row r="41" ht="66" customHeight="1">
      <x:c r="A41" s="33"/>
      <x:c r="B41" s="33"/>
      <x:c r="C41" s="33"/>
      <x:c r="D41" s="33"/>
      <x:c r="E41" s="33"/>
      <x:c r="F41" s="33"/>
      <x:c r="G41" s="33"/>
      <x:c r="H41" s="33"/>
    </x:row>
    <x:row r="42" ht="66" customHeight="1">
      <x:c r="A42" s="48" t="str">
        <x:v>Sensibilidad central</x:v>
      </x:c>
      <x:c r="B42" s="48" t="str">
        <x:v>Reutilización</x:v>
      </x:c>
      <x:c r="C42" s="48" t="str">
        <x:v>Resultado previsto</x:v>
      </x:c>
      <x:c r="D42" s="48" t="str">
        <x:v>Alcance</x:v>
      </x:c>
      <x:c r="E42" s="48" t="str"/>
      <x:c r="F42" s="48" t="str"/>
      <x:c r="G42" s="48" t="str"/>
      <x:c r="H42" s="48" t="str"/>
    </x:row>
    <x:row r="43" ht="66" customHeight="1">
      <x:c r="A43" s="33" t="str">
        <x:v>Sin reutilización</x:v>
      </x:c>
      <x:c r="B43" s="47" t="n">
        <x:v>0</x:v>
      </x:c>
      <x:c r="C43" s="49" t="n">
        <x:f>F38+ROUND(C38*(1-B43),0)</x:f>
        <x:v>644</x:v>
      </x:c>
      <x:c r="D43" s="33" t="str">
        <x:v>La cifra depende de hipótesis, no sólo del currículo.</x:v>
      </x:c>
      <x:c r="E43" s="33"/>
      <x:c r="F43" s="33"/>
      <x:c r="G43" s="33"/>
      <x:c r="H43" s="33"/>
    </x:row>
    <x:row r="44" ht="66" customHeight="1">
      <x:c r="A44" s="33" t="str">
        <x:v>Hipótesis central</x:v>
      </x:c>
      <x:c r="B44" s="47" t="n">
        <x:v>0.15</x:v>
      </x:c>
      <x:c r="C44" s="49" t="n">
        <x:f>F38+ROUND(C38*(1-B44),0)</x:f>
        <x:v>551</x:v>
      </x:c>
      <x:c r="D44" s="33" t="str">
        <x:v>La reutilización debe comprobarse al adjudicar identidades.</x:v>
      </x:c>
      <x:c r="E44" s="33"/>
      <x:c r="F44" s="33"/>
      <x:c r="G44" s="33"/>
      <x:c r="H44" s="33"/>
    </x:row>
    <x:row r="45" ht="66" customHeight="1">
      <x:c r="A45" s="33" t="str">
        <x:v>Reutilización mayor</x:v>
      </x:c>
      <x:c r="B45" s="47" t="n">
        <x:v>0.3</x:v>
      </x:c>
      <x:c r="C45" s="49" t="n">
        <x:f>F38+ROUND(C38*(1-B45),0)</x:f>
        <x:v>458</x:v>
      </x:c>
      <x:c r="D45" s="33" t="str">
        <x:v>No es un intervalo estadístico de confianza.</x:v>
      </x:c>
      <x:c r="E45" s="33"/>
      <x:c r="F45" s="33"/>
      <x:c r="G45" s="33"/>
      <x:c r="H45" s="33"/>
    </x:row>
  </x:sheetData>
  <x:mergeCells>
    <x:mergeCell ref="A1:D1"/>
    <x:mergeCell ref="A2:F2"/>
  </x:mergeCells>
  <x:pageMargins left="0.7" right="0.7" top="0.75" bottom="0.75" header="0.3" footer="0.3"/>
  <x:tableParts count="1">
    <x:tablePart xmlns:r="http://schemas.openxmlformats.org/officeDocument/2006/relationships" r:id="R418fc0a22920418f"/>
  </x:tableParts>
</x:worksheet>
</file>

<file path=xl/worksheets/sheet7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65" hidden="0" customWidth="1"/>
    <x:col min="3" max="3" width="90" hidden="0" customWidth="1"/>
    <x:col min="4" max="4" width="37" hidden="0" customWidth="1"/>
    <x:col min="5" max="5" width="98" hidden="0" customWidth="1"/>
    <x:col min="6" max="6" width="62" hidden="0" customWidth="1"/>
    <x:col min="7" max="7" width="106" hidden="0" customWidth="1"/>
    <x:col min="8" max="8" width="76" hidden="0" customWidth="1"/>
    <x:col min="9" max="9" width="16" hidden="0" customWidth="1"/>
  </x:cols>
  <x:sheetData>
    <x:row r="1" ht="34" customHeight="1">
      <x:c r="A1" s="36" t="str">
        <x:v>Bibliografía razonada y procedencia</x:v>
      </x:c>
      <x:c r="B1" s="35"/>
      <x:c r="C1" s="35"/>
      <x:c r="D1" s="35"/>
      <x:c r="E1" s="35"/>
      <x:c r="F1" s="35"/>
      <x:c r="G1" s="35"/>
      <x:c r="H1" s="35"/>
      <x:c r="I1" s="35"/>
    </x:row>
    <x:row r="2" ht="46" customHeight="1">
      <x:c r="A2" s="37" t="str">
        <x:v>Las referencias educativas sostienen el catálogo y el mapa de operaciones. Las fuentes técnicas se aplican con sus límites de plataforma y finalidad.</x:v>
      </x:c>
      <x:c r="B2" s="35"/>
      <x:c r="C2" s="35"/>
      <x:c r="D2" s="35"/>
      <x:c r="E2" s="35"/>
      <x:c r="F2" s="35"/>
      <x:c r="G2" s="35"/>
      <x:c r="H2" s="35"/>
      <x:c r="I2" s="35"/>
    </x:row>
    <x:row r="3">
      <x:c r="A3" s="35"/>
      <x:c r="B3" s="35"/>
      <x:c r="C3" s="35"/>
      <x:c r="D3" s="35"/>
      <x:c r="E3" s="35"/>
      <x:c r="F3" s="35"/>
      <x:c r="G3" s="35"/>
      <x:c r="H3" s="35"/>
      <x:c r="I3" s="35"/>
    </x:row>
    <x:row r="4" ht="42" customHeight="1">
      <x:c r="A4" s="39" t="str">
        <x:v>Referencia</x:v>
      </x:c>
      <x:c r="B4" s="39" t="str">
        <x:v>Autoría</x:v>
      </x:c>
      <x:c r="C4" s="39" t="str">
        <x:v>Título</x:v>
      </x:c>
      <x:c r="D4" s="39" t="str">
        <x:v>Fecha o edición</x:v>
      </x:c>
      <x:c r="E4" s="39" t="str">
        <x:v>Documento original</x:v>
      </x:c>
      <x:c r="F4" s="39" t="str">
        <x:v>Localizador</x:v>
      </x:c>
      <x:c r="G4" s="39" t="str">
        <x:v>Aportación y límite</x:v>
      </x:c>
      <x:c r="H4" s="39" t="str">
        <x:v>SHA-256 del original</x:v>
      </x:c>
      <x:c r="I4" s="39" t="str">
        <x:v>Bytes</x:v>
      </x:c>
    </x:row>
    <x:row r="5" ht="47" customHeight="1">
      <x:c r="A5" s="35" t="str">
        <x:v>T001</x:v>
      </x:c>
      <x:c r="B5" s="35" t="str">
        <x:v>Souppaya, M.; Scarfone, K.</x:v>
      </x:c>
      <x:c r="C5" s="35" t="str">
        <x:v>Guide to Enterprise Patch Management Planning: Preventive Maintenance for Technology. NIST SP 800-40r4</x:v>
      </x:c>
      <x:c r="D5" s="35" t="str">
        <x:v>2022, abril</x:v>
      </x:c>
      <x:c r="E5" s="35" t="str">
        <x:v>https://doi.org/10.6028/NIST.SP.800-40r4</x:v>
      </x:c>
      <x:c r="F5" s="35" t="str">
        <x:v>§§2.2–2.3, pp. 4–7; §§3.1–3.5</x:v>
      </x:c>
      <x:c r="G5" s="35" t="str">
        <x:v>Fundamento profesional del ciclo de actualización, de la verificación del efecto y del balance de recursos.</x:v>
      </x:c>
      <x:c r="H5" s="35" t="str">
        <x:v>351f4a828d6c0bc8bf98f25ba3f87ec5add0ed8cf8bb4a6e6cb4e7e4a9731833</x:v>
      </x:c>
      <x:c r="I5" s="35" t="n">
        <x:v>562944</x:v>
      </x:c>
    </x:row>
    <x:row r="6" ht="47" customHeight="1">
      <x:c r="A6" s="35" t="str">
        <x:v>F018</x:v>
      </x:c>
      <x:c r="B6" s="35" t="str">
        <x:v>Scarfone, K.; Souppaya, M.; Cody, A.; Orebaugh, A.</x:v>
      </x:c>
      <x:c r="C6" s="35" t="str">
        <x:v>Technical Guide to Information Security Testing and Assessment. NIST SP 800-115</x:v>
      </x:c>
      <x:c r="D6" s="35" t="str">
        <x:v>2008, septiembre</x:v>
      </x:c>
      <x:c r="E6" s="35" t="str">
        <x:v>https://doi.org/10.6028/NIST.SP.800-115</x:v>
      </x:c>
      <x:c r="F6" s="35" t="str">
        <x:v>§§3.4–3.6, 4.3, 6.5, 7.3–7.4</x:v>
      </x:c>
      <x:c r="G6" s="35" t="str">
        <x:v>Alcance y límites de las pruebas, resultados falsos y tratamiento de evidencia.</x:v>
      </x:c>
      <x:c r="H6" s="35" t="str">
        <x:v>58e5ed41e5c8ca34ce14fd80b70f118f2c6d613d1647bc307edca30bcc45f063</x:v>
      </x:c>
      <x:c r="I6" s="35" t="n">
        <x:v>544047</x:v>
      </x:c>
    </x:row>
    <x:row r="7" ht="47" customHeight="1">
      <x:c r="A7" s="35" t="str">
        <x:v>B01</x:v>
      </x:c>
      <x:c r="B7" s="35" t="str">
        <x:v>Johnson, A.; Dempsey, K.; Ross, R.; Gupta, S.; Bailey, D.</x:v>
      </x:c>
      <x:c r="C7" s="35" t="str">
        <x:v>Guide for Security-Focused Configuration Management of Information Systems. NIST SP 800-128</x:v>
      </x:c>
      <x:c r="D7" s="35" t="str">
        <x:v>2011; actualización editorial de 10-10-2019</x:v>
      </x:c>
      <x:c r="E7" s="35" t="str">
        <x:v>https://nvlpubs.nist.gov/nistpubs/SpecialPublications/NIST.SP.800-128.pdf</x:v>
      </x:c>
      <x:c r="F7" s="35" t="str">
        <x:v>§§3.2–3.4, pp. 30–44; apéndices E e I</x:v>
      </x:c>
      <x:c r="G7" s="35" t="str">
        <x:v>Configuración, efectos funcionales y de seguridad, autorización y cierre del cambio. La actualización de 2019 no introduce cambios técnicos.</x:v>
      </x:c>
      <x:c r="H7" s="35" t="str">
        <x:v>ee97c5be0a5a1c70165bf960c67042c5ed1bcb186aeb592eada60e512ab35a70</x:v>
      </x:c>
      <x:c r="I7" s="35" t="n">
        <x:v>1528756</x:v>
      </x:c>
    </x:row>
    <x:row r="8" ht="47" customHeight="1">
      <x:c r="A8" s="35" t="str">
        <x:v>B02</x:v>
      </x:c>
      <x:c r="B8" s="35" t="str">
        <x:v>Regenscheid, A.</x:v>
      </x:c>
      <x:c r="C8" s="35" t="str">
        <x:v>Platform Firmware Resiliency Guidelines. NIST SP 800-193</x:v>
      </x:c>
      <x:c r="D8" s="35" t="str">
        <x:v>2018, mayo</x:v>
      </x:c>
      <x:c r="E8" s="35" t="str">
        <x:v>https://nvlpubs.nist.gov/nistpubs/SpecialPublications/NIST.SP.800-193.pdf</x:v>
      </x:c>
      <x:c r="F8" s="35" t="str">
        <x:v>§§3–4</x:v>
      </x:c>
      <x:c r="G8" s="35" t="str">
        <x:v>Contraste de plataforma y firmware. No acredita un método universal de medición del firmware activo.</x:v>
      </x:c>
      <x:c r="H8" s="35" t="str">
        <x:v>a07a759fe0e58f91c92d466afc9c582d1e1ff3a7cd4a04600ec7f7ff61d5bb06</x:v>
      </x:c>
      <x:c r="I8" s="35" t="n">
        <x:v>516802</x:v>
      </x:c>
    </x:row>
    <x:row r="9" ht="47" customHeight="1">
      <x:c r="A9" s="35" t="str">
        <x:v>B03</x:v>
      </x:c>
      <x:c r="B9" s="35" t="str">
        <x:v>Moran, B.; Tschofenig, H.; Birkholz, H.</x:v>
      </x:c>
      <x:c r="C9" s="35" t="str">
        <x:v>A Manifest Information Model for Firmware Updates in Internet of Things (IoT) Devices. RFC 9124</x:v>
      </x:c>
      <x:c r="D9" s="35" t="str">
        <x:v>2022, enero</x:v>
      </x:c>
      <x:c r="E9" s="35" t="str">
        <x:v>https://www.rfc-editor.org/rfc/rfc9124.txt</x:v>
      </x:c>
      <x:c r="F9" s="35" t="str">
        <x:v>§§3.2–3.15, 3.19, 3.21, 3.25; §4</x:v>
      </x:c>
      <x:c r="G9" s="35" t="str">
        <x:v>Contraste informativo de identidad, autenticidad, precursor, selección y dependencias. No es una norma universal para todo activo IT.</x:v>
      </x:c>
      <x:c r="H9" s="35" t="str">
        <x:v>0a1647c36503262689791fe2853dd6a450314ea8b8a7f9add65c806a6319d354</x:v>
      </x:c>
      <x:c r="I9" s="35" t="n">
        <x:v>85281</x:v>
      </x:c>
    </x:row>
    <x:row r="10" ht="47" customHeight="1">
      <x:c r="A10" s="35" t="str">
        <x:v>B04</x:v>
      </x:c>
      <x:c r="B10" s="35" t="str">
        <x:v>The Linux Kernel development community</x:v>
      </x:c>
      <x:c r="C10" s="35" t="str">
        <x:v>Livepatch</x:v>
      </x:c>
      <x:c r="D10" s="35" t="str">
        <x:v>Linux 6.8.0</x:v>
      </x:c>
      <x:c r="E10" s="35" t="str">
        <x:v>https://www.kernel.org/doc/html/v6.8/livepatch/livepatch.html</x:v>
      </x:c>
      <x:c r="F10" s="35" t="str">
        <x:v>§3, Consistency model; §§5.2–5.5</x:v>
      </x:c>
      <x:c r="G10" s="35" t="str">
        <x:v>Habilitación y transición por tarea, con semántica explícita del estado -1 y límites del mecanismo.</x:v>
      </x:c>
      <x:c r="H10" s="35" t="str">
        <x:v>8e722eea12ec279aff87d266215e07b54441b68691b921035198da4413b8cb1f</x:v>
      </x:c>
      <x:c r="I10" s="35" t="n">
        <x:v>35535</x:v>
      </x:c>
    </x:row>
    <x:row r="11" ht="47" customHeight="1">
      <x:c r="A11" s="35" t="str">
        <x:v>B05</x:v>
      </x:c>
      <x:c r="B11" s="35" t="str">
        <x:v>The Linux Kernel development community</x:v>
      </x:c>
      <x:c r="C11" s="35" t="str">
        <x:v>System State Changes</x:v>
      </x:c>
      <x:c r="D11" s="35" t="str">
        <x:v>Linux 6.8.0</x:v>
      </x:c>
      <x:c r="E11" s="35" t="str">
        <x:v>https://www.kernel.org/doc/html/v6.8/livepatch/system-state.html</x:v>
      </x:c>
      <x:c r="F11" s="35" t="str">
        <x:v>§§1–4</x:v>
      </x:c>
      <x:c r="G11" s="35" t="str">
        <x:v>Compatibilidad entre parches y modificación de estado compartido; base para contrastar obligaciones adicionales.</x:v>
      </x:c>
      <x:c r="H11" s="35" t="str">
        <x:v>7bef1ff9738fcd930833d214a738a79d7f23a818080f3501455364dffa5b7031</x:v>
      </x:c>
      <x:c r="I11" s="35" t="n">
        <x:v>17356</x:v>
      </x:c>
    </x:row>
    <x:row r="12" ht="47" customHeight="1">
      <x:c r="A12" s="35" t="str">
        <x:v>B06</x:v>
      </x:c>
      <x:c r="B12" s="35" t="str">
        <x:v>Microsoft</x:v>
      </x:c>
      <x:c r="C12" s="35" t="str">
        <x:v>FlushFileBuffers function (fileapi.h)</x:v>
      </x:c>
      <x:c r="D12" s="35" t="str">
        <x:v>Metadato ms.date=2018-12-05; captura de 09-09-2026</x:v>
      </x:c>
      <x:c r="E12" s="35" t="str">
        <x:v>https://learn.microsoft.com/en-us/windows/win32/api/fileapi/nf-fileapi-flushfilebuffers</x:v>
      </x:c>
      <x:c r="F12" s="35" t="str">
        <x:v>Return value; Remarks</x:v>
      </x:c>
      <x:c r="G12" s="35" t="str">
        <x:v>Resultado y alcance de una sincronización de archivo.</x:v>
      </x:c>
      <x:c r="H12" s="35" t="str">
        <x:v>79dc26fd14d4503424530e24d95c931d5ee8229bf10418ce819b2b853ea2d00a</x:v>
      </x:c>
      <x:c r="I12" s="35" t="n">
        <x:v>54775</x:v>
      </x:c>
    </x:row>
    <x:row r="13" ht="47" customHeight="1">
      <x:c r="A13" s="35" t="str">
        <x:v>B07</x:v>
      </x:c>
      <x:c r="B13" s="35" t="str">
        <x:v>Microsoft</x:v>
      </x:c>
      <x:c r="C13" s="35" t="str">
        <x:v>FlushViewOfFile function (memoryapi.h)</x:v>
      </x:c>
      <x:c r="D13" s="35" t="str">
        <x:v>Metadato ms.date=2018-12-05; captura de 09-09-2026</x:v>
      </x:c>
      <x:c r="E13" s="35" t="str">
        <x:v>https://learn.microsoft.com/en-us/windows/win32/api/memoryapi/nf-memoryapi-flushviewoffile</x:v>
      </x:c>
      <x:c r="F13" s="35" t="str">
        <x:v>Remarks</x:v>
      </x:c>
      <x:c r="G13" s="35" t="str">
        <x:v>Contraejemplo a equiparar escritura de páginas, metadatos y persistencia en el dispositivo.</x:v>
      </x:c>
      <x:c r="H13" s="35" t="str">
        <x:v>beac4bcc9a9b5d9bd2432dbdcf26b7fc28b3b4ad21356220bd87d07bdd8f7a24</x:v>
      </x:c>
      <x:c r="I13" s="35" t="n">
        <x:v>54343</x:v>
      </x:c>
    </x:row>
    <x:row r="14" ht="47" customHeight="1">
      <x:c r="A14" s="35" t="str">
        <x:v>B08</x:v>
      </x:c>
      <x:c r="B14" s="35" t="str">
        <x:v>Dai, J.; Zhang, Y.; Jiang, Z.; Zhou, Y.; Chen, J.; Xing, X.; Zhang, X.; Tan, X.; Yang, M.; Yang, Z.</x:v>
      </x:c>
      <x:c r="C14" s="35" t="str">
        <x:v>BScout: Direct Whole Patch Presence Test for Java Executables. 29th USENIX Security Symposium, pp. 1147–1164</x:v>
      </x:c>
      <x:c r="D14" s="35" t="str">
        <x:v>2020</x:v>
      </x:c>
      <x:c r="E14" s="35" t="str">
        <x:v>https://www.usenix.org/system/files/sec20-dai.pdf</x:v>
      </x:c>
      <x:c r="F14" s="35" t="str">
        <x:v>§1, pp. 1147–1148; §§4–6 para el alcance del estudio</x:v>
      </x:c>
      <x:c r="G14" s="35" t="str">
        <x:v>Estudio empírico sobre presencia íntegra de parches en ejecutables Java. Sus resultados no se transfieren a todas las plataformas ni validan este catálogo.</x:v>
      </x:c>
      <x:c r="H14" s="35" t="str">
        <x:v>1cf87257c42e90fffeb720071bcd19af1a64e7e9e12a78c1fea4413a403409a9</x:v>
      </x:c>
      <x:c r="I14" s="35" t="n">
        <x:v>1166482</x:v>
      </x:c>
    </x:row>
    <x:row r="15" ht="62" customHeight="1">
      <x:c r="A15" s="35" t="str">
        <x:v>B09</x:v>
      </x:c>
      <x:c r="B15" s="35" t="str">
        <x:v>Sun, S.; Xing, Y.; Wang, X.; Wang, S.; Li, Q.; Sun, K.</x:v>
      </x:c>
      <x:c r="C15" s="35" t="str">
        <x:v>DisPatch: Unraveling Security Patches from Entangled Code Changes. 34th USENIX Security Symposium</x:v>
      </x:c>
      <x:c r="D15" s="35" t="str">
        <x:v>2025</x:v>
      </x:c>
      <x:c r="E15" s="35" t="str">
        <x:v>https://www.usenix.org/system/files/usenixsecurity25-sun-shiyu.pdf</x:v>
      </x:c>
      <x:c r="F15" s="35" t="str">
        <x:v>§1, pp. 4521–4522; §7, evaluación; §8, discusión y límites</x:v>
      </x:c>
      <x:c r="G15" s="35" t="str">
        <x:v>Estudio sobre dependencias de modificaciones de código. Compilar un fragmento separado no acredita que resuelva íntegramente la vulnerabilidad. La delimitación de un parche individual también requiere juicio experto.</x:v>
      </x:c>
      <x:c r="H15" s="35" t="str">
        <x:v>371213ac4cda45351ee7adfa7d18624194992121fb00826fc6690fd667e657f2</x:v>
      </x:c>
      <x:c r="I15" s="35" t="n">
        <x:v>1000060</x:v>
      </x:c>
    </x:row>
    <x:row r="16" ht="47" customHeight="1">
      <x:c r="A16" s="35" t="str">
        <x:v>B10</x:v>
      </x:c>
      <x:c r="B16" s="35" t="str">
        <x:v>Swanson, M.; Bowen, P.; Phillips, A.; Gallup, D.; Lynes, D.</x:v>
      </x:c>
      <x:c r="C16" s="35" t="str">
        <x:v>Contingency Planning Guide for Federal Information Systems. NIST SP 800-34 Rev. 1</x:v>
      </x:c>
      <x:c r="D16" s="35" t="str">
        <x:v>2010; actualización de 11-11-2010</x:v>
      </x:c>
      <x:c r="E16" s="35" t="str">
        <x:v>https://nvlpubs.nist.gov/nistpubs/Legacy/SP/nistspecialpublication800-34r1.pdf</x:v>
      </x:c>
      <x:c r="F16" s="35" t="str">
        <x:v>§3.2, pp. 15–19; §§3.4.1, 4.3</x:v>
      </x:c>
      <x:c r="G16" s="35" t="str">
        <x:v>Relación entre servicios, dependencias, impacto y recuperación. Un objetivo temporal no es un resultado medido.</x:v>
      </x:c>
      <x:c r="H16" s="35" t="str">
        <x:v>476f04d4c60b0770c1ac8b2720551972074ce78e936a3e7a535048416111d0df</x:v>
      </x:c>
      <x:c r="I16" s="35" t="n">
        <x:v>952921</x:v>
      </x:c>
    </x:row>
    <x:row r="17" ht="47" customHeight="1">
      <x:c r="A17" s="35" t="str">
        <x:v>B11</x:v>
      </x:c>
      <x:c r="B17" s="35" t="str">
        <x:v>Microsoft</x:v>
      </x:c>
      <x:c r="C17" s="35" t="str">
        <x:v>File Caching</x:v>
      </x:c>
      <x:c r="D17" s="35" t="str">
        <x:v>Metadato ms.date=2018-05-31; captura de 09-09-2026</x:v>
      </x:c>
      <x:c r="E17" s="35" t="str">
        <x:v>https://learn.microsoft.com/en-us/windows/win32/fileio/file-caching</x:v>
      </x:c>
      <x:c r="F17" s="35" t="str">
        <x:v>Texto principal</x:v>
      </x:c>
      <x:c r="G17" s="35" t="str">
        <x:v>Diferencia entre escrituras almacenadas en memoria y su sincronización; intercambio entre rendimiento y fiabilidad.</x:v>
      </x:c>
      <x:c r="H17" s="35" t="str">
        <x:v>ed28b034537b9f1953fa1b07ae06afb7f99650f7b9c4b1ff238815eca604c299</x:v>
      </x:c>
      <x:c r="I17" s="35" t="n">
        <x:v>51584</x:v>
      </x:c>
    </x:row>
    <x:row r="18" ht="47" customHeight="1">
      <x:c r="A18" s="35" t="str">
        <x:v>B12</x:v>
      </x:c>
      <x:c r="B18" s="35" t="str">
        <x:v>Microsoft</x:v>
      </x:c>
      <x:c r="C18" s="35" t="str">
        <x:v>MoveFileExW function (winbase.h)</x:v>
      </x:c>
      <x:c r="D18" s="35" t="str">
        <x:v>Metadato ms.date=2018-12-05; captura de 09-09-2026</x:v>
      </x:c>
      <x:c r="E18" s="35" t="str">
        <x:v>https://learn.microsoft.com/en-us/windows/win32/api/winbase/nf-winbase-movefileexw</x:v>
      </x:c>
      <x:c r="F18" s="35" t="str">
        <x:v>MOVEFILE_DELAY_UNTIL_REBOOT; MOVEFILE_WRITE_THROUGH; Remarks</x:v>
      </x:c>
      <x:c r="G18" s="35" t="str">
        <x:v>Operaciones diferidas de archivo y límites de la confirmación de programación.</x:v>
      </x:c>
      <x:c r="H18" s="35" t="str">
        <x:v>a0910a82494c8d1e568502ee0d42bc9dc7ab3038cb943f84eb5a7cc2ad559bcc</x:v>
      </x:c>
      <x:c r="I18" s="35" t="n">
        <x:v>62973</x:v>
      </x:c>
    </x:row>
    <x:row r="19" ht="47" customHeight="1">
      <x:c r="A19" s="35" t="str">
        <x:v>T002</x:v>
      </x:c>
      <x:c r="B19" s="35" t="str">
        <x:v>Microsoft</x:v>
      </x:c>
      <x:c r="C19" s="35" t="str">
        <x:v>IUpdateInstallationResult::get_RebootRequired</x:v>
      </x:c>
      <x:c r="D19" s="35" t="str">
        <x:v>Metadato ms.date=2018-12-05; captura de 08–09-09-2026</x:v>
      </x:c>
      <x:c r="E19" s="35" t="str">
        <x:v>https://learn.microsoft.com/en-us/windows/win32/api/wuapi/nf-wuapi-iupdateinstallationresult-get_rebootrequired</x:v>
      </x:c>
      <x:c r="F19" s="35" t="str">
        <x:v>Remarks</x:v>
      </x:c>
      <x:c r="G19" s="35" t="str">
        <x:v>Requisito individual de reinicio.</x:v>
      </x:c>
      <x:c r="H19" s="35" t="str">
        <x:v>60d570d8f3004189142e2071cad26b8f442365276580c2b925733bffe3b012db</x:v>
      </x:c>
      <x:c r="I19" s="35" t="n">
        <x:v>50835</x:v>
      </x:c>
    </x:row>
    <x:row r="20" ht="47" customHeight="1">
      <x:c r="A20" s="35" t="str">
        <x:v>T003</x:v>
      </x:c>
      <x:c r="B20" s="35" t="str">
        <x:v>Microsoft</x:v>
      </x:c>
      <x:c r="C20" s="35" t="str">
        <x:v>InstallationRebootBehavior</x:v>
      </x:c>
      <x:c r="D20" s="35" t="str">
        <x:v>Captura de 08–09-09-2026</x:v>
      </x:c>
      <x:c r="E20" s="35" t="str">
        <x:v>https://learn.microsoft.com/en-us/openspecs/windows_protocols/ms-uamg/eee24bbd-0be7-4a81-bed5-bff1fbb1832b</x:v>
      </x:c>
      <x:c r="F20" s="35" t="str">
        <x:v>Enumeración</x:v>
      </x:c>
      <x:c r="G20" s="35" t="str">
        <x:v>Comportamiento previsto, distinto del resultado de instalación.</x:v>
      </x:c>
      <x:c r="H20" s="35" t="str">
        <x:v>706aa7f8fe5da9cc90ebbff73708976dbf1f80a3381eed4d91a14b0cb1743722</x:v>
      </x:c>
      <x:c r="I20" s="35" t="n">
        <x:v>36052</x:v>
      </x:c>
    </x:row>
    <x:row r="21" ht="47" customHeight="1">
      <x:c r="A21" s="35" t="str">
        <x:v>T004</x:v>
      </x:c>
      <x:c r="B21" s="35" t="str">
        <x:v>Microsoft</x:v>
      </x:c>
      <x:c r="C21" s="35" t="str">
        <x:v>OperationResultCode</x:v>
      </x:c>
      <x:c r="D21" s="35" t="str">
        <x:v>Metadato ms.date=2018-12-05; captura de 08–09-09-2026</x:v>
      </x:c>
      <x:c r="E21" s="35" t="str">
        <x:v>https://learn.microsoft.com/en-us/windows/win32/api/wuapi/ne-wuapi-operationresultcode</x:v>
      </x:c>
      <x:c r="F21" s="35" t="str">
        <x:v>Constants</x:v>
      </x:c>
      <x:c r="G21" s="35" t="str">
        <x:v>Semántica de los resultados de operación.</x:v>
      </x:c>
      <x:c r="H21" s="35" t="str">
        <x:v>d016f124e76dd51c6921338682697ecc9f81d3cb34925277261b71a1b9f67f8c</x:v>
      </x:c>
      <x:c r="I21" s="35" t="n">
        <x:v>50381</x:v>
      </x:c>
    </x:row>
    <x:row r="22" ht="47" customHeight="1">
      <x:c r="A22" s="35" t="str">
        <x:v>T005</x:v>
      </x:c>
      <x:c r="B22" s="35" t="str">
        <x:v>Microsoft</x:v>
      </x:c>
      <x:c r="C22" s="35" t="str">
        <x:v>IUpdateInstallationResult Properties</x:v>
      </x:c>
      <x:c r="D22" s="35" t="str">
        <x:v>Metadato ms.date=2018-05-31; captura de 08–09-09-2026</x:v>
      </x:c>
      <x:c r="E22" s="35" t="str">
        <x:v>https://learn.microsoft.com/en-us/windows/win32/wua_sdk/iupdateinstallationresult-properties</x:v>
      </x:c>
      <x:c r="F22" s="35" t="str">
        <x:v>Properties</x:v>
      </x:c>
      <x:c r="G22" s="35" t="str">
        <x:v>Separación de ResultCode, HResult y RebootRequired.</x:v>
      </x:c>
      <x:c r="H22" s="35" t="str">
        <x:v>9225a152705099736623664d8d79507c79175632f17b7590c6678df8dabea0ec</x:v>
      </x:c>
      <x:c r="I22" s="35" t="n">
        <x:v>47714</x:v>
      </x:c>
    </x:row>
    <x:row r="23" ht="47" customHeight="1">
      <x:c r="A23" s="35" t="str">
        <x:v>T006</x:v>
      </x:c>
      <x:c r="B23" s="35" t="str">
        <x:v>Microsoft</x:v>
      </x:c>
      <x:c r="C23" s="35" t="str">
        <x:v>IInstallationResult::GetUpdateResult</x:v>
      </x:c>
      <x:c r="D23" s="35" t="str">
        <x:v>Metadato ms.date=2018-12-05; captura de 08–09-09-2026</x:v>
      </x:c>
      <x:c r="E23" s="35" t="str">
        <x:v>https://learn.microsoft.com/en-us/windows/win32/api/wuapi/nf-wuapi-iinstallationresult-getupdateresult</x:v>
      </x:c>
      <x:c r="F23" s="35" t="str">
        <x:v>Parameters; Remarks</x:v>
      </x:c>
      <x:c r="G23" s="35" t="str">
        <x:v>Correspondencia con el índice original de la colección.</x:v>
      </x:c>
      <x:c r="H23" s="35" t="str">
        <x:v>55decce78c4396ff2a1b28ab75624d40891eecf7cf7dc73733452c8abb6eafcb</x:v>
      </x:c>
      <x:c r="I23" s="35" t="n">
        <x:v>50707</x:v>
      </x:c>
    </x:row>
    <x:row r="24" ht="47" customHeight="1">
      <x:c r="A24" s="35" t="str">
        <x:v>T007</x:v>
      </x:c>
      <x:c r="B24" s="35" t="str">
        <x:v>Microsoft</x:v>
      </x:c>
      <x:c r="C24" s="35" t="str">
        <x:v>Updates may not be installed with Fast Startup in Windows 10</x:v>
      </x:c>
      <x:c r="D24" s="35" t="str">
        <x:v>Metadato ms.date=2026-02-12; captura de 08–09-09-2026</x:v>
      </x:c>
      <x:c r="E24" s="35" t="str">
        <x:v>https://learn.microsoft.com/en-us/troubleshoot/windows-client/setup-upgrade-and-drivers/updates-not-install-with-fast-startup</x:v>
      </x:c>
      <x:c r="F24" s="35" t="str">
        <x:v>Summary; More information</x:v>
      </x:c>
      <x:c r="G24" s="35" t="str">
        <x:v>Diferencia entre inicio rápido y reinicio íntegro en ese perfil.</x:v>
      </x:c>
      <x:c r="H24" s="35" t="str">
        <x:v>0b4d699ffb67dff435405c972ad5be5a4788b3b658939cb3e54e53424ba487dd</x:v>
      </x:c>
      <x:c r="I24" s="35" t="n">
        <x:v>49266</x:v>
      </x:c>
    </x:row>
    <x:row r="25" ht="47" customHeight="1">
      <x:c r="A25" s="35" t="str">
        <x:v>T008</x:v>
      </x:c>
      <x:c r="B25" s="35" t="str">
        <x:v>Microsoft</x:v>
      </x:c>
      <x:c r="C25" s="35" t="str">
        <x:v>Dynamic-link library search order</x:v>
      </x:c>
      <x:c r="D25" s="35" t="str">
        <x:v>Metadato ms.date=2023-02-08; captura de 08–09-09-2026</x:v>
      </x:c>
      <x:c r="E25" s="35" t="str">
        <x:v>https://learn.microsoft.com/en-us/windows/win32/dlls/dynamic-link-library-search-order</x:v>
      </x:c>
      <x:c r="F25" s="35" t="str">
        <x:v>Factors that affect searching</x:v>
      </x:c>
      <x:c r="G25" s="35" t="str">
        <x:v>Selección de bibliotecas y efectos del contexto de carga.</x:v>
      </x:c>
      <x:c r="H25" s="35" t="str">
        <x:v>ca2ff1a77ec797c516025925c6f3df38358b0f8b306cd0778f09186cfadc7a16</x:v>
      </x:c>
      <x:c r="I25" s="35" t="n">
        <x:v>63810</x:v>
      </x:c>
    </x:row>
    <x:row r="26" ht="47" customHeight="1">
      <x:c r="A26" s="35" t="str">
        <x:v>T009</x:v>
      </x:c>
      <x:c r="B26" s="35" t="str">
        <x:v>Microsoft</x:v>
      </x:c>
      <x:c r="C26" s="35" t="str">
        <x:v>About Restart Manager</x:v>
      </x:c>
      <x:c r="D26" s="35" t="str">
        <x:v>Metadato ms.date=2018-05-31; captura de 08–09-09-2026</x:v>
      </x:c>
      <x:c r="E26" s="35" t="str">
        <x:v>https://learn.microsoft.com/en-us/windows/win32/rstmgr/about-restart-manager</x:v>
      </x:c>
      <x:c r="F26" s="35" t="str">
        <x:v>Texto principal</x:v>
      </x:c>
      <x:c r="G26" s="35" t="str">
        <x:v>Gestión de programas que usan archivos afectados.</x:v>
      </x:c>
      <x:c r="H26" s="35" t="str">
        <x:v>31523632eb52da14a7aafb6b8315b19e0ac8b2c5ef3ee11abe12ce5d9c4aded9</x:v>
      </x:c>
      <x:c r="I26" s="35" t="n">
        <x:v>49235</x:v>
      </x:c>
    </x:row>
    <x:row r="27" ht="47" customHeight="1">
      <x:c r="A27" s="35" t="str">
        <x:v>T010</x:v>
      </x:c>
      <x:c r="B27" s="35" t="str">
        <x:v>Microsoft</x:v>
      </x:c>
      <x:c r="C27" s="35" t="str">
        <x:v>IUpdateHistoryEntry interface</x:v>
      </x:c>
      <x:c r="D27" s="35" t="str">
        <x:v>Metadato ms.date=2018-12-05; captura de 08–09-09-2026</x:v>
      </x:c>
      <x:c r="E27" s="35" t="str">
        <x:v>https://learn.microsoft.com/en-us/windows/win32/api/wuapi/nn-wuapi-iupdatehistoryentry</x:v>
      </x:c>
      <x:c r="F27" s="35" t="str">
        <x:v>Methods</x:v>
      </x:c>
      <x:c r="G27" s="35" t="str">
        <x:v>Datos de historia de actualización; no prueba automática de cobertura.</x:v>
      </x:c>
      <x:c r="H27" s="35" t="str">
        <x:v>1c10caa71f853e1a5f70b241d408b584956f0285086c2e726f93ab465d242f7d</x:v>
      </x:c>
      <x:c r="I27" s="35" t="n">
        <x:v>52577</x:v>
      </x:c>
    </x:row>
    <x:row r="28" ht="47" customHeight="1">
      <x:c r="A28" s="35" t="str">
        <x:v>T011</x:v>
      </x:c>
      <x:c r="B28" s="35" t="str">
        <x:v>Microsoft</x:v>
      </x:c>
      <x:c r="C28" s="35" t="str">
        <x:v>UpdateOperation</x:v>
      </x:c>
      <x:c r="D28" s="35" t="str">
        <x:v>Metadato ms.date=2018-12-05; captura de 08–09-09-2026</x:v>
      </x:c>
      <x:c r="E28" s="35" t="str">
        <x:v>https://learn.microsoft.com/en-us/windows/win32/api/wuapi/ne-wuapi-updateoperation</x:v>
      </x:c>
      <x:c r="F28" s="35" t="str">
        <x:v>Constants</x:v>
      </x:c>
      <x:c r="G28" s="35" t="str">
        <x:v>Distinción entre instalación y desinstalación.</x:v>
      </x:c>
      <x:c r="H28" s="35" t="str">
        <x:v>8a46244c749fd5b075d756d5d01116ff9a58e2a8168eed766d4337aef07197b8</x:v>
      </x:c>
      <x:c r="I28" s="35" t="n">
        <x:v>49531</x:v>
      </x:c>
    </x:row>
    <x:row r="29" ht="47" customHeight="1">
      <x:c r="A29" s="35" t="str">
        <x:v>T012</x:v>
      </x:c>
      <x:c r="B29" s="35" t="str">
        <x:v>Microsoft</x:v>
      </x:c>
      <x:c r="C29" s="35" t="str">
        <x:v>GetModuleInformation</x:v>
      </x:c>
      <x:c r="D29" s="35" t="str">
        <x:v>Metadato ms.date=2018-12-05; captura de 08–09-09-2026</x:v>
      </x:c>
      <x:c r="E29" s="35" t="str">
        <x:v>https://learn.microsoft.com/en-us/windows/win32/api/psapi/nf-psapi-getmoduleinformation</x:v>
      </x:c>
      <x:c r="F29" s="35" t="str">
        <x:v>Parameters; Remarks</x:v>
      </x:c>
      <x:c r="G29" s="35" t="str">
        <x:v>Información de módulo y permisos de observación.</x:v>
      </x:c>
      <x:c r="H29" s="35" t="str">
        <x:v>6a3de9519144cdc43ab32fa5c207975809fdb14913b20e9473d84b74f8f656d2</x:v>
      </x:c>
      <x:c r="I29" s="35" t="n">
        <x:v>54456</x:v>
      </x:c>
    </x:row>
    <x:row r="30" ht="47" customHeight="1">
      <x:c r="A30" s="35" t="str">
        <x:v>T013</x:v>
      </x:c>
      <x:c r="B30" s="35" t="str">
        <x:v>Microsoft</x:v>
      </x:c>
      <x:c r="C30" s="35" t="str">
        <x:v>MODULEINFO structure</x:v>
      </x:c>
      <x:c r="D30" s="35" t="str">
        <x:v>Metadato ms.date=2018-12-05; captura de 08–09-09-2026</x:v>
      </x:c>
      <x:c r="E30" s="35" t="str">
        <x:v>https://learn.microsoft.com/en-us/windows/win32/api/psapi/ns-psapi-moduleinfo</x:v>
      </x:c>
      <x:c r="F30" s="35" t="str">
        <x:v>Members</x:v>
      </x:c>
      <x:c r="G30" s="35" t="str">
        <x:v>Dirección, tamaño y punto de entrada; no identidad criptográfica.</x:v>
      </x:c>
      <x:c r="H30" s="35" t="str">
        <x:v>d2e50a2cb472165399ae7a673d5946337d340f5162062ec1373bb6af9e63c230</x:v>
      </x:c>
      <x:c r="I30" s="35" t="n">
        <x:v>49924</x:v>
      </x:c>
    </x:row>
    <x:row r="31" ht="47" customHeight="1">
      <x:c r="A31" s="35" t="str">
        <x:v>T014</x:v>
      </x:c>
      <x:c r="B31" s="35" t="str">
        <x:v>Microsoft</x:v>
      </x:c>
      <x:c r="C31" s="35" t="str">
        <x:v>RM_UNIQUE_PROCESS</x:v>
      </x:c>
      <x:c r="D31" s="35" t="str">
        <x:v>Metadato ms.date=2018-12-05; captura de 08–09-09-2026</x:v>
      </x:c>
      <x:c r="E31" s="35" t="str">
        <x:v>https://learn.microsoft.com/en-us/windows/win32/api/restartmanager/ns-restartmanager-rm_unique_process</x:v>
      </x:c>
      <x:c r="F31" s="35" t="str">
        <x:v>Members</x:v>
      </x:c>
      <x:c r="G31" s="35" t="str">
        <x:v>Identificación de proceso mediante PID y tiempo de creación.</x:v>
      </x:c>
      <x:c r="H31" s="35" t="str">
        <x:v>85e053da03c91dc097e5b4943545a488e6ed157d128ac764cfd3c49d6c7849c3</x:v>
      </x:c>
      <x:c r="I31" s="35" t="n">
        <x:v>50868</x:v>
      </x:c>
    </x:row>
    <x:row r="32" ht="47" customHeight="1">
      <x:c r="A32" s="35" t="str">
        <x:v>T015</x:v>
      </x:c>
      <x:c r="B32" s="35" t="str">
        <x:v>Microsoft</x:v>
      </x:c>
      <x:c r="C32" s="35" t="str">
        <x:v>CreateProcessW</x:v>
      </x:c>
      <x:c r="D32" s="35" t="str">
        <x:v>Metadato ms.date=2018-12-05; captura de 08–09-09-2026</x:v>
      </x:c>
      <x:c r="E32" s="35" t="str">
        <x:v>https://learn.microsoft.com/en-us/windows/win32/api/processthreadsapi/nf-processthreadsapi-createprocessw</x:v>
      </x:c>
      <x:c r="F32" s="35" t="str">
        <x:v>Return value</x:v>
      </x:c>
      <x:c r="G32" s="35" t="str">
        <x:v>Creación anterior a la terminación de la inicialización.</x:v>
      </x:c>
      <x:c r="H32" s="35" t="str">
        <x:v>11a98c6ebf66ed61dd65bfdd30b0d41a109e9095efb25dbf4084d03a310ddf04</x:v>
      </x:c>
      <x:c r="I32" s="35" t="n">
        <x:v>76621</x:v>
      </x:c>
    </x:row>
    <x:row r="33" ht="47" customHeight="1">
      <x:c r="A33" s="35" t="str">
        <x:v>T016</x:v>
      </x:c>
      <x:c r="B33" s="35" t="str">
        <x:v>Microsoft</x:v>
      </x:c>
      <x:c r="C33" s="35" t="str">
        <x:v>Terminating a Process</x:v>
      </x:c>
      <x:c r="D33" s="35" t="str">
        <x:v>Metadato ms.date=2025-07-14; captura de 08–09-09-2026</x:v>
      </x:c>
      <x:c r="E33" s="35" t="str">
        <x:v>https://learn.microsoft.com/en-us/windows/win32/procthread/terminating-a-process</x:v>
      </x:c>
      <x:c r="F33" s="35" t="str">
        <x:v>How Processes are Terminated</x:v>
      </x:c>
      <x:c r="G33" s="35" t="str">
        <x:v>Procesos hijos y permanencia de objetos por referencias externas.</x:v>
      </x:c>
      <x:c r="H33" s="35" t="str">
        <x:v>86170fc387e742c7eebce69f9e046e8eed77e60bac7036da8bb23c03494769f3</x:v>
      </x:c>
      <x:c r="I33" s="35" t="n">
        <x:v>55831</x:v>
      </x:c>
    </x:row>
    <x:row r="34" ht="47" customHeight="1">
      <x:c r="A34" s="35" t="str">
        <x:v>R001</x:v>
      </x:c>
      <x:c r="B34" s="35" t="str">
        <x:v>Universidad Rey Juan Carlos</x:v>
      </x:c>
      <x:c r="C34" s="35" t="str">
        <x:v>FUNDAMENTOS FISICOS DE LA INFORMATICA. Guía docente del Grado en Ingeniería de la Ciberseguridad</x:v>
      </x:c>
      <x:c r="D34" s="35" t="str">
        <x:v>Curso 2026–2027</x:v>
      </x:c>
      <x:c r="E34" s="35" t="str">
        <x:v>https://gestion3.urjc.es/guiasdocentes/pdfGuia.jsp?txtAsignatura=2285001&amp;txtTitulacion=2285&amp;txtCursoAcademico=2026-27</x:v>
      </x:c>
      <x:c r="F34" s="35" t="str">
        <x:v>II. Presentación; III. Resultados de aprendizaje; IV. Contenido</x:v>
      </x:c>
      <x:c r="G34" s="35" t="str">
        <x:v>Base educativa. La ficha no constituye por sí sola un parámetro; su función se relaciona con la operación en el catálogo.</x:v>
      </x:c>
      <x:c r="H34" s="35" t="str">
        <x:v>7a86fe97ccbd6fbc869a88f5956df06de9f8c908b3a555c1f08756e8857ca687</x:v>
      </x:c>
      <x:c r="I34" s="35" t="n">
        <x:v>254990</x:v>
      </x:c>
    </x:row>
    <x:row r="35" ht="47" customHeight="1">
      <x:c r="A35" s="35" t="str">
        <x:v>R002</x:v>
      </x:c>
      <x:c r="B35" s="35" t="str">
        <x:v>Universidad Rey Juan Carlos</x:v>
      </x:c>
      <x:c r="C35" s="35" t="str">
        <x:v>INTRODUCCION A LA CIBERSEGURIDAD. Guía docente del Grado en Ingeniería de la Ciberseguridad</x:v>
      </x:c>
      <x:c r="D35" s="35" t="str">
        <x:v>Curso 2026–2027</x:v>
      </x:c>
      <x:c r="E35" s="35" t="str">
        <x:v>https://gestion3.urjc.es/guiasdocentes/pdfGuia.jsp?txtAsignatura=2285002&amp;txtTitulacion=2285&amp;txtCursoAcademico=2026-27</x:v>
      </x:c>
      <x:c r="F35" s="35" t="str">
        <x:v>II. Presentación; III. Resultados de aprendizaje; IV. Contenido</x:v>
      </x:c>
      <x:c r="G35" s="35" t="str">
        <x:v>Base educativa. La ficha no constituye por sí sola un parámetro; su función se relaciona con la operación en el catálogo.</x:v>
      </x:c>
      <x:c r="H35" s="35" t="str">
        <x:v>65f71204ec2a42a8d52dc6310404dec67262cd3e214a592acd39b9d1c75dad9b</x:v>
      </x:c>
      <x:c r="I35" s="35" t="n">
        <x:v>256731</x:v>
      </x:c>
    </x:row>
    <x:row r="36" ht="47" customHeight="1">
      <x:c r="A36" s="35" t="str">
        <x:v>R003</x:v>
      </x:c>
      <x:c r="B36" s="35" t="str">
        <x:v>Universidad Rey Juan Carlos</x:v>
      </x:c>
      <x:c r="C36" s="35" t="str">
        <x:v>INTRODUCCION A LA PROGRAMACION. Guía docente del Grado en Ingeniería de la Ciberseguridad</x:v>
      </x:c>
      <x:c r="D36" s="35" t="str">
        <x:v>Curso 2026–2027</x:v>
      </x:c>
      <x:c r="E36" s="35" t="str">
        <x:v>https://gestion3.urjc.es/guiasdocentes/pdfGuia.jsp?txtAsignatura=2285003&amp;txtTitulacion=2285&amp;txtCursoAcademico=2026-27</x:v>
      </x:c>
      <x:c r="F36" s="35" t="str">
        <x:v>II. Presentación; III. Resultados de aprendizaje; IV. Contenido</x:v>
      </x:c>
      <x:c r="G36" s="35" t="str">
        <x:v>Base educativa. La ficha no constituye por sí sola un parámetro; su función se relaciona con la operación en el catálogo.</x:v>
      </x:c>
      <x:c r="H36" s="35" t="str">
        <x:v>2799acb3657da92344d8b0ef05650b0c661de473a21adc76dd79a4cebc503635</x:v>
      </x:c>
      <x:c r="I36" s="35" t="n">
        <x:v>261305</x:v>
      </x:c>
    </x:row>
    <x:row r="37" ht="47" customHeight="1">
      <x:c r="A37" s="35" t="str">
        <x:v>R004</x:v>
      </x:c>
      <x:c r="B37" s="35" t="str">
        <x:v>Universidad Rey Juan Carlos</x:v>
      </x:c>
      <x:c r="C37" s="35" t="str">
        <x:v>LOGICA. Guía docente del Grado en Ingeniería de la Ciberseguridad</x:v>
      </x:c>
      <x:c r="D37" s="35" t="str">
        <x:v>Curso 2026–2027</x:v>
      </x:c>
      <x:c r="E37" s="35" t="str">
        <x:v>https://gestion3.urjc.es/guiasdocentes/pdfGuia.jsp?txtAsignatura=2285004&amp;txtTitulacion=2285&amp;txtCursoAcademico=2026-27</x:v>
      </x:c>
      <x:c r="F37" s="35" t="str">
        <x:v>II. Presentación; III. Resultados de aprendizaje; IV. Contenido</x:v>
      </x:c>
      <x:c r="G37" s="35" t="str">
        <x:v>Base educativa. La ficha no constituye por sí sola un parámetro; su función se relaciona con la operación en el catálogo.</x:v>
      </x:c>
      <x:c r="H37" s="35" t="str">
        <x:v>ec4de8fc685f03fd4b6fcd918ef9078cb4ce118547ff1b2d6f9bd84d25d7ebf5</x:v>
      </x:c>
      <x:c r="I37" s="35" t="n">
        <x:v>240994</x:v>
      </x:c>
    </x:row>
    <x:row r="38" ht="47" customHeight="1">
      <x:c r="A38" s="35" t="str">
        <x:v>R005</x:v>
      </x:c>
      <x:c r="B38" s="35" t="str">
        <x:v>Universidad Rey Juan Carlos</x:v>
      </x:c>
      <x:c r="C38" s="35" t="str">
        <x:v>MATEMATICA DISCRETA Y ALGEBRA. Guía docente del Grado en Ingeniería de la Ciberseguridad</x:v>
      </x:c>
      <x:c r="D38" s="35" t="str">
        <x:v>Curso 2026–2027</x:v>
      </x:c>
      <x:c r="E38" s="35" t="str">
        <x:v>https://gestion3.urjc.es/guiasdocentes/pdfGuia.jsp?txtAsignatura=2285005&amp;txtTitulacion=2285&amp;txtCursoAcademico=2026-27</x:v>
      </x:c>
      <x:c r="F38" s="35" t="str">
        <x:v>II. Presentación; III. Resultados de aprendizaje; IV. Contenido</x:v>
      </x:c>
      <x:c r="G38" s="35" t="str">
        <x:v>Base educativa. La ficha no constituye por sí sola un parámetro; su función se relaciona con la operación en el catálogo.</x:v>
      </x:c>
      <x:c r="H38" s="35" t="str">
        <x:v>2b93570b279b512d512199b89658c3299d13b0075a0b3e7bba84f3124fb37542</x:v>
      </x:c>
      <x:c r="I38" s="35" t="n">
        <x:v>263194</x:v>
      </x:c>
    </x:row>
    <x:row r="39" ht="47" customHeight="1">
      <x:c r="A39" s="35" t="str">
        <x:v>R006</x:v>
      </x:c>
      <x:c r="B39" s="35" t="str">
        <x:v>Universidad Rey Juan Carlos</x:v>
      </x:c>
      <x:c r="C39" s="35" t="str">
        <x:v>CALCULO. Guía docente del Grado en Ingeniería de la Ciberseguridad</x:v>
      </x:c>
      <x:c r="D39" s="35" t="str">
        <x:v>Curso 2026–2027</x:v>
      </x:c>
      <x:c r="E39" s="35" t="str">
        <x:v>https://gestion3.urjc.es/guiasdocentes/pdfGuia.jsp?txtAsignatura=2285006&amp;txtTitulacion=2285&amp;txtCursoAcademico=2026-27</x:v>
      </x:c>
      <x:c r="F39" s="35" t="str">
        <x:v>II. Presentación; III. Resultados de aprendizaje; IV. Contenido</x:v>
      </x:c>
      <x:c r="G39" s="35" t="str">
        <x:v>Base educativa. La ficha no constituye por sí sola un parámetro; su función se relaciona con la operación en el catálogo.</x:v>
      </x:c>
      <x:c r="H39" s="35" t="str">
        <x:v>3a3875fd4d077876f4918bc974e217afa3408202f710a18a4fb647c538a0c134</x:v>
      </x:c>
      <x:c r="I39" s="35" t="n">
        <x:v>260726</x:v>
      </x:c>
    </x:row>
    <x:row r="40" ht="47" customHeight="1">
      <x:c r="A40" s="35" t="str">
        <x:v>R007</x:v>
      </x:c>
      <x:c r="B40" s="35" t="str">
        <x:v>Universidad Rey Juan Carlos</x:v>
      </x:c>
      <x:c r="C40" s="35" t="str">
        <x:v>CRIPTOGRAFIA. Guía docente del Grado en Ingeniería de la Ciberseguridad</x:v>
      </x:c>
      <x:c r="D40" s="35" t="str">
        <x:v>Curso 2026–2027</x:v>
      </x:c>
      <x:c r="E40" s="35" t="str">
        <x:v>https://gestion3.urjc.es/guiasdocentes/pdfGuia.jsp?txtAsignatura=2285007&amp;txtTitulacion=2285&amp;txtCursoAcademico=2026-27</x:v>
      </x:c>
      <x:c r="F40" s="35" t="str">
        <x:v>II. Presentación; III. Resultados de aprendizaje; IV. Contenido</x:v>
      </x:c>
      <x:c r="G40" s="35" t="str">
        <x:v>Base educativa. La ficha no constituye por sí sola un parámetro; su función se relaciona con la operación en el catálogo.</x:v>
      </x:c>
      <x:c r="H40" s="35" t="str">
        <x:v>4a92430c8179d6cb4fbde6b8291837f079207e954edaa2f3108b8d1b5429b228</x:v>
      </x:c>
      <x:c r="I40" s="35" t="n">
        <x:v>276448</x:v>
      </x:c>
    </x:row>
    <x:row r="41" ht="47" customHeight="1">
      <x:c r="A41" s="35" t="str">
        <x:v>R008</x:v>
      </x:c>
      <x:c r="B41" s="35" t="str">
        <x:v>Universidad Rey Juan Carlos</x:v>
      </x:c>
      <x:c r="C41" s="35" t="str">
        <x:v>DIMENSIONES Y MODELO DE LA SEGURIDAD. Guía docente del Grado en Ingeniería de la Ciberseguridad</x:v>
      </x:c>
      <x:c r="D41" s="35" t="str">
        <x:v>Curso 2026–2027</x:v>
      </x:c>
      <x:c r="E41" s="35" t="str">
        <x:v>https://gestion3.urjc.es/guiasdocentes/pdfGuia.jsp?txtAsignatura=2285008&amp;txtTitulacion=2285&amp;txtCursoAcademico=2026-27</x:v>
      </x:c>
      <x:c r="F41" s="35" t="str">
        <x:v>II. Presentación; III. Resultados de aprendizaje; IV. Contenido</x:v>
      </x:c>
      <x:c r="G41" s="35" t="str">
        <x:v>Base educativa. La ficha no constituye por sí sola un parámetro; su función se relaciona con la operación en el catálogo.</x:v>
      </x:c>
      <x:c r="H41" s="35" t="str">
        <x:v>66f03609162789eb126ef5d82681953692ef1bb13be1c8251031a4abba09f79f</x:v>
      </x:c>
      <x:c r="I41" s="35" t="n">
        <x:v>244396</x:v>
      </x:c>
    </x:row>
    <x:row r="42" ht="47" customHeight="1">
      <x:c r="A42" s="35" t="str">
        <x:v>R009</x:v>
      </x:c>
      <x:c r="B42" s="35" t="str">
        <x:v>Universidad Rey Juan Carlos</x:v>
      </x:c>
      <x:c r="C42" s="35" t="str">
        <x:v>ESTADISTICA. Guía docente del Grado en Ingeniería de la Ciberseguridad</x:v>
      </x:c>
      <x:c r="D42" s="35" t="str">
        <x:v>Curso 2026–2027</x:v>
      </x:c>
      <x:c r="E42" s="35" t="str">
        <x:v>https://gestion3.urjc.es/guiasdocentes/pdfGuia.jsp?txtAsignatura=2285009&amp;txtTitulacion=2285&amp;txtCursoAcademico=2026-27</x:v>
      </x:c>
      <x:c r="F42" s="35" t="str">
        <x:v>II. Presentación; III. Resultados de aprendizaje; IV. Contenido</x:v>
      </x:c>
      <x:c r="G42" s="35" t="str">
        <x:v>Base educativa. La ficha no constituye por sí sola un parámetro; su función se relaciona con la operación en el catálogo.</x:v>
      </x:c>
      <x:c r="H42" s="35" t="str">
        <x:v>16d200dfa93afae5a9259cf199fd4be17c95e51af4417dc2fbe0f8a9ac903a6f</x:v>
      </x:c>
      <x:c r="I42" s="35" t="n">
        <x:v>234897</x:v>
      </x:c>
    </x:row>
    <x:row r="43" ht="47" customHeight="1">
      <x:c r="A43" s="35" t="str">
        <x:v>R010</x:v>
      </x:c>
      <x:c r="B43" s="35" t="str">
        <x:v>Universidad Rey Juan Carlos</x:v>
      </x:c>
      <x:c r="C43" s="35" t="str">
        <x:v>ESTRUCTURAS DE DATOS. Guía docente del Grado en Ingeniería de la Ciberseguridad</x:v>
      </x:c>
      <x:c r="D43" s="35" t="str">
        <x:v>Curso 2026–2027</x:v>
      </x:c>
      <x:c r="E43" s="35" t="str">
        <x:v>https://gestion3.urjc.es/guiasdocentes/pdfGuia.jsp?txtAsignatura=2285010&amp;txtTitulacion=2285&amp;txtCursoAcademico=2026-27</x:v>
      </x:c>
      <x:c r="F43" s="35" t="str">
        <x:v>II. Presentación; III. Resultados de aprendizaje; IV. Contenido</x:v>
      </x:c>
      <x:c r="G43" s="35" t="str">
        <x:v>Base educativa. La ficha no constituye por sí sola un parámetro; su función se relaciona con la operación en el catálogo.</x:v>
      </x:c>
      <x:c r="H43" s="35" t="str">
        <x:v>a64f1e5e5d8c98920a06723a59db00fb7ef641b33d8045fec866bf87b88f85fe</x:v>
      </x:c>
      <x:c r="I43" s="35" t="n">
        <x:v>282245</x:v>
      </x:c>
    </x:row>
    <x:row r="44" ht="47" customHeight="1">
      <x:c r="A44" s="35" t="str">
        <x:v>R011</x:v>
      </x:c>
      <x:c r="B44" s="35" t="str">
        <x:v>Universidad Rey Juan Carlos</x:v>
      </x:c>
      <x:c r="C44" s="35" t="str">
        <x:v>METODOS OPERATIVOS Y ESTADISTICOS DE GESTION. Guía docente del Grado en Ingeniería de la Ciberseguridad</x:v>
      </x:c>
      <x:c r="D44" s="35" t="str">
        <x:v>Curso 2026–2027</x:v>
      </x:c>
      <x:c r="E44" s="35" t="str">
        <x:v>https://gestion3.urjc.es/guiasdocentes/pdfGuia.jsp?txtAsignatura=2285011&amp;txtTitulacion=2285&amp;txtCursoAcademico=2026-27</x:v>
      </x:c>
      <x:c r="F44" s="35" t="str">
        <x:v>II. Presentación; III. Resultados de aprendizaje; IV. Contenido</x:v>
      </x:c>
      <x:c r="G44" s="35" t="str">
        <x:v>Base educativa. La ficha no constituye por sí sola un parámetro; su función se relaciona con la operación en el catálogo.</x:v>
      </x:c>
      <x:c r="H44" s="35" t="str">
        <x:v>e74bfbb745292ca76d0f47cd70a8d4eeaff9a879f02865a8084a20d70b1fac6b</x:v>
      </x:c>
      <x:c r="I44" s="35" t="n">
        <x:v>242475</x:v>
      </x:c>
    </x:row>
    <x:row r="45" ht="47" customHeight="1">
      <x:c r="A45" s="35" t="str">
        <x:v>R012</x:v>
      </x:c>
      <x:c r="B45" s="35" t="str">
        <x:v>Universidad Rey Juan Carlos</x:v>
      </x:c>
      <x:c r="C45" s="35" t="str">
        <x:v>PRINCIPIOS JURIDICOS BASICOS APLICADOS A LA CIBERSEGURIDAD. Guía docente del Grado en Ingeniería de la Ciberseguridad</x:v>
      </x:c>
      <x:c r="D45" s="35" t="str">
        <x:v>Curso 2026–2027</x:v>
      </x:c>
      <x:c r="E45" s="35" t="str">
        <x:v>https://gestion3.urjc.es/guiasdocentes/pdfGuia.jsp?txtAsignatura=2285012&amp;txtTitulacion=2285&amp;txtCursoAcademico=2026-27</x:v>
      </x:c>
      <x:c r="F45" s="35" t="str">
        <x:v>II. Presentación; III. Resultados de aprendizaje; IV. Contenido</x:v>
      </x:c>
      <x:c r="G45" s="35" t="str">
        <x:v>Base educativa. La ficha no constituye por sí sola un parámetro; su función se relaciona con la operación en el catálogo.</x:v>
      </x:c>
      <x:c r="H45" s="35" t="str">
        <x:v>58ed064b67fb961561aa7eb8aa34b6edb818dd0f8fc598cad50865b410cb515d</x:v>
      </x:c>
      <x:c r="I45" s="35" t="n">
        <x:v>295215</x:v>
      </x:c>
    </x:row>
    <x:row r="46" ht="47" customHeight="1">
      <x:c r="A46" s="35" t="str">
        <x:v>R013</x:v>
      </x:c>
      <x:c r="B46" s="35" t="str">
        <x:v>Universidad Rey Juan Carlos</x:v>
      </x:c>
      <x:c r="C46" s="35" t="str">
        <x:v>PROGRAMACION AVANZADA. Guía docente del Grado en Ingeniería de la Ciberseguridad</x:v>
      </x:c>
      <x:c r="D46" s="35" t="str">
        <x:v>Curso 2026–2027</x:v>
      </x:c>
      <x:c r="E46" s="35" t="str">
        <x:v>https://gestion3.urjc.es/guiasdocentes/pdfGuia.jsp?txtAsignatura=2285013&amp;txtTitulacion=2285&amp;txtCursoAcademico=2026-27</x:v>
      </x:c>
      <x:c r="F46" s="35" t="str">
        <x:v>II. Presentación; III. Resultados de aprendizaje; IV. Contenido</x:v>
      </x:c>
      <x:c r="G46" s="35" t="str">
        <x:v>Base educativa. La ficha no constituye por sí sola un parámetro; su función se relaciona con la operación en el catálogo.</x:v>
      </x:c>
      <x:c r="H46" s="35" t="str">
        <x:v>e669ce8a330d119882bcd1241bfdd4fc4659ec5c916aaa5700f1b844a4e38c2e</x:v>
      </x:c>
      <x:c r="I46" s="35" t="n">
        <x:v>296422</x:v>
      </x:c>
    </x:row>
    <x:row r="47" ht="47" customHeight="1">
      <x:c r="A47" s="35" t="str">
        <x:v>R014</x:v>
      </x:c>
      <x:c r="B47" s="35" t="str">
        <x:v>Universidad Rey Juan Carlos</x:v>
      </x:c>
      <x:c r="C47" s="35" t="str">
        <x:v>REDES DE COMPUTADORES. Guía docente del Grado en Ingeniería de la Ciberseguridad</x:v>
      </x:c>
      <x:c r="D47" s="35" t="str">
        <x:v>Curso 2026–2027</x:v>
      </x:c>
      <x:c r="E47" s="35" t="str">
        <x:v>https://gestion3.urjc.es/guiasdocentes/pdfGuia.jsp?txtAsignatura=2285014&amp;txtTitulacion=2285&amp;txtCursoAcademico=2026-27</x:v>
      </x:c>
      <x:c r="F47" s="35" t="str">
        <x:v>II. Presentación; III. Resultados de aprendizaje; IV. Contenido</x:v>
      </x:c>
      <x:c r="G47" s="35" t="str">
        <x:v>Base educativa. La ficha no constituye por sí sola un parámetro; su función se relaciona con la operación en el catálogo.</x:v>
      </x:c>
      <x:c r="H47" s="35" t="str">
        <x:v>ca29157aa82c65f5bd4837e5ce24e761e315a22efb233d1009096a1d9a7d90f3</x:v>
      </x:c>
      <x:c r="I47" s="35" t="n">
        <x:v>280984</x:v>
      </x:c>
    </x:row>
    <x:row r="48" ht="47" customHeight="1">
      <x:c r="A48" s="35" t="str">
        <x:v>R015</x:v>
      </x:c>
      <x:c r="B48" s="35" t="str">
        <x:v>Universidad Rey Juan Carlos</x:v>
      </x:c>
      <x:c r="C48" s="35" t="str">
        <x:v>TECNICAS DE HACKING. Guía docente del Grado en Ingeniería de la Ciberseguridad</x:v>
      </x:c>
      <x:c r="D48" s="35" t="str">
        <x:v>Curso 2026–2027</x:v>
      </x:c>
      <x:c r="E48" s="35" t="str">
        <x:v>https://gestion3.urjc.es/guiasdocentes/pdfGuia.jsp?txtAsignatura=2285015&amp;txtTitulacion=2285&amp;txtCursoAcademico=2026-27</x:v>
      </x:c>
      <x:c r="F48" s="35" t="str">
        <x:v>II. Presentación; III. Resultados de aprendizaje; IV. Contenido</x:v>
      </x:c>
      <x:c r="G48" s="35" t="str">
        <x:v>Base educativa. La ficha no constituye por sí sola un parámetro; su función se relaciona con la operación en el catálogo.</x:v>
      </x:c>
      <x:c r="H48" s="35" t="str">
        <x:v>e8e5dc75c5cfd6f8f096d5a892013167f5d971468b3fe0385246f096374d2187</x:v>
      </x:c>
      <x:c r="I48" s="35" t="n">
        <x:v>275514</x:v>
      </x:c>
    </x:row>
    <x:row r="49" ht="47" customHeight="1">
      <x:c r="A49" s="35" t="str">
        <x:v>R016</x:v>
      </x:c>
      <x:c r="B49" s="35" t="str">
        <x:v>Universidad Rey Juan Carlos</x:v>
      </x:c>
      <x:c r="C49" s="35" t="str">
        <x:v>BASES DE DATOS. Guía docente del Grado en Ingeniería de la Ciberseguridad</x:v>
      </x:c>
      <x:c r="D49" s="35" t="str">
        <x:v>Curso 2026–2027</x:v>
      </x:c>
      <x:c r="E49" s="35" t="str">
        <x:v>https://gestion3.urjc.es/guiasdocentes/pdfGuia.jsp?txtAsignatura=2285016&amp;txtTitulacion=2285&amp;txtCursoAcademico=2026-27</x:v>
      </x:c>
      <x:c r="F49" s="35" t="str">
        <x:v>II. Presentación; III. Resultados de aprendizaje; IV. Contenido</x:v>
      </x:c>
      <x:c r="G49" s="35" t="str">
        <x:v>Base educativa. La ficha no constituye por sí sola un parámetro; su función se relaciona con la operación en el catálogo.</x:v>
      </x:c>
      <x:c r="H49" s="35" t="str">
        <x:v>8601dd695e0b06e4e7543aabca3351cfa0a8fcb6ebc2dab91468d613243e5052</x:v>
      </x:c>
      <x:c r="I49" s="35" t="n">
        <x:v>281216</x:v>
      </x:c>
    </x:row>
    <x:row r="50" ht="47" customHeight="1">
      <x:c r="A50" s="35" t="str">
        <x:v>R017</x:v>
      </x:c>
      <x:c r="B50" s="35" t="str">
        <x:v>Universidad Rey Juan Carlos</x:v>
      </x:c>
      <x:c r="C50" s="35" t="str">
        <x:v>DESARROLLO WEB SEGURO. Guía docente del Grado en Ingeniería de la Ciberseguridad</x:v>
      </x:c>
      <x:c r="D50" s="35" t="str">
        <x:v>Curso 2026–2027</x:v>
      </x:c>
      <x:c r="E50" s="35" t="str">
        <x:v>https://gestion3.urjc.es/guiasdocentes/pdfGuia.jsp?txtAsignatura=2285017&amp;txtTitulacion=2285&amp;txtCursoAcademico=2026-27</x:v>
      </x:c>
      <x:c r="F50" s="35" t="str">
        <x:v>II. Presentación; III. Resultados de aprendizaje; IV. Contenido</x:v>
      </x:c>
      <x:c r="G50" s="35" t="str">
        <x:v>Base educativa. La ficha no constituye por sí sola un parámetro; su función se relaciona con la operación en el catálogo.</x:v>
      </x:c>
      <x:c r="H50" s="35" t="str">
        <x:v>5465ada8497dc5e55e6d662cc47d2f8aeb54ecea934bbeac8ea92f0ae7fc121f</x:v>
      </x:c>
      <x:c r="I50" s="35" t="n">
        <x:v>307413</x:v>
      </x:c>
    </x:row>
    <x:row r="51" ht="47" customHeight="1">
      <x:c r="A51" s="35" t="str">
        <x:v>R018</x:v>
      </x:c>
      <x:c r="B51" s="35" t="str">
        <x:v>Universidad Rey Juan Carlos</x:v>
      </x:c>
      <x:c r="C51" s="35" t="str">
        <x:v>ESTRUCTURA DE COMPUTADORES. Guía docente del Grado en Ingeniería de la Ciberseguridad</x:v>
      </x:c>
      <x:c r="D51" s="35" t="str">
        <x:v>Curso 2026–2027</x:v>
      </x:c>
      <x:c r="E51" s="35" t="str">
        <x:v>https://gestion3.urjc.es/guiasdocentes/pdfGuia.jsp?txtAsignatura=2285018&amp;txtTitulacion=2285&amp;txtCursoAcademico=2026-27</x:v>
      </x:c>
      <x:c r="F51" s="35" t="str">
        <x:v>II. Presentación; III. Resultados de aprendizaje; IV. Contenido</x:v>
      </x:c>
      <x:c r="G51" s="35" t="str">
        <x:v>Base educativa. La ficha no constituye por sí sola un parámetro; su función se relaciona con la operación en el catálogo.</x:v>
      </x:c>
      <x:c r="H51" s="35" t="str">
        <x:v>bec4547aa87fcc83d2dd5fc3c29942044bb8539ab0a35399b30ccea7323292ac</x:v>
      </x:c>
      <x:c r="I51" s="35" t="n">
        <x:v>281518</x:v>
      </x:c>
    </x:row>
    <x:row r="52" ht="47" customHeight="1">
      <x:c r="A52" s="35" t="str">
        <x:v>R019</x:v>
      </x:c>
      <x:c r="B52" s="35" t="str">
        <x:v>Universidad Rey Juan Carlos</x:v>
      </x:c>
      <x:c r="C52" s="35" t="str">
        <x:v>SEGURIDAD EN REDES. Guía docente del Grado en Ingeniería de la Ciberseguridad</x:v>
      </x:c>
      <x:c r="D52" s="35" t="str">
        <x:v>Curso 2026–2027</x:v>
      </x:c>
      <x:c r="E52" s="35" t="str">
        <x:v>https://gestion3.urjc.es/guiasdocentes/pdfGuia.jsp?txtAsignatura=2285019&amp;txtTitulacion=2285&amp;txtCursoAcademico=2026-27</x:v>
      </x:c>
      <x:c r="F52" s="35" t="str">
        <x:v>II. Presentación; III. Resultados de aprendizaje; IV. Contenido</x:v>
      </x:c>
      <x:c r="G52" s="35" t="str">
        <x:v>Base educativa. La ficha no constituye por sí sola un parámetro; su función se relaciona con la operación en el catálogo.</x:v>
      </x:c>
      <x:c r="H52" s="35" t="str">
        <x:v>28fa6b9d4179df1df651cea072042ee3186da0af9e95404071fd0fcd1ddb84b4</x:v>
      </x:c>
      <x:c r="I52" s="35" t="n">
        <x:v>258731</x:v>
      </x:c>
    </x:row>
    <x:row r="53" ht="47" customHeight="1">
      <x:c r="A53" s="35" t="str">
        <x:v>R020</x:v>
      </x:c>
      <x:c r="B53" s="35" t="str">
        <x:v>Universidad Rey Juan Carlos</x:v>
      </x:c>
      <x:c r="C53" s="35" t="str">
        <x:v>IDIOMA MODERNO. Guía docente del Grado en Ingeniería de la Ciberseguridad</x:v>
      </x:c>
      <x:c r="D53" s="35" t="str">
        <x:v>Curso 2026–2027</x:v>
      </x:c>
      <x:c r="E53" s="35" t="str">
        <x:v>https://gestion3.urjc.es/guiasdocentes/pdfGuia.jsp?txtAsignatura=2285020&amp;txtTitulacion=2285&amp;txtCursoAcademico=2026-27</x:v>
      </x:c>
      <x:c r="F53" s="35" t="str">
        <x:v>II. Presentación; III. Resultados de aprendizaje; IV. Contenido</x:v>
      </x:c>
      <x:c r="G53" s="35" t="str">
        <x:v>Base educativa. La ficha no constituye por sí sola un parámetro; su función se relaciona con la operación en el catálogo.</x:v>
      </x:c>
      <x:c r="H53" s="35" t="str">
        <x:v>43411520b5d33d815da08e0a581a84cce2e8dc5a2d29e57a29ab42e8ec43cf78</x:v>
      </x:c>
      <x:c r="I53" s="35" t="n">
        <x:v>552946</x:v>
      </x:c>
    </x:row>
    <x:row r="54" ht="47" customHeight="1">
      <x:c r="A54" s="35" t="str">
        <x:v>R021</x:v>
      </x:c>
      <x:c r="B54" s="35" t="str">
        <x:v>Universidad Rey Juan Carlos</x:v>
      </x:c>
      <x:c r="C54" s="35" t="str">
        <x:v>ARQUITECTURA DE COMPUTADORES. Guía docente del Grado en Ingeniería de la Ciberseguridad</x:v>
      </x:c>
      <x:c r="D54" s="35" t="str">
        <x:v>Curso 2026–2027</x:v>
      </x:c>
      <x:c r="E54" s="35" t="str">
        <x:v>https://gestion3.urjc.es/guiasdocentes/pdfGuia.jsp?txtAsignatura=2285021&amp;txtTitulacion=2285&amp;txtCursoAcademico=2026-27</x:v>
      </x:c>
      <x:c r="F54" s="35" t="str">
        <x:v>II. Presentación; III. Resultados de aprendizaje; IV. Contenido</x:v>
      </x:c>
      <x:c r="G54" s="35" t="str">
        <x:v>Base educativa. La ficha no constituye por sí sola un parámetro; su función se relaciona con la operación en el catálogo.</x:v>
      </x:c>
      <x:c r="H54" s="35" t="str">
        <x:v>743f98e8b904d2359f4bc05e9f7bda346c341b8a619d1f798d5a7c007f4c41d0</x:v>
      </x:c>
      <x:c r="I54" s="35" t="n">
        <x:v>261643</x:v>
      </x:c>
    </x:row>
    <x:row r="55" ht="47" customHeight="1">
      <x:c r="A55" s="35" t="str">
        <x:v>R022</x:v>
      </x:c>
      <x:c r="B55" s="35" t="str">
        <x:v>Universidad Rey Juan Carlos</x:v>
      </x:c>
      <x:c r="C55" s="35" t="str">
        <x:v>DISEÑO Y ANALISIS DE ALGORITMOS. Guía docente del Grado en Ingeniería de la Ciberseguridad</x:v>
      </x:c>
      <x:c r="D55" s="35" t="str">
        <x:v>Curso 2026–2027</x:v>
      </x:c>
      <x:c r="E55" s="35" t="str">
        <x:v>https://gestion3.urjc.es/guiasdocentes/pdfGuia.jsp?txtAsignatura=2285022&amp;txtTitulacion=2285&amp;txtCursoAcademico=2026-27</x:v>
      </x:c>
      <x:c r="F55" s="35" t="str">
        <x:v>II. Presentación; III. Resultados de aprendizaje; IV. Contenido</x:v>
      </x:c>
      <x:c r="G55" s="35" t="str">
        <x:v>Base educativa. La ficha no constituye por sí sola un parámetro; su función se relaciona con la operación en el catálogo.</x:v>
      </x:c>
      <x:c r="H55" s="35" t="str">
        <x:v>18fd4e605adaa5e9a1feabc2679e1d0cd16415266bf45d681fc5387c27a120a6</x:v>
      </x:c>
      <x:c r="I55" s="35" t="n">
        <x:v>255157</x:v>
      </x:c>
    </x:row>
    <x:row r="56" ht="47" customHeight="1">
      <x:c r="A56" s="35" t="str">
        <x:v>R023</x:v>
      </x:c>
      <x:c r="B56" s="35" t="str">
        <x:v>Universidad Rey Juan Carlos</x:v>
      </x:c>
      <x:c r="C56" s="35" t="str">
        <x:v>INGENIERIA DEL SOFTWARE. Guía docente del Grado en Ingeniería de la Ciberseguridad</x:v>
      </x:c>
      <x:c r="D56" s="35" t="str">
        <x:v>Curso 2026–2027</x:v>
      </x:c>
      <x:c r="E56" s="35" t="str">
        <x:v>https://gestion3.urjc.es/guiasdocentes/pdfGuia.jsp?txtAsignatura=2285023&amp;txtTitulacion=2285&amp;txtCursoAcademico=2026-27</x:v>
      </x:c>
      <x:c r="F56" s="35" t="str">
        <x:v>II. Presentación; III. Resultados de aprendizaje; IV. Contenido</x:v>
      </x:c>
      <x:c r="G56" s="35" t="str">
        <x:v>Base educativa. La ficha no constituye por sí sola un parámetro; su función se relaciona con la operación en el catálogo.</x:v>
      </x:c>
      <x:c r="H56" s="35" t="str">
        <x:v>1e34926c4bb524a1516ecb619caf413954ee85240e5ce39acff4f6179954f133</x:v>
      </x:c>
      <x:c r="I56" s="35" t="n">
        <x:v>301478</x:v>
      </x:c>
    </x:row>
    <x:row r="57" ht="47" customHeight="1">
      <x:c r="A57" s="35" t="str">
        <x:v>R024</x:v>
      </x:c>
      <x:c r="B57" s="35" t="str">
        <x:v>Universidad Rey Juan Carlos</x:v>
      </x:c>
      <x:c r="C57" s="35" t="str">
        <x:v>SEGURIDAD EN BASES DE DATOS. Guía docente del Grado en Ingeniería de la Ciberseguridad</x:v>
      </x:c>
      <x:c r="D57" s="35" t="str">
        <x:v>Curso 2026–2027</x:v>
      </x:c>
      <x:c r="E57" s="35" t="str">
        <x:v>https://gestion3.urjc.es/guiasdocentes/pdfGuia.jsp?txtAsignatura=2285024&amp;txtTitulacion=2285&amp;txtCursoAcademico=2026-27</x:v>
      </x:c>
      <x:c r="F57" s="35" t="str">
        <x:v>II. Presentación; III. Resultados de aprendizaje; IV. Contenido</x:v>
      </x:c>
      <x:c r="G57" s="35" t="str">
        <x:v>Base educativa. La ficha no constituye por sí sola un parámetro; su función se relaciona con la operación en el catálogo.</x:v>
      </x:c>
      <x:c r="H57" s="35" t="str">
        <x:v>72d355d6617ab9aa7c357dd1d31b42cb00c13fbd891bf5a698c51ca597d4eec5</x:v>
      </x:c>
      <x:c r="I57" s="35" t="n">
        <x:v>281035</x:v>
      </x:c>
    </x:row>
    <x:row r="58" ht="47" customHeight="1">
      <x:c r="A58" s="35" t="str">
        <x:v>R025</x:v>
      </x:c>
      <x:c r="B58" s="35" t="str">
        <x:v>Universidad Rey Juan Carlos</x:v>
      </x:c>
      <x:c r="C58" s="35" t="str">
        <x:v>SISTEMAS OPERATIVOS. Guía docente del Grado en Ingeniería de la Ciberseguridad</x:v>
      </x:c>
      <x:c r="D58" s="35" t="str">
        <x:v>Curso 2026–2027</x:v>
      </x:c>
      <x:c r="E58" s="35" t="str">
        <x:v>https://gestion3.urjc.es/guiasdocentes/pdfGuia.jsp?txtAsignatura=2285025&amp;txtTitulacion=2285&amp;txtCursoAcademico=2026-27</x:v>
      </x:c>
      <x:c r="F58" s="35" t="str">
        <x:v>II. Presentación; III. Resultados de aprendizaje; IV. Contenido</x:v>
      </x:c>
      <x:c r="G58" s="35" t="str">
        <x:v>Base educativa. La ficha no constituye por sí sola un parámetro; su función se relaciona con la operación en el catálogo.</x:v>
      </x:c>
      <x:c r="H58" s="35" t="str">
        <x:v>b3af36599e0e0358090f8457da07c8994e6c92e02e01368c49c63ca44a24c540</x:v>
      </x:c>
      <x:c r="I58" s="35" t="n">
        <x:v>282277</x:v>
      </x:c>
    </x:row>
    <x:row r="59" ht="47" customHeight="1">
      <x:c r="A59" s="35" t="str">
        <x:v>R026</x:v>
      </x:c>
      <x:c r="B59" s="35" t="str">
        <x:v>Universidad Rey Juan Carlos</x:v>
      </x:c>
      <x:c r="C59" s="35" t="str">
        <x:v>INTELIGENCIA ARTIFICIAL. Guía docente del Grado en Ingeniería de la Ciberseguridad</x:v>
      </x:c>
      <x:c r="D59" s="35" t="str">
        <x:v>Curso 2026–2027</x:v>
      </x:c>
      <x:c r="E59" s="35" t="str">
        <x:v>https://gestion3.urjc.es/guiasdocentes/pdfGuia.jsp?txtAsignatura=2285026&amp;txtTitulacion=2285&amp;txtCursoAcademico=2026-27</x:v>
      </x:c>
      <x:c r="F59" s="35" t="str">
        <x:v>II. Presentación; III. Resultados de aprendizaje; IV. Contenido</x:v>
      </x:c>
      <x:c r="G59" s="35" t="str">
        <x:v>Base educativa. La ficha no constituye por sí sola un parámetro; su función se relaciona con la operación en el catálogo.</x:v>
      </x:c>
      <x:c r="H59" s="35" t="str">
        <x:v>716d4089a3aeeefdb990de12e2e2b2f77cf54d8260f4f4af32d2de84f0904eca</x:v>
      </x:c>
      <x:c r="I59" s="35" t="n">
        <x:v>239664</x:v>
      </x:c>
    </x:row>
    <x:row r="60" ht="47" customHeight="1">
      <x:c r="A60" s="35" t="str">
        <x:v>R027</x:v>
      </x:c>
      <x:c r="B60" s="35" t="str">
        <x:v>Universidad Rey Juan Carlos</x:v>
      </x:c>
      <x:c r="C60" s="35" t="str">
        <x:v>MALWARE Y AMENAZAS DIRIGIDAS. Guía docente del Grado en Ingeniería de la Ciberseguridad</x:v>
      </x:c>
      <x:c r="D60" s="35" t="str">
        <x:v>Curso 2026–2027</x:v>
      </x:c>
      <x:c r="E60" s="35" t="str">
        <x:v>https://gestion3.urjc.es/guiasdocentes/pdfGuia.jsp?txtAsignatura=2285027&amp;txtTitulacion=2285&amp;txtCursoAcademico=2026-27</x:v>
      </x:c>
      <x:c r="F60" s="35" t="str">
        <x:v>II. Presentación; III. Resultados de aprendizaje; IV. Contenido</x:v>
      </x:c>
      <x:c r="G60" s="35" t="str">
        <x:v>Base educativa. La ficha no constituye por sí sola un parámetro; su función se relaciona con la operación en el catálogo.</x:v>
      </x:c>
      <x:c r="H60" s="35" t="str">
        <x:v>f42857213ee5f8d9f36cd61f8f733227d9d8c28e3c88d8a21f1f1b85315e65c7</x:v>
      </x:c>
      <x:c r="I60" s="35" t="n">
        <x:v>278293</x:v>
      </x:c>
    </x:row>
    <x:row r="61" ht="47" customHeight="1">
      <x:c r="A61" s="35" t="str">
        <x:v>R028</x:v>
      </x:c>
      <x:c r="B61" s="35" t="str">
        <x:v>Universidad Rey Juan Carlos</x:v>
      </x:c>
      <x:c r="C61" s="35" t="str">
        <x:v>METODOLOGIAS DE DESARROLLO SEGURO. Guía docente del Grado en Ingeniería de la Ciberseguridad</x:v>
      </x:c>
      <x:c r="D61" s="35" t="str">
        <x:v>Curso 2026–2027</x:v>
      </x:c>
      <x:c r="E61" s="35" t="str">
        <x:v>https://gestion3.urjc.es/guiasdocentes/pdfGuia.jsp?txtAsignatura=2285028&amp;txtTitulacion=2285&amp;txtCursoAcademico=2026-27</x:v>
      </x:c>
      <x:c r="F61" s="35" t="str">
        <x:v>II. Presentación; III. Resultados de aprendizaje; IV. Contenido</x:v>
      </x:c>
      <x:c r="G61" s="35" t="str">
        <x:v>Base educativa. La ficha no constituye por sí sola un parámetro; su función se relaciona con la operación en el catálogo.</x:v>
      </x:c>
      <x:c r="H61" s="35" t="str">
        <x:v>c8884e732d6be694251f4b1fc54b68519fc08b01937168e37a38cfbd8de546b1</x:v>
      </x:c>
      <x:c r="I61" s="35" t="n">
        <x:v>255135</x:v>
      </x:c>
    </x:row>
    <x:row r="62" ht="47" customHeight="1">
      <x:c r="A62" s="35" t="str">
        <x:v>R029</x:v>
      </x:c>
      <x:c r="B62" s="35" t="str">
        <x:v>Universidad Rey Juan Carlos</x:v>
      </x:c>
      <x:c r="C62" s="35" t="str">
        <x:v>REDES AVANZADAS Y COMPUTACION EN LA NUBE. Guía docente del Grado en Ingeniería de la Ciberseguridad</x:v>
      </x:c>
      <x:c r="D62" s="35" t="str">
        <x:v>Curso 2026–2027</x:v>
      </x:c>
      <x:c r="E62" s="35" t="str">
        <x:v>https://gestion3.urjc.es/guiasdocentes/pdfGuia.jsp?txtAsignatura=2285029&amp;txtTitulacion=2285&amp;txtCursoAcademico=2026-27</x:v>
      </x:c>
      <x:c r="F62" s="35" t="str">
        <x:v>II. Presentación; III. Resultados de aprendizaje; IV. Contenido</x:v>
      </x:c>
      <x:c r="G62" s="35" t="str">
        <x:v>Base educativa. La ficha no constituye por sí sola un parámetro; su función se relaciona con la operación en el catálogo.</x:v>
      </x:c>
      <x:c r="H62" s="35" t="str">
        <x:v>d2fb72105f0a559007c217175200578c8029e3b5b89f2615bb4fb893b0d7f91c</x:v>
      </x:c>
      <x:c r="I62" s="35" t="n">
        <x:v>284029</x:v>
      </x:c>
    </x:row>
    <x:row r="63" ht="47" customHeight="1">
      <x:c r="A63" s="35" t="str">
        <x:v>R030</x:v>
      </x:c>
      <x:c r="B63" s="35" t="str">
        <x:v>Universidad Rey Juan Carlos</x:v>
      </x:c>
      <x:c r="C63" s="35" t="str">
        <x:v>SISTEMAS DE INFORMACION. Guía docente del Grado en Ingeniería de la Ciberseguridad</x:v>
      </x:c>
      <x:c r="D63" s="35" t="str">
        <x:v>Curso 2026–2027</x:v>
      </x:c>
      <x:c r="E63" s="35" t="str">
        <x:v>https://gestion3.urjc.es/guiasdocentes/pdfGuia.jsp?txtAsignatura=2285030&amp;txtTitulacion=2285&amp;txtCursoAcademico=2026-27</x:v>
      </x:c>
      <x:c r="F63" s="35" t="str">
        <x:v>II. Presentación; III. Resultados de aprendizaje; IV. Contenido</x:v>
      </x:c>
      <x:c r="G63" s="35" t="str">
        <x:v>Base educativa. La ficha no constituye por sí sola un parámetro; su función se relaciona con la operación en el catálogo.</x:v>
      </x:c>
      <x:c r="H63" s="35" t="str">
        <x:v>8ff2b312b91d143ce13398706e7758263b62fe1c5b54d60b90dbb24acdf26a57</x:v>
      </x:c>
      <x:c r="I63" s="35" t="n">
        <x:v>303996</x:v>
      </x:c>
    </x:row>
    <x:row r="64" ht="47" customHeight="1">
      <x:c r="A64" s="35" t="str">
        <x:v>R031</x:v>
      </x:c>
      <x:c r="B64" s="35" t="str">
        <x:v>Universidad Rey Juan Carlos</x:v>
      </x:c>
      <x:c r="C64" s="35" t="str">
        <x:v>VISION ARTIFICIAL APLICADA A LA CIBERSEGURIDAD. Guía docente del Grado en Ingeniería de la Ciberseguridad</x:v>
      </x:c>
      <x:c r="D64" s="35" t="str">
        <x:v>Curso 2026–2027</x:v>
      </x:c>
      <x:c r="E64" s="35" t="str">
        <x:v>https://gestion3.urjc.es/guiasdocentes/pdfGuia.jsp?txtAsignatura=2285031&amp;txtTitulacion=2285&amp;txtCursoAcademico=2026-27</x:v>
      </x:c>
      <x:c r="F64" s="35" t="str">
        <x:v>II. Presentación; III. Resultados de aprendizaje; IV. Contenido</x:v>
      </x:c>
      <x:c r="G64" s="35" t="str">
        <x:v>Base educativa. La ficha no constituye por sí sola un parámetro; su función se relaciona con la operación en el catálogo.</x:v>
      </x:c>
      <x:c r="H64" s="35" t="str">
        <x:v>17a24ea19e7f52915b6b3a3480b1c24acfea0de6886dc88377d8ea7b922b6acb</x:v>
      </x:c>
      <x:c r="I64" s="35" t="n">
        <x:v>258436</x:v>
      </x:c>
    </x:row>
    <x:row r="65" ht="47" customHeight="1">
      <x:c r="A65" s="35" t="str">
        <x:v>R032</x:v>
      </x:c>
      <x:c r="B65" s="35" t="str">
        <x:v>Universidad Rey Juan Carlos</x:v>
      </x:c>
      <x:c r="C65" s="35" t="str">
        <x:v>AUDITORIA. Guía docente del Grado en Ingeniería de la Ciberseguridad</x:v>
      </x:c>
      <x:c r="D65" s="35" t="str">
        <x:v>Curso 2026–2027</x:v>
      </x:c>
      <x:c r="E65" s="35" t="str">
        <x:v>https://gestion3.urjc.es/guiasdocentes/pdfGuia.jsp?txtAsignatura=2285032&amp;txtTitulacion=2285&amp;txtCursoAcademico=2026-27</x:v>
      </x:c>
      <x:c r="F65" s="35" t="str">
        <x:v>II. Presentación; III. Resultados de aprendizaje; IV. Contenido</x:v>
      </x:c>
      <x:c r="G65" s="35" t="str">
        <x:v>Base educativa. La ficha no constituye por sí sola un parámetro; su función se relaciona con la operación en el catálogo.</x:v>
      </x:c>
      <x:c r="H65" s="35" t="str">
        <x:v>1166067a7d7fb5134c17396a8b4c70cdeb467bcedba13832dfa5b09bf524e835</x:v>
      </x:c>
      <x:c r="I65" s="35" t="n">
        <x:v>235965</x:v>
      </x:c>
    </x:row>
    <x:row r="66" ht="47" customHeight="1">
      <x:c r="A66" s="35" t="str">
        <x:v>R033</x:v>
      </x:c>
      <x:c r="B66" s="35" t="str">
        <x:v>Universidad Rey Juan Carlos</x:v>
      </x:c>
      <x:c r="C66" s="35" t="str">
        <x:v>INTELIGENCIA DE LA SEGURIDAD. Guía docente del Grado en Ingeniería de la Ciberseguridad</x:v>
      </x:c>
      <x:c r="D66" s="35" t="str">
        <x:v>Curso 2026–2027</x:v>
      </x:c>
      <x:c r="E66" s="35" t="str">
        <x:v>https://gestion3.urjc.es/guiasdocentes/pdfGuia.jsp?txtAsignatura=2285033&amp;txtTitulacion=2285&amp;txtCursoAcademico=2026-27</x:v>
      </x:c>
      <x:c r="F66" s="35" t="str">
        <x:v>II. Presentación; III. Resultados de aprendizaje; IV. Contenido</x:v>
      </x:c>
      <x:c r="G66" s="35" t="str">
        <x:v>Base educativa. La ficha no constituye por sí sola un parámetro; su función se relaciona con la operación en el catálogo.</x:v>
      </x:c>
      <x:c r="H66" s="35" t="str">
        <x:v>951ba49ae08e05ed51c8a017382fdd0c44d4d044848571e759a6962ed2f7f314</x:v>
      </x:c>
      <x:c r="I66" s="35" t="n">
        <x:v>255674</x:v>
      </x:c>
    </x:row>
    <x:row r="67" ht="47" customHeight="1">
      <x:c r="A67" s="35" t="str">
        <x:v>R034</x:v>
      </x:c>
      <x:c r="B67" s="35" t="str">
        <x:v>Universidad Rey Juan Carlos</x:v>
      </x:c>
      <x:c r="C67" s="35" t="str">
        <x:v>PENTESTING. Guía docente del Grado en Ingeniería de la Ciberseguridad</x:v>
      </x:c>
      <x:c r="D67" s="35" t="str">
        <x:v>Curso 2026–2027</x:v>
      </x:c>
      <x:c r="E67" s="35" t="str">
        <x:v>https://gestion3.urjc.es/guiasdocentes/pdfGuia.jsp?txtAsignatura=2285034&amp;txtTitulacion=2285&amp;txtCursoAcademico=2026-27</x:v>
      </x:c>
      <x:c r="F67" s="35" t="str">
        <x:v>II. Presentación; III. Resultados de aprendizaje; IV. Contenido</x:v>
      </x:c>
      <x:c r="G67" s="35" t="str">
        <x:v>Base educativa. La ficha no constituye por sí sola un parámetro; su función se relaciona con la operación en el catálogo.</x:v>
      </x:c>
      <x:c r="H67" s="35" t="str">
        <x:v>c4c0a89c38f656ba665d21dec80ffcb7315846efadcde52e4c4e561d84bdadd7</x:v>
      </x:c>
      <x:c r="I67" s="35" t="n">
        <x:v>276684</x:v>
      </x:c>
    </x:row>
    <x:row r="68" ht="47" customHeight="1">
      <x:c r="A68" s="35" t="str">
        <x:v>R035</x:v>
      </x:c>
      <x:c r="B68" s="35" t="str">
        <x:v>Universidad Rey Juan Carlos</x:v>
      </x:c>
      <x:c r="C68" s="35" t="str">
        <x:v>ANALISIS Y GESTION DEL RIESGO. Guía docente del Grado en Ingeniería de la Ciberseguridad</x:v>
      </x:c>
      <x:c r="D68" s="35" t="str">
        <x:v>Curso 2026–2027</x:v>
      </x:c>
      <x:c r="E68" s="35" t="str">
        <x:v>https://gestion3.urjc.es/guiasdocentes/pdfGuia.jsp?txtAsignatura=2285036&amp;txtTitulacion=2285&amp;txtCursoAcademico=2026-27</x:v>
      </x:c>
      <x:c r="F68" s="35" t="str">
        <x:v>II. Presentación; III. Resultados de aprendizaje; IV. Contenido</x:v>
      </x:c>
      <x:c r="G68" s="35" t="str">
        <x:v>Base educativa. La ficha no constituye por sí sola un parámetro; su función se relaciona con la operación en el catálogo.</x:v>
      </x:c>
      <x:c r="H68" s="35" t="str">
        <x:v>099a3eb2a03c5040f76ddc3676ae6ed1987e0432626f014812a720fd204c0eea</x:v>
      </x:c>
      <x:c r="I68" s="35" t="n">
        <x:v>278163</x:v>
      </x:c>
    </x:row>
    <x:row r="69" ht="47" customHeight="1">
      <x:c r="A69" s="35" t="str">
        <x:v>R036</x:v>
      </x:c>
      <x:c r="B69" s="35" t="str">
        <x:v>Universidad Rey Juan Carlos</x:v>
      </x:c>
      <x:c r="C69" s="35" t="str">
        <x:v>PROTECCION DE INFRAESTRUCTURAS CRITICAS. Guía docente del Grado en Ingeniería de la Ciberseguridad</x:v>
      </x:c>
      <x:c r="D69" s="35" t="str">
        <x:v>Curso 2026–2027</x:v>
      </x:c>
      <x:c r="E69" s="35" t="str">
        <x:v>https://gestion3.urjc.es/guiasdocentes/pdfGuia.jsp?txtAsignatura=2285037&amp;txtTitulacion=2285&amp;txtCursoAcademico=2026-27</x:v>
      </x:c>
      <x:c r="F69" s="35" t="str">
        <x:v>II. Presentación; III. Resultados de aprendizaje; IV. Contenido</x:v>
      </x:c>
      <x:c r="G69" s="35" t="str">
        <x:v>Base educativa. La ficha no constituye por sí sola un parámetro; su función se relaciona con la operación en el catálogo.</x:v>
      </x:c>
      <x:c r="H69" s="35" t="str">
        <x:v>c911899853f38cab8c3d845e837e43b6adb99aec161edcd0d6168fabba9f9f55</x:v>
      </x:c>
      <x:c r="I69" s="35" t="n">
        <x:v>234641</x:v>
      </x:c>
    </x:row>
    <x:row r="70" ht="47" customHeight="1">
      <x:c r="A70" s="35" t="str">
        <x:v>R037</x:v>
      </x:c>
      <x:c r="B70" s="35" t="str">
        <x:v>Universidad Rey Juan Carlos</x:v>
      </x:c>
      <x:c r="C70" s="35" t="str">
        <x:v>REGULACION Y GOBERNANZA DE LA SEGURIDAD. Guía docente del Grado en Ingeniería de la Ciberseguridad</x:v>
      </x:c>
      <x:c r="D70" s="35" t="str">
        <x:v>Curso 2026–2027</x:v>
      </x:c>
      <x:c r="E70" s="35" t="str">
        <x:v>https://gestion3.urjc.es/guiasdocentes/pdfGuia.jsp?txtAsignatura=2285038&amp;txtTitulacion=2285&amp;txtCursoAcademico=2026-27</x:v>
      </x:c>
      <x:c r="F70" s="35" t="str">
        <x:v>II. Presentación; III. Resultados de aprendizaje; IV. Contenido</x:v>
      </x:c>
      <x:c r="G70" s="35" t="str">
        <x:v>Base educativa. La ficha no constituye por sí sola un parámetro; su función se relaciona con la operación en el catálogo.</x:v>
      </x:c>
      <x:c r="H70" s="35" t="str">
        <x:v>92f21597ea76857a36e6f592bfad6c604751e346260e46caf0acd69beb5082f8</x:v>
      </x:c>
      <x:c r="I70" s="35" t="n">
        <x:v>237085</x:v>
      </x:c>
    </x:row>
    <x:row r="71" ht="47" customHeight="1">
      <x:c r="A71" s="35" t="str">
        <x:v>R038</x:v>
      </x:c>
      <x:c r="B71" s="35" t="str">
        <x:v>Universidad Rey Juan Carlos</x:v>
      </x:c>
      <x:c r="C71" s="35" t="str">
        <x:v>PRACTICAS EXTERNAS. Guía docente del Grado en Ingeniería de la Ciberseguridad</x:v>
      </x:c>
      <x:c r="D71" s="35" t="str">
        <x:v>Curso 2026–2027</x:v>
      </x:c>
      <x:c r="E71" s="35" t="str">
        <x:v>https://gestion3.urjc.es/guiasdocentes/pdfGuia.jsp?txtAsignatura=2285039&amp;txtTitulacion=2285&amp;txtCursoAcademico=2026-27</x:v>
      </x:c>
      <x:c r="F71" s="35" t="str">
        <x:v>II. Presentación; III. Resultados de aprendizaje; IV. Contenido</x:v>
      </x:c>
      <x:c r="G71" s="35" t="str">
        <x:v>Base educativa. La ficha no constituye por sí sola un parámetro; su función se relaciona con la operación en el catálogo.</x:v>
      </x:c>
      <x:c r="H71" s="35" t="str">
        <x:v>8a4ec9299aa0f8e3ef047cefefd9b304dc39ffddfa2b3619bd29e6be6b9be2da</x:v>
      </x:c>
      <x:c r="I71" s="35" t="n">
        <x:v>192722</x:v>
      </x:c>
    </x:row>
    <x:row r="72" ht="47" customHeight="1">
      <x:c r="A72" s="35" t="str">
        <x:v>R039</x:v>
      </x:c>
      <x:c r="B72" s="35" t="str">
        <x:v>Universidad Rey Juan Carlos</x:v>
      </x:c>
      <x:c r="C72" s="35" t="str">
        <x:v>RECONOCIMIENTO ACADEMICO DE CREDITOS. Guía docente del Grado en Ingeniería de la Ciberseguridad</x:v>
      </x:c>
      <x:c r="D72" s="35" t="str">
        <x:v>Curso 2026–2027</x:v>
      </x:c>
      <x:c r="E72" s="35" t="str">
        <x:v>https://gestion3.urjc.es/guiasdocentes/pdfGuia.jsp?txtAsignatura=2285035&amp;txtTitulacion=2285&amp;txtCursoAcademico=2026-27</x:v>
      </x:c>
      <x:c r="F72" s="35" t="str">
        <x:v>II. Presentación; III. Resultados de aprendizaje; IV. Contenido</x:v>
      </x:c>
      <x:c r="G72" s="35" t="str">
        <x:v>Base educativa. La ficha no constituye por sí sola un parámetro; su función se relaciona con la operación en el catálogo.</x:v>
      </x:c>
      <x:c r="H72" s="35" t="str">
        <x:v>fec7f574fc45a4dc21a6badf794e85fa7cc4a4c994618209427770c2b2c34b08</x:v>
      </x:c>
      <x:c r="I72" s="35" t="n">
        <x:v>419263</x:v>
      </x:c>
    </x:row>
    <x:row r="73" ht="47" customHeight="1">
      <x:c r="A73" s="35" t="str">
        <x:v>R040</x:v>
      </x:c>
      <x:c r="B73" s="35" t="str">
        <x:v>Universidad Rey Juan Carlos</x:v>
      </x:c>
      <x:c r="C73" s="35" t="str">
        <x:v>TRABAJO FIN DE GRADO. Guía docente del Grado en Ingeniería de la Ciberseguridad</x:v>
      </x:c>
      <x:c r="D73" s="35" t="str">
        <x:v>Curso 2026–2027</x:v>
      </x:c>
      <x:c r="E73" s="35" t="str">
        <x:v>https://gestion3.urjc.es/guiasdocentes/pdfGuia.jsp?txtAsignatura=2285040&amp;txtTitulacion=2285&amp;txtCursoAcademico=2026-27</x:v>
      </x:c>
      <x:c r="F73" s="35" t="str">
        <x:v>II. Presentación; III. Resultados de aprendizaje; IV. Contenido</x:v>
      </x:c>
      <x:c r="G73" s="35" t="str">
        <x:v>Base educativa. La ficha no constituye por sí sola un parámetro; su función se relaciona con la operación en el catálogo.</x:v>
      </x:c>
      <x:c r="H73" s="35" t="str">
        <x:v>3a173a15d1c352e94c31f0da51cc72f160131ddff092c38622103b9d13e04611</x:v>
      </x:c>
      <x:c r="I73" s="35" t="n">
        <x:v>219436</x:v>
      </x:c>
    </x:row>
    <x:row r="74" ht="47" customHeight="1">
      <x:c r="A74" s="35" t="str">
        <x:v>M001</x:v>
      </x:c>
      <x:c r="B74" s="35" t="str">
        <x:v>UNSW Canberra</x:v>
      </x:c>
      <x:c r="C74" s="35" t="str">
        <x:v>Cyber Security Industry Project 1</x:v>
      </x:c>
      <x:c r="D74" s="35" t="str">
        <x:v>Edición 2026 o 2026–2027 identificada en el catálogo</x:v>
      </x:c>
      <x:c r="E74" s="35" t="str">
        <x:v>https://www.handbook.unsw.edu.au/undergraduate/courses/2026/ZSPS2119</x:v>
      </x:c>
      <x:c r="F74" s="35" t="str">
        <x:v>Descripción y resultados de aprendizaje del curso</x:v>
      </x:c>
      <x:c r="G74" s="35" t="str">
        <x:v>Complemento educativo selectivo; no equivalencia entre títulos o créditos de países distintos.</x:v>
      </x:c>
      <x:c r="H74" s="35" t="str">
        <x:v>1407c5b86575a4633bdfcff893df35718c3c669e5273ee66197c4e4effe76978</x:v>
      </x:c>
      <x:c r="I74" s="35" t="n">
        <x:v>302868</x:v>
      </x:c>
    </x:row>
    <x:row r="75" ht="47" customHeight="1">
      <x:c r="A75" s="35" t="str">
        <x:v>M002</x:v>
      </x:c>
      <x:c r="B75" s="35" t="str">
        <x:v>UNSW Canberra</x:v>
      </x:c>
      <x:c r="C75" s="35" t="str">
        <x:v>Machine Learning for Cyber Security</x:v>
      </x:c>
      <x:c r="D75" s="35" t="str">
        <x:v>Edición 2026 o 2026–2027 identificada en el catálogo</x:v>
      </x:c>
      <x:c r="E75" s="35" t="str">
        <x:v>https://www.handbook.unsw.edu.au/undergraduate/courses/2026/ZSPS2118</x:v>
      </x:c>
      <x:c r="F75" s="35" t="str">
        <x:v>Descripción y resultados de aprendizaje del curso</x:v>
      </x:c>
      <x:c r="G75" s="35" t="str">
        <x:v>Complemento educativo selectivo; no equivalencia entre títulos o créditos de países distintos.</x:v>
      </x:c>
      <x:c r="H75" s="35" t="str">
        <x:v>d7a8d023ff5b8013763fb62ab1ae460262dafbbf8fc328206a795fdce6795631</x:v>
      </x:c>
      <x:c r="I75" s="35" t="n">
        <x:v>299334</x:v>
      </x:c>
    </x:row>
    <x:row r="76" ht="47" customHeight="1">
      <x:c r="A76" s="35" t="str">
        <x:v>M003</x:v>
      </x:c>
      <x:c r="B76" s="35" t="str">
        <x:v>UNSW Canberra</x:v>
      </x:c>
      <x:c r="C76" s="35" t="str">
        <x:v>Trustworthy AI for Cyber Security</x:v>
      </x:c>
      <x:c r="D76" s="35" t="str">
        <x:v>Edición 2026 o 2026–2027 identificada en el catálogo</x:v>
      </x:c>
      <x:c r="E76" s="35" t="str">
        <x:v>https://www.handbook.unsw.edu.au/undergraduate/courses/2026/ZSPS2122</x:v>
      </x:c>
      <x:c r="F76" s="35" t="str">
        <x:v>Descripción y resultados de aprendizaje del curso</x:v>
      </x:c>
      <x:c r="G76" s="35" t="str">
        <x:v>Complemento educativo selectivo; no equivalencia entre títulos o créditos de países distintos.</x:v>
      </x:c>
      <x:c r="H76" s="35" t="str">
        <x:v>307941cafcbf27b86acaab064e43763611e3800b2a01d96a90046a4c2259e0a7</x:v>
      </x:c>
      <x:c r="I76" s="35" t="n">
        <x:v>300291</x:v>
      </x:c>
    </x:row>
    <x:row r="77" ht="47" customHeight="1">
      <x:c r="A77" s="35" t="str">
        <x:v>M004</x:v>
      </x:c>
      <x:c r="B77" s="35" t="str">
        <x:v>UNSW Canberra</x:v>
      </x:c>
      <x:c r="C77" s="35" t="str">
        <x:v>Deep Learning for Cyber Security</x:v>
      </x:c>
      <x:c r="D77" s="35" t="str">
        <x:v>Edición 2026 o 2026–2027 identificada en el catálogo</x:v>
      </x:c>
      <x:c r="E77" s="35" t="str">
        <x:v>https://www.handbook.unsw.edu.au/undergraduate/courses/2026/ZSPS2121</x:v>
      </x:c>
      <x:c r="F77" s="35" t="str">
        <x:v>Descripción y resultados de aprendizaje del curso</x:v>
      </x:c>
      <x:c r="G77" s="35" t="str">
        <x:v>Complemento educativo selectivo; no equivalencia entre títulos o créditos de países distintos.</x:v>
      </x:c>
      <x:c r="H77" s="35" t="str">
        <x:v>d6c58d21fa3dd583613d9bd9a24480b531cec8ed3982d9cdc29bbfbcd98379f0</x:v>
      </x:c>
      <x:c r="I77" s="35" t="n">
        <x:v>295349</x:v>
      </x:c>
    </x:row>
    <x:row r="78" ht="47" customHeight="1">
      <x:c r="A78" s="35" t="str">
        <x:v>W016</x:v>
      </x:c>
      <x:c r="B78" s="35" t="str">
        <x:v>University of Warwick</x:v>
      </x:c>
      <x:c r="C78" s="35" t="str">
        <x:v>W016</x:v>
      </x:c>
      <x:c r="D78" s="35" t="str">
        <x:v>Edición 2026 o 2026–2027 identificada en el catálogo</x:v>
      </x:c>
      <x:c r="E78" s="35" t="str">
        <x:v>https://courses.warwick.ac.uk/modules/2026/WM284-15</x:v>
      </x:c>
      <x:c r="F78" s="35" t="str">
        <x:v>Descripción y resultados de aprendizaje del curso</x:v>
      </x:c>
      <x:c r="G78" s="35" t="str">
        <x:v>Complemento educativo selectivo; no equivalencia entre títulos o créditos de países distintos.</x:v>
      </x:c>
      <x:c r="H78" s="35" t="str">
        <x:v>147355f0da756d0bf0a1ee0fd796d727aed25946ae2ca715d9a79b9a911dd25d</x:v>
      </x:c>
      <x:c r="I78" s="35" t="n">
        <x:v>17175</x:v>
      </x:c>
    </x:row>
    <x:row r="79" ht="47" customHeight="1">
      <x:c r="A79" s="35" t="str">
        <x:v>G009</x:v>
      </x:c>
      <x:c r="B79" s="35" t="str">
        <x:v>University of Guelph</x:v>
      </x:c>
      <x:c r="C79" s="35" t="str">
        <x:v>CIS*6580</x:v>
      </x:c>
      <x:c r="D79" s="35" t="str">
        <x:v>Consulta de 08-09-2026; calendario sin edición anual visible</x:v>
      </x:c>
      <x:c r="E79" s="35" t="str">
        <x:v>https://calendar.uoguelph.ca/search/?P=CIS*6580</x:v>
      </x:c>
      <x:c r="F79" s="35" t="str">
        <x:v>Descripción y resultados de aprendizaje del curso</x:v>
      </x:c>
      <x:c r="G79" s="35" t="str">
        <x:v>Complemento educativo selectivo; no equivalencia entre títulos o créditos de países distintos.</x:v>
      </x:c>
      <x:c r="H79" s="35" t="str">
        <x:v>c9f2de63531cf3fae6276560e1f08aaa8b324a3b0ba83a7d3ec37062ee34d8d2</x:v>
      </x:c>
      <x:c r="I79" s="35" t="n">
        <x:v>204762</x:v>
      </x:c>
    </x:row>
    <x:row r="80" ht="62" customHeight="1">
      <x:c r="A80" s="35" t="str">
        <x:v>SV-ES</x:v>
      </x:c>
      <x:c r="B80" s="35" t="str">
        <x:v>Sistema Vectorial SV; decisión del Director</x:v>
      </x:c>
      <x:c r="C80" s="35" t="str">
        <x:v>Acta de uso del español en todos los repositorios del Sistema Vectorial SV</x:v>
      </x:c>
      <x:c r="D80" s="35" t="str">
        <x:v>2026-09-07</x:v>
      </x:c>
      <x:c r="E80" s="35" t="str">
        <x:v>https://github.com/juantoniolloretegea/SV-lenguaje-de-computacion/blob/ab61d9bb7a2002d3a4a389e292c2a9b0a850d264/docs/calidad/ACTA_DE_USO_DEL_ESPANOL_EN_TODOS_LOS_REPOSITORIOS_SV_2026_09_07.md</x:v>
      </x:c>
      <x:c r="F80" s="35" t="str">
        <x:v>§§1–4</x:v>
      </x:c>
      <x:c r="G80" s="35" t="str">
        <x:v>Norma interna obligatoria de redacción y precisión; no fuente técnica de ciberseguridad.</x:v>
      </x:c>
      <x:c r="H80" s="35" t="str">
        <x:v>Documento rector enlazado por commit</x:v>
      </x:c>
      <x:c r="I80" s="35" t="str"/>
    </x:row>
    <x:row r="81" ht="77" customHeight="1">
      <x:c r="A81" s="35" t="str">
        <x:v>SV-AT</x:v>
      </x:c>
      <x:c r="B81" s="35" t="str">
        <x:v>Sistema Vectorial SV</x:v>
      </x:c>
      <x:c r="C81" s="35" t="str">
        <x:v>Contrato matemático de parámetro atómico, matriz y ruta. INMUNO v0.3</x:v>
      </x:c>
      <x:c r="D81" s="35" t="str">
        <x:v>2026-09-02</x:v>
      </x:c>
      <x:c r="E81" s="35" t="str">
        <x:v>https://github.com/juantoniolloretegea/SVperitus-dataset/blob/fe8adf76aa030ba5ff4997be5772b5de5e4452f3/dominios/inmunologia/cambio-rumbo/03-base-documental-candidata/05-normalizacion-atomica-en-evaluacion/Contrato_matematico_parametro_atomico_matriz_ruta_INMUNO_v0.3_2026-09-02.md</x:v>
      </x:c>
      <x:c r="F81" s="35" t="str">
        <x:v>§§3–7</x:v>
      </x:c>
      <x:c r="G81" s="35" t="str">
        <x:v>Método de identidad, independencia y consecuencia. No se trasladan reglas clínicas, cantidades ni matrices.</x:v>
      </x:c>
      <x:c r="H81" s="35" t="str">
        <x:v>Documento rector enlazado por commit</x:v>
      </x:c>
      <x:c r="I81" s="35" t="str"/>
    </x:row>
    <x:row r="82" ht="77" customHeight="1">
      <x:c r="A82" s="35" t="str">
        <x:v>SV-IN</x:v>
      </x:c>
      <x:c r="B82" s="35" t="str">
        <x:v>Sistema Vectorial SV; instrucción aprobada por el Director</x:v>
      </x:c>
      <x:c r="C82" s="35" t="str">
        <x:v>Instrucción de relevo de ciberseguridad inteligente, revisión 1.2</x:v>
      </x:c>
      <x:c r="D82" s="35" t="str">
        <x:v>2026-09-08</x:v>
      </x:c>
      <x:c r="E82" s="35" t="str">
        <x:v>https://github.com/juantoniolloretegea/SVperitus-dataset/blob/47dc27aec9e7b517c27cfcf39b7ad1b186d36a4c/dominios/ciberseguridad-inteligente/dominio-04-09-26/watson-biblioteca-ciber/Aprobada_INSTRUCCION_RELEVO_CIBERSEGURIDAD_INTELIGENTE_2026_09_08.md</x:v>
      </x:c>
      <x:c r="F82" s="35" t="str">
        <x:v>§§5, 7–9 y 11; orden posterior del Director de 09-09-2026</x:v>
      </x:c>
      <x:c r="G82" s="35" t="str">
        <x:v>Marco de constitución, actualizado en la secuencia por la orden humana que exige terminar el primer universo antes de decidir el relevo.</x:v>
      </x:c>
      <x:c r="H82" s="35" t="str">
        <x:v>Documento rector enlazado por commit</x:v>
      </x:c>
      <x:c r="I82" s="35" t="str"/>
    </x:row>
  </x:sheetData>
  <x:mergeCells>
    <x:mergeCell ref="A1:D1"/>
    <x:mergeCell ref="A2:F2"/>
  </x:mergeCells>
  <x:pageMargins left="0.7" right="0.7" top="0.75" bottom="0.75" header="0.3" footer="0.3"/>
  <x:tableParts count="1">
    <x:tablePart xmlns:r="http://schemas.openxmlformats.org/officeDocument/2006/relationships" r:id="R8910a651e8d6491c"/>
  </x:tableParts>
</x:worksheet>
</file>

<file path=xl/worksheets/sheet7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16" hidden="0" customWidth="1"/>
    <x:col min="3" max="3" width="100" hidden="0" customWidth="1"/>
    <x:col min="4" max="4" width="30" hidden="0" customWidth="1"/>
    <x:col min="5" max="5" width="30" hidden="0" customWidth="1"/>
    <x:col min="6" max="6" width="24" hidden="0" customWidth="1"/>
  </x:cols>
  <x:sheetData>
    <x:row r="1" ht="34" customHeight="1">
      <x:c r="A1" s="36" t="str">
        <x:v>Contraste documental de los perfiles nuevos</x:v>
      </x:c>
      <x:c r="B1" s="35"/>
      <x:c r="C1" s="35"/>
      <x:c r="D1" s="35"/>
      <x:c r="E1" s="35"/>
      <x:c r="F1" s="35"/>
    </x:row>
    <x:row r="2" ht="46" customHeight="1">
      <x:c r="A2" s="37" t="str">
        <x:v>Casos sintéticos con resultados esperados previos. La concordancia no acredita eficacia en activos reales ni revisión externa por pares.</x:v>
      </x:c>
      <x:c r="B2" s="35"/>
      <x:c r="C2" s="35"/>
      <x:c r="D2" s="35"/>
      <x:c r="E2" s="35"/>
      <x:c r="F2" s="35"/>
    </x:row>
    <x:row r="3">
      <x:c r="A3" s="35"/>
      <x:c r="B3" s="35"/>
      <x:c r="C3" s="35"/>
      <x:c r="D3" s="35"/>
      <x:c r="E3" s="35"/>
      <x:c r="F3" s="35"/>
    </x:row>
    <x:row r="4" ht="42" customHeight="1">
      <x:c r="A4" s="39" t="str">
        <x:v>Caso</x:v>
      </x:c>
      <x:c r="B4" s="39" t="str">
        <x:v>Parámetro</x:v>
      </x:c>
      <x:c r="C4" s="39" t="str">
        <x:v>Supuesto contrastado</x:v>
      </x:c>
      <x:c r="D4" s="39" t="str">
        <x:v>Esperado</x:v>
      </x:c>
      <x:c r="E4" s="39" t="str">
        <x:v>Obtenido</x:v>
      </x:c>
      <x:c r="F4" s="39" t="str">
        <x:v>Concordancia</x:v>
      </x:c>
    </x:row>
    <x:row r="5" ht="43" customHeight="1">
      <x:c r="A5" s="35" t="str">
        <x:v>ED-001</x:v>
      </x:c>
      <x:c r="B5" s="35" t="str">
        <x:v>P16</x:v>
      </x:c>
      <x:c r="C5" s="35" t="str">
        <x:v>Persistencia y utilización coinciden</x:v>
      </x:c>
      <x:c r="D5" s="35" t="str">
        <x:v>1</x:v>
      </x:c>
      <x:c r="E5" s="35" t="str">
        <x:v>1</x:v>
      </x:c>
      <x:c r="F5" s="35" t="str">
        <x:f>IF(EXACT("x"&amp;D5,"x"&amp;E5),"Concordante","Discordante")</x:f>
        <x:v>Concordante</x:v>
      </x:c>
    </x:row>
    <x:row r="6" ht="43" customHeight="1">
      <x:c r="A6" s="35" t="str">
        <x:v>ED-002</x:v>
      </x:c>
      <x:c r="B6" s="35" t="str">
        <x:v>P16</x:v>
      </x:c>
      <x:c r="C6" s="35" t="str">
        <x:v>Valor persistente anterior</x:v>
      </x:c>
      <x:c r="D6" s="35" t="str">
        <x:v>0</x:v>
      </x:c>
      <x:c r="E6" s="35" t="str">
        <x:v>0</x:v>
      </x:c>
      <x:c r="F6" s="35" t="str">
        <x:f>IF(EXACT("x"&amp;D6,"x"&amp;E6),"Concordante","Discordante")</x:f>
        <x:v>Concordante</x:v>
      </x:c>
    </x:row>
    <x:row r="7" ht="43" customHeight="1">
      <x:c r="A7" s="35" t="str">
        <x:v>ED-003</x:v>
      </x:c>
      <x:c r="B7" s="35" t="str">
        <x:v>P16</x:v>
      </x:c>
      <x:c r="C7" s="35" t="str">
        <x:v>Falta lectura persistente</x:v>
      </x:c>
      <x:c r="D7" s="35" t="str">
        <x:v>U</x:v>
      </x:c>
      <x:c r="E7" s="35" t="str">
        <x:v>U</x:v>
      </x:c>
      <x:c r="F7" s="35" t="str">
        <x:f>IF(EXACT("x"&amp;D7,"x"&amp;E7),"Concordante","Discordante")</x:f>
        <x:v>Concordante</x:v>
      </x:c>
    </x:row>
    <x:row r="8" ht="43" customHeight="1">
      <x:c r="A8" s="35" t="str">
        <x:v>ED-004</x:v>
      </x:c>
      <x:c r="B8" s="35" t="str">
        <x:v>P16</x:v>
      </x:c>
      <x:c r="C8" s="35" t="str">
        <x:v>Se ofrece lectura efectiva como persistente</x:v>
      </x:c>
      <x:c r="D8" s="35" t="str">
        <x:v>NO_ADMITIDA</x:v>
      </x:c>
      <x:c r="E8" s="35" t="str">
        <x:v>NO_ADMITIDA</x:v>
      </x:c>
      <x:c r="F8" s="35" t="str">
        <x:f>IF(EXACT("x"&amp;D8,"x"&amp;E8),"Concordante","Discordante")</x:f>
        <x:v>Concordante</x:v>
      </x:c>
    </x:row>
    <x:row r="9" ht="43" customHeight="1">
      <x:c r="A9" s="35" t="str">
        <x:v>ED-005</x:v>
      </x:c>
      <x:c r="B9" s="35" t="str">
        <x:v>P16</x:v>
      </x:c>
      <x:c r="C9" s="35" t="str">
        <x:v>Cero numérico no es texto cero</x:v>
      </x:c>
      <x:c r="D9" s="35" t="str">
        <x:v>NO_ADMITIDA</x:v>
      </x:c>
      <x:c r="E9" s="35" t="str">
        <x:v>NO_ADMITIDA</x:v>
      </x:c>
      <x:c r="F9" s="35" t="str">
        <x:f>IF(EXACT("x"&amp;D9,"x"&amp;E9),"Concordante","Discordante")</x:f>
        <x:v>Concordante</x:v>
      </x:c>
    </x:row>
    <x:row r="10" ht="43" customHeight="1">
      <x:c r="A10" s="35" t="str">
        <x:v>ED-006</x:v>
      </x:c>
      <x:c r="B10" s="35" t="str">
        <x:v>P16</x:v>
      </x:c>
      <x:c r="C10" s="35" t="str">
        <x:v>Identificador con ceros iniciales</x:v>
      </x:c>
      <x:c r="D10" s="35" t="str">
        <x:v>0</x:v>
      </x:c>
      <x:c r="E10" s="35" t="str">
        <x:v>0</x:v>
      </x:c>
      <x:c r="F10" s="35" t="str">
        <x:f>IF(EXACT("x"&amp;D10,"x"&amp;E10),"Concordante","Discordante")</x:f>
        <x:v>Concordante</x:v>
      </x:c>
    </x:row>
    <x:row r="11" ht="43" customHeight="1">
      <x:c r="A11" s="35" t="str">
        <x:v>ED-007</x:v>
      </x:c>
      <x:c r="B11" s="35" t="str">
        <x:v>P17</x:v>
      </x:c>
      <x:c r="C11" s="35" t="str">
        <x:v>Inicialización terminada</x:v>
      </x:c>
      <x:c r="D11" s="35" t="str">
        <x:v>1</x:v>
      </x:c>
      <x:c r="E11" s="35" t="str">
        <x:v>1</x:v>
      </x:c>
      <x:c r="F11" s="35" t="str">
        <x:f>IF(EXACT("x"&amp;D11,"x"&amp;E11),"Concordante","Discordante")</x:f>
        <x:v>Concordante</x:v>
      </x:c>
    </x:row>
    <x:row r="12" ht="43" customHeight="1">
      <x:c r="A12" s="35" t="str">
        <x:v>ED-008</x:v>
      </x:c>
      <x:c r="B12" s="35" t="str">
        <x:v>P17</x:v>
      </x:c>
      <x:c r="C12" s="35" t="str">
        <x:v>Creación satisfactoria sin prueba de inicialización</x:v>
      </x:c>
      <x:c r="D12" s="35" t="str">
        <x:v>U</x:v>
      </x:c>
      <x:c r="E12" s="35" t="str">
        <x:v>U</x:v>
      </x:c>
      <x:c r="F12" s="35" t="str">
        <x:f>IF(EXACT("x"&amp;D12,"x"&amp;E12),"Concordante","Discordante")</x:f>
        <x:v>Concordante</x:v>
      </x:c>
    </x:row>
    <x:row r="13" ht="43" customHeight="1">
      <x:c r="A13" s="35" t="str">
        <x:v>ED-009</x:v>
      </x:c>
      <x:c r="B13" s="35" t="str">
        <x:v>P17</x:v>
      </x:c>
      <x:c r="C13" s="35" t="str">
        <x:v>Fallo de inicialización después de creación</x:v>
      </x:c>
      <x:c r="D13" s="35" t="str">
        <x:v>0</x:v>
      </x:c>
      <x:c r="E13" s="35" t="str">
        <x:v>0</x:v>
      </x:c>
      <x:c r="F13" s="35" t="str">
        <x:f>IF(EXACT("x"&amp;D13,"x"&amp;E13),"Concordante","Discordante")</x:f>
        <x:v>Concordante</x:v>
      </x:c>
    </x:row>
    <x:row r="14" ht="43" customHeight="1">
      <x:c r="A14" s="35" t="str">
        <x:v>ED-010</x:v>
      </x:c>
      <x:c r="B14" s="35" t="str">
        <x:v>P17</x:v>
      </x:c>
      <x:c r="C14" s="35" t="str">
        <x:v>Estado previo al hito observado</x:v>
      </x:c>
      <x:c r="D14" s="35" t="str">
        <x:v>0</x:v>
      </x:c>
      <x:c r="E14" s="35" t="str">
        <x:v>0</x:v>
      </x:c>
      <x:c r="F14" s="35" t="str">
        <x:f>IF(EXACT("x"&amp;D14,"x"&amp;E14),"Concordante","Discordante")</x:f>
        <x:v>Concordante</x:v>
      </x:c>
    </x:row>
    <x:row r="15" ht="43" customHeight="1">
      <x:c r="A15" s="35" t="str">
        <x:v>ED-011</x:v>
      </x:c>
      <x:c r="B15" s="35" t="str">
        <x:v>P18</x:v>
      </x:c>
      <x:c r="C15" s="35" t="str">
        <x:v>Parche habilitado</x:v>
      </x:c>
      <x:c r="D15" s="35" t="str">
        <x:v>1</x:v>
      </x:c>
      <x:c r="E15" s="35" t="str">
        <x:v>1</x:v>
      </x:c>
      <x:c r="F15" s="35" t="str">
        <x:f>IF(EXACT("x"&amp;D15,"x"&amp;E15),"Concordante","Discordante")</x:f>
        <x:v>Concordante</x:v>
      </x:c>
    </x:row>
    <x:row r="16" ht="43" customHeight="1">
      <x:c r="A16" s="35" t="str">
        <x:v>ED-012</x:v>
      </x:c>
      <x:c r="B16" s="35" t="str">
        <x:v>P18</x:v>
      </x:c>
      <x:c r="C16" s="35" t="str">
        <x:v>Parche deshabilitado</x:v>
      </x:c>
      <x:c r="D16" s="35" t="str">
        <x:v>0</x:v>
      </x:c>
      <x:c r="E16" s="35" t="str">
        <x:v>0</x:v>
      </x:c>
      <x:c r="F16" s="35" t="str">
        <x:f>IF(EXACT("x"&amp;D16,"x"&amp;E16),"Concordante","Discordante")</x:f>
        <x:v>Concordante</x:v>
      </x:c>
    </x:row>
    <x:row r="17" ht="43" customHeight="1">
      <x:c r="A17" s="35" t="str">
        <x:v>ED-013</x:v>
      </x:c>
      <x:c r="B17" s="35" t="str">
        <x:v>P18</x:v>
      </x:c>
      <x:c r="C17" s="35" t="str">
        <x:v>Desaparición de archivo no demuestra deshabilitación</x:v>
      </x:c>
      <x:c r="D17" s="35" t="str">
        <x:v>U</x:v>
      </x:c>
      <x:c r="E17" s="35" t="str">
        <x:v>U</x:v>
      </x:c>
      <x:c r="F17" s="35" t="str">
        <x:f>IF(EXACT("x"&amp;D17,"x"&amp;E17),"Concordante","Discordante")</x:f>
        <x:v>Concordante</x:v>
      </x:c>
    </x:row>
    <x:row r="18" ht="43" customHeight="1">
      <x:c r="A18" s="35" t="str">
        <x:v>ED-014</x:v>
      </x:c>
      <x:c r="B18" s="35" t="str">
        <x:v>P19</x:v>
      </x:c>
      <x:c r="C18" s="35" t="str">
        <x:v>Tarea objetivo durante aplicación</x:v>
      </x:c>
      <x:c r="D18" s="35" t="str">
        <x:v>1</x:v>
      </x:c>
      <x:c r="E18" s="35" t="str">
        <x:v>1</x:v>
      </x:c>
      <x:c r="F18" s="35" t="str">
        <x:f>IF(EXACT("x"&amp;D18,"x"&amp;E18),"Concordante","Discordante")</x:f>
        <x:v>Concordante</x:v>
      </x:c>
    </x:row>
    <x:row r="19" ht="43" customHeight="1">
      <x:c r="A19" s="35" t="str">
        <x:v>ED-015</x:v>
      </x:c>
      <x:c r="B19" s="35" t="str">
        <x:v>P19</x:v>
      </x:c>
      <x:c r="C19" s="35" t="str">
        <x:v>Tarea antigua durante aplicación</x:v>
      </x:c>
      <x:c r="D19" s="35" t="str">
        <x:v>0</x:v>
      </x:c>
      <x:c r="E19" s="35" t="str">
        <x:v>0</x:v>
      </x:c>
      <x:c r="F19" s="35" t="str">
        <x:f>IF(EXACT("x"&amp;D19,"x"&amp;E19),"Concordante","Discordante")</x:f>
        <x:v>Concordante</x:v>
      </x:c>
    </x:row>
    <x:row r="20" ht="43" customHeight="1">
      <x:c r="A20" s="35" t="str">
        <x:v>ED-016</x:v>
      </x:c>
      <x:c r="B20" s="35" t="str">
        <x:v>P19</x:v>
      </x:c>
      <x:c r="C20" s="35" t="str">
        <x:v>Objetivo de retirada alcanzado</x:v>
      </x:c>
      <x:c r="D20" s="35" t="str">
        <x:v>1</x:v>
      </x:c>
      <x:c r="E20" s="35" t="str">
        <x:v>1</x:v>
      </x:c>
      <x:c r="F20" s="35" t="str">
        <x:f>IF(EXACT("x"&amp;D20,"x"&amp;E20),"Concordante","Discordante")</x:f>
        <x:v>Concordante</x:v>
      </x:c>
    </x:row>
    <x:row r="21" ht="43" customHeight="1">
      <x:c r="A21" s="35" t="str">
        <x:v>ED-017</x:v>
      </x:c>
      <x:c r="B21" s="35" t="str">
        <x:v>P19</x:v>
      </x:c>
      <x:c r="C21" s="35" t="str">
        <x:v>Fuera de transición: -1 no significa sin parche</x:v>
      </x:c>
      <x:c r="D21" s="35" t="str">
        <x:v>NO_APLICABLE</x:v>
      </x:c>
      <x:c r="E21" s="35" t="str">
        <x:v>NO_APLICABLE</x:v>
      </x:c>
      <x:c r="F21" s="35" t="str">
        <x:f>IF(EXACT("x"&amp;D21,"x"&amp;E21),"Concordante","Discordante")</x:f>
        <x:v>Concordante</x:v>
      </x:c>
    </x:row>
    <x:row r="22" ht="43" customHeight="1">
      <x:c r="A22" s="35" t="str">
        <x:v>ED-018</x:v>
      </x:c>
      <x:c r="B22" s="35" t="str">
        <x:v>P19</x:v>
      </x:c>
      <x:c r="C22" s="35" t="str">
        <x:v>-1 dentro de una transición declarada es inconsistencia</x:v>
      </x:c>
      <x:c r="D22" s="35" t="str">
        <x:v>U</x:v>
      </x:c>
      <x:c r="E22" s="35" t="str">
        <x:v>U</x:v>
      </x:c>
      <x:c r="F22" s="35" t="str">
        <x:f>IF(EXACT("x"&amp;D22,"x"&amp;E22),"Concordante","Discordante")</x:f>
        <x:v>Concordante</x:v>
      </x:c>
    </x:row>
    <x:row r="23" ht="43" customHeight="1">
      <x:c r="A23" s="35" t="str">
        <x:v>ED-019</x:v>
      </x:c>
      <x:c r="B23" s="35" t="str">
        <x:v>P20</x:v>
      </x:c>
      <x:c r="C23" s="35" t="str">
        <x:v>Referencia anterior conservada</x:v>
      </x:c>
      <x:c r="D23" s="35" t="str">
        <x:v>1</x:v>
      </x:c>
      <x:c r="E23" s="35" t="str">
        <x:v>1</x:v>
      </x:c>
      <x:c r="F23" s="35" t="str">
        <x:f>IF(EXACT("x"&amp;D23,"x"&amp;E23),"Concordante","Discordante")</x:f>
        <x:v>Concordante</x:v>
      </x:c>
    </x:row>
    <x:row r="24" ht="43" customHeight="1">
      <x:c r="A24" s="35" t="str">
        <x:v>ED-020</x:v>
      </x:c>
      <x:c r="B24" s="35" t="str">
        <x:v>P20</x:v>
      </x:c>
      <x:c r="C24" s="35" t="str">
        <x:v>Ausencia acreditada</x:v>
      </x:c>
      <x:c r="D24" s="35" t="str">
        <x:v>0</x:v>
      </x:c>
      <x:c r="E24" s="35" t="str">
        <x:v>0</x:v>
      </x:c>
      <x:c r="F24" s="35" t="str">
        <x:f>IF(EXACT("x"&amp;D24,"x"&amp;E24),"Concordante","Discordante")</x:f>
        <x:v>Concordante</x:v>
      </x:c>
    </x:row>
    <x:row r="25" ht="43" customHeight="1">
      <x:c r="A25" s="35" t="str">
        <x:v>ED-021</x:v>
      </x:c>
      <x:c r="B25" s="35" t="str">
        <x:v>P20</x:v>
      </x:c>
      <x:c r="C25" s="35" t="str">
        <x:v>Ausencia con enumeración parcial</x:v>
      </x:c>
      <x:c r="D25" s="35" t="str">
        <x:v>U</x:v>
      </x:c>
      <x:c r="E25" s="35" t="str">
        <x:v>U</x:v>
      </x:c>
      <x:c r="F25" s="35" t="str">
        <x:f>IF(EXACT("x"&amp;D25,"x"&amp;E25),"Concordante","Discordante")</x:f>
        <x:v>Concordante</x:v>
      </x:c>
    </x:row>
    <x:row r="26" ht="43" customHeight="1">
      <x:c r="A26" s="35" t="str">
        <x:v>ED-022</x:v>
      </x:c>
      <x:c r="B26" s="35" t="str">
        <x:v>P21</x:v>
      </x:c>
      <x:c r="C26" s="35" t="str">
        <x:v>Entrada objetivo</x:v>
      </x:c>
      <x:c r="D26" s="35" t="str">
        <x:v>1</x:v>
      </x:c>
      <x:c r="E26" s="35" t="str">
        <x:v>1</x:v>
      </x:c>
      <x:c r="F26" s="35" t="str">
        <x:f>IF(EXACT("x"&amp;D26,"x"&amp;E26),"Concordante","Discordante")</x:f>
        <x:v>Concordante</x:v>
      </x:c>
    </x:row>
    <x:row r="27" ht="43" customHeight="1">
      <x:c r="A27" s="35" t="str">
        <x:v>ED-023</x:v>
      </x:c>
      <x:c r="B27" s="35" t="str">
        <x:v>P21</x:v>
      </x:c>
      <x:c r="C27" s="35" t="str">
        <x:v>Entrada anterior pese a origen nuevo</x:v>
      </x:c>
      <x:c r="D27" s="35" t="str">
        <x:v>0</x:v>
      </x:c>
      <x:c r="E27" s="35" t="str">
        <x:v>0</x:v>
      </x:c>
      <x:c r="F27" s="35" t="str">
        <x:f>IF(EXACT("x"&amp;D27,"x"&amp;E27),"Concordante","Discordante")</x:f>
        <x:v>Concordante</x:v>
      </x:c>
    </x:row>
    <x:row r="28" ht="43" customHeight="1">
      <x:c r="A28" s="35" t="str">
        <x:v>ED-024</x:v>
      </x:c>
      <x:c r="B28" s="35" t="str">
        <x:v>P21</x:v>
      </x:c>
      <x:c r="C28" s="35" t="str">
        <x:v>Falta contenido observado</x:v>
      </x:c>
      <x:c r="D28" s="35" t="str">
        <x:v>U</x:v>
      </x:c>
      <x:c r="E28" s="35" t="str">
        <x:v>U</x:v>
      </x:c>
      <x:c r="F28" s="35" t="str">
        <x:f>IF(EXACT("x"&amp;D28,"x"&amp;E28),"Concordante","Discordante")</x:f>
        <x:v>Concordante</x:v>
      </x:c>
    </x:row>
    <x:row r="29" ht="43" customHeight="1">
      <x:c r="A29" s="35" t="str">
        <x:v>ED-025</x:v>
      </x:c>
      <x:c r="B29" s="35" t="str">
        <x:v>P21</x:v>
      </x:c>
      <x:c r="C29" s="35" t="str">
        <x:v>Ausencia legítima de entrada</x:v>
      </x:c>
      <x:c r="D29" s="35" t="str">
        <x:v>NO_APLICABLE</x:v>
      </x:c>
      <x:c r="E29" s="35" t="str">
        <x:v>NO_APLICABLE</x:v>
      </x:c>
      <x:c r="F29" s="35" t="str">
        <x:f>IF(EXACT("x"&amp;D29,"x"&amp;E29),"Concordante","Discordante")</x:f>
        <x:v>Concordante</x:v>
      </x:c>
    </x:row>
    <x:row r="30" ht="43" customHeight="1">
      <x:c r="A30" s="35" t="str">
        <x:v>ED-026</x:v>
      </x:c>
      <x:c r="B30" s="35" t="str">
        <x:v>P22</x:v>
      </x:c>
      <x:c r="C30" s="35" t="str">
        <x:v>Selección del objetivo</x:v>
      </x:c>
      <x:c r="D30" s="35" t="str">
        <x:v>1</x:v>
      </x:c>
      <x:c r="E30" s="35" t="str">
        <x:v>1</x:v>
      </x:c>
      <x:c r="F30" s="35" t="str">
        <x:f>IF(EXACT("x"&amp;D30,"x"&amp;E30),"Concordante","Discordante")</x:f>
        <x:v>Concordante</x:v>
      </x:c>
    </x:row>
    <x:row r="31" ht="43" customHeight="1">
      <x:c r="A31" s="35" t="str">
        <x:v>ED-027</x:v>
      </x:c>
      <x:c r="B31" s="35" t="str">
        <x:v>P22</x:v>
      </x:c>
      <x:c r="C31" s="35" t="str">
        <x:v>Selección anterior aunque exista el objetivo</x:v>
      </x:c>
      <x:c r="D31" s="35" t="str">
        <x:v>0</x:v>
      </x:c>
      <x:c r="E31" s="35" t="str">
        <x:v>0</x:v>
      </x:c>
      <x:c r="F31" s="35" t="str">
        <x:f>IF(EXACT("x"&amp;D31,"x"&amp;E31),"Concordante","Discordante")</x:f>
        <x:v>Concordante</x:v>
      </x:c>
    </x:row>
    <x:row r="32" ht="43" customHeight="1">
      <x:c r="A32" s="35" t="str">
        <x:v>ED-028</x:v>
      </x:c>
      <x:c r="B32" s="35" t="str">
        <x:v>P22</x:v>
      </x:c>
      <x:c r="C32" s="35" t="str">
        <x:v>Búsqueda con precedencia desconocida</x:v>
      </x:c>
      <x:c r="D32" s="35" t="str">
        <x:v>U</x:v>
      </x:c>
      <x:c r="E32" s="35" t="str">
        <x:v>U</x:v>
      </x:c>
      <x:c r="F32" s="35" t="str">
        <x:f>IF(EXACT("x"&amp;D32,"x"&amp;E32),"Concordante","Discordante")</x:f>
        <x:v>Concordante</x:v>
      </x:c>
    </x:row>
    <x:row r="33" ht="43" customHeight="1">
      <x:c r="A33" s="35" t="str">
        <x:v>ED-029</x:v>
      </x:c>
      <x:c r="B33" s="35" t="str">
        <x:v>P23</x:v>
      </x:c>
      <x:c r="C33" s="35" t="str">
        <x:v>Sincronización satisfactoria de la escritura pertinente</x:v>
      </x:c>
      <x:c r="D33" s="35" t="str">
        <x:v>1</x:v>
      </x:c>
      <x:c r="E33" s="35" t="str">
        <x:v>1</x:v>
      </x:c>
      <x:c r="F33" s="35" t="str">
        <x:f>IF(EXACT("x"&amp;D33,"x"&amp;E33),"Concordante","Discordante")</x:f>
        <x:v>Concordante</x:v>
      </x:c>
    </x:row>
    <x:row r="34" ht="43" customHeight="1">
      <x:c r="A34" s="35" t="str">
        <x:v>ED-030</x:v>
      </x:c>
      <x:c r="B34" s="35" t="str">
        <x:v>P23</x:v>
      </x:c>
      <x:c r="C34" s="35" t="str">
        <x:v>Sincronización fallida es hecho observado</x:v>
      </x:c>
      <x:c r="D34" s="35" t="str">
        <x:v>0</x:v>
      </x:c>
      <x:c r="E34" s="35" t="str">
        <x:v>0</x:v>
      </x:c>
      <x:c r="F34" s="35" t="str">
        <x:f>IF(EXACT("x"&amp;D34,"x"&amp;E34),"Concordante","Discordante")</x:f>
        <x:v>Concordante</x:v>
      </x:c>
    </x:row>
    <x:row r="35" ht="43" customHeight="1">
      <x:c r="A35" s="35" t="str">
        <x:v>ED-031</x:v>
      </x:c>
      <x:c r="B35" s="35" t="str">
        <x:v>P23</x:v>
      </x:c>
      <x:c r="C35" s="35" t="str">
        <x:v>Sin resultado</x:v>
      </x:c>
      <x:c r="D35" s="35" t="str">
        <x:v>U</x:v>
      </x:c>
      <x:c r="E35" s="35" t="str">
        <x:v>U</x:v>
      </x:c>
      <x:c r="F35" s="35" t="str">
        <x:f>IF(EXACT("x"&amp;D35,"x"&amp;E35),"Concordante","Discordante")</x:f>
        <x:v>Concordante</x:v>
      </x:c>
    </x:row>
    <x:row r="36" ht="43" customHeight="1">
      <x:c r="A36" s="35" t="str">
        <x:v>ED-032</x:v>
      </x:c>
      <x:c r="B36" s="35" t="str">
        <x:v>P23</x:v>
      </x:c>
      <x:c r="C36" s="35" t="str">
        <x:v>Se ofrece FlushViewOfFile como equivalente</x:v>
      </x:c>
      <x:c r="D36" s="35" t="str">
        <x:v>NO_ADMITIDA</x:v>
      </x:c>
      <x:c r="E36" s="35" t="str">
        <x:v>NO_ADMITIDA</x:v>
      </x:c>
      <x:c r="F36" s="35" t="str">
        <x:f>IF(EXACT("x"&amp;D36,"x"&amp;E36),"Concordante","Discordante")</x:f>
        <x:v>Concordante</x:v>
      </x:c>
    </x:row>
    <x:row r="37" ht="43" customHeight="1">
      <x:c r="A37" s="35" t="str">
        <x:v>ED-033</x:v>
      </x:c>
      <x:c r="B37" s="35" t="str">
        <x:v>P23</x:v>
      </x:c>
      <x:c r="C37" s="35" t="str">
        <x:v>Sincronización anterior a una nueva escritura</x:v>
      </x:c>
      <x:c r="D37" s="35" t="str">
        <x:v>NO_ADMITIDA</x:v>
      </x:c>
      <x:c r="E37" s="35" t="str">
        <x:v>NO_ADMITIDA</x:v>
      </x:c>
      <x:c r="F37" s="35" t="str">
        <x:f>IF(EXACT("x"&amp;D37,"x"&amp;E37),"Concordante","Discordante")</x:f>
        <x:v>Concordante</x:v>
      </x:c>
    </x:row>
    <x:row r="38" ht="43" customHeight="1">
      <x:c r="A38" s="35" t="str">
        <x:v>ED-034</x:v>
      </x:c>
      <x:c r="B38" s="35" t="str">
        <x:v>P24</x:v>
      </x:c>
      <x:c r="C38" s="35" t="str">
        <x:v>Operación pendiente pese al éxito del instalador</x:v>
      </x:c>
      <x:c r="D38" s="35" t="str">
        <x:v>1</x:v>
      </x:c>
      <x:c r="E38" s="35" t="str">
        <x:v>1</x:v>
      </x:c>
      <x:c r="F38" s="35" t="str">
        <x:f>IF(EXACT("x"&amp;D38,"x"&amp;E38),"Concordante","Discordante")</x:f>
        <x:v>Concordante</x:v>
      </x:c>
    </x:row>
    <x:row r="39" ht="43" customHeight="1">
      <x:c r="A39" s="35" t="str">
        <x:v>ED-035</x:v>
      </x:c>
      <x:c r="B39" s="35" t="str">
        <x:v>P24</x:v>
      </x:c>
      <x:c r="C39" s="35" t="str">
        <x:v>Cola completa sin la operación</x:v>
      </x:c>
      <x:c r="D39" s="35" t="str">
        <x:v>0</x:v>
      </x:c>
      <x:c r="E39" s="35" t="str">
        <x:v>0</x:v>
      </x:c>
      <x:c r="F39" s="35" t="str">
        <x:f>IF(EXACT("x"&amp;D39,"x"&amp;E39),"Concordante","Discordante")</x:f>
        <x:v>Concordante</x:v>
      </x:c>
    </x:row>
    <x:row r="40" ht="43" customHeight="1">
      <x:c r="A40" s="35" t="str">
        <x:v>ED-036</x:v>
      </x:c>
      <x:c r="B40" s="35" t="str">
        <x:v>P24</x:v>
      </x:c>
      <x:c r="C40" s="35" t="str">
        <x:v>Cola parcial sin la operación</x:v>
      </x:c>
      <x:c r="D40" s="35" t="str">
        <x:v>U</x:v>
      </x:c>
      <x:c r="E40" s="35" t="str">
        <x:v>U</x:v>
      </x:c>
      <x:c r="F40" s="35" t="str">
        <x:f>IF(EXACT("x"&amp;D40,"x"&amp;E40),"Concordante","Discordante")</x:f>
        <x:v>Concordante</x:v>
      </x:c>
    </x:row>
    <x:row r="41" ht="43" customHeight="1">
      <x:c r="A41" s="35" t="str">
        <x:v>ED-037</x:v>
      </x:c>
      <x:c r="B41" s="35" t="str">
        <x:v>P24</x:v>
      </x:c>
      <x:c r="C41" s="35" t="str">
        <x:v>Cancelación: ausencia no acredita aplicación</x:v>
      </x:c>
      <x:c r="D41" s="35" t="str">
        <x:v>0</x:v>
      </x:c>
      <x:c r="E41" s="35" t="str">
        <x:v>0</x:v>
      </x:c>
      <x:c r="F41" s="35" t="str">
        <x:f>IF(EXACT("x"&amp;D41,"x"&amp;E41),"Concordante","Discordante")</x:f>
        <x:v>Concordante</x:v>
      </x:c>
    </x:row>
    <x:row r="42" ht="43" customHeight="1">
      <x:c r="A42" s="35" t="str">
        <x:v>ED-038</x:v>
      </x:c>
      <x:c r="B42" s="35" t="str">
        <x:v>P16</x:v>
      </x:c>
      <x:c r="C42" s="35" t="str">
        <x:v>Fallo del lector, sin estado del dominio</x:v>
      </x:c>
      <x:c r="D42" s="35" t="str">
        <x:v>FALLO_TECNICO</x:v>
      </x:c>
      <x:c r="E42" s="35" t="str">
        <x:v>FALLO_TECNICO</x:v>
      </x:c>
      <x:c r="F42" s="35" t="str">
        <x:f>IF(EXACT("x"&amp;D42,"x"&amp;E42),"Concordante","Discordante")</x:f>
        <x:v>Concordante</x:v>
      </x:c>
    </x:row>
    <x:row r="43" ht="43" customHeight="1">
      <x:c r="A43" s="35" t="str">
        <x:v>ED-039</x:v>
      </x:c>
      <x:c r="B43" s="35" t="str">
        <x:v>P16</x:v>
      </x:c>
      <x:c r="C43" s="35" t="str">
        <x:v>Evidencia no admitida</x:v>
      </x:c>
      <x:c r="D43" s="35" t="str">
        <x:v>NO_ADMITIDA</x:v>
      </x:c>
      <x:c r="E43" s="35" t="str">
        <x:v>NO_ADMITIDA</x:v>
      </x:c>
      <x:c r="F43" s="35" t="str">
        <x:f>IF(EXACT("x"&amp;D43,"x"&amp;E43),"Concordante","Discordante")</x:f>
        <x:v>Concordante</x:v>
      </x:c>
    </x:row>
    <x:row r="44" ht="43" customHeight="1">
      <x:c r="A44" s="35" t="str">
        <x:v>ED-040</x:v>
      </x:c>
      <x:c r="B44" s="35" t="str">
        <x:v>P16</x:v>
      </x:c>
      <x:c r="C44" s="35" t="str">
        <x:v>Conflicto entre evidencias admitidas</x:v>
      </x:c>
      <x:c r="D44" s="35" t="str">
        <x:v>U</x:v>
      </x:c>
      <x:c r="E44" s="35" t="str">
        <x:v>U</x:v>
      </x:c>
      <x:c r="F44" s="35" t="str">
        <x:f>IF(EXACT("x"&amp;D44,"x"&amp;E44),"Concordante","Discordante")</x:f>
        <x:v>Concordante</x:v>
      </x:c>
    </x:row>
    <x:row r="45" ht="43" customHeight="1">
      <x:c r="A45" s="35" t="str">
        <x:v>ED-041</x:v>
      </x:c>
      <x:c r="B45" s="35" t="str">
        <x:v>P17</x:v>
      </x:c>
      <x:c r="C45" s="35" t="str">
        <x:v>Fallo del lector, sin estado del dominio</x:v>
      </x:c>
      <x:c r="D45" s="35" t="str">
        <x:v>FALLO_TECNICO</x:v>
      </x:c>
      <x:c r="E45" s="35" t="str">
        <x:v>FALLO_TECNICO</x:v>
      </x:c>
      <x:c r="F45" s="35" t="str">
        <x:f>IF(EXACT("x"&amp;D45,"x"&amp;E45),"Concordante","Discordante")</x:f>
        <x:v>Concordante</x:v>
      </x:c>
    </x:row>
    <x:row r="46" ht="43" customHeight="1">
      <x:c r="A46" s="35" t="str">
        <x:v>ED-042</x:v>
      </x:c>
      <x:c r="B46" s="35" t="str">
        <x:v>P17</x:v>
      </x:c>
      <x:c r="C46" s="35" t="str">
        <x:v>Evidencia no admitida</x:v>
      </x:c>
      <x:c r="D46" s="35" t="str">
        <x:v>NO_ADMITIDA</x:v>
      </x:c>
      <x:c r="E46" s="35" t="str">
        <x:v>NO_ADMITIDA</x:v>
      </x:c>
      <x:c r="F46" s="35" t="str">
        <x:f>IF(EXACT("x"&amp;D46,"x"&amp;E46),"Concordante","Discordante")</x:f>
        <x:v>Concordante</x:v>
      </x:c>
    </x:row>
    <x:row r="47" ht="43" customHeight="1">
      <x:c r="A47" s="35" t="str">
        <x:v>ED-043</x:v>
      </x:c>
      <x:c r="B47" s="35" t="str">
        <x:v>P17</x:v>
      </x:c>
      <x:c r="C47" s="35" t="str">
        <x:v>Conflicto entre evidencias admitidas</x:v>
      </x:c>
      <x:c r="D47" s="35" t="str">
        <x:v>U</x:v>
      </x:c>
      <x:c r="E47" s="35" t="str">
        <x:v>U</x:v>
      </x:c>
      <x:c r="F47" s="35" t="str">
        <x:f>IF(EXACT("x"&amp;D47,"x"&amp;E47),"Concordante","Discordante")</x:f>
        <x:v>Concordante</x:v>
      </x:c>
    </x:row>
    <x:row r="48" ht="43" customHeight="1">
      <x:c r="A48" s="35" t="str">
        <x:v>ED-044</x:v>
      </x:c>
      <x:c r="B48" s="35" t="str">
        <x:v>P18</x:v>
      </x:c>
      <x:c r="C48" s="35" t="str">
        <x:v>Fallo del lector, sin estado del dominio</x:v>
      </x:c>
      <x:c r="D48" s="35" t="str">
        <x:v>FALLO_TECNICO</x:v>
      </x:c>
      <x:c r="E48" s="35" t="str">
        <x:v>FALLO_TECNICO</x:v>
      </x:c>
      <x:c r="F48" s="35" t="str">
        <x:f>IF(EXACT("x"&amp;D48,"x"&amp;E48),"Concordante","Discordante")</x:f>
        <x:v>Concordante</x:v>
      </x:c>
    </x:row>
    <x:row r="49" ht="43" customHeight="1">
      <x:c r="A49" s="35" t="str">
        <x:v>ED-045</x:v>
      </x:c>
      <x:c r="B49" s="35" t="str">
        <x:v>P18</x:v>
      </x:c>
      <x:c r="C49" s="35" t="str">
        <x:v>Evidencia no admitida</x:v>
      </x:c>
      <x:c r="D49" s="35" t="str">
        <x:v>NO_ADMITIDA</x:v>
      </x:c>
      <x:c r="E49" s="35" t="str">
        <x:v>NO_ADMITIDA</x:v>
      </x:c>
      <x:c r="F49" s="35" t="str">
        <x:f>IF(EXACT("x"&amp;D49,"x"&amp;E49),"Concordante","Discordante")</x:f>
        <x:v>Concordante</x:v>
      </x:c>
    </x:row>
    <x:row r="50" ht="43" customHeight="1">
      <x:c r="A50" s="35" t="str">
        <x:v>ED-046</x:v>
      </x:c>
      <x:c r="B50" s="35" t="str">
        <x:v>P18</x:v>
      </x:c>
      <x:c r="C50" s="35" t="str">
        <x:v>Conflicto entre evidencias admitidas</x:v>
      </x:c>
      <x:c r="D50" s="35" t="str">
        <x:v>U</x:v>
      </x:c>
      <x:c r="E50" s="35" t="str">
        <x:v>U</x:v>
      </x:c>
      <x:c r="F50" s="35" t="str">
        <x:f>IF(EXACT("x"&amp;D50,"x"&amp;E50),"Concordante","Discordante")</x:f>
        <x:v>Concordante</x:v>
      </x:c>
    </x:row>
    <x:row r="51" ht="43" customHeight="1">
      <x:c r="A51" s="35" t="str">
        <x:v>ED-047</x:v>
      </x:c>
      <x:c r="B51" s="35" t="str">
        <x:v>P19</x:v>
      </x:c>
      <x:c r="C51" s="35" t="str">
        <x:v>Fallo del lector, sin estado del dominio</x:v>
      </x:c>
      <x:c r="D51" s="35" t="str">
        <x:v>FALLO_TECNICO</x:v>
      </x:c>
      <x:c r="E51" s="35" t="str">
        <x:v>FALLO_TECNICO</x:v>
      </x:c>
      <x:c r="F51" s="35" t="str">
        <x:f>IF(EXACT("x"&amp;D51,"x"&amp;E51),"Concordante","Discordante")</x:f>
        <x:v>Concordante</x:v>
      </x:c>
    </x:row>
    <x:row r="52" ht="43" customHeight="1">
      <x:c r="A52" s="35" t="str">
        <x:v>ED-048</x:v>
      </x:c>
      <x:c r="B52" s="35" t="str">
        <x:v>P19</x:v>
      </x:c>
      <x:c r="C52" s="35" t="str">
        <x:v>Evidencia no admitida</x:v>
      </x:c>
      <x:c r="D52" s="35" t="str">
        <x:v>NO_ADMITIDA</x:v>
      </x:c>
      <x:c r="E52" s="35" t="str">
        <x:v>NO_ADMITIDA</x:v>
      </x:c>
      <x:c r="F52" s="35" t="str">
        <x:f>IF(EXACT("x"&amp;D52,"x"&amp;E52),"Concordante","Discordante")</x:f>
        <x:v>Concordante</x:v>
      </x:c>
    </x:row>
    <x:row r="53" ht="43" customHeight="1">
      <x:c r="A53" s="35" t="str">
        <x:v>ED-049</x:v>
      </x:c>
      <x:c r="B53" s="35" t="str">
        <x:v>P19</x:v>
      </x:c>
      <x:c r="C53" s="35" t="str">
        <x:v>Conflicto entre evidencias admitidas</x:v>
      </x:c>
      <x:c r="D53" s="35" t="str">
        <x:v>U</x:v>
      </x:c>
      <x:c r="E53" s="35" t="str">
        <x:v>U</x:v>
      </x:c>
      <x:c r="F53" s="35" t="str">
        <x:f>IF(EXACT("x"&amp;D53,"x"&amp;E53),"Concordante","Discordante")</x:f>
        <x:v>Concordante</x:v>
      </x:c>
    </x:row>
    <x:row r="54" ht="43" customHeight="1">
      <x:c r="A54" s="35" t="str">
        <x:v>ED-050</x:v>
      </x:c>
      <x:c r="B54" s="35" t="str">
        <x:v>P20</x:v>
      </x:c>
      <x:c r="C54" s="35" t="str">
        <x:v>Fallo del lector, sin estado del dominio</x:v>
      </x:c>
      <x:c r="D54" s="35" t="str">
        <x:v>FALLO_TECNICO</x:v>
      </x:c>
      <x:c r="E54" s="35" t="str">
        <x:v>FALLO_TECNICO</x:v>
      </x:c>
      <x:c r="F54" s="35" t="str">
        <x:f>IF(EXACT("x"&amp;D54,"x"&amp;E54),"Concordante","Discordante")</x:f>
        <x:v>Concordante</x:v>
      </x:c>
    </x:row>
    <x:row r="55" ht="43" customHeight="1">
      <x:c r="A55" s="35" t="str">
        <x:v>ED-051</x:v>
      </x:c>
      <x:c r="B55" s="35" t="str">
        <x:v>P20</x:v>
      </x:c>
      <x:c r="C55" s="35" t="str">
        <x:v>Evidencia no admitida</x:v>
      </x:c>
      <x:c r="D55" s="35" t="str">
        <x:v>NO_ADMITIDA</x:v>
      </x:c>
      <x:c r="E55" s="35" t="str">
        <x:v>NO_ADMITIDA</x:v>
      </x:c>
      <x:c r="F55" s="35" t="str">
        <x:f>IF(EXACT("x"&amp;D55,"x"&amp;E55),"Concordante","Discordante")</x:f>
        <x:v>Concordante</x:v>
      </x:c>
    </x:row>
    <x:row r="56" ht="43" customHeight="1">
      <x:c r="A56" s="35" t="str">
        <x:v>ED-052</x:v>
      </x:c>
      <x:c r="B56" s="35" t="str">
        <x:v>P20</x:v>
      </x:c>
      <x:c r="C56" s="35" t="str">
        <x:v>Conflicto entre evidencias admitidas</x:v>
      </x:c>
      <x:c r="D56" s="35" t="str">
        <x:v>U</x:v>
      </x:c>
      <x:c r="E56" s="35" t="str">
        <x:v>U</x:v>
      </x:c>
      <x:c r="F56" s="35" t="str">
        <x:f>IF(EXACT("x"&amp;D56,"x"&amp;E56),"Concordante","Discordante")</x:f>
        <x:v>Concordante</x:v>
      </x:c>
    </x:row>
    <x:row r="57" ht="43" customHeight="1">
      <x:c r="A57" s="35" t="str">
        <x:v>ED-053</x:v>
      </x:c>
      <x:c r="B57" s="35" t="str">
        <x:v>P21</x:v>
      </x:c>
      <x:c r="C57" s="35" t="str">
        <x:v>Fallo del lector, sin estado del dominio</x:v>
      </x:c>
      <x:c r="D57" s="35" t="str">
        <x:v>FALLO_TECNICO</x:v>
      </x:c>
      <x:c r="E57" s="35" t="str">
        <x:v>FALLO_TECNICO</x:v>
      </x:c>
      <x:c r="F57" s="35" t="str">
        <x:f>IF(EXACT("x"&amp;D57,"x"&amp;E57),"Concordante","Discordante")</x:f>
        <x:v>Concordante</x:v>
      </x:c>
    </x:row>
    <x:row r="58" ht="43" customHeight="1">
      <x:c r="A58" s="35" t="str">
        <x:v>ED-054</x:v>
      </x:c>
      <x:c r="B58" s="35" t="str">
        <x:v>P21</x:v>
      </x:c>
      <x:c r="C58" s="35" t="str">
        <x:v>Evidencia no admitida</x:v>
      </x:c>
      <x:c r="D58" s="35" t="str">
        <x:v>NO_ADMITIDA</x:v>
      </x:c>
      <x:c r="E58" s="35" t="str">
        <x:v>NO_ADMITIDA</x:v>
      </x:c>
      <x:c r="F58" s="35" t="str">
        <x:f>IF(EXACT("x"&amp;D58,"x"&amp;E58),"Concordante","Discordante")</x:f>
        <x:v>Concordante</x:v>
      </x:c>
    </x:row>
    <x:row r="59" ht="43" customHeight="1">
      <x:c r="A59" s="35" t="str">
        <x:v>ED-055</x:v>
      </x:c>
      <x:c r="B59" s="35" t="str">
        <x:v>P21</x:v>
      </x:c>
      <x:c r="C59" s="35" t="str">
        <x:v>Conflicto entre evidencias admitidas</x:v>
      </x:c>
      <x:c r="D59" s="35" t="str">
        <x:v>U</x:v>
      </x:c>
      <x:c r="E59" s="35" t="str">
        <x:v>U</x:v>
      </x:c>
      <x:c r="F59" s="35" t="str">
        <x:f>IF(EXACT("x"&amp;D59,"x"&amp;E59),"Concordante","Discordante")</x:f>
        <x:v>Concordante</x:v>
      </x:c>
    </x:row>
    <x:row r="60" ht="43" customHeight="1">
      <x:c r="A60" s="35" t="str">
        <x:v>ED-056</x:v>
      </x:c>
      <x:c r="B60" s="35" t="str">
        <x:v>P22</x:v>
      </x:c>
      <x:c r="C60" s="35" t="str">
        <x:v>Fallo del lector, sin estado del dominio</x:v>
      </x:c>
      <x:c r="D60" s="35" t="str">
        <x:v>FALLO_TECNICO</x:v>
      </x:c>
      <x:c r="E60" s="35" t="str">
        <x:v>FALLO_TECNICO</x:v>
      </x:c>
      <x:c r="F60" s="35" t="str">
        <x:f>IF(EXACT("x"&amp;D60,"x"&amp;E60),"Concordante","Discordante")</x:f>
        <x:v>Concordante</x:v>
      </x:c>
    </x:row>
    <x:row r="61" ht="43" customHeight="1">
      <x:c r="A61" s="35" t="str">
        <x:v>ED-057</x:v>
      </x:c>
      <x:c r="B61" s="35" t="str">
        <x:v>P22</x:v>
      </x:c>
      <x:c r="C61" s="35" t="str">
        <x:v>Evidencia no admitida</x:v>
      </x:c>
      <x:c r="D61" s="35" t="str">
        <x:v>NO_ADMITIDA</x:v>
      </x:c>
      <x:c r="E61" s="35" t="str">
        <x:v>NO_ADMITIDA</x:v>
      </x:c>
      <x:c r="F61" s="35" t="str">
        <x:f>IF(EXACT("x"&amp;D61,"x"&amp;E61),"Concordante","Discordante")</x:f>
        <x:v>Concordante</x:v>
      </x:c>
    </x:row>
    <x:row r="62" ht="43" customHeight="1">
      <x:c r="A62" s="35" t="str">
        <x:v>ED-058</x:v>
      </x:c>
      <x:c r="B62" s="35" t="str">
        <x:v>P22</x:v>
      </x:c>
      <x:c r="C62" s="35" t="str">
        <x:v>Conflicto entre evidencias admitidas</x:v>
      </x:c>
      <x:c r="D62" s="35" t="str">
        <x:v>U</x:v>
      </x:c>
      <x:c r="E62" s="35" t="str">
        <x:v>U</x:v>
      </x:c>
      <x:c r="F62" s="35" t="str">
        <x:f>IF(EXACT("x"&amp;D62,"x"&amp;E62),"Concordante","Discordante")</x:f>
        <x:v>Concordante</x:v>
      </x:c>
    </x:row>
    <x:row r="63" ht="43" customHeight="1">
      <x:c r="A63" s="35" t="str">
        <x:v>ED-059</x:v>
      </x:c>
      <x:c r="B63" s="35" t="str">
        <x:v>P23</x:v>
      </x:c>
      <x:c r="C63" s="35" t="str">
        <x:v>Fallo del lector, sin estado del dominio</x:v>
      </x:c>
      <x:c r="D63" s="35" t="str">
        <x:v>FALLO_TECNICO</x:v>
      </x:c>
      <x:c r="E63" s="35" t="str">
        <x:v>FALLO_TECNICO</x:v>
      </x:c>
      <x:c r="F63" s="35" t="str">
        <x:f>IF(EXACT("x"&amp;D63,"x"&amp;E63),"Concordante","Discordante")</x:f>
        <x:v>Concordante</x:v>
      </x:c>
    </x:row>
    <x:row r="64" ht="43" customHeight="1">
      <x:c r="A64" s="35" t="str">
        <x:v>ED-060</x:v>
      </x:c>
      <x:c r="B64" s="35" t="str">
        <x:v>P23</x:v>
      </x:c>
      <x:c r="C64" s="35" t="str">
        <x:v>Evidencia no admitida</x:v>
      </x:c>
      <x:c r="D64" s="35" t="str">
        <x:v>NO_ADMITIDA</x:v>
      </x:c>
      <x:c r="E64" s="35" t="str">
        <x:v>NO_ADMITIDA</x:v>
      </x:c>
      <x:c r="F64" s="35" t="str">
        <x:f>IF(EXACT("x"&amp;D64,"x"&amp;E64),"Concordante","Discordante")</x:f>
        <x:v>Concordante</x:v>
      </x:c>
    </x:row>
    <x:row r="65" ht="43" customHeight="1">
      <x:c r="A65" s="35" t="str">
        <x:v>ED-061</x:v>
      </x:c>
      <x:c r="B65" s="35" t="str">
        <x:v>P23</x:v>
      </x:c>
      <x:c r="C65" s="35" t="str">
        <x:v>Conflicto entre evidencias admitidas</x:v>
      </x:c>
      <x:c r="D65" s="35" t="str">
        <x:v>U</x:v>
      </x:c>
      <x:c r="E65" s="35" t="str">
        <x:v>U</x:v>
      </x:c>
      <x:c r="F65" s="35" t="str">
        <x:f>IF(EXACT("x"&amp;D65,"x"&amp;E65),"Concordante","Discordante")</x:f>
        <x:v>Concordante</x:v>
      </x:c>
    </x:row>
    <x:row r="66" ht="43" customHeight="1">
      <x:c r="A66" s="35" t="str">
        <x:v>ED-062</x:v>
      </x:c>
      <x:c r="B66" s="35" t="str">
        <x:v>P24</x:v>
      </x:c>
      <x:c r="C66" s="35" t="str">
        <x:v>Fallo del lector, sin estado del dominio</x:v>
      </x:c>
      <x:c r="D66" s="35" t="str">
        <x:v>FALLO_TECNICO</x:v>
      </x:c>
      <x:c r="E66" s="35" t="str">
        <x:v>FALLO_TECNICO</x:v>
      </x:c>
      <x:c r="F66" s="35" t="str">
        <x:f>IF(EXACT("x"&amp;D66,"x"&amp;E66),"Concordante","Discordante")</x:f>
        <x:v>Concordante</x:v>
      </x:c>
    </x:row>
    <x:row r="67" ht="43" customHeight="1">
      <x:c r="A67" s="35" t="str">
        <x:v>ED-063</x:v>
      </x:c>
      <x:c r="B67" s="35" t="str">
        <x:v>P24</x:v>
      </x:c>
      <x:c r="C67" s="35" t="str">
        <x:v>Evidencia no admitida</x:v>
      </x:c>
      <x:c r="D67" s="35" t="str">
        <x:v>NO_ADMITIDA</x:v>
      </x:c>
      <x:c r="E67" s="35" t="str">
        <x:v>NO_ADMITIDA</x:v>
      </x:c>
      <x:c r="F67" s="35" t="str">
        <x:f>IF(EXACT("x"&amp;D67,"x"&amp;E67),"Concordante","Discordante")</x:f>
        <x:v>Concordante</x:v>
      </x:c>
    </x:row>
    <x:row r="68" ht="43" customHeight="1">
      <x:c r="A68" s="35" t="str">
        <x:v>ED-064</x:v>
      </x:c>
      <x:c r="B68" s="35" t="str">
        <x:v>P24</x:v>
      </x:c>
      <x:c r="C68" s="35" t="str">
        <x:v>Conflicto entre evidencias admitidas</x:v>
      </x:c>
      <x:c r="D68" s="35" t="str">
        <x:v>U</x:v>
      </x:c>
      <x:c r="E68" s="35" t="str">
        <x:v>U</x:v>
      </x:c>
      <x:c r="F68" s="35" t="str">
        <x:f>IF(EXACT("x"&amp;D68,"x"&amp;E68),"Concordante","Discordante")</x:f>
        <x:v>Concordante</x:v>
      </x:c>
    </x:row>
    <x:row r="72" ht="95" customHeight="1">
      <x:c r="A72" s="29" t="str">
        <x:v>Modificación deliberada del observador</x:v>
      </x:c>
      <x:c r="B72" s="29" t="str">
        <x:v>Casos que la refutan</x:v>
      </x:c>
      <x:c r="C72" s="29" t="str">
        <x:v>Cantidad</x:v>
      </x:c>
    </x:row>
    <x:row r="73" ht="95" customHeight="1">
      <x:c r="A73" s="29" t="str">
        <x:v>Siempre favorable</x:v>
      </x:c>
      <x:c r="B73" s="29" t="str">
        <x:v>ED-002, ED-003, ED-004, ED-005, ED-006, ED-008, ED-009, ED-010, ED-012, ED-013, ED-015, ED-017, ED-018, ED-020, ED-021, ED-023, ED-024, ED-025, ED-027, ED-028, ED-030, ED-031, ED-032, ED-033, ED-035, ED-036, ED-037, ED-038, ED-039, ED-040, ED-041, ED-042, ED-043, ED-044, ED-045, ED-046, ED-047, ED-048, ED-049, ED-050, ED-051, ED-052, ED-053, ED-054, ED-055, ED-056, ED-057, ED-058, ED-059, ED-060, ED-061, ED-062, ED-063, ED-064</x:v>
      </x:c>
      <x:c r="C73" s="29" t="n">
        <x:v>54</x:v>
      </x:c>
    </x:row>
    <x:row r="74" ht="95" customHeight="1">
      <x:c r="A74" s="29" t="str">
        <x:v>Ausencia convertida en cero</x:v>
      </x:c>
      <x:c r="B74" s="29" t="str">
        <x:v>ED-003, ED-008, ED-013, ED-018, ED-021, ED-024, ED-028, ED-031, ED-036, ED-040, ED-043, ED-046, ED-049, ED-052, ED-055, ED-058, ED-061, ED-064</x:v>
      </x:c>
      <x:c r="C74" s="29" t="n">
        <x:v>18</x:v>
      </x:c>
    </x:row>
    <x:row r="75" ht="95" customHeight="1">
      <x:c r="A75" s="29" t="str">
        <x:v>Fallo técnico convertido en incertidumbre</x:v>
      </x:c>
      <x:c r="B75" s="29" t="str">
        <x:v>ED-038, ED-041, ED-044, ED-047, ED-050, ED-053, ED-056, ED-059, ED-062</x:v>
      </x:c>
      <x:c r="C75" s="29" t="n">
        <x:v>9</x:v>
      </x:c>
    </x:row>
    <x:row r="76" ht="95" customHeight="1">
      <x:c r="A76" s="29" t="str">
        <x:v>Estado de tarea sin contexto</x:v>
      </x:c>
      <x:c r="B76" s="29" t="str">
        <x:v>ED-016, ED-017, ED-018, ED-047, ED-048</x:v>
      </x:c>
      <x:c r="C76" s="29" t="n">
        <x:v>5</x:v>
      </x:c>
    </x:row>
    <x:row r="77" ht="95" customHeight="1">
      <x:c r="A77" s="29" t="str">
        <x:v>Sincronización sin comprobar generación</x:v>
      </x:c>
      <x:c r="B77" s="29" t="str">
        <x:v>ED-032, ED-033</x:v>
      </x:c>
      <x:c r="C77" s="29" t="n">
        <x:v>2</x:v>
      </x:c>
    </x:row>
    <x:row r="78" ht="95" customHeight="1">
      <x:c r="A78" s="29" t="str">
        <x:v>Ausencia de referencia sin cobertura</x:v>
      </x:c>
      <x:c r="B78" s="29" t="str">
        <x:v>ED-021</x:v>
      </x:c>
      <x:c r="C78" s="29" t="n">
        <x:v>1</x:v>
      </x:c>
    </x:row>
    <x:row r="79" ht="95" customHeight="1">
      <x:c r="A79" s="29" t="str">
        <x:v>Ceros iniciales eliminados</x:v>
      </x:c>
      <x:c r="B79" s="29" t="str">
        <x:v>ED-006</x:v>
      </x:c>
      <x:c r="C79" s="29" t="n">
        <x:v>1</x:v>
      </x:c>
    </x:row>
    <x:row r="82">
      <x:c r="A82" t="str">
        <x:v>Comprobación</x:v>
      </x:c>
      <x:c r="B82" t="str">
        <x:v>Resultado</x:v>
      </x:c>
    </x:row>
    <x:row r="83">
      <x:c r="A83" t="str">
        <x:v>Resultados discordantes</x:v>
      </x:c>
      <x:c r="B83" t="n">
        <x:f>COUNTIF(F5:F68,"Discordante")</x:f>
        <x:v>0</x:v>
      </x:c>
    </x:row>
    <x:row r="84">
      <x:c r="A84" t="str">
        <x:v>Identidades paramétricas repetidas</x:v>
      </x:c>
      <x:c r="B84" t="n">
        <x:f>IF(COUNTIF('67_Parametros'!B5:B28,'67_Parametros'!B5)=1,0,1)+IF(COUNTIF('67_Parametros'!B5:B28,'67_Parametros'!B6)=1,0,1)+IF(COUNTIF('67_Parametros'!B5:B28,'67_Parametros'!B7)=1,0,1)+IF(COUNTIF('67_Parametros'!B5:B28,'67_Parametros'!B8)=1,0,1)+IF(COUNTIF('67_Parametros'!B5:B28,'67_Parametros'!B9)=1,0,1)+IF(COUNTIF('67_Parametros'!B5:B28,'67_Parametros'!B10)=1,0,1)+IF(COUNTIF('67_Parametros'!B5:B28,'67_Parametros'!B11)=1,0,1)+IF(COUNTIF('67_Parametros'!B5:B28,'67_Parametros'!B12)=1,0,1)+IF(COUNTIF('67_Parametros'!B5:B28,'67_Parametros'!B13)=1,0,1)+IF(COUNTIF('67_Parametros'!B5:B28,'67_Parametros'!B14)=1,0,1)+IF(COUNTIF('67_Parametros'!B5:B28,'67_Parametros'!B15)=1,0,1)+IF(COUNTIF('67_Parametros'!B5:B28,'67_Parametros'!B16)=1,0,1)+IF(COUNTIF('67_Parametros'!B5:B28,'67_Parametros'!B17)=1,0,1)+IF(COUNTIF('67_Parametros'!B5:B28,'67_Parametros'!B18)=1,0,1)+IF(COUNTIF('67_Parametros'!B5:B28,'67_Parametros'!B19)=1,0,1)+IF(COUNTIF('67_Parametros'!B5:B28,'67_Parametros'!B20)=1,0,1)+IF(COUNTIF('67_Parametros'!B5:B28,'67_Parametros'!B21)=1,0,1)+IF(COUNTIF('67_Parametros'!B5:B28,'67_Parametros'!B22)=1,0,1)+IF(COUNTIF('67_Parametros'!B5:B28,'67_Parametros'!B23)=1,0,1)+IF(COUNTIF('67_Parametros'!B5:B28,'67_Parametros'!B24)=1,0,1)+IF(COUNTIF('67_Parametros'!B5:B28,'67_Parametros'!B25)=1,0,1)+IF(COUNTIF('67_Parametros'!B5:B28,'67_Parametros'!B26)=1,0,1)+IF(COUNTIF('67_Parametros'!B5:B28,'67_Parametros'!B27)=1,0,1)+IF(COUNTIF('67_Parametros'!B5:B28,'67_Parametros'!B28)=1,0,1)</x:f>
        <x:v>0</x:v>
      </x:c>
    </x:row>
  </x:sheetData>
  <x:mergeCells>
    <x:mergeCell ref="A1:D1"/>
    <x:mergeCell ref="A2:F2"/>
  </x:mergeCells>
  <x:conditionalFormatting sqref="F5:F68">
    <x:cfRule type="containsText" dxfId="28" priority="1" operator="containsText" text="Discordante"/>
  </x:conditionalFormatting>
  <x:pageMargins left="0.7" right="0.7" top="0.75" bottom="0.75" header="0.3" footer="0.3"/>
  <x:tableParts count="1">
    <x:tablePart xmlns:r="http://schemas.openxmlformats.org/officeDocument/2006/relationships" r:id="R2f41e99e5f63408b"/>
  </x:tableParts>
</x:worksheet>
</file>