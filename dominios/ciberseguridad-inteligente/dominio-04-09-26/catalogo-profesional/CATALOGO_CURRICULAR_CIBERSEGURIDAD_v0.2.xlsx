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74d2152b494aee" /></Relationships>
</file>

<file path=xl/workbook.xml><?xml version="1.0" encoding="utf-8"?>
<x:workbook xmlns:x="http://schemas.openxmlformats.org/spreadsheetml/2006/main">
  <x:sheets>
    <x:sheet xmlns:r="http://schemas.openxmlformats.org/officeDocument/2006/relationships" name="00_Estatuto" sheetId="1" r:id="Rcb20105ef52c4465"/>
    <x:sheet xmlns:r="http://schemas.openxmlformats.org/officeDocument/2006/relationships" name="01_Fuentes" sheetId="2" r:id="R6a508a3c0c4b4406"/>
    <x:sheet xmlns:r="http://schemas.openxmlformats.org/officeDocument/2006/relationships" name="02_Custodia" sheetId="3" r:id="Rf9d98c0faed04b17"/>
    <x:sheet xmlns:r="http://schemas.openxmlformats.org/officeDocument/2006/relationships" name="03_NICE" sheetId="4" r:id="R29bd13ef00ee4d35"/>
    <x:sheet xmlns:r="http://schemas.openxmlformats.org/officeDocument/2006/relationships" name="04_TKS" sheetId="5" r:id="R07d727e9a168499d"/>
    <x:sheet xmlns:r="http://schemas.openxmlformats.org/officeDocument/2006/relationships" name="05_Complementos" sheetId="6" r:id="R10d42c80dd4b4a6c"/>
    <x:sheet xmlns:r="http://schemas.openxmlformats.org/officeDocument/2006/relationships" name="06_Cobertura" sheetId="7" r:id="Rb47901a5c3034241"/>
    <x:sheet xmlns:r="http://schemas.openxmlformats.org/officeDocument/2006/relationships" name="07_Operaciones" sheetId="8" r:id="Rbfff2ca861d34a5c"/>
    <x:sheet xmlns:r="http://schemas.openxmlformats.org/officeDocument/2006/relationships" name="08_Trazas" sheetId="9" r:id="Rf641c9e390eb4298"/>
    <x:sheet xmlns:r="http://schemas.openxmlformats.org/officeDocument/2006/relationships" name="09_Decisiones" sheetId="10" r:id="R966eb8f5b6cb4ca0"/>
    <x:sheet xmlns:r="http://schemas.openxmlformats.org/officeDocument/2006/relationships" name="10_Adversarial" sheetId="11" r:id="R528fb96a1ea24fc1"/>
    <x:sheet xmlns:r="http://schemas.openxmlformats.org/officeDocument/2006/relationships" name="11_Controles" sheetId="12" r:id="R74cf919f8f084f70"/>
    <x:sheet xmlns:r="http://schemas.openxmlformats.org/officeDocument/2006/relationships" name="12_Glosario" sheetId="13" r:id="Rad60b8543c314a5b"/>
    <x:sheet xmlns:r="http://schemas.openxmlformats.org/officeDocument/2006/relationships" name="13_Relaciones_NICE" sheetId="14" r:id="R15f6b3a34256471c"/>
    <x:sheet xmlns:r="http://schemas.openxmlformats.org/officeDocument/2006/relationships" name="14_Comparacion" sheetId="15" r:id="R7e9c592efb894ac3"/>
    <x:sheet xmlns:r="http://schemas.openxmlformats.org/officeDocument/2006/relationships" name="15_Base_universitaria" sheetId="16" r:id="R1e276dac971e461b"/>
    <x:sheet xmlns:r="http://schemas.openxmlformats.org/officeDocument/2006/relationships" name="16_Progresion" sheetId="17" r:id="R40ad5652ef3944de"/>
    <x:sheet xmlns:r="http://schemas.openxmlformats.org/officeDocument/2006/relationships" name="17_Comp_educativos" sheetId="18" r:id="R0adefe3bffda4e8c"/>
    <x:sheet xmlns:r="http://schemas.openxmlformats.org/officeDocument/2006/relationships" name="18_Necesidades_IA" sheetId="19" r:id="Rc437fb99976a46a0"/>
    <x:sheet xmlns:r="http://schemas.openxmlformats.org/officeDocument/2006/relationships" name="19_Consecuencias" sheetId="20" r:id="Rb96add7fb7224efb"/>
    <x:sheet xmlns:r="http://schemas.openxmlformats.org/officeDocument/2006/relationships" name="20_Familias" sheetId="21" r:id="Rafcf79b0632a4251"/>
    <x:sheet xmlns:r="http://schemas.openxmlformats.org/officeDocument/2006/relationships" name="21_Fuentes_educativas" sheetId="22" r:id="R85c44aaa91e848e9"/>
    <x:sheet xmlns:r="http://schemas.openxmlformats.org/officeDocument/2006/relationships" name="22_Revision_curricular" sheetId="23" r:id="Rce75260e84ea410e"/>
    <x:sheet xmlns:r="http://schemas.openxmlformats.org/officeDocument/2006/relationships" name="23_Control_curricular" sheetId="24" r:id="R4f03b570e76649fe"/>
    <x:sheet xmlns:r="http://schemas.openxmlformats.org/officeDocument/2006/relationships" name="24_Gobierno" sheetId="25" r:id="Rda66f5fee4ed4af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General"/>
    <x:numFmt numFmtId="202" formatCode="0"/>
  </x:numFmts>
  <x:fonts count="6">
    <x:font>
      <x:sz val="11"/>
      <x:name val="Carlito"/>
    </x:font>
    <x:font>
      <x:sz val="11"/>
      <x:color rgb="FF223549"/>
      <x:name val="Carlito"/>
    </x:font>
    <x:font>
      <x:b/>
      <x:sz val="16"/>
      <x:color rgb="FFFFFFFF"/>
      <x:name val="Carlito"/>
    </x:font>
    <x:font>
      <x:i/>
      <x:sz val="10"/>
      <x:color rgb="FF223549"/>
      <x:name val="Carlito"/>
    </x:font>
    <x:font>
      <x:b/>
      <x:sz val="11"/>
      <x:color rgb="FFFFFFFF"/>
      <x:name val="Carlito"/>
    </x:font>
    <x:font>
      <x:sz val="11"/>
      <x:color rgb="FF176B53"/>
      <x:name val="Carlito"/>
    </x:font>
  </x:fonts>
  <x:fills count="5">
    <x:fill>
      <x:patternFill patternType="none"/>
    </x:fill>
    <x:fill>
      <x:patternFill patternType="gray125"/>
    </x:fill>
    <x:fill>
      <x:patternFill patternType="solid">
        <x:fgColor rgb="FF193650"/>
      </x:patternFill>
    </x:fill>
    <x:fill>
      <x:patternFill patternType="solid">
        <x:fgColor rgb="FFD9E7F3"/>
      </x:patternFill>
    </x:fill>
    <x:fill>
      <x:patternFill patternType="solid">
        <x:fgColor rgb="FF0F6B6D"/>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5" fillId="0" borderId="0" xfId="0" applyNumberFormat="1" applyFont="1" applyFill="1" applyBorder="1" applyAlignment="1">
      <x:alignment horizontal="center" vertical="top" wrapText="1"/>
    </x:xf>
    <x:xf numFmtId="202"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cellXfs>
  <x:cellStyles count="1">
    <x:cellStyle name="Normal" xfId="0"/>
  </x:cellStyles>
  <x:dxfs count="9">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color rgb="FF8A5A12"/>
      </x:font>
      <x:fill>
        <x:patternFill patternType="solid">
          <x:bgColor rgb="FFFFF0D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3c29b2da4547ad" /><Relationship Type="http://schemas.openxmlformats.org/officeDocument/2006/relationships/theme" Target="/xl/theme/theme1.xml" Id="R0cd1577c7aca4fd7" /><Relationship Type="http://schemas.openxmlformats.org/officeDocument/2006/relationships/sharedStrings" Target="/xl/sharedStrings.xml" Id="R13e2dd3b906e408f" /><Relationship Type="http://schemas.openxmlformats.org/officeDocument/2006/relationships/worksheet" Target="/xl/worksheets/sheet1.xml" Id="Rcb20105ef52c4465" /><Relationship Type="http://schemas.openxmlformats.org/officeDocument/2006/relationships/worksheet" Target="/xl/worksheets/sheet2.xml" Id="R6a508a3c0c4b4406" /><Relationship Type="http://schemas.openxmlformats.org/officeDocument/2006/relationships/worksheet" Target="/xl/worksheets/sheet3.xml" Id="Rf9d98c0faed04b17" /><Relationship Type="http://schemas.openxmlformats.org/officeDocument/2006/relationships/worksheet" Target="/xl/worksheets/sheet4.xml" Id="R29bd13ef00ee4d35" /><Relationship Type="http://schemas.openxmlformats.org/officeDocument/2006/relationships/worksheet" Target="/xl/worksheets/sheet5.xml" Id="R07d727e9a168499d" /><Relationship Type="http://schemas.openxmlformats.org/officeDocument/2006/relationships/worksheet" Target="/xl/worksheets/sheet6.xml" Id="R10d42c80dd4b4a6c" /><Relationship Type="http://schemas.openxmlformats.org/officeDocument/2006/relationships/worksheet" Target="/xl/worksheets/sheet7.xml" Id="Rb47901a5c3034241" /><Relationship Type="http://schemas.openxmlformats.org/officeDocument/2006/relationships/worksheet" Target="/xl/worksheets/sheet8.xml" Id="Rbfff2ca861d34a5c" /><Relationship Type="http://schemas.openxmlformats.org/officeDocument/2006/relationships/worksheet" Target="/xl/worksheets/sheet9.xml" Id="Rf641c9e390eb4298" /><Relationship Type="http://schemas.openxmlformats.org/officeDocument/2006/relationships/worksheet" Target="/xl/worksheets/sheet10.xml" Id="R966eb8f5b6cb4ca0" /><Relationship Type="http://schemas.openxmlformats.org/officeDocument/2006/relationships/worksheet" Target="/xl/worksheets/sheet11.xml" Id="R528fb96a1ea24fc1" /><Relationship Type="http://schemas.openxmlformats.org/officeDocument/2006/relationships/worksheet" Target="/xl/worksheets/sheet12.xml" Id="R74cf919f8f084f70" /><Relationship Type="http://schemas.openxmlformats.org/officeDocument/2006/relationships/worksheet" Target="/xl/worksheets/sheet13.xml" Id="Rad60b8543c314a5b" /><Relationship Type="http://schemas.openxmlformats.org/officeDocument/2006/relationships/worksheet" Target="/xl/worksheets/sheet14.xml" Id="R15f6b3a34256471c" /><Relationship Type="http://schemas.openxmlformats.org/officeDocument/2006/relationships/worksheet" Target="/xl/worksheets/sheet15.xml" Id="R7e9c592efb894ac3" /><Relationship Type="http://schemas.openxmlformats.org/officeDocument/2006/relationships/worksheet" Target="/xl/worksheets/sheet16.xml" Id="R1e276dac971e461b" /><Relationship Type="http://schemas.openxmlformats.org/officeDocument/2006/relationships/worksheet" Target="/xl/worksheets/sheet17.xml" Id="R40ad5652ef3944de" /><Relationship Type="http://schemas.openxmlformats.org/officeDocument/2006/relationships/worksheet" Target="/xl/worksheets/sheet18.xml" Id="R0adefe3bffda4e8c" /><Relationship Type="http://schemas.openxmlformats.org/officeDocument/2006/relationships/worksheet" Target="/xl/worksheets/sheet19.xml" Id="Rc437fb99976a46a0" /><Relationship Type="http://schemas.openxmlformats.org/officeDocument/2006/relationships/worksheet" Target="/xl/worksheets/sheet20.xml" Id="Rb96add7fb7224efb" /><Relationship Type="http://schemas.openxmlformats.org/officeDocument/2006/relationships/worksheet" Target="/xl/worksheets/sheet21.xml" Id="Rafcf79b0632a4251" /><Relationship Type="http://schemas.openxmlformats.org/officeDocument/2006/relationships/worksheet" Target="/xl/worksheets/sheet22.xml" Id="R85c44aaa91e848e9" /><Relationship Type="http://schemas.openxmlformats.org/officeDocument/2006/relationships/worksheet" Target="/xl/worksheets/sheet23.xml" Id="Rce75260e84ea410e" /><Relationship Type="http://schemas.openxmlformats.org/officeDocument/2006/relationships/worksheet" Target="/xl/worksheets/sheet24.xml" Id="R4f03b570e76649fe" /><Relationship Type="http://schemas.openxmlformats.org/officeDocument/2006/relationships/worksheet" Target="/xl/worksheets/sheet25.xml" Id="Rda66f5fee4ed4afc" /></Relationships>
</file>

<file path=xl/tables/table1.xml><?xml version="1.0" encoding="utf-8"?>
<x:table xmlns:x="http://schemas.openxmlformats.org/spreadsheetml/2006/main" id="1" name="CYB_Estatuto" displayName="CYB_Estatuto" ref="A4:B40" headerRowCount="1" totalsRowCount="0" totalsRowShown="0">
  <x:autoFilter ref="A4:B40"/>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CYB_Fuentes" displayName="CYB_Fuentes" ref="A4:Q40" headerRowCount="1" totalsRowCount="0" totalsRowShown="0">
  <x:autoFilter ref="A4:Q40"/>
  <x:tableColumns count="17">
    <x:tableColumn id="1" name="ID fuente"/>
    <x:tableColumn id="2" name="Clase"/>
    <x:tableColumn id="3" name="Emisor"/>
    <x:tableColumn id="4" name="Título oficial"/>
    <x:tableColumn id="5" name="Edición / corte"/>
    <x:tableColumn id="6" name="País / jurisdicción"/>
    <x:tableColumn id="7" name="Función en catálogo"/>
    <x:tableColumn id="8" name="Admisión documental"/>
    <x:tableColumn id="9" name="Justificación de selección"/>
    <x:tableColumn id="10" name="Límite"/>
    <x:tableColumn id="11" name="Captura principal"/>
    <x:tableColumn id="12" name="URL oficial"/>
    <x:tableColumn id="13" name="Consulta"/>
    <x:tableColumn id="14" name="Responsable / adopción"/>
    <x:tableColumn id="15" name="Duplicado"/>
    <x:tableColumn id="16" name="Captura ausente"/>
    <x:tableColumn id="17" name="Campo ausente"/>
  </x:tableColumns>
  <x:tableStyleInfo name="TableStyleMedium2" showFirstColumn="0" showLastColumn="0" showRowStripes="1" showColumnStripes="0"/>
</x:table>
</file>

<file path=xl/tables/table3.xml><?xml version="1.0" encoding="utf-8"?>
<x:table xmlns:x="http://schemas.openxmlformats.org/spreadsheetml/2006/main" id="3" name="CYB_Custodia" displayName="CYB_Custodia" ref="A4:L53" headerRowCount="1" totalsRowCount="0" totalsRowShown="0">
  <x:autoFilter ref="A4:L53"/>
  <x:tableColumns count="12">
    <x:tableColumn id="1" name="ID captura"/>
    <x:tableColumn id="2" name="URL solicitada"/>
    <x:tableColumn id="3" name="URL efectiva"/>
    <x:tableColumn id="4" name="Captura UTC"/>
    <x:tableColumn id="5" name="Tipo de bytes"/>
    <x:tableColumn id="6" name="Estado de adquisición"/>
    <x:tableColumn id="7" name="Tamaño bytes (texto)"/>
    <x:tableColumn id="8" name="SHA-256"/>
    <x:tableColumn id="9" name="Alcance disponible"/>
    <x:tableColumn id="10" name="Licencia / uso"/>
    <x:tableColumn id="11" name="Huella defectuosa"/>
    <x:tableColumn id="12" name="Duplicado"/>
  </x:tableColumns>
  <x:tableStyleInfo name="TableStyleMedium2" showFirstColumn="0" showLastColumn="0" showRowStripes="1" showColumnStripes="0"/>
</x:table>
</file>

<file path=xl/tables/table4.xml><?xml version="1.0" encoding="utf-8"?>
<x:table xmlns:x="http://schemas.openxmlformats.org/spreadsheetml/2006/main" id="4" name="CYB_NICE" displayName="CYB_NICE" ref="A4:O57" headerRowCount="1" totalsRowCount="0" totalsRowShown="0">
  <x:autoFilter ref="A4:O57"/>
  <x:tableColumns count="15">
    <x:tableColumn id="1" name="ID externo"/>
    <x:tableColumn id="2" name="Tipo NICE"/>
    <x:tableColumn id="3" name="Título original"/>
    <x:tableColumn id="4" name="Definición original"/>
    <x:tableColumn id="5" name="Rótulo español"/>
    <x:tableColumn id="6" name="Síntesis española"/>
    <x:tableColumn id="7" name="Eje"/>
    <x:tableColumn id="8" name="Operación primaria"/>
    <x:tableColumn id="9" name="Fuente"/>
    <x:tableColumn id="10" name="Edición"/>
    <x:tableColumn id="11" name="Estado externo"/>
    <x:tableColumn id="12" name="Adopción de afirmación"/>
    <x:tableColumn id="13" name="Duplicado"/>
    <x:tableColumn id="14" name="Referencia ausente"/>
    <x:tableColumn id="15" name="Campo ausente"/>
  </x:tableColumns>
  <x:tableStyleInfo name="TableStyleMedium2" showFirstColumn="0" showLastColumn="0" showRowStripes="1" showColumnStripes="0"/>
</x:table>
</file>

<file path=xl/tables/table5.xml><?xml version="1.0" encoding="utf-8"?>
<x:table xmlns:x="http://schemas.openxmlformats.org/spreadsheetml/2006/main" id="5" name="CYB_TKS" displayName="CYB_TKS" ref="A4:M72" headerRowCount="1" totalsRowCount="0" totalsRowShown="0">
  <x:autoFilter ref="A4:M72"/>
  <x:tableColumns count="13">
    <x:tableColumn id="1" name="ID externo"/>
    <x:tableColumn id="2" name="Tipo NICE"/>
    <x:tableColumn id="3" name="Texto original"/>
    <x:tableColumn id="4" name="Síntesis española"/>
    <x:tableColumn id="5" name="Eje"/>
    <x:tableColumn id="6" name="Operación primaria"/>
    <x:tableColumn id="7" name="Fuente"/>
    <x:tableColumn id="8" name="Edición"/>
    <x:tableColumn id="9" name="Estado externo"/>
    <x:tableColumn id="10" name="Adopción de afirmación"/>
    <x:tableColumn id="11" name="Duplicado"/>
    <x:tableColumn id="12" name="Referencia ausente"/>
    <x:tableColumn id="13" name="Campo ausente"/>
  </x:tableColumns>
  <x:tableStyleInfo name="TableStyleMedium2" showFirstColumn="0" showLastColumn="0" showRowStripes="1" showColumnStripes="0"/>
</x:table>
</file>

<file path=xl/tables/table6.xml><?xml version="1.0" encoding="utf-8"?>
<x:table xmlns:x="http://schemas.openxmlformats.org/spreadsheetml/2006/main" id="6" name="CYB_Complementos" displayName="CYB_Complementos" ref="A4:Q127" headerRowCount="1" totalsRowCount="0" totalsRowShown="0">
  <x:autoFilter ref="A4:Q127"/>
  <x:tableColumns count="17">
    <x:tableColumn id="1" name="ID local"/>
    <x:tableColumn id="2" name="Fuente"/>
    <x:tableColumn id="3" name="Captura"/>
    <x:tableColumn id="4" name="Localizador de lectura"/>
    <x:tableColumn id="5" name="Original breve"/>
    <x:tableColumn id="6" name="Síntesis española"/>
    <x:tableColumn id="7" name="Clase de aportación"/>
    <x:tableColumn id="8" name="Eje"/>
    <x:tableColumn id="9" name="Ancla NICE"/>
    <x:tableColumn id="10" name="Operación primaria"/>
    <x:tableColumn id="11" name="Naturaleza de relación"/>
    <x:tableColumn id="12" name="Adopción de afirmación"/>
    <x:tableColumn id="13" name="Duplicado"/>
    <x:tableColumn id="14" name="Fuente ausente"/>
    <x:tableColumn id="15" name="Ancla ausente"/>
    <x:tableColumn id="16" name="Uso indebido"/>
    <x:tableColumn id="17" name="Campo ausente"/>
  </x:tableColumns>
  <x:tableStyleInfo name="TableStyleMedium2" showFirstColumn="0" showLastColumn="0" showRowStripes="1" showColumnStripes="0"/>
</x:table>
</file>

<file path=xl/tables/table7.xml><?xml version="1.0" encoding="utf-8"?>
<x:table xmlns:x="http://schemas.openxmlformats.org/spreadsheetml/2006/main" id="7" name="CYB_Cobertura" displayName="CYB_Cobertura" ref="A4:H25" headerRowCount="1" totalsRowCount="0" totalsRowShown="0">
  <x:autoFilter ref="A4:H25"/>
  <x:tableColumns count="8">
    <x:tableColumn id="1" name="Eje"/>
    <x:tableColumn id="2" name="Dimensión"/>
    <x:tableColumn id="3" name="Pregunta de revisión"/>
    <x:tableColumn id="4" name="Roles / áreas"/>
    <x:tableColumn id="5" name="TKS"/>
    <x:tableColumn id="6" name="Complementos utilizables"/>
    <x:tableColumn id="7" name="Vacío o frontera pendiente"/>
    <x:tableColumn id="8" name="Dictamen de alcance"/>
  </x:tableColumns>
  <x:tableStyleInfo name="TableStyleMedium2" showFirstColumn="0" showLastColumn="0" showRowStripes="1" showColumnStripes="0"/>
</x:table>
</file>

<file path=xl/tables/table8.xml><?xml version="1.0" encoding="utf-8"?>
<x:table xmlns:x="http://schemas.openxmlformats.org/spreadsheetml/2006/main" id="8" name="CYB_Operaciones" displayName="CYB_Operaciones" ref="A4:K26" headerRowCount="1" totalsRowCount="0" totalsRowShown="0">
  <x:autoFilter ref="A4:K26"/>
  <x:tableColumns count="11">
    <x:tableColumn id="1" name="ID candidato"/>
    <x:tableColumn id="2" name="Producto"/>
    <x:tableColumn id="3" name="Objeto / sujeto"/>
    <x:tableColumn id="4" name="Desencadenante"/>
    <x:tableColumn id="5" name="Autoridad requerida"/>
    <x:tableColumn id="6" name="Frontera"/>
    <x:tableColumn id="7" name="Terminación candidata"/>
    <x:tableColumn id="8" name="Anclas de procedencia"/>
    <x:tableColumn id="9" name="Duplicado"/>
    <x:tableColumn id="10" name="Campo ausente"/>
    <x:tableColumn id="11" name="Vínculos primarios"/>
  </x:tableColumns>
  <x:tableStyleInfo name="TableStyleMedium2" showFirstColumn="0" showLastColumn="0" showRowStripes="1" showColumnStripes="0"/>
</x:table>
</file>

<file path=xl/tables/table9.xml><?xml version="1.0" encoding="utf-8"?>
<x:table xmlns:x="http://schemas.openxmlformats.org/spreadsheetml/2006/main" id="9" name="CYB_Trazas" displayName="CYB_Trazas" ref="A4:P248" headerRowCount="1" totalsRowCount="0" totalsRowShown="0">
  <x:autoFilter ref="A4:P248"/>
  <x:tableColumns count="16">
    <x:tableColumn id="1" name="Entrada"/>
    <x:tableColumn id="2" name="Fuente"/>
    <x:tableColumn id="3" name="Captura"/>
    <x:tableColumn id="4" name="Identidad externa / localizador"/>
    <x:tableColumn id="5" name="Edición o instantánea"/>
    <x:tableColumn id="6" name="Localización rastreada"/>
    <x:tableColumn id="7" name="Tipo de extracción"/>
    <x:tableColumn id="8" name="Offset UTF-8 (texto)"/>
    <x:tableColumn id="9" name="Longitud bytes (texto)"/>
    <x:tableColumn id="10" name="SHA-256 del objeto o fragmento"/>
    <x:tableColumn id="11" name="Fecha de consulta"/>
    <x:tableColumn id="12" name="Fecha de adopción"/>
    <x:tableColumn id="13" name="Huella defectuosa"/>
    <x:tableColumn id="14" name="Entrada ausente"/>
    <x:tableColumn id="15" name="Duplicado"/>
    <x:tableColumn id="16" name="Captura ausente"/>
  </x:tableColumns>
  <x:tableStyleInfo name="TableStyleMedium2" showFirstColumn="0" showLastColumn="0" showRowStripes="1" showColumnStripes="0"/>
</x:table>
</file>

<file path=xl/tables/table10.xml><?xml version="1.0" encoding="utf-8"?>
<x:table xmlns:x="http://schemas.openxmlformats.org/spreadsheetml/2006/main" id="10" name="CYB_Decisiones" displayName="CYB_Decisiones" ref="A4:F18" headerRowCount="1" totalsRowCount="0" totalsRowShown="0">
  <x:autoFilter ref="A4:F18"/>
  <x:tableColumns count="6">
    <x:tableColumn id="1" name="ID"/>
    <x:tableColumn id="2" name="Asunto"/>
    <x:tableColumn id="3" name="Objeto"/>
    <x:tableColumn id="4" name="Fundamento"/>
    <x:tableColumn id="5" name="Evidencia"/>
    <x:tableColumn id="6" name="Límite / efecto"/>
  </x:tableColumns>
  <x:tableStyleInfo name="TableStyleMedium2" showFirstColumn="0" showLastColumn="0" showRowStripes="1" showColumnStripes="0"/>
</x:table>
</file>

<file path=xl/tables/table11.xml><?xml version="1.0" encoding="utf-8"?>
<x:table xmlns:x="http://schemas.openxmlformats.org/spreadsheetml/2006/main" id="11" name="CYB_Adversarial" displayName="CYB_Adversarial" ref="A4:F18" headerRowCount="1" totalsRowCount="0" totalsRowShown="0">
  <x:autoFilter ref="A4:F18"/>
  <x:tableColumns count="6">
    <x:tableColumn id="1" name="ID"/>
    <x:tableColumn id="2" name="Frente"/>
    <x:tableColumn id="3" name="Riesgo o defecto contrastado"/>
    <x:tableColumn id="4" name="Resultado"/>
    <x:tableColumn id="5" name="Tratamiento"/>
    <x:tableColumn id="6" name="Evidencia"/>
  </x:tableColumns>
  <x:tableStyleInfo name="TableStyleMedium2" showFirstColumn="0" showLastColumn="0" showRowStripes="1" showColumnStripes="0"/>
</x:table>
</file>

<file path=xl/tables/table12.xml><?xml version="1.0" encoding="utf-8"?>
<x:table xmlns:x="http://schemas.openxmlformats.org/spreadsheetml/2006/main" id="12" name="CYB_Controles" displayName="CYB_Controles" ref="A4:E22" headerRowCount="1" totalsRowCount="0" totalsRowShown="0">
  <x:autoFilter ref="A4:E22"/>
  <x:tableColumns count="5">
    <x:tableColumn id="1" name="ID"/>
    <x:tableColumn id="2" name="Control o mutación"/>
    <x:tableColumn id="3" name="Resultado calculado / observado"/>
    <x:tableColumn id="4" name="Esperado"/>
    <x:tableColumn id="5" name="Comprobación"/>
  </x:tableColumns>
  <x:tableStyleInfo name="TableStyleMedium2" showFirstColumn="0" showLastColumn="0" showRowStripes="1" showColumnStripes="0"/>
</x:table>
</file>

<file path=xl/tables/table13.xml><?xml version="1.0" encoding="utf-8"?>
<x:table xmlns:x="http://schemas.openxmlformats.org/spreadsheetml/2006/main" id="13" name="CYB_Glosario" displayName="CYB_Glosario" ref="A4:B38" headerRowCount="1" totalsRowCount="0" totalsRowShown="0">
  <x:autoFilter ref="A4:B38"/>
  <x:tableColumns count="2">
    <x:tableColumn id="1" name="Término"/>
    <x:tableColumn id="2" name="Significado en este corte"/>
  </x:tableColumns>
  <x:tableStyleInfo name="TableStyleMedium2" showFirstColumn="0" showLastColumn="0" showRowStripes="1" showColumnStripes="0"/>
</x:table>
</file>

<file path=xl/tables/table14.xml><?xml version="1.0" encoding="utf-8"?>
<x:table xmlns:x="http://schemas.openxmlformats.org/spreadsheetml/2006/main" id="14" name="CYB_Relaciones_NICE" displayName="CYB_Relaciones_NICE" ref="A4:H186" headerRowCount="1" totalsRowCount="0" totalsRowShown="0">
  <x:autoFilter ref="A4:H186"/>
  <x:tableColumns count="8">
    <x:tableColumn id="1" name="ID local de registro"/>
    <x:tableColumn id="2" name="Origen NICE"/>
    <x:tableColumn id="3" name="Destino NICE"/>
    <x:tableColumn id="4" name="Tipo original"/>
    <x:tableColumn id="5" name="Procedencia original"/>
    <x:tableColumn id="6" name="Fuente / edición"/>
    <x:tableColumn id="7" name="Duplicado"/>
    <x:tableColumn id="8" name="Extremo ausente"/>
  </x:tableColumns>
  <x:tableStyleInfo name="TableStyleMedium2" showFirstColumn="0" showLastColumn="0" showRowStripes="1" showColumnStripes="0"/>
</x:table>
</file>

<file path=xl/tables/table15.xml><?xml version="1.0" encoding="utf-8"?>
<x:table xmlns:x="http://schemas.openxmlformats.org/spreadsheetml/2006/main" id="15" name="CYB_Comparacion" displayName="CYB_Comparacion" ref="A4:K11" headerRowCount="1" totalsRowCount="0" totalsRowShown="0">
  <x:autoFilter ref="A4:K11"/>
  <x:tableColumns count="11">
    <x:tableColumn id="1" name="ID"/>
    <x:tableColumn id="2" name="País"/>
    <x:tableColumn id="3" name="Programa"/>
    <x:tableColumn id="4" name="Edición / identidad"/>
    <x:tableColumn id="5" name="Nivel y carga"/>
    <x:tableColumn id="6" name="Aportación educativa"/>
    <x:tableColumn id="7" name="Lectura efectuada"/>
    <x:tableColumn id="8" name="Propuesta"/>
    <x:tableColumn id="9" name="Justificación"/>
    <x:tableColumn id="10" name="Reserva"/>
    <x:tableColumn id="11" name="Fuentes"/>
  </x:tableColumns>
  <x:tableStyleInfo name="TableStyleMedium2" showFirstColumn="0" showLastColumn="0" showRowStripes="1" showColumnStripes="0"/>
</x:table>
</file>

<file path=xl/tables/table16.xml><?xml version="1.0" encoding="utf-8"?>
<x:table xmlns:x="http://schemas.openxmlformats.org/spreadsheetml/2006/main" id="16" name="CYB_Base_universitaria" displayName="CYB_Base_universitaria" ref="A4:S44" headerRowCount="1" totalsRowCount="0" totalsRowShown="0">
  <x:autoFilter ref="A4:S44"/>
  <x:tableColumns count="19">
    <x:tableColumn id="1" name="ID local"/>
    <x:tableColumn id="2" name="Código oficial"/>
    <x:tableColumn id="3" name="Asignatura oficial"/>
    <x:tableColumn id="4" name="Curso"/>
    <x:tableColumn id="5" name="Semestre"/>
    <x:tableColumn id="6" name="ECTS originales"/>
    <x:tableColumn id="7" name="Carácter"/>
    <x:tableColumn id="8" name="Familia local"/>
    <x:tableColumn id="9" name="Conocimiento · síntesis"/>
    <x:tableColumn id="10" name="Saber hacer · síntesis"/>
    <x:tableColumn id="11" name="Forma educativa · síntesis"/>
    <x:tableColumn id="12" name="Resultados identificados"/>
    <x:tableColumn id="13" name="Guía"/>
    <x:tableColumn id="14" name="Localizador"/>
    <x:tableColumn id="15" name="Estado"/>
    <x:tableColumn id="16" name="ECTS calculados"/>
    <x:tableColumn id="17" name="Duplicado"/>
    <x:tableColumn id="18" name="Referencia ausente"/>
    <x:tableColumn id="19" name="Fuente no admisible"/>
  </x:tableColumns>
  <x:tableStyleInfo name="TableStyleMedium2" showFirstColumn="0" showLastColumn="0" showRowStripes="1" showColumnStripes="0"/>
</x:table>
</file>

<file path=xl/tables/table17.xml><?xml version="1.0" encoding="utf-8"?>
<x:table xmlns:x="http://schemas.openxmlformats.org/spreadsheetml/2006/main" id="17" name="CYB_Progresion" displayName="CYB_Progresion" ref="A4:I12" headerRowCount="1" totalsRowCount="0" totalsRowShown="0">
  <x:autoFilter ref="A4:I12"/>
  <x:tableColumns count="9">
    <x:tableColumn id="1" name="ID"/>
    <x:tableColumn id="2" name="Base"/>
    <x:tableColumn id="3" name="Continuación"/>
    <x:tableColumn id="4" name="Relación publicada"/>
    <x:tableColumn id="5" name="Fuente / localizador"/>
    <x:tableColumn id="6" name="Evidencia"/>
    <x:tableColumn id="7" name="Límite"/>
    <x:tableColumn id="8" name="Origen ausente"/>
    <x:tableColumn id="9" name="Destino ausente"/>
  </x:tableColumns>
  <x:tableStyleInfo name="TableStyleMedium2" showFirstColumn="0" showLastColumn="0" showRowStripes="1" showColumnStripes="0"/>
</x:table>
</file>

<file path=xl/tables/table18.xml><?xml version="1.0" encoding="utf-8"?>
<x:table xmlns:x="http://schemas.openxmlformats.org/spreadsheetml/2006/main" id="18" name="CYB_Comp_educativos" displayName="CYB_Comp_educativos" ref="A4:L16" headerRowCount="1" totalsRowCount="0" totalsRowShown="0">
  <x:autoFilter ref="A4:L16"/>
  <x:tableColumns count="12">
    <x:tableColumn id="1" name="ID"/>
    <x:tableColumn id="2" name="País"/>
    <x:tableColumn id="3" name="Fuente"/>
    <x:tableColumn id="4" name="Unidad y edición"/>
    <x:tableColumn id="5" name="Base relacionada"/>
    <x:tableColumn id="6" name="Decisión propuesta"/>
    <x:tableColumn id="7" name="Conocimiento adicional o contraste"/>
    <x:tableColumn id="8" name="Saber hacer"/>
    <x:tableColumn id="9" name="Resultado / evidencia educativa"/>
    <x:tableColumn id="10" name="Justificación frente al rector"/>
    <x:tableColumn id="11" name="Límite"/>
    <x:tableColumn id="12" name="Necesidades"/>
  </x:tableColumns>
  <x:tableStyleInfo name="TableStyleMedium2" showFirstColumn="0" showLastColumn="0" showRowStripes="1" showColumnStripes="0"/>
</x:table>
</file>

<file path=xl/tables/table19.xml><?xml version="1.0" encoding="utf-8"?>
<x:table xmlns:x="http://schemas.openxmlformats.org/spreadsheetml/2006/main" id="19" name="CYB_Necesidades_IA" displayName="CYB_Necesidades_IA" ref="A4:K12" headerRowCount="1" totalsRowCount="0" totalsRowShown="0">
  <x:autoFilter ref="A4:K12"/>
  <x:tableColumns count="11">
    <x:tableColumn id="1" name="ID"/>
    <x:tableColumn id="2" name="Necesidad"/>
    <x:tableColumn id="3" name="Origen"/>
    <x:tableColumn id="4" name="Base educativa"/>
    <x:tableColumn id="5" name="Complementos vinculados"/>
    <x:tableColumn id="6" name="Situación"/>
    <x:tableColumn id="7" name="Conocimiento requerido"/>
    <x:tableColumn id="8" name="Actuación que debe poder justificarse"/>
    <x:tableColumn id="9" name="Riesgo de ignorarlo · candidato"/>
    <x:tableColumn id="10" name="Fuentes de contraste"/>
    <x:tableColumn id="11" name="Reserva y frontera"/>
  </x:tableColumns>
  <x:tableStyleInfo name="TableStyleMedium2" showFirstColumn="0" showLastColumn="0" showRowStripes="1" showColumnStripes="0"/>
</x:table>
</file>

<file path=xl/tables/table20.xml><?xml version="1.0" encoding="utf-8"?>
<x:table xmlns:x="http://schemas.openxmlformats.org/spreadsheetml/2006/main" id="20" name="CYB_Consecuencias" displayName="CYB_Consecuencias" ref="A4:J16" headerRowCount="1" totalsRowCount="0" totalsRowShown="0">
  <x:autoFilter ref="A4:J16"/>
  <x:tableColumns count="10">
    <x:tableColumn id="1" name="ID"/>
    <x:tableColumn id="2" name="Necesidad"/>
    <x:tableColumn id="3" name="Carencia o confusión"/>
    <x:tableColumn id="4" name="Ancla educativa / rectora"/>
    <x:tableColumn id="5" name="Error de actuación"/>
    <x:tableColumn id="6" name="Consecuencia epistemológica"/>
    <x:tableColumn id="7" name="Consecuencia operacional condicionada"/>
    <x:tableColumn id="8" name="Testigo propuesto"/>
    <x:tableColumn id="9" name="Criterio de contraste propuesto"/>
    <x:tableColumn id="10" name="Estado de prueba"/>
  </x:tableColumns>
  <x:tableStyleInfo name="TableStyleMedium2" showFirstColumn="0" showLastColumn="0" showRowStripes="1" showColumnStripes="0"/>
</x:table>
</file>

<file path=xl/tables/table21.xml><?xml version="1.0" encoding="utf-8"?>
<x:table xmlns:x="http://schemas.openxmlformats.org/spreadsheetml/2006/main" id="21" name="CYB_Familias" displayName="CYB_Familias" ref="A4:F19" headerRowCount="1" totalsRowCount="0" totalsRowShown="0">
  <x:autoFilter ref="A4:F19"/>
  <x:tableColumns count="6">
    <x:tableColumn id="1" name="ID"/>
    <x:tableColumn id="2" name="Familia propuesta"/>
    <x:tableColumn id="3" name="Criterio de ordenación"/>
    <x:tableColumn id="4" name="Asignaturas"/>
    <x:tableColumn id="5" name="ECTS calculados"/>
    <x:tableColumn id="6" name="Interpretación"/>
  </x:tableColumns>
  <x:tableStyleInfo name="TableStyleMedium2" showFirstColumn="0" showLastColumn="0" showRowStripes="1" showColumnStripes="0"/>
</x:table>
</file>

<file path=xl/tables/table22.xml><?xml version="1.0" encoding="utf-8"?>
<x:table xmlns:x="http://schemas.openxmlformats.org/spreadsheetml/2006/main" id="22" name="CYB_Fuentes_educativas" displayName="CYB_Fuentes_educativas" ref="A4:M188" headerRowCount="1" totalsRowCount="0" totalsRowShown="0">
  <x:autoFilter ref="A4:M188"/>
  <x:tableColumns count="13">
    <x:tableColumn id="1" name="ID"/>
    <x:tableColumn id="2" name="Documento o identificador"/>
    <x:tableColumn id="3" name="URL solicitada"/>
    <x:tableColumn id="4" name="URL efectiva"/>
    <x:tableColumn id="5" name="Adquisición"/>
    <x:tableColumn id="6" name="Bytes · texto"/>
    <x:tableColumn id="7" name="SHA-256 de los bytes"/>
    <x:tableColumn id="8" name="Páginas PDF"/>
    <x:tableColumn id="9" name="Alcance de lectura / incidencia"/>
    <x:tableColumn id="10" name="Uso en este corte"/>
    <x:tableColumn id="11" name="Captura UTC"/>
    <x:tableColumn id="12" name="Duplicado"/>
    <x:tableColumn id="13" name="Huella defectuosa"/>
  </x:tableColumns>
  <x:tableStyleInfo name="TableStyleMedium2" showFirstColumn="0" showLastColumn="0" showRowStripes="1" showColumnStripes="0"/>
</x:table>
</file>

<file path=xl/tables/table23.xml><?xml version="1.0" encoding="utf-8"?>
<x:table xmlns:x="http://schemas.openxmlformats.org/spreadsheetml/2006/main" id="23" name="CYB_Revision_curricular" displayName="CYB_Revision_curricular" ref="A4:G22" headerRowCount="1" totalsRowCount="0" totalsRowShown="0">
  <x:autoFilter ref="A4:G22"/>
  <x:tableColumns count="7">
    <x:tableColumn id="1" name="ID"/>
    <x:tableColumn id="2" name="Ataque de revisión"/>
    <x:tableColumn id="3" name="Hallazgo o riesgo"/>
    <x:tableColumn id="4" name="Tratamiento"/>
    <x:tableColumn id="5" name="Resolución aplicada"/>
    <x:tableColumn id="6" name="Evidencia"/>
    <x:tableColumn id="7" name="Reserva residual"/>
  </x:tableColumns>
  <x:tableStyleInfo name="TableStyleMedium2" showFirstColumn="0" showLastColumn="0" showRowStripes="1" showColumnStripes="0"/>
</x:table>
</file>

<file path=xl/tables/table24.xml><?xml version="1.0" encoding="utf-8"?>
<x:table xmlns:x="http://schemas.openxmlformats.org/spreadsheetml/2006/main" id="24" name="CYB_Control_curricular" displayName="CYB_Control_curricular" ref="A4:E21" headerRowCount="1" totalsRowCount="0" totalsRowShown="0">
  <x:autoFilter ref="A4:E21"/>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25.xml><?xml version="1.0" encoding="utf-8"?>
<x:table xmlns:x="http://schemas.openxmlformats.org/spreadsheetml/2006/main" id="25" name="CYB_Gobierno" displayName="CYB_Gobierno" ref="A4:F14" headerRowCount="1" totalsRowCount="0" totalsRowShown="0">
  <x:autoFilter ref="A4:F14"/>
  <x:tableColumns count="6">
    <x:tableColumn id="1" name="ID"/>
    <x:tableColumn id="2" name="Autoridad o plano"/>
    <x:tableColumn id="3" name="Función que se preserva"/>
    <x:tableColumn id="4" name="Frontera"/>
    <x:tableColumn id="5" name="Fuente / localizador"/>
    <x:tableColumn id="6" name="Aplicación en este libr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b7ce7a07cc4b73" /></Relationships>
</file>

<file path=xl/worksheets/_rels/sheet2.xml.rels>&#65279;<?xml version="1.0" encoding="utf-8"?><Relationships xmlns="http://schemas.openxmlformats.org/package/2006/relationships"><Relationship Type="http://schemas.openxmlformats.org/officeDocument/2006/relationships/table" Target="/xl/tables/table2.xml" Id="Rf23489c34ac24fc6" /></Relationships>
</file>

<file path=xl/worksheets/_rels/sheet3.xml.rels>&#65279;<?xml version="1.0" encoding="utf-8"?><Relationships xmlns="http://schemas.openxmlformats.org/package/2006/relationships"><Relationship Type="http://schemas.openxmlformats.org/officeDocument/2006/relationships/table" Target="/xl/tables/table3.xml" Id="R898a085a301147f2" /></Relationships>
</file>

<file path=xl/worksheets/_rels/sheet4.xml.rels>&#65279;<?xml version="1.0" encoding="utf-8"?><Relationships xmlns="http://schemas.openxmlformats.org/package/2006/relationships"><Relationship Type="http://schemas.openxmlformats.org/officeDocument/2006/relationships/table" Target="/xl/tables/table4.xml" Id="R970ff4f139e942a3" /></Relationships>
</file>

<file path=xl/worksheets/_rels/sheet5.xml.rels>&#65279;<?xml version="1.0" encoding="utf-8"?><Relationships xmlns="http://schemas.openxmlformats.org/package/2006/relationships"><Relationship Type="http://schemas.openxmlformats.org/officeDocument/2006/relationships/table" Target="/xl/tables/table5.xml" Id="R7939225311ce49d1" /></Relationships>
</file>

<file path=xl/worksheets/_rels/sheet6.xml.rels>&#65279;<?xml version="1.0" encoding="utf-8"?><Relationships xmlns="http://schemas.openxmlformats.org/package/2006/relationships"><Relationship Type="http://schemas.openxmlformats.org/officeDocument/2006/relationships/table" Target="/xl/tables/table6.xml" Id="Rfcc42ed3d7304036" /></Relationships>
</file>

<file path=xl/worksheets/_rels/sheet7.xml.rels>&#65279;<?xml version="1.0" encoding="utf-8"?><Relationships xmlns="http://schemas.openxmlformats.org/package/2006/relationships"><Relationship Type="http://schemas.openxmlformats.org/officeDocument/2006/relationships/table" Target="/xl/tables/table7.xml" Id="Rba5309e78b6b4c20" /></Relationships>
</file>

<file path=xl/worksheets/_rels/sheet8.xml.rels>&#65279;<?xml version="1.0" encoding="utf-8"?><Relationships xmlns="http://schemas.openxmlformats.org/package/2006/relationships"><Relationship Type="http://schemas.openxmlformats.org/officeDocument/2006/relationships/table" Target="/xl/tables/table8.xml" Id="R17a2e8e89327462b" /></Relationships>
</file>

<file path=xl/worksheets/_rels/sheet9.xml.rels>&#65279;<?xml version="1.0" encoding="utf-8"?><Relationships xmlns="http://schemas.openxmlformats.org/package/2006/relationships"><Relationship Type="http://schemas.openxmlformats.org/officeDocument/2006/relationships/table" Target="/xl/tables/table9.xml" Id="R1eba705808f44070" /></Relationships>
</file>

<file path=xl/worksheets/_rels/sheet10.xml.rels>&#65279;<?xml version="1.0" encoding="utf-8"?><Relationships xmlns="http://schemas.openxmlformats.org/package/2006/relationships"><Relationship Type="http://schemas.openxmlformats.org/officeDocument/2006/relationships/table" Target="/xl/tables/table10.xml" Id="Rc285c8594bdd4a4e" /></Relationships>
</file>

<file path=xl/worksheets/_rels/sheet11.xml.rels>&#65279;<?xml version="1.0" encoding="utf-8"?><Relationships xmlns="http://schemas.openxmlformats.org/package/2006/relationships"><Relationship Type="http://schemas.openxmlformats.org/officeDocument/2006/relationships/table" Target="/xl/tables/table11.xml" Id="R6d4f7a5b2a484c53" /></Relationships>
</file>

<file path=xl/worksheets/_rels/sheet12.xml.rels>&#65279;<?xml version="1.0" encoding="utf-8"?><Relationships xmlns="http://schemas.openxmlformats.org/package/2006/relationships"><Relationship Type="http://schemas.openxmlformats.org/officeDocument/2006/relationships/table" Target="/xl/tables/table12.xml" Id="R0db1608567e347ad" /></Relationships>
</file>

<file path=xl/worksheets/_rels/sheet13.xml.rels>&#65279;<?xml version="1.0" encoding="utf-8"?><Relationships xmlns="http://schemas.openxmlformats.org/package/2006/relationships"><Relationship Type="http://schemas.openxmlformats.org/officeDocument/2006/relationships/table" Target="/xl/tables/table13.xml" Id="R148c603107ed4f90" /></Relationships>
</file>

<file path=xl/worksheets/_rels/sheet14.xml.rels>&#65279;<?xml version="1.0" encoding="utf-8"?><Relationships xmlns="http://schemas.openxmlformats.org/package/2006/relationships"><Relationship Type="http://schemas.openxmlformats.org/officeDocument/2006/relationships/table" Target="/xl/tables/table14.xml" Id="Rcfd5d94664de4a5a" /></Relationships>
</file>

<file path=xl/worksheets/_rels/sheet15.xml.rels>&#65279;<?xml version="1.0" encoding="utf-8"?><Relationships xmlns="http://schemas.openxmlformats.org/package/2006/relationships"><Relationship Type="http://schemas.openxmlformats.org/officeDocument/2006/relationships/table" Target="/xl/tables/table15.xml" Id="Ra79a73bc11a442ed" /></Relationships>
</file>

<file path=xl/worksheets/_rels/sheet16.xml.rels>&#65279;<?xml version="1.0" encoding="utf-8"?><Relationships xmlns="http://schemas.openxmlformats.org/package/2006/relationships"><Relationship Type="http://schemas.openxmlformats.org/officeDocument/2006/relationships/table" Target="/xl/tables/table16.xml" Id="R79caac97d9a3489f" /></Relationships>
</file>

<file path=xl/worksheets/_rels/sheet17.xml.rels>&#65279;<?xml version="1.0" encoding="utf-8"?><Relationships xmlns="http://schemas.openxmlformats.org/package/2006/relationships"><Relationship Type="http://schemas.openxmlformats.org/officeDocument/2006/relationships/table" Target="/xl/tables/table17.xml" Id="Re2e964a8f5aa4c6b" /></Relationships>
</file>

<file path=xl/worksheets/_rels/sheet18.xml.rels>&#65279;<?xml version="1.0" encoding="utf-8"?><Relationships xmlns="http://schemas.openxmlformats.org/package/2006/relationships"><Relationship Type="http://schemas.openxmlformats.org/officeDocument/2006/relationships/table" Target="/xl/tables/table18.xml" Id="R004d36e3a2fa4216" /></Relationships>
</file>

<file path=xl/worksheets/_rels/sheet19.xml.rels>&#65279;<?xml version="1.0" encoding="utf-8"?><Relationships xmlns="http://schemas.openxmlformats.org/package/2006/relationships"><Relationship Type="http://schemas.openxmlformats.org/officeDocument/2006/relationships/table" Target="/xl/tables/table19.xml" Id="R308b5fd2fbf74e0d" /></Relationships>
</file>

<file path=xl/worksheets/_rels/sheet20.xml.rels>&#65279;<?xml version="1.0" encoding="utf-8"?><Relationships xmlns="http://schemas.openxmlformats.org/package/2006/relationships"><Relationship Type="http://schemas.openxmlformats.org/officeDocument/2006/relationships/table" Target="/xl/tables/table20.xml" Id="Re523aa7904c74f2c" /></Relationships>
</file>

<file path=xl/worksheets/_rels/sheet21.xml.rels>&#65279;<?xml version="1.0" encoding="utf-8"?><Relationships xmlns="http://schemas.openxmlformats.org/package/2006/relationships"><Relationship Type="http://schemas.openxmlformats.org/officeDocument/2006/relationships/table" Target="/xl/tables/table21.xml" Id="R94082975f9794d39" /></Relationships>
</file>

<file path=xl/worksheets/_rels/sheet22.xml.rels>&#65279;<?xml version="1.0" encoding="utf-8"?><Relationships xmlns="http://schemas.openxmlformats.org/package/2006/relationships"><Relationship Type="http://schemas.openxmlformats.org/officeDocument/2006/relationships/table" Target="/xl/tables/table22.xml" Id="Rbcc82ff3ee3a44ad" /></Relationships>
</file>

<file path=xl/worksheets/_rels/sheet23.xml.rels>&#65279;<?xml version="1.0" encoding="utf-8"?><Relationships xmlns="http://schemas.openxmlformats.org/package/2006/relationships"><Relationship Type="http://schemas.openxmlformats.org/officeDocument/2006/relationships/table" Target="/xl/tables/table23.xml" Id="Rb38d3f0c45e84464" /></Relationships>
</file>

<file path=xl/worksheets/_rels/sheet24.xml.rels>&#65279;<?xml version="1.0" encoding="utf-8"?><Relationships xmlns="http://schemas.openxmlformats.org/package/2006/relationships"><Relationship Type="http://schemas.openxmlformats.org/officeDocument/2006/relationships/table" Target="/xl/tables/table24.xml" Id="R98107395b8934a40" /></Relationships>
</file>

<file path=xl/worksheets/_rels/sheet25.xml.rels>&#65279;<?xml version="1.0" encoding="utf-8"?><Relationships xmlns="http://schemas.openxmlformats.org/package/2006/relationships"><Relationship Type="http://schemas.openxmlformats.org/officeDocument/2006/relationships/table" Target="/xl/tables/table25.xml" Id="R3d42b9be25804411" /></Relationships>
</file>

<file path=xl/worksheets/sheet1.xml><?xml version="1.0" encoding="utf-8"?>
<x:worksheet xmlns:x="http://schemas.openxmlformats.org/spreadsheetml/2006/main">
  <x:sheetViews>
    <x:sheetView showGridLines="0" workbookViewId="0"/>
  </x:sheetViews>
  <x:sheetFormatPr defaultRowHeight="15"/>
  <x:cols>
    <x:col min="1" max="1" width="33" hidden="0" customWidth="1"/>
    <x:col min="2" max="2" width="120" hidden="0" customWidth="1"/>
  </x:cols>
  <x:sheetData>
    <x:row r="1" ht="35" customHeight="1">
      <x:c r="A1" s="6" t="str">
        <x:v>CATÁLOGO CURRICULAR · CIBERSEGURIDAD INTELIGENTE</x:v>
      </x:c>
      <x:c r="B1" s="6"/>
    </x:row>
    <x:row r="2" ht="52" customHeight="1">
      <x:c r="A2" s="8" t="str">
        <x:v>Revisión v0.2 · base universitaria y conocimiento profesional · propuesta con reservas · 08-09-2026</x:v>
      </x:c>
      <x:c r="B2" s="8"/>
    </x:row>
    <x:row r="3">
      <x:c r="A3" s="4"/>
      <x:c r="B3" s="4"/>
    </x:row>
    <x:row r="4" ht="42" customHeight="1">
      <x:c r="A4" s="10" t="str">
        <x:v>Campo</x:v>
      </x:c>
      <x:c r="B4" s="10" t="str">
        <x:v>Contenido</x:v>
      </x:c>
    </x:row>
    <x:row r="5" ht="47" customHeight="1">
      <x:c r="A5" s="4" t="str">
        <x:v>Versión y fecha</x:v>
      </x:c>
      <x:c r="B5" s="4" t="str">
        <x:v>0.2 · revisión educativa del corte de 08-09-2026</x:v>
      </x:c>
    </x:row>
    <x:row r="6" ht="47" customHeight="1">
      <x:c r="A6" s="4" t="str">
        <x:v>Estado</x:v>
      </x:c>
      <x:c r="B6" s="4" t="str">
        <x:v>CATÁLOGO CURRICULAR PROPUESTO CON RESERVAS · PERÍMETRO NO CERRADO</x:v>
      </x:c>
    </x:row>
    <x:row r="7" ht="47" customHeight="1">
      <x:c r="A7" s="4" t="str">
        <x:v>Autoría del trabajo</x:v>
      </x:c>
      <x:c r="B7" s="4" t="str">
        <x:v>Watson · síntesis y relaciones locales en español; no traducciones oficiales.</x:v>
      </x:c>
    </x:row>
    <x:row r="8" ht="47" customHeight="1">
      <x:c r="A8" s="4" t="str">
        <x:v>Mandato</x:v>
      </x:c>
      <x:c r="B8" s="4" t="str">
        <x:v>Instrucción aprobada v1.2, commit 47dc27aec9e7b517c27cfcf39b7ad1b186d36a4c; luz verde humana para trabajar.</x:v>
      </x:c>
    </x:row>
    <x:row r="9" ht="47" customHeight="1">
      <x:c r="A9" s="4" t="str">
        <x:v>Rector educativo propuesto</x:v>
      </x:c>
      <x:c r="B9" s="4" t="str">
        <x:v>España · Universidad Rey Juan Carlos (URJC) · Grado en Ingeniería de la Ciberseguridad · plan y guías 2026–27.</x:v>
      </x:c>
    </x:row>
    <x:row r="10" ht="47" customHeight="1">
      <x:c r="A10" s="4" t="str">
        <x:v>Razón de elección</x:v>
      </x:c>
      <x:c r="B10" s="4" t="str">
        <x:v>Base completa de grado, progresión y guías identificadas; contraste con formación internacional. No es currículo nacional único ni se ha medido liderazgo mundial.</x:v>
      </x:c>
    </x:row>
    <x:row r="11" ht="47" customHeight="1">
      <x:c r="A11" s="4" t="str">
        <x:v>Papel de los complementos</x:v>
      </x:c>
      <x:c r="B11" s="4" t="str">
        <x:v>Australia y Reino Unido aportan profundización y método; Canadá aporta contraste y proyecto. Estados Unidos y UPC quedan en el alcance y reservas de 17. NICE conserva función profesional, sin rectoría educativa.</x:v>
      </x:c>
    </x:row>
    <x:row r="12" ht="47" customHeight="1">
      <x:c r="A12" s="4" t="str">
        <x:v>Fuentes principales · antecedente v0.1</x:v>
      </x:c>
      <x:c r="B12" s="12" t="n">
        <x:f>COUNTA('01_Fuentes'!$A$5:$A$40)</x:f>
        <x:v>36</x:v>
      </x:c>
    </x:row>
    <x:row r="13" ht="47" customHeight="1">
      <x:c r="A13" s="4" t="str">
        <x:v>Roles NICE</x:v>
      </x:c>
      <x:c r="B13" s="12" t="n">
        <x:f>COUNTIF('03_NICE'!$B$5:$B$57,"work_role")</x:f>
        <x:v>42</x:v>
      </x:c>
    </x:row>
    <x:row r="14" ht="47" customHeight="1">
      <x:c r="A14" s="4" t="str">
        <x:v>Áreas de competencia NICE</x:v>
      </x:c>
      <x:c r="B14" s="12" t="n">
        <x:f>COUNTIF('03_NICE'!$B$5:$B$57,"competency_area")</x:f>
        <x:v>11</x:v>
      </x:c>
    </x:row>
    <x:row r="15" ht="47" customHeight="1">
      <x:c r="A15" s="4" t="str">
        <x:v>TKS seleccionados · antecedente v0.1</x:v>
      </x:c>
      <x:c r="B15" s="12" t="n">
        <x:f>COUNTA('04_TKS'!$A$5:$A$72)</x:f>
        <x:v>68</x:v>
      </x:c>
    </x:row>
    <x:row r="16" ht="47" customHeight="1">
      <x:c r="A16" s="4" t="str">
        <x:v>Aportaciones complementarias · antecedente v0.1</x:v>
      </x:c>
      <x:c r="B16" s="12" t="n">
        <x:f>COUNTA('05_Complementos'!$A$5:$A$127)</x:f>
        <x:v>123</x:v>
      </x:c>
    </x:row>
    <x:row r="17" ht="47" customHeight="1">
      <x:c r="A17" s="4" t="str">
        <x:v>Operaciones candidatas · antecedente v0.1</x:v>
      </x:c>
      <x:c r="B17" s="12" t="n">
        <x:f>COUNTA('07_Operaciones'!$A$5:$A$26)</x:f>
        <x:v>22</x:v>
      </x:c>
    </x:row>
    <x:row r="18" ht="47" customHeight="1">
      <x:c r="A18" s="4" t="str">
        <x:v>Controles discordantes</x:v>
      </x:c>
      <x:c r="B18" s="12" t="n">
        <x:f>IF('23_Control_curricular'!C5='23_Control_curricular'!D5,0,1)+IF('23_Control_curricular'!C6='23_Control_curricular'!D6,0,1)+IF('23_Control_curricular'!C7='23_Control_curricular'!D7,0,1)+IF('23_Control_curricular'!C8='23_Control_curricular'!D8,0,1)+IF('23_Control_curricular'!C9='23_Control_curricular'!D9,0,1)+IF('23_Control_curricular'!C10='23_Control_curricular'!D10,0,1)+IF('23_Control_curricular'!C11='23_Control_curricular'!D11,0,1)+IF('23_Control_curricular'!C12='23_Control_curricular'!D12,0,1)+IF('23_Control_curricular'!C13='23_Control_curricular'!D13,0,1)+IF('23_Control_curricular'!C14='23_Control_curricular'!D14,0,1)+IF('23_Control_curricular'!C15='23_Control_curricular'!D15,0,1)+IF('23_Control_curricular'!C16='23_Control_curricular'!D16,0,1)+IF('23_Control_curricular'!C17='23_Control_curricular'!D17,0,1)</x:f>
        <x:v>0</x:v>
      </x:c>
    </x:row>
    <x:row r="19" ht="47" customHeight="1">
      <x:c r="A19" s="4" t="str">
        <x:v>Admisión y adopción</x:v>
      </x:c>
      <x:c r="B19" s="4" t="str">
        <x:v>Una fuente admitida documentalmente no adopta cada afirmación. Fechas de adopción humana no registradas; responsable de propuestas: Watson.</x:v>
      </x:c>
    </x:row>
    <x:row r="20" ht="47" customHeight="1">
      <x:c r="A20" s="4" t="str">
        <x:v>Primer universo</x:v>
      </x:c>
      <x:c r="B20" s="4" t="str">
        <x:v>Sin elegir. Se retira la prioridad anterior de OPC-07. Las 22 operaciones de v0.1 son antecedentes que deberán reexaminarse después del perímetro.</x:v>
      </x:c>
    </x:row>
    <x:row r="21" ht="47" customHeight="1">
      <x:c r="A21" s="4" t="str">
        <x:v>Cobertura</x:v>
      </x:c>
      <x:c r="B21" s="4" t="str">
        <x:v>40 asignaturas del plan; 15 familias editoriales y ocho necesidades humanas. Los 21 ejes profesionales previos se conservan en 06; ningún recuento prueba suficiencia.</x:v>
      </x:c>
    </x:row>
    <x:row r="22" ht="47" customHeight="1">
      <x:c r="A22" s="4" t="str">
        <x:v>Jurisdicción</x:v>
      </x:c>
      <x:c r="B22" s="4" t="str">
        <x:v>España es el país vector educativo propuesto; la aplicabilidad profesional y normativa se decide por entidad, actividad, rol, jurisdicción y tiempo.</x:v>
      </x:c>
    </x:row>
    <x:row r="23" ht="47" customHeight="1">
      <x:c r="A23" s="4" t="str">
        <x:v>Fórmulas</x:v>
      </x:c>
      <x:c r="B23" s="4" t="str">
        <x:v>Controles de integridad y recuentos. Celdas calculadas en verde. No adjudican autoridad, equivalencia ni admisión semántica.</x:v>
      </x:c>
    </x:row>
    <x:row r="24" ht="47" customHeight="1">
      <x:c r="A24" s="4" t="str">
        <x:v>Trazabilidad</x:v>
      </x:c>
      <x:c r="B24" s="4" t="str">
        <x:v>15 identifica cada asignatura y su guía; 17 justifica diferencias; 21 conserva adquisiciones y reservas. Las hojas 01–13 mantienen la evidencia profesional anterior con su función rectificada.</x:v>
      </x:c>
    </x:row>
    <x:row r="25" ht="47" customHeight="1">
      <x:c r="A25" s="4" t="str">
        <x:v>Relaciones locales</x:v>
      </x:c>
      <x:c r="B25" s="4" t="str">
        <x:v>Familias, enlaces educativos y antiguas operaciones primarias son relaciones editoriales de Watson; no equivalencias oficiales ni prioridad operacional adoptada.</x:v>
      </x:c>
    </x:row>
    <x:row r="26" ht="47" customHeight="1">
      <x:c r="A26" s="4" t="str">
        <x:v>Números exactos</x:v>
      </x:c>
      <x:c r="B26" s="4" t="str">
        <x:v>Identificadores, versiones, huellas, offsets y longitudes son texto. Los recuentos son números.</x:v>
      </x:c>
    </x:row>
    <x:row r="27" ht="47" customHeight="1">
      <x:c r="A27" s="4" t="str">
        <x:v>Proyección posterior</x:v>
      </x:c>
      <x:c r="B27" s="4" t="str">
        <x:v>No generada. El anexo complementario se producirá tras el cierre aprobado, leyendo el Excel congelado sin resalvarlo y verificando su correspondencia exacta.</x:v>
      </x:c>
    </x:row>
    <x:row r="28" ht="47" customHeight="1">
      <x:c r="A28" s="4" t="str">
        <x:v>Identidad y firma</x:v>
      </x:c>
      <x:c r="B28" s="4" t="str">
        <x:v>SHA-256 identifica bytes; no es firma digital, verdad ni aprobación soberana. El anexo será complementario.</x:v>
      </x:c>
    </x:row>
    <x:row r="29" ht="47" customHeight="1">
      <x:c r="A29" s="4" t="str">
        <x:v>Lectura sugerida</x:v>
      </x:c>
      <x:c r="B29" s="4" t="str">
        <x:v>14 Comparación → 15 Base → 16 Progresión → 17 Complementos → 18 Necesidades → 19 Consecuencias → 20 Familias → 22 Revisión → 23 Controles → 24 Gobierno.</x:v>
      </x:c>
    </x:row>
    <x:row r="30" ht="47" customHeight="1">
      <x:c r="A30" s="4" t="str">
        <x:v>Límite del corte</x:v>
      </x:c>
      <x:c r="B30" s="4" t="str">
        <x:v>Sin parámetros, datos de operación, ejecución productiva, agente ni cierre de fila 8. El método de Inmunología se conserva sin importar su contenido clínico.</x:v>
      </x:c>
    </x:row>
    <x:row r="31" ht="47" customHeight="1">
      <x:c r="A31" s="4" t="str">
        <x:v>Asignaturas de la base</x:v>
      </x:c>
      <x:c r="B31" s="12" t="n">
        <x:f>COUNTA('15_Base_universitaria'!$A$5:$A$44)</x:f>
        <x:v>40</x:v>
      </x:c>
    </x:row>
    <x:row r="32" ht="47" customHeight="1">
      <x:c r="A32" s="4" t="str">
        <x:v>ECTS de la base</x:v>
      </x:c>
      <x:c r="B32" s="12" t="n">
        <x:f>SUM('15_Base_universitaria'!$P$5:$P$44)</x:f>
        <x:v>240</x:v>
      </x:c>
    </x:row>
    <x:row r="33" ht="47" customHeight="1">
      <x:c r="A33" s="4" t="str">
        <x:v>Familias educativas locales</x:v>
      </x:c>
      <x:c r="B33" s="12" t="n">
        <x:f>COUNTA('20_Familias'!$A$5:$A$19)</x:f>
        <x:v>15</x:v>
      </x:c>
    </x:row>
    <x:row r="34" ht="47" customHeight="1">
      <x:c r="A34" s="4" t="str">
        <x:v>Necesidades aportadas</x:v>
      </x:c>
      <x:c r="B34" s="12" t="n">
        <x:f>COUNTA('18_Necesidades_IA'!$A$5:$A$12)</x:f>
        <x:v>8</x:v>
      </x:c>
    </x:row>
    <x:row r="35" ht="47" customHeight="1">
      <x:c r="A35" s="4" t="str">
        <x:v>Decisiones sobre complementos</x:v>
      </x:c>
      <x:c r="B35" s="12" t="n">
        <x:f>COUNTA('17_Comp_educativos'!$A$5:$A$16)</x:f>
        <x:v>12</x:v>
      </x:c>
    </x:row>
    <x:row r="36" ht="47" customHeight="1">
      <x:c r="A36" s="4" t="str">
        <x:v>Testigos educativos propuestos</x:v>
      </x:c>
      <x:c r="B36" s="12" t="n">
        <x:f>COUNTA('19_Consecuencias'!$A$5:$A$16)</x:f>
        <x:v>12</x:v>
      </x:c>
    </x:row>
    <x:row r="37" ht="47" customHeight="1">
      <x:c r="A37" s="4" t="str">
        <x:v>Naturaleza de los testigos</x:v>
      </x:c>
      <x:c r="B37" s="4" t="str">
        <x:v>Doce propuestas no ensayadas. No son daños demostrados, consecuencias operacionales, parámetros ni cierre de una puerta posterior.</x:v>
      </x:c>
    </x:row>
    <x:row r="38" ht="47" customHeight="1">
      <x:c r="A38" s="4" t="str">
        <x:v>Actualización del dominio</x:v>
      </x:c>
      <x:c r="B38" s="4" t="str">
        <x:v>La adquisición de una fuente nueva sólo produce una candidata de revisión. La aptitud y adopción del cambio requieren decisión humana antes de alterar el corte gobernante.</x:v>
      </x:c>
    </x:row>
    <x:row r="39" ht="47" customHeight="1">
      <x:c r="A39" s="4" t="str">
        <x:v>Antecedente material</x:v>
      </x:c>
      <x:c r="B39" s="4" t="str">
        <x:v>Libro recibido: SHA-256 bab1740f1e42909a96b115a7e350d6acfc596257c8b3e615f291595f300b45e9; 153954 bytes.</x:v>
      </x:c>
    </x:row>
    <x:row r="40" ht="47" customHeight="1">
      <x:c r="A40" s="4" t="str">
        <x:v>Precedencia documental</x:v>
      </x:c>
      <x:c r="B40" s="4" t="str">
        <x:v>La instrucción aprobada de Ciberseguridad gobierna el trabajo. Las actas de Inmunología se leen con la reconciliación y el manifiesto posterior; véase 24_Gobierno.</x:v>
      </x:c>
    </x:row>
  </x:sheetData>
  <x:mergeCells>
    <x:mergeCell ref="A1:B1"/>
    <x:mergeCell ref="A2:B2"/>
  </x:mergeCells>
  <x:pageMargins left="0.7" right="0.7" top="0.75" bottom="0.75" header="0.3" footer="0.3"/>
  <x:tableParts count="1">
    <x:tablePart xmlns:r="http://schemas.openxmlformats.org/officeDocument/2006/relationships" r:id="Rf9b7ce7a07cc4b7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8" hidden="0" customWidth="1"/>
    <x:col min="4" max="4" width="48" hidden="0" customWidth="1"/>
    <x:col min="5" max="5" width="39" hidden="0" customWidth="1"/>
    <x:col min="6" max="6" width="36" hidden="0" customWidth="1"/>
    <x:col min="7" max="7" width="30" hidden="0" customWidth="1"/>
    <x:col min="8" max="8" width="31" hidden="0" customWidth="1"/>
    <x:col min="9" max="9" width="54" hidden="0" customWidth="1"/>
    <x:col min="10" max="10" width="54" hidden="0" customWidth="1"/>
    <x:col min="11" max="11" width="14" hidden="0" customWidth="1"/>
    <x:col min="12" max="12" width="66" hidden="0" customWidth="1"/>
    <x:col min="13" max="13" width="16" hidden="0" customWidth="1"/>
    <x:col min="14" max="14" width="38" hidden="0" customWidth="1"/>
    <x:col min="15" max="15" width="12" hidden="0" customWidth="1"/>
    <x:col min="16" max="16" width="13" hidden="0" customWidth="1"/>
    <x:col min="17" max="17" width="13" hidden="0" customWidth="1"/>
  </x:cols>
  <x:sheetData>
    <x:row r="1" ht="35" customHeight="1">
      <x:c r="A1" s="6" t="str">
        <x:v>FUENTES · autoridad y admisión</x:v>
      </x:c>
      <x:c r="B1" s="6"/>
      <x:c r="C1" s="6"/>
      <x:c r="D1" s="6"/>
      <x:c r="E1" s="6"/>
      <x:c r="F1" s="6"/>
      <x:c r="G1" s="6"/>
      <x:c r="H1" s="6"/>
      <x:c r="I1" s="6"/>
      <x:c r="J1" s="6"/>
      <x:c r="K1" s="6"/>
      <x:c r="L1" s="6"/>
      <x:c r="M1" s="6"/>
      <x:c r="N1" s="6"/>
      <x:c r="O1" s="6"/>
      <x:c r="P1" s="6"/>
      <x:c r="Q1" s="6"/>
    </x:row>
    <x:row r="2" ht="52" customHeight="1">
      <x:c r="A2" s="8" t="str">
        <x:v>36 fuentes del antecedente profesional v0.1. Su papel rector se rectifica aquí: la base educativa propuesta está en 14–15; fichas de metadatos no acreditan cláusulas.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fuente</x:v>
      </x:c>
      <x:c r="B4" s="10" t="str">
        <x:v>Clase</x:v>
      </x:c>
      <x:c r="C4" s="10" t="str">
        <x:v>Emisor</x:v>
      </x:c>
      <x:c r="D4" s="10" t="str">
        <x:v>Título oficial</x:v>
      </x:c>
      <x:c r="E4" s="10" t="str">
        <x:v>Edición / corte</x:v>
      </x:c>
      <x:c r="F4" s="10" t="str">
        <x:v>País / jurisdicción</x:v>
      </x:c>
      <x:c r="G4" s="10" t="str">
        <x:v>Función en catálogo</x:v>
      </x:c>
      <x:c r="H4" s="10" t="str">
        <x:v>Admisión documental</x:v>
      </x:c>
      <x:c r="I4" s="10" t="str">
        <x:v>Justificación de selección</x:v>
      </x:c>
      <x:c r="J4" s="10" t="str">
        <x:v>Límite</x:v>
      </x:c>
      <x:c r="K4" s="10" t="str">
        <x:v>Captura principal</x:v>
      </x:c>
      <x:c r="L4" s="10" t="str">
        <x:v>URL oficial</x:v>
      </x:c>
      <x:c r="M4" s="10" t="str">
        <x:v>Consulta</x:v>
      </x:c>
      <x:c r="N4" s="10" t="str">
        <x:v>Responsable / adopción</x:v>
      </x:c>
      <x:c r="O4" s="10" t="str">
        <x:v>Duplicado</x:v>
      </x:c>
      <x:c r="P4" s="10" t="str">
        <x:v>Captura ausente</x:v>
      </x:c>
      <x:c r="Q4" s="10" t="str">
        <x:v>Campo ausente</x:v>
      </x:c>
    </x:row>
    <x:row r="5" ht="60" customHeight="1">
      <x:c r="A5" s="4" t="str">
        <x:v>F001</x:v>
      </x:c>
      <x:c r="B5" s="4" t="str">
        <x:v>Marco de competencias</x:v>
      </x:c>
      <x:c r="C5" s="4" t="str">
        <x:v>NIST / programa NICE</x:v>
      </x:c>
      <x:c r="D5" s="4" t="str">
        <x:v>NICE Framework Components</x:v>
      </x:c>
      <x:c r="E5" s="4" t="str">
        <x:v>2.2.0; publicación 28-04-2026</x:v>
      </x:c>
      <x:c r="F5" s="4" t="str">
        <x:v>EE. UU.; uso internacional, sin potestad extraterritorial</x:v>
      </x:c>
      <x:c r="G5" s="4" t="str">
        <x:v>CONTRASTE_PROFESIONAL</x:v>
      </x:c>
      <x:c r="H5" s="4" t="str">
        <x:v>ADMITIDA_DOCUMENTAL</x:v>
      </x:c>
      <x:c r="I5" s="4" t="str">
        <x:v>Tareas, conocimientos, habilidades, roles y relaciones versionados; base profesional orientada al trabajo.</x:v>
      </x:c>
      <x:c r="J5" s="4" t="str">
        <x:v>No concede permisos; selección TKS finita; no equivale a empleo ni a catálogo de controles.</x:v>
      </x:c>
      <x:c r="K5" s="4" t="str">
        <x:v>F001</x:v>
      </x:c>
      <x:c r="L5" s="4" t="str">
        <x:v>https://csrc.nist.gov/csrc/media/Projects/cprt/documents/nice/v2-2-0_nf_components.json</x:v>
      </x:c>
      <x:c r="M5" s="4" t="str">
        <x:v>2026-09-08</x:v>
      </x:c>
      <x:c r="N5" s="4" t="str">
        <x:v>Watson / delimitación documental; adopción humana no registrada</x:v>
      </x:c>
      <x:c r="O5" s="12" t="n">
        <x:f>COUNTIF('01_Fuentes'!$A$5:$A$40,A5)-1</x:f>
        <x:v>0</x:v>
      </x:c>
      <x:c r="P5" s="12" t="n">
        <x:f>IF(COUNTIF('02_Custodia'!$A$5:$A$53,K5)=1,0,1)</x:f>
        <x:v>0</x:v>
      </x:c>
      <x:c r="Q5" s="12" t="n">
        <x:f>IF(OR(A5="",C5="",D5="",E5="",H5="",I5="",L5=""),1,0)</x:f>
        <x:v>0</x:v>
      </x:c>
    </x:row>
    <x:row r="6" ht="47" customHeight="1">
      <x:c r="A6" s="4" t="str">
        <x:v>F002</x:v>
      </x:c>
      <x:c r="B6" s="4" t="str">
        <x:v>Marco de competencias</x:v>
      </x:c>
      <x:c r="C6" s="4" t="str">
        <x:v>NIST</x:v>
      </x:c>
      <x:c r="D6" s="4" t="str">
        <x:v>Workforce Framework for Cybersecurity (NICE Framework), SP 800-181 Rev. 1</x:v>
      </x:c>
      <x:c r="E6" s="4" t="str">
        <x:v>2020-11</x:v>
      </x:c>
      <x:c r="F6" s="4" t="str">
        <x:v>EE. UU.; aplicación adaptable</x:v>
      </x:c>
      <x:c r="G6" s="4" t="str">
        <x:v>ESTRUCTURA_NICE</x:v>
      </x:c>
      <x:c r="H6" s="4" t="str">
        <x:v>ADMITIDA_DOCUMENTAL</x:v>
      </x:c>
      <x:c r="I6" s="4" t="str">
        <x:v>Define cómo se relacionan trabajo y capacidades individuales en NICE.</x:v>
      </x:c>
      <x:c r="J6" s="4" t="str">
        <x:v>La estructura de 2020 y los componentes de 2026 son objetos distintos.</x:v>
      </x:c>
      <x:c r="K6" s="4" t="str">
        <x:v>F002</x:v>
      </x:c>
      <x:c r="L6" s="4" t="str">
        <x:v>https://csrc.nist.gov/pubs/sp/800/181/r1/final</x:v>
      </x:c>
      <x:c r="M6" s="4" t="str">
        <x:v>2026-09-08</x:v>
      </x:c>
      <x:c r="N6" s="4" t="str">
        <x:v>Watson / delimitación documental; adopción humana no registrada</x:v>
      </x:c>
      <x:c r="O6" s="12" t="n">
        <x:f>COUNTIF('01_Fuentes'!$A$5:$A$40,A6)-1</x:f>
        <x:v>0</x:v>
      </x:c>
      <x:c r="P6" s="12" t="n">
        <x:f>IF(COUNTIF('02_Custodia'!$A$5:$A$53,K6)=1,0,1)</x:f>
        <x:v>0</x:v>
      </x:c>
      <x:c r="Q6" s="12" t="n">
        <x:f>IF(OR(A6="",C6="",D6="",E6="",H6="",I6="",L6=""),1,0)</x:f>
        <x:v>0</x:v>
      </x:c>
    </x:row>
    <x:row r="7" ht="47" customHeight="1">
      <x:c r="A7" s="4" t="str">
        <x:v>F003</x:v>
      </x:c>
      <x:c r="B7" s="4" t="str">
        <x:v>Marco curricular</x:v>
      </x:c>
      <x:c r="C7" s="4" t="str">
        <x:v>ACM / IEEE-CS / AIS SIGSEC / IFIP WG 11.8</x:v>
      </x:c>
      <x:c r="D7" s="4" t="str">
        <x:v>Cybersecurity Curricula 2017 (CSEC2017)</x:v>
      </x:c>
      <x:c r="E7" s="4" t="str">
        <x:v>1.0; 31-12-2017</x:v>
      </x:c>
      <x:c r="F7" s="4" t="str">
        <x:v>Colaboración internacional</x:v>
      </x:c>
      <x:c r="G7" s="4" t="str">
        <x:v>CONTRASTE_FORMATIVO</x:v>
      </x:c>
      <x:c r="H7" s="4" t="str">
        <x:v>ADMITIDA_DOCUMENTAL</x:v>
      </x:c>
      <x:c r="I7" s="4" t="str">
        <x:v>Ocho áreas permiten revisar fundamentos humanos, organizativos y sociales además de tecnología.</x:v>
      </x:c>
      <x:c r="J7" s="4" t="str">
        <x:v>No cubre por sí solo la evolución de IA; no certifica competencia ni habilita actuaciones.</x:v>
      </x:c>
      <x:c r="K7" s="4" t="str">
        <x:v>F003</x:v>
      </x:c>
      <x:c r="L7" s="4" t="str">
        <x:v>https://cybered.hosting.acm.org/wp-content/uploads/2018/02/newcover_csec2017.pdf</x:v>
      </x:c>
      <x:c r="M7" s="4" t="str">
        <x:v>2026-09-08</x:v>
      </x:c>
      <x:c r="N7" s="4" t="str">
        <x:v>Watson / delimitación documental; adopción humana no registrada</x:v>
      </x:c>
      <x:c r="O7" s="12" t="n">
        <x:f>COUNTIF('01_Fuentes'!$A$5:$A$40,A7)-1</x:f>
        <x:v>0</x:v>
      </x:c>
      <x:c r="P7" s="12" t="n">
        <x:f>IF(COUNTIF('02_Custodia'!$A$5:$A$53,K7)=1,0,1)</x:f>
        <x:v>0</x:v>
      </x:c>
      <x:c r="Q7" s="12" t="n">
        <x:f>IF(OR(A7="",C7="",D7="",E7="",H7="",I7="",L7=""),1,0)</x:f>
        <x:v>0</x:v>
      </x:c>
    </x:row>
    <x:row r="8" ht="60" customHeight="1">
      <x:c r="A8" s="4" t="str">
        <x:v>F004</x:v>
      </x:c>
      <x:c r="B8" s="4" t="str">
        <x:v>Cuerpo de conocimientos</x:v>
      </x:c>
      <x:c r="C8" s="4" t="str">
        <x:v>CyBOK / NCSC; autores internacionales</x:v>
      </x:c>
      <x:c r="D8" s="4" t="str">
        <x:v>The Cyber Security Body of Knowledge</x:v>
      </x:c>
      <x:c r="E8" s="4" t="str">
        <x:v>1.1.0; julio 2021</x:v>
      </x:c>
      <x:c r="F8" s="4" t="str">
        <x:v>Reino Unido; elaboración internacional</x:v>
      </x:c>
      <x:c r="G8" s="4" t="str">
        <x:v>CONTRASTE_DE_CONOCIMIENTO</x:v>
      </x:c>
      <x:c r="H8" s="4" t="str">
        <x:v>ADMITIDA_DOCUMENTAL</x:v>
      </x:c>
      <x:c r="I8" s="4" t="str">
        <x:v>21 áreas; profundidad conceptual, métodos formales, criptografía aplicada y sistemas ciberfísicos.</x:v>
      </x:c>
      <x:c r="J8" s="4" t="str">
        <x:v>Cuerpo de conocimiento, no habilitación profesional ni marco normativo mundial.</x:v>
      </x:c>
      <x:c r="K8" s="4" t="str">
        <x:v>F004</x:v>
      </x:c>
      <x:c r="L8" s="4" t="str">
        <x:v>https://www.cybok.org/wp-content/uploads/CyBOK_v1.1.0.pdf</x:v>
      </x:c>
      <x:c r="M8" s="4" t="str">
        <x:v>2026-09-08</x:v>
      </x:c>
      <x:c r="N8" s="4" t="str">
        <x:v>Watson / delimitación documental; adopción humana no registrada</x:v>
      </x:c>
      <x:c r="O8" s="12" t="n">
        <x:f>COUNTIF('01_Fuentes'!$A$5:$A$40,A8)-1</x:f>
        <x:v>0</x:v>
      </x:c>
      <x:c r="P8" s="12" t="n">
        <x:f>IF(COUNTIF('02_Custodia'!$A$5:$A$53,K8)=1,0,1)</x:f>
        <x:v>0</x:v>
      </x:c>
      <x:c r="Q8" s="12" t="n">
        <x:f>IF(OR(A8="",C8="",D8="",E8="",H8="",I8="",L8=""),1,0)</x:f>
        <x:v>0</x:v>
      </x:c>
    </x:row>
    <x:row r="9" ht="60" customHeight="1">
      <x:c r="A9" s="4" t="str">
        <x:v>F005</x:v>
      </x:c>
      <x:c r="B9" s="4" t="str">
        <x:v>Marco de competencias</x:v>
      </x:c>
      <x:c r="C9" s="4" t="str">
        <x:v>ENISA</x:v>
      </x:c>
      <x:c r="D9" s="4" t="str">
        <x:v>European Cybersecurity Skills Framework Role Profiles</x:v>
      </x:c>
      <x:c r="E9" s="4" t="str">
        <x:v>Septiembre 2022</x:v>
      </x:c>
      <x:c r="F9" s="4" t="str">
        <x:v>Unión Europea</x:v>
      </x:c>
      <x:c r="G9" s="4" t="str">
        <x:v>CONTRASTE_DE_PRODUCTOS</x:v>
      </x:c>
      <x:c r="H9" s="4" t="str">
        <x:v>ADMITIDA_DOCUMENTAL</x:v>
      </x:c>
      <x:c r="I9" s="4" t="str">
        <x:v>Perfiles con misión, tareas y entregables; contrasta productos y responsabilidades de NICE.</x:v>
      </x:c>
      <x:c r="J9" s="4" t="str">
        <x:v>Los 12 perfiles no son doce universos ni equivalentes uno a uno a roles NICE.</x:v>
      </x:c>
      <x:c r="K9" s="4" t="str">
        <x:v>A008</x:v>
      </x:c>
      <x:c r="L9" s="4" t="str">
        <x:v>https://www.enisa.europa.eu/sites/default/files/publications/European%20Cybersecurity%20Skills%20Framework%20Role%20Profiles.pdf</x:v>
      </x:c>
      <x:c r="M9" s="4" t="str">
        <x:v>2026-09-08</x:v>
      </x:c>
      <x:c r="N9" s="4" t="str">
        <x:v>Watson / delimitación documental; adopción humana no registrada</x:v>
      </x:c>
      <x:c r="O9" s="12" t="n">
        <x:f>COUNTIF('01_Fuentes'!$A$5:$A$40,A9)-1</x:f>
        <x:v>0</x:v>
      </x:c>
      <x:c r="P9" s="12" t="n">
        <x:f>IF(COUNTIF('02_Custodia'!$A$5:$A$53,K9)=1,0,1)</x:f>
        <x:v>0</x:v>
      </x:c>
      <x:c r="Q9" s="12" t="n">
        <x:f>IF(OR(A9="",C9="",D9="",E9="",H9="",I9="",L9=""),1,0)</x:f>
        <x:v>0</x:v>
      </x:c>
    </x:row>
    <x:row r="10" ht="60" customHeight="1">
      <x:c r="A10" s="4" t="str">
        <x:v>F006</x:v>
      </x:c>
      <x:c r="B10" s="4" t="str">
        <x:v>Programa universitario</x:v>
      </x:c>
      <x:c r="C10" s="4" t="str">
        <x:v>Universitat Politècnica de Catalunya</x:v>
      </x:c>
      <x:c r="D10" s="4" t="str">
        <x:v>Master’s degree in Cybersecurity</x:v>
      </x:c>
      <x:c r="E10" s="4" t="str">
        <x:v>Oferta 2026-2027; página capturada</x:v>
      </x:c>
      <x:c r="F10" s="4" t="str">
        <x:v>España / Espacio Europeo de Educación Superior</x:v>
      </x:c>
      <x:c r="G10" s="4" t="str">
        <x:v>CONTRASTE_FORMATIVO</x:v>
      </x:c>
      <x:c r="H10" s="4" t="str">
        <x:v>ADMITIDA_DOCUMENTAL</x:v>
      </x:c>
      <x:c r="I10" s="4" t="str">
        <x:v>Programa completo y competencias específicas; ingeniería, análisis de ataques, criptografía y privacidad.</x:v>
      </x:c>
      <x:c r="J10" s="4" t="str">
        <x:v>Extracción selectiva de competencias; no se adopta cada optativa ni se suman todos sus créditos.</x:v>
      </x:c>
      <x:c r="K10" s="4" t="str">
        <x:v>F006</x:v>
      </x:c>
      <x:c r="L10" s="4" t="str">
        <x:v>https://www.upc.edu/en/masters/cybersecurity</x:v>
      </x:c>
      <x:c r="M10" s="4" t="str">
        <x:v>2026-09-08</x:v>
      </x:c>
      <x:c r="N10" s="4" t="str">
        <x:v>Watson / delimitación documental; adopción humana no registrada</x:v>
      </x:c>
      <x:c r="O10" s="12" t="n">
        <x:f>COUNTIF('01_Fuentes'!$A$5:$A$40,A10)-1</x:f>
        <x:v>0</x:v>
      </x:c>
      <x:c r="P10" s="12" t="n">
        <x:f>IF(COUNTIF('02_Custodia'!$A$5:$A$53,K10)=1,0,1)</x:f>
        <x:v>0</x:v>
      </x:c>
      <x:c r="Q10" s="12" t="n">
        <x:f>IF(OR(A10="",C10="",D10="",E10="",H10="",I10="",L10=""),1,0)</x:f>
        <x:v>0</x:v>
      </x:c>
    </x:row>
    <x:row r="11" ht="60" customHeight="1">
      <x:c r="A11" s="4" t="str">
        <x:v>F007</x:v>
      </x:c>
      <x:c r="B11" s="4" t="str">
        <x:v>Programa universitario</x:v>
      </x:c>
      <x:c r="C11" s="4" t="str">
        <x:v>Carnegie Mellon University, Heinz College</x:v>
      </x:c>
      <x:c r="D11" s="4" t="str">
        <x:v>MS in Information Security Policy and Management</x:v>
      </x:c>
      <x:c r="E11" s="4" t="str">
        <x:v>Student Handbook Addendum 2026-2027</x:v>
      </x:c>
      <x:c r="F11" s="4" t="str">
        <x:v>Estados Unidos</x:v>
      </x:c>
      <x:c r="G11" s="4" t="str">
        <x:v>CONTRASTE_DE_GOBIERNO</x:v>
      </x:c>
      <x:c r="H11" s="4" t="str">
        <x:v>ADMITIDA_DOCUMENTAL</x:v>
      </x:c>
      <x:c r="I11" s="4" t="str">
        <x:v>Programa completo: dirección, riesgo, políticas y formación técnica; contraste con formación de ingeniería.</x:v>
      </x:c>
      <x:c r="J11" s="4" t="str">
        <x:v>No se importan finanzas o programación general sin función cibersegura; cursos de IA optativos no son núcleo común.</x:v>
      </x:c>
      <x:c r="K11" s="4" t="str">
        <x:v>A009</x:v>
      </x:c>
      <x:c r="L11" s="4" t="str">
        <x:v>https://www.heinz.cmu.edu/sites/default/files/cmu-heinz-files/docs/msispm-student-handbook.pdf</x:v>
      </x:c>
      <x:c r="M11" s="4" t="str">
        <x:v>2026-09-08</x:v>
      </x:c>
      <x:c r="N11" s="4" t="str">
        <x:v>Watson / delimitación documental; adopción humana no registrada</x:v>
      </x:c>
      <x:c r="O11" s="12" t="n">
        <x:f>COUNTIF('01_Fuentes'!$A$5:$A$40,A11)-1</x:f>
        <x:v>0</x:v>
      </x:c>
      <x:c r="P11" s="12" t="n">
        <x:f>IF(COUNTIF('02_Custodia'!$A$5:$A$53,K11)=1,0,1)</x:f>
        <x:v>0</x:v>
      </x:c>
      <x:c r="Q11" s="12" t="n">
        <x:f>IF(OR(A11="",C11="",D11="",E11="",H11="",I11="",L11=""),1,0)</x:f>
        <x:v>0</x:v>
      </x:c>
    </x:row>
    <x:row r="12" ht="60" customHeight="1">
      <x:c r="A12" s="4" t="str">
        <x:v>F008</x:v>
      </x:c>
      <x:c r="B12" s="4" t="str">
        <x:v>Programa universitario</x:v>
      </x:c>
      <x:c r="C12" s="4" t="str">
        <x:v>Universidad Carlos III de Madrid</x:v>
      </x:c>
      <x:c r="D12" s="4" t="str">
        <x:v>Máster Universitario en Ciberseguridad</x:v>
      </x:c>
      <x:c r="E12" s="4" t="str">
        <x:v>Página y guías enlazadas al corte 08-09-2026; curso completo no fijado</x:v>
      </x:c>
      <x:c r="F12" s="4" t="str">
        <x:v>España</x:v>
      </x:c>
      <x:c r="G12" s="4" t="str">
        <x:v>COMPARADOR_IDENTIFICADO</x:v>
      </x:c>
      <x:c r="H12" s="4" t="str">
        <x:v>PARCIAL_NO_ADOPTABLE</x:v>
      </x:c>
      <x:c r="I12" s="4" t="str">
        <x:v>Distingue ingeniería de sistemas seguros y análisis de ciberseguridad.</x:v>
      </x:c>
      <x:c r="J12" s="4" t="str">
        <x:v>Página leída; descarga del plan anual y guía concreta fallidas. No se cuenta como currículo anual extraído y cerrado.</x:v>
      </x:c>
      <x:c r="K12" s="4" t="str">
        <x:v>F008</x:v>
      </x:c>
      <x:c r="L12" s="4" t="str">
        <x:v>https://www.uc3m.es/master/ciberseguridad</x:v>
      </x:c>
      <x:c r="M12" s="4" t="str">
        <x:v>2026-09-08</x:v>
      </x:c>
      <x:c r="N12" s="4" t="str">
        <x:v>Watson / delimitación documental; adopción humana no registrada</x:v>
      </x:c>
      <x:c r="O12" s="12" t="n">
        <x:f>COUNTIF('01_Fuentes'!$A$5:$A$40,A12)-1</x:f>
        <x:v>0</x:v>
      </x:c>
      <x:c r="P12" s="12" t="n">
        <x:f>IF(COUNTIF('02_Custodia'!$A$5:$A$53,K12)=1,0,1)</x:f>
        <x:v>0</x:v>
      </x:c>
      <x:c r="Q12" s="12" t="n">
        <x:f>IF(OR(A12="",C12="",D12="",E12="",H12="",I12="",L12=""),1,0)</x:f>
        <x:v>0</x:v>
      </x:c>
    </x:row>
    <x:row r="13" ht="47" customHeight="1">
      <x:c r="A13" s="4" t="str">
        <x:v>F009</x:v>
      </x:c>
      <x:c r="B13" s="4" t="str">
        <x:v>Certificación personal</x:v>
      </x:c>
      <x:c r="C13" s="4" t="str">
        <x:v>ISC2</x:v>
      </x:c>
      <x:c r="D13" s="4" t="str">
        <x:v>CISSP Certification Exam Outline</x:v>
      </x:c>
      <x:c r="E13" s="4" t="str">
        <x:v>Vigencia 15-04-2024</x:v>
      </x:c>
      <x:c r="F13" s="4" t="str">
        <x:v>Certificación internacional; sin permiso operativo</x:v>
      </x:c>
      <x:c r="G13" s="4" t="str">
        <x:v>CONTRASTE_PROFESIONAL</x:v>
      </x:c>
      <x:c r="H13" s="4" t="str">
        <x:v>ADMITIDA_DOCUMENTAL</x:v>
      </x:c>
      <x:c r="I13" s="4" t="str">
        <x:v>Contrasta amplitud profesional en ocho dominios de conocimientos evaluados.</x:v>
      </x:c>
      <x:c r="J13" s="4" t="str">
        <x:v>Temario de examen; no es certificación del dominio ni prueba empírica de seguridad.</x:v>
      </x:c>
      <x:c r="K13" s="4" t="str">
        <x:v>F009</x:v>
      </x:c>
      <x:c r="L13" s="4" t="str">
        <x:v>https://www.isc2.org/certifications/cissp/cissp-certification-exam-outline</x:v>
      </x:c>
      <x:c r="M13" s="4" t="str">
        <x:v>2026-09-08</x:v>
      </x:c>
      <x:c r="N13" s="4" t="str">
        <x:v>Watson / delimitación documental; adopción humana no registrada</x:v>
      </x:c>
      <x:c r="O13" s="12" t="n">
        <x:f>COUNTIF('01_Fuentes'!$A$5:$A$40,A13)-1</x:f>
        <x:v>0</x:v>
      </x:c>
      <x:c r="P13" s="12" t="n">
        <x:f>IF(COUNTIF('02_Custodia'!$A$5:$A$53,K13)=1,0,1)</x:f>
        <x:v>0</x:v>
      </x:c>
      <x:c r="Q13" s="12" t="n">
        <x:f>IF(OR(A13="",C13="",D13="",E13="",H13="",I13="",L13=""),1,0)</x:f>
        <x:v>0</x:v>
      </x:c>
    </x:row>
    <x:row r="14" ht="60" customHeight="1">
      <x:c r="A14" s="4" t="str">
        <x:v>F010</x:v>
      </x:c>
      <x:c r="B14" s="4" t="str">
        <x:v>Certificación personal</x:v>
      </x:c>
      <x:c r="C14" s="4" t="str">
        <x:v>ISACA</x:v>
      </x:c>
      <x:c r="D14" s="4" t="str">
        <x:v>CISM Exam Content Outline</x:v>
      </x:c>
      <x:c r="E14" s="4" t="str">
        <x:v>Temario anterior al cambio previsto para 03-11-2026; captura 08-09-2026</x:v>
      </x:c>
      <x:c r="F14" s="4" t="str">
        <x:v>Certificación internacional</x:v>
      </x:c>
      <x:c r="G14" s="4" t="str">
        <x:v>CONTRASTE_DE_GOBIERNO</x:v>
      </x:c>
      <x:c r="H14" s="4" t="str">
        <x:v>ADMITIDA_DOCUMENTAL</x:v>
      </x:c>
      <x:c r="I14" s="4" t="str">
        <x:v>Contrasta responsabilidades de gobierno, riesgo, programa e incidentes.</x:v>
      </x:c>
      <x:c r="J14" s="4" t="str">
        <x:v>Se conserva anuncio de revisión futura; no se mezcla su contenido con el corte utilizado.</x:v>
      </x:c>
      <x:c r="K14" s="4" t="str">
        <x:v>F010</x:v>
      </x:c>
      <x:c r="L14" s="4" t="str">
        <x:v>https://www.isaca.org/credentialing/cism/cism-exam-content-outline</x:v>
      </x:c>
      <x:c r="M14" s="4" t="str">
        <x:v>2026-09-08</x:v>
      </x:c>
      <x:c r="N14" s="4" t="str">
        <x:v>Watson / delimitación documental; adopción humana no registrada</x:v>
      </x:c>
      <x:c r="O14" s="12" t="n">
        <x:f>COUNTIF('01_Fuentes'!$A$5:$A$40,A14)-1</x:f>
        <x:v>0</x:v>
      </x:c>
      <x:c r="P14" s="12" t="n">
        <x:f>IF(COUNTIF('02_Custodia'!$A$5:$A$53,K14)=1,0,1)</x:f>
        <x:v>0</x:v>
      </x:c>
      <x:c r="Q14" s="12" t="n">
        <x:f>IF(OR(A14="",C14="",D14="",E14="",H14="",I14="",L14=""),1,0)</x:f>
        <x:v>0</x:v>
      </x:c>
    </x:row>
    <x:row r="15" ht="60" customHeight="1">
      <x:c r="A15" s="4" t="str">
        <x:v>F011</x:v>
      </x:c>
      <x:c r="B15" s="4" t="str">
        <x:v>Certificación personal especializada</x:v>
      </x:c>
      <x:c r="C15" s="4" t="str">
        <x:v>GIAC</x:v>
      </x:c>
      <x:c r="D15" s="4" t="str">
        <x:v>GIAC Certified Forensic Analyst (GCFA), objectives</x:v>
      </x:c>
      <x:c r="E15" s="4" t="str">
        <x:v>Instantánea 08-09-2026; sin revisión formal por objetivo</x:v>
      </x:c>
      <x:c r="F15" s="4" t="str">
        <x:v>Certificación internacional</x:v>
      </x:c>
      <x:c r="G15" s="4" t="str">
        <x:v>REFINAMIENTO_FORENSE</x:v>
      </x:c>
      <x:c r="H15" s="4" t="str">
        <x:v>ADMITIDA_DOCUMENTAL</x:v>
      </x:c>
      <x:c r="I15" s="4" t="str">
        <x:v>Memoria volátil, cronología y acciones antiforenses refinan la capacidad de análisis de evidencia.</x:v>
      </x:c>
      <x:c r="J15" s="4" t="str">
        <x:v>Sesgo a entornos Windows; no agota forense móvil, nube ni admisibilidad judicial.</x:v>
      </x:c>
      <x:c r="K15" s="4" t="str">
        <x:v>F011</x:v>
      </x:c>
      <x:c r="L15" s="4" t="str">
        <x:v>https://www.giac.org/certifications/certified-forensic-analyst-gcfa/</x:v>
      </x:c>
      <x:c r="M15" s="4" t="str">
        <x:v>2026-09-08</x:v>
      </x:c>
      <x:c r="N15" s="4" t="str">
        <x:v>Watson / delimitación documental; adopción humana no registrada</x:v>
      </x:c>
      <x:c r="O15" s="12" t="n">
        <x:f>COUNTIF('01_Fuentes'!$A$5:$A$40,A15)-1</x:f>
        <x:v>0</x:v>
      </x:c>
      <x:c r="P15" s="12" t="n">
        <x:f>IF(COUNTIF('02_Custodia'!$A$5:$A$53,K15)=1,0,1)</x:f>
        <x:v>0</x:v>
      </x:c>
      <x:c r="Q15" s="12" t="n">
        <x:f>IF(OR(A15="",C15="",D15="",E15="",H15="",I15="",L15=""),1,0)</x:f>
        <x:v>0</x:v>
      </x:c>
    </x:row>
    <x:row r="16" ht="76" customHeight="1">
      <x:c r="A16" s="4" t="str">
        <x:v>F012</x:v>
      </x:c>
      <x:c r="B16" s="4" t="str">
        <x:v>Formación y certificación personal</x:v>
      </x:c>
      <x:c r="C16" s="4" t="str">
        <x:v>OffSec</x:v>
      </x:c>
      <x:c r="D16" s="4" t="str">
        <x:v>PEN-200: Penetration Testing with Kali Linux / OSCP+</x:v>
      </x:c>
      <x:c r="E16" s="4" t="str">
        <x:v>Syllabus publicado en ruta 2026/03; instantánea</x:v>
      </x:c>
      <x:c r="F16" s="4" t="str">
        <x:v>Certificación internacional</x:v>
      </x:c>
      <x:c r="G16" s="4" t="str">
        <x:v>CONTRASTE_EVALUACION_AUTORIZADA</x:v>
      </x:c>
      <x:c r="H16" s="4" t="str">
        <x:v>ADMITIDA_DOCUMENTAL</x:v>
      </x:c>
      <x:c r="I16" s="4" t="str">
        <x:v>Ámbito práctico de evaluación ofensiva y comunicación de resultados.</x:v>
      </x:c>
      <x:c r="J16" s="4" t="str">
        <x:v>No autoriza pruebas contra terceros ni representa toda la ciberseguridad. Syllabus de dos páginas: alcance, no extracción exhaustiva de lecciones.</x:v>
      </x:c>
      <x:c r="K16" s="4" t="str">
        <x:v>F012</x:v>
      </x:c>
      <x:c r="L16" s="4" t="str">
        <x:v>https://manage.offsec.com/app/uploads/2026/03/PEN-200_Syllabus.pdf</x:v>
      </x:c>
      <x:c r="M16" s="4" t="str">
        <x:v>2026-09-08</x:v>
      </x:c>
      <x:c r="N16" s="4" t="str">
        <x:v>Watson / delimitación documental; adopción humana no registrada</x:v>
      </x:c>
      <x:c r="O16" s="12" t="n">
        <x:f>COUNTIF('01_Fuentes'!$A$5:$A$40,A16)-1</x:f>
        <x:v>0</x:v>
      </x:c>
      <x:c r="P16" s="12" t="n">
        <x:f>IF(COUNTIF('02_Custodia'!$A$5:$A$53,K16)=1,0,1)</x:f>
        <x:v>0</x:v>
      </x:c>
      <x:c r="Q16" s="12" t="n">
        <x:f>IF(OR(A16="",C16="",D16="",E16="",H16="",I16="",L16=""),1,0)</x:f>
        <x:v>0</x:v>
      </x:c>
    </x:row>
    <x:row r="17" ht="47" customHeight="1">
      <x:c r="A17" s="4" t="str">
        <x:v>F013</x:v>
      </x:c>
      <x:c r="B17" s="4" t="str">
        <x:v>Norma de gestión</x:v>
      </x:c>
      <x:c r="C17" s="4" t="str">
        <x:v>ISO / IEC</x:v>
      </x:c>
      <x:c r="D17" s="4" t="str">
        <x:v>ISO/IEC 27001:2022</x:v>
      </x:c>
      <x:c r="E17" s="4" t="str">
        <x:v>Edición 3; 2022-10; enmienda 2024 identificada</x:v>
      </x:c>
      <x:c r="F17" s="4" t="str">
        <x:v>Internacional; adopción y contrato aplicables</x:v>
      </x:c>
      <x:c r="G17" s="4" t="str">
        <x:v>REFERENCIA_DE_GESTION</x:v>
      </x:c>
      <x:c r="H17" s="4" t="str">
        <x:v>METADATOS_SOLO</x:v>
      </x:c>
      <x:c r="I17" s="4" t="str">
        <x:v>Identifica requisitos para un sistema de gestión de seguridad de la información.</x:v>
      </x:c>
      <x:c r="J17" s="4" t="str">
        <x:v>Texto completo licenciado no obtenido; ninguna cláusula adoptada ni conformidad declarada.</x:v>
      </x:c>
      <x:c r="K17" s="4" t="str">
        <x:v>F013</x:v>
      </x:c>
      <x:c r="L17" s="4" t="str">
        <x:v>https://www.iso.org/standard/27001</x:v>
      </x:c>
      <x:c r="M17" s="4" t="str">
        <x:v>2026-09-08</x:v>
      </x:c>
      <x:c r="N17" s="4" t="str">
        <x:v>Watson / delimitación documental; adopción humana no registrada</x:v>
      </x:c>
      <x:c r="O17" s="12" t="n">
        <x:f>COUNTIF('01_Fuentes'!$A$5:$A$40,A17)-1</x:f>
        <x:v>0</x:v>
      </x:c>
      <x:c r="P17" s="12" t="n">
        <x:f>IF(COUNTIF('02_Custodia'!$A$5:$A$53,K17)=1,0,1)</x:f>
        <x:v>0</x:v>
      </x:c>
      <x:c r="Q17" s="12" t="n">
        <x:f>IF(OR(A17="",C17="",D17="",E17="",H17="",I17="",L17=""),1,0)</x:f>
        <x:v>0</x:v>
      </x:c>
    </x:row>
    <x:row r="18" ht="47" customHeight="1">
      <x:c r="A18" s="4" t="str">
        <x:v>F014</x:v>
      </x:c>
      <x:c r="B18" s="4" t="str">
        <x:v>Guía de controles</x:v>
      </x:c>
      <x:c r="C18" s="4" t="str">
        <x:v>ISO / IEC</x:v>
      </x:c>
      <x:c r="D18" s="4" t="str">
        <x:v>ISO/IEC 27002:2022</x:v>
      </x:c>
      <x:c r="E18" s="4" t="str">
        <x:v>Edición 3; 2022</x:v>
      </x:c>
      <x:c r="F18" s="4" t="str">
        <x:v>Internacional</x:v>
      </x:c>
      <x:c r="G18" s="4" t="str">
        <x:v>REFERENCIA_DE_CONTROLES</x:v>
      </x:c>
      <x:c r="H18" s="4" t="str">
        <x:v>METADATOS_SOLO</x:v>
      </x:c>
      <x:c r="I18" s="4" t="str">
        <x:v>Identifica guía de controles de seguridad de la información.</x:v>
      </x:c>
      <x:c r="J18" s="4" t="str">
        <x:v>Ficha pública, no lectura completa ni extracción de controles.</x:v>
      </x:c>
      <x:c r="K18" s="4" t="str">
        <x:v>F014</x:v>
      </x:c>
      <x:c r="L18" s="4" t="str">
        <x:v>https://www.iso.org/standard/75652.html</x:v>
      </x:c>
      <x:c r="M18" s="4" t="str">
        <x:v>2026-09-08</x:v>
      </x:c>
      <x:c r="N18" s="4" t="str">
        <x:v>Watson / delimitación documental; adopción humana no registrada</x:v>
      </x:c>
      <x:c r="O18" s="12" t="n">
        <x:f>COUNTIF('01_Fuentes'!$A$5:$A$40,A18)-1</x:f>
        <x:v>0</x:v>
      </x:c>
      <x:c r="P18" s="12" t="n">
        <x:f>IF(COUNTIF('02_Custodia'!$A$5:$A$53,K18)=1,0,1)</x:f>
        <x:v>0</x:v>
      </x:c>
      <x:c r="Q18" s="12" t="n">
        <x:f>IF(OR(A18="",C18="",D18="",E18="",H18="",I18="",L18=""),1,0)</x:f>
        <x:v>0</x:v>
      </x:c>
    </x:row>
    <x:row r="19" ht="47" customHeight="1">
      <x:c r="A19" s="4" t="str">
        <x:v>F015</x:v>
      </x:c>
      <x:c r="B19" s="4" t="str">
        <x:v>Guía de riesgo</x:v>
      </x:c>
      <x:c r="C19" s="4" t="str">
        <x:v>ISO / IEC</x:v>
      </x:c>
      <x:c r="D19" s="4" t="str">
        <x:v>ISO/IEC 27005:2022</x:v>
      </x:c>
      <x:c r="E19" s="4" t="str">
        <x:v>Edición 4; 2022</x:v>
      </x:c>
      <x:c r="F19" s="4" t="str">
        <x:v>Internacional</x:v>
      </x:c>
      <x:c r="G19" s="4" t="str">
        <x:v>REFERENCIA_DE_RIESGO</x:v>
      </x:c>
      <x:c r="H19" s="4" t="str">
        <x:v>METADATOS_SOLO</x:v>
      </x:c>
      <x:c r="I19" s="4" t="str">
        <x:v>Identifica gestión de riesgos de seguridad de la información.</x:v>
      </x:c>
      <x:c r="J19" s="4" t="str">
        <x:v>No reconstruir cláusulas sin acceso autorizado.</x:v>
      </x:c>
      <x:c r="K19" s="4" t="str">
        <x:v>F015</x:v>
      </x:c>
      <x:c r="L19" s="4" t="str">
        <x:v>https://www.iso.org/standard/80585.html</x:v>
      </x:c>
      <x:c r="M19" s="4" t="str">
        <x:v>2026-09-08</x:v>
      </x:c>
      <x:c r="N19" s="4" t="str">
        <x:v>Watson / delimitación documental; adopción humana no registrada</x:v>
      </x:c>
      <x:c r="O19" s="12" t="n">
        <x:f>COUNTIF('01_Fuentes'!$A$5:$A$40,A19)-1</x:f>
        <x:v>0</x:v>
      </x:c>
      <x:c r="P19" s="12" t="n">
        <x:f>IF(COUNTIF('02_Custodia'!$A$5:$A$53,K19)=1,0,1)</x:f>
        <x:v>0</x:v>
      </x:c>
      <x:c r="Q19" s="12" t="n">
        <x:f>IF(OR(A19="",C19="",D19="",E19="",H19="",I19="",L19=""),1,0)</x:f>
        <x:v>0</x:v>
      </x:c>
    </x:row>
    <x:row r="20" ht="47" customHeight="1">
      <x:c r="A20" s="4" t="str">
        <x:v>F016</x:v>
      </x:c>
      <x:c r="B20" s="4" t="str">
        <x:v>Marco de resultados</x:v>
      </x:c>
      <x:c r="C20" s="4" t="str">
        <x:v>NIST</x:v>
      </x:c>
      <x:c r="D20" s="4" t="str">
        <x:v>The NIST Cybersecurity Framework (CSF) 2.0</x:v>
      </x:c>
      <x:c r="E20" s="4" t="str">
        <x:v>CSWP 29; 26-02-2024</x:v>
      </x:c>
      <x:c r="F20" s="4" t="str">
        <x:v>EE. UU.; uso voluntario adaptable</x:v>
      </x:c>
      <x:c r="G20" s="4" t="str">
        <x:v>CONTRASTE_DE_CICLO</x:v>
      </x:c>
      <x:c r="H20" s="4" t="str">
        <x:v>ADMITIDA_DOCUMENTAL</x:v>
      </x:c>
      <x:c r="I20" s="4" t="str">
        <x:v>Resultados de gobierno, identificación, protección, detección, respuesta y recuperación.</x:v>
      </x:c>
      <x:c r="J20" s="4" t="str">
        <x:v>Resultados no prescriptivos; ninguna equivalencia automática con controles o cumplimiento.</x:v>
      </x:c>
      <x:c r="K20" s="4" t="str">
        <x:v>F016</x:v>
      </x:c>
      <x:c r="L20" s="4" t="str">
        <x:v>https://nvlpubs.nist.gov/nistpubs/CSWP/NIST.CSWP.29.pdf</x:v>
      </x:c>
      <x:c r="M20" s="4" t="str">
        <x:v>2026-09-08</x:v>
      </x:c>
      <x:c r="N20" s="4" t="str">
        <x:v>Watson / delimitación documental; adopción humana no registrada</x:v>
      </x:c>
      <x:c r="O20" s="12" t="n">
        <x:f>COUNTIF('01_Fuentes'!$A$5:$A$40,A20)-1</x:f>
        <x:v>0</x:v>
      </x:c>
      <x:c r="P20" s="12" t="n">
        <x:f>IF(COUNTIF('02_Custodia'!$A$5:$A$53,K20)=1,0,1)</x:f>
        <x:v>0</x:v>
      </x:c>
      <x:c r="Q20" s="12" t="n">
        <x:f>IF(OR(A20="",C20="",D20="",E20="",H20="",I20="",L20=""),1,0)</x:f>
        <x:v>0</x:v>
      </x:c>
    </x:row>
    <x:row r="21" ht="60" customHeight="1">
      <x:c r="A21" s="4" t="str">
        <x:v>F017</x:v>
      </x:c>
      <x:c r="B21" s="4" t="str">
        <x:v>Catálogo de controles</x:v>
      </x:c>
      <x:c r="C21" s="4" t="str">
        <x:v>NIST</x:v>
      </x:c>
      <x:c r="D21" s="4" t="str">
        <x:v>SP 800-53 Rev. 5, Security and Privacy Controls for Information Systems and Organizations</x:v>
      </x:c>
      <x:c r="E21" s="4" t="str">
        <x:v>Rev. 5; actualización documental 10-12-2020; release de controles 5.2.0 anunciada 27-08-2025</x:v>
      </x:c>
      <x:c r="F21" s="4" t="str">
        <x:v>EE. UU.; aplicabilidad según organización y contrato</x:v>
      </x:c>
      <x:c r="G21" s="4" t="str">
        <x:v>REFERENCIA_DE_CONTROLES</x:v>
      </x:c>
      <x:c r="H21" s="4" t="str">
        <x:v>METADATOS_SOLO</x:v>
      </x:c>
      <x:c r="I21" s="4" t="str">
        <x:v>Distingue catálogo de controles de marco de competencias y de resultados.</x:v>
      </x:c>
      <x:c r="J21" s="4" t="str">
        <x:v>Página y actualización verificadas; corpus de controles 5.2.0 no extraído. No se declara evaluación de controles.</x:v>
      </x:c>
      <x:c r="K21" s="4" t="str">
        <x:v>F017</x:v>
      </x:c>
      <x:c r="L21" s="4" t="str">
        <x:v>https://csrc.nist.gov/pubs/sp/800/53/r5/upd1/final</x:v>
      </x:c>
      <x:c r="M21" s="4" t="str">
        <x:v>2026-09-08</x:v>
      </x:c>
      <x:c r="N21" s="4" t="str">
        <x:v>Watson / delimitación documental; adopción humana no registrada</x:v>
      </x:c>
      <x:c r="O21" s="12" t="n">
        <x:f>COUNTIF('01_Fuentes'!$A$5:$A$40,A21)-1</x:f>
        <x:v>0</x:v>
      </x:c>
      <x:c r="P21" s="12" t="n">
        <x:f>IF(COUNTIF('02_Custodia'!$A$5:$A$53,K21)=1,0,1)</x:f>
        <x:v>0</x:v>
      </x:c>
      <x:c r="Q21" s="12" t="n">
        <x:f>IF(OR(A21="",C21="",D21="",E21="",H21="",I21="",L21=""),1,0)</x:f>
        <x:v>0</x:v>
      </x:c>
    </x:row>
    <x:row r="22" ht="47" customHeight="1">
      <x:c r="A22" s="4" t="str">
        <x:v>F018</x:v>
      </x:c>
      <x:c r="B22" s="4" t="str">
        <x:v>Método técnico</x:v>
      </x:c>
      <x:c r="C22" s="4" t="str">
        <x:v>NIST</x:v>
      </x:c>
      <x:c r="D22" s="4" t="str">
        <x:v>SP 800-115, Technical Guide to Information Security Testing and Assessment</x:v>
      </x:c>
      <x:c r="E22" s="4" t="str">
        <x:v>Final; septiembre 2008</x:v>
      </x:c>
      <x:c r="F22" s="4" t="str">
        <x:v>EE. UU.; método adaptable bajo autorización</x:v>
      </x:c>
      <x:c r="G22" s="4" t="str">
        <x:v>COMPLEMENTO_DE_METODO</x:v>
      </x:c>
      <x:c r="H22" s="4" t="str">
        <x:v>ADMITIDA_DOCUMENTAL</x:v>
      </x:c>
      <x:c r="I22" s="4" t="str">
        <x:v>Planificación, reglas de actuación, ejecución y reporte de evaluaciones técnicas.</x:v>
      </x:c>
      <x:c r="J22" s="4" t="str">
        <x:v>Antigüedad explícita; no sustituye técnicas actuales ni autorización del propietario.</x:v>
      </x:c>
      <x:c r="K22" s="4" t="str">
        <x:v>F018</x:v>
      </x:c>
      <x:c r="L22" s="4" t="str">
        <x:v>https://nvlpubs.nist.gov/nistpubs/Legacy/SP/nistspecialpublication800-115.pdf</x:v>
      </x:c>
      <x:c r="M22" s="4" t="str">
        <x:v>2026-09-08</x:v>
      </x:c>
      <x:c r="N22" s="4" t="str">
        <x:v>Watson / delimitación documental; adopción humana no registrada</x:v>
      </x:c>
      <x:c r="O22" s="12" t="n">
        <x:f>COUNTIF('01_Fuentes'!$A$5:$A$40,A22)-1</x:f>
        <x:v>0</x:v>
      </x:c>
      <x:c r="P22" s="12" t="n">
        <x:f>IF(COUNTIF('02_Custodia'!$A$5:$A$53,K22)=1,0,1)</x:f>
        <x:v>0</x:v>
      </x:c>
      <x:c r="Q22" s="12" t="n">
        <x:f>IF(OR(A22="",C22="",D22="",E22="",H22="",I22="",L22=""),1,0)</x:f>
        <x:v>0</x:v>
      </x:c>
    </x:row>
    <x:row r="23" ht="60" customHeight="1">
      <x:c r="A23" s="4" t="str">
        <x:v>F019</x:v>
      </x:c>
      <x:c r="B23" s="4" t="str">
        <x:v>Método técnico</x:v>
      </x:c>
      <x:c r="C23" s="4" t="str">
        <x:v>NIST</x:v>
      </x:c>
      <x:c r="D23" s="4" t="str">
        <x:v>SP 800-61 Rev. 3, Incident Response Recommendations and Considerations for Cybersecurity Risk Management</x:v>
      </x:c>
      <x:c r="E23" s="4" t="str">
        <x:v>Final; abril 2025</x:v>
      </x:c>
      <x:c r="F23" s="4" t="str">
        <x:v>EE. UU.; método adaptable</x:v>
      </x:c>
      <x:c r="G23" s="4" t="str">
        <x:v>COMPLEMENTO_DE_METODO</x:v>
      </x:c>
      <x:c r="H23" s="4" t="str">
        <x:v>ADMITIDA_DOCUMENTAL</x:v>
      </x:c>
      <x:c r="I23" s="4" t="str">
        <x:v>Respuesta a incidentes vinculada al ciclo CSF 2.0 y a su gobierno.</x:v>
      </x:c>
      <x:c r="J23" s="4" t="str">
        <x:v>No habilita contención ni efectos; selección operativa y autoridad por constituir.</x:v>
      </x:c>
      <x:c r="K23" s="4" t="str">
        <x:v>F019</x:v>
      </x:c>
      <x:c r="L23" s="4" t="str">
        <x:v>https://nvlpubs.nist.gov/nistpubs/SpecialPublications/NIST.SP.800-61r3.pdf</x:v>
      </x:c>
      <x:c r="M23" s="4" t="str">
        <x:v>2026-09-08</x:v>
      </x:c>
      <x:c r="N23" s="4" t="str">
        <x:v>Watson / delimitación documental; adopción humana no registrada</x:v>
      </x:c>
      <x:c r="O23" s="12" t="n">
        <x:f>COUNTIF('01_Fuentes'!$A$5:$A$40,A23)-1</x:f>
        <x:v>0</x:v>
      </x:c>
      <x:c r="P23" s="12" t="n">
        <x:f>IF(COUNTIF('02_Custodia'!$A$5:$A$53,K23)=1,0,1)</x:f>
        <x:v>0</x:v>
      </x:c>
      <x:c r="Q23" s="12" t="n">
        <x:f>IF(OR(A23="",C23="",D23="",E23="",H23="",I23="",L23=""),1,0)</x:f>
        <x:v>0</x:v>
      </x:c>
    </x:row>
    <x:row r="24" ht="47" customHeight="1">
      <x:c r="A24" s="4" t="str">
        <x:v>F020</x:v>
      </x:c>
      <x:c r="B24" s="4" t="str">
        <x:v>Método técnico sectorial</x:v>
      </x:c>
      <x:c r="C24" s="4" t="str">
        <x:v>NIST</x:v>
      </x:c>
      <x:c r="D24" s="4" t="str">
        <x:v>SP 800-82 Rev. 3, Guide to Operational Technology (OT) Security</x:v>
      </x:c>
      <x:c r="E24" s="4" t="str">
        <x:v>Final; septiembre 2023</x:v>
      </x:c>
      <x:c r="F24" s="4" t="str">
        <x:v>EE. UU.; entornos OT cuando proceda</x:v>
      </x:c>
      <x:c r="G24" s="4" t="str">
        <x:v>COMPLEMENTO_DE_FRONTERA</x:v>
      </x:c>
      <x:c r="H24" s="4" t="str">
        <x:v>ADMITIDA_DOCUMENTAL</x:v>
      </x:c>
      <x:c r="I24" s="4" t="str">
        <x:v>Diferencias de seguridad física, disponibilidad, fiabilidad y control industrial.</x:v>
      </x:c>
      <x:c r="J24" s="4" t="str">
        <x:v>Sólo frontera profesional OT; ninguna instalación ni actuación industrial en este corte.</x:v>
      </x:c>
      <x:c r="K24" s="4" t="str">
        <x:v>F020</x:v>
      </x:c>
      <x:c r="L24" s="4" t="str">
        <x:v>https://nvlpubs.nist.gov/nistpubs/SpecialPublications/NIST.SP.800-82r3.pdf</x:v>
      </x:c>
      <x:c r="M24" s="4" t="str">
        <x:v>2026-09-08</x:v>
      </x:c>
      <x:c r="N24" s="4" t="str">
        <x:v>Watson / delimitación documental; adopción humana no registrada</x:v>
      </x:c>
      <x:c r="O24" s="12" t="n">
        <x:f>COUNTIF('01_Fuentes'!$A$5:$A$40,A24)-1</x:f>
        <x:v>0</x:v>
      </x:c>
      <x:c r="P24" s="12" t="n">
        <x:f>IF(COUNTIF('02_Custodia'!$A$5:$A$53,K24)=1,0,1)</x:f>
        <x:v>0</x:v>
      </x:c>
      <x:c r="Q24" s="12" t="n">
        <x:f>IF(OR(A24="",C24="",D24="",E24="",H24="",I24="",L24=""),1,0)</x:f>
        <x:v>0</x:v>
      </x:c>
    </x:row>
    <x:row r="25" ht="47" customHeight="1">
      <x:c r="A25" s="4" t="str">
        <x:v>F021</x:v>
      </x:c>
      <x:c r="B25" s="4" t="str">
        <x:v>Estándar técnico comunitario</x:v>
      </x:c>
      <x:c r="C25" s="4" t="str">
        <x:v>OWASP</x:v>
      </x:c>
      <x:c r="D25" s="4" t="str">
        <x:v>Application Security Verification Standard (ASVS)</x:v>
      </x:c>
      <x:c r="E25" s="4" t="str">
        <x:v>5.0.0; 30-05-2025</x:v>
      </x:c>
      <x:c r="F25" s="4" t="str">
        <x:v>Comunidad internacional</x:v>
      </x:c>
      <x:c r="G25" s="4" t="str">
        <x:v>REFERENCIA_DE_VERIFICACION</x:v>
      </x:c>
      <x:c r="H25" s="4" t="str">
        <x:v>METADATOS_SOLO</x:v>
      </x:c>
      <x:c r="I25" s="4" t="str">
        <x:v>Criterios verificables de seguridad de aplicaciones con identificadores versionados.</x:v>
      </x:c>
      <x:c r="J25" s="4" t="str">
        <x:v>Página y convención de versión leídas; requisitos individuales no extraídos en este corte.</x:v>
      </x:c>
      <x:c r="K25" s="4" t="str">
        <x:v>F021</x:v>
      </x:c>
      <x:c r="L25" s="4" t="str">
        <x:v>https://owasp.org/www-project-application-security-verification-standard/</x:v>
      </x:c>
      <x:c r="M25" s="4" t="str">
        <x:v>2026-09-08</x:v>
      </x:c>
      <x:c r="N25" s="4" t="str">
        <x:v>Watson / delimitación documental; adopción humana no registrada</x:v>
      </x:c>
      <x:c r="O25" s="12" t="n">
        <x:f>COUNTIF('01_Fuentes'!$A$5:$A$40,A25)-1</x:f>
        <x:v>0</x:v>
      </x:c>
      <x:c r="P25" s="12" t="n">
        <x:f>IF(COUNTIF('02_Custodia'!$A$5:$A$53,K25)=1,0,1)</x:f>
        <x:v>0</x:v>
      </x:c>
      <x:c r="Q25" s="12" t="n">
        <x:f>IF(OR(A25="",C25="",D25="",E25="",H25="",I25="",L25=""),1,0)</x:f>
        <x:v>0</x:v>
      </x:c>
    </x:row>
    <x:row r="26" ht="47" customHeight="1">
      <x:c r="A26" s="4" t="str">
        <x:v>F022</x:v>
      </x:c>
      <x:c r="B26" s="4" t="str">
        <x:v>Norma de gestión de IA</x:v>
      </x:c>
      <x:c r="C26" s="4" t="str">
        <x:v>ISO / IEC</x:v>
      </x:c>
      <x:c r="D26" s="4" t="str">
        <x:v>ISO/IEC 42001:2023</x:v>
      </x:c>
      <x:c r="E26" s="4" t="str">
        <x:v>Edición 1; 2023</x:v>
      </x:c>
      <x:c r="F26" s="4" t="str">
        <x:v>Internacional</x:v>
      </x:c>
      <x:c r="G26" s="4" t="str">
        <x:v>REFERENCIA_GOBIERNO_IA</x:v>
      </x:c>
      <x:c r="H26" s="4" t="str">
        <x:v>METADATOS_SOLO</x:v>
      </x:c>
      <x:c r="I26" s="4" t="str">
        <x:v>Identifica sistema de gestión para organizaciones que desarrollan, proveen o usan IA.</x:v>
      </x:c>
      <x:c r="J26" s="4" t="str">
        <x:v>Ficha pública; texto completo y cláusulas no adoptados.</x:v>
      </x:c>
      <x:c r="K26" s="4" t="str">
        <x:v>F022</x:v>
      </x:c>
      <x:c r="L26" s="4" t="str">
        <x:v>https://www.iso.org/standard/42001</x:v>
      </x:c>
      <x:c r="M26" s="4" t="str">
        <x:v>2026-09-08</x:v>
      </x:c>
      <x:c r="N26" s="4" t="str">
        <x:v>Watson / delimitación documental; adopción humana no registrada</x:v>
      </x:c>
      <x:c r="O26" s="12" t="n">
        <x:f>COUNTIF('01_Fuentes'!$A$5:$A$40,A26)-1</x:f>
        <x:v>0</x:v>
      </x:c>
      <x:c r="P26" s="12" t="n">
        <x:f>IF(COUNTIF('02_Custodia'!$A$5:$A$53,K26)=1,0,1)</x:f>
        <x:v>0</x:v>
      </x:c>
      <x:c r="Q26" s="12" t="n">
        <x:f>IF(OR(A26="",C26="",D26="",E26="",H26="",I26="",L26=""),1,0)</x:f>
        <x:v>0</x:v>
      </x:c>
    </x:row>
    <x:row r="27" ht="47" customHeight="1">
      <x:c r="A27" s="4" t="str">
        <x:v>F023</x:v>
      </x:c>
      <x:c r="B27" s="4" t="str">
        <x:v>Guía de riesgo de IA</x:v>
      </x:c>
      <x:c r="C27" s="4" t="str">
        <x:v>ISO / IEC</x:v>
      </x:c>
      <x:c r="D27" s="4" t="str">
        <x:v>ISO/IEC 23894:2023</x:v>
      </x:c>
      <x:c r="E27" s="4" t="str">
        <x:v>Edición 1; 2023</x:v>
      </x:c>
      <x:c r="F27" s="4" t="str">
        <x:v>Internacional</x:v>
      </x:c>
      <x:c r="G27" s="4" t="str">
        <x:v>REFERENCIA_RIESGO_IA</x:v>
      </x:c>
      <x:c r="H27" s="4" t="str">
        <x:v>METADATOS_SOLO</x:v>
      </x:c>
      <x:c r="I27" s="4" t="str">
        <x:v>Identifica guía de gestión del riesgo de IA.</x:v>
      </x:c>
      <x:c r="J27" s="4" t="str">
        <x:v>Ficha pública; no equivale a requisitos de 42001 ni se reconstruye texto licenciado.</x:v>
      </x:c>
      <x:c r="K27" s="4" t="str">
        <x:v>F023</x:v>
      </x:c>
      <x:c r="L27" s="4" t="str">
        <x:v>https://www.iso.org/standard/77304.html</x:v>
      </x:c>
      <x:c r="M27" s="4" t="str">
        <x:v>2026-09-08</x:v>
      </x:c>
      <x:c r="N27" s="4" t="str">
        <x:v>Watson / delimitación documental; adopción humana no registrada</x:v>
      </x:c>
      <x:c r="O27" s="12" t="n">
        <x:f>COUNTIF('01_Fuentes'!$A$5:$A$40,A27)-1</x:f>
        <x:v>0</x:v>
      </x:c>
      <x:c r="P27" s="12" t="n">
        <x:f>IF(COUNTIF('02_Custodia'!$A$5:$A$53,K27)=1,0,1)</x:f>
        <x:v>0</x:v>
      </x:c>
      <x:c r="Q27" s="12" t="n">
        <x:f>IF(OR(A27="",C27="",D27="",E27="",H27="",I27="",L27=""),1,0)</x:f>
        <x:v>0</x:v>
      </x:c>
    </x:row>
    <x:row r="28" ht="60" customHeight="1">
      <x:c r="A28" s="4" t="str">
        <x:v>F024</x:v>
      </x:c>
      <x:c r="B28" s="4" t="str">
        <x:v>Marco de riesgo de IA</x:v>
      </x:c>
      <x:c r="C28" s="4" t="str">
        <x:v>NIST</x:v>
      </x:c>
      <x:c r="D28" s="4" t="str">
        <x:v>Artificial Intelligence Risk Management Framework (AI RMF 1.0)</x:v>
      </x:c>
      <x:c r="E28" s="4" t="str">
        <x:v>AI 100-1; enero 2023</x:v>
      </x:c>
      <x:c r="F28" s="4" t="str">
        <x:v>EE. UU.; marco voluntario</x:v>
      </x:c>
      <x:c r="G28" s="4" t="str">
        <x:v>COMPLEMENTO_GOBIERNO_IA</x:v>
      </x:c>
      <x:c r="H28" s="4" t="str">
        <x:v>ADMITIDA_DOCUMENTAL</x:v>
      </x:c>
      <x:c r="I28" s="4" t="str">
        <x:v>Contexto, medición, gestión y gobierno del riesgo de IA; responsabilidad y validez de evaluaciones.</x:v>
      </x:c>
      <x:c r="J28" s="4" t="str">
        <x:v>No convierte métricas probabilísticas en primitivas SV ni confiere decisiones a la IA.</x:v>
      </x:c>
      <x:c r="K28" s="4" t="str">
        <x:v>F024</x:v>
      </x:c>
      <x:c r="L28" s="4" t="str">
        <x:v>https://nvlpubs.nist.gov/nistpubs/ai/NIST.AI.100-1.pdf</x:v>
      </x:c>
      <x:c r="M28" s="4" t="str">
        <x:v>2026-09-08</x:v>
      </x:c>
      <x:c r="N28" s="4" t="str">
        <x:v>Watson / delimitación documental; adopción humana no registrada</x:v>
      </x:c>
      <x:c r="O28" s="12" t="n">
        <x:f>COUNTIF('01_Fuentes'!$A$5:$A$40,A28)-1</x:f>
        <x:v>0</x:v>
      </x:c>
      <x:c r="P28" s="12" t="n">
        <x:f>IF(COUNTIF('02_Custodia'!$A$5:$A$53,K28)=1,0,1)</x:f>
        <x:v>0</x:v>
      </x:c>
      <x:c r="Q28" s="12" t="n">
        <x:f>IF(OR(A28="",C28="",D28="",E28="",H28="",I28="",L28=""),1,0)</x:f>
        <x:v>0</x:v>
      </x:c>
    </x:row>
    <x:row r="29" ht="60" customHeight="1">
      <x:c r="A29" s="4" t="str">
        <x:v>F025</x:v>
      </x:c>
      <x:c r="B29" s="4" t="str">
        <x:v>Perfil de desarrollo seguro de IA</x:v>
      </x:c>
      <x:c r="C29" s="4" t="str">
        <x:v>NIST</x:v>
      </x:c>
      <x:c r="D29" s="4" t="str">
        <x:v>SP 800-218A, Secure Software Development Practices for Generative AI and Dual-Use Foundation Models</x:v>
      </x:c>
      <x:c r="E29" s="4" t="str">
        <x:v>Final; 26-07-2024</x:v>
      </x:c>
      <x:c r="F29" s="4" t="str">
        <x:v>EE. UU.; productores y adquirentes según alcance</x:v>
      </x:c>
      <x:c r="G29" s="4" t="str">
        <x:v>COMPLEMENTO_CICLO_IA</x:v>
      </x:c>
      <x:c r="H29" s="4" t="str">
        <x:v>ADMITIDA_DOCUMENTAL</x:v>
      </x:c>
      <x:c r="I29" s="4" t="str">
        <x:v>Desarrollo de modelos, procedencia de datos, pruebas y dependencias de IA generativa y modelos fundacionales.</x:v>
      </x:c>
      <x:c r="J29" s="4" t="str">
        <x:v>Alcance específico; no es todo aprendizaje automático ni reemplaza al SSDF base.</x:v>
      </x:c>
      <x:c r="K29" s="4" t="str">
        <x:v>F025</x:v>
      </x:c>
      <x:c r="L29" s="4" t="str">
        <x:v>https://nvlpubs.nist.gov/nistpubs/SpecialPublications/NIST.SP.800-218A.pdf</x:v>
      </x:c>
      <x:c r="M29" s="4" t="str">
        <x:v>2026-09-08</x:v>
      </x:c>
      <x:c r="N29" s="4" t="str">
        <x:v>Watson / delimitación documental; adopción humana no registrada</x:v>
      </x:c>
      <x:c r="O29" s="12" t="n">
        <x:f>COUNTIF('01_Fuentes'!$A$5:$A$40,A29)-1</x:f>
        <x:v>0</x:v>
      </x:c>
      <x:c r="P29" s="12" t="n">
        <x:f>IF(COUNTIF('02_Custodia'!$A$5:$A$53,K29)=1,0,1)</x:f>
        <x:v>0</x:v>
      </x:c>
      <x:c r="Q29" s="12" t="n">
        <x:f>IF(OR(A29="",C29="",D29="",E29="",H29="",I29="",L29=""),1,0)</x:f>
        <x:v>0</x:v>
      </x:c>
    </x:row>
    <x:row r="30" ht="60" customHeight="1">
      <x:c r="A30" s="4" t="str">
        <x:v>F026</x:v>
      </x:c>
      <x:c r="B30" s="4" t="str">
        <x:v>Taxonomía técnica de amenazas de IA</x:v>
      </x:c>
      <x:c r="C30" s="4" t="str">
        <x:v>NIST</x:v>
      </x:c>
      <x:c r="D30" s="4" t="str">
        <x:v>AI 100-2 E2025, Adversarial Machine Learning: A Taxonomy and Terminology of Attacks and Mitigations</x:v>
      </x:c>
      <x:c r="E30" s="4" t="str">
        <x:v>Marzo 2025; PDF corregido 01-04-2025; errata pendiente de página x identificada</x:v>
      </x:c>
      <x:c r="F30" s="4" t="str">
        <x:v>EE. UU.; conocimiento técnico</x:v>
      </x:c>
      <x:c r="G30" s="4" t="str">
        <x:v>COMPLEMENTO_AMENAZAS_IA</x:v>
      </x:c>
      <x:c r="H30" s="4" t="str">
        <x:v>ADMITIDA_DOCUMENTAL</x:v>
      </x:c>
      <x:c r="I30" s="4" t="str">
        <x:v>Distingue objetivos, conocimiento y capacidades adversarias; envenenamiento, evasión y privacidad en distintas clases de IA.</x:v>
      </x:c>
      <x:c r="J30" s="4" t="str">
        <x:v>Taxonomía y mitigaciones, no causalidad ni gravedad automática por nombre de ataque.</x:v>
      </x:c>
      <x:c r="K30" s="4" t="str">
        <x:v>F026</x:v>
      </x:c>
      <x:c r="L30" s="4" t="str">
        <x:v>https://nvlpubs.nist.gov/nistpubs/ai/NIST.AI.100-2e2025.pdf</x:v>
      </x:c>
      <x:c r="M30" s="4" t="str">
        <x:v>2026-09-08</x:v>
      </x:c>
      <x:c r="N30" s="4" t="str">
        <x:v>Watson / delimitación documental; adopción humana no registrada</x:v>
      </x:c>
      <x:c r="O30" s="12" t="n">
        <x:f>COUNTIF('01_Fuentes'!$A$5:$A$40,A30)-1</x:f>
        <x:v>0</x:v>
      </x:c>
      <x:c r="P30" s="12" t="n">
        <x:f>IF(COUNTIF('02_Custodia'!$A$5:$A$53,K30)=1,0,1)</x:f>
        <x:v>0</x:v>
      </x:c>
      <x:c r="Q30" s="12" t="n">
        <x:f>IF(OR(A30="",C30="",D30="",E30="",H30="",I30="",L30=""),1,0)</x:f>
        <x:v>0</x:v>
      </x:c>
    </x:row>
    <x:row r="31" ht="60" customHeight="1">
      <x:c r="A31" s="4" t="str">
        <x:v>F027</x:v>
      </x:c>
      <x:c r="B31" s="4" t="str">
        <x:v>Guía técnica comunitaria de IA</x:v>
      </x:c>
      <x:c r="C31" s="4" t="str">
        <x:v>OWASP AI Exchange</x:v>
      </x:c>
      <x:c r="D31" s="4" t="str">
        <x:v>AI Security Overview</x:v>
      </x:c>
      <x:c r="E31" s="4" t="str">
        <x:v>Instantánea 08-09-2026; sección 0</x:v>
      </x:c>
      <x:c r="F31" s="4" t="str">
        <x:v>Internacional</x:v>
      </x:c>
      <x:c r="G31" s="4" t="str">
        <x:v>CONTRASTE_IA_GENERAL</x:v>
      </x:c>
      <x:c r="H31" s="4" t="str">
        <x:v>ADMITIDA_DOCUMENTAL</x:v>
      </x:c>
      <x:c r="I31" s="4" t="str">
        <x:v>Visión de amenazas y controles para distintas clases de IA; evita reducir el perímetro a LLM.</x:v>
      </x:c>
      <x:c r="J31" s="4" t="str">
        <x:v>Sección de visión general capturada; no se declara copia completa del sitio ni de sus estándares relacionados.</x:v>
      </x:c>
      <x:c r="K31" s="4" t="str">
        <x:v>F027</x:v>
      </x:c>
      <x:c r="L31" s="4" t="str">
        <x:v>https://owaspai.org/docs/ai_security_overview/</x:v>
      </x:c>
      <x:c r="M31" s="4" t="str">
        <x:v>2026-09-08</x:v>
      </x:c>
      <x:c r="N31" s="4" t="str">
        <x:v>Watson / delimitación documental; adopción humana no registrada</x:v>
      </x:c>
      <x:c r="O31" s="12" t="n">
        <x:f>COUNTIF('01_Fuentes'!$A$5:$A$40,A31)-1</x:f>
        <x:v>0</x:v>
      </x:c>
      <x:c r="P31" s="12" t="n">
        <x:f>IF(COUNTIF('02_Custodia'!$A$5:$A$53,K31)=1,0,1)</x:f>
        <x:v>0</x:v>
      </x:c>
      <x:c r="Q31" s="12" t="n">
        <x:f>IF(OR(A31="",C31="",D31="",E31="",H31="",I31="",L31=""),1,0)</x:f>
        <x:v>0</x:v>
      </x:c>
    </x:row>
    <x:row r="32" ht="60" customHeight="1">
      <x:c r="A32" s="4" t="str">
        <x:v>F028</x:v>
      </x:c>
      <x:c r="B32" s="4" t="str">
        <x:v>Borrador de perfil de IA</x:v>
      </x:c>
      <x:c r="C32" s="4" t="str">
        <x:v>NIST</x:v>
      </x:c>
      <x:c r="D32" s="4" t="str">
        <x:v>IR 8596, Cybersecurity Framework Profile for Artificial Intelligence (Cyber AI Profile)</x:v>
      </x:c>
      <x:c r="E32" s="4" t="str">
        <x:v>Initial Preliminary Draft; 16-12-2025</x:v>
      </x:c>
      <x:c r="F32" s="4" t="str">
        <x:v>EE. UU.; propuesta en desarrollo</x:v>
      </x:c>
      <x:c r="G32" s="4" t="str">
        <x:v>PREGUNTAS_DE_COBERTURA</x:v>
      </x:c>
      <x:c r="H32" s="4" t="str">
        <x:v>BORRADOR_NO_NORMATIVO</x:v>
      </x:c>
      <x:c r="I32" s="4" t="str">
        <x:v>Distingue proteger IA, emplear IA en defensa y afrontar amenazas facilitadas por IA.</x:v>
      </x:c>
      <x:c r="J32" s="4" t="str">
        <x:v>Conserva estatuto de borrador. No se adopta como norma final ni como único apoyo de una capacidad.</x:v>
      </x:c>
      <x:c r="K32" s="4" t="str">
        <x:v>F028</x:v>
      </x:c>
      <x:c r="L32" s="4" t="str">
        <x:v>https://nvlpubs.nist.gov/nistpubs/ir/2025/NIST.IR.8596.iprd.pdf</x:v>
      </x:c>
      <x:c r="M32" s="4" t="str">
        <x:v>2026-09-08</x:v>
      </x:c>
      <x:c r="N32" s="4" t="str">
        <x:v>Watson / delimitación documental; adopción humana no registrada</x:v>
      </x:c>
      <x:c r="O32" s="12" t="n">
        <x:f>COUNTIF('01_Fuentes'!$A$5:$A$40,A32)-1</x:f>
        <x:v>0</x:v>
      </x:c>
      <x:c r="P32" s="12" t="n">
        <x:f>IF(COUNTIF('02_Custodia'!$A$5:$A$53,K32)=1,0,1)</x:f>
        <x:v>0</x:v>
      </x:c>
      <x:c r="Q32" s="12" t="n">
        <x:f>IF(OR(A32="",C32="",D32="",E32="",H32="",I32="",L32=""),1,0)</x:f>
        <x:v>0</x:v>
      </x:c>
    </x:row>
    <x:row r="33" ht="60" customHeight="1">
      <x:c r="A33" s="4" t="str">
        <x:v>F029</x:v>
      </x:c>
      <x:c r="B33" s="4" t="str">
        <x:v>Guía comunitaria de amenazas de IA</x:v>
      </x:c>
      <x:c r="C33" s="4" t="str">
        <x:v>OWASP GenAI Security Project</x:v>
      </x:c>
      <x:c r="D33" s="4" t="str">
        <x:v>OWASP GenAI LLM Top 10 2026</x:v>
      </x:c>
      <x:c r="E33" s="4" t="str">
        <x:v>Edición 2026; PDF publicado en agosto; repositorio 9253e38ade58e959b531c0c5c9a4842272c9cd0e</x:v>
      </x:c>
      <x:c r="F33" s="4" t="str">
        <x:v>Internacional</x:v>
      </x:c>
      <x:c r="G33" s="4" t="str">
        <x:v>REFINAMIENTO_IA_GENERATIVA</x:v>
      </x:c>
      <x:c r="H33" s="4" t="str">
        <x:v>ADMITIDA_DOCUMENTAL</x:v>
      </x:c>
      <x:c r="I33" s="4" t="str">
        <x:v>Actualiza riesgos de aplicaciones LLM, incluyendo agencia, contexto oculto y manejo de salidas.</x:v>
      </x:c>
      <x:c r="J33" s="4" t="str">
        <x:v>La antigua página /llm-top-10/ aún muestra 2025. Se conserva como antecedente; no se mezclan identificadores entre ediciones.</x:v>
      </x:c>
      <x:c r="K33" s="4" t="str">
        <x:v>A013</x:v>
      </x:c>
      <x:c r="L33" s="4" t="str">
        <x:v>https://genai.owasp.org/download/56857/?tmstv=1785822482</x:v>
      </x:c>
      <x:c r="M33" s="4" t="str">
        <x:v>2026-09-08</x:v>
      </x:c>
      <x:c r="N33" s="4" t="str">
        <x:v>Watson / delimitación documental; adopción humana no registrada</x:v>
      </x:c>
      <x:c r="O33" s="12" t="n">
        <x:f>COUNTIF('01_Fuentes'!$A$5:$A$40,A33)-1</x:f>
        <x:v>0</x:v>
      </x:c>
      <x:c r="P33" s="12" t="n">
        <x:f>IF(COUNTIF('02_Custodia'!$A$5:$A$53,K33)=1,0,1)</x:f>
        <x:v>0</x:v>
      </x:c>
      <x:c r="Q33" s="12" t="n">
        <x:f>IF(OR(A33="",C33="",D33="",E33="",H33="",I33="",L33=""),1,0)</x:f>
        <x:v>0</x:v>
      </x:c>
    </x:row>
    <x:row r="34" ht="60" customHeight="1">
      <x:c r="A34" s="4" t="str">
        <x:v>F030</x:v>
      </x:c>
      <x:c r="B34" s="4" t="str">
        <x:v>Disposición jurídica</x:v>
      </x:c>
      <x:c r="C34" s="4" t="str">
        <x:v>España / BOE</x:v>
      </x:c>
      <x:c r="D34" s="4" t="str">
        <x:v>Real Decreto 311/2022, Esquema Nacional de Seguridad</x:v>
      </x:c>
      <x:c r="E34" s="4" t="str">
        <x:v>Texto consolidado capturado; RD 03-05-2022</x:v>
      </x:c>
      <x:c r="F34" s="4" t="str">
        <x:v>España; supuestos del artículo 2 y contratos pertinentes</x:v>
      </x:c>
      <x:c r="G34" s="4" t="str">
        <x:v>FRONTERA_JURIDICA</x:v>
      </x:c>
      <x:c r="H34" s="4" t="str">
        <x:v>ADMITIDA_CONDICIONAL</x:v>
      </x:c>
      <x:c r="I34" s="4" t="str">
        <x:v>Determina ámbito y responsabilidades del ENS, no una ley mundial de ciberseguridad.</x:v>
      </x:c>
      <x:c r="J34" s="4" t="str">
        <x:v>Consolidación informativa; obligación concreta requiere entidad, actividad, versión temporal y texto oficial aplicable.</x:v>
      </x:c>
      <x:c r="K34" s="4" t="str">
        <x:v>F030</x:v>
      </x:c>
      <x:c r="L34" s="4" t="str">
        <x:v>https://www.boe.es/eli/es/rd/2022/05/03/311/con</x:v>
      </x:c>
      <x:c r="M34" s="4" t="str">
        <x:v>2026-09-08</x:v>
      </x:c>
      <x:c r="N34" s="4" t="str">
        <x:v>Watson / delimitación documental; adopción humana no registrada</x:v>
      </x:c>
      <x:c r="O34" s="12" t="n">
        <x:f>COUNTIF('01_Fuentes'!$A$5:$A$40,A34)-1</x:f>
        <x:v>0</x:v>
      </x:c>
      <x:c r="P34" s="12" t="n">
        <x:f>IF(COUNTIF('02_Custodia'!$A$5:$A$53,K34)=1,0,1)</x:f>
        <x:v>0</x:v>
      </x:c>
      <x:c r="Q34" s="12" t="n">
        <x:f>IF(OR(A34="",C34="",D34="",E34="",H34="",I34="",L34=""),1,0)</x:f>
        <x:v>0</x:v>
      </x:c>
    </x:row>
    <x:row r="35" ht="60" customHeight="1">
      <x:c r="A35" s="4" t="str">
        <x:v>F031</x:v>
      </x:c>
      <x:c r="B35" s="4" t="str">
        <x:v>Disposición jurídica</x:v>
      </x:c>
      <x:c r="C35" s="4" t="str">
        <x:v>Unión Europea</x:v>
      </x:c>
      <x:c r="D35" s="4" t="str">
        <x:v>Directiva (UE) 2022/2555 (NIS2)</x:v>
      </x:c>
      <x:c r="E35" s="4" t="str">
        <x:v>Texto original DOUE capturado; 14-12-2022</x:v>
      </x:c>
      <x:c r="F35" s="4" t="str">
        <x:v>UE; destinatarios y transposición nacional</x:v>
      </x:c>
      <x:c r="G35" s="4" t="str">
        <x:v>FRONTERA_JURIDICA</x:v>
      </x:c>
      <x:c r="H35" s="4" t="str">
        <x:v>ADMITIDA_CONDICIONAL</x:v>
      </x:c>
      <x:c r="I35" s="4" t="str">
        <x:v>Ámbito, gobierno y medidas de gestión de riesgo; responsabilidad institucional.</x:v>
      </x:c>
      <x:c r="J35" s="4" t="str">
        <x:v>No se presume transposición española ni equivalencia entre directiva y obligación nacional ejecutable.</x:v>
      </x:c>
      <x:c r="K35" s="4" t="str">
        <x:v>F031</x:v>
      </x:c>
      <x:c r="L35" s="4" t="str">
        <x:v>https://eur-lex.europa.eu/eli/dir/2022/2555/oj/eng</x:v>
      </x:c>
      <x:c r="M35" s="4" t="str">
        <x:v>2026-09-08</x:v>
      </x:c>
      <x:c r="N35" s="4" t="str">
        <x:v>Watson / delimitación documental; adopción humana no registrada</x:v>
      </x:c>
      <x:c r="O35" s="12" t="n">
        <x:f>COUNTIF('01_Fuentes'!$A$5:$A$40,A35)-1</x:f>
        <x:v>0</x:v>
      </x:c>
      <x:c r="P35" s="12" t="n">
        <x:f>IF(COUNTIF('02_Custodia'!$A$5:$A$53,K35)=1,0,1)</x:f>
        <x:v>0</x:v>
      </x:c>
      <x:c r="Q35" s="12" t="n">
        <x:f>IF(OR(A35="",C35="",D35="",E35="",H35="",I35="",L35=""),1,0)</x:f>
        <x:v>0</x:v>
      </x:c>
    </x:row>
    <x:row r="36" ht="60" customHeight="1">
      <x:c r="A36" s="4" t="str">
        <x:v>F032</x:v>
      </x:c>
      <x:c r="B36" s="4" t="str">
        <x:v>Disposición jurídica</x:v>
      </x:c>
      <x:c r="C36" s="4" t="str">
        <x:v>Unión Europea</x:v>
      </x:c>
      <x:c r="D36" s="4" t="str">
        <x:v>Reglamento (UE) 2024/2847 (Cyber Resilience Act)</x:v>
      </x:c>
      <x:c r="E36" s="4" t="str">
        <x:v>Texto original DOUE capturado; 23-10-2024</x:v>
      </x:c>
      <x:c r="F36" s="4" t="str">
        <x:v>UE; productos con elementos digitales y operadores definidos</x:v>
      </x:c>
      <x:c r="G36" s="4" t="str">
        <x:v>FRONTERA_JURIDICA</x:v>
      </x:c>
      <x:c r="H36" s="4" t="str">
        <x:v>ADMITIDA_CONDICIONAL</x:v>
      </x:c>
      <x:c r="I36" s="4" t="str">
        <x:v>Seguridad de producto y tratamiento de vulnerabilidades; delimita papel del operador.</x:v>
      </x:c>
      <x:c r="J36" s="4" t="str">
        <x:v>Calendario, modificaciones y excepciones deben resolverse por operación; no se aplica íntegramente por estar publicado.</x:v>
      </x:c>
      <x:c r="K36" s="4" t="str">
        <x:v>F032</x:v>
      </x:c>
      <x:c r="L36" s="4" t="str">
        <x:v>https://eur-lex.europa.eu/eli/reg/2024/2847/oj/eng</x:v>
      </x:c>
      <x:c r="M36" s="4" t="str">
        <x:v>2026-09-08</x:v>
      </x:c>
      <x:c r="N36" s="4" t="str">
        <x:v>Watson / delimitación documental; adopción humana no registrada</x:v>
      </x:c>
      <x:c r="O36" s="12" t="n">
        <x:f>COUNTIF('01_Fuentes'!$A$5:$A$40,A36)-1</x:f>
        <x:v>0</x:v>
      </x:c>
      <x:c r="P36" s="12" t="n">
        <x:f>IF(COUNTIF('02_Custodia'!$A$5:$A$53,K36)=1,0,1)</x:f>
        <x:v>0</x:v>
      </x:c>
      <x:c r="Q36" s="12" t="n">
        <x:f>IF(OR(A36="",C36="",D36="",E36="",H36="",I36="",L36=""),1,0)</x:f>
        <x:v>0</x:v>
      </x:c>
    </x:row>
    <x:row r="37" ht="60" customHeight="1">
      <x:c r="A37" s="4" t="str">
        <x:v>F033</x:v>
      </x:c>
      <x:c r="B37" s="4" t="str">
        <x:v>Disposición jurídica</x:v>
      </x:c>
      <x:c r="C37" s="4" t="str">
        <x:v>Unión Europea</x:v>
      </x:c>
      <x:c r="D37" s="4" t="str">
        <x:v>Reglamento (UE) 2024/1689 (Artificial Intelligence Act)</x:v>
      </x:c>
      <x:c r="E37" s="4" t="str">
        <x:v>Texto original DOUE capturado; 13-06-2024</x:v>
      </x:c>
      <x:c r="F37" s="4" t="str">
        <x:v>UE; sistemas/modelos, riesgos y operadores definidos</x:v>
      </x:c>
      <x:c r="G37" s="4" t="str">
        <x:v>FRONTERA_JURIDICA_IA</x:v>
      </x:c>
      <x:c r="H37" s="4" t="str">
        <x:v>ADMITIDA_CONDICIONAL</x:v>
      </x:c>
      <x:c r="I37" s="4" t="str">
        <x:v>Clasificación y responsabilidades específicas; no equipara todo sistema IA a alto riesgo.</x:v>
      </x:c>
      <x:c r="J37" s="4" t="str">
        <x:v>No se emite juicio jurídico ni calendario de cumplimiento; comprobar modificaciones y aplicación por caso.</x:v>
      </x:c>
      <x:c r="K37" s="4" t="str">
        <x:v>F033</x:v>
      </x:c>
      <x:c r="L37" s="4" t="str">
        <x:v>https://eur-lex.europa.eu/eli/reg/2024/1689/oj/eng</x:v>
      </x:c>
      <x:c r="M37" s="4" t="str">
        <x:v>2026-09-08</x:v>
      </x:c>
      <x:c r="N37" s="4" t="str">
        <x:v>Watson / delimitación documental; adopción humana no registrada</x:v>
      </x:c>
      <x:c r="O37" s="12" t="n">
        <x:f>COUNTIF('01_Fuentes'!$A$5:$A$40,A37)-1</x:f>
        <x:v>0</x:v>
      </x:c>
      <x:c r="P37" s="12" t="n">
        <x:f>IF(COUNTIF('02_Custodia'!$A$5:$A$53,K37)=1,0,1)</x:f>
        <x:v>0</x:v>
      </x:c>
      <x:c r="Q37" s="12" t="n">
        <x:f>IF(OR(A37="",C37="",D37="",E37="",H37="",I37="",L37=""),1,0)</x:f>
        <x:v>0</x:v>
      </x:c>
    </x:row>
    <x:row r="38" ht="60" customHeight="1">
      <x:c r="A38" s="4" t="str">
        <x:v>F034</x:v>
      </x:c>
      <x:c r="B38" s="4" t="str">
        <x:v>Disposición jurídica</x:v>
      </x:c>
      <x:c r="C38" s="4" t="str">
        <x:v>Unión Europea</x:v>
      </x:c>
      <x:c r="D38" s="4" t="str">
        <x:v>Reglamento (UE) 2016/679 (General Data Protection Regulation)</x:v>
      </x:c>
      <x:c r="E38" s="4" t="str">
        <x:v>Texto original DOUE capturado; 27-04-2016</x:v>
      </x:c>
      <x:c r="F38" s="4" t="str">
        <x:v>UE; ámbitos material y territorial y papeles de tratamiento</x:v>
      </x:c>
      <x:c r="G38" s="4" t="str">
        <x:v>FRONTERA_PRIVACIDAD</x:v>
      </x:c>
      <x:c r="H38" s="4" t="str">
        <x:v>ADMITIDA_CONDICIONAL</x:v>
      </x:c>
      <x:c r="I38" s="4" t="str">
        <x:v>Principios y seguridad del tratamiento de datos personales; incidentes y evidencia pueden contenerlos.</x:v>
      </x:c>
      <x:c r="J38" s="4" t="str">
        <x:v>No se presume base jurídica, consentimiento ni autorización para reutilizar telemetría personal.</x:v>
      </x:c>
      <x:c r="K38" s="4" t="str">
        <x:v>F034</x:v>
      </x:c>
      <x:c r="L38" s="4" t="str">
        <x:v>https://eur-lex.europa.eu/eli/reg/2016/679/oj/eng</x:v>
      </x:c>
      <x:c r="M38" s="4" t="str">
        <x:v>2026-09-08</x:v>
      </x:c>
      <x:c r="N38" s="4" t="str">
        <x:v>Watson / delimitación documental; adopción humana no registrada</x:v>
      </x:c>
      <x:c r="O38" s="12" t="n">
        <x:f>COUNTIF('01_Fuentes'!$A$5:$A$40,A38)-1</x:f>
        <x:v>0</x:v>
      </x:c>
      <x:c r="P38" s="12" t="n">
        <x:f>IF(COUNTIF('02_Custodia'!$A$5:$A$53,K38)=1,0,1)</x:f>
        <x:v>0</x:v>
      </x:c>
      <x:c r="Q38" s="12" t="n">
        <x:f>IF(OR(A38="",C38="",D38="",E38="",H38="",I38="",L38=""),1,0)</x:f>
        <x:v>0</x:v>
      </x:c>
    </x:row>
    <x:row r="39" ht="60" customHeight="1">
      <x:c r="A39" s="4" t="str">
        <x:v>F035</x:v>
      </x:c>
      <x:c r="B39" s="4" t="str">
        <x:v>Marco profesional nacional</x:v>
      </x:c>
      <x:c r="C39" s="4" t="str">
        <x:v>IMDA / SkillsFuture Singapore</x:v>
      </x:c>
      <x:c r="D39" s="4" t="str">
        <x:v>Skills Framework for Infocomm Technology</x:v>
      </x:c>
      <x:c r="E39" s="4" t="str">
        <x:v>PDF institucional sin edición formal fijada; página actualizada 23-07-2026</x:v>
      </x:c>
      <x:c r="F39" s="4" t="str">
        <x:v>Singapur</x:v>
      </x:c>
      <x:c r="G39" s="4" t="str">
        <x:v>CONTRASTE_INTERNACIONAL_ACOTADO</x:v>
      </x:c>
      <x:c r="H39" s="4" t="str">
        <x:v>ADMITIDA_DOCUMENTAL</x:v>
      </x:c>
      <x:c r="I39" s="4" t="str">
        <x:v>Contrasta especialidades de ciberseguridad y progresión profesional en Asia.</x:v>
      </x:c>
      <x:c r="J39" s="4" t="str">
        <x:v>Sólo tramo de ciberseguridad; no importa todo ICT, niveles como números SV ni Cyber Security Act de Singapur a España.</x:v>
      </x:c>
      <x:c r="K39" s="4" t="str">
        <x:v>A007</x:v>
      </x:c>
      <x:c r="L39" s="4" t="str">
        <x:v>https://www.imda.gov.sg/assets/61b11126-441b-48fb-baed-5cebb6279305.pdf</x:v>
      </x:c>
      <x:c r="M39" s="4" t="str">
        <x:v>2026-09-08</x:v>
      </x:c>
      <x:c r="N39" s="4" t="str">
        <x:v>Watson / delimitación documental; adopción humana no registrada</x:v>
      </x:c>
      <x:c r="O39" s="12" t="n">
        <x:f>COUNTIF('01_Fuentes'!$A$5:$A$40,A39)-1</x:f>
        <x:v>0</x:v>
      </x:c>
      <x:c r="P39" s="12" t="n">
        <x:f>IF(COUNTIF('02_Custodia'!$A$5:$A$53,K39)=1,0,1)</x:f>
        <x:v>0</x:v>
      </x:c>
      <x:c r="Q39" s="12" t="n">
        <x:f>IF(OR(A39="",C39="",D39="",E39="",H39="",I39="",L39=""),1,0)</x:f>
        <x:v>0</x:v>
      </x:c>
    </x:row>
    <x:row r="40" ht="60" customHeight="1">
      <x:c r="A40" s="4" t="str">
        <x:v>F036</x:v>
      </x:c>
      <x:c r="B40" s="4" t="str">
        <x:v>Evaluación estratégica de amenazas</x:v>
      </x:c>
      <x:c r="C40" s="4" t="str">
        <x:v>UK National Cyber Security Centre</x:v>
      </x:c>
      <x:c r="D40" s="4" t="str">
        <x:v>Impact of AI on cyber threat from now to 2027</x:v>
      </x:c>
      <x:c r="E40" s="4" t="str">
        <x:v>Evaluación publicada 07-05-2025</x:v>
      </x:c>
      <x:c r="F40" s="4" t="str">
        <x:v>Reino Unido; evaluación estratégica prospectiva</x:v>
      </x:c>
      <x:c r="G40" s="4" t="str">
        <x:v>COMPLEMENTO_AMENAZAS_FACILITADAS_IA</x:v>
      </x:c>
      <x:c r="H40" s="4" t="str">
        <x:v>ADMITIDA_DOCUMENTAL</x:v>
      </x:c>
      <x:c r="I40" s="4" t="str">
        <x:v>Aporta juicio institucional sobre uso adversario de IA y su posible evolución; complementa la taxonomía técnica.</x:v>
      </x:c>
      <x:c r="J40" s="4" t="str">
        <x:v>Lenguaje probabilístico y horizonte propios; no se presenta como observación individual ni prueba de causalidad.</x:v>
      </x:c>
      <x:c r="K40" s="4" t="str">
        <x:v>F036</x:v>
      </x:c>
      <x:c r="L40" s="4" t="str">
        <x:v>https://www.ncsc.gov.uk/report/impact-ai-cyber-threat-now-2027</x:v>
      </x:c>
      <x:c r="M40" s="4" t="str">
        <x:v>2026-09-08</x:v>
      </x:c>
      <x:c r="N40" s="4" t="str">
        <x:v>Watson / delimitación documental; adopción humana no registrada</x:v>
      </x:c>
      <x:c r="O40" s="12" t="n">
        <x:f>COUNTIF('01_Fuentes'!$A$5:$A$40,A40)-1</x:f>
        <x:v>0</x:v>
      </x:c>
      <x:c r="P40" s="12" t="n">
        <x:f>IF(COUNTIF('02_Custodia'!$A$5:$A$53,K40)=1,0,1)</x:f>
        <x:v>0</x:v>
      </x:c>
      <x:c r="Q40" s="12" t="n">
        <x:f>IF(OR(A40="",C40="",D40="",E40="",H40="",I40="",L40=""),1,0)</x:f>
        <x:v>0</x:v>
      </x:c>
    </x:row>
  </x:sheetData>
  <x:mergeCells>
    <x:mergeCell ref="A1:D1"/>
    <x:mergeCell ref="A2:F2"/>
  </x:mergeCells>
  <x:pageMargins left="0.7" right="0.7" top="0.75" bottom="0.75" header="0.3" footer="0.3"/>
  <x:tableParts count="1">
    <x:tablePart xmlns:r="http://schemas.openxmlformats.org/officeDocument/2006/relationships" r:id="Rf23489c34ac24fc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67" hidden="0" customWidth="1"/>
    <x:col min="3" max="3" width="67" hidden="0" customWidth="1"/>
    <x:col min="4" max="4" width="44" hidden="0" customWidth="1"/>
    <x:col min="5" max="5" width="31" hidden="0" customWidth="1"/>
    <x:col min="6" max="6" width="34" hidden="0" customWidth="1"/>
    <x:col min="7" max="7" width="22" hidden="0" customWidth="1"/>
    <x:col min="8" max="8" width="67" hidden="0" customWidth="1"/>
    <x:col min="9" max="9" width="61" hidden="0" customWidth="1"/>
    <x:col min="10" max="10" width="60" hidden="0" customWidth="1"/>
    <x:col min="11" max="11" width="16" hidden="0" customWidth="1"/>
    <x:col min="12" max="12" width="12" hidden="0" customWidth="1"/>
  </x:cols>
  <x:sheetData>
    <x:row r="1" ht="35" customHeight="1">
      <x:c r="A1" s="6" t="str">
        <x:v>CUSTODIA · adquisiciones y acceso</x:v>
      </x:c>
      <x:c r="B1" s="6"/>
      <x:c r="C1" s="6"/>
      <x:c r="D1" s="6"/>
      <x:c r="E1" s="6"/>
      <x:c r="F1" s="6"/>
      <x:c r="G1" s="6"/>
      <x:c r="H1" s="6"/>
      <x:c r="I1" s="6"/>
      <x:c r="J1" s="6"/>
      <x:c r="K1" s="6"/>
      <x:c r="L1" s="6"/>
    </x:row>
    <x:row r="2" ht="52" customHeight="1">
      <x:c r="A2" s="8" t="str">
        <x:v>49 registros: originales, auxiliares, representación web parcial y fallos. El inventario de capturas no equivale al de fuentes.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 captura</x:v>
      </x:c>
      <x:c r="B4" s="10" t="str">
        <x:v>URL solicitada</x:v>
      </x:c>
      <x:c r="C4" s="10" t="str">
        <x:v>URL efectiva</x:v>
      </x:c>
      <x:c r="D4" s="10" t="str">
        <x:v>Captura UTC</x:v>
      </x:c>
      <x:c r="E4" s="10" t="str">
        <x:v>Tipo de bytes</x:v>
      </x:c>
      <x:c r="F4" s="10" t="str">
        <x:v>Estado de adquisición</x:v>
      </x:c>
      <x:c r="G4" s="10" t="str">
        <x:v>Tamaño bytes (texto)</x:v>
      </x:c>
      <x:c r="H4" s="10" t="str">
        <x:v>SHA-256</x:v>
      </x:c>
      <x:c r="I4" s="10" t="str">
        <x:v>Alcance disponible</x:v>
      </x:c>
      <x:c r="J4" s="10" t="str">
        <x:v>Licencia / uso</x:v>
      </x:c>
      <x:c r="K4" s="10" t="str">
        <x:v>Huella defectuosa</x:v>
      </x:c>
      <x:c r="L4" s="10" t="str">
        <x:v>Duplicado</x:v>
      </x:c>
    </x:row>
    <x:row r="5" ht="47" customHeight="1">
      <x:c r="A5" s="4" t="str">
        <x:v>F001</x:v>
      </x:c>
      <x:c r="B5" s="4" t="str">
        <x:v>https://csrc.nist.gov/csrc/media/Projects/cprt/documents/nice/v2-2-0_nf_components.json</x:v>
      </x:c>
      <x:c r="C5" s="4" t="str">
        <x:v>https://csrc.nist.gov/csrc/media/Projects/cprt/documents/nice/v2-2-0_nf_components.json</x:v>
      </x:c>
      <x:c r="D5" s="4" t="str">
        <x:v>UTC · 2026-09-08T15:44:39.826980+00:00</x:v>
      </x:c>
      <x:c r="E5" s="4" t="str">
        <x:v>JSON_ORIGINAL</x:v>
      </x:c>
      <x:c r="F5" s="4" t="str">
        <x:v>CAPTURADA</x:v>
      </x:c>
      <x:c r="G5" s="4" t="str">
        <x:v>2674252</x:v>
      </x:c>
      <x:c r="H5" s="4" t="str">
        <x:v>3ad1d9d7e0d6b32895cb569f86c3bc05af2937a68e96eab4d1c9b3d9fa6e575e</x:v>
      </x:c>
      <x:c r="I5" s="4" t="str">
        <x:v>JSON íntegro preservado en NICE_2.2.0.json.gz; descompresión recupera bytes originales.</x:v>
      </x:c>
      <x:c r="J5" s="4" t="str">
        <x:v>NIST, publicación del Gobierno de EE. UU.; atribución conservada.</x:v>
      </x:c>
      <x:c r="K5" s="12" t="n">
        <x:f>IF(OR(F5="CAPTURADA",F5="REPRESENTACION_WEB_PARCIAL"),IF(LEN(H5)=64,0,1),0)</x:f>
        <x:v>0</x:v>
      </x:c>
      <x:c r="L5" s="12" t="n">
        <x:f>COUNTIF('02_Custodia'!$A$5:$A$53,A5)-1</x:f>
        <x:v>0</x:v>
      </x:c>
    </x:row>
    <x:row r="6" ht="47" customHeight="1">
      <x:c r="A6" s="4" t="str">
        <x:v>F002</x:v>
      </x:c>
      <x:c r="B6" s="4" t="str">
        <x:v>https://csrc.nist.gov/pubs/sp/800/181/r1/final</x:v>
      </x:c>
      <x:c r="C6" s="4" t="str">
        <x:v>https://csrc.nist.gov/pubs/sp/800/181/r1/final</x:v>
      </x:c>
      <x:c r="D6" s="4" t="str">
        <x:v>UTC · 2026-09-08T15:44:28.959225+00:00</x:v>
      </x:c>
      <x:c r="E6" s="4" t="str">
        <x:v>HTML_ORIGINAL</x:v>
      </x:c>
      <x:c r="F6" s="4" t="str">
        <x:v>CAPTURADA</x:v>
      </x:c>
      <x:c r="G6" s="4" t="str">
        <x:v>48808</x:v>
      </x:c>
      <x:c r="H6" s="4" t="str">
        <x:v>71ee69f230378abf96e479990dc5f7b0d5b5fc8f310b8a7a3e3ecc06cd1c01af</x:v>
      </x:c>
      <x:c r="I6" s="4" t="str">
        <x:v>Captura original íntegra; fragmentos de uso preservados; no adopción íntegra del documento.</x:v>
      </x:c>
      <x:c r="J6" s="4" t="str">
        <x:v>Consulta pública; se publican metadatos y fragmentos breves, no texto completo licenciado.</x:v>
      </x:c>
      <x:c r="K6" s="12" t="n">
        <x:f>IF(OR(F6="CAPTURADA",F6="REPRESENTACION_WEB_PARCIAL"),IF(LEN(H6)=64,0,1),0)</x:f>
        <x:v>0</x:v>
      </x:c>
      <x:c r="L6" s="12" t="n">
        <x:f>COUNTIF('02_Custodia'!$A$5:$A$53,A6)-1</x:f>
        <x:v>0</x:v>
      </x:c>
    </x:row>
    <x:row r="7" ht="47" customHeight="1">
      <x:c r="A7" s="4" t="str">
        <x:v>F003</x:v>
      </x:c>
      <x:c r="B7" s="4" t="str">
        <x:v>https://cybered.hosting.acm.org/wp-content/uploads/2018/02/newcover_csec2017.pdf</x:v>
      </x:c>
      <x:c r="C7" s="4" t="str">
        <x:v>https://cybered.hosting.acm.org/wp-content/uploads/2018/02/newcover_csec2017.pdf</x:v>
      </x:c>
      <x:c r="D7" s="4" t="str">
        <x:v>UTC · 2026-09-08T15:44:31.552586+00:00</x:v>
      </x:c>
      <x:c r="E7" s="4" t="str">
        <x:v>PDF_ORIGINAL</x:v>
      </x:c>
      <x:c r="F7" s="4" t="str">
        <x:v>CAPTURADA</x:v>
      </x:c>
      <x:c r="G7" s="4" t="str">
        <x:v>2623686</x:v>
      </x:c>
      <x:c r="H7" s="4" t="str">
        <x:v>2d668b321e142bdfc28dd93c42984f85d49b71917f8daf9a910d5e82e20806e0</x:v>
      </x:c>
      <x:c r="I7" s="4" t="str">
        <x:v>Captura original íntegra; fragmentos de uso preservados; no adopción íntegra del documento.</x:v>
      </x:c>
      <x:c r="J7" s="4" t="str">
        <x:v>Consulta pública; se publican metadatos y fragmentos breves, no texto completo licenciado.</x:v>
      </x:c>
      <x:c r="K7" s="12" t="n">
        <x:f>IF(OR(F7="CAPTURADA",F7="REPRESENTACION_WEB_PARCIAL"),IF(LEN(H7)=64,0,1),0)</x:f>
        <x:v>0</x:v>
      </x:c>
      <x:c r="L7" s="12" t="n">
        <x:f>COUNTIF('02_Custodia'!$A$5:$A$53,A7)-1</x:f>
        <x:v>0</x:v>
      </x:c>
    </x:row>
    <x:row r="8" ht="47" customHeight="1">
      <x:c r="A8" s="4" t="str">
        <x:v>F004</x:v>
      </x:c>
      <x:c r="B8" s="4" t="str">
        <x:v>https://www.cybok.org/wp-content/uploads/CyBOK_v1.1.0.pdf</x:v>
      </x:c>
      <x:c r="C8" s="4" t="str">
        <x:v>https://www.cybok.org/wp-content/uploads/CyBOK_v1.1.0.pdf</x:v>
      </x:c>
      <x:c r="D8" s="4" t="str">
        <x:v>UTC · 2026-09-08T15:44:48.734917+00:00</x:v>
      </x:c>
      <x:c r="E8" s="4" t="str">
        <x:v>PDF_ORIGINAL</x:v>
      </x:c>
      <x:c r="F8" s="4" t="str">
        <x:v>CAPTURADA</x:v>
      </x:c>
      <x:c r="G8" s="4" t="str">
        <x:v>21703405</x:v>
      </x:c>
      <x:c r="H8" s="4" t="str">
        <x:v>27ad7d0758e2b143b81fceed5865b7d86507815aa173b61b9ba1a0c899e7403b</x:v>
      </x:c>
      <x:c r="I8" s="4" t="str">
        <x:v>Captura original íntegra; fragmentos de uso preservados; no adopción íntegra del documento.</x:v>
      </x:c>
      <x:c r="J8" s="4" t="str">
        <x:v>CyBOK v1.1.0, Crown Copyright NCSC 2021, Open Government Licence v3.0; atribución.</x:v>
      </x:c>
      <x:c r="K8" s="12" t="n">
        <x:f>IF(OR(F8="CAPTURADA",F8="REPRESENTACION_WEB_PARCIAL"),IF(LEN(H8)=64,0,1),0)</x:f>
        <x:v>0</x:v>
      </x:c>
      <x:c r="L8" s="12" t="n">
        <x:f>COUNTIF('02_Custodia'!$A$5:$A$53,A8)-1</x:f>
        <x:v>0</x:v>
      </x:c>
    </x:row>
    <x:row r="9" ht="47" customHeight="1">
      <x:c r="A9" s="4" t="str">
        <x:v>F005</x:v>
      </x:c>
      <x:c r="B9" s="4" t="str">
        <x:v>https://www.enisa.europa.eu/publications/european-cybersecurity-skills-framework-role-profiles</x:v>
      </x:c>
      <x:c r="C9" s="4" t="str">
        <x:v>https://www.enisa.europa.eu/publications/european-cybersecurity-skills-framework-role-profiles</x:v>
      </x:c>
      <x:c r="D9" s="4" t="str">
        <x:v>UTC · 2026-09-08T15:44:29.236012+00:00</x:v>
      </x:c>
      <x:c r="E9" s="4" t="str">
        <x:v>HTML_ORIGINAL</x:v>
      </x:c>
      <x:c r="F9" s="4" t="str">
        <x:v>CAPTURADA</x:v>
      </x:c>
      <x:c r="G9" s="4" t="str">
        <x:v>54784</x:v>
      </x:c>
      <x:c r="H9" s="4" t="str">
        <x:v>4e9e7246aa9f2c83868ec4dc709aeaa8578c2d56d823273103b1cfe214c53f06</x:v>
      </x:c>
      <x:c r="I9" s="4" t="str">
        <x:v>Captura original íntegra; fragmentos de uso preservados; no adopción íntegra del documento.</x:v>
      </x:c>
      <x:c r="J9" s="4" t="str">
        <x:v>Consulta pública; se publican metadatos y fragmentos breves, no texto completo licenciado.</x:v>
      </x:c>
      <x:c r="K9" s="12" t="n">
        <x:f>IF(OR(F9="CAPTURADA",F9="REPRESENTACION_WEB_PARCIAL"),IF(LEN(H9)=64,0,1),0)</x:f>
        <x:v>0</x:v>
      </x:c>
      <x:c r="L9" s="12" t="n">
        <x:f>COUNTIF('02_Custodia'!$A$5:$A$53,A9)-1</x:f>
        <x:v>0</x:v>
      </x:c>
    </x:row>
    <x:row r="10" ht="47" customHeight="1">
      <x:c r="A10" s="4" t="str">
        <x:v>F006</x:v>
      </x:c>
      <x:c r="B10" s="4" t="str">
        <x:v>https://www.upc.edu/en/masters/cybersecurity</x:v>
      </x:c>
      <x:c r="C10" s="4" t="str">
        <x:v>https://www.upc.edu/en/masters/cybersecurity</x:v>
      </x:c>
      <x:c r="D10" s="4" t="str">
        <x:v>UTC · 2026-09-08T15:44:30.189314+00:00</x:v>
      </x:c>
      <x:c r="E10" s="4" t="str">
        <x:v>HTML_ORIGINAL</x:v>
      </x:c>
      <x:c r="F10" s="4" t="str">
        <x:v>CAPTURADA</x:v>
      </x:c>
      <x:c r="G10" s="4" t="str">
        <x:v>105116</x:v>
      </x:c>
      <x:c r="H10" s="4" t="str">
        <x:v>1cb7af269f409b985b9a58b5c46402ba6288029367b25664fae08f00e921544b</x:v>
      </x:c>
      <x:c r="I10" s="4" t="str">
        <x:v>Captura original íntegra; fragmentos de uso preservados; no adopción íntegra del documento.</x:v>
      </x:c>
      <x:c r="J10" s="4" t="str">
        <x:v>Consulta pública; se publican metadatos y fragmentos breves, no texto completo licenciado.</x:v>
      </x:c>
      <x:c r="K10" s="12" t="n">
        <x:f>IF(OR(F10="CAPTURADA",F10="REPRESENTACION_WEB_PARCIAL"),IF(LEN(H10)=64,0,1),0)</x:f>
        <x:v>0</x:v>
      </x:c>
      <x:c r="L10" s="12" t="n">
        <x:f>COUNTIF('02_Custodia'!$A$5:$A$53,A10)-1</x:f>
        <x:v>0</x:v>
      </x:c>
    </x:row>
    <x:row r="11" ht="47" customHeight="1">
      <x:c r="A11" s="4" t="str">
        <x:v>F007</x:v>
      </x:c>
      <x:c r="B11" s="4" t="str">
        <x:v>https://www.heinz.cmu.edu/programs/information-security-policy-management-master/right-for-me</x:v>
      </x:c>
      <x:c r="C11" s="4" t="str">
        <x:v>https://www.heinz.cmu.edu/programs/information-security-policy-management-master/right-for-me</x:v>
      </x:c>
      <x:c r="D11" s="4" t="str">
        <x:v>UTC · 2026-09-08T15:44:30.839483+00:00</x:v>
      </x:c>
      <x:c r="E11" s="4" t="str">
        <x:v>HTML_ORIGINAL</x:v>
      </x:c>
      <x:c r="F11" s="4" t="str">
        <x:v>CAPTURADA</x:v>
      </x:c>
      <x:c r="G11" s="4" t="str">
        <x:v>89479</x:v>
      </x:c>
      <x:c r="H11" s="4" t="str">
        <x:v>c6937e81a072ba2cc993caae3336d0377117f9e1896cc04c7685eb829dd9920a</x:v>
      </x:c>
      <x:c r="I11" s="4" t="str">
        <x:v>Captura original íntegra; fragmentos de uso preservados; no adopción íntegra del documento.</x:v>
      </x:c>
      <x:c r="J11" s="4" t="str">
        <x:v>Consulta pública; se publican metadatos y fragmentos breves, no texto completo licenciado.</x:v>
      </x:c>
      <x:c r="K11" s="12" t="n">
        <x:f>IF(OR(F11="CAPTURADA",F11="REPRESENTACION_WEB_PARCIAL"),IF(LEN(H11)=64,0,1),0)</x:f>
        <x:v>0</x:v>
      </x:c>
      <x:c r="L11" s="12" t="n">
        <x:f>COUNTIF('02_Custodia'!$A$5:$A$53,A11)-1</x:f>
        <x:v>0</x:v>
      </x:c>
    </x:row>
    <x:row r="12" ht="47" customHeight="1">
      <x:c r="A12" s="4" t="str">
        <x:v>F008</x:v>
      </x:c>
      <x:c r="B12" s="4" t="str">
        <x:v>https://www.uc3m.es/master/ciberseguridad</x:v>
      </x:c>
      <x:c r="C12" s="4" t="str">
        <x:v>https://www.uc3m.es/master/ciberseguridad</x:v>
      </x:c>
      <x:c r="D12" s="4" t="str">
        <x:v>UTC · 2026-09-08; hora no conservada por el lector web</x:v>
      </x:c>
      <x:c r="E12" s="4" t="str">
        <x:v>REPRESENTACION_WEB_PARCIAL</x:v>
      </x:c>
      <x:c r="F12" s="4" t="str">
        <x:v>REPRESENTACION_WEB_PARCIAL</x:v>
      </x:c>
      <x:c r="G12" s="4" t="str">
        <x:v>14273</x:v>
      </x:c>
      <x:c r="H12" s="4" t="str">
        <x:v>8fe8d68715a8ebab9aa5665e97e2fbd9fde196cf4a005e04b1772acc57fe62b0</x:v>
      </x:c>
      <x:c r="I12" s="4" t="str">
        <x:v>Sólo representación parcial del lector web.</x:v>
      </x:c>
      <x:c r="J12" s="4" t="str">
        <x:v>Consulta pública; se publican metadatos y fragmentos breves, no texto completo licenciado.</x:v>
      </x:c>
      <x:c r="K12" s="12" t="n">
        <x:f>IF(OR(F12="CAPTURADA",F12="REPRESENTACION_WEB_PARCIAL"),IF(LEN(H12)=64,0,1),0)</x:f>
        <x:v>0</x:v>
      </x:c>
      <x:c r="L12" s="12" t="n">
        <x:f>COUNTIF('02_Custodia'!$A$5:$A$53,A12)-1</x:f>
        <x:v>0</x:v>
      </x:c>
    </x:row>
    <x:row r="13" ht="47" customHeight="1">
      <x:c r="A13" s="4" t="str">
        <x:v>F009</x:v>
      </x:c>
      <x:c r="B13" s="4" t="str">
        <x:v>https://www.isc2.org/certifications/cissp/cissp-certification-exam-outline</x:v>
      </x:c>
      <x:c r="C13" s="4" t="str">
        <x:v>https://www.isc2.org/certifications/cissp/cissp-certification-exam-outline</x:v>
      </x:c>
      <x:c r="D13" s="4" t="str">
        <x:v>UTC · 2026-09-08T15:44:40.827648+00:00</x:v>
      </x:c>
      <x:c r="E13" s="4" t="str">
        <x:v>HTML_ORIGINAL</x:v>
      </x:c>
      <x:c r="F13" s="4" t="str">
        <x:v>CAPTURADA</x:v>
      </x:c>
      <x:c r="G13" s="4" t="str">
        <x:v>240399</x:v>
      </x:c>
      <x:c r="H13" s="4" t="str">
        <x:v>78588e7c0fde49e6532323f627c669abcc8aa2d23e6112d3a76dbcd2e0cd490d</x:v>
      </x:c>
      <x:c r="I13" s="4" t="str">
        <x:v>Captura original íntegra; fragmentos de uso preservados; no adopción íntegra del documento.</x:v>
      </x:c>
      <x:c r="J13" s="4" t="str">
        <x:v>Consulta pública; se publican metadatos y fragmentos breves, no texto completo licenciado.</x:v>
      </x:c>
      <x:c r="K13" s="12" t="n">
        <x:f>IF(OR(F13="CAPTURADA",F13="REPRESENTACION_WEB_PARCIAL"),IF(LEN(H13)=64,0,1),0)</x:f>
        <x:v>0</x:v>
      </x:c>
      <x:c r="L13" s="12" t="n">
        <x:f>COUNTIF('02_Custodia'!$A$5:$A$53,A13)-1</x:f>
        <x:v>0</x:v>
      </x:c>
    </x:row>
    <x:row r="14" ht="47" customHeight="1">
      <x:c r="A14" s="4" t="str">
        <x:v>F010</x:v>
      </x:c>
      <x:c r="B14" s="4" t="str">
        <x:v>https://www.isaca.org/credentialing/cism/cism-exam-content-outline</x:v>
      </x:c>
      <x:c r="C14" s="4" t="str">
        <x:v>https://www.isaca.org/credentialing/cism/cism-exam-content-outline</x:v>
      </x:c>
      <x:c r="D14" s="4" t="str">
        <x:v>UTC · 2026-09-08T15:44:37.986304+00:00</x:v>
      </x:c>
      <x:c r="E14" s="4" t="str">
        <x:v>HTML_ORIGINAL</x:v>
      </x:c>
      <x:c r="F14" s="4" t="str">
        <x:v>CAPTURADA</x:v>
      </x:c>
      <x:c r="G14" s="4" t="str">
        <x:v>141238</x:v>
      </x:c>
      <x:c r="H14" s="4" t="str">
        <x:v>3c6d7f5d4abb9635152402f4917fda4410bbd14a31dc7e7dbffe448b92ed5db8</x:v>
      </x:c>
      <x:c r="I14" s="4" t="str">
        <x:v>Captura original íntegra; fragmentos de uso preservados; no adopción íntegra del documento.</x:v>
      </x:c>
      <x:c r="J14" s="4" t="str">
        <x:v>Consulta pública; se publican metadatos y fragmentos breves, no texto completo licenciado.</x:v>
      </x:c>
      <x:c r="K14" s="12" t="n">
        <x:f>IF(OR(F14="CAPTURADA",F14="REPRESENTACION_WEB_PARCIAL"),IF(LEN(H14)=64,0,1),0)</x:f>
        <x:v>0</x:v>
      </x:c>
      <x:c r="L14" s="12" t="n">
        <x:f>COUNTIF('02_Custodia'!$A$5:$A$53,A14)-1</x:f>
        <x:v>0</x:v>
      </x:c>
    </x:row>
    <x:row r="15" ht="47" customHeight="1">
      <x:c r="A15" s="4" t="str">
        <x:v>F011</x:v>
      </x:c>
      <x:c r="B15" s="4" t="str">
        <x:v>https://www.giac.org/certifications/certified-forensic-analyst-gcfa/</x:v>
      </x:c>
      <x:c r="C15" s="4" t="str">
        <x:v>https://www.giac.org/certifications/certified-forensic-analyst-gcfa</x:v>
      </x:c>
      <x:c r="D15" s="4" t="str">
        <x:v>UTC · 2026-09-08T15:44:51.119751+00:00</x:v>
      </x:c>
      <x:c r="E15" s="4" t="str">
        <x:v>HTML_ORIGINAL</x:v>
      </x:c>
      <x:c r="F15" s="4" t="str">
        <x:v>CAPTURADA</x:v>
      </x:c>
      <x:c r="G15" s="4" t="str">
        <x:v>279987</x:v>
      </x:c>
      <x:c r="H15" s="4" t="str">
        <x:v>50a899f87ed908e5d59cbc2b28503631c75adf844fa673e48751c08f2116d634</x:v>
      </x:c>
      <x:c r="I15" s="4" t="str">
        <x:v>Captura original íntegra; fragmentos de uso preservados; no adopción íntegra del documento.</x:v>
      </x:c>
      <x:c r="J15" s="4" t="str">
        <x:v>Consulta pública; se publican metadatos y fragmentos breves, no texto completo licenciado.</x:v>
      </x:c>
      <x:c r="K15" s="12" t="n">
        <x:f>IF(OR(F15="CAPTURADA",F15="REPRESENTACION_WEB_PARCIAL"),IF(LEN(H15)=64,0,1),0)</x:f>
        <x:v>0</x:v>
      </x:c>
      <x:c r="L15" s="12" t="n">
        <x:f>COUNTIF('02_Custodia'!$A$5:$A$53,A15)-1</x:f>
        <x:v>0</x:v>
      </x:c>
    </x:row>
    <x:row r="16" ht="47" customHeight="1">
      <x:c r="A16" s="4" t="str">
        <x:v>F012</x:v>
      </x:c>
      <x:c r="B16" s="4" t="str">
        <x:v>https://manage.offsec.com/app/uploads/2026/03/PEN-200_Syllabus.pdf</x:v>
      </x:c>
      <x:c r="C16" s="4" t="str">
        <x:v>https://manage.offsec.com/app/uploads/2026/03/PEN-200_Syllabus.pdf</x:v>
      </x:c>
      <x:c r="D16" s="4" t="str">
        <x:v>UTC · 2026-09-08T15:44:42.134919+00:00</x:v>
      </x:c>
      <x:c r="E16" s="4" t="str">
        <x:v>PDF_ORIGINAL</x:v>
      </x:c>
      <x:c r="F16" s="4" t="str">
        <x:v>CAPTURADA</x:v>
      </x:c>
      <x:c r="G16" s="4" t="str">
        <x:v>64005</x:v>
      </x:c>
      <x:c r="H16" s="4" t="str">
        <x:v>5a619969bef2fecc825aaca68d8c6cdb11004651f08b06959c78144b478174fc</x:v>
      </x:c>
      <x:c r="I16" s="4" t="str">
        <x:v>Captura original íntegra; fragmentos de uso preservados; no adopción íntegra del documento.</x:v>
      </x:c>
      <x:c r="J16" s="4" t="str">
        <x:v>Consulta pública; se publican metadatos y fragmentos breves, no texto completo licenciado.</x:v>
      </x:c>
      <x:c r="K16" s="12" t="n">
        <x:f>IF(OR(F16="CAPTURADA",F16="REPRESENTACION_WEB_PARCIAL"),IF(LEN(H16)=64,0,1),0)</x:f>
        <x:v>0</x:v>
      </x:c>
      <x:c r="L16" s="12" t="n">
        <x:f>COUNTIF('02_Custodia'!$A$5:$A$53,A16)-1</x:f>
        <x:v>0</x:v>
      </x:c>
    </x:row>
    <x:row r="17" ht="47" customHeight="1">
      <x:c r="A17" s="4" t="str">
        <x:v>F013</x:v>
      </x:c>
      <x:c r="B17" s="4" t="str">
        <x:v>https://www.iso.org/standard/27001</x:v>
      </x:c>
      <x:c r="C17" s="4" t="str">
        <x:v>https://www.iso.org/standard/27001</x:v>
      </x:c>
      <x:c r="D17" s="4" t="str">
        <x:v>UTC · 2026-09-08; hora no conservada por el lector web</x:v>
      </x:c>
      <x:c r="E17" s="4" t="str">
        <x:v>REPRESENTACION_WEB_PARCIAL</x:v>
      </x:c>
      <x:c r="F17" s="4" t="str">
        <x:v>REPRESENTACION_WEB_PARCIAL</x:v>
      </x:c>
      <x:c r="G17" s="4" t="str">
        <x:v>14771</x:v>
      </x:c>
      <x:c r="H17" s="4" t="str">
        <x:v>377e7bcf339feaadc9e2f5b2c411bd06028807020cbfe3fd0957a922bd859f27</x:v>
      </x:c>
      <x:c r="I17" s="4" t="str">
        <x:v>Sólo representación parcial del lector web.</x:v>
      </x:c>
      <x:c r="J17" s="4" t="str">
        <x:v>Consulta pública; se publican metadatos y fragmentos breves, no texto completo licenciado.</x:v>
      </x:c>
      <x:c r="K17" s="12" t="n">
        <x:f>IF(OR(F17="CAPTURADA",F17="REPRESENTACION_WEB_PARCIAL"),IF(LEN(H17)=64,0,1),0)</x:f>
        <x:v>0</x:v>
      </x:c>
      <x:c r="L17" s="12" t="n">
        <x:f>COUNTIF('02_Custodia'!$A$5:$A$53,A17)-1</x:f>
        <x:v>0</x:v>
      </x:c>
    </x:row>
    <x:row r="18" ht="47" customHeight="1">
      <x:c r="A18" s="4" t="str">
        <x:v>F014</x:v>
      </x:c>
      <x:c r="B18" s="4" t="str">
        <x:v>https://www.iso.org/standard/75652.html</x:v>
      </x:c>
      <x:c r="C18" s="4" t="str">
        <x:v>https://www.iso.org/standard/75652.html</x:v>
      </x:c>
      <x:c r="D18" s="4" t="str">
        <x:v>UTC · 2026-09-08; hora no conservada por el lector web</x:v>
      </x:c>
      <x:c r="E18" s="4" t="str">
        <x:v>REPRESENTACION_WEB_PARCIAL</x:v>
      </x:c>
      <x:c r="F18" s="4" t="str">
        <x:v>REPRESENTACION_WEB_PARCIAL</x:v>
      </x:c>
      <x:c r="G18" s="4" t="str">
        <x:v>11214</x:v>
      </x:c>
      <x:c r="H18" s="4" t="str">
        <x:v>c0c3daa7f3777182ee7f26a2370d10e7612b6e6dbd7ebaf677e07e664616b48f</x:v>
      </x:c>
      <x:c r="I18" s="4" t="str">
        <x:v>Sólo representación parcial del lector web.</x:v>
      </x:c>
      <x:c r="J18" s="4" t="str">
        <x:v>Consulta pública; se publican metadatos y fragmentos breves, no texto completo licenciado.</x:v>
      </x:c>
      <x:c r="K18" s="12" t="n">
        <x:f>IF(OR(F18="CAPTURADA",F18="REPRESENTACION_WEB_PARCIAL"),IF(LEN(H18)=64,0,1),0)</x:f>
        <x:v>0</x:v>
      </x:c>
      <x:c r="L18" s="12" t="n">
        <x:f>COUNTIF('02_Custodia'!$A$5:$A$53,A18)-1</x:f>
        <x:v>0</x:v>
      </x:c>
    </x:row>
    <x:row r="19" ht="47" customHeight="1">
      <x:c r="A19" s="4" t="str">
        <x:v>F015</x:v>
      </x:c>
      <x:c r="B19" s="4" t="str">
        <x:v>https://www.iso.org/standard/80585.html</x:v>
      </x:c>
      <x:c r="C19" s="4" t="str">
        <x:v>https://www.iso.org/standard/80585.html</x:v>
      </x:c>
      <x:c r="D19" s="4" t="str">
        <x:v>UTC · 2026-09-08; hora no conservada por el lector web</x:v>
      </x:c>
      <x:c r="E19" s="4" t="str">
        <x:v>REPRESENTACION_WEB_PARCIAL</x:v>
      </x:c>
      <x:c r="F19" s="4" t="str">
        <x:v>REPRESENTACION_WEB_PARCIAL</x:v>
      </x:c>
      <x:c r="G19" s="4" t="str">
        <x:v>7936</x:v>
      </x:c>
      <x:c r="H19" s="4" t="str">
        <x:v>2456ff7aabd4dd156124712aa44338bf027b0c8f7c3de1a1d9d55043b42735cb</x:v>
      </x:c>
      <x:c r="I19" s="4" t="str">
        <x:v>Sólo representación parcial del lector web.</x:v>
      </x:c>
      <x:c r="J19" s="4" t="str">
        <x:v>Consulta pública; se publican metadatos y fragmentos breves, no texto completo licenciado.</x:v>
      </x:c>
      <x:c r="K19" s="12" t="n">
        <x:f>IF(OR(F19="CAPTURADA",F19="REPRESENTACION_WEB_PARCIAL"),IF(LEN(H19)=64,0,1),0)</x:f>
        <x:v>0</x:v>
      </x:c>
      <x:c r="L19" s="12" t="n">
        <x:f>COUNTIF('02_Custodia'!$A$5:$A$53,A19)-1</x:f>
        <x:v>0</x:v>
      </x:c>
    </x:row>
    <x:row r="20" ht="47" customHeight="1">
      <x:c r="A20" s="4" t="str">
        <x:v>F016</x:v>
      </x:c>
      <x:c r="B20" s="4" t="str">
        <x:v>https://nvlpubs.nist.gov/nistpubs/CSWP/NIST.CSWP.29.pdf</x:v>
      </x:c>
      <x:c r="C20" s="4" t="str">
        <x:v>https://nvlpubs.nist.gov/nistpubs/CSWP/NIST.CSWP.29.pdf</x:v>
      </x:c>
      <x:c r="D20" s="4" t="str">
        <x:v>UTC · 2026-09-08T15:44:52.422791+00:00</x:v>
      </x:c>
      <x:c r="E20" s="4" t="str">
        <x:v>PDF_ORIGINAL</x:v>
      </x:c>
      <x:c r="F20" s="4" t="str">
        <x:v>CAPTURADA</x:v>
      </x:c>
      <x:c r="G20" s="4" t="str">
        <x:v>1518858</x:v>
      </x:c>
      <x:c r="H20" s="4" t="str">
        <x:v>3c31f46fee98cac0c4323453e5109291a213b4de7fef8c058af9bf67f717433c</x:v>
      </x:c>
      <x:c r="I20" s="4" t="str">
        <x:v>Captura original íntegra; fragmentos de uso preservados; no adopción íntegra del documento.</x:v>
      </x:c>
      <x:c r="J20" s="4" t="str">
        <x:v>Consulta pública; se publican metadatos y fragmentos breves, no texto completo licenciado.</x:v>
      </x:c>
      <x:c r="K20" s="12" t="n">
        <x:f>IF(OR(F20="CAPTURADA",F20="REPRESENTACION_WEB_PARCIAL"),IF(LEN(H20)=64,0,1),0)</x:f>
        <x:v>0</x:v>
      </x:c>
      <x:c r="L20" s="12" t="n">
        <x:f>COUNTIF('02_Custodia'!$A$5:$A$53,A20)-1</x:f>
        <x:v>0</x:v>
      </x:c>
    </x:row>
    <x:row r="21" ht="47" customHeight="1">
      <x:c r="A21" s="4" t="str">
        <x:v>F017</x:v>
      </x:c>
      <x:c r="B21" s="4" t="str">
        <x:v>https://csrc.nist.gov/pubs/sp/800/53/r5/upd1/final</x:v>
      </x:c>
      <x:c r="C21" s="4" t="str">
        <x:v>https://csrc.nist.gov/pubs/sp/800/53/r5/upd1/final</x:v>
      </x:c>
      <x:c r="D21" s="4" t="str">
        <x:v>UTC · 2026-09-08T15:44:49.807639+00:00</x:v>
      </x:c>
      <x:c r="E21" s="4" t="str">
        <x:v>HTML_ORIGINAL</x:v>
      </x:c>
      <x:c r="F21" s="4" t="str">
        <x:v>CAPTURADA</x:v>
      </x:c>
      <x:c r="G21" s="4" t="str">
        <x:v>57249</x:v>
      </x:c>
      <x:c r="H21" s="4" t="str">
        <x:v>87ceb517ea20dad8c39da8a79411a867ba8a037fd366020f8e746dd0504ab860</x:v>
      </x:c>
      <x:c r="I21" s="4" t="str">
        <x:v>Captura original íntegra; fragmentos de uso preservados; no adopción íntegra del documento.</x:v>
      </x:c>
      <x:c r="J21" s="4" t="str">
        <x:v>Consulta pública; se publican metadatos y fragmentos breves, no texto completo licenciado.</x:v>
      </x:c>
      <x:c r="K21" s="12" t="n">
        <x:f>IF(OR(F21="CAPTURADA",F21="REPRESENTACION_WEB_PARCIAL"),IF(LEN(H21)=64,0,1),0)</x:f>
        <x:v>0</x:v>
      </x:c>
      <x:c r="L21" s="12" t="n">
        <x:f>COUNTIF('02_Custodia'!$A$5:$A$53,A21)-1</x:f>
        <x:v>0</x:v>
      </x:c>
    </x:row>
    <x:row r="22" ht="47" customHeight="1">
      <x:c r="A22" s="4" t="str">
        <x:v>F018</x:v>
      </x:c>
      <x:c r="B22" s="4" t="str">
        <x:v>https://nvlpubs.nist.gov/nistpubs/Legacy/SP/nistspecialpublication800-115.pdf</x:v>
      </x:c>
      <x:c r="C22" s="4" t="str">
        <x:v>https://nvlpubs.nist.gov/nistpubs/Legacy/SP/nistspecialpublication800-115.pdf</x:v>
      </x:c>
      <x:c r="D22" s="4" t="str">
        <x:v>UTC · 2026-09-08T15:44:50.943003+00:00</x:v>
      </x:c>
      <x:c r="E22" s="4" t="str">
        <x:v>PDF_ORIGINAL</x:v>
      </x:c>
      <x:c r="F22" s="4" t="str">
        <x:v>CAPTURADA</x:v>
      </x:c>
      <x:c r="G22" s="4" t="str">
        <x:v>544047</x:v>
      </x:c>
      <x:c r="H22" s="4" t="str">
        <x:v>58e5ed41e5c8ca34ce14fd80b70f118f2c6d613d1647bc307edca30bcc45f063</x:v>
      </x:c>
      <x:c r="I22" s="4" t="str">
        <x:v>Captura original íntegra; fragmentos de uso preservados; no adopción íntegra del documento.</x:v>
      </x:c>
      <x:c r="J22" s="4" t="str">
        <x:v>Consulta pública; se publican metadatos y fragmentos breves, no texto completo licenciado.</x:v>
      </x:c>
      <x:c r="K22" s="12" t="n">
        <x:f>IF(OR(F22="CAPTURADA",F22="REPRESENTACION_WEB_PARCIAL"),IF(LEN(H22)=64,0,1),0)</x:f>
        <x:v>0</x:v>
      </x:c>
      <x:c r="L22" s="12" t="n">
        <x:f>COUNTIF('02_Custodia'!$A$5:$A$53,A22)-1</x:f>
        <x:v>0</x:v>
      </x:c>
    </x:row>
    <x:row r="23" ht="47" customHeight="1">
      <x:c r="A23" s="4" t="str">
        <x:v>F019</x:v>
      </x:c>
      <x:c r="B23" s="4" t="str">
        <x:v>https://nvlpubs.nist.gov/nistpubs/SpecialPublications/NIST.SP.800-61r3.pdf</x:v>
      </x:c>
      <x:c r="C23" s="4" t="str">
        <x:v>https://nvlpubs.nist.gov/nistpubs/SpecialPublications/NIST.SP.800-61r3.pdf</x:v>
      </x:c>
      <x:c r="D23" s="4" t="str">
        <x:v>UTC · 2026-09-08T15:44:52.170774+00:00</x:v>
      </x:c>
      <x:c r="E23" s="4" t="str">
        <x:v>PDF_ORIGINAL</x:v>
      </x:c>
      <x:c r="F23" s="4" t="str">
        <x:v>CAPTURADA</x:v>
      </x:c>
      <x:c r="G23" s="4" t="str">
        <x:v>1040566</x:v>
      </x:c>
      <x:c r="H23" s="4" t="str">
        <x:v>e5593d6bb85daecec7e8d9549400c7b3473bcc3f06e469c82218073afa7fba2d</x:v>
      </x:c>
      <x:c r="I23" s="4" t="str">
        <x:v>Captura original íntegra; fragmentos de uso preservados; no adopción íntegra del documento.</x:v>
      </x:c>
      <x:c r="J23" s="4" t="str">
        <x:v>Consulta pública; se publican metadatos y fragmentos breves, no texto completo licenciado.</x:v>
      </x:c>
      <x:c r="K23" s="12" t="n">
        <x:f>IF(OR(F23="CAPTURADA",F23="REPRESENTACION_WEB_PARCIAL"),IF(LEN(H23)=64,0,1),0)</x:f>
        <x:v>0</x:v>
      </x:c>
      <x:c r="L23" s="12" t="n">
        <x:f>COUNTIF('02_Custodia'!$A$5:$A$53,A23)-1</x:f>
        <x:v>0</x:v>
      </x:c>
    </x:row>
    <x:row r="24" ht="47" customHeight="1">
      <x:c r="A24" s="4" t="str">
        <x:v>F020</x:v>
      </x:c>
      <x:c r="B24" s="4" t="str">
        <x:v>https://nvlpubs.nist.gov/nistpubs/SpecialPublications/NIST.SP.800-82r3.pdf</x:v>
      </x:c>
      <x:c r="C24" s="4" t="str">
        <x:v>https://nvlpubs.nist.gov/nistpubs/SpecialPublications/NIST.SP.800-82r3.pdf</x:v>
      </x:c>
      <x:c r="D24" s="4" t="str">
        <x:v>UTC · 2026-09-08T15:45:02.619471+00:00</x:v>
      </x:c>
      <x:c r="E24" s="4" t="str">
        <x:v>PDF_ORIGINAL</x:v>
      </x:c>
      <x:c r="F24" s="4" t="str">
        <x:v>CAPTURADA</x:v>
      </x:c>
      <x:c r="G24" s="4" t="str">
        <x:v>8584345</x:v>
      </x:c>
      <x:c r="H24" s="4" t="str">
        <x:v>608f554514d381853e24e0b33123b7080fbd757826f460032690aade63394616</x:v>
      </x:c>
      <x:c r="I24" s="4" t="str">
        <x:v>Captura original íntegra; fragmentos de uso preservados; no adopción íntegra del documento.</x:v>
      </x:c>
      <x:c r="J24" s="4" t="str">
        <x:v>Consulta pública; se publican metadatos y fragmentos breves, no texto completo licenciado.</x:v>
      </x:c>
      <x:c r="K24" s="12" t="n">
        <x:f>IF(OR(F24="CAPTURADA",F24="REPRESENTACION_WEB_PARCIAL"),IF(LEN(H24)=64,0,1),0)</x:f>
        <x:v>0</x:v>
      </x:c>
      <x:c r="L24" s="12" t="n">
        <x:f>COUNTIF('02_Custodia'!$A$5:$A$53,A24)-1</x:f>
        <x:v>0</x:v>
      </x:c>
    </x:row>
    <x:row r="25" ht="47" customHeight="1">
      <x:c r="A25" s="4" t="str">
        <x:v>F021</x:v>
      </x:c>
      <x:c r="B25" s="4" t="str">
        <x:v>https://owasp.org/www-project-application-security-verification-standard/</x:v>
      </x:c>
      <x:c r="C25" s="4" t="str">
        <x:v>https://owasp.org/www-project-application-security-verification-standard/</x:v>
      </x:c>
      <x:c r="D25" s="4" t="str">
        <x:v>UTC · 2026-09-08T15:44:49.964377+00:00</x:v>
      </x:c>
      <x:c r="E25" s="4" t="str">
        <x:v>HTML_ORIGINAL</x:v>
      </x:c>
      <x:c r="F25" s="4" t="str">
        <x:v>CAPTURADA</x:v>
      </x:c>
      <x:c r="G25" s="4" t="str">
        <x:v>67908</x:v>
      </x:c>
      <x:c r="H25" s="4" t="str">
        <x:v>d55efadd6290032579ace1e9fc1bf62156ca61bbfbf9c250fd918d8cfd60e33f</x:v>
      </x:c>
      <x:c r="I25" s="4" t="str">
        <x:v>Captura original íntegra; fragmentos de uso preservados; no adopción íntegra del documento.</x:v>
      </x:c>
      <x:c r="J25" s="4" t="str">
        <x:v>Consulta pública; se publican metadatos y fragmentos breves, no texto completo licenciado.</x:v>
      </x:c>
      <x:c r="K25" s="12" t="n">
        <x:f>IF(OR(F25="CAPTURADA",F25="REPRESENTACION_WEB_PARCIAL"),IF(LEN(H25)=64,0,1),0)</x:f>
        <x:v>0</x:v>
      </x:c>
      <x:c r="L25" s="12" t="n">
        <x:f>COUNTIF('02_Custodia'!$A$5:$A$53,A25)-1</x:f>
        <x:v>0</x:v>
      </x:c>
    </x:row>
    <x:row r="26" ht="47" customHeight="1">
      <x:c r="A26" s="4" t="str">
        <x:v>F022</x:v>
      </x:c>
      <x:c r="B26" s="4" t="str">
        <x:v>https://www.iso.org/standard/42001</x:v>
      </x:c>
      <x:c r="C26" s="4" t="str">
        <x:v>https://www.iso.org/standard/42001</x:v>
      </x:c>
      <x:c r="D26" s="4" t="str">
        <x:v>UTC · 2026-09-08; hora no conservada por el lector web</x:v>
      </x:c>
      <x:c r="E26" s="4" t="str">
        <x:v>REPRESENTACION_WEB_PARCIAL</x:v>
      </x:c>
      <x:c r="F26" s="4" t="str">
        <x:v>REPRESENTACION_WEB_PARCIAL</x:v>
      </x:c>
      <x:c r="G26" s="4" t="str">
        <x:v>11616</x:v>
      </x:c>
      <x:c r="H26" s="4" t="str">
        <x:v>3d3c5e2e72eee5ce3a8e15caa65e5944ab56fb438f33c425d6de4604080c3b7f</x:v>
      </x:c>
      <x:c r="I26" s="4" t="str">
        <x:v>Sólo representación parcial del lector web.</x:v>
      </x:c>
      <x:c r="J26" s="4" t="str">
        <x:v>Consulta pública; se publican metadatos y fragmentos breves, no texto completo licenciado.</x:v>
      </x:c>
      <x:c r="K26" s="12" t="n">
        <x:f>IF(OR(F26="CAPTURADA",F26="REPRESENTACION_WEB_PARCIAL"),IF(LEN(H26)=64,0,1),0)</x:f>
        <x:v>0</x:v>
      </x:c>
      <x:c r="L26" s="12" t="n">
        <x:f>COUNTIF('02_Custodia'!$A$5:$A$53,A26)-1</x:f>
        <x:v>0</x:v>
      </x:c>
    </x:row>
    <x:row r="27" ht="47" customHeight="1">
      <x:c r="A27" s="4" t="str">
        <x:v>F023</x:v>
      </x:c>
      <x:c r="B27" s="4" t="str">
        <x:v>https://www.iso.org/standard/77304.html</x:v>
      </x:c>
      <x:c r="C27" s="4" t="str">
        <x:v>https://www.iso.org/standard/77304.html</x:v>
      </x:c>
      <x:c r="D27" s="4" t="str">
        <x:v>UTC · 2026-09-08; hora no conservada por el lector web</x:v>
      </x:c>
      <x:c r="E27" s="4" t="str">
        <x:v>REPRESENTACION_WEB_PARCIAL</x:v>
      </x:c>
      <x:c r="F27" s="4" t="str">
        <x:v>REPRESENTACION_WEB_PARCIAL</x:v>
      </x:c>
      <x:c r="G27" s="4" t="str">
        <x:v>6688</x:v>
      </x:c>
      <x:c r="H27" s="4" t="str">
        <x:v>2112222a965dc0b14397feb589ba0e55b621b8f750bf8d605a068e928c3df4dc</x:v>
      </x:c>
      <x:c r="I27" s="4" t="str">
        <x:v>Sólo representación parcial del lector web.</x:v>
      </x:c>
      <x:c r="J27" s="4" t="str">
        <x:v>Consulta pública; se publican metadatos y fragmentos breves, no texto completo licenciado.</x:v>
      </x:c>
      <x:c r="K27" s="12" t="n">
        <x:f>IF(OR(F27="CAPTURADA",F27="REPRESENTACION_WEB_PARCIAL"),IF(LEN(H27)=64,0,1),0)</x:f>
        <x:v>0</x:v>
      </x:c>
      <x:c r="L27" s="12" t="n">
        <x:f>COUNTIF('02_Custodia'!$A$5:$A$53,A27)-1</x:f>
        <x:v>0</x:v>
      </x:c>
    </x:row>
    <x:row r="28" ht="47" customHeight="1">
      <x:c r="A28" s="4" t="str">
        <x:v>F024</x:v>
      </x:c>
      <x:c r="B28" s="4" t="str">
        <x:v>https://nvlpubs.nist.gov/nistpubs/ai/NIST.AI.100-1.pdf</x:v>
      </x:c>
      <x:c r="C28" s="4" t="str">
        <x:v>https://nvlpubs.nist.gov/nistpubs/ai/NIST.AI.100-1.pdf</x:v>
      </x:c>
      <x:c r="D28" s="4" t="str">
        <x:v>UTC · 2026-09-08T15:45:02.625365+00:00</x:v>
      </x:c>
      <x:c r="E28" s="4" t="str">
        <x:v>PDF_ORIGINAL</x:v>
      </x:c>
      <x:c r="F28" s="4" t="str">
        <x:v>CAPTURADA</x:v>
      </x:c>
      <x:c r="G28" s="4" t="str">
        <x:v>1946127</x:v>
      </x:c>
      <x:c r="H28" s="4" t="str">
        <x:v>7576edb531d9848825814ee88e28b1795d3a84b435b4b797d3670eafdc4a89f1</x:v>
      </x:c>
      <x:c r="I28" s="4" t="str">
        <x:v>Captura original íntegra; fragmentos de uso preservados; no adopción íntegra del documento.</x:v>
      </x:c>
      <x:c r="J28" s="4" t="str">
        <x:v>Consulta pública; se publican metadatos y fragmentos breves, no texto completo licenciado.</x:v>
      </x:c>
      <x:c r="K28" s="12" t="n">
        <x:f>IF(OR(F28="CAPTURADA",F28="REPRESENTACION_WEB_PARCIAL"),IF(LEN(H28)=64,0,1),0)</x:f>
        <x:v>0</x:v>
      </x:c>
      <x:c r="L28" s="12" t="n">
        <x:f>COUNTIF('02_Custodia'!$A$5:$A$53,A28)-1</x:f>
        <x:v>0</x:v>
      </x:c>
    </x:row>
    <x:row r="29" ht="47" customHeight="1">
      <x:c r="A29" s="4" t="str">
        <x:v>F025</x:v>
      </x:c>
      <x:c r="B29" s="4" t="str">
        <x:v>https://nvlpubs.nist.gov/nistpubs/SpecialPublications/NIST.SP.800-218A.pdf</x:v>
      </x:c>
      <x:c r="C29" s="4" t="str">
        <x:v>https://nvlpubs.nist.gov/nistpubs/SpecialPublications/NIST.SP.800-218A.pdf</x:v>
      </x:c>
      <x:c r="D29" s="4" t="str">
        <x:v>UTC · 2026-09-08T15:45:01.463854+00:00</x:v>
      </x:c>
      <x:c r="E29" s="4" t="str">
        <x:v>PDF_ORIGINAL</x:v>
      </x:c>
      <x:c r="F29" s="4" t="str">
        <x:v>CAPTURADA</x:v>
      </x:c>
      <x:c r="G29" s="4" t="str">
        <x:v>650661</x:v>
      </x:c>
      <x:c r="H29" s="4" t="str">
        <x:v>e088c8bc75716824dae7c36a987f408364638561d381ed001b5c12254a7b10d8</x:v>
      </x:c>
      <x:c r="I29" s="4" t="str">
        <x:v>Captura original íntegra; fragmentos de uso preservados; no adopción íntegra del documento.</x:v>
      </x:c>
      <x:c r="J29" s="4" t="str">
        <x:v>Consulta pública; se publican metadatos y fragmentos breves, no texto completo licenciado.</x:v>
      </x:c>
      <x:c r="K29" s="12" t="n">
        <x:f>IF(OR(F29="CAPTURADA",F29="REPRESENTACION_WEB_PARCIAL"),IF(LEN(H29)=64,0,1),0)</x:f>
        <x:v>0</x:v>
      </x:c>
      <x:c r="L29" s="12" t="n">
        <x:f>COUNTIF('02_Custodia'!$A$5:$A$53,A29)-1</x:f>
        <x:v>0</x:v>
      </x:c>
    </x:row>
    <x:row r="30" ht="47" customHeight="1">
      <x:c r="A30" s="4" t="str">
        <x:v>F026</x:v>
      </x:c>
      <x:c r="B30" s="4" t="str">
        <x:v>https://nvlpubs.nist.gov/nistpubs/ai/NIST.AI.100-2e2025.pdf</x:v>
      </x:c>
      <x:c r="C30" s="4" t="str">
        <x:v>https://nvlpubs.nist.gov/nistpubs/ai/NIST.AI.100-2e2025.pdf</x:v>
      </x:c>
      <x:c r="D30" s="4" t="str">
        <x:v>UTC · 2026-09-08T15:45:07.049580+00:00</x:v>
      </x:c>
      <x:c r="E30" s="4" t="str">
        <x:v>PDF_ORIGINAL</x:v>
      </x:c>
      <x:c r="F30" s="4" t="str">
        <x:v>CAPTURADA</x:v>
      </x:c>
      <x:c r="G30" s="4" t="str">
        <x:v>1964469</x:v>
      </x:c>
      <x:c r="H30" s="4" t="str">
        <x:v>4811fb6ad73f9c9121843ab77e029b5adc6f2c86d33c2fc5b2099ef133847646</x:v>
      </x:c>
      <x:c r="I30" s="4" t="str">
        <x:v>Captura original íntegra; fragmentos de uso preservados; no adopción íntegra del documento.</x:v>
      </x:c>
      <x:c r="J30" s="4" t="str">
        <x:v>Consulta pública; se publican metadatos y fragmentos breves, no texto completo licenciado.</x:v>
      </x:c>
      <x:c r="K30" s="12" t="n">
        <x:f>IF(OR(F30="CAPTURADA",F30="REPRESENTACION_WEB_PARCIAL"),IF(LEN(H30)=64,0,1),0)</x:f>
        <x:v>0</x:v>
      </x:c>
      <x:c r="L30" s="12" t="n">
        <x:f>COUNTIF('02_Custodia'!$A$5:$A$53,A30)-1</x:f>
        <x:v>0</x:v>
      </x:c>
    </x:row>
    <x:row r="31" ht="47" customHeight="1">
      <x:c r="A31" s="4" t="str">
        <x:v>F027</x:v>
      </x:c>
      <x:c r="B31" s="4" t="str">
        <x:v>https://owaspai.org/docs/ai_security_overview/</x:v>
      </x:c>
      <x:c r="C31" s="4" t="str">
        <x:v>https://owaspai.org/docs/ai_security_overview/</x:v>
      </x:c>
      <x:c r="D31" s="4" t="str">
        <x:v>UTC · 2026-09-08T15:45:00.920615+00:00</x:v>
      </x:c>
      <x:c r="E31" s="4" t="str">
        <x:v>HTML_ORIGINAL</x:v>
      </x:c>
      <x:c r="F31" s="4" t="str">
        <x:v>CAPTURADA</x:v>
      </x:c>
      <x:c r="G31" s="4" t="str">
        <x:v>240463</x:v>
      </x:c>
      <x:c r="H31" s="4" t="str">
        <x:v>4636583a842c34b0e85c8258b28766a95a3c3593d7312a1f4d221c0124f29a8d</x:v>
      </x:c>
      <x:c r="I31" s="4" t="str">
        <x:v>Captura original íntegra; fragmentos de uso preservados; no adopción íntegra del documento.</x:v>
      </x:c>
      <x:c r="J31" s="4" t="str">
        <x:v>Proyecto OWASP; licencia declarada CC BY-SA 4.0; fragmentos atribuidos; normalización no oficial.</x:v>
      </x:c>
      <x:c r="K31" s="12" t="n">
        <x:f>IF(OR(F31="CAPTURADA",F31="REPRESENTACION_WEB_PARCIAL"),IF(LEN(H31)=64,0,1),0)</x:f>
        <x:v>0</x:v>
      </x:c>
      <x:c r="L31" s="12" t="n">
        <x:f>COUNTIF('02_Custodia'!$A$5:$A$53,A31)-1</x:f>
        <x:v>0</x:v>
      </x:c>
    </x:row>
    <x:row r="32" ht="47" customHeight="1">
      <x:c r="A32" s="4" t="str">
        <x:v>F028</x:v>
      </x:c>
      <x:c r="B32" s="4" t="str">
        <x:v>https://nvlpubs.nist.gov/nistpubs/ir/2025/NIST.IR.8596.iprd.pdf</x:v>
      </x:c>
      <x:c r="C32" s="4" t="str">
        <x:v>https://nvlpubs.nist.gov/nistpubs/ir/2025/NIST.IR.8596.iprd.pdf</x:v>
      </x:c>
      <x:c r="D32" s="4" t="str">
        <x:v>UTC · 2026-09-08T15:45:06.835366+00:00</x:v>
      </x:c>
      <x:c r="E32" s="4" t="str">
        <x:v>PDF_ORIGINAL</x:v>
      </x:c>
      <x:c r="F32" s="4" t="str">
        <x:v>CAPTURADA</x:v>
      </x:c>
      <x:c r="G32" s="4" t="str">
        <x:v>2297620</x:v>
      </x:c>
      <x:c r="H32" s="4" t="str">
        <x:v>4744b04dd75a278476b618b39ff57daef45c46760ec623f3e31543e73112cfde</x:v>
      </x:c>
      <x:c r="I32" s="4" t="str">
        <x:v>Captura original íntegra; fragmentos de uso preservados; no adopción íntegra del documento.</x:v>
      </x:c>
      <x:c r="J32" s="4" t="str">
        <x:v>Consulta pública; se publican metadatos y fragmentos breves, no texto completo licenciado.</x:v>
      </x:c>
      <x:c r="K32" s="12" t="n">
        <x:f>IF(OR(F32="CAPTURADA",F32="REPRESENTACION_WEB_PARCIAL"),IF(LEN(H32)=64,0,1),0)</x:f>
        <x:v>0</x:v>
      </x:c>
      <x:c r="L32" s="12" t="n">
        <x:f>COUNTIF('02_Custodia'!$A$5:$A$53,A32)-1</x:f>
        <x:v>0</x:v>
      </x:c>
    </x:row>
    <x:row r="33" ht="47" customHeight="1">
      <x:c r="A33" s="4" t="str">
        <x:v>F029</x:v>
      </x:c>
      <x:c r="B33" s="4" t="str">
        <x:v>https://genai.owasp.org/llm-top-10/</x:v>
      </x:c>
      <x:c r="C33" s="4" t="str">
        <x:v>https://genai.owasp.org/llm-top-10/</x:v>
      </x:c>
      <x:c r="D33" s="4" t="str">
        <x:v>UTC · 2026-09-08T15:45:13.616138+00:00</x:v>
      </x:c>
      <x:c r="E33" s="4" t="str">
        <x:v>HTML_ORIGINAL</x:v>
      </x:c>
      <x:c r="F33" s="4" t="str">
        <x:v>CAPTURADA</x:v>
      </x:c>
      <x:c r="G33" s="4" t="str">
        <x:v>912634</x:v>
      </x:c>
      <x:c r="H33" s="4" t="str">
        <x:v>609c802717a017a05b555f8678accb296e7fb9f8f0f49a91c5569fc4182c104f</x:v>
      </x:c>
      <x:c r="I33" s="4" t="str">
        <x:v>Captura original íntegra; fragmentos de uso preservados; no adopción íntegra del documento.</x:v>
      </x:c>
      <x:c r="J33" s="4" t="str">
        <x:v>Consulta pública; se publican metadatos y fragmentos breves, no texto completo licenciado.</x:v>
      </x:c>
      <x:c r="K33" s="12" t="n">
        <x:f>IF(OR(F33="CAPTURADA",F33="REPRESENTACION_WEB_PARCIAL"),IF(LEN(H33)=64,0,1),0)</x:f>
        <x:v>0</x:v>
      </x:c>
      <x:c r="L33" s="12" t="n">
        <x:f>COUNTIF('02_Custodia'!$A$5:$A$53,A33)-1</x:f>
        <x:v>0</x:v>
      </x:c>
    </x:row>
    <x:row r="34" ht="47" customHeight="1">
      <x:c r="A34" s="4" t="str">
        <x:v>F030</x:v>
      </x:c>
      <x:c r="B34" s="4" t="str">
        <x:v>https://www.boe.es/eli/es/rd/2022/05/03/311/con</x:v>
      </x:c>
      <x:c r="C34" s="4" t="str">
        <x:v>https://www.boe.es/eli/es/rd/2022/05/03/311/con</x:v>
      </x:c>
      <x:c r="D34" s="4" t="str">
        <x:v>UTC · 2026-09-08T15:45:12.267444+00:00</x:v>
      </x:c>
      <x:c r="E34" s="4" t="str">
        <x:v>HTML_ORIGINAL</x:v>
      </x:c>
      <x:c r="F34" s="4" t="str">
        <x:v>CAPTURADA</x:v>
      </x:c>
      <x:c r="G34" s="4" t="str">
        <x:v>408282</x:v>
      </x:c>
      <x:c r="H34" s="4" t="str">
        <x:v>3e16ce700069eab21bc3a080c79f1a7f9beba1d81fb127824521fd9e3274644c</x:v>
      </x:c>
      <x:c r="I34" s="4" t="str">
        <x:v>Captura original íntegra; fragmentos de uso preservados; no adopción íntegra del documento.</x:v>
      </x:c>
      <x:c r="J34" s="4" t="str">
        <x:v>Consulta pública; se publican metadatos y fragmentos breves, no texto completo licenciado.</x:v>
      </x:c>
      <x:c r="K34" s="12" t="n">
        <x:f>IF(OR(F34="CAPTURADA",F34="REPRESENTACION_WEB_PARCIAL"),IF(LEN(H34)=64,0,1),0)</x:f>
        <x:v>0</x:v>
      </x:c>
      <x:c r="L34" s="12" t="n">
        <x:f>COUNTIF('02_Custodia'!$A$5:$A$53,A34)-1</x:f>
        <x:v>0</x:v>
      </x:c>
    </x:row>
    <x:row r="35" ht="47" customHeight="1">
      <x:c r="A35" s="4" t="str">
        <x:v>F031</x:v>
      </x:c>
      <x:c r="B35" s="4" t="str">
        <x:v>https://eur-lex.europa.eu/eli/dir/2022/2555/oj/eng</x:v>
      </x:c>
      <x:c r="C35" s="4" t="str">
        <x:v>https://eur-lex.europa.eu/eli/dir/2022/2555/oj/eng</x:v>
      </x:c>
      <x:c r="D35" s="4" t="str">
        <x:v>UTC · 2026-09-08T15:45:13.730232+00:00</x:v>
      </x:c>
      <x:c r="E35" s="4" t="str">
        <x:v>HTML_ORIGINAL</x:v>
      </x:c>
      <x:c r="F35" s="4" t="str">
        <x:v>CAPTURADA</x:v>
      </x:c>
      <x:c r="G35" s="4" t="str">
        <x:v>969304</x:v>
      </x:c>
      <x:c r="H35" s="4" t="str">
        <x:v>9744bd11a4d84e582895a24fc92932619836174792a10463cbb1aefeb5a74f40</x:v>
      </x:c>
      <x:c r="I35" s="4" t="str">
        <x:v>Captura original íntegra; fragmentos de uso preservados; no adopción íntegra del documento.</x:v>
      </x:c>
      <x:c r="J35" s="4" t="str">
        <x:v>Consulta pública; se publican metadatos y fragmentos breves, no texto completo licenciado.</x:v>
      </x:c>
      <x:c r="K35" s="12" t="n">
        <x:f>IF(OR(F35="CAPTURADA",F35="REPRESENTACION_WEB_PARCIAL"),IF(LEN(H35)=64,0,1),0)</x:f>
        <x:v>0</x:v>
      </x:c>
      <x:c r="L35" s="12" t="n">
        <x:f>COUNTIF('02_Custodia'!$A$5:$A$53,A35)-1</x:f>
        <x:v>0</x:v>
      </x:c>
    </x:row>
    <x:row r="36" ht="47" customHeight="1">
      <x:c r="A36" s="4" t="str">
        <x:v>F032</x:v>
      </x:c>
      <x:c r="B36" s="4" t="str">
        <x:v>https://eur-lex.europa.eu/eli/reg/2024/2847/oj/eng</x:v>
      </x:c>
      <x:c r="C36" s="4" t="str">
        <x:v>https://eur-lex.europa.eu/eli/reg/2024/2847/oj/eng</x:v>
      </x:c>
      <x:c r="D36" s="4" t="str">
        <x:v>UTC · 2026-09-08T15:45:14.035138+00:00</x:v>
      </x:c>
      <x:c r="E36" s="4" t="str">
        <x:v>HTML_ORIGINAL</x:v>
      </x:c>
      <x:c r="F36" s="4" t="str">
        <x:v>CAPTURADA</x:v>
      </x:c>
      <x:c r="G36" s="4" t="str">
        <x:v>974702</x:v>
      </x:c>
      <x:c r="H36" s="4" t="str">
        <x:v>fd964b65ad6c07269201c0df0de7be9046f16fd43d59ae67a44fa0b0aaff1b6d</x:v>
      </x:c>
      <x:c r="I36" s="4" t="str">
        <x:v>Captura original íntegra; fragmentos de uso preservados; no adopción íntegra del documento.</x:v>
      </x:c>
      <x:c r="J36" s="4" t="str">
        <x:v>Consulta pública; se publican metadatos y fragmentos breves, no texto completo licenciado.</x:v>
      </x:c>
      <x:c r="K36" s="12" t="n">
        <x:f>IF(OR(F36="CAPTURADA",F36="REPRESENTACION_WEB_PARCIAL"),IF(LEN(H36)=64,0,1),0)</x:f>
        <x:v>0</x:v>
      </x:c>
      <x:c r="L36" s="12" t="n">
        <x:f>COUNTIF('02_Custodia'!$A$5:$A$53,A36)-1</x:f>
        <x:v>0</x:v>
      </x:c>
    </x:row>
    <x:row r="37" ht="47" customHeight="1">
      <x:c r="A37" s="4" t="str">
        <x:v>F033</x:v>
      </x:c>
      <x:c r="B37" s="4" t="str">
        <x:v>https://eur-lex.europa.eu/eli/reg/2024/1689/oj/eng</x:v>
      </x:c>
      <x:c r="C37" s="4" t="str">
        <x:v>https://eur-lex.europa.eu/eli/reg/2024/1689/oj/eng</x:v>
      </x:c>
      <x:c r="D37" s="4" t="str">
        <x:v>UTC · 2026-09-08T15:45:14.322427+00:00</x:v>
      </x:c>
      <x:c r="E37" s="4" t="str">
        <x:v>HTML_ORIGINAL</x:v>
      </x:c>
      <x:c r="F37" s="4" t="str">
        <x:v>CAPTURADA</x:v>
      </x:c>
      <x:c r="G37" s="4" t="str">
        <x:v>1535247</x:v>
      </x:c>
      <x:c r="H37" s="4" t="str">
        <x:v>0876031f565718edc3a7b285e84f1975f5d89333744b7918d8c3391ca6031f39</x:v>
      </x:c>
      <x:c r="I37" s="4" t="str">
        <x:v>Captura original íntegra; fragmentos de uso preservados; no adopción íntegra del documento.</x:v>
      </x:c>
      <x:c r="J37" s="4" t="str">
        <x:v>Consulta pública; se publican metadatos y fragmentos breves, no texto completo licenciado.</x:v>
      </x:c>
      <x:c r="K37" s="12" t="n">
        <x:f>IF(OR(F37="CAPTURADA",F37="REPRESENTACION_WEB_PARCIAL"),IF(LEN(H37)=64,0,1),0)</x:f>
        <x:v>0</x:v>
      </x:c>
      <x:c r="L37" s="12" t="n">
        <x:f>COUNTIF('02_Custodia'!$A$5:$A$53,A37)-1</x:f>
        <x:v>0</x:v>
      </x:c>
    </x:row>
    <x:row r="38" ht="47" customHeight="1">
      <x:c r="A38" s="4" t="str">
        <x:v>F034</x:v>
      </x:c>
      <x:c r="B38" s="4" t="str">
        <x:v>https://eur-lex.europa.eu/eli/reg/2016/679/oj/eng</x:v>
      </x:c>
      <x:c r="C38" s="4" t="str">
        <x:v>https://eur-lex.europa.eu/eli/reg/2016/679/oj/eng</x:v>
      </x:c>
      <x:c r="D38" s="4" t="str">
        <x:v>UTC · 2026-09-08T15:45:13.730151+00:00</x:v>
      </x:c>
      <x:c r="E38" s="4" t="str">
        <x:v>HTML_ORIGINAL</x:v>
      </x:c>
      <x:c r="F38" s="4" t="str">
        <x:v>CAPTURADA</x:v>
      </x:c>
      <x:c r="G38" s="4" t="str">
        <x:v>1070840</x:v>
      </x:c>
      <x:c r="H38" s="4" t="str">
        <x:v>83050ad097143fbdb821560d0100e3f9b965b0889116fc4c4a2a9f0320fd5f7d</x:v>
      </x:c>
      <x:c r="I38" s="4" t="str">
        <x:v>Captura original íntegra; fragmentos de uso preservados; no adopción íntegra del documento.</x:v>
      </x:c>
      <x:c r="J38" s="4" t="str">
        <x:v>Consulta pública; se publican metadatos y fragmentos breves, no texto completo licenciado.</x:v>
      </x:c>
      <x:c r="K38" s="12" t="n">
        <x:f>IF(OR(F38="CAPTURADA",F38="REPRESENTACION_WEB_PARCIAL"),IF(LEN(H38)=64,0,1),0)</x:f>
        <x:v>0</x:v>
      </x:c>
      <x:c r="L38" s="12" t="n">
        <x:f>COUNTIF('02_Custodia'!$A$5:$A$53,A38)-1</x:f>
        <x:v>0</x:v>
      </x:c>
    </x:row>
    <x:row r="39" ht="60" customHeight="1">
      <x:c r="A39" s="4" t="str">
        <x:v>F035</x:v>
      </x:c>
      <x:c r="B39" s="4" t="str">
        <x:v>https://www.imda.gov.sg/how-we-can-help/techskills-accelerator-tesa/skills-framework-for-infocomm-technology-sfw-for-ict</x:v>
      </x:c>
      <x:c r="C39" s="4" t="str">
        <x:v>https://www.imda.gov.sg/how-we-can-help/techskills-accelerator-tesa/skills-framework-for-infocomm-technology-sfw-for-ict</x:v>
      </x:c>
      <x:c r="D39" s="4" t="str">
        <x:v>UTC · 2026-09-08T15:45:23.501323+00:00</x:v>
      </x:c>
      <x:c r="E39" s="4" t="str">
        <x:v>HTML_ORIGINAL</x:v>
      </x:c>
      <x:c r="F39" s="4" t="str">
        <x:v>CAPTURADA</x:v>
      </x:c>
      <x:c r="G39" s="4" t="str">
        <x:v>146738</x:v>
      </x:c>
      <x:c r="H39" s="4" t="str">
        <x:v>ede12c72776220df59fd2585aa3feee24aa5418254bc45f3078c4542101e5400</x:v>
      </x:c>
      <x:c r="I39" s="4" t="str">
        <x:v>Captura original íntegra; fragmentos de uso preservados; no adopción íntegra del documento.</x:v>
      </x:c>
      <x:c r="J39" s="4" t="str">
        <x:v>Consulta pública; se publican metadatos y fragmentos breves, no texto completo licenciado.</x:v>
      </x:c>
      <x:c r="K39" s="12" t="n">
        <x:f>IF(OR(F39="CAPTURADA",F39="REPRESENTACION_WEB_PARCIAL"),IF(LEN(H39)=64,0,1),0)</x:f>
        <x:v>0</x:v>
      </x:c>
      <x:c r="L39" s="12" t="n">
        <x:f>COUNTIF('02_Custodia'!$A$5:$A$53,A39)-1</x:f>
        <x:v>0</x:v>
      </x:c>
    </x:row>
    <x:row r="40" ht="47" customHeight="1">
      <x:c r="A40" s="4" t="str">
        <x:v>A001</x:v>
      </x:c>
      <x:c r="B40" s="4" t="str">
        <x:v>https://www.nist.gov/news-events/news/2026/04/nice-releases-nice-framework-components-v220</x:v>
      </x:c>
      <x:c r="C40" s="4" t="str">
        <x:v>https://www.nist.gov/news-events/news/2026/04/nice-releases-nice-framework-components-v220</x:v>
      </x:c>
      <x:c r="D40" s="4" t="str">
        <x:v>UTC · 2026-09-08T15:45:20.105612+00:00</x:v>
      </x:c>
      <x:c r="E40" s="4" t="str">
        <x:v>HTML_ORIGINAL</x:v>
      </x:c>
      <x:c r="F40" s="4" t="str">
        <x:v>CAPTURADA</x:v>
      </x:c>
      <x:c r="G40" s="4" t="str">
        <x:v>85916</x:v>
      </x:c>
      <x:c r="H40" s="4" t="str">
        <x:v>3818ddb06986b81e385454723d99842e879744118d2c15f81334f5678dd6b2b6</x:v>
      </x:c>
      <x:c r="I40" s="4" t="str">
        <x:v>Captura original íntegra; fragmentos de uso preservados; no adopción íntegra del documento.</x:v>
      </x:c>
      <x:c r="J40" s="4" t="str">
        <x:v>Consulta pública; se publican metadatos y fragmentos breves, no texto completo licenciado.</x:v>
      </x:c>
      <x:c r="K40" s="12" t="n">
        <x:f>IF(OR(F40="CAPTURADA",F40="REPRESENTACION_WEB_PARCIAL"),IF(LEN(H40)=64,0,1),0)</x:f>
        <x:v>0</x:v>
      </x:c>
      <x:c r="L40" s="12" t="n">
        <x:f>COUNTIF('02_Custodia'!$A$5:$A$53,A40)-1</x:f>
        <x:v>0</x:v>
      </x:c>
    </x:row>
    <x:row r="41" ht="47" customHeight="1">
      <x:c r="A41" s="4" t="str">
        <x:v>A002</x:v>
      </x:c>
      <x:c r="B41" s="4" t="str">
        <x:v>https://www.nist.gov/itl/applied-cybersecurity/nice/nice-framework-resource-center/nice-framework-current-versions</x:v>
      </x:c>
      <x:c r="C41" s="4" t="str">
        <x:v>https://www.nist.gov/itl/applied-cybersecurity/nice/nice-framework-resource-center/nice-framework-current-versions</x:v>
      </x:c>
      <x:c r="D41" s="4" t="str">
        <x:v>UTC · 2026-09-08T15:45:20.557570+00:00</x:v>
      </x:c>
      <x:c r="E41" s="4" t="str">
        <x:v>HTML_ORIGINAL</x:v>
      </x:c>
      <x:c r="F41" s="4" t="str">
        <x:v>CAPTURADA</x:v>
      </x:c>
      <x:c r="G41" s="4" t="str">
        <x:v>105413</x:v>
      </x:c>
      <x:c r="H41" s="4" t="str">
        <x:v>f31d8848fe7465aadf43998be8fac3ff0f001243ff3b413acde64566a7519672</x:v>
      </x:c>
      <x:c r="I41" s="4" t="str">
        <x:v>Captura original íntegra; fragmentos de uso preservados; no adopción íntegra del documento.</x:v>
      </x:c>
      <x:c r="J41" s="4" t="str">
        <x:v>Consulta pública; se publican metadatos y fragmentos breves, no texto completo licenciado.</x:v>
      </x:c>
      <x:c r="K41" s="12" t="n">
        <x:f>IF(OR(F41="CAPTURADA",F41="REPRESENTACION_WEB_PARCIAL"),IF(LEN(H41)=64,0,1),0)</x:f>
        <x:v>0</x:v>
      </x:c>
      <x:c r="L41" s="12" t="n">
        <x:f>COUNTIF('02_Custodia'!$A$5:$A$53,A41)-1</x:f>
        <x:v>0</x:v>
      </x:c>
    </x:row>
    <x:row r="42" ht="47" customHeight="1">
      <x:c r="A42" s="4" t="str">
        <x:v>A003</x:v>
      </x:c>
      <x:c r="B42" s="4" t="str">
        <x:v>https://www.isaca.org/credentialing/cism</x:v>
      </x:c>
      <x:c r="C42" s="4" t="str">
        <x:v>https://www.isaca.org/credentialing/cism</x:v>
      </x:c>
      <x:c r="D42" s="4" t="str">
        <x:v>UTC · 2026-09-08T15:45:23.246107+00:00</x:v>
      </x:c>
      <x:c r="E42" s="4" t="str">
        <x:v>HTML_ORIGINAL</x:v>
      </x:c>
      <x:c r="F42" s="4" t="str">
        <x:v>CAPTURADA</x:v>
      </x:c>
      <x:c r="G42" s="4" t="str">
        <x:v>171725</x:v>
      </x:c>
      <x:c r="H42" s="4" t="str">
        <x:v>0d5620993b0275e4753c37457689835b80cf206dee4044b9f12ca9556d60479f</x:v>
      </x:c>
      <x:c r="I42" s="4" t="str">
        <x:v>Captura original íntegra; fragmentos de uso preservados; no adopción íntegra del documento.</x:v>
      </x:c>
      <x:c r="J42" s="4" t="str">
        <x:v>Consulta pública; se publican metadatos y fragmentos breves, no texto completo licenciado.</x:v>
      </x:c>
      <x:c r="K42" s="12" t="n">
        <x:f>IF(OR(F42="CAPTURADA",F42="REPRESENTACION_WEB_PARCIAL"),IF(LEN(H42)=64,0,1),0)</x:f>
        <x:v>0</x:v>
      </x:c>
      <x:c r="L42" s="12" t="n">
        <x:f>COUNTIF('02_Custodia'!$A$5:$A$53,A42)-1</x:f>
        <x:v>0</x:v>
      </x:c>
    </x:row>
    <x:row r="43" ht="47" customHeight="1">
      <x:c r="A43" s="4" t="str">
        <x:v>A004</x:v>
      </x:c>
      <x:c r="B43" s="4" t="str">
        <x:v>https://csrc.nist.gov/pubs/ai/100/2/e2025/final</x:v>
      </x:c>
      <x:c r="C43" s="4" t="str">
        <x:v>https://csrc.nist.gov/pubs/ai/100/2/e2025/final</x:v>
      </x:c>
      <x:c r="D43" s="4" t="str">
        <x:v>UTC · 2026-09-08T15:45:22.670726+00:00</x:v>
      </x:c>
      <x:c r="E43" s="4" t="str">
        <x:v>HTML_ORIGINAL</x:v>
      </x:c>
      <x:c r="F43" s="4" t="str">
        <x:v>CAPTURADA</x:v>
      </x:c>
      <x:c r="G43" s="4" t="str">
        <x:v>47698</x:v>
      </x:c>
      <x:c r="H43" s="4" t="str">
        <x:v>d112307ff7705545aeaaa4ed040da74ac40a6a059349b57a15069e4960b53d5f</x:v>
      </x:c>
      <x:c r="I43" s="4" t="str">
        <x:v>Captura original íntegra; fragmentos de uso preservados; no adopción íntegra del documento.</x:v>
      </x:c>
      <x:c r="J43" s="4" t="str">
        <x:v>Consulta pública; se publican metadatos y fragmentos breves, no texto completo licenciado.</x:v>
      </x:c>
      <x:c r="K43" s="12" t="n">
        <x:f>IF(OR(F43="CAPTURADA",F43="REPRESENTACION_WEB_PARCIAL"),IF(LEN(H43)=64,0,1),0)</x:f>
        <x:v>0</x:v>
      </x:c>
      <x:c r="L43" s="12" t="n">
        <x:f>COUNTIF('02_Custodia'!$A$5:$A$53,A43)-1</x:f>
        <x:v>0</x:v>
      </x:c>
    </x:row>
    <x:row r="44" ht="47" customHeight="1">
      <x:c r="A44" s="4" t="str">
        <x:v>A005</x:v>
      </x:c>
      <x:c r="B44" s="4" t="str">
        <x:v>https://csrc.nist.gov/pubs/ir/8596/iprd</x:v>
      </x:c>
      <x:c r="C44" s="4" t="str">
        <x:v>https://csrc.nist.gov/pubs/ir/8596/iprd</x:v>
      </x:c>
      <x:c r="D44" s="4" t="str">
        <x:v>UTC · 2026-09-08T15:45:22.667011+00:00</x:v>
      </x:c>
      <x:c r="E44" s="4" t="str">
        <x:v>HTML_ORIGINAL</x:v>
      </x:c>
      <x:c r="F44" s="4" t="str">
        <x:v>CAPTURADA</x:v>
      </x:c>
      <x:c r="G44" s="4" t="str">
        <x:v>49885</x:v>
      </x:c>
      <x:c r="H44" s="4" t="str">
        <x:v>0782d89460baad35be735faae46d5e059012b641ec5ef30f7d672278664a495e</x:v>
      </x:c>
      <x:c r="I44" s="4" t="str">
        <x:v>Captura original íntegra; fragmentos de uso preservados; no adopción íntegra del documento.</x:v>
      </x:c>
      <x:c r="J44" s="4" t="str">
        <x:v>Consulta pública; se publican metadatos y fragmentos breves, no texto completo licenciado.</x:v>
      </x:c>
      <x:c r="K44" s="12" t="n">
        <x:f>IF(OR(F44="CAPTURADA",F44="REPRESENTACION_WEB_PARCIAL"),IF(LEN(H44)=64,0,1),0)</x:f>
        <x:v>0</x:v>
      </x:c>
      <x:c r="L44" s="12" t="n">
        <x:f>COUNTIF('02_Custodia'!$A$5:$A$53,A44)-1</x:f>
        <x:v>0</x:v>
      </x:c>
    </x:row>
    <x:row r="45" ht="47" customHeight="1">
      <x:c r="A45" s="4" t="str">
        <x:v>A006</x:v>
      </x:c>
      <x:c r="B45" s="4" t="str">
        <x:v>https://hosting04.uc3m.es/gdc/datos/plan_docente_profesorado/plan_estudios_profesorado_288.pdf</x:v>
      </x:c>
      <x:c r="C45" s="4" t="str">
        <x:v>https://hosting04.uc3m.es/gdc/datos/plan_docente_profesorado/plan_estudios_profesorado_288.pdf</x:v>
      </x:c>
      <x:c r="D45" s="4" t="str">
        <x:v>UTC · NO_CONSTA</x:v>
      </x:c>
      <x:c r="E45" s="4" t="str">
        <x:v>HTML_ORIGINAL</x:v>
      </x:c>
      <x:c r="F45" s="4" t="str">
        <x:v>NO_CAPTURADA</x:v>
      </x:c>
      <x:c r="G45" s="4" t="str"/>
      <x:c r="H45" s="4" t="str"/>
      <x:c r="I45" s="4" t="str">
        <x:v>Adquisición fallida; sin contenido adoptable.</x:v>
      </x:c>
      <x:c r="J45" s="4" t="str">
        <x:v>Consulta pública; se publican metadatos y fragmentos breves, no texto completo licenciado.</x:v>
      </x:c>
      <x:c r="K45" s="12" t="n">
        <x:f>IF(OR(F45="CAPTURADA",F45="REPRESENTACION_WEB_PARCIAL"),IF(LEN(H45)=64,0,1),0)</x:f>
        <x:v>0</x:v>
      </x:c>
      <x:c r="L45" s="12" t="n">
        <x:f>COUNTIF('02_Custodia'!$A$5:$A$53,A45)-1</x:f>
        <x:v>0</x:v>
      </x:c>
    </x:row>
    <x:row r="46" ht="47" customHeight="1">
      <x:c r="A46" s="4" t="str">
        <x:v>A007</x:v>
      </x:c>
      <x:c r="B46" s="4" t="str">
        <x:v>https://www.imda.gov.sg/assets/61b11126-441b-48fb-baed-5cebb6279305.pdf</x:v>
      </x:c>
      <x:c r="C46" s="4" t="str">
        <x:v>https://www.imda.gov.sg/assets/61b11126-441b-48fb-baed-5cebb6279305.pdf</x:v>
      </x:c>
      <x:c r="D46" s="4" t="str">
        <x:v>UTC · 2026-09-08T15:45:30.627737+00:00</x:v>
      </x:c>
      <x:c r="E46" s="4" t="str">
        <x:v>PDF_ORIGINAL</x:v>
      </x:c>
      <x:c r="F46" s="4" t="str">
        <x:v>CAPTURADA</x:v>
      </x:c>
      <x:c r="G46" s="4" t="str">
        <x:v>5223203</x:v>
      </x:c>
      <x:c r="H46" s="4" t="str">
        <x:v>77c15aa610a3f41b2043115359685d51f53a5afeaf5e180943b63e0cc3f44027</x:v>
      </x:c>
      <x:c r="I46" s="4" t="str">
        <x:v>Captura original íntegra; fragmentos de uso preservados; no adopción íntegra del documento.</x:v>
      </x:c>
      <x:c r="J46" s="4" t="str">
        <x:v>Consulta pública; se publican metadatos y fragmentos breves, no texto completo licenciado.</x:v>
      </x:c>
      <x:c r="K46" s="12" t="n">
        <x:f>IF(OR(F46="CAPTURADA",F46="REPRESENTACION_WEB_PARCIAL"),IF(LEN(H46)=64,0,1),0)</x:f>
        <x:v>0</x:v>
      </x:c>
      <x:c r="L46" s="12" t="n">
        <x:f>COUNTIF('02_Custodia'!$A$5:$A$53,A46)-1</x:f>
        <x:v>0</x:v>
      </x:c>
    </x:row>
    <x:row r="47" ht="60" customHeight="1">
      <x:c r="A47" s="4" t="str">
        <x:v>A008</x:v>
      </x:c>
      <x:c r="B47" s="4" t="str">
        <x:v>https://www.enisa.europa.eu/sites/default/files/publications/European%20Cybersecurity%20Skills%20Framework%20Role%20Profiles.pdf</x:v>
      </x:c>
      <x:c r="C47" s="4" t="str">
        <x:v>https://www.enisa.europa.eu/sites/default/files/publications/European%20Cybersecurity%20Skills%20Framework%20Role%20Profiles.pdf</x:v>
      </x:c>
      <x:c r="D47" s="4" t="str">
        <x:v>UTC · 2026-09-08T15:48:07.063976+00:00</x:v>
      </x:c>
      <x:c r="E47" s="4" t="str">
        <x:v>PDF_ORIGINAL</x:v>
      </x:c>
      <x:c r="F47" s="4" t="str">
        <x:v>CAPTURADA</x:v>
      </x:c>
      <x:c r="G47" s="4" t="str">
        <x:v>983388</x:v>
      </x:c>
      <x:c r="H47" s="4" t="str">
        <x:v>10bd5a6e7f5d3214f04de67dbc47f3707ce185d69634738d7164f2b4cd28ffc9</x:v>
      </x:c>
      <x:c r="I47" s="4" t="str">
        <x:v>Captura original íntegra; fragmentos de uso preservados; no adopción íntegra del documento.</x:v>
      </x:c>
      <x:c r="J47" s="4" t="str">
        <x:v>ENISA 2022, CC BY 4.0; atribución; normalizaciones no oficiales.</x:v>
      </x:c>
      <x:c r="K47" s="12" t="n">
        <x:f>IF(OR(F47="CAPTURADA",F47="REPRESENTACION_WEB_PARCIAL"),IF(LEN(H47)=64,0,1),0)</x:f>
        <x:v>0</x:v>
      </x:c>
      <x:c r="L47" s="12" t="n">
        <x:f>COUNTIF('02_Custodia'!$A$5:$A$53,A47)-1</x:f>
        <x:v>0</x:v>
      </x:c>
    </x:row>
    <x:row r="48" ht="47" customHeight="1">
      <x:c r="A48" s="4" t="str">
        <x:v>A009</x:v>
      </x:c>
      <x:c r="B48" s="4" t="str">
        <x:v>https://www.heinz.cmu.edu/sites/default/files/cmu-heinz-files/docs/msispm-student-handbook.pdf</x:v>
      </x:c>
      <x:c r="C48" s="4" t="str">
        <x:v>https://www.heinz.cmu.edu/sites/default/files/cmu-heinz-files/docs/msispm-student-handbook.pdf</x:v>
      </x:c>
      <x:c r="D48" s="4" t="str">
        <x:v>UTC · 2026-09-08T15:48:06.999385+00:00</x:v>
      </x:c>
      <x:c r="E48" s="4" t="str">
        <x:v>PDF_ORIGINAL</x:v>
      </x:c>
      <x:c r="F48" s="4" t="str">
        <x:v>CAPTURADA</x:v>
      </x:c>
      <x:c r="G48" s="4" t="str">
        <x:v>321729</x:v>
      </x:c>
      <x:c r="H48" s="4" t="str">
        <x:v>3d425fc4cb0bc99d25e40f0df7cbb081b55c9def8cbb8617c1c0547845a03285</x:v>
      </x:c>
      <x:c r="I48" s="4" t="str">
        <x:v>Captura original íntegra; fragmentos de uso preservados; no adopción íntegra del documento.</x:v>
      </x:c>
      <x:c r="J48" s="4" t="str">
        <x:v>Consulta pública; se publican metadatos y fragmentos breves, no texto completo licenciado.</x:v>
      </x:c>
      <x:c r="K48" s="12" t="n">
        <x:f>IF(OR(F48="CAPTURADA",F48="REPRESENTACION_WEB_PARCIAL"),IF(LEN(H48)=64,0,1),0)</x:f>
        <x:v>0</x:v>
      </x:c>
      <x:c r="L48" s="12" t="n">
        <x:f>COUNTIF('02_Custodia'!$A$5:$A$53,A48)-1</x:f>
        <x:v>0</x:v>
      </x:c>
    </x:row>
    <x:row r="49" ht="47" customHeight="1">
      <x:c r="A49" s="4" t="str">
        <x:v>A010</x:v>
      </x:c>
      <x:c r="B49" s="4" t="str">
        <x:v>https://genai.owasp.org/resource/owasp-genai-llm-top-10-2026/</x:v>
      </x:c>
      <x:c r="C49" s="4" t="str">
        <x:v>https://genai.owasp.org/resource/owasp-genai-llm-top-10-2026/</x:v>
      </x:c>
      <x:c r="D49" s="4" t="str">
        <x:v>UTC · 2026-09-08T15:47:59.274744+00:00</x:v>
      </x:c>
      <x:c r="E49" s="4" t="str">
        <x:v>HTML_ORIGINAL</x:v>
      </x:c>
      <x:c r="F49" s="4" t="str">
        <x:v>CAPTURADA</x:v>
      </x:c>
      <x:c r="G49" s="4" t="str">
        <x:v>351846</x:v>
      </x:c>
      <x:c r="H49" s="4" t="str">
        <x:v>ef275d4510acc39b10fa07cb0794e753e2b36068a71f66cede6a8563d37e8833</x:v>
      </x:c>
      <x:c r="I49" s="4" t="str">
        <x:v>Captura original íntegra; fragmentos de uso preservados; no adopción íntegra del documento.</x:v>
      </x:c>
      <x:c r="J49" s="4" t="str">
        <x:v>Consulta pública; se publican metadatos y fragmentos breves, no texto completo licenciado.</x:v>
      </x:c>
      <x:c r="K49" s="12" t="n">
        <x:f>IF(OR(F49="CAPTURADA",F49="REPRESENTACION_WEB_PARCIAL"),IF(LEN(H49)=64,0,1),0)</x:f>
        <x:v>0</x:v>
      </x:c>
      <x:c r="L49" s="12" t="n">
        <x:f>COUNTIF('02_Custodia'!$A$5:$A$53,A49)-1</x:f>
        <x:v>0</x:v>
      </x:c>
    </x:row>
    <x:row r="50" ht="47" customHeight="1">
      <x:c r="A50" s="4" t="str">
        <x:v>A011</x:v>
      </x:c>
      <x:c r="B50" s="4" t="str">
        <x:v>https://owasp.org/www-project-top-10-for-large-language-model-applications/</x:v>
      </x:c>
      <x:c r="C50" s="4" t="str">
        <x:v>https://owasp.org/www-project-top-10-for-large-language-model-applications/</x:v>
      </x:c>
      <x:c r="D50" s="4" t="str">
        <x:v>UTC · 2026-09-08T15:48:00.944051+00:00</x:v>
      </x:c>
      <x:c r="E50" s="4" t="str">
        <x:v>HTML_ORIGINAL</x:v>
      </x:c>
      <x:c r="F50" s="4" t="str">
        <x:v>CAPTURADA</x:v>
      </x:c>
      <x:c r="G50" s="4" t="str">
        <x:v>43880</x:v>
      </x:c>
      <x:c r="H50" s="4" t="str">
        <x:v>fac0ea9cda6436fe2f7eda7d5c8618c545596bcc1d55061d96df3a7a2f70b5cf</x:v>
      </x:c>
      <x:c r="I50" s="4" t="str">
        <x:v>Captura original íntegra; fragmentos de uso preservados; no adopción íntegra del documento.</x:v>
      </x:c>
      <x:c r="J50" s="4" t="str">
        <x:v>Consulta pública; se publican metadatos y fragmentos breves, no texto completo licenciado.</x:v>
      </x:c>
      <x:c r="K50" s="12" t="n">
        <x:f>IF(OR(F50="CAPTURADA",F50="REPRESENTACION_WEB_PARCIAL"),IF(LEN(H50)=64,0,1),0)</x:f>
        <x:v>0</x:v>
      </x:c>
      <x:c r="L50" s="12" t="n">
        <x:f>COUNTIF('02_Custodia'!$A$5:$A$53,A50)-1</x:f>
        <x:v>0</x:v>
      </x:c>
    </x:row>
    <x:row r="51" ht="60" customHeight="1">
      <x:c r="A51" s="4" t="str">
        <x:v>A012</x:v>
      </x:c>
      <x:c r="B51" s="4" t="str">
        <x:v>https://www.nist.gov/itl/applied-cybersecurity/nice/nice-framework-resource-center/resources/international-cybersecurity</x:v>
      </x:c>
      <x:c r="C51" s="4" t="str">
        <x:v>https://www.nist.gov/itl/applied-cybersecurity/nice/nice-framework-resource-center/resources/international-cybersecurity</x:v>
      </x:c>
      <x:c r="D51" s="4" t="str">
        <x:v>UTC · 2026-09-08T15:47:58.813178+00:00</x:v>
      </x:c>
      <x:c r="E51" s="4" t="str">
        <x:v>HTML_ORIGINAL</x:v>
      </x:c>
      <x:c r="F51" s="4" t="str">
        <x:v>CAPTURADA</x:v>
      </x:c>
      <x:c r="G51" s="4" t="str">
        <x:v>92931</x:v>
      </x:c>
      <x:c r="H51" s="4" t="str">
        <x:v>58d7b9cdb5dc03d9bc77694bfb0d2b034497ee19ef955993639a05c51ac08094</x:v>
      </x:c>
      <x:c r="I51" s="4" t="str">
        <x:v>Captura original íntegra; fragmentos de uso preservados; no adopción íntegra del documento.</x:v>
      </x:c>
      <x:c r="J51" s="4" t="str">
        <x:v>Consulta pública; se publican metadatos y fragmentos breves, no texto completo licenciado.</x:v>
      </x:c>
      <x:c r="K51" s="12" t="n">
        <x:f>IF(OR(F51="CAPTURADA",F51="REPRESENTACION_WEB_PARCIAL"),IF(LEN(H51)=64,0,1),0)</x:f>
        <x:v>0</x:v>
      </x:c>
      <x:c r="L51" s="12" t="n">
        <x:f>COUNTIF('02_Custodia'!$A$5:$A$53,A51)-1</x:f>
        <x:v>0</x:v>
      </x:c>
    </x:row>
    <x:row r="52" ht="47" customHeight="1">
      <x:c r="A52" s="4" t="str">
        <x:v>A013</x:v>
      </x:c>
      <x:c r="B52" s="4" t="str">
        <x:v>https://genai.owasp.org/download/56857/?tmstv=1785822482</x:v>
      </x:c>
      <x:c r="C52" s="4" t="str">
        <x:v>https://genai.owasp.org/download/56857/?tmstv=1785822482</x:v>
      </x:c>
      <x:c r="D52" s="4" t="str">
        <x:v>UTC · 2026-09-08T15:48:55.970499+00:00</x:v>
      </x:c>
      <x:c r="E52" s="4" t="str">
        <x:v>PDF_ORIGINAL</x:v>
      </x:c>
      <x:c r="F52" s="4" t="str">
        <x:v>CAPTURADA</x:v>
      </x:c>
      <x:c r="G52" s="4" t="str">
        <x:v>2402520</x:v>
      </x:c>
      <x:c r="H52" s="4" t="str">
        <x:v>ef87993a4e50ae9d83b41ff7a3d3e6320a82dfa8d4ec6bf98d0ce264b2e6108e</x:v>
      </x:c>
      <x:c r="I52" s="4" t="str">
        <x:v>Captura original íntegra; fragmentos de uso preservados; no adopción íntegra del documento.</x:v>
      </x:c>
      <x:c r="J52" s="4" t="str">
        <x:v>Proyecto OWASP; licencia declarada CC BY-SA 4.0; fragmentos atribuidos; normalización no oficial.</x:v>
      </x:c>
      <x:c r="K52" s="12" t="n">
        <x:f>IF(OR(F52="CAPTURADA",F52="REPRESENTACION_WEB_PARCIAL"),IF(LEN(H52)=64,0,1),0)</x:f>
        <x:v>0</x:v>
      </x:c>
      <x:c r="L52" s="12" t="n">
        <x:f>COUNTIF('02_Custodia'!$A$5:$A$53,A52)-1</x:f>
        <x:v>0</x:v>
      </x:c>
    </x:row>
    <x:row r="53" ht="47" customHeight="1">
      <x:c r="A53" s="4" t="str">
        <x:v>F036</x:v>
      </x:c>
      <x:c r="B53" s="4" t="str">
        <x:v>https://www.ncsc.gov.uk/report/impact-ai-cyber-threat-now-2027</x:v>
      </x:c>
      <x:c r="C53" s="4" t="str">
        <x:v>https://www.ncsc.gov.uk/report/impact-ai-cyber-threat-now-2027</x:v>
      </x:c>
      <x:c r="D53" s="4" t="str">
        <x:v>UTC · 2026-09-08T15:48:51.593931+00:00</x:v>
      </x:c>
      <x:c r="E53" s="4" t="str">
        <x:v>HTML_ORIGINAL</x:v>
      </x:c>
      <x:c r="F53" s="4" t="str">
        <x:v>CAPTURADA</x:v>
      </x:c>
      <x:c r="G53" s="4" t="str">
        <x:v>150126</x:v>
      </x:c>
      <x:c r="H53" s="4" t="str">
        <x:v>2e3180f4b9420e4f5ec3687974468b275d5700f189c40fa702c67851f8709171</x:v>
      </x:c>
      <x:c r="I53" s="4" t="str">
        <x:v>Captura original íntegra; fragmentos de uso preservados; no adopción íntegra del documento.</x:v>
      </x:c>
      <x:c r="J53" s="4" t="str">
        <x:v>Consulta pública; se publican metadatos y fragmentos breves, no texto completo licenciado.</x:v>
      </x:c>
      <x:c r="K53" s="12" t="n">
        <x:f>IF(OR(F53="CAPTURADA",F53="REPRESENTACION_WEB_PARCIAL"),IF(LEN(H53)=64,0,1),0)</x:f>
        <x:v>0</x:v>
      </x:c>
      <x:c r="L53" s="12" t="n">
        <x:f>COUNTIF('02_Custodia'!$A$5:$A$53,A53)-1</x:f>
        <x:v>0</x:v>
      </x:c>
    </x:row>
  </x:sheetData>
  <x:mergeCells>
    <x:mergeCell ref="A1:D1"/>
    <x:mergeCell ref="A2:F2"/>
  </x:mergeCells>
  <x:pageMargins left="0.7" right="0.7" top="0.75" bottom="0.75" header="0.3" footer="0.3"/>
  <x:tableParts count="1">
    <x:tablePart xmlns:r="http://schemas.openxmlformats.org/officeDocument/2006/relationships" r:id="R898a085a301147f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9" hidden="0" customWidth="1"/>
    <x:col min="2" max="2" width="22" hidden="0" customWidth="1"/>
    <x:col min="3" max="3" width="36" hidden="0" customWidth="1"/>
    <x:col min="4" max="4" width="65" hidden="0" customWidth="1"/>
    <x:col min="5" max="5" width="37" hidden="0" customWidth="1"/>
    <x:col min="6" max="6" width="65" hidden="0" customWidth="1"/>
    <x:col min="7" max="7" width="10" hidden="0" customWidth="1"/>
    <x:col min="8" max="8" width="19" hidden="0" customWidth="1"/>
    <x:col min="9" max="9" width="12" hidden="0" customWidth="1"/>
    <x:col min="10" max="10" width="12" hidden="0" customWidth="1"/>
    <x:col min="11" max="11" width="41" hidden="0" customWidth="1"/>
    <x:col min="12" max="12" width="34" hidden="0" customWidth="1"/>
    <x:col min="13" max="13" width="12" hidden="0" customWidth="1"/>
    <x:col min="14" max="14" width="15" hidden="0" customWidth="1"/>
    <x:col min="15" max="15" width="13" hidden="0" customWidth="1"/>
  </x:cols>
  <x:sheetData>
    <x:row r="1" ht="35" customHeight="1">
      <x:c r="A1" s="6" t="str">
        <x:v>NICE · roles y áreas de competencia</x:v>
      </x:c>
      <x:c r="B1" s="6"/>
      <x:c r="C1" s="6"/>
      <x:c r="D1" s="6"/>
      <x:c r="E1" s="6"/>
      <x:c r="F1" s="6"/>
      <x:c r="G1" s="6"/>
      <x:c r="H1" s="6"/>
      <x:c r="I1" s="6"/>
      <x:c r="J1" s="6"/>
      <x:c r="K1" s="6"/>
      <x:c r="L1" s="6"/>
      <x:c r="M1" s="6"/>
      <x:c r="N1" s="6"/>
      <x:c r="O1" s="6"/>
    </x:row>
    <x:row r="2" ht="52" customHeight="1">
      <x:c r="A2" s="8" t="str">
        <x:v>Contraste profesional: 42 roles y 11 áreas de NICE 2.2.0. No es el rector educativo. Las operaciones primarias son enlaces históricos, no una selección de universo.</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 externo</x:v>
      </x:c>
      <x:c r="B4" s="10" t="str">
        <x:v>Tipo NICE</x:v>
      </x:c>
      <x:c r="C4" s="10" t="str">
        <x:v>Título original</x:v>
      </x:c>
      <x:c r="D4" s="10" t="str">
        <x:v>Definición original</x:v>
      </x:c>
      <x:c r="E4" s="10" t="str">
        <x:v>Rótulo español</x:v>
      </x:c>
      <x:c r="F4" s="10" t="str">
        <x:v>Síntesis española</x:v>
      </x:c>
      <x:c r="G4" s="10" t="str">
        <x:v>Eje</x:v>
      </x:c>
      <x:c r="H4" s="10" t="str">
        <x:v>Operación primaria</x:v>
      </x:c>
      <x:c r="I4" s="10" t="str">
        <x:v>Fuente</x:v>
      </x:c>
      <x:c r="J4" s="10" t="str">
        <x:v>Edición</x:v>
      </x:c>
      <x:c r="K4" s="10" t="str">
        <x:v>Estado externo</x:v>
      </x:c>
      <x:c r="L4" s="10" t="str">
        <x:v>Adopción de afirmación</x:v>
      </x:c>
      <x:c r="M4" s="10" t="str">
        <x:v>Duplicado</x:v>
      </x:c>
      <x:c r="N4" s="10" t="str">
        <x:v>Referencia ausente</x:v>
      </x:c>
      <x:c r="O4" s="10" t="str">
        <x:v>Campo ausente</x:v>
      </x:c>
    </x:row>
    <x:row r="5" ht="92" customHeight="1">
      <x:c r="A5" s="4" t="str">
        <x:v>DD-WRL-001</x:v>
      </x:c>
      <x:c r="B5" s="4" t="str">
        <x:v>work_role</x:v>
      </x:c>
      <x:c r="C5" s="4" t="str">
        <x:v>Cybersecurity Architecture</x:v>
      </x:c>
      <x:c r="D5" s="4" t="str">
        <x:v>Responsible for ensuring that security requirements are adequately addressed in all aspects of enterprise architecture, including reference models, segment and solution architectures, and the resulting systems that protect and support organizational mission and business processes.</x:v>
      </x:c>
      <x:c r="E5" s="4" t="str">
        <x:v>Arquitectura de ciberseguridad</x:v>
      </x:c>
      <x:c r="F5" s="4" t="str">
        <x:v>Integrar requisitos de seguridad en arquitecturas de empresa, soluciones y sistemas.</x:v>
      </x:c>
      <x:c r="G5" s="4" t="str">
        <x:v>E02</x:v>
      </x:c>
      <x:c r="H5" s="4" t="str">
        <x:v>OPC-02</x:v>
      </x:c>
      <x:c r="I5" s="4" t="str">
        <x:v>F001</x:v>
      </x:c>
      <x:c r="J5" s="4" t="str">
        <x:v>2.2.0</x:v>
      </x:c>
      <x:c r="K5" s="4" t="str">
        <x:v>PRESENTE_EN_CORTE; sin revisión individual declarada</x:v>
      </x:c>
      <x:c r="L5" s="4" t="str">
        <x:v>CANDIDATA_NO_ADOPTADA</x:v>
      </x:c>
      <x:c r="M5" s="12" t="n">
        <x:f>COUNTIF('03_NICE'!$A$5:$A$57,A5)+COUNTIF('04_TKS'!$A$5:$A$72,A5)-1</x:f>
        <x:v>0</x:v>
      </x:c>
      <x:c r="N5" s="12" t="n">
        <x:f>IF(AND(COUNTIF('01_Fuentes'!$A$5:$A$40,I5)=1,COUNTIF('07_Operaciones'!$A$5:$A$26,H5)=1,COUNTIF('06_Cobertura'!$A$5:$A$25,G5)=1),0,1)</x:f>
        <x:v>0</x:v>
      </x:c>
      <x:c r="O5" s="12" t="n">
        <x:f>IF(OR(A5="",D5="",F5=""),1,0)</x:f>
        <x:v>0</x:v>
      </x:c>
    </x:row>
    <x:row r="6" ht="76" customHeight="1">
      <x:c r="A6" s="4" t="str">
        <x:v>DD-WRL-002</x:v>
      </x:c>
      <x:c r="B6" s="4" t="str">
        <x:v>work_role</x:v>
      </x:c>
      <x:c r="C6" s="4" t="str">
        <x:v>Enterprise Architecture</x:v>
      </x:c>
      <x:c r="D6" s="4" t="str">
        <x:v>Responsible for developing and maintaining business, systems, and information processes to support enterprise mission needs. Develops technology rules and requirements that describe baseline and target architectures.</x:v>
      </x:c>
      <x:c r="E6" s="4" t="str">
        <x:v>Arquitectura empresarial</x:v>
      </x:c>
      <x:c r="F6" s="4" t="str">
        <x:v>Definir procesos y arquitecturas objetivo que soporten la misión, acotando aquí sus dependencias de seguridad.</x:v>
      </x:c>
      <x:c r="G6" s="4" t="str">
        <x:v>E02</x:v>
      </x:c>
      <x:c r="H6" s="4" t="str">
        <x:v>OPC-02</x:v>
      </x:c>
      <x:c r="I6" s="4" t="str">
        <x:v>F001</x:v>
      </x:c>
      <x:c r="J6" s="4" t="str">
        <x:v>2.2.0</x:v>
      </x:c>
      <x:c r="K6" s="4" t="str">
        <x:v>PRESENTE_EN_CORTE; sin revisión individual declarada</x:v>
      </x:c>
      <x:c r="L6" s="4" t="str">
        <x:v>CANDIDATA_NO_ADOPTADA</x:v>
      </x:c>
      <x:c r="M6" s="12" t="n">
        <x:f>COUNTIF('03_NICE'!$A$5:$A$57,A6)+COUNTIF('04_TKS'!$A$5:$A$72,A6)-1</x:f>
        <x:v>0</x:v>
      </x:c>
      <x:c r="N6" s="12" t="n">
        <x:f>IF(AND(COUNTIF('01_Fuentes'!$A$5:$A$40,I6)=1,COUNTIF('07_Operaciones'!$A$5:$A$26,H6)=1,COUNTIF('06_Cobertura'!$A$5:$A$25,G6)=1),0,1)</x:f>
        <x:v>0</x:v>
      </x:c>
      <x:c r="O6" s="12" t="n">
        <x:f>IF(OR(A6="",D6="",F6=""),1,0)</x:f>
        <x:v>0</x:v>
      </x:c>
    </x:row>
    <x:row r="7" ht="60" customHeight="1">
      <x:c r="A7" s="4" t="str">
        <x:v>DD-WRL-003</x:v>
      </x:c>
      <x:c r="B7" s="4" t="str">
        <x:v>work_role</x:v>
      </x:c>
      <x:c r="C7" s="4" t="str">
        <x:v>Secure Software Development</x:v>
      </x:c>
      <x:c r="D7" s="4" t="str">
        <x:v>Responsible for developing, creating, modifying, and maintaining computer applications, software, or specialized utility programs.</x:v>
      </x:c>
      <x:c r="E7" s="4" t="str">
        <x:v>Desarrollo seguro de software</x:v>
      </x:c>
      <x:c r="F7" s="4" t="str">
        <x:v>Crear y mantener aplicaciones y utilidades con responsabilidades de desarrollo seguro.</x:v>
      </x:c>
      <x:c r="G7" s="4" t="str">
        <x:v>E06</x:v>
      </x:c>
      <x:c r="H7" s="4" t="str">
        <x:v>OPC-05</x:v>
      </x:c>
      <x:c r="I7" s="4" t="str">
        <x:v>F001</x:v>
      </x:c>
      <x:c r="J7" s="4" t="str">
        <x:v>2.2.0</x:v>
      </x:c>
      <x:c r="K7" s="4" t="str">
        <x:v>PRESENTE_EN_CORTE; sin revisión individual declarada</x:v>
      </x:c>
      <x:c r="L7" s="4" t="str">
        <x:v>CANDIDATA_NO_ADOPTADA</x:v>
      </x:c>
      <x:c r="M7" s="12" t="n">
        <x:f>COUNTIF('03_NICE'!$A$5:$A$57,A7)+COUNTIF('04_TKS'!$A$5:$A$72,A7)-1</x:f>
        <x:v>0</x:v>
      </x:c>
      <x:c r="N7" s="12" t="n">
        <x:f>IF(AND(COUNTIF('01_Fuentes'!$A$5:$A$40,I7)=1,COUNTIF('07_Operaciones'!$A$5:$A$26,H7)=1,COUNTIF('06_Cobertura'!$A$5:$A$25,G7)=1),0,1)</x:f>
        <x:v>0</x:v>
      </x:c>
      <x:c r="O7" s="12" t="n">
        <x:f>IF(OR(A7="",D7="",F7=""),1,0)</x:f>
        <x:v>0</x:v>
      </x:c>
    </x:row>
    <x:row r="8" ht="60" customHeight="1">
      <x:c r="A8" s="4" t="str">
        <x:v>DD-WRL-004</x:v>
      </x:c>
      <x:c r="B8" s="4" t="str">
        <x:v>work_role</x:v>
      </x:c>
      <x:c r="C8" s="4" t="str">
        <x:v>Secure Systems Development</x:v>
      </x:c>
      <x:c r="D8" s="4" t="str">
        <x:v>Responsible for the secure design, development, and testing of systems and the evaluation of system security throughout the systems development life cycle.</x:v>
      </x:c>
      <x:c r="E8" s="4" t="str">
        <x:v>Desarrollo de sistemas seguros</x:v>
      </x:c>
      <x:c r="F8" s="4" t="str">
        <x:v>Diseñar, desarrollar y probar sistemas y evaluar su seguridad durante el ciclo de vida.</x:v>
      </x:c>
      <x:c r="G8" s="4" t="str">
        <x:v>E02</x:v>
      </x:c>
      <x:c r="H8" s="4" t="str">
        <x:v>OPC-02</x:v>
      </x:c>
      <x:c r="I8" s="4" t="str">
        <x:v>F001</x:v>
      </x:c>
      <x:c r="J8" s="4" t="str">
        <x:v>2.2.0</x:v>
      </x:c>
      <x:c r="K8" s="4" t="str">
        <x:v>PRESENTE_EN_CORTE; sin revisión individual declarada</x:v>
      </x:c>
      <x:c r="L8" s="4" t="str">
        <x:v>CANDIDATA_NO_ADOPTADA</x:v>
      </x:c>
      <x:c r="M8" s="12" t="n">
        <x:f>COUNTIF('03_NICE'!$A$5:$A$57,A8)+COUNTIF('04_TKS'!$A$5:$A$72,A8)-1</x:f>
        <x:v>0</x:v>
      </x:c>
      <x:c r="N8" s="12" t="n">
        <x:f>IF(AND(COUNTIF('01_Fuentes'!$A$5:$A$40,I8)=1,COUNTIF('07_Operaciones'!$A$5:$A$26,H8)=1,COUNTIF('06_Cobertura'!$A$5:$A$25,G8)=1),0,1)</x:f>
        <x:v>0</x:v>
      </x:c>
      <x:c r="O8" s="12" t="n">
        <x:f>IF(OR(A8="",D8="",F8=""),1,0)</x:f>
        <x:v>0</x:v>
      </x:c>
    </x:row>
    <x:row r="9" ht="60" customHeight="1">
      <x:c r="A9" s="4" t="str">
        <x:v>DD-WRL-005</x:v>
      </x:c>
      <x:c r="B9" s="4" t="str">
        <x:v>work_role</x:v>
      </x:c>
      <x:c r="C9" s="4" t="str">
        <x:v>Software Security Assessment</x:v>
      </x:c>
      <x:c r="D9" s="4" t="str">
        <x:v>Responsible for analyzing the security of new or existing computer applications, software, or specialized utility programs and delivering actionable results.</x:v>
      </x:c>
      <x:c r="E9" s="4" t="str">
        <x:v>Evaluación de seguridad del software</x:v>
      </x:c>
      <x:c r="F9" s="4" t="str">
        <x:v>Analizar seguridad de aplicaciones existentes o nuevas y comunicar resultados utilizables.</x:v>
      </x:c>
      <x:c r="G9" s="4" t="str">
        <x:v>E06</x:v>
      </x:c>
      <x:c r="H9" s="4" t="str">
        <x:v>OPC-05</x:v>
      </x:c>
      <x:c r="I9" s="4" t="str">
        <x:v>F001</x:v>
      </x:c>
      <x:c r="J9" s="4" t="str">
        <x:v>2.2.0</x:v>
      </x:c>
      <x:c r="K9" s="4" t="str">
        <x:v>PRESENTE_EN_CORTE; sin revisión individual declarada</x:v>
      </x:c>
      <x:c r="L9" s="4" t="str">
        <x:v>CANDIDATA_NO_ADOPTADA</x:v>
      </x:c>
      <x:c r="M9" s="12" t="n">
        <x:f>COUNTIF('03_NICE'!$A$5:$A$57,A9)+COUNTIF('04_TKS'!$A$5:$A$72,A9)-1</x:f>
        <x:v>0</x:v>
      </x:c>
      <x:c r="N9" s="12" t="n">
        <x:f>IF(AND(COUNTIF('01_Fuentes'!$A$5:$A$40,I9)=1,COUNTIF('07_Operaciones'!$A$5:$A$26,H9)=1,COUNTIF('06_Cobertura'!$A$5:$A$25,G9)=1),0,1)</x:f>
        <x:v>0</x:v>
      </x:c>
      <x:c r="O9" s="12" t="n">
        <x:f>IF(OR(A9="",D9="",F9=""),1,0)</x:f>
        <x:v>0</x:v>
      </x:c>
    </x:row>
    <x:row r="10" ht="76" customHeight="1">
      <x:c r="A10" s="4" t="str">
        <x:v>DD-WRL-006</x:v>
      </x:c>
      <x:c r="B10" s="4" t="str">
        <x:v>work_role</x:v>
      </x:c>
      <x:c r="C10" s="4" t="str">
        <x:v>Systems Requirements Planning</x:v>
      </x:c>
      <x:c r="D10" s="4" t="str">
        <x:v>Responsible for consulting with internal and external customers to evaluate and translate functional requirements and integrating security policies into technical solutions.</x:v>
      </x:c>
      <x:c r="E10" s="4" t="str">
        <x:v>Planificación de requisitos</x:v>
      </x:c>
      <x:c r="F10" s="4" t="str">
        <x:v>Traducir necesidades funcionales e integrar políticas de seguridad en soluciones técnicas.</x:v>
      </x:c>
      <x:c r="G10" s="4" t="str">
        <x:v>E02</x:v>
      </x:c>
      <x:c r="H10" s="4" t="str">
        <x:v>OPC-02</x:v>
      </x:c>
      <x:c r="I10" s="4" t="str">
        <x:v>F001</x:v>
      </x:c>
      <x:c r="J10" s="4" t="str">
        <x:v>2.2.0</x:v>
      </x:c>
      <x:c r="K10" s="4" t="str">
        <x:v>PRESENTE_EN_CORTE; sin revisión individual declarada</x:v>
      </x:c>
      <x:c r="L10" s="4" t="str">
        <x:v>CANDIDATA_NO_ADOPTADA</x:v>
      </x:c>
      <x:c r="M10" s="12" t="n">
        <x:f>COUNTIF('03_NICE'!$A$5:$A$57,A10)+COUNTIF('04_TKS'!$A$5:$A$72,A10)-1</x:f>
        <x:v>0</x:v>
      </x:c>
      <x:c r="N10" s="12" t="n">
        <x:f>IF(AND(COUNTIF('01_Fuentes'!$A$5:$A$40,I10)=1,COUNTIF('07_Operaciones'!$A$5:$A$26,H10)=1,COUNTIF('06_Cobertura'!$A$5:$A$25,G10)=1),0,1)</x:f>
        <x:v>0</x:v>
      </x:c>
      <x:c r="O10" s="12" t="n">
        <x:f>IF(OR(A10="",D10="",F10=""),1,0)</x:f>
        <x:v>0</x:v>
      </x:c>
    </x:row>
    <x:row r="11" ht="60" customHeight="1">
      <x:c r="A11" s="4" t="str">
        <x:v>DD-WRL-007</x:v>
      </x:c>
      <x:c r="B11" s="4" t="str">
        <x:v>work_role</x:v>
      </x:c>
      <x:c r="C11" s="4" t="str">
        <x:v>Systems Testing and Evaluation</x:v>
      </x:c>
      <x:c r="D11" s="4" t="str">
        <x:v>Responsible for planning, preparing, and executing system tests; evaluating test results against specifications and requirements; and reporting test results and findings.</x:v>
      </x:c>
      <x:c r="E11" s="4" t="str">
        <x:v>Prueba y evaluación de sistemas</x:v>
      </x:c>
      <x:c r="F11" s="4" t="str">
        <x:v>Preparar y ejecutar pruebas, contrastar requisitos y documentar hallazgos.</x:v>
      </x:c>
      <x:c r="G11" s="4" t="str">
        <x:v>E08</x:v>
      </x:c>
      <x:c r="H11" s="4" t="str">
        <x:v>OPC-04</x:v>
      </x:c>
      <x:c r="I11" s="4" t="str">
        <x:v>F001</x:v>
      </x:c>
      <x:c r="J11" s="4" t="str">
        <x:v>2.2.0</x:v>
      </x:c>
      <x:c r="K11" s="4" t="str">
        <x:v>PRESENTE_EN_CORTE; sin revisión individual declarada</x:v>
      </x:c>
      <x:c r="L11" s="4" t="str">
        <x:v>CANDIDATA_NO_ADOPTADA</x:v>
      </x:c>
      <x:c r="M11" s="12" t="n">
        <x:f>COUNTIF('03_NICE'!$A$5:$A$57,A11)+COUNTIF('04_TKS'!$A$5:$A$72,A11)-1</x:f>
        <x:v>0</x:v>
      </x:c>
      <x:c r="N11" s="12" t="n">
        <x:f>IF(AND(COUNTIF('01_Fuentes'!$A$5:$A$40,I11)=1,COUNTIF('07_Operaciones'!$A$5:$A$26,H11)=1,COUNTIF('06_Cobertura'!$A$5:$A$25,G11)=1),0,1)</x:f>
        <x:v>0</x:v>
      </x:c>
      <x:c r="O11" s="12" t="n">
        <x:f>IF(OR(A11="",D11="",F11=""),1,0)</x:f>
        <x:v>0</x:v>
      </x:c>
    </x:row>
    <x:row r="12" ht="92" customHeight="1">
      <x:c r="A12" s="4" t="str">
        <x:v>DD-WRL-008</x:v>
      </x:c>
      <x:c r="B12" s="4" t="str">
        <x:v>work_role</x:v>
      </x:c>
      <x:c r="C12" s="4" t="str">
        <x:v>Technology Research and Development</x:v>
      </x:c>
      <x:c r="D12" s="4" t="str">
        <x:v>Responsible for conducting software and systems engineering and software systems research to develop new capabilities with fully integrated cybersecurity. Conducts comprehensive technology research to evaluate potential vulnerabilities in cyberspace systems.</x:v>
      </x:c>
      <x:c r="E12" s="4" t="str">
        <x:v>Investigación y desarrollo tecnológico</x:v>
      </x:c>
      <x:c r="F12" s="4" t="str">
        <x:v>Investigar capacidades y vulnerabilidades integrando ciberseguridad en la ingeniería.</x:v>
      </x:c>
      <x:c r="G12" s="4" t="str">
        <x:v>E17</x:v>
      </x:c>
      <x:c r="H12" s="4" t="str">
        <x:v>OPC-19</x:v>
      </x:c>
      <x:c r="I12" s="4" t="str">
        <x:v>F001</x:v>
      </x:c>
      <x:c r="J12" s="4" t="str">
        <x:v>2.2.0</x:v>
      </x:c>
      <x:c r="K12" s="4" t="str">
        <x:v>PRESENTE_EN_CORTE; sin revisión individual declarada</x:v>
      </x:c>
      <x:c r="L12" s="4" t="str">
        <x:v>CANDIDATA_NO_ADOPTADA</x:v>
      </x:c>
      <x:c r="M12" s="12" t="n">
        <x:f>COUNTIF('03_NICE'!$A$5:$A$57,A12)+COUNTIF('04_TKS'!$A$5:$A$72,A12)-1</x:f>
        <x:v>0</x:v>
      </x:c>
      <x:c r="N12" s="12" t="n">
        <x:f>IF(AND(COUNTIF('01_Fuentes'!$A$5:$A$40,I12)=1,COUNTIF('07_Operaciones'!$A$5:$A$26,H12)=1,COUNTIF('06_Cobertura'!$A$5:$A$25,G12)=1),0,1)</x:f>
        <x:v>0</x:v>
      </x:c>
      <x:c r="O12" s="12" t="n">
        <x:f>IF(OR(A12="",D12="",F12=""),1,0)</x:f>
        <x:v>0</x:v>
      </x:c>
    </x:row>
    <x:row r="13" ht="124" customHeight="1">
      <x:c r="A13" s="4" t="str">
        <x:v>DD-WRL-009</x:v>
      </x:c>
      <x:c r="B13" s="4" t="str">
        <x:v>work_role</x:v>
      </x:c>
      <x:c r="C13" s="4" t="str">
        <x:v>Operational Technology (OT) Cybersecurity Engineering</x:v>
      </x:c>
      <x:c r="D13" s="4" t="str">
        <x:v>Responsible for working within the engineering department to design and create systems, processes, and procedures that maintain the safety, reliability, controllability and security of industrial systems in the face of intentional and incidental cyber events. Interfaces with Chief Information Security Officer, plant managers and industrial cybersecurity technicians.</x:v>
      </x:c>
      <x:c r="E13" s="4" t="str">
        <x:v>Ingeniería de ciberseguridad OT</x:v>
      </x:c>
      <x:c r="F13" s="4" t="str">
        <x:v>Diseñar sistemas y procedimientos industriales que preserven seguridad, fiabilidad y control ante sucesos cibernéticos.</x:v>
      </x:c>
      <x:c r="G13" s="4" t="str">
        <x:v>E13</x:v>
      </x:c>
      <x:c r="H13" s="4" t="str">
        <x:v>OPC-14</x:v>
      </x:c>
      <x:c r="I13" s="4" t="str">
        <x:v>F001</x:v>
      </x:c>
      <x:c r="J13" s="4" t="str">
        <x:v>2.2.0</x:v>
      </x:c>
      <x:c r="K13" s="4" t="str">
        <x:v>PRESENTE_EN_CORTE; sin revisión individual declarada</x:v>
      </x:c>
      <x:c r="L13" s="4" t="str">
        <x:v>CANDIDATA_NO_ADOPTADA</x:v>
      </x:c>
      <x:c r="M13" s="12" t="n">
        <x:f>COUNTIF('03_NICE'!$A$5:$A$57,A13)+COUNTIF('04_TKS'!$A$5:$A$72,A13)-1</x:f>
        <x:v>0</x:v>
      </x:c>
      <x:c r="N13" s="12" t="n">
        <x:f>IF(AND(COUNTIF('01_Fuentes'!$A$5:$A$40,I13)=1,COUNTIF('07_Operaciones'!$A$5:$A$26,H13)=1,COUNTIF('06_Cobertura'!$A$5:$A$25,G13)=1),0,1)</x:f>
        <x:v>0</x:v>
      </x:c>
      <x:c r="O13" s="12" t="n">
        <x:f>IF(OR(A13="",D13="",F13=""),1,0)</x:f>
        <x:v>0</x:v>
      </x:c>
    </x:row>
    <x:row r="14" ht="92" customHeight="1">
      <x:c r="A14" s="4" t="str">
        <x:v>IN-WRL-001</x:v>
      </x:c>
      <x:c r="B14" s="4" t="str">
        <x:v>work_role</x:v>
      </x:c>
      <x:c r="C14" s="4" t="str">
        <x:v>Cybercrime Investigation</x:v>
      </x:c>
      <x:c r="D14" s="4" t="str">
        <x:v>Responsible for investigating cyberspace intrusion incidents and crimes. Applies tactics, techniques, and procedures for a full range of investigative tools and processes and appropriately balances the benefits of prosecution versus intelligence gathering.</x:v>
      </x:c>
      <x:c r="E14" s="4" t="str">
        <x:v>Investigación de ciberdelitos</x:v>
      </x:c>
      <x:c r="F14" s="4" t="str">
        <x:v>Investigar incidentes e infracciones con herramientas y procedimientos adecuados al mandato investigador.</x:v>
      </x:c>
      <x:c r="G14" s="4" t="str">
        <x:v>E10</x:v>
      </x:c>
      <x:c r="H14" s="4" t="str">
        <x:v>OPC-20</x:v>
      </x:c>
      <x:c r="I14" s="4" t="str">
        <x:v>F001</x:v>
      </x:c>
      <x:c r="J14" s="4" t="str">
        <x:v>2.2.0</x:v>
      </x:c>
      <x:c r="K14" s="4" t="str">
        <x:v>PRESENTE_EN_CORTE; sin revisión individual declarada</x:v>
      </x:c>
      <x:c r="L14" s="4" t="str">
        <x:v>CANDIDATA_NO_ADOPTADA</x:v>
      </x:c>
      <x:c r="M14" s="12" t="n">
        <x:f>COUNTIF('03_NICE'!$A$5:$A$57,A14)+COUNTIF('04_TKS'!$A$5:$A$72,A14)-1</x:f>
        <x:v>0</x:v>
      </x:c>
      <x:c r="N14" s="12" t="n">
        <x:f>IF(AND(COUNTIF('01_Fuentes'!$A$5:$A$40,I14)=1,COUNTIF('07_Operaciones'!$A$5:$A$26,H14)=1,COUNTIF('06_Cobertura'!$A$5:$A$25,G14)=1),0,1)</x:f>
        <x:v>0</x:v>
      </x:c>
      <x:c r="O14" s="12" t="n">
        <x:f>IF(OR(A14="",D14="",F14=""),1,0)</x:f>
        <x:v>0</x:v>
      </x:c>
    </x:row>
    <x:row r="15" ht="60" customHeight="1">
      <x:c r="A15" s="4" t="str">
        <x:v>IN-WRL-002</x:v>
      </x:c>
      <x:c r="B15" s="4" t="str">
        <x:v>work_role</x:v>
      </x:c>
      <x:c r="C15" s="4" t="str">
        <x:v>Digital Evidence Analysis</x:v>
      </x:c>
      <x:c r="D15" s="4" t="str">
        <x:v>Responsible for identifying, collecting, examining, and preserving digital evidence using controlled and documented analytical and investigative techniques.</x:v>
      </x:c>
      <x:c r="E15" s="4" t="str">
        <x:v>Análisis de evidencia digital</x:v>
      </x:c>
      <x:c r="F15" s="4" t="str">
        <x:v>Identificar, obtener, examinar y preservar evidencia mediante técnicas controladas y documentadas.</x:v>
      </x:c>
      <x:c r="G15" s="4" t="str">
        <x:v>E10</x:v>
      </x:c>
      <x:c r="H15" s="4" t="str">
        <x:v>OPC-10</x:v>
      </x:c>
      <x:c r="I15" s="4" t="str">
        <x:v>F001</x:v>
      </x:c>
      <x:c r="J15" s="4" t="str">
        <x:v>2.2.0</x:v>
      </x:c>
      <x:c r="K15" s="4" t="str">
        <x:v>PRESENTE_EN_CORTE; sin revisión individual declarada</x:v>
      </x:c>
      <x:c r="L15" s="4" t="str">
        <x:v>CANDIDATA_NO_ADOPTADA</x:v>
      </x:c>
      <x:c r="M15" s="12" t="n">
        <x:f>COUNTIF('03_NICE'!$A$5:$A$57,A15)+COUNTIF('04_TKS'!$A$5:$A$72,A15)-1</x:f>
        <x:v>0</x:v>
      </x:c>
      <x:c r="N15" s="12" t="n">
        <x:f>IF(AND(COUNTIF('01_Fuentes'!$A$5:$A$40,I15)=1,COUNTIF('07_Operaciones'!$A$5:$A$26,H15)=1,COUNTIF('06_Cobertura'!$A$5:$A$25,G15)=1),0,1)</x:f>
        <x:v>0</x:v>
      </x:c>
      <x:c r="O15" s="12" t="n">
        <x:f>IF(OR(A15="",D15="",F15=""),1,0)</x:f>
        <x:v>0</x:v>
      </x:c>
    </x:row>
    <x:row r="16" ht="92" customHeight="1">
      <x:c r="A16" s="4" t="str">
        <x:v>IO-WRL-001</x:v>
      </x:c>
      <x:c r="B16" s="4" t="str">
        <x:v>work_role</x:v>
      </x:c>
      <x:c r="C16" s="4" t="str">
        <x:v>Data Analysis</x:v>
      </x:c>
      <x:c r="D16" s="4" t="str">
        <x:v>Responsible for analyzing data from multiple disparate sources to provide cybersecurity and privacy insight. Designs and implements custom algorithms, workflow processes, and layouts for complex, enterprise-scale data sets used for modeling, data mining, and research purposes.</x:v>
      </x:c>
      <x:c r="E16" s="4" t="str">
        <x:v>Análisis de datos</x:v>
      </x:c>
      <x:c r="F16" s="4" t="str">
        <x:v>Analizar datos de diversas fuentes para producir conocimiento pertinente de ciberseguridad y privacidad.</x:v>
      </x:c>
      <x:c r="G16" s="4" t="str">
        <x:v>E09</x:v>
      </x:c>
      <x:c r="H16" s="4" t="str">
        <x:v>OPC-07</x:v>
      </x:c>
      <x:c r="I16" s="4" t="str">
        <x:v>F001</x:v>
      </x:c>
      <x:c r="J16" s="4" t="str">
        <x:v>2.2.0</x:v>
      </x:c>
      <x:c r="K16" s="4" t="str">
        <x:v>PRESENTE_EN_CORTE; sin revisión individual declarada</x:v>
      </x:c>
      <x:c r="L16" s="4" t="str">
        <x:v>CANDIDATA_NO_ADOPTADA</x:v>
      </x:c>
      <x:c r="M16" s="12" t="n">
        <x:f>COUNTIF('03_NICE'!$A$5:$A$57,A16)+COUNTIF('04_TKS'!$A$5:$A$72,A16)-1</x:f>
        <x:v>0</x:v>
      </x:c>
      <x:c r="N16" s="12" t="n">
        <x:f>IF(AND(COUNTIF('01_Fuentes'!$A$5:$A$40,I16)=1,COUNTIF('07_Operaciones'!$A$5:$A$26,H16)=1,COUNTIF('06_Cobertura'!$A$5:$A$25,G16)=1),0,1)</x:f>
        <x:v>0</x:v>
      </x:c>
      <x:c r="O16" s="12" t="n">
        <x:f>IF(OR(A16="",D16="",F16=""),1,0)</x:f>
        <x:v>0</x:v>
      </x:c>
    </x:row>
    <x:row r="17" ht="60" customHeight="1">
      <x:c r="A17" s="4" t="str">
        <x:v>IO-WRL-002</x:v>
      </x:c>
      <x:c r="B17" s="4" t="str">
        <x:v>work_role</x:v>
      </x:c>
      <x:c r="C17" s="4" t="str">
        <x:v>Database Administration</x:v>
      </x:c>
      <x:c r="D17" s="4" t="str">
        <x:v>Responsible for administering databases and data management systems that allow for the secure storage, query, protection, and utilization of data.</x:v>
      </x:c>
      <x:c r="E17" s="4" t="str">
        <x:v>Administración de bases de datos</x:v>
      </x:c>
      <x:c r="F17" s="4" t="str">
        <x:v>Administrar almacenamiento, consulta, protección y uso seguro de datos.</x:v>
      </x:c>
      <x:c r="G17" s="4" t="str">
        <x:v>E05</x:v>
      </x:c>
      <x:c r="H17" s="4" t="str">
        <x:v>OPC-12</x:v>
      </x:c>
      <x:c r="I17" s="4" t="str">
        <x:v>F001</x:v>
      </x:c>
      <x:c r="J17" s="4" t="str">
        <x:v>2.2.0</x:v>
      </x:c>
      <x:c r="K17" s="4" t="str">
        <x:v>PRESENTE_EN_CORTE; sin revisión individual declarada</x:v>
      </x:c>
      <x:c r="L17" s="4" t="str">
        <x:v>CANDIDATA_NO_ADOPTADA</x:v>
      </x:c>
      <x:c r="M17" s="12" t="n">
        <x:f>COUNTIF('03_NICE'!$A$5:$A$57,A17)+COUNTIF('04_TKS'!$A$5:$A$72,A17)-1</x:f>
        <x:v>0</x:v>
      </x:c>
      <x:c r="N17" s="12" t="n">
        <x:f>IF(AND(COUNTIF('01_Fuentes'!$A$5:$A$40,I17)=1,COUNTIF('07_Operaciones'!$A$5:$A$26,H17)=1,COUNTIF('06_Cobertura'!$A$5:$A$25,G17)=1),0,1)</x:f>
        <x:v>0</x:v>
      </x:c>
      <x:c r="O17" s="12" t="n">
        <x:f>IF(OR(A17="",D17="",F17=""),1,0)</x:f>
        <x:v>0</x:v>
      </x:c>
    </x:row>
    <x:row r="18" ht="60" customHeight="1">
      <x:c r="A18" s="4" t="str">
        <x:v>IO-WRL-003</x:v>
      </x:c>
      <x:c r="B18" s="4" t="str">
        <x:v>work_role</x:v>
      </x:c>
      <x:c r="C18" s="4" t="str">
        <x:v>Knowledge Management</x:v>
      </x:c>
      <x:c r="D18" s="4" t="str">
        <x:v>Responsible for managing and administering processes and tools to identify, document, and access an organization’s intellectual capital.</x:v>
      </x:c>
      <x:c r="E18" s="4" t="str">
        <x:v>Gestión del conocimiento</x:v>
      </x:c>
      <x:c r="F18" s="4" t="str">
        <x:v>Organizar procesos y herramientas que permitan documentar y recuperar conocimiento de seguridad.</x:v>
      </x:c>
      <x:c r="G18" s="4" t="str">
        <x:v>E17</x:v>
      </x:c>
      <x:c r="H18" s="4" t="str">
        <x:v>OPC-19</x:v>
      </x:c>
      <x:c r="I18" s="4" t="str">
        <x:v>F001</x:v>
      </x:c>
      <x:c r="J18" s="4" t="str">
        <x:v>2.2.0</x:v>
      </x:c>
      <x:c r="K18" s="4" t="str">
        <x:v>PRESENTE_EN_CORTE; sin revisión individual declarada</x:v>
      </x:c>
      <x:c r="L18" s="4" t="str">
        <x:v>CANDIDATA_NO_ADOPTADA</x:v>
      </x:c>
      <x:c r="M18" s="12" t="n">
        <x:f>COUNTIF('03_NICE'!$A$5:$A$57,A18)+COUNTIF('04_TKS'!$A$5:$A$72,A18)-1</x:f>
        <x:v>0</x:v>
      </x:c>
      <x:c r="N18" s="12" t="n">
        <x:f>IF(AND(COUNTIF('01_Fuentes'!$A$5:$A$40,I18)=1,COUNTIF('07_Operaciones'!$A$5:$A$26,H18)=1,COUNTIF('06_Cobertura'!$A$5:$A$25,G18)=1),0,1)</x:f>
        <x:v>0</x:v>
      </x:c>
      <x:c r="O18" s="12" t="n">
        <x:f>IF(OR(A18="",D18="",F18=""),1,0)</x:f>
        <x:v>0</x:v>
      </x:c>
    </x:row>
    <x:row r="19" ht="60" customHeight="1">
      <x:c r="A19" s="4" t="str">
        <x:v>IO-WRL-004</x:v>
      </x:c>
      <x:c r="B19" s="4" t="str">
        <x:v>work_role</x:v>
      </x:c>
      <x:c r="C19" s="4" t="str">
        <x:v>Network Operations</x:v>
      </x:c>
      <x:c r="D19" s="4" t="str">
        <x:v>Responsible for planning, implementing, and operating network services and systems, including hardware and virtual environments.</x:v>
      </x:c>
      <x:c r="E19" s="4" t="str">
        <x:v>Operación de redes</x:v>
      </x:c>
      <x:c r="F19" s="4" t="str">
        <x:v>Planificar, implantar y operar servicios y sistemas de red, incluidos entornos virtuales.</x:v>
      </x:c>
      <x:c r="G19" s="4" t="str">
        <x:v>E05</x:v>
      </x:c>
      <x:c r="H19" s="4" t="str">
        <x:v>OPC-12</x:v>
      </x:c>
      <x:c r="I19" s="4" t="str">
        <x:v>F001</x:v>
      </x:c>
      <x:c r="J19" s="4" t="str">
        <x:v>2.2.0</x:v>
      </x:c>
      <x:c r="K19" s="4" t="str">
        <x:v>PRESENTE_EN_CORTE; sin revisión individual declarada</x:v>
      </x:c>
      <x:c r="L19" s="4" t="str">
        <x:v>CANDIDATA_NO_ADOPTADA</x:v>
      </x:c>
      <x:c r="M19" s="12" t="n">
        <x:f>COUNTIF('03_NICE'!$A$5:$A$57,A19)+COUNTIF('04_TKS'!$A$5:$A$72,A19)-1</x:f>
        <x:v>0</x:v>
      </x:c>
      <x:c r="N19" s="12" t="n">
        <x:f>IF(AND(COUNTIF('01_Fuentes'!$A$5:$A$40,I19)=1,COUNTIF('07_Operaciones'!$A$5:$A$26,H19)=1,COUNTIF('06_Cobertura'!$A$5:$A$25,G19)=1),0,1)</x:f>
        <x:v>0</x:v>
      </x:c>
      <x:c r="O19" s="12" t="n">
        <x:f>IF(OR(A19="",D19="",F19=""),1,0)</x:f>
        <x:v>0</x:v>
      </x:c>
    </x:row>
    <x:row r="20" ht="108" customHeight="1">
      <x:c r="A20" s="4" t="str">
        <x:v>IO-WRL-005</x:v>
      </x:c>
      <x:c r="B20" s="4" t="str">
        <x:v>work_role</x:v>
      </x:c>
      <x:c r="C20" s="4" t="str">
        <x:v>Systems Administration</x:v>
      </x:c>
      <x:c r="D20" s="4" t="str">
        <x:v>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x:v>
      </x:c>
      <x:c r="E20" s="4" t="str">
        <x:v>Administración de sistemas</x:v>
      </x:c>
      <x:c r="F20" s="4" t="str">
        <x:v>Configurar y mantener sistemas, cuentas, copias y controles conforme a políticas autorizadas.</x:v>
      </x:c>
      <x:c r="G20" s="4" t="str">
        <x:v>E05</x:v>
      </x:c>
      <x:c r="H20" s="4" t="str">
        <x:v>OPC-12</x:v>
      </x:c>
      <x:c r="I20" s="4" t="str">
        <x:v>F001</x:v>
      </x:c>
      <x:c r="J20" s="4" t="str">
        <x:v>2.2.0</x:v>
      </x:c>
      <x:c r="K20" s="4" t="str">
        <x:v>PRESENTE_EN_CORTE; sin revisión individual declarada</x:v>
      </x:c>
      <x:c r="L20" s="4" t="str">
        <x:v>CANDIDATA_NO_ADOPTADA</x:v>
      </x:c>
      <x:c r="M20" s="12" t="n">
        <x:f>COUNTIF('03_NICE'!$A$5:$A$57,A20)+COUNTIF('04_TKS'!$A$5:$A$72,A20)-1</x:f>
        <x:v>0</x:v>
      </x:c>
      <x:c r="N20" s="12" t="n">
        <x:f>IF(AND(COUNTIF('01_Fuentes'!$A$5:$A$40,I20)=1,COUNTIF('07_Operaciones'!$A$5:$A$26,H20)=1,COUNTIF('06_Cobertura'!$A$5:$A$25,G20)=1),0,1)</x:f>
        <x:v>0</x:v>
      </x:c>
      <x:c r="O20" s="12" t="n">
        <x:f>IF(OR(A20="",D20="",F20=""),1,0)</x:f>
        <x:v>0</x:v>
      </x:c>
    </x:row>
    <x:row r="21" ht="76" customHeight="1">
      <x:c r="A21" s="4" t="str">
        <x:v>IO-WRL-006</x:v>
      </x:c>
      <x:c r="B21" s="4" t="str">
        <x:v>work_role</x:v>
      </x:c>
      <x:c r="C21" s="4" t="str">
        <x:v>Systems Security Analysis</x:v>
      </x:c>
      <x:c r="D21" s="4" t="str">
        <x:v>Responsible for developing and analyzing the integration, testing, operations, and maintenance of systems security. Prepares, performs, and manages the security aspects of implementing and operating a system.</x:v>
      </x:c>
      <x:c r="E21" s="4" t="str">
        <x:v>Análisis de seguridad de sistemas</x:v>
      </x:c>
      <x:c r="F21" s="4" t="str">
        <x:v>Analizar integración, pruebas, operación y mantenimiento de la seguridad del sistema.</x:v>
      </x:c>
      <x:c r="G21" s="4" t="str">
        <x:v>E05</x:v>
      </x:c>
      <x:c r="H21" s="4" t="str">
        <x:v>OPC-12</x:v>
      </x:c>
      <x:c r="I21" s="4" t="str">
        <x:v>F001</x:v>
      </x:c>
      <x:c r="J21" s="4" t="str">
        <x:v>2.2.0</x:v>
      </x:c>
      <x:c r="K21" s="4" t="str">
        <x:v>PRESENTE_EN_CORTE; sin revisión individual declarada</x:v>
      </x:c>
      <x:c r="L21" s="4" t="str">
        <x:v>CANDIDATA_NO_ADOPTADA</x:v>
      </x:c>
      <x:c r="M21" s="12" t="n">
        <x:f>COUNTIF('03_NICE'!$A$5:$A$57,A21)+COUNTIF('04_TKS'!$A$5:$A$72,A21)-1</x:f>
        <x:v>0</x:v>
      </x:c>
      <x:c r="N21" s="12" t="n">
        <x:f>IF(AND(COUNTIF('01_Fuentes'!$A$5:$A$40,I21)=1,COUNTIF('07_Operaciones'!$A$5:$A$26,H21)=1,COUNTIF('06_Cobertura'!$A$5:$A$25,G21)=1),0,1)</x:f>
        <x:v>0</x:v>
      </x:c>
      <x:c r="O21" s="12" t="n">
        <x:f>IF(OR(A21="",D21="",F21=""),1,0)</x:f>
        <x:v>0</x:v>
      </x:c>
    </x:row>
    <x:row r="22" ht="76" customHeight="1">
      <x:c r="A22" s="4" t="str">
        <x:v>IO-WRL-007</x:v>
      </x:c>
      <x:c r="B22" s="4" t="str">
        <x:v>work_role</x:v>
      </x:c>
      <x:c r="C22" s="4" t="str">
        <x:v>Technical Support</x:v>
      </x:c>
      <x:c r="D22" s="4" t="str">
        <x:v>Responsible for providing technical support to customers who need assistance utilizing client-level hardware and software in accordance with established or approved organizational policies and processes.</x:v>
      </x:c>
      <x:c r="E22" s="4" t="str">
        <x:v>Soporte técnico</x:v>
      </x:c>
      <x:c r="F22" s="4" t="str">
        <x:v>Asistir en hardware y software de usuario según procedimientos organizativos, dentro del alcance de seguridad.</x:v>
      </x:c>
      <x:c r="G22" s="4" t="str">
        <x:v>E05</x:v>
      </x:c>
      <x:c r="H22" s="4" t="str">
        <x:v>OPC-12</x:v>
      </x:c>
      <x:c r="I22" s="4" t="str">
        <x:v>F001</x:v>
      </x:c>
      <x:c r="J22" s="4" t="str">
        <x:v>2.2.0</x:v>
      </x:c>
      <x:c r="K22" s="4" t="str">
        <x:v>PRESENTE_EN_CORTE; sin revisión individual declarada</x:v>
      </x:c>
      <x:c r="L22" s="4" t="str">
        <x:v>CANDIDATA_NO_ADOPTADA</x:v>
      </x:c>
      <x:c r="M22" s="12" t="n">
        <x:f>COUNTIF('03_NICE'!$A$5:$A$57,A22)+COUNTIF('04_TKS'!$A$5:$A$72,A22)-1</x:f>
        <x:v>0</x:v>
      </x:c>
      <x:c r="N22" s="12" t="n">
        <x:f>IF(AND(COUNTIF('01_Fuentes'!$A$5:$A$40,I22)=1,COUNTIF('07_Operaciones'!$A$5:$A$26,H22)=1,COUNTIF('06_Cobertura'!$A$5:$A$25,G22)=1),0,1)</x:f>
        <x:v>0</x:v>
      </x:c>
      <x:c r="O22" s="12" t="n">
        <x:f>IF(OR(A22="",D22="",F22=""),1,0)</x:f>
        <x:v>0</x:v>
      </x:c>
    </x:row>
    <x:row r="23" ht="47" customHeight="1">
      <x:c r="A23" s="4" t="str">
        <x:v>OG-WRL-001</x:v>
      </x:c>
      <x:c r="B23" s="4" t="str">
        <x:v>work_role</x:v>
      </x:c>
      <x:c r="C23" s="4" t="str">
        <x:v>Communications Security (COMSEC) Management</x:v>
      </x:c>
      <x:c r="D23" s="4" t="str">
        <x:v>Responsible for managing the Communications Security (COMSEC) resources of an organization.</x:v>
      </x:c>
      <x:c r="E23" s="4" t="str">
        <x:v>Gestión de seguridad de comunicaciones</x:v>
      </x:c>
      <x:c r="F23" s="4" t="str">
        <x:v>Gestionar recursos de seguridad de comunicaciones de la organización.</x:v>
      </x:c>
      <x:c r="G23" s="4" t="str">
        <x:v>E04</x:v>
      </x:c>
      <x:c r="H23" s="4" t="str">
        <x:v>OPC-13</x:v>
      </x:c>
      <x:c r="I23" s="4" t="str">
        <x:v>F001</x:v>
      </x:c>
      <x:c r="J23" s="4" t="str">
        <x:v>2.2.0</x:v>
      </x:c>
      <x:c r="K23" s="4" t="str">
        <x:v>PRESENTE_EN_CORTE; sin revisión individual declarada</x:v>
      </x:c>
      <x:c r="L23" s="4" t="str">
        <x:v>CANDIDATA_NO_ADOPTADA</x:v>
      </x:c>
      <x:c r="M23" s="12" t="n">
        <x:f>COUNTIF('03_NICE'!$A$5:$A$57,A23)+COUNTIF('04_TKS'!$A$5:$A$72,A23)-1</x:f>
        <x:v>0</x:v>
      </x:c>
      <x:c r="N23" s="12" t="n">
        <x:f>IF(AND(COUNTIF('01_Fuentes'!$A$5:$A$40,I23)=1,COUNTIF('07_Operaciones'!$A$5:$A$26,H23)=1,COUNTIF('06_Cobertura'!$A$5:$A$25,G23)=1),0,1)</x:f>
        <x:v>0</x:v>
      </x:c>
      <x:c r="O23" s="12" t="n">
        <x:f>IF(OR(A23="",D23="",F23=""),1,0)</x:f>
        <x:v>0</x:v>
      </x:c>
    </x:row>
    <x:row r="24" ht="76" customHeight="1">
      <x:c r="A24" s="4" t="str">
        <x:v>OG-WRL-002</x:v>
      </x:c>
      <x:c r="B24" s="4" t="str">
        <x:v>work_role</x:v>
      </x:c>
      <x:c r="C24" s="4" t="str">
        <x:v>Cybersecurity Policy and Planning</x:v>
      </x:c>
      <x:c r="D24" s="4" t="str">
        <x:v>Responsible for developing and maintaining cybersecurity plans, strategy, and policy to support and align with organizational cybersecurity initiatives and regulatory compliance.</x:v>
      </x:c>
      <x:c r="E24" s="4" t="str">
        <x:v>Política y planificación de ciberseguridad</x:v>
      </x:c>
      <x:c r="F24" s="4" t="str">
        <x:v>Mantener estrategia, políticas y planes alineados con necesidades organizativas y regulación aplicable.</x:v>
      </x:c>
      <x:c r="G24" s="4" t="str">
        <x:v>E01</x:v>
      </x:c>
      <x:c r="H24" s="4" t="str">
        <x:v>OPC-01</x:v>
      </x:c>
      <x:c r="I24" s="4" t="str">
        <x:v>F001</x:v>
      </x:c>
      <x:c r="J24" s="4" t="str">
        <x:v>2.2.0</x:v>
      </x:c>
      <x:c r="K24" s="4" t="str">
        <x:v>PRESENTE_EN_CORTE; sin revisión individual declarada</x:v>
      </x:c>
      <x:c r="L24" s="4" t="str">
        <x:v>CANDIDATA_NO_ADOPTADA</x:v>
      </x:c>
      <x:c r="M24" s="12" t="n">
        <x:f>COUNTIF('03_NICE'!$A$5:$A$57,A24)+COUNTIF('04_TKS'!$A$5:$A$72,A24)-1</x:f>
        <x:v>0</x:v>
      </x:c>
      <x:c r="N24" s="12" t="n">
        <x:f>IF(AND(COUNTIF('01_Fuentes'!$A$5:$A$40,I24)=1,COUNTIF('07_Operaciones'!$A$5:$A$26,H24)=1,COUNTIF('06_Cobertura'!$A$5:$A$25,G24)=1),0,1)</x:f>
        <x:v>0</x:v>
      </x:c>
      <x:c r="O24" s="12" t="n">
        <x:f>IF(OR(A24="",D24="",F24=""),1,0)</x:f>
        <x:v>0</x:v>
      </x:c>
    </x:row>
    <x:row r="25" ht="140" customHeight="1">
      <x:c r="A25" s="4" t="str">
        <x:v>OG-WRL-003</x:v>
      </x:c>
      <x:c r="B25" s="4" t="str">
        <x:v>work_role</x:v>
      </x:c>
      <x:c r="C25" s="4" t="str">
        <x:v>Cybersecurity Workforce Management</x:v>
      </x:c>
      <x:c r="D25" s="4" t="str">
        <x:v>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requirements.Authors mandated workforce planning strategies to maintain compliance with legislation, regulation, and policy.</x:v>
      </x:c>
      <x:c r="E25" s="4" t="str">
        <x:v>Gestión de profesionales de ciberseguridad</x:v>
      </x:c>
      <x:c r="F25" s="4" t="str">
        <x:v>Planificar capacidades, formación y dotación profesional según necesidades de seguridad.</x:v>
      </x:c>
      <x:c r="G25" s="4" t="str">
        <x:v>E14</x:v>
      </x:c>
      <x:c r="H25" s="4" t="str">
        <x:v>OPC-18</x:v>
      </x:c>
      <x:c r="I25" s="4" t="str">
        <x:v>F001</x:v>
      </x:c>
      <x:c r="J25" s="4" t="str">
        <x:v>2.2.0</x:v>
      </x:c>
      <x:c r="K25" s="4" t="str">
        <x:v>PRESENTE_EN_CORTE; sin revisión individual declarada</x:v>
      </x:c>
      <x:c r="L25" s="4" t="str">
        <x:v>CANDIDATA_NO_ADOPTADA</x:v>
      </x:c>
      <x:c r="M25" s="12" t="n">
        <x:f>COUNTIF('03_NICE'!$A$5:$A$57,A25)+COUNTIF('04_TKS'!$A$5:$A$72,A25)-1</x:f>
        <x:v>0</x:v>
      </x:c>
      <x:c r="N25" s="12" t="n">
        <x:f>IF(AND(COUNTIF('01_Fuentes'!$A$5:$A$40,I25)=1,COUNTIF('07_Operaciones'!$A$5:$A$26,H25)=1,COUNTIF('06_Cobertura'!$A$5:$A$25,G25)=1),0,1)</x:f>
        <x:v>0</x:v>
      </x:c>
      <x:c r="O25" s="12" t="n">
        <x:f>IF(OR(A25="",D25="",F25=""),1,0)</x:f>
        <x:v>0</x:v>
      </x:c>
    </x:row>
    <x:row r="26" ht="76" customHeight="1">
      <x:c r="A26" s="4" t="str">
        <x:v>OG-WRL-004</x:v>
      </x:c>
      <x:c r="B26" s="4" t="str">
        <x:v>work_role</x:v>
      </x:c>
      <x:c r="C26" s="4" t="str">
        <x:v>Cybersecurity Curriculum Development</x:v>
      </x:c>
      <x:c r="D26" s="4" t="str">
        <x:v>Responsible for developing, planning, coordinating, and evaluating cybersecurity awareness, training, or education content, methods, and techniques based on instructional needs and requirements.</x:v>
      </x:c>
      <x:c r="E26" s="4" t="str">
        <x:v>Diseño curricular de ciberseguridad</x:v>
      </x:c>
      <x:c r="F26" s="4" t="str">
        <x:v>Diseñar y evaluar contenidos y métodos formativos a partir de necesidades identificadas.</x:v>
      </x:c>
      <x:c r="G26" s="4" t="str">
        <x:v>E14</x:v>
      </x:c>
      <x:c r="H26" s="4" t="str">
        <x:v>OPC-18</x:v>
      </x:c>
      <x:c r="I26" s="4" t="str">
        <x:v>F001</x:v>
      </x:c>
      <x:c r="J26" s="4" t="str">
        <x:v>2.2.0</x:v>
      </x:c>
      <x:c r="K26" s="4" t="str">
        <x:v>PRESENTE_EN_CORTE; sin revisión individual declarada</x:v>
      </x:c>
      <x:c r="L26" s="4" t="str">
        <x:v>CANDIDATA_NO_ADOPTADA</x:v>
      </x:c>
      <x:c r="M26" s="12" t="n">
        <x:f>COUNTIF('03_NICE'!$A$5:$A$57,A26)+COUNTIF('04_TKS'!$A$5:$A$72,A26)-1</x:f>
        <x:v>0</x:v>
      </x:c>
      <x:c r="N26" s="12" t="n">
        <x:f>IF(AND(COUNTIF('01_Fuentes'!$A$5:$A$40,I26)=1,COUNTIF('07_Operaciones'!$A$5:$A$26,H26)=1,COUNTIF('06_Cobertura'!$A$5:$A$25,G26)=1),0,1)</x:f>
        <x:v>0</x:v>
      </x:c>
      <x:c r="O26" s="12" t="n">
        <x:f>IF(OR(A26="",D26="",F26=""),1,0)</x:f>
        <x:v>0</x:v>
      </x:c>
    </x:row>
    <x:row r="27" ht="47" customHeight="1">
      <x:c r="A27" s="4" t="str">
        <x:v>OG-WRL-005</x:v>
      </x:c>
      <x:c r="B27" s="4" t="str">
        <x:v>work_role</x:v>
      </x:c>
      <x:c r="C27" s="4" t="str">
        <x:v>Cybersecurity Instruction</x:v>
      </x:c>
      <x:c r="D27" s="4" t="str">
        <x:v>Responsible for developing and conducting cybersecurity awareness, training, or education.</x:v>
      </x:c>
      <x:c r="E27" s="4" t="str">
        <x:v>Docencia de ciberseguridad</x:v>
      </x:c>
      <x:c r="F27" s="4" t="str">
        <x:v>Preparar e impartir concienciación, formación y educación en ciberseguridad.</x:v>
      </x:c>
      <x:c r="G27" s="4" t="str">
        <x:v>E14</x:v>
      </x:c>
      <x:c r="H27" s="4" t="str">
        <x:v>OPC-22</x:v>
      </x:c>
      <x:c r="I27" s="4" t="str">
        <x:v>F001</x:v>
      </x:c>
      <x:c r="J27" s="4" t="str">
        <x:v>2.2.0</x:v>
      </x:c>
      <x:c r="K27" s="4" t="str">
        <x:v>PRESENTE_EN_CORTE; sin revisión individual declarada</x:v>
      </x:c>
      <x:c r="L27" s="4" t="str">
        <x:v>CANDIDATA_NO_ADOPTADA</x:v>
      </x:c>
      <x:c r="M27" s="12" t="n">
        <x:f>COUNTIF('03_NICE'!$A$5:$A$57,A27)+COUNTIF('04_TKS'!$A$5:$A$72,A27)-1</x:f>
        <x:v>0</x:v>
      </x:c>
      <x:c r="N27" s="12" t="n">
        <x:f>IF(AND(COUNTIF('01_Fuentes'!$A$5:$A$40,I27)=1,COUNTIF('07_Operaciones'!$A$5:$A$26,H27)=1,COUNTIF('06_Cobertura'!$A$5:$A$25,G27)=1),0,1)</x:f>
        <x:v>0</x:v>
      </x:c>
      <x:c r="O27" s="12" t="n">
        <x:f>IF(OR(A27="",D27="",F27=""),1,0)</x:f>
        <x:v>0</x:v>
      </x:c>
    </x:row>
    <x:row r="28" ht="60" customHeight="1">
      <x:c r="A28" s="4" t="str">
        <x:v>OG-WRL-006</x:v>
      </x:c>
      <x:c r="B28" s="4" t="str">
        <x:v>work_role</x:v>
      </x:c>
      <x:c r="C28" s="4" t="str">
        <x:v>Cybersecurity Legal Advice</x:v>
      </x:c>
      <x:c r="D28" s="4" t="str">
        <x:v>Responsible for providing cybersecurity legal advice and recommendations, including monitoring related legislation and regulations.</x:v>
      </x:c>
      <x:c r="E28" s="4" t="str">
        <x:v>Asesoramiento jurídico de ciberseguridad</x:v>
      </x:c>
      <x:c r="F28" s="4" t="str">
        <x:v>Aportar análisis jurídico y vigilar legislación pertinente desde la autoridad profesional competente.</x:v>
      </x:c>
      <x:c r="G28" s="4" t="str">
        <x:v>E16</x:v>
      </x:c>
      <x:c r="H28" s="4" t="str">
        <x:v>OPC-17</x:v>
      </x:c>
      <x:c r="I28" s="4" t="str">
        <x:v>F001</x:v>
      </x:c>
      <x:c r="J28" s="4" t="str">
        <x:v>2.2.0</x:v>
      </x:c>
      <x:c r="K28" s="4" t="str">
        <x:v>PRESENTE_EN_CORTE; sin revisión individual declarada</x:v>
      </x:c>
      <x:c r="L28" s="4" t="str">
        <x:v>CANDIDATA_NO_ADOPTADA</x:v>
      </x:c>
      <x:c r="M28" s="12" t="n">
        <x:f>COUNTIF('03_NICE'!$A$5:$A$57,A28)+COUNTIF('04_TKS'!$A$5:$A$72,A28)-1</x:f>
        <x:v>0</x:v>
      </x:c>
      <x:c r="N28" s="12" t="n">
        <x:f>IF(AND(COUNTIF('01_Fuentes'!$A$5:$A$40,I28)=1,COUNTIF('07_Operaciones'!$A$5:$A$26,H28)=1,COUNTIF('06_Cobertura'!$A$5:$A$25,G28)=1),0,1)</x:f>
        <x:v>0</x:v>
      </x:c>
      <x:c r="O28" s="12" t="n">
        <x:f>IF(OR(A28="",D28="",F28=""),1,0)</x:f>
        <x:v>0</x:v>
      </x:c>
    </x:row>
    <x:row r="29" ht="108" customHeight="1">
      <x:c r="A29" s="4" t="str">
        <x:v>OG-WRL-007</x:v>
      </x:c>
      <x:c r="B29" s="4" t="str">
        <x:v>work_role</x:v>
      </x:c>
      <x:c r="C29" s="4" t="str">
        <x:v>Executive Cybersecurity Leadership</x:v>
      </x:c>
      <x:c r="D29" s="4" t="str">
        <x:v>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x:v>
      </x:c>
      <x:c r="E29" s="4" t="str">
        <x:v>Dirección ejecutiva de ciberseguridad</x:v>
      </x:c>
      <x:c r="F29" s="4" t="str">
        <x:v>Fijar orientación, recursos y decisiones institucionales de seguridad con autoridad y rendición de cuentas.</x:v>
      </x:c>
      <x:c r="G29" s="4" t="str">
        <x:v>E01</x:v>
      </x:c>
      <x:c r="H29" s="4" t="str">
        <x:v>OPC-01</x:v>
      </x:c>
      <x:c r="I29" s="4" t="str">
        <x:v>F001</x:v>
      </x:c>
      <x:c r="J29" s="4" t="str">
        <x:v>2.2.0</x:v>
      </x:c>
      <x:c r="K29" s="4" t="str">
        <x:v>PRESENTE_EN_CORTE; sin revisión individual declarada</x:v>
      </x:c>
      <x:c r="L29" s="4" t="str">
        <x:v>CANDIDATA_NO_ADOPTADA</x:v>
      </x:c>
      <x:c r="M29" s="12" t="n">
        <x:f>COUNTIF('03_NICE'!$A$5:$A$57,A29)+COUNTIF('04_TKS'!$A$5:$A$72,A29)-1</x:f>
        <x:v>0</x:v>
      </x:c>
      <x:c r="N29" s="12" t="n">
        <x:f>IF(AND(COUNTIF('01_Fuentes'!$A$5:$A$40,I29)=1,COUNTIF('07_Operaciones'!$A$5:$A$26,H29)=1,COUNTIF('06_Cobertura'!$A$5:$A$25,G29)=1),0,1)</x:f>
        <x:v>0</x:v>
      </x:c>
      <x:c r="O29" s="12" t="n">
        <x:f>IF(OR(A29="",D29="",F29=""),1,0)</x:f>
        <x:v>0</x:v>
      </x:c>
    </x:row>
    <x:row r="30" ht="76" customHeight="1">
      <x:c r="A30" s="4" t="str">
        <x:v>OG-WRL-008</x:v>
      </x:c>
      <x:c r="B30" s="4" t="str">
        <x:v>work_role</x:v>
      </x:c>
      <x:c r="C30" s="4" t="str">
        <x:v>Privacy Compliance</x:v>
      </x:c>
      <x:c r="D30" s="4" t="str">
        <x:v>Responsible for developing and overseeing an organization’s privacy compliance program and staff, including establishing and managing privacy-related governance, policy, and incident response needs.</x:v>
      </x:c>
      <x:c r="E30" s="4" t="str">
        <x:v>Cumplimiento de privacidad</x:v>
      </x:c>
      <x:c r="F30" s="4" t="str">
        <x:v>Gobernar un programa de privacidad, políticas y necesidades de respuesta relacionadas.</x:v>
      </x:c>
      <x:c r="G30" s="4" t="str">
        <x:v>E16</x:v>
      </x:c>
      <x:c r="H30" s="4" t="str">
        <x:v>OPC-17</x:v>
      </x:c>
      <x:c r="I30" s="4" t="str">
        <x:v>F001</x:v>
      </x:c>
      <x:c r="J30" s="4" t="str">
        <x:v>2.2.0</x:v>
      </x:c>
      <x:c r="K30" s="4" t="str">
        <x:v>PRESENTE_EN_CORTE; sin revisión individual declarada</x:v>
      </x:c>
      <x:c r="L30" s="4" t="str">
        <x:v>CANDIDATA_NO_ADOPTADA</x:v>
      </x:c>
      <x:c r="M30" s="12" t="n">
        <x:f>COUNTIF('03_NICE'!$A$5:$A$57,A30)+COUNTIF('04_TKS'!$A$5:$A$72,A30)-1</x:f>
        <x:v>0</x:v>
      </x:c>
      <x:c r="N30" s="12" t="n">
        <x:f>IF(AND(COUNTIF('01_Fuentes'!$A$5:$A$40,I30)=1,COUNTIF('07_Operaciones'!$A$5:$A$26,H30)=1,COUNTIF('06_Cobertura'!$A$5:$A$25,G30)=1),0,1)</x:f>
        <x:v>0</x:v>
      </x:c>
      <x:c r="O30" s="12" t="n">
        <x:f>IF(OR(A30="",D30="",F30=""),1,0)</x:f>
        <x:v>0</x:v>
      </x:c>
    </x:row>
    <x:row r="31" ht="76" customHeight="1">
      <x:c r="A31" s="4" t="str">
        <x:v>OG-WRL-009</x:v>
      </x:c>
      <x:c r="B31" s="4" t="str">
        <x:v>work_role</x:v>
      </x:c>
      <x:c r="C31" s="4" t="str">
        <x:v>Product Support Management</x:v>
      </x:c>
      <x:c r="D31" s="4" t="str">
        <x:v>Responsible for planning, estimating costs, budgeting, developing, implementing, and managing product support strategies in order to field and maintain the readiness and operational capability of systems and components.</x:v>
      </x:c>
      <x:c r="E31" s="4" t="str">
        <x:v>Gestión de soporte del producto</x:v>
      </x:c>
      <x:c r="F31" s="4" t="str">
        <x:v>Planificar soporte que preserve disponibilidad y capacidad operativa de sistemas y componentes.</x:v>
      </x:c>
      <x:c r="G31" s="4" t="str">
        <x:v>E07</x:v>
      </x:c>
      <x:c r="H31" s="4" t="str">
        <x:v>OPC-06</x:v>
      </x:c>
      <x:c r="I31" s="4" t="str">
        <x:v>F001</x:v>
      </x:c>
      <x:c r="J31" s="4" t="str">
        <x:v>2.2.0</x:v>
      </x:c>
      <x:c r="K31" s="4" t="str">
        <x:v>PRESENTE_EN_CORTE; sin revisión individual declarada</x:v>
      </x:c>
      <x:c r="L31" s="4" t="str">
        <x:v>CANDIDATA_NO_ADOPTADA</x:v>
      </x:c>
      <x:c r="M31" s="12" t="n">
        <x:f>COUNTIF('03_NICE'!$A$5:$A$57,A31)+COUNTIF('04_TKS'!$A$5:$A$72,A31)-1</x:f>
        <x:v>0</x:v>
      </x:c>
      <x:c r="N31" s="12" t="n">
        <x:f>IF(AND(COUNTIF('01_Fuentes'!$A$5:$A$40,I31)=1,COUNTIF('07_Operaciones'!$A$5:$A$26,H31)=1,COUNTIF('06_Cobertura'!$A$5:$A$25,G31)=1),0,1)</x:f>
        <x:v>0</x:v>
      </x:c>
      <x:c r="O31" s="12" t="n">
        <x:f>IF(OR(A31="",D31="",F31=""),1,0)</x:f>
        <x:v>0</x:v>
      </x:c>
    </x:row>
    <x:row r="32" ht="76" customHeight="1">
      <x:c r="A32" s="4" t="str">
        <x:v>OG-WRL-010</x:v>
      </x:c>
      <x:c r="B32" s="4" t="str">
        <x:v>work_role</x:v>
      </x:c>
      <x:c r="C32" s="4" t="str">
        <x:v>Program Management</x:v>
      </x:c>
      <x:c r="D32" s="4" t="str">
        <x:v>Responsible for leading, coordinating, and the overall success of a defined program. Includes communicating about the program and ensuring alignment with agency or organizational priorities.</x:v>
      </x:c>
      <x:c r="E32" s="4" t="str">
        <x:v>Gestión de programas</x:v>
      </x:c>
      <x:c r="F32" s="4" t="str">
        <x:v>Coordinar un programa y su alineación con prioridades institucionales, aquí limitado a seguridad.</x:v>
      </x:c>
      <x:c r="G32" s="4" t="str">
        <x:v>E01</x:v>
      </x:c>
      <x:c r="H32" s="4" t="str">
        <x:v>OPC-01</x:v>
      </x:c>
      <x:c r="I32" s="4" t="str">
        <x:v>F001</x:v>
      </x:c>
      <x:c r="J32" s="4" t="str">
        <x:v>2.2.0</x:v>
      </x:c>
      <x:c r="K32" s="4" t="str">
        <x:v>PRESENTE_EN_CORTE; sin revisión individual declarada</x:v>
      </x:c>
      <x:c r="L32" s="4" t="str">
        <x:v>CANDIDATA_NO_ADOPTADA</x:v>
      </x:c>
      <x:c r="M32" s="12" t="n">
        <x:f>COUNTIF('03_NICE'!$A$5:$A$57,A32)+COUNTIF('04_TKS'!$A$5:$A$72,A32)-1</x:f>
        <x:v>0</x:v>
      </x:c>
      <x:c r="N32" s="12" t="n">
        <x:f>IF(AND(COUNTIF('01_Fuentes'!$A$5:$A$40,I32)=1,COUNTIF('07_Operaciones'!$A$5:$A$26,H32)=1,COUNTIF('06_Cobertura'!$A$5:$A$25,G32)=1),0,1)</x:f>
        <x:v>0</x:v>
      </x:c>
      <x:c r="O32" s="12" t="n">
        <x:f>IF(OR(A32="",D32="",F32=""),1,0)</x:f>
        <x:v>0</x:v>
      </x:c>
    </x:row>
    <x:row r="33" ht="108" customHeight="1">
      <x:c r="A33" s="4" t="str">
        <x:v>OG-WRL-011</x:v>
      </x:c>
      <x:c r="B33" s="4" t="str">
        <x:v>work_role</x:v>
      </x:c>
      <x:c r="C33" s="4" t="str">
        <x:v>Secure Project Management</x:v>
      </x:c>
      <x:c r="D33" s="4" t="str">
        <x:v>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x:v>
      </x:c>
      <x:c r="E33" s="4" t="str">
        <x:v>Gestión de proyectos seguros</x:v>
      </x:c>
      <x:c r="F33" s="4" t="str">
        <x:v>Incorporar seguridad en proyectos tecnológicos y documentar su avance y valor organizativo.</x:v>
      </x:c>
      <x:c r="G33" s="4" t="str">
        <x:v>E06</x:v>
      </x:c>
      <x:c r="H33" s="4" t="str">
        <x:v>OPC-05</x:v>
      </x:c>
      <x:c r="I33" s="4" t="str">
        <x:v>F001</x:v>
      </x:c>
      <x:c r="J33" s="4" t="str">
        <x:v>2.2.0</x:v>
      </x:c>
      <x:c r="K33" s="4" t="str">
        <x:v>PRESENTE_EN_CORTE; sin revisión individual declarada</x:v>
      </x:c>
      <x:c r="L33" s="4" t="str">
        <x:v>CANDIDATA_NO_ADOPTADA</x:v>
      </x:c>
      <x:c r="M33" s="12" t="n">
        <x:f>COUNTIF('03_NICE'!$A$5:$A$57,A33)+COUNTIF('04_TKS'!$A$5:$A$72,A33)-1</x:f>
        <x:v>0</x:v>
      </x:c>
      <x:c r="N33" s="12" t="n">
        <x:f>IF(AND(COUNTIF('01_Fuentes'!$A$5:$A$40,I33)=1,COUNTIF('07_Operaciones'!$A$5:$A$26,H33)=1,COUNTIF('06_Cobertura'!$A$5:$A$25,G33)=1),0,1)</x:f>
        <x:v>0</x:v>
      </x:c>
      <x:c r="O33" s="12" t="n">
        <x:f>IF(OR(A33="",D33="",F33=""),1,0)</x:f>
        <x:v>0</x:v>
      </x:c>
    </x:row>
    <x:row r="34" ht="92" customHeight="1">
      <x:c r="A34" s="4" t="str">
        <x:v>OG-WRL-012</x:v>
      </x:c>
      <x:c r="B34" s="4" t="str">
        <x:v>work_role</x:v>
      </x:c>
      <x:c r="C34" s="4" t="str">
        <x:v>Security Control Assessment</x:v>
      </x:c>
      <x:c r="D34" s="4" t="str">
        <x:v>Responsible for conducting independent comprehensive assessments of management, operational, and technical security controls and control enhancements employed within or inherited by a system to determine their overall effectiveness.</x:v>
      </x:c>
      <x:c r="E34" s="4" t="str">
        <x:v>Evaluación de controles de seguridad</x:v>
      </x:c>
      <x:c r="F34" s="4" t="str">
        <x:v>Evaluar de forma independiente eficacia de controles de gestión, operativos y técnicos del sistema.</x:v>
      </x:c>
      <x:c r="G34" s="4" t="str">
        <x:v>E15</x:v>
      </x:c>
      <x:c r="H34" s="4" t="str">
        <x:v>OPC-16</x:v>
      </x:c>
      <x:c r="I34" s="4" t="str">
        <x:v>F001</x:v>
      </x:c>
      <x:c r="J34" s="4" t="str">
        <x:v>2.2.0</x:v>
      </x:c>
      <x:c r="K34" s="4" t="str">
        <x:v>PRESENTE_EN_CORTE; sin revisión individual declarada</x:v>
      </x:c>
      <x:c r="L34" s="4" t="str">
        <x:v>CANDIDATA_NO_ADOPTADA</x:v>
      </x:c>
      <x:c r="M34" s="12" t="n">
        <x:f>COUNTIF('03_NICE'!$A$5:$A$57,A34)+COUNTIF('04_TKS'!$A$5:$A$72,A34)-1</x:f>
        <x:v>0</x:v>
      </x:c>
      <x:c r="N34" s="12" t="n">
        <x:f>IF(AND(COUNTIF('01_Fuentes'!$A$5:$A$40,I34)=1,COUNTIF('07_Operaciones'!$A$5:$A$26,H34)=1,COUNTIF('06_Cobertura'!$A$5:$A$25,G34)=1),0,1)</x:f>
        <x:v>0</x:v>
      </x:c>
      <x:c r="O34" s="12" t="n">
        <x:f>IF(OR(A34="",D34="",F34=""),1,0)</x:f>
        <x:v>0</x:v>
      </x:c>
    </x:row>
    <x:row r="35" ht="76" customHeight="1">
      <x:c r="A35" s="4" t="str">
        <x:v>OG-WRL-013</x:v>
      </x:c>
      <x:c r="B35" s="4" t="str">
        <x:v>work_role</x:v>
      </x:c>
      <x:c r="C35" s="4" t="str">
        <x:v>Systems Authorization</x:v>
      </x:c>
      <x:c r="D35" s="4" t="str">
        <x:v>Responsible for operating an information system at an acceptable level of risk to organizational operations, organizational assets, individuals, other organizations, and the nation.</x:v>
      </x:c>
      <x:c r="E35" s="4" t="str">
        <x:v>Autorización de sistemas</x:v>
      </x:c>
      <x:c r="F35" s="4" t="str">
        <x:v>Responsabilizarse de operar un sistema con riesgo institucional aceptado en el mandato aplicable.</x:v>
      </x:c>
      <x:c r="G35" s="4" t="str">
        <x:v>E01</x:v>
      </x:c>
      <x:c r="H35" s="4" t="str">
        <x:v>OPC-21</x:v>
      </x:c>
      <x:c r="I35" s="4" t="str">
        <x:v>F001</x:v>
      </x:c>
      <x:c r="J35" s="4" t="str">
        <x:v>2.2.0</x:v>
      </x:c>
      <x:c r="K35" s="4" t="str">
        <x:v>PRESENTE_EN_CORTE; sin revisión individual declarada</x:v>
      </x:c>
      <x:c r="L35" s="4" t="str">
        <x:v>CANDIDATA_NO_ADOPTADA</x:v>
      </x:c>
      <x:c r="M35" s="12" t="n">
        <x:f>COUNTIF('03_NICE'!$A$5:$A$57,A35)+COUNTIF('04_TKS'!$A$5:$A$72,A35)-1</x:f>
        <x:v>0</x:v>
      </x:c>
      <x:c r="N35" s="12" t="n">
        <x:f>IF(AND(COUNTIF('01_Fuentes'!$A$5:$A$40,I35)=1,COUNTIF('07_Operaciones'!$A$5:$A$26,H35)=1,COUNTIF('06_Cobertura'!$A$5:$A$25,G35)=1),0,1)</x:f>
        <x:v>0</x:v>
      </x:c>
      <x:c r="O35" s="12" t="n">
        <x:f>IF(OR(A35="",D35="",F35=""),1,0)</x:f>
        <x:v>0</x:v>
      </x:c>
    </x:row>
    <x:row r="36" ht="47" customHeight="1">
      <x:c r="A36" s="4" t="str">
        <x:v>OG-WRL-014</x:v>
      </x:c>
      <x:c r="B36" s="4" t="str">
        <x:v>work_role</x:v>
      </x:c>
      <x:c r="C36" s="4" t="str">
        <x:v>Systems Security Management</x:v>
      </x:c>
      <x:c r="D36" s="4" t="str">
        <x:v>Responsible for managing the cybersecurity of a program, organization, system, or enclave.</x:v>
      </x:c>
      <x:c r="E36" s="4" t="str">
        <x:v>Gestión de seguridad de sistemas</x:v>
      </x:c>
      <x:c r="F36" s="4" t="str">
        <x:v>Gestionar seguridad de un programa, organización, sistema o enclave.</x:v>
      </x:c>
      <x:c r="G36" s="4" t="str">
        <x:v>E01</x:v>
      </x:c>
      <x:c r="H36" s="4" t="str">
        <x:v>OPC-01</x:v>
      </x:c>
      <x:c r="I36" s="4" t="str">
        <x:v>F001</x:v>
      </x:c>
      <x:c r="J36" s="4" t="str">
        <x:v>2.2.0</x:v>
      </x:c>
      <x:c r="K36" s="4" t="str">
        <x:v>PRESENTE_EN_CORTE; sin revisión individual declarada</x:v>
      </x:c>
      <x:c r="L36" s="4" t="str">
        <x:v>CANDIDATA_NO_ADOPTADA</x:v>
      </x:c>
      <x:c r="M36" s="12" t="n">
        <x:f>COUNTIF('03_NICE'!$A$5:$A$57,A36)+COUNTIF('04_TKS'!$A$5:$A$72,A36)-1</x:f>
        <x:v>0</x:v>
      </x:c>
      <x:c r="N36" s="12" t="n">
        <x:f>IF(AND(COUNTIF('01_Fuentes'!$A$5:$A$40,I36)=1,COUNTIF('07_Operaciones'!$A$5:$A$26,H36)=1,COUNTIF('06_Cobertura'!$A$5:$A$25,G36)=1),0,1)</x:f>
        <x:v>0</x:v>
      </x:c>
      <x:c r="O36" s="12" t="n">
        <x:f>IF(OR(A36="",D36="",F36=""),1,0)</x:f>
        <x:v>0</x:v>
      </x:c>
    </x:row>
    <x:row r="37" ht="60" customHeight="1">
      <x:c r="A37" s="4" t="str">
        <x:v>OG-WRL-015</x:v>
      </x:c>
      <x:c r="B37" s="4" t="str">
        <x:v>work_role</x:v>
      </x:c>
      <x:c r="C37" s="4" t="str">
        <x:v>Technology Portfolio Management</x:v>
      </x:c>
      <x:c r="D37" s="4" t="str">
        <x:v>Responsible for managing a portfolio of technology investments that align with the overall needs of mission and enterprise priorities.</x:v>
      </x:c>
      <x:c r="E37" s="4" t="str">
        <x:v>Gestión de cartera tecnológica</x:v>
      </x:c>
      <x:c r="F37" s="4" t="str">
        <x:v>Gestionar inversiones tecnológicas conforme a misión y prioridades, acotando la función de seguridad.</x:v>
      </x:c>
      <x:c r="G37" s="4" t="str">
        <x:v>E01</x:v>
      </x:c>
      <x:c r="H37" s="4" t="str">
        <x:v>OPC-01</x:v>
      </x:c>
      <x:c r="I37" s="4" t="str">
        <x:v>F001</x:v>
      </x:c>
      <x:c r="J37" s="4" t="str">
        <x:v>2.2.0</x:v>
      </x:c>
      <x:c r="K37" s="4" t="str">
        <x:v>PRESENTE_EN_CORTE; sin revisión individual declarada</x:v>
      </x:c>
      <x:c r="L37" s="4" t="str">
        <x:v>CANDIDATA_NO_ADOPTADA</x:v>
      </x:c>
      <x:c r="M37" s="12" t="n">
        <x:f>COUNTIF('03_NICE'!$A$5:$A$57,A37)+COUNTIF('04_TKS'!$A$5:$A$72,A37)-1</x:f>
        <x:v>0</x:v>
      </x:c>
      <x:c r="N37" s="12" t="n">
        <x:f>IF(AND(COUNTIF('01_Fuentes'!$A$5:$A$40,I37)=1,COUNTIF('07_Operaciones'!$A$5:$A$26,H37)=1,COUNTIF('06_Cobertura'!$A$5:$A$25,G37)=1),0,1)</x:f>
        <x:v>0</x:v>
      </x:c>
      <x:c r="O37" s="12" t="n">
        <x:f>IF(OR(A37="",D37="",F37=""),1,0)</x:f>
        <x:v>0</x:v>
      </x:c>
    </x:row>
    <x:row r="38" ht="60" customHeight="1">
      <x:c r="A38" s="4" t="str">
        <x:v>OG-WRL-016</x:v>
      </x:c>
      <x:c r="B38" s="4" t="str">
        <x:v>work_role</x:v>
      </x:c>
      <x:c r="C38" s="4" t="str">
        <x:v>Technology Program Auditing</x:v>
      </x:c>
      <x:c r="D38" s="4" t="str">
        <x:v>Responsible for conducting evaluations of technology programs or their individual components to determine compliance with published standards.</x:v>
      </x:c>
      <x:c r="E38" s="4" t="str">
        <x:v>Auditoría de programas tecnológicos</x:v>
      </x:c>
      <x:c r="F38" s="4" t="str">
        <x:v>Evaluar programas y componentes frente a estándares publicados y aplicables.</x:v>
      </x:c>
      <x:c r="G38" s="4" t="str">
        <x:v>E15</x:v>
      </x:c>
      <x:c r="H38" s="4" t="str">
        <x:v>OPC-16</x:v>
      </x:c>
      <x:c r="I38" s="4" t="str">
        <x:v>F001</x:v>
      </x:c>
      <x:c r="J38" s="4" t="str">
        <x:v>2.2.0</x:v>
      </x:c>
      <x:c r="K38" s="4" t="str">
        <x:v>PRESENTE_EN_CORTE; sin revisión individual declarada</x:v>
      </x:c>
      <x:c r="L38" s="4" t="str">
        <x:v>CANDIDATA_NO_ADOPTADA</x:v>
      </x:c>
      <x:c r="M38" s="12" t="n">
        <x:f>COUNTIF('03_NICE'!$A$5:$A$57,A38)+COUNTIF('04_TKS'!$A$5:$A$72,A38)-1</x:f>
        <x:v>0</x:v>
      </x:c>
      <x:c r="N38" s="12" t="n">
        <x:f>IF(AND(COUNTIF('01_Fuentes'!$A$5:$A$40,I38)=1,COUNTIF('07_Operaciones'!$A$5:$A$26,H38)=1,COUNTIF('06_Cobertura'!$A$5:$A$25,G38)=1),0,1)</x:f>
        <x:v>0</x:v>
      </x:c>
      <x:c r="O38" s="12" t="n">
        <x:f>IF(OR(A38="",D38="",F38=""),1,0)</x:f>
        <x:v>0</x:v>
      </x:c>
    </x:row>
    <x:row r="39" ht="108" customHeight="1">
      <x:c r="A39" s="4" t="str">
        <x:v>OG-WRL-017</x:v>
      </x:c>
      <x:c r="B39" s="4" t="str">
        <x:v>work_role</x:v>
      </x:c>
      <x:c r="C39" s="4" t="str">
        <x:v>Cybersecurity Supply Chain Risk Management</x:v>
      </x:c>
      <x:c r="D39" s="4" t="str">
        <x:v>Responsible for developing cybersecurity supply chain risk management (C-SCRM) policies, processes, and procedures to identify, assess, protect against, and respond to cybersecurity risks throughout the supply chain, and for advising other stakeholders within an enterprise about supply chain risks.</x:v>
      </x:c>
      <x:c r="E39" s="4" t="str">
        <x:v>Gestión de riesgo de cadena de suministro</x:v>
      </x:c>
      <x:c r="F39" s="4" t="str">
        <x:v>Desarrollar políticas, procesos y asesoramiento sobre riesgos cibernéticos de la cadena de suministro.</x:v>
      </x:c>
      <x:c r="G39" s="4" t="str">
        <x:v>E07</x:v>
      </x:c>
      <x:c r="H39" s="4" t="str">
        <x:v>OPC-06</x:v>
      </x:c>
      <x:c r="I39" s="4" t="str">
        <x:v>F001</x:v>
      </x:c>
      <x:c r="J39" s="4" t="str">
        <x:v>2.2.0</x:v>
      </x:c>
      <x:c r="K39" s="4" t="str">
        <x:v>PRESENTE_EN_CORTE; sin revisión individual declarada</x:v>
      </x:c>
      <x:c r="L39" s="4" t="str">
        <x:v>CANDIDATA_NO_ADOPTADA</x:v>
      </x:c>
      <x:c r="M39" s="12" t="n">
        <x:f>COUNTIF('03_NICE'!$A$5:$A$57,A39)+COUNTIF('04_TKS'!$A$5:$A$72,A39)-1</x:f>
        <x:v>0</x:v>
      </x:c>
      <x:c r="N39" s="12" t="n">
        <x:f>IF(AND(COUNTIF('01_Fuentes'!$A$5:$A$40,I39)=1,COUNTIF('07_Operaciones'!$A$5:$A$26,H39)=1,COUNTIF('06_Cobertura'!$A$5:$A$25,G39)=1),0,1)</x:f>
        <x:v>0</x:v>
      </x:c>
      <x:c r="O39" s="12" t="n">
        <x:f>IF(OR(A39="",D39="",F39=""),1,0)</x:f>
        <x:v>0</x:v>
      </x:c>
    </x:row>
    <x:row r="40" ht="47" customHeight="1">
      <x:c r="A40" s="4" t="str">
        <x:v>PD-WRL-001</x:v>
      </x:c>
      <x:c r="B40" s="4" t="str">
        <x:v>work_role</x:v>
      </x:c>
      <x:c r="C40" s="4" t="str">
        <x:v>Defensive Cybersecurity</x:v>
      </x:c>
      <x:c r="D40" s="4" t="str">
        <x:v>Responsible for analyzing data collected from various cybersecurity defense tools to mitigate risks.</x:v>
      </x:c>
      <x:c r="E40" s="4" t="str">
        <x:v>Ciberseguridad defensiva</x:v>
      </x:c>
      <x:c r="F40" s="4" t="str">
        <x:v>Analizar datos de herramientas defensivas para apoyar la mitigación de riesgos.</x:v>
      </x:c>
      <x:c r="G40" s="4" t="str">
        <x:v>E09</x:v>
      </x:c>
      <x:c r="H40" s="4" t="str">
        <x:v>OPC-07</x:v>
      </x:c>
      <x:c r="I40" s="4" t="str">
        <x:v>F001</x:v>
      </x:c>
      <x:c r="J40" s="4" t="str">
        <x:v>2.2.0</x:v>
      </x:c>
      <x:c r="K40" s="4" t="str">
        <x:v>PRESENTE_EN_CORTE; sin revisión individual declarada</x:v>
      </x:c>
      <x:c r="L40" s="4" t="str">
        <x:v>CANDIDATA_NO_ADOPTADA</x:v>
      </x:c>
      <x:c r="M40" s="12" t="n">
        <x:f>COUNTIF('03_NICE'!$A$5:$A$57,A40)+COUNTIF('04_TKS'!$A$5:$A$72,A40)-1</x:f>
        <x:v>0</x:v>
      </x:c>
      <x:c r="N40" s="12" t="n">
        <x:f>IF(AND(COUNTIF('01_Fuentes'!$A$5:$A$40,I40)=1,COUNTIF('07_Operaciones'!$A$5:$A$26,H40)=1,COUNTIF('06_Cobertura'!$A$5:$A$25,G40)=1),0,1)</x:f>
        <x:v>0</x:v>
      </x:c>
      <x:c r="O40" s="12" t="n">
        <x:f>IF(OR(A40="",D40="",F40=""),1,0)</x:f>
        <x:v>0</x:v>
      </x:c>
    </x:row>
    <x:row r="41" ht="60" customHeight="1">
      <x:c r="A41" s="4" t="str">
        <x:v>PD-WRL-002</x:v>
      </x:c>
      <x:c r="B41" s="4" t="str">
        <x:v>work_role</x:v>
      </x:c>
      <x:c r="C41" s="4" t="str">
        <x:v>Digital Forensics</x:v>
      </x:c>
      <x:c r="D41" s="4" t="str">
        <x:v>Responsible for analyzing digital evidence from computer security incidents to derive useful information in support of system and network vulnerability mitigation.</x:v>
      </x:c>
      <x:c r="E41" s="4" t="str">
        <x:v>Análisis forense de incidentes</x:v>
      </x:c>
      <x:c r="F41" s="4" t="str">
        <x:v>Analizar evidencia digital de incidentes para apoyar mitigación y comprensión de vulnerabilidades.</x:v>
      </x:c>
      <x:c r="G41" s="4" t="str">
        <x:v>E10</x:v>
      </x:c>
      <x:c r="H41" s="4" t="str">
        <x:v>OPC-10</x:v>
      </x:c>
      <x:c r="I41" s="4" t="str">
        <x:v>F001</x:v>
      </x:c>
      <x:c r="J41" s="4" t="str">
        <x:v>2.2.0</x:v>
      </x:c>
      <x:c r="K41" s="4" t="str">
        <x:v>PRESENTE_EN_CORTE; sin revisión individual declarada</x:v>
      </x:c>
      <x:c r="L41" s="4" t="str">
        <x:v>CANDIDATA_NO_ADOPTADA</x:v>
      </x:c>
      <x:c r="M41" s="12" t="n">
        <x:f>COUNTIF('03_NICE'!$A$5:$A$57,A41)+COUNTIF('04_TKS'!$A$5:$A$72,A41)-1</x:f>
        <x:v>0</x:v>
      </x:c>
      <x:c r="N41" s="12" t="n">
        <x:f>IF(AND(COUNTIF('01_Fuentes'!$A$5:$A$40,I41)=1,COUNTIF('07_Operaciones'!$A$5:$A$26,H41)=1,COUNTIF('06_Cobertura'!$A$5:$A$25,G41)=1),0,1)</x:f>
        <x:v>0</x:v>
      </x:c>
      <x:c r="O41" s="12" t="n">
        <x:f>IF(OR(A41="",D41="",F41=""),1,0)</x:f>
        <x:v>0</x:v>
      </x:c>
    </x:row>
    <x:row r="42" ht="47" customHeight="1">
      <x:c r="A42" s="4" t="str">
        <x:v>PD-WRL-003</x:v>
      </x:c>
      <x:c r="B42" s="4" t="str">
        <x:v>work_role</x:v>
      </x:c>
      <x:c r="C42" s="4" t="str">
        <x:v>Incident Response</x:v>
      </x:c>
      <x:c r="D42" s="4" t="str">
        <x:v>Responsible for investigating, analyzing, and responding to network cybersecurity incidents.</x:v>
      </x:c>
      <x:c r="E42" s="4" t="str">
        <x:v>Respuesta a incidentes</x:v>
      </x:c>
      <x:c r="F42" s="4" t="str">
        <x:v>Investigar, analizar y responder a incidentes de ciberseguridad en redes.</x:v>
      </x:c>
      <x:c r="G42" s="4" t="str">
        <x:v>E11</x:v>
      </x:c>
      <x:c r="H42" s="4" t="str">
        <x:v>OPC-09</x:v>
      </x:c>
      <x:c r="I42" s="4" t="str">
        <x:v>F001</x:v>
      </x:c>
      <x:c r="J42" s="4" t="str">
        <x:v>2.2.0</x:v>
      </x:c>
      <x:c r="K42" s="4" t="str">
        <x:v>PRESENTE_EN_CORTE; sin revisión individual declarada</x:v>
      </x:c>
      <x:c r="L42" s="4" t="str">
        <x:v>CANDIDATA_NO_ADOPTADA</x:v>
      </x:c>
      <x:c r="M42" s="12" t="n">
        <x:f>COUNTIF('03_NICE'!$A$5:$A$57,A42)+COUNTIF('04_TKS'!$A$5:$A$72,A42)-1</x:f>
        <x:v>0</x:v>
      </x:c>
      <x:c r="N42" s="12" t="n">
        <x:f>IF(AND(COUNTIF('01_Fuentes'!$A$5:$A$40,I42)=1,COUNTIF('07_Operaciones'!$A$5:$A$26,H42)=1,COUNTIF('06_Cobertura'!$A$5:$A$25,G42)=1),0,1)</x:f>
        <x:v>0</x:v>
      </x:c>
      <x:c r="O42" s="12" t="n">
        <x:f>IF(OR(A42="",D42="",F42=""),1,0)</x:f>
        <x:v>0</x:v>
      </x:c>
    </x:row>
    <x:row r="43" ht="60" customHeight="1">
      <x:c r="A43" s="4" t="str">
        <x:v>PD-WRL-004</x:v>
      </x:c>
      <x:c r="B43" s="4" t="str">
        <x:v>work_role</x:v>
      </x:c>
      <x:c r="C43" s="4" t="str">
        <x:v>Infrastructure Support</x:v>
      </x:c>
      <x:c r="D43" s="4" t="str">
        <x:v>Responsible for testing, implementing, deploying, maintaining, and administering infrastructure hardware and software for cybersecurity.</x:v>
      </x:c>
      <x:c r="E43" s="4" t="str">
        <x:v>Soporte de infraestructura defensiva</x:v>
      </x:c>
      <x:c r="F43" s="4" t="str">
        <x:v>Implantar y mantener infraestructura y software de ciberseguridad.</x:v>
      </x:c>
      <x:c r="G43" s="4" t="str">
        <x:v>E05</x:v>
      </x:c>
      <x:c r="H43" s="4" t="str">
        <x:v>OPC-12</x:v>
      </x:c>
      <x:c r="I43" s="4" t="str">
        <x:v>F001</x:v>
      </x:c>
      <x:c r="J43" s="4" t="str">
        <x:v>2.2.0</x:v>
      </x:c>
      <x:c r="K43" s="4" t="str">
        <x:v>PRESENTE_EN_CORTE; sin revisión individual declarada</x:v>
      </x:c>
      <x:c r="L43" s="4" t="str">
        <x:v>CANDIDATA_NO_ADOPTADA</x:v>
      </x:c>
      <x:c r="M43" s="12" t="n">
        <x:f>COUNTIF('03_NICE'!$A$5:$A$57,A43)+COUNTIF('04_TKS'!$A$5:$A$72,A43)-1</x:f>
        <x:v>0</x:v>
      </x:c>
      <x:c r="N43" s="12" t="n">
        <x:f>IF(AND(COUNTIF('01_Fuentes'!$A$5:$A$40,I43)=1,COUNTIF('07_Operaciones'!$A$5:$A$26,H43)=1,COUNTIF('06_Cobertura'!$A$5:$A$25,G43)=1),0,1)</x:f>
        <x:v>0</x:v>
      </x:c>
      <x:c r="O43" s="12" t="n">
        <x:f>IF(OR(A43="",D43="",F43=""),1,0)</x:f>
        <x:v>0</x:v>
      </x:c>
    </x:row>
    <x:row r="44" ht="76" customHeight="1">
      <x:c r="A44" s="4" t="str">
        <x:v>PD-WRL-005</x:v>
      </x:c>
      <x:c r="B44" s="4" t="str">
        <x:v>work_role</x:v>
      </x:c>
      <x:c r="C44" s="4" t="str">
        <x:v>Insider Threat Analysis</x:v>
      </x:c>
      <x:c r="D44" s="4" t="str">
        <x:v>Responsible for identifying and assessing the capabilities and activities of cybersecurity insider threats; produces findings to help initialize and support law enforcement and counterintelligence activities and investigations.</x:v>
      </x:c>
      <x:c r="E44" s="4" t="str">
        <x:v>Análisis de amenazas internas</x:v>
      </x:c>
      <x:c r="F44" s="4" t="str">
        <x:v>Identificar y evaluar actividad de amenazas internas y comunicar hallazgos dentro del mandato aplicable.</x:v>
      </x:c>
      <x:c r="G44" s="4" t="str">
        <x:v>E09</x:v>
      </x:c>
      <x:c r="H44" s="4" t="str">
        <x:v>OPC-08</x:v>
      </x:c>
      <x:c r="I44" s="4" t="str">
        <x:v>F001</x:v>
      </x:c>
      <x:c r="J44" s="4" t="str">
        <x:v>2.2.0</x:v>
      </x:c>
      <x:c r="K44" s="4" t="str">
        <x:v>PRESENTE_EN_CORTE; sin revisión individual declarada</x:v>
      </x:c>
      <x:c r="L44" s="4" t="str">
        <x:v>CANDIDATA_NO_ADOPTADA</x:v>
      </x:c>
      <x:c r="M44" s="12" t="n">
        <x:f>COUNTIF('03_NICE'!$A$5:$A$57,A44)+COUNTIF('04_TKS'!$A$5:$A$72,A44)-1</x:f>
        <x:v>0</x:v>
      </x:c>
      <x:c r="N44" s="12" t="n">
        <x:f>IF(AND(COUNTIF('01_Fuentes'!$A$5:$A$40,I44)=1,COUNTIF('07_Operaciones'!$A$5:$A$26,H44)=1,COUNTIF('06_Cobertura'!$A$5:$A$25,G44)=1),0,1)</x:f>
        <x:v>0</x:v>
      </x:c>
      <x:c r="O44" s="12" t="n">
        <x:f>IF(OR(A44="",D44="",F44=""),1,0)</x:f>
        <x:v>0</x:v>
      </x:c>
    </x:row>
    <x:row r="45" ht="76" customHeight="1">
      <x:c r="A45" s="4" t="str">
        <x:v>PD-WRL-006</x:v>
      </x:c>
      <x:c r="B45" s="4" t="str">
        <x:v>work_role</x:v>
      </x:c>
      <x:c r="C45" s="4" t="str">
        <x:v>Threat Analysis</x:v>
      </x:c>
      <x:c r="D45" s="4" t="str">
        <x:v>Responsible for collecting, processing, analyzing, and disseminating cybersecurity threat assessments. Develops cybersecurity indicators to maintain awareness of the status of the highly dynamic operating environment.</x:v>
      </x:c>
      <x:c r="E45" s="4" t="str">
        <x:v>Análisis de amenazas</x:v>
      </x:c>
      <x:c r="F45" s="4" t="str">
        <x:v>Obtener, analizar y difundir evaluaciones e indicadores de amenazas cibernéticas.</x:v>
      </x:c>
      <x:c r="G45" s="4" t="str">
        <x:v>E09</x:v>
      </x:c>
      <x:c r="H45" s="4" t="str">
        <x:v>OPC-08</x:v>
      </x:c>
      <x:c r="I45" s="4" t="str">
        <x:v>F001</x:v>
      </x:c>
      <x:c r="J45" s="4" t="str">
        <x:v>2.2.0</x:v>
      </x:c>
      <x:c r="K45" s="4" t="str">
        <x:v>PRESENTE_EN_CORTE; sin revisión individual declarada</x:v>
      </x:c>
      <x:c r="L45" s="4" t="str">
        <x:v>CANDIDATA_NO_ADOPTADA</x:v>
      </x:c>
      <x:c r="M45" s="12" t="n">
        <x:f>COUNTIF('03_NICE'!$A$5:$A$57,A45)+COUNTIF('04_TKS'!$A$5:$A$72,A45)-1</x:f>
        <x:v>0</x:v>
      </x:c>
      <x:c r="N45" s="12" t="n">
        <x:f>IF(AND(COUNTIF('01_Fuentes'!$A$5:$A$40,I45)=1,COUNTIF('07_Operaciones'!$A$5:$A$26,H45)=1,COUNTIF('06_Cobertura'!$A$5:$A$25,G45)=1),0,1)</x:f>
        <x:v>0</x:v>
      </x:c>
      <x:c r="O45" s="12" t="n">
        <x:f>IF(OR(A45="",D45="",F45=""),1,0)</x:f>
        <x:v>0</x:v>
      </x:c>
    </x:row>
    <x:row r="46" ht="76" customHeight="1">
      <x:c r="A46" s="4" t="str">
        <x:v>PD-WRL-007</x:v>
      </x:c>
      <x:c r="B46" s="4" t="str">
        <x:v>work_role</x:v>
      </x:c>
      <x:c r="C46" s="4" t="str">
        <x:v>Vulnerability Analysis</x:v>
      </x:c>
      <x:c r="D46" s="4" t="str">
        <x:v>Responsible for assessing systems and networks to identify deviations from acceptable configurations, enclave policy, or local policy. Measure effectiveness of defense-in-depth architecture against known vulnerabilities.</x:v>
      </x:c>
      <x:c r="E46" s="4" t="str">
        <x:v>Análisis de vulnerabilidades</x:v>
      </x:c>
      <x:c r="F46" s="4" t="str">
        <x:v>Evaluar sistemas y redes frente a configuraciones aceptadas y vulnerabilidades conocidas.</x:v>
      </x:c>
      <x:c r="G46" s="4" t="str">
        <x:v>E08</x:v>
      </x:c>
      <x:c r="H46" s="4" t="str">
        <x:v>OPC-04</x:v>
      </x:c>
      <x:c r="I46" s="4" t="str">
        <x:v>F001</x:v>
      </x:c>
      <x:c r="J46" s="4" t="str">
        <x:v>2.2.0</x:v>
      </x:c>
      <x:c r="K46" s="4" t="str">
        <x:v>PRESENTE_EN_CORTE; sin revisión individual declarada</x:v>
      </x:c>
      <x:c r="L46" s="4" t="str">
        <x:v>CANDIDATA_NO_ADOPTADA</x:v>
      </x:c>
      <x:c r="M46" s="12" t="n">
        <x:f>COUNTIF('03_NICE'!$A$5:$A$57,A46)+COUNTIF('04_TKS'!$A$5:$A$72,A46)-1</x:f>
        <x:v>0</x:v>
      </x:c>
      <x:c r="N46" s="12" t="n">
        <x:f>IF(AND(COUNTIF('01_Fuentes'!$A$5:$A$40,I46)=1,COUNTIF('07_Operaciones'!$A$5:$A$26,H46)=1,COUNTIF('06_Cobertura'!$A$5:$A$25,G46)=1),0,1)</x:f>
        <x:v>0</x:v>
      </x:c>
      <x:c r="O46" s="12" t="n">
        <x:f>IF(OR(A46="",D46="",F46=""),1,0)</x:f>
        <x:v>0</x:v>
      </x:c>
    </x:row>
    <x:row r="47" ht="92" customHeight="1">
      <x:c r="A47" s="4" t="str">
        <x:v>NF-COM-001</x:v>
      </x:c>
      <x:c r="B47" s="4" t="str">
        <x:v>competency_area</x:v>
      </x:c>
      <x:c r="C47" s="4" t="str">
        <x:v>Access Controls</x:v>
      </x:c>
      <x:c r="D47" s="4" t="str">
        <x:v>This Competency Area describes a learner’s capabilities to define, manage, and monitor the roles and secure access privileges of who is authorized to access protected data and resources and understand the impact of different types of access controls.</x:v>
      </x:c>
      <x:c r="E47" s="4" t="str">
        <x:v>Control de acceso</x:v>
      </x:c>
      <x:c r="F47" s="4" t="str">
        <x:v>Definir, gestionar y vigilar roles y privilegios autorizados sobre recursos protegidos.</x:v>
      </x:c>
      <x:c r="G47" s="4" t="str">
        <x:v>E03</x:v>
      </x:c>
      <x:c r="H47" s="4" t="str">
        <x:v>OPC-03</x:v>
      </x:c>
      <x:c r="I47" s="4" t="str">
        <x:v>F001</x:v>
      </x:c>
      <x:c r="J47" s="4" t="str">
        <x:v>2.2.0</x:v>
      </x:c>
      <x:c r="K47" s="4" t="str">
        <x:v>PRESENTE_EN_CORTE; sin revisión individual declarada</x:v>
      </x:c>
      <x:c r="L47" s="4" t="str">
        <x:v>CANDIDATA_NO_ADOPTADA</x:v>
      </x:c>
      <x:c r="M47" s="12" t="n">
        <x:f>COUNTIF('03_NICE'!$A$5:$A$57,A47)+COUNTIF('04_TKS'!$A$5:$A$72,A47)-1</x:f>
        <x:v>0</x:v>
      </x:c>
      <x:c r="N47" s="12" t="n">
        <x:f>IF(AND(COUNTIF('01_Fuentes'!$A$5:$A$40,I47)=1,COUNTIF('07_Operaciones'!$A$5:$A$26,H47)=1,COUNTIF('06_Cobertura'!$A$5:$A$25,G47)=1),0,1)</x:f>
        <x:v>0</x:v>
      </x:c>
      <x:c r="O47" s="12" t="n">
        <x:f>IF(OR(A47="",D47="",F47=""),1,0)</x:f>
        <x:v>0</x:v>
      </x:c>
    </x:row>
    <x:row r="48" ht="76" customHeight="1">
      <x:c r="A48" s="4" t="str">
        <x:v>NF-COM-002</x:v>
      </x:c>
      <x:c r="B48" s="4" t="str">
        <x:v>competency_area</x:v>
      </x:c>
      <x:c r="C48" s="4" t="str">
        <x:v>Artificial Intelligence (AI) Security</x:v>
      </x:c>
      <x:c r="D48" s="4" t="str">
        <x:v>This Competency Area describes a learner’s capability to understand Artificial Intelligence (AI) systems and to use them in a secure manner that maximizes AI’s benefits while minimizing potential negative risks.</x:v>
      </x:c>
      <x:c r="E48" s="4" t="str">
        <x:v>Seguridad de inteligencia artificial</x:v>
      </x:c>
      <x:c r="F48" s="4" t="str">
        <x:v>Comprender sistemas de IA y usarlos de forma segura, evaluando beneficios y riesgos.</x:v>
      </x:c>
      <x:c r="G48" s="4" t="str">
        <x:v>E18</x:v>
      </x:c>
      <x:c r="H48" s="4" t="str">
        <x:v>OPC-15</x:v>
      </x:c>
      <x:c r="I48" s="4" t="str">
        <x:v>F001</x:v>
      </x:c>
      <x:c r="J48" s="4" t="str">
        <x:v>2.2.0</x:v>
      </x:c>
      <x:c r="K48" s="4" t="str">
        <x:v>PRESENTE_EN_CORTE; sin revisión individual declarada</x:v>
      </x:c>
      <x:c r="L48" s="4" t="str">
        <x:v>CANDIDATA_NO_ADOPTADA</x:v>
      </x:c>
      <x:c r="M48" s="12" t="n">
        <x:f>COUNTIF('03_NICE'!$A$5:$A$57,A48)+COUNTIF('04_TKS'!$A$5:$A$72,A48)-1</x:f>
        <x:v>0</x:v>
      </x:c>
      <x:c r="N48" s="12" t="n">
        <x:f>IF(AND(COUNTIF('01_Fuentes'!$A$5:$A$40,I48)=1,COUNTIF('07_Operaciones'!$A$5:$A$26,H48)=1,COUNTIF('06_Cobertura'!$A$5:$A$25,G48)=1),0,1)</x:f>
        <x:v>0</x:v>
      </x:c>
      <x:c r="O48" s="12" t="n">
        <x:f>IF(OR(A48="",D48="",F48=""),1,0)</x:f>
        <x:v>0</x:v>
      </x:c>
    </x:row>
    <x:row r="49" ht="76" customHeight="1">
      <x:c r="A49" s="4" t="str">
        <x:v>NF-COM-003</x:v>
      </x:c>
      <x:c r="B49" s="4" t="str">
        <x:v>competency_area</x:v>
      </x:c>
      <x:c r="C49" s="4" t="str">
        <x:v>Asset Management</x:v>
      </x:c>
      <x:c r="D49" s="4" t="str">
        <x:v>This Competency Area describes a learner’s capabilities to conduct and maintain an accurate inventory of all digital assets, to include identifying, developing, operating, maintaining, upgrading, and disposing of assets.</x:v>
      </x:c>
      <x:c r="E49" s="4" t="str">
        <x:v>Gestión de activos</x:v>
      </x:c>
      <x:c r="F49" s="4" t="str">
        <x:v>Mantener inventario y ciclo de vida de activos digitales, incluida su retirada.</x:v>
      </x:c>
      <x:c r="G49" s="4" t="str">
        <x:v>E02</x:v>
      </x:c>
      <x:c r="H49" s="4" t="str">
        <x:v>OPC-12</x:v>
      </x:c>
      <x:c r="I49" s="4" t="str">
        <x:v>F001</x:v>
      </x:c>
      <x:c r="J49" s="4" t="str">
        <x:v>2.2.0</x:v>
      </x:c>
      <x:c r="K49" s="4" t="str">
        <x:v>PRESENTE_EN_CORTE; sin revisión individual declarada</x:v>
      </x:c>
      <x:c r="L49" s="4" t="str">
        <x:v>CANDIDATA_NO_ADOPTADA</x:v>
      </x:c>
      <x:c r="M49" s="12" t="n">
        <x:f>COUNTIF('03_NICE'!$A$5:$A$57,A49)+COUNTIF('04_TKS'!$A$5:$A$72,A49)-1</x:f>
        <x:v>0</x:v>
      </x:c>
      <x:c r="N49" s="12" t="n">
        <x:f>IF(AND(COUNTIF('01_Fuentes'!$A$5:$A$40,I49)=1,COUNTIF('07_Operaciones'!$A$5:$A$26,H49)=1,COUNTIF('06_Cobertura'!$A$5:$A$25,G49)=1),0,1)</x:f>
        <x:v>0</x:v>
      </x:c>
      <x:c r="O49" s="12" t="n">
        <x:f>IF(OR(A49="",D49="",F49=""),1,0)</x:f>
        <x:v>0</x:v>
      </x:c>
    </x:row>
    <x:row r="50" ht="60" customHeight="1">
      <x:c r="A50" s="4" t="str">
        <x:v>NF-COM-004</x:v>
      </x:c>
      <x:c r="B50" s="4" t="str">
        <x:v>competency_area</x:v>
      </x:c>
      <x:c r="C50" s="4" t="str">
        <x:v>Cloud Security</x:v>
      </x:c>
      <x:c r="D50" s="4" t="str">
        <x:v>This Competency Area describes a learner’s capabilities to protect cloud data, applications, and infrastructure from internal and external threats.</x:v>
      </x:c>
      <x:c r="E50" s="4" t="str">
        <x:v>Seguridad de nube</x:v>
      </x:c>
      <x:c r="F50" s="4" t="str">
        <x:v>Proteger datos, aplicaciones e infraestructura en nube frente a amenazas internas y externas.</x:v>
      </x:c>
      <x:c r="G50" s="4" t="str">
        <x:v>E07</x:v>
      </x:c>
      <x:c r="H50" s="4" t="str">
        <x:v>OPC-06</x:v>
      </x:c>
      <x:c r="I50" s="4" t="str">
        <x:v>F001</x:v>
      </x:c>
      <x:c r="J50" s="4" t="str">
        <x:v>2.2.0</x:v>
      </x:c>
      <x:c r="K50" s="4" t="str">
        <x:v>PRESENTE_EN_CORTE; sin revisión individual declarada</x:v>
      </x:c>
      <x:c r="L50" s="4" t="str">
        <x:v>CANDIDATA_NO_ADOPTADA</x:v>
      </x:c>
      <x:c r="M50" s="12" t="n">
        <x:f>COUNTIF('03_NICE'!$A$5:$A$57,A50)+COUNTIF('04_TKS'!$A$5:$A$72,A50)-1</x:f>
        <x:v>0</x:v>
      </x:c>
      <x:c r="N50" s="12" t="n">
        <x:f>IF(AND(COUNTIF('01_Fuentes'!$A$5:$A$40,I50)=1,COUNTIF('07_Operaciones'!$A$5:$A$26,H50)=1,COUNTIF('06_Cobertura'!$A$5:$A$25,G50)=1),0,1)</x:f>
        <x:v>0</x:v>
      </x:c>
      <x:c r="O50" s="12" t="n">
        <x:f>IF(OR(A50="",D50="",F50=""),1,0)</x:f>
        <x:v>0</x:v>
      </x:c>
    </x:row>
    <x:row r="51" ht="76" customHeight="1">
      <x:c r="A51" s="4" t="str">
        <x:v>NF-COM-005</x:v>
      </x:c>
      <x:c r="B51" s="4" t="str">
        <x:v>competency_area</x:v>
      </x:c>
      <x:c r="C51" s="4" t="str">
        <x:v>Communications Security</x:v>
      </x:c>
      <x:c r="D51" s="4" t="str">
        <x:v>This Competency Area describes a learner’s capabilities to secure the transmissions, broadcasting, switching, control, and operation of communications and related network infrastructures.</x:v>
      </x:c>
      <x:c r="E51" s="4" t="str">
        <x:v>Seguridad de comunicaciones</x:v>
      </x:c>
      <x:c r="F51" s="4" t="str">
        <x:v>Proteger transmisión, conmutación, operación y control de comunicaciones e infraestructura asociada.</x:v>
      </x:c>
      <x:c r="G51" s="4" t="str">
        <x:v>E05</x:v>
      </x:c>
      <x:c r="H51" s="4" t="str">
        <x:v>OPC-13</x:v>
      </x:c>
      <x:c r="I51" s="4" t="str">
        <x:v>F001</x:v>
      </x:c>
      <x:c r="J51" s="4" t="str">
        <x:v>2.2.0</x:v>
      </x:c>
      <x:c r="K51" s="4" t="str">
        <x:v>PRESENTE_EN_CORTE; sin revisión individual declarada</x:v>
      </x:c>
      <x:c r="L51" s="4" t="str">
        <x:v>CANDIDATA_NO_ADOPTADA</x:v>
      </x:c>
      <x:c r="M51" s="12" t="n">
        <x:f>COUNTIF('03_NICE'!$A$5:$A$57,A51)+COUNTIF('04_TKS'!$A$5:$A$72,A51)-1</x:f>
        <x:v>0</x:v>
      </x:c>
      <x:c r="N51" s="12" t="n">
        <x:f>IF(AND(COUNTIF('01_Fuentes'!$A$5:$A$40,I51)=1,COUNTIF('07_Operaciones'!$A$5:$A$26,H51)=1,COUNTIF('06_Cobertura'!$A$5:$A$25,G51)=1),0,1)</x:f>
        <x:v>0</x:v>
      </x:c>
      <x:c r="O51" s="12" t="n">
        <x:f>IF(OR(A51="",D51="",F51=""),1,0)</x:f>
        <x:v>0</x:v>
      </x:c>
    </x:row>
    <x:row r="52" ht="76" customHeight="1">
      <x:c r="A52" s="4" t="str">
        <x:v>NF-COM-006</x:v>
      </x:c>
      <x:c r="B52" s="4" t="str">
        <x:v>competency_area</x:v>
      </x:c>
      <x:c r="C52" s="4" t="str">
        <x:v>Cryptography</x:v>
      </x:c>
      <x:c r="D52" s="4" t="str">
        <x:v>This Competency Area describes a learner’s capabilities to transform data using cryptographic processes to ensure it can only be read by the person who is authorized to access it.</x:v>
      </x:c>
      <x:c r="E52" s="4" t="str">
        <x:v>Criptografía</x:v>
      </x:c>
      <x:c r="F52" s="4" t="str">
        <x:v>Aplicar transformaciones criptográficas para proteger lectura autorizada de los datos.</x:v>
      </x:c>
      <x:c r="G52" s="4" t="str">
        <x:v>E04</x:v>
      </x:c>
      <x:c r="H52" s="4" t="str">
        <x:v>OPC-13</x:v>
      </x:c>
      <x:c r="I52" s="4" t="str">
        <x:v>F001</x:v>
      </x:c>
      <x:c r="J52" s="4" t="str">
        <x:v>2.2.0</x:v>
      </x:c>
      <x:c r="K52" s="4" t="str">
        <x:v>PRESENTE_EN_CORTE; sin revisión individual declarada</x:v>
      </x:c>
      <x:c r="L52" s="4" t="str">
        <x:v>CANDIDATA_NO_ADOPTADA</x:v>
      </x:c>
      <x:c r="M52" s="12" t="n">
        <x:f>COUNTIF('03_NICE'!$A$5:$A$57,A52)+COUNTIF('04_TKS'!$A$5:$A$72,A52)-1</x:f>
        <x:v>0</x:v>
      </x:c>
      <x:c r="N52" s="12" t="n">
        <x:f>IF(AND(COUNTIF('01_Fuentes'!$A$5:$A$40,I52)=1,COUNTIF('07_Operaciones'!$A$5:$A$26,H52)=1,COUNTIF('06_Cobertura'!$A$5:$A$25,G52)=1),0,1)</x:f>
        <x:v>0</x:v>
      </x:c>
      <x:c r="O52" s="12" t="n">
        <x:f>IF(OR(A52="",D52="",F52=""),1,0)</x:f>
        <x:v>0</x:v>
      </x:c>
    </x:row>
    <x:row r="53" ht="108" customHeight="1">
      <x:c r="A53" s="4" t="str">
        <x:v>NF-COM-007</x:v>
      </x:c>
      <x:c r="B53" s="4" t="str">
        <x:v>competency_area</x:v>
      </x:c>
      <x:c r="C53" s="4" t="str">
        <x:v>Cyber Resiliency</x:v>
      </x:c>
      <x:c r="D53" s="4" t="str">
        <x:v>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x:v>
      </x:c>
      <x:c r="E53" s="4" t="str">
        <x:v>Ciberresiliencia</x:v>
      </x:c>
      <x:c r="F53" s="4" t="str">
        <x:v>Diseñar y mantener sistemas capaces de anticipar, resistir, recuperarse y adaptarse a condiciones adversas.</x:v>
      </x:c>
      <x:c r="G53" s="4" t="str">
        <x:v>E12</x:v>
      </x:c>
      <x:c r="H53" s="4" t="str">
        <x:v>OPC-11</x:v>
      </x:c>
      <x:c r="I53" s="4" t="str">
        <x:v>F001</x:v>
      </x:c>
      <x:c r="J53" s="4" t="str">
        <x:v>2.2.0</x:v>
      </x:c>
      <x:c r="K53" s="4" t="str">
        <x:v>PRESENTE_EN_CORTE; sin revisión individual declarada</x:v>
      </x:c>
      <x:c r="L53" s="4" t="str">
        <x:v>CANDIDATA_NO_ADOPTADA</x:v>
      </x:c>
      <x:c r="M53" s="12" t="n">
        <x:f>COUNTIF('03_NICE'!$A$5:$A$57,A53)+COUNTIF('04_TKS'!$A$5:$A$72,A53)-1</x:f>
        <x:v>0</x:v>
      </x:c>
      <x:c r="N53" s="12" t="n">
        <x:f>IF(AND(COUNTIF('01_Fuentes'!$A$5:$A$40,I53)=1,COUNTIF('07_Operaciones'!$A$5:$A$26,H53)=1,COUNTIF('06_Cobertura'!$A$5:$A$25,G53)=1),0,1)</x:f>
        <x:v>0</x:v>
      </x:c>
      <x:c r="O53" s="12" t="n">
        <x:f>IF(OR(A53="",D53="",F53=""),1,0)</x:f>
        <x:v>0</x:v>
      </x:c>
    </x:row>
    <x:row r="54" ht="76" customHeight="1">
      <x:c r="A54" s="4" t="str">
        <x:v>NF-COM-008</x:v>
      </x:c>
      <x:c r="B54" s="4" t="str">
        <x:v>competency_area</x:v>
      </x:c>
      <x:c r="C54" s="4" t="str">
        <x:v>DevSecOps</x:v>
      </x:c>
      <x:c r="D54" s="4" t="str">
        <x:v>This Competency Area describes a learner’s capabilities to integrate security as a shared responsibility throughout the development, security, and operations (DevSecOps) life cycle of technologies.</x:v>
      </x:c>
      <x:c r="E54" s="4" t="str">
        <x:v>Desarrollo, seguridad y operación integrados</x:v>
      </x:c>
      <x:c r="F54" s="4" t="str">
        <x:v>Integrar seguridad como responsabilidad compartida a lo largo del ciclo DevSecOps.</x:v>
      </x:c>
      <x:c r="G54" s="4" t="str">
        <x:v>E06</x:v>
      </x:c>
      <x:c r="H54" s="4" t="str">
        <x:v>OPC-05</x:v>
      </x:c>
      <x:c r="I54" s="4" t="str">
        <x:v>F001</x:v>
      </x:c>
      <x:c r="J54" s="4" t="str">
        <x:v>2.2.0</x:v>
      </x:c>
      <x:c r="K54" s="4" t="str">
        <x:v>PRESENTE_EN_CORTE; sin revisión individual declarada</x:v>
      </x:c>
      <x:c r="L54" s="4" t="str">
        <x:v>CANDIDATA_NO_ADOPTADA</x:v>
      </x:c>
      <x:c r="M54" s="12" t="n">
        <x:f>COUNTIF('03_NICE'!$A$5:$A$57,A54)+COUNTIF('04_TKS'!$A$5:$A$72,A54)-1</x:f>
        <x:v>0</x:v>
      </x:c>
      <x:c r="N54" s="12" t="n">
        <x:f>IF(AND(COUNTIF('01_Fuentes'!$A$5:$A$40,I54)=1,COUNTIF('07_Operaciones'!$A$5:$A$26,H54)=1,COUNTIF('06_Cobertura'!$A$5:$A$25,G54)=1),0,1)</x:f>
        <x:v>0</x:v>
      </x:c>
      <x:c r="O54" s="12" t="n">
        <x:f>IF(OR(A54="",D54="",F54=""),1,0)</x:f>
        <x:v>0</x:v>
      </x:c>
    </x:row>
    <x:row r="55" ht="76" customHeight="1">
      <x:c r="A55" s="4" t="str">
        <x:v>NF-COM-009</x:v>
      </x:c>
      <x:c r="B55" s="4" t="str">
        <x:v>competency_area</x:v>
      </x:c>
      <x:c r="C55" s="4" t="str">
        <x:v>Operating Systems (OS) Security</x:v>
      </x:c>
      <x:c r="D55" s="4" t="str">
        <x:v>This Competency Area describes a learner’s capabilities to install, administer, troubleshoot, backup, and conduct recovery of Operating Systems (OS), including in simulated environments.</x:v>
      </x:c>
      <x:c r="E55" s="4" t="str">
        <x:v>Seguridad de sistemas operativos</x:v>
      </x:c>
      <x:c r="F55" s="4" t="str">
        <x:v>Instalar, administrar, resolver problemas y recuperar sistemas operativos.</x:v>
      </x:c>
      <x:c r="G55" s="4" t="str">
        <x:v>E05</x:v>
      </x:c>
      <x:c r="H55" s="4" t="str">
        <x:v>OPC-12</x:v>
      </x:c>
      <x:c r="I55" s="4" t="str">
        <x:v>F001</x:v>
      </x:c>
      <x:c r="J55" s="4" t="str">
        <x:v>2.2.0</x:v>
      </x:c>
      <x:c r="K55" s="4" t="str">
        <x:v>PRESENTE_EN_CORTE; sin revisión individual declarada</x:v>
      </x:c>
      <x:c r="L55" s="4" t="str">
        <x:v>CANDIDATA_NO_ADOPTADA</x:v>
      </x:c>
      <x:c r="M55" s="12" t="n">
        <x:f>COUNTIF('03_NICE'!$A$5:$A$57,A55)+COUNTIF('04_TKS'!$A$5:$A$72,A55)-1</x:f>
        <x:v>0</x:v>
      </x:c>
      <x:c r="N55" s="12" t="n">
        <x:f>IF(AND(COUNTIF('01_Fuentes'!$A$5:$A$40,I55)=1,COUNTIF('07_Operaciones'!$A$5:$A$26,H55)=1,COUNTIF('06_Cobertura'!$A$5:$A$25,G55)=1),0,1)</x:f>
        <x:v>0</x:v>
      </x:c>
      <x:c r="O55" s="12" t="n">
        <x:f>IF(OR(A55="",D55="",F55=""),1,0)</x:f>
        <x:v>0</x:v>
      </x:c>
    </x:row>
    <x:row r="56" ht="76" customHeight="1">
      <x:c r="A56" s="4" t="str">
        <x:v>NF-COM-010</x:v>
      </x:c>
      <x:c r="B56" s="4" t="str">
        <x:v>competency_area</x:v>
      </x:c>
      <x:c r="C56" s="4" t="str">
        <x:v>Operational Technology (OT) Security</x:v>
      </x:c>
      <x:c r="D56" s="4" t="str">
        <x:v>This Competency Area describes a learner’s capabilities to improve and maintain the security of Operational Technology (OT) systems while addressing their unique performance, reliability, and safety requirements.</x:v>
      </x:c>
      <x:c r="E56" s="4" t="str">
        <x:v>Seguridad de tecnología operacional</x:v>
      </x:c>
      <x:c r="F56" s="4" t="str">
        <x:v>Mantener seguridad OT atendiendo a rendimiento, fiabilidad y seguridad física.</x:v>
      </x:c>
      <x:c r="G56" s="4" t="str">
        <x:v>E13</x:v>
      </x:c>
      <x:c r="H56" s="4" t="str">
        <x:v>OPC-14</x:v>
      </x:c>
      <x:c r="I56" s="4" t="str">
        <x:v>F001</x:v>
      </x:c>
      <x:c r="J56" s="4" t="str">
        <x:v>2.2.0</x:v>
      </x:c>
      <x:c r="K56" s="4" t="str">
        <x:v>PRESENTE_EN_CORTE; sin revisión individual declarada</x:v>
      </x:c>
      <x:c r="L56" s="4" t="str">
        <x:v>CANDIDATA_NO_ADOPTADA</x:v>
      </x:c>
      <x:c r="M56" s="12" t="n">
        <x:f>COUNTIF('03_NICE'!$A$5:$A$57,A56)+COUNTIF('04_TKS'!$A$5:$A$72,A56)-1</x:f>
        <x:v>0</x:v>
      </x:c>
      <x:c r="N56" s="12" t="n">
        <x:f>IF(AND(COUNTIF('01_Fuentes'!$A$5:$A$40,I56)=1,COUNTIF('07_Operaciones'!$A$5:$A$26,H56)=1,COUNTIF('06_Cobertura'!$A$5:$A$25,G56)=1),0,1)</x:f>
        <x:v>0</x:v>
      </x:c>
      <x:c r="O56" s="12" t="n">
        <x:f>IF(OR(A56="",D56="",F56=""),1,0)</x:f>
        <x:v>0</x:v>
      </x:c>
    </x:row>
    <x:row r="57" ht="76" customHeight="1">
      <x:c r="A57" s="4" t="str">
        <x:v>NF-COM-011</x:v>
      </x:c>
      <x:c r="B57" s="4" t="str">
        <x:v>competency_area</x:v>
      </x:c>
      <x:c r="C57" s="4" t="str">
        <x:v>Supply Chain Security</x:v>
      </x:c>
      <x:c r="D57" s="4" t="str">
        <x:v>This Competency Area describes a learner’s capabilities to analyze and control digital and physical risks presented by technology products or services purchased from parties outside your organization.</x:v>
      </x:c>
      <x:c r="E57" s="4" t="str">
        <x:v>Seguridad de la cadena de suministro</x:v>
      </x:c>
      <x:c r="F57" s="4" t="str">
        <x:v>Analizar y controlar riesgos digitales y físicos de productos y servicios externos.</x:v>
      </x:c>
      <x:c r="G57" s="4" t="str">
        <x:v>E07</x:v>
      </x:c>
      <x:c r="H57" s="4" t="str">
        <x:v>OPC-06</x:v>
      </x:c>
      <x:c r="I57" s="4" t="str">
        <x:v>F001</x:v>
      </x:c>
      <x:c r="J57" s="4" t="str">
        <x:v>2.2.0</x:v>
      </x:c>
      <x:c r="K57" s="4" t="str">
        <x:v>PRESENTE_EN_CORTE; sin revisión individual declarada</x:v>
      </x:c>
      <x:c r="L57" s="4" t="str">
        <x:v>CANDIDATA_NO_ADOPTADA</x:v>
      </x:c>
      <x:c r="M57" s="12" t="n">
        <x:f>COUNTIF('03_NICE'!$A$5:$A$57,A57)+COUNTIF('04_TKS'!$A$5:$A$72,A57)-1</x:f>
        <x:v>0</x:v>
      </x:c>
      <x:c r="N57" s="12" t="n">
        <x:f>IF(AND(COUNTIF('01_Fuentes'!$A$5:$A$40,I57)=1,COUNTIF('07_Operaciones'!$A$5:$A$26,H57)=1,COUNTIF('06_Cobertura'!$A$5:$A$25,G57)=1),0,1)</x:f>
        <x:v>0</x:v>
      </x:c>
      <x:c r="O57" s="12" t="n">
        <x:f>IF(OR(A57="",D57="",F57=""),1,0)</x:f>
        <x:v>0</x:v>
      </x:c>
    </x:row>
  </x:sheetData>
  <x:mergeCells>
    <x:mergeCell ref="A1:D1"/>
    <x:mergeCell ref="A2:F2"/>
  </x:mergeCells>
  <x:pageMargins left="0.7" right="0.7" top="0.75" bottom="0.75" header="0.3" footer="0.3"/>
  <x:tableParts count="1">
    <x:tablePart xmlns:r="http://schemas.openxmlformats.org/officeDocument/2006/relationships" r:id="R970ff4f139e942a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73" hidden="0" customWidth="1"/>
    <x:col min="4" max="4" width="74" hidden="0" customWidth="1"/>
    <x:col min="5" max="5" width="10" hidden="0" customWidth="1"/>
    <x:col min="6" max="6" width="19" hidden="0" customWidth="1"/>
    <x:col min="7" max="7" width="12" hidden="0" customWidth="1"/>
    <x:col min="8" max="8" width="12" hidden="0" customWidth="1"/>
    <x:col min="9" max="9" width="41" hidden="0" customWidth="1"/>
    <x:col min="10" max="10" width="34" hidden="0" customWidth="1"/>
    <x:col min="11" max="11" width="12" hidden="0" customWidth="1"/>
    <x:col min="12" max="12" width="15" hidden="0" customWidth="1"/>
    <x:col min="13" max="13" width="13" hidden="0" customWidth="1"/>
  </x:cols>
  <x:sheetData>
    <x:row r="1" ht="35" customHeight="1">
      <x:c r="A1" s="6" t="str">
        <x:v>NICE · tareas, conocimientos y habilidades</x:v>
      </x:c>
      <x:c r="B1" s="6"/>
      <x:c r="C1" s="6"/>
      <x:c r="D1" s="6"/>
      <x:c r="E1" s="6"/>
      <x:c r="F1" s="6"/>
      <x:c r="G1" s="6"/>
      <x:c r="H1" s="6"/>
      <x:c r="I1" s="6"/>
      <x:c r="J1" s="6"/>
      <x:c r="K1" s="6"/>
      <x:c r="L1" s="6"/>
      <x:c r="M1" s="6"/>
    </x:row>
    <x:row r="2" ht="52" customHeight="1">
      <x:c r="A2" s="8" t="str">
        <x:v>68 TKS seleccionados del corpus de 2.211. Selección finita pertinente; no extracción exhaustiva de tareas de cada rol.</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 externo</x:v>
      </x:c>
      <x:c r="B4" s="10" t="str">
        <x:v>Tipo NICE</x:v>
      </x:c>
      <x:c r="C4" s="10" t="str">
        <x:v>Texto original</x:v>
      </x:c>
      <x:c r="D4" s="10" t="str">
        <x:v>Síntesis española</x:v>
      </x:c>
      <x:c r="E4" s="10" t="str">
        <x:v>Eje</x:v>
      </x:c>
      <x:c r="F4" s="10" t="str">
        <x:v>Operación primaria</x:v>
      </x:c>
      <x:c r="G4" s="10" t="str">
        <x:v>Fuente</x:v>
      </x:c>
      <x:c r="H4" s="10" t="str">
        <x:v>Edición</x:v>
      </x:c>
      <x:c r="I4" s="10" t="str">
        <x:v>Estado externo</x:v>
      </x:c>
      <x:c r="J4" s="10" t="str">
        <x:v>Adopción de afirmación</x:v>
      </x:c>
      <x:c r="K4" s="10" t="str">
        <x:v>Duplicado</x:v>
      </x:c>
      <x:c r="L4" s="10" t="str">
        <x:v>Referencia ausente</x:v>
      </x:c>
      <x:c r="M4" s="10" t="str">
        <x:v>Campo ausente</x:v>
      </x:c>
    </x:row>
    <x:row r="5" ht="47" customHeight="1">
      <x:c r="A5" s="4" t="str">
        <x:v>T0077</x:v>
      </x:c>
      <x:c r="B5" s="4" t="str">
        <x:v>task</x:v>
      </x:c>
      <x:c r="C5" s="4" t="str">
        <x:v>Develop secure code and error handling</x:v>
      </x:c>
      <x:c r="D5" s="4" t="str">
        <x:v>Desarrollar código seguro y tratamiento de errores.</x:v>
      </x:c>
      <x:c r="E5" s="4" t="str">
        <x:v>E06</x:v>
      </x:c>
      <x:c r="F5" s="4" t="str">
        <x:v>OPC-05</x:v>
      </x:c>
      <x:c r="G5" s="4" t="str">
        <x:v>F001</x:v>
      </x:c>
      <x:c r="H5" s="4" t="str">
        <x:v>2.2.0</x:v>
      </x:c>
      <x:c r="I5" s="4" t="str">
        <x:v>PRESENTE_EN_CORTE; sin revisión individual declarada</x:v>
      </x:c>
      <x:c r="J5" s="4" t="str">
        <x:v>CANDIDATA_NO_ADOPTADA</x:v>
      </x:c>
      <x:c r="K5" s="12" t="n">
        <x:f>COUNTIF('03_NICE'!$A$5:$A$57,A5)+COUNTIF('04_TKS'!$A$5:$A$72,A5)-1</x:f>
        <x:v>0</x:v>
      </x:c>
      <x:c r="L5" s="12" t="n">
        <x:f>IF(AND(COUNTIF('01_Fuentes'!$A$5:$A$40,G5)=1,COUNTIF('07_Operaciones'!$A$5:$A$26,F5)=1,COUNTIF('06_Cobertura'!$A$5:$A$25,E5)=1),0,1)</x:f>
        <x:v>0</x:v>
      </x:c>
      <x:c r="M5" s="12" t="n">
        <x:f>IF(OR(A5="",C5="",D5=""),1,0)</x:f>
        <x:v>0</x:v>
      </x:c>
    </x:row>
    <x:row r="6" ht="47" customHeight="1">
      <x:c r="A6" s="4" t="str">
        <x:v>T0080</x:v>
      </x:c>
      <x:c r="B6" s="4" t="str">
        <x:v>task</x:v>
      </x:c>
      <x:c r="C6" s="4" t="str">
        <x:v>Develop test plans to address specifications and requirements</x:v>
      </x:c>
      <x:c r="D6" s="4" t="str">
        <x:v>Preparar planes de prueba que contrasten requisitos y especificaciones.</x:v>
      </x:c>
      <x:c r="E6" s="4" t="str">
        <x:v>E08</x:v>
      </x:c>
      <x:c r="F6" s="4" t="str">
        <x:v>OPC-04</x:v>
      </x:c>
      <x:c r="G6" s="4" t="str">
        <x:v>F001</x:v>
      </x:c>
      <x:c r="H6" s="4" t="str">
        <x:v>2.2.0</x:v>
      </x:c>
      <x:c r="I6" s="4" t="str">
        <x:v>PRESENTE_EN_CORTE; sin revisión individual declarada</x:v>
      </x:c>
      <x:c r="J6" s="4" t="str">
        <x:v>CANDIDATA_NO_ADOPTADA</x:v>
      </x:c>
      <x:c r="K6" s="12" t="n">
        <x:f>COUNTIF('03_NICE'!$A$5:$A$57,A6)+COUNTIF('04_TKS'!$A$5:$A$72,A6)-1</x:f>
        <x:v>0</x:v>
      </x:c>
      <x:c r="L6" s="12" t="n">
        <x:f>IF(AND(COUNTIF('01_Fuentes'!$A$5:$A$40,G6)=1,COUNTIF('07_Operaciones'!$A$5:$A$26,F6)=1,COUNTIF('06_Cobertura'!$A$5:$A$25,E6)=1),0,1)</x:f>
        <x:v>0</x:v>
      </x:c>
      <x:c r="M6" s="12" t="n">
        <x:f>IF(OR(A6="",C6="",D6=""),1,0)</x:f>
        <x:v>0</x:v>
      </x:c>
    </x:row>
    <x:row r="7" ht="47" customHeight="1">
      <x:c r="A7" s="4" t="str">
        <x:v>T0084</x:v>
      </x:c>
      <x:c r="B7" s="4" t="str">
        <x:v>task</x:v>
      </x:c>
      <x:c r="C7" s="4" t="str">
        <x:v>Employ secure configuration management processes</x:v>
      </x:c>
      <x:c r="D7" s="4" t="str">
        <x:v>Aplicar procesos seguros de gestión de configuración.</x:v>
      </x:c>
      <x:c r="E7" s="4" t="str">
        <x:v>E05</x:v>
      </x:c>
      <x:c r="F7" s="4" t="str">
        <x:v>OPC-12</x:v>
      </x:c>
      <x:c r="G7" s="4" t="str">
        <x:v>F001</x:v>
      </x:c>
      <x:c r="H7" s="4" t="str">
        <x:v>2.2.0</x:v>
      </x:c>
      <x:c r="I7" s="4" t="str">
        <x:v>PRESENTE_EN_CORTE; sin revisión individual declarada</x:v>
      </x:c>
      <x:c r="J7" s="4" t="str">
        <x:v>CANDIDATA_NO_ADOPTADA</x:v>
      </x:c>
      <x:c r="K7" s="12" t="n">
        <x:f>COUNTIF('03_NICE'!$A$5:$A$57,A7)+COUNTIF('04_TKS'!$A$5:$A$72,A7)-1</x:f>
        <x:v>0</x:v>
      </x:c>
      <x:c r="L7" s="12" t="n">
        <x:f>IF(AND(COUNTIF('01_Fuentes'!$A$5:$A$40,G7)=1,COUNTIF('07_Operaciones'!$A$5:$A$26,F7)=1,COUNTIF('06_Cobertura'!$A$5:$A$25,E7)=1),0,1)</x:f>
        <x:v>0</x:v>
      </x:c>
      <x:c r="M7" s="12" t="n">
        <x:f>IF(OR(A7="",C7="",D7=""),1,0)</x:f>
        <x:v>0</x:v>
      </x:c>
    </x:row>
    <x:row r="8" ht="47" customHeight="1">
      <x:c r="A8" s="4" t="str">
        <x:v>T0101</x:v>
      </x:c>
      <x:c r="B8" s="4" t="str">
        <x:v>task</x:v>
      </x:c>
      <x:c r="C8" s="4" t="str">
        <x:v>Evaluate the effectiveness and comprehensiveness of existing training programs</x:v>
      </x:c>
      <x:c r="D8" s="4" t="str">
        <x:v>Evaluar eficacia y cobertura de programas de formación existentes.</x:v>
      </x:c>
      <x:c r="E8" s="4" t="str">
        <x:v>E14</x:v>
      </x:c>
      <x:c r="F8" s="4" t="str">
        <x:v>OPC-18</x:v>
      </x:c>
      <x:c r="G8" s="4" t="str">
        <x:v>F001</x:v>
      </x:c>
      <x:c r="H8" s="4" t="str">
        <x:v>2.2.0</x:v>
      </x:c>
      <x:c r="I8" s="4" t="str">
        <x:v>PRESENTE_EN_CORTE; sin revisión individual declarada</x:v>
      </x:c>
      <x:c r="J8" s="4" t="str">
        <x:v>CANDIDATA_NO_ADOPTADA</x:v>
      </x:c>
      <x:c r="K8" s="12" t="n">
        <x:f>COUNTIF('03_NICE'!$A$5:$A$57,A8)+COUNTIF('04_TKS'!$A$5:$A$72,A8)-1</x:f>
        <x:v>0</x:v>
      </x:c>
      <x:c r="L8" s="12" t="n">
        <x:f>IF(AND(COUNTIF('01_Fuentes'!$A$5:$A$40,G8)=1,COUNTIF('07_Operaciones'!$A$5:$A$26,F8)=1,COUNTIF('06_Cobertura'!$A$5:$A$25,E8)=1),0,1)</x:f>
        <x:v>0</x:v>
      </x:c>
      <x:c r="M8" s="12" t="n">
        <x:f>IF(OR(A8="",C8="",D8=""),1,0)</x:f>
        <x:v>0</x:v>
      </x:c>
    </x:row>
    <x:row r="9" ht="47" customHeight="1">
      <x:c r="A9" s="4" t="str">
        <x:v>T0173</x:v>
      </x:c>
      <x:c r="B9" s="4" t="str">
        <x:v>task</x:v>
      </x:c>
      <x:c r="C9" s="4" t="str">
        <x:v>Perform timeline analysis</x:v>
      </x:c>
      <x:c r="D9" s="4" t="str">
        <x:v>Analizar la cronología de los hechos investigados.</x:v>
      </x:c>
      <x:c r="E9" s="4" t="str">
        <x:v>E10</x:v>
      </x:c>
      <x:c r="F9" s="4" t="str">
        <x:v>OPC-10</x:v>
      </x:c>
      <x:c r="G9" s="4" t="str">
        <x:v>F001</x:v>
      </x:c>
      <x:c r="H9" s="4" t="str">
        <x:v>2.2.0</x:v>
      </x:c>
      <x:c r="I9" s="4" t="str">
        <x:v>PRESENTE_EN_CORTE; sin revisión individual declarada</x:v>
      </x:c>
      <x:c r="J9" s="4" t="str">
        <x:v>CANDIDATA_NO_ADOPTADA</x:v>
      </x:c>
      <x:c r="K9" s="12" t="n">
        <x:f>COUNTIF('03_NICE'!$A$5:$A$57,A9)+COUNTIF('04_TKS'!$A$5:$A$72,A9)-1</x:f>
        <x:v>0</x:v>
      </x:c>
      <x:c r="L9" s="12" t="n">
        <x:f>IF(AND(COUNTIF('01_Fuentes'!$A$5:$A$40,G9)=1,COUNTIF('07_Operaciones'!$A$5:$A$26,F9)=1,COUNTIF('06_Cobertura'!$A$5:$A$25,E9)=1),0,1)</x:f>
        <x:v>0</x:v>
      </x:c>
      <x:c r="M9" s="12" t="n">
        <x:f>IF(OR(A9="",C9="",D9=""),1,0)</x:f>
        <x:v>0</x:v>
      </x:c>
    </x:row>
    <x:row r="10" ht="47" customHeight="1">
      <x:c r="A10" s="4" t="str">
        <x:v>T0220</x:v>
      </x:c>
      <x:c r="B10" s="4" t="str">
        <x:v>task</x:v>
      </x:c>
      <x:c r="C10" s="4" t="str">
        <x:v>Resolve conflicts in laws, regulations, policies, standards, or procedures</x:v>
      </x:c>
      <x:c r="D10" s="4" t="str">
        <x:v>Resolver conflictos entre disposiciones, políticas, estándares y procedimientos desde la autoridad competente.</x:v>
      </x:c>
      <x:c r="E10" s="4" t="str">
        <x:v>E16</x:v>
      </x:c>
      <x:c r="F10" s="4" t="str">
        <x:v>OPC-17</x:v>
      </x:c>
      <x:c r="G10" s="4" t="str">
        <x:v>F001</x:v>
      </x:c>
      <x:c r="H10" s="4" t="str">
        <x:v>2.2.0</x:v>
      </x:c>
      <x:c r="I10" s="4" t="str">
        <x:v>PRESENTE_EN_CORTE; sin revisión individual declarada</x:v>
      </x:c>
      <x:c r="J10" s="4" t="str">
        <x:v>CANDIDATA_NO_ADOPTADA</x:v>
      </x:c>
      <x:c r="K10" s="12" t="n">
        <x:f>COUNTIF('03_NICE'!$A$5:$A$57,A10)+COUNTIF('04_TKS'!$A$5:$A$72,A10)-1</x:f>
        <x:v>0</x:v>
      </x:c>
      <x:c r="L10" s="12" t="n">
        <x:f>IF(AND(COUNTIF('01_Fuentes'!$A$5:$A$40,G10)=1,COUNTIF('07_Operaciones'!$A$5:$A$26,F10)=1,COUNTIF('06_Cobertura'!$A$5:$A$25,E10)=1),0,1)</x:f>
        <x:v>0</x:v>
      </x:c>
      <x:c r="M10" s="12" t="n">
        <x:f>IF(OR(A10="",C10="",D10=""),1,0)</x:f>
        <x:v>0</x:v>
      </x:c>
    </x:row>
    <x:row r="11" ht="47" customHeight="1">
      <x:c r="A11" s="4" t="str">
        <x:v>T0274</x:v>
      </x:c>
      <x:c r="B11" s="4" t="str">
        <x:v>task</x:v>
      </x:c>
      <x:c r="C11" s="4" t="str">
        <x:v>Create auditable evidence of security measures</x:v>
      </x:c>
      <x:c r="D11" s="4" t="str">
        <x:v>Crear evidencia auditable de las medidas de seguridad.</x:v>
      </x:c>
      <x:c r="E11" s="4" t="str">
        <x:v>E15</x:v>
      </x:c>
      <x:c r="F11" s="4" t="str">
        <x:v>OPC-16</x:v>
      </x:c>
      <x:c r="G11" s="4" t="str">
        <x:v>F001</x:v>
      </x:c>
      <x:c r="H11" s="4" t="str">
        <x:v>2.2.0</x:v>
      </x:c>
      <x:c r="I11" s="4" t="str">
        <x:v>PRESENTE_EN_CORTE; sin revisión individual declarada</x:v>
      </x:c>
      <x:c r="J11" s="4" t="str">
        <x:v>CANDIDATA_NO_ADOPTADA</x:v>
      </x:c>
      <x:c r="K11" s="12" t="n">
        <x:f>COUNTIF('03_NICE'!$A$5:$A$57,A11)+COUNTIF('04_TKS'!$A$5:$A$72,A11)-1</x:f>
        <x:v>0</x:v>
      </x:c>
      <x:c r="L11" s="12" t="n">
        <x:f>IF(AND(COUNTIF('01_Fuentes'!$A$5:$A$40,G11)=1,COUNTIF('07_Operaciones'!$A$5:$A$26,F11)=1,COUNTIF('06_Cobertura'!$A$5:$A$25,E11)=1),0,1)</x:f>
        <x:v>0</x:v>
      </x:c>
      <x:c r="M11" s="12" t="n">
        <x:f>IF(OR(A11="",C11="",D11=""),1,0)</x:f>
        <x:v>0</x:v>
      </x:c>
    </x:row>
    <x:row r="12" ht="47" customHeight="1">
      <x:c r="A12" s="4" t="str">
        <x:v>T0309</x:v>
      </x:c>
      <x:c r="B12" s="4" t="str">
        <x:v>task</x:v>
      </x:c>
      <x:c r="C12" s="4" t="str">
        <x:v>Assess the effectiveness of security controls</x:v>
      </x:c>
      <x:c r="D12" s="4" t="str">
        <x:v>Evaluar la eficacia de los controles de seguridad.</x:v>
      </x:c>
      <x:c r="E12" s="4" t="str">
        <x:v>E15</x:v>
      </x:c>
      <x:c r="F12" s="4" t="str">
        <x:v>OPC-16</x:v>
      </x:c>
      <x:c r="G12" s="4" t="str">
        <x:v>F001</x:v>
      </x:c>
      <x:c r="H12" s="4" t="str">
        <x:v>2.2.0</x:v>
      </x:c>
      <x:c r="I12" s="4" t="str">
        <x:v>PRESENTE_EN_CORTE; sin revisión individual declarada</x:v>
      </x:c>
      <x:c r="J12" s="4" t="str">
        <x:v>CANDIDATA_NO_ADOPTADA</x:v>
      </x:c>
      <x:c r="K12" s="12" t="n">
        <x:f>COUNTIF('03_NICE'!$A$5:$A$57,A12)+COUNTIF('04_TKS'!$A$5:$A$72,A12)-1</x:f>
        <x:v>0</x:v>
      </x:c>
      <x:c r="L12" s="12" t="n">
        <x:f>IF(AND(COUNTIF('01_Fuentes'!$A$5:$A$40,G12)=1,COUNTIF('07_Operaciones'!$A$5:$A$26,F12)=1,COUNTIF('06_Cobertura'!$A$5:$A$25,E12)=1),0,1)</x:f>
        <x:v>0</x:v>
      </x:c>
      <x:c r="M12" s="12" t="n">
        <x:f>IF(OR(A12="",C12="",D12=""),1,0)</x:f>
        <x:v>0</x:v>
      </x:c>
    </x:row>
    <x:row r="13" ht="47" customHeight="1">
      <x:c r="A13" s="4" t="str">
        <x:v>T0510</x:v>
      </x:c>
      <x:c r="B13" s="4" t="str">
        <x:v>task</x:v>
      </x:c>
      <x:c r="C13" s="4" t="str">
        <x:v>Coordinate incident response functions</x:v>
      </x:c>
      <x:c r="D13" s="4" t="str">
        <x:v>Coordinar las funciones de respuesta a incidentes.</x:v>
      </x:c>
      <x:c r="E13" s="4" t="str">
        <x:v>E11</x:v>
      </x:c>
      <x:c r="F13" s="4" t="str">
        <x:v>OPC-09</x:v>
      </x:c>
      <x:c r="G13" s="4" t="str">
        <x:v>F001</x:v>
      </x:c>
      <x:c r="H13" s="4" t="str">
        <x:v>2.2.0</x:v>
      </x:c>
      <x:c r="I13" s="4" t="str">
        <x:v>PRESENTE_EN_CORTE; sin revisión individual declarada</x:v>
      </x:c>
      <x:c r="J13" s="4" t="str">
        <x:v>CANDIDATA_NO_ADOPTADA</x:v>
      </x:c>
      <x:c r="K13" s="12" t="n">
        <x:f>COUNTIF('03_NICE'!$A$5:$A$57,A13)+COUNTIF('04_TKS'!$A$5:$A$72,A13)-1</x:f>
        <x:v>0</x:v>
      </x:c>
      <x:c r="L13" s="12" t="n">
        <x:f>IF(AND(COUNTIF('01_Fuentes'!$A$5:$A$40,G13)=1,COUNTIF('07_Operaciones'!$A$5:$A$26,F13)=1,COUNTIF('06_Cobertura'!$A$5:$A$25,E13)=1),0,1)</x:f>
        <x:v>0</x:v>
      </x:c>
      <x:c r="M13" s="12" t="n">
        <x:f>IF(OR(A13="",C13="",D13=""),1,0)</x:f>
        <x:v>0</x:v>
      </x:c>
    </x:row>
    <x:row r="14" ht="47" customHeight="1">
      <x:c r="A14" s="4" t="str">
        <x:v>T1020</x:v>
      </x:c>
      <x:c r="B14" s="4" t="str">
        <x:v>task</x:v>
      </x:c>
      <x:c r="C14" s="4" t="str">
        <x:v>Determine the operational and safety impacts of cybersecurity lapses</x:v>
      </x:c>
      <x:c r="D14" s="4" t="str">
        <x:v>Determinar el impacto operativo y de seguridad física de fallos de ciberseguridad.</x:v>
      </x:c>
      <x:c r="E14" s="4" t="str">
        <x:v>E13</x:v>
      </x:c>
      <x:c r="F14" s="4" t="str">
        <x:v>OPC-14</x:v>
      </x:c>
      <x:c r="G14" s="4" t="str">
        <x:v>F001</x:v>
      </x:c>
      <x:c r="H14" s="4" t="str">
        <x:v>2.2.0</x:v>
      </x:c>
      <x:c r="I14" s="4" t="str">
        <x:v>PRESENTE_EN_CORTE; sin revisión individual declarada</x:v>
      </x:c>
      <x:c r="J14" s="4" t="str">
        <x:v>CANDIDATA_NO_ADOPTADA</x:v>
      </x:c>
      <x:c r="K14" s="12" t="n">
        <x:f>COUNTIF('03_NICE'!$A$5:$A$57,A14)+COUNTIF('04_TKS'!$A$5:$A$72,A14)-1</x:f>
        <x:v>0</x:v>
      </x:c>
      <x:c r="L14" s="12" t="n">
        <x:f>IF(AND(COUNTIF('01_Fuentes'!$A$5:$A$40,G14)=1,COUNTIF('07_Operaciones'!$A$5:$A$26,F14)=1,COUNTIF('06_Cobertura'!$A$5:$A$25,E14)=1),0,1)</x:f>
        <x:v>0</x:v>
      </x:c>
      <x:c r="M14" s="12" t="n">
        <x:f>IF(OR(A14="",C14="",D14=""),1,0)</x:f>
        <x:v>0</x:v>
      </x:c>
    </x:row>
    <x:row r="15" ht="47" customHeight="1">
      <x:c r="A15" s="4" t="str">
        <x:v>T1111</x:v>
      </x:c>
      <x:c r="B15" s="4" t="str">
        <x:v>task</x:v>
      </x:c>
      <x:c r="C15" s="4" t="str">
        <x:v>Administer rule and signature updates for specialized cyber defense applications</x:v>
      </x:c>
      <x:c r="D15" s="4" t="str">
        <x:v>Administrar actualizaciones de reglas y firmas de aplicaciones defensivas.</x:v>
      </x:c>
      <x:c r="E15" s="4" t="str">
        <x:v>E09</x:v>
      </x:c>
      <x:c r="F15" s="4" t="str">
        <x:v>OPC-07</x:v>
      </x:c>
      <x:c r="G15" s="4" t="str">
        <x:v>F001</x:v>
      </x:c>
      <x:c r="H15" s="4" t="str">
        <x:v>2.2.0</x:v>
      </x:c>
      <x:c r="I15" s="4" t="str">
        <x:v>PRESENTE_EN_CORTE; sin revisión individual declarada</x:v>
      </x:c>
      <x:c r="J15" s="4" t="str">
        <x:v>CANDIDATA_NO_ADOPTADA</x:v>
      </x:c>
      <x:c r="K15" s="12" t="n">
        <x:f>COUNTIF('03_NICE'!$A$5:$A$57,A15)+COUNTIF('04_TKS'!$A$5:$A$72,A15)-1</x:f>
        <x:v>0</x:v>
      </x:c>
      <x:c r="L15" s="12" t="n">
        <x:f>IF(AND(COUNTIF('01_Fuentes'!$A$5:$A$40,G15)=1,COUNTIF('07_Operaciones'!$A$5:$A$26,F15)=1,COUNTIF('06_Cobertura'!$A$5:$A$25,E15)=1),0,1)</x:f>
        <x:v>0</x:v>
      </x:c>
      <x:c r="M15" s="12" t="n">
        <x:f>IF(OR(A15="",C15="",D15=""),1,0)</x:f>
        <x:v>0</x:v>
      </x:c>
    </x:row>
    <x:row r="16" ht="47" customHeight="1">
      <x:c r="A16" s="4" t="str">
        <x:v>T1118</x:v>
      </x:c>
      <x:c r="B16" s="4" t="str">
        <x:v>task</x:v>
      </x:c>
      <x:c r="C16" s="4" t="str">
        <x:v>Identify vulnerabilities</x:v>
      </x:c>
      <x:c r="D16" s="4" t="str">
        <x:v>Identificar vulnerabilidades en el alcance declarado.</x:v>
      </x:c>
      <x:c r="E16" s="4" t="str">
        <x:v>E08</x:v>
      </x:c>
      <x:c r="F16" s="4" t="str">
        <x:v>OPC-04</x:v>
      </x:c>
      <x:c r="G16" s="4" t="str">
        <x:v>F001</x:v>
      </x:c>
      <x:c r="H16" s="4" t="str">
        <x:v>2.2.0</x:v>
      </x:c>
      <x:c r="I16" s="4" t="str">
        <x:v>PRESENTE_EN_CORTE; sin revisión individual declarada</x:v>
      </x:c>
      <x:c r="J16" s="4" t="str">
        <x:v>CANDIDATA_NO_ADOPTADA</x:v>
      </x:c>
      <x:c r="K16" s="12" t="n">
        <x:f>COUNTIF('03_NICE'!$A$5:$A$57,A16)+COUNTIF('04_TKS'!$A$5:$A$72,A16)-1</x:f>
        <x:v>0</x:v>
      </x:c>
      <x:c r="L16" s="12" t="n">
        <x:f>IF(AND(COUNTIF('01_Fuentes'!$A$5:$A$40,G16)=1,COUNTIF('07_Operaciones'!$A$5:$A$26,F16)=1,COUNTIF('06_Cobertura'!$A$5:$A$25,E16)=1),0,1)</x:f>
        <x:v>0</x:v>
      </x:c>
      <x:c r="M16" s="12" t="n">
        <x:f>IF(OR(A16="",C16="",D16=""),1,0)</x:f>
        <x:v>0</x:v>
      </x:c>
    </x:row>
    <x:row r="17" ht="47" customHeight="1">
      <x:c r="A17" s="4" t="str">
        <x:v>T1119</x:v>
      </x:c>
      <x:c r="B17" s="4" t="str">
        <x:v>task</x:v>
      </x:c>
      <x:c r="C17" s="4" t="str">
        <x:v>Recommend vulnerability remediation strategies</x:v>
      </x:c>
      <x:c r="D17" s="4" t="str">
        <x:v>Proponer estrategias de corrección de vulnerabilidades.</x:v>
      </x:c>
      <x:c r="E17" s="4" t="str">
        <x:v>E08</x:v>
      </x:c>
      <x:c r="F17" s="4" t="str">
        <x:v>OPC-04</x:v>
      </x:c>
      <x:c r="G17" s="4" t="str">
        <x:v>F001</x:v>
      </x:c>
      <x:c r="H17" s="4" t="str">
        <x:v>2.2.0</x:v>
      </x:c>
      <x:c r="I17" s="4" t="str">
        <x:v>PRESENTE_EN_CORTE; sin revisión individual declarada</x:v>
      </x:c>
      <x:c r="J17" s="4" t="str">
        <x:v>CANDIDATA_NO_ADOPTADA</x:v>
      </x:c>
      <x:c r="K17" s="12" t="n">
        <x:f>COUNTIF('03_NICE'!$A$5:$A$57,A17)+COUNTIF('04_TKS'!$A$5:$A$72,A17)-1</x:f>
        <x:v>0</x:v>
      </x:c>
      <x:c r="L17" s="12" t="n">
        <x:f>IF(AND(COUNTIF('01_Fuentes'!$A$5:$A$40,G17)=1,COUNTIF('07_Operaciones'!$A$5:$A$26,F17)=1,COUNTIF('06_Cobertura'!$A$5:$A$25,E17)=1),0,1)</x:f>
        <x:v>0</x:v>
      </x:c>
      <x:c r="M17" s="12" t="n">
        <x:f>IF(OR(A17="",C17="",D17=""),1,0)</x:f>
        <x:v>0</x:v>
      </x:c>
    </x:row>
    <x:row r="18" ht="47" customHeight="1">
      <x:c r="A18" s="4" t="str">
        <x:v>T1120</x:v>
      </x:c>
      <x:c r="B18" s="4" t="str">
        <x:v>task</x:v>
      </x:c>
      <x:c r="C18" s="4" t="str">
        <x:v>Create forensically sound duplicates of evidence</x:v>
      </x:c>
      <x:c r="D18" s="4" t="str">
        <x:v>Crear duplicados de evidencia con rigor forense.</x:v>
      </x:c>
      <x:c r="E18" s="4" t="str">
        <x:v>E10</x:v>
      </x:c>
      <x:c r="F18" s="4" t="str">
        <x:v>OPC-10</x:v>
      </x:c>
      <x:c r="G18" s="4" t="str">
        <x:v>F001</x:v>
      </x:c>
      <x:c r="H18" s="4" t="str">
        <x:v>2.2.0</x:v>
      </x:c>
      <x:c r="I18" s="4" t="str">
        <x:v>PRESENTE_EN_CORTE; sin revisión individual declarada</x:v>
      </x:c>
      <x:c r="J18" s="4" t="str">
        <x:v>CANDIDATA_NO_ADOPTADA</x:v>
      </x:c>
      <x:c r="K18" s="12" t="n">
        <x:f>COUNTIF('03_NICE'!$A$5:$A$57,A18)+COUNTIF('04_TKS'!$A$5:$A$72,A18)-1</x:f>
        <x:v>0</x:v>
      </x:c>
      <x:c r="L18" s="12" t="n">
        <x:f>IF(AND(COUNTIF('01_Fuentes'!$A$5:$A$40,G18)=1,COUNTIF('07_Operaciones'!$A$5:$A$26,F18)=1,COUNTIF('06_Cobertura'!$A$5:$A$25,E18)=1),0,1)</x:f>
        <x:v>0</x:v>
      </x:c>
      <x:c r="M18" s="12" t="n">
        <x:f>IF(OR(A18="",C18="",D18=""),1,0)</x:f>
        <x:v>0</x:v>
      </x:c>
    </x:row>
    <x:row r="19" ht="47" customHeight="1">
      <x:c r="A19" s="4" t="str">
        <x:v>T1126</x:v>
      </x:c>
      <x:c r="B19" s="4" t="str">
        <x:v>task</x:v>
      </x:c>
      <x:c r="C19" s="4" t="str">
        <x:v>Determine disaster recovery and continuity of operations system requirements</x:v>
      </x:c>
      <x:c r="D19" s="4" t="str">
        <x:v>Determinar requisitos de recuperación y continuidad de sistemas.</x:v>
      </x:c>
      <x:c r="E19" s="4" t="str">
        <x:v>E12</x:v>
      </x:c>
      <x:c r="F19" s="4" t="str">
        <x:v>OPC-11</x:v>
      </x:c>
      <x:c r="G19" s="4" t="str">
        <x:v>F001</x:v>
      </x:c>
      <x:c r="H19" s="4" t="str">
        <x:v>2.2.0</x:v>
      </x:c>
      <x:c r="I19" s="4" t="str">
        <x:v>PRESENTE_EN_CORTE; sin revisión individual declarada</x:v>
      </x:c>
      <x:c r="J19" s="4" t="str">
        <x:v>CANDIDATA_NO_ADOPTADA</x:v>
      </x:c>
      <x:c r="K19" s="12" t="n">
        <x:f>COUNTIF('03_NICE'!$A$5:$A$57,A19)+COUNTIF('04_TKS'!$A$5:$A$72,A19)-1</x:f>
        <x:v>0</x:v>
      </x:c>
      <x:c r="L19" s="12" t="n">
        <x:f>IF(AND(COUNTIF('01_Fuentes'!$A$5:$A$40,G19)=1,COUNTIF('07_Operaciones'!$A$5:$A$26,F19)=1,COUNTIF('06_Cobertura'!$A$5:$A$25,E19)=1),0,1)</x:f>
        <x:v>0</x:v>
      </x:c>
      <x:c r="M19" s="12" t="n">
        <x:f>IF(OR(A19="",C19="",D19=""),1,0)</x:f>
        <x:v>0</x:v>
      </x:c>
    </x:row>
    <x:row r="20" ht="47" customHeight="1">
      <x:c r="A20" s="4" t="str">
        <x:v>T1130</x:v>
      </x:c>
      <x:c r="B20" s="4" t="str">
        <x:v>task</x:v>
      </x:c>
      <x:c r="C20" s="4" t="str">
        <x:v>Develop group policies and access control lists</x:v>
      </x:c>
      <x:c r="D20" s="4" t="str">
        <x:v>Desarrollar políticas de grupo y listas de control de acceso.</x:v>
      </x:c>
      <x:c r="E20" s="4" t="str">
        <x:v>E03</x:v>
      </x:c>
      <x:c r="F20" s="4" t="str">
        <x:v>OPC-03</x:v>
      </x:c>
      <x:c r="G20" s="4" t="str">
        <x:v>F001</x:v>
      </x:c>
      <x:c r="H20" s="4" t="str">
        <x:v>2.2.0</x:v>
      </x:c>
      <x:c r="I20" s="4" t="str">
        <x:v>PRESENTE_EN_CORTE; sin revisión individual declarada</x:v>
      </x:c>
      <x:c r="J20" s="4" t="str">
        <x:v>CANDIDATA_NO_ADOPTADA</x:v>
      </x:c>
      <x:c r="K20" s="12" t="n">
        <x:f>COUNTIF('03_NICE'!$A$5:$A$57,A20)+COUNTIF('04_TKS'!$A$5:$A$72,A20)-1</x:f>
        <x:v>0</x:v>
      </x:c>
      <x:c r="L20" s="12" t="n">
        <x:f>IF(AND(COUNTIF('01_Fuentes'!$A$5:$A$40,G20)=1,COUNTIF('07_Operaciones'!$A$5:$A$26,F20)=1,COUNTIF('06_Cobertura'!$A$5:$A$25,E20)=1),0,1)</x:f>
        <x:v>0</x:v>
      </x:c>
      <x:c r="M20" s="12" t="n">
        <x:f>IF(OR(A20="",C20="",D20=""),1,0)</x:f>
        <x:v>0</x:v>
      </x:c>
    </x:row>
    <x:row r="21" ht="47" customHeight="1">
      <x:c r="A21" s="4" t="str">
        <x:v>T1133</x:v>
      </x:c>
      <x:c r="B21" s="4" t="str">
        <x:v>task</x:v>
      </x:c>
      <x:c r="C21" s="4" t="str">
        <x:v>Develop technical and procedural processes for integrity of stored backup data</x:v>
      </x:c>
      <x:c r="D21" s="4" t="str">
        <x:v>Definir procesos técnicos y procedimentales para integridad de copias de seguridad.</x:v>
      </x:c>
      <x:c r="E21" s="4" t="str">
        <x:v>E12</x:v>
      </x:c>
      <x:c r="F21" s="4" t="str">
        <x:v>OPC-11</x:v>
      </x:c>
      <x:c r="G21" s="4" t="str">
        <x:v>F001</x:v>
      </x:c>
      <x:c r="H21" s="4" t="str">
        <x:v>2.2.0</x:v>
      </x:c>
      <x:c r="I21" s="4" t="str">
        <x:v>PRESENTE_EN_CORTE; sin revisión individual declarada</x:v>
      </x:c>
      <x:c r="J21" s="4" t="str">
        <x:v>CANDIDATA_NO_ADOPTADA</x:v>
      </x:c>
      <x:c r="K21" s="12" t="n">
        <x:f>COUNTIF('03_NICE'!$A$5:$A$57,A21)+COUNTIF('04_TKS'!$A$5:$A$72,A21)-1</x:f>
        <x:v>0</x:v>
      </x:c>
      <x:c r="L21" s="12" t="n">
        <x:f>IF(AND(COUNTIF('01_Fuentes'!$A$5:$A$40,G21)=1,COUNTIF('07_Operaciones'!$A$5:$A$26,F21)=1,COUNTIF('06_Cobertura'!$A$5:$A$25,E21)=1),0,1)</x:f>
        <x:v>0</x:v>
      </x:c>
      <x:c r="M21" s="12" t="n">
        <x:f>IF(OR(A21="",C21="",D21=""),1,0)</x:f>
        <x:v>0</x:v>
      </x:c>
    </x:row>
    <x:row r="22" ht="47" customHeight="1">
      <x:c r="A22" s="4" t="str">
        <x:v>T1150</x:v>
      </x:c>
      <x:c r="B22" s="4" t="str">
        <x:v>task</x:v>
      </x:c>
      <x:c r="C22" s="4" t="str">
        <x:v>Test disaster recovery and continuity of operations plans for systems prior to deployment</x:v>
      </x:c>
      <x:c r="D22" s="4" t="str">
        <x:v>Probar recuperación y continuidad antes del despliegue.</x:v>
      </x:c>
      <x:c r="E22" s="4" t="str">
        <x:v>E12</x:v>
      </x:c>
      <x:c r="F22" s="4" t="str">
        <x:v>OPC-11</x:v>
      </x:c>
      <x:c r="G22" s="4" t="str">
        <x:v>F001</x:v>
      </x:c>
      <x:c r="H22" s="4" t="str">
        <x:v>2.2.0</x:v>
      </x:c>
      <x:c r="I22" s="4" t="str">
        <x:v>PRESENTE_EN_CORTE; sin revisión individual declarada</x:v>
      </x:c>
      <x:c r="J22" s="4" t="str">
        <x:v>CANDIDATA_NO_ADOPTADA</x:v>
      </x:c>
      <x:c r="K22" s="12" t="n">
        <x:f>COUNTIF('03_NICE'!$A$5:$A$57,A22)+COUNTIF('04_TKS'!$A$5:$A$72,A22)-1</x:f>
        <x:v>0</x:v>
      </x:c>
      <x:c r="L22" s="12" t="n">
        <x:f>IF(AND(COUNTIF('01_Fuentes'!$A$5:$A$40,G22)=1,COUNTIF('07_Operaciones'!$A$5:$A$26,F22)=1,COUNTIF('06_Cobertura'!$A$5:$A$25,E22)=1),0,1)</x:f>
        <x:v>0</x:v>
      </x:c>
      <x:c r="M22" s="12" t="n">
        <x:f>IF(OR(A22="",C22="",D22=""),1,0)</x:f>
        <x:v>0</x:v>
      </x:c>
    </x:row>
    <x:row r="23" ht="47" customHeight="1">
      <x:c r="A23" s="4" t="str">
        <x:v>T1175</x:v>
      </x:c>
      <x:c r="B23" s="4" t="str">
        <x:v>task</x:v>
      </x:c>
      <x:c r="C23" s="4" t="str">
        <x:v>Determine if digital media chain or custody processes meet Federal Rules of Evidence requirements</x:v>
      </x:c>
      <x:c r="D23" s="4" t="str">
        <x:v>Evaluar cadena de custodia de medios digitales según las reglas federales de evidencia citadas por la fuente estadounidense.</x:v>
      </x:c>
      <x:c r="E23" s="4" t="str">
        <x:v>E16</x:v>
      </x:c>
      <x:c r="F23" s="4" t="str">
        <x:v>OPC-20</x:v>
      </x:c>
      <x:c r="G23" s="4" t="str">
        <x:v>F001</x:v>
      </x:c>
      <x:c r="H23" s="4" t="str">
        <x:v>2.2.0</x:v>
      </x:c>
      <x:c r="I23" s="4" t="str">
        <x:v>PRESENTE_EN_CORTE; sin revisión individual declarada</x:v>
      </x:c>
      <x:c r="J23" s="4" t="str">
        <x:v>CANDIDATA_NO_ADOPTADA</x:v>
      </x:c>
      <x:c r="K23" s="12" t="n">
        <x:f>COUNTIF('03_NICE'!$A$5:$A$57,A23)+COUNTIF('04_TKS'!$A$5:$A$72,A23)-1</x:f>
        <x:v>0</x:v>
      </x:c>
      <x:c r="L23" s="12" t="n">
        <x:f>IF(AND(COUNTIF('01_Fuentes'!$A$5:$A$40,G23)=1,COUNTIF('07_Operaciones'!$A$5:$A$26,F23)=1,COUNTIF('06_Cobertura'!$A$5:$A$25,E23)=1),0,1)</x:f>
        <x:v>0</x:v>
      </x:c>
      <x:c r="M23" s="12" t="n">
        <x:f>IF(OR(A23="",C23="",D23=""),1,0)</x:f>
        <x:v>0</x:v>
      </x:c>
    </x:row>
    <x:row r="24" ht="47" customHeight="1">
      <x:c r="A24" s="4" t="str">
        <x:v>T1289</x:v>
      </x:c>
      <x:c r="B24" s="4" t="str">
        <x:v>task</x:v>
      </x:c>
      <x:c r="C24" s="4" t="str">
        <x:v>Document software application, system, and network security postures, capabilities, and vulnerabilities</x:v>
      </x:c>
      <x:c r="D24" s="4" t="str">
        <x:v>Documentar postura, capacidades y vulnerabilidades de aplicaciones, sistemas y redes.</x:v>
      </x:c>
      <x:c r="E24" s="4" t="str">
        <x:v>E08</x:v>
      </x:c>
      <x:c r="F24" s="4" t="str">
        <x:v>OPC-04</x:v>
      </x:c>
      <x:c r="G24" s="4" t="str">
        <x:v>F001</x:v>
      </x:c>
      <x:c r="H24" s="4" t="str">
        <x:v>2.2.0</x:v>
      </x:c>
      <x:c r="I24" s="4" t="str">
        <x:v>PRESENTE_EN_CORTE; sin revisión individual declarada</x:v>
      </x:c>
      <x:c r="J24" s="4" t="str">
        <x:v>CANDIDATA_NO_ADOPTADA</x:v>
      </x:c>
      <x:c r="K24" s="12" t="n">
        <x:f>COUNTIF('03_NICE'!$A$5:$A$57,A24)+COUNTIF('04_TKS'!$A$5:$A$72,A24)-1</x:f>
        <x:v>0</x:v>
      </x:c>
      <x:c r="L24" s="12" t="n">
        <x:f>IF(AND(COUNTIF('01_Fuentes'!$A$5:$A$40,G24)=1,COUNTIF('07_Operaciones'!$A$5:$A$26,F24)=1,COUNTIF('06_Cobertura'!$A$5:$A$25,E24)=1),0,1)</x:f>
        <x:v>0</x:v>
      </x:c>
      <x:c r="M24" s="12" t="n">
        <x:f>IF(OR(A24="",C24="",D24=""),1,0)</x:f>
        <x:v>0</x:v>
      </x:c>
    </x:row>
    <x:row r="25" ht="47" customHeight="1">
      <x:c r="A25" s="4" t="str">
        <x:v>T1325</x:v>
      </x:c>
      <x:c r="B25" s="4" t="str">
        <x:v>task</x:v>
      </x:c>
      <x:c r="C25" s="4" t="str">
        <x:v>Document digital evidence</x:v>
      </x:c>
      <x:c r="D25" s="4" t="str">
        <x:v>Documentar evidencia digital.</x:v>
      </x:c>
      <x:c r="E25" s="4" t="str">
        <x:v>E10</x:v>
      </x:c>
      <x:c r="F25" s="4" t="str">
        <x:v>OPC-10</x:v>
      </x:c>
      <x:c r="G25" s="4" t="str">
        <x:v>F001</x:v>
      </x:c>
      <x:c r="H25" s="4" t="str">
        <x:v>2.2.0</x:v>
      </x:c>
      <x:c r="I25" s="4" t="str">
        <x:v>PRESENTE_EN_CORTE; sin revisión individual declarada</x:v>
      </x:c>
      <x:c r="J25" s="4" t="str">
        <x:v>CANDIDATA_NO_ADOPTADA</x:v>
      </x:c>
      <x:c r="K25" s="12" t="n">
        <x:f>COUNTIF('03_NICE'!$A$5:$A$57,A25)+COUNTIF('04_TKS'!$A$5:$A$72,A25)-1</x:f>
        <x:v>0</x:v>
      </x:c>
      <x:c r="L25" s="12" t="n">
        <x:f>IF(AND(COUNTIF('01_Fuentes'!$A$5:$A$40,G25)=1,COUNTIF('07_Operaciones'!$A$5:$A$26,F25)=1,COUNTIF('06_Cobertura'!$A$5:$A$25,E25)=1),0,1)</x:f>
        <x:v>0</x:v>
      </x:c>
      <x:c r="M25" s="12" t="n">
        <x:f>IF(OR(A25="",C25="",D25=""),1,0)</x:f>
        <x:v>0</x:v>
      </x:c>
    </x:row>
    <x:row r="26" ht="47" customHeight="1">
      <x:c r="A26" s="4" t="str">
        <x:v>T1344</x:v>
      </x:c>
      <x:c r="B26" s="4" t="str">
        <x:v>task</x:v>
      </x:c>
      <x:c r="C26" s="4" t="str">
        <x:v>Determine if procurement activities sufficiently address supply chain risks</x:v>
      </x:c>
      <x:c r="D26" s="4" t="str">
        <x:v>Determinar si la adquisición atiende suficientemente los riesgos de suministro.</x:v>
      </x:c>
      <x:c r="E26" s="4" t="str">
        <x:v>E07</x:v>
      </x:c>
      <x:c r="F26" s="4" t="str">
        <x:v>OPC-06</x:v>
      </x:c>
      <x:c r="G26" s="4" t="str">
        <x:v>F001</x:v>
      </x:c>
      <x:c r="H26" s="4" t="str">
        <x:v>2.2.0</x:v>
      </x:c>
      <x:c r="I26" s="4" t="str">
        <x:v>PRESENTE_EN_CORTE; sin revisión individual declarada</x:v>
      </x:c>
      <x:c r="J26" s="4" t="str">
        <x:v>CANDIDATA_NO_ADOPTADA</x:v>
      </x:c>
      <x:c r="K26" s="12" t="n">
        <x:f>COUNTIF('03_NICE'!$A$5:$A$57,A26)+COUNTIF('04_TKS'!$A$5:$A$72,A26)-1</x:f>
        <x:v>0</x:v>
      </x:c>
      <x:c r="L26" s="12" t="n">
        <x:f>IF(AND(COUNTIF('01_Fuentes'!$A$5:$A$40,G26)=1,COUNTIF('07_Operaciones'!$A$5:$A$26,F26)=1,COUNTIF('06_Cobertura'!$A$5:$A$25,E26)=1),0,1)</x:f>
        <x:v>0</x:v>
      </x:c>
      <x:c r="M26" s="12" t="n">
        <x:f>IF(OR(A26="",C26="",D26=""),1,0)</x:f>
        <x:v>0</x:v>
      </x:c>
    </x:row>
    <x:row r="27" ht="47" customHeight="1">
      <x:c r="A27" s="4" t="str">
        <x:v>T1366</x:v>
      </x:c>
      <x:c r="B27" s="4" t="str">
        <x:v>task</x:v>
      </x:c>
      <x:c r="C27" s="4" t="str">
        <x:v>Identify supply chain risks for critical system elements</x:v>
      </x:c>
      <x:c r="D27" s="4" t="str">
        <x:v>Identificar riesgos de cadena de suministro de elementos críticos.</x:v>
      </x:c>
      <x:c r="E27" s="4" t="str">
        <x:v>E07</x:v>
      </x:c>
      <x:c r="F27" s="4" t="str">
        <x:v>OPC-06</x:v>
      </x:c>
      <x:c r="G27" s="4" t="str">
        <x:v>F001</x:v>
      </x:c>
      <x:c r="H27" s="4" t="str">
        <x:v>2.2.0</x:v>
      </x:c>
      <x:c r="I27" s="4" t="str">
        <x:v>PRESENTE_EN_CORTE; sin revisión individual declarada</x:v>
      </x:c>
      <x:c r="J27" s="4" t="str">
        <x:v>CANDIDATA_NO_ADOPTADA</x:v>
      </x:c>
      <x:c r="K27" s="12" t="n">
        <x:f>COUNTIF('03_NICE'!$A$5:$A$57,A27)+COUNTIF('04_TKS'!$A$5:$A$72,A27)-1</x:f>
        <x:v>0</x:v>
      </x:c>
      <x:c r="L27" s="12" t="n">
        <x:f>IF(AND(COUNTIF('01_Fuentes'!$A$5:$A$40,G27)=1,COUNTIF('07_Operaciones'!$A$5:$A$26,F27)=1,COUNTIF('06_Cobertura'!$A$5:$A$25,E27)=1),0,1)</x:f>
        <x:v>0</x:v>
      </x:c>
      <x:c r="M27" s="12" t="n">
        <x:f>IF(OR(A27="",C27="",D27=""),1,0)</x:f>
        <x:v>0</x:v>
      </x:c>
    </x:row>
    <x:row r="28" ht="47" customHeight="1">
      <x:c r="A28" s="4" t="str">
        <x:v>T1510</x:v>
      </x:c>
      <x:c r="B28" s="4" t="str">
        <x:v>task</x:v>
      </x:c>
      <x:c r="C28" s="4" t="str">
        <x:v>Preserve digital evidence</x:v>
      </x:c>
      <x:c r="D28" s="4" t="str">
        <x:v>Preservar evidencia digital.</x:v>
      </x:c>
      <x:c r="E28" s="4" t="str">
        <x:v>E10</x:v>
      </x:c>
      <x:c r="F28" s="4" t="str">
        <x:v>OPC-10</x:v>
      </x:c>
      <x:c r="G28" s="4" t="str">
        <x:v>F001</x:v>
      </x:c>
      <x:c r="H28" s="4" t="str">
        <x:v>2.2.0</x:v>
      </x:c>
      <x:c r="I28" s="4" t="str">
        <x:v>PRESENTE_EN_CORTE; sin revisión individual declarada</x:v>
      </x:c>
      <x:c r="J28" s="4" t="str">
        <x:v>CANDIDATA_NO_ADOPTADA</x:v>
      </x:c>
      <x:c r="K28" s="12" t="n">
        <x:f>COUNTIF('03_NICE'!$A$5:$A$57,A28)+COUNTIF('04_TKS'!$A$5:$A$72,A28)-1</x:f>
        <x:v>0</x:v>
      </x:c>
      <x:c r="L28" s="12" t="n">
        <x:f>IF(AND(COUNTIF('01_Fuentes'!$A$5:$A$40,G28)=1,COUNTIF('07_Operaciones'!$A$5:$A$26,F28)=1,COUNTIF('06_Cobertura'!$A$5:$A$25,E28)=1),0,1)</x:f>
        <x:v>0</x:v>
      </x:c>
      <x:c r="M28" s="12" t="n">
        <x:f>IF(OR(A28="",C28="",D28=""),1,0)</x:f>
        <x:v>0</x:v>
      </x:c>
    </x:row>
    <x:row r="29" ht="47" customHeight="1">
      <x:c r="A29" s="4" t="str">
        <x:v>T1542</x:v>
      </x:c>
      <x:c r="B29" s="4" t="str">
        <x:v>task</x:v>
      </x:c>
      <x:c r="C29" s="4" t="str">
        <x:v>Document original condition of digital evidence</x:v>
      </x:c>
      <x:c r="D29" s="4" t="str">
        <x:v>Documentar el estado original de la evidencia digital.</x:v>
      </x:c>
      <x:c r="E29" s="4" t="str">
        <x:v>E10</x:v>
      </x:c>
      <x:c r="F29" s="4" t="str">
        <x:v>OPC-10</x:v>
      </x:c>
      <x:c r="G29" s="4" t="str">
        <x:v>F001</x:v>
      </x:c>
      <x:c r="H29" s="4" t="str">
        <x:v>2.2.0</x:v>
      </x:c>
      <x:c r="I29" s="4" t="str">
        <x:v>PRESENTE_EN_CORTE; sin revisión individual declarada</x:v>
      </x:c>
      <x:c r="J29" s="4" t="str">
        <x:v>CANDIDATA_NO_ADOPTADA</x:v>
      </x:c>
      <x:c r="K29" s="12" t="n">
        <x:f>COUNTIF('03_NICE'!$A$5:$A$57,A29)+COUNTIF('04_TKS'!$A$5:$A$72,A29)-1</x:f>
        <x:v>0</x:v>
      </x:c>
      <x:c r="L29" s="12" t="n">
        <x:f>IF(AND(COUNTIF('01_Fuentes'!$A$5:$A$40,G29)=1,COUNTIF('07_Operaciones'!$A$5:$A$26,F29)=1,COUNTIF('06_Cobertura'!$A$5:$A$25,E29)=1),0,1)</x:f>
        <x:v>0</x:v>
      </x:c>
      <x:c r="M29" s="12" t="n">
        <x:f>IF(OR(A29="",C29="",D29=""),1,0)</x:f>
        <x:v>0</x:v>
      </x:c>
    </x:row>
    <x:row r="30" ht="47" customHeight="1">
      <x:c r="A30" s="4" t="str">
        <x:v>T1548</x:v>
      </x:c>
      <x:c r="B30" s="4" t="str">
        <x:v>task</x:v>
      </x:c>
      <x:c r="C30" s="4" t="str">
        <x:v>Determine adequacy of access controls</x:v>
      </x:c>
      <x:c r="D30" s="4" t="str">
        <x:v>Evaluar la adecuación de los controles de acceso.</x:v>
      </x:c>
      <x:c r="E30" s="4" t="str">
        <x:v>E03</x:v>
      </x:c>
      <x:c r="F30" s="4" t="str">
        <x:v>OPC-03</x:v>
      </x:c>
      <x:c r="G30" s="4" t="str">
        <x:v>F001</x:v>
      </x:c>
      <x:c r="H30" s="4" t="str">
        <x:v>2.2.0</x:v>
      </x:c>
      <x:c r="I30" s="4" t="str">
        <x:v>PRESENTE_EN_CORTE; sin revisión individual declarada</x:v>
      </x:c>
      <x:c r="J30" s="4" t="str">
        <x:v>CANDIDATA_NO_ADOPTADA</x:v>
      </x:c>
      <x:c r="K30" s="12" t="n">
        <x:f>COUNTIF('03_NICE'!$A$5:$A$57,A30)+COUNTIF('04_TKS'!$A$5:$A$72,A30)-1</x:f>
        <x:v>0</x:v>
      </x:c>
      <x:c r="L30" s="12" t="n">
        <x:f>IF(AND(COUNTIF('01_Fuentes'!$A$5:$A$40,G30)=1,COUNTIF('07_Operaciones'!$A$5:$A$26,F30)=1,COUNTIF('06_Cobertura'!$A$5:$A$25,E30)=1),0,1)</x:f>
        <x:v>0</x:v>
      </x:c>
      <x:c r="M30" s="12" t="n">
        <x:f>IF(OR(A30="",C30="",D30=""),1,0)</x:f>
        <x:v>0</x:v>
      </x:c>
    </x:row>
    <x:row r="31" ht="47" customHeight="1">
      <x:c r="A31" s="4" t="str">
        <x:v>T1586</x:v>
      </x:c>
      <x:c r="B31" s="4" t="str">
        <x:v>task</x:v>
      </x:c>
      <x:c r="C31" s="4" t="str">
        <x:v>Conduct cybersecurity risk assessments</x:v>
      </x:c>
      <x:c r="D31" s="4" t="str">
        <x:v>Realizar evaluaciones de riesgo de ciberseguridad.</x:v>
      </x:c>
      <x:c r="E31" s="4" t="str">
        <x:v>E01</x:v>
      </x:c>
      <x:c r="F31" s="4" t="str">
        <x:v>OPC-01</x:v>
      </x:c>
      <x:c r="G31" s="4" t="str">
        <x:v>F001</x:v>
      </x:c>
      <x:c r="H31" s="4" t="str">
        <x:v>2.2.0</x:v>
      </x:c>
      <x:c r="I31" s="4" t="str">
        <x:v>PRESENTE_EN_CORTE; sin revisión individual declarada</x:v>
      </x:c>
      <x:c r="J31" s="4" t="str">
        <x:v>CANDIDATA_NO_ADOPTADA</x:v>
      </x:c>
      <x:c r="K31" s="12" t="n">
        <x:f>COUNTIF('03_NICE'!$A$5:$A$57,A31)+COUNTIF('04_TKS'!$A$5:$A$72,A31)-1</x:f>
        <x:v>0</x:v>
      </x:c>
      <x:c r="L31" s="12" t="n">
        <x:f>IF(AND(COUNTIF('01_Fuentes'!$A$5:$A$40,G31)=1,COUNTIF('07_Operaciones'!$A$5:$A$26,F31)=1,COUNTIF('06_Cobertura'!$A$5:$A$25,E31)=1),0,1)</x:f>
        <x:v>0</x:v>
      </x:c>
      <x:c r="M31" s="12" t="n">
        <x:f>IF(OR(A31="",C31="",D31=""),1,0)</x:f>
        <x:v>0</x:v>
      </x:c>
    </x:row>
    <x:row r="32" ht="47" customHeight="1">
      <x:c r="A32" s="4" t="str">
        <x:v>T1602</x:v>
      </x:c>
      <x:c r="B32" s="4" t="str">
        <x:v>task</x:v>
      </x:c>
      <x:c r="C32" s="4" t="str">
        <x:v>Advise stakeholders on supply chain risk management</x:v>
      </x:c>
      <x:c r="D32" s="4" t="str">
        <x:v>Asesorar a las partes responsables sobre riesgo de suministro.</x:v>
      </x:c>
      <x:c r="E32" s="4" t="str">
        <x:v>E07</x:v>
      </x:c>
      <x:c r="F32" s="4" t="str">
        <x:v>OPC-06</x:v>
      </x:c>
      <x:c r="G32" s="4" t="str">
        <x:v>F001</x:v>
      </x:c>
      <x:c r="H32" s="4" t="str">
        <x:v>2.2.0</x:v>
      </x:c>
      <x:c r="I32" s="4" t="str">
        <x:v>PRESENTE_EN_CORTE; sin revisión individual declarada</x:v>
      </x:c>
      <x:c r="J32" s="4" t="str">
        <x:v>CANDIDATA_NO_ADOPTADA</x:v>
      </x:c>
      <x:c r="K32" s="12" t="n">
        <x:f>COUNTIF('03_NICE'!$A$5:$A$57,A32)+COUNTIF('04_TKS'!$A$5:$A$72,A32)-1</x:f>
        <x:v>0</x:v>
      </x:c>
      <x:c r="L32" s="12" t="n">
        <x:f>IF(AND(COUNTIF('01_Fuentes'!$A$5:$A$40,G32)=1,COUNTIF('07_Operaciones'!$A$5:$A$26,F32)=1,COUNTIF('06_Cobertura'!$A$5:$A$25,E32)=1),0,1)</x:f>
        <x:v>0</x:v>
      </x:c>
      <x:c r="M32" s="12" t="n">
        <x:f>IF(OR(A32="",C32="",D32=""),1,0)</x:f>
        <x:v>0</x:v>
      </x:c>
    </x:row>
    <x:row r="33" ht="47" customHeight="1">
      <x:c r="A33" s="4" t="str">
        <x:v>T1624</x:v>
      </x:c>
      <x:c r="B33" s="4" t="str">
        <x:v>task</x:v>
      </x:c>
      <x:c r="C33" s="4" t="str">
        <x:v>Conduct vulnerability analysis of software patches and updates</x:v>
      </x:c>
      <x:c r="D33" s="4" t="str">
        <x:v>Analizar vulnerabilidades en parches y actualizaciones de software.</x:v>
      </x:c>
      <x:c r="E33" s="4" t="str">
        <x:v>E06</x:v>
      </x:c>
      <x:c r="F33" s="4" t="str">
        <x:v>OPC-05</x:v>
      </x:c>
      <x:c r="G33" s="4" t="str">
        <x:v>F001</x:v>
      </x:c>
      <x:c r="H33" s="4" t="str">
        <x:v>2.2.0</x:v>
      </x:c>
      <x:c r="I33" s="4" t="str">
        <x:v>PRESENTE_EN_CORTE; sin revisión individual declarada</x:v>
      </x:c>
      <x:c r="J33" s="4" t="str">
        <x:v>CANDIDATA_NO_ADOPTADA</x:v>
      </x:c>
      <x:c r="K33" s="12" t="n">
        <x:f>COUNTIF('03_NICE'!$A$5:$A$57,A33)+COUNTIF('04_TKS'!$A$5:$A$72,A33)-1</x:f>
        <x:v>0</x:v>
      </x:c>
      <x:c r="L33" s="12" t="n">
        <x:f>IF(AND(COUNTIF('01_Fuentes'!$A$5:$A$40,G33)=1,COUNTIF('07_Operaciones'!$A$5:$A$26,F33)=1,COUNTIF('06_Cobertura'!$A$5:$A$25,E33)=1),0,1)</x:f>
        <x:v>0</x:v>
      </x:c>
      <x:c r="M33" s="12" t="n">
        <x:f>IF(OR(A33="",C33="",D33=""),1,0)</x:f>
        <x:v>0</x:v>
      </x:c>
    </x:row>
    <x:row r="34" ht="47" customHeight="1">
      <x:c r="A34" s="4" t="str">
        <x:v>T1625</x:v>
      </x:c>
      <x:c r="B34" s="4" t="str">
        <x:v>task</x:v>
      </x:c>
      <x:c r="C34" s="4" t="str">
        <x:v>Prepare vulnerability analysis reports</x:v>
      </x:c>
      <x:c r="D34" s="4" t="str">
        <x:v>Preparar informes de análisis de vulnerabilidades.</x:v>
      </x:c>
      <x:c r="E34" s="4" t="str">
        <x:v>E08</x:v>
      </x:c>
      <x:c r="F34" s="4" t="str">
        <x:v>OPC-04</x:v>
      </x:c>
      <x:c r="G34" s="4" t="str">
        <x:v>F001</x:v>
      </x:c>
      <x:c r="H34" s="4" t="str">
        <x:v>2.2.0</x:v>
      </x:c>
      <x:c r="I34" s="4" t="str">
        <x:v>PRESENTE_EN_CORTE; sin revisión individual declarada</x:v>
      </x:c>
      <x:c r="J34" s="4" t="str">
        <x:v>CANDIDATA_NO_ADOPTADA</x:v>
      </x:c>
      <x:c r="K34" s="12" t="n">
        <x:f>COUNTIF('03_NICE'!$A$5:$A$57,A34)+COUNTIF('04_TKS'!$A$5:$A$72,A34)-1</x:f>
        <x:v>0</x:v>
      </x:c>
      <x:c r="L34" s="12" t="n">
        <x:f>IF(AND(COUNTIF('01_Fuentes'!$A$5:$A$40,G34)=1,COUNTIF('07_Operaciones'!$A$5:$A$26,F34)=1,COUNTIF('06_Cobertura'!$A$5:$A$25,E34)=1),0,1)</x:f>
        <x:v>0</x:v>
      </x:c>
      <x:c r="M34" s="12" t="n">
        <x:f>IF(OR(A34="",C34="",D34=""),1,0)</x:f>
        <x:v>0</x:v>
      </x:c>
    </x:row>
    <x:row r="35" ht="47" customHeight="1">
      <x:c r="A35" s="4" t="str">
        <x:v>T1974</x:v>
      </x:c>
      <x:c r="B35" s="4" t="str">
        <x:v>task</x:v>
      </x:c>
      <x:c r="C35" s="4" t="str">
        <x:v>Conduct insider threat risk assessments</x:v>
      </x:c>
      <x:c r="D35" s="4" t="str">
        <x:v>Evaluar riesgos de amenazas internas.</x:v>
      </x:c>
      <x:c r="E35" s="4" t="str">
        <x:v>E09</x:v>
      </x:c>
      <x:c r="F35" s="4" t="str">
        <x:v>OPC-08</x:v>
      </x:c>
      <x:c r="G35" s="4" t="str">
        <x:v>F001</x:v>
      </x:c>
      <x:c r="H35" s="4" t="str">
        <x:v>2.2.0</x:v>
      </x:c>
      <x:c r="I35" s="4" t="str">
        <x:v>PRESENTE_EN_CORTE; sin revisión individual declarada</x:v>
      </x:c>
      <x:c r="J35" s="4" t="str">
        <x:v>CANDIDATA_NO_ADOPTADA</x:v>
      </x:c>
      <x:c r="K35" s="12" t="n">
        <x:f>COUNTIF('03_NICE'!$A$5:$A$57,A35)+COUNTIF('04_TKS'!$A$5:$A$72,A35)-1</x:f>
        <x:v>0</x:v>
      </x:c>
      <x:c r="L35" s="12" t="n">
        <x:f>IF(AND(COUNTIF('01_Fuentes'!$A$5:$A$40,G35)=1,COUNTIF('07_Operaciones'!$A$5:$A$26,F35)=1,COUNTIF('06_Cobertura'!$A$5:$A$25,E35)=1),0,1)</x:f>
        <x:v>0</x:v>
      </x:c>
      <x:c r="M35" s="12" t="n">
        <x:f>IF(OR(A35="",C35="",D35=""),1,0)</x:f>
        <x:v>0</x:v>
      </x:c>
    </x:row>
    <x:row r="36" ht="47" customHeight="1">
      <x:c r="A36" s="4" t="str">
        <x:v>T1980</x:v>
      </x:c>
      <x:c r="B36" s="4" t="str">
        <x:v>task</x:v>
      </x:c>
      <x:c r="C36" s="4" t="str">
        <x:v>Develop digital evidence reports for internal and external partners</x:v>
      </x:c>
      <x:c r="D36" s="4" t="str">
        <x:v>Elaborar informes de evidencia digital para destinatarios internos y externos.</x:v>
      </x:c>
      <x:c r="E36" s="4" t="str">
        <x:v>E10</x:v>
      </x:c>
      <x:c r="F36" s="4" t="str">
        <x:v>OPC-10</x:v>
      </x:c>
      <x:c r="G36" s="4" t="str">
        <x:v>F001</x:v>
      </x:c>
      <x:c r="H36" s="4" t="str">
        <x:v>2.2.0</x:v>
      </x:c>
      <x:c r="I36" s="4" t="str">
        <x:v>PRESENTE_EN_CORTE; sin revisión individual declarada</x:v>
      </x:c>
      <x:c r="J36" s="4" t="str">
        <x:v>CANDIDATA_NO_ADOPTADA</x:v>
      </x:c>
      <x:c r="K36" s="12" t="n">
        <x:f>COUNTIF('03_NICE'!$A$5:$A$57,A36)+COUNTIF('04_TKS'!$A$5:$A$72,A36)-1</x:f>
        <x:v>0</x:v>
      </x:c>
      <x:c r="L36" s="12" t="n">
        <x:f>IF(AND(COUNTIF('01_Fuentes'!$A$5:$A$40,G36)=1,COUNTIF('07_Operaciones'!$A$5:$A$26,F36)=1,COUNTIF('06_Cobertura'!$A$5:$A$25,E36)=1),0,1)</x:f>
        <x:v>0</x:v>
      </x:c>
      <x:c r="M36" s="12" t="n">
        <x:f>IF(OR(A36="",C36="",D36=""),1,0)</x:f>
        <x:v>0</x:v>
      </x:c>
    </x:row>
    <x:row r="37" ht="47" customHeight="1">
      <x:c r="A37" s="4" t="str">
        <x:v>T2036</x:v>
      </x:c>
      <x:c r="B37" s="4" t="str">
        <x:v>task</x:v>
      </x:c>
      <x:c r="C37" s="4" t="str">
        <x:v>Review policies, standards, and regulations for conflicts that may create control system vulnerabilities</x:v>
      </x:c>
      <x:c r="D37" s="4" t="str">
        <x:v>Revisar conflictos de políticas y normas que puedan crear vulnerabilidades en sistemas de control.</x:v>
      </x:c>
      <x:c r="E37" s="4" t="str">
        <x:v>E13</x:v>
      </x:c>
      <x:c r="F37" s="4" t="str">
        <x:v>OPC-14</x:v>
      </x:c>
      <x:c r="G37" s="4" t="str">
        <x:v>F001</x:v>
      </x:c>
      <x:c r="H37" s="4" t="str">
        <x:v>2.2.0</x:v>
      </x:c>
      <x:c r="I37" s="4" t="str">
        <x:v>PRESENTE_EN_CORTE; sin revisión individual declarada</x:v>
      </x:c>
      <x:c r="J37" s="4" t="str">
        <x:v>CANDIDATA_NO_ADOPTADA</x:v>
      </x:c>
      <x:c r="K37" s="12" t="n">
        <x:f>COUNTIF('03_NICE'!$A$5:$A$57,A37)+COUNTIF('04_TKS'!$A$5:$A$72,A37)-1</x:f>
        <x:v>0</x:v>
      </x:c>
      <x:c r="L37" s="12" t="n">
        <x:f>IF(AND(COUNTIF('01_Fuentes'!$A$5:$A$40,G37)=1,COUNTIF('07_Operaciones'!$A$5:$A$26,F37)=1,COUNTIF('06_Cobertura'!$A$5:$A$25,E37)=1),0,1)</x:f>
        <x:v>0</x:v>
      </x:c>
      <x:c r="M37" s="12" t="n">
        <x:f>IF(OR(A37="",C37="",D37=""),1,0)</x:f>
        <x:v>0</x:v>
      </x:c>
    </x:row>
    <x:row r="38" ht="47" customHeight="1">
      <x:c r="A38" s="4" t="str">
        <x:v>T2056</x:v>
      </x:c>
      <x:c r="B38" s="4" t="str">
        <x:v>task</x:v>
      </x:c>
      <x:c r="C38" s="4" t="str">
        <x:v>Conduct supplier risk assessments</x:v>
      </x:c>
      <x:c r="D38" s="4" t="str">
        <x:v>Evaluar el riesgo de proveedores.</x:v>
      </x:c>
      <x:c r="E38" s="4" t="str">
        <x:v>E07</x:v>
      </x:c>
      <x:c r="F38" s="4" t="str">
        <x:v>OPC-06</x:v>
      </x:c>
      <x:c r="G38" s="4" t="str">
        <x:v>F001</x:v>
      </x:c>
      <x:c r="H38" s="4" t="str">
        <x:v>2.2.0</x:v>
      </x:c>
      <x:c r="I38" s="4" t="str">
        <x:v>PRESENTE_EN_CORTE; sin revisión individual declarada</x:v>
      </x:c>
      <x:c r="J38" s="4" t="str">
        <x:v>CANDIDATA_NO_ADOPTADA</x:v>
      </x:c>
      <x:c r="K38" s="12" t="n">
        <x:f>COUNTIF('03_NICE'!$A$5:$A$57,A38)+COUNTIF('04_TKS'!$A$5:$A$72,A38)-1</x:f>
        <x:v>0</x:v>
      </x:c>
      <x:c r="L38" s="12" t="n">
        <x:f>IF(AND(COUNTIF('01_Fuentes'!$A$5:$A$40,G38)=1,COUNTIF('07_Operaciones'!$A$5:$A$26,F38)=1,COUNTIF('06_Cobertura'!$A$5:$A$25,E38)=1),0,1)</x:f>
        <x:v>0</x:v>
      </x:c>
      <x:c r="M38" s="12" t="n">
        <x:f>IF(OR(A38="",C38="",D38=""),1,0)</x:f>
        <x:v>0</x:v>
      </x:c>
    </x:row>
    <x:row r="39" ht="47" customHeight="1">
      <x:c r="A39" s="4" t="str">
        <x:v>T2058</x:v>
      </x:c>
      <x:c r="B39" s="4" t="str">
        <x:v>task</x:v>
      </x:c>
      <x:c r="C39" s="4" t="str">
        <x:v>Monitor supply chain risk exposure</x:v>
      </x:c>
      <x:c r="D39" s="4" t="str">
        <x:v>Vigilar la exposición al riesgo de cadena de suministro.</x:v>
      </x:c>
      <x:c r="E39" s="4" t="str">
        <x:v>E07</x:v>
      </x:c>
      <x:c r="F39" s="4" t="str">
        <x:v>OPC-06</x:v>
      </x:c>
      <x:c r="G39" s="4" t="str">
        <x:v>F001</x:v>
      </x:c>
      <x:c r="H39" s="4" t="str">
        <x:v>2.2.0</x:v>
      </x:c>
      <x:c r="I39" s="4" t="str">
        <x:v>PRESENTE_EN_CORTE; sin revisión individual declarada</x:v>
      </x:c>
      <x:c r="J39" s="4" t="str">
        <x:v>CANDIDATA_NO_ADOPTADA</x:v>
      </x:c>
      <x:c r="K39" s="12" t="n">
        <x:f>COUNTIF('03_NICE'!$A$5:$A$57,A39)+COUNTIF('04_TKS'!$A$5:$A$72,A39)-1</x:f>
        <x:v>0</x:v>
      </x:c>
      <x:c r="L39" s="12" t="n">
        <x:f>IF(AND(COUNTIF('01_Fuentes'!$A$5:$A$40,G39)=1,COUNTIF('07_Operaciones'!$A$5:$A$26,F39)=1,COUNTIF('06_Cobertura'!$A$5:$A$25,E39)=1),0,1)</x:f>
        <x:v>0</x:v>
      </x:c>
      <x:c r="M39" s="12" t="n">
        <x:f>IF(OR(A39="",C39="",D39=""),1,0)</x:f>
        <x:v>0</x:v>
      </x:c>
    </x:row>
    <x:row r="40" ht="47" customHeight="1">
      <x:c r="A40" s="4" t="str">
        <x:v>T2067</x:v>
      </x:c>
      <x:c r="B40" s="4" t="str">
        <x:v>task</x:v>
      </x:c>
      <x:c r="C40" s="4" t="str">
        <x:v>Integrate C-SCRM into incident response functions</x:v>
      </x:c>
      <x:c r="D40" s="4" t="str">
        <x:v>Integrar riesgo de suministro en funciones de respuesta a incidentes.</x:v>
      </x:c>
      <x:c r="E40" s="4" t="str">
        <x:v>E11</x:v>
      </x:c>
      <x:c r="F40" s="4" t="str">
        <x:v>OPC-09</x:v>
      </x:c>
      <x:c r="G40" s="4" t="str">
        <x:v>F001</x:v>
      </x:c>
      <x:c r="H40" s="4" t="str">
        <x:v>2.2.0</x:v>
      </x:c>
      <x:c r="I40" s="4" t="str">
        <x:v>PRESENTE_EN_CORTE; sin revisión individual declarada</x:v>
      </x:c>
      <x:c r="J40" s="4" t="str">
        <x:v>CANDIDATA_NO_ADOPTADA</x:v>
      </x:c>
      <x:c r="K40" s="12" t="n">
        <x:f>COUNTIF('03_NICE'!$A$5:$A$57,A40)+COUNTIF('04_TKS'!$A$5:$A$72,A40)-1</x:f>
        <x:v>0</x:v>
      </x:c>
      <x:c r="L40" s="12" t="n">
        <x:f>IF(AND(COUNTIF('01_Fuentes'!$A$5:$A$40,G40)=1,COUNTIF('07_Operaciones'!$A$5:$A$26,F40)=1,COUNTIF('06_Cobertura'!$A$5:$A$25,E40)=1),0,1)</x:f>
        <x:v>0</x:v>
      </x:c>
      <x:c r="M40" s="12" t="n">
        <x:f>IF(OR(A40="",C40="",D40=""),1,0)</x:f>
        <x:v>0</x:v>
      </x:c>
    </x:row>
    <x:row r="41" ht="47" customHeight="1">
      <x:c r="A41" s="4" t="str">
        <x:v>K0658</x:v>
      </x:c>
      <x:c r="B41" s="4" t="str">
        <x:v>knowledge</x:v>
      </x:c>
      <x:c r="C41" s="4" t="str">
        <x:v>Knowledge of cognitive biases</x:v>
      </x:c>
      <x:c r="D41" s="4" t="str">
        <x:v>Conocer sesgos cognitivos que puedan afectar el análisis.</x:v>
      </x:c>
      <x:c r="E41" s="4" t="str">
        <x:v>E14</x:v>
      </x:c>
      <x:c r="F41" s="4" t="str">
        <x:v>OPC-07</x:v>
      </x:c>
      <x:c r="G41" s="4" t="str">
        <x:v>F001</x:v>
      </x:c>
      <x:c r="H41" s="4" t="str">
        <x:v>2.2.0</x:v>
      </x:c>
      <x:c r="I41" s="4" t="str">
        <x:v>PRESENTE_EN_CORTE; sin revisión individual declarada</x:v>
      </x:c>
      <x:c r="J41" s="4" t="str">
        <x:v>CANDIDATA_NO_ADOPTADA</x:v>
      </x:c>
      <x:c r="K41" s="12" t="n">
        <x:f>COUNTIF('03_NICE'!$A$5:$A$57,A41)+COUNTIF('04_TKS'!$A$5:$A$72,A41)-1</x:f>
        <x:v>0</x:v>
      </x:c>
      <x:c r="L41" s="12" t="n">
        <x:f>IF(AND(COUNTIF('01_Fuentes'!$A$5:$A$40,G41)=1,COUNTIF('07_Operaciones'!$A$5:$A$26,F41)=1,COUNTIF('06_Cobertura'!$A$5:$A$25,E41)=1),0,1)</x:f>
        <x:v>0</x:v>
      </x:c>
      <x:c r="M41" s="12" t="n">
        <x:f>IF(OR(A41="",C41="",D41=""),1,0)</x:f>
        <x:v>0</x:v>
      </x:c>
    </x:row>
    <x:row r="42" ht="47" customHeight="1">
      <x:c r="A42" s="4" t="str">
        <x:v>K0711</x:v>
      </x:c>
      <x:c r="B42" s="4" t="str">
        <x:v>knowledge</x:v>
      </x:c>
      <x:c r="C42" s="4" t="str">
        <x:v>Knowledge of evaluation and validation principles and practices</x:v>
      </x:c>
      <x:c r="D42" s="4" t="str">
        <x:v>Conocer principios y prácticas de evaluación y validación.</x:v>
      </x:c>
      <x:c r="E42" s="4" t="str">
        <x:v>E19</x:v>
      </x:c>
      <x:c r="F42" s="4" t="str">
        <x:v>OPC-15</x:v>
      </x:c>
      <x:c r="G42" s="4" t="str">
        <x:v>F001</x:v>
      </x:c>
      <x:c r="H42" s="4" t="str">
        <x:v>2.2.0</x:v>
      </x:c>
      <x:c r="I42" s="4" t="str">
        <x:v>PRESENTE_EN_CORTE; sin revisión individual declarada</x:v>
      </x:c>
      <x:c r="J42" s="4" t="str">
        <x:v>CANDIDATA_NO_ADOPTADA</x:v>
      </x:c>
      <x:c r="K42" s="12" t="n">
        <x:f>COUNTIF('03_NICE'!$A$5:$A$57,A42)+COUNTIF('04_TKS'!$A$5:$A$72,A42)-1</x:f>
        <x:v>0</x:v>
      </x:c>
      <x:c r="L42" s="12" t="n">
        <x:f>IF(AND(COUNTIF('01_Fuentes'!$A$5:$A$40,G42)=1,COUNTIF('07_Operaciones'!$A$5:$A$26,F42)=1,COUNTIF('06_Cobertura'!$A$5:$A$25,E42)=1),0,1)</x:f>
        <x:v>0</x:v>
      </x:c>
      <x:c r="M42" s="12" t="n">
        <x:f>IF(OR(A42="",C42="",D42=""),1,0)</x:f>
        <x:v>0</x:v>
      </x:c>
    </x:row>
    <x:row r="43" ht="47" customHeight="1">
      <x:c r="A43" s="4" t="str">
        <x:v>K0742</x:v>
      </x:c>
      <x:c r="B43" s="4" t="str">
        <x:v>knowledge</x:v>
      </x:c>
      <x:c r="C43" s="4" t="str">
        <x:v>Knowledge of identity and access management (IAM) principles and practices</x:v>
      </x:c>
      <x:c r="D43" s="4" t="str">
        <x:v>Conocer principios y prácticas de gestión de identidad y acceso.</x:v>
      </x:c>
      <x:c r="E43" s="4" t="str">
        <x:v>E03</x:v>
      </x:c>
      <x:c r="F43" s="4" t="str">
        <x:v>OPC-03</x:v>
      </x:c>
      <x:c r="G43" s="4" t="str">
        <x:v>F001</x:v>
      </x:c>
      <x:c r="H43" s="4" t="str">
        <x:v>2.2.0</x:v>
      </x:c>
      <x:c r="I43" s="4" t="str">
        <x:v>PRESENTE_EN_CORTE; sin revisión individual declarada</x:v>
      </x:c>
      <x:c r="J43" s="4" t="str">
        <x:v>CANDIDATA_NO_ADOPTADA</x:v>
      </x:c>
      <x:c r="K43" s="12" t="n">
        <x:f>COUNTIF('03_NICE'!$A$5:$A$57,A43)+COUNTIF('04_TKS'!$A$5:$A$72,A43)-1</x:f>
        <x:v>0</x:v>
      </x:c>
      <x:c r="L43" s="12" t="n">
        <x:f>IF(AND(COUNTIF('01_Fuentes'!$A$5:$A$40,G43)=1,COUNTIF('07_Operaciones'!$A$5:$A$26,F43)=1,COUNTIF('06_Cobertura'!$A$5:$A$25,E43)=1),0,1)</x:f>
        <x:v>0</x:v>
      </x:c>
      <x:c r="M43" s="12" t="n">
        <x:f>IF(OR(A43="",C43="",D43=""),1,0)</x:f>
        <x:v>0</x:v>
      </x:c>
    </x:row>
    <x:row r="44" ht="47" customHeight="1">
      <x:c r="A44" s="4" t="str">
        <x:v>K0904</x:v>
      </x:c>
      <x:c r="B44" s="4" t="str">
        <x:v>knowledge</x:v>
      </x:c>
      <x:c r="C44" s="4" t="str">
        <x:v>Knowledge of machine learning principles and practices</x:v>
      </x:c>
      <x:c r="D44" s="4" t="str">
        <x:v>Conocer principios y prácticas de aprendizaje automático.</x:v>
      </x:c>
      <x:c r="E44" s="4" t="str">
        <x:v>E18</x:v>
      </x:c>
      <x:c r="F44" s="4" t="str">
        <x:v>OPC-15</x:v>
      </x:c>
      <x:c r="G44" s="4" t="str">
        <x:v>F001</x:v>
      </x:c>
      <x:c r="H44" s="4" t="str">
        <x:v>2.2.0</x:v>
      </x:c>
      <x:c r="I44" s="4" t="str">
        <x:v>PRESENTE_EN_CORTE; sin revisión individual declarada</x:v>
      </x:c>
      <x:c r="J44" s="4" t="str">
        <x:v>CANDIDATA_NO_ADOPTADA</x:v>
      </x:c>
      <x:c r="K44" s="12" t="n">
        <x:f>COUNTIF('03_NICE'!$A$5:$A$57,A44)+COUNTIF('04_TKS'!$A$5:$A$72,A44)-1</x:f>
        <x:v>0</x:v>
      </x:c>
      <x:c r="L44" s="12" t="n">
        <x:f>IF(AND(COUNTIF('01_Fuentes'!$A$5:$A$40,G44)=1,COUNTIF('07_Operaciones'!$A$5:$A$26,F44)=1,COUNTIF('06_Cobertura'!$A$5:$A$25,E44)=1),0,1)</x:f>
        <x:v>0</x:v>
      </x:c>
      <x:c r="M44" s="12" t="n">
        <x:f>IF(OR(A44="",C44="",D44=""),1,0)</x:f>
        <x:v>0</x:v>
      </x:c>
    </x:row>
    <x:row r="45" ht="47" customHeight="1">
      <x:c r="A45" s="4" t="str">
        <x:v>K1147</x:v>
      </x:c>
      <x:c r="B45" s="4" t="str">
        <x:v>knowledge</x:v>
      </x:c>
      <x:c r="C45" s="4" t="str">
        <x:v>Knowledge of data integrity principles and practices</x:v>
      </x:c>
      <x:c r="D45" s="4" t="str">
        <x:v>Conocer principios y prácticas de integridad de datos.</x:v>
      </x:c>
      <x:c r="E45" s="4" t="str">
        <x:v>E10</x:v>
      </x:c>
      <x:c r="F45" s="4" t="str">
        <x:v>OPC-10</x:v>
      </x:c>
      <x:c r="G45" s="4" t="str">
        <x:v>F001</x:v>
      </x:c>
      <x:c r="H45" s="4" t="str">
        <x:v>2.2.0</x:v>
      </x:c>
      <x:c r="I45" s="4" t="str">
        <x:v>PRESENTE_EN_CORTE; sin revisión individual declarada</x:v>
      </x:c>
      <x:c r="J45" s="4" t="str">
        <x:v>CANDIDATA_NO_ADOPTADA</x:v>
      </x:c>
      <x:c r="K45" s="12" t="n">
        <x:f>COUNTIF('03_NICE'!$A$5:$A$57,A45)+COUNTIF('04_TKS'!$A$5:$A$72,A45)-1</x:f>
        <x:v>0</x:v>
      </x:c>
      <x:c r="L45" s="12" t="n">
        <x:f>IF(AND(COUNTIF('01_Fuentes'!$A$5:$A$40,G45)=1,COUNTIF('07_Operaciones'!$A$5:$A$26,F45)=1,COUNTIF('06_Cobertura'!$A$5:$A$25,E45)=1),0,1)</x:f>
        <x:v>0</x:v>
      </x:c>
      <x:c r="M45" s="12" t="n">
        <x:f>IF(OR(A45="",C45="",D45=""),1,0)</x:f>
        <x:v>0</x:v>
      </x:c>
    </x:row>
    <x:row r="46" ht="47" customHeight="1">
      <x:c r="A46" s="4" t="str">
        <x:v>K1317</x:v>
      </x:c>
      <x:c r="B46" s="4" t="str">
        <x:v>knowledge</x:v>
      </x:c>
      <x:c r="C46" s="4" t="str">
        <x:v>Knowledge of AI bias types</x:v>
      </x:c>
      <x:c r="D46" s="4" t="str">
        <x:v>Distinguir tipos de sesgo de IA.</x:v>
      </x:c>
      <x:c r="E46" s="4" t="str">
        <x:v>E19</x:v>
      </x:c>
      <x:c r="F46" s="4" t="str">
        <x:v>OPC-15</x:v>
      </x:c>
      <x:c r="G46" s="4" t="str">
        <x:v>F001</x:v>
      </x:c>
      <x:c r="H46" s="4" t="str">
        <x:v>2.2.0</x:v>
      </x:c>
      <x:c r="I46" s="4" t="str">
        <x:v>PRESENTE_EN_CORTE; sin revisión individual declarada</x:v>
      </x:c>
      <x:c r="J46" s="4" t="str">
        <x:v>CANDIDATA_NO_ADOPTADA</x:v>
      </x:c>
      <x:c r="K46" s="12" t="n">
        <x:f>COUNTIF('03_NICE'!$A$5:$A$57,A46)+COUNTIF('04_TKS'!$A$5:$A$72,A46)-1</x:f>
        <x:v>0</x:v>
      </x:c>
      <x:c r="L46" s="12" t="n">
        <x:f>IF(AND(COUNTIF('01_Fuentes'!$A$5:$A$40,G46)=1,COUNTIF('07_Operaciones'!$A$5:$A$26,F46)=1,COUNTIF('06_Cobertura'!$A$5:$A$25,E46)=1),0,1)</x:f>
        <x:v>0</x:v>
      </x:c>
      <x:c r="M46" s="12" t="n">
        <x:f>IF(OR(A46="",C46="",D46=""),1,0)</x:f>
        <x:v>0</x:v>
      </x:c>
    </x:row>
    <x:row r="47" ht="47" customHeight="1">
      <x:c r="A47" s="4" t="str">
        <x:v>K1318</x:v>
      </x:c>
      <x:c r="B47" s="4" t="str">
        <x:v>knowledge</x:v>
      </x:c>
      <x:c r="C47" s="4" t="str">
        <x:v>Knowledge of AI model development processes</x:v>
      </x:c>
      <x:c r="D47" s="4" t="str">
        <x:v>Conocer procesos de desarrollo de modelos de IA.</x:v>
      </x:c>
      <x:c r="E47" s="4" t="str">
        <x:v>E18</x:v>
      </x:c>
      <x:c r="F47" s="4" t="str">
        <x:v>OPC-05</x:v>
      </x:c>
      <x:c r="G47" s="4" t="str">
        <x:v>F001</x:v>
      </x:c>
      <x:c r="H47" s="4" t="str">
        <x:v>2.2.0</x:v>
      </x:c>
      <x:c r="I47" s="4" t="str">
        <x:v>PRESENTE_EN_CORTE; sin revisión individual declarada</x:v>
      </x:c>
      <x:c r="J47" s="4" t="str">
        <x:v>CANDIDATA_NO_ADOPTADA</x:v>
      </x:c>
      <x:c r="K47" s="12" t="n">
        <x:f>COUNTIF('03_NICE'!$A$5:$A$57,A47)+COUNTIF('04_TKS'!$A$5:$A$72,A47)-1</x:f>
        <x:v>0</x:v>
      </x:c>
      <x:c r="L47" s="12" t="n">
        <x:f>IF(AND(COUNTIF('01_Fuentes'!$A$5:$A$40,G47)=1,COUNTIF('07_Operaciones'!$A$5:$A$26,F47)=1,COUNTIF('06_Cobertura'!$A$5:$A$25,E47)=1),0,1)</x:f>
        <x:v>0</x:v>
      </x:c>
      <x:c r="M47" s="12" t="n">
        <x:f>IF(OR(A47="",C47="",D47=""),1,0)</x:f>
        <x:v>0</x:v>
      </x:c>
    </x:row>
    <x:row r="48" ht="47" customHeight="1">
      <x:c r="A48" s="4" t="str">
        <x:v>K1320</x:v>
      </x:c>
      <x:c r="B48" s="4" t="str">
        <x:v>knowledge</x:v>
      </x:c>
      <x:c r="C48" s="4" t="str">
        <x:v>Knowledge of common AI security risks</x:v>
      </x:c>
      <x:c r="D48" s="4" t="str">
        <x:v>Conocer riesgos comunes de seguridad de IA.</x:v>
      </x:c>
      <x:c r="E48" s="4" t="str">
        <x:v>E18</x:v>
      </x:c>
      <x:c r="F48" s="4" t="str">
        <x:v>OPC-15</x:v>
      </x:c>
      <x:c r="G48" s="4" t="str">
        <x:v>F001</x:v>
      </x:c>
      <x:c r="H48" s="4" t="str">
        <x:v>2.2.0</x:v>
      </x:c>
      <x:c r="I48" s="4" t="str">
        <x:v>PRESENTE_EN_CORTE; sin revisión individual declarada</x:v>
      </x:c>
      <x:c r="J48" s="4" t="str">
        <x:v>CANDIDATA_NO_ADOPTADA</x:v>
      </x:c>
      <x:c r="K48" s="12" t="n">
        <x:f>COUNTIF('03_NICE'!$A$5:$A$57,A48)+COUNTIF('04_TKS'!$A$5:$A$72,A48)-1</x:f>
        <x:v>0</x:v>
      </x:c>
      <x:c r="L48" s="12" t="n">
        <x:f>IF(AND(COUNTIF('01_Fuentes'!$A$5:$A$40,G48)=1,COUNTIF('07_Operaciones'!$A$5:$A$26,F48)=1,COUNTIF('06_Cobertura'!$A$5:$A$25,E48)=1),0,1)</x:f>
        <x:v>0</x:v>
      </x:c>
      <x:c r="M48" s="12" t="n">
        <x:f>IF(OR(A48="",C48="",D48=""),1,0)</x:f>
        <x:v>0</x:v>
      </x:c>
    </x:row>
    <x:row r="49" ht="47" customHeight="1">
      <x:c r="A49" s="4" t="str">
        <x:v>K1321</x:v>
      </x:c>
      <x:c r="B49" s="4" t="str">
        <x:v>knowledge</x:v>
      </x:c>
      <x:c r="C49" s="4" t="str">
        <x:v>Knowledge of common business and cybersecurity applications of AI systems</x:v>
      </x:c>
      <x:c r="D49" s="4" t="str">
        <x:v>Conocer aplicaciones de IA en negocio y ciberseguridad.</x:v>
      </x:c>
      <x:c r="E49" s="4" t="str">
        <x:v>E19</x:v>
      </x:c>
      <x:c r="F49" s="4" t="str">
        <x:v>OPC-15</x:v>
      </x:c>
      <x:c r="G49" s="4" t="str">
        <x:v>F001</x:v>
      </x:c>
      <x:c r="H49" s="4" t="str">
        <x:v>2.2.0</x:v>
      </x:c>
      <x:c r="I49" s="4" t="str">
        <x:v>PRESENTE_EN_CORTE; sin revisión individual declarada</x:v>
      </x:c>
      <x:c r="J49" s="4" t="str">
        <x:v>CANDIDATA_NO_ADOPTADA</x:v>
      </x:c>
      <x:c r="K49" s="12" t="n">
        <x:f>COUNTIF('03_NICE'!$A$5:$A$57,A49)+COUNTIF('04_TKS'!$A$5:$A$72,A49)-1</x:f>
        <x:v>0</x:v>
      </x:c>
      <x:c r="L49" s="12" t="n">
        <x:f>IF(AND(COUNTIF('01_Fuentes'!$A$5:$A$40,G49)=1,COUNTIF('07_Operaciones'!$A$5:$A$26,F49)=1,COUNTIF('06_Cobertura'!$A$5:$A$25,E49)=1),0,1)</x:f>
        <x:v>0</x:v>
      </x:c>
      <x:c r="M49" s="12" t="n">
        <x:f>IF(OR(A49="",C49="",D49=""),1,0)</x:f>
        <x:v>0</x:v>
      </x:c>
    </x:row>
    <x:row r="50" ht="47" customHeight="1">
      <x:c r="A50" s="4" t="str">
        <x:v>K1324</x:v>
      </x:c>
      <x:c r="B50" s="4" t="str">
        <x:v>knowledge</x:v>
      </x:c>
      <x:c r="C50" s="4" t="str">
        <x:v>Knowledge of data poisoning cyberattacks</x:v>
      </x:c>
      <x:c r="D50" s="4" t="str">
        <x:v>Conocer ataques de envenenamiento de datos.</x:v>
      </x:c>
      <x:c r="E50" s="4" t="str">
        <x:v>E18</x:v>
      </x:c>
      <x:c r="F50" s="4" t="str">
        <x:v>OPC-15</x:v>
      </x:c>
      <x:c r="G50" s="4" t="str">
        <x:v>F001</x:v>
      </x:c>
      <x:c r="H50" s="4" t="str">
        <x:v>2.2.0</x:v>
      </x:c>
      <x:c r="I50" s="4" t="str">
        <x:v>PRESENTE_EN_CORTE; sin revisión individual declarada</x:v>
      </x:c>
      <x:c r="J50" s="4" t="str">
        <x:v>CANDIDATA_NO_ADOPTADA</x:v>
      </x:c>
      <x:c r="K50" s="12" t="n">
        <x:f>COUNTIF('03_NICE'!$A$5:$A$57,A50)+COUNTIF('04_TKS'!$A$5:$A$72,A50)-1</x:f>
        <x:v>0</x:v>
      </x:c>
      <x:c r="L50" s="12" t="n">
        <x:f>IF(AND(COUNTIF('01_Fuentes'!$A$5:$A$40,G50)=1,COUNTIF('07_Operaciones'!$A$5:$A$26,F50)=1,COUNTIF('06_Cobertura'!$A$5:$A$25,E50)=1),0,1)</x:f>
        <x:v>0</x:v>
      </x:c>
      <x:c r="M50" s="12" t="n">
        <x:f>IF(OR(A50="",C50="",D50=""),1,0)</x:f>
        <x:v>0</x:v>
      </x:c>
    </x:row>
    <x:row r="51" ht="47" customHeight="1">
      <x:c r="A51" s="4" t="str">
        <x:v>K1327</x:v>
      </x:c>
      <x:c r="B51" s="4" t="str">
        <x:v>knowledge</x:v>
      </x:c>
      <x:c r="C51" s="4" t="str">
        <x:v>Knowledge of ethical responsibilities of AI system users and providers</x:v>
      </x:c>
      <x:c r="D51" s="4" t="str">
        <x:v>Conocer responsabilidades éticas de usuarios y proveedores de IA.</x:v>
      </x:c>
      <x:c r="E51" s="4" t="str">
        <x:v>E21</x:v>
      </x:c>
      <x:c r="F51" s="4" t="str">
        <x:v>OPC-15</x:v>
      </x:c>
      <x:c r="G51" s="4" t="str">
        <x:v>F001</x:v>
      </x:c>
      <x:c r="H51" s="4" t="str">
        <x:v>2.2.0</x:v>
      </x:c>
      <x:c r="I51" s="4" t="str">
        <x:v>PRESENTE_EN_CORTE; sin revisión individual declarada</x:v>
      </x:c>
      <x:c r="J51" s="4" t="str">
        <x:v>CANDIDATA_NO_ADOPTADA</x:v>
      </x:c>
      <x:c r="K51" s="12" t="n">
        <x:f>COUNTIF('03_NICE'!$A$5:$A$57,A51)+COUNTIF('04_TKS'!$A$5:$A$72,A51)-1</x:f>
        <x:v>0</x:v>
      </x:c>
      <x:c r="L51" s="12" t="n">
        <x:f>IF(AND(COUNTIF('01_Fuentes'!$A$5:$A$40,G51)=1,COUNTIF('07_Operaciones'!$A$5:$A$26,F51)=1,COUNTIF('06_Cobertura'!$A$5:$A$25,E51)=1),0,1)</x:f>
        <x:v>0</x:v>
      </x:c>
      <x:c r="M51" s="12" t="n">
        <x:f>IF(OR(A51="",C51="",D51=""),1,0)</x:f>
        <x:v>0</x:v>
      </x:c>
    </x:row>
    <x:row r="52" ht="47" customHeight="1">
      <x:c r="A52" s="4" t="str">
        <x:v>K1328</x:v>
      </x:c>
      <x:c r="B52" s="4" t="str">
        <x:v>knowledge</x:v>
      </x:c>
      <x:c r="C52" s="4" t="str">
        <x:v>Knowledge of human-AI interaction principles and practices</x:v>
      </x:c>
      <x:c r="D52" s="4" t="str">
        <x:v>Conocer principios y prácticas de interacción humano-IA.</x:v>
      </x:c>
      <x:c r="E52" s="4" t="str">
        <x:v>E21</x:v>
      </x:c>
      <x:c r="F52" s="4" t="str">
        <x:v>OPC-07</x:v>
      </x:c>
      <x:c r="G52" s="4" t="str">
        <x:v>F001</x:v>
      </x:c>
      <x:c r="H52" s="4" t="str">
        <x:v>2.2.0</x:v>
      </x:c>
      <x:c r="I52" s="4" t="str">
        <x:v>PRESENTE_EN_CORTE; sin revisión individual declarada</x:v>
      </x:c>
      <x:c r="J52" s="4" t="str">
        <x:v>CANDIDATA_NO_ADOPTADA</x:v>
      </x:c>
      <x:c r="K52" s="12" t="n">
        <x:f>COUNTIF('03_NICE'!$A$5:$A$57,A52)+COUNTIF('04_TKS'!$A$5:$A$72,A52)-1</x:f>
        <x:v>0</x:v>
      </x:c>
      <x:c r="L52" s="12" t="n">
        <x:f>IF(AND(COUNTIF('01_Fuentes'!$A$5:$A$40,G52)=1,COUNTIF('07_Operaciones'!$A$5:$A$26,F52)=1,COUNTIF('06_Cobertura'!$A$5:$A$25,E52)=1),0,1)</x:f>
        <x:v>0</x:v>
      </x:c>
      <x:c r="M52" s="12" t="n">
        <x:f>IF(OR(A52="",C52="",D52=""),1,0)</x:f>
        <x:v>0</x:v>
      </x:c>
    </x:row>
    <x:row r="53" ht="47" customHeight="1">
      <x:c r="A53" s="4" t="str">
        <x:v>K1329</x:v>
      </x:c>
      <x:c r="B53" s="4" t="str">
        <x:v>knowledge</x:v>
      </x:c>
      <x:c r="C53" s="4" t="str">
        <x:v>Knowledge of impact of data sparsity</x:v>
      </x:c>
      <x:c r="D53" s="4" t="str">
        <x:v>Comprender el efecto de la escasez de datos.</x:v>
      </x:c>
      <x:c r="E53" s="4" t="str">
        <x:v>E19</x:v>
      </x:c>
      <x:c r="F53" s="4" t="str">
        <x:v>OPC-15</x:v>
      </x:c>
      <x:c r="G53" s="4" t="str">
        <x:v>F001</x:v>
      </x:c>
      <x:c r="H53" s="4" t="str">
        <x:v>2.2.0</x:v>
      </x:c>
      <x:c r="I53" s="4" t="str">
        <x:v>PRESENTE_EN_CORTE; sin revisión individual declarada</x:v>
      </x:c>
      <x:c r="J53" s="4" t="str">
        <x:v>CANDIDATA_NO_ADOPTADA</x:v>
      </x:c>
      <x:c r="K53" s="12" t="n">
        <x:f>COUNTIF('03_NICE'!$A$5:$A$57,A53)+COUNTIF('04_TKS'!$A$5:$A$72,A53)-1</x:f>
        <x:v>0</x:v>
      </x:c>
      <x:c r="L53" s="12" t="n">
        <x:f>IF(AND(COUNTIF('01_Fuentes'!$A$5:$A$40,G53)=1,COUNTIF('07_Operaciones'!$A$5:$A$26,F53)=1,COUNTIF('06_Cobertura'!$A$5:$A$25,E53)=1),0,1)</x:f>
        <x:v>0</x:v>
      </x:c>
      <x:c r="M53" s="12" t="n">
        <x:f>IF(OR(A53="",C53="",D53=""),1,0)</x:f>
        <x:v>0</x:v>
      </x:c>
    </x:row>
    <x:row r="54" ht="47" customHeight="1">
      <x:c r="A54" s="4" t="str">
        <x:v>K1332</x:v>
      </x:c>
      <x:c r="B54" s="4" t="str">
        <x:v>knowledge</x:v>
      </x:c>
      <x:c r="C54" s="4" t="str">
        <x:v>Knowledge of legal responsibilities of AI system users</x:v>
      </x:c>
      <x:c r="D54" s="4" t="str">
        <x:v>Conocer responsabilidades jurídicas de usuarios de IA, con jurisdicción identificada.</x:v>
      </x:c>
      <x:c r="E54" s="4" t="str">
        <x:v>E16</x:v>
      </x:c>
      <x:c r="F54" s="4" t="str">
        <x:v>OPC-17</x:v>
      </x:c>
      <x:c r="G54" s="4" t="str">
        <x:v>F001</x:v>
      </x:c>
      <x:c r="H54" s="4" t="str">
        <x:v>2.2.0</x:v>
      </x:c>
      <x:c r="I54" s="4" t="str">
        <x:v>PRESENTE_EN_CORTE; sin revisión individual declarada</x:v>
      </x:c>
      <x:c r="J54" s="4" t="str">
        <x:v>CANDIDATA_NO_ADOPTADA</x:v>
      </x:c>
      <x:c r="K54" s="12" t="n">
        <x:f>COUNTIF('03_NICE'!$A$5:$A$57,A54)+COUNTIF('04_TKS'!$A$5:$A$72,A54)-1</x:f>
        <x:v>0</x:v>
      </x:c>
      <x:c r="L54" s="12" t="n">
        <x:f>IF(AND(COUNTIF('01_Fuentes'!$A$5:$A$40,G54)=1,COUNTIF('07_Operaciones'!$A$5:$A$26,F54)=1,COUNTIF('06_Cobertura'!$A$5:$A$25,E54)=1),0,1)</x:f>
        <x:v>0</x:v>
      </x:c>
      <x:c r="M54" s="12" t="n">
        <x:f>IF(OR(A54="",C54="",D54=""),1,0)</x:f>
        <x:v>0</x:v>
      </x:c>
    </x:row>
    <x:row r="55" ht="47" customHeight="1">
      <x:c r="A55" s="4" t="str">
        <x:v>K1333</x:v>
      </x:c>
      <x:c r="B55" s="4" t="str">
        <x:v>knowledge</x:v>
      </x:c>
      <x:c r="C55" s="4" t="str">
        <x:v>Knowledge of misinformation and disinformation vulnerabilities in AI systems</x:v>
      </x:c>
      <x:c r="D55" s="4" t="str">
        <x:v>Conocer vulnerabilidades de información errónea y desinformación en sistemas de IA.</x:v>
      </x:c>
      <x:c r="E55" s="4" t="str">
        <x:v>E20</x:v>
      </x:c>
      <x:c r="F55" s="4" t="str">
        <x:v>OPC-08</x:v>
      </x:c>
      <x:c r="G55" s="4" t="str">
        <x:v>F001</x:v>
      </x:c>
      <x:c r="H55" s="4" t="str">
        <x:v>2.2.0</x:v>
      </x:c>
      <x:c r="I55" s="4" t="str">
        <x:v>PRESENTE_EN_CORTE; sin revisión individual declarada</x:v>
      </x:c>
      <x:c r="J55" s="4" t="str">
        <x:v>CANDIDATA_NO_ADOPTADA</x:v>
      </x:c>
      <x:c r="K55" s="12" t="n">
        <x:f>COUNTIF('03_NICE'!$A$5:$A$57,A55)+COUNTIF('04_TKS'!$A$5:$A$72,A55)-1</x:f>
        <x:v>0</x:v>
      </x:c>
      <x:c r="L55" s="12" t="n">
        <x:f>IF(AND(COUNTIF('01_Fuentes'!$A$5:$A$40,G55)=1,COUNTIF('07_Operaciones'!$A$5:$A$26,F55)=1,COUNTIF('06_Cobertura'!$A$5:$A$25,E55)=1),0,1)</x:f>
        <x:v>0</x:v>
      </x:c>
      <x:c r="M55" s="12" t="n">
        <x:f>IF(OR(A55="",C55="",D55=""),1,0)</x:f>
        <x:v>0</x:v>
      </x:c>
    </x:row>
    <x:row r="56" ht="47" customHeight="1">
      <x:c r="A56" s="4" t="str">
        <x:v>K1334</x:v>
      </x:c>
      <x:c r="B56" s="4" t="str">
        <x:v>knowledge</x:v>
      </x:c>
      <x:c r="C56" s="4" t="str">
        <x:v>Knowledge of NIST AI Risk Management Framework</x:v>
      </x:c>
      <x:c r="D56" s="4" t="str">
        <x:v>Conocer el marco NIST de gestión del riesgo de IA.</x:v>
      </x:c>
      <x:c r="E56" s="4" t="str">
        <x:v>E21</x:v>
      </x:c>
      <x:c r="F56" s="4" t="str">
        <x:v>OPC-15</x:v>
      </x:c>
      <x:c r="G56" s="4" t="str">
        <x:v>F001</x:v>
      </x:c>
      <x:c r="H56" s="4" t="str">
        <x:v>2.2.0</x:v>
      </x:c>
      <x:c r="I56" s="4" t="str">
        <x:v>PRESENTE_EN_CORTE; sin revisión individual declarada</x:v>
      </x:c>
      <x:c r="J56" s="4" t="str">
        <x:v>CANDIDATA_NO_ADOPTADA</x:v>
      </x:c>
      <x:c r="K56" s="12" t="n">
        <x:f>COUNTIF('03_NICE'!$A$5:$A$57,A56)+COUNTIF('04_TKS'!$A$5:$A$72,A56)-1</x:f>
        <x:v>0</x:v>
      </x:c>
      <x:c r="L56" s="12" t="n">
        <x:f>IF(AND(COUNTIF('01_Fuentes'!$A$5:$A$40,G56)=1,COUNTIF('07_Operaciones'!$A$5:$A$26,F56)=1,COUNTIF('06_Cobertura'!$A$5:$A$25,E56)=1),0,1)</x:f>
        <x:v>0</x:v>
      </x:c>
      <x:c r="M56" s="12" t="n">
        <x:f>IF(OR(A56="",C56="",D56=""),1,0)</x:f>
        <x:v>0</x:v>
      </x:c>
    </x:row>
    <x:row r="57" ht="47" customHeight="1">
      <x:c r="A57" s="4" t="str">
        <x:v>K1335</x:v>
      </x:c>
      <x:c r="B57" s="4" t="str">
        <x:v>knowledge</x:v>
      </x:c>
      <x:c r="C57" s="4" t="str">
        <x:v>Knowledge of recall and precision metrics for classification tasks</x:v>
      </x:c>
      <x:c r="D57" s="4" t="str">
        <x:v>Distinguir exhaustividad y precisión como métricas de clasificación.</x:v>
      </x:c>
      <x:c r="E57" s="4" t="str">
        <x:v>E19</x:v>
      </x:c>
      <x:c r="F57" s="4" t="str">
        <x:v>OPC-15</x:v>
      </x:c>
      <x:c r="G57" s="4" t="str">
        <x:v>F001</x:v>
      </x:c>
      <x:c r="H57" s="4" t="str">
        <x:v>2.2.0</x:v>
      </x:c>
      <x:c r="I57" s="4" t="str">
        <x:v>PRESENTE_EN_CORTE; sin revisión individual declarada</x:v>
      </x:c>
      <x:c r="J57" s="4" t="str">
        <x:v>CANDIDATA_NO_ADOPTADA</x:v>
      </x:c>
      <x:c r="K57" s="12" t="n">
        <x:f>COUNTIF('03_NICE'!$A$5:$A$57,A57)+COUNTIF('04_TKS'!$A$5:$A$72,A57)-1</x:f>
        <x:v>0</x:v>
      </x:c>
      <x:c r="L57" s="12" t="n">
        <x:f>IF(AND(COUNTIF('01_Fuentes'!$A$5:$A$40,G57)=1,COUNTIF('07_Operaciones'!$A$5:$A$26,F57)=1,COUNTIF('06_Cobertura'!$A$5:$A$25,E57)=1),0,1)</x:f>
        <x:v>0</x:v>
      </x:c>
      <x:c r="M57" s="12" t="n">
        <x:f>IF(OR(A57="",C57="",D57=""),1,0)</x:f>
        <x:v>0</x:v>
      </x:c>
    </x:row>
    <x:row r="58" ht="47" customHeight="1">
      <x:c r="A58" s="4" t="str">
        <x:v>K1336</x:v>
      </x:c>
      <x:c r="B58" s="4" t="str">
        <x:v>knowledge</x:v>
      </x:c>
      <x:c r="C58" s="4" t="str">
        <x:v>Knowledge of residual risk principles and practices</x:v>
      </x:c>
      <x:c r="D58" s="4" t="str">
        <x:v>Conocer principios y prácticas de riesgo residual.</x:v>
      </x:c>
      <x:c r="E58" s="4" t="str">
        <x:v>E01</x:v>
      </x:c>
      <x:c r="F58" s="4" t="str">
        <x:v>OPC-01</x:v>
      </x:c>
      <x:c r="G58" s="4" t="str">
        <x:v>F001</x:v>
      </x:c>
      <x:c r="H58" s="4" t="str">
        <x:v>2.2.0</x:v>
      </x:c>
      <x:c r="I58" s="4" t="str">
        <x:v>PRESENTE_EN_CORTE; sin revisión individual declarada</x:v>
      </x:c>
      <x:c r="J58" s="4" t="str">
        <x:v>CANDIDATA_NO_ADOPTADA</x:v>
      </x:c>
      <x:c r="K58" s="12" t="n">
        <x:f>COUNTIF('03_NICE'!$A$5:$A$57,A58)+COUNTIF('04_TKS'!$A$5:$A$72,A58)-1</x:f>
        <x:v>0</x:v>
      </x:c>
      <x:c r="L58" s="12" t="n">
        <x:f>IF(AND(COUNTIF('01_Fuentes'!$A$5:$A$40,G58)=1,COUNTIF('07_Operaciones'!$A$5:$A$26,F58)=1,COUNTIF('06_Cobertura'!$A$5:$A$25,E58)=1),0,1)</x:f>
        <x:v>0</x:v>
      </x:c>
      <x:c r="M58" s="12" t="n">
        <x:f>IF(OR(A58="",C58="",D58=""),1,0)</x:f>
        <x:v>0</x:v>
      </x:c>
    </x:row>
    <x:row r="59" ht="47" customHeight="1">
      <x:c r="A59" s="4" t="str">
        <x:v>K1339</x:v>
      </x:c>
      <x:c r="B59" s="4" t="str">
        <x:v>knowledge</x:v>
      </x:c>
      <x:c r="C59" s="4" t="str">
        <x:v>Knowledge of statistical principles and practices</x:v>
      </x:c>
      <x:c r="D59" s="4" t="str">
        <x:v>Conocer principios y prácticas estadísticas pertinentes para evaluar sistemas.</x:v>
      </x:c>
      <x:c r="E59" s="4" t="str">
        <x:v>E19</x:v>
      </x:c>
      <x:c r="F59" s="4" t="str">
        <x:v>OPC-15</x:v>
      </x:c>
      <x:c r="G59" s="4" t="str">
        <x:v>F001</x:v>
      </x:c>
      <x:c r="H59" s="4" t="str">
        <x:v>2.2.0</x:v>
      </x:c>
      <x:c r="I59" s="4" t="str">
        <x:v>PRESENTE_EN_CORTE; sin revisión individual declarada</x:v>
      </x:c>
      <x:c r="J59" s="4" t="str">
        <x:v>CANDIDATA_NO_ADOPTADA</x:v>
      </x:c>
      <x:c r="K59" s="12" t="n">
        <x:f>COUNTIF('03_NICE'!$A$5:$A$57,A59)+COUNTIF('04_TKS'!$A$5:$A$72,A59)-1</x:f>
        <x:v>0</x:v>
      </x:c>
      <x:c r="L59" s="12" t="n">
        <x:f>IF(AND(COUNTIF('01_Fuentes'!$A$5:$A$40,G59)=1,COUNTIF('07_Operaciones'!$A$5:$A$26,F59)=1,COUNTIF('06_Cobertura'!$A$5:$A$25,E59)=1),0,1)</x:f>
        <x:v>0</x:v>
      </x:c>
      <x:c r="M59" s="12" t="n">
        <x:f>IF(OR(A59="",C59="",D59=""),1,0)</x:f>
        <x:v>0</x:v>
      </x:c>
    </x:row>
    <x:row r="60" ht="47" customHeight="1">
      <x:c r="A60" s="4" t="str">
        <x:v>K1341</x:v>
      </x:c>
      <x:c r="B60" s="4" t="str">
        <x:v>knowledge</x:v>
      </x:c>
      <x:c r="C60" s="4" t="str">
        <x:v>Knowledge of test, evaluation, verification, and validation (TEVV) processes</x:v>
      </x:c>
      <x:c r="D60" s="4" t="str">
        <x:v>Conocer procesos de prueba, evaluación, verificación y validación.</x:v>
      </x:c>
      <x:c r="E60" s="4" t="str">
        <x:v>E19</x:v>
      </x:c>
      <x:c r="F60" s="4" t="str">
        <x:v>OPC-15</x:v>
      </x:c>
      <x:c r="G60" s="4" t="str">
        <x:v>F001</x:v>
      </x:c>
      <x:c r="H60" s="4" t="str">
        <x:v>2.2.0</x:v>
      </x:c>
      <x:c r="I60" s="4" t="str">
        <x:v>PRESENTE_EN_CORTE; sin revisión individual declarada</x:v>
      </x:c>
      <x:c r="J60" s="4" t="str">
        <x:v>CANDIDATA_NO_ADOPTADA</x:v>
      </x:c>
      <x:c r="K60" s="12" t="n">
        <x:f>COUNTIF('03_NICE'!$A$5:$A$57,A60)+COUNTIF('04_TKS'!$A$5:$A$72,A60)-1</x:f>
        <x:v>0</x:v>
      </x:c>
      <x:c r="L60" s="12" t="n">
        <x:f>IF(AND(COUNTIF('01_Fuentes'!$A$5:$A$40,G60)=1,COUNTIF('07_Operaciones'!$A$5:$A$26,F60)=1,COUNTIF('06_Cobertura'!$A$5:$A$25,E60)=1),0,1)</x:f>
        <x:v>0</x:v>
      </x:c>
      <x:c r="M60" s="12" t="n">
        <x:f>IF(OR(A60="",C60="",D60=""),1,0)</x:f>
        <x:v>0</x:v>
      </x:c>
    </x:row>
    <x:row r="61" ht="47" customHeight="1">
      <x:c r="A61" s="4" t="str">
        <x:v>K1342</x:v>
      </x:c>
      <x:c r="B61" s="4" t="str">
        <x:v>knowledge</x:v>
      </x:c>
      <x:c r="C61" s="4" t="str">
        <x:v>Knowledge of training, validation, and test data sets</x:v>
      </x:c>
      <x:c r="D61" s="4" t="str">
        <x:v>Distinguir conjuntos de entrenamiento, validación y prueba.</x:v>
      </x:c>
      <x:c r="E61" s="4" t="str">
        <x:v>E19</x:v>
      </x:c>
      <x:c r="F61" s="4" t="str">
        <x:v>OPC-15</x:v>
      </x:c>
      <x:c r="G61" s="4" t="str">
        <x:v>F001</x:v>
      </x:c>
      <x:c r="H61" s="4" t="str">
        <x:v>2.2.0</x:v>
      </x:c>
      <x:c r="I61" s="4" t="str">
        <x:v>PRESENTE_EN_CORTE; sin revisión individual declarada</x:v>
      </x:c>
      <x:c r="J61" s="4" t="str">
        <x:v>CANDIDATA_NO_ADOPTADA</x:v>
      </x:c>
      <x:c r="K61" s="12" t="n">
        <x:f>COUNTIF('03_NICE'!$A$5:$A$57,A61)+COUNTIF('04_TKS'!$A$5:$A$72,A61)-1</x:f>
        <x:v>0</x:v>
      </x:c>
      <x:c r="L61" s="12" t="n">
        <x:f>IF(AND(COUNTIF('01_Fuentes'!$A$5:$A$40,G61)=1,COUNTIF('07_Operaciones'!$A$5:$A$26,F61)=1,COUNTIF('06_Cobertura'!$A$5:$A$25,E61)=1),0,1)</x:f>
        <x:v>0</x:v>
      </x:c>
      <x:c r="M61" s="12" t="n">
        <x:f>IF(OR(A61="",C61="",D61=""),1,0)</x:f>
        <x:v>0</x:v>
      </x:c>
    </x:row>
    <x:row r="62" ht="47" customHeight="1">
      <x:c r="A62" s="4" t="str">
        <x:v>K1343</x:v>
      </x:c>
      <x:c r="B62" s="4" t="str">
        <x:v>knowledge</x:v>
      </x:c>
      <x:c r="C62" s="4" t="str">
        <x:v>Knowledge of uncertainty measurement principles and practices</x:v>
      </x:c>
      <x:c r="D62" s="4" t="str">
        <x:v>Conocer principios y prácticas de medición de incertidumbre.</x:v>
      </x:c>
      <x:c r="E62" s="4" t="str">
        <x:v>E19</x:v>
      </x:c>
      <x:c r="F62" s="4" t="str">
        <x:v>OPC-15</x:v>
      </x:c>
      <x:c r="G62" s="4" t="str">
        <x:v>F001</x:v>
      </x:c>
      <x:c r="H62" s="4" t="str">
        <x:v>2.2.0</x:v>
      </x:c>
      <x:c r="I62" s="4" t="str">
        <x:v>PRESENTE_EN_CORTE; sin revisión individual declarada</x:v>
      </x:c>
      <x:c r="J62" s="4" t="str">
        <x:v>CANDIDATA_NO_ADOPTADA</x:v>
      </x:c>
      <x:c r="K62" s="12" t="n">
        <x:f>COUNTIF('03_NICE'!$A$5:$A$57,A62)+COUNTIF('04_TKS'!$A$5:$A$72,A62)-1</x:f>
        <x:v>0</x:v>
      </x:c>
      <x:c r="L62" s="12" t="n">
        <x:f>IF(AND(COUNTIF('01_Fuentes'!$A$5:$A$40,G62)=1,COUNTIF('07_Operaciones'!$A$5:$A$26,F62)=1,COUNTIF('06_Cobertura'!$A$5:$A$25,E62)=1),0,1)</x:f>
        <x:v>0</x:v>
      </x:c>
      <x:c r="M62" s="12" t="n">
        <x:f>IF(OR(A62="",C62="",D62=""),1,0)</x:f>
        <x:v>0</x:v>
      </x:c>
    </x:row>
    <x:row r="63" ht="47" customHeight="1">
      <x:c r="A63" s="4" t="str">
        <x:v>K1345</x:v>
      </x:c>
      <x:c r="B63" s="4" t="str">
        <x:v>knowledge</x:v>
      </x:c>
      <x:c r="C63" s="4" t="str">
        <x:v>Knowledge of agentic AI principles and practices</x:v>
      </x:c>
      <x:c r="D63" s="4" t="str">
        <x:v>Conocer principios y prácticas de IA con capacidad de actuación mediante agentes.</x:v>
      </x:c>
      <x:c r="E63" s="4" t="str">
        <x:v>E18</x:v>
      </x:c>
      <x:c r="F63" s="4" t="str">
        <x:v>OPC-15</x:v>
      </x:c>
      <x:c r="G63" s="4" t="str">
        <x:v>F001</x:v>
      </x:c>
      <x:c r="H63" s="4" t="str">
        <x:v>2.2.0</x:v>
      </x:c>
      <x:c r="I63" s="4" t="str">
        <x:v>PRESENTE_EN_CORTE; sin revisión individual declarada</x:v>
      </x:c>
      <x:c r="J63" s="4" t="str">
        <x:v>CANDIDATA_NO_ADOPTADA</x:v>
      </x:c>
      <x:c r="K63" s="12" t="n">
        <x:f>COUNTIF('03_NICE'!$A$5:$A$57,A63)+COUNTIF('04_TKS'!$A$5:$A$72,A63)-1</x:f>
        <x:v>0</x:v>
      </x:c>
      <x:c r="L63" s="12" t="n">
        <x:f>IF(AND(COUNTIF('01_Fuentes'!$A$5:$A$40,G63)=1,COUNTIF('07_Operaciones'!$A$5:$A$26,F63)=1,COUNTIF('06_Cobertura'!$A$5:$A$25,E63)=1),0,1)</x:f>
        <x:v>0</x:v>
      </x:c>
      <x:c r="M63" s="12" t="n">
        <x:f>IF(OR(A63="",C63="",D63=""),1,0)</x:f>
        <x:v>0</x:v>
      </x:c>
    </x:row>
    <x:row r="64" ht="47" customHeight="1">
      <x:c r="A64" s="4" t="str">
        <x:v>S0443</x:v>
      </x:c>
      <x:c r="B64" s="4" t="str">
        <x:v>skill</x:v>
      </x:c>
      <x:c r="C64" s="4" t="str">
        <x:v>Skill in mitigating cognitive biases</x:v>
      </x:c>
      <x:c r="D64" s="4" t="str">
        <x:v>Aplicar medidas para mitigar sesgos cognitivos.</x:v>
      </x:c>
      <x:c r="E64" s="4" t="str">
        <x:v>E14</x:v>
      </x:c>
      <x:c r="F64" s="4" t="str">
        <x:v>OPC-07</x:v>
      </x:c>
      <x:c r="G64" s="4" t="str">
        <x:v>F001</x:v>
      </x:c>
      <x:c r="H64" s="4" t="str">
        <x:v>2.2.0</x:v>
      </x:c>
      <x:c r="I64" s="4" t="str">
        <x:v>PRESENTE_EN_CORTE; sin revisión individual declarada</x:v>
      </x:c>
      <x:c r="J64" s="4" t="str">
        <x:v>CANDIDATA_NO_ADOPTADA</x:v>
      </x:c>
      <x:c r="K64" s="12" t="n">
        <x:f>COUNTIF('03_NICE'!$A$5:$A$57,A64)+COUNTIF('04_TKS'!$A$5:$A$72,A64)-1</x:f>
        <x:v>0</x:v>
      </x:c>
      <x:c r="L64" s="12" t="n">
        <x:f>IF(AND(COUNTIF('01_Fuentes'!$A$5:$A$40,G64)=1,COUNTIF('07_Operaciones'!$A$5:$A$26,F64)=1,COUNTIF('06_Cobertura'!$A$5:$A$25,E64)=1),0,1)</x:f>
        <x:v>0</x:v>
      </x:c>
      <x:c r="M64" s="12" t="n">
        <x:f>IF(OR(A64="",C64="",D64=""),1,0)</x:f>
        <x:v>0</x:v>
      </x:c>
    </x:row>
    <x:row r="65" ht="47" customHeight="1">
      <x:c r="A65" s="4" t="str">
        <x:v>S0480</x:v>
      </x:c>
      <x:c r="B65" s="4" t="str">
        <x:v>skill</x:v>
      </x:c>
      <x:c r="C65" s="4" t="str">
        <x:v>Skill in evaluating product trustworthiness</x:v>
      </x:c>
      <x:c r="D65" s="4" t="str">
        <x:v>Evaluar la confianza justificable en un producto.</x:v>
      </x:c>
      <x:c r="E65" s="4" t="str">
        <x:v>E07</x:v>
      </x:c>
      <x:c r="F65" s="4" t="str">
        <x:v>OPC-06</x:v>
      </x:c>
      <x:c r="G65" s="4" t="str">
        <x:v>F001</x:v>
      </x:c>
      <x:c r="H65" s="4" t="str">
        <x:v>2.2.0</x:v>
      </x:c>
      <x:c r="I65" s="4" t="str">
        <x:v>PRESENTE_EN_CORTE; sin revisión individual declarada</x:v>
      </x:c>
      <x:c r="J65" s="4" t="str">
        <x:v>CANDIDATA_NO_ADOPTADA</x:v>
      </x:c>
      <x:c r="K65" s="12" t="n">
        <x:f>COUNTIF('03_NICE'!$A$5:$A$57,A65)+COUNTIF('04_TKS'!$A$5:$A$72,A65)-1</x:f>
        <x:v>0</x:v>
      </x:c>
      <x:c r="L65" s="12" t="n">
        <x:f>IF(AND(COUNTIF('01_Fuentes'!$A$5:$A$40,G65)=1,COUNTIF('07_Operaciones'!$A$5:$A$26,F65)=1,COUNTIF('06_Cobertura'!$A$5:$A$25,E65)=1),0,1)</x:f>
        <x:v>0</x:v>
      </x:c>
      <x:c r="M65" s="12" t="n">
        <x:f>IF(OR(A65="",C65="",D65=""),1,0)</x:f>
        <x:v>0</x:v>
      </x:c>
    </x:row>
    <x:row r="66" ht="47" customHeight="1">
      <x:c r="A66" s="4" t="str">
        <x:v>S0900</x:v>
      </x:c>
      <x:c r="B66" s="4" t="str">
        <x:v>skill</x:v>
      </x:c>
      <x:c r="C66" s="4" t="str">
        <x:v>Skill in analyzing information from multiple sources</x:v>
      </x:c>
      <x:c r="D66" s="4" t="str">
        <x:v>Analizar información procedente de diversas fuentes.</x:v>
      </x:c>
      <x:c r="E66" s="4" t="str">
        <x:v>E09</x:v>
      </x:c>
      <x:c r="F66" s="4" t="str">
        <x:v>OPC-08</x:v>
      </x:c>
      <x:c r="G66" s="4" t="str">
        <x:v>F001</x:v>
      </x:c>
      <x:c r="H66" s="4" t="str">
        <x:v>2.2.0</x:v>
      </x:c>
      <x:c r="I66" s="4" t="str">
        <x:v>PRESENTE_EN_CORTE; sin revisión individual declarada</x:v>
      </x:c>
      <x:c r="J66" s="4" t="str">
        <x:v>CANDIDATA_NO_ADOPTADA</x:v>
      </x:c>
      <x:c r="K66" s="12" t="n">
        <x:f>COUNTIF('03_NICE'!$A$5:$A$57,A66)+COUNTIF('04_TKS'!$A$5:$A$72,A66)-1</x:f>
        <x:v>0</x:v>
      </x:c>
      <x:c r="L66" s="12" t="n">
        <x:f>IF(AND(COUNTIF('01_Fuentes'!$A$5:$A$40,G66)=1,COUNTIF('07_Operaciones'!$A$5:$A$26,F66)=1,COUNTIF('06_Cobertura'!$A$5:$A$25,E66)=1),0,1)</x:f>
        <x:v>0</x:v>
      </x:c>
      <x:c r="M66" s="12" t="n">
        <x:f>IF(OR(A66="",C66="",D66=""),1,0)</x:f>
        <x:v>0</x:v>
      </x:c>
    </x:row>
    <x:row r="67" ht="47" customHeight="1">
      <x:c r="A67" s="4" t="str">
        <x:v>S0952</x:v>
      </x:c>
      <x:c r="B67" s="4" t="str">
        <x:v>skill</x:v>
      </x:c>
      <x:c r="C67" s="4" t="str">
        <x:v>Skill in developing appropriate system use cases</x:v>
      </x:c>
      <x:c r="D67" s="4" t="str">
        <x:v>Definir casos de uso apropiados del sistema.</x:v>
      </x:c>
      <x:c r="E67" s="4" t="str">
        <x:v>E21</x:v>
      </x:c>
      <x:c r="F67" s="4" t="str">
        <x:v>OPC-15</x:v>
      </x:c>
      <x:c r="G67" s="4" t="str">
        <x:v>F001</x:v>
      </x:c>
      <x:c r="H67" s="4" t="str">
        <x:v>2.2.0</x:v>
      </x:c>
      <x:c r="I67" s="4" t="str">
        <x:v>PRESENTE_EN_CORTE; sin revisión individual declarada</x:v>
      </x:c>
      <x:c r="J67" s="4" t="str">
        <x:v>CANDIDATA_NO_ADOPTADA</x:v>
      </x:c>
      <x:c r="K67" s="12" t="n">
        <x:f>COUNTIF('03_NICE'!$A$5:$A$57,A67)+COUNTIF('04_TKS'!$A$5:$A$72,A67)-1</x:f>
        <x:v>0</x:v>
      </x:c>
      <x:c r="L67" s="12" t="n">
        <x:f>IF(AND(COUNTIF('01_Fuentes'!$A$5:$A$40,G67)=1,COUNTIF('07_Operaciones'!$A$5:$A$26,F67)=1,COUNTIF('06_Cobertura'!$A$5:$A$25,E67)=1),0,1)</x:f>
        <x:v>0</x:v>
      </x:c>
      <x:c r="M67" s="12" t="n">
        <x:f>IF(OR(A67="",C67="",D67=""),1,0)</x:f>
        <x:v>0</x:v>
      </x:c>
    </x:row>
    <x:row r="68" ht="47" customHeight="1">
      <x:c r="A68" s="4" t="str">
        <x:v>S0954</x:v>
      </x:c>
      <x:c r="B68" s="4" t="str">
        <x:v>skill</x:v>
      </x:c>
      <x:c r="C68" s="4" t="str">
        <x:v>Skill in dividing data into training, validation, and test data sets</x:v>
      </x:c>
      <x:c r="D68" s="4" t="str">
        <x:v>Separar datos de entrenamiento, validación y prueba.</x:v>
      </x:c>
      <x:c r="E68" s="4" t="str">
        <x:v>E19</x:v>
      </x:c>
      <x:c r="F68" s="4" t="str">
        <x:v>OPC-15</x:v>
      </x:c>
      <x:c r="G68" s="4" t="str">
        <x:v>F001</x:v>
      </x:c>
      <x:c r="H68" s="4" t="str">
        <x:v>2.2.0</x:v>
      </x:c>
      <x:c r="I68" s="4" t="str">
        <x:v>PRESENTE_EN_CORTE; sin revisión individual declarada</x:v>
      </x:c>
      <x:c r="J68" s="4" t="str">
        <x:v>CANDIDATA_NO_ADOPTADA</x:v>
      </x:c>
      <x:c r="K68" s="12" t="n">
        <x:f>COUNTIF('03_NICE'!$A$5:$A$57,A68)+COUNTIF('04_TKS'!$A$5:$A$72,A68)-1</x:f>
        <x:v>0</x:v>
      </x:c>
      <x:c r="L68" s="12" t="n">
        <x:f>IF(AND(COUNTIF('01_Fuentes'!$A$5:$A$40,G68)=1,COUNTIF('07_Operaciones'!$A$5:$A$26,F68)=1,COUNTIF('06_Cobertura'!$A$5:$A$25,E68)=1),0,1)</x:f>
        <x:v>0</x:v>
      </x:c>
      <x:c r="M68" s="12" t="n">
        <x:f>IF(OR(A68="",C68="",D68=""),1,0)</x:f>
        <x:v>0</x:v>
      </x:c>
    </x:row>
    <x:row r="69" ht="47" customHeight="1">
      <x:c r="A69" s="4" t="str">
        <x:v>S0955</x:v>
      </x:c>
      <x:c r="B69" s="4" t="str">
        <x:v>skill</x:v>
      </x:c>
      <x:c r="C69" s="4" t="str">
        <x:v>Skill in evaluating machine learning models</x:v>
      </x:c>
      <x:c r="D69" s="4" t="str">
        <x:v>Evaluar modelos de aprendizaje automático.</x:v>
      </x:c>
      <x:c r="E69" s="4" t="str">
        <x:v>E19</x:v>
      </x:c>
      <x:c r="F69" s="4" t="str">
        <x:v>OPC-15</x:v>
      </x:c>
      <x:c r="G69" s="4" t="str">
        <x:v>F001</x:v>
      </x:c>
      <x:c r="H69" s="4" t="str">
        <x:v>2.2.0</x:v>
      </x:c>
      <x:c r="I69" s="4" t="str">
        <x:v>PRESENTE_EN_CORTE; sin revisión individual declarada</x:v>
      </x:c>
      <x:c r="J69" s="4" t="str">
        <x:v>CANDIDATA_NO_ADOPTADA</x:v>
      </x:c>
      <x:c r="K69" s="12" t="n">
        <x:f>COUNTIF('03_NICE'!$A$5:$A$57,A69)+COUNTIF('04_TKS'!$A$5:$A$72,A69)-1</x:f>
        <x:v>0</x:v>
      </x:c>
      <x:c r="L69" s="12" t="n">
        <x:f>IF(AND(COUNTIF('01_Fuentes'!$A$5:$A$40,G69)=1,COUNTIF('07_Operaciones'!$A$5:$A$26,F69)=1,COUNTIF('06_Cobertura'!$A$5:$A$25,E69)=1),0,1)</x:f>
        <x:v>0</x:v>
      </x:c>
      <x:c r="M69" s="12" t="n">
        <x:f>IF(OR(A69="",C69="",D69=""),1,0)</x:f>
        <x:v>0</x:v>
      </x:c>
    </x:row>
    <x:row r="70" ht="47" customHeight="1">
      <x:c r="A70" s="4" t="str">
        <x:v>S0956</x:v>
      </x:c>
      <x:c r="B70" s="4" t="str">
        <x:v>skill</x:v>
      </x:c>
      <x:c r="C70" s="4" t="str">
        <x:v>Skill in evaluating the performance of algorithms</x:v>
      </x:c>
      <x:c r="D70" s="4" t="str">
        <x:v>Evaluar el rendimiento de algoritmos.</x:v>
      </x:c>
      <x:c r="E70" s="4" t="str">
        <x:v>E19</x:v>
      </x:c>
      <x:c r="F70" s="4" t="str">
        <x:v>OPC-15</x:v>
      </x:c>
      <x:c r="G70" s="4" t="str">
        <x:v>F001</x:v>
      </x:c>
      <x:c r="H70" s="4" t="str">
        <x:v>2.2.0</x:v>
      </x:c>
      <x:c r="I70" s="4" t="str">
        <x:v>PRESENTE_EN_CORTE; sin revisión individual declarada</x:v>
      </x:c>
      <x:c r="J70" s="4" t="str">
        <x:v>CANDIDATA_NO_ADOPTADA</x:v>
      </x:c>
      <x:c r="K70" s="12" t="n">
        <x:f>COUNTIF('03_NICE'!$A$5:$A$57,A70)+COUNTIF('04_TKS'!$A$5:$A$72,A70)-1</x:f>
        <x:v>0</x:v>
      </x:c>
      <x:c r="L70" s="12" t="n">
        <x:f>IF(AND(COUNTIF('01_Fuentes'!$A$5:$A$40,G70)=1,COUNTIF('07_Operaciones'!$A$5:$A$26,F70)=1,COUNTIF('06_Cobertura'!$A$5:$A$25,E70)=1),0,1)</x:f>
        <x:v>0</x:v>
      </x:c>
      <x:c r="M70" s="12" t="n">
        <x:f>IF(OR(A70="",C70="",D70=""),1,0)</x:f>
        <x:v>0</x:v>
      </x:c>
    </x:row>
    <x:row r="71" ht="47" customHeight="1">
      <x:c r="A71" s="4" t="str">
        <x:v>S0957</x:v>
      </x:c>
      <x:c r="B71" s="4" t="str">
        <x:v>skill</x:v>
      </x:c>
      <x:c r="C71" s="4" t="str">
        <x:v>Skill in identifying possible mistakes or hallucinations in AI-generated outputs</x:v>
      </x:c>
      <x:c r="D71" s="4" t="str">
        <x:v>Identificar errores o invenciones posibles en salidas generadas por IA.</x:v>
      </x:c>
      <x:c r="E71" s="4" t="str">
        <x:v>E19</x:v>
      </x:c>
      <x:c r="F71" s="4" t="str">
        <x:v>OPC-07</x:v>
      </x:c>
      <x:c r="G71" s="4" t="str">
        <x:v>F001</x:v>
      </x:c>
      <x:c r="H71" s="4" t="str">
        <x:v>2.2.0</x:v>
      </x:c>
      <x:c r="I71" s="4" t="str">
        <x:v>PRESENTE_EN_CORTE; sin revisión individual declarada</x:v>
      </x:c>
      <x:c r="J71" s="4" t="str">
        <x:v>CANDIDATA_NO_ADOPTADA</x:v>
      </x:c>
      <x:c r="K71" s="12" t="n">
        <x:f>COUNTIF('03_NICE'!$A$5:$A$57,A71)+COUNTIF('04_TKS'!$A$5:$A$72,A71)-1</x:f>
        <x:v>0</x:v>
      </x:c>
      <x:c r="L71" s="12" t="n">
        <x:f>IF(AND(COUNTIF('01_Fuentes'!$A$5:$A$40,G71)=1,COUNTIF('07_Operaciones'!$A$5:$A$26,F71)=1,COUNTIF('06_Cobertura'!$A$5:$A$25,E71)=1),0,1)</x:f>
        <x:v>0</x:v>
      </x:c>
      <x:c r="M71" s="12" t="n">
        <x:f>IF(OR(A71="",C71="",D71=""),1,0)</x:f>
        <x:v>0</x:v>
      </x:c>
    </x:row>
    <x:row r="72" ht="47" customHeight="1">
      <x:c r="A72" s="4" t="str">
        <x:v>S0958</x:v>
      </x:c>
      <x:c r="B72" s="4" t="str">
        <x:v>skill</x:v>
      </x:c>
      <x:c r="C72" s="4" t="str">
        <x:v>Skill in measuring non-explainable risk</x:v>
      </x:c>
      <x:c r="D72" s="4" t="str">
        <x:v>Medir el riesgo no explicable conforme al método que se constituya; no convertirlo automáticamente en Tri.</x:v>
      </x:c>
      <x:c r="E72" s="4" t="str">
        <x:v>E19</x:v>
      </x:c>
      <x:c r="F72" s="4" t="str">
        <x:v>OPC-15</x:v>
      </x:c>
      <x:c r="G72" s="4" t="str">
        <x:v>F001</x:v>
      </x:c>
      <x:c r="H72" s="4" t="str">
        <x:v>2.2.0</x:v>
      </x:c>
      <x:c r="I72" s="4" t="str">
        <x:v>PRESENTE_EN_CORTE; sin revisión individual declarada</x:v>
      </x:c>
      <x:c r="J72" s="4" t="str">
        <x:v>CANDIDATA_NO_ADOPTADA</x:v>
      </x:c>
      <x:c r="K72" s="12" t="n">
        <x:f>COUNTIF('03_NICE'!$A$5:$A$57,A72)+COUNTIF('04_TKS'!$A$5:$A$72,A72)-1</x:f>
        <x:v>0</x:v>
      </x:c>
      <x:c r="L72" s="12" t="n">
        <x:f>IF(AND(COUNTIF('01_Fuentes'!$A$5:$A$40,G72)=1,COUNTIF('07_Operaciones'!$A$5:$A$26,F72)=1,COUNTIF('06_Cobertura'!$A$5:$A$25,E72)=1),0,1)</x:f>
        <x:v>0</x:v>
      </x:c>
      <x:c r="M72" s="12" t="n">
        <x:f>IF(OR(A72="",C72="",D72=""),1,0)</x:f>
        <x:v>0</x:v>
      </x:c>
    </x:row>
  </x:sheetData>
  <x:mergeCells>
    <x:mergeCell ref="A1:D1"/>
    <x:mergeCell ref="A2:F2"/>
  </x:mergeCells>
  <x:pageMargins left="0.7" right="0.7" top="0.75" bottom="0.75" header="0.3" footer="0.3"/>
  <x:tableParts count="1">
    <x:tablePart xmlns:r="http://schemas.openxmlformats.org/officeDocument/2006/relationships" r:id="R7939225311ce49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2" hidden="0" customWidth="1"/>
    <x:col min="4" max="4" width="61" hidden="0" customWidth="1"/>
    <x:col min="5" max="5" width="44" hidden="0" customWidth="1"/>
    <x:col min="6" max="6" width="78" hidden="0" customWidth="1"/>
    <x:col min="7" max="7" width="24" hidden="0" customWidth="1"/>
    <x:col min="8" max="8" width="10" hidden="0" customWidth="1"/>
    <x:col min="9" max="9" width="19" hidden="0" customWidth="1"/>
    <x:col min="10" max="10" width="20" hidden="0" customWidth="1"/>
    <x:col min="11" max="11" width="64" hidden="0" customWidth="1"/>
    <x:col min="12" max="12" width="34" hidden="0" customWidth="1"/>
    <x:col min="13" max="13" width="12" hidden="0" customWidth="1"/>
    <x:col min="14" max="14" width="13" hidden="0" customWidth="1"/>
    <x:col min="15" max="15" width="13" hidden="0" customWidth="1"/>
    <x:col min="16" max="16" width="13" hidden="0" customWidth="1"/>
    <x:col min="17" max="17" width="13" hidden="0" customWidth="1"/>
  </x:cols>
  <x:sheetData>
    <x:row r="1" ht="35" customHeight="1">
      <x:c r="A1" s="6" t="str">
        <x:v>COMPLEMENTOS · contribuciones trazadas</x:v>
      </x:c>
      <x:c r="B1" s="6"/>
      <x:c r="C1" s="6"/>
      <x:c r="D1" s="6"/>
      <x:c r="E1" s="6"/>
      <x:c r="F1" s="6"/>
      <x:c r="G1" s="6"/>
      <x:c r="H1" s="6"/>
      <x:c r="I1" s="6"/>
      <x:c r="J1" s="6"/>
      <x:c r="K1" s="6"/>
      <x:c r="L1" s="6"/>
      <x:c r="M1" s="6"/>
      <x:c r="N1" s="6"/>
      <x:c r="O1" s="6"/>
      <x:c r="P1" s="6"/>
      <x:c r="Q1" s="6"/>
    </x:row>
    <x:row r="2" ht="52" customHeight="1">
      <x:c r="A2" s="8" t="str">
        <x:v>123 aportaciones: original breve, síntesis y relación local. El ancla NICE indica pertinencia; no certifica equivalencia entre fuentes.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local</x:v>
      </x:c>
      <x:c r="B4" s="10" t="str">
        <x:v>Fuente</x:v>
      </x:c>
      <x:c r="C4" s="10" t="str">
        <x:v>Captura</x:v>
      </x:c>
      <x:c r="D4" s="10" t="str">
        <x:v>Localizador de lectura</x:v>
      </x:c>
      <x:c r="E4" s="10" t="str">
        <x:v>Original breve</x:v>
      </x:c>
      <x:c r="F4" s="10" t="str">
        <x:v>Síntesis española</x:v>
      </x:c>
      <x:c r="G4" s="10" t="str">
        <x:v>Clase de aportación</x:v>
      </x:c>
      <x:c r="H4" s="10" t="str">
        <x:v>Eje</x:v>
      </x:c>
      <x:c r="I4" s="10" t="str">
        <x:v>Ancla NICE</x:v>
      </x:c>
      <x:c r="J4" s="10" t="str">
        <x:v>Operación primaria</x:v>
      </x:c>
      <x:c r="K4" s="10" t="str">
        <x:v>Naturaleza de relación</x:v>
      </x:c>
      <x:c r="L4" s="10" t="str">
        <x:v>Adopción de afirmación</x:v>
      </x:c>
      <x:c r="M4" s="10" t="str">
        <x:v>Duplicado</x:v>
      </x:c>
      <x:c r="N4" s="10" t="str">
        <x:v>Fuente ausente</x:v>
      </x:c>
      <x:c r="O4" s="10" t="str">
        <x:v>Ancla ausente</x:v>
      </x:c>
      <x:c r="P4" s="10" t="str">
        <x:v>Uso indebido</x:v>
      </x:c>
      <x:c r="Q4" s="10" t="str">
        <x:v>Campo ausente</x:v>
      </x:c>
    </x:row>
    <x:row r="5" ht="47" customHeight="1">
      <x:c r="A5" s="4" t="str">
        <x:v>CP-001</x:v>
      </x:c>
      <x:c r="B5" s="4" t="str">
        <x:v>F003</x:v>
      </x:c>
      <x:c r="C5" s="4" t="str">
        <x:v>F003</x:v>
      </x:c>
      <x:c r="D5" s="4" t="str">
        <x:v>§4; área Data Security</x:v>
      </x:c>
      <x:c r="E5" s="4" t="str">
        <x:v>Data Security</x:v>
      </x:c>
      <x:c r="F5" s="4" t="str">
        <x:v>Seguridad de datos</x:v>
      </x:c>
      <x:c r="G5" s="4" t="str">
        <x:v>Conocimiento</x:v>
      </x:c>
      <x:c r="H5" s="4" t="str">
        <x:v>E10</x:v>
      </x:c>
      <x:c r="I5" s="4" t="str">
        <x:v>K1147</x:v>
      </x:c>
      <x:c r="J5" s="4" t="str">
        <x:v>OPC-10</x:v>
      </x:c>
      <x:c r="K5" s="4" t="str">
        <x:v>CORROBORA_COBERTURA; áreas, no parámetros</x:v>
      </x:c>
      <x:c r="L5" s="4" t="str">
        <x:v>CANDIDATA_NO_ADOPTADA</x:v>
      </x:c>
      <x:c r="M5" s="12" t="n">
        <x:f>COUNTIF('05_Complementos'!$A$5:$A$127,A5)-1</x:f>
        <x:v>0</x:v>
      </x:c>
      <x:c r="N5" s="12" t="n">
        <x:f>IF(AND(COUNTIF('01_Fuentes'!$A$5:$A$40,B5)=1,COUNTIF('02_Custodia'!$A$5:$A$53,C5)=1,COUNTIF('07_Operaciones'!$A$5:$A$26,J5)=1,COUNTIF('06_Cobertura'!$A$5:$A$25,H5)=1),0,1)</x:f>
        <x:v>0</x:v>
      </x:c>
      <x:c r="O5" s="12" t="n">
        <x:f>IF(COUNTIF('03_NICE'!$A$5:$A$57,I5)+COUNTIF('04_TKS'!$A$5:$A$72,I5)=1,0,1)</x:f>
        <x:v>0</x:v>
      </x:c>
      <x:c r="P5" s="12" t="n">
        <x:f>IF(OR(AND(B5="F008",L5&lt;&gt;"IDENTIFICADA_NO_ADOPTABLE"),AND(B5="F028",L5&lt;&gt;"PREGUNTA_NO_NORMATIVA"),COUNTIFS('01_Fuentes'!$A$5:$A$40,B5,'01_Fuentes'!$H$5:$H$40,"METADATOS_SOLO")&gt;0),1,0)</x:f>
        <x:v>0</x:v>
      </x:c>
      <x:c r="Q5" s="12" t="n">
        <x:f>IF(OR(A5="",D5="",E5="",F5="",K5="",L5=""),1,0)</x:f>
        <x:v>0</x:v>
      </x:c>
    </x:row>
    <x:row r="6" ht="47" customHeight="1">
      <x:c r="A6" s="4" t="str">
        <x:v>CP-002</x:v>
      </x:c>
      <x:c r="B6" s="4" t="str">
        <x:v>F003</x:v>
      </x:c>
      <x:c r="C6" s="4" t="str">
        <x:v>F003</x:v>
      </x:c>
      <x:c r="D6" s="4" t="str">
        <x:v>§4; área Software Security</x:v>
      </x:c>
      <x:c r="E6" s="4" t="str">
        <x:v>Software Security</x:v>
      </x:c>
      <x:c r="F6" s="4" t="str">
        <x:v>Seguridad del software</x:v>
      </x:c>
      <x:c r="G6" s="4" t="str">
        <x:v>Conocimiento</x:v>
      </x:c>
      <x:c r="H6" s="4" t="str">
        <x:v>E06</x:v>
      </x:c>
      <x:c r="I6" s="4" t="str">
        <x:v>DD-WRL-003</x:v>
      </x:c>
      <x:c r="J6" s="4" t="str">
        <x:v>OPC-05</x:v>
      </x:c>
      <x:c r="K6" s="4" t="str">
        <x:v>CORROBORA_COBERTURA; áreas, no parámetros</x:v>
      </x:c>
      <x:c r="L6" s="4" t="str">
        <x:v>CANDIDATA_NO_ADOPTADA</x:v>
      </x:c>
      <x:c r="M6" s="12" t="n">
        <x:f>COUNTIF('05_Complementos'!$A$5:$A$127,A6)-1</x:f>
        <x:v>0</x:v>
      </x:c>
      <x:c r="N6" s="12" t="n">
        <x:f>IF(AND(COUNTIF('01_Fuentes'!$A$5:$A$40,B6)=1,COUNTIF('02_Custodia'!$A$5:$A$53,C6)=1,COUNTIF('07_Operaciones'!$A$5:$A$26,J6)=1,COUNTIF('06_Cobertura'!$A$5:$A$25,H6)=1),0,1)</x:f>
        <x:v>0</x:v>
      </x:c>
      <x:c r="O6" s="12" t="n">
        <x:f>IF(COUNTIF('03_NICE'!$A$5:$A$57,I6)+COUNTIF('04_TKS'!$A$5:$A$72,I6)=1,0,1)</x:f>
        <x:v>0</x:v>
      </x:c>
      <x:c r="P6" s="12" t="n">
        <x:f>IF(OR(AND(B6="F008",L6&lt;&gt;"IDENTIFICADA_NO_ADOPTABLE"),AND(B6="F028",L6&lt;&gt;"PREGUNTA_NO_NORMATIVA"),COUNTIFS('01_Fuentes'!$A$5:$A$40,B6,'01_Fuentes'!$H$5:$H$40,"METADATOS_SOLO")&gt;0),1,0)</x:f>
        <x:v>0</x:v>
      </x:c>
      <x:c r="Q6" s="12" t="n">
        <x:f>IF(OR(A6="",D6="",E6="",F6="",K6="",L6=""),1,0)</x:f>
        <x:v>0</x:v>
      </x:c>
    </x:row>
    <x:row r="7" ht="47" customHeight="1">
      <x:c r="A7" s="4" t="str">
        <x:v>CP-003</x:v>
      </x:c>
      <x:c r="B7" s="4" t="str">
        <x:v>F003</x:v>
      </x:c>
      <x:c r="C7" s="4" t="str">
        <x:v>F003</x:v>
      </x:c>
      <x:c r="D7" s="4" t="str">
        <x:v>§4; área Component Security</x:v>
      </x:c>
      <x:c r="E7" s="4" t="str">
        <x:v>Component Security</x:v>
      </x:c>
      <x:c r="F7" s="4" t="str">
        <x:v>Seguridad de componentes</x:v>
      </x:c>
      <x:c r="G7" s="4" t="str">
        <x:v>Conocimiento</x:v>
      </x:c>
      <x:c r="H7" s="4" t="str">
        <x:v>E07</x:v>
      </x:c>
      <x:c r="I7" s="4" t="str">
        <x:v>NF-COM-011</x:v>
      </x:c>
      <x:c r="J7" s="4" t="str">
        <x:v>OPC-06</x:v>
      </x:c>
      <x:c r="K7" s="4" t="str">
        <x:v>CORROBORA_COBERTURA; áreas, no parámetros</x:v>
      </x:c>
      <x:c r="L7" s="4" t="str">
        <x:v>CANDIDATA_NO_ADOPTADA</x:v>
      </x:c>
      <x:c r="M7" s="12" t="n">
        <x:f>COUNTIF('05_Complementos'!$A$5:$A$127,A7)-1</x:f>
        <x:v>0</x:v>
      </x:c>
      <x:c r="N7" s="12" t="n">
        <x:f>IF(AND(COUNTIF('01_Fuentes'!$A$5:$A$40,B7)=1,COUNTIF('02_Custodia'!$A$5:$A$53,C7)=1,COUNTIF('07_Operaciones'!$A$5:$A$26,J7)=1,COUNTIF('06_Cobertura'!$A$5:$A$25,H7)=1),0,1)</x:f>
        <x:v>0</x:v>
      </x:c>
      <x:c r="O7" s="12" t="n">
        <x:f>IF(COUNTIF('03_NICE'!$A$5:$A$57,I7)+COUNTIF('04_TKS'!$A$5:$A$72,I7)=1,0,1)</x:f>
        <x:v>0</x:v>
      </x:c>
      <x:c r="P7" s="12" t="n">
        <x:f>IF(OR(AND(B7="F008",L7&lt;&gt;"IDENTIFICADA_NO_ADOPTABLE"),AND(B7="F028",L7&lt;&gt;"PREGUNTA_NO_NORMATIVA"),COUNTIFS('01_Fuentes'!$A$5:$A$40,B7,'01_Fuentes'!$H$5:$H$40,"METADATOS_SOLO")&gt;0),1,0)</x:f>
        <x:v>0</x:v>
      </x:c>
      <x:c r="Q7" s="12" t="n">
        <x:f>IF(OR(A7="",D7="",E7="",F7="",K7="",L7=""),1,0)</x:f>
        <x:v>0</x:v>
      </x:c>
    </x:row>
    <x:row r="8" ht="47" customHeight="1">
      <x:c r="A8" s="4" t="str">
        <x:v>CP-004</x:v>
      </x:c>
      <x:c r="B8" s="4" t="str">
        <x:v>F003</x:v>
      </x:c>
      <x:c r="C8" s="4" t="str">
        <x:v>F003</x:v>
      </x:c>
      <x:c r="D8" s="4" t="str">
        <x:v>§4; área Connection Security</x:v>
      </x:c>
      <x:c r="E8" s="4" t="str">
        <x:v>Connection Security</x:v>
      </x:c>
      <x:c r="F8" s="4" t="str">
        <x:v>Seguridad de conexiones</x:v>
      </x:c>
      <x:c r="G8" s="4" t="str">
        <x:v>Conocimiento</x:v>
      </x:c>
      <x:c r="H8" s="4" t="str">
        <x:v>E05</x:v>
      </x:c>
      <x:c r="I8" s="4" t="str">
        <x:v>IO-WRL-004</x:v>
      </x:c>
      <x:c r="J8" s="4" t="str">
        <x:v>OPC-12</x:v>
      </x:c>
      <x:c r="K8" s="4" t="str">
        <x:v>CORROBORA_COBERTURA; áreas, no parámetros</x:v>
      </x:c>
      <x:c r="L8" s="4" t="str">
        <x:v>CANDIDATA_NO_ADOPTADA</x:v>
      </x:c>
      <x:c r="M8" s="12" t="n">
        <x:f>COUNTIF('05_Complementos'!$A$5:$A$127,A8)-1</x:f>
        <x:v>0</x:v>
      </x:c>
      <x:c r="N8" s="12" t="n">
        <x:f>IF(AND(COUNTIF('01_Fuentes'!$A$5:$A$40,B8)=1,COUNTIF('02_Custodia'!$A$5:$A$53,C8)=1,COUNTIF('07_Operaciones'!$A$5:$A$26,J8)=1,COUNTIF('06_Cobertura'!$A$5:$A$25,H8)=1),0,1)</x:f>
        <x:v>0</x:v>
      </x:c>
      <x:c r="O8" s="12" t="n">
        <x:f>IF(COUNTIF('03_NICE'!$A$5:$A$57,I8)+COUNTIF('04_TKS'!$A$5:$A$72,I8)=1,0,1)</x:f>
        <x:v>0</x:v>
      </x:c>
      <x:c r="P8" s="12" t="n">
        <x:f>IF(OR(AND(B8="F008",L8&lt;&gt;"IDENTIFICADA_NO_ADOPTABLE"),AND(B8="F028",L8&lt;&gt;"PREGUNTA_NO_NORMATIVA"),COUNTIFS('01_Fuentes'!$A$5:$A$40,B8,'01_Fuentes'!$H$5:$H$40,"METADATOS_SOLO")&gt;0),1,0)</x:f>
        <x:v>0</x:v>
      </x:c>
      <x:c r="Q8" s="12" t="n">
        <x:f>IF(OR(A8="",D8="",E8="",F8="",K8="",L8=""),1,0)</x:f>
        <x:v>0</x:v>
      </x:c>
    </x:row>
    <x:row r="9" ht="47" customHeight="1">
      <x:c r="A9" s="4" t="str">
        <x:v>CP-005</x:v>
      </x:c>
      <x:c r="B9" s="4" t="str">
        <x:v>F003</x:v>
      </x:c>
      <x:c r="C9" s="4" t="str">
        <x:v>F003</x:v>
      </x:c>
      <x:c r="D9" s="4" t="str">
        <x:v>§4; área System Security</x:v>
      </x:c>
      <x:c r="E9" s="4" t="str">
        <x:v>System Security</x:v>
      </x:c>
      <x:c r="F9" s="4" t="str">
        <x:v>Seguridad del sistema</x:v>
      </x:c>
      <x:c r="G9" s="4" t="str">
        <x:v>Conocimiento</x:v>
      </x:c>
      <x:c r="H9" s="4" t="str">
        <x:v>E02</x:v>
      </x:c>
      <x:c r="I9" s="4" t="str">
        <x:v>DD-WRL-004</x:v>
      </x:c>
      <x:c r="J9" s="4" t="str">
        <x:v>OPC-02</x:v>
      </x:c>
      <x:c r="K9" s="4" t="str">
        <x:v>CORROBORA_COBERTURA; áreas, no parámetros</x:v>
      </x:c>
      <x:c r="L9" s="4" t="str">
        <x:v>CANDIDATA_NO_ADOPTADA</x:v>
      </x:c>
      <x:c r="M9" s="12" t="n">
        <x:f>COUNTIF('05_Complementos'!$A$5:$A$127,A9)-1</x:f>
        <x:v>0</x:v>
      </x:c>
      <x:c r="N9" s="12" t="n">
        <x:f>IF(AND(COUNTIF('01_Fuentes'!$A$5:$A$40,B9)=1,COUNTIF('02_Custodia'!$A$5:$A$53,C9)=1,COUNTIF('07_Operaciones'!$A$5:$A$26,J9)=1,COUNTIF('06_Cobertura'!$A$5:$A$25,H9)=1),0,1)</x:f>
        <x:v>0</x:v>
      </x:c>
      <x:c r="O9" s="12" t="n">
        <x:f>IF(COUNTIF('03_NICE'!$A$5:$A$57,I9)+COUNTIF('04_TKS'!$A$5:$A$72,I9)=1,0,1)</x:f>
        <x:v>0</x:v>
      </x:c>
      <x:c r="P9" s="12" t="n">
        <x:f>IF(OR(AND(B9="F008",L9&lt;&gt;"IDENTIFICADA_NO_ADOPTABLE"),AND(B9="F028",L9&lt;&gt;"PREGUNTA_NO_NORMATIVA"),COUNTIFS('01_Fuentes'!$A$5:$A$40,B9,'01_Fuentes'!$H$5:$H$40,"METADATOS_SOLO")&gt;0),1,0)</x:f>
        <x:v>0</x:v>
      </x:c>
      <x:c r="Q9" s="12" t="n">
        <x:f>IF(OR(A9="",D9="",E9="",F9="",K9="",L9=""),1,0)</x:f>
        <x:v>0</x:v>
      </x:c>
    </x:row>
    <x:row r="10" ht="47" customHeight="1">
      <x:c r="A10" s="4" t="str">
        <x:v>CP-006</x:v>
      </x:c>
      <x:c r="B10" s="4" t="str">
        <x:v>F003</x:v>
      </x:c>
      <x:c r="C10" s="4" t="str">
        <x:v>F003</x:v>
      </x:c>
      <x:c r="D10" s="4" t="str">
        <x:v>§4; área Human Security</x:v>
      </x:c>
      <x:c r="E10" s="4" t="str">
        <x:v>Human Security</x:v>
      </x:c>
      <x:c r="F10" s="4" t="str">
        <x:v>Seguridad de las personas</x:v>
      </x:c>
      <x:c r="G10" s="4" t="str">
        <x:v>Conocimiento</x:v>
      </x:c>
      <x:c r="H10" s="4" t="str">
        <x:v>E14</x:v>
      </x:c>
      <x:c r="I10" s="4" t="str">
        <x:v>K0658</x:v>
      </x:c>
      <x:c r="J10" s="4" t="str">
        <x:v>OPC-07</x:v>
      </x:c>
      <x:c r="K10" s="4" t="str">
        <x:v>CORROBORA_COBERTURA; áreas, no parámetros</x:v>
      </x:c>
      <x:c r="L10" s="4" t="str">
        <x:v>CANDIDATA_NO_ADOPTADA</x:v>
      </x:c>
      <x:c r="M10" s="12" t="n">
        <x:f>COUNTIF('05_Complementos'!$A$5:$A$127,A10)-1</x:f>
        <x:v>0</x:v>
      </x:c>
      <x:c r="N10" s="12" t="n">
        <x:f>IF(AND(COUNTIF('01_Fuentes'!$A$5:$A$40,B10)=1,COUNTIF('02_Custodia'!$A$5:$A$53,C10)=1,COUNTIF('07_Operaciones'!$A$5:$A$26,J10)=1,COUNTIF('06_Cobertura'!$A$5:$A$25,H10)=1),0,1)</x:f>
        <x:v>0</x:v>
      </x:c>
      <x:c r="O10" s="12" t="n">
        <x:f>IF(COUNTIF('03_NICE'!$A$5:$A$57,I10)+COUNTIF('04_TKS'!$A$5:$A$72,I10)=1,0,1)</x:f>
        <x:v>0</x:v>
      </x:c>
      <x:c r="P10" s="12" t="n">
        <x:f>IF(OR(AND(B10="F008",L10&lt;&gt;"IDENTIFICADA_NO_ADOPTABLE"),AND(B10="F028",L10&lt;&gt;"PREGUNTA_NO_NORMATIVA"),COUNTIFS('01_Fuentes'!$A$5:$A$40,B10,'01_Fuentes'!$H$5:$H$40,"METADATOS_SOLO")&gt;0),1,0)</x:f>
        <x:v>0</x:v>
      </x:c>
      <x:c r="Q10" s="12" t="n">
        <x:f>IF(OR(A10="",D10="",E10="",F10="",K10="",L10=""),1,0)</x:f>
        <x:v>0</x:v>
      </x:c>
    </x:row>
    <x:row r="11" ht="47" customHeight="1">
      <x:c r="A11" s="4" t="str">
        <x:v>CP-007</x:v>
      </x:c>
      <x:c r="B11" s="4" t="str">
        <x:v>F003</x:v>
      </x:c>
      <x:c r="C11" s="4" t="str">
        <x:v>F003</x:v>
      </x:c>
      <x:c r="D11" s="4" t="str">
        <x:v>§4; área Organizational Security</x:v>
      </x:c>
      <x:c r="E11" s="4" t="str">
        <x:v>Organizational Security</x:v>
      </x:c>
      <x:c r="F11" s="4" t="str">
        <x:v>Seguridad organizativa</x:v>
      </x:c>
      <x:c r="G11" s="4" t="str">
        <x:v>Conocimiento</x:v>
      </x:c>
      <x:c r="H11" s="4" t="str">
        <x:v>E01</x:v>
      </x:c>
      <x:c r="I11" s="4" t="str">
        <x:v>OG-WRL-007</x:v>
      </x:c>
      <x:c r="J11" s="4" t="str">
        <x:v>OPC-01</x:v>
      </x:c>
      <x:c r="K11" s="4" t="str">
        <x:v>CORROBORA_COBERTURA; áreas, no parámetros</x:v>
      </x:c>
      <x:c r="L11" s="4" t="str">
        <x:v>CANDIDATA_NO_ADOPTADA</x:v>
      </x:c>
      <x:c r="M11" s="12" t="n">
        <x:f>COUNTIF('05_Complementos'!$A$5:$A$127,A11)-1</x:f>
        <x:v>0</x:v>
      </x:c>
      <x:c r="N11" s="12" t="n">
        <x:f>IF(AND(COUNTIF('01_Fuentes'!$A$5:$A$40,B11)=1,COUNTIF('02_Custodia'!$A$5:$A$53,C11)=1,COUNTIF('07_Operaciones'!$A$5:$A$26,J11)=1,COUNTIF('06_Cobertura'!$A$5:$A$25,H11)=1),0,1)</x:f>
        <x:v>0</x:v>
      </x:c>
      <x:c r="O11" s="12" t="n">
        <x:f>IF(COUNTIF('03_NICE'!$A$5:$A$57,I11)+COUNTIF('04_TKS'!$A$5:$A$72,I11)=1,0,1)</x:f>
        <x:v>0</x:v>
      </x:c>
      <x:c r="P11" s="12" t="n">
        <x:f>IF(OR(AND(B11="F008",L11&lt;&gt;"IDENTIFICADA_NO_ADOPTABLE"),AND(B11="F028",L11&lt;&gt;"PREGUNTA_NO_NORMATIVA"),COUNTIFS('01_Fuentes'!$A$5:$A$40,B11,'01_Fuentes'!$H$5:$H$40,"METADATOS_SOLO")&gt;0),1,0)</x:f>
        <x:v>0</x:v>
      </x:c>
      <x:c r="Q11" s="12" t="n">
        <x:f>IF(OR(A11="",D11="",E11="",F11="",K11="",L11=""),1,0)</x:f>
        <x:v>0</x:v>
      </x:c>
    </x:row>
    <x:row r="12" ht="47" customHeight="1">
      <x:c r="A12" s="4" t="str">
        <x:v>CP-008</x:v>
      </x:c>
      <x:c r="B12" s="4" t="str">
        <x:v>F003</x:v>
      </x:c>
      <x:c r="C12" s="4" t="str">
        <x:v>F003</x:v>
      </x:c>
      <x:c r="D12" s="4" t="str">
        <x:v>§4; área Societal Security</x:v>
      </x:c>
      <x:c r="E12" s="4" t="str">
        <x:v>Societal Security</x:v>
      </x:c>
      <x:c r="F12" s="4" t="str">
        <x:v>Seguridad y contexto social</x:v>
      </x:c>
      <x:c r="G12" s="4" t="str">
        <x:v>Conocimiento</x:v>
      </x:c>
      <x:c r="H12" s="4" t="str">
        <x:v>E16</x:v>
      </x:c>
      <x:c r="I12" s="4" t="str">
        <x:v>OG-WRL-006</x:v>
      </x:c>
      <x:c r="J12" s="4" t="str">
        <x:v>OPC-17</x:v>
      </x:c>
      <x:c r="K12" s="4" t="str">
        <x:v>CORROBORA_COBERTURA; áreas, no parámetros</x:v>
      </x:c>
      <x:c r="L12" s="4" t="str">
        <x:v>CANDIDATA_NO_ADOPTADA</x:v>
      </x:c>
      <x:c r="M12" s="12" t="n">
        <x:f>COUNTIF('05_Complementos'!$A$5:$A$127,A12)-1</x:f>
        <x:v>0</x:v>
      </x:c>
      <x:c r="N12" s="12" t="n">
        <x:f>IF(AND(COUNTIF('01_Fuentes'!$A$5:$A$40,B12)=1,COUNTIF('02_Custodia'!$A$5:$A$53,C12)=1,COUNTIF('07_Operaciones'!$A$5:$A$26,J12)=1,COUNTIF('06_Cobertura'!$A$5:$A$25,H12)=1),0,1)</x:f>
        <x:v>0</x:v>
      </x:c>
      <x:c r="O12" s="12" t="n">
        <x:f>IF(COUNTIF('03_NICE'!$A$5:$A$57,I12)+COUNTIF('04_TKS'!$A$5:$A$72,I12)=1,0,1)</x:f>
        <x:v>0</x:v>
      </x:c>
      <x:c r="P12" s="12" t="n">
        <x:f>IF(OR(AND(B12="F008",L12&lt;&gt;"IDENTIFICADA_NO_ADOPTABLE"),AND(B12="F028",L12&lt;&gt;"PREGUNTA_NO_NORMATIVA"),COUNTIFS('01_Fuentes'!$A$5:$A$40,B12,'01_Fuentes'!$H$5:$H$40,"METADATOS_SOLO")&gt;0),1,0)</x:f>
        <x:v>0</x:v>
      </x:c>
      <x:c r="Q12" s="12" t="n">
        <x:f>IF(OR(A12="",D12="",E12="",F12="",K12="",L12=""),1,0)</x:f>
        <x:v>0</x:v>
      </x:c>
    </x:row>
    <x:row r="13" ht="47" customHeight="1">
      <x:c r="A13" s="4" t="str">
        <x:v>CP-009</x:v>
      </x:c>
      <x:c r="B13" s="4" t="str">
        <x:v>F004</x:v>
      </x:c>
      <x:c r="C13" s="4" t="str">
        <x:v>F004</x:v>
      </x:c>
      <x:c r="D13" s="4" t="str">
        <x:v>Área de conocimiento: Risk Management &amp; Governance</x:v>
      </x:c>
      <x:c r="E13" s="4" t="str">
        <x:v>Risk Management &amp; Governance</x:v>
      </x:c>
      <x:c r="F13" s="4" t="str">
        <x:v>Riesgo y gobierno</x:v>
      </x:c>
      <x:c r="G13" s="4" t="str">
        <x:v>Conocimiento</x:v>
      </x:c>
      <x:c r="H13" s="4" t="str">
        <x:v>E01</x:v>
      </x:c>
      <x:c r="I13" s="4" t="str">
        <x:v>OG-WRL-002</x:v>
      </x:c>
      <x:c r="J13" s="4" t="str">
        <x:v>OPC-01</x:v>
      </x:c>
      <x:c r="K13" s="4" t="str">
        <x:v>REFINA_BASE_CONCEPTUAL; no demuestra ausencia en todo NICE</x:v>
      </x:c>
      <x:c r="L13" s="4" t="str">
        <x:v>CANDIDATA_NO_ADOPTADA</x:v>
      </x:c>
      <x:c r="M13" s="12" t="n">
        <x:f>COUNTIF('05_Complementos'!$A$5:$A$127,A13)-1</x:f>
        <x:v>0</x:v>
      </x:c>
      <x:c r="N13" s="12" t="n">
        <x:f>IF(AND(COUNTIF('01_Fuentes'!$A$5:$A$40,B13)=1,COUNTIF('02_Custodia'!$A$5:$A$53,C13)=1,COUNTIF('07_Operaciones'!$A$5:$A$26,J13)=1,COUNTIF('06_Cobertura'!$A$5:$A$25,H13)=1),0,1)</x:f>
        <x:v>0</x:v>
      </x:c>
      <x:c r="O13" s="12" t="n">
        <x:f>IF(COUNTIF('03_NICE'!$A$5:$A$57,I13)+COUNTIF('04_TKS'!$A$5:$A$72,I13)=1,0,1)</x:f>
        <x:v>0</x:v>
      </x:c>
      <x:c r="P13" s="12" t="n">
        <x:f>IF(OR(AND(B13="F008",L13&lt;&gt;"IDENTIFICADA_NO_ADOPTABLE"),AND(B13="F028",L13&lt;&gt;"PREGUNTA_NO_NORMATIVA"),COUNTIFS('01_Fuentes'!$A$5:$A$40,B13,'01_Fuentes'!$H$5:$H$40,"METADATOS_SOLO")&gt;0),1,0)</x:f>
        <x:v>0</x:v>
      </x:c>
      <x:c r="Q13" s="12" t="n">
        <x:f>IF(OR(A13="",D13="",E13="",F13="",K13="",L13=""),1,0)</x:f>
        <x:v>0</x:v>
      </x:c>
    </x:row>
    <x:row r="14" ht="47" customHeight="1">
      <x:c r="A14" s="4" t="str">
        <x:v>CP-010</x:v>
      </x:c>
      <x:c r="B14" s="4" t="str">
        <x:v>F004</x:v>
      </x:c>
      <x:c r="C14" s="4" t="str">
        <x:v>F004</x:v>
      </x:c>
      <x:c r="D14" s="4" t="str">
        <x:v>Área de conocimiento: Law &amp; Regulation</x:v>
      </x:c>
      <x:c r="E14" s="4" t="str">
        <x:v>Law &amp; Regulation</x:v>
      </x:c>
      <x:c r="F14" s="4" t="str">
        <x:v>Derecho y regulación</x:v>
      </x:c>
      <x:c r="G14" s="4" t="str">
        <x:v>Conocimiento</x:v>
      </x:c>
      <x:c r="H14" s="4" t="str">
        <x:v>E16</x:v>
      </x:c>
      <x:c r="I14" s="4" t="str">
        <x:v>OG-WRL-006</x:v>
      </x:c>
      <x:c r="J14" s="4" t="str">
        <x:v>OPC-17</x:v>
      </x:c>
      <x:c r="K14" s="4" t="str">
        <x:v>REFINA_BASE_CONCEPTUAL; no demuestra ausencia en todo NICE</x:v>
      </x:c>
      <x:c r="L14" s="4" t="str">
        <x:v>CANDIDATA_NO_ADOPTADA</x:v>
      </x:c>
      <x:c r="M14" s="12" t="n">
        <x:f>COUNTIF('05_Complementos'!$A$5:$A$127,A14)-1</x:f>
        <x:v>0</x:v>
      </x:c>
      <x:c r="N14" s="12" t="n">
        <x:f>IF(AND(COUNTIF('01_Fuentes'!$A$5:$A$40,B14)=1,COUNTIF('02_Custodia'!$A$5:$A$53,C14)=1,COUNTIF('07_Operaciones'!$A$5:$A$26,J14)=1,COUNTIF('06_Cobertura'!$A$5:$A$25,H14)=1),0,1)</x:f>
        <x:v>0</x:v>
      </x:c>
      <x:c r="O14" s="12" t="n">
        <x:f>IF(COUNTIF('03_NICE'!$A$5:$A$57,I14)+COUNTIF('04_TKS'!$A$5:$A$72,I14)=1,0,1)</x:f>
        <x:v>0</x:v>
      </x:c>
      <x:c r="P14" s="12" t="n">
        <x:f>IF(OR(AND(B14="F008",L14&lt;&gt;"IDENTIFICADA_NO_ADOPTABLE"),AND(B14="F028",L14&lt;&gt;"PREGUNTA_NO_NORMATIVA"),COUNTIFS('01_Fuentes'!$A$5:$A$40,B14,'01_Fuentes'!$H$5:$H$40,"METADATOS_SOLO")&gt;0),1,0)</x:f>
        <x:v>0</x:v>
      </x:c>
      <x:c r="Q14" s="12" t="n">
        <x:f>IF(OR(A14="",D14="",E14="",F14="",K14="",L14=""),1,0)</x:f>
        <x:v>0</x:v>
      </x:c>
    </x:row>
    <x:row r="15" ht="47" customHeight="1">
      <x:c r="A15" s="4" t="str">
        <x:v>CP-011</x:v>
      </x:c>
      <x:c r="B15" s="4" t="str">
        <x:v>F004</x:v>
      </x:c>
      <x:c r="C15" s="4" t="str">
        <x:v>F004</x:v>
      </x:c>
      <x:c r="D15" s="4" t="str">
        <x:v>Área de conocimiento: Human Factors</x:v>
      </x:c>
      <x:c r="E15" s="4" t="str">
        <x:v>Human Factors</x:v>
      </x:c>
      <x:c r="F15" s="4" t="str">
        <x:v>Factores humanos</x:v>
      </x:c>
      <x:c r="G15" s="4" t="str">
        <x:v>Conocimiento</x:v>
      </x:c>
      <x:c r="H15" s="4" t="str">
        <x:v>E14</x:v>
      </x:c>
      <x:c r="I15" s="4" t="str">
        <x:v>K0658</x:v>
      </x:c>
      <x:c r="J15" s="4" t="str">
        <x:v>OPC-07</x:v>
      </x:c>
      <x:c r="K15" s="4" t="str">
        <x:v>REFINA_BASE_CONCEPTUAL; no demuestra ausencia en todo NICE</x:v>
      </x:c>
      <x:c r="L15" s="4" t="str">
        <x:v>CANDIDATA_NO_ADOPTADA</x:v>
      </x:c>
      <x:c r="M15" s="12" t="n">
        <x:f>COUNTIF('05_Complementos'!$A$5:$A$127,A15)-1</x:f>
        <x:v>0</x:v>
      </x:c>
      <x:c r="N15" s="12" t="n">
        <x:f>IF(AND(COUNTIF('01_Fuentes'!$A$5:$A$40,B15)=1,COUNTIF('02_Custodia'!$A$5:$A$53,C15)=1,COUNTIF('07_Operaciones'!$A$5:$A$26,J15)=1,COUNTIF('06_Cobertura'!$A$5:$A$25,H15)=1),0,1)</x:f>
        <x:v>0</x:v>
      </x:c>
      <x:c r="O15" s="12" t="n">
        <x:f>IF(COUNTIF('03_NICE'!$A$5:$A$57,I15)+COUNTIF('04_TKS'!$A$5:$A$72,I15)=1,0,1)</x:f>
        <x:v>0</x:v>
      </x:c>
      <x:c r="P15" s="12" t="n">
        <x:f>IF(OR(AND(B15="F008",L15&lt;&gt;"IDENTIFICADA_NO_ADOPTABLE"),AND(B15="F028",L15&lt;&gt;"PREGUNTA_NO_NORMATIVA"),COUNTIFS('01_Fuentes'!$A$5:$A$40,B15,'01_Fuentes'!$H$5:$H$40,"METADATOS_SOLO")&gt;0),1,0)</x:f>
        <x:v>0</x:v>
      </x:c>
      <x:c r="Q15" s="12" t="n">
        <x:f>IF(OR(A15="",D15="",E15="",F15="",K15="",L15=""),1,0)</x:f>
        <x:v>0</x:v>
      </x:c>
    </x:row>
    <x:row r="16" ht="47" customHeight="1">
      <x:c r="A16" s="4" t="str">
        <x:v>CP-012</x:v>
      </x:c>
      <x:c r="B16" s="4" t="str">
        <x:v>F004</x:v>
      </x:c>
      <x:c r="C16" s="4" t="str">
        <x:v>F004</x:v>
      </x:c>
      <x:c r="D16" s="4" t="str">
        <x:v>Área de conocimiento: Privacy &amp; Online Rights</x:v>
      </x:c>
      <x:c r="E16" s="4" t="str">
        <x:v>Privacy &amp; Online Rights</x:v>
      </x:c>
      <x:c r="F16" s="4" t="str">
        <x:v>Privacidad y derechos en línea</x:v>
      </x:c>
      <x:c r="G16" s="4" t="str">
        <x:v>Conocimiento</x:v>
      </x:c>
      <x:c r="H16" s="4" t="str">
        <x:v>E16</x:v>
      </x:c>
      <x:c r="I16" s="4" t="str">
        <x:v>OG-WRL-008</x:v>
      </x:c>
      <x:c r="J16" s="4" t="str">
        <x:v>OPC-17</x:v>
      </x:c>
      <x:c r="K16" s="4" t="str">
        <x:v>REFINA_BASE_CONCEPTUAL; no demuestra ausencia en todo NICE</x:v>
      </x:c>
      <x:c r="L16" s="4" t="str">
        <x:v>CANDIDATA_NO_ADOPTADA</x:v>
      </x:c>
      <x:c r="M16" s="12" t="n">
        <x:f>COUNTIF('05_Complementos'!$A$5:$A$127,A16)-1</x:f>
        <x:v>0</x:v>
      </x:c>
      <x:c r="N16" s="12" t="n">
        <x:f>IF(AND(COUNTIF('01_Fuentes'!$A$5:$A$40,B16)=1,COUNTIF('02_Custodia'!$A$5:$A$53,C16)=1,COUNTIF('07_Operaciones'!$A$5:$A$26,J16)=1,COUNTIF('06_Cobertura'!$A$5:$A$25,H16)=1),0,1)</x:f>
        <x:v>0</x:v>
      </x:c>
      <x:c r="O16" s="12" t="n">
        <x:f>IF(COUNTIF('03_NICE'!$A$5:$A$57,I16)+COUNTIF('04_TKS'!$A$5:$A$72,I16)=1,0,1)</x:f>
        <x:v>0</x:v>
      </x:c>
      <x:c r="P16" s="12" t="n">
        <x:f>IF(OR(AND(B16="F008",L16&lt;&gt;"IDENTIFICADA_NO_ADOPTABLE"),AND(B16="F028",L16&lt;&gt;"PREGUNTA_NO_NORMATIVA"),COUNTIFS('01_Fuentes'!$A$5:$A$40,B16,'01_Fuentes'!$H$5:$H$40,"METADATOS_SOLO")&gt;0),1,0)</x:f>
        <x:v>0</x:v>
      </x:c>
      <x:c r="Q16" s="12" t="n">
        <x:f>IF(OR(A16="",D16="",E16="",F16="",K16="",L16=""),1,0)</x:f>
        <x:v>0</x:v>
      </x:c>
    </x:row>
    <x:row r="17" ht="47" customHeight="1">
      <x:c r="A17" s="4" t="str">
        <x:v>CP-013</x:v>
      </x:c>
      <x:c r="B17" s="4" t="str">
        <x:v>F004</x:v>
      </x:c>
      <x:c r="C17" s="4" t="str">
        <x:v>F004</x:v>
      </x:c>
      <x:c r="D17" s="4" t="str">
        <x:v>Área de conocimiento: Malware &amp; Attack Technologies</x:v>
      </x:c>
      <x:c r="E17" s="4" t="str">
        <x:v>Malware &amp; Attack Technologies</x:v>
      </x:c>
      <x:c r="F17" s="4" t="str">
        <x:v>Malware y tecnologías de ataque</x:v>
      </x:c>
      <x:c r="G17" s="4" t="str">
        <x:v>Conocimiento</x:v>
      </x:c>
      <x:c r="H17" s="4" t="str">
        <x:v>E08</x:v>
      </x:c>
      <x:c r="I17" s="4" t="str">
        <x:v>PD-WRL-007</x:v>
      </x:c>
      <x:c r="J17" s="4" t="str">
        <x:v>OPC-04</x:v>
      </x:c>
      <x:c r="K17" s="4" t="str">
        <x:v>REFINA_BASE_CONCEPTUAL; no demuestra ausencia en todo NICE</x:v>
      </x:c>
      <x:c r="L17" s="4" t="str">
        <x:v>CANDIDATA_NO_ADOPTADA</x:v>
      </x:c>
      <x:c r="M17" s="12" t="n">
        <x:f>COUNTIF('05_Complementos'!$A$5:$A$127,A17)-1</x:f>
        <x:v>0</x:v>
      </x:c>
      <x:c r="N17" s="12" t="n">
        <x:f>IF(AND(COUNTIF('01_Fuentes'!$A$5:$A$40,B17)=1,COUNTIF('02_Custodia'!$A$5:$A$53,C17)=1,COUNTIF('07_Operaciones'!$A$5:$A$26,J17)=1,COUNTIF('06_Cobertura'!$A$5:$A$25,H17)=1),0,1)</x:f>
        <x:v>0</x:v>
      </x:c>
      <x:c r="O17" s="12" t="n">
        <x:f>IF(COUNTIF('03_NICE'!$A$5:$A$57,I17)+COUNTIF('04_TKS'!$A$5:$A$72,I17)=1,0,1)</x:f>
        <x:v>0</x:v>
      </x:c>
      <x:c r="P17" s="12" t="n">
        <x:f>IF(OR(AND(B17="F008",L17&lt;&gt;"IDENTIFICADA_NO_ADOPTABLE"),AND(B17="F028",L17&lt;&gt;"PREGUNTA_NO_NORMATIVA"),COUNTIFS('01_Fuentes'!$A$5:$A$40,B17,'01_Fuentes'!$H$5:$H$40,"METADATOS_SOLO")&gt;0),1,0)</x:f>
        <x:v>0</x:v>
      </x:c>
      <x:c r="Q17" s="12" t="n">
        <x:f>IF(OR(A17="",D17="",E17="",F17="",K17="",L17=""),1,0)</x:f>
        <x:v>0</x:v>
      </x:c>
    </x:row>
    <x:row r="18" ht="47" customHeight="1">
      <x:c r="A18" s="4" t="str">
        <x:v>CP-014</x:v>
      </x:c>
      <x:c r="B18" s="4" t="str">
        <x:v>F004</x:v>
      </x:c>
      <x:c r="C18" s="4" t="str">
        <x:v>F004</x:v>
      </x:c>
      <x:c r="D18" s="4" t="str">
        <x:v>Área de conocimiento: Adversarial Behaviours</x:v>
      </x:c>
      <x:c r="E18" s="4" t="str">
        <x:v>Adversarial Behaviours</x:v>
      </x:c>
      <x:c r="F18" s="4" t="str">
        <x:v>Comportamientos adversarios</x:v>
      </x:c>
      <x:c r="G18" s="4" t="str">
        <x:v>Conocimiento</x:v>
      </x:c>
      <x:c r="H18" s="4" t="str">
        <x:v>E09</x:v>
      </x:c>
      <x:c r="I18" s="4" t="str">
        <x:v>PD-WRL-006</x:v>
      </x:c>
      <x:c r="J18" s="4" t="str">
        <x:v>OPC-08</x:v>
      </x:c>
      <x:c r="K18" s="4" t="str">
        <x:v>REFINA_BASE_CONCEPTUAL; no demuestra ausencia en todo NICE</x:v>
      </x:c>
      <x:c r="L18" s="4" t="str">
        <x:v>CANDIDATA_NO_ADOPTADA</x:v>
      </x:c>
      <x:c r="M18" s="12" t="n">
        <x:f>COUNTIF('05_Complementos'!$A$5:$A$127,A18)-1</x:f>
        <x:v>0</x:v>
      </x:c>
      <x:c r="N18" s="12" t="n">
        <x:f>IF(AND(COUNTIF('01_Fuentes'!$A$5:$A$40,B18)=1,COUNTIF('02_Custodia'!$A$5:$A$53,C18)=1,COUNTIF('07_Operaciones'!$A$5:$A$26,J18)=1,COUNTIF('06_Cobertura'!$A$5:$A$25,H18)=1),0,1)</x:f>
        <x:v>0</x:v>
      </x:c>
      <x:c r="O18" s="12" t="n">
        <x:f>IF(COUNTIF('03_NICE'!$A$5:$A$57,I18)+COUNTIF('04_TKS'!$A$5:$A$72,I18)=1,0,1)</x:f>
        <x:v>0</x:v>
      </x:c>
      <x:c r="P18" s="12" t="n">
        <x:f>IF(OR(AND(B18="F008",L18&lt;&gt;"IDENTIFICADA_NO_ADOPTABLE"),AND(B18="F028",L18&lt;&gt;"PREGUNTA_NO_NORMATIVA"),COUNTIFS('01_Fuentes'!$A$5:$A$40,B18,'01_Fuentes'!$H$5:$H$40,"METADATOS_SOLO")&gt;0),1,0)</x:f>
        <x:v>0</x:v>
      </x:c>
      <x:c r="Q18" s="12" t="n">
        <x:f>IF(OR(A18="",D18="",E18="",F18="",K18="",L18=""),1,0)</x:f>
        <x:v>0</x:v>
      </x:c>
    </x:row>
    <x:row r="19" ht="47" customHeight="1">
      <x:c r="A19" s="4" t="str">
        <x:v>CP-015</x:v>
      </x:c>
      <x:c r="B19" s="4" t="str">
        <x:v>F004</x:v>
      </x:c>
      <x:c r="C19" s="4" t="str">
        <x:v>F004</x:v>
      </x:c>
      <x:c r="D19" s="4" t="str">
        <x:v>Área de conocimiento: Security Operations &amp; Incident Management</x:v>
      </x:c>
      <x:c r="E19" s="4" t="str">
        <x:v>Security Operations &amp; Incident Management</x:v>
      </x:c>
      <x:c r="F19" s="4" t="str">
        <x:v>Operaciones de seguridad e incidentes</x:v>
      </x:c>
      <x:c r="G19" s="4" t="str">
        <x:v>Conocimiento</x:v>
      </x:c>
      <x:c r="H19" s="4" t="str">
        <x:v>E11</x:v>
      </x:c>
      <x:c r="I19" s="4" t="str">
        <x:v>PD-WRL-003</x:v>
      </x:c>
      <x:c r="J19" s="4" t="str">
        <x:v>OPC-09</x:v>
      </x:c>
      <x:c r="K19" s="4" t="str">
        <x:v>REFINA_BASE_CONCEPTUAL; no demuestra ausencia en todo NICE</x:v>
      </x:c>
      <x:c r="L19" s="4" t="str">
        <x:v>CANDIDATA_NO_ADOPTADA</x:v>
      </x:c>
      <x:c r="M19" s="12" t="n">
        <x:f>COUNTIF('05_Complementos'!$A$5:$A$127,A19)-1</x:f>
        <x:v>0</x:v>
      </x:c>
      <x:c r="N19" s="12" t="n">
        <x:f>IF(AND(COUNTIF('01_Fuentes'!$A$5:$A$40,B19)=1,COUNTIF('02_Custodia'!$A$5:$A$53,C19)=1,COUNTIF('07_Operaciones'!$A$5:$A$26,J19)=1,COUNTIF('06_Cobertura'!$A$5:$A$25,H19)=1),0,1)</x:f>
        <x:v>0</x:v>
      </x:c>
      <x:c r="O19" s="12" t="n">
        <x:f>IF(COUNTIF('03_NICE'!$A$5:$A$57,I19)+COUNTIF('04_TKS'!$A$5:$A$72,I19)=1,0,1)</x:f>
        <x:v>0</x:v>
      </x:c>
      <x:c r="P19" s="12" t="n">
        <x:f>IF(OR(AND(B19="F008",L19&lt;&gt;"IDENTIFICADA_NO_ADOPTABLE"),AND(B19="F028",L19&lt;&gt;"PREGUNTA_NO_NORMATIVA"),COUNTIFS('01_Fuentes'!$A$5:$A$40,B19,'01_Fuentes'!$H$5:$H$40,"METADATOS_SOLO")&gt;0),1,0)</x:f>
        <x:v>0</x:v>
      </x:c>
      <x:c r="Q19" s="12" t="n">
        <x:f>IF(OR(A19="",D19="",E19="",F19="",K19="",L19=""),1,0)</x:f>
        <x:v>0</x:v>
      </x:c>
    </x:row>
    <x:row r="20" ht="47" customHeight="1">
      <x:c r="A20" s="4" t="str">
        <x:v>CP-016</x:v>
      </x:c>
      <x:c r="B20" s="4" t="str">
        <x:v>F004</x:v>
      </x:c>
      <x:c r="C20" s="4" t="str">
        <x:v>F004</x:v>
      </x:c>
      <x:c r="D20" s="4" t="str">
        <x:v>Área de conocimiento: Forensics</x:v>
      </x:c>
      <x:c r="E20" s="4" t="str">
        <x:v>Forensics</x:v>
      </x:c>
      <x:c r="F20" s="4" t="str">
        <x:v>Análisis forense</x:v>
      </x:c>
      <x:c r="G20" s="4" t="str">
        <x:v>Conocimiento</x:v>
      </x:c>
      <x:c r="H20" s="4" t="str">
        <x:v>E10</x:v>
      </x:c>
      <x:c r="I20" s="4" t="str">
        <x:v>IN-WRL-002</x:v>
      </x:c>
      <x:c r="J20" s="4" t="str">
        <x:v>OPC-10</x:v>
      </x:c>
      <x:c r="K20" s="4" t="str">
        <x:v>REFINA_BASE_CONCEPTUAL; no demuestra ausencia en todo NICE</x:v>
      </x:c>
      <x:c r="L20" s="4" t="str">
        <x:v>CANDIDATA_NO_ADOPTADA</x:v>
      </x:c>
      <x:c r="M20" s="12" t="n">
        <x:f>COUNTIF('05_Complementos'!$A$5:$A$127,A20)-1</x:f>
        <x:v>0</x:v>
      </x:c>
      <x:c r="N20" s="12" t="n">
        <x:f>IF(AND(COUNTIF('01_Fuentes'!$A$5:$A$40,B20)=1,COUNTIF('02_Custodia'!$A$5:$A$53,C20)=1,COUNTIF('07_Operaciones'!$A$5:$A$26,J20)=1,COUNTIF('06_Cobertura'!$A$5:$A$25,H20)=1),0,1)</x:f>
        <x:v>0</x:v>
      </x:c>
      <x:c r="O20" s="12" t="n">
        <x:f>IF(COUNTIF('03_NICE'!$A$5:$A$57,I20)+COUNTIF('04_TKS'!$A$5:$A$72,I20)=1,0,1)</x:f>
        <x:v>0</x:v>
      </x:c>
      <x:c r="P20" s="12" t="n">
        <x:f>IF(OR(AND(B20="F008",L20&lt;&gt;"IDENTIFICADA_NO_ADOPTABLE"),AND(B20="F028",L20&lt;&gt;"PREGUNTA_NO_NORMATIVA"),COUNTIFS('01_Fuentes'!$A$5:$A$40,B20,'01_Fuentes'!$H$5:$H$40,"METADATOS_SOLO")&gt;0),1,0)</x:f>
        <x:v>0</x:v>
      </x:c>
      <x:c r="Q20" s="12" t="n">
        <x:f>IF(OR(A20="",D20="",E20="",F20="",K20="",L20=""),1,0)</x:f>
        <x:v>0</x:v>
      </x:c>
    </x:row>
    <x:row r="21" ht="47" customHeight="1">
      <x:c r="A21" s="4" t="str">
        <x:v>CP-017</x:v>
      </x:c>
      <x:c r="B21" s="4" t="str">
        <x:v>F004</x:v>
      </x:c>
      <x:c r="C21" s="4" t="str">
        <x:v>F004</x:v>
      </x:c>
      <x:c r="D21" s="4" t="str">
        <x:v>Área de conocimiento: Cryptography</x:v>
      </x:c>
      <x:c r="E21" s="4" t="str">
        <x:v>Cryptography</x:v>
      </x:c>
      <x:c r="F21" s="4" t="str">
        <x:v>Criptografía</x:v>
      </x:c>
      <x:c r="G21" s="4" t="str">
        <x:v>Conocimiento</x:v>
      </x:c>
      <x:c r="H21" s="4" t="str">
        <x:v>E04</x:v>
      </x:c>
      <x:c r="I21" s="4" t="str">
        <x:v>NF-COM-006</x:v>
      </x:c>
      <x:c r="J21" s="4" t="str">
        <x:v>OPC-13</x:v>
      </x:c>
      <x:c r="K21" s="4" t="str">
        <x:v>REFINA_BASE_CONCEPTUAL; no demuestra ausencia en todo NICE</x:v>
      </x:c>
      <x:c r="L21" s="4" t="str">
        <x:v>CANDIDATA_NO_ADOPTADA</x:v>
      </x:c>
      <x:c r="M21" s="12" t="n">
        <x:f>COUNTIF('05_Complementos'!$A$5:$A$127,A21)-1</x:f>
        <x:v>0</x:v>
      </x:c>
      <x:c r="N21" s="12" t="n">
        <x:f>IF(AND(COUNTIF('01_Fuentes'!$A$5:$A$40,B21)=1,COUNTIF('02_Custodia'!$A$5:$A$53,C21)=1,COUNTIF('07_Operaciones'!$A$5:$A$26,J21)=1,COUNTIF('06_Cobertura'!$A$5:$A$25,H21)=1),0,1)</x:f>
        <x:v>0</x:v>
      </x:c>
      <x:c r="O21" s="12" t="n">
        <x:f>IF(COUNTIF('03_NICE'!$A$5:$A$57,I21)+COUNTIF('04_TKS'!$A$5:$A$72,I21)=1,0,1)</x:f>
        <x:v>0</x:v>
      </x:c>
      <x:c r="P21" s="12" t="n">
        <x:f>IF(OR(AND(B21="F008",L21&lt;&gt;"IDENTIFICADA_NO_ADOPTABLE"),AND(B21="F028",L21&lt;&gt;"PREGUNTA_NO_NORMATIVA"),COUNTIFS('01_Fuentes'!$A$5:$A$40,B21,'01_Fuentes'!$H$5:$H$40,"METADATOS_SOLO")&gt;0),1,0)</x:f>
        <x:v>0</x:v>
      </x:c>
      <x:c r="Q21" s="12" t="n">
        <x:f>IF(OR(A21="",D21="",E21="",F21="",K21="",L21=""),1,0)</x:f>
        <x:v>0</x:v>
      </x:c>
    </x:row>
    <x:row r="22" ht="47" customHeight="1">
      <x:c r="A22" s="4" t="str">
        <x:v>CP-018</x:v>
      </x:c>
      <x:c r="B22" s="4" t="str">
        <x:v>F004</x:v>
      </x:c>
      <x:c r="C22" s="4" t="str">
        <x:v>F004</x:v>
      </x:c>
      <x:c r="D22" s="4" t="str">
        <x:v>Área de conocimiento: Operating Systems &amp; Virtualisation</x:v>
      </x:c>
      <x:c r="E22" s="4" t="str">
        <x:v>Operating Systems &amp; Virtualisation</x:v>
      </x:c>
      <x:c r="F22" s="4" t="str">
        <x:v>Sistemas operativos y virtualización</x:v>
      </x:c>
      <x:c r="G22" s="4" t="str">
        <x:v>Conocimiento</x:v>
      </x:c>
      <x:c r="H22" s="4" t="str">
        <x:v>E05</x:v>
      </x:c>
      <x:c r="I22" s="4" t="str">
        <x:v>NF-COM-009</x:v>
      </x:c>
      <x:c r="J22" s="4" t="str">
        <x:v>OPC-12</x:v>
      </x:c>
      <x:c r="K22" s="4" t="str">
        <x:v>REFINA_BASE_CONCEPTUAL; no demuestra ausencia en todo NICE</x:v>
      </x:c>
      <x:c r="L22" s="4" t="str">
        <x:v>CANDIDATA_NO_ADOPTADA</x:v>
      </x:c>
      <x:c r="M22" s="12" t="n">
        <x:f>COUNTIF('05_Complementos'!$A$5:$A$127,A22)-1</x:f>
        <x:v>0</x:v>
      </x:c>
      <x:c r="N22" s="12" t="n">
        <x:f>IF(AND(COUNTIF('01_Fuentes'!$A$5:$A$40,B22)=1,COUNTIF('02_Custodia'!$A$5:$A$53,C22)=1,COUNTIF('07_Operaciones'!$A$5:$A$26,J22)=1,COUNTIF('06_Cobertura'!$A$5:$A$25,H22)=1),0,1)</x:f>
        <x:v>0</x:v>
      </x:c>
      <x:c r="O22" s="12" t="n">
        <x:f>IF(COUNTIF('03_NICE'!$A$5:$A$57,I22)+COUNTIF('04_TKS'!$A$5:$A$72,I22)=1,0,1)</x:f>
        <x:v>0</x:v>
      </x:c>
      <x:c r="P22" s="12" t="n">
        <x:f>IF(OR(AND(B22="F008",L22&lt;&gt;"IDENTIFICADA_NO_ADOPTABLE"),AND(B22="F028",L22&lt;&gt;"PREGUNTA_NO_NORMATIVA"),COUNTIFS('01_Fuentes'!$A$5:$A$40,B22,'01_Fuentes'!$H$5:$H$40,"METADATOS_SOLO")&gt;0),1,0)</x:f>
        <x:v>0</x:v>
      </x:c>
      <x:c r="Q22" s="12" t="n">
        <x:f>IF(OR(A22="",D22="",E22="",F22="",K22="",L22=""),1,0)</x:f>
        <x:v>0</x:v>
      </x:c>
    </x:row>
    <x:row r="23" ht="47" customHeight="1">
      <x:c r="A23" s="4" t="str">
        <x:v>CP-019</x:v>
      </x:c>
      <x:c r="B23" s="4" t="str">
        <x:v>F004</x:v>
      </x:c>
      <x:c r="C23" s="4" t="str">
        <x:v>F004</x:v>
      </x:c>
      <x:c r="D23" s="4" t="str">
        <x:v>Área de conocimiento: Distributed Systems Security</x:v>
      </x:c>
      <x:c r="E23" s="4" t="str">
        <x:v>Distributed Systems Security</x:v>
      </x:c>
      <x:c r="F23" s="4" t="str">
        <x:v>Seguridad de sistemas distribuidos</x:v>
      </x:c>
      <x:c r="G23" s="4" t="str">
        <x:v>Conocimiento</x:v>
      </x:c>
      <x:c r="H23" s="4" t="str">
        <x:v>E07</x:v>
      </x:c>
      <x:c r="I23" s="4" t="str">
        <x:v>NF-COM-004</x:v>
      </x:c>
      <x:c r="J23" s="4" t="str">
        <x:v>OPC-06</x:v>
      </x:c>
      <x:c r="K23" s="4" t="str">
        <x:v>REFINA_BASE_CONCEPTUAL; no demuestra ausencia en todo NICE</x:v>
      </x:c>
      <x:c r="L23" s="4" t="str">
        <x:v>CANDIDATA_NO_ADOPTADA</x:v>
      </x:c>
      <x:c r="M23" s="12" t="n">
        <x:f>COUNTIF('05_Complementos'!$A$5:$A$127,A23)-1</x:f>
        <x:v>0</x:v>
      </x:c>
      <x:c r="N23" s="12" t="n">
        <x:f>IF(AND(COUNTIF('01_Fuentes'!$A$5:$A$40,B23)=1,COUNTIF('02_Custodia'!$A$5:$A$53,C23)=1,COUNTIF('07_Operaciones'!$A$5:$A$26,J23)=1,COUNTIF('06_Cobertura'!$A$5:$A$25,H23)=1),0,1)</x:f>
        <x:v>0</x:v>
      </x:c>
      <x:c r="O23" s="12" t="n">
        <x:f>IF(COUNTIF('03_NICE'!$A$5:$A$57,I23)+COUNTIF('04_TKS'!$A$5:$A$72,I23)=1,0,1)</x:f>
        <x:v>0</x:v>
      </x:c>
      <x:c r="P23" s="12" t="n">
        <x:f>IF(OR(AND(B23="F008",L23&lt;&gt;"IDENTIFICADA_NO_ADOPTABLE"),AND(B23="F028",L23&lt;&gt;"PREGUNTA_NO_NORMATIVA"),COUNTIFS('01_Fuentes'!$A$5:$A$40,B23,'01_Fuentes'!$H$5:$H$40,"METADATOS_SOLO")&gt;0),1,0)</x:f>
        <x:v>0</x:v>
      </x:c>
      <x:c r="Q23" s="12" t="n">
        <x:f>IF(OR(A23="",D23="",E23="",F23="",K23="",L23=""),1,0)</x:f>
        <x:v>0</x:v>
      </x:c>
    </x:row>
    <x:row r="24" ht="47" customHeight="1">
      <x:c r="A24" s="4" t="str">
        <x:v>CP-020</x:v>
      </x:c>
      <x:c r="B24" s="4" t="str">
        <x:v>F004</x:v>
      </x:c>
      <x:c r="C24" s="4" t="str">
        <x:v>F004</x:v>
      </x:c>
      <x:c r="D24" s="4" t="str">
        <x:v>Área de conocimiento: Formal Methods for Security</x:v>
      </x:c>
      <x:c r="E24" s="4" t="str">
        <x:v>Formal Methods for Security</x:v>
      </x:c>
      <x:c r="F24" s="4" t="str">
        <x:v>Métodos formales de seguridad</x:v>
      </x:c>
      <x:c r="G24" s="4" t="str">
        <x:v>Conocimiento</x:v>
      </x:c>
      <x:c r="H24" s="4" t="str">
        <x:v>E06</x:v>
      </x:c>
      <x:c r="I24" s="4" t="str">
        <x:v>DD-WRL-007</x:v>
      </x:c>
      <x:c r="J24" s="4" t="str">
        <x:v>OPC-04</x:v>
      </x:c>
      <x:c r="K24" s="4" t="str">
        <x:v>REFINA_BASE_CONCEPTUAL; no demuestra ausencia en todo NICE</x:v>
      </x:c>
      <x:c r="L24" s="4" t="str">
        <x:v>CANDIDATA_NO_ADOPTADA</x:v>
      </x:c>
      <x:c r="M24" s="12" t="n">
        <x:f>COUNTIF('05_Complementos'!$A$5:$A$127,A24)-1</x:f>
        <x:v>0</x:v>
      </x:c>
      <x:c r="N24" s="12" t="n">
        <x:f>IF(AND(COUNTIF('01_Fuentes'!$A$5:$A$40,B24)=1,COUNTIF('02_Custodia'!$A$5:$A$53,C24)=1,COUNTIF('07_Operaciones'!$A$5:$A$26,J24)=1,COUNTIF('06_Cobertura'!$A$5:$A$25,H24)=1),0,1)</x:f>
        <x:v>0</x:v>
      </x:c>
      <x:c r="O24" s="12" t="n">
        <x:f>IF(COUNTIF('03_NICE'!$A$5:$A$57,I24)+COUNTIF('04_TKS'!$A$5:$A$72,I24)=1,0,1)</x:f>
        <x:v>0</x:v>
      </x:c>
      <x:c r="P24" s="12" t="n">
        <x:f>IF(OR(AND(B24="F008",L24&lt;&gt;"IDENTIFICADA_NO_ADOPTABLE"),AND(B24="F028",L24&lt;&gt;"PREGUNTA_NO_NORMATIVA"),COUNTIFS('01_Fuentes'!$A$5:$A$40,B24,'01_Fuentes'!$H$5:$H$40,"METADATOS_SOLO")&gt;0),1,0)</x:f>
        <x:v>0</x:v>
      </x:c>
      <x:c r="Q24" s="12" t="n">
        <x:f>IF(OR(A24="",D24="",E24="",F24="",K24="",L24=""),1,0)</x:f>
        <x:v>0</x:v>
      </x:c>
    </x:row>
    <x:row r="25" ht="47" customHeight="1">
      <x:c r="A25" s="4" t="str">
        <x:v>CP-021</x:v>
      </x:c>
      <x:c r="B25" s="4" t="str">
        <x:v>F004</x:v>
      </x:c>
      <x:c r="C25" s="4" t="str">
        <x:v>F004</x:v>
      </x:c>
      <x:c r="D25" s="4" t="str">
        <x:v>Área de conocimiento: Authentication, Authorisation &amp; Accountability</x:v>
      </x:c>
      <x:c r="E25" s="4" t="str">
        <x:v>Authentication, Authorisation &amp; Accountability</x:v>
      </x:c>
      <x:c r="F25" s="4" t="str">
        <x:v>Autenticación, autorización y responsabilidad</x:v>
      </x:c>
      <x:c r="G25" s="4" t="str">
        <x:v>Conocimiento</x:v>
      </x:c>
      <x:c r="H25" s="4" t="str">
        <x:v>E03</x:v>
      </x:c>
      <x:c r="I25" s="4" t="str">
        <x:v>NF-COM-001</x:v>
      </x:c>
      <x:c r="J25" s="4" t="str">
        <x:v>OPC-03</x:v>
      </x:c>
      <x:c r="K25" s="4" t="str">
        <x:v>REFINA_BASE_CONCEPTUAL; no demuestra ausencia en todo NICE</x:v>
      </x:c>
      <x:c r="L25" s="4" t="str">
        <x:v>CANDIDATA_NO_ADOPTADA</x:v>
      </x:c>
      <x:c r="M25" s="12" t="n">
        <x:f>COUNTIF('05_Complementos'!$A$5:$A$127,A25)-1</x:f>
        <x:v>0</x:v>
      </x:c>
      <x:c r="N25" s="12" t="n">
        <x:f>IF(AND(COUNTIF('01_Fuentes'!$A$5:$A$40,B25)=1,COUNTIF('02_Custodia'!$A$5:$A$53,C25)=1,COUNTIF('07_Operaciones'!$A$5:$A$26,J25)=1,COUNTIF('06_Cobertura'!$A$5:$A$25,H25)=1),0,1)</x:f>
        <x:v>0</x:v>
      </x:c>
      <x:c r="O25" s="12" t="n">
        <x:f>IF(COUNTIF('03_NICE'!$A$5:$A$57,I25)+COUNTIF('04_TKS'!$A$5:$A$72,I25)=1,0,1)</x:f>
        <x:v>0</x:v>
      </x:c>
      <x:c r="P25" s="12" t="n">
        <x:f>IF(OR(AND(B25="F008",L25&lt;&gt;"IDENTIFICADA_NO_ADOPTABLE"),AND(B25="F028",L25&lt;&gt;"PREGUNTA_NO_NORMATIVA"),COUNTIFS('01_Fuentes'!$A$5:$A$40,B25,'01_Fuentes'!$H$5:$H$40,"METADATOS_SOLO")&gt;0),1,0)</x:f>
        <x:v>0</x:v>
      </x:c>
      <x:c r="Q25" s="12" t="n">
        <x:f>IF(OR(A25="",D25="",E25="",F25="",K25="",L25=""),1,0)</x:f>
        <x:v>0</x:v>
      </x:c>
    </x:row>
    <x:row r="26" ht="47" customHeight="1">
      <x:c r="A26" s="4" t="str">
        <x:v>CP-022</x:v>
      </x:c>
      <x:c r="B26" s="4" t="str">
        <x:v>F004</x:v>
      </x:c>
      <x:c r="C26" s="4" t="str">
        <x:v>F004</x:v>
      </x:c>
      <x:c r="D26" s="4" t="str">
        <x:v>Área de conocimiento: Software Security</x:v>
      </x:c>
      <x:c r="E26" s="4" t="str">
        <x:v>Software Security</x:v>
      </x:c>
      <x:c r="F26" s="4" t="str">
        <x:v>Seguridad del software</x:v>
      </x:c>
      <x:c r="G26" s="4" t="str">
        <x:v>Conocimiento</x:v>
      </x:c>
      <x:c r="H26" s="4" t="str">
        <x:v>E06</x:v>
      </x:c>
      <x:c r="I26" s="4" t="str">
        <x:v>DD-WRL-005</x:v>
      </x:c>
      <x:c r="J26" s="4" t="str">
        <x:v>OPC-05</x:v>
      </x:c>
      <x:c r="K26" s="4" t="str">
        <x:v>REFINA_BASE_CONCEPTUAL; no demuestra ausencia en todo NICE</x:v>
      </x:c>
      <x:c r="L26" s="4" t="str">
        <x:v>CANDIDATA_NO_ADOPTADA</x:v>
      </x:c>
      <x:c r="M26" s="12" t="n">
        <x:f>COUNTIF('05_Complementos'!$A$5:$A$127,A26)-1</x:f>
        <x:v>0</x:v>
      </x:c>
      <x:c r="N26" s="12" t="n">
        <x:f>IF(AND(COUNTIF('01_Fuentes'!$A$5:$A$40,B26)=1,COUNTIF('02_Custodia'!$A$5:$A$53,C26)=1,COUNTIF('07_Operaciones'!$A$5:$A$26,J26)=1,COUNTIF('06_Cobertura'!$A$5:$A$25,H26)=1),0,1)</x:f>
        <x:v>0</x:v>
      </x:c>
      <x:c r="O26" s="12" t="n">
        <x:f>IF(COUNTIF('03_NICE'!$A$5:$A$57,I26)+COUNTIF('04_TKS'!$A$5:$A$72,I26)=1,0,1)</x:f>
        <x:v>0</x:v>
      </x:c>
      <x:c r="P26" s="12" t="n">
        <x:f>IF(OR(AND(B26="F008",L26&lt;&gt;"IDENTIFICADA_NO_ADOPTABLE"),AND(B26="F028",L26&lt;&gt;"PREGUNTA_NO_NORMATIVA"),COUNTIFS('01_Fuentes'!$A$5:$A$40,B26,'01_Fuentes'!$H$5:$H$40,"METADATOS_SOLO")&gt;0),1,0)</x:f>
        <x:v>0</x:v>
      </x:c>
      <x:c r="Q26" s="12" t="n">
        <x:f>IF(OR(A26="",D26="",E26="",F26="",K26="",L26=""),1,0)</x:f>
        <x:v>0</x:v>
      </x:c>
    </x:row>
    <x:row r="27" ht="47" customHeight="1">
      <x:c r="A27" s="4" t="str">
        <x:v>CP-023</x:v>
      </x:c>
      <x:c r="B27" s="4" t="str">
        <x:v>F004</x:v>
      </x:c>
      <x:c r="C27" s="4" t="str">
        <x:v>F004</x:v>
      </x:c>
      <x:c r="D27" s="4" t="str">
        <x:v>Área de conocimiento: Web &amp; Mobile Security</x:v>
      </x:c>
      <x:c r="E27" s="4" t="str">
        <x:v>Web &amp; Mobile Security</x:v>
      </x:c>
      <x:c r="F27" s="4" t="str">
        <x:v>Seguridad web y móvil</x:v>
      </x:c>
      <x:c r="G27" s="4" t="str">
        <x:v>Conocimiento</x:v>
      </x:c>
      <x:c r="H27" s="4" t="str">
        <x:v>E06</x:v>
      </x:c>
      <x:c r="I27" s="4" t="str">
        <x:v>DD-WRL-005</x:v>
      </x:c>
      <x:c r="J27" s="4" t="str">
        <x:v>OPC-05</x:v>
      </x:c>
      <x:c r="K27" s="4" t="str">
        <x:v>REFINA_BASE_CONCEPTUAL; no demuestra ausencia en todo NICE</x:v>
      </x:c>
      <x:c r="L27" s="4" t="str">
        <x:v>CANDIDATA_NO_ADOPTADA</x:v>
      </x:c>
      <x:c r="M27" s="12" t="n">
        <x:f>COUNTIF('05_Complementos'!$A$5:$A$127,A27)-1</x:f>
        <x:v>0</x:v>
      </x:c>
      <x:c r="N27" s="12" t="n">
        <x:f>IF(AND(COUNTIF('01_Fuentes'!$A$5:$A$40,B27)=1,COUNTIF('02_Custodia'!$A$5:$A$53,C27)=1,COUNTIF('07_Operaciones'!$A$5:$A$26,J27)=1,COUNTIF('06_Cobertura'!$A$5:$A$25,H27)=1),0,1)</x:f>
        <x:v>0</x:v>
      </x:c>
      <x:c r="O27" s="12" t="n">
        <x:f>IF(COUNTIF('03_NICE'!$A$5:$A$57,I27)+COUNTIF('04_TKS'!$A$5:$A$72,I27)=1,0,1)</x:f>
        <x:v>0</x:v>
      </x:c>
      <x:c r="P27" s="12" t="n">
        <x:f>IF(OR(AND(B27="F008",L27&lt;&gt;"IDENTIFICADA_NO_ADOPTABLE"),AND(B27="F028",L27&lt;&gt;"PREGUNTA_NO_NORMATIVA"),COUNTIFS('01_Fuentes'!$A$5:$A$40,B27,'01_Fuentes'!$H$5:$H$40,"METADATOS_SOLO")&gt;0),1,0)</x:f>
        <x:v>0</x:v>
      </x:c>
      <x:c r="Q27" s="12" t="n">
        <x:f>IF(OR(A27="",D27="",E27="",F27="",K27="",L27=""),1,0)</x:f>
        <x:v>0</x:v>
      </x:c>
    </x:row>
    <x:row r="28" ht="47" customHeight="1">
      <x:c r="A28" s="4" t="str">
        <x:v>CP-024</x:v>
      </x:c>
      <x:c r="B28" s="4" t="str">
        <x:v>F004</x:v>
      </x:c>
      <x:c r="C28" s="4" t="str">
        <x:v>F004</x:v>
      </x:c>
      <x:c r="D28" s="4" t="str">
        <x:v>Área de conocimiento: Secure Software Lifecycle</x:v>
      </x:c>
      <x:c r="E28" s="4" t="str">
        <x:v>Secure Software Lifecycle</x:v>
      </x:c>
      <x:c r="F28" s="4" t="str">
        <x:v>Ciclo de vida seguro del software</x:v>
      </x:c>
      <x:c r="G28" s="4" t="str">
        <x:v>Conocimiento</x:v>
      </x:c>
      <x:c r="H28" s="4" t="str">
        <x:v>E06</x:v>
      </x:c>
      <x:c r="I28" s="4" t="str">
        <x:v>NF-COM-008</x:v>
      </x:c>
      <x:c r="J28" s="4" t="str">
        <x:v>OPC-05</x:v>
      </x:c>
      <x:c r="K28" s="4" t="str">
        <x:v>REFINA_BASE_CONCEPTUAL; no demuestra ausencia en todo NICE</x:v>
      </x:c>
      <x:c r="L28" s="4" t="str">
        <x:v>CANDIDATA_NO_ADOPTADA</x:v>
      </x:c>
      <x:c r="M28" s="12" t="n">
        <x:f>COUNTIF('05_Complementos'!$A$5:$A$127,A28)-1</x:f>
        <x:v>0</x:v>
      </x:c>
      <x:c r="N28" s="12" t="n">
        <x:f>IF(AND(COUNTIF('01_Fuentes'!$A$5:$A$40,B28)=1,COUNTIF('02_Custodia'!$A$5:$A$53,C28)=1,COUNTIF('07_Operaciones'!$A$5:$A$26,J28)=1,COUNTIF('06_Cobertura'!$A$5:$A$25,H28)=1),0,1)</x:f>
        <x:v>0</x:v>
      </x:c>
      <x:c r="O28" s="12" t="n">
        <x:f>IF(COUNTIF('03_NICE'!$A$5:$A$57,I28)+COUNTIF('04_TKS'!$A$5:$A$72,I28)=1,0,1)</x:f>
        <x:v>0</x:v>
      </x:c>
      <x:c r="P28" s="12" t="n">
        <x:f>IF(OR(AND(B28="F008",L28&lt;&gt;"IDENTIFICADA_NO_ADOPTABLE"),AND(B28="F028",L28&lt;&gt;"PREGUNTA_NO_NORMATIVA"),COUNTIFS('01_Fuentes'!$A$5:$A$40,B28,'01_Fuentes'!$H$5:$H$40,"METADATOS_SOLO")&gt;0),1,0)</x:f>
        <x:v>0</x:v>
      </x:c>
      <x:c r="Q28" s="12" t="n">
        <x:f>IF(OR(A28="",D28="",E28="",F28="",K28="",L28=""),1,0)</x:f>
        <x:v>0</x:v>
      </x:c>
    </x:row>
    <x:row r="29" ht="47" customHeight="1">
      <x:c r="A29" s="4" t="str">
        <x:v>CP-025</x:v>
      </x:c>
      <x:c r="B29" s="4" t="str">
        <x:v>F004</x:v>
      </x:c>
      <x:c r="C29" s="4" t="str">
        <x:v>F004</x:v>
      </x:c>
      <x:c r="D29" s="4" t="str">
        <x:v>Área de conocimiento: Applied Cryptography</x:v>
      </x:c>
      <x:c r="E29" s="4" t="str">
        <x:v>Applied Cryptography</x:v>
      </x:c>
      <x:c r="F29" s="4" t="str">
        <x:v>Criptografía aplicada</x:v>
      </x:c>
      <x:c r="G29" s="4" t="str">
        <x:v>Conocimiento</x:v>
      </x:c>
      <x:c r="H29" s="4" t="str">
        <x:v>E04</x:v>
      </x:c>
      <x:c r="I29" s="4" t="str">
        <x:v>NF-COM-006</x:v>
      </x:c>
      <x:c r="J29" s="4" t="str">
        <x:v>OPC-13</x:v>
      </x:c>
      <x:c r="K29" s="4" t="str">
        <x:v>REFINA_BASE_CONCEPTUAL; no demuestra ausencia en todo NICE</x:v>
      </x:c>
      <x:c r="L29" s="4" t="str">
        <x:v>CANDIDATA_NO_ADOPTADA</x:v>
      </x:c>
      <x:c r="M29" s="12" t="n">
        <x:f>COUNTIF('05_Complementos'!$A$5:$A$127,A29)-1</x:f>
        <x:v>0</x:v>
      </x:c>
      <x:c r="N29" s="12" t="n">
        <x:f>IF(AND(COUNTIF('01_Fuentes'!$A$5:$A$40,B29)=1,COUNTIF('02_Custodia'!$A$5:$A$53,C29)=1,COUNTIF('07_Operaciones'!$A$5:$A$26,J29)=1,COUNTIF('06_Cobertura'!$A$5:$A$25,H29)=1),0,1)</x:f>
        <x:v>0</x:v>
      </x:c>
      <x:c r="O29" s="12" t="n">
        <x:f>IF(COUNTIF('03_NICE'!$A$5:$A$57,I29)+COUNTIF('04_TKS'!$A$5:$A$72,I29)=1,0,1)</x:f>
        <x:v>0</x:v>
      </x:c>
      <x:c r="P29" s="12" t="n">
        <x:f>IF(OR(AND(B29="F008",L29&lt;&gt;"IDENTIFICADA_NO_ADOPTABLE"),AND(B29="F028",L29&lt;&gt;"PREGUNTA_NO_NORMATIVA"),COUNTIFS('01_Fuentes'!$A$5:$A$40,B29,'01_Fuentes'!$H$5:$H$40,"METADATOS_SOLO")&gt;0),1,0)</x:f>
        <x:v>0</x:v>
      </x:c>
      <x:c r="Q29" s="12" t="n">
        <x:f>IF(OR(A29="",D29="",E29="",F29="",K29="",L29=""),1,0)</x:f>
        <x:v>0</x:v>
      </x:c>
    </x:row>
    <x:row r="30" ht="47" customHeight="1">
      <x:c r="A30" s="4" t="str">
        <x:v>CP-026</x:v>
      </x:c>
      <x:c r="B30" s="4" t="str">
        <x:v>F004</x:v>
      </x:c>
      <x:c r="C30" s="4" t="str">
        <x:v>F004</x:v>
      </x:c>
      <x:c r="D30" s="4" t="str">
        <x:v>Área de conocimiento: Network Security</x:v>
      </x:c>
      <x:c r="E30" s="4" t="str">
        <x:v>Network Security</x:v>
      </x:c>
      <x:c r="F30" s="4" t="str">
        <x:v>Seguridad de redes</x:v>
      </x:c>
      <x:c r="G30" s="4" t="str">
        <x:v>Conocimiento</x:v>
      </x:c>
      <x:c r="H30" s="4" t="str">
        <x:v>E05</x:v>
      </x:c>
      <x:c r="I30" s="4" t="str">
        <x:v>IO-WRL-004</x:v>
      </x:c>
      <x:c r="J30" s="4" t="str">
        <x:v>OPC-12</x:v>
      </x:c>
      <x:c r="K30" s="4" t="str">
        <x:v>REFINA_BASE_CONCEPTUAL; no demuestra ausencia en todo NICE</x:v>
      </x:c>
      <x:c r="L30" s="4" t="str">
        <x:v>CANDIDATA_NO_ADOPTADA</x:v>
      </x:c>
      <x:c r="M30" s="12" t="n">
        <x:f>COUNTIF('05_Complementos'!$A$5:$A$127,A30)-1</x:f>
        <x:v>0</x:v>
      </x:c>
      <x:c r="N30" s="12" t="n">
        <x:f>IF(AND(COUNTIF('01_Fuentes'!$A$5:$A$40,B30)=1,COUNTIF('02_Custodia'!$A$5:$A$53,C30)=1,COUNTIF('07_Operaciones'!$A$5:$A$26,J30)=1,COUNTIF('06_Cobertura'!$A$5:$A$25,H30)=1),0,1)</x:f>
        <x:v>0</x:v>
      </x:c>
      <x:c r="O30" s="12" t="n">
        <x:f>IF(COUNTIF('03_NICE'!$A$5:$A$57,I30)+COUNTIF('04_TKS'!$A$5:$A$72,I30)=1,0,1)</x:f>
        <x:v>0</x:v>
      </x:c>
      <x:c r="P30" s="12" t="n">
        <x:f>IF(OR(AND(B30="F008",L30&lt;&gt;"IDENTIFICADA_NO_ADOPTABLE"),AND(B30="F028",L30&lt;&gt;"PREGUNTA_NO_NORMATIVA"),COUNTIFS('01_Fuentes'!$A$5:$A$40,B30,'01_Fuentes'!$H$5:$H$40,"METADATOS_SOLO")&gt;0),1,0)</x:f>
        <x:v>0</x:v>
      </x:c>
      <x:c r="Q30" s="12" t="n">
        <x:f>IF(OR(A30="",D30="",E30="",F30="",K30="",L30=""),1,0)</x:f>
        <x:v>0</x:v>
      </x:c>
    </x:row>
    <x:row r="31" ht="47" customHeight="1">
      <x:c r="A31" s="4" t="str">
        <x:v>CP-027</x:v>
      </x:c>
      <x:c r="B31" s="4" t="str">
        <x:v>F004</x:v>
      </x:c>
      <x:c r="C31" s="4" t="str">
        <x:v>F004</x:v>
      </x:c>
      <x:c r="D31" s="4" t="str">
        <x:v>Área de conocimiento: Hardware Security</x:v>
      </x:c>
      <x:c r="E31" s="4" t="str">
        <x:v>Hardware Security</x:v>
      </x:c>
      <x:c r="F31" s="4" t="str">
        <x:v>Seguridad del hardware</x:v>
      </x:c>
      <x:c r="G31" s="4" t="str">
        <x:v>Conocimiento</x:v>
      </x:c>
      <x:c r="H31" s="4" t="str">
        <x:v>E02</x:v>
      </x:c>
      <x:c r="I31" s="4" t="str">
        <x:v>DD-WRL-004</x:v>
      </x:c>
      <x:c r="J31" s="4" t="str">
        <x:v>OPC-02</x:v>
      </x:c>
      <x:c r="K31" s="4" t="str">
        <x:v>REFINA_BASE_CONCEPTUAL; no demuestra ausencia en todo NICE</x:v>
      </x:c>
      <x:c r="L31" s="4" t="str">
        <x:v>CANDIDATA_NO_ADOPTADA</x:v>
      </x:c>
      <x:c r="M31" s="12" t="n">
        <x:f>COUNTIF('05_Complementos'!$A$5:$A$127,A31)-1</x:f>
        <x:v>0</x:v>
      </x:c>
      <x:c r="N31" s="12" t="n">
        <x:f>IF(AND(COUNTIF('01_Fuentes'!$A$5:$A$40,B31)=1,COUNTIF('02_Custodia'!$A$5:$A$53,C31)=1,COUNTIF('07_Operaciones'!$A$5:$A$26,J31)=1,COUNTIF('06_Cobertura'!$A$5:$A$25,H31)=1),0,1)</x:f>
        <x:v>0</x:v>
      </x:c>
      <x:c r="O31" s="12" t="n">
        <x:f>IF(COUNTIF('03_NICE'!$A$5:$A$57,I31)+COUNTIF('04_TKS'!$A$5:$A$72,I31)=1,0,1)</x:f>
        <x:v>0</x:v>
      </x:c>
      <x:c r="P31" s="12" t="n">
        <x:f>IF(OR(AND(B31="F008",L31&lt;&gt;"IDENTIFICADA_NO_ADOPTABLE"),AND(B31="F028",L31&lt;&gt;"PREGUNTA_NO_NORMATIVA"),COUNTIFS('01_Fuentes'!$A$5:$A$40,B31,'01_Fuentes'!$H$5:$H$40,"METADATOS_SOLO")&gt;0),1,0)</x:f>
        <x:v>0</x:v>
      </x:c>
      <x:c r="Q31" s="12" t="n">
        <x:f>IF(OR(A31="",D31="",E31="",F31="",K31="",L31=""),1,0)</x:f>
        <x:v>0</x:v>
      </x:c>
    </x:row>
    <x:row r="32" ht="47" customHeight="1">
      <x:c r="A32" s="4" t="str">
        <x:v>CP-028</x:v>
      </x:c>
      <x:c r="B32" s="4" t="str">
        <x:v>F004</x:v>
      </x:c>
      <x:c r="C32" s="4" t="str">
        <x:v>F004</x:v>
      </x:c>
      <x:c r="D32" s="4" t="str">
        <x:v>Área de conocimiento: Cyber-Physical Systems Security</x:v>
      </x:c>
      <x:c r="E32" s="4" t="str">
        <x:v>Cyber-Physical Systems Security</x:v>
      </x:c>
      <x:c r="F32" s="4" t="str">
        <x:v>Seguridad ciberfísica</x:v>
      </x:c>
      <x:c r="G32" s="4" t="str">
        <x:v>Conocimiento</x:v>
      </x:c>
      <x:c r="H32" s="4" t="str">
        <x:v>E13</x:v>
      </x:c>
      <x:c r="I32" s="4" t="str">
        <x:v>DD-WRL-009</x:v>
      </x:c>
      <x:c r="J32" s="4" t="str">
        <x:v>OPC-14</x:v>
      </x:c>
      <x:c r="K32" s="4" t="str">
        <x:v>REFINA_BASE_CONCEPTUAL; no demuestra ausencia en todo NICE</x:v>
      </x:c>
      <x:c r="L32" s="4" t="str">
        <x:v>CANDIDATA_NO_ADOPTADA</x:v>
      </x:c>
      <x:c r="M32" s="12" t="n">
        <x:f>COUNTIF('05_Complementos'!$A$5:$A$127,A32)-1</x:f>
        <x:v>0</x:v>
      </x:c>
      <x:c r="N32" s="12" t="n">
        <x:f>IF(AND(COUNTIF('01_Fuentes'!$A$5:$A$40,B32)=1,COUNTIF('02_Custodia'!$A$5:$A$53,C32)=1,COUNTIF('07_Operaciones'!$A$5:$A$26,J32)=1,COUNTIF('06_Cobertura'!$A$5:$A$25,H32)=1),0,1)</x:f>
        <x:v>0</x:v>
      </x:c>
      <x:c r="O32" s="12" t="n">
        <x:f>IF(COUNTIF('03_NICE'!$A$5:$A$57,I32)+COUNTIF('04_TKS'!$A$5:$A$72,I32)=1,0,1)</x:f>
        <x:v>0</x:v>
      </x:c>
      <x:c r="P32" s="12" t="n">
        <x:f>IF(OR(AND(B32="F008",L32&lt;&gt;"IDENTIFICADA_NO_ADOPTABLE"),AND(B32="F028",L32&lt;&gt;"PREGUNTA_NO_NORMATIVA"),COUNTIFS('01_Fuentes'!$A$5:$A$40,B32,'01_Fuentes'!$H$5:$H$40,"METADATOS_SOLO")&gt;0),1,0)</x:f>
        <x:v>0</x:v>
      </x:c>
      <x:c r="Q32" s="12" t="n">
        <x:f>IF(OR(A32="",D32="",E32="",F32="",K32="",L32=""),1,0)</x:f>
        <x:v>0</x:v>
      </x:c>
    </x:row>
    <x:row r="33" ht="47" customHeight="1">
      <x:c r="A33" s="4" t="str">
        <x:v>CP-029</x:v>
      </x:c>
      <x:c r="B33" s="4" t="str">
        <x:v>F004</x:v>
      </x:c>
      <x:c r="C33" s="4" t="str">
        <x:v>F004</x:v>
      </x:c>
      <x:c r="D33" s="4" t="str">
        <x:v>Área de conocimiento: Physical Layer &amp; Telecommunications Security</x:v>
      </x:c>
      <x:c r="E33" s="4" t="str">
        <x:v>Physical Layer &amp; Telecommunications Security</x:v>
      </x:c>
      <x:c r="F33" s="4" t="str">
        <x:v>Capa física y telecomunicaciones</x:v>
      </x:c>
      <x:c r="G33" s="4" t="str">
        <x:v>Conocimiento</x:v>
      </x:c>
      <x:c r="H33" s="4" t="str">
        <x:v>E15</x:v>
      </x:c>
      <x:c r="I33" s="4" t="str">
        <x:v>NF-COM-005</x:v>
      </x:c>
      <x:c r="J33" s="4" t="str">
        <x:v>OPC-13</x:v>
      </x:c>
      <x:c r="K33" s="4" t="str">
        <x:v>REFINA_BASE_CONCEPTUAL; no demuestra ausencia en todo NICE</x:v>
      </x:c>
      <x:c r="L33" s="4" t="str">
        <x:v>CANDIDATA_NO_ADOPTADA</x:v>
      </x:c>
      <x:c r="M33" s="12" t="n">
        <x:f>COUNTIF('05_Complementos'!$A$5:$A$127,A33)-1</x:f>
        <x:v>0</x:v>
      </x:c>
      <x:c r="N33" s="12" t="n">
        <x:f>IF(AND(COUNTIF('01_Fuentes'!$A$5:$A$40,B33)=1,COUNTIF('02_Custodia'!$A$5:$A$53,C33)=1,COUNTIF('07_Operaciones'!$A$5:$A$26,J33)=1,COUNTIF('06_Cobertura'!$A$5:$A$25,H33)=1),0,1)</x:f>
        <x:v>0</x:v>
      </x:c>
      <x:c r="O33" s="12" t="n">
        <x:f>IF(COUNTIF('03_NICE'!$A$5:$A$57,I33)+COUNTIF('04_TKS'!$A$5:$A$72,I33)=1,0,1)</x:f>
        <x:v>0</x:v>
      </x:c>
      <x:c r="P33" s="12" t="n">
        <x:f>IF(OR(AND(B33="F008",L33&lt;&gt;"IDENTIFICADA_NO_ADOPTABLE"),AND(B33="F028",L33&lt;&gt;"PREGUNTA_NO_NORMATIVA"),COUNTIFS('01_Fuentes'!$A$5:$A$40,B33,'01_Fuentes'!$H$5:$H$40,"METADATOS_SOLO")&gt;0),1,0)</x:f>
        <x:v>0</x:v>
      </x:c>
      <x:c r="Q33" s="12" t="n">
        <x:f>IF(OR(A33="",D33="",E33="",F33="",K33="",L33=""),1,0)</x:f>
        <x:v>0</x:v>
      </x:c>
    </x:row>
    <x:row r="34" ht="47" customHeight="1">
      <x:c r="A34" s="4" t="str">
        <x:v>CP-030</x:v>
      </x:c>
      <x:c r="B34" s="4" t="str">
        <x:v>F005</x:v>
      </x:c>
      <x:c r="C34" s="4" t="str">
        <x:v>A008</x:v>
      </x:c>
      <x:c r="D34" s="4" t="str">
        <x:v>§2.1; Profile, Mission y Deliverables</x:v>
      </x:c>
      <x:c r="E34" s="4" t="str">
        <x:v>Chief Information Security Officer</x:v>
      </x:c>
      <x:c r="F34" s="4" t="str">
        <x:v>Dirección: estrategia y política de ciberseguridad.</x:v>
      </x:c>
      <x:c r="G34" s="4" t="str">
        <x:v>Competencia</x:v>
      </x:c>
      <x:c r="H34" s="4" t="str">
        <x:v>E01</x:v>
      </x:c>
      <x:c r="I34" s="4" t="str">
        <x:v>OG-WRL-007</x:v>
      </x:c>
      <x:c r="J34" s="4" t="str">
        <x:v>OPC-01</x:v>
      </x:c>
      <x:c r="K34" s="4" t="str">
        <x:v>CONTRASTA_PRODUCTO; relación local no equivalencia de perfiles</x:v>
      </x:c>
      <x:c r="L34" s="4" t="str">
        <x:v>CANDIDATA_NO_ADOPTADA</x:v>
      </x:c>
      <x:c r="M34" s="12" t="n">
        <x:f>COUNTIF('05_Complementos'!$A$5:$A$127,A34)-1</x:f>
        <x:v>0</x:v>
      </x:c>
      <x:c r="N34" s="12" t="n">
        <x:f>IF(AND(COUNTIF('01_Fuentes'!$A$5:$A$40,B34)=1,COUNTIF('02_Custodia'!$A$5:$A$53,C34)=1,COUNTIF('07_Operaciones'!$A$5:$A$26,J34)=1,COUNTIF('06_Cobertura'!$A$5:$A$25,H34)=1),0,1)</x:f>
        <x:v>0</x:v>
      </x:c>
      <x:c r="O34" s="12" t="n">
        <x:f>IF(COUNTIF('03_NICE'!$A$5:$A$57,I34)+COUNTIF('04_TKS'!$A$5:$A$72,I34)=1,0,1)</x:f>
        <x:v>0</x:v>
      </x:c>
      <x:c r="P34" s="12" t="n">
        <x:f>IF(OR(AND(B34="F008",L34&lt;&gt;"IDENTIFICADA_NO_ADOPTABLE"),AND(B34="F028",L34&lt;&gt;"PREGUNTA_NO_NORMATIVA"),COUNTIFS('01_Fuentes'!$A$5:$A$40,B34,'01_Fuentes'!$H$5:$H$40,"METADATOS_SOLO")&gt;0),1,0)</x:f>
        <x:v>0</x:v>
      </x:c>
      <x:c r="Q34" s="12" t="n">
        <x:f>IF(OR(A34="",D34="",E34="",F34="",K34="",L34=""),1,0)</x:f>
        <x:v>0</x:v>
      </x:c>
    </x:row>
    <x:row r="35" ht="47" customHeight="1">
      <x:c r="A35" s="4" t="str">
        <x:v>CP-031</x:v>
      </x:c>
      <x:c r="B35" s="4" t="str">
        <x:v>F005</x:v>
      </x:c>
      <x:c r="C35" s="4" t="str">
        <x:v>A008</x:v>
      </x:c>
      <x:c r="D35" s="4" t="str">
        <x:v>§2.2; Profile, Mission y Deliverables</x:v>
      </x:c>
      <x:c r="E35" s="4" t="str">
        <x:v>Cyber Incident Responder</x:v>
      </x:c>
      <x:c r="F35" s="4" t="str">
        <x:v>Respuesta: plan e informe de incidentes.</x:v>
      </x:c>
      <x:c r="G35" s="4" t="str">
        <x:v>Competencia</x:v>
      </x:c>
      <x:c r="H35" s="4" t="str">
        <x:v>E11</x:v>
      </x:c>
      <x:c r="I35" s="4" t="str">
        <x:v>PD-WRL-003</x:v>
      </x:c>
      <x:c r="J35" s="4" t="str">
        <x:v>OPC-09</x:v>
      </x:c>
      <x:c r="K35" s="4" t="str">
        <x:v>CONTRASTA_PRODUCTO; relación local no equivalencia de perfiles</x:v>
      </x:c>
      <x:c r="L35" s="4" t="str">
        <x:v>CANDIDATA_NO_ADOPTADA</x:v>
      </x:c>
      <x:c r="M35" s="12" t="n">
        <x:f>COUNTIF('05_Complementos'!$A$5:$A$127,A35)-1</x:f>
        <x:v>0</x:v>
      </x:c>
      <x:c r="N35" s="12" t="n">
        <x:f>IF(AND(COUNTIF('01_Fuentes'!$A$5:$A$40,B35)=1,COUNTIF('02_Custodia'!$A$5:$A$53,C35)=1,COUNTIF('07_Operaciones'!$A$5:$A$26,J35)=1,COUNTIF('06_Cobertura'!$A$5:$A$25,H35)=1),0,1)</x:f>
        <x:v>0</x:v>
      </x:c>
      <x:c r="O35" s="12" t="n">
        <x:f>IF(COUNTIF('03_NICE'!$A$5:$A$57,I35)+COUNTIF('04_TKS'!$A$5:$A$72,I35)=1,0,1)</x:f>
        <x:v>0</x:v>
      </x:c>
      <x:c r="P35" s="12" t="n">
        <x:f>IF(OR(AND(B35="F008",L35&lt;&gt;"IDENTIFICADA_NO_ADOPTABLE"),AND(B35="F028",L35&lt;&gt;"PREGUNTA_NO_NORMATIVA"),COUNTIFS('01_Fuentes'!$A$5:$A$40,B35,'01_Fuentes'!$H$5:$H$40,"METADATOS_SOLO")&gt;0),1,0)</x:f>
        <x:v>0</x:v>
      </x:c>
      <x:c r="Q35" s="12" t="n">
        <x:f>IF(OR(A35="",D35="",E35="",F35="",K35="",L35=""),1,0)</x:f>
        <x:v>0</x:v>
      </x:c>
    </x:row>
    <x:row r="36" ht="47" customHeight="1">
      <x:c r="A36" s="4" t="str">
        <x:v>CP-032</x:v>
      </x:c>
      <x:c r="B36" s="4" t="str">
        <x:v>F005</x:v>
      </x:c>
      <x:c r="C36" s="4" t="str">
        <x:v>A008</x:v>
      </x:c>
      <x:c r="D36" s="4" t="str">
        <x:v>§2.3; Profile, Mission y Deliverables</x:v>
      </x:c>
      <x:c r="E36" s="4" t="str">
        <x:v>Cyber Legal, Policy &amp; Compliance Officer</x:v>
      </x:c>
      <x:c r="F36" s="4" t="str">
        <x:v>Función jurídica: manual de cumplimiento y políticas.</x:v>
      </x:c>
      <x:c r="G36" s="4" t="str">
        <x:v>Competencia</x:v>
      </x:c>
      <x:c r="H36" s="4" t="str">
        <x:v>E16</x:v>
      </x:c>
      <x:c r="I36" s="4" t="str">
        <x:v>OG-WRL-006</x:v>
      </x:c>
      <x:c r="J36" s="4" t="str">
        <x:v>OPC-17</x:v>
      </x:c>
      <x:c r="K36" s="4" t="str">
        <x:v>CONTRASTA_PRODUCTO; relación local no equivalencia de perfiles</x:v>
      </x:c>
      <x:c r="L36" s="4" t="str">
        <x:v>CANDIDATA_NO_ADOPTADA</x:v>
      </x:c>
      <x:c r="M36" s="12" t="n">
        <x:f>COUNTIF('05_Complementos'!$A$5:$A$127,A36)-1</x:f>
        <x:v>0</x:v>
      </x:c>
      <x:c r="N36" s="12" t="n">
        <x:f>IF(AND(COUNTIF('01_Fuentes'!$A$5:$A$40,B36)=1,COUNTIF('02_Custodia'!$A$5:$A$53,C36)=1,COUNTIF('07_Operaciones'!$A$5:$A$26,J36)=1,COUNTIF('06_Cobertura'!$A$5:$A$25,H36)=1),0,1)</x:f>
        <x:v>0</x:v>
      </x:c>
      <x:c r="O36" s="12" t="n">
        <x:f>IF(COUNTIF('03_NICE'!$A$5:$A$57,I36)+COUNTIF('04_TKS'!$A$5:$A$72,I36)=1,0,1)</x:f>
        <x:v>0</x:v>
      </x:c>
      <x:c r="P36" s="12" t="n">
        <x:f>IF(OR(AND(B36="F008",L36&lt;&gt;"IDENTIFICADA_NO_ADOPTABLE"),AND(B36="F028",L36&lt;&gt;"PREGUNTA_NO_NORMATIVA"),COUNTIFS('01_Fuentes'!$A$5:$A$40,B36,'01_Fuentes'!$H$5:$H$40,"METADATOS_SOLO")&gt;0),1,0)</x:f>
        <x:v>0</x:v>
      </x:c>
      <x:c r="Q36" s="12" t="n">
        <x:f>IF(OR(A36="",D36="",E36="",F36="",K36="",L36=""),1,0)</x:f>
        <x:v>0</x:v>
      </x:c>
    </x:row>
    <x:row r="37" ht="47" customHeight="1">
      <x:c r="A37" s="4" t="str">
        <x:v>CP-033</x:v>
      </x:c>
      <x:c r="B37" s="4" t="str">
        <x:v>F005</x:v>
      </x:c>
      <x:c r="C37" s="4" t="str">
        <x:v>A008</x:v>
      </x:c>
      <x:c r="D37" s="4" t="str">
        <x:v>§2.4; Profile, Mission y Deliverables</x:v>
      </x:c>
      <x:c r="E37" s="4" t="str">
        <x:v>Cyber Threat Intelligence Specialist</x:v>
      </x:c>
      <x:c r="F37" s="4" t="str">
        <x:v>Inteligencia: informe de amenazas contextualizado.</x:v>
      </x:c>
      <x:c r="G37" s="4" t="str">
        <x:v>Competencia</x:v>
      </x:c>
      <x:c r="H37" s="4" t="str">
        <x:v>E09</x:v>
      </x:c>
      <x:c r="I37" s="4" t="str">
        <x:v>PD-WRL-006</x:v>
      </x:c>
      <x:c r="J37" s="4" t="str">
        <x:v>OPC-08</x:v>
      </x:c>
      <x:c r="K37" s="4" t="str">
        <x:v>CONTRASTA_PRODUCTO; relación local no equivalencia de perfiles</x:v>
      </x:c>
      <x:c r="L37" s="4" t="str">
        <x:v>CANDIDATA_NO_ADOPTADA</x:v>
      </x:c>
      <x:c r="M37" s="12" t="n">
        <x:f>COUNTIF('05_Complementos'!$A$5:$A$127,A37)-1</x:f>
        <x:v>0</x:v>
      </x:c>
      <x:c r="N37" s="12" t="n">
        <x:f>IF(AND(COUNTIF('01_Fuentes'!$A$5:$A$40,B37)=1,COUNTIF('02_Custodia'!$A$5:$A$53,C37)=1,COUNTIF('07_Operaciones'!$A$5:$A$26,J37)=1,COUNTIF('06_Cobertura'!$A$5:$A$25,H37)=1),0,1)</x:f>
        <x:v>0</x:v>
      </x:c>
      <x:c r="O37" s="12" t="n">
        <x:f>IF(COUNTIF('03_NICE'!$A$5:$A$57,I37)+COUNTIF('04_TKS'!$A$5:$A$72,I37)=1,0,1)</x:f>
        <x:v>0</x:v>
      </x:c>
      <x:c r="P37" s="12" t="n">
        <x:f>IF(OR(AND(B37="F008",L37&lt;&gt;"IDENTIFICADA_NO_ADOPTABLE"),AND(B37="F028",L37&lt;&gt;"PREGUNTA_NO_NORMATIVA"),COUNTIFS('01_Fuentes'!$A$5:$A$40,B37,'01_Fuentes'!$H$5:$H$40,"METADATOS_SOLO")&gt;0),1,0)</x:f>
        <x:v>0</x:v>
      </x:c>
      <x:c r="Q37" s="12" t="n">
        <x:f>IF(OR(A37="",D37="",E37="",F37="",K37="",L37=""),1,0)</x:f>
        <x:v>0</x:v>
      </x:c>
    </x:row>
    <x:row r="38" ht="47" customHeight="1">
      <x:c r="A38" s="4" t="str">
        <x:v>CP-034</x:v>
      </x:c>
      <x:c r="B38" s="4" t="str">
        <x:v>F005</x:v>
      </x:c>
      <x:c r="C38" s="4" t="str">
        <x:v>A008</x:v>
      </x:c>
      <x:c r="D38" s="4" t="str">
        <x:v>§2.5; Profile, Mission y Deliverables</x:v>
      </x:c>
      <x:c r="E38" s="4" t="str">
        <x:v>Cybersecurity Architect</x:v>
      </x:c>
      <x:c r="F38" s="4" t="str">
        <x:v>Arquitectura: diseño y requisitos de seguridad.</x:v>
      </x:c>
      <x:c r="G38" s="4" t="str">
        <x:v>Competencia</x:v>
      </x:c>
      <x:c r="H38" s="4" t="str">
        <x:v>E02</x:v>
      </x:c>
      <x:c r="I38" s="4" t="str">
        <x:v>DD-WRL-001</x:v>
      </x:c>
      <x:c r="J38" s="4" t="str">
        <x:v>OPC-02</x:v>
      </x:c>
      <x:c r="K38" s="4" t="str">
        <x:v>CONTRASTA_PRODUCTO; relación local no equivalencia de perfiles</x:v>
      </x:c>
      <x:c r="L38" s="4" t="str">
        <x:v>CANDIDATA_NO_ADOPTADA</x:v>
      </x:c>
      <x:c r="M38" s="12" t="n">
        <x:f>COUNTIF('05_Complementos'!$A$5:$A$127,A38)-1</x:f>
        <x:v>0</x:v>
      </x:c>
      <x:c r="N38" s="12" t="n">
        <x:f>IF(AND(COUNTIF('01_Fuentes'!$A$5:$A$40,B38)=1,COUNTIF('02_Custodia'!$A$5:$A$53,C38)=1,COUNTIF('07_Operaciones'!$A$5:$A$26,J38)=1,COUNTIF('06_Cobertura'!$A$5:$A$25,H38)=1),0,1)</x:f>
        <x:v>0</x:v>
      </x:c>
      <x:c r="O38" s="12" t="n">
        <x:f>IF(COUNTIF('03_NICE'!$A$5:$A$57,I38)+COUNTIF('04_TKS'!$A$5:$A$72,I38)=1,0,1)</x:f>
        <x:v>0</x:v>
      </x:c>
      <x:c r="P38" s="12" t="n">
        <x:f>IF(OR(AND(B38="F008",L38&lt;&gt;"IDENTIFICADA_NO_ADOPTABLE"),AND(B38="F028",L38&lt;&gt;"PREGUNTA_NO_NORMATIVA"),COUNTIFS('01_Fuentes'!$A$5:$A$40,B38,'01_Fuentes'!$H$5:$H$40,"METADATOS_SOLO")&gt;0),1,0)</x:f>
        <x:v>0</x:v>
      </x:c>
      <x:c r="Q38" s="12" t="n">
        <x:f>IF(OR(A38="",D38="",E38="",F38="",K38="",L38=""),1,0)</x:f>
        <x:v>0</x:v>
      </x:c>
    </x:row>
    <x:row r="39" ht="47" customHeight="1">
      <x:c r="A39" s="4" t="str">
        <x:v>CP-035</x:v>
      </x:c>
      <x:c r="B39" s="4" t="str">
        <x:v>F005</x:v>
      </x:c>
      <x:c r="C39" s="4" t="str">
        <x:v>A008</x:v>
      </x:c>
      <x:c r="D39" s="4" t="str">
        <x:v>§2.6; Profile, Mission y Deliverables</x:v>
      </x:c>
      <x:c r="E39" s="4" t="str">
        <x:v>Cybersecurity Auditor</x:v>
      </x:c>
      <x:c r="F39" s="4" t="str">
        <x:v>Auditoría: plan y resultados de evaluación.</x:v>
      </x:c>
      <x:c r="G39" s="4" t="str">
        <x:v>Competencia</x:v>
      </x:c>
      <x:c r="H39" s="4" t="str">
        <x:v>E15</x:v>
      </x:c>
      <x:c r="I39" s="4" t="str">
        <x:v>OG-WRL-016</x:v>
      </x:c>
      <x:c r="J39" s="4" t="str">
        <x:v>OPC-16</x:v>
      </x:c>
      <x:c r="K39" s="4" t="str">
        <x:v>CONTRASTA_PRODUCTO; relación local no equivalencia de perfiles</x:v>
      </x:c>
      <x:c r="L39" s="4" t="str">
        <x:v>CANDIDATA_NO_ADOPTADA</x:v>
      </x:c>
      <x:c r="M39" s="12" t="n">
        <x:f>COUNTIF('05_Complementos'!$A$5:$A$127,A39)-1</x:f>
        <x:v>0</x:v>
      </x:c>
      <x:c r="N39" s="12" t="n">
        <x:f>IF(AND(COUNTIF('01_Fuentes'!$A$5:$A$40,B39)=1,COUNTIF('02_Custodia'!$A$5:$A$53,C39)=1,COUNTIF('07_Operaciones'!$A$5:$A$26,J39)=1,COUNTIF('06_Cobertura'!$A$5:$A$25,H39)=1),0,1)</x:f>
        <x:v>0</x:v>
      </x:c>
      <x:c r="O39" s="12" t="n">
        <x:f>IF(COUNTIF('03_NICE'!$A$5:$A$57,I39)+COUNTIF('04_TKS'!$A$5:$A$72,I39)=1,0,1)</x:f>
        <x:v>0</x:v>
      </x:c>
      <x:c r="P39" s="12" t="n">
        <x:f>IF(OR(AND(B39="F008",L39&lt;&gt;"IDENTIFICADA_NO_ADOPTABLE"),AND(B39="F028",L39&lt;&gt;"PREGUNTA_NO_NORMATIVA"),COUNTIFS('01_Fuentes'!$A$5:$A$40,B39,'01_Fuentes'!$H$5:$H$40,"METADATOS_SOLO")&gt;0),1,0)</x:f>
        <x:v>0</x:v>
      </x:c>
      <x:c r="Q39" s="12" t="n">
        <x:f>IF(OR(A39="",D39="",E39="",F39="",K39="",L39=""),1,0)</x:f>
        <x:v>0</x:v>
      </x:c>
    </x:row>
    <x:row r="40" ht="47" customHeight="1">
      <x:c r="A40" s="4" t="str">
        <x:v>CP-036</x:v>
      </x:c>
      <x:c r="B40" s="4" t="str">
        <x:v>F005</x:v>
      </x:c>
      <x:c r="C40" s="4" t="str">
        <x:v>A008</x:v>
      </x:c>
      <x:c r="D40" s="4" t="str">
        <x:v>§2.7; Profile, Mission y Deliverables</x:v>
      </x:c>
      <x:c r="E40" s="4" t="str">
        <x:v>Cybersecurity Educator</x:v>
      </x:c>
      <x:c r="F40" s="4" t="str">
        <x:v>Formación: programa y materiales de aprendizaje.</x:v>
      </x:c>
      <x:c r="G40" s="4" t="str">
        <x:v>Competencia</x:v>
      </x:c>
      <x:c r="H40" s="4" t="str">
        <x:v>E14</x:v>
      </x:c>
      <x:c r="I40" s="4" t="str">
        <x:v>OG-WRL-005</x:v>
      </x:c>
      <x:c r="J40" s="4" t="str">
        <x:v>OPC-22</x:v>
      </x:c>
      <x:c r="K40" s="4" t="str">
        <x:v>CONTRASTA_PRODUCTO; relación local no equivalencia de perfiles</x:v>
      </x:c>
      <x:c r="L40" s="4" t="str">
        <x:v>CANDIDATA_NO_ADOPTADA</x:v>
      </x:c>
      <x:c r="M40" s="12" t="n">
        <x:f>COUNTIF('05_Complementos'!$A$5:$A$127,A40)-1</x:f>
        <x:v>0</x:v>
      </x:c>
      <x:c r="N40" s="12" t="n">
        <x:f>IF(AND(COUNTIF('01_Fuentes'!$A$5:$A$40,B40)=1,COUNTIF('02_Custodia'!$A$5:$A$53,C40)=1,COUNTIF('07_Operaciones'!$A$5:$A$26,J40)=1,COUNTIF('06_Cobertura'!$A$5:$A$25,H40)=1),0,1)</x:f>
        <x:v>0</x:v>
      </x:c>
      <x:c r="O40" s="12" t="n">
        <x:f>IF(COUNTIF('03_NICE'!$A$5:$A$57,I40)+COUNTIF('04_TKS'!$A$5:$A$72,I40)=1,0,1)</x:f>
        <x:v>0</x:v>
      </x:c>
      <x:c r="P40" s="12" t="n">
        <x:f>IF(OR(AND(B40="F008",L40&lt;&gt;"IDENTIFICADA_NO_ADOPTABLE"),AND(B40="F028",L40&lt;&gt;"PREGUNTA_NO_NORMATIVA"),COUNTIFS('01_Fuentes'!$A$5:$A$40,B40,'01_Fuentes'!$H$5:$H$40,"METADATOS_SOLO")&gt;0),1,0)</x:f>
        <x:v>0</x:v>
      </x:c>
      <x:c r="Q40" s="12" t="n">
        <x:f>IF(OR(A40="",D40="",E40="",F40="",K40="",L40=""),1,0)</x:f>
        <x:v>0</x:v>
      </x:c>
    </x:row>
    <x:row r="41" ht="47" customHeight="1">
      <x:c r="A41" s="4" t="str">
        <x:v>CP-037</x:v>
      </x:c>
      <x:c r="B41" s="4" t="str">
        <x:v>F005</x:v>
      </x:c>
      <x:c r="C41" s="4" t="str">
        <x:v>A008</x:v>
      </x:c>
      <x:c r="D41" s="4" t="str">
        <x:v>§2.8; Profile, Mission y Deliverables</x:v>
      </x:c>
      <x:c r="E41" s="4" t="str">
        <x:v>Cybersecurity Implementer</x:v>
      </x:c>
      <x:c r="F41" s="4" t="str">
        <x:v>Implantación: soluciones de ciberseguridad documentadas.</x:v>
      </x:c>
      <x:c r="G41" s="4" t="str">
        <x:v>Competencia</x:v>
      </x:c>
      <x:c r="H41" s="4" t="str">
        <x:v>E05</x:v>
      </x:c>
      <x:c r="I41" s="4" t="str">
        <x:v>PD-WRL-004</x:v>
      </x:c>
      <x:c r="J41" s="4" t="str">
        <x:v>OPC-12</x:v>
      </x:c>
      <x:c r="K41" s="4" t="str">
        <x:v>CONTRASTA_PRODUCTO; relación local no equivalencia de perfiles</x:v>
      </x:c>
      <x:c r="L41" s="4" t="str">
        <x:v>CANDIDATA_NO_ADOPTADA</x:v>
      </x:c>
      <x:c r="M41" s="12" t="n">
        <x:f>COUNTIF('05_Complementos'!$A$5:$A$127,A41)-1</x:f>
        <x:v>0</x:v>
      </x:c>
      <x:c r="N41" s="12" t="n">
        <x:f>IF(AND(COUNTIF('01_Fuentes'!$A$5:$A$40,B41)=1,COUNTIF('02_Custodia'!$A$5:$A$53,C41)=1,COUNTIF('07_Operaciones'!$A$5:$A$26,J41)=1,COUNTIF('06_Cobertura'!$A$5:$A$25,H41)=1),0,1)</x:f>
        <x:v>0</x:v>
      </x:c>
      <x:c r="O41" s="12" t="n">
        <x:f>IF(COUNTIF('03_NICE'!$A$5:$A$57,I41)+COUNTIF('04_TKS'!$A$5:$A$72,I41)=1,0,1)</x:f>
        <x:v>0</x:v>
      </x:c>
      <x:c r="P41" s="12" t="n">
        <x:f>IF(OR(AND(B41="F008",L41&lt;&gt;"IDENTIFICADA_NO_ADOPTABLE"),AND(B41="F028",L41&lt;&gt;"PREGUNTA_NO_NORMATIVA"),COUNTIFS('01_Fuentes'!$A$5:$A$40,B41,'01_Fuentes'!$H$5:$H$40,"METADATOS_SOLO")&gt;0),1,0)</x:f>
        <x:v>0</x:v>
      </x:c>
      <x:c r="Q41" s="12" t="n">
        <x:f>IF(OR(A41="",D41="",E41="",F41="",K41="",L41=""),1,0)</x:f>
        <x:v>0</x:v>
      </x:c>
    </x:row>
    <x:row r="42" ht="47" customHeight="1">
      <x:c r="A42" s="4" t="str">
        <x:v>CP-038</x:v>
      </x:c>
      <x:c r="B42" s="4" t="str">
        <x:v>F005</x:v>
      </x:c>
      <x:c r="C42" s="4" t="str">
        <x:v>A008</x:v>
      </x:c>
      <x:c r="D42" s="4" t="str">
        <x:v>§2.9; Profile, Mission y Deliverables</x:v>
      </x:c>
      <x:c r="E42" s="4" t="str">
        <x:v>Cybersecurity Researcher</x:v>
      </x:c>
      <x:c r="F42" s="4" t="str">
        <x:v>Investigación: publicaciones y resultados contrastables.</x:v>
      </x:c>
      <x:c r="G42" s="4" t="str">
        <x:v>Competencia</x:v>
      </x:c>
      <x:c r="H42" s="4" t="str">
        <x:v>E17</x:v>
      </x:c>
      <x:c r="I42" s="4" t="str">
        <x:v>DD-WRL-008</x:v>
      </x:c>
      <x:c r="J42" s="4" t="str">
        <x:v>OPC-19</x:v>
      </x:c>
      <x:c r="K42" s="4" t="str">
        <x:v>CONTRASTA_PRODUCTO; relación local no equivalencia de perfiles</x:v>
      </x:c>
      <x:c r="L42" s="4" t="str">
        <x:v>CANDIDATA_NO_ADOPTADA</x:v>
      </x:c>
      <x:c r="M42" s="12" t="n">
        <x:f>COUNTIF('05_Complementos'!$A$5:$A$127,A42)-1</x:f>
        <x:v>0</x:v>
      </x:c>
      <x:c r="N42" s="12" t="n">
        <x:f>IF(AND(COUNTIF('01_Fuentes'!$A$5:$A$40,B42)=1,COUNTIF('02_Custodia'!$A$5:$A$53,C42)=1,COUNTIF('07_Operaciones'!$A$5:$A$26,J42)=1,COUNTIF('06_Cobertura'!$A$5:$A$25,H42)=1),0,1)</x:f>
        <x:v>0</x:v>
      </x:c>
      <x:c r="O42" s="12" t="n">
        <x:f>IF(COUNTIF('03_NICE'!$A$5:$A$57,I42)+COUNTIF('04_TKS'!$A$5:$A$72,I42)=1,0,1)</x:f>
        <x:v>0</x:v>
      </x:c>
      <x:c r="P42" s="12" t="n">
        <x:f>IF(OR(AND(B42="F008",L42&lt;&gt;"IDENTIFICADA_NO_ADOPTABLE"),AND(B42="F028",L42&lt;&gt;"PREGUNTA_NO_NORMATIVA"),COUNTIFS('01_Fuentes'!$A$5:$A$40,B42,'01_Fuentes'!$H$5:$H$40,"METADATOS_SOLO")&gt;0),1,0)</x:f>
        <x:v>0</x:v>
      </x:c>
      <x:c r="Q42" s="12" t="n">
        <x:f>IF(OR(A42="",D42="",E42="",F42="",K42="",L42=""),1,0)</x:f>
        <x:v>0</x:v>
      </x:c>
    </x:row>
    <x:row r="43" ht="47" customHeight="1">
      <x:c r="A43" s="4" t="str">
        <x:v>CP-039</x:v>
      </x:c>
      <x:c r="B43" s="4" t="str">
        <x:v>F005</x:v>
      </x:c>
      <x:c r="C43" s="4" t="str">
        <x:v>A008</x:v>
      </x:c>
      <x:c r="D43" s="4" t="str">
        <x:v>§2.10; Profile, Mission y Deliverables</x:v>
      </x:c>
      <x:c r="E43" s="4" t="str">
        <x:v>Cybersecurity Risk Manager</x:v>
      </x:c>
      <x:c r="F43" s="4" t="str">
        <x:v>Riesgo: evaluación y tratamiento documentados.</x:v>
      </x:c>
      <x:c r="G43" s="4" t="str">
        <x:v>Competencia</x:v>
      </x:c>
      <x:c r="H43" s="4" t="str">
        <x:v>E01</x:v>
      </x:c>
      <x:c r="I43" s="4" t="str">
        <x:v>T1586</x:v>
      </x:c>
      <x:c r="J43" s="4" t="str">
        <x:v>OPC-01</x:v>
      </x:c>
      <x:c r="K43" s="4" t="str">
        <x:v>CONTRASTA_PRODUCTO; relación local no equivalencia de perfiles</x:v>
      </x:c>
      <x:c r="L43" s="4" t="str">
        <x:v>CANDIDATA_NO_ADOPTADA</x:v>
      </x:c>
      <x:c r="M43" s="12" t="n">
        <x:f>COUNTIF('05_Complementos'!$A$5:$A$127,A43)-1</x:f>
        <x:v>0</x:v>
      </x:c>
      <x:c r="N43" s="12" t="n">
        <x:f>IF(AND(COUNTIF('01_Fuentes'!$A$5:$A$40,B43)=1,COUNTIF('02_Custodia'!$A$5:$A$53,C43)=1,COUNTIF('07_Operaciones'!$A$5:$A$26,J43)=1,COUNTIF('06_Cobertura'!$A$5:$A$25,H43)=1),0,1)</x:f>
        <x:v>0</x:v>
      </x:c>
      <x:c r="O43" s="12" t="n">
        <x:f>IF(COUNTIF('03_NICE'!$A$5:$A$57,I43)+COUNTIF('04_TKS'!$A$5:$A$72,I43)=1,0,1)</x:f>
        <x:v>0</x:v>
      </x:c>
      <x:c r="P43" s="12" t="n">
        <x:f>IF(OR(AND(B43="F008",L43&lt;&gt;"IDENTIFICADA_NO_ADOPTABLE"),AND(B43="F028",L43&lt;&gt;"PREGUNTA_NO_NORMATIVA"),COUNTIFS('01_Fuentes'!$A$5:$A$40,B43,'01_Fuentes'!$H$5:$H$40,"METADATOS_SOLO")&gt;0),1,0)</x:f>
        <x:v>0</x:v>
      </x:c>
      <x:c r="Q43" s="12" t="n">
        <x:f>IF(OR(A43="",D43="",E43="",F43="",K43="",L43=""),1,0)</x:f>
        <x:v>0</x:v>
      </x:c>
    </x:row>
    <x:row r="44" ht="47" customHeight="1">
      <x:c r="A44" s="4" t="str">
        <x:v>CP-040</x:v>
      </x:c>
      <x:c r="B44" s="4" t="str">
        <x:v>F005</x:v>
      </x:c>
      <x:c r="C44" s="4" t="str">
        <x:v>A008</x:v>
      </x:c>
      <x:c r="D44" s="4" t="str">
        <x:v>§2.11; Profile, Mission y Deliverables</x:v>
      </x:c>
      <x:c r="E44" s="4" t="str">
        <x:v>Digital Forensics Investigator</x:v>
      </x:c>
      <x:c r="F44" s="4" t="str">
        <x:v>Forense: resultados de análisis y evidencia.</x:v>
      </x:c>
      <x:c r="G44" s="4" t="str">
        <x:v>Competencia</x:v>
      </x:c>
      <x:c r="H44" s="4" t="str">
        <x:v>E10</x:v>
      </x:c>
      <x:c r="I44" s="4" t="str">
        <x:v>IN-WRL-002</x:v>
      </x:c>
      <x:c r="J44" s="4" t="str">
        <x:v>OPC-10</x:v>
      </x:c>
      <x:c r="K44" s="4" t="str">
        <x:v>CONTRASTA_PRODUCTO; relación local no equivalencia de perfiles</x:v>
      </x:c>
      <x:c r="L44" s="4" t="str">
        <x:v>CANDIDATA_NO_ADOPTADA</x:v>
      </x:c>
      <x:c r="M44" s="12" t="n">
        <x:f>COUNTIF('05_Complementos'!$A$5:$A$127,A44)-1</x:f>
        <x:v>0</x:v>
      </x:c>
      <x:c r="N44" s="12" t="n">
        <x:f>IF(AND(COUNTIF('01_Fuentes'!$A$5:$A$40,B44)=1,COUNTIF('02_Custodia'!$A$5:$A$53,C44)=1,COUNTIF('07_Operaciones'!$A$5:$A$26,J44)=1,COUNTIF('06_Cobertura'!$A$5:$A$25,H44)=1),0,1)</x:f>
        <x:v>0</x:v>
      </x:c>
      <x:c r="O44" s="12" t="n">
        <x:f>IF(COUNTIF('03_NICE'!$A$5:$A$57,I44)+COUNTIF('04_TKS'!$A$5:$A$72,I44)=1,0,1)</x:f>
        <x:v>0</x:v>
      </x:c>
      <x:c r="P44" s="12" t="n">
        <x:f>IF(OR(AND(B44="F008",L44&lt;&gt;"IDENTIFICADA_NO_ADOPTABLE"),AND(B44="F028",L44&lt;&gt;"PREGUNTA_NO_NORMATIVA"),COUNTIFS('01_Fuentes'!$A$5:$A$40,B44,'01_Fuentes'!$H$5:$H$40,"METADATOS_SOLO")&gt;0),1,0)</x:f>
        <x:v>0</x:v>
      </x:c>
      <x:c r="Q44" s="12" t="n">
        <x:f>IF(OR(A44="",D44="",E44="",F44="",K44="",L44=""),1,0)</x:f>
        <x:v>0</x:v>
      </x:c>
    </x:row>
    <x:row r="45" ht="47" customHeight="1">
      <x:c r="A45" s="4" t="str">
        <x:v>CP-041</x:v>
      </x:c>
      <x:c r="B45" s="4" t="str">
        <x:v>F005</x:v>
      </x:c>
      <x:c r="C45" s="4" t="str">
        <x:v>A008</x:v>
      </x:c>
      <x:c r="D45" s="4" t="str">
        <x:v>§2.12; Profile, Mission y Deliverables</x:v>
      </x:c>
      <x:c r="E45" s="4" t="str">
        <x:v>Penetration Tester</x:v>
      </x:c>
      <x:c r="F45" s="4" t="str">
        <x:v>Evaluación autorizada: informe de vulnerabilidades y prueba de penetración.</x:v>
      </x:c>
      <x:c r="G45" s="4" t="str">
        <x:v>Competencia</x:v>
      </x:c>
      <x:c r="H45" s="4" t="str">
        <x:v>E08</x:v>
      </x:c>
      <x:c r="I45" s="4" t="str">
        <x:v>PD-WRL-007</x:v>
      </x:c>
      <x:c r="J45" s="4" t="str">
        <x:v>OPC-04</x:v>
      </x:c>
      <x:c r="K45" s="4" t="str">
        <x:v>CONTRASTA_PRODUCTO; relación local no equivalencia de perfiles</x:v>
      </x:c>
      <x:c r="L45" s="4" t="str">
        <x:v>CANDIDATA_NO_ADOPTADA</x:v>
      </x:c>
      <x:c r="M45" s="12" t="n">
        <x:f>COUNTIF('05_Complementos'!$A$5:$A$127,A45)-1</x:f>
        <x:v>0</x:v>
      </x:c>
      <x:c r="N45" s="12" t="n">
        <x:f>IF(AND(COUNTIF('01_Fuentes'!$A$5:$A$40,B45)=1,COUNTIF('02_Custodia'!$A$5:$A$53,C45)=1,COUNTIF('07_Operaciones'!$A$5:$A$26,J45)=1,COUNTIF('06_Cobertura'!$A$5:$A$25,H45)=1),0,1)</x:f>
        <x:v>0</x:v>
      </x:c>
      <x:c r="O45" s="12" t="n">
        <x:f>IF(COUNTIF('03_NICE'!$A$5:$A$57,I45)+COUNTIF('04_TKS'!$A$5:$A$72,I45)=1,0,1)</x:f>
        <x:v>0</x:v>
      </x:c>
      <x:c r="P45" s="12" t="n">
        <x:f>IF(OR(AND(B45="F008",L45&lt;&gt;"IDENTIFICADA_NO_ADOPTABLE"),AND(B45="F028",L45&lt;&gt;"PREGUNTA_NO_NORMATIVA"),COUNTIFS('01_Fuentes'!$A$5:$A$40,B45,'01_Fuentes'!$H$5:$H$40,"METADATOS_SOLO")&gt;0),1,0)</x:f>
        <x:v>0</x:v>
      </x:c>
      <x:c r="Q45" s="12" t="n">
        <x:f>IF(OR(A45="",D45="",E45="",F45="",K45="",L45=""),1,0)</x:f>
        <x:v>0</x:v>
      </x:c>
    </x:row>
    <x:row r="46" ht="47" customHeight="1">
      <x:c r="A46" s="4" t="str">
        <x:v>CP-042</x:v>
      </x:c>
      <x:c r="B46" s="4" t="str">
        <x:v>F006</x:v>
      </x:c>
      <x:c r="C46" s="4" t="str">
        <x:v>F006</x:v>
      </x:c>
      <x:c r="D46" s="4" t="str">
        <x:v>Specific competencies, 2</x:v>
      </x:c>
      <x:c r="E46" s="4" t="str">
        <x:v>identify and select</x:v>
      </x:c>
      <x:c r="F46" s="4" t="str">
        <x:v>Seleccionar herramientas de detección y análisis según naturaleza y contexto del incidente.</x:v>
      </x:c>
      <x:c r="G46" s="4" t="str">
        <x:v>Competencia</x:v>
      </x:c>
      <x:c r="H46" s="4" t="str">
        <x:v>E09</x:v>
      </x:c>
      <x:c r="I46" s="4" t="str">
        <x:v>PD-WRL-001</x:v>
      </x:c>
      <x:c r="J46" s="4" t="str">
        <x:v>OPC-07</x:v>
      </x:c>
      <x:c r="K46" s="4" t="str">
        <x:v>CONTRASTE_UNIVERSITARIO; selección de competencias del programa completo</x:v>
      </x:c>
      <x:c r="L46" s="4" t="str">
        <x:v>CANDIDATA_NO_ADOPTADA</x:v>
      </x:c>
      <x:c r="M46" s="12" t="n">
        <x:f>COUNTIF('05_Complementos'!$A$5:$A$127,A46)-1</x:f>
        <x:v>0</x:v>
      </x:c>
      <x:c r="N46" s="12" t="n">
        <x:f>IF(AND(COUNTIF('01_Fuentes'!$A$5:$A$40,B46)=1,COUNTIF('02_Custodia'!$A$5:$A$53,C46)=1,COUNTIF('07_Operaciones'!$A$5:$A$26,J46)=1,COUNTIF('06_Cobertura'!$A$5:$A$25,H46)=1),0,1)</x:f>
        <x:v>0</x:v>
      </x:c>
      <x:c r="O46" s="12" t="n">
        <x:f>IF(COUNTIF('03_NICE'!$A$5:$A$57,I46)+COUNTIF('04_TKS'!$A$5:$A$72,I46)=1,0,1)</x:f>
        <x:v>0</x:v>
      </x:c>
      <x:c r="P46" s="12" t="n">
        <x:f>IF(OR(AND(B46="F008",L46&lt;&gt;"IDENTIFICADA_NO_ADOPTABLE"),AND(B46="F028",L46&lt;&gt;"PREGUNTA_NO_NORMATIVA"),COUNTIFS('01_Fuentes'!$A$5:$A$40,B46,'01_Fuentes'!$H$5:$H$40,"METADATOS_SOLO")&gt;0),1,0)</x:f>
        <x:v>0</x:v>
      </x:c>
      <x:c r="Q46" s="12" t="n">
        <x:f>IF(OR(A46="",D46="",E46="",F46="",K46="",L46=""),1,0)</x:f>
        <x:v>0</x:v>
      </x:c>
    </x:row>
    <x:row r="47" ht="47" customHeight="1">
      <x:c r="A47" s="4" t="str">
        <x:v>CP-043</x:v>
      </x:c>
      <x:c r="B47" s="4" t="str">
        <x:v>F006</x:v>
      </x:c>
      <x:c r="C47" s="4" t="str">
        <x:v>F006</x:v>
      </x:c>
      <x:c r="D47" s="4" t="str">
        <x:v>Specific competencies, 4</x:v>
      </x:c>
      <x:c r="E47" s="4" t="str">
        <x:v>cryptographic key</x:v>
      </x:c>
      <x:c r="F47" s="4" t="str">
        <x:v>Analizar robustez de protocolos criptográficos y gestión de claves.</x:v>
      </x:c>
      <x:c r="G47" s="4" t="str">
        <x:v>Competencia</x:v>
      </x:c>
      <x:c r="H47" s="4" t="str">
        <x:v>E04</x:v>
      </x:c>
      <x:c r="I47" s="4" t="str">
        <x:v>NF-COM-006</x:v>
      </x:c>
      <x:c r="J47" s="4" t="str">
        <x:v>OPC-13</x:v>
      </x:c>
      <x:c r="K47" s="4" t="str">
        <x:v>CONTRASTE_UNIVERSITARIO; selección de competencias del programa completo</x:v>
      </x:c>
      <x:c r="L47" s="4" t="str">
        <x:v>CANDIDATA_NO_ADOPTADA</x:v>
      </x:c>
      <x:c r="M47" s="12" t="n">
        <x:f>COUNTIF('05_Complementos'!$A$5:$A$127,A47)-1</x:f>
        <x:v>0</x:v>
      </x:c>
      <x:c r="N47" s="12" t="n">
        <x:f>IF(AND(COUNTIF('01_Fuentes'!$A$5:$A$40,B47)=1,COUNTIF('02_Custodia'!$A$5:$A$53,C47)=1,COUNTIF('07_Operaciones'!$A$5:$A$26,J47)=1,COUNTIF('06_Cobertura'!$A$5:$A$25,H47)=1),0,1)</x:f>
        <x:v>0</x:v>
      </x:c>
      <x:c r="O47" s="12" t="n">
        <x:f>IF(COUNTIF('03_NICE'!$A$5:$A$57,I47)+COUNTIF('04_TKS'!$A$5:$A$72,I47)=1,0,1)</x:f>
        <x:v>0</x:v>
      </x:c>
      <x:c r="P47" s="12" t="n">
        <x:f>IF(OR(AND(B47="F008",L47&lt;&gt;"IDENTIFICADA_NO_ADOPTABLE"),AND(B47="F028",L47&lt;&gt;"PREGUNTA_NO_NORMATIVA"),COUNTIFS('01_Fuentes'!$A$5:$A$40,B47,'01_Fuentes'!$H$5:$H$40,"METADATOS_SOLO")&gt;0),1,0)</x:f>
        <x:v>0</x:v>
      </x:c>
      <x:c r="Q47" s="12" t="n">
        <x:f>IF(OR(A47="",D47="",E47="",F47="",K47="",L47=""),1,0)</x:f>
        <x:v>0</x:v>
      </x:c>
    </x:row>
    <x:row r="48" ht="47" customHeight="1">
      <x:c r="A48" s="4" t="str">
        <x:v>CP-044</x:v>
      </x:c>
      <x:c r="B48" s="4" t="str">
        <x:v>F006</x:v>
      </x:c>
      <x:c r="C48" s="4" t="str">
        <x:v>F006</x:v>
      </x:c>
      <x:c r="D48" s="4" t="str">
        <x:v>Specific competencies, 5</x:v>
      </x:c>
      <x:c r="E48" s="4" t="str">
        <x:v>authentication, authorisation</x:v>
      </x:c>
      <x:c r="F48" s="4" t="str">
        <x:v>Diseñar y operar protocolos de autenticación, autorización y auditoría.</x:v>
      </x:c>
      <x:c r="G48" s="4" t="str">
        <x:v>Competencia</x:v>
      </x:c>
      <x:c r="H48" s="4" t="str">
        <x:v>E03</x:v>
      </x:c>
      <x:c r="I48" s="4" t="str">
        <x:v>NF-COM-001</x:v>
      </x:c>
      <x:c r="J48" s="4" t="str">
        <x:v>OPC-03</x:v>
      </x:c>
      <x:c r="K48" s="4" t="str">
        <x:v>CONTRASTE_UNIVERSITARIO; selección de competencias del programa completo</x:v>
      </x:c>
      <x:c r="L48" s="4" t="str">
        <x:v>CANDIDATA_NO_ADOPTADA</x:v>
      </x:c>
      <x:c r="M48" s="12" t="n">
        <x:f>COUNTIF('05_Complementos'!$A$5:$A$127,A48)-1</x:f>
        <x:v>0</x:v>
      </x:c>
      <x:c r="N48" s="12" t="n">
        <x:f>IF(AND(COUNTIF('01_Fuentes'!$A$5:$A$40,B48)=1,COUNTIF('02_Custodia'!$A$5:$A$53,C48)=1,COUNTIF('07_Operaciones'!$A$5:$A$26,J48)=1,COUNTIF('06_Cobertura'!$A$5:$A$25,H48)=1),0,1)</x:f>
        <x:v>0</x:v>
      </x:c>
      <x:c r="O48" s="12" t="n">
        <x:f>IF(COUNTIF('03_NICE'!$A$5:$A$57,I48)+COUNTIF('04_TKS'!$A$5:$A$72,I48)=1,0,1)</x:f>
        <x:v>0</x:v>
      </x:c>
      <x:c r="P48" s="12" t="n">
        <x:f>IF(OR(AND(B48="F008",L48&lt;&gt;"IDENTIFICADA_NO_ADOPTABLE"),AND(B48="F028",L48&lt;&gt;"PREGUNTA_NO_NORMATIVA"),COUNTIFS('01_Fuentes'!$A$5:$A$40,B48,'01_Fuentes'!$H$5:$H$40,"METADATOS_SOLO")&gt;0),1,0)</x:f>
        <x:v>0</x:v>
      </x:c>
      <x:c r="Q48" s="12" t="n">
        <x:f>IF(OR(A48="",D48="",E48="",F48="",K48="",L48=""),1,0)</x:f>
        <x:v>0</x:v>
      </x:c>
    </x:row>
    <x:row r="49" ht="47" customHeight="1">
      <x:c r="A49" s="4" t="str">
        <x:v>CP-045</x:v>
      </x:c>
      <x:c r="B49" s="4" t="str">
        <x:v>F006</x:v>
      </x:c>
      <x:c r="C49" s="4" t="str">
        <x:v>F006</x:v>
      </x:c>
      <x:c r="D49" s="4" t="str">
        <x:v>Specific competencies, 6</x:v>
      </x:c>
      <x:c r="E49" s="4" t="str">
        <x:v>monitoring and analysis</x:v>
      </x:c>
      <x:c r="F49" s="4" t="str">
        <x:v>Aplicar análisis de tráfico para detectar ataques e investigar incidentes.</x:v>
      </x:c>
      <x:c r="G49" s="4" t="str">
        <x:v>Competencia</x:v>
      </x:c>
      <x:c r="H49" s="4" t="str">
        <x:v>E09</x:v>
      </x:c>
      <x:c r="I49" s="4" t="str">
        <x:v>PD-WRL-003</x:v>
      </x:c>
      <x:c r="J49" s="4" t="str">
        <x:v>OPC-09</x:v>
      </x:c>
      <x:c r="K49" s="4" t="str">
        <x:v>CONTRASTE_UNIVERSITARIO; selección de competencias del programa completo</x:v>
      </x:c>
      <x:c r="L49" s="4" t="str">
        <x:v>CANDIDATA_NO_ADOPTADA</x:v>
      </x:c>
      <x:c r="M49" s="12" t="n">
        <x:f>COUNTIF('05_Complementos'!$A$5:$A$127,A49)-1</x:f>
        <x:v>0</x:v>
      </x:c>
      <x:c r="N49" s="12" t="n">
        <x:f>IF(AND(COUNTIF('01_Fuentes'!$A$5:$A$40,B49)=1,COUNTIF('02_Custodia'!$A$5:$A$53,C49)=1,COUNTIF('07_Operaciones'!$A$5:$A$26,J49)=1,COUNTIF('06_Cobertura'!$A$5:$A$25,H49)=1),0,1)</x:f>
        <x:v>0</x:v>
      </x:c>
      <x:c r="O49" s="12" t="n">
        <x:f>IF(COUNTIF('03_NICE'!$A$5:$A$57,I49)+COUNTIF('04_TKS'!$A$5:$A$72,I49)=1,0,1)</x:f>
        <x:v>0</x:v>
      </x:c>
      <x:c r="P49" s="12" t="n">
        <x:f>IF(OR(AND(B49="F008",L49&lt;&gt;"IDENTIFICADA_NO_ADOPTABLE"),AND(B49="F028",L49&lt;&gt;"PREGUNTA_NO_NORMATIVA"),COUNTIFS('01_Fuentes'!$A$5:$A$40,B49,'01_Fuentes'!$H$5:$H$40,"METADATOS_SOLO")&gt;0),1,0)</x:f>
        <x:v>0</x:v>
      </x:c>
      <x:c r="Q49" s="12" t="n">
        <x:f>IF(OR(A49="",D49="",E49="",F49="",K49="",L49=""),1,0)</x:f>
        <x:v>0</x:v>
      </x:c>
    </x:row>
    <x:row r="50" ht="47" customHeight="1">
      <x:c r="A50" s="4" t="str">
        <x:v>CP-046</x:v>
      </x:c>
      <x:c r="B50" s="4" t="str">
        <x:v>F007</x:v>
      </x:c>
      <x:c r="C50" s="4" t="str">
        <x:v>A009</x:v>
      </x:c>
      <x:c r="D50" s="4" t="str">
        <x:v>Core classes, 95-743; Student Handbook 2026-2027</x:v>
      </x:c>
      <x:c r="E50" s="4" t="str">
        <x:v>Cybersecurity Policy and Governance</x:v>
      </x:c>
      <x:c r="F50" s="4" t="str">
        <x:v>Estudiar política y gobierno de ciberseguridad en el plan anual; se conserva el cambio de título frente a la página web.</x:v>
      </x:c>
      <x:c r="G50" s="4" t="str">
        <x:v>Conocimiento</x:v>
      </x:c>
      <x:c r="H50" s="4" t="str">
        <x:v>E01</x:v>
      </x:c>
      <x:c r="I50" s="4" t="str">
        <x:v>OG-WRL-002</x:v>
      </x:c>
      <x:c r="J50" s="4" t="str">
        <x:v>OPC-01</x:v>
      </x:c>
      <x:c r="K50" s="4" t="str">
        <x:v>CONTRASTE_FORMATIVO; asignatura no acredita desempeño</x:v>
      </x:c>
      <x:c r="L50" s="4" t="str">
        <x:v>CANDIDATA_NO_ADOPTADA</x:v>
      </x:c>
      <x:c r="M50" s="12" t="n">
        <x:f>COUNTIF('05_Complementos'!$A$5:$A$127,A50)-1</x:f>
        <x:v>0</x:v>
      </x:c>
      <x:c r="N50" s="12" t="n">
        <x:f>IF(AND(COUNTIF('01_Fuentes'!$A$5:$A$40,B50)=1,COUNTIF('02_Custodia'!$A$5:$A$53,C50)=1,COUNTIF('07_Operaciones'!$A$5:$A$26,J50)=1,COUNTIF('06_Cobertura'!$A$5:$A$25,H50)=1),0,1)</x:f>
        <x:v>0</x:v>
      </x:c>
      <x:c r="O50" s="12" t="n">
        <x:f>IF(COUNTIF('03_NICE'!$A$5:$A$57,I50)+COUNTIF('04_TKS'!$A$5:$A$72,I50)=1,0,1)</x:f>
        <x:v>0</x:v>
      </x:c>
      <x:c r="P50" s="12" t="n">
        <x:f>IF(OR(AND(B50="F008",L50&lt;&gt;"IDENTIFICADA_NO_ADOPTABLE"),AND(B50="F028",L50&lt;&gt;"PREGUNTA_NO_NORMATIVA"),COUNTIFS('01_Fuentes'!$A$5:$A$40,B50,'01_Fuentes'!$H$5:$H$40,"METADATOS_SOLO")&gt;0),1,0)</x:f>
        <x:v>0</x:v>
      </x:c>
      <x:c r="Q50" s="12" t="n">
        <x:f>IF(OR(A50="",D50="",E50="",F50="",K50="",L50=""),1,0)</x:f>
        <x:v>0</x:v>
      </x:c>
    </x:row>
    <x:row r="51" ht="47" customHeight="1">
      <x:c r="A51" s="4" t="str">
        <x:v>CP-047</x:v>
      </x:c>
      <x:c r="B51" s="4" t="str">
        <x:v>F007</x:v>
      </x:c>
      <x:c r="C51" s="4" t="str">
        <x:v>A009</x:v>
      </x:c>
      <x:c r="D51" s="4" t="str">
        <x:v>Core classes, 95-755; Student Handbook 2026-2027</x:v>
      </x:c>
      <x:c r="E51" s="4" t="str">
        <x:v>Information Security Risk</x:v>
      </x:c>
      <x:c r="F51" s="4" t="str">
        <x:v>Estudiar evaluación y gestión de riesgo de seguridad.</x:v>
      </x:c>
      <x:c r="G51" s="4" t="str">
        <x:v>Conocimiento</x:v>
      </x:c>
      <x:c r="H51" s="4" t="str">
        <x:v>E01</x:v>
      </x:c>
      <x:c r="I51" s="4" t="str">
        <x:v>T1586</x:v>
      </x:c>
      <x:c r="J51" s="4" t="str">
        <x:v>OPC-01</x:v>
      </x:c>
      <x:c r="K51" s="4" t="str">
        <x:v>CONTRASTE_FORMATIVO; asignatura no acredita desempeño</x:v>
      </x:c>
      <x:c r="L51" s="4" t="str">
        <x:v>CANDIDATA_NO_ADOPTADA</x:v>
      </x:c>
      <x:c r="M51" s="12" t="n">
        <x:f>COUNTIF('05_Complementos'!$A$5:$A$127,A51)-1</x:f>
        <x:v>0</x:v>
      </x:c>
      <x:c r="N51" s="12" t="n">
        <x:f>IF(AND(COUNTIF('01_Fuentes'!$A$5:$A$40,B51)=1,COUNTIF('02_Custodia'!$A$5:$A$53,C51)=1,COUNTIF('07_Operaciones'!$A$5:$A$26,J51)=1,COUNTIF('06_Cobertura'!$A$5:$A$25,H51)=1),0,1)</x:f>
        <x:v>0</x:v>
      </x:c>
      <x:c r="O51" s="12" t="n">
        <x:f>IF(COUNTIF('03_NICE'!$A$5:$A$57,I51)+COUNTIF('04_TKS'!$A$5:$A$72,I51)=1,0,1)</x:f>
        <x:v>0</x:v>
      </x:c>
      <x:c r="P51" s="12" t="n">
        <x:f>IF(OR(AND(B51="F008",L51&lt;&gt;"IDENTIFICADA_NO_ADOPTABLE"),AND(B51="F028",L51&lt;&gt;"PREGUNTA_NO_NORMATIVA"),COUNTIFS('01_Fuentes'!$A$5:$A$40,B51,'01_Fuentes'!$H$5:$H$40,"METADATOS_SOLO")&gt;0),1,0)</x:f>
        <x:v>0</x:v>
      </x:c>
      <x:c r="Q51" s="12" t="n">
        <x:f>IF(OR(A51="",D51="",E51="",F51="",K51="",L51=""),1,0)</x:f>
        <x:v>0</x:v>
      </x:c>
    </x:row>
    <x:row r="52" ht="47" customHeight="1">
      <x:c r="A52" s="4" t="str">
        <x:v>CP-048</x:v>
      </x:c>
      <x:c r="B52" s="4" t="str">
        <x:v>F007</x:v>
      </x:c>
      <x:c r="C52" s="4" t="str">
        <x:v>A009</x:v>
      </x:c>
      <x:c r="D52" s="4" t="str">
        <x:v>Core classes, 95-760; Student Handbook 2026-2027</x:v>
      </x:c>
      <x:c r="E52" s="4" t="str">
        <x:v>Decision Making Under Uncertainty</x:v>
      </x:c>
      <x:c r="F52" s="4" t="str">
        <x:v>Estudiar decisiones bajo incertidumbre; su método externo no modifica el alfabeto SV.</x:v>
      </x:c>
      <x:c r="G52" s="4" t="str">
        <x:v>Conocimiento</x:v>
      </x:c>
      <x:c r="H52" s="4" t="str">
        <x:v>E19</x:v>
      </x:c>
      <x:c r="I52" s="4" t="str">
        <x:v>K1343</x:v>
      </x:c>
      <x:c r="J52" s="4" t="str">
        <x:v>OPC-15</x:v>
      </x:c>
      <x:c r="K52" s="4" t="str">
        <x:v>CONTRASTE_FORMATIVO; asignatura no acredita desempeño</x:v>
      </x:c>
      <x:c r="L52" s="4" t="str">
        <x:v>CANDIDATA_NO_ADOPTADA</x:v>
      </x:c>
      <x:c r="M52" s="12" t="n">
        <x:f>COUNTIF('05_Complementos'!$A$5:$A$127,A52)-1</x:f>
        <x:v>0</x:v>
      </x:c>
      <x:c r="N52" s="12" t="n">
        <x:f>IF(AND(COUNTIF('01_Fuentes'!$A$5:$A$40,B52)=1,COUNTIF('02_Custodia'!$A$5:$A$53,C52)=1,COUNTIF('07_Operaciones'!$A$5:$A$26,J52)=1,COUNTIF('06_Cobertura'!$A$5:$A$25,H52)=1),0,1)</x:f>
        <x:v>0</x:v>
      </x:c>
      <x:c r="O52" s="12" t="n">
        <x:f>IF(COUNTIF('03_NICE'!$A$5:$A$57,I52)+COUNTIF('04_TKS'!$A$5:$A$72,I52)=1,0,1)</x:f>
        <x:v>0</x:v>
      </x:c>
      <x:c r="P52" s="12" t="n">
        <x:f>IF(OR(AND(B52="F008",L52&lt;&gt;"IDENTIFICADA_NO_ADOPTABLE"),AND(B52="F028",L52&lt;&gt;"PREGUNTA_NO_NORMATIVA"),COUNTIFS('01_Fuentes'!$A$5:$A$40,B52,'01_Fuentes'!$H$5:$H$40,"METADATOS_SOLO")&gt;0),1,0)</x:f>
        <x:v>0</x:v>
      </x:c>
      <x:c r="Q52" s="12" t="n">
        <x:f>IF(OR(A52="",D52="",E52="",F52="",K52="",L52=""),1,0)</x:f>
        <x:v>0</x:v>
      </x:c>
    </x:row>
    <x:row r="53" ht="47" customHeight="1">
      <x:c r="A53" s="4" t="str">
        <x:v>CP-049</x:v>
      </x:c>
      <x:c r="B53" s="4" t="str">
        <x:v>F007</x:v>
      </x:c>
      <x:c r="C53" s="4" t="str">
        <x:v>A009</x:v>
      </x:c>
      <x:c r="D53" s="4" t="str">
        <x:v>Recommended Electives; 95-767; Student Handbook 2026-2027</x:v>
      </x:c>
      <x:c r="E53" s="4" t="str">
        <x:v>Cybersecurity for AI</x:v>
      </x:c>
      <x:c r="F53" s="4" t="str">
        <x:v>Examinar seguridad de IA como formación especializada optativa.</x:v>
      </x:c>
      <x:c r="G53" s="4" t="str">
        <x:v>Conocimiento</x:v>
      </x:c>
      <x:c r="H53" s="4" t="str">
        <x:v>E18</x:v>
      </x:c>
      <x:c r="I53" s="4" t="str">
        <x:v>NF-COM-002</x:v>
      </x:c>
      <x:c r="J53" s="4" t="str">
        <x:v>OPC-15</x:v>
      </x:c>
      <x:c r="K53" s="4" t="str">
        <x:v>CONTRASTE_FORMATIVO; asignatura no acredita desempeño</x:v>
      </x:c>
      <x:c r="L53" s="4" t="str">
        <x:v>CANDIDATA_NO_ADOPTADA</x:v>
      </x:c>
      <x:c r="M53" s="12" t="n">
        <x:f>COUNTIF('05_Complementos'!$A$5:$A$127,A53)-1</x:f>
        <x:v>0</x:v>
      </x:c>
      <x:c r="N53" s="12" t="n">
        <x:f>IF(AND(COUNTIF('01_Fuentes'!$A$5:$A$40,B53)=1,COUNTIF('02_Custodia'!$A$5:$A$53,C53)=1,COUNTIF('07_Operaciones'!$A$5:$A$26,J53)=1,COUNTIF('06_Cobertura'!$A$5:$A$25,H53)=1),0,1)</x:f>
        <x:v>0</x:v>
      </x:c>
      <x:c r="O53" s="12" t="n">
        <x:f>IF(COUNTIF('03_NICE'!$A$5:$A$57,I53)+COUNTIF('04_TKS'!$A$5:$A$72,I53)=1,0,1)</x:f>
        <x:v>0</x:v>
      </x:c>
      <x:c r="P53" s="12" t="n">
        <x:f>IF(OR(AND(B53="F008",L53&lt;&gt;"IDENTIFICADA_NO_ADOPTABLE"),AND(B53="F028",L53&lt;&gt;"PREGUNTA_NO_NORMATIVA"),COUNTIFS('01_Fuentes'!$A$5:$A$40,B53,'01_Fuentes'!$H$5:$H$40,"METADATOS_SOLO")&gt;0),1,0)</x:f>
        <x:v>0</x:v>
      </x:c>
      <x:c r="Q53" s="12" t="n">
        <x:f>IF(OR(A53="",D53="",E53="",F53="",K53="",L53=""),1,0)</x:f>
        <x:v>0</x:v>
      </x:c>
    </x:row>
    <x:row r="54" ht="47" customHeight="1">
      <x:c r="A54" s="4" t="str">
        <x:v>CP-050</x:v>
      </x:c>
      <x:c r="B54" s="4" t="str">
        <x:v>F008</x:v>
      </x:c>
      <x:c r="C54" s="4" t="str">
        <x:v>F008</x:v>
      </x:c>
      <x:c r="D54" s="4" t="str">
        <x:v>Inicio; perfiles de egreso</x:v>
      </x:c>
      <x:c r="E54" s="4" t="str">
        <x:v>Ingeniero de Sistemas Seguros</x:v>
      </x:c>
      <x:c r="F54" s="4" t="str">
        <x:v>Perfil de diseño de sistemas seguros identificado; extracción anual pendiente.</x:v>
      </x:c>
      <x:c r="G54" s="4" t="str">
        <x:v>Competencia</x:v>
      </x:c>
      <x:c r="H54" s="4" t="str">
        <x:v>E02</x:v>
      </x:c>
      <x:c r="I54" s="4" t="str">
        <x:v>DD-WRL-004</x:v>
      </x:c>
      <x:c r="J54" s="4" t="str">
        <x:v>OPC-02</x:v>
      </x:c>
      <x:c r="K54" s="4" t="str">
        <x:v>IDENTIFICACION_PARCIAL_NO_ADOPTADA</x:v>
      </x:c>
      <x:c r="L54" s="4" t="str">
        <x:v>IDENTIFICADA_NO_ADOPTABLE</x:v>
      </x:c>
      <x:c r="M54" s="12" t="n">
        <x:f>COUNTIF('05_Complementos'!$A$5:$A$127,A54)-1</x:f>
        <x:v>0</x:v>
      </x:c>
      <x:c r="N54" s="12" t="n">
        <x:f>IF(AND(COUNTIF('01_Fuentes'!$A$5:$A$40,B54)=1,COUNTIF('02_Custodia'!$A$5:$A$53,C54)=1,COUNTIF('07_Operaciones'!$A$5:$A$26,J54)=1,COUNTIF('06_Cobertura'!$A$5:$A$25,H54)=1),0,1)</x:f>
        <x:v>0</x:v>
      </x:c>
      <x:c r="O54" s="12" t="n">
        <x:f>IF(COUNTIF('03_NICE'!$A$5:$A$57,I54)+COUNTIF('04_TKS'!$A$5:$A$72,I54)=1,0,1)</x:f>
        <x:v>0</x:v>
      </x:c>
      <x:c r="P54" s="12" t="n">
        <x:f>IF(OR(AND(B54="F008",L54&lt;&gt;"IDENTIFICADA_NO_ADOPTABLE"),AND(B54="F028",L54&lt;&gt;"PREGUNTA_NO_NORMATIVA"),COUNTIFS('01_Fuentes'!$A$5:$A$40,B54,'01_Fuentes'!$H$5:$H$40,"METADATOS_SOLO")&gt;0),1,0)</x:f>
        <x:v>0</x:v>
      </x:c>
      <x:c r="Q54" s="12" t="n">
        <x:f>IF(OR(A54="",D54="",E54="",F54="",K54="",L54=""),1,0)</x:f>
        <x:v>0</x:v>
      </x:c>
    </x:row>
    <x:row r="55" ht="47" customHeight="1">
      <x:c r="A55" s="4" t="str">
        <x:v>CP-051</x:v>
      </x:c>
      <x:c r="B55" s="4" t="str">
        <x:v>F008</x:v>
      </x:c>
      <x:c r="C55" s="4" t="str">
        <x:v>F008</x:v>
      </x:c>
      <x:c r="D55" s="4" t="str">
        <x:v>Inicio; perfiles de egreso</x:v>
      </x:c>
      <x:c r="E55" s="4" t="str">
        <x:v>Analista de Ciberseguridad</x:v>
      </x:c>
      <x:c r="F55" s="4" t="str">
        <x:v>Perfil de análisis de ataques y debilidades identificado; extracción anual pendiente.</x:v>
      </x:c>
      <x:c r="G55" s="4" t="str">
        <x:v>Competencia</x:v>
      </x:c>
      <x:c r="H55" s="4" t="str">
        <x:v>E09</x:v>
      </x:c>
      <x:c r="I55" s="4" t="str">
        <x:v>PD-WRL-001</x:v>
      </x:c>
      <x:c r="J55" s="4" t="str">
        <x:v>OPC-07</x:v>
      </x:c>
      <x:c r="K55" s="4" t="str">
        <x:v>IDENTIFICACION_PARCIAL_NO_ADOPTADA</x:v>
      </x:c>
      <x:c r="L55" s="4" t="str">
        <x:v>IDENTIFICADA_NO_ADOPTABLE</x:v>
      </x:c>
      <x:c r="M55" s="12" t="n">
        <x:f>COUNTIF('05_Complementos'!$A$5:$A$127,A55)-1</x:f>
        <x:v>0</x:v>
      </x:c>
      <x:c r="N55" s="12" t="n">
        <x:f>IF(AND(COUNTIF('01_Fuentes'!$A$5:$A$40,B55)=1,COUNTIF('02_Custodia'!$A$5:$A$53,C55)=1,COUNTIF('07_Operaciones'!$A$5:$A$26,J55)=1,COUNTIF('06_Cobertura'!$A$5:$A$25,H55)=1),0,1)</x:f>
        <x:v>0</x:v>
      </x:c>
      <x:c r="O55" s="12" t="n">
        <x:f>IF(COUNTIF('03_NICE'!$A$5:$A$57,I55)+COUNTIF('04_TKS'!$A$5:$A$72,I55)=1,0,1)</x:f>
        <x:v>0</x:v>
      </x:c>
      <x:c r="P55" s="12" t="n">
        <x:f>IF(OR(AND(B55="F008",L55&lt;&gt;"IDENTIFICADA_NO_ADOPTABLE"),AND(B55="F028",L55&lt;&gt;"PREGUNTA_NO_NORMATIVA"),COUNTIFS('01_Fuentes'!$A$5:$A$40,B55,'01_Fuentes'!$H$5:$H$40,"METADATOS_SOLO")&gt;0),1,0)</x:f>
        <x:v>0</x:v>
      </x:c>
      <x:c r="Q55" s="12" t="n">
        <x:f>IF(OR(A55="",D55="",E55="",F55="",K55="",L55=""),1,0)</x:f>
        <x:v>0</x:v>
      </x:c>
    </x:row>
    <x:row r="56" ht="47" customHeight="1">
      <x:c r="A56" s="4" t="str">
        <x:v>CP-052</x:v>
      </x:c>
      <x:c r="B56" s="4" t="str">
        <x:v>F009</x:v>
      </x:c>
      <x:c r="C56" s="4" t="str">
        <x:v>F009</x:v>
      </x:c>
      <x:c r="D56" s="4" t="str">
        <x:v>Dominio 1</x:v>
      </x:c>
      <x:c r="E56" s="4" t="str">
        <x:v>Risk Management</x:v>
      </x:c>
      <x:c r="F56" s="4" t="str">
        <x:v>Gestión de seguridad y riesgo.</x:v>
      </x:c>
      <x:c r="G56" s="4" t="str">
        <x:v>Conocimiento</x:v>
      </x:c>
      <x:c r="H56" s="4" t="str">
        <x:v>E01</x:v>
      </x:c>
      <x:c r="I56" s="4" t="str">
        <x:v>OG-WRL-002</x:v>
      </x:c>
      <x:c r="J56" s="4" t="str">
        <x:v>OPC-01</x:v>
      </x:c>
      <x:c r="K56" s="4" t="str">
        <x:v>CORROBORA_TEMARIO; fragmento breve del rótulo</x:v>
      </x:c>
      <x:c r="L56" s="4" t="str">
        <x:v>CANDIDATA_NO_ADOPTADA</x:v>
      </x:c>
      <x:c r="M56" s="12" t="n">
        <x:f>COUNTIF('05_Complementos'!$A$5:$A$127,A56)-1</x:f>
        <x:v>0</x:v>
      </x:c>
      <x:c r="N56" s="12" t="n">
        <x:f>IF(AND(COUNTIF('01_Fuentes'!$A$5:$A$40,B56)=1,COUNTIF('02_Custodia'!$A$5:$A$53,C56)=1,COUNTIF('07_Operaciones'!$A$5:$A$26,J56)=1,COUNTIF('06_Cobertura'!$A$5:$A$25,H56)=1),0,1)</x:f>
        <x:v>0</x:v>
      </x:c>
      <x:c r="O56" s="12" t="n">
        <x:f>IF(COUNTIF('03_NICE'!$A$5:$A$57,I56)+COUNTIF('04_TKS'!$A$5:$A$72,I56)=1,0,1)</x:f>
        <x:v>0</x:v>
      </x:c>
      <x:c r="P56" s="12" t="n">
        <x:f>IF(OR(AND(B56="F008",L56&lt;&gt;"IDENTIFICADA_NO_ADOPTABLE"),AND(B56="F028",L56&lt;&gt;"PREGUNTA_NO_NORMATIVA"),COUNTIFS('01_Fuentes'!$A$5:$A$40,B56,'01_Fuentes'!$H$5:$H$40,"METADATOS_SOLO")&gt;0),1,0)</x:f>
        <x:v>0</x:v>
      </x:c>
      <x:c r="Q56" s="12" t="n">
        <x:f>IF(OR(A56="",D56="",E56="",F56="",K56="",L56=""),1,0)</x:f>
        <x:v>0</x:v>
      </x:c>
    </x:row>
    <x:row r="57" ht="47" customHeight="1">
      <x:c r="A57" s="4" t="str">
        <x:v>CP-053</x:v>
      </x:c>
      <x:c r="B57" s="4" t="str">
        <x:v>F009</x:v>
      </x:c>
      <x:c r="C57" s="4" t="str">
        <x:v>F009</x:v>
      </x:c>
      <x:c r="D57" s="4" t="str">
        <x:v>Dominio 2</x:v>
      </x:c>
      <x:c r="E57" s="4" t="str">
        <x:v>Asset</x:v>
      </x:c>
      <x:c r="F57" s="4" t="str">
        <x:v>Protección de activos.</x:v>
      </x:c>
      <x:c r="G57" s="4" t="str">
        <x:v>Conocimiento</x:v>
      </x:c>
      <x:c r="H57" s="4" t="str">
        <x:v>E02</x:v>
      </x:c>
      <x:c r="I57" s="4" t="str">
        <x:v>NF-COM-003</x:v>
      </x:c>
      <x:c r="J57" s="4" t="str">
        <x:v>OPC-12</x:v>
      </x:c>
      <x:c r="K57" s="4" t="str">
        <x:v>CORROBORA_TEMARIO; fragmento breve del rótulo</x:v>
      </x:c>
      <x:c r="L57" s="4" t="str">
        <x:v>CANDIDATA_NO_ADOPTADA</x:v>
      </x:c>
      <x:c r="M57" s="12" t="n">
        <x:f>COUNTIF('05_Complementos'!$A$5:$A$127,A57)-1</x:f>
        <x:v>0</x:v>
      </x:c>
      <x:c r="N57" s="12" t="n">
        <x:f>IF(AND(COUNTIF('01_Fuentes'!$A$5:$A$40,B57)=1,COUNTIF('02_Custodia'!$A$5:$A$53,C57)=1,COUNTIF('07_Operaciones'!$A$5:$A$26,J57)=1,COUNTIF('06_Cobertura'!$A$5:$A$25,H57)=1),0,1)</x:f>
        <x:v>0</x:v>
      </x:c>
      <x:c r="O57" s="12" t="n">
        <x:f>IF(COUNTIF('03_NICE'!$A$5:$A$57,I57)+COUNTIF('04_TKS'!$A$5:$A$72,I57)=1,0,1)</x:f>
        <x:v>0</x:v>
      </x:c>
      <x:c r="P57" s="12" t="n">
        <x:f>IF(OR(AND(B57="F008",L57&lt;&gt;"IDENTIFICADA_NO_ADOPTABLE"),AND(B57="F028",L57&lt;&gt;"PREGUNTA_NO_NORMATIVA"),COUNTIFS('01_Fuentes'!$A$5:$A$40,B57,'01_Fuentes'!$H$5:$H$40,"METADATOS_SOLO")&gt;0),1,0)</x:f>
        <x:v>0</x:v>
      </x:c>
      <x:c r="Q57" s="12" t="n">
        <x:f>IF(OR(A57="",D57="",E57="",F57="",K57="",L57=""),1,0)</x:f>
        <x:v>0</x:v>
      </x:c>
    </x:row>
    <x:row r="58" ht="47" customHeight="1">
      <x:c r="A58" s="4" t="str">
        <x:v>CP-054</x:v>
      </x:c>
      <x:c r="B58" s="4" t="str">
        <x:v>F009</x:v>
      </x:c>
      <x:c r="C58" s="4" t="str">
        <x:v>F009</x:v>
      </x:c>
      <x:c r="D58" s="4" t="str">
        <x:v>Dominio 3</x:v>
      </x:c>
      <x:c r="E58" s="4" t="str">
        <x:v>Architecture and Engineering</x:v>
      </x:c>
      <x:c r="F58" s="4" t="str">
        <x:v>Arquitectura e ingeniería de seguridad.</x:v>
      </x:c>
      <x:c r="G58" s="4" t="str">
        <x:v>Conocimiento</x:v>
      </x:c>
      <x:c r="H58" s="4" t="str">
        <x:v>E02</x:v>
      </x:c>
      <x:c r="I58" s="4" t="str">
        <x:v>DD-WRL-001</x:v>
      </x:c>
      <x:c r="J58" s="4" t="str">
        <x:v>OPC-02</x:v>
      </x:c>
      <x:c r="K58" s="4" t="str">
        <x:v>CORROBORA_TEMARIO; fragmento breve del rótulo</x:v>
      </x:c>
      <x:c r="L58" s="4" t="str">
        <x:v>CANDIDATA_NO_ADOPTADA</x:v>
      </x:c>
      <x:c r="M58" s="12" t="n">
        <x:f>COUNTIF('05_Complementos'!$A$5:$A$127,A58)-1</x:f>
        <x:v>0</x:v>
      </x:c>
      <x:c r="N58" s="12" t="n">
        <x:f>IF(AND(COUNTIF('01_Fuentes'!$A$5:$A$40,B58)=1,COUNTIF('02_Custodia'!$A$5:$A$53,C58)=1,COUNTIF('07_Operaciones'!$A$5:$A$26,J58)=1,COUNTIF('06_Cobertura'!$A$5:$A$25,H58)=1),0,1)</x:f>
        <x:v>0</x:v>
      </x:c>
      <x:c r="O58" s="12" t="n">
        <x:f>IF(COUNTIF('03_NICE'!$A$5:$A$57,I58)+COUNTIF('04_TKS'!$A$5:$A$72,I58)=1,0,1)</x:f>
        <x:v>0</x:v>
      </x:c>
      <x:c r="P58" s="12" t="n">
        <x:f>IF(OR(AND(B58="F008",L58&lt;&gt;"IDENTIFICADA_NO_ADOPTABLE"),AND(B58="F028",L58&lt;&gt;"PREGUNTA_NO_NORMATIVA"),COUNTIFS('01_Fuentes'!$A$5:$A$40,B58,'01_Fuentes'!$H$5:$H$40,"METADATOS_SOLO")&gt;0),1,0)</x:f>
        <x:v>0</x:v>
      </x:c>
      <x:c r="Q58" s="12" t="n">
        <x:f>IF(OR(A58="",D58="",E58="",F58="",K58="",L58=""),1,0)</x:f>
        <x:v>0</x:v>
      </x:c>
    </x:row>
    <x:row r="59" ht="47" customHeight="1">
      <x:c r="A59" s="4" t="str">
        <x:v>CP-055</x:v>
      </x:c>
      <x:c r="B59" s="4" t="str">
        <x:v>F009</x:v>
      </x:c>
      <x:c r="C59" s="4" t="str">
        <x:v>F009</x:v>
      </x:c>
      <x:c r="D59" s="4" t="str">
        <x:v>Dominio 4</x:v>
      </x:c>
      <x:c r="E59" s="4" t="str">
        <x:v>Communication and Network</x:v>
      </x:c>
      <x:c r="F59" s="4" t="str">
        <x:v>Comunicaciones y redes seguras.</x:v>
      </x:c>
      <x:c r="G59" s="4" t="str">
        <x:v>Conocimiento</x:v>
      </x:c>
      <x:c r="H59" s="4" t="str">
        <x:v>E05</x:v>
      </x:c>
      <x:c r="I59" s="4" t="str">
        <x:v>IO-WRL-004</x:v>
      </x:c>
      <x:c r="J59" s="4" t="str">
        <x:v>OPC-12</x:v>
      </x:c>
      <x:c r="K59" s="4" t="str">
        <x:v>CORROBORA_TEMARIO; fragmento breve del rótulo</x:v>
      </x:c>
      <x:c r="L59" s="4" t="str">
        <x:v>CANDIDATA_NO_ADOPTADA</x:v>
      </x:c>
      <x:c r="M59" s="12" t="n">
        <x:f>COUNTIF('05_Complementos'!$A$5:$A$127,A59)-1</x:f>
        <x:v>0</x:v>
      </x:c>
      <x:c r="N59" s="12" t="n">
        <x:f>IF(AND(COUNTIF('01_Fuentes'!$A$5:$A$40,B59)=1,COUNTIF('02_Custodia'!$A$5:$A$53,C59)=1,COUNTIF('07_Operaciones'!$A$5:$A$26,J59)=1,COUNTIF('06_Cobertura'!$A$5:$A$25,H59)=1),0,1)</x:f>
        <x:v>0</x:v>
      </x:c>
      <x:c r="O59" s="12" t="n">
        <x:f>IF(COUNTIF('03_NICE'!$A$5:$A$57,I59)+COUNTIF('04_TKS'!$A$5:$A$72,I59)=1,0,1)</x:f>
        <x:v>0</x:v>
      </x:c>
      <x:c r="P59" s="12" t="n">
        <x:f>IF(OR(AND(B59="F008",L59&lt;&gt;"IDENTIFICADA_NO_ADOPTABLE"),AND(B59="F028",L59&lt;&gt;"PREGUNTA_NO_NORMATIVA"),COUNTIFS('01_Fuentes'!$A$5:$A$40,B59,'01_Fuentes'!$H$5:$H$40,"METADATOS_SOLO")&gt;0),1,0)</x:f>
        <x:v>0</x:v>
      </x:c>
      <x:c r="Q59" s="12" t="n">
        <x:f>IF(OR(A59="",D59="",E59="",F59="",K59="",L59=""),1,0)</x:f>
        <x:v>0</x:v>
      </x:c>
    </x:row>
    <x:row r="60" ht="47" customHeight="1">
      <x:c r="A60" s="4" t="str">
        <x:v>CP-056</x:v>
      </x:c>
      <x:c r="B60" s="4" t="str">
        <x:v>F009</x:v>
      </x:c>
      <x:c r="C60" s="4" t="str">
        <x:v>F009</x:v>
      </x:c>
      <x:c r="D60" s="4" t="str">
        <x:v>Dominio 5</x:v>
      </x:c>
      <x:c r="E60" s="4" t="str">
        <x:v>Identity and Access</x:v>
      </x:c>
      <x:c r="F60" s="4" t="str">
        <x:v>Identidad y control de acceso.</x:v>
      </x:c>
      <x:c r="G60" s="4" t="str">
        <x:v>Conocimiento</x:v>
      </x:c>
      <x:c r="H60" s="4" t="str">
        <x:v>E03</x:v>
      </x:c>
      <x:c r="I60" s="4" t="str">
        <x:v>NF-COM-001</x:v>
      </x:c>
      <x:c r="J60" s="4" t="str">
        <x:v>OPC-03</x:v>
      </x:c>
      <x:c r="K60" s="4" t="str">
        <x:v>CORROBORA_TEMARIO; fragmento breve del rótulo</x:v>
      </x:c>
      <x:c r="L60" s="4" t="str">
        <x:v>CANDIDATA_NO_ADOPTADA</x:v>
      </x:c>
      <x:c r="M60" s="12" t="n">
        <x:f>COUNTIF('05_Complementos'!$A$5:$A$127,A60)-1</x:f>
        <x:v>0</x:v>
      </x:c>
      <x:c r="N60" s="12" t="n">
        <x:f>IF(AND(COUNTIF('01_Fuentes'!$A$5:$A$40,B60)=1,COUNTIF('02_Custodia'!$A$5:$A$53,C60)=1,COUNTIF('07_Operaciones'!$A$5:$A$26,J60)=1,COUNTIF('06_Cobertura'!$A$5:$A$25,H60)=1),0,1)</x:f>
        <x:v>0</x:v>
      </x:c>
      <x:c r="O60" s="12" t="n">
        <x:f>IF(COUNTIF('03_NICE'!$A$5:$A$57,I60)+COUNTIF('04_TKS'!$A$5:$A$72,I60)=1,0,1)</x:f>
        <x:v>0</x:v>
      </x:c>
      <x:c r="P60" s="12" t="n">
        <x:f>IF(OR(AND(B60="F008",L60&lt;&gt;"IDENTIFICADA_NO_ADOPTABLE"),AND(B60="F028",L60&lt;&gt;"PREGUNTA_NO_NORMATIVA"),COUNTIFS('01_Fuentes'!$A$5:$A$40,B60,'01_Fuentes'!$H$5:$H$40,"METADATOS_SOLO")&gt;0),1,0)</x:f>
        <x:v>0</x:v>
      </x:c>
      <x:c r="Q60" s="12" t="n">
        <x:f>IF(OR(A60="",D60="",E60="",F60="",K60="",L60=""),1,0)</x:f>
        <x:v>0</x:v>
      </x:c>
    </x:row>
    <x:row r="61" ht="47" customHeight="1">
      <x:c r="A61" s="4" t="str">
        <x:v>CP-057</x:v>
      </x:c>
      <x:c r="B61" s="4" t="str">
        <x:v>F009</x:v>
      </x:c>
      <x:c r="C61" s="4" t="str">
        <x:v>F009</x:v>
      </x:c>
      <x:c r="D61" s="4" t="str">
        <x:v>Dominio 6</x:v>
      </x:c>
      <x:c r="E61" s="4" t="str">
        <x:v>Assessment and Testing</x:v>
      </x:c>
      <x:c r="F61" s="4" t="str">
        <x:v>Evaluación y pruebas de seguridad.</x:v>
      </x:c>
      <x:c r="G61" s="4" t="str">
        <x:v>Conocimiento</x:v>
      </x:c>
      <x:c r="H61" s="4" t="str">
        <x:v>E08</x:v>
      </x:c>
      <x:c r="I61" s="4" t="str">
        <x:v>DD-WRL-007</x:v>
      </x:c>
      <x:c r="J61" s="4" t="str">
        <x:v>OPC-04</x:v>
      </x:c>
      <x:c r="K61" s="4" t="str">
        <x:v>CORROBORA_TEMARIO; fragmento breve del rótulo</x:v>
      </x:c>
      <x:c r="L61" s="4" t="str">
        <x:v>CANDIDATA_NO_ADOPTADA</x:v>
      </x:c>
      <x:c r="M61" s="12" t="n">
        <x:f>COUNTIF('05_Complementos'!$A$5:$A$127,A61)-1</x:f>
        <x:v>0</x:v>
      </x:c>
      <x:c r="N61" s="12" t="n">
        <x:f>IF(AND(COUNTIF('01_Fuentes'!$A$5:$A$40,B61)=1,COUNTIF('02_Custodia'!$A$5:$A$53,C61)=1,COUNTIF('07_Operaciones'!$A$5:$A$26,J61)=1,COUNTIF('06_Cobertura'!$A$5:$A$25,H61)=1),0,1)</x:f>
        <x:v>0</x:v>
      </x:c>
      <x:c r="O61" s="12" t="n">
        <x:f>IF(COUNTIF('03_NICE'!$A$5:$A$57,I61)+COUNTIF('04_TKS'!$A$5:$A$72,I61)=1,0,1)</x:f>
        <x:v>0</x:v>
      </x:c>
      <x:c r="P61" s="12" t="n">
        <x:f>IF(OR(AND(B61="F008",L61&lt;&gt;"IDENTIFICADA_NO_ADOPTABLE"),AND(B61="F028",L61&lt;&gt;"PREGUNTA_NO_NORMATIVA"),COUNTIFS('01_Fuentes'!$A$5:$A$40,B61,'01_Fuentes'!$H$5:$H$40,"METADATOS_SOLO")&gt;0),1,0)</x:f>
        <x:v>0</x:v>
      </x:c>
      <x:c r="Q61" s="12" t="n">
        <x:f>IF(OR(A61="",D61="",E61="",F61="",K61="",L61=""),1,0)</x:f>
        <x:v>0</x:v>
      </x:c>
    </x:row>
    <x:row r="62" ht="47" customHeight="1">
      <x:c r="A62" s="4" t="str">
        <x:v>CP-058</x:v>
      </x:c>
      <x:c r="B62" s="4" t="str">
        <x:v>F009</x:v>
      </x:c>
      <x:c r="C62" s="4" t="str">
        <x:v>F009</x:v>
      </x:c>
      <x:c r="D62" s="4" t="str">
        <x:v>Dominio 7</x:v>
      </x:c>
      <x:c r="E62" s="4" t="str">
        <x:v>Operations</x:v>
      </x:c>
      <x:c r="F62" s="4" t="str">
        <x:v>Operaciones de seguridad.</x:v>
      </x:c>
      <x:c r="G62" s="4" t="str">
        <x:v>Conocimiento</x:v>
      </x:c>
      <x:c r="H62" s="4" t="str">
        <x:v>E11</x:v>
      </x:c>
      <x:c r="I62" s="4" t="str">
        <x:v>PD-WRL-003</x:v>
      </x:c>
      <x:c r="J62" s="4" t="str">
        <x:v>OPC-09</x:v>
      </x:c>
      <x:c r="K62" s="4" t="str">
        <x:v>CORROBORA_TEMARIO; fragmento breve del rótulo</x:v>
      </x:c>
      <x:c r="L62" s="4" t="str">
        <x:v>CANDIDATA_NO_ADOPTADA</x:v>
      </x:c>
      <x:c r="M62" s="12" t="n">
        <x:f>COUNTIF('05_Complementos'!$A$5:$A$127,A62)-1</x:f>
        <x:v>0</x:v>
      </x:c>
      <x:c r="N62" s="12" t="n">
        <x:f>IF(AND(COUNTIF('01_Fuentes'!$A$5:$A$40,B62)=1,COUNTIF('02_Custodia'!$A$5:$A$53,C62)=1,COUNTIF('07_Operaciones'!$A$5:$A$26,J62)=1,COUNTIF('06_Cobertura'!$A$5:$A$25,H62)=1),0,1)</x:f>
        <x:v>0</x:v>
      </x:c>
      <x:c r="O62" s="12" t="n">
        <x:f>IF(COUNTIF('03_NICE'!$A$5:$A$57,I62)+COUNTIF('04_TKS'!$A$5:$A$72,I62)=1,0,1)</x:f>
        <x:v>0</x:v>
      </x:c>
      <x:c r="P62" s="12" t="n">
        <x:f>IF(OR(AND(B62="F008",L62&lt;&gt;"IDENTIFICADA_NO_ADOPTABLE"),AND(B62="F028",L62&lt;&gt;"PREGUNTA_NO_NORMATIVA"),COUNTIFS('01_Fuentes'!$A$5:$A$40,B62,'01_Fuentes'!$H$5:$H$40,"METADATOS_SOLO")&gt;0),1,0)</x:f>
        <x:v>0</x:v>
      </x:c>
      <x:c r="Q62" s="12" t="n">
        <x:f>IF(OR(A62="",D62="",E62="",F62="",K62="",L62=""),1,0)</x:f>
        <x:v>0</x:v>
      </x:c>
    </x:row>
    <x:row r="63" ht="47" customHeight="1">
      <x:c r="A63" s="4" t="str">
        <x:v>CP-059</x:v>
      </x:c>
      <x:c r="B63" s="4" t="str">
        <x:v>F009</x:v>
      </x:c>
      <x:c r="C63" s="4" t="str">
        <x:v>F009</x:v>
      </x:c>
      <x:c r="D63" s="4" t="str">
        <x:v>Dominio 8</x:v>
      </x:c>
      <x:c r="E63" s="4" t="str">
        <x:v>Software Development</x:v>
      </x:c>
      <x:c r="F63" s="4" t="str">
        <x:v>Seguridad del desarrollo.</x:v>
      </x:c>
      <x:c r="G63" s="4" t="str">
        <x:v>Conocimiento</x:v>
      </x:c>
      <x:c r="H63" s="4" t="str">
        <x:v>E06</x:v>
      </x:c>
      <x:c r="I63" s="4" t="str">
        <x:v>DD-WRL-003</x:v>
      </x:c>
      <x:c r="J63" s="4" t="str">
        <x:v>OPC-05</x:v>
      </x:c>
      <x:c r="K63" s="4" t="str">
        <x:v>CORROBORA_TEMARIO; fragmento breve del rótulo</x:v>
      </x:c>
      <x:c r="L63" s="4" t="str">
        <x:v>CANDIDATA_NO_ADOPTADA</x:v>
      </x:c>
      <x:c r="M63" s="12" t="n">
        <x:f>COUNTIF('05_Complementos'!$A$5:$A$127,A63)-1</x:f>
        <x:v>0</x:v>
      </x:c>
      <x:c r="N63" s="12" t="n">
        <x:f>IF(AND(COUNTIF('01_Fuentes'!$A$5:$A$40,B63)=1,COUNTIF('02_Custodia'!$A$5:$A$53,C63)=1,COUNTIF('07_Operaciones'!$A$5:$A$26,J63)=1,COUNTIF('06_Cobertura'!$A$5:$A$25,H63)=1),0,1)</x:f>
        <x:v>0</x:v>
      </x:c>
      <x:c r="O63" s="12" t="n">
        <x:f>IF(COUNTIF('03_NICE'!$A$5:$A$57,I63)+COUNTIF('04_TKS'!$A$5:$A$72,I63)=1,0,1)</x:f>
        <x:v>0</x:v>
      </x:c>
      <x:c r="P63" s="12" t="n">
        <x:f>IF(OR(AND(B63="F008",L63&lt;&gt;"IDENTIFICADA_NO_ADOPTABLE"),AND(B63="F028",L63&lt;&gt;"PREGUNTA_NO_NORMATIVA"),COUNTIFS('01_Fuentes'!$A$5:$A$40,B63,'01_Fuentes'!$H$5:$H$40,"METADATOS_SOLO")&gt;0),1,0)</x:f>
        <x:v>0</x:v>
      </x:c>
      <x:c r="Q63" s="12" t="n">
        <x:f>IF(OR(A63="",D63="",E63="",F63="",K63="",L63=""),1,0)</x:f>
        <x:v>0</x:v>
      </x:c>
    </x:row>
    <x:row r="64" ht="47" customHeight="1">
      <x:c r="A64" s="4" t="str">
        <x:v>CP-060</x:v>
      </x:c>
      <x:c r="B64" s="4" t="str">
        <x:v>F010</x:v>
      </x:c>
      <x:c r="C64" s="4" t="str">
        <x:v>F010</x:v>
      </x:c>
      <x:c r="D64" s="4" t="str">
        <x:v>Domain 1</x:v>
      </x:c>
      <x:c r="E64" s="4" t="str">
        <x:v>Information Security Governance</x:v>
      </x:c>
      <x:c r="F64" s="4" t="str">
        <x:v>Gobernar estrategia y responsabilidades de seguridad.</x:v>
      </x:c>
      <x:c r="G64" s="4" t="str">
        <x:v>Competencia</x:v>
      </x:c>
      <x:c r="H64" s="4" t="str">
        <x:v>E01</x:v>
      </x:c>
      <x:c r="I64" s="4" t="str">
        <x:v>OG-WRL-007</x:v>
      </x:c>
      <x:c r="J64" s="4" t="str">
        <x:v>OPC-01</x:v>
      </x:c>
      <x:c r="K64" s="4" t="str">
        <x:v>CONTRASTE_DE_GESTION; no adopta temario futuro</x:v>
      </x:c>
      <x:c r="L64" s="4" t="str">
        <x:v>CANDIDATA_NO_ADOPTADA</x:v>
      </x:c>
      <x:c r="M64" s="12" t="n">
        <x:f>COUNTIF('05_Complementos'!$A$5:$A$127,A64)-1</x:f>
        <x:v>0</x:v>
      </x:c>
      <x:c r="N64" s="12" t="n">
        <x:f>IF(AND(COUNTIF('01_Fuentes'!$A$5:$A$40,B64)=1,COUNTIF('02_Custodia'!$A$5:$A$53,C64)=1,COUNTIF('07_Operaciones'!$A$5:$A$26,J64)=1,COUNTIF('06_Cobertura'!$A$5:$A$25,H64)=1),0,1)</x:f>
        <x:v>0</x:v>
      </x:c>
      <x:c r="O64" s="12" t="n">
        <x:f>IF(COUNTIF('03_NICE'!$A$5:$A$57,I64)+COUNTIF('04_TKS'!$A$5:$A$72,I64)=1,0,1)</x:f>
        <x:v>0</x:v>
      </x:c>
      <x:c r="P64" s="12" t="n">
        <x:f>IF(OR(AND(B64="F008",L64&lt;&gt;"IDENTIFICADA_NO_ADOPTABLE"),AND(B64="F028",L64&lt;&gt;"PREGUNTA_NO_NORMATIVA"),COUNTIFS('01_Fuentes'!$A$5:$A$40,B64,'01_Fuentes'!$H$5:$H$40,"METADATOS_SOLO")&gt;0),1,0)</x:f>
        <x:v>0</x:v>
      </x:c>
      <x:c r="Q64" s="12" t="n">
        <x:f>IF(OR(A64="",D64="",E64="",F64="",K64="",L64=""),1,0)</x:f>
        <x:v>0</x:v>
      </x:c>
    </x:row>
    <x:row r="65" ht="47" customHeight="1">
      <x:c r="A65" s="4" t="str">
        <x:v>CP-061</x:v>
      </x:c>
      <x:c r="B65" s="4" t="str">
        <x:v>F010</x:v>
      </x:c>
      <x:c r="C65" s="4" t="str">
        <x:v>F010</x:v>
      </x:c>
      <x:c r="D65" s="4" t="str">
        <x:v>Domain 2</x:v>
      </x:c>
      <x:c r="E65" s="4" t="str">
        <x:v>Information Security Risk Management</x:v>
      </x:c>
      <x:c r="F65" s="4" t="str">
        <x:v>Gestionar riesgo de seguridad de la información.</x:v>
      </x:c>
      <x:c r="G65" s="4" t="str">
        <x:v>Competencia</x:v>
      </x:c>
      <x:c r="H65" s="4" t="str">
        <x:v>E01</x:v>
      </x:c>
      <x:c r="I65" s="4" t="str">
        <x:v>T1586</x:v>
      </x:c>
      <x:c r="J65" s="4" t="str">
        <x:v>OPC-01</x:v>
      </x:c>
      <x:c r="K65" s="4" t="str">
        <x:v>CONTRASTE_DE_GESTION; no adopta temario futuro</x:v>
      </x:c>
      <x:c r="L65" s="4" t="str">
        <x:v>CANDIDATA_NO_ADOPTADA</x:v>
      </x:c>
      <x:c r="M65" s="12" t="n">
        <x:f>COUNTIF('05_Complementos'!$A$5:$A$127,A65)-1</x:f>
        <x:v>0</x:v>
      </x:c>
      <x:c r="N65" s="12" t="n">
        <x:f>IF(AND(COUNTIF('01_Fuentes'!$A$5:$A$40,B65)=1,COUNTIF('02_Custodia'!$A$5:$A$53,C65)=1,COUNTIF('07_Operaciones'!$A$5:$A$26,J65)=1,COUNTIF('06_Cobertura'!$A$5:$A$25,H65)=1),0,1)</x:f>
        <x:v>0</x:v>
      </x:c>
      <x:c r="O65" s="12" t="n">
        <x:f>IF(COUNTIF('03_NICE'!$A$5:$A$57,I65)+COUNTIF('04_TKS'!$A$5:$A$72,I65)=1,0,1)</x:f>
        <x:v>0</x:v>
      </x:c>
      <x:c r="P65" s="12" t="n">
        <x:f>IF(OR(AND(B65="F008",L65&lt;&gt;"IDENTIFICADA_NO_ADOPTABLE"),AND(B65="F028",L65&lt;&gt;"PREGUNTA_NO_NORMATIVA"),COUNTIFS('01_Fuentes'!$A$5:$A$40,B65,'01_Fuentes'!$H$5:$H$40,"METADATOS_SOLO")&gt;0),1,0)</x:f>
        <x:v>0</x:v>
      </x:c>
      <x:c r="Q65" s="12" t="n">
        <x:f>IF(OR(A65="",D65="",E65="",F65="",K65="",L65=""),1,0)</x:f>
        <x:v>0</x:v>
      </x:c>
    </x:row>
    <x:row r="66" ht="47" customHeight="1">
      <x:c r="A66" s="4" t="str">
        <x:v>CP-062</x:v>
      </x:c>
      <x:c r="B66" s="4" t="str">
        <x:v>F010</x:v>
      </x:c>
      <x:c r="C66" s="4" t="str">
        <x:v>F010</x:v>
      </x:c>
      <x:c r="D66" s="4" t="str">
        <x:v>Domain 3</x:v>
      </x:c>
      <x:c r="E66" s="4" t="str">
        <x:v>Information Security Program</x:v>
      </x:c>
      <x:c r="F66" s="4" t="str">
        <x:v>Desarrollar y gestionar el programa de seguridad.</x:v>
      </x:c>
      <x:c r="G66" s="4" t="str">
        <x:v>Competencia</x:v>
      </x:c>
      <x:c r="H66" s="4" t="str">
        <x:v>E01</x:v>
      </x:c>
      <x:c r="I66" s="4" t="str">
        <x:v>OG-WRL-014</x:v>
      </x:c>
      <x:c r="J66" s="4" t="str">
        <x:v>OPC-01</x:v>
      </x:c>
      <x:c r="K66" s="4" t="str">
        <x:v>CONTRASTE_DE_GESTION; no adopta temario futuro</x:v>
      </x:c>
      <x:c r="L66" s="4" t="str">
        <x:v>CANDIDATA_NO_ADOPTADA</x:v>
      </x:c>
      <x:c r="M66" s="12" t="n">
        <x:f>COUNTIF('05_Complementos'!$A$5:$A$127,A66)-1</x:f>
        <x:v>0</x:v>
      </x:c>
      <x:c r="N66" s="12" t="n">
        <x:f>IF(AND(COUNTIF('01_Fuentes'!$A$5:$A$40,B66)=1,COUNTIF('02_Custodia'!$A$5:$A$53,C66)=1,COUNTIF('07_Operaciones'!$A$5:$A$26,J66)=1,COUNTIF('06_Cobertura'!$A$5:$A$25,H66)=1),0,1)</x:f>
        <x:v>0</x:v>
      </x:c>
      <x:c r="O66" s="12" t="n">
        <x:f>IF(COUNTIF('03_NICE'!$A$5:$A$57,I66)+COUNTIF('04_TKS'!$A$5:$A$72,I66)=1,0,1)</x:f>
        <x:v>0</x:v>
      </x:c>
      <x:c r="P66" s="12" t="n">
        <x:f>IF(OR(AND(B66="F008",L66&lt;&gt;"IDENTIFICADA_NO_ADOPTABLE"),AND(B66="F028",L66&lt;&gt;"PREGUNTA_NO_NORMATIVA"),COUNTIFS('01_Fuentes'!$A$5:$A$40,B66,'01_Fuentes'!$H$5:$H$40,"METADATOS_SOLO")&gt;0),1,0)</x:f>
        <x:v>0</x:v>
      </x:c>
      <x:c r="Q66" s="12" t="n">
        <x:f>IF(OR(A66="",D66="",E66="",F66="",K66="",L66=""),1,0)</x:f>
        <x:v>0</x:v>
      </x:c>
    </x:row>
    <x:row r="67" ht="47" customHeight="1">
      <x:c r="A67" s="4" t="str">
        <x:v>CP-063</x:v>
      </x:c>
      <x:c r="B67" s="4" t="str">
        <x:v>F010</x:v>
      </x:c>
      <x:c r="C67" s="4" t="str">
        <x:v>F010</x:v>
      </x:c>
      <x:c r="D67" s="4" t="str">
        <x:v>Domain 4</x:v>
      </x:c>
      <x:c r="E67" s="4" t="str">
        <x:v>Incident Management</x:v>
      </x:c>
      <x:c r="F67" s="4" t="str">
        <x:v>Gestionar preparación y respuesta a incidentes.</x:v>
      </x:c>
      <x:c r="G67" s="4" t="str">
        <x:v>Competencia</x:v>
      </x:c>
      <x:c r="H67" s="4" t="str">
        <x:v>E11</x:v>
      </x:c>
      <x:c r="I67" s="4" t="str">
        <x:v>PD-WRL-003</x:v>
      </x:c>
      <x:c r="J67" s="4" t="str">
        <x:v>OPC-09</x:v>
      </x:c>
      <x:c r="K67" s="4" t="str">
        <x:v>CONTRASTE_DE_GESTION; no adopta temario futuro</x:v>
      </x:c>
      <x:c r="L67" s="4" t="str">
        <x:v>CANDIDATA_NO_ADOPTADA</x:v>
      </x:c>
      <x:c r="M67" s="12" t="n">
        <x:f>COUNTIF('05_Complementos'!$A$5:$A$127,A67)-1</x:f>
        <x:v>0</x:v>
      </x:c>
      <x:c r="N67" s="12" t="n">
        <x:f>IF(AND(COUNTIF('01_Fuentes'!$A$5:$A$40,B67)=1,COUNTIF('02_Custodia'!$A$5:$A$53,C67)=1,COUNTIF('07_Operaciones'!$A$5:$A$26,J67)=1,COUNTIF('06_Cobertura'!$A$5:$A$25,H67)=1),0,1)</x:f>
        <x:v>0</x:v>
      </x:c>
      <x:c r="O67" s="12" t="n">
        <x:f>IF(COUNTIF('03_NICE'!$A$5:$A$57,I67)+COUNTIF('04_TKS'!$A$5:$A$72,I67)=1,0,1)</x:f>
        <x:v>0</x:v>
      </x:c>
      <x:c r="P67" s="12" t="n">
        <x:f>IF(OR(AND(B67="F008",L67&lt;&gt;"IDENTIFICADA_NO_ADOPTABLE"),AND(B67="F028",L67&lt;&gt;"PREGUNTA_NO_NORMATIVA"),COUNTIFS('01_Fuentes'!$A$5:$A$40,B67,'01_Fuentes'!$H$5:$H$40,"METADATOS_SOLO")&gt;0),1,0)</x:f>
        <x:v>0</x:v>
      </x:c>
      <x:c r="Q67" s="12" t="n">
        <x:f>IF(OR(A67="",D67="",E67="",F67="",K67="",L67=""),1,0)</x:f>
        <x:v>0</x:v>
      </x:c>
    </x:row>
    <x:row r="68" ht="47" customHeight="1">
      <x:c r="A68" s="4" t="str">
        <x:v>CP-064</x:v>
      </x:c>
      <x:c r="B68" s="4" t="str">
        <x:v>F011</x:v>
      </x:c>
      <x:c r="C68" s="4" t="str">
        <x:v>F011</x:v>
      </x:c>
      <x:c r="D68" s="4" t="str">
        <x:v>Exam Certification Objectives &amp; Outcome Statements; Introduction to Memory Forensics</x:v>
      </x:c>
      <x:c r="E68" s="4" t="str">
        <x:v>Introduction to Memory Forensics</x:v>
      </x:c>
      <x:c r="F68" s="4" t="str">
        <x:v>Reconocer cuándo obtener datos volátiles y preservar su integridad.</x:v>
      </x:c>
      <x:c r="G68" s="4" t="str">
        <x:v>Habilidad</x:v>
      </x:c>
      <x:c r="H68" s="4" t="str">
        <x:v>E10</x:v>
      </x:c>
      <x:c r="I68" s="4" t="str">
        <x:v>T1510</x:v>
      </x:c>
      <x:c r="J68" s="4" t="str">
        <x:v>OPC-10</x:v>
      </x:c>
      <x:c r="K68" s="4" t="str">
        <x:v>REFINA_FORENSE; predominio Windows conservado</x:v>
      </x:c>
      <x:c r="L68" s="4" t="str">
        <x:v>CANDIDATA_NO_ADOPTADA</x:v>
      </x:c>
      <x:c r="M68" s="12" t="n">
        <x:f>COUNTIF('05_Complementos'!$A$5:$A$127,A68)-1</x:f>
        <x:v>0</x:v>
      </x:c>
      <x:c r="N68" s="12" t="n">
        <x:f>IF(AND(COUNTIF('01_Fuentes'!$A$5:$A$40,B68)=1,COUNTIF('02_Custodia'!$A$5:$A$53,C68)=1,COUNTIF('07_Operaciones'!$A$5:$A$26,J68)=1,COUNTIF('06_Cobertura'!$A$5:$A$25,H68)=1),0,1)</x:f>
        <x:v>0</x:v>
      </x:c>
      <x:c r="O68" s="12" t="n">
        <x:f>IF(COUNTIF('03_NICE'!$A$5:$A$57,I68)+COUNTIF('04_TKS'!$A$5:$A$72,I68)=1,0,1)</x:f>
        <x:v>0</x:v>
      </x:c>
      <x:c r="P68" s="12" t="n">
        <x:f>IF(OR(AND(B68="F008",L68&lt;&gt;"IDENTIFICADA_NO_ADOPTABLE"),AND(B68="F028",L68&lt;&gt;"PREGUNTA_NO_NORMATIVA"),COUNTIFS('01_Fuentes'!$A$5:$A$40,B68,'01_Fuentes'!$H$5:$H$40,"METADATOS_SOLO")&gt;0),1,0)</x:f>
        <x:v>0</x:v>
      </x:c>
      <x:c r="Q68" s="12" t="n">
        <x:f>IF(OR(A68="",D68="",E68="",F68="",K68="",L68=""),1,0)</x:f>
        <x:v>0</x:v>
      </x:c>
    </x:row>
    <x:row r="69" ht="47" customHeight="1">
      <x:c r="A69" s="4" t="str">
        <x:v>CP-065</x:v>
      </x:c>
      <x:c r="B69" s="4" t="str">
        <x:v>F011</x:v>
      </x:c>
      <x:c r="C69" s="4" t="str">
        <x:v>F011</x:v>
      </x:c>
      <x:c r="D69" s="4" t="str">
        <x:v>Exam Certification Objectives &amp; Outcome Statements; File System Timeline Artifact Analysis</x:v>
      </x:c>
      <x:c r="E69" s="4" t="str">
        <x:v>File System Timeline Artifact Analysis</x:v>
      </x:c>
      <x:c r="F69" s="4" t="str">
        <x:v>Analizar marcas temporales y sus modificaciones por actividad del sistema o usuario.</x:v>
      </x:c>
      <x:c r="G69" s="4" t="str">
        <x:v>Habilidad</x:v>
      </x:c>
      <x:c r="H69" s="4" t="str">
        <x:v>E10</x:v>
      </x:c>
      <x:c r="I69" s="4" t="str">
        <x:v>T0173</x:v>
      </x:c>
      <x:c r="J69" s="4" t="str">
        <x:v>OPC-10</x:v>
      </x:c>
      <x:c r="K69" s="4" t="str">
        <x:v>REFINA_FORENSE; predominio Windows conservado</x:v>
      </x:c>
      <x:c r="L69" s="4" t="str">
        <x:v>CANDIDATA_NO_ADOPTADA</x:v>
      </x:c>
      <x:c r="M69" s="12" t="n">
        <x:f>COUNTIF('05_Complementos'!$A$5:$A$127,A69)-1</x:f>
        <x:v>0</x:v>
      </x:c>
      <x:c r="N69" s="12" t="n">
        <x:f>IF(AND(COUNTIF('01_Fuentes'!$A$5:$A$40,B69)=1,COUNTIF('02_Custodia'!$A$5:$A$53,C69)=1,COUNTIF('07_Operaciones'!$A$5:$A$26,J69)=1,COUNTIF('06_Cobertura'!$A$5:$A$25,H69)=1),0,1)</x:f>
        <x:v>0</x:v>
      </x:c>
      <x:c r="O69" s="12" t="n">
        <x:f>IF(COUNTIF('03_NICE'!$A$5:$A$57,I69)+COUNTIF('04_TKS'!$A$5:$A$72,I69)=1,0,1)</x:f>
        <x:v>0</x:v>
      </x:c>
      <x:c r="P69" s="12" t="n">
        <x:f>IF(OR(AND(B69="F008",L69&lt;&gt;"IDENTIFICADA_NO_ADOPTABLE"),AND(B69="F028",L69&lt;&gt;"PREGUNTA_NO_NORMATIVA"),COUNTIFS('01_Fuentes'!$A$5:$A$40,B69,'01_Fuentes'!$H$5:$H$40,"METADATOS_SOLO")&gt;0),1,0)</x:f>
        <x:v>0</x:v>
      </x:c>
      <x:c r="Q69" s="12" t="n">
        <x:f>IF(OR(A69="",D69="",E69="",F69="",K69="",L69=""),1,0)</x:f>
        <x:v>0</x:v>
      </x:c>
    </x:row>
    <x:row r="70" ht="47" customHeight="1">
      <x:c r="A70" s="4" t="str">
        <x:v>CP-066</x:v>
      </x:c>
      <x:c r="B70" s="4" t="str">
        <x:v>F011</x:v>
      </x:c>
      <x:c r="C70" s="4" t="str">
        <x:v>F011</x:v>
      </x:c>
      <x:c r="D70" s="4" t="str">
        <x:v>Exam Certification Objectives &amp; Outcome Statements; Identification of Malicious System and User Activity</x:v>
      </x:c>
      <x:c r="E70" s="4" t="str">
        <x:v>Identification of Malicious System and User Activity</x:v>
      </x:c>
      <x:c r="F70" s="4" t="str">
        <x:v>Identificar actividad maliciosa y efectos antiforenses en artefactos de memoria y disco.</x:v>
      </x:c>
      <x:c r="G70" s="4" t="str">
        <x:v>Habilidad</x:v>
      </x:c>
      <x:c r="H70" s="4" t="str">
        <x:v>E10</x:v>
      </x:c>
      <x:c r="I70" s="4" t="str">
        <x:v>PD-WRL-002</x:v>
      </x:c>
      <x:c r="J70" s="4" t="str">
        <x:v>OPC-10</x:v>
      </x:c>
      <x:c r="K70" s="4" t="str">
        <x:v>REFINA_FORENSE; predominio Windows conservado</x:v>
      </x:c>
      <x:c r="L70" s="4" t="str">
        <x:v>CANDIDATA_NO_ADOPTADA</x:v>
      </x:c>
      <x:c r="M70" s="12" t="n">
        <x:f>COUNTIF('05_Complementos'!$A$5:$A$127,A70)-1</x:f>
        <x:v>0</x:v>
      </x:c>
      <x:c r="N70" s="12" t="n">
        <x:f>IF(AND(COUNTIF('01_Fuentes'!$A$5:$A$40,B70)=1,COUNTIF('02_Custodia'!$A$5:$A$53,C70)=1,COUNTIF('07_Operaciones'!$A$5:$A$26,J70)=1,COUNTIF('06_Cobertura'!$A$5:$A$25,H70)=1),0,1)</x:f>
        <x:v>0</x:v>
      </x:c>
      <x:c r="O70" s="12" t="n">
        <x:f>IF(COUNTIF('03_NICE'!$A$5:$A$57,I70)+COUNTIF('04_TKS'!$A$5:$A$72,I70)=1,0,1)</x:f>
        <x:v>0</x:v>
      </x:c>
      <x:c r="P70" s="12" t="n">
        <x:f>IF(OR(AND(B70="F008",L70&lt;&gt;"IDENTIFICADA_NO_ADOPTABLE"),AND(B70="F028",L70&lt;&gt;"PREGUNTA_NO_NORMATIVA"),COUNTIFS('01_Fuentes'!$A$5:$A$40,B70,'01_Fuentes'!$H$5:$H$40,"METADATOS_SOLO")&gt;0),1,0)</x:f>
        <x:v>0</x:v>
      </x:c>
      <x:c r="Q70" s="12" t="n">
        <x:f>IF(OR(A70="",D70="",E70="",F70="",K70="",L70=""),1,0)</x:f>
        <x:v>0</x:v>
      </x:c>
    </x:row>
    <x:row r="71" ht="47" customHeight="1">
      <x:c r="A71" s="4" t="str">
        <x:v>CP-067</x:v>
      </x:c>
      <x:c r="B71" s="4" t="str">
        <x:v>F012</x:v>
      </x:c>
      <x:c r="C71" s="4" t="str">
        <x:v>F012</x:v>
      </x:c>
      <x:c r="D71" s="4" t="str">
        <x:v>Syllabus; descripción y temas</x:v>
      </x:c>
      <x:c r="E71" s="4" t="str">
        <x:v>Penetration Testing with Kali Linux</x:v>
      </x:c>
      <x:c r="F71" s="4" t="str">
        <x:v>Evaluar vulnerabilidades de sistemas, redes, aplicaciones y nube básica mediante práctica autorizada.</x:v>
      </x:c>
      <x:c r="G71" s="4" t="str">
        <x:v>Competencia</x:v>
      </x:c>
      <x:c r="H71" s="4" t="str">
        <x:v>E08</x:v>
      </x:c>
      <x:c r="I71" s="4" t="str">
        <x:v>PD-WRL-007</x:v>
      </x:c>
      <x:c r="J71" s="4" t="str">
        <x:v>OPC-04</x:v>
      </x:c>
      <x:c r="K71" s="4" t="str">
        <x:v>CONTRASTA_ALCANCE_PRACTICO; no otorga permiso</x:v>
      </x:c>
      <x:c r="L71" s="4" t="str">
        <x:v>CANDIDATA_NO_ADOPTADA</x:v>
      </x:c>
      <x:c r="M71" s="12" t="n">
        <x:f>COUNTIF('05_Complementos'!$A$5:$A$127,A71)-1</x:f>
        <x:v>0</x:v>
      </x:c>
      <x:c r="N71" s="12" t="n">
        <x:f>IF(AND(COUNTIF('01_Fuentes'!$A$5:$A$40,B71)=1,COUNTIF('02_Custodia'!$A$5:$A$53,C71)=1,COUNTIF('07_Operaciones'!$A$5:$A$26,J71)=1,COUNTIF('06_Cobertura'!$A$5:$A$25,H71)=1),0,1)</x:f>
        <x:v>0</x:v>
      </x:c>
      <x:c r="O71" s="12" t="n">
        <x:f>IF(COUNTIF('03_NICE'!$A$5:$A$57,I71)+COUNTIF('04_TKS'!$A$5:$A$72,I71)=1,0,1)</x:f>
        <x:v>0</x:v>
      </x:c>
      <x:c r="P71" s="12" t="n">
        <x:f>IF(OR(AND(B71="F008",L71&lt;&gt;"IDENTIFICADA_NO_ADOPTABLE"),AND(B71="F028",L71&lt;&gt;"PREGUNTA_NO_NORMATIVA"),COUNTIFS('01_Fuentes'!$A$5:$A$40,B71,'01_Fuentes'!$H$5:$H$40,"METADATOS_SOLO")&gt;0),1,0)</x:f>
        <x:v>0</x:v>
      </x:c>
      <x:c r="Q71" s="12" t="n">
        <x:f>IF(OR(A71="",D71="",E71="",F71="",K71="",L71=""),1,0)</x:f>
        <x:v>0</x:v>
      </x:c>
    </x:row>
    <x:row r="72" ht="47" customHeight="1">
      <x:c r="A72" s="4" t="str">
        <x:v>CP-068</x:v>
      </x:c>
      <x:c r="B72" s="4" t="str">
        <x:v>F016</x:v>
      </x:c>
      <x:c r="C72" s="4" t="str">
        <x:v>F016</x:v>
      </x:c>
      <x:c r="D72" s="4" t="str">
        <x:v>§2.1; función GV</x:v>
      </x:c>
      <x:c r="E72" s="4" t="str">
        <x:v>GOVERN</x:v>
      </x:c>
      <x:c r="F72" s="4" t="str">
        <x:v>Fijar estrategia, expectativas y política de riesgo.</x:v>
      </x:c>
      <x:c r="G72" s="4" t="str">
        <x:v>Resultado de referencia</x:v>
      </x:c>
      <x:c r="H72" s="4" t="str">
        <x:v>E01</x:v>
      </x:c>
      <x:c r="I72" s="4" t="str">
        <x:v>OG-WRL-007</x:v>
      </x:c>
      <x:c r="J72" s="4" t="str">
        <x:v>OPC-01</x:v>
      </x:c>
      <x:c r="K72" s="4" t="str">
        <x:v>CONTRASTA_CICLO; no prescribe un control</x:v>
      </x:c>
      <x:c r="L72" s="4" t="str">
        <x:v>CANDIDATA_NO_ADOPTADA</x:v>
      </x:c>
      <x:c r="M72" s="12" t="n">
        <x:f>COUNTIF('05_Complementos'!$A$5:$A$127,A72)-1</x:f>
        <x:v>0</x:v>
      </x:c>
      <x:c r="N72" s="12" t="n">
        <x:f>IF(AND(COUNTIF('01_Fuentes'!$A$5:$A$40,B72)=1,COUNTIF('02_Custodia'!$A$5:$A$53,C72)=1,COUNTIF('07_Operaciones'!$A$5:$A$26,J72)=1,COUNTIF('06_Cobertura'!$A$5:$A$25,H72)=1),0,1)</x:f>
        <x:v>0</x:v>
      </x:c>
      <x:c r="O72" s="12" t="n">
        <x:f>IF(COUNTIF('03_NICE'!$A$5:$A$57,I72)+COUNTIF('04_TKS'!$A$5:$A$72,I72)=1,0,1)</x:f>
        <x:v>0</x:v>
      </x:c>
      <x:c r="P72" s="12" t="n">
        <x:f>IF(OR(AND(B72="F008",L72&lt;&gt;"IDENTIFICADA_NO_ADOPTABLE"),AND(B72="F028",L72&lt;&gt;"PREGUNTA_NO_NORMATIVA"),COUNTIFS('01_Fuentes'!$A$5:$A$40,B72,'01_Fuentes'!$H$5:$H$40,"METADATOS_SOLO")&gt;0),1,0)</x:f>
        <x:v>0</x:v>
      </x:c>
      <x:c r="Q72" s="12" t="n">
        <x:f>IF(OR(A72="",D72="",E72="",F72="",K72="",L72=""),1,0)</x:f>
        <x:v>0</x:v>
      </x:c>
    </x:row>
    <x:row r="73" ht="47" customHeight="1">
      <x:c r="A73" s="4" t="str">
        <x:v>CP-069</x:v>
      </x:c>
      <x:c r="B73" s="4" t="str">
        <x:v>F016</x:v>
      </x:c>
      <x:c r="C73" s="4" t="str">
        <x:v>F016</x:v>
      </x:c>
      <x:c r="D73" s="4" t="str">
        <x:v>§2.1; función ID</x:v>
      </x:c>
      <x:c r="E73" s="4" t="str">
        <x:v>IDENTIFY</x:v>
      </x:c>
      <x:c r="F73" s="4" t="str">
        <x:v>Comprender riesgos y activos del contexto.</x:v>
      </x:c>
      <x:c r="G73" s="4" t="str">
        <x:v>Resultado de referencia</x:v>
      </x:c>
      <x:c r="H73" s="4" t="str">
        <x:v>E02</x:v>
      </x:c>
      <x:c r="I73" s="4" t="str">
        <x:v>NF-COM-003</x:v>
      </x:c>
      <x:c r="J73" s="4" t="str">
        <x:v>OPC-12</x:v>
      </x:c>
      <x:c r="K73" s="4" t="str">
        <x:v>CONTRASTA_CICLO; no prescribe un control</x:v>
      </x:c>
      <x:c r="L73" s="4" t="str">
        <x:v>CANDIDATA_NO_ADOPTADA</x:v>
      </x:c>
      <x:c r="M73" s="12" t="n">
        <x:f>COUNTIF('05_Complementos'!$A$5:$A$127,A73)-1</x:f>
        <x:v>0</x:v>
      </x:c>
      <x:c r="N73" s="12" t="n">
        <x:f>IF(AND(COUNTIF('01_Fuentes'!$A$5:$A$40,B73)=1,COUNTIF('02_Custodia'!$A$5:$A$53,C73)=1,COUNTIF('07_Operaciones'!$A$5:$A$26,J73)=1,COUNTIF('06_Cobertura'!$A$5:$A$25,H73)=1),0,1)</x:f>
        <x:v>0</x:v>
      </x:c>
      <x:c r="O73" s="12" t="n">
        <x:f>IF(COUNTIF('03_NICE'!$A$5:$A$57,I73)+COUNTIF('04_TKS'!$A$5:$A$72,I73)=1,0,1)</x:f>
        <x:v>0</x:v>
      </x:c>
      <x:c r="P73" s="12" t="n">
        <x:f>IF(OR(AND(B73="F008",L73&lt;&gt;"IDENTIFICADA_NO_ADOPTABLE"),AND(B73="F028",L73&lt;&gt;"PREGUNTA_NO_NORMATIVA"),COUNTIFS('01_Fuentes'!$A$5:$A$40,B73,'01_Fuentes'!$H$5:$H$40,"METADATOS_SOLO")&gt;0),1,0)</x:f>
        <x:v>0</x:v>
      </x:c>
      <x:c r="Q73" s="12" t="n">
        <x:f>IF(OR(A73="",D73="",E73="",F73="",K73="",L73=""),1,0)</x:f>
        <x:v>0</x:v>
      </x:c>
    </x:row>
    <x:row r="74" ht="47" customHeight="1">
      <x:c r="A74" s="4" t="str">
        <x:v>CP-070</x:v>
      </x:c>
      <x:c r="B74" s="4" t="str">
        <x:v>F016</x:v>
      </x:c>
      <x:c r="C74" s="4" t="str">
        <x:v>F016</x:v>
      </x:c>
      <x:c r="D74" s="4" t="str">
        <x:v>§2.1; función PR</x:v>
      </x:c>
      <x:c r="E74" s="4" t="str">
        <x:v>PROTECT</x:v>
      </x:c>
      <x:c r="F74" s="4" t="str">
        <x:v>Establecer salvaguardas pertinentes.</x:v>
      </x:c>
      <x:c r="G74" s="4" t="str">
        <x:v>Resultado de referencia</x:v>
      </x:c>
      <x:c r="H74" s="4" t="str">
        <x:v>E03</x:v>
      </x:c>
      <x:c r="I74" s="4" t="str">
        <x:v>NF-COM-001</x:v>
      </x:c>
      <x:c r="J74" s="4" t="str">
        <x:v>OPC-03</x:v>
      </x:c>
      <x:c r="K74" s="4" t="str">
        <x:v>CONTRASTA_CICLO; no prescribe un control</x:v>
      </x:c>
      <x:c r="L74" s="4" t="str">
        <x:v>CANDIDATA_NO_ADOPTADA</x:v>
      </x:c>
      <x:c r="M74" s="12" t="n">
        <x:f>COUNTIF('05_Complementos'!$A$5:$A$127,A74)-1</x:f>
        <x:v>0</x:v>
      </x:c>
      <x:c r="N74" s="12" t="n">
        <x:f>IF(AND(COUNTIF('01_Fuentes'!$A$5:$A$40,B74)=1,COUNTIF('02_Custodia'!$A$5:$A$53,C74)=1,COUNTIF('07_Operaciones'!$A$5:$A$26,J74)=1,COUNTIF('06_Cobertura'!$A$5:$A$25,H74)=1),0,1)</x:f>
        <x:v>0</x:v>
      </x:c>
      <x:c r="O74" s="12" t="n">
        <x:f>IF(COUNTIF('03_NICE'!$A$5:$A$57,I74)+COUNTIF('04_TKS'!$A$5:$A$72,I74)=1,0,1)</x:f>
        <x:v>0</x:v>
      </x:c>
      <x:c r="P74" s="12" t="n">
        <x:f>IF(OR(AND(B74="F008",L74&lt;&gt;"IDENTIFICADA_NO_ADOPTABLE"),AND(B74="F028",L74&lt;&gt;"PREGUNTA_NO_NORMATIVA"),COUNTIFS('01_Fuentes'!$A$5:$A$40,B74,'01_Fuentes'!$H$5:$H$40,"METADATOS_SOLO")&gt;0),1,0)</x:f>
        <x:v>0</x:v>
      </x:c>
      <x:c r="Q74" s="12" t="n">
        <x:f>IF(OR(A74="",D74="",E74="",F74="",K74="",L74=""),1,0)</x:f>
        <x:v>0</x:v>
      </x:c>
    </x:row>
    <x:row r="75" ht="47" customHeight="1">
      <x:c r="A75" s="4" t="str">
        <x:v>CP-071</x:v>
      </x:c>
      <x:c r="B75" s="4" t="str">
        <x:v>F016</x:v>
      </x:c>
      <x:c r="C75" s="4" t="str">
        <x:v>F016</x:v>
      </x:c>
      <x:c r="D75" s="4" t="str">
        <x:v>§2.1; función DE</x:v>
      </x:c>
      <x:c r="E75" s="4" t="str">
        <x:v>DETECT</x:v>
      </x:c>
      <x:c r="F75" s="4" t="str">
        <x:v>Encontrar y analizar posibles ataques y compromisos.</x:v>
      </x:c>
      <x:c r="G75" s="4" t="str">
        <x:v>Resultado de referencia</x:v>
      </x:c>
      <x:c r="H75" s="4" t="str">
        <x:v>E09</x:v>
      </x:c>
      <x:c r="I75" s="4" t="str">
        <x:v>PD-WRL-001</x:v>
      </x:c>
      <x:c r="J75" s="4" t="str">
        <x:v>OPC-07</x:v>
      </x:c>
      <x:c r="K75" s="4" t="str">
        <x:v>CONTRASTA_CICLO; no prescribe un control</x:v>
      </x:c>
      <x:c r="L75" s="4" t="str">
        <x:v>CANDIDATA_NO_ADOPTADA</x:v>
      </x:c>
      <x:c r="M75" s="12" t="n">
        <x:f>COUNTIF('05_Complementos'!$A$5:$A$127,A75)-1</x:f>
        <x:v>0</x:v>
      </x:c>
      <x:c r="N75" s="12" t="n">
        <x:f>IF(AND(COUNTIF('01_Fuentes'!$A$5:$A$40,B75)=1,COUNTIF('02_Custodia'!$A$5:$A$53,C75)=1,COUNTIF('07_Operaciones'!$A$5:$A$26,J75)=1,COUNTIF('06_Cobertura'!$A$5:$A$25,H75)=1),0,1)</x:f>
        <x:v>0</x:v>
      </x:c>
      <x:c r="O75" s="12" t="n">
        <x:f>IF(COUNTIF('03_NICE'!$A$5:$A$57,I75)+COUNTIF('04_TKS'!$A$5:$A$72,I75)=1,0,1)</x:f>
        <x:v>0</x:v>
      </x:c>
      <x:c r="P75" s="12" t="n">
        <x:f>IF(OR(AND(B75="F008",L75&lt;&gt;"IDENTIFICADA_NO_ADOPTABLE"),AND(B75="F028",L75&lt;&gt;"PREGUNTA_NO_NORMATIVA"),COUNTIFS('01_Fuentes'!$A$5:$A$40,B75,'01_Fuentes'!$H$5:$H$40,"METADATOS_SOLO")&gt;0),1,0)</x:f>
        <x:v>0</x:v>
      </x:c>
      <x:c r="Q75" s="12" t="n">
        <x:f>IF(OR(A75="",D75="",E75="",F75="",K75="",L75=""),1,0)</x:f>
        <x:v>0</x:v>
      </x:c>
    </x:row>
    <x:row r="76" ht="47" customHeight="1">
      <x:c r="A76" s="4" t="str">
        <x:v>CP-072</x:v>
      </x:c>
      <x:c r="B76" s="4" t="str">
        <x:v>F016</x:v>
      </x:c>
      <x:c r="C76" s="4" t="str">
        <x:v>F016</x:v>
      </x:c>
      <x:c r="D76" s="4" t="str">
        <x:v>§2.1; función RS</x:v>
      </x:c>
      <x:c r="E76" s="4" t="str">
        <x:v>RESPOND</x:v>
      </x:c>
      <x:c r="F76" s="4" t="str">
        <x:v>Actuar bajo gobierno ante incidentes detectados.</x:v>
      </x:c>
      <x:c r="G76" s="4" t="str">
        <x:v>Resultado de referencia</x:v>
      </x:c>
      <x:c r="H76" s="4" t="str">
        <x:v>E11</x:v>
      </x:c>
      <x:c r="I76" s="4" t="str">
        <x:v>PD-WRL-003</x:v>
      </x:c>
      <x:c r="J76" s="4" t="str">
        <x:v>OPC-09</x:v>
      </x:c>
      <x:c r="K76" s="4" t="str">
        <x:v>CONTRASTA_CICLO; no prescribe un control</x:v>
      </x:c>
      <x:c r="L76" s="4" t="str">
        <x:v>CANDIDATA_NO_ADOPTADA</x:v>
      </x:c>
      <x:c r="M76" s="12" t="n">
        <x:f>COUNTIF('05_Complementos'!$A$5:$A$127,A76)-1</x:f>
        <x:v>0</x:v>
      </x:c>
      <x:c r="N76" s="12" t="n">
        <x:f>IF(AND(COUNTIF('01_Fuentes'!$A$5:$A$40,B76)=1,COUNTIF('02_Custodia'!$A$5:$A$53,C76)=1,COUNTIF('07_Operaciones'!$A$5:$A$26,J76)=1,COUNTIF('06_Cobertura'!$A$5:$A$25,H76)=1),0,1)</x:f>
        <x:v>0</x:v>
      </x:c>
      <x:c r="O76" s="12" t="n">
        <x:f>IF(COUNTIF('03_NICE'!$A$5:$A$57,I76)+COUNTIF('04_TKS'!$A$5:$A$72,I76)=1,0,1)</x:f>
        <x:v>0</x:v>
      </x:c>
      <x:c r="P76" s="12" t="n">
        <x:f>IF(OR(AND(B76="F008",L76&lt;&gt;"IDENTIFICADA_NO_ADOPTABLE"),AND(B76="F028",L76&lt;&gt;"PREGUNTA_NO_NORMATIVA"),COUNTIFS('01_Fuentes'!$A$5:$A$40,B76,'01_Fuentes'!$H$5:$H$40,"METADATOS_SOLO")&gt;0),1,0)</x:f>
        <x:v>0</x:v>
      </x:c>
      <x:c r="Q76" s="12" t="n">
        <x:f>IF(OR(A76="",D76="",E76="",F76="",K76="",L76=""),1,0)</x:f>
        <x:v>0</x:v>
      </x:c>
    </x:row>
    <x:row r="77" ht="47" customHeight="1">
      <x:c r="A77" s="4" t="str">
        <x:v>CP-073</x:v>
      </x:c>
      <x:c r="B77" s="4" t="str">
        <x:v>F016</x:v>
      </x:c>
      <x:c r="C77" s="4" t="str">
        <x:v>F016</x:v>
      </x:c>
      <x:c r="D77" s="4" t="str">
        <x:v>§2.1; función RC</x:v>
      </x:c>
      <x:c r="E77" s="4" t="str">
        <x:v>RECOVER</x:v>
      </x:c>
      <x:c r="F77" s="4" t="str">
        <x:v>Restaurar activos y operaciones afectados.</x:v>
      </x:c>
      <x:c r="G77" s="4" t="str">
        <x:v>Resultado de referencia</x:v>
      </x:c>
      <x:c r="H77" s="4" t="str">
        <x:v>E12</x:v>
      </x:c>
      <x:c r="I77" s="4" t="str">
        <x:v>NF-COM-007</x:v>
      </x:c>
      <x:c r="J77" s="4" t="str">
        <x:v>OPC-11</x:v>
      </x:c>
      <x:c r="K77" s="4" t="str">
        <x:v>CONTRASTA_CICLO; no prescribe un control</x:v>
      </x:c>
      <x:c r="L77" s="4" t="str">
        <x:v>CANDIDATA_NO_ADOPTADA</x:v>
      </x:c>
      <x:c r="M77" s="12" t="n">
        <x:f>COUNTIF('05_Complementos'!$A$5:$A$127,A77)-1</x:f>
        <x:v>0</x:v>
      </x:c>
      <x:c r="N77" s="12" t="n">
        <x:f>IF(AND(COUNTIF('01_Fuentes'!$A$5:$A$40,B77)=1,COUNTIF('02_Custodia'!$A$5:$A$53,C77)=1,COUNTIF('07_Operaciones'!$A$5:$A$26,J77)=1,COUNTIF('06_Cobertura'!$A$5:$A$25,H77)=1),0,1)</x:f>
        <x:v>0</x:v>
      </x:c>
      <x:c r="O77" s="12" t="n">
        <x:f>IF(COUNTIF('03_NICE'!$A$5:$A$57,I77)+COUNTIF('04_TKS'!$A$5:$A$72,I77)=1,0,1)</x:f>
        <x:v>0</x:v>
      </x:c>
      <x:c r="P77" s="12" t="n">
        <x:f>IF(OR(AND(B77="F008",L77&lt;&gt;"IDENTIFICADA_NO_ADOPTABLE"),AND(B77="F028",L77&lt;&gt;"PREGUNTA_NO_NORMATIVA"),COUNTIFS('01_Fuentes'!$A$5:$A$40,B77,'01_Fuentes'!$H$5:$H$40,"METADATOS_SOLO")&gt;0),1,0)</x:f>
        <x:v>0</x:v>
      </x:c>
      <x:c r="Q77" s="12" t="n">
        <x:f>IF(OR(A77="",D77="",E77="",F77="",K77="",L77=""),1,0)</x:f>
        <x:v>0</x:v>
      </x:c>
    </x:row>
    <x:row r="78" ht="47" customHeight="1">
      <x:c r="A78" s="4" t="str">
        <x:v>CP-074</x:v>
      </x:c>
      <x:c r="B78" s="4" t="str">
        <x:v>F018</x:v>
      </x:c>
      <x:c r="C78" s="4" t="str">
        <x:v>F018</x:v>
      </x:c>
      <x:c r="D78" s="4" t="str">
        <x:v>§6</x:v>
      </x:c>
      <x:c r="E78" s="4" t="str">
        <x:v>Security Assessment Planning</x:v>
      </x:c>
      <x:c r="F78" s="4" t="str">
        <x:v>Fijar objetivo, alcance, recursos y plan antes de evaluar.</x:v>
      </x:c>
      <x:c r="G78" s="4" t="str">
        <x:v>Método</x:v>
      </x:c>
      <x:c r="H78" s="4" t="str">
        <x:v>E08</x:v>
      </x:c>
      <x:c r="I78" s="4" t="str">
        <x:v>DD-WRL-007</x:v>
      </x:c>
      <x:c r="J78" s="4" t="str">
        <x:v>OPC-04</x:v>
      </x:c>
      <x:c r="K78" s="4" t="str">
        <x:v>REFINA_METODO_Y_AUTORIZACION</x:v>
      </x:c>
      <x:c r="L78" s="4" t="str">
        <x:v>CANDIDATA_NO_ADOPTADA</x:v>
      </x:c>
      <x:c r="M78" s="12" t="n">
        <x:f>COUNTIF('05_Complementos'!$A$5:$A$127,A78)-1</x:f>
        <x:v>0</x:v>
      </x:c>
      <x:c r="N78" s="12" t="n">
        <x:f>IF(AND(COUNTIF('01_Fuentes'!$A$5:$A$40,B78)=1,COUNTIF('02_Custodia'!$A$5:$A$53,C78)=1,COUNTIF('07_Operaciones'!$A$5:$A$26,J78)=1,COUNTIF('06_Cobertura'!$A$5:$A$25,H78)=1),0,1)</x:f>
        <x:v>0</x:v>
      </x:c>
      <x:c r="O78" s="12" t="n">
        <x:f>IF(COUNTIF('03_NICE'!$A$5:$A$57,I78)+COUNTIF('04_TKS'!$A$5:$A$72,I78)=1,0,1)</x:f>
        <x:v>0</x:v>
      </x:c>
      <x:c r="P78" s="12" t="n">
        <x:f>IF(OR(AND(B78="F008",L78&lt;&gt;"IDENTIFICADA_NO_ADOPTABLE"),AND(B78="F028",L78&lt;&gt;"PREGUNTA_NO_NORMATIVA"),COUNTIFS('01_Fuentes'!$A$5:$A$40,B78,'01_Fuentes'!$H$5:$H$40,"METADATOS_SOLO")&gt;0),1,0)</x:f>
        <x:v>0</x:v>
      </x:c>
      <x:c r="Q78" s="12" t="n">
        <x:f>IF(OR(A78="",D78="",E78="",F78="",K78="",L78=""),1,0)</x:f>
        <x:v>0</x:v>
      </x:c>
    </x:row>
    <x:row r="79" ht="47" customHeight="1">
      <x:c r="A79" s="4" t="str">
        <x:v>CP-075</x:v>
      </x:c>
      <x:c r="B79" s="4" t="str">
        <x:v>F018</x:v>
      </x:c>
      <x:c r="C79" s="4" t="str">
        <x:v>F018</x:v>
      </x:c>
      <x:c r="D79" s="4" t="str">
        <x:v>Apéndice B</x:v>
      </x:c>
      <x:c r="E79" s="4" t="str">
        <x:v>Rules of Engagement</x:v>
      </x:c>
      <x:c r="F79" s="4" t="str">
        <x:v>Documentar autorización y restricciones de las pruebas.</x:v>
      </x:c>
      <x:c r="G79" s="4" t="str">
        <x:v>Método</x:v>
      </x:c>
      <x:c r="H79" s="4" t="str">
        <x:v>E08</x:v>
      </x:c>
      <x:c r="I79" s="4" t="str">
        <x:v>DD-WRL-007</x:v>
      </x:c>
      <x:c r="J79" s="4" t="str">
        <x:v>OPC-04</x:v>
      </x:c>
      <x:c r="K79" s="4" t="str">
        <x:v>REFINA_METODO_Y_AUTORIZACION</x:v>
      </x:c>
      <x:c r="L79" s="4" t="str">
        <x:v>CANDIDATA_NO_ADOPTADA</x:v>
      </x:c>
      <x:c r="M79" s="12" t="n">
        <x:f>COUNTIF('05_Complementos'!$A$5:$A$127,A79)-1</x:f>
        <x:v>0</x:v>
      </x:c>
      <x:c r="N79" s="12" t="n">
        <x:f>IF(AND(COUNTIF('01_Fuentes'!$A$5:$A$40,B79)=1,COUNTIF('02_Custodia'!$A$5:$A$53,C79)=1,COUNTIF('07_Operaciones'!$A$5:$A$26,J79)=1,COUNTIF('06_Cobertura'!$A$5:$A$25,H79)=1),0,1)</x:f>
        <x:v>0</x:v>
      </x:c>
      <x:c r="O79" s="12" t="n">
        <x:f>IF(COUNTIF('03_NICE'!$A$5:$A$57,I79)+COUNTIF('04_TKS'!$A$5:$A$72,I79)=1,0,1)</x:f>
        <x:v>0</x:v>
      </x:c>
      <x:c r="P79" s="12" t="n">
        <x:f>IF(OR(AND(B79="F008",L79&lt;&gt;"IDENTIFICADA_NO_ADOPTABLE"),AND(B79="F028",L79&lt;&gt;"PREGUNTA_NO_NORMATIVA"),COUNTIFS('01_Fuentes'!$A$5:$A$40,B79,'01_Fuentes'!$H$5:$H$40,"METADATOS_SOLO")&gt;0),1,0)</x:f>
        <x:v>0</x:v>
      </x:c>
      <x:c r="Q79" s="12" t="n">
        <x:f>IF(OR(A79="",D79="",E79="",F79="",K79="",L79=""),1,0)</x:f>
        <x:v>0</x:v>
      </x:c>
    </x:row>
    <x:row r="80" ht="47" customHeight="1">
      <x:c r="A80" s="4" t="str">
        <x:v>CP-076</x:v>
      </x:c>
      <x:c r="B80" s="4" t="str">
        <x:v>F018</x:v>
      </x:c>
      <x:c r="C80" s="4" t="str">
        <x:v>F018</x:v>
      </x:c>
      <x:c r="D80" s="4" t="str">
        <x:v>§8.2</x:v>
      </x:c>
      <x:c r="E80" s="4" t="str">
        <x:v>Reporting</x:v>
      </x:c>
      <x:c r="F80" s="4" t="str">
        <x:v>Comunicar hallazgos, método, limitaciones y opciones de corrección.</x:v>
      </x:c>
      <x:c r="G80" s="4" t="str">
        <x:v>Método</x:v>
      </x:c>
      <x:c r="H80" s="4" t="str">
        <x:v>E08</x:v>
      </x:c>
      <x:c r="I80" s="4" t="str">
        <x:v>DD-WRL-007</x:v>
      </x:c>
      <x:c r="J80" s="4" t="str">
        <x:v>OPC-04</x:v>
      </x:c>
      <x:c r="K80" s="4" t="str">
        <x:v>REFINA_METODO_Y_AUTORIZACION</x:v>
      </x:c>
      <x:c r="L80" s="4" t="str">
        <x:v>CANDIDATA_NO_ADOPTADA</x:v>
      </x:c>
      <x:c r="M80" s="12" t="n">
        <x:f>COUNTIF('05_Complementos'!$A$5:$A$127,A80)-1</x:f>
        <x:v>0</x:v>
      </x:c>
      <x:c r="N80" s="12" t="n">
        <x:f>IF(AND(COUNTIF('01_Fuentes'!$A$5:$A$40,B80)=1,COUNTIF('02_Custodia'!$A$5:$A$53,C80)=1,COUNTIF('07_Operaciones'!$A$5:$A$26,J80)=1,COUNTIF('06_Cobertura'!$A$5:$A$25,H80)=1),0,1)</x:f>
        <x:v>0</x:v>
      </x:c>
      <x:c r="O80" s="12" t="n">
        <x:f>IF(COUNTIF('03_NICE'!$A$5:$A$57,I80)+COUNTIF('04_TKS'!$A$5:$A$72,I80)=1,0,1)</x:f>
        <x:v>0</x:v>
      </x:c>
      <x:c r="P80" s="12" t="n">
        <x:f>IF(OR(AND(B80="F008",L80&lt;&gt;"IDENTIFICADA_NO_ADOPTABLE"),AND(B80="F028",L80&lt;&gt;"PREGUNTA_NO_NORMATIVA"),COUNTIFS('01_Fuentes'!$A$5:$A$40,B80,'01_Fuentes'!$H$5:$H$40,"METADATOS_SOLO")&gt;0),1,0)</x:f>
        <x:v>0</x:v>
      </x:c>
      <x:c r="Q80" s="12" t="n">
        <x:f>IF(OR(A80="",D80="",E80="",F80="",K80="",L80=""),1,0)</x:f>
        <x:v>0</x:v>
      </x:c>
    </x:row>
    <x:row r="81" ht="47" customHeight="1">
      <x:c r="A81" s="4" t="str">
        <x:v>CP-077</x:v>
      </x:c>
      <x:c r="B81" s="4" t="str">
        <x:v>F019</x:v>
      </x:c>
      <x:c r="C81" s="4" t="str">
        <x:v>F019</x:v>
      </x:c>
      <x:c r="D81" s="4" t="str">
        <x:v>Tabla 3; DE.AE-03</x:v>
      </x:c>
      <x:c r="E81" s="4" t="str">
        <x:v>DE.AE-03</x:v>
      </x:c>
      <x:c r="F81" s="4" t="str">
        <x:v>Correlacionar información de fuentes múltiples conservando procedencia y contexto.</x:v>
      </x:c>
      <x:c r="G81" s="4" t="str">
        <x:v>Método</x:v>
      </x:c>
      <x:c r="H81" s="4" t="str">
        <x:v>E09</x:v>
      </x:c>
      <x:c r="I81" s="4" t="str">
        <x:v>PD-WRL-001</x:v>
      </x:c>
      <x:c r="J81" s="4" t="str">
        <x:v>OPC-07</x:v>
      </x:c>
      <x:c r="K81" s="4" t="str">
        <x:v>REFINA_CONDICIONES_DE_OPERACION; no constituye aún reglas SV</x:v>
      </x:c>
      <x:c r="L81" s="4" t="str">
        <x:v>CANDIDATA_NO_ADOPTADA</x:v>
      </x:c>
      <x:c r="M81" s="12" t="n">
        <x:f>COUNTIF('05_Complementos'!$A$5:$A$127,A81)-1</x:f>
        <x:v>0</x:v>
      </x:c>
      <x:c r="N81" s="12" t="n">
        <x:f>IF(AND(COUNTIF('01_Fuentes'!$A$5:$A$40,B81)=1,COUNTIF('02_Custodia'!$A$5:$A$53,C81)=1,COUNTIF('07_Operaciones'!$A$5:$A$26,J81)=1,COUNTIF('06_Cobertura'!$A$5:$A$25,H81)=1),0,1)</x:f>
        <x:v>0</x:v>
      </x:c>
      <x:c r="O81" s="12" t="n">
        <x:f>IF(COUNTIF('03_NICE'!$A$5:$A$57,I81)+COUNTIF('04_TKS'!$A$5:$A$72,I81)=1,0,1)</x:f>
        <x:v>0</x:v>
      </x:c>
      <x:c r="P81" s="12" t="n">
        <x:f>IF(OR(AND(B81="F008",L81&lt;&gt;"IDENTIFICADA_NO_ADOPTABLE"),AND(B81="F028",L81&lt;&gt;"PREGUNTA_NO_NORMATIVA"),COUNTIFS('01_Fuentes'!$A$5:$A$40,B81,'01_Fuentes'!$H$5:$H$40,"METADATOS_SOLO")&gt;0),1,0)</x:f>
        <x:v>0</x:v>
      </x:c>
      <x:c r="Q81" s="12" t="n">
        <x:f>IF(OR(A81="",D81="",E81="",F81="",K81="",L81=""),1,0)</x:f>
        <x:v>0</x:v>
      </x:c>
    </x:row>
    <x:row r="82" ht="47" customHeight="1">
      <x:c r="A82" s="4" t="str">
        <x:v>CP-078</x:v>
      </x:c>
      <x:c r="B82" s="4" t="str">
        <x:v>F019</x:v>
      </x:c>
      <x:c r="C82" s="4" t="str">
        <x:v>F019</x:v>
      </x:c>
      <x:c r="D82" s="4" t="str">
        <x:v>Tabla 3; DE.AE-04</x:v>
      </x:c>
      <x:c r="E82" s="4" t="str">
        <x:v>DE.AE-04</x:v>
      </x:c>
      <x:c r="F82" s="4" t="str">
        <x:v>Estimar y revisar impacto y alcance del evento adverso.</x:v>
      </x:c>
      <x:c r="G82" s="4" t="str">
        <x:v>Método</x:v>
      </x:c>
      <x:c r="H82" s="4" t="str">
        <x:v>E09</x:v>
      </x:c>
      <x:c r="I82" s="4" t="str">
        <x:v>PD-WRL-001</x:v>
      </x:c>
      <x:c r="J82" s="4" t="str">
        <x:v>OPC-07</x:v>
      </x:c>
      <x:c r="K82" s="4" t="str">
        <x:v>REFINA_CONDICIONES_DE_OPERACION; no constituye aún reglas SV</x:v>
      </x:c>
      <x:c r="L82" s="4" t="str">
        <x:v>CANDIDATA_NO_ADOPTADA</x:v>
      </x:c>
      <x:c r="M82" s="12" t="n">
        <x:f>COUNTIF('05_Complementos'!$A$5:$A$127,A82)-1</x:f>
        <x:v>0</x:v>
      </x:c>
      <x:c r="N82" s="12" t="n">
        <x:f>IF(AND(COUNTIF('01_Fuentes'!$A$5:$A$40,B82)=1,COUNTIF('02_Custodia'!$A$5:$A$53,C82)=1,COUNTIF('07_Operaciones'!$A$5:$A$26,J82)=1,COUNTIF('06_Cobertura'!$A$5:$A$25,H82)=1),0,1)</x:f>
        <x:v>0</x:v>
      </x:c>
      <x:c r="O82" s="12" t="n">
        <x:f>IF(COUNTIF('03_NICE'!$A$5:$A$57,I82)+COUNTIF('04_TKS'!$A$5:$A$72,I82)=1,0,1)</x:f>
        <x:v>0</x:v>
      </x:c>
      <x:c r="P82" s="12" t="n">
        <x:f>IF(OR(AND(B82="F008",L82&lt;&gt;"IDENTIFICADA_NO_ADOPTABLE"),AND(B82="F028",L82&lt;&gt;"PREGUNTA_NO_NORMATIVA"),COUNTIFS('01_Fuentes'!$A$5:$A$40,B82,'01_Fuentes'!$H$5:$H$40,"METADATOS_SOLO")&gt;0),1,0)</x:f>
        <x:v>0</x:v>
      </x:c>
      <x:c r="Q82" s="12" t="n">
        <x:f>IF(OR(A82="",D82="",E82="",F82="",K82="",L82=""),1,0)</x:f>
        <x:v>0</x:v>
      </x:c>
    </x:row>
    <x:row r="83" ht="47" customHeight="1">
      <x:c r="A83" s="4" t="str">
        <x:v>CP-079</x:v>
      </x:c>
      <x:c r="B83" s="4" t="str">
        <x:v>F019</x:v>
      </x:c>
      <x:c r="C83" s="4" t="str">
        <x:v>F019</x:v>
      </x:c>
      <x:c r="D83" s="4" t="str">
        <x:v>Tabla 3; DE.AE-06</x:v>
      </x:c>
      <x:c r="E83" s="4" t="str">
        <x:v>DE.AE-06</x:v>
      </x:c>
      <x:c r="F83" s="4" t="str">
        <x:v>Proporcionar información de eventos a personal y herramientas autorizados.</x:v>
      </x:c>
      <x:c r="G83" s="4" t="str">
        <x:v>Método</x:v>
      </x:c>
      <x:c r="H83" s="4" t="str">
        <x:v>E03</x:v>
      </x:c>
      <x:c r="I83" s="4" t="str">
        <x:v>NF-COM-001</x:v>
      </x:c>
      <x:c r="J83" s="4" t="str">
        <x:v>OPC-03</x:v>
      </x:c>
      <x:c r="K83" s="4" t="str">
        <x:v>REFINA_CONDICIONES_DE_OPERACION; no constituye aún reglas SV</x:v>
      </x:c>
      <x:c r="L83" s="4" t="str">
        <x:v>CANDIDATA_NO_ADOPTADA</x:v>
      </x:c>
      <x:c r="M83" s="12" t="n">
        <x:f>COUNTIF('05_Complementos'!$A$5:$A$127,A83)-1</x:f>
        <x:v>0</x:v>
      </x:c>
      <x:c r="N83" s="12" t="n">
        <x:f>IF(AND(COUNTIF('01_Fuentes'!$A$5:$A$40,B83)=1,COUNTIF('02_Custodia'!$A$5:$A$53,C83)=1,COUNTIF('07_Operaciones'!$A$5:$A$26,J83)=1,COUNTIF('06_Cobertura'!$A$5:$A$25,H83)=1),0,1)</x:f>
        <x:v>0</x:v>
      </x:c>
      <x:c r="O83" s="12" t="n">
        <x:f>IF(COUNTIF('03_NICE'!$A$5:$A$57,I83)+COUNTIF('04_TKS'!$A$5:$A$72,I83)=1,0,1)</x:f>
        <x:v>0</x:v>
      </x:c>
      <x:c r="P83" s="12" t="n">
        <x:f>IF(OR(AND(B83="F008",L83&lt;&gt;"IDENTIFICADA_NO_ADOPTABLE"),AND(B83="F028",L83&lt;&gt;"PREGUNTA_NO_NORMATIVA"),COUNTIFS('01_Fuentes'!$A$5:$A$40,B83,'01_Fuentes'!$H$5:$H$40,"METADATOS_SOLO")&gt;0),1,0)</x:f>
        <x:v>0</x:v>
      </x:c>
      <x:c r="Q83" s="12" t="n">
        <x:f>IF(OR(A83="",D83="",E83="",F83="",K83="",L83=""),1,0)</x:f>
        <x:v>0</x:v>
      </x:c>
    </x:row>
    <x:row r="84" ht="47" customHeight="1">
      <x:c r="A84" s="4" t="str">
        <x:v>CP-080</x:v>
      </x:c>
      <x:c r="B84" s="4" t="str">
        <x:v>F019</x:v>
      </x:c>
      <x:c r="C84" s="4" t="str">
        <x:v>F019</x:v>
      </x:c>
      <x:c r="D84" s="4" t="str">
        <x:v>Tabla 3; DE.AE-08</x:v>
      </x:c>
      <x:c r="E84" s="4" t="str">
        <x:v>DE.AE-08</x:v>
      </x:c>
      <x:c r="F84" s="4" t="str">
        <x:v>Declarar incidente sólo conforme a criterios definidos, considerando falsos positivos.</x:v>
      </x:c>
      <x:c r="G84" s="4" t="str">
        <x:v>Método</x:v>
      </x:c>
      <x:c r="H84" s="4" t="str">
        <x:v>E09</x:v>
      </x:c>
      <x:c r="I84" s="4" t="str">
        <x:v>PD-WRL-001</x:v>
      </x:c>
      <x:c r="J84" s="4" t="str">
        <x:v>OPC-07</x:v>
      </x:c>
      <x:c r="K84" s="4" t="str">
        <x:v>REFINA_CONDICIONES_DE_OPERACION; no constituye aún reglas SV</x:v>
      </x:c>
      <x:c r="L84" s="4" t="str">
        <x:v>CANDIDATA_NO_ADOPTADA</x:v>
      </x:c>
      <x:c r="M84" s="12" t="n">
        <x:f>COUNTIF('05_Complementos'!$A$5:$A$127,A84)-1</x:f>
        <x:v>0</x:v>
      </x:c>
      <x:c r="N84" s="12" t="n">
        <x:f>IF(AND(COUNTIF('01_Fuentes'!$A$5:$A$40,B84)=1,COUNTIF('02_Custodia'!$A$5:$A$53,C84)=1,COUNTIF('07_Operaciones'!$A$5:$A$26,J84)=1,COUNTIF('06_Cobertura'!$A$5:$A$25,H84)=1),0,1)</x:f>
        <x:v>0</x:v>
      </x:c>
      <x:c r="O84" s="12" t="n">
        <x:f>IF(COUNTIF('03_NICE'!$A$5:$A$57,I84)+COUNTIF('04_TKS'!$A$5:$A$72,I84)=1,0,1)</x:f>
        <x:v>0</x:v>
      </x:c>
      <x:c r="P84" s="12" t="n">
        <x:f>IF(OR(AND(B84="F008",L84&lt;&gt;"IDENTIFICADA_NO_ADOPTABLE"),AND(B84="F028",L84&lt;&gt;"PREGUNTA_NO_NORMATIVA"),COUNTIFS('01_Fuentes'!$A$5:$A$40,B84,'01_Fuentes'!$H$5:$H$40,"METADATOS_SOLO")&gt;0),1,0)</x:f>
        <x:v>0</x:v>
      </x:c>
      <x:c r="Q84" s="12" t="n">
        <x:f>IF(OR(A84="",D84="",E84="",F84="",K84="",L84=""),1,0)</x:f>
        <x:v>0</x:v>
      </x:c>
    </x:row>
    <x:row r="85" ht="47" customHeight="1">
      <x:c r="A85" s="4" t="str">
        <x:v>CP-081</x:v>
      </x:c>
      <x:c r="B85" s="4" t="str">
        <x:v>F019</x:v>
      </x:c>
      <x:c r="C85" s="4" t="str">
        <x:v>F019</x:v>
      </x:c>
      <x:c r="D85" s="4" t="str">
        <x:v>Tabla 3; RS.MA-02</x:v>
      </x:c>
      <x:c r="E85" s="4" t="str">
        <x:v>RS.MA-02</x:v>
      </x:c>
      <x:c r="F85" s="4" t="str">
        <x:v>Triajar y validar informes de incidentes antes de continuar su gestión.</x:v>
      </x:c>
      <x:c r="G85" s="4" t="str">
        <x:v>Método</x:v>
      </x:c>
      <x:c r="H85" s="4" t="str">
        <x:v>E11</x:v>
      </x:c>
      <x:c r="I85" s="4" t="str">
        <x:v>PD-WRL-003</x:v>
      </x:c>
      <x:c r="J85" s="4" t="str">
        <x:v>OPC-09</x:v>
      </x:c>
      <x:c r="K85" s="4" t="str">
        <x:v>REFINA_CONDICIONES_DE_OPERACION; no constituye aún reglas SV</x:v>
      </x:c>
      <x:c r="L85" s="4" t="str">
        <x:v>CANDIDATA_NO_ADOPTADA</x:v>
      </x:c>
      <x:c r="M85" s="12" t="n">
        <x:f>COUNTIF('05_Complementos'!$A$5:$A$127,A85)-1</x:f>
        <x:v>0</x:v>
      </x:c>
      <x:c r="N85" s="12" t="n">
        <x:f>IF(AND(COUNTIF('01_Fuentes'!$A$5:$A$40,B85)=1,COUNTIF('02_Custodia'!$A$5:$A$53,C85)=1,COUNTIF('07_Operaciones'!$A$5:$A$26,J85)=1,COUNTIF('06_Cobertura'!$A$5:$A$25,H85)=1),0,1)</x:f>
        <x:v>0</x:v>
      </x:c>
      <x:c r="O85" s="12" t="n">
        <x:f>IF(COUNTIF('03_NICE'!$A$5:$A$57,I85)+COUNTIF('04_TKS'!$A$5:$A$72,I85)=1,0,1)</x:f>
        <x:v>0</x:v>
      </x:c>
      <x:c r="P85" s="12" t="n">
        <x:f>IF(OR(AND(B85="F008",L85&lt;&gt;"IDENTIFICADA_NO_ADOPTABLE"),AND(B85="F028",L85&lt;&gt;"PREGUNTA_NO_NORMATIVA"),COUNTIFS('01_Fuentes'!$A$5:$A$40,B85,'01_Fuentes'!$H$5:$H$40,"METADATOS_SOLO")&gt;0),1,0)</x:f>
        <x:v>0</x:v>
      </x:c>
      <x:c r="Q85" s="12" t="n">
        <x:f>IF(OR(A85="",D85="",E85="",F85="",K85="",L85=""),1,0)</x:f>
        <x:v>0</x:v>
      </x:c>
    </x:row>
    <x:row r="86" ht="47" customHeight="1">
      <x:c r="A86" s="4" t="str">
        <x:v>CP-082</x:v>
      </x:c>
      <x:c r="B86" s="4" t="str">
        <x:v>F019</x:v>
      </x:c>
      <x:c r="C86" s="4" t="str">
        <x:v>F019</x:v>
      </x:c>
      <x:c r="D86" s="4" t="str">
        <x:v>Tabla 3; RS.AN-07</x:v>
      </x:c>
      <x:c r="E86" s="4" t="str">
        <x:v>RS.AN-07</x:v>
      </x:c>
      <x:c r="F86" s="4" t="str">
        <x:v>Obtener y preservar datos y metadatos del incidente con integridad y procedencia.</x:v>
      </x:c>
      <x:c r="G86" s="4" t="str">
        <x:v>Método</x:v>
      </x:c>
      <x:c r="H86" s="4" t="str">
        <x:v>E10</x:v>
      </x:c>
      <x:c r="I86" s="4" t="str">
        <x:v>T1510</x:v>
      </x:c>
      <x:c r="J86" s="4" t="str">
        <x:v>OPC-10</x:v>
      </x:c>
      <x:c r="K86" s="4" t="str">
        <x:v>REFINA_CONDICIONES_DE_OPERACION; no constituye aún reglas SV</x:v>
      </x:c>
      <x:c r="L86" s="4" t="str">
        <x:v>CANDIDATA_NO_ADOPTADA</x:v>
      </x:c>
      <x:c r="M86" s="12" t="n">
        <x:f>COUNTIF('05_Complementos'!$A$5:$A$127,A86)-1</x:f>
        <x:v>0</x:v>
      </x:c>
      <x:c r="N86" s="12" t="n">
        <x:f>IF(AND(COUNTIF('01_Fuentes'!$A$5:$A$40,B86)=1,COUNTIF('02_Custodia'!$A$5:$A$53,C86)=1,COUNTIF('07_Operaciones'!$A$5:$A$26,J86)=1,COUNTIF('06_Cobertura'!$A$5:$A$25,H86)=1),0,1)</x:f>
        <x:v>0</x:v>
      </x:c>
      <x:c r="O86" s="12" t="n">
        <x:f>IF(COUNTIF('03_NICE'!$A$5:$A$57,I86)+COUNTIF('04_TKS'!$A$5:$A$72,I86)=1,0,1)</x:f>
        <x:v>0</x:v>
      </x:c>
      <x:c r="P86" s="12" t="n">
        <x:f>IF(OR(AND(B86="F008",L86&lt;&gt;"IDENTIFICADA_NO_ADOPTABLE"),AND(B86="F028",L86&lt;&gt;"PREGUNTA_NO_NORMATIVA"),COUNTIFS('01_Fuentes'!$A$5:$A$40,B86,'01_Fuentes'!$H$5:$H$40,"METADATOS_SOLO")&gt;0),1,0)</x:f>
        <x:v>0</x:v>
      </x:c>
      <x:c r="Q86" s="12" t="n">
        <x:f>IF(OR(A86="",D86="",E86="",F86="",K86="",L86=""),1,0)</x:f>
        <x:v>0</x:v>
      </x:c>
    </x:row>
    <x:row r="87" ht="47" customHeight="1">
      <x:c r="A87" s="4" t="str">
        <x:v>CP-083</x:v>
      </x:c>
      <x:c r="B87" s="4" t="str">
        <x:v>F020</x:v>
      </x:c>
      <x:c r="C87" s="4" t="str">
        <x:v>F020</x:v>
      </x:c>
      <x:c r="D87" s="4" t="str">
        <x:v>Páginas impresas 28–32; Comparing OT and IT System Security; tabla 1</x:v>
      </x:c>
      <x:c r="E87" s="4" t="str">
        <x:v>safety</x:v>
      </x:c>
      <x:c r="F87" s="4" t="str">
        <x:v>Atender restricciones de seguridad física, fiabilidad y rendimiento antes de evaluar o modificar OT.</x:v>
      </x:c>
      <x:c r="G87" s="4" t="str">
        <x:v>Restricción técnica</x:v>
      </x:c>
      <x:c r="H87" s="4" t="str">
        <x:v>E13</x:v>
      </x:c>
      <x:c r="I87" s="4" t="str">
        <x:v>DD-WRL-009</x:v>
      </x:c>
      <x:c r="J87" s="4" t="str">
        <x:v>OPC-14</x:v>
      </x:c>
      <x:c r="K87" s="4" t="str">
        <x:v>REFINA_FRONTERA_CIBERFISICA</x:v>
      </x:c>
      <x:c r="L87" s="4" t="str">
        <x:v>CANDIDATA_NO_ADOPTADA</x:v>
      </x:c>
      <x:c r="M87" s="12" t="n">
        <x:f>COUNTIF('05_Complementos'!$A$5:$A$127,A87)-1</x:f>
        <x:v>0</x:v>
      </x:c>
      <x:c r="N87" s="12" t="n">
        <x:f>IF(AND(COUNTIF('01_Fuentes'!$A$5:$A$40,B87)=1,COUNTIF('02_Custodia'!$A$5:$A$53,C87)=1,COUNTIF('07_Operaciones'!$A$5:$A$26,J87)=1,COUNTIF('06_Cobertura'!$A$5:$A$25,H87)=1),0,1)</x:f>
        <x:v>0</x:v>
      </x:c>
      <x:c r="O87" s="12" t="n">
        <x:f>IF(COUNTIF('03_NICE'!$A$5:$A$57,I87)+COUNTIF('04_TKS'!$A$5:$A$72,I87)=1,0,1)</x:f>
        <x:v>0</x:v>
      </x:c>
      <x:c r="P87" s="12" t="n">
        <x:f>IF(OR(AND(B87="F008",L87&lt;&gt;"IDENTIFICADA_NO_ADOPTABLE"),AND(B87="F028",L87&lt;&gt;"PREGUNTA_NO_NORMATIVA"),COUNTIFS('01_Fuentes'!$A$5:$A$40,B87,'01_Fuentes'!$H$5:$H$40,"METADATOS_SOLO")&gt;0),1,0)</x:f>
        <x:v>0</x:v>
      </x:c>
      <x:c r="Q87" s="12" t="n">
        <x:f>IF(OR(A87="",D87="",E87="",F87="",K87="",L87=""),1,0)</x:f>
        <x:v>0</x:v>
      </x:c>
    </x:row>
    <x:row r="88" ht="47" customHeight="1">
      <x:c r="A88" s="4" t="str">
        <x:v>CP-084</x:v>
      </x:c>
      <x:c r="B88" s="4" t="str">
        <x:v>F024</x:v>
      </x:c>
      <x:c r="C88" s="4" t="str">
        <x:v>F024</x:v>
      </x:c>
      <x:c r="D88" s="4" t="str">
        <x:v>Parte 2; AI RMF Core; función GOVERN</x:v>
      </x:c>
      <x:c r="E88" s="4" t="str">
        <x:v>GOVERN</x:v>
      </x:c>
      <x:c r="F88" s="4" t="str">
        <x:v>Establecer responsabilidades, cultura y procesos de gobierno del riesgo de IA.</x:v>
      </x:c>
      <x:c r="G88" s="4" t="str">
        <x:v>Método</x:v>
      </x:c>
      <x:c r="H88" s="4" t="str">
        <x:v>E21</x:v>
      </x:c>
      <x:c r="I88" s="4" t="str">
        <x:v>K1327</x:v>
      </x:c>
      <x:c r="J88" s="4" t="str">
        <x:v>OPC-15</x:v>
      </x:c>
      <x:c r="K88" s="4" t="str">
        <x:v>PROFUNDIZA_GOBIERNO_IA</x:v>
      </x:c>
      <x:c r="L88" s="4" t="str">
        <x:v>CANDIDATA_NO_ADOPTADA</x:v>
      </x:c>
      <x:c r="M88" s="12" t="n">
        <x:f>COUNTIF('05_Complementos'!$A$5:$A$127,A88)-1</x:f>
        <x:v>0</x:v>
      </x:c>
      <x:c r="N88" s="12" t="n">
        <x:f>IF(AND(COUNTIF('01_Fuentes'!$A$5:$A$40,B88)=1,COUNTIF('02_Custodia'!$A$5:$A$53,C88)=1,COUNTIF('07_Operaciones'!$A$5:$A$26,J88)=1,COUNTIF('06_Cobertura'!$A$5:$A$25,H88)=1),0,1)</x:f>
        <x:v>0</x:v>
      </x:c>
      <x:c r="O88" s="12" t="n">
        <x:f>IF(COUNTIF('03_NICE'!$A$5:$A$57,I88)+COUNTIF('04_TKS'!$A$5:$A$72,I88)=1,0,1)</x:f>
        <x:v>0</x:v>
      </x:c>
      <x:c r="P88" s="12" t="n">
        <x:f>IF(OR(AND(B88="F008",L88&lt;&gt;"IDENTIFICADA_NO_ADOPTABLE"),AND(B88="F028",L88&lt;&gt;"PREGUNTA_NO_NORMATIVA"),COUNTIFS('01_Fuentes'!$A$5:$A$40,B88,'01_Fuentes'!$H$5:$H$40,"METADATOS_SOLO")&gt;0),1,0)</x:f>
        <x:v>0</x:v>
      </x:c>
      <x:c r="Q88" s="12" t="n">
        <x:f>IF(OR(A88="",D88="",E88="",F88="",K88="",L88=""),1,0)</x:f>
        <x:v>0</x:v>
      </x:c>
    </x:row>
    <x:row r="89" ht="47" customHeight="1">
      <x:c r="A89" s="4" t="str">
        <x:v>CP-085</x:v>
      </x:c>
      <x:c r="B89" s="4" t="str">
        <x:v>F024</x:v>
      </x:c>
      <x:c r="C89" s="4" t="str">
        <x:v>F024</x:v>
      </x:c>
      <x:c r="D89" s="4" t="str">
        <x:v>Parte 2; AI RMF Core; función MAP</x:v>
      </x:c>
      <x:c r="E89" s="4" t="str">
        <x:v>MAP</x:v>
      </x:c>
      <x:c r="F89" s="4" t="str">
        <x:v>Delimitar propósito, contexto, actores y riesgos del uso de IA.</x:v>
      </x:c>
      <x:c r="G89" s="4" t="str">
        <x:v>Método</x:v>
      </x:c>
      <x:c r="H89" s="4" t="str">
        <x:v>E21</x:v>
      </x:c>
      <x:c r="I89" s="4" t="str">
        <x:v>S0952</x:v>
      </x:c>
      <x:c r="J89" s="4" t="str">
        <x:v>OPC-15</x:v>
      </x:c>
      <x:c r="K89" s="4" t="str">
        <x:v>PROFUNDIZA_GOBIERNO_IA</x:v>
      </x:c>
      <x:c r="L89" s="4" t="str">
        <x:v>CANDIDATA_NO_ADOPTADA</x:v>
      </x:c>
      <x:c r="M89" s="12" t="n">
        <x:f>COUNTIF('05_Complementos'!$A$5:$A$127,A89)-1</x:f>
        <x:v>0</x:v>
      </x:c>
      <x:c r="N89" s="12" t="n">
        <x:f>IF(AND(COUNTIF('01_Fuentes'!$A$5:$A$40,B89)=1,COUNTIF('02_Custodia'!$A$5:$A$53,C89)=1,COUNTIF('07_Operaciones'!$A$5:$A$26,J89)=1,COUNTIF('06_Cobertura'!$A$5:$A$25,H89)=1),0,1)</x:f>
        <x:v>0</x:v>
      </x:c>
      <x:c r="O89" s="12" t="n">
        <x:f>IF(COUNTIF('03_NICE'!$A$5:$A$57,I89)+COUNTIF('04_TKS'!$A$5:$A$72,I89)=1,0,1)</x:f>
        <x:v>0</x:v>
      </x:c>
      <x:c r="P89" s="12" t="n">
        <x:f>IF(OR(AND(B89="F008",L89&lt;&gt;"IDENTIFICADA_NO_ADOPTABLE"),AND(B89="F028",L89&lt;&gt;"PREGUNTA_NO_NORMATIVA"),COUNTIFS('01_Fuentes'!$A$5:$A$40,B89,'01_Fuentes'!$H$5:$H$40,"METADATOS_SOLO")&gt;0),1,0)</x:f>
        <x:v>0</x:v>
      </x:c>
      <x:c r="Q89" s="12" t="n">
        <x:f>IF(OR(A89="",D89="",E89="",F89="",K89="",L89=""),1,0)</x:f>
        <x:v>0</x:v>
      </x:c>
    </x:row>
    <x:row r="90" ht="47" customHeight="1">
      <x:c r="A90" s="4" t="str">
        <x:v>CP-086</x:v>
      </x:c>
      <x:c r="B90" s="4" t="str">
        <x:v>F024</x:v>
      </x:c>
      <x:c r="C90" s="4" t="str">
        <x:v>F024</x:v>
      </x:c>
      <x:c r="D90" s="4" t="str">
        <x:v>Parte 2; AI RMF Core; función MEASURE</x:v>
      </x:c>
      <x:c r="E90" s="4" t="str">
        <x:v>MEASURE</x:v>
      </x:c>
      <x:c r="F90" s="4" t="str">
        <x:v>Evaluar riesgos y características pertinentes mediante métodos y métricas documentados.</x:v>
      </x:c>
      <x:c r="G90" s="4" t="str">
        <x:v>Método</x:v>
      </x:c>
      <x:c r="H90" s="4" t="str">
        <x:v>E19</x:v>
      </x:c>
      <x:c r="I90" s="4" t="str">
        <x:v>K1341</x:v>
      </x:c>
      <x:c r="J90" s="4" t="str">
        <x:v>OPC-15</x:v>
      </x:c>
      <x:c r="K90" s="4" t="str">
        <x:v>PROFUNDIZA_GOBIERNO_IA</x:v>
      </x:c>
      <x:c r="L90" s="4" t="str">
        <x:v>CANDIDATA_NO_ADOPTADA</x:v>
      </x:c>
      <x:c r="M90" s="12" t="n">
        <x:f>COUNTIF('05_Complementos'!$A$5:$A$127,A90)-1</x:f>
        <x:v>0</x:v>
      </x:c>
      <x:c r="N90" s="12" t="n">
        <x:f>IF(AND(COUNTIF('01_Fuentes'!$A$5:$A$40,B90)=1,COUNTIF('02_Custodia'!$A$5:$A$53,C90)=1,COUNTIF('07_Operaciones'!$A$5:$A$26,J90)=1,COUNTIF('06_Cobertura'!$A$5:$A$25,H90)=1),0,1)</x:f>
        <x:v>0</x:v>
      </x:c>
      <x:c r="O90" s="12" t="n">
        <x:f>IF(COUNTIF('03_NICE'!$A$5:$A$57,I90)+COUNTIF('04_TKS'!$A$5:$A$72,I90)=1,0,1)</x:f>
        <x:v>0</x:v>
      </x:c>
      <x:c r="P90" s="12" t="n">
        <x:f>IF(OR(AND(B90="F008",L90&lt;&gt;"IDENTIFICADA_NO_ADOPTABLE"),AND(B90="F028",L90&lt;&gt;"PREGUNTA_NO_NORMATIVA"),COUNTIFS('01_Fuentes'!$A$5:$A$40,B90,'01_Fuentes'!$H$5:$H$40,"METADATOS_SOLO")&gt;0),1,0)</x:f>
        <x:v>0</x:v>
      </x:c>
      <x:c r="Q90" s="12" t="n">
        <x:f>IF(OR(A90="",D90="",E90="",F90="",K90="",L90=""),1,0)</x:f>
        <x:v>0</x:v>
      </x:c>
    </x:row>
    <x:row r="91" ht="47" customHeight="1">
      <x:c r="A91" s="4" t="str">
        <x:v>CP-087</x:v>
      </x:c>
      <x:c r="B91" s="4" t="str">
        <x:v>F024</x:v>
      </x:c>
      <x:c r="C91" s="4" t="str">
        <x:v>F024</x:v>
      </x:c>
      <x:c r="D91" s="4" t="str">
        <x:v>Parte 2; AI RMF Core; función MANAGE</x:v>
      </x:c>
      <x:c r="E91" s="4" t="str">
        <x:v>MANAGE</x:v>
      </x:c>
      <x:c r="F91" s="4" t="str">
        <x:v>Priorizar y tratar riesgos de IA conforme a contexto y recursos legitimados.</x:v>
      </x:c>
      <x:c r="G91" s="4" t="str">
        <x:v>Método</x:v>
      </x:c>
      <x:c r="H91" s="4" t="str">
        <x:v>E21</x:v>
      </x:c>
      <x:c r="I91" s="4" t="str">
        <x:v>K1336</x:v>
      </x:c>
      <x:c r="J91" s="4" t="str">
        <x:v>OPC-01</x:v>
      </x:c>
      <x:c r="K91" s="4" t="str">
        <x:v>PROFUNDIZA_GOBIERNO_IA</x:v>
      </x:c>
      <x:c r="L91" s="4" t="str">
        <x:v>CANDIDATA_NO_ADOPTADA</x:v>
      </x:c>
      <x:c r="M91" s="12" t="n">
        <x:f>COUNTIF('05_Complementos'!$A$5:$A$127,A91)-1</x:f>
        <x:v>0</x:v>
      </x:c>
      <x:c r="N91" s="12" t="n">
        <x:f>IF(AND(COUNTIF('01_Fuentes'!$A$5:$A$40,B91)=1,COUNTIF('02_Custodia'!$A$5:$A$53,C91)=1,COUNTIF('07_Operaciones'!$A$5:$A$26,J91)=1,COUNTIF('06_Cobertura'!$A$5:$A$25,H91)=1),0,1)</x:f>
        <x:v>0</x:v>
      </x:c>
      <x:c r="O91" s="12" t="n">
        <x:f>IF(COUNTIF('03_NICE'!$A$5:$A$57,I91)+COUNTIF('04_TKS'!$A$5:$A$72,I91)=1,0,1)</x:f>
        <x:v>0</x:v>
      </x:c>
      <x:c r="P91" s="12" t="n">
        <x:f>IF(OR(AND(B91="F008",L91&lt;&gt;"IDENTIFICADA_NO_ADOPTABLE"),AND(B91="F028",L91&lt;&gt;"PREGUNTA_NO_NORMATIVA"),COUNTIFS('01_Fuentes'!$A$5:$A$40,B91,'01_Fuentes'!$H$5:$H$40,"METADATOS_SOLO")&gt;0),1,0)</x:f>
        <x:v>0</x:v>
      </x:c>
      <x:c r="Q91" s="12" t="n">
        <x:f>IF(OR(A91="",D91="",E91="",F91="",K91="",L91=""),1,0)</x:f>
        <x:v>0</x:v>
      </x:c>
    </x:row>
    <x:row r="92" ht="47" customHeight="1">
      <x:c r="A92" s="4" t="str">
        <x:v>CP-088</x:v>
      </x:c>
      <x:c r="B92" s="4" t="str">
        <x:v>F025</x:v>
      </x:c>
      <x:c r="C92" s="4" t="str">
        <x:v>F025</x:v>
      </x:c>
      <x:c r="D92" s="4" t="str">
        <x:v>Tabla 1; PS.1.1</x:v>
      </x:c>
      <x:c r="E92" s="4" t="str">
        <x:v>PS.1.1</x:v>
      </x:c>
      <x:c r="F92" s="4" t="str">
        <x:v>Aplicar mínimo privilegio al almacenamiento de código y elementos de modelos.</x:v>
      </x:c>
      <x:c r="G92" s="4" t="str">
        <x:v>Práctica técnica</x:v>
      </x:c>
      <x:c r="H92" s="4" t="str">
        <x:v>E18</x:v>
      </x:c>
      <x:c r="I92" s="4" t="str">
        <x:v>NF-COM-001</x:v>
      </x:c>
      <x:c r="J92" s="4" t="str">
        <x:v>OPC-03</x:v>
      </x:c>
      <x:c r="K92" s="4" t="str">
        <x:v>REFINA_CICLO_DE_MODELO; no generaliza alcance de 218A</x:v>
      </x:c>
      <x:c r="L92" s="4" t="str">
        <x:v>CANDIDATA_NO_ADOPTADA</x:v>
      </x:c>
      <x:c r="M92" s="12" t="n">
        <x:f>COUNTIF('05_Complementos'!$A$5:$A$127,A92)-1</x:f>
        <x:v>0</x:v>
      </x:c>
      <x:c r="N92" s="12" t="n">
        <x:f>IF(AND(COUNTIF('01_Fuentes'!$A$5:$A$40,B92)=1,COUNTIF('02_Custodia'!$A$5:$A$53,C92)=1,COUNTIF('07_Operaciones'!$A$5:$A$26,J92)=1,COUNTIF('06_Cobertura'!$A$5:$A$25,H92)=1),0,1)</x:f>
        <x:v>0</x:v>
      </x:c>
      <x:c r="O92" s="12" t="n">
        <x:f>IF(COUNTIF('03_NICE'!$A$5:$A$57,I92)+COUNTIF('04_TKS'!$A$5:$A$72,I92)=1,0,1)</x:f>
        <x:v>0</x:v>
      </x:c>
      <x:c r="P92" s="12" t="n">
        <x:f>IF(OR(AND(B92="F008",L92&lt;&gt;"IDENTIFICADA_NO_ADOPTABLE"),AND(B92="F028",L92&lt;&gt;"PREGUNTA_NO_NORMATIVA"),COUNTIFS('01_Fuentes'!$A$5:$A$40,B92,'01_Fuentes'!$H$5:$H$40,"METADATOS_SOLO")&gt;0),1,0)</x:f>
        <x:v>0</x:v>
      </x:c>
      <x:c r="Q92" s="12" t="n">
        <x:f>IF(OR(A92="",D92="",E92="",F92="",K92="",L92=""),1,0)</x:f>
        <x:v>0</x:v>
      </x:c>
    </x:row>
    <x:row r="93" ht="47" customHeight="1">
      <x:c r="A93" s="4" t="str">
        <x:v>CP-089</x:v>
      </x:c>
      <x:c r="B93" s="4" t="str">
        <x:v>F025</x:v>
      </x:c>
      <x:c r="C93" s="4" t="str">
        <x:v>F025</x:v>
      </x:c>
      <x:c r="D93" s="4" t="str">
        <x:v>Tabla 1; PS.1.2</x:v>
      </x:c>
      <x:c r="E93" s="4" t="str">
        <x:v>PS.1.2</x:v>
      </x:c>
      <x:c r="F93" s="4" t="str">
        <x:v>Proteger datos de entrenamiento, prueba, ajuste y alineación frente a acceso y modificación no autorizados.</x:v>
      </x:c>
      <x:c r="G93" s="4" t="str">
        <x:v>Práctica técnica</x:v>
      </x:c>
      <x:c r="H93" s="4" t="str">
        <x:v>E18</x:v>
      </x:c>
      <x:c r="I93" s="4" t="str">
        <x:v>K1324</x:v>
      </x:c>
      <x:c r="J93" s="4" t="str">
        <x:v>OPC-15</x:v>
      </x:c>
      <x:c r="K93" s="4" t="str">
        <x:v>REFINA_CICLO_DE_MODELO; no generaliza alcance de 218A</x:v>
      </x:c>
      <x:c r="L93" s="4" t="str">
        <x:v>CANDIDATA_NO_ADOPTADA</x:v>
      </x:c>
      <x:c r="M93" s="12" t="n">
        <x:f>COUNTIF('05_Complementos'!$A$5:$A$127,A93)-1</x:f>
        <x:v>0</x:v>
      </x:c>
      <x:c r="N93" s="12" t="n">
        <x:f>IF(AND(COUNTIF('01_Fuentes'!$A$5:$A$40,B93)=1,COUNTIF('02_Custodia'!$A$5:$A$53,C93)=1,COUNTIF('07_Operaciones'!$A$5:$A$26,J93)=1,COUNTIF('06_Cobertura'!$A$5:$A$25,H93)=1),0,1)</x:f>
        <x:v>0</x:v>
      </x:c>
      <x:c r="O93" s="12" t="n">
        <x:f>IF(COUNTIF('03_NICE'!$A$5:$A$57,I93)+COUNTIF('04_TKS'!$A$5:$A$72,I93)=1,0,1)</x:f>
        <x:v>0</x:v>
      </x:c>
      <x:c r="P93" s="12" t="n">
        <x:f>IF(OR(AND(B93="F008",L93&lt;&gt;"IDENTIFICADA_NO_ADOPTABLE"),AND(B93="F028",L93&lt;&gt;"PREGUNTA_NO_NORMATIVA"),COUNTIFS('01_Fuentes'!$A$5:$A$40,B93,'01_Fuentes'!$H$5:$H$40,"METADATOS_SOLO")&gt;0),1,0)</x:f>
        <x:v>0</x:v>
      </x:c>
      <x:c r="Q93" s="12" t="n">
        <x:f>IF(OR(A93="",D93="",E93="",F93="",K93="",L93=""),1,0)</x:f>
        <x:v>0</x:v>
      </x:c>
    </x:row>
    <x:row r="94" ht="47" customHeight="1">
      <x:c r="A94" s="4" t="str">
        <x:v>CP-090</x:v>
      </x:c>
      <x:c r="B94" s="4" t="str">
        <x:v>F025</x:v>
      </x:c>
      <x:c r="C94" s="4" t="str">
        <x:v>F025</x:v>
      </x:c>
      <x:c r="D94" s="4" t="str">
        <x:v>Tabla 1; PS.1.3</x:v>
      </x:c>
      <x:c r="E94" s="4" t="str">
        <x:v>PS.1.3</x:v>
      </x:c>
      <x:c r="F94" s="4" t="str">
        <x:v>Proteger pesos y configuración del modelo; conservar distinción respecto de los datos.</x:v>
      </x:c>
      <x:c r="G94" s="4" t="str">
        <x:v>Práctica técnica</x:v>
      </x:c>
      <x:c r="H94" s="4" t="str">
        <x:v>E18</x:v>
      </x:c>
      <x:c r="I94" s="4" t="str">
        <x:v>K1318</x:v>
      </x:c>
      <x:c r="J94" s="4" t="str">
        <x:v>OPC-05</x:v>
      </x:c>
      <x:c r="K94" s="4" t="str">
        <x:v>REFINA_CICLO_DE_MODELO; no generaliza alcance de 218A</x:v>
      </x:c>
      <x:c r="L94" s="4" t="str">
        <x:v>CANDIDATA_NO_ADOPTADA</x:v>
      </x:c>
      <x:c r="M94" s="12" t="n">
        <x:f>COUNTIF('05_Complementos'!$A$5:$A$127,A94)-1</x:f>
        <x:v>0</x:v>
      </x:c>
      <x:c r="N94" s="12" t="n">
        <x:f>IF(AND(COUNTIF('01_Fuentes'!$A$5:$A$40,B94)=1,COUNTIF('02_Custodia'!$A$5:$A$53,C94)=1,COUNTIF('07_Operaciones'!$A$5:$A$26,J94)=1,COUNTIF('06_Cobertura'!$A$5:$A$25,H94)=1),0,1)</x:f>
        <x:v>0</x:v>
      </x:c>
      <x:c r="O94" s="12" t="n">
        <x:f>IF(COUNTIF('03_NICE'!$A$5:$A$57,I94)+COUNTIF('04_TKS'!$A$5:$A$72,I94)=1,0,1)</x:f>
        <x:v>0</x:v>
      </x:c>
      <x:c r="P94" s="12" t="n">
        <x:f>IF(OR(AND(B94="F008",L94&lt;&gt;"IDENTIFICADA_NO_ADOPTABLE"),AND(B94="F028",L94&lt;&gt;"PREGUNTA_NO_NORMATIVA"),COUNTIFS('01_Fuentes'!$A$5:$A$40,B94,'01_Fuentes'!$H$5:$H$40,"METADATOS_SOLO")&gt;0),1,0)</x:f>
        <x:v>0</x:v>
      </x:c>
      <x:c r="Q94" s="12" t="n">
        <x:f>IF(OR(A94="",D94="",E94="",F94="",K94="",L94=""),1,0)</x:f>
        <x:v>0</x:v>
      </x:c>
    </x:row>
    <x:row r="95" ht="47" customHeight="1">
      <x:c r="A95" s="4" t="str">
        <x:v>CP-091</x:v>
      </x:c>
      <x:c r="B95" s="4" t="str">
        <x:v>F026</x:v>
      </x:c>
      <x:c r="C95" s="4" t="str">
        <x:v>F026</x:v>
      </x:c>
      <x:c r="D95" s="4" t="str">
        <x:v>§2.1</x:v>
      </x:c>
      <x:c r="E95" s="4" t="str">
        <x:v>Attacker</x:v>
      </x:c>
      <x:c r="F95" s="4" t="str">
        <x:v>Separar objetivos, conocimiento y capacidades del adversario para delimitar el ataque.</x:v>
      </x:c>
      <x:c r="G95" s="4" t="str">
        <x:v>Conocimiento</x:v>
      </x:c>
      <x:c r="H95" s="4" t="str">
        <x:v>E18</x:v>
      </x:c>
      <x:c r="I95" s="4" t="str">
        <x:v>K1320</x:v>
      </x:c>
      <x:c r="J95" s="4" t="str">
        <x:v>OPC-15</x:v>
      </x:c>
      <x:c r="K95" s="4" t="str">
        <x:v>REFINA_TAXONOMIA; no prueba ataque individual</x:v>
      </x:c>
      <x:c r="L95" s="4" t="str">
        <x:v>CANDIDATA_NO_ADOPTADA</x:v>
      </x:c>
      <x:c r="M95" s="12" t="n">
        <x:f>COUNTIF('05_Complementos'!$A$5:$A$127,A95)-1</x:f>
        <x:v>0</x:v>
      </x:c>
      <x:c r="N95" s="12" t="n">
        <x:f>IF(AND(COUNTIF('01_Fuentes'!$A$5:$A$40,B95)=1,COUNTIF('02_Custodia'!$A$5:$A$53,C95)=1,COUNTIF('07_Operaciones'!$A$5:$A$26,J95)=1,COUNTIF('06_Cobertura'!$A$5:$A$25,H95)=1),0,1)</x:f>
        <x:v>0</x:v>
      </x:c>
      <x:c r="O95" s="12" t="n">
        <x:f>IF(COUNTIF('03_NICE'!$A$5:$A$57,I95)+COUNTIF('04_TKS'!$A$5:$A$72,I95)=1,0,1)</x:f>
        <x:v>0</x:v>
      </x:c>
      <x:c r="P95" s="12" t="n">
        <x:f>IF(OR(AND(B95="F008",L95&lt;&gt;"IDENTIFICADA_NO_ADOPTABLE"),AND(B95="F028",L95&lt;&gt;"PREGUNTA_NO_NORMATIVA"),COUNTIFS('01_Fuentes'!$A$5:$A$40,B95,'01_Fuentes'!$H$5:$H$40,"METADATOS_SOLO")&gt;0),1,0)</x:f>
        <x:v>0</x:v>
      </x:c>
      <x:c r="Q95" s="12" t="n">
        <x:f>IF(OR(A95="",D95="",E95="",F95="",K95="",L95=""),1,0)</x:f>
        <x:v>0</x:v>
      </x:c>
    </x:row>
    <x:row r="96" ht="47" customHeight="1">
      <x:c r="A96" s="4" t="str">
        <x:v>CP-092</x:v>
      </x:c>
      <x:c r="B96" s="4" t="str">
        <x:v>F026</x:v>
      </x:c>
      <x:c r="C96" s="4" t="str">
        <x:v>F026</x:v>
      </x:c>
      <x:c r="D96" s="4" t="str">
        <x:v>§2.2</x:v>
      </x:c>
      <x:c r="E96" s="4" t="str">
        <x:v>Evasion</x:v>
      </x:c>
      <x:c r="F96" s="4" t="str">
        <x:v>Distinguir evasión durante uso del modelo de alteración de su entrenamiento.</x:v>
      </x:c>
      <x:c r="G96" s="4" t="str">
        <x:v>Conocimiento</x:v>
      </x:c>
      <x:c r="H96" s="4" t="str">
        <x:v>E18</x:v>
      </x:c>
      <x:c r="I96" s="4" t="str">
        <x:v>K1320</x:v>
      </x:c>
      <x:c r="J96" s="4" t="str">
        <x:v>OPC-15</x:v>
      </x:c>
      <x:c r="K96" s="4" t="str">
        <x:v>REFINA_TAXONOMIA; no prueba ataque individual</x:v>
      </x:c>
      <x:c r="L96" s="4" t="str">
        <x:v>CANDIDATA_NO_ADOPTADA</x:v>
      </x:c>
      <x:c r="M96" s="12" t="n">
        <x:f>COUNTIF('05_Complementos'!$A$5:$A$127,A96)-1</x:f>
        <x:v>0</x:v>
      </x:c>
      <x:c r="N96" s="12" t="n">
        <x:f>IF(AND(COUNTIF('01_Fuentes'!$A$5:$A$40,B96)=1,COUNTIF('02_Custodia'!$A$5:$A$53,C96)=1,COUNTIF('07_Operaciones'!$A$5:$A$26,J96)=1,COUNTIF('06_Cobertura'!$A$5:$A$25,H96)=1),0,1)</x:f>
        <x:v>0</x:v>
      </x:c>
      <x:c r="O96" s="12" t="n">
        <x:f>IF(COUNTIF('03_NICE'!$A$5:$A$57,I96)+COUNTIF('04_TKS'!$A$5:$A$72,I96)=1,0,1)</x:f>
        <x:v>0</x:v>
      </x:c>
      <x:c r="P96" s="12" t="n">
        <x:f>IF(OR(AND(B96="F008",L96&lt;&gt;"IDENTIFICADA_NO_ADOPTABLE"),AND(B96="F028",L96&lt;&gt;"PREGUNTA_NO_NORMATIVA"),COUNTIFS('01_Fuentes'!$A$5:$A$40,B96,'01_Fuentes'!$H$5:$H$40,"METADATOS_SOLO")&gt;0),1,0)</x:f>
        <x:v>0</x:v>
      </x:c>
      <x:c r="Q96" s="12" t="n">
        <x:f>IF(OR(A96="",D96="",E96="",F96="",K96="",L96=""),1,0)</x:f>
        <x:v>0</x:v>
      </x:c>
    </x:row>
    <x:row r="97" ht="47" customHeight="1">
      <x:c r="A97" s="4" t="str">
        <x:v>CP-093</x:v>
      </x:c>
      <x:c r="B97" s="4" t="str">
        <x:v>F026</x:v>
      </x:c>
      <x:c r="C97" s="4" t="str">
        <x:v>F026</x:v>
      </x:c>
      <x:c r="D97" s="4" t="str">
        <x:v>§2.3</x:v>
      </x:c>
      <x:c r="E97" s="4" t="str">
        <x:v>Poisoning</x:v>
      </x:c>
      <x:c r="F97" s="4" t="str">
        <x:v>Distinguir envenenamiento de datos y de modelo bajo capacidades adversarias declaradas.</x:v>
      </x:c>
      <x:c r="G97" s="4" t="str">
        <x:v>Conocimiento</x:v>
      </x:c>
      <x:c r="H97" s="4" t="str">
        <x:v>E18</x:v>
      </x:c>
      <x:c r="I97" s="4" t="str">
        <x:v>K1324</x:v>
      </x:c>
      <x:c r="J97" s="4" t="str">
        <x:v>OPC-15</x:v>
      </x:c>
      <x:c r="K97" s="4" t="str">
        <x:v>REFINA_TAXONOMIA; no prueba ataque individual</x:v>
      </x:c>
      <x:c r="L97" s="4" t="str">
        <x:v>CANDIDATA_NO_ADOPTADA</x:v>
      </x:c>
      <x:c r="M97" s="12" t="n">
        <x:f>COUNTIF('05_Complementos'!$A$5:$A$127,A97)-1</x:f>
        <x:v>0</x:v>
      </x:c>
      <x:c r="N97" s="12" t="n">
        <x:f>IF(AND(COUNTIF('01_Fuentes'!$A$5:$A$40,B97)=1,COUNTIF('02_Custodia'!$A$5:$A$53,C97)=1,COUNTIF('07_Operaciones'!$A$5:$A$26,J97)=1,COUNTIF('06_Cobertura'!$A$5:$A$25,H97)=1),0,1)</x:f>
        <x:v>0</x:v>
      </x:c>
      <x:c r="O97" s="12" t="n">
        <x:f>IF(COUNTIF('03_NICE'!$A$5:$A$57,I97)+COUNTIF('04_TKS'!$A$5:$A$72,I97)=1,0,1)</x:f>
        <x:v>0</x:v>
      </x:c>
      <x:c r="P97" s="12" t="n">
        <x:f>IF(OR(AND(B97="F008",L97&lt;&gt;"IDENTIFICADA_NO_ADOPTABLE"),AND(B97="F028",L97&lt;&gt;"PREGUNTA_NO_NORMATIVA"),COUNTIFS('01_Fuentes'!$A$5:$A$40,B97,'01_Fuentes'!$H$5:$H$40,"METADATOS_SOLO")&gt;0),1,0)</x:f>
        <x:v>0</x:v>
      </x:c>
      <x:c r="Q97" s="12" t="n">
        <x:f>IF(OR(A97="",D97="",E97="",F97="",K97="",L97=""),1,0)</x:f>
        <x:v>0</x:v>
      </x:c>
    </x:row>
    <x:row r="98" ht="47" customHeight="1">
      <x:c r="A98" s="4" t="str">
        <x:v>CP-094</x:v>
      </x:c>
      <x:c r="B98" s="4" t="str">
        <x:v>F026</x:v>
      </x:c>
      <x:c r="C98" s="4" t="str">
        <x:v>F026</x:v>
      </x:c>
      <x:c r="D98" s="4" t="str">
        <x:v>§2.4</x:v>
      </x:c>
      <x:c r="E98" s="4" t="str">
        <x:v>Privacy</x:v>
      </x:c>
      <x:c r="F98" s="4" t="str">
        <x:v>Analizar inferencia de pertenencia, reconstrucción y extracción de información protegida.</x:v>
      </x:c>
      <x:c r="G98" s="4" t="str">
        <x:v>Conocimiento</x:v>
      </x:c>
      <x:c r="H98" s="4" t="str">
        <x:v>E18</x:v>
      </x:c>
      <x:c r="I98" s="4" t="str">
        <x:v>OG-WRL-008</x:v>
      </x:c>
      <x:c r="J98" s="4" t="str">
        <x:v>OPC-17</x:v>
      </x:c>
      <x:c r="K98" s="4" t="str">
        <x:v>REFINA_TAXONOMIA; no prueba ataque individual</x:v>
      </x:c>
      <x:c r="L98" s="4" t="str">
        <x:v>CANDIDATA_NO_ADOPTADA</x:v>
      </x:c>
      <x:c r="M98" s="12" t="n">
        <x:f>COUNTIF('05_Complementos'!$A$5:$A$127,A98)-1</x:f>
        <x:v>0</x:v>
      </x:c>
      <x:c r="N98" s="12" t="n">
        <x:f>IF(AND(COUNTIF('01_Fuentes'!$A$5:$A$40,B98)=1,COUNTIF('02_Custodia'!$A$5:$A$53,C98)=1,COUNTIF('07_Operaciones'!$A$5:$A$26,J98)=1,COUNTIF('06_Cobertura'!$A$5:$A$25,H98)=1),0,1)</x:f>
        <x:v>0</x:v>
      </x:c>
      <x:c r="O98" s="12" t="n">
        <x:f>IF(COUNTIF('03_NICE'!$A$5:$A$57,I98)+COUNTIF('04_TKS'!$A$5:$A$72,I98)=1,0,1)</x:f>
        <x:v>0</x:v>
      </x:c>
      <x:c r="P98" s="12" t="n">
        <x:f>IF(OR(AND(B98="F008",L98&lt;&gt;"IDENTIFICADA_NO_ADOPTABLE"),AND(B98="F028",L98&lt;&gt;"PREGUNTA_NO_NORMATIVA"),COUNTIFS('01_Fuentes'!$A$5:$A$40,B98,'01_Fuentes'!$H$5:$H$40,"METADATOS_SOLO")&gt;0),1,0)</x:f>
        <x:v>0</x:v>
      </x:c>
      <x:c r="Q98" s="12" t="n">
        <x:f>IF(OR(A98="",D98="",E98="",F98="",K98="",L98=""),1,0)</x:f>
        <x:v>0</x:v>
      </x:c>
    </x:row>
    <x:row r="99" ht="47" customHeight="1">
      <x:c r="A99" s="4" t="str">
        <x:v>CP-095</x:v>
      </x:c>
      <x:c r="B99" s="4" t="str">
        <x:v>F026</x:v>
      </x:c>
      <x:c r="C99" s="4" t="str">
        <x:v>F026</x:v>
      </x:c>
      <x:c r="D99" s="4" t="str">
        <x:v>§3</x:v>
      </x:c>
      <x:c r="E99" s="4" t="str">
        <x:v>Generative AI</x:v>
      </x:c>
      <x:c r="F99" s="4" t="str">
        <x:v>Tratar amenazas de IA generativa sin absorber en ellas toda la IA predictiva.</x:v>
      </x:c>
      <x:c r="G99" s="4" t="str">
        <x:v>Conocimiento</x:v>
      </x:c>
      <x:c r="H99" s="4" t="str">
        <x:v>E18</x:v>
      </x:c>
      <x:c r="I99" s="4" t="str">
        <x:v>NF-COM-002</x:v>
      </x:c>
      <x:c r="J99" s="4" t="str">
        <x:v>OPC-15</x:v>
      </x:c>
      <x:c r="K99" s="4" t="str">
        <x:v>REFINA_TAXONOMIA; no prueba ataque individual</x:v>
      </x:c>
      <x:c r="L99" s="4" t="str">
        <x:v>CANDIDATA_NO_ADOPTADA</x:v>
      </x:c>
      <x:c r="M99" s="12" t="n">
        <x:f>COUNTIF('05_Complementos'!$A$5:$A$127,A99)-1</x:f>
        <x:v>0</x:v>
      </x:c>
      <x:c r="N99" s="12" t="n">
        <x:f>IF(AND(COUNTIF('01_Fuentes'!$A$5:$A$40,B99)=1,COUNTIF('02_Custodia'!$A$5:$A$53,C99)=1,COUNTIF('07_Operaciones'!$A$5:$A$26,J99)=1,COUNTIF('06_Cobertura'!$A$5:$A$25,H99)=1),0,1)</x:f>
        <x:v>0</x:v>
      </x:c>
      <x:c r="O99" s="12" t="n">
        <x:f>IF(COUNTIF('03_NICE'!$A$5:$A$57,I99)+COUNTIF('04_TKS'!$A$5:$A$72,I99)=1,0,1)</x:f>
        <x:v>0</x:v>
      </x:c>
      <x:c r="P99" s="12" t="n">
        <x:f>IF(OR(AND(B99="F008",L99&lt;&gt;"IDENTIFICADA_NO_ADOPTABLE"),AND(B99="F028",L99&lt;&gt;"PREGUNTA_NO_NORMATIVA"),COUNTIFS('01_Fuentes'!$A$5:$A$40,B99,'01_Fuentes'!$H$5:$H$40,"METADATOS_SOLO")&gt;0),1,0)</x:f>
        <x:v>0</x:v>
      </x:c>
      <x:c r="Q99" s="12" t="n">
        <x:f>IF(OR(A99="",D99="",E99="",F99="",K99="",L99=""),1,0)</x:f>
        <x:v>0</x:v>
      </x:c>
    </x:row>
    <x:row r="100" ht="47" customHeight="1">
      <x:c r="A100" s="4" t="str">
        <x:v>CP-096</x:v>
      </x:c>
      <x:c r="B100" s="4" t="str">
        <x:v>F027</x:v>
      </x:c>
      <x:c r="C100" s="4" t="str">
        <x:v>F027</x:v>
      </x:c>
      <x:c r="D100" s="4" t="str">
        <x:v>Sección 0; Overview</x:v>
      </x:c>
      <x:c r="E100" s="4" t="str">
        <x:v>all types of AI</x:v>
      </x:c>
      <x:c r="F100" s="4" t="str">
        <x:v>Contrastar amenazas y controles en diversas clases de IA; seguridad y privacidad no se agotan en LLM.</x:v>
      </x:c>
      <x:c r="G100" s="4" t="str">
        <x:v>Conocimiento</x:v>
      </x:c>
      <x:c r="H100" s="4" t="str">
        <x:v>E18</x:v>
      </x:c>
      <x:c r="I100" s="4" t="str">
        <x:v>NF-COM-002</x:v>
      </x:c>
      <x:c r="J100" s="4" t="str">
        <x:v>OPC-15</x:v>
      </x:c>
      <x:c r="K100" s="4" t="str">
        <x:v>CONTRASTE_AMPLITUD_IA; captura de sección, no sitio completo</x:v>
      </x:c>
      <x:c r="L100" s="4" t="str">
        <x:v>CANDIDATA_NO_ADOPTADA</x:v>
      </x:c>
      <x:c r="M100" s="12" t="n">
        <x:f>COUNTIF('05_Complementos'!$A$5:$A$127,A100)-1</x:f>
        <x:v>0</x:v>
      </x:c>
      <x:c r="N100" s="12" t="n">
        <x:f>IF(AND(COUNTIF('01_Fuentes'!$A$5:$A$40,B100)=1,COUNTIF('02_Custodia'!$A$5:$A$53,C100)=1,COUNTIF('07_Operaciones'!$A$5:$A$26,J100)=1,COUNTIF('06_Cobertura'!$A$5:$A$25,H100)=1),0,1)</x:f>
        <x:v>0</x:v>
      </x:c>
      <x:c r="O100" s="12" t="n">
        <x:f>IF(COUNTIF('03_NICE'!$A$5:$A$57,I100)+COUNTIF('04_TKS'!$A$5:$A$72,I100)=1,0,1)</x:f>
        <x:v>0</x:v>
      </x:c>
      <x:c r="P100" s="12" t="n">
        <x:f>IF(OR(AND(B100="F008",L100&lt;&gt;"IDENTIFICADA_NO_ADOPTABLE"),AND(B100="F028",L100&lt;&gt;"PREGUNTA_NO_NORMATIVA"),COUNTIFS('01_Fuentes'!$A$5:$A$40,B100,'01_Fuentes'!$H$5:$H$40,"METADATOS_SOLO")&gt;0),1,0)</x:f>
        <x:v>0</x:v>
      </x:c>
      <x:c r="Q100" s="12" t="n">
        <x:f>IF(OR(A100="",D100="",E100="",F100="",K100="",L100=""),1,0)</x:f>
        <x:v>0</x:v>
      </x:c>
    </x:row>
    <x:row r="101" ht="47" customHeight="1">
      <x:c r="A101" s="4" t="str">
        <x:v>CP-097</x:v>
      </x:c>
      <x:c r="B101" s="4" t="str">
        <x:v>F028</x:v>
      </x:c>
      <x:c r="C101" s="4" t="str">
        <x:v>F028</x:v>
      </x:c>
      <x:c r="D101" s="4" t="str">
        <x:v>§2; áreas de enfoque</x:v>
      </x:c>
      <x:c r="E101" s="4" t="str">
        <x:v>Securing AI System Components</x:v>
      </x:c>
      <x:c r="F101" s="4" t="str">
        <x:v>Revisar seguridad del sistema de IA.</x:v>
      </x:c>
      <x:c r="G101" s="4" t="str">
        <x:v>Pregunta de cobertura</x:v>
      </x:c>
      <x:c r="H101" s="4" t="str">
        <x:v>E18</x:v>
      </x:c>
      <x:c r="I101" s="4" t="str">
        <x:v>NF-COM-002</x:v>
      </x:c>
      <x:c r="J101" s="4" t="str">
        <x:v>OPC-15</x:v>
      </x:c>
      <x:c r="K101" s="4" t="str">
        <x:v>BORRADOR; no constituye obligación normativa</x:v>
      </x:c>
      <x:c r="L101" s="4" t="str">
        <x:v>PREGUNTA_NO_NORMATIVA</x:v>
      </x:c>
      <x:c r="M101" s="12" t="n">
        <x:f>COUNTIF('05_Complementos'!$A$5:$A$127,A101)-1</x:f>
        <x:v>0</x:v>
      </x:c>
      <x:c r="N101" s="12" t="n">
        <x:f>IF(AND(COUNTIF('01_Fuentes'!$A$5:$A$40,B101)=1,COUNTIF('02_Custodia'!$A$5:$A$53,C101)=1,COUNTIF('07_Operaciones'!$A$5:$A$26,J101)=1,COUNTIF('06_Cobertura'!$A$5:$A$25,H101)=1),0,1)</x:f>
        <x:v>0</x:v>
      </x:c>
      <x:c r="O101" s="12" t="n">
        <x:f>IF(COUNTIF('03_NICE'!$A$5:$A$57,I101)+COUNTIF('04_TKS'!$A$5:$A$72,I101)=1,0,1)</x:f>
        <x:v>0</x:v>
      </x:c>
      <x:c r="P101" s="12" t="n">
        <x:f>IF(OR(AND(B101="F008",L101&lt;&gt;"IDENTIFICADA_NO_ADOPTABLE"),AND(B101="F028",L101&lt;&gt;"PREGUNTA_NO_NORMATIVA"),COUNTIFS('01_Fuentes'!$A$5:$A$40,B101,'01_Fuentes'!$H$5:$H$40,"METADATOS_SOLO")&gt;0),1,0)</x:f>
        <x:v>0</x:v>
      </x:c>
      <x:c r="Q101" s="12" t="n">
        <x:f>IF(OR(A101="",D101="",E101="",F101="",K101="",L101=""),1,0)</x:f>
        <x:v>0</x:v>
      </x:c>
    </x:row>
    <x:row r="102" ht="47" customHeight="1">
      <x:c r="A102" s="4" t="str">
        <x:v>CP-098</x:v>
      </x:c>
      <x:c r="B102" s="4" t="str">
        <x:v>F028</x:v>
      </x:c>
      <x:c r="C102" s="4" t="str">
        <x:v>F028</x:v>
      </x:c>
      <x:c r="D102" s="4" t="str">
        <x:v>§2; áreas de enfoque</x:v>
      </x:c>
      <x:c r="E102" s="4" t="str">
        <x:v>Conducting AI-enabled Cyber Defense</x:v>
      </x:c>
      <x:c r="F102" s="4" t="str">
        <x:v>Revisar utilización de IA para defender sistemas.</x:v>
      </x:c>
      <x:c r="G102" s="4" t="str">
        <x:v>Pregunta de cobertura</x:v>
      </x:c>
      <x:c r="H102" s="4" t="str">
        <x:v>E19</x:v>
      </x:c>
      <x:c r="I102" s="4" t="str">
        <x:v>NF-COM-002</x:v>
      </x:c>
      <x:c r="J102" s="4" t="str">
        <x:v>OPC-15</x:v>
      </x:c>
      <x:c r="K102" s="4" t="str">
        <x:v>BORRADOR; no constituye obligación normativa</x:v>
      </x:c>
      <x:c r="L102" s="4" t="str">
        <x:v>PREGUNTA_NO_NORMATIVA</x:v>
      </x:c>
      <x:c r="M102" s="12" t="n">
        <x:f>COUNTIF('05_Complementos'!$A$5:$A$127,A102)-1</x:f>
        <x:v>0</x:v>
      </x:c>
      <x:c r="N102" s="12" t="n">
        <x:f>IF(AND(COUNTIF('01_Fuentes'!$A$5:$A$40,B102)=1,COUNTIF('02_Custodia'!$A$5:$A$53,C102)=1,COUNTIF('07_Operaciones'!$A$5:$A$26,J102)=1,COUNTIF('06_Cobertura'!$A$5:$A$25,H102)=1),0,1)</x:f>
        <x:v>0</x:v>
      </x:c>
      <x:c r="O102" s="12" t="n">
        <x:f>IF(COUNTIF('03_NICE'!$A$5:$A$57,I102)+COUNTIF('04_TKS'!$A$5:$A$72,I102)=1,0,1)</x:f>
        <x:v>0</x:v>
      </x:c>
      <x:c r="P102" s="12" t="n">
        <x:f>IF(OR(AND(B102="F008",L102&lt;&gt;"IDENTIFICADA_NO_ADOPTABLE"),AND(B102="F028",L102&lt;&gt;"PREGUNTA_NO_NORMATIVA"),COUNTIFS('01_Fuentes'!$A$5:$A$40,B102,'01_Fuentes'!$H$5:$H$40,"METADATOS_SOLO")&gt;0),1,0)</x:f>
        <x:v>0</x:v>
      </x:c>
      <x:c r="Q102" s="12" t="n">
        <x:f>IF(OR(A102="",D102="",E102="",F102="",K102="",L102=""),1,0)</x:f>
        <x:v>0</x:v>
      </x:c>
    </x:row>
    <x:row r="103" ht="47" customHeight="1">
      <x:c r="A103" s="4" t="str">
        <x:v>CP-099</x:v>
      </x:c>
      <x:c r="B103" s="4" t="str">
        <x:v>F028</x:v>
      </x:c>
      <x:c r="C103" s="4" t="str">
        <x:v>F028</x:v>
      </x:c>
      <x:c r="D103" s="4" t="str">
        <x:v>§2; áreas de enfoque</x:v>
      </x:c>
      <x:c r="E103" s="4" t="str">
        <x:v>Thwarting AI-enabled Cyber Attacks</x:v>
      </x:c>
      <x:c r="F103" s="4" t="str">
        <x:v>Revisar amenazas facilitadas por IA.</x:v>
      </x:c>
      <x:c r="G103" s="4" t="str">
        <x:v>Pregunta de cobertura</x:v>
      </x:c>
      <x:c r="H103" s="4" t="str">
        <x:v>E20</x:v>
      </x:c>
      <x:c r="I103" s="4" t="str">
        <x:v>NF-COM-002</x:v>
      </x:c>
      <x:c r="J103" s="4" t="str">
        <x:v>OPC-15</x:v>
      </x:c>
      <x:c r="K103" s="4" t="str">
        <x:v>BORRADOR; no constituye obligación normativa</x:v>
      </x:c>
      <x:c r="L103" s="4" t="str">
        <x:v>PREGUNTA_NO_NORMATIVA</x:v>
      </x:c>
      <x:c r="M103" s="12" t="n">
        <x:f>COUNTIF('05_Complementos'!$A$5:$A$127,A103)-1</x:f>
        <x:v>0</x:v>
      </x:c>
      <x:c r="N103" s="12" t="n">
        <x:f>IF(AND(COUNTIF('01_Fuentes'!$A$5:$A$40,B103)=1,COUNTIF('02_Custodia'!$A$5:$A$53,C103)=1,COUNTIF('07_Operaciones'!$A$5:$A$26,J103)=1,COUNTIF('06_Cobertura'!$A$5:$A$25,H103)=1),0,1)</x:f>
        <x:v>0</x:v>
      </x:c>
      <x:c r="O103" s="12" t="n">
        <x:f>IF(COUNTIF('03_NICE'!$A$5:$A$57,I103)+COUNTIF('04_TKS'!$A$5:$A$72,I103)=1,0,1)</x:f>
        <x:v>0</x:v>
      </x:c>
      <x:c r="P103" s="12" t="n">
        <x:f>IF(OR(AND(B103="F008",L103&lt;&gt;"IDENTIFICADA_NO_ADOPTABLE"),AND(B103="F028",L103&lt;&gt;"PREGUNTA_NO_NORMATIVA"),COUNTIFS('01_Fuentes'!$A$5:$A$40,B103,'01_Fuentes'!$H$5:$H$40,"METADATOS_SOLO")&gt;0),1,0)</x:f>
        <x:v>0</x:v>
      </x:c>
      <x:c r="Q103" s="12" t="n">
        <x:f>IF(OR(A103="",D103="",E103="",F103="",K103="",L103=""),1,0)</x:f>
        <x:v>0</x:v>
      </x:c>
    </x:row>
    <x:row r="104" ht="47" customHeight="1">
      <x:c r="A104" s="4" t="str">
        <x:v>CP-100</x:v>
      </x:c>
      <x:c r="B104" s="4" t="str">
        <x:v>F029</x:v>
      </x:c>
      <x:c r="C104" s="4" t="str">
        <x:v>A013</x:v>
      </x:c>
      <x:c r="D104" s="4" t="str">
        <x:v>LLM01:2026</x:v>
      </x:c>
      <x:c r="E104" s="4" t="str">
        <x:v>Prompt Injection</x:v>
      </x:c>
      <x:c r="F104" s="4" t="str">
        <x:v>Inyección de instrucciones.</x:v>
      </x:c>
      <x:c r="G104" s="4" t="str">
        <x:v>Conocimiento</x:v>
      </x:c>
      <x:c r="H104" s="4" t="str">
        <x:v>E18</x:v>
      </x:c>
      <x:c r="I104" s="4" t="str">
        <x:v>NF-COM-002</x:v>
      </x:c>
      <x:c r="J104" s="4" t="str">
        <x:v>OPC-15</x:v>
      </x:c>
      <x:c r="K104" s="4" t="str">
        <x:v>TAXONOMIA_2026; sin equivalencia automática de numerales 2025</x:v>
      </x:c>
      <x:c r="L104" s="4" t="str">
        <x:v>CANDIDATA_NO_ADOPTADA</x:v>
      </x:c>
      <x:c r="M104" s="12" t="n">
        <x:f>COUNTIF('05_Complementos'!$A$5:$A$127,A104)-1</x:f>
        <x:v>0</x:v>
      </x:c>
      <x:c r="N104" s="12" t="n">
        <x:f>IF(AND(COUNTIF('01_Fuentes'!$A$5:$A$40,B104)=1,COUNTIF('02_Custodia'!$A$5:$A$53,C104)=1,COUNTIF('07_Operaciones'!$A$5:$A$26,J104)=1,COUNTIF('06_Cobertura'!$A$5:$A$25,H104)=1),0,1)</x:f>
        <x:v>0</x:v>
      </x:c>
      <x:c r="O104" s="12" t="n">
        <x:f>IF(COUNTIF('03_NICE'!$A$5:$A$57,I104)+COUNTIF('04_TKS'!$A$5:$A$72,I104)=1,0,1)</x:f>
        <x:v>0</x:v>
      </x:c>
      <x:c r="P104" s="12" t="n">
        <x:f>IF(OR(AND(B104="F008",L104&lt;&gt;"IDENTIFICADA_NO_ADOPTABLE"),AND(B104="F028",L104&lt;&gt;"PREGUNTA_NO_NORMATIVA"),COUNTIFS('01_Fuentes'!$A$5:$A$40,B104,'01_Fuentes'!$H$5:$H$40,"METADATOS_SOLO")&gt;0),1,0)</x:f>
        <x:v>0</x:v>
      </x:c>
      <x:c r="Q104" s="12" t="n">
        <x:f>IF(OR(A104="",D104="",E104="",F104="",K104="",L104=""),1,0)</x:f>
        <x:v>0</x:v>
      </x:c>
    </x:row>
    <x:row r="105" ht="47" customHeight="1">
      <x:c r="A105" s="4" t="str">
        <x:v>CP-101</x:v>
      </x:c>
      <x:c r="B105" s="4" t="str">
        <x:v>F029</x:v>
      </x:c>
      <x:c r="C105" s="4" t="str">
        <x:v>A013</x:v>
      </x:c>
      <x:c r="D105" s="4" t="str">
        <x:v>LLM02:2026</x:v>
      </x:c>
      <x:c r="E105" s="4" t="str">
        <x:v>Sensitive Information Disclosure</x:v>
      </x:c>
      <x:c r="F105" s="4" t="str">
        <x:v>Divulgación de información sensible.</x:v>
      </x:c>
      <x:c r="G105" s="4" t="str">
        <x:v>Conocimiento</x:v>
      </x:c>
      <x:c r="H105" s="4" t="str">
        <x:v>E18</x:v>
      </x:c>
      <x:c r="I105" s="4" t="str">
        <x:v>OG-WRL-008</x:v>
      </x:c>
      <x:c r="J105" s="4" t="str">
        <x:v>OPC-17</x:v>
      </x:c>
      <x:c r="K105" s="4" t="str">
        <x:v>TAXONOMIA_2026; sin equivalencia automática de numerales 2025</x:v>
      </x:c>
      <x:c r="L105" s="4" t="str">
        <x:v>CANDIDATA_NO_ADOPTADA</x:v>
      </x:c>
      <x:c r="M105" s="12" t="n">
        <x:f>COUNTIF('05_Complementos'!$A$5:$A$127,A105)-1</x:f>
        <x:v>0</x:v>
      </x:c>
      <x:c r="N105" s="12" t="n">
        <x:f>IF(AND(COUNTIF('01_Fuentes'!$A$5:$A$40,B105)=1,COUNTIF('02_Custodia'!$A$5:$A$53,C105)=1,COUNTIF('07_Operaciones'!$A$5:$A$26,J105)=1,COUNTIF('06_Cobertura'!$A$5:$A$25,H105)=1),0,1)</x:f>
        <x:v>0</x:v>
      </x:c>
      <x:c r="O105" s="12" t="n">
        <x:f>IF(COUNTIF('03_NICE'!$A$5:$A$57,I105)+COUNTIF('04_TKS'!$A$5:$A$72,I105)=1,0,1)</x:f>
        <x:v>0</x:v>
      </x:c>
      <x:c r="P105" s="12" t="n">
        <x:f>IF(OR(AND(B105="F008",L105&lt;&gt;"IDENTIFICADA_NO_ADOPTABLE"),AND(B105="F028",L105&lt;&gt;"PREGUNTA_NO_NORMATIVA"),COUNTIFS('01_Fuentes'!$A$5:$A$40,B105,'01_Fuentes'!$H$5:$H$40,"METADATOS_SOLO")&gt;0),1,0)</x:f>
        <x:v>0</x:v>
      </x:c>
      <x:c r="Q105" s="12" t="n">
        <x:f>IF(OR(A105="",D105="",E105="",F105="",K105="",L105=""),1,0)</x:f>
        <x:v>0</x:v>
      </x:c>
    </x:row>
    <x:row r="106" ht="47" customHeight="1">
      <x:c r="A106" s="4" t="str">
        <x:v>CP-102</x:v>
      </x:c>
      <x:c r="B106" s="4" t="str">
        <x:v>F029</x:v>
      </x:c>
      <x:c r="C106" s="4" t="str">
        <x:v>A013</x:v>
      </x:c>
      <x:c r="D106" s="4" t="str">
        <x:v>LLM03:2026</x:v>
      </x:c>
      <x:c r="E106" s="4" t="str">
        <x:v>Excessive Agency</x:v>
      </x:c>
      <x:c r="F106" s="4" t="str">
        <x:v>Capacidad de actuación excesiva.</x:v>
      </x:c>
      <x:c r="G106" s="4" t="str">
        <x:v>Conocimiento</x:v>
      </x:c>
      <x:c r="H106" s="4" t="str">
        <x:v>E18</x:v>
      </x:c>
      <x:c r="I106" s="4" t="str">
        <x:v>K1345</x:v>
      </x:c>
      <x:c r="J106" s="4" t="str">
        <x:v>OPC-15</x:v>
      </x:c>
      <x:c r="K106" s="4" t="str">
        <x:v>TAXONOMIA_2026; sin equivalencia automática de numerales 2025</x:v>
      </x:c>
      <x:c r="L106" s="4" t="str">
        <x:v>CANDIDATA_NO_ADOPTADA</x:v>
      </x:c>
      <x:c r="M106" s="12" t="n">
        <x:f>COUNTIF('05_Complementos'!$A$5:$A$127,A106)-1</x:f>
        <x:v>0</x:v>
      </x:c>
      <x:c r="N106" s="12" t="n">
        <x:f>IF(AND(COUNTIF('01_Fuentes'!$A$5:$A$40,B106)=1,COUNTIF('02_Custodia'!$A$5:$A$53,C106)=1,COUNTIF('07_Operaciones'!$A$5:$A$26,J106)=1,COUNTIF('06_Cobertura'!$A$5:$A$25,H106)=1),0,1)</x:f>
        <x:v>0</x:v>
      </x:c>
      <x:c r="O106" s="12" t="n">
        <x:f>IF(COUNTIF('03_NICE'!$A$5:$A$57,I106)+COUNTIF('04_TKS'!$A$5:$A$72,I106)=1,0,1)</x:f>
        <x:v>0</x:v>
      </x:c>
      <x:c r="P106" s="12" t="n">
        <x:f>IF(OR(AND(B106="F008",L106&lt;&gt;"IDENTIFICADA_NO_ADOPTABLE"),AND(B106="F028",L106&lt;&gt;"PREGUNTA_NO_NORMATIVA"),COUNTIFS('01_Fuentes'!$A$5:$A$40,B106,'01_Fuentes'!$H$5:$H$40,"METADATOS_SOLO")&gt;0),1,0)</x:f>
        <x:v>0</x:v>
      </x:c>
      <x:c r="Q106" s="12" t="n">
        <x:f>IF(OR(A106="",D106="",E106="",F106="",K106="",L106=""),1,0)</x:f>
        <x:v>0</x:v>
      </x:c>
    </x:row>
    <x:row r="107" ht="47" customHeight="1">
      <x:c r="A107" s="4" t="str">
        <x:v>CP-103</x:v>
      </x:c>
      <x:c r="B107" s="4" t="str">
        <x:v>F029</x:v>
      </x:c>
      <x:c r="C107" s="4" t="str">
        <x:v>A013</x:v>
      </x:c>
      <x:c r="D107" s="4" t="str">
        <x:v>LLM04:2026</x:v>
      </x:c>
      <x:c r="E107" s="4" t="str">
        <x:v>Supply Chain</x:v>
      </x:c>
      <x:c r="F107" s="4" t="str">
        <x:v>Riesgos de suministro.</x:v>
      </x:c>
      <x:c r="G107" s="4" t="str">
        <x:v>Conocimiento</x:v>
      </x:c>
      <x:c r="H107" s="4" t="str">
        <x:v>E18</x:v>
      </x:c>
      <x:c r="I107" s="4" t="str">
        <x:v>NF-COM-011</x:v>
      </x:c>
      <x:c r="J107" s="4" t="str">
        <x:v>OPC-06</x:v>
      </x:c>
      <x:c r="K107" s="4" t="str">
        <x:v>TAXONOMIA_2026; sin equivalencia automática de numerales 2025</x:v>
      </x:c>
      <x:c r="L107" s="4" t="str">
        <x:v>CANDIDATA_NO_ADOPTADA</x:v>
      </x:c>
      <x:c r="M107" s="12" t="n">
        <x:f>COUNTIF('05_Complementos'!$A$5:$A$127,A107)-1</x:f>
        <x:v>0</x:v>
      </x:c>
      <x:c r="N107" s="12" t="n">
        <x:f>IF(AND(COUNTIF('01_Fuentes'!$A$5:$A$40,B107)=1,COUNTIF('02_Custodia'!$A$5:$A$53,C107)=1,COUNTIF('07_Operaciones'!$A$5:$A$26,J107)=1,COUNTIF('06_Cobertura'!$A$5:$A$25,H107)=1),0,1)</x:f>
        <x:v>0</x:v>
      </x:c>
      <x:c r="O107" s="12" t="n">
        <x:f>IF(COUNTIF('03_NICE'!$A$5:$A$57,I107)+COUNTIF('04_TKS'!$A$5:$A$72,I107)=1,0,1)</x:f>
        <x:v>0</x:v>
      </x:c>
      <x:c r="P107" s="12" t="n">
        <x:f>IF(OR(AND(B107="F008",L107&lt;&gt;"IDENTIFICADA_NO_ADOPTABLE"),AND(B107="F028",L107&lt;&gt;"PREGUNTA_NO_NORMATIVA"),COUNTIFS('01_Fuentes'!$A$5:$A$40,B107,'01_Fuentes'!$H$5:$H$40,"METADATOS_SOLO")&gt;0),1,0)</x:f>
        <x:v>0</x:v>
      </x:c>
      <x:c r="Q107" s="12" t="n">
        <x:f>IF(OR(A107="",D107="",E107="",F107="",K107="",L107=""),1,0)</x:f>
        <x:v>0</x:v>
      </x:c>
    </x:row>
    <x:row r="108" ht="47" customHeight="1">
      <x:c r="A108" s="4" t="str">
        <x:v>CP-104</x:v>
      </x:c>
      <x:c r="B108" s="4" t="str">
        <x:v>F029</x:v>
      </x:c>
      <x:c r="C108" s="4" t="str">
        <x:v>A013</x:v>
      </x:c>
      <x:c r="D108" s="4" t="str">
        <x:v>LLM05:2026</x:v>
      </x:c>
      <x:c r="E108" s="4" t="str">
        <x:v>Data and Model Poisoning</x:v>
      </x:c>
      <x:c r="F108" s="4" t="str">
        <x:v>Envenenamiento de datos y modelos.</x:v>
      </x:c>
      <x:c r="G108" s="4" t="str">
        <x:v>Conocimiento</x:v>
      </x:c>
      <x:c r="H108" s="4" t="str">
        <x:v>E18</x:v>
      </x:c>
      <x:c r="I108" s="4" t="str">
        <x:v>K1324</x:v>
      </x:c>
      <x:c r="J108" s="4" t="str">
        <x:v>OPC-15</x:v>
      </x:c>
      <x:c r="K108" s="4" t="str">
        <x:v>TAXONOMIA_2026; sin equivalencia automática de numerales 2025</x:v>
      </x:c>
      <x:c r="L108" s="4" t="str">
        <x:v>CANDIDATA_NO_ADOPTADA</x:v>
      </x:c>
      <x:c r="M108" s="12" t="n">
        <x:f>COUNTIF('05_Complementos'!$A$5:$A$127,A108)-1</x:f>
        <x:v>0</x:v>
      </x:c>
      <x:c r="N108" s="12" t="n">
        <x:f>IF(AND(COUNTIF('01_Fuentes'!$A$5:$A$40,B108)=1,COUNTIF('02_Custodia'!$A$5:$A$53,C108)=1,COUNTIF('07_Operaciones'!$A$5:$A$26,J108)=1,COUNTIF('06_Cobertura'!$A$5:$A$25,H108)=1),0,1)</x:f>
        <x:v>0</x:v>
      </x:c>
      <x:c r="O108" s="12" t="n">
        <x:f>IF(COUNTIF('03_NICE'!$A$5:$A$57,I108)+COUNTIF('04_TKS'!$A$5:$A$72,I108)=1,0,1)</x:f>
        <x:v>0</x:v>
      </x:c>
      <x:c r="P108" s="12" t="n">
        <x:f>IF(OR(AND(B108="F008",L108&lt;&gt;"IDENTIFICADA_NO_ADOPTABLE"),AND(B108="F028",L108&lt;&gt;"PREGUNTA_NO_NORMATIVA"),COUNTIFS('01_Fuentes'!$A$5:$A$40,B108,'01_Fuentes'!$H$5:$H$40,"METADATOS_SOLO")&gt;0),1,0)</x:f>
        <x:v>0</x:v>
      </x:c>
      <x:c r="Q108" s="12" t="n">
        <x:f>IF(OR(A108="",D108="",E108="",F108="",K108="",L108=""),1,0)</x:f>
        <x:v>0</x:v>
      </x:c>
    </x:row>
    <x:row r="109" ht="47" customHeight="1">
      <x:c r="A109" s="4" t="str">
        <x:v>CP-105</x:v>
      </x:c>
      <x:c r="B109" s="4" t="str">
        <x:v>F029</x:v>
      </x:c>
      <x:c r="C109" s="4" t="str">
        <x:v>A013</x:v>
      </x:c>
      <x:c r="D109" s="4" t="str">
        <x:v>LLM06:2026</x:v>
      </x:c>
      <x:c r="E109" s="4" t="str">
        <x:v>Unbounded Consumption</x:v>
      </x:c>
      <x:c r="F109" s="4" t="str">
        <x:v>Consumo sin límites adecuados.</x:v>
      </x:c>
      <x:c r="G109" s="4" t="str">
        <x:v>Conocimiento</x:v>
      </x:c>
      <x:c r="H109" s="4" t="str">
        <x:v>E18</x:v>
      </x:c>
      <x:c r="I109" s="4" t="str">
        <x:v>NF-COM-002</x:v>
      </x:c>
      <x:c r="J109" s="4" t="str">
        <x:v>OPC-15</x:v>
      </x:c>
      <x:c r="K109" s="4" t="str">
        <x:v>TAXONOMIA_2026; sin equivalencia automática de numerales 2025</x:v>
      </x:c>
      <x:c r="L109" s="4" t="str">
        <x:v>CANDIDATA_NO_ADOPTADA</x:v>
      </x:c>
      <x:c r="M109" s="12" t="n">
        <x:f>COUNTIF('05_Complementos'!$A$5:$A$127,A109)-1</x:f>
        <x:v>0</x:v>
      </x:c>
      <x:c r="N109" s="12" t="n">
        <x:f>IF(AND(COUNTIF('01_Fuentes'!$A$5:$A$40,B109)=1,COUNTIF('02_Custodia'!$A$5:$A$53,C109)=1,COUNTIF('07_Operaciones'!$A$5:$A$26,J109)=1,COUNTIF('06_Cobertura'!$A$5:$A$25,H109)=1),0,1)</x:f>
        <x:v>0</x:v>
      </x:c>
      <x:c r="O109" s="12" t="n">
        <x:f>IF(COUNTIF('03_NICE'!$A$5:$A$57,I109)+COUNTIF('04_TKS'!$A$5:$A$72,I109)=1,0,1)</x:f>
        <x:v>0</x:v>
      </x:c>
      <x:c r="P109" s="12" t="n">
        <x:f>IF(OR(AND(B109="F008",L109&lt;&gt;"IDENTIFICADA_NO_ADOPTABLE"),AND(B109="F028",L109&lt;&gt;"PREGUNTA_NO_NORMATIVA"),COUNTIFS('01_Fuentes'!$A$5:$A$40,B109,'01_Fuentes'!$H$5:$H$40,"METADATOS_SOLO")&gt;0),1,0)</x:f>
        <x:v>0</x:v>
      </x:c>
      <x:c r="Q109" s="12" t="n">
        <x:f>IF(OR(A109="",D109="",E109="",F109="",K109="",L109=""),1,0)</x:f>
        <x:v>0</x:v>
      </x:c>
    </x:row>
    <x:row r="110" ht="47" customHeight="1">
      <x:c r="A110" s="4" t="str">
        <x:v>CP-106</x:v>
      </x:c>
      <x:c r="B110" s="4" t="str">
        <x:v>F029</x:v>
      </x:c>
      <x:c r="C110" s="4" t="str">
        <x:v>A013</x:v>
      </x:c>
      <x:c r="D110" s="4" t="str">
        <x:v>LLM07:2026</x:v>
      </x:c>
      <x:c r="E110" s="4" t="str">
        <x:v>Misinformation</x:v>
      </x:c>
      <x:c r="F110" s="4" t="str">
        <x:v>Información errónea generada.</x:v>
      </x:c>
      <x:c r="G110" s="4" t="str">
        <x:v>Conocimiento</x:v>
      </x:c>
      <x:c r="H110" s="4" t="str">
        <x:v>E18</x:v>
      </x:c>
      <x:c r="I110" s="4" t="str">
        <x:v>S0957</x:v>
      </x:c>
      <x:c r="J110" s="4" t="str">
        <x:v>OPC-07</x:v>
      </x:c>
      <x:c r="K110" s="4" t="str">
        <x:v>TAXONOMIA_2026; sin equivalencia automática de numerales 2025</x:v>
      </x:c>
      <x:c r="L110" s="4" t="str">
        <x:v>CANDIDATA_NO_ADOPTADA</x:v>
      </x:c>
      <x:c r="M110" s="12" t="n">
        <x:f>COUNTIF('05_Complementos'!$A$5:$A$127,A110)-1</x:f>
        <x:v>0</x:v>
      </x:c>
      <x:c r="N110" s="12" t="n">
        <x:f>IF(AND(COUNTIF('01_Fuentes'!$A$5:$A$40,B110)=1,COUNTIF('02_Custodia'!$A$5:$A$53,C110)=1,COUNTIF('07_Operaciones'!$A$5:$A$26,J110)=1,COUNTIF('06_Cobertura'!$A$5:$A$25,H110)=1),0,1)</x:f>
        <x:v>0</x:v>
      </x:c>
      <x:c r="O110" s="12" t="n">
        <x:f>IF(COUNTIF('03_NICE'!$A$5:$A$57,I110)+COUNTIF('04_TKS'!$A$5:$A$72,I110)=1,0,1)</x:f>
        <x:v>0</x:v>
      </x:c>
      <x:c r="P110" s="12" t="n">
        <x:f>IF(OR(AND(B110="F008",L110&lt;&gt;"IDENTIFICADA_NO_ADOPTABLE"),AND(B110="F028",L110&lt;&gt;"PREGUNTA_NO_NORMATIVA"),COUNTIFS('01_Fuentes'!$A$5:$A$40,B110,'01_Fuentes'!$H$5:$H$40,"METADATOS_SOLO")&gt;0),1,0)</x:f>
        <x:v>0</x:v>
      </x:c>
      <x:c r="Q110" s="12" t="n">
        <x:f>IF(OR(A110="",D110="",E110="",F110="",K110="",L110=""),1,0)</x:f>
        <x:v>0</x:v>
      </x:c>
    </x:row>
    <x:row r="111" ht="47" customHeight="1">
      <x:c r="A111" s="4" t="str">
        <x:v>CP-107</x:v>
      </x:c>
      <x:c r="B111" s="4" t="str">
        <x:v>F029</x:v>
      </x:c>
      <x:c r="C111" s="4" t="str">
        <x:v>A013</x:v>
      </x:c>
      <x:c r="D111" s="4" t="str">
        <x:v>LLM08:2026</x:v>
      </x:c>
      <x:c r="E111" s="4" t="str">
        <x:v>Hidden Context Exposure</x:v>
      </x:c>
      <x:c r="F111" s="4" t="str">
        <x:v>Exposición de contexto oculto.</x:v>
      </x:c>
      <x:c r="G111" s="4" t="str">
        <x:v>Conocimiento</x:v>
      </x:c>
      <x:c r="H111" s="4" t="str">
        <x:v>E18</x:v>
      </x:c>
      <x:c r="I111" s="4" t="str">
        <x:v>OG-WRL-008</x:v>
      </x:c>
      <x:c r="J111" s="4" t="str">
        <x:v>OPC-17</x:v>
      </x:c>
      <x:c r="K111" s="4" t="str">
        <x:v>TAXONOMIA_2026; sin equivalencia automática de numerales 2025</x:v>
      </x:c>
      <x:c r="L111" s="4" t="str">
        <x:v>CANDIDATA_NO_ADOPTADA</x:v>
      </x:c>
      <x:c r="M111" s="12" t="n">
        <x:f>COUNTIF('05_Complementos'!$A$5:$A$127,A111)-1</x:f>
        <x:v>0</x:v>
      </x:c>
      <x:c r="N111" s="12" t="n">
        <x:f>IF(AND(COUNTIF('01_Fuentes'!$A$5:$A$40,B111)=1,COUNTIF('02_Custodia'!$A$5:$A$53,C111)=1,COUNTIF('07_Operaciones'!$A$5:$A$26,J111)=1,COUNTIF('06_Cobertura'!$A$5:$A$25,H111)=1),0,1)</x:f>
        <x:v>0</x:v>
      </x:c>
      <x:c r="O111" s="12" t="n">
        <x:f>IF(COUNTIF('03_NICE'!$A$5:$A$57,I111)+COUNTIF('04_TKS'!$A$5:$A$72,I111)=1,0,1)</x:f>
        <x:v>0</x:v>
      </x:c>
      <x:c r="P111" s="12" t="n">
        <x:f>IF(OR(AND(B111="F008",L111&lt;&gt;"IDENTIFICADA_NO_ADOPTABLE"),AND(B111="F028",L111&lt;&gt;"PREGUNTA_NO_NORMATIVA"),COUNTIFS('01_Fuentes'!$A$5:$A$40,B111,'01_Fuentes'!$H$5:$H$40,"METADATOS_SOLO")&gt;0),1,0)</x:f>
        <x:v>0</x:v>
      </x:c>
      <x:c r="Q111" s="12" t="n">
        <x:f>IF(OR(A111="",D111="",E111="",F111="",K111="",L111=""),1,0)</x:f>
        <x:v>0</x:v>
      </x:c>
    </x:row>
    <x:row r="112" ht="47" customHeight="1">
      <x:c r="A112" s="4" t="str">
        <x:v>CP-108</x:v>
      </x:c>
      <x:c r="B112" s="4" t="str">
        <x:v>F029</x:v>
      </x:c>
      <x:c r="C112" s="4" t="str">
        <x:v>A013</x:v>
      </x:c>
      <x:c r="D112" s="4" t="str">
        <x:v>LLM09:2026</x:v>
      </x:c>
      <x:c r="E112" s="4" t="str">
        <x:v>Vector and Embedding Weaknesses</x:v>
      </x:c>
      <x:c r="F112" s="4" t="str">
        <x:v>Debilidades de vectores y representaciones embebidas.</x:v>
      </x:c>
      <x:c r="G112" s="4" t="str">
        <x:v>Conocimiento</x:v>
      </x:c>
      <x:c r="H112" s="4" t="str">
        <x:v>E18</x:v>
      </x:c>
      <x:c r="I112" s="4" t="str">
        <x:v>NF-COM-002</x:v>
      </x:c>
      <x:c r="J112" s="4" t="str">
        <x:v>OPC-15</x:v>
      </x:c>
      <x:c r="K112" s="4" t="str">
        <x:v>TAXONOMIA_2026; sin equivalencia automática de numerales 2025</x:v>
      </x:c>
      <x:c r="L112" s="4" t="str">
        <x:v>CANDIDATA_NO_ADOPTADA</x:v>
      </x:c>
      <x:c r="M112" s="12" t="n">
        <x:f>COUNTIF('05_Complementos'!$A$5:$A$127,A112)-1</x:f>
        <x:v>0</x:v>
      </x:c>
      <x:c r="N112" s="12" t="n">
        <x:f>IF(AND(COUNTIF('01_Fuentes'!$A$5:$A$40,B112)=1,COUNTIF('02_Custodia'!$A$5:$A$53,C112)=1,COUNTIF('07_Operaciones'!$A$5:$A$26,J112)=1,COUNTIF('06_Cobertura'!$A$5:$A$25,H112)=1),0,1)</x:f>
        <x:v>0</x:v>
      </x:c>
      <x:c r="O112" s="12" t="n">
        <x:f>IF(COUNTIF('03_NICE'!$A$5:$A$57,I112)+COUNTIF('04_TKS'!$A$5:$A$72,I112)=1,0,1)</x:f>
        <x:v>0</x:v>
      </x:c>
      <x:c r="P112" s="12" t="n">
        <x:f>IF(OR(AND(B112="F008",L112&lt;&gt;"IDENTIFICADA_NO_ADOPTABLE"),AND(B112="F028",L112&lt;&gt;"PREGUNTA_NO_NORMATIVA"),COUNTIFS('01_Fuentes'!$A$5:$A$40,B112,'01_Fuentes'!$H$5:$H$40,"METADATOS_SOLO")&gt;0),1,0)</x:f>
        <x:v>0</x:v>
      </x:c>
      <x:c r="Q112" s="12" t="n">
        <x:f>IF(OR(A112="",D112="",E112="",F112="",K112="",L112=""),1,0)</x:f>
        <x:v>0</x:v>
      </x:c>
    </x:row>
    <x:row r="113" ht="47" customHeight="1">
      <x:c r="A113" s="4" t="str">
        <x:v>CP-109</x:v>
      </x:c>
      <x:c r="B113" s="4" t="str">
        <x:v>F029</x:v>
      </x:c>
      <x:c r="C113" s="4" t="str">
        <x:v>A013</x:v>
      </x:c>
      <x:c r="D113" s="4" t="str">
        <x:v>LLM10:2026</x:v>
      </x:c>
      <x:c r="E113" s="4" t="str">
        <x:v>Improper Output Handling</x:v>
      </x:c>
      <x:c r="F113" s="4" t="str">
        <x:v>Tratamiento inadecuado de salidas.</x:v>
      </x:c>
      <x:c r="G113" s="4" t="str">
        <x:v>Conocimiento</x:v>
      </x:c>
      <x:c r="H113" s="4" t="str">
        <x:v>E18</x:v>
      </x:c>
      <x:c r="I113" s="4" t="str">
        <x:v>DD-WRL-005</x:v>
      </x:c>
      <x:c r="J113" s="4" t="str">
        <x:v>OPC-05</x:v>
      </x:c>
      <x:c r="K113" s="4" t="str">
        <x:v>TAXONOMIA_2026; sin equivalencia automática de numerales 2025</x:v>
      </x:c>
      <x:c r="L113" s="4" t="str">
        <x:v>CANDIDATA_NO_ADOPTADA</x:v>
      </x:c>
      <x:c r="M113" s="12" t="n">
        <x:f>COUNTIF('05_Complementos'!$A$5:$A$127,A113)-1</x:f>
        <x:v>0</x:v>
      </x:c>
      <x:c r="N113" s="12" t="n">
        <x:f>IF(AND(COUNTIF('01_Fuentes'!$A$5:$A$40,B113)=1,COUNTIF('02_Custodia'!$A$5:$A$53,C113)=1,COUNTIF('07_Operaciones'!$A$5:$A$26,J113)=1,COUNTIF('06_Cobertura'!$A$5:$A$25,H113)=1),0,1)</x:f>
        <x:v>0</x:v>
      </x:c>
      <x:c r="O113" s="12" t="n">
        <x:f>IF(COUNTIF('03_NICE'!$A$5:$A$57,I113)+COUNTIF('04_TKS'!$A$5:$A$72,I113)=1,0,1)</x:f>
        <x:v>0</x:v>
      </x:c>
      <x:c r="P113" s="12" t="n">
        <x:f>IF(OR(AND(B113="F008",L113&lt;&gt;"IDENTIFICADA_NO_ADOPTABLE"),AND(B113="F028",L113&lt;&gt;"PREGUNTA_NO_NORMATIVA"),COUNTIFS('01_Fuentes'!$A$5:$A$40,B113,'01_Fuentes'!$H$5:$H$40,"METADATOS_SOLO")&gt;0),1,0)</x:f>
        <x:v>0</x:v>
      </x:c>
      <x:c r="Q113" s="12" t="n">
        <x:f>IF(OR(A113="",D113="",E113="",F113="",K113="",L113=""),1,0)</x:f>
        <x:v>0</x:v>
      </x:c>
    </x:row>
    <x:row r="114" ht="47" customHeight="1">
      <x:c r="A114" s="4" t="str">
        <x:v>CP-110</x:v>
      </x:c>
      <x:c r="B114" s="4" t="str">
        <x:v>F030</x:v>
      </x:c>
      <x:c r="C114" s="4" t="str">
        <x:v>F030</x:v>
      </x:c>
      <x:c r="D114" s="4" t="str">
        <x:v>Artículo 2</x:v>
      </x:c>
      <x:c r="E114" s="4" t="str">
        <x:v>Ámbito de aplicación</x:v>
      </x:c>
      <x:c r="F114" s="4" t="str">
        <x:v>Determinar si la entidad, el sistema o el contrato están sujetos al ENS.</x:v>
      </x:c>
      <x:c r="G114" s="4" t="str">
        <x:v>Restricción jurídica</x:v>
      </x:c>
      <x:c r="H114" s="4" t="str">
        <x:v>E16</x:v>
      </x:c>
      <x:c r="I114" s="4" t="str">
        <x:v>OG-WRL-006</x:v>
      </x:c>
      <x:c r="J114" s="4" t="str">
        <x:v>OPC-17</x:v>
      </x:c>
      <x:c r="K114" s="4" t="str">
        <x:v>APLICABILIDAD_CONDICIONAL; sin adopción de obligación de caso</x:v>
      </x:c>
      <x:c r="L114" s="4" t="str">
        <x:v>APLICABILIDAD_PENDIENTE</x:v>
      </x:c>
      <x:c r="M114" s="12" t="n">
        <x:f>COUNTIF('05_Complementos'!$A$5:$A$127,A114)-1</x:f>
        <x:v>0</x:v>
      </x:c>
      <x:c r="N114" s="12" t="n">
        <x:f>IF(AND(COUNTIF('01_Fuentes'!$A$5:$A$40,B114)=1,COUNTIF('02_Custodia'!$A$5:$A$53,C114)=1,COUNTIF('07_Operaciones'!$A$5:$A$26,J114)=1,COUNTIF('06_Cobertura'!$A$5:$A$25,H114)=1),0,1)</x:f>
        <x:v>0</x:v>
      </x:c>
      <x:c r="O114" s="12" t="n">
        <x:f>IF(COUNTIF('03_NICE'!$A$5:$A$57,I114)+COUNTIF('04_TKS'!$A$5:$A$72,I114)=1,0,1)</x:f>
        <x:v>0</x:v>
      </x:c>
      <x:c r="P114" s="12" t="n">
        <x:f>IF(OR(AND(B114="F008",L114&lt;&gt;"IDENTIFICADA_NO_ADOPTABLE"),AND(B114="F028",L114&lt;&gt;"PREGUNTA_NO_NORMATIVA"),COUNTIFS('01_Fuentes'!$A$5:$A$40,B114,'01_Fuentes'!$H$5:$H$40,"METADATOS_SOLO")&gt;0),1,0)</x:f>
        <x:v>0</x:v>
      </x:c>
      <x:c r="Q114" s="12" t="n">
        <x:f>IF(OR(A114="",D114="",E114="",F114="",K114="",L114=""),1,0)</x:f>
        <x:v>0</x:v>
      </x:c>
    </x:row>
    <x:row r="115" ht="47" customHeight="1">
      <x:c r="A115" s="4" t="str">
        <x:v>CP-111</x:v>
      </x:c>
      <x:c r="B115" s="4" t="str">
        <x:v>F030</x:v>
      </x:c>
      <x:c r="C115" s="4" t="str">
        <x:v>F030</x:v>
      </x:c>
      <x:c r="D115" s="4" t="str">
        <x:v>Artículo 11</x:v>
      </x:c>
      <x:c r="E115" s="4" t="str">
        <x:v>Diferenciación de responsabilidades</x:v>
      </x:c>
      <x:c r="F115" s="4" t="str">
        <x:v>Distinguir responsabilidades de seguridad, sistema e información según el régimen aplicable.</x:v>
      </x:c>
      <x:c r="G115" s="4" t="str">
        <x:v>Restricción jurídica</x:v>
      </x:c>
      <x:c r="H115" s="4" t="str">
        <x:v>E16</x:v>
      </x:c>
      <x:c r="I115" s="4" t="str">
        <x:v>OG-WRL-007</x:v>
      </x:c>
      <x:c r="J115" s="4" t="str">
        <x:v>OPC-01</x:v>
      </x:c>
      <x:c r="K115" s="4" t="str">
        <x:v>APLICABILIDAD_CONDICIONAL; sin adopción de obligación de caso</x:v>
      </x:c>
      <x:c r="L115" s="4" t="str">
        <x:v>APLICABILIDAD_PENDIENTE</x:v>
      </x:c>
      <x:c r="M115" s="12" t="n">
        <x:f>COUNTIF('05_Complementos'!$A$5:$A$127,A115)-1</x:f>
        <x:v>0</x:v>
      </x:c>
      <x:c r="N115" s="12" t="n">
        <x:f>IF(AND(COUNTIF('01_Fuentes'!$A$5:$A$40,B115)=1,COUNTIF('02_Custodia'!$A$5:$A$53,C115)=1,COUNTIF('07_Operaciones'!$A$5:$A$26,J115)=1,COUNTIF('06_Cobertura'!$A$5:$A$25,H115)=1),0,1)</x:f>
        <x:v>0</x:v>
      </x:c>
      <x:c r="O115" s="12" t="n">
        <x:f>IF(COUNTIF('03_NICE'!$A$5:$A$57,I115)+COUNTIF('04_TKS'!$A$5:$A$72,I115)=1,0,1)</x:f>
        <x:v>0</x:v>
      </x:c>
      <x:c r="P115" s="12" t="n">
        <x:f>IF(OR(AND(B115="F008",L115&lt;&gt;"IDENTIFICADA_NO_ADOPTABLE"),AND(B115="F028",L115&lt;&gt;"PREGUNTA_NO_NORMATIVA"),COUNTIFS('01_Fuentes'!$A$5:$A$40,B115,'01_Fuentes'!$H$5:$H$40,"METADATOS_SOLO")&gt;0),1,0)</x:f>
        <x:v>0</x:v>
      </x:c>
      <x:c r="Q115" s="12" t="n">
        <x:f>IF(OR(A115="",D115="",E115="",F115="",K115="",L115=""),1,0)</x:f>
        <x:v>0</x:v>
      </x:c>
    </x:row>
    <x:row r="116" ht="47" customHeight="1">
      <x:c r="A116" s="4" t="str">
        <x:v>CP-112</x:v>
      </x:c>
      <x:c r="B116" s="4" t="str">
        <x:v>F031</x:v>
      </x:c>
      <x:c r="C116" s="4" t="str">
        <x:v>F031</x:v>
      </x:c>
      <x:c r="D116" s="4" t="str">
        <x:v>Artículo 2</x:v>
      </x:c>
      <x:c r="E116" s="4" t="str">
        <x:v>Scope</x:v>
      </x:c>
      <x:c r="F116" s="4" t="str">
        <x:v>Delimitar sujetos y exclusiones de NIS2 antes de derivar obligaciones nacionales.</x:v>
      </x:c>
      <x:c r="G116" s="4" t="str">
        <x:v>Restricción jurídica</x:v>
      </x:c>
      <x:c r="H116" s="4" t="str">
        <x:v>E16</x:v>
      </x:c>
      <x:c r="I116" s="4" t="str">
        <x:v>OG-WRL-006</x:v>
      </x:c>
      <x:c r="J116" s="4" t="str">
        <x:v>OPC-17</x:v>
      </x:c>
      <x:c r="K116" s="4" t="str">
        <x:v>APLICABILIDAD_CONDICIONAL; sin adopción de obligación de caso</x:v>
      </x:c>
      <x:c r="L116" s="4" t="str">
        <x:v>APLICABILIDAD_PENDIENTE</x:v>
      </x:c>
      <x:c r="M116" s="12" t="n">
        <x:f>COUNTIF('05_Complementos'!$A$5:$A$127,A116)-1</x:f>
        <x:v>0</x:v>
      </x:c>
      <x:c r="N116" s="12" t="n">
        <x:f>IF(AND(COUNTIF('01_Fuentes'!$A$5:$A$40,B116)=1,COUNTIF('02_Custodia'!$A$5:$A$53,C116)=1,COUNTIF('07_Operaciones'!$A$5:$A$26,J116)=1,COUNTIF('06_Cobertura'!$A$5:$A$25,H116)=1),0,1)</x:f>
        <x:v>0</x:v>
      </x:c>
      <x:c r="O116" s="12" t="n">
        <x:f>IF(COUNTIF('03_NICE'!$A$5:$A$57,I116)+COUNTIF('04_TKS'!$A$5:$A$72,I116)=1,0,1)</x:f>
        <x:v>0</x:v>
      </x:c>
      <x:c r="P116" s="12" t="n">
        <x:f>IF(OR(AND(B116="F008",L116&lt;&gt;"IDENTIFICADA_NO_ADOPTABLE"),AND(B116="F028",L116&lt;&gt;"PREGUNTA_NO_NORMATIVA"),COUNTIFS('01_Fuentes'!$A$5:$A$40,B116,'01_Fuentes'!$H$5:$H$40,"METADATOS_SOLO")&gt;0),1,0)</x:f>
        <x:v>0</x:v>
      </x:c>
      <x:c r="Q116" s="12" t="n">
        <x:f>IF(OR(A116="",D116="",E116="",F116="",K116="",L116=""),1,0)</x:f>
        <x:v>0</x:v>
      </x:c>
    </x:row>
    <x:row r="117" ht="47" customHeight="1">
      <x:c r="A117" s="4" t="str">
        <x:v>CP-113</x:v>
      </x:c>
      <x:c r="B117" s="4" t="str">
        <x:v>F031</x:v>
      </x:c>
      <x:c r="C117" s="4" t="str">
        <x:v>F031</x:v>
      </x:c>
      <x:c r="D117" s="4" t="str">
        <x:v>Artículos 20 y 21</x:v>
      </x:c>
      <x:c r="E117" s="4" t="str">
        <x:v>Governance</x:v>
      </x:c>
      <x:c r="F117" s="4" t="str">
        <x:v>Distinguir gobierno institucional y medidas de riesgo de una competencia profesional.</x:v>
      </x:c>
      <x:c r="G117" s="4" t="str">
        <x:v>Restricción jurídica</x:v>
      </x:c>
      <x:c r="H117" s="4" t="str">
        <x:v>E16</x:v>
      </x:c>
      <x:c r="I117" s="4" t="str">
        <x:v>OG-WRL-007</x:v>
      </x:c>
      <x:c r="J117" s="4" t="str">
        <x:v>OPC-01</x:v>
      </x:c>
      <x:c r="K117" s="4" t="str">
        <x:v>APLICABILIDAD_CONDICIONAL; sin adopción de obligación de caso</x:v>
      </x:c>
      <x:c r="L117" s="4" t="str">
        <x:v>APLICABILIDAD_PENDIENTE</x:v>
      </x:c>
      <x:c r="M117" s="12" t="n">
        <x:f>COUNTIF('05_Complementos'!$A$5:$A$127,A117)-1</x:f>
        <x:v>0</x:v>
      </x:c>
      <x:c r="N117" s="12" t="n">
        <x:f>IF(AND(COUNTIF('01_Fuentes'!$A$5:$A$40,B117)=1,COUNTIF('02_Custodia'!$A$5:$A$53,C117)=1,COUNTIF('07_Operaciones'!$A$5:$A$26,J117)=1,COUNTIF('06_Cobertura'!$A$5:$A$25,H117)=1),0,1)</x:f>
        <x:v>0</x:v>
      </x:c>
      <x:c r="O117" s="12" t="n">
        <x:f>IF(COUNTIF('03_NICE'!$A$5:$A$57,I117)+COUNTIF('04_TKS'!$A$5:$A$72,I117)=1,0,1)</x:f>
        <x:v>0</x:v>
      </x:c>
      <x:c r="P117" s="12" t="n">
        <x:f>IF(OR(AND(B117="F008",L117&lt;&gt;"IDENTIFICADA_NO_ADOPTABLE"),AND(B117="F028",L117&lt;&gt;"PREGUNTA_NO_NORMATIVA"),COUNTIFS('01_Fuentes'!$A$5:$A$40,B117,'01_Fuentes'!$H$5:$H$40,"METADATOS_SOLO")&gt;0),1,0)</x:f>
        <x:v>0</x:v>
      </x:c>
      <x:c r="Q117" s="12" t="n">
        <x:f>IF(OR(A117="",D117="",E117="",F117="",K117="",L117=""),1,0)</x:f>
        <x:v>0</x:v>
      </x:c>
    </x:row>
    <x:row r="118" ht="47" customHeight="1">
      <x:c r="A118" s="4" t="str">
        <x:v>CP-114</x:v>
      </x:c>
      <x:c r="B118" s="4" t="str">
        <x:v>F032</x:v>
      </x:c>
      <x:c r="C118" s="4" t="str">
        <x:v>F032</x:v>
      </x:c>
      <x:c r="D118" s="4" t="str">
        <x:v>Artículo 2</x:v>
      </x:c>
      <x:c r="E118" s="4" t="str">
        <x:v>Scope</x:v>
      </x:c>
      <x:c r="F118" s="4" t="str">
        <x:v>Comprobar producto, comercialización, rol y exclusiones antes de aplicar el reglamento.</x:v>
      </x:c>
      <x:c r="G118" s="4" t="str">
        <x:v>Restricción jurídica</x:v>
      </x:c>
      <x:c r="H118" s="4" t="str">
        <x:v>E16</x:v>
      </x:c>
      <x:c r="I118" s="4" t="str">
        <x:v>OG-WRL-006</x:v>
      </x:c>
      <x:c r="J118" s="4" t="str">
        <x:v>OPC-17</x:v>
      </x:c>
      <x:c r="K118" s="4" t="str">
        <x:v>APLICABILIDAD_CONDICIONAL; sin adopción de obligación de caso</x:v>
      </x:c>
      <x:c r="L118" s="4" t="str">
        <x:v>APLICABILIDAD_PENDIENTE</x:v>
      </x:c>
      <x:c r="M118" s="12" t="n">
        <x:f>COUNTIF('05_Complementos'!$A$5:$A$127,A118)-1</x:f>
        <x:v>0</x:v>
      </x:c>
      <x:c r="N118" s="12" t="n">
        <x:f>IF(AND(COUNTIF('01_Fuentes'!$A$5:$A$40,B118)=1,COUNTIF('02_Custodia'!$A$5:$A$53,C118)=1,COUNTIF('07_Operaciones'!$A$5:$A$26,J118)=1,COUNTIF('06_Cobertura'!$A$5:$A$25,H118)=1),0,1)</x:f>
        <x:v>0</x:v>
      </x:c>
      <x:c r="O118" s="12" t="n">
        <x:f>IF(COUNTIF('03_NICE'!$A$5:$A$57,I118)+COUNTIF('04_TKS'!$A$5:$A$72,I118)=1,0,1)</x:f>
        <x:v>0</x:v>
      </x:c>
      <x:c r="P118" s="12" t="n">
        <x:f>IF(OR(AND(B118="F008",L118&lt;&gt;"IDENTIFICADA_NO_ADOPTABLE"),AND(B118="F028",L118&lt;&gt;"PREGUNTA_NO_NORMATIVA"),COUNTIFS('01_Fuentes'!$A$5:$A$40,B118,'01_Fuentes'!$H$5:$H$40,"METADATOS_SOLO")&gt;0),1,0)</x:f>
        <x:v>0</x:v>
      </x:c>
      <x:c r="Q118" s="12" t="n">
        <x:f>IF(OR(A118="",D118="",E118="",F118="",K118="",L118=""),1,0)</x:f>
        <x:v>0</x:v>
      </x:c>
    </x:row>
    <x:row r="119" ht="47" customHeight="1">
      <x:c r="A119" s="4" t="str">
        <x:v>CP-115</x:v>
      </x:c>
      <x:c r="B119" s="4" t="str">
        <x:v>F032</x:v>
      </x:c>
      <x:c r="C119" s="4" t="str">
        <x:v>F032</x:v>
      </x:c>
      <x:c r="D119" s="4" t="str">
        <x:v>Anexo I</x:v>
      </x:c>
      <x:c r="E119" s="4" t="str">
        <x:v>ESSENTIAL CYBERSECURITY REQUIREMENTS</x:v>
      </x:c>
      <x:c r="F119" s="4" t="str">
        <x:v>Identificar requisitos esenciales de producto y tratamiento de vulnerabilidades como objeto distinto de un currículo.</x:v>
      </x:c>
      <x:c r="G119" s="4" t="str">
        <x:v>Restricción jurídica</x:v>
      </x:c>
      <x:c r="H119" s="4" t="str">
        <x:v>E16</x:v>
      </x:c>
      <x:c r="I119" s="4" t="str">
        <x:v>OG-WRL-017</x:v>
      </x:c>
      <x:c r="J119" s="4" t="str">
        <x:v>OPC-06</x:v>
      </x:c>
      <x:c r="K119" s="4" t="str">
        <x:v>APLICABILIDAD_CONDICIONAL; sin adopción de obligación de caso</x:v>
      </x:c>
      <x:c r="L119" s="4" t="str">
        <x:v>APLICABILIDAD_PENDIENTE</x:v>
      </x:c>
      <x:c r="M119" s="12" t="n">
        <x:f>COUNTIF('05_Complementos'!$A$5:$A$127,A119)-1</x:f>
        <x:v>0</x:v>
      </x:c>
      <x:c r="N119" s="12" t="n">
        <x:f>IF(AND(COUNTIF('01_Fuentes'!$A$5:$A$40,B119)=1,COUNTIF('02_Custodia'!$A$5:$A$53,C119)=1,COUNTIF('07_Operaciones'!$A$5:$A$26,J119)=1,COUNTIF('06_Cobertura'!$A$5:$A$25,H119)=1),0,1)</x:f>
        <x:v>0</x:v>
      </x:c>
      <x:c r="O119" s="12" t="n">
        <x:f>IF(COUNTIF('03_NICE'!$A$5:$A$57,I119)+COUNTIF('04_TKS'!$A$5:$A$72,I119)=1,0,1)</x:f>
        <x:v>0</x:v>
      </x:c>
      <x:c r="P119" s="12" t="n">
        <x:f>IF(OR(AND(B119="F008",L119&lt;&gt;"IDENTIFICADA_NO_ADOPTABLE"),AND(B119="F028",L119&lt;&gt;"PREGUNTA_NO_NORMATIVA"),COUNTIFS('01_Fuentes'!$A$5:$A$40,B119,'01_Fuentes'!$H$5:$H$40,"METADATOS_SOLO")&gt;0),1,0)</x:f>
        <x:v>0</x:v>
      </x:c>
      <x:c r="Q119" s="12" t="n">
        <x:f>IF(OR(A119="",D119="",E119="",F119="",K119="",L119=""),1,0)</x:f>
        <x:v>0</x:v>
      </x:c>
    </x:row>
    <x:row r="120" ht="47" customHeight="1">
      <x:c r="A120" s="4" t="str">
        <x:v>CP-116</x:v>
      </x:c>
      <x:c r="B120" s="4" t="str">
        <x:v>F033</x:v>
      </x:c>
      <x:c r="C120" s="4" t="str">
        <x:v>F033</x:v>
      </x:c>
      <x:c r="D120" s="4" t="str">
        <x:v>Artículo 2</x:v>
      </x:c>
      <x:c r="E120" s="4" t="str">
        <x:v>Scope</x:v>
      </x:c>
      <x:c r="F120" s="4" t="str">
        <x:v>Determinar ámbito y papel del operador del sistema o modelo de IA.</x:v>
      </x:c>
      <x:c r="G120" s="4" t="str">
        <x:v>Restricción jurídica</x:v>
      </x:c>
      <x:c r="H120" s="4" t="str">
        <x:v>E16</x:v>
      </x:c>
      <x:c r="I120" s="4" t="str">
        <x:v>OG-WRL-006</x:v>
      </x:c>
      <x:c r="J120" s="4" t="str">
        <x:v>OPC-17</x:v>
      </x:c>
      <x:c r="K120" s="4" t="str">
        <x:v>APLICABILIDAD_CONDICIONAL; sin adopción de obligación de caso</x:v>
      </x:c>
      <x:c r="L120" s="4" t="str">
        <x:v>APLICABILIDAD_PENDIENTE</x:v>
      </x:c>
      <x:c r="M120" s="12" t="n">
        <x:f>COUNTIF('05_Complementos'!$A$5:$A$127,A120)-1</x:f>
        <x:v>0</x:v>
      </x:c>
      <x:c r="N120" s="12" t="n">
        <x:f>IF(AND(COUNTIF('01_Fuentes'!$A$5:$A$40,B120)=1,COUNTIF('02_Custodia'!$A$5:$A$53,C120)=1,COUNTIF('07_Operaciones'!$A$5:$A$26,J120)=1,COUNTIF('06_Cobertura'!$A$5:$A$25,H120)=1),0,1)</x:f>
        <x:v>0</x:v>
      </x:c>
      <x:c r="O120" s="12" t="n">
        <x:f>IF(COUNTIF('03_NICE'!$A$5:$A$57,I120)+COUNTIF('04_TKS'!$A$5:$A$72,I120)=1,0,1)</x:f>
        <x:v>0</x:v>
      </x:c>
      <x:c r="P120" s="12" t="n">
        <x:f>IF(OR(AND(B120="F008",L120&lt;&gt;"IDENTIFICADA_NO_ADOPTABLE"),AND(B120="F028",L120&lt;&gt;"PREGUNTA_NO_NORMATIVA"),COUNTIFS('01_Fuentes'!$A$5:$A$40,B120,'01_Fuentes'!$H$5:$H$40,"METADATOS_SOLO")&gt;0),1,0)</x:f>
        <x:v>0</x:v>
      </x:c>
      <x:c r="Q120" s="12" t="n">
        <x:f>IF(OR(A120="",D120="",E120="",F120="",K120="",L120=""),1,0)</x:f>
        <x:v>0</x:v>
      </x:c>
    </x:row>
    <x:row r="121" ht="47" customHeight="1">
      <x:c r="A121" s="4" t="str">
        <x:v>CP-117</x:v>
      </x:c>
      <x:c r="B121" s="4" t="str">
        <x:v>F033</x:v>
      </x:c>
      <x:c r="C121" s="4" t="str">
        <x:v>F033</x:v>
      </x:c>
      <x:c r="D121" s="4" t="str">
        <x:v>Artículos 14 y 15</x:v>
      </x:c>
      <x:c r="E121" s="4" t="str">
        <x:v>Human oversight</x:v>
      </x:c>
      <x:c r="F121" s="4" t="str">
        <x:v>Identificar supervisión y seguridad exigibles al sistema de alto riesgo sólo si le resultan aplicables.</x:v>
      </x:c>
      <x:c r="G121" s="4" t="str">
        <x:v>Restricción jurídica</x:v>
      </x:c>
      <x:c r="H121" s="4" t="str">
        <x:v>E16</x:v>
      </x:c>
      <x:c r="I121" s="4" t="str">
        <x:v>K1327</x:v>
      </x:c>
      <x:c r="J121" s="4" t="str">
        <x:v>OPC-15</x:v>
      </x:c>
      <x:c r="K121" s="4" t="str">
        <x:v>APLICABILIDAD_CONDICIONAL; sin adopción de obligación de caso</x:v>
      </x:c>
      <x:c r="L121" s="4" t="str">
        <x:v>APLICABILIDAD_PENDIENTE</x:v>
      </x:c>
      <x:c r="M121" s="12" t="n">
        <x:f>COUNTIF('05_Complementos'!$A$5:$A$127,A121)-1</x:f>
        <x:v>0</x:v>
      </x:c>
      <x:c r="N121" s="12" t="n">
        <x:f>IF(AND(COUNTIF('01_Fuentes'!$A$5:$A$40,B121)=1,COUNTIF('02_Custodia'!$A$5:$A$53,C121)=1,COUNTIF('07_Operaciones'!$A$5:$A$26,J121)=1,COUNTIF('06_Cobertura'!$A$5:$A$25,H121)=1),0,1)</x:f>
        <x:v>0</x:v>
      </x:c>
      <x:c r="O121" s="12" t="n">
        <x:f>IF(COUNTIF('03_NICE'!$A$5:$A$57,I121)+COUNTIF('04_TKS'!$A$5:$A$72,I121)=1,0,1)</x:f>
        <x:v>0</x:v>
      </x:c>
      <x:c r="P121" s="12" t="n">
        <x:f>IF(OR(AND(B121="F008",L121&lt;&gt;"IDENTIFICADA_NO_ADOPTABLE"),AND(B121="F028",L121&lt;&gt;"PREGUNTA_NO_NORMATIVA"),COUNTIFS('01_Fuentes'!$A$5:$A$40,B121,'01_Fuentes'!$H$5:$H$40,"METADATOS_SOLO")&gt;0),1,0)</x:f>
        <x:v>0</x:v>
      </x:c>
      <x:c r="Q121" s="12" t="n">
        <x:f>IF(OR(A121="",D121="",E121="",F121="",K121="",L121=""),1,0)</x:f>
        <x:v>0</x:v>
      </x:c>
    </x:row>
    <x:row r="122" ht="47" customHeight="1">
      <x:c r="A122" s="4" t="str">
        <x:v>CP-118</x:v>
      </x:c>
      <x:c r="B122" s="4" t="str">
        <x:v>F034</x:v>
      </x:c>
      <x:c r="C122" s="4" t="str">
        <x:v>F034</x:v>
      </x:c>
      <x:c r="D122" s="4" t="str">
        <x:v>Artículos 2 y 3</x:v>
      </x:c>
      <x:c r="E122" s="4" t="str">
        <x:v>Material scope</x:v>
      </x:c>
      <x:c r="F122" s="4" t="str">
        <x:v>Comprobar ámbito material y territorial del tratamiento de datos.</x:v>
      </x:c>
      <x:c r="G122" s="4" t="str">
        <x:v>Restricción jurídica</x:v>
      </x:c>
      <x:c r="H122" s="4" t="str">
        <x:v>E16</x:v>
      </x:c>
      <x:c r="I122" s="4" t="str">
        <x:v>OG-WRL-008</x:v>
      </x:c>
      <x:c r="J122" s="4" t="str">
        <x:v>OPC-17</x:v>
      </x:c>
      <x:c r="K122" s="4" t="str">
        <x:v>APLICABILIDAD_CONDICIONAL; sin adopción de obligación de caso</x:v>
      </x:c>
      <x:c r="L122" s="4" t="str">
        <x:v>APLICABILIDAD_PENDIENTE</x:v>
      </x:c>
      <x:c r="M122" s="12" t="n">
        <x:f>COUNTIF('05_Complementos'!$A$5:$A$127,A122)-1</x:f>
        <x:v>0</x:v>
      </x:c>
      <x:c r="N122" s="12" t="n">
        <x:f>IF(AND(COUNTIF('01_Fuentes'!$A$5:$A$40,B122)=1,COUNTIF('02_Custodia'!$A$5:$A$53,C122)=1,COUNTIF('07_Operaciones'!$A$5:$A$26,J122)=1,COUNTIF('06_Cobertura'!$A$5:$A$25,H122)=1),0,1)</x:f>
        <x:v>0</x:v>
      </x:c>
      <x:c r="O122" s="12" t="n">
        <x:f>IF(COUNTIF('03_NICE'!$A$5:$A$57,I122)+COUNTIF('04_TKS'!$A$5:$A$72,I122)=1,0,1)</x:f>
        <x:v>0</x:v>
      </x:c>
      <x:c r="P122" s="12" t="n">
        <x:f>IF(OR(AND(B122="F008",L122&lt;&gt;"IDENTIFICADA_NO_ADOPTABLE"),AND(B122="F028",L122&lt;&gt;"PREGUNTA_NO_NORMATIVA"),COUNTIFS('01_Fuentes'!$A$5:$A$40,B122,'01_Fuentes'!$H$5:$H$40,"METADATOS_SOLO")&gt;0),1,0)</x:f>
        <x:v>0</x:v>
      </x:c>
      <x:c r="Q122" s="12" t="n">
        <x:f>IF(OR(A122="",D122="",E122="",F122="",K122="",L122=""),1,0)</x:f>
        <x:v>0</x:v>
      </x:c>
    </x:row>
    <x:row r="123" ht="47" customHeight="1">
      <x:c r="A123" s="4" t="str">
        <x:v>CP-119</x:v>
      </x:c>
      <x:c r="B123" s="4" t="str">
        <x:v>F034</x:v>
      </x:c>
      <x:c r="C123" s="4" t="str">
        <x:v>F034</x:v>
      </x:c>
      <x:c r="D123" s="4" t="str">
        <x:v>Artículo 32</x:v>
      </x:c>
      <x:c r="E123" s="4" t="str">
        <x:v>Security of processing</x:v>
      </x:c>
      <x:c r="F123" s="4" t="str">
        <x:v>Relacionar medidas de seguridad con contexto y riesgo del tratamiento cuando proceda.</x:v>
      </x:c>
      <x:c r="G123" s="4" t="str">
        <x:v>Restricción jurídica</x:v>
      </x:c>
      <x:c r="H123" s="4" t="str">
        <x:v>E16</x:v>
      </x:c>
      <x:c r="I123" s="4" t="str">
        <x:v>OG-WRL-008</x:v>
      </x:c>
      <x:c r="J123" s="4" t="str">
        <x:v>OPC-17</x:v>
      </x:c>
      <x:c r="K123" s="4" t="str">
        <x:v>APLICABILIDAD_CONDICIONAL; sin adopción de obligación de caso</x:v>
      </x:c>
      <x:c r="L123" s="4" t="str">
        <x:v>APLICABILIDAD_PENDIENTE</x:v>
      </x:c>
      <x:c r="M123" s="12" t="n">
        <x:f>COUNTIF('05_Complementos'!$A$5:$A$127,A123)-1</x:f>
        <x:v>0</x:v>
      </x:c>
      <x:c r="N123" s="12" t="n">
        <x:f>IF(AND(COUNTIF('01_Fuentes'!$A$5:$A$40,B123)=1,COUNTIF('02_Custodia'!$A$5:$A$53,C123)=1,COUNTIF('07_Operaciones'!$A$5:$A$26,J123)=1,COUNTIF('06_Cobertura'!$A$5:$A$25,H123)=1),0,1)</x:f>
        <x:v>0</x:v>
      </x:c>
      <x:c r="O123" s="12" t="n">
        <x:f>IF(COUNTIF('03_NICE'!$A$5:$A$57,I123)+COUNTIF('04_TKS'!$A$5:$A$72,I123)=1,0,1)</x:f>
        <x:v>0</x:v>
      </x:c>
      <x:c r="P123" s="12" t="n">
        <x:f>IF(OR(AND(B123="F008",L123&lt;&gt;"IDENTIFICADA_NO_ADOPTABLE"),AND(B123="F028",L123&lt;&gt;"PREGUNTA_NO_NORMATIVA"),COUNTIFS('01_Fuentes'!$A$5:$A$40,B123,'01_Fuentes'!$H$5:$H$40,"METADATOS_SOLO")&gt;0),1,0)</x:f>
        <x:v>0</x:v>
      </x:c>
      <x:c r="Q123" s="12" t="n">
        <x:f>IF(OR(A123="",D123="",E123="",F123="",K123="",L123=""),1,0)</x:f>
        <x:v>0</x:v>
      </x:c>
    </x:row>
    <x:row r="124" ht="47" customHeight="1">
      <x:c r="A124" s="4" t="str">
        <x:v>CP-120</x:v>
      </x:c>
      <x:c r="B124" s="4" t="str">
        <x:v>F035</x:v>
      </x:c>
      <x:c r="C124" s="4" t="str">
        <x:v>A007</x:v>
      </x:c>
      <x:c r="D124" s="4" t="str">
        <x:v>Tramo Cybersecurity; función de investigación y respuesta</x:v>
      </x:c>
      <x:c r="E124" s="4" t="str">
        <x:v>Cyber Forensics</x:v>
      </x:c>
      <x:c r="F124" s="4" t="str">
        <x:v>Contrastar especialización forense y su relación con la respuesta en un marco nacional asiático.</x:v>
      </x:c>
      <x:c r="G124" s="4" t="str">
        <x:v>Competencia</x:v>
      </x:c>
      <x:c r="H124" s="4" t="str">
        <x:v>E10</x:v>
      </x:c>
      <x:c r="I124" s="4" t="str">
        <x:v>IN-WRL-002</x:v>
      </x:c>
      <x:c r="J124" s="4" t="str">
        <x:v>OPC-10</x:v>
      </x:c>
      <x:c r="K124" s="4" t="str">
        <x:v>CONTRASTE_SINGAPUR; no importa autoridad jurídica</x:v>
      </x:c>
      <x:c r="L124" s="4" t="str">
        <x:v>CANDIDATA_NO_ADOPTADA</x:v>
      </x:c>
      <x:c r="M124" s="12" t="n">
        <x:f>COUNTIF('05_Complementos'!$A$5:$A$127,A124)-1</x:f>
        <x:v>0</x:v>
      </x:c>
      <x:c r="N124" s="12" t="n">
        <x:f>IF(AND(COUNTIF('01_Fuentes'!$A$5:$A$40,B124)=1,COUNTIF('02_Custodia'!$A$5:$A$53,C124)=1,COUNTIF('07_Operaciones'!$A$5:$A$26,J124)=1,COUNTIF('06_Cobertura'!$A$5:$A$25,H124)=1),0,1)</x:f>
        <x:v>0</x:v>
      </x:c>
      <x:c r="O124" s="12" t="n">
        <x:f>IF(COUNTIF('03_NICE'!$A$5:$A$57,I124)+COUNTIF('04_TKS'!$A$5:$A$72,I124)=1,0,1)</x:f>
        <x:v>0</x:v>
      </x:c>
      <x:c r="P124" s="12" t="n">
        <x:f>IF(OR(AND(B124="F008",L124&lt;&gt;"IDENTIFICADA_NO_ADOPTABLE"),AND(B124="F028",L124&lt;&gt;"PREGUNTA_NO_NORMATIVA"),COUNTIFS('01_Fuentes'!$A$5:$A$40,B124,'01_Fuentes'!$H$5:$H$40,"METADATOS_SOLO")&gt;0),1,0)</x:f>
        <x:v>0</x:v>
      </x:c>
      <x:c r="Q124" s="12" t="n">
        <x:f>IF(OR(A124="",D124="",E124="",F124="",K124="",L124=""),1,0)</x:f>
        <x:v>0</x:v>
      </x:c>
    </x:row>
    <x:row r="125" ht="47" customHeight="1">
      <x:c r="A125" s="4" t="str">
        <x:v>CP-121</x:v>
      </x:c>
      <x:c r="B125" s="4" t="str">
        <x:v>F035</x:v>
      </x:c>
      <x:c r="C125" s="4" t="str">
        <x:v>A007</x:v>
      </x:c>
      <x:c r="D125" s="4" t="str">
        <x:v>Tramo Cybersecurity; niveles de competencia</x:v>
      </x:c>
      <x:c r="E125" s="4" t="str">
        <x:v>Cyber and Data Breach Incident Management</x:v>
      </x:c>
      <x:c r="F125" s="4" t="str">
        <x:v>Contrastar responsabilidades y progresión en gestión de incidentes y brechas de datos.</x:v>
      </x:c>
      <x:c r="G125" s="4" t="str">
        <x:v>Competencia</x:v>
      </x:c>
      <x:c r="H125" s="4" t="str">
        <x:v>E11</x:v>
      </x:c>
      <x:c r="I125" s="4" t="str">
        <x:v>PD-WRL-003</x:v>
      </x:c>
      <x:c r="J125" s="4" t="str">
        <x:v>OPC-09</x:v>
      </x:c>
      <x:c r="K125" s="4" t="str">
        <x:v>CONTRASTE_PROGRESION; no convierte niveles en puntuación SV</x:v>
      </x:c>
      <x:c r="L125" s="4" t="str">
        <x:v>CANDIDATA_NO_ADOPTADA</x:v>
      </x:c>
      <x:c r="M125" s="12" t="n">
        <x:f>COUNTIF('05_Complementos'!$A$5:$A$127,A125)-1</x:f>
        <x:v>0</x:v>
      </x:c>
      <x:c r="N125" s="12" t="n">
        <x:f>IF(AND(COUNTIF('01_Fuentes'!$A$5:$A$40,B125)=1,COUNTIF('02_Custodia'!$A$5:$A$53,C125)=1,COUNTIF('07_Operaciones'!$A$5:$A$26,J125)=1,COUNTIF('06_Cobertura'!$A$5:$A$25,H125)=1),0,1)</x:f>
        <x:v>0</x:v>
      </x:c>
      <x:c r="O125" s="12" t="n">
        <x:f>IF(COUNTIF('03_NICE'!$A$5:$A$57,I125)+COUNTIF('04_TKS'!$A$5:$A$72,I125)=1,0,1)</x:f>
        <x:v>0</x:v>
      </x:c>
      <x:c r="P125" s="12" t="n">
        <x:f>IF(OR(AND(B125="F008",L125&lt;&gt;"IDENTIFICADA_NO_ADOPTABLE"),AND(B125="F028",L125&lt;&gt;"PREGUNTA_NO_NORMATIVA"),COUNTIFS('01_Fuentes'!$A$5:$A$40,B125,'01_Fuentes'!$H$5:$H$40,"METADATOS_SOLO")&gt;0),1,0)</x:f>
        <x:v>0</x:v>
      </x:c>
      <x:c r="Q125" s="12" t="n">
        <x:f>IF(OR(A125="",D125="",E125="",F125="",K125="",L125=""),1,0)</x:f>
        <x:v>0</x:v>
      </x:c>
    </x:row>
    <x:row r="126" ht="60" customHeight="1">
      <x:c r="A126" s="4" t="str">
        <x:v>CP-122</x:v>
      </x:c>
      <x:c r="B126" s="4" t="str">
        <x:v>F036</x:v>
      </x:c>
      <x:c r="C126" s="4" t="str">
        <x:v>F036</x:v>
      </x:c>
      <x:c r="D126" s="4" t="str">
        <x:v>Context; valoración de capacidades y horizonte</x:v>
      </x:c>
      <x:c r="E126" s="4" t="str">
        <x:v>cyber intrusion</x:v>
      </x:c>
      <x:c r="F126" s="4" t="str">
        <x:v>Considerar cambios previstos en reconocimiento, ingeniería social y explotación facilitados por IA, conservando incertidumbre y horizonte de la evaluación.</x:v>
      </x:c>
      <x:c r="G126" s="4" t="str">
        <x:v>Evaluación prospectiva</x:v>
      </x:c>
      <x:c r="H126" s="4" t="str">
        <x:v>E20</x:v>
      </x:c>
      <x:c r="I126" s="4" t="str">
        <x:v>PD-WRL-006</x:v>
      </x:c>
      <x:c r="J126" s="4" t="str">
        <x:v>OPC-08</x:v>
      </x:c>
      <x:c r="K126" s="4" t="str">
        <x:v>APORTA_PROSPECTIVA; no evento observado ni causalidad individual</x:v>
      </x:c>
      <x:c r="L126" s="4" t="str">
        <x:v>CANDIDATA_NO_ADOPTADA</x:v>
      </x:c>
      <x:c r="M126" s="12" t="n">
        <x:f>COUNTIF('05_Complementos'!$A$5:$A$127,A126)-1</x:f>
        <x:v>0</x:v>
      </x:c>
      <x:c r="N126" s="12" t="n">
        <x:f>IF(AND(COUNTIF('01_Fuentes'!$A$5:$A$40,B126)=1,COUNTIF('02_Custodia'!$A$5:$A$53,C126)=1,COUNTIF('07_Operaciones'!$A$5:$A$26,J126)=1,COUNTIF('06_Cobertura'!$A$5:$A$25,H126)=1),0,1)</x:f>
        <x:v>0</x:v>
      </x:c>
      <x:c r="O126" s="12" t="n">
        <x:f>IF(COUNTIF('03_NICE'!$A$5:$A$57,I126)+COUNTIF('04_TKS'!$A$5:$A$72,I126)=1,0,1)</x:f>
        <x:v>0</x:v>
      </x:c>
      <x:c r="P126" s="12" t="n">
        <x:f>IF(OR(AND(B126="F008",L126&lt;&gt;"IDENTIFICADA_NO_ADOPTABLE"),AND(B126="F028",L126&lt;&gt;"PREGUNTA_NO_NORMATIVA"),COUNTIFS('01_Fuentes'!$A$5:$A$40,B126,'01_Fuentes'!$H$5:$H$40,"METADATOS_SOLO")&gt;0),1,0)</x:f>
        <x:v>0</x:v>
      </x:c>
      <x:c r="Q126" s="12" t="n">
        <x:f>IF(OR(A126="",D126="",E126="",F126="",K126="",L126=""),1,0)</x:f>
        <x:v>0</x:v>
      </x:c>
    </x:row>
    <x:row r="127" ht="47" customHeight="1">
      <x:c r="A127" s="4" t="str">
        <x:v>CP-123</x:v>
      </x:c>
      <x:c r="B127" s="4" t="str">
        <x:v>F036</x:v>
      </x:c>
      <x:c r="C127" s="4" t="str">
        <x:v>F036</x:v>
      </x:c>
      <x:c r="D127" s="4" t="str">
        <x:v>Context; Human-machine teaming</x:v>
      </x:c>
      <x:c r="E127" s="4" t="str">
        <x:v>human-machine teaming</x:v>
      </x:c>
      <x:c r="F127" s="4" t="str">
        <x:v>Examinar cómo automatización parcial y cooperación humano-máquina pueden alterar seguimiento y mitigación de amenazas.</x:v>
      </x:c>
      <x:c r="G127" s="4" t="str">
        <x:v>Evaluación prospectiva</x:v>
      </x:c>
      <x:c r="H127" s="4" t="str">
        <x:v>E20</x:v>
      </x:c>
      <x:c r="I127" s="4" t="str">
        <x:v>K1321</x:v>
      </x:c>
      <x:c r="J127" s="4" t="str">
        <x:v>OPC-15</x:v>
      </x:c>
      <x:c r="K127" s="4" t="str">
        <x:v>APORTA_PREGUNTA_DE_EVIDENCIA; no autoriza automatización defensiva</x:v>
      </x:c>
      <x:c r="L127" s="4" t="str">
        <x:v>CANDIDATA_NO_ADOPTADA</x:v>
      </x:c>
      <x:c r="M127" s="12" t="n">
        <x:f>COUNTIF('05_Complementos'!$A$5:$A$127,A127)-1</x:f>
        <x:v>0</x:v>
      </x:c>
      <x:c r="N127" s="12" t="n">
        <x:f>IF(AND(COUNTIF('01_Fuentes'!$A$5:$A$40,B127)=1,COUNTIF('02_Custodia'!$A$5:$A$53,C127)=1,COUNTIF('07_Operaciones'!$A$5:$A$26,J127)=1,COUNTIF('06_Cobertura'!$A$5:$A$25,H127)=1),0,1)</x:f>
        <x:v>0</x:v>
      </x:c>
      <x:c r="O127" s="12" t="n">
        <x:f>IF(COUNTIF('03_NICE'!$A$5:$A$57,I127)+COUNTIF('04_TKS'!$A$5:$A$72,I127)=1,0,1)</x:f>
        <x:v>0</x:v>
      </x:c>
      <x:c r="P127" s="12" t="n">
        <x:f>IF(OR(AND(B127="F008",L127&lt;&gt;"IDENTIFICADA_NO_ADOPTABLE"),AND(B127="F028",L127&lt;&gt;"PREGUNTA_NO_NORMATIVA"),COUNTIFS('01_Fuentes'!$A$5:$A$40,B127,'01_Fuentes'!$H$5:$H$40,"METADATOS_SOLO")&gt;0),1,0)</x:f>
        <x:v>0</x:v>
      </x:c>
      <x:c r="Q127" s="12" t="n">
        <x:f>IF(OR(A127="",D127="",E127="",F127="",K127="",L127=""),1,0)</x:f>
        <x:v>0</x:v>
      </x:c>
    </x:row>
  </x:sheetData>
  <x:mergeCells>
    <x:mergeCell ref="A1:D1"/>
    <x:mergeCell ref="A2:F2"/>
  </x:mergeCells>
  <x:dataValidations count="1">
    <x:dataValidation type="list" sqref="L5:L127">
      <x:formula1>"CANDIDATA_NO_ADOPTADA,IDENTIFICADA_NO_ADOPTABLE,PREGUNTA_NO_NORMATIVA,APLICABILIDAD_PENDIENTE"</x:formula1>
    </x:dataValidation>
  </x:dataValidations>
  <x:pageMargins left="0.7" right="0.7" top="0.75" bottom="0.75" header="0.3" footer="0.3"/>
  <x:tableParts count="1">
    <x:tablePart xmlns:r="http://schemas.openxmlformats.org/officeDocument/2006/relationships" r:id="Rfcc42ed3d730403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52" hidden="0" customWidth="1"/>
    <x:col min="4" max="4" width="16" hidden="0" customWidth="1"/>
    <x:col min="5" max="5" width="12" hidden="0" customWidth="1"/>
    <x:col min="6" max="6" width="24" hidden="0" customWidth="1"/>
    <x:col min="7" max="7" width="78" hidden="0" customWidth="1"/>
    <x:col min="8" max="8" width="52" hidden="0" customWidth="1"/>
  </x:cols>
  <x:sheetData>
    <x:row r="1" ht="35" customHeight="1">
      <x:c r="A1" s="6" t="str">
        <x:v>COBERTURA · revisión tradicional e IA</x:v>
      </x:c>
      <x:c r="B1" s="6"/>
      <x:c r="C1" s="6"/>
      <x:c r="D1" s="6"/>
      <x:c r="E1" s="6"/>
      <x:c r="F1" s="6"/>
      <x:c r="G1" s="6"/>
      <x:c r="H1" s="6"/>
    </x:row>
    <x:row r="2" ht="52" customHeight="1">
      <x:c r="A2" s="8" t="str">
        <x:v>Recuentos de vínculos primarios. Excluyen del conteo complementario UC3M parcial y borrador IR 8596. No son puntuaciones ni prueba de suficiencia.</x:v>
      </x:c>
      <x:c r="B2" s="8"/>
      <x:c r="C2" s="8"/>
      <x:c r="D2" s="8"/>
      <x:c r="E2" s="8"/>
      <x:c r="F2" s="8"/>
      <x:c r="G2" s="8"/>
      <x:c r="H2" s="8"/>
    </x:row>
    <x:row r="3">
      <x:c r="A3" s="4"/>
      <x:c r="B3" s="4"/>
      <x:c r="C3" s="4"/>
      <x:c r="D3" s="4"/>
      <x:c r="E3" s="4"/>
      <x:c r="F3" s="4"/>
      <x:c r="G3" s="4"/>
      <x:c r="H3" s="4"/>
    </x:row>
    <x:row r="4" ht="42" customHeight="1">
      <x:c r="A4" s="10" t="str">
        <x:v>Eje</x:v>
      </x:c>
      <x:c r="B4" s="10" t="str">
        <x:v>Dimensión</x:v>
      </x:c>
      <x:c r="C4" s="10" t="str">
        <x:v>Pregunta de revisión</x:v>
      </x:c>
      <x:c r="D4" s="10" t="str">
        <x:v>Roles / áreas</x:v>
      </x:c>
      <x:c r="E4" s="10" t="str">
        <x:v>TKS</x:v>
      </x:c>
      <x:c r="F4" s="10" t="str">
        <x:v>Complementos utilizables</x:v>
      </x:c>
      <x:c r="G4" s="10" t="str">
        <x:v>Vacío o frontera pendiente</x:v>
      </x:c>
      <x:c r="H4" s="10" t="str">
        <x:v>Dictamen de alcance</x:v>
      </x:c>
    </x:row>
    <x:row r="5" ht="47" customHeight="1">
      <x:c r="A5" s="4" t="str">
        <x:v>E01</x:v>
      </x:c>
      <x:c r="B5" s="4" t="str">
        <x:v>Gobierno y riesgo</x:v>
      </x:c>
      <x:c r="C5" s="4" t="str">
        <x:v>Responsabilidad, políticas, riesgo y aceptación</x:v>
      </x:c>
      <x:c r="D5" s="12" t="n">
        <x:f>COUNTIF('03_NICE'!$G$5:$G$57,A5)</x:f>
        <x:v>6</x:v>
      </x:c>
      <x:c r="E5" s="12" t="n">
        <x:f>COUNTIF('04_TKS'!$E$5:$E$72,A5)</x:f>
        <x:v>2</x:v>
      </x:c>
      <x:c r="F5" s="12" t="n">
        <x:f>COUNTIF('05_Complementos'!$H$5:$H$127,A5)-COUNTIFS('05_Complementos'!$H$5:$H$127,A5,'05_Complementos'!$L$5:$L$127,"IDENTIFICADA_NO_ADOPTABLE")-COUNTIFS('05_Complementos'!$H$5:$H$127,A5,'05_Complementos'!$L$5:$L$127,"PREGUNTA_NO_NORMATIVA")</x:f>
        <x:v>11</x:v>
      </x:c>
      <x:c r="G5" s="4" t="str">
        <x:v>No fija apetito de riesgo ni autoridad institucional concreta.</x:v>
      </x:c>
      <x:c r="H5" s="4" t="str">
        <x:v>REVISADA_DOCUMENTALMENTE; DESARROLLO_OPERATIVO_PENDIENTE</x:v>
      </x:c>
    </x:row>
    <x:row r="6" ht="47" customHeight="1">
      <x:c r="A6" s="4" t="str">
        <x:v>E02</x:v>
      </x:c>
      <x:c r="B6" s="4" t="str">
        <x:v>Activos y arquitectura</x:v>
      </x:c>
      <x:c r="C6" s="4" t="str">
        <x:v>Inventario, dependencias y requisitos de seguridad</x:v>
      </x:c>
      <x:c r="D6" s="12" t="n">
        <x:f>COUNTIF('03_NICE'!$G$5:$G$57,A6)</x:f>
        <x:v>5</x:v>
      </x:c>
      <x:c r="E6" s="12" t="n">
        <x:f>COUNTIF('04_TKS'!$E$5:$E$72,A6)</x:f>
        <x:v>0</x:v>
      </x:c>
      <x:c r="F6" s="12" t="n">
        <x:f>COUNTIF('05_Complementos'!$H$5:$H$127,A6)-COUNTIFS('05_Complementos'!$H$5:$H$127,A6,'05_Complementos'!$L$5:$L$127,"IDENTIFICADA_NO_ADOPTABLE")-COUNTIFS('05_Complementos'!$H$5:$H$127,A6,'05_Complementos'!$L$5:$L$127,"PREGUNTA_NO_NORMATIVA")</x:f>
        <x:v>6</x:v>
      </x:c>
      <x:c r="G6" s="4" t="str">
        <x:v>No constituye arquitectura ni inventario de una organización.</x:v>
      </x:c>
      <x:c r="H6" s="4" t="str">
        <x:v>REVISADA_DOCUMENTALMENTE; DESARROLLO_OPERATIVO_PENDIENTE</x:v>
      </x:c>
    </x:row>
    <x:row r="7" ht="47" customHeight="1">
      <x:c r="A7" s="4" t="str">
        <x:v>E03</x:v>
      </x:c>
      <x:c r="B7" s="4" t="str">
        <x:v>Identidad, acceso y privilegios</x:v>
      </x:c>
      <x:c r="C7" s="4" t="str">
        <x:v>Autorización, autenticación, vigencia y revocación</x:v>
      </x:c>
      <x:c r="D7" s="12" t="n">
        <x:f>COUNTIF('03_NICE'!$G$5:$G$57,A7)</x:f>
        <x:v>1</x:v>
      </x:c>
      <x:c r="E7" s="12" t="n">
        <x:f>COUNTIF('04_TKS'!$E$5:$E$72,A7)</x:f>
        <x:v>3</x:v>
      </x:c>
      <x:c r="F7" s="12" t="n">
        <x:f>COUNTIF('05_Complementos'!$H$5:$H$127,A7)-COUNTIFS('05_Complementos'!$H$5:$H$127,A7,'05_Complementos'!$L$5:$L$127,"IDENTIFICADA_NO_ADOPTABLE")-COUNTIFS('05_Complementos'!$H$5:$H$127,A7,'05_Complementos'!$L$5:$L$127,"PREGUNTA_NO_NORMATIVA")</x:f>
        <x:v>5</x:v>
      </x:c>
      <x:c r="G7" s="4" t="str">
        <x:v>No se ejercen permisos ni se autentica a una persona por nombre.</x:v>
      </x:c>
      <x:c r="H7" s="4" t="str">
        <x:v>REVISADA_DOCUMENTALMENTE; DESARROLLO_OPERATIVO_PENDIENTE</x:v>
      </x:c>
    </x:row>
    <x:row r="8" ht="47" customHeight="1">
      <x:c r="A8" s="4" t="str">
        <x:v>E04</x:v>
      </x:c>
      <x:c r="B8" s="4" t="str">
        <x:v>Criptografía y claves</x:v>
      </x:c>
      <x:c r="C8" s="4" t="str">
        <x:v>Protección, protocolos y gestión criptográfica</x:v>
      </x:c>
      <x:c r="D8" s="12" t="n">
        <x:f>COUNTIF('03_NICE'!$G$5:$G$57,A8)</x:f>
        <x:v>2</x:v>
      </x:c>
      <x:c r="E8" s="12" t="n">
        <x:f>COUNTIF('04_TKS'!$E$5:$E$72,A8)</x:f>
        <x:v>0</x:v>
      </x:c>
      <x:c r="F8" s="12" t="n">
        <x:f>COUNTIF('05_Complementos'!$H$5:$H$127,A8)-COUNTIFS('05_Complementos'!$H$5:$H$127,A8,'05_Complementos'!$L$5:$L$127,"IDENTIFICADA_NO_ADOPTABLE")-COUNTIFS('05_Complementos'!$H$5:$H$127,A8,'05_Complementos'!$L$5:$L$127,"PREGUNTA_NO_NORMATIVA")</x:f>
        <x:v>3</x:v>
      </x:c>
      <x:c r="G8" s="4" t="str">
        <x:v>Algoritmos y parámetros exactos dependen de la operación.</x:v>
      </x:c>
      <x:c r="H8" s="4" t="str">
        <x:v>REVISADA_DOCUMENTALMENTE; DESARROLLO_OPERATIVO_PENDIENTE</x:v>
      </x:c>
    </x:row>
    <x:row r="9" ht="47" customHeight="1">
      <x:c r="A9" s="4" t="str">
        <x:v>E05</x:v>
      </x:c>
      <x:c r="B9" s="4" t="str">
        <x:v>Redes, sistemas y servicios</x:v>
      </x:c>
      <x:c r="C9" s="4" t="str">
        <x:v>Configuración, operación y mantenimiento seguro</x:v>
      </x:c>
      <x:c r="D9" s="12" t="n">
        <x:f>COUNTIF('03_NICE'!$G$5:$G$57,A9)</x:f>
        <x:v>8</x:v>
      </x:c>
      <x:c r="E9" s="12" t="n">
        <x:f>COUNTIF('04_TKS'!$E$5:$E$72,A9)</x:f>
        <x:v>1</x:v>
      </x:c>
      <x:c r="F9" s="12" t="n">
        <x:f>COUNTIF('05_Complementos'!$H$5:$H$127,A9)-COUNTIFS('05_Complementos'!$H$5:$H$127,A9,'05_Complementos'!$L$5:$L$127,"IDENTIFICADA_NO_ADOPTABLE")-COUNTIFS('05_Complementos'!$H$5:$H$127,A9,'05_Complementos'!$L$5:$L$127,"PREGUNTA_NO_NORMATIVA")</x:f>
        <x:v>5</x:v>
      </x:c>
      <x:c r="G9" s="4" t="str">
        <x:v>No se ofrece administración de sistemas reales.</x:v>
      </x:c>
      <x:c r="H9" s="4" t="str">
        <x:v>REVISADA_DOCUMENTALMENTE; DESARROLLO_OPERATIVO_PENDIENTE</x:v>
      </x:c>
    </x:row>
    <x:row r="10" ht="47" customHeight="1">
      <x:c r="A10" s="4" t="str">
        <x:v>E06</x:v>
      </x:c>
      <x:c r="B10" s="4" t="str">
        <x:v>Aplicaciones y desarrollo</x:v>
      </x:c>
      <x:c r="C10" s="4" t="str">
        <x:v>Diseño, verificación, entrega y errores</x:v>
      </x:c>
      <x:c r="D10" s="12" t="n">
        <x:f>COUNTIF('03_NICE'!$G$5:$G$57,A10)</x:f>
        <x:v>4</x:v>
      </x:c>
      <x:c r="E10" s="12" t="n">
        <x:f>COUNTIF('04_TKS'!$E$5:$E$72,A10)</x:f>
        <x:v>2</x:v>
      </x:c>
      <x:c r="F10" s="12" t="n">
        <x:f>COUNTIF('05_Complementos'!$H$5:$H$127,A10)-COUNTIFS('05_Complementos'!$H$5:$H$127,A10,'05_Complementos'!$L$5:$L$127,"IDENTIFICADA_NO_ADOPTABLE")-COUNTIFS('05_Complementos'!$H$5:$H$127,A10,'05_Complementos'!$L$5:$L$127,"PREGUNTA_NO_NORMATIVA")</x:f>
        <x:v>6</x:v>
      </x:c>
      <x:c r="G10" s="4" t="str">
        <x:v>No se han evaluado requisitos ASVS individuales ni software real.</x:v>
      </x:c>
      <x:c r="H10" s="4" t="str">
        <x:v>REVISADA_DOCUMENTALMENTE; DESARROLLO_OPERATIVO_PENDIENTE</x:v>
      </x:c>
    </x:row>
    <x:row r="11" ht="47" customHeight="1">
      <x:c r="A11" s="4" t="str">
        <x:v>E07</x:v>
      </x:c>
      <x:c r="B11" s="4" t="str">
        <x:v>Nube y cadena de suministro</x:v>
      </x:c>
      <x:c r="C11" s="4" t="str">
        <x:v>Adquisición, dependencias y riesgo externo</x:v>
      </x:c>
      <x:c r="D11" s="12" t="n">
        <x:f>COUNTIF('03_NICE'!$G$5:$G$57,A11)</x:f>
        <x:v>4</x:v>
      </x:c>
      <x:c r="E11" s="12" t="n">
        <x:f>COUNTIF('04_TKS'!$E$5:$E$72,A11)</x:f>
        <x:v>6</x:v>
      </x:c>
      <x:c r="F11" s="12" t="n">
        <x:f>COUNTIF('05_Complementos'!$H$5:$H$127,A11)-COUNTIFS('05_Complementos'!$H$5:$H$127,A11,'05_Complementos'!$L$5:$L$127,"IDENTIFICADA_NO_ADOPTABLE")-COUNTIFS('05_Complementos'!$H$5:$H$127,A11,'05_Complementos'!$L$5:$L$127,"PREGUNTA_NO_NORMATIVA")</x:f>
        <x:v>2</x:v>
      </x:c>
      <x:c r="G11" s="4" t="str">
        <x:v>Responsabilidades compartidas y contratos se fijan por servicio.</x:v>
      </x:c>
      <x:c r="H11" s="4" t="str">
        <x:v>REVISADA_DOCUMENTALMENTE; DESARROLLO_OPERATIVO_PENDIENTE</x:v>
      </x:c>
    </x:row>
    <x:row r="12" ht="47" customHeight="1">
      <x:c r="A12" s="4" t="str">
        <x:v>E08</x:v>
      </x:c>
      <x:c r="B12" s="4" t="str">
        <x:v>Vulnerabilidades y evaluación autorizada</x:v>
      </x:c>
      <x:c r="C12" s="4" t="str">
        <x:v>Alcance, método, evidencia y hallazgos</x:v>
      </x:c>
      <x:c r="D12" s="12" t="n">
        <x:f>COUNTIF('03_NICE'!$G$5:$G$57,A12)</x:f>
        <x:v>2</x:v>
      </x:c>
      <x:c r="E12" s="12" t="n">
        <x:f>COUNTIF('04_TKS'!$E$5:$E$72,A12)</x:f>
        <x:v>5</x:v>
      </x:c>
      <x:c r="F12" s="12" t="n">
        <x:f>COUNTIF('05_Complementos'!$H$5:$H$127,A12)-COUNTIFS('05_Complementos'!$H$5:$H$127,A12,'05_Complementos'!$L$5:$L$127,"IDENTIFICADA_NO_ADOPTABLE")-COUNTIFS('05_Complementos'!$H$5:$H$127,A12,'05_Complementos'!$L$5:$L$127,"PREGUNTA_NO_NORMATIVA")</x:f>
        <x:v>7</x:v>
      </x:c>
      <x:c r="G12" s="4" t="str">
        <x:v>Ningún objetivo real autorizado ni catálogo CVE/ATT&amp;CK incorporado.</x:v>
      </x:c>
      <x:c r="H12" s="4" t="str">
        <x:v>REVISADA_DOCUMENTALMENTE; DESARROLLO_OPERATIVO_PENDIENTE</x:v>
      </x:c>
    </x:row>
    <x:row r="13" ht="47" customHeight="1">
      <x:c r="A13" s="4" t="str">
        <x:v>E09</x:v>
      </x:c>
      <x:c r="B13" s="4" t="str">
        <x:v>Detección e inteligencia</x:v>
      </x:c>
      <x:c r="C13" s="4" t="str">
        <x:v>Análisis de alertas, indicadores y amenazas</x:v>
      </x:c>
      <x:c r="D13" s="12" t="n">
        <x:f>COUNTIF('03_NICE'!$G$5:$G$57,A13)</x:f>
        <x:v>4</x:v>
      </x:c>
      <x:c r="E13" s="12" t="n">
        <x:f>COUNTIF('04_TKS'!$E$5:$E$72,A13)</x:f>
        <x:v>3</x:v>
      </x:c>
      <x:c r="F13" s="12" t="n">
        <x:f>COUNTIF('05_Complementos'!$H$5:$H$127,A13)-COUNTIFS('05_Complementos'!$H$5:$H$127,A13,'05_Complementos'!$L$5:$L$127,"IDENTIFICADA_NO_ADOPTABLE")-COUNTIFS('05_Complementos'!$H$5:$H$127,A13,'05_Complementos'!$L$5:$L$127,"PREGUNTA_NO_NORMATIVA")</x:f>
        <x:v>8</x:v>
      </x:c>
      <x:c r="G13" s="4" t="str">
        <x:v>Métricas, caducidad y relevancia se constituyen por operación.</x:v>
      </x:c>
      <x:c r="H13" s="4" t="str">
        <x:v>REVISADA_DOCUMENTALMENTE; DESARROLLO_OPERATIVO_PENDIENTE</x:v>
      </x:c>
    </x:row>
    <x:row r="14" ht="47" customHeight="1">
      <x:c r="A14" s="4" t="str">
        <x:v>E10</x:v>
      </x:c>
      <x:c r="B14" s="4" t="str">
        <x:v>Forense y custodia</x:v>
      </x:c>
      <x:c r="C14" s="4" t="str">
        <x:v>Adquisición, integridad, cronología y atribución de evidencia</x:v>
      </x:c>
      <x:c r="D14" s="12" t="n">
        <x:f>COUNTIF('03_NICE'!$G$5:$G$57,A14)</x:f>
        <x:v>3</x:v>
      </x:c>
      <x:c r="E14" s="12" t="n">
        <x:f>COUNTIF('04_TKS'!$E$5:$E$72,A14)</x:f>
        <x:v>7</x:v>
      </x:c>
      <x:c r="F14" s="12" t="n">
        <x:f>COUNTIF('05_Complementos'!$H$5:$H$127,A14)-COUNTIFS('05_Complementos'!$H$5:$H$127,A14,'05_Complementos'!$L$5:$L$127,"IDENTIFICADA_NO_ADOPTABLE")-COUNTIFS('05_Complementos'!$H$5:$H$127,A14,'05_Complementos'!$L$5:$L$127,"PREGUNTA_NO_NORMATIVA")</x:f>
        <x:v>8</x:v>
      </x:c>
      <x:c r="G14" s="4" t="str">
        <x:v>Integridad no acredita origen veraz ni admisibilidad jurídica.</x:v>
      </x:c>
      <x:c r="H14" s="4" t="str">
        <x:v>REVISADA_DOCUMENTALMENTE; DESARROLLO_OPERATIVO_PENDIENTE</x:v>
      </x:c>
    </x:row>
    <x:row r="15" ht="47" customHeight="1">
      <x:c r="A15" s="4" t="str">
        <x:v>E11</x:v>
      </x:c>
      <x:c r="B15" s="4" t="str">
        <x:v>Respuesta a incidentes</x:v>
      </x:c>
      <x:c r="C15" s="4" t="str">
        <x:v>Investigación, coordinación y opciones de respuesta</x:v>
      </x:c>
      <x:c r="D15" s="12" t="n">
        <x:f>COUNTIF('03_NICE'!$G$5:$G$57,A15)</x:f>
        <x:v>1</x:v>
      </x:c>
      <x:c r="E15" s="12" t="n">
        <x:f>COUNTIF('04_TKS'!$E$5:$E$72,A15)</x:f>
        <x:v>2</x:v>
      </x:c>
      <x:c r="F15" s="12" t="n">
        <x:f>COUNTIF('05_Complementos'!$H$5:$H$127,A15)-COUNTIFS('05_Complementos'!$H$5:$H$127,A15,'05_Complementos'!$L$5:$L$127,"IDENTIFICADA_NO_ADOPTABLE")-COUNTIFS('05_Complementos'!$H$5:$H$127,A15,'05_Complementos'!$L$5:$L$127,"PREGUNTA_NO_NORMATIVA")</x:f>
        <x:v>7</x:v>
      </x:c>
      <x:c r="G15" s="4" t="str">
        <x:v>Propuesta, permiso, ejecución y efecto permanecen separados.</x:v>
      </x:c>
      <x:c r="H15" s="4" t="str">
        <x:v>REVISADA_DOCUMENTALMENTE; DESARROLLO_OPERATIVO_PENDIENTE</x:v>
      </x:c>
    </x:row>
    <x:row r="16" ht="47" customHeight="1">
      <x:c r="A16" s="4" t="str">
        <x:v>E12</x:v>
      </x:c>
      <x:c r="B16" s="4" t="str">
        <x:v>Continuidad y recuperación</x:v>
      </x:c>
      <x:c r="C16" s="4" t="str">
        <x:v>Requisitos, copias y pruebas de recuperación</x:v>
      </x:c>
      <x:c r="D16" s="12" t="n">
        <x:f>COUNTIF('03_NICE'!$G$5:$G$57,A16)</x:f>
        <x:v>1</x:v>
      </x:c>
      <x:c r="E16" s="12" t="n">
        <x:f>COUNTIF('04_TKS'!$E$5:$E$72,A16)</x:f>
        <x:v>3</x:v>
      </x:c>
      <x:c r="F16" s="12" t="n">
        <x:f>COUNTIF('05_Complementos'!$H$5:$H$127,A16)-COUNTIFS('05_Complementos'!$H$5:$H$127,A16,'05_Complementos'!$L$5:$L$127,"IDENTIFICADA_NO_ADOPTABLE")-COUNTIFS('05_Complementos'!$H$5:$H$127,A16,'05_Complementos'!$L$5:$L$127,"PREGUNTA_NO_NORMATIVA")</x:f>
        <x:v>1</x:v>
      </x:c>
      <x:c r="G16" s="4" t="str">
        <x:v>No se han acreditado restauración ni persistencia material SV.</x:v>
      </x:c>
      <x:c r="H16" s="4" t="str">
        <x:v>REVISADA_DOCUMENTALMENTE; DESARROLLO_OPERATIVO_PENDIENTE</x:v>
      </x:c>
    </x:row>
    <x:row r="17" ht="47" customHeight="1">
      <x:c r="A17" s="4" t="str">
        <x:v>E13</x:v>
      </x:c>
      <x:c r="B17" s="4" t="str">
        <x:v>Tecnología operacional</x:v>
      </x:c>
      <x:c r="C17" s="4" t="str">
        <x:v>Seguridad física, fiabilidad y restricciones de control</x:v>
      </x:c>
      <x:c r="D17" s="12" t="n">
        <x:f>COUNTIF('03_NICE'!$G$5:$G$57,A17)</x:f>
        <x:v>2</x:v>
      </x:c>
      <x:c r="E17" s="12" t="n">
        <x:f>COUNTIF('04_TKS'!$E$5:$E$72,A17)</x:f>
        <x:v>2</x:v>
      </x:c>
      <x:c r="F17" s="12" t="n">
        <x:f>COUNTIF('05_Complementos'!$H$5:$H$127,A17)-COUNTIFS('05_Complementos'!$H$5:$H$127,A17,'05_Complementos'!$L$5:$L$127,"IDENTIFICADA_NO_ADOPTABLE")-COUNTIFS('05_Complementos'!$H$5:$H$127,A17,'05_Complementos'!$L$5:$L$127,"PREGUNTA_NO_NORMATIVA")</x:f>
        <x:v>2</x:v>
      </x:c>
      <x:c r="G17" s="4" t="str">
        <x:v>Frontera profesional; ejecución industrial excluida de este corte.</x:v>
      </x:c>
      <x:c r="H17" s="4" t="str">
        <x:v>REVISADA_DOCUMENTALMENTE; DESARROLLO_OPERATIVO_PENDIENTE</x:v>
      </x:c>
    </x:row>
    <x:row r="18" ht="47" customHeight="1">
      <x:c r="A18" s="4" t="str">
        <x:v>E14</x:v>
      </x:c>
      <x:c r="B18" s="4" t="str">
        <x:v>Factores humanos y formación</x:v>
      </x:c>
      <x:c r="C18" s="4" t="str">
        <x:v>Sesgos, interacción, competencias y evaluación</x:v>
      </x:c>
      <x:c r="D18" s="12" t="n">
        <x:f>COUNTIF('03_NICE'!$G$5:$G$57,A18)</x:f>
        <x:v>3</x:v>
      </x:c>
      <x:c r="E18" s="12" t="n">
        <x:f>COUNTIF('04_TKS'!$E$5:$E$72,A18)</x:f>
        <x:v>3</x:v>
      </x:c>
      <x:c r="F18" s="12" t="n">
        <x:f>COUNTIF('05_Complementos'!$H$5:$H$127,A18)-COUNTIFS('05_Complementos'!$H$5:$H$127,A18,'05_Complementos'!$L$5:$L$127,"IDENTIFICADA_NO_ADOPTABLE")-COUNTIFS('05_Complementos'!$H$5:$H$127,A18,'05_Complementos'!$L$5:$L$127,"PREGUNTA_NO_NORMATIVA")</x:f>
        <x:v>3</x:v>
      </x:c>
      <x:c r="G18" s="4" t="str">
        <x:v>No se evalúan personas ni se atribuyen acreditaciones.</x:v>
      </x:c>
      <x:c r="H18" s="4" t="str">
        <x:v>REVISADA_DOCUMENTALMENTE; DESARROLLO_OPERATIVO_PENDIENTE</x:v>
      </x:c>
    </x:row>
    <x:row r="19" ht="47" customHeight="1">
      <x:c r="A19" s="4" t="str">
        <x:v>E15</x:v>
      </x:c>
      <x:c r="B19" s="4" t="str">
        <x:v>Seguridad física y auditoría</x:v>
      </x:c>
      <x:c r="C19" s="4" t="str">
        <x:v>Dependencias físicas pertinentes y evidencia de controles</x:v>
      </x:c>
      <x:c r="D19" s="12" t="n">
        <x:f>COUNTIF('03_NICE'!$G$5:$G$57,A19)</x:f>
        <x:v>2</x:v>
      </x:c>
      <x:c r="E19" s="12" t="n">
        <x:f>COUNTIF('04_TKS'!$E$5:$E$72,A19)</x:f>
        <x:v>2</x:v>
      </x:c>
      <x:c r="F19" s="12" t="n">
        <x:f>COUNTIF('05_Complementos'!$H$5:$H$127,A19)-COUNTIFS('05_Complementos'!$H$5:$H$127,A19,'05_Complementos'!$L$5:$L$127,"IDENTIFICADA_NO_ADOPTABLE")-COUNTIFS('05_Complementos'!$H$5:$H$127,A19,'05_Complementos'!$L$5:$L$127,"PREGUNTA_NO_NORMATIVA")</x:f>
        <x:v>2</x:v>
      </x:c>
      <x:c r="G19" s="4" t="str">
        <x:v>No certifica instalaciones, organización ni conformidad normativa.</x:v>
      </x:c>
      <x:c r="H19" s="4" t="str">
        <x:v>REVISADA_DOCUMENTALMENTE; DESARROLLO_OPERATIVO_PENDIENTE</x:v>
      </x:c>
    </x:row>
    <x:row r="20" ht="47" customHeight="1">
      <x:c r="A20" s="4" t="str">
        <x:v>E16</x:v>
      </x:c>
      <x:c r="B20" s="4" t="str">
        <x:v>Privacidad y derecho</x:v>
      </x:c>
      <x:c r="C20" s="4" t="str">
        <x:v>Jurisdicción, rol, finalidad, autorización y vigencia</x:v>
      </x:c>
      <x:c r="D20" s="12" t="n">
        <x:f>COUNTIF('03_NICE'!$G$5:$G$57,A20)</x:f>
        <x:v>2</x:v>
      </x:c>
      <x:c r="E20" s="12" t="n">
        <x:f>COUNTIF('04_TKS'!$E$5:$E$72,A20)</x:f>
        <x:v>3</x:v>
      </x:c>
      <x:c r="F20" s="12" t="n">
        <x:f>COUNTIF('05_Complementos'!$H$5:$H$127,A20)-COUNTIFS('05_Complementos'!$H$5:$H$127,A20,'05_Complementos'!$L$5:$L$127,"IDENTIFICADA_NO_ADOPTABLE")-COUNTIFS('05_Complementos'!$H$5:$H$127,A20,'05_Complementos'!$L$5:$L$127,"PREGUNTA_NO_NORMATIVA")</x:f>
        <x:v>14</x:v>
      </x:c>
      <x:c r="G20" s="4" t="str">
        <x:v>Aplicabilidad jurídica pendiente por entidad y operación.</x:v>
      </x:c>
      <x:c r="H20" s="4" t="str">
        <x:v>REVISADA_DOCUMENTALMENTE; DESARROLLO_OPERATIVO_PENDIENTE</x:v>
      </x:c>
    </x:row>
    <x:row r="21" ht="47" customHeight="1">
      <x:c r="A21" s="4" t="str">
        <x:v>E17</x:v>
      </x:c>
      <x:c r="B21" s="4" t="str">
        <x:v>Investigación y conocimiento</x:v>
      </x:c>
      <x:c r="C21" s="4" t="str">
        <x:v>Producción, revisión y conservación de conocimiento</x:v>
      </x:c>
      <x:c r="D21" s="12" t="n">
        <x:f>COUNTIF('03_NICE'!$G$5:$G$57,A21)</x:f>
        <x:v>2</x:v>
      </x:c>
      <x:c r="E21" s="12" t="n">
        <x:f>COUNTIF('04_TKS'!$E$5:$E$72,A21)</x:f>
        <x:v>0</x:v>
      </x:c>
      <x:c r="F21" s="12" t="n">
        <x:f>COUNTIF('05_Complementos'!$H$5:$H$127,A21)-COUNTIFS('05_Complementos'!$H$5:$H$127,A21,'05_Complementos'!$L$5:$L$127,"IDENTIFICADA_NO_ADOPTABLE")-COUNTIFS('05_Complementos'!$H$5:$H$127,A21,'05_Complementos'!$L$5:$L$127,"PREGUNTA_NO_NORMATIVA")</x:f>
        <x:v>1</x:v>
      </x:c>
      <x:c r="G21" s="4" t="str">
        <x:v>No aprendizaje automático del episodio ni adopción por IA.</x:v>
      </x:c>
      <x:c r="H21" s="4" t="str">
        <x:v>REVISADA_DOCUMENTALMENTE; DESARROLLO_OPERATIVO_PENDIENTE</x:v>
      </x:c>
    </x:row>
    <x:row r="22" ht="47" customHeight="1">
      <x:c r="A22" s="4" t="str">
        <x:v>E18</x:v>
      </x:c>
      <x:c r="B22" s="4" t="str">
        <x:v>Seguridad de sistemas de IA</x:v>
      </x:c>
      <x:c r="C22" s="4" t="str">
        <x:v>Datos, modelo, entrenamiento, inferencia, herramientas y dependencias</x:v>
      </x:c>
      <x:c r="D22" s="12" t="n">
        <x:f>COUNTIF('03_NICE'!$G$5:$G$57,A22)</x:f>
        <x:v>1</x:v>
      </x:c>
      <x:c r="E22" s="12" t="n">
        <x:f>COUNTIF('04_TKS'!$E$5:$E$72,A22)</x:f>
        <x:v>5</x:v>
      </x:c>
      <x:c r="F22" s="12" t="n">
        <x:f>COUNTIF('05_Complementos'!$H$5:$H$127,A22)-COUNTIFS('05_Complementos'!$H$5:$H$127,A22,'05_Complementos'!$L$5:$L$127,"IDENTIFICADA_NO_ADOPTABLE")-COUNTIFS('05_Complementos'!$H$5:$H$127,A22,'05_Complementos'!$L$5:$L$127,"PREGUNTA_NO_NORMATIVA")</x:f>
        <x:v>20</x:v>
      </x:c>
      <x:c r="G22" s="4" t="str">
        <x:v>No limitado a IA generativa; controles concretos pendientes del uso.</x:v>
      </x:c>
      <x:c r="H22" s="4" t="str">
        <x:v>REVISADA_DOCUMENTALMENTE; DESARROLLO_OPERATIVO_PENDIENTE</x:v>
      </x:c>
    </x:row>
    <x:row r="23" ht="47" customHeight="1">
      <x:c r="A23" s="4" t="str">
        <x:v>E19</x:v>
      </x:c>
      <x:c r="B23" s="4" t="str">
        <x:v>IA para ciberseguridad</x:v>
      </x:c>
      <x:c r="C23" s="4" t="str">
        <x:v>Validez, error, sesgo, evaluación e incertidumbre de apoyo analítico</x:v>
      </x:c>
      <x:c r="D23" s="12" t="n">
        <x:f>COUNTIF('03_NICE'!$G$5:$G$57,A23)</x:f>
        <x:v>0</x:v>
      </x:c>
      <x:c r="E23" s="12" t="n">
        <x:f>COUNTIF('04_TKS'!$E$5:$E$72,A23)</x:f>
        <x:v>14</x:v>
      </x:c>
      <x:c r="F23" s="12" t="n">
        <x:f>COUNTIF('05_Complementos'!$H$5:$H$127,A23)-COUNTIFS('05_Complementos'!$H$5:$H$127,A23,'05_Complementos'!$L$5:$L$127,"IDENTIFICADA_NO_ADOPTABLE")-COUNTIFS('05_Complementos'!$H$5:$H$127,A23,'05_Complementos'!$L$5:$L$127,"PREGUNTA_NO_NORMATIVA")</x:f>
        <x:v>2</x:v>
      </x:c>
      <x:c r="G23" s="4" t="str">
        <x:v>No se presupone utilidad de IA ni se equipara confianza a aptitud SV.</x:v>
      </x:c>
      <x:c r="H23" s="4" t="str">
        <x:v>REVISADA_DOCUMENTALMENTE; DESARROLLO_OPERATIVO_PENDIENTE</x:v>
      </x:c>
    </x:row>
    <x:row r="24" ht="47" customHeight="1">
      <x:c r="A24" s="4" t="str">
        <x:v>E20</x:v>
      </x:c>
      <x:c r="B24" s="4" t="str">
        <x:v>Amenazas facilitadas por IA</x:v>
      </x:c>
      <x:c r="C24" s="4" t="str">
        <x:v>Evolución de capacidades adversarias y calidad de las evidencias</x:v>
      </x:c>
      <x:c r="D24" s="12" t="n">
        <x:f>COUNTIF('03_NICE'!$G$5:$G$57,A24)</x:f>
        <x:v>0</x:v>
      </x:c>
      <x:c r="E24" s="12" t="n">
        <x:f>COUNTIF('04_TKS'!$E$5:$E$72,A24)</x:f>
        <x:v>1</x:v>
      </x:c>
      <x:c r="F24" s="12" t="n">
        <x:f>COUNTIF('05_Complementos'!$H$5:$H$127,A24)-COUNTIFS('05_Complementos'!$H$5:$H$127,A24,'05_Complementos'!$L$5:$L$127,"IDENTIFICADA_NO_ADOPTABLE")-COUNTIFS('05_Complementos'!$H$5:$H$127,A24,'05_Complementos'!$L$5:$L$127,"PREGUNTA_NO_NORMATIVA")</x:f>
        <x:v>2</x:v>
      </x:c>
      <x:c r="G24" s="4" t="str">
        <x:v>La prospectiva NCSC y el borrador NIST no son observaciones individuales.</x:v>
      </x:c>
      <x:c r="H24" s="4" t="str">
        <x:v>REVISADA_DOCUMENTALMENTE; DESARROLLO_OPERATIVO_PENDIENTE</x:v>
      </x:c>
    </x:row>
    <x:row r="25" ht="47" customHeight="1">
      <x:c r="A25" s="4" t="str">
        <x:v>E21</x:v>
      </x:c>
      <x:c r="B25" s="4" t="str">
        <x:v>Gobierno transversal de IA</x:v>
      </x:c>
      <x:c r="C25" s="4" t="str">
        <x:v>Responsabilidad, supervisión, revisión y uso delimitado</x:v>
      </x:c>
      <x:c r="D25" s="12" t="n">
        <x:f>COUNTIF('03_NICE'!$G$5:$G$57,A25)</x:f>
        <x:v>0</x:v>
      </x:c>
      <x:c r="E25" s="12" t="n">
        <x:f>COUNTIF('04_TKS'!$E$5:$E$72,A25)</x:f>
        <x:v>4</x:v>
      </x:c>
      <x:c r="F25" s="12" t="n">
        <x:f>COUNTIF('05_Complementos'!$H$5:$H$127,A25)-COUNTIFS('05_Complementos'!$H$5:$H$127,A25,'05_Complementos'!$L$5:$L$127,"IDENTIFICADA_NO_ADOPTABLE")-COUNTIFS('05_Complementos'!$H$5:$H$127,A25,'05_Complementos'!$L$5:$L$127,"PREGUNTA_NO_NORMATIVA")</x:f>
        <x:v>3</x:v>
      </x:c>
      <x:c r="G25" s="4" t="str">
        <x:v>No habilita autonomía ni convierte recomendaciones en permisos.</x:v>
      </x:c>
      <x:c r="H25" s="4" t="str">
        <x:v>REVISADA_DOCUMENTALMENTE; DESARROLLO_OPERATIVO_PENDIENTE</x:v>
      </x:c>
    </x:row>
  </x:sheetData>
  <x:mergeCells>
    <x:mergeCell ref="A1:D1"/>
    <x:mergeCell ref="A2:F2"/>
  </x:mergeCells>
  <x:pageMargins left="0.7" right="0.7" top="0.75" bottom="0.75" header="0.3" footer="0.3"/>
  <x:tableParts count="1">
    <x:tablePart xmlns:r="http://schemas.openxmlformats.org/officeDocument/2006/relationships" r:id="Rba5309e78b6b4c2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54" hidden="0" customWidth="1"/>
    <x:col min="3" max="3" width="58" hidden="0" customWidth="1"/>
    <x:col min="4" max="4" width="46" hidden="0" customWidth="1"/>
    <x:col min="5" max="5" width="52" hidden="0" customWidth="1"/>
    <x:col min="6" max="6" width="78" hidden="0" customWidth="1"/>
    <x:col min="7" max="7" width="72" hidden="0" customWidth="1"/>
    <x:col min="8" max="8" width="55" hidden="0" customWidth="1"/>
    <x:col min="9" max="9" width="12" hidden="0" customWidth="1"/>
    <x:col min="10" max="10" width="13" hidden="0" customWidth="1"/>
    <x:col min="11" max="11" width="17" hidden="0" customWidth="1"/>
  </x:cols>
  <x:sheetData>
    <x:row r="1" ht="35" customHeight="1">
      <x:c r="A1" s="6" t="str">
        <x:v>ANTECEDENTE · 22 operaciones candidatas de v0.1</x:v>
      </x:c>
      <x:c r="B1" s="6"/>
      <x:c r="C1" s="6"/>
      <x:c r="D1" s="6"/>
      <x:c r="E1" s="6"/>
      <x:c r="F1" s="6"/>
      <x:c r="G1" s="6"/>
      <x:c r="H1" s="6"/>
      <x:c r="I1" s="6"/>
      <x:c r="J1" s="6"/>
      <x:c r="K1" s="6"/>
    </x:row>
    <x:row r="2" ht="52" customHeight="1">
      <x:c r="A2" s="8" t="str">
        <x:v>Mapa histórico conservado. Se retira la prioridad de OPC-07; todas las operaciones requieren reexamen desde el perímetro educativo. Ninguna está constituida.</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 candidato</x:v>
      </x:c>
      <x:c r="B4" s="10" t="str">
        <x:v>Producto</x:v>
      </x:c>
      <x:c r="C4" s="10" t="str">
        <x:v>Objeto / sujeto</x:v>
      </x:c>
      <x:c r="D4" s="10" t="str">
        <x:v>Desencadenante</x:v>
      </x:c>
      <x:c r="E4" s="10" t="str">
        <x:v>Autoridad requerida</x:v>
      </x:c>
      <x:c r="F4" s="10" t="str">
        <x:v>Frontera</x:v>
      </x:c>
      <x:c r="G4" s="10" t="str">
        <x:v>Terminación candidata</x:v>
      </x:c>
      <x:c r="H4" s="10" t="str">
        <x:v>Anclas de procedencia</x:v>
      </x:c>
      <x:c r="I4" s="10" t="str">
        <x:v>Duplicado</x:v>
      </x:c>
      <x:c r="J4" s="10" t="str">
        <x:v>Campo ausente</x:v>
      </x:c>
      <x:c r="K4" s="10" t="str">
        <x:v>Vínculos primarios</x:v>
      </x:c>
    </x:row>
    <x:row r="5" ht="47" customHeight="1">
      <x:c r="A5" s="4" t="str">
        <x:v>OPC-01</x:v>
      </x:c>
      <x:c r="B5" s="4" t="str">
        <x:v>Expediente de riesgo y plan de tratamiento</x:v>
      </x:c>
      <x:c r="C5" s="4" t="str">
        <x:v>Organización o sistema definido</x:v>
      </x:c>
      <x:c r="D5" s="4" t="str">
        <x:v>Evaluación inicial o cambio significativo</x:v>
      </x:c>
      <x:c r="E5" s="4" t="str">
        <x:v>Responsable de riesgo y dirección legitimada</x:v>
      </x:c>
      <x:c r="F5" s="4" t="str">
        <x:v>El análisis no acepta riesgo por la organización</x:v>
      </x:c>
      <x:c r="G5" s="4" t="str">
        <x:v>Riesgos, opciones, responsables y decisión pendiente o documentada</x:v>
      </x:c>
      <x:c r="H5" s="4" t="str">
        <x:v>OG-WRL-002;OG-WRL-007;T1586</x:v>
      </x:c>
      <x:c r="I5" s="12" t="n">
        <x:f>COUNTIF('07_Operaciones'!$A$5:$A$26,A5)-1</x:f>
        <x:v>0</x:v>
      </x:c>
      <x:c r="J5" s="12" t="n">
        <x:f>IF(COUNTBLANK(A5:H5)&gt;0,1,0)</x:f>
        <x:v>0</x:v>
      </x:c>
      <x:c r="K5" s="12" t="n">
        <x:f>COUNTIF('03_NICE'!$H$5:$H$57,A5)+COUNTIF('04_TKS'!$F$5:$F$72,A5)+COUNTIF('05_Complementos'!$J$5:$J$127,A5)</x:f>
        <x:v>21</x:v>
      </x:c>
    </x:row>
    <x:row r="6" ht="47" customHeight="1">
      <x:c r="A6" s="4" t="str">
        <x:v>OPC-02</x:v>
      </x:c>
      <x:c r="B6" s="4" t="str">
        <x:v>Dictamen de arquitectura y requisitos de seguridad</x:v>
      </x:c>
      <x:c r="C6" s="4" t="str">
        <x:v>Sistema o solución propuesta</x:v>
      </x:c>
      <x:c r="D6" s="4" t="str">
        <x:v>Diseño nuevo o modificación</x:v>
      </x:c>
      <x:c r="E6" s="4" t="str">
        <x:v>Arquitectura y responsable del sistema</x:v>
      </x:c>
      <x:c r="F6" s="4" t="str">
        <x:v>No equivale a autorización de puesta en servicio</x:v>
      </x:c>
      <x:c r="G6" s="4" t="str">
        <x:v>Requisitos, alternativas, restricciones y hallazgos trazados</x:v>
      </x:c>
      <x:c r="H6" s="4" t="str">
        <x:v>DD-WRL-001;DD-WRL-006</x:v>
      </x:c>
      <x:c r="I6" s="12" t="n">
        <x:f>COUNTIF('07_Operaciones'!$A$5:$A$26,A6)-1</x:f>
        <x:v>0</x:v>
      </x:c>
      <x:c r="J6" s="12" t="n">
        <x:f>IF(COUNTBLANK(A6:H6)&gt;0,1,0)</x:f>
        <x:v>0</x:v>
      </x:c>
      <x:c r="K6" s="12" t="n">
        <x:f>COUNTIF('03_NICE'!$H$5:$H$57,A6)+COUNTIF('04_TKS'!$F$5:$F$72,A6)+COUNTIF('05_Complementos'!$J$5:$J$127,A6)</x:f>
        <x:v>9</x:v>
      </x:c>
    </x:row>
    <x:row r="7" ht="47" customHeight="1">
      <x:c r="A7" s="4" t="str">
        <x:v>OPC-03</x:v>
      </x:c>
      <x:c r="B7" s="4" t="str">
        <x:v>Expediente de autorización de acceso</x:v>
      </x:c>
      <x:c r="C7" s="4" t="str">
        <x:v>Solicitud de un sujeto sobre recursos y privilegios delimitados</x:v>
      </x:c>
      <x:c r="D7" s="4" t="str">
        <x:v>Alta, cambio, renovación o revocación del acceso</x:v>
      </x:c>
      <x:c r="E7" s="4" t="str">
        <x:v>Titular del recurso y autoridad de acceso</x:v>
      </x:c>
      <x:c r="F7" s="4" t="str">
        <x:v>La recomendación y el rol no conceden permiso ni autorizan el sistema entero</x:v>
      </x:c>
      <x:c r="G7" s="4" t="str">
        <x:v>Alcance, legitimidad, vigencia y decisión explícita; sin efecto implícito</x:v>
      </x:c>
      <x:c r="H7" s="4" t="str">
        <x:v>NF-COM-001;T1548</x:v>
      </x:c>
      <x:c r="I7" s="12" t="n">
        <x:f>COUNTIF('07_Operaciones'!$A$5:$A$26,A7)-1</x:f>
        <x:v>0</x:v>
      </x:c>
      <x:c r="J7" s="12" t="n">
        <x:f>IF(COUNTBLANK(A7:H7)&gt;0,1,0)</x:f>
        <x:v>0</x:v>
      </x:c>
      <x:c r="K7" s="12" t="n">
        <x:f>COUNTIF('03_NICE'!$H$5:$H$57,A7)+COUNTIF('04_TKS'!$F$5:$F$72,A7)+COUNTIF('05_Complementos'!$J$5:$J$127,A7)</x:f>
        <x:v>10</x:v>
      </x:c>
    </x:row>
    <x:row r="8" ht="47" customHeight="1">
      <x:c r="A8" s="4" t="str">
        <x:v>OPC-04</x:v>
      </x:c>
      <x:c r="B8" s="4" t="str">
        <x:v>Informe de evaluación técnica de seguridad</x:v>
      </x:c>
      <x:c r="C8" s="4" t="str">
        <x:v>Sistema y superficie expresamente autorizados</x:v>
      </x:c>
      <x:c r="D8" s="4" t="str">
        <x:v>Encargo y reglas de actuación</x:v>
      </x:c>
      <x:c r="E8" s="4" t="str">
        <x:v>Evaluador autorizado y propietario del alcance</x:v>
      </x:c>
      <x:c r="F8" s="4" t="str">
        <x:v>No intervención fuera de alcance; distingue hallazgo de explotación y corrección</x:v>
      </x:c>
      <x:c r="G8" s="4" t="str">
        <x:v>Evidencia, método, límites y propuestas entregados</x:v>
      </x:c>
      <x:c r="H8" s="4" t="str">
        <x:v>PD-WRL-007;DD-WRL-007;T1625</x:v>
      </x:c>
      <x:c r="I8" s="12" t="n">
        <x:f>COUNTIF('07_Operaciones'!$A$5:$A$26,A8)-1</x:f>
        <x:v>0</x:v>
      </x:c>
      <x:c r="J8" s="12" t="n">
        <x:f>IF(COUNTBLANK(A8:H8)&gt;0,1,0)</x:f>
        <x:v>0</x:v>
      </x:c>
      <x:c r="K8" s="12" t="n">
        <x:f>COUNTIF('03_NICE'!$H$5:$H$57,A8)+COUNTIF('04_TKS'!$F$5:$F$72,A8)+COUNTIF('05_Complementos'!$J$5:$J$127,A8)</x:f>
        <x:v>15</x:v>
      </x:c>
    </x:row>
    <x:row r="9" ht="47" customHeight="1">
      <x:c r="A9" s="4" t="str">
        <x:v>OPC-05</x:v>
      </x:c>
      <x:c r="B9" s="4" t="str">
        <x:v>Dictamen de seguridad de una entrega de software o modelo</x:v>
      </x:c>
      <x:c r="C9" s="4" t="str">
        <x:v>Versión candidata y dependencias</x:v>
      </x:c>
      <x:c r="D9" s="4" t="str">
        <x:v>Nueva entrega o actualización</x:v>
      </x:c>
      <x:c r="E9" s="4" t="str">
        <x:v>Desarrollo, verificación y responsable de entrega</x:v>
      </x:c>
      <x:c r="F9" s="4" t="str">
        <x:v>Evaluación no despliega ni acepta riesgo tácitamente</x:v>
      </x:c>
      <x:c r="G9" s="4" t="str">
        <x:v>Pruebas, procedencia y defectos de la versión identificada</x:v>
      </x:c>
      <x:c r="H9" s="4" t="str">
        <x:v>DD-WRL-003;DD-WRL-005;NF-COM-008</x:v>
      </x:c>
      <x:c r="I9" s="12" t="n">
        <x:f>COUNTIF('07_Operaciones'!$A$5:$A$26,A9)-1</x:f>
        <x:v>0</x:v>
      </x:c>
      <x:c r="J9" s="12" t="n">
        <x:f>IF(COUNTBLANK(A9:H9)&gt;0,1,0)</x:f>
        <x:v>0</x:v>
      </x:c>
      <x:c r="K9" s="12" t="n">
        <x:f>COUNTIF('03_NICE'!$H$5:$H$57,A9)+COUNTIF('04_TKS'!$F$5:$F$72,A9)+COUNTIF('05_Complementos'!$J$5:$J$127,A9)</x:f>
        <x:v>14</x:v>
      </x:c>
    </x:row>
    <x:row r="10" ht="47" customHeight="1">
      <x:c r="A10" s="4" t="str">
        <x:v>OPC-06</x:v>
      </x:c>
      <x:c r="B10" s="4" t="str">
        <x:v>Evaluación de proveedor, componente o servicio externo</x:v>
      </x:c>
      <x:c r="C10" s="4" t="str">
        <x:v>Producto, modelo, servicio de nube o proveedor</x:v>
      </x:c>
      <x:c r="D10" s="4" t="str">
        <x:v>Adquisición, renovación o cambio</x:v>
      </x:c>
      <x:c r="E10" s="4" t="str">
        <x:v>Adquisiciones y responsable de riesgo</x:v>
      </x:c>
      <x:c r="F10" s="4" t="str">
        <x:v>No otorga confianza a toda la cadena por un certificado</x:v>
      </x:c>
      <x:c r="G10" s="4" t="str">
        <x:v>Requisitos, evidencias, riesgos y condiciones de admisión</x:v>
      </x:c>
      <x:c r="H10" s="4" t="str">
        <x:v>OG-WRL-017;NF-COM-004;T2056</x:v>
      </x:c>
      <x:c r="I10" s="12" t="n">
        <x:f>COUNTIF('07_Operaciones'!$A$5:$A$26,A10)-1</x:f>
        <x:v>0</x:v>
      </x:c>
      <x:c r="J10" s="12" t="n">
        <x:f>IF(COUNTBLANK(A10:H10)&gt;0,1,0)</x:f>
        <x:v>0</x:v>
      </x:c>
      <x:c r="K10" s="12" t="n">
        <x:f>COUNTIF('03_NICE'!$H$5:$H$57,A10)+COUNTIF('04_TKS'!$F$5:$F$72,A10)+COUNTIF('05_Complementos'!$J$5:$J$127,A10)</x:f>
        <x:v>14</x:v>
      </x:c>
    </x:row>
    <x:row r="11" ht="47" customHeight="1">
      <x:c r="A11" s="4" t="str">
        <x:v>OPC-07</x:v>
      </x:c>
      <x:c r="B11" s="4" t="str">
        <x:v>Informe de triaje de una alerta con apoyo de IA</x:v>
      </x:c>
      <x:c r="C11" s="4" t="str">
        <x:v>Alerta, activos y evidencias capturadas</x:v>
      </x:c>
      <x:c r="D11" s="4" t="str">
        <x:v>Recepción de alerta o revisión justificada</x:v>
      </x:c>
      <x:c r="E11" s="4" t="str">
        <x:v>Analista responsable y supervisor legitimado</x:v>
      </x:c>
      <x:c r="F11" s="4" t="str">
        <x:v>Separa observación, inferencia y fallo; no ejecuta respuesta</x:v>
      </x:c>
      <x:c r="G11" s="4" t="str">
        <x:v>Clasificación y fundamento trazados o insuficiencia delimitada; escalado cuando proceda</x:v>
      </x:c>
      <x:c r="H11" s="4" t="str">
        <x:v>PD-WRL-001;IO-WRL-001;S0957</x:v>
      </x:c>
      <x:c r="I11" s="12" t="n">
        <x:f>COUNTIF('07_Operaciones'!$A$5:$A$26,A11)-1</x:f>
        <x:v>0</x:v>
      </x:c>
      <x:c r="J11" s="12" t="n">
        <x:f>IF(COUNTBLANK(A11:H11)&gt;0,1,0)</x:f>
        <x:v>0</x:v>
      </x:c>
      <x:c r="K11" s="12" t="n">
        <x:f>COUNTIF('03_NICE'!$H$5:$H$57,A11)+COUNTIF('04_TKS'!$F$5:$F$72,A11)+COUNTIF('05_Complementos'!$J$5:$J$127,A11)</x:f>
        <x:v>16</x:v>
      </x:c>
    </x:row>
    <x:row r="12" ht="47" customHeight="1">
      <x:c r="A12" s="4" t="str">
        <x:v>OPC-08</x:v>
      </x:c>
      <x:c r="B12" s="4" t="str">
        <x:v>Informe de inteligencia de amenazas</x:v>
      </x:c>
      <x:c r="C12" s="4" t="str">
        <x:v>Pregunta de inteligencia y contexto</x:v>
      </x:c>
      <x:c r="D12" s="4" t="str">
        <x:v>Petición o revisión de amenazas</x:v>
      </x:c>
      <x:c r="E12" s="4" t="str">
        <x:v>Analista y destinatario autorizado</x:v>
      </x:c>
      <x:c r="F12" s="4" t="str">
        <x:v>Confianza analítica no prueba autoría de un ataque ni convierte predicción en hecho</x:v>
      </x:c>
      <x:c r="G12" s="4" t="str">
        <x:v>Evaluación, fuentes, incertidumbre y ámbito comunicados</x:v>
      </x:c>
      <x:c r="H12" s="4" t="str">
        <x:v>PD-WRL-006;PD-WRL-005;K1333</x:v>
      </x:c>
      <x:c r="I12" s="12" t="n">
        <x:f>COUNTIF('07_Operaciones'!$A$5:$A$26,A12)-1</x:f>
        <x:v>0</x:v>
      </x:c>
      <x:c r="J12" s="12" t="n">
        <x:f>IF(COUNTBLANK(A12:H12)&gt;0,1,0)</x:f>
        <x:v>0</x:v>
      </x:c>
      <x:c r="K12" s="12" t="n">
        <x:f>COUNTIF('03_NICE'!$H$5:$H$57,A12)+COUNTIF('04_TKS'!$F$5:$F$72,A12)+COUNTIF('05_Complementos'!$J$5:$J$127,A12)</x:f>
        <x:v>8</x:v>
      </x:c>
    </x:row>
    <x:row r="13" ht="47" customHeight="1">
      <x:c r="A13" s="4" t="str">
        <x:v>OPC-09</x:v>
      </x:c>
      <x:c r="B13" s="4" t="str">
        <x:v>Plan de respuesta a incidente para decisión autorizada</x:v>
      </x:c>
      <x:c r="C13" s="4" t="str">
        <x:v>Incidente y sistemas afectados</x:v>
      </x:c>
      <x:c r="D13" s="4" t="str">
        <x:v>Incidente admitido en el alcance</x:v>
      </x:c>
      <x:c r="E13" s="4" t="str">
        <x:v>Coordinador de respuesta y autoridad de intervención</x:v>
      </x:c>
      <x:c r="F13" s="4" t="str">
        <x:v>Plan, aprobación y efecto material son actos distintos</x:v>
      </x:c>
      <x:c r="G13" s="4" t="str">
        <x:v>Medidas, riesgos, evidencias y responsabilidades documentados</x:v>
      </x:c>
      <x:c r="H13" s="4" t="str">
        <x:v>PD-WRL-003;T0510;T2067</x:v>
      </x:c>
      <x:c r="I13" s="12" t="n">
        <x:f>COUNTIF('07_Operaciones'!$A$5:$A$26,A13)-1</x:f>
        <x:v>0</x:v>
      </x:c>
      <x:c r="J13" s="12" t="n">
        <x:f>IF(COUNTBLANK(A13:H13)&gt;0,1,0)</x:f>
        <x:v>0</x:v>
      </x:c>
      <x:c r="K13" s="12" t="n">
        <x:f>COUNTIF('03_NICE'!$H$5:$H$57,A13)+COUNTIF('04_TKS'!$F$5:$F$72,A13)+COUNTIF('05_Complementos'!$J$5:$J$127,A13)</x:f>
        <x:v>11</x:v>
      </x:c>
    </x:row>
    <x:row r="14" ht="47" customHeight="1">
      <x:c r="A14" s="4" t="str">
        <x:v>OPC-10</x:v>
      </x:c>
      <x:c r="B14" s="4" t="str">
        <x:v>Informe forense y expediente de evidencia</x:v>
      </x:c>
      <x:c r="C14" s="4" t="str">
        <x:v>Fuentes digitales identificadas</x:v>
      </x:c>
      <x:c r="D14" s="4" t="str">
        <x:v>Encargo investigador o preservación por incidente</x:v>
      </x:c>
      <x:c r="E14" s="4" t="str">
        <x:v>Analista forense y custodio de evidencia</x:v>
      </x:c>
      <x:c r="F14" s="4" t="str">
        <x:v>No decide culpabilidad ni admisibilidad judicial por sí solo</x:v>
      </x:c>
      <x:c r="G14" s="4" t="str">
        <x:v>Adquisición, integridad, transformaciones, análisis y límites trazados</x:v>
      </x:c>
      <x:c r="H14" s="4" t="str">
        <x:v>IN-WRL-002;PD-WRL-002;T1510</x:v>
      </x:c>
      <x:c r="I14" s="12" t="n">
        <x:f>COUNTIF('07_Operaciones'!$A$5:$A$26,A14)-1</x:f>
        <x:v>0</x:v>
      </x:c>
      <x:c r="J14" s="12" t="n">
        <x:f>IF(COUNTBLANK(A14:H14)&gt;0,1,0)</x:f>
        <x:v>0</x:v>
      </x:c>
      <x:c r="K14" s="12" t="n">
        <x:f>COUNTIF('03_NICE'!$H$5:$H$57,A14)+COUNTIF('04_TKS'!$F$5:$F$72,A14)+COUNTIF('05_Complementos'!$J$5:$J$127,A14)</x:f>
        <x:v>17</x:v>
      </x:c>
    </x:row>
    <x:row r="15" ht="47" customHeight="1">
      <x:c r="A15" s="4" t="str">
        <x:v>OPC-11</x:v>
      </x:c>
      <x:c r="B15" s="4" t="str">
        <x:v>Informe de preparación o prueba de recuperación</x:v>
      </x:c>
      <x:c r="C15" s="4" t="str">
        <x:v>Servicio, copias y plan de continuidad</x:v>
      </x:c>
      <x:c r="D15" s="4" t="str">
        <x:v>Prueba programada o necesidad de recuperación</x:v>
      </x:c>
      <x:c r="E15" s="4" t="str">
        <x:v>Continuidad y propietario del servicio</x:v>
      </x:c>
      <x:c r="F15" s="4" t="str">
        <x:v>Restauración técnica no acredita identidad vigente ni retorno seguro al servicio</x:v>
      </x:c>
      <x:c r="G15" s="4" t="str">
        <x:v>Resultados frente a requisitos y condiciones de recuperación documentados</x:v>
      </x:c>
      <x:c r="H15" s="4" t="str">
        <x:v>NF-COM-007;T1126;T1150</x:v>
      </x:c>
      <x:c r="I15" s="12" t="n">
        <x:f>COUNTIF('07_Operaciones'!$A$5:$A$26,A15)-1</x:f>
        <x:v>0</x:v>
      </x:c>
      <x:c r="J15" s="12" t="n">
        <x:f>IF(COUNTBLANK(A15:H15)&gt;0,1,0)</x:f>
        <x:v>0</x:v>
      </x:c>
      <x:c r="K15" s="12" t="n">
        <x:f>COUNTIF('03_NICE'!$H$5:$H$57,A15)+COUNTIF('04_TKS'!$F$5:$F$72,A15)+COUNTIF('05_Complementos'!$J$5:$J$127,A15)</x:f>
        <x:v>5</x:v>
      </x:c>
    </x:row>
    <x:row r="16" ht="47" customHeight="1">
      <x:c r="A16" s="4" t="str">
        <x:v>OPC-12</x:v>
      </x:c>
      <x:c r="B16" s="4" t="str">
        <x:v>Expediente de configuración y mantenimiento seguro</x:v>
      </x:c>
      <x:c r="C16" s="4" t="str">
        <x:v>Activo inventariado y configuración</x:v>
      </x:c>
      <x:c r="D16" s="4" t="str">
        <x:v>Alta, cambio, mantenimiento o retirada</x:v>
      </x:c>
      <x:c r="E16" s="4" t="str">
        <x:v>Operación de sistemas y propietario del cambio</x:v>
      </x:c>
      <x:c r="F16" s="4" t="str">
        <x:v>Registro de cambio no certifica su efecto ni autoriza acceso</x:v>
      </x:c>
      <x:c r="G16" s="4" t="str">
        <x:v>Estado previo, cambio, comprobaciones y residual identificados</x:v>
      </x:c>
      <x:c r="H16" s="4" t="str">
        <x:v>IO-WRL-005;NF-COM-003;T0084</x:v>
      </x:c>
      <x:c r="I16" s="12" t="n">
        <x:f>COUNTIF('07_Operaciones'!$A$5:$A$26,A16)-1</x:f>
        <x:v>0</x:v>
      </x:c>
      <x:c r="J16" s="12" t="n">
        <x:f>IF(COUNTBLANK(A16:H16)&gt;0,1,0)</x:f>
        <x:v>0</x:v>
      </x:c>
      <x:c r="K16" s="12" t="n">
        <x:f>COUNTIF('03_NICE'!$H$5:$H$57,A16)+COUNTIF('04_TKS'!$F$5:$F$72,A16)+COUNTIF('05_Complementos'!$J$5:$J$127,A16)</x:f>
        <x:v>16</x:v>
      </x:c>
    </x:row>
    <x:row r="17" ht="47" customHeight="1">
      <x:c r="A17" s="4" t="str">
        <x:v>OPC-13</x:v>
      </x:c>
      <x:c r="B17" s="4" t="str">
        <x:v>Dictamen de protección criptográfica y comunicaciones</x:v>
      </x:c>
      <x:c r="C17" s="4" t="str">
        <x:v>Datos, claves, protocolos y canales</x:v>
      </x:c>
      <x:c r="D17" s="4" t="str">
        <x:v>Diseño o revisión de protección</x:v>
      </x:c>
      <x:c r="E17" s="4" t="str">
        <x:v>Responsable criptográfico y de comunicaciones</x:v>
      </x:c>
      <x:c r="F17" s="4" t="str">
        <x:v>No crea algoritmos ni asume seguridad por usar cifrado</x:v>
      </x:c>
      <x:c r="G17" s="4" t="str">
        <x:v>Selección, ciclo de claves y limitaciones documentados</x:v>
      </x:c>
      <x:c r="H17" s="4" t="str">
        <x:v>NF-COM-006;OG-WRL-001;NF-COM-005</x:v>
      </x:c>
      <x:c r="I17" s="12" t="n">
        <x:f>COUNTIF('07_Operaciones'!$A$5:$A$26,A17)-1</x:f>
        <x:v>0</x:v>
      </x:c>
      <x:c r="J17" s="12" t="n">
        <x:f>IF(COUNTBLANK(A17:H17)&gt;0,1,0)</x:f>
        <x:v>0</x:v>
      </x:c>
      <x:c r="K17" s="12" t="n">
        <x:f>COUNTIF('03_NICE'!$H$5:$H$57,A17)+COUNTIF('04_TKS'!$F$5:$F$72,A17)+COUNTIF('05_Complementos'!$J$5:$J$127,A17)</x:f>
        <x:v>7</x:v>
      </x:c>
    </x:row>
    <x:row r="18" ht="47" customHeight="1">
      <x:c r="A18" s="4" t="str">
        <x:v>OPC-14</x:v>
      </x:c>
      <x:c r="B18" s="4" t="str">
        <x:v>Dictamen de seguridad de cambio en entorno OT</x:v>
      </x:c>
      <x:c r="C18" s="4" t="str">
        <x:v>Sistema industrial y proceso físico</x:v>
      </x:c>
      <x:c r="D18" s="4" t="str">
        <x:v>Cambio o hallazgo con impacto en control</x:v>
      </x:c>
      <x:c r="E18" s="4" t="str">
        <x:v>Ingeniería OT, operación y responsable de seguridad física</x:v>
      </x:c>
      <x:c r="F18" s="4" t="str">
        <x:v>No prueba en planta sin contrato y autoridad; seguridad física no se reduce a confidencialidad</x:v>
      </x:c>
      <x:c r="G18" s="4" t="str">
        <x:v>Riesgos ciberfísicos y condiciones de evaluación trazados</x:v>
      </x:c>
      <x:c r="H18" s="4" t="str">
        <x:v>DD-WRL-009;NF-COM-010;T1020</x:v>
      </x:c>
      <x:c r="I18" s="12" t="n">
        <x:f>COUNTIF('07_Operaciones'!$A$5:$A$26,A18)-1</x:f>
        <x:v>0</x:v>
      </x:c>
      <x:c r="J18" s="12" t="n">
        <x:f>IF(COUNTBLANK(A18:H18)&gt;0,1,0)</x:f>
        <x:v>0</x:v>
      </x:c>
      <x:c r="K18" s="12" t="n">
        <x:f>COUNTIF('03_NICE'!$H$5:$H$57,A18)+COUNTIF('04_TKS'!$F$5:$F$72,A18)+COUNTIF('05_Complementos'!$J$5:$J$127,A18)</x:f>
        <x:v>6</x:v>
      </x:c>
    </x:row>
    <x:row r="19" ht="47" customHeight="1">
      <x:c r="A19" s="4" t="str">
        <x:v>OPC-15</x:v>
      </x:c>
      <x:c r="B19" s="4" t="str">
        <x:v>Evaluación de idoneidad y seguridad de un uso de IA</x:v>
      </x:c>
      <x:c r="C19" s="4" t="str">
        <x:v>Sistema/modelo, propósito y datos</x:v>
      </x:c>
      <x:c r="D19" s="4" t="str">
        <x:v>Admisión o cambio de uso/modelo</x:v>
      </x:c>
      <x:c r="E19" s="4" t="str">
        <x:v>Propietario del uso, evaluador y supervisor humano</x:v>
      </x:c>
      <x:c r="F19" s="4" t="str">
        <x:v>Seguridad de IA y utilidad defensiva son juicios distintos; no habilita agente autónomo</x:v>
      </x:c>
      <x:c r="G19" s="4" t="str">
        <x:v>Evidencias de validez, riesgo y supervisión para decisión del uso delimitado</x:v>
      </x:c>
      <x:c r="H19" s="4" t="str">
        <x:v>NF-COM-002;K1341;S0955</x:v>
      </x:c>
      <x:c r="I19" s="12" t="n">
        <x:f>COUNTIF('07_Operaciones'!$A$5:$A$26,A19)-1</x:f>
        <x:v>0</x:v>
      </x:c>
      <x:c r="J19" s="12" t="n">
        <x:f>IF(COUNTBLANK(A19:H19)&gt;0,1,0)</x:f>
        <x:v>0</x:v>
      </x:c>
      <x:c r="K19" s="12" t="n">
        <x:f>COUNTIF('03_NICE'!$H$5:$H$57,A19)+COUNTIF('04_TKS'!$F$5:$F$72,A19)+COUNTIF('05_Complementos'!$J$5:$J$127,A19)</x:f>
        <x:v>42</x:v>
      </x:c>
    </x:row>
    <x:row r="20" ht="47" customHeight="1">
      <x:c r="A20" s="4" t="str">
        <x:v>OPC-16</x:v>
      </x:c>
      <x:c r="B20" s="4" t="str">
        <x:v>Informe de evaluación o auditoría de controles</x:v>
      </x:c>
      <x:c r="C20" s="4" t="str">
        <x:v>Sistema/programa y criterios aplicables</x:v>
      </x:c>
      <x:c r="D20" s="4" t="str">
        <x:v>Encargo independiente de evaluación</x:v>
      </x:c>
      <x:c r="E20" s="4" t="str">
        <x:v>Evaluador o auditor con mandato</x:v>
      </x:c>
      <x:c r="F20" s="4" t="str">
        <x:v>Evaluación no equivale a certificación acreditada ni a corrección de controles</x:v>
      </x:c>
      <x:c r="G20" s="4" t="str">
        <x:v>Hallazgos, evidencia, alcance y contradicciones comunicados</x:v>
      </x:c>
      <x:c r="H20" s="4" t="str">
        <x:v>OG-WRL-012;OG-WRL-016;T0274</x:v>
      </x:c>
      <x:c r="I20" s="12" t="n">
        <x:f>COUNTIF('07_Operaciones'!$A$5:$A$26,A20)-1</x:f>
        <x:v>0</x:v>
      </x:c>
      <x:c r="J20" s="12" t="n">
        <x:f>IF(COUNTBLANK(A20:H20)&gt;0,1,0)</x:f>
        <x:v>0</x:v>
      </x:c>
      <x:c r="K20" s="12" t="n">
        <x:f>COUNTIF('03_NICE'!$H$5:$H$57,A20)+COUNTIF('04_TKS'!$F$5:$F$72,A20)+COUNTIF('05_Complementos'!$J$5:$J$127,A20)</x:f>
        <x:v>5</x:v>
      </x:c>
    </x:row>
    <x:row r="21" ht="47" customHeight="1">
      <x:c r="A21" s="4" t="str">
        <x:v>OPC-17</x:v>
      </x:c>
      <x:c r="B21" s="4" t="str">
        <x:v>Dictamen de aplicabilidad jurídica y privacidad</x:v>
      </x:c>
      <x:c r="C21" s="4" t="str">
        <x:v>Entidad, actividad, tratamiento y jurisdicción</x:v>
      </x:c>
      <x:c r="D21" s="4" t="str">
        <x:v>Nuevo uso, incidente o cambio regulatorio</x:v>
      </x:c>
      <x:c r="E21" s="4" t="str">
        <x:v>Asesoría jurídica y responsable de privacidad competentes</x:v>
      </x:c>
      <x:c r="F21" s="4" t="str">
        <x:v>No importa obligaciones por analogía; no concede base jurídica por usar un marco</x:v>
      </x:c>
      <x:c r="G21" s="4" t="str">
        <x:v>Aplicabilidad, obligaciones, incertidumbres y destinatario documentados</x:v>
      </x:c>
      <x:c r="H21" s="4" t="str">
        <x:v>OG-WRL-006;OG-WRL-008;T0220</x:v>
      </x:c>
      <x:c r="I21" s="12" t="n">
        <x:f>COUNTIF('07_Operaciones'!$A$5:$A$26,A21)-1</x:f>
        <x:v>0</x:v>
      </x:c>
      <x:c r="J21" s="12" t="n">
        <x:f>IF(COUNTBLANK(A21:H21)&gt;0,1,0)</x:f>
        <x:v>0</x:v>
      </x:c>
      <x:c r="K21" s="12" t="n">
        <x:f>COUNTIF('03_NICE'!$H$5:$H$57,A21)+COUNTIF('04_TKS'!$F$5:$F$72,A21)+COUNTIF('05_Complementos'!$J$5:$J$127,A21)</x:f>
        <x:v>17</x:v>
      </x:c>
    </x:row>
    <x:row r="22" ht="47" customHeight="1">
      <x:c r="A22" s="4" t="str">
        <x:v>OPC-18</x:v>
      </x:c>
      <x:c r="B22" s="4" t="str">
        <x:v>Dictamen de diseño o revisión de programa formativo</x:v>
      </x:c>
      <x:c r="C22" s="4" t="str">
        <x:v>Programa y necesidades profesionales delimitadas</x:v>
      </x:c>
      <x:c r="D22" s="4" t="str">
        <x:v>Nuevo programa o revisión de su eficacia</x:v>
      </x:c>
      <x:c r="E22" s="4" t="str">
        <x:v>Responsable curricular y de planificación profesional</x:v>
      </x:c>
      <x:c r="F22" s="4" t="str">
        <x:v>Diseñar el programa no acredita aprendizaje de una persona</x:v>
      </x:c>
      <x:c r="G22" s="4" t="str">
        <x:v>Objetivos, contenidos, método y cambios propuestos documentados</x:v>
      </x:c>
      <x:c r="H22" s="4" t="str">
        <x:v>OG-WRL-003;OG-WRL-004;T0101</x:v>
      </x:c>
      <x:c r="I22" s="12" t="n">
        <x:f>COUNTIF('07_Operaciones'!$A$5:$A$26,A22)-1</x:f>
        <x:v>0</x:v>
      </x:c>
      <x:c r="J22" s="12" t="n">
        <x:f>IF(COUNTBLANK(A22:H22)&gt;0,1,0)</x:f>
        <x:v>0</x:v>
      </x:c>
      <x:c r="K22" s="12" t="n">
        <x:f>COUNTIF('03_NICE'!$H$5:$H$57,A22)+COUNTIF('04_TKS'!$F$5:$F$72,A22)+COUNTIF('05_Complementos'!$J$5:$J$127,A22)</x:f>
        <x:v>3</x:v>
      </x:c>
    </x:row>
    <x:row r="23" ht="47" customHeight="1">
      <x:c r="A23" s="4" t="str">
        <x:v>OPC-19</x:v>
      </x:c>
      <x:c r="B23" s="4" t="str">
        <x:v>Resultado de investigación o conocimiento técnico validable</x:v>
      </x:c>
      <x:c r="C23" s="4" t="str">
        <x:v>Pregunta de ciberseguridad definida</x:v>
      </x:c>
      <x:c r="D23" s="4" t="str">
        <x:v>Necesidad de conocimiento o evaluación tecnológica</x:v>
      </x:c>
      <x:c r="E23" s="4" t="str">
        <x:v>Responsable investigador y revisor</x:v>
      </x:c>
      <x:c r="F23" s="4" t="str">
        <x:v>No incorpora resultados al conocimiento autorizado sin revisión</x:v>
      </x:c>
      <x:c r="G23" s="4" t="str">
        <x:v>Método, resultados, límites y registro reutilizable</x:v>
      </x:c>
      <x:c r="H23" s="4" t="str">
        <x:v>DD-WRL-008;IO-WRL-003</x:v>
      </x:c>
      <x:c r="I23" s="12" t="n">
        <x:f>COUNTIF('07_Operaciones'!$A$5:$A$26,A23)-1</x:f>
        <x:v>0</x:v>
      </x:c>
      <x:c r="J23" s="12" t="n">
        <x:f>IF(COUNTBLANK(A23:H23)&gt;0,1,0)</x:f>
        <x:v>0</x:v>
      </x:c>
      <x:c r="K23" s="12" t="n">
        <x:f>COUNTIF('03_NICE'!$H$5:$H$57,A23)+COUNTIF('04_TKS'!$F$5:$F$72,A23)+COUNTIF('05_Complementos'!$J$5:$J$127,A23)</x:f>
        <x:v>3</x:v>
      </x:c>
    </x:row>
    <x:row r="24" ht="47" customHeight="1">
      <x:c r="A24" s="4" t="str">
        <x:v>OPC-20</x:v>
      </x:c>
      <x:c r="B24" s="4" t="str">
        <x:v>Expediente de investigación de ciberdelito</x:v>
      </x:c>
      <x:c r="C24" s="4" t="str">
        <x:v>Hechos y evidencia bajo mandato legal</x:v>
      </x:c>
      <x:c r="D24" s="4" t="str">
        <x:v>Encargo de autoridad investigadora</x:v>
      </x:c>
      <x:c r="E24" s="4" t="str">
        <x:v>Autoridad legal y equipo investigador legitimados</x:v>
      </x:c>
      <x:c r="F24" s="4" t="str">
        <x:v>Separado del análisis forense interno por mandato, finalidad y destino jurídico</x:v>
      </x:c>
      <x:c r="G24" s="4" t="str">
        <x:v>Hechos, cadena de custodia y entrega a autoridad competente</x:v>
      </x:c>
      <x:c r="H24" s="4" t="str">
        <x:v>IN-WRL-001;T1175</x:v>
      </x:c>
      <x:c r="I24" s="12" t="n">
        <x:f>COUNTIF('07_Operaciones'!$A$5:$A$26,A24)-1</x:f>
        <x:v>0</x:v>
      </x:c>
      <x:c r="J24" s="12" t="n">
        <x:f>IF(COUNTBLANK(A24:H24)&gt;0,1,0)</x:f>
        <x:v>0</x:v>
      </x:c>
      <x:c r="K24" s="12" t="n">
        <x:f>COUNTIF('03_NICE'!$H$5:$H$57,A24)+COUNTIF('04_TKS'!$F$5:$F$72,A24)+COUNTIF('05_Complementos'!$J$5:$J$127,A24)</x:f>
        <x:v>2</x:v>
      </x:c>
    </x:row>
    <x:row r="25" ht="47" customHeight="1">
      <x:c r="A25" s="4" t="str">
        <x:v>OPC-21</x:v>
      </x:c>
      <x:c r="B25" s="4" t="str">
        <x:v>Expediente de autorización para operar un sistema</x:v>
      </x:c>
      <x:c r="C25" s="4" t="str">
        <x:v>Sistema y riesgo institucional delimitados</x:v>
      </x:c>
      <x:c r="D25" s="4" t="str">
        <x:v>Puesta en servicio o renovación de autorización</x:v>
      </x:c>
      <x:c r="E25" s="4" t="str">
        <x:v>Autoridad institucional legitimada para aceptar el riesgo</x:v>
      </x:c>
      <x:c r="F25" s="4" t="str">
        <x:v>Separado del acceso individual; un informe técnico no acepta el riesgo</x:v>
      </x:c>
      <x:c r="G25" s="4" t="str">
        <x:v>Riesgo, condiciones, vigencia y decisión institucional explícita</x:v>
      </x:c>
      <x:c r="H25" s="4" t="str">
        <x:v>OG-WRL-013;OG-WRL-007</x:v>
      </x:c>
      <x:c r="I25" s="12" t="n">
        <x:f>COUNTIF('07_Operaciones'!$A$5:$A$26,A25)-1</x:f>
        <x:v>0</x:v>
      </x:c>
      <x:c r="J25" s="12" t="n">
        <x:f>IF(COUNTBLANK(A25:H25)&gt;0,1,0)</x:f>
        <x:v>0</x:v>
      </x:c>
      <x:c r="K25" s="12" t="n">
        <x:f>COUNTIF('03_NICE'!$H$5:$H$57,A25)+COUNTIF('04_TKS'!$F$5:$F$72,A25)+COUNTIF('05_Complementos'!$J$5:$J$127,A25)</x:f>
        <x:v>1</x:v>
      </x:c>
    </x:row>
    <x:row r="26" ht="47" customHeight="1">
      <x:c r="A26" s="4" t="str">
        <x:v>OPC-22</x:v>
      </x:c>
      <x:c r="B26" s="4" t="str">
        <x:v>Informe de una actividad formativa y su evaluación</x:v>
      </x:c>
      <x:c r="C26" s="4" t="str">
        <x:v>Actividad, participantes y objetivos de aprendizaje definidos</x:v>
      </x:c>
      <x:c r="D26" s="4" t="str">
        <x:v>Actividad autorizada del programa</x:v>
      </x:c>
      <x:c r="E26" s="4" t="str">
        <x:v>Docente y responsable de evaluación</x:v>
      </x:c>
      <x:c r="F26" s="4" t="str">
        <x:v>No confunde asistencia, aprendizaje ni permiso profesional</x:v>
      </x:c>
      <x:c r="G26" s="4" t="str">
        <x:v>Actividad realizada y evidencia de evaluación documentadas según el encargo</x:v>
      </x:c>
      <x:c r="H26" s="4" t="str">
        <x:v>OG-WRL-005;OG-WRL-004</x:v>
      </x:c>
      <x:c r="I26" s="12" t="n">
        <x:f>COUNTIF('07_Operaciones'!$A$5:$A$26,A26)-1</x:f>
        <x:v>0</x:v>
      </x:c>
      <x:c r="J26" s="12" t="n">
        <x:f>IF(COUNTBLANK(A26:H26)&gt;0,1,0)</x:f>
        <x:v>0</x:v>
      </x:c>
      <x:c r="K26" s="12" t="n">
        <x:f>COUNTIF('03_NICE'!$H$5:$H$57,A26)+COUNTIF('04_TKS'!$F$5:$F$72,A26)+COUNTIF('05_Complementos'!$J$5:$J$127,A26)</x:f>
        <x:v>2</x:v>
      </x:c>
    </x:row>
  </x:sheetData>
  <x:mergeCells>
    <x:mergeCell ref="A1:D1"/>
    <x:mergeCell ref="A2:F2"/>
  </x:mergeCells>
  <x:pageMargins left="0.7" right="0.7" top="0.75" bottom="0.75" header="0.3" footer="0.3"/>
  <x:tableParts count="1">
    <x:tablePart xmlns:r="http://schemas.openxmlformats.org/officeDocument/2006/relationships" r:id="R17a2e8e89327462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9" hidden="0" customWidth="1"/>
    <x:col min="2" max="2" width="11" hidden="0" customWidth="1"/>
    <x:col min="3" max="3" width="12" hidden="0" customWidth="1"/>
    <x:col min="4" max="4" width="61" hidden="0" customWidth="1"/>
    <x:col min="5" max="5" width="69" hidden="0" customWidth="1"/>
    <x:col min="6" max="6" width="50" hidden="0" customWidth="1"/>
    <x:col min="7" max="7" width="41" hidden="0" customWidth="1"/>
    <x:col min="8" max="8" width="24" hidden="0" customWidth="1"/>
    <x:col min="9" max="9" width="24" hidden="0" customWidth="1"/>
    <x:col min="10" max="10" width="67" hidden="0" customWidth="1"/>
    <x:col min="11" max="11" width="19" hidden="0" customWidth="1"/>
    <x:col min="12" max="12" width="31" hidden="0" customWidth="1"/>
    <x:col min="13" max="13" width="16" hidden="0" customWidth="1"/>
    <x:col min="14" max="14" width="14" hidden="0" customWidth="1"/>
    <x:col min="15" max="15" width="12" hidden="0" customWidth="1"/>
    <x:col min="16" max="16" width="14" hidden="0" customWidth="1"/>
  </x:cols>
  <x:sheetData>
    <x:row r="1" ht="35" customHeight="1">
      <x:c r="A1" s="6" t="str">
        <x:v>TRAZABILIDAD · identidad de entradas</x:v>
      </x:c>
      <x:c r="B1" s="6"/>
      <x:c r="C1" s="6"/>
      <x:c r="D1" s="6"/>
      <x:c r="E1" s="6"/>
      <x:c r="F1" s="6"/>
      <x:c r="G1" s="6"/>
      <x:c r="H1" s="6"/>
      <x:c r="I1" s="6"/>
      <x:c r="J1" s="6"/>
      <x:c r="K1" s="6"/>
      <x:c r="L1" s="6"/>
      <x:c r="M1" s="6"/>
      <x:c r="N1" s="6"/>
      <x:c r="O1" s="6"/>
      <x:c r="P1" s="6"/>
    </x:row>
    <x:row r="2" ht="52" customHeight="1">
      <x:c r="A2" s="8" t="str">
        <x:v>244 entradas. En NICE: objeto JSON original. En complementos: rótulo exacto rastreado en texto extraído, distinto de la síntesis y del documento entero.</x:v>
      </x:c>
      <x:c r="B2" s="8"/>
      <x:c r="C2" s="8"/>
      <x:c r="D2" s="8"/>
      <x:c r="E2" s="8"/>
      <x:c r="F2" s="8"/>
      <x:c r="G2" s="8"/>
      <x:c r="H2" s="8"/>
      <x:c r="I2" s="8"/>
      <x:c r="J2" s="8"/>
      <x:c r="K2" s="8"/>
      <x:c r="L2" s="8"/>
      <x:c r="M2" s="8"/>
      <x:c r="N2" s="8"/>
      <x:c r="O2" s="8"/>
      <x:c r="P2" s="8"/>
    </x:row>
    <x:row r="3">
      <x:c r="A3" s="4"/>
      <x:c r="B3" s="4"/>
      <x:c r="C3" s="4"/>
      <x:c r="D3" s="4"/>
      <x:c r="E3" s="4"/>
      <x:c r="F3" s="4"/>
      <x:c r="G3" s="4"/>
      <x:c r="H3" s="4"/>
      <x:c r="I3" s="4"/>
      <x:c r="J3" s="4"/>
      <x:c r="K3" s="4"/>
      <x:c r="L3" s="4"/>
      <x:c r="M3" s="4"/>
      <x:c r="N3" s="4"/>
      <x:c r="O3" s="4"/>
      <x:c r="P3" s="4"/>
    </x:row>
    <x:row r="4" ht="42" customHeight="1">
      <x:c r="A4" s="10" t="str">
        <x:v>Entrada</x:v>
      </x:c>
      <x:c r="B4" s="10" t="str">
        <x:v>Fuente</x:v>
      </x:c>
      <x:c r="C4" s="10" t="str">
        <x:v>Captura</x:v>
      </x:c>
      <x:c r="D4" s="10" t="str">
        <x:v>Identidad externa / localizador</x:v>
      </x:c>
      <x:c r="E4" s="10" t="str">
        <x:v>Edición o instantánea</x:v>
      </x:c>
      <x:c r="F4" s="10" t="str">
        <x:v>Localización rastreada</x:v>
      </x:c>
      <x:c r="G4" s="10" t="str">
        <x:v>Tipo de extracción</x:v>
      </x:c>
      <x:c r="H4" s="10" t="str">
        <x:v>Offset UTF-8 (texto)</x:v>
      </x:c>
      <x:c r="I4" s="10" t="str">
        <x:v>Longitud bytes (texto)</x:v>
      </x:c>
      <x:c r="J4" s="10" t="str">
        <x:v>SHA-256 del objeto o fragmento</x:v>
      </x:c>
      <x:c r="K4" s="10" t="str">
        <x:v>Fecha de consulta</x:v>
      </x:c>
      <x:c r="L4" s="10" t="str">
        <x:v>Fecha de adopción</x:v>
      </x:c>
      <x:c r="M4" s="10" t="str">
        <x:v>Huella defectuosa</x:v>
      </x:c>
      <x:c r="N4" s="10" t="str">
        <x:v>Entrada ausente</x:v>
      </x:c>
      <x:c r="O4" s="10" t="str">
        <x:v>Duplicado</x:v>
      </x:c>
      <x:c r="P4" s="10" t="str">
        <x:v>Captura ausente</x:v>
      </x:c>
    </x:row>
    <x:row r="5" ht="47" customHeight="1">
      <x:c r="A5" s="4" t="str">
        <x:v>DD-WRL-001</x:v>
      </x:c>
      <x:c r="B5" s="4" t="str">
        <x:v>F001</x:v>
      </x:c>
      <x:c r="C5" s="4" t="str">
        <x:v>F001</x:v>
      </x:c>
      <x:c r="D5" s="4" t="str">
        <x:v>DD-WRL-001</x:v>
      </x:c>
      <x:c r="E5" s="4" t="str">
        <x:v>2.2.0</x:v>
      </x:c>
      <x:c r="F5" s="4" t="str">
        <x:v>elements / DD-WRL-001</x:v>
      </x:c>
      <x:c r="G5" s="4" t="str">
        <x:v>JSON_ORIGINAL_UTF8</x:v>
      </x:c>
      <x:c r="H5" s="4" t="str">
        <x:v>24719</x:v>
      </x:c>
      <x:c r="I5" s="4" t="str">
        <x:v>505</x:v>
      </x:c>
      <x:c r="J5" s="4" t="str">
        <x:v>12c0320b407301ec68d3628f0cc63d4dc67bb467436b80f2b769e35343af98b2</x:v>
      </x:c>
      <x:c r="K5" s="4" t="str">
        <x:v>2026-09-08</x:v>
      </x:c>
      <x:c r="L5" s="4" t="str">
        <x:v>SIN_FECHA_DE_ADOPCION</x:v>
      </x:c>
      <x:c r="M5" s="12" t="n">
        <x:f>IF(LEN(J5)=64,0,1)</x:f>
        <x:v>0</x:v>
      </x:c>
      <x:c r="N5" s="12" t="n">
        <x:f>IF(COUNTIF('03_NICE'!$A$5:$A$57,A5)+COUNTIF('04_TKS'!$A$5:$A$72,A5)+COUNTIF('05_Complementos'!$A$5:$A$127,A5)=1,0,1)</x:f>
        <x:v>0</x:v>
      </x:c>
      <x:c r="O5" s="12" t="n">
        <x:f>COUNTIF('08_Trazas'!$A$5:$A$248,A5)-1</x:f>
        <x:v>0</x:v>
      </x:c>
      <x:c r="P5" s="12" t="n">
        <x:f>IF(COUNTIF('02_Custodia'!$A$5:$A$53,C5)=1,0,1)</x:f>
        <x:v>0</x:v>
      </x:c>
    </x:row>
    <x:row r="6" ht="47" customHeight="1">
      <x:c r="A6" s="4" t="str">
        <x:v>DD-WRL-002</x:v>
      </x:c>
      <x:c r="B6" s="4" t="str">
        <x:v>F001</x:v>
      </x:c>
      <x:c r="C6" s="4" t="str">
        <x:v>F001</x:v>
      </x:c>
      <x:c r="D6" s="4" t="str">
        <x:v>DD-WRL-002</x:v>
      </x:c>
      <x:c r="E6" s="4" t="str">
        <x:v>2.2.0</x:v>
      </x:c>
      <x:c r="F6" s="4" t="str">
        <x:v>elements / DD-WRL-002</x:v>
      </x:c>
      <x:c r="G6" s="4" t="str">
        <x:v>JSON_ORIGINAL_UTF8</x:v>
      </x:c>
      <x:c r="H6" s="4" t="str">
        <x:v>28307</x:v>
      </x:c>
      <x:c r="I6" s="4" t="str">
        <x:v>437</x:v>
      </x:c>
      <x:c r="J6" s="4" t="str">
        <x:v>c688b31491ab89ce4510cbfd34bf0b494d82f55851711a85853dbac47da54b3e</x:v>
      </x:c>
      <x:c r="K6" s="4" t="str">
        <x:v>2026-09-08</x:v>
      </x:c>
      <x:c r="L6" s="4" t="str">
        <x:v>SIN_FECHA_DE_ADOPCION</x:v>
      </x:c>
      <x:c r="M6" s="12" t="n">
        <x:f>IF(LEN(J6)=64,0,1)</x:f>
        <x:v>0</x:v>
      </x:c>
      <x:c r="N6" s="12" t="n">
        <x:f>IF(COUNTIF('03_NICE'!$A$5:$A$57,A6)+COUNTIF('04_TKS'!$A$5:$A$72,A6)+COUNTIF('05_Complementos'!$A$5:$A$127,A6)=1,0,1)</x:f>
        <x:v>0</x:v>
      </x:c>
      <x:c r="O6" s="12" t="n">
        <x:f>COUNTIF('08_Trazas'!$A$5:$A$248,A6)-1</x:f>
        <x:v>0</x:v>
      </x:c>
      <x:c r="P6" s="12" t="n">
        <x:f>IF(COUNTIF('02_Custodia'!$A$5:$A$53,C6)=1,0,1)</x:f>
        <x:v>0</x:v>
      </x:c>
    </x:row>
    <x:row r="7" ht="47" customHeight="1">
      <x:c r="A7" s="4" t="str">
        <x:v>DD-WRL-003</x:v>
      </x:c>
      <x:c r="B7" s="4" t="str">
        <x:v>F001</x:v>
      </x:c>
      <x:c r="C7" s="4" t="str">
        <x:v>F001</x:v>
      </x:c>
      <x:c r="D7" s="4" t="str">
        <x:v>DD-WRL-003</x:v>
      </x:c>
      <x:c r="E7" s="4" t="str">
        <x:v>2.2.0</x:v>
      </x:c>
      <x:c r="F7" s="4" t="str">
        <x:v>elements / DD-WRL-003</x:v>
      </x:c>
      <x:c r="G7" s="4" t="str">
        <x:v>JSON_ORIGINAL_UTF8</x:v>
      </x:c>
      <x:c r="H7" s="4" t="str">
        <x:v>25234</x:v>
      </x:c>
      <x:c r="I7" s="4" t="str">
        <x:v>355</x:v>
      </x:c>
      <x:c r="J7" s="4" t="str">
        <x:v>352c4f00f2200e765f74b7f03863d2287629a60d25a46cc3ab4ca6c8ab77d8d3</x:v>
      </x:c>
      <x:c r="K7" s="4" t="str">
        <x:v>2026-09-08</x:v>
      </x:c>
      <x:c r="L7" s="4" t="str">
        <x:v>SIN_FECHA_DE_ADOPCION</x:v>
      </x:c>
      <x:c r="M7" s="12" t="n">
        <x:f>IF(LEN(J7)=64,0,1)</x:f>
        <x:v>0</x:v>
      </x:c>
      <x:c r="N7" s="12" t="n">
        <x:f>IF(COUNTIF('03_NICE'!$A$5:$A$57,A7)+COUNTIF('04_TKS'!$A$5:$A$72,A7)+COUNTIF('05_Complementos'!$A$5:$A$127,A7)=1,0,1)</x:f>
        <x:v>0</x:v>
      </x:c>
      <x:c r="O7" s="12" t="n">
        <x:f>COUNTIF('08_Trazas'!$A$5:$A$248,A7)-1</x:f>
        <x:v>0</x:v>
      </x:c>
      <x:c r="P7" s="12" t="n">
        <x:f>IF(COUNTIF('02_Custodia'!$A$5:$A$53,C7)=1,0,1)</x:f>
        <x:v>0</x:v>
      </x:c>
    </x:row>
    <x:row r="8" ht="47" customHeight="1">
      <x:c r="A8" s="4" t="str">
        <x:v>DD-WRL-004</x:v>
      </x:c>
      <x:c r="B8" s="4" t="str">
        <x:v>F001</x:v>
      </x:c>
      <x:c r="C8" s="4" t="str">
        <x:v>F001</x:v>
      </x:c>
      <x:c r="D8" s="4" t="str">
        <x:v>DD-WRL-004</x:v>
      </x:c>
      <x:c r="E8" s="4" t="str">
        <x:v>2.2.0</x:v>
      </x:c>
      <x:c r="F8" s="4" t="str">
        <x:v>elements / DD-WRL-004</x:v>
      </x:c>
      <x:c r="G8" s="4" t="str">
        <x:v>JSON_ORIGINAL_UTF8</x:v>
      </x:c>
      <x:c r="H8" s="4" t="str">
        <x:v>27918</x:v>
      </x:c>
      <x:c r="I8" s="4" t="str">
        <x:v>379</x:v>
      </x:c>
      <x:c r="J8" s="4" t="str">
        <x:v>3400279fc222586aa6df59ce8d8258bb5bf2fb5b06f5115f2acde9d157dde4f8</x:v>
      </x:c>
      <x:c r="K8" s="4" t="str">
        <x:v>2026-09-08</x:v>
      </x:c>
      <x:c r="L8" s="4" t="str">
        <x:v>SIN_FECHA_DE_ADOPCION</x:v>
      </x:c>
      <x:c r="M8" s="12" t="n">
        <x:f>IF(LEN(J8)=64,0,1)</x:f>
        <x:v>0</x:v>
      </x:c>
      <x:c r="N8" s="12" t="n">
        <x:f>IF(COUNTIF('03_NICE'!$A$5:$A$57,A8)+COUNTIF('04_TKS'!$A$5:$A$72,A8)+COUNTIF('05_Complementos'!$A$5:$A$127,A8)=1,0,1)</x:f>
        <x:v>0</x:v>
      </x:c>
      <x:c r="O8" s="12" t="n">
        <x:f>COUNTIF('08_Trazas'!$A$5:$A$248,A8)-1</x:f>
        <x:v>0</x:v>
      </x:c>
      <x:c r="P8" s="12" t="n">
        <x:f>IF(COUNTIF('02_Custodia'!$A$5:$A$53,C8)=1,0,1)</x:f>
        <x:v>0</x:v>
      </x:c>
    </x:row>
    <x:row r="9" ht="47" customHeight="1">
      <x:c r="A9" s="4" t="str">
        <x:v>DD-WRL-005</x:v>
      </x:c>
      <x:c r="B9" s="4" t="str">
        <x:v>F001</x:v>
      </x:c>
      <x:c r="C9" s="4" t="str">
        <x:v>F001</x:v>
      </x:c>
      <x:c r="D9" s="4" t="str">
        <x:v>DD-WRL-005</x:v>
      </x:c>
      <x:c r="E9" s="4" t="str">
        <x:v>2.2.0</x:v>
      </x:c>
      <x:c r="F9" s="4" t="str">
        <x:v>elements / DD-WRL-005</x:v>
      </x:c>
      <x:c r="G9" s="4" t="str">
        <x:v>JSON_ORIGINAL_UTF8</x:v>
      </x:c>
      <x:c r="H9" s="4" t="str">
        <x:v>27525</x:v>
      </x:c>
      <x:c r="I9" s="4" t="str">
        <x:v>383</x:v>
      </x:c>
      <x:c r="J9" s="4" t="str">
        <x:v>5a28e7b71866daeb48e5cd5c7efc21bc0af31c9416894911614e8f7edb8ca6b7</x:v>
      </x:c>
      <x:c r="K9" s="4" t="str">
        <x:v>2026-09-08</x:v>
      </x:c>
      <x:c r="L9" s="4" t="str">
        <x:v>SIN_FECHA_DE_ADOPCION</x:v>
      </x:c>
      <x:c r="M9" s="12" t="n">
        <x:f>IF(LEN(J9)=64,0,1)</x:f>
        <x:v>0</x:v>
      </x:c>
      <x:c r="N9" s="12" t="n">
        <x:f>IF(COUNTIF('03_NICE'!$A$5:$A$57,A9)+COUNTIF('04_TKS'!$A$5:$A$72,A9)+COUNTIF('05_Complementos'!$A$5:$A$127,A9)=1,0,1)</x:f>
        <x:v>0</x:v>
      </x:c>
      <x:c r="O9" s="12" t="n">
        <x:f>COUNTIF('08_Trazas'!$A$5:$A$248,A9)-1</x:f>
        <x:v>0</x:v>
      </x:c>
      <x:c r="P9" s="12" t="n">
        <x:f>IF(COUNTIF('02_Custodia'!$A$5:$A$53,C9)=1,0,1)</x:f>
        <x:v>0</x:v>
      </x:c>
    </x:row>
    <x:row r="10" ht="47" customHeight="1">
      <x:c r="A10" s="4" t="str">
        <x:v>DD-WRL-006</x:v>
      </x:c>
      <x:c r="B10" s="4" t="str">
        <x:v>F001</x:v>
      </x:c>
      <x:c r="C10" s="4" t="str">
        <x:v>F001</x:v>
      </x:c>
      <x:c r="D10" s="4" t="str">
        <x:v>DD-WRL-006</x:v>
      </x:c>
      <x:c r="E10" s="4" t="str">
        <x:v>2.2.0</x:v>
      </x:c>
      <x:c r="F10" s="4" t="str">
        <x:v>elements / DD-WRL-006</x:v>
      </x:c>
      <x:c r="G10" s="4" t="str">
        <x:v>JSON_ORIGINAL_UTF8</x:v>
      </x:c>
      <x:c r="H10" s="4" t="str">
        <x:v>24309</x:v>
      </x:c>
      <x:c r="I10" s="4" t="str">
        <x:v>400</x:v>
      </x:c>
      <x:c r="J10" s="4" t="str">
        <x:v>ab378dbae707713d66cc7f4b714821238b78052f53d5db0f39be0051259bfc83</x:v>
      </x:c>
      <x:c r="K10" s="4" t="str">
        <x:v>2026-09-08</x:v>
      </x:c>
      <x:c r="L10" s="4" t="str">
        <x:v>SIN_FECHA_DE_ADOPCION</x:v>
      </x:c>
      <x:c r="M10" s="12" t="n">
        <x:f>IF(LEN(J10)=64,0,1)</x:f>
        <x:v>0</x:v>
      </x:c>
      <x:c r="N10" s="12" t="n">
        <x:f>IF(COUNTIF('03_NICE'!$A$5:$A$57,A10)+COUNTIF('04_TKS'!$A$5:$A$72,A10)+COUNTIF('05_Complementos'!$A$5:$A$127,A10)=1,0,1)</x:f>
        <x:v>0</x:v>
      </x:c>
      <x:c r="O10" s="12" t="n">
        <x:f>COUNTIF('08_Trazas'!$A$5:$A$248,A10)-1</x:f>
        <x:v>0</x:v>
      </x:c>
      <x:c r="P10" s="12" t="n">
        <x:f>IF(COUNTIF('02_Custodia'!$A$5:$A$53,C10)=1,0,1)</x:f>
        <x:v>0</x:v>
      </x:c>
    </x:row>
    <x:row r="11" ht="47" customHeight="1">
      <x:c r="A11" s="4" t="str">
        <x:v>DD-WRL-007</x:v>
      </x:c>
      <x:c r="B11" s="4" t="str">
        <x:v>F001</x:v>
      </x:c>
      <x:c r="C11" s="4" t="str">
        <x:v>F001</x:v>
      </x:c>
      <x:c r="D11" s="4" t="str">
        <x:v>DD-WRL-007</x:v>
      </x:c>
      <x:c r="E11" s="4" t="str">
        <x:v>2.2.0</x:v>
      </x:c>
      <x:c r="F11" s="4" t="str">
        <x:v>elements / DD-WRL-007</x:v>
      </x:c>
      <x:c r="G11" s="4" t="str">
        <x:v>JSON_ORIGINAL_UTF8</x:v>
      </x:c>
      <x:c r="H11" s="4" t="str">
        <x:v>25599</x:v>
      </x:c>
      <x:c r="I11" s="4" t="str">
        <x:v>398</x:v>
      </x:c>
      <x:c r="J11" s="4" t="str">
        <x:v>c80c4df1de71329885e77e6f4860acb8fcb03fc062b4258d5bd4c0b242b43d97</x:v>
      </x:c>
      <x:c r="K11" s="4" t="str">
        <x:v>2026-09-08</x:v>
      </x:c>
      <x:c r="L11" s="4" t="str">
        <x:v>SIN_FECHA_DE_ADOPCION</x:v>
      </x:c>
      <x:c r="M11" s="12" t="n">
        <x:f>IF(LEN(J11)=64,0,1)</x:f>
        <x:v>0</x:v>
      </x:c>
      <x:c r="N11" s="12" t="n">
        <x:f>IF(COUNTIF('03_NICE'!$A$5:$A$57,A11)+COUNTIF('04_TKS'!$A$5:$A$72,A11)+COUNTIF('05_Complementos'!$A$5:$A$127,A11)=1,0,1)</x:f>
        <x:v>0</x:v>
      </x:c>
      <x:c r="O11" s="12" t="n">
        <x:f>COUNTIF('08_Trazas'!$A$5:$A$248,A11)-1</x:f>
        <x:v>0</x:v>
      </x:c>
      <x:c r="P11" s="12" t="n">
        <x:f>IF(COUNTIF('02_Custodia'!$A$5:$A$53,C11)=1,0,1)</x:f>
        <x:v>0</x:v>
      </x:c>
    </x:row>
    <x:row r="12" ht="47" customHeight="1">
      <x:c r="A12" s="4" t="str">
        <x:v>DD-WRL-008</x:v>
      </x:c>
      <x:c r="B12" s="4" t="str">
        <x:v>F001</x:v>
      </x:c>
      <x:c r="C12" s="4" t="str">
        <x:v>F001</x:v>
      </x:c>
      <x:c r="D12" s="4" t="str">
        <x:v>DD-WRL-008</x:v>
      </x:c>
      <x:c r="E12" s="4" t="str">
        <x:v>2.2.0</x:v>
      </x:c>
      <x:c r="F12" s="4" t="str">
        <x:v>elements / DD-WRL-008</x:v>
      </x:c>
      <x:c r="G12" s="4" t="str">
        <x:v>JSON_ORIGINAL_UTF8</x:v>
      </x:c>
      <x:c r="H12" s="4" t="str">
        <x:v>26636</x:v>
      </x:c>
      <x:c r="I12" s="4" t="str">
        <x:v>491</x:v>
      </x:c>
      <x:c r="J12" s="4" t="str">
        <x:v>5cedb4be880e3b15b02af572ef76ab509ca3d32c4451f7cf8de760d496c71444</x:v>
      </x:c>
      <x:c r="K12" s="4" t="str">
        <x:v>2026-09-08</x:v>
      </x:c>
      <x:c r="L12" s="4" t="str">
        <x:v>SIN_FECHA_DE_ADOPCION</x:v>
      </x:c>
      <x:c r="M12" s="12" t="n">
        <x:f>IF(LEN(J12)=64,0,1)</x:f>
        <x:v>0</x:v>
      </x:c>
      <x:c r="N12" s="12" t="n">
        <x:f>IF(COUNTIF('03_NICE'!$A$5:$A$57,A12)+COUNTIF('04_TKS'!$A$5:$A$72,A12)+COUNTIF('05_Complementos'!$A$5:$A$127,A12)=1,0,1)</x:f>
        <x:v>0</x:v>
      </x:c>
      <x:c r="O12" s="12" t="n">
        <x:f>COUNTIF('08_Trazas'!$A$5:$A$248,A12)-1</x:f>
        <x:v>0</x:v>
      </x:c>
      <x:c r="P12" s="12" t="n">
        <x:f>IF(COUNTIF('02_Custodia'!$A$5:$A$53,C12)=1,0,1)</x:f>
        <x:v>0</x:v>
      </x:c>
    </x:row>
    <x:row r="13" ht="47" customHeight="1">
      <x:c r="A13" s="4" t="str">
        <x:v>DD-WRL-009</x:v>
      </x:c>
      <x:c r="B13" s="4" t="str">
        <x:v>F001</x:v>
      </x:c>
      <x:c r="C13" s="4" t="str">
        <x:v>F001</x:v>
      </x:c>
      <x:c r="D13" s="4" t="str">
        <x:v>DD-WRL-009</x:v>
      </x:c>
      <x:c r="E13" s="4" t="str">
        <x:v>2.2.0</x:v>
      </x:c>
      <x:c r="F13" s="4" t="str">
        <x:v>elements / DD-WRL-009</x:v>
      </x:c>
      <x:c r="G13" s="4" t="str">
        <x:v>JSON_ORIGINAL_UTF8</x:v>
      </x:c>
      <x:c r="H13" s="4" t="str">
        <x:v>26007</x:v>
      </x:c>
      <x:c r="I13" s="4" t="str">
        <x:v>619</x:v>
      </x:c>
      <x:c r="J13" s="4" t="str">
        <x:v>f47b71c73c3e59df521a6ef136caeca3adfabefdf4dce83f2e16538b950a76f2</x:v>
      </x:c>
      <x:c r="K13" s="4" t="str">
        <x:v>2026-09-08</x:v>
      </x:c>
      <x:c r="L13" s="4" t="str">
        <x:v>SIN_FECHA_DE_ADOPCION</x:v>
      </x:c>
      <x:c r="M13" s="12" t="n">
        <x:f>IF(LEN(J13)=64,0,1)</x:f>
        <x:v>0</x:v>
      </x:c>
      <x:c r="N13" s="12" t="n">
        <x:f>IF(COUNTIF('03_NICE'!$A$5:$A$57,A13)+COUNTIF('04_TKS'!$A$5:$A$72,A13)+COUNTIF('05_Complementos'!$A$5:$A$127,A13)=1,0,1)</x:f>
        <x:v>0</x:v>
      </x:c>
      <x:c r="O13" s="12" t="n">
        <x:f>COUNTIF('08_Trazas'!$A$5:$A$248,A13)-1</x:f>
        <x:v>0</x:v>
      </x:c>
      <x:c r="P13" s="12" t="n">
        <x:f>IF(COUNTIF('02_Custodia'!$A$5:$A$53,C13)=1,0,1)</x:f>
        <x:v>0</x:v>
      </x:c>
    </x:row>
    <x:row r="14" ht="47" customHeight="1">
      <x:c r="A14" s="4" t="str">
        <x:v>IN-WRL-001</x:v>
      </x:c>
      <x:c r="B14" s="4" t="str">
        <x:v>F001</x:v>
      </x:c>
      <x:c r="C14" s="4" t="str">
        <x:v>F001</x:v>
      </x:c>
      <x:c r="D14" s="4" t="str">
        <x:v>IN-WRL-001</x:v>
      </x:c>
      <x:c r="E14" s="4" t="str">
        <x:v>2.2.0</x:v>
      </x:c>
      <x:c r="F14" s="4" t="str">
        <x:v>elements / IN-WRL-001</x:v>
      </x:c>
      <x:c r="G14" s="4" t="str">
        <x:v>JSON_ORIGINAL_UTF8</x:v>
      </x:c>
      <x:c r="H14" s="4" t="str">
        <x:v>17624</x:v>
      </x:c>
      <x:c r="I14" s="4" t="str">
        <x:v>478</x:v>
      </x:c>
      <x:c r="J14" s="4" t="str">
        <x:v>efc7c472d89c663a43c238a8b1256d22e11a4656231364a0c6d9ab0892986335</x:v>
      </x:c>
      <x:c r="K14" s="4" t="str">
        <x:v>2026-09-08</x:v>
      </x:c>
      <x:c r="L14" s="4" t="str">
        <x:v>SIN_FECHA_DE_ADOPCION</x:v>
      </x:c>
      <x:c r="M14" s="12" t="n">
        <x:f>IF(LEN(J14)=64,0,1)</x:f>
        <x:v>0</x:v>
      </x:c>
      <x:c r="N14" s="12" t="n">
        <x:f>IF(COUNTIF('03_NICE'!$A$5:$A$57,A14)+COUNTIF('04_TKS'!$A$5:$A$72,A14)+COUNTIF('05_Complementos'!$A$5:$A$127,A14)=1,0,1)</x:f>
        <x:v>0</x:v>
      </x:c>
      <x:c r="O14" s="12" t="n">
        <x:f>COUNTIF('08_Trazas'!$A$5:$A$248,A14)-1</x:f>
        <x:v>0</x:v>
      </x:c>
      <x:c r="P14" s="12" t="n">
        <x:f>IF(COUNTIF('02_Custodia'!$A$5:$A$53,C14)=1,0,1)</x:f>
        <x:v>0</x:v>
      </x:c>
    </x:row>
    <x:row r="15" ht="47" customHeight="1">
      <x:c r="A15" s="4" t="str">
        <x:v>IN-WRL-002</x:v>
      </x:c>
      <x:c r="B15" s="4" t="str">
        <x:v>F001</x:v>
      </x:c>
      <x:c r="C15" s="4" t="str">
        <x:v>F001</x:v>
      </x:c>
      <x:c r="D15" s="4" t="str">
        <x:v>IN-WRL-002</x:v>
      </x:c>
      <x:c r="E15" s="4" t="str">
        <x:v>2.2.0</x:v>
      </x:c>
      <x:c r="F15" s="4" t="str">
        <x:v>elements / IN-WRL-002</x:v>
      </x:c>
      <x:c r="G15" s="4" t="str">
        <x:v>JSON_ORIGINAL_UTF8</x:v>
      </x:c>
      <x:c r="H15" s="4" t="str">
        <x:v>21889</x:v>
      </x:c>
      <x:c r="I15" s="4" t="str">
        <x:v>379</x:v>
      </x:c>
      <x:c r="J15" s="4" t="str">
        <x:v>8c88c9619e24aa449d7ab1d87a98e33b3b38309b2bdd83fe6842c24df685efdc</x:v>
      </x:c>
      <x:c r="K15" s="4" t="str">
        <x:v>2026-09-08</x:v>
      </x:c>
      <x:c r="L15" s="4" t="str">
        <x:v>SIN_FECHA_DE_ADOPCION</x:v>
      </x:c>
      <x:c r="M15" s="12" t="n">
        <x:f>IF(LEN(J15)=64,0,1)</x:f>
        <x:v>0</x:v>
      </x:c>
      <x:c r="N15" s="12" t="n">
        <x:f>IF(COUNTIF('03_NICE'!$A$5:$A$57,A15)+COUNTIF('04_TKS'!$A$5:$A$72,A15)+COUNTIF('05_Complementos'!$A$5:$A$127,A15)=1,0,1)</x:f>
        <x:v>0</x:v>
      </x:c>
      <x:c r="O15" s="12" t="n">
        <x:f>COUNTIF('08_Trazas'!$A$5:$A$248,A15)-1</x:f>
        <x:v>0</x:v>
      </x:c>
      <x:c r="P15" s="12" t="n">
        <x:f>IF(COUNTIF('02_Custodia'!$A$5:$A$53,C15)=1,0,1)</x:f>
        <x:v>0</x:v>
      </x:c>
    </x:row>
    <x:row r="16" ht="47" customHeight="1">
      <x:c r="A16" s="4" t="str">
        <x:v>IO-WRL-001</x:v>
      </x:c>
      <x:c r="B16" s="4" t="str">
        <x:v>F001</x:v>
      </x:c>
      <x:c r="C16" s="4" t="str">
        <x:v>F001</x:v>
      </x:c>
      <x:c r="D16" s="4" t="str">
        <x:v>IO-WRL-001</x:v>
      </x:c>
      <x:c r="E16" s="4" t="str">
        <x:v>2.2.0</x:v>
      </x:c>
      <x:c r="F16" s="4" t="str">
        <x:v>elements / IO-WRL-001</x:v>
      </x:c>
      <x:c r="G16" s="4" t="str">
        <x:v>JSON_ORIGINAL_UTF8</x:v>
      </x:c>
      <x:c r="H16" s="4" t="str">
        <x:v>18112</x:v>
      </x:c>
      <x:c r="I16" s="4" t="str">
        <x:v>488</x:v>
      </x:c>
      <x:c r="J16" s="4" t="str">
        <x:v>d8d85a1dbaa6cfd445570186d0d666638b807bf2711bdd1768ad7a30a47c9f60</x:v>
      </x:c>
      <x:c r="K16" s="4" t="str">
        <x:v>2026-09-08</x:v>
      </x:c>
      <x:c r="L16" s="4" t="str">
        <x:v>SIN_FECHA_DE_ADOPCION</x:v>
      </x:c>
      <x:c r="M16" s="12" t="n">
        <x:f>IF(LEN(J16)=64,0,1)</x:f>
        <x:v>0</x:v>
      </x:c>
      <x:c r="N16" s="12" t="n">
        <x:f>IF(COUNTIF('03_NICE'!$A$5:$A$57,A16)+COUNTIF('04_TKS'!$A$5:$A$72,A16)+COUNTIF('05_Complementos'!$A$5:$A$127,A16)=1,0,1)</x:f>
        <x:v>0</x:v>
      </x:c>
      <x:c r="O16" s="12" t="n">
        <x:f>COUNTIF('08_Trazas'!$A$5:$A$248,A16)-1</x:f>
        <x:v>0</x:v>
      </x:c>
      <x:c r="P16" s="12" t="n">
        <x:f>IF(COUNTIF('02_Custodia'!$A$5:$A$53,C16)=1,0,1)</x:f>
        <x:v>0</x:v>
      </x:c>
    </x:row>
    <x:row r="17" ht="47" customHeight="1">
      <x:c r="A17" s="4" t="str">
        <x:v>IO-WRL-002</x:v>
      </x:c>
      <x:c r="B17" s="4" t="str">
        <x:v>F001</x:v>
      </x:c>
      <x:c r="C17" s="4" t="str">
        <x:v>F001</x:v>
      </x:c>
      <x:c r="D17" s="4" t="str">
        <x:v>IO-WRL-002</x:v>
      </x:c>
      <x:c r="E17" s="4" t="str">
        <x:v>2.2.0</x:v>
      </x:c>
      <x:c r="F17" s="4" t="str">
        <x:v>elements / IO-WRL-002</x:v>
      </x:c>
      <x:c r="G17" s="4" t="str">
        <x:v>JSON_ORIGINAL_UTF8</x:v>
      </x:c>
      <x:c r="H17" s="4" t="str">
        <x:v>21512</x:v>
      </x:c>
      <x:c r="I17" s="4" t="str">
        <x:v>367</x:v>
      </x:c>
      <x:c r="J17" s="4" t="str">
        <x:v>e9d335fe67e6e7b64899e2525b7756f559ffc62ef379f0cf259189ae6c2e4542</x:v>
      </x:c>
      <x:c r="K17" s="4" t="str">
        <x:v>2026-09-08</x:v>
      </x:c>
      <x:c r="L17" s="4" t="str">
        <x:v>SIN_FECHA_DE_ADOPCION</x:v>
      </x:c>
      <x:c r="M17" s="12" t="n">
        <x:f>IF(LEN(J17)=64,0,1)</x:f>
        <x:v>0</x:v>
      </x:c>
      <x:c r="N17" s="12" t="n">
        <x:f>IF(COUNTIF('03_NICE'!$A$5:$A$57,A17)+COUNTIF('04_TKS'!$A$5:$A$72,A17)+COUNTIF('05_Complementos'!$A$5:$A$127,A17)=1,0,1)</x:f>
        <x:v>0</x:v>
      </x:c>
      <x:c r="O17" s="12" t="n">
        <x:f>COUNTIF('08_Trazas'!$A$5:$A$248,A17)-1</x:f>
        <x:v>0</x:v>
      </x:c>
      <x:c r="P17" s="12" t="n">
        <x:f>IF(COUNTIF('02_Custodia'!$A$5:$A$53,C17)=1,0,1)</x:f>
        <x:v>0</x:v>
      </x:c>
    </x:row>
    <x:row r="18" ht="47" customHeight="1">
      <x:c r="A18" s="4" t="str">
        <x:v>IO-WRL-003</x:v>
      </x:c>
      <x:c r="B18" s="4" t="str">
        <x:v>F001</x:v>
      </x:c>
      <x:c r="C18" s="4" t="str">
        <x:v>F001</x:v>
      </x:c>
      <x:c r="D18" s="4" t="str">
        <x:v>IO-WRL-003</x:v>
      </x:c>
      <x:c r="E18" s="4" t="str">
        <x:v>2.2.0</x:v>
      </x:c>
      <x:c r="F18" s="4" t="str">
        <x:v>elements / IO-WRL-003</x:v>
      </x:c>
      <x:c r="G18" s="4" t="str">
        <x:v>JSON_ORIGINAL_UTF8</x:v>
      </x:c>
      <x:c r="H18" s="4" t="str">
        <x:v>20239</x:v>
      </x:c>
      <x:c r="I18" s="4" t="str">
        <x:v>359</x:v>
      </x:c>
      <x:c r="J18" s="4" t="str">
        <x:v>0dff0a8a5a637d33ccf84384abc3d9956b0f504433f16a1af32f2efd07d0bb7a</x:v>
      </x:c>
      <x:c r="K18" s="4" t="str">
        <x:v>2026-09-08</x:v>
      </x:c>
      <x:c r="L18" s="4" t="str">
        <x:v>SIN_FECHA_DE_ADOPCION</x:v>
      </x:c>
      <x:c r="M18" s="12" t="n">
        <x:f>IF(LEN(J18)=64,0,1)</x:f>
        <x:v>0</x:v>
      </x:c>
      <x:c r="N18" s="12" t="n">
        <x:f>IF(COUNTIF('03_NICE'!$A$5:$A$57,A18)+COUNTIF('04_TKS'!$A$5:$A$72,A18)+COUNTIF('05_Complementos'!$A$5:$A$127,A18)=1,0,1)</x:f>
        <x:v>0</x:v>
      </x:c>
      <x:c r="O18" s="12" t="n">
        <x:f>COUNTIF('08_Trazas'!$A$5:$A$248,A18)-1</x:f>
        <x:v>0</x:v>
      </x:c>
      <x:c r="P18" s="12" t="n">
        <x:f>IF(COUNTIF('02_Custodia'!$A$5:$A$53,C18)=1,0,1)</x:f>
        <x:v>0</x:v>
      </x:c>
    </x:row>
    <x:row r="19" ht="47" customHeight="1">
      <x:c r="A19" s="4" t="str">
        <x:v>IO-WRL-004</x:v>
      </x:c>
      <x:c r="B19" s="4" t="str">
        <x:v>F001</x:v>
      </x:c>
      <x:c r="C19" s="4" t="str">
        <x:v>F001</x:v>
      </x:c>
      <x:c r="D19" s="4" t="str">
        <x:v>IO-WRL-004</x:v>
      </x:c>
      <x:c r="E19" s="4" t="str">
        <x:v>2.2.0</x:v>
      </x:c>
      <x:c r="F19" s="4" t="str">
        <x:v>elements / IO-WRL-004</x:v>
      </x:c>
      <x:c r="G19" s="4" t="str">
        <x:v>JSON_ORIGINAL_UTF8</x:v>
      </x:c>
      <x:c r="H19" s="4" t="str">
        <x:v>21158</x:v>
      </x:c>
      <x:c r="I19" s="4" t="str">
        <x:v>344</x:v>
      </x:c>
      <x:c r="J19" s="4" t="str">
        <x:v>15337789f079fcde128fabf8e7f0457b844e2e3e9aad6d3f4eb781bfc235aff1</x:v>
      </x:c>
      <x:c r="K19" s="4" t="str">
        <x:v>2026-09-08</x:v>
      </x:c>
      <x:c r="L19" s="4" t="str">
        <x:v>SIN_FECHA_DE_ADOPCION</x:v>
      </x:c>
      <x:c r="M19" s="12" t="n">
        <x:f>IF(LEN(J19)=64,0,1)</x:f>
        <x:v>0</x:v>
      </x:c>
      <x:c r="N19" s="12" t="n">
        <x:f>IF(COUNTIF('03_NICE'!$A$5:$A$57,A19)+COUNTIF('04_TKS'!$A$5:$A$72,A19)+COUNTIF('05_Complementos'!$A$5:$A$127,A19)=1,0,1)</x:f>
        <x:v>0</x:v>
      </x:c>
      <x:c r="O19" s="12" t="n">
        <x:f>COUNTIF('08_Trazas'!$A$5:$A$248,A19)-1</x:f>
        <x:v>0</x:v>
      </x:c>
      <x:c r="P19" s="12" t="n">
        <x:f>IF(COUNTIF('02_Custodia'!$A$5:$A$53,C19)=1,0,1)</x:f>
        <x:v>0</x:v>
      </x:c>
    </x:row>
    <x:row r="20" ht="47" customHeight="1">
      <x:c r="A20" s="4" t="str">
        <x:v>IO-WRL-005</x:v>
      </x:c>
      <x:c r="B20" s="4" t="str">
        <x:v>F001</x:v>
      </x:c>
      <x:c r="C20" s="4" t="str">
        <x:v>F001</x:v>
      </x:c>
      <x:c r="D20" s="4" t="str">
        <x:v>IO-WRL-005</x:v>
      </x:c>
      <x:c r="E20" s="4" t="str">
        <x:v>2.2.0</x:v>
      </x:c>
      <x:c r="F20" s="4" t="str">
        <x:v>elements / IO-WRL-005</x:v>
      </x:c>
      <x:c r="G20" s="4" t="str">
        <x:v>JSON_ORIGINAL_UTF8</x:v>
      </x:c>
      <x:c r="H20" s="4" t="str">
        <x:v>20608</x:v>
      </x:c>
      <x:c r="I20" s="4" t="str">
        <x:v>540</x:v>
      </x:c>
      <x:c r="J20" s="4" t="str">
        <x:v>969c94de601c26dcd1875ce429d12367bf1b689b5c4341bc2a82647f529a7faf</x:v>
      </x:c>
      <x:c r="K20" s="4" t="str">
        <x:v>2026-09-08</x:v>
      </x:c>
      <x:c r="L20" s="4" t="str">
        <x:v>SIN_FECHA_DE_ADOPCION</x:v>
      </x:c>
      <x:c r="M20" s="12" t="n">
        <x:f>IF(LEN(J20)=64,0,1)</x:f>
        <x:v>0</x:v>
      </x:c>
      <x:c r="N20" s="12" t="n">
        <x:f>IF(COUNTIF('03_NICE'!$A$5:$A$57,A20)+COUNTIF('04_TKS'!$A$5:$A$72,A20)+COUNTIF('05_Complementos'!$A$5:$A$127,A20)=1,0,1)</x:f>
        <x:v>0</x:v>
      </x:c>
      <x:c r="O20" s="12" t="n">
        <x:f>COUNTIF('08_Trazas'!$A$5:$A$248,A20)-1</x:f>
        <x:v>0</x:v>
      </x:c>
      <x:c r="P20" s="12" t="n">
        <x:f>IF(COUNTIF('02_Custodia'!$A$5:$A$53,C20)=1,0,1)</x:f>
        <x:v>0</x:v>
      </x:c>
    </x:row>
    <x:row r="21" ht="47" customHeight="1">
      <x:c r="A21" s="4" t="str">
        <x:v>IO-WRL-006</x:v>
      </x:c>
      <x:c r="B21" s="4" t="str">
        <x:v>F001</x:v>
      </x:c>
      <x:c r="C21" s="4" t="str">
        <x:v>F001</x:v>
      </x:c>
      <x:c r="D21" s="4" t="str">
        <x:v>IO-WRL-006</x:v>
      </x:c>
      <x:c r="E21" s="4" t="str">
        <x:v>2.2.0</x:v>
      </x:c>
      <x:c r="F21" s="4" t="str">
        <x:v>elements / IO-WRL-006</x:v>
      </x:c>
      <x:c r="G21" s="4" t="str">
        <x:v>JSON_ORIGINAL_UTF8</x:v>
      </x:c>
      <x:c r="H21" s="4" t="str">
        <x:v>18610</x:v>
      </x:c>
      <x:c r="I21" s="4" t="str">
        <x:v>431</x:v>
      </x:c>
      <x:c r="J21" s="4" t="str">
        <x:v>d715331090d65abea1edfd26b80eb33f31876f16f14836d29c868030ed957f63</x:v>
      </x:c>
      <x:c r="K21" s="4" t="str">
        <x:v>2026-09-08</x:v>
      </x:c>
      <x:c r="L21" s="4" t="str">
        <x:v>SIN_FECHA_DE_ADOPCION</x:v>
      </x:c>
      <x:c r="M21" s="12" t="n">
        <x:f>IF(LEN(J21)=64,0,1)</x:f>
        <x:v>0</x:v>
      </x:c>
      <x:c r="N21" s="12" t="n">
        <x:f>IF(COUNTIF('03_NICE'!$A$5:$A$57,A21)+COUNTIF('04_TKS'!$A$5:$A$72,A21)+COUNTIF('05_Complementos'!$A$5:$A$127,A21)=1,0,1)</x:f>
        <x:v>0</x:v>
      </x:c>
      <x:c r="O21" s="12" t="n">
        <x:f>COUNTIF('08_Trazas'!$A$5:$A$248,A21)-1</x:f>
        <x:v>0</x:v>
      </x:c>
      <x:c r="P21" s="12" t="n">
        <x:f>IF(COUNTIF('02_Custodia'!$A$5:$A$53,C21)=1,0,1)</x:f>
        <x:v>0</x:v>
      </x:c>
    </x:row>
    <x:row r="22" ht="47" customHeight="1">
      <x:c r="A22" s="4" t="str">
        <x:v>IO-WRL-007</x:v>
      </x:c>
      <x:c r="B22" s="4" t="str">
        <x:v>F001</x:v>
      </x:c>
      <x:c r="C22" s="4" t="str">
        <x:v>F001</x:v>
      </x:c>
      <x:c r="D22" s="4" t="str">
        <x:v>IO-WRL-007</x:v>
      </x:c>
      <x:c r="E22" s="4" t="str">
        <x:v>2.2.0</x:v>
      </x:c>
      <x:c r="F22" s="4" t="str">
        <x:v>elements / IO-WRL-007</x:v>
      </x:c>
      <x:c r="G22" s="4" t="str">
        <x:v>JSON_ORIGINAL_UTF8</x:v>
      </x:c>
      <x:c r="H22" s="4" t="str">
        <x:v>17196</x:v>
      </x:c>
      <x:c r="I22" s="4" t="str">
        <x:v>418</x:v>
      </x:c>
      <x:c r="J22" s="4" t="str">
        <x:v>b31506784bac92197d61961228d9ce7d83895a0e9a3e783bd36deda4f6e70fd2</x:v>
      </x:c>
      <x:c r="K22" s="4" t="str">
        <x:v>2026-09-08</x:v>
      </x:c>
      <x:c r="L22" s="4" t="str">
        <x:v>SIN_FECHA_DE_ADOPCION</x:v>
      </x:c>
      <x:c r="M22" s="12" t="n">
        <x:f>IF(LEN(J22)=64,0,1)</x:f>
        <x:v>0</x:v>
      </x:c>
      <x:c r="N22" s="12" t="n">
        <x:f>IF(COUNTIF('03_NICE'!$A$5:$A$57,A22)+COUNTIF('04_TKS'!$A$5:$A$72,A22)+COUNTIF('05_Complementos'!$A$5:$A$127,A22)=1,0,1)</x:f>
        <x:v>0</x:v>
      </x:c>
      <x:c r="O22" s="12" t="n">
        <x:f>COUNTIF('08_Trazas'!$A$5:$A$248,A22)-1</x:f>
        <x:v>0</x:v>
      </x:c>
      <x:c r="P22" s="12" t="n">
        <x:f>IF(COUNTIF('02_Custodia'!$A$5:$A$53,C22)=1,0,1)</x:f>
        <x:v>0</x:v>
      </x:c>
    </x:row>
    <x:row r="23" ht="47" customHeight="1">
      <x:c r="A23" s="4" t="str">
        <x:v>OG-WRL-001</x:v>
      </x:c>
      <x:c r="B23" s="4" t="str">
        <x:v>F001</x:v>
      </x:c>
      <x:c r="C23" s="4" t="str">
        <x:v>F001</x:v>
      </x:c>
      <x:c r="D23" s="4" t="str">
        <x:v>OG-WRL-001</x:v>
      </x:c>
      <x:c r="E23" s="4" t="str">
        <x:v>2.2.0</x:v>
      </x:c>
      <x:c r="F23" s="4" t="str">
        <x:v>elements / OG-WRL-001</x:v>
      </x:c>
      <x:c r="G23" s="4" t="str">
        <x:v>JSON_ORIGINAL_UTF8</x:v>
      </x:c>
      <x:c r="H23" s="4" t="str">
        <x:v>13241</x:v>
      </x:c>
      <x:c r="I23" s="4" t="str">
        <x:v>332</x:v>
      </x:c>
      <x:c r="J23" s="4" t="str">
        <x:v>632b4a35b6b4fae58a5b9fba1e0f78fc9d80b4ef5d318cd12084ba554fb38b6a</x:v>
      </x:c>
      <x:c r="K23" s="4" t="str">
        <x:v>2026-09-08</x:v>
      </x:c>
      <x:c r="L23" s="4" t="str">
        <x:v>SIN_FECHA_DE_ADOPCION</x:v>
      </x:c>
      <x:c r="M23" s="12" t="n">
        <x:f>IF(LEN(J23)=64,0,1)</x:f>
        <x:v>0</x:v>
      </x:c>
      <x:c r="N23" s="12" t="n">
        <x:f>IF(COUNTIF('03_NICE'!$A$5:$A$57,A23)+COUNTIF('04_TKS'!$A$5:$A$72,A23)+COUNTIF('05_Complementos'!$A$5:$A$127,A23)=1,0,1)</x:f>
        <x:v>0</x:v>
      </x:c>
      <x:c r="O23" s="12" t="n">
        <x:f>COUNTIF('08_Trazas'!$A$5:$A$248,A23)-1</x:f>
        <x:v>0</x:v>
      </x:c>
      <x:c r="P23" s="12" t="n">
        <x:f>IF(COUNTIF('02_Custodia'!$A$5:$A$53,C23)=1,0,1)</x:f>
        <x:v>0</x:v>
      </x:c>
    </x:row>
    <x:row r="24" ht="47" customHeight="1">
      <x:c r="A24" s="4" t="str">
        <x:v>OG-WRL-002</x:v>
      </x:c>
      <x:c r="B24" s="4" t="str">
        <x:v>F001</x:v>
      </x:c>
      <x:c r="C24" s="4" t="str">
        <x:v>F001</x:v>
      </x:c>
      <x:c r="D24" s="4" t="str">
        <x:v>OG-WRL-002</x:v>
      </x:c>
      <x:c r="E24" s="4" t="str">
        <x:v>2.2.0</x:v>
      </x:c>
      <x:c r="F24" s="4" t="str">
        <x:v>elements / OG-WRL-002</x:v>
      </x:c>
      <x:c r="G24" s="4" t="str">
        <x:v>JSON_ORIGINAL_UTF8</x:v>
      </x:c>
      <x:c r="H24" s="4" t="str">
        <x:v>19489</x:v>
      </x:c>
      <x:c r="I24" s="4" t="str">
        <x:v>409</x:v>
      </x:c>
      <x:c r="J24" s="4" t="str">
        <x:v>dd4bb3b6a96b7b0e6ab59a8a903b8f3507f155f2a1ee5f064d3cc4fe17b41ac0</x:v>
      </x:c>
      <x:c r="K24" s="4" t="str">
        <x:v>2026-09-08</x:v>
      </x:c>
      <x:c r="L24" s="4" t="str">
        <x:v>SIN_FECHA_DE_ADOPCION</x:v>
      </x:c>
      <x:c r="M24" s="12" t="n">
        <x:f>IF(LEN(J24)=64,0,1)</x:f>
        <x:v>0</x:v>
      </x:c>
      <x:c r="N24" s="12" t="n">
        <x:f>IF(COUNTIF('03_NICE'!$A$5:$A$57,A24)+COUNTIF('04_TKS'!$A$5:$A$72,A24)+COUNTIF('05_Complementos'!$A$5:$A$127,A24)=1,0,1)</x:f>
        <x:v>0</x:v>
      </x:c>
      <x:c r="O24" s="12" t="n">
        <x:f>COUNTIF('08_Trazas'!$A$5:$A$248,A24)-1</x:f>
        <x:v>0</x:v>
      </x:c>
      <x:c r="P24" s="12" t="n">
        <x:f>IF(COUNTIF('02_Custodia'!$A$5:$A$53,C24)=1,0,1)</x:f>
        <x:v>0</x:v>
      </x:c>
    </x:row>
    <x:row r="25" ht="47" customHeight="1">
      <x:c r="A25" s="4" t="str">
        <x:v>OG-WRL-003</x:v>
      </x:c>
      <x:c r="B25" s="4" t="str">
        <x:v>F001</x:v>
      </x:c>
      <x:c r="C25" s="4" t="str">
        <x:v>F001</x:v>
      </x:c>
      <x:c r="D25" s="4" t="str">
        <x:v>OG-WRL-003</x:v>
      </x:c>
      <x:c r="E25" s="4" t="str">
        <x:v>2.2.0</x:v>
      </x:c>
      <x:c r="F25" s="4" t="str">
        <x:v>elements / OG-WRL-003</x:v>
      </x:c>
      <x:c r="G25" s="4" t="str">
        <x:v>JSON_ORIGINAL_UTF8</x:v>
      </x:c>
      <x:c r="H25" s="4" t="str">
        <x:v>16198</x:v>
      </x:c>
      <x:c r="I25" s="4" t="str">
        <x:v>665</x:v>
      </x:c>
      <x:c r="J25" s="4" t="str">
        <x:v>455b08466f80f81430645bba0466e8ff8b35366ddc3d500bc3e7f204a4953e19</x:v>
      </x:c>
      <x:c r="K25" s="4" t="str">
        <x:v>2026-09-08</x:v>
      </x:c>
      <x:c r="L25" s="4" t="str">
        <x:v>SIN_FECHA_DE_ADOPCION</x:v>
      </x:c>
      <x:c r="M25" s="12" t="n">
        <x:f>IF(LEN(J25)=64,0,1)</x:f>
        <x:v>0</x:v>
      </x:c>
      <x:c r="N25" s="12" t="n">
        <x:f>IF(COUNTIF('03_NICE'!$A$5:$A$57,A25)+COUNTIF('04_TKS'!$A$5:$A$72,A25)+COUNTIF('05_Complementos'!$A$5:$A$127,A25)=1,0,1)</x:f>
        <x:v>0</x:v>
      </x:c>
      <x:c r="O25" s="12" t="n">
        <x:f>COUNTIF('08_Trazas'!$A$5:$A$248,A25)-1</x:f>
        <x:v>0</x:v>
      </x:c>
      <x:c r="P25" s="12" t="n">
        <x:f>IF(COUNTIF('02_Custodia'!$A$5:$A$53,C25)=1,0,1)</x:f>
        <x:v>0</x:v>
      </x:c>
    </x:row>
    <x:row r="26" ht="47" customHeight="1">
      <x:c r="A26" s="4" t="str">
        <x:v>OG-WRL-004</x:v>
      </x:c>
      <x:c r="B26" s="4" t="str">
        <x:v>F001</x:v>
      </x:c>
      <x:c r="C26" s="4" t="str">
        <x:v>F001</x:v>
      </x:c>
      <x:c r="D26" s="4" t="str">
        <x:v>OG-WRL-004</x:v>
      </x:c>
      <x:c r="E26" s="4" t="str">
        <x:v>2.2.0</x:v>
      </x:c>
      <x:c r="F26" s="4" t="str">
        <x:v>elements / OG-WRL-004</x:v>
      </x:c>
      <x:c r="G26" s="4" t="str">
        <x:v>JSON_ORIGINAL_UTF8</x:v>
      </x:c>
      <x:c r="H26" s="4" t="str">
        <x:v>19051</x:v>
      </x:c>
      <x:c r="I26" s="4" t="str">
        <x:v>428</x:v>
      </x:c>
      <x:c r="J26" s="4" t="str">
        <x:v>9c70cf7721171ccbdf8ef45f103c399051991c76390da9aa1a4148d085f8a6ac</x:v>
      </x:c>
      <x:c r="K26" s="4" t="str">
        <x:v>2026-09-08</x:v>
      </x:c>
      <x:c r="L26" s="4" t="str">
        <x:v>SIN_FECHA_DE_ADOPCION</x:v>
      </x:c>
      <x:c r="M26" s="12" t="n">
        <x:f>IF(LEN(J26)=64,0,1)</x:f>
        <x:v>0</x:v>
      </x:c>
      <x:c r="N26" s="12" t="n">
        <x:f>IF(COUNTIF('03_NICE'!$A$5:$A$57,A26)+COUNTIF('04_TKS'!$A$5:$A$72,A26)+COUNTIF('05_Complementos'!$A$5:$A$127,A26)=1,0,1)</x:f>
        <x:v>0</x:v>
      </x:c>
      <x:c r="O26" s="12" t="n">
        <x:f>COUNTIF('08_Trazas'!$A$5:$A$248,A26)-1</x:f>
        <x:v>0</x:v>
      </x:c>
      <x:c r="P26" s="12" t="n">
        <x:f>IF(COUNTIF('02_Custodia'!$A$5:$A$53,C26)=1,0,1)</x:f>
        <x:v>0</x:v>
      </x:c>
    </x:row>
    <x:row r="27" ht="47" customHeight="1">
      <x:c r="A27" s="4" t="str">
        <x:v>OG-WRL-005</x:v>
      </x:c>
      <x:c r="B27" s="4" t="str">
        <x:v>F001</x:v>
      </x:c>
      <x:c r="C27" s="4" t="str">
        <x:v>F001</x:v>
      </x:c>
      <x:c r="D27" s="4" t="str">
        <x:v>OG-WRL-005</x:v>
      </x:c>
      <x:c r="E27" s="4" t="str">
        <x:v>2.2.0</x:v>
      </x:c>
      <x:c r="F27" s="4" t="str">
        <x:v>elements / OG-WRL-005</x:v>
      </x:c>
      <x:c r="G27" s="4" t="str">
        <x:v>JSON_ORIGINAL_UTF8</x:v>
      </x:c>
      <x:c r="H27" s="4" t="str">
        <x:v>16873</x:v>
      </x:c>
      <x:c r="I27" s="4" t="str">
        <x:v>313</x:v>
      </x:c>
      <x:c r="J27" s="4" t="str">
        <x:v>45eb4109c9336897dfdccddf2a7ccab110ad4ddf218962dfc7a672d7a6cc2c21</x:v>
      </x:c>
      <x:c r="K27" s="4" t="str">
        <x:v>2026-09-08</x:v>
      </x:c>
      <x:c r="L27" s="4" t="str">
        <x:v>SIN_FECHA_DE_ADOPCION</x:v>
      </x:c>
      <x:c r="M27" s="12" t="n">
        <x:f>IF(LEN(J27)=64,0,1)</x:f>
        <x:v>0</x:v>
      </x:c>
      <x:c r="N27" s="12" t="n">
        <x:f>IF(COUNTIF('03_NICE'!$A$5:$A$57,A27)+COUNTIF('04_TKS'!$A$5:$A$72,A27)+COUNTIF('05_Complementos'!$A$5:$A$127,A27)=1,0,1)</x:f>
        <x:v>0</x:v>
      </x:c>
      <x:c r="O27" s="12" t="n">
        <x:f>COUNTIF('08_Trazas'!$A$5:$A$248,A27)-1</x:f>
        <x:v>0</x:v>
      </x:c>
      <x:c r="P27" s="12" t="n">
        <x:f>IF(COUNTIF('02_Custodia'!$A$5:$A$53,C27)=1,0,1)</x:f>
        <x:v>0</x:v>
      </x:c>
    </x:row>
    <x:row r="28" ht="47" customHeight="1">
      <x:c r="A28" s="4" t="str">
        <x:v>OG-WRL-006</x:v>
      </x:c>
      <x:c r="B28" s="4" t="str">
        <x:v>F001</x:v>
      </x:c>
      <x:c r="C28" s="4" t="str">
        <x:v>F001</x:v>
      </x:c>
      <x:c r="D28" s="4" t="str">
        <x:v>OG-WRL-006</x:v>
      </x:c>
      <x:c r="E28" s="4" t="str">
        <x:v>2.2.0</x:v>
      </x:c>
      <x:c r="F28" s="4" t="str">
        <x:v>elements / OG-WRL-006</x:v>
      </x:c>
      <x:c r="G28" s="4" t="str">
        <x:v>JSON_ORIGINAL_UTF8</x:v>
      </x:c>
      <x:c r="H28" s="4" t="str">
        <x:v>15833</x:v>
      </x:c>
      <x:c r="I28" s="4" t="str">
        <x:v>355</x:v>
      </x:c>
      <x:c r="J28" s="4" t="str">
        <x:v>5267f07e019a90f294914692d859b49da8643cc00b5d3a574187cbac4dc0212e</x:v>
      </x:c>
      <x:c r="K28" s="4" t="str">
        <x:v>2026-09-08</x:v>
      </x:c>
      <x:c r="L28" s="4" t="str">
        <x:v>SIN_FECHA_DE_ADOPCION</x:v>
      </x:c>
      <x:c r="M28" s="12" t="n">
        <x:f>IF(LEN(J28)=64,0,1)</x:f>
        <x:v>0</x:v>
      </x:c>
      <x:c r="N28" s="12" t="n">
        <x:f>IF(COUNTIF('03_NICE'!$A$5:$A$57,A28)+COUNTIF('04_TKS'!$A$5:$A$72,A28)+COUNTIF('05_Complementos'!$A$5:$A$127,A28)=1,0,1)</x:f>
        <x:v>0</x:v>
      </x:c>
      <x:c r="O28" s="12" t="n">
        <x:f>COUNTIF('08_Trazas'!$A$5:$A$248,A28)-1</x:f>
        <x:v>0</x:v>
      </x:c>
      <x:c r="P28" s="12" t="n">
        <x:f>IF(COUNTIF('02_Custodia'!$A$5:$A$53,C28)=1,0,1)</x:f>
        <x:v>0</x:v>
      </x:c>
    </x:row>
    <x:row r="29" ht="47" customHeight="1">
      <x:c r="A29" s="4" t="str">
        <x:v>OG-WRL-007</x:v>
      </x:c>
      <x:c r="B29" s="4" t="str">
        <x:v>F001</x:v>
      </x:c>
      <x:c r="C29" s="4" t="str">
        <x:v>F001</x:v>
      </x:c>
      <x:c r="D29" s="4" t="str">
        <x:v>OG-WRL-007</x:v>
      </x:c>
      <x:c r="E29" s="4" t="str">
        <x:v>2.2.0</x:v>
      </x:c>
      <x:c r="F29" s="4" t="str">
        <x:v>elements / OG-WRL-007</x:v>
      </x:c>
      <x:c r="G29" s="4" t="str">
        <x:v>JSON_ORIGINAL_UTF8</x:v>
      </x:c>
      <x:c r="H29" s="4" t="str">
        <x:v>14838</x:v>
      </x:c>
      <x:c r="I29" s="4" t="str">
        <x:v>532</x:v>
      </x:c>
      <x:c r="J29" s="4" t="str">
        <x:v>53e9b51dad81cf1c8d1ea713c92ed044f9495d702a52f9a7b1cf11c67529d97f</x:v>
      </x:c>
      <x:c r="K29" s="4" t="str">
        <x:v>2026-09-08</x:v>
      </x:c>
      <x:c r="L29" s="4" t="str">
        <x:v>SIN_FECHA_DE_ADOPCION</x:v>
      </x:c>
      <x:c r="M29" s="12" t="n">
        <x:f>IF(LEN(J29)=64,0,1)</x:f>
        <x:v>0</x:v>
      </x:c>
      <x:c r="N29" s="12" t="n">
        <x:f>IF(COUNTIF('03_NICE'!$A$5:$A$57,A29)+COUNTIF('04_TKS'!$A$5:$A$72,A29)+COUNTIF('05_Complementos'!$A$5:$A$127,A29)=1,0,1)</x:f>
        <x:v>0</x:v>
      </x:c>
      <x:c r="O29" s="12" t="n">
        <x:f>COUNTIF('08_Trazas'!$A$5:$A$248,A29)-1</x:f>
        <x:v>0</x:v>
      </x:c>
      <x:c r="P29" s="12" t="n">
        <x:f>IF(COUNTIF('02_Custodia'!$A$5:$A$53,C29)=1,0,1)</x:f>
        <x:v>0</x:v>
      </x:c>
    </x:row>
    <x:row r="30" ht="47" customHeight="1">
      <x:c r="A30" s="4" t="str">
        <x:v>OG-WRL-008</x:v>
      </x:c>
      <x:c r="B30" s="4" t="str">
        <x:v>F001</x:v>
      </x:c>
      <x:c r="C30" s="4" t="str">
        <x:v>F001</x:v>
      </x:c>
      <x:c r="D30" s="4" t="str">
        <x:v>OG-WRL-008</x:v>
      </x:c>
      <x:c r="E30" s="4" t="str">
        <x:v>2.2.0</x:v>
      </x:c>
      <x:c r="F30" s="4" t="str">
        <x:v>elements / OG-WRL-008</x:v>
      </x:c>
      <x:c r="G30" s="4" t="str">
        <x:v>JSON_ORIGINAL_UTF8</x:v>
      </x:c>
      <x:c r="H30" s="4" t="str">
        <x:v>14409</x:v>
      </x:c>
      <x:c r="I30" s="4" t="str">
        <x:v>419</x:v>
      </x:c>
      <x:c r="J30" s="4" t="str">
        <x:v>bc4229a927bbd3f3b7d533a8c435568460a6671cab22f4440e86b299d8e97aae</x:v>
      </x:c>
      <x:c r="K30" s="4" t="str">
        <x:v>2026-09-08</x:v>
      </x:c>
      <x:c r="L30" s="4" t="str">
        <x:v>SIN_FECHA_DE_ADOPCION</x:v>
      </x:c>
      <x:c r="M30" s="12" t="n">
        <x:f>IF(LEN(J30)=64,0,1)</x:f>
        <x:v>0</x:v>
      </x:c>
      <x:c r="N30" s="12" t="n">
        <x:f>IF(COUNTIF('03_NICE'!$A$5:$A$57,A30)+COUNTIF('04_TKS'!$A$5:$A$72,A30)+COUNTIF('05_Complementos'!$A$5:$A$127,A30)=1,0,1)</x:f>
        <x:v>0</x:v>
      </x:c>
      <x:c r="O30" s="12" t="n">
        <x:f>COUNTIF('08_Trazas'!$A$5:$A$248,A30)-1</x:f>
        <x:v>0</x:v>
      </x:c>
      <x:c r="P30" s="12" t="n">
        <x:f>IF(COUNTIF('02_Custodia'!$A$5:$A$53,C30)=1,0,1)</x:f>
        <x:v>0</x:v>
      </x:c>
    </x:row>
    <x:row r="31" ht="47" customHeight="1">
      <x:c r="A31" s="4" t="str">
        <x:v>OG-WRL-009</x:v>
      </x:c>
      <x:c r="B31" s="4" t="str">
        <x:v>F001</x:v>
      </x:c>
      <x:c r="C31" s="4" t="str">
        <x:v>F001</x:v>
      </x:c>
      <x:c r="D31" s="4" t="str">
        <x:v>OG-WRL-009</x:v>
      </x:c>
      <x:c r="E31" s="4" t="str">
        <x:v>2.2.0</x:v>
      </x:c>
      <x:c r="F31" s="4" t="str">
        <x:v>elements / OG-WRL-009</x:v>
      </x:c>
      <x:c r="G31" s="4" t="str">
        <x:v>JSON_ORIGINAL_UTF8</x:v>
      </x:c>
      <x:c r="H31" s="4" t="str">
        <x:v>15380</x:v>
      </x:c>
      <x:c r="I31" s="4" t="str">
        <x:v>443</x:v>
      </x:c>
      <x:c r="J31" s="4" t="str">
        <x:v>9ec7ef50eb5f1a1683fcc6c5240d642383977557e0a993f938b74d4f245e2833</x:v>
      </x:c>
      <x:c r="K31" s="4" t="str">
        <x:v>2026-09-08</x:v>
      </x:c>
      <x:c r="L31" s="4" t="str">
        <x:v>SIN_FECHA_DE_ADOPCION</x:v>
      </x:c>
      <x:c r="M31" s="12" t="n">
        <x:f>IF(LEN(J31)=64,0,1)</x:f>
        <x:v>0</x:v>
      </x:c>
      <x:c r="N31" s="12" t="n">
        <x:f>IF(COUNTIF('03_NICE'!$A$5:$A$57,A31)+COUNTIF('04_TKS'!$A$5:$A$72,A31)+COUNTIF('05_Complementos'!$A$5:$A$127,A31)=1,0,1)</x:f>
        <x:v>0</x:v>
      </x:c>
      <x:c r="O31" s="12" t="n">
        <x:f>COUNTIF('08_Trazas'!$A$5:$A$248,A31)-1</x:f>
        <x:v>0</x:v>
      </x:c>
      <x:c r="P31" s="12" t="n">
        <x:f>IF(COUNTIF('02_Custodia'!$A$5:$A$53,C31)=1,0,1)</x:f>
        <x:v>0</x:v>
      </x:c>
    </x:row>
    <x:row r="32" ht="47" customHeight="1">
      <x:c r="A32" s="4" t="str">
        <x:v>OG-WRL-010</x:v>
      </x:c>
      <x:c r="B32" s="4" t="str">
        <x:v>F001</x:v>
      </x:c>
      <x:c r="C32" s="4" t="str">
        <x:v>F001</x:v>
      </x:c>
      <x:c r="D32" s="4" t="str">
        <x:v>OG-WRL-010</x:v>
      </x:c>
      <x:c r="E32" s="4" t="str">
        <x:v>2.2.0</x:v>
      </x:c>
      <x:c r="F32" s="4" t="str">
        <x:v>elements / OG-WRL-010</x:v>
      </x:c>
      <x:c r="G32" s="4" t="str">
        <x:v>JSON_ORIGINAL_UTF8</x:v>
      </x:c>
      <x:c r="H32" s="4" t="str">
        <x:v>13993</x:v>
      </x:c>
      <x:c r="I32" s="4" t="str">
        <x:v>406</x:v>
      </x:c>
      <x:c r="J32" s="4" t="str">
        <x:v>f043df29bcf440f31adbc826959de2c97a5defad0005180a95fadecea720cb8e</x:v>
      </x:c>
      <x:c r="K32" s="4" t="str">
        <x:v>2026-09-08</x:v>
      </x:c>
      <x:c r="L32" s="4" t="str">
        <x:v>SIN_FECHA_DE_ADOPCION</x:v>
      </x:c>
      <x:c r="M32" s="12" t="n">
        <x:f>IF(LEN(J32)=64,0,1)</x:f>
        <x:v>0</x:v>
      </x:c>
      <x:c r="N32" s="12" t="n">
        <x:f>IF(COUNTIF('03_NICE'!$A$5:$A$57,A32)+COUNTIF('04_TKS'!$A$5:$A$72,A32)+COUNTIF('05_Complementos'!$A$5:$A$127,A32)=1,0,1)</x:f>
        <x:v>0</x:v>
      </x:c>
      <x:c r="O32" s="12" t="n">
        <x:f>COUNTIF('08_Trazas'!$A$5:$A$248,A32)-1</x:f>
        <x:v>0</x:v>
      </x:c>
      <x:c r="P32" s="12" t="n">
        <x:f>IF(COUNTIF('02_Custodia'!$A$5:$A$53,C32)=1,0,1)</x:f>
        <x:v>0</x:v>
      </x:c>
    </x:row>
    <x:row r="33" ht="47" customHeight="1">
      <x:c r="A33" s="4" t="str">
        <x:v>OG-WRL-011</x:v>
      </x:c>
      <x:c r="B33" s="4" t="str">
        <x:v>F001</x:v>
      </x:c>
      <x:c r="C33" s="4" t="str">
        <x:v>F001</x:v>
      </x:c>
      <x:c r="D33" s="4" t="str">
        <x:v>OG-WRL-011</x:v>
      </x:c>
      <x:c r="E33" s="4" t="str">
        <x:v>2.2.0</x:v>
      </x:c>
      <x:c r="F33" s="4" t="str">
        <x:v>elements / OG-WRL-011</x:v>
      </x:c>
      <x:c r="G33" s="4" t="str">
        <x:v>JSON_ORIGINAL_UTF8</x:v>
      </x:c>
      <x:c r="H33" s="4" t="str">
        <x:v>12221</x:v>
      </x:c>
      <x:c r="I33" s="4" t="str">
        <x:v>543</x:v>
      </x:c>
      <x:c r="J33" s="4" t="str">
        <x:v>830c362d0be99510cdf77cf958608e7ecb0ccb1e11ba29240fd8e93f35e3ba54</x:v>
      </x:c>
      <x:c r="K33" s="4" t="str">
        <x:v>2026-09-08</x:v>
      </x:c>
      <x:c r="L33" s="4" t="str">
        <x:v>SIN_FECHA_DE_ADOPCION</x:v>
      </x:c>
      <x:c r="M33" s="12" t="n">
        <x:f>IF(LEN(J33)=64,0,1)</x:f>
        <x:v>0</x:v>
      </x:c>
      <x:c r="N33" s="12" t="n">
        <x:f>IF(COUNTIF('03_NICE'!$A$5:$A$57,A33)+COUNTIF('04_TKS'!$A$5:$A$72,A33)+COUNTIF('05_Complementos'!$A$5:$A$127,A33)=1,0,1)</x:f>
        <x:v>0</x:v>
      </x:c>
      <x:c r="O33" s="12" t="n">
        <x:f>COUNTIF('08_Trazas'!$A$5:$A$248,A33)-1</x:f>
        <x:v>0</x:v>
      </x:c>
      <x:c r="P33" s="12" t="n">
        <x:f>IF(COUNTIF('02_Custodia'!$A$5:$A$53,C33)=1,0,1)</x:f>
        <x:v>0</x:v>
      </x:c>
    </x:row>
    <x:row r="34" ht="47" customHeight="1">
      <x:c r="A34" s="4" t="str">
        <x:v>OG-WRL-012</x:v>
      </x:c>
      <x:c r="B34" s="4" t="str">
        <x:v>F001</x:v>
      </x:c>
      <x:c r="C34" s="4" t="str">
        <x:v>F001</x:v>
      </x:c>
      <x:c r="D34" s="4" t="str">
        <x:v>OG-WRL-012</x:v>
      </x:c>
      <x:c r="E34" s="4" t="str">
        <x:v>2.2.0</x:v>
      </x:c>
      <x:c r="F34" s="4" t="str">
        <x:v>elements / OG-WRL-012</x:v>
      </x:c>
      <x:c r="G34" s="4" t="str">
        <x:v>JSON_ORIGINAL_UTF8</x:v>
      </x:c>
      <x:c r="H34" s="4" t="str">
        <x:v>12774</x:v>
      </x:c>
      <x:c r="I34" s="4" t="str">
        <x:v>457</x:v>
      </x:c>
      <x:c r="J34" s="4" t="str">
        <x:v>c6c9402000239549c0d5a6c4f31fe5b12f71356e68fab903f68fe5a3175456fa</x:v>
      </x:c>
      <x:c r="K34" s="4" t="str">
        <x:v>2026-09-08</x:v>
      </x:c>
      <x:c r="L34" s="4" t="str">
        <x:v>SIN_FECHA_DE_ADOPCION</x:v>
      </x:c>
      <x:c r="M34" s="12" t="n">
        <x:f>IF(LEN(J34)=64,0,1)</x:f>
        <x:v>0</x:v>
      </x:c>
      <x:c r="N34" s="12" t="n">
        <x:f>IF(COUNTIF('03_NICE'!$A$5:$A$57,A34)+COUNTIF('04_TKS'!$A$5:$A$72,A34)+COUNTIF('05_Complementos'!$A$5:$A$127,A34)=1,0,1)</x:f>
        <x:v>0</x:v>
      </x:c>
      <x:c r="O34" s="12" t="n">
        <x:f>COUNTIF('08_Trazas'!$A$5:$A$248,A34)-1</x:f>
        <x:v>0</x:v>
      </x:c>
      <x:c r="P34" s="12" t="n">
        <x:f>IF(COUNTIF('02_Custodia'!$A$5:$A$53,C34)=1,0,1)</x:f>
        <x:v>0</x:v>
      </x:c>
    </x:row>
    <x:row r="35" ht="47" customHeight="1">
      <x:c r="A35" s="4" t="str">
        <x:v>OG-WRL-013</x:v>
      </x:c>
      <x:c r="B35" s="4" t="str">
        <x:v>F001</x:v>
      </x:c>
      <x:c r="C35" s="4" t="str">
        <x:v>F001</x:v>
      </x:c>
      <x:c r="D35" s="4" t="str">
        <x:v>OG-WRL-013</x:v>
      </x:c>
      <x:c r="E35" s="4" t="str">
        <x:v>2.2.0</x:v>
      </x:c>
      <x:c r="F35" s="4" t="str">
        <x:v>elements / OG-WRL-013</x:v>
      </x:c>
      <x:c r="G35" s="4" t="str">
        <x:v>JSON_ORIGINAL_UTF8</x:v>
      </x:c>
      <x:c r="H35" s="4" t="str">
        <x:v>13583</x:v>
      </x:c>
      <x:c r="I35" s="4" t="str">
        <x:v>400</x:v>
      </x:c>
      <x:c r="J35" s="4" t="str">
        <x:v>4f6710f77414bfd46b95d8f04d500bc4d1e047f6c21d56204a0d5f12e62813e1</x:v>
      </x:c>
      <x:c r="K35" s="4" t="str">
        <x:v>2026-09-08</x:v>
      </x:c>
      <x:c r="L35" s="4" t="str">
        <x:v>SIN_FECHA_DE_ADOPCION</x:v>
      </x:c>
      <x:c r="M35" s="12" t="n">
        <x:f>IF(LEN(J35)=64,0,1)</x:f>
        <x:v>0</x:v>
      </x:c>
      <x:c r="N35" s="12" t="n">
        <x:f>IF(COUNTIF('03_NICE'!$A$5:$A$57,A35)+COUNTIF('04_TKS'!$A$5:$A$72,A35)+COUNTIF('05_Complementos'!$A$5:$A$127,A35)=1,0,1)</x:f>
        <x:v>0</x:v>
      </x:c>
      <x:c r="O35" s="12" t="n">
        <x:f>COUNTIF('08_Trazas'!$A$5:$A$248,A35)-1</x:f>
        <x:v>0</x:v>
      </x:c>
      <x:c r="P35" s="12" t="n">
        <x:f>IF(COUNTIF('02_Custodia'!$A$5:$A$53,C35)=1,0,1)</x:f>
        <x:v>0</x:v>
      </x:c>
    </x:row>
    <x:row r="36" ht="47" customHeight="1">
      <x:c r="A36" s="4" t="str">
        <x:v>OG-WRL-014</x:v>
      </x:c>
      <x:c r="B36" s="4" t="str">
        <x:v>F001</x:v>
      </x:c>
      <x:c r="C36" s="4" t="str">
        <x:v>F001</x:v>
      </x:c>
      <x:c r="D36" s="4" t="str">
        <x:v>OG-WRL-014</x:v>
      </x:c>
      <x:c r="E36" s="4" t="str">
        <x:v>2.2.0</x:v>
      </x:c>
      <x:c r="F36" s="4" t="str">
        <x:v>elements / OG-WRL-014</x:v>
      </x:c>
      <x:c r="G36" s="4" t="str">
        <x:v>JSON_ORIGINAL_UTF8</x:v>
      </x:c>
      <x:c r="H36" s="4" t="str">
        <x:v>11146</x:v>
      </x:c>
      <x:c r="I36" s="4" t="str">
        <x:v>315</x:v>
      </x:c>
      <x:c r="J36" s="4" t="str">
        <x:v>b41e0cbd71113e30fe01f1b56bb83b9b28746baabca8183a2e02227a9501ece8</x:v>
      </x:c>
      <x:c r="K36" s="4" t="str">
        <x:v>2026-09-08</x:v>
      </x:c>
      <x:c r="L36" s="4" t="str">
        <x:v>SIN_FECHA_DE_ADOPCION</x:v>
      </x:c>
      <x:c r="M36" s="12" t="n">
        <x:f>IF(LEN(J36)=64,0,1)</x:f>
        <x:v>0</x:v>
      </x:c>
      <x:c r="N36" s="12" t="n">
        <x:f>IF(COUNTIF('03_NICE'!$A$5:$A$57,A36)+COUNTIF('04_TKS'!$A$5:$A$72,A36)+COUNTIF('05_Complementos'!$A$5:$A$127,A36)=1,0,1)</x:f>
        <x:v>0</x:v>
      </x:c>
      <x:c r="O36" s="12" t="n">
        <x:f>COUNTIF('08_Trazas'!$A$5:$A$248,A36)-1</x:f>
        <x:v>0</x:v>
      </x:c>
      <x:c r="P36" s="12" t="n">
        <x:f>IF(COUNTIF('02_Custodia'!$A$5:$A$53,C36)=1,0,1)</x:f>
        <x:v>0</x:v>
      </x:c>
    </x:row>
    <x:row r="37" ht="47" customHeight="1">
      <x:c r="A37" s="4" t="str">
        <x:v>OG-WRL-015</x:v>
      </x:c>
      <x:c r="B37" s="4" t="str">
        <x:v>F001</x:v>
      </x:c>
      <x:c r="C37" s="4" t="str">
        <x:v>F001</x:v>
      </x:c>
      <x:c r="D37" s="4" t="str">
        <x:v>OG-WRL-015</x:v>
      </x:c>
      <x:c r="E37" s="4" t="str">
        <x:v>2.2.0</x:v>
      </x:c>
      <x:c r="F37" s="4" t="str">
        <x:v>elements / OG-WRL-015</x:v>
      </x:c>
      <x:c r="G37" s="4" t="str">
        <x:v>JSON_ORIGINAL_UTF8</x:v>
      </x:c>
      <x:c r="H37" s="4" t="str">
        <x:v>11848</x:v>
      </x:c>
      <x:c r="I37" s="4" t="str">
        <x:v>363</x:v>
      </x:c>
      <x:c r="J37" s="4" t="str">
        <x:v>2918afdd0ac16fc727fdf3ced6188d8e2202f4c06dabc559186b6bad94739861</x:v>
      </x:c>
      <x:c r="K37" s="4" t="str">
        <x:v>2026-09-08</x:v>
      </x:c>
      <x:c r="L37" s="4" t="str">
        <x:v>SIN_FECHA_DE_ADOPCION</x:v>
      </x:c>
      <x:c r="M37" s="12" t="n">
        <x:f>IF(LEN(J37)=64,0,1)</x:f>
        <x:v>0</x:v>
      </x:c>
      <x:c r="N37" s="12" t="n">
        <x:f>IF(COUNTIF('03_NICE'!$A$5:$A$57,A37)+COUNTIF('04_TKS'!$A$5:$A$72,A37)+COUNTIF('05_Complementos'!$A$5:$A$127,A37)=1,0,1)</x:f>
        <x:v>0</x:v>
      </x:c>
      <x:c r="O37" s="12" t="n">
        <x:f>COUNTIF('08_Trazas'!$A$5:$A$248,A37)-1</x:f>
        <x:v>0</x:v>
      </x:c>
      <x:c r="P37" s="12" t="n">
        <x:f>IF(COUNTIF('02_Custodia'!$A$5:$A$53,C37)=1,0,1)</x:f>
        <x:v>0</x:v>
      </x:c>
    </x:row>
    <x:row r="38" ht="47" customHeight="1">
      <x:c r="A38" s="4" t="str">
        <x:v>OG-WRL-016</x:v>
      </x:c>
      <x:c r="B38" s="4" t="str">
        <x:v>F001</x:v>
      </x:c>
      <x:c r="C38" s="4" t="str">
        <x:v>F001</x:v>
      </x:c>
      <x:c r="D38" s="4" t="str">
        <x:v>OG-WRL-016</x:v>
      </x:c>
      <x:c r="E38" s="4" t="str">
        <x:v>2.2.0</x:v>
      </x:c>
      <x:c r="F38" s="4" t="str">
        <x:v>elements / OG-WRL-016</x:v>
      </x:c>
      <x:c r="G38" s="4" t="str">
        <x:v>JSON_ORIGINAL_UTF8</x:v>
      </x:c>
      <x:c r="H38" s="4" t="str">
        <x:v>11471</x:v>
      </x:c>
      <x:c r="I38" s="4" t="str">
        <x:v>367</x:v>
      </x:c>
      <x:c r="J38" s="4" t="str">
        <x:v>00d9c4867edded95c8044c5e617dd7ad44ad4f2155254a3425b34508c8c1091a</x:v>
      </x:c>
      <x:c r="K38" s="4" t="str">
        <x:v>2026-09-08</x:v>
      </x:c>
      <x:c r="L38" s="4" t="str">
        <x:v>SIN_FECHA_DE_ADOPCION</x:v>
      </x:c>
      <x:c r="M38" s="12" t="n">
        <x:f>IF(LEN(J38)=64,0,1)</x:f>
        <x:v>0</x:v>
      </x:c>
      <x:c r="N38" s="12" t="n">
        <x:f>IF(COUNTIF('03_NICE'!$A$5:$A$57,A38)+COUNTIF('04_TKS'!$A$5:$A$72,A38)+COUNTIF('05_Complementos'!$A$5:$A$127,A38)=1,0,1)</x:f>
        <x:v>0</x:v>
      </x:c>
      <x:c r="O38" s="12" t="n">
        <x:f>COUNTIF('08_Trazas'!$A$5:$A$248,A38)-1</x:f>
        <x:v>0</x:v>
      </x:c>
      <x:c r="P38" s="12" t="n">
        <x:f>IF(COUNTIF('02_Custodia'!$A$5:$A$53,C38)=1,0,1)</x:f>
        <x:v>0</x:v>
      </x:c>
    </x:row>
    <x:row r="39" ht="47" customHeight="1">
      <x:c r="A39" s="4" t="str">
        <x:v>OG-WRL-017</x:v>
      </x:c>
      <x:c r="B39" s="4" t="str">
        <x:v>F001</x:v>
      </x:c>
      <x:c r="C39" s="4" t="str">
        <x:v>F001</x:v>
      </x:c>
      <x:c r="D39" s="4" t="str">
        <x:v>OG-WRL-017</x:v>
      </x:c>
      <x:c r="E39" s="4" t="str">
        <x:v>2.2.0</x:v>
      </x:c>
      <x:c r="F39" s="4" t="str">
        <x:v>elements / OG-WRL-017</x:v>
      </x:c>
      <x:c r="G39" s="4" t="str">
        <x:v>JSON_ORIGINAL_UTF8</x:v>
      </x:c>
      <x:c r="H39" s="4" t="str">
        <x:v>10597</x:v>
      </x:c>
      <x:c r="I39" s="4" t="str">
        <x:v>539</x:v>
      </x:c>
      <x:c r="J39" s="4" t="str">
        <x:v>4315692f500a49510c380decd70594c64311aa4e3586b47aed13676c968caf96</x:v>
      </x:c>
      <x:c r="K39" s="4" t="str">
        <x:v>2026-09-08</x:v>
      </x:c>
      <x:c r="L39" s="4" t="str">
        <x:v>SIN_FECHA_DE_ADOPCION</x:v>
      </x:c>
      <x:c r="M39" s="12" t="n">
        <x:f>IF(LEN(J39)=64,0,1)</x:f>
        <x:v>0</x:v>
      </x:c>
      <x:c r="N39" s="12" t="n">
        <x:f>IF(COUNTIF('03_NICE'!$A$5:$A$57,A39)+COUNTIF('04_TKS'!$A$5:$A$72,A39)+COUNTIF('05_Complementos'!$A$5:$A$127,A39)=1,0,1)</x:f>
        <x:v>0</x:v>
      </x:c>
      <x:c r="O39" s="12" t="n">
        <x:f>COUNTIF('08_Trazas'!$A$5:$A$248,A39)-1</x:f>
        <x:v>0</x:v>
      </x:c>
      <x:c r="P39" s="12" t="n">
        <x:f>IF(COUNTIF('02_Custodia'!$A$5:$A$53,C39)=1,0,1)</x:f>
        <x:v>0</x:v>
      </x:c>
    </x:row>
    <x:row r="40" ht="47" customHeight="1">
      <x:c r="A40" s="4" t="str">
        <x:v>PD-WRL-001</x:v>
      </x:c>
      <x:c r="B40" s="4" t="str">
        <x:v>F001</x:v>
      </x:c>
      <x:c r="C40" s="4" t="str">
        <x:v>F001</x:v>
      </x:c>
      <x:c r="D40" s="4" t="str">
        <x:v>PD-WRL-001</x:v>
      </x:c>
      <x:c r="E40" s="4" t="str">
        <x:v>2.2.0</x:v>
      </x:c>
      <x:c r="F40" s="4" t="str">
        <x:v>elements / PD-WRL-001</x:v>
      </x:c>
      <x:c r="G40" s="4" t="str">
        <x:v>JSON_ORIGINAL_UTF8</x:v>
      </x:c>
      <x:c r="H40" s="4" t="str">
        <x:v>19908</x:v>
      </x:c>
      <x:c r="I40" s="4" t="str">
        <x:v>321</x:v>
      </x:c>
      <x:c r="J40" s="4" t="str">
        <x:v>1229ac870accf47e4e65966b6a7f5086df6a1e0bf396f0f1b80839d9d8c793f8</x:v>
      </x:c>
      <x:c r="K40" s="4" t="str">
        <x:v>2026-09-08</x:v>
      </x:c>
      <x:c r="L40" s="4" t="str">
        <x:v>SIN_FECHA_DE_ADOPCION</x:v>
      </x:c>
      <x:c r="M40" s="12" t="n">
        <x:f>IF(LEN(J40)=64,0,1)</x:f>
        <x:v>0</x:v>
      </x:c>
      <x:c r="N40" s="12" t="n">
        <x:f>IF(COUNTIF('03_NICE'!$A$5:$A$57,A40)+COUNTIF('04_TKS'!$A$5:$A$72,A40)+COUNTIF('05_Complementos'!$A$5:$A$127,A40)=1,0,1)</x:f>
        <x:v>0</x:v>
      </x:c>
      <x:c r="O40" s="12" t="n">
        <x:f>COUNTIF('08_Trazas'!$A$5:$A$248,A40)-1</x:f>
        <x:v>0</x:v>
      </x:c>
      <x:c r="P40" s="12" t="n">
        <x:f>IF(COUNTIF('02_Custodia'!$A$5:$A$53,C40)=1,0,1)</x:f>
        <x:v>0</x:v>
      </x:c>
    </x:row>
    <x:row r="41" ht="47" customHeight="1">
      <x:c r="A41" s="4" t="str">
        <x:v>PD-WRL-002</x:v>
      </x:c>
      <x:c r="B41" s="4" t="str">
        <x:v>F001</x:v>
      </x:c>
      <x:c r="C41" s="4" t="str">
        <x:v>F001</x:v>
      </x:c>
      <x:c r="D41" s="4" t="str">
        <x:v>PD-WRL-002</x:v>
      </x:c>
      <x:c r="E41" s="4" t="str">
        <x:v>2.2.0</x:v>
      </x:c>
      <x:c r="F41" s="4" t="str">
        <x:v>elements / PD-WRL-002</x:v>
      </x:c>
      <x:c r="G41" s="4" t="str">
        <x:v>JSON_ORIGINAL_UTF8</x:v>
      </x:c>
      <x:c r="H41" s="4" t="str">
        <x:v>27137</x:v>
      </x:c>
      <x:c r="I41" s="4" t="str">
        <x:v>378</x:v>
      </x:c>
      <x:c r="J41" s="4" t="str">
        <x:v>2646949783525a49282ccc750f2e2a61b31e5f02cfb9dd713dee6155548b60db</x:v>
      </x:c>
      <x:c r="K41" s="4" t="str">
        <x:v>2026-09-08</x:v>
      </x:c>
      <x:c r="L41" s="4" t="str">
        <x:v>SIN_FECHA_DE_ADOPCION</x:v>
      </x:c>
      <x:c r="M41" s="12" t="n">
        <x:f>IF(LEN(J41)=64,0,1)</x:f>
        <x:v>0</x:v>
      </x:c>
      <x:c r="N41" s="12" t="n">
        <x:f>IF(COUNTIF('03_NICE'!$A$5:$A$57,A41)+COUNTIF('04_TKS'!$A$5:$A$72,A41)+COUNTIF('05_Complementos'!$A$5:$A$127,A41)=1,0,1)</x:f>
        <x:v>0</x:v>
      </x:c>
      <x:c r="O41" s="12" t="n">
        <x:f>COUNTIF('08_Trazas'!$A$5:$A$248,A41)-1</x:f>
        <x:v>0</x:v>
      </x:c>
      <x:c r="P41" s="12" t="n">
        <x:f>IF(COUNTIF('02_Custodia'!$A$5:$A$53,C41)=1,0,1)</x:f>
        <x:v>0</x:v>
      </x:c>
    </x:row>
    <x:row r="42" ht="47" customHeight="1">
      <x:c r="A42" s="4" t="str">
        <x:v>PD-WRL-003</x:v>
      </x:c>
      <x:c r="B42" s="4" t="str">
        <x:v>F001</x:v>
      </x:c>
      <x:c r="C42" s="4" t="str">
        <x:v>F001</x:v>
      </x:c>
      <x:c r="D42" s="4" t="str">
        <x:v>PD-WRL-003</x:v>
      </x:c>
      <x:c r="E42" s="4" t="str">
        <x:v>2.2.0</x:v>
      </x:c>
      <x:c r="F42" s="4" t="str">
        <x:v>elements / PD-WRL-003</x:v>
      </x:c>
      <x:c r="G42" s="4" t="str">
        <x:v>JSON_ORIGINAL_UTF8</x:v>
      </x:c>
      <x:c r="H42" s="4" t="str">
        <x:v>23992</x:v>
      </x:c>
      <x:c r="I42" s="4" t="str">
        <x:v>307</x:v>
      </x:c>
      <x:c r="J42" s="4" t="str">
        <x:v>81215158773ba5c9fe4d49fe1b6eae387a56ea320975f1de59580147ef14c41f</x:v>
      </x:c>
      <x:c r="K42" s="4" t="str">
        <x:v>2026-09-08</x:v>
      </x:c>
      <x:c r="L42" s="4" t="str">
        <x:v>SIN_FECHA_DE_ADOPCION</x:v>
      </x:c>
      <x:c r="M42" s="12" t="n">
        <x:f>IF(LEN(J42)=64,0,1)</x:f>
        <x:v>0</x:v>
      </x:c>
      <x:c r="N42" s="12" t="n">
        <x:f>IF(COUNTIF('03_NICE'!$A$5:$A$57,A42)+COUNTIF('04_TKS'!$A$5:$A$72,A42)+COUNTIF('05_Complementos'!$A$5:$A$127,A42)=1,0,1)</x:f>
        <x:v>0</x:v>
      </x:c>
      <x:c r="O42" s="12" t="n">
        <x:f>COUNTIF('08_Trazas'!$A$5:$A$248,A42)-1</x:f>
        <x:v>0</x:v>
      </x:c>
      <x:c r="P42" s="12" t="n">
        <x:f>IF(COUNTIF('02_Custodia'!$A$5:$A$53,C42)=1,0,1)</x:f>
        <x:v>0</x:v>
      </x:c>
    </x:row>
    <x:row r="43" ht="47" customHeight="1">
      <x:c r="A43" s="4" t="str">
        <x:v>PD-WRL-004</x:v>
      </x:c>
      <x:c r="B43" s="4" t="str">
        <x:v>F001</x:v>
      </x:c>
      <x:c r="C43" s="4" t="str">
        <x:v>F001</x:v>
      </x:c>
      <x:c r="D43" s="4" t="str">
        <x:v>PD-WRL-004</x:v>
      </x:c>
      <x:c r="E43" s="4" t="str">
        <x:v>2.2.0</x:v>
      </x:c>
      <x:c r="F43" s="4" t="str">
        <x:v>elements / PD-WRL-004</x:v>
      </x:c>
      <x:c r="G43" s="4" t="str">
        <x:v>JSON_ORIGINAL_UTF8</x:v>
      </x:c>
      <x:c r="H43" s="4" t="str">
        <x:v>22736</x:v>
      </x:c>
      <x:c r="I43" s="4" t="str">
        <x:v>356</x:v>
      </x:c>
      <x:c r="J43" s="4" t="str">
        <x:v>ed1192b225a849db6465f654b080e96b3bbda25017a236428e13126261a341d0</x:v>
      </x:c>
      <x:c r="K43" s="4" t="str">
        <x:v>2026-09-08</x:v>
      </x:c>
      <x:c r="L43" s="4" t="str">
        <x:v>SIN_FECHA_DE_ADOPCION</x:v>
      </x:c>
      <x:c r="M43" s="12" t="n">
        <x:f>IF(LEN(J43)=64,0,1)</x:f>
        <x:v>0</x:v>
      </x:c>
      <x:c r="N43" s="12" t="n">
        <x:f>IF(COUNTIF('03_NICE'!$A$5:$A$57,A43)+COUNTIF('04_TKS'!$A$5:$A$72,A43)+COUNTIF('05_Complementos'!$A$5:$A$127,A43)=1,0,1)</x:f>
        <x:v>0</x:v>
      </x:c>
      <x:c r="O43" s="12" t="n">
        <x:f>COUNTIF('08_Trazas'!$A$5:$A$248,A43)-1</x:f>
        <x:v>0</x:v>
      </x:c>
      <x:c r="P43" s="12" t="n">
        <x:f>IF(COUNTIF('02_Custodia'!$A$5:$A$53,C43)=1,0,1)</x:f>
        <x:v>0</x:v>
      </x:c>
    </x:row>
    <x:row r="44" ht="47" customHeight="1">
      <x:c r="A44" s="4" t="str">
        <x:v>PD-WRL-005</x:v>
      </x:c>
      <x:c r="B44" s="4" t="str">
        <x:v>F001</x:v>
      </x:c>
      <x:c r="C44" s="4" t="str">
        <x:v>F001</x:v>
      </x:c>
      <x:c r="D44" s="4" t="str">
        <x:v>PD-WRL-005</x:v>
      </x:c>
      <x:c r="E44" s="4" t="str">
        <x:v>2.2.0</x:v>
      </x:c>
      <x:c r="F44" s="4" t="str">
        <x:v>elements / PD-WRL-005</x:v>
      </x:c>
      <x:c r="G44" s="4" t="str">
        <x:v>JSON_ORIGINAL_UTF8</x:v>
      </x:c>
      <x:c r="H44" s="4" t="str">
        <x:v>22278</x:v>
      </x:c>
      <x:c r="I44" s="4" t="str">
        <x:v>448</x:v>
      </x:c>
      <x:c r="J44" s="4" t="str">
        <x:v>d2af2a2cdcfd24661a36c52971d9fa54c651c414ca79d267474f622187ac9ec7</x:v>
      </x:c>
      <x:c r="K44" s="4" t="str">
        <x:v>2026-09-08</x:v>
      </x:c>
      <x:c r="L44" s="4" t="str">
        <x:v>SIN_FECHA_DE_ADOPCION</x:v>
      </x:c>
      <x:c r="M44" s="12" t="n">
        <x:f>IF(LEN(J44)=64,0,1)</x:f>
        <x:v>0</x:v>
      </x:c>
      <x:c r="N44" s="12" t="n">
        <x:f>IF(COUNTIF('03_NICE'!$A$5:$A$57,A44)+COUNTIF('04_TKS'!$A$5:$A$72,A44)+COUNTIF('05_Complementos'!$A$5:$A$127,A44)=1,0,1)</x:f>
        <x:v>0</x:v>
      </x:c>
      <x:c r="O44" s="12" t="n">
        <x:f>COUNTIF('08_Trazas'!$A$5:$A$248,A44)-1</x:f>
        <x:v>0</x:v>
      </x:c>
      <x:c r="P44" s="12" t="n">
        <x:f>IF(COUNTIF('02_Custodia'!$A$5:$A$53,C44)=1,0,1)</x:f>
        <x:v>0</x:v>
      </x:c>
    </x:row>
    <x:row r="45" ht="47" customHeight="1">
      <x:c r="A45" s="4" t="str">
        <x:v>PD-WRL-006</x:v>
      </x:c>
      <x:c r="B45" s="4" t="str">
        <x:v>F001</x:v>
      </x:c>
      <x:c r="C45" s="4" t="str">
        <x:v>F001</x:v>
      </x:c>
      <x:c r="D45" s="4" t="str">
        <x:v>PD-WRL-006</x:v>
      </x:c>
      <x:c r="E45" s="4" t="str">
        <x:v>2.2.0</x:v>
      </x:c>
      <x:c r="F45" s="4" t="str">
        <x:v>elements / PD-WRL-006</x:v>
      </x:c>
      <x:c r="G45" s="4" t="str">
        <x:v>JSON_ORIGINAL_UTF8</x:v>
      </x:c>
      <x:c r="H45" s="4" t="str">
        <x:v>23552</x:v>
      </x:c>
      <x:c r="I45" s="4" t="str">
        <x:v>430</x:v>
      </x:c>
      <x:c r="J45" s="4" t="str">
        <x:v>79530d197b6294b98b2a85ba8e549296759a6c67c0e0d3433047ad89db66fd3e</x:v>
      </x:c>
      <x:c r="K45" s="4" t="str">
        <x:v>2026-09-08</x:v>
      </x:c>
      <x:c r="L45" s="4" t="str">
        <x:v>SIN_FECHA_DE_ADOPCION</x:v>
      </x:c>
      <x:c r="M45" s="12" t="n">
        <x:f>IF(LEN(J45)=64,0,1)</x:f>
        <x:v>0</x:v>
      </x:c>
      <x:c r="N45" s="12" t="n">
        <x:f>IF(COUNTIF('03_NICE'!$A$5:$A$57,A45)+COUNTIF('04_TKS'!$A$5:$A$72,A45)+COUNTIF('05_Complementos'!$A$5:$A$127,A45)=1,0,1)</x:f>
        <x:v>0</x:v>
      </x:c>
      <x:c r="O45" s="12" t="n">
        <x:f>COUNTIF('08_Trazas'!$A$5:$A$248,A45)-1</x:f>
        <x:v>0</x:v>
      </x:c>
      <x:c r="P45" s="12" t="n">
        <x:f>IF(COUNTIF('02_Custodia'!$A$5:$A$53,C45)=1,0,1)</x:f>
        <x:v>0</x:v>
      </x:c>
    </x:row>
    <x:row r="46" ht="47" customHeight="1">
      <x:c r="A46" s="4" t="str">
        <x:v>PD-WRL-007</x:v>
      </x:c>
      <x:c r="B46" s="4" t="str">
        <x:v>F001</x:v>
      </x:c>
      <x:c r="C46" s="4" t="str">
        <x:v>F001</x:v>
      </x:c>
      <x:c r="D46" s="4" t="str">
        <x:v>PD-WRL-007</x:v>
      </x:c>
      <x:c r="E46" s="4" t="str">
        <x:v>2.2.0</x:v>
      </x:c>
      <x:c r="F46" s="4" t="str">
        <x:v>elements / PD-WRL-007</x:v>
      </x:c>
      <x:c r="G46" s="4" t="str">
        <x:v>JSON_ORIGINAL_UTF8</x:v>
      </x:c>
      <x:c r="H46" s="4" t="str">
        <x:v>23102</x:v>
      </x:c>
      <x:c r="I46" s="4" t="str">
        <x:v>440</x:v>
      </x:c>
      <x:c r="J46" s="4" t="str">
        <x:v>437f4fd73dd18c9b9cbe3526735220d9f6fb554ae7d39847e9cbd8af95c607ba</x:v>
      </x:c>
      <x:c r="K46" s="4" t="str">
        <x:v>2026-09-08</x:v>
      </x:c>
      <x:c r="L46" s="4" t="str">
        <x:v>SIN_FECHA_DE_ADOPCION</x:v>
      </x:c>
      <x:c r="M46" s="12" t="n">
        <x:f>IF(LEN(J46)=64,0,1)</x:f>
        <x:v>0</x:v>
      </x:c>
      <x:c r="N46" s="12" t="n">
        <x:f>IF(COUNTIF('03_NICE'!$A$5:$A$57,A46)+COUNTIF('04_TKS'!$A$5:$A$72,A46)+COUNTIF('05_Complementos'!$A$5:$A$127,A46)=1,0,1)</x:f>
        <x:v>0</x:v>
      </x:c>
      <x:c r="O46" s="12" t="n">
        <x:f>COUNTIF('08_Trazas'!$A$5:$A$248,A46)-1</x:f>
        <x:v>0</x:v>
      </x:c>
      <x:c r="P46" s="12" t="n">
        <x:f>IF(COUNTIF('02_Custodia'!$A$5:$A$53,C46)=1,0,1)</x:f>
        <x:v>0</x:v>
      </x:c>
    </x:row>
    <x:row r="47" ht="47" customHeight="1">
      <x:c r="A47" s="4" t="str">
        <x:v>NF-COM-001</x:v>
      </x:c>
      <x:c r="B47" s="4" t="str">
        <x:v>F001</x:v>
      </x:c>
      <x:c r="C47" s="4" t="str">
        <x:v>F001</x:v>
      </x:c>
      <x:c r="D47" s="4" t="str">
        <x:v>NF-COM-001</x:v>
      </x:c>
      <x:c r="E47" s="4" t="str">
        <x:v>2.2.0</x:v>
      </x:c>
      <x:c r="F47" s="4" t="str">
        <x:v>elements / NF-COM-001</x:v>
      </x:c>
      <x:c r="G47" s="4" t="str">
        <x:v>JSON_ORIGINAL_UTF8</x:v>
      </x:c>
      <x:c r="H47" s="4" t="str">
        <x:v>34728</x:v>
      </x:c>
      <x:c r="I47" s="4" t="str">
        <x:v>474</x:v>
      </x:c>
      <x:c r="J47" s="4" t="str">
        <x:v>64d5d1b1bacb1a145816b1f3d7e6f657c4b8bb31b75a88fa1ad31168213777bc</x:v>
      </x:c>
      <x:c r="K47" s="4" t="str">
        <x:v>2026-09-08</x:v>
      </x:c>
      <x:c r="L47" s="4" t="str">
        <x:v>SIN_FECHA_DE_ADOPCION</x:v>
      </x:c>
      <x:c r="M47" s="12" t="n">
        <x:f>IF(LEN(J47)=64,0,1)</x:f>
        <x:v>0</x:v>
      </x:c>
      <x:c r="N47" s="12" t="n">
        <x:f>IF(COUNTIF('03_NICE'!$A$5:$A$57,A47)+COUNTIF('04_TKS'!$A$5:$A$72,A47)+COUNTIF('05_Complementos'!$A$5:$A$127,A47)=1,0,1)</x:f>
        <x:v>0</x:v>
      </x:c>
      <x:c r="O47" s="12" t="n">
        <x:f>COUNTIF('08_Trazas'!$A$5:$A$248,A47)-1</x:f>
        <x:v>0</x:v>
      </x:c>
      <x:c r="P47" s="12" t="n">
        <x:f>IF(COUNTIF('02_Custodia'!$A$5:$A$53,C47)=1,0,1)</x:f>
        <x:v>0</x:v>
      </x:c>
    </x:row>
    <x:row r="48" ht="47" customHeight="1">
      <x:c r="A48" s="4" t="str">
        <x:v>NF-COM-002</x:v>
      </x:c>
      <x:c r="B48" s="4" t="str">
        <x:v>F001</x:v>
      </x:c>
      <x:c r="C48" s="4" t="str">
        <x:v>F001</x:v>
      </x:c>
      <x:c r="D48" s="4" t="str">
        <x:v>NF-COM-002</x:v>
      </x:c>
      <x:c r="E48" s="4" t="str">
        <x:v>2.2.0</x:v>
      </x:c>
      <x:c r="F48" s="4" t="str">
        <x:v>elements / NF-COM-002</x:v>
      </x:c>
      <x:c r="G48" s="4" t="str">
        <x:v>JSON_ORIGINAL_UTF8</x:v>
      </x:c>
      <x:c r="H48" s="4" t="str">
        <x:v>35212</x:v>
      </x:c>
      <x:c r="I48" s="4" t="str">
        <x:v>462</x:v>
      </x:c>
      <x:c r="J48" s="4" t="str">
        <x:v>346ef7871b824909a509b80f54b699829db9f8e2953e4321c57657f5e57a7f43</x:v>
      </x:c>
      <x:c r="K48" s="4" t="str">
        <x:v>2026-09-08</x:v>
      </x:c>
      <x:c r="L48" s="4" t="str">
        <x:v>SIN_FECHA_DE_ADOPCION</x:v>
      </x:c>
      <x:c r="M48" s="12" t="n">
        <x:f>IF(LEN(J48)=64,0,1)</x:f>
        <x:v>0</x:v>
      </x:c>
      <x:c r="N48" s="12" t="n">
        <x:f>IF(COUNTIF('03_NICE'!$A$5:$A$57,A48)+COUNTIF('04_TKS'!$A$5:$A$72,A48)+COUNTIF('05_Complementos'!$A$5:$A$127,A48)=1,0,1)</x:f>
        <x:v>0</x:v>
      </x:c>
      <x:c r="O48" s="12" t="n">
        <x:f>COUNTIF('08_Trazas'!$A$5:$A$248,A48)-1</x:f>
        <x:v>0</x:v>
      </x:c>
      <x:c r="P48" s="12" t="n">
        <x:f>IF(COUNTIF('02_Custodia'!$A$5:$A$53,C48)=1,0,1)</x:f>
        <x:v>0</x:v>
      </x:c>
    </x:row>
    <x:row r="49" ht="47" customHeight="1">
      <x:c r="A49" s="4" t="str">
        <x:v>NF-COM-003</x:v>
      </x:c>
      <x:c r="B49" s="4" t="str">
        <x:v>F001</x:v>
      </x:c>
      <x:c r="C49" s="4" t="str">
        <x:v>F001</x:v>
      </x:c>
      <x:c r="D49" s="4" t="str">
        <x:v>NF-COM-003</x:v>
      </x:c>
      <x:c r="E49" s="4" t="str">
        <x:v>2.2.0</x:v>
      </x:c>
      <x:c r="F49" s="4" t="str">
        <x:v>elements / NF-COM-003</x:v>
      </x:c>
      <x:c r="G49" s="4" t="str">
        <x:v>JSON_ORIGINAL_UTF8</x:v>
      </x:c>
      <x:c r="H49" s="4" t="str">
        <x:v>33893</x:v>
      </x:c>
      <x:c r="I49" s="4" t="str">
        <x:v>445</x:v>
      </x:c>
      <x:c r="J49" s="4" t="str">
        <x:v>a49e538d9f8ffa06a225ff71e4763a5ec47626f175fb46e4641fc215d042e968</x:v>
      </x:c>
      <x:c r="K49" s="4" t="str">
        <x:v>2026-09-08</x:v>
      </x:c>
      <x:c r="L49" s="4" t="str">
        <x:v>SIN_FECHA_DE_ADOPCION</x:v>
      </x:c>
      <x:c r="M49" s="12" t="n">
        <x:f>IF(LEN(J49)=64,0,1)</x:f>
        <x:v>0</x:v>
      </x:c>
      <x:c r="N49" s="12" t="n">
        <x:f>IF(COUNTIF('03_NICE'!$A$5:$A$57,A49)+COUNTIF('04_TKS'!$A$5:$A$72,A49)+COUNTIF('05_Complementos'!$A$5:$A$127,A49)=1,0,1)</x:f>
        <x:v>0</x:v>
      </x:c>
      <x:c r="O49" s="12" t="n">
        <x:f>COUNTIF('08_Trazas'!$A$5:$A$248,A49)-1</x:f>
        <x:v>0</x:v>
      </x:c>
      <x:c r="P49" s="12" t="n">
        <x:f>IF(COUNTIF('02_Custodia'!$A$5:$A$53,C49)=1,0,1)</x:f>
        <x:v>0</x:v>
      </x:c>
    </x:row>
    <x:row r="50" ht="47" customHeight="1">
      <x:c r="A50" s="4" t="str">
        <x:v>NF-COM-004</x:v>
      </x:c>
      <x:c r="B50" s="4" t="str">
        <x:v>F001</x:v>
      </x:c>
      <x:c r="C50" s="4" t="str">
        <x:v>F001</x:v>
      </x:c>
      <x:c r="D50" s="4" t="str">
        <x:v>NF-COM-004</x:v>
      </x:c>
      <x:c r="E50" s="4" t="str">
        <x:v>2.2.0</x:v>
      </x:c>
      <x:c r="F50" s="4" t="str">
        <x:v>elements / NF-COM-004</x:v>
      </x:c>
      <x:c r="G50" s="4" t="str">
        <x:v>JSON_ORIGINAL_UTF8</x:v>
      </x:c>
      <x:c r="H50" s="4" t="str">
        <x:v>34348</x:v>
      </x:c>
      <x:c r="I50" s="4" t="str">
        <x:v>370</x:v>
      </x:c>
      <x:c r="J50" s="4" t="str">
        <x:v>1c7a2d86d57e5507e4fa221e13f7abcce317503614c3700d76ecd1b827761895</x:v>
      </x:c>
      <x:c r="K50" s="4" t="str">
        <x:v>2026-09-08</x:v>
      </x:c>
      <x:c r="L50" s="4" t="str">
        <x:v>SIN_FECHA_DE_ADOPCION</x:v>
      </x:c>
      <x:c r="M50" s="12" t="n">
        <x:f>IF(LEN(J50)=64,0,1)</x:f>
        <x:v>0</x:v>
      </x:c>
      <x:c r="N50" s="12" t="n">
        <x:f>IF(COUNTIF('03_NICE'!$A$5:$A$57,A50)+COUNTIF('04_TKS'!$A$5:$A$72,A50)+COUNTIF('05_Complementos'!$A$5:$A$127,A50)=1,0,1)</x:f>
        <x:v>0</x:v>
      </x:c>
      <x:c r="O50" s="12" t="n">
        <x:f>COUNTIF('08_Trazas'!$A$5:$A$248,A50)-1</x:f>
        <x:v>0</x:v>
      </x:c>
      <x:c r="P50" s="12" t="n">
        <x:f>IF(COUNTIF('02_Custodia'!$A$5:$A$53,C50)=1,0,1)</x:f>
        <x:v>0</x:v>
      </x:c>
    </x:row>
    <x:row r="51" ht="47" customHeight="1">
      <x:c r="A51" s="4" t="str">
        <x:v>NF-COM-005</x:v>
      </x:c>
      <x:c r="B51" s="4" t="str">
        <x:v>F001</x:v>
      </x:c>
      <x:c r="C51" s="4" t="str">
        <x:v>F001</x:v>
      </x:c>
      <x:c r="D51" s="4" t="str">
        <x:v>NF-COM-005</x:v>
      </x:c>
      <x:c r="E51" s="4" t="str">
        <x:v>2.2.0</x:v>
      </x:c>
      <x:c r="F51" s="4" t="str">
        <x:v>elements / NF-COM-005</x:v>
      </x:c>
      <x:c r="G51" s="4" t="str">
        <x:v>JSON_ORIGINAL_UTF8</x:v>
      </x:c>
      <x:c r="H51" s="4" t="str">
        <x:v>33054</x:v>
      </x:c>
      <x:c r="I51" s="4" t="str">
        <x:v>419</x:v>
      </x:c>
      <x:c r="J51" s="4" t="str">
        <x:v>25c4407c7be4cc0310fc813b92d04ea9eba5583f09c1ed2dc0c1f03a83a3f732</x:v>
      </x:c>
      <x:c r="K51" s="4" t="str">
        <x:v>2026-09-08</x:v>
      </x:c>
      <x:c r="L51" s="4" t="str">
        <x:v>SIN_FECHA_DE_ADOPCION</x:v>
      </x:c>
      <x:c r="M51" s="12" t="n">
        <x:f>IF(LEN(J51)=64,0,1)</x:f>
        <x:v>0</x:v>
      </x:c>
      <x:c r="N51" s="12" t="n">
        <x:f>IF(COUNTIF('03_NICE'!$A$5:$A$57,A51)+COUNTIF('04_TKS'!$A$5:$A$72,A51)+COUNTIF('05_Complementos'!$A$5:$A$127,A51)=1,0,1)</x:f>
        <x:v>0</x:v>
      </x:c>
      <x:c r="O51" s="12" t="n">
        <x:f>COUNTIF('08_Trazas'!$A$5:$A$248,A51)-1</x:f>
        <x:v>0</x:v>
      </x:c>
      <x:c r="P51" s="12" t="n">
        <x:f>IF(COUNTIF('02_Custodia'!$A$5:$A$53,C51)=1,0,1)</x:f>
        <x:v>0</x:v>
      </x:c>
    </x:row>
    <x:row r="52" ht="47" customHeight="1">
      <x:c r="A52" s="4" t="str">
        <x:v>NF-COM-006</x:v>
      </x:c>
      <x:c r="B52" s="4" t="str">
        <x:v>F001</x:v>
      </x:c>
      <x:c r="C52" s="4" t="str">
        <x:v>F001</x:v>
      </x:c>
      <x:c r="D52" s="4" t="str">
        <x:v>NF-COM-006</x:v>
      </x:c>
      <x:c r="E52" s="4" t="str">
        <x:v>2.2.0</x:v>
      </x:c>
      <x:c r="F52" s="4" t="str">
        <x:v>elements / NF-COM-006</x:v>
      </x:c>
      <x:c r="G52" s="4" t="str">
        <x:v>JSON_ORIGINAL_UTF8</x:v>
      </x:c>
      <x:c r="H52" s="4" t="str">
        <x:v>33483</x:v>
      </x:c>
      <x:c r="I52" s="4" t="str">
        <x:v>400</x:v>
      </x:c>
      <x:c r="J52" s="4" t="str">
        <x:v>2ff12382f7022aa3c729249d288f1e38ff8785c173906ee891ab220ec02541cc</x:v>
      </x:c>
      <x:c r="K52" s="4" t="str">
        <x:v>2026-09-08</x:v>
      </x:c>
      <x:c r="L52" s="4" t="str">
        <x:v>SIN_FECHA_DE_ADOPCION</x:v>
      </x:c>
      <x:c r="M52" s="12" t="n">
        <x:f>IF(LEN(J52)=64,0,1)</x:f>
        <x:v>0</x:v>
      </x:c>
      <x:c r="N52" s="12" t="n">
        <x:f>IF(COUNTIF('03_NICE'!$A$5:$A$57,A52)+COUNTIF('04_TKS'!$A$5:$A$72,A52)+COUNTIF('05_Complementos'!$A$5:$A$127,A52)=1,0,1)</x:f>
        <x:v>0</x:v>
      </x:c>
      <x:c r="O52" s="12" t="n">
        <x:f>COUNTIF('08_Trazas'!$A$5:$A$248,A52)-1</x:f>
        <x:v>0</x:v>
      </x:c>
      <x:c r="P52" s="12" t="n">
        <x:f>IF(COUNTIF('02_Custodia'!$A$5:$A$53,C52)=1,0,1)</x:f>
        <x:v>0</x:v>
      </x:c>
    </x:row>
    <x:row r="53" ht="47" customHeight="1">
      <x:c r="A53" s="4" t="str">
        <x:v>NF-COM-007</x:v>
      </x:c>
      <x:c r="B53" s="4" t="str">
        <x:v>F001</x:v>
      </x:c>
      <x:c r="C53" s="4" t="str">
        <x:v>F001</x:v>
      </x:c>
      <x:c r="D53" s="4" t="str">
        <x:v>NF-COM-007</x:v>
      </x:c>
      <x:c r="E53" s="4" t="str">
        <x:v>2.2.0</x:v>
      </x:c>
      <x:c r="F53" s="4" t="str">
        <x:v>elements / NF-COM-007</x:v>
      </x:c>
      <x:c r="G53" s="4" t="str">
        <x:v>JSON_ORIGINAL_UTF8</x:v>
      </x:c>
      <x:c r="H53" s="4" t="str">
        <x:v>32072</x:v>
      </x:c>
      <x:c r="I53" s="4" t="str">
        <x:v>547</x:v>
      </x:c>
      <x:c r="J53" s="4" t="str">
        <x:v>a256c77b8864868a0502a1d6d7548c8394b1d6727d9ba1952747cea931c568ac</x:v>
      </x:c>
      <x:c r="K53" s="4" t="str">
        <x:v>2026-09-08</x:v>
      </x:c>
      <x:c r="L53" s="4" t="str">
        <x:v>SIN_FECHA_DE_ADOPCION</x:v>
      </x:c>
      <x:c r="M53" s="12" t="n">
        <x:f>IF(LEN(J53)=64,0,1)</x:f>
        <x:v>0</x:v>
      </x:c>
      <x:c r="N53" s="12" t="n">
        <x:f>IF(COUNTIF('03_NICE'!$A$5:$A$57,A53)+COUNTIF('04_TKS'!$A$5:$A$72,A53)+COUNTIF('05_Complementos'!$A$5:$A$127,A53)=1,0,1)</x:f>
        <x:v>0</x:v>
      </x:c>
      <x:c r="O53" s="12" t="n">
        <x:f>COUNTIF('08_Trazas'!$A$5:$A$248,A53)-1</x:f>
        <x:v>0</x:v>
      </x:c>
      <x:c r="P53" s="12" t="n">
        <x:f>IF(COUNTIF('02_Custodia'!$A$5:$A$53,C53)=1,0,1)</x:f>
        <x:v>0</x:v>
      </x:c>
    </x:row>
    <x:row r="54" ht="47" customHeight="1">
      <x:c r="A54" s="4" t="str">
        <x:v>NF-COM-008</x:v>
      </x:c>
      <x:c r="B54" s="4" t="str">
        <x:v>F001</x:v>
      </x:c>
      <x:c r="C54" s="4" t="str">
        <x:v>F001</x:v>
      </x:c>
      <x:c r="D54" s="4" t="str">
        <x:v>NF-COM-008</x:v>
      </x:c>
      <x:c r="E54" s="4" t="str">
        <x:v>2.2.0</x:v>
      </x:c>
      <x:c r="F54" s="4" t="str">
        <x:v>elements / NF-COM-008</x:v>
      </x:c>
      <x:c r="G54" s="4" t="str">
        <x:v>JSON_ORIGINAL_UTF8</x:v>
      </x:c>
      <x:c r="H54" s="4" t="str">
        <x:v>32629</x:v>
      </x:c>
      <x:c r="I54" s="4" t="str">
        <x:v>415</x:v>
      </x:c>
      <x:c r="J54" s="4" t="str">
        <x:v>bdf9f4f9f6edca34ae162a34eb42d6ff78d0d4c3db50268b30c6d3647bd77ed7</x:v>
      </x:c>
      <x:c r="K54" s="4" t="str">
        <x:v>2026-09-08</x:v>
      </x:c>
      <x:c r="L54" s="4" t="str">
        <x:v>SIN_FECHA_DE_ADOPCION</x:v>
      </x:c>
      <x:c r="M54" s="12" t="n">
        <x:f>IF(LEN(J54)=64,0,1)</x:f>
        <x:v>0</x:v>
      </x:c>
      <x:c r="N54" s="12" t="n">
        <x:f>IF(COUNTIF('03_NICE'!$A$5:$A$57,A54)+COUNTIF('04_TKS'!$A$5:$A$72,A54)+COUNTIF('05_Complementos'!$A$5:$A$127,A54)=1,0,1)</x:f>
        <x:v>0</x:v>
      </x:c>
      <x:c r="O54" s="12" t="n">
        <x:f>COUNTIF('08_Trazas'!$A$5:$A$248,A54)-1</x:f>
        <x:v>0</x:v>
      </x:c>
      <x:c r="P54" s="12" t="n">
        <x:f>IF(COUNTIF('02_Custodia'!$A$5:$A$53,C54)=1,0,1)</x:f>
        <x:v>0</x:v>
      </x:c>
    </x:row>
    <x:row r="55" ht="47" customHeight="1">
      <x:c r="A55" s="4" t="str">
        <x:v>NF-COM-009</x:v>
      </x:c>
      <x:c r="B55" s="4" t="str">
        <x:v>F001</x:v>
      </x:c>
      <x:c r="C55" s="4" t="str">
        <x:v>F001</x:v>
      </x:c>
      <x:c r="D55" s="4" t="str">
        <x:v>NF-COM-009</x:v>
      </x:c>
      <x:c r="E55" s="4" t="str">
        <x:v>2.2.0</x:v>
      </x:c>
      <x:c r="F55" s="4" t="str">
        <x:v>elements / NF-COM-009</x:v>
      </x:c>
      <x:c r="G55" s="4" t="str">
        <x:v>JSON_ORIGINAL_UTF8</x:v>
      </x:c>
      <x:c r="H55" s="4" t="str">
        <x:v>31636</x:v>
      </x:c>
      <x:c r="I55" s="4" t="str">
        <x:v>426</x:v>
      </x:c>
      <x:c r="J55" s="4" t="str">
        <x:v>a8939129764613f8d51bb8edcbe88acb5ea31a7601874bae242ab644cbb75977</x:v>
      </x:c>
      <x:c r="K55" s="4" t="str">
        <x:v>2026-09-08</x:v>
      </x:c>
      <x:c r="L55" s="4" t="str">
        <x:v>SIN_FECHA_DE_ADOPCION</x:v>
      </x:c>
      <x:c r="M55" s="12" t="n">
        <x:f>IF(LEN(J55)=64,0,1)</x:f>
        <x:v>0</x:v>
      </x:c>
      <x:c r="N55" s="12" t="n">
        <x:f>IF(COUNTIF('03_NICE'!$A$5:$A$57,A55)+COUNTIF('04_TKS'!$A$5:$A$72,A55)+COUNTIF('05_Complementos'!$A$5:$A$127,A55)=1,0,1)</x:f>
        <x:v>0</x:v>
      </x:c>
      <x:c r="O55" s="12" t="n">
        <x:f>COUNTIF('08_Trazas'!$A$5:$A$248,A55)-1</x:f>
        <x:v>0</x:v>
      </x:c>
      <x:c r="P55" s="12" t="n">
        <x:f>IF(COUNTIF('02_Custodia'!$A$5:$A$53,C55)=1,0,1)</x:f>
        <x:v>0</x:v>
      </x:c>
    </x:row>
    <x:row r="56" ht="47" customHeight="1">
      <x:c r="A56" s="4" t="str">
        <x:v>NF-COM-010</x:v>
      </x:c>
      <x:c r="B56" s="4" t="str">
        <x:v>F001</x:v>
      </x:c>
      <x:c r="C56" s="4" t="str">
        <x:v>F001</x:v>
      </x:c>
      <x:c r="D56" s="4" t="str">
        <x:v>NF-COM-010</x:v>
      </x:c>
      <x:c r="E56" s="4" t="str">
        <x:v>2.2.0</x:v>
      </x:c>
      <x:c r="F56" s="4" t="str">
        <x:v>elements / NF-COM-010</x:v>
      </x:c>
      <x:c r="G56" s="4" t="str">
        <x:v>JSON_ORIGINAL_UTF8</x:v>
      </x:c>
      <x:c r="H56" s="4" t="str">
        <x:v>30729</x:v>
      </x:c>
      <x:c r="I56" s="4" t="str">
        <x:v>457</x:v>
      </x:c>
      <x:c r="J56" s="4" t="str">
        <x:v>470bfebf3512ec2510edca2e0fca5a3aa551a5d37a9a266fb1c40e582eb58b5c</x:v>
      </x:c>
      <x:c r="K56" s="4" t="str">
        <x:v>2026-09-08</x:v>
      </x:c>
      <x:c r="L56" s="4" t="str">
        <x:v>SIN_FECHA_DE_ADOPCION</x:v>
      </x:c>
      <x:c r="M56" s="12" t="n">
        <x:f>IF(LEN(J56)=64,0,1)</x:f>
        <x:v>0</x:v>
      </x:c>
      <x:c r="N56" s="12" t="n">
        <x:f>IF(COUNTIF('03_NICE'!$A$5:$A$57,A56)+COUNTIF('04_TKS'!$A$5:$A$72,A56)+COUNTIF('05_Complementos'!$A$5:$A$127,A56)=1,0,1)</x:f>
        <x:v>0</x:v>
      </x:c>
      <x:c r="O56" s="12" t="n">
        <x:f>COUNTIF('08_Trazas'!$A$5:$A$248,A56)-1</x:f>
        <x:v>0</x:v>
      </x:c>
      <x:c r="P56" s="12" t="n">
        <x:f>IF(COUNTIF('02_Custodia'!$A$5:$A$53,C56)=1,0,1)</x:f>
        <x:v>0</x:v>
      </x:c>
    </x:row>
    <x:row r="57" ht="47" customHeight="1">
      <x:c r="A57" s="4" t="str">
        <x:v>NF-COM-011</x:v>
      </x:c>
      <x:c r="B57" s="4" t="str">
        <x:v>F001</x:v>
      </x:c>
      <x:c r="C57" s="4" t="str">
        <x:v>F001</x:v>
      </x:c>
      <x:c r="D57" s="4" t="str">
        <x:v>NF-COM-011</x:v>
      </x:c>
      <x:c r="E57" s="4" t="str">
        <x:v>2.2.0</x:v>
      </x:c>
      <x:c r="F57" s="4" t="str">
        <x:v>elements / NF-COM-011</x:v>
      </x:c>
      <x:c r="G57" s="4" t="str">
        <x:v>JSON_ORIGINAL_UTF8</x:v>
      </x:c>
      <x:c r="H57" s="4" t="str">
        <x:v>31196</x:v>
      </x:c>
      <x:c r="I57" s="4" t="str">
        <x:v>430</x:v>
      </x:c>
      <x:c r="J57" s="4" t="str">
        <x:v>4cf9310c8795409c12464bf4b4b49a0b32e3763ab1f339f7a6648a3ac15a9516</x:v>
      </x:c>
      <x:c r="K57" s="4" t="str">
        <x:v>2026-09-08</x:v>
      </x:c>
      <x:c r="L57" s="4" t="str">
        <x:v>SIN_FECHA_DE_ADOPCION</x:v>
      </x:c>
      <x:c r="M57" s="12" t="n">
        <x:f>IF(LEN(J57)=64,0,1)</x:f>
        <x:v>0</x:v>
      </x:c>
      <x:c r="N57" s="12" t="n">
        <x:f>IF(COUNTIF('03_NICE'!$A$5:$A$57,A57)+COUNTIF('04_TKS'!$A$5:$A$72,A57)+COUNTIF('05_Complementos'!$A$5:$A$127,A57)=1,0,1)</x:f>
        <x:v>0</x:v>
      </x:c>
      <x:c r="O57" s="12" t="n">
        <x:f>COUNTIF('08_Trazas'!$A$5:$A$248,A57)-1</x:f>
        <x:v>0</x:v>
      </x:c>
      <x:c r="P57" s="12" t="n">
        <x:f>IF(COUNTIF('02_Custodia'!$A$5:$A$53,C57)=1,0,1)</x:f>
        <x:v>0</x:v>
      </x:c>
    </x:row>
    <x:row r="58" ht="47" customHeight="1">
      <x:c r="A58" s="4" t="str">
        <x:v>T0077</x:v>
      </x:c>
      <x:c r="B58" s="4" t="str">
        <x:v>F001</x:v>
      </x:c>
      <x:c r="C58" s="4" t="str">
        <x:v>F001</x:v>
      </x:c>
      <x:c r="D58" s="4" t="str">
        <x:v>T0077</x:v>
      </x:c>
      <x:c r="E58" s="4" t="str">
        <x:v>2.2.0</x:v>
      </x:c>
      <x:c r="F58" s="4" t="str">
        <x:v>elements / T0077</x:v>
      </x:c>
      <x:c r="G58" s="4" t="str">
        <x:v>JSON_ORIGINAL_UTF8</x:v>
      </x:c>
      <x:c r="H58" s="4" t="str">
        <x:v>44724</x:v>
      </x:c>
      <x:c r="I58" s="4" t="str">
        <x:v>226</x:v>
      </x:c>
      <x:c r="J58" s="4" t="str">
        <x:v>d1aa6066b235790e72eb38abc976a19b70408ed8eb7e5718f996dfffecd4caf2</x:v>
      </x:c>
      <x:c r="K58" s="4" t="str">
        <x:v>2026-09-08</x:v>
      </x:c>
      <x:c r="L58" s="4" t="str">
        <x:v>SIN_FECHA_DE_ADOPCION</x:v>
      </x:c>
      <x:c r="M58" s="12" t="n">
        <x:f>IF(LEN(J58)=64,0,1)</x:f>
        <x:v>0</x:v>
      </x:c>
      <x:c r="N58" s="12" t="n">
        <x:f>IF(COUNTIF('03_NICE'!$A$5:$A$57,A58)+COUNTIF('04_TKS'!$A$5:$A$72,A58)+COUNTIF('05_Complementos'!$A$5:$A$127,A58)=1,0,1)</x:f>
        <x:v>0</x:v>
      </x:c>
      <x:c r="O58" s="12" t="n">
        <x:f>COUNTIF('08_Trazas'!$A$5:$A$248,A58)-1</x:f>
        <x:v>0</x:v>
      </x:c>
      <x:c r="P58" s="12" t="n">
        <x:f>IF(COUNTIF('02_Custodia'!$A$5:$A$53,C58)=1,0,1)</x:f>
        <x:v>0</x:v>
      </x:c>
    </x:row>
    <x:row r="59" ht="47" customHeight="1">
      <x:c r="A59" s="4" t="str">
        <x:v>T0080</x:v>
      </x:c>
      <x:c r="B59" s="4" t="str">
        <x:v>F001</x:v>
      </x:c>
      <x:c r="C59" s="4" t="str">
        <x:v>F001</x:v>
      </x:c>
      <x:c r="D59" s="4" t="str">
        <x:v>T0080</x:v>
      </x:c>
      <x:c r="E59" s="4" t="str">
        <x:v>2.2.0</x:v>
      </x:c>
      <x:c r="F59" s="4" t="str">
        <x:v>elements / T0080</x:v>
      </x:c>
      <x:c r="G59" s="4" t="str">
        <x:v>JSON_ORIGINAL_UTF8</x:v>
      </x:c>
      <x:c r="H59" s="4" t="str">
        <x:v>44960</x:v>
      </x:c>
      <x:c r="I59" s="4" t="str">
        <x:v>249</x:v>
      </x:c>
      <x:c r="J59" s="4" t="str">
        <x:v>be045c51e49107578d897a14af414216705307b4dea7bbb74b6cfb37c3ec7323</x:v>
      </x:c>
      <x:c r="K59" s="4" t="str">
        <x:v>2026-09-08</x:v>
      </x:c>
      <x:c r="L59" s="4" t="str">
        <x:v>SIN_FECHA_DE_ADOPCION</x:v>
      </x:c>
      <x:c r="M59" s="12" t="n">
        <x:f>IF(LEN(J59)=64,0,1)</x:f>
        <x:v>0</x:v>
      </x:c>
      <x:c r="N59" s="12" t="n">
        <x:f>IF(COUNTIF('03_NICE'!$A$5:$A$57,A59)+COUNTIF('04_TKS'!$A$5:$A$72,A59)+COUNTIF('05_Complementos'!$A$5:$A$127,A59)=1,0,1)</x:f>
        <x:v>0</x:v>
      </x:c>
      <x:c r="O59" s="12" t="n">
        <x:f>COUNTIF('08_Trazas'!$A$5:$A$248,A59)-1</x:f>
        <x:v>0</x:v>
      </x:c>
      <x:c r="P59" s="12" t="n">
        <x:f>IF(COUNTIF('02_Custodia'!$A$5:$A$53,C59)=1,0,1)</x:f>
        <x:v>0</x:v>
      </x:c>
    </x:row>
    <x:row r="60" ht="47" customHeight="1">
      <x:c r="A60" s="4" t="str">
        <x:v>T0084</x:v>
      </x:c>
      <x:c r="B60" s="4" t="str">
        <x:v>F001</x:v>
      </x:c>
      <x:c r="C60" s="4" t="str">
        <x:v>F001</x:v>
      </x:c>
      <x:c r="D60" s="4" t="str">
        <x:v>T0084</x:v>
      </x:c>
      <x:c r="E60" s="4" t="str">
        <x:v>2.2.0</x:v>
      </x:c>
      <x:c r="F60" s="4" t="str">
        <x:v>elements / T0084</x:v>
      </x:c>
      <x:c r="G60" s="4" t="str">
        <x:v>JSON_ORIGINAL_UTF8</x:v>
      </x:c>
      <x:c r="H60" s="4" t="str">
        <x:v>45455</x:v>
      </x:c>
      <x:c r="I60" s="4" t="str">
        <x:v>236</x:v>
      </x:c>
      <x:c r="J60" s="4" t="str">
        <x:v>2b947b69554c307cf6b0ee1a4a325a275ea17f0992663e4e3dabd1af98586014</x:v>
      </x:c>
      <x:c r="K60" s="4" t="str">
        <x:v>2026-09-08</x:v>
      </x:c>
      <x:c r="L60" s="4" t="str">
        <x:v>SIN_FECHA_DE_ADOPCION</x:v>
      </x:c>
      <x:c r="M60" s="12" t="n">
        <x:f>IF(LEN(J60)=64,0,1)</x:f>
        <x:v>0</x:v>
      </x:c>
      <x:c r="N60" s="12" t="n">
        <x:f>IF(COUNTIF('03_NICE'!$A$5:$A$57,A60)+COUNTIF('04_TKS'!$A$5:$A$72,A60)+COUNTIF('05_Complementos'!$A$5:$A$127,A60)=1,0,1)</x:f>
        <x:v>0</x:v>
      </x:c>
      <x:c r="O60" s="12" t="n">
        <x:f>COUNTIF('08_Trazas'!$A$5:$A$248,A60)-1</x:f>
        <x:v>0</x:v>
      </x:c>
      <x:c r="P60" s="12" t="n">
        <x:f>IF(COUNTIF('02_Custodia'!$A$5:$A$53,C60)=1,0,1)</x:f>
        <x:v>0</x:v>
      </x:c>
    </x:row>
    <x:row r="61" ht="47" customHeight="1">
      <x:c r="A61" s="4" t="str">
        <x:v>T0101</x:v>
      </x:c>
      <x:c r="B61" s="4" t="str">
        <x:v>F001</x:v>
      </x:c>
      <x:c r="C61" s="4" t="str">
        <x:v>F001</x:v>
      </x:c>
      <x:c r="D61" s="4" t="str">
        <x:v>T0101</x:v>
      </x:c>
      <x:c r="E61" s="4" t="str">
        <x:v>2.2.0</x:v>
      </x:c>
      <x:c r="F61" s="4" t="str">
        <x:v>elements / T0101</x:v>
      </x:c>
      <x:c r="G61" s="4" t="str">
        <x:v>JSON_ORIGINAL_UTF8</x:v>
      </x:c>
      <x:c r="H61" s="4" t="str">
        <x:v>45701</x:v>
      </x:c>
      <x:c r="I61" s="4" t="str">
        <x:v>266</x:v>
      </x:c>
      <x:c r="J61" s="4" t="str">
        <x:v>c95b6936d681a346b2bcbdfb1b9b15c49d130fc766bf1f59bb9a5fc8e1a7e71b</x:v>
      </x:c>
      <x:c r="K61" s="4" t="str">
        <x:v>2026-09-08</x:v>
      </x:c>
      <x:c r="L61" s="4" t="str">
        <x:v>SIN_FECHA_DE_ADOPCION</x:v>
      </x:c>
      <x:c r="M61" s="12" t="n">
        <x:f>IF(LEN(J61)=64,0,1)</x:f>
        <x:v>0</x:v>
      </x:c>
      <x:c r="N61" s="12" t="n">
        <x:f>IF(COUNTIF('03_NICE'!$A$5:$A$57,A61)+COUNTIF('04_TKS'!$A$5:$A$72,A61)+COUNTIF('05_Complementos'!$A$5:$A$127,A61)=1,0,1)</x:f>
        <x:v>0</x:v>
      </x:c>
      <x:c r="O61" s="12" t="n">
        <x:f>COUNTIF('08_Trazas'!$A$5:$A$248,A61)-1</x:f>
        <x:v>0</x:v>
      </x:c>
      <x:c r="P61" s="12" t="n">
        <x:f>IF(COUNTIF('02_Custodia'!$A$5:$A$53,C61)=1,0,1)</x:f>
        <x:v>0</x:v>
      </x:c>
    </x:row>
    <x:row r="62" ht="47" customHeight="1">
      <x:c r="A62" s="4" t="str">
        <x:v>T0173</x:v>
      </x:c>
      <x:c r="B62" s="4" t="str">
        <x:v>F001</x:v>
      </x:c>
      <x:c r="C62" s="4" t="str">
        <x:v>F001</x:v>
      </x:c>
      <x:c r="D62" s="4" t="str">
        <x:v>T0173</x:v>
      </x:c>
      <x:c r="E62" s="4" t="str">
        <x:v>2.2.0</x:v>
      </x:c>
      <x:c r="F62" s="4" t="str">
        <x:v>elements / T0173</x:v>
      </x:c>
      <x:c r="G62" s="4" t="str">
        <x:v>JSON_ORIGINAL_UTF8</x:v>
      </x:c>
      <x:c r="H62" s="4" t="str">
        <x:v>49040</x:v>
      </x:c>
      <x:c r="I62" s="4" t="str">
        <x:v>213</x:v>
      </x:c>
      <x:c r="J62" s="4" t="str">
        <x:v>14b56f0f290e6613bc1227110224ae568ab080c57c17f7289491ff32cbbaac29</x:v>
      </x:c>
      <x:c r="K62" s="4" t="str">
        <x:v>2026-09-08</x:v>
      </x:c>
      <x:c r="L62" s="4" t="str">
        <x:v>SIN_FECHA_DE_ADOPCION</x:v>
      </x:c>
      <x:c r="M62" s="12" t="n">
        <x:f>IF(LEN(J62)=64,0,1)</x:f>
        <x:v>0</x:v>
      </x:c>
      <x:c r="N62" s="12" t="n">
        <x:f>IF(COUNTIF('03_NICE'!$A$5:$A$57,A62)+COUNTIF('04_TKS'!$A$5:$A$72,A62)+COUNTIF('05_Complementos'!$A$5:$A$127,A62)=1,0,1)</x:f>
        <x:v>0</x:v>
      </x:c>
      <x:c r="O62" s="12" t="n">
        <x:f>COUNTIF('08_Trazas'!$A$5:$A$248,A62)-1</x:f>
        <x:v>0</x:v>
      </x:c>
      <x:c r="P62" s="12" t="n">
        <x:f>IF(COUNTIF('02_Custodia'!$A$5:$A$53,C62)=1,0,1)</x:f>
        <x:v>0</x:v>
      </x:c>
    </x:row>
    <x:row r="63" ht="47" customHeight="1">
      <x:c r="A63" s="4" t="str">
        <x:v>T0220</x:v>
      </x:c>
      <x:c r="B63" s="4" t="str">
        <x:v>F001</x:v>
      </x:c>
      <x:c r="C63" s="4" t="str">
        <x:v>F001</x:v>
      </x:c>
      <x:c r="D63" s="4" t="str">
        <x:v>T0220</x:v>
      </x:c>
      <x:c r="E63" s="4" t="str">
        <x:v>2.2.0</x:v>
      </x:c>
      <x:c r="F63" s="4" t="str">
        <x:v>elements / T0220</x:v>
      </x:c>
      <x:c r="G63" s="4" t="str">
        <x:v>JSON_ORIGINAL_UTF8</x:v>
      </x:c>
      <x:c r="H63" s="4" t="str">
        <x:v>49947</x:v>
      </x:c>
      <x:c r="I63" s="4" t="str">
        <x:v>262</x:v>
      </x:c>
      <x:c r="J63" s="4" t="str">
        <x:v>ff4a7be918c86e1ba986b63131f4810d67814a08fa774bef80dd9b2c46c6fd92</x:v>
      </x:c>
      <x:c r="K63" s="4" t="str">
        <x:v>2026-09-08</x:v>
      </x:c>
      <x:c r="L63" s="4" t="str">
        <x:v>SIN_FECHA_DE_ADOPCION</x:v>
      </x:c>
      <x:c r="M63" s="12" t="n">
        <x:f>IF(LEN(J63)=64,0,1)</x:f>
        <x:v>0</x:v>
      </x:c>
      <x:c r="N63" s="12" t="n">
        <x:f>IF(COUNTIF('03_NICE'!$A$5:$A$57,A63)+COUNTIF('04_TKS'!$A$5:$A$72,A63)+COUNTIF('05_Complementos'!$A$5:$A$127,A63)=1,0,1)</x:f>
        <x:v>0</x:v>
      </x:c>
      <x:c r="O63" s="12" t="n">
        <x:f>COUNTIF('08_Trazas'!$A$5:$A$248,A63)-1</x:f>
        <x:v>0</x:v>
      </x:c>
      <x:c r="P63" s="12" t="n">
        <x:f>IF(COUNTIF('02_Custodia'!$A$5:$A$53,C63)=1,0,1)</x:f>
        <x:v>0</x:v>
      </x:c>
    </x:row>
    <x:row r="64" ht="47" customHeight="1">
      <x:c r="A64" s="4" t="str">
        <x:v>T0274</x:v>
      </x:c>
      <x:c r="B64" s="4" t="str">
        <x:v>F001</x:v>
      </x:c>
      <x:c r="C64" s="4" t="str">
        <x:v>F001</x:v>
      </x:c>
      <x:c r="D64" s="4" t="str">
        <x:v>T0274</x:v>
      </x:c>
      <x:c r="E64" s="4" t="str">
        <x:v>2.2.0</x:v>
      </x:c>
      <x:c r="F64" s="4" t="str">
        <x:v>elements / T0274</x:v>
      </x:c>
      <x:c r="G64" s="4" t="str">
        <x:v>JSON_ORIGINAL_UTF8</x:v>
      </x:c>
      <x:c r="H64" s="4" t="str">
        <x:v>51808</x:v>
      </x:c>
      <x:c r="I64" s="4" t="str">
        <x:v>234</x:v>
      </x:c>
      <x:c r="J64" s="4" t="str">
        <x:v>a5b7df69cec8371b67b749f326c1db7513323b7bd2df092e2666036056ac1d15</x:v>
      </x:c>
      <x:c r="K64" s="4" t="str">
        <x:v>2026-09-08</x:v>
      </x:c>
      <x:c r="L64" s="4" t="str">
        <x:v>SIN_FECHA_DE_ADOPCION</x:v>
      </x:c>
      <x:c r="M64" s="12" t="n">
        <x:f>IF(LEN(J64)=64,0,1)</x:f>
        <x:v>0</x:v>
      </x:c>
      <x:c r="N64" s="12" t="n">
        <x:f>IF(COUNTIF('03_NICE'!$A$5:$A$57,A64)+COUNTIF('04_TKS'!$A$5:$A$72,A64)+COUNTIF('05_Complementos'!$A$5:$A$127,A64)=1,0,1)</x:f>
        <x:v>0</x:v>
      </x:c>
      <x:c r="O64" s="12" t="n">
        <x:f>COUNTIF('08_Trazas'!$A$5:$A$248,A64)-1</x:f>
        <x:v>0</x:v>
      </x:c>
      <x:c r="P64" s="12" t="n">
        <x:f>IF(COUNTIF('02_Custodia'!$A$5:$A$53,C64)=1,0,1)</x:f>
        <x:v>0</x:v>
      </x:c>
    </x:row>
    <x:row r="65" ht="47" customHeight="1">
      <x:c r="A65" s="4" t="str">
        <x:v>T0309</x:v>
      </x:c>
      <x:c r="B65" s="4" t="str">
        <x:v>F001</x:v>
      </x:c>
      <x:c r="C65" s="4" t="str">
        <x:v>F001</x:v>
      </x:c>
      <x:c r="D65" s="4" t="str">
        <x:v>T0309</x:v>
      </x:c>
      <x:c r="E65" s="4" t="str">
        <x:v>2.2.0</x:v>
      </x:c>
      <x:c r="F65" s="4" t="str">
        <x:v>elements / T0309</x:v>
      </x:c>
      <x:c r="G65" s="4" t="str">
        <x:v>JSON_ORIGINAL_UTF8</x:v>
      </x:c>
      <x:c r="H65" s="4" t="str">
        <x:v>52581</x:v>
      </x:c>
      <x:c r="I65" s="4" t="str">
        <x:v>233</x:v>
      </x:c>
      <x:c r="J65" s="4" t="str">
        <x:v>f05f427519a083eccc74f92497cdf6f51de8bf55f7a96f9d899eb5ed519ccebb</x:v>
      </x:c>
      <x:c r="K65" s="4" t="str">
        <x:v>2026-09-08</x:v>
      </x:c>
      <x:c r="L65" s="4" t="str">
        <x:v>SIN_FECHA_DE_ADOPCION</x:v>
      </x:c>
      <x:c r="M65" s="12" t="n">
        <x:f>IF(LEN(J65)=64,0,1)</x:f>
        <x:v>0</x:v>
      </x:c>
      <x:c r="N65" s="12" t="n">
        <x:f>IF(COUNTIF('03_NICE'!$A$5:$A$57,A65)+COUNTIF('04_TKS'!$A$5:$A$72,A65)+COUNTIF('05_Complementos'!$A$5:$A$127,A65)=1,0,1)</x:f>
        <x:v>0</x:v>
      </x:c>
      <x:c r="O65" s="12" t="n">
        <x:f>COUNTIF('08_Trazas'!$A$5:$A$248,A65)-1</x:f>
        <x:v>0</x:v>
      </x:c>
      <x:c r="P65" s="12" t="n">
        <x:f>IF(COUNTIF('02_Custodia'!$A$5:$A$53,C65)=1,0,1)</x:f>
        <x:v>0</x:v>
      </x:c>
    </x:row>
    <x:row r="66" ht="47" customHeight="1">
      <x:c r="A66" s="4" t="str">
        <x:v>T0510</x:v>
      </x:c>
      <x:c r="B66" s="4" t="str">
        <x:v>F001</x:v>
      </x:c>
      <x:c r="C66" s="4" t="str">
        <x:v>F001</x:v>
      </x:c>
      <x:c r="D66" s="4" t="str">
        <x:v>T0510</x:v>
      </x:c>
      <x:c r="E66" s="4" t="str">
        <x:v>2.2.0</x:v>
      </x:c>
      <x:c r="F66" s="4" t="str">
        <x:v>elements / T0510</x:v>
      </x:c>
      <x:c r="G66" s="4" t="str">
        <x:v>JSON_ORIGINAL_UTF8</x:v>
      </x:c>
      <x:c r="H66" s="4" t="str">
        <x:v>55846</x:v>
      </x:c>
      <x:c r="I66" s="4" t="str">
        <x:v>226</x:v>
      </x:c>
      <x:c r="J66" s="4" t="str">
        <x:v>c5fa3c96b5500482bf9182f9050f75c589fa472f494b376074a99b16f464f60f</x:v>
      </x:c>
      <x:c r="K66" s="4" t="str">
        <x:v>2026-09-08</x:v>
      </x:c>
      <x:c r="L66" s="4" t="str">
        <x:v>SIN_FECHA_DE_ADOPCION</x:v>
      </x:c>
      <x:c r="M66" s="12" t="n">
        <x:f>IF(LEN(J66)=64,0,1)</x:f>
        <x:v>0</x:v>
      </x:c>
      <x:c r="N66" s="12" t="n">
        <x:f>IF(COUNTIF('03_NICE'!$A$5:$A$57,A66)+COUNTIF('04_TKS'!$A$5:$A$72,A66)+COUNTIF('05_Complementos'!$A$5:$A$127,A66)=1,0,1)</x:f>
        <x:v>0</x:v>
      </x:c>
      <x:c r="O66" s="12" t="n">
        <x:f>COUNTIF('08_Trazas'!$A$5:$A$248,A66)-1</x:f>
        <x:v>0</x:v>
      </x:c>
      <x:c r="P66" s="12" t="n">
        <x:f>IF(COUNTIF('02_Custodia'!$A$5:$A$53,C66)=1,0,1)</x:f>
        <x:v>0</x:v>
      </x:c>
    </x:row>
    <x:row r="67" ht="47" customHeight="1">
      <x:c r="A67" s="4" t="str">
        <x:v>T1020</x:v>
      </x:c>
      <x:c r="B67" s="4" t="str">
        <x:v>F001</x:v>
      </x:c>
      <x:c r="C67" s="4" t="str">
        <x:v>F001</x:v>
      </x:c>
      <x:c r="D67" s="4" t="str">
        <x:v>T1020</x:v>
      </x:c>
      <x:c r="E67" s="4" t="str">
        <x:v>2.2.0</x:v>
      </x:c>
      <x:c r="F67" s="4" t="str">
        <x:v>elements / T1020</x:v>
      </x:c>
      <x:c r="G67" s="4" t="str">
        <x:v>JSON_ORIGINAL_UTF8</x:v>
      </x:c>
      <x:c r="H67" s="4" t="str">
        <x:v>64191</x:v>
      </x:c>
      <x:c r="I67" s="4" t="str">
        <x:v>256</x:v>
      </x:c>
      <x:c r="J67" s="4" t="str">
        <x:v>623d0f8b3fca81411f37415186ecd1233b2dfc0583bd2a39a0fcbe12f1ea9b4b</x:v>
      </x:c>
      <x:c r="K67" s="4" t="str">
        <x:v>2026-09-08</x:v>
      </x:c>
      <x:c r="L67" s="4" t="str">
        <x:v>SIN_FECHA_DE_ADOPCION</x:v>
      </x:c>
      <x:c r="M67" s="12" t="n">
        <x:f>IF(LEN(J67)=64,0,1)</x:f>
        <x:v>0</x:v>
      </x:c>
      <x:c r="N67" s="12" t="n">
        <x:f>IF(COUNTIF('03_NICE'!$A$5:$A$57,A67)+COUNTIF('04_TKS'!$A$5:$A$72,A67)+COUNTIF('05_Complementos'!$A$5:$A$127,A67)=1,0,1)</x:f>
        <x:v>0</x:v>
      </x:c>
      <x:c r="O67" s="12" t="n">
        <x:f>COUNTIF('08_Trazas'!$A$5:$A$248,A67)-1</x:f>
        <x:v>0</x:v>
      </x:c>
      <x:c r="P67" s="12" t="n">
        <x:f>IF(COUNTIF('02_Custodia'!$A$5:$A$53,C67)=1,0,1)</x:f>
        <x:v>0</x:v>
      </x:c>
    </x:row>
    <x:row r="68" ht="47" customHeight="1">
      <x:c r="A68" s="4" t="str">
        <x:v>T1111</x:v>
      </x:c>
      <x:c r="B68" s="4" t="str">
        <x:v>F001</x:v>
      </x:c>
      <x:c r="C68" s="4" t="str">
        <x:v>F001</x:v>
      </x:c>
      <x:c r="D68" s="4" t="str">
        <x:v>T1111</x:v>
      </x:c>
      <x:c r="E68" s="4" t="str">
        <x:v>2.2.0</x:v>
      </x:c>
      <x:c r="F68" s="4" t="str">
        <x:v>elements / T1111</x:v>
      </x:c>
      <x:c r="G68" s="4" t="str">
        <x:v>JSON_ORIGINAL_UTF8</x:v>
      </x:c>
      <x:c r="H68" s="4" t="str">
        <x:v>84438</x:v>
      </x:c>
      <x:c r="I68" s="4" t="str">
        <x:v>268</x:v>
      </x:c>
      <x:c r="J68" s="4" t="str">
        <x:v>6a59f27c2621e4123bd3be67063a697881d50bbd04fa568d3d2e53feb6ab306a</x:v>
      </x:c>
      <x:c r="K68" s="4" t="str">
        <x:v>2026-09-08</x:v>
      </x:c>
      <x:c r="L68" s="4" t="str">
        <x:v>SIN_FECHA_DE_ADOPCION</x:v>
      </x:c>
      <x:c r="M68" s="12" t="n">
        <x:f>IF(LEN(J68)=64,0,1)</x:f>
        <x:v>0</x:v>
      </x:c>
      <x:c r="N68" s="12" t="n">
        <x:f>IF(COUNTIF('03_NICE'!$A$5:$A$57,A68)+COUNTIF('04_TKS'!$A$5:$A$72,A68)+COUNTIF('05_Complementos'!$A$5:$A$127,A68)=1,0,1)</x:f>
        <x:v>0</x:v>
      </x:c>
      <x:c r="O68" s="12" t="n">
        <x:f>COUNTIF('08_Trazas'!$A$5:$A$248,A68)-1</x:f>
        <x:v>0</x:v>
      </x:c>
      <x:c r="P68" s="12" t="n">
        <x:f>IF(COUNTIF('02_Custodia'!$A$5:$A$53,C68)=1,0,1)</x:f>
        <x:v>0</x:v>
      </x:c>
    </x:row>
    <x:row r="69" ht="47" customHeight="1">
      <x:c r="A69" s="4" t="str">
        <x:v>T1118</x:v>
      </x:c>
      <x:c r="B69" s="4" t="str">
        <x:v>F001</x:v>
      </x:c>
      <x:c r="C69" s="4" t="str">
        <x:v>F001</x:v>
      </x:c>
      <x:c r="D69" s="4" t="str">
        <x:v>T1118</x:v>
      </x:c>
      <x:c r="E69" s="4" t="str">
        <x:v>2.2.0</x:v>
      </x:c>
      <x:c r="F69" s="4" t="str">
        <x:v>elements / T1118</x:v>
      </x:c>
      <x:c r="G69" s="4" t="str">
        <x:v>JSON_ORIGINAL_UTF8</x:v>
      </x:c>
      <x:c r="H69" s="4" t="str">
        <x:v>86154</x:v>
      </x:c>
      <x:c r="I69" s="4" t="str">
        <x:v>212</x:v>
      </x:c>
      <x:c r="J69" s="4" t="str">
        <x:v>8f9c86e6e996c74f4289e80965b7db8dfbd178d3aebb7defa6338f08365046e5</x:v>
      </x:c>
      <x:c r="K69" s="4" t="str">
        <x:v>2026-09-08</x:v>
      </x:c>
      <x:c r="L69" s="4" t="str">
        <x:v>SIN_FECHA_DE_ADOPCION</x:v>
      </x:c>
      <x:c r="M69" s="12" t="n">
        <x:f>IF(LEN(J69)=64,0,1)</x:f>
        <x:v>0</x:v>
      </x:c>
      <x:c r="N69" s="12" t="n">
        <x:f>IF(COUNTIF('03_NICE'!$A$5:$A$57,A69)+COUNTIF('04_TKS'!$A$5:$A$72,A69)+COUNTIF('05_Complementos'!$A$5:$A$127,A69)=1,0,1)</x:f>
        <x:v>0</x:v>
      </x:c>
      <x:c r="O69" s="12" t="n">
        <x:f>COUNTIF('08_Trazas'!$A$5:$A$248,A69)-1</x:f>
        <x:v>0</x:v>
      </x:c>
      <x:c r="P69" s="12" t="n">
        <x:f>IF(COUNTIF('02_Custodia'!$A$5:$A$53,C69)=1,0,1)</x:f>
        <x:v>0</x:v>
      </x:c>
    </x:row>
    <x:row r="70" ht="47" customHeight="1">
      <x:c r="A70" s="4" t="str">
        <x:v>T1119</x:v>
      </x:c>
      <x:c r="B70" s="4" t="str">
        <x:v>F001</x:v>
      </x:c>
      <x:c r="C70" s="4" t="str">
        <x:v>F001</x:v>
      </x:c>
      <x:c r="D70" s="4" t="str">
        <x:v>T1119</x:v>
      </x:c>
      <x:c r="E70" s="4" t="str">
        <x:v>2.2.0</x:v>
      </x:c>
      <x:c r="F70" s="4" t="str">
        <x:v>elements / T1119</x:v>
      </x:c>
      <x:c r="G70" s="4" t="str">
        <x:v>JSON_ORIGINAL_UTF8</x:v>
      </x:c>
      <x:c r="H70" s="4" t="str">
        <x:v>86376</x:v>
      </x:c>
      <x:c r="I70" s="4" t="str">
        <x:v>234</x:v>
      </x:c>
      <x:c r="J70" s="4" t="str">
        <x:v>4203d3cad25177f8d069fd835e815d708cc24b444765cd3e5258c1a09226c154</x:v>
      </x:c>
      <x:c r="K70" s="4" t="str">
        <x:v>2026-09-08</x:v>
      </x:c>
      <x:c r="L70" s="4" t="str">
        <x:v>SIN_FECHA_DE_ADOPCION</x:v>
      </x:c>
      <x:c r="M70" s="12" t="n">
        <x:f>IF(LEN(J70)=64,0,1)</x:f>
        <x:v>0</x:v>
      </x:c>
      <x:c r="N70" s="12" t="n">
        <x:f>IF(COUNTIF('03_NICE'!$A$5:$A$57,A70)+COUNTIF('04_TKS'!$A$5:$A$72,A70)+COUNTIF('05_Complementos'!$A$5:$A$127,A70)=1,0,1)</x:f>
        <x:v>0</x:v>
      </x:c>
      <x:c r="O70" s="12" t="n">
        <x:f>COUNTIF('08_Trazas'!$A$5:$A$248,A70)-1</x:f>
        <x:v>0</x:v>
      </x:c>
      <x:c r="P70" s="12" t="n">
        <x:f>IF(COUNTIF('02_Custodia'!$A$5:$A$53,C70)=1,0,1)</x:f>
        <x:v>0</x:v>
      </x:c>
    </x:row>
    <x:row r="71" ht="47" customHeight="1">
      <x:c r="A71" s="4" t="str">
        <x:v>T1120</x:v>
      </x:c>
      <x:c r="B71" s="4" t="str">
        <x:v>F001</x:v>
      </x:c>
      <x:c r="C71" s="4" t="str">
        <x:v>F001</x:v>
      </x:c>
      <x:c r="D71" s="4" t="str">
        <x:v>T1120</x:v>
      </x:c>
      <x:c r="E71" s="4" t="str">
        <x:v>2.2.0</x:v>
      </x:c>
      <x:c r="F71" s="4" t="str">
        <x:v>elements / T1120</x:v>
      </x:c>
      <x:c r="G71" s="4" t="str">
        <x:v>JSON_ORIGINAL_UTF8</x:v>
      </x:c>
      <x:c r="H71" s="4" t="str">
        <x:v>86620</x:v>
      </x:c>
      <x:c r="I71" s="4" t="str">
        <x:v>236</x:v>
      </x:c>
      <x:c r="J71" s="4" t="str">
        <x:v>066e8ba2934f961269f77787dedf7e69c3f8b6f4580436345fcf405ee01232d4</x:v>
      </x:c>
      <x:c r="K71" s="4" t="str">
        <x:v>2026-09-08</x:v>
      </x:c>
      <x:c r="L71" s="4" t="str">
        <x:v>SIN_FECHA_DE_ADOPCION</x:v>
      </x:c>
      <x:c r="M71" s="12" t="n">
        <x:f>IF(LEN(J71)=64,0,1)</x:f>
        <x:v>0</x:v>
      </x:c>
      <x:c r="N71" s="12" t="n">
        <x:f>IF(COUNTIF('03_NICE'!$A$5:$A$57,A71)+COUNTIF('04_TKS'!$A$5:$A$72,A71)+COUNTIF('05_Complementos'!$A$5:$A$127,A71)=1,0,1)</x:f>
        <x:v>0</x:v>
      </x:c>
      <x:c r="O71" s="12" t="n">
        <x:f>COUNTIF('08_Trazas'!$A$5:$A$248,A71)-1</x:f>
        <x:v>0</x:v>
      </x:c>
      <x:c r="P71" s="12" t="n">
        <x:f>IF(COUNTIF('02_Custodia'!$A$5:$A$53,C71)=1,0,1)</x:f>
        <x:v>0</x:v>
      </x:c>
    </x:row>
    <x:row r="72" ht="47" customHeight="1">
      <x:c r="A72" s="4" t="str">
        <x:v>T1126</x:v>
      </x:c>
      <x:c r="B72" s="4" t="str">
        <x:v>F001</x:v>
      </x:c>
      <x:c r="C72" s="4" t="str">
        <x:v>F001</x:v>
      </x:c>
      <x:c r="D72" s="4" t="str">
        <x:v>T1126</x:v>
      </x:c>
      <x:c r="E72" s="4" t="str">
        <x:v>2.2.0</x:v>
      </x:c>
      <x:c r="F72" s="4" t="str">
        <x:v>elements / T1126</x:v>
      </x:c>
      <x:c r="G72" s="4" t="str">
        <x:v>JSON_ORIGINAL_UTF8</x:v>
      </x:c>
      <x:c r="H72" s="4" t="str">
        <x:v>88127</x:v>
      </x:c>
      <x:c r="I72" s="4" t="str">
        <x:v>264</x:v>
      </x:c>
      <x:c r="J72" s="4" t="str">
        <x:v>67fca5c18e9c34ed8ccaaa861f81ccf9dba73da15eaca7222bbe17896848e767</x:v>
      </x:c>
      <x:c r="K72" s="4" t="str">
        <x:v>2026-09-08</x:v>
      </x:c>
      <x:c r="L72" s="4" t="str">
        <x:v>SIN_FECHA_DE_ADOPCION</x:v>
      </x:c>
      <x:c r="M72" s="12" t="n">
        <x:f>IF(LEN(J72)=64,0,1)</x:f>
        <x:v>0</x:v>
      </x:c>
      <x:c r="N72" s="12" t="n">
        <x:f>IF(COUNTIF('03_NICE'!$A$5:$A$57,A72)+COUNTIF('04_TKS'!$A$5:$A$72,A72)+COUNTIF('05_Complementos'!$A$5:$A$127,A72)=1,0,1)</x:f>
        <x:v>0</x:v>
      </x:c>
      <x:c r="O72" s="12" t="n">
        <x:f>COUNTIF('08_Trazas'!$A$5:$A$248,A72)-1</x:f>
        <x:v>0</x:v>
      </x:c>
      <x:c r="P72" s="12" t="n">
        <x:f>IF(COUNTIF('02_Custodia'!$A$5:$A$53,C72)=1,0,1)</x:f>
        <x:v>0</x:v>
      </x:c>
    </x:row>
    <x:row r="73" ht="47" customHeight="1">
      <x:c r="A73" s="4" t="str">
        <x:v>T1130</x:v>
      </x:c>
      <x:c r="B73" s="4" t="str">
        <x:v>F001</x:v>
      </x:c>
      <x:c r="C73" s="4" t="str">
        <x:v>F001</x:v>
      </x:c>
      <x:c r="D73" s="4" t="str">
        <x:v>T1130</x:v>
      </x:c>
      <x:c r="E73" s="4" t="str">
        <x:v>2.2.0</x:v>
      </x:c>
      <x:c r="F73" s="4" t="str">
        <x:v>elements / T1130</x:v>
      </x:c>
      <x:c r="G73" s="4" t="str">
        <x:v>JSON_ORIGINAL_UTF8</x:v>
      </x:c>
      <x:c r="H73" s="4" t="str">
        <x:v>89139</x:v>
      </x:c>
      <x:c r="I73" s="4" t="str">
        <x:v>235</x:v>
      </x:c>
      <x:c r="J73" s="4" t="str">
        <x:v>03f98a4c2a9a7e11e722f6de51c4c2d786db7680fee533bff099a89c10a9c42d</x:v>
      </x:c>
      <x:c r="K73" s="4" t="str">
        <x:v>2026-09-08</x:v>
      </x:c>
      <x:c r="L73" s="4" t="str">
        <x:v>SIN_FECHA_DE_ADOPCION</x:v>
      </x:c>
      <x:c r="M73" s="12" t="n">
        <x:f>IF(LEN(J73)=64,0,1)</x:f>
        <x:v>0</x:v>
      </x:c>
      <x:c r="N73" s="12" t="n">
        <x:f>IF(COUNTIF('03_NICE'!$A$5:$A$57,A73)+COUNTIF('04_TKS'!$A$5:$A$72,A73)+COUNTIF('05_Complementos'!$A$5:$A$127,A73)=1,0,1)</x:f>
        <x:v>0</x:v>
      </x:c>
      <x:c r="O73" s="12" t="n">
        <x:f>COUNTIF('08_Trazas'!$A$5:$A$248,A73)-1</x:f>
        <x:v>0</x:v>
      </x:c>
      <x:c r="P73" s="12" t="n">
        <x:f>IF(COUNTIF('02_Custodia'!$A$5:$A$53,C73)=1,0,1)</x:f>
        <x:v>0</x:v>
      </x:c>
    </x:row>
    <x:row r="74" ht="47" customHeight="1">
      <x:c r="A74" s="4" t="str">
        <x:v>T1133</x:v>
      </x:c>
      <x:c r="B74" s="4" t="str">
        <x:v>F001</x:v>
      </x:c>
      <x:c r="C74" s="4" t="str">
        <x:v>F001</x:v>
      </x:c>
      <x:c r="D74" s="4" t="str">
        <x:v>T1133</x:v>
      </x:c>
      <x:c r="E74" s="4" t="str">
        <x:v>2.2.0</x:v>
      </x:c>
      <x:c r="F74" s="4" t="str">
        <x:v>elements / T1133</x:v>
      </x:c>
      <x:c r="G74" s="4" t="str">
        <x:v>JSON_ORIGINAL_UTF8</x:v>
      </x:c>
      <x:c r="H74" s="4" t="str">
        <x:v>89931</x:v>
      </x:c>
      <x:c r="I74" s="4" t="str">
        <x:v>266</x:v>
      </x:c>
      <x:c r="J74" s="4" t="str">
        <x:v>b1f74e23c68755ee04f88d4510c28f7f487c2f3767363f35f7ee1493e2324fc4</x:v>
      </x:c>
      <x:c r="K74" s="4" t="str">
        <x:v>2026-09-08</x:v>
      </x:c>
      <x:c r="L74" s="4" t="str">
        <x:v>SIN_FECHA_DE_ADOPCION</x:v>
      </x:c>
      <x:c r="M74" s="12" t="n">
        <x:f>IF(LEN(J74)=64,0,1)</x:f>
        <x:v>0</x:v>
      </x:c>
      <x:c r="N74" s="12" t="n">
        <x:f>IF(COUNTIF('03_NICE'!$A$5:$A$57,A74)+COUNTIF('04_TKS'!$A$5:$A$72,A74)+COUNTIF('05_Complementos'!$A$5:$A$127,A74)=1,0,1)</x:f>
        <x:v>0</x:v>
      </x:c>
      <x:c r="O74" s="12" t="n">
        <x:f>COUNTIF('08_Trazas'!$A$5:$A$248,A74)-1</x:f>
        <x:v>0</x:v>
      </x:c>
      <x:c r="P74" s="12" t="n">
        <x:f>IF(COUNTIF('02_Custodia'!$A$5:$A$53,C74)=1,0,1)</x:f>
        <x:v>0</x:v>
      </x:c>
    </x:row>
    <x:row r="75" ht="47" customHeight="1">
      <x:c r="A75" s="4" t="str">
        <x:v>T1150</x:v>
      </x:c>
      <x:c r="B75" s="4" t="str">
        <x:v>F001</x:v>
      </x:c>
      <x:c r="C75" s="4" t="str">
        <x:v>F001</x:v>
      </x:c>
      <x:c r="D75" s="4" t="str">
        <x:v>T1150</x:v>
      </x:c>
      <x:c r="E75" s="4" t="str">
        <x:v>2.2.0</x:v>
      </x:c>
      <x:c r="F75" s="4" t="str">
        <x:v>elements / T1150</x:v>
      </x:c>
      <x:c r="G75" s="4" t="str">
        <x:v>JSON_ORIGINAL_UTF8</x:v>
      </x:c>
      <x:c r="H75" s="4" t="str">
        <x:v>93978</x:v>
      </x:c>
      <x:c r="I75" s="4" t="str">
        <x:v>277</x:v>
      </x:c>
      <x:c r="J75" s="4" t="str">
        <x:v>de9346ddf4ca95f7b55ea6a13e0a958675ce1f4fadbf9874f4a0f90185c24e2c</x:v>
      </x:c>
      <x:c r="K75" s="4" t="str">
        <x:v>2026-09-08</x:v>
      </x:c>
      <x:c r="L75" s="4" t="str">
        <x:v>SIN_FECHA_DE_ADOPCION</x:v>
      </x:c>
      <x:c r="M75" s="12" t="n">
        <x:f>IF(LEN(J75)=64,0,1)</x:f>
        <x:v>0</x:v>
      </x:c>
      <x:c r="N75" s="12" t="n">
        <x:f>IF(COUNTIF('03_NICE'!$A$5:$A$57,A75)+COUNTIF('04_TKS'!$A$5:$A$72,A75)+COUNTIF('05_Complementos'!$A$5:$A$127,A75)=1,0,1)</x:f>
        <x:v>0</x:v>
      </x:c>
      <x:c r="O75" s="12" t="n">
        <x:f>COUNTIF('08_Trazas'!$A$5:$A$248,A75)-1</x:f>
        <x:v>0</x:v>
      </x:c>
      <x:c r="P75" s="12" t="n">
        <x:f>IF(COUNTIF('02_Custodia'!$A$5:$A$53,C75)=1,0,1)</x:f>
        <x:v>0</x:v>
      </x:c>
    </x:row>
    <x:row r="76" ht="47" customHeight="1">
      <x:c r="A76" s="4" t="str">
        <x:v>T1175</x:v>
      </x:c>
      <x:c r="B76" s="4" t="str">
        <x:v>F001</x:v>
      </x:c>
      <x:c r="C76" s="4" t="str">
        <x:v>F001</x:v>
      </x:c>
      <x:c r="D76" s="4" t="str">
        <x:v>T1175</x:v>
      </x:c>
      <x:c r="E76" s="4" t="str">
        <x:v>2.2.0</x:v>
      </x:c>
      <x:c r="F76" s="4" t="str">
        <x:v>elements / T1175</x:v>
      </x:c>
      <x:c r="G76" s="4" t="str">
        <x:v>JSON_ORIGINAL_UTF8</x:v>
      </x:c>
      <x:c r="H76" s="4" t="str">
        <x:v>100108</x:v>
      </x:c>
      <x:c r="I76" s="4" t="str">
        <x:v>285</x:v>
      </x:c>
      <x:c r="J76" s="4" t="str">
        <x:v>5e72d26c399a5c6970f59914b5aff5697e56c0da6e9a075e9c7cec8017fe2d77</x:v>
      </x:c>
      <x:c r="K76" s="4" t="str">
        <x:v>2026-09-08</x:v>
      </x:c>
      <x:c r="L76" s="4" t="str">
        <x:v>SIN_FECHA_DE_ADOPCION</x:v>
      </x:c>
      <x:c r="M76" s="12" t="n">
        <x:f>IF(LEN(J76)=64,0,1)</x:f>
        <x:v>0</x:v>
      </x:c>
      <x:c r="N76" s="12" t="n">
        <x:f>IF(COUNTIF('03_NICE'!$A$5:$A$57,A76)+COUNTIF('04_TKS'!$A$5:$A$72,A76)+COUNTIF('05_Complementos'!$A$5:$A$127,A76)=1,0,1)</x:f>
        <x:v>0</x:v>
      </x:c>
      <x:c r="O76" s="12" t="n">
        <x:f>COUNTIF('08_Trazas'!$A$5:$A$248,A76)-1</x:f>
        <x:v>0</x:v>
      </x:c>
      <x:c r="P76" s="12" t="n">
        <x:f>IF(COUNTIF('02_Custodia'!$A$5:$A$53,C76)=1,0,1)</x:f>
        <x:v>0</x:v>
      </x:c>
    </x:row>
    <x:row r="77" ht="47" customHeight="1">
      <x:c r="A77" s="4" t="str">
        <x:v>T1289</x:v>
      </x:c>
      <x:c r="B77" s="4" t="str">
        <x:v>F001</x:v>
      </x:c>
      <x:c r="C77" s="4" t="str">
        <x:v>F001</x:v>
      </x:c>
      <x:c r="D77" s="4" t="str">
        <x:v>T1289</x:v>
      </x:c>
      <x:c r="E77" s="4" t="str">
        <x:v>2.2.0</x:v>
      </x:c>
      <x:c r="F77" s="4" t="str">
        <x:v>elements / T1289</x:v>
      </x:c>
      <x:c r="G77" s="4" t="str">
        <x:v>JSON_ORIGINAL_UTF8</x:v>
      </x:c>
      <x:c r="H77" s="4" t="str">
        <x:v>128455</x:v>
      </x:c>
      <x:c r="I77" s="4" t="str">
        <x:v>291</x:v>
      </x:c>
      <x:c r="J77" s="4" t="str">
        <x:v>c3b0ef3e0207d417e535785ee54f8b4de0257367416d9b35a218e024baef2b74</x:v>
      </x:c>
      <x:c r="K77" s="4" t="str">
        <x:v>2026-09-08</x:v>
      </x:c>
      <x:c r="L77" s="4" t="str">
        <x:v>SIN_FECHA_DE_ADOPCION</x:v>
      </x:c>
      <x:c r="M77" s="12" t="n">
        <x:f>IF(LEN(J77)=64,0,1)</x:f>
        <x:v>0</x:v>
      </x:c>
      <x:c r="N77" s="12" t="n">
        <x:f>IF(COUNTIF('03_NICE'!$A$5:$A$57,A77)+COUNTIF('04_TKS'!$A$5:$A$72,A77)+COUNTIF('05_Complementos'!$A$5:$A$127,A77)=1,0,1)</x:f>
        <x:v>0</x:v>
      </x:c>
      <x:c r="O77" s="12" t="n">
        <x:f>COUNTIF('08_Trazas'!$A$5:$A$248,A77)-1</x:f>
        <x:v>0</x:v>
      </x:c>
      <x:c r="P77" s="12" t="n">
        <x:f>IF(COUNTIF('02_Custodia'!$A$5:$A$53,C77)=1,0,1)</x:f>
        <x:v>0</x:v>
      </x:c>
    </x:row>
    <x:row r="78" ht="47" customHeight="1">
      <x:c r="A78" s="4" t="str">
        <x:v>T1325</x:v>
      </x:c>
      <x:c r="B78" s="4" t="str">
        <x:v>F001</x:v>
      </x:c>
      <x:c r="C78" s="4" t="str">
        <x:v>F001</x:v>
      </x:c>
      <x:c r="D78" s="4" t="str">
        <x:v>T1325</x:v>
      </x:c>
      <x:c r="E78" s="4" t="str">
        <x:v>2.2.0</x:v>
      </x:c>
      <x:c r="F78" s="4" t="str">
        <x:v>elements / T1325</x:v>
      </x:c>
      <x:c r="G78" s="4" t="str">
        <x:v>JSON_ORIGINAL_UTF8</x:v>
      </x:c>
      <x:c r="H78" s="4" t="str">
        <x:v>137775</x:v>
      </x:c>
      <x:c r="I78" s="4" t="str">
        <x:v>213</x:v>
      </x:c>
      <x:c r="J78" s="4" t="str">
        <x:v>0dd8a174525cca5bd24a776d5eb56bb3de13e3c16a855803c6b5dbfbbc1da6e1</x:v>
      </x:c>
      <x:c r="K78" s="4" t="str">
        <x:v>2026-09-08</x:v>
      </x:c>
      <x:c r="L78" s="4" t="str">
        <x:v>SIN_FECHA_DE_ADOPCION</x:v>
      </x:c>
      <x:c r="M78" s="12" t="n">
        <x:f>IF(LEN(J78)=64,0,1)</x:f>
        <x:v>0</x:v>
      </x:c>
      <x:c r="N78" s="12" t="n">
        <x:f>IF(COUNTIF('03_NICE'!$A$5:$A$57,A78)+COUNTIF('04_TKS'!$A$5:$A$72,A78)+COUNTIF('05_Complementos'!$A$5:$A$127,A78)=1,0,1)</x:f>
        <x:v>0</x:v>
      </x:c>
      <x:c r="O78" s="12" t="n">
        <x:f>COUNTIF('08_Trazas'!$A$5:$A$248,A78)-1</x:f>
        <x:v>0</x:v>
      </x:c>
      <x:c r="P78" s="12" t="n">
        <x:f>IF(COUNTIF('02_Custodia'!$A$5:$A$53,C78)=1,0,1)</x:f>
        <x:v>0</x:v>
      </x:c>
    </x:row>
    <x:row r="79" ht="47" customHeight="1">
      <x:c r="A79" s="4" t="str">
        <x:v>T1344</x:v>
      </x:c>
      <x:c r="B79" s="4" t="str">
        <x:v>F001</x:v>
      </x:c>
      <x:c r="C79" s="4" t="str">
        <x:v>F001</x:v>
      </x:c>
      <x:c r="D79" s="4" t="str">
        <x:v>T1344</x:v>
      </x:c>
      <x:c r="E79" s="4" t="str">
        <x:v>2.2.0</x:v>
      </x:c>
      <x:c r="F79" s="4" t="str">
        <x:v>elements / T1344</x:v>
      </x:c>
      <x:c r="G79" s="4" t="str">
        <x:v>JSON_ORIGINAL_UTF8</x:v>
      </x:c>
      <x:c r="H79" s="4" t="str">
        <x:v>142793</x:v>
      </x:c>
      <x:c r="I79" s="4" t="str">
        <x:v>263</x:v>
      </x:c>
      <x:c r="J79" s="4" t="str">
        <x:v>1c4fe720d96440dbceb75488bfaa4590e4aacc8560a5c26c8e83fca3bf8684c5</x:v>
      </x:c>
      <x:c r="K79" s="4" t="str">
        <x:v>2026-09-08</x:v>
      </x:c>
      <x:c r="L79" s="4" t="str">
        <x:v>SIN_FECHA_DE_ADOPCION</x:v>
      </x:c>
      <x:c r="M79" s="12" t="n">
        <x:f>IF(LEN(J79)=64,0,1)</x:f>
        <x:v>0</x:v>
      </x:c>
      <x:c r="N79" s="12" t="n">
        <x:f>IF(COUNTIF('03_NICE'!$A$5:$A$57,A79)+COUNTIF('04_TKS'!$A$5:$A$72,A79)+COUNTIF('05_Complementos'!$A$5:$A$127,A79)=1,0,1)</x:f>
        <x:v>0</x:v>
      </x:c>
      <x:c r="O79" s="12" t="n">
        <x:f>COUNTIF('08_Trazas'!$A$5:$A$248,A79)-1</x:f>
        <x:v>0</x:v>
      </x:c>
      <x:c r="P79" s="12" t="n">
        <x:f>IF(COUNTIF('02_Custodia'!$A$5:$A$53,C79)=1,0,1)</x:f>
        <x:v>0</x:v>
      </x:c>
    </x:row>
    <x:row r="80" ht="47" customHeight="1">
      <x:c r="A80" s="4" t="str">
        <x:v>T1366</x:v>
      </x:c>
      <x:c r="B80" s="4" t="str">
        <x:v>F001</x:v>
      </x:c>
      <x:c r="C80" s="4" t="str">
        <x:v>F001</x:v>
      </x:c>
      <x:c r="D80" s="4" t="str">
        <x:v>T1366</x:v>
      </x:c>
      <x:c r="E80" s="4" t="str">
        <x:v>2.2.0</x:v>
      </x:c>
      <x:c r="F80" s="4" t="str">
        <x:v>elements / T1366</x:v>
      </x:c>
      <x:c r="G80" s="4" t="str">
        <x:v>JSON_ORIGINAL_UTF8</x:v>
      </x:c>
      <x:c r="H80" s="4" t="str">
        <x:v>148532</x:v>
      </x:c>
      <x:c r="I80" s="4" t="str">
        <x:v>244</x:v>
      </x:c>
      <x:c r="J80" s="4" t="str">
        <x:v>7531973cb63f30cc77ff4c7c55c811ca839d21a95d0da3f4d4dcc7a03ff2a590</x:v>
      </x:c>
      <x:c r="K80" s="4" t="str">
        <x:v>2026-09-08</x:v>
      </x:c>
      <x:c r="L80" s="4" t="str">
        <x:v>SIN_FECHA_DE_ADOPCION</x:v>
      </x:c>
      <x:c r="M80" s="12" t="n">
        <x:f>IF(LEN(J80)=64,0,1)</x:f>
        <x:v>0</x:v>
      </x:c>
      <x:c r="N80" s="12" t="n">
        <x:f>IF(COUNTIF('03_NICE'!$A$5:$A$57,A80)+COUNTIF('04_TKS'!$A$5:$A$72,A80)+COUNTIF('05_Complementos'!$A$5:$A$127,A80)=1,0,1)</x:f>
        <x:v>0</x:v>
      </x:c>
      <x:c r="O80" s="12" t="n">
        <x:f>COUNTIF('08_Trazas'!$A$5:$A$248,A80)-1</x:f>
        <x:v>0</x:v>
      </x:c>
      <x:c r="P80" s="12" t="n">
        <x:f>IF(COUNTIF('02_Custodia'!$A$5:$A$53,C80)=1,0,1)</x:f>
        <x:v>0</x:v>
      </x:c>
    </x:row>
    <x:row r="81" ht="47" customHeight="1">
      <x:c r="A81" s="4" t="str">
        <x:v>T1510</x:v>
      </x:c>
      <x:c r="B81" s="4" t="str">
        <x:v>F001</x:v>
      </x:c>
      <x:c r="C81" s="4" t="str">
        <x:v>F001</x:v>
      </x:c>
      <x:c r="D81" s="4" t="str">
        <x:v>T1510</x:v>
      </x:c>
      <x:c r="E81" s="4" t="str">
        <x:v>2.2.0</x:v>
      </x:c>
      <x:c r="F81" s="4" t="str">
        <x:v>elements / T1510</x:v>
      </x:c>
      <x:c r="G81" s="4" t="str">
        <x:v>JSON_ORIGINAL_UTF8</x:v>
      </x:c>
      <x:c r="H81" s="4" t="str">
        <x:v>184221</x:v>
      </x:c>
      <x:c r="I81" s="4" t="str">
        <x:v>213</x:v>
      </x:c>
      <x:c r="J81" s="4" t="str">
        <x:v>38879bfa7e5fc93d73ac7643b425b2e5012df1f0a78127c85bcbc9594dec9ad5</x:v>
      </x:c>
      <x:c r="K81" s="4" t="str">
        <x:v>2026-09-08</x:v>
      </x:c>
      <x:c r="L81" s="4" t="str">
        <x:v>SIN_FECHA_DE_ADOPCION</x:v>
      </x:c>
      <x:c r="M81" s="12" t="n">
        <x:f>IF(LEN(J81)=64,0,1)</x:f>
        <x:v>0</x:v>
      </x:c>
      <x:c r="N81" s="12" t="n">
        <x:f>IF(COUNTIF('03_NICE'!$A$5:$A$57,A81)+COUNTIF('04_TKS'!$A$5:$A$72,A81)+COUNTIF('05_Complementos'!$A$5:$A$127,A81)=1,0,1)</x:f>
        <x:v>0</x:v>
      </x:c>
      <x:c r="O81" s="12" t="n">
        <x:f>COUNTIF('08_Trazas'!$A$5:$A$248,A81)-1</x:f>
        <x:v>0</x:v>
      </x:c>
      <x:c r="P81" s="12" t="n">
        <x:f>IF(COUNTIF('02_Custodia'!$A$5:$A$53,C81)=1,0,1)</x:f>
        <x:v>0</x:v>
      </x:c>
    </x:row>
    <x:row r="82" ht="47" customHeight="1">
      <x:c r="A82" s="4" t="str">
        <x:v>T1542</x:v>
      </x:c>
      <x:c r="B82" s="4" t="str">
        <x:v>F001</x:v>
      </x:c>
      <x:c r="C82" s="4" t="str">
        <x:v>F001</x:v>
      </x:c>
      <x:c r="D82" s="4" t="str">
        <x:v>T1542</x:v>
      </x:c>
      <x:c r="E82" s="4" t="str">
        <x:v>2.2.0</x:v>
      </x:c>
      <x:c r="F82" s="4" t="str">
        <x:v>elements / T1542</x:v>
      </x:c>
      <x:c r="G82" s="4" t="str">
        <x:v>JSON_ORIGINAL_UTF8</x:v>
      </x:c>
      <x:c r="H82" s="4" t="str">
        <x:v>191913</x:v>
      </x:c>
      <x:c r="I82" s="4" t="str">
        <x:v>235</x:v>
      </x:c>
      <x:c r="J82" s="4" t="str">
        <x:v>8072ba1cb6cafcf43112f780c17e96b9e7baddf6397e9bb77e79f67f3a773f36</x:v>
      </x:c>
      <x:c r="K82" s="4" t="str">
        <x:v>2026-09-08</x:v>
      </x:c>
      <x:c r="L82" s="4" t="str">
        <x:v>SIN_FECHA_DE_ADOPCION</x:v>
      </x:c>
      <x:c r="M82" s="12" t="n">
        <x:f>IF(LEN(J82)=64,0,1)</x:f>
        <x:v>0</x:v>
      </x:c>
      <x:c r="N82" s="12" t="n">
        <x:f>IF(COUNTIF('03_NICE'!$A$5:$A$57,A82)+COUNTIF('04_TKS'!$A$5:$A$72,A82)+COUNTIF('05_Complementos'!$A$5:$A$127,A82)=1,0,1)</x:f>
        <x:v>0</x:v>
      </x:c>
      <x:c r="O82" s="12" t="n">
        <x:f>COUNTIF('08_Trazas'!$A$5:$A$248,A82)-1</x:f>
        <x:v>0</x:v>
      </x:c>
      <x:c r="P82" s="12" t="n">
        <x:f>IF(COUNTIF('02_Custodia'!$A$5:$A$53,C82)=1,0,1)</x:f>
        <x:v>0</x:v>
      </x:c>
    </x:row>
    <x:row r="83" ht="47" customHeight="1">
      <x:c r="A83" s="4" t="str">
        <x:v>T1548</x:v>
      </x:c>
      <x:c r="B83" s="4" t="str">
        <x:v>F001</x:v>
      </x:c>
      <x:c r="C83" s="4" t="str">
        <x:v>F001</x:v>
      </x:c>
      <x:c r="D83" s="4" t="str">
        <x:v>T1548</x:v>
      </x:c>
      <x:c r="E83" s="4" t="str">
        <x:v>2.2.0</x:v>
      </x:c>
      <x:c r="F83" s="4" t="str">
        <x:v>elements / T1548</x:v>
      </x:c>
      <x:c r="G83" s="4" t="str">
        <x:v>JSON_ORIGINAL_UTF8</x:v>
      </x:c>
      <x:c r="H83" s="4" t="str">
        <x:v>193469</x:v>
      </x:c>
      <x:c r="I83" s="4" t="str">
        <x:v>225</x:v>
      </x:c>
      <x:c r="J83" s="4" t="str">
        <x:v>ce0f1b498270d8aa4d7445210cce4ae05b7b71dc24e172bcd36043a638324995</x:v>
      </x:c>
      <x:c r="K83" s="4" t="str">
        <x:v>2026-09-08</x:v>
      </x:c>
      <x:c r="L83" s="4" t="str">
        <x:v>SIN_FECHA_DE_ADOPCION</x:v>
      </x:c>
      <x:c r="M83" s="12" t="n">
        <x:f>IF(LEN(J83)=64,0,1)</x:f>
        <x:v>0</x:v>
      </x:c>
      <x:c r="N83" s="12" t="n">
        <x:f>IF(COUNTIF('03_NICE'!$A$5:$A$57,A83)+COUNTIF('04_TKS'!$A$5:$A$72,A83)+COUNTIF('05_Complementos'!$A$5:$A$127,A83)=1,0,1)</x:f>
        <x:v>0</x:v>
      </x:c>
      <x:c r="O83" s="12" t="n">
        <x:f>COUNTIF('08_Trazas'!$A$5:$A$248,A83)-1</x:f>
        <x:v>0</x:v>
      </x:c>
      <x:c r="P83" s="12" t="n">
        <x:f>IF(COUNTIF('02_Custodia'!$A$5:$A$53,C83)=1,0,1)</x:f>
        <x:v>0</x:v>
      </x:c>
    </x:row>
    <x:row r="84" ht="47" customHeight="1">
      <x:c r="A84" s="4" t="str">
        <x:v>T1586</x:v>
      </x:c>
      <x:c r="B84" s="4" t="str">
        <x:v>F001</x:v>
      </x:c>
      <x:c r="C84" s="4" t="str">
        <x:v>F001</x:v>
      </x:c>
      <x:c r="D84" s="4" t="str">
        <x:v>T1586</x:v>
      </x:c>
      <x:c r="E84" s="4" t="str">
        <x:v>2.2.0</x:v>
      </x:c>
      <x:c r="F84" s="4" t="str">
        <x:v>elements / T1586</x:v>
      </x:c>
      <x:c r="G84" s="4" t="str">
        <x:v>JSON_ORIGINAL_UTF8</x:v>
      </x:c>
      <x:c r="H84" s="4" t="str">
        <x:v>202636</x:v>
      </x:c>
      <x:c r="I84" s="4" t="str">
        <x:v>226</x:v>
      </x:c>
      <x:c r="J84" s="4" t="str">
        <x:v>3ce59e6485dc729ceca81852c2fb60bfb57e344dc2da6bc1d49f87c2a4d4a018</x:v>
      </x:c>
      <x:c r="K84" s="4" t="str">
        <x:v>2026-09-08</x:v>
      </x:c>
      <x:c r="L84" s="4" t="str">
        <x:v>SIN_FECHA_DE_ADOPCION</x:v>
      </x:c>
      <x:c r="M84" s="12" t="n">
        <x:f>IF(LEN(J84)=64,0,1)</x:f>
        <x:v>0</x:v>
      </x:c>
      <x:c r="N84" s="12" t="n">
        <x:f>IF(COUNTIF('03_NICE'!$A$5:$A$57,A84)+COUNTIF('04_TKS'!$A$5:$A$72,A84)+COUNTIF('05_Complementos'!$A$5:$A$127,A84)=1,0,1)</x:f>
        <x:v>0</x:v>
      </x:c>
      <x:c r="O84" s="12" t="n">
        <x:f>COUNTIF('08_Trazas'!$A$5:$A$248,A84)-1</x:f>
        <x:v>0</x:v>
      </x:c>
      <x:c r="P84" s="12" t="n">
        <x:f>IF(COUNTIF('02_Custodia'!$A$5:$A$53,C84)=1,0,1)</x:f>
        <x:v>0</x:v>
      </x:c>
    </x:row>
    <x:row r="85" ht="47" customHeight="1">
      <x:c r="A85" s="4" t="str">
        <x:v>T1602</x:v>
      </x:c>
      <x:c r="B85" s="4" t="str">
        <x:v>F001</x:v>
      </x:c>
      <x:c r="C85" s="4" t="str">
        <x:v>F001</x:v>
      </x:c>
      <x:c r="D85" s="4" t="str">
        <x:v>T1602</x:v>
      </x:c>
      <x:c r="E85" s="4" t="str">
        <x:v>2.2.0</x:v>
      </x:c>
      <x:c r="F85" s="4" t="str">
        <x:v>elements / T1602</x:v>
      </x:c>
      <x:c r="G85" s="4" t="str">
        <x:v>JSON_ORIGINAL_UTF8</x:v>
      </x:c>
      <x:c r="H85" s="4" t="str">
        <x:v>206445</x:v>
      </x:c>
      <x:c r="I85" s="4" t="str">
        <x:v>239</x:v>
      </x:c>
      <x:c r="J85" s="4" t="str">
        <x:v>3bb704f5fd110874fce2da842bfe39d3b36fd72c01ff1f73b9cd0d0a16a04d8c</x:v>
      </x:c>
      <x:c r="K85" s="4" t="str">
        <x:v>2026-09-08</x:v>
      </x:c>
      <x:c r="L85" s="4" t="str">
        <x:v>SIN_FECHA_DE_ADOPCION</x:v>
      </x:c>
      <x:c r="M85" s="12" t="n">
        <x:f>IF(LEN(J85)=64,0,1)</x:f>
        <x:v>0</x:v>
      </x:c>
      <x:c r="N85" s="12" t="n">
        <x:f>IF(COUNTIF('03_NICE'!$A$5:$A$57,A85)+COUNTIF('04_TKS'!$A$5:$A$72,A85)+COUNTIF('05_Complementos'!$A$5:$A$127,A85)=1,0,1)</x:f>
        <x:v>0</x:v>
      </x:c>
      <x:c r="O85" s="12" t="n">
        <x:f>COUNTIF('08_Trazas'!$A$5:$A$248,A85)-1</x:f>
        <x:v>0</x:v>
      </x:c>
      <x:c r="P85" s="12" t="n">
        <x:f>IF(COUNTIF('02_Custodia'!$A$5:$A$53,C85)=1,0,1)</x:f>
        <x:v>0</x:v>
      </x:c>
    </x:row>
    <x:row r="86" ht="47" customHeight="1">
      <x:c r="A86" s="4" t="str">
        <x:v>T1624</x:v>
      </x:c>
      <x:c r="B86" s="4" t="str">
        <x:v>F001</x:v>
      </x:c>
      <x:c r="C86" s="4" t="str">
        <x:v>F001</x:v>
      </x:c>
      <x:c r="D86" s="4" t="str">
        <x:v>T1624</x:v>
      </x:c>
      <x:c r="E86" s="4" t="str">
        <x:v>2.2.0</x:v>
      </x:c>
      <x:c r="F86" s="4" t="str">
        <x:v>elements / T1624</x:v>
      </x:c>
      <x:c r="G86" s="4" t="str">
        <x:v>JSON_ORIGINAL_UTF8</x:v>
      </x:c>
      <x:c r="H86" s="4" t="str">
        <x:v>211954</x:v>
      </x:c>
      <x:c r="I86" s="4" t="str">
        <x:v>250</x:v>
      </x:c>
      <x:c r="J86" s="4" t="str">
        <x:v>300c77de5e048dfc176a7cb4dcca2e3242e5020409093f1b28fee2d09ceccc77</x:v>
      </x:c>
      <x:c r="K86" s="4" t="str">
        <x:v>2026-09-08</x:v>
      </x:c>
      <x:c r="L86" s="4" t="str">
        <x:v>SIN_FECHA_DE_ADOPCION</x:v>
      </x:c>
      <x:c r="M86" s="12" t="n">
        <x:f>IF(LEN(J86)=64,0,1)</x:f>
        <x:v>0</x:v>
      </x:c>
      <x:c r="N86" s="12" t="n">
        <x:f>IF(COUNTIF('03_NICE'!$A$5:$A$57,A86)+COUNTIF('04_TKS'!$A$5:$A$72,A86)+COUNTIF('05_Complementos'!$A$5:$A$127,A86)=1,0,1)</x:f>
        <x:v>0</x:v>
      </x:c>
      <x:c r="O86" s="12" t="n">
        <x:f>COUNTIF('08_Trazas'!$A$5:$A$248,A86)-1</x:f>
        <x:v>0</x:v>
      </x:c>
      <x:c r="P86" s="12" t="n">
        <x:f>IF(COUNTIF('02_Custodia'!$A$5:$A$53,C86)=1,0,1)</x:f>
        <x:v>0</x:v>
      </x:c>
    </x:row>
    <x:row r="87" ht="47" customHeight="1">
      <x:c r="A87" s="4" t="str">
        <x:v>T1625</x:v>
      </x:c>
      <x:c r="B87" s="4" t="str">
        <x:v>F001</x:v>
      </x:c>
      <x:c r="C87" s="4" t="str">
        <x:v>F001</x:v>
      </x:c>
      <x:c r="D87" s="4" t="str">
        <x:v>T1625</x:v>
      </x:c>
      <x:c r="E87" s="4" t="str">
        <x:v>2.2.0</x:v>
      </x:c>
      <x:c r="F87" s="4" t="str">
        <x:v>elements / T1625</x:v>
      </x:c>
      <x:c r="G87" s="4" t="str">
        <x:v>JSON_ORIGINAL_UTF8</x:v>
      </x:c>
      <x:c r="H87" s="4" t="str">
        <x:v>212214</x:v>
      </x:c>
      <x:c r="I87" s="4" t="str">
        <x:v>226</x:v>
      </x:c>
      <x:c r="J87" s="4" t="str">
        <x:v>90536d729a766b5421e6936166c14eec946909e79668b3bb29d79bd291f75052</x:v>
      </x:c>
      <x:c r="K87" s="4" t="str">
        <x:v>2026-09-08</x:v>
      </x:c>
      <x:c r="L87" s="4" t="str">
        <x:v>SIN_FECHA_DE_ADOPCION</x:v>
      </x:c>
      <x:c r="M87" s="12" t="n">
        <x:f>IF(LEN(J87)=64,0,1)</x:f>
        <x:v>0</x:v>
      </x:c>
      <x:c r="N87" s="12" t="n">
        <x:f>IF(COUNTIF('03_NICE'!$A$5:$A$57,A87)+COUNTIF('04_TKS'!$A$5:$A$72,A87)+COUNTIF('05_Complementos'!$A$5:$A$127,A87)=1,0,1)</x:f>
        <x:v>0</x:v>
      </x:c>
      <x:c r="O87" s="12" t="n">
        <x:f>COUNTIF('08_Trazas'!$A$5:$A$248,A87)-1</x:f>
        <x:v>0</x:v>
      </x:c>
      <x:c r="P87" s="12" t="n">
        <x:f>IF(COUNTIF('02_Custodia'!$A$5:$A$53,C87)=1,0,1)</x:f>
        <x:v>0</x:v>
      </x:c>
    </x:row>
    <x:row r="88" ht="47" customHeight="1">
      <x:c r="A88" s="4" t="str">
        <x:v>T1974</x:v>
      </x:c>
      <x:c r="B88" s="4" t="str">
        <x:v>F001</x:v>
      </x:c>
      <x:c r="C88" s="4" t="str">
        <x:v>F001</x:v>
      </x:c>
      <x:c r="D88" s="4" t="str">
        <x:v>T1974</x:v>
      </x:c>
      <x:c r="E88" s="4" t="str">
        <x:v>2.2.0</x:v>
      </x:c>
      <x:c r="F88" s="4" t="str">
        <x:v>elements / T1974</x:v>
      </x:c>
      <x:c r="G88" s="4" t="str">
        <x:v>JSON_ORIGINAL_UTF8</x:v>
      </x:c>
      <x:c r="H88" s="4" t="str">
        <x:v>261489</x:v>
      </x:c>
      <x:c r="I88" s="4" t="str">
        <x:v>227</x:v>
      </x:c>
      <x:c r="J88" s="4" t="str">
        <x:v>dc25b278d9d816e1614c4bbc65d8f60fd9d5097dbdffd2bae779f6a89c5c0e7d</x:v>
      </x:c>
      <x:c r="K88" s="4" t="str">
        <x:v>2026-09-08</x:v>
      </x:c>
      <x:c r="L88" s="4" t="str">
        <x:v>SIN_FECHA_DE_ADOPCION</x:v>
      </x:c>
      <x:c r="M88" s="12" t="n">
        <x:f>IF(LEN(J88)=64,0,1)</x:f>
        <x:v>0</x:v>
      </x:c>
      <x:c r="N88" s="12" t="n">
        <x:f>IF(COUNTIF('03_NICE'!$A$5:$A$57,A88)+COUNTIF('04_TKS'!$A$5:$A$72,A88)+COUNTIF('05_Complementos'!$A$5:$A$127,A88)=1,0,1)</x:f>
        <x:v>0</x:v>
      </x:c>
      <x:c r="O88" s="12" t="n">
        <x:f>COUNTIF('08_Trazas'!$A$5:$A$248,A88)-1</x:f>
        <x:v>0</x:v>
      </x:c>
      <x:c r="P88" s="12" t="n">
        <x:f>IF(COUNTIF('02_Custodia'!$A$5:$A$53,C88)=1,0,1)</x:f>
        <x:v>0</x:v>
      </x:c>
    </x:row>
    <x:row r="89" ht="47" customHeight="1">
      <x:c r="A89" s="4" t="str">
        <x:v>T1980</x:v>
      </x:c>
      <x:c r="B89" s="4" t="str">
        <x:v>F001</x:v>
      </x:c>
      <x:c r="C89" s="4" t="str">
        <x:v>F001</x:v>
      </x:c>
      <x:c r="D89" s="4" t="str">
        <x:v>T1980</x:v>
      </x:c>
      <x:c r="E89" s="4" t="str">
        <x:v>2.2.0</x:v>
      </x:c>
      <x:c r="F89" s="4" t="str">
        <x:v>elements / T1980</x:v>
      </x:c>
      <x:c r="G89" s="4" t="str">
        <x:v>JSON_ORIGINAL_UTF8</x:v>
      </x:c>
      <x:c r="H89" s="4" t="str">
        <x:v>263014</x:v>
      </x:c>
      <x:c r="I89" s="4" t="str">
        <x:v>255</x:v>
      </x:c>
      <x:c r="J89" s="4" t="str">
        <x:v>7d5ce0dc50df92c1f9f7ac8e5c80f2d08c43e736536c78520b7e7176c3c94a80</x:v>
      </x:c>
      <x:c r="K89" s="4" t="str">
        <x:v>2026-09-08</x:v>
      </x:c>
      <x:c r="L89" s="4" t="str">
        <x:v>SIN_FECHA_DE_ADOPCION</x:v>
      </x:c>
      <x:c r="M89" s="12" t="n">
        <x:f>IF(LEN(J89)=64,0,1)</x:f>
        <x:v>0</x:v>
      </x:c>
      <x:c r="N89" s="12" t="n">
        <x:f>IF(COUNTIF('03_NICE'!$A$5:$A$57,A89)+COUNTIF('04_TKS'!$A$5:$A$72,A89)+COUNTIF('05_Complementos'!$A$5:$A$127,A89)=1,0,1)</x:f>
        <x:v>0</x:v>
      </x:c>
      <x:c r="O89" s="12" t="n">
        <x:f>COUNTIF('08_Trazas'!$A$5:$A$248,A89)-1</x:f>
        <x:v>0</x:v>
      </x:c>
      <x:c r="P89" s="12" t="n">
        <x:f>IF(COUNTIF('02_Custodia'!$A$5:$A$53,C89)=1,0,1)</x:f>
        <x:v>0</x:v>
      </x:c>
    </x:row>
    <x:row r="90" ht="47" customHeight="1">
      <x:c r="A90" s="4" t="str">
        <x:v>T2036</x:v>
      </x:c>
      <x:c r="B90" s="4" t="str">
        <x:v>F001</x:v>
      </x:c>
      <x:c r="C90" s="4" t="str">
        <x:v>F001</x:v>
      </x:c>
      <x:c r="D90" s="4" t="str">
        <x:v>T2036</x:v>
      </x:c>
      <x:c r="E90" s="4" t="str">
        <x:v>2.2.0</x:v>
      </x:c>
      <x:c r="F90" s="4" t="str">
        <x:v>elements / T2036</x:v>
      </x:c>
      <x:c r="G90" s="4" t="str">
        <x:v>JSON_ORIGINAL_UTF8</x:v>
      </x:c>
      <x:c r="H90" s="4" t="str">
        <x:v>276956</x:v>
      </x:c>
      <x:c r="I90" s="4" t="str">
        <x:v>292</x:v>
      </x:c>
      <x:c r="J90" s="4" t="str">
        <x:v>9cc07b348a847e6afab25018ce9faace3421ff41a10a0ed5a6b382a20cb43884</x:v>
      </x:c>
      <x:c r="K90" s="4" t="str">
        <x:v>2026-09-08</x:v>
      </x:c>
      <x:c r="L90" s="4" t="str">
        <x:v>SIN_FECHA_DE_ADOPCION</x:v>
      </x:c>
      <x:c r="M90" s="12" t="n">
        <x:f>IF(LEN(J90)=64,0,1)</x:f>
        <x:v>0</x:v>
      </x:c>
      <x:c r="N90" s="12" t="n">
        <x:f>IF(COUNTIF('03_NICE'!$A$5:$A$57,A90)+COUNTIF('04_TKS'!$A$5:$A$72,A90)+COUNTIF('05_Complementos'!$A$5:$A$127,A90)=1,0,1)</x:f>
        <x:v>0</x:v>
      </x:c>
      <x:c r="O90" s="12" t="n">
        <x:f>COUNTIF('08_Trazas'!$A$5:$A$248,A90)-1</x:f>
        <x:v>0</x:v>
      </x:c>
      <x:c r="P90" s="12" t="n">
        <x:f>IF(COUNTIF('02_Custodia'!$A$5:$A$53,C90)=1,0,1)</x:f>
        <x:v>0</x:v>
      </x:c>
    </x:row>
    <x:row r="91" ht="47" customHeight="1">
      <x:c r="A91" s="4" t="str">
        <x:v>T2056</x:v>
      </x:c>
      <x:c r="B91" s="4" t="str">
        <x:v>F001</x:v>
      </x:c>
      <x:c r="C91" s="4" t="str">
        <x:v>F001</x:v>
      </x:c>
      <x:c r="D91" s="4" t="str">
        <x:v>T2056</x:v>
      </x:c>
      <x:c r="E91" s="4" t="str">
        <x:v>2.2.0</x:v>
      </x:c>
      <x:c r="F91" s="4" t="str">
        <x:v>elements / T2056</x:v>
      </x:c>
      <x:c r="G91" s="4" t="str">
        <x:v>JSON_ORIGINAL_UTF8</x:v>
      </x:c>
      <x:c r="H91" s="4" t="str">
        <x:v>282313</x:v>
      </x:c>
      <x:c r="I91" s="4" t="str">
        <x:v>221</x:v>
      </x:c>
      <x:c r="J91" s="4" t="str">
        <x:v>8ec8ca35859b2f5c4099ee1b62838c824522ef7f5556c4b3699f31711a0c848b</x:v>
      </x:c>
      <x:c r="K91" s="4" t="str">
        <x:v>2026-09-08</x:v>
      </x:c>
      <x:c r="L91" s="4" t="str">
        <x:v>SIN_FECHA_DE_ADOPCION</x:v>
      </x:c>
      <x:c r="M91" s="12" t="n">
        <x:f>IF(LEN(J91)=64,0,1)</x:f>
        <x:v>0</x:v>
      </x:c>
      <x:c r="N91" s="12" t="n">
        <x:f>IF(COUNTIF('03_NICE'!$A$5:$A$57,A91)+COUNTIF('04_TKS'!$A$5:$A$72,A91)+COUNTIF('05_Complementos'!$A$5:$A$127,A91)=1,0,1)</x:f>
        <x:v>0</x:v>
      </x:c>
      <x:c r="O91" s="12" t="n">
        <x:f>COUNTIF('08_Trazas'!$A$5:$A$248,A91)-1</x:f>
        <x:v>0</x:v>
      </x:c>
      <x:c r="P91" s="12" t="n">
        <x:f>IF(COUNTIF('02_Custodia'!$A$5:$A$53,C91)=1,0,1)</x:f>
        <x:v>0</x:v>
      </x:c>
    </x:row>
    <x:row r="92" ht="47" customHeight="1">
      <x:c r="A92" s="4" t="str">
        <x:v>T2058</x:v>
      </x:c>
      <x:c r="B92" s="4" t="str">
        <x:v>F001</x:v>
      </x:c>
      <x:c r="C92" s="4" t="str">
        <x:v>F001</x:v>
      </x:c>
      <x:c r="D92" s="4" t="str">
        <x:v>T2058</x:v>
      </x:c>
      <x:c r="E92" s="4" t="str">
        <x:v>2.2.0</x:v>
      </x:c>
      <x:c r="F92" s="4" t="str">
        <x:v>elements / T2058</x:v>
      </x:c>
      <x:c r="G92" s="4" t="str">
        <x:v>JSON_ORIGINAL_UTF8</x:v>
      </x:c>
      <x:c r="H92" s="4" t="str">
        <x:v>282777</x:v>
      </x:c>
      <x:c r="I92" s="4" t="str">
        <x:v>222</x:v>
      </x:c>
      <x:c r="J92" s="4" t="str">
        <x:v>9e7cfccc5a2a16485121052d88ac839e68a507f2273a80e5d95b4560e86ccda8</x:v>
      </x:c>
      <x:c r="K92" s="4" t="str">
        <x:v>2026-09-08</x:v>
      </x:c>
      <x:c r="L92" s="4" t="str">
        <x:v>SIN_FECHA_DE_ADOPCION</x:v>
      </x:c>
      <x:c r="M92" s="12" t="n">
        <x:f>IF(LEN(J92)=64,0,1)</x:f>
        <x:v>0</x:v>
      </x:c>
      <x:c r="N92" s="12" t="n">
        <x:f>IF(COUNTIF('03_NICE'!$A$5:$A$57,A92)+COUNTIF('04_TKS'!$A$5:$A$72,A92)+COUNTIF('05_Complementos'!$A$5:$A$127,A92)=1,0,1)</x:f>
        <x:v>0</x:v>
      </x:c>
      <x:c r="O92" s="12" t="n">
        <x:f>COUNTIF('08_Trazas'!$A$5:$A$248,A92)-1</x:f>
        <x:v>0</x:v>
      </x:c>
      <x:c r="P92" s="12" t="n">
        <x:f>IF(COUNTIF('02_Custodia'!$A$5:$A$53,C92)=1,0,1)</x:f>
        <x:v>0</x:v>
      </x:c>
    </x:row>
    <x:row r="93" ht="47" customHeight="1">
      <x:c r="A93" s="4" t="str">
        <x:v>T2067</x:v>
      </x:c>
      <x:c r="B93" s="4" t="str">
        <x:v>F001</x:v>
      </x:c>
      <x:c r="C93" s="4" t="str">
        <x:v>F001</x:v>
      </x:c>
      <x:c r="D93" s="4" t="str">
        <x:v>T2067</x:v>
      </x:c>
      <x:c r="E93" s="4" t="str">
        <x:v>2.2.0</x:v>
      </x:c>
      <x:c r="F93" s="4" t="str">
        <x:v>elements / T2067</x:v>
      </x:c>
      <x:c r="G93" s="4" t="str">
        <x:v>JSON_ORIGINAL_UTF8</x:v>
      </x:c>
      <x:c r="H93" s="4" t="str">
        <x:v>285126</x:v>
      </x:c>
      <x:c r="I93" s="4" t="str">
        <x:v>237</x:v>
      </x:c>
      <x:c r="J93" s="4" t="str">
        <x:v>bde2a0eda0cbac61c440b976e61e8f6ab65cc3c154183417c5381ec89ca46f93</x:v>
      </x:c>
      <x:c r="K93" s="4" t="str">
        <x:v>2026-09-08</x:v>
      </x:c>
      <x:c r="L93" s="4" t="str">
        <x:v>SIN_FECHA_DE_ADOPCION</x:v>
      </x:c>
      <x:c r="M93" s="12" t="n">
        <x:f>IF(LEN(J93)=64,0,1)</x:f>
        <x:v>0</x:v>
      </x:c>
      <x:c r="N93" s="12" t="n">
        <x:f>IF(COUNTIF('03_NICE'!$A$5:$A$57,A93)+COUNTIF('04_TKS'!$A$5:$A$72,A93)+COUNTIF('05_Complementos'!$A$5:$A$127,A93)=1,0,1)</x:f>
        <x:v>0</x:v>
      </x:c>
      <x:c r="O93" s="12" t="n">
        <x:f>COUNTIF('08_Trazas'!$A$5:$A$248,A93)-1</x:f>
        <x:v>0</x:v>
      </x:c>
      <x:c r="P93" s="12" t="n">
        <x:f>IF(COUNTIF('02_Custodia'!$A$5:$A$53,C93)=1,0,1)</x:f>
        <x:v>0</x:v>
      </x:c>
    </x:row>
    <x:row r="94" ht="47" customHeight="1">
      <x:c r="A94" s="4" t="str">
        <x:v>K0658</x:v>
      </x:c>
      <x:c r="B94" s="4" t="str">
        <x:v>F001</x:v>
      </x:c>
      <x:c r="C94" s="4" t="str">
        <x:v>F001</x:v>
      </x:c>
      <x:c r="D94" s="4" t="str">
        <x:v>K0658</x:v>
      </x:c>
      <x:c r="E94" s="4" t="str">
        <x:v>2.2.0</x:v>
      </x:c>
      <x:c r="F94" s="4" t="str">
        <x:v>elements / K0658</x:v>
      </x:c>
      <x:c r="G94" s="4" t="str">
        <x:v>JSON_ORIGINAL_UTF8</x:v>
      </x:c>
      <x:c r="H94" s="4" t="str">
        <x:v>295338</x:v>
      </x:c>
      <x:c r="I94" s="4" t="str">
        <x:v>222</x:v>
      </x:c>
      <x:c r="J94" s="4" t="str">
        <x:v>efcc8c518b9f851d688436ce0e2b8f26cc7fdce5e0bdb5bef9ad8304b2574faf</x:v>
      </x:c>
      <x:c r="K94" s="4" t="str">
        <x:v>2026-09-08</x:v>
      </x:c>
      <x:c r="L94" s="4" t="str">
        <x:v>SIN_FECHA_DE_ADOPCION</x:v>
      </x:c>
      <x:c r="M94" s="12" t="n">
        <x:f>IF(LEN(J94)=64,0,1)</x:f>
        <x:v>0</x:v>
      </x:c>
      <x:c r="N94" s="12" t="n">
        <x:f>IF(COUNTIF('03_NICE'!$A$5:$A$57,A94)+COUNTIF('04_TKS'!$A$5:$A$72,A94)+COUNTIF('05_Complementos'!$A$5:$A$127,A94)=1,0,1)</x:f>
        <x:v>0</x:v>
      </x:c>
      <x:c r="O94" s="12" t="n">
        <x:f>COUNTIF('08_Trazas'!$A$5:$A$248,A94)-1</x:f>
        <x:v>0</x:v>
      </x:c>
      <x:c r="P94" s="12" t="n">
        <x:f>IF(COUNTIF('02_Custodia'!$A$5:$A$53,C94)=1,0,1)</x:f>
        <x:v>0</x:v>
      </x:c>
    </x:row>
    <x:row r="95" ht="47" customHeight="1">
      <x:c r="A95" s="4" t="str">
        <x:v>K0711</x:v>
      </x:c>
      <x:c r="B95" s="4" t="str">
        <x:v>F001</x:v>
      </x:c>
      <x:c r="C95" s="4" t="str">
        <x:v>F001</x:v>
      </x:c>
      <x:c r="D95" s="4" t="str">
        <x:v>K0711</x:v>
      </x:c>
      <x:c r="E95" s="4" t="str">
        <x:v>2.2.0</x:v>
      </x:c>
      <x:c r="F95" s="4" t="str">
        <x:v>elements / K0711</x:v>
      </x:c>
      <x:c r="G95" s="4" t="str">
        <x:v>JSON_ORIGINAL_UTF8</x:v>
      </x:c>
      <x:c r="H95" s="4" t="str">
        <x:v>308347</x:v>
      </x:c>
      <x:c r="I95" s="4" t="str">
        <x:v>256</x:v>
      </x:c>
      <x:c r="J95" s="4" t="str">
        <x:v>c144eaafe4a02eb5a693a61162abcc9d5fa09785b5fb6cdcf9a98b458653f626</x:v>
      </x:c>
      <x:c r="K95" s="4" t="str">
        <x:v>2026-09-08</x:v>
      </x:c>
      <x:c r="L95" s="4" t="str">
        <x:v>SIN_FECHA_DE_ADOPCION</x:v>
      </x:c>
      <x:c r="M95" s="12" t="n">
        <x:f>IF(LEN(J95)=64,0,1)</x:f>
        <x:v>0</x:v>
      </x:c>
      <x:c r="N95" s="12" t="n">
        <x:f>IF(COUNTIF('03_NICE'!$A$5:$A$57,A95)+COUNTIF('04_TKS'!$A$5:$A$72,A95)+COUNTIF('05_Complementos'!$A$5:$A$127,A95)=1,0,1)</x:f>
        <x:v>0</x:v>
      </x:c>
      <x:c r="O95" s="12" t="n">
        <x:f>COUNTIF('08_Trazas'!$A$5:$A$248,A95)-1</x:f>
        <x:v>0</x:v>
      </x:c>
      <x:c r="P95" s="12" t="n">
        <x:f>IF(COUNTIF('02_Custodia'!$A$5:$A$53,C95)=1,0,1)</x:f>
        <x:v>0</x:v>
      </x:c>
    </x:row>
    <x:row r="96" ht="47" customHeight="1">
      <x:c r="A96" s="4" t="str">
        <x:v>K0742</x:v>
      </x:c>
      <x:c r="B96" s="4" t="str">
        <x:v>F001</x:v>
      </x:c>
      <x:c r="C96" s="4" t="str">
        <x:v>F001</x:v>
      </x:c>
      <x:c r="D96" s="4" t="str">
        <x:v>K0742</x:v>
      </x:c>
      <x:c r="E96" s="4" t="str">
        <x:v>2.2.0</x:v>
      </x:c>
      <x:c r="F96" s="4" t="str">
        <x:v>elements / K0742</x:v>
      </x:c>
      <x:c r="G96" s="4" t="str">
        <x:v>JSON_ORIGINAL_UTF8</x:v>
      </x:c>
      <x:c r="H96" s="4" t="str">
        <x:v>316377</x:v>
      </x:c>
      <x:c r="I96" s="4" t="str">
        <x:v>267</x:v>
      </x:c>
      <x:c r="J96" s="4" t="str">
        <x:v>15dd59410263c6f464414df71902d998215af17a22a08754677ebac9d3c9f8e1</x:v>
      </x:c>
      <x:c r="K96" s="4" t="str">
        <x:v>2026-09-08</x:v>
      </x:c>
      <x:c r="L96" s="4" t="str">
        <x:v>SIN_FECHA_DE_ADOPCION</x:v>
      </x:c>
      <x:c r="M96" s="12" t="n">
        <x:f>IF(LEN(J96)=64,0,1)</x:f>
        <x:v>0</x:v>
      </x:c>
      <x:c r="N96" s="12" t="n">
        <x:f>IF(COUNTIF('03_NICE'!$A$5:$A$57,A96)+COUNTIF('04_TKS'!$A$5:$A$72,A96)+COUNTIF('05_Complementos'!$A$5:$A$127,A96)=1,0,1)</x:f>
        <x:v>0</x:v>
      </x:c>
      <x:c r="O96" s="12" t="n">
        <x:f>COUNTIF('08_Trazas'!$A$5:$A$248,A96)-1</x:f>
        <x:v>0</x:v>
      </x:c>
      <x:c r="P96" s="12" t="n">
        <x:f>IF(COUNTIF('02_Custodia'!$A$5:$A$53,C96)=1,0,1)</x:f>
        <x:v>0</x:v>
      </x:c>
    </x:row>
    <x:row r="97" ht="47" customHeight="1">
      <x:c r="A97" s="4" t="str">
        <x:v>K0904</x:v>
      </x:c>
      <x:c r="B97" s="4" t="str">
        <x:v>F001</x:v>
      </x:c>
      <x:c r="C97" s="4" t="str">
        <x:v>F001</x:v>
      </x:c>
      <x:c r="D97" s="4" t="str">
        <x:v>K0904</x:v>
      </x:c>
      <x:c r="E97" s="4" t="str">
        <x:v>2.2.0</x:v>
      </x:c>
      <x:c r="F97" s="4" t="str">
        <x:v>elements / K0904</x:v>
      </x:c>
      <x:c r="G97" s="4" t="str">
        <x:v>JSON_ORIGINAL_UTF8</x:v>
      </x:c>
      <x:c r="H97" s="4" t="str">
        <x:v>357388</x:v>
      </x:c>
      <x:c r="I97" s="4" t="str">
        <x:v>247</x:v>
      </x:c>
      <x:c r="J97" s="4" t="str">
        <x:v>f80b97fd04eaaf4cdd1c2fa04bba122404b0ed5f6ed565d44fce7409296e8ff2</x:v>
      </x:c>
      <x:c r="K97" s="4" t="str">
        <x:v>2026-09-08</x:v>
      </x:c>
      <x:c r="L97" s="4" t="str">
        <x:v>SIN_FECHA_DE_ADOPCION</x:v>
      </x:c>
      <x:c r="M97" s="12" t="n">
        <x:f>IF(LEN(J97)=64,0,1)</x:f>
        <x:v>0</x:v>
      </x:c>
      <x:c r="N97" s="12" t="n">
        <x:f>IF(COUNTIF('03_NICE'!$A$5:$A$57,A97)+COUNTIF('04_TKS'!$A$5:$A$72,A97)+COUNTIF('05_Complementos'!$A$5:$A$127,A97)=1,0,1)</x:f>
        <x:v>0</x:v>
      </x:c>
      <x:c r="O97" s="12" t="n">
        <x:f>COUNTIF('08_Trazas'!$A$5:$A$248,A97)-1</x:f>
        <x:v>0</x:v>
      </x:c>
      <x:c r="P97" s="12" t="n">
        <x:f>IF(COUNTIF('02_Custodia'!$A$5:$A$53,C97)=1,0,1)</x:f>
        <x:v>0</x:v>
      </x:c>
    </x:row>
    <x:row r="98" ht="47" customHeight="1">
      <x:c r="A98" s="4" t="str">
        <x:v>K1147</x:v>
      </x:c>
      <x:c r="B98" s="4" t="str">
        <x:v>F001</x:v>
      </x:c>
      <x:c r="C98" s="4" t="str">
        <x:v>F001</x:v>
      </x:c>
      <x:c r="D98" s="4" t="str">
        <x:v>K1147</x:v>
      </x:c>
      <x:c r="E98" s="4" t="str">
        <x:v>2.2.0</x:v>
      </x:c>
      <x:c r="F98" s="4" t="str">
        <x:v>elements / K1147</x:v>
      </x:c>
      <x:c r="G98" s="4" t="str">
        <x:v>JSON_ORIGINAL_UTF8</x:v>
      </x:c>
      <x:c r="H98" s="4" t="str">
        <x:v>407357</x:v>
      </x:c>
      <x:c r="I98" s="4" t="str">
        <x:v>245</x:v>
      </x:c>
      <x:c r="J98" s="4" t="str">
        <x:v>42ddc454323b6271ffbe1edab36d66d746dfd9e00ec000d234b3f671ae9a620f</x:v>
      </x:c>
      <x:c r="K98" s="4" t="str">
        <x:v>2026-09-08</x:v>
      </x:c>
      <x:c r="L98" s="4" t="str">
        <x:v>SIN_FECHA_DE_ADOPCION</x:v>
      </x:c>
      <x:c r="M98" s="12" t="n">
        <x:f>IF(LEN(J98)=64,0,1)</x:f>
        <x:v>0</x:v>
      </x:c>
      <x:c r="N98" s="12" t="n">
        <x:f>IF(COUNTIF('03_NICE'!$A$5:$A$57,A98)+COUNTIF('04_TKS'!$A$5:$A$72,A98)+COUNTIF('05_Complementos'!$A$5:$A$127,A98)=1,0,1)</x:f>
        <x:v>0</x:v>
      </x:c>
      <x:c r="O98" s="12" t="n">
        <x:f>COUNTIF('08_Trazas'!$A$5:$A$248,A98)-1</x:f>
        <x:v>0</x:v>
      </x:c>
      <x:c r="P98" s="12" t="n">
        <x:f>IF(COUNTIF('02_Custodia'!$A$5:$A$53,C98)=1,0,1)</x:f>
        <x:v>0</x:v>
      </x:c>
    </x:row>
    <x:row r="99" ht="47" customHeight="1">
      <x:c r="A99" s="4" t="str">
        <x:v>K1317</x:v>
      </x:c>
      <x:c r="B99" s="4" t="str">
        <x:v>F001</x:v>
      </x:c>
      <x:c r="C99" s="4" t="str">
        <x:v>F001</x:v>
      </x:c>
      <x:c r="D99" s="4" t="str">
        <x:v>K1317</x:v>
      </x:c>
      <x:c r="E99" s="4" t="str">
        <x:v>2.2.0</x:v>
      </x:c>
      <x:c r="F99" s="4" t="str">
        <x:v>elements / K1317</x:v>
      </x:c>
      <x:c r="G99" s="4" t="str">
        <x:v>JSON_ORIGINAL_UTF8</x:v>
      </x:c>
      <x:c r="H99" s="4" t="str">
        <x:v>446418</x:v>
      </x:c>
      <x:c r="I99" s="4" t="str">
        <x:v>219</x:v>
      </x:c>
      <x:c r="J99" s="4" t="str">
        <x:v>f8e8fc5892dcfcbcc5ff90bfdb565de48dcb64199e2fdb2c4c7495d56a2c2d12</x:v>
      </x:c>
      <x:c r="K99" s="4" t="str">
        <x:v>2026-09-08</x:v>
      </x:c>
      <x:c r="L99" s="4" t="str">
        <x:v>SIN_FECHA_DE_ADOPCION</x:v>
      </x:c>
      <x:c r="M99" s="12" t="n">
        <x:f>IF(LEN(J99)=64,0,1)</x:f>
        <x:v>0</x:v>
      </x:c>
      <x:c r="N99" s="12" t="n">
        <x:f>IF(COUNTIF('03_NICE'!$A$5:$A$57,A99)+COUNTIF('04_TKS'!$A$5:$A$72,A99)+COUNTIF('05_Complementos'!$A$5:$A$127,A99)=1,0,1)</x:f>
        <x:v>0</x:v>
      </x:c>
      <x:c r="O99" s="12" t="n">
        <x:f>COUNTIF('08_Trazas'!$A$5:$A$248,A99)-1</x:f>
        <x:v>0</x:v>
      </x:c>
      <x:c r="P99" s="12" t="n">
        <x:f>IF(COUNTIF('02_Custodia'!$A$5:$A$53,C99)=1,0,1)</x:f>
        <x:v>0</x:v>
      </x:c>
    </x:row>
    <x:row r="100" ht="47" customHeight="1">
      <x:c r="A100" s="4" t="str">
        <x:v>K1318</x:v>
      </x:c>
      <x:c r="B100" s="4" t="str">
        <x:v>F001</x:v>
      </x:c>
      <x:c r="C100" s="4" t="str">
        <x:v>F001</x:v>
      </x:c>
      <x:c r="D100" s="4" t="str">
        <x:v>K1318</x:v>
      </x:c>
      <x:c r="E100" s="4" t="str">
        <x:v>2.2.0</x:v>
      </x:c>
      <x:c r="F100" s="4" t="str">
        <x:v>elements / K1318</x:v>
      </x:c>
      <x:c r="G100" s="4" t="str">
        <x:v>JSON_ORIGINAL_UTF8</x:v>
      </x:c>
      <x:c r="H100" s="4" t="str">
        <x:v>446647</x:v>
      </x:c>
      <x:c r="I100" s="4" t="str">
        <x:v>236</x:v>
      </x:c>
      <x:c r="J100" s="4" t="str">
        <x:v>1a7bb43b80dbc140708d00403ebb920cecc0d9c208c0125554a782f517def29a</x:v>
      </x:c>
      <x:c r="K100" s="4" t="str">
        <x:v>2026-09-08</x:v>
      </x:c>
      <x:c r="L100" s="4" t="str">
        <x:v>SIN_FECHA_DE_ADOPCION</x:v>
      </x:c>
      <x:c r="M100" s="12" t="n">
        <x:f>IF(LEN(J100)=64,0,1)</x:f>
        <x:v>0</x:v>
      </x:c>
      <x:c r="N100" s="12" t="n">
        <x:f>IF(COUNTIF('03_NICE'!$A$5:$A$57,A100)+COUNTIF('04_TKS'!$A$5:$A$72,A100)+COUNTIF('05_Complementos'!$A$5:$A$127,A100)=1,0,1)</x:f>
        <x:v>0</x:v>
      </x:c>
      <x:c r="O100" s="12" t="n">
        <x:f>COUNTIF('08_Trazas'!$A$5:$A$248,A100)-1</x:f>
        <x:v>0</x:v>
      </x:c>
      <x:c r="P100" s="12" t="n">
        <x:f>IF(COUNTIF('02_Custodia'!$A$5:$A$53,C100)=1,0,1)</x:f>
        <x:v>0</x:v>
      </x:c>
    </x:row>
    <x:row r="101" ht="47" customHeight="1">
      <x:c r="A101" s="4" t="str">
        <x:v>K1320</x:v>
      </x:c>
      <x:c r="B101" s="4" t="str">
        <x:v>F001</x:v>
      </x:c>
      <x:c r="C101" s="4" t="str">
        <x:v>F001</x:v>
      </x:c>
      <x:c r="D101" s="4" t="str">
        <x:v>K1320</x:v>
      </x:c>
      <x:c r="E101" s="4" t="str">
        <x:v>2.2.0</x:v>
      </x:c>
      <x:c r="F101" s="4" t="str">
        <x:v>elements / K1320</x:v>
      </x:c>
      <x:c r="G101" s="4" t="str">
        <x:v>JSON_ORIGINAL_UTF8</x:v>
      </x:c>
      <x:c r="H101" s="4" t="str">
        <x:v>447130</x:v>
      </x:c>
      <x:c r="I101" s="4" t="str">
        <x:v>230</x:v>
      </x:c>
      <x:c r="J101" s="4" t="str">
        <x:v>d586f29e1d0e36b81ff6e1094cdb995cdfdb35e718212930982cda5c085a31a5</x:v>
      </x:c>
      <x:c r="K101" s="4" t="str">
        <x:v>2026-09-08</x:v>
      </x:c>
      <x:c r="L101" s="4" t="str">
        <x:v>SIN_FECHA_DE_ADOPCION</x:v>
      </x:c>
      <x:c r="M101" s="12" t="n">
        <x:f>IF(LEN(J101)=64,0,1)</x:f>
        <x:v>0</x:v>
      </x:c>
      <x:c r="N101" s="12" t="n">
        <x:f>IF(COUNTIF('03_NICE'!$A$5:$A$57,A101)+COUNTIF('04_TKS'!$A$5:$A$72,A101)+COUNTIF('05_Complementos'!$A$5:$A$127,A101)=1,0,1)</x:f>
        <x:v>0</x:v>
      </x:c>
      <x:c r="O101" s="12" t="n">
        <x:f>COUNTIF('08_Trazas'!$A$5:$A$248,A101)-1</x:f>
        <x:v>0</x:v>
      </x:c>
      <x:c r="P101" s="12" t="n">
        <x:f>IF(COUNTIF('02_Custodia'!$A$5:$A$53,C101)=1,0,1)</x:f>
        <x:v>0</x:v>
      </x:c>
    </x:row>
    <x:row r="102" ht="47" customHeight="1">
      <x:c r="A102" s="4" t="str">
        <x:v>K1321</x:v>
      </x:c>
      <x:c r="B102" s="4" t="str">
        <x:v>F001</x:v>
      </x:c>
      <x:c r="C102" s="4" t="str">
        <x:v>F001</x:v>
      </x:c>
      <x:c r="D102" s="4" t="str">
        <x:v>K1321</x:v>
      </x:c>
      <x:c r="E102" s="4" t="str">
        <x:v>2.2.0</x:v>
      </x:c>
      <x:c r="F102" s="4" t="str">
        <x:v>elements / K1321</x:v>
      </x:c>
      <x:c r="G102" s="4" t="str">
        <x:v>JSON_ORIGINAL_UTF8</x:v>
      </x:c>
      <x:c r="H102" s="4" t="str">
        <x:v>447370</x:v>
      </x:c>
      <x:c r="I102" s="4" t="str">
        <x:v>266</x:v>
      </x:c>
      <x:c r="J102" s="4" t="str">
        <x:v>bfcaa37175b25e9de8df1451f2b8ce5d7acbbe7d0cfc3361d46d88fa88eea336</x:v>
      </x:c>
      <x:c r="K102" s="4" t="str">
        <x:v>2026-09-08</x:v>
      </x:c>
      <x:c r="L102" s="4" t="str">
        <x:v>SIN_FECHA_DE_ADOPCION</x:v>
      </x:c>
      <x:c r="M102" s="12" t="n">
        <x:f>IF(LEN(J102)=64,0,1)</x:f>
        <x:v>0</x:v>
      </x:c>
      <x:c r="N102" s="12" t="n">
        <x:f>IF(COUNTIF('03_NICE'!$A$5:$A$57,A102)+COUNTIF('04_TKS'!$A$5:$A$72,A102)+COUNTIF('05_Complementos'!$A$5:$A$127,A102)=1,0,1)</x:f>
        <x:v>0</x:v>
      </x:c>
      <x:c r="O102" s="12" t="n">
        <x:f>COUNTIF('08_Trazas'!$A$5:$A$248,A102)-1</x:f>
        <x:v>0</x:v>
      </x:c>
      <x:c r="P102" s="12" t="n">
        <x:f>IF(COUNTIF('02_Custodia'!$A$5:$A$53,C102)=1,0,1)</x:f>
        <x:v>0</x:v>
      </x:c>
    </x:row>
    <x:row r="103" ht="47" customHeight="1">
      <x:c r="A103" s="4" t="str">
        <x:v>K1324</x:v>
      </x:c>
      <x:c r="B103" s="4" t="str">
        <x:v>F001</x:v>
      </x:c>
      <x:c r="C103" s="4" t="str">
        <x:v>F001</x:v>
      </x:c>
      <x:c r="D103" s="4" t="str">
        <x:v>K1324</x:v>
      </x:c>
      <x:c r="E103" s="4" t="str">
        <x:v>2.2.0</x:v>
      </x:c>
      <x:c r="F103" s="4" t="str">
        <x:v>elements / K1324</x:v>
      </x:c>
      <x:c r="G103" s="4" t="str">
        <x:v>JSON_ORIGINAL_UTF8</x:v>
      </x:c>
      <x:c r="H103" s="4" t="str">
        <x:v>448158</x:v>
      </x:c>
      <x:c r="I103" s="4" t="str">
        <x:v>233</x:v>
      </x:c>
      <x:c r="J103" s="4" t="str">
        <x:v>5a70f875a532204b4103b66d261b493838d60f14bf3c02ae3db85ffda9c3174d</x:v>
      </x:c>
      <x:c r="K103" s="4" t="str">
        <x:v>2026-09-08</x:v>
      </x:c>
      <x:c r="L103" s="4" t="str">
        <x:v>SIN_FECHA_DE_ADOPCION</x:v>
      </x:c>
      <x:c r="M103" s="12" t="n">
        <x:f>IF(LEN(J103)=64,0,1)</x:f>
        <x:v>0</x:v>
      </x:c>
      <x:c r="N103" s="12" t="n">
        <x:f>IF(COUNTIF('03_NICE'!$A$5:$A$57,A103)+COUNTIF('04_TKS'!$A$5:$A$72,A103)+COUNTIF('05_Complementos'!$A$5:$A$127,A103)=1,0,1)</x:f>
        <x:v>0</x:v>
      </x:c>
      <x:c r="O103" s="12" t="n">
        <x:f>COUNTIF('08_Trazas'!$A$5:$A$248,A103)-1</x:f>
        <x:v>0</x:v>
      </x:c>
      <x:c r="P103" s="12" t="n">
        <x:f>IF(COUNTIF('02_Custodia'!$A$5:$A$53,C103)=1,0,1)</x:f>
        <x:v>0</x:v>
      </x:c>
    </x:row>
    <x:row r="104" ht="47" customHeight="1">
      <x:c r="A104" s="4" t="str">
        <x:v>K1327</x:v>
      </x:c>
      <x:c r="B104" s="4" t="str">
        <x:v>F001</x:v>
      </x:c>
      <x:c r="C104" s="4" t="str">
        <x:v>F001</x:v>
      </x:c>
      <x:c r="D104" s="4" t="str">
        <x:v>K1327</x:v>
      </x:c>
      <x:c r="E104" s="4" t="str">
        <x:v>2.2.0</x:v>
      </x:c>
      <x:c r="F104" s="4" t="str">
        <x:v>elements / K1327</x:v>
      </x:c>
      <x:c r="G104" s="4" t="str">
        <x:v>JSON_ORIGINAL_UTF8</x:v>
      </x:c>
      <x:c r="H104" s="4" t="str">
        <x:v>448950</x:v>
      </x:c>
      <x:c r="I104" s="4" t="str">
        <x:v>263</x:v>
      </x:c>
      <x:c r="J104" s="4" t="str">
        <x:v>8c871a045edd4b858fb0c1caf3d79edbf8371fc5f4fa4b550dcf61d077ee480b</x:v>
      </x:c>
      <x:c r="K104" s="4" t="str">
        <x:v>2026-09-08</x:v>
      </x:c>
      <x:c r="L104" s="4" t="str">
        <x:v>SIN_FECHA_DE_ADOPCION</x:v>
      </x:c>
      <x:c r="M104" s="12" t="n">
        <x:f>IF(LEN(J104)=64,0,1)</x:f>
        <x:v>0</x:v>
      </x:c>
      <x:c r="N104" s="12" t="n">
        <x:f>IF(COUNTIF('03_NICE'!$A$5:$A$57,A104)+COUNTIF('04_TKS'!$A$5:$A$72,A104)+COUNTIF('05_Complementos'!$A$5:$A$127,A104)=1,0,1)</x:f>
        <x:v>0</x:v>
      </x:c>
      <x:c r="O104" s="12" t="n">
        <x:f>COUNTIF('08_Trazas'!$A$5:$A$248,A104)-1</x:f>
        <x:v>0</x:v>
      </x:c>
      <x:c r="P104" s="12" t="n">
        <x:f>IF(COUNTIF('02_Custodia'!$A$5:$A$53,C104)=1,0,1)</x:f>
        <x:v>0</x:v>
      </x:c>
    </x:row>
    <x:row r="105" ht="47" customHeight="1">
      <x:c r="A105" s="4" t="str">
        <x:v>K1328</x:v>
      </x:c>
      <x:c r="B105" s="4" t="str">
        <x:v>F001</x:v>
      </x:c>
      <x:c r="C105" s="4" t="str">
        <x:v>F001</x:v>
      </x:c>
      <x:c r="D105" s="4" t="str">
        <x:v>K1328</x:v>
      </x:c>
      <x:c r="E105" s="4" t="str">
        <x:v>2.2.0</x:v>
      </x:c>
      <x:c r="F105" s="4" t="str">
        <x:v>elements / K1328</x:v>
      </x:c>
      <x:c r="G105" s="4" t="str">
        <x:v>JSON_ORIGINAL_UTF8</x:v>
      </x:c>
      <x:c r="H105" s="4" t="str">
        <x:v>449223</x:v>
      </x:c>
      <x:c r="I105" s="4" t="str">
        <x:v>251</x:v>
      </x:c>
      <x:c r="J105" s="4" t="str">
        <x:v>f6476024df055a774a740c00e6c4e2b593301be3bef4c51597dc04972ecdb2ac</x:v>
      </x:c>
      <x:c r="K105" s="4" t="str">
        <x:v>2026-09-08</x:v>
      </x:c>
      <x:c r="L105" s="4" t="str">
        <x:v>SIN_FECHA_DE_ADOPCION</x:v>
      </x:c>
      <x:c r="M105" s="12" t="n">
        <x:f>IF(LEN(J105)=64,0,1)</x:f>
        <x:v>0</x:v>
      </x:c>
      <x:c r="N105" s="12" t="n">
        <x:f>IF(COUNTIF('03_NICE'!$A$5:$A$57,A105)+COUNTIF('04_TKS'!$A$5:$A$72,A105)+COUNTIF('05_Complementos'!$A$5:$A$127,A105)=1,0,1)</x:f>
        <x:v>0</x:v>
      </x:c>
      <x:c r="O105" s="12" t="n">
        <x:f>COUNTIF('08_Trazas'!$A$5:$A$248,A105)-1</x:f>
        <x:v>0</x:v>
      </x:c>
      <x:c r="P105" s="12" t="n">
        <x:f>IF(COUNTIF('02_Custodia'!$A$5:$A$53,C105)=1,0,1)</x:f>
        <x:v>0</x:v>
      </x:c>
    </x:row>
    <x:row r="106" ht="47" customHeight="1">
      <x:c r="A106" s="4" t="str">
        <x:v>K1329</x:v>
      </x:c>
      <x:c r="B106" s="4" t="str">
        <x:v>F001</x:v>
      </x:c>
      <x:c r="C106" s="4" t="str">
        <x:v>F001</x:v>
      </x:c>
      <x:c r="D106" s="4" t="str">
        <x:v>K1329</x:v>
      </x:c>
      <x:c r="E106" s="4" t="str">
        <x:v>2.2.0</x:v>
      </x:c>
      <x:c r="F106" s="4" t="str">
        <x:v>elements / K1329</x:v>
      </x:c>
      <x:c r="G106" s="4" t="str">
        <x:v>JSON_ORIGINAL_UTF8</x:v>
      </x:c>
      <x:c r="H106" s="4" t="str">
        <x:v>449484</x:v>
      </x:c>
      <x:c r="I106" s="4" t="str">
        <x:v>229</x:v>
      </x:c>
      <x:c r="J106" s="4" t="str">
        <x:v>260d6da5625e28aa6618034c42c5fd51fdf9ca92fdd519d98c1a15e9729be14d</x:v>
      </x:c>
      <x:c r="K106" s="4" t="str">
        <x:v>2026-09-08</x:v>
      </x:c>
      <x:c r="L106" s="4" t="str">
        <x:v>SIN_FECHA_DE_ADOPCION</x:v>
      </x:c>
      <x:c r="M106" s="12" t="n">
        <x:f>IF(LEN(J106)=64,0,1)</x:f>
        <x:v>0</x:v>
      </x:c>
      <x:c r="N106" s="12" t="n">
        <x:f>IF(COUNTIF('03_NICE'!$A$5:$A$57,A106)+COUNTIF('04_TKS'!$A$5:$A$72,A106)+COUNTIF('05_Complementos'!$A$5:$A$127,A106)=1,0,1)</x:f>
        <x:v>0</x:v>
      </x:c>
      <x:c r="O106" s="12" t="n">
        <x:f>COUNTIF('08_Trazas'!$A$5:$A$248,A106)-1</x:f>
        <x:v>0</x:v>
      </x:c>
      <x:c r="P106" s="12" t="n">
        <x:f>IF(COUNTIF('02_Custodia'!$A$5:$A$53,C106)=1,0,1)</x:f>
        <x:v>0</x:v>
      </x:c>
    </x:row>
    <x:row r="107" ht="47" customHeight="1">
      <x:c r="A107" s="4" t="str">
        <x:v>K1332</x:v>
      </x:c>
      <x:c r="B107" s="4" t="str">
        <x:v>F001</x:v>
      </x:c>
      <x:c r="C107" s="4" t="str">
        <x:v>F001</x:v>
      </x:c>
      <x:c r="D107" s="4" t="str">
        <x:v>K1332</x:v>
      </x:c>
      <x:c r="E107" s="4" t="str">
        <x:v>2.2.0</x:v>
      </x:c>
      <x:c r="F107" s="4" t="str">
        <x:v>elements / K1332</x:v>
      </x:c>
      <x:c r="G107" s="4" t="str">
        <x:v>JSON_ORIGINAL_UTF8</x:v>
      </x:c>
      <x:c r="H107" s="4" t="str">
        <x:v>450245</x:v>
      </x:c>
      <x:c r="I107" s="4" t="str">
        <x:v>247</x:v>
      </x:c>
      <x:c r="J107" s="4" t="str">
        <x:v>301480d51a547a28bb4ba8bcb5fa29fe0bc9354bcd99a15cdf5895ea6dd05ee1</x:v>
      </x:c>
      <x:c r="K107" s="4" t="str">
        <x:v>2026-09-08</x:v>
      </x:c>
      <x:c r="L107" s="4" t="str">
        <x:v>SIN_FECHA_DE_ADOPCION</x:v>
      </x:c>
      <x:c r="M107" s="12" t="n">
        <x:f>IF(LEN(J107)=64,0,1)</x:f>
        <x:v>0</x:v>
      </x:c>
      <x:c r="N107" s="12" t="n">
        <x:f>IF(COUNTIF('03_NICE'!$A$5:$A$57,A107)+COUNTIF('04_TKS'!$A$5:$A$72,A107)+COUNTIF('05_Complementos'!$A$5:$A$127,A107)=1,0,1)</x:f>
        <x:v>0</x:v>
      </x:c>
      <x:c r="O107" s="12" t="n">
        <x:f>COUNTIF('08_Trazas'!$A$5:$A$248,A107)-1</x:f>
        <x:v>0</x:v>
      </x:c>
      <x:c r="P107" s="12" t="n">
        <x:f>IF(COUNTIF('02_Custodia'!$A$5:$A$53,C107)=1,0,1)</x:f>
        <x:v>0</x:v>
      </x:c>
    </x:row>
    <x:row r="108" ht="47" customHeight="1">
      <x:c r="A108" s="4" t="str">
        <x:v>K1333</x:v>
      </x:c>
      <x:c r="B108" s="4" t="str">
        <x:v>F001</x:v>
      </x:c>
      <x:c r="C108" s="4" t="str">
        <x:v>F001</x:v>
      </x:c>
      <x:c r="D108" s="4" t="str">
        <x:v>K1333</x:v>
      </x:c>
      <x:c r="E108" s="4" t="str">
        <x:v>2.2.0</x:v>
      </x:c>
      <x:c r="F108" s="4" t="str">
        <x:v>elements / K1333</x:v>
      </x:c>
      <x:c r="G108" s="4" t="str">
        <x:v>JSON_ORIGINAL_UTF8</x:v>
      </x:c>
      <x:c r="H108" s="4" t="str">
        <x:v>450502</x:v>
      </x:c>
      <x:c r="I108" s="4" t="str">
        <x:v>269</x:v>
      </x:c>
      <x:c r="J108" s="4" t="str">
        <x:v>a55fd6c8a872cd0d6dfb2afd618c17738f71936cc900c9811a161509557947cc</x:v>
      </x:c>
      <x:c r="K108" s="4" t="str">
        <x:v>2026-09-08</x:v>
      </x:c>
      <x:c r="L108" s="4" t="str">
        <x:v>SIN_FECHA_DE_ADOPCION</x:v>
      </x:c>
      <x:c r="M108" s="12" t="n">
        <x:f>IF(LEN(J108)=64,0,1)</x:f>
        <x:v>0</x:v>
      </x:c>
      <x:c r="N108" s="12" t="n">
        <x:f>IF(COUNTIF('03_NICE'!$A$5:$A$57,A108)+COUNTIF('04_TKS'!$A$5:$A$72,A108)+COUNTIF('05_Complementos'!$A$5:$A$127,A108)=1,0,1)</x:f>
        <x:v>0</x:v>
      </x:c>
      <x:c r="O108" s="12" t="n">
        <x:f>COUNTIF('08_Trazas'!$A$5:$A$248,A108)-1</x:f>
        <x:v>0</x:v>
      </x:c>
      <x:c r="P108" s="12" t="n">
        <x:f>IF(COUNTIF('02_Custodia'!$A$5:$A$53,C108)=1,0,1)</x:f>
        <x:v>0</x:v>
      </x:c>
    </x:row>
    <x:row r="109" ht="47" customHeight="1">
      <x:c r="A109" s="4" t="str">
        <x:v>K1334</x:v>
      </x:c>
      <x:c r="B109" s="4" t="str">
        <x:v>F001</x:v>
      </x:c>
      <x:c r="C109" s="4" t="str">
        <x:v>F001</x:v>
      </x:c>
      <x:c r="D109" s="4" t="str">
        <x:v>K1334</x:v>
      </x:c>
      <x:c r="E109" s="4" t="str">
        <x:v>2.2.0</x:v>
      </x:c>
      <x:c r="F109" s="4" t="str">
        <x:v>elements / K1334</x:v>
      </x:c>
      <x:c r="G109" s="4" t="str">
        <x:v>JSON_ORIGINAL_UTF8</x:v>
      </x:c>
      <x:c r="H109" s="4" t="str">
        <x:v>450781</x:v>
      </x:c>
      <x:c r="I109" s="4" t="str">
        <x:v>239</x:v>
      </x:c>
      <x:c r="J109" s="4" t="str">
        <x:v>63b665a7d964249e40ebe88f65431deb44f868e8545996c054413f6baa1501a9</x:v>
      </x:c>
      <x:c r="K109" s="4" t="str">
        <x:v>2026-09-08</x:v>
      </x:c>
      <x:c r="L109" s="4" t="str">
        <x:v>SIN_FECHA_DE_ADOPCION</x:v>
      </x:c>
      <x:c r="M109" s="12" t="n">
        <x:f>IF(LEN(J109)=64,0,1)</x:f>
        <x:v>0</x:v>
      </x:c>
      <x:c r="N109" s="12" t="n">
        <x:f>IF(COUNTIF('03_NICE'!$A$5:$A$57,A109)+COUNTIF('04_TKS'!$A$5:$A$72,A109)+COUNTIF('05_Complementos'!$A$5:$A$127,A109)=1,0,1)</x:f>
        <x:v>0</x:v>
      </x:c>
      <x:c r="O109" s="12" t="n">
        <x:f>COUNTIF('08_Trazas'!$A$5:$A$248,A109)-1</x:f>
        <x:v>0</x:v>
      </x:c>
      <x:c r="P109" s="12" t="n">
        <x:f>IF(COUNTIF('02_Custodia'!$A$5:$A$53,C109)=1,0,1)</x:f>
        <x:v>0</x:v>
      </x:c>
    </x:row>
    <x:row r="110" ht="47" customHeight="1">
      <x:c r="A110" s="4" t="str">
        <x:v>K1335</x:v>
      </x:c>
      <x:c r="B110" s="4" t="str">
        <x:v>F001</x:v>
      </x:c>
      <x:c r="C110" s="4" t="str">
        <x:v>F001</x:v>
      </x:c>
      <x:c r="D110" s="4" t="str">
        <x:v>K1335</x:v>
      </x:c>
      <x:c r="E110" s="4" t="str">
        <x:v>2.2.0</x:v>
      </x:c>
      <x:c r="F110" s="4" t="str">
        <x:v>elements / K1335</x:v>
      </x:c>
      <x:c r="G110" s="4" t="str">
        <x:v>JSON_ORIGINAL_UTF8</x:v>
      </x:c>
      <x:c r="H110" s="4" t="str">
        <x:v>451030</x:v>
      </x:c>
      <x:c r="I110" s="4" t="str">
        <x:v>259</x:v>
      </x:c>
      <x:c r="J110" s="4" t="str">
        <x:v>50ff83d0ea5ea6d4924214755553f841f713769d4fab3e00ea8b914088b03ca5</x:v>
      </x:c>
      <x:c r="K110" s="4" t="str">
        <x:v>2026-09-08</x:v>
      </x:c>
      <x:c r="L110" s="4" t="str">
        <x:v>SIN_FECHA_DE_ADOPCION</x:v>
      </x:c>
      <x:c r="M110" s="12" t="n">
        <x:f>IF(LEN(J110)=64,0,1)</x:f>
        <x:v>0</x:v>
      </x:c>
      <x:c r="N110" s="12" t="n">
        <x:f>IF(COUNTIF('03_NICE'!$A$5:$A$57,A110)+COUNTIF('04_TKS'!$A$5:$A$72,A110)+COUNTIF('05_Complementos'!$A$5:$A$127,A110)=1,0,1)</x:f>
        <x:v>0</x:v>
      </x:c>
      <x:c r="O110" s="12" t="n">
        <x:f>COUNTIF('08_Trazas'!$A$5:$A$248,A110)-1</x:f>
        <x:v>0</x:v>
      </x:c>
      <x:c r="P110" s="12" t="n">
        <x:f>IF(COUNTIF('02_Custodia'!$A$5:$A$53,C110)=1,0,1)</x:f>
        <x:v>0</x:v>
      </x:c>
    </x:row>
    <x:row r="111" ht="47" customHeight="1">
      <x:c r="A111" s="4" t="str">
        <x:v>K1336</x:v>
      </x:c>
      <x:c r="B111" s="4" t="str">
        <x:v>F001</x:v>
      </x:c>
      <x:c r="C111" s="4" t="str">
        <x:v>F001</x:v>
      </x:c>
      <x:c r="D111" s="4" t="str">
        <x:v>K1336</x:v>
      </x:c>
      <x:c r="E111" s="4" t="str">
        <x:v>2.2.0</x:v>
      </x:c>
      <x:c r="F111" s="4" t="str">
        <x:v>elements / K1336</x:v>
      </x:c>
      <x:c r="G111" s="4" t="str">
        <x:v>JSON_ORIGINAL_UTF8</x:v>
      </x:c>
      <x:c r="H111" s="4" t="str">
        <x:v>451299</x:v>
      </x:c>
      <x:c r="I111" s="4" t="str">
        <x:v>244</x:v>
      </x:c>
      <x:c r="J111" s="4" t="str">
        <x:v>307206d3e60092fa50a6b2e24e079023f833c92dc85bcd283a3540f1200e347f</x:v>
      </x:c>
      <x:c r="K111" s="4" t="str">
        <x:v>2026-09-08</x:v>
      </x:c>
      <x:c r="L111" s="4" t="str">
        <x:v>SIN_FECHA_DE_ADOPCION</x:v>
      </x:c>
      <x:c r="M111" s="12" t="n">
        <x:f>IF(LEN(J111)=64,0,1)</x:f>
        <x:v>0</x:v>
      </x:c>
      <x:c r="N111" s="12" t="n">
        <x:f>IF(COUNTIF('03_NICE'!$A$5:$A$57,A111)+COUNTIF('04_TKS'!$A$5:$A$72,A111)+COUNTIF('05_Complementos'!$A$5:$A$127,A111)=1,0,1)</x:f>
        <x:v>0</x:v>
      </x:c>
      <x:c r="O111" s="12" t="n">
        <x:f>COUNTIF('08_Trazas'!$A$5:$A$248,A111)-1</x:f>
        <x:v>0</x:v>
      </x:c>
      <x:c r="P111" s="12" t="n">
        <x:f>IF(COUNTIF('02_Custodia'!$A$5:$A$53,C111)=1,0,1)</x:f>
        <x:v>0</x:v>
      </x:c>
    </x:row>
    <x:row r="112" ht="47" customHeight="1">
      <x:c r="A112" s="4" t="str">
        <x:v>K1339</x:v>
      </x:c>
      <x:c r="B112" s="4" t="str">
        <x:v>F001</x:v>
      </x:c>
      <x:c r="C112" s="4" t="str">
        <x:v>F001</x:v>
      </x:c>
      <x:c r="D112" s="4" t="str">
        <x:v>K1339</x:v>
      </x:c>
      <x:c r="E112" s="4" t="str">
        <x:v>2.2.0</x:v>
      </x:c>
      <x:c r="F112" s="4" t="str">
        <x:v>elements / K1339</x:v>
      </x:c>
      <x:c r="G112" s="4" t="str">
        <x:v>JSON_ORIGINAL_UTF8</x:v>
      </x:c>
      <x:c r="H112" s="4" t="str">
        <x:v>452064</x:v>
      </x:c>
      <x:c r="I112" s="4" t="str">
        <x:v>242</x:v>
      </x:c>
      <x:c r="J112" s="4" t="str">
        <x:v>b9eb86268117d7b82b3ed56f4a542e5d8c96148cafe63c429d1c4e2adba6f298</x:v>
      </x:c>
      <x:c r="K112" s="4" t="str">
        <x:v>2026-09-08</x:v>
      </x:c>
      <x:c r="L112" s="4" t="str">
        <x:v>SIN_FECHA_DE_ADOPCION</x:v>
      </x:c>
      <x:c r="M112" s="12" t="n">
        <x:f>IF(LEN(J112)=64,0,1)</x:f>
        <x:v>0</x:v>
      </x:c>
      <x:c r="N112" s="12" t="n">
        <x:f>IF(COUNTIF('03_NICE'!$A$5:$A$57,A112)+COUNTIF('04_TKS'!$A$5:$A$72,A112)+COUNTIF('05_Complementos'!$A$5:$A$127,A112)=1,0,1)</x:f>
        <x:v>0</x:v>
      </x:c>
      <x:c r="O112" s="12" t="n">
        <x:f>COUNTIF('08_Trazas'!$A$5:$A$248,A112)-1</x:f>
        <x:v>0</x:v>
      </x:c>
      <x:c r="P112" s="12" t="n">
        <x:f>IF(COUNTIF('02_Custodia'!$A$5:$A$53,C112)=1,0,1)</x:f>
        <x:v>0</x:v>
      </x:c>
    </x:row>
    <x:row r="113" ht="47" customHeight="1">
      <x:c r="A113" s="4" t="str">
        <x:v>K1341</x:v>
      </x:c>
      <x:c r="B113" s="4" t="str">
        <x:v>F001</x:v>
      </x:c>
      <x:c r="C113" s="4" t="str">
        <x:v>F001</x:v>
      </x:c>
      <x:c r="D113" s="4" t="str">
        <x:v>K1341</x:v>
      </x:c>
      <x:c r="E113" s="4" t="str">
        <x:v>2.2.0</x:v>
      </x:c>
      <x:c r="F113" s="4" t="str">
        <x:v>elements / K1341</x:v>
      </x:c>
      <x:c r="G113" s="4" t="str">
        <x:v>JSON_ORIGINAL_UTF8</x:v>
      </x:c>
      <x:c r="H113" s="4" t="str">
        <x:v>452560</x:v>
      </x:c>
      <x:c r="I113" s="4" t="str">
        <x:v>269</x:v>
      </x:c>
      <x:c r="J113" s="4" t="str">
        <x:v>8c4571e88b43b47dc9a599187b0d627ee2b5efc28dafa4235a69bcb27d1bbd79</x:v>
      </x:c>
      <x:c r="K113" s="4" t="str">
        <x:v>2026-09-08</x:v>
      </x:c>
      <x:c r="L113" s="4" t="str">
        <x:v>SIN_FECHA_DE_ADOPCION</x:v>
      </x:c>
      <x:c r="M113" s="12" t="n">
        <x:f>IF(LEN(J113)=64,0,1)</x:f>
        <x:v>0</x:v>
      </x:c>
      <x:c r="N113" s="12" t="n">
        <x:f>IF(COUNTIF('03_NICE'!$A$5:$A$57,A113)+COUNTIF('04_TKS'!$A$5:$A$72,A113)+COUNTIF('05_Complementos'!$A$5:$A$127,A113)=1,0,1)</x:f>
        <x:v>0</x:v>
      </x:c>
      <x:c r="O113" s="12" t="n">
        <x:f>COUNTIF('08_Trazas'!$A$5:$A$248,A113)-1</x:f>
        <x:v>0</x:v>
      </x:c>
      <x:c r="P113" s="12" t="n">
        <x:f>IF(COUNTIF('02_Custodia'!$A$5:$A$53,C113)=1,0,1)</x:f>
        <x:v>0</x:v>
      </x:c>
    </x:row>
    <x:row r="114" ht="47" customHeight="1">
      <x:c r="A114" s="4" t="str">
        <x:v>K1342</x:v>
      </x:c>
      <x:c r="B114" s="4" t="str">
        <x:v>F001</x:v>
      </x:c>
      <x:c r="C114" s="4" t="str">
        <x:v>F001</x:v>
      </x:c>
      <x:c r="D114" s="4" t="str">
        <x:v>K1342</x:v>
      </x:c>
      <x:c r="E114" s="4" t="str">
        <x:v>2.2.0</x:v>
      </x:c>
      <x:c r="F114" s="4" t="str">
        <x:v>elements / K1342</x:v>
      </x:c>
      <x:c r="G114" s="4" t="str">
        <x:v>JSON_ORIGINAL_UTF8</x:v>
      </x:c>
      <x:c r="H114" s="4" t="str">
        <x:v>452839</x:v>
      </x:c>
      <x:c r="I114" s="4" t="str">
        <x:v>246</x:v>
      </x:c>
      <x:c r="J114" s="4" t="str">
        <x:v>14a833fc9bb0260fa1f0b7dea95b867ac750449765b85518ee5bc8fb2f986e2b</x:v>
      </x:c>
      <x:c r="K114" s="4" t="str">
        <x:v>2026-09-08</x:v>
      </x:c>
      <x:c r="L114" s="4" t="str">
        <x:v>SIN_FECHA_DE_ADOPCION</x:v>
      </x:c>
      <x:c r="M114" s="12" t="n">
        <x:f>IF(LEN(J114)=64,0,1)</x:f>
        <x:v>0</x:v>
      </x:c>
      <x:c r="N114" s="12" t="n">
        <x:f>IF(COUNTIF('03_NICE'!$A$5:$A$57,A114)+COUNTIF('04_TKS'!$A$5:$A$72,A114)+COUNTIF('05_Complementos'!$A$5:$A$127,A114)=1,0,1)</x:f>
        <x:v>0</x:v>
      </x:c>
      <x:c r="O114" s="12" t="n">
        <x:f>COUNTIF('08_Trazas'!$A$5:$A$248,A114)-1</x:f>
        <x:v>0</x:v>
      </x:c>
      <x:c r="P114" s="12" t="n">
        <x:f>IF(COUNTIF('02_Custodia'!$A$5:$A$53,C114)=1,0,1)</x:f>
        <x:v>0</x:v>
      </x:c>
    </x:row>
    <x:row r="115" ht="47" customHeight="1">
      <x:c r="A115" s="4" t="str">
        <x:v>K1343</x:v>
      </x:c>
      <x:c r="B115" s="4" t="str">
        <x:v>F001</x:v>
      </x:c>
      <x:c r="C115" s="4" t="str">
        <x:v>F001</x:v>
      </x:c>
      <x:c r="D115" s="4" t="str">
        <x:v>K1343</x:v>
      </x:c>
      <x:c r="E115" s="4" t="str">
        <x:v>2.2.0</x:v>
      </x:c>
      <x:c r="F115" s="4" t="str">
        <x:v>elements / K1343</x:v>
      </x:c>
      <x:c r="G115" s="4" t="str">
        <x:v>JSON_ORIGINAL_UTF8</x:v>
      </x:c>
      <x:c r="H115" s="4" t="str">
        <x:v>453095</x:v>
      </x:c>
      <x:c r="I115" s="4" t="str">
        <x:v>254</x:v>
      </x:c>
      <x:c r="J115" s="4" t="str">
        <x:v>3f2dc3c5ac69f08f491ab30f28607a8001b4c3599f27e9b919ffb6c3120e31eb</x:v>
      </x:c>
      <x:c r="K115" s="4" t="str">
        <x:v>2026-09-08</x:v>
      </x:c>
      <x:c r="L115" s="4" t="str">
        <x:v>SIN_FECHA_DE_ADOPCION</x:v>
      </x:c>
      <x:c r="M115" s="12" t="n">
        <x:f>IF(LEN(J115)=64,0,1)</x:f>
        <x:v>0</x:v>
      </x:c>
      <x:c r="N115" s="12" t="n">
        <x:f>IF(COUNTIF('03_NICE'!$A$5:$A$57,A115)+COUNTIF('04_TKS'!$A$5:$A$72,A115)+COUNTIF('05_Complementos'!$A$5:$A$127,A115)=1,0,1)</x:f>
        <x:v>0</x:v>
      </x:c>
      <x:c r="O115" s="12" t="n">
        <x:f>COUNTIF('08_Trazas'!$A$5:$A$248,A115)-1</x:f>
        <x:v>0</x:v>
      </x:c>
      <x:c r="P115" s="12" t="n">
        <x:f>IF(COUNTIF('02_Custodia'!$A$5:$A$53,C115)=1,0,1)</x:f>
        <x:v>0</x:v>
      </x:c>
    </x:row>
    <x:row r="116" ht="47" customHeight="1">
      <x:c r="A116" s="4" t="str">
        <x:v>K1345</x:v>
      </x:c>
      <x:c r="B116" s="4" t="str">
        <x:v>F001</x:v>
      </x:c>
      <x:c r="C116" s="4" t="str">
        <x:v>F001</x:v>
      </x:c>
      <x:c r="D116" s="4" t="str">
        <x:v>K1345</x:v>
      </x:c>
      <x:c r="E116" s="4" t="str">
        <x:v>2.2.0</x:v>
      </x:c>
      <x:c r="F116" s="4" t="str">
        <x:v>elements / K1345</x:v>
      </x:c>
      <x:c r="G116" s="4" t="str">
        <x:v>JSON_ORIGINAL_UTF8</x:v>
      </x:c>
      <x:c r="H116" s="4" t="str">
        <x:v>453612</x:v>
      </x:c>
      <x:c r="I116" s="4" t="str">
        <x:v>241</x:v>
      </x:c>
      <x:c r="J116" s="4" t="str">
        <x:v>a415c0c5444984044aa220f303ab499ecd2de6b4b1df2c3f2427da72a641e087</x:v>
      </x:c>
      <x:c r="K116" s="4" t="str">
        <x:v>2026-09-08</x:v>
      </x:c>
      <x:c r="L116" s="4" t="str">
        <x:v>SIN_FECHA_DE_ADOPCION</x:v>
      </x:c>
      <x:c r="M116" s="12" t="n">
        <x:f>IF(LEN(J116)=64,0,1)</x:f>
        <x:v>0</x:v>
      </x:c>
      <x:c r="N116" s="12" t="n">
        <x:f>IF(COUNTIF('03_NICE'!$A$5:$A$57,A116)+COUNTIF('04_TKS'!$A$5:$A$72,A116)+COUNTIF('05_Complementos'!$A$5:$A$127,A116)=1,0,1)</x:f>
        <x:v>0</x:v>
      </x:c>
      <x:c r="O116" s="12" t="n">
        <x:f>COUNTIF('08_Trazas'!$A$5:$A$248,A116)-1</x:f>
        <x:v>0</x:v>
      </x:c>
      <x:c r="P116" s="12" t="n">
        <x:f>IF(COUNTIF('02_Custodia'!$A$5:$A$53,C116)=1,0,1)</x:f>
        <x:v>0</x:v>
      </x:c>
    </x:row>
    <x:row r="117" ht="47" customHeight="1">
      <x:c r="A117" s="4" t="str">
        <x:v>S0443</x:v>
      </x:c>
      <x:c r="B117" s="4" t="str">
        <x:v>F001</x:v>
      </x:c>
      <x:c r="C117" s="4" t="str">
        <x:v>F001</x:v>
      </x:c>
      <x:c r="D117" s="4" t="str">
        <x:v>S0443</x:v>
      </x:c>
      <x:c r="E117" s="4" t="str">
        <x:v>2.2.0</x:v>
      </x:c>
      <x:c r="F117" s="4" t="str">
        <x:v>elements / S0443</x:v>
      </x:c>
      <x:c r="G117" s="4" t="str">
        <x:v>JSON_ORIGINAL_UTF8</x:v>
      </x:c>
      <x:c r="H117" s="4" t="str">
        <x:v>484938</x:v>
      </x:c>
      <x:c r="I117" s="4" t="str">
        <x:v>225</x:v>
      </x:c>
      <x:c r="J117" s="4" t="str">
        <x:v>6b0911819cbc98cc26a03e5167e4a7435fae3c8124d7e1e6a854a5c662f341b8</x:v>
      </x:c>
      <x:c r="K117" s="4" t="str">
        <x:v>2026-09-08</x:v>
      </x:c>
      <x:c r="L117" s="4" t="str">
        <x:v>SIN_FECHA_DE_ADOPCION</x:v>
      </x:c>
      <x:c r="M117" s="12" t="n">
        <x:f>IF(LEN(J117)=64,0,1)</x:f>
        <x:v>0</x:v>
      </x:c>
      <x:c r="N117" s="12" t="n">
        <x:f>IF(COUNTIF('03_NICE'!$A$5:$A$57,A117)+COUNTIF('04_TKS'!$A$5:$A$72,A117)+COUNTIF('05_Complementos'!$A$5:$A$127,A117)=1,0,1)</x:f>
        <x:v>0</x:v>
      </x:c>
      <x:c r="O117" s="12" t="n">
        <x:f>COUNTIF('08_Trazas'!$A$5:$A$248,A117)-1</x:f>
        <x:v>0</x:v>
      </x:c>
      <x:c r="P117" s="12" t="n">
        <x:f>IF(COUNTIF('02_Custodia'!$A$5:$A$53,C117)=1,0,1)</x:f>
        <x:v>0</x:v>
      </x:c>
    </x:row>
    <x:row r="118" ht="47" customHeight="1">
      <x:c r="A118" s="4" t="str">
        <x:v>S0480</x:v>
      </x:c>
      <x:c r="B118" s="4" t="str">
        <x:v>F001</x:v>
      </x:c>
      <x:c r="C118" s="4" t="str">
        <x:v>F001</x:v>
      </x:c>
      <x:c r="D118" s="4" t="str">
        <x:v>S0480</x:v>
      </x:c>
      <x:c r="E118" s="4" t="str">
        <x:v>2.2.0</x:v>
      </x:c>
      <x:c r="F118" s="4" t="str">
        <x:v>elements / S0480</x:v>
      </x:c>
      <x:c r="G118" s="4" t="str">
        <x:v>JSON_ORIGINAL_UTF8</x:v>
      </x:c>
      <x:c r="H118" s="4" t="str">
        <x:v>493828</x:v>
      </x:c>
      <x:c r="I118" s="4" t="str">
        <x:v>232</x:v>
      </x:c>
      <x:c r="J118" s="4" t="str">
        <x:v>76fb67acadfedcb6477b01daedf4373094766465099a85a237ed1e15986d7a69</x:v>
      </x:c>
      <x:c r="K118" s="4" t="str">
        <x:v>2026-09-08</x:v>
      </x:c>
      <x:c r="L118" s="4" t="str">
        <x:v>SIN_FECHA_DE_ADOPCION</x:v>
      </x:c>
      <x:c r="M118" s="12" t="n">
        <x:f>IF(LEN(J118)=64,0,1)</x:f>
        <x:v>0</x:v>
      </x:c>
      <x:c r="N118" s="12" t="n">
        <x:f>IF(COUNTIF('03_NICE'!$A$5:$A$57,A118)+COUNTIF('04_TKS'!$A$5:$A$72,A118)+COUNTIF('05_Complementos'!$A$5:$A$127,A118)=1,0,1)</x:f>
        <x:v>0</x:v>
      </x:c>
      <x:c r="O118" s="12" t="n">
        <x:f>COUNTIF('08_Trazas'!$A$5:$A$248,A118)-1</x:f>
        <x:v>0</x:v>
      </x:c>
      <x:c r="P118" s="12" t="n">
        <x:f>IF(COUNTIF('02_Custodia'!$A$5:$A$53,C118)=1,0,1)</x:f>
        <x:v>0</x:v>
      </x:c>
    </x:row>
    <x:row r="119" ht="47" customHeight="1">
      <x:c r="A119" s="4" t="str">
        <x:v>S0900</x:v>
      </x:c>
      <x:c r="B119" s="4" t="str">
        <x:v>F001</x:v>
      </x:c>
      <x:c r="C119" s="4" t="str">
        <x:v>F001</x:v>
      </x:c>
      <x:c r="D119" s="4" t="str">
        <x:v>S0900</x:v>
      </x:c>
      <x:c r="E119" s="4" t="str">
        <x:v>2.2.0</x:v>
      </x:c>
      <x:c r="F119" s="4" t="str">
        <x:v>elements / S0900</x:v>
      </x:c>
      <x:c r="G119" s="4" t="str">
        <x:v>JSON_ORIGINAL_UTF8</x:v>
      </x:c>
      <x:c r="H119" s="4" t="str">
        <x:v>579602</x:v>
      </x:c>
      <x:c r="I119" s="4" t="str">
        <x:v>241</x:v>
      </x:c>
      <x:c r="J119" s="4" t="str">
        <x:v>f3eea923541148c109028a5ee92e659b97a4c57cc2a0693583021282111bae4c</x:v>
      </x:c>
      <x:c r="K119" s="4" t="str">
        <x:v>2026-09-08</x:v>
      </x:c>
      <x:c r="L119" s="4" t="str">
        <x:v>SIN_FECHA_DE_ADOPCION</x:v>
      </x:c>
      <x:c r="M119" s="12" t="n">
        <x:f>IF(LEN(J119)=64,0,1)</x:f>
        <x:v>0</x:v>
      </x:c>
      <x:c r="N119" s="12" t="n">
        <x:f>IF(COUNTIF('03_NICE'!$A$5:$A$57,A119)+COUNTIF('04_TKS'!$A$5:$A$72,A119)+COUNTIF('05_Complementos'!$A$5:$A$127,A119)=1,0,1)</x:f>
        <x:v>0</x:v>
      </x:c>
      <x:c r="O119" s="12" t="n">
        <x:f>COUNTIF('08_Trazas'!$A$5:$A$248,A119)-1</x:f>
        <x:v>0</x:v>
      </x:c>
      <x:c r="P119" s="12" t="n">
        <x:f>IF(COUNTIF('02_Custodia'!$A$5:$A$53,C119)=1,0,1)</x:f>
        <x:v>0</x:v>
      </x:c>
    </x:row>
    <x:row r="120" ht="47" customHeight="1">
      <x:c r="A120" s="4" t="str">
        <x:v>S0952</x:v>
      </x:c>
      <x:c r="B120" s="4" t="str">
        <x:v>F001</x:v>
      </x:c>
      <x:c r="C120" s="4" t="str">
        <x:v>F001</x:v>
      </x:c>
      <x:c r="D120" s="4" t="str">
        <x:v>S0952</x:v>
      </x:c>
      <x:c r="E120" s="4" t="str">
        <x:v>2.2.0</x:v>
      </x:c>
      <x:c r="F120" s="4" t="str">
        <x:v>elements / S0952</x:v>
      </x:c>
      <x:c r="G120" s="4" t="str">
        <x:v>JSON_ORIGINAL_UTF8</x:v>
      </x:c>
      <x:c r="H120" s="4" t="str">
        <x:v>591651</x:v>
      </x:c>
      <x:c r="I120" s="4" t="str">
        <x:v>237</x:v>
      </x:c>
      <x:c r="J120" s="4" t="str">
        <x:v>db37853f8ceae3085b1755602bd6ea4ef0acecd51b2760fc6ab77d353025d6ba</x:v>
      </x:c>
      <x:c r="K120" s="4" t="str">
        <x:v>2026-09-08</x:v>
      </x:c>
      <x:c r="L120" s="4" t="str">
        <x:v>SIN_FECHA_DE_ADOPCION</x:v>
      </x:c>
      <x:c r="M120" s="12" t="n">
        <x:f>IF(LEN(J120)=64,0,1)</x:f>
        <x:v>0</x:v>
      </x:c>
      <x:c r="N120" s="12" t="n">
        <x:f>IF(COUNTIF('03_NICE'!$A$5:$A$57,A120)+COUNTIF('04_TKS'!$A$5:$A$72,A120)+COUNTIF('05_Complementos'!$A$5:$A$127,A120)=1,0,1)</x:f>
        <x:v>0</x:v>
      </x:c>
      <x:c r="O120" s="12" t="n">
        <x:f>COUNTIF('08_Trazas'!$A$5:$A$248,A120)-1</x:f>
        <x:v>0</x:v>
      </x:c>
      <x:c r="P120" s="12" t="n">
        <x:f>IF(COUNTIF('02_Custodia'!$A$5:$A$53,C120)=1,0,1)</x:f>
        <x:v>0</x:v>
      </x:c>
    </x:row>
    <x:row r="121" ht="47" customHeight="1">
      <x:c r="A121" s="4" t="str">
        <x:v>S0954</x:v>
      </x:c>
      <x:c r="B121" s="4" t="str">
        <x:v>F001</x:v>
      </x:c>
      <x:c r="C121" s="4" t="str">
        <x:v>F001</x:v>
      </x:c>
      <x:c r="D121" s="4" t="str">
        <x:v>S0954</x:v>
      </x:c>
      <x:c r="E121" s="4" t="str">
        <x:v>2.2.0</x:v>
      </x:c>
      <x:c r="F121" s="4" t="str">
        <x:v>elements / S0954</x:v>
      </x:c>
      <x:c r="G121" s="4" t="str">
        <x:v>JSON_ORIGINAL_UTF8</x:v>
      </x:c>
      <x:c r="H121" s="4" t="str">
        <x:v>592150</x:v>
      </x:c>
      <x:c r="I121" s="4" t="str">
        <x:v>257</x:v>
      </x:c>
      <x:c r="J121" s="4" t="str">
        <x:v>0eaa0762c12ae526ff4de160121f9b2b2c33fb960543707cfc6af9f9887d568d</x:v>
      </x:c>
      <x:c r="K121" s="4" t="str">
        <x:v>2026-09-08</x:v>
      </x:c>
      <x:c r="L121" s="4" t="str">
        <x:v>SIN_FECHA_DE_ADOPCION</x:v>
      </x:c>
      <x:c r="M121" s="12" t="n">
        <x:f>IF(LEN(J121)=64,0,1)</x:f>
        <x:v>0</x:v>
      </x:c>
      <x:c r="N121" s="12" t="n">
        <x:f>IF(COUNTIF('03_NICE'!$A$5:$A$57,A121)+COUNTIF('04_TKS'!$A$5:$A$72,A121)+COUNTIF('05_Complementos'!$A$5:$A$127,A121)=1,0,1)</x:f>
        <x:v>0</x:v>
      </x:c>
      <x:c r="O121" s="12" t="n">
        <x:f>COUNTIF('08_Trazas'!$A$5:$A$248,A121)-1</x:f>
        <x:v>0</x:v>
      </x:c>
      <x:c r="P121" s="12" t="n">
        <x:f>IF(COUNTIF('02_Custodia'!$A$5:$A$53,C121)=1,0,1)</x:f>
        <x:v>0</x:v>
      </x:c>
    </x:row>
    <x:row r="122" ht="47" customHeight="1">
      <x:c r="A122" s="4" t="str">
        <x:v>S0955</x:v>
      </x:c>
      <x:c r="B122" s="4" t="str">
        <x:v>F001</x:v>
      </x:c>
      <x:c r="C122" s="4" t="str">
        <x:v>F001</x:v>
      </x:c>
      <x:c r="D122" s="4" t="str">
        <x:v>S0955</x:v>
      </x:c>
      <x:c r="E122" s="4" t="str">
        <x:v>2.2.0</x:v>
      </x:c>
      <x:c r="F122" s="4" t="str">
        <x:v>elements / S0955</x:v>
      </x:c>
      <x:c r="G122" s="4" t="str">
        <x:v>JSON_ORIGINAL_UTF8</x:v>
      </x:c>
      <x:c r="H122" s="4" t="str">
        <x:v>592417</x:v>
      </x:c>
      <x:c r="I122" s="4" t="str">
        <x:v>232</x:v>
      </x:c>
      <x:c r="J122" s="4" t="str">
        <x:v>546cf709b7d764418ba1b095ca901a4dd8785d800978c62c07a6f51aa93fe1ac</x:v>
      </x:c>
      <x:c r="K122" s="4" t="str">
        <x:v>2026-09-08</x:v>
      </x:c>
      <x:c r="L122" s="4" t="str">
        <x:v>SIN_FECHA_DE_ADOPCION</x:v>
      </x:c>
      <x:c r="M122" s="12" t="n">
        <x:f>IF(LEN(J122)=64,0,1)</x:f>
        <x:v>0</x:v>
      </x:c>
      <x:c r="N122" s="12" t="n">
        <x:f>IF(COUNTIF('03_NICE'!$A$5:$A$57,A122)+COUNTIF('04_TKS'!$A$5:$A$72,A122)+COUNTIF('05_Complementos'!$A$5:$A$127,A122)=1,0,1)</x:f>
        <x:v>0</x:v>
      </x:c>
      <x:c r="O122" s="12" t="n">
        <x:f>COUNTIF('08_Trazas'!$A$5:$A$248,A122)-1</x:f>
        <x:v>0</x:v>
      </x:c>
      <x:c r="P122" s="12" t="n">
        <x:f>IF(COUNTIF('02_Custodia'!$A$5:$A$53,C122)=1,0,1)</x:f>
        <x:v>0</x:v>
      </x:c>
    </x:row>
    <x:row r="123" ht="47" customHeight="1">
      <x:c r="A123" s="4" t="str">
        <x:v>S0956</x:v>
      </x:c>
      <x:c r="B123" s="4" t="str">
        <x:v>F001</x:v>
      </x:c>
      <x:c r="C123" s="4" t="str">
        <x:v>F001</x:v>
      </x:c>
      <x:c r="D123" s="4" t="str">
        <x:v>S0956</x:v>
      </x:c>
      <x:c r="E123" s="4" t="str">
        <x:v>2.2.0</x:v>
      </x:c>
      <x:c r="F123" s="4" t="str">
        <x:v>elements / S0956</x:v>
      </x:c>
      <x:c r="G123" s="4" t="str">
        <x:v>JSON_ORIGINAL_UTF8</x:v>
      </x:c>
      <x:c r="H123" s="4" t="str">
        <x:v>592659</x:v>
      </x:c>
      <x:c r="I123" s="4" t="str">
        <x:v>238</x:v>
      </x:c>
      <x:c r="J123" s="4" t="str">
        <x:v>7623da9347f60d3e627bd499b6dd6178b278b2e4e9da40ccef0f2243f26a801d</x:v>
      </x:c>
      <x:c r="K123" s="4" t="str">
        <x:v>2026-09-08</x:v>
      </x:c>
      <x:c r="L123" s="4" t="str">
        <x:v>SIN_FECHA_DE_ADOPCION</x:v>
      </x:c>
      <x:c r="M123" s="12" t="n">
        <x:f>IF(LEN(J123)=64,0,1)</x:f>
        <x:v>0</x:v>
      </x:c>
      <x:c r="N123" s="12" t="n">
        <x:f>IF(COUNTIF('03_NICE'!$A$5:$A$57,A123)+COUNTIF('04_TKS'!$A$5:$A$72,A123)+COUNTIF('05_Complementos'!$A$5:$A$127,A123)=1,0,1)</x:f>
        <x:v>0</x:v>
      </x:c>
      <x:c r="O123" s="12" t="n">
        <x:f>COUNTIF('08_Trazas'!$A$5:$A$248,A123)-1</x:f>
        <x:v>0</x:v>
      </x:c>
      <x:c r="P123" s="12" t="n">
        <x:f>IF(COUNTIF('02_Custodia'!$A$5:$A$53,C123)=1,0,1)</x:f>
        <x:v>0</x:v>
      </x:c>
    </x:row>
    <x:row r="124" ht="47" customHeight="1">
      <x:c r="A124" s="4" t="str">
        <x:v>S0957</x:v>
      </x:c>
      <x:c r="B124" s="4" t="str">
        <x:v>F001</x:v>
      </x:c>
      <x:c r="C124" s="4" t="str">
        <x:v>F001</x:v>
      </x:c>
      <x:c r="D124" s="4" t="str">
        <x:v>S0957</x:v>
      </x:c>
      <x:c r="E124" s="4" t="str">
        <x:v>2.2.0</x:v>
      </x:c>
      <x:c r="F124" s="4" t="str">
        <x:v>elements / S0957</x:v>
      </x:c>
      <x:c r="G124" s="4" t="str">
        <x:v>JSON_ORIGINAL_UTF8</x:v>
      </x:c>
      <x:c r="H124" s="4" t="str">
        <x:v>592907</x:v>
      </x:c>
      <x:c r="I124" s="4" t="str">
        <x:v>269</x:v>
      </x:c>
      <x:c r="J124" s="4" t="str">
        <x:v>c821dc999a818699c47139f3bd479ea1f437ce61bf86dddffa476d6b71a25b84</x:v>
      </x:c>
      <x:c r="K124" s="4" t="str">
        <x:v>2026-09-08</x:v>
      </x:c>
      <x:c r="L124" s="4" t="str">
        <x:v>SIN_FECHA_DE_ADOPCION</x:v>
      </x:c>
      <x:c r="M124" s="12" t="n">
        <x:f>IF(LEN(J124)=64,0,1)</x:f>
        <x:v>0</x:v>
      </x:c>
      <x:c r="N124" s="12" t="n">
        <x:f>IF(COUNTIF('03_NICE'!$A$5:$A$57,A124)+COUNTIF('04_TKS'!$A$5:$A$72,A124)+COUNTIF('05_Complementos'!$A$5:$A$127,A124)=1,0,1)</x:f>
        <x:v>0</x:v>
      </x:c>
      <x:c r="O124" s="12" t="n">
        <x:f>COUNTIF('08_Trazas'!$A$5:$A$248,A124)-1</x:f>
        <x:v>0</x:v>
      </x:c>
      <x:c r="P124" s="12" t="n">
        <x:f>IF(COUNTIF('02_Custodia'!$A$5:$A$53,C124)=1,0,1)</x:f>
        <x:v>0</x:v>
      </x:c>
    </x:row>
    <x:row r="125" ht="47" customHeight="1">
      <x:c r="A125" s="4" t="str">
        <x:v>S0958</x:v>
      </x:c>
      <x:c r="B125" s="4" t="str">
        <x:v>F001</x:v>
      </x:c>
      <x:c r="C125" s="4" t="str">
        <x:v>F001</x:v>
      </x:c>
      <x:c r="D125" s="4" t="str">
        <x:v>S0958</x:v>
      </x:c>
      <x:c r="E125" s="4" t="str">
        <x:v>2.2.0</x:v>
      </x:c>
      <x:c r="F125" s="4" t="str">
        <x:v>elements / S0958</x:v>
      </x:c>
      <x:c r="G125" s="4" t="str">
        <x:v>JSON_ORIGINAL_UTF8</x:v>
      </x:c>
      <x:c r="H125" s="4" t="str">
        <x:v>593186</x:v>
      </x:c>
      <x:c r="I125" s="4" t="str">
        <x:v>228</x:v>
      </x:c>
      <x:c r="J125" s="4" t="str">
        <x:v>94c65a1bde923d497b434ae080218af01b4dba8e6a0215d42306f4e88895a77a</x:v>
      </x:c>
      <x:c r="K125" s="4" t="str">
        <x:v>2026-09-08</x:v>
      </x:c>
      <x:c r="L125" s="4" t="str">
        <x:v>SIN_FECHA_DE_ADOPCION</x:v>
      </x:c>
      <x:c r="M125" s="12" t="n">
        <x:f>IF(LEN(J125)=64,0,1)</x:f>
        <x:v>0</x:v>
      </x:c>
      <x:c r="N125" s="12" t="n">
        <x:f>IF(COUNTIF('03_NICE'!$A$5:$A$57,A125)+COUNTIF('04_TKS'!$A$5:$A$72,A125)+COUNTIF('05_Complementos'!$A$5:$A$127,A125)=1,0,1)</x:f>
        <x:v>0</x:v>
      </x:c>
      <x:c r="O125" s="12" t="n">
        <x:f>COUNTIF('08_Trazas'!$A$5:$A$248,A125)-1</x:f>
        <x:v>0</x:v>
      </x:c>
      <x:c r="P125" s="12" t="n">
        <x:f>IF(COUNTIF('02_Custodia'!$A$5:$A$53,C125)=1,0,1)</x:f>
        <x:v>0</x:v>
      </x:c>
    </x:row>
    <x:row r="126" ht="47" customHeight="1">
      <x:c r="A126" s="4" t="str">
        <x:v>CP-001</x:v>
      </x:c>
      <x:c r="B126" s="4" t="str">
        <x:v>F003</x:v>
      </x:c>
      <x:c r="C126" s="4" t="str">
        <x:v>F003</x:v>
      </x:c>
      <x:c r="D126" s="4" t="str">
        <x:v>§4; área Data Security</x:v>
      </x:c>
      <x:c r="E126" s="4" t="str">
        <x:v>1.0; 31-12-2017</x:v>
      </x:c>
      <x:c r="F126" s="4" t="str">
        <x:v>página física 6</x:v>
      </x:c>
      <x:c r="G126" s="4" t="str">
        <x:v>ROTULO_EN_TEXTO_EXTRAIDO_UTF8</x:v>
      </x:c>
      <x:c r="H126" s="4" t="str">
        <x:v>5925</x:v>
      </x:c>
      <x:c r="I126" s="4" t="str">
        <x:v>13</x:v>
      </x:c>
      <x:c r="J126" s="4" t="str">
        <x:v>852ccc4f614ef53e4e877e3232f387d30acc304d39d73b5e7435a1d9c612f892</x:v>
      </x:c>
      <x:c r="K126" s="4" t="str">
        <x:v>2026-09-08</x:v>
      </x:c>
      <x:c r="L126" s="4" t="str">
        <x:v>SIN_FECHA_DE_ADOPCION</x:v>
      </x:c>
      <x:c r="M126" s="12" t="n">
        <x:f>IF(LEN(J126)=64,0,1)</x:f>
        <x:v>0</x:v>
      </x:c>
      <x:c r="N126" s="12" t="n">
        <x:f>IF(COUNTIF('03_NICE'!$A$5:$A$57,A126)+COUNTIF('04_TKS'!$A$5:$A$72,A126)+COUNTIF('05_Complementos'!$A$5:$A$127,A126)=1,0,1)</x:f>
        <x:v>0</x:v>
      </x:c>
      <x:c r="O126" s="12" t="n">
        <x:f>COUNTIF('08_Trazas'!$A$5:$A$248,A126)-1</x:f>
        <x:v>0</x:v>
      </x:c>
      <x:c r="P126" s="12" t="n">
        <x:f>IF(COUNTIF('02_Custodia'!$A$5:$A$53,C126)=1,0,1)</x:f>
        <x:v>0</x:v>
      </x:c>
    </x:row>
    <x:row r="127" ht="47" customHeight="1">
      <x:c r="A127" s="4" t="str">
        <x:v>CP-002</x:v>
      </x:c>
      <x:c r="B127" s="4" t="str">
        <x:v>F003</x:v>
      </x:c>
      <x:c r="C127" s="4" t="str">
        <x:v>F003</x:v>
      </x:c>
      <x:c r="D127" s="4" t="str">
        <x:v>§4; área Software Security</x:v>
      </x:c>
      <x:c r="E127" s="4" t="str">
        <x:v>1.0; 31-12-2017</x:v>
      </x:c>
      <x:c r="F127" s="4" t="str">
        <x:v>página física 6</x:v>
      </x:c>
      <x:c r="G127" s="4" t="str">
        <x:v>ROTULO_EN_TEXTO_EXTRAIDO_UTF8</x:v>
      </x:c>
      <x:c r="H127" s="4" t="str">
        <x:v>6043</x:v>
      </x:c>
      <x:c r="I127" s="4" t="str">
        <x:v>17</x:v>
      </x:c>
      <x:c r="J127" s="4" t="str">
        <x:v>cbc6c126bb7652d587243ebd8589417e4b6025547444fa75ef9e18dfba5704ff</x:v>
      </x:c>
      <x:c r="K127" s="4" t="str">
        <x:v>2026-09-08</x:v>
      </x:c>
      <x:c r="L127" s="4" t="str">
        <x:v>SIN_FECHA_DE_ADOPCION</x:v>
      </x:c>
      <x:c r="M127" s="12" t="n">
        <x:f>IF(LEN(J127)=64,0,1)</x:f>
        <x:v>0</x:v>
      </x:c>
      <x:c r="N127" s="12" t="n">
        <x:f>IF(COUNTIF('03_NICE'!$A$5:$A$57,A127)+COUNTIF('04_TKS'!$A$5:$A$72,A127)+COUNTIF('05_Complementos'!$A$5:$A$127,A127)=1,0,1)</x:f>
        <x:v>0</x:v>
      </x:c>
      <x:c r="O127" s="12" t="n">
        <x:f>COUNTIF('08_Trazas'!$A$5:$A$248,A127)-1</x:f>
        <x:v>0</x:v>
      </x:c>
      <x:c r="P127" s="12" t="n">
        <x:f>IF(COUNTIF('02_Custodia'!$A$5:$A$53,C127)=1,0,1)</x:f>
        <x:v>0</x:v>
      </x:c>
    </x:row>
    <x:row r="128" ht="47" customHeight="1">
      <x:c r="A128" s="4" t="str">
        <x:v>CP-003</x:v>
      </x:c>
      <x:c r="B128" s="4" t="str">
        <x:v>F003</x:v>
      </x:c>
      <x:c r="C128" s="4" t="str">
        <x:v>F003</x:v>
      </x:c>
      <x:c r="D128" s="4" t="str">
        <x:v>§4; área Component Security</x:v>
      </x:c>
      <x:c r="E128" s="4" t="str">
        <x:v>1.0; 31-12-2017</x:v>
      </x:c>
      <x:c r="F128" s="4" t="str">
        <x:v>página física 6</x:v>
      </x:c>
      <x:c r="G128" s="4" t="str">
        <x:v>ROTULO_EN_TEXTO_EXTRAIDO_UTF8</x:v>
      </x:c>
      <x:c r="H128" s="4" t="str">
        <x:v>6165</x:v>
      </x:c>
      <x:c r="I128" s="4" t="str">
        <x:v>18</x:v>
      </x:c>
      <x:c r="J128" s="4" t="str">
        <x:v>bae95a9f0dadc79bd1b2f8bfc304eeee0c8a035f3c37e3d6fd81833063b235c5</x:v>
      </x:c>
      <x:c r="K128" s="4" t="str">
        <x:v>2026-09-08</x:v>
      </x:c>
      <x:c r="L128" s="4" t="str">
        <x:v>SIN_FECHA_DE_ADOPCION</x:v>
      </x:c>
      <x:c r="M128" s="12" t="n">
        <x:f>IF(LEN(J128)=64,0,1)</x:f>
        <x:v>0</x:v>
      </x:c>
      <x:c r="N128" s="12" t="n">
        <x:f>IF(COUNTIF('03_NICE'!$A$5:$A$57,A128)+COUNTIF('04_TKS'!$A$5:$A$72,A128)+COUNTIF('05_Complementos'!$A$5:$A$127,A128)=1,0,1)</x:f>
        <x:v>0</x:v>
      </x:c>
      <x:c r="O128" s="12" t="n">
        <x:f>COUNTIF('08_Trazas'!$A$5:$A$248,A128)-1</x:f>
        <x:v>0</x:v>
      </x:c>
      <x:c r="P128" s="12" t="n">
        <x:f>IF(COUNTIF('02_Custodia'!$A$5:$A$53,C128)=1,0,1)</x:f>
        <x:v>0</x:v>
      </x:c>
    </x:row>
    <x:row r="129" ht="47" customHeight="1">
      <x:c r="A129" s="4" t="str">
        <x:v>CP-004</x:v>
      </x:c>
      <x:c r="B129" s="4" t="str">
        <x:v>F003</x:v>
      </x:c>
      <x:c r="C129" s="4" t="str">
        <x:v>F003</x:v>
      </x:c>
      <x:c r="D129" s="4" t="str">
        <x:v>§4; área Connection Security</x:v>
      </x:c>
      <x:c r="E129" s="4" t="str">
        <x:v>1.0; 31-12-2017</x:v>
      </x:c>
      <x:c r="F129" s="4" t="str">
        <x:v>página física 7</x:v>
      </x:c>
      <x:c r="G129" s="4" t="str">
        <x:v>ROTULO_EN_TEXTO_EXTRAIDO_UTF8</x:v>
      </x:c>
      <x:c r="H129" s="4" t="str">
        <x:v>6375</x:v>
      </x:c>
      <x:c r="I129" s="4" t="str">
        <x:v>19</x:v>
      </x:c>
      <x:c r="J129" s="4" t="str">
        <x:v>88eadf8c146266c4c757a2a1263c7985c83c79a23aebd6607fa962dc8715e106</x:v>
      </x:c>
      <x:c r="K129" s="4" t="str">
        <x:v>2026-09-08</x:v>
      </x:c>
      <x:c r="L129" s="4" t="str">
        <x:v>SIN_FECHA_DE_ADOPCION</x:v>
      </x:c>
      <x:c r="M129" s="12" t="n">
        <x:f>IF(LEN(J129)=64,0,1)</x:f>
        <x:v>0</x:v>
      </x:c>
      <x:c r="N129" s="12" t="n">
        <x:f>IF(COUNTIF('03_NICE'!$A$5:$A$57,A129)+COUNTIF('04_TKS'!$A$5:$A$72,A129)+COUNTIF('05_Complementos'!$A$5:$A$127,A129)=1,0,1)</x:f>
        <x:v>0</x:v>
      </x:c>
      <x:c r="O129" s="12" t="n">
        <x:f>COUNTIF('08_Trazas'!$A$5:$A$248,A129)-1</x:f>
        <x:v>0</x:v>
      </x:c>
      <x:c r="P129" s="12" t="n">
        <x:f>IF(COUNTIF('02_Custodia'!$A$5:$A$53,C129)=1,0,1)</x:f>
        <x:v>0</x:v>
      </x:c>
    </x:row>
    <x:row r="130" ht="47" customHeight="1">
      <x:c r="A130" s="4" t="str">
        <x:v>CP-005</x:v>
      </x:c>
      <x:c r="B130" s="4" t="str">
        <x:v>F003</x:v>
      </x:c>
      <x:c r="C130" s="4" t="str">
        <x:v>F003</x:v>
      </x:c>
      <x:c r="D130" s="4" t="str">
        <x:v>§4; área System Security</x:v>
      </x:c>
      <x:c r="E130" s="4" t="str">
        <x:v>1.0; 31-12-2017</x:v>
      </x:c>
      <x:c r="F130" s="4" t="str">
        <x:v>página física 7</x:v>
      </x:c>
      <x:c r="G130" s="4" t="str">
        <x:v>ROTULO_EN_TEXTO_EXTRAIDO_UTF8</x:v>
      </x:c>
      <x:c r="H130" s="4" t="str">
        <x:v>6499</x:v>
      </x:c>
      <x:c r="I130" s="4" t="str">
        <x:v>15</x:v>
      </x:c>
      <x:c r="J130" s="4" t="str">
        <x:v>cc19147dc275fc05114a2a1d7f24917fdfe7b5f5164bca33cd1980e88ce82ded</x:v>
      </x:c>
      <x:c r="K130" s="4" t="str">
        <x:v>2026-09-08</x:v>
      </x:c>
      <x:c r="L130" s="4" t="str">
        <x:v>SIN_FECHA_DE_ADOPCION</x:v>
      </x:c>
      <x:c r="M130" s="12" t="n">
        <x:f>IF(LEN(J130)=64,0,1)</x:f>
        <x:v>0</x:v>
      </x:c>
      <x:c r="N130" s="12" t="n">
        <x:f>IF(COUNTIF('03_NICE'!$A$5:$A$57,A130)+COUNTIF('04_TKS'!$A$5:$A$72,A130)+COUNTIF('05_Complementos'!$A$5:$A$127,A130)=1,0,1)</x:f>
        <x:v>0</x:v>
      </x:c>
      <x:c r="O130" s="12" t="n">
        <x:f>COUNTIF('08_Trazas'!$A$5:$A$248,A130)-1</x:f>
        <x:v>0</x:v>
      </x:c>
      <x:c r="P130" s="12" t="n">
        <x:f>IF(COUNTIF('02_Custodia'!$A$5:$A$53,C130)=1,0,1)</x:f>
        <x:v>0</x:v>
      </x:c>
    </x:row>
    <x:row r="131" ht="47" customHeight="1">
      <x:c r="A131" s="4" t="str">
        <x:v>CP-006</x:v>
      </x:c>
      <x:c r="B131" s="4" t="str">
        <x:v>F003</x:v>
      </x:c>
      <x:c r="C131" s="4" t="str">
        <x:v>F003</x:v>
      </x:c>
      <x:c r="D131" s="4" t="str">
        <x:v>§4; área Human Security</x:v>
      </x:c>
      <x:c r="E131" s="4" t="str">
        <x:v>1.0; 31-12-2017</x:v>
      </x:c>
      <x:c r="F131" s="4" t="str">
        <x:v>página física 7</x:v>
      </x:c>
      <x:c r="G131" s="4" t="str">
        <x:v>ROTULO_EN_TEXTO_EXTRAIDO_UTF8</x:v>
      </x:c>
      <x:c r="H131" s="4" t="str">
        <x:v>6619</x:v>
      </x:c>
      <x:c r="I131" s="4" t="str">
        <x:v>14</x:v>
      </x:c>
      <x:c r="J131" s="4" t="str">
        <x:v>f6b9a32d9714028d85ee59340fcc43c001f688451b76797fbca1ad7112961355</x:v>
      </x:c>
      <x:c r="K131" s="4" t="str">
        <x:v>2026-09-08</x:v>
      </x:c>
      <x:c r="L131" s="4" t="str">
        <x:v>SIN_FECHA_DE_ADOPCION</x:v>
      </x:c>
      <x:c r="M131" s="12" t="n">
        <x:f>IF(LEN(J131)=64,0,1)</x:f>
        <x:v>0</x:v>
      </x:c>
      <x:c r="N131" s="12" t="n">
        <x:f>IF(COUNTIF('03_NICE'!$A$5:$A$57,A131)+COUNTIF('04_TKS'!$A$5:$A$72,A131)+COUNTIF('05_Complementos'!$A$5:$A$127,A131)=1,0,1)</x:f>
        <x:v>0</x:v>
      </x:c>
      <x:c r="O131" s="12" t="n">
        <x:f>COUNTIF('08_Trazas'!$A$5:$A$248,A131)-1</x:f>
        <x:v>0</x:v>
      </x:c>
      <x:c r="P131" s="12" t="n">
        <x:f>IF(COUNTIF('02_Custodia'!$A$5:$A$53,C131)=1,0,1)</x:f>
        <x:v>0</x:v>
      </x:c>
    </x:row>
    <x:row r="132" ht="47" customHeight="1">
      <x:c r="A132" s="4" t="str">
        <x:v>CP-007</x:v>
      </x:c>
      <x:c r="B132" s="4" t="str">
        <x:v>F003</x:v>
      </x:c>
      <x:c r="C132" s="4" t="str">
        <x:v>F003</x:v>
      </x:c>
      <x:c r="D132" s="4" t="str">
        <x:v>§4; área Organizational Security</x:v>
      </x:c>
      <x:c r="E132" s="4" t="str">
        <x:v>1.0; 31-12-2017</x:v>
      </x:c>
      <x:c r="F132" s="4" t="str">
        <x:v>página física 7</x:v>
      </x:c>
      <x:c r="G132" s="4" t="str">
        <x:v>ROTULO_EN_TEXTO_EXTRAIDO_UTF8</x:v>
      </x:c>
      <x:c r="H132" s="4" t="str">
        <x:v>6738</x:v>
      </x:c>
      <x:c r="I132" s="4" t="str">
        <x:v>23</x:v>
      </x:c>
      <x:c r="J132" s="4" t="str">
        <x:v>e90bbdbb053215768565b83a1b6e48660f83a09cc4d6cb2795d109ad8492d277</x:v>
      </x:c>
      <x:c r="K132" s="4" t="str">
        <x:v>2026-09-08</x:v>
      </x:c>
      <x:c r="L132" s="4" t="str">
        <x:v>SIN_FECHA_DE_ADOPCION</x:v>
      </x:c>
      <x:c r="M132" s="12" t="n">
        <x:f>IF(LEN(J132)=64,0,1)</x:f>
        <x:v>0</x:v>
      </x:c>
      <x:c r="N132" s="12" t="n">
        <x:f>IF(COUNTIF('03_NICE'!$A$5:$A$57,A132)+COUNTIF('04_TKS'!$A$5:$A$72,A132)+COUNTIF('05_Complementos'!$A$5:$A$127,A132)=1,0,1)</x:f>
        <x:v>0</x:v>
      </x:c>
      <x:c r="O132" s="12" t="n">
        <x:f>COUNTIF('08_Trazas'!$A$5:$A$248,A132)-1</x:f>
        <x:v>0</x:v>
      </x:c>
      <x:c r="P132" s="12" t="n">
        <x:f>IF(COUNTIF('02_Custodia'!$A$5:$A$53,C132)=1,0,1)</x:f>
        <x:v>0</x:v>
      </x:c>
    </x:row>
    <x:row r="133" ht="47" customHeight="1">
      <x:c r="A133" s="4" t="str">
        <x:v>CP-008</x:v>
      </x:c>
      <x:c r="B133" s="4" t="str">
        <x:v>F003</x:v>
      </x:c>
      <x:c r="C133" s="4" t="str">
        <x:v>F003</x:v>
      </x:c>
      <x:c r="D133" s="4" t="str">
        <x:v>§4; área Societal Security</x:v>
      </x:c>
      <x:c r="E133" s="4" t="str">
        <x:v>1.0; 31-12-2017</x:v>
      </x:c>
      <x:c r="F133" s="4" t="str">
        <x:v>página física 7</x:v>
      </x:c>
      <x:c r="G133" s="4" t="str">
        <x:v>ROTULO_EN_TEXTO_EXTRAIDO_UTF8</x:v>
      </x:c>
      <x:c r="H133" s="4" t="str">
        <x:v>6866</x:v>
      </x:c>
      <x:c r="I133" s="4" t="str">
        <x:v>17</x:v>
      </x:c>
      <x:c r="J133" s="4" t="str">
        <x:v>153a2eae900720ebc4fd56a8d94f15ffcbf572ffbff7d8111ed58db5756affd4</x:v>
      </x:c>
      <x:c r="K133" s="4" t="str">
        <x:v>2026-09-08</x:v>
      </x:c>
      <x:c r="L133" s="4" t="str">
        <x:v>SIN_FECHA_DE_ADOPCION</x:v>
      </x:c>
      <x:c r="M133" s="12" t="n">
        <x:f>IF(LEN(J133)=64,0,1)</x:f>
        <x:v>0</x:v>
      </x:c>
      <x:c r="N133" s="12" t="n">
        <x:f>IF(COUNTIF('03_NICE'!$A$5:$A$57,A133)+COUNTIF('04_TKS'!$A$5:$A$72,A133)+COUNTIF('05_Complementos'!$A$5:$A$127,A133)=1,0,1)</x:f>
        <x:v>0</x:v>
      </x:c>
      <x:c r="O133" s="12" t="n">
        <x:f>COUNTIF('08_Trazas'!$A$5:$A$248,A133)-1</x:f>
        <x:v>0</x:v>
      </x:c>
      <x:c r="P133" s="12" t="n">
        <x:f>IF(COUNTIF('02_Custodia'!$A$5:$A$53,C133)=1,0,1)</x:f>
        <x:v>0</x:v>
      </x:c>
    </x:row>
    <x:row r="134" ht="47" customHeight="1">
      <x:c r="A134" s="4" t="str">
        <x:v>CP-009</x:v>
      </x:c>
      <x:c r="B134" s="4" t="str">
        <x:v>F004</x:v>
      </x:c>
      <x:c r="C134" s="4" t="str">
        <x:v>F004</x:v>
      </x:c>
      <x:c r="D134" s="4" t="str">
        <x:v>Área de conocimiento: Risk Management &amp; Governance</x:v>
      </x:c>
      <x:c r="E134" s="4" t="str">
        <x:v>1.1.0; julio 2021</x:v>
      </x:c>
      <x:c r="F134" s="4" t="str">
        <x:v>página física 9</x:v>
      </x:c>
      <x:c r="G134" s="4" t="str">
        <x:v>ROTULO_EN_TEXTO_EXTRAIDO_UTF8</x:v>
      </x:c>
      <x:c r="H134" s="4" t="str">
        <x:v>10018</x:v>
      </x:c>
      <x:c r="I134" s="4" t="str">
        <x:v>28</x:v>
      </x:c>
      <x:c r="J134" s="4" t="str">
        <x:v>78297379e6fb11c18b10deb3a77433e34d00aaab0679389229102b42f739261a</x:v>
      </x:c>
      <x:c r="K134" s="4" t="str">
        <x:v>2026-09-08</x:v>
      </x:c>
      <x:c r="L134" s="4" t="str">
        <x:v>SIN_FECHA_DE_ADOPCION</x:v>
      </x:c>
      <x:c r="M134" s="12" t="n">
        <x:f>IF(LEN(J134)=64,0,1)</x:f>
        <x:v>0</x:v>
      </x:c>
      <x:c r="N134" s="12" t="n">
        <x:f>IF(COUNTIF('03_NICE'!$A$5:$A$57,A134)+COUNTIF('04_TKS'!$A$5:$A$72,A134)+COUNTIF('05_Complementos'!$A$5:$A$127,A134)=1,0,1)</x:f>
        <x:v>0</x:v>
      </x:c>
      <x:c r="O134" s="12" t="n">
        <x:f>COUNTIF('08_Trazas'!$A$5:$A$248,A134)-1</x:f>
        <x:v>0</x:v>
      </x:c>
      <x:c r="P134" s="12" t="n">
        <x:f>IF(COUNTIF('02_Custodia'!$A$5:$A$53,C134)=1,0,1)</x:f>
        <x:v>0</x:v>
      </x:c>
    </x:row>
    <x:row r="135" ht="47" customHeight="1">
      <x:c r="A135" s="4" t="str">
        <x:v>CP-010</x:v>
      </x:c>
      <x:c r="B135" s="4" t="str">
        <x:v>F004</x:v>
      </x:c>
      <x:c r="C135" s="4" t="str">
        <x:v>F004</x:v>
      </x:c>
      <x:c r="D135" s="4" t="str">
        <x:v>Área de conocimiento: Law &amp; Regulation</x:v>
      </x:c>
      <x:c r="E135" s="4" t="str">
        <x:v>1.1.0; julio 2021</x:v>
      </x:c>
      <x:c r="F135" s="4" t="str">
        <x:v>página física 3</x:v>
      </x:c>
      <x:c r="G135" s="4" t="str">
        <x:v>ROTULO_EN_TEXTO_EXTRAIDO_UTF8</x:v>
      </x:c>
      <x:c r="H135" s="4" t="str">
        <x:v>2477</x:v>
      </x:c>
      <x:c r="I135" s="4" t="str">
        <x:v>16</x:v>
      </x:c>
      <x:c r="J135" s="4" t="str">
        <x:v>af6bf9a1b75b4d39478ba07603e6d8eb42082440810be4a4fcd33da6de6ace64</x:v>
      </x:c>
      <x:c r="K135" s="4" t="str">
        <x:v>2026-09-08</x:v>
      </x:c>
      <x:c r="L135" s="4" t="str">
        <x:v>SIN_FECHA_DE_ADOPCION</x:v>
      </x:c>
      <x:c r="M135" s="12" t="n">
        <x:f>IF(LEN(J135)=64,0,1)</x:f>
        <x:v>0</x:v>
      </x:c>
      <x:c r="N135" s="12" t="n">
        <x:f>IF(COUNTIF('03_NICE'!$A$5:$A$57,A135)+COUNTIF('04_TKS'!$A$5:$A$72,A135)+COUNTIF('05_Complementos'!$A$5:$A$127,A135)=1,0,1)</x:f>
        <x:v>0</x:v>
      </x:c>
      <x:c r="O135" s="12" t="n">
        <x:f>COUNTIF('08_Trazas'!$A$5:$A$248,A135)-1</x:f>
        <x:v>0</x:v>
      </x:c>
      <x:c r="P135" s="12" t="n">
        <x:f>IF(COUNTIF('02_Custodia'!$A$5:$A$53,C135)=1,0,1)</x:f>
        <x:v>0</x:v>
      </x:c>
    </x:row>
    <x:row r="136" ht="47" customHeight="1">
      <x:c r="A136" s="4" t="str">
        <x:v>CP-011</x:v>
      </x:c>
      <x:c r="B136" s="4" t="str">
        <x:v>F004</x:v>
      </x:c>
      <x:c r="C136" s="4" t="str">
        <x:v>F004</x:v>
      </x:c>
      <x:c r="D136" s="4" t="str">
        <x:v>Área de conocimiento: Human Factors</x:v>
      </x:c>
      <x:c r="E136" s="4" t="str">
        <x:v>1.1.0; julio 2021</x:v>
      </x:c>
      <x:c r="F136" s="4" t="str">
        <x:v>página física 3</x:v>
      </x:c>
      <x:c r="G136" s="4" t="str">
        <x:v>ROTULO_EN_TEXTO_EXTRAIDO_UTF8</x:v>
      </x:c>
      <x:c r="H136" s="4" t="str">
        <x:v>2919</x:v>
      </x:c>
      <x:c r="I136" s="4" t="str">
        <x:v>13</x:v>
      </x:c>
      <x:c r="J136" s="4" t="str">
        <x:v>bfde5e194e293606c49259d219f763a6bb9ef088fdc9bd764565806a3daf925a</x:v>
      </x:c>
      <x:c r="K136" s="4" t="str">
        <x:v>2026-09-08</x:v>
      </x:c>
      <x:c r="L136" s="4" t="str">
        <x:v>SIN_FECHA_DE_ADOPCION</x:v>
      </x:c>
      <x:c r="M136" s="12" t="n">
        <x:f>IF(LEN(J136)=64,0,1)</x:f>
        <x:v>0</x:v>
      </x:c>
      <x:c r="N136" s="12" t="n">
        <x:f>IF(COUNTIF('03_NICE'!$A$5:$A$57,A136)+COUNTIF('04_TKS'!$A$5:$A$72,A136)+COUNTIF('05_Complementos'!$A$5:$A$127,A136)=1,0,1)</x:f>
        <x:v>0</x:v>
      </x:c>
      <x:c r="O136" s="12" t="n">
        <x:f>COUNTIF('08_Trazas'!$A$5:$A$248,A136)-1</x:f>
        <x:v>0</x:v>
      </x:c>
      <x:c r="P136" s="12" t="n">
        <x:f>IF(COUNTIF('02_Custodia'!$A$5:$A$53,C136)=1,0,1)</x:f>
        <x:v>0</x:v>
      </x:c>
    </x:row>
    <x:row r="137" ht="47" customHeight="1">
      <x:c r="A137" s="4" t="str">
        <x:v>CP-012</x:v>
      </x:c>
      <x:c r="B137" s="4" t="str">
        <x:v>F004</x:v>
      </x:c>
      <x:c r="C137" s="4" t="str">
        <x:v>F004</x:v>
      </x:c>
      <x:c r="D137" s="4" t="str">
        <x:v>Área de conocimiento: Privacy &amp; Online Rights</x:v>
      </x:c>
      <x:c r="E137" s="4" t="str">
        <x:v>1.1.0; julio 2021</x:v>
      </x:c>
      <x:c r="F137" s="4" t="str">
        <x:v>página física 3</x:v>
      </x:c>
      <x:c r="G137" s="4" t="str">
        <x:v>ROTULO_EN_TEXTO_EXTRAIDO_UTF8</x:v>
      </x:c>
      <x:c r="H137" s="4" t="str">
        <x:v>3196</x:v>
      </x:c>
      <x:c r="I137" s="4" t="str">
        <x:v>23</x:v>
      </x:c>
      <x:c r="J137" s="4" t="str">
        <x:v>9a507e85e9c3eaf6d4ec7d2abbf5ae6f0ec854d3eff7774414949dd860d211e3</x:v>
      </x:c>
      <x:c r="K137" s="4" t="str">
        <x:v>2026-09-08</x:v>
      </x:c>
      <x:c r="L137" s="4" t="str">
        <x:v>SIN_FECHA_DE_ADOPCION</x:v>
      </x:c>
      <x:c r="M137" s="12" t="n">
        <x:f>IF(LEN(J137)=64,0,1)</x:f>
        <x:v>0</x:v>
      </x:c>
      <x:c r="N137" s="12" t="n">
        <x:f>IF(COUNTIF('03_NICE'!$A$5:$A$57,A137)+COUNTIF('04_TKS'!$A$5:$A$72,A137)+COUNTIF('05_Complementos'!$A$5:$A$127,A137)=1,0,1)</x:f>
        <x:v>0</x:v>
      </x:c>
      <x:c r="O137" s="12" t="n">
        <x:f>COUNTIF('08_Trazas'!$A$5:$A$248,A137)-1</x:f>
        <x:v>0</x:v>
      </x:c>
      <x:c r="P137" s="12" t="n">
        <x:f>IF(COUNTIF('02_Custodia'!$A$5:$A$53,C137)=1,0,1)</x:f>
        <x:v>0</x:v>
      </x:c>
    </x:row>
    <x:row r="138" ht="47" customHeight="1">
      <x:c r="A138" s="4" t="str">
        <x:v>CP-013</x:v>
      </x:c>
      <x:c r="B138" s="4" t="str">
        <x:v>F004</x:v>
      </x:c>
      <x:c r="C138" s="4" t="str">
        <x:v>F004</x:v>
      </x:c>
      <x:c r="D138" s="4" t="str">
        <x:v>Área de conocimiento: Malware &amp; Attack Technologies</x:v>
      </x:c>
      <x:c r="E138" s="4" t="str">
        <x:v>1.1.0; julio 2021</x:v>
      </x:c>
      <x:c r="F138" s="4" t="str">
        <x:v>página física 4</x:v>
      </x:c>
      <x:c r="G138" s="4" t="str">
        <x:v>ROTULO_EN_TEXTO_EXTRAIDO_UTF8</x:v>
      </x:c>
      <x:c r="H138" s="4" t="str">
        <x:v>3889</x:v>
      </x:c>
      <x:c r="I138" s="4" t="str">
        <x:v>29</x:v>
      </x:c>
      <x:c r="J138" s="4" t="str">
        <x:v>583e8932924f97420f09448bb23ce74f2bba98cbface03f5fac5ee95a4b764c8</x:v>
      </x:c>
      <x:c r="K138" s="4" t="str">
        <x:v>2026-09-08</x:v>
      </x:c>
      <x:c r="L138" s="4" t="str">
        <x:v>SIN_FECHA_DE_ADOPCION</x:v>
      </x:c>
      <x:c r="M138" s="12" t="n">
        <x:f>IF(LEN(J138)=64,0,1)</x:f>
        <x:v>0</x:v>
      </x:c>
      <x:c r="N138" s="12" t="n">
        <x:f>IF(COUNTIF('03_NICE'!$A$5:$A$57,A138)+COUNTIF('04_TKS'!$A$5:$A$72,A138)+COUNTIF('05_Complementos'!$A$5:$A$127,A138)=1,0,1)</x:f>
        <x:v>0</x:v>
      </x:c>
      <x:c r="O138" s="12" t="n">
        <x:f>COUNTIF('08_Trazas'!$A$5:$A$248,A138)-1</x:f>
        <x:v>0</x:v>
      </x:c>
      <x:c r="P138" s="12" t="n">
        <x:f>IF(COUNTIF('02_Custodia'!$A$5:$A$53,C138)=1,0,1)</x:f>
        <x:v>0</x:v>
      </x:c>
    </x:row>
    <x:row r="139" ht="47" customHeight="1">
      <x:c r="A139" s="4" t="str">
        <x:v>CP-014</x:v>
      </x:c>
      <x:c r="B139" s="4" t="str">
        <x:v>F004</x:v>
      </x:c>
      <x:c r="C139" s="4" t="str">
        <x:v>F004</x:v>
      </x:c>
      <x:c r="D139" s="4" t="str">
        <x:v>Área de conocimiento: Adversarial Behaviours</x:v>
      </x:c>
      <x:c r="E139" s="4" t="str">
        <x:v>1.1.0; julio 2021</x:v>
      </x:c>
      <x:c r="F139" s="4" t="str">
        <x:v>página física 4</x:v>
      </x:c>
      <x:c r="G139" s="4" t="str">
        <x:v>ROTULO_EN_TEXTO_EXTRAIDO_UTF8</x:v>
      </x:c>
      <x:c r="H139" s="4" t="str">
        <x:v>4167</x:v>
      </x:c>
      <x:c r="I139" s="4" t="str">
        <x:v>22</x:v>
      </x:c>
      <x:c r="J139" s="4" t="str">
        <x:v>adeb0c4ebffb9ce932fe87f5c2d8518000a282b9a5e41ece5b5550f654658ea9</x:v>
      </x:c>
      <x:c r="K139" s="4" t="str">
        <x:v>2026-09-08</x:v>
      </x:c>
      <x:c r="L139" s="4" t="str">
        <x:v>SIN_FECHA_DE_ADOPCION</x:v>
      </x:c>
      <x:c r="M139" s="12" t="n">
        <x:f>IF(LEN(J139)=64,0,1)</x:f>
        <x:v>0</x:v>
      </x:c>
      <x:c r="N139" s="12" t="n">
        <x:f>IF(COUNTIF('03_NICE'!$A$5:$A$57,A139)+COUNTIF('04_TKS'!$A$5:$A$72,A139)+COUNTIF('05_Complementos'!$A$5:$A$127,A139)=1,0,1)</x:f>
        <x:v>0</x:v>
      </x:c>
      <x:c r="O139" s="12" t="n">
        <x:f>COUNTIF('08_Trazas'!$A$5:$A$248,A139)-1</x:f>
        <x:v>0</x:v>
      </x:c>
      <x:c r="P139" s="12" t="n">
        <x:f>IF(COUNTIF('02_Custodia'!$A$5:$A$53,C139)=1,0,1)</x:f>
        <x:v>0</x:v>
      </x:c>
    </x:row>
    <x:row r="140" ht="47" customHeight="1">
      <x:c r="A140" s="4" t="str">
        <x:v>CP-015</x:v>
      </x:c>
      <x:c r="B140" s="4" t="str">
        <x:v>F004</x:v>
      </x:c>
      <x:c r="C140" s="4" t="str">
        <x:v>F004</x:v>
      </x:c>
      <x:c r="D140" s="4" t="str">
        <x:v>Área de conocimiento: Security Operations &amp; Incident Management</x:v>
      </x:c>
      <x:c r="E140" s="4" t="str">
        <x:v>1.1.0; julio 2021</x:v>
      </x:c>
      <x:c r="F140" s="4" t="str">
        <x:v>página física 4</x:v>
      </x:c>
      <x:c r="G140" s="4" t="str">
        <x:v>ROTULO_EN_TEXTO_EXTRAIDO_UTF8</x:v>
      </x:c>
      <x:c r="H140" s="4" t="str">
        <x:v>4438</x:v>
      </x:c>
      <x:c r="I140" s="4" t="str">
        <x:v>41</x:v>
      </x:c>
      <x:c r="J140" s="4" t="str">
        <x:v>cb8ecef31f212c279daaa56564d56804158eb018c0ffb1a198c4bda9fae7ff25</x:v>
      </x:c>
      <x:c r="K140" s="4" t="str">
        <x:v>2026-09-08</x:v>
      </x:c>
      <x:c r="L140" s="4" t="str">
        <x:v>SIN_FECHA_DE_ADOPCION</x:v>
      </x:c>
      <x:c r="M140" s="12" t="n">
        <x:f>IF(LEN(J140)=64,0,1)</x:f>
        <x:v>0</x:v>
      </x:c>
      <x:c r="N140" s="12" t="n">
        <x:f>IF(COUNTIF('03_NICE'!$A$5:$A$57,A140)+COUNTIF('04_TKS'!$A$5:$A$72,A140)+COUNTIF('05_Complementos'!$A$5:$A$127,A140)=1,0,1)</x:f>
        <x:v>0</x:v>
      </x:c>
      <x:c r="O140" s="12" t="n">
        <x:f>COUNTIF('08_Trazas'!$A$5:$A$248,A140)-1</x:f>
        <x:v>0</x:v>
      </x:c>
      <x:c r="P140" s="12" t="n">
        <x:f>IF(COUNTIF('02_Custodia'!$A$5:$A$53,C140)=1,0,1)</x:f>
        <x:v>0</x:v>
      </x:c>
    </x:row>
    <x:row r="141" ht="47" customHeight="1">
      <x:c r="A141" s="4" t="str">
        <x:v>CP-016</x:v>
      </x:c>
      <x:c r="B141" s="4" t="str">
        <x:v>F004</x:v>
      </x:c>
      <x:c r="C141" s="4" t="str">
        <x:v>F004</x:v>
      </x:c>
      <x:c r="D141" s="4" t="str">
        <x:v>Área de conocimiento: Forensics</x:v>
      </x:c>
      <x:c r="E141" s="4" t="str">
        <x:v>1.1.0; julio 2021</x:v>
      </x:c>
      <x:c r="F141" s="4" t="str">
        <x:v>página física 4</x:v>
      </x:c>
      <x:c r="G141" s="4" t="str">
        <x:v>ROTULO_EN_TEXTO_EXTRAIDO_UTF8</x:v>
      </x:c>
      <x:c r="H141" s="4" t="str">
        <x:v>4995</x:v>
      </x:c>
      <x:c r="I141" s="4" t="str">
        <x:v>9</x:v>
      </x:c>
      <x:c r="J141" s="4" t="str">
        <x:v>64e34ce2ec320026f638a38f9b75e0a6e14a991b93e53004d66fcfe1adb48616</x:v>
      </x:c>
      <x:c r="K141" s="4" t="str">
        <x:v>2026-09-08</x:v>
      </x:c>
      <x:c r="L141" s="4" t="str">
        <x:v>SIN_FECHA_DE_ADOPCION</x:v>
      </x:c>
      <x:c r="M141" s="12" t="n">
        <x:f>IF(LEN(J141)=64,0,1)</x:f>
        <x:v>0</x:v>
      </x:c>
      <x:c r="N141" s="12" t="n">
        <x:f>IF(COUNTIF('03_NICE'!$A$5:$A$57,A141)+COUNTIF('04_TKS'!$A$5:$A$72,A141)+COUNTIF('05_Complementos'!$A$5:$A$127,A141)=1,0,1)</x:f>
        <x:v>0</x:v>
      </x:c>
      <x:c r="O141" s="12" t="n">
        <x:f>COUNTIF('08_Trazas'!$A$5:$A$248,A141)-1</x:f>
        <x:v>0</x:v>
      </x:c>
      <x:c r="P141" s="12" t="n">
        <x:f>IF(COUNTIF('02_Custodia'!$A$5:$A$53,C141)=1,0,1)</x:f>
        <x:v>0</x:v>
      </x:c>
    </x:row>
    <x:row r="142" ht="47" customHeight="1">
      <x:c r="A142" s="4" t="str">
        <x:v>CP-017</x:v>
      </x:c>
      <x:c r="B142" s="4" t="str">
        <x:v>F004</x:v>
      </x:c>
      <x:c r="C142" s="4" t="str">
        <x:v>F004</x:v>
      </x:c>
      <x:c r="D142" s="4" t="str">
        <x:v>Área de conocimiento: Cryptography</x:v>
      </x:c>
      <x:c r="E142" s="4" t="str">
        <x:v>1.1.0; julio 2021</x:v>
      </x:c>
      <x:c r="F142" s="4" t="str">
        <x:v>página física 4</x:v>
      </x:c>
      <x:c r="G142" s="4" t="str">
        <x:v>ROTULO_EN_TEXTO_EXTRAIDO_UTF8</x:v>
      </x:c>
      <x:c r="H142" s="4" t="str">
        <x:v>5253</x:v>
      </x:c>
      <x:c r="I142" s="4" t="str">
        <x:v>12</x:v>
      </x:c>
      <x:c r="J142" s="4" t="str">
        <x:v>b584eec728548aced5a66c0267dd520a00871b5e7b735b2d8202f86719f61857</x:v>
      </x:c>
      <x:c r="K142" s="4" t="str">
        <x:v>2026-09-08</x:v>
      </x:c>
      <x:c r="L142" s="4" t="str">
        <x:v>SIN_FECHA_DE_ADOPCION</x:v>
      </x:c>
      <x:c r="M142" s="12" t="n">
        <x:f>IF(LEN(J142)=64,0,1)</x:f>
        <x:v>0</x:v>
      </x:c>
      <x:c r="N142" s="12" t="n">
        <x:f>IF(COUNTIF('03_NICE'!$A$5:$A$57,A142)+COUNTIF('04_TKS'!$A$5:$A$72,A142)+COUNTIF('05_Complementos'!$A$5:$A$127,A142)=1,0,1)</x:f>
        <x:v>0</x:v>
      </x:c>
      <x:c r="O142" s="12" t="n">
        <x:f>COUNTIF('08_Trazas'!$A$5:$A$248,A142)-1</x:f>
        <x:v>0</x:v>
      </x:c>
      <x:c r="P142" s="12" t="n">
        <x:f>IF(COUNTIF('02_Custodia'!$A$5:$A$53,C142)=1,0,1)</x:f>
        <x:v>0</x:v>
      </x:c>
    </x:row>
    <x:row r="143" ht="47" customHeight="1">
      <x:c r="A143" s="4" t="str">
        <x:v>CP-018</x:v>
      </x:c>
      <x:c r="B143" s="4" t="str">
        <x:v>F004</x:v>
      </x:c>
      <x:c r="C143" s="4" t="str">
        <x:v>F004</x:v>
      </x:c>
      <x:c r="D143" s="4" t="str">
        <x:v>Área de conocimiento: Operating Systems &amp; Virtualisation</x:v>
      </x:c>
      <x:c r="E143" s="4" t="str">
        <x:v>1.1.0; julio 2021</x:v>
      </x:c>
      <x:c r="F143" s="4" t="str">
        <x:v>página física 14</x:v>
      </x:c>
      <x:c r="G143" s="4" t="str">
        <x:v>ROTULO_EN_TEXTO_EXTRAIDO_UTF8</x:v>
      </x:c>
      <x:c r="H143" s="4" t="str">
        <x:v>27187</x:v>
      </x:c>
      <x:c r="I143" s="4" t="str">
        <x:v>34</x:v>
      </x:c>
      <x:c r="J143" s="4" t="str">
        <x:v>9e30256e23e42c551cb7d03b1b02b58be35a5ccd052b80e75beade8d173742c1</x:v>
      </x:c>
      <x:c r="K143" s="4" t="str">
        <x:v>2026-09-08</x:v>
      </x:c>
      <x:c r="L143" s="4" t="str">
        <x:v>SIN_FECHA_DE_ADOPCION</x:v>
      </x:c>
      <x:c r="M143" s="12" t="n">
        <x:f>IF(LEN(J143)=64,0,1)</x:f>
        <x:v>0</x:v>
      </x:c>
      <x:c r="N143" s="12" t="n">
        <x:f>IF(COUNTIF('03_NICE'!$A$5:$A$57,A143)+COUNTIF('04_TKS'!$A$5:$A$72,A143)+COUNTIF('05_Complementos'!$A$5:$A$127,A143)=1,0,1)</x:f>
        <x:v>0</x:v>
      </x:c>
      <x:c r="O143" s="12" t="n">
        <x:f>COUNTIF('08_Trazas'!$A$5:$A$248,A143)-1</x:f>
        <x:v>0</x:v>
      </x:c>
      <x:c r="P143" s="12" t="n">
        <x:f>IF(COUNTIF('02_Custodia'!$A$5:$A$53,C143)=1,0,1)</x:f>
        <x:v>0</x:v>
      </x:c>
    </x:row>
    <x:row r="144" ht="47" customHeight="1">
      <x:c r="A144" s="4" t="str">
        <x:v>CP-019</x:v>
      </x:c>
      <x:c r="B144" s="4" t="str">
        <x:v>F004</x:v>
      </x:c>
      <x:c r="C144" s="4" t="str">
        <x:v>F004</x:v>
      </x:c>
      <x:c r="D144" s="4" t="str">
        <x:v>Área de conocimiento: Distributed Systems Security</x:v>
      </x:c>
      <x:c r="E144" s="4" t="str">
        <x:v>1.1.0; julio 2021</x:v>
      </x:c>
      <x:c r="F144" s="4" t="str">
        <x:v>página física 5</x:v>
      </x:c>
      <x:c r="G144" s="4" t="str">
        <x:v>ROTULO_EN_TEXTO_EXTRAIDO_UTF8</x:v>
      </x:c>
      <x:c r="H144" s="4" t="str">
        <x:v>5958</x:v>
      </x:c>
      <x:c r="I144" s="4" t="str">
        <x:v>28</x:v>
      </x:c>
      <x:c r="J144" s="4" t="str">
        <x:v>d1575941f69ef97c8e03023e1955edc5429acbdce01f87c931e916fcad114e4b</x:v>
      </x:c>
      <x:c r="K144" s="4" t="str">
        <x:v>2026-09-08</x:v>
      </x:c>
      <x:c r="L144" s="4" t="str">
        <x:v>SIN_FECHA_DE_ADOPCION</x:v>
      </x:c>
      <x:c r="M144" s="12" t="n">
        <x:f>IF(LEN(J144)=64,0,1)</x:f>
        <x:v>0</x:v>
      </x:c>
      <x:c r="N144" s="12" t="n">
        <x:f>IF(COUNTIF('03_NICE'!$A$5:$A$57,A144)+COUNTIF('04_TKS'!$A$5:$A$72,A144)+COUNTIF('05_Complementos'!$A$5:$A$127,A144)=1,0,1)</x:f>
        <x:v>0</x:v>
      </x:c>
      <x:c r="O144" s="12" t="n">
        <x:f>COUNTIF('08_Trazas'!$A$5:$A$248,A144)-1</x:f>
        <x:v>0</x:v>
      </x:c>
      <x:c r="P144" s="12" t="n">
        <x:f>IF(COUNTIF('02_Custodia'!$A$5:$A$53,C144)=1,0,1)</x:f>
        <x:v>0</x:v>
      </x:c>
    </x:row>
    <x:row r="145" ht="47" customHeight="1">
      <x:c r="A145" s="4" t="str">
        <x:v>CP-020</x:v>
      </x:c>
      <x:c r="B145" s="4" t="str">
        <x:v>F004</x:v>
      </x:c>
      <x:c r="C145" s="4" t="str">
        <x:v>F004</x:v>
      </x:c>
      <x:c r="D145" s="4" t="str">
        <x:v>Área de conocimiento: Formal Methods for Security</x:v>
      </x:c>
      <x:c r="E145" s="4" t="str">
        <x:v>1.1.0; julio 2021</x:v>
      </x:c>
      <x:c r="F145" s="4" t="str">
        <x:v>página física 5</x:v>
      </x:c>
      <x:c r="G145" s="4" t="str">
        <x:v>ROTULO_EN_TEXTO_EXTRAIDO_UTF8</x:v>
      </x:c>
      <x:c r="H145" s="4" t="str">
        <x:v>6235</x:v>
      </x:c>
      <x:c r="I145" s="4" t="str">
        <x:v>27</x:v>
      </x:c>
      <x:c r="J145" s="4" t="str">
        <x:v>e062ed7bbb99bc6444739fd3bc6ab7138a5b6cff17d6ee2bbbdbe66ed4a24b91</x:v>
      </x:c>
      <x:c r="K145" s="4" t="str">
        <x:v>2026-09-08</x:v>
      </x:c>
      <x:c r="L145" s="4" t="str">
        <x:v>SIN_FECHA_DE_ADOPCION</x:v>
      </x:c>
      <x:c r="M145" s="12" t="n">
        <x:f>IF(LEN(J145)=64,0,1)</x:f>
        <x:v>0</x:v>
      </x:c>
      <x:c r="N145" s="12" t="n">
        <x:f>IF(COUNTIF('03_NICE'!$A$5:$A$57,A145)+COUNTIF('04_TKS'!$A$5:$A$72,A145)+COUNTIF('05_Complementos'!$A$5:$A$127,A145)=1,0,1)</x:f>
        <x:v>0</x:v>
      </x:c>
      <x:c r="O145" s="12" t="n">
        <x:f>COUNTIF('08_Trazas'!$A$5:$A$248,A145)-1</x:f>
        <x:v>0</x:v>
      </x:c>
      <x:c r="P145" s="12" t="n">
        <x:f>IF(COUNTIF('02_Custodia'!$A$5:$A$53,C145)=1,0,1)</x:f>
        <x:v>0</x:v>
      </x:c>
    </x:row>
    <x:row r="146" ht="47" customHeight="1">
      <x:c r="A146" s="4" t="str">
        <x:v>CP-021</x:v>
      </x:c>
      <x:c r="B146" s="4" t="str">
        <x:v>F004</x:v>
      </x:c>
      <x:c r="C146" s="4" t="str">
        <x:v>F004</x:v>
      </x:c>
      <x:c r="D146" s="4" t="str">
        <x:v>Área de conocimiento: Authentication, Authorisation &amp; Accountability</x:v>
      </x:c>
      <x:c r="E146" s="4" t="str">
        <x:v>1.1.0; julio 2021</x:v>
      </x:c>
      <x:c r="F146" s="4" t="str">
        <x:v>página física 5</x:v>
      </x:c>
      <x:c r="G146" s="4" t="str">
        <x:v>ROTULO_EN_TEXTO_EXTRAIDO_UTF8</x:v>
      </x:c>
      <x:c r="H146" s="4" t="str">
        <x:v>6367</x:v>
      </x:c>
      <x:c r="I146" s="4" t="str">
        <x:v>46</x:v>
      </x:c>
      <x:c r="J146" s="4" t="str">
        <x:v>5b6c76b6ed848b0d8ae22ed4d08f73b2414abf32382cc5de2a60b83ffb226aef</x:v>
      </x:c>
      <x:c r="K146" s="4" t="str">
        <x:v>2026-09-08</x:v>
      </x:c>
      <x:c r="L146" s="4" t="str">
        <x:v>SIN_FECHA_DE_ADOPCION</x:v>
      </x:c>
      <x:c r="M146" s="12" t="n">
        <x:f>IF(LEN(J146)=64,0,1)</x:f>
        <x:v>0</x:v>
      </x:c>
      <x:c r="N146" s="12" t="n">
        <x:f>IF(COUNTIF('03_NICE'!$A$5:$A$57,A146)+COUNTIF('04_TKS'!$A$5:$A$72,A146)+COUNTIF('05_Complementos'!$A$5:$A$127,A146)=1,0,1)</x:f>
        <x:v>0</x:v>
      </x:c>
      <x:c r="O146" s="12" t="n">
        <x:f>COUNTIF('08_Trazas'!$A$5:$A$248,A146)-1</x:f>
        <x:v>0</x:v>
      </x:c>
      <x:c r="P146" s="12" t="n">
        <x:f>IF(COUNTIF('02_Custodia'!$A$5:$A$53,C146)=1,0,1)</x:f>
        <x:v>0</x:v>
      </x:c>
    </x:row>
    <x:row r="147" ht="47" customHeight="1">
      <x:c r="A147" s="4" t="str">
        <x:v>CP-022</x:v>
      </x:c>
      <x:c r="B147" s="4" t="str">
        <x:v>F004</x:v>
      </x:c>
      <x:c r="C147" s="4" t="str">
        <x:v>F004</x:v>
      </x:c>
      <x:c r="D147" s="4" t="str">
        <x:v>Área de conocimiento: Software Security</x:v>
      </x:c>
      <x:c r="E147" s="4" t="str">
        <x:v>1.1.0; julio 2021</x:v>
      </x:c>
      <x:c r="F147" s="4" t="str">
        <x:v>página física 5</x:v>
      </x:c>
      <x:c r="G147" s="4" t="str">
        <x:v>ROTULO_EN_TEXTO_EXTRAIDO_UTF8</x:v>
      </x:c>
      <x:c r="H147" s="4" t="str">
        <x:v>6863</x:v>
      </x:c>
      <x:c r="I147" s="4" t="str">
        <x:v>17</x:v>
      </x:c>
      <x:c r="J147" s="4" t="str">
        <x:v>cbc6c126bb7652d587243ebd8589417e4b6025547444fa75ef9e18dfba5704ff</x:v>
      </x:c>
      <x:c r="K147" s="4" t="str">
        <x:v>2026-09-08</x:v>
      </x:c>
      <x:c r="L147" s="4" t="str">
        <x:v>SIN_FECHA_DE_ADOPCION</x:v>
      </x:c>
      <x:c r="M147" s="12" t="n">
        <x:f>IF(LEN(J147)=64,0,1)</x:f>
        <x:v>0</x:v>
      </x:c>
      <x:c r="N147" s="12" t="n">
        <x:f>IF(COUNTIF('03_NICE'!$A$5:$A$57,A147)+COUNTIF('04_TKS'!$A$5:$A$72,A147)+COUNTIF('05_Complementos'!$A$5:$A$127,A147)=1,0,1)</x:f>
        <x:v>0</x:v>
      </x:c>
      <x:c r="O147" s="12" t="n">
        <x:f>COUNTIF('08_Trazas'!$A$5:$A$248,A147)-1</x:f>
        <x:v>0</x:v>
      </x:c>
      <x:c r="P147" s="12" t="n">
        <x:f>IF(COUNTIF('02_Custodia'!$A$5:$A$53,C147)=1,0,1)</x:f>
        <x:v>0</x:v>
      </x:c>
    </x:row>
    <x:row r="148" ht="47" customHeight="1">
      <x:c r="A148" s="4" t="str">
        <x:v>CP-023</x:v>
      </x:c>
      <x:c r="B148" s="4" t="str">
        <x:v>F004</x:v>
      </x:c>
      <x:c r="C148" s="4" t="str">
        <x:v>F004</x:v>
      </x:c>
      <x:c r="D148" s="4" t="str">
        <x:v>Área de conocimiento: Web &amp; Mobile Security</x:v>
      </x:c>
      <x:c r="E148" s="4" t="str">
        <x:v>1.1.0; julio 2021</x:v>
      </x:c>
      <x:c r="F148" s="4" t="str">
        <x:v>página física 6</x:v>
      </x:c>
      <x:c r="G148" s="4" t="str">
        <x:v>ROTULO_EN_TEXTO_EXTRAIDO_UTF8</x:v>
      </x:c>
      <x:c r="H148" s="4" t="str">
        <x:v>7258</x:v>
      </x:c>
      <x:c r="I148" s="4" t="str">
        <x:v>21</x:v>
      </x:c>
      <x:c r="J148" s="4" t="str">
        <x:v>aa11007e4cb287b1e4ca2f6d3d4cd1333fd3c34ff8e0e22d9dc1a133e33e3e5a</x:v>
      </x:c>
      <x:c r="K148" s="4" t="str">
        <x:v>2026-09-08</x:v>
      </x:c>
      <x:c r="L148" s="4" t="str">
        <x:v>SIN_FECHA_DE_ADOPCION</x:v>
      </x:c>
      <x:c r="M148" s="12" t="n">
        <x:f>IF(LEN(J148)=64,0,1)</x:f>
        <x:v>0</x:v>
      </x:c>
      <x:c r="N148" s="12" t="n">
        <x:f>IF(COUNTIF('03_NICE'!$A$5:$A$57,A148)+COUNTIF('04_TKS'!$A$5:$A$72,A148)+COUNTIF('05_Complementos'!$A$5:$A$127,A148)=1,0,1)</x:f>
        <x:v>0</x:v>
      </x:c>
      <x:c r="O148" s="12" t="n">
        <x:f>COUNTIF('08_Trazas'!$A$5:$A$248,A148)-1</x:f>
        <x:v>0</x:v>
      </x:c>
      <x:c r="P148" s="12" t="n">
        <x:f>IF(COUNTIF('02_Custodia'!$A$5:$A$53,C148)=1,0,1)</x:f>
        <x:v>0</x:v>
      </x:c>
    </x:row>
    <x:row r="149" ht="47" customHeight="1">
      <x:c r="A149" s="4" t="str">
        <x:v>CP-024</x:v>
      </x:c>
      <x:c r="B149" s="4" t="str">
        <x:v>F004</x:v>
      </x:c>
      <x:c r="C149" s="4" t="str">
        <x:v>F004</x:v>
      </x:c>
      <x:c r="D149" s="4" t="str">
        <x:v>Área de conocimiento: Secure Software Lifecycle</x:v>
      </x:c>
      <x:c r="E149" s="4" t="str">
        <x:v>1.1.0; julio 2021</x:v>
      </x:c>
      <x:c r="F149" s="4" t="str">
        <x:v>página física 6</x:v>
      </x:c>
      <x:c r="G149" s="4" t="str">
        <x:v>ROTULO_EN_TEXTO_EXTRAIDO_UTF8</x:v>
      </x:c>
      <x:c r="H149" s="4" t="str">
        <x:v>7543</x:v>
      </x:c>
      <x:c r="I149" s="4" t="str">
        <x:v>25</x:v>
      </x:c>
      <x:c r="J149" s="4" t="str">
        <x:v>0acf39c724faab941867895afef0f1439f2c48e03193d8db4f3a6c220af69cdb</x:v>
      </x:c>
      <x:c r="K149" s="4" t="str">
        <x:v>2026-09-08</x:v>
      </x:c>
      <x:c r="L149" s="4" t="str">
        <x:v>SIN_FECHA_DE_ADOPCION</x:v>
      </x:c>
      <x:c r="M149" s="12" t="n">
        <x:f>IF(LEN(J149)=64,0,1)</x:f>
        <x:v>0</x:v>
      </x:c>
      <x:c r="N149" s="12" t="n">
        <x:f>IF(COUNTIF('03_NICE'!$A$5:$A$57,A149)+COUNTIF('04_TKS'!$A$5:$A$72,A149)+COUNTIF('05_Complementos'!$A$5:$A$127,A149)=1,0,1)</x:f>
        <x:v>0</x:v>
      </x:c>
      <x:c r="O149" s="12" t="n">
        <x:f>COUNTIF('08_Trazas'!$A$5:$A$248,A149)-1</x:f>
        <x:v>0</x:v>
      </x:c>
      <x:c r="P149" s="12" t="n">
        <x:f>IF(COUNTIF('02_Custodia'!$A$5:$A$53,C149)=1,0,1)</x:f>
        <x:v>0</x:v>
      </x:c>
    </x:row>
    <x:row r="150" ht="47" customHeight="1">
      <x:c r="A150" s="4" t="str">
        <x:v>CP-025</x:v>
      </x:c>
      <x:c r="B150" s="4" t="str">
        <x:v>F004</x:v>
      </x:c>
      <x:c r="C150" s="4" t="str">
        <x:v>F004</x:v>
      </x:c>
      <x:c r="D150" s="4" t="str">
        <x:v>Área de conocimiento: Applied Cryptography</x:v>
      </x:c>
      <x:c r="E150" s="4" t="str">
        <x:v>1.1.0; julio 2021</x:v>
      </x:c>
      <x:c r="F150" s="4" t="str">
        <x:v>página física 6</x:v>
      </x:c>
      <x:c r="G150" s="4" t="str">
        <x:v>ROTULO_EN_TEXTO_EXTRAIDO_UTF8</x:v>
      </x:c>
      <x:c r="H150" s="4" t="str">
        <x:v>8090</x:v>
      </x:c>
      <x:c r="I150" s="4" t="str">
        <x:v>20</x:v>
      </x:c>
      <x:c r="J150" s="4" t="str">
        <x:v>5c353f08c517ba45434097acaf34f37fb80a8f8cf5c022d6f85070caa63e5551</x:v>
      </x:c>
      <x:c r="K150" s="4" t="str">
        <x:v>2026-09-08</x:v>
      </x:c>
      <x:c r="L150" s="4" t="str">
        <x:v>SIN_FECHA_DE_ADOPCION</x:v>
      </x:c>
      <x:c r="M150" s="12" t="n">
        <x:f>IF(LEN(J150)=64,0,1)</x:f>
        <x:v>0</x:v>
      </x:c>
      <x:c r="N150" s="12" t="n">
        <x:f>IF(COUNTIF('03_NICE'!$A$5:$A$57,A150)+COUNTIF('04_TKS'!$A$5:$A$72,A150)+COUNTIF('05_Complementos'!$A$5:$A$127,A150)=1,0,1)</x:f>
        <x:v>0</x:v>
      </x:c>
      <x:c r="O150" s="12" t="n">
        <x:f>COUNTIF('08_Trazas'!$A$5:$A$248,A150)-1</x:f>
        <x:v>0</x:v>
      </x:c>
      <x:c r="P150" s="12" t="n">
        <x:f>IF(COUNTIF('02_Custodia'!$A$5:$A$53,C150)=1,0,1)</x:f>
        <x:v>0</x:v>
      </x:c>
    </x:row>
    <x:row r="151" ht="47" customHeight="1">
      <x:c r="A151" s="4" t="str">
        <x:v>CP-026</x:v>
      </x:c>
      <x:c r="B151" s="4" t="str">
        <x:v>F004</x:v>
      </x:c>
      <x:c r="C151" s="4" t="str">
        <x:v>F004</x:v>
      </x:c>
      <x:c r="D151" s="4" t="str">
        <x:v>Área de conocimiento: Network Security</x:v>
      </x:c>
      <x:c r="E151" s="4" t="str">
        <x:v>1.1.0; julio 2021</x:v>
      </x:c>
      <x:c r="F151" s="4" t="str">
        <x:v>página física 6</x:v>
      </x:c>
      <x:c r="G151" s="4" t="str">
        <x:v>ROTULO_EN_TEXTO_EXTRAIDO_UTF8</x:v>
      </x:c>
      <x:c r="H151" s="4" t="str">
        <x:v>8215</x:v>
      </x:c>
      <x:c r="I151" s="4" t="str">
        <x:v>16</x:v>
      </x:c>
      <x:c r="J151" s="4" t="str">
        <x:v>f95b4782c97bd99b554584e864216f33b5bd97f1d85e61fa9bc1b3f00d5c8028</x:v>
      </x:c>
      <x:c r="K151" s="4" t="str">
        <x:v>2026-09-08</x:v>
      </x:c>
      <x:c r="L151" s="4" t="str">
        <x:v>SIN_FECHA_DE_ADOPCION</x:v>
      </x:c>
      <x:c r="M151" s="12" t="n">
        <x:f>IF(LEN(J151)=64,0,1)</x:f>
        <x:v>0</x:v>
      </x:c>
      <x:c r="N151" s="12" t="n">
        <x:f>IF(COUNTIF('03_NICE'!$A$5:$A$57,A151)+COUNTIF('04_TKS'!$A$5:$A$72,A151)+COUNTIF('05_Complementos'!$A$5:$A$127,A151)=1,0,1)</x:f>
        <x:v>0</x:v>
      </x:c>
      <x:c r="O151" s="12" t="n">
        <x:f>COUNTIF('08_Trazas'!$A$5:$A$248,A151)-1</x:f>
        <x:v>0</x:v>
      </x:c>
      <x:c r="P151" s="12" t="n">
        <x:f>IF(COUNTIF('02_Custodia'!$A$5:$A$53,C151)=1,0,1)</x:f>
        <x:v>0</x:v>
      </x:c>
    </x:row>
    <x:row r="152" ht="47" customHeight="1">
      <x:c r="A152" s="4" t="str">
        <x:v>CP-027</x:v>
      </x:c>
      <x:c r="B152" s="4" t="str">
        <x:v>F004</x:v>
      </x:c>
      <x:c r="C152" s="4" t="str">
        <x:v>F004</x:v>
      </x:c>
      <x:c r="D152" s="4" t="str">
        <x:v>Área de conocimiento: Hardware Security</x:v>
      </x:c>
      <x:c r="E152" s="4" t="str">
        <x:v>1.1.0; julio 2021</x:v>
      </x:c>
      <x:c r="F152" s="4" t="str">
        <x:v>página física 6</x:v>
      </x:c>
      <x:c r="G152" s="4" t="str">
        <x:v>ROTULO_EN_TEXTO_EXTRAIDO_UTF8</x:v>
      </x:c>
      <x:c r="H152" s="4" t="str">
        <x:v>8553</x:v>
      </x:c>
      <x:c r="I152" s="4" t="str">
        <x:v>17</x:v>
      </x:c>
      <x:c r="J152" s="4" t="str">
        <x:v>14e29d3099e592f260361305461d25b265b96d18c002e0c9dcb75971bda2ccbd</x:v>
      </x:c>
      <x:c r="K152" s="4" t="str">
        <x:v>2026-09-08</x:v>
      </x:c>
      <x:c r="L152" s="4" t="str">
        <x:v>SIN_FECHA_DE_ADOPCION</x:v>
      </x:c>
      <x:c r="M152" s="12" t="n">
        <x:f>IF(LEN(J152)=64,0,1)</x:f>
        <x:v>0</x:v>
      </x:c>
      <x:c r="N152" s="12" t="n">
        <x:f>IF(COUNTIF('03_NICE'!$A$5:$A$57,A152)+COUNTIF('04_TKS'!$A$5:$A$72,A152)+COUNTIF('05_Complementos'!$A$5:$A$127,A152)=1,0,1)</x:f>
        <x:v>0</x:v>
      </x:c>
      <x:c r="O152" s="12" t="n">
        <x:f>COUNTIF('08_Trazas'!$A$5:$A$248,A152)-1</x:f>
        <x:v>0</x:v>
      </x:c>
      <x:c r="P152" s="12" t="n">
        <x:f>IF(COUNTIF('02_Custodia'!$A$5:$A$53,C152)=1,0,1)</x:f>
        <x:v>0</x:v>
      </x:c>
    </x:row>
    <x:row r="153" ht="47" customHeight="1">
      <x:c r="A153" s="4" t="str">
        <x:v>CP-028</x:v>
      </x:c>
      <x:c r="B153" s="4" t="str">
        <x:v>F004</x:v>
      </x:c>
      <x:c r="C153" s="4" t="str">
        <x:v>F004</x:v>
      </x:c>
      <x:c r="D153" s="4" t="str">
        <x:v>Área de conocimiento: Cyber-Physical Systems Security</x:v>
      </x:c>
      <x:c r="E153" s="4" t="str">
        <x:v>1.1.0; julio 2021</x:v>
      </x:c>
      <x:c r="F153" s="4" t="str">
        <x:v>página física 7</x:v>
      </x:c>
      <x:c r="G153" s="4" t="str">
        <x:v>ROTULO_EN_TEXTO_EXTRAIDO_UTF8</x:v>
      </x:c>
      <x:c r="H153" s="4" t="str">
        <x:v>8954</x:v>
      </x:c>
      <x:c r="I153" s="4" t="str">
        <x:v>31</x:v>
      </x:c>
      <x:c r="J153" s="4" t="str">
        <x:v>3bfec35239047a3e0df2053962d1a981415c0e025d0702cfa02db0a86eeda57f</x:v>
      </x:c>
      <x:c r="K153" s="4" t="str">
        <x:v>2026-09-08</x:v>
      </x:c>
      <x:c r="L153" s="4" t="str">
        <x:v>SIN_FECHA_DE_ADOPCION</x:v>
      </x:c>
      <x:c r="M153" s="12" t="n">
        <x:f>IF(LEN(J153)=64,0,1)</x:f>
        <x:v>0</x:v>
      </x:c>
      <x:c r="N153" s="12" t="n">
        <x:f>IF(COUNTIF('03_NICE'!$A$5:$A$57,A153)+COUNTIF('04_TKS'!$A$5:$A$72,A153)+COUNTIF('05_Complementos'!$A$5:$A$127,A153)=1,0,1)</x:f>
        <x:v>0</x:v>
      </x:c>
      <x:c r="O153" s="12" t="n">
        <x:f>COUNTIF('08_Trazas'!$A$5:$A$248,A153)-1</x:f>
        <x:v>0</x:v>
      </x:c>
      <x:c r="P153" s="12" t="n">
        <x:f>IF(COUNTIF('02_Custodia'!$A$5:$A$53,C153)=1,0,1)</x:f>
        <x:v>0</x:v>
      </x:c>
    </x:row>
    <x:row r="154" ht="47" customHeight="1">
      <x:c r="A154" s="4" t="str">
        <x:v>CP-029</x:v>
      </x:c>
      <x:c r="B154" s="4" t="str">
        <x:v>F004</x:v>
      </x:c>
      <x:c r="C154" s="4" t="str">
        <x:v>F004</x:v>
      </x:c>
      <x:c r="D154" s="4" t="str">
        <x:v>Área de conocimiento: Physical Layer &amp; Telecommunications Security</x:v>
      </x:c>
      <x:c r="E154" s="4" t="str">
        <x:v>1.1.0; julio 2021</x:v>
      </x:c>
      <x:c r="F154" s="4" t="str">
        <x:v>página física 15</x:v>
      </x:c>
      <x:c r="G154" s="4" t="str">
        <x:v>ROTULO_EN_TEXTO_EXTRAIDO_UTF8</x:v>
      </x:c>
      <x:c r="H154" s="4" t="str">
        <x:v>28626</x:v>
      </x:c>
      <x:c r="I154" s="4" t="str">
        <x:v>44</x:v>
      </x:c>
      <x:c r="J154" s="4" t="str">
        <x:v>872fd72e24419d9d283592f5513b18819e51ed5182e58145f1fe0a39e768ac02</x:v>
      </x:c>
      <x:c r="K154" s="4" t="str">
        <x:v>2026-09-08</x:v>
      </x:c>
      <x:c r="L154" s="4" t="str">
        <x:v>SIN_FECHA_DE_ADOPCION</x:v>
      </x:c>
      <x:c r="M154" s="12" t="n">
        <x:f>IF(LEN(J154)=64,0,1)</x:f>
        <x:v>0</x:v>
      </x:c>
      <x:c r="N154" s="12" t="n">
        <x:f>IF(COUNTIF('03_NICE'!$A$5:$A$57,A154)+COUNTIF('04_TKS'!$A$5:$A$72,A154)+COUNTIF('05_Complementos'!$A$5:$A$127,A154)=1,0,1)</x:f>
        <x:v>0</x:v>
      </x:c>
      <x:c r="O154" s="12" t="n">
        <x:f>COUNTIF('08_Trazas'!$A$5:$A$248,A154)-1</x:f>
        <x:v>0</x:v>
      </x:c>
      <x:c r="P154" s="12" t="n">
        <x:f>IF(COUNTIF('02_Custodia'!$A$5:$A$53,C154)=1,0,1)</x:f>
        <x:v>0</x:v>
      </x:c>
    </x:row>
    <x:row r="155" ht="47" customHeight="1">
      <x:c r="A155" s="4" t="str">
        <x:v>CP-030</x:v>
      </x:c>
      <x:c r="B155" s="4" t="str">
        <x:v>F005</x:v>
      </x:c>
      <x:c r="C155" s="4" t="str">
        <x:v>A008</x:v>
      </x:c>
      <x:c r="D155" s="4" t="str">
        <x:v>§2.1; Profile, Mission y Deliverables</x:v>
      </x:c>
      <x:c r="E155" s="4" t="str">
        <x:v>Septiembre 2022</x:v>
      </x:c>
      <x:c r="F155" s="4" t="str">
        <x:v>página física 4</x:v>
      </x:c>
      <x:c r="G155" s="4" t="str">
        <x:v>ROTULO_EN_TEXTO_EXTRAIDO_UTF8</x:v>
      </x:c>
      <x:c r="H155" s="4" t="str">
        <x:v>3583</x:v>
      </x:c>
      <x:c r="I155" s="4" t="str">
        <x:v>34</x:v>
      </x:c>
      <x:c r="J155" s="4" t="str">
        <x:v>c04b23a47b08b3ef95f1e719448997bc997df6c7e12c8d0ad92224e776c9d52f</x:v>
      </x:c>
      <x:c r="K155" s="4" t="str">
        <x:v>2026-09-08</x:v>
      </x:c>
      <x:c r="L155" s="4" t="str">
        <x:v>SIN_FECHA_DE_ADOPCION</x:v>
      </x:c>
      <x:c r="M155" s="12" t="n">
        <x:f>IF(LEN(J155)=64,0,1)</x:f>
        <x:v>0</x:v>
      </x:c>
      <x:c r="N155" s="12" t="n">
        <x:f>IF(COUNTIF('03_NICE'!$A$5:$A$57,A155)+COUNTIF('04_TKS'!$A$5:$A$72,A155)+COUNTIF('05_Complementos'!$A$5:$A$127,A155)=1,0,1)</x:f>
        <x:v>0</x:v>
      </x:c>
      <x:c r="O155" s="12" t="n">
        <x:f>COUNTIF('08_Trazas'!$A$5:$A$248,A155)-1</x:f>
        <x:v>0</x:v>
      </x:c>
      <x:c r="P155" s="12" t="n">
        <x:f>IF(COUNTIF('02_Custodia'!$A$5:$A$53,C155)=1,0,1)</x:f>
        <x:v>0</x:v>
      </x:c>
    </x:row>
    <x:row r="156" ht="47" customHeight="1">
      <x:c r="A156" s="4" t="str">
        <x:v>CP-031</x:v>
      </x:c>
      <x:c r="B156" s="4" t="str">
        <x:v>F005</x:v>
      </x:c>
      <x:c r="C156" s="4" t="str">
        <x:v>A008</x:v>
      </x:c>
      <x:c r="D156" s="4" t="str">
        <x:v>§2.2; Profile, Mission y Deliverables</x:v>
      </x:c>
      <x:c r="E156" s="4" t="str">
        <x:v>Septiembre 2022</x:v>
      </x:c>
      <x:c r="F156" s="4" t="str">
        <x:v>página física 4</x:v>
      </x:c>
      <x:c r="G156" s="4" t="str">
        <x:v>ROTULO_EN_TEXTO_EXTRAIDO_UTF8</x:v>
      </x:c>
      <x:c r="H156" s="4" t="str">
        <x:v>3632</x:v>
      </x:c>
      <x:c r="I156" s="4" t="str">
        <x:v>24</x:v>
      </x:c>
      <x:c r="J156" s="4" t="str">
        <x:v>f65826372a79bac0dc5a8428b1d32be727c8a4ca46c0f9ccf943bdf88be65f04</x:v>
      </x:c>
      <x:c r="K156" s="4" t="str">
        <x:v>2026-09-08</x:v>
      </x:c>
      <x:c r="L156" s="4" t="str">
        <x:v>SIN_FECHA_DE_ADOPCION</x:v>
      </x:c>
      <x:c r="M156" s="12" t="n">
        <x:f>IF(LEN(J156)=64,0,1)</x:f>
        <x:v>0</x:v>
      </x:c>
      <x:c r="N156" s="12" t="n">
        <x:f>IF(COUNTIF('03_NICE'!$A$5:$A$57,A156)+COUNTIF('04_TKS'!$A$5:$A$72,A156)+COUNTIF('05_Complementos'!$A$5:$A$127,A156)=1,0,1)</x:f>
        <x:v>0</x:v>
      </x:c>
      <x:c r="O156" s="12" t="n">
        <x:f>COUNTIF('08_Trazas'!$A$5:$A$248,A156)-1</x:f>
        <x:v>0</x:v>
      </x:c>
      <x:c r="P156" s="12" t="n">
        <x:f>IF(COUNTIF('02_Custodia'!$A$5:$A$53,C156)=1,0,1)</x:f>
        <x:v>0</x:v>
      </x:c>
    </x:row>
    <x:row r="157" ht="47" customHeight="1">
      <x:c r="A157" s="4" t="str">
        <x:v>CP-032</x:v>
      </x:c>
      <x:c r="B157" s="4" t="str">
        <x:v>F005</x:v>
      </x:c>
      <x:c r="C157" s="4" t="str">
        <x:v>A008</x:v>
      </x:c>
      <x:c r="D157" s="4" t="str">
        <x:v>§2.3; Profile, Mission y Deliverables</x:v>
      </x:c>
      <x:c r="E157" s="4" t="str">
        <x:v>Septiembre 2022</x:v>
      </x:c>
      <x:c r="F157" s="4" t="str">
        <x:v>página física 4</x:v>
      </x:c>
      <x:c r="G157" s="4" t="str">
        <x:v>ROTULO_EN_TEXTO_EXTRAIDO_UTF8</x:v>
      </x:c>
      <x:c r="H157" s="4" t="str">
        <x:v>3664</x:v>
      </x:c>
      <x:c r="I157" s="4" t="str">
        <x:v>40</x:v>
      </x:c>
      <x:c r="J157" s="4" t="str">
        <x:v>c9d14fa5c2212ac5385e1bff9f1a2837c428fb5000c551e2976f22733a2812e4</x:v>
      </x:c>
      <x:c r="K157" s="4" t="str">
        <x:v>2026-09-08</x:v>
      </x:c>
      <x:c r="L157" s="4" t="str">
        <x:v>SIN_FECHA_DE_ADOPCION</x:v>
      </x:c>
      <x:c r="M157" s="12" t="n">
        <x:f>IF(LEN(J157)=64,0,1)</x:f>
        <x:v>0</x:v>
      </x:c>
      <x:c r="N157" s="12" t="n">
        <x:f>IF(COUNTIF('03_NICE'!$A$5:$A$57,A157)+COUNTIF('04_TKS'!$A$5:$A$72,A157)+COUNTIF('05_Complementos'!$A$5:$A$127,A157)=1,0,1)</x:f>
        <x:v>0</x:v>
      </x:c>
      <x:c r="O157" s="12" t="n">
        <x:f>COUNTIF('08_Trazas'!$A$5:$A$248,A157)-1</x:f>
        <x:v>0</x:v>
      </x:c>
      <x:c r="P157" s="12" t="n">
        <x:f>IF(COUNTIF('02_Custodia'!$A$5:$A$53,C157)=1,0,1)</x:f>
        <x:v>0</x:v>
      </x:c>
    </x:row>
    <x:row r="158" ht="47" customHeight="1">
      <x:c r="A158" s="4" t="str">
        <x:v>CP-033</x:v>
      </x:c>
      <x:c r="B158" s="4" t="str">
        <x:v>F005</x:v>
      </x:c>
      <x:c r="C158" s="4" t="str">
        <x:v>A008</x:v>
      </x:c>
      <x:c r="D158" s="4" t="str">
        <x:v>§2.4; Profile, Mission y Deliverables</x:v>
      </x:c>
      <x:c r="E158" s="4" t="str">
        <x:v>Septiembre 2022</x:v>
      </x:c>
      <x:c r="F158" s="4" t="str">
        <x:v>página física 4</x:v>
      </x:c>
      <x:c r="G158" s="4" t="str">
        <x:v>ROTULO_EN_TEXTO_EXTRAIDO_UTF8</x:v>
      </x:c>
      <x:c r="H158" s="4" t="str">
        <x:v>3712</x:v>
      </x:c>
      <x:c r="I158" s="4" t="str">
        <x:v>36</x:v>
      </x:c>
      <x:c r="J158" s="4" t="str">
        <x:v>d080977b54f1e617c573cd8b7ef8194527c117fab7bc7cc52978df1b51ae8aa8</x:v>
      </x:c>
      <x:c r="K158" s="4" t="str">
        <x:v>2026-09-08</x:v>
      </x:c>
      <x:c r="L158" s="4" t="str">
        <x:v>SIN_FECHA_DE_ADOPCION</x:v>
      </x:c>
      <x:c r="M158" s="12" t="n">
        <x:f>IF(LEN(J158)=64,0,1)</x:f>
        <x:v>0</x:v>
      </x:c>
      <x:c r="N158" s="12" t="n">
        <x:f>IF(COUNTIF('03_NICE'!$A$5:$A$57,A158)+COUNTIF('04_TKS'!$A$5:$A$72,A158)+COUNTIF('05_Complementos'!$A$5:$A$127,A158)=1,0,1)</x:f>
        <x:v>0</x:v>
      </x:c>
      <x:c r="O158" s="12" t="n">
        <x:f>COUNTIF('08_Trazas'!$A$5:$A$248,A158)-1</x:f>
        <x:v>0</x:v>
      </x:c>
      <x:c r="P158" s="12" t="n">
        <x:f>IF(COUNTIF('02_Custodia'!$A$5:$A$53,C158)=1,0,1)</x:f>
        <x:v>0</x:v>
      </x:c>
    </x:row>
    <x:row r="159" ht="47" customHeight="1">
      <x:c r="A159" s="4" t="str">
        <x:v>CP-034</x:v>
      </x:c>
      <x:c r="B159" s="4" t="str">
        <x:v>F005</x:v>
      </x:c>
      <x:c r="C159" s="4" t="str">
        <x:v>A008</x:v>
      </x:c>
      <x:c r="D159" s="4" t="str">
        <x:v>§2.5; Profile, Mission y Deliverables</x:v>
      </x:c>
      <x:c r="E159" s="4" t="str">
        <x:v>Septiembre 2022</x:v>
      </x:c>
      <x:c r="F159" s="4" t="str">
        <x:v>página física 4</x:v>
      </x:c>
      <x:c r="G159" s="4" t="str">
        <x:v>ROTULO_EN_TEXTO_EXTRAIDO_UTF8</x:v>
      </x:c>
      <x:c r="H159" s="4" t="str">
        <x:v>3757</x:v>
      </x:c>
      <x:c r="I159" s="4" t="str">
        <x:v>23</x:v>
      </x:c>
      <x:c r="J159" s="4" t="str">
        <x:v>e98235d09c3a4e8fb14d65ba1770baa40825c7f8b126317b832c7e8d00646a6b</x:v>
      </x:c>
      <x:c r="K159" s="4" t="str">
        <x:v>2026-09-08</x:v>
      </x:c>
      <x:c r="L159" s="4" t="str">
        <x:v>SIN_FECHA_DE_ADOPCION</x:v>
      </x:c>
      <x:c r="M159" s="12" t="n">
        <x:f>IF(LEN(J159)=64,0,1)</x:f>
        <x:v>0</x:v>
      </x:c>
      <x:c r="N159" s="12" t="n">
        <x:f>IF(COUNTIF('03_NICE'!$A$5:$A$57,A159)+COUNTIF('04_TKS'!$A$5:$A$72,A159)+COUNTIF('05_Complementos'!$A$5:$A$127,A159)=1,0,1)</x:f>
        <x:v>0</x:v>
      </x:c>
      <x:c r="O159" s="12" t="n">
        <x:f>COUNTIF('08_Trazas'!$A$5:$A$248,A159)-1</x:f>
        <x:v>0</x:v>
      </x:c>
      <x:c r="P159" s="12" t="n">
        <x:f>IF(COUNTIF('02_Custodia'!$A$5:$A$53,C159)=1,0,1)</x:f>
        <x:v>0</x:v>
      </x:c>
    </x:row>
    <x:row r="160" ht="47" customHeight="1">
      <x:c r="A160" s="4" t="str">
        <x:v>CP-035</x:v>
      </x:c>
      <x:c r="B160" s="4" t="str">
        <x:v>F005</x:v>
      </x:c>
      <x:c r="C160" s="4" t="str">
        <x:v>A008</x:v>
      </x:c>
      <x:c r="D160" s="4" t="str">
        <x:v>§2.6; Profile, Mission y Deliverables</x:v>
      </x:c>
      <x:c r="E160" s="4" t="str">
        <x:v>Septiembre 2022</x:v>
      </x:c>
      <x:c r="F160" s="4" t="str">
        <x:v>página física 4</x:v>
      </x:c>
      <x:c r="G160" s="4" t="str">
        <x:v>ROTULO_EN_TEXTO_EXTRAIDO_UTF8</x:v>
      </x:c>
      <x:c r="H160" s="4" t="str">
        <x:v>3789</x:v>
      </x:c>
      <x:c r="I160" s="4" t="str">
        <x:v>21</x:v>
      </x:c>
      <x:c r="J160" s="4" t="str">
        <x:v>c7442db0f62cb5aaa4fd19966762962418a25acb5c4b6cc79e1dcff45f9d809a</x:v>
      </x:c>
      <x:c r="K160" s="4" t="str">
        <x:v>2026-09-08</x:v>
      </x:c>
      <x:c r="L160" s="4" t="str">
        <x:v>SIN_FECHA_DE_ADOPCION</x:v>
      </x:c>
      <x:c r="M160" s="12" t="n">
        <x:f>IF(LEN(J160)=64,0,1)</x:f>
        <x:v>0</x:v>
      </x:c>
      <x:c r="N160" s="12" t="n">
        <x:f>IF(COUNTIF('03_NICE'!$A$5:$A$57,A160)+COUNTIF('04_TKS'!$A$5:$A$72,A160)+COUNTIF('05_Complementos'!$A$5:$A$127,A160)=1,0,1)</x:f>
        <x:v>0</x:v>
      </x:c>
      <x:c r="O160" s="12" t="n">
        <x:f>COUNTIF('08_Trazas'!$A$5:$A$248,A160)-1</x:f>
        <x:v>0</x:v>
      </x:c>
      <x:c r="P160" s="12" t="n">
        <x:f>IF(COUNTIF('02_Custodia'!$A$5:$A$53,C160)=1,0,1)</x:f>
        <x:v>0</x:v>
      </x:c>
    </x:row>
    <x:row r="161" ht="47" customHeight="1">
      <x:c r="A161" s="4" t="str">
        <x:v>CP-036</x:v>
      </x:c>
      <x:c r="B161" s="4" t="str">
        <x:v>F005</x:v>
      </x:c>
      <x:c r="C161" s="4" t="str">
        <x:v>A008</x:v>
      </x:c>
      <x:c r="D161" s="4" t="str">
        <x:v>§2.7; Profile, Mission y Deliverables</x:v>
      </x:c>
      <x:c r="E161" s="4" t="str">
        <x:v>Septiembre 2022</x:v>
      </x:c>
      <x:c r="F161" s="4" t="str">
        <x:v>página física 4</x:v>
      </x:c>
      <x:c r="G161" s="4" t="str">
        <x:v>ROTULO_EN_TEXTO_EXTRAIDO_UTF8</x:v>
      </x:c>
      <x:c r="H161" s="4" t="str">
        <x:v>3819</x:v>
      </x:c>
      <x:c r="I161" s="4" t="str">
        <x:v>22</x:v>
      </x:c>
      <x:c r="J161" s="4" t="str">
        <x:v>ab70b857f52f2251829a67262577d3ce377edf61fdd7868b7d6d4358305a853d</x:v>
      </x:c>
      <x:c r="K161" s="4" t="str">
        <x:v>2026-09-08</x:v>
      </x:c>
      <x:c r="L161" s="4" t="str">
        <x:v>SIN_FECHA_DE_ADOPCION</x:v>
      </x:c>
      <x:c r="M161" s="12" t="n">
        <x:f>IF(LEN(J161)=64,0,1)</x:f>
        <x:v>0</x:v>
      </x:c>
      <x:c r="N161" s="12" t="n">
        <x:f>IF(COUNTIF('03_NICE'!$A$5:$A$57,A161)+COUNTIF('04_TKS'!$A$5:$A$72,A161)+COUNTIF('05_Complementos'!$A$5:$A$127,A161)=1,0,1)</x:f>
        <x:v>0</x:v>
      </x:c>
      <x:c r="O161" s="12" t="n">
        <x:f>COUNTIF('08_Trazas'!$A$5:$A$248,A161)-1</x:f>
        <x:v>0</x:v>
      </x:c>
      <x:c r="P161" s="12" t="n">
        <x:f>IF(COUNTIF('02_Custodia'!$A$5:$A$53,C161)=1,0,1)</x:f>
        <x:v>0</x:v>
      </x:c>
    </x:row>
    <x:row r="162" ht="47" customHeight="1">
      <x:c r="A162" s="4" t="str">
        <x:v>CP-037</x:v>
      </x:c>
      <x:c r="B162" s="4" t="str">
        <x:v>F005</x:v>
      </x:c>
      <x:c r="C162" s="4" t="str">
        <x:v>A008</x:v>
      </x:c>
      <x:c r="D162" s="4" t="str">
        <x:v>§2.8; Profile, Mission y Deliverables</x:v>
      </x:c>
      <x:c r="E162" s="4" t="str">
        <x:v>Septiembre 2022</x:v>
      </x:c>
      <x:c r="F162" s="4" t="str">
        <x:v>página física 4</x:v>
      </x:c>
      <x:c r="G162" s="4" t="str">
        <x:v>ROTULO_EN_TEXTO_EXTRAIDO_UTF8</x:v>
      </x:c>
      <x:c r="H162" s="4" t="str">
        <x:v>3850</x:v>
      </x:c>
      <x:c r="I162" s="4" t="str">
        <x:v>25</x:v>
      </x:c>
      <x:c r="J162" s="4" t="str">
        <x:v>144b10e71c7c6e1d7506cb46caa24090323a7427a6be111208d122a01b219181</x:v>
      </x:c>
      <x:c r="K162" s="4" t="str">
        <x:v>2026-09-08</x:v>
      </x:c>
      <x:c r="L162" s="4" t="str">
        <x:v>SIN_FECHA_DE_ADOPCION</x:v>
      </x:c>
      <x:c r="M162" s="12" t="n">
        <x:f>IF(LEN(J162)=64,0,1)</x:f>
        <x:v>0</x:v>
      </x:c>
      <x:c r="N162" s="12" t="n">
        <x:f>IF(COUNTIF('03_NICE'!$A$5:$A$57,A162)+COUNTIF('04_TKS'!$A$5:$A$72,A162)+COUNTIF('05_Complementos'!$A$5:$A$127,A162)=1,0,1)</x:f>
        <x:v>0</x:v>
      </x:c>
      <x:c r="O162" s="12" t="n">
        <x:f>COUNTIF('08_Trazas'!$A$5:$A$248,A162)-1</x:f>
        <x:v>0</x:v>
      </x:c>
      <x:c r="P162" s="12" t="n">
        <x:f>IF(COUNTIF('02_Custodia'!$A$5:$A$53,C162)=1,0,1)</x:f>
        <x:v>0</x:v>
      </x:c>
    </x:row>
    <x:row r="163" ht="47" customHeight="1">
      <x:c r="A163" s="4" t="str">
        <x:v>CP-038</x:v>
      </x:c>
      <x:c r="B163" s="4" t="str">
        <x:v>F005</x:v>
      </x:c>
      <x:c r="C163" s="4" t="str">
        <x:v>A008</x:v>
      </x:c>
      <x:c r="D163" s="4" t="str">
        <x:v>§2.9; Profile, Mission y Deliverables</x:v>
      </x:c>
      <x:c r="E163" s="4" t="str">
        <x:v>Septiembre 2022</x:v>
      </x:c>
      <x:c r="F163" s="4" t="str">
        <x:v>página física 4</x:v>
      </x:c>
      <x:c r="G163" s="4" t="str">
        <x:v>ROTULO_EN_TEXTO_EXTRAIDO_UTF8</x:v>
      </x:c>
      <x:c r="H163" s="4" t="str">
        <x:v>3884</x:v>
      </x:c>
      <x:c r="I163" s="4" t="str">
        <x:v>24</x:v>
      </x:c>
      <x:c r="J163" s="4" t="str">
        <x:v>7aa3c11874b251a1e941257d1d6787029248a71d069cd94f44755c361f700862</x:v>
      </x:c>
      <x:c r="K163" s="4" t="str">
        <x:v>2026-09-08</x:v>
      </x:c>
      <x:c r="L163" s="4" t="str">
        <x:v>SIN_FECHA_DE_ADOPCION</x:v>
      </x:c>
      <x:c r="M163" s="12" t="n">
        <x:f>IF(LEN(J163)=64,0,1)</x:f>
        <x:v>0</x:v>
      </x:c>
      <x:c r="N163" s="12" t="n">
        <x:f>IF(COUNTIF('03_NICE'!$A$5:$A$57,A163)+COUNTIF('04_TKS'!$A$5:$A$72,A163)+COUNTIF('05_Complementos'!$A$5:$A$127,A163)=1,0,1)</x:f>
        <x:v>0</x:v>
      </x:c>
      <x:c r="O163" s="12" t="n">
        <x:f>COUNTIF('08_Trazas'!$A$5:$A$248,A163)-1</x:f>
        <x:v>0</x:v>
      </x:c>
      <x:c r="P163" s="12" t="n">
        <x:f>IF(COUNTIF('02_Custodia'!$A$5:$A$53,C163)=1,0,1)</x:f>
        <x:v>0</x:v>
      </x:c>
    </x:row>
    <x:row r="164" ht="47" customHeight="1">
      <x:c r="A164" s="4" t="str">
        <x:v>CP-039</x:v>
      </x:c>
      <x:c r="B164" s="4" t="str">
        <x:v>F005</x:v>
      </x:c>
      <x:c r="C164" s="4" t="str">
        <x:v>A008</x:v>
      </x:c>
      <x:c r="D164" s="4" t="str">
        <x:v>§2.10; Profile, Mission y Deliverables</x:v>
      </x:c>
      <x:c r="E164" s="4" t="str">
        <x:v>Septiembre 2022</x:v>
      </x:c>
      <x:c r="F164" s="4" t="str">
        <x:v>página física 4</x:v>
      </x:c>
      <x:c r="G164" s="4" t="str">
        <x:v>ROTULO_EN_TEXTO_EXTRAIDO_UTF8</x:v>
      </x:c>
      <x:c r="H164" s="4" t="str">
        <x:v>3918</x:v>
      </x:c>
      <x:c r="I164" s="4" t="str">
        <x:v>26</x:v>
      </x:c>
      <x:c r="J164" s="4" t="str">
        <x:v>c22376386233e666bccb164da623dab9b23353f39744a632cd7ebc5bb2f54a71</x:v>
      </x:c>
      <x:c r="K164" s="4" t="str">
        <x:v>2026-09-08</x:v>
      </x:c>
      <x:c r="L164" s="4" t="str">
        <x:v>SIN_FECHA_DE_ADOPCION</x:v>
      </x:c>
      <x:c r="M164" s="12" t="n">
        <x:f>IF(LEN(J164)=64,0,1)</x:f>
        <x:v>0</x:v>
      </x:c>
      <x:c r="N164" s="12" t="n">
        <x:f>IF(COUNTIF('03_NICE'!$A$5:$A$57,A164)+COUNTIF('04_TKS'!$A$5:$A$72,A164)+COUNTIF('05_Complementos'!$A$5:$A$127,A164)=1,0,1)</x:f>
        <x:v>0</x:v>
      </x:c>
      <x:c r="O164" s="12" t="n">
        <x:f>COUNTIF('08_Trazas'!$A$5:$A$248,A164)-1</x:f>
        <x:v>0</x:v>
      </x:c>
      <x:c r="P164" s="12" t="n">
        <x:f>IF(COUNTIF('02_Custodia'!$A$5:$A$53,C164)=1,0,1)</x:f>
        <x:v>0</x:v>
      </x:c>
    </x:row>
    <x:row r="165" ht="47" customHeight="1">
      <x:c r="A165" s="4" t="str">
        <x:v>CP-040</x:v>
      </x:c>
      <x:c r="B165" s="4" t="str">
        <x:v>F005</x:v>
      </x:c>
      <x:c r="C165" s="4" t="str">
        <x:v>A008</x:v>
      </x:c>
      <x:c r="D165" s="4" t="str">
        <x:v>§2.11; Profile, Mission y Deliverables</x:v>
      </x:c>
      <x:c r="E165" s="4" t="str">
        <x:v>Septiembre 2022</x:v>
      </x:c>
      <x:c r="F165" s="4" t="str">
        <x:v>página física 4</x:v>
      </x:c>
      <x:c r="G165" s="4" t="str">
        <x:v>ROTULO_EN_TEXTO_EXTRAIDO_UTF8</x:v>
      </x:c>
      <x:c r="H165" s="4" t="str">
        <x:v>3954</x:v>
      </x:c>
      <x:c r="I165" s="4" t="str">
        <x:v>30</x:v>
      </x:c>
      <x:c r="J165" s="4" t="str">
        <x:v>12547d9e0d4a0a4cbb3ae928fcaf432ad55927ff7fc96fa138754307026494aa</x:v>
      </x:c>
      <x:c r="K165" s="4" t="str">
        <x:v>2026-09-08</x:v>
      </x:c>
      <x:c r="L165" s="4" t="str">
        <x:v>SIN_FECHA_DE_ADOPCION</x:v>
      </x:c>
      <x:c r="M165" s="12" t="n">
        <x:f>IF(LEN(J165)=64,0,1)</x:f>
        <x:v>0</x:v>
      </x:c>
      <x:c r="N165" s="12" t="n">
        <x:f>IF(COUNTIF('03_NICE'!$A$5:$A$57,A165)+COUNTIF('04_TKS'!$A$5:$A$72,A165)+COUNTIF('05_Complementos'!$A$5:$A$127,A165)=1,0,1)</x:f>
        <x:v>0</x:v>
      </x:c>
      <x:c r="O165" s="12" t="n">
        <x:f>COUNTIF('08_Trazas'!$A$5:$A$248,A165)-1</x:f>
        <x:v>0</x:v>
      </x:c>
      <x:c r="P165" s="12" t="n">
        <x:f>IF(COUNTIF('02_Custodia'!$A$5:$A$53,C165)=1,0,1)</x:f>
        <x:v>0</x:v>
      </x:c>
    </x:row>
    <x:row r="166" ht="47" customHeight="1">
      <x:c r="A166" s="4" t="str">
        <x:v>CP-041</x:v>
      </x:c>
      <x:c r="B166" s="4" t="str">
        <x:v>F005</x:v>
      </x:c>
      <x:c r="C166" s="4" t="str">
        <x:v>A008</x:v>
      </x:c>
      <x:c r="D166" s="4" t="str">
        <x:v>§2.12; Profile, Mission y Deliverables</x:v>
      </x:c>
      <x:c r="E166" s="4" t="str">
        <x:v>Septiembre 2022</x:v>
      </x:c>
      <x:c r="F166" s="4" t="str">
        <x:v>página física 4</x:v>
      </x:c>
      <x:c r="G166" s="4" t="str">
        <x:v>ROTULO_EN_TEXTO_EXTRAIDO_UTF8</x:v>
      </x:c>
      <x:c r="H166" s="4" t="str">
        <x:v>3994</x:v>
      </x:c>
      <x:c r="I166" s="4" t="str">
        <x:v>18</x:v>
      </x:c>
      <x:c r="J166" s="4" t="str">
        <x:v>a3c40d75929184ca0dc0930d8fa955df6709c3ab8c5f436c744f3035113c1567</x:v>
      </x:c>
      <x:c r="K166" s="4" t="str">
        <x:v>2026-09-08</x:v>
      </x:c>
      <x:c r="L166" s="4" t="str">
        <x:v>SIN_FECHA_DE_ADOPCION</x:v>
      </x:c>
      <x:c r="M166" s="12" t="n">
        <x:f>IF(LEN(J166)=64,0,1)</x:f>
        <x:v>0</x:v>
      </x:c>
      <x:c r="N166" s="12" t="n">
        <x:f>IF(COUNTIF('03_NICE'!$A$5:$A$57,A166)+COUNTIF('04_TKS'!$A$5:$A$72,A166)+COUNTIF('05_Complementos'!$A$5:$A$127,A166)=1,0,1)</x:f>
        <x:v>0</x:v>
      </x:c>
      <x:c r="O166" s="12" t="n">
        <x:f>COUNTIF('08_Trazas'!$A$5:$A$248,A166)-1</x:f>
        <x:v>0</x:v>
      </x:c>
      <x:c r="P166" s="12" t="n">
        <x:f>IF(COUNTIF('02_Custodia'!$A$5:$A$53,C166)=1,0,1)</x:f>
        <x:v>0</x:v>
      </x:c>
    </x:row>
    <x:row r="167" ht="47" customHeight="1">
      <x:c r="A167" s="4" t="str">
        <x:v>CP-042</x:v>
      </x:c>
      <x:c r="B167" s="4" t="str">
        <x:v>F006</x:v>
      </x:c>
      <x:c r="C167" s="4" t="str">
        <x:v>F006</x:v>
      </x:c>
      <x:c r="D167" s="4" t="str">
        <x:v>Specific competencies, 2</x:v>
      </x:c>
      <x:c r="E167" s="4" t="str">
        <x:v>Oferta 2026-2027; página capturada</x:v>
      </x:c>
      <x:c r="F167" s="4" t="str">
        <x:v>texto extraído; posición UTF-8</x:v>
      </x:c>
      <x:c r="G167" s="4" t="str">
        <x:v>ROTULO_EN_TEXTO_EXTRAIDO_UTF8</x:v>
      </x:c>
      <x:c r="H167" s="4" t="str">
        <x:v>7839</x:v>
      </x:c>
      <x:c r="I167" s="4" t="str">
        <x:v>19</x:v>
      </x:c>
      <x:c r="J167" s="4" t="str">
        <x:v>9d95672956b1fed14fd432a4cf8296df76a1302692829a5bf5edda8beff21d74</x:v>
      </x:c>
      <x:c r="K167" s="4" t="str">
        <x:v>2026-09-08</x:v>
      </x:c>
      <x:c r="L167" s="4" t="str">
        <x:v>SIN_FECHA_DE_ADOPCION</x:v>
      </x:c>
      <x:c r="M167" s="12" t="n">
        <x:f>IF(LEN(J167)=64,0,1)</x:f>
        <x:v>0</x:v>
      </x:c>
      <x:c r="N167" s="12" t="n">
        <x:f>IF(COUNTIF('03_NICE'!$A$5:$A$57,A167)+COUNTIF('04_TKS'!$A$5:$A$72,A167)+COUNTIF('05_Complementos'!$A$5:$A$127,A167)=1,0,1)</x:f>
        <x:v>0</x:v>
      </x:c>
      <x:c r="O167" s="12" t="n">
        <x:f>COUNTIF('08_Trazas'!$A$5:$A$248,A167)-1</x:f>
        <x:v>0</x:v>
      </x:c>
      <x:c r="P167" s="12" t="n">
        <x:f>IF(COUNTIF('02_Custodia'!$A$5:$A$53,C167)=1,0,1)</x:f>
        <x:v>0</x:v>
      </x:c>
    </x:row>
    <x:row r="168" ht="47" customHeight="1">
      <x:c r="A168" s="4" t="str">
        <x:v>CP-043</x:v>
      </x:c>
      <x:c r="B168" s="4" t="str">
        <x:v>F006</x:v>
      </x:c>
      <x:c r="C168" s="4" t="str">
        <x:v>F006</x:v>
      </x:c>
      <x:c r="D168" s="4" t="str">
        <x:v>Specific competencies, 4</x:v>
      </x:c>
      <x:c r="E168" s="4" t="str">
        <x:v>Oferta 2026-2027; página capturada</x:v>
      </x:c>
      <x:c r="F168" s="4" t="str">
        <x:v>texto extraído; posición UTF-8</x:v>
      </x:c>
      <x:c r="G168" s="4" t="str">
        <x:v>ROTULO_EN_TEXTO_EXTRAIDO_UTF8</x:v>
      </x:c>
      <x:c r="H168" s="4" t="str">
        <x:v>8225</x:v>
      </x:c>
      <x:c r="I168" s="4" t="str">
        <x:v>17</x:v>
      </x:c>
      <x:c r="J168" s="4" t="str">
        <x:v>c98956f559f317f9d46b51be17ca96c2b69d046803f1e0409e82f1a5da33ce2d</x:v>
      </x:c>
      <x:c r="K168" s="4" t="str">
        <x:v>2026-09-08</x:v>
      </x:c>
      <x:c r="L168" s="4" t="str">
        <x:v>SIN_FECHA_DE_ADOPCION</x:v>
      </x:c>
      <x:c r="M168" s="12" t="n">
        <x:f>IF(LEN(J168)=64,0,1)</x:f>
        <x:v>0</x:v>
      </x:c>
      <x:c r="N168" s="12" t="n">
        <x:f>IF(COUNTIF('03_NICE'!$A$5:$A$57,A168)+COUNTIF('04_TKS'!$A$5:$A$72,A168)+COUNTIF('05_Complementos'!$A$5:$A$127,A168)=1,0,1)</x:f>
        <x:v>0</x:v>
      </x:c>
      <x:c r="O168" s="12" t="n">
        <x:f>COUNTIF('08_Trazas'!$A$5:$A$248,A168)-1</x:f>
        <x:v>0</x:v>
      </x:c>
      <x:c r="P168" s="12" t="n">
        <x:f>IF(COUNTIF('02_Custodia'!$A$5:$A$53,C168)=1,0,1)</x:f>
        <x:v>0</x:v>
      </x:c>
    </x:row>
    <x:row r="169" ht="47" customHeight="1">
      <x:c r="A169" s="4" t="str">
        <x:v>CP-044</x:v>
      </x:c>
      <x:c r="B169" s="4" t="str">
        <x:v>F006</x:v>
      </x:c>
      <x:c r="C169" s="4" t="str">
        <x:v>F006</x:v>
      </x:c>
      <x:c r="D169" s="4" t="str">
        <x:v>Specific competencies, 5</x:v>
      </x:c>
      <x:c r="E169" s="4" t="str">
        <x:v>Oferta 2026-2027; página capturada</x:v>
      </x:c>
      <x:c r="F169" s="4" t="str">
        <x:v>texto extraído; posición UTF-8</x:v>
      </x:c>
      <x:c r="G169" s="4" t="str">
        <x:v>ROTULO_EN_TEXTO_EXTRAIDO_UTF8</x:v>
      </x:c>
      <x:c r="H169" s="4" t="str">
        <x:v>8375</x:v>
      </x:c>
      <x:c r="I169" s="4" t="str">
        <x:v>29</x:v>
      </x:c>
      <x:c r="J169" s="4" t="str">
        <x:v>68c478c99ee6cea3142553da89c85be5766d3ea0416ade4686a14598823bb01a</x:v>
      </x:c>
      <x:c r="K169" s="4" t="str">
        <x:v>2026-09-08</x:v>
      </x:c>
      <x:c r="L169" s="4" t="str">
        <x:v>SIN_FECHA_DE_ADOPCION</x:v>
      </x:c>
      <x:c r="M169" s="12" t="n">
        <x:f>IF(LEN(J169)=64,0,1)</x:f>
        <x:v>0</x:v>
      </x:c>
      <x:c r="N169" s="12" t="n">
        <x:f>IF(COUNTIF('03_NICE'!$A$5:$A$57,A169)+COUNTIF('04_TKS'!$A$5:$A$72,A169)+COUNTIF('05_Complementos'!$A$5:$A$127,A169)=1,0,1)</x:f>
        <x:v>0</x:v>
      </x:c>
      <x:c r="O169" s="12" t="n">
        <x:f>COUNTIF('08_Trazas'!$A$5:$A$248,A169)-1</x:f>
        <x:v>0</x:v>
      </x:c>
      <x:c r="P169" s="12" t="n">
        <x:f>IF(COUNTIF('02_Custodia'!$A$5:$A$53,C169)=1,0,1)</x:f>
        <x:v>0</x:v>
      </x:c>
    </x:row>
    <x:row r="170" ht="47" customHeight="1">
      <x:c r="A170" s="4" t="str">
        <x:v>CP-045</x:v>
      </x:c>
      <x:c r="B170" s="4" t="str">
        <x:v>F006</x:v>
      </x:c>
      <x:c r="C170" s="4" t="str">
        <x:v>F006</x:v>
      </x:c>
      <x:c r="D170" s="4" t="str">
        <x:v>Specific competencies, 6</x:v>
      </x:c>
      <x:c r="E170" s="4" t="str">
        <x:v>Oferta 2026-2027; página capturada</x:v>
      </x:c>
      <x:c r="F170" s="4" t="str">
        <x:v>texto extraído; posición UTF-8</x:v>
      </x:c>
      <x:c r="G170" s="4" t="str">
        <x:v>ROTULO_EN_TEXTO_EXTRAIDO_UTF8</x:v>
      </x:c>
      <x:c r="H170" s="4" t="str">
        <x:v>6344</x:v>
      </x:c>
      <x:c r="I170" s="4" t="str">
        <x:v>23</x:v>
      </x:c>
      <x:c r="J170" s="4" t="str">
        <x:v>9513f02288c9fb9bac2a3adcb2e2611e97052eb155e13cc900d714119d3e7fd8</x:v>
      </x:c>
      <x:c r="K170" s="4" t="str">
        <x:v>2026-09-08</x:v>
      </x:c>
      <x:c r="L170" s="4" t="str">
        <x:v>SIN_FECHA_DE_ADOPCION</x:v>
      </x:c>
      <x:c r="M170" s="12" t="n">
        <x:f>IF(LEN(J170)=64,0,1)</x:f>
        <x:v>0</x:v>
      </x:c>
      <x:c r="N170" s="12" t="n">
        <x:f>IF(COUNTIF('03_NICE'!$A$5:$A$57,A170)+COUNTIF('04_TKS'!$A$5:$A$72,A170)+COUNTIF('05_Complementos'!$A$5:$A$127,A170)=1,0,1)</x:f>
        <x:v>0</x:v>
      </x:c>
      <x:c r="O170" s="12" t="n">
        <x:f>COUNTIF('08_Trazas'!$A$5:$A$248,A170)-1</x:f>
        <x:v>0</x:v>
      </x:c>
      <x:c r="P170" s="12" t="n">
        <x:f>IF(COUNTIF('02_Custodia'!$A$5:$A$53,C170)=1,0,1)</x:f>
        <x:v>0</x:v>
      </x:c>
    </x:row>
    <x:row r="171" ht="47" customHeight="1">
      <x:c r="A171" s="4" t="str">
        <x:v>CP-046</x:v>
      </x:c>
      <x:c r="B171" s="4" t="str">
        <x:v>F007</x:v>
      </x:c>
      <x:c r="C171" s="4" t="str">
        <x:v>A009</x:v>
      </x:c>
      <x:c r="D171" s="4" t="str">
        <x:v>Core classes, 95-743; Student Handbook 2026-2027</x:v>
      </x:c>
      <x:c r="E171" s="4" t="str">
        <x:v>Student Handbook Addendum 2026-2027</x:v>
      </x:c>
      <x:c r="F171" s="4" t="str">
        <x:v>página física 5</x:v>
      </x:c>
      <x:c r="G171" s="4" t="str">
        <x:v>ROTULO_EN_TEXTO_EXTRAIDO_UTF8</x:v>
      </x:c>
      <x:c r="H171" s="4" t="str">
        <x:v>9429</x:v>
      </x:c>
      <x:c r="I171" s="4" t="str">
        <x:v>41</x:v>
      </x:c>
      <x:c r="J171" s="4" t="str">
        <x:v>6240eb2e5a7f18a6885d482f4904cd182733c5956f3fe01f06dfca873b3c29c6</x:v>
      </x:c>
      <x:c r="K171" s="4" t="str">
        <x:v>2026-09-08</x:v>
      </x:c>
      <x:c r="L171" s="4" t="str">
        <x:v>SIN_FECHA_DE_ADOPCION</x:v>
      </x:c>
      <x:c r="M171" s="12" t="n">
        <x:f>IF(LEN(J171)=64,0,1)</x:f>
        <x:v>0</x:v>
      </x:c>
      <x:c r="N171" s="12" t="n">
        <x:f>IF(COUNTIF('03_NICE'!$A$5:$A$57,A171)+COUNTIF('04_TKS'!$A$5:$A$72,A171)+COUNTIF('05_Complementos'!$A$5:$A$127,A171)=1,0,1)</x:f>
        <x:v>0</x:v>
      </x:c>
      <x:c r="O171" s="12" t="n">
        <x:f>COUNTIF('08_Trazas'!$A$5:$A$248,A171)-1</x:f>
        <x:v>0</x:v>
      </x:c>
      <x:c r="P171" s="12" t="n">
        <x:f>IF(COUNTIF('02_Custodia'!$A$5:$A$53,C171)=1,0,1)</x:f>
        <x:v>0</x:v>
      </x:c>
    </x:row>
    <x:row r="172" ht="47" customHeight="1">
      <x:c r="A172" s="4" t="str">
        <x:v>CP-047</x:v>
      </x:c>
      <x:c r="B172" s="4" t="str">
        <x:v>F007</x:v>
      </x:c>
      <x:c r="C172" s="4" t="str">
        <x:v>A009</x:v>
      </x:c>
      <x:c r="D172" s="4" t="str">
        <x:v>Core classes, 95-755; Student Handbook 2026-2027</x:v>
      </x:c>
      <x:c r="E172" s="4" t="str">
        <x:v>Student Handbook Addendum 2026-2027</x:v>
      </x:c>
      <x:c r="F172" s="4" t="str">
        <x:v>página física 5</x:v>
      </x:c>
      <x:c r="G172" s="4" t="str">
        <x:v>ROTULO_EN_TEXTO_EXTRAIDO_UTF8</x:v>
      </x:c>
      <x:c r="H172" s="4" t="str">
        <x:v>9489</x:v>
      </x:c>
      <x:c r="I172" s="4" t="str">
        <x:v>29</x:v>
      </x:c>
      <x:c r="J172" s="4" t="str">
        <x:v>2c2a0193530d51eb12819c1af462e9fbece9d38ac67b7545f1308e49acf9d58c</x:v>
      </x:c>
      <x:c r="K172" s="4" t="str">
        <x:v>2026-09-08</x:v>
      </x:c>
      <x:c r="L172" s="4" t="str">
        <x:v>SIN_FECHA_DE_ADOPCION</x:v>
      </x:c>
      <x:c r="M172" s="12" t="n">
        <x:f>IF(LEN(J172)=64,0,1)</x:f>
        <x:v>0</x:v>
      </x:c>
      <x:c r="N172" s="12" t="n">
        <x:f>IF(COUNTIF('03_NICE'!$A$5:$A$57,A172)+COUNTIF('04_TKS'!$A$5:$A$72,A172)+COUNTIF('05_Complementos'!$A$5:$A$127,A172)=1,0,1)</x:f>
        <x:v>0</x:v>
      </x:c>
      <x:c r="O172" s="12" t="n">
        <x:f>COUNTIF('08_Trazas'!$A$5:$A$248,A172)-1</x:f>
        <x:v>0</x:v>
      </x:c>
      <x:c r="P172" s="12" t="n">
        <x:f>IF(COUNTIF('02_Custodia'!$A$5:$A$53,C172)=1,0,1)</x:f>
        <x:v>0</x:v>
      </x:c>
    </x:row>
    <x:row r="173" ht="47" customHeight="1">
      <x:c r="A173" s="4" t="str">
        <x:v>CP-048</x:v>
      </x:c>
      <x:c r="B173" s="4" t="str">
        <x:v>F007</x:v>
      </x:c>
      <x:c r="C173" s="4" t="str">
        <x:v>A009</x:v>
      </x:c>
      <x:c r="D173" s="4" t="str">
        <x:v>Core classes, 95-760; Student Handbook 2026-2027</x:v>
      </x:c>
      <x:c r="E173" s="4" t="str">
        <x:v>Student Handbook Addendum 2026-2027</x:v>
      </x:c>
      <x:c r="F173" s="4" t="str">
        <x:v>página física 5</x:v>
      </x:c>
      <x:c r="G173" s="4" t="str">
        <x:v>ROTULO_EN_TEXTO_EXTRAIDO_UTF8</x:v>
      </x:c>
      <x:c r="H173" s="4" t="str">
        <x:v>8780</x:v>
      </x:c>
      <x:c r="I173" s="4" t="str">
        <x:v>39</x:v>
      </x:c>
      <x:c r="J173" s="4" t="str">
        <x:v>74b30c9412a49ccd738776be5f9e4626831c98748b334a9b6c9131876dc7663c</x:v>
      </x:c>
      <x:c r="K173" s="4" t="str">
        <x:v>2026-09-08</x:v>
      </x:c>
      <x:c r="L173" s="4" t="str">
        <x:v>SIN_FECHA_DE_ADOPCION</x:v>
      </x:c>
      <x:c r="M173" s="12" t="n">
        <x:f>IF(LEN(J173)=64,0,1)</x:f>
        <x:v>0</x:v>
      </x:c>
      <x:c r="N173" s="12" t="n">
        <x:f>IF(COUNTIF('03_NICE'!$A$5:$A$57,A173)+COUNTIF('04_TKS'!$A$5:$A$72,A173)+COUNTIF('05_Complementos'!$A$5:$A$127,A173)=1,0,1)</x:f>
        <x:v>0</x:v>
      </x:c>
      <x:c r="O173" s="12" t="n">
        <x:f>COUNTIF('08_Trazas'!$A$5:$A$248,A173)-1</x:f>
        <x:v>0</x:v>
      </x:c>
      <x:c r="P173" s="12" t="n">
        <x:f>IF(COUNTIF('02_Custodia'!$A$5:$A$53,C173)=1,0,1)</x:f>
        <x:v>0</x:v>
      </x:c>
    </x:row>
    <x:row r="174" ht="47" customHeight="1">
      <x:c r="A174" s="4" t="str">
        <x:v>CP-049</x:v>
      </x:c>
      <x:c r="B174" s="4" t="str">
        <x:v>F007</x:v>
      </x:c>
      <x:c r="C174" s="4" t="str">
        <x:v>A009</x:v>
      </x:c>
      <x:c r="D174" s="4" t="str">
        <x:v>Recommended Electives; 95-767; Student Handbook 2026-2027</x:v>
      </x:c>
      <x:c r="E174" s="4" t="str">
        <x:v>Student Handbook Addendum 2026-2027</x:v>
      </x:c>
      <x:c r="F174" s="4" t="str">
        <x:v>página física 7</x:v>
      </x:c>
      <x:c r="G174" s="4" t="str">
        <x:v>ROTULO_EN_TEXTO_EXTRAIDO_UTF8</x:v>
      </x:c>
      <x:c r="H174" s="4" t="str">
        <x:v>14479</x:v>
      </x:c>
      <x:c r="I174" s="4" t="str">
        <x:v>24</x:v>
      </x:c>
      <x:c r="J174" s="4" t="str">
        <x:v>cb7947806d3007b079df9b7442ed06e86ee95d697dee8636a001aac11c7a924d</x:v>
      </x:c>
      <x:c r="K174" s="4" t="str">
        <x:v>2026-09-08</x:v>
      </x:c>
      <x:c r="L174" s="4" t="str">
        <x:v>SIN_FECHA_DE_ADOPCION</x:v>
      </x:c>
      <x:c r="M174" s="12" t="n">
        <x:f>IF(LEN(J174)=64,0,1)</x:f>
        <x:v>0</x:v>
      </x:c>
      <x:c r="N174" s="12" t="n">
        <x:f>IF(COUNTIF('03_NICE'!$A$5:$A$57,A174)+COUNTIF('04_TKS'!$A$5:$A$72,A174)+COUNTIF('05_Complementos'!$A$5:$A$127,A174)=1,0,1)</x:f>
        <x:v>0</x:v>
      </x:c>
      <x:c r="O174" s="12" t="n">
        <x:f>COUNTIF('08_Trazas'!$A$5:$A$248,A174)-1</x:f>
        <x:v>0</x:v>
      </x:c>
      <x:c r="P174" s="12" t="n">
        <x:f>IF(COUNTIF('02_Custodia'!$A$5:$A$53,C174)=1,0,1)</x:f>
        <x:v>0</x:v>
      </x:c>
    </x:row>
    <x:row r="175" ht="47" customHeight="1">
      <x:c r="A175" s="4" t="str">
        <x:v>CP-050</x:v>
      </x:c>
      <x:c r="B175" s="4" t="str">
        <x:v>F008</x:v>
      </x:c>
      <x:c r="C175" s="4" t="str">
        <x:v>F008</x:v>
      </x:c>
      <x:c r="D175" s="4" t="str">
        <x:v>Inicio; perfiles de egreso</x:v>
      </x:c>
      <x:c r="E175" s="4" t="str">
        <x:v>Página y guías enlazadas al corte 08-09-2026; curso completo no fijado</x:v>
      </x:c>
      <x:c r="F175" s="4" t="str">
        <x:v>texto extraído; posición UTF-8</x:v>
      </x:c>
      <x:c r="G175" s="4" t="str">
        <x:v>ROTULO_EN_TEXTO_EXTRAIDO_UTF8</x:v>
      </x:c>
      <x:c r="H175" s="4" t="str">
        <x:v>3805</x:v>
      </x:c>
      <x:c r="I175" s="4" t="str">
        <x:v>29</x:v>
      </x:c>
      <x:c r="J175" s="4" t="str">
        <x:v>62da1dd491a17aa178aeffb4848e449b13d26bcd7b9a1f26c3e8475003f48024</x:v>
      </x:c>
      <x:c r="K175" s="4" t="str">
        <x:v>2026-09-08</x:v>
      </x:c>
      <x:c r="L175" s="4" t="str">
        <x:v>SIN_FECHA_DE_ADOPCION</x:v>
      </x:c>
      <x:c r="M175" s="12" t="n">
        <x:f>IF(LEN(J175)=64,0,1)</x:f>
        <x:v>0</x:v>
      </x:c>
      <x:c r="N175" s="12" t="n">
        <x:f>IF(COUNTIF('03_NICE'!$A$5:$A$57,A175)+COUNTIF('04_TKS'!$A$5:$A$72,A175)+COUNTIF('05_Complementos'!$A$5:$A$127,A175)=1,0,1)</x:f>
        <x:v>0</x:v>
      </x:c>
      <x:c r="O175" s="12" t="n">
        <x:f>COUNTIF('08_Trazas'!$A$5:$A$248,A175)-1</x:f>
        <x:v>0</x:v>
      </x:c>
      <x:c r="P175" s="12" t="n">
        <x:f>IF(COUNTIF('02_Custodia'!$A$5:$A$53,C175)=1,0,1)</x:f>
        <x:v>0</x:v>
      </x:c>
    </x:row>
    <x:row r="176" ht="47" customHeight="1">
      <x:c r="A176" s="4" t="str">
        <x:v>CP-051</x:v>
      </x:c>
      <x:c r="B176" s="4" t="str">
        <x:v>F008</x:v>
      </x:c>
      <x:c r="C176" s="4" t="str">
        <x:v>F008</x:v>
      </x:c>
      <x:c r="D176" s="4" t="str">
        <x:v>Inicio; perfiles de egreso</x:v>
      </x:c>
      <x:c r="E176" s="4" t="str">
        <x:v>Página y guías enlazadas al corte 08-09-2026; curso completo no fijado</x:v>
      </x:c>
      <x:c r="F176" s="4" t="str">
        <x:v>texto extraído; posición UTF-8</x:v>
      </x:c>
      <x:c r="G176" s="4" t="str">
        <x:v>ROTULO_EN_TEXTO_EXTRAIDO_UTF8</x:v>
      </x:c>
      <x:c r="H176" s="4" t="str">
        <x:v>4089</x:v>
      </x:c>
      <x:c r="I176" s="4" t="str">
        <x:v>26</x:v>
      </x:c>
      <x:c r="J176" s="4" t="str">
        <x:v>93a8ae57a8c27c742d09f34cb1903da892252fa801f1f575cb4d985994a52e71</x:v>
      </x:c>
      <x:c r="K176" s="4" t="str">
        <x:v>2026-09-08</x:v>
      </x:c>
      <x:c r="L176" s="4" t="str">
        <x:v>SIN_FECHA_DE_ADOPCION</x:v>
      </x:c>
      <x:c r="M176" s="12" t="n">
        <x:f>IF(LEN(J176)=64,0,1)</x:f>
        <x:v>0</x:v>
      </x:c>
      <x:c r="N176" s="12" t="n">
        <x:f>IF(COUNTIF('03_NICE'!$A$5:$A$57,A176)+COUNTIF('04_TKS'!$A$5:$A$72,A176)+COUNTIF('05_Complementos'!$A$5:$A$127,A176)=1,0,1)</x:f>
        <x:v>0</x:v>
      </x:c>
      <x:c r="O176" s="12" t="n">
        <x:f>COUNTIF('08_Trazas'!$A$5:$A$248,A176)-1</x:f>
        <x:v>0</x:v>
      </x:c>
      <x:c r="P176" s="12" t="n">
        <x:f>IF(COUNTIF('02_Custodia'!$A$5:$A$53,C176)=1,0,1)</x:f>
        <x:v>0</x:v>
      </x:c>
    </x:row>
    <x:row r="177" ht="47" customHeight="1">
      <x:c r="A177" s="4" t="str">
        <x:v>CP-052</x:v>
      </x:c>
      <x:c r="B177" s="4" t="str">
        <x:v>F009</x:v>
      </x:c>
      <x:c r="C177" s="4" t="str">
        <x:v>F009</x:v>
      </x:c>
      <x:c r="D177" s="4" t="str">
        <x:v>Dominio 1</x:v>
      </x:c>
      <x:c r="E177" s="4" t="str">
        <x:v>Vigencia 15-04-2024</x:v>
      </x:c>
      <x:c r="F177" s="4" t="str">
        <x:v>texto extraído; posición UTF-8</x:v>
      </x:c>
      <x:c r="G177" s="4" t="str">
        <x:v>ROTULO_EN_TEXTO_EXTRAIDO_UTF8</x:v>
      </x:c>
      <x:c r="H177" s="4" t="str">
        <x:v>2245</x:v>
      </x:c>
      <x:c r="I177" s="4" t="str">
        <x:v>15</x:v>
      </x:c>
      <x:c r="J177" s="4" t="str">
        <x:v>c463ddb110dfd2bdaa0972c85de17bb13b8f4f19d83b39b9da1af6fbf1e6272c</x:v>
      </x:c>
      <x:c r="K177" s="4" t="str">
        <x:v>2026-09-08</x:v>
      </x:c>
      <x:c r="L177" s="4" t="str">
        <x:v>SIN_FECHA_DE_ADOPCION</x:v>
      </x:c>
      <x:c r="M177" s="12" t="n">
        <x:f>IF(LEN(J177)=64,0,1)</x:f>
        <x:v>0</x:v>
      </x:c>
      <x:c r="N177" s="12" t="n">
        <x:f>IF(COUNTIF('03_NICE'!$A$5:$A$57,A177)+COUNTIF('04_TKS'!$A$5:$A$72,A177)+COUNTIF('05_Complementos'!$A$5:$A$127,A177)=1,0,1)</x:f>
        <x:v>0</x:v>
      </x:c>
      <x:c r="O177" s="12" t="n">
        <x:f>COUNTIF('08_Trazas'!$A$5:$A$248,A177)-1</x:f>
        <x:v>0</x:v>
      </x:c>
      <x:c r="P177" s="12" t="n">
        <x:f>IF(COUNTIF('02_Custodia'!$A$5:$A$53,C177)=1,0,1)</x:f>
        <x:v>0</x:v>
      </x:c>
    </x:row>
    <x:row r="178" ht="47" customHeight="1">
      <x:c r="A178" s="4" t="str">
        <x:v>CP-053</x:v>
      </x:c>
      <x:c r="B178" s="4" t="str">
        <x:v>F009</x:v>
      </x:c>
      <x:c r="C178" s="4" t="str">
        <x:v>F009</x:v>
      </x:c>
      <x:c r="D178" s="4" t="str">
        <x:v>Dominio 2</x:v>
      </x:c>
      <x:c r="E178" s="4" t="str">
        <x:v>Vigencia 15-04-2024</x:v>
      </x:c>
      <x:c r="F178" s="4" t="str">
        <x:v>texto extraído; posición UTF-8</x:v>
      </x:c>
      <x:c r="G178" s="4" t="str">
        <x:v>ROTULO_EN_TEXTO_EXTRAIDO_UTF8</x:v>
      </x:c>
      <x:c r="H178" s="4" t="str">
        <x:v>2261</x:v>
      </x:c>
      <x:c r="I178" s="4" t="str">
        <x:v>5</x:v>
      </x:c>
      <x:c r="J178" s="4" t="str">
        <x:v>80d298c9f240900f00b327f5b611dc41aa785788d6fd3edbe35812ca88f02e9a</x:v>
      </x:c>
      <x:c r="K178" s="4" t="str">
        <x:v>2026-09-08</x:v>
      </x:c>
      <x:c r="L178" s="4" t="str">
        <x:v>SIN_FECHA_DE_ADOPCION</x:v>
      </x:c>
      <x:c r="M178" s="12" t="n">
        <x:f>IF(LEN(J178)=64,0,1)</x:f>
        <x:v>0</x:v>
      </x:c>
      <x:c r="N178" s="12" t="n">
        <x:f>IF(COUNTIF('03_NICE'!$A$5:$A$57,A178)+COUNTIF('04_TKS'!$A$5:$A$72,A178)+COUNTIF('05_Complementos'!$A$5:$A$127,A178)=1,0,1)</x:f>
        <x:v>0</x:v>
      </x:c>
      <x:c r="O178" s="12" t="n">
        <x:f>COUNTIF('08_Trazas'!$A$5:$A$248,A178)-1</x:f>
        <x:v>0</x:v>
      </x:c>
      <x:c r="P178" s="12" t="n">
        <x:f>IF(COUNTIF('02_Custodia'!$A$5:$A$53,C178)=1,0,1)</x:f>
        <x:v>0</x:v>
      </x:c>
    </x:row>
    <x:row r="179" ht="47" customHeight="1">
      <x:c r="A179" s="4" t="str">
        <x:v>CP-054</x:v>
      </x:c>
      <x:c r="B179" s="4" t="str">
        <x:v>F009</x:v>
      </x:c>
      <x:c r="C179" s="4" t="str">
        <x:v>F009</x:v>
      </x:c>
      <x:c r="D179" s="4" t="str">
        <x:v>Dominio 3</x:v>
      </x:c>
      <x:c r="E179" s="4" t="str">
        <x:v>Vigencia 15-04-2024</x:v>
      </x:c>
      <x:c r="F179" s="4" t="str">
        <x:v>texto extraído; posición UTF-8</x:v>
      </x:c>
      <x:c r="G179" s="4" t="str">
        <x:v>ROTULO_EN_TEXTO_EXTRAIDO_UTF8</x:v>
      </x:c>
      <x:c r="H179" s="4" t="str">
        <x:v>2285</x:v>
      </x:c>
      <x:c r="I179" s="4" t="str">
        <x:v>28</x:v>
      </x:c>
      <x:c r="J179" s="4" t="str">
        <x:v>55039427d11bcdfafcb20748b120d3f038e861feba8649e6fb022b0649306e2b</x:v>
      </x:c>
      <x:c r="K179" s="4" t="str">
        <x:v>2026-09-08</x:v>
      </x:c>
      <x:c r="L179" s="4" t="str">
        <x:v>SIN_FECHA_DE_ADOPCION</x:v>
      </x:c>
      <x:c r="M179" s="12" t="n">
        <x:f>IF(LEN(J179)=64,0,1)</x:f>
        <x:v>0</x:v>
      </x:c>
      <x:c r="N179" s="12" t="n">
        <x:f>IF(COUNTIF('03_NICE'!$A$5:$A$57,A179)+COUNTIF('04_TKS'!$A$5:$A$72,A179)+COUNTIF('05_Complementos'!$A$5:$A$127,A179)=1,0,1)</x:f>
        <x:v>0</x:v>
      </x:c>
      <x:c r="O179" s="12" t="n">
        <x:f>COUNTIF('08_Trazas'!$A$5:$A$248,A179)-1</x:f>
        <x:v>0</x:v>
      </x:c>
      <x:c r="P179" s="12" t="n">
        <x:f>IF(COUNTIF('02_Custodia'!$A$5:$A$53,C179)=1,0,1)</x:f>
        <x:v>0</x:v>
      </x:c>
    </x:row>
    <x:row r="180" ht="47" customHeight="1">
      <x:c r="A180" s="4" t="str">
        <x:v>CP-055</x:v>
      </x:c>
      <x:c r="B180" s="4" t="str">
        <x:v>F009</x:v>
      </x:c>
      <x:c r="C180" s="4" t="str">
        <x:v>F009</x:v>
      </x:c>
      <x:c r="D180" s="4" t="str">
        <x:v>Dominio 4</x:v>
      </x:c>
      <x:c r="E180" s="4" t="str">
        <x:v>Vigencia 15-04-2024</x:v>
      </x:c>
      <x:c r="F180" s="4" t="str">
        <x:v>texto extraído; posición UTF-8</x:v>
      </x:c>
      <x:c r="G180" s="4" t="str">
        <x:v>ROTULO_EN_TEXTO_EXTRAIDO_UTF8</x:v>
      </x:c>
      <x:c r="H180" s="4" t="str">
        <x:v>2314</x:v>
      </x:c>
      <x:c r="I180" s="4" t="str">
        <x:v>25</x:v>
      </x:c>
      <x:c r="J180" s="4" t="str">
        <x:v>b4fa73b5b887e43692692daa515b258e6d32febdf65192e481db9ec438718445</x:v>
      </x:c>
      <x:c r="K180" s="4" t="str">
        <x:v>2026-09-08</x:v>
      </x:c>
      <x:c r="L180" s="4" t="str">
        <x:v>SIN_FECHA_DE_ADOPCION</x:v>
      </x:c>
      <x:c r="M180" s="12" t="n">
        <x:f>IF(LEN(J180)=64,0,1)</x:f>
        <x:v>0</x:v>
      </x:c>
      <x:c r="N180" s="12" t="n">
        <x:f>IF(COUNTIF('03_NICE'!$A$5:$A$57,A180)+COUNTIF('04_TKS'!$A$5:$A$72,A180)+COUNTIF('05_Complementos'!$A$5:$A$127,A180)=1,0,1)</x:f>
        <x:v>0</x:v>
      </x:c>
      <x:c r="O180" s="12" t="n">
        <x:f>COUNTIF('08_Trazas'!$A$5:$A$248,A180)-1</x:f>
        <x:v>0</x:v>
      </x:c>
      <x:c r="P180" s="12" t="n">
        <x:f>IF(COUNTIF('02_Custodia'!$A$5:$A$53,C180)=1,0,1)</x:f>
        <x:v>0</x:v>
      </x:c>
    </x:row>
    <x:row r="181" ht="47" customHeight="1">
      <x:c r="A181" s="4" t="str">
        <x:v>CP-056</x:v>
      </x:c>
      <x:c r="B181" s="4" t="str">
        <x:v>F009</x:v>
      </x:c>
      <x:c r="C181" s="4" t="str">
        <x:v>F009</x:v>
      </x:c>
      <x:c r="D181" s="4" t="str">
        <x:v>Dominio 5</x:v>
      </x:c>
      <x:c r="E181" s="4" t="str">
        <x:v>Vigencia 15-04-2024</x:v>
      </x:c>
      <x:c r="F181" s="4" t="str">
        <x:v>texto extraído; posición UTF-8</x:v>
      </x:c>
      <x:c r="G181" s="4" t="str">
        <x:v>ROTULO_EN_TEXTO_EXTRAIDO_UTF8</x:v>
      </x:c>
      <x:c r="H181" s="4" t="str">
        <x:v>2349</x:v>
      </x:c>
      <x:c r="I181" s="4" t="str">
        <x:v>19</x:v>
      </x:c>
      <x:c r="J181" s="4" t="str">
        <x:v>da73977e0dbd055865549bb36d266b343106c54940f68f24d243016cb5183b30</x:v>
      </x:c>
      <x:c r="K181" s="4" t="str">
        <x:v>2026-09-08</x:v>
      </x:c>
      <x:c r="L181" s="4" t="str">
        <x:v>SIN_FECHA_DE_ADOPCION</x:v>
      </x:c>
      <x:c r="M181" s="12" t="n">
        <x:f>IF(LEN(J181)=64,0,1)</x:f>
        <x:v>0</x:v>
      </x:c>
      <x:c r="N181" s="12" t="n">
        <x:f>IF(COUNTIF('03_NICE'!$A$5:$A$57,A181)+COUNTIF('04_TKS'!$A$5:$A$72,A181)+COUNTIF('05_Complementos'!$A$5:$A$127,A181)=1,0,1)</x:f>
        <x:v>0</x:v>
      </x:c>
      <x:c r="O181" s="12" t="n">
        <x:f>COUNTIF('08_Trazas'!$A$5:$A$248,A181)-1</x:f>
        <x:v>0</x:v>
      </x:c>
      <x:c r="P181" s="12" t="n">
        <x:f>IF(COUNTIF('02_Custodia'!$A$5:$A$53,C181)=1,0,1)</x:f>
        <x:v>0</x:v>
      </x:c>
    </x:row>
    <x:row r="182" ht="47" customHeight="1">
      <x:c r="A182" s="4" t="str">
        <x:v>CP-057</x:v>
      </x:c>
      <x:c r="B182" s="4" t="str">
        <x:v>F009</x:v>
      </x:c>
      <x:c r="C182" s="4" t="str">
        <x:v>F009</x:v>
      </x:c>
      <x:c r="D182" s="4" t="str">
        <x:v>Dominio 6</x:v>
      </x:c>
      <x:c r="E182" s="4" t="str">
        <x:v>Vigencia 15-04-2024</x:v>
      </x:c>
      <x:c r="F182" s="4" t="str">
        <x:v>texto extraído; posición UTF-8</x:v>
      </x:c>
      <x:c r="G182" s="4" t="str">
        <x:v>ROTULO_EN_TEXTO_EXTRAIDO_UTF8</x:v>
      </x:c>
      <x:c r="H182" s="4" t="str">
        <x:v>2395</x:v>
      </x:c>
      <x:c r="I182" s="4" t="str">
        <x:v>22</x:v>
      </x:c>
      <x:c r="J182" s="4" t="str">
        <x:v>3f3cca040949f579682e64f4cb1af4136f59035bae44eadd16c3b63523066728</x:v>
      </x:c>
      <x:c r="K182" s="4" t="str">
        <x:v>2026-09-08</x:v>
      </x:c>
      <x:c r="L182" s="4" t="str">
        <x:v>SIN_FECHA_DE_ADOPCION</x:v>
      </x:c>
      <x:c r="M182" s="12" t="n">
        <x:f>IF(LEN(J182)=64,0,1)</x:f>
        <x:v>0</x:v>
      </x:c>
      <x:c r="N182" s="12" t="n">
        <x:f>IF(COUNTIF('03_NICE'!$A$5:$A$57,A182)+COUNTIF('04_TKS'!$A$5:$A$72,A182)+COUNTIF('05_Complementos'!$A$5:$A$127,A182)=1,0,1)</x:f>
        <x:v>0</x:v>
      </x:c>
      <x:c r="O182" s="12" t="n">
        <x:f>COUNTIF('08_Trazas'!$A$5:$A$248,A182)-1</x:f>
        <x:v>0</x:v>
      </x:c>
      <x:c r="P182" s="12" t="n">
        <x:f>IF(COUNTIF('02_Custodia'!$A$5:$A$53,C182)=1,0,1)</x:f>
        <x:v>0</x:v>
      </x:c>
    </x:row>
    <x:row r="183" ht="47" customHeight="1">
      <x:c r="A183" s="4" t="str">
        <x:v>CP-058</x:v>
      </x:c>
      <x:c r="B183" s="4" t="str">
        <x:v>F009</x:v>
      </x:c>
      <x:c r="C183" s="4" t="str">
        <x:v>F009</x:v>
      </x:c>
      <x:c r="D183" s="4" t="str">
        <x:v>Dominio 7</x:v>
      </x:c>
      <x:c r="E183" s="4" t="str">
        <x:v>Vigencia 15-04-2024</x:v>
      </x:c>
      <x:c r="F183" s="4" t="str">
        <x:v>texto extraído; posición UTF-8</x:v>
      </x:c>
      <x:c r="G183" s="4" t="str">
        <x:v>ROTULO_EN_TEXTO_EXTRAIDO_UTF8</x:v>
      </x:c>
      <x:c r="H183" s="4" t="str">
        <x:v>2427</x:v>
      </x:c>
      <x:c r="I183" s="4" t="str">
        <x:v>10</x:v>
      </x:c>
      <x:c r="J183" s="4" t="str">
        <x:v>358cc201f87d9dc9defd3eac467a62fae720aa99a76be8b98e0fc9b3893a427d</x:v>
      </x:c>
      <x:c r="K183" s="4" t="str">
        <x:v>2026-09-08</x:v>
      </x:c>
      <x:c r="L183" s="4" t="str">
        <x:v>SIN_FECHA_DE_ADOPCION</x:v>
      </x:c>
      <x:c r="M183" s="12" t="n">
        <x:f>IF(LEN(J183)=64,0,1)</x:f>
        <x:v>0</x:v>
      </x:c>
      <x:c r="N183" s="12" t="n">
        <x:f>IF(COUNTIF('03_NICE'!$A$5:$A$57,A183)+COUNTIF('04_TKS'!$A$5:$A$72,A183)+COUNTIF('05_Complementos'!$A$5:$A$127,A183)=1,0,1)</x:f>
        <x:v>0</x:v>
      </x:c>
      <x:c r="O183" s="12" t="n">
        <x:f>COUNTIF('08_Trazas'!$A$5:$A$248,A183)-1</x:f>
        <x:v>0</x:v>
      </x:c>
      <x:c r="P183" s="12" t="n">
        <x:f>IF(COUNTIF('02_Custodia'!$A$5:$A$53,C183)=1,0,1)</x:f>
        <x:v>0</x:v>
      </x:c>
    </x:row>
    <x:row r="184" ht="47" customHeight="1">
      <x:c r="A184" s="4" t="str">
        <x:v>CP-059</x:v>
      </x:c>
      <x:c r="B184" s="4" t="str">
        <x:v>F009</x:v>
      </x:c>
      <x:c r="C184" s="4" t="str">
        <x:v>F009</x:v>
      </x:c>
      <x:c r="D184" s="4" t="str">
        <x:v>Dominio 8</x:v>
      </x:c>
      <x:c r="E184" s="4" t="str">
        <x:v>Vigencia 15-04-2024</x:v>
      </x:c>
      <x:c r="F184" s="4" t="str">
        <x:v>texto extraído; posición UTF-8</x:v>
      </x:c>
      <x:c r="G184" s="4" t="str">
        <x:v>ROTULO_EN_TEXTO_EXTRAIDO_UTF8</x:v>
      </x:c>
      <x:c r="H184" s="4" t="str">
        <x:v>2438</x:v>
      </x:c>
      <x:c r="I184" s="4" t="str">
        <x:v>20</x:v>
      </x:c>
      <x:c r="J184" s="4" t="str">
        <x:v>af9087d16e5013a938415934febd4fd425fbf552a58f705727f2325ae789d48c</x:v>
      </x:c>
      <x:c r="K184" s="4" t="str">
        <x:v>2026-09-08</x:v>
      </x:c>
      <x:c r="L184" s="4" t="str">
        <x:v>SIN_FECHA_DE_ADOPCION</x:v>
      </x:c>
      <x:c r="M184" s="12" t="n">
        <x:f>IF(LEN(J184)=64,0,1)</x:f>
        <x:v>0</x:v>
      </x:c>
      <x:c r="N184" s="12" t="n">
        <x:f>IF(COUNTIF('03_NICE'!$A$5:$A$57,A184)+COUNTIF('04_TKS'!$A$5:$A$72,A184)+COUNTIF('05_Complementos'!$A$5:$A$127,A184)=1,0,1)</x:f>
        <x:v>0</x:v>
      </x:c>
      <x:c r="O184" s="12" t="n">
        <x:f>COUNTIF('08_Trazas'!$A$5:$A$248,A184)-1</x:f>
        <x:v>0</x:v>
      </x:c>
      <x:c r="P184" s="12" t="n">
        <x:f>IF(COUNTIF('02_Custodia'!$A$5:$A$53,C184)=1,0,1)</x:f>
        <x:v>0</x:v>
      </x:c>
    </x:row>
    <x:row r="185" ht="47" customHeight="1">
      <x:c r="A185" s="4" t="str">
        <x:v>CP-060</x:v>
      </x:c>
      <x:c r="B185" s="4" t="str">
        <x:v>F010</x:v>
      </x:c>
      <x:c r="C185" s="4" t="str">
        <x:v>F010</x:v>
      </x:c>
      <x:c r="D185" s="4" t="str">
        <x:v>Domain 1</x:v>
      </x:c>
      <x:c r="E185" s="4" t="str">
        <x:v>Temario anterior al cambio previsto para 03-11-2026; captura 08-09-2026</x:v>
      </x:c>
      <x:c r="F185" s="4" t="str">
        <x:v>texto extraído; posición UTF-8</x:v>
      </x:c>
      <x:c r="G185" s="4" t="str">
        <x:v>ROTULO_EN_TEXTO_EXTRAIDO_UTF8</x:v>
      </x:c>
      <x:c r="H185" s="4" t="str">
        <x:v>4675</x:v>
      </x:c>
      <x:c r="I185" s="4" t="str">
        <x:v>31</x:v>
      </x:c>
      <x:c r="J185" s="4" t="str">
        <x:v>ac510a3c80392d32f5506f429930cb5531e37fb0fdde42f0ebe9b0b913ea78ab</x:v>
      </x:c>
      <x:c r="K185" s="4" t="str">
        <x:v>2026-09-08</x:v>
      </x:c>
      <x:c r="L185" s="4" t="str">
        <x:v>SIN_FECHA_DE_ADOPCION</x:v>
      </x:c>
      <x:c r="M185" s="12" t="n">
        <x:f>IF(LEN(J185)=64,0,1)</x:f>
        <x:v>0</x:v>
      </x:c>
      <x:c r="N185" s="12" t="n">
        <x:f>IF(COUNTIF('03_NICE'!$A$5:$A$57,A185)+COUNTIF('04_TKS'!$A$5:$A$72,A185)+COUNTIF('05_Complementos'!$A$5:$A$127,A185)=1,0,1)</x:f>
        <x:v>0</x:v>
      </x:c>
      <x:c r="O185" s="12" t="n">
        <x:f>COUNTIF('08_Trazas'!$A$5:$A$248,A185)-1</x:f>
        <x:v>0</x:v>
      </x:c>
      <x:c r="P185" s="12" t="n">
        <x:f>IF(COUNTIF('02_Custodia'!$A$5:$A$53,C185)=1,0,1)</x:f>
        <x:v>0</x:v>
      </x:c>
    </x:row>
    <x:row r="186" ht="47" customHeight="1">
      <x:c r="A186" s="4" t="str">
        <x:v>CP-061</x:v>
      </x:c>
      <x:c r="B186" s="4" t="str">
        <x:v>F010</x:v>
      </x:c>
      <x:c r="C186" s="4" t="str">
        <x:v>F010</x:v>
      </x:c>
      <x:c r="D186" s="4" t="str">
        <x:v>Domain 2</x:v>
      </x:c>
      <x:c r="E186" s="4" t="str">
        <x:v>Temario anterior al cambio previsto para 03-11-2026; captura 08-09-2026</x:v>
      </x:c>
      <x:c r="F186" s="4" t="str">
        <x:v>texto extraído; posición UTF-8</x:v>
      </x:c>
      <x:c r="G186" s="4" t="str">
        <x:v>ROTULO_EN_TEXTO_EXTRAIDO_UTF8</x:v>
      </x:c>
      <x:c r="H186" s="4" t="str">
        <x:v>4716</x:v>
      </x:c>
      <x:c r="I186" s="4" t="str">
        <x:v>36</x:v>
      </x:c>
      <x:c r="J186" s="4" t="str">
        <x:v>ea706d98ac60942984627e944742a2ac90bd7161acdfa06bad082ebd91d0a45c</x:v>
      </x:c>
      <x:c r="K186" s="4" t="str">
        <x:v>2026-09-08</x:v>
      </x:c>
      <x:c r="L186" s="4" t="str">
        <x:v>SIN_FECHA_DE_ADOPCION</x:v>
      </x:c>
      <x:c r="M186" s="12" t="n">
        <x:f>IF(LEN(J186)=64,0,1)</x:f>
        <x:v>0</x:v>
      </x:c>
      <x:c r="N186" s="12" t="n">
        <x:f>IF(COUNTIF('03_NICE'!$A$5:$A$57,A186)+COUNTIF('04_TKS'!$A$5:$A$72,A186)+COUNTIF('05_Complementos'!$A$5:$A$127,A186)=1,0,1)</x:f>
        <x:v>0</x:v>
      </x:c>
      <x:c r="O186" s="12" t="n">
        <x:f>COUNTIF('08_Trazas'!$A$5:$A$248,A186)-1</x:f>
        <x:v>0</x:v>
      </x:c>
      <x:c r="P186" s="12" t="n">
        <x:f>IF(COUNTIF('02_Custodia'!$A$5:$A$53,C186)=1,0,1)</x:f>
        <x:v>0</x:v>
      </x:c>
    </x:row>
    <x:row r="187" ht="47" customHeight="1">
      <x:c r="A187" s="4" t="str">
        <x:v>CP-062</x:v>
      </x:c>
      <x:c r="B187" s="4" t="str">
        <x:v>F010</x:v>
      </x:c>
      <x:c r="C187" s="4" t="str">
        <x:v>F010</x:v>
      </x:c>
      <x:c r="D187" s="4" t="str">
        <x:v>Domain 3</x:v>
      </x:c>
      <x:c r="E187" s="4" t="str">
        <x:v>Temario anterior al cambio previsto para 03-11-2026; captura 08-09-2026</x:v>
      </x:c>
      <x:c r="F187" s="4" t="str">
        <x:v>texto extraído; posición UTF-8</x:v>
      </x:c>
      <x:c r="G187" s="4" t="str">
        <x:v>ROTULO_EN_TEXTO_EXTRAIDO_UTF8</x:v>
      </x:c>
      <x:c r="H187" s="4" t="str">
        <x:v>4762</x:v>
      </x:c>
      <x:c r="I187" s="4" t="str">
        <x:v>28</x:v>
      </x:c>
      <x:c r="J187" s="4" t="str">
        <x:v>00d18ef979c8b55d25eef544d1a1cb0e88ba59a07151622aed5f31dbc765d2b6</x:v>
      </x:c>
      <x:c r="K187" s="4" t="str">
        <x:v>2026-09-08</x:v>
      </x:c>
      <x:c r="L187" s="4" t="str">
        <x:v>SIN_FECHA_DE_ADOPCION</x:v>
      </x:c>
      <x:c r="M187" s="12" t="n">
        <x:f>IF(LEN(J187)=64,0,1)</x:f>
        <x:v>0</x:v>
      </x:c>
      <x:c r="N187" s="12" t="n">
        <x:f>IF(COUNTIF('03_NICE'!$A$5:$A$57,A187)+COUNTIF('04_TKS'!$A$5:$A$72,A187)+COUNTIF('05_Complementos'!$A$5:$A$127,A187)=1,0,1)</x:f>
        <x:v>0</x:v>
      </x:c>
      <x:c r="O187" s="12" t="n">
        <x:f>COUNTIF('08_Trazas'!$A$5:$A$248,A187)-1</x:f>
        <x:v>0</x:v>
      </x:c>
      <x:c r="P187" s="12" t="n">
        <x:f>IF(COUNTIF('02_Custodia'!$A$5:$A$53,C187)=1,0,1)</x:f>
        <x:v>0</x:v>
      </x:c>
    </x:row>
    <x:row r="188" ht="47" customHeight="1">
      <x:c r="A188" s="4" t="str">
        <x:v>CP-063</x:v>
      </x:c>
      <x:c r="B188" s="4" t="str">
        <x:v>F010</x:v>
      </x:c>
      <x:c r="C188" s="4" t="str">
        <x:v>F010</x:v>
      </x:c>
      <x:c r="D188" s="4" t="str">
        <x:v>Domain 4</x:v>
      </x:c>
      <x:c r="E188" s="4" t="str">
        <x:v>Temario anterior al cambio previsto para 03-11-2026; captura 08-09-2026</x:v>
      </x:c>
      <x:c r="F188" s="4" t="str">
        <x:v>texto extraído; posición UTF-8</x:v>
      </x:c>
      <x:c r="G188" s="4" t="str">
        <x:v>ROTULO_EN_TEXTO_EXTRAIDO_UTF8</x:v>
      </x:c>
      <x:c r="H188" s="4" t="str">
        <x:v>4800</x:v>
      </x:c>
      <x:c r="I188" s="4" t="str">
        <x:v>19</x:v>
      </x:c>
      <x:c r="J188" s="4" t="str">
        <x:v>ce109eb54091d855d23a02df1cbe168b44b869387a162c94b8474357c74acc9f</x:v>
      </x:c>
      <x:c r="K188" s="4" t="str">
        <x:v>2026-09-08</x:v>
      </x:c>
      <x:c r="L188" s="4" t="str">
        <x:v>SIN_FECHA_DE_ADOPCION</x:v>
      </x:c>
      <x:c r="M188" s="12" t="n">
        <x:f>IF(LEN(J188)=64,0,1)</x:f>
        <x:v>0</x:v>
      </x:c>
      <x:c r="N188" s="12" t="n">
        <x:f>IF(COUNTIF('03_NICE'!$A$5:$A$57,A188)+COUNTIF('04_TKS'!$A$5:$A$72,A188)+COUNTIF('05_Complementos'!$A$5:$A$127,A188)=1,0,1)</x:f>
        <x:v>0</x:v>
      </x:c>
      <x:c r="O188" s="12" t="n">
        <x:f>COUNTIF('08_Trazas'!$A$5:$A$248,A188)-1</x:f>
        <x:v>0</x:v>
      </x:c>
      <x:c r="P188" s="12" t="n">
        <x:f>IF(COUNTIF('02_Custodia'!$A$5:$A$53,C188)=1,0,1)</x:f>
        <x:v>0</x:v>
      </x:c>
    </x:row>
    <x:row r="189" ht="47" customHeight="1">
      <x:c r="A189" s="4" t="str">
        <x:v>CP-064</x:v>
      </x:c>
      <x:c r="B189" s="4" t="str">
        <x:v>F011</x:v>
      </x:c>
      <x:c r="C189" s="4" t="str">
        <x:v>F011</x:v>
      </x:c>
      <x:c r="D189" s="4" t="str">
        <x:v>Exam Certification Objectives &amp; Outcome Statements; Introduction to Memory Forensics</x:v>
      </x:c>
      <x:c r="E189" s="4" t="str">
        <x:v>Instantánea 08-09-2026; sin revisión formal por objetivo</x:v>
      </x:c>
      <x:c r="F189" s="4" t="str">
        <x:v>texto extraído; posición UTF-8</x:v>
      </x:c>
      <x:c r="G189" s="4" t="str">
        <x:v>ROTULO_EN_TEXTO_EXTRAIDO_UTF8</x:v>
      </x:c>
      <x:c r="H189" s="4" t="str">
        <x:v>9112</x:v>
      </x:c>
      <x:c r="I189" s="4" t="str">
        <x:v>32</x:v>
      </x:c>
      <x:c r="J189" s="4" t="str">
        <x:v>a627ef700eebce696b83203ca43faadb8b5d953fc38537e5f9c4b53fcab0393e</x:v>
      </x:c>
      <x:c r="K189" s="4" t="str">
        <x:v>2026-09-08</x:v>
      </x:c>
      <x:c r="L189" s="4" t="str">
        <x:v>SIN_FECHA_DE_ADOPCION</x:v>
      </x:c>
      <x:c r="M189" s="12" t="n">
        <x:f>IF(LEN(J189)=64,0,1)</x:f>
        <x:v>0</x:v>
      </x:c>
      <x:c r="N189" s="12" t="n">
        <x:f>IF(COUNTIF('03_NICE'!$A$5:$A$57,A189)+COUNTIF('04_TKS'!$A$5:$A$72,A189)+COUNTIF('05_Complementos'!$A$5:$A$127,A189)=1,0,1)</x:f>
        <x:v>0</x:v>
      </x:c>
      <x:c r="O189" s="12" t="n">
        <x:f>COUNTIF('08_Trazas'!$A$5:$A$248,A189)-1</x:f>
        <x:v>0</x:v>
      </x:c>
      <x:c r="P189" s="12" t="n">
        <x:f>IF(COUNTIF('02_Custodia'!$A$5:$A$53,C189)=1,0,1)</x:f>
        <x:v>0</x:v>
      </x:c>
    </x:row>
    <x:row r="190" ht="47" customHeight="1">
      <x:c r="A190" s="4" t="str">
        <x:v>CP-065</x:v>
      </x:c>
      <x:c r="B190" s="4" t="str">
        <x:v>F011</x:v>
      </x:c>
      <x:c r="C190" s="4" t="str">
        <x:v>F011</x:v>
      </x:c>
      <x:c r="D190" s="4" t="str">
        <x:v>Exam Certification Objectives &amp; Outcome Statements; File System Timeline Artifact Analysis</x:v>
      </x:c>
      <x:c r="E190" s="4" t="str">
        <x:v>Instantánea 08-09-2026; sin revisión formal por objetivo</x:v>
      </x:c>
      <x:c r="F190" s="4" t="str">
        <x:v>texto extraído; posición UTF-8</x:v>
      </x:c>
      <x:c r="G190" s="4" t="str">
        <x:v>ROTULO_EN_TEXTO_EXTRAIDO_UTF8</x:v>
      </x:c>
      <x:c r="H190" s="4" t="str">
        <x:v>8117</x:v>
      </x:c>
      <x:c r="I190" s="4" t="str">
        <x:v>38</x:v>
      </x:c>
      <x:c r="J190" s="4" t="str">
        <x:v>017be1529ecfa3307d249be592372623aebef65d39e9d9f49c4226cf3df2996a</x:v>
      </x:c>
      <x:c r="K190" s="4" t="str">
        <x:v>2026-09-08</x:v>
      </x:c>
      <x:c r="L190" s="4" t="str">
        <x:v>SIN_FECHA_DE_ADOPCION</x:v>
      </x:c>
      <x:c r="M190" s="12" t="n">
        <x:f>IF(LEN(J190)=64,0,1)</x:f>
        <x:v>0</x:v>
      </x:c>
      <x:c r="N190" s="12" t="n">
        <x:f>IF(COUNTIF('03_NICE'!$A$5:$A$57,A190)+COUNTIF('04_TKS'!$A$5:$A$72,A190)+COUNTIF('05_Complementos'!$A$5:$A$127,A190)=1,0,1)</x:f>
        <x:v>0</x:v>
      </x:c>
      <x:c r="O190" s="12" t="n">
        <x:f>COUNTIF('08_Trazas'!$A$5:$A$248,A190)-1</x:f>
        <x:v>0</x:v>
      </x:c>
      <x:c r="P190" s="12" t="n">
        <x:f>IF(COUNTIF('02_Custodia'!$A$5:$A$53,C190)=1,0,1)</x:f>
        <x:v>0</x:v>
      </x:c>
    </x:row>
    <x:row r="191" ht="47" customHeight="1">
      <x:c r="A191" s="4" t="str">
        <x:v>CP-066</x:v>
      </x:c>
      <x:c r="B191" s="4" t="str">
        <x:v>F011</x:v>
      </x:c>
      <x:c r="C191" s="4" t="str">
        <x:v>F011</x:v>
      </x:c>
      <x:c r="D191" s="4" t="str">
        <x:v>Exam Certification Objectives &amp; Outcome Statements; Identification of Malicious System and User Activity</x:v>
      </x:c>
      <x:c r="E191" s="4" t="str">
        <x:v>Instantánea 08-09-2026; sin revisión formal por objetivo</x:v>
      </x:c>
      <x:c r="F191" s="4" t="str">
        <x:v>texto extraído; posición UTF-8</x:v>
      </x:c>
      <x:c r="G191" s="4" t="str">
        <x:v>ROTULO_EN_TEXTO_EXTRAIDO_UTF8</x:v>
      </x:c>
      <x:c r="H191" s="4" t="str">
        <x:v>8311</x:v>
      </x:c>
      <x:c r="I191" s="4" t="str">
        <x:v>52</x:v>
      </x:c>
      <x:c r="J191" s="4" t="str">
        <x:v>d537d798d6e4e1bdbb6194f3b23dd732d0eb0a2d3b3812a125ad1b00d786ef7c</x:v>
      </x:c>
      <x:c r="K191" s="4" t="str">
        <x:v>2026-09-08</x:v>
      </x:c>
      <x:c r="L191" s="4" t="str">
        <x:v>SIN_FECHA_DE_ADOPCION</x:v>
      </x:c>
      <x:c r="M191" s="12" t="n">
        <x:f>IF(LEN(J191)=64,0,1)</x:f>
        <x:v>0</x:v>
      </x:c>
      <x:c r="N191" s="12" t="n">
        <x:f>IF(COUNTIF('03_NICE'!$A$5:$A$57,A191)+COUNTIF('04_TKS'!$A$5:$A$72,A191)+COUNTIF('05_Complementos'!$A$5:$A$127,A191)=1,0,1)</x:f>
        <x:v>0</x:v>
      </x:c>
      <x:c r="O191" s="12" t="n">
        <x:f>COUNTIF('08_Trazas'!$A$5:$A$248,A191)-1</x:f>
        <x:v>0</x:v>
      </x:c>
      <x:c r="P191" s="12" t="n">
        <x:f>IF(COUNTIF('02_Custodia'!$A$5:$A$53,C191)=1,0,1)</x:f>
        <x:v>0</x:v>
      </x:c>
    </x:row>
    <x:row r="192" ht="47" customHeight="1">
      <x:c r="A192" s="4" t="str">
        <x:v>CP-067</x:v>
      </x:c>
      <x:c r="B192" s="4" t="str">
        <x:v>F012</x:v>
      </x:c>
      <x:c r="C192" s="4" t="str">
        <x:v>F012</x:v>
      </x:c>
      <x:c r="D192" s="4" t="str">
        <x:v>Syllabus; descripción y temas</x:v>
      </x:c>
      <x:c r="E192" s="4" t="str">
        <x:v>Syllabus publicado en ruta 2026/03; instantánea</x:v>
      </x:c>
      <x:c r="F192" s="4" t="str">
        <x:v>página física 1</x:v>
      </x:c>
      <x:c r="G192" s="4" t="str">
        <x:v>ROTULO_EN_TEXTO_EXTRAIDO_UTF8</x:v>
      </x:c>
      <x:c r="H192" s="4" t="str">
        <x:v>29</x:v>
      </x:c>
      <x:c r="I192" s="4" t="str">
        <x:v>39</x:v>
      </x:c>
      <x:c r="J192" s="4" t="str">
        <x:v>cb610b6c031cfa5967519e0c58f0afde65af96c29134b099e1b972fff8b7e849</x:v>
      </x:c>
      <x:c r="K192" s="4" t="str">
        <x:v>2026-09-08</x:v>
      </x:c>
      <x:c r="L192" s="4" t="str">
        <x:v>SIN_FECHA_DE_ADOPCION</x:v>
      </x:c>
      <x:c r="M192" s="12" t="n">
        <x:f>IF(LEN(J192)=64,0,1)</x:f>
        <x:v>0</x:v>
      </x:c>
      <x:c r="N192" s="12" t="n">
        <x:f>IF(COUNTIF('03_NICE'!$A$5:$A$57,A192)+COUNTIF('04_TKS'!$A$5:$A$72,A192)+COUNTIF('05_Complementos'!$A$5:$A$127,A192)=1,0,1)</x:f>
        <x:v>0</x:v>
      </x:c>
      <x:c r="O192" s="12" t="n">
        <x:f>COUNTIF('08_Trazas'!$A$5:$A$248,A192)-1</x:f>
        <x:v>0</x:v>
      </x:c>
      <x:c r="P192" s="12" t="n">
        <x:f>IF(COUNTIF('02_Custodia'!$A$5:$A$53,C192)=1,0,1)</x:f>
        <x:v>0</x:v>
      </x:c>
    </x:row>
    <x:row r="193" ht="47" customHeight="1">
      <x:c r="A193" s="4" t="str">
        <x:v>CP-068</x:v>
      </x:c>
      <x:c r="B193" s="4" t="str">
        <x:v>F016</x:v>
      </x:c>
      <x:c r="C193" s="4" t="str">
        <x:v>F016</x:v>
      </x:c>
      <x:c r="D193" s="4" t="str">
        <x:v>§2.1; función GV</x:v>
      </x:c>
      <x:c r="E193" s="4" t="str">
        <x:v>CSWP 29; 26-02-2024</x:v>
      </x:c>
      <x:c r="F193" s="4" t="str">
        <x:v>página física 2</x:v>
      </x:c>
      <x:c r="G193" s="4" t="str">
        <x:v>ROTULO_EN_TEXTO_EXTRAIDO_UTF8</x:v>
      </x:c>
      <x:c r="H193" s="4" t="str">
        <x:v>397</x:v>
      </x:c>
      <x:c r="I193" s="4" t="str">
        <x:v>6</x:v>
      </x:c>
      <x:c r="J193" s="4" t="str">
        <x:v>0acb4d236dc4d40335f7d6530517e0a24403a93b74f3ab4bcdbc78509682520e</x:v>
      </x:c>
      <x:c r="K193" s="4" t="str">
        <x:v>2026-09-08</x:v>
      </x:c>
      <x:c r="L193" s="4" t="str">
        <x:v>SIN_FECHA_DE_ADOPCION</x:v>
      </x:c>
      <x:c r="M193" s="12" t="n">
        <x:f>IF(LEN(J193)=64,0,1)</x:f>
        <x:v>0</x:v>
      </x:c>
      <x:c r="N193" s="12" t="n">
        <x:f>IF(COUNTIF('03_NICE'!$A$5:$A$57,A193)+COUNTIF('04_TKS'!$A$5:$A$72,A193)+COUNTIF('05_Complementos'!$A$5:$A$127,A193)=1,0,1)</x:f>
        <x:v>0</x:v>
      </x:c>
      <x:c r="O193" s="12" t="n">
        <x:f>COUNTIF('08_Trazas'!$A$5:$A$248,A193)-1</x:f>
        <x:v>0</x:v>
      </x:c>
      <x:c r="P193" s="12" t="n">
        <x:f>IF(COUNTIF('02_Custodia'!$A$5:$A$53,C193)=1,0,1)</x:f>
        <x:v>0</x:v>
      </x:c>
    </x:row>
    <x:row r="194" ht="47" customHeight="1">
      <x:c r="A194" s="4" t="str">
        <x:v>CP-069</x:v>
      </x:c>
      <x:c r="B194" s="4" t="str">
        <x:v>F016</x:v>
      </x:c>
      <x:c r="C194" s="4" t="str">
        <x:v>F016</x:v>
      </x:c>
      <x:c r="D194" s="4" t="str">
        <x:v>§2.1; función ID</x:v>
      </x:c>
      <x:c r="E194" s="4" t="str">
        <x:v>CSWP 29; 26-02-2024</x:v>
      </x:c>
      <x:c r="F194" s="4" t="str">
        <x:v>página física 7</x:v>
      </x:c>
      <x:c r="G194" s="4" t="str">
        <x:v>ROTULO_EN_TEXTO_EXTRAIDO_UTF8</x:v>
      </x:c>
      <x:c r="H194" s="4" t="str">
        <x:v>11467</x:v>
      </x:c>
      <x:c r="I194" s="4" t="str">
        <x:v>8</x:v>
      </x:c>
      <x:c r="J194" s="4" t="str">
        <x:v>4786cd5110a4a25d7f290ecdc62053c3e521475e725dcee6df863e0e86fd9c60</x:v>
      </x:c>
      <x:c r="K194" s="4" t="str">
        <x:v>2026-09-08</x:v>
      </x:c>
      <x:c r="L194" s="4" t="str">
        <x:v>SIN_FECHA_DE_ADOPCION</x:v>
      </x:c>
      <x:c r="M194" s="12" t="n">
        <x:f>IF(LEN(J194)=64,0,1)</x:f>
        <x:v>0</x:v>
      </x:c>
      <x:c r="N194" s="12" t="n">
        <x:f>IF(COUNTIF('03_NICE'!$A$5:$A$57,A194)+COUNTIF('04_TKS'!$A$5:$A$72,A194)+COUNTIF('05_Complementos'!$A$5:$A$127,A194)=1,0,1)</x:f>
        <x:v>0</x:v>
      </x:c>
      <x:c r="O194" s="12" t="n">
        <x:f>COUNTIF('08_Trazas'!$A$5:$A$248,A194)-1</x:f>
        <x:v>0</x:v>
      </x:c>
      <x:c r="P194" s="12" t="n">
        <x:f>IF(COUNTIF('02_Custodia'!$A$5:$A$53,C194)=1,0,1)</x:f>
        <x:v>0</x:v>
      </x:c>
    </x:row>
    <x:row r="195" ht="47" customHeight="1">
      <x:c r="A195" s="4" t="str">
        <x:v>CP-070</x:v>
      </x:c>
      <x:c r="B195" s="4" t="str">
        <x:v>F016</x:v>
      </x:c>
      <x:c r="C195" s="4" t="str">
        <x:v>F016</x:v>
      </x:c>
      <x:c r="D195" s="4" t="str">
        <x:v>§2.1; función PR</x:v>
      </x:c>
      <x:c r="E195" s="4" t="str">
        <x:v>CSWP 29; 26-02-2024</x:v>
      </x:c>
      <x:c r="F195" s="4" t="str">
        <x:v>página física 8</x:v>
      </x:c>
      <x:c r="G195" s="4" t="str">
        <x:v>ROTULO_EN_TEXTO_EXTRAIDO_UTF8</x:v>
      </x:c>
      <x:c r="H195" s="4" t="str">
        <x:v>14599</x:v>
      </x:c>
      <x:c r="I195" s="4" t="str">
        <x:v>7</x:v>
      </x:c>
      <x:c r="J195" s="4" t="str">
        <x:v>0a5688a8b2cf7c00d358fb345214873d713a5fff3d3967a77e5c380480884d62</x:v>
      </x:c>
      <x:c r="K195" s="4" t="str">
        <x:v>2026-09-08</x:v>
      </x:c>
      <x:c r="L195" s="4" t="str">
        <x:v>SIN_FECHA_DE_ADOPCION</x:v>
      </x:c>
      <x:c r="M195" s="12" t="n">
        <x:f>IF(LEN(J195)=64,0,1)</x:f>
        <x:v>0</x:v>
      </x:c>
      <x:c r="N195" s="12" t="n">
        <x:f>IF(COUNTIF('03_NICE'!$A$5:$A$57,A195)+COUNTIF('04_TKS'!$A$5:$A$72,A195)+COUNTIF('05_Complementos'!$A$5:$A$127,A195)=1,0,1)</x:f>
        <x:v>0</x:v>
      </x:c>
      <x:c r="O195" s="12" t="n">
        <x:f>COUNTIF('08_Trazas'!$A$5:$A$248,A195)-1</x:f>
        <x:v>0</x:v>
      </x:c>
      <x:c r="P195" s="12" t="n">
        <x:f>IF(COUNTIF('02_Custodia'!$A$5:$A$53,C195)=1,0,1)</x:f>
        <x:v>0</x:v>
      </x:c>
    </x:row>
    <x:row r="196" ht="47" customHeight="1">
      <x:c r="A196" s="4" t="str">
        <x:v>CP-071</x:v>
      </x:c>
      <x:c r="B196" s="4" t="str">
        <x:v>F016</x:v>
      </x:c>
      <x:c r="C196" s="4" t="str">
        <x:v>F016</x:v>
      </x:c>
      <x:c r="D196" s="4" t="str">
        <x:v>§2.1; función DE</x:v>
      </x:c>
      <x:c r="E196" s="4" t="str">
        <x:v>CSWP 29; 26-02-2024</x:v>
      </x:c>
      <x:c r="F196" s="4" t="str">
        <x:v>página física 8</x:v>
      </x:c>
      <x:c r="G196" s="4" t="str">
        <x:v>ROTULO_EN_TEXTO_EXTRAIDO_UTF8</x:v>
      </x:c>
      <x:c r="H196" s="4" t="str">
        <x:v>14608</x:v>
      </x:c>
      <x:c r="I196" s="4" t="str">
        <x:v>6</x:v>
      </x:c>
      <x:c r="J196" s="4" t="str">
        <x:v>f9aaaf059b7869a7f340d06f407f41b69f4972b6289ab1993260a8f28ce5ee13</x:v>
      </x:c>
      <x:c r="K196" s="4" t="str">
        <x:v>2026-09-08</x:v>
      </x:c>
      <x:c r="L196" s="4" t="str">
        <x:v>SIN_FECHA_DE_ADOPCION</x:v>
      </x:c>
      <x:c r="M196" s="12" t="n">
        <x:f>IF(LEN(J196)=64,0,1)</x:f>
        <x:v>0</x:v>
      </x:c>
      <x:c r="N196" s="12" t="n">
        <x:f>IF(COUNTIF('03_NICE'!$A$5:$A$57,A196)+COUNTIF('04_TKS'!$A$5:$A$72,A196)+COUNTIF('05_Complementos'!$A$5:$A$127,A196)=1,0,1)</x:f>
        <x:v>0</x:v>
      </x:c>
      <x:c r="O196" s="12" t="n">
        <x:f>COUNTIF('08_Trazas'!$A$5:$A$248,A196)-1</x:f>
        <x:v>0</x:v>
      </x:c>
      <x:c r="P196" s="12" t="n">
        <x:f>IF(COUNTIF('02_Custodia'!$A$5:$A$53,C196)=1,0,1)</x:f>
        <x:v>0</x:v>
      </x:c>
    </x:row>
    <x:row r="197" ht="47" customHeight="1">
      <x:c r="A197" s="4" t="str">
        <x:v>CP-072</x:v>
      </x:c>
      <x:c r="B197" s="4" t="str">
        <x:v>F016</x:v>
      </x:c>
      <x:c r="C197" s="4" t="str">
        <x:v>F016</x:v>
      </x:c>
      <x:c r="D197" s="4" t="str">
        <x:v>§2.1; función RS</x:v>
      </x:c>
      <x:c r="E197" s="4" t="str">
        <x:v>CSWP 29; 26-02-2024</x:v>
      </x:c>
      <x:c r="F197" s="4" t="str">
        <x:v>página física 8</x:v>
      </x:c>
      <x:c r="G197" s="4" t="str">
        <x:v>ROTULO_EN_TEXTO_EXTRAIDO_UTF8</x:v>
      </x:c>
      <x:c r="H197" s="4" t="str">
        <x:v>14616</x:v>
      </x:c>
      <x:c r="I197" s="4" t="str">
        <x:v>7</x:v>
      </x:c>
      <x:c r="J197" s="4" t="str">
        <x:v>135f705a6ac05f6bfb3ec133733eba7a38a79dbb55f73fb03e292d1aa389f02d</x:v>
      </x:c>
      <x:c r="K197" s="4" t="str">
        <x:v>2026-09-08</x:v>
      </x:c>
      <x:c r="L197" s="4" t="str">
        <x:v>SIN_FECHA_DE_ADOPCION</x:v>
      </x:c>
      <x:c r="M197" s="12" t="n">
        <x:f>IF(LEN(J197)=64,0,1)</x:f>
        <x:v>0</x:v>
      </x:c>
      <x:c r="N197" s="12" t="n">
        <x:f>IF(COUNTIF('03_NICE'!$A$5:$A$57,A197)+COUNTIF('04_TKS'!$A$5:$A$72,A197)+COUNTIF('05_Complementos'!$A$5:$A$127,A197)=1,0,1)</x:f>
        <x:v>0</x:v>
      </x:c>
      <x:c r="O197" s="12" t="n">
        <x:f>COUNTIF('08_Trazas'!$A$5:$A$248,A197)-1</x:f>
        <x:v>0</x:v>
      </x:c>
      <x:c r="P197" s="12" t="n">
        <x:f>IF(COUNTIF('02_Custodia'!$A$5:$A$53,C197)=1,0,1)</x:f>
        <x:v>0</x:v>
      </x:c>
    </x:row>
    <x:row r="198" ht="47" customHeight="1">
      <x:c r="A198" s="4" t="str">
        <x:v>CP-073</x:v>
      </x:c>
      <x:c r="B198" s="4" t="str">
        <x:v>F016</x:v>
      </x:c>
      <x:c r="C198" s="4" t="str">
        <x:v>F016</x:v>
      </x:c>
      <x:c r="D198" s="4" t="str">
        <x:v>§2.1; función RC</x:v>
      </x:c>
      <x:c r="E198" s="4" t="str">
        <x:v>CSWP 29; 26-02-2024</x:v>
      </x:c>
      <x:c r="F198" s="4" t="str">
        <x:v>página física 8</x:v>
      </x:c>
      <x:c r="G198" s="4" t="str">
        <x:v>ROTULO_EN_TEXTO_EXTRAIDO_UTF8</x:v>
      </x:c>
      <x:c r="H198" s="4" t="str">
        <x:v>14629</x:v>
      </x:c>
      <x:c r="I198" s="4" t="str">
        <x:v>7</x:v>
      </x:c>
      <x:c r="J198" s="4" t="str">
        <x:v>f9b5b9db79dec543d817f523ab97391c70b7d82d308c21a8fa2432b4fb43b2c2</x:v>
      </x:c>
      <x:c r="K198" s="4" t="str">
        <x:v>2026-09-08</x:v>
      </x:c>
      <x:c r="L198" s="4" t="str">
        <x:v>SIN_FECHA_DE_ADOPCION</x:v>
      </x:c>
      <x:c r="M198" s="12" t="n">
        <x:f>IF(LEN(J198)=64,0,1)</x:f>
        <x:v>0</x:v>
      </x:c>
      <x:c r="N198" s="12" t="n">
        <x:f>IF(COUNTIF('03_NICE'!$A$5:$A$57,A198)+COUNTIF('04_TKS'!$A$5:$A$72,A198)+COUNTIF('05_Complementos'!$A$5:$A$127,A198)=1,0,1)</x:f>
        <x:v>0</x:v>
      </x:c>
      <x:c r="O198" s="12" t="n">
        <x:f>COUNTIF('08_Trazas'!$A$5:$A$248,A198)-1</x:f>
        <x:v>0</x:v>
      </x:c>
      <x:c r="P198" s="12" t="n">
        <x:f>IF(COUNTIF('02_Custodia'!$A$5:$A$53,C198)=1,0,1)</x:f>
        <x:v>0</x:v>
      </x:c>
    </x:row>
    <x:row r="199" ht="47" customHeight="1">
      <x:c r="A199" s="4" t="str">
        <x:v>CP-074</x:v>
      </x:c>
      <x:c r="B199" s="4" t="str">
        <x:v>F018</x:v>
      </x:c>
      <x:c r="C199" s="4" t="str">
        <x:v>F018</x:v>
      </x:c>
      <x:c r="D199" s="4" t="str">
        <x:v>§6</x:v>
      </x:c>
      <x:c r="E199" s="4" t="str">
        <x:v>Final; septiembre 2008</x:v>
      </x:c>
      <x:c r="F199" s="4" t="str">
        <x:v>página física 5</x:v>
      </x:c>
      <x:c r="G199" s="4" t="str">
        <x:v>ROTULO_EN_TEXTO_EXTRAIDO_UTF8</x:v>
      </x:c>
      <x:c r="H199" s="4" t="str">
        <x:v>8498</x:v>
      </x:c>
      <x:c r="I199" s="4" t="str">
        <x:v>28</x:v>
      </x:c>
      <x:c r="J199" s="4" t="str">
        <x:v>b7385acb705dbe05077a579333c4401b7244d90d296c7613a3820338d12c9aed</x:v>
      </x:c>
      <x:c r="K199" s="4" t="str">
        <x:v>2026-09-08</x:v>
      </x:c>
      <x:c r="L199" s="4" t="str">
        <x:v>SIN_FECHA_DE_ADOPCION</x:v>
      </x:c>
      <x:c r="M199" s="12" t="n">
        <x:f>IF(LEN(J199)=64,0,1)</x:f>
        <x:v>0</x:v>
      </x:c>
      <x:c r="N199" s="12" t="n">
        <x:f>IF(COUNTIF('03_NICE'!$A$5:$A$57,A199)+COUNTIF('04_TKS'!$A$5:$A$72,A199)+COUNTIF('05_Complementos'!$A$5:$A$127,A199)=1,0,1)</x:f>
        <x:v>0</x:v>
      </x:c>
      <x:c r="O199" s="12" t="n">
        <x:f>COUNTIF('08_Trazas'!$A$5:$A$248,A199)-1</x:f>
        <x:v>0</x:v>
      </x:c>
      <x:c r="P199" s="12" t="n">
        <x:f>IF(COUNTIF('02_Custodia'!$A$5:$A$53,C199)=1,0,1)</x:f>
        <x:v>0</x:v>
      </x:c>
    </x:row>
    <x:row r="200" ht="47" customHeight="1">
      <x:c r="A200" s="4" t="str">
        <x:v>CP-075</x:v>
      </x:c>
      <x:c r="B200" s="4" t="str">
        <x:v>F018</x:v>
      </x:c>
      <x:c r="C200" s="4" t="str">
        <x:v>F018</x:v>
      </x:c>
      <x:c r="D200" s="4" t="str">
        <x:v>Apéndice B</x:v>
      </x:c>
      <x:c r="E200" s="4" t="str">
        <x:v>Final; septiembre 2008</x:v>
      </x:c>
      <x:c r="F200" s="4" t="str">
        <x:v>página física 6</x:v>
      </x:c>
      <x:c r="G200" s="4" t="str">
        <x:v>ROTULO_EN_TEXTO_EXTRAIDO_UTF8</x:v>
      </x:c>
      <x:c r="H200" s="4" t="str">
        <x:v>11642</x:v>
      </x:c>
      <x:c r="I200" s="4" t="str">
        <x:v>19</x:v>
      </x:c>
      <x:c r="J200" s="4" t="str">
        <x:v>9ad5bcc7c6b7c2f00ba5b0b6cebf4aeac7cb41b98808b383d9a559f9e39d2298</x:v>
      </x:c>
      <x:c r="K200" s="4" t="str">
        <x:v>2026-09-08</x:v>
      </x:c>
      <x:c r="L200" s="4" t="str">
        <x:v>SIN_FECHA_DE_ADOPCION</x:v>
      </x:c>
      <x:c r="M200" s="12" t="n">
        <x:f>IF(LEN(J200)=64,0,1)</x:f>
        <x:v>0</x:v>
      </x:c>
      <x:c r="N200" s="12" t="n">
        <x:f>IF(COUNTIF('03_NICE'!$A$5:$A$57,A200)+COUNTIF('04_TKS'!$A$5:$A$72,A200)+COUNTIF('05_Complementos'!$A$5:$A$127,A200)=1,0,1)</x:f>
        <x:v>0</x:v>
      </x:c>
      <x:c r="O200" s="12" t="n">
        <x:f>COUNTIF('08_Trazas'!$A$5:$A$248,A200)-1</x:f>
        <x:v>0</x:v>
      </x:c>
      <x:c r="P200" s="12" t="n">
        <x:f>IF(COUNTIF('02_Custodia'!$A$5:$A$53,C200)=1,0,1)</x:f>
        <x:v>0</x:v>
      </x:c>
    </x:row>
    <x:row r="201" ht="47" customHeight="1">
      <x:c r="A201" s="4" t="str">
        <x:v>CP-076</x:v>
      </x:c>
      <x:c r="B201" s="4" t="str">
        <x:v>F018</x:v>
      </x:c>
      <x:c r="C201" s="4" t="str">
        <x:v>F018</x:v>
      </x:c>
      <x:c r="D201" s="4" t="str">
        <x:v>§8.2</x:v>
      </x:c>
      <x:c r="E201" s="4" t="str">
        <x:v>Final; septiembre 2008</x:v>
      </x:c>
      <x:c r="F201" s="4" t="str">
        <x:v>página física 6</x:v>
      </x:c>
      <x:c r="G201" s="4" t="str">
        <x:v>ROTULO_EN_TEXTO_EXTRAIDO_UTF8</x:v>
      </x:c>
      <x:c r="H201" s="4" t="str">
        <x:v>11239</x:v>
      </x:c>
      <x:c r="I201" s="4" t="str">
        <x:v>9</x:v>
      </x:c>
      <x:c r="J201" s="4" t="str">
        <x:v>b1fa104b9bf0635e9d9550184d989002b9f1bd87fc945e563a1f7024054db6aa</x:v>
      </x:c>
      <x:c r="K201" s="4" t="str">
        <x:v>2026-09-08</x:v>
      </x:c>
      <x:c r="L201" s="4" t="str">
        <x:v>SIN_FECHA_DE_ADOPCION</x:v>
      </x:c>
      <x:c r="M201" s="12" t="n">
        <x:f>IF(LEN(J201)=64,0,1)</x:f>
        <x:v>0</x:v>
      </x:c>
      <x:c r="N201" s="12" t="n">
        <x:f>IF(COUNTIF('03_NICE'!$A$5:$A$57,A201)+COUNTIF('04_TKS'!$A$5:$A$72,A201)+COUNTIF('05_Complementos'!$A$5:$A$127,A201)=1,0,1)</x:f>
        <x:v>0</x:v>
      </x:c>
      <x:c r="O201" s="12" t="n">
        <x:f>COUNTIF('08_Trazas'!$A$5:$A$248,A201)-1</x:f>
        <x:v>0</x:v>
      </x:c>
      <x:c r="P201" s="12" t="n">
        <x:f>IF(COUNTIF('02_Custodia'!$A$5:$A$53,C201)=1,0,1)</x:f>
        <x:v>0</x:v>
      </x:c>
    </x:row>
    <x:row r="202" ht="47" customHeight="1">
      <x:c r="A202" s="4" t="str">
        <x:v>CP-077</x:v>
      </x:c>
      <x:c r="B202" s="4" t="str">
        <x:v>F019</x:v>
      </x:c>
      <x:c r="C202" s="4" t="str">
        <x:v>F019</x:v>
      </x:c>
      <x:c r="D202" s="4" t="str">
        <x:v>Tabla 3; DE.AE-03</x:v>
      </x:c>
      <x:c r="E202" s="4" t="str">
        <x:v>Final; abril 2025</x:v>
      </x:c>
      <x:c r="F202" s="4" t="str">
        <x:v>página física 33</x:v>
      </x:c>
      <x:c r="G202" s="4" t="str">
        <x:v>ROTULO_EN_TEXTO_EXTRAIDO_UTF8</x:v>
      </x:c>
      <x:c r="H202" s="4" t="str">
        <x:v>75155</x:v>
      </x:c>
      <x:c r="I202" s="4" t="str">
        <x:v>8</x:v>
      </x:c>
      <x:c r="J202" s="4" t="str">
        <x:v>a66d3f07d02b4cecd90e1b540c786548ae5522d4d085545619ffd55921a7a6ac</x:v>
      </x:c>
      <x:c r="K202" s="4" t="str">
        <x:v>2026-09-08</x:v>
      </x:c>
      <x:c r="L202" s="4" t="str">
        <x:v>SIN_FECHA_DE_ADOPCION</x:v>
      </x:c>
      <x:c r="M202" s="12" t="n">
        <x:f>IF(LEN(J202)=64,0,1)</x:f>
        <x:v>0</x:v>
      </x:c>
      <x:c r="N202" s="12" t="n">
        <x:f>IF(COUNTIF('03_NICE'!$A$5:$A$57,A202)+COUNTIF('04_TKS'!$A$5:$A$72,A202)+COUNTIF('05_Complementos'!$A$5:$A$127,A202)=1,0,1)</x:f>
        <x:v>0</x:v>
      </x:c>
      <x:c r="O202" s="12" t="n">
        <x:f>COUNTIF('08_Trazas'!$A$5:$A$248,A202)-1</x:f>
        <x:v>0</x:v>
      </x:c>
      <x:c r="P202" s="12" t="n">
        <x:f>IF(COUNTIF('02_Custodia'!$A$5:$A$53,C202)=1,0,1)</x:f>
        <x:v>0</x:v>
      </x:c>
    </x:row>
    <x:row r="203" ht="47" customHeight="1">
      <x:c r="A203" s="4" t="str">
        <x:v>CP-078</x:v>
      </x:c>
      <x:c r="B203" s="4" t="str">
        <x:v>F019</x:v>
      </x:c>
      <x:c r="C203" s="4" t="str">
        <x:v>F019</x:v>
      </x:c>
      <x:c r="D203" s="4" t="str">
        <x:v>Tabla 3; DE.AE-04</x:v>
      </x:c>
      <x:c r="E203" s="4" t="str">
        <x:v>Final; abril 2025</x:v>
      </x:c>
      <x:c r="F203" s="4" t="str">
        <x:v>página física 34</x:v>
      </x:c>
      <x:c r="G203" s="4" t="str">
        <x:v>ROTULO_EN_TEXTO_EXTRAIDO_UTF8</x:v>
      </x:c>
      <x:c r="H203" s="4" t="str">
        <x:v>75733</x:v>
      </x:c>
      <x:c r="I203" s="4" t="str">
        <x:v>8</x:v>
      </x:c>
      <x:c r="J203" s="4" t="str">
        <x:v>a36232b7192f0a759b67e88b5cc399833a1d934a980f4c2addd986f1e55c2a65</x:v>
      </x:c>
      <x:c r="K203" s="4" t="str">
        <x:v>2026-09-08</x:v>
      </x:c>
      <x:c r="L203" s="4" t="str">
        <x:v>SIN_FECHA_DE_ADOPCION</x:v>
      </x:c>
      <x:c r="M203" s="12" t="n">
        <x:f>IF(LEN(J203)=64,0,1)</x:f>
        <x:v>0</x:v>
      </x:c>
      <x:c r="N203" s="12" t="n">
        <x:f>IF(COUNTIF('03_NICE'!$A$5:$A$57,A203)+COUNTIF('04_TKS'!$A$5:$A$72,A203)+COUNTIF('05_Complementos'!$A$5:$A$127,A203)=1,0,1)</x:f>
        <x:v>0</x:v>
      </x:c>
      <x:c r="O203" s="12" t="n">
        <x:f>COUNTIF('08_Trazas'!$A$5:$A$248,A203)-1</x:f>
        <x:v>0</x:v>
      </x:c>
      <x:c r="P203" s="12" t="n">
        <x:f>IF(COUNTIF('02_Custodia'!$A$5:$A$53,C203)=1,0,1)</x:f>
        <x:v>0</x:v>
      </x:c>
    </x:row>
    <x:row r="204" ht="47" customHeight="1">
      <x:c r="A204" s="4" t="str">
        <x:v>CP-079</x:v>
      </x:c>
      <x:c r="B204" s="4" t="str">
        <x:v>F019</x:v>
      </x:c>
      <x:c r="C204" s="4" t="str">
        <x:v>F019</x:v>
      </x:c>
      <x:c r="D204" s="4" t="str">
        <x:v>Tabla 3; DE.AE-06</x:v>
      </x:c>
      <x:c r="E204" s="4" t="str">
        <x:v>Final; abril 2025</x:v>
      </x:c>
      <x:c r="F204" s="4" t="str">
        <x:v>página física 34</x:v>
      </x:c>
      <x:c r="G204" s="4" t="str">
        <x:v>ROTULO_EN_TEXTO_EXTRAIDO_UTF8</x:v>
      </x:c>
      <x:c r="H204" s="4" t="str">
        <x:v>75965</x:v>
      </x:c>
      <x:c r="I204" s="4" t="str">
        <x:v>8</x:v>
      </x:c>
      <x:c r="J204" s="4" t="str">
        <x:v>3e935ba49133437b9380d6805e4860102720432ddfb6361416028eb7d70c609b</x:v>
      </x:c>
      <x:c r="K204" s="4" t="str">
        <x:v>2026-09-08</x:v>
      </x:c>
      <x:c r="L204" s="4" t="str">
        <x:v>SIN_FECHA_DE_ADOPCION</x:v>
      </x:c>
      <x:c r="M204" s="12" t="n">
        <x:f>IF(LEN(J204)=64,0,1)</x:f>
        <x:v>0</x:v>
      </x:c>
      <x:c r="N204" s="12" t="n">
        <x:f>IF(COUNTIF('03_NICE'!$A$5:$A$57,A204)+COUNTIF('04_TKS'!$A$5:$A$72,A204)+COUNTIF('05_Complementos'!$A$5:$A$127,A204)=1,0,1)</x:f>
        <x:v>0</x:v>
      </x:c>
      <x:c r="O204" s="12" t="n">
        <x:f>COUNTIF('08_Trazas'!$A$5:$A$248,A204)-1</x:f>
        <x:v>0</x:v>
      </x:c>
      <x:c r="P204" s="12" t="n">
        <x:f>IF(COUNTIF('02_Custodia'!$A$5:$A$53,C204)=1,0,1)</x:f>
        <x:v>0</x:v>
      </x:c>
    </x:row>
    <x:row r="205" ht="47" customHeight="1">
      <x:c r="A205" s="4" t="str">
        <x:v>CP-080</x:v>
      </x:c>
      <x:c r="B205" s="4" t="str">
        <x:v>F019</x:v>
      </x:c>
      <x:c r="C205" s="4" t="str">
        <x:v>F019</x:v>
      </x:c>
      <x:c r="D205" s="4" t="str">
        <x:v>Tabla 3; DE.AE-08</x:v>
      </x:c>
      <x:c r="E205" s="4" t="str">
        <x:v>Final; abril 2025</x:v>
      </x:c>
      <x:c r="F205" s="4" t="str">
        <x:v>página física 34</x:v>
      </x:c>
      <x:c r="G205" s="4" t="str">
        <x:v>ROTULO_EN_TEXTO_EXTRAIDO_UTF8</x:v>
      </x:c>
      <x:c r="H205" s="4" t="str">
        <x:v>77064</x:v>
      </x:c>
      <x:c r="I205" s="4" t="str">
        <x:v>8</x:v>
      </x:c>
      <x:c r="J205" s="4" t="str">
        <x:v>5fdf9e594a7f0088419a3cf295bf3be69b5b7eb72d9362dd45dbf5b1ed8f8137</x:v>
      </x:c>
      <x:c r="K205" s="4" t="str">
        <x:v>2026-09-08</x:v>
      </x:c>
      <x:c r="L205" s="4" t="str">
        <x:v>SIN_FECHA_DE_ADOPCION</x:v>
      </x:c>
      <x:c r="M205" s="12" t="n">
        <x:f>IF(LEN(J205)=64,0,1)</x:f>
        <x:v>0</x:v>
      </x:c>
      <x:c r="N205" s="12" t="n">
        <x:f>IF(COUNTIF('03_NICE'!$A$5:$A$57,A205)+COUNTIF('04_TKS'!$A$5:$A$72,A205)+COUNTIF('05_Complementos'!$A$5:$A$127,A205)=1,0,1)</x:f>
        <x:v>0</x:v>
      </x:c>
      <x:c r="O205" s="12" t="n">
        <x:f>COUNTIF('08_Trazas'!$A$5:$A$248,A205)-1</x:f>
        <x:v>0</x:v>
      </x:c>
      <x:c r="P205" s="12" t="n">
        <x:f>IF(COUNTIF('02_Custodia'!$A$5:$A$53,C205)=1,0,1)</x:f>
        <x:v>0</x:v>
      </x:c>
    </x:row>
    <x:row r="206" ht="47" customHeight="1">
      <x:c r="A206" s="4" t="str">
        <x:v>CP-081</x:v>
      </x:c>
      <x:c r="B206" s="4" t="str">
        <x:v>F019</x:v>
      </x:c>
      <x:c r="C206" s="4" t="str">
        <x:v>F019</x:v>
      </x:c>
      <x:c r="D206" s="4" t="str">
        <x:v>Tabla 3; RS.MA-02</x:v>
      </x:c>
      <x:c r="E206" s="4" t="str">
        <x:v>Final; abril 2025</x:v>
      </x:c>
      <x:c r="F206" s="4" t="str">
        <x:v>página física 35</x:v>
      </x:c>
      <x:c r="G206" s="4" t="str">
        <x:v>ROTULO_EN_TEXTO_EXTRAIDO_UTF8</x:v>
      </x:c>
      <x:c r="H206" s="4" t="str">
        <x:v>79564</x:v>
      </x:c>
      <x:c r="I206" s="4" t="str">
        <x:v>8</x:v>
      </x:c>
      <x:c r="J206" s="4" t="str">
        <x:v>c5f9abba758d6b3387377715be408d79b611e2a344d82ea5116aafc690ddc544</x:v>
      </x:c>
      <x:c r="K206" s="4" t="str">
        <x:v>2026-09-08</x:v>
      </x:c>
      <x:c r="L206" s="4" t="str">
        <x:v>SIN_FECHA_DE_ADOPCION</x:v>
      </x:c>
      <x:c r="M206" s="12" t="n">
        <x:f>IF(LEN(J206)=64,0,1)</x:f>
        <x:v>0</x:v>
      </x:c>
      <x:c r="N206" s="12" t="n">
        <x:f>IF(COUNTIF('03_NICE'!$A$5:$A$57,A206)+COUNTIF('04_TKS'!$A$5:$A$72,A206)+COUNTIF('05_Complementos'!$A$5:$A$127,A206)=1,0,1)</x:f>
        <x:v>0</x:v>
      </x:c>
      <x:c r="O206" s="12" t="n">
        <x:f>COUNTIF('08_Trazas'!$A$5:$A$248,A206)-1</x:f>
        <x:v>0</x:v>
      </x:c>
      <x:c r="P206" s="12" t="n">
        <x:f>IF(COUNTIF('02_Custodia'!$A$5:$A$53,C206)=1,0,1)</x:f>
        <x:v>0</x:v>
      </x:c>
    </x:row>
    <x:row r="207" ht="47" customHeight="1">
      <x:c r="A207" s="4" t="str">
        <x:v>CP-082</x:v>
      </x:c>
      <x:c r="B207" s="4" t="str">
        <x:v>F019</x:v>
      </x:c>
      <x:c r="C207" s="4" t="str">
        <x:v>F019</x:v>
      </x:c>
      <x:c r="D207" s="4" t="str">
        <x:v>Tabla 3; RS.AN-07</x:v>
      </x:c>
      <x:c r="E207" s="4" t="str">
        <x:v>Final; abril 2025</x:v>
      </x:c>
      <x:c r="F207" s="4" t="str">
        <x:v>página física 37</x:v>
      </x:c>
      <x:c r="G207" s="4" t="str">
        <x:v>ROTULO_EN_TEXTO_EXTRAIDO_UTF8</x:v>
      </x:c>
      <x:c r="H207" s="4" t="str">
        <x:v>84351</x:v>
      </x:c>
      <x:c r="I207" s="4" t="str">
        <x:v>8</x:v>
      </x:c>
      <x:c r="J207" s="4" t="str">
        <x:v>ec4a4cbb05c21a4efe644e28234b489cb70166f662ade1a87517fc7d9ead4c89</x:v>
      </x:c>
      <x:c r="K207" s="4" t="str">
        <x:v>2026-09-08</x:v>
      </x:c>
      <x:c r="L207" s="4" t="str">
        <x:v>SIN_FECHA_DE_ADOPCION</x:v>
      </x:c>
      <x:c r="M207" s="12" t="n">
        <x:f>IF(LEN(J207)=64,0,1)</x:f>
        <x:v>0</x:v>
      </x:c>
      <x:c r="N207" s="12" t="n">
        <x:f>IF(COUNTIF('03_NICE'!$A$5:$A$57,A207)+COUNTIF('04_TKS'!$A$5:$A$72,A207)+COUNTIF('05_Complementos'!$A$5:$A$127,A207)=1,0,1)</x:f>
        <x:v>0</x:v>
      </x:c>
      <x:c r="O207" s="12" t="n">
        <x:f>COUNTIF('08_Trazas'!$A$5:$A$248,A207)-1</x:f>
        <x:v>0</x:v>
      </x:c>
      <x:c r="P207" s="12" t="n">
        <x:f>IF(COUNTIF('02_Custodia'!$A$5:$A$53,C207)=1,0,1)</x:f>
        <x:v>0</x:v>
      </x:c>
    </x:row>
    <x:row r="208" ht="47" customHeight="1">
      <x:c r="A208" s="4" t="str">
        <x:v>CP-083</x:v>
      </x:c>
      <x:c r="B208" s="4" t="str">
        <x:v>F020</x:v>
      </x:c>
      <x:c r="C208" s="4" t="str">
        <x:v>F020</x:v>
      </x:c>
      <x:c r="D208" s="4" t="str">
        <x:v>Páginas impresas 28–32; Comparing OT and IT System Security; tabla 1</x:v>
      </x:c>
      <x:c r="E208" s="4" t="str">
        <x:v>Final; septiembre 2023</x:v>
      </x:c>
      <x:c r="F208" s="4" t="str">
        <x:v>página física 5</x:v>
      </x:c>
      <x:c r="G208" s="4" t="str">
        <x:v>ROTULO_EN_TEXTO_EXTRAIDO_UTF8</x:v>
      </x:c>
      <x:c r="H208" s="4" t="str">
        <x:v>5258</x:v>
      </x:c>
      <x:c r="I208" s="4" t="str">
        <x:v>6</x:v>
      </x:c>
      <x:c r="J208" s="4" t="str">
        <x:v>856e8bd358ece398c72f1003391aef5d1cd4fb9146e9f280b86290ce670b5afc</x:v>
      </x:c>
      <x:c r="K208" s="4" t="str">
        <x:v>2026-09-08</x:v>
      </x:c>
      <x:c r="L208" s="4" t="str">
        <x:v>SIN_FECHA_DE_ADOPCION</x:v>
      </x:c>
      <x:c r="M208" s="12" t="n">
        <x:f>IF(LEN(J208)=64,0,1)</x:f>
        <x:v>0</x:v>
      </x:c>
      <x:c r="N208" s="12" t="n">
        <x:f>IF(COUNTIF('03_NICE'!$A$5:$A$57,A208)+COUNTIF('04_TKS'!$A$5:$A$72,A208)+COUNTIF('05_Complementos'!$A$5:$A$127,A208)=1,0,1)</x:f>
        <x:v>0</x:v>
      </x:c>
      <x:c r="O208" s="12" t="n">
        <x:f>COUNTIF('08_Trazas'!$A$5:$A$248,A208)-1</x:f>
        <x:v>0</x:v>
      </x:c>
      <x:c r="P208" s="12" t="n">
        <x:f>IF(COUNTIF('02_Custodia'!$A$5:$A$53,C208)=1,0,1)</x:f>
        <x:v>0</x:v>
      </x:c>
    </x:row>
    <x:row r="209" ht="47" customHeight="1">
      <x:c r="A209" s="4" t="str">
        <x:v>CP-084</x:v>
      </x:c>
      <x:c r="B209" s="4" t="str">
        <x:v>F024</x:v>
      </x:c>
      <x:c r="C209" s="4" t="str">
        <x:v>F024</x:v>
      </x:c>
      <x:c r="D209" s="4" t="str">
        <x:v>Parte 2; AI RMF Core; función GOVERN</x:v>
      </x:c>
      <x:c r="E209" s="4" t="str">
        <x:v>AI 100-1; enero 2023</x:v>
      </x:c>
      <x:c r="F209" s="4" t="str">
        <x:v>página física 4</x:v>
      </x:c>
      <x:c r="G209" s="4" t="str">
        <x:v>ROTULO_EN_TEXTO_EXTRAIDO_UTF8</x:v>
      </x:c>
      <x:c r="H209" s="4" t="str">
        <x:v>2710</x:v>
      </x:c>
      <x:c r="I209" s="4" t="str">
        <x:v>6</x:v>
      </x:c>
      <x:c r="J209" s="4" t="str">
        <x:v>01abc25e265982968fdd6300ad5e02a0a00042a0f5a341d4cf46b419cfe43c0a</x:v>
      </x:c>
      <x:c r="K209" s="4" t="str">
        <x:v>2026-09-08</x:v>
      </x:c>
      <x:c r="L209" s="4" t="str">
        <x:v>SIN_FECHA_DE_ADOPCION</x:v>
      </x:c>
      <x:c r="M209" s="12" t="n">
        <x:f>IF(LEN(J209)=64,0,1)</x:f>
        <x:v>0</x:v>
      </x:c>
      <x:c r="N209" s="12" t="n">
        <x:f>IF(COUNTIF('03_NICE'!$A$5:$A$57,A209)+COUNTIF('04_TKS'!$A$5:$A$72,A209)+COUNTIF('05_Complementos'!$A$5:$A$127,A209)=1,0,1)</x:f>
        <x:v>0</x:v>
      </x:c>
      <x:c r="O209" s="12" t="n">
        <x:f>COUNTIF('08_Trazas'!$A$5:$A$248,A209)-1</x:f>
        <x:v>0</x:v>
      </x:c>
      <x:c r="P209" s="12" t="n">
        <x:f>IF(COUNTIF('02_Custodia'!$A$5:$A$53,C209)=1,0,1)</x:f>
        <x:v>0</x:v>
      </x:c>
    </x:row>
    <x:row r="210" ht="47" customHeight="1">
      <x:c r="A210" s="4" t="str">
        <x:v>CP-085</x:v>
      </x:c>
      <x:c r="B210" s="4" t="str">
        <x:v>F024</x:v>
      </x:c>
      <x:c r="C210" s="4" t="str">
        <x:v>F024</x:v>
      </x:c>
      <x:c r="D210" s="4" t="str">
        <x:v>Parte 2; AI RMF Core; función MAP</x:v>
      </x:c>
      <x:c r="E210" s="4" t="str">
        <x:v>AI 100-1; enero 2023</x:v>
      </x:c>
      <x:c r="F210" s="4" t="str">
        <x:v>página física 4</x:v>
      </x:c>
      <x:c r="G210" s="4" t="str">
        <x:v>ROTULO_EN_TEXTO_EXTRAIDO_UTF8</x:v>
      </x:c>
      <x:c r="H210" s="4" t="str">
        <x:v>2724</x:v>
      </x:c>
      <x:c r="I210" s="4" t="str">
        <x:v>3</x:v>
      </x:c>
      <x:c r="J210" s="4" t="str">
        <x:v>be176b0015c424b78e9f343f8bc3014a7a701cc2eb9000b6acbc04d67dbecb8f</x:v>
      </x:c>
      <x:c r="K210" s="4" t="str">
        <x:v>2026-09-08</x:v>
      </x:c>
      <x:c r="L210" s="4" t="str">
        <x:v>SIN_FECHA_DE_ADOPCION</x:v>
      </x:c>
      <x:c r="M210" s="12" t="n">
        <x:f>IF(LEN(J210)=64,0,1)</x:f>
        <x:v>0</x:v>
      </x:c>
      <x:c r="N210" s="12" t="n">
        <x:f>IF(COUNTIF('03_NICE'!$A$5:$A$57,A210)+COUNTIF('04_TKS'!$A$5:$A$72,A210)+COUNTIF('05_Complementos'!$A$5:$A$127,A210)=1,0,1)</x:f>
        <x:v>0</x:v>
      </x:c>
      <x:c r="O210" s="12" t="n">
        <x:f>COUNTIF('08_Trazas'!$A$5:$A$248,A210)-1</x:f>
        <x:v>0</x:v>
      </x:c>
      <x:c r="P210" s="12" t="n">
        <x:f>IF(COUNTIF('02_Custodia'!$A$5:$A$53,C210)=1,0,1)</x:f>
        <x:v>0</x:v>
      </x:c>
    </x:row>
    <x:row r="211" ht="47" customHeight="1">
      <x:c r="A211" s="4" t="str">
        <x:v>CP-086</x:v>
      </x:c>
      <x:c r="B211" s="4" t="str">
        <x:v>F024</x:v>
      </x:c>
      <x:c r="C211" s="4" t="str">
        <x:v>F024</x:v>
      </x:c>
      <x:c r="D211" s="4" t="str">
        <x:v>Parte 2; AI RMF Core; función MEASURE</x:v>
      </x:c>
      <x:c r="E211" s="4" t="str">
        <x:v>AI 100-1; enero 2023</x:v>
      </x:c>
      <x:c r="F211" s="4" t="str">
        <x:v>página física 4</x:v>
      </x:c>
      <x:c r="G211" s="4" t="str">
        <x:v>ROTULO_EN_TEXTO_EXTRAIDO_UTF8</x:v>
      </x:c>
      <x:c r="H211" s="4" t="str">
        <x:v>2253</x:v>
      </x:c>
      <x:c r="I211" s="4" t="str">
        <x:v>7</x:v>
      </x:c>
      <x:c r="J211" s="4" t="str">
        <x:v>ebf940f2b3eaa86c4ca34f4bfe7241f2c2815c1358cbb6b841818ca7a4aaadc7</x:v>
      </x:c>
      <x:c r="K211" s="4" t="str">
        <x:v>2026-09-08</x:v>
      </x:c>
      <x:c r="L211" s="4" t="str">
        <x:v>SIN_FECHA_DE_ADOPCION</x:v>
      </x:c>
      <x:c r="M211" s="12" t="n">
        <x:f>IF(LEN(J211)=64,0,1)</x:f>
        <x:v>0</x:v>
      </x:c>
      <x:c r="N211" s="12" t="n">
        <x:f>IF(COUNTIF('03_NICE'!$A$5:$A$57,A211)+COUNTIF('04_TKS'!$A$5:$A$72,A211)+COUNTIF('05_Complementos'!$A$5:$A$127,A211)=1,0,1)</x:f>
        <x:v>0</x:v>
      </x:c>
      <x:c r="O211" s="12" t="n">
        <x:f>COUNTIF('08_Trazas'!$A$5:$A$248,A211)-1</x:f>
        <x:v>0</x:v>
      </x:c>
      <x:c r="P211" s="12" t="n">
        <x:f>IF(COUNTIF('02_Custodia'!$A$5:$A$53,C211)=1,0,1)</x:f>
        <x:v>0</x:v>
      </x:c>
    </x:row>
    <x:row r="212" ht="47" customHeight="1">
      <x:c r="A212" s="4" t="str">
        <x:v>CP-087</x:v>
      </x:c>
      <x:c r="B212" s="4" t="str">
        <x:v>F024</x:v>
      </x:c>
      <x:c r="C212" s="4" t="str">
        <x:v>F024</x:v>
      </x:c>
      <x:c r="D212" s="4" t="str">
        <x:v>Parte 2; AI RMF Core; función MANAGE</x:v>
      </x:c>
      <x:c r="E212" s="4" t="str">
        <x:v>AI 100-1; enero 2023</x:v>
      </x:c>
      <x:c r="F212" s="4" t="str">
        <x:v>página física 1</x:v>
      </x:c>
      <x:c r="G212" s="4" t="str">
        <x:v>ROTULO_EN_TEXTO_EXTRAIDO_UTF8</x:v>
      </x:c>
      <x:c r="H212" s="4" t="str">
        <x:v>57</x:v>
      </x:c>
      <x:c r="I212" s="4" t="str">
        <x:v>6</x:v>
      </x:c>
      <x:c r="J212" s="4" t="str">
        <x:v>5a23444828db654a0eaef5f81aabe79432871f43f73ea888279b3ee212f98a7b</x:v>
      </x:c>
      <x:c r="K212" s="4" t="str">
        <x:v>2026-09-08</x:v>
      </x:c>
      <x:c r="L212" s="4" t="str">
        <x:v>SIN_FECHA_DE_ADOPCION</x:v>
      </x:c>
      <x:c r="M212" s="12" t="n">
        <x:f>IF(LEN(J212)=64,0,1)</x:f>
        <x:v>0</x:v>
      </x:c>
      <x:c r="N212" s="12" t="n">
        <x:f>IF(COUNTIF('03_NICE'!$A$5:$A$57,A212)+COUNTIF('04_TKS'!$A$5:$A$72,A212)+COUNTIF('05_Complementos'!$A$5:$A$127,A212)=1,0,1)</x:f>
        <x:v>0</x:v>
      </x:c>
      <x:c r="O212" s="12" t="n">
        <x:f>COUNTIF('08_Trazas'!$A$5:$A$248,A212)-1</x:f>
        <x:v>0</x:v>
      </x:c>
      <x:c r="P212" s="12" t="n">
        <x:f>IF(COUNTIF('02_Custodia'!$A$5:$A$53,C212)=1,0,1)</x:f>
        <x:v>0</x:v>
      </x:c>
    </x:row>
    <x:row r="213" ht="47" customHeight="1">
      <x:c r="A213" s="4" t="str">
        <x:v>CP-088</x:v>
      </x:c>
      <x:c r="B213" s="4" t="str">
        <x:v>F025</x:v>
      </x:c>
      <x:c r="C213" s="4" t="str">
        <x:v>F025</x:v>
      </x:c>
      <x:c r="D213" s="4" t="str">
        <x:v>Tabla 1; PS.1.1</x:v>
      </x:c>
      <x:c r="E213" s="4" t="str">
        <x:v>Final; 26-07-2024</x:v>
      </x:c>
      <x:c r="F213" s="4" t="str">
        <x:v>página física 19</x:v>
      </x:c>
      <x:c r="G213" s="4" t="str">
        <x:v>ROTULO_EN_TEXTO_EXTRAIDO_UTF8</x:v>
      </x:c>
      <x:c r="H213" s="4" t="str">
        <x:v>39911</x:v>
      </x:c>
      <x:c r="I213" s="4" t="str">
        <x:v>6</x:v>
      </x:c>
      <x:c r="J213" s="4" t="str">
        <x:v>7b7873f2427ea0249436f0525a96192923e508c33190845921623281c638c12a</x:v>
      </x:c>
      <x:c r="K213" s="4" t="str">
        <x:v>2026-09-08</x:v>
      </x:c>
      <x:c r="L213" s="4" t="str">
        <x:v>SIN_FECHA_DE_ADOPCION</x:v>
      </x:c>
      <x:c r="M213" s="12" t="n">
        <x:f>IF(LEN(J213)=64,0,1)</x:f>
        <x:v>0</x:v>
      </x:c>
      <x:c r="N213" s="12" t="n">
        <x:f>IF(COUNTIF('03_NICE'!$A$5:$A$57,A213)+COUNTIF('04_TKS'!$A$5:$A$72,A213)+COUNTIF('05_Complementos'!$A$5:$A$127,A213)=1,0,1)</x:f>
        <x:v>0</x:v>
      </x:c>
      <x:c r="O213" s="12" t="n">
        <x:f>COUNTIF('08_Trazas'!$A$5:$A$248,A213)-1</x:f>
        <x:v>0</x:v>
      </x:c>
      <x:c r="P213" s="12" t="n">
        <x:f>IF(COUNTIF('02_Custodia'!$A$5:$A$53,C213)=1,0,1)</x:f>
        <x:v>0</x:v>
      </x:c>
    </x:row>
    <x:row r="214" ht="47" customHeight="1">
      <x:c r="A214" s="4" t="str">
        <x:v>CP-089</x:v>
      </x:c>
      <x:c r="B214" s="4" t="str">
        <x:v>F025</x:v>
      </x:c>
      <x:c r="C214" s="4" t="str">
        <x:v>F025</x:v>
      </x:c>
      <x:c r="D214" s="4" t="str">
        <x:v>Tabla 1; PS.1.2</x:v>
      </x:c>
      <x:c r="E214" s="4" t="str">
        <x:v>Final; 26-07-2024</x:v>
      </x:c>
      <x:c r="F214" s="4" t="str">
        <x:v>página física 20</x:v>
      </x:c>
      <x:c r="G214" s="4" t="str">
        <x:v>ROTULO_EN_TEXTO_EXTRAIDO_UTF8</x:v>
      </x:c>
      <x:c r="H214" s="4" t="str">
        <x:v>41183</x:v>
      </x:c>
      <x:c r="I214" s="4" t="str">
        <x:v>6</x:v>
      </x:c>
      <x:c r="J214" s="4" t="str">
        <x:v>325fe5d536fcd87668e03384352cf791adc251584b28da6e70e7a68611082f4d</x:v>
      </x:c>
      <x:c r="K214" s="4" t="str">
        <x:v>2026-09-08</x:v>
      </x:c>
      <x:c r="L214" s="4" t="str">
        <x:v>SIN_FECHA_DE_ADOPCION</x:v>
      </x:c>
      <x:c r="M214" s="12" t="n">
        <x:f>IF(LEN(J214)=64,0,1)</x:f>
        <x:v>0</x:v>
      </x:c>
      <x:c r="N214" s="12" t="n">
        <x:f>IF(COUNTIF('03_NICE'!$A$5:$A$57,A214)+COUNTIF('04_TKS'!$A$5:$A$72,A214)+COUNTIF('05_Complementos'!$A$5:$A$127,A214)=1,0,1)</x:f>
        <x:v>0</x:v>
      </x:c>
      <x:c r="O214" s="12" t="n">
        <x:f>COUNTIF('08_Trazas'!$A$5:$A$248,A214)-1</x:f>
        <x:v>0</x:v>
      </x:c>
      <x:c r="P214" s="12" t="n">
        <x:f>IF(COUNTIF('02_Custodia'!$A$5:$A$53,C214)=1,0,1)</x:f>
        <x:v>0</x:v>
      </x:c>
    </x:row>
    <x:row r="215" ht="47" customHeight="1">
      <x:c r="A215" s="4" t="str">
        <x:v>CP-090</x:v>
      </x:c>
      <x:c r="B215" s="4" t="str">
        <x:v>F025</x:v>
      </x:c>
      <x:c r="C215" s="4" t="str">
        <x:v>F025</x:v>
      </x:c>
      <x:c r="D215" s="4" t="str">
        <x:v>Tabla 1; PS.1.3</x:v>
      </x:c>
      <x:c r="E215" s="4" t="str">
        <x:v>Final; 26-07-2024</x:v>
      </x:c>
      <x:c r="F215" s="4" t="str">
        <x:v>página física 20</x:v>
      </x:c>
      <x:c r="G215" s="4" t="str">
        <x:v>ROTULO_EN_TEXTO_EXTRAIDO_UTF8</x:v>
      </x:c>
      <x:c r="H215" s="4" t="str">
        <x:v>41627</x:v>
      </x:c>
      <x:c r="I215" s="4" t="str">
        <x:v>6</x:v>
      </x:c>
      <x:c r="J215" s="4" t="str">
        <x:v>6ced4d3a67adfda08fb8f9785e828c7280fac4561883bd6d85c244c3b23f7b4b</x:v>
      </x:c>
      <x:c r="K215" s="4" t="str">
        <x:v>2026-09-08</x:v>
      </x:c>
      <x:c r="L215" s="4" t="str">
        <x:v>SIN_FECHA_DE_ADOPCION</x:v>
      </x:c>
      <x:c r="M215" s="12" t="n">
        <x:f>IF(LEN(J215)=64,0,1)</x:f>
        <x:v>0</x:v>
      </x:c>
      <x:c r="N215" s="12" t="n">
        <x:f>IF(COUNTIF('03_NICE'!$A$5:$A$57,A215)+COUNTIF('04_TKS'!$A$5:$A$72,A215)+COUNTIF('05_Complementos'!$A$5:$A$127,A215)=1,0,1)</x:f>
        <x:v>0</x:v>
      </x:c>
      <x:c r="O215" s="12" t="n">
        <x:f>COUNTIF('08_Trazas'!$A$5:$A$248,A215)-1</x:f>
        <x:v>0</x:v>
      </x:c>
      <x:c r="P215" s="12" t="n">
        <x:f>IF(COUNTIF('02_Custodia'!$A$5:$A$53,C215)=1,0,1)</x:f>
        <x:v>0</x:v>
      </x:c>
    </x:row>
    <x:row r="216" ht="47" customHeight="1">
      <x:c r="A216" s="4" t="str">
        <x:v>CP-091</x:v>
      </x:c>
      <x:c r="B216" s="4" t="str">
        <x:v>F026</x:v>
      </x:c>
      <x:c r="C216" s="4" t="str">
        <x:v>F026</x:v>
      </x:c>
      <x:c r="D216" s="4" t="str">
        <x:v>§2.1</x:v>
      </x:c>
      <x:c r="E216" s="4" t="str">
        <x:v>Marzo 2025; PDF corregido 01-04-2025; errata pendiente de página x identificada</x:v>
      </x:c>
      <x:c r="F216" s="4" t="str">
        <x:v>página física 4</x:v>
      </x:c>
      <x:c r="G216" s="4" t="str">
        <x:v>ROTULO_EN_TEXTO_EXTRAIDO_UTF8</x:v>
      </x:c>
      <x:c r="H216" s="4" t="str">
        <x:v>2829</x:v>
      </x:c>
      <x:c r="I216" s="4" t="str">
        <x:v>8</x:v>
      </x:c>
      <x:c r="J216" s="4" t="str">
        <x:v>e64ba38a4b958c72bc0d421150ba464636422485ed72fab7086c7691ce4008cc</x:v>
      </x:c>
      <x:c r="K216" s="4" t="str">
        <x:v>2026-09-08</x:v>
      </x:c>
      <x:c r="L216" s="4" t="str">
        <x:v>SIN_FECHA_DE_ADOPCION</x:v>
      </x:c>
      <x:c r="M216" s="12" t="n">
        <x:f>IF(LEN(J216)=64,0,1)</x:f>
        <x:v>0</x:v>
      </x:c>
      <x:c r="N216" s="12" t="n">
        <x:f>IF(COUNTIF('03_NICE'!$A$5:$A$57,A216)+COUNTIF('04_TKS'!$A$5:$A$72,A216)+COUNTIF('05_Complementos'!$A$5:$A$127,A216)=1,0,1)</x:f>
        <x:v>0</x:v>
      </x:c>
      <x:c r="O216" s="12" t="n">
        <x:f>COUNTIF('08_Trazas'!$A$5:$A$248,A216)-1</x:f>
        <x:v>0</x:v>
      </x:c>
      <x:c r="P216" s="12" t="n">
        <x:f>IF(COUNTIF('02_Custodia'!$A$5:$A$53,C216)=1,0,1)</x:f>
        <x:v>0</x:v>
      </x:c>
    </x:row>
    <x:row r="217" ht="47" customHeight="1">
      <x:c r="A217" s="4" t="str">
        <x:v>CP-092</x:v>
      </x:c>
      <x:c r="B217" s="4" t="str">
        <x:v>F026</x:v>
      </x:c>
      <x:c r="C217" s="4" t="str">
        <x:v>F026</x:v>
      </x:c>
      <x:c r="D217" s="4" t="str">
        <x:v>§2.2</x:v>
      </x:c>
      <x:c r="E217" s="4" t="str">
        <x:v>Marzo 2025; PDF corregido 01-04-2025; errata pendiente de página x identificada</x:v>
      </x:c>
      <x:c r="F217" s="4" t="str">
        <x:v>página física 4</x:v>
      </x:c>
      <x:c r="G217" s="4" t="str">
        <x:v>ROTULO_EN_TEXTO_EXTRAIDO_UTF8</x:v>
      </x:c>
      <x:c r="H217" s="4" t="str">
        <x:v>3571</x:v>
      </x:c>
      <x:c r="I217" s="4" t="str">
        <x:v>7</x:v>
      </x:c>
      <x:c r="J217" s="4" t="str">
        <x:v>aae36d07312f912f02b69e83016721922d43680bacb48bc21046f9eaf8686197</x:v>
      </x:c>
      <x:c r="K217" s="4" t="str">
        <x:v>2026-09-08</x:v>
      </x:c>
      <x:c r="L217" s="4" t="str">
        <x:v>SIN_FECHA_DE_ADOPCION</x:v>
      </x:c>
      <x:c r="M217" s="12" t="n">
        <x:f>IF(LEN(J217)=64,0,1)</x:f>
        <x:v>0</x:v>
      </x:c>
      <x:c r="N217" s="12" t="n">
        <x:f>IF(COUNTIF('03_NICE'!$A$5:$A$57,A217)+COUNTIF('04_TKS'!$A$5:$A$72,A217)+COUNTIF('05_Complementos'!$A$5:$A$127,A217)=1,0,1)</x:f>
        <x:v>0</x:v>
      </x:c>
      <x:c r="O217" s="12" t="n">
        <x:f>COUNTIF('08_Trazas'!$A$5:$A$248,A217)-1</x:f>
        <x:v>0</x:v>
      </x:c>
      <x:c r="P217" s="12" t="n">
        <x:f>IF(COUNTIF('02_Custodia'!$A$5:$A$53,C217)=1,0,1)</x:f>
        <x:v>0</x:v>
      </x:c>
    </x:row>
    <x:row r="218" ht="47" customHeight="1">
      <x:c r="A218" s="4" t="str">
        <x:v>CP-093</x:v>
      </x:c>
      <x:c r="B218" s="4" t="str">
        <x:v>F026</x:v>
      </x:c>
      <x:c r="C218" s="4" t="str">
        <x:v>F026</x:v>
      </x:c>
      <x:c r="D218" s="4" t="str">
        <x:v>§2.3</x:v>
      </x:c>
      <x:c r="E218" s="4" t="str">
        <x:v>Marzo 2025; PDF corregido 01-04-2025; errata pendiente de página x identificada</x:v>
      </x:c>
      <x:c r="F218" s="4" t="str">
        <x:v>página física 4</x:v>
      </x:c>
      <x:c r="G218" s="4" t="str">
        <x:v>ROTULO_EN_TEXTO_EXTRAIDO_UTF8</x:v>
      </x:c>
      <x:c r="H218" s="4" t="str">
        <x:v>3560</x:v>
      </x:c>
      <x:c r="I218" s="4" t="str">
        <x:v>9</x:v>
      </x:c>
      <x:c r="J218" s="4" t="str">
        <x:v>bd624895401c0adca7b738fa02304d22a67f502bf25383ae67a82d460153f0ee</x:v>
      </x:c>
      <x:c r="K218" s="4" t="str">
        <x:v>2026-09-08</x:v>
      </x:c>
      <x:c r="L218" s="4" t="str">
        <x:v>SIN_FECHA_DE_ADOPCION</x:v>
      </x:c>
      <x:c r="M218" s="12" t="n">
        <x:f>IF(LEN(J218)=64,0,1)</x:f>
        <x:v>0</x:v>
      </x:c>
      <x:c r="N218" s="12" t="n">
        <x:f>IF(COUNTIF('03_NICE'!$A$5:$A$57,A218)+COUNTIF('04_TKS'!$A$5:$A$72,A218)+COUNTIF('05_Complementos'!$A$5:$A$127,A218)=1,0,1)</x:f>
        <x:v>0</x:v>
      </x:c>
      <x:c r="O218" s="12" t="n">
        <x:f>COUNTIF('08_Trazas'!$A$5:$A$248,A218)-1</x:f>
        <x:v>0</x:v>
      </x:c>
      <x:c r="P218" s="12" t="n">
        <x:f>IF(COUNTIF('02_Custodia'!$A$5:$A$53,C218)=1,0,1)</x:f>
        <x:v>0</x:v>
      </x:c>
    </x:row>
    <x:row r="219" ht="47" customHeight="1">
      <x:c r="A219" s="4" t="str">
        <x:v>CP-094</x:v>
      </x:c>
      <x:c r="B219" s="4" t="str">
        <x:v>F026</x:v>
      </x:c>
      <x:c r="C219" s="4" t="str">
        <x:v>F026</x:v>
      </x:c>
      <x:c r="D219" s="4" t="str">
        <x:v>§2.4</x:v>
      </x:c>
      <x:c r="E219" s="4" t="str">
        <x:v>Marzo 2025; PDF corregido 01-04-2025; errata pendiente de página x identificada</x:v>
      </x:c>
      <x:c r="F219" s="4" t="str">
        <x:v>página física 4</x:v>
      </x:c>
      <x:c r="G219" s="4" t="str">
        <x:v>ROTULO_EN_TEXTO_EXTRAIDO_UTF8</x:v>
      </x:c>
      <x:c r="H219" s="4" t="str">
        <x:v>3580</x:v>
      </x:c>
      <x:c r="I219" s="4" t="str">
        <x:v>7</x:v>
      </x:c>
      <x:c r="J219" s="4" t="str">
        <x:v>a4cc6bc01a927e2a78fd3bec51e865ac0d85e4daab6f988d5d33d056e125b1c3</x:v>
      </x:c>
      <x:c r="K219" s="4" t="str">
        <x:v>2026-09-08</x:v>
      </x:c>
      <x:c r="L219" s="4" t="str">
        <x:v>SIN_FECHA_DE_ADOPCION</x:v>
      </x:c>
      <x:c r="M219" s="12" t="n">
        <x:f>IF(LEN(J219)=64,0,1)</x:f>
        <x:v>0</x:v>
      </x:c>
      <x:c r="N219" s="12" t="n">
        <x:f>IF(COUNTIF('03_NICE'!$A$5:$A$57,A219)+COUNTIF('04_TKS'!$A$5:$A$72,A219)+COUNTIF('05_Complementos'!$A$5:$A$127,A219)=1,0,1)</x:f>
        <x:v>0</x:v>
      </x:c>
      <x:c r="O219" s="12" t="n">
        <x:f>COUNTIF('08_Trazas'!$A$5:$A$248,A219)-1</x:f>
        <x:v>0</x:v>
      </x:c>
      <x:c r="P219" s="12" t="n">
        <x:f>IF(COUNTIF('02_Custodia'!$A$5:$A$53,C219)=1,0,1)</x:f>
        <x:v>0</x:v>
      </x:c>
    </x:row>
    <x:row r="220" ht="47" customHeight="1">
      <x:c r="A220" s="4" t="str">
        <x:v>CP-095</x:v>
      </x:c>
      <x:c r="B220" s="4" t="str">
        <x:v>F026</x:v>
      </x:c>
      <x:c r="C220" s="4" t="str">
        <x:v>F026</x:v>
      </x:c>
      <x:c r="D220" s="4" t="str">
        <x:v>§3</x:v>
      </x:c>
      <x:c r="E220" s="4" t="str">
        <x:v>Marzo 2025; PDF corregido 01-04-2025; errata pendiente de página x identificada</x:v>
      </x:c>
      <x:c r="F220" s="4" t="str">
        <x:v>página física 5</x:v>
      </x:c>
      <x:c r="G220" s="4" t="str">
        <x:v>ROTULO_EN_TEXTO_EXTRAIDO_UTF8</x:v>
      </x:c>
      <x:c r="H220" s="4" t="str">
        <x:v>4799</x:v>
      </x:c>
      <x:c r="I220" s="4" t="str">
        <x:v>13</x:v>
      </x:c>
      <x:c r="J220" s="4" t="str">
        <x:v>c95abd40e0f3ef3a5b859f4be7a7b112dab4d8f53fbf08f6636359b63ecfc677</x:v>
      </x:c>
      <x:c r="K220" s="4" t="str">
        <x:v>2026-09-08</x:v>
      </x:c>
      <x:c r="L220" s="4" t="str">
        <x:v>SIN_FECHA_DE_ADOPCION</x:v>
      </x:c>
      <x:c r="M220" s="12" t="n">
        <x:f>IF(LEN(J220)=64,0,1)</x:f>
        <x:v>0</x:v>
      </x:c>
      <x:c r="N220" s="12" t="n">
        <x:f>IF(COUNTIF('03_NICE'!$A$5:$A$57,A220)+COUNTIF('04_TKS'!$A$5:$A$72,A220)+COUNTIF('05_Complementos'!$A$5:$A$127,A220)=1,0,1)</x:f>
        <x:v>0</x:v>
      </x:c>
      <x:c r="O220" s="12" t="n">
        <x:f>COUNTIF('08_Trazas'!$A$5:$A$248,A220)-1</x:f>
        <x:v>0</x:v>
      </x:c>
      <x:c r="P220" s="12" t="n">
        <x:f>IF(COUNTIF('02_Custodia'!$A$5:$A$53,C220)=1,0,1)</x:f>
        <x:v>0</x:v>
      </x:c>
    </x:row>
    <x:row r="221" ht="47" customHeight="1">
      <x:c r="A221" s="4" t="str">
        <x:v>CP-096</x:v>
      </x:c>
      <x:c r="B221" s="4" t="str">
        <x:v>F027</x:v>
      </x:c>
      <x:c r="C221" s="4" t="str">
        <x:v>F027</x:v>
      </x:c>
      <x:c r="D221" s="4" t="str">
        <x:v>Sección 0; Overview</x:v>
      </x:c>
      <x:c r="E221" s="4" t="str">
        <x:v>Instantánea 08-09-2026; sección 0</x:v>
      </x:c>
      <x:c r="F221" s="4" t="str">
        <x:v>texto extraído; posición UTF-8</x:v>
      </x:c>
      <x:c r="G221" s="4" t="str">
        <x:v>ROTULO_EN_TEXTO_EXTRAIDO_UTF8</x:v>
      </x:c>
      <x:c r="H221" s="4" t="str">
        <x:v>11936</x:v>
      </x:c>
      <x:c r="I221" s="4" t="str">
        <x:v>15</x:v>
      </x:c>
      <x:c r="J221" s="4" t="str">
        <x:v>6051eda4f99ba1a387b7934e6f2dd9bd35d77fd4c04735e7dde52b7e606ebe55</x:v>
      </x:c>
      <x:c r="K221" s="4" t="str">
        <x:v>2026-09-08</x:v>
      </x:c>
      <x:c r="L221" s="4" t="str">
        <x:v>SIN_FECHA_DE_ADOPCION</x:v>
      </x:c>
      <x:c r="M221" s="12" t="n">
        <x:f>IF(LEN(J221)=64,0,1)</x:f>
        <x:v>0</x:v>
      </x:c>
      <x:c r="N221" s="12" t="n">
        <x:f>IF(COUNTIF('03_NICE'!$A$5:$A$57,A221)+COUNTIF('04_TKS'!$A$5:$A$72,A221)+COUNTIF('05_Complementos'!$A$5:$A$127,A221)=1,0,1)</x:f>
        <x:v>0</x:v>
      </x:c>
      <x:c r="O221" s="12" t="n">
        <x:f>COUNTIF('08_Trazas'!$A$5:$A$248,A221)-1</x:f>
        <x:v>0</x:v>
      </x:c>
      <x:c r="P221" s="12" t="n">
        <x:f>IF(COUNTIF('02_Custodia'!$A$5:$A$53,C221)=1,0,1)</x:f>
        <x:v>0</x:v>
      </x:c>
    </x:row>
    <x:row r="222" ht="47" customHeight="1">
      <x:c r="A222" s="4" t="str">
        <x:v>CP-097</x:v>
      </x:c>
      <x:c r="B222" s="4" t="str">
        <x:v>F028</x:v>
      </x:c>
      <x:c r="C222" s="4" t="str">
        <x:v>F028</x:v>
      </x:c>
      <x:c r="D222" s="4" t="str">
        <x:v>§2; áreas de enfoque</x:v>
      </x:c>
      <x:c r="E222" s="4" t="str">
        <x:v>Initial Preliminary Draft; 16-12-2025</x:v>
      </x:c>
      <x:c r="F222" s="4" t="str">
        <x:v>página física 7</x:v>
      </x:c>
      <x:c r="G222" s="4" t="str">
        <x:v>ROTULO_EN_TEXTO_EXTRAIDO_UTF8</x:v>
      </x:c>
      <x:c r="H222" s="4" t="str">
        <x:v>12319</x:v>
      </x:c>
      <x:c r="I222" s="4" t="str">
        <x:v>29</x:v>
      </x:c>
      <x:c r="J222" s="4" t="str">
        <x:v>4ea702881e9cd2109aeae41ad3eec61c147bf9464eaa7783d4c971e2e9373f8c</x:v>
      </x:c>
      <x:c r="K222" s="4" t="str">
        <x:v>2026-09-08</x:v>
      </x:c>
      <x:c r="L222" s="4" t="str">
        <x:v>SIN_FECHA_DE_ADOPCION</x:v>
      </x:c>
      <x:c r="M222" s="12" t="n">
        <x:f>IF(LEN(J222)=64,0,1)</x:f>
        <x:v>0</x:v>
      </x:c>
      <x:c r="N222" s="12" t="n">
        <x:f>IF(COUNTIF('03_NICE'!$A$5:$A$57,A222)+COUNTIF('04_TKS'!$A$5:$A$72,A222)+COUNTIF('05_Complementos'!$A$5:$A$127,A222)=1,0,1)</x:f>
        <x:v>0</x:v>
      </x:c>
      <x:c r="O222" s="12" t="n">
        <x:f>COUNTIF('08_Trazas'!$A$5:$A$248,A222)-1</x:f>
        <x:v>0</x:v>
      </x:c>
      <x:c r="P222" s="12" t="n">
        <x:f>IF(COUNTIF('02_Custodia'!$A$5:$A$53,C222)=1,0,1)</x:f>
        <x:v>0</x:v>
      </x:c>
    </x:row>
    <x:row r="223" ht="47" customHeight="1">
      <x:c r="A223" s="4" t="str">
        <x:v>CP-098</x:v>
      </x:c>
      <x:c r="B223" s="4" t="str">
        <x:v>F028</x:v>
      </x:c>
      <x:c r="C223" s="4" t="str">
        <x:v>F028</x:v>
      </x:c>
      <x:c r="D223" s="4" t="str">
        <x:v>§2; áreas de enfoque</x:v>
      </x:c>
      <x:c r="E223" s="4" t="str">
        <x:v>Initial Preliminary Draft; 16-12-2025</x:v>
      </x:c>
      <x:c r="F223" s="4" t="str">
        <x:v>página física 7</x:v>
      </x:c>
      <x:c r="G223" s="4" t="str">
        <x:v>ROTULO_EN_TEXTO_EXTRAIDO_UTF8</x:v>
      </x:c>
      <x:c r="H223" s="4" t="str">
        <x:v>12456</x:v>
      </x:c>
      <x:c r="I223" s="4" t="str">
        <x:v>35</x:v>
      </x:c>
      <x:c r="J223" s="4" t="str">
        <x:v>00e57fac0e8aff5ae29fc8ddec46130148c4b17e06bc8eac6e905cdb617b3e9a</x:v>
      </x:c>
      <x:c r="K223" s="4" t="str">
        <x:v>2026-09-08</x:v>
      </x:c>
      <x:c r="L223" s="4" t="str">
        <x:v>SIN_FECHA_DE_ADOPCION</x:v>
      </x:c>
      <x:c r="M223" s="12" t="n">
        <x:f>IF(LEN(J223)=64,0,1)</x:f>
        <x:v>0</x:v>
      </x:c>
      <x:c r="N223" s="12" t="n">
        <x:f>IF(COUNTIF('03_NICE'!$A$5:$A$57,A223)+COUNTIF('04_TKS'!$A$5:$A$72,A223)+COUNTIF('05_Complementos'!$A$5:$A$127,A223)=1,0,1)</x:f>
        <x:v>0</x:v>
      </x:c>
      <x:c r="O223" s="12" t="n">
        <x:f>COUNTIF('08_Trazas'!$A$5:$A$248,A223)-1</x:f>
        <x:v>0</x:v>
      </x:c>
      <x:c r="P223" s="12" t="n">
        <x:f>IF(COUNTIF('02_Custodia'!$A$5:$A$53,C223)=1,0,1)</x:f>
        <x:v>0</x:v>
      </x:c>
    </x:row>
    <x:row r="224" ht="47" customHeight="1">
      <x:c r="A224" s="4" t="str">
        <x:v>CP-099</x:v>
      </x:c>
      <x:c r="B224" s="4" t="str">
        <x:v>F028</x:v>
      </x:c>
      <x:c r="C224" s="4" t="str">
        <x:v>F028</x:v>
      </x:c>
      <x:c r="D224" s="4" t="str">
        <x:v>§2; áreas de enfoque</x:v>
      </x:c>
      <x:c r="E224" s="4" t="str">
        <x:v>Initial Preliminary Draft; 16-12-2025</x:v>
      </x:c>
      <x:c r="F224" s="4" t="str">
        <x:v>página física 7</x:v>
      </x:c>
      <x:c r="G224" s="4" t="str">
        <x:v>ROTULO_EN_TEXTO_EXTRAIDO_UTF8</x:v>
      </x:c>
      <x:c r="H224" s="4" t="str">
        <x:v>12588</x:v>
      </x:c>
      <x:c r="I224" s="4" t="str">
        <x:v>34</x:v>
      </x:c>
      <x:c r="J224" s="4" t="str">
        <x:v>f63ec9f253bdbd3dd879d65e1d365c2dfded866df260aece04d34975e50a804f</x:v>
      </x:c>
      <x:c r="K224" s="4" t="str">
        <x:v>2026-09-08</x:v>
      </x:c>
      <x:c r="L224" s="4" t="str">
        <x:v>SIN_FECHA_DE_ADOPCION</x:v>
      </x:c>
      <x:c r="M224" s="12" t="n">
        <x:f>IF(LEN(J224)=64,0,1)</x:f>
        <x:v>0</x:v>
      </x:c>
      <x:c r="N224" s="12" t="n">
        <x:f>IF(COUNTIF('03_NICE'!$A$5:$A$57,A224)+COUNTIF('04_TKS'!$A$5:$A$72,A224)+COUNTIF('05_Complementos'!$A$5:$A$127,A224)=1,0,1)</x:f>
        <x:v>0</x:v>
      </x:c>
      <x:c r="O224" s="12" t="n">
        <x:f>COUNTIF('08_Trazas'!$A$5:$A$248,A224)-1</x:f>
        <x:v>0</x:v>
      </x:c>
      <x:c r="P224" s="12" t="n">
        <x:f>IF(COUNTIF('02_Custodia'!$A$5:$A$53,C224)=1,0,1)</x:f>
        <x:v>0</x:v>
      </x:c>
    </x:row>
    <x:row r="225" ht="47" customHeight="1">
      <x:c r="A225" s="4" t="str">
        <x:v>CP-100</x:v>
      </x:c>
      <x:c r="B225" s="4" t="str">
        <x:v>F029</x:v>
      </x:c>
      <x:c r="C225" s="4" t="str">
        <x:v>A013</x:v>
      </x:c>
      <x:c r="D225" s="4" t="str">
        <x:v>LLM01:2026</x:v>
      </x:c>
      <x:c r="E225" s="4" t="str">
        <x:v>Edición 2026; PDF publicado en agosto; repositorio 9253e38ade58e959b531c0c5c9a4842272c9cd0e</x:v>
      </x:c>
      <x:c r="F225" s="4" t="str">
        <x:v>página física 3</x:v>
      </x:c>
      <x:c r="G225" s="4" t="str">
        <x:v>ROTULO_EN_TEXTO_EXTRAIDO_UTF8</x:v>
      </x:c>
      <x:c r="H225" s="4" t="str">
        <x:v>1921</x:v>
      </x:c>
      <x:c r="I225" s="4" t="str">
        <x:v>16</x:v>
      </x:c>
      <x:c r="J225" s="4" t="str">
        <x:v>c2b4a05edf4bc78fbbf2a68f1ebe024223d54aa1a140f8d6581342298b092f1f</x:v>
      </x:c>
      <x:c r="K225" s="4" t="str">
        <x:v>2026-09-08</x:v>
      </x:c>
      <x:c r="L225" s="4" t="str">
        <x:v>SIN_FECHA_DE_ADOPCION</x:v>
      </x:c>
      <x:c r="M225" s="12" t="n">
        <x:f>IF(LEN(J225)=64,0,1)</x:f>
        <x:v>0</x:v>
      </x:c>
      <x:c r="N225" s="12" t="n">
        <x:f>IF(COUNTIF('03_NICE'!$A$5:$A$57,A225)+COUNTIF('04_TKS'!$A$5:$A$72,A225)+COUNTIF('05_Complementos'!$A$5:$A$127,A225)=1,0,1)</x:f>
        <x:v>0</x:v>
      </x:c>
      <x:c r="O225" s="12" t="n">
        <x:f>COUNTIF('08_Trazas'!$A$5:$A$248,A225)-1</x:f>
        <x:v>0</x:v>
      </x:c>
      <x:c r="P225" s="12" t="n">
        <x:f>IF(COUNTIF('02_Custodia'!$A$5:$A$53,C225)=1,0,1)</x:f>
        <x:v>0</x:v>
      </x:c>
    </x:row>
    <x:row r="226" ht="47" customHeight="1">
      <x:c r="A226" s="4" t="str">
        <x:v>CP-101</x:v>
      </x:c>
      <x:c r="B226" s="4" t="str">
        <x:v>F029</x:v>
      </x:c>
      <x:c r="C226" s="4" t="str">
        <x:v>A013</x:v>
      </x:c>
      <x:c r="D226" s="4" t="str">
        <x:v>LLM02:2026</x:v>
      </x:c>
      <x:c r="E226" s="4" t="str">
        <x:v>Edición 2026; PDF publicado en agosto; repositorio 9253e38ade58e959b531c0c5c9a4842272c9cd0e</x:v>
      </x:c>
      <x:c r="F226" s="4" t="str">
        <x:v>página física 3</x:v>
      </x:c>
      <x:c r="G226" s="4" t="str">
        <x:v>ROTULO_EN_TEXTO_EXTRAIDO_UTF8</x:v>
      </x:c>
      <x:c r="H226" s="4" t="str">
        <x:v>1953</x:v>
      </x:c>
      <x:c r="I226" s="4" t="str">
        <x:v>32</x:v>
      </x:c>
      <x:c r="J226" s="4" t="str">
        <x:v>ba4fec681b4895ca7b23c7872adfe34fb3856a2e513f54336f24cf278dcd85a0</x:v>
      </x:c>
      <x:c r="K226" s="4" t="str">
        <x:v>2026-09-08</x:v>
      </x:c>
      <x:c r="L226" s="4" t="str">
        <x:v>SIN_FECHA_DE_ADOPCION</x:v>
      </x:c>
      <x:c r="M226" s="12" t="n">
        <x:f>IF(LEN(J226)=64,0,1)</x:f>
        <x:v>0</x:v>
      </x:c>
      <x:c r="N226" s="12" t="n">
        <x:f>IF(COUNTIF('03_NICE'!$A$5:$A$57,A226)+COUNTIF('04_TKS'!$A$5:$A$72,A226)+COUNTIF('05_Complementos'!$A$5:$A$127,A226)=1,0,1)</x:f>
        <x:v>0</x:v>
      </x:c>
      <x:c r="O226" s="12" t="n">
        <x:f>COUNTIF('08_Trazas'!$A$5:$A$248,A226)-1</x:f>
        <x:v>0</x:v>
      </x:c>
      <x:c r="P226" s="12" t="n">
        <x:f>IF(COUNTIF('02_Custodia'!$A$5:$A$53,C226)=1,0,1)</x:f>
        <x:v>0</x:v>
      </x:c>
    </x:row>
    <x:row r="227" ht="47" customHeight="1">
      <x:c r="A227" s="4" t="str">
        <x:v>CP-102</x:v>
      </x:c>
      <x:c r="B227" s="4" t="str">
        <x:v>F029</x:v>
      </x:c>
      <x:c r="C227" s="4" t="str">
        <x:v>A013</x:v>
      </x:c>
      <x:c r="D227" s="4" t="str">
        <x:v>LLM03:2026</x:v>
      </x:c>
      <x:c r="E227" s="4" t="str">
        <x:v>Edición 2026; PDF publicado en agosto; repositorio 9253e38ade58e959b531c0c5c9a4842272c9cd0e</x:v>
      </x:c>
      <x:c r="F227" s="4" t="str">
        <x:v>página física 3</x:v>
      </x:c>
      <x:c r="G227" s="4" t="str">
        <x:v>ROTULO_EN_TEXTO_EXTRAIDO_UTF8</x:v>
      </x:c>
      <x:c r="H227" s="4" t="str">
        <x:v>2001</x:v>
      </x:c>
      <x:c r="I227" s="4" t="str">
        <x:v>16</x:v>
      </x:c>
      <x:c r="J227" s="4" t="str">
        <x:v>b9926fda130b27068c8ecb6db06628c047b83a27062ee26a2bf6d76aa19ed565</x:v>
      </x:c>
      <x:c r="K227" s="4" t="str">
        <x:v>2026-09-08</x:v>
      </x:c>
      <x:c r="L227" s="4" t="str">
        <x:v>SIN_FECHA_DE_ADOPCION</x:v>
      </x:c>
      <x:c r="M227" s="12" t="n">
        <x:f>IF(LEN(J227)=64,0,1)</x:f>
        <x:v>0</x:v>
      </x:c>
      <x:c r="N227" s="12" t="n">
        <x:f>IF(COUNTIF('03_NICE'!$A$5:$A$57,A227)+COUNTIF('04_TKS'!$A$5:$A$72,A227)+COUNTIF('05_Complementos'!$A$5:$A$127,A227)=1,0,1)</x:f>
        <x:v>0</x:v>
      </x:c>
      <x:c r="O227" s="12" t="n">
        <x:f>COUNTIF('08_Trazas'!$A$5:$A$248,A227)-1</x:f>
        <x:v>0</x:v>
      </x:c>
      <x:c r="P227" s="12" t="n">
        <x:f>IF(COUNTIF('02_Custodia'!$A$5:$A$53,C227)=1,0,1)</x:f>
        <x:v>0</x:v>
      </x:c>
    </x:row>
    <x:row r="228" ht="47" customHeight="1">
      <x:c r="A228" s="4" t="str">
        <x:v>CP-103</x:v>
      </x:c>
      <x:c r="B228" s="4" t="str">
        <x:v>F029</x:v>
      </x:c>
      <x:c r="C228" s="4" t="str">
        <x:v>A013</x:v>
      </x:c>
      <x:c r="D228" s="4" t="str">
        <x:v>LLM04:2026</x:v>
      </x:c>
      <x:c r="E228" s="4" t="str">
        <x:v>Edición 2026; PDF publicado en agosto; repositorio 9253e38ade58e959b531c0c5c9a4842272c9cd0e</x:v>
      </x:c>
      <x:c r="F228" s="4" t="str">
        <x:v>página física 3</x:v>
      </x:c>
      <x:c r="G228" s="4" t="str">
        <x:v>ROTULO_EN_TEXTO_EXTRAIDO_UTF8</x:v>
      </x:c>
      <x:c r="H228" s="4" t="str">
        <x:v>2033</x:v>
      </x:c>
      <x:c r="I228" s="4" t="str">
        <x:v>12</x:v>
      </x:c>
      <x:c r="J228" s="4" t="str">
        <x:v>d6c88a7829f8c891235ebc0b62759422dfc35391c8c7aa3644aabdd83c2defdf</x:v>
      </x:c>
      <x:c r="K228" s="4" t="str">
        <x:v>2026-09-08</x:v>
      </x:c>
      <x:c r="L228" s="4" t="str">
        <x:v>SIN_FECHA_DE_ADOPCION</x:v>
      </x:c>
      <x:c r="M228" s="12" t="n">
        <x:f>IF(LEN(J228)=64,0,1)</x:f>
        <x:v>0</x:v>
      </x:c>
      <x:c r="N228" s="12" t="n">
        <x:f>IF(COUNTIF('03_NICE'!$A$5:$A$57,A228)+COUNTIF('04_TKS'!$A$5:$A$72,A228)+COUNTIF('05_Complementos'!$A$5:$A$127,A228)=1,0,1)</x:f>
        <x:v>0</x:v>
      </x:c>
      <x:c r="O228" s="12" t="n">
        <x:f>COUNTIF('08_Trazas'!$A$5:$A$248,A228)-1</x:f>
        <x:v>0</x:v>
      </x:c>
      <x:c r="P228" s="12" t="n">
        <x:f>IF(COUNTIF('02_Custodia'!$A$5:$A$53,C228)=1,0,1)</x:f>
        <x:v>0</x:v>
      </x:c>
    </x:row>
    <x:row r="229" ht="47" customHeight="1">
      <x:c r="A229" s="4" t="str">
        <x:v>CP-104</x:v>
      </x:c>
      <x:c r="B229" s="4" t="str">
        <x:v>F029</x:v>
      </x:c>
      <x:c r="C229" s="4" t="str">
        <x:v>A013</x:v>
      </x:c>
      <x:c r="D229" s="4" t="str">
        <x:v>LLM05:2026</x:v>
      </x:c>
      <x:c r="E229" s="4" t="str">
        <x:v>Edición 2026; PDF publicado en agosto; repositorio 9253e38ade58e959b531c0c5c9a4842272c9cd0e</x:v>
      </x:c>
      <x:c r="F229" s="4" t="str">
        <x:v>página física 3</x:v>
      </x:c>
      <x:c r="G229" s="4" t="str">
        <x:v>ROTULO_EN_TEXTO_EXTRAIDO_UTF8</x:v>
      </x:c>
      <x:c r="H229" s="4" t="str">
        <x:v>2061</x:v>
      </x:c>
      <x:c r="I229" s="4" t="str">
        <x:v>24</x:v>
      </x:c>
      <x:c r="J229" s="4" t="str">
        <x:v>2611cdd28621d2066bec3b2c79b72ccc769c38cf173bbd70e505f831e02fccc1</x:v>
      </x:c>
      <x:c r="K229" s="4" t="str">
        <x:v>2026-09-08</x:v>
      </x:c>
      <x:c r="L229" s="4" t="str">
        <x:v>SIN_FECHA_DE_ADOPCION</x:v>
      </x:c>
      <x:c r="M229" s="12" t="n">
        <x:f>IF(LEN(J229)=64,0,1)</x:f>
        <x:v>0</x:v>
      </x:c>
      <x:c r="N229" s="12" t="n">
        <x:f>IF(COUNTIF('03_NICE'!$A$5:$A$57,A229)+COUNTIF('04_TKS'!$A$5:$A$72,A229)+COUNTIF('05_Complementos'!$A$5:$A$127,A229)=1,0,1)</x:f>
        <x:v>0</x:v>
      </x:c>
      <x:c r="O229" s="12" t="n">
        <x:f>COUNTIF('08_Trazas'!$A$5:$A$248,A229)-1</x:f>
        <x:v>0</x:v>
      </x:c>
      <x:c r="P229" s="12" t="n">
        <x:f>IF(COUNTIF('02_Custodia'!$A$5:$A$53,C229)=1,0,1)</x:f>
        <x:v>0</x:v>
      </x:c>
    </x:row>
    <x:row r="230" ht="47" customHeight="1">
      <x:c r="A230" s="4" t="str">
        <x:v>CP-105</x:v>
      </x:c>
      <x:c r="B230" s="4" t="str">
        <x:v>F029</x:v>
      </x:c>
      <x:c r="C230" s="4" t="str">
        <x:v>A013</x:v>
      </x:c>
      <x:c r="D230" s="4" t="str">
        <x:v>LLM06:2026</x:v>
      </x:c>
      <x:c r="E230" s="4" t="str">
        <x:v>Edición 2026; PDF publicado en agosto; repositorio 9253e38ade58e959b531c0c5c9a4842272c9cd0e</x:v>
      </x:c>
      <x:c r="F230" s="4" t="str">
        <x:v>página física 3</x:v>
      </x:c>
      <x:c r="G230" s="4" t="str">
        <x:v>ROTULO_EN_TEXTO_EXTRAIDO_UTF8</x:v>
      </x:c>
      <x:c r="H230" s="4" t="str">
        <x:v>2101</x:v>
      </x:c>
      <x:c r="I230" s="4" t="str">
        <x:v>21</x:v>
      </x:c>
      <x:c r="J230" s="4" t="str">
        <x:v>588489412decc7461678fcd3d1eb8e8a4cb5b51d77d17259f6c7000506f848f7</x:v>
      </x:c>
      <x:c r="K230" s="4" t="str">
        <x:v>2026-09-08</x:v>
      </x:c>
      <x:c r="L230" s="4" t="str">
        <x:v>SIN_FECHA_DE_ADOPCION</x:v>
      </x:c>
      <x:c r="M230" s="12" t="n">
        <x:f>IF(LEN(J230)=64,0,1)</x:f>
        <x:v>0</x:v>
      </x:c>
      <x:c r="N230" s="12" t="n">
        <x:f>IF(COUNTIF('03_NICE'!$A$5:$A$57,A230)+COUNTIF('04_TKS'!$A$5:$A$72,A230)+COUNTIF('05_Complementos'!$A$5:$A$127,A230)=1,0,1)</x:f>
        <x:v>0</x:v>
      </x:c>
      <x:c r="O230" s="12" t="n">
        <x:f>COUNTIF('08_Trazas'!$A$5:$A$248,A230)-1</x:f>
        <x:v>0</x:v>
      </x:c>
      <x:c r="P230" s="12" t="n">
        <x:f>IF(COUNTIF('02_Custodia'!$A$5:$A$53,C230)=1,0,1)</x:f>
        <x:v>0</x:v>
      </x:c>
    </x:row>
    <x:row r="231" ht="47" customHeight="1">
      <x:c r="A231" s="4" t="str">
        <x:v>CP-106</x:v>
      </x:c>
      <x:c r="B231" s="4" t="str">
        <x:v>F029</x:v>
      </x:c>
      <x:c r="C231" s="4" t="str">
        <x:v>A013</x:v>
      </x:c>
      <x:c r="D231" s="4" t="str">
        <x:v>LLM07:2026</x:v>
      </x:c>
      <x:c r="E231" s="4" t="str">
        <x:v>Edición 2026; PDF publicado en agosto; repositorio 9253e38ade58e959b531c0c5c9a4842272c9cd0e</x:v>
      </x:c>
      <x:c r="F231" s="4" t="str">
        <x:v>página física 3</x:v>
      </x:c>
      <x:c r="G231" s="4" t="str">
        <x:v>ROTULO_EN_TEXTO_EXTRAIDO_UTF8</x:v>
      </x:c>
      <x:c r="H231" s="4" t="str">
        <x:v>2138</x:v>
      </x:c>
      <x:c r="I231" s="4" t="str">
        <x:v>14</x:v>
      </x:c>
      <x:c r="J231" s="4" t="str">
        <x:v>34d52e35bd31217c5e4997ef3b5f0112b6dfa2acb5fa4b3863b5a904327d7f8c</x:v>
      </x:c>
      <x:c r="K231" s="4" t="str">
        <x:v>2026-09-08</x:v>
      </x:c>
      <x:c r="L231" s="4" t="str">
        <x:v>SIN_FECHA_DE_ADOPCION</x:v>
      </x:c>
      <x:c r="M231" s="12" t="n">
        <x:f>IF(LEN(J231)=64,0,1)</x:f>
        <x:v>0</x:v>
      </x:c>
      <x:c r="N231" s="12" t="n">
        <x:f>IF(COUNTIF('03_NICE'!$A$5:$A$57,A231)+COUNTIF('04_TKS'!$A$5:$A$72,A231)+COUNTIF('05_Complementos'!$A$5:$A$127,A231)=1,0,1)</x:f>
        <x:v>0</x:v>
      </x:c>
      <x:c r="O231" s="12" t="n">
        <x:f>COUNTIF('08_Trazas'!$A$5:$A$248,A231)-1</x:f>
        <x:v>0</x:v>
      </x:c>
      <x:c r="P231" s="12" t="n">
        <x:f>IF(COUNTIF('02_Custodia'!$A$5:$A$53,C231)=1,0,1)</x:f>
        <x:v>0</x:v>
      </x:c>
    </x:row>
    <x:row r="232" ht="47" customHeight="1">
      <x:c r="A232" s="4" t="str">
        <x:v>CP-107</x:v>
      </x:c>
      <x:c r="B232" s="4" t="str">
        <x:v>F029</x:v>
      </x:c>
      <x:c r="C232" s="4" t="str">
        <x:v>A013</x:v>
      </x:c>
      <x:c r="D232" s="4" t="str">
        <x:v>LLM08:2026</x:v>
      </x:c>
      <x:c r="E232" s="4" t="str">
        <x:v>Edición 2026; PDF publicado en agosto; repositorio 9253e38ade58e959b531c0c5c9a4842272c9cd0e</x:v>
      </x:c>
      <x:c r="F232" s="4" t="str">
        <x:v>página física 3</x:v>
      </x:c>
      <x:c r="G232" s="4" t="str">
        <x:v>ROTULO_EN_TEXTO_EXTRAIDO_UTF8</x:v>
      </x:c>
      <x:c r="H232" s="4" t="str">
        <x:v>2168</x:v>
      </x:c>
      <x:c r="I232" s="4" t="str">
        <x:v>23</x:v>
      </x:c>
      <x:c r="J232" s="4" t="str">
        <x:v>bb3bb40843930852f2554a86ce0a7cf5fc1ceac6c078947f73bf3eb760cd11f0</x:v>
      </x:c>
      <x:c r="K232" s="4" t="str">
        <x:v>2026-09-08</x:v>
      </x:c>
      <x:c r="L232" s="4" t="str">
        <x:v>SIN_FECHA_DE_ADOPCION</x:v>
      </x:c>
      <x:c r="M232" s="12" t="n">
        <x:f>IF(LEN(J232)=64,0,1)</x:f>
        <x:v>0</x:v>
      </x:c>
      <x:c r="N232" s="12" t="n">
        <x:f>IF(COUNTIF('03_NICE'!$A$5:$A$57,A232)+COUNTIF('04_TKS'!$A$5:$A$72,A232)+COUNTIF('05_Complementos'!$A$5:$A$127,A232)=1,0,1)</x:f>
        <x:v>0</x:v>
      </x:c>
      <x:c r="O232" s="12" t="n">
        <x:f>COUNTIF('08_Trazas'!$A$5:$A$248,A232)-1</x:f>
        <x:v>0</x:v>
      </x:c>
      <x:c r="P232" s="12" t="n">
        <x:f>IF(COUNTIF('02_Custodia'!$A$5:$A$53,C232)=1,0,1)</x:f>
        <x:v>0</x:v>
      </x:c>
    </x:row>
    <x:row r="233" ht="47" customHeight="1">
      <x:c r="A233" s="4" t="str">
        <x:v>CP-108</x:v>
      </x:c>
      <x:c r="B233" s="4" t="str">
        <x:v>F029</x:v>
      </x:c>
      <x:c r="C233" s="4" t="str">
        <x:v>A013</x:v>
      </x:c>
      <x:c r="D233" s="4" t="str">
        <x:v>LLM09:2026</x:v>
      </x:c>
      <x:c r="E233" s="4" t="str">
        <x:v>Edición 2026; PDF publicado en agosto; repositorio 9253e38ade58e959b531c0c5c9a4842272c9cd0e</x:v>
      </x:c>
      <x:c r="F233" s="4" t="str">
        <x:v>página física 3</x:v>
      </x:c>
      <x:c r="G233" s="4" t="str">
        <x:v>ROTULO_EN_TEXTO_EXTRAIDO_UTF8</x:v>
      </x:c>
      <x:c r="H233" s="4" t="str">
        <x:v>2207</x:v>
      </x:c>
      <x:c r="I233" s="4" t="str">
        <x:v>31</x:v>
      </x:c>
      <x:c r="J233" s="4" t="str">
        <x:v>bca002a3651237a0cb9fb06b79c977272cedc8c84f393bc6319af17be00bf86d</x:v>
      </x:c>
      <x:c r="K233" s="4" t="str">
        <x:v>2026-09-08</x:v>
      </x:c>
      <x:c r="L233" s="4" t="str">
        <x:v>SIN_FECHA_DE_ADOPCION</x:v>
      </x:c>
      <x:c r="M233" s="12" t="n">
        <x:f>IF(LEN(J233)=64,0,1)</x:f>
        <x:v>0</x:v>
      </x:c>
      <x:c r="N233" s="12" t="n">
        <x:f>IF(COUNTIF('03_NICE'!$A$5:$A$57,A233)+COUNTIF('04_TKS'!$A$5:$A$72,A233)+COUNTIF('05_Complementos'!$A$5:$A$127,A233)=1,0,1)</x:f>
        <x:v>0</x:v>
      </x:c>
      <x:c r="O233" s="12" t="n">
        <x:f>COUNTIF('08_Trazas'!$A$5:$A$248,A233)-1</x:f>
        <x:v>0</x:v>
      </x:c>
      <x:c r="P233" s="12" t="n">
        <x:f>IF(COUNTIF('02_Custodia'!$A$5:$A$53,C233)=1,0,1)</x:f>
        <x:v>0</x:v>
      </x:c>
    </x:row>
    <x:row r="234" ht="47" customHeight="1">
      <x:c r="A234" s="4" t="str">
        <x:v>CP-109</x:v>
      </x:c>
      <x:c r="B234" s="4" t="str">
        <x:v>F029</x:v>
      </x:c>
      <x:c r="C234" s="4" t="str">
        <x:v>A013</x:v>
      </x:c>
      <x:c r="D234" s="4" t="str">
        <x:v>LLM10:2026</x:v>
      </x:c>
      <x:c r="E234" s="4" t="str">
        <x:v>Edición 2026; PDF publicado en agosto; repositorio 9253e38ade58e959b531c0c5c9a4842272c9cd0e</x:v>
      </x:c>
      <x:c r="F234" s="4" t="str">
        <x:v>página física 3</x:v>
      </x:c>
      <x:c r="G234" s="4" t="str">
        <x:v>ROTULO_EN_TEXTO_EXTRAIDO_UTF8</x:v>
      </x:c>
      <x:c r="H234" s="4" t="str">
        <x:v>2254</x:v>
      </x:c>
      <x:c r="I234" s="4" t="str">
        <x:v>24</x:v>
      </x:c>
      <x:c r="J234" s="4" t="str">
        <x:v>5c61a05c3fb2992b4dd293fd66e795780327c45ea977199082bb9f8377828ab0</x:v>
      </x:c>
      <x:c r="K234" s="4" t="str">
        <x:v>2026-09-08</x:v>
      </x:c>
      <x:c r="L234" s="4" t="str">
        <x:v>SIN_FECHA_DE_ADOPCION</x:v>
      </x:c>
      <x:c r="M234" s="12" t="n">
        <x:f>IF(LEN(J234)=64,0,1)</x:f>
        <x:v>0</x:v>
      </x:c>
      <x:c r="N234" s="12" t="n">
        <x:f>IF(COUNTIF('03_NICE'!$A$5:$A$57,A234)+COUNTIF('04_TKS'!$A$5:$A$72,A234)+COUNTIF('05_Complementos'!$A$5:$A$127,A234)=1,0,1)</x:f>
        <x:v>0</x:v>
      </x:c>
      <x:c r="O234" s="12" t="n">
        <x:f>COUNTIF('08_Trazas'!$A$5:$A$248,A234)-1</x:f>
        <x:v>0</x:v>
      </x:c>
      <x:c r="P234" s="12" t="n">
        <x:f>IF(COUNTIF('02_Custodia'!$A$5:$A$53,C234)=1,0,1)</x:f>
        <x:v>0</x:v>
      </x:c>
    </x:row>
    <x:row r="235" ht="47" customHeight="1">
      <x:c r="A235" s="4" t="str">
        <x:v>CP-110</x:v>
      </x:c>
      <x:c r="B235" s="4" t="str">
        <x:v>F030</x:v>
      </x:c>
      <x:c r="C235" s="4" t="str">
        <x:v>F030</x:v>
      </x:c>
      <x:c r="D235" s="4" t="str">
        <x:v>Artículo 2</x:v>
      </x:c>
      <x:c r="E235" s="4" t="str">
        <x:v>Texto consolidado capturado; RD 03-05-2022</x:v>
      </x:c>
      <x:c r="F235" s="4" t="str">
        <x:v>texto extraído; posición UTF-8</x:v>
      </x:c>
      <x:c r="G235" s="4" t="str">
        <x:v>ROTULO_EN_TEXTO_EXTRAIDO_UTF8</x:v>
      </x:c>
      <x:c r="H235" s="4" t="str">
        <x:v>3316</x:v>
      </x:c>
      <x:c r="I235" s="4" t="str">
        <x:v>22</x:v>
      </x:c>
      <x:c r="J235" s="4" t="str">
        <x:v>d49df7febe66d6e73e6cbaae0675cea544ba3adeb6a1dc69e909084507b637a9</x:v>
      </x:c>
      <x:c r="K235" s="4" t="str">
        <x:v>2026-09-08</x:v>
      </x:c>
      <x:c r="L235" s="4" t="str">
        <x:v>SIN_FECHA_DE_ADOPCION</x:v>
      </x:c>
      <x:c r="M235" s="12" t="n">
        <x:f>IF(LEN(J235)=64,0,1)</x:f>
        <x:v>0</x:v>
      </x:c>
      <x:c r="N235" s="12" t="n">
        <x:f>IF(COUNTIF('03_NICE'!$A$5:$A$57,A235)+COUNTIF('04_TKS'!$A$5:$A$72,A235)+COUNTIF('05_Complementos'!$A$5:$A$127,A235)=1,0,1)</x:f>
        <x:v>0</x:v>
      </x:c>
      <x:c r="O235" s="12" t="n">
        <x:f>COUNTIF('08_Trazas'!$A$5:$A$248,A235)-1</x:f>
        <x:v>0</x:v>
      </x:c>
      <x:c r="P235" s="12" t="n">
        <x:f>IF(COUNTIF('02_Custodia'!$A$5:$A$53,C235)=1,0,1)</x:f>
        <x:v>0</x:v>
      </x:c>
    </x:row>
    <x:row r="236" ht="47" customHeight="1">
      <x:c r="A236" s="4" t="str">
        <x:v>CP-111</x:v>
      </x:c>
      <x:c r="B236" s="4" t="str">
        <x:v>F030</x:v>
      </x:c>
      <x:c r="C236" s="4" t="str">
        <x:v>F030</x:v>
      </x:c>
      <x:c r="D236" s="4" t="str">
        <x:v>Artículo 11</x:v>
      </x:c>
      <x:c r="E236" s="4" t="str">
        <x:v>Texto consolidado capturado; RD 03-05-2022</x:v>
      </x:c>
      <x:c r="F236" s="4" t="str">
        <x:v>texto extraído; posición UTF-8</x:v>
      </x:c>
      <x:c r="G236" s="4" t="str">
        <x:v>ROTULO_EN_TEXTO_EXTRAIDO_UTF8</x:v>
      </x:c>
      <x:c r="H236" s="4" t="str">
        <x:v>25260</x:v>
      </x:c>
      <x:c r="I236" s="4" t="str">
        <x:v>36</x:v>
      </x:c>
      <x:c r="J236" s="4" t="str">
        <x:v>8cfc0a801a52b50e60843a2067b6d910d92d126b573f62a081a8968638d530e0</x:v>
      </x:c>
      <x:c r="K236" s="4" t="str">
        <x:v>2026-09-08</x:v>
      </x:c>
      <x:c r="L236" s="4" t="str">
        <x:v>SIN_FECHA_DE_ADOPCION</x:v>
      </x:c>
      <x:c r="M236" s="12" t="n">
        <x:f>IF(LEN(J236)=64,0,1)</x:f>
        <x:v>0</x:v>
      </x:c>
      <x:c r="N236" s="12" t="n">
        <x:f>IF(COUNTIF('03_NICE'!$A$5:$A$57,A236)+COUNTIF('04_TKS'!$A$5:$A$72,A236)+COUNTIF('05_Complementos'!$A$5:$A$127,A236)=1,0,1)</x:f>
        <x:v>0</x:v>
      </x:c>
      <x:c r="O236" s="12" t="n">
        <x:f>COUNTIF('08_Trazas'!$A$5:$A$248,A236)-1</x:f>
        <x:v>0</x:v>
      </x:c>
      <x:c r="P236" s="12" t="n">
        <x:f>IF(COUNTIF('02_Custodia'!$A$5:$A$53,C236)=1,0,1)</x:f>
        <x:v>0</x:v>
      </x:c>
    </x:row>
    <x:row r="237" ht="47" customHeight="1">
      <x:c r="A237" s="4" t="str">
        <x:v>CP-112</x:v>
      </x:c>
      <x:c r="B237" s="4" t="str">
        <x:v>F031</x:v>
      </x:c>
      <x:c r="C237" s="4" t="str">
        <x:v>F031</x:v>
      </x:c>
      <x:c r="D237" s="4" t="str">
        <x:v>Artículo 2</x:v>
      </x:c>
      <x:c r="E237" s="4" t="str">
        <x:v>Texto original DOUE capturado; 14-12-2022</x:v>
      </x:c>
      <x:c r="F237" s="4" t="str">
        <x:v>texto extraído; posición UTF-8</x:v>
      </x:c>
      <x:c r="G237" s="4" t="str">
        <x:v>ROTULO_EN_TEXTO_EXTRAIDO_UTF8</x:v>
      </x:c>
      <x:c r="H237" s="4" t="str">
        <x:v>11118</x:v>
      </x:c>
      <x:c r="I237" s="4" t="str">
        <x:v>5</x:v>
      </x:c>
      <x:c r="J237" s="4" t="str">
        <x:v>5f161c9149882e0e10124bc5dd5c11f0fbe8ec452edd52bcec76b01e9252cb33</x:v>
      </x:c>
      <x:c r="K237" s="4" t="str">
        <x:v>2026-09-08</x:v>
      </x:c>
      <x:c r="L237" s="4" t="str">
        <x:v>SIN_FECHA_DE_ADOPCION</x:v>
      </x:c>
      <x:c r="M237" s="12" t="n">
        <x:f>IF(LEN(J237)=64,0,1)</x:f>
        <x:v>0</x:v>
      </x:c>
      <x:c r="N237" s="12" t="n">
        <x:f>IF(COUNTIF('03_NICE'!$A$5:$A$57,A237)+COUNTIF('04_TKS'!$A$5:$A$72,A237)+COUNTIF('05_Complementos'!$A$5:$A$127,A237)=1,0,1)</x:f>
        <x:v>0</x:v>
      </x:c>
      <x:c r="O237" s="12" t="n">
        <x:f>COUNTIF('08_Trazas'!$A$5:$A$248,A237)-1</x:f>
        <x:v>0</x:v>
      </x:c>
      <x:c r="P237" s="12" t="n">
        <x:f>IF(COUNTIF('02_Custodia'!$A$5:$A$53,C237)=1,0,1)</x:f>
        <x:v>0</x:v>
      </x:c>
    </x:row>
    <x:row r="238" ht="47" customHeight="1">
      <x:c r="A238" s="4" t="str">
        <x:v>CP-113</x:v>
      </x:c>
      <x:c r="B238" s="4" t="str">
        <x:v>F031</x:v>
      </x:c>
      <x:c r="C238" s="4" t="str">
        <x:v>F031</x:v>
      </x:c>
      <x:c r="D238" s="4" t="str">
        <x:v>Artículos 20 y 21</x:v>
      </x:c>
      <x:c r="E238" s="4" t="str">
        <x:v>Texto original DOUE capturado; 14-12-2022</x:v>
      </x:c>
      <x:c r="F238" s="4" t="str">
        <x:v>texto extraído; posición UTF-8</x:v>
      </x:c>
      <x:c r="G238" s="4" t="str">
        <x:v>ROTULO_EN_TEXTO_EXTRAIDO_UTF8</x:v>
      </x:c>
      <x:c r="H238" s="4" t="str">
        <x:v>42623</x:v>
      </x:c>
      <x:c r="I238" s="4" t="str">
        <x:v>10</x:v>
      </x:c>
      <x:c r="J238" s="4" t="str">
        <x:v>bf9422a2a04aad2180fad0913f1cdf8a9d3780fd074817d2569050d0a8095d3a</x:v>
      </x:c>
      <x:c r="K238" s="4" t="str">
        <x:v>2026-09-08</x:v>
      </x:c>
      <x:c r="L238" s="4" t="str">
        <x:v>SIN_FECHA_DE_ADOPCION</x:v>
      </x:c>
      <x:c r="M238" s="12" t="n">
        <x:f>IF(LEN(J238)=64,0,1)</x:f>
        <x:v>0</x:v>
      </x:c>
      <x:c r="N238" s="12" t="n">
        <x:f>IF(COUNTIF('03_NICE'!$A$5:$A$57,A238)+COUNTIF('04_TKS'!$A$5:$A$72,A238)+COUNTIF('05_Complementos'!$A$5:$A$127,A238)=1,0,1)</x:f>
        <x:v>0</x:v>
      </x:c>
      <x:c r="O238" s="12" t="n">
        <x:f>COUNTIF('08_Trazas'!$A$5:$A$248,A238)-1</x:f>
        <x:v>0</x:v>
      </x:c>
      <x:c r="P238" s="12" t="n">
        <x:f>IF(COUNTIF('02_Custodia'!$A$5:$A$53,C238)=1,0,1)</x:f>
        <x:v>0</x:v>
      </x:c>
    </x:row>
    <x:row r="239" ht="47" customHeight="1">
      <x:c r="A239" s="4" t="str">
        <x:v>CP-114</x:v>
      </x:c>
      <x:c r="B239" s="4" t="str">
        <x:v>F032</x:v>
      </x:c>
      <x:c r="C239" s="4" t="str">
        <x:v>F032</x:v>
      </x:c>
      <x:c r="D239" s="4" t="str">
        <x:v>Artículo 2</x:v>
      </x:c>
      <x:c r="E239" s="4" t="str">
        <x:v>Texto original DOUE capturado; 23-10-2024</x:v>
      </x:c>
      <x:c r="F239" s="4" t="str">
        <x:v>texto extraído; posición UTF-8</x:v>
      </x:c>
      <x:c r="G239" s="4" t="str">
        <x:v>ROTULO_EN_TEXTO_EXTRAIDO_UTF8</x:v>
      </x:c>
      <x:c r="H239" s="4" t="str">
        <x:v>11972</x:v>
      </x:c>
      <x:c r="I239" s="4" t="str">
        <x:v>5</x:v>
      </x:c>
      <x:c r="J239" s="4" t="str">
        <x:v>5f161c9149882e0e10124bc5dd5c11f0fbe8ec452edd52bcec76b01e9252cb33</x:v>
      </x:c>
      <x:c r="K239" s="4" t="str">
        <x:v>2026-09-08</x:v>
      </x:c>
      <x:c r="L239" s="4" t="str">
        <x:v>SIN_FECHA_DE_ADOPCION</x:v>
      </x:c>
      <x:c r="M239" s="12" t="n">
        <x:f>IF(LEN(J239)=64,0,1)</x:f>
        <x:v>0</x:v>
      </x:c>
      <x:c r="N239" s="12" t="n">
        <x:f>IF(COUNTIF('03_NICE'!$A$5:$A$57,A239)+COUNTIF('04_TKS'!$A$5:$A$72,A239)+COUNTIF('05_Complementos'!$A$5:$A$127,A239)=1,0,1)</x:f>
        <x:v>0</x:v>
      </x:c>
      <x:c r="O239" s="12" t="n">
        <x:f>COUNTIF('08_Trazas'!$A$5:$A$248,A239)-1</x:f>
        <x:v>0</x:v>
      </x:c>
      <x:c r="P239" s="12" t="n">
        <x:f>IF(COUNTIF('02_Custodia'!$A$5:$A$53,C239)=1,0,1)</x:f>
        <x:v>0</x:v>
      </x:c>
    </x:row>
    <x:row r="240" ht="47" customHeight="1">
      <x:c r="A240" s="4" t="str">
        <x:v>CP-115</x:v>
      </x:c>
      <x:c r="B240" s="4" t="str">
        <x:v>F032</x:v>
      </x:c>
      <x:c r="C240" s="4" t="str">
        <x:v>F032</x:v>
      </x:c>
      <x:c r="D240" s="4" t="str">
        <x:v>Anexo I</x:v>
      </x:c>
      <x:c r="E240" s="4" t="str">
        <x:v>Texto original DOUE capturado; 23-10-2024</x:v>
      </x:c>
      <x:c r="F240" s="4" t="str">
        <x:v>texto extraído; posición UTF-8</x:v>
      </x:c>
      <x:c r="G240" s="4" t="str">
        <x:v>ROTULO_EN_TEXTO_EXTRAIDO_UTF8</x:v>
      </x:c>
      <x:c r="H240" s="4" t="str">
        <x:v>7801</x:v>
      </x:c>
      <x:c r="I240" s="4" t="str">
        <x:v>36</x:v>
      </x:c>
      <x:c r="J240" s="4" t="str">
        <x:v>0a004f9280a49fbcc85a4d09767301ef56f04c85347eb3fb04dc6d19d2a57da8</x:v>
      </x:c>
      <x:c r="K240" s="4" t="str">
        <x:v>2026-09-08</x:v>
      </x:c>
      <x:c r="L240" s="4" t="str">
        <x:v>SIN_FECHA_DE_ADOPCION</x:v>
      </x:c>
      <x:c r="M240" s="12" t="n">
        <x:f>IF(LEN(J240)=64,0,1)</x:f>
        <x:v>0</x:v>
      </x:c>
      <x:c r="N240" s="12" t="n">
        <x:f>IF(COUNTIF('03_NICE'!$A$5:$A$57,A240)+COUNTIF('04_TKS'!$A$5:$A$72,A240)+COUNTIF('05_Complementos'!$A$5:$A$127,A240)=1,0,1)</x:f>
        <x:v>0</x:v>
      </x:c>
      <x:c r="O240" s="12" t="n">
        <x:f>COUNTIF('08_Trazas'!$A$5:$A$248,A240)-1</x:f>
        <x:v>0</x:v>
      </x:c>
      <x:c r="P240" s="12" t="n">
        <x:f>IF(COUNTIF('02_Custodia'!$A$5:$A$53,C240)=1,0,1)</x:f>
        <x:v>0</x:v>
      </x:c>
    </x:row>
    <x:row r="241" ht="47" customHeight="1">
      <x:c r="A241" s="4" t="str">
        <x:v>CP-116</x:v>
      </x:c>
      <x:c r="B241" s="4" t="str">
        <x:v>F033</x:v>
      </x:c>
      <x:c r="C241" s="4" t="str">
        <x:v>F033</x:v>
      </x:c>
      <x:c r="D241" s="4" t="str">
        <x:v>Artículo 2</x:v>
      </x:c>
      <x:c r="E241" s="4" t="str">
        <x:v>Texto original DOUE capturado; 13-06-2024</x:v>
      </x:c>
      <x:c r="F241" s="4" t="str">
        <x:v>texto extraído; posición UTF-8</x:v>
      </x:c>
      <x:c r="G241" s="4" t="str">
        <x:v>ROTULO_EN_TEXTO_EXTRAIDO_UTF8</x:v>
      </x:c>
      <x:c r="H241" s="4" t="str">
        <x:v>17225</x:v>
      </x:c>
      <x:c r="I241" s="4" t="str">
        <x:v>5</x:v>
      </x:c>
      <x:c r="J241" s="4" t="str">
        <x:v>5f161c9149882e0e10124bc5dd5c11f0fbe8ec452edd52bcec76b01e9252cb33</x:v>
      </x:c>
      <x:c r="K241" s="4" t="str">
        <x:v>2026-09-08</x:v>
      </x:c>
      <x:c r="L241" s="4" t="str">
        <x:v>SIN_FECHA_DE_ADOPCION</x:v>
      </x:c>
      <x:c r="M241" s="12" t="n">
        <x:f>IF(LEN(J241)=64,0,1)</x:f>
        <x:v>0</x:v>
      </x:c>
      <x:c r="N241" s="12" t="n">
        <x:f>IF(COUNTIF('03_NICE'!$A$5:$A$57,A241)+COUNTIF('04_TKS'!$A$5:$A$72,A241)+COUNTIF('05_Complementos'!$A$5:$A$127,A241)=1,0,1)</x:f>
        <x:v>0</x:v>
      </x:c>
      <x:c r="O241" s="12" t="n">
        <x:f>COUNTIF('08_Trazas'!$A$5:$A$248,A241)-1</x:f>
        <x:v>0</x:v>
      </x:c>
      <x:c r="P241" s="12" t="n">
        <x:f>IF(COUNTIF('02_Custodia'!$A$5:$A$53,C241)=1,0,1)</x:f>
        <x:v>0</x:v>
      </x:c>
    </x:row>
    <x:row r="242" ht="47" customHeight="1">
      <x:c r="A242" s="4" t="str">
        <x:v>CP-117</x:v>
      </x:c>
      <x:c r="B242" s="4" t="str">
        <x:v>F033</x:v>
      </x:c>
      <x:c r="C242" s="4" t="str">
        <x:v>F033</x:v>
      </x:c>
      <x:c r="D242" s="4" t="str">
        <x:v>Artículos 14 y 15</x:v>
      </x:c>
      <x:c r="E242" s="4" t="str">
        <x:v>Texto original DOUE capturado; 13-06-2024</x:v>
      </x:c>
      <x:c r="F242" s="4" t="str">
        <x:v>texto extraído; posición UTF-8</x:v>
      </x:c>
      <x:c r="G242" s="4" t="str">
        <x:v>ROTULO_EN_TEXTO_EXTRAIDO_UTF8</x:v>
      </x:c>
      <x:c r="H242" s="4" t="str">
        <x:v>102776</x:v>
      </x:c>
      <x:c r="I242" s="4" t="str">
        <x:v>15</x:v>
      </x:c>
      <x:c r="J242" s="4" t="str">
        <x:v>7b0fee27227d460af1a4cd164a4ff1442eab332f59e1718c6b7d2a80c7f8a245</x:v>
      </x:c>
      <x:c r="K242" s="4" t="str">
        <x:v>2026-09-08</x:v>
      </x:c>
      <x:c r="L242" s="4" t="str">
        <x:v>SIN_FECHA_DE_ADOPCION</x:v>
      </x:c>
      <x:c r="M242" s="12" t="n">
        <x:f>IF(LEN(J242)=64,0,1)</x:f>
        <x:v>0</x:v>
      </x:c>
      <x:c r="N242" s="12" t="n">
        <x:f>IF(COUNTIF('03_NICE'!$A$5:$A$57,A242)+COUNTIF('04_TKS'!$A$5:$A$72,A242)+COUNTIF('05_Complementos'!$A$5:$A$127,A242)=1,0,1)</x:f>
        <x:v>0</x:v>
      </x:c>
      <x:c r="O242" s="12" t="n">
        <x:f>COUNTIF('08_Trazas'!$A$5:$A$248,A242)-1</x:f>
        <x:v>0</x:v>
      </x:c>
      <x:c r="P242" s="12" t="n">
        <x:f>IF(COUNTIF('02_Custodia'!$A$5:$A$53,C242)=1,0,1)</x:f>
        <x:v>0</x:v>
      </x:c>
    </x:row>
    <x:row r="243" ht="47" customHeight="1">
      <x:c r="A243" s="4" t="str">
        <x:v>CP-118</x:v>
      </x:c>
      <x:c r="B243" s="4" t="str">
        <x:v>F034</x:v>
      </x:c>
      <x:c r="C243" s="4" t="str">
        <x:v>F034</x:v>
      </x:c>
      <x:c r="D243" s="4" t="str">
        <x:v>Artículos 2 y 3</x:v>
      </x:c>
      <x:c r="E243" s="4" t="str">
        <x:v>Texto original DOUE capturado; 27-04-2016</x:v>
      </x:c>
      <x:c r="F243" s="4" t="str">
        <x:v>texto extraído; posición UTF-8</x:v>
      </x:c>
      <x:c r="G243" s="4" t="str">
        <x:v>ROTULO_EN_TEXTO_EXTRAIDO_UTF8</x:v>
      </x:c>
      <x:c r="H243" s="4" t="str">
        <x:v>161335</x:v>
      </x:c>
      <x:c r="I243" s="4" t="str">
        <x:v>14</x:v>
      </x:c>
      <x:c r="J243" s="4" t="str">
        <x:v>85009c5fc45c48f62d934af1992b5608c6c1ee723601e1eac727cef314251b19</x:v>
      </x:c>
      <x:c r="K243" s="4" t="str">
        <x:v>2026-09-08</x:v>
      </x:c>
      <x:c r="L243" s="4" t="str">
        <x:v>SIN_FECHA_DE_ADOPCION</x:v>
      </x:c>
      <x:c r="M243" s="12" t="n">
        <x:f>IF(LEN(J243)=64,0,1)</x:f>
        <x:v>0</x:v>
      </x:c>
      <x:c r="N243" s="12" t="n">
        <x:f>IF(COUNTIF('03_NICE'!$A$5:$A$57,A243)+COUNTIF('04_TKS'!$A$5:$A$72,A243)+COUNTIF('05_Complementos'!$A$5:$A$127,A243)=1,0,1)</x:f>
        <x:v>0</x:v>
      </x:c>
      <x:c r="O243" s="12" t="n">
        <x:f>COUNTIF('08_Trazas'!$A$5:$A$248,A243)-1</x:f>
        <x:v>0</x:v>
      </x:c>
      <x:c r="P243" s="12" t="n">
        <x:f>IF(COUNTIF('02_Custodia'!$A$5:$A$53,C243)=1,0,1)</x:f>
        <x:v>0</x:v>
      </x:c>
    </x:row>
    <x:row r="244" ht="47" customHeight="1">
      <x:c r="A244" s="4" t="str">
        <x:v>CP-119</x:v>
      </x:c>
      <x:c r="B244" s="4" t="str">
        <x:v>F034</x:v>
      </x:c>
      <x:c r="C244" s="4" t="str">
        <x:v>F034</x:v>
      </x:c>
      <x:c r="D244" s="4" t="str">
        <x:v>Artículo 32</x:v>
      </x:c>
      <x:c r="E244" s="4" t="str">
        <x:v>Texto original DOUE capturado; 27-04-2016</x:v>
      </x:c>
      <x:c r="F244" s="4" t="str">
        <x:v>texto extraído; posición UTF-8</x:v>
      </x:c>
      <x:c r="G244" s="4" t="str">
        <x:v>ROTULO_EN_TEXTO_EXTRAIDO_UTF8</x:v>
      </x:c>
      <x:c r="H244" s="4" t="str">
        <x:v>80853</x:v>
      </x:c>
      <x:c r="I244" s="4" t="str">
        <x:v>22</x:v>
      </x:c>
      <x:c r="J244" s="4" t="str">
        <x:v>00d2f72243643f619c13e051f1188770d8f09af916e42cbbc206384d51c095c3</x:v>
      </x:c>
      <x:c r="K244" s="4" t="str">
        <x:v>2026-09-08</x:v>
      </x:c>
      <x:c r="L244" s="4" t="str">
        <x:v>SIN_FECHA_DE_ADOPCION</x:v>
      </x:c>
      <x:c r="M244" s="12" t="n">
        <x:f>IF(LEN(J244)=64,0,1)</x:f>
        <x:v>0</x:v>
      </x:c>
      <x:c r="N244" s="12" t="n">
        <x:f>IF(COUNTIF('03_NICE'!$A$5:$A$57,A244)+COUNTIF('04_TKS'!$A$5:$A$72,A244)+COUNTIF('05_Complementos'!$A$5:$A$127,A244)=1,0,1)</x:f>
        <x:v>0</x:v>
      </x:c>
      <x:c r="O244" s="12" t="n">
        <x:f>COUNTIF('08_Trazas'!$A$5:$A$248,A244)-1</x:f>
        <x:v>0</x:v>
      </x:c>
      <x:c r="P244" s="12" t="n">
        <x:f>IF(COUNTIF('02_Custodia'!$A$5:$A$53,C244)=1,0,1)</x:f>
        <x:v>0</x:v>
      </x:c>
    </x:row>
    <x:row r="245" ht="47" customHeight="1">
      <x:c r="A245" s="4" t="str">
        <x:v>CP-120</x:v>
      </x:c>
      <x:c r="B245" s="4" t="str">
        <x:v>F035</x:v>
      </x:c>
      <x:c r="C245" s="4" t="str">
        <x:v>A007</x:v>
      </x:c>
      <x:c r="D245" s="4" t="str">
        <x:v>Tramo Cybersecurity; función de investigación y respuesta</x:v>
      </x:c>
      <x:c r="E245" s="4" t="str">
        <x:v>PDF institucional sin edición formal fijada; página actualizada 23-07-2026</x:v>
      </x:c>
      <x:c r="F245" s="4" t="str">
        <x:v>página física 159</x:v>
      </x:c>
      <x:c r="G245" s="4" t="str">
        <x:v>ROTULO_EN_TEXTO_EXTRAIDO_UTF8</x:v>
      </x:c>
      <x:c r="H245" s="4" t="str">
        <x:v>324218</x:v>
      </x:c>
      <x:c r="I245" s="4" t="str">
        <x:v>15</x:v>
      </x:c>
      <x:c r="J245" s="4" t="str">
        <x:v>df1d4220ec5cfaf0f9f912ce05c2cba480d8d6234b3b6ef6ed2b492c681f7144</x:v>
      </x:c>
      <x:c r="K245" s="4" t="str">
        <x:v>2026-09-08</x:v>
      </x:c>
      <x:c r="L245" s="4" t="str">
        <x:v>SIN_FECHA_DE_ADOPCION</x:v>
      </x:c>
      <x:c r="M245" s="12" t="n">
        <x:f>IF(LEN(J245)=64,0,1)</x:f>
        <x:v>0</x:v>
      </x:c>
      <x:c r="N245" s="12" t="n">
        <x:f>IF(COUNTIF('03_NICE'!$A$5:$A$57,A245)+COUNTIF('04_TKS'!$A$5:$A$72,A245)+COUNTIF('05_Complementos'!$A$5:$A$127,A245)=1,0,1)</x:f>
        <x:v>0</x:v>
      </x:c>
      <x:c r="O245" s="12" t="n">
        <x:f>COUNTIF('08_Trazas'!$A$5:$A$248,A245)-1</x:f>
        <x:v>0</x:v>
      </x:c>
      <x:c r="P245" s="12" t="n">
        <x:f>IF(COUNTIF('02_Custodia'!$A$5:$A$53,C245)=1,0,1)</x:f>
        <x:v>0</x:v>
      </x:c>
    </x:row>
    <x:row r="246" ht="47" customHeight="1">
      <x:c r="A246" s="4" t="str">
        <x:v>CP-121</x:v>
      </x:c>
      <x:c r="B246" s="4" t="str">
        <x:v>F035</x:v>
      </x:c>
      <x:c r="C246" s="4" t="str">
        <x:v>A007</x:v>
      </x:c>
      <x:c r="D246" s="4" t="str">
        <x:v>Tramo Cybersecurity; niveles de competencia</x:v>
      </x:c>
      <x:c r="E246" s="4" t="str">
        <x:v>PDF institucional sin edición formal fijada; página actualizada 23-07-2026</x:v>
      </x:c>
      <x:c r="F246" s="4" t="str">
        <x:v>página física 50</x:v>
      </x:c>
      <x:c r="G246" s="4" t="str">
        <x:v>ROTULO_EN_TEXTO_EXTRAIDO_UTF8</x:v>
      </x:c>
      <x:c r="H246" s="4" t="str">
        <x:v>80401</x:v>
      </x:c>
      <x:c r="I246" s="4" t="str">
        <x:v>42</x:v>
      </x:c>
      <x:c r="J246" s="4" t="str">
        <x:v>a6346857fb88b1b0898d2b1e4a43714e17776ef5fd9cee9211d4492b58977e5e</x:v>
      </x:c>
      <x:c r="K246" s="4" t="str">
        <x:v>2026-09-08</x:v>
      </x:c>
      <x:c r="L246" s="4" t="str">
        <x:v>SIN_FECHA_DE_ADOPCION</x:v>
      </x:c>
      <x:c r="M246" s="12" t="n">
        <x:f>IF(LEN(J246)=64,0,1)</x:f>
        <x:v>0</x:v>
      </x:c>
      <x:c r="N246" s="12" t="n">
        <x:f>IF(COUNTIF('03_NICE'!$A$5:$A$57,A246)+COUNTIF('04_TKS'!$A$5:$A$72,A246)+COUNTIF('05_Complementos'!$A$5:$A$127,A246)=1,0,1)</x:f>
        <x:v>0</x:v>
      </x:c>
      <x:c r="O246" s="12" t="n">
        <x:f>COUNTIF('08_Trazas'!$A$5:$A$248,A246)-1</x:f>
        <x:v>0</x:v>
      </x:c>
      <x:c r="P246" s="12" t="n">
        <x:f>IF(COUNTIF('02_Custodia'!$A$5:$A$53,C246)=1,0,1)</x:f>
        <x:v>0</x:v>
      </x:c>
    </x:row>
    <x:row r="247" ht="47" customHeight="1">
      <x:c r="A247" s="4" t="str">
        <x:v>CP-122</x:v>
      </x:c>
      <x:c r="B247" s="4" t="str">
        <x:v>F036</x:v>
      </x:c>
      <x:c r="C247" s="4" t="str">
        <x:v>F036</x:v>
      </x:c>
      <x:c r="D247" s="4" t="str">
        <x:v>Context; valoración de capacidades y horizonte</x:v>
      </x:c>
      <x:c r="E247" s="4" t="str">
        <x:v>Evaluación publicada 07-05-2025</x:v>
      </x:c>
      <x:c r="F247" s="4" t="str">
        <x:v>texto extraído; posición UTF-8</x:v>
      </x:c>
      <x:c r="G247" s="4" t="str">
        <x:v>ROTULO_EN_TEXTO_EXTRAIDO_UTF8</x:v>
      </x:c>
      <x:c r="H247" s="4" t="str">
        <x:v>3950</x:v>
      </x:c>
      <x:c r="I247" s="4" t="str">
        <x:v>15</x:v>
      </x:c>
      <x:c r="J247" s="4" t="str">
        <x:v>b31a0f2f55f6e5bcc14e61724e160250ea117e2437851f2e3116fb43fc135ef6</x:v>
      </x:c>
      <x:c r="K247" s="4" t="str">
        <x:v>2026-09-08</x:v>
      </x:c>
      <x:c r="L247" s="4" t="str">
        <x:v>SIN_FECHA_DE_ADOPCION</x:v>
      </x:c>
      <x:c r="M247" s="12" t="n">
        <x:f>IF(LEN(J247)=64,0,1)</x:f>
        <x:v>0</x:v>
      </x:c>
      <x:c r="N247" s="12" t="n">
        <x:f>IF(COUNTIF('03_NICE'!$A$5:$A$57,A247)+COUNTIF('04_TKS'!$A$5:$A$72,A247)+COUNTIF('05_Complementos'!$A$5:$A$127,A247)=1,0,1)</x:f>
        <x:v>0</x:v>
      </x:c>
      <x:c r="O247" s="12" t="n">
        <x:f>COUNTIF('08_Trazas'!$A$5:$A$248,A247)-1</x:f>
        <x:v>0</x:v>
      </x:c>
      <x:c r="P247" s="12" t="n">
        <x:f>IF(COUNTIF('02_Custodia'!$A$5:$A$53,C247)=1,0,1)</x:f>
        <x:v>0</x:v>
      </x:c>
    </x:row>
    <x:row r="248" ht="47" customHeight="1">
      <x:c r="A248" s="4" t="str">
        <x:v>CP-123</x:v>
      </x:c>
      <x:c r="B248" s="4" t="str">
        <x:v>F036</x:v>
      </x:c>
      <x:c r="C248" s="4" t="str">
        <x:v>F036</x:v>
      </x:c>
      <x:c r="D248" s="4" t="str">
        <x:v>Context; Human-machine teaming</x:v>
      </x:c>
      <x:c r="E248" s="4" t="str">
        <x:v>Evaluación publicada 07-05-2025</x:v>
      </x:c>
      <x:c r="F248" s="4" t="str">
        <x:v>texto extraído; posición UTF-8</x:v>
      </x:c>
      <x:c r="G248" s="4" t="str">
        <x:v>ROTULO_EN_TEXTO_EXTRAIDO_UTF8</x:v>
      </x:c>
      <x:c r="H248" s="4" t="str">
        <x:v>9692</x:v>
      </x:c>
      <x:c r="I248" s="4" t="str">
        <x:v>21</x:v>
      </x:c>
      <x:c r="J248" s="4" t="str">
        <x:v>248bcba3a994cdb66cccceb03c72bc442e2f89c761a8ca131055ed66497e126d</x:v>
      </x:c>
      <x:c r="K248" s="4" t="str">
        <x:v>2026-09-08</x:v>
      </x:c>
      <x:c r="L248" s="4" t="str">
        <x:v>SIN_FECHA_DE_ADOPCION</x:v>
      </x:c>
      <x:c r="M248" s="12" t="n">
        <x:f>IF(LEN(J248)=64,0,1)</x:f>
        <x:v>0</x:v>
      </x:c>
      <x:c r="N248" s="12" t="n">
        <x:f>IF(COUNTIF('03_NICE'!$A$5:$A$57,A248)+COUNTIF('04_TKS'!$A$5:$A$72,A248)+COUNTIF('05_Complementos'!$A$5:$A$127,A248)=1,0,1)</x:f>
        <x:v>0</x:v>
      </x:c>
      <x:c r="O248" s="12" t="n">
        <x:f>COUNTIF('08_Trazas'!$A$5:$A$248,A248)-1</x:f>
        <x:v>0</x:v>
      </x:c>
      <x:c r="P248" s="12" t="n">
        <x:f>IF(COUNTIF('02_Custodia'!$A$5:$A$53,C248)=1,0,1)</x:f>
        <x:v>0</x:v>
      </x:c>
    </x:row>
  </x:sheetData>
  <x:mergeCells>
    <x:mergeCell ref="A1:D1"/>
    <x:mergeCell ref="A2:F2"/>
  </x:mergeCells>
  <x:pageMargins left="0.7" right="0.7" top="0.75" bottom="0.75" header="0.3" footer="0.3"/>
  <x:tableParts count="1">
    <x:tablePart xmlns:r="http://schemas.openxmlformats.org/officeDocument/2006/relationships" r:id="R1eba705808f4407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44" hidden="0" customWidth="1"/>
    <x:col min="4" max="4" width="91" hidden="0" customWidth="1"/>
    <x:col min="5" max="5" width="35" hidden="0" customWidth="1"/>
    <x:col min="6" max="6" width="90" hidden="0" customWidth="1"/>
  </x:cols>
  <x:sheetData>
    <x:row r="1" ht="35" customHeight="1">
      <x:c r="A1" s="6" t="str">
        <x:v>DECISIONES · fundamentos y contradicciones</x:v>
      </x:c>
      <x:c r="B1" s="6"/>
      <x:c r="C1" s="6"/>
      <x:c r="D1" s="6"/>
      <x:c r="E1" s="6"/>
      <x:c r="F1" s="6"/>
    </x:row>
    <x:row r="2" ht="52" customHeight="1">
      <x:c r="A2" s="8" t="str">
        <x:v>Decisiones del antecedente profesional; la propuesta rectora DEC-01 queda rectificada en v0.2. Nuevos fundamentos, reservas y autoridades: 14, 22 y 24.</x:v>
      </x:c>
      <x:c r="B2" s="8"/>
      <x:c r="C2" s="8"/>
      <x:c r="D2" s="8"/>
      <x:c r="E2" s="8"/>
      <x:c r="F2" s="8"/>
    </x:row>
    <x:row r="3">
      <x:c r="A3" s="4"/>
      <x:c r="B3" s="4"/>
      <x:c r="C3" s="4"/>
      <x:c r="D3" s="4"/>
      <x:c r="E3" s="4"/>
      <x:c r="F3" s="4"/>
    </x:row>
    <x:row r="4" ht="42" customHeight="1">
      <x:c r="A4" s="10" t="str">
        <x:v>ID</x:v>
      </x:c>
      <x:c r="B4" s="10" t="str">
        <x:v>Asunto</x:v>
      </x:c>
      <x:c r="C4" s="10" t="str">
        <x:v>Objeto</x:v>
      </x:c>
      <x:c r="D4" s="10" t="str">
        <x:v>Fundamento</x:v>
      </x:c>
      <x:c r="E4" s="10" t="str">
        <x:v>Evidencia</x:v>
      </x:c>
      <x:c r="F4" s="10" t="str">
        <x:v>Límite / efecto</x:v>
      </x:c>
    </x:row>
    <x:row r="5" ht="47" customHeight="1">
      <x:c r="A5" s="4" t="str">
        <x:v>DEC-01</x:v>
      </x:c>
      <x:c r="B5" s="4" t="str">
        <x:v>Rector · rectificación v0.2</x:v>
      </x:c>
      <x:c r="C5" s="4" t="str">
        <x:v>NICE 2.2.0 → contraste profesional</x:v>
      </x:c>
      <x:c r="D5" s="4" t="str">
        <x:v>La propuesta de v0.1 confundía referencia profesional y base educativa. Se propone URJC 2026–27 como rector curricular concreto.</x:v>
      </x:c>
      <x:c r="E5" s="4" t="str">
        <x:v>14 P01; 15; AC-01</x:v>
      </x:c>
      <x:c r="F5" s="4" t="str">
        <x:v>No altera los objetos NICE ni atribuye adopción humana. El antecedente original se conserva en el commit 6bb83608929d1f3e9aa47cc12f2a5bbddfdcb436.</x:v>
      </x:c>
    </x:row>
    <x:row r="6" ht="47" customHeight="1">
      <x:c r="A6" s="4" t="str">
        <x:v>DEC-02</x:v>
      </x:c>
      <x:c r="B6" s="4" t="str">
        <x:v>Comparación</x:v>
      </x:c>
      <x:c r="C6" s="4" t="str">
        <x:v>CSEC2017</x:v>
      </x:c>
      <x:c r="D6" s="4" t="str">
        <x:v>Ocho áreas y colaboración curricular internacional; útil para detectar fundamentos omitidos.</x:v>
      </x:c>
      <x:c r="E6" s="4" t="str">
        <x:v>F003</x:v>
      </x:c>
      <x:c r="F6" s="4" t="str">
        <x:v>Complementa el trabajo con formación; antigüedad y naturaleza curricular impiden usarlo solo.</x:v>
      </x:c>
    </x:row>
    <x:row r="7" ht="47" customHeight="1">
      <x:c r="A7" s="4" t="str">
        <x:v>DEC-03</x:v>
      </x:c>
      <x:c r="B7" s="4" t="str">
        <x:v>Comparación</x:v>
      </x:c>
      <x:c r="C7" s="4" t="str">
        <x:v>CyBOK 1.1.0</x:v>
      </x:c>
      <x:c r="D7" s="4" t="str">
        <x:v>21 áreas con profundidad conceptual; métodos formales, criptografía y fronteras ciberfísicas.</x:v>
      </x:c>
      <x:c r="E7" s="4" t="str">
        <x:v>F004</x:v>
      </x:c>
      <x:c r="F7" s="4" t="str">
        <x:v>No organiza toda la actividad mediante productos profesionales y autoridad; no sustituye a NICE.</x:v>
      </x:c>
    </x:row>
    <x:row r="8" ht="47" customHeight="1">
      <x:c r="A8" s="4" t="str">
        <x:v>DEC-04</x:v>
      </x:c>
      <x:c r="B8" s="4" t="str">
        <x:v>Comparación</x:v>
      </x:c>
      <x:c r="C8" s="4" t="str">
        <x:v>ECSF</x:v>
      </x:c>
      <x:c r="D8" s="4" t="str">
        <x:v>Misión y entregables de 12 perfiles europeos afinan identidad de operaciones y responsabilidad.</x:v>
      </x:c>
      <x:c r="E8" s="4" t="str">
        <x:v>F005;A008</x:v>
      </x:c>
      <x:c r="F8" s="4" t="str">
        <x:v>Complemento especialmente útil de productos; menor desagregación de TKS y jurisdicción europea explícita.</x:v>
      </x:c>
    </x:row>
    <x:row r="9" ht="60" customHeight="1">
      <x:c r="A9" s="4" t="str">
        <x:v>DEC-05</x:v>
      </x:c>
      <x:c r="B9" s="4" t="str">
        <x:v>Complemento necesario</x:v>
      </x:c>
      <x:c r="C9" s="4" t="str">
        <x:v>Cuatro dimensiones de IA</x:v>
      </x:c>
      <x:c r="D9" s="4" t="str">
        <x:v>NICE ya incluye NF-COM-002 y TKS de IA. NIST/OWASP añaden método de evaluación, amenazas, ciclo de datos/modelo y supervisión; NCSC aporta prospectiva del uso adversario.</x:v>
      </x:c>
      <x:c r="E9" s="4" t="str">
        <x:v>F024–F029;F036</x:v>
      </x:c>
      <x:c r="F9" s="4" t="str">
        <x:v>La novedad es profundidad y distinciones comprobadas, no ausencia general de IA en NICE.</x:v>
      </x:c>
    </x:row>
    <x:row r="10" ht="60" customHeight="1">
      <x:c r="A10" s="4" t="str">
        <x:v>DEC-06</x:v>
      </x:c>
      <x:c r="B10" s="4" t="str">
        <x:v>Cierre de búsqueda</x:v>
      </x:c>
      <x:c r="C10" s="4" t="str">
        <x:v>Inventario finito</x:v>
      </x:c>
      <x:c r="D10" s="4" t="str">
        <x:v>36 fuentes principales; 49 capturas incluidas auxiliares y fallidas. Ingeniería UPC, gobierno CMU, certificaciones y especialidades seleccionadas; contraste europeo y de Singapur.</x:v>
      </x:c>
      <x:c r="E10" s="4" t="str">
        <x:v>01_Fuentes;02_Custodia</x:v>
      </x:c>
      <x:c r="F10" s="4" t="str">
        <x:v>Sin cuotas ni exhaustividad mundial. No añadir fuente sin vacío, contradicción, autoridad o actualización material.</x:v>
      </x:c>
    </x:row>
    <x:row r="11" ht="47" customHeight="1">
      <x:c r="A11" s="4" t="str">
        <x:v>DEC-07</x:v>
      </x:c>
      <x:c r="B11" s="4" t="str">
        <x:v>Aplicabilidad</x:v>
      </x:c>
      <x:c r="C11" s="4" t="str">
        <x:v>España/UE como vector inicial</x:v>
      </x:c>
      <x:c r="D11" s="4" t="str">
        <x:v>Es el vector propuesto por la instrucción, condicionado a entidad, operación, rol y tiempo.</x:v>
      </x:c>
      <x:c r="E11" s="4" t="str">
        <x:v>F030–F034</x:v>
      </x:c>
      <x:c r="F11" s="4" t="str">
        <x:v>NIS2 no se traslada como obligación nacional automáticamente; textos originales UE no acreditan todas las modificaciones vigentes.</x:v>
      </x:c>
    </x:row>
    <x:row r="12" ht="47" customHeight="1">
      <x:c r="A12" s="4" t="str">
        <x:v>DEC-08</x:v>
      </x:c>
      <x:c r="B12" s="4" t="str">
        <x:v>Granularidad</x:v>
      </x:c>
      <x:c r="C12" s="4" t="str">
        <x:v>22 operaciones candidatas</x:v>
      </x:c>
      <x:c r="D12" s="4" t="str">
        <x:v>Producto, objeto, desencadenante, autoridad, frontera y terminación gobiernan separaciones.</x:v>
      </x:c>
      <x:c r="E12" s="4" t="str">
        <x:v>07_Operaciones;MAPA_OPERACIONES.md</x:v>
      </x:c>
      <x:c r="F12" s="4" t="str">
        <x:v>No son universos constituidos ni una operación por cada rol o por cada fuente.</x:v>
      </x:c>
    </x:row>
    <x:row r="13" ht="47" customHeight="1">
      <x:c r="A13" s="4" t="str">
        <x:v>DEC-09</x:v>
      </x:c>
      <x:c r="B13" s="4" t="str">
        <x:v>Versiones</x:v>
      </x:c>
      <x:c r="C13" s="4" t="str">
        <x:v>NICE 2026 frente a metadato 2025</x:v>
      </x:c>
      <x:c r="D13" s="4" t="str">
        <x:v>La nota de publicación y el JSON 2.2.0 fijan la edición; se conserva el error de año en la página de componentes.</x:v>
      </x:c>
      <x:c r="E13" s="4" t="str">
        <x:v>A001;A002;F001</x:v>
      </x:c>
      <x:c r="F13" s="4" t="str">
        <x:v>No normalizar silenciosamente el metadato histórico.</x:v>
      </x:c>
    </x:row>
    <x:row r="14" ht="47" customHeight="1">
      <x:c r="A14" s="4" t="str">
        <x:v>DEC-10</x:v>
      </x:c>
      <x:c r="B14" s="4" t="str">
        <x:v>Versiones</x:v>
      </x:c>
      <x:c r="C14" s="4" t="str">
        <x:v>OWASP 2026 frente a página 2025</x:v>
      </x:c>
      <x:c r="D14" s="4" t="str">
        <x:v>Se utiliza PDF 2026 y repositorio fijado; identificadores LLM03/LLM06 no se equiparan a 2025 por numeral.</x:v>
      </x:c>
      <x:c r="E14" s="4" t="str">
        <x:v>A010;A011;A013;F029</x:v>
      </x:c>
      <x:c r="F14" s="4" t="str">
        <x:v>Las páginas difieren en el día de agosto y el PDF contiene un marcador de fecha: se fija edición y bytes, no día exacto inventado.</x:v>
      </x:c>
    </x:row>
    <x:row r="15" ht="47" customHeight="1">
      <x:c r="A15" s="4" t="str">
        <x:v>DEC-11</x:v>
      </x:c>
      <x:c r="B15" s="4" t="str">
        <x:v>Versiones</x:v>
      </x:c>
      <x:c r="C15" s="4" t="str">
        <x:v>CMU 95-743</x:v>
      </x:c>
      <x:c r="D15" s="4" t="str">
        <x:v>El manual anual denomina la materia Cybersecurity Policy and Governance; la web conserva otro título.</x:v>
      </x:c>
      <x:c r="E15" s="4" t="str">
        <x:v>F007;A009</x:v>
      </x:c>
      <x:c r="F15" s="4" t="str">
        <x:v>Las cuatro extracciones usan el manual 2026-2027; el contenido optativo no se presenta como núcleo obligatorio.</x:v>
      </x:c>
    </x:row>
    <x:row r="16" ht="47" customHeight="1">
      <x:c r="A16" s="4" t="str">
        <x:v>DEC-12</x:v>
      </x:c>
      <x:c r="B16" s="4" t="str">
        <x:v>Límites de acceso</x:v>
      </x:c>
      <x:c r="C16" s="4" t="str">
        <x:v>ISO, controles y UC3M</x:v>
      </x:c>
      <x:c r="D16" s="4" t="str">
        <x:v>Siete referencias sólo de metadatos; UC3M queda parcial; IR 8596 conserva condición de borrador.</x:v>
      </x:c>
      <x:c r="E16" s="4" t="str">
        <x:v>01_Fuentes</x:v>
      </x:c>
      <x:c r="F16" s="4" t="str">
        <x:v>No sostienen afirmaciones de cláusulas, requisitos completos ni currículo anual adoptado.</x:v>
      </x:c>
    </x:row>
    <x:row r="17" ht="60" customHeight="1">
      <x:c r="A17" s="4" t="str">
        <x:v>DEC-13</x:v>
      </x:c>
      <x:c r="B17" s="4" t="str">
        <x:v>Método Excel</x:v>
      </x:c>
      <x:c r="C17" s="4" t="str">
        <x:v>Principal y anexo posterior</x:v>
      </x:c>
      <x:c r="D17" s="4" t="str">
        <x:v>Excel es el catálogo principal. Tras su cierre real: congelar bytes, sellar libro y producir anexo determinista leído sin resalvarlo, verificado contra el original.</x:v>
      </x:c>
      <x:c r="E17" s="4" t="str">
        <x:v>Mandato humano de esta conversación</x:v>
      </x:c>
      <x:c r="F17" s="4" t="str">
        <x:v>En este corte candidato no se genera proyección. SHA-256 no es firma digital de autoría ni aprobación soberana.</x:v>
      </x:c>
    </x:row>
    <x:row r="18" ht="47" customHeight="1">
      <x:c r="A18" s="4" t="str">
        <x:v>DEC-14</x:v>
      </x:c>
      <x:c r="B18" s="4" t="str">
        <x:v>Relaciones</x:v>
      </x:c>
      <x:c r="C18" s="4" t="str">
        <x:v>Oficiales frente a locales</x:v>
      </x:c>
      <x:c r="D18" s="4" t="str">
        <x:v>182 relaciones originales NICE con ambos extremos seleccionados; vínculos locales de pertinencia conservan su naturaleza.</x:v>
      </x:c>
      <x:c r="E18" s="4" t="str">
        <x:v>13_Relaciones_NICE;03_NICE;04_TKS;05_Complementos</x:v>
      </x:c>
      <x:c r="F18" s="4" t="str">
        <x:v>Una coincidencia de rótulos o una ancla local no demuestra equivalencia semántica ni cobertura completa de un rol.</x:v>
      </x:c>
    </x:row>
  </x:sheetData>
  <x:mergeCells>
    <x:mergeCell ref="A1:D1"/>
    <x:mergeCell ref="A2:F2"/>
  </x:mergeCells>
  <x:pageMargins left="0.7" right="0.7" top="0.75" bottom="0.75" header="0.3" footer="0.3"/>
  <x:tableParts count="1">
    <x:tablePart xmlns:r="http://schemas.openxmlformats.org/officeDocument/2006/relationships" r:id="Rc285c8594bdd4a4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76" hidden="0" customWidth="1"/>
    <x:col min="4" max="4" width="31" hidden="0" customWidth="1"/>
    <x:col min="5" max="5" width="89" hidden="0" customWidth="1"/>
    <x:col min="6" max="6" width="51" hidden="0" customWidth="1"/>
  </x:cols>
  <x:sheetData>
    <x:row r="1" ht="35" customHeight="1">
      <x:c r="A1" s="6" t="str">
        <x:v>REVISIÓN ADVERSARIAL · contenido y método</x:v>
      </x:c>
      <x:c r="B1" s="6"/>
      <x:c r="C1" s="6"/>
      <x:c r="D1" s="6"/>
      <x:c r="E1" s="6"/>
      <x:c r="F1" s="6"/>
    </x:row>
    <x:row r="2" ht="52" customHeight="1">
      <x:c r="A2" s="8" t="str">
        <x:v>Adversarial interna del antecedente profesional. La revisión curricular actual, sus defectos y reservas se registran en 22; no es auditoría independiente.</x:v>
      </x:c>
      <x:c r="B2" s="8"/>
      <x:c r="C2" s="8"/>
      <x:c r="D2" s="8"/>
      <x:c r="E2" s="8"/>
      <x:c r="F2" s="8"/>
    </x:row>
    <x:row r="3">
      <x:c r="A3" s="4"/>
      <x:c r="B3" s="4"/>
      <x:c r="C3" s="4"/>
      <x:c r="D3" s="4"/>
      <x:c r="E3" s="4"/>
      <x:c r="F3" s="4"/>
    </x:row>
    <x:row r="4" ht="42" customHeight="1">
      <x:c r="A4" s="10" t="str">
        <x:v>ID</x:v>
      </x:c>
      <x:c r="B4" s="10" t="str">
        <x:v>Frente</x:v>
      </x:c>
      <x:c r="C4" s="10" t="str">
        <x:v>Riesgo o defecto contrastado</x:v>
      </x:c>
      <x:c r="D4" s="10" t="str">
        <x:v>Resultado</x:v>
      </x:c>
      <x:c r="E4" s="10" t="str">
        <x:v>Tratamiento</x:v>
      </x:c>
      <x:c r="F4" s="10" t="str">
        <x:v>Evidencia</x:v>
      </x:c>
    </x:row>
    <x:row r="5" ht="47" customHeight="1">
      <x:c r="A5" s="4" t="str">
        <x:v>ADV-01</x:v>
      </x:c>
      <x:c r="B5" s="4" t="str">
        <x:v>Rector · revisión reabierta por defecto</x:v>
      </x:c>
      <x:c r="C5" s="4" t="str">
        <x:v>La referencia profesional no satisface la petición de un plan educativo universitario.</x:v>
      </x:c>
      <x:c r="D5" s="4" t="str">
        <x:v>RECTIFICADO EN v0.2</x:v>
      </x:c>
      <x:c r="E5" s="4" t="str">
        <x:v>NICE queda como contraste. URJC 2026–27 es la base educativa propuesta, con complementos justificados.</x:v>
      </x:c>
      <x:c r="F5" s="4" t="str">
        <x:v>AC-01; 14; 15</x:v>
      </x:c>
    </x:row>
    <x:row r="6" ht="47" customHeight="1">
      <x:c r="A6" s="4" t="str">
        <x:v>ADV-02</x:v>
      </x:c>
      <x:c r="B6" s="4" t="str">
        <x:v>Amplitud de IA</x:v>
      </x:c>
      <x:c r="C6" s="4" t="str">
        <x:v>Suponer que NICE carece de seguridad de IA.</x:v>
      </x:c>
      <x:c r="D6" s="4" t="str">
        <x:v>REFUTADO_CON_FUENTE</x:v>
      </x:c>
      <x:c r="E6" s="4" t="str">
        <x:v>Se retienen NF-COM-002 y TKS de IA; complementos profundizan distinciones.</x:v>
      </x:c>
      <x:c r="F6" s="4" t="str">
        <x:v>F001;03_NICE;04_TKS</x:v>
      </x:c>
    </x:row>
    <x:row r="7" ht="47" customHeight="1">
      <x:c r="A7" s="4" t="str">
        <x:v>ADV-03</x:v>
      </x:c>
      <x:c r="B7" s="4" t="str">
        <x:v>Identidad de operación</x:v>
      </x:c>
      <x:c r="C7" s="4" t="str">
        <x:v>Fusionar permiso individual y autorización institucional del sistema.</x:v>
      </x:c>
      <x:c r="D7" s="4" t="str">
        <x:v>ERROR_CORREGIDO</x:v>
      </x:c>
      <x:c r="E7" s="4" t="str">
        <x:v>OPC-03 y OPC-21 separados por objeto, autoridad y producto.</x:v>
      </x:c>
      <x:c r="F7" s="4" t="str">
        <x:v>07_Operaciones</x:v>
      </x:c>
    </x:row>
    <x:row r="8" ht="47" customHeight="1">
      <x:c r="A8" s="4" t="str">
        <x:v>ADV-04</x:v>
      </x:c>
      <x:c r="B8" s="4" t="str">
        <x:v>Identidad de operación</x:v>
      </x:c>
      <x:c r="C8" s="4" t="str">
        <x:v>Fusionar diseño del programa con evidencia de aprendizaje de participantes.</x:v>
      </x:c>
      <x:c r="D8" s="4" t="str">
        <x:v>ERROR_CORREGIDO</x:v>
      </x:c>
      <x:c r="E8" s="4" t="str">
        <x:v>OPC-18 y OPC-22 separados.</x:v>
      </x:c>
      <x:c r="F8" s="4" t="str">
        <x:v>07_Operaciones</x:v>
      </x:c>
    </x:row>
    <x:row r="9" ht="47" customHeight="1">
      <x:c r="A9" s="4" t="str">
        <x:v>ADV-05</x:v>
      </x:c>
      <x:c r="B9" s="4" t="str">
        <x:v>Localizador técnico</x:v>
      </x:c>
      <x:c r="C9" s="4" t="str">
        <x:v>Ubicar comparación IT/OT dentro de §2.3.</x:v>
      </x:c>
      <x:c r="D9" s="4" t="str">
        <x:v>ERROR_CORREGIDO</x:v>
      </x:c>
      <x:c r="E9" s="4" t="str">
        <x:v>Se referencia el apartado por título y páginas impresas 28–32 / tabla 1.</x:v>
      </x:c>
      <x:c r="F9" s="4" t="str">
        <x:v>F020</x:v>
      </x:c>
    </x:row>
    <x:row r="10" ht="47" customHeight="1">
      <x:c r="A10" s="4" t="str">
        <x:v>ADV-06</x:v>
      </x:c>
      <x:c r="B10" s="4" t="str">
        <x:v>Normalización española</x:v>
      </x:c>
      <x:c r="C10" s="4" t="str">
        <x:v>Reducir misinformation y disinformation a desinformación.</x:v>
      </x:c>
      <x:c r="D10" s="4" t="str">
        <x:v>ERROR_CORREGIDO</x:v>
      </x:c>
      <x:c r="E10" s="4" t="str">
        <x:v>K1333 conserva información errónea y desinformación.</x:v>
      </x:c>
      <x:c r="F10" s="4" t="str">
        <x:v>04_TKS</x:v>
      </x:c>
    </x:row>
    <x:row r="11" ht="47" customHeight="1">
      <x:c r="A11" s="4" t="str">
        <x:v>ADV-07</x:v>
      </x:c>
      <x:c r="B11" s="4" t="str">
        <x:v>Edición curricular</x:v>
      </x:c>
      <x:c r="C11" s="4" t="str">
        <x:v>Mezclar título web y edición anual de CMU.</x:v>
      </x:c>
      <x:c r="D11" s="4" t="str">
        <x:v>ERROR_CORREGIDO</x:v>
      </x:c>
      <x:c r="E11" s="4" t="str">
        <x:v>Las cuatro filas se extraen de A009; diferencia 95-743 registrada.</x:v>
      </x:c>
      <x:c r="F11" s="4" t="str">
        <x:v>DEC-11</x:v>
      </x:c>
    </x:row>
    <x:row r="12" ht="47" customHeight="1">
      <x:c r="A12" s="4" t="str">
        <x:v>ADV-08</x:v>
      </x:c>
      <x:c r="B12" s="4" t="str">
        <x:v>Evolución externa</x:v>
      </x:c>
      <x:c r="C12" s="4" t="str">
        <x:v>Usar edición OWASP 2025 por una página antigua o mezclar sus numerales.</x:v>
      </x:c>
      <x:c r="D12" s="4" t="str">
        <x:v>ERROR_EVITADO</x:v>
      </x:c>
      <x:c r="E12" s="4" t="str">
        <x:v>PDF 2026 capturado; se conserva antecedente y discrepancia de fechas.</x:v>
      </x:c>
      <x:c r="F12" s="4" t="str">
        <x:v>DEC-10</x:v>
      </x:c>
    </x:row>
    <x:row r="13" ht="47" customHeight="1">
      <x:c r="A13" s="4" t="str">
        <x:v>ADV-09</x:v>
      </x:c>
      <x:c r="B13" s="4" t="str">
        <x:v>Admisión documental</x:v>
      </x:c>
      <x:c r="C13" s="4" t="str">
        <x:v>Presentar fichas ISO o borrador NIST como normas leídas y adoptadas.</x:v>
      </x:c>
      <x:c r="D13" s="4" t="str">
        <x:v>BLOQUEO_EXPLICITO</x:v>
      </x:c>
      <x:c r="E13" s="4" t="str">
        <x:v>Metadatos, borrador, adopción y aplicabilidad separados.</x:v>
      </x:c>
      <x:c r="F13" s="4" t="str">
        <x:v>01_Fuentes;05_Complementos</x:v>
      </x:c>
    </x:row>
    <x:row r="14" ht="47" customHeight="1">
      <x:c r="A14" s="4" t="str">
        <x:v>ADV-10</x:v>
      </x:c>
      <x:c r="B14" s="4" t="str">
        <x:v>Integridad de fuentes</x:v>
      </x:c>
      <x:c r="C14" s="4" t="str">
        <x:v>Atribuir a una síntesis española la huella del original.</x:v>
      </x:c>
      <x:c r="D14" s="4" t="str">
        <x:v>CONTROLADO</x:v>
      </x:c>
      <x:c r="E14" s="4" t="str">
        <x:v>Objeto JSON original o rótulo exacto UTF-8 con tipo y offset; síntesis declarada como trabajo de Watson.</x:v>
      </x:c>
      <x:c r="F14" s="4" t="str">
        <x:v>08_Trazas;EXTRACTOS_DE_FUENTES.json</x:v>
      </x:c>
    </x:row>
    <x:row r="15" ht="47" customHeight="1">
      <x:c r="A15" s="4" t="str">
        <x:v>ADV-11</x:v>
      </x:c>
      <x:c r="B15" s="4" t="str">
        <x:v>Excel y proyección</x:v>
      </x:c>
      <x:c r="C15" s="4" t="str">
        <x:v>Confundir distinto hash de guardado con ausencia de valor probatorio.</x:v>
      </x:c>
      <x:c r="D15" s="4" t="str">
        <x:v>CRITERIO_FIJADO</x:v>
      </x:c>
      <x:c r="E15" s="4" t="str">
        <x:v>Hash de libro identifica sus bytes; anexo posterior permite contraste semántico. Ninguno acredita verdad ni autoría.</x:v>
      </x:c>
      <x:c r="F15" s="4" t="str">
        <x:v>DEC-13</x:v>
      </x:c>
    </x:row>
    <x:row r="16" ht="47" customHeight="1">
      <x:c r="A16" s="4" t="str">
        <x:v>ADV-12</x:v>
      </x:c>
      <x:c r="B16" s="4" t="str">
        <x:v>Cobertura</x:v>
      </x:c>
      <x:c r="C16" s="4" t="str">
        <x:v>Tomar recuentos o mapeo primario como exhaustividad.</x:v>
      </x:c>
      <x:c r="D16" s="4" t="str">
        <x:v>LIMITE_EXPLICITO</x:v>
      </x:c>
      <x:c r="E16" s="4" t="str">
        <x:v>21 ejes revisados; operaciones sólo cartografiadas. TKS seleccionados, no todos los de NICE.</x:v>
      </x:c>
      <x:c r="F16" s="4" t="str">
        <x:v>06_Cobertura</x:v>
      </x:c>
    </x:row>
    <x:row r="17" ht="47" customHeight="1">
      <x:c r="A17" s="4" t="str">
        <x:v>ADV-13</x:v>
      </x:c>
      <x:c r="B17" s="4" t="str">
        <x:v>Prueba del observador</x:v>
      </x:c>
      <x:c r="C17" s="4" t="str">
        <x:v>Exigir encontrar un fallo del Lenguaje.</x:v>
      </x:c>
      <x:c r="D17" s="4" t="str">
        <x:v>NO_SE_HA_EJECUTADO_AUN</x:v>
      </x:c>
      <x:c r="E17" s="4" t="str">
        <x:v>Prueba de sensibilidad futura con testigos discriminantes; pérdidas, suficiencia en alcance o no concluyente son salidas legítimas.</x:v>
      </x:c>
      <x:c r="F17" s="4" t="str">
        <x:v>MAPA_OPERACIONES.md</x:v>
      </x:c>
    </x:row>
    <x:row r="18" ht="47" customHeight="1">
      <x:c r="A18" s="4" t="str">
        <x:v>ADV-14</x:v>
      </x:c>
      <x:c r="B18" s="4" t="str">
        <x:v>Custodia del relevo</x:v>
      </x:c>
      <x:c r="C18" s="4" t="str">
        <x:v>Reabrir la autorización por row7_closed=false en una matriz anterior.</x:v>
      </x:c>
      <x:c r="D18" s="4" t="str">
        <x:v>RESUELTO_POR_SUCESION</x:v>
      </x:c>
      <x:c r="E18" s="4" t="str">
        <x:v>RETP-105 posterior entrega el corte representacional. Se conservan matriz histórica y límites materiales.</x:v>
      </x:c>
      <x:c r="F18" s="4" t="str">
        <x:v>EXPEDIENTE;RECEPCION_FILA7.json</x:v>
      </x:c>
    </x:row>
  </x:sheetData>
  <x:mergeCells>
    <x:mergeCell ref="A1:D1"/>
    <x:mergeCell ref="A2:F2"/>
  </x:mergeCells>
  <x:pageMargins left="0.7" right="0.7" top="0.75" bottom="0.75" header="0.3" footer="0.3"/>
  <x:tableParts count="1">
    <x:tablePart xmlns:r="http://schemas.openxmlformats.org/officeDocument/2006/relationships" r:id="R6d4f7a5b2a484c5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63" hidden="0" customWidth="1"/>
    <x:col min="3" max="3" width="48" hidden="0" customWidth="1"/>
    <x:col min="4" max="4" width="29" hidden="0" customWidth="1"/>
    <x:col min="5" max="5" width="70" hidden="0" customWidth="1"/>
  </x:cols>
  <x:sheetData>
    <x:row r="1" ht="35" customHeight="1">
      <x:c r="A1" s="6" t="str">
        <x:v>CONTROLES · fórmulas y sensibilidad</x:v>
      </x:c>
      <x:c r="B1" s="6"/>
      <x:c r="C1" s="6"/>
      <x:c r="D1" s="6"/>
      <x:c r="E1" s="6"/>
    </x:row>
    <x:row r="2" ht="52" customHeight="1">
      <x:c r="A2" s="8" t="str">
        <x:v>Controles estructurales del corpus profesional conservado. Las cinco mutaciones se reejecutan en esta revisión; los nuevos controles educativos están en 23.</x:v>
      </x:c>
      <x:c r="B2" s="8"/>
      <x:c r="C2" s="8"/>
      <x:c r="D2" s="8"/>
      <x:c r="E2" s="8"/>
    </x:row>
    <x:row r="3">
      <x:c r="A3" s="4"/>
      <x:c r="B3" s="4"/>
      <x:c r="C3" s="4"/>
      <x:c r="D3" s="4"/>
      <x:c r="E3" s="4"/>
    </x:row>
    <x:row r="4" ht="42" customHeight="1">
      <x:c r="A4" s="10" t="str">
        <x:v>ID</x:v>
      </x:c>
      <x:c r="B4" s="10" t="str">
        <x:v>Control o mutación</x:v>
      </x:c>
      <x:c r="C4" s="10" t="str">
        <x:v>Resultado calculado / observado</x:v>
      </x:c>
      <x:c r="D4" s="10" t="str">
        <x:v>Esperado</x:v>
      </x:c>
      <x:c r="E4" s="10" t="str">
        <x:v>Comprobación</x:v>
      </x:c>
    </x:row>
    <x:row r="5" ht="47" customHeight="1">
      <x:c r="A5" s="4" t="str">
        <x:v>CTL-01</x:v>
      </x:c>
      <x:c r="B5" s="4" t="str">
        <x:v>Fuentes: duplicados, capturas y campos</x:v>
      </x:c>
      <x:c r="C5" s="14" t="n">
        <x:f>SUM('01_Fuentes'!O5:Q40)</x:f>
        <x:v>0</x:v>
      </x:c>
      <x:c r="D5" s="16" t="n">
        <x:v>0</x:v>
      </x:c>
      <x:c r="E5" s="12" t="str">
        <x:f>IF(C5=D5,"PASA","REVISAR")</x:f>
        <x:v>PASA</x:v>
      </x:c>
    </x:row>
    <x:row r="6" ht="47" customHeight="1">
      <x:c r="A6" s="4" t="str">
        <x:v>CTL-02</x:v>
      </x:c>
      <x:c r="B6" s="4" t="str">
        <x:v>Capturas: hash y unicidad</x:v>
      </x:c>
      <x:c r="C6" s="14" t="n">
        <x:f>SUM('02_Custodia'!K5:L53)</x:f>
        <x:v>0</x:v>
      </x:c>
      <x:c r="D6" s="16" t="n">
        <x:v>0</x:v>
      </x:c>
      <x:c r="E6" s="12" t="str">
        <x:f>IF(C6=D6,"PASA","REVISAR")</x:f>
        <x:v>PASA</x:v>
      </x:c>
    </x:row>
    <x:row r="7" ht="47" customHeight="1">
      <x:c r="A7" s="4" t="str">
        <x:v>CTL-03</x:v>
      </x:c>
      <x:c r="B7" s="4" t="str">
        <x:v>NICE: identidad, referencias y campos</x:v>
      </x:c>
      <x:c r="C7" s="14" t="n">
        <x:f>SUM('03_NICE'!M5:O57)</x:f>
        <x:v>0</x:v>
      </x:c>
      <x:c r="D7" s="16" t="n">
        <x:v>0</x:v>
      </x:c>
      <x:c r="E7" s="12" t="str">
        <x:f>IF(C7=D7,"PASA","REVISAR")</x:f>
        <x:v>PASA</x:v>
      </x:c>
    </x:row>
    <x:row r="8" ht="47" customHeight="1">
      <x:c r="A8" s="4" t="str">
        <x:v>CTL-04</x:v>
      </x:c>
      <x:c r="B8" s="4" t="str">
        <x:v>TKS: identidad, referencias y campos</x:v>
      </x:c>
      <x:c r="C8" s="14" t="n">
        <x:f>SUM('04_TKS'!K5:M72)</x:f>
        <x:v>0</x:v>
      </x:c>
      <x:c r="D8" s="16" t="n">
        <x:v>0</x:v>
      </x:c>
      <x:c r="E8" s="12" t="str">
        <x:f>IF(C8=D8,"PASA","REVISAR")</x:f>
        <x:v>PASA</x:v>
      </x:c>
    </x:row>
    <x:row r="9" ht="47" customHeight="1">
      <x:c r="A9" s="4" t="str">
        <x:v>CTL-05</x:v>
      </x:c>
      <x:c r="B9" s="4" t="str">
        <x:v>Complementos: integridad y admisión</x:v>
      </x:c>
      <x:c r="C9" s="14" t="n">
        <x:f>SUM('05_Complementos'!M5:Q127)</x:f>
        <x:v>0</x:v>
      </x:c>
      <x:c r="D9" s="16" t="n">
        <x:v>0</x:v>
      </x:c>
      <x:c r="E9" s="12" t="str">
        <x:f>IF(C9=D9,"PASA","REVISAR")</x:f>
        <x:v>PASA</x:v>
      </x:c>
    </x:row>
    <x:row r="10" ht="47" customHeight="1">
      <x:c r="A10" s="4" t="str">
        <x:v>CTL-06</x:v>
      </x:c>
      <x:c r="B10" s="4" t="str">
        <x:v>Trazas: hashes, entradas y capturas</x:v>
      </x:c>
      <x:c r="C10" s="14" t="n">
        <x:f>SUM('08_Trazas'!M5:P248)</x:f>
        <x:v>0</x:v>
      </x:c>
      <x:c r="D10" s="16" t="n">
        <x:v>0</x:v>
      </x:c>
      <x:c r="E10" s="12" t="str">
        <x:f>IF(C10=D10,"PASA","REVISAR")</x:f>
        <x:v>PASA</x:v>
      </x:c>
    </x:row>
    <x:row r="11" ht="47" customHeight="1">
      <x:c r="A11" s="4" t="str">
        <x:v>CTL-07</x:v>
      </x:c>
      <x:c r="B11" s="4" t="str">
        <x:v>Operaciones: identidad y campos</x:v>
      </x:c>
      <x:c r="C11" s="14" t="n">
        <x:f>SUM('07_Operaciones'!I5:J26)</x:f>
        <x:v>0</x:v>
      </x:c>
      <x:c r="D11" s="16" t="n">
        <x:v>0</x:v>
      </x:c>
      <x:c r="E11" s="12" t="str">
        <x:f>IF(C11=D11,"PASA","REVISAR")</x:f>
        <x:v>PASA</x:v>
      </x:c>
    </x:row>
    <x:row r="12" ht="47" customHeight="1">
      <x:c r="A12" s="4" t="str">
        <x:v>CTL-08</x:v>
      </x:c>
      <x:c r="B12" s="4" t="str">
        <x:v>Relaciones oficiales: extremos</x:v>
      </x:c>
      <x:c r="C12" s="14" t="n">
        <x:f>SUM('13_Relaciones_NICE'!G5:H186)</x:f>
        <x:v>0</x:v>
      </x:c>
      <x:c r="D12" s="16" t="n">
        <x:v>0</x:v>
      </x:c>
      <x:c r="E12" s="12" t="str">
        <x:f>IF(C12=D12,"PASA","REVISAR")</x:f>
        <x:v>PASA</x:v>
      </x:c>
    </x:row>
    <x:row r="13" ht="47" customHeight="1">
      <x:c r="A13" s="4" t="str">
        <x:v>CTL-09</x:v>
      </x:c>
      <x:c r="B13" s="4" t="str">
        <x:v>Ejes sin ningún respaldo admisible</x:v>
      </x:c>
      <x:c r="C13" s="14" t="n">
        <x:f>COUNTIFS('06_Cobertura'!$D$5:$D$25,0,'06_Cobertura'!$E$5:$E$25,0,'06_Cobertura'!$F$5:$F$25,0)</x:f>
        <x:v>0</x:v>
      </x:c>
      <x:c r="D13" s="16" t="n">
        <x:v>0</x:v>
      </x:c>
      <x:c r="E13" s="12" t="str">
        <x:f>IF(C13=D13,"PASA","REVISAR")</x:f>
        <x:v>PASA</x:v>
      </x:c>
    </x:row>
    <x:row r="14" ht="47" customHeight="1">
      <x:c r="A14" s="4" t="str">
        <x:v>CTL-10</x:v>
      </x:c>
      <x:c r="B14" s="4" t="str">
        <x:v>Total de incidencias estructurales</x:v>
      </x:c>
      <x:c r="C14" s="14" t="n">
        <x:f>SUM(C5:C13)</x:f>
        <x:v>0</x:v>
      </x:c>
      <x:c r="D14" s="16" t="n">
        <x:v>0</x:v>
      </x:c>
      <x:c r="E14" s="12" t="str">
        <x:f>IF(C14=D14,"PASA","REVISAR")</x:f>
        <x:v>PASA</x:v>
      </x:c>
    </x:row>
    <x:row r="15" ht="47" customHeight="1">
      <x:c r="A15" s="4" t="str">
        <x:v>MUT-01</x:v>
      </x:c>
      <x:c r="B15" s="4" t="str">
        <x:v>Duplicar identificador de fuente</x:v>
      </x:c>
      <x:c r="C15" s="4" t="str">
        <x:v>DETECTADO Y RESTAURADO</x:v>
      </x:c>
      <x:c r="D15" s="4" t="str">
        <x:v>Mayor que cero</x:v>
      </x:c>
      <x:c r="E15" s="4" t="str">
        <x:v>Prueba ejecutada antes de exportar.</x:v>
      </x:c>
    </x:row>
    <x:row r="16" ht="47" customHeight="1">
      <x:c r="A16" s="4" t="str">
        <x:v>MUT-02</x:v>
      </x:c>
      <x:c r="B16" s="4" t="str">
        <x:v>Referencia a una fuente inexistente</x:v>
      </x:c>
      <x:c r="C16" s="4" t="str">
        <x:v>DETECTADO Y RESTAURADO</x:v>
      </x:c>
      <x:c r="D16" s="4" t="str">
        <x:v>Mayor que cero</x:v>
      </x:c>
      <x:c r="E16" s="4" t="str">
        <x:v>Prueba ejecutada antes de exportar.</x:v>
      </x:c>
    </x:row>
    <x:row r="17" ht="47" customHeight="1">
      <x:c r="A17" s="4" t="str">
        <x:v>MUT-03</x:v>
      </x:c>
      <x:c r="B17" s="4" t="str">
        <x:v>Acortar una huella de 64 a 63 caracteres</x:v>
      </x:c>
      <x:c r="C17" s="4" t="str">
        <x:v>DETECTADO Y RESTAURADO</x:v>
      </x:c>
      <x:c r="D17" s="4" t="str">
        <x:v>Mayor que cero</x:v>
      </x:c>
      <x:c r="E17" s="4" t="str">
        <x:v>Prueba ejecutada antes de exportar.</x:v>
      </x:c>
    </x:row>
    <x:row r="18" ht="47" customHeight="1">
      <x:c r="A18" s="4" t="str">
        <x:v>MUT-04</x:v>
      </x:c>
      <x:c r="B18" s="4" t="str">
        <x:v>Declarar adoptable una entrada de UC3M parcial</x:v>
      </x:c>
      <x:c r="C18" s="4" t="str">
        <x:v>DETECTADO Y RESTAURADO</x:v>
      </x:c>
      <x:c r="D18" s="4" t="str">
        <x:v>Mayor que cero</x:v>
      </x:c>
      <x:c r="E18" s="4" t="str">
        <x:v>Prueba ejecutada antes de exportar.</x:v>
      </x:c>
    </x:row>
    <x:row r="19" ht="47" customHeight="1">
      <x:c r="A19" s="4" t="str">
        <x:v>MUT-05</x:v>
      </x:c>
      <x:c r="B19" s="4" t="str">
        <x:v>Vaciar una síntesis exigida de TKS</x:v>
      </x:c>
      <x:c r="C19" s="4" t="str">
        <x:v>DETECTADO Y RESTAURADO</x:v>
      </x:c>
      <x:c r="D19" s="4" t="str">
        <x:v>Mayor que cero</x:v>
      </x:c>
      <x:c r="E19" s="4" t="str">
        <x:v>Prueba ejecutada antes de exportar.</x:v>
      </x:c>
    </x:row>
    <x:row r="20" ht="47" customHeight="1">
      <x:c r="A20" s="4" t="str">
        <x:v>BASE</x:v>
      </x:c>
      <x:c r="B20" s="4" t="str">
        <x:v>Estado final después de restauración</x:v>
      </x:c>
      <x:c r="C20" s="12" t="n">
        <x:f>C14</x:f>
        <x:v>0</x:v>
      </x:c>
      <x:c r="D20" s="4" t="n">
        <x:v>0</x:v>
      </x:c>
      <x:c r="E20" s="12" t="str">
        <x:f>IF(C20=D20,"PASA","REVISAR")</x:f>
        <x:v>PASA</x:v>
      </x:c>
    </x:row>
    <x:row r="21" ht="47" customHeight="1">
      <x:c r="A21" s="4" t="str">
        <x:v>LIMITE</x:v>
      </x:c>
      <x:c r="B21" s="4" t="str">
        <x:v>Qué no demuestran las fórmulas</x:v>
      </x:c>
      <x:c r="C21" s="4" t="str">
        <x:v>No validan semántica ni jurisdicción</x:v>
      </x:c>
      <x:c r="D21" s="4" t="str">
        <x:v>REVISIÓN HUMANA</x:v>
      </x:c>
      <x:c r="E21" s="4" t="str">
        <x:v>Los hallazgos de contenido están en 10_Adversarial.</x:v>
      </x:c>
    </x:row>
    <x:row r="22" ht="47" customHeight="1">
      <x:c r="A22" s="4" t="str">
        <x:v>ALCANCE</x:v>
      </x:c>
      <x:c r="B22" s="4" t="str">
        <x:v>Edición estructural futura</x:v>
      </x:c>
      <x:c r="C22" s="4" t="str">
        <x:v>Actualizar tablas y rangos acotados al ampliar el libro</x:v>
      </x:c>
      <x:c r="D22" s="4" t="str">
        <x:v>REVISAR</x:v>
      </x:c>
      <x:c r="E22" s="4" t="str">
        <x:v>Las fórmulas cubren este corte finito; no prometen absorber filas nuevas fuera de las tablas.</x:v>
      </x:c>
    </x:row>
  </x:sheetData>
  <x:mergeCells>
    <x:mergeCell ref="A1:D1"/>
    <x:mergeCell ref="A2:E2"/>
  </x:mergeCells>
  <x:pageMargins left="0.7" right="0.7" top="0.75" bottom="0.75" header="0.3" footer="0.3"/>
  <x:tableParts count="1">
    <x:tablePart xmlns:r="http://schemas.openxmlformats.org/officeDocument/2006/relationships" r:id="R0db1608567e347ad"/>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6" hidden="0" customWidth="1"/>
    <x:col min="2" max="2" width="120" hidden="0" customWidth="1"/>
  </x:cols>
  <x:sheetData>
    <x:row r="1" ht="35" customHeight="1">
      <x:c r="A1" s="6" t="str">
        <x:v>GLOSARIO · estados y términos</x:v>
      </x:c>
      <x:c r="B1" s="6"/>
    </x:row>
    <x:row r="2" ht="52" customHeight="1">
      <x:c r="A2" s="8" t="str">
        <x:v>Español como lengua de trabajo. Identificadores, títulos originales y nombres técnicos conservan su identidad de fuente.</x:v>
      </x:c>
      <x:c r="B2" s="8"/>
    </x:row>
    <x:row r="3">
      <x:c r="A3" s="4"/>
      <x:c r="B3" s="4"/>
    </x:row>
    <x:row r="4" ht="42" customHeight="1">
      <x:c r="A4" s="10" t="str">
        <x:v>Término</x:v>
      </x:c>
      <x:c r="B4" s="10" t="str">
        <x:v>Significado en este corte</x:v>
      </x:c>
    </x:row>
    <x:row r="5" ht="47" customHeight="1">
      <x:c r="A5" s="4" t="str">
        <x:v>Catálogo principal</x:v>
      </x:c>
      <x:c r="B5" s="4" t="str">
        <x:v>El libro .xlsx; fuente de trabajo y revisión de las normalizaciones y relaciones locales.</x:v>
      </x:c>
    </x:row>
    <x:row r="6" ht="47" customHeight="1">
      <x:c r="A6" s="4" t="str">
        <x:v>Admisión documental</x:v>
      </x:c>
      <x:c r="B6" s="4" t="str">
        <x:v>Lectura y uso de una fuente dentro del alcance declarado. No es adopción humana de sus afirmaciones.</x:v>
      </x:c>
    </x:row>
    <x:row r="7" ht="47" customHeight="1">
      <x:c r="A7" s="4" t="str">
        <x:v>CANDIDATA_NO_ADOPTADA</x:v>
      </x:c>
      <x:c r="B7" s="4" t="str">
        <x:v>Formulación profesional propuesta para este catálogo; sin acto constitutivo humano registrado.</x:v>
      </x:c>
    </x:row>
    <x:row r="8" ht="47" customHeight="1">
      <x:c r="A8" s="4" t="str">
        <x:v>Identificada no adoptable</x:v>
      </x:c>
      <x:c r="B8" s="4" t="str">
        <x:v>Evidencia parcial que no puede sostener la afirmación dependiente de lectura completa.</x:v>
      </x:c>
    </x:row>
    <x:row r="9" ht="47" customHeight="1">
      <x:c r="A9" s="4" t="str">
        <x:v>Pregunta no normativa</x:v>
      </x:c>
      <x:c r="B9" s="4" t="str">
        <x:v>Uso del borrador para revisar cobertura; no obligación ni único fundamento.</x:v>
      </x:c>
    </x:row>
    <x:row r="10" ht="47" customHeight="1">
      <x:c r="A10" s="4" t="str">
        <x:v>Aplicabilidad pendiente</x:v>
      </x:c>
      <x:c r="B10" s="4" t="str">
        <x:v>Texto jurídico identificado; entidad, jurisdicción, rol y tiempo todavía sin resolver para una operación real.</x:v>
      </x:c>
    </x:row>
    <x:row r="11" ht="47" customHeight="1">
      <x:c r="A11" s="4" t="str">
        <x:v>Síntesis controlada</x:v>
      </x:c>
      <x:c r="B11" s="4" t="str">
        <x:v>Redacción de Watson en español; no traducción oficial ni cita del emisor.</x:v>
      </x:c>
    </x:row>
    <x:row r="12" ht="47" customHeight="1">
      <x:c r="A12" s="4" t="str">
        <x:v>Ancla NICE</x:v>
      </x:c>
      <x:c r="B12" s="4" t="str">
        <x:v>Relación local de pertinencia; no equivalencia publicada por NIST ni sustitución del objeto original.</x:v>
      </x:c>
    </x:row>
    <x:row r="13" ht="47" customHeight="1">
      <x:c r="A13" s="4" t="str">
        <x:v>Relación oficial NICE</x:v>
      </x:c>
      <x:c r="B13" s="4" t="str">
        <x:v>Arista projection conservada tal cual del JSON 2.2.0. No equivale por sí misma a identidad de objetos.</x:v>
      </x:c>
    </x:row>
    <x:row r="14" ht="47" customHeight="1">
      <x:c r="A14" s="4" t="str">
        <x:v>Eje de cobertura</x:v>
      </x:c>
      <x:c r="B14" s="4" t="str">
        <x:v>Pregunta para revisar el perímetro; no parámetro, átomo, ruta ni universo.</x:v>
      </x:c>
    </x:row>
    <x:row r="15" ht="47" customHeight="1">
      <x:c r="A15" s="4" t="str">
        <x:v>Operación candidata</x:v>
      </x:c>
      <x:c r="B15" s="4" t="str">
        <x:v>Producto profesional acotado con objeto, desencadenante, autoridad, frontera y término identificados.</x:v>
      </x:c>
    </x:row>
    <x:row r="16" ht="47" customHeight="1">
      <x:c r="A16" s="4" t="str">
        <x:v>TKS</x:v>
      </x:c>
      <x:c r="B16" s="4" t="str">
        <x:v>Tareas, conocimientos y habilidades de NICE; categorías distintas de roles y áreas de competencia.</x:v>
      </x:c>
    </x:row>
    <x:row r="17" ht="47" customHeight="1">
      <x:c r="A17" s="4" t="str">
        <x:v>IA</x:v>
      </x:c>
      <x:c r="B17" s="4" t="str">
        <x:v>Inteligencia artificial; se distingue proteger IA, usarla en ciberseguridad, afrontar amenazas facilitadas por ella y gobernar transversalmente.</x:v>
      </x:c>
    </x:row>
    <x:row r="18" ht="47" customHeight="1">
      <x:c r="A18" s="4" t="str">
        <x:v>Triaje</x:v>
      </x:c>
      <x:c r="B18" s="4" t="str">
        <x:v>Examen inicial de una alerta para documentar su clasificación, evidencia y escalado conforme a criterios constituidos.</x:v>
      </x:c>
    </x:row>
    <x:row r="19" ht="47" customHeight="1">
      <x:c r="A19" s="4" t="str">
        <x:v>Huella SHA-256</x:v>
      </x:c>
      <x:c r="B19" s="4" t="str">
        <x:v>Identificador de integridad de una secuencia de bytes; no prueba verdad, autoría ni aprobación.</x:v>
      </x:c>
    </x:row>
    <x:row r="20" ht="47" customHeight="1">
      <x:c r="A20" s="4" t="str">
        <x:v>Cambio de catálogo externo</x:v>
      </x:c>
      <x:c r="B20" s="4" t="str">
        <x:v>Causa de revisión de referencias; no nuevo símbolo SV, observación, fallo técnico ni Tri.U automático.</x:v>
      </x:c>
    </x:row>
    <x:row r="21" ht="47" customHeight="1">
      <x:c r="A21" s="4" t="str">
        <x:v>Tri</x:v>
      </x:c>
      <x:c r="B21" s="4" t="str">
        <x:v>Alfabeto {0,1,U}; no recibe una sexta salida ni traduce automáticamente números o confianza estadística.</x:v>
      </x:c>
    </x:row>
    <x:row r="22" ht="47" customHeight="1">
      <x:c r="A22" s="4" t="str">
        <x:v>Q0 y doce SP</x:v>
      </x:c>
      <x:c r="B22" s="4" t="str">
        <x:v>Antecedente de Inmunología; no se han validado de nuevo ni integrado productivamente en este corte CYB.</x:v>
      </x:c>
    </x:row>
    <x:row r="23" ht="47" customHeight="1">
      <x:c r="A23" s="4" t="str">
        <x:v>URJC</x:v>
      </x:c>
      <x:c r="B23" s="4" t="str">
        <x:v>Universidad Rey Juan Carlos; universidad del plan rector propuesto.</x:v>
      </x:c>
    </x:row>
    <x:row r="24" ht="47" customHeight="1">
      <x:c r="A24" s="4" t="str">
        <x:v>ECTS</x:v>
      </x:c>
      <x:c r="B24" s="4" t="str">
        <x:v>Sistema Europeo de Transferencia y Acumulación de Créditos; carga académica, no parámetro SV.</x:v>
      </x:c>
    </x:row>
    <x:row r="25" ht="47" customHeight="1">
      <x:c r="A25" s="4" t="str">
        <x:v>UOC</x:v>
      </x:c>
      <x:c r="B25" s="4" t="str">
        <x:v>Units of Credit de UNSW; se conserva su unidad propia, sin conversión a ECTS.</x:v>
      </x:c>
    </x:row>
    <x:row r="26" ht="47" customHeight="1">
      <x:c r="A26" s="4" t="str">
        <x:v>UNSW</x:v>
      </x:c>
      <x:c r="B26" s="4" t="str">
        <x:v>University of New South Wales, Australia.</x:v>
      </x:c>
    </x:row>
    <x:row r="27" ht="47" customHeight="1">
      <x:c r="A27" s="4" t="str">
        <x:v>TFG</x:v>
      </x:c>
      <x:c r="B27" s="4" t="str">
        <x:v>Trabajo Fin de Grado.</x:v>
      </x:c>
    </x:row>
    <x:row r="28" ht="47" customHeight="1">
      <x:c r="A28" s="4" t="str">
        <x:v>ML / DL</x:v>
      </x:c>
      <x:c r="B28" s="4" t="str">
        <x:v>Machine Learning (aprendizaje automático) / Deep Learning (aprendizaje profundo).</x:v>
      </x:c>
    </x:row>
    <x:row r="29" ht="47" customHeight="1">
      <x:c r="A29" s="4" t="str">
        <x:v>SOC</x:v>
      </x:c>
      <x:c r="B29" s="4" t="str">
        <x:v>Security Operations Centre: centro de operaciones de seguridad.</x:v>
      </x:c>
    </x:row>
    <x:row r="30" ht="47" customHeight="1">
      <x:c r="A30" s="4" t="str">
        <x:v>CTI</x:v>
      </x:c>
      <x:c r="B30" s="4" t="str">
        <x:v>Cyber Threat Intelligence: inteligencia de amenazas cibernéticas.</x:v>
      </x:c>
    </x:row>
    <x:row r="31" ht="47" customHeight="1">
      <x:c r="A31" s="4" t="str">
        <x:v>SDN / SDS</x:v>
      </x:c>
      <x:c r="B31" s="4" t="str">
        <x:v>Software-Defined Networking / Software-Defined Security; denominaciones distintas, no equivalencia automática.</x:v>
      </x:c>
    </x:row>
    <x:row r="32" ht="47" customHeight="1">
      <x:c r="A32" s="4" t="str">
        <x:v>eBPF</x:v>
      </x:c>
      <x:c r="B32" s="4" t="str">
        <x:v>Extended Berkeley Packet Filter: tecnología del núcleo Linux; no política ni garantía de seguridad.</x:v>
      </x:c>
    </x:row>
    <x:row r="33" ht="47" customHeight="1">
      <x:c r="A33" s="4" t="str">
        <x:v>P4</x:v>
      </x:c>
      <x:c r="B33" s="4" t="str">
        <x:v>Lenguaje para describir procesamiento de paquetes en el plano de datos; identidad técnica conservada.</x:v>
      </x:c>
    </x:row>
    <x:row r="34" ht="47" customHeight="1">
      <x:c r="A34" s="4" t="str">
        <x:v>TEE</x:v>
      </x:c>
      <x:c r="B34" s="4" t="str">
        <x:v>Trusted Execution Environment: entorno de ejecución confiable.</x:v>
      </x:c>
    </x:row>
    <x:row r="35" ht="47" customHeight="1">
      <x:c r="A35" s="4" t="str">
        <x:v>Shadow AI</x:v>
      </x:c>
      <x:c r="B35" s="4" t="str">
        <x:v>Uso de IA no declarado o ajeno al gobierno de usos de una organización.</x:v>
      </x:c>
    </x:row>
    <x:row r="36" ht="47" customHeight="1">
      <x:c r="A36" s="4" t="str">
        <x:v>CG / CE</x:v>
      </x:c>
      <x:c r="B36" s="4" t="str">
        <x:v>Códigos de competencias generales / específicas de las guías URJC; se conserva la codificación publicada.</x:v>
      </x:c>
    </x:row>
    <x:row r="37" ht="47" customHeight="1">
      <x:c r="A37" s="4" t="str">
        <x:v>RA / CLO</x:v>
      </x:c>
      <x:c r="B37" s="4" t="str">
        <x:v>Resultado de aprendizaje / Course Learning Outcome.</x:v>
      </x:c>
    </x:row>
    <x:row r="38" ht="47" customHeight="1">
      <x:c r="A38" s="4" t="str">
        <x:v>AI RMF / AI TRiSM</x:v>
      </x:c>
      <x:c r="B38" s="4" t="str">
        <x:v>AI Risk Management Framework, de NIST / AI Trust, Risk and Security Management, denominación de Gartner; funciones y acceso documental diferenciados.</x:v>
      </x:c>
    </x:row>
  </x:sheetData>
  <x:mergeCells>
    <x:mergeCell ref="A1:B1"/>
    <x:mergeCell ref="A2:B2"/>
  </x:mergeCells>
  <x:pageMargins left="0.7" right="0.7" top="0.75" bottom="0.75" header="0.3" footer="0.3"/>
  <x:tableParts count="1">
    <x:tablePart xmlns:r="http://schemas.openxmlformats.org/officeDocument/2006/relationships" r:id="R148c603107ed4f90"/>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23" hidden="0" customWidth="1"/>
    <x:col min="4" max="4" width="23" hidden="0" customWidth="1"/>
    <x:col min="5" max="5" width="39" hidden="0" customWidth="1"/>
    <x:col min="6" max="6" width="22" hidden="0" customWidth="1"/>
    <x:col min="7" max="7" width="12" hidden="0" customWidth="1"/>
    <x:col min="8" max="8" width="16" hidden="0" customWidth="1"/>
  </x:cols>
  <x:sheetData>
    <x:row r="1" ht="35" customHeight="1">
      <x:c r="A1" s="6" t="str">
        <x:v>RELACIONES NICE · aristas oficiales</x:v>
      </x:c>
      <x:c r="B1" s="6"/>
      <x:c r="C1" s="6"/>
      <x:c r="D1" s="6"/>
      <x:c r="E1" s="6"/>
      <x:c r="F1" s="6"/>
      <x:c r="G1" s="6"/>
      <x:c r="H1" s="6"/>
    </x:row>
    <x:row r="2" ht="52" customHeight="1">
      <x:c r="A2" s="8" t="str">
        <x:v>182 relaciones del JSON original con ambos extremos seleccionados. Tipo projection conservado; no son los enlaces locales de pertinencia a operaciones.</x:v>
      </x:c>
      <x:c r="B2" s="8"/>
      <x:c r="C2" s="8"/>
      <x:c r="D2" s="8"/>
      <x:c r="E2" s="8"/>
      <x:c r="F2" s="8"/>
      <x:c r="G2" s="8"/>
      <x:c r="H2" s="8"/>
    </x:row>
    <x:row r="3">
      <x:c r="A3" s="4"/>
      <x:c r="B3" s="4"/>
      <x:c r="C3" s="4"/>
      <x:c r="D3" s="4"/>
      <x:c r="E3" s="4"/>
      <x:c r="F3" s="4"/>
      <x:c r="G3" s="4"/>
      <x:c r="H3" s="4"/>
    </x:row>
    <x:row r="4" ht="42" customHeight="1">
      <x:c r="A4" s="10" t="str">
        <x:v>ID local de registro</x:v>
      </x:c>
      <x:c r="B4" s="10" t="str">
        <x:v>Origen NICE</x:v>
      </x:c>
      <x:c r="C4" s="10" t="str">
        <x:v>Destino NICE</x:v>
      </x:c>
      <x:c r="D4" s="10" t="str">
        <x:v>Tipo original</x:v>
      </x:c>
      <x:c r="E4" s="10" t="str">
        <x:v>Procedencia original</x:v>
      </x:c>
      <x:c r="F4" s="10" t="str">
        <x:v>Fuente / edición</x:v>
      </x:c>
      <x:c r="G4" s="10" t="str">
        <x:v>Duplicado</x:v>
      </x:c>
      <x:c r="H4" s="10" t="str">
        <x:v>Extremo ausente</x:v>
      </x:c>
    </x:row>
    <x:row r="5" ht="47" customHeight="1">
      <x:c r="A5" s="4" t="str">
        <x:v>RN-001</x:v>
      </x:c>
      <x:c r="B5" s="4" t="str">
        <x:v>OG-WRL-001</x:v>
      </x:c>
      <x:c r="C5" s="4" t="str">
        <x:v>T1020</x:v>
      </x:c>
      <x:c r="D5" s="4" t="str">
        <x:v>projection</x:v>
      </x:c>
      <x:c r="E5" s="4" t="str">
        <x:v>SP_800_181_2_2_0</x:v>
      </x:c>
      <x:c r="F5" s="4" t="str">
        <x:v>F001 / 2.2.0</x:v>
      </x:c>
      <x:c r="G5" s="12" t="n">
        <x:f>COUNTIFS('13_Relaciones_NICE'!$B$5:$B$186,B5,'13_Relaciones_NICE'!$C$5:$C$186,C5)-1</x:f>
        <x:v>0</x:v>
      </x:c>
      <x:c r="H5" s="12" t="n">
        <x:f>IF(AND(COUNTIF('03_NICE'!$A$5:$A$57,B5)+COUNTIF('04_TKS'!$A$5:$A$72,B5)=1,COUNTIF('03_NICE'!$A$5:$A$57,C5)+COUNTIF('04_TKS'!$A$5:$A$72,C5)=1),0,1)</x:f>
        <x:v>0</x:v>
      </x:c>
    </x:row>
    <x:row r="6" ht="47" customHeight="1">
      <x:c r="A6" s="4" t="str">
        <x:v>RN-002</x:v>
      </x:c>
      <x:c r="B6" s="4" t="str">
        <x:v>OG-WRL-002</x:v>
      </x:c>
      <x:c r="C6" s="4" t="str">
        <x:v>T1020</x:v>
      </x:c>
      <x:c r="D6" s="4" t="str">
        <x:v>projection</x:v>
      </x:c>
      <x:c r="E6" s="4" t="str">
        <x:v>SP_800_181_2_2_0</x:v>
      </x:c>
      <x:c r="F6" s="4" t="str">
        <x:v>F001 / 2.2.0</x:v>
      </x:c>
      <x:c r="G6" s="12" t="n">
        <x:f>COUNTIFS('13_Relaciones_NICE'!$B$5:$B$186,B6,'13_Relaciones_NICE'!$C$5:$C$186,C6)-1</x:f>
        <x:v>0</x:v>
      </x:c>
      <x:c r="H6" s="12" t="n">
        <x:f>IF(AND(COUNTIF('03_NICE'!$A$5:$A$57,B6)+COUNTIF('04_TKS'!$A$5:$A$72,B6)=1,COUNTIF('03_NICE'!$A$5:$A$57,C6)+COUNTIF('04_TKS'!$A$5:$A$72,C6)=1),0,1)</x:f>
        <x:v>0</x:v>
      </x:c>
    </x:row>
    <x:row r="7" ht="47" customHeight="1">
      <x:c r="A7" s="4" t="str">
        <x:v>RN-003</x:v>
      </x:c>
      <x:c r="B7" s="4" t="str">
        <x:v>OG-WRL-003</x:v>
      </x:c>
      <x:c r="C7" s="4" t="str">
        <x:v>T1020</x:v>
      </x:c>
      <x:c r="D7" s="4" t="str">
        <x:v>projection</x:v>
      </x:c>
      <x:c r="E7" s="4" t="str">
        <x:v>SP_800_181_2_2_0</x:v>
      </x:c>
      <x:c r="F7" s="4" t="str">
        <x:v>F001 / 2.2.0</x:v>
      </x:c>
      <x:c r="G7" s="12" t="n">
        <x:f>COUNTIFS('13_Relaciones_NICE'!$B$5:$B$186,B7,'13_Relaciones_NICE'!$C$5:$C$186,C7)-1</x:f>
        <x:v>0</x:v>
      </x:c>
      <x:c r="H7" s="12" t="n">
        <x:f>IF(AND(COUNTIF('03_NICE'!$A$5:$A$57,B7)+COUNTIF('04_TKS'!$A$5:$A$72,B7)=1,COUNTIF('03_NICE'!$A$5:$A$57,C7)+COUNTIF('04_TKS'!$A$5:$A$72,C7)=1),0,1)</x:f>
        <x:v>0</x:v>
      </x:c>
    </x:row>
    <x:row r="8" ht="47" customHeight="1">
      <x:c r="A8" s="4" t="str">
        <x:v>RN-004</x:v>
      </x:c>
      <x:c r="B8" s="4" t="str">
        <x:v>OG-WRL-004</x:v>
      </x:c>
      <x:c r="C8" s="4" t="str">
        <x:v>T1020</x:v>
      </x:c>
      <x:c r="D8" s="4" t="str">
        <x:v>projection</x:v>
      </x:c>
      <x:c r="E8" s="4" t="str">
        <x:v>SP_800_181_2_2_0</x:v>
      </x:c>
      <x:c r="F8" s="4" t="str">
        <x:v>F001 / 2.2.0</x:v>
      </x:c>
      <x:c r="G8" s="12" t="n">
        <x:f>COUNTIFS('13_Relaciones_NICE'!$B$5:$B$186,B8,'13_Relaciones_NICE'!$C$5:$C$186,C8)-1</x:f>
        <x:v>0</x:v>
      </x:c>
      <x:c r="H8" s="12" t="n">
        <x:f>IF(AND(COUNTIF('03_NICE'!$A$5:$A$57,B8)+COUNTIF('04_TKS'!$A$5:$A$72,B8)=1,COUNTIF('03_NICE'!$A$5:$A$57,C8)+COUNTIF('04_TKS'!$A$5:$A$72,C8)=1),0,1)</x:f>
        <x:v>0</x:v>
      </x:c>
    </x:row>
    <x:row r="9" ht="47" customHeight="1">
      <x:c r="A9" s="4" t="str">
        <x:v>RN-005</x:v>
      </x:c>
      <x:c r="B9" s="4" t="str">
        <x:v>OG-WRL-005</x:v>
      </x:c>
      <x:c r="C9" s="4" t="str">
        <x:v>T0101</x:v>
      </x:c>
      <x:c r="D9" s="4" t="str">
        <x:v>projection</x:v>
      </x:c>
      <x:c r="E9" s="4" t="str">
        <x:v>SP_800_181_2_2_0</x:v>
      </x:c>
      <x:c r="F9" s="4" t="str">
        <x:v>F001 / 2.2.0</x:v>
      </x:c>
      <x:c r="G9" s="12" t="n">
        <x:f>COUNTIFS('13_Relaciones_NICE'!$B$5:$B$186,B9,'13_Relaciones_NICE'!$C$5:$C$186,C9)-1</x:f>
        <x:v>0</x:v>
      </x:c>
      <x:c r="H9" s="12" t="n">
        <x:f>IF(AND(COUNTIF('03_NICE'!$A$5:$A$57,B9)+COUNTIF('04_TKS'!$A$5:$A$72,B9)=1,COUNTIF('03_NICE'!$A$5:$A$57,C9)+COUNTIF('04_TKS'!$A$5:$A$72,C9)=1),0,1)</x:f>
        <x:v>0</x:v>
      </x:c>
    </x:row>
    <x:row r="10" ht="47" customHeight="1">
      <x:c r="A10" s="4" t="str">
        <x:v>RN-006</x:v>
      </x:c>
      <x:c r="B10" s="4" t="str">
        <x:v>OG-WRL-005</x:v>
      </x:c>
      <x:c r="C10" s="4" t="str">
        <x:v>T1020</x:v>
      </x:c>
      <x:c r="D10" s="4" t="str">
        <x:v>projection</x:v>
      </x:c>
      <x:c r="E10" s="4" t="str">
        <x:v>SP_800_181_2_2_0</x:v>
      </x:c>
      <x:c r="F10" s="4" t="str">
        <x:v>F001 / 2.2.0</x:v>
      </x:c>
      <x:c r="G10" s="12" t="n">
        <x:f>COUNTIFS('13_Relaciones_NICE'!$B$5:$B$186,B10,'13_Relaciones_NICE'!$C$5:$C$186,C10)-1</x:f>
        <x:v>0</x:v>
      </x:c>
      <x:c r="H10" s="12" t="n">
        <x:f>IF(AND(COUNTIF('03_NICE'!$A$5:$A$57,B10)+COUNTIF('04_TKS'!$A$5:$A$72,B10)=1,COUNTIF('03_NICE'!$A$5:$A$57,C10)+COUNTIF('04_TKS'!$A$5:$A$72,C10)=1),0,1)</x:f>
        <x:v>0</x:v>
      </x:c>
    </x:row>
    <x:row r="11" ht="47" customHeight="1">
      <x:c r="A11" s="4" t="str">
        <x:v>RN-007</x:v>
      </x:c>
      <x:c r="B11" s="4" t="str">
        <x:v>OG-WRL-006</x:v>
      </x:c>
      <x:c r="C11" s="4" t="str">
        <x:v>T0220</x:v>
      </x:c>
      <x:c r="D11" s="4" t="str">
        <x:v>projection</x:v>
      </x:c>
      <x:c r="E11" s="4" t="str">
        <x:v>SP_800_181_2_2_0</x:v>
      </x:c>
      <x:c r="F11" s="4" t="str">
        <x:v>F001 / 2.2.0</x:v>
      </x:c>
      <x:c r="G11" s="12" t="n">
        <x:f>COUNTIFS('13_Relaciones_NICE'!$B$5:$B$186,B11,'13_Relaciones_NICE'!$C$5:$C$186,C11)-1</x:f>
        <x:v>0</x:v>
      </x:c>
      <x:c r="H11" s="12" t="n">
        <x:f>IF(AND(COUNTIF('03_NICE'!$A$5:$A$57,B11)+COUNTIF('04_TKS'!$A$5:$A$72,B11)=1,COUNTIF('03_NICE'!$A$5:$A$57,C11)+COUNTIF('04_TKS'!$A$5:$A$72,C11)=1),0,1)</x:f>
        <x:v>0</x:v>
      </x:c>
    </x:row>
    <x:row r="12" ht="47" customHeight="1">
      <x:c r="A12" s="4" t="str">
        <x:v>RN-008</x:v>
      </x:c>
      <x:c r="B12" s="4" t="str">
        <x:v>OG-WRL-006</x:v>
      </x:c>
      <x:c r="C12" s="4" t="str">
        <x:v>T1020</x:v>
      </x:c>
      <x:c r="D12" s="4" t="str">
        <x:v>projection</x:v>
      </x:c>
      <x:c r="E12" s="4" t="str">
        <x:v>SP_800_181_2_2_0</x:v>
      </x:c>
      <x:c r="F12" s="4" t="str">
        <x:v>F001 / 2.2.0</x:v>
      </x:c>
      <x:c r="G12" s="12" t="n">
        <x:f>COUNTIFS('13_Relaciones_NICE'!$B$5:$B$186,B12,'13_Relaciones_NICE'!$C$5:$C$186,C12)-1</x:f>
        <x:v>0</x:v>
      </x:c>
      <x:c r="H12" s="12" t="n">
        <x:f>IF(AND(COUNTIF('03_NICE'!$A$5:$A$57,B12)+COUNTIF('04_TKS'!$A$5:$A$72,B12)=1,COUNTIF('03_NICE'!$A$5:$A$57,C12)+COUNTIF('04_TKS'!$A$5:$A$72,C12)=1),0,1)</x:f>
        <x:v>0</x:v>
      </x:c>
    </x:row>
    <x:row r="13" ht="47" customHeight="1">
      <x:c r="A13" s="4" t="str">
        <x:v>RN-009</x:v>
      </x:c>
      <x:c r="B13" s="4" t="str">
        <x:v>OG-WRL-007</x:v>
      </x:c>
      <x:c r="C13" s="4" t="str">
        <x:v>T1020</x:v>
      </x:c>
      <x:c r="D13" s="4" t="str">
        <x:v>projection</x:v>
      </x:c>
      <x:c r="E13" s="4" t="str">
        <x:v>SP_800_181_2_2_0</x:v>
      </x:c>
      <x:c r="F13" s="4" t="str">
        <x:v>F001 / 2.2.0</x:v>
      </x:c>
      <x:c r="G13" s="12" t="n">
        <x:f>COUNTIFS('13_Relaciones_NICE'!$B$5:$B$186,B13,'13_Relaciones_NICE'!$C$5:$C$186,C13)-1</x:f>
        <x:v>0</x:v>
      </x:c>
      <x:c r="H13" s="12" t="n">
        <x:f>IF(AND(COUNTIF('03_NICE'!$A$5:$A$57,B13)+COUNTIF('04_TKS'!$A$5:$A$72,B13)=1,COUNTIF('03_NICE'!$A$5:$A$57,C13)+COUNTIF('04_TKS'!$A$5:$A$72,C13)=1),0,1)</x:f>
        <x:v>0</x:v>
      </x:c>
    </x:row>
    <x:row r="14" ht="47" customHeight="1">
      <x:c r="A14" s="4" t="str">
        <x:v>RN-010</x:v>
      </x:c>
      <x:c r="B14" s="4" t="str">
        <x:v>OG-WRL-007</x:v>
      </x:c>
      <x:c r="C14" s="4" t="str">
        <x:v>T1586</x:v>
      </x:c>
      <x:c r="D14" s="4" t="str">
        <x:v>projection</x:v>
      </x:c>
      <x:c r="E14" s="4" t="str">
        <x:v>SP_800_181_2_2_0</x:v>
      </x:c>
      <x:c r="F14" s="4" t="str">
        <x:v>F001 / 2.2.0</x:v>
      </x:c>
      <x:c r="G14" s="12" t="n">
        <x:f>COUNTIFS('13_Relaciones_NICE'!$B$5:$B$186,B14,'13_Relaciones_NICE'!$C$5:$C$186,C14)-1</x:f>
        <x:v>0</x:v>
      </x:c>
      <x:c r="H14" s="12" t="n">
        <x:f>IF(AND(COUNTIF('03_NICE'!$A$5:$A$57,B14)+COUNTIF('04_TKS'!$A$5:$A$72,B14)=1,COUNTIF('03_NICE'!$A$5:$A$57,C14)+COUNTIF('04_TKS'!$A$5:$A$72,C14)=1),0,1)</x:f>
        <x:v>0</x:v>
      </x:c>
    </x:row>
    <x:row r="15" ht="47" customHeight="1">
      <x:c r="A15" s="4" t="str">
        <x:v>RN-011</x:v>
      </x:c>
      <x:c r="B15" s="4" t="str">
        <x:v>OG-WRL-008</x:v>
      </x:c>
      <x:c r="C15" s="4" t="str">
        <x:v>T1020</x:v>
      </x:c>
      <x:c r="D15" s="4" t="str">
        <x:v>projection</x:v>
      </x:c>
      <x:c r="E15" s="4" t="str">
        <x:v>SP_800_181_2_2_0</x:v>
      </x:c>
      <x:c r="F15" s="4" t="str">
        <x:v>F001 / 2.2.0</x:v>
      </x:c>
      <x:c r="G15" s="12" t="n">
        <x:f>COUNTIFS('13_Relaciones_NICE'!$B$5:$B$186,B15,'13_Relaciones_NICE'!$C$5:$C$186,C15)-1</x:f>
        <x:v>0</x:v>
      </x:c>
      <x:c r="H15" s="12" t="n">
        <x:f>IF(AND(COUNTIF('03_NICE'!$A$5:$A$57,B15)+COUNTIF('04_TKS'!$A$5:$A$72,B15)=1,COUNTIF('03_NICE'!$A$5:$A$57,C15)+COUNTIF('04_TKS'!$A$5:$A$72,C15)=1),0,1)</x:f>
        <x:v>0</x:v>
      </x:c>
    </x:row>
    <x:row r="16" ht="47" customHeight="1">
      <x:c r="A16" s="4" t="str">
        <x:v>RN-012</x:v>
      </x:c>
      <x:c r="B16" s="4" t="str">
        <x:v>OG-WRL-008</x:v>
      </x:c>
      <x:c r="C16" s="4" t="str">
        <x:v>T1118</x:v>
      </x:c>
      <x:c r="D16" s="4" t="str">
        <x:v>projection</x:v>
      </x:c>
      <x:c r="E16" s="4" t="str">
        <x:v>SP_800_181_2_2_0</x:v>
      </x:c>
      <x:c r="F16" s="4" t="str">
        <x:v>F001 / 2.2.0</x:v>
      </x:c>
      <x:c r="G16" s="12" t="n">
        <x:f>COUNTIFS('13_Relaciones_NICE'!$B$5:$B$186,B16,'13_Relaciones_NICE'!$C$5:$C$186,C16)-1</x:f>
        <x:v>0</x:v>
      </x:c>
      <x:c r="H16" s="12" t="n">
        <x:f>IF(AND(COUNTIF('03_NICE'!$A$5:$A$57,B16)+COUNTIF('04_TKS'!$A$5:$A$72,B16)=1,COUNTIF('03_NICE'!$A$5:$A$57,C16)+COUNTIF('04_TKS'!$A$5:$A$72,C16)=1),0,1)</x:f>
        <x:v>0</x:v>
      </x:c>
    </x:row>
    <x:row r="17" ht="47" customHeight="1">
      <x:c r="A17" s="4" t="str">
        <x:v>RN-013</x:v>
      </x:c>
      <x:c r="B17" s="4" t="str">
        <x:v>OG-WRL-008</x:v>
      </x:c>
      <x:c r="C17" s="4" t="str">
        <x:v>T1119</x:v>
      </x:c>
      <x:c r="D17" s="4" t="str">
        <x:v>projection</x:v>
      </x:c>
      <x:c r="E17" s="4" t="str">
        <x:v>SP_800_181_2_2_0</x:v>
      </x:c>
      <x:c r="F17" s="4" t="str">
        <x:v>F001 / 2.2.0</x:v>
      </x:c>
      <x:c r="G17" s="12" t="n">
        <x:f>COUNTIFS('13_Relaciones_NICE'!$B$5:$B$186,B17,'13_Relaciones_NICE'!$C$5:$C$186,C17)-1</x:f>
        <x:v>0</x:v>
      </x:c>
      <x:c r="H17" s="12" t="n">
        <x:f>IF(AND(COUNTIF('03_NICE'!$A$5:$A$57,B17)+COUNTIF('04_TKS'!$A$5:$A$72,B17)=1,COUNTIF('03_NICE'!$A$5:$A$57,C17)+COUNTIF('04_TKS'!$A$5:$A$72,C17)=1),0,1)</x:f>
        <x:v>0</x:v>
      </x:c>
    </x:row>
    <x:row r="18" ht="47" customHeight="1">
      <x:c r="A18" s="4" t="str">
        <x:v>RN-014</x:v>
      </x:c>
      <x:c r="B18" s="4" t="str">
        <x:v>OG-WRL-009</x:v>
      </x:c>
      <x:c r="C18" s="4" t="str">
        <x:v>T0220</x:v>
      </x:c>
      <x:c r="D18" s="4" t="str">
        <x:v>projection</x:v>
      </x:c>
      <x:c r="E18" s="4" t="str">
        <x:v>SP_800_181_2_2_0</x:v>
      </x:c>
      <x:c r="F18" s="4" t="str">
        <x:v>F001 / 2.2.0</x:v>
      </x:c>
      <x:c r="G18" s="12" t="n">
        <x:f>COUNTIFS('13_Relaciones_NICE'!$B$5:$B$186,B18,'13_Relaciones_NICE'!$C$5:$C$186,C18)-1</x:f>
        <x:v>0</x:v>
      </x:c>
      <x:c r="H18" s="12" t="n">
        <x:f>IF(AND(COUNTIF('03_NICE'!$A$5:$A$57,B18)+COUNTIF('04_TKS'!$A$5:$A$72,B18)=1,COUNTIF('03_NICE'!$A$5:$A$57,C18)+COUNTIF('04_TKS'!$A$5:$A$72,C18)=1),0,1)</x:f>
        <x:v>0</x:v>
      </x:c>
    </x:row>
    <x:row r="19" ht="47" customHeight="1">
      <x:c r="A19" s="4" t="str">
        <x:v>RN-015</x:v>
      </x:c>
      <x:c r="B19" s="4" t="str">
        <x:v>OG-WRL-009</x:v>
      </x:c>
      <x:c r="C19" s="4" t="str">
        <x:v>T1020</x:v>
      </x:c>
      <x:c r="D19" s="4" t="str">
        <x:v>projection</x:v>
      </x:c>
      <x:c r="E19" s="4" t="str">
        <x:v>SP_800_181_2_2_0</x:v>
      </x:c>
      <x:c r="F19" s="4" t="str">
        <x:v>F001 / 2.2.0</x:v>
      </x:c>
      <x:c r="G19" s="12" t="n">
        <x:f>COUNTIFS('13_Relaciones_NICE'!$B$5:$B$186,B19,'13_Relaciones_NICE'!$C$5:$C$186,C19)-1</x:f>
        <x:v>0</x:v>
      </x:c>
      <x:c r="H19" s="12" t="n">
        <x:f>IF(AND(COUNTIF('03_NICE'!$A$5:$A$57,B19)+COUNTIF('04_TKS'!$A$5:$A$72,B19)=1,COUNTIF('03_NICE'!$A$5:$A$57,C19)+COUNTIF('04_TKS'!$A$5:$A$72,C19)=1),0,1)</x:f>
        <x:v>0</x:v>
      </x:c>
    </x:row>
    <x:row r="20" ht="47" customHeight="1">
      <x:c r="A20" s="4" t="str">
        <x:v>RN-016</x:v>
      </x:c>
      <x:c r="B20" s="4" t="str">
        <x:v>OG-WRL-009</x:v>
      </x:c>
      <x:c r="C20" s="4" t="str">
        <x:v>T1344</x:v>
      </x:c>
      <x:c r="D20" s="4" t="str">
        <x:v>projection</x:v>
      </x:c>
      <x:c r="E20" s="4" t="str">
        <x:v>SP_800_181_2_2_0</x:v>
      </x:c>
      <x:c r="F20" s="4" t="str">
        <x:v>F001 / 2.2.0</x:v>
      </x:c>
      <x:c r="G20" s="12" t="n">
        <x:f>COUNTIFS('13_Relaciones_NICE'!$B$5:$B$186,B20,'13_Relaciones_NICE'!$C$5:$C$186,C20)-1</x:f>
        <x:v>0</x:v>
      </x:c>
      <x:c r="H20" s="12" t="n">
        <x:f>IF(AND(COUNTIF('03_NICE'!$A$5:$A$57,B20)+COUNTIF('04_TKS'!$A$5:$A$72,B20)=1,COUNTIF('03_NICE'!$A$5:$A$57,C20)+COUNTIF('04_TKS'!$A$5:$A$72,C20)=1),0,1)</x:f>
        <x:v>0</x:v>
      </x:c>
    </x:row>
    <x:row r="21" ht="47" customHeight="1">
      <x:c r="A21" s="4" t="str">
        <x:v>RN-017</x:v>
      </x:c>
      <x:c r="B21" s="4" t="str">
        <x:v>OG-WRL-009</x:v>
      </x:c>
      <x:c r="C21" s="4" t="str">
        <x:v>T1366</x:v>
      </x:c>
      <x:c r="D21" s="4" t="str">
        <x:v>projection</x:v>
      </x:c>
      <x:c r="E21" s="4" t="str">
        <x:v>SP_800_181_2_2_0</x:v>
      </x:c>
      <x:c r="F21" s="4" t="str">
        <x:v>F001 / 2.2.0</x:v>
      </x:c>
      <x:c r="G21" s="12" t="n">
        <x:f>COUNTIFS('13_Relaciones_NICE'!$B$5:$B$186,B21,'13_Relaciones_NICE'!$C$5:$C$186,C21)-1</x:f>
        <x:v>0</x:v>
      </x:c>
      <x:c r="H21" s="12" t="n">
        <x:f>IF(AND(COUNTIF('03_NICE'!$A$5:$A$57,B21)+COUNTIF('04_TKS'!$A$5:$A$72,B21)=1,COUNTIF('03_NICE'!$A$5:$A$57,C21)+COUNTIF('04_TKS'!$A$5:$A$72,C21)=1),0,1)</x:f>
        <x:v>0</x:v>
      </x:c>
    </x:row>
    <x:row r="22" ht="47" customHeight="1">
      <x:c r="A22" s="4" t="str">
        <x:v>RN-018</x:v>
      </x:c>
      <x:c r="B22" s="4" t="str">
        <x:v>OG-WRL-009</x:v>
      </x:c>
      <x:c r="C22" s="4" t="str">
        <x:v>T1602</x:v>
      </x:c>
      <x:c r="D22" s="4" t="str">
        <x:v>projection</x:v>
      </x:c>
      <x:c r="E22" s="4" t="str">
        <x:v>SP_800_181_2_2_0</x:v>
      </x:c>
      <x:c r="F22" s="4" t="str">
        <x:v>F001 / 2.2.0</x:v>
      </x:c>
      <x:c r="G22" s="12" t="n">
        <x:f>COUNTIFS('13_Relaciones_NICE'!$B$5:$B$186,B22,'13_Relaciones_NICE'!$C$5:$C$186,C22)-1</x:f>
        <x:v>0</x:v>
      </x:c>
      <x:c r="H22" s="12" t="n">
        <x:f>IF(AND(COUNTIF('03_NICE'!$A$5:$A$57,B22)+COUNTIF('04_TKS'!$A$5:$A$72,B22)=1,COUNTIF('03_NICE'!$A$5:$A$57,C22)+COUNTIF('04_TKS'!$A$5:$A$72,C22)=1),0,1)</x:f>
        <x:v>0</x:v>
      </x:c>
    </x:row>
    <x:row r="23" ht="47" customHeight="1">
      <x:c r="A23" s="4" t="str">
        <x:v>RN-019</x:v>
      </x:c>
      <x:c r="B23" s="4" t="str">
        <x:v>OG-WRL-010</x:v>
      </x:c>
      <x:c r="C23" s="4" t="str">
        <x:v>T0220</x:v>
      </x:c>
      <x:c r="D23" s="4" t="str">
        <x:v>projection</x:v>
      </x:c>
      <x:c r="E23" s="4" t="str">
        <x:v>SP_800_181_2_2_0</x:v>
      </x:c>
      <x:c r="F23" s="4" t="str">
        <x:v>F001 / 2.2.0</x:v>
      </x:c>
      <x:c r="G23" s="12" t="n">
        <x:f>COUNTIFS('13_Relaciones_NICE'!$B$5:$B$186,B23,'13_Relaciones_NICE'!$C$5:$C$186,C23)-1</x:f>
        <x:v>0</x:v>
      </x:c>
      <x:c r="H23" s="12" t="n">
        <x:f>IF(AND(COUNTIF('03_NICE'!$A$5:$A$57,B23)+COUNTIF('04_TKS'!$A$5:$A$72,B23)=1,COUNTIF('03_NICE'!$A$5:$A$57,C23)+COUNTIF('04_TKS'!$A$5:$A$72,C23)=1),0,1)</x:f>
        <x:v>0</x:v>
      </x:c>
    </x:row>
    <x:row r="24" ht="47" customHeight="1">
      <x:c r="A24" s="4" t="str">
        <x:v>RN-020</x:v>
      </x:c>
      <x:c r="B24" s="4" t="str">
        <x:v>OG-WRL-010</x:v>
      </x:c>
      <x:c r="C24" s="4" t="str">
        <x:v>T1020</x:v>
      </x:c>
      <x:c r="D24" s="4" t="str">
        <x:v>projection</x:v>
      </x:c>
      <x:c r="E24" s="4" t="str">
        <x:v>SP_800_181_2_2_0</x:v>
      </x:c>
      <x:c r="F24" s="4" t="str">
        <x:v>F001 / 2.2.0</x:v>
      </x:c>
      <x:c r="G24" s="12" t="n">
        <x:f>COUNTIFS('13_Relaciones_NICE'!$B$5:$B$186,B24,'13_Relaciones_NICE'!$C$5:$C$186,C24)-1</x:f>
        <x:v>0</x:v>
      </x:c>
      <x:c r="H24" s="12" t="n">
        <x:f>IF(AND(COUNTIF('03_NICE'!$A$5:$A$57,B24)+COUNTIF('04_TKS'!$A$5:$A$72,B24)=1,COUNTIF('03_NICE'!$A$5:$A$57,C24)+COUNTIF('04_TKS'!$A$5:$A$72,C24)=1),0,1)</x:f>
        <x:v>0</x:v>
      </x:c>
    </x:row>
    <x:row r="25" ht="47" customHeight="1">
      <x:c r="A25" s="4" t="str">
        <x:v>RN-021</x:v>
      </x:c>
      <x:c r="B25" s="4" t="str">
        <x:v>OG-WRL-010</x:v>
      </x:c>
      <x:c r="C25" s="4" t="str">
        <x:v>T1344</x:v>
      </x:c>
      <x:c r="D25" s="4" t="str">
        <x:v>projection</x:v>
      </x:c>
      <x:c r="E25" s="4" t="str">
        <x:v>SP_800_181_2_2_0</x:v>
      </x:c>
      <x:c r="F25" s="4" t="str">
        <x:v>F001 / 2.2.0</x:v>
      </x:c>
      <x:c r="G25" s="12" t="n">
        <x:f>COUNTIFS('13_Relaciones_NICE'!$B$5:$B$186,B25,'13_Relaciones_NICE'!$C$5:$C$186,C25)-1</x:f>
        <x:v>0</x:v>
      </x:c>
      <x:c r="H25" s="12" t="n">
        <x:f>IF(AND(COUNTIF('03_NICE'!$A$5:$A$57,B25)+COUNTIF('04_TKS'!$A$5:$A$72,B25)=1,COUNTIF('03_NICE'!$A$5:$A$57,C25)+COUNTIF('04_TKS'!$A$5:$A$72,C25)=1),0,1)</x:f>
        <x:v>0</x:v>
      </x:c>
    </x:row>
    <x:row r="26" ht="47" customHeight="1">
      <x:c r="A26" s="4" t="str">
        <x:v>RN-022</x:v>
      </x:c>
      <x:c r="B26" s="4" t="str">
        <x:v>OG-WRL-010</x:v>
      </x:c>
      <x:c r="C26" s="4" t="str">
        <x:v>T1366</x:v>
      </x:c>
      <x:c r="D26" s="4" t="str">
        <x:v>projection</x:v>
      </x:c>
      <x:c r="E26" s="4" t="str">
        <x:v>SP_800_181_2_2_0</x:v>
      </x:c>
      <x:c r="F26" s="4" t="str">
        <x:v>F001 / 2.2.0</x:v>
      </x:c>
      <x:c r="G26" s="12" t="n">
        <x:f>COUNTIFS('13_Relaciones_NICE'!$B$5:$B$186,B26,'13_Relaciones_NICE'!$C$5:$C$186,C26)-1</x:f>
        <x:v>0</x:v>
      </x:c>
      <x:c r="H26" s="12" t="n">
        <x:f>IF(AND(COUNTIF('03_NICE'!$A$5:$A$57,B26)+COUNTIF('04_TKS'!$A$5:$A$72,B26)=1,COUNTIF('03_NICE'!$A$5:$A$57,C26)+COUNTIF('04_TKS'!$A$5:$A$72,C26)=1),0,1)</x:f>
        <x:v>0</x:v>
      </x:c>
    </x:row>
    <x:row r="27" ht="47" customHeight="1">
      <x:c r="A27" s="4" t="str">
        <x:v>RN-023</x:v>
      </x:c>
      <x:c r="B27" s="4" t="str">
        <x:v>OG-WRL-010</x:v>
      </x:c>
      <x:c r="C27" s="4" t="str">
        <x:v>T1602</x:v>
      </x:c>
      <x:c r="D27" s="4" t="str">
        <x:v>projection</x:v>
      </x:c>
      <x:c r="E27" s="4" t="str">
        <x:v>SP_800_181_2_2_0</x:v>
      </x:c>
      <x:c r="F27" s="4" t="str">
        <x:v>F001 / 2.2.0</x:v>
      </x:c>
      <x:c r="G27" s="12" t="n">
        <x:f>COUNTIFS('13_Relaciones_NICE'!$B$5:$B$186,B27,'13_Relaciones_NICE'!$C$5:$C$186,C27)-1</x:f>
        <x:v>0</x:v>
      </x:c>
      <x:c r="H27" s="12" t="n">
        <x:f>IF(AND(COUNTIF('03_NICE'!$A$5:$A$57,B27)+COUNTIF('04_TKS'!$A$5:$A$72,B27)=1,COUNTIF('03_NICE'!$A$5:$A$57,C27)+COUNTIF('04_TKS'!$A$5:$A$72,C27)=1),0,1)</x:f>
        <x:v>0</x:v>
      </x:c>
    </x:row>
    <x:row r="28" ht="47" customHeight="1">
      <x:c r="A28" s="4" t="str">
        <x:v>RN-024</x:v>
      </x:c>
      <x:c r="B28" s="4" t="str">
        <x:v>OG-WRL-011</x:v>
      </x:c>
      <x:c r="C28" s="4" t="str">
        <x:v>T0220</x:v>
      </x:c>
      <x:c r="D28" s="4" t="str">
        <x:v>projection</x:v>
      </x:c>
      <x:c r="E28" s="4" t="str">
        <x:v>SP_800_181_2_2_0</x:v>
      </x:c>
      <x:c r="F28" s="4" t="str">
        <x:v>F001 / 2.2.0</x:v>
      </x:c>
      <x:c r="G28" s="12" t="n">
        <x:f>COUNTIFS('13_Relaciones_NICE'!$B$5:$B$186,B28,'13_Relaciones_NICE'!$C$5:$C$186,C28)-1</x:f>
        <x:v>0</x:v>
      </x:c>
      <x:c r="H28" s="12" t="n">
        <x:f>IF(AND(COUNTIF('03_NICE'!$A$5:$A$57,B28)+COUNTIF('04_TKS'!$A$5:$A$72,B28)=1,COUNTIF('03_NICE'!$A$5:$A$57,C28)+COUNTIF('04_TKS'!$A$5:$A$72,C28)=1),0,1)</x:f>
        <x:v>0</x:v>
      </x:c>
    </x:row>
    <x:row r="29" ht="47" customHeight="1">
      <x:c r="A29" s="4" t="str">
        <x:v>RN-025</x:v>
      </x:c>
      <x:c r="B29" s="4" t="str">
        <x:v>OG-WRL-011</x:v>
      </x:c>
      <x:c r="C29" s="4" t="str">
        <x:v>T1020</x:v>
      </x:c>
      <x:c r="D29" s="4" t="str">
        <x:v>projection</x:v>
      </x:c>
      <x:c r="E29" s="4" t="str">
        <x:v>SP_800_181_2_2_0</x:v>
      </x:c>
      <x:c r="F29" s="4" t="str">
        <x:v>F001 / 2.2.0</x:v>
      </x:c>
      <x:c r="G29" s="12" t="n">
        <x:f>COUNTIFS('13_Relaciones_NICE'!$B$5:$B$186,B29,'13_Relaciones_NICE'!$C$5:$C$186,C29)-1</x:f>
        <x:v>0</x:v>
      </x:c>
      <x:c r="H29" s="12" t="n">
        <x:f>IF(AND(COUNTIF('03_NICE'!$A$5:$A$57,B29)+COUNTIF('04_TKS'!$A$5:$A$72,B29)=1,COUNTIF('03_NICE'!$A$5:$A$57,C29)+COUNTIF('04_TKS'!$A$5:$A$72,C29)=1),0,1)</x:f>
        <x:v>0</x:v>
      </x:c>
    </x:row>
    <x:row r="30" ht="47" customHeight="1">
      <x:c r="A30" s="4" t="str">
        <x:v>RN-026</x:v>
      </x:c>
      <x:c r="B30" s="4" t="str">
        <x:v>OG-WRL-011</x:v>
      </x:c>
      <x:c r="C30" s="4" t="str">
        <x:v>T1344</x:v>
      </x:c>
      <x:c r="D30" s="4" t="str">
        <x:v>projection</x:v>
      </x:c>
      <x:c r="E30" s="4" t="str">
        <x:v>SP_800_181_2_2_0</x:v>
      </x:c>
      <x:c r="F30" s="4" t="str">
        <x:v>F001 / 2.2.0</x:v>
      </x:c>
      <x:c r="G30" s="12" t="n">
        <x:f>COUNTIFS('13_Relaciones_NICE'!$B$5:$B$186,B30,'13_Relaciones_NICE'!$C$5:$C$186,C30)-1</x:f>
        <x:v>0</x:v>
      </x:c>
      <x:c r="H30" s="12" t="n">
        <x:f>IF(AND(COUNTIF('03_NICE'!$A$5:$A$57,B30)+COUNTIF('04_TKS'!$A$5:$A$72,B30)=1,COUNTIF('03_NICE'!$A$5:$A$57,C30)+COUNTIF('04_TKS'!$A$5:$A$72,C30)=1),0,1)</x:f>
        <x:v>0</x:v>
      </x:c>
    </x:row>
    <x:row r="31" ht="47" customHeight="1">
      <x:c r="A31" s="4" t="str">
        <x:v>RN-027</x:v>
      </x:c>
      <x:c r="B31" s="4" t="str">
        <x:v>OG-WRL-011</x:v>
      </x:c>
      <x:c r="C31" s="4" t="str">
        <x:v>T1366</x:v>
      </x:c>
      <x:c r="D31" s="4" t="str">
        <x:v>projection</x:v>
      </x:c>
      <x:c r="E31" s="4" t="str">
        <x:v>SP_800_181_2_2_0</x:v>
      </x:c>
      <x:c r="F31" s="4" t="str">
        <x:v>F001 / 2.2.0</x:v>
      </x:c>
      <x:c r="G31" s="12" t="n">
        <x:f>COUNTIFS('13_Relaciones_NICE'!$B$5:$B$186,B31,'13_Relaciones_NICE'!$C$5:$C$186,C31)-1</x:f>
        <x:v>0</x:v>
      </x:c>
      <x:c r="H31" s="12" t="n">
        <x:f>IF(AND(COUNTIF('03_NICE'!$A$5:$A$57,B31)+COUNTIF('04_TKS'!$A$5:$A$72,B31)=1,COUNTIF('03_NICE'!$A$5:$A$57,C31)+COUNTIF('04_TKS'!$A$5:$A$72,C31)=1),0,1)</x:f>
        <x:v>0</x:v>
      </x:c>
    </x:row>
    <x:row r="32" ht="47" customHeight="1">
      <x:c r="A32" s="4" t="str">
        <x:v>RN-028</x:v>
      </x:c>
      <x:c r="B32" s="4" t="str">
        <x:v>OG-WRL-011</x:v>
      </x:c>
      <x:c r="C32" s="4" t="str">
        <x:v>T1602</x:v>
      </x:c>
      <x:c r="D32" s="4" t="str">
        <x:v>projection</x:v>
      </x:c>
      <x:c r="E32" s="4" t="str">
        <x:v>SP_800_181_2_2_0</x:v>
      </x:c>
      <x:c r="F32" s="4" t="str">
        <x:v>F001 / 2.2.0</x:v>
      </x:c>
      <x:c r="G32" s="12" t="n">
        <x:f>COUNTIFS('13_Relaciones_NICE'!$B$5:$B$186,B32,'13_Relaciones_NICE'!$C$5:$C$186,C32)-1</x:f>
        <x:v>0</x:v>
      </x:c>
      <x:c r="H32" s="12" t="n">
        <x:f>IF(AND(COUNTIF('03_NICE'!$A$5:$A$57,B32)+COUNTIF('04_TKS'!$A$5:$A$72,B32)=1,COUNTIF('03_NICE'!$A$5:$A$57,C32)+COUNTIF('04_TKS'!$A$5:$A$72,C32)=1),0,1)</x:f>
        <x:v>0</x:v>
      </x:c>
    </x:row>
    <x:row r="33" ht="47" customHeight="1">
      <x:c r="A33" s="4" t="str">
        <x:v>RN-029</x:v>
      </x:c>
      <x:c r="B33" s="4" t="str">
        <x:v>OG-WRL-012</x:v>
      </x:c>
      <x:c r="C33" s="4" t="str">
        <x:v>K0658</x:v>
      </x:c>
      <x:c r="D33" s="4" t="str">
        <x:v>projection</x:v>
      </x:c>
      <x:c r="E33" s="4" t="str">
        <x:v>SP_800_181_2_2_0</x:v>
      </x:c>
      <x:c r="F33" s="4" t="str">
        <x:v>F001 / 2.2.0</x:v>
      </x:c>
      <x:c r="G33" s="12" t="n">
        <x:f>COUNTIFS('13_Relaciones_NICE'!$B$5:$B$186,B33,'13_Relaciones_NICE'!$C$5:$C$186,C33)-1</x:f>
        <x:v>0</x:v>
      </x:c>
      <x:c r="H33" s="12" t="n">
        <x:f>IF(AND(COUNTIF('03_NICE'!$A$5:$A$57,B33)+COUNTIF('04_TKS'!$A$5:$A$72,B33)=1,COUNTIF('03_NICE'!$A$5:$A$57,C33)+COUNTIF('04_TKS'!$A$5:$A$72,C33)=1),0,1)</x:f>
        <x:v>0</x:v>
      </x:c>
    </x:row>
    <x:row r="34" ht="47" customHeight="1">
      <x:c r="A34" s="4" t="str">
        <x:v>RN-030</x:v>
      </x:c>
      <x:c r="B34" s="4" t="str">
        <x:v>OG-WRL-012</x:v>
      </x:c>
      <x:c r="C34" s="4" t="str">
        <x:v>K0711</x:v>
      </x:c>
      <x:c r="D34" s="4" t="str">
        <x:v>projection</x:v>
      </x:c>
      <x:c r="E34" s="4" t="str">
        <x:v>SP_800_181_2_2_0</x:v>
      </x:c>
      <x:c r="F34" s="4" t="str">
        <x:v>F001 / 2.2.0</x:v>
      </x:c>
      <x:c r="G34" s="12" t="n">
        <x:f>COUNTIFS('13_Relaciones_NICE'!$B$5:$B$186,B34,'13_Relaciones_NICE'!$C$5:$C$186,C34)-1</x:f>
        <x:v>0</x:v>
      </x:c>
      <x:c r="H34" s="12" t="n">
        <x:f>IF(AND(COUNTIF('03_NICE'!$A$5:$A$57,B34)+COUNTIF('04_TKS'!$A$5:$A$72,B34)=1,COUNTIF('03_NICE'!$A$5:$A$57,C34)+COUNTIF('04_TKS'!$A$5:$A$72,C34)=1),0,1)</x:f>
        <x:v>0</x:v>
      </x:c>
    </x:row>
    <x:row r="35" ht="47" customHeight="1">
      <x:c r="A35" s="4" t="str">
        <x:v>RN-031</x:v>
      </x:c>
      <x:c r="B35" s="4" t="str">
        <x:v>OG-WRL-012</x:v>
      </x:c>
      <x:c r="C35" s="4" t="str">
        <x:v>K0742</x:v>
      </x:c>
      <x:c r="D35" s="4" t="str">
        <x:v>projection</x:v>
      </x:c>
      <x:c r="E35" s="4" t="str">
        <x:v>SP_800_181_2_2_0</x:v>
      </x:c>
      <x:c r="F35" s="4" t="str">
        <x:v>F001 / 2.2.0</x:v>
      </x:c>
      <x:c r="G35" s="12" t="n">
        <x:f>COUNTIFS('13_Relaciones_NICE'!$B$5:$B$186,B35,'13_Relaciones_NICE'!$C$5:$C$186,C35)-1</x:f>
        <x:v>0</x:v>
      </x:c>
      <x:c r="H35" s="12" t="n">
        <x:f>IF(AND(COUNTIF('03_NICE'!$A$5:$A$57,B35)+COUNTIF('04_TKS'!$A$5:$A$72,B35)=1,COUNTIF('03_NICE'!$A$5:$A$57,C35)+COUNTIF('04_TKS'!$A$5:$A$72,C35)=1),0,1)</x:f>
        <x:v>0</x:v>
      </x:c>
    </x:row>
    <x:row r="36" ht="47" customHeight="1">
      <x:c r="A36" s="4" t="str">
        <x:v>RN-032</x:v>
      </x:c>
      <x:c r="B36" s="4" t="str">
        <x:v>OG-WRL-012</x:v>
      </x:c>
      <x:c r="C36" s="4" t="str">
        <x:v>S0443</x:v>
      </x:c>
      <x:c r="D36" s="4" t="str">
        <x:v>projection</x:v>
      </x:c>
      <x:c r="E36" s="4" t="str">
        <x:v>SP_800_181_2_2_0</x:v>
      </x:c>
      <x:c r="F36" s="4" t="str">
        <x:v>F001 / 2.2.0</x:v>
      </x:c>
      <x:c r="G36" s="12" t="n">
        <x:f>COUNTIFS('13_Relaciones_NICE'!$B$5:$B$186,B36,'13_Relaciones_NICE'!$C$5:$C$186,C36)-1</x:f>
        <x:v>0</x:v>
      </x:c>
      <x:c r="H36" s="12" t="n">
        <x:f>IF(AND(COUNTIF('03_NICE'!$A$5:$A$57,B36)+COUNTIF('04_TKS'!$A$5:$A$72,B36)=1,COUNTIF('03_NICE'!$A$5:$A$57,C36)+COUNTIF('04_TKS'!$A$5:$A$72,C36)=1),0,1)</x:f>
        <x:v>0</x:v>
      </x:c>
    </x:row>
    <x:row r="37" ht="47" customHeight="1">
      <x:c r="A37" s="4" t="str">
        <x:v>RN-033</x:v>
      </x:c>
      <x:c r="B37" s="4" t="str">
        <x:v>OG-WRL-012</x:v>
      </x:c>
      <x:c r="C37" s="4" t="str">
        <x:v>T0309</x:v>
      </x:c>
      <x:c r="D37" s="4" t="str">
        <x:v>projection</x:v>
      </x:c>
      <x:c r="E37" s="4" t="str">
        <x:v>SP_800_181_2_2_0</x:v>
      </x:c>
      <x:c r="F37" s="4" t="str">
        <x:v>F001 / 2.2.0</x:v>
      </x:c>
      <x:c r="G37" s="12" t="n">
        <x:f>COUNTIFS('13_Relaciones_NICE'!$B$5:$B$186,B37,'13_Relaciones_NICE'!$C$5:$C$186,C37)-1</x:f>
        <x:v>0</x:v>
      </x:c>
      <x:c r="H37" s="12" t="n">
        <x:f>IF(AND(COUNTIF('03_NICE'!$A$5:$A$57,B37)+COUNTIF('04_TKS'!$A$5:$A$72,B37)=1,COUNTIF('03_NICE'!$A$5:$A$57,C37)+COUNTIF('04_TKS'!$A$5:$A$72,C37)=1),0,1)</x:f>
        <x:v>0</x:v>
      </x:c>
    </x:row>
    <x:row r="38" ht="47" customHeight="1">
      <x:c r="A38" s="4" t="str">
        <x:v>RN-034</x:v>
      </x:c>
      <x:c r="B38" s="4" t="str">
        <x:v>OG-WRL-012</x:v>
      </x:c>
      <x:c r="C38" s="4" t="str">
        <x:v>T1020</x:v>
      </x:c>
      <x:c r="D38" s="4" t="str">
        <x:v>projection</x:v>
      </x:c>
      <x:c r="E38" s="4" t="str">
        <x:v>SP_800_181_2_2_0</x:v>
      </x:c>
      <x:c r="F38" s="4" t="str">
        <x:v>F001 / 2.2.0</x:v>
      </x:c>
      <x:c r="G38" s="12" t="n">
        <x:f>COUNTIFS('13_Relaciones_NICE'!$B$5:$B$186,B38,'13_Relaciones_NICE'!$C$5:$C$186,C38)-1</x:f>
        <x:v>0</x:v>
      </x:c>
      <x:c r="H38" s="12" t="n">
        <x:f>IF(AND(COUNTIF('03_NICE'!$A$5:$A$57,B38)+COUNTIF('04_TKS'!$A$5:$A$72,B38)=1,COUNTIF('03_NICE'!$A$5:$A$57,C38)+COUNTIF('04_TKS'!$A$5:$A$72,C38)=1),0,1)</x:f>
        <x:v>0</x:v>
      </x:c>
    </x:row>
    <x:row r="39" ht="47" customHeight="1">
      <x:c r="A39" s="4" t="str">
        <x:v>RN-035</x:v>
      </x:c>
      <x:c r="B39" s="4" t="str">
        <x:v>OG-WRL-012</x:v>
      </x:c>
      <x:c r="C39" s="4" t="str">
        <x:v>T1118</x:v>
      </x:c>
      <x:c r="D39" s="4" t="str">
        <x:v>projection</x:v>
      </x:c>
      <x:c r="E39" s="4" t="str">
        <x:v>SP_800_181_2_2_0</x:v>
      </x:c>
      <x:c r="F39" s="4" t="str">
        <x:v>F001 / 2.2.0</x:v>
      </x:c>
      <x:c r="G39" s="12" t="n">
        <x:f>COUNTIFS('13_Relaciones_NICE'!$B$5:$B$186,B39,'13_Relaciones_NICE'!$C$5:$C$186,C39)-1</x:f>
        <x:v>0</x:v>
      </x:c>
      <x:c r="H39" s="12" t="n">
        <x:f>IF(AND(COUNTIF('03_NICE'!$A$5:$A$57,B39)+COUNTIF('04_TKS'!$A$5:$A$72,B39)=1,COUNTIF('03_NICE'!$A$5:$A$57,C39)+COUNTIF('04_TKS'!$A$5:$A$72,C39)=1),0,1)</x:f>
        <x:v>0</x:v>
      </x:c>
    </x:row>
    <x:row r="40" ht="47" customHeight="1">
      <x:c r="A40" s="4" t="str">
        <x:v>RN-036</x:v>
      </x:c>
      <x:c r="B40" s="4" t="str">
        <x:v>OG-WRL-012</x:v>
      </x:c>
      <x:c r="C40" s="4" t="str">
        <x:v>T1119</x:v>
      </x:c>
      <x:c r="D40" s="4" t="str">
        <x:v>projection</x:v>
      </x:c>
      <x:c r="E40" s="4" t="str">
        <x:v>SP_800_181_2_2_0</x:v>
      </x:c>
      <x:c r="F40" s="4" t="str">
        <x:v>F001 / 2.2.0</x:v>
      </x:c>
      <x:c r="G40" s="12" t="n">
        <x:f>COUNTIFS('13_Relaciones_NICE'!$B$5:$B$186,B40,'13_Relaciones_NICE'!$C$5:$C$186,C40)-1</x:f>
        <x:v>0</x:v>
      </x:c>
      <x:c r="H40" s="12" t="n">
        <x:f>IF(AND(COUNTIF('03_NICE'!$A$5:$A$57,B40)+COUNTIF('04_TKS'!$A$5:$A$72,B40)=1,COUNTIF('03_NICE'!$A$5:$A$57,C40)+COUNTIF('04_TKS'!$A$5:$A$72,C40)=1),0,1)</x:f>
        <x:v>0</x:v>
      </x:c>
    </x:row>
    <x:row r="41" ht="47" customHeight="1">
      <x:c r="A41" s="4" t="str">
        <x:v>RN-037</x:v>
      </x:c>
      <x:c r="B41" s="4" t="str">
        <x:v>OG-WRL-013</x:v>
      </x:c>
      <x:c r="C41" s="4" t="str">
        <x:v>K0711</x:v>
      </x:c>
      <x:c r="D41" s="4" t="str">
        <x:v>projection</x:v>
      </x:c>
      <x:c r="E41" s="4" t="str">
        <x:v>SP_800_181_2_2_0</x:v>
      </x:c>
      <x:c r="F41" s="4" t="str">
        <x:v>F001 / 2.2.0</x:v>
      </x:c>
      <x:c r="G41" s="12" t="n">
        <x:f>COUNTIFS('13_Relaciones_NICE'!$B$5:$B$186,B41,'13_Relaciones_NICE'!$C$5:$C$186,C41)-1</x:f>
        <x:v>0</x:v>
      </x:c>
      <x:c r="H41" s="12" t="n">
        <x:f>IF(AND(COUNTIF('03_NICE'!$A$5:$A$57,B41)+COUNTIF('04_TKS'!$A$5:$A$72,B41)=1,COUNTIF('03_NICE'!$A$5:$A$57,C41)+COUNTIF('04_TKS'!$A$5:$A$72,C41)=1),0,1)</x:f>
        <x:v>0</x:v>
      </x:c>
    </x:row>
    <x:row r="42" ht="47" customHeight="1">
      <x:c r="A42" s="4" t="str">
        <x:v>RN-038</x:v>
      </x:c>
      <x:c r="B42" s="4" t="str">
        <x:v>OG-WRL-013</x:v>
      </x:c>
      <x:c r="C42" s="4" t="str">
        <x:v>T1020</x:v>
      </x:c>
      <x:c r="D42" s="4" t="str">
        <x:v>projection</x:v>
      </x:c>
      <x:c r="E42" s="4" t="str">
        <x:v>SP_800_181_2_2_0</x:v>
      </x:c>
      <x:c r="F42" s="4" t="str">
        <x:v>F001 / 2.2.0</x:v>
      </x:c>
      <x:c r="G42" s="12" t="n">
        <x:f>COUNTIFS('13_Relaciones_NICE'!$B$5:$B$186,B42,'13_Relaciones_NICE'!$C$5:$C$186,C42)-1</x:f>
        <x:v>0</x:v>
      </x:c>
      <x:c r="H42" s="12" t="n">
        <x:f>IF(AND(COUNTIF('03_NICE'!$A$5:$A$57,B42)+COUNTIF('04_TKS'!$A$5:$A$72,B42)=1,COUNTIF('03_NICE'!$A$5:$A$57,C42)+COUNTIF('04_TKS'!$A$5:$A$72,C42)=1),0,1)</x:f>
        <x:v>0</x:v>
      </x:c>
    </x:row>
    <x:row r="43" ht="47" customHeight="1">
      <x:c r="A43" s="4" t="str">
        <x:v>RN-039</x:v>
      </x:c>
      <x:c r="B43" s="4" t="str">
        <x:v>OG-WRL-014</x:v>
      </x:c>
      <x:c r="C43" s="4" t="str">
        <x:v>T1020</x:v>
      </x:c>
      <x:c r="D43" s="4" t="str">
        <x:v>projection</x:v>
      </x:c>
      <x:c r="E43" s="4" t="str">
        <x:v>SP_800_181_2_2_0</x:v>
      </x:c>
      <x:c r="F43" s="4" t="str">
        <x:v>F001 / 2.2.0</x:v>
      </x:c>
      <x:c r="G43" s="12" t="n">
        <x:f>COUNTIFS('13_Relaciones_NICE'!$B$5:$B$186,B43,'13_Relaciones_NICE'!$C$5:$C$186,C43)-1</x:f>
        <x:v>0</x:v>
      </x:c>
      <x:c r="H43" s="12" t="n">
        <x:f>IF(AND(COUNTIF('03_NICE'!$A$5:$A$57,B43)+COUNTIF('04_TKS'!$A$5:$A$72,B43)=1,COUNTIF('03_NICE'!$A$5:$A$57,C43)+COUNTIF('04_TKS'!$A$5:$A$72,C43)=1),0,1)</x:f>
        <x:v>0</x:v>
      </x:c>
    </x:row>
    <x:row r="44" ht="47" customHeight="1">
      <x:c r="A44" s="4" t="str">
        <x:v>RN-040</x:v>
      </x:c>
      <x:c r="B44" s="4" t="str">
        <x:v>OG-WRL-014</x:v>
      </x:c>
      <x:c r="C44" s="4" t="str">
        <x:v>T1344</x:v>
      </x:c>
      <x:c r="D44" s="4" t="str">
        <x:v>projection</x:v>
      </x:c>
      <x:c r="E44" s="4" t="str">
        <x:v>SP_800_181_2_2_0</x:v>
      </x:c>
      <x:c r="F44" s="4" t="str">
        <x:v>F001 / 2.2.0</x:v>
      </x:c>
      <x:c r="G44" s="12" t="n">
        <x:f>COUNTIFS('13_Relaciones_NICE'!$B$5:$B$186,B44,'13_Relaciones_NICE'!$C$5:$C$186,C44)-1</x:f>
        <x:v>0</x:v>
      </x:c>
      <x:c r="H44" s="12" t="n">
        <x:f>IF(AND(COUNTIF('03_NICE'!$A$5:$A$57,B44)+COUNTIF('04_TKS'!$A$5:$A$72,B44)=1,COUNTIF('03_NICE'!$A$5:$A$57,C44)+COUNTIF('04_TKS'!$A$5:$A$72,C44)=1),0,1)</x:f>
        <x:v>0</x:v>
      </x:c>
    </x:row>
    <x:row r="45" ht="47" customHeight="1">
      <x:c r="A45" s="4" t="str">
        <x:v>RN-041</x:v>
      </x:c>
      <x:c r="B45" s="4" t="str">
        <x:v>OG-WRL-014</x:v>
      </x:c>
      <x:c r="C45" s="4" t="str">
        <x:v>T1586</x:v>
      </x:c>
      <x:c r="D45" s="4" t="str">
        <x:v>projection</x:v>
      </x:c>
      <x:c r="E45" s="4" t="str">
        <x:v>SP_800_181_2_2_0</x:v>
      </x:c>
      <x:c r="F45" s="4" t="str">
        <x:v>F001 / 2.2.0</x:v>
      </x:c>
      <x:c r="G45" s="12" t="n">
        <x:f>COUNTIFS('13_Relaciones_NICE'!$B$5:$B$186,B45,'13_Relaciones_NICE'!$C$5:$C$186,C45)-1</x:f>
        <x:v>0</x:v>
      </x:c>
      <x:c r="H45" s="12" t="n">
        <x:f>IF(AND(COUNTIF('03_NICE'!$A$5:$A$57,B45)+COUNTIF('04_TKS'!$A$5:$A$72,B45)=1,COUNTIF('03_NICE'!$A$5:$A$57,C45)+COUNTIF('04_TKS'!$A$5:$A$72,C45)=1),0,1)</x:f>
        <x:v>0</x:v>
      </x:c>
    </x:row>
    <x:row r="46" ht="47" customHeight="1">
      <x:c r="A46" s="4" t="str">
        <x:v>RN-042</x:v>
      </x:c>
      <x:c r="B46" s="4" t="str">
        <x:v>OG-WRL-014</x:v>
      </x:c>
      <x:c r="C46" s="4" t="str">
        <x:v>T1602</x:v>
      </x:c>
      <x:c r="D46" s="4" t="str">
        <x:v>projection</x:v>
      </x:c>
      <x:c r="E46" s="4" t="str">
        <x:v>SP_800_181_2_2_0</x:v>
      </x:c>
      <x:c r="F46" s="4" t="str">
        <x:v>F001 / 2.2.0</x:v>
      </x:c>
      <x:c r="G46" s="12" t="n">
        <x:f>COUNTIFS('13_Relaciones_NICE'!$B$5:$B$186,B46,'13_Relaciones_NICE'!$C$5:$C$186,C46)-1</x:f>
        <x:v>0</x:v>
      </x:c>
      <x:c r="H46" s="12" t="n">
        <x:f>IF(AND(COUNTIF('03_NICE'!$A$5:$A$57,B46)+COUNTIF('04_TKS'!$A$5:$A$72,B46)=1,COUNTIF('03_NICE'!$A$5:$A$57,C46)+COUNTIF('04_TKS'!$A$5:$A$72,C46)=1),0,1)</x:f>
        <x:v>0</x:v>
      </x:c>
    </x:row>
    <x:row r="47" ht="47" customHeight="1">
      <x:c r="A47" s="4" t="str">
        <x:v>RN-043</x:v>
      </x:c>
      <x:c r="B47" s="4" t="str">
        <x:v>OG-WRL-015</x:v>
      </x:c>
      <x:c r="C47" s="4" t="str">
        <x:v>T0220</x:v>
      </x:c>
      <x:c r="D47" s="4" t="str">
        <x:v>projection</x:v>
      </x:c>
      <x:c r="E47" s="4" t="str">
        <x:v>SP_800_181_2_2_0</x:v>
      </x:c>
      <x:c r="F47" s="4" t="str">
        <x:v>F001 / 2.2.0</x:v>
      </x:c>
      <x:c r="G47" s="12" t="n">
        <x:f>COUNTIFS('13_Relaciones_NICE'!$B$5:$B$186,B47,'13_Relaciones_NICE'!$C$5:$C$186,C47)-1</x:f>
        <x:v>0</x:v>
      </x:c>
      <x:c r="H47" s="12" t="n">
        <x:f>IF(AND(COUNTIF('03_NICE'!$A$5:$A$57,B47)+COUNTIF('04_TKS'!$A$5:$A$72,B47)=1,COUNTIF('03_NICE'!$A$5:$A$57,C47)+COUNTIF('04_TKS'!$A$5:$A$72,C47)=1),0,1)</x:f>
        <x:v>0</x:v>
      </x:c>
    </x:row>
    <x:row r="48" ht="47" customHeight="1">
      <x:c r="A48" s="4" t="str">
        <x:v>RN-044</x:v>
      </x:c>
      <x:c r="B48" s="4" t="str">
        <x:v>OG-WRL-015</x:v>
      </x:c>
      <x:c r="C48" s="4" t="str">
        <x:v>T1020</x:v>
      </x:c>
      <x:c r="D48" s="4" t="str">
        <x:v>projection</x:v>
      </x:c>
      <x:c r="E48" s="4" t="str">
        <x:v>SP_800_181_2_2_0</x:v>
      </x:c>
      <x:c r="F48" s="4" t="str">
        <x:v>F001 / 2.2.0</x:v>
      </x:c>
      <x:c r="G48" s="12" t="n">
        <x:f>COUNTIFS('13_Relaciones_NICE'!$B$5:$B$186,B48,'13_Relaciones_NICE'!$C$5:$C$186,C48)-1</x:f>
        <x:v>0</x:v>
      </x:c>
      <x:c r="H48" s="12" t="n">
        <x:f>IF(AND(COUNTIF('03_NICE'!$A$5:$A$57,B48)+COUNTIF('04_TKS'!$A$5:$A$72,B48)=1,COUNTIF('03_NICE'!$A$5:$A$57,C48)+COUNTIF('04_TKS'!$A$5:$A$72,C48)=1),0,1)</x:f>
        <x:v>0</x:v>
      </x:c>
    </x:row>
    <x:row r="49" ht="47" customHeight="1">
      <x:c r="A49" s="4" t="str">
        <x:v>RN-045</x:v>
      </x:c>
      <x:c r="B49" s="4" t="str">
        <x:v>OG-WRL-016</x:v>
      </x:c>
      <x:c r="C49" s="4" t="str">
        <x:v>T1020</x:v>
      </x:c>
      <x:c r="D49" s="4" t="str">
        <x:v>projection</x:v>
      </x:c>
      <x:c r="E49" s="4" t="str">
        <x:v>SP_800_181_2_2_0</x:v>
      </x:c>
      <x:c r="F49" s="4" t="str">
        <x:v>F001 / 2.2.0</x:v>
      </x:c>
      <x:c r="G49" s="12" t="n">
        <x:f>COUNTIFS('13_Relaciones_NICE'!$B$5:$B$186,B49,'13_Relaciones_NICE'!$C$5:$C$186,C49)-1</x:f>
        <x:v>0</x:v>
      </x:c>
      <x:c r="H49" s="12" t="n">
        <x:f>IF(AND(COUNTIF('03_NICE'!$A$5:$A$57,B49)+COUNTIF('04_TKS'!$A$5:$A$72,B49)=1,COUNTIF('03_NICE'!$A$5:$A$57,C49)+COUNTIF('04_TKS'!$A$5:$A$72,C49)=1),0,1)</x:f>
        <x:v>0</x:v>
      </x:c>
    </x:row>
    <x:row r="50" ht="47" customHeight="1">
      <x:c r="A50" s="4" t="str">
        <x:v>RN-046</x:v>
      </x:c>
      <x:c r="B50" s="4" t="str">
        <x:v>OG-WRL-016</x:v>
      </x:c>
      <x:c r="C50" s="4" t="str">
        <x:v>T1344</x:v>
      </x:c>
      <x:c r="D50" s="4" t="str">
        <x:v>projection</x:v>
      </x:c>
      <x:c r="E50" s="4" t="str">
        <x:v>SP_800_181_2_2_0</x:v>
      </x:c>
      <x:c r="F50" s="4" t="str">
        <x:v>F001 / 2.2.0</x:v>
      </x:c>
      <x:c r="G50" s="12" t="n">
        <x:f>COUNTIFS('13_Relaciones_NICE'!$B$5:$B$186,B50,'13_Relaciones_NICE'!$C$5:$C$186,C50)-1</x:f>
        <x:v>0</x:v>
      </x:c>
      <x:c r="H50" s="12" t="n">
        <x:f>IF(AND(COUNTIF('03_NICE'!$A$5:$A$57,B50)+COUNTIF('04_TKS'!$A$5:$A$72,B50)=1,COUNTIF('03_NICE'!$A$5:$A$57,C50)+COUNTIF('04_TKS'!$A$5:$A$72,C50)=1),0,1)</x:f>
        <x:v>0</x:v>
      </x:c>
    </x:row>
    <x:row r="51" ht="47" customHeight="1">
      <x:c r="A51" s="4" t="str">
        <x:v>RN-047</x:v>
      </x:c>
      <x:c r="B51" s="4" t="str">
        <x:v>OG-WRL-017</x:v>
      </x:c>
      <x:c r="C51" s="4" t="str">
        <x:v>S0480</x:v>
      </x:c>
      <x:c r="D51" s="4" t="str">
        <x:v>projection</x:v>
      </x:c>
      <x:c r="E51" s="4" t="str">
        <x:v>SP_800_181_2_2_0</x:v>
      </x:c>
      <x:c r="F51" s="4" t="str">
        <x:v>F001 / 2.2.0</x:v>
      </x:c>
      <x:c r="G51" s="12" t="n">
        <x:f>COUNTIFS('13_Relaciones_NICE'!$B$5:$B$186,B51,'13_Relaciones_NICE'!$C$5:$C$186,C51)-1</x:f>
        <x:v>0</x:v>
      </x:c>
      <x:c r="H51" s="12" t="n">
        <x:f>IF(AND(COUNTIF('03_NICE'!$A$5:$A$57,B51)+COUNTIF('04_TKS'!$A$5:$A$72,B51)=1,COUNTIF('03_NICE'!$A$5:$A$57,C51)+COUNTIF('04_TKS'!$A$5:$A$72,C51)=1),0,1)</x:f>
        <x:v>0</x:v>
      </x:c>
    </x:row>
    <x:row r="52" ht="47" customHeight="1">
      <x:c r="A52" s="4" t="str">
        <x:v>RN-048</x:v>
      </x:c>
      <x:c r="B52" s="4" t="str">
        <x:v>OG-WRL-017</x:v>
      </x:c>
      <x:c r="C52" s="4" t="str">
        <x:v>S0900</x:v>
      </x:c>
      <x:c r="D52" s="4" t="str">
        <x:v>projection</x:v>
      </x:c>
      <x:c r="E52" s="4" t="str">
        <x:v>SP_800_181_2_2_0</x:v>
      </x:c>
      <x:c r="F52" s="4" t="str">
        <x:v>F001 / 2.2.0</x:v>
      </x:c>
      <x:c r="G52" s="12" t="n">
        <x:f>COUNTIFS('13_Relaciones_NICE'!$B$5:$B$186,B52,'13_Relaciones_NICE'!$C$5:$C$186,C52)-1</x:f>
        <x:v>0</x:v>
      </x:c>
      <x:c r="H52" s="12" t="n">
        <x:f>IF(AND(COUNTIF('03_NICE'!$A$5:$A$57,B52)+COUNTIF('04_TKS'!$A$5:$A$72,B52)=1,COUNTIF('03_NICE'!$A$5:$A$57,C52)+COUNTIF('04_TKS'!$A$5:$A$72,C52)=1),0,1)</x:f>
        <x:v>0</x:v>
      </x:c>
    </x:row>
    <x:row r="53" ht="47" customHeight="1">
      <x:c r="A53" s="4" t="str">
        <x:v>RN-049</x:v>
      </x:c>
      <x:c r="B53" s="4" t="str">
        <x:v>OG-WRL-017</x:v>
      </x:c>
      <x:c r="C53" s="4" t="str">
        <x:v>T1344</x:v>
      </x:c>
      <x:c r="D53" s="4" t="str">
        <x:v>projection</x:v>
      </x:c>
      <x:c r="E53" s="4" t="str">
        <x:v>SP_800_181_2_2_0</x:v>
      </x:c>
      <x:c r="F53" s="4" t="str">
        <x:v>F001 / 2.2.0</x:v>
      </x:c>
      <x:c r="G53" s="12" t="n">
        <x:f>COUNTIFS('13_Relaciones_NICE'!$B$5:$B$186,B53,'13_Relaciones_NICE'!$C$5:$C$186,C53)-1</x:f>
        <x:v>0</x:v>
      </x:c>
      <x:c r="H53" s="12" t="n">
        <x:f>IF(AND(COUNTIF('03_NICE'!$A$5:$A$57,B53)+COUNTIF('04_TKS'!$A$5:$A$72,B53)=1,COUNTIF('03_NICE'!$A$5:$A$57,C53)+COUNTIF('04_TKS'!$A$5:$A$72,C53)=1),0,1)</x:f>
        <x:v>0</x:v>
      </x:c>
    </x:row>
    <x:row r="54" ht="47" customHeight="1">
      <x:c r="A54" s="4" t="str">
        <x:v>RN-050</x:v>
      </x:c>
      <x:c r="B54" s="4" t="str">
        <x:v>OG-WRL-017</x:v>
      </x:c>
      <x:c r="C54" s="4" t="str">
        <x:v>T1366</x:v>
      </x:c>
      <x:c r="D54" s="4" t="str">
        <x:v>projection</x:v>
      </x:c>
      <x:c r="E54" s="4" t="str">
        <x:v>SP_800_181_2_2_0</x:v>
      </x:c>
      <x:c r="F54" s="4" t="str">
        <x:v>F001 / 2.2.0</x:v>
      </x:c>
      <x:c r="G54" s="12" t="n">
        <x:f>COUNTIFS('13_Relaciones_NICE'!$B$5:$B$186,B54,'13_Relaciones_NICE'!$C$5:$C$186,C54)-1</x:f>
        <x:v>0</x:v>
      </x:c>
      <x:c r="H54" s="12" t="n">
        <x:f>IF(AND(COUNTIF('03_NICE'!$A$5:$A$57,B54)+COUNTIF('04_TKS'!$A$5:$A$72,B54)=1,COUNTIF('03_NICE'!$A$5:$A$57,C54)+COUNTIF('04_TKS'!$A$5:$A$72,C54)=1),0,1)</x:f>
        <x:v>0</x:v>
      </x:c>
    </x:row>
    <x:row r="55" ht="47" customHeight="1">
      <x:c r="A55" s="4" t="str">
        <x:v>RN-051</x:v>
      </x:c>
      <x:c r="B55" s="4" t="str">
        <x:v>OG-WRL-017</x:v>
      </x:c>
      <x:c r="C55" s="4" t="str">
        <x:v>T1586</x:v>
      </x:c>
      <x:c r="D55" s="4" t="str">
        <x:v>projection</x:v>
      </x:c>
      <x:c r="E55" s="4" t="str">
        <x:v>SP_800_181_2_2_0</x:v>
      </x:c>
      <x:c r="F55" s="4" t="str">
        <x:v>F001 / 2.2.0</x:v>
      </x:c>
      <x:c r="G55" s="12" t="n">
        <x:f>COUNTIFS('13_Relaciones_NICE'!$B$5:$B$186,B55,'13_Relaciones_NICE'!$C$5:$C$186,C55)-1</x:f>
        <x:v>0</x:v>
      </x:c>
      <x:c r="H55" s="12" t="n">
        <x:f>IF(AND(COUNTIF('03_NICE'!$A$5:$A$57,B55)+COUNTIF('04_TKS'!$A$5:$A$72,B55)=1,COUNTIF('03_NICE'!$A$5:$A$57,C55)+COUNTIF('04_TKS'!$A$5:$A$72,C55)=1),0,1)</x:f>
        <x:v>0</x:v>
      </x:c>
    </x:row>
    <x:row r="56" ht="47" customHeight="1">
      <x:c r="A56" s="4" t="str">
        <x:v>RN-052</x:v>
      </x:c>
      <x:c r="B56" s="4" t="str">
        <x:v>OG-WRL-017</x:v>
      </x:c>
      <x:c r="C56" s="4" t="str">
        <x:v>T1602</x:v>
      </x:c>
      <x:c r="D56" s="4" t="str">
        <x:v>projection</x:v>
      </x:c>
      <x:c r="E56" s="4" t="str">
        <x:v>SP_800_181_2_2_0</x:v>
      </x:c>
      <x:c r="F56" s="4" t="str">
        <x:v>F001 / 2.2.0</x:v>
      </x:c>
      <x:c r="G56" s="12" t="n">
        <x:f>COUNTIFS('13_Relaciones_NICE'!$B$5:$B$186,B56,'13_Relaciones_NICE'!$C$5:$C$186,C56)-1</x:f>
        <x:v>0</x:v>
      </x:c>
      <x:c r="H56" s="12" t="n">
        <x:f>IF(AND(COUNTIF('03_NICE'!$A$5:$A$57,B56)+COUNTIF('04_TKS'!$A$5:$A$72,B56)=1,COUNTIF('03_NICE'!$A$5:$A$57,C56)+COUNTIF('04_TKS'!$A$5:$A$72,C56)=1),0,1)</x:f>
        <x:v>0</x:v>
      </x:c>
    </x:row>
    <x:row r="57" ht="47" customHeight="1">
      <x:c r="A57" s="4" t="str">
        <x:v>RN-053</x:v>
      </x:c>
      <x:c r="B57" s="4" t="str">
        <x:v>OG-WRL-017</x:v>
      </x:c>
      <x:c r="C57" s="4" t="str">
        <x:v>T2056</x:v>
      </x:c>
      <x:c r="D57" s="4" t="str">
        <x:v>projection</x:v>
      </x:c>
      <x:c r="E57" s="4" t="str">
        <x:v>SP_800_181_2_2_0</x:v>
      </x:c>
      <x:c r="F57" s="4" t="str">
        <x:v>F001 / 2.2.0</x:v>
      </x:c>
      <x:c r="G57" s="12" t="n">
        <x:f>COUNTIFS('13_Relaciones_NICE'!$B$5:$B$186,B57,'13_Relaciones_NICE'!$C$5:$C$186,C57)-1</x:f>
        <x:v>0</x:v>
      </x:c>
      <x:c r="H57" s="12" t="n">
        <x:f>IF(AND(COUNTIF('03_NICE'!$A$5:$A$57,B57)+COUNTIF('04_TKS'!$A$5:$A$72,B57)=1,COUNTIF('03_NICE'!$A$5:$A$57,C57)+COUNTIF('04_TKS'!$A$5:$A$72,C57)=1),0,1)</x:f>
        <x:v>0</x:v>
      </x:c>
    </x:row>
    <x:row r="58" ht="47" customHeight="1">
      <x:c r="A58" s="4" t="str">
        <x:v>RN-054</x:v>
      </x:c>
      <x:c r="B58" s="4" t="str">
        <x:v>OG-WRL-017</x:v>
      </x:c>
      <x:c r="C58" s="4" t="str">
        <x:v>T2058</x:v>
      </x:c>
      <x:c r="D58" s="4" t="str">
        <x:v>projection</x:v>
      </x:c>
      <x:c r="E58" s="4" t="str">
        <x:v>SP_800_181_2_2_0</x:v>
      </x:c>
      <x:c r="F58" s="4" t="str">
        <x:v>F001 / 2.2.0</x:v>
      </x:c>
      <x:c r="G58" s="12" t="n">
        <x:f>COUNTIFS('13_Relaciones_NICE'!$B$5:$B$186,B58,'13_Relaciones_NICE'!$C$5:$C$186,C58)-1</x:f>
        <x:v>0</x:v>
      </x:c>
      <x:c r="H58" s="12" t="n">
        <x:f>IF(AND(COUNTIF('03_NICE'!$A$5:$A$57,B58)+COUNTIF('04_TKS'!$A$5:$A$72,B58)=1,COUNTIF('03_NICE'!$A$5:$A$57,C58)+COUNTIF('04_TKS'!$A$5:$A$72,C58)=1),0,1)</x:f>
        <x:v>0</x:v>
      </x:c>
    </x:row>
    <x:row r="59" ht="47" customHeight="1">
      <x:c r="A59" s="4" t="str">
        <x:v>RN-055</x:v>
      </x:c>
      <x:c r="B59" s="4" t="str">
        <x:v>OG-WRL-017</x:v>
      </x:c>
      <x:c r="C59" s="4" t="str">
        <x:v>T2067</x:v>
      </x:c>
      <x:c r="D59" s="4" t="str">
        <x:v>projection</x:v>
      </x:c>
      <x:c r="E59" s="4" t="str">
        <x:v>SP_800_181_2_2_0</x:v>
      </x:c>
      <x:c r="F59" s="4" t="str">
        <x:v>F001 / 2.2.0</x:v>
      </x:c>
      <x:c r="G59" s="12" t="n">
        <x:f>COUNTIFS('13_Relaciones_NICE'!$B$5:$B$186,B59,'13_Relaciones_NICE'!$C$5:$C$186,C59)-1</x:f>
        <x:v>0</x:v>
      </x:c>
      <x:c r="H59" s="12" t="n">
        <x:f>IF(AND(COUNTIF('03_NICE'!$A$5:$A$57,B59)+COUNTIF('04_TKS'!$A$5:$A$72,B59)=1,COUNTIF('03_NICE'!$A$5:$A$57,C59)+COUNTIF('04_TKS'!$A$5:$A$72,C59)=1),0,1)</x:f>
        <x:v>0</x:v>
      </x:c>
    </x:row>
    <x:row r="60" ht="47" customHeight="1">
      <x:c r="A60" s="4" t="str">
        <x:v>RN-056</x:v>
      </x:c>
      <x:c r="B60" s="4" t="str">
        <x:v>DD-WRL-001</x:v>
      </x:c>
      <x:c r="C60" s="4" t="str">
        <x:v>K0742</x:v>
      </x:c>
      <x:c r="D60" s="4" t="str">
        <x:v>projection</x:v>
      </x:c>
      <x:c r="E60" s="4" t="str">
        <x:v>SP_800_181_2_2_0</x:v>
      </x:c>
      <x:c r="F60" s="4" t="str">
        <x:v>F001 / 2.2.0</x:v>
      </x:c>
      <x:c r="G60" s="12" t="n">
        <x:f>COUNTIFS('13_Relaciones_NICE'!$B$5:$B$186,B60,'13_Relaciones_NICE'!$C$5:$C$186,C60)-1</x:f>
        <x:v>0</x:v>
      </x:c>
      <x:c r="H60" s="12" t="n">
        <x:f>IF(AND(COUNTIF('03_NICE'!$A$5:$A$57,B60)+COUNTIF('04_TKS'!$A$5:$A$72,B60)=1,COUNTIF('03_NICE'!$A$5:$A$57,C60)+COUNTIF('04_TKS'!$A$5:$A$72,C60)=1),0,1)</x:f>
        <x:v>0</x:v>
      </x:c>
    </x:row>
    <x:row r="61" ht="47" customHeight="1">
      <x:c r="A61" s="4" t="str">
        <x:v>RN-057</x:v>
      </x:c>
      <x:c r="B61" s="4" t="str">
        <x:v>DD-WRL-001</x:v>
      </x:c>
      <x:c r="C61" s="4" t="str">
        <x:v>T0084</x:v>
      </x:c>
      <x:c r="D61" s="4" t="str">
        <x:v>projection</x:v>
      </x:c>
      <x:c r="E61" s="4" t="str">
        <x:v>SP_800_181_2_2_0</x:v>
      </x:c>
      <x:c r="F61" s="4" t="str">
        <x:v>F001 / 2.2.0</x:v>
      </x:c>
      <x:c r="G61" s="12" t="n">
        <x:f>COUNTIFS('13_Relaciones_NICE'!$B$5:$B$186,B61,'13_Relaciones_NICE'!$C$5:$C$186,C61)-1</x:f>
        <x:v>0</x:v>
      </x:c>
      <x:c r="H61" s="12" t="n">
        <x:f>IF(AND(COUNTIF('03_NICE'!$A$5:$A$57,B61)+COUNTIF('04_TKS'!$A$5:$A$72,B61)=1,COUNTIF('03_NICE'!$A$5:$A$57,C61)+COUNTIF('04_TKS'!$A$5:$A$72,C61)=1),0,1)</x:f>
        <x:v>0</x:v>
      </x:c>
    </x:row>
    <x:row r="62" ht="47" customHeight="1">
      <x:c r="A62" s="4" t="str">
        <x:v>RN-058</x:v>
      </x:c>
      <x:c r="B62" s="4" t="str">
        <x:v>DD-WRL-001</x:v>
      </x:c>
      <x:c r="C62" s="4" t="str">
        <x:v>T1020</x:v>
      </x:c>
      <x:c r="D62" s="4" t="str">
        <x:v>projection</x:v>
      </x:c>
      <x:c r="E62" s="4" t="str">
        <x:v>SP_800_181_2_2_0</x:v>
      </x:c>
      <x:c r="F62" s="4" t="str">
        <x:v>F001 / 2.2.0</x:v>
      </x:c>
      <x:c r="G62" s="12" t="n">
        <x:f>COUNTIFS('13_Relaciones_NICE'!$B$5:$B$186,B62,'13_Relaciones_NICE'!$C$5:$C$186,C62)-1</x:f>
        <x:v>0</x:v>
      </x:c>
      <x:c r="H62" s="12" t="n">
        <x:f>IF(AND(COUNTIF('03_NICE'!$A$5:$A$57,B62)+COUNTIF('04_TKS'!$A$5:$A$72,B62)=1,COUNTIF('03_NICE'!$A$5:$A$57,C62)+COUNTIF('04_TKS'!$A$5:$A$72,C62)=1),0,1)</x:f>
        <x:v>0</x:v>
      </x:c>
    </x:row>
    <x:row r="63" ht="47" customHeight="1">
      <x:c r="A63" s="4" t="str">
        <x:v>RN-059</x:v>
      </x:c>
      <x:c r="B63" s="4" t="str">
        <x:v>DD-WRL-001</x:v>
      </x:c>
      <x:c r="C63" s="4" t="str">
        <x:v>T1126</x:v>
      </x:c>
      <x:c r="D63" s="4" t="str">
        <x:v>projection</x:v>
      </x:c>
      <x:c r="E63" s="4" t="str">
        <x:v>SP_800_181_2_2_0</x:v>
      </x:c>
      <x:c r="F63" s="4" t="str">
        <x:v>F001 / 2.2.0</x:v>
      </x:c>
      <x:c r="G63" s="12" t="n">
        <x:f>COUNTIFS('13_Relaciones_NICE'!$B$5:$B$186,B63,'13_Relaciones_NICE'!$C$5:$C$186,C63)-1</x:f>
        <x:v>0</x:v>
      </x:c>
      <x:c r="H63" s="12" t="n">
        <x:f>IF(AND(COUNTIF('03_NICE'!$A$5:$A$57,B63)+COUNTIF('04_TKS'!$A$5:$A$72,B63)=1,COUNTIF('03_NICE'!$A$5:$A$57,C63)+COUNTIF('04_TKS'!$A$5:$A$72,C63)=1),0,1)</x:f>
        <x:v>0</x:v>
      </x:c>
    </x:row>
    <x:row r="64" ht="47" customHeight="1">
      <x:c r="A64" s="4" t="str">
        <x:v>RN-060</x:v>
      </x:c>
      <x:c r="B64" s="4" t="str">
        <x:v>DD-WRL-002</x:v>
      </x:c>
      <x:c r="C64" s="4" t="str">
        <x:v>K0711</x:v>
      </x:c>
      <x:c r="D64" s="4" t="str">
        <x:v>projection</x:v>
      </x:c>
      <x:c r="E64" s="4" t="str">
        <x:v>SP_800_181_2_2_0</x:v>
      </x:c>
      <x:c r="F64" s="4" t="str">
        <x:v>F001 / 2.2.0</x:v>
      </x:c>
      <x:c r="G64" s="12" t="n">
        <x:f>COUNTIFS('13_Relaciones_NICE'!$B$5:$B$186,B64,'13_Relaciones_NICE'!$C$5:$C$186,C64)-1</x:f>
        <x:v>0</x:v>
      </x:c>
      <x:c r="H64" s="12" t="n">
        <x:f>IF(AND(COUNTIF('03_NICE'!$A$5:$A$57,B64)+COUNTIF('04_TKS'!$A$5:$A$72,B64)=1,COUNTIF('03_NICE'!$A$5:$A$57,C64)+COUNTIF('04_TKS'!$A$5:$A$72,C64)=1),0,1)</x:f>
        <x:v>0</x:v>
      </x:c>
    </x:row>
    <x:row r="65" ht="47" customHeight="1">
      <x:c r="A65" s="4" t="str">
        <x:v>RN-061</x:v>
      </x:c>
      <x:c r="B65" s="4" t="str">
        <x:v>DD-WRL-002</x:v>
      </x:c>
      <x:c r="C65" s="4" t="str">
        <x:v>K0742</x:v>
      </x:c>
      <x:c r="D65" s="4" t="str">
        <x:v>projection</x:v>
      </x:c>
      <x:c r="E65" s="4" t="str">
        <x:v>SP_800_181_2_2_0</x:v>
      </x:c>
      <x:c r="F65" s="4" t="str">
        <x:v>F001 / 2.2.0</x:v>
      </x:c>
      <x:c r="G65" s="12" t="n">
        <x:f>COUNTIFS('13_Relaciones_NICE'!$B$5:$B$186,B65,'13_Relaciones_NICE'!$C$5:$C$186,C65)-1</x:f>
        <x:v>0</x:v>
      </x:c>
      <x:c r="H65" s="12" t="n">
        <x:f>IF(AND(COUNTIF('03_NICE'!$A$5:$A$57,B65)+COUNTIF('04_TKS'!$A$5:$A$72,B65)=1,COUNTIF('03_NICE'!$A$5:$A$57,C65)+COUNTIF('04_TKS'!$A$5:$A$72,C65)=1),0,1)</x:f>
        <x:v>0</x:v>
      </x:c>
    </x:row>
    <x:row r="66" ht="47" customHeight="1">
      <x:c r="A66" s="4" t="str">
        <x:v>RN-062</x:v>
      </x:c>
      <x:c r="B66" s="4" t="str">
        <x:v>DD-WRL-002</x:v>
      </x:c>
      <x:c r="C66" s="4" t="str">
        <x:v>T0084</x:v>
      </x:c>
      <x:c r="D66" s="4" t="str">
        <x:v>projection</x:v>
      </x:c>
      <x:c r="E66" s="4" t="str">
        <x:v>SP_800_181_2_2_0</x:v>
      </x:c>
      <x:c r="F66" s="4" t="str">
        <x:v>F001 / 2.2.0</x:v>
      </x:c>
      <x:c r="G66" s="12" t="n">
        <x:f>COUNTIFS('13_Relaciones_NICE'!$B$5:$B$186,B66,'13_Relaciones_NICE'!$C$5:$C$186,C66)-1</x:f>
        <x:v>0</x:v>
      </x:c>
      <x:c r="H66" s="12" t="n">
        <x:f>IF(AND(COUNTIF('03_NICE'!$A$5:$A$57,B66)+COUNTIF('04_TKS'!$A$5:$A$72,B66)=1,COUNTIF('03_NICE'!$A$5:$A$57,C66)+COUNTIF('04_TKS'!$A$5:$A$72,C66)=1),0,1)</x:f>
        <x:v>0</x:v>
      </x:c>
    </x:row>
    <x:row r="67" ht="47" customHeight="1">
      <x:c r="A67" s="4" t="str">
        <x:v>RN-063</x:v>
      </x:c>
      <x:c r="B67" s="4" t="str">
        <x:v>DD-WRL-002</x:v>
      </x:c>
      <x:c r="C67" s="4" t="str">
        <x:v>T1020</x:v>
      </x:c>
      <x:c r="D67" s="4" t="str">
        <x:v>projection</x:v>
      </x:c>
      <x:c r="E67" s="4" t="str">
        <x:v>SP_800_181_2_2_0</x:v>
      </x:c>
      <x:c r="F67" s="4" t="str">
        <x:v>F001 / 2.2.0</x:v>
      </x:c>
      <x:c r="G67" s="12" t="n">
        <x:f>COUNTIFS('13_Relaciones_NICE'!$B$5:$B$186,B67,'13_Relaciones_NICE'!$C$5:$C$186,C67)-1</x:f>
        <x:v>0</x:v>
      </x:c>
      <x:c r="H67" s="12" t="n">
        <x:f>IF(AND(COUNTIF('03_NICE'!$A$5:$A$57,B67)+COUNTIF('04_TKS'!$A$5:$A$72,B67)=1,COUNTIF('03_NICE'!$A$5:$A$57,C67)+COUNTIF('04_TKS'!$A$5:$A$72,C67)=1),0,1)</x:f>
        <x:v>0</x:v>
      </x:c>
    </x:row>
    <x:row r="68" ht="47" customHeight="1">
      <x:c r="A68" s="4" t="str">
        <x:v>RN-064</x:v>
      </x:c>
      <x:c r="B68" s="4" t="str">
        <x:v>DD-WRL-002</x:v>
      </x:c>
      <x:c r="C68" s="4" t="str">
        <x:v>T1126</x:v>
      </x:c>
      <x:c r="D68" s="4" t="str">
        <x:v>projection</x:v>
      </x:c>
      <x:c r="E68" s="4" t="str">
        <x:v>SP_800_181_2_2_0</x:v>
      </x:c>
      <x:c r="F68" s="4" t="str">
        <x:v>F001 / 2.2.0</x:v>
      </x:c>
      <x:c r="G68" s="12" t="n">
        <x:f>COUNTIFS('13_Relaciones_NICE'!$B$5:$B$186,B68,'13_Relaciones_NICE'!$C$5:$C$186,C68)-1</x:f>
        <x:v>0</x:v>
      </x:c>
      <x:c r="H68" s="12" t="n">
        <x:f>IF(AND(COUNTIF('03_NICE'!$A$5:$A$57,B68)+COUNTIF('04_TKS'!$A$5:$A$72,B68)=1,COUNTIF('03_NICE'!$A$5:$A$57,C68)+COUNTIF('04_TKS'!$A$5:$A$72,C68)=1),0,1)</x:f>
        <x:v>0</x:v>
      </x:c>
    </x:row>
    <x:row r="69" ht="47" customHeight="1">
      <x:c r="A69" s="4" t="str">
        <x:v>RN-065</x:v>
      </x:c>
      <x:c r="B69" s="4" t="str">
        <x:v>DD-WRL-003</x:v>
      </x:c>
      <x:c r="C69" s="4" t="str">
        <x:v>K0711</x:v>
      </x:c>
      <x:c r="D69" s="4" t="str">
        <x:v>projection</x:v>
      </x:c>
      <x:c r="E69" s="4" t="str">
        <x:v>SP_800_181_2_2_0</x:v>
      </x:c>
      <x:c r="F69" s="4" t="str">
        <x:v>F001 / 2.2.0</x:v>
      </x:c>
      <x:c r="G69" s="12" t="n">
        <x:f>COUNTIFS('13_Relaciones_NICE'!$B$5:$B$186,B69,'13_Relaciones_NICE'!$C$5:$C$186,C69)-1</x:f>
        <x:v>0</x:v>
      </x:c>
      <x:c r="H69" s="12" t="n">
        <x:f>IF(AND(COUNTIF('03_NICE'!$A$5:$A$57,B69)+COUNTIF('04_TKS'!$A$5:$A$72,B69)=1,COUNTIF('03_NICE'!$A$5:$A$57,C69)+COUNTIF('04_TKS'!$A$5:$A$72,C69)=1),0,1)</x:f>
        <x:v>0</x:v>
      </x:c>
    </x:row>
    <x:row r="70" ht="47" customHeight="1">
      <x:c r="A70" s="4" t="str">
        <x:v>RN-066</x:v>
      </x:c>
      <x:c r="B70" s="4" t="str">
        <x:v>DD-WRL-003</x:v>
      </x:c>
      <x:c r="C70" s="4" t="str">
        <x:v>T0077</x:v>
      </x:c>
      <x:c r="D70" s="4" t="str">
        <x:v>projection</x:v>
      </x:c>
      <x:c r="E70" s="4" t="str">
        <x:v>SP_800_181_2_2_0</x:v>
      </x:c>
      <x:c r="F70" s="4" t="str">
        <x:v>F001 / 2.2.0</x:v>
      </x:c>
      <x:c r="G70" s="12" t="n">
        <x:f>COUNTIFS('13_Relaciones_NICE'!$B$5:$B$186,B70,'13_Relaciones_NICE'!$C$5:$C$186,C70)-1</x:f>
        <x:v>0</x:v>
      </x:c>
      <x:c r="H70" s="12" t="n">
        <x:f>IF(AND(COUNTIF('03_NICE'!$A$5:$A$57,B70)+COUNTIF('04_TKS'!$A$5:$A$72,B70)=1,COUNTIF('03_NICE'!$A$5:$A$57,C70)+COUNTIF('04_TKS'!$A$5:$A$72,C70)=1),0,1)</x:f>
        <x:v>0</x:v>
      </x:c>
    </x:row>
    <x:row r="71" ht="47" customHeight="1">
      <x:c r="A71" s="4" t="str">
        <x:v>RN-067</x:v>
      </x:c>
      <x:c r="B71" s="4" t="str">
        <x:v>DD-WRL-003</x:v>
      </x:c>
      <x:c r="C71" s="4" t="str">
        <x:v>T1020</x:v>
      </x:c>
      <x:c r="D71" s="4" t="str">
        <x:v>projection</x:v>
      </x:c>
      <x:c r="E71" s="4" t="str">
        <x:v>SP_800_181_2_2_0</x:v>
      </x:c>
      <x:c r="F71" s="4" t="str">
        <x:v>F001 / 2.2.0</x:v>
      </x:c>
      <x:c r="G71" s="12" t="n">
        <x:f>COUNTIFS('13_Relaciones_NICE'!$B$5:$B$186,B71,'13_Relaciones_NICE'!$C$5:$C$186,C71)-1</x:f>
        <x:v>0</x:v>
      </x:c>
      <x:c r="H71" s="12" t="n">
        <x:f>IF(AND(COUNTIF('03_NICE'!$A$5:$A$57,B71)+COUNTIF('04_TKS'!$A$5:$A$72,B71)=1,COUNTIF('03_NICE'!$A$5:$A$57,C71)+COUNTIF('04_TKS'!$A$5:$A$72,C71)=1),0,1)</x:f>
        <x:v>0</x:v>
      </x:c>
    </x:row>
    <x:row r="72" ht="47" customHeight="1">
      <x:c r="A72" s="4" t="str">
        <x:v>RN-068</x:v>
      </x:c>
      <x:c r="B72" s="4" t="str">
        <x:v>DD-WRL-003</x:v>
      </x:c>
      <x:c r="C72" s="4" t="str">
        <x:v>T1624</x:v>
      </x:c>
      <x:c r="D72" s="4" t="str">
        <x:v>projection</x:v>
      </x:c>
      <x:c r="E72" s="4" t="str">
        <x:v>SP_800_181_2_2_0</x:v>
      </x:c>
      <x:c r="F72" s="4" t="str">
        <x:v>F001 / 2.2.0</x:v>
      </x:c>
      <x:c r="G72" s="12" t="n">
        <x:f>COUNTIFS('13_Relaciones_NICE'!$B$5:$B$186,B72,'13_Relaciones_NICE'!$C$5:$C$186,C72)-1</x:f>
        <x:v>0</x:v>
      </x:c>
      <x:c r="H72" s="12" t="n">
        <x:f>IF(AND(COUNTIF('03_NICE'!$A$5:$A$57,B72)+COUNTIF('04_TKS'!$A$5:$A$72,B72)=1,COUNTIF('03_NICE'!$A$5:$A$57,C72)+COUNTIF('04_TKS'!$A$5:$A$72,C72)=1),0,1)</x:f>
        <x:v>0</x:v>
      </x:c>
    </x:row>
    <x:row r="73" ht="47" customHeight="1">
      <x:c r="A73" s="4" t="str">
        <x:v>RN-069</x:v>
      </x:c>
      <x:c r="B73" s="4" t="str">
        <x:v>DD-WRL-003</x:v>
      </x:c>
      <x:c r="C73" s="4" t="str">
        <x:v>T1625</x:v>
      </x:c>
      <x:c r="D73" s="4" t="str">
        <x:v>projection</x:v>
      </x:c>
      <x:c r="E73" s="4" t="str">
        <x:v>SP_800_181_2_2_0</x:v>
      </x:c>
      <x:c r="F73" s="4" t="str">
        <x:v>F001 / 2.2.0</x:v>
      </x:c>
      <x:c r="G73" s="12" t="n">
        <x:f>COUNTIFS('13_Relaciones_NICE'!$B$5:$B$186,B73,'13_Relaciones_NICE'!$C$5:$C$186,C73)-1</x:f>
        <x:v>0</x:v>
      </x:c>
      <x:c r="H73" s="12" t="n">
        <x:f>IF(AND(COUNTIF('03_NICE'!$A$5:$A$57,B73)+COUNTIF('04_TKS'!$A$5:$A$72,B73)=1,COUNTIF('03_NICE'!$A$5:$A$57,C73)+COUNTIF('04_TKS'!$A$5:$A$72,C73)=1),0,1)</x:f>
        <x:v>0</x:v>
      </x:c>
    </x:row>
    <x:row r="74" ht="47" customHeight="1">
      <x:c r="A74" s="4" t="str">
        <x:v>RN-070</x:v>
      </x:c>
      <x:c r="B74" s="4" t="str">
        <x:v>DD-WRL-004</x:v>
      </x:c>
      <x:c r="C74" s="4" t="str">
        <x:v>K0711</x:v>
      </x:c>
      <x:c r="D74" s="4" t="str">
        <x:v>projection</x:v>
      </x:c>
      <x:c r="E74" s="4" t="str">
        <x:v>SP_800_181_2_2_0</x:v>
      </x:c>
      <x:c r="F74" s="4" t="str">
        <x:v>F001 / 2.2.0</x:v>
      </x:c>
      <x:c r="G74" s="12" t="n">
        <x:f>COUNTIFS('13_Relaciones_NICE'!$B$5:$B$186,B74,'13_Relaciones_NICE'!$C$5:$C$186,C74)-1</x:f>
        <x:v>0</x:v>
      </x:c>
      <x:c r="H74" s="12" t="n">
        <x:f>IF(AND(COUNTIF('03_NICE'!$A$5:$A$57,B74)+COUNTIF('04_TKS'!$A$5:$A$72,B74)=1,COUNTIF('03_NICE'!$A$5:$A$57,C74)+COUNTIF('04_TKS'!$A$5:$A$72,C74)=1),0,1)</x:f>
        <x:v>0</x:v>
      </x:c>
    </x:row>
    <x:row r="75" ht="47" customHeight="1">
      <x:c r="A75" s="4" t="str">
        <x:v>RN-071</x:v>
      </x:c>
      <x:c r="B75" s="4" t="str">
        <x:v>DD-WRL-004</x:v>
      </x:c>
      <x:c r="C75" s="4" t="str">
        <x:v>K0742</x:v>
      </x:c>
      <x:c r="D75" s="4" t="str">
        <x:v>projection</x:v>
      </x:c>
      <x:c r="E75" s="4" t="str">
        <x:v>SP_800_181_2_2_0</x:v>
      </x:c>
      <x:c r="F75" s="4" t="str">
        <x:v>F001 / 2.2.0</x:v>
      </x:c>
      <x:c r="G75" s="12" t="n">
        <x:f>COUNTIFS('13_Relaciones_NICE'!$B$5:$B$186,B75,'13_Relaciones_NICE'!$C$5:$C$186,C75)-1</x:f>
        <x:v>0</x:v>
      </x:c>
      <x:c r="H75" s="12" t="n">
        <x:f>IF(AND(COUNTIF('03_NICE'!$A$5:$A$57,B75)+COUNTIF('04_TKS'!$A$5:$A$72,B75)=1,COUNTIF('03_NICE'!$A$5:$A$57,C75)+COUNTIF('04_TKS'!$A$5:$A$72,C75)=1),0,1)</x:f>
        <x:v>0</x:v>
      </x:c>
    </x:row>
    <x:row r="76" ht="47" customHeight="1">
      <x:c r="A76" s="4" t="str">
        <x:v>RN-072</x:v>
      </x:c>
      <x:c r="B76" s="4" t="str">
        <x:v>DD-WRL-004</x:v>
      </x:c>
      <x:c r="C76" s="4" t="str">
        <x:v>T0084</x:v>
      </x:c>
      <x:c r="D76" s="4" t="str">
        <x:v>projection</x:v>
      </x:c>
      <x:c r="E76" s="4" t="str">
        <x:v>SP_800_181_2_2_0</x:v>
      </x:c>
      <x:c r="F76" s="4" t="str">
        <x:v>F001 / 2.2.0</x:v>
      </x:c>
      <x:c r="G76" s="12" t="n">
        <x:f>COUNTIFS('13_Relaciones_NICE'!$B$5:$B$186,B76,'13_Relaciones_NICE'!$C$5:$C$186,C76)-1</x:f>
        <x:v>0</x:v>
      </x:c>
      <x:c r="H76" s="12" t="n">
        <x:f>IF(AND(COUNTIF('03_NICE'!$A$5:$A$57,B76)+COUNTIF('04_TKS'!$A$5:$A$72,B76)=1,COUNTIF('03_NICE'!$A$5:$A$57,C76)+COUNTIF('04_TKS'!$A$5:$A$72,C76)=1),0,1)</x:f>
        <x:v>0</x:v>
      </x:c>
    </x:row>
    <x:row r="77" ht="47" customHeight="1">
      <x:c r="A77" s="4" t="str">
        <x:v>RN-073</x:v>
      </x:c>
      <x:c r="B77" s="4" t="str">
        <x:v>DD-WRL-004</x:v>
      </x:c>
      <x:c r="C77" s="4" t="str">
        <x:v>T1020</x:v>
      </x:c>
      <x:c r="D77" s="4" t="str">
        <x:v>projection</x:v>
      </x:c>
      <x:c r="E77" s="4" t="str">
        <x:v>SP_800_181_2_2_0</x:v>
      </x:c>
      <x:c r="F77" s="4" t="str">
        <x:v>F001 / 2.2.0</x:v>
      </x:c>
      <x:c r="G77" s="12" t="n">
        <x:f>COUNTIFS('13_Relaciones_NICE'!$B$5:$B$186,B77,'13_Relaciones_NICE'!$C$5:$C$186,C77)-1</x:f>
        <x:v>0</x:v>
      </x:c>
      <x:c r="H77" s="12" t="n">
        <x:f>IF(AND(COUNTIF('03_NICE'!$A$5:$A$57,B77)+COUNTIF('04_TKS'!$A$5:$A$72,B77)=1,COUNTIF('03_NICE'!$A$5:$A$57,C77)+COUNTIF('04_TKS'!$A$5:$A$72,C77)=1),0,1)</x:f>
        <x:v>0</x:v>
      </x:c>
    </x:row>
    <x:row r="78" ht="47" customHeight="1">
      <x:c r="A78" s="4" t="str">
        <x:v>RN-074</x:v>
      </x:c>
      <x:c r="B78" s="4" t="str">
        <x:v>DD-WRL-004</x:v>
      </x:c>
      <x:c r="C78" s="4" t="str">
        <x:v>T1118</x:v>
      </x:c>
      <x:c r="D78" s="4" t="str">
        <x:v>projection</x:v>
      </x:c>
      <x:c r="E78" s="4" t="str">
        <x:v>SP_800_181_2_2_0</x:v>
      </x:c>
      <x:c r="F78" s="4" t="str">
        <x:v>F001 / 2.2.0</x:v>
      </x:c>
      <x:c r="G78" s="12" t="n">
        <x:f>COUNTIFS('13_Relaciones_NICE'!$B$5:$B$186,B78,'13_Relaciones_NICE'!$C$5:$C$186,C78)-1</x:f>
        <x:v>0</x:v>
      </x:c>
      <x:c r="H78" s="12" t="n">
        <x:f>IF(AND(COUNTIF('03_NICE'!$A$5:$A$57,B78)+COUNTIF('04_TKS'!$A$5:$A$72,B78)=1,COUNTIF('03_NICE'!$A$5:$A$57,C78)+COUNTIF('04_TKS'!$A$5:$A$72,C78)=1),0,1)</x:f>
        <x:v>0</x:v>
      </x:c>
    </x:row>
    <x:row r="79" ht="47" customHeight="1">
      <x:c r="A79" s="4" t="str">
        <x:v>RN-075</x:v>
      </x:c>
      <x:c r="B79" s="4" t="str">
        <x:v>DD-WRL-004</x:v>
      </x:c>
      <x:c r="C79" s="4" t="str">
        <x:v>T1119</x:v>
      </x:c>
      <x:c r="D79" s="4" t="str">
        <x:v>projection</x:v>
      </x:c>
      <x:c r="E79" s="4" t="str">
        <x:v>SP_800_181_2_2_0</x:v>
      </x:c>
      <x:c r="F79" s="4" t="str">
        <x:v>F001 / 2.2.0</x:v>
      </x:c>
      <x:c r="G79" s="12" t="n">
        <x:f>COUNTIFS('13_Relaciones_NICE'!$B$5:$B$186,B79,'13_Relaciones_NICE'!$C$5:$C$186,C79)-1</x:f>
        <x:v>0</x:v>
      </x:c>
      <x:c r="H79" s="12" t="n">
        <x:f>IF(AND(COUNTIF('03_NICE'!$A$5:$A$57,B79)+COUNTIF('04_TKS'!$A$5:$A$72,B79)=1,COUNTIF('03_NICE'!$A$5:$A$57,C79)+COUNTIF('04_TKS'!$A$5:$A$72,C79)=1),0,1)</x:f>
        <x:v>0</x:v>
      </x:c>
    </x:row>
    <x:row r="80" ht="47" customHeight="1">
      <x:c r="A80" s="4" t="str">
        <x:v>RN-076</x:v>
      </x:c>
      <x:c r="B80" s="4" t="str">
        <x:v>DD-WRL-004</x:v>
      </x:c>
      <x:c r="C80" s="4" t="str">
        <x:v>T1133</x:v>
      </x:c>
      <x:c r="D80" s="4" t="str">
        <x:v>projection</x:v>
      </x:c>
      <x:c r="E80" s="4" t="str">
        <x:v>SP_800_181_2_2_0</x:v>
      </x:c>
      <x:c r="F80" s="4" t="str">
        <x:v>F001 / 2.2.0</x:v>
      </x:c>
      <x:c r="G80" s="12" t="n">
        <x:f>COUNTIFS('13_Relaciones_NICE'!$B$5:$B$186,B80,'13_Relaciones_NICE'!$C$5:$C$186,C80)-1</x:f>
        <x:v>0</x:v>
      </x:c>
      <x:c r="H80" s="12" t="n">
        <x:f>IF(AND(COUNTIF('03_NICE'!$A$5:$A$57,B80)+COUNTIF('04_TKS'!$A$5:$A$72,B80)=1,COUNTIF('03_NICE'!$A$5:$A$57,C80)+COUNTIF('04_TKS'!$A$5:$A$72,C80)=1),0,1)</x:f>
        <x:v>0</x:v>
      </x:c>
    </x:row>
    <x:row r="81" ht="47" customHeight="1">
      <x:c r="A81" s="4" t="str">
        <x:v>RN-077</x:v>
      </x:c>
      <x:c r="B81" s="4" t="str">
        <x:v>DD-WRL-004</x:v>
      </x:c>
      <x:c r="C81" s="4" t="str">
        <x:v>T1150</x:v>
      </x:c>
      <x:c r="D81" s="4" t="str">
        <x:v>projection</x:v>
      </x:c>
      <x:c r="E81" s="4" t="str">
        <x:v>SP_800_181_2_2_0</x:v>
      </x:c>
      <x:c r="F81" s="4" t="str">
        <x:v>F001 / 2.2.0</x:v>
      </x:c>
      <x:c r="G81" s="12" t="n">
        <x:f>COUNTIFS('13_Relaciones_NICE'!$B$5:$B$186,B81,'13_Relaciones_NICE'!$C$5:$C$186,C81)-1</x:f>
        <x:v>0</x:v>
      </x:c>
      <x:c r="H81" s="12" t="n">
        <x:f>IF(AND(COUNTIF('03_NICE'!$A$5:$A$57,B81)+COUNTIF('04_TKS'!$A$5:$A$72,B81)=1,COUNTIF('03_NICE'!$A$5:$A$57,C81)+COUNTIF('04_TKS'!$A$5:$A$72,C81)=1),0,1)</x:f>
        <x:v>0</x:v>
      </x:c>
    </x:row>
    <x:row r="82" ht="47" customHeight="1">
      <x:c r="A82" s="4" t="str">
        <x:v>RN-078</x:v>
      </x:c>
      <x:c r="B82" s="4" t="str">
        <x:v>DD-WRL-004</x:v>
      </x:c>
      <x:c r="C82" s="4" t="str">
        <x:v>T1586</x:v>
      </x:c>
      <x:c r="D82" s="4" t="str">
        <x:v>projection</x:v>
      </x:c>
      <x:c r="E82" s="4" t="str">
        <x:v>SP_800_181_2_2_0</x:v>
      </x:c>
      <x:c r="F82" s="4" t="str">
        <x:v>F001 / 2.2.0</x:v>
      </x:c>
      <x:c r="G82" s="12" t="n">
        <x:f>COUNTIFS('13_Relaciones_NICE'!$B$5:$B$186,B82,'13_Relaciones_NICE'!$C$5:$C$186,C82)-1</x:f>
        <x:v>0</x:v>
      </x:c>
      <x:c r="H82" s="12" t="n">
        <x:f>IF(AND(COUNTIF('03_NICE'!$A$5:$A$57,B82)+COUNTIF('04_TKS'!$A$5:$A$72,B82)=1,COUNTIF('03_NICE'!$A$5:$A$57,C82)+COUNTIF('04_TKS'!$A$5:$A$72,C82)=1),0,1)</x:f>
        <x:v>0</x:v>
      </x:c>
    </x:row>
    <x:row r="83" ht="47" customHeight="1">
      <x:c r="A83" s="4" t="str">
        <x:v>RN-079</x:v>
      </x:c>
      <x:c r="B83" s="4" t="str">
        <x:v>DD-WRL-005</x:v>
      </x:c>
      <x:c r="C83" s="4" t="str">
        <x:v>K0711</x:v>
      </x:c>
      <x:c r="D83" s="4" t="str">
        <x:v>projection</x:v>
      </x:c>
      <x:c r="E83" s="4" t="str">
        <x:v>SP_800_181_2_2_0</x:v>
      </x:c>
      <x:c r="F83" s="4" t="str">
        <x:v>F001 / 2.2.0</x:v>
      </x:c>
      <x:c r="G83" s="12" t="n">
        <x:f>COUNTIFS('13_Relaciones_NICE'!$B$5:$B$186,B83,'13_Relaciones_NICE'!$C$5:$C$186,C83)-1</x:f>
        <x:v>0</x:v>
      </x:c>
      <x:c r="H83" s="12" t="n">
        <x:f>IF(AND(COUNTIF('03_NICE'!$A$5:$A$57,B83)+COUNTIF('04_TKS'!$A$5:$A$72,B83)=1,COUNTIF('03_NICE'!$A$5:$A$57,C83)+COUNTIF('04_TKS'!$A$5:$A$72,C83)=1),0,1)</x:f>
        <x:v>0</x:v>
      </x:c>
    </x:row>
    <x:row r="84" ht="47" customHeight="1">
      <x:c r="A84" s="4" t="str">
        <x:v>RN-080</x:v>
      </x:c>
      <x:c r="B84" s="4" t="str">
        <x:v>DD-WRL-005</x:v>
      </x:c>
      <x:c r="C84" s="4" t="str">
        <x:v>T1020</x:v>
      </x:c>
      <x:c r="D84" s="4" t="str">
        <x:v>projection</x:v>
      </x:c>
      <x:c r="E84" s="4" t="str">
        <x:v>SP_800_181_2_2_0</x:v>
      </x:c>
      <x:c r="F84" s="4" t="str">
        <x:v>F001 / 2.2.0</x:v>
      </x:c>
      <x:c r="G84" s="12" t="n">
        <x:f>COUNTIFS('13_Relaciones_NICE'!$B$5:$B$186,B84,'13_Relaciones_NICE'!$C$5:$C$186,C84)-1</x:f>
        <x:v>0</x:v>
      </x:c>
      <x:c r="H84" s="12" t="n">
        <x:f>IF(AND(COUNTIF('03_NICE'!$A$5:$A$57,B84)+COUNTIF('04_TKS'!$A$5:$A$72,B84)=1,COUNTIF('03_NICE'!$A$5:$A$57,C84)+COUNTIF('04_TKS'!$A$5:$A$72,C84)=1),0,1)</x:f>
        <x:v>0</x:v>
      </x:c>
    </x:row>
    <x:row r="85" ht="47" customHeight="1">
      <x:c r="A85" s="4" t="str">
        <x:v>RN-081</x:v>
      </x:c>
      <x:c r="B85" s="4" t="str">
        <x:v>DD-WRL-005</x:v>
      </x:c>
      <x:c r="C85" s="4" t="str">
        <x:v>T1624</x:v>
      </x:c>
      <x:c r="D85" s="4" t="str">
        <x:v>projection</x:v>
      </x:c>
      <x:c r="E85" s="4" t="str">
        <x:v>SP_800_181_2_2_0</x:v>
      </x:c>
      <x:c r="F85" s="4" t="str">
        <x:v>F001 / 2.2.0</x:v>
      </x:c>
      <x:c r="G85" s="12" t="n">
        <x:f>COUNTIFS('13_Relaciones_NICE'!$B$5:$B$186,B85,'13_Relaciones_NICE'!$C$5:$C$186,C85)-1</x:f>
        <x:v>0</x:v>
      </x:c>
      <x:c r="H85" s="12" t="n">
        <x:f>IF(AND(COUNTIF('03_NICE'!$A$5:$A$57,B85)+COUNTIF('04_TKS'!$A$5:$A$72,B85)=1,COUNTIF('03_NICE'!$A$5:$A$57,C85)+COUNTIF('04_TKS'!$A$5:$A$72,C85)=1),0,1)</x:f>
        <x:v>0</x:v>
      </x:c>
    </x:row>
    <x:row r="86" ht="47" customHeight="1">
      <x:c r="A86" s="4" t="str">
        <x:v>RN-082</x:v>
      </x:c>
      <x:c r="B86" s="4" t="str">
        <x:v>DD-WRL-005</x:v>
      </x:c>
      <x:c r="C86" s="4" t="str">
        <x:v>T1625</x:v>
      </x:c>
      <x:c r="D86" s="4" t="str">
        <x:v>projection</x:v>
      </x:c>
      <x:c r="E86" s="4" t="str">
        <x:v>SP_800_181_2_2_0</x:v>
      </x:c>
      <x:c r="F86" s="4" t="str">
        <x:v>F001 / 2.2.0</x:v>
      </x:c>
      <x:c r="G86" s="12" t="n">
        <x:f>COUNTIFS('13_Relaciones_NICE'!$B$5:$B$186,B86,'13_Relaciones_NICE'!$C$5:$C$186,C86)-1</x:f>
        <x:v>0</x:v>
      </x:c>
      <x:c r="H86" s="12" t="n">
        <x:f>IF(AND(COUNTIF('03_NICE'!$A$5:$A$57,B86)+COUNTIF('04_TKS'!$A$5:$A$72,B86)=1,COUNTIF('03_NICE'!$A$5:$A$57,C86)+COUNTIF('04_TKS'!$A$5:$A$72,C86)=1),0,1)</x:f>
        <x:v>0</x:v>
      </x:c>
    </x:row>
    <x:row r="87" ht="47" customHeight="1">
      <x:c r="A87" s="4" t="str">
        <x:v>RN-083</x:v>
      </x:c>
      <x:c r="B87" s="4" t="str">
        <x:v>DD-WRL-006</x:v>
      </x:c>
      <x:c r="C87" s="4" t="str">
        <x:v>K0742</x:v>
      </x:c>
      <x:c r="D87" s="4" t="str">
        <x:v>projection</x:v>
      </x:c>
      <x:c r="E87" s="4" t="str">
        <x:v>SP_800_181_2_2_0</x:v>
      </x:c>
      <x:c r="F87" s="4" t="str">
        <x:v>F001 / 2.2.0</x:v>
      </x:c>
      <x:c r="G87" s="12" t="n">
        <x:f>COUNTIFS('13_Relaciones_NICE'!$B$5:$B$186,B87,'13_Relaciones_NICE'!$C$5:$C$186,C87)-1</x:f>
        <x:v>0</x:v>
      </x:c>
      <x:c r="H87" s="12" t="n">
        <x:f>IF(AND(COUNTIF('03_NICE'!$A$5:$A$57,B87)+COUNTIF('04_TKS'!$A$5:$A$72,B87)=1,COUNTIF('03_NICE'!$A$5:$A$57,C87)+COUNTIF('04_TKS'!$A$5:$A$72,C87)=1),0,1)</x:f>
        <x:v>0</x:v>
      </x:c>
    </x:row>
    <x:row r="88" ht="47" customHeight="1">
      <x:c r="A88" s="4" t="str">
        <x:v>RN-084</x:v>
      </x:c>
      <x:c r="B88" s="4" t="str">
        <x:v>DD-WRL-006</x:v>
      </x:c>
      <x:c r="C88" s="4" t="str">
        <x:v>T1020</x:v>
      </x:c>
      <x:c r="D88" s="4" t="str">
        <x:v>projection</x:v>
      </x:c>
      <x:c r="E88" s="4" t="str">
        <x:v>SP_800_181_2_2_0</x:v>
      </x:c>
      <x:c r="F88" s="4" t="str">
        <x:v>F001 / 2.2.0</x:v>
      </x:c>
      <x:c r="G88" s="12" t="n">
        <x:f>COUNTIFS('13_Relaciones_NICE'!$B$5:$B$186,B88,'13_Relaciones_NICE'!$C$5:$C$186,C88)-1</x:f>
        <x:v>0</x:v>
      </x:c>
      <x:c r="H88" s="12" t="n">
        <x:f>IF(AND(COUNTIF('03_NICE'!$A$5:$A$57,B88)+COUNTIF('04_TKS'!$A$5:$A$72,B88)=1,COUNTIF('03_NICE'!$A$5:$A$57,C88)+COUNTIF('04_TKS'!$A$5:$A$72,C88)=1),0,1)</x:f>
        <x:v>0</x:v>
      </x:c>
    </x:row>
    <x:row r="89" ht="47" customHeight="1">
      <x:c r="A89" s="4" t="str">
        <x:v>RN-085</x:v>
      </x:c>
      <x:c r="B89" s="4" t="str">
        <x:v>DD-WRL-006</x:v>
      </x:c>
      <x:c r="C89" s="4" t="str">
        <x:v>T1366</x:v>
      </x:c>
      <x:c r="D89" s="4" t="str">
        <x:v>projection</x:v>
      </x:c>
      <x:c r="E89" s="4" t="str">
        <x:v>SP_800_181_2_2_0</x:v>
      </x:c>
      <x:c r="F89" s="4" t="str">
        <x:v>F001 / 2.2.0</x:v>
      </x:c>
      <x:c r="G89" s="12" t="n">
        <x:f>COUNTIFS('13_Relaciones_NICE'!$B$5:$B$186,B89,'13_Relaciones_NICE'!$C$5:$C$186,C89)-1</x:f>
        <x:v>0</x:v>
      </x:c>
      <x:c r="H89" s="12" t="n">
        <x:f>IF(AND(COUNTIF('03_NICE'!$A$5:$A$57,B89)+COUNTIF('04_TKS'!$A$5:$A$72,B89)=1,COUNTIF('03_NICE'!$A$5:$A$57,C89)+COUNTIF('04_TKS'!$A$5:$A$72,C89)=1),0,1)</x:f>
        <x:v>0</x:v>
      </x:c>
    </x:row>
    <x:row r="90" ht="47" customHeight="1">
      <x:c r="A90" s="4" t="str">
        <x:v>RN-086</x:v>
      </x:c>
      <x:c r="B90" s="4" t="str">
        <x:v>DD-WRL-007</x:v>
      </x:c>
      <x:c r="C90" s="4" t="str">
        <x:v>K0711</x:v>
      </x:c>
      <x:c r="D90" s="4" t="str">
        <x:v>projection</x:v>
      </x:c>
      <x:c r="E90" s="4" t="str">
        <x:v>SP_800_181_2_2_0</x:v>
      </x:c>
      <x:c r="F90" s="4" t="str">
        <x:v>F001 / 2.2.0</x:v>
      </x:c>
      <x:c r="G90" s="12" t="n">
        <x:f>COUNTIFS('13_Relaciones_NICE'!$B$5:$B$186,B90,'13_Relaciones_NICE'!$C$5:$C$186,C90)-1</x:f>
        <x:v>0</x:v>
      </x:c>
      <x:c r="H90" s="12" t="n">
        <x:f>IF(AND(COUNTIF('03_NICE'!$A$5:$A$57,B90)+COUNTIF('04_TKS'!$A$5:$A$72,B90)=1,COUNTIF('03_NICE'!$A$5:$A$57,C90)+COUNTIF('04_TKS'!$A$5:$A$72,C90)=1),0,1)</x:f>
        <x:v>0</x:v>
      </x:c>
    </x:row>
    <x:row r="91" ht="47" customHeight="1">
      <x:c r="A91" s="4" t="str">
        <x:v>RN-087</x:v>
      </x:c>
      <x:c r="B91" s="4" t="str">
        <x:v>DD-WRL-007</x:v>
      </x:c>
      <x:c r="C91" s="4" t="str">
        <x:v>T0080</x:v>
      </x:c>
      <x:c r="D91" s="4" t="str">
        <x:v>projection</x:v>
      </x:c>
      <x:c r="E91" s="4" t="str">
        <x:v>SP_800_181_2_2_0</x:v>
      </x:c>
      <x:c r="F91" s="4" t="str">
        <x:v>F001 / 2.2.0</x:v>
      </x:c>
      <x:c r="G91" s="12" t="n">
        <x:f>COUNTIFS('13_Relaciones_NICE'!$B$5:$B$186,B91,'13_Relaciones_NICE'!$C$5:$C$186,C91)-1</x:f>
        <x:v>0</x:v>
      </x:c>
      <x:c r="H91" s="12" t="n">
        <x:f>IF(AND(COUNTIF('03_NICE'!$A$5:$A$57,B91)+COUNTIF('04_TKS'!$A$5:$A$72,B91)=1,COUNTIF('03_NICE'!$A$5:$A$57,C91)+COUNTIF('04_TKS'!$A$5:$A$72,C91)=1),0,1)</x:f>
        <x:v>0</x:v>
      </x:c>
    </x:row>
    <x:row r="92" ht="47" customHeight="1">
      <x:c r="A92" s="4" t="str">
        <x:v>RN-088</x:v>
      </x:c>
      <x:c r="B92" s="4" t="str">
        <x:v>DD-WRL-007</x:v>
      </x:c>
      <x:c r="C92" s="4" t="str">
        <x:v>T0274</x:v>
      </x:c>
      <x:c r="D92" s="4" t="str">
        <x:v>projection</x:v>
      </x:c>
      <x:c r="E92" s="4" t="str">
        <x:v>SP_800_181_2_2_0</x:v>
      </x:c>
      <x:c r="F92" s="4" t="str">
        <x:v>F001 / 2.2.0</x:v>
      </x:c>
      <x:c r="G92" s="12" t="n">
        <x:f>COUNTIFS('13_Relaciones_NICE'!$B$5:$B$186,B92,'13_Relaciones_NICE'!$C$5:$C$186,C92)-1</x:f>
        <x:v>0</x:v>
      </x:c>
      <x:c r="H92" s="12" t="n">
        <x:f>IF(AND(COUNTIF('03_NICE'!$A$5:$A$57,B92)+COUNTIF('04_TKS'!$A$5:$A$72,B92)=1,COUNTIF('03_NICE'!$A$5:$A$57,C92)+COUNTIF('04_TKS'!$A$5:$A$72,C92)=1),0,1)</x:f>
        <x:v>0</x:v>
      </x:c>
    </x:row>
    <x:row r="93" ht="47" customHeight="1">
      <x:c r="A93" s="4" t="str">
        <x:v>RN-089</x:v>
      </x:c>
      <x:c r="B93" s="4" t="str">
        <x:v>DD-WRL-007</x:v>
      </x:c>
      <x:c r="C93" s="4" t="str">
        <x:v>T1020</x:v>
      </x:c>
      <x:c r="D93" s="4" t="str">
        <x:v>projection</x:v>
      </x:c>
      <x:c r="E93" s="4" t="str">
        <x:v>SP_800_181_2_2_0</x:v>
      </x:c>
      <x:c r="F93" s="4" t="str">
        <x:v>F001 / 2.2.0</x:v>
      </x:c>
      <x:c r="G93" s="12" t="n">
        <x:f>COUNTIFS('13_Relaciones_NICE'!$B$5:$B$186,B93,'13_Relaciones_NICE'!$C$5:$C$186,C93)-1</x:f>
        <x:v>0</x:v>
      </x:c>
      <x:c r="H93" s="12" t="n">
        <x:f>IF(AND(COUNTIF('03_NICE'!$A$5:$A$57,B93)+COUNTIF('04_TKS'!$A$5:$A$72,B93)=1,COUNTIF('03_NICE'!$A$5:$A$57,C93)+COUNTIF('04_TKS'!$A$5:$A$72,C93)=1),0,1)</x:f>
        <x:v>0</x:v>
      </x:c>
    </x:row>
    <x:row r="94" ht="47" customHeight="1">
      <x:c r="A94" s="4" t="str">
        <x:v>RN-090</x:v>
      </x:c>
      <x:c r="B94" s="4" t="str">
        <x:v>DD-WRL-008</x:v>
      </x:c>
      <x:c r="C94" s="4" t="str">
        <x:v>T1020</x:v>
      </x:c>
      <x:c r="D94" s="4" t="str">
        <x:v>projection</x:v>
      </x:c>
      <x:c r="E94" s="4" t="str">
        <x:v>SP_800_181_2_2_0</x:v>
      </x:c>
      <x:c r="F94" s="4" t="str">
        <x:v>F001 / 2.2.0</x:v>
      </x:c>
      <x:c r="G94" s="12" t="n">
        <x:f>COUNTIFS('13_Relaciones_NICE'!$B$5:$B$186,B94,'13_Relaciones_NICE'!$C$5:$C$186,C94)-1</x:f>
        <x:v>0</x:v>
      </x:c>
      <x:c r="H94" s="12" t="n">
        <x:f>IF(AND(COUNTIF('03_NICE'!$A$5:$A$57,B94)+COUNTIF('04_TKS'!$A$5:$A$72,B94)=1,COUNTIF('03_NICE'!$A$5:$A$57,C94)+COUNTIF('04_TKS'!$A$5:$A$72,C94)=1),0,1)</x:f>
        <x:v>0</x:v>
      </x:c>
    </x:row>
    <x:row r="95" ht="47" customHeight="1">
      <x:c r="A95" s="4" t="str">
        <x:v>RN-091</x:v>
      </x:c>
      <x:c r="B95" s="4" t="str">
        <x:v>DD-WRL-008</x:v>
      </x:c>
      <x:c r="C95" s="4" t="str">
        <x:v>T1118</x:v>
      </x:c>
      <x:c r="D95" s="4" t="str">
        <x:v>projection</x:v>
      </x:c>
      <x:c r="E95" s="4" t="str">
        <x:v>SP_800_181_2_2_0</x:v>
      </x:c>
      <x:c r="F95" s="4" t="str">
        <x:v>F001 / 2.2.0</x:v>
      </x:c>
      <x:c r="G95" s="12" t="n">
        <x:f>COUNTIFS('13_Relaciones_NICE'!$B$5:$B$186,B95,'13_Relaciones_NICE'!$C$5:$C$186,C95)-1</x:f>
        <x:v>0</x:v>
      </x:c>
      <x:c r="H95" s="12" t="n">
        <x:f>IF(AND(COUNTIF('03_NICE'!$A$5:$A$57,B95)+COUNTIF('04_TKS'!$A$5:$A$72,B95)=1,COUNTIF('03_NICE'!$A$5:$A$57,C95)+COUNTIF('04_TKS'!$A$5:$A$72,C95)=1),0,1)</x:f>
        <x:v>0</x:v>
      </x:c>
    </x:row>
    <x:row r="96" ht="47" customHeight="1">
      <x:c r="A96" s="4" t="str">
        <x:v>RN-092</x:v>
      </x:c>
      <x:c r="B96" s="4" t="str">
        <x:v>DD-WRL-008</x:v>
      </x:c>
      <x:c r="C96" s="4" t="str">
        <x:v>T1119</x:v>
      </x:c>
      <x:c r="D96" s="4" t="str">
        <x:v>projection</x:v>
      </x:c>
      <x:c r="E96" s="4" t="str">
        <x:v>SP_800_181_2_2_0</x:v>
      </x:c>
      <x:c r="F96" s="4" t="str">
        <x:v>F001 / 2.2.0</x:v>
      </x:c>
      <x:c r="G96" s="12" t="n">
        <x:f>COUNTIFS('13_Relaciones_NICE'!$B$5:$B$186,B96,'13_Relaciones_NICE'!$C$5:$C$186,C96)-1</x:f>
        <x:v>0</x:v>
      </x:c>
      <x:c r="H96" s="12" t="n">
        <x:f>IF(AND(COUNTIF('03_NICE'!$A$5:$A$57,B96)+COUNTIF('04_TKS'!$A$5:$A$72,B96)=1,COUNTIF('03_NICE'!$A$5:$A$57,C96)+COUNTIF('04_TKS'!$A$5:$A$72,C96)=1),0,1)</x:f>
        <x:v>0</x:v>
      </x:c>
    </x:row>
    <x:row r="97" ht="47" customHeight="1">
      <x:c r="A97" s="4" t="str">
        <x:v>RN-093</x:v>
      </x:c>
      <x:c r="B97" s="4" t="str">
        <x:v>DD-WRL-009</x:v>
      </x:c>
      <x:c r="C97" s="4" t="str">
        <x:v>T2036</x:v>
      </x:c>
      <x:c r="D97" s="4" t="str">
        <x:v>projection</x:v>
      </x:c>
      <x:c r="E97" s="4" t="str">
        <x:v>SP_800_181_2_2_0</x:v>
      </x:c>
      <x:c r="F97" s="4" t="str">
        <x:v>F001 / 2.2.0</x:v>
      </x:c>
      <x:c r="G97" s="12" t="n">
        <x:f>COUNTIFS('13_Relaciones_NICE'!$B$5:$B$186,B97,'13_Relaciones_NICE'!$C$5:$C$186,C97)-1</x:f>
        <x:v>0</x:v>
      </x:c>
      <x:c r="H97" s="12" t="n">
        <x:f>IF(AND(COUNTIF('03_NICE'!$A$5:$A$57,B97)+COUNTIF('04_TKS'!$A$5:$A$72,B97)=1,COUNTIF('03_NICE'!$A$5:$A$57,C97)+COUNTIF('04_TKS'!$A$5:$A$72,C97)=1),0,1)</x:f>
        <x:v>0</x:v>
      </x:c>
    </x:row>
    <x:row r="98" ht="47" customHeight="1">
      <x:c r="A98" s="4" t="str">
        <x:v>RN-094</x:v>
      </x:c>
      <x:c r="B98" s="4" t="str">
        <x:v>IO-WRL-001</x:v>
      </x:c>
      <x:c r="C98" s="4" t="str">
        <x:v>K0742</x:v>
      </x:c>
      <x:c r="D98" s="4" t="str">
        <x:v>projection</x:v>
      </x:c>
      <x:c r="E98" s="4" t="str">
        <x:v>SP_800_181_2_2_0</x:v>
      </x:c>
      <x:c r="F98" s="4" t="str">
        <x:v>F001 / 2.2.0</x:v>
      </x:c>
      <x:c r="G98" s="12" t="n">
        <x:f>COUNTIFS('13_Relaciones_NICE'!$B$5:$B$186,B98,'13_Relaciones_NICE'!$C$5:$C$186,C98)-1</x:f>
        <x:v>0</x:v>
      </x:c>
      <x:c r="H98" s="12" t="n">
        <x:f>IF(AND(COUNTIF('03_NICE'!$A$5:$A$57,B98)+COUNTIF('04_TKS'!$A$5:$A$72,B98)=1,COUNTIF('03_NICE'!$A$5:$A$57,C98)+COUNTIF('04_TKS'!$A$5:$A$72,C98)=1),0,1)</x:f>
        <x:v>0</x:v>
      </x:c>
    </x:row>
    <x:row r="99" ht="47" customHeight="1">
      <x:c r="A99" s="4" t="str">
        <x:v>RN-095</x:v>
      </x:c>
      <x:c r="B99" s="4" t="str">
        <x:v>IO-WRL-001</x:v>
      </x:c>
      <x:c r="C99" s="4" t="str">
        <x:v>K0904</x:v>
      </x:c>
      <x:c r="D99" s="4" t="str">
        <x:v>projection</x:v>
      </x:c>
      <x:c r="E99" s="4" t="str">
        <x:v>SP_800_181_2_2_0</x:v>
      </x:c>
      <x:c r="F99" s="4" t="str">
        <x:v>F001 / 2.2.0</x:v>
      </x:c>
      <x:c r="G99" s="12" t="n">
        <x:f>COUNTIFS('13_Relaciones_NICE'!$B$5:$B$186,B99,'13_Relaciones_NICE'!$C$5:$C$186,C99)-1</x:f>
        <x:v>0</x:v>
      </x:c>
      <x:c r="H99" s="12" t="n">
        <x:f>IF(AND(COUNTIF('03_NICE'!$A$5:$A$57,B99)+COUNTIF('04_TKS'!$A$5:$A$72,B99)=1,COUNTIF('03_NICE'!$A$5:$A$57,C99)+COUNTIF('04_TKS'!$A$5:$A$72,C99)=1),0,1)</x:f>
        <x:v>0</x:v>
      </x:c>
    </x:row>
    <x:row r="100" ht="47" customHeight="1">
      <x:c r="A100" s="4" t="str">
        <x:v>RN-096</x:v>
      </x:c>
      <x:c r="B100" s="4" t="str">
        <x:v>IO-WRL-001</x:v>
      </x:c>
      <x:c r="C100" s="4" t="str">
        <x:v>T1020</x:v>
      </x:c>
      <x:c r="D100" s="4" t="str">
        <x:v>projection</x:v>
      </x:c>
      <x:c r="E100" s="4" t="str">
        <x:v>SP_800_181_2_2_0</x:v>
      </x:c>
      <x:c r="F100" s="4" t="str">
        <x:v>F001 / 2.2.0</x:v>
      </x:c>
      <x:c r="G100" s="12" t="n">
        <x:f>COUNTIFS('13_Relaciones_NICE'!$B$5:$B$186,B100,'13_Relaciones_NICE'!$C$5:$C$186,C100)-1</x:f>
        <x:v>0</x:v>
      </x:c>
      <x:c r="H100" s="12" t="n">
        <x:f>IF(AND(COUNTIF('03_NICE'!$A$5:$A$57,B100)+COUNTIF('04_TKS'!$A$5:$A$72,B100)=1,COUNTIF('03_NICE'!$A$5:$A$57,C100)+COUNTIF('04_TKS'!$A$5:$A$72,C100)=1),0,1)</x:f>
        <x:v>0</x:v>
      </x:c>
    </x:row>
    <x:row r="101" ht="47" customHeight="1">
      <x:c r="A101" s="4" t="str">
        <x:v>RN-097</x:v>
      </x:c>
      <x:c r="B101" s="4" t="str">
        <x:v>IO-WRL-002</x:v>
      </x:c>
      <x:c r="C101" s="4" t="str">
        <x:v>K0742</x:v>
      </x:c>
      <x:c r="D101" s="4" t="str">
        <x:v>projection</x:v>
      </x:c>
      <x:c r="E101" s="4" t="str">
        <x:v>SP_800_181_2_2_0</x:v>
      </x:c>
      <x:c r="F101" s="4" t="str">
        <x:v>F001 / 2.2.0</x:v>
      </x:c>
      <x:c r="G101" s="12" t="n">
        <x:f>COUNTIFS('13_Relaciones_NICE'!$B$5:$B$186,B101,'13_Relaciones_NICE'!$C$5:$C$186,C101)-1</x:f>
        <x:v>0</x:v>
      </x:c>
      <x:c r="H101" s="12" t="n">
        <x:f>IF(AND(COUNTIF('03_NICE'!$A$5:$A$57,B101)+COUNTIF('04_TKS'!$A$5:$A$72,B101)=1,COUNTIF('03_NICE'!$A$5:$A$57,C101)+COUNTIF('04_TKS'!$A$5:$A$72,C101)=1),0,1)</x:f>
        <x:v>0</x:v>
      </x:c>
    </x:row>
    <x:row r="102" ht="47" customHeight="1">
      <x:c r="A102" s="4" t="str">
        <x:v>RN-098</x:v>
      </x:c>
      <x:c r="B102" s="4" t="str">
        <x:v>IO-WRL-002</x:v>
      </x:c>
      <x:c r="C102" s="4" t="str">
        <x:v>K1147</x:v>
      </x:c>
      <x:c r="D102" s="4" t="str">
        <x:v>projection</x:v>
      </x:c>
      <x:c r="E102" s="4" t="str">
        <x:v>SP_800_181_2_2_0</x:v>
      </x:c>
      <x:c r="F102" s="4" t="str">
        <x:v>F001 / 2.2.0</x:v>
      </x:c>
      <x:c r="G102" s="12" t="n">
        <x:f>COUNTIFS('13_Relaciones_NICE'!$B$5:$B$186,B102,'13_Relaciones_NICE'!$C$5:$C$186,C102)-1</x:f>
        <x:v>0</x:v>
      </x:c>
      <x:c r="H102" s="12" t="n">
        <x:f>IF(AND(COUNTIF('03_NICE'!$A$5:$A$57,B102)+COUNTIF('04_TKS'!$A$5:$A$72,B102)=1,COUNTIF('03_NICE'!$A$5:$A$57,C102)+COUNTIF('04_TKS'!$A$5:$A$72,C102)=1),0,1)</x:f>
        <x:v>0</x:v>
      </x:c>
    </x:row>
    <x:row r="103" ht="47" customHeight="1">
      <x:c r="A103" s="4" t="str">
        <x:v>RN-099</x:v>
      </x:c>
      <x:c r="B103" s="4" t="str">
        <x:v>IO-WRL-002</x:v>
      </x:c>
      <x:c r="C103" s="4" t="str">
        <x:v>T1020</x:v>
      </x:c>
      <x:c r="D103" s="4" t="str">
        <x:v>projection</x:v>
      </x:c>
      <x:c r="E103" s="4" t="str">
        <x:v>SP_800_181_2_2_0</x:v>
      </x:c>
      <x:c r="F103" s="4" t="str">
        <x:v>F001 / 2.2.0</x:v>
      </x:c>
      <x:c r="G103" s="12" t="n">
        <x:f>COUNTIFS('13_Relaciones_NICE'!$B$5:$B$186,B103,'13_Relaciones_NICE'!$C$5:$C$186,C103)-1</x:f>
        <x:v>0</x:v>
      </x:c>
      <x:c r="H103" s="12" t="n">
        <x:f>IF(AND(COUNTIF('03_NICE'!$A$5:$A$57,B103)+COUNTIF('04_TKS'!$A$5:$A$72,B103)=1,COUNTIF('03_NICE'!$A$5:$A$57,C103)+COUNTIF('04_TKS'!$A$5:$A$72,C103)=1),0,1)</x:f>
        <x:v>0</x:v>
      </x:c>
    </x:row>
    <x:row r="104" ht="47" customHeight="1">
      <x:c r="A104" s="4" t="str">
        <x:v>RN-100</x:v>
      </x:c>
      <x:c r="B104" s="4" t="str">
        <x:v>IO-WRL-003</x:v>
      </x:c>
      <x:c r="C104" s="4" t="str">
        <x:v>T1020</x:v>
      </x:c>
      <x:c r="D104" s="4" t="str">
        <x:v>projection</x:v>
      </x:c>
      <x:c r="E104" s="4" t="str">
        <x:v>SP_800_181_2_2_0</x:v>
      </x:c>
      <x:c r="F104" s="4" t="str">
        <x:v>F001 / 2.2.0</x:v>
      </x:c>
      <x:c r="G104" s="12" t="n">
        <x:f>COUNTIFS('13_Relaciones_NICE'!$B$5:$B$186,B104,'13_Relaciones_NICE'!$C$5:$C$186,C104)-1</x:f>
        <x:v>0</x:v>
      </x:c>
      <x:c r="H104" s="12" t="n">
        <x:f>IF(AND(COUNTIF('03_NICE'!$A$5:$A$57,B104)+COUNTIF('04_TKS'!$A$5:$A$72,B104)=1,COUNTIF('03_NICE'!$A$5:$A$57,C104)+COUNTIF('04_TKS'!$A$5:$A$72,C104)=1),0,1)</x:f>
        <x:v>0</x:v>
      </x:c>
    </x:row>
    <x:row r="105" ht="47" customHeight="1">
      <x:c r="A105" s="4" t="str">
        <x:v>RN-101</x:v>
      </x:c>
      <x:c r="B105" s="4" t="str">
        <x:v>IO-WRL-004</x:v>
      </x:c>
      <x:c r="C105" s="4" t="str">
        <x:v>T1020</x:v>
      </x:c>
      <x:c r="D105" s="4" t="str">
        <x:v>projection</x:v>
      </x:c>
      <x:c r="E105" s="4" t="str">
        <x:v>SP_800_181_2_2_0</x:v>
      </x:c>
      <x:c r="F105" s="4" t="str">
        <x:v>F001 / 2.2.0</x:v>
      </x:c>
      <x:c r="G105" s="12" t="n">
        <x:f>COUNTIFS('13_Relaciones_NICE'!$B$5:$B$186,B105,'13_Relaciones_NICE'!$C$5:$C$186,C105)-1</x:f>
        <x:v>0</x:v>
      </x:c>
      <x:c r="H105" s="12" t="n">
        <x:f>IF(AND(COUNTIF('03_NICE'!$A$5:$A$57,B105)+COUNTIF('04_TKS'!$A$5:$A$72,B105)=1,COUNTIF('03_NICE'!$A$5:$A$57,C105)+COUNTIF('04_TKS'!$A$5:$A$72,C105)=1),0,1)</x:f>
        <x:v>0</x:v>
      </x:c>
    </x:row>
    <x:row r="106" ht="47" customHeight="1">
      <x:c r="A106" s="4" t="str">
        <x:v>RN-102</x:v>
      </x:c>
      <x:c r="B106" s="4" t="str">
        <x:v>IO-WRL-005</x:v>
      </x:c>
      <x:c r="C106" s="4" t="str">
        <x:v>T1020</x:v>
      </x:c>
      <x:c r="D106" s="4" t="str">
        <x:v>projection</x:v>
      </x:c>
      <x:c r="E106" s="4" t="str">
        <x:v>SP_800_181_2_2_0</x:v>
      </x:c>
      <x:c r="F106" s="4" t="str">
        <x:v>F001 / 2.2.0</x:v>
      </x:c>
      <x:c r="G106" s="12" t="n">
        <x:f>COUNTIFS('13_Relaciones_NICE'!$B$5:$B$186,B106,'13_Relaciones_NICE'!$C$5:$C$186,C106)-1</x:f>
        <x:v>0</x:v>
      </x:c>
      <x:c r="H106" s="12" t="n">
        <x:f>IF(AND(COUNTIF('03_NICE'!$A$5:$A$57,B106)+COUNTIF('04_TKS'!$A$5:$A$72,B106)=1,COUNTIF('03_NICE'!$A$5:$A$57,C106)+COUNTIF('04_TKS'!$A$5:$A$72,C106)=1),0,1)</x:f>
        <x:v>0</x:v>
      </x:c>
    </x:row>
    <x:row r="107" ht="47" customHeight="1">
      <x:c r="A107" s="4" t="str">
        <x:v>RN-103</x:v>
      </x:c>
      <x:c r="B107" s="4" t="str">
        <x:v>IO-WRL-005</x:v>
      </x:c>
      <x:c r="C107" s="4" t="str">
        <x:v>T1130</x:v>
      </x:c>
      <x:c r="D107" s="4" t="str">
        <x:v>projection</x:v>
      </x:c>
      <x:c r="E107" s="4" t="str">
        <x:v>SP_800_181_2_2_0</x:v>
      </x:c>
      <x:c r="F107" s="4" t="str">
        <x:v>F001 / 2.2.0</x:v>
      </x:c>
      <x:c r="G107" s="12" t="n">
        <x:f>COUNTIFS('13_Relaciones_NICE'!$B$5:$B$186,B107,'13_Relaciones_NICE'!$C$5:$C$186,C107)-1</x:f>
        <x:v>0</x:v>
      </x:c>
      <x:c r="H107" s="12" t="n">
        <x:f>IF(AND(COUNTIF('03_NICE'!$A$5:$A$57,B107)+COUNTIF('04_TKS'!$A$5:$A$72,B107)=1,COUNTIF('03_NICE'!$A$5:$A$57,C107)+COUNTIF('04_TKS'!$A$5:$A$72,C107)=1),0,1)</x:f>
        <x:v>0</x:v>
      </x:c>
    </x:row>
    <x:row r="108" ht="47" customHeight="1">
      <x:c r="A108" s="4" t="str">
        <x:v>RN-104</x:v>
      </x:c>
      <x:c r="B108" s="4" t="str">
        <x:v>IO-WRL-006</x:v>
      </x:c>
      <x:c r="C108" s="4" t="str">
        <x:v>K0742</x:v>
      </x:c>
      <x:c r="D108" s="4" t="str">
        <x:v>projection</x:v>
      </x:c>
      <x:c r="E108" s="4" t="str">
        <x:v>SP_800_181_2_2_0</x:v>
      </x:c>
      <x:c r="F108" s="4" t="str">
        <x:v>F001 / 2.2.0</x:v>
      </x:c>
      <x:c r="G108" s="12" t="n">
        <x:f>COUNTIFS('13_Relaciones_NICE'!$B$5:$B$186,B108,'13_Relaciones_NICE'!$C$5:$C$186,C108)-1</x:f>
        <x:v>0</x:v>
      </x:c>
      <x:c r="H108" s="12" t="n">
        <x:f>IF(AND(COUNTIF('03_NICE'!$A$5:$A$57,B108)+COUNTIF('04_TKS'!$A$5:$A$72,B108)=1,COUNTIF('03_NICE'!$A$5:$A$57,C108)+COUNTIF('04_TKS'!$A$5:$A$72,C108)=1),0,1)</x:f>
        <x:v>0</x:v>
      </x:c>
    </x:row>
    <x:row r="109" ht="47" customHeight="1">
      <x:c r="A109" s="4" t="str">
        <x:v>RN-105</x:v>
      </x:c>
      <x:c r="B109" s="4" t="str">
        <x:v>IO-WRL-006</x:v>
      </x:c>
      <x:c r="C109" s="4" t="str">
        <x:v>S0480</x:v>
      </x:c>
      <x:c r="D109" s="4" t="str">
        <x:v>projection</x:v>
      </x:c>
      <x:c r="E109" s="4" t="str">
        <x:v>SP_800_181_2_2_0</x:v>
      </x:c>
      <x:c r="F109" s="4" t="str">
        <x:v>F001 / 2.2.0</x:v>
      </x:c>
      <x:c r="G109" s="12" t="n">
        <x:f>COUNTIFS('13_Relaciones_NICE'!$B$5:$B$186,B109,'13_Relaciones_NICE'!$C$5:$C$186,C109)-1</x:f>
        <x:v>0</x:v>
      </x:c>
      <x:c r="H109" s="12" t="n">
        <x:f>IF(AND(COUNTIF('03_NICE'!$A$5:$A$57,B109)+COUNTIF('04_TKS'!$A$5:$A$72,B109)=1,COUNTIF('03_NICE'!$A$5:$A$57,C109)+COUNTIF('04_TKS'!$A$5:$A$72,C109)=1),0,1)</x:f>
        <x:v>0</x:v>
      </x:c>
    </x:row>
    <x:row r="110" ht="47" customHeight="1">
      <x:c r="A110" s="4" t="str">
        <x:v>RN-106</x:v>
      </x:c>
      <x:c r="B110" s="4" t="str">
        <x:v>IO-WRL-006</x:v>
      </x:c>
      <x:c r="C110" s="4" t="str">
        <x:v>T0309</x:v>
      </x:c>
      <x:c r="D110" s="4" t="str">
        <x:v>projection</x:v>
      </x:c>
      <x:c r="E110" s="4" t="str">
        <x:v>SP_800_181_2_2_0</x:v>
      </x:c>
      <x:c r="F110" s="4" t="str">
        <x:v>F001 / 2.2.0</x:v>
      </x:c>
      <x:c r="G110" s="12" t="n">
        <x:f>COUNTIFS('13_Relaciones_NICE'!$B$5:$B$186,B110,'13_Relaciones_NICE'!$C$5:$C$186,C110)-1</x:f>
        <x:v>0</x:v>
      </x:c>
      <x:c r="H110" s="12" t="n">
        <x:f>IF(AND(COUNTIF('03_NICE'!$A$5:$A$57,B110)+COUNTIF('04_TKS'!$A$5:$A$72,B110)=1,COUNTIF('03_NICE'!$A$5:$A$57,C110)+COUNTIF('04_TKS'!$A$5:$A$72,C110)=1),0,1)</x:f>
        <x:v>0</x:v>
      </x:c>
    </x:row>
    <x:row r="111" ht="47" customHeight="1">
      <x:c r="A111" s="4" t="str">
        <x:v>RN-107</x:v>
      </x:c>
      <x:c r="B111" s="4" t="str">
        <x:v>IO-WRL-006</x:v>
      </x:c>
      <x:c r="C111" s="4" t="str">
        <x:v>T1020</x:v>
      </x:c>
      <x:c r="D111" s="4" t="str">
        <x:v>projection</x:v>
      </x:c>
      <x:c r="E111" s="4" t="str">
        <x:v>SP_800_181_2_2_0</x:v>
      </x:c>
      <x:c r="F111" s="4" t="str">
        <x:v>F001 / 2.2.0</x:v>
      </x:c>
      <x:c r="G111" s="12" t="n">
        <x:f>COUNTIFS('13_Relaciones_NICE'!$B$5:$B$186,B111,'13_Relaciones_NICE'!$C$5:$C$186,C111)-1</x:f>
        <x:v>0</x:v>
      </x:c>
      <x:c r="H111" s="12" t="n">
        <x:f>IF(AND(COUNTIF('03_NICE'!$A$5:$A$57,B111)+COUNTIF('04_TKS'!$A$5:$A$72,B111)=1,COUNTIF('03_NICE'!$A$5:$A$57,C111)+COUNTIF('04_TKS'!$A$5:$A$72,C111)=1),0,1)</x:f>
        <x:v>0</x:v>
      </x:c>
    </x:row>
    <x:row r="112" ht="47" customHeight="1">
      <x:c r="A112" s="4" t="str">
        <x:v>RN-108</x:v>
      </x:c>
      <x:c r="B112" s="4" t="str">
        <x:v>IO-WRL-006</x:v>
      </x:c>
      <x:c r="C112" s="4" t="str">
        <x:v>T1548</x:v>
      </x:c>
      <x:c r="D112" s="4" t="str">
        <x:v>projection</x:v>
      </x:c>
      <x:c r="E112" s="4" t="str">
        <x:v>SP_800_181_2_2_0</x:v>
      </x:c>
      <x:c r="F112" s="4" t="str">
        <x:v>F001 / 2.2.0</x:v>
      </x:c>
      <x:c r="G112" s="12" t="n">
        <x:f>COUNTIFS('13_Relaciones_NICE'!$B$5:$B$186,B112,'13_Relaciones_NICE'!$C$5:$C$186,C112)-1</x:f>
        <x:v>0</x:v>
      </x:c>
      <x:c r="H112" s="12" t="n">
        <x:f>IF(AND(COUNTIF('03_NICE'!$A$5:$A$57,B112)+COUNTIF('04_TKS'!$A$5:$A$72,B112)=1,COUNTIF('03_NICE'!$A$5:$A$57,C112)+COUNTIF('04_TKS'!$A$5:$A$72,C112)=1),0,1)</x:f>
        <x:v>0</x:v>
      </x:c>
    </x:row>
    <x:row r="113" ht="47" customHeight="1">
      <x:c r="A113" s="4" t="str">
        <x:v>RN-109</x:v>
      </x:c>
      <x:c r="B113" s="4" t="str">
        <x:v>IO-WRL-007</x:v>
      </x:c>
      <x:c r="C113" s="4" t="str">
        <x:v>T1020</x:v>
      </x:c>
      <x:c r="D113" s="4" t="str">
        <x:v>projection</x:v>
      </x:c>
      <x:c r="E113" s="4" t="str">
        <x:v>SP_800_181_2_2_0</x:v>
      </x:c>
      <x:c r="F113" s="4" t="str">
        <x:v>F001 / 2.2.0</x:v>
      </x:c>
      <x:c r="G113" s="12" t="n">
        <x:f>COUNTIFS('13_Relaciones_NICE'!$B$5:$B$186,B113,'13_Relaciones_NICE'!$C$5:$C$186,C113)-1</x:f>
        <x:v>0</x:v>
      </x:c>
      <x:c r="H113" s="12" t="n">
        <x:f>IF(AND(COUNTIF('03_NICE'!$A$5:$A$57,B113)+COUNTIF('04_TKS'!$A$5:$A$72,B113)=1,COUNTIF('03_NICE'!$A$5:$A$57,C113)+COUNTIF('04_TKS'!$A$5:$A$72,C113)=1),0,1)</x:f>
        <x:v>0</x:v>
      </x:c>
    </x:row>
    <x:row r="114" ht="47" customHeight="1">
      <x:c r="A114" s="4" t="str">
        <x:v>RN-110</x:v>
      </x:c>
      <x:c r="B114" s="4" t="str">
        <x:v>PD-WRL-001</x:v>
      </x:c>
      <x:c r="C114" s="4" t="str">
        <x:v>K0742</x:v>
      </x:c>
      <x:c r="D114" s="4" t="str">
        <x:v>projection</x:v>
      </x:c>
      <x:c r="E114" s="4" t="str">
        <x:v>SP_800_181_2_2_0</x:v>
      </x:c>
      <x:c r="F114" s="4" t="str">
        <x:v>F001 / 2.2.0</x:v>
      </x:c>
      <x:c r="G114" s="12" t="n">
        <x:f>COUNTIFS('13_Relaciones_NICE'!$B$5:$B$186,B114,'13_Relaciones_NICE'!$C$5:$C$186,C114)-1</x:f>
        <x:v>0</x:v>
      </x:c>
      <x:c r="H114" s="12" t="n">
        <x:f>IF(AND(COUNTIF('03_NICE'!$A$5:$A$57,B114)+COUNTIF('04_TKS'!$A$5:$A$72,B114)=1,COUNTIF('03_NICE'!$A$5:$A$57,C114)+COUNTIF('04_TKS'!$A$5:$A$72,C114)=1),0,1)</x:f>
        <x:v>0</x:v>
      </x:c>
    </x:row>
    <x:row r="115" ht="47" customHeight="1">
      <x:c r="A115" s="4" t="str">
        <x:v>RN-111</x:v>
      </x:c>
      <x:c r="B115" s="4" t="str">
        <x:v>PD-WRL-001</x:v>
      </x:c>
      <x:c r="C115" s="4" t="str">
        <x:v>T1020</x:v>
      </x:c>
      <x:c r="D115" s="4" t="str">
        <x:v>projection</x:v>
      </x:c>
      <x:c r="E115" s="4" t="str">
        <x:v>SP_800_181_2_2_0</x:v>
      </x:c>
      <x:c r="F115" s="4" t="str">
        <x:v>F001 / 2.2.0</x:v>
      </x:c>
      <x:c r="G115" s="12" t="n">
        <x:f>COUNTIFS('13_Relaciones_NICE'!$B$5:$B$186,B115,'13_Relaciones_NICE'!$C$5:$C$186,C115)-1</x:f>
        <x:v>0</x:v>
      </x:c>
      <x:c r="H115" s="12" t="n">
        <x:f>IF(AND(COUNTIF('03_NICE'!$A$5:$A$57,B115)+COUNTIF('04_TKS'!$A$5:$A$72,B115)=1,COUNTIF('03_NICE'!$A$5:$A$57,C115)+COUNTIF('04_TKS'!$A$5:$A$72,C115)=1),0,1)</x:f>
        <x:v>0</x:v>
      </x:c>
    </x:row>
    <x:row r="116" ht="47" customHeight="1">
      <x:c r="A116" s="4" t="str">
        <x:v>RN-112</x:v>
      </x:c>
      <x:c r="B116" s="4" t="str">
        <x:v>PD-WRL-001</x:v>
      </x:c>
      <x:c r="C116" s="4" t="str">
        <x:v>T1119</x:v>
      </x:c>
      <x:c r="D116" s="4" t="str">
        <x:v>projection</x:v>
      </x:c>
      <x:c r="E116" s="4" t="str">
        <x:v>SP_800_181_2_2_0</x:v>
      </x:c>
      <x:c r="F116" s="4" t="str">
        <x:v>F001 / 2.2.0</x:v>
      </x:c>
      <x:c r="G116" s="12" t="n">
        <x:f>COUNTIFS('13_Relaciones_NICE'!$B$5:$B$186,B116,'13_Relaciones_NICE'!$C$5:$C$186,C116)-1</x:f>
        <x:v>0</x:v>
      </x:c>
      <x:c r="H116" s="12" t="n">
        <x:f>IF(AND(COUNTIF('03_NICE'!$A$5:$A$57,B116)+COUNTIF('04_TKS'!$A$5:$A$72,B116)=1,COUNTIF('03_NICE'!$A$5:$A$57,C116)+COUNTIF('04_TKS'!$A$5:$A$72,C116)=1),0,1)</x:f>
        <x:v>0</x:v>
      </x:c>
    </x:row>
    <x:row r="117" ht="47" customHeight="1">
      <x:c r="A117" s="4" t="str">
        <x:v>RN-113</x:v>
      </x:c>
      <x:c r="B117" s="4" t="str">
        <x:v>PD-WRL-001</x:v>
      </x:c>
      <x:c r="C117" s="4" t="str">
        <x:v>T1548</x:v>
      </x:c>
      <x:c r="D117" s="4" t="str">
        <x:v>projection</x:v>
      </x:c>
      <x:c r="E117" s="4" t="str">
        <x:v>SP_800_181_2_2_0</x:v>
      </x:c>
      <x:c r="F117" s="4" t="str">
        <x:v>F001 / 2.2.0</x:v>
      </x:c>
      <x:c r="G117" s="12" t="n">
        <x:f>COUNTIFS('13_Relaciones_NICE'!$B$5:$B$186,B117,'13_Relaciones_NICE'!$C$5:$C$186,C117)-1</x:f>
        <x:v>0</x:v>
      </x:c>
      <x:c r="H117" s="12" t="n">
        <x:f>IF(AND(COUNTIF('03_NICE'!$A$5:$A$57,B117)+COUNTIF('04_TKS'!$A$5:$A$72,B117)=1,COUNTIF('03_NICE'!$A$5:$A$57,C117)+COUNTIF('04_TKS'!$A$5:$A$72,C117)=1),0,1)</x:f>
        <x:v>0</x:v>
      </x:c>
    </x:row>
    <x:row r="118" ht="47" customHeight="1">
      <x:c r="A118" s="4" t="str">
        <x:v>RN-114</x:v>
      </x:c>
      <x:c r="B118" s="4" t="str">
        <x:v>PD-WRL-002</x:v>
      </x:c>
      <x:c r="C118" s="4" t="str">
        <x:v>K1147</x:v>
      </x:c>
      <x:c r="D118" s="4" t="str">
        <x:v>projection</x:v>
      </x:c>
      <x:c r="E118" s="4" t="str">
        <x:v>SP_800_181_2_2_0</x:v>
      </x:c>
      <x:c r="F118" s="4" t="str">
        <x:v>F001 / 2.2.0</x:v>
      </x:c>
      <x:c r="G118" s="12" t="n">
        <x:f>COUNTIFS('13_Relaciones_NICE'!$B$5:$B$186,B118,'13_Relaciones_NICE'!$C$5:$C$186,C118)-1</x:f>
        <x:v>0</x:v>
      </x:c>
      <x:c r="H118" s="12" t="n">
        <x:f>IF(AND(COUNTIF('03_NICE'!$A$5:$A$57,B118)+COUNTIF('04_TKS'!$A$5:$A$72,B118)=1,COUNTIF('03_NICE'!$A$5:$A$57,C118)+COUNTIF('04_TKS'!$A$5:$A$72,C118)=1),0,1)</x:f>
        <x:v>0</x:v>
      </x:c>
    </x:row>
    <x:row r="119" ht="47" customHeight="1">
      <x:c r="A119" s="4" t="str">
        <x:v>RN-115</x:v>
      </x:c>
      <x:c r="B119" s="4" t="str">
        <x:v>PD-WRL-002</x:v>
      </x:c>
      <x:c r="C119" s="4" t="str">
        <x:v>T0173</x:v>
      </x:c>
      <x:c r="D119" s="4" t="str">
        <x:v>projection</x:v>
      </x:c>
      <x:c r="E119" s="4" t="str">
        <x:v>SP_800_181_2_2_0</x:v>
      </x:c>
      <x:c r="F119" s="4" t="str">
        <x:v>F001 / 2.2.0</x:v>
      </x:c>
      <x:c r="G119" s="12" t="n">
        <x:f>COUNTIFS('13_Relaciones_NICE'!$B$5:$B$186,B119,'13_Relaciones_NICE'!$C$5:$C$186,C119)-1</x:f>
        <x:v>0</x:v>
      </x:c>
      <x:c r="H119" s="12" t="n">
        <x:f>IF(AND(COUNTIF('03_NICE'!$A$5:$A$57,B119)+COUNTIF('04_TKS'!$A$5:$A$72,B119)=1,COUNTIF('03_NICE'!$A$5:$A$57,C119)+COUNTIF('04_TKS'!$A$5:$A$72,C119)=1),0,1)</x:f>
        <x:v>0</x:v>
      </x:c>
    </x:row>
    <x:row r="120" ht="47" customHeight="1">
      <x:c r="A120" s="4" t="str">
        <x:v>RN-116</x:v>
      </x:c>
      <x:c r="B120" s="4" t="str">
        <x:v>PD-WRL-002</x:v>
      </x:c>
      <x:c r="C120" s="4" t="str">
        <x:v>T1020</x:v>
      </x:c>
      <x:c r="D120" s="4" t="str">
        <x:v>projection</x:v>
      </x:c>
      <x:c r="E120" s="4" t="str">
        <x:v>SP_800_181_2_2_0</x:v>
      </x:c>
      <x:c r="F120" s="4" t="str">
        <x:v>F001 / 2.2.0</x:v>
      </x:c>
      <x:c r="G120" s="12" t="n">
        <x:f>COUNTIFS('13_Relaciones_NICE'!$B$5:$B$186,B120,'13_Relaciones_NICE'!$C$5:$C$186,C120)-1</x:f>
        <x:v>0</x:v>
      </x:c>
      <x:c r="H120" s="12" t="n">
        <x:f>IF(AND(COUNTIF('03_NICE'!$A$5:$A$57,B120)+COUNTIF('04_TKS'!$A$5:$A$72,B120)=1,COUNTIF('03_NICE'!$A$5:$A$57,C120)+COUNTIF('04_TKS'!$A$5:$A$72,C120)=1),0,1)</x:f>
        <x:v>0</x:v>
      </x:c>
    </x:row>
    <x:row r="121" ht="47" customHeight="1">
      <x:c r="A121" s="4" t="str">
        <x:v>RN-117</x:v>
      </x:c>
      <x:c r="B121" s="4" t="str">
        <x:v>PD-WRL-002</x:v>
      </x:c>
      <x:c r="C121" s="4" t="str">
        <x:v>T1118</x:v>
      </x:c>
      <x:c r="D121" s="4" t="str">
        <x:v>projection</x:v>
      </x:c>
      <x:c r="E121" s="4" t="str">
        <x:v>SP_800_181_2_2_0</x:v>
      </x:c>
      <x:c r="F121" s="4" t="str">
        <x:v>F001 / 2.2.0</x:v>
      </x:c>
      <x:c r="G121" s="12" t="n">
        <x:f>COUNTIFS('13_Relaciones_NICE'!$B$5:$B$186,B121,'13_Relaciones_NICE'!$C$5:$C$186,C121)-1</x:f>
        <x:v>0</x:v>
      </x:c>
      <x:c r="H121" s="12" t="n">
        <x:f>IF(AND(COUNTIF('03_NICE'!$A$5:$A$57,B121)+COUNTIF('04_TKS'!$A$5:$A$72,B121)=1,COUNTIF('03_NICE'!$A$5:$A$57,C121)+COUNTIF('04_TKS'!$A$5:$A$72,C121)=1),0,1)</x:f>
        <x:v>0</x:v>
      </x:c>
    </x:row>
    <x:row r="122" ht="47" customHeight="1">
      <x:c r="A122" s="4" t="str">
        <x:v>RN-118</x:v>
      </x:c>
      <x:c r="B122" s="4" t="str">
        <x:v>PD-WRL-002</x:v>
      </x:c>
      <x:c r="C122" s="4" t="str">
        <x:v>T1119</x:v>
      </x:c>
      <x:c r="D122" s="4" t="str">
        <x:v>projection</x:v>
      </x:c>
      <x:c r="E122" s="4" t="str">
        <x:v>SP_800_181_2_2_0</x:v>
      </x:c>
      <x:c r="F122" s="4" t="str">
        <x:v>F001 / 2.2.0</x:v>
      </x:c>
      <x:c r="G122" s="12" t="n">
        <x:f>COUNTIFS('13_Relaciones_NICE'!$B$5:$B$186,B122,'13_Relaciones_NICE'!$C$5:$C$186,C122)-1</x:f>
        <x:v>0</x:v>
      </x:c>
      <x:c r="H122" s="12" t="n">
        <x:f>IF(AND(COUNTIF('03_NICE'!$A$5:$A$57,B122)+COUNTIF('04_TKS'!$A$5:$A$72,B122)=1,COUNTIF('03_NICE'!$A$5:$A$57,C122)+COUNTIF('04_TKS'!$A$5:$A$72,C122)=1),0,1)</x:f>
        <x:v>0</x:v>
      </x:c>
    </x:row>
    <x:row r="123" ht="47" customHeight="1">
      <x:c r="A123" s="4" t="str">
        <x:v>RN-119</x:v>
      </x:c>
      <x:c r="B123" s="4" t="str">
        <x:v>PD-WRL-002</x:v>
      </x:c>
      <x:c r="C123" s="4" t="str">
        <x:v>T1120</x:v>
      </x:c>
      <x:c r="D123" s="4" t="str">
        <x:v>projection</x:v>
      </x:c>
      <x:c r="E123" s="4" t="str">
        <x:v>SP_800_181_2_2_0</x:v>
      </x:c>
      <x:c r="F123" s="4" t="str">
        <x:v>F001 / 2.2.0</x:v>
      </x:c>
      <x:c r="G123" s="12" t="n">
        <x:f>COUNTIFS('13_Relaciones_NICE'!$B$5:$B$186,B123,'13_Relaciones_NICE'!$C$5:$C$186,C123)-1</x:f>
        <x:v>0</x:v>
      </x:c>
      <x:c r="H123" s="12" t="n">
        <x:f>IF(AND(COUNTIF('03_NICE'!$A$5:$A$57,B123)+COUNTIF('04_TKS'!$A$5:$A$72,B123)=1,COUNTIF('03_NICE'!$A$5:$A$57,C123)+COUNTIF('04_TKS'!$A$5:$A$72,C123)=1),0,1)</x:f>
        <x:v>0</x:v>
      </x:c>
    </x:row>
    <x:row r="124" ht="47" customHeight="1">
      <x:c r="A124" s="4" t="str">
        <x:v>RN-120</x:v>
      </x:c>
      <x:c r="B124" s="4" t="str">
        <x:v>PD-WRL-002</x:v>
      </x:c>
      <x:c r="C124" s="4" t="str">
        <x:v>T1175</x:v>
      </x:c>
      <x:c r="D124" s="4" t="str">
        <x:v>projection</x:v>
      </x:c>
      <x:c r="E124" s="4" t="str">
        <x:v>SP_800_181_2_2_0</x:v>
      </x:c>
      <x:c r="F124" s="4" t="str">
        <x:v>F001 / 2.2.0</x:v>
      </x:c>
      <x:c r="G124" s="12" t="n">
        <x:f>COUNTIFS('13_Relaciones_NICE'!$B$5:$B$186,B124,'13_Relaciones_NICE'!$C$5:$C$186,C124)-1</x:f>
        <x:v>0</x:v>
      </x:c>
      <x:c r="H124" s="12" t="n">
        <x:f>IF(AND(COUNTIF('03_NICE'!$A$5:$A$57,B124)+COUNTIF('04_TKS'!$A$5:$A$72,B124)=1,COUNTIF('03_NICE'!$A$5:$A$57,C124)+COUNTIF('04_TKS'!$A$5:$A$72,C124)=1),0,1)</x:f>
        <x:v>0</x:v>
      </x:c>
    </x:row>
    <x:row r="125" ht="47" customHeight="1">
      <x:c r="A125" s="4" t="str">
        <x:v>RN-121</x:v>
      </x:c>
      <x:c r="B125" s="4" t="str">
        <x:v>PD-WRL-002</x:v>
      </x:c>
      <x:c r="C125" s="4" t="str">
        <x:v>T1325</x:v>
      </x:c>
      <x:c r="D125" s="4" t="str">
        <x:v>projection</x:v>
      </x:c>
      <x:c r="E125" s="4" t="str">
        <x:v>SP_800_181_2_2_0</x:v>
      </x:c>
      <x:c r="F125" s="4" t="str">
        <x:v>F001 / 2.2.0</x:v>
      </x:c>
      <x:c r="G125" s="12" t="n">
        <x:f>COUNTIFS('13_Relaciones_NICE'!$B$5:$B$186,B125,'13_Relaciones_NICE'!$C$5:$C$186,C125)-1</x:f>
        <x:v>0</x:v>
      </x:c>
      <x:c r="H125" s="12" t="n">
        <x:f>IF(AND(COUNTIF('03_NICE'!$A$5:$A$57,B125)+COUNTIF('04_TKS'!$A$5:$A$72,B125)=1,COUNTIF('03_NICE'!$A$5:$A$57,C125)+COUNTIF('04_TKS'!$A$5:$A$72,C125)=1),0,1)</x:f>
        <x:v>0</x:v>
      </x:c>
    </x:row>
    <x:row r="126" ht="47" customHeight="1">
      <x:c r="A126" s="4" t="str">
        <x:v>RN-122</x:v>
      </x:c>
      <x:c r="B126" s="4" t="str">
        <x:v>PD-WRL-002</x:v>
      </x:c>
      <x:c r="C126" s="4" t="str">
        <x:v>T1510</x:v>
      </x:c>
      <x:c r="D126" s="4" t="str">
        <x:v>projection</x:v>
      </x:c>
      <x:c r="E126" s="4" t="str">
        <x:v>SP_800_181_2_2_0</x:v>
      </x:c>
      <x:c r="F126" s="4" t="str">
        <x:v>F001 / 2.2.0</x:v>
      </x:c>
      <x:c r="G126" s="12" t="n">
        <x:f>COUNTIFS('13_Relaciones_NICE'!$B$5:$B$186,B126,'13_Relaciones_NICE'!$C$5:$C$186,C126)-1</x:f>
        <x:v>0</x:v>
      </x:c>
      <x:c r="H126" s="12" t="n">
        <x:f>IF(AND(COUNTIF('03_NICE'!$A$5:$A$57,B126)+COUNTIF('04_TKS'!$A$5:$A$72,B126)=1,COUNTIF('03_NICE'!$A$5:$A$57,C126)+COUNTIF('04_TKS'!$A$5:$A$72,C126)=1),0,1)</x:f>
        <x:v>0</x:v>
      </x:c>
    </x:row>
    <x:row r="127" ht="47" customHeight="1">
      <x:c r="A127" s="4" t="str">
        <x:v>RN-123</x:v>
      </x:c>
      <x:c r="B127" s="4" t="str">
        <x:v>PD-WRL-003</x:v>
      </x:c>
      <x:c r="C127" s="4" t="str">
        <x:v>T0510</x:v>
      </x:c>
      <x:c r="D127" s="4" t="str">
        <x:v>projection</x:v>
      </x:c>
      <x:c r="E127" s="4" t="str">
        <x:v>SP_800_181_2_2_0</x:v>
      </x:c>
      <x:c r="F127" s="4" t="str">
        <x:v>F001 / 2.2.0</x:v>
      </x:c>
      <x:c r="G127" s="12" t="n">
        <x:f>COUNTIFS('13_Relaciones_NICE'!$B$5:$B$186,B127,'13_Relaciones_NICE'!$C$5:$C$186,C127)-1</x:f>
        <x:v>0</x:v>
      </x:c>
      <x:c r="H127" s="12" t="n">
        <x:f>IF(AND(COUNTIF('03_NICE'!$A$5:$A$57,B127)+COUNTIF('04_TKS'!$A$5:$A$72,B127)=1,COUNTIF('03_NICE'!$A$5:$A$57,C127)+COUNTIF('04_TKS'!$A$5:$A$72,C127)=1),0,1)</x:f>
        <x:v>0</x:v>
      </x:c>
    </x:row>
    <x:row r="128" ht="47" customHeight="1">
      <x:c r="A128" s="4" t="str">
        <x:v>RN-124</x:v>
      </x:c>
      <x:c r="B128" s="4" t="str">
        <x:v>PD-WRL-003</x:v>
      </x:c>
      <x:c r="C128" s="4" t="str">
        <x:v>T1020</x:v>
      </x:c>
      <x:c r="D128" s="4" t="str">
        <x:v>projection</x:v>
      </x:c>
      <x:c r="E128" s="4" t="str">
        <x:v>SP_800_181_2_2_0</x:v>
      </x:c>
      <x:c r="F128" s="4" t="str">
        <x:v>F001 / 2.2.0</x:v>
      </x:c>
      <x:c r="G128" s="12" t="n">
        <x:f>COUNTIFS('13_Relaciones_NICE'!$B$5:$B$186,B128,'13_Relaciones_NICE'!$C$5:$C$186,C128)-1</x:f>
        <x:v>0</x:v>
      </x:c>
      <x:c r="H128" s="12" t="n">
        <x:f>IF(AND(COUNTIF('03_NICE'!$A$5:$A$57,B128)+COUNTIF('04_TKS'!$A$5:$A$72,B128)=1,COUNTIF('03_NICE'!$A$5:$A$57,C128)+COUNTIF('04_TKS'!$A$5:$A$72,C128)=1),0,1)</x:f>
        <x:v>0</x:v>
      </x:c>
    </x:row>
    <x:row r="129" ht="47" customHeight="1">
      <x:c r="A129" s="4" t="str">
        <x:v>RN-125</x:v>
      </x:c>
      <x:c r="B129" s="4" t="str">
        <x:v>PD-WRL-003</x:v>
      </x:c>
      <x:c r="C129" s="4" t="str">
        <x:v>T1118</x:v>
      </x:c>
      <x:c r="D129" s="4" t="str">
        <x:v>projection</x:v>
      </x:c>
      <x:c r="E129" s="4" t="str">
        <x:v>SP_800_181_2_2_0</x:v>
      </x:c>
      <x:c r="F129" s="4" t="str">
        <x:v>F001 / 2.2.0</x:v>
      </x:c>
      <x:c r="G129" s="12" t="n">
        <x:f>COUNTIFS('13_Relaciones_NICE'!$B$5:$B$186,B129,'13_Relaciones_NICE'!$C$5:$C$186,C129)-1</x:f>
        <x:v>0</x:v>
      </x:c>
      <x:c r="H129" s="12" t="n">
        <x:f>IF(AND(COUNTIF('03_NICE'!$A$5:$A$57,B129)+COUNTIF('04_TKS'!$A$5:$A$72,B129)=1,COUNTIF('03_NICE'!$A$5:$A$57,C129)+COUNTIF('04_TKS'!$A$5:$A$72,C129)=1),0,1)</x:f>
        <x:v>0</x:v>
      </x:c>
    </x:row>
    <x:row r="130" ht="47" customHeight="1">
      <x:c r="A130" s="4" t="str">
        <x:v>RN-126</x:v>
      </x:c>
      <x:c r="B130" s="4" t="str">
        <x:v>PD-WRL-003</x:v>
      </x:c>
      <x:c r="C130" s="4" t="str">
        <x:v>T1119</x:v>
      </x:c>
      <x:c r="D130" s="4" t="str">
        <x:v>projection</x:v>
      </x:c>
      <x:c r="E130" s="4" t="str">
        <x:v>SP_800_181_2_2_0</x:v>
      </x:c>
      <x:c r="F130" s="4" t="str">
        <x:v>F001 / 2.2.0</x:v>
      </x:c>
      <x:c r="G130" s="12" t="n">
        <x:f>COUNTIFS('13_Relaciones_NICE'!$B$5:$B$186,B130,'13_Relaciones_NICE'!$C$5:$C$186,C130)-1</x:f>
        <x:v>0</x:v>
      </x:c>
      <x:c r="H130" s="12" t="n">
        <x:f>IF(AND(COUNTIF('03_NICE'!$A$5:$A$57,B130)+COUNTIF('04_TKS'!$A$5:$A$72,B130)=1,COUNTIF('03_NICE'!$A$5:$A$57,C130)+COUNTIF('04_TKS'!$A$5:$A$72,C130)=1),0,1)</x:f>
        <x:v>0</x:v>
      </x:c>
    </x:row>
    <x:row r="131" ht="47" customHeight="1">
      <x:c r="A131" s="4" t="str">
        <x:v>RN-127</x:v>
      </x:c>
      <x:c r="B131" s="4" t="str">
        <x:v>PD-WRL-004</x:v>
      </x:c>
      <x:c r="C131" s="4" t="str">
        <x:v>T1020</x:v>
      </x:c>
      <x:c r="D131" s="4" t="str">
        <x:v>projection</x:v>
      </x:c>
      <x:c r="E131" s="4" t="str">
        <x:v>SP_800_181_2_2_0</x:v>
      </x:c>
      <x:c r="F131" s="4" t="str">
        <x:v>F001 / 2.2.0</x:v>
      </x:c>
      <x:c r="G131" s="12" t="n">
        <x:f>COUNTIFS('13_Relaciones_NICE'!$B$5:$B$186,B131,'13_Relaciones_NICE'!$C$5:$C$186,C131)-1</x:f>
        <x:v>0</x:v>
      </x:c>
      <x:c r="H131" s="12" t="n">
        <x:f>IF(AND(COUNTIF('03_NICE'!$A$5:$A$57,B131)+COUNTIF('04_TKS'!$A$5:$A$72,B131)=1,COUNTIF('03_NICE'!$A$5:$A$57,C131)+COUNTIF('04_TKS'!$A$5:$A$72,C131)=1),0,1)</x:f>
        <x:v>0</x:v>
      </x:c>
    </x:row>
    <x:row r="132" ht="47" customHeight="1">
      <x:c r="A132" s="4" t="str">
        <x:v>RN-128</x:v>
      </x:c>
      <x:c r="B132" s="4" t="str">
        <x:v>PD-WRL-004</x:v>
      </x:c>
      <x:c r="C132" s="4" t="str">
        <x:v>T1111</x:v>
      </x:c>
      <x:c r="D132" s="4" t="str">
        <x:v>projection</x:v>
      </x:c>
      <x:c r="E132" s="4" t="str">
        <x:v>SP_800_181_2_2_0</x:v>
      </x:c>
      <x:c r="F132" s="4" t="str">
        <x:v>F001 / 2.2.0</x:v>
      </x:c>
      <x:c r="G132" s="12" t="n">
        <x:f>COUNTIFS('13_Relaciones_NICE'!$B$5:$B$186,B132,'13_Relaciones_NICE'!$C$5:$C$186,C132)-1</x:f>
        <x:v>0</x:v>
      </x:c>
      <x:c r="H132" s="12" t="n">
        <x:f>IF(AND(COUNTIF('03_NICE'!$A$5:$A$57,B132)+COUNTIF('04_TKS'!$A$5:$A$72,B132)=1,COUNTIF('03_NICE'!$A$5:$A$57,C132)+COUNTIF('04_TKS'!$A$5:$A$72,C132)=1),0,1)</x:f>
        <x:v>0</x:v>
      </x:c>
    </x:row>
    <x:row r="133" ht="47" customHeight="1">
      <x:c r="A133" s="4" t="str">
        <x:v>RN-129</x:v>
      </x:c>
      <x:c r="B133" s="4" t="str">
        <x:v>PD-WRL-005</x:v>
      </x:c>
      <x:c r="C133" s="4" t="str">
        <x:v>S0900</x:v>
      </x:c>
      <x:c r="D133" s="4" t="str">
        <x:v>projection</x:v>
      </x:c>
      <x:c r="E133" s="4" t="str">
        <x:v>SP_800_181_2_2_0</x:v>
      </x:c>
      <x:c r="F133" s="4" t="str">
        <x:v>F001 / 2.2.0</x:v>
      </x:c>
      <x:c r="G133" s="12" t="n">
        <x:f>COUNTIFS('13_Relaciones_NICE'!$B$5:$B$186,B133,'13_Relaciones_NICE'!$C$5:$C$186,C133)-1</x:f>
        <x:v>0</x:v>
      </x:c>
      <x:c r="H133" s="12" t="n">
        <x:f>IF(AND(COUNTIF('03_NICE'!$A$5:$A$57,B133)+COUNTIF('04_TKS'!$A$5:$A$72,B133)=1,COUNTIF('03_NICE'!$A$5:$A$57,C133)+COUNTIF('04_TKS'!$A$5:$A$72,C133)=1),0,1)</x:f>
        <x:v>0</x:v>
      </x:c>
    </x:row>
    <x:row r="134" ht="47" customHeight="1">
      <x:c r="A134" s="4" t="str">
        <x:v>RN-130</x:v>
      </x:c>
      <x:c r="B134" s="4" t="str">
        <x:v>PD-WRL-005</x:v>
      </x:c>
      <x:c r="C134" s="4" t="str">
        <x:v>T1325</x:v>
      </x:c>
      <x:c r="D134" s="4" t="str">
        <x:v>projection</x:v>
      </x:c>
      <x:c r="E134" s="4" t="str">
        <x:v>SP_800_181_2_2_0</x:v>
      </x:c>
      <x:c r="F134" s="4" t="str">
        <x:v>F001 / 2.2.0</x:v>
      </x:c>
      <x:c r="G134" s="12" t="n">
        <x:f>COUNTIFS('13_Relaciones_NICE'!$B$5:$B$186,B134,'13_Relaciones_NICE'!$C$5:$C$186,C134)-1</x:f>
        <x:v>0</x:v>
      </x:c>
      <x:c r="H134" s="12" t="n">
        <x:f>IF(AND(COUNTIF('03_NICE'!$A$5:$A$57,B134)+COUNTIF('04_TKS'!$A$5:$A$72,B134)=1,COUNTIF('03_NICE'!$A$5:$A$57,C134)+COUNTIF('04_TKS'!$A$5:$A$72,C134)=1),0,1)</x:f>
        <x:v>0</x:v>
      </x:c>
    </x:row>
    <x:row r="135" ht="47" customHeight="1">
      <x:c r="A135" s="4" t="str">
        <x:v>RN-131</x:v>
      </x:c>
      <x:c r="B135" s="4" t="str">
        <x:v>PD-WRL-005</x:v>
      </x:c>
      <x:c r="C135" s="4" t="str">
        <x:v>T1510</x:v>
      </x:c>
      <x:c r="D135" s="4" t="str">
        <x:v>projection</x:v>
      </x:c>
      <x:c r="E135" s="4" t="str">
        <x:v>SP_800_181_2_2_0</x:v>
      </x:c>
      <x:c r="F135" s="4" t="str">
        <x:v>F001 / 2.2.0</x:v>
      </x:c>
      <x:c r="G135" s="12" t="n">
        <x:f>COUNTIFS('13_Relaciones_NICE'!$B$5:$B$186,B135,'13_Relaciones_NICE'!$C$5:$C$186,C135)-1</x:f>
        <x:v>0</x:v>
      </x:c>
      <x:c r="H135" s="12" t="n">
        <x:f>IF(AND(COUNTIF('03_NICE'!$A$5:$A$57,B135)+COUNTIF('04_TKS'!$A$5:$A$72,B135)=1,COUNTIF('03_NICE'!$A$5:$A$57,C135)+COUNTIF('04_TKS'!$A$5:$A$72,C135)=1),0,1)</x:f>
        <x:v>0</x:v>
      </x:c>
    </x:row>
    <x:row r="136" ht="47" customHeight="1">
      <x:c r="A136" s="4" t="str">
        <x:v>RN-132</x:v>
      </x:c>
      <x:c r="B136" s="4" t="str">
        <x:v>PD-WRL-005</x:v>
      </x:c>
      <x:c r="C136" s="4" t="str">
        <x:v>T1974</x:v>
      </x:c>
      <x:c r="D136" s="4" t="str">
        <x:v>projection</x:v>
      </x:c>
      <x:c r="E136" s="4" t="str">
        <x:v>SP_800_181_2_2_0</x:v>
      </x:c>
      <x:c r="F136" s="4" t="str">
        <x:v>F001 / 2.2.0</x:v>
      </x:c>
      <x:c r="G136" s="12" t="n">
        <x:f>COUNTIFS('13_Relaciones_NICE'!$B$5:$B$186,B136,'13_Relaciones_NICE'!$C$5:$C$186,C136)-1</x:f>
        <x:v>0</x:v>
      </x:c>
      <x:c r="H136" s="12" t="n">
        <x:f>IF(AND(COUNTIF('03_NICE'!$A$5:$A$57,B136)+COUNTIF('04_TKS'!$A$5:$A$72,B136)=1,COUNTIF('03_NICE'!$A$5:$A$57,C136)+COUNTIF('04_TKS'!$A$5:$A$72,C136)=1),0,1)</x:f>
        <x:v>0</x:v>
      </x:c>
    </x:row>
    <x:row r="137" ht="47" customHeight="1">
      <x:c r="A137" s="4" t="str">
        <x:v>RN-133</x:v>
      </x:c>
      <x:c r="B137" s="4" t="str">
        <x:v>PD-WRL-005</x:v>
      </x:c>
      <x:c r="C137" s="4" t="str">
        <x:v>T1980</x:v>
      </x:c>
      <x:c r="D137" s="4" t="str">
        <x:v>projection</x:v>
      </x:c>
      <x:c r="E137" s="4" t="str">
        <x:v>SP_800_181_2_2_0</x:v>
      </x:c>
      <x:c r="F137" s="4" t="str">
        <x:v>F001 / 2.2.0</x:v>
      </x:c>
      <x:c r="G137" s="12" t="n">
        <x:f>COUNTIFS('13_Relaciones_NICE'!$B$5:$B$186,B137,'13_Relaciones_NICE'!$C$5:$C$186,C137)-1</x:f>
        <x:v>0</x:v>
      </x:c>
      <x:c r="H137" s="12" t="n">
        <x:f>IF(AND(COUNTIF('03_NICE'!$A$5:$A$57,B137)+COUNTIF('04_TKS'!$A$5:$A$72,B137)=1,COUNTIF('03_NICE'!$A$5:$A$57,C137)+COUNTIF('04_TKS'!$A$5:$A$72,C137)=1),0,1)</x:f>
        <x:v>0</x:v>
      </x:c>
    </x:row>
    <x:row r="138" ht="47" customHeight="1">
      <x:c r="A138" s="4" t="str">
        <x:v>RN-134</x:v>
      </x:c>
      <x:c r="B138" s="4" t="str">
        <x:v>PD-WRL-006</x:v>
      </x:c>
      <x:c r="C138" s="4" t="str">
        <x:v>K0658</x:v>
      </x:c>
      <x:c r="D138" s="4" t="str">
        <x:v>projection</x:v>
      </x:c>
      <x:c r="E138" s="4" t="str">
        <x:v>SP_800_181_2_2_0</x:v>
      </x:c>
      <x:c r="F138" s="4" t="str">
        <x:v>F001 / 2.2.0</x:v>
      </x:c>
      <x:c r="G138" s="12" t="n">
        <x:f>COUNTIFS('13_Relaciones_NICE'!$B$5:$B$186,B138,'13_Relaciones_NICE'!$C$5:$C$186,C138)-1</x:f>
        <x:v>0</x:v>
      </x:c>
      <x:c r="H138" s="12" t="n">
        <x:f>IF(AND(COUNTIF('03_NICE'!$A$5:$A$57,B138)+COUNTIF('04_TKS'!$A$5:$A$72,B138)=1,COUNTIF('03_NICE'!$A$5:$A$57,C138)+COUNTIF('04_TKS'!$A$5:$A$72,C138)=1),0,1)</x:f>
        <x:v>0</x:v>
      </x:c>
    </x:row>
    <x:row r="139" ht="47" customHeight="1">
      <x:c r="A139" s="4" t="str">
        <x:v>RN-135</x:v>
      </x:c>
      <x:c r="B139" s="4" t="str">
        <x:v>PD-WRL-006</x:v>
      </x:c>
      <x:c r="C139" s="4" t="str">
        <x:v>S0443</x:v>
      </x:c>
      <x:c r="D139" s="4" t="str">
        <x:v>projection</x:v>
      </x:c>
      <x:c r="E139" s="4" t="str">
        <x:v>SP_800_181_2_2_0</x:v>
      </x:c>
      <x:c r="F139" s="4" t="str">
        <x:v>F001 / 2.2.0</x:v>
      </x:c>
      <x:c r="G139" s="12" t="n">
        <x:f>COUNTIFS('13_Relaciones_NICE'!$B$5:$B$186,B139,'13_Relaciones_NICE'!$C$5:$C$186,C139)-1</x:f>
        <x:v>0</x:v>
      </x:c>
      <x:c r="H139" s="12" t="n">
        <x:f>IF(AND(COUNTIF('03_NICE'!$A$5:$A$57,B139)+COUNTIF('04_TKS'!$A$5:$A$72,B139)=1,COUNTIF('03_NICE'!$A$5:$A$57,C139)+COUNTIF('04_TKS'!$A$5:$A$72,C139)=1),0,1)</x:f>
        <x:v>0</x:v>
      </x:c>
    </x:row>
    <x:row r="140" ht="47" customHeight="1">
      <x:c r="A140" s="4" t="str">
        <x:v>RN-136</x:v>
      </x:c>
      <x:c r="B140" s="4" t="str">
        <x:v>PD-WRL-006</x:v>
      </x:c>
      <x:c r="C140" s="4" t="str">
        <x:v>T1020</x:v>
      </x:c>
      <x:c r="D140" s="4" t="str">
        <x:v>projection</x:v>
      </x:c>
      <x:c r="E140" s="4" t="str">
        <x:v>SP_800_181_2_2_0</x:v>
      </x:c>
      <x:c r="F140" s="4" t="str">
        <x:v>F001 / 2.2.0</x:v>
      </x:c>
      <x:c r="G140" s="12" t="n">
        <x:f>COUNTIFS('13_Relaciones_NICE'!$B$5:$B$186,B140,'13_Relaciones_NICE'!$C$5:$C$186,C140)-1</x:f>
        <x:v>0</x:v>
      </x:c>
      <x:c r="H140" s="12" t="n">
        <x:f>IF(AND(COUNTIF('03_NICE'!$A$5:$A$57,B140)+COUNTIF('04_TKS'!$A$5:$A$72,B140)=1,COUNTIF('03_NICE'!$A$5:$A$57,C140)+COUNTIF('04_TKS'!$A$5:$A$72,C140)=1),0,1)</x:f>
        <x:v>0</x:v>
      </x:c>
    </x:row>
    <x:row r="141" ht="47" customHeight="1">
      <x:c r="A141" s="4" t="str">
        <x:v>RN-137</x:v>
      </x:c>
      <x:c r="B141" s="4" t="str">
        <x:v>PD-WRL-007</x:v>
      </x:c>
      <x:c r="C141" s="4" t="str">
        <x:v>K0742</x:v>
      </x:c>
      <x:c r="D141" s="4" t="str">
        <x:v>projection</x:v>
      </x:c>
      <x:c r="E141" s="4" t="str">
        <x:v>SP_800_181_2_2_0</x:v>
      </x:c>
      <x:c r="F141" s="4" t="str">
        <x:v>F001 / 2.2.0</x:v>
      </x:c>
      <x:c r="G141" s="12" t="n">
        <x:f>COUNTIFS('13_Relaciones_NICE'!$B$5:$B$186,B141,'13_Relaciones_NICE'!$C$5:$C$186,C141)-1</x:f>
        <x:v>0</x:v>
      </x:c>
      <x:c r="H141" s="12" t="n">
        <x:f>IF(AND(COUNTIF('03_NICE'!$A$5:$A$57,B141)+COUNTIF('04_TKS'!$A$5:$A$72,B141)=1,COUNTIF('03_NICE'!$A$5:$A$57,C141)+COUNTIF('04_TKS'!$A$5:$A$72,C141)=1),0,1)</x:f>
        <x:v>0</x:v>
      </x:c>
    </x:row>
    <x:row r="142" ht="47" customHeight="1">
      <x:c r="A142" s="4" t="str">
        <x:v>RN-138</x:v>
      </x:c>
      <x:c r="B142" s="4" t="str">
        <x:v>PD-WRL-007</x:v>
      </x:c>
      <x:c r="C142" s="4" t="str">
        <x:v>T1020</x:v>
      </x:c>
      <x:c r="D142" s="4" t="str">
        <x:v>projection</x:v>
      </x:c>
      <x:c r="E142" s="4" t="str">
        <x:v>SP_800_181_2_2_0</x:v>
      </x:c>
      <x:c r="F142" s="4" t="str">
        <x:v>F001 / 2.2.0</x:v>
      </x:c>
      <x:c r="G142" s="12" t="n">
        <x:f>COUNTIFS('13_Relaciones_NICE'!$B$5:$B$186,B142,'13_Relaciones_NICE'!$C$5:$C$186,C142)-1</x:f>
        <x:v>0</x:v>
      </x:c>
      <x:c r="H142" s="12" t="n">
        <x:f>IF(AND(COUNTIF('03_NICE'!$A$5:$A$57,B142)+COUNTIF('04_TKS'!$A$5:$A$72,B142)=1,COUNTIF('03_NICE'!$A$5:$A$57,C142)+COUNTIF('04_TKS'!$A$5:$A$72,C142)=1),0,1)</x:f>
        <x:v>0</x:v>
      </x:c>
    </x:row>
    <x:row r="143" ht="47" customHeight="1">
      <x:c r="A143" s="4" t="str">
        <x:v>RN-139</x:v>
      </x:c>
      <x:c r="B143" s="4" t="str">
        <x:v>PD-WRL-007</x:v>
      </x:c>
      <x:c r="C143" s="4" t="str">
        <x:v>T1118</x:v>
      </x:c>
      <x:c r="D143" s="4" t="str">
        <x:v>projection</x:v>
      </x:c>
      <x:c r="E143" s="4" t="str">
        <x:v>SP_800_181_2_2_0</x:v>
      </x:c>
      <x:c r="F143" s="4" t="str">
        <x:v>F001 / 2.2.0</x:v>
      </x:c>
      <x:c r="G143" s="12" t="n">
        <x:f>COUNTIFS('13_Relaciones_NICE'!$B$5:$B$186,B143,'13_Relaciones_NICE'!$C$5:$C$186,C143)-1</x:f>
        <x:v>0</x:v>
      </x:c>
      <x:c r="H143" s="12" t="n">
        <x:f>IF(AND(COUNTIF('03_NICE'!$A$5:$A$57,B143)+COUNTIF('04_TKS'!$A$5:$A$72,B143)=1,COUNTIF('03_NICE'!$A$5:$A$57,C143)+COUNTIF('04_TKS'!$A$5:$A$72,C143)=1),0,1)</x:f>
        <x:v>0</x:v>
      </x:c>
    </x:row>
    <x:row r="144" ht="47" customHeight="1">
      <x:c r="A144" s="4" t="str">
        <x:v>RN-140</x:v>
      </x:c>
      <x:c r="B144" s="4" t="str">
        <x:v>PD-WRL-007</x:v>
      </x:c>
      <x:c r="C144" s="4" t="str">
        <x:v>T1119</x:v>
      </x:c>
      <x:c r="D144" s="4" t="str">
        <x:v>projection</x:v>
      </x:c>
      <x:c r="E144" s="4" t="str">
        <x:v>SP_800_181_2_2_0</x:v>
      </x:c>
      <x:c r="F144" s="4" t="str">
        <x:v>F001 / 2.2.0</x:v>
      </x:c>
      <x:c r="G144" s="12" t="n">
        <x:f>COUNTIFS('13_Relaciones_NICE'!$B$5:$B$186,B144,'13_Relaciones_NICE'!$C$5:$C$186,C144)-1</x:f>
        <x:v>0</x:v>
      </x:c>
      <x:c r="H144" s="12" t="n">
        <x:f>IF(AND(COUNTIF('03_NICE'!$A$5:$A$57,B144)+COUNTIF('04_TKS'!$A$5:$A$72,B144)=1,COUNTIF('03_NICE'!$A$5:$A$57,C144)+COUNTIF('04_TKS'!$A$5:$A$72,C144)=1),0,1)</x:f>
        <x:v>0</x:v>
      </x:c>
    </x:row>
    <x:row r="145" ht="47" customHeight="1">
      <x:c r="A145" s="4" t="str">
        <x:v>RN-141</x:v>
      </x:c>
      <x:c r="B145" s="4" t="str">
        <x:v>IN-WRL-001</x:v>
      </x:c>
      <x:c r="C145" s="4" t="str">
        <x:v>T0173</x:v>
      </x:c>
      <x:c r="D145" s="4" t="str">
        <x:v>projection</x:v>
      </x:c>
      <x:c r="E145" s="4" t="str">
        <x:v>SP_800_181_2_2_0</x:v>
      </x:c>
      <x:c r="F145" s="4" t="str">
        <x:v>F001 / 2.2.0</x:v>
      </x:c>
      <x:c r="G145" s="12" t="n">
        <x:f>COUNTIFS('13_Relaciones_NICE'!$B$5:$B$186,B145,'13_Relaciones_NICE'!$C$5:$C$186,C145)-1</x:f>
        <x:v>0</x:v>
      </x:c>
      <x:c r="H145" s="12" t="n">
        <x:f>IF(AND(COUNTIF('03_NICE'!$A$5:$A$57,B145)+COUNTIF('04_TKS'!$A$5:$A$72,B145)=1,COUNTIF('03_NICE'!$A$5:$A$57,C145)+COUNTIF('04_TKS'!$A$5:$A$72,C145)=1),0,1)</x:f>
        <x:v>0</x:v>
      </x:c>
    </x:row>
    <x:row r="146" ht="47" customHeight="1">
      <x:c r="A146" s="4" t="str">
        <x:v>RN-142</x:v>
      </x:c>
      <x:c r="B146" s="4" t="str">
        <x:v>IN-WRL-001</x:v>
      </x:c>
      <x:c r="C146" s="4" t="str">
        <x:v>T1325</x:v>
      </x:c>
      <x:c r="D146" s="4" t="str">
        <x:v>projection</x:v>
      </x:c>
      <x:c r="E146" s="4" t="str">
        <x:v>SP_800_181_2_2_0</x:v>
      </x:c>
      <x:c r="F146" s="4" t="str">
        <x:v>F001 / 2.2.0</x:v>
      </x:c>
      <x:c r="G146" s="12" t="n">
        <x:f>COUNTIFS('13_Relaciones_NICE'!$B$5:$B$186,B146,'13_Relaciones_NICE'!$C$5:$C$186,C146)-1</x:f>
        <x:v>0</x:v>
      </x:c>
      <x:c r="H146" s="12" t="n">
        <x:f>IF(AND(COUNTIF('03_NICE'!$A$5:$A$57,B146)+COUNTIF('04_TKS'!$A$5:$A$72,B146)=1,COUNTIF('03_NICE'!$A$5:$A$57,C146)+COUNTIF('04_TKS'!$A$5:$A$72,C146)=1),0,1)</x:f>
        <x:v>0</x:v>
      </x:c>
    </x:row>
    <x:row r="147" ht="47" customHeight="1">
      <x:c r="A147" s="4" t="str">
        <x:v>RN-143</x:v>
      </x:c>
      <x:c r="B147" s="4" t="str">
        <x:v>IN-WRL-001</x:v>
      </x:c>
      <x:c r="C147" s="4" t="str">
        <x:v>T1510</x:v>
      </x:c>
      <x:c r="D147" s="4" t="str">
        <x:v>projection</x:v>
      </x:c>
      <x:c r="E147" s="4" t="str">
        <x:v>SP_800_181_2_2_0</x:v>
      </x:c>
      <x:c r="F147" s="4" t="str">
        <x:v>F001 / 2.2.0</x:v>
      </x:c>
      <x:c r="G147" s="12" t="n">
        <x:f>COUNTIFS('13_Relaciones_NICE'!$B$5:$B$186,B147,'13_Relaciones_NICE'!$C$5:$C$186,C147)-1</x:f>
        <x:v>0</x:v>
      </x:c>
      <x:c r="H147" s="12" t="n">
        <x:f>IF(AND(COUNTIF('03_NICE'!$A$5:$A$57,B147)+COUNTIF('04_TKS'!$A$5:$A$72,B147)=1,COUNTIF('03_NICE'!$A$5:$A$57,C147)+COUNTIF('04_TKS'!$A$5:$A$72,C147)=1),0,1)</x:f>
        <x:v>0</x:v>
      </x:c>
    </x:row>
    <x:row r="148" ht="47" customHeight="1">
      <x:c r="A148" s="4" t="str">
        <x:v>RN-144</x:v>
      </x:c>
      <x:c r="B148" s="4" t="str">
        <x:v>IN-WRL-002</x:v>
      </x:c>
      <x:c r="C148" s="4" t="str">
        <x:v>K1147</x:v>
      </x:c>
      <x:c r="D148" s="4" t="str">
        <x:v>projection</x:v>
      </x:c>
      <x:c r="E148" s="4" t="str">
        <x:v>SP_800_181_2_2_0</x:v>
      </x:c>
      <x:c r="F148" s="4" t="str">
        <x:v>F001 / 2.2.0</x:v>
      </x:c>
      <x:c r="G148" s="12" t="n">
        <x:f>COUNTIFS('13_Relaciones_NICE'!$B$5:$B$186,B148,'13_Relaciones_NICE'!$C$5:$C$186,C148)-1</x:f>
        <x:v>0</x:v>
      </x:c>
      <x:c r="H148" s="12" t="n">
        <x:f>IF(AND(COUNTIF('03_NICE'!$A$5:$A$57,B148)+COUNTIF('04_TKS'!$A$5:$A$72,B148)=1,COUNTIF('03_NICE'!$A$5:$A$57,C148)+COUNTIF('04_TKS'!$A$5:$A$72,C148)=1),0,1)</x:f>
        <x:v>0</x:v>
      </x:c>
    </x:row>
    <x:row r="149" ht="47" customHeight="1">
      <x:c r="A149" s="4" t="str">
        <x:v>RN-145</x:v>
      </x:c>
      <x:c r="B149" s="4" t="str">
        <x:v>IN-WRL-002</x:v>
      </x:c>
      <x:c r="C149" s="4" t="str">
        <x:v>T0173</x:v>
      </x:c>
      <x:c r="D149" s="4" t="str">
        <x:v>projection</x:v>
      </x:c>
      <x:c r="E149" s="4" t="str">
        <x:v>SP_800_181_2_2_0</x:v>
      </x:c>
      <x:c r="F149" s="4" t="str">
        <x:v>F001 / 2.2.0</x:v>
      </x:c>
      <x:c r="G149" s="12" t="n">
        <x:f>COUNTIFS('13_Relaciones_NICE'!$B$5:$B$186,B149,'13_Relaciones_NICE'!$C$5:$C$186,C149)-1</x:f>
        <x:v>0</x:v>
      </x:c>
      <x:c r="H149" s="12" t="n">
        <x:f>IF(AND(COUNTIF('03_NICE'!$A$5:$A$57,B149)+COUNTIF('04_TKS'!$A$5:$A$72,B149)=1,COUNTIF('03_NICE'!$A$5:$A$57,C149)+COUNTIF('04_TKS'!$A$5:$A$72,C149)=1),0,1)</x:f>
        <x:v>0</x:v>
      </x:c>
    </x:row>
    <x:row r="150" ht="47" customHeight="1">
      <x:c r="A150" s="4" t="str">
        <x:v>RN-146</x:v>
      </x:c>
      <x:c r="B150" s="4" t="str">
        <x:v>IN-WRL-002</x:v>
      </x:c>
      <x:c r="C150" s="4" t="str">
        <x:v>T1120</x:v>
      </x:c>
      <x:c r="D150" s="4" t="str">
        <x:v>projection</x:v>
      </x:c>
      <x:c r="E150" s="4" t="str">
        <x:v>SP_800_181_2_2_0</x:v>
      </x:c>
      <x:c r="F150" s="4" t="str">
        <x:v>F001 / 2.2.0</x:v>
      </x:c>
      <x:c r="G150" s="12" t="n">
        <x:f>COUNTIFS('13_Relaciones_NICE'!$B$5:$B$186,B150,'13_Relaciones_NICE'!$C$5:$C$186,C150)-1</x:f>
        <x:v>0</x:v>
      </x:c>
      <x:c r="H150" s="12" t="n">
        <x:f>IF(AND(COUNTIF('03_NICE'!$A$5:$A$57,B150)+COUNTIF('04_TKS'!$A$5:$A$72,B150)=1,COUNTIF('03_NICE'!$A$5:$A$57,C150)+COUNTIF('04_TKS'!$A$5:$A$72,C150)=1),0,1)</x:f>
        <x:v>0</x:v>
      </x:c>
    </x:row>
    <x:row r="151" ht="47" customHeight="1">
      <x:c r="A151" s="4" t="str">
        <x:v>RN-147</x:v>
      </x:c>
      <x:c r="B151" s="4" t="str">
        <x:v>IN-WRL-002</x:v>
      </x:c>
      <x:c r="C151" s="4" t="str">
        <x:v>T1175</x:v>
      </x:c>
      <x:c r="D151" s="4" t="str">
        <x:v>projection</x:v>
      </x:c>
      <x:c r="E151" s="4" t="str">
        <x:v>SP_800_181_2_2_0</x:v>
      </x:c>
      <x:c r="F151" s="4" t="str">
        <x:v>F001 / 2.2.0</x:v>
      </x:c>
      <x:c r="G151" s="12" t="n">
        <x:f>COUNTIFS('13_Relaciones_NICE'!$B$5:$B$186,B151,'13_Relaciones_NICE'!$C$5:$C$186,C151)-1</x:f>
        <x:v>0</x:v>
      </x:c>
      <x:c r="H151" s="12" t="n">
        <x:f>IF(AND(COUNTIF('03_NICE'!$A$5:$A$57,B151)+COUNTIF('04_TKS'!$A$5:$A$72,B151)=1,COUNTIF('03_NICE'!$A$5:$A$57,C151)+COUNTIF('04_TKS'!$A$5:$A$72,C151)=1),0,1)</x:f>
        <x:v>0</x:v>
      </x:c>
    </x:row>
    <x:row r="152" ht="47" customHeight="1">
      <x:c r="A152" s="4" t="str">
        <x:v>RN-148</x:v>
      </x:c>
      <x:c r="B152" s="4" t="str">
        <x:v>IN-WRL-002</x:v>
      </x:c>
      <x:c r="C152" s="4" t="str">
        <x:v>T1325</x:v>
      </x:c>
      <x:c r="D152" s="4" t="str">
        <x:v>projection</x:v>
      </x:c>
      <x:c r="E152" s="4" t="str">
        <x:v>SP_800_181_2_2_0</x:v>
      </x:c>
      <x:c r="F152" s="4" t="str">
        <x:v>F001 / 2.2.0</x:v>
      </x:c>
      <x:c r="G152" s="12" t="n">
        <x:f>COUNTIFS('13_Relaciones_NICE'!$B$5:$B$186,B152,'13_Relaciones_NICE'!$C$5:$C$186,C152)-1</x:f>
        <x:v>0</x:v>
      </x:c>
      <x:c r="H152" s="12" t="n">
        <x:f>IF(AND(COUNTIF('03_NICE'!$A$5:$A$57,B152)+COUNTIF('04_TKS'!$A$5:$A$72,B152)=1,COUNTIF('03_NICE'!$A$5:$A$57,C152)+COUNTIF('04_TKS'!$A$5:$A$72,C152)=1),0,1)</x:f>
        <x:v>0</x:v>
      </x:c>
    </x:row>
    <x:row r="153" ht="47" customHeight="1">
      <x:c r="A153" s="4" t="str">
        <x:v>RN-149</x:v>
      </x:c>
      <x:c r="B153" s="4" t="str">
        <x:v>IN-WRL-002</x:v>
      </x:c>
      <x:c r="C153" s="4" t="str">
        <x:v>T1542</x:v>
      </x:c>
      <x:c r="D153" s="4" t="str">
        <x:v>projection</x:v>
      </x:c>
      <x:c r="E153" s="4" t="str">
        <x:v>SP_800_181_2_2_0</x:v>
      </x:c>
      <x:c r="F153" s="4" t="str">
        <x:v>F001 / 2.2.0</x:v>
      </x:c>
      <x:c r="G153" s="12" t="n">
        <x:f>COUNTIFS('13_Relaciones_NICE'!$B$5:$B$186,B153,'13_Relaciones_NICE'!$C$5:$C$186,C153)-1</x:f>
        <x:v>0</x:v>
      </x:c>
      <x:c r="H153" s="12" t="n">
        <x:f>IF(AND(COUNTIF('03_NICE'!$A$5:$A$57,B153)+COUNTIF('04_TKS'!$A$5:$A$72,B153)=1,COUNTIF('03_NICE'!$A$5:$A$57,C153)+COUNTIF('04_TKS'!$A$5:$A$72,C153)=1),0,1)</x:f>
        <x:v>0</x:v>
      </x:c>
    </x:row>
    <x:row r="154" ht="47" customHeight="1">
      <x:c r="A154" s="4" t="str">
        <x:v>RN-150</x:v>
      </x:c>
      <x:c r="B154" s="4" t="str">
        <x:v>NF-COM-002</x:v>
      </x:c>
      <x:c r="C154" s="4" t="str">
        <x:v>K0658</x:v>
      </x:c>
      <x:c r="D154" s="4" t="str">
        <x:v>projection</x:v>
      </x:c>
      <x:c r="E154" s="4" t="str">
        <x:v>SP_800_181_2_2_0</x:v>
      </x:c>
      <x:c r="F154" s="4" t="str">
        <x:v>F001 / 2.2.0</x:v>
      </x:c>
      <x:c r="G154" s="12" t="n">
        <x:f>COUNTIFS('13_Relaciones_NICE'!$B$5:$B$186,B154,'13_Relaciones_NICE'!$C$5:$C$186,C154)-1</x:f>
        <x:v>0</x:v>
      </x:c>
      <x:c r="H154" s="12" t="n">
        <x:f>IF(AND(COUNTIF('03_NICE'!$A$5:$A$57,B154)+COUNTIF('04_TKS'!$A$5:$A$72,B154)=1,COUNTIF('03_NICE'!$A$5:$A$57,C154)+COUNTIF('04_TKS'!$A$5:$A$72,C154)=1),0,1)</x:f>
        <x:v>0</x:v>
      </x:c>
    </x:row>
    <x:row r="155" ht="47" customHeight="1">
      <x:c r="A155" s="4" t="str">
        <x:v>RN-151</x:v>
      </x:c>
      <x:c r="B155" s="4" t="str">
        <x:v>NF-COM-002</x:v>
      </x:c>
      <x:c r="C155" s="4" t="str">
        <x:v>K0711</x:v>
      </x:c>
      <x:c r="D155" s="4" t="str">
        <x:v>projection</x:v>
      </x:c>
      <x:c r="E155" s="4" t="str">
        <x:v>SP_800_181_2_2_0</x:v>
      </x:c>
      <x:c r="F155" s="4" t="str">
        <x:v>F001 / 2.2.0</x:v>
      </x:c>
      <x:c r="G155" s="12" t="n">
        <x:f>COUNTIFS('13_Relaciones_NICE'!$B$5:$B$186,B155,'13_Relaciones_NICE'!$C$5:$C$186,C155)-1</x:f>
        <x:v>0</x:v>
      </x:c>
      <x:c r="H155" s="12" t="n">
        <x:f>IF(AND(COUNTIF('03_NICE'!$A$5:$A$57,B155)+COUNTIF('04_TKS'!$A$5:$A$72,B155)=1,COUNTIF('03_NICE'!$A$5:$A$57,C155)+COUNTIF('04_TKS'!$A$5:$A$72,C155)=1),0,1)</x:f>
        <x:v>0</x:v>
      </x:c>
    </x:row>
    <x:row r="156" ht="47" customHeight="1">
      <x:c r="A156" s="4" t="str">
        <x:v>RN-152</x:v>
      </x:c>
      <x:c r="B156" s="4" t="str">
        <x:v>NF-COM-002</x:v>
      </x:c>
      <x:c r="C156" s="4" t="str">
        <x:v>K0742</x:v>
      </x:c>
      <x:c r="D156" s="4" t="str">
        <x:v>projection</x:v>
      </x:c>
      <x:c r="E156" s="4" t="str">
        <x:v>SP_800_181_2_2_0</x:v>
      </x:c>
      <x:c r="F156" s="4" t="str">
        <x:v>F001 / 2.2.0</x:v>
      </x:c>
      <x:c r="G156" s="12" t="n">
        <x:f>COUNTIFS('13_Relaciones_NICE'!$B$5:$B$186,B156,'13_Relaciones_NICE'!$C$5:$C$186,C156)-1</x:f>
        <x:v>0</x:v>
      </x:c>
      <x:c r="H156" s="12" t="n">
        <x:f>IF(AND(COUNTIF('03_NICE'!$A$5:$A$57,B156)+COUNTIF('04_TKS'!$A$5:$A$72,B156)=1,COUNTIF('03_NICE'!$A$5:$A$57,C156)+COUNTIF('04_TKS'!$A$5:$A$72,C156)=1),0,1)</x:f>
        <x:v>0</x:v>
      </x:c>
    </x:row>
    <x:row r="157" ht="47" customHeight="1">
      <x:c r="A157" s="4" t="str">
        <x:v>RN-153</x:v>
      </x:c>
      <x:c r="B157" s="4" t="str">
        <x:v>NF-COM-002</x:v>
      </x:c>
      <x:c r="C157" s="4" t="str">
        <x:v>K0904</x:v>
      </x:c>
      <x:c r="D157" s="4" t="str">
        <x:v>projection</x:v>
      </x:c>
      <x:c r="E157" s="4" t="str">
        <x:v>SP_800_181_2_2_0</x:v>
      </x:c>
      <x:c r="F157" s="4" t="str">
        <x:v>F001 / 2.2.0</x:v>
      </x:c>
      <x:c r="G157" s="12" t="n">
        <x:f>COUNTIFS('13_Relaciones_NICE'!$B$5:$B$186,B157,'13_Relaciones_NICE'!$C$5:$C$186,C157)-1</x:f>
        <x:v>0</x:v>
      </x:c>
      <x:c r="H157" s="12" t="n">
        <x:f>IF(AND(COUNTIF('03_NICE'!$A$5:$A$57,B157)+COUNTIF('04_TKS'!$A$5:$A$72,B157)=1,COUNTIF('03_NICE'!$A$5:$A$57,C157)+COUNTIF('04_TKS'!$A$5:$A$72,C157)=1),0,1)</x:f>
        <x:v>0</x:v>
      </x:c>
    </x:row>
    <x:row r="158" ht="47" customHeight="1">
      <x:c r="A158" s="4" t="str">
        <x:v>RN-154</x:v>
      </x:c>
      <x:c r="B158" s="4" t="str">
        <x:v>NF-COM-002</x:v>
      </x:c>
      <x:c r="C158" s="4" t="str">
        <x:v>K1147</x:v>
      </x:c>
      <x:c r="D158" s="4" t="str">
        <x:v>projection</x:v>
      </x:c>
      <x:c r="E158" s="4" t="str">
        <x:v>SP_800_181_2_2_0</x:v>
      </x:c>
      <x:c r="F158" s="4" t="str">
        <x:v>F001 / 2.2.0</x:v>
      </x:c>
      <x:c r="G158" s="12" t="n">
        <x:f>COUNTIFS('13_Relaciones_NICE'!$B$5:$B$186,B158,'13_Relaciones_NICE'!$C$5:$C$186,C158)-1</x:f>
        <x:v>0</x:v>
      </x:c>
      <x:c r="H158" s="12" t="n">
        <x:f>IF(AND(COUNTIF('03_NICE'!$A$5:$A$57,B158)+COUNTIF('04_TKS'!$A$5:$A$72,B158)=1,COUNTIF('03_NICE'!$A$5:$A$57,C158)+COUNTIF('04_TKS'!$A$5:$A$72,C158)=1),0,1)</x:f>
        <x:v>0</x:v>
      </x:c>
    </x:row>
    <x:row r="159" ht="47" customHeight="1">
      <x:c r="A159" s="4" t="str">
        <x:v>RN-155</x:v>
      </x:c>
      <x:c r="B159" s="4" t="str">
        <x:v>NF-COM-002</x:v>
      </x:c>
      <x:c r="C159" s="4" t="str">
        <x:v>K1317</x:v>
      </x:c>
      <x:c r="D159" s="4" t="str">
        <x:v>projection</x:v>
      </x:c>
      <x:c r="E159" s="4" t="str">
        <x:v>SP_800_181_2_2_0</x:v>
      </x:c>
      <x:c r="F159" s="4" t="str">
        <x:v>F001 / 2.2.0</x:v>
      </x:c>
      <x:c r="G159" s="12" t="n">
        <x:f>COUNTIFS('13_Relaciones_NICE'!$B$5:$B$186,B159,'13_Relaciones_NICE'!$C$5:$C$186,C159)-1</x:f>
        <x:v>0</x:v>
      </x:c>
      <x:c r="H159" s="12" t="n">
        <x:f>IF(AND(COUNTIF('03_NICE'!$A$5:$A$57,B159)+COUNTIF('04_TKS'!$A$5:$A$72,B159)=1,COUNTIF('03_NICE'!$A$5:$A$57,C159)+COUNTIF('04_TKS'!$A$5:$A$72,C159)=1),0,1)</x:f>
        <x:v>0</x:v>
      </x:c>
    </x:row>
    <x:row r="160" ht="47" customHeight="1">
      <x:c r="A160" s="4" t="str">
        <x:v>RN-156</x:v>
      </x:c>
      <x:c r="B160" s="4" t="str">
        <x:v>NF-COM-002</x:v>
      </x:c>
      <x:c r="C160" s="4" t="str">
        <x:v>K1318</x:v>
      </x:c>
      <x:c r="D160" s="4" t="str">
        <x:v>projection</x:v>
      </x:c>
      <x:c r="E160" s="4" t="str">
        <x:v>SP_800_181_2_2_0</x:v>
      </x:c>
      <x:c r="F160" s="4" t="str">
        <x:v>F001 / 2.2.0</x:v>
      </x:c>
      <x:c r="G160" s="12" t="n">
        <x:f>COUNTIFS('13_Relaciones_NICE'!$B$5:$B$186,B160,'13_Relaciones_NICE'!$C$5:$C$186,C160)-1</x:f>
        <x:v>0</x:v>
      </x:c>
      <x:c r="H160" s="12" t="n">
        <x:f>IF(AND(COUNTIF('03_NICE'!$A$5:$A$57,B160)+COUNTIF('04_TKS'!$A$5:$A$72,B160)=1,COUNTIF('03_NICE'!$A$5:$A$57,C160)+COUNTIF('04_TKS'!$A$5:$A$72,C160)=1),0,1)</x:f>
        <x:v>0</x:v>
      </x:c>
    </x:row>
    <x:row r="161" ht="47" customHeight="1">
      <x:c r="A161" s="4" t="str">
        <x:v>RN-157</x:v>
      </x:c>
      <x:c r="B161" s="4" t="str">
        <x:v>NF-COM-002</x:v>
      </x:c>
      <x:c r="C161" s="4" t="str">
        <x:v>K1320</x:v>
      </x:c>
      <x:c r="D161" s="4" t="str">
        <x:v>projection</x:v>
      </x:c>
      <x:c r="E161" s="4" t="str">
        <x:v>SP_800_181_2_2_0</x:v>
      </x:c>
      <x:c r="F161" s="4" t="str">
        <x:v>F001 / 2.2.0</x:v>
      </x:c>
      <x:c r="G161" s="12" t="n">
        <x:f>COUNTIFS('13_Relaciones_NICE'!$B$5:$B$186,B161,'13_Relaciones_NICE'!$C$5:$C$186,C161)-1</x:f>
        <x:v>0</x:v>
      </x:c>
      <x:c r="H161" s="12" t="n">
        <x:f>IF(AND(COUNTIF('03_NICE'!$A$5:$A$57,B161)+COUNTIF('04_TKS'!$A$5:$A$72,B161)=1,COUNTIF('03_NICE'!$A$5:$A$57,C161)+COUNTIF('04_TKS'!$A$5:$A$72,C161)=1),0,1)</x:f>
        <x:v>0</x:v>
      </x:c>
    </x:row>
    <x:row r="162" ht="47" customHeight="1">
      <x:c r="A162" s="4" t="str">
        <x:v>RN-158</x:v>
      </x:c>
      <x:c r="B162" s="4" t="str">
        <x:v>NF-COM-002</x:v>
      </x:c>
      <x:c r="C162" s="4" t="str">
        <x:v>K1321</x:v>
      </x:c>
      <x:c r="D162" s="4" t="str">
        <x:v>projection</x:v>
      </x:c>
      <x:c r="E162" s="4" t="str">
        <x:v>SP_800_181_2_2_0</x:v>
      </x:c>
      <x:c r="F162" s="4" t="str">
        <x:v>F001 / 2.2.0</x:v>
      </x:c>
      <x:c r="G162" s="12" t="n">
        <x:f>COUNTIFS('13_Relaciones_NICE'!$B$5:$B$186,B162,'13_Relaciones_NICE'!$C$5:$C$186,C162)-1</x:f>
        <x:v>0</x:v>
      </x:c>
      <x:c r="H162" s="12" t="n">
        <x:f>IF(AND(COUNTIF('03_NICE'!$A$5:$A$57,B162)+COUNTIF('04_TKS'!$A$5:$A$72,B162)=1,COUNTIF('03_NICE'!$A$5:$A$57,C162)+COUNTIF('04_TKS'!$A$5:$A$72,C162)=1),0,1)</x:f>
        <x:v>0</x:v>
      </x:c>
    </x:row>
    <x:row r="163" ht="47" customHeight="1">
      <x:c r="A163" s="4" t="str">
        <x:v>RN-159</x:v>
      </x:c>
      <x:c r="B163" s="4" t="str">
        <x:v>NF-COM-002</x:v>
      </x:c>
      <x:c r="C163" s="4" t="str">
        <x:v>K1324</x:v>
      </x:c>
      <x:c r="D163" s="4" t="str">
        <x:v>projection</x:v>
      </x:c>
      <x:c r="E163" s="4" t="str">
        <x:v>SP_800_181_2_2_0</x:v>
      </x:c>
      <x:c r="F163" s="4" t="str">
        <x:v>F001 / 2.2.0</x:v>
      </x:c>
      <x:c r="G163" s="12" t="n">
        <x:f>COUNTIFS('13_Relaciones_NICE'!$B$5:$B$186,B163,'13_Relaciones_NICE'!$C$5:$C$186,C163)-1</x:f>
        <x:v>0</x:v>
      </x:c>
      <x:c r="H163" s="12" t="n">
        <x:f>IF(AND(COUNTIF('03_NICE'!$A$5:$A$57,B163)+COUNTIF('04_TKS'!$A$5:$A$72,B163)=1,COUNTIF('03_NICE'!$A$5:$A$57,C163)+COUNTIF('04_TKS'!$A$5:$A$72,C163)=1),0,1)</x:f>
        <x:v>0</x:v>
      </x:c>
    </x:row>
    <x:row r="164" ht="47" customHeight="1">
      <x:c r="A164" s="4" t="str">
        <x:v>RN-160</x:v>
      </x:c>
      <x:c r="B164" s="4" t="str">
        <x:v>NF-COM-002</x:v>
      </x:c>
      <x:c r="C164" s="4" t="str">
        <x:v>K1327</x:v>
      </x:c>
      <x:c r="D164" s="4" t="str">
        <x:v>projection</x:v>
      </x:c>
      <x:c r="E164" s="4" t="str">
        <x:v>SP_800_181_2_2_0</x:v>
      </x:c>
      <x:c r="F164" s="4" t="str">
        <x:v>F001 / 2.2.0</x:v>
      </x:c>
      <x:c r="G164" s="12" t="n">
        <x:f>COUNTIFS('13_Relaciones_NICE'!$B$5:$B$186,B164,'13_Relaciones_NICE'!$C$5:$C$186,C164)-1</x:f>
        <x:v>0</x:v>
      </x:c>
      <x:c r="H164" s="12" t="n">
        <x:f>IF(AND(COUNTIF('03_NICE'!$A$5:$A$57,B164)+COUNTIF('04_TKS'!$A$5:$A$72,B164)=1,COUNTIF('03_NICE'!$A$5:$A$57,C164)+COUNTIF('04_TKS'!$A$5:$A$72,C164)=1),0,1)</x:f>
        <x:v>0</x:v>
      </x:c>
    </x:row>
    <x:row r="165" ht="47" customHeight="1">
      <x:c r="A165" s="4" t="str">
        <x:v>RN-161</x:v>
      </x:c>
      <x:c r="B165" s="4" t="str">
        <x:v>NF-COM-002</x:v>
      </x:c>
      <x:c r="C165" s="4" t="str">
        <x:v>K1328</x:v>
      </x:c>
      <x:c r="D165" s="4" t="str">
        <x:v>projection</x:v>
      </x:c>
      <x:c r="E165" s="4" t="str">
        <x:v>SP_800_181_2_2_0</x:v>
      </x:c>
      <x:c r="F165" s="4" t="str">
        <x:v>F001 / 2.2.0</x:v>
      </x:c>
      <x:c r="G165" s="12" t="n">
        <x:f>COUNTIFS('13_Relaciones_NICE'!$B$5:$B$186,B165,'13_Relaciones_NICE'!$C$5:$C$186,C165)-1</x:f>
        <x:v>0</x:v>
      </x:c>
      <x:c r="H165" s="12" t="n">
        <x:f>IF(AND(COUNTIF('03_NICE'!$A$5:$A$57,B165)+COUNTIF('04_TKS'!$A$5:$A$72,B165)=1,COUNTIF('03_NICE'!$A$5:$A$57,C165)+COUNTIF('04_TKS'!$A$5:$A$72,C165)=1),0,1)</x:f>
        <x:v>0</x:v>
      </x:c>
    </x:row>
    <x:row r="166" ht="47" customHeight="1">
      <x:c r="A166" s="4" t="str">
        <x:v>RN-162</x:v>
      </x:c>
      <x:c r="B166" s="4" t="str">
        <x:v>NF-COM-002</x:v>
      </x:c>
      <x:c r="C166" s="4" t="str">
        <x:v>K1329</x:v>
      </x:c>
      <x:c r="D166" s="4" t="str">
        <x:v>projection</x:v>
      </x:c>
      <x:c r="E166" s="4" t="str">
        <x:v>SP_800_181_2_2_0</x:v>
      </x:c>
      <x:c r="F166" s="4" t="str">
        <x:v>F001 / 2.2.0</x:v>
      </x:c>
      <x:c r="G166" s="12" t="n">
        <x:f>COUNTIFS('13_Relaciones_NICE'!$B$5:$B$186,B166,'13_Relaciones_NICE'!$C$5:$C$186,C166)-1</x:f>
        <x:v>0</x:v>
      </x:c>
      <x:c r="H166" s="12" t="n">
        <x:f>IF(AND(COUNTIF('03_NICE'!$A$5:$A$57,B166)+COUNTIF('04_TKS'!$A$5:$A$72,B166)=1,COUNTIF('03_NICE'!$A$5:$A$57,C166)+COUNTIF('04_TKS'!$A$5:$A$72,C166)=1),0,1)</x:f>
        <x:v>0</x:v>
      </x:c>
    </x:row>
    <x:row r="167" ht="47" customHeight="1">
      <x:c r="A167" s="4" t="str">
        <x:v>RN-163</x:v>
      </x:c>
      <x:c r="B167" s="4" t="str">
        <x:v>NF-COM-002</x:v>
      </x:c>
      <x:c r="C167" s="4" t="str">
        <x:v>K1332</x:v>
      </x:c>
      <x:c r="D167" s="4" t="str">
        <x:v>projection</x:v>
      </x:c>
      <x:c r="E167" s="4" t="str">
        <x:v>SP_800_181_2_2_0</x:v>
      </x:c>
      <x:c r="F167" s="4" t="str">
        <x:v>F001 / 2.2.0</x:v>
      </x:c>
      <x:c r="G167" s="12" t="n">
        <x:f>COUNTIFS('13_Relaciones_NICE'!$B$5:$B$186,B167,'13_Relaciones_NICE'!$C$5:$C$186,C167)-1</x:f>
        <x:v>0</x:v>
      </x:c>
      <x:c r="H167" s="12" t="n">
        <x:f>IF(AND(COUNTIF('03_NICE'!$A$5:$A$57,B167)+COUNTIF('04_TKS'!$A$5:$A$72,B167)=1,COUNTIF('03_NICE'!$A$5:$A$57,C167)+COUNTIF('04_TKS'!$A$5:$A$72,C167)=1),0,1)</x:f>
        <x:v>0</x:v>
      </x:c>
    </x:row>
    <x:row r="168" ht="47" customHeight="1">
      <x:c r="A168" s="4" t="str">
        <x:v>RN-164</x:v>
      </x:c>
      <x:c r="B168" s="4" t="str">
        <x:v>NF-COM-002</x:v>
      </x:c>
      <x:c r="C168" s="4" t="str">
        <x:v>K1333</x:v>
      </x:c>
      <x:c r="D168" s="4" t="str">
        <x:v>projection</x:v>
      </x:c>
      <x:c r="E168" s="4" t="str">
        <x:v>SP_800_181_2_2_0</x:v>
      </x:c>
      <x:c r="F168" s="4" t="str">
        <x:v>F001 / 2.2.0</x:v>
      </x:c>
      <x:c r="G168" s="12" t="n">
        <x:f>COUNTIFS('13_Relaciones_NICE'!$B$5:$B$186,B168,'13_Relaciones_NICE'!$C$5:$C$186,C168)-1</x:f>
        <x:v>0</x:v>
      </x:c>
      <x:c r="H168" s="12" t="n">
        <x:f>IF(AND(COUNTIF('03_NICE'!$A$5:$A$57,B168)+COUNTIF('04_TKS'!$A$5:$A$72,B168)=1,COUNTIF('03_NICE'!$A$5:$A$57,C168)+COUNTIF('04_TKS'!$A$5:$A$72,C168)=1),0,1)</x:f>
        <x:v>0</x:v>
      </x:c>
    </x:row>
    <x:row r="169" ht="47" customHeight="1">
      <x:c r="A169" s="4" t="str">
        <x:v>RN-165</x:v>
      </x:c>
      <x:c r="B169" s="4" t="str">
        <x:v>NF-COM-002</x:v>
      </x:c>
      <x:c r="C169" s="4" t="str">
        <x:v>K1334</x:v>
      </x:c>
      <x:c r="D169" s="4" t="str">
        <x:v>projection</x:v>
      </x:c>
      <x:c r="E169" s="4" t="str">
        <x:v>SP_800_181_2_2_0</x:v>
      </x:c>
      <x:c r="F169" s="4" t="str">
        <x:v>F001 / 2.2.0</x:v>
      </x:c>
      <x:c r="G169" s="12" t="n">
        <x:f>COUNTIFS('13_Relaciones_NICE'!$B$5:$B$186,B169,'13_Relaciones_NICE'!$C$5:$C$186,C169)-1</x:f>
        <x:v>0</x:v>
      </x:c>
      <x:c r="H169" s="12" t="n">
        <x:f>IF(AND(COUNTIF('03_NICE'!$A$5:$A$57,B169)+COUNTIF('04_TKS'!$A$5:$A$72,B169)=1,COUNTIF('03_NICE'!$A$5:$A$57,C169)+COUNTIF('04_TKS'!$A$5:$A$72,C169)=1),0,1)</x:f>
        <x:v>0</x:v>
      </x:c>
    </x:row>
    <x:row r="170" ht="47" customHeight="1">
      <x:c r="A170" s="4" t="str">
        <x:v>RN-166</x:v>
      </x:c>
      <x:c r="B170" s="4" t="str">
        <x:v>NF-COM-002</x:v>
      </x:c>
      <x:c r="C170" s="4" t="str">
        <x:v>K1335</x:v>
      </x:c>
      <x:c r="D170" s="4" t="str">
        <x:v>projection</x:v>
      </x:c>
      <x:c r="E170" s="4" t="str">
        <x:v>SP_800_181_2_2_0</x:v>
      </x:c>
      <x:c r="F170" s="4" t="str">
        <x:v>F001 / 2.2.0</x:v>
      </x:c>
      <x:c r="G170" s="12" t="n">
        <x:f>COUNTIFS('13_Relaciones_NICE'!$B$5:$B$186,B170,'13_Relaciones_NICE'!$C$5:$C$186,C170)-1</x:f>
        <x:v>0</x:v>
      </x:c>
      <x:c r="H170" s="12" t="n">
        <x:f>IF(AND(COUNTIF('03_NICE'!$A$5:$A$57,B170)+COUNTIF('04_TKS'!$A$5:$A$72,B170)=1,COUNTIF('03_NICE'!$A$5:$A$57,C170)+COUNTIF('04_TKS'!$A$5:$A$72,C170)=1),0,1)</x:f>
        <x:v>0</x:v>
      </x:c>
    </x:row>
    <x:row r="171" ht="47" customHeight="1">
      <x:c r="A171" s="4" t="str">
        <x:v>RN-167</x:v>
      </x:c>
      <x:c r="B171" s="4" t="str">
        <x:v>NF-COM-002</x:v>
      </x:c>
      <x:c r="C171" s="4" t="str">
        <x:v>K1336</x:v>
      </x:c>
      <x:c r="D171" s="4" t="str">
        <x:v>projection</x:v>
      </x:c>
      <x:c r="E171" s="4" t="str">
        <x:v>SP_800_181_2_2_0</x:v>
      </x:c>
      <x:c r="F171" s="4" t="str">
        <x:v>F001 / 2.2.0</x:v>
      </x:c>
      <x:c r="G171" s="12" t="n">
        <x:f>COUNTIFS('13_Relaciones_NICE'!$B$5:$B$186,B171,'13_Relaciones_NICE'!$C$5:$C$186,C171)-1</x:f>
        <x:v>0</x:v>
      </x:c>
      <x:c r="H171" s="12" t="n">
        <x:f>IF(AND(COUNTIF('03_NICE'!$A$5:$A$57,B171)+COUNTIF('04_TKS'!$A$5:$A$72,B171)=1,COUNTIF('03_NICE'!$A$5:$A$57,C171)+COUNTIF('04_TKS'!$A$5:$A$72,C171)=1),0,1)</x:f>
        <x:v>0</x:v>
      </x:c>
    </x:row>
    <x:row r="172" ht="47" customHeight="1">
      <x:c r="A172" s="4" t="str">
        <x:v>RN-168</x:v>
      </x:c>
      <x:c r="B172" s="4" t="str">
        <x:v>NF-COM-002</x:v>
      </x:c>
      <x:c r="C172" s="4" t="str">
        <x:v>K1339</x:v>
      </x:c>
      <x:c r="D172" s="4" t="str">
        <x:v>projection</x:v>
      </x:c>
      <x:c r="E172" s="4" t="str">
        <x:v>SP_800_181_2_2_0</x:v>
      </x:c>
      <x:c r="F172" s="4" t="str">
        <x:v>F001 / 2.2.0</x:v>
      </x:c>
      <x:c r="G172" s="12" t="n">
        <x:f>COUNTIFS('13_Relaciones_NICE'!$B$5:$B$186,B172,'13_Relaciones_NICE'!$C$5:$C$186,C172)-1</x:f>
        <x:v>0</x:v>
      </x:c>
      <x:c r="H172" s="12" t="n">
        <x:f>IF(AND(COUNTIF('03_NICE'!$A$5:$A$57,B172)+COUNTIF('04_TKS'!$A$5:$A$72,B172)=1,COUNTIF('03_NICE'!$A$5:$A$57,C172)+COUNTIF('04_TKS'!$A$5:$A$72,C172)=1),0,1)</x:f>
        <x:v>0</x:v>
      </x:c>
    </x:row>
    <x:row r="173" ht="47" customHeight="1">
      <x:c r="A173" s="4" t="str">
        <x:v>RN-169</x:v>
      </x:c>
      <x:c r="B173" s="4" t="str">
        <x:v>NF-COM-002</x:v>
      </x:c>
      <x:c r="C173" s="4" t="str">
        <x:v>K1341</x:v>
      </x:c>
      <x:c r="D173" s="4" t="str">
        <x:v>projection</x:v>
      </x:c>
      <x:c r="E173" s="4" t="str">
        <x:v>SP_800_181_2_2_0</x:v>
      </x:c>
      <x:c r="F173" s="4" t="str">
        <x:v>F001 / 2.2.0</x:v>
      </x:c>
      <x:c r="G173" s="12" t="n">
        <x:f>COUNTIFS('13_Relaciones_NICE'!$B$5:$B$186,B173,'13_Relaciones_NICE'!$C$5:$C$186,C173)-1</x:f>
        <x:v>0</x:v>
      </x:c>
      <x:c r="H173" s="12" t="n">
        <x:f>IF(AND(COUNTIF('03_NICE'!$A$5:$A$57,B173)+COUNTIF('04_TKS'!$A$5:$A$72,B173)=1,COUNTIF('03_NICE'!$A$5:$A$57,C173)+COUNTIF('04_TKS'!$A$5:$A$72,C173)=1),0,1)</x:f>
        <x:v>0</x:v>
      </x:c>
    </x:row>
    <x:row r="174" ht="47" customHeight="1">
      <x:c r="A174" s="4" t="str">
        <x:v>RN-170</x:v>
      </x:c>
      <x:c r="B174" s="4" t="str">
        <x:v>NF-COM-002</x:v>
      </x:c>
      <x:c r="C174" s="4" t="str">
        <x:v>K1342</x:v>
      </x:c>
      <x:c r="D174" s="4" t="str">
        <x:v>projection</x:v>
      </x:c>
      <x:c r="E174" s="4" t="str">
        <x:v>SP_800_181_2_2_0</x:v>
      </x:c>
      <x:c r="F174" s="4" t="str">
        <x:v>F001 / 2.2.0</x:v>
      </x:c>
      <x:c r="G174" s="12" t="n">
        <x:f>COUNTIFS('13_Relaciones_NICE'!$B$5:$B$186,B174,'13_Relaciones_NICE'!$C$5:$C$186,C174)-1</x:f>
        <x:v>0</x:v>
      </x:c>
      <x:c r="H174" s="12" t="n">
        <x:f>IF(AND(COUNTIF('03_NICE'!$A$5:$A$57,B174)+COUNTIF('04_TKS'!$A$5:$A$72,B174)=1,COUNTIF('03_NICE'!$A$5:$A$57,C174)+COUNTIF('04_TKS'!$A$5:$A$72,C174)=1),0,1)</x:f>
        <x:v>0</x:v>
      </x:c>
    </x:row>
    <x:row r="175" ht="47" customHeight="1">
      <x:c r="A175" s="4" t="str">
        <x:v>RN-171</x:v>
      </x:c>
      <x:c r="B175" s="4" t="str">
        <x:v>NF-COM-002</x:v>
      </x:c>
      <x:c r="C175" s="4" t="str">
        <x:v>K1343</x:v>
      </x:c>
      <x:c r="D175" s="4" t="str">
        <x:v>projection</x:v>
      </x:c>
      <x:c r="E175" s="4" t="str">
        <x:v>SP_800_181_2_2_0</x:v>
      </x:c>
      <x:c r="F175" s="4" t="str">
        <x:v>F001 / 2.2.0</x:v>
      </x:c>
      <x:c r="G175" s="12" t="n">
        <x:f>COUNTIFS('13_Relaciones_NICE'!$B$5:$B$186,B175,'13_Relaciones_NICE'!$C$5:$C$186,C175)-1</x:f>
        <x:v>0</x:v>
      </x:c>
      <x:c r="H175" s="12" t="n">
        <x:f>IF(AND(COUNTIF('03_NICE'!$A$5:$A$57,B175)+COUNTIF('04_TKS'!$A$5:$A$72,B175)=1,COUNTIF('03_NICE'!$A$5:$A$57,C175)+COUNTIF('04_TKS'!$A$5:$A$72,C175)=1),0,1)</x:f>
        <x:v>0</x:v>
      </x:c>
    </x:row>
    <x:row r="176" ht="47" customHeight="1">
      <x:c r="A176" s="4" t="str">
        <x:v>RN-172</x:v>
      </x:c>
      <x:c r="B176" s="4" t="str">
        <x:v>NF-COM-002</x:v>
      </x:c>
      <x:c r="C176" s="4" t="str">
        <x:v>K1345</x:v>
      </x:c>
      <x:c r="D176" s="4" t="str">
        <x:v>projection</x:v>
      </x:c>
      <x:c r="E176" s="4" t="str">
        <x:v>SP_800_181_2_2_0</x:v>
      </x:c>
      <x:c r="F176" s="4" t="str">
        <x:v>F001 / 2.2.0</x:v>
      </x:c>
      <x:c r="G176" s="12" t="n">
        <x:f>COUNTIFS('13_Relaciones_NICE'!$B$5:$B$186,B176,'13_Relaciones_NICE'!$C$5:$C$186,C176)-1</x:f>
        <x:v>0</x:v>
      </x:c>
      <x:c r="H176" s="12" t="n">
        <x:f>IF(AND(COUNTIF('03_NICE'!$A$5:$A$57,B176)+COUNTIF('04_TKS'!$A$5:$A$72,B176)=1,COUNTIF('03_NICE'!$A$5:$A$57,C176)+COUNTIF('04_TKS'!$A$5:$A$72,C176)=1),0,1)</x:f>
        <x:v>0</x:v>
      </x:c>
    </x:row>
    <x:row r="177" ht="47" customHeight="1">
      <x:c r="A177" s="4" t="str">
        <x:v>RN-173</x:v>
      </x:c>
      <x:c r="B177" s="4" t="str">
        <x:v>NF-COM-002</x:v>
      </x:c>
      <x:c r="C177" s="4" t="str">
        <x:v>S0443</x:v>
      </x:c>
      <x:c r="D177" s="4" t="str">
        <x:v>projection</x:v>
      </x:c>
      <x:c r="E177" s="4" t="str">
        <x:v>SP_800_181_2_2_0</x:v>
      </x:c>
      <x:c r="F177" s="4" t="str">
        <x:v>F001 / 2.2.0</x:v>
      </x:c>
      <x:c r="G177" s="12" t="n">
        <x:f>COUNTIFS('13_Relaciones_NICE'!$B$5:$B$186,B177,'13_Relaciones_NICE'!$C$5:$C$186,C177)-1</x:f>
        <x:v>0</x:v>
      </x:c>
      <x:c r="H177" s="12" t="n">
        <x:f>IF(AND(COUNTIF('03_NICE'!$A$5:$A$57,B177)+COUNTIF('04_TKS'!$A$5:$A$72,B177)=1,COUNTIF('03_NICE'!$A$5:$A$57,C177)+COUNTIF('04_TKS'!$A$5:$A$72,C177)=1),0,1)</x:f>
        <x:v>0</x:v>
      </x:c>
    </x:row>
    <x:row r="178" ht="47" customHeight="1">
      <x:c r="A178" s="4" t="str">
        <x:v>RN-174</x:v>
      </x:c>
      <x:c r="B178" s="4" t="str">
        <x:v>NF-COM-002</x:v>
      </x:c>
      <x:c r="C178" s="4" t="str">
        <x:v>S0480</x:v>
      </x:c>
      <x:c r="D178" s="4" t="str">
        <x:v>projection</x:v>
      </x:c>
      <x:c r="E178" s="4" t="str">
        <x:v>SP_800_181_2_2_0</x:v>
      </x:c>
      <x:c r="F178" s="4" t="str">
        <x:v>F001 / 2.2.0</x:v>
      </x:c>
      <x:c r="G178" s="12" t="n">
        <x:f>COUNTIFS('13_Relaciones_NICE'!$B$5:$B$186,B178,'13_Relaciones_NICE'!$C$5:$C$186,C178)-1</x:f>
        <x:v>0</x:v>
      </x:c>
      <x:c r="H178" s="12" t="n">
        <x:f>IF(AND(COUNTIF('03_NICE'!$A$5:$A$57,B178)+COUNTIF('04_TKS'!$A$5:$A$72,B178)=1,COUNTIF('03_NICE'!$A$5:$A$57,C178)+COUNTIF('04_TKS'!$A$5:$A$72,C178)=1),0,1)</x:f>
        <x:v>0</x:v>
      </x:c>
    </x:row>
    <x:row r="179" ht="47" customHeight="1">
      <x:c r="A179" s="4" t="str">
        <x:v>RN-175</x:v>
      </x:c>
      <x:c r="B179" s="4" t="str">
        <x:v>NF-COM-002</x:v>
      </x:c>
      <x:c r="C179" s="4" t="str">
        <x:v>S0900</x:v>
      </x:c>
      <x:c r="D179" s="4" t="str">
        <x:v>projection</x:v>
      </x:c>
      <x:c r="E179" s="4" t="str">
        <x:v>SP_800_181_2_2_0</x:v>
      </x:c>
      <x:c r="F179" s="4" t="str">
        <x:v>F001 / 2.2.0</x:v>
      </x:c>
      <x:c r="G179" s="12" t="n">
        <x:f>COUNTIFS('13_Relaciones_NICE'!$B$5:$B$186,B179,'13_Relaciones_NICE'!$C$5:$C$186,C179)-1</x:f>
        <x:v>0</x:v>
      </x:c>
      <x:c r="H179" s="12" t="n">
        <x:f>IF(AND(COUNTIF('03_NICE'!$A$5:$A$57,B179)+COUNTIF('04_TKS'!$A$5:$A$72,B179)=1,COUNTIF('03_NICE'!$A$5:$A$57,C179)+COUNTIF('04_TKS'!$A$5:$A$72,C179)=1),0,1)</x:f>
        <x:v>0</x:v>
      </x:c>
    </x:row>
    <x:row r="180" ht="47" customHeight="1">
      <x:c r="A180" s="4" t="str">
        <x:v>RN-176</x:v>
      </x:c>
      <x:c r="B180" s="4" t="str">
        <x:v>NF-COM-002</x:v>
      </x:c>
      <x:c r="C180" s="4" t="str">
        <x:v>S0952</x:v>
      </x:c>
      <x:c r="D180" s="4" t="str">
        <x:v>projection</x:v>
      </x:c>
      <x:c r="E180" s="4" t="str">
        <x:v>SP_800_181_2_2_0</x:v>
      </x:c>
      <x:c r="F180" s="4" t="str">
        <x:v>F001 / 2.2.0</x:v>
      </x:c>
      <x:c r="G180" s="12" t="n">
        <x:f>COUNTIFS('13_Relaciones_NICE'!$B$5:$B$186,B180,'13_Relaciones_NICE'!$C$5:$C$186,C180)-1</x:f>
        <x:v>0</x:v>
      </x:c>
      <x:c r="H180" s="12" t="n">
        <x:f>IF(AND(COUNTIF('03_NICE'!$A$5:$A$57,B180)+COUNTIF('04_TKS'!$A$5:$A$72,B180)=1,COUNTIF('03_NICE'!$A$5:$A$57,C180)+COUNTIF('04_TKS'!$A$5:$A$72,C180)=1),0,1)</x:f>
        <x:v>0</x:v>
      </x:c>
    </x:row>
    <x:row r="181" ht="47" customHeight="1">
      <x:c r="A181" s="4" t="str">
        <x:v>RN-177</x:v>
      </x:c>
      <x:c r="B181" s="4" t="str">
        <x:v>NF-COM-002</x:v>
      </x:c>
      <x:c r="C181" s="4" t="str">
        <x:v>S0954</x:v>
      </x:c>
      <x:c r="D181" s="4" t="str">
        <x:v>projection</x:v>
      </x:c>
      <x:c r="E181" s="4" t="str">
        <x:v>SP_800_181_2_2_0</x:v>
      </x:c>
      <x:c r="F181" s="4" t="str">
        <x:v>F001 / 2.2.0</x:v>
      </x:c>
      <x:c r="G181" s="12" t="n">
        <x:f>COUNTIFS('13_Relaciones_NICE'!$B$5:$B$186,B181,'13_Relaciones_NICE'!$C$5:$C$186,C181)-1</x:f>
        <x:v>0</x:v>
      </x:c>
      <x:c r="H181" s="12" t="n">
        <x:f>IF(AND(COUNTIF('03_NICE'!$A$5:$A$57,B181)+COUNTIF('04_TKS'!$A$5:$A$72,B181)=1,COUNTIF('03_NICE'!$A$5:$A$57,C181)+COUNTIF('04_TKS'!$A$5:$A$72,C181)=1),0,1)</x:f>
        <x:v>0</x:v>
      </x:c>
    </x:row>
    <x:row r="182" ht="47" customHeight="1">
      <x:c r="A182" s="4" t="str">
        <x:v>RN-178</x:v>
      </x:c>
      <x:c r="B182" s="4" t="str">
        <x:v>NF-COM-002</x:v>
      </x:c>
      <x:c r="C182" s="4" t="str">
        <x:v>S0955</x:v>
      </x:c>
      <x:c r="D182" s="4" t="str">
        <x:v>projection</x:v>
      </x:c>
      <x:c r="E182" s="4" t="str">
        <x:v>SP_800_181_2_2_0</x:v>
      </x:c>
      <x:c r="F182" s="4" t="str">
        <x:v>F001 / 2.2.0</x:v>
      </x:c>
      <x:c r="G182" s="12" t="n">
        <x:f>COUNTIFS('13_Relaciones_NICE'!$B$5:$B$186,B182,'13_Relaciones_NICE'!$C$5:$C$186,C182)-1</x:f>
        <x:v>0</x:v>
      </x:c>
      <x:c r="H182" s="12" t="n">
        <x:f>IF(AND(COUNTIF('03_NICE'!$A$5:$A$57,B182)+COUNTIF('04_TKS'!$A$5:$A$72,B182)=1,COUNTIF('03_NICE'!$A$5:$A$57,C182)+COUNTIF('04_TKS'!$A$5:$A$72,C182)=1),0,1)</x:f>
        <x:v>0</x:v>
      </x:c>
    </x:row>
    <x:row r="183" ht="47" customHeight="1">
      <x:c r="A183" s="4" t="str">
        <x:v>RN-179</x:v>
      </x:c>
      <x:c r="B183" s="4" t="str">
        <x:v>NF-COM-002</x:v>
      </x:c>
      <x:c r="C183" s="4" t="str">
        <x:v>S0956</x:v>
      </x:c>
      <x:c r="D183" s="4" t="str">
        <x:v>projection</x:v>
      </x:c>
      <x:c r="E183" s="4" t="str">
        <x:v>SP_800_181_2_2_0</x:v>
      </x:c>
      <x:c r="F183" s="4" t="str">
        <x:v>F001 / 2.2.0</x:v>
      </x:c>
      <x:c r="G183" s="12" t="n">
        <x:f>COUNTIFS('13_Relaciones_NICE'!$B$5:$B$186,B183,'13_Relaciones_NICE'!$C$5:$C$186,C183)-1</x:f>
        <x:v>0</x:v>
      </x:c>
      <x:c r="H183" s="12" t="n">
        <x:f>IF(AND(COUNTIF('03_NICE'!$A$5:$A$57,B183)+COUNTIF('04_TKS'!$A$5:$A$72,B183)=1,COUNTIF('03_NICE'!$A$5:$A$57,C183)+COUNTIF('04_TKS'!$A$5:$A$72,C183)=1),0,1)</x:f>
        <x:v>0</x:v>
      </x:c>
    </x:row>
    <x:row r="184" ht="47" customHeight="1">
      <x:c r="A184" s="4" t="str">
        <x:v>RN-180</x:v>
      </x:c>
      <x:c r="B184" s="4" t="str">
        <x:v>NF-COM-002</x:v>
      </x:c>
      <x:c r="C184" s="4" t="str">
        <x:v>S0957</x:v>
      </x:c>
      <x:c r="D184" s="4" t="str">
        <x:v>projection</x:v>
      </x:c>
      <x:c r="E184" s="4" t="str">
        <x:v>SP_800_181_2_2_0</x:v>
      </x:c>
      <x:c r="F184" s="4" t="str">
        <x:v>F001 / 2.2.0</x:v>
      </x:c>
      <x:c r="G184" s="12" t="n">
        <x:f>COUNTIFS('13_Relaciones_NICE'!$B$5:$B$186,B184,'13_Relaciones_NICE'!$C$5:$C$186,C184)-1</x:f>
        <x:v>0</x:v>
      </x:c>
      <x:c r="H184" s="12" t="n">
        <x:f>IF(AND(COUNTIF('03_NICE'!$A$5:$A$57,B184)+COUNTIF('04_TKS'!$A$5:$A$72,B184)=1,COUNTIF('03_NICE'!$A$5:$A$57,C184)+COUNTIF('04_TKS'!$A$5:$A$72,C184)=1),0,1)</x:f>
        <x:v>0</x:v>
      </x:c>
    </x:row>
    <x:row r="185" ht="47" customHeight="1">
      <x:c r="A185" s="4" t="str">
        <x:v>RN-181</x:v>
      </x:c>
      <x:c r="B185" s="4" t="str">
        <x:v>NF-COM-002</x:v>
      </x:c>
      <x:c r="C185" s="4" t="str">
        <x:v>S0958</x:v>
      </x:c>
      <x:c r="D185" s="4" t="str">
        <x:v>projection</x:v>
      </x:c>
      <x:c r="E185" s="4" t="str">
        <x:v>SP_800_181_2_2_0</x:v>
      </x:c>
      <x:c r="F185" s="4" t="str">
        <x:v>F001 / 2.2.0</x:v>
      </x:c>
      <x:c r="G185" s="12" t="n">
        <x:f>COUNTIFS('13_Relaciones_NICE'!$B$5:$B$186,B185,'13_Relaciones_NICE'!$C$5:$C$186,C185)-1</x:f>
        <x:v>0</x:v>
      </x:c>
      <x:c r="H185" s="12" t="n">
        <x:f>IF(AND(COUNTIF('03_NICE'!$A$5:$A$57,B185)+COUNTIF('04_TKS'!$A$5:$A$72,B185)=1,COUNTIF('03_NICE'!$A$5:$A$57,C185)+COUNTIF('04_TKS'!$A$5:$A$72,C185)=1),0,1)</x:f>
        <x:v>0</x:v>
      </x:c>
    </x:row>
    <x:row r="186" ht="47" customHeight="1">
      <x:c r="A186" s="4" t="str">
        <x:v>RN-182</x:v>
      </x:c>
      <x:c r="B186" s="4" t="str">
        <x:v>NF-COM-006</x:v>
      </x:c>
      <x:c r="C186" s="4" t="str">
        <x:v>K1147</x:v>
      </x:c>
      <x:c r="D186" s="4" t="str">
        <x:v>projection</x:v>
      </x:c>
      <x:c r="E186" s="4" t="str">
        <x:v>SP_800_181_2_2_0</x:v>
      </x:c>
      <x:c r="F186" s="4" t="str">
        <x:v>F001 / 2.2.0</x:v>
      </x:c>
      <x:c r="G186" s="12" t="n">
        <x:f>COUNTIFS('13_Relaciones_NICE'!$B$5:$B$186,B186,'13_Relaciones_NICE'!$C$5:$C$186,C186)-1</x:f>
        <x:v>0</x:v>
      </x:c>
      <x:c r="H186" s="12" t="n">
        <x:f>IF(AND(COUNTIF('03_NICE'!$A$5:$A$57,B186)+COUNTIF('04_TKS'!$A$5:$A$72,B186)=1,COUNTIF('03_NICE'!$A$5:$A$57,C186)+COUNTIF('04_TKS'!$A$5:$A$72,C186)=1),0,1)</x:f>
        <x:v>0</x:v>
      </x:c>
    </x:row>
  </x:sheetData>
  <x:mergeCells>
    <x:mergeCell ref="A1:D1"/>
    <x:mergeCell ref="A2:F2"/>
  </x:mergeCells>
  <x:pageMargins left="0.7" right="0.7" top="0.75" bottom="0.75" header="0.3" footer="0.3"/>
  <x:tableParts count="1">
    <x:tablePart xmlns:r="http://schemas.openxmlformats.org/officeDocument/2006/relationships" r:id="Rcfd5d94664de4a5a"/>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0" hidden="0" customWidth="1"/>
    <x:col min="2" max="2" width="19" hidden="0" customWidth="1"/>
    <x:col min="3" max="3" width="48" hidden="0" customWidth="1"/>
    <x:col min="4" max="4" width="47" hidden="0" customWidth="1"/>
    <x:col min="5" max="5" width="33" hidden="0" customWidth="1"/>
    <x:col min="6" max="6" width="61" hidden="0" customWidth="1"/>
    <x:col min="7" max="7" width="65" hidden="0" customWidth="1"/>
    <x:col min="8" max="8" width="39" hidden="0" customWidth="1"/>
    <x:col min="9" max="9" width="79" hidden="0" customWidth="1"/>
    <x:col min="10" max="10" width="82" hidden="0" customWidth="1"/>
    <x:col min="11" max="11" width="29" hidden="0" customWidth="1"/>
  </x:cols>
  <x:sheetData>
    <x:row r="1" ht="35" customHeight="1">
      <x:c r="A1" s="6" t="str">
        <x:v>DECISIÓN PROPUESTA · base universitaria y países</x:v>
      </x:c>
      <x:c r="B1" s="6"/>
      <x:c r="C1" s="6"/>
      <x:c r="D1" s="6"/>
      <x:c r="E1" s="6"/>
      <x:c r="F1" s="6"/>
      <x:c r="G1" s="6"/>
      <x:c r="H1" s="6"/>
      <x:c r="I1" s="6"/>
      <x:c r="J1" s="6"/>
      <x:c r="K1" s="6"/>
    </x:row>
    <x:row r="2" ht="52" customHeight="1">
      <x:c r="A2" s="8" t="str">
        <x:v>Comparación cualitativa. España es el país vector propuesto; URJC es el plan concreto. Ningún programa representa por sí solo a su país.</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País</x:v>
      </x:c>
      <x:c r="C4" s="10" t="str">
        <x:v>Programa</x:v>
      </x:c>
      <x:c r="D4" s="10" t="str">
        <x:v>Edición / identidad</x:v>
      </x:c>
      <x:c r="E4" s="10" t="str">
        <x:v>Nivel y carga</x:v>
      </x:c>
      <x:c r="F4" s="10" t="str">
        <x:v>Aportación educativa</x:v>
      </x:c>
      <x:c r="G4" s="10" t="str">
        <x:v>Lectura efectuada</x:v>
      </x:c>
      <x:c r="H4" s="10" t="str">
        <x:v>Propuesta</x:v>
      </x:c>
      <x:c r="I4" s="10" t="str">
        <x:v>Justificación</x:v>
      </x:c>
      <x:c r="J4" s="10" t="str">
        <x:v>Reserva</x:v>
      </x:c>
      <x:c r="K4" s="10" t="str">
        <x:v>Fuentes</x:v>
      </x:c>
    </x:row>
    <x:row r="5" ht="47" customHeight="1">
      <x:c r="A5" s="4" t="str">
        <x:v>P01</x:v>
      </x:c>
      <x:c r="B5" s="4" t="str">
        <x:v>España</x:v>
      </x:c>
      <x:c r="C5" s="4" t="str">
        <x:v>URJC · Grado en Ingeniería de la Ciberseguridad</x:v>
      </x:c>
      <x:c r="D5" s="4" t="str">
        <x:v>2026–27 · titulación 2285; RUCT 2503408</x:v>
      </x:c>
      <x:c r="E5" s="4" t="str">
        <x:v>Grado · 4 años · 240 ECTS</x:v>
      </x:c>
      <x:c r="F5" s="4" t="str">
        <x:v>Base matemática e informática, seguridad, gobierno y práctica integradora.</x:v>
      </x:c>
      <x:c r="G5" s="4" t="str">
        <x:v>40 asignaturas; guías individuales y plan completos identificados.</x:v>
      </x:c>
      <x:c r="H5" s="4" t="str">
        <x:v>RECTOR PROPUESTO</x:v>
      </x:c>
      <x:c r="I5" s="4" t="str">
        <x:v>Plan base con progresión explícita y fuentes de asignatura. La elección es de diseño documental, no un ranking mundial.</x:v>
      </x:c>
      <x:c r="J5" s="4" t="str">
        <x:v>No es un currículo nacional único ni acredita por sí solo aceptación internacional. IA avanzada necesita complemento.</x:v>
      </x:c>
      <x:c r="K5" s="4" t="str">
        <x:v>E001; E011; R001–R040</x:v>
      </x:c>
    </x:row>
    <x:row r="6" ht="47" customHeight="1">
      <x:c r="A6" s="4" t="str">
        <x:v>P02</x:v>
      </x:c>
      <x:c r="B6" s="4" t="str">
        <x:v>Reino Unido</x:v>
      </x:c>
      <x:c r="C6" s="4" t="str">
        <x:v>Warwick · BSc Cyber Security</x:v>
      </x:c>
      <x:c r="D6" s="4" t="str">
        <x:v>Presentación de ingreso 2027; guías consultadas 2026–27</x:v>
      </x:c>
      <x:c r="E6" s="4" t="str">
        <x:v>Grado · 3 años</x:v>
      </x:c>
      <x:c r="F6" s="4" t="str">
        <x:v>Formación técnica y factores humanos; resultados de aprendizaje observables.</x:v>
      </x:c>
      <x:c r="G6" s="4" t="str">
        <x:v>16 guías de cursos 1–2 recuperadas; 9 códigos de tercero sin guía 2026–27.</x:v>
      </x:c>
      <x:c r="H6" s="4" t="str">
        <x:v>COMPARADOR Y COMPLEMENTO SELECTIVO</x:v>
      </x:c>
      <x:c r="I6" s="4" t="str">
        <x:v>Profundiza evaluación de usabilidad, factores humanos e investigación.</x:v>
      </x:c>
      <x:c r="J6" s="4" t="str">
        <x:v>No se mezcla la página de ingreso 2027 con un plan íntegro 2026–27. Certificación NCSC/BCS declarada por la universidad.</x:v>
      </x:c>
      <x:c r="K6" s="4" t="str">
        <x:v>E005; W001–W025</x:v>
      </x:c>
    </x:row>
    <x:row r="7" ht="47" customHeight="1">
      <x:c r="A7" s="4" t="str">
        <x:v>P03</x:v>
      </x:c>
      <x:c r="B7" s="4" t="str">
        <x:v>Australia</x:v>
      </x:c>
      <x:c r="C7" s="4" t="str">
        <x:v>UNSW Canberra · Bachelor of Cyber Security, 4490</x:v>
      </x:c>
      <x:c r="D7" s="4" t="str">
        <x:v>Handbook 2026.05; estructura 2026.02.010</x:v>
      </x:c>
      <x:c r="E7" s="4" t="str">
        <x:v>Grado · 144 UOC</x:v>
      </x:c>
      <x:c r="F7" s="4" t="str">
        <x:v>Base de ciberseguridad y minor Intelligent Cyber Security.</x:v>
      </x:c>
      <x:c r="G7" s="4" t="str">
        <x:v>Estructura y resultados de programa; minor y guías de ML, DL e IA confiable.</x:v>
      </x:c>
      <x:c r="H7" s="4" t="str">
        <x:v>COMPLEMENTO EDUCATIVO PROPUESTO</x:v>
      </x:c>
      <x:c r="I7" s="4" t="str">
        <x:v>Aporta formación específica en evaluación e implementación de IA aplicada a ciberseguridad.</x:v>
      </x:c>
      <x:c r="J7" s="4" t="str">
        <x:v>UOC no se convierten a ECTS. Proyecto 2 enlazado como 2027 no se incorpora al corte 2026.</x:v>
      </x:c>
      <x:c r="K7" s="4" t="str">
        <x:v>E013; N020; M001–M004</x:v>
      </x:c>
    </x:row>
    <x:row r="8" ht="47" customHeight="1">
      <x:c r="A8" s="4" t="str">
        <x:v>P04</x:v>
      </x:c>
      <x:c r="B8" s="4" t="str">
        <x:v>Canadá</x:v>
      </x:c>
      <x:c r="C8" s="4" t="str">
        <x:v>Guelph · Master of Cybersecurity and Threat Intelligence</x:v>
      </x:c>
      <x:c r="D8" s="4" t="str">
        <x:v>Calendar consultado 08-09-2026; sin edición anual visible en extracto</x:v>
      </x:c>
      <x:c r="E8" s="4" t="str">
        <x:v>Máster · mínimo 4,00 créditos propios</x:v>
      </x:c>
      <x:c r="F8" s="4" t="str">
        <x:v>SOC docente, forense, búsqueda de amenazas, práctica y reflexión profesional.</x:v>
      </x:c>
      <x:c r="G8" s="4" t="str">
        <x:v>Requisitos del programa y 10 fichas de curso.</x:v>
      </x:c>
      <x:c r="H8" s="4" t="str">
        <x:v>COMPLEMENTO SELECTIVO PROPUESTO</x:v>
      </x:c>
      <x:c r="I8" s="4" t="str">
        <x:v>Hunting queda como contraste de contenido ya presente en URJC; el proyecto aporta un patrón de integración investigadora.</x:v>
      </x:c>
      <x:c r="J8" s="4" t="str">
        <x:v>CIS*6540 reproduce descripción de CIS*6530; se aparta su temario. CIS*6530 tiene títulos distintos entre páginas.</x:v>
      </x:c>
      <x:c r="K8" s="4" t="str">
        <x:v>E006; G001–G010</x:v>
      </x:c>
    </x:row>
    <x:row r="9" ht="47" customHeight="1">
      <x:c r="A9" s="4" t="str">
        <x:v>P05</x:v>
      </x:c>
      <x:c r="B9" s="4" t="str">
        <x:v>Estados Unidos</x:v>
      </x:c>
      <x:c r="C9" s="4" t="str">
        <x:v>Carnegie Mellon · MSISPM</x:v>
      </x:c>
      <x:c r="D9" s="4" t="str">
        <x:v>Handbook Addendum 2026–2027</x:v>
      </x:c>
      <x:c r="E9" s="4" t="str">
        <x:v>Máster · 192 unidades propias</x:v>
      </x:c>
      <x:c r="F9" s="4" t="str">
        <x:v>Seguridad, economía, decisión bajo incertidumbre, política y práctica.</x:v>
      </x:c>
      <x:c r="G9" s="4" t="str">
        <x:v>Plan requerido, optativas, prácticas y proyecto en manual pp. 4–10.</x:v>
      </x:c>
      <x:c r="H9" s="4" t="str">
        <x:v>CONTRASTE ECONÓMICO; PROFUNDIZACIÓN IDENTIFICADA</x:v>
      </x:c>
      <x:c r="I9" s="4" t="str">
        <x:v>95-710 y 95-760 refuerzan la exigencia de valorar decisiones y recursos; no prueban un vacío total de economía en URJC.</x:v>
      </x:c>
      <x:c r="J9" s="4" t="str">
        <x:v>Guías detalladas de esos cursos no leídas: no se adjudican temarios ni resultados específicos. Unidades no convertidas a ECTS.</x:v>
      </x:c>
      <x:c r="K9" s="4" t="str">
        <x:v>E008</x:v>
      </x:c>
    </x:row>
    <x:row r="10" ht="47" customHeight="1">
      <x:c r="A10" s="4" t="str">
        <x:v>P06</x:v>
      </x:c>
      <x:c r="B10" s="4" t="str">
        <x:v>España</x:v>
      </x:c>
      <x:c r="C10" s="4" t="str">
        <x:v>UPC · Master’s degree in Cybersecurity</x:v>
      </x:c>
      <x:c r="D10" s="4" t="str">
        <x:v>Página institucional consultada 08-09-2026</x:v>
      </x:c>
      <x:c r="E10" s="4" t="str">
        <x:v>Máster · especialización posterior a formación técnica</x:v>
      </x:c>
      <x:c r="F10" s="4" t="str">
        <x:v>Ingeniería, redes, datos, software, gestión y opciones avanzadas.</x:v>
      </x:c>
      <x:c r="G10" s="4" t="str">
        <x:v>Estructura general y competencias del programa; no todas las guías.</x:v>
      </x:c>
      <x:c r="H10" s="4" t="str">
        <x:v>CONTRASTE; NO SEGUNDO RECTOR</x:v>
      </x:c>
      <x:c r="I10" s="4" t="str">
        <x:v>Contrasta profundidad ingenieril; se retiene la base de grado para no omitir fundamentos.</x:v>
      </x:c>
      <x:c r="J10" s="4" t="str">
        <x:v>Un título de asignatura no acredita eBPF, P4, privacidad federada ni una evaluación práctica concreta.</x:v>
      </x:c>
      <x:c r="K10" s="4" t="str">
        <x:v>E009; F006</x:v>
      </x:c>
    </x:row>
    <x:row r="11" ht="47" customHeight="1">
      <x:c r="A11" s="4" t="str">
        <x:v>P07</x:v>
      </x:c>
      <x:c r="B11" s="4" t="str">
        <x:v>España</x:v>
      </x:c>
      <x:c r="C11" s="4" t="str">
        <x:v>UC3M · Máster Universitario en Ciberseguridad</x:v>
      </x:c>
      <x:c r="D11" s="4" t="str">
        <x:v>Antecedente v0.1; nueva consulta de página fallida</x:v>
      </x:c>
      <x:c r="E11" s="4" t="str">
        <x:v>Máster · referencia por desarrollar</x:v>
      </x:c>
      <x:c r="F11" s="4" t="str">
        <x:v>Especialización en ataque, defensa y gestión.</x:v>
      </x:c>
      <x:c r="G11" s="4" t="str">
        <x:v>Antecedente parcial; no se declara extraído un plan anual completo.</x:v>
      </x:c>
      <x:c r="H11" s="4" t="str">
        <x:v>RESERVA DOCUMENTAL</x:v>
      </x:c>
      <x:c r="I11" s="4" t="str">
        <x:v>Se conserva como candidato de comparación, sin usarlo para decidir rector ni completar vacíos.</x:v>
      </x:c>
      <x:c r="J11" s="4" t="str">
        <x:v>No transformar un fallo de acceso en ausencia curricular.</x:v>
      </x:c>
      <x:c r="K11" s="4" t="str">
        <x:v>F008; E010</x:v>
      </x:c>
    </x:row>
  </x:sheetData>
  <x:mergeCells>
    <x:mergeCell ref="A1:D1"/>
    <x:mergeCell ref="A2:F2"/>
  </x:mergeCells>
  <x:pageMargins left="0.7" right="0.7" top="0.75" bottom="0.75" header="0.3" footer="0.3"/>
  <x:tableParts count="1">
    <x:tablePart xmlns:r="http://schemas.openxmlformats.org/officeDocument/2006/relationships" r:id="Ra79a73bc11a442ed"/>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46" hidden="0" customWidth="1"/>
    <x:col min="4" max="4" width="10" hidden="0" customWidth="1"/>
    <x:col min="5" max="5" width="17" hidden="0" customWidth="1"/>
    <x:col min="6" max="6" width="16" hidden="0" customWidth="1"/>
    <x:col min="7" max="7" width="25" hidden="0" customWidth="1"/>
    <x:col min="8" max="8" width="13" hidden="0" customWidth="1"/>
    <x:col min="9" max="9" width="63" hidden="0" customWidth="1"/>
    <x:col min="10" max="10" width="66" hidden="0" customWidth="1"/>
    <x:col min="11" max="11" width="60" hidden="0" customWidth="1"/>
    <x:col min="12" max="12" width="51" hidden="0" customWidth="1"/>
    <x:col min="13" max="13" width="12" hidden="0" customWidth="1"/>
    <x:col min="14" max="14" width="49" hidden="0" customWidth="1"/>
    <x:col min="15" max="15" width="49" hidden="0" customWidth="1"/>
    <x:col min="16" max="16" width="18" hidden="0" customWidth="1"/>
    <x:col min="17" max="17" width="13" hidden="0" customWidth="1"/>
    <x:col min="18" max="18" width="20" hidden="0" customWidth="1"/>
    <x:col min="19" max="19" width="23" hidden="0" customWidth="1"/>
  </x:cols>
  <x:sheetData>
    <x:row r="1" ht="35" customHeight="1">
      <x:c r="A1" s="6" t="str">
        <x:v>BASE UNIVERSITARIA · 40 asignaturas del plan URJC</x:v>
      </x:c>
      <x:c r="B1" s="6"/>
      <x:c r="C1" s="6"/>
      <x:c r="D1" s="6"/>
      <x:c r="E1" s="6"/>
      <x:c r="F1" s="6"/>
      <x:c r="G1" s="6"/>
      <x:c r="H1" s="6"/>
      <x:c r="I1" s="6"/>
      <x:c r="J1" s="6"/>
      <x:c r="K1" s="6"/>
      <x:c r="L1" s="6"/>
      <x:c r="M1" s="6"/>
      <x:c r="N1" s="6"/>
      <x:c r="O1" s="6"/>
      <x:c r="P1" s="6"/>
      <x:c r="Q1" s="6"/>
      <x:c r="R1" s="6"/>
      <x:c r="S1" s="6"/>
    </x:row>
    <x:row r="2" ht="52" customHeight="1">
      <x:c r="A2" s="8" t="str">
        <x:v>Unidad de inventario = asignatura, no parámetro. Síntesis en español de Watson. Los códigos CG/CE se extraen de cada guía; no se normalizan silenciosamente.</x:v>
      </x:c>
      <x:c r="B2" s="8"/>
      <x:c r="C2" s="8"/>
      <x:c r="D2" s="8"/>
      <x:c r="E2" s="8"/>
      <x:c r="F2" s="8"/>
      <x:c r="G2" s="8"/>
      <x:c r="H2" s="8"/>
      <x:c r="I2" s="8"/>
      <x:c r="J2" s="8"/>
      <x:c r="K2" s="8"/>
      <x:c r="L2" s="8"/>
      <x:c r="M2" s="8"/>
      <x:c r="N2" s="8"/>
      <x:c r="O2" s="8"/>
      <x:c r="P2" s="8"/>
      <x:c r="Q2" s="8"/>
      <x:c r="R2" s="8"/>
      <x:c r="S2" s="8"/>
    </x:row>
    <x:row r="3">
      <x:c r="A3" s="4"/>
      <x:c r="B3" s="4"/>
      <x:c r="C3" s="4"/>
      <x:c r="D3" s="4"/>
      <x:c r="E3" s="4"/>
      <x:c r="F3" s="4"/>
      <x:c r="G3" s="4"/>
      <x:c r="H3" s="4"/>
      <x:c r="I3" s="4"/>
      <x:c r="J3" s="4"/>
      <x:c r="K3" s="4"/>
      <x:c r="L3" s="4"/>
      <x:c r="M3" s="4"/>
      <x:c r="N3" s="4"/>
      <x:c r="O3" s="4"/>
      <x:c r="P3" s="4"/>
      <x:c r="Q3" s="4"/>
      <x:c r="R3" s="4"/>
      <x:c r="S3" s="4"/>
    </x:row>
    <x:row r="4" ht="42" customHeight="1">
      <x:c r="A4" s="10" t="str">
        <x:v>ID local</x:v>
      </x:c>
      <x:c r="B4" s="10" t="str">
        <x:v>Código oficial</x:v>
      </x:c>
      <x:c r="C4" s="10" t="str">
        <x:v>Asignatura oficial</x:v>
      </x:c>
      <x:c r="D4" s="10" t="str">
        <x:v>Curso</x:v>
      </x:c>
      <x:c r="E4" s="10" t="str">
        <x:v>Semestre</x:v>
      </x:c>
      <x:c r="F4" s="10" t="str">
        <x:v>ECTS originales</x:v>
      </x:c>
      <x:c r="G4" s="10" t="str">
        <x:v>Carácter</x:v>
      </x:c>
      <x:c r="H4" s="10" t="str">
        <x:v>Familia local</x:v>
      </x:c>
      <x:c r="I4" s="10" t="str">
        <x:v>Conocimiento · síntesis</x:v>
      </x:c>
      <x:c r="J4" s="10" t="str">
        <x:v>Saber hacer · síntesis</x:v>
      </x:c>
      <x:c r="K4" s="10" t="str">
        <x:v>Forma educativa · síntesis</x:v>
      </x:c>
      <x:c r="L4" s="10" t="str">
        <x:v>Resultados identificados</x:v>
      </x:c>
      <x:c r="M4" s="10" t="str">
        <x:v>Guía</x:v>
      </x:c>
      <x:c r="N4" s="10" t="str">
        <x:v>Localizador</x:v>
      </x:c>
      <x:c r="O4" s="10" t="str">
        <x:v>Estado</x:v>
      </x:c>
      <x:c r="P4" s="10" t="str">
        <x:v>ECTS calculados</x:v>
      </x:c>
      <x:c r="Q4" s="10" t="str">
        <x:v>Duplicado</x:v>
      </x:c>
      <x:c r="R4" s="10" t="str">
        <x:v>Referencia ausente</x:v>
      </x:c>
      <x:c r="S4" s="10" t="str">
        <x:v>Fuente no admisible</x:v>
      </x:c>
    </x:row>
    <x:row r="5" ht="47" customHeight="1">
      <x:c r="A5" s="4" t="str">
        <x:v>URJC-01</x:v>
      </x:c>
      <x:c r="B5" s="4" t="str">
        <x:v>2285001</x:v>
      </x:c>
      <x:c r="C5" s="4" t="str">
        <x:v>FUNDAMENTOS FISICOS DE LA INFORMATICA</x:v>
      </x:c>
      <x:c r="D5" s="4" t="str">
        <x:v>1</x:v>
      </x:c>
      <x:c r="E5" s="4" t="str">
        <x:v>Primero</x:v>
      </x:c>
      <x:c r="F5" s="4" t="str">
        <x:v>6</x:v>
      </x:c>
      <x:c r="G5" s="4" t="str">
        <x:v>FORMACIÓN BÁSICA</x:v>
      </x:c>
      <x:c r="H5" s="4" t="str">
        <x:v>F01</x:v>
      </x:c>
      <x:c r="I5" s="4" t="str">
        <x:v>Electromagnetismo; circuitos; semiconductores; lógica digital.</x:v>
      </x:c>
      <x:c r="J5" s="4" t="str">
        <x:v>Resolver circuitos y analizar máquinas de estados.</x:v>
      </x:c>
      <x:c r="K5" s="4" t="str">
        <x:v>Laboratorio y resolución de problemas.</x:v>
      </x:c>
      <x:c r="L5" s="4" t="str">
        <x:v>CE36; CG1; CG10; CG15; CG16; CG17; CG18; CG2; CG5</x:v>
      </x:c>
      <x:c r="M5" s="4" t="str">
        <x:v>R001</x:v>
      </x:c>
      <x:c r="N5" s="4" t="str">
        <x:v>II; III (códigos); IV; actividad académica según guía</x:v>
      </x:c>
      <x:c r="O5" s="4" t="str">
        <x:v>LECTURA CURRICULAR; ADOPCIÓN NO REGISTRADA</x:v>
      </x:c>
      <x:c r="P5" s="12" t="n">
        <x:f>VALUE(F5)</x:f>
        <x:v>6</x:v>
      </x:c>
      <x:c r="Q5" s="12" t="n">
        <x:f>COUNTIF('15_Base_universitaria'!$A$5:$A$44,A5)+COUNTIF('15_Base_universitaria'!$B$5:$B$44,B5)-2</x:f>
        <x:v>0</x:v>
      </x:c>
      <x:c r="R5" s="12" t="n">
        <x:f>IF(COUNTIF('21_Fuentes_educativas'!$A$5:$A$188,M5)=1,0,1)</x:f>
        <x:v>0</x:v>
      </x:c>
      <x:c r="S5" s="12" t="n">
        <x:f>IF(COUNTIFS('21_Fuentes_educativas'!$A$5:$A$188,M5,'21_Fuentes_educativas'!$J$5:$J$188,"CURRICULAR_REVISADA")+COUNTIFS('21_Fuentes_educativas'!$A$5:$A$188,M5,'21_Fuentes_educativas'!$J$5:$J$188,"TRANSVERSAL_IDENTIFICADA")=1,0,1)</x:f>
        <x:v>0</x:v>
      </x:c>
    </x:row>
    <x:row r="6" ht="47" customHeight="1">
      <x:c r="A6" s="4" t="str">
        <x:v>URJC-02</x:v>
      </x:c>
      <x:c r="B6" s="4" t="str">
        <x:v>2285002</x:v>
      </x:c>
      <x:c r="C6" s="4" t="str">
        <x:v>INTRODUCCION A LA CIBERSEGURIDAD</x:v>
      </x:c>
      <x:c r="D6" s="4" t="str">
        <x:v>1</x:v>
      </x:c>
      <x:c r="E6" s="4" t="str">
        <x:v>Primero</x:v>
      </x:c>
      <x:c r="F6" s="4" t="str">
        <x:v>6</x:v>
      </x:c>
      <x:c r="G6" s="4" t="str">
        <x:v>OBLIGATORIA</x:v>
      </x:c>
      <x:c r="H6" s="4" t="str">
        <x:v>F02</x:v>
      </x:c>
      <x:c r="I6" s="4" t="str">
        <x:v>Principios de seguridad; sistemas; amenazas; personas y economía.</x:v>
      </x:c>
      <x:c r="J6" s="4" t="str">
        <x:v>Distinguir riesgo, amenaza y vulnerabilidad en un contexto.</x:v>
      </x:c>
      <x:c r="K6" s="4" t="str">
        <x:v>Casos y prácticas de introducción.</x:v>
      </x:c>
      <x:c r="L6" s="4" t="str">
        <x:v>CE03; CE13; CE16; CE19; CG15; CG16; CG17; CG18; CG4; CG7; CG8</x:v>
      </x:c>
      <x:c r="M6" s="4" t="str">
        <x:v>R002</x:v>
      </x:c>
      <x:c r="N6" s="4" t="str">
        <x:v>II; III (códigos); IV; actividad académica según guía</x:v>
      </x:c>
      <x:c r="O6" s="4" t="str">
        <x:v>LECTURA CURRICULAR; ADOPCIÓN NO REGISTRADA</x:v>
      </x:c>
      <x:c r="P6" s="12" t="n">
        <x:f>VALUE(F6)</x:f>
        <x:v>6</x:v>
      </x:c>
      <x:c r="Q6" s="12" t="n">
        <x:f>COUNTIF('15_Base_universitaria'!$A$5:$A$44,A6)+COUNTIF('15_Base_universitaria'!$B$5:$B$44,B6)-2</x:f>
        <x:v>0</x:v>
      </x:c>
      <x:c r="R6" s="12" t="n">
        <x:f>IF(COUNTIF('21_Fuentes_educativas'!$A$5:$A$188,M6)=1,0,1)</x:f>
        <x:v>0</x:v>
      </x:c>
      <x:c r="S6" s="12" t="n">
        <x:f>IF(COUNTIFS('21_Fuentes_educativas'!$A$5:$A$188,M6,'21_Fuentes_educativas'!$J$5:$J$188,"CURRICULAR_REVISADA")+COUNTIFS('21_Fuentes_educativas'!$A$5:$A$188,M6,'21_Fuentes_educativas'!$J$5:$J$188,"TRANSVERSAL_IDENTIFICADA")=1,0,1)</x:f>
        <x:v>0</x:v>
      </x:c>
    </x:row>
    <x:row r="7" ht="47" customHeight="1">
      <x:c r="A7" s="4" t="str">
        <x:v>URJC-03</x:v>
      </x:c>
      <x:c r="B7" s="4" t="str">
        <x:v>2285003</x:v>
      </x:c>
      <x:c r="C7" s="4" t="str">
        <x:v>INTRODUCCION A LA PROGRAMACION</x:v>
      </x:c>
      <x:c r="D7" s="4" t="str">
        <x:v>1</x:v>
      </x:c>
      <x:c r="E7" s="4" t="str">
        <x:v>Primero</x:v>
      </x:c>
      <x:c r="F7" s="4" t="str">
        <x:v>6</x:v>
      </x:c>
      <x:c r="G7" s="4" t="str">
        <x:v>FORMACIÓN BÁSICA</x:v>
      </x:c>
      <x:c r="H7" s="4" t="str">
        <x:v>F03</x:v>
      </x:c>
      <x:c r="I7" s="4" t="str">
        <x:v>Tipos; control; punteros; memoria; funciones y ficheros.</x:v>
      </x:c>
      <x:c r="J7" s="4" t="str">
        <x:v>Construir programas y comprobar su comportamiento.</x:v>
      </x:c>
      <x:c r="K7" s="4" t="str">
        <x:v>Programación práctica y pruebas.</x:v>
      </x:c>
      <x:c r="L7" s="4" t="str">
        <x:v>CE04; CE06; CG1; CG10; CG12; CG15; CG16; CG17; CG18; CG2; CG3; CG4; CG5</x:v>
      </x:c>
      <x:c r="M7" s="4" t="str">
        <x:v>R003</x:v>
      </x:c>
      <x:c r="N7" s="4" t="str">
        <x:v>II; III (códigos); IV; actividad académica según guía</x:v>
      </x:c>
      <x:c r="O7" s="4" t="str">
        <x:v>LECTURA CURRICULAR; ADOPCIÓN NO REGISTRADA</x:v>
      </x:c>
      <x:c r="P7" s="12" t="n">
        <x:f>VALUE(F7)</x:f>
        <x:v>6</x:v>
      </x:c>
      <x:c r="Q7" s="12" t="n">
        <x:f>COUNTIF('15_Base_universitaria'!$A$5:$A$44,A7)+COUNTIF('15_Base_universitaria'!$B$5:$B$44,B7)-2</x:f>
        <x:v>0</x:v>
      </x:c>
      <x:c r="R7" s="12" t="n">
        <x:f>IF(COUNTIF('21_Fuentes_educativas'!$A$5:$A$188,M7)=1,0,1)</x:f>
        <x:v>0</x:v>
      </x:c>
      <x:c r="S7" s="12" t="n">
        <x:f>IF(COUNTIFS('21_Fuentes_educativas'!$A$5:$A$188,M7,'21_Fuentes_educativas'!$J$5:$J$188,"CURRICULAR_REVISADA")+COUNTIFS('21_Fuentes_educativas'!$A$5:$A$188,M7,'21_Fuentes_educativas'!$J$5:$J$188,"TRANSVERSAL_IDENTIFICADA")=1,0,1)</x:f>
        <x:v>0</x:v>
      </x:c>
    </x:row>
    <x:row r="8" ht="47" customHeight="1">
      <x:c r="A8" s="4" t="str">
        <x:v>URJC-04</x:v>
      </x:c>
      <x:c r="B8" s="4" t="str">
        <x:v>2285004</x:v>
      </x:c>
      <x:c r="C8" s="4" t="str">
        <x:v>LOGICA</x:v>
      </x:c>
      <x:c r="D8" s="4" t="str">
        <x:v>1</x:v>
      </x:c>
      <x:c r="E8" s="4" t="str">
        <x:v>Primero</x:v>
      </x:c>
      <x:c r="F8" s="4" t="str">
        <x:v>6</x:v>
      </x:c>
      <x:c r="G8" s="4" t="str">
        <x:v>FORMACIÓN BÁSICA</x:v>
      </x:c>
      <x:c r="H8" s="4" t="str">
        <x:v>F01</x:v>
      </x:c>
      <x:c r="I8" s="4" t="str">
        <x:v>Lógica proposicional y de primer orden; deducción; tipos.</x:v>
      </x:c>
      <x:c r="J8" s="4" t="str">
        <x:v>Formalizar razonamientos y comprobar su corrección.</x:v>
      </x:c>
      <x:c r="K8" s="4" t="str">
        <x:v>Ejercicios y programación lógica.</x:v>
      </x:c>
      <x:c r="L8" s="4" t="str">
        <x:v>CE01; CE02; CG1; CG10; CG15; CG16; CG17; CG18; CG3; CG5</x:v>
      </x:c>
      <x:c r="M8" s="4" t="str">
        <x:v>R004</x:v>
      </x:c>
      <x:c r="N8" s="4" t="str">
        <x:v>II; III (códigos); IV; actividad académica según guía</x:v>
      </x:c>
      <x:c r="O8" s="4" t="str">
        <x:v>LECTURA CURRICULAR; ADOPCIÓN NO REGISTRADA</x:v>
      </x:c>
      <x:c r="P8" s="12" t="n">
        <x:f>VALUE(F8)</x:f>
        <x:v>6</x:v>
      </x:c>
      <x:c r="Q8" s="12" t="n">
        <x:f>COUNTIF('15_Base_universitaria'!$A$5:$A$44,A8)+COUNTIF('15_Base_universitaria'!$B$5:$B$44,B8)-2</x:f>
        <x:v>0</x:v>
      </x:c>
      <x:c r="R8" s="12" t="n">
        <x:f>IF(COUNTIF('21_Fuentes_educativas'!$A$5:$A$188,M8)=1,0,1)</x:f>
        <x:v>0</x:v>
      </x:c>
      <x:c r="S8" s="12" t="n">
        <x:f>IF(COUNTIFS('21_Fuentes_educativas'!$A$5:$A$188,M8,'21_Fuentes_educativas'!$J$5:$J$188,"CURRICULAR_REVISADA")+COUNTIFS('21_Fuentes_educativas'!$A$5:$A$188,M8,'21_Fuentes_educativas'!$J$5:$J$188,"TRANSVERSAL_IDENTIFICADA")=1,0,1)</x:f>
        <x:v>0</x:v>
      </x:c>
    </x:row>
    <x:row r="9" ht="47" customHeight="1">
      <x:c r="A9" s="4" t="str">
        <x:v>URJC-05</x:v>
      </x:c>
      <x:c r="B9" s="4" t="str">
        <x:v>2285005</x:v>
      </x:c>
      <x:c r="C9" s="4" t="str">
        <x:v>MATEMATICA DISCRETA Y ALGEBRA</x:v>
      </x:c>
      <x:c r="D9" s="4" t="str">
        <x:v>1</x:v>
      </x:c>
      <x:c r="E9" s="4" t="str">
        <x:v>Primero</x:v>
      </x:c>
      <x:c r="F9" s="4" t="str">
        <x:v>6</x:v>
      </x:c>
      <x:c r="G9" s="4" t="str">
        <x:v>FORMACIÓN BÁSICA</x:v>
      </x:c>
      <x:c r="H9" s="4" t="str">
        <x:v>F01</x:v>
      </x:c>
      <x:c r="I9" s="4" t="str">
        <x:v>Álgebra lineal; aritmética modular; combinatoria; grafos.</x:v>
      </x:c>
      <x:c r="J9" s="4" t="str">
        <x:v>Resolver sistemas y usar estructuras discretas.</x:v>
      </x:c>
      <x:c r="K9" s="4" t="str">
        <x:v>Problemas matemáticos razonados.</x:v>
      </x:c>
      <x:c r="L9" s="4" t="str">
        <x:v>CE01; CE02; CG1; CG10; CG15; CG16; CG17; CG18; CG3; CG5</x:v>
      </x:c>
      <x:c r="M9" s="4" t="str">
        <x:v>R005</x:v>
      </x:c>
      <x:c r="N9" s="4" t="str">
        <x:v>II; III (códigos); IV; actividad académica según guía</x:v>
      </x:c>
      <x:c r="O9" s="4" t="str">
        <x:v>LECTURA CURRICULAR; ADOPCIÓN NO REGISTRADA</x:v>
      </x:c>
      <x:c r="P9" s="12" t="n">
        <x:f>VALUE(F9)</x:f>
        <x:v>6</x:v>
      </x:c>
      <x:c r="Q9" s="12" t="n">
        <x:f>COUNTIF('15_Base_universitaria'!$A$5:$A$44,A9)+COUNTIF('15_Base_universitaria'!$B$5:$B$44,B9)-2</x:f>
        <x:v>0</x:v>
      </x:c>
      <x:c r="R9" s="12" t="n">
        <x:f>IF(COUNTIF('21_Fuentes_educativas'!$A$5:$A$188,M9)=1,0,1)</x:f>
        <x:v>0</x:v>
      </x:c>
      <x:c r="S9" s="12" t="n">
        <x:f>IF(COUNTIFS('21_Fuentes_educativas'!$A$5:$A$188,M9,'21_Fuentes_educativas'!$J$5:$J$188,"CURRICULAR_REVISADA")+COUNTIFS('21_Fuentes_educativas'!$A$5:$A$188,M9,'21_Fuentes_educativas'!$J$5:$J$188,"TRANSVERSAL_IDENTIFICADA")=1,0,1)</x:f>
        <x:v>0</x:v>
      </x:c>
    </x:row>
    <x:row r="10" ht="47" customHeight="1">
      <x:c r="A10" s="4" t="str">
        <x:v>URJC-06</x:v>
      </x:c>
      <x:c r="B10" s="4" t="str">
        <x:v>2285006</x:v>
      </x:c>
      <x:c r="C10" s="4" t="str">
        <x:v>CALCULO</x:v>
      </x:c>
      <x:c r="D10" s="4" t="str">
        <x:v>1</x:v>
      </x:c>
      <x:c r="E10" s="4" t="str">
        <x:v>Segundo</x:v>
      </x:c>
      <x:c r="F10" s="4" t="str">
        <x:v>6</x:v>
      </x:c>
      <x:c r="G10" s="4" t="str">
        <x:v>FORMACIÓN BÁSICA</x:v>
      </x:c>
      <x:c r="H10" s="4" t="str">
        <x:v>F01</x:v>
      </x:c>
      <x:c r="I10" s="4" t="str">
        <x:v>Funciones; límites; derivadas; integrales; sucesiones y series.</x:v>
      </x:c>
      <x:c r="J10" s="4" t="str">
        <x:v>Analizar modelos de variación y resolver problemas progresivos.</x:v>
      </x:c>
      <x:c r="K10" s="4" t="str">
        <x:v>Resolución de ejercicios.</x:v>
      </x:c>
      <x:c r="L10" s="4" t="str">
        <x:v>CE01; CG1; CG14; CG15; CG16; CG17; CG18; CG2; CG5</x:v>
      </x:c>
      <x:c r="M10" s="4" t="str">
        <x:v>R006</x:v>
      </x:c>
      <x:c r="N10" s="4" t="str">
        <x:v>II; III (códigos); IV; actividad académica según guía</x:v>
      </x:c>
      <x:c r="O10" s="4" t="str">
        <x:v>LECTURA CURRICULAR; ADOPCIÓN NO REGISTRADA</x:v>
      </x:c>
      <x:c r="P10" s="12" t="n">
        <x:f>VALUE(F10)</x:f>
        <x:v>6</x:v>
      </x:c>
      <x:c r="Q10" s="12" t="n">
        <x:f>COUNTIF('15_Base_universitaria'!$A$5:$A$44,A10)+COUNTIF('15_Base_universitaria'!$B$5:$B$44,B10)-2</x:f>
        <x:v>0</x:v>
      </x:c>
      <x:c r="R10" s="12" t="n">
        <x:f>IF(COUNTIF('21_Fuentes_educativas'!$A$5:$A$188,M10)=1,0,1)</x:f>
        <x:v>0</x:v>
      </x:c>
      <x:c r="S10" s="12" t="n">
        <x:f>IF(COUNTIFS('21_Fuentes_educativas'!$A$5:$A$188,M10,'21_Fuentes_educativas'!$J$5:$J$188,"CURRICULAR_REVISADA")+COUNTIFS('21_Fuentes_educativas'!$A$5:$A$188,M10,'21_Fuentes_educativas'!$J$5:$J$188,"TRANSVERSAL_IDENTIFICADA")=1,0,1)</x:f>
        <x:v>0</x:v>
      </x:c>
    </x:row>
    <x:row r="11" ht="47" customHeight="1">
      <x:c r="A11" s="4" t="str">
        <x:v>URJC-07</x:v>
      </x:c>
      <x:c r="B11" s="4" t="str">
        <x:v>2285007</x:v>
      </x:c>
      <x:c r="C11" s="4" t="str">
        <x:v>CRIPTOGRAFIA</x:v>
      </x:c>
      <x:c r="D11" s="4" t="str">
        <x:v>1</x:v>
      </x:c>
      <x:c r="E11" s="4" t="str">
        <x:v>Segundo</x:v>
      </x:c>
      <x:c r="F11" s="4" t="str">
        <x:v>6</x:v>
      </x:c>
      <x:c r="G11" s="4" t="str">
        <x:v>OBLIGATORIA</x:v>
      </x:c>
      <x:c r="H11" s="4" t="str">
        <x:v>F04</x:v>
      </x:c>
      <x:c r="I11" s="4" t="str">
        <x:v>Seguridad demostrable; cifrado; hash/MAC; firma; secretos.</x:v>
      </x:c>
      <x:c r="J11" s="4" t="str">
        <x:v>Contrastar construcciones criptográficas y su implementación.</x:v>
      </x:c>
      <x:c r="K11" s="4" t="str">
        <x:v>Problemas y análisis criptográfico.</x:v>
      </x:c>
      <x:c r="L11" s="4" t="str">
        <x:v>CE19; CE24; CE25; CG11; CG13; CG14; CG16; CG4; CG7; CG8</x:v>
      </x:c>
      <x:c r="M11" s="4" t="str">
        <x:v>R007</x:v>
      </x:c>
      <x:c r="N11" s="4" t="str">
        <x:v>II; III (códigos); IV; actividad académica según guía</x:v>
      </x:c>
      <x:c r="O11" s="4" t="str">
        <x:v>LECTURA CURRICULAR; ADOPCIÓN NO REGISTRADA</x:v>
      </x:c>
      <x:c r="P11" s="12" t="n">
        <x:f>VALUE(F11)</x:f>
        <x:v>6</x:v>
      </x:c>
      <x:c r="Q11" s="12" t="n">
        <x:f>COUNTIF('15_Base_universitaria'!$A$5:$A$44,A11)+COUNTIF('15_Base_universitaria'!$B$5:$B$44,B11)-2</x:f>
        <x:v>0</x:v>
      </x:c>
      <x:c r="R11" s="12" t="n">
        <x:f>IF(COUNTIF('21_Fuentes_educativas'!$A$5:$A$188,M11)=1,0,1)</x:f>
        <x:v>0</x:v>
      </x:c>
      <x:c r="S11" s="12" t="n">
        <x:f>IF(COUNTIFS('21_Fuentes_educativas'!$A$5:$A$188,M11,'21_Fuentes_educativas'!$J$5:$J$188,"CURRICULAR_REVISADA")+COUNTIFS('21_Fuentes_educativas'!$A$5:$A$188,M11,'21_Fuentes_educativas'!$J$5:$J$188,"TRANSVERSAL_IDENTIFICADA")=1,0,1)</x:f>
        <x:v>0</x:v>
      </x:c>
    </x:row>
    <x:row r="12" ht="47" customHeight="1">
      <x:c r="A12" s="4" t="str">
        <x:v>URJC-08</x:v>
      </x:c>
      <x:c r="B12" s="4" t="str">
        <x:v>2285008</x:v>
      </x:c>
      <x:c r="C12" s="4" t="str">
        <x:v>DIMENSIONES Y MODELO DE LA SEGURIDAD</x:v>
      </x:c>
      <x:c r="D12" s="4" t="str">
        <x:v>1</x:v>
      </x:c>
      <x:c r="E12" s="4" t="str">
        <x:v>Segundo</x:v>
      </x:c>
      <x:c r="F12" s="4" t="str">
        <x:v>6</x:v>
      </x:c>
      <x:c r="G12" s="4" t="str">
        <x:v>FORMACIÓN BÁSICA</x:v>
      </x:c>
      <x:c r="H12" s="4" t="str">
        <x:v>F05</x:v>
      </x:c>
      <x:c r="I12" s="4" t="str">
        <x:v>Dimensiones de seguridad; políticas públicas; amenazas globales.</x:v>
      </x:c>
      <x:c r="J12" s="4" t="str">
        <x:v>Analizar contexto, actores e instrumentos de intervención.</x:v>
      </x:c>
      <x:c r="K12" s="4" t="str">
        <x:v>Lectura crítica, casos y debate.</x:v>
      </x:c>
      <x:c r="L12" s="4" t="str">
        <x:v>CE16; CE17; CE37; CG1; CG10; CG12; CG14; CG17; CG2; CG3; CG7; CG8</x:v>
      </x:c>
      <x:c r="M12" s="4" t="str">
        <x:v>R008</x:v>
      </x:c>
      <x:c r="N12" s="4" t="str">
        <x:v>II; III (códigos); IV; actividad académica según guía</x:v>
      </x:c>
      <x:c r="O12" s="4" t="str">
        <x:v>LECTURA CURRICULAR; ADOPCIÓN NO REGISTRADA</x:v>
      </x:c>
      <x:c r="P12" s="12" t="n">
        <x:f>VALUE(F12)</x:f>
        <x:v>6</x:v>
      </x:c>
      <x:c r="Q12" s="12" t="n">
        <x:f>COUNTIF('15_Base_universitaria'!$A$5:$A$44,A12)+COUNTIF('15_Base_universitaria'!$B$5:$B$44,B12)-2</x:f>
        <x:v>0</x:v>
      </x:c>
      <x:c r="R12" s="12" t="n">
        <x:f>IF(COUNTIF('21_Fuentes_educativas'!$A$5:$A$188,M12)=1,0,1)</x:f>
        <x:v>0</x:v>
      </x:c>
      <x:c r="S12" s="12" t="n">
        <x:f>IF(COUNTIFS('21_Fuentes_educativas'!$A$5:$A$188,M12,'21_Fuentes_educativas'!$J$5:$J$188,"CURRICULAR_REVISADA")+COUNTIFS('21_Fuentes_educativas'!$A$5:$A$188,M12,'21_Fuentes_educativas'!$J$5:$J$188,"TRANSVERSAL_IDENTIFICADA")=1,0,1)</x:f>
        <x:v>0</x:v>
      </x:c>
    </x:row>
    <x:row r="13" ht="47" customHeight="1">
      <x:c r="A13" s="4" t="str">
        <x:v>URJC-09</x:v>
      </x:c>
      <x:c r="B13" s="4" t="str">
        <x:v>2285009</x:v>
      </x:c>
      <x:c r="C13" s="4" t="str">
        <x:v>ESTADISTICA</x:v>
      </x:c>
      <x:c r="D13" s="4" t="str">
        <x:v>1</x:v>
      </x:c>
      <x:c r="E13" s="4" t="str">
        <x:v>Segundo</x:v>
      </x:c>
      <x:c r="F13" s="4" t="str">
        <x:v>6</x:v>
      </x:c>
      <x:c r="G13" s="4" t="str">
        <x:v>FORMACIÓN BÁSICA</x:v>
      </x:c>
      <x:c r="H13" s="4" t="str">
        <x:v>F01</x:v>
      </x:c>
      <x:c r="I13" s="4" t="str">
        <x:v>Descripción de datos; probabilidad; Bayes; estimación y contraste.</x:v>
      </x:c>
      <x:c r="J13" s="4" t="str">
        <x:v>Razonar bajo incertidumbre y explicar límites de una estimación.</x:v>
      </x:c>
      <x:c r="K13" s="4" t="str">
        <x:v>Laboratorios con R y resolución de casos.</x:v>
      </x:c>
      <x:c r="L13" s="4" t="str">
        <x:v>CE01; CG1; CG10; CG14; CG16; CG17; CG2; CG5; CG9</x:v>
      </x:c>
      <x:c r="M13" s="4" t="str">
        <x:v>R009</x:v>
      </x:c>
      <x:c r="N13" s="4" t="str">
        <x:v>II; III (códigos); IV; actividad académica según guía</x:v>
      </x:c>
      <x:c r="O13" s="4" t="str">
        <x:v>LECTURA CURRICULAR; ADOPCIÓN NO REGISTRADA</x:v>
      </x:c>
      <x:c r="P13" s="12" t="n">
        <x:f>VALUE(F13)</x:f>
        <x:v>6</x:v>
      </x:c>
      <x:c r="Q13" s="12" t="n">
        <x:f>COUNTIF('15_Base_universitaria'!$A$5:$A$44,A13)+COUNTIF('15_Base_universitaria'!$B$5:$B$44,B13)-2</x:f>
        <x:v>0</x:v>
      </x:c>
      <x:c r="R13" s="12" t="n">
        <x:f>IF(COUNTIF('21_Fuentes_educativas'!$A$5:$A$188,M13)=1,0,1)</x:f>
        <x:v>0</x:v>
      </x:c>
      <x:c r="S13" s="12" t="n">
        <x:f>IF(COUNTIFS('21_Fuentes_educativas'!$A$5:$A$188,M13,'21_Fuentes_educativas'!$J$5:$J$188,"CURRICULAR_REVISADA")+COUNTIFS('21_Fuentes_educativas'!$A$5:$A$188,M13,'21_Fuentes_educativas'!$J$5:$J$188,"TRANSVERSAL_IDENTIFICADA")=1,0,1)</x:f>
        <x:v>0</x:v>
      </x:c>
    </x:row>
    <x:row r="14" ht="47" customHeight="1">
      <x:c r="A14" s="4" t="str">
        <x:v>URJC-10</x:v>
      </x:c>
      <x:c r="B14" s="4" t="str">
        <x:v>2285010</x:v>
      </x:c>
      <x:c r="C14" s="4" t="str">
        <x:v>ESTRUCTURAS DE DATOS</x:v>
      </x:c>
      <x:c r="D14" s="4" t="str">
        <x:v>1</x:v>
      </x:c>
      <x:c r="E14" s="4" t="str">
        <x:v>Segundo</x:v>
      </x:c>
      <x:c r="F14" s="4" t="str">
        <x:v>6</x:v>
      </x:c>
      <x:c r="G14" s="4" t="str">
        <x:v>OBLIGATORIA</x:v>
      </x:c>
      <x:c r="H14" s="4" t="str">
        <x:v>F03</x:v>
      </x:c>
      <x:c r="I14" s="4" t="str">
        <x:v>Tipos abstractos; estructuras lineales, árboles, grafos y mapas.</x:v>
      </x:c>
      <x:c r="J14" s="4" t="str">
        <x:v>Especificar e implementar estructuras y utilizarlas en programas.</x:v>
      </x:c>
      <x:c r="K14" s="4" t="str">
        <x:v>Implementaciones y resolución de problemas.</x:v>
      </x:c>
      <x:c r="L14" s="4" t="str">
        <x:v>CE07; CG1; CG10; CG15; CG16; CG17; CG18; CG2; CG5</x:v>
      </x:c>
      <x:c r="M14" s="4" t="str">
        <x:v>R010</x:v>
      </x:c>
      <x:c r="N14" s="4" t="str">
        <x:v>II; III (códigos); IV; actividad académica según guía</x:v>
      </x:c>
      <x:c r="O14" s="4" t="str">
        <x:v>LECTURA CURRICULAR; ADOPCIÓN NO REGISTRADA</x:v>
      </x:c>
      <x:c r="P14" s="12" t="n">
        <x:f>VALUE(F14)</x:f>
        <x:v>6</x:v>
      </x:c>
      <x:c r="Q14" s="12" t="n">
        <x:f>COUNTIF('15_Base_universitaria'!$A$5:$A$44,A14)+COUNTIF('15_Base_universitaria'!$B$5:$B$44,B14)-2</x:f>
        <x:v>0</x:v>
      </x:c>
      <x:c r="R14" s="12" t="n">
        <x:f>IF(COUNTIF('21_Fuentes_educativas'!$A$5:$A$188,M14)=1,0,1)</x:f>
        <x:v>0</x:v>
      </x:c>
      <x:c r="S14" s="12" t="n">
        <x:f>IF(COUNTIFS('21_Fuentes_educativas'!$A$5:$A$188,M14,'21_Fuentes_educativas'!$J$5:$J$188,"CURRICULAR_REVISADA")+COUNTIFS('21_Fuentes_educativas'!$A$5:$A$188,M14,'21_Fuentes_educativas'!$J$5:$J$188,"TRANSVERSAL_IDENTIFICADA")=1,0,1)</x:f>
        <x:v>0</x:v>
      </x:c>
    </x:row>
    <x:row r="15" ht="47" customHeight="1">
      <x:c r="A15" s="4" t="str">
        <x:v>URJC-11</x:v>
      </x:c>
      <x:c r="B15" s="4" t="str">
        <x:v>2285011</x:v>
      </x:c>
      <x:c r="C15" s="4" t="str">
        <x:v>METODOS OPERATIVOS Y ESTADISTICOS DE GESTION</x:v>
      </x:c>
      <x:c r="D15" s="4" t="str">
        <x:v>2</x:v>
      </x:c>
      <x:c r="E15" s="4" t="str">
        <x:v>Primero</x:v>
      </x:c>
      <x:c r="F15" s="4" t="str">
        <x:v>6</x:v>
      </x:c>
      <x:c r="G15" s="4" t="str">
        <x:v>FORMACIÓN BÁSICA</x:v>
      </x:c>
      <x:c r="H15" s="4" t="str">
        <x:v>F06</x:v>
      </x:c>
      <x:c r="I15" s="4" t="str">
        <x:v>Organización; optimización; decisión multicriterio; proyectos; calidad.</x:v>
      </x:c>
      <x:c r="J15" s="4" t="str">
        <x:v>Formular problemas de decisión y aplicar métodos cuantitativos.</x:v>
      </x:c>
      <x:c r="K15" s="4" t="str">
        <x:v>Ejercicios y prácticas con ordenador.</x:v>
      </x:c>
      <x:c r="L15" s="4" t="str">
        <x:v>CE01; CE03; CG1; CG10; CG12; CG18; CG2; CG9</x:v>
      </x:c>
      <x:c r="M15" s="4" t="str">
        <x:v>R011</x:v>
      </x:c>
      <x:c r="N15" s="4" t="str">
        <x:v>II; III (códigos); IV; actividad académica según guía</x:v>
      </x:c>
      <x:c r="O15" s="4" t="str">
        <x:v>LECTURA CURRICULAR; ADOPCIÓN NO REGISTRADA</x:v>
      </x:c>
      <x:c r="P15" s="12" t="n">
        <x:f>VALUE(F15)</x:f>
        <x:v>6</x:v>
      </x:c>
      <x:c r="Q15" s="12" t="n">
        <x:f>COUNTIF('15_Base_universitaria'!$A$5:$A$44,A15)+COUNTIF('15_Base_universitaria'!$B$5:$B$44,B15)-2</x:f>
        <x:v>0</x:v>
      </x:c>
      <x:c r="R15" s="12" t="n">
        <x:f>IF(COUNTIF('21_Fuentes_educativas'!$A$5:$A$188,M15)=1,0,1)</x:f>
        <x:v>0</x:v>
      </x:c>
      <x:c r="S15" s="12" t="n">
        <x:f>IF(COUNTIFS('21_Fuentes_educativas'!$A$5:$A$188,M15,'21_Fuentes_educativas'!$J$5:$J$188,"CURRICULAR_REVISADA")+COUNTIFS('21_Fuentes_educativas'!$A$5:$A$188,M15,'21_Fuentes_educativas'!$J$5:$J$188,"TRANSVERSAL_IDENTIFICADA")=1,0,1)</x:f>
        <x:v>0</x:v>
      </x:c>
    </x:row>
    <x:row r="16" ht="47" customHeight="1">
      <x:c r="A16" s="4" t="str">
        <x:v>URJC-12</x:v>
      </x:c>
      <x:c r="B16" s="4" t="str">
        <x:v>2285012</x:v>
      </x:c>
      <x:c r="C16" s="4" t="str">
        <x:v>PRINCIPIOS JURIDICOS BASICOS APLICADOS A LA CIBERSEGURIDAD</x:v>
      </x:c>
      <x:c r="D16" s="4" t="str">
        <x:v>2</x:v>
      </x:c>
      <x:c r="E16" s="4" t="str">
        <x:v>Primero</x:v>
      </x:c>
      <x:c r="F16" s="4" t="str">
        <x:v>6</x:v>
      </x:c>
      <x:c r="G16" s="4" t="str">
        <x:v>FORMACIÓN BÁSICA</x:v>
      </x:c>
      <x:c r="H16" s="4" t="str">
        <x:v>F05</x:v>
      </x:c>
      <x:c r="I16" s="4" t="str">
        <x:v>Regulación; privacidad; responsabilidades; ética; licencias.</x:v>
      </x:c>
      <x:c r="J16" s="4" t="str">
        <x:v>Distinguir obligaciones, sujetos y límites del ejercicio profesional.</x:v>
      </x:c>
      <x:c r="K16" s="4" t="str">
        <x:v>Casos jurídicos, debate y exposición.</x:v>
      </x:c>
      <x:c r="L16" s="4" t="str">
        <x:v>CE03; CE18; CE22; CG12; CG16; CG6; CG9</x:v>
      </x:c>
      <x:c r="M16" s="4" t="str">
        <x:v>R012</x:v>
      </x:c>
      <x:c r="N16" s="4" t="str">
        <x:v>II; III (códigos); IV; actividad académica según guía</x:v>
      </x:c>
      <x:c r="O16" s="4" t="str">
        <x:v>LECTURA CURRICULAR; ADOPCIÓN NO REGISTRADA</x:v>
      </x:c>
      <x:c r="P16" s="12" t="n">
        <x:f>VALUE(F16)</x:f>
        <x:v>6</x:v>
      </x:c>
      <x:c r="Q16" s="12" t="n">
        <x:f>COUNTIF('15_Base_universitaria'!$A$5:$A$44,A16)+COUNTIF('15_Base_universitaria'!$B$5:$B$44,B16)-2</x:f>
        <x:v>0</x:v>
      </x:c>
      <x:c r="R16" s="12" t="n">
        <x:f>IF(COUNTIF('21_Fuentes_educativas'!$A$5:$A$188,M16)=1,0,1)</x:f>
        <x:v>0</x:v>
      </x:c>
      <x:c r="S16" s="12" t="n">
        <x:f>IF(COUNTIFS('21_Fuentes_educativas'!$A$5:$A$188,M16,'21_Fuentes_educativas'!$J$5:$J$188,"CURRICULAR_REVISADA")+COUNTIFS('21_Fuentes_educativas'!$A$5:$A$188,M16,'21_Fuentes_educativas'!$J$5:$J$188,"TRANSVERSAL_IDENTIFICADA")=1,0,1)</x:f>
        <x:v>0</x:v>
      </x:c>
    </x:row>
    <x:row r="17" ht="47" customHeight="1">
      <x:c r="A17" s="4" t="str">
        <x:v>URJC-13</x:v>
      </x:c>
      <x:c r="B17" s="4" t="str">
        <x:v>2285013</x:v>
      </x:c>
      <x:c r="C17" s="4" t="str">
        <x:v>PROGRAMACION AVANZADA</x:v>
      </x:c>
      <x:c r="D17" s="4" t="str">
        <x:v>2</x:v>
      </x:c>
      <x:c r="E17" s="4" t="str">
        <x:v>Primero</x:v>
      </x:c>
      <x:c r="F17" s="4" t="str">
        <x:v>6</x:v>
      </x:c>
      <x:c r="G17" s="4" t="str">
        <x:v>OBLIGATORIA</x:v>
      </x:c>
      <x:c r="H17" s="4" t="str">
        <x:v>F03</x:v>
      </x:c>
      <x:c r="I17" s="4" t="str">
        <x:v>Orientación a objetos; Java; UML; excepciones; concurrencia; pruebas.</x:v>
      </x:c>
      <x:c r="J17" s="4" t="str">
        <x:v>Diseñar y programar aplicaciones orientadas a objetos.</x:v>
      </x:c>
      <x:c r="K17" s="4" t="str">
        <x:v>Ejercicios y prácticas de programación.</x:v>
      </x:c>
      <x:c r="L17" s="4" t="str">
        <x:v>CE06; CE07; CG13; CG15; CG18; CG4; CG5</x:v>
      </x:c>
      <x:c r="M17" s="4" t="str">
        <x:v>R013</x:v>
      </x:c>
      <x:c r="N17" s="4" t="str">
        <x:v>II; III (códigos); IV; actividad académica según guía</x:v>
      </x:c>
      <x:c r="O17" s="4" t="str">
        <x:v>LECTURA CURRICULAR; ADOPCIÓN NO REGISTRADA</x:v>
      </x:c>
      <x:c r="P17" s="12" t="n">
        <x:f>VALUE(F17)</x:f>
        <x:v>6</x:v>
      </x:c>
      <x:c r="Q17" s="12" t="n">
        <x:f>COUNTIF('15_Base_universitaria'!$A$5:$A$44,A17)+COUNTIF('15_Base_universitaria'!$B$5:$B$44,B17)-2</x:f>
        <x:v>0</x:v>
      </x:c>
      <x:c r="R17" s="12" t="n">
        <x:f>IF(COUNTIF('21_Fuentes_educativas'!$A$5:$A$188,M17)=1,0,1)</x:f>
        <x:v>0</x:v>
      </x:c>
      <x:c r="S17" s="12" t="n">
        <x:f>IF(COUNTIFS('21_Fuentes_educativas'!$A$5:$A$188,M17,'21_Fuentes_educativas'!$J$5:$J$188,"CURRICULAR_REVISADA")+COUNTIFS('21_Fuentes_educativas'!$A$5:$A$188,M17,'21_Fuentes_educativas'!$J$5:$J$188,"TRANSVERSAL_IDENTIFICADA")=1,0,1)</x:f>
        <x:v>0</x:v>
      </x:c>
    </x:row>
    <x:row r="18" ht="47" customHeight="1">
      <x:c r="A18" s="4" t="str">
        <x:v>URJC-14</x:v>
      </x:c>
      <x:c r="B18" s="4" t="str">
        <x:v>2285014</x:v>
      </x:c>
      <x:c r="C18" s="4" t="str">
        <x:v>REDES DE COMPUTADORES</x:v>
      </x:c>
      <x:c r="D18" s="4" t="str">
        <x:v>2</x:v>
      </x:c>
      <x:c r="E18" s="4" t="str">
        <x:v>Primero</x:v>
      </x:c>
      <x:c r="F18" s="4" t="str">
        <x:v>6</x:v>
      </x:c>
      <x:c r="G18" s="4" t="str">
        <x:v>OBLIGATORIA</x:v>
      </x:c>
      <x:c r="H18" s="4" t="str">
        <x:v>F07</x:v>
      </x:c>
      <x:c r="I18" s="4" t="str">
        <x:v>Redes por capas; protocolos; rutas; congestión; comunicaciones.</x:v>
      </x:c>
      <x:c r="J18" s="4" t="str">
        <x:v>Diseñar una red atendiendo a coste, prestaciones, necesidades y seguridad.</x:v>
      </x:c>
      <x:c r="K18" s="4" t="str">
        <x:v>Laboratorios, ejercicios y pruebas prácticas.</x:v>
      </x:c>
      <x:c r="L18" s="4" t="str">
        <x:v>CE04; CE11; CG13; CG4; CG9</x:v>
      </x:c>
      <x:c r="M18" s="4" t="str">
        <x:v>R014</x:v>
      </x:c>
      <x:c r="N18" s="4" t="str">
        <x:v>II; III (códigos); IV; actividad académica según guía</x:v>
      </x:c>
      <x:c r="O18" s="4" t="str">
        <x:v>LECTURA CURRICULAR; ADOPCIÓN NO REGISTRADA</x:v>
      </x:c>
      <x:c r="P18" s="12" t="n">
        <x:f>VALUE(F18)</x:f>
        <x:v>6</x:v>
      </x:c>
      <x:c r="Q18" s="12" t="n">
        <x:f>COUNTIF('15_Base_universitaria'!$A$5:$A$44,A18)+COUNTIF('15_Base_universitaria'!$B$5:$B$44,B18)-2</x:f>
        <x:v>0</x:v>
      </x:c>
      <x:c r="R18" s="12" t="n">
        <x:f>IF(COUNTIF('21_Fuentes_educativas'!$A$5:$A$188,M18)=1,0,1)</x:f>
        <x:v>0</x:v>
      </x:c>
      <x:c r="S18" s="12" t="n">
        <x:f>IF(COUNTIFS('21_Fuentes_educativas'!$A$5:$A$188,M18,'21_Fuentes_educativas'!$J$5:$J$188,"CURRICULAR_REVISADA")+COUNTIFS('21_Fuentes_educativas'!$A$5:$A$188,M18,'21_Fuentes_educativas'!$J$5:$J$188,"TRANSVERSAL_IDENTIFICADA")=1,0,1)</x:f>
        <x:v>0</x:v>
      </x:c>
    </x:row>
    <x:row r="19" ht="47" customHeight="1">
      <x:c r="A19" s="4" t="str">
        <x:v>URJC-15</x:v>
      </x:c>
      <x:c r="B19" s="4" t="str">
        <x:v>2285015</x:v>
      </x:c>
      <x:c r="C19" s="4" t="str">
        <x:v>TECNICAS DE HACKING</x:v>
      </x:c>
      <x:c r="D19" s="4" t="str">
        <x:v>2</x:v>
      </x:c>
      <x:c r="E19" s="4" t="str">
        <x:v>Primero</x:v>
      </x:c>
      <x:c r="F19" s="4" t="str">
        <x:v>6</x:v>
      </x:c>
      <x:c r="G19" s="4" t="str">
        <x:v>OBLIGATORIA</x:v>
      </x:c>
      <x:c r="H19" s="4" t="str">
        <x:v>F08</x:v>
      </x:c>
      <x:c r="I19" s="4" t="str">
        <x:v>Reconocimiento; técnicas de ataque; vulnerabilidades y explotación.</x:v>
      </x:c>
      <x:c r="J19" s="4" t="str">
        <x:v>Analizar técnicas ofensivas dentro de un entorno autorizado.</x:v>
      </x:c>
      <x:c r="K19" s="4" t="str">
        <x:v>Prácticas de seguridad ofensiva.</x:v>
      </x:c>
      <x:c r="L19" s="4" t="str">
        <x:v>CE19; CE20; CE26; CG1; CG11; CG12; CG13; CG15; CG16; CG17; CG18; CG3; CG6; CG7</x:v>
      </x:c>
      <x:c r="M19" s="4" t="str">
        <x:v>R015</x:v>
      </x:c>
      <x:c r="N19" s="4" t="str">
        <x:v>II; III (códigos); IV; actividad académica según guía</x:v>
      </x:c>
      <x:c r="O19" s="4" t="str">
        <x:v>LECTURA CURRICULAR; ADOPCIÓN NO REGISTRADA</x:v>
      </x:c>
      <x:c r="P19" s="12" t="n">
        <x:f>VALUE(F19)</x:f>
        <x:v>6</x:v>
      </x:c>
      <x:c r="Q19" s="12" t="n">
        <x:f>COUNTIF('15_Base_universitaria'!$A$5:$A$44,A19)+COUNTIF('15_Base_universitaria'!$B$5:$B$44,B19)-2</x:f>
        <x:v>0</x:v>
      </x:c>
      <x:c r="R19" s="12" t="n">
        <x:f>IF(COUNTIF('21_Fuentes_educativas'!$A$5:$A$188,M19)=1,0,1)</x:f>
        <x:v>0</x:v>
      </x:c>
      <x:c r="S19" s="12" t="n">
        <x:f>IF(COUNTIFS('21_Fuentes_educativas'!$A$5:$A$188,M19,'21_Fuentes_educativas'!$J$5:$J$188,"CURRICULAR_REVISADA")+COUNTIFS('21_Fuentes_educativas'!$A$5:$A$188,M19,'21_Fuentes_educativas'!$J$5:$J$188,"TRANSVERSAL_IDENTIFICADA")=1,0,1)</x:f>
        <x:v>0</x:v>
      </x:c>
    </x:row>
    <x:row r="20" ht="47" customHeight="1">
      <x:c r="A20" s="4" t="str">
        <x:v>URJC-16</x:v>
      </x:c>
      <x:c r="B20" s="4" t="str">
        <x:v>2285016</x:v>
      </x:c>
      <x:c r="C20" s="4" t="str">
        <x:v>BASES DE DATOS</x:v>
      </x:c>
      <x:c r="D20" s="4" t="str">
        <x:v>2</x:v>
      </x:c>
      <x:c r="E20" s="4" t="str">
        <x:v>Segundo</x:v>
      </x:c>
      <x:c r="F20" s="4" t="str">
        <x:v>6</x:v>
      </x:c>
      <x:c r="G20" s="4" t="str">
        <x:v>OBLIGATORIA</x:v>
      </x:c>
      <x:c r="H20" s="4" t="str">
        <x:v>F09</x:v>
      </x:c>
      <x:c r="I20" s="4" t="str">
        <x:v>Modelos de datos; diseño conceptual y lógico; SQL.</x:v>
      </x:c>
      <x:c r="J20" s="4" t="str">
        <x:v>Diseñar y consultar bases de datos.</x:v>
      </x:c>
      <x:c r="K20" s="4" t="str">
        <x:v>Prácticas de modelado y consulta.</x:v>
      </x:c>
      <x:c r="L20" s="4" t="str">
        <x:v>CE05; CG14; CG5; CG9</x:v>
      </x:c>
      <x:c r="M20" s="4" t="str">
        <x:v>R016</x:v>
      </x:c>
      <x:c r="N20" s="4" t="str">
        <x:v>II; III (códigos); IV; actividad académica según guía</x:v>
      </x:c>
      <x:c r="O20" s="4" t="str">
        <x:v>LECTURA CURRICULAR; ADOPCIÓN NO REGISTRADA</x:v>
      </x:c>
      <x:c r="P20" s="12" t="n">
        <x:f>VALUE(F20)</x:f>
        <x:v>6</x:v>
      </x:c>
      <x:c r="Q20" s="12" t="n">
        <x:f>COUNTIF('15_Base_universitaria'!$A$5:$A$44,A20)+COUNTIF('15_Base_universitaria'!$B$5:$B$44,B20)-2</x:f>
        <x:v>0</x:v>
      </x:c>
      <x:c r="R20" s="12" t="n">
        <x:f>IF(COUNTIF('21_Fuentes_educativas'!$A$5:$A$188,M20)=1,0,1)</x:f>
        <x:v>0</x:v>
      </x:c>
      <x:c r="S20" s="12" t="n">
        <x:f>IF(COUNTIFS('21_Fuentes_educativas'!$A$5:$A$188,M20,'21_Fuentes_educativas'!$J$5:$J$188,"CURRICULAR_REVISADA")+COUNTIFS('21_Fuentes_educativas'!$A$5:$A$188,M20,'21_Fuentes_educativas'!$J$5:$J$188,"TRANSVERSAL_IDENTIFICADA")=1,0,1)</x:f>
        <x:v>0</x:v>
      </x:c>
    </x:row>
    <x:row r="21" ht="47" customHeight="1">
      <x:c r="A21" s="4" t="str">
        <x:v>URJC-17</x:v>
      </x:c>
      <x:c r="B21" s="4" t="str">
        <x:v>2285017</x:v>
      </x:c>
      <x:c r="C21" s="4" t="str">
        <x:v>DESARROLLO WEB SEGURO</x:v>
      </x:c>
      <x:c r="D21" s="4" t="str">
        <x:v>2</x:v>
      </x:c>
      <x:c r="E21" s="4" t="str">
        <x:v>Segundo</x:v>
      </x:c>
      <x:c r="F21" s="4" t="str">
        <x:v>6</x:v>
      </x:c>
      <x:c r="G21" s="4" t="str">
        <x:v>OBLIGATORIA</x:v>
      </x:c>
      <x:c r="H21" s="4" t="str">
        <x:v>F03</x:v>
      </x:c>
      <x:c r="I21" s="4" t="str">
        <x:v>Cliente y servidor web; despliegue; vulnerabilidades; herramientas de IA generativa.</x:v>
      </x:c>
      <x:c r="J21" s="4" t="str">
        <x:v>Construir, probar y proteger una aplicación web.</x:v>
      </x:c>
      <x:c r="K21" s="4" t="str">
        <x:v>Prácticas y ejercicios de desarrollo.</x:v>
      </x:c>
      <x:c r="L21" s="4" t="str">
        <x:v>CE08; CE11; CE12; CE25; CG11; CG13; CG5; CG7; CG8</x:v>
      </x:c>
      <x:c r="M21" s="4" t="str">
        <x:v>R017</x:v>
      </x:c>
      <x:c r="N21" s="4" t="str">
        <x:v>II; III (códigos); IV; actividad académica según guía</x:v>
      </x:c>
      <x:c r="O21" s="4" t="str">
        <x:v>LECTURA CURRICULAR; ADOPCIÓN NO REGISTRADA</x:v>
      </x:c>
      <x:c r="P21" s="12" t="n">
        <x:f>VALUE(F21)</x:f>
        <x:v>6</x:v>
      </x:c>
      <x:c r="Q21" s="12" t="n">
        <x:f>COUNTIF('15_Base_universitaria'!$A$5:$A$44,A21)+COUNTIF('15_Base_universitaria'!$B$5:$B$44,B21)-2</x:f>
        <x:v>0</x:v>
      </x:c>
      <x:c r="R21" s="12" t="n">
        <x:f>IF(COUNTIF('21_Fuentes_educativas'!$A$5:$A$188,M21)=1,0,1)</x:f>
        <x:v>0</x:v>
      </x:c>
      <x:c r="S21" s="12" t="n">
        <x:f>IF(COUNTIFS('21_Fuentes_educativas'!$A$5:$A$188,M21,'21_Fuentes_educativas'!$J$5:$J$188,"CURRICULAR_REVISADA")+COUNTIFS('21_Fuentes_educativas'!$A$5:$A$188,M21,'21_Fuentes_educativas'!$J$5:$J$188,"TRANSVERSAL_IDENTIFICADA")=1,0,1)</x:f>
        <x:v>0</x:v>
      </x:c>
    </x:row>
    <x:row r="22" ht="47" customHeight="1">
      <x:c r="A22" s="4" t="str">
        <x:v>URJC-18</x:v>
      </x:c>
      <x:c r="B22" s="4" t="str">
        <x:v>2285018</x:v>
      </x:c>
      <x:c r="C22" s="4" t="str">
        <x:v>ESTRUCTURA DE COMPUTADORES</x:v>
      </x:c>
      <x:c r="D22" s="4" t="str">
        <x:v>2</x:v>
      </x:c>
      <x:c r="E22" s="4" t="str">
        <x:v>Segundo</x:v>
      </x:c>
      <x:c r="F22" s="4" t="str">
        <x:v>6</x:v>
      </x:c>
      <x:c r="G22" s="4" t="str">
        <x:v>OBLIGATORIA</x:v>
      </x:c>
      <x:c r="H22" s="4" t="str">
        <x:v>F10</x:v>
      </x:c>
      <x:c r="I22" s="4" t="str">
        <x:v>Procesador; representación; ensamblador; camino de datos y control.</x:v>
      </x:c>
      <x:c r="J22" s="4" t="str">
        <x:v>Relacionar ejecución de instrucciones con estructura del computador.</x:v>
      </x:c>
      <x:c r="K22" s="4" t="str">
        <x:v>Ejercicios y prácticas sobre computadores.</x:v>
      </x:c>
      <x:c r="L22" s="4" t="str">
        <x:v>CE04; CE09; CG5; CG7</x:v>
      </x:c>
      <x:c r="M22" s="4" t="str">
        <x:v>R018</x:v>
      </x:c>
      <x:c r="N22" s="4" t="str">
        <x:v>II; III (códigos); IV; actividad académica según guía</x:v>
      </x:c>
      <x:c r="O22" s="4" t="str">
        <x:v>LECTURA CURRICULAR; ADOPCIÓN NO REGISTRADA</x:v>
      </x:c>
      <x:c r="P22" s="12" t="n">
        <x:f>VALUE(F22)</x:f>
        <x:v>6</x:v>
      </x:c>
      <x:c r="Q22" s="12" t="n">
        <x:f>COUNTIF('15_Base_universitaria'!$A$5:$A$44,A22)+COUNTIF('15_Base_universitaria'!$B$5:$B$44,B22)-2</x:f>
        <x:v>0</x:v>
      </x:c>
      <x:c r="R22" s="12" t="n">
        <x:f>IF(COUNTIF('21_Fuentes_educativas'!$A$5:$A$188,M22)=1,0,1)</x:f>
        <x:v>0</x:v>
      </x:c>
      <x:c r="S22" s="12" t="n">
        <x:f>IF(COUNTIFS('21_Fuentes_educativas'!$A$5:$A$188,M22,'21_Fuentes_educativas'!$J$5:$J$188,"CURRICULAR_REVISADA")+COUNTIFS('21_Fuentes_educativas'!$A$5:$A$188,M22,'21_Fuentes_educativas'!$J$5:$J$188,"TRANSVERSAL_IDENTIFICADA")=1,0,1)</x:f>
        <x:v>0</x:v>
      </x:c>
    </x:row>
    <x:row r="23" ht="47" customHeight="1">
      <x:c r="A23" s="4" t="str">
        <x:v>URJC-19</x:v>
      </x:c>
      <x:c r="B23" s="4" t="str">
        <x:v>2285019</x:v>
      </x:c>
      <x:c r="C23" s="4" t="str">
        <x:v>SEGURIDAD EN REDES</x:v>
      </x:c>
      <x:c r="D23" s="4" t="str">
        <x:v>2</x:v>
      </x:c>
      <x:c r="E23" s="4" t="str">
        <x:v>Segundo</x:v>
      </x:c>
      <x:c r="F23" s="4" t="str">
        <x:v>6</x:v>
      </x:c>
      <x:c r="G23" s="4" t="str">
        <x:v>OBLIGATORIA</x:v>
      </x:c>
      <x:c r="H23" s="4" t="str">
        <x:v>F07</x:v>
      </x:c>
      <x:c r="I23" s="4" t="str">
        <x:v>Protección perimetral; segmentación; detección; VPN; redes inalámbricas.</x:v>
      </x:c>
      <x:c r="J23" s="4" t="str">
        <x:v>Configurar y analizar mecanismos de protección de redes.</x:v>
      </x:c>
      <x:c r="K23" s="4" t="str">
        <x:v>Laboratorios de seguridad en redes.</x:v>
      </x:c>
      <x:c r="L23" s="4" t="str">
        <x:v>CE11; CE18; CE23; CE24; CG13; CG3; CG5; CG7; CG8</x:v>
      </x:c>
      <x:c r="M23" s="4" t="str">
        <x:v>R019</x:v>
      </x:c>
      <x:c r="N23" s="4" t="str">
        <x:v>II; III (códigos); IV; actividad académica según guía</x:v>
      </x:c>
      <x:c r="O23" s="4" t="str">
        <x:v>LECTURA CURRICULAR; ADOPCIÓN NO REGISTRADA</x:v>
      </x:c>
      <x:c r="P23" s="12" t="n">
        <x:f>VALUE(F23)</x:f>
        <x:v>6</x:v>
      </x:c>
      <x:c r="Q23" s="12" t="n">
        <x:f>COUNTIF('15_Base_universitaria'!$A$5:$A$44,A23)+COUNTIF('15_Base_universitaria'!$B$5:$B$44,B23)-2</x:f>
        <x:v>0</x:v>
      </x:c>
      <x:c r="R23" s="12" t="n">
        <x:f>IF(COUNTIF('21_Fuentes_educativas'!$A$5:$A$188,M23)=1,0,1)</x:f>
        <x:v>0</x:v>
      </x:c>
      <x:c r="S23" s="12" t="n">
        <x:f>IF(COUNTIFS('21_Fuentes_educativas'!$A$5:$A$188,M23,'21_Fuentes_educativas'!$J$5:$J$188,"CURRICULAR_REVISADA")+COUNTIFS('21_Fuentes_educativas'!$A$5:$A$188,M23,'21_Fuentes_educativas'!$J$5:$J$188,"TRANSVERSAL_IDENTIFICADA")=1,0,1)</x:f>
        <x:v>0</x:v>
      </x:c>
    </x:row>
    <x:row r="24" ht="47" customHeight="1">
      <x:c r="A24" s="4" t="str">
        <x:v>URJC-20</x:v>
      </x:c>
      <x:c r="B24" s="4" t="str">
        <x:v>2285020</x:v>
      </x:c>
      <x:c r="C24" s="4" t="str">
        <x:v>IDIOMA MODERNO</x:v>
      </x:c>
      <x:c r="D24" s="4" t="str">
        <x:v>2</x:v>
      </x:c>
      <x:c r="E24" s="4" t="str">
        <x:v>No indicado</x:v>
      </x:c>
      <x:c r="F24" s="4" t="str">
        <x:v>6</x:v>
      </x:c>
      <x:c r="G24" s="4" t="str">
        <x:v>FORMACIÓN BÁSICA</x:v>
      </x:c>
      <x:c r="H24" s="4" t="str">
        <x:v>F11</x:v>
      </x:c>
      <x:c r="I24" s="4" t="str">
        <x:v>Competencia en idioma moderno.</x:v>
      </x:c>
      <x:c r="J24" s="4" t="str">
        <x:v>Comprender y comunicar información en otra lengua.</x:v>
      </x:c>
      <x:c r="K24" s="4" t="str">
        <x:v>Formación transversal; no añade por sí sola un conocimiento de ciberseguridad.</x:v>
      </x:c>
      <x:c r="L24" s="4" t="str"/>
      <x:c r="M24" s="4" t="str">
        <x:v>R020</x:v>
      </x:c>
      <x:c r="N24" s="4" t="str">
        <x:v>II; III (códigos); IV; actividad académica según guía</x:v>
      </x:c>
      <x:c r="O24" s="4" t="str">
        <x:v>LECTURA CURRICULAR; ADOPCIÓN NO REGISTRADA</x:v>
      </x:c>
      <x:c r="P24" s="12" t="n">
        <x:f>VALUE(F24)</x:f>
        <x:v>6</x:v>
      </x:c>
      <x:c r="Q24" s="12" t="n">
        <x:f>COUNTIF('15_Base_universitaria'!$A$5:$A$44,A24)+COUNTIF('15_Base_universitaria'!$B$5:$B$44,B24)-2</x:f>
        <x:v>0</x:v>
      </x:c>
      <x:c r="R24" s="12" t="n">
        <x:f>IF(COUNTIF('21_Fuentes_educativas'!$A$5:$A$188,M24)=1,0,1)</x:f>
        <x:v>0</x:v>
      </x:c>
      <x:c r="S24" s="12" t="n">
        <x:f>IF(COUNTIFS('21_Fuentes_educativas'!$A$5:$A$188,M24,'21_Fuentes_educativas'!$J$5:$J$188,"CURRICULAR_REVISADA")+COUNTIFS('21_Fuentes_educativas'!$A$5:$A$188,M24,'21_Fuentes_educativas'!$J$5:$J$188,"TRANSVERSAL_IDENTIFICADA")=1,0,1)</x:f>
        <x:v>0</x:v>
      </x:c>
    </x:row>
    <x:row r="25" ht="47" customHeight="1">
      <x:c r="A25" s="4" t="str">
        <x:v>URJC-21</x:v>
      </x:c>
      <x:c r="B25" s="4" t="str">
        <x:v>2285021</x:v>
      </x:c>
      <x:c r="C25" s="4" t="str">
        <x:v>ARQUITECTURA DE COMPUTADORES</x:v>
      </x:c>
      <x:c r="D25" s="4" t="str">
        <x:v>3</x:v>
      </x:c>
      <x:c r="E25" s="4" t="str">
        <x:v>Primero</x:v>
      </x:c>
      <x:c r="F25" s="4" t="str">
        <x:v>6</x:v>
      </x:c>
      <x:c r="G25" s="4" t="str">
        <x:v>OBLIGATORIA</x:v>
      </x:c>
      <x:c r="H25" s="4" t="str">
        <x:v>F10</x:v>
      </x:c>
      <x:c r="I25" s="4" t="str">
        <x:v>Arquitectura del computador; memoria; rendimiento y organización.</x:v>
      </x:c>
      <x:c r="J25" s="4" t="str">
        <x:v>Analizar efectos de la arquitectura en la ejecución y prestaciones.</x:v>
      </x:c>
      <x:c r="K25" s="4" t="str">
        <x:v>Ejercicios y prácticas de arquitectura.</x:v>
      </x:c>
      <x:c r="L25" s="4" t="str">
        <x:v>CE04; CE09; CG13; CG5; CG7</x:v>
      </x:c>
      <x:c r="M25" s="4" t="str">
        <x:v>R021</x:v>
      </x:c>
      <x:c r="N25" s="4" t="str">
        <x:v>II; III (códigos); IV; actividad académica según guía</x:v>
      </x:c>
      <x:c r="O25" s="4" t="str">
        <x:v>LECTURA CURRICULAR; ADOPCIÓN NO REGISTRADA</x:v>
      </x:c>
      <x:c r="P25" s="12" t="n">
        <x:f>VALUE(F25)</x:f>
        <x:v>6</x:v>
      </x:c>
      <x:c r="Q25" s="12" t="n">
        <x:f>COUNTIF('15_Base_universitaria'!$A$5:$A$44,A25)+COUNTIF('15_Base_universitaria'!$B$5:$B$44,B25)-2</x:f>
        <x:v>0</x:v>
      </x:c>
      <x:c r="R25" s="12" t="n">
        <x:f>IF(COUNTIF('21_Fuentes_educativas'!$A$5:$A$188,M25)=1,0,1)</x:f>
        <x:v>0</x:v>
      </x:c>
      <x:c r="S25" s="12" t="n">
        <x:f>IF(COUNTIFS('21_Fuentes_educativas'!$A$5:$A$188,M25,'21_Fuentes_educativas'!$J$5:$J$188,"CURRICULAR_REVISADA")+COUNTIFS('21_Fuentes_educativas'!$A$5:$A$188,M25,'21_Fuentes_educativas'!$J$5:$J$188,"TRANSVERSAL_IDENTIFICADA")=1,0,1)</x:f>
        <x:v>0</x:v>
      </x:c>
    </x:row>
    <x:row r="26" ht="47" customHeight="1">
      <x:c r="A26" s="4" t="str">
        <x:v>URJC-22</x:v>
      </x:c>
      <x:c r="B26" s="4" t="str">
        <x:v>2285022</x:v>
      </x:c>
      <x:c r="C26" s="4" t="str">
        <x:v>DISEÑO Y ANALISIS DE ALGORITMOS</x:v>
      </x:c>
      <x:c r="D26" s="4" t="str">
        <x:v>3</x:v>
      </x:c>
      <x:c r="E26" s="4" t="str">
        <x:v>Primero</x:v>
      </x:c>
      <x:c r="F26" s="4" t="str">
        <x:v>6</x:v>
      </x:c>
      <x:c r="G26" s="4" t="str">
        <x:v>OBLIGATORIA</x:v>
      </x:c>
      <x:c r="H26" s="4" t="str">
        <x:v>F03</x:v>
      </x:c>
      <x:c r="I26" s="4" t="str">
        <x:v>Complejidad; diseño y análisis de algoritmos.</x:v>
      </x:c>
      <x:c r="J26" s="4" t="str">
        <x:v>Justificar corrección, recursos y adecuación de algoritmos.</x:v>
      </x:c>
      <x:c r="K26" s="4" t="str">
        <x:v>Implementación y análisis de problemas.</x:v>
      </x:c>
      <x:c r="L26" s="4" t="str">
        <x:v>CE02; CE06; CG11; CG5</x:v>
      </x:c>
      <x:c r="M26" s="4" t="str">
        <x:v>R022</x:v>
      </x:c>
      <x:c r="N26" s="4" t="str">
        <x:v>II; III (códigos); IV; actividad académica según guía</x:v>
      </x:c>
      <x:c r="O26" s="4" t="str">
        <x:v>LECTURA CURRICULAR; ADOPCIÓN NO REGISTRADA</x:v>
      </x:c>
      <x:c r="P26" s="12" t="n">
        <x:f>VALUE(F26)</x:f>
        <x:v>6</x:v>
      </x:c>
      <x:c r="Q26" s="12" t="n">
        <x:f>COUNTIF('15_Base_universitaria'!$A$5:$A$44,A26)+COUNTIF('15_Base_universitaria'!$B$5:$B$44,B26)-2</x:f>
        <x:v>0</x:v>
      </x:c>
      <x:c r="R26" s="12" t="n">
        <x:f>IF(COUNTIF('21_Fuentes_educativas'!$A$5:$A$188,M26)=1,0,1)</x:f>
        <x:v>0</x:v>
      </x:c>
      <x:c r="S26" s="12" t="n">
        <x:f>IF(COUNTIFS('21_Fuentes_educativas'!$A$5:$A$188,M26,'21_Fuentes_educativas'!$J$5:$J$188,"CURRICULAR_REVISADA")+COUNTIFS('21_Fuentes_educativas'!$A$5:$A$188,M26,'21_Fuentes_educativas'!$J$5:$J$188,"TRANSVERSAL_IDENTIFICADA")=1,0,1)</x:f>
        <x:v>0</x:v>
      </x:c>
    </x:row>
    <x:row r="27" ht="47" customHeight="1">
      <x:c r="A27" s="4" t="str">
        <x:v>URJC-23</x:v>
      </x:c>
      <x:c r="B27" s="4" t="str">
        <x:v>2285023</x:v>
      </x:c>
      <x:c r="C27" s="4" t="str">
        <x:v>INGENIERIA DEL SOFTWARE</x:v>
      </x:c>
      <x:c r="D27" s="4" t="str">
        <x:v>3</x:v>
      </x:c>
      <x:c r="E27" s="4" t="str">
        <x:v>Primero</x:v>
      </x:c>
      <x:c r="F27" s="4" t="str">
        <x:v>6</x:v>
      </x:c>
      <x:c r="G27" s="4" t="str">
        <x:v>OBLIGATORIA</x:v>
      </x:c>
      <x:c r="H27" s="4" t="str">
        <x:v>F03</x:v>
      </x:c>
      <x:c r="I27" s="4" t="str">
        <x:v>Procesos; ciclos de vida; metodologías y planificación de software en ciberseguridad.</x:v>
      </x:c>
      <x:c r="J27" s="4" t="str">
        <x:v>Organizar la resolución de problemas y proyectos de software en grupo.</x:v>
      </x:c>
      <x:c r="K27" s="4" t="str">
        <x:v>Trabajo en grupo, lecturas y práctica de ingeniería.</x:v>
      </x:c>
      <x:c r="L27" s="4" t="str">
        <x:v>CE08; CE14; CE17; CG1; CG10; CG12; CG15; CG2; CG3; CG4; CG7; CG9</x:v>
      </x:c>
      <x:c r="M27" s="4" t="str">
        <x:v>R023</x:v>
      </x:c>
      <x:c r="N27" s="4" t="str">
        <x:v>II; III (códigos); IV; actividad académica según guía</x:v>
      </x:c>
      <x:c r="O27" s="4" t="str">
        <x:v>LECTURA CURRICULAR; ADOPCIÓN NO REGISTRADA</x:v>
      </x:c>
      <x:c r="P27" s="12" t="n">
        <x:f>VALUE(F27)</x:f>
        <x:v>6</x:v>
      </x:c>
      <x:c r="Q27" s="12" t="n">
        <x:f>COUNTIF('15_Base_universitaria'!$A$5:$A$44,A27)+COUNTIF('15_Base_universitaria'!$B$5:$B$44,B27)-2</x:f>
        <x:v>0</x:v>
      </x:c>
      <x:c r="R27" s="12" t="n">
        <x:f>IF(COUNTIF('21_Fuentes_educativas'!$A$5:$A$188,M27)=1,0,1)</x:f>
        <x:v>0</x:v>
      </x:c>
      <x:c r="S27" s="12" t="n">
        <x:f>IF(COUNTIFS('21_Fuentes_educativas'!$A$5:$A$188,M27,'21_Fuentes_educativas'!$J$5:$J$188,"CURRICULAR_REVISADA")+COUNTIFS('21_Fuentes_educativas'!$A$5:$A$188,M27,'21_Fuentes_educativas'!$J$5:$J$188,"TRANSVERSAL_IDENTIFICADA")=1,0,1)</x:f>
        <x:v>0</x:v>
      </x:c>
    </x:row>
    <x:row r="28" ht="47" customHeight="1">
      <x:c r="A28" s="4" t="str">
        <x:v>URJC-24</x:v>
      </x:c>
      <x:c r="B28" s="4" t="str">
        <x:v>2285024</x:v>
      </x:c>
      <x:c r="C28" s="4" t="str">
        <x:v>SEGURIDAD EN BASES DE DATOS</x:v>
      </x:c>
      <x:c r="D28" s="4" t="str">
        <x:v>3</x:v>
      </x:c>
      <x:c r="E28" s="4" t="str">
        <x:v>Primero</x:v>
      </x:c>
      <x:c r="F28" s="4" t="str">
        <x:v>6</x:v>
      </x:c>
      <x:c r="G28" s="4" t="str">
        <x:v>OBLIGATORIA</x:v>
      </x:c>
      <x:c r="H28" s="4" t="str">
        <x:v>F09</x:v>
      </x:c>
      <x:c r="I28" s="4" t="str">
        <x:v>Protección en SGBD; acceso; confidencialidad; recuperación; auditoría.</x:v>
      </x:c>
      <x:c r="J28" s="4" t="str">
        <x:v>Administrar controles y evaluar la protección de bases de datos.</x:v>
      </x:c>
      <x:c r="K28" s="4" t="str">
        <x:v>Prácticas de administración y seguridad.</x:v>
      </x:c>
      <x:c r="L28" s="4" t="str">
        <x:v>CE12; CE25; CG11; CG13; CG3; CG5; CG7; CG8; CG9</x:v>
      </x:c>
      <x:c r="M28" s="4" t="str">
        <x:v>R024</x:v>
      </x:c>
      <x:c r="N28" s="4" t="str">
        <x:v>II; III (códigos); IV; actividad académica según guía</x:v>
      </x:c>
      <x:c r="O28" s="4" t="str">
        <x:v>LECTURA CURRICULAR; ADOPCIÓN NO REGISTRADA</x:v>
      </x:c>
      <x:c r="P28" s="12" t="n">
        <x:f>VALUE(F28)</x:f>
        <x:v>6</x:v>
      </x:c>
      <x:c r="Q28" s="12" t="n">
        <x:f>COUNTIF('15_Base_universitaria'!$A$5:$A$44,A28)+COUNTIF('15_Base_universitaria'!$B$5:$B$44,B28)-2</x:f>
        <x:v>0</x:v>
      </x:c>
      <x:c r="R28" s="12" t="n">
        <x:f>IF(COUNTIF('21_Fuentes_educativas'!$A$5:$A$188,M28)=1,0,1)</x:f>
        <x:v>0</x:v>
      </x:c>
      <x:c r="S28" s="12" t="n">
        <x:f>IF(COUNTIFS('21_Fuentes_educativas'!$A$5:$A$188,M28,'21_Fuentes_educativas'!$J$5:$J$188,"CURRICULAR_REVISADA")+COUNTIFS('21_Fuentes_educativas'!$A$5:$A$188,M28,'21_Fuentes_educativas'!$J$5:$J$188,"TRANSVERSAL_IDENTIFICADA")=1,0,1)</x:f>
        <x:v>0</x:v>
      </x:c>
    </x:row>
    <x:row r="29" ht="47" customHeight="1">
      <x:c r="A29" s="4" t="str">
        <x:v>URJC-25</x:v>
      </x:c>
      <x:c r="B29" s="4" t="str">
        <x:v>2285025</x:v>
      </x:c>
      <x:c r="C29" s="4" t="str">
        <x:v>SISTEMAS OPERATIVOS</x:v>
      </x:c>
      <x:c r="D29" s="4" t="str">
        <x:v>3</x:v>
      </x:c>
      <x:c r="E29" s="4" t="str">
        <x:v>Primero</x:v>
      </x:c>
      <x:c r="F29" s="4" t="str">
        <x:v>6</x:v>
      </x:c>
      <x:c r="G29" s="4" t="str">
        <x:v>OBLIGATORIA</x:v>
      </x:c>
      <x:c r="H29" s="4" t="str">
        <x:v>F10</x:v>
      </x:c>
      <x:c r="I29" s="4" t="str">
        <x:v>Procesos; memoria; ficheros; concurrencia; administración.</x:v>
      </x:c>
      <x:c r="J29" s="4" t="str">
        <x:v>Comprender y utilizar mecanismos del sistema operativo.</x:v>
      </x:c>
      <x:c r="K29" s="4" t="str">
        <x:v>Prácticas de sistemas y programación.</x:v>
      </x:c>
      <x:c r="L29" s="4" t="str">
        <x:v>CE10; CG13; CG5; CG7</x:v>
      </x:c>
      <x:c r="M29" s="4" t="str">
        <x:v>R025</x:v>
      </x:c>
      <x:c r="N29" s="4" t="str">
        <x:v>II; III (códigos); IV; actividad académica según guía</x:v>
      </x:c>
      <x:c r="O29" s="4" t="str">
        <x:v>LECTURA CURRICULAR; ADOPCIÓN NO REGISTRADA</x:v>
      </x:c>
      <x:c r="P29" s="12" t="n">
        <x:f>VALUE(F29)</x:f>
        <x:v>6</x:v>
      </x:c>
      <x:c r="Q29" s="12" t="n">
        <x:f>COUNTIF('15_Base_universitaria'!$A$5:$A$44,A29)+COUNTIF('15_Base_universitaria'!$B$5:$B$44,B29)-2</x:f>
        <x:v>0</x:v>
      </x:c>
      <x:c r="R29" s="12" t="n">
        <x:f>IF(COUNTIF('21_Fuentes_educativas'!$A$5:$A$188,M29)=1,0,1)</x:f>
        <x:v>0</x:v>
      </x:c>
      <x:c r="S29" s="12" t="n">
        <x:f>IF(COUNTIFS('21_Fuentes_educativas'!$A$5:$A$188,M29,'21_Fuentes_educativas'!$J$5:$J$188,"CURRICULAR_REVISADA")+COUNTIFS('21_Fuentes_educativas'!$A$5:$A$188,M29,'21_Fuentes_educativas'!$J$5:$J$188,"TRANSVERSAL_IDENTIFICADA")=1,0,1)</x:f>
        <x:v>0</x:v>
      </x:c>
    </x:row>
    <x:row r="30" ht="60" customHeight="1">
      <x:c r="A30" s="4" t="str">
        <x:v>URJC-26</x:v>
      </x:c>
      <x:c r="B30" s="4" t="str">
        <x:v>2285026</x:v>
      </x:c>
      <x:c r="C30" s="4" t="str">
        <x:v>INTELIGENCIA ARTIFICIAL</x:v>
      </x:c>
      <x:c r="D30" s="4" t="str">
        <x:v>3</x:v>
      </x:c>
      <x:c r="E30" s="4" t="str">
        <x:v>Segundo</x:v>
      </x:c>
      <x:c r="F30" s="4" t="str">
        <x:v>3</x:v>
      </x:c>
      <x:c r="G30" s="4" t="str">
        <x:v>OBLIGATORIA</x:v>
      </x:c>
      <x:c r="H30" s="4" t="str">
        <x:v>F12</x:v>
      </x:c>
      <x:c r="I30" s="4" t="str">
        <x:v>Agentes; búsqueda multiagente; redes bayesianas; decisión; aprendizaje probabilístico, inductivo y por refuerzo.</x:v>
      </x:c>
      <x:c r="J30" s="4" t="str">
        <x:v>Resolver problemas, consultar modelos y desarrollar soluciones basadas en datos.</x:v>
      </x:c>
      <x:c r="K30" s="4" t="str">
        <x:v>Prácticas de búsqueda, incertidumbre y aprendizaje.</x:v>
      </x:c>
      <x:c r="L30" s="4" t="str">
        <x:v>CE05; CE15; CG5</x:v>
      </x:c>
      <x:c r="M30" s="4" t="str">
        <x:v>R026</x:v>
      </x:c>
      <x:c r="N30" s="4" t="str">
        <x:v>II; III (códigos); IV; actividad académica según guía</x:v>
      </x:c>
      <x:c r="O30" s="4" t="str">
        <x:v>LECTURA CURRICULAR; ADOPCIÓN NO REGISTRADA</x:v>
      </x:c>
      <x:c r="P30" s="12" t="n">
        <x:f>VALUE(F30)</x:f>
        <x:v>3</x:v>
      </x:c>
      <x:c r="Q30" s="12" t="n">
        <x:f>COUNTIF('15_Base_universitaria'!$A$5:$A$44,A30)+COUNTIF('15_Base_universitaria'!$B$5:$B$44,B30)-2</x:f>
        <x:v>0</x:v>
      </x:c>
      <x:c r="R30" s="12" t="n">
        <x:f>IF(COUNTIF('21_Fuentes_educativas'!$A$5:$A$188,M30)=1,0,1)</x:f>
        <x:v>0</x:v>
      </x:c>
      <x:c r="S30" s="12" t="n">
        <x:f>IF(COUNTIFS('21_Fuentes_educativas'!$A$5:$A$188,M30,'21_Fuentes_educativas'!$J$5:$J$188,"CURRICULAR_REVISADA")+COUNTIFS('21_Fuentes_educativas'!$A$5:$A$188,M30,'21_Fuentes_educativas'!$J$5:$J$188,"TRANSVERSAL_IDENTIFICADA")=1,0,1)</x:f>
        <x:v>0</x:v>
      </x:c>
    </x:row>
    <x:row r="31" ht="47" customHeight="1">
      <x:c r="A31" s="4" t="str">
        <x:v>URJC-27</x:v>
      </x:c>
      <x:c r="B31" s="4" t="str">
        <x:v>2285027</x:v>
      </x:c>
      <x:c r="C31" s="4" t="str">
        <x:v>MALWARE Y AMENAZAS DIRIGIDAS</x:v>
      </x:c>
      <x:c r="D31" s="4" t="str">
        <x:v>3</x:v>
      </x:c>
      <x:c r="E31" s="4" t="str">
        <x:v>Segundo</x:v>
      </x:c>
      <x:c r="F31" s="4" t="str">
        <x:v>6</x:v>
      </x:c>
      <x:c r="G31" s="4" t="str">
        <x:v>OBLIGATORIA</x:v>
      </x:c>
      <x:c r="H31" s="4" t="str">
        <x:v>F08</x:v>
      </x:c>
      <x:c r="I31" s="4" t="str">
        <x:v>Taxonomía de malware; propagación; análisis; amenazas dirigidas.</x:v>
      </x:c>
      <x:c r="J31" s="4" t="str">
        <x:v>Analizar muestras y razonar sobre mecanismos de protección.</x:v>
      </x:c>
      <x:c r="K31" s="4" t="str">
        <x:v>Análisis práctico en entorno controlado.</x:v>
      </x:c>
      <x:c r="L31" s="4" t="str">
        <x:v>CE20; CE26; CE27; CG7</x:v>
      </x:c>
      <x:c r="M31" s="4" t="str">
        <x:v>R027</x:v>
      </x:c>
      <x:c r="N31" s="4" t="str">
        <x:v>II; III (códigos); IV; actividad académica según guía</x:v>
      </x:c>
      <x:c r="O31" s="4" t="str">
        <x:v>LECTURA CURRICULAR; ADOPCIÓN NO REGISTRADA</x:v>
      </x:c>
      <x:c r="P31" s="12" t="n">
        <x:f>VALUE(F31)</x:f>
        <x:v>6</x:v>
      </x:c>
      <x:c r="Q31" s="12" t="n">
        <x:f>COUNTIF('15_Base_universitaria'!$A$5:$A$44,A31)+COUNTIF('15_Base_universitaria'!$B$5:$B$44,B31)-2</x:f>
        <x:v>0</x:v>
      </x:c>
      <x:c r="R31" s="12" t="n">
        <x:f>IF(COUNTIF('21_Fuentes_educativas'!$A$5:$A$188,M31)=1,0,1)</x:f>
        <x:v>0</x:v>
      </x:c>
      <x:c r="S31" s="12" t="n">
        <x:f>IF(COUNTIFS('21_Fuentes_educativas'!$A$5:$A$188,M31,'21_Fuentes_educativas'!$J$5:$J$188,"CURRICULAR_REVISADA")+COUNTIFS('21_Fuentes_educativas'!$A$5:$A$188,M31,'21_Fuentes_educativas'!$J$5:$J$188,"TRANSVERSAL_IDENTIFICADA")=1,0,1)</x:f>
        <x:v>0</x:v>
      </x:c>
    </x:row>
    <x:row r="32" ht="47" customHeight="1">
      <x:c r="A32" s="4" t="str">
        <x:v>URJC-28</x:v>
      </x:c>
      <x:c r="B32" s="4" t="str">
        <x:v>2285028</x:v>
      </x:c>
      <x:c r="C32" s="4" t="str">
        <x:v>METODOLOGIAS DE DESARROLLO SEGURO</x:v>
      </x:c>
      <x:c r="D32" s="4" t="str">
        <x:v>3</x:v>
      </x:c>
      <x:c r="E32" s="4" t="str">
        <x:v>Segundo</x:v>
      </x:c>
      <x:c r="F32" s="4" t="str">
        <x:v>6</x:v>
      </x:c>
      <x:c r="G32" s="4" t="str">
        <x:v>OBLIGATORIA</x:v>
      </x:c>
      <x:c r="H32" s="4" t="str">
        <x:v>F03</x:v>
      </x:c>
      <x:c r="I32" s="4" t="str">
        <x:v>Desarrollo seguro; debilidades; análisis y verificación del software.</x:v>
      </x:c>
      <x:c r="J32" s="4" t="str">
        <x:v>Aplicar métodos de prevención y detección de defectos de seguridad.</x:v>
      </x:c>
      <x:c r="K32" s="4" t="str">
        <x:v>Prácticas de desarrollo y análisis.</x:v>
      </x:c>
      <x:c r="L32" s="4" t="str">
        <x:v>CE08; CE10; CE14; CE25; CG13; CG3; CG4; CG7; CG8</x:v>
      </x:c>
      <x:c r="M32" s="4" t="str">
        <x:v>R028</x:v>
      </x:c>
      <x:c r="N32" s="4" t="str">
        <x:v>II; III (códigos); IV; actividad académica según guía</x:v>
      </x:c>
      <x:c r="O32" s="4" t="str">
        <x:v>LECTURA CURRICULAR; ADOPCIÓN NO REGISTRADA</x:v>
      </x:c>
      <x:c r="P32" s="12" t="n">
        <x:f>VALUE(F32)</x:f>
        <x:v>6</x:v>
      </x:c>
      <x:c r="Q32" s="12" t="n">
        <x:f>COUNTIF('15_Base_universitaria'!$A$5:$A$44,A32)+COUNTIF('15_Base_universitaria'!$B$5:$B$44,B32)-2</x:f>
        <x:v>0</x:v>
      </x:c>
      <x:c r="R32" s="12" t="n">
        <x:f>IF(COUNTIF('21_Fuentes_educativas'!$A$5:$A$188,M32)=1,0,1)</x:f>
        <x:v>0</x:v>
      </x:c>
      <x:c r="S32" s="12" t="n">
        <x:f>IF(COUNTIFS('21_Fuentes_educativas'!$A$5:$A$188,M32,'21_Fuentes_educativas'!$J$5:$J$188,"CURRICULAR_REVISADA")+COUNTIFS('21_Fuentes_educativas'!$A$5:$A$188,M32,'21_Fuentes_educativas'!$J$5:$J$188,"TRANSVERSAL_IDENTIFICADA")=1,0,1)</x:f>
        <x:v>0</x:v>
      </x:c>
    </x:row>
    <x:row r="33" ht="47" customHeight="1">
      <x:c r="A33" s="4" t="str">
        <x:v>URJC-29</x:v>
      </x:c>
      <x:c r="B33" s="4" t="str">
        <x:v>2285029</x:v>
      </x:c>
      <x:c r="C33" s="4" t="str">
        <x:v>REDES AVANZADAS Y COMPUTACION EN LA NUBE</x:v>
      </x:c>
      <x:c r="D33" s="4" t="str">
        <x:v>3</x:v>
      </x:c>
      <x:c r="E33" s="4" t="str">
        <x:v>Segundo</x:v>
      </x:c>
      <x:c r="F33" s="4" t="str">
        <x:v>6</x:v>
      </x:c>
      <x:c r="G33" s="4" t="str">
        <x:v>OBLIGATORIA</x:v>
      </x:c>
      <x:c r="H33" s="4" t="str">
        <x:v>F07</x:v>
      </x:c>
      <x:c r="I33" s="4" t="str">
        <x:v>Redes avanzadas; tráfico; nube; virtualización; SDN.</x:v>
      </x:c>
      <x:c r="J33" s="4" t="str">
        <x:v>Analizar y configurar redes y servicios avanzados.</x:v>
      </x:c>
      <x:c r="K33" s="4" t="str">
        <x:v>Prácticas y problemas de redes.</x:v>
      </x:c>
      <x:c r="L33" s="4" t="str">
        <x:v>CE11; CE13; CE23; CE24; CG12; CG5; CG6; CG7; CG8</x:v>
      </x:c>
      <x:c r="M33" s="4" t="str">
        <x:v>R029</x:v>
      </x:c>
      <x:c r="N33" s="4" t="str">
        <x:v>II; III (códigos); IV; actividad académica según guía</x:v>
      </x:c>
      <x:c r="O33" s="4" t="str">
        <x:v>LECTURA CURRICULAR; ADOPCIÓN NO REGISTRADA</x:v>
      </x:c>
      <x:c r="P33" s="12" t="n">
        <x:f>VALUE(F33)</x:f>
        <x:v>6</x:v>
      </x:c>
      <x:c r="Q33" s="12" t="n">
        <x:f>COUNTIF('15_Base_universitaria'!$A$5:$A$44,A33)+COUNTIF('15_Base_universitaria'!$B$5:$B$44,B33)-2</x:f>
        <x:v>0</x:v>
      </x:c>
      <x:c r="R33" s="12" t="n">
        <x:f>IF(COUNTIF('21_Fuentes_educativas'!$A$5:$A$188,M33)=1,0,1)</x:f>
        <x:v>0</x:v>
      </x:c>
      <x:c r="S33" s="12" t="n">
        <x:f>IF(COUNTIFS('21_Fuentes_educativas'!$A$5:$A$188,M33,'21_Fuentes_educativas'!$J$5:$J$188,"CURRICULAR_REVISADA")+COUNTIFS('21_Fuentes_educativas'!$A$5:$A$188,M33,'21_Fuentes_educativas'!$J$5:$J$188,"TRANSVERSAL_IDENTIFICADA")=1,0,1)</x:f>
        <x:v>0</x:v>
      </x:c>
    </x:row>
    <x:row r="34" ht="47" customHeight="1">
      <x:c r="A34" s="4" t="str">
        <x:v>URJC-30</x:v>
      </x:c>
      <x:c r="B34" s="4" t="str">
        <x:v>2285030</x:v>
      </x:c>
      <x:c r="C34" s="4" t="str">
        <x:v>SISTEMAS DE INFORMACION</x:v>
      </x:c>
      <x:c r="D34" s="4" t="str">
        <x:v>3</x:v>
      </x:c>
      <x:c r="E34" s="4" t="str">
        <x:v>Segundo</x:v>
      </x:c>
      <x:c r="F34" s="4" t="str">
        <x:v>6</x:v>
      </x:c>
      <x:c r="G34" s="4" t="str">
        <x:v>OBLIGATORIA</x:v>
      </x:c>
      <x:c r="H34" s="4" t="str">
        <x:v>F09</x:v>
      </x:c>
      <x:c r="I34" s="4" t="str">
        <x:v>Organización; sistemas transaccionales; OLAP; ETL; datos incompletos; recomendación y aprendizaje.</x:v>
      </x:c>
      <x:c r="J34" s="4" t="str">
        <x:v>Analizar impacto y seleccionar, implementar y gestionar sistemas de información.</x:v>
      </x:c>
      <x:c r="K34" s="4" t="str">
        <x:v>Casos y prácticas con ordenador.</x:v>
      </x:c>
      <x:c r="L34" s="4" t="str">
        <x:v>CE12; CE24; CG1; CG11; CG4; CG5; CG8; CG9</x:v>
      </x:c>
      <x:c r="M34" s="4" t="str">
        <x:v>R030</x:v>
      </x:c>
      <x:c r="N34" s="4" t="str">
        <x:v>II; III (códigos); IV; actividad académica según guía</x:v>
      </x:c>
      <x:c r="O34" s="4" t="str">
        <x:v>LECTURA CURRICULAR; ADOPCIÓN NO REGISTRADA</x:v>
      </x:c>
      <x:c r="P34" s="12" t="n">
        <x:f>VALUE(F34)</x:f>
        <x:v>6</x:v>
      </x:c>
      <x:c r="Q34" s="12" t="n">
        <x:f>COUNTIF('15_Base_universitaria'!$A$5:$A$44,A34)+COUNTIF('15_Base_universitaria'!$B$5:$B$44,B34)-2</x:f>
        <x:v>0</x:v>
      </x:c>
      <x:c r="R34" s="12" t="n">
        <x:f>IF(COUNTIF('21_Fuentes_educativas'!$A$5:$A$188,M34)=1,0,1)</x:f>
        <x:v>0</x:v>
      </x:c>
      <x:c r="S34" s="12" t="n">
        <x:f>IF(COUNTIFS('21_Fuentes_educativas'!$A$5:$A$188,M34,'21_Fuentes_educativas'!$J$5:$J$188,"CURRICULAR_REVISADA")+COUNTIFS('21_Fuentes_educativas'!$A$5:$A$188,M34,'21_Fuentes_educativas'!$J$5:$J$188,"TRANSVERSAL_IDENTIFICADA")=1,0,1)</x:f>
        <x:v>0</x:v>
      </x:c>
    </x:row>
    <x:row r="35" ht="47" customHeight="1">
      <x:c r="A35" s="4" t="str">
        <x:v>URJC-31</x:v>
      </x:c>
      <x:c r="B35" s="4" t="str">
        <x:v>2285031</x:v>
      </x:c>
      <x:c r="C35" s="4" t="str">
        <x:v>VISION ARTIFICIAL APLICADA A LA CIBERSEGURIDAD</x:v>
      </x:c>
      <x:c r="D35" s="4" t="str">
        <x:v>3</x:v>
      </x:c>
      <x:c r="E35" s="4" t="str">
        <x:v>Segundo</x:v>
      </x:c>
      <x:c r="F35" s="4" t="str">
        <x:v>3</x:v>
      </x:c>
      <x:c r="G35" s="4" t="str">
        <x:v>OBLIGATORIA</x:v>
      </x:c>
      <x:c r="H35" s="4" t="str">
        <x:v>F12</x:v>
      </x:c>
      <x:c r="I35" s="4" t="str">
        <x:v>Procesamiento de imagen; clasificadores; redes neuronales; biometría y ataques.</x:v>
      </x:c>
      <x:c r="J35" s="4" t="str">
        <x:v>Analizar aplicaciones de visión y sus contramedidas.</x:v>
      </x:c>
      <x:c r="K35" s="4" t="str">
        <x:v>Prácticas y casos de aplicaciones reales.</x:v>
      </x:c>
      <x:c r="L35" s="4" t="str">
        <x:v>CE25; CE28; CG7; CG8</x:v>
      </x:c>
      <x:c r="M35" s="4" t="str">
        <x:v>R031</x:v>
      </x:c>
      <x:c r="N35" s="4" t="str">
        <x:v>II; III (códigos); IV; actividad académica según guía</x:v>
      </x:c>
      <x:c r="O35" s="4" t="str">
        <x:v>LECTURA CURRICULAR; ADOPCIÓN NO REGISTRADA</x:v>
      </x:c>
      <x:c r="P35" s="12" t="n">
        <x:f>VALUE(F35)</x:f>
        <x:v>3</x:v>
      </x:c>
      <x:c r="Q35" s="12" t="n">
        <x:f>COUNTIF('15_Base_universitaria'!$A$5:$A$44,A35)+COUNTIF('15_Base_universitaria'!$B$5:$B$44,B35)-2</x:f>
        <x:v>0</x:v>
      </x:c>
      <x:c r="R35" s="12" t="n">
        <x:f>IF(COUNTIF('21_Fuentes_educativas'!$A$5:$A$188,M35)=1,0,1)</x:f>
        <x:v>0</x:v>
      </x:c>
      <x:c r="S35" s="12" t="n">
        <x:f>IF(COUNTIFS('21_Fuentes_educativas'!$A$5:$A$188,M35,'21_Fuentes_educativas'!$J$5:$J$188,"CURRICULAR_REVISADA")+COUNTIFS('21_Fuentes_educativas'!$A$5:$A$188,M35,'21_Fuentes_educativas'!$J$5:$J$188,"TRANSVERSAL_IDENTIFICADA")=1,0,1)</x:f>
        <x:v>0</x:v>
      </x:c>
    </x:row>
    <x:row r="36" ht="47" customHeight="1">
      <x:c r="A36" s="4" t="str">
        <x:v>URJC-32</x:v>
      </x:c>
      <x:c r="B36" s="4" t="str">
        <x:v>2285032</x:v>
      </x:c>
      <x:c r="C36" s="4" t="str">
        <x:v>AUDITORIA</x:v>
      </x:c>
      <x:c r="D36" s="4" t="str">
        <x:v>4</x:v>
      </x:c>
      <x:c r="E36" s="4" t="str">
        <x:v>Primero</x:v>
      </x:c>
      <x:c r="F36" s="4" t="str">
        <x:v>3</x:v>
      </x:c>
      <x:c r="G36" s="4" t="str">
        <x:v>OBLIGATORIA</x:v>
      </x:c>
      <x:c r="H36" s="4" t="str">
        <x:v>F06</x:v>
      </x:c>
      <x:c r="I36" s="4" t="str">
        <x:v>Auditoría de seguridad; alcance; métodos; evidencia y conclusiones.</x:v>
      </x:c>
      <x:c r="J36" s="4" t="str">
        <x:v>Planificar y realizar una auditoría en el alcance definido.</x:v>
      </x:c>
      <x:c r="K36" s="4" t="str">
        <x:v>Caso o proyecto de auditoría.</x:v>
      </x:c>
      <x:c r="L36" s="4" t="str">
        <x:v>CE21; CE33; CE34; CG11; CG12; CG13; CG3; CG6</x:v>
      </x:c>
      <x:c r="M36" s="4" t="str">
        <x:v>R032</x:v>
      </x:c>
      <x:c r="N36" s="4" t="str">
        <x:v>II; III (códigos); IV; actividad académica según guía</x:v>
      </x:c>
      <x:c r="O36" s="4" t="str">
        <x:v>LECTURA CURRICULAR; ADOPCIÓN NO REGISTRADA</x:v>
      </x:c>
      <x:c r="P36" s="12" t="n">
        <x:f>VALUE(F36)</x:f>
        <x:v>3</x:v>
      </x:c>
      <x:c r="Q36" s="12" t="n">
        <x:f>COUNTIF('15_Base_universitaria'!$A$5:$A$44,A36)+COUNTIF('15_Base_universitaria'!$B$5:$B$44,B36)-2</x:f>
        <x:v>0</x:v>
      </x:c>
      <x:c r="R36" s="12" t="n">
        <x:f>IF(COUNTIF('21_Fuentes_educativas'!$A$5:$A$188,M36)=1,0,1)</x:f>
        <x:v>0</x:v>
      </x:c>
      <x:c r="S36" s="12" t="n">
        <x:f>IF(COUNTIFS('21_Fuentes_educativas'!$A$5:$A$188,M36,'21_Fuentes_educativas'!$J$5:$J$188,"CURRICULAR_REVISADA")+COUNTIFS('21_Fuentes_educativas'!$A$5:$A$188,M36,'21_Fuentes_educativas'!$J$5:$J$188,"TRANSVERSAL_IDENTIFICADA")=1,0,1)</x:f>
        <x:v>0</x:v>
      </x:c>
    </x:row>
    <x:row r="37" ht="47" customHeight="1">
      <x:c r="A37" s="4" t="str">
        <x:v>URJC-33</x:v>
      </x:c>
      <x:c r="B37" s="4" t="str">
        <x:v>2285033</x:v>
      </x:c>
      <x:c r="C37" s="4" t="str">
        <x:v>INTELIGENCIA DE LA SEGURIDAD</x:v>
      </x:c>
      <x:c r="D37" s="4" t="str">
        <x:v>4</x:v>
      </x:c>
      <x:c r="E37" s="4" t="str">
        <x:v>Primero</x:v>
      </x:c>
      <x:c r="F37" s="4" t="str">
        <x:v>6</x:v>
      </x:c>
      <x:c r="G37" s="4" t="str">
        <x:v>OBLIGATORIA</x:v>
      </x:c>
      <x:c r="H37" s="4" t="str">
        <x:v>F13</x:v>
      </x:c>
      <x:c r="I37" s="4" t="str">
        <x:v>SOC; correlación; DFIR; custodia; inteligencia; hipótesis de hunting; continuidad y recuperación.</x:v>
      </x:c>
      <x:c r="J37" s="4" t="str">
        <x:v>Detectar e investigar incidentes y relacionar respuesta, evidencia y continuidad.</x:v>
      </x:c>
      <x:c r="K37" s="4" t="str">
        <x:v>Prácticas de detección/respuesta, análisis forense y logs.</x:v>
      </x:c>
      <x:c r="L37" s="4" t="str">
        <x:v>CE29; CE30; CE31; CE32; CG3; CG8</x:v>
      </x:c>
      <x:c r="M37" s="4" t="str">
        <x:v>R033</x:v>
      </x:c>
      <x:c r="N37" s="4" t="str">
        <x:v>II; III (códigos); IV; actividad académica según guía</x:v>
      </x:c>
      <x:c r="O37" s="4" t="str">
        <x:v>LECTURA CURRICULAR; ADOPCIÓN NO REGISTRADA</x:v>
      </x:c>
      <x:c r="P37" s="12" t="n">
        <x:f>VALUE(F37)</x:f>
        <x:v>6</x:v>
      </x:c>
      <x:c r="Q37" s="12" t="n">
        <x:f>COUNTIF('15_Base_universitaria'!$A$5:$A$44,A37)+COUNTIF('15_Base_universitaria'!$B$5:$B$44,B37)-2</x:f>
        <x:v>0</x:v>
      </x:c>
      <x:c r="R37" s="12" t="n">
        <x:f>IF(COUNTIF('21_Fuentes_educativas'!$A$5:$A$188,M37)=1,0,1)</x:f>
        <x:v>0</x:v>
      </x:c>
      <x:c r="S37" s="12" t="n">
        <x:f>IF(COUNTIFS('21_Fuentes_educativas'!$A$5:$A$188,M37,'21_Fuentes_educativas'!$J$5:$J$188,"CURRICULAR_REVISADA")+COUNTIFS('21_Fuentes_educativas'!$A$5:$A$188,M37,'21_Fuentes_educativas'!$J$5:$J$188,"TRANSVERSAL_IDENTIFICADA")=1,0,1)</x:f>
        <x:v>0</x:v>
      </x:c>
    </x:row>
    <x:row r="38" ht="47" customHeight="1">
      <x:c r="A38" s="4" t="str">
        <x:v>URJC-34</x:v>
      </x:c>
      <x:c r="B38" s="4" t="str">
        <x:v>2285034</x:v>
      </x:c>
      <x:c r="C38" s="4" t="str">
        <x:v>PENTESTING</x:v>
      </x:c>
      <x:c r="D38" s="4" t="str">
        <x:v>4</x:v>
      </x:c>
      <x:c r="E38" s="4" t="str">
        <x:v>Primero</x:v>
      </x:c>
      <x:c r="F38" s="4" t="str">
        <x:v>3</x:v>
      </x:c>
      <x:c r="G38" s="4" t="str">
        <x:v>OBLIGATORIA</x:v>
      </x:c>
      <x:c r="H38" s="4" t="str">
        <x:v>F08</x:v>
      </x:c>
      <x:c r="I38" s="4" t="str">
        <x:v>Alcance; informes; pruebas web, móviles e IoT; IA en pentesting.</x:v>
      </x:c>
      <x:c r="J38" s="4" t="str">
        <x:v>Evaluar seguridad mediante pruebas autorizadas y comunicar resultados.</x:v>
      </x:c>
      <x:c r="K38" s="4" t="str">
        <x:v>Prácticas y pruebas sobre fases y entornos.</x:v>
      </x:c>
      <x:c r="L38" s="4" t="str">
        <x:v>CE20; CE21; CE34; CG6; CG7</x:v>
      </x:c>
      <x:c r="M38" s="4" t="str">
        <x:v>R034</x:v>
      </x:c>
      <x:c r="N38" s="4" t="str">
        <x:v>II; III (códigos); IV; actividad académica según guía</x:v>
      </x:c>
      <x:c r="O38" s="4" t="str">
        <x:v>LECTURA CURRICULAR; ADOPCIÓN NO REGISTRADA</x:v>
      </x:c>
      <x:c r="P38" s="12" t="n">
        <x:f>VALUE(F38)</x:f>
        <x:v>3</x:v>
      </x:c>
      <x:c r="Q38" s="12" t="n">
        <x:f>COUNTIF('15_Base_universitaria'!$A$5:$A$44,A38)+COUNTIF('15_Base_universitaria'!$B$5:$B$44,B38)-2</x:f>
        <x:v>0</x:v>
      </x:c>
      <x:c r="R38" s="12" t="n">
        <x:f>IF(COUNTIF('21_Fuentes_educativas'!$A$5:$A$188,M38)=1,0,1)</x:f>
        <x:v>0</x:v>
      </x:c>
      <x:c r="S38" s="12" t="n">
        <x:f>IF(COUNTIFS('21_Fuentes_educativas'!$A$5:$A$188,M38,'21_Fuentes_educativas'!$J$5:$J$188,"CURRICULAR_REVISADA")+COUNTIFS('21_Fuentes_educativas'!$A$5:$A$188,M38,'21_Fuentes_educativas'!$J$5:$J$188,"TRANSVERSAL_IDENTIFICADA")=1,0,1)</x:f>
        <x:v>0</x:v>
      </x:c>
    </x:row>
    <x:row r="39" ht="47" customHeight="1">
      <x:c r="A39" s="4" t="str">
        <x:v>URJC-35</x:v>
      </x:c>
      <x:c r="B39" s="4" t="str">
        <x:v>2285036</x:v>
      </x:c>
      <x:c r="C39" s="4" t="str">
        <x:v>ANALISIS Y GESTION DEL RIESGO</x:v>
      </x:c>
      <x:c r="D39" s="4" t="str">
        <x:v>4</x:v>
      </x:c>
      <x:c r="E39" s="4" t="str">
        <x:v>Segundo</x:v>
      </x:c>
      <x:c r="F39" s="4" t="str">
        <x:v>6</x:v>
      </x:c>
      <x:c r="G39" s="4" t="str">
        <x:v>OBLIGATORIA</x:v>
      </x:c>
      <x:c r="H39" s="4" t="str">
        <x:v>F06</x:v>
      </x:c>
      <x:c r="I39" s="4" t="str">
        <x:v>Métodos cualitativos; FAIR; Montecarlo; calibración; retornos; transferencia y sesgos.</x:v>
      </x:c>
      <x:c r="J39" s="4" t="str">
        <x:v>Escoger métodos, estimar riesgo y justificar tratamiento y comunicación.</x:v>
      </x:c>
      <x:c r="K39" s="4" t="str">
        <x:v>Casos, talleres de calibración y prácticas de análisis y gestión.</x:v>
      </x:c>
      <x:c r="L39" s="4" t="str">
        <x:v>CE18; CE22; CE29; CE30; CE37; CG10; CG11; CG12; CG3; CG4; CG8</x:v>
      </x:c>
      <x:c r="M39" s="4" t="str">
        <x:v>R035</x:v>
      </x:c>
      <x:c r="N39" s="4" t="str">
        <x:v>II; III (códigos); IV; actividad académica según guía</x:v>
      </x:c>
      <x:c r="O39" s="4" t="str">
        <x:v>LECTURA CURRICULAR; ADOPCIÓN NO REGISTRADA</x:v>
      </x:c>
      <x:c r="P39" s="12" t="n">
        <x:f>VALUE(F39)</x:f>
        <x:v>6</x:v>
      </x:c>
      <x:c r="Q39" s="12" t="n">
        <x:f>COUNTIF('15_Base_universitaria'!$A$5:$A$44,A39)+COUNTIF('15_Base_universitaria'!$B$5:$B$44,B39)-2</x:f>
        <x:v>0</x:v>
      </x:c>
      <x:c r="R39" s="12" t="n">
        <x:f>IF(COUNTIF('21_Fuentes_educativas'!$A$5:$A$188,M39)=1,0,1)</x:f>
        <x:v>0</x:v>
      </x:c>
      <x:c r="S39" s="12" t="n">
        <x:f>IF(COUNTIFS('21_Fuentes_educativas'!$A$5:$A$188,M39,'21_Fuentes_educativas'!$J$5:$J$188,"CURRICULAR_REVISADA")+COUNTIFS('21_Fuentes_educativas'!$A$5:$A$188,M39,'21_Fuentes_educativas'!$J$5:$J$188,"TRANSVERSAL_IDENTIFICADA")=1,0,1)</x:f>
        <x:v>0</x:v>
      </x:c>
    </x:row>
    <x:row r="40" ht="47" customHeight="1">
      <x:c r="A40" s="4" t="str">
        <x:v>URJC-36</x:v>
      </x:c>
      <x:c r="B40" s="4" t="str">
        <x:v>2285037</x:v>
      </x:c>
      <x:c r="C40" s="4" t="str">
        <x:v>PROTECCION DE INFRAESTRUCTURAS CRITICAS</x:v>
      </x:c>
      <x:c r="D40" s="4" t="str">
        <x:v>4</x:v>
      </x:c>
      <x:c r="E40" s="4" t="str">
        <x:v>Segundo</x:v>
      </x:c>
      <x:c r="F40" s="4" t="str">
        <x:v>3</x:v>
      </x:c>
      <x:c r="G40" s="4" t="str">
        <x:v>OBLIGATORIA</x:v>
      </x:c>
      <x:c r="H40" s="4" t="str">
        <x:v>F14</x:v>
      </x:c>
      <x:c r="I40" s="4" t="str">
        <x:v>Sistemas industriales; infraestructuras críticas; interdependencias.</x:v>
      </x:c>
      <x:c r="J40" s="4" t="str">
        <x:v>Analizar amenazas y medidas considerando efectos en sistemas físicos.</x:v>
      </x:c>
      <x:c r="K40" s="4" t="str">
        <x:v>Casos de protección de infraestructuras.</x:v>
      </x:c>
      <x:c r="L40" s="4" t="str">
        <x:v>CE13; CE28; CE35; CE37; CG11; CG12; CG3; CG6; CG7; CG8; CG9</x:v>
      </x:c>
      <x:c r="M40" s="4" t="str">
        <x:v>R036</x:v>
      </x:c>
      <x:c r="N40" s="4" t="str">
        <x:v>II; III (códigos); IV; actividad académica según guía</x:v>
      </x:c>
      <x:c r="O40" s="4" t="str">
        <x:v>LECTURA CURRICULAR; ADOPCIÓN NO REGISTRADA</x:v>
      </x:c>
      <x:c r="P40" s="12" t="n">
        <x:f>VALUE(F40)</x:f>
        <x:v>3</x:v>
      </x:c>
      <x:c r="Q40" s="12" t="n">
        <x:f>COUNTIF('15_Base_universitaria'!$A$5:$A$44,A40)+COUNTIF('15_Base_universitaria'!$B$5:$B$44,B40)-2</x:f>
        <x:v>0</x:v>
      </x:c>
      <x:c r="R40" s="12" t="n">
        <x:f>IF(COUNTIF('21_Fuentes_educativas'!$A$5:$A$188,M40)=1,0,1)</x:f>
        <x:v>0</x:v>
      </x:c>
      <x:c r="S40" s="12" t="n">
        <x:f>IF(COUNTIFS('21_Fuentes_educativas'!$A$5:$A$188,M40,'21_Fuentes_educativas'!$J$5:$J$188,"CURRICULAR_REVISADA")+COUNTIFS('21_Fuentes_educativas'!$A$5:$A$188,M40,'21_Fuentes_educativas'!$J$5:$J$188,"TRANSVERSAL_IDENTIFICADA")=1,0,1)</x:f>
        <x:v>0</x:v>
      </x:c>
    </x:row>
    <x:row r="41" ht="47" customHeight="1">
      <x:c r="A41" s="4" t="str">
        <x:v>URJC-37</x:v>
      </x:c>
      <x:c r="B41" s="4" t="str">
        <x:v>2285038</x:v>
      </x:c>
      <x:c r="C41" s="4" t="str">
        <x:v>REGULACION Y GOBERNANZA DE LA SEGURIDAD</x:v>
      </x:c>
      <x:c r="D41" s="4" t="str">
        <x:v>4</x:v>
      </x:c>
      <x:c r="E41" s="4" t="str">
        <x:v>Segundo</x:v>
      </x:c>
      <x:c r="F41" s="4" t="str">
        <x:v>3</x:v>
      </x:c>
      <x:c r="G41" s="4" t="str">
        <x:v>OBLIGATORIA</x:v>
      </x:c>
      <x:c r="H41" s="4" t="str">
        <x:v>F05</x:v>
      </x:c>
      <x:c r="I41" s="4" t="str">
        <x:v>Gobierno; estrategia; regulación; políticas y controles.</x:v>
      </x:c>
      <x:c r="J41" s="4" t="str">
        <x:v>Definir y valorar gobierno de seguridad en su contexto.</x:v>
      </x:c>
      <x:c r="K41" s="4" t="str">
        <x:v>Casos y propuestas de gobierno.</x:v>
      </x:c>
      <x:c r="L41" s="4" t="str">
        <x:v>CE18; CE22; CE29; CE30; CG3; CG6; CG7; CG9</x:v>
      </x:c>
      <x:c r="M41" s="4" t="str">
        <x:v>R037</x:v>
      </x:c>
      <x:c r="N41" s="4" t="str">
        <x:v>II; III (códigos); IV; actividad académica según guía</x:v>
      </x:c>
      <x:c r="O41" s="4" t="str">
        <x:v>LECTURA CURRICULAR; ADOPCIÓN NO REGISTRADA</x:v>
      </x:c>
      <x:c r="P41" s="12" t="n">
        <x:f>VALUE(F41)</x:f>
        <x:v>3</x:v>
      </x:c>
      <x:c r="Q41" s="12" t="n">
        <x:f>COUNTIF('15_Base_universitaria'!$A$5:$A$44,A41)+COUNTIF('15_Base_universitaria'!$B$5:$B$44,B41)-2</x:f>
        <x:v>0</x:v>
      </x:c>
      <x:c r="R41" s="12" t="n">
        <x:f>IF(COUNTIF('21_Fuentes_educativas'!$A$5:$A$188,M41)=1,0,1)</x:f>
        <x:v>0</x:v>
      </x:c>
      <x:c r="S41" s="12" t="n">
        <x:f>IF(COUNTIFS('21_Fuentes_educativas'!$A$5:$A$188,M41,'21_Fuentes_educativas'!$J$5:$J$188,"CURRICULAR_REVISADA")+COUNTIFS('21_Fuentes_educativas'!$A$5:$A$188,M41,'21_Fuentes_educativas'!$J$5:$J$188,"TRANSVERSAL_IDENTIFICADA")=1,0,1)</x:f>
        <x:v>0</x:v>
      </x:c>
    </x:row>
    <x:row r="42" ht="47" customHeight="1">
      <x:c r="A42" s="4" t="str">
        <x:v>URJC-38</x:v>
      </x:c>
      <x:c r="B42" s="4" t="str">
        <x:v>2285039</x:v>
      </x:c>
      <x:c r="C42" s="4" t="str">
        <x:v>PRACTICAS EXTERNAS</x:v>
      </x:c>
      <x:c r="D42" s="4" t="str">
        <x:v>4</x:v>
      </x:c>
      <x:c r="E42" s="4" t="str">
        <x:v>No indicado</x:v>
      </x:c>
      <x:c r="F42" s="4" t="str">
        <x:v>15</x:v>
      </x:c>
      <x:c r="G42" s="4" t="str">
        <x:v>OBLIGATORIA</x:v>
      </x:c>
      <x:c r="H42" s="4" t="str">
        <x:v>F15</x:v>
      </x:c>
      <x:c r="I42" s="4" t="str">
        <x:v>Aplicación tutelada, responsabilidad y adaptación al contexto profesional.</x:v>
      </x:c>
      <x:c r="J42" s="4" t="str">
        <x:v>Integrar conocimientos, resolver problemas y documentar la actuación.</x:v>
      </x:c>
      <x:c r="K42" s="4" t="str">
        <x:v>Proyecto formativo; tutor de entidad y académico; informes intermedio y final.</x:v>
      </x:c>
      <x:c r="L42" s="4" t="str">
        <x:v>CG1; CG10; CG14; CG18; CG2; CG3</x:v>
      </x:c>
      <x:c r="M42" s="4" t="str">
        <x:v>R038</x:v>
      </x:c>
      <x:c r="N42" s="4" t="str">
        <x:v>II; III (códigos); IV; VII.A para prácticas/TFG</x:v>
      </x:c>
      <x:c r="O42" s="4" t="str">
        <x:v>LECTURA CURRICULAR; ADOPCIÓN NO REGISTRADA</x:v>
      </x:c>
      <x:c r="P42" s="12" t="n">
        <x:f>VALUE(F42)</x:f>
        <x:v>15</x:v>
      </x:c>
      <x:c r="Q42" s="12" t="n">
        <x:f>COUNTIF('15_Base_universitaria'!$A$5:$A$44,A42)+COUNTIF('15_Base_universitaria'!$B$5:$B$44,B42)-2</x:f>
        <x:v>0</x:v>
      </x:c>
      <x:c r="R42" s="12" t="n">
        <x:f>IF(COUNTIF('21_Fuentes_educativas'!$A$5:$A$188,M42)=1,0,1)</x:f>
        <x:v>0</x:v>
      </x:c>
      <x:c r="S42" s="12" t="n">
        <x:f>IF(COUNTIFS('21_Fuentes_educativas'!$A$5:$A$188,M42,'21_Fuentes_educativas'!$J$5:$J$188,"CURRICULAR_REVISADA")+COUNTIFS('21_Fuentes_educativas'!$A$5:$A$188,M42,'21_Fuentes_educativas'!$J$5:$J$188,"TRANSVERSAL_IDENTIFICADA")=1,0,1)</x:f>
        <x:v>0</x:v>
      </x:c>
    </x:row>
    <x:row r="43" ht="47" customHeight="1">
      <x:c r="A43" s="4" t="str">
        <x:v>URJC-39</x:v>
      </x:c>
      <x:c r="B43" s="4" t="str">
        <x:v>2285035</x:v>
      </x:c>
      <x:c r="C43" s="4" t="str">
        <x:v>RECONOCIMIENTO ACADEMICO DE CREDITOS</x:v>
      </x:c>
      <x:c r="D43" s="4" t="str">
        <x:v>4</x:v>
      </x:c>
      <x:c r="E43" s="4" t="str">
        <x:v>No indicado</x:v>
      </x:c>
      <x:c r="F43" s="4" t="str">
        <x:v>6</x:v>
      </x:c>
      <x:c r="G43" s="4" t="str">
        <x:v>OBLIGATORIA</x:v>
      </x:c>
      <x:c r="H43" s="4" t="str">
        <x:v>F11</x:v>
      </x:c>
      <x:c r="I43" s="4" t="str">
        <x:v>Participación universitaria reconocida académicamente.</x:v>
      </x:c>
      <x:c r="J43" s="4" t="str">
        <x:v>Contribuir a actividades transversales acreditables.</x:v>
      </x:c>
      <x:c r="K43" s="4" t="str">
        <x:v>Componente de titulación; no se convierte en contenido técnico.</x:v>
      </x:c>
      <x:c r="L43" s="4" t="str"/>
      <x:c r="M43" s="4" t="str">
        <x:v>R039</x:v>
      </x:c>
      <x:c r="N43" s="4" t="str">
        <x:v>II; III (códigos); IV; actividad académica según guía</x:v>
      </x:c>
      <x:c r="O43" s="4" t="str">
        <x:v>LECTURA CURRICULAR; ADOPCIÓN NO REGISTRADA</x:v>
      </x:c>
      <x:c r="P43" s="12" t="n">
        <x:f>VALUE(F43)</x:f>
        <x:v>6</x:v>
      </x:c>
      <x:c r="Q43" s="12" t="n">
        <x:f>COUNTIF('15_Base_universitaria'!$A$5:$A$44,A43)+COUNTIF('15_Base_universitaria'!$B$5:$B$44,B43)-2</x:f>
        <x:v>0</x:v>
      </x:c>
      <x:c r="R43" s="12" t="n">
        <x:f>IF(COUNTIF('21_Fuentes_educativas'!$A$5:$A$188,M43)=1,0,1)</x:f>
        <x:v>0</x:v>
      </x:c>
      <x:c r="S43" s="12" t="n">
        <x:f>IF(COUNTIFS('21_Fuentes_educativas'!$A$5:$A$188,M43,'21_Fuentes_educativas'!$J$5:$J$188,"CURRICULAR_REVISADA")+COUNTIFS('21_Fuentes_educativas'!$A$5:$A$188,M43,'21_Fuentes_educativas'!$J$5:$J$188,"TRANSVERSAL_IDENTIFICADA")=1,0,1)</x:f>
        <x:v>0</x:v>
      </x:c>
    </x:row>
    <x:row r="44" ht="47" customHeight="1">
      <x:c r="A44" s="4" t="str">
        <x:v>URJC-40</x:v>
      </x:c>
      <x:c r="B44" s="4" t="str">
        <x:v>2285040</x:v>
      </x:c>
      <x:c r="C44" s="4" t="str">
        <x:v>TRABAJO FIN DE GRADO</x:v>
      </x:c>
      <x:c r="D44" s="4" t="str">
        <x:v>4</x:v>
      </x:c>
      <x:c r="E44" s="4" t="str">
        <x:v>No indicado</x:v>
      </x:c>
      <x:c r="F44" s="4" t="str">
        <x:v>15</x:v>
      </x:c>
      <x:c r="G44" s="4" t="str">
        <x:v>OBLIGATORIA</x:v>
      </x:c>
      <x:c r="H44" s="4" t="str">
        <x:v>F15</x:v>
      </x:c>
      <x:c r="I44" s="4" t="str">
        <x:v>Integración, interpretación de datos, juicio ético y comunicación mediante un trabajo final.</x:v>
      </x:c>
      <x:c r="J44" s="4" t="str">
        <x:v>Plantear y defender un proyecto; discutir resultados y conclusiones con el tutor.</x:v>
      </x:c>
      <x:c r="K44" s="4" t="str">
        <x:v>Memoria, metodología y defensa ante tribunal; guía VII.A. No es ejecución SV.</x:v>
      </x:c>
      <x:c r="L44" s="4" t="str">
        <x:v>CG1; CG11; CG12; CG13; CG14; CG15; CG16; CG17; CG18; CG2; CG3; CG5; CG8</x:v>
      </x:c>
      <x:c r="M44" s="4" t="str">
        <x:v>R040</x:v>
      </x:c>
      <x:c r="N44" s="4" t="str">
        <x:v>II; III (códigos); IV; VII.A para prácticas/TFG</x:v>
      </x:c>
      <x:c r="O44" s="4" t="str">
        <x:v>LECTURA CURRICULAR; ADOPCIÓN NO REGISTRADA</x:v>
      </x:c>
      <x:c r="P44" s="12" t="n">
        <x:f>VALUE(F44)</x:f>
        <x:v>15</x:v>
      </x:c>
      <x:c r="Q44" s="12" t="n">
        <x:f>COUNTIF('15_Base_universitaria'!$A$5:$A$44,A44)+COUNTIF('15_Base_universitaria'!$B$5:$B$44,B44)-2</x:f>
        <x:v>0</x:v>
      </x:c>
      <x:c r="R44" s="12" t="n">
        <x:f>IF(COUNTIF('21_Fuentes_educativas'!$A$5:$A$188,M44)=1,0,1)</x:f>
        <x:v>0</x:v>
      </x:c>
      <x:c r="S44" s="12" t="n">
        <x:f>IF(COUNTIFS('21_Fuentes_educativas'!$A$5:$A$188,M44,'21_Fuentes_educativas'!$J$5:$J$188,"CURRICULAR_REVISADA")+COUNTIFS('21_Fuentes_educativas'!$A$5:$A$188,M44,'21_Fuentes_educativas'!$J$5:$J$188,"TRANSVERSAL_IDENTIFICADA")=1,0,1)</x:f>
        <x:v>0</x:v>
      </x:c>
    </x:row>
  </x:sheetData>
  <x:mergeCells>
    <x:mergeCell ref="A1:D1"/>
    <x:mergeCell ref="A2:F2"/>
  </x:mergeCells>
  <x:conditionalFormatting sqref="Q5:Q44">
    <x:cfRule type="expression" dxfId="0" priority="1">
      <x:formula>Q5&gt;0</x:formula>
    </x:cfRule>
  </x:conditionalFormatting>
  <x:conditionalFormatting sqref="R5:R44">
    <x:cfRule type="expression" dxfId="1" priority="2">
      <x:formula>R5&gt;0</x:formula>
    </x:cfRule>
  </x:conditionalFormatting>
  <x:conditionalFormatting sqref="S5:S44">
    <x:cfRule type="expression" dxfId="2" priority="3">
      <x:formula>S5&gt;0</x:formula>
    </x:cfRule>
  </x:conditionalFormatting>
  <x:pageMargins left="0.7" right="0.7" top="0.75" bottom="0.75" header="0.3" footer="0.3"/>
  <x:tableParts count="1">
    <x:tablePart xmlns:r="http://schemas.openxmlformats.org/officeDocument/2006/relationships" r:id="R79caac97d9a3489f"/>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7" hidden="0" customWidth="1"/>
    <x:col min="4" max="4" width="43" hidden="0" customWidth="1"/>
    <x:col min="5" max="5" width="24" hidden="0" customWidth="1"/>
    <x:col min="6" max="6" width="72" hidden="0" customWidth="1"/>
    <x:col min="7" max="7" width="69" hidden="0" customWidth="1"/>
    <x:col min="8" max="8" width="18" hidden="0" customWidth="1"/>
    <x:col min="9" max="9" width="18" hidden="0" customWidth="1"/>
  </x:cols>
  <x:sheetData>
    <x:row r="1" ht="35" customHeight="1">
      <x:c r="A1" s="6" t="str">
        <x:v>PROGRESIÓN · relaciones educativas documentadas</x:v>
      </x:c>
      <x:c r="B1" s="6"/>
      <x:c r="C1" s="6"/>
      <x:c r="D1" s="6"/>
      <x:c r="E1" s="6"/>
      <x:c r="F1" s="6"/>
      <x:c r="G1" s="6"/>
      <x:c r="H1" s="6"/>
      <x:c r="I1" s="6"/>
    </x:row>
    <x:row r="2" ht="52" customHeight="1">
      <x:c r="A2" s="8" t="str">
        <x:v>El curso y semestre de cada asignatura están en 15. Aquí se distinguen dependencias educativas de los permisos de matrícula; no se imponen precedencias nuevas.</x:v>
      </x:c>
      <x:c r="B2" s="8"/>
      <x:c r="C2" s="8"/>
      <x:c r="D2" s="8"/>
      <x:c r="E2" s="8"/>
      <x:c r="F2" s="8"/>
      <x:c r="G2" s="8"/>
      <x:c r="H2" s="8"/>
      <x:c r="I2" s="8"/>
    </x:row>
    <x:row r="3">
      <x:c r="A3" s="4"/>
      <x:c r="B3" s="4"/>
      <x:c r="C3" s="4"/>
      <x:c r="D3" s="4"/>
      <x:c r="E3" s="4"/>
      <x:c r="F3" s="4"/>
      <x:c r="G3" s="4"/>
      <x:c r="H3" s="4"/>
      <x:c r="I3" s="4"/>
    </x:row>
    <x:row r="4" ht="42" customHeight="1">
      <x:c r="A4" s="10" t="str">
        <x:v>ID</x:v>
      </x:c>
      <x:c r="B4" s="10" t="str">
        <x:v>Base</x:v>
      </x:c>
      <x:c r="C4" s="10" t="str">
        <x:v>Continuación</x:v>
      </x:c>
      <x:c r="D4" s="10" t="str">
        <x:v>Relación publicada</x:v>
      </x:c>
      <x:c r="E4" s="10" t="str">
        <x:v>Fuente / localizador</x:v>
      </x:c>
      <x:c r="F4" s="10" t="str">
        <x:v>Evidencia</x:v>
      </x:c>
      <x:c r="G4" s="10" t="str">
        <x:v>Límite</x:v>
      </x:c>
      <x:c r="H4" s="10" t="str">
        <x:v>Origen ausente</x:v>
      </x:c>
      <x:c r="I4" s="10" t="str">
        <x:v>Destino ausente</x:v>
      </x:c>
    </x:row>
    <x:row r="5" ht="47" customHeight="1">
      <x:c r="A5" s="4" t="str">
        <x:v>PR-01</x:v>
      </x:c>
      <x:c r="B5" s="4" t="str">
        <x:v>URJC-03</x:v>
      </x:c>
      <x:c r="C5" s="4" t="str">
        <x:v>URJC-10</x:v>
      </x:c>
      <x:c r="D5" s="4" t="str">
        <x:v>Dependencia alta en diagrama institucional</x:v>
      </x:c>
      <x:c r="E5" s="4" t="str">
        <x:v>E012 · p. 1</x:v>
      </x:c>
      <x:c r="F5" s="4" t="str">
        <x:v>Arista roja comprobada visualmente; selección de ocho, no transcripción de todas las aristas.</x:v>
      </x:c>
      <x:c r="G5" s="4" t="str">
        <x:v>No equivale a requisito administrativo de matrícula.</x:v>
      </x:c>
      <x:c r="H5" s="12" t="n">
        <x:f>IF(COUNTIF('15_Base_universitaria'!$A$5:$A$44,B5)=1,0,1)</x:f>
        <x:v>0</x:v>
      </x:c>
      <x:c r="I5" s="12" t="n">
        <x:f>IF(COUNTIF('15_Base_universitaria'!$A$5:$A$44,C5)=1,0,1)</x:f>
        <x:v>0</x:v>
      </x:c>
    </x:row>
    <x:row r="6" ht="47" customHeight="1">
      <x:c r="A6" s="4" t="str">
        <x:v>PR-02</x:v>
      </x:c>
      <x:c r="B6" s="4" t="str">
        <x:v>URJC-03</x:v>
      </x:c>
      <x:c r="C6" s="4" t="str">
        <x:v>URJC-13</x:v>
      </x:c>
      <x:c r="D6" s="4" t="str">
        <x:v>Dependencia alta en diagrama institucional</x:v>
      </x:c>
      <x:c r="E6" s="4" t="str">
        <x:v>E012 · p. 1</x:v>
      </x:c>
      <x:c r="F6" s="4" t="str">
        <x:v>Arista roja comprobada visualmente; selección de ocho, no transcripción de todas las aristas.</x:v>
      </x:c>
      <x:c r="G6" s="4" t="str">
        <x:v>No equivale a requisito administrativo de matrícula.</x:v>
      </x:c>
      <x:c r="H6" s="12" t="n">
        <x:f>IF(COUNTIF('15_Base_universitaria'!$A$5:$A$44,B6)=1,0,1)</x:f>
        <x:v>0</x:v>
      </x:c>
      <x:c r="I6" s="12" t="n">
        <x:f>IF(COUNTIF('15_Base_universitaria'!$A$5:$A$44,C6)=1,0,1)</x:f>
        <x:v>0</x:v>
      </x:c>
    </x:row>
    <x:row r="7" ht="47" customHeight="1">
      <x:c r="A7" s="4" t="str">
        <x:v>PR-03</x:v>
      </x:c>
      <x:c r="B7" s="4" t="str">
        <x:v>URJC-02</x:v>
      </x:c>
      <x:c r="C7" s="4" t="str">
        <x:v>URJC-15</x:v>
      </x:c>
      <x:c r="D7" s="4" t="str">
        <x:v>Dependencia alta en diagrama institucional</x:v>
      </x:c>
      <x:c r="E7" s="4" t="str">
        <x:v>E012 · p. 1</x:v>
      </x:c>
      <x:c r="F7" s="4" t="str">
        <x:v>Arista roja comprobada visualmente; selección de ocho, no transcripción de todas las aristas.</x:v>
      </x:c>
      <x:c r="G7" s="4" t="str">
        <x:v>No equivale a requisito administrativo de matrícula.</x:v>
      </x:c>
      <x:c r="H7" s="12" t="n">
        <x:f>IF(COUNTIF('15_Base_universitaria'!$A$5:$A$44,B7)=1,0,1)</x:f>
        <x:v>0</x:v>
      </x:c>
      <x:c r="I7" s="12" t="n">
        <x:f>IF(COUNTIF('15_Base_universitaria'!$A$5:$A$44,C7)=1,0,1)</x:f>
        <x:v>0</x:v>
      </x:c>
    </x:row>
    <x:row r="8" ht="47" customHeight="1">
      <x:c r="A8" s="4" t="str">
        <x:v>PR-04</x:v>
      </x:c>
      <x:c r="B8" s="4" t="str">
        <x:v>URJC-14</x:v>
      </x:c>
      <x:c r="C8" s="4" t="str">
        <x:v>URJC-19</x:v>
      </x:c>
      <x:c r="D8" s="4" t="str">
        <x:v>Dependencia alta en diagrama institucional</x:v>
      </x:c>
      <x:c r="E8" s="4" t="str">
        <x:v>E012 · p. 1</x:v>
      </x:c>
      <x:c r="F8" s="4" t="str">
        <x:v>Arista roja comprobada visualmente; selección de ocho, no transcripción de todas las aristas.</x:v>
      </x:c>
      <x:c r="G8" s="4" t="str">
        <x:v>No equivale a requisito administrativo de matrícula.</x:v>
      </x:c>
      <x:c r="H8" s="12" t="n">
        <x:f>IF(COUNTIF('15_Base_universitaria'!$A$5:$A$44,B8)=1,0,1)</x:f>
        <x:v>0</x:v>
      </x:c>
      <x:c r="I8" s="12" t="n">
        <x:f>IF(COUNTIF('15_Base_universitaria'!$A$5:$A$44,C8)=1,0,1)</x:f>
        <x:v>0</x:v>
      </x:c>
    </x:row>
    <x:row r="9" ht="47" customHeight="1">
      <x:c r="A9" s="4" t="str">
        <x:v>PR-05</x:v>
      </x:c>
      <x:c r="B9" s="4" t="str">
        <x:v>URJC-14</x:v>
      </x:c>
      <x:c r="C9" s="4" t="str">
        <x:v>URJC-29</x:v>
      </x:c>
      <x:c r="D9" s="4" t="str">
        <x:v>Dependencia alta en diagrama institucional</x:v>
      </x:c>
      <x:c r="E9" s="4" t="str">
        <x:v>E012 · p. 1</x:v>
      </x:c>
      <x:c r="F9" s="4" t="str">
        <x:v>Arista roja comprobada visualmente; selección de ocho, no transcripción de todas las aristas.</x:v>
      </x:c>
      <x:c r="G9" s="4" t="str">
        <x:v>No equivale a requisito administrativo de matrícula.</x:v>
      </x:c>
      <x:c r="H9" s="12" t="n">
        <x:f>IF(COUNTIF('15_Base_universitaria'!$A$5:$A$44,B9)=1,0,1)</x:f>
        <x:v>0</x:v>
      </x:c>
      <x:c r="I9" s="12" t="n">
        <x:f>IF(COUNTIF('15_Base_universitaria'!$A$5:$A$44,C9)=1,0,1)</x:f>
        <x:v>0</x:v>
      </x:c>
    </x:row>
    <x:row r="10" ht="47" customHeight="1">
      <x:c r="A10" s="4" t="str">
        <x:v>PR-06</x:v>
      </x:c>
      <x:c r="B10" s="4" t="str">
        <x:v>URJC-15</x:v>
      </x:c>
      <x:c r="C10" s="4" t="str">
        <x:v>URJC-34</x:v>
      </x:c>
      <x:c r="D10" s="4" t="str">
        <x:v>Dependencia alta en diagrama institucional</x:v>
      </x:c>
      <x:c r="E10" s="4" t="str">
        <x:v>E012 · p. 1</x:v>
      </x:c>
      <x:c r="F10" s="4" t="str">
        <x:v>Arista roja comprobada visualmente; selección de ocho, no transcripción de todas las aristas.</x:v>
      </x:c>
      <x:c r="G10" s="4" t="str">
        <x:v>No equivale a requisito administrativo de matrícula.</x:v>
      </x:c>
      <x:c r="H10" s="12" t="n">
        <x:f>IF(COUNTIF('15_Base_universitaria'!$A$5:$A$44,B10)=1,0,1)</x:f>
        <x:v>0</x:v>
      </x:c>
      <x:c r="I10" s="12" t="n">
        <x:f>IF(COUNTIF('15_Base_universitaria'!$A$5:$A$44,C10)=1,0,1)</x:f>
        <x:v>0</x:v>
      </x:c>
    </x:row>
    <x:row r="11" ht="47" customHeight="1">
      <x:c r="A11" s="4" t="str">
        <x:v>PR-07</x:v>
      </x:c>
      <x:c r="B11" s="4" t="str">
        <x:v>URJC-18</x:v>
      </x:c>
      <x:c r="C11" s="4" t="str">
        <x:v>URJC-21</x:v>
      </x:c>
      <x:c r="D11" s="4" t="str">
        <x:v>Dependencia alta en diagrama institucional</x:v>
      </x:c>
      <x:c r="E11" s="4" t="str">
        <x:v>E012 · p. 1</x:v>
      </x:c>
      <x:c r="F11" s="4" t="str">
        <x:v>Arista roja comprobada visualmente; selección de ocho, no transcripción de todas las aristas.</x:v>
      </x:c>
      <x:c r="G11" s="4" t="str">
        <x:v>No equivale a requisito administrativo de matrícula.</x:v>
      </x:c>
      <x:c r="H11" s="12" t="n">
        <x:f>IF(COUNTIF('15_Base_universitaria'!$A$5:$A$44,B11)=1,0,1)</x:f>
        <x:v>0</x:v>
      </x:c>
      <x:c r="I11" s="12" t="n">
        <x:f>IF(COUNTIF('15_Base_universitaria'!$A$5:$A$44,C11)=1,0,1)</x:f>
        <x:v>0</x:v>
      </x:c>
    </x:row>
    <x:row r="12" ht="47" customHeight="1">
      <x:c r="A12" s="4" t="str">
        <x:v>PR-08</x:v>
      </x:c>
      <x:c r="B12" s="4" t="str">
        <x:v>URJC-16</x:v>
      </x:c>
      <x:c r="C12" s="4" t="str">
        <x:v>URJC-24</x:v>
      </x:c>
      <x:c r="D12" s="4" t="str">
        <x:v>Dependencia alta en diagrama institucional</x:v>
      </x:c>
      <x:c r="E12" s="4" t="str">
        <x:v>E012 · p. 1</x:v>
      </x:c>
      <x:c r="F12" s="4" t="str">
        <x:v>Arista roja comprobada visualmente; selección de ocho, no transcripción de todas las aristas.</x:v>
      </x:c>
      <x:c r="G12" s="4" t="str">
        <x:v>No equivale a requisito administrativo de matrícula.</x:v>
      </x:c>
      <x:c r="H12" s="12" t="n">
        <x:f>IF(COUNTIF('15_Base_universitaria'!$A$5:$A$44,B12)=1,0,1)</x:f>
        <x:v>0</x:v>
      </x:c>
      <x:c r="I12" s="12" t="n">
        <x:f>IF(COUNTIF('15_Base_universitaria'!$A$5:$A$44,C12)=1,0,1)</x:f>
        <x:v>0</x:v>
      </x:c>
    </x:row>
  </x:sheetData>
  <x:mergeCells>
    <x:mergeCell ref="A1:D1"/>
    <x:mergeCell ref="A2:F2"/>
  </x:mergeCells>
  <x:conditionalFormatting sqref="H5:H12">
    <x:cfRule type="expression" dxfId="5" priority="1">
      <x:formula>H5&gt;0</x:formula>
    </x:cfRule>
  </x:conditionalFormatting>
  <x:conditionalFormatting sqref="I5:I12">
    <x:cfRule type="expression" dxfId="6" priority="2">
      <x:formula>I5&gt;0</x:formula>
    </x:cfRule>
  </x:conditionalFormatting>
  <x:pageMargins left="0.7" right="0.7" top="0.75" bottom="0.75" header="0.3" footer="0.3"/>
  <x:tableParts count="1">
    <x:tablePart xmlns:r="http://schemas.openxmlformats.org/officeDocument/2006/relationships" r:id="Re2e964a8f5aa4c6b"/>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 hidden="0" customWidth="1"/>
    <x:col min="2" max="2" width="19" hidden="0" customWidth="1"/>
    <x:col min="3" max="3" width="12" hidden="0" customWidth="1"/>
    <x:col min="4" max="4" width="43" hidden="0" customWidth="1"/>
    <x:col min="5" max="5" width="37" hidden="0" customWidth="1"/>
    <x:col min="6" max="6" width="50" hidden="0" customWidth="1"/>
    <x:col min="7" max="7" width="68" hidden="0" customWidth="1"/>
    <x:col min="8" max="8" width="69" hidden="0" customWidth="1"/>
    <x:col min="9" max="9" width="69" hidden="0" customWidth="1"/>
    <x:col min="10" max="10" width="83" hidden="0" customWidth="1"/>
    <x:col min="11" max="11" width="83" hidden="0" customWidth="1"/>
    <x:col min="12" max="12" width="26" hidden="0" customWidth="1"/>
  </x:cols>
  <x:sheetData>
    <x:row r="1" ht="35" customHeight="1">
      <x:c r="A1" s="6" t="str">
        <x:v>COMPLEMENTOS EDUCATIVOS · diferencia y justificación</x:v>
      </x:c>
      <x:c r="B1" s="6"/>
      <x:c r="C1" s="6"/>
      <x:c r="D1" s="6"/>
      <x:c r="E1" s="6"/>
      <x:c r="F1" s="6"/>
      <x:c r="G1" s="6"/>
      <x:c r="H1" s="6"/>
      <x:c r="I1" s="6"/>
      <x:c r="J1" s="6"/>
      <x:c r="K1" s="6"/>
      <x:c r="L1" s="6"/>
    </x:row>
    <x:row r="2" ht="52" customHeight="1">
      <x:c r="A2" s="8" t="str">
        <x:v>Doce decisiones acotadas: profundización, refuerzo, contraste, reserva o descarte de duplicación. Propuestas de Watson; no adopciones humanas ni equivalencias académicas.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x:v>
      </x:c>
      <x:c r="B4" s="10" t="str">
        <x:v>País</x:v>
      </x:c>
      <x:c r="C4" s="10" t="str">
        <x:v>Fuente</x:v>
      </x:c>
      <x:c r="D4" s="10" t="str">
        <x:v>Unidad y edición</x:v>
      </x:c>
      <x:c r="E4" s="10" t="str">
        <x:v>Base relacionada</x:v>
      </x:c>
      <x:c r="F4" s="10" t="str">
        <x:v>Decisión propuesta</x:v>
      </x:c>
      <x:c r="G4" s="10" t="str">
        <x:v>Conocimiento adicional o contraste</x:v>
      </x:c>
      <x:c r="H4" s="10" t="str">
        <x:v>Saber hacer</x:v>
      </x:c>
      <x:c r="I4" s="10" t="str">
        <x:v>Resultado / evidencia educativa</x:v>
      </x:c>
      <x:c r="J4" s="10" t="str">
        <x:v>Justificación frente al rector</x:v>
      </x:c>
      <x:c r="K4" s="10" t="str">
        <x:v>Límite</x:v>
      </x:c>
      <x:c r="L4" s="10" t="str">
        <x:v>Necesidades</x:v>
      </x:c>
    </x:row>
    <x:row r="5" ht="47" customHeight="1">
      <x:c r="A5" s="4" t="str">
        <x:v>CE-01</x:v>
      </x:c>
      <x:c r="B5" s="4" t="str">
        <x:v>Australia</x:v>
      </x:c>
      <x:c r="C5" s="4" t="str">
        <x:v>M002</x:v>
      </x:c>
      <x:c r="D5" s="4" t="str">
        <x:v>ZSPS2118 · 2026.02</x:v>
      </x:c>
      <x:c r="E5" s="4" t="str">
        <x:v>URJC-09; URJC-26</x:v>
      </x:c>
      <x:c r="F5" s="4" t="str">
        <x:v>PROFUNDIZACIÓN PROPUESTA</x:v>
      </x:c>
      <x:c r="G5" s="4" t="str">
        <x:v>Preparación de datos y aprendizaje supervisado/no supervisado aplicado a amenazas.</x:v>
      </x:c>
      <x:c r="H5" s="4" t="str">
        <x:v>Interpretar características de logs o archivos y evaluar modelos en escenarios de ciberseguridad.</x:v>
      </x:c>
      <x:c r="I5" s="4" t="str">
        <x:v>CLO1–5; proyecto 35%, informe y presentación 35%, examen 30%.</x:v>
      </x:c>
      <x:c r="J5" s="4" t="str">
        <x:v>La introducción de IA no documenta por sí sola esta profundidad práctica y estos resultados específicos.</x:v>
      </x:c>
      <x:c r="K5" s="4" t="str">
        <x:v>Las aplicaciones futuras siguen limitadas por mandato humano; no se adopta respuesta autónoma.</x:v>
      </x:c>
      <x:c r="L5" s="4" t="str">
        <x:v>AN-01; AN-04</x:v>
      </x:c>
    </x:row>
    <x:row r="6" ht="47" customHeight="1">
      <x:c r="A6" s="4" t="str">
        <x:v>CE-02</x:v>
      </x:c>
      <x:c r="B6" s="4" t="str">
        <x:v>Australia</x:v>
      </x:c>
      <x:c r="C6" s="4" t="str">
        <x:v>M004</x:v>
      </x:c>
      <x:c r="D6" s="4" t="str">
        <x:v>ZSPS2121 · 2026.01</x:v>
      </x:c>
      <x:c r="E6" s="4" t="str">
        <x:v>URJC-05; URJC-09; URJC-26</x:v>
      </x:c>
      <x:c r="F6" s="4" t="str">
        <x:v>PROFUNDIZACIÓN PROPUESTA</x:v>
      </x:c>
      <x:c r="G6" s="4" t="str">
        <x:v>Redes neuronales y desarrollo de procesos completos de aprendizaje profundo.</x:v>
      </x:c>
      <x:c r="H6" s="4" t="str">
        <x:v>Evaluar rendimiento, recursos, escalabilidad y riesgos de modelos en datos de seguridad.</x:v>
      </x:c>
      <x:c r="I6" s="4" t="str">
        <x:v>CLO1–5; laboratorio 30%, casos 30%, evaluación final 40%.</x:v>
      </x:c>
      <x:c r="J6" s="4" t="str">
        <x:v>Amplía la base de IA con construcción y evaluación de modelos profundos para ciberseguridad.</x:v>
      </x:c>
      <x:c r="K6" s="4" t="str">
        <x:v>Eficiencia o exactitud no acredita utilidad, seguridad absoluta ni validez fuera del contexto ensayado.</x:v>
      </x:c>
      <x:c r="L6" s="4" t="str">
        <x:v>AN-01; AN-04</x:v>
      </x:c>
    </x:row>
    <x:row r="7" ht="47" customHeight="1">
      <x:c r="A7" s="4" t="str">
        <x:v>CE-03</x:v>
      </x:c>
      <x:c r="B7" s="4" t="str">
        <x:v>Australia</x:v>
      </x:c>
      <x:c r="C7" s="4" t="str">
        <x:v>M003</x:v>
      </x:c>
      <x:c r="D7" s="4" t="str">
        <x:v>ZSPS2122 · 2026.02</x:v>
      </x:c>
      <x:c r="E7" s="4" t="str">
        <x:v>URJC-26; URJC-31</x:v>
      </x:c>
      <x:c r="F7" s="4" t="str">
        <x:v>PROFUNDIZACIÓN PROPUESTA</x:v>
      </x:c>
      <x:c r="G7" s="4" t="str">
        <x:v>Aprendizaje adversarial, explicabilidad, generalización y robustez.</x:v>
      </x:c>
      <x:c r="H7" s="4" t="str">
        <x:v>Evaluar y mitigar ataques contra modelos; justificar límites éticos y técnicos.</x:v>
      </x:c>
      <x:c r="I7" s="4" t="str">
        <x:v>CLO1–5; casos/presentación 20%, laboratorio 40%, evaluación final 40%.</x:v>
      </x:c>
      <x:c r="J7" s="4" t="str">
        <x:v>La guía explicita robustez y amenazas a modelos/LLM, alcance que no se presume por tener una asignatura de IA.</x:v>
      </x:c>
      <x:c r="K7" s="4" t="str">
        <x:v>No identifica de forma automática cada control OWASP ni todas las familias de ataques.</x:v>
      </x:c>
      <x:c r="L7" s="4" t="str">
        <x:v>AN-03; AN-05; AN-08</x:v>
      </x:c>
    </x:row>
    <x:row r="8" ht="47" customHeight="1">
      <x:c r="A8" s="4" t="str">
        <x:v>CE-04</x:v>
      </x:c>
      <x:c r="B8" s="4" t="str">
        <x:v>Australia</x:v>
      </x:c>
      <x:c r="C8" s="4" t="str">
        <x:v>M001</x:v>
      </x:c>
      <x:c r="D8" s="4" t="str">
        <x:v>ZSPS2119 · 2026.02</x:v>
      </x:c>
      <x:c r="E8" s="4" t="str">
        <x:v>URJC-38; URJC-40</x:v>
      </x:c>
      <x:c r="F8" s="4" t="str">
        <x:v>REFUERZO DEL MÉTODO PROPUESTO</x:v>
      </x:c>
      <x:c r="G8" s="4" t="str">
        <x:v>Proyecto profesional con reflexión y revisión de decisiones.</x:v>
      </x:c>
      <x:c r="H8" s="4" t="str">
        <x:v>Presentar alcance, justificar cambios, evaluar limitaciones y explicar la contribución individual.</x:v>
      </x:c>
      <x:c r="I8" s="4" t="str">
        <x:v>CLO1–6; desarrollo 40%, progreso 10%, informe 30%, portafolio 20%.</x:v>
      </x:c>
      <x:c r="J8" s="4" t="str">
        <x:v>Aporta un modo explícito de evaluar juicio y revisión de decisiones; no añade otro universo.</x:v>
      </x:c>
      <x:c r="K8" s="4" t="str">
        <x:v>Se toma como patrón educativo; no se afirma que prácticas y TFG del rector carezcan de reflexión.</x:v>
      </x:c>
      <x:c r="L8" s="4" t="str">
        <x:v>AN-04; AN-08</x:v>
      </x:c>
    </x:row>
    <x:row r="9" ht="47" customHeight="1">
      <x:c r="A9" s="4" t="str">
        <x:v>CE-05</x:v>
      </x:c>
      <x:c r="B9" s="4" t="str">
        <x:v>Reino Unido</x:v>
      </x:c>
      <x:c r="C9" s="4" t="str">
        <x:v>W010</x:v>
      </x:c>
      <x:c r="D9" s="4" t="str">
        <x:v>WM281-15 · 2026–27</x:v>
      </x:c>
      <x:c r="E9" s="4" t="str">
        <x:v>URJC-02; URJC-12</x:v>
      </x:c>
      <x:c r="F9" s="4" t="str">
        <x:v>PROFUNDIZACIÓN PROPUESTA</x:v>
      </x:c>
      <x:c r="G9" s="4" t="str">
        <x:v>Usabilidad de mecanismos de seguridad; factores individuales, organizativos y sociales.</x:v>
      </x:c>
      <x:c r="H9" s="4" t="str">
        <x:v>Evaluar consecuencias del comportamiento y diseñar controles utilizables.</x:v>
      </x:c>
      <x:c r="I9" s="4" t="str">
        <x:v>Learning outcomes; evaluación de criterios de usabilidad y factores humanos.</x:v>
      </x:c>
      <x:c r="J9" s="4" t="str">
        <x:v>Hace explícita una evaluación de interacción humano-sistema más precisa que una referencia general al factor humano.</x:v>
      </x:c>
      <x:c r="K9" s="4" t="str">
        <x:v>No se equipara error humano con culpa ni una política escrita con eficacia demostrada.</x:v>
      </x:c>
      <x:c r="L9" s="4" t="str">
        <x:v>AN-02; AN-08</x:v>
      </x:c>
    </x:row>
    <x:row r="10" ht="47" customHeight="1">
      <x:c r="A10" s="4" t="str">
        <x:v>CE-06</x:v>
      </x:c>
      <x:c r="B10" s="4" t="str">
        <x:v>Reino Unido</x:v>
      </x:c>
      <x:c r="C10" s="4" t="str">
        <x:v>W014</x:v>
      </x:c>
      <x:c r="D10" s="4" t="str">
        <x:v>WM279-15 · 2026–27</x:v>
      </x:c>
      <x:c r="E10" s="4" t="str">
        <x:v>URJC-35; URJC-37</x:v>
      </x:c>
      <x:c r="F10" s="4" t="str">
        <x:v>CONTRASTE; NO NUEVO VACÍO DEMOSTRADO</x:v>
      </x:c>
      <x:c r="G10" s="4" t="str">
        <x:v>Coherencia de gestión de seguridad y consecuencias de gestión inadecuada del riesgo.</x:v>
      </x:c>
      <x:c r="H10" s="4" t="str">
        <x:v>Analizar efectos organizativos y justificar mejoras.</x:v>
      </x:c>
      <x:c r="I10" s="4" t="str">
        <x:v>Learning outcomes.</x:v>
      </x:c>
      <x:c r="J10" s="4" t="str">
        <x:v>Refuerza la atención ex ante a consecuencias; no se contabiliza como conocimiento ausente del rector.</x:v>
      </x:c>
      <x:c r="K10" s="4" t="str">
        <x:v>Contraste semántico, sin equivalencia oficial entre asignaturas.</x:v>
      </x:c>
      <x:c r="L10" s="4" t="str">
        <x:v>AN-05</x:v>
      </x:c>
    </x:row>
    <x:row r="11" ht="47" customHeight="1">
      <x:c r="A11" s="4" t="str">
        <x:v>CE-07</x:v>
      </x:c>
      <x:c r="B11" s="4" t="str">
        <x:v>Reino Unido</x:v>
      </x:c>
      <x:c r="C11" s="4" t="str">
        <x:v>W016</x:v>
      </x:c>
      <x:c r="D11" s="4" t="str">
        <x:v>WM284-15 · 2026–27</x:v>
      </x:c>
      <x:c r="E11" s="4" t="str">
        <x:v>URJC-40</x:v>
      </x:c>
      <x:c r="F11" s="4" t="str">
        <x:v>REFUERZO DEL MÉTODO PROPUESTO</x:v>
      </x:c>
      <x:c r="G11" s="4" t="str">
        <x:v>Evaluación crítica de investigación, método y comunicación.</x:v>
      </x:c>
      <x:c r="H11" s="4" t="str">
        <x:v>Justificar el método para una pregunta y comunicar sus límites.</x:v>
      </x:c>
      <x:c r="I11" s="4" t="str">
        <x:v>Learning outcomes.</x:v>
      </x:c>
      <x:c r="J11" s="4" t="str">
        <x:v>Proporciona criterios explícitos de evaluación de información emergente.</x:v>
      </x:c>
      <x:c r="K11" s="4" t="str">
        <x:v>Actualizar el conocimiento disponible no actualiza el dominio admitido: se requiere decisión humana.</x:v>
      </x:c>
      <x:c r="L11" s="4" t="str">
        <x:v>AN-01; AN-08</x:v>
      </x:c>
    </x:row>
    <x:row r="12" ht="47" customHeight="1">
      <x:c r="A12" s="4" t="str">
        <x:v>CE-08</x:v>
      </x:c>
      <x:c r="B12" s="4" t="str">
        <x:v>Canadá</x:v>
      </x:c>
      <x:c r="C12" s="4" t="str">
        <x:v>G009</x:v>
      </x:c>
      <x:c r="D12" s="4" t="str">
        <x:v>CIS*6580 · instantánea 08-09-2026</x:v>
      </x:c>
      <x:c r="E12" s="4" t="str">
        <x:v>URJC-19; URJC-33</x:v>
      </x:c>
      <x:c r="F12" s="4" t="str">
        <x:v>CONTRASTE; NO NUEVO VACÍO DEMOSTRADO</x:v>
      </x:c>
      <x:c r="G12" s="4" t="str">
        <x:v>Monitorización y búsqueda de adversarios que eluden defensas.</x:v>
      </x:c>
      <x:c r="H12" s="4" t="str">
        <x:v>Examinar actividad y activos para investigar amenazas no detenidas por los controles.</x:v>
      </x:c>
      <x:c r="I12" s="4" t="str">
        <x:v>Descripción oficial del curso; evaluación detallada no disponible en esta ficha.</x:v>
      </x:c>
      <x:c r="J12" s="4" t="str">
        <x:v>El rector ya incluye hipótesis de hunting y EDR/SIEM (R033, tema 6). La ficha canadiense corrobora; no acredita mayor profundidad.</x:v>
      </x:c>
      <x:c r="K12" s="4" t="str">
        <x:v>El anexo agéntico y el triaje automático necesitan un contrato adicional; esta materia no los autoriza.</x:v>
      </x:c>
      <x:c r="L12" s="4" t="str">
        <x:v>AN-04</x:v>
      </x:c>
    </x:row>
    <x:row r="13" ht="47" customHeight="1">
      <x:c r="A13" s="4" t="str">
        <x:v>CE-09</x:v>
      </x:c>
      <x:c r="B13" s="4" t="str">
        <x:v>Canadá</x:v>
      </x:c>
      <x:c r="C13" s="4" t="str">
        <x:v>G007</x:v>
      </x:c>
      <x:c r="D13" s="4" t="str">
        <x:v>CIS*6560 · instantánea 08-09-2026</x:v>
      </x:c>
      <x:c r="E13" s="4" t="str">
        <x:v>URJC-38; URJC-40</x:v>
      </x:c>
      <x:c r="F13" s="4" t="str">
        <x:v>REFUERZO DEL MÉTODO PROPUESTO</x:v>
      </x:c>
      <x:c r="G13" s="4" t="str">
        <x:v>Proyecto tutelado con informe y producto ante un problema emergente.</x:v>
      </x:c>
      <x:c r="H13" s="4" t="str">
        <x:v>Investigar y justificar una solución con evidencia.</x:v>
      </x:c>
      <x:c r="I13" s="4" t="str">
        <x:v>Descripción oficial del proyecto; opción, no requisito universal del máster.</x:v>
      </x:c>
      <x:c r="J13" s="4" t="str">
        <x:v>Contrasta integración de conocimiento y actuación ante problemas nuevos.</x:v>
      </x:c>
      <x:c r="K13" s="4" t="str">
        <x:v>No acredita ejecución del dominio ni obliga a adoptar datos reales.</x:v>
      </x:c>
      <x:c r="L13" s="4" t="str">
        <x:v>AN-04; AN-08</x:v>
      </x:c>
    </x:row>
    <x:row r="14" ht="47" customHeight="1">
      <x:c r="A14" s="4" t="str">
        <x:v>CE-10</x:v>
      </x:c>
      <x:c r="B14" s="4" t="str">
        <x:v>Estados Unidos</x:v>
      </x:c>
      <x:c r="C14" s="4" t="str">
        <x:v>E008</x:v>
      </x:c>
      <x:c r="D14" s="4" t="str">
        <x:v>95-710 · MSISPM 2026–27</x:v>
      </x:c>
      <x:c r="E14" s="4" t="str">
        <x:v>URJC-11; URJC-35</x:v>
      </x:c>
      <x:c r="F14" s="4" t="str">
        <x:v>IDENTIFICADO; GUÍA DETALLADA PENDIENTE</x:v>
      </x:c>
      <x:c r="G14" s="4" t="str">
        <x:v>Análisis económico como materia obligatoria.</x:v>
      </x:c>
      <x:c r="H14" s="4" t="str">
        <x:v>No se adjudica resultado específico sin guía detallada.</x:v>
      </x:c>
      <x:c r="I14" s="4" t="str">
        <x:v>Manual §4.2, p. 5.</x:v>
      </x:c>
      <x:c r="J14" s="4" t="str">
        <x:v>Contraste de prioridad educativa para la proporcionalidad coste/protección. El rector ya incluye economía y optimización.</x:v>
      </x:c>
      <x:c r="K14" s="4" t="str">
        <x:v>No constituye una metodología económica extraída ni una fórmula universal de valoración.</x:v>
      </x:c>
      <x:c r="L14" s="4" t="str">
        <x:v>AN-05</x:v>
      </x:c>
    </x:row>
    <x:row r="15" ht="47" customHeight="1">
      <x:c r="A15" s="4" t="str">
        <x:v>CE-11</x:v>
      </x:c>
      <x:c r="B15" s="4" t="str">
        <x:v>Estados Unidos</x:v>
      </x:c>
      <x:c r="C15" s="4" t="str">
        <x:v>E008</x:v>
      </x:c>
      <x:c r="D15" s="4" t="str">
        <x:v>95-760 · MSISPM 2026–27</x:v>
      </x:c>
      <x:c r="E15" s="4" t="str">
        <x:v>URJC-09; URJC-11</x:v>
      </x:c>
      <x:c r="F15" s="4" t="str">
        <x:v>IDENTIFICADO; GUÍA DETALLADA PENDIENTE</x:v>
      </x:c>
      <x:c r="G15" s="4" t="str">
        <x:v>Decisión bajo incertidumbre como materia obligatoria.</x:v>
      </x:c>
      <x:c r="H15" s="4" t="str">
        <x:v>No se inventan los resultados de aprendizaje de la asignatura.</x:v>
      </x:c>
      <x:c r="I15" s="4" t="str">
        <x:v>Manual §4.2, p. 5.</x:v>
      </x:c>
      <x:c r="J15" s="4" t="str">
        <x:v>Refuerza que incertidumbre y decisión forman parte del aprendizaje.</x:v>
      </x:c>
      <x:c r="K15" s="4" t="str">
        <x:v>No duplica estadística ni adjudica suficiencia representacional a SV.</x:v>
      </x:c>
      <x:c r="L15" s="4" t="str">
        <x:v>AN-05</x:v>
      </x:c>
    </x:row>
    <x:row r="16" ht="47" customHeight="1">
      <x:c r="A16" s="4" t="str">
        <x:v>CE-12</x:v>
      </x:c>
      <x:c r="B16" s="4" t="str">
        <x:v>España</x:v>
      </x:c>
      <x:c r="C16" s="4" t="str">
        <x:v>E009</x:v>
      </x:c>
      <x:c r="D16" s="4" t="str">
        <x:v>UPC · Software-Defined Security (Sds)</x:v>
      </x:c>
      <x:c r="E16" s="4" t="str">
        <x:v>URJC-29</x:v>
      </x:c>
      <x:c r="F16" s="4" t="str">
        <x:v>NO AÑADIR POR MERA COINCIDENCIA</x:v>
      </x:c>
      <x:c r="G16" s="4" t="str">
        <x:v>Materia de seguridad definida por software; título identificado.</x:v>
      </x:c>
      <x:c r="H16" s="4" t="str">
        <x:v>El título de la asignatura no basta para adjudicar su temario ni equipararlo a SDN.</x:v>
      </x:c>
      <x:c r="I16" s="4" t="str">
        <x:v>Plan institucional y guía URJC de redes avanzadas.</x:v>
      </x:c>
      <x:c r="J16" s="4" t="str">
        <x:v>El rector ya incluye SDN. La ficha UPC queda pendiente de guía detallada; eBPF y P4 se examinan por separado en AN-06.</x:v>
      </x:c>
      <x:c r="K16" s="4" t="str">
        <x:v>No atribuir eBPF/P4 a esta asignatura por su título.</x:v>
      </x:c>
      <x:c r="L16" s="4" t="str">
        <x:v>AN-06</x:v>
      </x:c>
    </x:row>
  </x:sheetData>
  <x:mergeCells>
    <x:mergeCell ref="A1:D1"/>
    <x:mergeCell ref="A2:F2"/>
  </x:mergeCells>
  <x:pageMargins left="0.7" right="0.7" top="0.75" bottom="0.75" header="0.3" footer="0.3"/>
  <x:tableParts count="1">
    <x:tablePart xmlns:r="http://schemas.openxmlformats.org/officeDocument/2006/relationships" r:id="R004d36e3a2fa4216"/>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43" hidden="0" customWidth="1"/>
    <x:col min="3" max="3" width="45" hidden="0" customWidth="1"/>
    <x:col min="4" max="4" width="56" hidden="0" customWidth="1"/>
    <x:col min="5" max="5" width="35" hidden="0" customWidth="1"/>
    <x:col min="6" max="6" width="46" hidden="0" customWidth="1"/>
    <x:col min="7" max="7" width="79" hidden="0" customWidth="1"/>
    <x:col min="8" max="8" width="91" hidden="0" customWidth="1"/>
    <x:col min="9" max="9" width="88" hidden="0" customWidth="1"/>
    <x:col min="10" max="10" width="39" hidden="0" customWidth="1"/>
    <x:col min="11" max="11" width="97" hidden="0" customWidth="1"/>
  </x:cols>
  <x:sheetData>
    <x:row r="1" ht="35" customHeight="1">
      <x:c r="A1" s="6" t="str">
        <x:v>OCHO NECESIDADES · anexos candidatos aportados por el Director</x:v>
      </x:c>
      <x:c r="B1" s="6"/>
      <x:c r="C1" s="6"/>
      <x:c r="D1" s="6"/>
      <x:c r="E1" s="6"/>
      <x:c r="F1" s="6"/>
      <x:c r="G1" s="6"/>
      <x:c r="H1" s="6"/>
      <x:c r="I1" s="6"/>
      <x:c r="J1" s="6"/>
      <x:c r="K1" s="6"/>
    </x:row>
    <x:row r="2" ht="52" customHeight="1">
      <x:c r="A2" s="8" t="str">
        <x:v>Las ocho pistas quedan recibidas. No se supone que todo falte en el rector ni se adopta automáticamente una norma, producto, técnica o automatización.</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Necesidad</x:v>
      </x:c>
      <x:c r="C4" s="10" t="str">
        <x:v>Origen</x:v>
      </x:c>
      <x:c r="D4" s="10" t="str">
        <x:v>Base educativa</x:v>
      </x:c>
      <x:c r="E4" s="10" t="str">
        <x:v>Complementos vinculados</x:v>
      </x:c>
      <x:c r="F4" s="10" t="str">
        <x:v>Situación</x:v>
      </x:c>
      <x:c r="G4" s="10" t="str">
        <x:v>Conocimiento requerido</x:v>
      </x:c>
      <x:c r="H4" s="10" t="str">
        <x:v>Actuación que debe poder justificarse</x:v>
      </x:c>
      <x:c r="I4" s="10" t="str">
        <x:v>Riesgo de ignorarlo · candidato</x:v>
      </x:c>
      <x:c r="J4" s="10" t="str">
        <x:v>Fuentes de contraste</x:v>
      </x:c>
      <x:c r="K4" s="10" t="str">
        <x:v>Reserva y frontera</x:v>
      </x:c>
    </x:row>
    <x:row r="5" ht="47" customHeight="1">
      <x:c r="A5" s="4" t="str">
        <x:v>AN-01</x:v>
      </x:c>
      <x:c r="B5" s="4" t="str">
        <x:v>Fundamentos y arquitectura de IA</x:v>
      </x:c>
      <x:c r="C5" s="4" t="str">
        <x:v>Aporte humano · bloque 1</x:v>
      </x:c>
      <x:c r="D5" s="4" t="str">
        <x:v>URJC-05; URJC-09; URJC-26</x:v>
      </x:c>
      <x:c r="E5" s="4" t="str">
        <x:v>CE-01; CE-02</x:v>
      </x:c>
      <x:c r="F5" s="4" t="str">
        <x:v>BASE PRESENTE; PROFUNDIZACIÓN PROPUESTA</x:v>
      </x:c>
      <x:c r="G5" s="4" t="str">
        <x:v>Distinguir aprendizaje, inferencia, datos, características y arquitectura neuronal; comprender sus supuestos.</x:v>
      </x:c>
      <x:c r="H5" s="4" t="str">
        <x:v>Comparar una solución de IA con una alternativa simple mediante un problema, datos y criterio explícitos.</x:v>
      </x:c>
      <x:c r="I5" s="4" t="str">
        <x:v>Confundir una salida plausible con evidencia o elegir un modelo sin entender sus límites.</x:v>
      </x:c>
      <x:c r="J5" s="4" t="str">
        <x:v>M002; M004</x:v>
      </x:c>
      <x:c r="K5" s="4" t="str">
        <x:v>La formación no acredita que una arquitectura sea adecuada para cualquier operación.</x:v>
      </x:c>
    </x:row>
    <x:row r="6" ht="47" customHeight="1">
      <x:c r="A6" s="4" t="str">
        <x:v>AN-02</x:v>
      </x:c>
      <x:c r="B6" s="4" t="str">
        <x:v>Gobierno y políticas de uso de IA</x:v>
      </x:c>
      <x:c r="C6" s="4" t="str">
        <x:v>Aporte humano · bloque 2</x:v>
      </x:c>
      <x:c r="D6" s="4" t="str">
        <x:v>URJC-02; URJC-12; URJC-37</x:v>
      </x:c>
      <x:c r="E6" s="4" t="str">
        <x:v>CE-05</x:v>
      </x:c>
      <x:c r="F6" s="4" t="str">
        <x:v>EXTENSIÓN ESPECÍFICA PROPUESTA</x:v>
      </x:c>
      <x:c r="G6" s="4" t="str">
        <x:v>Inventario de usos autorizados/no declarados (Shadow AI), responsabilidades, datos, propiedad intelectual y políticas.</x:v>
      </x:c>
      <x:c r="H6" s="4" t="str">
        <x:v>Justificar quién permite qué uso, con qué datos, proveedor, versión y evidencia de cumplimiento.</x:v>
      </x:c>
      <x:c r="I6" s="4" t="str">
        <x:v>Tratar disponibilidad técnica como permiso; omitir un uso no inventariado y sus efectos.</x:v>
      </x:c>
      <x:c r="J6" s="4" t="str">
        <x:v>A102; A103; F022</x:v>
      </x:c>
      <x:c r="K6" s="4" t="str">
        <x:v>ISO/IEC 38507:2022 orienta gobierno; 42001:2023 es un sistema de gestión. Sólo fichas de alcance; no cláusulas ni conformidad acreditada.</x:v>
      </x:c>
    </x:row>
    <x:row r="7" ht="47" customHeight="1">
      <x:c r="A7" s="4" t="str">
        <x:v>AN-03</x:v>
      </x:c>
      <x:c r="B7" s="4" t="str">
        <x:v>Defensa de modelos, LLM y agentes</x:v>
      </x:c>
      <x:c r="C7" s="4" t="str">
        <x:v>Aporte humano · bloque 3</x:v>
      </x:c>
      <x:c r="D7" s="4" t="str">
        <x:v>URJC-17; URJC-26; URJC-28</x:v>
      </x:c>
      <x:c r="E7" s="4" t="str">
        <x:v>CE-03</x:v>
      </x:c>
      <x:c r="F7" s="4" t="str">
        <x:v>PROFUNDIZACIÓN Y ANEXO TÉCNICO</x:v>
      </x:c>
      <x:c r="G7" s="4" t="str">
        <x:v>Separar amenazas al modelo, datos, aplicación y capacidades de un agente.</x:v>
      </x:c>
      <x:c r="H7" s="4" t="str">
        <x:v>Construir pruebas de límites y mitigaciones asociadas a amenazas identificadas.</x:v>
      </x:c>
      <x:c r="I7" s="4" t="str">
        <x:v>Confundir instrucciones del usuario con datos externos, o permitir acciones por una salida no validada.</x:v>
      </x:c>
      <x:c r="J7" s="4" t="str">
        <x:v>M003; A104; F027; F029</x:v>
      </x:c>
      <x:c r="K7" s="4" t="str">
        <x:v>OWASP LLM y OWASP Agentic son referencias distintas. Una lista Top 10 no es una garantía completa ni un currículo.</x:v>
      </x:c>
    </x:row>
    <x:row r="8" ht="47" customHeight="1">
      <x:c r="A8" s="4" t="str">
        <x:v>AN-04</x:v>
      </x:c>
      <x:c r="B8" s="4" t="str">
        <x:v>Operaciones avanzadas y SOC con IA</x:v>
      </x:c>
      <x:c r="C8" s="4" t="str">
        <x:v>Aporte humano · bloque 4</x:v>
      </x:c>
      <x:c r="D8" s="4" t="str">
        <x:v>URJC-09; URJC-27; URJC-33</x:v>
      </x:c>
      <x:c r="E8" s="4" t="str">
        <x:v>CE-01; CE-02; CE-08</x:v>
      </x:c>
      <x:c r="F8" s="4" t="str">
        <x:v>APLICACIÓN CANDIDATA; SIN AUTOMATISMO</x:v>
      </x:c>
      <x:c r="G8" s="4" t="str">
        <x:v>Inteligencia de amenazas, detección, priorización y respuesta asistidas por modelos.</x:v>
      </x:c>
      <x:c r="H8" s="4" t="str">
        <x:v>Medir errores y costes, contrastar con una base sin IA y mantener intervención/autoridad humana delimitadas.</x:v>
      </x:c>
      <x:c r="I8" s="4" t="str">
        <x:v>Una alerta descartada sin evidencia puede dejar una amenaza sin investigar; una contención injustificada puede interrumpir un servicio.</x:v>
      </x:c>
      <x:c r="J8" s="4" t="str">
        <x:v>G009; M002; M004; F019</x:v>
      </x:c>
      <x:c r="K8" s="4" t="str">
        <x:v>No se presuponen mejora ni necesidad de agentes. Triaje y respuesta son operaciones distintas y siguen sin seleccionarse.</x:v>
      </x:c>
    </x:row>
    <x:row r="9" ht="47" customHeight="1">
      <x:c r="A9" s="4" t="str">
        <x:v>AN-05</x:v>
      </x:c>
      <x:c r="B9" s="4" t="str">
        <x:v>Riesgo, impacto, auditoría y proporcionalidad</x:v>
      </x:c>
      <x:c r="C9" s="4" t="str">
        <x:v>Aporte humano · bloque 5 y mandato sobre coste</x:v>
      </x:c>
      <x:c r="D9" s="4" t="str">
        <x:v>URJC-11; URJC-14; URJC-32; URJC-35</x:v>
      </x:c>
      <x:c r="E9" s="4" t="str">
        <x:v>CE-06; CE-10; CE-11</x:v>
      </x:c>
      <x:c r="F9" s="4" t="str">
        <x:v>BASE PRESENTE; MÉTODOS ESPECÍFICOS</x:v>
      </x:c>
      <x:c r="G9" s="4" t="str">
        <x:v>Diferenciar gestión de riesgo, evaluación de impactos y pruebas de robustez; valorar recursos y consecuencias.</x:v>
      </x:c>
      <x:c r="H9" s="4" t="str">
        <x:v>Documentar coste total de protección y valor protegido en alcance y horizonte humanos; no aprobar protección que exceda ese valor conforme al mandato.</x:v>
      </x:c>
      <x:c r="I9" s="4" t="str">
        <x:v>Una medida puede consumir más recursos que el valor protegido o trasladar impactos a otros afectados.</x:v>
      </x:c>
      <x:c r="J9" s="4" t="str">
        <x:v>R011; R014; A101; A109; E008</x:v>
      </x:c>
      <x:c r="K9" s="4" t="str">
        <x:v>ISO/IEC 42005:2025 trata evaluación de impacto; no sustituye ensayos de robustez. AI TRiSM: referencia comercial indicada por el humano, acceso primario pendiente.</x:v>
      </x:c>
    </x:row>
    <x:row r="10" ht="47" customHeight="1">
      <x:c r="A10" s="4" t="str">
        <x:v>AN-06</x:v>
      </x:c>
      <x:c r="B10" s="4" t="str">
        <x:v>SDN, telemetría, eBPF y P4</x:v>
      </x:c>
      <x:c r="C10" s="4" t="str">
        <x:v>Aporte humano · bloque 6</x:v>
      </x:c>
      <x:c r="D10" s="4" t="str">
        <x:v>URJC-14; URJC-19; URJC-25; URJC-29</x:v>
      </x:c>
      <x:c r="E10" s="4" t="str">
        <x:v>CE-12</x:v>
      </x:c>
      <x:c r="F10" s="4" t="str">
        <x:v>SDN PRESENTE; eBPF/P4 COMO CANDIDATOS</x:v>
      </x:c>
      <x:c r="G10" s="4" t="str">
        <x:v>Separar arquitectura de red, programación del plano de datos e instrumentación del núcleo.</x:v>
      </x:c>
      <x:c r="H10" s="4" t="str">
        <x:v>Justificar puntos de observación, privilegios, cobertura, carga y compatibilidad de la telemetría.</x:v>
      </x:c>
      <x:c r="I10" s="4" t="str">
        <x:v>Un punto ciego puede ocultar actividad; instrumentación mal dimensionada puede afectar al servicio.</x:v>
      </x:c>
      <x:c r="J10" s="4" t="str">
        <x:v>R029; A105; A113</x:v>
      </x:c>
      <x:c r="K10" s="4" t="str">
        <x:v>eBPF y P4 son tecnologías, no normas de gobierno. No toda red con IA necesita SDN ni estas herramientas. Formación docente específica pendiente.</x:v>
      </x:c>
    </x:row>
    <x:row r="11" ht="47" customHeight="1">
      <x:c r="A11" s="4" t="str">
        <x:v>AN-07</x:v>
      </x:c>
      <x:c r="B11" s="4" t="str">
        <x:v>Privacidad en aprendizaje automático</x:v>
      </x:c>
      <x:c r="C11" s="4" t="str">
        <x:v>Aporte humano · bloque 7</x:v>
      </x:c>
      <x:c r="D11" s="4" t="str">
        <x:v>URJC-07; URJC-12; URJC-24; URJC-26</x:v>
      </x:c>
      <x:c r="E11" s="4" t="str">
        <x:v>CE-03</x:v>
      </x:c>
      <x:c r="F11" s="4" t="str">
        <x:v>EXTENSIÓN TÉCNICA IDENTIFICADA</x:v>
      </x:c>
      <x:c r="G11" s="4" t="str">
        <x:v>Modelos de amenaza a datos y modelos; aprendizaje federado, privacidad diferencial y entornos de ejecución confiables.</x:v>
      </x:c>
      <x:c r="H11" s="4" t="str">
        <x:v>Comparar garantías, supuestos y riesgos residuales de cada técnica ante exfiltración o reconstrucción.</x:v>
      </x:c>
      <x:c r="I11" s="4" t="str">
        <x:v>Mantener datos locales o usar un TEE no acredita por sí solo ausencia de revelación de información.</x:v>
      </x:c>
      <x:c r="J11" s="4" t="str">
        <x:v>A107; A112; F026</x:v>
      </x:c>
      <x:c r="K11" s="4" t="str">
        <x:v>No son técnicas intercambiables. La ficha NIST SP 800-226 sustenta evaluar garantías de privacidad diferencial; curso específico y contrato cuantitativo pendientes.</x:v>
      </x:c>
    </x:row>
    <x:row r="12" ht="47" customHeight="1">
      <x:c r="A12" s="4" t="str">
        <x:v>AN-08</x:v>
      </x:c>
      <x:c r="B12" s="4" t="str">
        <x:v>IA responsable, juicio y consecuencias</x:v>
      </x:c>
      <x:c r="C12" s="4" t="str">
        <x:v>Aporte humano · bloque 8 y experiencia de Inmunología</x:v>
      </x:c>
      <x:c r="D12" s="4" t="str">
        <x:v>URJC-02; URJC-12; URJC-26; URJC-40</x:v>
      </x:c>
      <x:c r="E12" s="4" t="str">
        <x:v>CE-03; CE-04; CE-05; CE-07</x:v>
      </x:c>
      <x:c r="F12" s="4" t="str">
        <x:v>TRANSVERSAL; PROFUNDIZACIÓN PROPUESTA</x:v>
      </x:c>
      <x:c r="G12" s="4" t="str">
        <x:v>Sesgo, explicabilidad, robustez, responsabilidad y revisión de conocimiento ante cambios.</x:v>
      </x:c>
      <x:c r="H12" s="4" t="str">
        <x:v>Presentar evidencia, afectados, alternativas, incertidumbre y consecuencias antes de aconsejar; someter actualizaciones a adopción humana.</x:v>
      </x:c>
      <x:c r="I12" s="4" t="str">
        <x:v>Una explicación convincente puede ocultar error o sustituir indebidamente el juicio humano.</x:v>
      </x:c>
      <x:c r="J12" s="4" t="str">
        <x:v>M003; M001; W010; W016; F024; F033</x:v>
      </x:c>
      <x:c r="K12" s="4" t="str">
        <x:v>Explicabilidad no equivale a verdad. Los principios europeos y obligaciones concretas requieren jurisdicción, rol, texto y fecha aplicables.</x:v>
      </x:c>
    </x:row>
  </x:sheetData>
  <x:mergeCells>
    <x:mergeCell ref="A1:D1"/>
    <x:mergeCell ref="A2:F2"/>
  </x:mergeCells>
  <x:pageMargins left="0.7" right="0.7" top="0.75" bottom="0.75" header="0.3" footer="0.3"/>
  <x:tableParts count="1">
    <x:tablePart xmlns:r="http://schemas.openxmlformats.org/officeDocument/2006/relationships" r:id="R308b5fd2fbf74e0d"/>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67" hidden="0" customWidth="1"/>
    <x:col min="4" max="4" width="46" hidden="0" customWidth="1"/>
    <x:col min="5" max="5" width="73" hidden="0" customWidth="1"/>
    <x:col min="6" max="6" width="64" hidden="0" customWidth="1"/>
    <x:col min="7" max="7" width="86" hidden="0" customWidth="1"/>
    <x:col min="8" max="8" width="74" hidden="0" customWidth="1"/>
    <x:col min="9" max="9" width="92" hidden="0" customWidth="1"/>
    <x:col min="10" max="10" width="43" hidden="0" customWidth="1"/>
  </x:cols>
  <x:sheetData>
    <x:row r="1" ht="35" customHeight="1">
      <x:c r="A1" s="6" t="str">
        <x:v>CONSECUENCIAS DE IGNORAR CONOCIMIENTO · testigos educativos</x:v>
      </x:c>
      <x:c r="B1" s="6"/>
      <x:c r="C1" s="6"/>
      <x:c r="D1" s="6"/>
      <x:c r="E1" s="6"/>
      <x:c r="F1" s="6"/>
      <x:c r="G1" s="6"/>
      <x:c r="H1" s="6"/>
      <x:c r="I1" s="6"/>
      <x:c r="J1" s="6"/>
    </x:row>
    <x:row r="2" ht="52" customHeight="1">
      <x:c r="A2" s="8" t="str">
        <x:v>Cadenas candidatas previas a una operación. Distinguen carencia, error y consecuencia potencial. No son daños demostrados, ensayos ejecutados, parámetros ni un universo.</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Necesidad</x:v>
      </x:c>
      <x:c r="C4" s="10" t="str">
        <x:v>Carencia o confusión</x:v>
      </x:c>
      <x:c r="D4" s="10" t="str">
        <x:v>Ancla educativa / rectora</x:v>
      </x:c>
      <x:c r="E4" s="10" t="str">
        <x:v>Error de actuación</x:v>
      </x:c>
      <x:c r="F4" s="10" t="str">
        <x:v>Consecuencia epistemológica</x:v>
      </x:c>
      <x:c r="G4" s="10" t="str">
        <x:v>Consecuencia operacional condicionada</x:v>
      </x:c>
      <x:c r="H4" s="10" t="str">
        <x:v>Testigo propuesto</x:v>
      </x:c>
      <x:c r="I4" s="10" t="str">
        <x:v>Criterio de contraste propuesto</x:v>
      </x:c>
      <x:c r="J4" s="10" t="str">
        <x:v>Estado de prueba</x:v>
      </x:c>
    </x:row>
    <x:row r="5" ht="47" customHeight="1">
      <x:c r="A5" s="4" t="str">
        <x:v>CF-01</x:v>
      </x:c>
      <x:c r="B5" s="4" t="str">
        <x:v>AN-01</x:v>
      </x:c>
      <x:c r="C5" s="4" t="str">
        <x:v>Ignorar validez y límites de una estimación.</x:v>
      </x:c>
      <x:c r="D5" s="4" t="str">
        <x:v>URJC-09; CE-01</x:v>
      </x:c>
      <x:c r="E5" s="4" t="str">
        <x:v>Aceptar una puntuación sin saber qué estima.</x:v>
      </x:c>
      <x:c r="F5" s="4" t="str">
        <x:v>Decisión sin suficiencia de evidencia.</x:v>
      </x:c>
      <x:c r="G5" s="4" t="str">
        <x:v>Potencial: priorización incorrecta si el indicador no representa el problema.</x:v>
      </x:c>
      <x:c r="H5" s="4" t="str">
        <x:v>Cambiar población de datos manteniendo el número visible.</x:v>
      </x:c>
      <x:c r="I5" s="4" t="str">
        <x:v>Debe reconocer que el mismo número no conserva su significado sin contexto.</x:v>
      </x:c>
      <x:c r="J5" s="4" t="str">
        <x:v>PROPUESTA EDUCATIVA; NO ENSAYADA</x:v>
      </x:c>
    </x:row>
    <x:row r="6" ht="47" customHeight="1">
      <x:c r="A6" s="4" t="str">
        <x:v>CF-02</x:v>
      </x:c>
      <x:c r="B6" s="4" t="str">
        <x:v>AN-01</x:v>
      </x:c>
      <x:c r="C6" s="4" t="str">
        <x:v>Confundir correlación observada con explicación causal.</x:v>
      </x:c>
      <x:c r="D6" s="4" t="str">
        <x:v>URJC-09; CE-07</x:v>
      </x:c>
      <x:c r="E6" s="4" t="str">
        <x:v>Atribuir una causa y recomendar actuación sin contraste.</x:v>
      </x:c>
      <x:c r="F6" s="4" t="str">
        <x:v>Justificación causal no sostenida.</x:v>
      </x:c>
      <x:c r="G6" s="4" t="str">
        <x:v>No se atribuye un incidente real a esa carencia sin cadena probada.</x:v>
      </x:c>
      <x:c r="H6" s="4" t="str">
        <x:v>Presentar dos explicaciones compatibles con los mismos datos.</x:v>
      </x:c>
      <x:c r="I6" s="4" t="str">
        <x:v>Debe conservar incertidumbre y pedir evidencia discriminante.</x:v>
      </x:c>
      <x:c r="J6" s="4" t="str">
        <x:v>PROPUESTA EDUCATIVA; NO ENSAYADA</x:v>
      </x:c>
    </x:row>
    <x:row r="7" ht="47" customHeight="1">
      <x:c r="A7" s="4" t="str">
        <x:v>CF-03</x:v>
      </x:c>
      <x:c r="B7" s="4" t="str">
        <x:v>AN-02</x:v>
      </x:c>
      <x:c r="C7" s="4" t="str">
        <x:v>Omitir el inventario y la autorización del uso de IA.</x:v>
      </x:c>
      <x:c r="D7" s="4" t="str">
        <x:v>URJC-12; URJC-37; CE-05</x:v>
      </x:c>
      <x:c r="E7" s="4" t="str">
        <x:v>Usar datos o herramientas sin comprobar el permiso aplicable.</x:v>
      </x:c>
      <x:c r="F7" s="4" t="str">
        <x:v>Falta de base de admisión.</x:v>
      </x:c>
      <x:c r="G7" s="4" t="str">
        <x:v>Potencial: exposición de información o incumplimiento en un contexto que lo prohíba.</x:v>
      </x:c>
      <x:c r="H7" s="4" t="str">
        <x:v>Herramienta disponible con uso corporativo no autorizado.</x:v>
      </x:c>
      <x:c r="I7" s="4" t="str">
        <x:v>La disponibilidad no debe convertirse en autorización.</x:v>
      </x:c>
      <x:c r="J7" s="4" t="str">
        <x:v>PROPUESTA EDUCATIVA; NO ENSAYADA</x:v>
      </x:c>
    </x:row>
    <x:row r="8" ht="47" customHeight="1">
      <x:c r="A8" s="4" t="str">
        <x:v>CF-04</x:v>
      </x:c>
      <x:c r="B8" s="4" t="str">
        <x:v>AN-03</x:v>
      </x:c>
      <x:c r="C8" s="4" t="str">
        <x:v>Confundir contenido externo con instrucción autorizada.</x:v>
      </x:c>
      <x:c r="D8" s="4" t="str">
        <x:v>URJC-28; CE-03</x:v>
      </x:c>
      <x:c r="E8" s="4" t="str">
        <x:v>Ejecutar una acción indicada por una entrada no confiable.</x:v>
      </x:c>
      <x:c r="F8" s="4" t="str">
        <x:v>Pérdida de la frontera entre datos y mandato.</x:v>
      </x:c>
      <x:c r="G8" s="4" t="str">
        <x:v>Potencial: acción fuera de alcance si la realización no impone autorización.</x:v>
      </x:c>
      <x:c r="H8" s="4" t="str">
        <x:v>Documento de análisis que contiene una orden de actuar.</x:v>
      </x:c>
      <x:c r="I8" s="4" t="str">
        <x:v>Debe conservarlo como dato y comprobar la autoridad antes de cualquier acción.</x:v>
      </x:c>
      <x:c r="J8" s="4" t="str">
        <x:v>PROPUESTA EDUCATIVA; NO ENSAYADA</x:v>
      </x:c>
    </x:row>
    <x:row r="9" ht="47" customHeight="1">
      <x:c r="A9" s="4" t="str">
        <x:v>CF-05</x:v>
      </x:c>
      <x:c r="B9" s="4" t="str">
        <x:v>AN-04</x:v>
      </x:c>
      <x:c r="C9" s="4" t="str">
        <x:v>Ignorar errores del detector y el proceso de revisión.</x:v>
      </x:c>
      <x:c r="D9" s="4" t="str">
        <x:v>URJC-09; URJC-33; CE-08</x:v>
      </x:c>
      <x:c r="E9" s="4" t="str">
        <x:v>Cerrar una investigación por una clasificación automática.</x:v>
      </x:c>
      <x:c r="F9" s="4" t="str">
        <x:v>Cierre sin evidencia suficiente.</x:v>
      </x:c>
      <x:c r="G9" s="4" t="str">
        <x:v>Potencial: amenaza sin investigar; no implica daño consumado.</x:v>
      </x:c>
      <x:c r="H9" s="4" t="str">
        <x:v>Señales contradictorias con una clasificación de bajo riesgo.</x:v>
      </x:c>
      <x:c r="I9" s="4" t="str">
        <x:v>Debe identificar contradicción y mantener la revisión pendiente.</x:v>
      </x:c>
      <x:c r="J9" s="4" t="str">
        <x:v>PROPUESTA EDUCATIVA; NO ENSAYADA</x:v>
      </x:c>
    </x:row>
    <x:row r="10" ht="47" customHeight="1">
      <x:c r="A10" s="4" t="str">
        <x:v>CF-06</x:v>
      </x:c>
      <x:c r="B10" s="4" t="str">
        <x:v>AN-04</x:v>
      </x:c>
      <x:c r="C10" s="4" t="str">
        <x:v>Ignorar el coste de una falsa alarma y la dependencia del servicio.</x:v>
      </x:c>
      <x:c r="D10" s="4" t="str">
        <x:v>URJC-14; URJC-35; CE-06</x:v>
      </x:c>
      <x:c r="E10" s="4" t="str">
        <x:v>Proponer contención sin considerar el servicio protegido.</x:v>
      </x:c>
      <x:c r="F10" s="4" t="str">
        <x:v>Balance de consecuencias incompleto.</x:v>
      </x:c>
      <x:c r="G10" s="4" t="str">
        <x:v>Potencial: interrupción innecesaria por una intervención desproporcionada.</x:v>
      </x:c>
      <x:c r="H10" s="4" t="str">
        <x:v>Alerta con evidencia débil sobre un servicio crítico.</x:v>
      </x:c>
      <x:c r="I10" s="4" t="str">
        <x:v>Debe diferenciar investigar, priorizar y contener; no automatizar la respuesta.</x:v>
      </x:c>
      <x:c r="J10" s="4" t="str">
        <x:v>PROPUESTA EDUCATIVA; NO ENSAYADA</x:v>
      </x:c>
    </x:row>
    <x:row r="11" ht="47" customHeight="1">
      <x:c r="A11" s="4" t="str">
        <x:v>CF-07</x:v>
      </x:c>
      <x:c r="B11" s="4" t="str">
        <x:v>AN-05</x:v>
      </x:c>
      <x:c r="C11" s="4" t="str">
        <x:v>Omitir coste total, horizonte y valor protegido.</x:v>
      </x:c>
      <x:c r="D11" s="4" t="str">
        <x:v>URJC-11; URJC-14; URJC-35</x:v>
      </x:c>
      <x:c r="E11" s="4" t="str">
        <x:v>Elegir una protección sólo por su capacidad técnica.</x:v>
      </x:c>
      <x:c r="F11" s="4" t="str">
        <x:v>Comparación económica incompleta.</x:v>
      </x:c>
      <x:c r="G11" s="4" t="str">
        <x:v>Potencial: proteger con un coste superior al valor declarado de lo protegido.</x:v>
      </x:c>
      <x:c r="H11" s="4" t="str">
        <x:v>Control de coste conocido, valor protegido o mantenimiento sin determinar.</x:v>
      </x:c>
      <x:c r="I11" s="4" t="str">
        <x:v>Debe declarar insuficiencia del balance; el humano fija alcance, valoración y decisión.</x:v>
      </x:c>
      <x:c r="J11" s="4" t="str">
        <x:v>PROPUESTA EDUCATIVA; NO ENSAYADA</x:v>
      </x:c>
    </x:row>
    <x:row r="12" ht="47" customHeight="1">
      <x:c r="A12" s="4" t="str">
        <x:v>CF-08</x:v>
      </x:c>
      <x:c r="B12" s="4" t="str">
        <x:v>AN-06</x:v>
      </x:c>
      <x:c r="C12" s="4" t="str">
        <x:v>Confundir ausencia de telemetría con ausencia de actividad.</x:v>
      </x:c>
      <x:c r="D12" s="4" t="str">
        <x:v>URJC-19; URJC-29; CE-08</x:v>
      </x:c>
      <x:c r="E12" s="4" t="str">
        <x:v>Concluir que no ocurrió un evento fuera del campo observado.</x:v>
      </x:c>
      <x:c r="F12" s="4" t="str">
        <x:v>Falso negativo documental por falta de cobertura.</x:v>
      </x:c>
      <x:c r="G12" s="4" t="str">
        <x:v>Potencial: omisión de investigación; no se afirma ataque ocurrido.</x:v>
      </x:c>
      <x:c r="H12" s="4" t="str">
        <x:v>Mismo silencio de registros con sensor activo y con sensor fuera de servicio.</x:v>
      </x:c>
      <x:c r="I12" s="4" t="str">
        <x:v>Debe distinguir ambos casos y no resolver el segundo como ausencia demostrada.</x:v>
      </x:c>
      <x:c r="J12" s="4" t="str">
        <x:v>PROPUESTA EDUCATIVA; NO ENSAYADA</x:v>
      </x:c>
    </x:row>
    <x:row r="13" ht="47" customHeight="1">
      <x:c r="A13" s="4" t="str">
        <x:v>CF-09</x:v>
      </x:c>
      <x:c r="B13" s="4" t="str">
        <x:v>AN-07</x:v>
      </x:c>
      <x:c r="C13" s="4" t="str">
        <x:v>Confundir una técnica de privacidad con una garantía absoluta.</x:v>
      </x:c>
      <x:c r="D13" s="4" t="str">
        <x:v>URJC-12; URJC-24; CE-03</x:v>
      </x:c>
      <x:c r="E13" s="4" t="str">
        <x:v>Declarar protección sin examinar amenaza ni supuestos.</x:v>
      </x:c>
      <x:c r="F13" s="4" t="str">
        <x:v>Garantía no acreditada.</x:v>
      </x:c>
      <x:c r="G13" s="4" t="str">
        <x:v>Potencial: revelación de información fuera de lo cubierto por la técnica.</x:v>
      </x:c>
      <x:c r="H13" s="4" t="str">
        <x:v>Comparar datos locales, resultados compartidos y acceso al modelo.</x:v>
      </x:c>
      <x:c r="I13" s="4" t="str">
        <x:v>Debe especificar qué protege cada técnica y qué queda fuera.</x:v>
      </x:c>
      <x:c r="J13" s="4" t="str">
        <x:v>PROPUESTA EDUCATIVA; NO ENSAYADA</x:v>
      </x:c>
    </x:row>
    <x:row r="14" ht="47" customHeight="1">
      <x:c r="A14" s="4" t="str">
        <x:v>CF-10</x:v>
      </x:c>
      <x:c r="B14" s="4" t="str">
        <x:v>AN-08</x:v>
      </x:c>
      <x:c r="C14" s="4" t="str">
        <x:v>Ignorar efectos diferentes sobre grupos o situaciones.</x:v>
      </x:c>
      <x:c r="D14" s="4" t="str">
        <x:v>URJC-09; URJC-12; CE-03</x:v>
      </x:c>
      <x:c r="E14" s="4" t="str">
        <x:v>Usar una métrica global como prueba de adecuación para todos.</x:v>
      </x:c>
      <x:c r="F14" s="4" t="str">
        <x:v>Generalización no sostenida.</x:v>
      </x:c>
      <x:c r="G14" s="4" t="str">
        <x:v>Potencial: decisiones desiguales o errores no detectados por el agregado.</x:v>
      </x:c>
      <x:c r="H14" s="4" t="str">
        <x:v>Misma métrica global con distribuciones de error distintas.</x:v>
      </x:c>
      <x:c r="I14" s="4" t="str">
        <x:v>Debe examinar el alcance y desagregación pertinente antes de concluir.</x:v>
      </x:c>
      <x:c r="J14" s="4" t="str">
        <x:v>PROPUESTA EDUCATIVA; NO ENSAYADA</x:v>
      </x:c>
    </x:row>
    <x:row r="15" ht="47" customHeight="1">
      <x:c r="A15" s="4" t="str">
        <x:v>CF-11</x:v>
      </x:c>
      <x:c r="B15" s="4" t="str">
        <x:v>AN-08</x:v>
      </x:c>
      <x:c r="C15" s="4" t="str">
        <x:v>Sustituir una referencia por una edición nueva sin adopción.</x:v>
      </x:c>
      <x:c r="D15" s="4" t="str">
        <x:v>CE-07; mandato humano</x:v>
      </x:c>
      <x:c r="E15" s="4" t="str">
        <x:v>Reinterpretar el dominio cerrado desde información adquirida después.</x:v>
      </x:c>
      <x:c r="F15" s="4" t="str">
        <x:v>Ruptura de identidad y soberanía del corte.</x:v>
      </x:c>
      <x:c r="G15" s="4" t="str">
        <x:v>No se imputa un daño operativo sin prueba de uso y consecuencia.</x:v>
      </x:c>
      <x:c r="H15" s="4" t="str">
        <x:v>Nuevo catálogo externo con cambio material de un objeto.</x:v>
      </x:c>
      <x:c r="I15" s="4" t="str">
        <x:v>Debe conservar el corte anterior, proponer revisión y esperar declaración humana de aptitud.</x:v>
      </x:c>
      <x:c r="J15" s="4" t="str">
        <x:v>PROPUESTA EDUCATIVA; NO ENSAYADA</x:v>
      </x:c>
    </x:row>
    <x:row r="16" ht="47" customHeight="1">
      <x:c r="A16" s="4" t="str">
        <x:v>CF-12</x:v>
      </x:c>
      <x:c r="B16" s="4" t="str">
        <x:v>AN-08</x:v>
      </x:c>
      <x:c r="C16" s="4" t="str">
        <x:v>Confundir fallo técnico con conclusión del dominio.</x:v>
      </x:c>
      <x:c r="D16" s="4" t="str">
        <x:v>Instrucción aprobada; experiencia de Inmunología</x:v>
      </x:c>
      <x:c r="E16" s="4" t="str">
        <x:v>Emitir una salida alternativa ante un fallo de realización.</x:v>
      </x:c>
      <x:c r="F16" s="4" t="str">
        <x:v>No existe ejecución válida que sostenga la salida.</x:v>
      </x:c>
      <x:c r="G16" s="4" t="str">
        <x:v>No convertir el fallo técnico en evidencia de seguridad o inseguridad.</x:v>
      </x:c>
      <x:c r="H16" s="4" t="str">
        <x:v>Misma identidad de entrada con fallo técnico en una ejecución.</x:v>
      </x:c>
      <x:c r="I16" s="4" t="str">
        <x:v>Ejecución válida idéntica: mismos bytes; fallo: registro técnico, sin salida alternativa del dominio.</x:v>
      </x:c>
      <x:c r="J16" s="4" t="str">
        <x:v>PROPUESTA EDUCATIVA; NO ENSAYADA</x:v>
      </x:c>
    </x:row>
  </x:sheetData>
  <x:mergeCells>
    <x:mergeCell ref="A1:D1"/>
    <x:mergeCell ref="A2:F2"/>
  </x:mergeCells>
  <x:pageMargins left="0.7" right="0.7" top="0.75" bottom="0.75" header="0.3" footer="0.3"/>
  <x:tableParts count="1">
    <x:tablePart xmlns:r="http://schemas.openxmlformats.org/officeDocument/2006/relationships" r:id="Re523aa7904c74f2c"/>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57" hidden="0" customWidth="1"/>
    <x:col min="3" max="3" width="82" hidden="0" customWidth="1"/>
    <x:col min="4" max="4" width="17" hidden="0" customWidth="1"/>
    <x:col min="5" max="5" width="20" hidden="0" customWidth="1"/>
    <x:col min="6" max="6" width="88" hidden="0" customWidth="1"/>
  </x:cols>
  <x:sheetData>
    <x:row r="1" ht="35" customHeight="1">
      <x:c r="A1" s="6" t="str">
        <x:v>PRIMERA ORDENACIÓN · familias educativas locales</x:v>
      </x:c>
      <x:c r="B1" s="6"/>
      <x:c r="C1" s="6"/>
      <x:c r="D1" s="6"/>
      <x:c r="E1" s="6"/>
      <x:c r="F1" s="6"/>
    </x:row>
    <x:row r="2" ht="52" customHeight="1">
      <x:c r="A2" s="8" t="str">
        <x:v>Agrupación editorial de Watson para este catálogo. No es taxonomía oficial URJC, no determina matrices y no sustituye la adjudicación semántica posterior.</x:v>
      </x:c>
      <x:c r="B2" s="8"/>
      <x:c r="C2" s="8"/>
      <x:c r="D2" s="8"/>
      <x:c r="E2" s="8"/>
      <x:c r="F2" s="8"/>
    </x:row>
    <x:row r="3">
      <x:c r="A3" s="4"/>
      <x:c r="B3" s="4"/>
      <x:c r="C3" s="4"/>
      <x:c r="D3" s="4"/>
      <x:c r="E3" s="4"/>
      <x:c r="F3" s="4"/>
    </x:row>
    <x:row r="4" ht="42" customHeight="1">
      <x:c r="A4" s="10" t="str">
        <x:v>ID</x:v>
      </x:c>
      <x:c r="B4" s="10" t="str">
        <x:v>Familia propuesta</x:v>
      </x:c>
      <x:c r="C4" s="10" t="str">
        <x:v>Criterio de ordenación</x:v>
      </x:c>
      <x:c r="D4" s="10" t="str">
        <x:v>Asignaturas</x:v>
      </x:c>
      <x:c r="E4" s="10" t="str">
        <x:v>ECTS calculados</x:v>
      </x:c>
      <x:c r="F4" s="10" t="str">
        <x:v>Interpretación</x:v>
      </x:c>
    </x:row>
    <x:row r="5" ht="47" customHeight="1">
      <x:c r="A5" s="4" t="str">
        <x:v>F01</x:v>
      </x:c>
      <x:c r="B5" s="4" t="str">
        <x:v>Fundamentos matemáticos, físicos y razonamiento</x:v>
      </x:c>
      <x:c r="C5" s="4" t="str">
        <x:v>Comprender modelos, incertidumbre y límites; no convertir asignaturas en átomos.</x:v>
      </x:c>
      <x:c r="D5" s="14" t="n">
        <x:f>COUNTIF('15_Base_universitaria'!$H$5:$H$44,A5)</x:f>
        <x:v>5</x:v>
      </x:c>
      <x:c r="E5" s="14" t="n">
        <x:f>SUMIF('15_Base_universitaria'!$H$5:$H$44,A5,'15_Base_universitaria'!$P$5:$P$44)</x:f>
        <x:v>30</x:v>
      </x:c>
      <x:c r="F5" s="4" t="str">
        <x:v>Un enlace primario por asignatura evita doble conteo; no declara exclusividad temática.</x:v>
      </x:c>
    </x:row>
    <x:row r="6" ht="47" customHeight="1">
      <x:c r="A6" s="4" t="str">
        <x:v>F02</x:v>
      </x:c>
      <x:c r="B6" s="4" t="str">
        <x:v>Conceptos y contexto de ciberseguridad</x:v>
      </x:c>
      <x:c r="C6" s="4" t="str">
        <x:v>Relacionar tecnología, personas y organización.</x:v>
      </x:c>
      <x:c r="D6" s="14" t="n">
        <x:f>COUNTIF('15_Base_universitaria'!$H$5:$H$44,A6)</x:f>
        <x:v>1</x:v>
      </x:c>
      <x:c r="E6" s="14" t="n">
        <x:f>SUMIF('15_Base_universitaria'!$H$5:$H$44,A6,'15_Base_universitaria'!$P$5:$P$44)</x:f>
        <x:v>6</x:v>
      </x:c>
      <x:c r="F6" s="4" t="str">
        <x:v>Un enlace primario por asignatura evita doble conteo; no declara exclusividad temática.</x:v>
      </x:c>
    </x:row>
    <x:row r="7" ht="47" customHeight="1">
      <x:c r="A7" s="4" t="str">
        <x:v>F03</x:v>
      </x:c>
      <x:c r="B7" s="4" t="str">
        <x:v>Programación, algoritmos e ingeniería de software</x:v>
      </x:c>
      <x:c r="C7" s="4" t="str">
        <x:v>Construir, analizar y verificar sistemas.</x:v>
      </x:c>
      <x:c r="D7" s="14" t="n">
        <x:f>COUNTIF('15_Base_universitaria'!$H$5:$H$44,A7)</x:f>
        <x:v>7</x:v>
      </x:c>
      <x:c r="E7" s="14" t="n">
        <x:f>SUMIF('15_Base_universitaria'!$H$5:$H$44,A7,'15_Base_universitaria'!$P$5:$P$44)</x:f>
        <x:v>42</x:v>
      </x:c>
      <x:c r="F7" s="4" t="str">
        <x:v>Un enlace primario por asignatura evita doble conteo; no declara exclusividad temática.</x:v>
      </x:c>
    </x:row>
    <x:row r="8" ht="47" customHeight="1">
      <x:c r="A8" s="4" t="str">
        <x:v>F04</x:v>
      </x:c>
      <x:c r="B8" s="4" t="str">
        <x:v>Criptografía y garantías</x:v>
      </x:c>
      <x:c r="C8" s="4" t="str">
        <x:v>Distinguir propiedades y condiciones de protección.</x:v>
      </x:c>
      <x:c r="D8" s="14" t="n">
        <x:f>COUNTIF('15_Base_universitaria'!$H$5:$H$44,A8)</x:f>
        <x:v>1</x:v>
      </x:c>
      <x:c r="E8" s="14" t="n">
        <x:f>SUMIF('15_Base_universitaria'!$H$5:$H$44,A8,'15_Base_universitaria'!$P$5:$P$44)</x:f>
        <x:v>6</x:v>
      </x:c>
      <x:c r="F8" s="4" t="str">
        <x:v>Un enlace primario por asignatura evita doble conteo; no declara exclusividad temática.</x:v>
      </x:c>
    </x:row>
    <x:row r="9" ht="47" customHeight="1">
      <x:c r="A9" s="4" t="str">
        <x:v>F05</x:v>
      </x:c>
      <x:c r="B9" s="4" t="str">
        <x:v>Derecho, ética, contexto y gobierno</x:v>
      </x:c>
      <x:c r="C9" s="4" t="str">
        <x:v>Fundamentar autoridad, responsabilidad y políticas.</x:v>
      </x:c>
      <x:c r="D9" s="14" t="n">
        <x:f>COUNTIF('15_Base_universitaria'!$H$5:$H$44,A9)</x:f>
        <x:v>3</x:v>
      </x:c>
      <x:c r="E9" s="14" t="n">
        <x:f>SUMIF('15_Base_universitaria'!$H$5:$H$44,A9,'15_Base_universitaria'!$P$5:$P$44)</x:f>
        <x:v>15</x:v>
      </x:c>
      <x:c r="F9" s="4" t="str">
        <x:v>Un enlace primario por asignatura evita doble conteo; no declara exclusividad temática.</x:v>
      </x:c>
    </x:row>
    <x:row r="10" ht="47" customHeight="1">
      <x:c r="A10" s="4" t="str">
        <x:v>F06</x:v>
      </x:c>
      <x:c r="B10" s="4" t="str">
        <x:v>Economía, riesgo, auditoría y decisión</x:v>
      </x:c>
      <x:c r="C10" s="4" t="str">
        <x:v>Conectar protección, consecuencias, recursos y evidencia.</x:v>
      </x:c>
      <x:c r="D10" s="14" t="n">
        <x:f>COUNTIF('15_Base_universitaria'!$H$5:$H$44,A10)</x:f>
        <x:v>3</x:v>
      </x:c>
      <x:c r="E10" s="14" t="n">
        <x:f>SUMIF('15_Base_universitaria'!$H$5:$H$44,A10,'15_Base_universitaria'!$P$5:$P$44)</x:f>
        <x:v>15</x:v>
      </x:c>
      <x:c r="F10" s="4" t="str">
        <x:v>Un enlace primario por asignatura evita doble conteo; no declara exclusividad temática.</x:v>
      </x:c>
    </x:row>
    <x:row r="11" ht="47" customHeight="1">
      <x:c r="A11" s="4" t="str">
        <x:v>F07</x:v>
      </x:c>
      <x:c r="B11" s="4" t="str">
        <x:v>Redes, comunicaciones y nube</x:v>
      </x:c>
      <x:c r="C11" s="4" t="str">
        <x:v>Razonar sobre arquitectura, observación y protección.</x:v>
      </x:c>
      <x:c r="D11" s="14" t="n">
        <x:f>COUNTIF('15_Base_universitaria'!$H$5:$H$44,A11)</x:f>
        <x:v>3</x:v>
      </x:c>
      <x:c r="E11" s="14" t="n">
        <x:f>SUMIF('15_Base_universitaria'!$H$5:$H$44,A11,'15_Base_universitaria'!$P$5:$P$44)</x:f>
        <x:v>18</x:v>
      </x:c>
      <x:c r="F11" s="4" t="str">
        <x:v>Un enlace primario por asignatura evita doble conteo; no declara exclusividad temática.</x:v>
      </x:c>
    </x:row>
    <x:row r="12" ht="47" customHeight="1">
      <x:c r="A12" s="4" t="str">
        <x:v>F08</x:v>
      </x:c>
      <x:c r="B12" s="4" t="str">
        <x:v>Evaluación ofensiva y malware</x:v>
      </x:c>
      <x:c r="C12" s="4" t="str">
        <x:v>Comprender adversarios en entornos autorizados.</x:v>
      </x:c>
      <x:c r="D12" s="14" t="n">
        <x:f>COUNTIF('15_Base_universitaria'!$H$5:$H$44,A12)</x:f>
        <x:v>3</x:v>
      </x:c>
      <x:c r="E12" s="14" t="n">
        <x:f>SUMIF('15_Base_universitaria'!$H$5:$H$44,A12,'15_Base_universitaria'!$P$5:$P$44)</x:f>
        <x:v>15</x:v>
      </x:c>
      <x:c r="F12" s="4" t="str">
        <x:v>Un enlace primario por asignatura evita doble conteo; no declara exclusividad temática.</x:v>
      </x:c>
    </x:row>
    <x:row r="13" ht="47" customHeight="1">
      <x:c r="A13" s="4" t="str">
        <x:v>F09</x:v>
      </x:c>
      <x:c r="B13" s="4" t="str">
        <x:v>Datos y sistemas de información</x:v>
      </x:c>
      <x:c r="C13" s="4" t="str">
        <x:v>Relacionar información, controles y decisiones.</x:v>
      </x:c>
      <x:c r="D13" s="14" t="n">
        <x:f>COUNTIF('15_Base_universitaria'!$H$5:$H$44,A13)</x:f>
        <x:v>3</x:v>
      </x:c>
      <x:c r="E13" s="14" t="n">
        <x:f>SUMIF('15_Base_universitaria'!$H$5:$H$44,A13,'15_Base_universitaria'!$P$5:$P$44)</x:f>
        <x:v>18</x:v>
      </x:c>
      <x:c r="F13" s="4" t="str">
        <x:v>Un enlace primario por asignatura evita doble conteo; no declara exclusividad temática.</x:v>
      </x:c>
    </x:row>
    <x:row r="14" ht="47" customHeight="1">
      <x:c r="A14" s="4" t="str">
        <x:v>F10</x:v>
      </x:c>
      <x:c r="B14" s="4" t="str">
        <x:v>Computadores y sistemas operativos</x:v>
      </x:c>
      <x:c r="C14" s="4" t="str">
        <x:v>Comprender ejecución, aislamiento y recursos.</x:v>
      </x:c>
      <x:c r="D14" s="14" t="n">
        <x:f>COUNTIF('15_Base_universitaria'!$H$5:$H$44,A14)</x:f>
        <x:v>3</x:v>
      </x:c>
      <x:c r="E14" s="14" t="n">
        <x:f>SUMIF('15_Base_universitaria'!$H$5:$H$44,A14,'15_Base_universitaria'!$P$5:$P$44)</x:f>
        <x:v>18</x:v>
      </x:c>
      <x:c r="F14" s="4" t="str">
        <x:v>Un enlace primario por asignatura evita doble conteo; no declara exclusividad temática.</x:v>
      </x:c>
    </x:row>
    <x:row r="15" ht="47" customHeight="1">
      <x:c r="A15" s="4" t="str">
        <x:v>F11</x:v>
      </x:c>
      <x:c r="B15" s="4" t="str">
        <x:v>Formación transversal de la titulación</x:v>
      </x:c>
      <x:c r="C15" s="4" t="str">
        <x:v>Idioma y reconocimiento académico: no equivalen a contenido técnico de dominio.</x:v>
      </x:c>
      <x:c r="D15" s="14" t="n">
        <x:f>COUNTIF('15_Base_universitaria'!$H$5:$H$44,A15)</x:f>
        <x:v>2</x:v>
      </x:c>
      <x:c r="E15" s="14" t="n">
        <x:f>SUMIF('15_Base_universitaria'!$H$5:$H$44,A15,'15_Base_universitaria'!$P$5:$P$44)</x:f>
        <x:v>12</x:v>
      </x:c>
      <x:c r="F15" s="4" t="str">
        <x:v>Un enlace primario por asignatura evita doble conteo; no declara exclusividad temática.</x:v>
      </x:c>
    </x:row>
    <x:row r="16" ht="47" customHeight="1">
      <x:c r="A16" s="4" t="str">
        <x:v>F12</x:v>
      </x:c>
      <x:c r="B16" s="4" t="str">
        <x:v>IA, visión y sistemas inteligentes</x:v>
      </x:c>
      <x:c r="C16" s="4" t="str">
        <x:v>Base educativa que recibe complementos de evaluación y seguridad de IA.</x:v>
      </x:c>
      <x:c r="D16" s="14" t="n">
        <x:f>COUNTIF('15_Base_universitaria'!$H$5:$H$44,A16)</x:f>
        <x:v>2</x:v>
      </x:c>
      <x:c r="E16" s="14" t="n">
        <x:f>SUMIF('15_Base_universitaria'!$H$5:$H$44,A16,'15_Base_universitaria'!$P$5:$P$44)</x:f>
        <x:v>6</x:v>
      </x:c>
      <x:c r="F16" s="4" t="str">
        <x:v>Un enlace primario por asignatura evita doble conteo; no declara exclusividad temática.</x:v>
      </x:c>
    </x:row>
    <x:row r="17" ht="47" customHeight="1">
      <x:c r="A17" s="4" t="str">
        <x:v>F13</x:v>
      </x:c>
      <x:c r="B17" s="4" t="str">
        <x:v>Inteligencia, respuesta, forense y continuidad</x:v>
      </x:c>
      <x:c r="C17" s="4" t="str">
        <x:v>Investigar y actuar con evidencia y límites.</x:v>
      </x:c>
      <x:c r="D17" s="14" t="n">
        <x:f>COUNTIF('15_Base_universitaria'!$H$5:$H$44,A17)</x:f>
        <x:v>1</x:v>
      </x:c>
      <x:c r="E17" s="14" t="n">
        <x:f>SUMIF('15_Base_universitaria'!$H$5:$H$44,A17,'15_Base_universitaria'!$P$5:$P$44)</x:f>
        <x:v>6</x:v>
      </x:c>
      <x:c r="F17" s="4" t="str">
        <x:v>Un enlace primario por asignatura evita doble conteo; no declara exclusividad temática.</x:v>
      </x:c>
    </x:row>
    <x:row r="18" ht="47" customHeight="1">
      <x:c r="A18" s="4" t="str">
        <x:v>F14</x:v>
      </x:c>
      <x:c r="B18" s="4" t="str">
        <x:v>Infraestructuras críticas y sistemas físicos</x:v>
      </x:c>
      <x:c r="C18" s="4" t="str">
        <x:v>Considerar dependencias y efectos en la operación.</x:v>
      </x:c>
      <x:c r="D18" s="14" t="n">
        <x:f>COUNTIF('15_Base_universitaria'!$H$5:$H$44,A18)</x:f>
        <x:v>1</x:v>
      </x:c>
      <x:c r="E18" s="14" t="n">
        <x:f>SUMIF('15_Base_universitaria'!$H$5:$H$44,A18,'15_Base_universitaria'!$P$5:$P$44)</x:f>
        <x:v>3</x:v>
      </x:c>
      <x:c r="F18" s="4" t="str">
        <x:v>Un enlace primario por asignatura evita doble conteo; no declara exclusividad temática.</x:v>
      </x:c>
    </x:row>
    <x:row r="19" ht="47" customHeight="1">
      <x:c r="A19" s="4" t="str">
        <x:v>F15</x:v>
      </x:c>
      <x:c r="B19" s="4" t="str">
        <x:v>Integración y experiencia tutelada</x:v>
      </x:c>
      <x:c r="C19" s="4" t="str">
        <x:v>Practicar, justificar, revisar y defender decisiones.</x:v>
      </x:c>
      <x:c r="D19" s="14" t="n">
        <x:f>COUNTIF('15_Base_universitaria'!$H$5:$H$44,A19)</x:f>
        <x:v>2</x:v>
      </x:c>
      <x:c r="E19" s="14" t="n">
        <x:f>SUMIF('15_Base_universitaria'!$H$5:$H$44,A19,'15_Base_universitaria'!$P$5:$P$44)</x:f>
        <x:v>30</x:v>
      </x:c>
      <x:c r="F19" s="4" t="str">
        <x:v>Un enlace primario por asignatura evita doble conteo; no declara exclusividad temática.</x:v>
      </x:c>
    </x:row>
  </x:sheetData>
  <x:mergeCells>
    <x:mergeCell ref="A1:D1"/>
    <x:mergeCell ref="A2:F2"/>
  </x:mergeCells>
  <x:pageMargins left="0.7" right="0.7" top="0.75" bottom="0.75" header="0.3" footer="0.3"/>
  <x:tableParts count="1">
    <x:tablePart xmlns:r="http://schemas.openxmlformats.org/officeDocument/2006/relationships" r:id="R94082975f9794d39"/>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76" hidden="0" customWidth="1"/>
    <x:col min="4" max="4" width="76" hidden="0" customWidth="1"/>
    <x:col min="5" max="5" width="22" hidden="0" customWidth="1"/>
    <x:col min="6" max="6" width="21" hidden="0" customWidth="1"/>
    <x:col min="7" max="7" width="68" hidden="0" customWidth="1"/>
    <x:col min="8" max="8" width="20" hidden="0" customWidth="1"/>
    <x:col min="9" max="9" width="99" hidden="0" customWidth="1"/>
    <x:col min="10" max="10" width="43" hidden="0" customWidth="1"/>
    <x:col min="11" max="11" width="43" hidden="0" customWidth="1"/>
    <x:col min="12" max="12" width="15" hidden="0" customWidth="1"/>
    <x:col min="13" max="13" width="20" hidden="0" customWidth="1"/>
  </x:cols>
  <x:sheetData>
    <x:row r="1" ht="35" customHeight="1">
      <x:c r="A1" s="6" t="str">
        <x:v>BIBLIOTECA · inventario de adquisición y alcance de uso</x:v>
      </x:c>
      <x:c r="B1" s="6"/>
      <x:c r="C1" s="6"/>
      <x:c r="D1" s="6"/>
      <x:c r="E1" s="6"/>
      <x:c r="F1" s="6"/>
      <x:c r="G1" s="6"/>
      <x:c r="H1" s="6"/>
      <x:c r="I1" s="6"/>
      <x:c r="J1" s="6"/>
      <x:c r="K1" s="6"/>
      <x:c r="L1" s="6"/>
      <x:c r="M1" s="6"/>
    </x:row>
    <x:row r="2" ht="52" customHeight="1">
      <x:c r="A2" s="8" t="str">
        <x:v>Una captura no acredita lectura ni admisión. Los PDF del primer lote URJC se conservan apartados; las guías R son la recuperación secuencial. SHA-256 identifica bytes, no aprobación.</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x:v>
      </x:c>
      <x:c r="B4" s="10" t="str">
        <x:v>Documento o identificador</x:v>
      </x:c>
      <x:c r="C4" s="10" t="str">
        <x:v>URL solicitada</x:v>
      </x:c>
      <x:c r="D4" s="10" t="str">
        <x:v>URL efectiva</x:v>
      </x:c>
      <x:c r="E4" s="10" t="str">
        <x:v>Adquisición</x:v>
      </x:c>
      <x:c r="F4" s="10" t="str">
        <x:v>Bytes · texto</x:v>
      </x:c>
      <x:c r="G4" s="10" t="str">
        <x:v>SHA-256 de los bytes</x:v>
      </x:c>
      <x:c r="H4" s="10" t="str">
        <x:v>Páginas PDF</x:v>
      </x:c>
      <x:c r="I4" s="10" t="str">
        <x:v>Alcance de lectura / incidencia</x:v>
      </x:c>
      <x:c r="J4" s="10" t="str">
        <x:v>Uso en este corte</x:v>
      </x:c>
      <x:c r="K4" s="10" t="str">
        <x:v>Captura UTC</x:v>
      </x:c>
      <x:c r="L4" s="10" t="str">
        <x:v>Duplicado</x:v>
      </x:c>
      <x:c r="M4" s="10" t="str">
        <x:v>Huella defectuosa</x:v>
      </x:c>
    </x:row>
    <x:row r="5" ht="47" customHeight="1">
      <x:c r="A5" s="4" t="str">
        <x:v>A101</x:v>
      </x:c>
      <x:c r="B5" s="4" t="str">
        <x:v>ISO/IEC 42005:2025 · ficha pública</x:v>
      </x:c>
      <x:c r="C5" s="4" t="str">
        <x:v>https://www.iso.org/standard/42005</x:v>
      </x:c>
      <x:c r="D5" s="4" t="str"/>
      <x:c r="E5" s="4" t="str">
        <x:v>ERROR</x:v>
      </x:c>
      <x:c r="F5" s="4" t="str"/>
      <x:c r="G5" s="4" t="str"/>
      <x:c r="H5" s="4" t="str"/>
      <x:c r="I5" s="4" t="str">
        <x:v>Ficha pública verificada mediante consulta web; descarga original 403. No se dispone de la norma completa.</x:v>
      </x:c>
      <x:c r="J5" s="4" t="str">
        <x:v>SOLO_METADATOS_WEB</x:v>
      </x:c>
      <x:c r="K5" s="4" t="str"/>
      <x:c r="L5" s="12" t="n">
        <x:f>COUNTIF('21_Fuentes_educativas'!$A$5:$A$188,A5)-1</x:f>
        <x:v>0</x:v>
      </x:c>
      <x:c r="M5" s="12" t="n">
        <x:f>IF(E5="CAPTURADO",IF(LEN(G5)=64,0,1),0)</x:f>
        <x:v>0</x:v>
      </x:c>
    </x:row>
    <x:row r="6" ht="47" customHeight="1">
      <x:c r="A6" s="4" t="str">
        <x:v>A102</x:v>
      </x:c>
      <x:c r="B6" s="4" t="str">
        <x:v>ISO/IEC 38507:2022 · ficha pública</x:v>
      </x:c>
      <x:c r="C6" s="4" t="str">
        <x:v>https://www.iso.org/standard/56641.html</x:v>
      </x:c>
      <x:c r="D6" s="4" t="str"/>
      <x:c r="E6" s="4" t="str">
        <x:v>ERROR</x:v>
      </x:c>
      <x:c r="F6" s="4" t="str"/>
      <x:c r="G6" s="4" t="str"/>
      <x:c r="H6" s="4" t="str"/>
      <x:c r="I6" s="4" t="str">
        <x:v>Ficha pública verificada mediante consulta web; descarga original 403. No se dispone de la norma completa.</x:v>
      </x:c>
      <x:c r="J6" s="4" t="str">
        <x:v>SOLO_METADATOS_WEB</x:v>
      </x:c>
      <x:c r="K6" s="4" t="str"/>
      <x:c r="L6" s="12" t="n">
        <x:f>COUNTIF('21_Fuentes_educativas'!$A$5:$A$188,A6)-1</x:f>
        <x:v>0</x:v>
      </x:c>
      <x:c r="M6" s="12" t="n">
        <x:f>IF(E6="CAPTURADO",IF(LEN(G6)=64,0,1),0)</x:f>
        <x:v>0</x:v>
      </x:c>
    </x:row>
    <x:row r="7" ht="47" customHeight="1">
      <x:c r="A7" s="4" t="str">
        <x:v>A103</x:v>
      </x:c>
      <x:c r="B7" s="4" t="str">
        <x:v>ISO/IEC 42001:2023 · ficha pública</x:v>
      </x:c>
      <x:c r="C7" s="4" t="str">
        <x:v>https://www.iso.org/standard/42001</x:v>
      </x:c>
      <x:c r="D7" s="4" t="str"/>
      <x:c r="E7" s="4" t="str">
        <x:v>ERROR</x:v>
      </x:c>
      <x:c r="F7" s="4" t="str"/>
      <x:c r="G7" s="4" t="str"/>
      <x:c r="H7" s="4" t="str"/>
      <x:c r="I7" s="4" t="str">
        <x:v>HTTP Error 403: Forbidden</x:v>
      </x:c>
      <x:c r="J7" s="4" t="str">
        <x:v>SIN_CAPTURA</x:v>
      </x:c>
      <x:c r="K7" s="4" t="str"/>
      <x:c r="L7" s="12" t="n">
        <x:f>COUNTIF('21_Fuentes_educativas'!$A$5:$A$188,A7)-1</x:f>
        <x:v>0</x:v>
      </x:c>
      <x:c r="M7" s="12" t="n">
        <x:f>IF(E7="CAPTURADO",IF(LEN(G7)=64,0,1),0)</x:f>
        <x:v>0</x:v>
      </x:c>
    </x:row>
    <x:row r="8" ht="47" customHeight="1">
      <x:c r="A8" s="4" t="str">
        <x:v>A104</x:v>
      </x:c>
      <x:c r="B8" s="4" t="str">
        <x:v>OWASP Top 10 Agentic Applications 2026</x:v>
      </x:c>
      <x:c r="C8" s="4" t="str">
        <x:v>https://genai.owasp.org/resource/owasp-top-10-for-agentic-applications-for-2026/</x:v>
      </x:c>
      <x:c r="D8" s="4" t="str">
        <x:v>https://genai.owasp.org/resource/owasp-top-10-for-agentic-applications-for-2026/</x:v>
      </x:c>
      <x:c r="E8" s="4" t="str">
        <x:v>CAPTURADO</x:v>
      </x:c>
      <x:c r="F8" s="4" t="str">
        <x:v>354812</x:v>
      </x:c>
      <x:c r="G8" s="4" t="str">
        <x:v>36373f39c61e1313f301fc149b4d4dda1def571e70737ff03b45a69f0ea18623</x:v>
      </x:c>
      <x:c r="H8" s="4" t="str"/>
      <x:c r="I8" s="4" t="str">
        <x:v>Plan, descripción o apartados utilizados; localizadores en 14–20.</x:v>
      </x:c>
      <x:c r="J8" s="4" t="str">
        <x:v>REFERENCIA_REVISADA</x:v>
      </x:c>
      <x:c r="K8" s="4" t="n">
        <x:v>46273.82730359954</x:v>
      </x:c>
      <x:c r="L8" s="12" t="n">
        <x:f>COUNTIF('21_Fuentes_educativas'!$A$5:$A$188,A8)-1</x:f>
        <x:v>0</x:v>
      </x:c>
      <x:c r="M8" s="12" t="n">
        <x:f>IF(E8="CAPTURADO",IF(LEN(G8)=64,0,1),0)</x:f>
        <x:v>0</x:v>
      </x:c>
    </x:row>
    <x:row r="9" ht="47" customHeight="1">
      <x:c r="A9" s="4" t="str">
        <x:v>A105</x:v>
      </x:c>
      <x:c r="B9" s="4" t="str">
        <x:v>Linux kernel · BPF documentation</x:v>
      </x:c>
      <x:c r="C9" s="4" t="str">
        <x:v>https://docs.kernel.org/bpf/index.html</x:v>
      </x:c>
      <x:c r="D9" s="4" t="str">
        <x:v>https://docs.kernel.org/bpf/index.html</x:v>
      </x:c>
      <x:c r="E9" s="4" t="str">
        <x:v>CAPTURADO</x:v>
      </x:c>
      <x:c r="F9" s="4" t="str">
        <x:v>13664</x:v>
      </x:c>
      <x:c r="G9" s="4" t="str">
        <x:v>a35035de000054243024a969858cd1d1e36d9941a271bdd05f84279824084ac5</x:v>
      </x:c>
      <x:c r="H9" s="4" t="str"/>
      <x:c r="I9" s="4" t="str">
        <x:v>Plan, descripción o apartados utilizados; localizadores en 14–20.</x:v>
      </x:c>
      <x:c r="J9" s="4" t="str">
        <x:v>REFERENCIA_REVISADA</x:v>
      </x:c>
      <x:c r="K9" s="4" t="n">
        <x:v>46273.827317083334</x:v>
      </x:c>
      <x:c r="L9" s="12" t="n">
        <x:f>COUNTIF('21_Fuentes_educativas'!$A$5:$A$188,A9)-1</x:f>
        <x:v>0</x:v>
      </x:c>
      <x:c r="M9" s="12" t="n">
        <x:f>IF(E9="CAPTURADO",IF(LEN(G9)=64,0,1),0)</x:f>
        <x:v>0</x:v>
      </x:c>
    </x:row>
    <x:row r="10" ht="47" customHeight="1">
      <x:c r="A10" s="4" t="str">
        <x:v>A106</x:v>
      </x:c>
      <x:c r="B10" s="4" t="str">
        <x:v>P4 · URL descartada</x:v>
      </x:c>
      <x:c r="C10" s="4" t="str">
        <x:v>https://p4.org/specs/</x:v>
      </x:c>
      <x:c r="D10" s="4" t="str"/>
      <x:c r="E10" s="4" t="str">
        <x:v>ERROR</x:v>
      </x:c>
      <x:c r="F10" s="4" t="str"/>
      <x:c r="G10" s="4" t="str"/>
      <x:c r="H10" s="4" t="str"/>
      <x:c r="I10" s="4" t="str">
        <x:v>HTTP Error 404: Not Found</x:v>
      </x:c>
      <x:c r="J10" s="4" t="str">
        <x:v>SIN_CAPTURA</x:v>
      </x:c>
      <x:c r="K10" s="4" t="str"/>
      <x:c r="L10" s="12" t="n">
        <x:f>COUNTIF('21_Fuentes_educativas'!$A$5:$A$188,A10)-1</x:f>
        <x:v>0</x:v>
      </x:c>
      <x:c r="M10" s="12" t="n">
        <x:f>IF(E10="CAPTURADO",IF(LEN(G10)=64,0,1),0)</x:f>
        <x:v>0</x:v>
      </x:c>
    </x:row>
    <x:row r="11" ht="47" customHeight="1">
      <x:c r="A11" s="4" t="str">
        <x:v>A107</x:v>
      </x:c>
      <x:c r="B11" s="4" t="str">
        <x:v>NIST SP 800-226 · ficha pública</x:v>
      </x:c>
      <x:c r="C11" s="4" t="str">
        <x:v>https://csrc.nist.gov/pubs/sp/800/226/final</x:v>
      </x:c>
      <x:c r="D11" s="4" t="str">
        <x:v>https://csrc.nist.gov/pubs/sp/800/226/final</x:v>
      </x:c>
      <x:c r="E11" s="4" t="str">
        <x:v>CAPTURADO</x:v>
      </x:c>
      <x:c r="F11" s="4" t="str">
        <x:v>43505</x:v>
      </x:c>
      <x:c r="G11" s="4" t="str">
        <x:v>2c1b2cd8eb3b46c98abab76714dc59b1c60f1c1d5309796566a98b45da0c222a</x:v>
      </x:c>
      <x:c r="H11" s="4" t="str"/>
      <x:c r="I11" s="4" t="str">
        <x:v>Plan, descripción o apartados utilizados; localizadores en 14–20.</x:v>
      </x:c>
      <x:c r="J11" s="4" t="str">
        <x:v>REFERENCIA_REVISADA</x:v>
      </x:c>
      <x:c r="K11" s="4" t="n">
        <x:v>46273.827441319445</x:v>
      </x:c>
      <x:c r="L11" s="12" t="n">
        <x:f>COUNTIF('21_Fuentes_educativas'!$A$5:$A$188,A11)-1</x:f>
        <x:v>0</x:v>
      </x:c>
      <x:c r="M11" s="12" t="n">
        <x:f>IF(E11="CAPTURADO",IF(LEN(G11)=64,0,1),0)</x:f>
        <x:v>0</x:v>
      </x:c>
    </x:row>
    <x:row r="12" ht="47" customHeight="1">
      <x:c r="A12" s="4" t="str">
        <x:v>A108</x:v>
      </x:c>
      <x:c r="B12" s="4" t="str">
        <x:v>CCC · URL descartada</x:v>
      </x:c>
      <x:c r="C12" s="4" t="str">
        <x:v>https://confidentialcomputing.io/about/</x:v>
      </x:c>
      <x:c r="D12" s="4" t="str"/>
      <x:c r="E12" s="4" t="str">
        <x:v>ERROR</x:v>
      </x:c>
      <x:c r="F12" s="4" t="str"/>
      <x:c r="G12" s="4" t="str"/>
      <x:c r="H12" s="4" t="str"/>
      <x:c r="I12" s="4" t="str">
        <x:v>HTTP Error 404: Not Found</x:v>
      </x:c>
      <x:c r="J12" s="4" t="str">
        <x:v>SIN_CAPTURA</x:v>
      </x:c>
      <x:c r="K12" s="4" t="str"/>
      <x:c r="L12" s="12" t="n">
        <x:f>COUNTIF('21_Fuentes_educativas'!$A$5:$A$188,A12)-1</x:f>
        <x:v>0</x:v>
      </x:c>
      <x:c r="M12" s="12" t="n">
        <x:f>IF(E12="CAPTURADO",IF(LEN(G12)=64,0,1),0)</x:f>
        <x:v>0</x:v>
      </x:c>
    </x:row>
    <x:row r="13" ht="47" customHeight="1">
      <x:c r="A13" s="4" t="str">
        <x:v>A109</x:v>
      </x:c>
      <x:c r="B13" s="4" t="str">
        <x:v>NIST AI RMF · página oficial</x:v>
      </x:c>
      <x:c r="C13" s="4" t="str">
        <x:v>https://www.nist.gov/itl/ai-risk-management-framework</x:v>
      </x:c>
      <x:c r="D13" s="4" t="str">
        <x:v>https://www.nist.gov/itl/ai-risk-management-framework</x:v>
      </x:c>
      <x:c r="E13" s="4" t="str">
        <x:v>CAPTURADO</x:v>
      </x:c>
      <x:c r="F13" s="4" t="str">
        <x:v>93781</x:v>
      </x:c>
      <x:c r="G13" s="4" t="str">
        <x:v>8ff6f4d4006510cf9882a4b5c6a46570f16ea2a4fb9b94f463b69c28d176ab09</x:v>
      </x:c>
      <x:c r="H13" s="4" t="str"/>
      <x:c r="I13" s="4" t="str">
        <x:v>Plan, descripción o apartados utilizados; localizadores en 14–20.</x:v>
      </x:c>
      <x:c r="J13" s="4" t="str">
        <x:v>REFERENCIA_REVISADA</x:v>
      </x:c>
      <x:c r="K13" s="4" t="n">
        <x:v>46273.82742645833</x:v>
      </x:c>
      <x:c r="L13" s="12" t="n">
        <x:f>COUNTIF('21_Fuentes_educativas'!$A$5:$A$188,A13)-1</x:f>
        <x:v>0</x:v>
      </x:c>
      <x:c r="M13" s="12" t="n">
        <x:f>IF(E13="CAPTURADO",IF(LEN(G13)=64,0,1),0)</x:f>
        <x:v>0</x:v>
      </x:c>
    </x:row>
    <x:row r="14" ht="47" customHeight="1">
      <x:c r="A14" s="4" t="str">
        <x:v>A110</x:v>
      </x:c>
      <x:c r="B14" s="4" t="str">
        <x:v>Gartner AI TRiSM · acceso no obtenido</x:v>
      </x:c>
      <x:c r="C14" s="4" t="str">
        <x:v>https://www.gartner.com/en/articles/ai-trism</x:v>
      </x:c>
      <x:c r="D14" s="4" t="str"/>
      <x:c r="E14" s="4" t="str">
        <x:v>ERROR</x:v>
      </x:c>
      <x:c r="F14" s="4" t="str"/>
      <x:c r="G14" s="4" t="str"/>
      <x:c r="H14" s="4" t="str"/>
      <x:c r="I14" s="4" t="str">
        <x:v>HTTP Error 403: Forbidden</x:v>
      </x:c>
      <x:c r="J14" s="4" t="str">
        <x:v>SIN_CAPTURA</x:v>
      </x:c>
      <x:c r="K14" s="4" t="str"/>
      <x:c r="L14" s="12" t="n">
        <x:f>COUNTIF('21_Fuentes_educativas'!$A$5:$A$188,A14)-1</x:f>
        <x:v>0</x:v>
      </x:c>
      <x:c r="M14" s="12" t="n">
        <x:f>IF(E14="CAPTURADO",IF(LEN(G14)=64,0,1),0)</x:f>
        <x:v>0</x:v>
      </x:c>
    </x:row>
    <x:row r="15" ht="47" customHeight="1">
      <x:c r="A15" s="4" t="str">
        <x:v>A111</x:v>
      </x:c>
      <x:c r="B15" s="4" t="str">
        <x:v>P4 · página de proyecto</x:v>
      </x:c>
      <x:c r="C15" s="4" t="str">
        <x:v>https://p4.org/</x:v>
      </x:c>
      <x:c r="D15" s="4" t="str">
        <x:v>https://p4.org/</x:v>
      </x:c>
      <x:c r="E15" s="4" t="str">
        <x:v>CAPTURADO</x:v>
      </x:c>
      <x:c r="F15" s="4" t="str">
        <x:v>127400</x:v>
      </x:c>
      <x:c r="G15" s="4" t="str">
        <x:v>72c1eedeb6a9458591a11e17de497a6a128747ca2efc07a2f904619b7b7a00ed</x:v>
      </x:c>
      <x:c r="H15" s="4" t="str"/>
      <x:c r="I15" s="4" t="str">
        <x:v>Adquisición o identificación; no utilizada como contenido curricular.</x:v>
      </x:c>
      <x:c r="J15" s="4" t="str">
        <x:v>NO UTILIZADA EN LA PROPUESTA</x:v>
      </x:c>
      <x:c r="K15" s="4" t="n">
        <x:v>46273.8286752662</x:v>
      </x:c>
      <x:c r="L15" s="12" t="n">
        <x:f>COUNTIF('21_Fuentes_educativas'!$A$5:$A$188,A15)-1</x:f>
        <x:v>0</x:v>
      </x:c>
      <x:c r="M15" s="12" t="n">
        <x:f>IF(E15="CAPTURADO",IF(LEN(G15)=64,0,1),0)</x:f>
        <x:v>0</x:v>
      </x:c>
    </x:row>
    <x:row r="16" ht="47" customHeight="1">
      <x:c r="A16" s="4" t="str">
        <x:v>A112</x:v>
      </x:c>
      <x:c r="B16" s="4" t="str">
        <x:v>Confidential Computing Consortium · página oficial</x:v>
      </x:c>
      <x:c r="C16" s="4" t="str">
        <x:v>https://confidentialcomputing.io/</x:v>
      </x:c>
      <x:c r="D16" s="4" t="str">
        <x:v>https://confidentialcomputing.io/</x:v>
      </x:c>
      <x:c r="E16" s="4" t="str">
        <x:v>CAPTURADO</x:v>
      </x:c>
      <x:c r="F16" s="4" t="str">
        <x:v>213258</x:v>
      </x:c>
      <x:c r="G16" s="4" t="str">
        <x:v>84cca91e4b7604a1887feee1a931198609e7ce4a3e4907f031a969f9bddc42af</x:v>
      </x:c>
      <x:c r="H16" s="4" t="str"/>
      <x:c r="I16" s="4" t="str">
        <x:v>Plan, descripción o apartados utilizados; localizadores en 14–20.</x:v>
      </x:c>
      <x:c r="J16" s="4" t="str">
        <x:v>REFERENCIA_REVISADA</x:v>
      </x:c>
      <x:c r="K16" s="4" t="n">
        <x:v>46273.82866813657</x:v>
      </x:c>
      <x:c r="L16" s="12" t="n">
        <x:f>COUNTIF('21_Fuentes_educativas'!$A$5:$A$188,A16)-1</x:f>
        <x:v>0</x:v>
      </x:c>
      <x:c r="M16" s="12" t="n">
        <x:f>IF(E16="CAPTURADO",IF(LEN(G16)=64,0,1),0)</x:f>
        <x:v>0</x:v>
      </x:c>
    </x:row>
    <x:row r="17" ht="47" customHeight="1">
      <x:c r="A17" s="4" t="str">
        <x:v>A113</x:v>
      </x:c>
      <x:c r="B17" s="4" t="str">
        <x:v>P4 · especificaciones</x:v>
      </x:c>
      <x:c r="C17" s="4" t="str">
        <x:v>https://p4.org/specifications/</x:v>
      </x:c>
      <x:c r="D17" s="4" t="str">
        <x:v>https://p4.org/specifications/</x:v>
      </x:c>
      <x:c r="E17" s="4" t="str">
        <x:v>CAPTURADO</x:v>
      </x:c>
      <x:c r="F17" s="4" t="str">
        <x:v>119645</x:v>
      </x:c>
      <x:c r="G17" s="4" t="str">
        <x:v>ccfea9d69a2b1afa47f2ede4f5e174d785260b174f052051a0dae46737cdb693</x:v>
      </x:c>
      <x:c r="H17" s="4" t="str"/>
      <x:c r="I17" s="4" t="str">
        <x:v>Plan, descripción o apartados utilizados; localizadores en 14–20.</x:v>
      </x:c>
      <x:c r="J17" s="4" t="str">
        <x:v>REFERENCIA_REVISADA</x:v>
      </x:c>
      <x:c r="K17" s="4" t="n">
        <x:v>46273.829771006946</x:v>
      </x:c>
      <x:c r="L17" s="12" t="n">
        <x:f>COUNTIF('21_Fuentes_educativas'!$A$5:$A$188,A17)-1</x:f>
        <x:v>0</x:v>
      </x:c>
      <x:c r="M17" s="12" t="n">
        <x:f>IF(E17="CAPTURADO",IF(LEN(G17)=64,0,1),0)</x:f>
        <x:v>0</x:v>
      </x:c>
    </x:row>
    <x:row r="18" ht="47" customHeight="1">
      <x:c r="A18" s="4" t="str">
        <x:v>E001</x:v>
      </x:c>
      <x:c r="B18" s="4" t="str">
        <x:v>URJC · página oficial del grado</x:v>
      </x:c>
      <x:c r="C18" s="4" t="str">
        <x:v>https://www.urjc.es/estudios/grado/3100-ingenieria-de-la-ciberseguridad</x:v>
      </x:c>
      <x:c r="D18" s="4" t="str">
        <x:v>https://www.urjc.es/estudios/grado/3100-ingenieria-de-la-ciberseguridad</x:v>
      </x:c>
      <x:c r="E18" s="4" t="str">
        <x:v>CAPTURADO</x:v>
      </x:c>
      <x:c r="F18" s="4" t="str">
        <x:v>263056</x:v>
      </x:c>
      <x:c r="G18" s="4" t="str">
        <x:v>5336f7d470865965db4ba2079c4078e131683e559aedb6cfa165bf82051ca69b</x:v>
      </x:c>
      <x:c r="H18" s="4" t="str"/>
      <x:c r="I18" s="4" t="str">
        <x:v>Plan, descripción o apartados utilizados; localizadores en 14–20.</x:v>
      </x:c>
      <x:c r="J18" s="4" t="str">
        <x:v>REFERENCIA_REVISADA</x:v>
      </x:c>
      <x:c r="K18" s="4" t="n">
        <x:v>46273.82579255787</x:v>
      </x:c>
      <x:c r="L18" s="12" t="n">
        <x:f>COUNTIF('21_Fuentes_educativas'!$A$5:$A$188,A18)-1</x:f>
        <x:v>0</x:v>
      </x:c>
      <x:c r="M18" s="12" t="n">
        <x:f>IF(E18="CAPTURADO",IF(LEN(G18)=64,0,1),0)</x:f>
        <x:v>0</x:v>
      </x:c>
    </x:row>
    <x:row r="19" ht="47" customHeight="1">
      <x:c r="A19" s="4" t="str">
        <x:v>E002</x:v>
      </x:c>
      <x:c r="B19" s="4" t="str">
        <x:v>URJC · itinerario Erasmus 2021–22</x:v>
      </x:c>
      <x:c r="C19" s="4" t="str">
        <x:v>https://www.urjc.es/images/Estudios/Grado/ingenieria_ciberseguridad/GICiber.pdf</x:v>
      </x:c>
      <x:c r="D19" s="4" t="str">
        <x:v>https://www.urjc.es/images/Estudios/Grado/ingenieria_ciberseguridad/GICiber.pdf</x:v>
      </x:c>
      <x:c r="E19" s="4" t="str">
        <x:v>CAPTURADO</x:v>
      </x:c>
      <x:c r="F19" s="4" t="str">
        <x:v>156667</x:v>
      </x:c>
      <x:c r="G19" s="4" t="str">
        <x:v>7c63ca1ca52a030f0b3fe649d8be79ee6276fc7abee424ae7034b395a70775e4</x:v>
      </x:c>
      <x:c r="H19" s="4" t="str">
        <x:v>29</x:v>
      </x:c>
      <x:c r="I19" s="4" t="str">
        <x:v>Adquisición o identificación; no utilizada como contenido curricular.</x:v>
      </x:c>
      <x:c r="J19" s="4" t="str">
        <x:v>NO UTILIZADA EN LA PROPUESTA</x:v>
      </x:c>
      <x:c r="K19" s="4" t="n">
        <x:v>46273.825790219904</x:v>
      </x:c>
      <x:c r="L19" s="12" t="n">
        <x:f>COUNTIF('21_Fuentes_educativas'!$A$5:$A$188,A19)-1</x:f>
        <x:v>0</x:v>
      </x:c>
      <x:c r="M19" s="12" t="n">
        <x:f>IF(E19="CAPTURADO",IF(LEN(G19)=64,0,1),0)</x:f>
        <x:v>0</x:v>
      </x:c>
    </x:row>
    <x:row r="20" ht="47" customHeight="1">
      <x:c r="A20" s="4" t="str">
        <x:v>E003</x:v>
      </x:c>
      <x:c r="B20" s="4" t="str">
        <x:v>URJC · sede ETSII y dependencias</x:v>
      </x:c>
      <x:c r="C20" s="4" t="str">
        <x:v>https://www.urjc.es/titulaciones-etsii/ciberseguridad-etsii</x:v>
      </x:c>
      <x:c r="D20" s="4" t="str">
        <x:v>https://www.urjc.es/titulaciones-etsii/ciberseguridad-etsii</x:v>
      </x:c>
      <x:c r="E20" s="4" t="str">
        <x:v>CAPTURADO</x:v>
      </x:c>
      <x:c r="F20" s="4" t="str">
        <x:v>66391</x:v>
      </x:c>
      <x:c r="G20" s="4" t="str">
        <x:v>3a20a7d2c6caf0ab228d2118d99252b9d0c6008ccb453023c8090462850bd1eb</x:v>
      </x:c>
      <x:c r="H20" s="4" t="str"/>
      <x:c r="I20" s="4" t="str">
        <x:v>Adquisición o identificación; no utilizada como contenido curricular.</x:v>
      </x:c>
      <x:c r="J20" s="4" t="str">
        <x:v>NO UTILIZADA EN LA PROPUESTA</x:v>
      </x:c>
      <x:c r="K20" s="4" t="n">
        <x:v>46273.825787581016</x:v>
      </x:c>
      <x:c r="L20" s="12" t="n">
        <x:f>COUNTIF('21_Fuentes_educativas'!$A$5:$A$188,A20)-1</x:f>
        <x:v>0</x:v>
      </x:c>
      <x:c r="M20" s="12" t="n">
        <x:f>IF(E20="CAPTURADO",IF(LEN(G20)=64,0,1),0)</x:f>
        <x:v>0</x:v>
      </x:c>
    </x:row>
    <x:row r="21" ht="47" customHeight="1">
      <x:c r="A21" s="4" t="str">
        <x:v>E004</x:v>
      </x:c>
      <x:c r="B21" s="4" t="str">
        <x:v>URJC · selector de guías</x:v>
      </x:c>
      <x:c r="C21" s="4" t="str">
        <x:v>https://gestion3.urjc.es/guiasdocentes/</x:v>
      </x:c>
      <x:c r="D21" s="4" t="str">
        <x:v>https://servicios.urjc.es/guiasdocentes/</x:v>
      </x:c>
      <x:c r="E21" s="4" t="str">
        <x:v>CAPTURADO</x:v>
      </x:c>
      <x:c r="F21" s="4" t="str">
        <x:v>45615</x:v>
      </x:c>
      <x:c r="G21" s="4" t="str">
        <x:v>aeef3b5b3ab9ea41a0b0d5f6bde428c3e6bd3631920b6bc545b6c075cface739</x:v>
      </x:c>
      <x:c r="H21" s="4" t="str"/>
      <x:c r="I21" s="4" t="str">
        <x:v>Adquisición o identificación; no utilizada como contenido curricular.</x:v>
      </x:c>
      <x:c r="J21" s="4" t="str">
        <x:v>NO UTILIZADA EN LA PROPUESTA</x:v>
      </x:c>
      <x:c r="K21" s="4" t="n">
        <x:v>46273.82590633102</x:v>
      </x:c>
      <x:c r="L21" s="12" t="n">
        <x:f>COUNTIF('21_Fuentes_educativas'!$A$5:$A$188,A21)-1</x:f>
        <x:v>0</x:v>
      </x:c>
      <x:c r="M21" s="12" t="n">
        <x:f>IF(E21="CAPTURADO",IF(LEN(G21)=64,0,1),0)</x:f>
        <x:v>0</x:v>
      </x:c>
    </x:row>
    <x:row r="22" ht="47" customHeight="1">
      <x:c r="A22" s="4" t="str">
        <x:v>E005</x:v>
      </x:c>
      <x:c r="B22" s="4" t="str">
        <x:v>Warwick · presentación BSc para ingreso 2027</x:v>
      </x:c>
      <x:c r="C22" s="4" t="str">
        <x:v>https://warwick.ac.uk/study/undergraduate/courses/bsc-cyber-security/</x:v>
      </x:c>
      <x:c r="D22" s="4" t="str">
        <x:v>https://warwick.ac.uk/study/undergraduate/courses/bsc-cyber-security/</x:v>
      </x:c>
      <x:c r="E22" s="4" t="str">
        <x:v>CAPTURADO</x:v>
      </x:c>
      <x:c r="F22" s="4" t="str">
        <x:v>131318</x:v>
      </x:c>
      <x:c r="G22" s="4" t="str">
        <x:v>417ebaade5be1db2865af2e990c159c495857e3768b71eabfe9d1c149e7e61f3</x:v>
      </x:c>
      <x:c r="H22" s="4" t="str"/>
      <x:c r="I22" s="4" t="str">
        <x:v>Plan, descripción o apartados utilizados; localizadores en 14–20.</x:v>
      </x:c>
      <x:c r="J22" s="4" t="str">
        <x:v>REFERENCIA_REVISADA</x:v>
      </x:c>
      <x:c r="K22" s="4" t="n">
        <x:v>46273.82578085648</x:v>
      </x:c>
      <x:c r="L22" s="12" t="n">
        <x:f>COUNTIF('21_Fuentes_educativas'!$A$5:$A$188,A22)-1</x:f>
        <x:v>0</x:v>
      </x:c>
      <x:c r="M22" s="12" t="n">
        <x:f>IF(E22="CAPTURADO",IF(LEN(G22)=64,0,1),0)</x:f>
        <x:v>0</x:v>
      </x:c>
    </x:row>
    <x:row r="23" ht="47" customHeight="1">
      <x:c r="A23" s="4" t="str">
        <x:v>E006</x:v>
      </x:c>
      <x:c r="B23" s="4" t="str">
        <x:v>Guelph · programa MCTI, calendario</x:v>
      </x:c>
      <x:c r="C23" s="4" t="str">
        <x:v>https://calendar.uoguelph.ca/graduate-calendar/graduate-programs/cybersecurity-threat-intelligence/</x:v>
      </x:c>
      <x:c r="D23" s="4" t="str">
        <x:v>https://calendar.uoguelph.ca/graduate-calendar/graduate-programs/cybersecurity-threat-intelligence/</x:v>
      </x:c>
      <x:c r="E23" s="4" t="str">
        <x:v>CAPTURADO</x:v>
      </x:c>
      <x:c r="F23" s="4" t="str">
        <x:v>221489</x:v>
      </x:c>
      <x:c r="G23" s="4" t="str">
        <x:v>24f4fb54494edb427d684f8be19ebd959a082196c1f92591b375335a545e64c4</x:v>
      </x:c>
      <x:c r="H23" s="4" t="str"/>
      <x:c r="I23" s="4" t="str">
        <x:v>Plan, descripción o apartados utilizados; localizadores en 14–20.</x:v>
      </x:c>
      <x:c r="J23" s="4" t="str">
        <x:v>REFERENCIA_REVISADA</x:v>
      </x:c>
      <x:c r="K23" s="4" t="n">
        <x:v>46273.82578079861</x:v>
      </x:c>
      <x:c r="L23" s="12" t="n">
        <x:f>COUNTIF('21_Fuentes_educativas'!$A$5:$A$188,A23)-1</x:f>
        <x:v>0</x:v>
      </x:c>
      <x:c r="M23" s="12" t="n">
        <x:f>IF(E23="CAPTURADO",IF(LEN(G23)=64,0,1),0)</x:f>
        <x:v>0</x:v>
      </x:c>
    </x:row>
    <x:row r="24" ht="47" customHeight="1">
      <x:c r="A24" s="4" t="str">
        <x:v>E007</x:v>
      </x:c>
      <x:c r="B24" s="4" t="str">
        <x:v>UNSW · presentación del Bachelor</x:v>
      </x:c>
      <x:c r="C24" s="4" t="str">
        <x:v>https://www.unsw.edu.au/study/undergraduate/bachelor-of-cyber-security</x:v>
      </x:c>
      <x:c r="D24" s="4" t="str">
        <x:v>https://www.unsw.edu.au/study/undergraduate/bachelor-of-cyber-security</x:v>
      </x:c>
      <x:c r="E24" s="4" t="str">
        <x:v>CAPTURADO</x:v>
      </x:c>
      <x:c r="F24" s="4" t="str">
        <x:v>297643</x:v>
      </x:c>
      <x:c r="G24" s="4" t="str">
        <x:v>3eba89dfa7f20f62c80f9b0d356d5e054abf44ecda2220ca8fd2e33b04c19f0e</x:v>
      </x:c>
      <x:c r="H24" s="4" t="str"/>
      <x:c r="I24" s="4" t="str">
        <x:v>Adquisición o identificación; no utilizada como contenido curricular.</x:v>
      </x:c>
      <x:c r="J24" s="4" t="str">
        <x:v>NO UTILIZADA EN LA PROPUESTA</x:v>
      </x:c>
      <x:c r="K24" s="4" t="n">
        <x:v>46273.82590159722</x:v>
      </x:c>
      <x:c r="L24" s="12" t="n">
        <x:f>COUNTIF('21_Fuentes_educativas'!$A$5:$A$188,A24)-1</x:f>
        <x:v>0</x:v>
      </x:c>
      <x:c r="M24" s="12" t="n">
        <x:f>IF(E24="CAPTURADO",IF(LEN(G24)=64,0,1),0)</x:f>
        <x:v>0</x:v>
      </x:c>
    </x:row>
    <x:row r="25" ht="47" customHeight="1">
      <x:c r="A25" s="4" t="str">
        <x:v>E008</x:v>
      </x:c>
      <x:c r="B25" s="4" t="str">
        <x:v>CMU · MSISPM Handbook Addendum 2026–2027</x:v>
      </x:c>
      <x:c r="C25" s="4" t="str">
        <x:v>https://www.heinz.cmu.edu/sites/default/files/cmu-heinz-files/docs/msispm-student-handbook.pdf</x:v>
      </x:c>
      <x:c r="D25" s="4" t="str">
        <x:v>https://www.heinz.cmu.edu/sites/default/files/cmu-heinz-files/docs/msispm-student-handbook.pdf</x:v>
      </x:c>
      <x:c r="E25" s="4" t="str">
        <x:v>CAPTURADO</x:v>
      </x:c>
      <x:c r="F25" s="4" t="str">
        <x:v>321729</x:v>
      </x:c>
      <x:c r="G25" s="4" t="str">
        <x:v>3d425fc4cb0bc99d25e40f0df7cbb081b55c9def8cbb8617c1c0547845a03285</x:v>
      </x:c>
      <x:c r="H25" s="4" t="str">
        <x:v>12</x:v>
      </x:c>
      <x:c r="I25" s="4" t="str">
        <x:v>Plan, descripción o apartados utilizados; localizadores en 14–20.</x:v>
      </x:c>
      <x:c r="J25" s="4" t="str">
        <x:v>REFERENCIA_REVISADA</x:v>
      </x:c>
      <x:c r="K25" s="4" t="n">
        <x:v>46273.82592321759</x:v>
      </x:c>
      <x:c r="L25" s="12" t="n">
        <x:f>COUNTIF('21_Fuentes_educativas'!$A$5:$A$188,A25)-1</x:f>
        <x:v>0</x:v>
      </x:c>
      <x:c r="M25" s="12" t="n">
        <x:f>IF(E25="CAPTURADO",IF(LEN(G25)=64,0,1),0)</x:f>
        <x:v>0</x:v>
      </x:c>
    </x:row>
    <x:row r="26" ht="47" customHeight="1">
      <x:c r="A26" s="4" t="str">
        <x:v>E009</x:v>
      </x:c>
      <x:c r="B26" s="4" t="str">
        <x:v>UPC · Master Cybersecurity</x:v>
      </x:c>
      <x:c r="C26" s="4" t="str">
        <x:v>https://www.upc.edu/en/masters/cybersecurity</x:v>
      </x:c>
      <x:c r="D26" s="4" t="str">
        <x:v>https://www.upc.edu/en/masters/cybersecurity</x:v>
      </x:c>
      <x:c r="E26" s="4" t="str">
        <x:v>CAPTURADO</x:v>
      </x:c>
      <x:c r="F26" s="4" t="str">
        <x:v>105116</x:v>
      </x:c>
      <x:c r="G26" s="4" t="str">
        <x:v>1cb7af269f409b985b9a58b5c46402ba6288029367b25664fae08f00e921544b</x:v>
      </x:c>
      <x:c r="H26" s="4" t="str"/>
      <x:c r="I26" s="4" t="str">
        <x:v>Plan, descripción o apartados utilizados; localizadores en 14–20.</x:v>
      </x:c>
      <x:c r="J26" s="4" t="str">
        <x:v>REFERENCIA_REVISADA</x:v>
      </x:c>
      <x:c r="K26" s="4" t="n">
        <x:v>46273.82590454861</x:v>
      </x:c>
      <x:c r="L26" s="12" t="n">
        <x:f>COUNTIF('21_Fuentes_educativas'!$A$5:$A$188,A26)-1</x:f>
        <x:v>0</x:v>
      </x:c>
      <x:c r="M26" s="12" t="n">
        <x:f>IF(E26="CAPTURADO",IF(LEN(G26)=64,0,1),0)</x:f>
        <x:v>0</x:v>
      </x:c>
    </x:row>
    <x:row r="27" ht="47" customHeight="1">
      <x:c r="A27" s="4" t="str">
        <x:v>E010</x:v>
      </x:c>
      <x:c r="B27" s="4" t="str">
        <x:v>UC3M · consulta fallida</x:v>
      </x:c>
      <x:c r="C27" s="4" t="str">
        <x:v>https://www.uc3m.es/master/ciberseguridad</x:v>
      </x:c>
      <x:c r="D27" s="4" t="str"/>
      <x:c r="E27" s="4" t="str">
        <x:v>ERROR</x:v>
      </x:c>
      <x:c r="F27" s="4" t="str"/>
      <x:c r="G27" s="4" t="str"/>
      <x:c r="H27" s="4" t="str"/>
      <x:c r="I27" s="4" t="str">
        <x:v>HTTP Error 502: Bad Gateway</x:v>
      </x:c>
      <x:c r="J27" s="4" t="str">
        <x:v>SIN_CAPTURA</x:v>
      </x:c>
      <x:c r="K27" s="4" t="str"/>
      <x:c r="L27" s="12" t="n">
        <x:f>COUNTIF('21_Fuentes_educativas'!$A$5:$A$188,A27)-1</x:f>
        <x:v>0</x:v>
      </x:c>
      <x:c r="M27" s="12" t="n">
        <x:f>IF(E27="CAPTURADO",IF(LEN(G27)=64,0,1),0)</x:f>
        <x:v>0</x:v>
      </x:c>
    </x:row>
    <x:row r="28" ht="47" customHeight="1">
      <x:c r="A28" s="4" t="str">
        <x:v>E011</x:v>
      </x:c>
      <x:c r="B28" s="4" t="str">
        <x:v>URJC · plan de asignaturas 2026–27</x:v>
      </x:c>
      <x:c r="C28" s="4" t="str">
        <x:v>https://servicios.urjc.es/listadoprofesorado/itinerario-formativo/grado-en-ingenieria-de-la-ciberseguridad/presencial/2285</x:v>
      </x:c>
      <x:c r="D28" s="4" t="str">
        <x:v>https://servicios.urjc.es/listadoprofesorado/itinerario-formativo/grado-en-ingenieria-de-la-ciberseguridad/presencial/2285</x:v>
      </x:c>
      <x:c r="E28" s="4" t="str">
        <x:v>CAPTURADO</x:v>
      </x:c>
      <x:c r="F28" s="4" t="str">
        <x:v>73563</x:v>
      </x:c>
      <x:c r="G28" s="4" t="str">
        <x:v>7363a756b4988f3c1ac19b4dfbc472d767a0ea0c495753ef4139fe6c13a8ab5e</x:v>
      </x:c>
      <x:c r="H28" s="4" t="str"/>
      <x:c r="I28" s="4" t="str">
        <x:v>Plan, descripción o apartados utilizados; localizadores en 14–20.</x:v>
      </x:c>
      <x:c r="J28" s="4" t="str">
        <x:v>REFERENCIA_REVISADA</x:v>
      </x:c>
      <x:c r="K28" s="4" t="n">
        <x:v>46273.8259740625</x:v>
      </x:c>
      <x:c r="L28" s="12" t="n">
        <x:f>COUNTIF('21_Fuentes_educativas'!$A$5:$A$188,A28)-1</x:f>
        <x:v>0</x:v>
      </x:c>
      <x:c r="M28" s="12" t="n">
        <x:f>IF(E28="CAPTURADO",IF(LEN(G28)=64,0,1),0)</x:f>
        <x:v>0</x:v>
      </x:c>
    </x:row>
    <x:row r="29" ht="47" customHeight="1">
      <x:c r="A29" s="4" t="str">
        <x:v>E012</x:v>
      </x:c>
      <x:c r="B29" s="4" t="str">
        <x:v>URJC · diagrama de dependencias</x:v>
      </x:c>
      <x:c r="C29" s="4" t="str">
        <x:v>https://www.urjc.es/images/facultades/etsii/img/Dependencia_asignaturas_GICIB.pdf</x:v>
      </x:c>
      <x:c r="D29" s="4" t="str">
        <x:v>https://www.urjc.es/images/facultades/etsii/img/Dependencia_asignaturas_GICIB.pdf</x:v>
      </x:c>
      <x:c r="E29" s="4" t="str">
        <x:v>CAPTURADO</x:v>
      </x:c>
      <x:c r="F29" s="4" t="str">
        <x:v>33777</x:v>
      </x:c>
      <x:c r="G29" s="4" t="str">
        <x:v>f4493c39e7f1afedee8ef288bd77c59210b29b59a2e2c6c09dc78272f311fe1e</x:v>
      </x:c>
      <x:c r="H29" s="4" t="str">
        <x:v>1</x:v>
      </x:c>
      <x:c r="I29" s="4" t="str">
        <x:v>Plan, descripción o apartados utilizados; localizadores en 14–20.</x:v>
      </x:c>
      <x:c r="J29" s="4" t="str">
        <x:v>REFERENCIA_REVISADA</x:v>
      </x:c>
      <x:c r="K29" s="4" t="n">
        <x:v>46273.82897633102</x:v>
      </x:c>
      <x:c r="L29" s="12" t="n">
        <x:f>COUNTIF('21_Fuentes_educativas'!$A$5:$A$188,A29)-1</x:f>
        <x:v>0</x:v>
      </x:c>
      <x:c r="M29" s="12" t="n">
        <x:f>IF(E29="CAPTURADO",IF(LEN(G29)=64,0,1),0)</x:f>
        <x:v>0</x:v>
      </x:c>
    </x:row>
    <x:row r="30" ht="47" customHeight="1">
      <x:c r="A30" s="4" t="str">
        <x:v>E013</x:v>
      </x:c>
      <x:c r="B30" s="4" t="str">
        <x:v>UNSW · Handbook 4490, versión 2026.05</x:v>
      </x:c>
      <x:c r="C30" s="4" t="str">
        <x:v>https://www.handbook.unsw.edu.au/undergraduate/programs/2026/4490</x:v>
      </x:c>
      <x:c r="D30" s="4" t="str">
        <x:v>https://www.handbook.unsw.edu.au/undergraduate/programs/2026/4490</x:v>
      </x:c>
      <x:c r="E30" s="4" t="str">
        <x:v>CAPTURADO</x:v>
      </x:c>
      <x:c r="F30" s="4" t="str">
        <x:v>417987</x:v>
      </x:c>
      <x:c r="G30" s="4" t="str">
        <x:v>6dd9e8a8435d135863d3f379727d3aa2221ba3ea32d06d2008759f68fbf68dd3</x:v>
      </x:c>
      <x:c r="H30" s="4" t="str"/>
      <x:c r="I30" s="4" t="str">
        <x:v>Plan, descripción o apartados utilizados; localizadores en 14–20.</x:v>
      </x:c>
      <x:c r="J30" s="4" t="str">
        <x:v>REFERENCIA_REVISADA</x:v>
      </x:c>
      <x:c r="K30" s="4" t="n">
        <x:v>46273.829022777776</x:v>
      </x:c>
      <x:c r="L30" s="12" t="n">
        <x:f>COUNTIF('21_Fuentes_educativas'!$A$5:$A$188,A30)-1</x:f>
        <x:v>0</x:v>
      </x:c>
      <x:c r="M30" s="12" t="n">
        <x:f>IF(E30="CAPTURADO",IF(LEN(G30)=64,0,1),0)</x:f>
        <x:v>0</x:v>
      </x:c>
    </x:row>
    <x:row r="31" ht="47" customHeight="1">
      <x:c r="A31" s="4" t="str">
        <x:v>E014</x:v>
      </x:c>
      <x:c r="B31" s="4" t="str">
        <x:v>Warwick · índice del catálogo</x:v>
      </x:c>
      <x:c r="C31" s="4" t="str">
        <x:v>https://courses.warwick.ac.uk</x:v>
      </x:c>
      <x:c r="D31" s="4" t="str">
        <x:v>https://courses.warwick.ac.uk</x:v>
      </x:c>
      <x:c r="E31" s="4" t="str">
        <x:v>CAPTURADO</x:v>
      </x:c>
      <x:c r="F31" s="4" t="str">
        <x:v>24259</x:v>
      </x:c>
      <x:c r="G31" s="4" t="str">
        <x:v>c369495598eb1463d2bdaf32fb7c9f5d0051ed6411d4e1de75edbe5c3633ba5b</x:v>
      </x:c>
      <x:c r="H31" s="4" t="str"/>
      <x:c r="I31" s="4" t="str">
        <x:v>Adquisición o identificación; no utilizada como contenido curricular.</x:v>
      </x:c>
      <x:c r="J31" s="4" t="str">
        <x:v>NO UTILIZADA EN LA PROPUESTA</x:v>
      </x:c>
      <x:c r="K31" s="4" t="n">
        <x:v>46273.828670138886</x:v>
      </x:c>
      <x:c r="L31" s="12" t="n">
        <x:f>COUNTIF('21_Fuentes_educativas'!$A$5:$A$188,A31)-1</x:f>
        <x:v>0</x:v>
      </x:c>
      <x:c r="M31" s="12" t="n">
        <x:f>IF(E31="CAPTURADO",IF(LEN(G31)=64,0,1),0)</x:f>
        <x:v>0</x:v>
      </x:c>
    </x:row>
    <x:row r="32" ht="47" customHeight="1">
      <x:c r="A32" s="4" t="str">
        <x:v>E015</x:v>
      </x:c>
      <x:c r="B32" s="4" t="str">
        <x:v>Warwick · componente de sitio (auxiliar)</x:v>
      </x:c>
      <x:c r="C32" s="4" t="str">
        <x:v>https://d36jn9qou1tztq.cloudfront.net/static_war/sitebuilder.js.160620700363</x:v>
      </x:c>
      <x:c r="D32" s="4" t="str">
        <x:v>https://d36jn9qou1tztq.cloudfront.net/static_war/sitebuilder.js.160620700363</x:v>
      </x:c>
      <x:c r="E32" s="4" t="str">
        <x:v>CAPTURADO</x:v>
      </x:c>
      <x:c r="F32" s="4" t="str">
        <x:v>39585</x:v>
      </x:c>
      <x:c r="G32" s="4" t="str">
        <x:v>f56260ba1f7437cfea13045fed3585564771559b11cc419f38a09a7c44e8e7eb</x:v>
      </x:c>
      <x:c r="H32" s="4" t="str"/>
      <x:c r="I32" s="4" t="str">
        <x:v>Adquisición o identificación; no utilizada como contenido curricular.</x:v>
      </x:c>
      <x:c r="J32" s="4" t="str">
        <x:v>NO UTILIZADA EN LA PROPUESTA</x:v>
      </x:c>
      <x:c r="K32" s="4" t="n">
        <x:v>46273.82869509259</x:v>
      </x:c>
      <x:c r="L32" s="12" t="n">
        <x:f>COUNTIF('21_Fuentes_educativas'!$A$5:$A$188,A32)-1</x:f>
        <x:v>0</x:v>
      </x:c>
      <x:c r="M32" s="12" t="n">
        <x:f>IF(E32="CAPTURADO",IF(LEN(G32)=64,0,1),0)</x:f>
        <x:v>0</x:v>
      </x:c>
    </x:row>
    <x:row r="33" ht="47" customHeight="1">
      <x:c r="A33" s="4" t="str">
        <x:v>E016</x:v>
      </x:c>
      <x:c r="B33" s="4" t="str">
        <x:v>Warwick · búsqueda WM283</x:v>
      </x:c>
      <x:c r="C33" s="4" t="str">
        <x:v>https://courses.warwick.ac.uk/?keywords=WM283</x:v>
      </x:c>
      <x:c r="D33" s="4" t="str">
        <x:v>https://courses.warwick.ac.uk/?keywords=WM283</x:v>
      </x:c>
      <x:c r="E33" s="4" t="str">
        <x:v>CAPTURADO</x:v>
      </x:c>
      <x:c r="F33" s="4" t="str">
        <x:v>11378</x:v>
      </x:c>
      <x:c r="G33" s="4" t="str">
        <x:v>9fe5487f5cd0090b1c5ce8ec392e20d11f95de802ec7ab641047fb58ef4a9878</x:v>
      </x:c>
      <x:c r="H33" s="4" t="str"/>
      <x:c r="I33" s="4" t="str">
        <x:v>Adquisición o identificación; no utilizada como contenido curricular.</x:v>
      </x:c>
      <x:c r="J33" s="4" t="str">
        <x:v>NO UTILIZADA EN LA PROPUESTA</x:v>
      </x:c>
      <x:c r="K33" s="4" t="n">
        <x:v>46273.82974849537</x:v>
      </x:c>
      <x:c r="L33" s="12" t="n">
        <x:f>COUNTIF('21_Fuentes_educativas'!$A$5:$A$188,A33)-1</x:f>
        <x:v>0</x:v>
      </x:c>
      <x:c r="M33" s="12" t="n">
        <x:f>IF(E33="CAPTURADO",IF(LEN(G33)=64,0,1),0)</x:f>
        <x:v>0</x:v>
      </x:c>
    </x:row>
    <x:row r="34" ht="47" customHeight="1">
      <x:c r="A34" s="4" t="str">
        <x:v>G001</x:v>
      </x:c>
      <x:c r="B34" s="4" t="str">
        <x:v>CIS*6590</x:v>
      </x:c>
      <x:c r="C34" s="4" t="str">
        <x:v>https://calendar.uoguelph.ca/search/?P=CIS*6590</x:v>
      </x:c>
      <x:c r="D34" s="4" t="str">
        <x:v>https://calendar.uoguelph.ca/search/?P=CIS*6590</x:v>
      </x:c>
      <x:c r="E34" s="4" t="str">
        <x:v>CAPTURADO</x:v>
      </x:c>
      <x:c r="F34" s="4" t="str">
        <x:v>205781</x:v>
      </x:c>
      <x:c r="G34" s="4" t="str">
        <x:v>f5f75c72136fe29b3beb8ba5a61609a7f0264b3bbe76ae73ec9b35f6adcf94db</x:v>
      </x:c>
      <x:c r="H34" s="4" t="str"/>
      <x:c r="I34" s="4" t="str">
        <x:v>Adquisición o identificación; no utilizada como contenido curricular.</x:v>
      </x:c>
      <x:c r="J34" s="4" t="str">
        <x:v>NO UTILIZADA EN LA PROPUESTA</x:v>
      </x:c>
      <x:c r="K34" s="4" t="n">
        <x:v>46273.82911994213</x:v>
      </x:c>
      <x:c r="L34" s="12" t="n">
        <x:f>COUNTIF('21_Fuentes_educativas'!$A$5:$A$188,A34)-1</x:f>
        <x:v>0</x:v>
      </x:c>
      <x:c r="M34" s="12" t="n">
        <x:f>IF(E34="CAPTURADO",IF(LEN(G34)=64,0,1),0)</x:f>
        <x:v>0</x:v>
      </x:c>
    </x:row>
    <x:row r="35" ht="47" customHeight="1">
      <x:c r="A35" s="4" t="str">
        <x:v>G002</x:v>
      </x:c>
      <x:c r="B35" s="4" t="str">
        <x:v>CIS*6510</x:v>
      </x:c>
      <x:c r="C35" s="4" t="str">
        <x:v>https://calendar.uoguelph.ca/search/?P=CIS*6510</x:v>
      </x:c>
      <x:c r="D35" s="4" t="str">
        <x:v>https://calendar.uoguelph.ca/search/?P=CIS*6510</x:v>
      </x:c>
      <x:c r="E35" s="4" t="str">
        <x:v>CAPTURADO</x:v>
      </x:c>
      <x:c r="F35" s="4" t="str">
        <x:v>206434</x:v>
      </x:c>
      <x:c r="G35" s="4" t="str">
        <x:v>7ae01cdf68aa5938aeac762b9815f0b218dd4df65531cba22a6550132a760f2d</x:v>
      </x:c>
      <x:c r="H35" s="4" t="str"/>
      <x:c r="I35" s="4" t="str">
        <x:v>Adquisición o identificación; no utilizada como contenido curricular.</x:v>
      </x:c>
      <x:c r="J35" s="4" t="str">
        <x:v>NO UTILIZADA EN LA PROPUESTA</x:v>
      </x:c>
      <x:c r="K35" s="4" t="n">
        <x:v>46273.82912209491</x:v>
      </x:c>
      <x:c r="L35" s="12" t="n">
        <x:f>COUNTIF('21_Fuentes_educativas'!$A$5:$A$188,A35)-1</x:f>
        <x:v>0</x:v>
      </x:c>
      <x:c r="M35" s="12" t="n">
        <x:f>IF(E35="CAPTURADO",IF(LEN(G35)=64,0,1),0)</x:f>
        <x:v>0</x:v>
      </x:c>
    </x:row>
    <x:row r="36" ht="47" customHeight="1">
      <x:c r="A36" s="4" t="str">
        <x:v>G003</x:v>
      </x:c>
      <x:c r="B36" s="4" t="str">
        <x:v>CIS*6520</x:v>
      </x:c>
      <x:c r="C36" s="4" t="str">
        <x:v>https://calendar.uoguelph.ca/search/?P=CIS*6520</x:v>
      </x:c>
      <x:c r="D36" s="4" t="str">
        <x:v>https://calendar.uoguelph.ca/search/?P=CIS*6520</x:v>
      </x:c>
      <x:c r="E36" s="4" t="str">
        <x:v>CAPTURADO</x:v>
      </x:c>
      <x:c r="F36" s="4" t="str">
        <x:v>204778</x:v>
      </x:c>
      <x:c r="G36" s="4" t="str">
        <x:v>9fe08f36b056e02991ecbc1d44d7db3f1d2793de545f3204f623208d72221a1c</x:v>
      </x:c>
      <x:c r="H36" s="4" t="str"/>
      <x:c r="I36" s="4" t="str">
        <x:v>Adquisición o identificación; no utilizada como contenido curricular.</x:v>
      </x:c>
      <x:c r="J36" s="4" t="str">
        <x:v>NO UTILIZADA EN LA PROPUESTA</x:v>
      </x:c>
      <x:c r="K36" s="4" t="n">
        <x:v>46273.82926456018</x:v>
      </x:c>
      <x:c r="L36" s="12" t="n">
        <x:f>COUNTIF('21_Fuentes_educativas'!$A$5:$A$188,A36)-1</x:f>
        <x:v>0</x:v>
      </x:c>
      <x:c r="M36" s="12" t="n">
        <x:f>IF(E36="CAPTURADO",IF(LEN(G36)=64,0,1),0)</x:f>
        <x:v>0</x:v>
      </x:c>
    </x:row>
    <x:row r="37" ht="47" customHeight="1">
      <x:c r="A37" s="4" t="str">
        <x:v>G004</x:v>
      </x:c>
      <x:c r="B37" s="4" t="str">
        <x:v>CIS*6530</x:v>
      </x:c>
      <x:c r="C37" s="4" t="str">
        <x:v>https://calendar.uoguelph.ca/search/?P=CIS*6530</x:v>
      </x:c>
      <x:c r="D37" s="4" t="str">
        <x:v>https://calendar.uoguelph.ca/search/?P=CIS*6530</x:v>
      </x:c>
      <x:c r="E37" s="4" t="str">
        <x:v>CAPTURADO</x:v>
      </x:c>
      <x:c r="F37" s="4" t="str">
        <x:v>204809</x:v>
      </x:c>
      <x:c r="G37" s="4" t="str">
        <x:v>9f78fb0df8f95031968ec0b272cff033fe69684210f6be6902901e6fbde88cd1</x:v>
      </x:c>
      <x:c r="H37" s="4" t="str"/>
      <x:c r="I37" s="4" t="str">
        <x:v>Título/descripción discordantes o duplicados entre fichas; contenido apartado.</x:v>
      </x:c>
      <x:c r="J37" s="4" t="str">
        <x:v>RESERVA_POR_DISCORDANCIA</x:v>
      </x:c>
      <x:c r="K37" s="4" t="n">
        <x:v>46273.829264479165</x:v>
      </x:c>
      <x:c r="L37" s="12" t="n">
        <x:f>COUNTIF('21_Fuentes_educativas'!$A$5:$A$188,A37)-1</x:f>
        <x:v>0</x:v>
      </x:c>
      <x:c r="M37" s="12" t="n">
        <x:f>IF(E37="CAPTURADO",IF(LEN(G37)=64,0,1),0)</x:f>
        <x:v>0</x:v>
      </x:c>
    </x:row>
    <x:row r="38" ht="47" customHeight="1">
      <x:c r="A38" s="4" t="str">
        <x:v>G005</x:v>
      </x:c>
      <x:c r="B38" s="4" t="str">
        <x:v>CIS*6540</x:v>
      </x:c>
      <x:c r="C38" s="4" t="str">
        <x:v>https://calendar.uoguelph.ca/search/?P=CIS*6540</x:v>
      </x:c>
      <x:c r="D38" s="4" t="str">
        <x:v>https://calendar.uoguelph.ca/search/?P=CIS*6540</x:v>
      </x:c>
      <x:c r="E38" s="4" t="str">
        <x:v>CAPTURADO</x:v>
      </x:c>
      <x:c r="F38" s="4" t="str">
        <x:v>204806</x:v>
      </x:c>
      <x:c r="G38" s="4" t="str">
        <x:v>8546fcb0a6c0a994d3795af3dbc7a5eeb6a7083dfedf46f2f09a23a41e7394a3</x:v>
      </x:c>
      <x:c r="H38" s="4" t="str"/>
      <x:c r="I38" s="4" t="str">
        <x:v>Título/descripción discordantes o duplicados entre fichas; contenido apartado.</x:v>
      </x:c>
      <x:c r="J38" s="4" t="str">
        <x:v>RESERVA_POR_DISCORDANCIA</x:v>
      </x:c>
      <x:c r="K38" s="4" t="n">
        <x:v>46273.829260370374</x:v>
      </x:c>
      <x:c r="L38" s="12" t="n">
        <x:f>COUNTIF('21_Fuentes_educativas'!$A$5:$A$188,A38)-1</x:f>
        <x:v>0</x:v>
      </x:c>
      <x:c r="M38" s="12" t="n">
        <x:f>IF(E38="CAPTURADO",IF(LEN(G38)=64,0,1),0)</x:f>
        <x:v>0</x:v>
      </x:c>
    </x:row>
    <x:row r="39" ht="47" customHeight="1">
      <x:c r="A39" s="4" t="str">
        <x:v>G006</x:v>
      </x:c>
      <x:c r="B39" s="4" t="str">
        <x:v>CIS*6550</x:v>
      </x:c>
      <x:c r="C39" s="4" t="str">
        <x:v>https://calendar.uoguelph.ca/search/?P=CIS*6550</x:v>
      </x:c>
      <x:c r="D39" s="4" t="str">
        <x:v>https://calendar.uoguelph.ca/search/?P=CIS*6550</x:v>
      </x:c>
      <x:c r="E39" s="4" t="str">
        <x:v>CAPTURADO</x:v>
      </x:c>
      <x:c r="F39" s="4" t="str">
        <x:v>205264</x:v>
      </x:c>
      <x:c r="G39" s="4" t="str">
        <x:v>14a9f0d46f473072ae72a6288a2ec7bc32daf76a982197f74bc1085d59d26136</x:v>
      </x:c>
      <x:c r="H39" s="4" t="str"/>
      <x:c r="I39" s="4" t="str">
        <x:v>Adquisición o identificación; no utilizada como contenido curricular.</x:v>
      </x:c>
      <x:c r="J39" s="4" t="str">
        <x:v>NO UTILIZADA EN LA PROPUESTA</x:v>
      </x:c>
      <x:c r="K39" s="4" t="n">
        <x:v>46273.82926196759</x:v>
      </x:c>
      <x:c r="L39" s="12" t="n">
        <x:f>COUNTIF('21_Fuentes_educativas'!$A$5:$A$188,A39)-1</x:f>
        <x:v>0</x:v>
      </x:c>
      <x:c r="M39" s="12" t="n">
        <x:f>IF(E39="CAPTURADO",IF(LEN(G39)=64,0,1),0)</x:f>
        <x:v>0</x:v>
      </x:c>
    </x:row>
    <x:row r="40" ht="47" customHeight="1">
      <x:c r="A40" s="4" t="str">
        <x:v>G007</x:v>
      </x:c>
      <x:c r="B40" s="4" t="str">
        <x:v>CIS*6560</x:v>
      </x:c>
      <x:c r="C40" s="4" t="str">
        <x:v>https://calendar.uoguelph.ca/search/?P=CIS*6560</x:v>
      </x:c>
      <x:c r="D40" s="4" t="str">
        <x:v>https://calendar.uoguelph.ca/search/?P=CIS*6560</x:v>
      </x:c>
      <x:c r="E40" s="4" t="str">
        <x:v>CAPTURADO</x:v>
      </x:c>
      <x:c r="F40" s="4" t="str">
        <x:v>204815</x:v>
      </x:c>
      <x:c r="G40" s="4" t="str">
        <x:v>2d2a5f76fa41b647c7e37f988d4b9c7dbd761c4a2aa741488b6fd8538a841b56</x:v>
      </x:c>
      <x:c r="H40" s="4" t="str"/>
      <x:c r="I40" s="4" t="str">
        <x:v>Plan, descripción o apartados utilizados; localizadores en 14–20.</x:v>
      </x:c>
      <x:c r="J40" s="4" t="str">
        <x:v>REFERENCIA_REVISADA</x:v>
      </x:c>
      <x:c r="K40" s="4" t="n">
        <x:v>46273.829264409724</x:v>
      </x:c>
      <x:c r="L40" s="12" t="n">
        <x:f>COUNTIF('21_Fuentes_educativas'!$A$5:$A$188,A40)-1</x:f>
        <x:v>0</x:v>
      </x:c>
      <x:c r="M40" s="12" t="n">
        <x:f>IF(E40="CAPTURADO",IF(LEN(G40)=64,0,1),0)</x:f>
        <x:v>0</x:v>
      </x:c>
    </x:row>
    <x:row r="41" ht="47" customHeight="1">
      <x:c r="A41" s="4" t="str">
        <x:v>G008</x:v>
      </x:c>
      <x:c r="B41" s="4" t="str">
        <x:v>CIS*6570</x:v>
      </x:c>
      <x:c r="C41" s="4" t="str">
        <x:v>https://calendar.uoguelph.ca/search/?P=CIS*6570</x:v>
      </x:c>
      <x:c r="D41" s="4" t="str">
        <x:v>https://calendar.uoguelph.ca/search/?P=CIS*6570</x:v>
      </x:c>
      <x:c r="E41" s="4" t="str">
        <x:v>CAPTURADO</x:v>
      </x:c>
      <x:c r="F41" s="4" t="str">
        <x:v>204657</x:v>
      </x:c>
      <x:c r="G41" s="4" t="str">
        <x:v>b68494f204e1b676ea6fdbf28c240fec090fa238110653bfc1417c6eeb0e96dd</x:v>
      </x:c>
      <x:c r="H41" s="4" t="str"/>
      <x:c r="I41" s="4" t="str">
        <x:v>Adquisición o identificación; no utilizada como contenido curricular.</x:v>
      </x:c>
      <x:c r="J41" s="4" t="str">
        <x:v>NO UTILIZADA EN LA PROPUESTA</x:v>
      </x:c>
      <x:c r="K41" s="4" t="n">
        <x:v>46273.82926300926</x:v>
      </x:c>
      <x:c r="L41" s="12" t="n">
        <x:f>COUNTIF('21_Fuentes_educativas'!$A$5:$A$188,A41)-1</x:f>
        <x:v>0</x:v>
      </x:c>
      <x:c r="M41" s="12" t="n">
        <x:f>IF(E41="CAPTURADO",IF(LEN(G41)=64,0,1),0)</x:f>
        <x:v>0</x:v>
      </x:c>
    </x:row>
    <x:row r="42" ht="47" customHeight="1">
      <x:c r="A42" s="4" t="str">
        <x:v>G009</x:v>
      </x:c>
      <x:c r="B42" s="4" t="str">
        <x:v>CIS*6580</x:v>
      </x:c>
      <x:c r="C42" s="4" t="str">
        <x:v>https://calendar.uoguelph.ca/search/?P=CIS*6580</x:v>
      </x:c>
      <x:c r="D42" s="4" t="str">
        <x:v>https://calendar.uoguelph.ca/search/?P=CIS*6580</x:v>
      </x:c>
      <x:c r="E42" s="4" t="str">
        <x:v>CAPTURADO</x:v>
      </x:c>
      <x:c r="F42" s="4" t="str">
        <x:v>204762</x:v>
      </x:c>
      <x:c r="G42" s="4" t="str">
        <x:v>c9f2de63531cf3fae6276560e1f08aaa8b324a3b0ba83a7d3ec37062ee34d8d2</x:v>
      </x:c>
      <x:c r="H42" s="4" t="str"/>
      <x:c r="I42" s="4" t="str">
        <x:v>Plan, descripción o apartados utilizados; localizadores en 14–20.</x:v>
      </x:c>
      <x:c r="J42" s="4" t="str">
        <x:v>REFERENCIA_REVISADA</x:v>
      </x:c>
      <x:c r="K42" s="4" t="n">
        <x:v>46273.82939540509</x:v>
      </x:c>
      <x:c r="L42" s="12" t="n">
        <x:f>COUNTIF('21_Fuentes_educativas'!$A$5:$A$188,A42)-1</x:f>
        <x:v>0</x:v>
      </x:c>
      <x:c r="M42" s="12" t="n">
        <x:f>IF(E42="CAPTURADO",IF(LEN(G42)=64,0,1),0)</x:f>
        <x:v>0</x:v>
      </x:c>
    </x:row>
    <x:row r="43" ht="47" customHeight="1">
      <x:c r="A43" s="4" t="str">
        <x:v>G010</x:v>
      </x:c>
      <x:c r="B43" s="4" t="str">
        <x:v>CIS*6670</x:v>
      </x:c>
      <x:c r="C43" s="4" t="str">
        <x:v>https://calendar.uoguelph.ca/search/?P=CIS*6670</x:v>
      </x:c>
      <x:c r="D43" s="4" t="str">
        <x:v>https://calendar.uoguelph.ca/search/?P=CIS*6670</x:v>
      </x:c>
      <x:c r="E43" s="4" t="str">
        <x:v>CAPTURADO</x:v>
      </x:c>
      <x:c r="F43" s="4" t="str">
        <x:v>204802</x:v>
      </x:c>
      <x:c r="G43" s="4" t="str">
        <x:v>180d358cf1847b1767967aed30c7610867e61557dd161a79ccd4cc1c1094c25a</x:v>
      </x:c>
      <x:c r="H43" s="4" t="str"/>
      <x:c r="I43" s="4" t="str">
        <x:v>Adquisición o identificación; no utilizada como contenido curricular.</x:v>
      </x:c>
      <x:c r="J43" s="4" t="str">
        <x:v>NO UTILIZADA EN LA PROPUESTA</x:v>
      </x:c>
      <x:c r="K43" s="4" t="n">
        <x:v>46273.82940072917</x:v>
      </x:c>
      <x:c r="L43" s="12" t="n">
        <x:f>COUNTIF('21_Fuentes_educativas'!$A$5:$A$188,A43)-1</x:f>
        <x:v>0</x:v>
      </x:c>
      <x:c r="M43" s="12" t="n">
        <x:f>IF(E43="CAPTURADO",IF(LEN(G43)=64,0,1),0)</x:f>
        <x:v>0</x:v>
      </x:c>
    </x:row>
    <x:row r="44" ht="76" customHeight="1">
      <x:c r="A44" s="4" t="str">
        <x:v>I001</x:v>
      </x:c>
      <x:c r="B44" s="4" t="str">
        <x:v>acta-secuencia-constitutiva-custodia-rumbo-y-acoplamiento-lenguaje-sv-inmunologia-2026-09-02-v0.1.md</x:v>
      </x:c>
      <x:c r="C44" s="4" t="str">
        <x:v>https://raw.githubusercontent.com/juantoniolloretegea/SVperitus-dataset/fe8adf76aa030ba5ff4997be5772b5de5e4452f3/dominios/inmunologia/cambio-rumbo/acta-secuencia-constitutiva-custodia-rumbo-y-acoplamiento-lenguaje-sv-inmunologia-2026-09-02-v0.1.md</x:v>
      </x:c>
      <x:c r="D44" s="4" t="str">
        <x:v>https://raw.githubusercontent.com/juantoniolloretegea/SVperitus-dataset/fe8adf76aa030ba5ff4997be5772b5de5e4452f3/dominios/inmunologia/cambio-rumbo/acta-secuencia-constitutiva-custodia-rumbo-y-acoplamiento-lenguaje-sv-inmunologia-2026-09-02-v0.1.md</x:v>
      </x:c>
      <x:c r="E44" s="4" t="str">
        <x:v>CAPTURADO</x:v>
      </x:c>
      <x:c r="F44" s="4" t="str">
        <x:v>21217</x:v>
      </x:c>
      <x:c r="G44" s="4" t="str">
        <x:v>560cd6ba31dedc6f9a4c3dbab4eb6089ffca3cf4d4e0105d49bf0ecd6b6e5ba9</x:v>
      </x:c>
      <x:c r="H44" s="4" t="str"/>
      <x:c r="I44" s="4" t="str">
        <x:v>Lectura de método y precedencia; no traslada contenido clínico ni permisos de Inmunología.</x:v>
      </x:c>
      <x:c r="J44" s="4" t="str">
        <x:v>REFERENCIA_DE_METODO</x:v>
      </x:c>
      <x:c r="K44" s="4" t="n">
        <x:v>46273.848375381946</x:v>
      </x:c>
      <x:c r="L44" s="12" t="n">
        <x:f>COUNTIF('21_Fuentes_educativas'!$A$5:$A$188,A44)-1</x:f>
        <x:v>0</x:v>
      </x:c>
      <x:c r="M44" s="12" t="n">
        <x:f>IF(E44="CAPTURADO",IF(LEN(G44)=64,0,1),0)</x:f>
        <x:v>0</x:v>
      </x:c>
    </x:row>
    <x:row r="45" ht="76" customHeight="1">
      <x:c r="A45" s="4" t="str">
        <x:v>I002</x:v>
      </x:c>
      <x:c r="B45" s="4" t="str">
        <x:v>Recepcion_normalizada_auditoria_externa_acta_estratificacion_clinica_autoridad_y_ejecucion_v0.1_2026-09-02.md</x:v>
      </x:c>
      <x:c r="C45" s="4" t="str">
        <x:v>https://raw.githubusercontent.com/juantoniolloretegea/SVperitus-dataset/2dce3c597c1e71439f304045283980fea69a7e9c/dominios/inmunologia/cambio-rumbo/Recepcion_normalizada_auditoria_externa_acta_estratificacion_clinica_autoridad_y_ejecucion_v0.1_2026-09-02.md</x:v>
      </x:c>
      <x:c r="D45" s="4" t="str">
        <x:v>https://raw.githubusercontent.com/juantoniolloretegea/SVperitus-dataset/2dce3c597c1e71439f304045283980fea69a7e9c/dominios/inmunologia/cambio-rumbo/Recepcion_normalizada_auditoria_externa_acta_estratificacion_clinica_autoridad_y_ejecucion_v0.1_2026-09-02.md</x:v>
      </x:c>
      <x:c r="E45" s="4" t="str">
        <x:v>CAPTURADO</x:v>
      </x:c>
      <x:c r="F45" s="4" t="str">
        <x:v>6424</x:v>
      </x:c>
      <x:c r="G45" s="4" t="str">
        <x:v>7b51609598053af504c4e0eb148c1406979f5b4338b56c5caf435e88730cfbfe</x:v>
      </x:c>
      <x:c r="H45" s="4" t="str"/>
      <x:c r="I45" s="4" t="str">
        <x:v>Lectura de método y precedencia; no traslada contenido clínico ni permisos de Inmunología.</x:v>
      </x:c>
      <x:c r="J45" s="4" t="str">
        <x:v>REFERENCIA_DE_METODO</x:v>
      </x:c>
      <x:c r="K45" s="4" t="n">
        <x:v>46273.848374340276</x:v>
      </x:c>
      <x:c r="L45" s="12" t="n">
        <x:f>COUNTIF('21_Fuentes_educativas'!$A$5:$A$188,A45)-1</x:f>
        <x:v>0</x:v>
      </x:c>
      <x:c r="M45" s="12" t="n">
        <x:f>IF(E45="CAPTURADO",IF(LEN(G45)=64,0,1),0)</x:f>
        <x:v>0</x:v>
      </x:c>
    </x:row>
    <x:row r="46" ht="76" customHeight="1">
      <x:c r="A46" s="4" t="str">
        <x:v>I003</x:v>
      </x:c>
      <x:c r="B46" s="4" t="str">
        <x:v>adenda-reconciliacion-secuencia-constitutiva-y-puertas-inmunologia-2026-09-02-v0.1.md</x:v>
      </x:c>
      <x:c r="C46" s="4" t="str">
        <x:v>https://raw.githubusercontent.com/juantoniolloretegea/SVperitus-dataset/fe8adf76aa030ba5ff4997be5772b5de5e4452f3/dominios/inmunologia/cambio-rumbo/adenda-reconciliacion-secuencia-constitutiva-y-puertas-inmunologia-2026-09-02-v0.1.md</x:v>
      </x:c>
      <x:c r="D46" s="4" t="str">
        <x:v>https://raw.githubusercontent.com/juantoniolloretegea/SVperitus-dataset/fe8adf76aa030ba5ff4997be5772b5de5e4452f3/dominios/inmunologia/cambio-rumbo/adenda-reconciliacion-secuencia-constitutiva-y-puertas-inmunologia-2026-09-02-v0.1.md</x:v>
      </x:c>
      <x:c r="E46" s="4" t="str">
        <x:v>CAPTURADO</x:v>
      </x:c>
      <x:c r="F46" s="4" t="str">
        <x:v>13583</x:v>
      </x:c>
      <x:c r="G46" s="4" t="str">
        <x:v>bee483117b1572d849cfa66cd09b0fc52051e2b866997fa3a357d4b4a8ad28cf</x:v>
      </x:c>
      <x:c r="H46" s="4" t="str"/>
      <x:c r="I46" s="4" t="str">
        <x:v>Lectura de método y precedencia; no traslada contenido clínico ni permisos de Inmunología.</x:v>
      </x:c>
      <x:c r="J46" s="4" t="str">
        <x:v>REFERENCIA_DE_METODO</x:v>
      </x:c>
      <x:c r="K46" s="4" t="n">
        <x:v>46273.848374085646</x:v>
      </x:c>
      <x:c r="L46" s="12" t="n">
        <x:f>COUNTIF('21_Fuentes_educativas'!$A$5:$A$188,A46)-1</x:f>
        <x:v>0</x:v>
      </x:c>
      <x:c r="M46" s="12" t="n">
        <x:f>IF(E46="CAPTURADO",IF(LEN(G46)=64,0,1),0)</x:f>
        <x:v>0</x:v>
      </x:c>
    </x:row>
    <x:row r="47" ht="76" customHeight="1">
      <x:c r="A47" s="4" t="str">
        <x:v>I004</x:v>
      </x:c>
      <x:c r="B47" s="4" t="str">
        <x:v>manifiesto-terminal-alcance-cobertura-y-terminacion-OP-IMM-001-Q0-v0-2026-09-03.md</x:v>
      </x:c>
      <x:c r="C47" s="4" t="str">
        <x:v>https://raw.githubusercontent.com/juantoniolloretegea/SVperitus-dataset/fe8adf76aa030ba5ff4997be5772b5de5e4452f3/dominios/inmunologia/cambio-rumbo/manifiesto-terminal-alcance-cobertura-y-terminacion-OP-IMM-001-Q0-v0-2026-09-03.md</x:v>
      </x:c>
      <x:c r="D47" s="4" t="str">
        <x:v>https://raw.githubusercontent.com/juantoniolloretegea/SVperitus-dataset/fe8adf76aa030ba5ff4997be5772b5de5e4452f3/dominios/inmunologia/cambio-rumbo/manifiesto-terminal-alcance-cobertura-y-terminacion-OP-IMM-001-Q0-v0-2026-09-03.md</x:v>
      </x:c>
      <x:c r="E47" s="4" t="str">
        <x:v>CAPTURADO</x:v>
      </x:c>
      <x:c r="F47" s="4" t="str">
        <x:v>13263</x:v>
      </x:c>
      <x:c r="G47" s="4" t="str">
        <x:v>ac5d8ca551f5721d91a9dae8d84d79cc047a3720c5c68377fbbdda480526bfbe</x:v>
      </x:c>
      <x:c r="H47" s="4" t="str"/>
      <x:c r="I47" s="4" t="str">
        <x:v>Lectura de método y precedencia; no traslada contenido clínico ni permisos de Inmunología.</x:v>
      </x:c>
      <x:c r="J47" s="4" t="str">
        <x:v>REFERENCIA_DE_METODO</x:v>
      </x:c>
      <x:c r="K47" s="4" t="n">
        <x:v>46273.84837541667</x:v>
      </x:c>
      <x:c r="L47" s="12" t="n">
        <x:f>COUNTIF('21_Fuentes_educativas'!$A$5:$A$188,A47)-1</x:f>
        <x:v>0</x:v>
      </x:c>
      <x:c r="M47" s="12" t="n">
        <x:f>IF(E47="CAPTURADO",IF(LEN(G47)=64,0,1),0)</x:f>
        <x:v>0</x:v>
      </x:c>
    </x:row>
    <x:row r="48" ht="76" customHeight="1">
      <x:c r="A48" s="4" t="str">
        <x:v>I005</x:v>
      </x:c>
      <x:c r="B48" s="4" t="str">
        <x:v>Instrucción aprobada de Ciberseguridad · v1.2</x:v>
      </x:c>
      <x:c r="C48" s="4" t="str">
        <x:v>https://raw.githubusercontent.com/juantoniolloretegea/SVperitus-dataset/47dc27aec9e7b517c27cfcf39b7ad1b186d36a4c/dominios/ciberseguridad-inteligente/dominio-04-09-26/watson-biblioteca-ciber/Aprobada_INSTRUCCION_RELEVO_CIBERSEGURIDAD_INTELIGENTE_2026_09_08.md</x:v>
      </x:c>
      <x:c r="D48" s="4" t="str">
        <x:v>https://raw.githubusercontent.com/juantoniolloretegea/SVperitus-dataset/47dc27aec9e7b517c27cfcf39b7ad1b186d36a4c/dominios/ciberseguridad-inteligente/dominio-04-09-26/watson-biblioteca-ciber/Aprobada_INSTRUCCION_RELEVO_CIBERSEGURIDAD_INTELIGENTE_2026_09_08.md</x:v>
      </x:c>
      <x:c r="E48" s="4" t="str">
        <x:v>CAPTURADO</x:v>
      </x:c>
      <x:c r="F48" s="4" t="str">
        <x:v>57734</x:v>
      </x:c>
      <x:c r="G48" s="4" t="str">
        <x:v>0d35f7511a1754a7bc16c50609714445a294e6505aa1ae91678a05222192e57a</x:v>
      </x:c>
      <x:c r="H48" s="4" t="str"/>
      <x:c r="I48" s="4" t="str">
        <x:v>Lectura de método y precedencia; no traslada contenido clínico ni permisos de Inmunología.</x:v>
      </x:c>
      <x:c r="J48" s="4" t="str">
        <x:v>REFERENCIA_DE_METODO</x:v>
      </x:c>
      <x:c r="K48" s="4" t="n">
        <x:v>46273.84837581019</x:v>
      </x:c>
      <x:c r="L48" s="12" t="n">
        <x:f>COUNTIF('21_Fuentes_educativas'!$A$5:$A$188,A48)-1</x:f>
        <x:v>0</x:v>
      </x:c>
      <x:c r="M48" s="12" t="n">
        <x:f>IF(E48="CAPTURADO",IF(LEN(G48)=64,0,1),0)</x:f>
        <x:v>0</x:v>
      </x:c>
    </x:row>
    <x:row r="49" ht="47" customHeight="1">
      <x:c r="A49" s="4" t="str">
        <x:v>M001</x:v>
      </x:c>
      <x:c r="B49" s="4" t="str">
        <x:v>Cyber Security Industry Project 1</x:v>
      </x:c>
      <x:c r="C49" s="4" t="str">
        <x:v>https://www.handbook.unsw.edu.au/undergraduate/courses/2026/ZSPS2119</x:v>
      </x:c>
      <x:c r="D49" s="4" t="str">
        <x:v>https://www.handbook.unsw.edu.au/undergraduate/courses/2026/ZSPS2119</x:v>
      </x:c>
      <x:c r="E49" s="4" t="str">
        <x:v>CAPTURADO</x:v>
      </x:c>
      <x:c r="F49" s="4" t="str">
        <x:v>302868</x:v>
      </x:c>
      <x:c r="G49" s="4" t="str">
        <x:v>1407c5b86575a4633bdfcff893df35718c3c669e5273ee66197c4e4effe76978</x:v>
      </x:c>
      <x:c r="H49" s="4" t="str"/>
      <x:c r="I49" s="4" t="str">
        <x:v>Plan, descripción o apartados utilizados; localizadores en 14–20.</x:v>
      </x:c>
      <x:c r="J49" s="4" t="str">
        <x:v>REFERENCIA_REVISADA</x:v>
      </x:c>
      <x:c r="K49" s="4" t="n">
        <x:v>46273.83266310185</x:v>
      </x:c>
      <x:c r="L49" s="12" t="n">
        <x:f>COUNTIF('21_Fuentes_educativas'!$A$5:$A$188,A49)-1</x:f>
        <x:v>0</x:v>
      </x:c>
      <x:c r="M49" s="12" t="n">
        <x:f>IF(E49="CAPTURADO",IF(LEN(G49)=64,0,1),0)</x:f>
        <x:v>0</x:v>
      </x:c>
    </x:row>
    <x:row r="50" ht="47" customHeight="1">
      <x:c r="A50" s="4" t="str">
        <x:v>M002</x:v>
      </x:c>
      <x:c r="B50" s="4" t="str">
        <x:v>Machine Learning for Cyber Security</x:v>
      </x:c>
      <x:c r="C50" s="4" t="str">
        <x:v>https://www.handbook.unsw.edu.au/undergraduate/courses/2026/ZSPS2118</x:v>
      </x:c>
      <x:c r="D50" s="4" t="str">
        <x:v>https://www.handbook.unsw.edu.au/undergraduate/courses/2026/ZSPS2118</x:v>
      </x:c>
      <x:c r="E50" s="4" t="str">
        <x:v>CAPTURADO</x:v>
      </x:c>
      <x:c r="F50" s="4" t="str">
        <x:v>299334</x:v>
      </x:c>
      <x:c r="G50" s="4" t="str">
        <x:v>d7a8d023ff5b8013763fb62ab1ae460262dafbbf8fc328206a795fdce6795631</x:v>
      </x:c>
      <x:c r="H50" s="4" t="str"/>
      <x:c r="I50" s="4" t="str">
        <x:v>Plan, descripción o apartados utilizados; localizadores en 14–20.</x:v>
      </x:c>
      <x:c r="J50" s="4" t="str">
        <x:v>REFERENCIA_REVISADA</x:v>
      </x:c>
      <x:c r="K50" s="4" t="n">
        <x:v>46273.832650902776</x:v>
      </x:c>
      <x:c r="L50" s="12" t="n">
        <x:f>COUNTIF('21_Fuentes_educativas'!$A$5:$A$188,A50)-1</x:f>
        <x:v>0</x:v>
      </x:c>
      <x:c r="M50" s="12" t="n">
        <x:f>IF(E50="CAPTURADO",IF(LEN(G50)=64,0,1),0)</x:f>
        <x:v>0</x:v>
      </x:c>
    </x:row>
    <x:row r="51" ht="47" customHeight="1">
      <x:c r="A51" s="4" t="str">
        <x:v>M003</x:v>
      </x:c>
      <x:c r="B51" s="4" t="str">
        <x:v>Trustworthy AI for Cyber Security</x:v>
      </x:c>
      <x:c r="C51" s="4" t="str">
        <x:v>https://www.handbook.unsw.edu.au/undergraduate/courses/2026/ZSPS2122</x:v>
      </x:c>
      <x:c r="D51" s="4" t="str">
        <x:v>https://www.handbook.unsw.edu.au/undergraduate/courses/2026/ZSPS2122</x:v>
      </x:c>
      <x:c r="E51" s="4" t="str">
        <x:v>CAPTURADO</x:v>
      </x:c>
      <x:c r="F51" s="4" t="str">
        <x:v>300291</x:v>
      </x:c>
      <x:c r="G51" s="4" t="str">
        <x:v>307941cafcbf27b86acaab064e43763611e3800b2a01d96a90046a4c2259e0a7</x:v>
      </x:c>
      <x:c r="H51" s="4" t="str"/>
      <x:c r="I51" s="4" t="str">
        <x:v>Plan, descripción o apartados utilizados; localizadores en 14–20.</x:v>
      </x:c>
      <x:c r="J51" s="4" t="str">
        <x:v>REFERENCIA_REVISADA</x:v>
      </x:c>
      <x:c r="K51" s="4" t="n">
        <x:v>46273.83265671296</x:v>
      </x:c>
      <x:c r="L51" s="12" t="n">
        <x:f>COUNTIF('21_Fuentes_educativas'!$A$5:$A$188,A51)-1</x:f>
        <x:v>0</x:v>
      </x:c>
      <x:c r="M51" s="12" t="n">
        <x:f>IF(E51="CAPTURADO",IF(LEN(G51)=64,0,1),0)</x:f>
        <x:v>0</x:v>
      </x:c>
    </x:row>
    <x:row r="52" ht="47" customHeight="1">
      <x:c r="A52" s="4" t="str">
        <x:v>M004</x:v>
      </x:c>
      <x:c r="B52" s="4" t="str">
        <x:v>Deep Learning for Cyber Security</x:v>
      </x:c>
      <x:c r="C52" s="4" t="str">
        <x:v>https://www.handbook.unsw.edu.au/undergraduate/courses/2026/ZSPS2121</x:v>
      </x:c>
      <x:c r="D52" s="4" t="str">
        <x:v>https://www.handbook.unsw.edu.au/undergraduate/courses/2026/ZSPS2121</x:v>
      </x:c>
      <x:c r="E52" s="4" t="str">
        <x:v>CAPTURADO</x:v>
      </x:c>
      <x:c r="F52" s="4" t="str">
        <x:v>295349</x:v>
      </x:c>
      <x:c r="G52" s="4" t="str">
        <x:v>d6c58d21fa3dd583613d9bd9a24480b531cec8ed3982d9cdc29bbfbcd98379f0</x:v>
      </x:c>
      <x:c r="H52" s="4" t="str"/>
      <x:c r="I52" s="4" t="str">
        <x:v>Plan, descripción o apartados utilizados; localizadores en 14–20.</x:v>
      </x:c>
      <x:c r="J52" s="4" t="str">
        <x:v>REFERENCIA_REVISADA</x:v>
      </x:c>
      <x:c r="K52" s="4" t="n">
        <x:v>46273.83265276621</x:v>
      </x:c>
      <x:c r="L52" s="12" t="n">
        <x:f>COUNTIF('21_Fuentes_educativas'!$A$5:$A$188,A52)-1</x:f>
        <x:v>0</x:v>
      </x:c>
      <x:c r="M52" s="12" t="n">
        <x:f>IF(E52="CAPTURADO",IF(LEN(G52)=64,0,1),0)</x:f>
        <x:v>0</x:v>
      </x:c>
    </x:row>
    <x:row r="53" ht="47" customHeight="1">
      <x:c r="A53" s="4" t="str">
        <x:v>M005</x:v>
      </x:c>
      <x:c r="B53" s="4" t="str">
        <x:v>Cyber Security Industry Project 2</x:v>
      </x:c>
      <x:c r="C53" s="4" t="str">
        <x:v>https://www.handbook.unsw.edu.au/undergraduate/courses/2027/ZSPS3117</x:v>
      </x:c>
      <x:c r="D53" s="4" t="str">
        <x:v>https://www.handbook.unsw.edu.au/undergraduate/courses/2027/ZSPS3117</x:v>
      </x:c>
      <x:c r="E53" s="4" t="str">
        <x:v>CAPTURADO</x:v>
      </x:c>
      <x:c r="F53" s="4" t="str">
        <x:v>292406</x:v>
      </x:c>
      <x:c r="G53" s="4" t="str">
        <x:v>2bd14dcf721ec803f571fe297871c85953a5923d6fdbebc0c8de285c8289db4f</x:v>
      </x:c>
      <x:c r="H53" s="4" t="str"/>
      <x:c r="I53" s="4" t="str">
        <x:v>Adquisición o identificación; no utilizada como contenido curricular.</x:v>
      </x:c>
      <x:c r="J53" s="4" t="str">
        <x:v>NO UTILIZADA EN LA PROPUESTA</x:v>
      </x:c>
      <x:c r="K53" s="4" t="n">
        <x:v>46273.8326590625</x:v>
      </x:c>
      <x:c r="L53" s="12" t="n">
        <x:f>COUNTIF('21_Fuentes_educativas'!$A$5:$A$188,A53)-1</x:f>
        <x:v>0</x:v>
      </x:c>
      <x:c r="M53" s="12" t="n">
        <x:f>IF(E53="CAPTURADO",IF(LEN(G53)=64,0,1),0)</x:f>
        <x:v>0</x:v>
      </x:c>
    </x:row>
    <x:row r="54" ht="47" customHeight="1">
      <x:c r="A54" s="4" t="str">
        <x:v>N001</x:v>
      </x:c>
      <x:c r="B54" s="4" t="str">
        <x:v>Cyber Crime and Ethics</x:v>
      </x:c>
      <x:c r="C54" s="4" t="str">
        <x:v>https://www.handbook.unsw.edu.au/undergraduate/courses/2026/ZSPS1110</x:v>
      </x:c>
      <x:c r="D54" s="4" t="str">
        <x:v>https://www.handbook.unsw.edu.au/undergraduate/courses/2026/ZSPS1110</x:v>
      </x:c>
      <x:c r="E54" s="4" t="str">
        <x:v>CAPTURADO</x:v>
      </x:c>
      <x:c r="F54" s="4" t="str">
        <x:v>299353</x:v>
      </x:c>
      <x:c r="G54" s="4" t="str">
        <x:v>c24fe67c44ea686831c8fc892770fdca9323d7f85e60108663920ab87d457ea7</x:v>
      </x:c>
      <x:c r="H54" s="4" t="str"/>
      <x:c r="I54" s="4" t="str">
        <x:v>Adquisición o identificación; no utilizada como contenido curricular.</x:v>
      </x:c>
      <x:c r="J54" s="4" t="str">
        <x:v>NO UTILIZADA EN LA PROPUESTA</x:v>
      </x:c>
      <x:c r="K54" s="4" t="n">
        <x:v>46273.8312293287</x:v>
      </x:c>
      <x:c r="L54" s="12" t="n">
        <x:f>COUNTIF('21_Fuentes_educativas'!$A$5:$A$188,A54)-1</x:f>
        <x:v>0</x:v>
      </x:c>
      <x:c r="M54" s="12" t="n">
        <x:f>IF(E54="CAPTURADO",IF(LEN(G54)=64,0,1),0)</x:f>
        <x:v>0</x:v>
      </x:c>
    </x:row>
    <x:row r="55" ht="47" customHeight="1">
      <x:c r="A55" s="4" t="str">
        <x:v>N002</x:v>
      </x:c>
      <x:c r="B55" s="4" t="str">
        <x:v>Introduction to Information Technology and Networking</x:v>
      </x:c>
      <x:c r="C55" s="4" t="str">
        <x:v>https://www.handbook.unsw.edu.au/undergraduate/courses/2026/ZSPS1111</x:v>
      </x:c>
      <x:c r="D55" s="4" t="str">
        <x:v>https://www.handbook.unsw.edu.au/undergraduate/courses/2026/ZSPS1111</x:v>
      </x:c>
      <x:c r="E55" s="4" t="str">
        <x:v>CAPTURADO</x:v>
      </x:c>
      <x:c r="F55" s="4" t="str">
        <x:v>297943</x:v>
      </x:c>
      <x:c r="G55" s="4" t="str">
        <x:v>3d1a790a6968b25fe65562168509baf4d46d40e015e27eef224b9cd608bc0733</x:v>
      </x:c>
      <x:c r="H55" s="4" t="str"/>
      <x:c r="I55" s="4" t="str">
        <x:v>Adquisición o identificación; no utilizada como contenido curricular.</x:v>
      </x:c>
      <x:c r="J55" s="4" t="str">
        <x:v>NO UTILIZADA EN LA PROPUESTA</x:v>
      </x:c>
      <x:c r="K55" s="4" t="n">
        <x:v>46273.83122980324</x:v>
      </x:c>
      <x:c r="L55" s="12" t="n">
        <x:f>COUNTIF('21_Fuentes_educativas'!$A$5:$A$188,A55)-1</x:f>
        <x:v>0</x:v>
      </x:c>
      <x:c r="M55" s="12" t="n">
        <x:f>IF(E55="CAPTURADO",IF(LEN(G55)=64,0,1),0)</x:f>
        <x:v>0</x:v>
      </x:c>
    </x:row>
    <x:row r="56" ht="47" customHeight="1">
      <x:c r="A56" s="4" t="str">
        <x:v>N003</x:v>
      </x:c>
      <x:c r="B56" s="4" t="str">
        <x:v>Programming Fundamentals</x:v>
      </x:c>
      <x:c r="C56" s="4" t="str">
        <x:v>https://www.handbook.unsw.edu.au/undergraduate/courses/2026/ZSPS1112</x:v>
      </x:c>
      <x:c r="D56" s="4" t="str">
        <x:v>https://www.handbook.unsw.edu.au/undergraduate/courses/2026/ZSPS1112</x:v>
      </x:c>
      <x:c r="E56" s="4" t="str">
        <x:v>CAPTURADO</x:v>
      </x:c>
      <x:c r="F56" s="4" t="str">
        <x:v>298051</x:v>
      </x:c>
      <x:c r="G56" s="4" t="str">
        <x:v>2c5a878e1fceb10a039b4b63a81f54bfff5af44f93db02300fbff37fa81bb657</x:v>
      </x:c>
      <x:c r="H56" s="4" t="str"/>
      <x:c r="I56" s="4" t="str">
        <x:v>Adquisición o identificación; no utilizada como contenido curricular.</x:v>
      </x:c>
      <x:c r="J56" s="4" t="str">
        <x:v>NO UTILIZADA EN LA PROPUESTA</x:v>
      </x:c>
      <x:c r="K56" s="4" t="n">
        <x:v>46273.83121847222</x:v>
      </x:c>
      <x:c r="L56" s="12" t="n">
        <x:f>COUNTIF('21_Fuentes_educativas'!$A$5:$A$188,A56)-1</x:f>
        <x:v>0</x:v>
      </x:c>
      <x:c r="M56" s="12" t="n">
        <x:f>IF(E56="CAPTURADO",IF(LEN(G56)=64,0,1),0)</x:f>
        <x:v>0</x:v>
      </x:c>
    </x:row>
    <x:row r="57" ht="47" customHeight="1">
      <x:c r="A57" s="4" t="str">
        <x:v>N004</x:v>
      </x:c>
      <x:c r="B57" s="4" t="str">
        <x:v>Computer Architecture and Operating Systems</x:v>
      </x:c>
      <x:c r="C57" s="4" t="str">
        <x:v>https://www.handbook.unsw.edu.au/undergraduate/courses/2026/ZSPS1113</x:v>
      </x:c>
      <x:c r="D57" s="4" t="str">
        <x:v>https://www.handbook.unsw.edu.au/undergraduate/courses/2026/ZSPS1113</x:v>
      </x:c>
      <x:c r="E57" s="4" t="str">
        <x:v>CAPTURADO</x:v>
      </x:c>
      <x:c r="F57" s="4" t="str">
        <x:v>300359</x:v>
      </x:c>
      <x:c r="G57" s="4" t="str">
        <x:v>0e12acc1a525ee9d208242a0d6e7246300481604f29d8db5fb8ed1079505cc07</x:v>
      </x:c>
      <x:c r="H57" s="4" t="str"/>
      <x:c r="I57" s="4" t="str">
        <x:v>Adquisición o identificación; no utilizada como contenido curricular.</x:v>
      </x:c>
      <x:c r="J57" s="4" t="str">
        <x:v>NO UTILIZADA EN LA PROPUESTA</x:v>
      </x:c>
      <x:c r="K57" s="4" t="n">
        <x:v>46273.83122</x:v>
      </x:c>
      <x:c r="L57" s="12" t="n">
        <x:f>COUNTIF('21_Fuentes_educativas'!$A$5:$A$188,A57)-1</x:f>
        <x:v>0</x:v>
      </x:c>
      <x:c r="M57" s="12" t="n">
        <x:f>IF(E57="CAPTURADO",IF(LEN(G57)=64,0,1),0)</x:f>
        <x:v>0</x:v>
      </x:c>
    </x:row>
    <x:row r="58" ht="47" customHeight="1">
      <x:c r="A58" s="4" t="str">
        <x:v>N005</x:v>
      </x:c>
      <x:c r="B58" s="4" t="str">
        <x:v>Introduction to Cyber Security</x:v>
      </x:c>
      <x:c r="C58" s="4" t="str">
        <x:v>https://www.handbook.unsw.edu.au/undergraduate/courses/2026/ZSPS1337</x:v>
      </x:c>
      <x:c r="D58" s="4" t="str">
        <x:v>https://www.handbook.unsw.edu.au/undergraduate/courses/2026/ZSPS1337</x:v>
      </x:c>
      <x:c r="E58" s="4" t="str">
        <x:v>CAPTURADO</x:v>
      </x:c>
      <x:c r="F58" s="4" t="str">
        <x:v>298996</x:v>
      </x:c>
      <x:c r="G58" s="4" t="str">
        <x:v>6977a4be83ae9ce3796bdff899dde0413d6231f1d2aa55d549e8e5e860de2802</x:v>
      </x:c>
      <x:c r="H58" s="4" t="str"/>
      <x:c r="I58" s="4" t="str">
        <x:v>Adquisición o identificación; no utilizada como contenido curricular.</x:v>
      </x:c>
      <x:c r="J58" s="4" t="str">
        <x:v>NO UTILIZADA EN LA PROPUESTA</x:v>
      </x:c>
      <x:c r="K58" s="4" t="n">
        <x:v>46273.83123318287</x:v>
      </x:c>
      <x:c r="L58" s="12" t="n">
        <x:f>COUNTIF('21_Fuentes_educativas'!$A$5:$A$188,A58)-1</x:f>
        <x:v>0</x:v>
      </x:c>
      <x:c r="M58" s="12" t="n">
        <x:f>IF(E58="CAPTURADO",IF(LEN(G58)=64,0,1),0)</x:f>
        <x:v>0</x:v>
      </x:c>
    </x:row>
    <x:row r="59" ht="47" customHeight="1">
      <x:c r="A59" s="4" t="str">
        <x:v>N006</x:v>
      </x:c>
      <x:c r="B59" s="4" t="str">
        <x:v>Data Structures &amp; Algorithmic Knowledge</x:v>
      </x:c>
      <x:c r="C59" s="4" t="str">
        <x:v>https://www.handbook.unsw.edu.au/undergraduate/courses/2026/ZSPS2110</x:v>
      </x:c>
      <x:c r="D59" s="4" t="str">
        <x:v>https://www.handbook.unsw.edu.au/undergraduate/courses/2026/ZSPS2110</x:v>
      </x:c>
      <x:c r="E59" s="4" t="str">
        <x:v>CAPTURADO</x:v>
      </x:c>
      <x:c r="F59" s="4" t="str">
        <x:v>297338</x:v>
      </x:c>
      <x:c r="G59" s="4" t="str">
        <x:v>4559c7d3efaf528316cf848da65a1d16c0ea34b296479f97ec94eb9695f71888</x:v>
      </x:c>
      <x:c r="H59" s="4" t="str"/>
      <x:c r="I59" s="4" t="str">
        <x:v>Adquisición o identificación; no utilizada como contenido curricular.</x:v>
      </x:c>
      <x:c r="J59" s="4" t="str">
        <x:v>NO UTILIZADA EN LA PROPUESTA</x:v>
      </x:c>
      <x:c r="K59" s="4" t="n">
        <x:v>46273.83122851852</x:v>
      </x:c>
      <x:c r="L59" s="12" t="n">
        <x:f>COUNTIF('21_Fuentes_educativas'!$A$5:$A$188,A59)-1</x:f>
        <x:v>0</x:v>
      </x:c>
      <x:c r="M59" s="12" t="n">
        <x:f>IF(E59="CAPTURADO",IF(LEN(G59)=64,0,1),0)</x:f>
        <x:v>0</x:v>
      </x:c>
    </x:row>
    <x:row r="60" ht="47" customHeight="1">
      <x:c r="A60" s="4" t="str">
        <x:v>N007</x:v>
      </x:c>
      <x:c r="B60" s="4" t="str">
        <x:v>Ethical Hacking &amp; Penetration Testing</x:v>
      </x:c>
      <x:c r="C60" s="4" t="str">
        <x:v>https://www.handbook.unsw.edu.au/undergraduate/courses/2026/ZSPS2113</x:v>
      </x:c>
      <x:c r="D60" s="4" t="str">
        <x:v>https://www.handbook.unsw.edu.au/undergraduate/courses/2026/ZSPS2113</x:v>
      </x:c>
      <x:c r="E60" s="4" t="str">
        <x:v>CAPTURADO</x:v>
      </x:c>
      <x:c r="F60" s="4" t="str">
        <x:v>299517</x:v>
      </x:c>
      <x:c r="G60" s="4" t="str">
        <x:v>cc945d45f922bcd7ca716193ad4e105beeee0bb9abfd46dd9fb0c15c024e1f05</x:v>
      </x:c>
      <x:c r="H60" s="4" t="str"/>
      <x:c r="I60" s="4" t="str">
        <x:v>Adquisición o identificación; no utilizada como contenido curricular.</x:v>
      </x:c>
      <x:c r="J60" s="4" t="str">
        <x:v>NO UTILIZADA EN LA PROPUESTA</x:v>
      </x:c>
      <x:c r="K60" s="4" t="n">
        <x:v>46273.831346377316</x:v>
      </x:c>
      <x:c r="L60" s="12" t="n">
        <x:f>COUNTIF('21_Fuentes_educativas'!$A$5:$A$188,A60)-1</x:f>
        <x:v>0</x:v>
      </x:c>
      <x:c r="M60" s="12" t="n">
        <x:f>IF(E60="CAPTURADO",IF(LEN(G60)=64,0,1),0)</x:f>
        <x:v>0</x:v>
      </x:c>
    </x:row>
    <x:row r="61" ht="47" customHeight="1">
      <x:c r="A61" s="4" t="str">
        <x:v>N008</x:v>
      </x:c>
      <x:c r="B61" s="4" t="str">
        <x:v>Cyber Defence</x:v>
      </x:c>
      <x:c r="C61" s="4" t="str">
        <x:v>https://www.handbook.unsw.edu.au/undergraduate/courses/2026/ZSPS2114</x:v>
      </x:c>
      <x:c r="D61" s="4" t="str">
        <x:v>https://www.handbook.unsw.edu.au/undergraduate/courses/2026/ZSPS2114</x:v>
      </x:c>
      <x:c r="E61" s="4" t="str">
        <x:v>CAPTURADO</x:v>
      </x:c>
      <x:c r="F61" s="4" t="str">
        <x:v>298582</x:v>
      </x:c>
      <x:c r="G61" s="4" t="str">
        <x:v>12b93b10175e10716257275846f6c1f4adaf82cf15fdf7f9aaff43caaed3e41b</x:v>
      </x:c>
      <x:c r="H61" s="4" t="str"/>
      <x:c r="I61" s="4" t="str">
        <x:v>Adquisición o identificación; no utilizada como contenido curricular.</x:v>
      </x:c>
      <x:c r="J61" s="4" t="str">
        <x:v>NO UTILIZADA EN LA PROPUESTA</x:v>
      </x:c>
      <x:c r="K61" s="4" t="n">
        <x:v>46273.83134208334</x:v>
      </x:c>
      <x:c r="L61" s="12" t="n">
        <x:f>COUNTIF('21_Fuentes_educativas'!$A$5:$A$188,A61)-1</x:f>
        <x:v>0</x:v>
      </x:c>
      <x:c r="M61" s="12" t="n">
        <x:f>IF(E61="CAPTURADO",IF(LEN(G61)=64,0,1),0)</x:f>
        <x:v>0</x:v>
      </x:c>
    </x:row>
    <x:row r="62" ht="47" customHeight="1">
      <x:c r="A62" s="4" t="str">
        <x:v>N009</x:v>
      </x:c>
      <x:c r="B62" s="4" t="str">
        <x:v>Computational Mathematics and Applied Cryptography</x:v>
      </x:c>
      <x:c r="C62" s="4" t="str">
        <x:v>https://www.handbook.unsw.edu.au/undergraduate/courses/2026/ZSPS2115</x:v>
      </x:c>
      <x:c r="D62" s="4" t="str">
        <x:v>https://www.handbook.unsw.edu.au/undergraduate/courses/2026/ZSPS2115</x:v>
      </x:c>
      <x:c r="E62" s="4" t="str">
        <x:v>CAPTURADO</x:v>
      </x:c>
      <x:c r="F62" s="4" t="str">
        <x:v>299640</x:v>
      </x:c>
      <x:c r="G62" s="4" t="str">
        <x:v>ee9fa428821ad0ae849f4152715e3eb21a3d5ad81612e3d01649ed7300a5ce5c</x:v>
      </x:c>
      <x:c r="H62" s="4" t="str"/>
      <x:c r="I62" s="4" t="str">
        <x:v>Adquisición o identificación; no utilizada como contenido curricular.</x:v>
      </x:c>
      <x:c r="J62" s="4" t="str">
        <x:v>NO UTILIZADA EN LA PROPUESTA</x:v>
      </x:c>
      <x:c r="K62" s="4" t="n">
        <x:v>46273.83134747685</x:v>
      </x:c>
      <x:c r="L62" s="12" t="n">
        <x:f>COUNTIF('21_Fuentes_educativas'!$A$5:$A$188,A62)-1</x:f>
        <x:v>0</x:v>
      </x:c>
      <x:c r="M62" s="12" t="n">
        <x:f>IF(E62="CAPTURADO",IF(LEN(G62)=64,0,1),0)</x:f>
        <x:v>0</x:v>
      </x:c>
    </x:row>
    <x:row r="63" ht="47" customHeight="1">
      <x:c r="A63" s="4" t="str">
        <x:v>N010</x:v>
      </x:c>
      <x:c r="B63" s="4" t="str">
        <x:v>Human-Centric Cyber Security</x:v>
      </x:c>
      <x:c r="C63" s="4" t="str">
        <x:v>https://www.handbook.unsw.edu.au/undergraduate/courses/2026/ZSPS3110</x:v>
      </x:c>
      <x:c r="D63" s="4" t="str">
        <x:v>https://www.handbook.unsw.edu.au/undergraduate/courses/2026/ZSPS3110</x:v>
      </x:c>
      <x:c r="E63" s="4" t="str">
        <x:v>CAPTURADO</x:v>
      </x:c>
      <x:c r="F63" s="4" t="str">
        <x:v>296533</x:v>
      </x:c>
      <x:c r="G63" s="4" t="str">
        <x:v>139cf1ffdc4310d34e70cfa8cb32f6d88be251ae43da8f6c7379a5b92111f9c9</x:v>
      </x:c>
      <x:c r="H63" s="4" t="str"/>
      <x:c r="I63" s="4" t="str">
        <x:v>Adquisición o identificación; no utilizada como contenido curricular.</x:v>
      </x:c>
      <x:c r="J63" s="4" t="str">
        <x:v>NO UTILIZADA EN LA PROPUESTA</x:v>
      </x:c>
      <x:c r="K63" s="4" t="n">
        <x:v>46273.831336284726</x:v>
      </x:c>
      <x:c r="L63" s="12" t="n">
        <x:f>COUNTIF('21_Fuentes_educativas'!$A$5:$A$188,A63)-1</x:f>
        <x:v>0</x:v>
      </x:c>
      <x:c r="M63" s="12" t="n">
        <x:f>IF(E63="CAPTURADO",IF(LEN(G63)=64,0,1),0)</x:f>
        <x:v>0</x:v>
      </x:c>
    </x:row>
    <x:row r="64" ht="47" customHeight="1">
      <x:c r="A64" s="4" t="str">
        <x:v>N011</x:v>
      </x:c>
      <x:c r="B64" s="4" t="str">
        <x:v>Advanced Ethical Hacking and Penetration Testing</x:v>
      </x:c>
      <x:c r="C64" s="4" t="str">
        <x:v>https://www.handbook.unsw.edu.au/undergraduate/courses/2026/ZSPS3115</x:v>
      </x:c>
      <x:c r="D64" s="4" t="str">
        <x:v>https://www.handbook.unsw.edu.au/undergraduate/courses/2026/ZSPS3115</x:v>
      </x:c>
      <x:c r="E64" s="4" t="str">
        <x:v>CAPTURADO</x:v>
      </x:c>
      <x:c r="F64" s="4" t="str">
        <x:v>295061</x:v>
      </x:c>
      <x:c r="G64" s="4" t="str">
        <x:v>54953093dd8fbce79fc64e6f49f9a835ef687a6c741a7794a7cebb504ba69c74</x:v>
      </x:c>
      <x:c r="H64" s="4" t="str"/>
      <x:c r="I64" s="4" t="str">
        <x:v>Adquisición o identificación; no utilizada como contenido curricular.</x:v>
      </x:c>
      <x:c r="J64" s="4" t="str">
        <x:v>NO UTILIZADA EN LA PROPUESTA</x:v>
      </x:c>
      <x:c r="K64" s="4" t="n">
        <x:v>46273.83133728009</x:v>
      </x:c>
      <x:c r="L64" s="12" t="n">
        <x:f>COUNTIF('21_Fuentes_educativas'!$A$5:$A$188,A64)-1</x:f>
        <x:v>0</x:v>
      </x:c>
      <x:c r="M64" s="12" t="n">
        <x:f>IF(E64="CAPTURADO",IF(LEN(G64)=64,0,1),0)</x:f>
        <x:v>0</x:v>
      </x:c>
    </x:row>
    <x:row r="65" ht="47" customHeight="1">
      <x:c r="A65" s="4" t="str">
        <x:v>N012</x:v>
      </x:c>
      <x:c r="B65" s="4" t="str">
        <x:v>Knowledge Representation and Databases</x:v>
      </x:c>
      <x:c r="C65" s="4" t="str">
        <x:v>https://www.handbook.unsw.edu.au/undergraduate/courses/2026/ZSPS2111</x:v>
      </x:c>
      <x:c r="D65" s="4" t="str">
        <x:v>https://www.handbook.unsw.edu.au/undergraduate/courses/2026/ZSPS2111</x:v>
      </x:c>
      <x:c r="E65" s="4" t="str">
        <x:v>CAPTURADO</x:v>
      </x:c>
      <x:c r="F65" s="4" t="str">
        <x:v>298370</x:v>
      </x:c>
      <x:c r="G65" s="4" t="str">
        <x:v>4a88f4439ac7059677e90812a3da7a559d67417639a5d2e9b9bc6a445b448403</x:v>
      </x:c>
      <x:c r="H65" s="4" t="str"/>
      <x:c r="I65" s="4" t="str">
        <x:v>Adquisición o identificación; no utilizada como contenido curricular.</x:v>
      </x:c>
      <x:c r="J65" s="4" t="str">
        <x:v>NO UTILIZADA EN LA PROPUESTA</x:v>
      </x:c>
      <x:c r="K65" s="4" t="n">
        <x:v>46273.83134762732</x:v>
      </x:c>
      <x:c r="L65" s="12" t="n">
        <x:f>COUNTIF('21_Fuentes_educativas'!$A$5:$A$188,A65)-1</x:f>
        <x:v>0</x:v>
      </x:c>
      <x:c r="M65" s="12" t="n">
        <x:f>IF(E65="CAPTURADO",IF(LEN(G65)=64,0,1),0)</x:f>
        <x:v>0</x:v>
      </x:c>
    </x:row>
    <x:row r="66" ht="47" customHeight="1">
      <x:c r="A66" s="4" t="str">
        <x:v>N013</x:v>
      </x:c>
      <x:c r="B66" s="4" t="str">
        <x:v>Web Application and Security</x:v>
      </x:c>
      <x:c r="C66" s="4" t="str">
        <x:v>https://www.handbook.unsw.edu.au/undergraduate/courses/2026/ZSPS2112</x:v>
      </x:c>
      <x:c r="D66" s="4" t="str">
        <x:v>https://www.handbook.unsw.edu.au/undergraduate/courses/2026/ZSPS2112</x:v>
      </x:c>
      <x:c r="E66" s="4" t="str">
        <x:v>CAPTURADO</x:v>
      </x:c>
      <x:c r="F66" s="4" t="str">
        <x:v>297061</x:v>
      </x:c>
      <x:c r="G66" s="4" t="str">
        <x:v>4d5f2568a44504081d692528f15e1ab616ead2d9d132d97a144bf37575fa1fa1</x:v>
      </x:c>
      <x:c r="H66" s="4" t="str"/>
      <x:c r="I66" s="4" t="str">
        <x:v>Adquisición o identificación; no utilizada como contenido curricular.</x:v>
      </x:c>
      <x:c r="J66" s="4" t="str">
        <x:v>NO UTILIZADA EN LA PROPUESTA</x:v>
      </x:c>
      <x:c r="K66" s="4" t="n">
        <x:v>46273.831555543984</x:v>
      </x:c>
      <x:c r="L66" s="12" t="n">
        <x:f>COUNTIF('21_Fuentes_educativas'!$A$5:$A$188,A66)-1</x:f>
        <x:v>0</x:v>
      </x:c>
      <x:c r="M66" s="12" t="n">
        <x:f>IF(E66="CAPTURADO",IF(LEN(G66)=64,0,1),0)</x:f>
        <x:v>0</x:v>
      </x:c>
    </x:row>
    <x:row r="67" ht="47" customHeight="1">
      <x:c r="A67" s="4" t="str">
        <x:v>N014</x:v>
      </x:c>
      <x:c r="B67" s="4" t="str">
        <x:v>Digital Forensics</x:v>
      </x:c>
      <x:c r="C67" s="4" t="str">
        <x:v>https://www.handbook.unsw.edu.au/undergraduate/courses/2026/ZSPS3111</x:v>
      </x:c>
      <x:c r="D67" s="4" t="str">
        <x:v>https://www.handbook.unsw.edu.au/undergraduate/courses/2026/ZSPS3111</x:v>
      </x:c>
      <x:c r="E67" s="4" t="str">
        <x:v>CAPTURADO</x:v>
      </x:c>
      <x:c r="F67" s="4" t="str">
        <x:v>298497</x:v>
      </x:c>
      <x:c r="G67" s="4" t="str">
        <x:v>0a2191786510e88c2e0ea14317ce1cee6832b3ac45ba4554bf9f63941ed3a94c</x:v>
      </x:c>
      <x:c r="H67" s="4" t="str"/>
      <x:c r="I67" s="4" t="str">
        <x:v>Adquisición o identificación; no utilizada como contenido curricular.</x:v>
      </x:c>
      <x:c r="J67" s="4" t="str">
        <x:v>NO UTILIZADA EN LA PROPUESTA</x:v>
      </x:c>
      <x:c r="K67" s="4" t="n">
        <x:v>46273.831566875</x:v>
      </x:c>
      <x:c r="L67" s="12" t="n">
        <x:f>COUNTIF('21_Fuentes_educativas'!$A$5:$A$188,A67)-1</x:f>
        <x:v>0</x:v>
      </x:c>
      <x:c r="M67" s="12" t="n">
        <x:f>IF(E67="CAPTURADO",IF(LEN(G67)=64,0,1),0)</x:f>
        <x:v>0</x:v>
      </x:c>
    </x:row>
    <x:row r="68" ht="47" customHeight="1">
      <x:c r="A68" s="4" t="str">
        <x:v>N015</x:v>
      </x:c>
      <x:c r="B68" s="4" t="str">
        <x:v>Internet of Things and Network Security</x:v>
      </x:c>
      <x:c r="C68" s="4" t="str">
        <x:v>https://www.handbook.unsw.edu.au/undergraduate/courses/2026/ZSPS3112</x:v>
      </x:c>
      <x:c r="D68" s="4" t="str">
        <x:v>https://www.handbook.unsw.edu.au/undergraduate/courses/2026/ZSPS3112</x:v>
      </x:c>
      <x:c r="E68" s="4" t="str">
        <x:v>CAPTURADO</x:v>
      </x:c>
      <x:c r="F68" s="4" t="str">
        <x:v>296311</x:v>
      </x:c>
      <x:c r="G68" s="4" t="str">
        <x:v>45d05d50d4ec9ee760053895f0c683befefd118a0e65380ea33868d773bc5222</x:v>
      </x:c>
      <x:c r="H68" s="4" t="str"/>
      <x:c r="I68" s="4" t="str">
        <x:v>Adquisición o identificación; no utilizada como contenido curricular.</x:v>
      </x:c>
      <x:c r="J68" s="4" t="str">
        <x:v>NO UTILIZADA EN LA PROPUESTA</x:v>
      </x:c>
      <x:c r="K68" s="4" t="n">
        <x:v>46273.831565023145</x:v>
      </x:c>
      <x:c r="L68" s="12" t="n">
        <x:f>COUNTIF('21_Fuentes_educativas'!$A$5:$A$188,A68)-1</x:f>
        <x:v>0</x:v>
      </x:c>
      <x:c r="M68" s="12" t="n">
        <x:f>IF(E68="CAPTURADO",IF(LEN(G68)=64,0,1),0)</x:f>
        <x:v>0</x:v>
      </x:c>
    </x:row>
    <x:row r="69" ht="47" customHeight="1">
      <x:c r="A69" s="4" t="str">
        <x:v>N016</x:v>
      </x:c>
      <x:c r="B69" s="4" t="str">
        <x:v>Cloud Computing and Security</x:v>
      </x:c>
      <x:c r="C69" s="4" t="str">
        <x:v>https://www.handbook.unsw.edu.au/undergraduate/courses/2026/ZSPS3113</x:v>
      </x:c>
      <x:c r="D69" s="4" t="str">
        <x:v>https://www.handbook.unsw.edu.au/undergraduate/courses/2026/ZSPS3113</x:v>
      </x:c>
      <x:c r="E69" s="4" t="str">
        <x:v>CAPTURADO</x:v>
      </x:c>
      <x:c r="F69" s="4" t="str">
        <x:v>296019</x:v>
      </x:c>
      <x:c r="G69" s="4" t="str">
        <x:v>2e020ea35921e9e3ba217b8e9fe41277e529f90a59aa4d646eaabac14f02eb15</x:v>
      </x:c>
      <x:c r="H69" s="4" t="str"/>
      <x:c r="I69" s="4" t="str">
        <x:v>Adquisición o identificación; no utilizada como contenido curricular.</x:v>
      </x:c>
      <x:c r="J69" s="4" t="str">
        <x:v>NO UTILIZADA EN LA PROPUESTA</x:v>
      </x:c>
      <x:c r="K69" s="4" t="n">
        <x:v>46273.83155616898</x:v>
      </x:c>
      <x:c r="L69" s="12" t="n">
        <x:f>COUNTIF('21_Fuentes_educativas'!$A$5:$A$188,A69)-1</x:f>
        <x:v>0</x:v>
      </x:c>
      <x:c r="M69" s="12" t="n">
        <x:f>IF(E69="CAPTURADO",IF(LEN(G69)=64,0,1),0)</x:f>
        <x:v>0</x:v>
      </x:c>
    </x:row>
    <x:row r="70" ht="47" customHeight="1">
      <x:c r="A70" s="4" t="str">
        <x:v>N017</x:v>
      </x:c>
      <x:c r="B70" s="4" t="str">
        <x:v>Critical Infrastructure Protection</x:v>
      </x:c>
      <x:c r="C70" s="4" t="str">
        <x:v>https://www.handbook.unsw.edu.au/undergraduate/courses/2026/ZSPS3114</x:v>
      </x:c>
      <x:c r="D70" s="4" t="str">
        <x:v>https://www.handbook.unsw.edu.au/undergraduate/courses/2026/ZSPS3114</x:v>
      </x:c>
      <x:c r="E70" s="4" t="str">
        <x:v>CAPTURADO</x:v>
      </x:c>
      <x:c r="F70" s="4" t="str">
        <x:v>296531</x:v>
      </x:c>
      <x:c r="G70" s="4" t="str">
        <x:v>8de6f7e955052c4482735925b41355f063641bba9a5f32bbd21d8e81bfa0872e</x:v>
      </x:c>
      <x:c r="H70" s="4" t="str"/>
      <x:c r="I70" s="4" t="str">
        <x:v>Adquisición o identificación; no utilizada como contenido curricular.</x:v>
      </x:c>
      <x:c r="J70" s="4" t="str">
        <x:v>NO UTILIZADA EN LA PROPUESTA</x:v>
      </x:c>
      <x:c r="K70" s="4" t="n">
        <x:v>46273.831566712965</x:v>
      </x:c>
      <x:c r="L70" s="12" t="n">
        <x:f>COUNTIF('21_Fuentes_educativas'!$A$5:$A$188,A70)-1</x:f>
        <x:v>0</x:v>
      </x:c>
      <x:c r="M70" s="12" t="n">
        <x:f>IF(E70="CAPTURADO",IF(LEN(G70)=64,0,1),0)</x:f>
        <x:v>0</x:v>
      </x:c>
    </x:row>
    <x:row r="71" ht="47" customHeight="1">
      <x:c r="A71" s="4" t="str">
        <x:v>N018</x:v>
      </x:c>
      <x:c r="B71" s="4" t="str">
        <x:v>Cyber Risk Management &amp; Incident Response</x:v>
      </x:c>
      <x:c r="C71" s="4" t="str">
        <x:v>https://www.handbook.unsw.edu.au/undergraduate/courses/2026/ZSPS3116</x:v>
      </x:c>
      <x:c r="D71" s="4" t="str">
        <x:v>https://www.handbook.unsw.edu.au/undergraduate/courses/2026/ZSPS3116</x:v>
      </x:c>
      <x:c r="E71" s="4" t="str">
        <x:v>CAPTURADO</x:v>
      </x:c>
      <x:c r="F71" s="4" t="str">
        <x:v>296101</x:v>
      </x:c>
      <x:c r="G71" s="4" t="str">
        <x:v>16b08f3428f62b57c0c8bc7f8ed7ffa72d28ac1801c132dc55b503f5f61525c4</x:v>
      </x:c>
      <x:c r="H71" s="4" t="str"/>
      <x:c r="I71" s="4" t="str">
        <x:v>Adquisición o identificación; no utilizada como contenido curricular.</x:v>
      </x:c>
      <x:c r="J71" s="4" t="str">
        <x:v>NO UTILIZADA EN LA PROPUESTA</x:v>
      </x:c>
      <x:c r="K71" s="4" t="n">
        <x:v>46273.83156618055</x:v>
      </x:c>
      <x:c r="L71" s="12" t="n">
        <x:f>COUNTIF('21_Fuentes_educativas'!$A$5:$A$188,A71)-1</x:f>
        <x:v>0</x:v>
      </x:c>
      <x:c r="M71" s="12" t="n">
        <x:f>IF(E71="CAPTURADO",IF(LEN(G71)=64,0,1),0)</x:f>
        <x:v>0</x:v>
      </x:c>
    </x:row>
    <x:row r="72" ht="47" customHeight="1">
      <x:c r="A72" s="4" t="str">
        <x:v>N019</x:v>
      </x:c>
      <x:c r="B72" s="4" t="str">
        <x:v>Cyber Security Industry Application</x:v>
      </x:c>
      <x:c r="C72" s="4" t="str">
        <x:v>https://www.handbook.unsw.edu.au/undergraduate/specialisations/2026/ZSPSA2</x:v>
      </x:c>
      <x:c r="D72" s="4" t="str">
        <x:v>https://www.handbook.unsw.edu.au/undergraduate/specialisations/2026/ZSPSA2</x:v>
      </x:c>
      <x:c r="E72" s="4" t="str">
        <x:v>CAPTURADO</x:v>
      </x:c>
      <x:c r="F72" s="4" t="str">
        <x:v>280635</x:v>
      </x:c>
      <x:c r="G72" s="4" t="str">
        <x:v>53754dc09e31e665e2da2c81f9f699579e329aa984d510aa1615076d747d4d49</x:v>
      </x:c>
      <x:c r="H72" s="4" t="str"/>
      <x:c r="I72" s="4" t="str">
        <x:v>Adquisición o identificación; no utilizada como contenido curricular.</x:v>
      </x:c>
      <x:c r="J72" s="4" t="str">
        <x:v>NO UTILIZADA EN LA PROPUESTA</x:v>
      </x:c>
      <x:c r="K72" s="4" t="n">
        <x:v>46273.83167063657</x:v>
      </x:c>
      <x:c r="L72" s="12" t="n">
        <x:f>COUNTIF('21_Fuentes_educativas'!$A$5:$A$188,A72)-1</x:f>
        <x:v>0</x:v>
      </x:c>
      <x:c r="M72" s="12" t="n">
        <x:f>IF(E72="CAPTURADO",IF(LEN(G72)=64,0,1),0)</x:f>
        <x:v>0</x:v>
      </x:c>
    </x:row>
    <x:row r="73" ht="47" customHeight="1">
      <x:c r="A73" s="4" t="str">
        <x:v>N020</x:v>
      </x:c>
      <x:c r="B73" s="4" t="str">
        <x:v>Intelligent Cyber Security</x:v>
      </x:c>
      <x:c r="C73" s="4" t="str">
        <x:v>https://www.handbook.unsw.edu.au/undergraduate/specialisations/2026/ZSPSB2</x:v>
      </x:c>
      <x:c r="D73" s="4" t="str">
        <x:v>https://www.handbook.unsw.edu.au/undergraduate/specialisations/2026/ZSPSB2</x:v>
      </x:c>
      <x:c r="E73" s="4" t="str">
        <x:v>CAPTURADO</x:v>
      </x:c>
      <x:c r="F73" s="4" t="str">
        <x:v>279671</x:v>
      </x:c>
      <x:c r="G73" s="4" t="str">
        <x:v>26a3add84ba3937a9deed6793fee31b48b2df03a5e7dd03cdc10eb9ae8655141</x:v>
      </x:c>
      <x:c r="H73" s="4" t="str"/>
      <x:c r="I73" s="4" t="str">
        <x:v>Plan, descripción o apartados utilizados; localizadores en 14–20.</x:v>
      </x:c>
      <x:c r="J73" s="4" t="str">
        <x:v>REFERENCIA_REVISADA</x:v>
      </x:c>
      <x:c r="K73" s="4" t="n">
        <x:v>46273.83165847222</x:v>
      </x:c>
      <x:c r="L73" s="12" t="n">
        <x:f>COUNTIF('21_Fuentes_educativas'!$A$5:$A$188,A73)-1</x:f>
        <x:v>0</x:v>
      </x:c>
      <x:c r="M73" s="12" t="n">
        <x:f>IF(E73="CAPTURADO",IF(LEN(G73)=64,0,1),0)</x:f>
        <x:v>0</x:v>
      </x:c>
    </x:row>
    <x:row r="74" ht="47" customHeight="1">
      <x:c r="A74" s="4" t="str">
        <x:v>N021</x:v>
      </x:c>
      <x:c r="B74" s="4" t="str">
        <x:v>Cyber Risk Management &amp; Incident Response</x:v>
      </x:c>
      <x:c r="C74" s="4" t="str">
        <x:v>https://www.handbook.unsw.edu.au/undergraduate/courses/2026/ZSPS3116</x:v>
      </x:c>
      <x:c r="D74" s="4" t="str">
        <x:v>https://www.handbook.unsw.edu.au/undergraduate/courses/2026/ZSPS3116</x:v>
      </x:c>
      <x:c r="E74" s="4" t="str">
        <x:v>CAPTURADO</x:v>
      </x:c>
      <x:c r="F74" s="4" t="str">
        <x:v>296101</x:v>
      </x:c>
      <x:c r="G74" s="4" t="str">
        <x:v>16b08f3428f62b57c0c8bc7f8ed7ffa72d28ac1801c132dc55b503f5f61525c4</x:v>
      </x:c>
      <x:c r="H74" s="4" t="str"/>
      <x:c r="I74" s="4" t="str">
        <x:v>Adquisición o identificación; no utilizada como contenido curricular.</x:v>
      </x:c>
      <x:c r="J74" s="4" t="str">
        <x:v>NO UTILIZADA EN LA PROPUESTA</x:v>
      </x:c>
      <x:c r="K74" s="4" t="n">
        <x:v>46273.831647465275</x:v>
      </x:c>
      <x:c r="L74" s="12" t="n">
        <x:f>COUNTIF('21_Fuentes_educativas'!$A$5:$A$188,A74)-1</x:f>
        <x:v>0</x:v>
      </x:c>
      <x:c r="M74" s="12" t="n">
        <x:f>IF(E74="CAPTURADO",IF(LEN(G74)=64,0,1),0)</x:f>
        <x:v>0</x:v>
      </x:c>
    </x:row>
    <x:row r="75" ht="47" customHeight="1">
      <x:c r="A75" s="4" t="str">
        <x:v>N022</x:v>
      </x:c>
      <x:c r="B75" s="4" t="str">
        <x:v>Capacity Planning of Computer Systems and Networks</x:v>
      </x:c>
      <x:c r="C75" s="4" t="str">
        <x:v>https://www.handbook.unsw.edu.au/undergraduate/courses/2026/COMP9334</x:v>
      </x:c>
      <x:c r="D75" s="4" t="str">
        <x:v>https://www.handbook.unsw.edu.au/undergraduate/courses/2026/COMP9334</x:v>
      </x:c>
      <x:c r="E75" s="4" t="str">
        <x:v>CAPTURADO</x:v>
      </x:c>
      <x:c r="F75" s="4" t="str">
        <x:v>308998</x:v>
      </x:c>
      <x:c r="G75" s="4" t="str">
        <x:v>229ffbf7c6420ad4c3a55cf18874fbe2333f945374459ded48e89895e6f4a335</x:v>
      </x:c>
      <x:c r="H75" s="4" t="str"/>
      <x:c r="I75" s="4" t="str">
        <x:v>Adquisición o identificación; no utilizada como contenido curricular.</x:v>
      </x:c>
      <x:c r="J75" s="4" t="str">
        <x:v>NO UTILIZADA EN LA PROPUESTA</x:v>
      </x:c>
      <x:c r="K75" s="4" t="n">
        <x:v>46273.83167283565</x:v>
      </x:c>
      <x:c r="L75" s="12" t="n">
        <x:f>COUNTIF('21_Fuentes_educativas'!$A$5:$A$188,A75)-1</x:f>
        <x:v>0</x:v>
      </x:c>
      <x:c r="M75" s="12" t="n">
        <x:f>IF(E75="CAPTURADO",IF(LEN(G75)=64,0,1),0)</x:f>
        <x:v>0</x:v>
      </x:c>
    </x:row>
    <x:row r="76" ht="47" customHeight="1">
      <x:c r="A76" s="4" t="str">
        <x:v>N023</x:v>
      </x:c>
      <x:c r="B76" s="4" t="str">
        <x:v>Human Computer Interaction</x:v>
      </x:c>
      <x:c r="C76" s="4" t="str">
        <x:v>https://www.handbook.unsw.edu.au/undergraduate/courses/2026/COMP3511</x:v>
      </x:c>
      <x:c r="D76" s="4" t="str">
        <x:v>https://www.handbook.unsw.edu.au/undergraduate/courses/2026/COMP3511</x:v>
      </x:c>
      <x:c r="E76" s="4" t="str">
        <x:v>CAPTURADO</x:v>
      </x:c>
      <x:c r="F76" s="4" t="str">
        <x:v>317381</x:v>
      </x:c>
      <x:c r="G76" s="4" t="str">
        <x:v>174f90ce8784ca4f21ebd32827167544a9c6871079f7a40d4ddf404b37e56456</x:v>
      </x:c>
      <x:c r="H76" s="4" t="str"/>
      <x:c r="I76" s="4" t="str">
        <x:v>Adquisición o identificación; no utilizada como contenido curricular.</x:v>
      </x:c>
      <x:c r="J76" s="4" t="str">
        <x:v>NO UTILIZADA EN LA PROPUESTA</x:v>
      </x:c>
      <x:c r="K76" s="4" t="n">
        <x:v>46273.831659710646</x:v>
      </x:c>
      <x:c r="L76" s="12" t="n">
        <x:f>COUNTIF('21_Fuentes_educativas'!$A$5:$A$188,A76)-1</x:f>
        <x:v>0</x:v>
      </x:c>
      <x:c r="M76" s="12" t="n">
        <x:f>IF(E76="CAPTURADO",IF(LEN(G76)=64,0,1),0)</x:f>
        <x:v>0</x:v>
      </x:c>
    </x:row>
    <x:row r="77" ht="47" customHeight="1">
      <x:c r="A77" s="4" t="str">
        <x:v>N024</x:v>
      </x:c>
      <x:c r="B77" s="4" t="str">
        <x:v>Robotic Software Architecture</x:v>
      </x:c>
      <x:c r="C77" s="4" t="str">
        <x:v>https://www.handbook.unsw.edu.au/undergraduate/courses/2026/COMP3431</x:v>
      </x:c>
      <x:c r="D77" s="4" t="str">
        <x:v>https://www.handbook.unsw.edu.au/undergraduate/courses/2026/COMP3431</x:v>
      </x:c>
      <x:c r="E77" s="4" t="str">
        <x:v>CAPTURADO</x:v>
      </x:c>
      <x:c r="F77" s="4" t="str">
        <x:v>304791</x:v>
      </x:c>
      <x:c r="G77" s="4" t="str">
        <x:v>03666ded629ebc14eff462b8291d0f8c5ad4e1e572fc52c7e66318ea18f466e3</x:v>
      </x:c>
      <x:c r="H77" s="4" t="str"/>
      <x:c r="I77" s="4" t="str">
        <x:v>Adquisición o identificación; no utilizada como contenido curricular.</x:v>
      </x:c>
      <x:c r="J77" s="4" t="str">
        <x:v>NO UTILIZADA EN LA PROPUESTA</x:v>
      </x:c>
      <x:c r="K77" s="4" t="n">
        <x:v>46273.831674189816</x:v>
      </x:c>
      <x:c r="L77" s="12" t="n">
        <x:f>COUNTIF('21_Fuentes_educativas'!$A$5:$A$188,A77)-1</x:f>
        <x:v>0</x:v>
      </x:c>
      <x:c r="M77" s="12" t="n">
        <x:f>IF(E77="CAPTURADO",IF(LEN(G77)=64,0,1),0)</x:f>
        <x:v>0</x:v>
      </x:c>
    </x:row>
    <x:row r="78" ht="47" customHeight="1">
      <x:c r="A78" s="4" t="str">
        <x:v>N025</x:v>
      </x:c>
      <x:c r="B78" s="4" t="str">
        <x:v>Entrepreneurial Ecosystems</x:v>
      </x:c>
      <x:c r="C78" s="4" t="str">
        <x:v>https://www.handbook.unsw.edu.au/undergraduate/courses/2026/COMM1040</x:v>
      </x:c>
      <x:c r="D78" s="4" t="str">
        <x:v>https://www.handbook.unsw.edu.au/undergraduate/courses/2026/COMM1040</x:v>
      </x:c>
      <x:c r="E78" s="4" t="str">
        <x:v>CAPTURADO</x:v>
      </x:c>
      <x:c r="F78" s="4" t="str">
        <x:v>320382</x:v>
      </x:c>
      <x:c r="G78" s="4" t="str">
        <x:v>be9a7557a509c5c587074028fe4c4b3738dbdcd7388acb3515fec65cb2b5a3ce</x:v>
      </x:c>
      <x:c r="H78" s="4" t="str"/>
      <x:c r="I78" s="4" t="str">
        <x:v>Adquisición o identificación; no utilizada como contenido curricular.</x:v>
      </x:c>
      <x:c r="J78" s="4" t="str">
        <x:v>NO UTILIZADA EN LA PROPUESTA</x:v>
      </x:c>
      <x:c r="K78" s="4" t="n">
        <x:v>46273.83176231482</x:v>
      </x:c>
      <x:c r="L78" s="12" t="n">
        <x:f>COUNTIF('21_Fuentes_educativas'!$A$5:$A$188,A78)-1</x:f>
        <x:v>0</x:v>
      </x:c>
      <x:c r="M78" s="12" t="n">
        <x:f>IF(E78="CAPTURADO",IF(LEN(G78)=64,0,1),0)</x:f>
        <x:v>0</x:v>
      </x:c>
    </x:row>
    <x:row r="79" ht="47" customHeight="1">
      <x:c r="A79" s="4" t="str">
        <x:v>N026</x:v>
      </x:c>
      <x:c r="B79" s="4" t="str">
        <x:v>Creating Social Change: From Innovation to Impact</x:v>
      </x:c>
      <x:c r="C79" s="4" t="str">
        <x:v>https://www.handbook.unsw.edu.au/undergraduate/courses/2026/COMM2000</x:v>
      </x:c>
      <x:c r="D79" s="4" t="str">
        <x:v>https://www.handbook.unsw.edu.au/undergraduate/courses/2026/COMM2000</x:v>
      </x:c>
      <x:c r="E79" s="4" t="str">
        <x:v>CAPTURADO</x:v>
      </x:c>
      <x:c r="F79" s="4" t="str">
        <x:v>315377</x:v>
      </x:c>
      <x:c r="G79" s="4" t="str">
        <x:v>5f950e94c2edc8ad72817e888004559dbf1450bb8e7c8940c03a521951e0e979</x:v>
      </x:c>
      <x:c r="H79" s="4" t="str"/>
      <x:c r="I79" s="4" t="str">
        <x:v>Adquisición o identificación; no utilizada como contenido curricular.</x:v>
      </x:c>
      <x:c r="J79" s="4" t="str">
        <x:v>NO UTILIZADA EN LA PROPUESTA</x:v>
      </x:c>
      <x:c r="K79" s="4" t="n">
        <x:v>46273.831762141206</x:v>
      </x:c>
      <x:c r="L79" s="12" t="n">
        <x:f>COUNTIF('21_Fuentes_educativas'!$A$5:$A$188,A79)-1</x:f>
        <x:v>0</x:v>
      </x:c>
      <x:c r="M79" s="12" t="n">
        <x:f>IF(E79="CAPTURADO",IF(LEN(G79)=64,0,1),0)</x:f>
        <x:v>0</x:v>
      </x:c>
    </x:row>
    <x:row r="80" ht="47" customHeight="1">
      <x:c r="A80" s="4" t="str">
        <x:v>N027</x:v>
      </x:c>
      <x:c r="B80" s="4" t="str">
        <x:v>Future of Work Project</x:v>
      </x:c>
      <x:c r="C80" s="4" t="str">
        <x:v>https://www.handbook.unsw.edu.au/undergraduate/courses/2026/COMM2244</x:v>
      </x:c>
      <x:c r="D80" s="4" t="str">
        <x:v>https://www.handbook.unsw.edu.au/undergraduate/courses/2026/COMM2244</x:v>
      </x:c>
      <x:c r="E80" s="4" t="str">
        <x:v>CAPTURADO</x:v>
      </x:c>
      <x:c r="F80" s="4" t="str">
        <x:v>313477</x:v>
      </x:c>
      <x:c r="G80" s="4" t="str">
        <x:v>274c9bf173e2dc628607694e541c8badd22704638cb3f916501e622b643ef415</x:v>
      </x:c>
      <x:c r="H80" s="4" t="str"/>
      <x:c r="I80" s="4" t="str">
        <x:v>Adquisición o identificación; no utilizada como contenido curricular.</x:v>
      </x:c>
      <x:c r="J80" s="4" t="str">
        <x:v>NO UTILIZADA EN LA PROPUESTA</x:v>
      </x:c>
      <x:c r="K80" s="4" t="n">
        <x:v>46273.83173831018</x:v>
      </x:c>
      <x:c r="L80" s="12" t="n">
        <x:f>COUNTIF('21_Fuentes_educativas'!$A$5:$A$188,A80)-1</x:f>
        <x:v>0</x:v>
      </x:c>
      <x:c r="M80" s="12" t="n">
        <x:f>IF(E80="CAPTURADO",IF(LEN(G80)=64,0,1),0)</x:f>
        <x:v>0</x:v>
      </x:c>
    </x:row>
    <x:row r="81" ht="47" customHeight="1">
      <x:c r="A81" s="4" t="str">
        <x:v>N028</x:v>
      </x:c>
      <x:c r="B81" s="4" t="str">
        <x:v>Understanding Human Rights</x:v>
      </x:c>
      <x:c r="C81" s="4" t="str">
        <x:v>https://www.handbook.unsw.edu.au/undergraduate/courses/2026/GENL1062</x:v>
      </x:c>
      <x:c r="D81" s="4" t="str">
        <x:v>https://www.handbook.unsw.edu.au/undergraduate/courses/2026/GENL1062</x:v>
      </x:c>
      <x:c r="E81" s="4" t="str">
        <x:v>CAPTURADO</x:v>
      </x:c>
      <x:c r="F81" s="4" t="str">
        <x:v>316579</x:v>
      </x:c>
      <x:c r="G81" s="4" t="str">
        <x:v>93218deadc7f8f7444a7091fd39bcdf281f4dd38442d2ed98ae8c803639b3997</x:v>
      </x:c>
      <x:c r="H81" s="4" t="str"/>
      <x:c r="I81" s="4" t="str">
        <x:v>Adquisición o identificación; no utilizada como contenido curricular.</x:v>
      </x:c>
      <x:c r="J81" s="4" t="str">
        <x:v>NO UTILIZADA EN LA PROPUESTA</x:v>
      </x:c>
      <x:c r="K81" s="4" t="n">
        <x:v>46273.831763483795</x:v>
      </x:c>
      <x:c r="L81" s="12" t="n">
        <x:f>COUNTIF('21_Fuentes_educativas'!$A$5:$A$188,A81)-1</x:f>
        <x:v>0</x:v>
      </x:c>
      <x:c r="M81" s="12" t="n">
        <x:f>IF(E81="CAPTURADO",IF(LEN(G81)=64,0,1),0)</x:f>
        <x:v>0</x:v>
      </x:c>
    </x:row>
    <x:row r="82" ht="47" customHeight="1">
      <x:c r="A82" s="4" t="str">
        <x:v>N029</x:v>
      </x:c>
      <x:c r="B82" s="4" t="str">
        <x:v>Big Tech, AI and the Law  </x:v>
      </x:c>
      <x:c r="C82" s="4" t="str">
        <x:v>https://www.handbook.unsw.edu.au/undergraduate/courses/2026/GENL2033</x:v>
      </x:c>
      <x:c r="D82" s="4" t="str">
        <x:v>https://www.handbook.unsw.edu.au/undergraduate/courses/2026/GENL2033</x:v>
      </x:c>
      <x:c r="E82" s="4" t="str">
        <x:v>CAPTURADO</x:v>
      </x:c>
      <x:c r="F82" s="4" t="str">
        <x:v>306123</x:v>
      </x:c>
      <x:c r="G82" s="4" t="str">
        <x:v>3134c051d02fcac902bdfa1bb78d1d4bc46f5f4ec292e7cf1319fcecc251e6ce</x:v>
      </x:c>
      <x:c r="H82" s="4" t="str"/>
      <x:c r="I82" s="4" t="str">
        <x:v>Adquisición o identificación; no utilizada como contenido curricular.</x:v>
      </x:c>
      <x:c r="J82" s="4" t="str">
        <x:v>NO UTILIZADA EN LA PROPUESTA</x:v>
      </x:c>
      <x:c r="K82" s="4" t="n">
        <x:v>46273.83175888889</x:v>
      </x:c>
      <x:c r="L82" s="12" t="n">
        <x:f>COUNTIF('21_Fuentes_educativas'!$A$5:$A$188,A82)-1</x:f>
        <x:v>0</x:v>
      </x:c>
      <x:c r="M82" s="12" t="n">
        <x:f>IF(E82="CAPTURADO",IF(LEN(G82)=64,0,1),0)</x:f>
        <x:v>0</x:v>
      </x:c>
    </x:row>
    <x:row r="83" ht="47" customHeight="1">
      <x:c r="A83" s="4" t="str">
        <x:v>N030</x:v>
      </x:c>
      <x:c r="B83" s="4" t="str">
        <x:v>International Relations and Sport</x:v>
      </x:c>
      <x:c r="C83" s="4" t="str">
        <x:v>https://www.handbook.unsw.edu.au/undergraduate/courses/2026/GENL0252</x:v>
      </x:c>
      <x:c r="D83" s="4" t="str">
        <x:v>https://www.handbook.unsw.edu.au/undergraduate/courses/2026/GENL0252</x:v>
      </x:c>
      <x:c r="E83" s="4" t="str">
        <x:v>CAPTURADO</x:v>
      </x:c>
      <x:c r="F83" s="4" t="str">
        <x:v>308265</x:v>
      </x:c>
      <x:c r="G83" s="4" t="str">
        <x:v>691cbcc6ab7f118dcc842dcbd33c61a96959fb87df6f913dce66520ddccba985</x:v>
      </x:c>
      <x:c r="H83" s="4" t="str"/>
      <x:c r="I83" s="4" t="str">
        <x:v>Adquisición o identificación; no utilizada como contenido curricular.</x:v>
      </x:c>
      <x:c r="J83" s="4" t="str">
        <x:v>NO UTILIZADA EN LA PROPUESTA</x:v>
      </x:c>
      <x:c r="K83" s="4" t="n">
        <x:v>46273.83176217593</x:v>
      </x:c>
      <x:c r="L83" s="12" t="n">
        <x:f>COUNTIF('21_Fuentes_educativas'!$A$5:$A$188,A83)-1</x:f>
        <x:v>0</x:v>
      </x:c>
      <x:c r="M83" s="12" t="n">
        <x:f>IF(E83="CAPTURADO",IF(LEN(G83)=64,0,1),0)</x:f>
        <x:v>0</x:v>
      </x:c>
    </x:row>
    <x:row r="84" ht="47" customHeight="1">
      <x:c r="A84" s="4" t="str">
        <x:v>R001</x:v>
      </x:c>
      <x:c r="B84" s="4" t="str">
        <x:v>FUNDAMENTOS FISICOS DE LA INFORMATICA</x:v>
      </x:c>
      <x:c r="C84" s="4" t="str">
        <x:v>https://gestion3.urjc.es/guiasdocentes/pdfGuia.jsp?txtAsignatura=2285001&amp;txtTitulacion=2285&amp;txtCursoAcademico=2026-27</x:v>
      </x:c>
      <x:c r="D84" s="4" t="str">
        <x:v>https://servicios.urjc.es/guiasdocentes/pdfGuia.jsp?txtAsignatura=2285001&amp;txtTitulacion=2285&amp;txtCursoAcademico=2026-27</x:v>
      </x:c>
      <x:c r="E84" s="4" t="str">
        <x:v>CAPTURADO</x:v>
      </x:c>
      <x:c r="F84" s="4" t="str">
        <x:v>254990</x:v>
      </x:c>
      <x:c r="G84" s="4" t="str">
        <x:v>7a86fe97ccbd6fbc869a88f5956df06de9f8c908b3a555c1f08756e8857ca687</x:v>
      </x:c>
      <x:c r="H84" s="4" t="str">
        <x:v>11</x:v>
      </x:c>
      <x:c r="I84" s="4" t="str">
        <x:v>II y IV: lectura curricular; III: códigos de resultados extraídos. Identidad y contenido contrastados.</x:v>
      </x:c>
      <x:c r="J84" s="4" t="str">
        <x:v>CURRICULAR_REVISADA</x:v>
      </x:c>
      <x:c r="K84" s="4" t="n">
        <x:v>46273.83002190972</x:v>
      </x:c>
      <x:c r="L84" s="12" t="n">
        <x:f>COUNTIF('21_Fuentes_educativas'!$A$5:$A$188,A84)-1</x:f>
        <x:v>0</x:v>
      </x:c>
      <x:c r="M84" s="12" t="n">
        <x:f>IF(E84="CAPTURADO",IF(LEN(G84)=64,0,1),0)</x:f>
        <x:v>0</x:v>
      </x:c>
    </x:row>
    <x:row r="85" ht="47" customHeight="1">
      <x:c r="A85" s="4" t="str">
        <x:v>R002</x:v>
      </x:c>
      <x:c r="B85" s="4" t="str">
        <x:v>INTRODUCCION A LA CIBERSEGURIDAD</x:v>
      </x:c>
      <x:c r="C85" s="4" t="str">
        <x:v>https://gestion3.urjc.es/guiasdocentes/pdfGuia.jsp?txtAsignatura=2285002&amp;txtTitulacion=2285&amp;txtCursoAcademico=2026-27</x:v>
      </x:c>
      <x:c r="D85" s="4" t="str">
        <x:v>https://servicios.urjc.es/guiasdocentes/pdfGuia.jsp?txtAsignatura=2285002&amp;txtTitulacion=2285&amp;txtCursoAcademico=2026-27</x:v>
      </x:c>
      <x:c r="E85" s="4" t="str">
        <x:v>CAPTURADO</x:v>
      </x:c>
      <x:c r="F85" s="4" t="str">
        <x:v>256731</x:v>
      </x:c>
      <x:c r="G85" s="4" t="str">
        <x:v>65f71204ec2a42a8d52dc6310404dec67262cd3e214a592acd39b9d1c75dad9b</x:v>
      </x:c>
      <x:c r="H85" s="4" t="str">
        <x:v>11</x:v>
      </x:c>
      <x:c r="I85" s="4" t="str">
        <x:v>II y IV: lectura curricular; III: códigos de resultados extraídos. Identidad y contenido contrastados.</x:v>
      </x:c>
      <x:c r="J85" s="4" t="str">
        <x:v>CURRICULAR_REVISADA</x:v>
      </x:c>
      <x:c r="K85" s="4" t="n">
        <x:v>46273.83027726852</x:v>
      </x:c>
      <x:c r="L85" s="12" t="n">
        <x:f>COUNTIF('21_Fuentes_educativas'!$A$5:$A$188,A85)-1</x:f>
        <x:v>0</x:v>
      </x:c>
      <x:c r="M85" s="12" t="n">
        <x:f>IF(E85="CAPTURADO",IF(LEN(G85)=64,0,1),0)</x:f>
        <x:v>0</x:v>
      </x:c>
    </x:row>
    <x:row r="86" ht="47" customHeight="1">
      <x:c r="A86" s="4" t="str">
        <x:v>R003</x:v>
      </x:c>
      <x:c r="B86" s="4" t="str">
        <x:v>INTRODUCCION A LA PROGRAMACION</x:v>
      </x:c>
      <x:c r="C86" s="4" t="str">
        <x:v>https://gestion3.urjc.es/guiasdocentes/pdfGuia.jsp?txtAsignatura=2285003&amp;txtTitulacion=2285&amp;txtCursoAcademico=2026-27</x:v>
      </x:c>
      <x:c r="D86" s="4" t="str">
        <x:v>https://servicios.urjc.es/guiasdocentes/pdfGuia.jsp?txtAsignatura=2285003&amp;txtTitulacion=2285&amp;txtCursoAcademico=2026-27</x:v>
      </x:c>
      <x:c r="E86" s="4" t="str">
        <x:v>CAPTURADO</x:v>
      </x:c>
      <x:c r="F86" s="4" t="str">
        <x:v>261305</x:v>
      </x:c>
      <x:c r="G86" s="4" t="str">
        <x:v>2799acb3657da92344d8b0ef05650b0c661de473a21adc76dd79a4cebc503635</x:v>
      </x:c>
      <x:c r="H86" s="4" t="str">
        <x:v>11</x:v>
      </x:c>
      <x:c r="I86" s="4" t="str">
        <x:v>II y IV: lectura curricular; III: códigos de resultados extraídos. Identidad y contenido contrastados.</x:v>
      </x:c>
      <x:c r="J86" s="4" t="str">
        <x:v>CURRICULAR_REVISADA</x:v>
      </x:c>
      <x:c r="K86" s="4" t="n">
        <x:v>46273.83053320602</x:v>
      </x:c>
      <x:c r="L86" s="12" t="n">
        <x:f>COUNTIF('21_Fuentes_educativas'!$A$5:$A$188,A86)-1</x:f>
        <x:v>0</x:v>
      </x:c>
      <x:c r="M86" s="12" t="n">
        <x:f>IF(E86="CAPTURADO",IF(LEN(G86)=64,0,1),0)</x:f>
        <x:v>0</x:v>
      </x:c>
    </x:row>
    <x:row r="87" ht="47" customHeight="1">
      <x:c r="A87" s="4" t="str">
        <x:v>R004</x:v>
      </x:c>
      <x:c r="B87" s="4" t="str">
        <x:v>LOGICA</x:v>
      </x:c>
      <x:c r="C87" s="4" t="str">
        <x:v>https://gestion3.urjc.es/guiasdocentes/pdfGuia.jsp?txtAsignatura=2285004&amp;txtTitulacion=2285&amp;txtCursoAcademico=2026-27</x:v>
      </x:c>
      <x:c r="D87" s="4" t="str">
        <x:v>https://servicios.urjc.es/guiasdocentes/pdfGuia.jsp?txtAsignatura=2285004&amp;txtTitulacion=2285&amp;txtCursoAcademico=2026-27</x:v>
      </x:c>
      <x:c r="E87" s="4" t="str">
        <x:v>CAPTURADO</x:v>
      </x:c>
      <x:c r="F87" s="4" t="str">
        <x:v>240994</x:v>
      </x:c>
      <x:c r="G87" s="4" t="str">
        <x:v>ec4de8fc685f03fd4b6fcd918ef9078cb4ce118547ff1b2d6f9bd84d25d7ebf5</x:v>
      </x:c>
      <x:c r="H87" s="4" t="str">
        <x:v>10</x:v>
      </x:c>
      <x:c r="I87" s="4" t="str">
        <x:v>II y IV: lectura curricular; III: códigos de resultados extraídos. Identidad y contenido contrastados.</x:v>
      </x:c>
      <x:c r="J87" s="4" t="str">
        <x:v>CURRICULAR_REVISADA</x:v>
      </x:c>
      <x:c r="K87" s="4" t="n">
        <x:v>46273.8307909838</x:v>
      </x:c>
      <x:c r="L87" s="12" t="n">
        <x:f>COUNTIF('21_Fuentes_educativas'!$A$5:$A$188,A87)-1</x:f>
        <x:v>0</x:v>
      </x:c>
      <x:c r="M87" s="12" t="n">
        <x:f>IF(E87="CAPTURADO",IF(LEN(G87)=64,0,1),0)</x:f>
        <x:v>0</x:v>
      </x:c>
    </x:row>
    <x:row r="88" ht="47" customHeight="1">
      <x:c r="A88" s="4" t="str">
        <x:v>R005</x:v>
      </x:c>
      <x:c r="B88" s="4" t="str">
        <x:v>MATEMATICA DISCRETA Y ALGEBRA</x:v>
      </x:c>
      <x:c r="C88" s="4" t="str">
        <x:v>https://gestion3.urjc.es/guiasdocentes/pdfGuia.jsp?txtAsignatura=2285005&amp;txtTitulacion=2285&amp;txtCursoAcademico=2026-27</x:v>
      </x:c>
      <x:c r="D88" s="4" t="str">
        <x:v>https://servicios.urjc.es/guiasdocentes/pdfGuia.jsp?txtAsignatura=2285005&amp;txtTitulacion=2285&amp;txtCursoAcademico=2026-27</x:v>
      </x:c>
      <x:c r="E88" s="4" t="str">
        <x:v>CAPTURADO</x:v>
      </x:c>
      <x:c r="F88" s="4" t="str">
        <x:v>263194</x:v>
      </x:c>
      <x:c r="G88" s="4" t="str">
        <x:v>2b93570b279b512d512199b89658c3299d13b0075a0b3e7bba84f3124fb37542</x:v>
      </x:c>
      <x:c r="H88" s="4" t="str">
        <x:v>11</x:v>
      </x:c>
      <x:c r="I88" s="4" t="str">
        <x:v>II y IV: lectura curricular; III: códigos de resultados extraídos. Identidad y contenido contrastados.</x:v>
      </x:c>
      <x:c r="J88" s="4" t="str">
        <x:v>CURRICULAR_REVISADA</x:v>
      </x:c>
      <x:c r="K88" s="4" t="n">
        <x:v>46273.83106869213</x:v>
      </x:c>
      <x:c r="L88" s="12" t="n">
        <x:f>COUNTIF('21_Fuentes_educativas'!$A$5:$A$188,A88)-1</x:f>
        <x:v>0</x:v>
      </x:c>
      <x:c r="M88" s="12" t="n">
        <x:f>IF(E88="CAPTURADO",IF(LEN(G88)=64,0,1),0)</x:f>
        <x:v>0</x:v>
      </x:c>
    </x:row>
    <x:row r="89" ht="47" customHeight="1">
      <x:c r="A89" s="4" t="str">
        <x:v>R006</x:v>
      </x:c>
      <x:c r="B89" s="4" t="str">
        <x:v>CALCULO</x:v>
      </x:c>
      <x:c r="C89" s="4" t="str">
        <x:v>https://gestion3.urjc.es/guiasdocentes/pdfGuia.jsp?txtAsignatura=2285006&amp;txtTitulacion=2285&amp;txtCursoAcademico=2026-27</x:v>
      </x:c>
      <x:c r="D89" s="4" t="str">
        <x:v>https://servicios.urjc.es/guiasdocentes/pdfGuia.jsp?txtAsignatura=2285006&amp;txtTitulacion=2285&amp;txtCursoAcademico=2026-27</x:v>
      </x:c>
      <x:c r="E89" s="4" t="str">
        <x:v>CAPTURADO</x:v>
      </x:c>
      <x:c r="F89" s="4" t="str">
        <x:v>260726</x:v>
      </x:c>
      <x:c r="G89" s="4" t="str">
        <x:v>3a3875fd4d077876f4918bc974e217afa3408202f710a18a4fb647c538a0c134</x:v>
      </x:c>
      <x:c r="H89" s="4" t="str">
        <x:v>11</x:v>
      </x:c>
      <x:c r="I89" s="4" t="str">
        <x:v>II y IV: lectura curricular; III: códigos de resultados extraídos. Identidad y contenido contrastados.</x:v>
      </x:c>
      <x:c r="J89" s="4" t="str">
        <x:v>CURRICULAR_REVISADA</x:v>
      </x:c>
      <x:c r="K89" s="4" t="n">
        <x:v>46273.83130478009</x:v>
      </x:c>
      <x:c r="L89" s="12" t="n">
        <x:f>COUNTIF('21_Fuentes_educativas'!$A$5:$A$188,A89)-1</x:f>
        <x:v>0</x:v>
      </x:c>
      <x:c r="M89" s="12" t="n">
        <x:f>IF(E89="CAPTURADO",IF(LEN(G89)=64,0,1),0)</x:f>
        <x:v>0</x:v>
      </x:c>
    </x:row>
    <x:row r="90" ht="47" customHeight="1">
      <x:c r="A90" s="4" t="str">
        <x:v>R007</x:v>
      </x:c>
      <x:c r="B90" s="4" t="str">
        <x:v>CRIPTOGRAFIA</x:v>
      </x:c>
      <x:c r="C90" s="4" t="str">
        <x:v>https://gestion3.urjc.es/guiasdocentes/pdfGuia.jsp?txtAsignatura=2285007&amp;txtTitulacion=2285&amp;txtCursoAcademico=2026-27</x:v>
      </x:c>
      <x:c r="D90" s="4" t="str">
        <x:v>https://servicios.urjc.es/guiasdocentes/pdfGuia.jsp?txtAsignatura=2285007&amp;txtTitulacion=2285&amp;txtCursoAcademico=2026-27</x:v>
      </x:c>
      <x:c r="E90" s="4" t="str">
        <x:v>CAPTURADO</x:v>
      </x:c>
      <x:c r="F90" s="4" t="str">
        <x:v>276448</x:v>
      </x:c>
      <x:c r="G90" s="4" t="str">
        <x:v>4a92430c8179d6cb4fbde6b8291837f079207e954edaa2f3108b8d1b5429b228</x:v>
      </x:c>
      <x:c r="H90" s="4" t="str">
        <x:v>12</x:v>
      </x:c>
      <x:c r="I90" s="4" t="str">
        <x:v>II y IV: lectura curricular; III: códigos de resultados extraídos. Identidad y contenido contrastados.</x:v>
      </x:c>
      <x:c r="J90" s="4" t="str">
        <x:v>CURRICULAR_REVISADA</x:v>
      </x:c>
      <x:c r="K90" s="4" t="n">
        <x:v>46273.831711527775</x:v>
      </x:c>
      <x:c r="L90" s="12" t="n">
        <x:f>COUNTIF('21_Fuentes_educativas'!$A$5:$A$188,A90)-1</x:f>
        <x:v>0</x:v>
      </x:c>
      <x:c r="M90" s="12" t="n">
        <x:f>IF(E90="CAPTURADO",IF(LEN(G90)=64,0,1),0)</x:f>
        <x:v>0</x:v>
      </x:c>
    </x:row>
    <x:row r="91" ht="47" customHeight="1">
      <x:c r="A91" s="4" t="str">
        <x:v>R008</x:v>
      </x:c>
      <x:c r="B91" s="4" t="str">
        <x:v>DIMENSIONES Y MODELO DE LA SEGURIDAD</x:v>
      </x:c>
      <x:c r="C91" s="4" t="str">
        <x:v>https://gestion3.urjc.es/guiasdocentes/pdfGuia.jsp?txtAsignatura=2285008&amp;txtTitulacion=2285&amp;txtCursoAcademico=2026-27</x:v>
      </x:c>
      <x:c r="D91" s="4" t="str">
        <x:v>https://servicios.urjc.es/guiasdocentes/pdfGuia.jsp?txtAsignatura=2285008&amp;txtTitulacion=2285&amp;txtCursoAcademico=2026-27</x:v>
      </x:c>
      <x:c r="E91" s="4" t="str">
        <x:v>CAPTURADO</x:v>
      </x:c>
      <x:c r="F91" s="4" t="str">
        <x:v>244396</x:v>
      </x:c>
      <x:c r="G91" s="4" t="str">
        <x:v>66f03609162789eb126ef5d82681953692ef1bb13be1c8251031a4abba09f79f</x:v>
      </x:c>
      <x:c r="H91" s="4" t="str">
        <x:v>10</x:v>
      </x:c>
      <x:c r="I91" s="4" t="str">
        <x:v>II y IV: lectura curricular; III: códigos de resultados extraídos. Identidad y contenido contrastados.</x:v>
      </x:c>
      <x:c r="J91" s="4" t="str">
        <x:v>CURRICULAR_REVISADA</x:v>
      </x:c>
      <x:c r="K91" s="4" t="n">
        <x:v>46273.831964282406</x:v>
      </x:c>
      <x:c r="L91" s="12" t="n">
        <x:f>COUNTIF('21_Fuentes_educativas'!$A$5:$A$188,A91)-1</x:f>
        <x:v>0</x:v>
      </x:c>
      <x:c r="M91" s="12" t="n">
        <x:f>IF(E91="CAPTURADO",IF(LEN(G91)=64,0,1),0)</x:f>
        <x:v>0</x:v>
      </x:c>
    </x:row>
    <x:row r="92" ht="47" customHeight="1">
      <x:c r="A92" s="4" t="str">
        <x:v>R009</x:v>
      </x:c>
      <x:c r="B92" s="4" t="str">
        <x:v>ESTADISTICA</x:v>
      </x:c>
      <x:c r="C92" s="4" t="str">
        <x:v>https://gestion3.urjc.es/guiasdocentes/pdfGuia.jsp?txtAsignatura=2285009&amp;txtTitulacion=2285&amp;txtCursoAcademico=2026-27</x:v>
      </x:c>
      <x:c r="D92" s="4" t="str">
        <x:v>https://servicios.urjc.es/guiasdocentes/pdfGuia.jsp?txtAsignatura=2285009&amp;txtTitulacion=2285&amp;txtCursoAcademico=2026-27</x:v>
      </x:c>
      <x:c r="E92" s="4" t="str">
        <x:v>CAPTURADO</x:v>
      </x:c>
      <x:c r="F92" s="4" t="str">
        <x:v>234897</x:v>
      </x:c>
      <x:c r="G92" s="4" t="str">
        <x:v>16d200dfa93afae5a9259cf199fd4be17c95e51af4417dc2fbe0f8a9ac903a6f</x:v>
      </x:c>
      <x:c r="H92" s="4" t="str">
        <x:v>10</x:v>
      </x:c>
      <x:c r="I92" s="4" t="str">
        <x:v>II y IV: lectura curricular; III: códigos de resultados extraídos. Identidad y contenido contrastados.</x:v>
      </x:c>
      <x:c r="J92" s="4" t="str">
        <x:v>CURRICULAR_REVISADA</x:v>
      </x:c>
      <x:c r="K92" s="4" t="n">
        <x:v>46273.83222039352</x:v>
      </x:c>
      <x:c r="L92" s="12" t="n">
        <x:f>COUNTIF('21_Fuentes_educativas'!$A$5:$A$188,A92)-1</x:f>
        <x:v>0</x:v>
      </x:c>
      <x:c r="M92" s="12" t="n">
        <x:f>IF(E92="CAPTURADO",IF(LEN(G92)=64,0,1),0)</x:f>
        <x:v>0</x:v>
      </x:c>
    </x:row>
    <x:row r="93" ht="47" customHeight="1">
      <x:c r="A93" s="4" t="str">
        <x:v>R010</x:v>
      </x:c>
      <x:c r="B93" s="4" t="str">
        <x:v>ESTRUCTURAS DE DATOS</x:v>
      </x:c>
      <x:c r="C93" s="4" t="str">
        <x:v>https://gestion3.urjc.es/guiasdocentes/pdfGuia.jsp?txtAsignatura=2285010&amp;txtTitulacion=2285&amp;txtCursoAcademico=2026-27</x:v>
      </x:c>
      <x:c r="D93" s="4" t="str">
        <x:v>https://servicios.urjc.es/guiasdocentes/pdfGuia.jsp?txtAsignatura=2285010&amp;txtTitulacion=2285&amp;txtCursoAcademico=2026-27</x:v>
      </x:c>
      <x:c r="E93" s="4" t="str">
        <x:v>CAPTURADO</x:v>
      </x:c>
      <x:c r="F93" s="4" t="str">
        <x:v>282245</x:v>
      </x:c>
      <x:c r="G93" s="4" t="str">
        <x:v>a64f1e5e5d8c98920a06723a59db00fb7ef641b33d8045fec866bf87b88f85fe</x:v>
      </x:c>
      <x:c r="H93" s="4" t="str">
        <x:v>12</x:v>
      </x:c>
      <x:c r="I93" s="4" t="str">
        <x:v>II y IV: lectura curricular; III: códigos de resultados extraídos. Identidad y contenido contrastados.</x:v>
      </x:c>
      <x:c r="J93" s="4" t="str">
        <x:v>CURRICULAR_REVISADA</x:v>
      </x:c>
      <x:c r="K93" s="4" t="n">
        <x:v>46273.83246287037</x:v>
      </x:c>
      <x:c r="L93" s="12" t="n">
        <x:f>COUNTIF('21_Fuentes_educativas'!$A$5:$A$188,A93)-1</x:f>
        <x:v>0</x:v>
      </x:c>
      <x:c r="M93" s="12" t="n">
        <x:f>IF(E93="CAPTURADO",IF(LEN(G93)=64,0,1),0)</x:f>
        <x:v>0</x:v>
      </x:c>
    </x:row>
    <x:row r="94" ht="47" customHeight="1">
      <x:c r="A94" s="4" t="str">
        <x:v>R011</x:v>
      </x:c>
      <x:c r="B94" s="4" t="str">
        <x:v>METODOS OPERATIVOS Y ESTADISTICOS DE GESTION</x:v>
      </x:c>
      <x:c r="C94" s="4" t="str">
        <x:v>https://gestion3.urjc.es/guiasdocentes/pdfGuia.jsp?txtAsignatura=2285011&amp;txtTitulacion=2285&amp;txtCursoAcademico=2026-27</x:v>
      </x:c>
      <x:c r="D94" s="4" t="str">
        <x:v>https://servicios.urjc.es/guiasdocentes/pdfGuia.jsp?txtAsignatura=2285011&amp;txtTitulacion=2285&amp;txtCursoAcademico=2026-27</x:v>
      </x:c>
      <x:c r="E94" s="4" t="str">
        <x:v>CAPTURADO</x:v>
      </x:c>
      <x:c r="F94" s="4" t="str">
        <x:v>242475</x:v>
      </x:c>
      <x:c r="G94" s="4" t="str">
        <x:v>e74bfbb745292ca76d0f47cd70a8d4eeaff9a879f02865a8084a20d70b1fac6b</x:v>
      </x:c>
      <x:c r="H94" s="4" t="str">
        <x:v>10</x:v>
      </x:c>
      <x:c r="I94" s="4" t="str">
        <x:v>II y IV: lectura curricular; III: códigos de resultados extraídos. Identidad y contenido contrastados.</x:v>
      </x:c>
      <x:c r="J94" s="4" t="str">
        <x:v>CURRICULAR_REVISADA</x:v>
      </x:c>
      <x:c r="K94" s="4" t="n">
        <x:v>46273.83271927083</x:v>
      </x:c>
      <x:c r="L94" s="12" t="n">
        <x:f>COUNTIF('21_Fuentes_educativas'!$A$5:$A$188,A94)-1</x:f>
        <x:v>0</x:v>
      </x:c>
      <x:c r="M94" s="12" t="n">
        <x:f>IF(E94="CAPTURADO",IF(LEN(G94)=64,0,1),0)</x:f>
        <x:v>0</x:v>
      </x:c>
    </x:row>
    <x:row r="95" ht="47" customHeight="1">
      <x:c r="A95" s="4" t="str">
        <x:v>R012</x:v>
      </x:c>
      <x:c r="B95" s="4" t="str">
        <x:v>PRINCIPIOS JURIDICOS BASICOS APLICADOS A LA CIBERSEGURIDAD</x:v>
      </x:c>
      <x:c r="C95" s="4" t="str">
        <x:v>https://gestion3.urjc.es/guiasdocentes/pdfGuia.jsp?txtAsignatura=2285012&amp;txtTitulacion=2285&amp;txtCursoAcademico=2026-27</x:v>
      </x:c>
      <x:c r="D95" s="4" t="str">
        <x:v>https://servicios.urjc.es/guiasdocentes/pdfGuia.jsp?txtAsignatura=2285012&amp;txtTitulacion=2285&amp;txtCursoAcademico=2026-27</x:v>
      </x:c>
      <x:c r="E95" s="4" t="str">
        <x:v>CAPTURADO</x:v>
      </x:c>
      <x:c r="F95" s="4" t="str">
        <x:v>295215</x:v>
      </x:c>
      <x:c r="G95" s="4" t="str">
        <x:v>58ed064b67fb961561aa7eb8aa34b6edb818dd0f8fc598cad50865b410cb515d</x:v>
      </x:c>
      <x:c r="H95" s="4" t="str">
        <x:v>13</x:v>
      </x:c>
      <x:c r="I95" s="4" t="str">
        <x:v>II y IV: lectura curricular; III: códigos de resultados extraídos. Identidad y contenido contrastados.</x:v>
      </x:c>
      <x:c r="J95" s="4" t="str">
        <x:v>CURRICULAR_REVISADA</x:v>
      </x:c>
      <x:c r="K95" s="4" t="n">
        <x:v>46273.83297383102</x:v>
      </x:c>
      <x:c r="L95" s="12" t="n">
        <x:f>COUNTIF('21_Fuentes_educativas'!$A$5:$A$188,A95)-1</x:f>
        <x:v>0</x:v>
      </x:c>
      <x:c r="M95" s="12" t="n">
        <x:f>IF(E95="CAPTURADO",IF(LEN(G95)=64,0,1),0)</x:f>
        <x:v>0</x:v>
      </x:c>
    </x:row>
    <x:row r="96" ht="47" customHeight="1">
      <x:c r="A96" s="4" t="str">
        <x:v>R013</x:v>
      </x:c>
      <x:c r="B96" s="4" t="str">
        <x:v>PROGRAMACION AVANZADA</x:v>
      </x:c>
      <x:c r="C96" s="4" t="str">
        <x:v>https://gestion3.urjc.es/guiasdocentes/pdfGuia.jsp?txtAsignatura=2285013&amp;txtTitulacion=2285&amp;txtCursoAcademico=2026-27</x:v>
      </x:c>
      <x:c r="D96" s="4" t="str">
        <x:v>https://servicios.urjc.es/guiasdocentes/pdfGuia.jsp?txtAsignatura=2285013&amp;txtTitulacion=2285&amp;txtCursoAcademico=2026-27</x:v>
      </x:c>
      <x:c r="E96" s="4" t="str">
        <x:v>CAPTURADO</x:v>
      </x:c>
      <x:c r="F96" s="4" t="str">
        <x:v>296422</x:v>
      </x:c>
      <x:c r="G96" s="4" t="str">
        <x:v>e669ce8a330d119882bcd1241bfdd4fc4659ec5c916aaa5700f1b844a4e38c2e</x:v>
      </x:c>
      <x:c r="H96" s="4" t="str">
        <x:v>13</x:v>
      </x:c>
      <x:c r="I96" s="4" t="str">
        <x:v>II y IV: lectura curricular; III: códigos de resultados extraídos. Identidad y contenido contrastados.</x:v>
      </x:c>
      <x:c r="J96" s="4" t="str">
        <x:v>CURRICULAR_REVISADA</x:v>
      </x:c>
      <x:c r="K96" s="4" t="n">
        <x:v>46273.83322587963</x:v>
      </x:c>
      <x:c r="L96" s="12" t="n">
        <x:f>COUNTIF('21_Fuentes_educativas'!$A$5:$A$188,A96)-1</x:f>
        <x:v>0</x:v>
      </x:c>
      <x:c r="M96" s="12" t="n">
        <x:f>IF(E96="CAPTURADO",IF(LEN(G96)=64,0,1),0)</x:f>
        <x:v>0</x:v>
      </x:c>
    </x:row>
    <x:row r="97" ht="47" customHeight="1">
      <x:c r="A97" s="4" t="str">
        <x:v>R014</x:v>
      </x:c>
      <x:c r="B97" s="4" t="str">
        <x:v>REDES DE COMPUTADORES</x:v>
      </x:c>
      <x:c r="C97" s="4" t="str">
        <x:v>https://gestion3.urjc.es/guiasdocentes/pdfGuia.jsp?txtAsignatura=2285014&amp;txtTitulacion=2285&amp;txtCursoAcademico=2026-27</x:v>
      </x:c>
      <x:c r="D97" s="4" t="str">
        <x:v>https://servicios.urjc.es/guiasdocentes/pdfGuia.jsp?txtAsignatura=2285014&amp;txtTitulacion=2285&amp;txtCursoAcademico=2026-27</x:v>
      </x:c>
      <x:c r="E97" s="4" t="str">
        <x:v>CAPTURADO</x:v>
      </x:c>
      <x:c r="F97" s="4" t="str">
        <x:v>280984</x:v>
      </x:c>
      <x:c r="G97" s="4" t="str">
        <x:v>ca29157aa82c65f5bd4837e5ce24e761e315a22efb233d1009096a1d9a7d90f3</x:v>
      </x:c>
      <x:c r="H97" s="4" t="str">
        <x:v>12</x:v>
      </x:c>
      <x:c r="I97" s="4" t="str">
        <x:v>II y IV: lectura curricular; III: códigos de resultados extraídos. Identidad y contenido contrastados.</x:v>
      </x:c>
      <x:c r="J97" s="4" t="str">
        <x:v>CURRICULAR_REVISADA</x:v>
      </x:c>
      <x:c r="K97" s="4" t="n">
        <x:v>46273.83361662037</x:v>
      </x:c>
      <x:c r="L97" s="12" t="n">
        <x:f>COUNTIF('21_Fuentes_educativas'!$A$5:$A$188,A97)-1</x:f>
        <x:v>0</x:v>
      </x:c>
      <x:c r="M97" s="12" t="n">
        <x:f>IF(E97="CAPTURADO",IF(LEN(G97)=64,0,1),0)</x:f>
        <x:v>0</x:v>
      </x:c>
    </x:row>
    <x:row r="98" ht="47" customHeight="1">
      <x:c r="A98" s="4" t="str">
        <x:v>R015</x:v>
      </x:c>
      <x:c r="B98" s="4" t="str">
        <x:v>TECNICAS DE HACKING</x:v>
      </x:c>
      <x:c r="C98" s="4" t="str">
        <x:v>https://gestion3.urjc.es/guiasdocentes/pdfGuia.jsp?txtAsignatura=2285015&amp;txtTitulacion=2285&amp;txtCursoAcademico=2026-27</x:v>
      </x:c>
      <x:c r="D98" s="4" t="str">
        <x:v>https://servicios.urjc.es/guiasdocentes/pdfGuia.jsp?txtAsignatura=2285015&amp;txtTitulacion=2285&amp;txtCursoAcademico=2026-27</x:v>
      </x:c>
      <x:c r="E98" s="4" t="str">
        <x:v>CAPTURADO</x:v>
      </x:c>
      <x:c r="F98" s="4" t="str">
        <x:v>275514</x:v>
      </x:c>
      <x:c r="G98" s="4" t="str">
        <x:v>e8e5dc75c5cfd6f8f096d5a892013167f5d971468b3fe0385246f096374d2187</x:v>
      </x:c>
      <x:c r="H98" s="4" t="str">
        <x:v>12</x:v>
      </x:c>
      <x:c r="I98" s="4" t="str">
        <x:v>II y IV: lectura curricular; III: códigos de resultados extraídos. Identidad y contenido contrastados.</x:v>
      </x:c>
      <x:c r="J98" s="4" t="str">
        <x:v>CURRICULAR_REVISADA</x:v>
      </x:c>
      <x:c r="K98" s="4" t="n">
        <x:v>46273.833864768516</x:v>
      </x:c>
      <x:c r="L98" s="12" t="n">
        <x:f>COUNTIF('21_Fuentes_educativas'!$A$5:$A$188,A98)-1</x:f>
        <x:v>0</x:v>
      </x:c>
      <x:c r="M98" s="12" t="n">
        <x:f>IF(E98="CAPTURADO",IF(LEN(G98)=64,0,1),0)</x:f>
        <x:v>0</x:v>
      </x:c>
    </x:row>
    <x:row r="99" ht="47" customHeight="1">
      <x:c r="A99" s="4" t="str">
        <x:v>R016</x:v>
      </x:c>
      <x:c r="B99" s="4" t="str">
        <x:v>BASES DE DATOS</x:v>
      </x:c>
      <x:c r="C99" s="4" t="str">
        <x:v>https://gestion3.urjc.es/guiasdocentes/pdfGuia.jsp?txtAsignatura=2285016&amp;txtTitulacion=2285&amp;txtCursoAcademico=2026-27</x:v>
      </x:c>
      <x:c r="D99" s="4" t="str">
        <x:v>https://servicios.urjc.es/guiasdocentes/pdfGuia.jsp?txtAsignatura=2285016&amp;txtTitulacion=2285&amp;txtCursoAcademico=2026-27</x:v>
      </x:c>
      <x:c r="E99" s="4" t="str">
        <x:v>CAPTURADO</x:v>
      </x:c>
      <x:c r="F99" s="4" t="str">
        <x:v>281216</x:v>
      </x:c>
      <x:c r="G99" s="4" t="str">
        <x:v>8601dd695e0b06e4e7543aabca3351cfa0a8fcb6ebc2dab91468d613243e5052</x:v>
      </x:c>
      <x:c r="H99" s="4" t="str">
        <x:v>12</x:v>
      </x:c>
      <x:c r="I99" s="4" t="str">
        <x:v>II y IV: lectura curricular; III: códigos de resultados extraídos. Identidad y contenido contrastados.</x:v>
      </x:c>
      <x:c r="J99" s="4" t="str">
        <x:v>CURRICULAR_REVISADA</x:v>
      </x:c>
      <x:c r="K99" s="4" t="n">
        <x:v>46273.83412193287</x:v>
      </x:c>
      <x:c r="L99" s="12" t="n">
        <x:f>COUNTIF('21_Fuentes_educativas'!$A$5:$A$188,A99)-1</x:f>
        <x:v>0</x:v>
      </x:c>
      <x:c r="M99" s="12" t="n">
        <x:f>IF(E99="CAPTURADO",IF(LEN(G99)=64,0,1),0)</x:f>
        <x:v>0</x:v>
      </x:c>
    </x:row>
    <x:row r="100" ht="47" customHeight="1">
      <x:c r="A100" s="4" t="str">
        <x:v>R017</x:v>
      </x:c>
      <x:c r="B100" s="4" t="str">
        <x:v>DESARROLLO WEB SEGURO</x:v>
      </x:c>
      <x:c r="C100" s="4" t="str">
        <x:v>https://gestion3.urjc.es/guiasdocentes/pdfGuia.jsp?txtAsignatura=2285017&amp;txtTitulacion=2285&amp;txtCursoAcademico=2026-27</x:v>
      </x:c>
      <x:c r="D100" s="4" t="str">
        <x:v>https://servicios.urjc.es/guiasdocentes/pdfGuia.jsp?txtAsignatura=2285017&amp;txtTitulacion=2285&amp;txtCursoAcademico=2026-27</x:v>
      </x:c>
      <x:c r="E100" s="4" t="str">
        <x:v>CAPTURADO</x:v>
      </x:c>
      <x:c r="F100" s="4" t="str">
        <x:v>307413</x:v>
      </x:c>
      <x:c r="G100" s="4" t="str">
        <x:v>5465ada8497dc5e55e6d662cc47d2f8aeb54ecea934bbeac8ea92f0ae7fc121f</x:v>
      </x:c>
      <x:c r="H100" s="4" t="str">
        <x:v>13</x:v>
      </x:c>
      <x:c r="I100" s="4" t="str">
        <x:v>II y IV: lectura curricular; III: códigos de resultados extraídos. Identidad y contenido contrastados.</x:v>
      </x:c>
      <x:c r="J100" s="4" t="str">
        <x:v>CURRICULAR_REVISADA</x:v>
      </x:c>
      <x:c r="K100" s="4" t="n">
        <x:v>46273.8343847338</x:v>
      </x:c>
      <x:c r="L100" s="12" t="n">
        <x:f>COUNTIF('21_Fuentes_educativas'!$A$5:$A$188,A100)-1</x:f>
        <x:v>0</x:v>
      </x:c>
      <x:c r="M100" s="12" t="n">
        <x:f>IF(E100="CAPTURADO",IF(LEN(G100)=64,0,1),0)</x:f>
        <x:v>0</x:v>
      </x:c>
    </x:row>
    <x:row r="101" ht="47" customHeight="1">
      <x:c r="A101" s="4" t="str">
        <x:v>R018</x:v>
      </x:c>
      <x:c r="B101" s="4" t="str">
        <x:v>ESTRUCTURA DE COMPUTADORES</x:v>
      </x:c>
      <x:c r="C101" s="4" t="str">
        <x:v>https://gestion3.urjc.es/guiasdocentes/pdfGuia.jsp?txtAsignatura=2285018&amp;txtTitulacion=2285&amp;txtCursoAcademico=2026-27</x:v>
      </x:c>
      <x:c r="D101" s="4" t="str">
        <x:v>https://servicios.urjc.es/guiasdocentes/pdfGuia.jsp?txtAsignatura=2285018&amp;txtTitulacion=2285&amp;txtCursoAcademico=2026-27</x:v>
      </x:c>
      <x:c r="E101" s="4" t="str">
        <x:v>CAPTURADO</x:v>
      </x:c>
      <x:c r="F101" s="4" t="str">
        <x:v>281518</x:v>
      </x:c>
      <x:c r="G101" s="4" t="str">
        <x:v>bec4547aa87fcc83d2dd5fc3c29942044bb8539ab0a35399b30ccea7323292ac</x:v>
      </x:c>
      <x:c r="H101" s="4" t="str">
        <x:v>12</x:v>
      </x:c>
      <x:c r="I101" s="4" t="str">
        <x:v>II y IV: lectura curricular; III: códigos de resultados extraídos. Identidad y contenido contrastados.</x:v>
      </x:c>
      <x:c r="J101" s="4" t="str">
        <x:v>CURRICULAR_REVISADA</x:v>
      </x:c>
      <x:c r="K101" s="4" t="n">
        <x:v>46273.83463275463</x:v>
      </x:c>
      <x:c r="L101" s="12" t="n">
        <x:f>COUNTIF('21_Fuentes_educativas'!$A$5:$A$188,A101)-1</x:f>
        <x:v>0</x:v>
      </x:c>
      <x:c r="M101" s="12" t="n">
        <x:f>IF(E101="CAPTURADO",IF(LEN(G101)=64,0,1),0)</x:f>
        <x:v>0</x:v>
      </x:c>
    </x:row>
    <x:row r="102" ht="47" customHeight="1">
      <x:c r="A102" s="4" t="str">
        <x:v>R019</x:v>
      </x:c>
      <x:c r="B102" s="4" t="str">
        <x:v>SEGURIDAD EN REDES</x:v>
      </x:c>
      <x:c r="C102" s="4" t="str">
        <x:v>https://gestion3.urjc.es/guiasdocentes/pdfGuia.jsp?txtAsignatura=2285019&amp;txtTitulacion=2285&amp;txtCursoAcademico=2026-27</x:v>
      </x:c>
      <x:c r="D102" s="4" t="str">
        <x:v>https://servicios.urjc.es/guiasdocentes/pdfGuia.jsp?txtAsignatura=2285019&amp;txtTitulacion=2285&amp;txtCursoAcademico=2026-27</x:v>
      </x:c>
      <x:c r="E102" s="4" t="str">
        <x:v>CAPTURADO</x:v>
      </x:c>
      <x:c r="F102" s="4" t="str">
        <x:v>258731</x:v>
      </x:c>
      <x:c r="G102" s="4" t="str">
        <x:v>28fa6b9d4179df1df651cea072042ee3186da0af9e95404071fd0fcd1ddb84b4</x:v>
      </x:c>
      <x:c r="H102" s="4" t="str">
        <x:v>11</x:v>
      </x:c>
      <x:c r="I102" s="4" t="str">
        <x:v>II y IV: lectura curricular; III: códigos de resultados extraídos. Identidad y contenido contrastados.</x:v>
      </x:c>
      <x:c r="J102" s="4" t="str">
        <x:v>CURRICULAR_REVISADA</x:v>
      </x:c>
      <x:c r="K102" s="4" t="n">
        <x:v>46273.83488207176</x:v>
      </x:c>
      <x:c r="L102" s="12" t="n">
        <x:f>COUNTIF('21_Fuentes_educativas'!$A$5:$A$188,A102)-1</x:f>
        <x:v>0</x:v>
      </x:c>
      <x:c r="M102" s="12" t="n">
        <x:f>IF(E102="CAPTURADO",IF(LEN(G102)=64,0,1),0)</x:f>
        <x:v>0</x:v>
      </x:c>
    </x:row>
    <x:row r="103" ht="47" customHeight="1">
      <x:c r="A103" s="4" t="str">
        <x:v>R020</x:v>
      </x:c>
      <x:c r="B103" s="4" t="str">
        <x:v>IDIOMA MODERNO</x:v>
      </x:c>
      <x:c r="C103" s="4" t="str">
        <x:v>https://gestion3.urjc.es/guiasdocentes/pdfGuia.jsp?txtAsignatura=2285020&amp;txtTitulacion=2285&amp;txtCursoAcademico=2026-27</x:v>
      </x:c>
      <x:c r="D103" s="4" t="str">
        <x:v>https://servicios.urjc.es/guiasdocentes/pdfGuia.jsp?txtAsignatura=2285020&amp;txtTitulacion=2285&amp;txtCursoAcademico=2026-27</x:v>
      </x:c>
      <x:c r="E103" s="4" t="str">
        <x:v>CAPTURADO</x:v>
      </x:c>
      <x:c r="F103" s="4" t="str">
        <x:v>552946</x:v>
      </x:c>
      <x:c r="G103" s="4" t="str">
        <x:v>43411520b5d33d815da08e0a581a84cce2e8dc5a2d29e57a29ab42e8ec43cf78</x:v>
      </x:c>
      <x:c r="H103" s="4" t="str">
        <x:v>12</x:v>
      </x:c>
      <x:c r="I103" s="4" t="str">
        <x:v>Identidad y naturaleza transversal; no se incorpora temario técnico.</x:v>
      </x:c>
      <x:c r="J103" s="4" t="str">
        <x:v>TRANSVERSAL_IDENTIFICADA</x:v>
      </x:c>
      <x:c r="K103" s="4" t="n">
        <x:v>46273.8351428588</x:v>
      </x:c>
      <x:c r="L103" s="12" t="n">
        <x:f>COUNTIF('21_Fuentes_educativas'!$A$5:$A$188,A103)-1</x:f>
        <x:v>0</x:v>
      </x:c>
      <x:c r="M103" s="12" t="n">
        <x:f>IF(E103="CAPTURADO",IF(LEN(G103)=64,0,1),0)</x:f>
        <x:v>0</x:v>
      </x:c>
    </x:row>
    <x:row r="104" ht="47" customHeight="1">
      <x:c r="A104" s="4" t="str">
        <x:v>R021</x:v>
      </x:c>
      <x:c r="B104" s="4" t="str">
        <x:v>ARQUITECTURA DE COMPUTADORES</x:v>
      </x:c>
      <x:c r="C104" s="4" t="str">
        <x:v>https://gestion3.urjc.es/guiasdocentes/pdfGuia.jsp?txtAsignatura=2285021&amp;txtTitulacion=2285&amp;txtCursoAcademico=2026-27</x:v>
      </x:c>
      <x:c r="D104" s="4" t="str">
        <x:v>https://servicios.urjc.es/guiasdocentes/pdfGuia.jsp?txtAsignatura=2285021&amp;txtTitulacion=2285&amp;txtCursoAcademico=2026-27</x:v>
      </x:c>
      <x:c r="E104" s="4" t="str">
        <x:v>CAPTURADO</x:v>
      </x:c>
      <x:c r="F104" s="4" t="str">
        <x:v>261643</x:v>
      </x:c>
      <x:c r="G104" s="4" t="str">
        <x:v>743f98e8b904d2359f4bc05e9f7bda346c341b8a619d1f798d5a7c007f4c41d0</x:v>
      </x:c>
      <x:c r="H104" s="4" t="str">
        <x:v>11</x:v>
      </x:c>
      <x:c r="I104" s="4" t="str">
        <x:v>II y IV: lectura curricular; III: códigos de resultados extraídos. Identidad y contenido contrastados.</x:v>
      </x:c>
      <x:c r="J104" s="4" t="str">
        <x:v>CURRICULAR_REVISADA</x:v>
      </x:c>
      <x:c r="K104" s="4" t="n">
        <x:v>46273.83538862268</x:v>
      </x:c>
      <x:c r="L104" s="12" t="n">
        <x:f>COUNTIF('21_Fuentes_educativas'!$A$5:$A$188,A104)-1</x:f>
        <x:v>0</x:v>
      </x:c>
      <x:c r="M104" s="12" t="n">
        <x:f>IF(E104="CAPTURADO",IF(LEN(G104)=64,0,1),0)</x:f>
        <x:v>0</x:v>
      </x:c>
    </x:row>
    <x:row r="105" ht="47" customHeight="1">
      <x:c r="A105" s="4" t="str">
        <x:v>R022</x:v>
      </x:c>
      <x:c r="B105" s="4" t="str">
        <x:v>DISEÑO Y ANALISIS DE ALGORITMOS</x:v>
      </x:c>
      <x:c r="C105" s="4" t="str">
        <x:v>https://gestion3.urjc.es/guiasdocentes/pdfGuia.jsp?txtAsignatura=2285022&amp;txtTitulacion=2285&amp;txtCursoAcademico=2026-27</x:v>
      </x:c>
      <x:c r="D105" s="4" t="str">
        <x:v>https://servicios.urjc.es/guiasdocentes/pdfGuia.jsp?txtAsignatura=2285022&amp;txtTitulacion=2285&amp;txtCursoAcademico=2026-27</x:v>
      </x:c>
      <x:c r="E105" s="4" t="str">
        <x:v>CAPTURADO</x:v>
      </x:c>
      <x:c r="F105" s="4" t="str">
        <x:v>255157</x:v>
      </x:c>
      <x:c r="G105" s="4" t="str">
        <x:v>18fd4e605adaa5e9a1feabc2679e1d0cd16415266bf45d681fc5387c27a120a6</x:v>
      </x:c>
      <x:c r="H105" s="4" t="str">
        <x:v>11</x:v>
      </x:c>
      <x:c r="I105" s="4" t="str">
        <x:v>II y IV: lectura curricular; III: códigos de resultados extraídos. Identidad y contenido contrastados.</x:v>
      </x:c>
      <x:c r="J105" s="4" t="str">
        <x:v>CURRICULAR_REVISADA</x:v>
      </x:c>
      <x:c r="K105" s="4" t="n">
        <x:v>46273.83562892361</x:v>
      </x:c>
      <x:c r="L105" s="12" t="n">
        <x:f>COUNTIF('21_Fuentes_educativas'!$A$5:$A$188,A105)-1</x:f>
        <x:v>0</x:v>
      </x:c>
      <x:c r="M105" s="12" t="n">
        <x:f>IF(E105="CAPTURADO",IF(LEN(G105)=64,0,1),0)</x:f>
        <x:v>0</x:v>
      </x:c>
    </x:row>
    <x:row r="106" ht="47" customHeight="1">
      <x:c r="A106" s="4" t="str">
        <x:v>R023</x:v>
      </x:c>
      <x:c r="B106" s="4" t="str">
        <x:v>INGENIERIA DEL SOFTWARE</x:v>
      </x:c>
      <x:c r="C106" s="4" t="str">
        <x:v>https://gestion3.urjc.es/guiasdocentes/pdfGuia.jsp?txtAsignatura=2285023&amp;txtTitulacion=2285&amp;txtCursoAcademico=2026-27</x:v>
      </x:c>
      <x:c r="D106" s="4" t="str">
        <x:v>https://servicios.urjc.es/guiasdocentes/pdfGuia.jsp?txtAsignatura=2285023&amp;txtTitulacion=2285&amp;txtCursoAcademico=2026-27</x:v>
      </x:c>
      <x:c r="E106" s="4" t="str">
        <x:v>CAPTURADO</x:v>
      </x:c>
      <x:c r="F106" s="4" t="str">
        <x:v>301478</x:v>
      </x:c>
      <x:c r="G106" s="4" t="str">
        <x:v>1e34926c4bb524a1516ecb619caf413954ee85240e5ce39acff4f6179954f133</x:v>
      </x:c>
      <x:c r="H106" s="4" t="str">
        <x:v>13</x:v>
      </x:c>
      <x:c r="I106" s="4" t="str">
        <x:v>II y IV: lectura curricular; III: códigos de resultados extraídos. Identidad y contenido contrastados.</x:v>
      </x:c>
      <x:c r="J106" s="4" t="str">
        <x:v>CURRICULAR_REVISADA</x:v>
      </x:c>
      <x:c r="K106" s="4" t="n">
        <x:v>46273.835876412035</x:v>
      </x:c>
      <x:c r="L106" s="12" t="n">
        <x:f>COUNTIF('21_Fuentes_educativas'!$A$5:$A$188,A106)-1</x:f>
        <x:v>0</x:v>
      </x:c>
      <x:c r="M106" s="12" t="n">
        <x:f>IF(E106="CAPTURADO",IF(LEN(G106)=64,0,1),0)</x:f>
        <x:v>0</x:v>
      </x:c>
    </x:row>
    <x:row r="107" ht="47" customHeight="1">
      <x:c r="A107" s="4" t="str">
        <x:v>R024</x:v>
      </x:c>
      <x:c r="B107" s="4" t="str">
        <x:v>SEGURIDAD EN BASES DE DATOS</x:v>
      </x:c>
      <x:c r="C107" s="4" t="str">
        <x:v>https://gestion3.urjc.es/guiasdocentes/pdfGuia.jsp?txtAsignatura=2285024&amp;txtTitulacion=2285&amp;txtCursoAcademico=2026-27</x:v>
      </x:c>
      <x:c r="D107" s="4" t="str">
        <x:v>https://servicios.urjc.es/guiasdocentes/pdfGuia.jsp?txtAsignatura=2285024&amp;txtTitulacion=2285&amp;txtCursoAcademico=2026-27</x:v>
      </x:c>
      <x:c r="E107" s="4" t="str">
        <x:v>CAPTURADO</x:v>
      </x:c>
      <x:c r="F107" s="4" t="str">
        <x:v>281035</x:v>
      </x:c>
      <x:c r="G107" s="4" t="str">
        <x:v>72d355d6617ab9aa7c357dd1d31b42cb00c13fbd891bf5a698c51ca597d4eec5</x:v>
      </x:c>
      <x:c r="H107" s="4" t="str">
        <x:v>12</x:v>
      </x:c>
      <x:c r="I107" s="4" t="str">
        <x:v>II y IV: lectura curricular; III: códigos de resultados extraídos. Identidad y contenido contrastados.</x:v>
      </x:c>
      <x:c r="J107" s="4" t="str">
        <x:v>CURRICULAR_REVISADA</x:v>
      </x:c>
      <x:c r="K107" s="4" t="n">
        <x:v>46273.83612269676</x:v>
      </x:c>
      <x:c r="L107" s="12" t="n">
        <x:f>COUNTIF('21_Fuentes_educativas'!$A$5:$A$188,A107)-1</x:f>
        <x:v>0</x:v>
      </x:c>
      <x:c r="M107" s="12" t="n">
        <x:f>IF(E107="CAPTURADO",IF(LEN(G107)=64,0,1),0)</x:f>
        <x:v>0</x:v>
      </x:c>
    </x:row>
    <x:row r="108" ht="47" customHeight="1">
      <x:c r="A108" s="4" t="str">
        <x:v>R025</x:v>
      </x:c>
      <x:c r="B108" s="4" t="str">
        <x:v>SISTEMAS OPERATIVOS</x:v>
      </x:c>
      <x:c r="C108" s="4" t="str">
        <x:v>https://gestion3.urjc.es/guiasdocentes/pdfGuia.jsp?txtAsignatura=2285025&amp;txtTitulacion=2285&amp;txtCursoAcademico=2026-27</x:v>
      </x:c>
      <x:c r="D108" s="4" t="str">
        <x:v>https://servicios.urjc.es/guiasdocentes/pdfGuia.jsp?txtAsignatura=2285025&amp;txtTitulacion=2285&amp;txtCursoAcademico=2026-27</x:v>
      </x:c>
      <x:c r="E108" s="4" t="str">
        <x:v>CAPTURADO</x:v>
      </x:c>
      <x:c r="F108" s="4" t="str">
        <x:v>282277</x:v>
      </x:c>
      <x:c r="G108" s="4" t="str">
        <x:v>b3af36599e0e0358090f8457da07c8994e6c92e02e01368c49c63ca44a24c540</x:v>
      </x:c>
      <x:c r="H108" s="4" t="str">
        <x:v>12</x:v>
      </x:c>
      <x:c r="I108" s="4" t="str">
        <x:v>II y IV: lectura curricular; III: códigos de resultados extraídos. Identidad y contenido contrastados.</x:v>
      </x:c>
      <x:c r="J108" s="4" t="str">
        <x:v>CURRICULAR_REVISADA</x:v>
      </x:c>
      <x:c r="K108" s="4" t="n">
        <x:v>46273.83638756944</x:v>
      </x:c>
      <x:c r="L108" s="12" t="n">
        <x:f>COUNTIF('21_Fuentes_educativas'!$A$5:$A$188,A108)-1</x:f>
        <x:v>0</x:v>
      </x:c>
      <x:c r="M108" s="12" t="n">
        <x:f>IF(E108="CAPTURADO",IF(LEN(G108)=64,0,1),0)</x:f>
        <x:v>0</x:v>
      </x:c>
    </x:row>
    <x:row r="109" ht="47" customHeight="1">
      <x:c r="A109" s="4" t="str">
        <x:v>R026</x:v>
      </x:c>
      <x:c r="B109" s="4" t="str">
        <x:v>INTELIGENCIA ARTIFICIAL</x:v>
      </x:c>
      <x:c r="C109" s="4" t="str">
        <x:v>https://gestion3.urjc.es/guiasdocentes/pdfGuia.jsp?txtAsignatura=2285026&amp;txtTitulacion=2285&amp;txtCursoAcademico=2026-27</x:v>
      </x:c>
      <x:c r="D109" s="4" t="str">
        <x:v>https://servicios.urjc.es/guiasdocentes/pdfGuia.jsp?txtAsignatura=2285026&amp;txtTitulacion=2285&amp;txtCursoAcademico=2026-27</x:v>
      </x:c>
      <x:c r="E109" s="4" t="str">
        <x:v>CAPTURADO</x:v>
      </x:c>
      <x:c r="F109" s="4" t="str">
        <x:v>239664</x:v>
      </x:c>
      <x:c r="G109" s="4" t="str">
        <x:v>716d4089a3aeeefdb990de12e2e2b2f77cf54d8260f4f4af32d2de84f0904eca</x:v>
      </x:c>
      <x:c r="H109" s="4" t="str">
        <x:v>10</x:v>
      </x:c>
      <x:c r="I109" s="4" t="str">
        <x:v>II y IV: lectura curricular; III: códigos de resultados extraídos. Identidad y contenido contrastados.</x:v>
      </x:c>
      <x:c r="J109" s="4" t="str">
        <x:v>CURRICULAR_REVISADA</x:v>
      </x:c>
      <x:c r="K109" s="4" t="n">
        <x:v>46273.83664207176</x:v>
      </x:c>
      <x:c r="L109" s="12" t="n">
        <x:f>COUNTIF('21_Fuentes_educativas'!$A$5:$A$188,A109)-1</x:f>
        <x:v>0</x:v>
      </x:c>
      <x:c r="M109" s="12" t="n">
        <x:f>IF(E109="CAPTURADO",IF(LEN(G109)=64,0,1),0)</x:f>
        <x:v>0</x:v>
      </x:c>
    </x:row>
    <x:row r="110" ht="47" customHeight="1">
      <x:c r="A110" s="4" t="str">
        <x:v>R027</x:v>
      </x:c>
      <x:c r="B110" s="4" t="str">
        <x:v>MALWARE Y AMENAZAS DIRIGIDAS</x:v>
      </x:c>
      <x:c r="C110" s="4" t="str">
        <x:v>https://gestion3.urjc.es/guiasdocentes/pdfGuia.jsp?txtAsignatura=2285027&amp;txtTitulacion=2285&amp;txtCursoAcademico=2026-27</x:v>
      </x:c>
      <x:c r="D110" s="4" t="str">
        <x:v>https://servicios.urjc.es/guiasdocentes/pdfGuia.jsp?txtAsignatura=2285027&amp;txtTitulacion=2285&amp;txtCursoAcademico=2026-27</x:v>
      </x:c>
      <x:c r="E110" s="4" t="str">
        <x:v>CAPTURADO</x:v>
      </x:c>
      <x:c r="F110" s="4" t="str">
        <x:v>278293</x:v>
      </x:c>
      <x:c r="G110" s="4" t="str">
        <x:v>f42857213ee5f8d9f36cd61f8f733227d9d8c28e3c88d8a21f1f1b85315e65c7</x:v>
      </x:c>
      <x:c r="H110" s="4" t="str">
        <x:v>12</x:v>
      </x:c>
      <x:c r="I110" s="4" t="str">
        <x:v>II y IV: lectura curricular; III: códigos de resultados extraídos. Identidad y contenido contrastados.</x:v>
      </x:c>
      <x:c r="J110" s="4" t="str">
        <x:v>CURRICULAR_REVISADA</x:v>
      </x:c>
      <x:c r="K110" s="4" t="n">
        <x:v>46273.83690710648</x:v>
      </x:c>
      <x:c r="L110" s="12" t="n">
        <x:f>COUNTIF('21_Fuentes_educativas'!$A$5:$A$188,A110)-1</x:f>
        <x:v>0</x:v>
      </x:c>
      <x:c r="M110" s="12" t="n">
        <x:f>IF(E110="CAPTURADO",IF(LEN(G110)=64,0,1),0)</x:f>
        <x:v>0</x:v>
      </x:c>
    </x:row>
    <x:row r="111" ht="47" customHeight="1">
      <x:c r="A111" s="4" t="str">
        <x:v>R028</x:v>
      </x:c>
      <x:c r="B111" s="4" t="str">
        <x:v>METODOLOGIAS DE DESARROLLO SEGURO</x:v>
      </x:c>
      <x:c r="C111" s="4" t="str">
        <x:v>https://gestion3.urjc.es/guiasdocentes/pdfGuia.jsp?txtAsignatura=2285028&amp;txtTitulacion=2285&amp;txtCursoAcademico=2026-27</x:v>
      </x:c>
      <x:c r="D111" s="4" t="str">
        <x:v>https://servicios.urjc.es/guiasdocentes/pdfGuia.jsp?txtAsignatura=2285028&amp;txtTitulacion=2285&amp;txtCursoAcademico=2026-27</x:v>
      </x:c>
      <x:c r="E111" s="4" t="str">
        <x:v>CAPTURADO</x:v>
      </x:c>
      <x:c r="F111" s="4" t="str">
        <x:v>255135</x:v>
      </x:c>
      <x:c r="G111" s="4" t="str">
        <x:v>c8884e732d6be694251f4b1fc54b68519fc08b01937168e37a38cfbd8de546b1</x:v>
      </x:c>
      <x:c r="H111" s="4" t="str">
        <x:v>11</x:v>
      </x:c>
      <x:c r="I111" s="4" t="str">
        <x:v>II y IV: lectura curricular; III: códigos de resultados extraídos. Identidad y contenido contrastados.</x:v>
      </x:c>
      <x:c r="J111" s="4" t="str">
        <x:v>CURRICULAR_REVISADA</x:v>
      </x:c>
      <x:c r="K111" s="4" t="n">
        <x:v>46273.83715717593</x:v>
      </x:c>
      <x:c r="L111" s="12" t="n">
        <x:f>COUNTIF('21_Fuentes_educativas'!$A$5:$A$188,A111)-1</x:f>
        <x:v>0</x:v>
      </x:c>
      <x:c r="M111" s="12" t="n">
        <x:f>IF(E111="CAPTURADO",IF(LEN(G111)=64,0,1),0)</x:f>
        <x:v>0</x:v>
      </x:c>
    </x:row>
    <x:row r="112" ht="47" customHeight="1">
      <x:c r="A112" s="4" t="str">
        <x:v>R029</x:v>
      </x:c>
      <x:c r="B112" s="4" t="str">
        <x:v>REDES AVANZADAS Y COMPUTACION EN LA NUBE</x:v>
      </x:c>
      <x:c r="C112" s="4" t="str">
        <x:v>https://gestion3.urjc.es/guiasdocentes/pdfGuia.jsp?txtAsignatura=2285029&amp;txtTitulacion=2285&amp;txtCursoAcademico=2026-27</x:v>
      </x:c>
      <x:c r="D112" s="4" t="str">
        <x:v>https://servicios.urjc.es/guiasdocentes/pdfGuia.jsp?txtAsignatura=2285029&amp;txtTitulacion=2285&amp;txtCursoAcademico=2026-27</x:v>
      </x:c>
      <x:c r="E112" s="4" t="str">
        <x:v>CAPTURADO</x:v>
      </x:c>
      <x:c r="F112" s="4" t="str">
        <x:v>284029</x:v>
      </x:c>
      <x:c r="G112" s="4" t="str">
        <x:v>d2fb72105f0a559007c217175200578c8029e3b5b89f2615bb4fb893b0d7f91c</x:v>
      </x:c>
      <x:c r="H112" s="4" t="str">
        <x:v>12</x:v>
      </x:c>
      <x:c r="I112" s="4" t="str">
        <x:v>II y IV: lectura curricular; III: códigos de resultados extraídos. Identidad y contenido contrastados.</x:v>
      </x:c>
      <x:c r="J112" s="4" t="str">
        <x:v>CURRICULAR_REVISADA</x:v>
      </x:c>
      <x:c r="K112" s="4" t="n">
        <x:v>46273.83744646991</x:v>
      </x:c>
      <x:c r="L112" s="12" t="n">
        <x:f>COUNTIF('21_Fuentes_educativas'!$A$5:$A$188,A112)-1</x:f>
        <x:v>0</x:v>
      </x:c>
      <x:c r="M112" s="12" t="n">
        <x:f>IF(E112="CAPTURADO",IF(LEN(G112)=64,0,1),0)</x:f>
        <x:v>0</x:v>
      </x:c>
    </x:row>
    <x:row r="113" ht="47" customHeight="1">
      <x:c r="A113" s="4" t="str">
        <x:v>R030</x:v>
      </x:c>
      <x:c r="B113" s="4" t="str">
        <x:v>SISTEMAS DE INFORMACION</x:v>
      </x:c>
      <x:c r="C113" s="4" t="str">
        <x:v>https://gestion3.urjc.es/guiasdocentes/pdfGuia.jsp?txtAsignatura=2285030&amp;txtTitulacion=2285&amp;txtCursoAcademico=2026-27</x:v>
      </x:c>
      <x:c r="D113" s="4" t="str">
        <x:v>https://servicios.urjc.es/guiasdocentes/pdfGuia.jsp?txtAsignatura=2285030&amp;txtTitulacion=2285&amp;txtCursoAcademico=2026-27</x:v>
      </x:c>
      <x:c r="E113" s="4" t="str">
        <x:v>CAPTURADO</x:v>
      </x:c>
      <x:c r="F113" s="4" t="str">
        <x:v>303996</x:v>
      </x:c>
      <x:c r="G113" s="4" t="str">
        <x:v>8ff2b312b91d143ce13398706e7758263b62fe1c5b54d60b90dbb24acdf26a57</x:v>
      </x:c>
      <x:c r="H113" s="4" t="str">
        <x:v>13</x:v>
      </x:c>
      <x:c r="I113" s="4" t="str">
        <x:v>II y IV: lectura curricular; III: códigos de resultados extraídos. Identidad y contenido contrastados.</x:v>
      </x:c>
      <x:c r="J113" s="4" t="str">
        <x:v>CURRICULAR_REVISADA</x:v>
      </x:c>
      <x:c r="K113" s="4" t="n">
        <x:v>46273.837696875</x:v>
      </x:c>
      <x:c r="L113" s="12" t="n">
        <x:f>COUNTIF('21_Fuentes_educativas'!$A$5:$A$188,A113)-1</x:f>
        <x:v>0</x:v>
      </x:c>
      <x:c r="M113" s="12" t="n">
        <x:f>IF(E113="CAPTURADO",IF(LEN(G113)=64,0,1),0)</x:f>
        <x:v>0</x:v>
      </x:c>
    </x:row>
    <x:row r="114" ht="47" customHeight="1">
      <x:c r="A114" s="4" t="str">
        <x:v>R031</x:v>
      </x:c>
      <x:c r="B114" s="4" t="str">
        <x:v>VISION ARTIFICIAL APLICADA A LA CIBERSEGURIDAD</x:v>
      </x:c>
      <x:c r="C114" s="4" t="str">
        <x:v>https://gestion3.urjc.es/guiasdocentes/pdfGuia.jsp?txtAsignatura=2285031&amp;txtTitulacion=2285&amp;txtCursoAcademico=2026-27</x:v>
      </x:c>
      <x:c r="D114" s="4" t="str">
        <x:v>https://servicios.urjc.es/guiasdocentes/pdfGuia.jsp?txtAsignatura=2285031&amp;txtTitulacion=2285&amp;txtCursoAcademico=2026-27</x:v>
      </x:c>
      <x:c r="E114" s="4" t="str">
        <x:v>CAPTURADO</x:v>
      </x:c>
      <x:c r="F114" s="4" t="str">
        <x:v>258436</x:v>
      </x:c>
      <x:c r="G114" s="4" t="str">
        <x:v>17a24ea19e7f52915b6b3a3480b1c24acfea0de6886dc88377d8ea7b922b6acb</x:v>
      </x:c>
      <x:c r="H114" s="4" t="str">
        <x:v>11</x:v>
      </x:c>
      <x:c r="I114" s="4" t="str">
        <x:v>II y IV: lectura curricular; III: códigos de resultados extraídos. Identidad y contenido contrastados.</x:v>
      </x:c>
      <x:c r="J114" s="4" t="str">
        <x:v>CURRICULAR_REVISADA</x:v>
      </x:c>
      <x:c r="K114" s="4" t="n">
        <x:v>46273.83795429398</x:v>
      </x:c>
      <x:c r="L114" s="12" t="n">
        <x:f>COUNTIF('21_Fuentes_educativas'!$A$5:$A$188,A114)-1</x:f>
        <x:v>0</x:v>
      </x:c>
      <x:c r="M114" s="12" t="n">
        <x:f>IF(E114="CAPTURADO",IF(LEN(G114)=64,0,1),0)</x:f>
        <x:v>0</x:v>
      </x:c>
    </x:row>
    <x:row r="115" ht="47" customHeight="1">
      <x:c r="A115" s="4" t="str">
        <x:v>R032</x:v>
      </x:c>
      <x:c r="B115" s="4" t="str">
        <x:v>AUDITORIA</x:v>
      </x:c>
      <x:c r="C115" s="4" t="str">
        <x:v>https://gestion3.urjc.es/guiasdocentes/pdfGuia.jsp?txtAsignatura=2285032&amp;txtTitulacion=2285&amp;txtCursoAcademico=2026-27</x:v>
      </x:c>
      <x:c r="D115" s="4" t="str">
        <x:v>https://servicios.urjc.es/guiasdocentes/pdfGuia.jsp?txtAsignatura=2285032&amp;txtTitulacion=2285&amp;txtCursoAcademico=2026-27</x:v>
      </x:c>
      <x:c r="E115" s="4" t="str">
        <x:v>CAPTURADO</x:v>
      </x:c>
      <x:c r="F115" s="4" t="str">
        <x:v>235965</x:v>
      </x:c>
      <x:c r="G115" s="4" t="str">
        <x:v>1166067a7d7fb5134c17396a8b4c70cdeb467bcedba13832dfa5b09bf524e835</x:v>
      </x:c>
      <x:c r="H115" s="4" t="str">
        <x:v>10</x:v>
      </x:c>
      <x:c r="I115" s="4" t="str">
        <x:v>II y IV: lectura curricular; III: códigos de resultados extraídos. Identidad y contenido contrastados.</x:v>
      </x:c>
      <x:c r="J115" s="4" t="str">
        <x:v>CURRICULAR_REVISADA</x:v>
      </x:c>
      <x:c r="K115" s="4" t="n">
        <x:v>46273.83820494213</x:v>
      </x:c>
      <x:c r="L115" s="12" t="n">
        <x:f>COUNTIF('21_Fuentes_educativas'!$A$5:$A$188,A115)-1</x:f>
        <x:v>0</x:v>
      </x:c>
      <x:c r="M115" s="12" t="n">
        <x:f>IF(E115="CAPTURADO",IF(LEN(G115)=64,0,1),0)</x:f>
        <x:v>0</x:v>
      </x:c>
    </x:row>
    <x:row r="116" ht="47" customHeight="1">
      <x:c r="A116" s="4" t="str">
        <x:v>R033</x:v>
      </x:c>
      <x:c r="B116" s="4" t="str">
        <x:v>INTELIGENCIA DE LA SEGURIDAD</x:v>
      </x:c>
      <x:c r="C116" s="4" t="str">
        <x:v>https://gestion3.urjc.es/guiasdocentes/pdfGuia.jsp?txtAsignatura=2285033&amp;txtTitulacion=2285&amp;txtCursoAcademico=2026-27</x:v>
      </x:c>
      <x:c r="D116" s="4" t="str">
        <x:v>https://servicios.urjc.es/guiasdocentes/pdfGuia.jsp?txtAsignatura=2285033&amp;txtTitulacion=2285&amp;txtCursoAcademico=2026-27</x:v>
      </x:c>
      <x:c r="E116" s="4" t="str">
        <x:v>CAPTURADO</x:v>
      </x:c>
      <x:c r="F116" s="4" t="str">
        <x:v>255674</x:v>
      </x:c>
      <x:c r="G116" s="4" t="str">
        <x:v>951ba49ae08e05ed51c8a017382fdd0c44d4d044848571e759a6962ed2f7f314</x:v>
      </x:c>
      <x:c r="H116" s="4" t="str">
        <x:v>11</x:v>
      </x:c>
      <x:c r="I116" s="4" t="str">
        <x:v>II y IV: lectura curricular; III: códigos de resultados extraídos. Identidad y contenido contrastados.</x:v>
      </x:c>
      <x:c r="J116" s="4" t="str">
        <x:v>CURRICULAR_REVISADA</x:v>
      </x:c>
      <x:c r="K116" s="4" t="n">
        <x:v>46273.83846608796</x:v>
      </x:c>
      <x:c r="L116" s="12" t="n">
        <x:f>COUNTIF('21_Fuentes_educativas'!$A$5:$A$188,A116)-1</x:f>
        <x:v>0</x:v>
      </x:c>
      <x:c r="M116" s="12" t="n">
        <x:f>IF(E116="CAPTURADO",IF(LEN(G116)=64,0,1),0)</x:f>
        <x:v>0</x:v>
      </x:c>
    </x:row>
    <x:row r="117" ht="47" customHeight="1">
      <x:c r="A117" s="4" t="str">
        <x:v>R034</x:v>
      </x:c>
      <x:c r="B117" s="4" t="str">
        <x:v>PENTESTING</x:v>
      </x:c>
      <x:c r="C117" s="4" t="str">
        <x:v>https://gestion3.urjc.es/guiasdocentes/pdfGuia.jsp?txtAsignatura=2285034&amp;txtTitulacion=2285&amp;txtCursoAcademico=2026-27</x:v>
      </x:c>
      <x:c r="D117" s="4" t="str">
        <x:v>https://servicios.urjc.es/guiasdocentes/pdfGuia.jsp?txtAsignatura=2285034&amp;txtTitulacion=2285&amp;txtCursoAcademico=2026-27</x:v>
      </x:c>
      <x:c r="E117" s="4" t="str">
        <x:v>CAPTURADO</x:v>
      </x:c>
      <x:c r="F117" s="4" t="str">
        <x:v>276684</x:v>
      </x:c>
      <x:c r="G117" s="4" t="str">
        <x:v>c4c0a89c38f656ba665d21dec80ffcb7315846efadcde52e4c4e561d84bdadd7</x:v>
      </x:c>
      <x:c r="H117" s="4" t="str">
        <x:v>12</x:v>
      </x:c>
      <x:c r="I117" s="4" t="str">
        <x:v>II y IV: lectura curricular; III: códigos de resultados extraídos. Identidad y contenido contrastados.</x:v>
      </x:c>
      <x:c r="J117" s="4" t="str">
        <x:v>CURRICULAR_REVISADA</x:v>
      </x:c>
      <x:c r="K117" s="4" t="n">
        <x:v>46273.838743506945</x:v>
      </x:c>
      <x:c r="L117" s="12" t="n">
        <x:f>COUNTIF('21_Fuentes_educativas'!$A$5:$A$188,A117)-1</x:f>
        <x:v>0</x:v>
      </x:c>
      <x:c r="M117" s="12" t="n">
        <x:f>IF(E117="CAPTURADO",IF(LEN(G117)=64,0,1),0)</x:f>
        <x:v>0</x:v>
      </x:c>
    </x:row>
    <x:row r="118" ht="47" customHeight="1">
      <x:c r="A118" s="4" t="str">
        <x:v>R035</x:v>
      </x:c>
      <x:c r="B118" s="4" t="str">
        <x:v>ANALISIS Y GESTION DEL RIESGO</x:v>
      </x:c>
      <x:c r="C118" s="4" t="str">
        <x:v>https://gestion3.urjc.es/guiasdocentes/pdfGuia.jsp?txtAsignatura=2285036&amp;txtTitulacion=2285&amp;txtCursoAcademico=2026-27</x:v>
      </x:c>
      <x:c r="D118" s="4" t="str">
        <x:v>https://servicios.urjc.es/guiasdocentes/pdfGuia.jsp?txtAsignatura=2285036&amp;txtTitulacion=2285&amp;txtCursoAcademico=2026-27</x:v>
      </x:c>
      <x:c r="E118" s="4" t="str">
        <x:v>CAPTURADO</x:v>
      </x:c>
      <x:c r="F118" s="4" t="str">
        <x:v>278163</x:v>
      </x:c>
      <x:c r="G118" s="4" t="str">
        <x:v>099a3eb2a03c5040f76ddc3676ae6ed1987e0432626f014812a720fd204c0eea</x:v>
      </x:c>
      <x:c r="H118" s="4" t="str">
        <x:v>12</x:v>
      </x:c>
      <x:c r="I118" s="4" t="str">
        <x:v>II y IV: lectura curricular; III: códigos de resultados extraídos. Identidad y contenido contrastados.</x:v>
      </x:c>
      <x:c r="J118" s="4" t="str">
        <x:v>CURRICULAR_REVISADA</x:v>
      </x:c>
      <x:c r="K118" s="4" t="n">
        <x:v>46273.83916311343</x:v>
      </x:c>
      <x:c r="L118" s="12" t="n">
        <x:f>COUNTIF('21_Fuentes_educativas'!$A$5:$A$188,A118)-1</x:f>
        <x:v>0</x:v>
      </x:c>
      <x:c r="M118" s="12" t="n">
        <x:f>IF(E118="CAPTURADO",IF(LEN(G118)=64,0,1),0)</x:f>
        <x:v>0</x:v>
      </x:c>
    </x:row>
    <x:row r="119" ht="47" customHeight="1">
      <x:c r="A119" s="4" t="str">
        <x:v>R036</x:v>
      </x:c>
      <x:c r="B119" s="4" t="str">
        <x:v>PROTECCION DE INFRAESTRUCTURAS CRITICAS</x:v>
      </x:c>
      <x:c r="C119" s="4" t="str">
        <x:v>https://gestion3.urjc.es/guiasdocentes/pdfGuia.jsp?txtAsignatura=2285037&amp;txtTitulacion=2285&amp;txtCursoAcademico=2026-27</x:v>
      </x:c>
      <x:c r="D119" s="4" t="str">
        <x:v>https://servicios.urjc.es/guiasdocentes/pdfGuia.jsp?txtAsignatura=2285037&amp;txtTitulacion=2285&amp;txtCursoAcademico=2026-27</x:v>
      </x:c>
      <x:c r="E119" s="4" t="str">
        <x:v>CAPTURADO</x:v>
      </x:c>
      <x:c r="F119" s="4" t="str">
        <x:v>234641</x:v>
      </x:c>
      <x:c r="G119" s="4" t="str">
        <x:v>c911899853f38cab8c3d845e837e43b6adb99aec161edcd0d6168fabba9f9f55</x:v>
      </x:c>
      <x:c r="H119" s="4" t="str">
        <x:v>10</x:v>
      </x:c>
      <x:c r="I119" s="4" t="str">
        <x:v>II y IV: lectura curricular; III: códigos de resultados extraídos. Identidad y contenido contrastados.</x:v>
      </x:c>
      <x:c r="J119" s="4" t="str">
        <x:v>CURRICULAR_REVISADA</x:v>
      </x:c>
      <x:c r="K119" s="4" t="n">
        <x:v>46273.839436608796</x:v>
      </x:c>
      <x:c r="L119" s="12" t="n">
        <x:f>COUNTIF('21_Fuentes_educativas'!$A$5:$A$188,A119)-1</x:f>
        <x:v>0</x:v>
      </x:c>
      <x:c r="M119" s="12" t="n">
        <x:f>IF(E119="CAPTURADO",IF(LEN(G119)=64,0,1),0)</x:f>
        <x:v>0</x:v>
      </x:c>
    </x:row>
    <x:row r="120" ht="47" customHeight="1">
      <x:c r="A120" s="4" t="str">
        <x:v>R037</x:v>
      </x:c>
      <x:c r="B120" s="4" t="str">
        <x:v>REGULACION Y GOBERNANZA DE LA SEGURIDAD</x:v>
      </x:c>
      <x:c r="C120" s="4" t="str">
        <x:v>https://gestion3.urjc.es/guiasdocentes/pdfGuia.jsp?txtAsignatura=2285038&amp;txtTitulacion=2285&amp;txtCursoAcademico=2026-27</x:v>
      </x:c>
      <x:c r="D120" s="4" t="str">
        <x:v>https://servicios.urjc.es/guiasdocentes/pdfGuia.jsp?txtAsignatura=2285038&amp;txtTitulacion=2285&amp;txtCursoAcademico=2026-27</x:v>
      </x:c>
      <x:c r="E120" s="4" t="str">
        <x:v>CAPTURADO</x:v>
      </x:c>
      <x:c r="F120" s="4" t="str">
        <x:v>237085</x:v>
      </x:c>
      <x:c r="G120" s="4" t="str">
        <x:v>92f21597ea76857a36e6f592bfad6c604751e346260e46caf0acd69beb5082f8</x:v>
      </x:c>
      <x:c r="H120" s="4" t="str">
        <x:v>10</x:v>
      </x:c>
      <x:c r="I120" s="4" t="str">
        <x:v>II y IV: lectura curricular; III: códigos de resultados extraídos. Identidad y contenido contrastados.</x:v>
      </x:c>
      <x:c r="J120" s="4" t="str">
        <x:v>CURRICULAR_REVISADA</x:v>
      </x:c>
      <x:c r="K120" s="4" t="n">
        <x:v>46273.83971662037</x:v>
      </x:c>
      <x:c r="L120" s="12" t="n">
        <x:f>COUNTIF('21_Fuentes_educativas'!$A$5:$A$188,A120)-1</x:f>
        <x:v>0</x:v>
      </x:c>
      <x:c r="M120" s="12" t="n">
        <x:f>IF(E120="CAPTURADO",IF(LEN(G120)=64,0,1),0)</x:f>
        <x:v>0</x:v>
      </x:c>
    </x:row>
    <x:row r="121" ht="47" customHeight="1">
      <x:c r="A121" s="4" t="str">
        <x:v>R038</x:v>
      </x:c>
      <x:c r="B121" s="4" t="str">
        <x:v>PRACTICAS EXTERNAS</x:v>
      </x:c>
      <x:c r="C121" s="4" t="str">
        <x:v>https://gestion3.urjc.es/guiasdocentes/pdfGuia.jsp?txtAsignatura=2285039&amp;txtTitulacion=2285&amp;txtCursoAcademico=2026-27</x:v>
      </x:c>
      <x:c r="D121" s="4" t="str">
        <x:v>https://servicios.urjc.es/guiasdocentes/pdfGuia.jsp?txtAsignatura=2285039&amp;txtTitulacion=2285&amp;txtCursoAcademico=2026-27</x:v>
      </x:c>
      <x:c r="E121" s="4" t="str">
        <x:v>CAPTURADO</x:v>
      </x:c>
      <x:c r="F121" s="4" t="str">
        <x:v>192722</x:v>
      </x:c>
      <x:c r="G121" s="4" t="str">
        <x:v>8a4ec9299aa0f8e3ef047cefefd9b304dc39ffddfa2b3619bd29e6be6b9be2da</x:v>
      </x:c>
      <x:c r="H121" s="4" t="str">
        <x:v>8</x:v>
      </x:c>
      <x:c r="I121" s="4" t="str">
        <x:v>II y IV: lectura curricular; III: códigos de resultados extraídos. Identidad y contenido contrastados.</x:v>
      </x:c>
      <x:c r="J121" s="4" t="str">
        <x:v>CURRICULAR_REVISADA</x:v>
      </x:c>
      <x:c r="K121" s="4" t="n">
        <x:v>46273.840007453706</x:v>
      </x:c>
      <x:c r="L121" s="12" t="n">
        <x:f>COUNTIF('21_Fuentes_educativas'!$A$5:$A$188,A121)-1</x:f>
        <x:v>0</x:v>
      </x:c>
      <x:c r="M121" s="12" t="n">
        <x:f>IF(E121="CAPTURADO",IF(LEN(G121)=64,0,1),0)</x:f>
        <x:v>0</x:v>
      </x:c>
    </x:row>
    <x:row r="122" ht="47" customHeight="1">
      <x:c r="A122" s="4" t="str">
        <x:v>R039</x:v>
      </x:c>
      <x:c r="B122" s="4" t="str">
        <x:v>RECONOCIMIENTO ACADEMICO DE CREDITOS</x:v>
      </x:c>
      <x:c r="C122" s="4" t="str">
        <x:v>https://gestion3.urjc.es/guiasdocentes/pdfGuia.jsp?txtAsignatura=2285035&amp;txtTitulacion=2285&amp;txtCursoAcademico=2026-27</x:v>
      </x:c>
      <x:c r="D122" s="4" t="str">
        <x:v>https://servicios.urjc.es/guiasdocentes/pdfGuia.jsp?txtAsignatura=2285035&amp;txtTitulacion=2285&amp;txtCursoAcademico=2026-27</x:v>
      </x:c>
      <x:c r="E122" s="4" t="str">
        <x:v>CAPTURADO</x:v>
      </x:c>
      <x:c r="F122" s="4" t="str">
        <x:v>419263</x:v>
      </x:c>
      <x:c r="G122" s="4" t="str">
        <x:v>fec7f574fc45a4dc21a6badf794e85fa7cc4a4c994618209427770c2b2c34b08</x:v>
      </x:c>
      <x:c r="H122" s="4" t="str">
        <x:v>6</x:v>
      </x:c>
      <x:c r="I122" s="4" t="str">
        <x:v>Identidad y naturaleza transversal; no se incorpora temario técnico.</x:v>
      </x:c>
      <x:c r="J122" s="4" t="str">
        <x:v>TRANSVERSAL_IDENTIFICADA</x:v>
      </x:c>
      <x:c r="K122" s="4" t="n">
        <x:v>46273.84026686342</x:v>
      </x:c>
      <x:c r="L122" s="12" t="n">
        <x:f>COUNTIF('21_Fuentes_educativas'!$A$5:$A$188,A122)-1</x:f>
        <x:v>0</x:v>
      </x:c>
      <x:c r="M122" s="12" t="n">
        <x:f>IF(E122="CAPTURADO",IF(LEN(G122)=64,0,1),0)</x:f>
        <x:v>0</x:v>
      </x:c>
    </x:row>
    <x:row r="123" ht="47" customHeight="1">
      <x:c r="A123" s="4" t="str">
        <x:v>R040</x:v>
      </x:c>
      <x:c r="B123" s="4" t="str">
        <x:v>TRABAJO FIN DE GRADO</x:v>
      </x:c>
      <x:c r="C123" s="4" t="str">
        <x:v>https://gestion3.urjc.es/guiasdocentes/pdfGuia.jsp?txtAsignatura=2285040&amp;txtTitulacion=2285&amp;txtCursoAcademico=2026-27</x:v>
      </x:c>
      <x:c r="D123" s="4" t="str">
        <x:v>https://servicios.urjc.es/guiasdocentes/pdfGuia.jsp?txtAsignatura=2285040&amp;txtTitulacion=2285&amp;txtCursoAcademico=2026-27</x:v>
      </x:c>
      <x:c r="E123" s="4" t="str">
        <x:v>CAPTURADO</x:v>
      </x:c>
      <x:c r="F123" s="4" t="str">
        <x:v>219436</x:v>
      </x:c>
      <x:c r="G123" s="4" t="str">
        <x:v>3a173a15d1c352e94c31f0da51cc72f160131ddff092c38622103b9d13e04611</x:v>
      </x:c>
      <x:c r="H123" s="4" t="str">
        <x:v>9</x:v>
      </x:c>
      <x:c r="I123" s="4" t="str">
        <x:v>II y IV: lectura curricular; III: códigos de resultados extraídos. Identidad y contenido contrastados.</x:v>
      </x:c>
      <x:c r="J123" s="4" t="str">
        <x:v>CURRICULAR_REVISADA</x:v>
      </x:c>
      <x:c r="K123" s="4" t="n">
        <x:v>46273.840519467594</x:v>
      </x:c>
      <x:c r="L123" s="12" t="n">
        <x:f>COUNTIF('21_Fuentes_educativas'!$A$5:$A$188,A123)-1</x:f>
        <x:v>0</x:v>
      </x:c>
      <x:c r="M123" s="12" t="n">
        <x:f>IF(E123="CAPTURADO",IF(LEN(G123)=64,0,1),0)</x:f>
        <x:v>0</x:v>
      </x:c>
    </x:row>
    <x:row r="124" ht="47" customHeight="1">
      <x:c r="A124" s="4" t="str">
        <x:v>U001</x:v>
      </x:c>
      <x:c r="B124" s="4" t="str">
        <x:v>FUNDAMENTOS FISICOS DE LA INFORMATICA</x:v>
      </x:c>
      <x:c r="C124" s="4" t="str">
        <x:v>https://gestion3.urjc.es/guiasdocentes/pdfGuia.jsp?txtAsignatura=2285001&amp;txtTitulacion=2285&amp;txtCursoAcademico=2026-27</x:v>
      </x:c>
      <x:c r="D124" s="4" t="str">
        <x:v>https://servicios.urjc.es/guiasdocentes/pdfGuia.jsp?txtAsignatura=2285001&amp;txtTitulacion=2285&amp;txtCursoAcademico=2026-27</x:v>
      </x:c>
      <x:c r="E124" s="4" t="str">
        <x:v>CAPTURADO</x:v>
      </x:c>
      <x:c r="F124" s="4" t="str">
        <x:v>254601</x:v>
      </x:c>
      <x:c r="G124" s="4" t="str">
        <x:v>66a6e07633633e3229d4fc8ed5a31f2985edf077baa6aba13a2e6e78c2c5a0ca</x:v>
      </x:c>
      <x:c r="H124" s="4" t="str">
        <x:v>11</x:v>
      </x:c>
      <x:c r="I124" s="4" t="str">
        <x:v>Lote paralelo apartado: se detectó mezcla entre portada y temario.</x:v>
      </x:c>
      <x:c r="J124" s="4" t="str">
        <x:v>CUARENTENA</x:v>
      </x:c>
      <x:c r="K124" s="4" t="n">
        <x:v>46273.827030381944</x:v>
      </x:c>
      <x:c r="L124" s="12" t="n">
        <x:f>COUNTIF('21_Fuentes_educativas'!$A$5:$A$188,A124)-1</x:f>
        <x:v>0</x:v>
      </x:c>
      <x:c r="M124" s="12" t="n">
        <x:f>IF(E124="CAPTURADO",IF(LEN(G124)=64,0,1),0)</x:f>
        <x:v>0</x:v>
      </x:c>
    </x:row>
    <x:row r="125" ht="47" customHeight="1">
      <x:c r="A125" s="4" t="str">
        <x:v>U002</x:v>
      </x:c>
      <x:c r="B125" s="4" t="str">
        <x:v>INTRODUCCION A LA CIBERSEGURIDAD</x:v>
      </x:c>
      <x:c r="C125" s="4" t="str">
        <x:v>https://gestion3.urjc.es/guiasdocentes/pdfGuia.jsp?txtAsignatura=2285002&amp;txtTitulacion=2285&amp;txtCursoAcademico=2026-27</x:v>
      </x:c>
      <x:c r="D125" s="4" t="str">
        <x:v>https://servicios.urjc.es/guiasdocentes/pdfGuia.jsp?txtAsignatura=2285002&amp;txtTitulacion=2285&amp;txtCursoAcademico=2026-27</x:v>
      </x:c>
      <x:c r="E125" s="4" t="str">
        <x:v>CAPTURADO</x:v>
      </x:c>
      <x:c r="F125" s="4" t="str">
        <x:v>256839</x:v>
      </x:c>
      <x:c r="G125" s="4" t="str">
        <x:v>862fbc716b84c042ef80168d5e25a4771151194db790ba86dbed6dfd06756834</x:v>
      </x:c>
      <x:c r="H125" s="4" t="str">
        <x:v>11</x:v>
      </x:c>
      <x:c r="I125" s="4" t="str">
        <x:v>Lote paralelo apartado: se detectó mezcla entre portada y temario.</x:v>
      </x:c>
      <x:c r="J125" s="4" t="str">
        <x:v>CUARENTENA</x:v>
      </x:c>
      <x:c r="K125" s="4" t="n">
        <x:v>46273.82702952546</x:v>
      </x:c>
      <x:c r="L125" s="12" t="n">
        <x:f>COUNTIF('21_Fuentes_educativas'!$A$5:$A$188,A125)-1</x:f>
        <x:v>0</x:v>
      </x:c>
      <x:c r="M125" s="12" t="n">
        <x:f>IF(E125="CAPTURADO",IF(LEN(G125)=64,0,1),0)</x:f>
        <x:v>0</x:v>
      </x:c>
    </x:row>
    <x:row r="126" ht="47" customHeight="1">
      <x:c r="A126" s="4" t="str">
        <x:v>U003</x:v>
      </x:c>
      <x:c r="B126" s="4" t="str">
        <x:v>INTRODUCCION A LA PROGRAMACION</x:v>
      </x:c>
      <x:c r="C126" s="4" t="str">
        <x:v>https://gestion3.urjc.es/guiasdocentes/pdfGuia.jsp?txtAsignatura=2285003&amp;txtTitulacion=2285&amp;txtCursoAcademico=2026-27</x:v>
      </x:c>
      <x:c r="D126" s="4" t="str">
        <x:v>https://servicios.urjc.es/guiasdocentes/pdfGuia.jsp?txtAsignatura=2285003&amp;txtTitulacion=2285&amp;txtCursoAcademico=2026-27</x:v>
      </x:c>
      <x:c r="E126" s="4" t="str">
        <x:v>CAPTURADO</x:v>
      </x:c>
      <x:c r="F126" s="4" t="str">
        <x:v>240160</x:v>
      </x:c>
      <x:c r="G126" s="4" t="str">
        <x:v>74872a94b4513b5ea37971be5cde171ab1ed2269920f0b212f83b65ddd76776a</x:v>
      </x:c>
      <x:c r="H126" s="4" t="str">
        <x:v>10</x:v>
      </x:c>
      <x:c r="I126" s="4" t="str">
        <x:v>Lote paralelo apartado: se detectó mezcla entre portada y temario.</x:v>
      </x:c>
      <x:c r="J126" s="4" t="str">
        <x:v>CUARENTENA</x:v>
      </x:c>
      <x:c r="K126" s="4" t="n">
        <x:v>46273.827033761576</x:v>
      </x:c>
      <x:c r="L126" s="12" t="n">
        <x:f>COUNTIF('21_Fuentes_educativas'!$A$5:$A$188,A126)-1</x:f>
        <x:v>0</x:v>
      </x:c>
      <x:c r="M126" s="12" t="n">
        <x:f>IF(E126="CAPTURADO",IF(LEN(G126)=64,0,1),0)</x:f>
        <x:v>0</x:v>
      </x:c>
    </x:row>
    <x:row r="127" ht="47" customHeight="1">
      <x:c r="A127" s="4" t="str">
        <x:v>U004</x:v>
      </x:c>
      <x:c r="B127" s="4" t="str">
        <x:v>LOGICA</x:v>
      </x:c>
      <x:c r="C127" s="4" t="str">
        <x:v>https://gestion3.urjc.es/guiasdocentes/pdfGuia.jsp?txtAsignatura=2285004&amp;txtTitulacion=2285&amp;txtCursoAcademico=2026-27</x:v>
      </x:c>
      <x:c r="D127" s="4" t="str">
        <x:v>https://servicios.urjc.es/guiasdocentes/pdfGuia.jsp?txtAsignatura=2285004&amp;txtTitulacion=2285&amp;txtCursoAcademico=2026-27</x:v>
      </x:c>
      <x:c r="E127" s="4" t="str">
        <x:v>CAPTURADO</x:v>
      </x:c>
      <x:c r="F127" s="4" t="str">
        <x:v>240984</x:v>
      </x:c>
      <x:c r="G127" s="4" t="str">
        <x:v>d6d42df45c8888d0e6cae29a01b6137db5159876fee830912345b2f8364b65ea</x:v>
      </x:c>
      <x:c r="H127" s="4" t="str">
        <x:v>10</x:v>
      </x:c>
      <x:c r="I127" s="4" t="str">
        <x:v>Lote paralelo apartado: se detectó mezcla entre portada y temario.</x:v>
      </x:c>
      <x:c r="J127" s="4" t="str">
        <x:v>CUARENTENA</x:v>
      </x:c>
      <x:c r="K127" s="4" t="n">
        <x:v>46273.827031875</x:v>
      </x:c>
      <x:c r="L127" s="12" t="n">
        <x:f>COUNTIF('21_Fuentes_educativas'!$A$5:$A$188,A127)-1</x:f>
        <x:v>0</x:v>
      </x:c>
      <x:c r="M127" s="12" t="n">
        <x:f>IF(E127="CAPTURADO",IF(LEN(G127)=64,0,1),0)</x:f>
        <x:v>0</x:v>
      </x:c>
    </x:row>
    <x:row r="128" ht="47" customHeight="1">
      <x:c r="A128" s="4" t="str">
        <x:v>U005</x:v>
      </x:c>
      <x:c r="B128" s="4" t="str">
        <x:v>MATEMATICA DISCRETA Y ALGEBRA</x:v>
      </x:c>
      <x:c r="C128" s="4" t="str">
        <x:v>https://gestion3.urjc.es/guiasdocentes/pdfGuia.jsp?txtAsignatura=2285005&amp;txtTitulacion=2285&amp;txtCursoAcademico=2026-27</x:v>
      </x:c>
      <x:c r="D128" s="4" t="str">
        <x:v>https://servicios.urjc.es/guiasdocentes/pdfGuia.jsp?txtAsignatura=2285005&amp;txtTitulacion=2285&amp;txtCursoAcademico=2026-27</x:v>
      </x:c>
      <x:c r="E128" s="4" t="str">
        <x:v>CAPTURADO</x:v>
      </x:c>
      <x:c r="F128" s="4" t="str">
        <x:v>240132</x:v>
      </x:c>
      <x:c r="G128" s="4" t="str">
        <x:v>3d9dff8954dcc1c7cb6dd3dfa8137ae2cef878825830a0cc95cb06b6140d7256</x:v>
      </x:c>
      <x:c r="H128" s="4" t="str">
        <x:v>10</x:v>
      </x:c>
      <x:c r="I128" s="4" t="str">
        <x:v>Lote paralelo apartado: se detectó mezcla entre portada y temario.</x:v>
      </x:c>
      <x:c r="J128" s="4" t="str">
        <x:v>CUARENTENA</x:v>
      </x:c>
      <x:c r="K128" s="4" t="n">
        <x:v>46273.82702831019</x:v>
      </x:c>
      <x:c r="L128" s="12" t="n">
        <x:f>COUNTIF('21_Fuentes_educativas'!$A$5:$A$188,A128)-1</x:f>
        <x:v>0</x:v>
      </x:c>
      <x:c r="M128" s="12" t="n">
        <x:f>IF(E128="CAPTURADO",IF(LEN(G128)=64,0,1),0)</x:f>
        <x:v>0</x:v>
      </x:c>
    </x:row>
    <x:row r="129" ht="47" customHeight="1">
      <x:c r="A129" s="4" t="str">
        <x:v>U006</x:v>
      </x:c>
      <x:c r="B129" s="4" t="str">
        <x:v>CALCULO</x:v>
      </x:c>
      <x:c r="C129" s="4" t="str">
        <x:v>https://gestion3.urjc.es/guiasdocentes/pdfGuia.jsp?txtAsignatura=2285006&amp;txtTitulacion=2285&amp;txtCursoAcademico=2026-27</x:v>
      </x:c>
      <x:c r="D129" s="4" t="str">
        <x:v>https://servicios.urjc.es/guiasdocentes/pdfGuia.jsp?txtAsignatura=2285006&amp;txtTitulacion=2285&amp;txtCursoAcademico=2026-27</x:v>
      </x:c>
      <x:c r="E129" s="4" t="str">
        <x:v>CAPTURADO</x:v>
      </x:c>
      <x:c r="F129" s="4" t="str">
        <x:v>241195</x:v>
      </x:c>
      <x:c r="G129" s="4" t="str">
        <x:v>a1c1c82d25228d191cd3140f64b6cca4acfb794cb547395ac479c5feb85d96ce</x:v>
      </x:c>
      <x:c r="H129" s="4" t="str">
        <x:v>10</x:v>
      </x:c>
      <x:c r="I129" s="4" t="str">
        <x:v>Lote paralelo apartado: se detectó mezcla entre portada y temario.</x:v>
      </x:c>
      <x:c r="J129" s="4" t="str">
        <x:v>CUARENTENA</x:v>
      </x:c>
      <x:c r="K129" s="4" t="n">
        <x:v>46273.82703378472</x:v>
      </x:c>
      <x:c r="L129" s="12" t="n">
        <x:f>COUNTIF('21_Fuentes_educativas'!$A$5:$A$188,A129)-1</x:f>
        <x:v>0</x:v>
      </x:c>
      <x:c r="M129" s="12" t="n">
        <x:f>IF(E129="CAPTURADO",IF(LEN(G129)=64,0,1),0)</x:f>
        <x:v>0</x:v>
      </x:c>
    </x:row>
    <x:row r="130" ht="47" customHeight="1">
      <x:c r="A130" s="4" t="str">
        <x:v>U007</x:v>
      </x:c>
      <x:c r="B130" s="4" t="str">
        <x:v>CRIPTOGRAFIA</x:v>
      </x:c>
      <x:c r="C130" s="4" t="str">
        <x:v>https://gestion3.urjc.es/guiasdocentes/pdfGuia.jsp?txtAsignatura=2285007&amp;txtTitulacion=2285&amp;txtCursoAcademico=2026-27</x:v>
      </x:c>
      <x:c r="D130" s="4" t="str">
        <x:v>https://servicios.urjc.es/guiasdocentes/pdfGuia.jsp?txtAsignatura=2285007&amp;txtTitulacion=2285&amp;txtCursoAcademico=2026-27</x:v>
      </x:c>
      <x:c r="E130" s="4" t="str">
        <x:v>CAPTURADO</x:v>
      </x:c>
      <x:c r="F130" s="4" t="str">
        <x:v>242165</x:v>
      </x:c>
      <x:c r="G130" s="4" t="str">
        <x:v>208df833de31453d901453a7ffa022891f77ee08a1fe53d78c8ccfc54d42fbc1</x:v>
      </x:c>
      <x:c r="H130" s="4" t="str">
        <x:v>10</x:v>
      </x:c>
      <x:c r="I130" s="4" t="str">
        <x:v>Lote paralelo apartado: se detectó mezcla entre portada y temario.</x:v>
      </x:c>
      <x:c r="J130" s="4" t="str">
        <x:v>CUARENTENA</x:v>
      </x:c>
      <x:c r="K130" s="4" t="n">
        <x:v>46273.82730052083</x:v>
      </x:c>
      <x:c r="L130" s="12" t="n">
        <x:f>COUNTIF('21_Fuentes_educativas'!$A$5:$A$188,A130)-1</x:f>
        <x:v>0</x:v>
      </x:c>
      <x:c r="M130" s="12" t="n">
        <x:f>IF(E130="CAPTURADO",IF(LEN(G130)=64,0,1),0)</x:f>
        <x:v>0</x:v>
      </x:c>
    </x:row>
    <x:row r="131" ht="47" customHeight="1">
      <x:c r="A131" s="4" t="str">
        <x:v>U008</x:v>
      </x:c>
      <x:c r="B131" s="4" t="str">
        <x:v>DIMENSIONES Y MODELO DE LA SEGURIDAD</x:v>
      </x:c>
      <x:c r="C131" s="4" t="str">
        <x:v>https://gestion3.urjc.es/guiasdocentes/pdfGuia.jsp?txtAsignatura=2285008&amp;txtTitulacion=2285&amp;txtCursoAcademico=2026-27</x:v>
      </x:c>
      <x:c r="D131" s="4" t="str">
        <x:v>https://servicios.urjc.es/guiasdocentes/pdfGuia.jsp?txtAsignatura=2285008&amp;txtTitulacion=2285&amp;txtCursoAcademico=2026-27</x:v>
      </x:c>
      <x:c r="E131" s="4" t="str">
        <x:v>CAPTURADO</x:v>
      </x:c>
      <x:c r="F131" s="4" t="str">
        <x:v>242415</x:v>
      </x:c>
      <x:c r="G131" s="4" t="str">
        <x:v>7d4a865b71acc5e8432ae90bd2a472792aac1d78ccd048c9123f03e5f5454c30</x:v>
      </x:c>
      <x:c r="H131" s="4" t="str">
        <x:v>10</x:v>
      </x:c>
      <x:c r="I131" s="4" t="str">
        <x:v>Lote paralelo apartado: se detectó mezcla entre portada y temario.</x:v>
      </x:c>
      <x:c r="J131" s="4" t="str">
        <x:v>CUARENTENA</x:v>
      </x:c>
      <x:c r="K131" s="4" t="n">
        <x:v>46273.827302060185</x:v>
      </x:c>
      <x:c r="L131" s="12" t="n">
        <x:f>COUNTIF('21_Fuentes_educativas'!$A$5:$A$188,A131)-1</x:f>
        <x:v>0</x:v>
      </x:c>
      <x:c r="M131" s="12" t="n">
        <x:f>IF(E131="CAPTURADO",IF(LEN(G131)=64,0,1),0)</x:f>
        <x:v>0</x:v>
      </x:c>
    </x:row>
    <x:row r="132" ht="47" customHeight="1">
      <x:c r="A132" s="4" t="str">
        <x:v>U009</x:v>
      </x:c>
      <x:c r="B132" s="4" t="str">
        <x:v>ESTADISTICA</x:v>
      </x:c>
      <x:c r="C132" s="4" t="str">
        <x:v>https://gestion3.urjc.es/guiasdocentes/pdfGuia.jsp?txtAsignatura=2285009&amp;txtTitulacion=2285&amp;txtCursoAcademico=2026-27</x:v>
      </x:c>
      <x:c r="D132" s="4" t="str"/>
      <x:c r="E132" s="4" t="str">
        <x:v>ERROR</x:v>
      </x:c>
      <x:c r="F132" s="4" t="str"/>
      <x:c r="G132" s="4" t="str"/>
      <x:c r="H132" s="4" t="str"/>
      <x:c r="I132" s="4" t="str">
        <x:v>HTTP Error 500: </x:v>
      </x:c>
      <x:c r="J132" s="4" t="str">
        <x:v>SIN_CAPTURA</x:v>
      </x:c>
      <x:c r="K132" s="4" t="str"/>
      <x:c r="L132" s="12" t="n">
        <x:f>COUNTIF('21_Fuentes_educativas'!$A$5:$A$188,A132)-1</x:f>
        <x:v>0</x:v>
      </x:c>
      <x:c r="M132" s="12" t="n">
        <x:f>IF(E132="CAPTURADO",IF(LEN(G132)=64,0,1),0)</x:f>
        <x:v>0</x:v>
      </x:c>
    </x:row>
    <x:row r="133" ht="47" customHeight="1">
      <x:c r="A133" s="4" t="str">
        <x:v>U010</x:v>
      </x:c>
      <x:c r="B133" s="4" t="str">
        <x:v>ESTRUCTURAS DE DATOS</x:v>
      </x:c>
      <x:c r="C133" s="4" t="str">
        <x:v>https://gestion3.urjc.es/guiasdocentes/pdfGuia.jsp?txtAsignatura=2285010&amp;txtTitulacion=2285&amp;txtCursoAcademico=2026-27</x:v>
      </x:c>
      <x:c r="D133" s="4" t="str">
        <x:v>https://servicios.urjc.es/guiasdocentes/pdfGuia.jsp?txtAsignatura=2285010&amp;txtTitulacion=2285&amp;txtCursoAcademico=2026-27</x:v>
      </x:c>
      <x:c r="E133" s="4" t="str">
        <x:v>CAPTURADO</x:v>
      </x:c>
      <x:c r="F133" s="4" t="str">
        <x:v>294869</x:v>
      </x:c>
      <x:c r="G133" s="4" t="str">
        <x:v>6c7485013d23807666484b07b13b85466d096d07c389d8069a4e7c209e60bbb1</x:v>
      </x:c>
      <x:c r="H133" s="4" t="str">
        <x:v>13</x:v>
      </x:c>
      <x:c r="I133" s="4" t="str">
        <x:v>Lote paralelo apartado: se detectó mezcla entre portada y temario.</x:v>
      </x:c>
      <x:c r="J133" s="4" t="str">
        <x:v>CUARENTENA</x:v>
      </x:c>
      <x:c r="K133" s="4" t="n">
        <x:v>46273.82730511574</x:v>
      </x:c>
      <x:c r="L133" s="12" t="n">
        <x:f>COUNTIF('21_Fuentes_educativas'!$A$5:$A$188,A133)-1</x:f>
        <x:v>0</x:v>
      </x:c>
      <x:c r="M133" s="12" t="n">
        <x:f>IF(E133="CAPTURADO",IF(LEN(G133)=64,0,1),0)</x:f>
        <x:v>0</x:v>
      </x:c>
    </x:row>
    <x:row r="134" ht="47" customHeight="1">
      <x:c r="A134" s="4" t="str">
        <x:v>U011</x:v>
      </x:c>
      <x:c r="B134" s="4" t="str">
        <x:v>METODOS OPERATIVOS Y ESTADISTICOS DE GESTION</x:v>
      </x:c>
      <x:c r="C134" s="4" t="str">
        <x:v>https://gestion3.urjc.es/guiasdocentes/pdfGuia.jsp?txtAsignatura=2285011&amp;txtTitulacion=2285&amp;txtCursoAcademico=2026-27</x:v>
      </x:c>
      <x:c r="D134" s="4" t="str"/>
      <x:c r="E134" s="4" t="str">
        <x:v>ERROR</x:v>
      </x:c>
      <x:c r="F134" s="4" t="str"/>
      <x:c r="G134" s="4" t="str"/>
      <x:c r="H134" s="4" t="str"/>
      <x:c r="I134" s="4" t="str">
        <x:v>HTTP Error 500: </x:v>
      </x:c>
      <x:c r="J134" s="4" t="str">
        <x:v>SIN_CAPTURA</x:v>
      </x:c>
      <x:c r="K134" s="4" t="str"/>
      <x:c r="L134" s="12" t="n">
        <x:f>COUNTIF('21_Fuentes_educativas'!$A$5:$A$188,A134)-1</x:f>
        <x:v>0</x:v>
      </x:c>
      <x:c r="M134" s="12" t="n">
        <x:f>IF(E134="CAPTURADO",IF(LEN(G134)=64,0,1),0)</x:f>
        <x:v>0</x:v>
      </x:c>
    </x:row>
    <x:row r="135" ht="47" customHeight="1">
      <x:c r="A135" s="4" t="str">
        <x:v>U012</x:v>
      </x:c>
      <x:c r="B135" s="4" t="str">
        <x:v>PRINCIPIOS JURIDICOS BASICOS APLICADOS A LA CIBERSEGURIDAD</x:v>
      </x:c>
      <x:c r="C135" s="4" t="str">
        <x:v>https://gestion3.urjc.es/guiasdocentes/pdfGuia.jsp?txtAsignatura=2285012&amp;txtTitulacion=2285&amp;txtCursoAcademico=2026-27</x:v>
      </x:c>
      <x:c r="D135" s="4" t="str">
        <x:v>https://servicios.urjc.es/guiasdocentes/pdfGuia.jsp?txtAsignatura=2285012&amp;txtTitulacion=2285&amp;txtCursoAcademico=2026-27</x:v>
      </x:c>
      <x:c r="E135" s="4" t="str">
        <x:v>CAPTURADO</x:v>
      </x:c>
      <x:c r="F135" s="4" t="str">
        <x:v>295249</x:v>
      </x:c>
      <x:c r="G135" s="4" t="str">
        <x:v>306a71633ca55ee8f731fa690e8094c860bf607c0a056b6d615ca69b68d3cd23</x:v>
      </x:c>
      <x:c r="H135" s="4" t="str">
        <x:v>13</x:v>
      </x:c>
      <x:c r="I135" s="4" t="str">
        <x:v>Lote paralelo apartado: se detectó mezcla entre portada y temario.</x:v>
      </x:c>
      <x:c r="J135" s="4" t="str">
        <x:v>CUARENTENA</x:v>
      </x:c>
      <x:c r="K135" s="4" t="n">
        <x:v>46273.8273049537</x:v>
      </x:c>
      <x:c r="L135" s="12" t="n">
        <x:f>COUNTIF('21_Fuentes_educativas'!$A$5:$A$188,A135)-1</x:f>
        <x:v>0</x:v>
      </x:c>
      <x:c r="M135" s="12" t="n">
        <x:f>IF(E135="CAPTURADO",IF(LEN(G135)=64,0,1),0)</x:f>
        <x:v>0</x:v>
      </x:c>
    </x:row>
    <x:row r="136" ht="47" customHeight="1">
      <x:c r="A136" s="4" t="str">
        <x:v>U013</x:v>
      </x:c>
      <x:c r="B136" s="4" t="str">
        <x:v>PROGRAMACION AVANZADA</x:v>
      </x:c>
      <x:c r="C136" s="4" t="str">
        <x:v>https://gestion3.urjc.es/guiasdocentes/pdfGuia.jsp?txtAsignatura=2285013&amp;txtTitulacion=2285&amp;txtCursoAcademico=2026-27</x:v>
      </x:c>
      <x:c r="D136" s="4" t="str">
        <x:v>https://servicios.urjc.es/guiasdocentes/pdfGuia.jsp?txtAsignatura=2285013&amp;txtTitulacion=2285&amp;txtCursoAcademico=2026-27</x:v>
      </x:c>
      <x:c r="E136" s="4" t="str">
        <x:v>CAPTURADO</x:v>
      </x:c>
      <x:c r="F136" s="4" t="str">
        <x:v>325245</x:v>
      </x:c>
      <x:c r="G136" s="4" t="str">
        <x:v>012523016bbd9010e7a8dd0d77e0854260ca6d7448d53a1a2fa4b1134245c4dc</x:v>
      </x:c>
      <x:c r="H136" s="4" t="str">
        <x:v>14</x:v>
      </x:c>
      <x:c r="I136" s="4" t="str">
        <x:v>Lote paralelo apartado: se detectó mezcla entre portada y temario.</x:v>
      </x:c>
      <x:c r="J136" s="4" t="str">
        <x:v>CUARENTENA</x:v>
      </x:c>
      <x:c r="K136" s="4" t="n">
        <x:v>46273.827774074074</x:v>
      </x:c>
      <x:c r="L136" s="12" t="n">
        <x:f>COUNTIF('21_Fuentes_educativas'!$A$5:$A$188,A136)-1</x:f>
        <x:v>0</x:v>
      </x:c>
      <x:c r="M136" s="12" t="n">
        <x:f>IF(E136="CAPTURADO",IF(LEN(G136)=64,0,1),0)</x:f>
        <x:v>0</x:v>
      </x:c>
    </x:row>
    <x:row r="137" ht="47" customHeight="1">
      <x:c r="A137" s="4" t="str">
        <x:v>U014</x:v>
      </x:c>
      <x:c r="B137" s="4" t="str">
        <x:v>REDES DE COMPUTADORES</x:v>
      </x:c>
      <x:c r="C137" s="4" t="str">
        <x:v>https://gestion3.urjc.es/guiasdocentes/pdfGuia.jsp?txtAsignatura=2285014&amp;txtTitulacion=2285&amp;txtCursoAcademico=2026-27</x:v>
      </x:c>
      <x:c r="D137" s="4" t="str">
        <x:v>https://servicios.urjc.es/guiasdocentes/pdfGuia.jsp?txtAsignatura=2285014&amp;txtTitulacion=2285&amp;txtCursoAcademico=2026-27</x:v>
      </x:c>
      <x:c r="E137" s="4" t="str">
        <x:v>CAPTURADO</x:v>
      </x:c>
      <x:c r="F137" s="4" t="str">
        <x:v>325247</x:v>
      </x:c>
      <x:c r="G137" s="4" t="str">
        <x:v>1284cd2924a5edd105ea498b28068c941525bbd9f40a085efb66143d90773e4d</x:v>
      </x:c>
      <x:c r="H137" s="4" t="str">
        <x:v>14</x:v>
      </x:c>
      <x:c r="I137" s="4" t="str">
        <x:v>Lote paralelo apartado: se detectó mezcla entre portada y temario.</x:v>
      </x:c>
      <x:c r="J137" s="4" t="str">
        <x:v>CUARENTENA</x:v>
      </x:c>
      <x:c r="K137" s="4" t="n">
        <x:v>46273.827766574075</x:v>
      </x:c>
      <x:c r="L137" s="12" t="n">
        <x:f>COUNTIF('21_Fuentes_educativas'!$A$5:$A$188,A137)-1</x:f>
        <x:v>0</x:v>
      </x:c>
      <x:c r="M137" s="12" t="n">
        <x:f>IF(E137="CAPTURADO",IF(LEN(G137)=64,0,1),0)</x:f>
        <x:v>0</x:v>
      </x:c>
    </x:row>
    <x:row r="138" ht="47" customHeight="1">
      <x:c r="A138" s="4" t="str">
        <x:v>U015</x:v>
      </x:c>
      <x:c r="B138" s="4" t="str">
        <x:v>TECNICAS DE HACKING</x:v>
      </x:c>
      <x:c r="C138" s="4" t="str">
        <x:v>https://gestion3.urjc.es/guiasdocentes/pdfGuia.jsp?txtAsignatura=2285015&amp;txtTitulacion=2285&amp;txtCursoAcademico=2026-27</x:v>
      </x:c>
      <x:c r="D138" s="4" t="str">
        <x:v>https://servicios.urjc.es/guiasdocentes/pdfGuia.jsp?txtAsignatura=2285015&amp;txtTitulacion=2285&amp;txtCursoAcademico=2026-27</x:v>
      </x:c>
      <x:c r="E138" s="4" t="str">
        <x:v>CAPTURADO</x:v>
      </x:c>
      <x:c r="F138" s="4" t="str">
        <x:v>325206</x:v>
      </x:c>
      <x:c r="G138" s="4" t="str">
        <x:v>81cd216fed50d3569af68f4623c4ab7b7bab3d70c477afe76699d4ccbfb81b81</x:v>
      </x:c>
      <x:c r="H138" s="4" t="str">
        <x:v>14</x:v>
      </x:c>
      <x:c r="I138" s="4" t="str">
        <x:v>Lote paralelo apartado: se detectó mezcla entre portada y temario.</x:v>
      </x:c>
      <x:c r="J138" s="4" t="str">
        <x:v>CUARENTENA</x:v>
      </x:c>
      <x:c r="K138" s="4" t="n">
        <x:v>46273.8277740625</x:v>
      </x:c>
      <x:c r="L138" s="12" t="n">
        <x:f>COUNTIF('21_Fuentes_educativas'!$A$5:$A$188,A138)-1</x:f>
        <x:v>0</x:v>
      </x:c>
      <x:c r="M138" s="12" t="n">
        <x:f>IF(E138="CAPTURADO",IF(LEN(G138)=64,0,1),0)</x:f>
        <x:v>0</x:v>
      </x:c>
    </x:row>
    <x:row r="139" ht="47" customHeight="1">
      <x:c r="A139" s="4" t="str">
        <x:v>U016</x:v>
      </x:c>
      <x:c r="B139" s="4" t="str">
        <x:v>BASES DE DATOS</x:v>
      </x:c>
      <x:c r="C139" s="4" t="str">
        <x:v>https://gestion3.urjc.es/guiasdocentes/pdfGuia.jsp?txtAsignatura=2285016&amp;txtTitulacion=2285&amp;txtCursoAcademico=2026-27</x:v>
      </x:c>
      <x:c r="D139" s="4" t="str">
        <x:v>https://servicios.urjc.es/guiasdocentes/pdfGuia.jsp?txtAsignatura=2285016&amp;txtTitulacion=2285&amp;txtCursoAcademico=2026-27</x:v>
      </x:c>
      <x:c r="E139" s="4" t="str">
        <x:v>CAPTURADO</x:v>
      </x:c>
      <x:c r="F139" s="4" t="str">
        <x:v>325144</x:v>
      </x:c>
      <x:c r="G139" s="4" t="str">
        <x:v>e7875fa7e89442dc244a75fc62a908e96b935e48549f6a458fa1271abe83d611</x:v>
      </x:c>
      <x:c r="H139" s="4" t="str">
        <x:v>14</x:v>
      </x:c>
      <x:c r="I139" s="4" t="str">
        <x:v>Lote paralelo apartado: se detectó mezcla entre portada y temario.</x:v>
      </x:c>
      <x:c r="J139" s="4" t="str">
        <x:v>CUARENTENA</x:v>
      </x:c>
      <x:c r="K139" s="4" t="n">
        <x:v>46273.82777394676</x:v>
      </x:c>
      <x:c r="L139" s="12" t="n">
        <x:f>COUNTIF('21_Fuentes_educativas'!$A$5:$A$188,A139)-1</x:f>
        <x:v>0</x:v>
      </x:c>
      <x:c r="M139" s="12" t="n">
        <x:f>IF(E139="CAPTURADO",IF(LEN(G139)=64,0,1),0)</x:f>
        <x:v>0</x:v>
      </x:c>
    </x:row>
    <x:row r="140" ht="47" customHeight="1">
      <x:c r="A140" s="4" t="str">
        <x:v>U017</x:v>
      </x:c>
      <x:c r="B140" s="4" t="str">
        <x:v>DESARROLLO WEB SEGURO</x:v>
      </x:c>
      <x:c r="C140" s="4" t="str">
        <x:v>https://gestion3.urjc.es/guiasdocentes/pdfGuia.jsp?txtAsignatura=2285017&amp;txtTitulacion=2285&amp;txtCursoAcademico=2026-27</x:v>
      </x:c>
      <x:c r="D140" s="4" t="str">
        <x:v>https://servicios.urjc.es/guiasdocentes/pdfGuia.jsp?txtAsignatura=2285017&amp;txtTitulacion=2285&amp;txtCursoAcademico=2026-27</x:v>
      </x:c>
      <x:c r="E140" s="4" t="str">
        <x:v>CAPTURADO</x:v>
      </x:c>
      <x:c r="F140" s="4" t="str">
        <x:v>325150</x:v>
      </x:c>
      <x:c r="G140" s="4" t="str">
        <x:v>e0dca478e630ebca64bf79d90b9a89d67c4ed3df4f9540d84a00acaeaf2e1f84</x:v>
      </x:c>
      <x:c r="H140" s="4" t="str">
        <x:v>14</x:v>
      </x:c>
      <x:c r="I140" s="4" t="str">
        <x:v>Lote paralelo apartado: se detectó mezcla entre portada y temario.</x:v>
      </x:c>
      <x:c r="J140" s="4" t="str">
        <x:v>CUARENTENA</x:v>
      </x:c>
      <x:c r="K140" s="4" t="n">
        <x:v>46273.82777568287</x:v>
      </x:c>
      <x:c r="L140" s="12" t="n">
        <x:f>COUNTIF('21_Fuentes_educativas'!$A$5:$A$188,A140)-1</x:f>
        <x:v>0</x:v>
      </x:c>
      <x:c r="M140" s="12" t="n">
        <x:f>IF(E140="CAPTURADO",IF(LEN(G140)=64,0,1),0)</x:f>
        <x:v>0</x:v>
      </x:c>
    </x:row>
    <x:row r="141" ht="47" customHeight="1">
      <x:c r="A141" s="4" t="str">
        <x:v>U018</x:v>
      </x:c>
      <x:c r="B141" s="4" t="str">
        <x:v>ESTRUCTURA DE COMPUTADORES</x:v>
      </x:c>
      <x:c r="C141" s="4" t="str">
        <x:v>https://gestion3.urjc.es/guiasdocentes/pdfGuia.jsp?txtAsignatura=2285018&amp;txtTitulacion=2285&amp;txtCursoAcademico=2026-27</x:v>
      </x:c>
      <x:c r="D141" s="4" t="str">
        <x:v>https://servicios.urjc.es/guiasdocentes/pdfGuia.jsp?txtAsignatura=2285018&amp;txtTitulacion=2285&amp;txtCursoAcademico=2026-27</x:v>
      </x:c>
      <x:c r="E141" s="4" t="str">
        <x:v>CAPTURADO</x:v>
      </x:c>
      <x:c r="F141" s="4" t="str">
        <x:v>325299</x:v>
      </x:c>
      <x:c r="G141" s="4" t="str">
        <x:v>ea43af6c7b4ef8f6bc792104516ecb69c266b0b9775dc696166adee9323f458d</x:v>
      </x:c>
      <x:c r="H141" s="4" t="str">
        <x:v>14</x:v>
      </x:c>
      <x:c r="I141" s="4" t="str">
        <x:v>Lote paralelo apartado: se detectó mezcla entre portada y temario.</x:v>
      </x:c>
      <x:c r="J141" s="4" t="str">
        <x:v>CUARENTENA</x:v>
      </x:c>
      <x:c r="K141" s="4" t="n">
        <x:v>46273.827771620374</x:v>
      </x:c>
      <x:c r="L141" s="12" t="n">
        <x:f>COUNTIF('21_Fuentes_educativas'!$A$5:$A$188,A141)-1</x:f>
        <x:v>0</x:v>
      </x:c>
      <x:c r="M141" s="12" t="n">
        <x:f>IF(E141="CAPTURADO",IF(LEN(G141)=64,0,1),0)</x:f>
        <x:v>0</x:v>
      </x:c>
    </x:row>
    <x:row r="142" ht="47" customHeight="1">
      <x:c r="A142" s="4" t="str">
        <x:v>U019</x:v>
      </x:c>
      <x:c r="B142" s="4" t="str">
        <x:v>SEGURIDAD EN REDES</x:v>
      </x:c>
      <x:c r="C142" s="4" t="str">
        <x:v>https://gestion3.urjc.es/guiasdocentes/pdfGuia.jsp?txtAsignatura=2285019&amp;txtTitulacion=2285&amp;txtCursoAcademico=2026-27</x:v>
      </x:c>
      <x:c r="D142" s="4" t="str">
        <x:v>https://servicios.urjc.es/guiasdocentes/pdfGuia.jsp?txtAsignatura=2285019&amp;txtTitulacion=2285&amp;txtCursoAcademico=2026-27</x:v>
      </x:c>
      <x:c r="E142" s="4" t="str">
        <x:v>CAPTURADO</x:v>
      </x:c>
      <x:c r="F142" s="4" t="str">
        <x:v>261577</x:v>
      </x:c>
      <x:c r="G142" s="4" t="str">
        <x:v>bb74c181d8cf51193907b01cc31612dee0daf95289c9180e48236c43bd9fa1c2</x:v>
      </x:c>
      <x:c r="H142" s="4" t="str">
        <x:v>11</x:v>
      </x:c>
      <x:c r="I142" s="4" t="str">
        <x:v>Lote paralelo apartado: se detectó mezcla entre portada y temario.</x:v>
      </x:c>
      <x:c r="J142" s="4" t="str">
        <x:v>CUARENTENA</x:v>
      </x:c>
      <x:c r="K142" s="4" t="n">
        <x:v>46273.828215960646</x:v>
      </x:c>
      <x:c r="L142" s="12" t="n">
        <x:f>COUNTIF('21_Fuentes_educativas'!$A$5:$A$188,A142)-1</x:f>
        <x:v>0</x:v>
      </x:c>
      <x:c r="M142" s="12" t="n">
        <x:f>IF(E142="CAPTURADO",IF(LEN(G142)=64,0,1),0)</x:f>
        <x:v>0</x:v>
      </x:c>
    </x:row>
    <x:row r="143" ht="47" customHeight="1">
      <x:c r="A143" s="4" t="str">
        <x:v>U020</x:v>
      </x:c>
      <x:c r="B143" s="4" t="str">
        <x:v>IDIOMA MODERNO</x:v>
      </x:c>
      <x:c r="C143" s="4" t="str">
        <x:v>https://gestion3.urjc.es/guiasdocentes/pdfGuia.jsp?txtAsignatura=2285020&amp;txtTitulacion=2285&amp;txtCursoAcademico=2026-27</x:v>
      </x:c>
      <x:c r="D143" s="4" t="str">
        <x:v>https://servicios.urjc.es/guiasdocentes/pdfGuia.jsp?txtAsignatura=2285020&amp;txtTitulacion=2285&amp;txtCursoAcademico=2026-27</x:v>
      </x:c>
      <x:c r="E143" s="4" t="str">
        <x:v>CAPTURADO</x:v>
      </x:c>
      <x:c r="F143" s="4" t="str">
        <x:v>552947</x:v>
      </x:c>
      <x:c r="G143" s="4" t="str">
        <x:v>d5be5ec49faad39c5f590cd090bfd6f8f861cb920aec7e4a67564858ca550f07</x:v>
      </x:c>
      <x:c r="H143" s="4" t="str">
        <x:v>12</x:v>
      </x:c>
      <x:c r="I143" s="4" t="str">
        <x:v>Lote paralelo apartado: se detectó mezcla entre portada y temario.</x:v>
      </x:c>
      <x:c r="J143" s="4" t="str">
        <x:v>CUARENTENA</x:v>
      </x:c>
      <x:c r="K143" s="4" t="n">
        <x:v>46273.828150023146</x:v>
      </x:c>
      <x:c r="L143" s="12" t="n">
        <x:f>COUNTIF('21_Fuentes_educativas'!$A$5:$A$188,A143)-1</x:f>
        <x:v>0</x:v>
      </x:c>
      <x:c r="M143" s="12" t="n">
        <x:f>IF(E143="CAPTURADO",IF(LEN(G143)=64,0,1),0)</x:f>
        <x:v>0</x:v>
      </x:c>
    </x:row>
    <x:row r="144" ht="47" customHeight="1">
      <x:c r="A144" s="4" t="str">
        <x:v>U021</x:v>
      </x:c>
      <x:c r="B144" s="4" t="str">
        <x:v>ARQUITECTURA DE COMPUTADORES</x:v>
      </x:c>
      <x:c r="C144" s="4" t="str">
        <x:v>https://gestion3.urjc.es/guiasdocentes/pdfGuia.jsp?txtAsignatura=2285021&amp;txtTitulacion=2285&amp;txtCursoAcademico=2026-27</x:v>
      </x:c>
      <x:c r="D144" s="4" t="str">
        <x:v>https://servicios.urjc.es/guiasdocentes/pdfGuia.jsp?txtAsignatura=2285021&amp;txtTitulacion=2285&amp;txtCursoAcademico=2026-27</x:v>
      </x:c>
      <x:c r="E144" s="4" t="str">
        <x:v>CAPTURADO</x:v>
      </x:c>
      <x:c r="F144" s="4" t="str">
        <x:v>261646</x:v>
      </x:c>
      <x:c r="G144" s="4" t="str">
        <x:v>3eef66b8af2a78f18d4e11bc7155456f97feb3a4c0bc81a4c5301b73d4acaf36</x:v>
      </x:c>
      <x:c r="H144" s="4" t="str">
        <x:v>11</x:v>
      </x:c>
      <x:c r="I144" s="4" t="str">
        <x:v>Lote paralelo apartado: se detectó mezcla entre portada y temario.</x:v>
      </x:c>
      <x:c r="J144" s="4" t="str">
        <x:v>CUARENTENA</x:v>
      </x:c>
      <x:c r="K144" s="4" t="n">
        <x:v>46273.82821825232</x:v>
      </x:c>
      <x:c r="L144" s="12" t="n">
        <x:f>COUNTIF('21_Fuentes_educativas'!$A$5:$A$188,A144)-1</x:f>
        <x:v>0</x:v>
      </x:c>
      <x:c r="M144" s="12" t="n">
        <x:f>IF(E144="CAPTURADO",IF(LEN(G144)=64,0,1),0)</x:f>
        <x:v>0</x:v>
      </x:c>
    </x:row>
    <x:row r="145" ht="47" customHeight="1">
      <x:c r="A145" s="4" t="str">
        <x:v>U022</x:v>
      </x:c>
      <x:c r="B145" s="4" t="str">
        <x:v>DISEÑO Y ANALISIS DE ALGORITMOS</x:v>
      </x:c>
      <x:c r="C145" s="4" t="str">
        <x:v>https://gestion3.urjc.es/guiasdocentes/pdfGuia.jsp?txtAsignatura=2285022&amp;txtTitulacion=2285&amp;txtCursoAcademico=2026-27</x:v>
      </x:c>
      <x:c r="D145" s="4" t="str">
        <x:v>https://servicios.urjc.es/guiasdocentes/pdfGuia.jsp?txtAsignatura=2285022&amp;txtTitulacion=2285&amp;txtCursoAcademico=2026-27</x:v>
      </x:c>
      <x:c r="E145" s="4" t="str">
        <x:v>CAPTURADO</x:v>
      </x:c>
      <x:c r="F145" s="4" t="str">
        <x:v>261723</x:v>
      </x:c>
      <x:c r="G145" s="4" t="str">
        <x:v>052eef2e885b8c1a05b621558cd8bc425b45eee1feafc70ef5ce9d5d062faaed</x:v>
      </x:c>
      <x:c r="H145" s="4" t="str">
        <x:v>11</x:v>
      </x:c>
      <x:c r="I145" s="4" t="str">
        <x:v>Lote paralelo apartado: se detectó mezcla entre portada y temario.</x:v>
      </x:c>
      <x:c r="J145" s="4" t="str">
        <x:v>CUARENTENA</x:v>
      </x:c>
      <x:c r="K145" s="4" t="n">
        <x:v>46273.82822040509</x:v>
      </x:c>
      <x:c r="L145" s="12" t="n">
        <x:f>COUNTIF('21_Fuentes_educativas'!$A$5:$A$188,A145)-1</x:f>
        <x:v>0</x:v>
      </x:c>
      <x:c r="M145" s="12" t="n">
        <x:f>IF(E145="CAPTURADO",IF(LEN(G145)=64,0,1),0)</x:f>
        <x:v>0</x:v>
      </x:c>
    </x:row>
    <x:row r="146" ht="47" customHeight="1">
      <x:c r="A146" s="4" t="str">
        <x:v>U023</x:v>
      </x:c>
      <x:c r="B146" s="4" t="str">
        <x:v>INGENIERIA DEL SOFTWARE</x:v>
      </x:c>
      <x:c r="C146" s="4" t="str">
        <x:v>https://gestion3.urjc.es/guiasdocentes/pdfGuia.jsp?txtAsignatura=2285023&amp;txtTitulacion=2285&amp;txtCursoAcademico=2026-27</x:v>
      </x:c>
      <x:c r="D146" s="4" t="str">
        <x:v>https://servicios.urjc.es/guiasdocentes/pdfGuia.jsp?txtAsignatura=2285023&amp;txtTitulacion=2285&amp;txtCursoAcademico=2026-27</x:v>
      </x:c>
      <x:c r="E146" s="4" t="str">
        <x:v>CAPTURADO</x:v>
      </x:c>
      <x:c r="F146" s="4" t="str">
        <x:v>261626</x:v>
      </x:c>
      <x:c r="G146" s="4" t="str">
        <x:v>0150c40874c0a4841941e88fba9c8d717360a70efb1c443c9cccb88b4efa3809</x:v>
      </x:c>
      <x:c r="H146" s="4" t="str">
        <x:v>11</x:v>
      </x:c>
      <x:c r="I146" s="4" t="str">
        <x:v>Lote paralelo apartado: se detectó mezcla entre portada y temario.</x:v>
      </x:c>
      <x:c r="J146" s="4" t="str">
        <x:v>CUARENTENA</x:v>
      </x:c>
      <x:c r="K146" s="4" t="n">
        <x:v>46273.82821799769</x:v>
      </x:c>
      <x:c r="L146" s="12" t="n">
        <x:f>COUNTIF('21_Fuentes_educativas'!$A$5:$A$188,A146)-1</x:f>
        <x:v>0</x:v>
      </x:c>
      <x:c r="M146" s="12" t="n">
        <x:f>IF(E146="CAPTURADO",IF(LEN(G146)=64,0,1),0)</x:f>
        <x:v>0</x:v>
      </x:c>
    </x:row>
    <x:row r="147" ht="47" customHeight="1">
      <x:c r="A147" s="4" t="str">
        <x:v>U024</x:v>
      </x:c>
      <x:c r="B147" s="4" t="str">
        <x:v>SEGURIDAD EN BASES DE DATOS</x:v>
      </x:c>
      <x:c r="C147" s="4" t="str">
        <x:v>https://gestion3.urjc.es/guiasdocentes/pdfGuia.jsp?txtAsignatura=2285024&amp;txtTitulacion=2285&amp;txtCursoAcademico=2026-27</x:v>
      </x:c>
      <x:c r="D147" s="4" t="str">
        <x:v>https://servicios.urjc.es/guiasdocentes/pdfGuia.jsp?txtAsignatura=2285024&amp;txtTitulacion=2285&amp;txtCursoAcademico=2026-27</x:v>
      </x:c>
      <x:c r="E147" s="4" t="str">
        <x:v>CAPTURADO</x:v>
      </x:c>
      <x:c r="F147" s="4" t="str">
        <x:v>261655</x:v>
      </x:c>
      <x:c r="G147" s="4" t="str">
        <x:v>9dd0710c4e123e17258bba7934a710e279eb4bc942987c950d9ace12d8f2b672</x:v>
      </x:c>
      <x:c r="H147" s="4" t="str">
        <x:v>11</x:v>
      </x:c>
      <x:c r="I147" s="4" t="str">
        <x:v>Lote paralelo apartado: se detectó mezcla entre portada y temario.</x:v>
      </x:c>
      <x:c r="J147" s="4" t="str">
        <x:v>CUARENTENA</x:v>
      </x:c>
      <x:c r="K147" s="4" t="n">
        <x:v>46273.82821211805</x:v>
      </x:c>
      <x:c r="L147" s="12" t="n">
        <x:f>COUNTIF('21_Fuentes_educativas'!$A$5:$A$188,A147)-1</x:f>
        <x:v>0</x:v>
      </x:c>
      <x:c r="M147" s="12" t="n">
        <x:f>IF(E147="CAPTURADO",IF(LEN(G147)=64,0,1),0)</x:f>
        <x:v>0</x:v>
      </x:c>
    </x:row>
    <x:row r="148" ht="47" customHeight="1">
      <x:c r="A148" s="4" t="str">
        <x:v>U025</x:v>
      </x:c>
      <x:c r="B148" s="4" t="str">
        <x:v>SISTEMAS OPERATIVOS</x:v>
      </x:c>
      <x:c r="C148" s="4" t="str">
        <x:v>https://gestion3.urjc.es/guiasdocentes/pdfGuia.jsp?txtAsignatura=2285025&amp;txtTitulacion=2285&amp;txtCursoAcademico=2026-27</x:v>
      </x:c>
      <x:c r="D148" s="4" t="str">
        <x:v>https://servicios.urjc.es/guiasdocentes/pdfGuia.jsp?txtAsignatura=2285025&amp;txtTitulacion=2285&amp;txtCursoAcademico=2026-27</x:v>
      </x:c>
      <x:c r="E148" s="4" t="str">
        <x:v>CAPTURADO</x:v>
      </x:c>
      <x:c r="F148" s="4" t="str">
        <x:v>303974</x:v>
      </x:c>
      <x:c r="G148" s="4" t="str">
        <x:v>c223b504e60fd510071068947207efb73d5b749fe0d414bdb523566081002a81</x:v>
      </x:c>
      <x:c r="H148" s="4" t="str">
        <x:v>13</x:v>
      </x:c>
      <x:c r="I148" s="4" t="str">
        <x:v>Lote paralelo apartado: se detectó mezcla entre portada y temario.</x:v>
      </x:c>
      <x:c r="J148" s="4" t="str">
        <x:v>CUARENTENA</x:v>
      </x:c>
      <x:c r="K148" s="4" t="n">
        <x:v>46273.82859712963</x:v>
      </x:c>
      <x:c r="L148" s="12" t="n">
        <x:f>COUNTIF('21_Fuentes_educativas'!$A$5:$A$188,A148)-1</x:f>
        <x:v>0</x:v>
      </x:c>
      <x:c r="M148" s="12" t="n">
        <x:f>IF(E148="CAPTURADO",IF(LEN(G148)=64,0,1),0)</x:f>
        <x:v>0</x:v>
      </x:c>
    </x:row>
    <x:row r="149" ht="47" customHeight="1">
      <x:c r="A149" s="4" t="str">
        <x:v>U026</x:v>
      </x:c>
      <x:c r="B149" s="4" t="str">
        <x:v>INTELIGENCIA ARTIFICIAL</x:v>
      </x:c>
      <x:c r="C149" s="4" t="str">
        <x:v>https://gestion3.urjc.es/guiasdocentes/pdfGuia.jsp?txtAsignatura=2285026&amp;txtTitulacion=2285&amp;txtCursoAcademico=2026-27</x:v>
      </x:c>
      <x:c r="D149" s="4" t="str">
        <x:v>https://servicios.urjc.es/guiasdocentes/pdfGuia.jsp?txtAsignatura=2285026&amp;txtTitulacion=2285&amp;txtCursoAcademico=2026-27</x:v>
      </x:c>
      <x:c r="E149" s="4" t="str">
        <x:v>CAPTURADO</x:v>
      </x:c>
      <x:c r="F149" s="4" t="str">
        <x:v>303976</x:v>
      </x:c>
      <x:c r="G149" s="4" t="str">
        <x:v>6665c2ad652d5597117481949187dbd18fa1f9c003017e43f1da4ed0ac07143e</x:v>
      </x:c>
      <x:c r="H149" s="4" t="str">
        <x:v>13</x:v>
      </x:c>
      <x:c r="I149" s="4" t="str">
        <x:v>Lote paralelo apartado: se detectó mezcla entre portada y temario.</x:v>
      </x:c>
      <x:c r="J149" s="4" t="str">
        <x:v>CUARENTENA</x:v>
      </x:c>
      <x:c r="K149" s="4" t="n">
        <x:v>46273.8285953125</x:v>
      </x:c>
      <x:c r="L149" s="12" t="n">
        <x:f>COUNTIF('21_Fuentes_educativas'!$A$5:$A$188,A149)-1</x:f>
        <x:v>0</x:v>
      </x:c>
      <x:c r="M149" s="12" t="n">
        <x:f>IF(E149="CAPTURADO",IF(LEN(G149)=64,0,1),0)</x:f>
        <x:v>0</x:v>
      </x:c>
    </x:row>
    <x:row r="150" ht="47" customHeight="1">
      <x:c r="A150" s="4" t="str">
        <x:v>U027</x:v>
      </x:c>
      <x:c r="B150" s="4" t="str">
        <x:v>MALWARE Y AMENAZAS DIRIGIDAS</x:v>
      </x:c>
      <x:c r="C150" s="4" t="str">
        <x:v>https://gestion3.urjc.es/guiasdocentes/pdfGuia.jsp?txtAsignatura=2285027&amp;txtTitulacion=2285&amp;txtCursoAcademico=2026-27</x:v>
      </x:c>
      <x:c r="D150" s="4" t="str">
        <x:v>https://servicios.urjc.es/guiasdocentes/pdfGuia.jsp?txtAsignatura=2285027&amp;txtTitulacion=2285&amp;txtCursoAcademico=2026-27</x:v>
      </x:c>
      <x:c r="E150" s="4" t="str">
        <x:v>CAPTURADO</x:v>
      </x:c>
      <x:c r="F150" s="4" t="str">
        <x:v>304058</x:v>
      </x:c>
      <x:c r="G150" s="4" t="str">
        <x:v>96523636c8d85a4e542904891bdb0ff900c38c875cd1c4d62814893f0bf7aa20</x:v>
      </x:c>
      <x:c r="H150" s="4" t="str">
        <x:v>13</x:v>
      </x:c>
      <x:c r="I150" s="4" t="str">
        <x:v>Lote paralelo apartado: se detectó mezcla entre portada y temario.</x:v>
      </x:c>
      <x:c r="J150" s="4" t="str">
        <x:v>CUARENTENA</x:v>
      </x:c>
      <x:c r="K150" s="4" t="n">
        <x:v>46273.828598541666</x:v>
      </x:c>
      <x:c r="L150" s="12" t="n">
        <x:f>COUNTIF('21_Fuentes_educativas'!$A$5:$A$188,A150)-1</x:f>
        <x:v>0</x:v>
      </x:c>
      <x:c r="M150" s="12" t="n">
        <x:f>IF(E150="CAPTURADO",IF(LEN(G150)=64,0,1),0)</x:f>
        <x:v>0</x:v>
      </x:c>
    </x:row>
    <x:row r="151" ht="47" customHeight="1">
      <x:c r="A151" s="4" t="str">
        <x:v>U028</x:v>
      </x:c>
      <x:c r="B151" s="4" t="str">
        <x:v>METODOLOGIAS DE DESARROLLO SEGURO</x:v>
      </x:c>
      <x:c r="C151" s="4" t="str">
        <x:v>https://gestion3.urjc.es/guiasdocentes/pdfGuia.jsp?txtAsignatura=2285028&amp;txtTitulacion=2285&amp;txtCursoAcademico=2026-27</x:v>
      </x:c>
      <x:c r="D151" s="4" t="str">
        <x:v>https://servicios.urjc.es/guiasdocentes/pdfGuia.jsp?txtAsignatura=2285028&amp;txtTitulacion=2285&amp;txtCursoAcademico=2026-27</x:v>
      </x:c>
      <x:c r="E151" s="4" t="str">
        <x:v>CAPTURADO</x:v>
      </x:c>
      <x:c r="F151" s="4" t="str">
        <x:v>304126</x:v>
      </x:c>
      <x:c r="G151" s="4" t="str">
        <x:v>404b2822ae457537c79a76b6b877eb4048aeed8f636917cdc8d7d2653e1034a9</x:v>
      </x:c>
      <x:c r="H151" s="4" t="str">
        <x:v>13</x:v>
      </x:c>
      <x:c r="I151" s="4" t="str">
        <x:v>Lote paralelo apartado: se detectó mezcla entre portada y temario.</x:v>
      </x:c>
      <x:c r="J151" s="4" t="str">
        <x:v>CUARENTENA</x:v>
      </x:c>
      <x:c r="K151" s="4" t="n">
        <x:v>46273.82859204861</x:v>
      </x:c>
      <x:c r="L151" s="12" t="n">
        <x:f>COUNTIF('21_Fuentes_educativas'!$A$5:$A$188,A151)-1</x:f>
        <x:v>0</x:v>
      </x:c>
      <x:c r="M151" s="12" t="n">
        <x:f>IF(E151="CAPTURADO",IF(LEN(G151)=64,0,1),0)</x:f>
        <x:v>0</x:v>
      </x:c>
    </x:row>
    <x:row r="152" ht="47" customHeight="1">
      <x:c r="A152" s="4" t="str">
        <x:v>U029</x:v>
      </x:c>
      <x:c r="B152" s="4" t="str">
        <x:v>REDES AVANZADAS Y COMPUTACION EN LA NUBE</x:v>
      </x:c>
      <x:c r="C152" s="4" t="str">
        <x:v>https://gestion3.urjc.es/guiasdocentes/pdfGuia.jsp?txtAsignatura=2285029&amp;txtTitulacion=2285&amp;txtCursoAcademico=2026-27</x:v>
      </x:c>
      <x:c r="D152" s="4" t="str">
        <x:v>https://servicios.urjc.es/guiasdocentes/pdfGuia.jsp?txtAsignatura=2285029&amp;txtTitulacion=2285&amp;txtCursoAcademico=2026-27</x:v>
      </x:c>
      <x:c r="E152" s="4" t="str">
        <x:v>CAPTURADO</x:v>
      </x:c>
      <x:c r="F152" s="4" t="str">
        <x:v>304216</x:v>
      </x:c>
      <x:c r="G152" s="4" t="str">
        <x:v>437162edacb206ae0e1a3da8f477e9496f9c2b1f1506b1a867f2745411f19287</x:v>
      </x:c>
      <x:c r="H152" s="4" t="str">
        <x:v>13</x:v>
      </x:c>
      <x:c r="I152" s="4" t="str">
        <x:v>Lote paralelo apartado: se detectó mezcla entre portada y temario.</x:v>
      </x:c>
      <x:c r="J152" s="4" t="str">
        <x:v>CUARENTENA</x:v>
      </x:c>
      <x:c r="K152" s="4" t="n">
        <x:v>46273.8285981713</x:v>
      </x:c>
      <x:c r="L152" s="12" t="n">
        <x:f>COUNTIF('21_Fuentes_educativas'!$A$5:$A$188,A152)-1</x:f>
        <x:v>0</x:v>
      </x:c>
      <x:c r="M152" s="12" t="n">
        <x:f>IF(E152="CAPTURADO",IF(LEN(G152)=64,0,1),0)</x:f>
        <x:v>0</x:v>
      </x:c>
    </x:row>
    <x:row r="153" ht="47" customHeight="1">
      <x:c r="A153" s="4" t="str">
        <x:v>U030</x:v>
      </x:c>
      <x:c r="B153" s="4" t="str">
        <x:v>SISTEMAS DE INFORMACION</x:v>
      </x:c>
      <x:c r="C153" s="4" t="str">
        <x:v>https://gestion3.urjc.es/guiasdocentes/pdfGuia.jsp?txtAsignatura=2285030&amp;txtTitulacion=2285&amp;txtCursoAcademico=2026-27</x:v>
      </x:c>
      <x:c r="D153" s="4" t="str">
        <x:v>https://servicios.urjc.es/guiasdocentes/pdfGuia.jsp?txtAsignatura=2285030&amp;txtTitulacion=2285&amp;txtCursoAcademico=2026-27</x:v>
      </x:c>
      <x:c r="E153" s="4" t="str">
        <x:v>CAPTURADO</x:v>
      </x:c>
      <x:c r="F153" s="4" t="str">
        <x:v>304010</x:v>
      </x:c>
      <x:c r="G153" s="4" t="str">
        <x:v>714bdaf11a220d50e375f7ec4f2b792acb7d88c038d6b58b31dc061b268966d8</x:v>
      </x:c>
      <x:c r="H153" s="4" t="str">
        <x:v>13</x:v>
      </x:c>
      <x:c r="I153" s="4" t="str">
        <x:v>Lote paralelo apartado: se detectó mezcla entre portada y temario.</x:v>
      </x:c>
      <x:c r="J153" s="4" t="str">
        <x:v>CUARENTENA</x:v>
      </x:c>
      <x:c r="K153" s="4" t="n">
        <x:v>46273.82859546296</x:v>
      </x:c>
      <x:c r="L153" s="12" t="n">
        <x:f>COUNTIF('21_Fuentes_educativas'!$A$5:$A$188,A153)-1</x:f>
        <x:v>0</x:v>
      </x:c>
      <x:c r="M153" s="12" t="n">
        <x:f>IF(E153="CAPTURADO",IF(LEN(G153)=64,0,1),0)</x:f>
        <x:v>0</x:v>
      </x:c>
    </x:row>
    <x:row r="154" ht="47" customHeight="1">
      <x:c r="A154" s="4" t="str">
        <x:v>U031</x:v>
      </x:c>
      <x:c r="B154" s="4" t="str">
        <x:v>VISION ARTIFICIAL APLICADA A LA CIBERSEGURIDAD</x:v>
      </x:c>
      <x:c r="C154" s="4" t="str">
        <x:v>https://gestion3.urjc.es/guiasdocentes/pdfGuia.jsp?txtAsignatura=2285031&amp;txtTitulacion=2285&amp;txtCursoAcademico=2026-27</x:v>
      </x:c>
      <x:c r="D154" s="4" t="str">
        <x:v>https://servicios.urjc.es/guiasdocentes/pdfGuia.jsp?txtAsignatura=2285031&amp;txtTitulacion=2285&amp;txtCursoAcademico=2026-27</x:v>
      </x:c>
      <x:c r="E154" s="4" t="str">
        <x:v>CAPTURADO</x:v>
      </x:c>
      <x:c r="F154" s="4" t="str">
        <x:v>278335</x:v>
      </x:c>
      <x:c r="G154" s="4" t="str">
        <x:v>866b384f0ada982abbb3d53843ee0393533fb38b6ab8e54612ed02ef870f55a7</x:v>
      </x:c>
      <x:c r="H154" s="4" t="str">
        <x:v>12</x:v>
      </x:c>
      <x:c r="I154" s="4" t="str">
        <x:v>Lote paralelo apartado: se detectó mezcla entre portada y temario.</x:v>
      </x:c>
      <x:c r="J154" s="4" t="str">
        <x:v>CUARENTENA</x:v>
      </x:c>
      <x:c r="K154" s="4" t="n">
        <x:v>46273.828885462965</x:v>
      </x:c>
      <x:c r="L154" s="12" t="n">
        <x:f>COUNTIF('21_Fuentes_educativas'!$A$5:$A$188,A154)-1</x:f>
        <x:v>0</x:v>
      </x:c>
      <x:c r="M154" s="12" t="n">
        <x:f>IF(E154="CAPTURADO",IF(LEN(G154)=64,0,1),0)</x:f>
        <x:v>0</x:v>
      </x:c>
    </x:row>
    <x:row r="155" ht="47" customHeight="1">
      <x:c r="A155" s="4" t="str">
        <x:v>U032</x:v>
      </x:c>
      <x:c r="B155" s="4" t="str">
        <x:v>AUDITORIA</x:v>
      </x:c>
      <x:c r="C155" s="4" t="str">
        <x:v>https://gestion3.urjc.es/guiasdocentes/pdfGuia.jsp?txtAsignatura=2285032&amp;txtTitulacion=2285&amp;txtCursoAcademico=2026-27</x:v>
      </x:c>
      <x:c r="D155" s="4" t="str">
        <x:v>https://servicios.urjc.es/guiasdocentes/pdfGuia.jsp?txtAsignatura=2285032&amp;txtTitulacion=2285&amp;txtCursoAcademico=2026-27</x:v>
      </x:c>
      <x:c r="E155" s="4" t="str">
        <x:v>CAPTURADO</x:v>
      </x:c>
      <x:c r="F155" s="4" t="str">
        <x:v>277902</x:v>
      </x:c>
      <x:c r="G155" s="4" t="str">
        <x:v>fa2a036389a2e0661775b7b50c5156969aad3c6e3a85b2e1bd9b7486e6a4b405</x:v>
      </x:c>
      <x:c r="H155" s="4" t="str">
        <x:v>12</x:v>
      </x:c>
      <x:c r="I155" s="4" t="str">
        <x:v>Lote paralelo apartado: se detectó mezcla entre portada y temario.</x:v>
      </x:c>
      <x:c r="J155" s="4" t="str">
        <x:v>CUARENTENA</x:v>
      </x:c>
      <x:c r="K155" s="4" t="n">
        <x:v>46273.82889283565</x:v>
      </x:c>
      <x:c r="L155" s="12" t="n">
        <x:f>COUNTIF('21_Fuentes_educativas'!$A$5:$A$188,A155)-1</x:f>
        <x:v>0</x:v>
      </x:c>
      <x:c r="M155" s="12" t="n">
        <x:f>IF(E155="CAPTURADO",IF(LEN(G155)=64,0,1),0)</x:f>
        <x:v>0</x:v>
      </x:c>
    </x:row>
    <x:row r="156" ht="47" customHeight="1">
      <x:c r="A156" s="4" t="str">
        <x:v>U033</x:v>
      </x:c>
      <x:c r="B156" s="4" t="str">
        <x:v>INTELIGENCIA DE LA SEGURIDAD</x:v>
      </x:c>
      <x:c r="C156" s="4" t="str">
        <x:v>https://gestion3.urjc.es/guiasdocentes/pdfGuia.jsp?txtAsignatura=2285033&amp;txtTitulacion=2285&amp;txtCursoAcademico=2026-27</x:v>
      </x:c>
      <x:c r="D156" s="4" t="str">
        <x:v>https://servicios.urjc.es/guiasdocentes/pdfGuia.jsp?txtAsignatura=2285033&amp;txtTitulacion=2285&amp;txtCursoAcademico=2026-27</x:v>
      </x:c>
      <x:c r="E156" s="4" t="str">
        <x:v>CAPTURADO</x:v>
      </x:c>
      <x:c r="F156" s="4" t="str">
        <x:v>278138</x:v>
      </x:c>
      <x:c r="G156" s="4" t="str">
        <x:v>208657e672223b3508e8aa1bae619879dcce01eaa7cee1ed7d7d6a69d0e4fe9d</x:v>
      </x:c>
      <x:c r="H156" s="4" t="str">
        <x:v>12</x:v>
      </x:c>
      <x:c r="I156" s="4" t="str">
        <x:v>Lote paralelo apartado: se detectó mezcla entre portada y temario.</x:v>
      </x:c>
      <x:c r="J156" s="4" t="str">
        <x:v>CUARENTENA</x:v>
      </x:c>
      <x:c r="K156" s="4" t="n">
        <x:v>46273.8288834375</x:v>
      </x:c>
      <x:c r="L156" s="12" t="n">
        <x:f>COUNTIF('21_Fuentes_educativas'!$A$5:$A$188,A156)-1</x:f>
        <x:v>0</x:v>
      </x:c>
      <x:c r="M156" s="12" t="n">
        <x:f>IF(E156="CAPTURADO",IF(LEN(G156)=64,0,1),0)</x:f>
        <x:v>0</x:v>
      </x:c>
    </x:row>
    <x:row r="157" ht="47" customHeight="1">
      <x:c r="A157" s="4" t="str">
        <x:v>U034</x:v>
      </x:c>
      <x:c r="B157" s="4" t="str">
        <x:v>PENTESTING</x:v>
      </x:c>
      <x:c r="C157" s="4" t="str">
        <x:v>https://gestion3.urjc.es/guiasdocentes/pdfGuia.jsp?txtAsignatura=2285034&amp;txtTitulacion=2285&amp;txtCursoAcademico=2026-27</x:v>
      </x:c>
      <x:c r="D157" s="4" t="str">
        <x:v>https://servicios.urjc.es/guiasdocentes/pdfGuia.jsp?txtAsignatura=2285034&amp;txtTitulacion=2285&amp;txtCursoAcademico=2026-27</x:v>
      </x:c>
      <x:c r="E157" s="4" t="str">
        <x:v>CAPTURADO</x:v>
      </x:c>
      <x:c r="F157" s="4" t="str">
        <x:v>277940</x:v>
      </x:c>
      <x:c r="G157" s="4" t="str">
        <x:v>a9c947c204e3b9a04d4abd31ba2ab42117bc3b9c7882cdb275065ca8b75db9f6</x:v>
      </x:c>
      <x:c r="H157" s="4" t="str">
        <x:v>12</x:v>
      </x:c>
      <x:c r="I157" s="4" t="str">
        <x:v>Lote paralelo apartado: se detectó mezcla entre portada y temario.</x:v>
      </x:c>
      <x:c r="J157" s="4" t="str">
        <x:v>CUARENTENA</x:v>
      </x:c>
      <x:c r="K157" s="4" t="n">
        <x:v>46273.828883055554</x:v>
      </x:c>
      <x:c r="L157" s="12" t="n">
        <x:f>COUNTIF('21_Fuentes_educativas'!$A$5:$A$188,A157)-1</x:f>
        <x:v>0</x:v>
      </x:c>
      <x:c r="M157" s="12" t="n">
        <x:f>IF(E157="CAPTURADO",IF(LEN(G157)=64,0,1),0)</x:f>
        <x:v>0</x:v>
      </x:c>
    </x:row>
    <x:row r="158" ht="47" customHeight="1">
      <x:c r="A158" s="4" t="str">
        <x:v>U035</x:v>
      </x:c>
      <x:c r="B158" s="4" t="str">
        <x:v>ANALISIS Y GESTION DEL RIESGO</x:v>
      </x:c>
      <x:c r="C158" s="4" t="str">
        <x:v>https://gestion3.urjc.es/guiasdocentes/pdfGuia.jsp?txtAsignatura=2285036&amp;txtTitulacion=2285&amp;txtCursoAcademico=2026-27</x:v>
      </x:c>
      <x:c r="D158" s="4" t="str">
        <x:v>https://servicios.urjc.es/guiasdocentes/pdfGuia.jsp?txtAsignatura=2285036&amp;txtTitulacion=2285&amp;txtCursoAcademico=2026-27</x:v>
      </x:c>
      <x:c r="E158" s="4" t="str">
        <x:v>CAPTURADO</x:v>
      </x:c>
      <x:c r="F158" s="4" t="str">
        <x:v>278150</x:v>
      </x:c>
      <x:c r="G158" s="4" t="str">
        <x:v>3f93f901beb65e45c76ca9970e478fa8a17da51b64d05db8c7745f4e7218aa2f</x:v>
      </x:c>
      <x:c r="H158" s="4" t="str">
        <x:v>12</x:v>
      </x:c>
      <x:c r="I158" s="4" t="str">
        <x:v>Lote paralelo apartado: se detectó mezcla entre portada y temario.</x:v>
      </x:c>
      <x:c r="J158" s="4" t="str">
        <x:v>CUARENTENA</x:v>
      </x:c>
      <x:c r="K158" s="4" t="n">
        <x:v>46273.828881203706</x:v>
      </x:c>
      <x:c r="L158" s="12" t="n">
        <x:f>COUNTIF('21_Fuentes_educativas'!$A$5:$A$188,A158)-1</x:f>
        <x:v>0</x:v>
      </x:c>
      <x:c r="M158" s="12" t="n">
        <x:f>IF(E158="CAPTURADO",IF(LEN(G158)=64,0,1),0)</x:f>
        <x:v>0</x:v>
      </x:c>
    </x:row>
    <x:row r="159" ht="47" customHeight="1">
      <x:c r="A159" s="4" t="str">
        <x:v>U036</x:v>
      </x:c>
      <x:c r="B159" s="4" t="str">
        <x:v>PROTECCION DE INFRAESTRUCTURAS CRITICAS</x:v>
      </x:c>
      <x:c r="C159" s="4" t="str">
        <x:v>https://gestion3.urjc.es/guiasdocentes/pdfGuia.jsp?txtAsignatura=2285037&amp;txtTitulacion=2285&amp;txtCursoAcademico=2026-27</x:v>
      </x:c>
      <x:c r="D159" s="4" t="str">
        <x:v>https://servicios.urjc.es/guiasdocentes/pdfGuia.jsp?txtAsignatura=2285037&amp;txtTitulacion=2285&amp;txtCursoAcademico=2026-27</x:v>
      </x:c>
      <x:c r="E159" s="4" t="str">
        <x:v>CAPTURADO</x:v>
      </x:c>
      <x:c r="F159" s="4" t="str">
        <x:v>278233</x:v>
      </x:c>
      <x:c r="G159" s="4" t="str">
        <x:v>893a78891180d7fc9963efcd6622b657d7be643b23b0e9493a2622f558254dd9</x:v>
      </x:c>
      <x:c r="H159" s="4" t="str">
        <x:v>12</x:v>
      </x:c>
      <x:c r="I159" s="4" t="str">
        <x:v>Lote paralelo apartado: se detectó mezcla entre portada y temario.</x:v>
      </x:c>
      <x:c r="J159" s="4" t="str">
        <x:v>CUARENTENA</x:v>
      </x:c>
      <x:c r="K159" s="4" t="n">
        <x:v>46273.82888061342</x:v>
      </x:c>
      <x:c r="L159" s="12" t="n">
        <x:f>COUNTIF('21_Fuentes_educativas'!$A$5:$A$188,A159)-1</x:f>
        <x:v>0</x:v>
      </x:c>
      <x:c r="M159" s="12" t="n">
        <x:f>IF(E159="CAPTURADO",IF(LEN(G159)=64,0,1),0)</x:f>
        <x:v>0</x:v>
      </x:c>
    </x:row>
    <x:row r="160" ht="47" customHeight="1">
      <x:c r="A160" s="4" t="str">
        <x:v>U037</x:v>
      </x:c>
      <x:c r="B160" s="4" t="str">
        <x:v>REGULACION Y GOBERNANZA DE LA SEGURIDAD</x:v>
      </x:c>
      <x:c r="C160" s="4" t="str">
        <x:v>https://gestion3.urjc.es/guiasdocentes/pdfGuia.jsp?txtAsignatura=2285038&amp;txtTitulacion=2285&amp;txtCursoAcademico=2026-27</x:v>
      </x:c>
      <x:c r="D160" s="4" t="str">
        <x:v>https://servicios.urjc.es/guiasdocentes/pdfGuia.jsp?txtAsignatura=2285038&amp;txtTitulacion=2285&amp;txtCursoAcademico=2026-27</x:v>
      </x:c>
      <x:c r="E160" s="4" t="str">
        <x:v>CAPTURADO</x:v>
      </x:c>
      <x:c r="F160" s="4" t="str">
        <x:v>285455</x:v>
      </x:c>
      <x:c r="G160" s="4" t="str">
        <x:v>ce748c9822f4269df6b58409631ed24d4b556fd505f8db8183f5477230d2efa9</x:v>
      </x:c>
      <x:c r="H160" s="4" t="str">
        <x:v>12</x:v>
      </x:c>
      <x:c r="I160" s="4" t="str">
        <x:v>Lote paralelo apartado: se detectó mezcla entre portada y temario.</x:v>
      </x:c>
      <x:c r="J160" s="4" t="str">
        <x:v>CUARENTENA</x:v>
      </x:c>
      <x:c r="K160" s="4" t="n">
        <x:v>46273.829177974534</x:v>
      </x:c>
      <x:c r="L160" s="12" t="n">
        <x:f>COUNTIF('21_Fuentes_educativas'!$A$5:$A$188,A160)-1</x:f>
        <x:v>0</x:v>
      </x:c>
      <x:c r="M160" s="12" t="n">
        <x:f>IF(E160="CAPTURADO",IF(LEN(G160)=64,0,1),0)</x:f>
        <x:v>0</x:v>
      </x:c>
    </x:row>
    <x:row r="161" ht="47" customHeight="1">
      <x:c r="A161" s="4" t="str">
        <x:v>U038</x:v>
      </x:c>
      <x:c r="B161" s="4" t="str">
        <x:v>PRACTICAS EXTERNAS</x:v>
      </x:c>
      <x:c r="C161" s="4" t="str">
        <x:v>https://gestion3.urjc.es/guiasdocentes/pdfGuia.jsp?txtAsignatura=2285039&amp;txtTitulacion=2285&amp;txtCursoAcademico=2026-27</x:v>
      </x:c>
      <x:c r="D161" s="4" t="str">
        <x:v>https://servicios.urjc.es/guiasdocentes/pdfGuia.jsp?txtAsignatura=2285039&amp;txtTitulacion=2285&amp;txtCursoAcademico=2026-27</x:v>
      </x:c>
      <x:c r="E161" s="4" t="str">
        <x:v>CAPTURADO</x:v>
      </x:c>
      <x:c r="F161" s="4" t="str">
        <x:v>285379</x:v>
      </x:c>
      <x:c r="G161" s="4" t="str">
        <x:v>f45766c6a5f86eaafd6605a25ae54a7126bf46537a1bed77dce3f29a8aae6277</x:v>
      </x:c>
      <x:c r="H161" s="4" t="str">
        <x:v>12</x:v>
      </x:c>
      <x:c r="I161" s="4" t="str">
        <x:v>Lote paralelo apartado: se detectó mezcla entre portada y temario.</x:v>
      </x:c>
      <x:c r="J161" s="4" t="str">
        <x:v>CUARENTENA</x:v>
      </x:c>
      <x:c r="K161" s="4" t="n">
        <x:v>46273.8291803588</x:v>
      </x:c>
      <x:c r="L161" s="12" t="n">
        <x:f>COUNTIF('21_Fuentes_educativas'!$A$5:$A$188,A161)-1</x:f>
        <x:v>0</x:v>
      </x:c>
      <x:c r="M161" s="12" t="n">
        <x:f>IF(E161="CAPTURADO",IF(LEN(G161)=64,0,1),0)</x:f>
        <x:v>0</x:v>
      </x:c>
    </x:row>
    <x:row r="162" ht="47" customHeight="1">
      <x:c r="A162" s="4" t="str">
        <x:v>U039</x:v>
      </x:c>
      <x:c r="B162" s="4" t="str">
        <x:v>RECONOCIMIENTO ACADEMICO DE CREDITOS</x:v>
      </x:c>
      <x:c r="C162" s="4" t="str">
        <x:v>https://gestion3.urjc.es/guiasdocentes/pdfGuia.jsp?txtAsignatura=2285035&amp;txtTitulacion=2285&amp;txtCursoAcademico=2026-27</x:v>
      </x:c>
      <x:c r="D162" s="4" t="str">
        <x:v>https://servicios.urjc.es/guiasdocentes/pdfGuia.jsp?txtAsignatura=2285035&amp;txtTitulacion=2285&amp;txtCursoAcademico=2026-27</x:v>
      </x:c>
      <x:c r="E162" s="4" t="str">
        <x:v>CAPTURADO</x:v>
      </x:c>
      <x:c r="F162" s="4" t="str">
        <x:v>419264</x:v>
      </x:c>
      <x:c r="G162" s="4" t="str">
        <x:v>f13bedd641b5e6437ef2bf6c04658f88df14f50eaacc03cca3d88dbc34a80058</x:v>
      </x:c>
      <x:c r="H162" s="4" t="str">
        <x:v>6</x:v>
      </x:c>
      <x:c r="I162" s="4" t="str">
        <x:v>Lote paralelo apartado: se detectó mezcla entre portada y temario.</x:v>
      </x:c>
      <x:c r="J162" s="4" t="str">
        <x:v>CUARENTENA</x:v>
      </x:c>
      <x:c r="K162" s="4" t="n">
        <x:v>46273.82915763889</x:v>
      </x:c>
      <x:c r="L162" s="12" t="n">
        <x:f>COUNTIF('21_Fuentes_educativas'!$A$5:$A$188,A162)-1</x:f>
        <x:v>0</x:v>
      </x:c>
      <x:c r="M162" s="12" t="n">
        <x:f>IF(E162="CAPTURADO",IF(LEN(G162)=64,0,1),0)</x:f>
        <x:v>0</x:v>
      </x:c>
    </x:row>
    <x:row r="163" ht="47" customHeight="1">
      <x:c r="A163" s="4" t="str">
        <x:v>U040</x:v>
      </x:c>
      <x:c r="B163" s="4" t="str">
        <x:v>TRABAJO FIN DE GRADO</x:v>
      </x:c>
      <x:c r="C163" s="4" t="str">
        <x:v>https://gestion3.urjc.es/guiasdocentes/pdfGuia.jsp?txtAsignatura=2285040&amp;txtTitulacion=2285&amp;txtCursoAcademico=2026-27</x:v>
      </x:c>
      <x:c r="D163" s="4" t="str">
        <x:v>https://servicios.urjc.es/guiasdocentes/pdfGuia.jsp?txtAsignatura=2285040&amp;txtTitulacion=2285&amp;txtCursoAcademico=2026-27</x:v>
      </x:c>
      <x:c r="E163" s="4" t="str">
        <x:v>CAPTURADO</x:v>
      </x:c>
      <x:c r="F163" s="4" t="str">
        <x:v>243450</x:v>
      </x:c>
      <x:c r="G163" s="4" t="str">
        <x:v>027ceed55f7bb2bd282cad8951c07876f8874948a945b562d8641c16921e52ee</x:v>
      </x:c>
      <x:c r="H163" s="4" t="str">
        <x:v>10</x:v>
      </x:c>
      <x:c r="I163" s="4" t="str">
        <x:v>Lote paralelo apartado: se detectó mezcla entre portada y temario.</x:v>
      </x:c>
      <x:c r="J163" s="4" t="str">
        <x:v>CUARENTENA</x:v>
      </x:c>
      <x:c r="K163" s="4" t="n">
        <x:v>46273.82917791667</x:v>
      </x:c>
      <x:c r="L163" s="12" t="n">
        <x:f>COUNTIF('21_Fuentes_educativas'!$A$5:$A$188,A163)-1</x:f>
        <x:v>0</x:v>
      </x:c>
      <x:c r="M163" s="12" t="n">
        <x:f>IF(E163="CAPTURADO",IF(LEN(G163)=64,0,1),0)</x:f>
        <x:v>0</x:v>
      </x:c>
    </x:row>
    <x:row r="164" ht="47" customHeight="1">
      <x:c r="A164" s="4" t="str">
        <x:v>W001</x:v>
      </x:c>
      <x:c r="B164" s="4" t="str">
        <x:v>WM187-15</x:v>
      </x:c>
      <x:c r="C164" s="4" t="str">
        <x:v>https://courses.warwick.ac.uk/modules/2026/WM187-15</x:v>
      </x:c>
      <x:c r="D164" s="4" t="str">
        <x:v>https://courses.warwick.ac.uk/modules/2026/WM187-15</x:v>
      </x:c>
      <x:c r="E164" s="4" t="str">
        <x:v>CAPTURADO</x:v>
      </x:c>
      <x:c r="F164" s="4" t="str">
        <x:v>17064</x:v>
      </x:c>
      <x:c r="G164" s="4" t="str">
        <x:v>15ae5f1e15907beaf43c8285cd1378db0d16786be6e6421e3d32ca3fd0f78259</x:v>
      </x:c>
      <x:c r="H164" s="4" t="str"/>
      <x:c r="I164" s="4" t="str">
        <x:v>Adquisición o identificación; no utilizada como contenido curricular.</x:v>
      </x:c>
      <x:c r="J164" s="4" t="str">
        <x:v>NO UTILIZADA EN LA PROPUESTA</x:v>
      </x:c>
      <x:c r="K164" s="4" t="n">
        <x:v>46273.8308122338</x:v>
      </x:c>
      <x:c r="L164" s="12" t="n">
        <x:f>COUNTIF('21_Fuentes_educativas'!$A$5:$A$188,A164)-1</x:f>
        <x:v>0</x:v>
      </x:c>
      <x:c r="M164" s="12" t="n">
        <x:f>IF(E164="CAPTURADO",IF(LEN(G164)=64,0,1),0)</x:f>
        <x:v>0</x:v>
      </x:c>
    </x:row>
    <x:row r="165" ht="47" customHeight="1">
      <x:c r="A165" s="4" t="str">
        <x:v>W002</x:v>
      </x:c>
      <x:c r="B165" s="4" t="str">
        <x:v>WM183-15</x:v>
      </x:c>
      <x:c r="C165" s="4" t="str">
        <x:v>https://courses.warwick.ac.uk/modules/2026/WM183-15</x:v>
      </x:c>
      <x:c r="D165" s="4" t="str">
        <x:v>https://courses.warwick.ac.uk/modules/2026/WM183-15</x:v>
      </x:c>
      <x:c r="E165" s="4" t="str">
        <x:v>CAPTURADO</x:v>
      </x:c>
      <x:c r="F165" s="4" t="str">
        <x:v>16387</x:v>
      </x:c>
      <x:c r="G165" s="4" t="str">
        <x:v>40b9f258a160c8b05483071f9604748a75387c7e89ab7152299bd8aaa698ea07</x:v>
      </x:c>
      <x:c r="H165" s="4" t="str"/>
      <x:c r="I165" s="4" t="str">
        <x:v>Adquisición o identificación; no utilizada como contenido curricular.</x:v>
      </x:c>
      <x:c r="J165" s="4" t="str">
        <x:v>NO UTILIZADA EN LA PROPUESTA</x:v>
      </x:c>
      <x:c r="K165" s="4" t="n">
        <x:v>46273.830817372684</x:v>
      </x:c>
      <x:c r="L165" s="12" t="n">
        <x:f>COUNTIF('21_Fuentes_educativas'!$A$5:$A$188,A165)-1</x:f>
        <x:v>0</x:v>
      </x:c>
      <x:c r="M165" s="12" t="n">
        <x:f>IF(E165="CAPTURADO",IF(LEN(G165)=64,0,1),0)</x:f>
        <x:v>0</x:v>
      </x:c>
    </x:row>
    <x:row r="166" ht="47" customHeight="1">
      <x:c r="A166" s="4" t="str">
        <x:v>W003</x:v>
      </x:c>
      <x:c r="B166" s="4" t="str">
        <x:v>WM181-15</x:v>
      </x:c>
      <x:c r="C166" s="4" t="str">
        <x:v>https://courses.warwick.ac.uk/modules/2026/WM181-15</x:v>
      </x:c>
      <x:c r="D166" s="4" t="str">
        <x:v>https://courses.warwick.ac.uk/modules/2026/WM181-15</x:v>
      </x:c>
      <x:c r="E166" s="4" t="str">
        <x:v>CAPTURADO</x:v>
      </x:c>
      <x:c r="F166" s="4" t="str">
        <x:v>14757</x:v>
      </x:c>
      <x:c r="G166" s="4" t="str">
        <x:v>f80e82a44ea90db981de0da749408bc63bcbafb15b65f0d8655600c8ef70f58b</x:v>
      </x:c>
      <x:c r="H166" s="4" t="str"/>
      <x:c r="I166" s="4" t="str">
        <x:v>Adquisición o identificación; no utilizada como contenido curricular.</x:v>
      </x:c>
      <x:c r="J166" s="4" t="str">
        <x:v>NO UTILIZADA EN LA PROPUESTA</x:v>
      </x:c>
      <x:c r="K166" s="4" t="n">
        <x:v>46273.83081936343</x:v>
      </x:c>
      <x:c r="L166" s="12" t="n">
        <x:f>COUNTIF('21_Fuentes_educativas'!$A$5:$A$188,A166)-1</x:f>
        <x:v>0</x:v>
      </x:c>
      <x:c r="M166" s="12" t="n">
        <x:f>IF(E166="CAPTURADO",IF(LEN(G166)=64,0,1),0)</x:f>
        <x:v>0</x:v>
      </x:c>
    </x:row>
    <x:row r="167" ht="47" customHeight="1">
      <x:c r="A167" s="4" t="str">
        <x:v>W004</x:v>
      </x:c>
      <x:c r="B167" s="4" t="str">
        <x:v>WM180-15</x:v>
      </x:c>
      <x:c r="C167" s="4" t="str">
        <x:v>https://courses.warwick.ac.uk/modules/2026/WM180-15</x:v>
      </x:c>
      <x:c r="D167" s="4" t="str">
        <x:v>https://courses.warwick.ac.uk/modules/2026/WM180-15</x:v>
      </x:c>
      <x:c r="E167" s="4" t="str">
        <x:v>CAPTURADO</x:v>
      </x:c>
      <x:c r="F167" s="4" t="str">
        <x:v>16276</x:v>
      </x:c>
      <x:c r="G167" s="4" t="str">
        <x:v>62f51a3ef2549d524df7b02539e81c147ac0cd8ff05f220d0b335a324bab2676</x:v>
      </x:c>
      <x:c r="H167" s="4" t="str"/>
      <x:c r="I167" s="4" t="str">
        <x:v>Adquisición o identificación; no utilizada como contenido curricular.</x:v>
      </x:c>
      <x:c r="J167" s="4" t="str">
        <x:v>NO UTILIZADA EN LA PROPUESTA</x:v>
      </x:c>
      <x:c r="K167" s="4" t="n">
        <x:v>46273.83081954861</x:v>
      </x:c>
      <x:c r="L167" s="12" t="n">
        <x:f>COUNTIF('21_Fuentes_educativas'!$A$5:$A$188,A167)-1</x:f>
        <x:v>0</x:v>
      </x:c>
      <x:c r="M167" s="12" t="n">
        <x:f>IF(E167="CAPTURADO",IF(LEN(G167)=64,0,1),0)</x:f>
        <x:v>0</x:v>
      </x:c>
    </x:row>
    <x:row r="168" ht="47" customHeight="1">
      <x:c r="A168" s="4" t="str">
        <x:v>W005</x:v>
      </x:c>
      <x:c r="B168" s="4" t="str">
        <x:v>WM182-15</x:v>
      </x:c>
      <x:c r="C168" s="4" t="str">
        <x:v>https://courses.warwick.ac.uk/modules/2026/WM182-15</x:v>
      </x:c>
      <x:c r="D168" s="4" t="str">
        <x:v>https://courses.warwick.ac.uk/modules/2026/WM182-15</x:v>
      </x:c>
      <x:c r="E168" s="4" t="str">
        <x:v>CAPTURADO</x:v>
      </x:c>
      <x:c r="F168" s="4" t="str">
        <x:v>15414</x:v>
      </x:c>
      <x:c r="G168" s="4" t="str">
        <x:v>9653c587f68513a2485a30f12defa05aef06f25b82508ae1d121d55d5d2ddfa5</x:v>
      </x:c>
      <x:c r="H168" s="4" t="str"/>
      <x:c r="I168" s="4" t="str">
        <x:v>Adquisición o identificación; no utilizada como contenido curricular.</x:v>
      </x:c>
      <x:c r="J168" s="4" t="str">
        <x:v>NO UTILIZADA EN LA PROPUESTA</x:v>
      </x:c>
      <x:c r="K168" s="4" t="n">
        <x:v>46273.83081940972</x:v>
      </x:c>
      <x:c r="L168" s="12" t="n">
        <x:f>COUNTIF('21_Fuentes_educativas'!$A$5:$A$188,A168)-1</x:f>
        <x:v>0</x:v>
      </x:c>
      <x:c r="M168" s="12" t="n">
        <x:f>IF(E168="CAPTURADO",IF(LEN(G168)=64,0,1),0)</x:f>
        <x:v>0</x:v>
      </x:c>
    </x:row>
    <x:row r="169" ht="47" customHeight="1">
      <x:c r="A169" s="4" t="str">
        <x:v>W006</x:v>
      </x:c>
      <x:c r="B169" s="4" t="str">
        <x:v>WM186-15</x:v>
      </x:c>
      <x:c r="C169" s="4" t="str">
        <x:v>https://courses.warwick.ac.uk/modules/2026/WM186-15</x:v>
      </x:c>
      <x:c r="D169" s="4" t="str">
        <x:v>https://courses.warwick.ac.uk/modules/2026/WM186-15</x:v>
      </x:c>
      <x:c r="E169" s="4" t="str">
        <x:v>CAPTURADO</x:v>
      </x:c>
      <x:c r="F169" s="4" t="str">
        <x:v>16755</x:v>
      </x:c>
      <x:c r="G169" s="4" t="str">
        <x:v>0cbe5b7fa534bfe1d671a4befbd197abda4b9801d49df7a281d397e7a30c1063</x:v>
      </x:c>
      <x:c r="H169" s="4" t="str"/>
      <x:c r="I169" s="4" t="str">
        <x:v>Adquisición o identificación; no utilizada como contenido curricular.</x:v>
      </x:c>
      <x:c r="J169" s="4" t="str">
        <x:v>NO UTILIZADA EN LA PROPUESTA</x:v>
      </x:c>
      <x:c r="K169" s="4" t="n">
        <x:v>46273.83081678241</x:v>
      </x:c>
      <x:c r="L169" s="12" t="n">
        <x:f>COUNTIF('21_Fuentes_educativas'!$A$5:$A$188,A169)-1</x:f>
        <x:v>0</x:v>
      </x:c>
      <x:c r="M169" s="12" t="n">
        <x:f>IF(E169="CAPTURADO",IF(LEN(G169)=64,0,1),0)</x:f>
        <x:v>0</x:v>
      </x:c>
    </x:row>
    <x:row r="170" ht="47" customHeight="1">
      <x:c r="A170" s="4" t="str">
        <x:v>W007</x:v>
      </x:c>
      <x:c r="B170" s="4" t="str">
        <x:v>WM185-15</x:v>
      </x:c>
      <x:c r="C170" s="4" t="str">
        <x:v>https://courses.warwick.ac.uk/modules/2026/WM185-15</x:v>
      </x:c>
      <x:c r="D170" s="4" t="str">
        <x:v>https://courses.warwick.ac.uk/modules/2026/WM185-15</x:v>
      </x:c>
      <x:c r="E170" s="4" t="str">
        <x:v>CAPTURADO</x:v>
      </x:c>
      <x:c r="F170" s="4" t="str">
        <x:v>15577</x:v>
      </x:c>
      <x:c r="G170" s="4" t="str">
        <x:v>1e7f5864d23fbdb183792d8ec4a3b78b2dc475e32fe7c6ffeed624db85688224</x:v>
      </x:c>
      <x:c r="H170" s="4" t="str"/>
      <x:c r="I170" s="4" t="str">
        <x:v>Adquisición o identificación; no utilizada como contenido curricular.</x:v>
      </x:c>
      <x:c r="J170" s="4" t="str">
        <x:v>NO UTILIZADA EN LA PROPUESTA</x:v>
      </x:c>
      <x:c r="K170" s="4" t="n">
        <x:v>46273.830924699076</x:v>
      </x:c>
      <x:c r="L170" s="12" t="n">
        <x:f>COUNTIF('21_Fuentes_educativas'!$A$5:$A$188,A170)-1</x:f>
        <x:v>0</x:v>
      </x:c>
      <x:c r="M170" s="12" t="n">
        <x:f>IF(E170="CAPTURADO",IF(LEN(G170)=64,0,1),0)</x:f>
        <x:v>0</x:v>
      </x:c>
    </x:row>
    <x:row r="171" ht="47" customHeight="1">
      <x:c r="A171" s="4" t="str">
        <x:v>W008</x:v>
      </x:c>
      <x:c r="B171" s="4" t="str">
        <x:v>WM188-15</x:v>
      </x:c>
      <x:c r="C171" s="4" t="str">
        <x:v>https://courses.warwick.ac.uk/modules/2026/WM188-15</x:v>
      </x:c>
      <x:c r="D171" s="4" t="str">
        <x:v>https://courses.warwick.ac.uk/modules/2026/WM188-15</x:v>
      </x:c>
      <x:c r="E171" s="4" t="str">
        <x:v>CAPTURADO</x:v>
      </x:c>
      <x:c r="F171" s="4" t="str">
        <x:v>16643</x:v>
      </x:c>
      <x:c r="G171" s="4" t="str">
        <x:v>65939e2baa24bae5e15f4dd10333f9921d25e78720c3be3e9e533b91bcd70158</x:v>
      </x:c>
      <x:c r="H171" s="4" t="str"/>
      <x:c r="I171" s="4" t="str">
        <x:v>Adquisición o identificación; no utilizada como contenido curricular.</x:v>
      </x:c>
      <x:c r="J171" s="4" t="str">
        <x:v>NO UTILIZADA EN LA PROPUESTA</x:v>
      </x:c>
      <x:c r="K171" s="4" t="n">
        <x:v>46273.83092612268</x:v>
      </x:c>
      <x:c r="L171" s="12" t="n">
        <x:f>COUNTIF('21_Fuentes_educativas'!$A$5:$A$188,A171)-1</x:f>
        <x:v>0</x:v>
      </x:c>
      <x:c r="M171" s="12" t="n">
        <x:f>IF(E171="CAPTURADO",IF(LEN(G171)=64,0,1),0)</x:f>
        <x:v>0</x:v>
      </x:c>
    </x:row>
    <x:row r="172" ht="47" customHeight="1">
      <x:c r="A172" s="4" t="str">
        <x:v>W009</x:v>
      </x:c>
      <x:c r="B172" s="4" t="str">
        <x:v>WM286-15</x:v>
      </x:c>
      <x:c r="C172" s="4" t="str">
        <x:v>https://courses.warwick.ac.uk/modules/2026/WM286-15</x:v>
      </x:c>
      <x:c r="D172" s="4" t="str">
        <x:v>https://courses.warwick.ac.uk/modules/2026/WM286-15</x:v>
      </x:c>
      <x:c r="E172" s="4" t="str">
        <x:v>CAPTURADO</x:v>
      </x:c>
      <x:c r="F172" s="4" t="str">
        <x:v>14938</x:v>
      </x:c>
      <x:c r="G172" s="4" t="str">
        <x:v>577707b96a9a0c0f076bc0263de2b097f1b5131bea6070fc3df956bd82b608df</x:v>
      </x:c>
      <x:c r="H172" s="4" t="str"/>
      <x:c r="I172" s="4" t="str">
        <x:v>Adquisición o identificación; no utilizada como contenido curricular.</x:v>
      </x:c>
      <x:c r="J172" s="4" t="str">
        <x:v>NO UTILIZADA EN LA PROPUESTA</x:v>
      </x:c>
      <x:c r="K172" s="4" t="n">
        <x:v>46273.830924050926</x:v>
      </x:c>
      <x:c r="L172" s="12" t="n">
        <x:f>COUNTIF('21_Fuentes_educativas'!$A$5:$A$188,A172)-1</x:f>
        <x:v>0</x:v>
      </x:c>
      <x:c r="M172" s="12" t="n">
        <x:f>IF(E172="CAPTURADO",IF(LEN(G172)=64,0,1),0)</x:f>
        <x:v>0</x:v>
      </x:c>
    </x:row>
    <x:row r="173" ht="47" customHeight="1">
      <x:c r="A173" s="4" t="str">
        <x:v>W010</x:v>
      </x:c>
      <x:c r="B173" s="4" t="str">
        <x:v>WM281-15</x:v>
      </x:c>
      <x:c r="C173" s="4" t="str">
        <x:v>https://courses.warwick.ac.uk/modules/2026/WM281-15</x:v>
      </x:c>
      <x:c r="D173" s="4" t="str">
        <x:v>https://courses.warwick.ac.uk/modules/2026/WM281-15</x:v>
      </x:c>
      <x:c r="E173" s="4" t="str">
        <x:v>CAPTURADO</x:v>
      </x:c>
      <x:c r="F173" s="4" t="str">
        <x:v>17497</x:v>
      </x:c>
      <x:c r="G173" s="4" t="str">
        <x:v>54591a97bd7741172b84e1084e572ba9f2a16a41f07c5bd467ff135c21ee8e4b</x:v>
      </x:c>
      <x:c r="H173" s="4" t="str"/>
      <x:c r="I173" s="4" t="str">
        <x:v>Plan, descripción o apartados utilizados; localizadores en 14–20.</x:v>
      </x:c>
      <x:c r="J173" s="4" t="str">
        <x:v>REFERENCIA_REVISADA</x:v>
      </x:c>
      <x:c r="K173" s="4" t="n">
        <x:v>46273.83092635417</x:v>
      </x:c>
      <x:c r="L173" s="12" t="n">
        <x:f>COUNTIF('21_Fuentes_educativas'!$A$5:$A$188,A173)-1</x:f>
        <x:v>0</x:v>
      </x:c>
      <x:c r="M173" s="12" t="n">
        <x:f>IF(E173="CAPTURADO",IF(LEN(G173)=64,0,1),0)</x:f>
        <x:v>0</x:v>
      </x:c>
    </x:row>
    <x:row r="174" ht="47" customHeight="1">
      <x:c r="A174" s="4" t="str">
        <x:v>W011</x:v>
      </x:c>
      <x:c r="B174" s="4" t="str">
        <x:v>WM280-15</x:v>
      </x:c>
      <x:c r="C174" s="4" t="str">
        <x:v>https://courses.warwick.ac.uk/modules/2026/WM280-15</x:v>
      </x:c>
      <x:c r="D174" s="4" t="str">
        <x:v>https://courses.warwick.ac.uk/modules/2026/WM280-15</x:v>
      </x:c>
      <x:c r="E174" s="4" t="str">
        <x:v>CAPTURADO</x:v>
      </x:c>
      <x:c r="F174" s="4" t="str">
        <x:v>17613</x:v>
      </x:c>
      <x:c r="G174" s="4" t="str">
        <x:v>27b7e659e3ecc422a283751932fc6d95cfd8b30f96be5975b506e5a61dc15d77</x:v>
      </x:c>
      <x:c r="H174" s="4" t="str"/>
      <x:c r="I174" s="4" t="str">
        <x:v>Adquisición o identificación; no utilizada como contenido curricular.</x:v>
      </x:c>
      <x:c r="J174" s="4" t="str">
        <x:v>NO UTILIZADA EN LA PROPUESTA</x:v>
      </x:c>
      <x:c r="K174" s="4" t="n">
        <x:v>46273.830924305556</x:v>
      </x:c>
      <x:c r="L174" s="12" t="n">
        <x:f>COUNTIF('21_Fuentes_educativas'!$A$5:$A$188,A174)-1</x:f>
        <x:v>0</x:v>
      </x:c>
      <x:c r="M174" s="12" t="n">
        <x:f>IF(E174="CAPTURADO",IF(LEN(G174)=64,0,1),0)</x:f>
        <x:v>0</x:v>
      </x:c>
    </x:row>
    <x:row r="175" ht="47" customHeight="1">
      <x:c r="A175" s="4" t="str">
        <x:v>W012</x:v>
      </x:c>
      <x:c r="B175" s="4" t="str">
        <x:v>WM282-15</x:v>
      </x:c>
      <x:c r="C175" s="4" t="str">
        <x:v>https://courses.warwick.ac.uk/modules/2026/WM282-15</x:v>
      </x:c>
      <x:c r="D175" s="4" t="str">
        <x:v>https://courses.warwick.ac.uk/modules/2026/WM282-15</x:v>
      </x:c>
      <x:c r="E175" s="4" t="str">
        <x:v>CAPTURADO</x:v>
      </x:c>
      <x:c r="F175" s="4" t="str">
        <x:v>15685</x:v>
      </x:c>
      <x:c r="G175" s="4" t="str">
        <x:v>39c0b5659ccb288d32af5545f543d003118aebbfb850881ca1d6e28cda35840d</x:v>
      </x:c>
      <x:c r="H175" s="4" t="str"/>
      <x:c r="I175" s="4" t="str">
        <x:v>Adquisición o identificación; no utilizada como contenido curricular.</x:v>
      </x:c>
      <x:c r="J175" s="4" t="str">
        <x:v>NO UTILIZADA EN LA PROPUESTA</x:v>
      </x:c>
      <x:c r="K175" s="4" t="n">
        <x:v>46273.83092233796</x:v>
      </x:c>
      <x:c r="L175" s="12" t="n">
        <x:f>COUNTIF('21_Fuentes_educativas'!$A$5:$A$188,A175)-1</x:f>
        <x:v>0</x:v>
      </x:c>
      <x:c r="M175" s="12" t="n">
        <x:f>IF(E175="CAPTURADO",IF(LEN(G175)=64,0,1),0)</x:f>
        <x:v>0</x:v>
      </x:c>
    </x:row>
    <x:row r="176" ht="47" customHeight="1">
      <x:c r="A176" s="4" t="str">
        <x:v>W013</x:v>
      </x:c>
      <x:c r="B176" s="4" t="str">
        <x:v>WM283-15</x:v>
      </x:c>
      <x:c r="C176" s="4" t="str">
        <x:v>https://courses.warwick.ac.uk/modules/2026/WM283-15</x:v>
      </x:c>
      <x:c r="D176" s="4" t="str">
        <x:v>https://courses.warwick.ac.uk/modules/2026/WM283-15</x:v>
      </x:c>
      <x:c r="E176" s="4" t="str">
        <x:v>CAPTURADO</x:v>
      </x:c>
      <x:c r="F176" s="4" t="str">
        <x:v>16749</x:v>
      </x:c>
      <x:c r="G176" s="4" t="str">
        <x:v>87bb87aacce07a875c02884922c985da7e3e69ef7482837dc2bdd4e632d416e4</x:v>
      </x:c>
      <x:c r="H176" s="4" t="str"/>
      <x:c r="I176" s="4" t="str">
        <x:v>Adquisición o identificación; no utilizada como contenido curricular.</x:v>
      </x:c>
      <x:c r="J176" s="4" t="str">
        <x:v>NO UTILIZADA EN LA PROPUESTA</x:v>
      </x:c>
      <x:c r="K176" s="4" t="n">
        <x:v>46273.83104311342</x:v>
      </x:c>
      <x:c r="L176" s="12" t="n">
        <x:f>COUNTIF('21_Fuentes_educativas'!$A$5:$A$188,A176)-1</x:f>
        <x:v>0</x:v>
      </x:c>
      <x:c r="M176" s="12" t="n">
        <x:f>IF(E176="CAPTURADO",IF(LEN(G176)=64,0,1),0)</x:f>
        <x:v>0</x:v>
      </x:c>
    </x:row>
    <x:row r="177" ht="47" customHeight="1">
      <x:c r="A177" s="4" t="str">
        <x:v>W014</x:v>
      </x:c>
      <x:c r="B177" s="4" t="str">
        <x:v>WM279-15</x:v>
      </x:c>
      <x:c r="C177" s="4" t="str">
        <x:v>https://courses.warwick.ac.uk/modules/2026/WM279-15</x:v>
      </x:c>
      <x:c r="D177" s="4" t="str">
        <x:v>https://courses.warwick.ac.uk/modules/2026/WM279-15</x:v>
      </x:c>
      <x:c r="E177" s="4" t="str">
        <x:v>CAPTURADO</x:v>
      </x:c>
      <x:c r="F177" s="4" t="str">
        <x:v>17949</x:v>
      </x:c>
      <x:c r="G177" s="4" t="str">
        <x:v>284b05d4d85f034ee5c968bfb9fbb2cb4c6c1fa930d39841838599ac11a9d518</x:v>
      </x:c>
      <x:c r="H177" s="4" t="str"/>
      <x:c r="I177" s="4" t="str">
        <x:v>Plan, descripción o apartados utilizados; localizadores en 14–20.</x:v>
      </x:c>
      <x:c r="J177" s="4" t="str">
        <x:v>REFERENCIA_REVISADA</x:v>
      </x:c>
      <x:c r="K177" s="4" t="n">
        <x:v>46273.83104384259</x:v>
      </x:c>
      <x:c r="L177" s="12" t="n">
        <x:f>COUNTIF('21_Fuentes_educativas'!$A$5:$A$188,A177)-1</x:f>
        <x:v>0</x:v>
      </x:c>
      <x:c r="M177" s="12" t="n">
        <x:f>IF(E177="CAPTURADO",IF(LEN(G177)=64,0,1),0)</x:f>
        <x:v>0</x:v>
      </x:c>
    </x:row>
    <x:row r="178" ht="47" customHeight="1">
      <x:c r="A178" s="4" t="str">
        <x:v>W015</x:v>
      </x:c>
      <x:c r="B178" s="4" t="str">
        <x:v>WM285-15</x:v>
      </x:c>
      <x:c r="C178" s="4" t="str">
        <x:v>https://courses.warwick.ac.uk/modules/2026/WM285-15</x:v>
      </x:c>
      <x:c r="D178" s="4" t="str">
        <x:v>https://courses.warwick.ac.uk/modules/2026/WM285-15</x:v>
      </x:c>
      <x:c r="E178" s="4" t="str">
        <x:v>CAPTURADO</x:v>
      </x:c>
      <x:c r="F178" s="4" t="str">
        <x:v>16527</x:v>
      </x:c>
      <x:c r="G178" s="4" t="str">
        <x:v>6ba386007096befbb386b55f40b68bd46a9e5d1a8970417bc28aac94eab95479</x:v>
      </x:c>
      <x:c r="H178" s="4" t="str"/>
      <x:c r="I178" s="4" t="str">
        <x:v>Adquisición o identificación; no utilizada como contenido curricular.</x:v>
      </x:c>
      <x:c r="J178" s="4" t="str">
        <x:v>NO UTILIZADA EN LA PROPUESTA</x:v>
      </x:c>
      <x:c r="K178" s="4" t="n">
        <x:v>46273.83104434028</x:v>
      </x:c>
      <x:c r="L178" s="12" t="n">
        <x:f>COUNTIF('21_Fuentes_educativas'!$A$5:$A$188,A178)-1</x:f>
        <x:v>0</x:v>
      </x:c>
      <x:c r="M178" s="12" t="n">
        <x:f>IF(E178="CAPTURADO",IF(LEN(G178)=64,0,1),0)</x:f>
        <x:v>0</x:v>
      </x:c>
    </x:row>
    <x:row r="179" ht="47" customHeight="1">
      <x:c r="A179" s="4" t="str">
        <x:v>W016</x:v>
      </x:c>
      <x:c r="B179" s="4" t="str">
        <x:v>WM284-15</x:v>
      </x:c>
      <x:c r="C179" s="4" t="str">
        <x:v>https://courses.warwick.ac.uk/modules/2026/WM284-15</x:v>
      </x:c>
      <x:c r="D179" s="4" t="str">
        <x:v>https://courses.warwick.ac.uk/modules/2026/WM284-15</x:v>
      </x:c>
      <x:c r="E179" s="4" t="str">
        <x:v>CAPTURADO</x:v>
      </x:c>
      <x:c r="F179" s="4" t="str">
        <x:v>17175</x:v>
      </x:c>
      <x:c r="G179" s="4" t="str">
        <x:v>147355f0da756d0bf0a1ee0fd796d727aed25946ae2ca715d9a79b9a911dd25d</x:v>
      </x:c>
      <x:c r="H179" s="4" t="str"/>
      <x:c r="I179" s="4" t="str">
        <x:v>Plan, descripción o apartados utilizados; localizadores en 14–20.</x:v>
      </x:c>
      <x:c r="J179" s="4" t="str">
        <x:v>REFERENCIA_REVISADA</x:v>
      </x:c>
      <x:c r="K179" s="4" t="n">
        <x:v>46273.83104449074</x:v>
      </x:c>
      <x:c r="L179" s="12" t="n">
        <x:f>COUNTIF('21_Fuentes_educativas'!$A$5:$A$188,A179)-1</x:f>
        <x:v>0</x:v>
      </x:c>
      <x:c r="M179" s="12" t="n">
        <x:f>IF(E179="CAPTURADO",IF(LEN(G179)=64,0,1),0)</x:f>
        <x:v>0</x:v>
      </x:c>
    </x:row>
    <x:row r="180" ht="47" customHeight="1">
      <x:c r="A180" s="4" t="str">
        <x:v>W017</x:v>
      </x:c>
      <x:c r="B180" s="4" t="str">
        <x:v>WM3E9-15</x:v>
      </x:c>
      <x:c r="C180" s="4" t="str">
        <x:v>https://courses.warwick.ac.uk/modules/2026/WM3E9-15</x:v>
      </x:c>
      <x:c r="D180" s="4" t="str"/>
      <x:c r="E180" s="4" t="str">
        <x:v>ERROR</x:v>
      </x:c>
      <x:c r="F180" s="4" t="str"/>
      <x:c r="G180" s="4" t="str"/>
      <x:c r="H180" s="4" t="str"/>
      <x:c r="I180" s="4" t="str">
        <x:v>HTTP Error 404: </x:v>
      </x:c>
      <x:c r="J180" s="4" t="str">
        <x:v>SIN_CAPTURA</x:v>
      </x:c>
      <x:c r="K180" s="4" t="str"/>
      <x:c r="L180" s="12" t="n">
        <x:f>COUNTIF('21_Fuentes_educativas'!$A$5:$A$188,A180)-1</x:f>
        <x:v>0</x:v>
      </x:c>
      <x:c r="M180" s="12" t="n">
        <x:f>IF(E180="CAPTURADO",IF(LEN(G180)=64,0,1),0)</x:f>
        <x:v>0</x:v>
      </x:c>
    </x:row>
    <x:row r="181" ht="47" customHeight="1">
      <x:c r="A181" s="4" t="str">
        <x:v>W018</x:v>
      </x:c>
      <x:c r="B181" s="4" t="str">
        <x:v>WM3F4-15</x:v>
      </x:c>
      <x:c r="C181" s="4" t="str">
        <x:v>https://courses.warwick.ac.uk/modules/2026/WM3F4-15</x:v>
      </x:c>
      <x:c r="D181" s="4" t="str"/>
      <x:c r="E181" s="4" t="str">
        <x:v>ERROR</x:v>
      </x:c>
      <x:c r="F181" s="4" t="str"/>
      <x:c r="G181" s="4" t="str"/>
      <x:c r="H181" s="4" t="str"/>
      <x:c r="I181" s="4" t="str">
        <x:v>HTTP Error 404: </x:v>
      </x:c>
      <x:c r="J181" s="4" t="str">
        <x:v>SIN_CAPTURA</x:v>
      </x:c>
      <x:c r="K181" s="4" t="str"/>
      <x:c r="L181" s="12" t="n">
        <x:f>COUNTIF('21_Fuentes_educativas'!$A$5:$A$188,A181)-1</x:f>
        <x:v>0</x:v>
      </x:c>
      <x:c r="M181" s="12" t="n">
        <x:f>IF(E181="CAPTURADO",IF(LEN(G181)=64,0,1),0)</x:f>
        <x:v>0</x:v>
      </x:c>
    </x:row>
    <x:row r="182" ht="47" customHeight="1">
      <x:c r="A182" s="4" t="str">
        <x:v>W019</x:v>
      </x:c>
      <x:c r="B182" s="4" t="str">
        <x:v>WM3F2-15</x:v>
      </x:c>
      <x:c r="C182" s="4" t="str">
        <x:v>https://courses.warwick.ac.uk/modules/2026/WM3F2-15</x:v>
      </x:c>
      <x:c r="D182" s="4" t="str"/>
      <x:c r="E182" s="4" t="str">
        <x:v>ERROR</x:v>
      </x:c>
      <x:c r="F182" s="4" t="str"/>
      <x:c r="G182" s="4" t="str"/>
      <x:c r="H182" s="4" t="str"/>
      <x:c r="I182" s="4" t="str">
        <x:v>HTTP Error 404: </x:v>
      </x:c>
      <x:c r="J182" s="4" t="str">
        <x:v>SIN_CAPTURA</x:v>
      </x:c>
      <x:c r="K182" s="4" t="str"/>
      <x:c r="L182" s="12" t="n">
        <x:f>COUNTIF('21_Fuentes_educativas'!$A$5:$A$188,A182)-1</x:f>
        <x:v>0</x:v>
      </x:c>
      <x:c r="M182" s="12" t="n">
        <x:f>IF(E182="CAPTURADO",IF(LEN(G182)=64,0,1),0)</x:f>
        <x:v>0</x:v>
      </x:c>
    </x:row>
    <x:row r="183" ht="47" customHeight="1">
      <x:c r="A183" s="4" t="str">
        <x:v>W020</x:v>
      </x:c>
      <x:c r="B183" s="4" t="str">
        <x:v>WM3A6-15</x:v>
      </x:c>
      <x:c r="C183" s="4" t="str">
        <x:v>https://courses.warwick.ac.uk/modules/2026/WM3A6-15</x:v>
      </x:c>
      <x:c r="D183" s="4" t="str"/>
      <x:c r="E183" s="4" t="str">
        <x:v>ERROR</x:v>
      </x:c>
      <x:c r="F183" s="4" t="str"/>
      <x:c r="G183" s="4" t="str"/>
      <x:c r="H183" s="4" t="str"/>
      <x:c r="I183" s="4" t="str">
        <x:v>HTTP Error 404: </x:v>
      </x:c>
      <x:c r="J183" s="4" t="str">
        <x:v>SIN_CAPTURA</x:v>
      </x:c>
      <x:c r="K183" s="4" t="str"/>
      <x:c r="L183" s="12" t="n">
        <x:f>COUNTIF('21_Fuentes_educativas'!$A$5:$A$188,A183)-1</x:f>
        <x:v>0</x:v>
      </x:c>
      <x:c r="M183" s="12" t="n">
        <x:f>IF(E183="CAPTURADO",IF(LEN(G183)=64,0,1),0)</x:f>
        <x:v>0</x:v>
      </x:c>
    </x:row>
    <x:row r="184" ht="47" customHeight="1">
      <x:c r="A184" s="4" t="str">
        <x:v>W021</x:v>
      </x:c>
      <x:c r="B184" s="4" t="str">
        <x:v>WM3E8-30</x:v>
      </x:c>
      <x:c r="C184" s="4" t="str">
        <x:v>https://courses.warwick.ac.uk/modules/2026/WM3E8-30</x:v>
      </x:c>
      <x:c r="D184" s="4" t="str"/>
      <x:c r="E184" s="4" t="str">
        <x:v>ERROR</x:v>
      </x:c>
      <x:c r="F184" s="4" t="str"/>
      <x:c r="G184" s="4" t="str"/>
      <x:c r="H184" s="4" t="str"/>
      <x:c r="I184" s="4" t="str">
        <x:v>HTTP Error 404: </x:v>
      </x:c>
      <x:c r="J184" s="4" t="str">
        <x:v>SIN_CAPTURA</x:v>
      </x:c>
      <x:c r="K184" s="4" t="str"/>
      <x:c r="L184" s="12" t="n">
        <x:f>COUNTIF('21_Fuentes_educativas'!$A$5:$A$188,A184)-1</x:f>
        <x:v>0</x:v>
      </x:c>
      <x:c r="M184" s="12" t="n">
        <x:f>IF(E184="CAPTURADO",IF(LEN(G184)=64,0,1),0)</x:f>
        <x:v>0</x:v>
      </x:c>
    </x:row>
    <x:row r="185" ht="47" customHeight="1">
      <x:c r="A185" s="4" t="str">
        <x:v>W022</x:v>
      </x:c>
      <x:c r="B185" s="4" t="str">
        <x:v>WM3E6-15</x:v>
      </x:c>
      <x:c r="C185" s="4" t="str">
        <x:v>https://courses.warwick.ac.uk/modules/2026/WM3E6-15</x:v>
      </x:c>
      <x:c r="D185" s="4" t="str"/>
      <x:c r="E185" s="4" t="str">
        <x:v>ERROR</x:v>
      </x:c>
      <x:c r="F185" s="4" t="str"/>
      <x:c r="G185" s="4" t="str"/>
      <x:c r="H185" s="4" t="str"/>
      <x:c r="I185" s="4" t="str">
        <x:v>HTTP Error 404: </x:v>
      </x:c>
      <x:c r="J185" s="4" t="str">
        <x:v>SIN_CAPTURA</x:v>
      </x:c>
      <x:c r="K185" s="4" t="str"/>
      <x:c r="L185" s="12" t="n">
        <x:f>COUNTIF('21_Fuentes_educativas'!$A$5:$A$188,A185)-1</x:f>
        <x:v>0</x:v>
      </x:c>
      <x:c r="M185" s="12" t="n">
        <x:f>IF(E185="CAPTURADO",IF(LEN(G185)=64,0,1),0)</x:f>
        <x:v>0</x:v>
      </x:c>
    </x:row>
    <x:row r="186" ht="47" customHeight="1">
      <x:c r="A186" s="4" t="str">
        <x:v>W023</x:v>
      </x:c>
      <x:c r="B186" s="4" t="str">
        <x:v>WM3E7-15</x:v>
      </x:c>
      <x:c r="C186" s="4" t="str">
        <x:v>https://courses.warwick.ac.uk/modules/2026/WM3E7-15</x:v>
      </x:c>
      <x:c r="D186" s="4" t="str"/>
      <x:c r="E186" s="4" t="str">
        <x:v>ERROR</x:v>
      </x:c>
      <x:c r="F186" s="4" t="str"/>
      <x:c r="G186" s="4" t="str"/>
      <x:c r="H186" s="4" t="str"/>
      <x:c r="I186" s="4" t="str">
        <x:v>HTTP Error 404: </x:v>
      </x:c>
      <x:c r="J186" s="4" t="str">
        <x:v>SIN_CAPTURA</x:v>
      </x:c>
      <x:c r="K186" s="4" t="str"/>
      <x:c r="L186" s="12" t="n">
        <x:f>COUNTIF('21_Fuentes_educativas'!$A$5:$A$188,A186)-1</x:f>
        <x:v>0</x:v>
      </x:c>
      <x:c r="M186" s="12" t="n">
        <x:f>IF(E186="CAPTURADO",IF(LEN(G186)=64,0,1),0)</x:f>
        <x:v>0</x:v>
      </x:c>
    </x:row>
    <x:row r="187" ht="47" customHeight="1">
      <x:c r="A187" s="4" t="str">
        <x:v>W024</x:v>
      </x:c>
      <x:c r="B187" s="4" t="str">
        <x:v>WM3F3-15</x:v>
      </x:c>
      <x:c r="C187" s="4" t="str">
        <x:v>https://courses.warwick.ac.uk/modules/2026/WM3F3-15</x:v>
      </x:c>
      <x:c r="D187" s="4" t="str"/>
      <x:c r="E187" s="4" t="str">
        <x:v>ERROR</x:v>
      </x:c>
      <x:c r="F187" s="4" t="str"/>
      <x:c r="G187" s="4" t="str"/>
      <x:c r="H187" s="4" t="str"/>
      <x:c r="I187" s="4" t="str">
        <x:v>HTTP Error 404: </x:v>
      </x:c>
      <x:c r="J187" s="4" t="str">
        <x:v>SIN_CAPTURA</x:v>
      </x:c>
      <x:c r="K187" s="4" t="str"/>
      <x:c r="L187" s="12" t="n">
        <x:f>COUNTIF('21_Fuentes_educativas'!$A$5:$A$188,A187)-1</x:f>
        <x:v>0</x:v>
      </x:c>
      <x:c r="M187" s="12" t="n">
        <x:f>IF(E187="CAPTURADO",IF(LEN(G187)=64,0,1),0)</x:f>
        <x:v>0</x:v>
      </x:c>
    </x:row>
    <x:row r="188" ht="47" customHeight="1">
      <x:c r="A188" s="4" t="str">
        <x:v>W025</x:v>
      </x:c>
      <x:c r="B188" s="4" t="str">
        <x:v>WM3F1-15</x:v>
      </x:c>
      <x:c r="C188" s="4" t="str">
        <x:v>https://courses.warwick.ac.uk/modules/2026/WM3F1-15</x:v>
      </x:c>
      <x:c r="D188" s="4" t="str"/>
      <x:c r="E188" s="4" t="str">
        <x:v>ERROR</x:v>
      </x:c>
      <x:c r="F188" s="4" t="str"/>
      <x:c r="G188" s="4" t="str"/>
      <x:c r="H188" s="4" t="str"/>
      <x:c r="I188" s="4" t="str">
        <x:v>HTTP Error 404: </x:v>
      </x:c>
      <x:c r="J188" s="4" t="str">
        <x:v>SIN_CAPTURA</x:v>
      </x:c>
      <x:c r="K188" s="4" t="str"/>
      <x:c r="L188" s="12" t="n">
        <x:f>COUNTIF('21_Fuentes_educativas'!$A$5:$A$188,A188)-1</x:f>
        <x:v>0</x:v>
      </x:c>
      <x:c r="M188" s="12" t="n">
        <x:f>IF(E188="CAPTURADO",IF(LEN(G188)=64,0,1),0)</x:f>
        <x:v>0</x:v>
      </x:c>
    </x:row>
  </x:sheetData>
  <x:mergeCells>
    <x:mergeCell ref="A1:D1"/>
    <x:mergeCell ref="A2:F2"/>
  </x:mergeCells>
  <x:conditionalFormatting sqref="L5:L188">
    <x:cfRule type="expression" dxfId="3" priority="1">
      <x:formula>L5&gt;0</x:formula>
    </x:cfRule>
  </x:conditionalFormatting>
  <x:conditionalFormatting sqref="M5:M188">
    <x:cfRule type="expression" dxfId="4" priority="2">
      <x:formula>M5&gt;0</x:formula>
    </x:cfRule>
  </x:conditionalFormatting>
  <x:conditionalFormatting sqref="J5:J188">
    <x:cfRule type="expression" dxfId="8" priority="3">
      <x:formula>OR(ISNUMBER(SEARCH("CUARENTENA",J5)),ISNUMBER(SEARCH("RESERVA",J5)),ISNUMBER(SEARCH("SIN_CAPTURA",J5)))</x:formula>
    </x:cfRule>
  </x:conditionalFormatting>
  <x:pageMargins left="0.7" right="0.7" top="0.75" bottom="0.75" header="0.3" footer="0.3"/>
  <x:tableParts count="1">
    <x:tablePart xmlns:r="http://schemas.openxmlformats.org/officeDocument/2006/relationships" r:id="Rbcc82ff3ee3a44ad"/>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 hidden="0" customWidth="1"/>
    <x:col min="2" max="2" width="48" hidden="0" customWidth="1"/>
    <x:col min="3" max="3" width="77" hidden="0" customWidth="1"/>
    <x:col min="4" max="4" width="35" hidden="0" customWidth="1"/>
    <x:col min="5" max="5" width="98" hidden="0" customWidth="1"/>
    <x:col min="6" max="6" width="43" hidden="0" customWidth="1"/>
    <x:col min="7" max="7" width="93" hidden="0" customWidth="1"/>
  </x:cols>
  <x:sheetData>
    <x:row r="1" ht="35" customHeight="1">
      <x:c r="A1" s="6" t="str">
        <x:v>ADVERSARIAL · decisiones y reservas de esta revisión</x:v>
      </x:c>
      <x:c r="B1" s="6"/>
      <x:c r="C1" s="6"/>
      <x:c r="D1" s="6"/>
      <x:c r="E1" s="6"/>
      <x:c r="F1" s="6"/>
      <x:c r="G1" s="6"/>
    </x:row>
    <x:row r="2" ht="52" customHeight="1">
      <x:c r="A2" s="8" t="str">
        <x:v>Revisión interna de Watson. Se informa de defectos, correcciones y límites. Las comprobaciones semánticas no se sustituyen por fórmulas ni por un recuento de fuentes.</x:v>
      </x:c>
      <x:c r="B2" s="8"/>
      <x:c r="C2" s="8"/>
      <x:c r="D2" s="8"/>
      <x:c r="E2" s="8"/>
      <x:c r="F2" s="8"/>
      <x:c r="G2" s="8"/>
    </x:row>
    <x:row r="3">
      <x:c r="A3" s="4"/>
      <x:c r="B3" s="4"/>
      <x:c r="C3" s="4"/>
      <x:c r="D3" s="4"/>
      <x:c r="E3" s="4"/>
      <x:c r="F3" s="4"/>
      <x:c r="G3" s="4"/>
    </x:row>
    <x:row r="4" ht="42" customHeight="1">
      <x:c r="A4" s="10" t="str">
        <x:v>ID</x:v>
      </x:c>
      <x:c r="B4" s="10" t="str">
        <x:v>Ataque de revisión</x:v>
      </x:c>
      <x:c r="C4" s="10" t="str">
        <x:v>Hallazgo o riesgo</x:v>
      </x:c>
      <x:c r="D4" s="10" t="str">
        <x:v>Tratamiento</x:v>
      </x:c>
      <x:c r="E4" s="10" t="str">
        <x:v>Resolución aplicada</x:v>
      </x:c>
      <x:c r="F4" s="10" t="str">
        <x:v>Evidencia</x:v>
      </x:c>
      <x:c r="G4" s="10" t="str">
        <x:v>Reserva residual</x:v>
      </x:c>
    </x:row>
    <x:row r="5" ht="47" customHeight="1">
      <x:c r="A5" s="4" t="str">
        <x:v>AC-01</x:v>
      </x:c>
      <x:c r="B5" s="4" t="str">
        <x:v>Rector profesional por rector educativo</x:v>
      </x:c>
      <x:c r="C5" s="4" t="str">
        <x:v>NICE no es un plan universitario de un país vector.</x:v>
      </x:c>
      <x:c r="D5" s="4" t="str">
        <x:v>CORREGIDO</x:v>
      </x:c>
      <x:c r="E5" s="4" t="str">
        <x:v>URJC se propone como base educativa; NICE se conserva como contraste profesional.</x:v>
      </x:c>
      <x:c r="F5" s="4" t="str">
        <x:v>00; 14; 03_NICE</x:v>
      </x:c>
      <x:c r="G5" s="4" t="str">
        <x:v>La elección requiere adopción humana; no se declara rector universal.</x:v>
      </x:c>
    </x:row>
    <x:row r="6" ht="47" customHeight="1">
      <x:c r="A6" s="4" t="str">
        <x:v>AC-02</x:v>
      </x:c>
      <x:c r="B6" s="4" t="str">
        <x:v>Adelantar el primer universo</x:v>
      </x:c>
      <x:c r="C6" s="4" t="str">
        <x:v>OPC-07 estaba priorizado antes de cerrar el catálogo educativo.</x:v>
      </x:c>
      <x:c r="D6" s="4" t="str">
        <x:v>CORREGIDO</x:v>
      </x:c>
      <x:c r="E6" s="4" t="str">
        <x:v>Se retira esa prioridad. Las operaciones de v0.1 quedan históricas, pendientes de reexaminar.</x:v>
      </x:c>
      <x:c r="F6" s="4" t="str">
        <x:v>00; 07; 09</x:v>
      </x:c>
      <x:c r="G6" s="4" t="str">
        <x:v>Cero universos, parámetros, matrices, rutas y frames constituidos.</x:v>
      </x:c>
    </x:row>
    <x:row r="7" ht="47" customHeight="1">
      <x:c r="A7" s="4" t="str">
        <x:v>AC-03</x:v>
      </x:c>
      <x:c r="B7" s="4" t="str">
        <x:v>Confundir país con currículo nacional</x:v>
      </x:c>
      <x:c r="C7" s="4" t="str">
        <x:v>Un plan URJC no representa todas las universidades españolas.</x:v>
      </x:c>
      <x:c r="D7" s="4" t="str">
        <x:v>CORREGIDO</x:v>
      </x:c>
      <x:c r="E7" s="4" t="str">
        <x:v>Se identifica universidad, grado, titulación, edición y carácter de propuesta.</x:v>
      </x:c>
      <x:c r="F7" s="4" t="str">
        <x:v>14 P01; 15</x:v>
      </x:c>
      <x:c r="G7" s="4" t="str">
        <x:v>No se mide aceptación internacional por prestigio o número de países.</x:v>
      </x:c>
    </x:row>
    <x:row r="8" ht="47" customHeight="1">
      <x:c r="A8" s="4" t="str">
        <x:v>AC-04</x:v>
      </x:c>
      <x:c r="B8" s="4" t="str">
        <x:v>Mezcla en adquisición de PDF</x:v>
      </x:c>
      <x:c r="C8" s="4" t="str">
        <x:v>En el lote U, portadas y temarios de distintas guías resultaron mezclados.</x:v>
      </x:c>
      <x:c r="D8" s="4" t="str">
        <x:v>RECUPERACIÓN Y CONTRASTE</x:v>
      </x:c>
      <x:c r="E8" s="4" t="str">
        <x:v>Todo el lote U queda en cuarentena. Lote R descargado secuencialmente y contrastado por contenido.</x:v>
      </x:c>
      <x:c r="F8" s="4" t="str">
        <x:v>21 U/R; R003 frente U003</x:v>
      </x:c>
      <x:c r="G8" s="4" t="str">
        <x:v>No se atribuye una causa técnica definitiva al servidor. Una portada correcta no basta.</x:v>
      </x:c>
    </x:row>
    <x:row r="9" ht="47" customHeight="1">
      <x:c r="A9" s="4" t="str">
        <x:v>AC-05</x:v>
      </x:c>
      <x:c r="B9" s="4" t="str">
        <x:v>Sustituir actualidad por fecha de consulta</x:v>
      </x:c>
      <x:c r="C9" s="4" t="str">
        <x:v>El PDF Erasmus E002 es de 2021–22.</x:v>
      </x:c>
      <x:c r="D9" s="4" t="str">
        <x:v>CORREGIDO</x:v>
      </x:c>
      <x:c r="E9" s="4" t="str">
        <x:v>Base del catálogo: plan y guías 2026–27. E002 sólo antecedente, sin rellenar temarios actuales.</x:v>
      </x:c>
      <x:c r="F9" s="4" t="str">
        <x:v>E002 p. 5; E011; R</x:v>
      </x:c>
      <x:c r="G9" s="4" t="str">
        <x:v>Una guía curricular actual tampoco actualiza automáticamente las normas que menciona.</x:v>
      </x:c>
    </x:row>
    <x:row r="10" ht="47" customHeight="1">
      <x:c r="A10" s="4" t="str">
        <x:v>AC-06</x:v>
      </x:c>
      <x:c r="B10" s="4" t="str">
        <x:v>Guelph: duplicación y cambio de título</x:v>
      </x:c>
      <x:c r="C10" s="4" t="str">
        <x:v>CIS*6540 y CIS*6530 comparten descripción; el título de 6530 difiere del listado del programa.</x:v>
      </x:c>
      <x:c r="D10" s="4" t="str">
        <x:v>RESERVA LOCALIZADA</x:v>
      </x:c>
      <x:c r="E10" s="4" t="str">
        <x:v>No se extrae el temario de 6540 ni se decide la identidad editorial de 6530.</x:v>
      </x:c>
      <x:c r="F10" s="4" t="str">
        <x:v>E006; G004; G005</x:v>
      </x:c>
      <x:c r="G10" s="4" t="str">
        <x:v>No afecta a las fichas G007/G009 utilizadas; no se declara todo el programa conforme.</x:v>
      </x:c>
    </x:row>
    <x:row r="11" ht="47" customHeight="1">
      <x:c r="A11" s="4" t="str">
        <x:v>AC-07</x:v>
      </x:c>
      <x:c r="B11" s="4" t="str">
        <x:v>Warwick: mezclar ediciones</x:v>
      </x:c>
      <x:c r="C11" s="4" t="str">
        <x:v>Página de ingreso 2027 frente a consulta de guías 2026–27.</x:v>
      </x:c>
      <x:c r="D11" s="4" t="str">
        <x:v>RESERVA LOCALIZADA</x:v>
      </x:c>
      <x:c r="E11" s="4" t="str">
        <x:v>Sólo se usan unidades con guía 2026–27 recuperada; nueve códigos de tercero quedan sin esa guía.</x:v>
      </x:c>
      <x:c r="F11" s="4" t="str">
        <x:v>E005; W017–W025</x:v>
      </x:c>
      <x:c r="G11" s="4" t="str">
        <x:v>No se declara transcrito un programa completo de una misma cohorte.</x:v>
      </x:c>
    </x:row>
    <x:row r="12" ht="47" customHeight="1">
      <x:c r="A12" s="4" t="str">
        <x:v>AC-08</x:v>
      </x:c>
      <x:c r="B12" s="4" t="str">
        <x:v>UNSW: presentar publicidad como plan</x:v>
      </x:c>
      <x:c r="C12" s="4" t="str">
        <x:v>La presentación comercial y la estructura versionada muestran recuentos distintos.</x:v>
      </x:c>
      <x:c r="D12" s="4" t="str">
        <x:v>CORREGIDO</x:v>
      </x:c>
      <x:c r="E12" s="4" t="str">
        <x:v>Rector comparado mediante Handbook 2026.05: 66+30+24+12+12 UOC. Minor según estructura 2026.02.006.</x:v>
      </x:c>
      <x:c r="F12" s="4" t="str">
        <x:v>E013; N020</x:v>
      </x:c>
      <x:c r="G12" s="4" t="str">
        <x:v>El proyecto ZSPS3117 enlazado a 2027 queda fuera del complemento actual.</x:v>
      </x:c>
    </x:row>
    <x:row r="13" ht="47" customHeight="1">
      <x:c r="A13" s="4" t="str">
        <x:v>AC-09</x:v>
      </x:c>
      <x:c r="B13" s="4" t="str">
        <x:v>Inflar complementos por país</x:v>
      </x:c>
      <x:c r="C13" s="4" t="str">
        <x:v>Hunting, SDN, decisión y riesgo ya figuran en guías URJC.</x:v>
      </x:c>
      <x:c r="D13" s="4" t="str">
        <x:v>CORREGIDO</x:v>
      </x:c>
      <x:c r="E13" s="4" t="str">
        <x:v>Canadá G009 queda como contraste; UPC conserva sólo el título SDS, sin equipararlo a SDN. CMU identifica profundidad por estudiar, no un vacío probado.</x:v>
      </x:c>
      <x:c r="F13" s="4" t="str">
        <x:v>R011; R029; R033; R035; 17</x:v>
      </x:c>
      <x:c r="G13" s="4" t="str">
        <x:v>No se suman países como prueba de necesidad educativa.</x:v>
      </x:c>
    </x:row>
    <x:row r="14" ht="47" customHeight="1">
      <x:c r="A14" s="4" t="str">
        <x:v>AC-10</x:v>
      </x:c>
      <x:c r="B14" s="4" t="str">
        <x:v>Confundir impacto con robustez</x:v>
      </x:c>
      <x:c r="C14" s="4" t="str">
        <x:v>ISO/IEC 42005 evalúa impactos de sistemas de IA.</x:v>
      </x:c>
      <x:c r="D14" s="4" t="str">
        <x:v>CORREGIDO</x:v>
      </x:c>
      <x:c r="E14" s="4" t="str">
        <x:v>Se separa de ensayos técnicos de robustez y de gestión de riesgos.</x:v>
      </x:c>
      <x:c r="F14" s="4" t="str">
        <x:v>A101; AN-05</x:v>
      </x:c>
      <x:c r="G14" s="4" t="str">
        <x:v>ISO sólo en alcance público; no se atribuye lectura de cláusulas. Gartner permanece pendiente de acceso primario.</x:v>
      </x:c>
    </x:row>
    <x:row r="15" ht="47" customHeight="1">
      <x:c r="A15" s="4" t="str">
        <x:v>AC-11</x:v>
      </x:c>
      <x:c r="B15" s="4" t="str">
        <x:v>Tratar tecnologías como protección suficiente</x:v>
      </x:c>
      <x:c r="C15" s="4" t="str">
        <x:v>SDN, eBPF, P4, federación, privacidad diferencial y TEE tienen funciones distintas.</x:v>
      </x:c>
      <x:c r="D15" s="4" t="str">
        <x:v>DELIMITADO</x:v>
      </x:c>
      <x:c r="E15" s="4" t="str">
        <x:v>Cada necesidad exige finalidad, supuestos, coste, evidencia y límites; no adopción por nombre.</x:v>
      </x:c>
      <x:c r="F15" s="4" t="str">
        <x:v>AN-06; AN-07</x:v>
      </x:c>
      <x:c r="G15" s="4" t="str">
        <x:v>Cursos específicos de eBPF/P4 y privacidad avanzada aún no seleccionados.</x:v>
      </x:c>
    </x:row>
    <x:row r="16" ht="47" customHeight="1">
      <x:c r="A16" s="4" t="str">
        <x:v>AC-12</x:v>
      </x:c>
      <x:c r="B16" s="4" t="str">
        <x:v>Enciclopedia sin saber hacer</x:v>
      </x:c>
      <x:c r="C16" s="4" t="str">
        <x:v>Una lista temática no evalúa capacidad de razonar y actuar.</x:v>
      </x:c>
      <x:c r="D16" s="4" t="str">
        <x:v>TRATADO EN ESTE ALCANCE</x:v>
      </x:c>
      <x:c r="E16" s="4" t="str">
        <x:v>40 asignaturas con forma educativa; complementos con resultados y evaluaciones; 12 testigos propuestos.</x:v>
      </x:c>
      <x:c r="F16" s="4" t="str">
        <x:v>15; 17; 19</x:v>
      </x:c>
      <x:c r="G16" s="4" t="str">
        <x:v>No se acredita aprendizaje de una persona ni suficiencia de un universo por estas filas.</x:v>
      </x:c>
    </x:row>
    <x:row r="17" ht="47" customHeight="1">
      <x:c r="A17" s="4" t="str">
        <x:v>AC-13</x:v>
      </x:c>
      <x:c r="B17" s="4" t="str">
        <x:v>Consecuencia inventada después</x:v>
      </x:c>
      <x:c r="C17" s="4" t="str">
        <x:v>Un daño plausible no demuestra causalidad ni consecuencia ocurrida.</x:v>
      </x:c>
      <x:c r="D17" s="4" t="str">
        <x:v>DELIMITADO</x:v>
      </x:c>
      <x:c r="E17" s="4" t="str">
        <x:v>Se separan carencia, error, pérdida epistemológica y consecuencia potencial condicionada.</x:v>
      </x:c>
      <x:c r="F17" s="4" t="str">
        <x:v>19</x:v>
      </x:c>
      <x:c r="G17" s="4" t="str">
        <x:v>Los testigos están especificados; no ejecutados. Falta concretarlos en la operación futura.</x:v>
      </x:c>
    </x:row>
    <x:row r="18" ht="47" customHeight="1">
      <x:c r="A18" s="4" t="str">
        <x:v>AC-14</x:v>
      </x:c>
      <x:c r="B18" s="4" t="str">
        <x:v>Soberanía y actualización</x:v>
      </x:c>
      <x:c r="C18" s="4" t="str">
        <x:v>Acceder a una referencia nueva no cambia el dominio adoptado.</x:v>
      </x:c>
      <x:c r="D18" s="4" t="str">
        <x:v>PRESERVADO</x:v>
      </x:c>
      <x:c r="E18" s="4" t="str">
        <x:v>Cortes declarados, propuesta y adopción separadas; decisión humana de aptitud antes de incorporar cambios.</x:v>
      </x:c>
      <x:c r="F18" s="4" t="str">
        <x:v>00; 18; CF-11</x:v>
      </x:c>
      <x:c r="G18" s="4" t="str">
        <x:v>La aprobación del método ya consta; no se vuelve a solicitar para trabajar.</x:v>
      </x:c>
    </x:row>
    <x:row r="19" ht="47" customHeight="1">
      <x:c r="A19" s="4" t="str">
        <x:v>AC-15</x:v>
      </x:c>
      <x:c r="B19" s="4" t="str">
        <x:v>Proporcionalidad económica</x:v>
      </x:c>
      <x:c r="C19" s="4" t="str">
        <x:v>Protección, servicio, coste y valor necesitan el mismo alcance y horizonte.</x:v>
      </x:c>
      <x:c r="D19" s="4" t="str">
        <x:v>INCORPORADO</x:v>
      </x:c>
      <x:c r="E19" s="4" t="str">
        <x:v>Se conserva la regla humana de no exceder el valor protegido; se exige justificar valoración y coste total.</x:v>
      </x:c>
      <x:c r="F19" s="4" t="str">
        <x:v>AN-05; CF-07; R014; R035</x:v>
      </x:c>
      <x:c r="G19" s="4" t="str">
        <x:v>No se inventa precio del activo, tolerancia al riesgo ni resultado de una comparación todavía inexistente.</x:v>
      </x:c>
    </x:row>
    <x:row r="20" ht="47" customHeight="1">
      <x:c r="A20" s="4" t="str">
        <x:v>AC-16</x:v>
      </x:c>
      <x:c r="B20" s="4" t="str">
        <x:v>Excel y anexo antes de cierre</x:v>
      </x:c>
      <x:c r="C20" s="4" t="str">
        <x:v>La proyección complementaria está autorizada sólo después del cierre humano.</x:v>
      </x:c>
      <x:c r="D20" s="4" t="str">
        <x:v>PRESERVADO</x:v>
      </x:c>
      <x:c r="E20" s="4" t="str">
        <x:v>El Excel continúa como principal. No se genera CSV/TSV ni proyección normativa.</x:v>
      </x:c>
      <x:c r="F20" s="4" t="str">
        <x:v>00</x:v>
      </x:c>
      <x:c r="G20" s="4" t="str">
        <x:v>Datos intermedios de adquisición no son una proyección del Excel.</x:v>
      </x:c>
    </x:row>
    <x:row r="21" ht="47" customHeight="1">
      <x:c r="A21" s="4" t="str">
        <x:v>AC-17</x:v>
      </x:c>
      <x:c r="B21" s="4" t="str">
        <x:v>Adversarial atribuida a otro revisor</x:v>
      </x:c>
      <x:c r="C21" s="4" t="str">
        <x:v>Esta revisión es de Watson.</x:v>
      </x:c>
      <x:c r="D21" s="4" t="str">
        <x:v>DECLARADO</x:v>
      </x:c>
      <x:c r="E21" s="4" t="str">
        <x:v>No se presenta como auditoría independiente ni como dictamen de Claude, Grok o Lenguaje.</x:v>
      </x:c>
      <x:c r="F21" s="4" t="str">
        <x:v>22</x:v>
      </x:c>
      <x:c r="G21" s="4" t="str">
        <x:v>Las reservas siguen visibles; no se declara cero reparos semánticos.</x:v>
      </x:c>
    </x:row>
    <x:row r="22" ht="47" customHeight="1">
      <x:c r="A22" s="4" t="str">
        <x:v>AC-18</x:v>
      </x:c>
      <x:c r="B22" s="4" t="str">
        <x:v>Currículo como norma operativa</x:v>
      </x:c>
      <x:c r="C22" s="4" t="str">
        <x:v>Guías incluyen referencias normativas y herramientas de distintas épocas.</x:v>
      </x:c>
      <x:c r="D22" s="4" t="str">
        <x:v>DELIMITADO</x:v>
      </x:c>
      <x:c r="E22" s="4" t="str">
        <x:v>Se toma su función educativa. Obligaciones y versiones operativas se comprueban aparte antes de su adopción.</x:v>
      </x:c>
      <x:c r="F22" s="4" t="str">
        <x:v>R019; R037; 01</x:v>
      </x:c>
      <x:c r="G22" s="4" t="str">
        <x:v>No se transforma una mención a NIS o CCNA Security en prueba de vigencia normativa o comercial.</x:v>
      </x:c>
    </x:row>
  </x:sheetData>
  <x:mergeCells>
    <x:mergeCell ref="A1:D1"/>
    <x:mergeCell ref="A2:F2"/>
  </x:mergeCells>
  <x:pageMargins left="0.7" right="0.7" top="0.75" bottom="0.75" header="0.3" footer="0.3"/>
  <x:tableParts count="1">
    <x:tablePart xmlns:r="http://schemas.openxmlformats.org/officeDocument/2006/relationships" r:id="Rb38d3f0c45e84464"/>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7" hidden="0" customWidth="1"/>
    <x:col min="2" max="2" width="64" hidden="0" customWidth="1"/>
    <x:col min="3" max="3" width="36" hidden="0" customWidth="1"/>
    <x:col min="4" max="4" width="27" hidden="0" customWidth="1"/>
    <x:col min="5" max="5" width="106" hidden="0" customWidth="1"/>
  </x:cols>
  <x:sheetData>
    <x:row r="1" ht="35" customHeight="1">
      <x:c r="A1" s="6" t="str">
        <x:v>CONTROLES · estructura, sensibilidad y límite del dictamen</x:v>
      </x:c>
      <x:c r="B1" s="6"/>
      <x:c r="C1" s="6"/>
      <x:c r="D1" s="6"/>
      <x:c r="E1" s="6"/>
    </x:row>
    <x:row r="2" ht="52" customHeight="1">
      <x:c r="A2" s="8" t="str">
        <x:v>Los resultados calculados no prueban semántica ni aptitud operacional. Las reservas de contenido están en 22 y las carencias formativas especializadas en 18.</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ED-01</x:v>
      </x:c>
      <x:c r="B5" s="4" t="str">
        <x:v>Asignaturas del plan</x:v>
      </x:c>
      <x:c r="C5" s="14" t="n">
        <x:f>COUNTA('15_Base_universitaria'!$A$5:$A$44)</x:f>
        <x:v>40</x:v>
      </x:c>
      <x:c r="D5" s="15" t="n">
        <x:v>40</x:v>
      </x:c>
      <x:c r="E5" s="4" t="str">
        <x:v>E011 · total de registros académicos.</x:v>
      </x:c>
    </x:row>
    <x:row r="6" ht="47" customHeight="1">
      <x:c r="A6" s="4" t="str">
        <x:v>ED-02</x:v>
      </x:c>
      <x:c r="B6" s="4" t="str">
        <x:v>ECTS del plan</x:v>
      </x:c>
      <x:c r="C6" s="14" t="n">
        <x:f>SUM('15_Base_universitaria'!$P$5:$P$44)</x:f>
        <x:v>240</x:v>
      </x:c>
      <x:c r="D6" s="15" t="n">
        <x:v>240</x:v>
      </x:c>
      <x:c r="E6" s="4" t="str">
        <x:v>ECTS originales en texto; suma derivada.</x:v>
      </x:c>
    </x:row>
    <x:row r="7" ht="47" customHeight="1">
      <x:c r="A7" s="4" t="str">
        <x:v>ED-03</x:v>
      </x:c>
      <x:c r="B7" s="4" t="str">
        <x:v>ECTS de primer curso</x:v>
      </x:c>
      <x:c r="C7" s="14" t="n">
        <x:f>SUMIF('15_Base_universitaria'!$D$5:$D$44,"1",'15_Base_universitaria'!$P$5:$P$44)</x:f>
        <x:v>60</x:v>
      </x:c>
      <x:c r="D7" s="15" t="n">
        <x:v>60</x:v>
      </x:c>
      <x:c r="E7" s="4" t="str">
        <x:v>Control frente al plan.</x:v>
      </x:c>
    </x:row>
    <x:row r="8" ht="47" customHeight="1">
      <x:c r="A8" s="4" t="str">
        <x:v>ED-04</x:v>
      </x:c>
      <x:c r="B8" s="4" t="str">
        <x:v>ECTS de segundo curso</x:v>
      </x:c>
      <x:c r="C8" s="14" t="n">
        <x:f>SUMIF('15_Base_universitaria'!$D$5:$D$44,"2",'15_Base_universitaria'!$P$5:$P$44)</x:f>
        <x:v>60</x:v>
      </x:c>
      <x:c r="D8" s="15" t="n">
        <x:v>60</x:v>
      </x:c>
      <x:c r="E8" s="4" t="str">
        <x:v>Control frente al plan.</x:v>
      </x:c>
    </x:row>
    <x:row r="9" ht="47" customHeight="1">
      <x:c r="A9" s="4" t="str">
        <x:v>ED-05</x:v>
      </x:c>
      <x:c r="B9" s="4" t="str">
        <x:v>ECTS de tercer curso</x:v>
      </x:c>
      <x:c r="C9" s="14" t="n">
        <x:f>SUMIF('15_Base_universitaria'!$D$5:$D$44,"3",'15_Base_universitaria'!$P$5:$P$44)</x:f>
        <x:v>60</x:v>
      </x:c>
      <x:c r="D9" s="15" t="n">
        <x:v>60</x:v>
      </x:c>
      <x:c r="E9" s="4" t="str">
        <x:v>Control frente al plan.</x:v>
      </x:c>
    </x:row>
    <x:row r="10" ht="47" customHeight="1">
      <x:c r="A10" s="4" t="str">
        <x:v>ED-06</x:v>
      </x:c>
      <x:c r="B10" s="4" t="str">
        <x:v>ECTS de cuarto curso</x:v>
      </x:c>
      <x:c r="C10" s="14" t="n">
        <x:f>SUMIF('15_Base_universitaria'!$D$5:$D$44,"4",'15_Base_universitaria'!$P$5:$P$44)</x:f>
        <x:v>60</x:v>
      </x:c>
      <x:c r="D10" s="15" t="n">
        <x:v>60</x:v>
      </x:c>
      <x:c r="E10" s="4" t="str">
        <x:v>Control frente al plan.</x:v>
      </x:c>
    </x:row>
    <x:row r="11" ht="47" customHeight="1">
      <x:c r="A11" s="4" t="str">
        <x:v>ED-07</x:v>
      </x:c>
      <x:c r="B11" s="4" t="str">
        <x:v>Identidad y referencias de asignatura</x:v>
      </x:c>
      <x:c r="C11" s="14" t="n">
        <x:f>SUM('15_Base_universitaria'!Q5:R44)</x:f>
        <x:v>0</x:v>
      </x:c>
      <x:c r="D11" s="15" t="n">
        <x:v>0</x:v>
      </x:c>
      <x:c r="E11" s="4" t="str">
        <x:v>Duplicados o fuente ausente.</x:v>
      </x:c>
    </x:row>
    <x:row r="12" ht="47" customHeight="1">
      <x:c r="A12" s="4" t="str">
        <x:v>ED-08</x:v>
      </x:c>
      <x:c r="B12" s="4" t="str">
        <x:v>Fuente no admisible en base</x:v>
      </x:c>
      <x:c r="C12" s="14" t="n">
        <x:f>SUM('15_Base_universitaria'!S5:S44)</x:f>
        <x:v>0</x:v>
      </x:c>
      <x:c r="D12" s="15" t="n">
        <x:v>0</x:v>
      </x:c>
      <x:c r="E12" s="4" t="str">
        <x:v>No usar cuarentena ni fallo de adquisición.</x:v>
      </x:c>
    </x:row>
    <x:row r="13" ht="47" customHeight="1">
      <x:c r="A13" s="4" t="str">
        <x:v>ED-09</x:v>
      </x:c>
      <x:c r="B13" s="4" t="str">
        <x:v>Extremos de progresión ausentes</x:v>
      </x:c>
      <x:c r="C13" s="14" t="n">
        <x:f>SUM('16_Progresion'!H5:I12)</x:f>
        <x:v>0</x:v>
      </x:c>
      <x:c r="D13" s="15" t="n">
        <x:v>0</x:v>
      </x:c>
      <x:c r="E13" s="4" t="str">
        <x:v>Control de relaciones de las ocho aristas.</x:v>
      </x:c>
    </x:row>
    <x:row r="14" ht="47" customHeight="1">
      <x:c r="A14" s="4" t="str">
        <x:v>ED-10</x:v>
      </x:c>
      <x:c r="B14" s="4" t="str">
        <x:v>Custodia: duplicado o hash defectuoso</x:v>
      </x:c>
      <x:c r="C14" s="14" t="n">
        <x:f>SUM('21_Fuentes_educativas'!L5:M188)</x:f>
        <x:v>0</x:v>
      </x:c>
      <x:c r="D14" s="15" t="n">
        <x:v>0</x:v>
      </x:c>
      <x:c r="E14" s="4" t="str">
        <x:v>No confundir ausencia de captura declarada con hash inválido.</x:v>
      </x:c>
    </x:row>
    <x:row r="15" ht="47" customHeight="1">
      <x:c r="A15" s="4" t="str">
        <x:v>ED-11</x:v>
      </x:c>
      <x:c r="B15" s="4" t="str">
        <x:v>Familias sin asignación</x:v>
      </x:c>
      <x:c r="C15" s="14" t="n">
        <x:f>COUNTA('15_Base_universitaria'!$A$5:$A$44)-SUM('20_Familias'!$D$5:$D$19)</x:f>
        <x:v>0</x:v>
      </x:c>
      <x:c r="D15" s="15" t="n">
        <x:v>0</x:v>
      </x:c>
      <x:c r="E15" s="4" t="str">
        <x:v>Cobertura del inventario editorial.</x:v>
      </x:c>
    </x:row>
    <x:row r="16" ht="47" customHeight="1">
      <x:c r="A16" s="4" t="str">
        <x:v>ED-12</x:v>
      </x:c>
      <x:c r="B16" s="4" t="str">
        <x:v>Evidencia heredada: incidencias estructurales</x:v>
      </x:c>
      <x:c r="C16" s="14" t="n">
        <x:f>'11_Controles'!C14</x:f>
        <x:v>0</x:v>
      </x:c>
      <x:c r="D16" s="15" t="n">
        <x:v>0</x:v>
      </x:c>
      <x:c r="E16" s="4" t="str">
        <x:v>Controles de las hojas 01–13 conservadas.</x:v>
      </x:c>
    </x:row>
    <x:row r="17" ht="47" customHeight="1">
      <x:c r="A17" s="4" t="str">
        <x:v>ED-13</x:v>
      </x:c>
      <x:c r="B17" s="4" t="str">
        <x:v>Necesidades humanas incorporadas</x:v>
      </x:c>
      <x:c r="C17" s="14" t="n">
        <x:f>COUNTA('18_Necesidades_IA'!$A$5:$A$12)</x:f>
        <x:v>8</x:v>
      </x:c>
      <x:c r="D17" s="15" t="n">
        <x:v>8</x:v>
      </x:c>
      <x:c r="E17" s="4" t="str">
        <x:v>Una fila por cada bloque aportado.</x:v>
      </x:c>
    </x:row>
    <x:row r="18" ht="82" customHeight="1">
      <x:c r="A18" s="4" t="str">
        <x:v>MUT-E01</x:v>
      </x:c>
      <x:c r="B18" s="4" t="str">
        <x:v>Cambiar una fuente por otra inexistente</x:v>
      </x:c>
      <x:c r="C18" s="4" t="str">
        <x:v>DETECTADO Y RESTAURADO</x:v>
      </x:c>
      <x:c r="D18" s="4" t="str">
        <x:v>DETECTAR</x:v>
      </x:c>
      <x:c r="E18" s="4" t="str">
        <x:v>Prueba ejecutada en esta revisión; defecto detectado y controles restaurados. Registro JSON vinculado en el índice.</x:v>
      </x:c>
    </x:row>
    <x:row r="19" ht="82" customHeight="1">
      <x:c r="A19" s="4" t="str">
        <x:v>MUT-E02</x:v>
      </x:c>
      <x:c r="B19" s="4" t="str">
        <x:v>Cambiar la carga de una asignatura</x:v>
      </x:c>
      <x:c r="C19" s="4" t="str">
        <x:v>DETECTADO Y RESTAURADO</x:v>
      </x:c>
      <x:c r="D19" s="4" t="str">
        <x:v>DETECTAR</x:v>
      </x:c>
      <x:c r="E19" s="4" t="str">
        <x:v>Prueba ejecutada en esta revisión; defecto detectado y controles restaurados. Registro JSON vinculado en el índice.</x:v>
      </x:c>
    </x:row>
    <x:row r="20" ht="82" customHeight="1">
      <x:c r="A20" s="4" t="str">
        <x:v>MUT-E03</x:v>
      </x:c>
      <x:c r="B20" s="4" t="str">
        <x:v>Usar una captura en cuarentena</x:v>
      </x:c>
      <x:c r="C20" s="4" t="str">
        <x:v>DETECTADO Y RESTAURADO</x:v>
      </x:c>
      <x:c r="D20" s="4" t="str">
        <x:v>DETECTAR</x:v>
      </x:c>
      <x:c r="E20" s="4" t="str">
        <x:v>Prueba ejecutada en esta revisión; defecto detectado y controles restaurados. Registro JSON vinculado en el índice.</x:v>
      </x:c>
    </x:row>
    <x:row r="21" ht="47" customHeight="1">
      <x:c r="A21" s="4" t="str">
        <x:v>DICTAMEN</x:v>
      </x:c>
      <x:c r="B21" s="4" t="str">
        <x:v>Catálogo curricular propuesto</x:v>
      </x:c>
      <x:c r="C21" s="4" t="str">
        <x:v>REVISABLE CON RESERVAS</x:v>
      </x:c>
      <x:c r="D21" s="4" t="str">
        <x:v>ADOPCIÓN HUMANA</x:v>
      </x:c>
      <x:c r="E21" s="4" t="str">
        <x:v>No cerrado; faltan complementos especializados indicados en 18. El primer universo sigue sin elegir.</x:v>
      </x:c>
    </x:row>
  </x:sheetData>
  <x:mergeCells>
    <x:mergeCell ref="A1:D1"/>
    <x:mergeCell ref="A2:E2"/>
  </x:mergeCells>
  <x:conditionalFormatting sqref="C5:C17">
    <x:cfRule type="expression" dxfId="7" priority="1">
      <x:formula>C5&lt;&gt;D5</x:formula>
    </x:cfRule>
  </x:conditionalFormatting>
  <x:pageMargins left="0.7" right="0.7" top="0.75" bottom="0.75" header="0.3" footer="0.3"/>
  <x:tableParts count="1">
    <x:tablePart xmlns:r="http://schemas.openxmlformats.org/officeDocument/2006/relationships" r:id="R98107395b8934a40"/>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87" hidden="0" customWidth="1"/>
    <x:col min="4" max="4" width="93" hidden="0" customWidth="1"/>
    <x:col min="5" max="5" width="46" hidden="0" customWidth="1"/>
    <x:col min="6" max="6" width="101" hidden="0" customWidth="1"/>
  </x:cols>
  <x:sheetData>
    <x:row r="1" ht="35" customHeight="1">
      <x:c r="A1" s="6" t="str">
        <x:v>GOBIERNO Y PRECEDENCIA · experiencia de Inmunología</x:v>
      </x:c>
      <x:c r="B1" s="6"/>
      <x:c r="C1" s="6"/>
      <x:c r="D1" s="6"/>
      <x:c r="E1" s="6"/>
      <x:c r="F1" s="6"/>
    </x:row>
    <x:row r="2" ht="52" customHeight="1">
      <x:c r="A2" s="8" t="str">
        <x:v>Referencias de método, con sus cortes explícitos en 21. La instrucción aprobada de Ciberseguridad gobierna esta unidad; los permisos y contenidos clínicos no se trasladan.</x:v>
      </x:c>
      <x:c r="B2" s="8"/>
      <x:c r="C2" s="8"/>
      <x:c r="D2" s="8"/>
      <x:c r="E2" s="8"/>
      <x:c r="F2" s="8"/>
    </x:row>
    <x:row r="3">
      <x:c r="A3" s="4"/>
      <x:c r="B3" s="4"/>
      <x:c r="C3" s="4"/>
      <x:c r="D3" s="4"/>
      <x:c r="E3" s="4"/>
      <x:c r="F3" s="4"/>
    </x:row>
    <x:row r="4" ht="42" customHeight="1">
      <x:c r="A4" s="10" t="str">
        <x:v>ID</x:v>
      </x:c>
      <x:c r="B4" s="10" t="str">
        <x:v>Autoridad o plano</x:v>
      </x:c>
      <x:c r="C4" s="10" t="str">
        <x:v>Función que se preserva</x:v>
      </x:c>
      <x:c r="D4" s="10" t="str">
        <x:v>Frontera</x:v>
      </x:c>
      <x:c r="E4" s="10" t="str">
        <x:v>Fuente / localizador</x:v>
      </x:c>
      <x:c r="F4" s="10" t="str">
        <x:v>Aplicación en este libro</x:v>
      </x:c>
    </x:row>
    <x:row r="5" ht="47" customHeight="1">
      <x:c r="A5" s="4" t="str">
        <x:v>GM-01</x:v>
      </x:c>
      <x:c r="B5" s="4" t="str">
        <x:v>Director · constitución del dominio</x:v>
      </x:c>
      <x:c r="C5" s="4" t="str">
        <x:v>Adoptar el perímetro, sus objetos y las transiciones mediante decisión expresa.</x:v>
      </x:c>
      <x:c r="D5" s="4" t="str">
        <x:v>La propuesta de Watson no constituye adopción. El método ya está autorizado para trabajar.</x:v>
      </x:c>
      <x:c r="E5" s="4" t="str">
        <x:v>I001 §§0–2,6; I005</x:v>
      </x:c>
      <x:c r="F5" s="4" t="str">
        <x:v>URJC y los complementos figuran como propuesta; no se requiere comisión previa para que el Director decida.</x:v>
      </x:c>
    </x:row>
    <x:row r="6" ht="47" customHeight="1">
      <x:c r="A6" s="4" t="str">
        <x:v>GM-02</x:v>
      </x:c>
      <x:c r="B6" s="4" t="str">
        <x:v>Profesional autorizado · operación</x:v>
      </x:c>
      <x:c r="C6" s="4" t="str">
        <x:v>Decidir dentro de su responsabilidad, contexto y jurisdicción.</x:v>
      </x:c>
      <x:c r="D6" s="4" t="str">
        <x:v>Una salida computacional no sustituye la decisión profesional ni amplía competencias.</x:v>
      </x:c>
      <x:c r="E6" s="4" t="str">
        <x:v>I002 §4.1; I005</x:v>
      </x:c>
      <x:c r="F6" s="4" t="str">
        <x:v>Se conserva la distinción; no se importan facultades clínicas al dominio ciber.</x:v>
      </x:c>
    </x:row>
    <x:row r="7" ht="47" customHeight="1">
      <x:c r="A7" s="4" t="str">
        <x:v>GM-03</x:v>
      </x:c>
      <x:c r="B7" s="4" t="str">
        <x:v>Ingeniería · realización</x:v>
      </x:c>
      <x:c r="C7" s="4" t="str">
        <x:v>Comprobar representabilidad, corrección, verificabilidad y seguridad; bloquear una realización inadecuada.</x:v>
      </x:c>
      <x:c r="D7" s="4" t="str">
        <x:v>Bloqueo técnico no es conclusión profesional ni permiso para reescribir un requisito.</x:v>
      </x:c>
      <x:c r="E7" s="4" t="str">
        <x:v>I002 §4.2</x:v>
      </x:c>
      <x:c r="F7" s="4" t="str">
        <x:v>Defecto de realización, límite representacional y decisión profesional se atribuyen por separado.</x:v>
      </x:c>
    </x:row>
    <x:row r="8" ht="47" customHeight="1">
      <x:c r="A8" s="4" t="str">
        <x:v>GM-04</x:v>
      </x:c>
      <x:c r="B8" s="4" t="str">
        <x:v>IA · ejecución del dominio</x:v>
      </x:c>
      <x:c r="C8" s="4" t="str">
        <x:v>Operar sólo con corpus, reglas, finalidades y permisos constituidos para la operación.</x:v>
      </x:c>
      <x:c r="D8" s="4" t="str">
        <x:v>No adoptar, rellenar indeterminación, ampliar corpus ni actualizarlo autónomamente.</x:v>
      </x:c>
      <x:c r="E8" s="4" t="str">
        <x:v>I002 §4.3; I005</x:v>
      </x:c>
      <x:c r="F8" s="4" t="str">
        <x:v>El trabajo investigador preparatorio produce propuestas identificadas; no cambia por sí mismo una ejecución admitida.</x:v>
      </x:c>
    </x:row>
    <x:row r="9" ht="47" customHeight="1">
      <x:c r="A9" s="4" t="str">
        <x:v>GM-05</x:v>
      </x:c>
      <x:c r="B9" s="4" t="str">
        <x:v>Documentación · custodia</x:v>
      </x:c>
      <x:c r="C9" s="4" t="str">
        <x:v>Conservar identidad, fuente, versión, localizador, sucesos y precedencia.</x:v>
      </x:c>
      <x:c r="D9" s="4" t="str">
        <x:v>No tratar un hash o una auditoría favorable como verdad completa o autorización de otra fase.</x:v>
      </x:c>
      <x:c r="E9" s="4" t="str">
        <x:v>I001 §§4.1,6,9; I002 §§1,3,6</x:v>
      </x:c>
      <x:c r="F9" s="4" t="str">
        <x:v>Libro principal abierto como candidata v0.2. Anexo verificado solamente después del cierre aprobado.</x:v>
      </x:c>
    </x:row>
    <x:row r="10" ht="47" customHeight="1">
      <x:c r="A10" s="4" t="str">
        <x:v>GM-06</x:v>
      </x:c>
      <x:c r="B10" s="4" t="str">
        <x:v>Precedencia · secuencia</x:v>
      </x:c>
      <x:c r="C10" s="4" t="str">
        <x:v>Leer I001 junto con la reconciliación I003 y su aplicación en I004; Ciberseguridad sigue I005 §6.</x:v>
      </x:c>
      <x:c r="D10" s="4" t="str">
        <x:v>No reutilizar la secuencia abreviada átomos→matrices→consecuencias como orden actual.</x:v>
      </x:c>
      <x:c r="E10" s="4" t="str">
        <x:v>I001 §§4,12; I003 §§1–3; I004; I005 §6</x:v>
      </x:c>
      <x:c r="F10" s="4" t="str">
        <x:v>Primero perímetro y operación; luego preguntas, observables, consecuencias candidatas, adjudicación y propiedad matricial. No se abre ninguna puerta posterior aquí.</x:v>
      </x:c>
    </x:row>
    <x:row r="11" ht="47" customHeight="1">
      <x:c r="A11" s="4" t="str">
        <x:v>GM-07</x:v>
      </x:c>
      <x:c r="B11" s="4" t="str">
        <x:v>Consecuencia · dos estadios</x:v>
      </x:c>
      <x:c r="C11" s="4" t="str">
        <x:v>Distinguir consecuencia candidata necesaria para estudiar atomicidad de consecuencia operacional vinculada a un uso constituido.</x:v>
      </x:c>
      <x:c r="D11" s="4" t="str">
        <x:v>Un testigo educativo de este catálogo no es G4-CON, veto, regla, parámetro o intervención.</x:v>
      </x:c>
      <x:c r="E11" s="4" t="str">
        <x:v>I003 §1; I005 §6</x:v>
      </x:c>
      <x:c r="F11" s="4" t="str">
        <x:v>Las filas CF son propuestas educativas previas a elegir operación; no se declaran consecuencias operacionales probadas.</x:v>
      </x:c>
    </x:row>
    <x:row r="12" ht="47" customHeight="1">
      <x:c r="A12" s="4" t="str">
        <x:v>GM-08</x:v>
      </x:c>
      <x:c r="B12" s="4" t="str">
        <x:v>Institución · viabilidad y recursos</x:v>
      </x:c>
      <x:c r="C12" s="4" t="str">
        <x:v>Explicitar capacidades, restricciones y costes sin cambiar el significado del conocimiento.</x:v>
      </x:c>
      <x:c r="D12" s="4" t="str">
        <x:v>Disponibilidad local no determina por sí sola lo que debe conocerse.</x:v>
      </x:c>
      <x:c r="E12" s="4" t="str">
        <x:v>I002 §2 ataques H/J; mandato humano de proporcionalidad</x:v>
      </x:c>
      <x:c r="F12" s="4" t="str">
        <x:v>La regla de coste de Ciberseguridad procede del Director. No se traslada una regla de compensación clínica como fórmula económica.</x:v>
      </x:c>
    </x:row>
    <x:row r="13" ht="47" customHeight="1">
      <x:c r="A13" s="4" t="str">
        <x:v>GM-09</x:v>
      </x:c>
      <x:c r="B13" s="4" t="str">
        <x:v>Experiencia · revisión</x:v>
      </x:c>
      <x:c r="C13" s="4" t="str">
        <x:v>Usar experiencia y errores para formular preguntas de revisión con evidencia.</x:v>
      </x:c>
      <x:c r="D13" s="4" t="str">
        <x:v>Experiencia no es autoridad universal; cinco capas y seis planos no forman once categorías disjuntas.</x:v>
      </x:c>
      <x:c r="E13" s="4" t="str">
        <x:v>I002 §§2–3; I001 §6</x:v>
      </x:c>
      <x:c r="F13" s="4" t="str">
        <x:v>Se conserva conocimiento y contexto; las novedades se proponen como evolución controlada, sin obligar al humano a reconstruir el razonamiento.</x:v>
      </x:c>
    </x:row>
    <x:row r="14" ht="47" customHeight="1">
      <x:c r="A14" s="4" t="str">
        <x:v>GM-10</x:v>
      </x:c>
      <x:c r="B14" s="4" t="str">
        <x:v>Entrega · carga cognitiva</x:v>
      </x:c>
      <x:c r="C14" s="4" t="str">
        <x:v>Presentar prioridad y contexto mediante lectura progresiva.</x:v>
      </x:c>
      <x:c r="D14" s="4" t="str">
        <x:v>No volcar todo el inventario como consejo ni confundir volumen documental con rigor.</x:v>
      </x:c>
      <x:c r="E14" s="4" t="str">
        <x:v>I002 §5 VIG-ARQ-05; I004 §0</x:v>
      </x:c>
      <x:c r="F14" s="4" t="str">
        <x:v>Ruta de lectura en Estatuto; tablas filtrables. No se crean cadenas de recepciones de esta recepción.</x:v>
      </x:c>
    </x:row>
  </x:sheetData>
  <x:mergeCells>
    <x:mergeCell ref="A1:D1"/>
    <x:mergeCell ref="A2:F2"/>
  </x:mergeCells>
  <x:pageMargins left="0.7" right="0.7" top="0.75" bottom="0.75" header="0.3" footer="0.3"/>
  <x:tableParts count="1">
    <x:tablePart xmlns:r="http://schemas.openxmlformats.org/officeDocument/2006/relationships" r:id="R3d42b9be25804411"/>
  </x:tableParts>
</x:worksheet>
</file>