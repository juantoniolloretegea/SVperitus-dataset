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957be663bd438b" /></Relationships>
</file>

<file path=xl/workbook.xml><?xml version="1.0" encoding="utf-8"?>
<x:workbook xmlns:x="http://schemas.openxmlformats.org/spreadsheetml/2006/main">
  <x:sheets>
    <x:sheet xmlns:r="http://schemas.openxmlformats.org/officeDocument/2006/relationships" name="00_Estatuto" sheetId="1" r:id="Rab415e17d4de4384"/>
    <x:sheet xmlns:r="http://schemas.openxmlformats.org/officeDocument/2006/relationships" name="01_Fuentes" sheetId="2" r:id="R6c3ce25244ad460f"/>
    <x:sheet xmlns:r="http://schemas.openxmlformats.org/officeDocument/2006/relationships" name="02_Custodia" sheetId="3" r:id="Rea221f7f8af743c1"/>
    <x:sheet xmlns:r="http://schemas.openxmlformats.org/officeDocument/2006/relationships" name="03_Rector" sheetId="4" r:id="R9fce9e067625490f"/>
    <x:sheet xmlns:r="http://schemas.openxmlformats.org/officeDocument/2006/relationships" name="04_TKS" sheetId="5" r:id="R16df5e59a65d4bf4"/>
    <x:sheet xmlns:r="http://schemas.openxmlformats.org/officeDocument/2006/relationships" name="05_Complementos" sheetId="6" r:id="Rb9db49dae9c64222"/>
    <x:sheet xmlns:r="http://schemas.openxmlformats.org/officeDocument/2006/relationships" name="06_Cobertura" sheetId="7" r:id="R3ae1cb1e682140b6"/>
    <x:sheet xmlns:r="http://schemas.openxmlformats.org/officeDocument/2006/relationships" name="07_Operaciones" sheetId="8" r:id="Rd0e3a292b03a4fd9"/>
    <x:sheet xmlns:r="http://schemas.openxmlformats.org/officeDocument/2006/relationships" name="08_Trazas" sheetId="9" r:id="R8a16daa70d2b45ea"/>
    <x:sheet xmlns:r="http://schemas.openxmlformats.org/officeDocument/2006/relationships" name="09_Decisiones" sheetId="10" r:id="Rf835f71725ac42d9"/>
    <x:sheet xmlns:r="http://schemas.openxmlformats.org/officeDocument/2006/relationships" name="10_Adversarial" sheetId="11" r:id="Re082249dd6b74a7b"/>
    <x:sheet xmlns:r="http://schemas.openxmlformats.org/officeDocument/2006/relationships" name="11_Controles" sheetId="12" r:id="R8953b915086d4f2d"/>
    <x:sheet xmlns:r="http://schemas.openxmlformats.org/officeDocument/2006/relationships" name="12_Glosario" sheetId="13" r:id="R34b36b504ad947f5"/>
    <x:sheet xmlns:r="http://schemas.openxmlformats.org/officeDocument/2006/relationships" name="13_Relaciones_NICE" sheetId="14" r:id="R6dbc76a480e1453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General"/>
    <x:numFmt numFmtId="202" formatCode="0"/>
  </x:numFmts>
  <x:fonts count="6">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s>
  <x:fills count="5">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cellXfs>
  <x:cellStyles count="1">
    <x:cellStyle name="Normal" xfId="0"/>
  </x:cellStyles>
  <x:dxfs count="28">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color rgb="FF8A5A12"/>
      </x:font>
      <x:fill>
        <x:patternFill patternType="solid">
          <x:bgColor rgb="FFFFF0D4"/>
        </x:patternFill>
      </x:fill>
    </x:dxf>
    <x:dxf>
      <x:font>
        <x:color rgb="FF8A5A12"/>
      </x:font>
      <x:fill>
        <x:patternFill patternType="solid">
          <x:bgColor rgb="FFFFF0D4"/>
        </x:patternFill>
      </x:fill>
    </x:dxf>
    <x:dxf>
      <x:font>
        <x:color rgb="FF8A5A12"/>
      </x:font>
      <x:fill>
        <x:patternFill patternType="solid">
          <x:bgColor rgb="FFFFF0D4"/>
        </x:patternFill>
      </x:fill>
    </x:dxf>
    <x:dxf>
      <x:font>
        <x:color rgb="FF8A5A12"/>
      </x:font>
      <x:fill>
        <x:patternFill patternType="solid">
          <x:bgColor rgb="FFFFF0D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15eba1896d4592" /><Relationship Type="http://schemas.openxmlformats.org/officeDocument/2006/relationships/theme" Target="/xl/theme/theme1.xml" Id="R0b3a461f4d7149b4" /><Relationship Type="http://schemas.openxmlformats.org/officeDocument/2006/relationships/sharedStrings" Target="/xl/sharedStrings.xml" Id="R15c8dd1003834fc6" /><Relationship Type="http://schemas.openxmlformats.org/officeDocument/2006/relationships/worksheet" Target="/xl/worksheets/sheet1.xml" Id="Rab415e17d4de4384" /><Relationship Type="http://schemas.openxmlformats.org/officeDocument/2006/relationships/worksheet" Target="/xl/worksheets/sheet2.xml" Id="R6c3ce25244ad460f" /><Relationship Type="http://schemas.openxmlformats.org/officeDocument/2006/relationships/worksheet" Target="/xl/worksheets/sheet3.xml" Id="Rea221f7f8af743c1" /><Relationship Type="http://schemas.openxmlformats.org/officeDocument/2006/relationships/worksheet" Target="/xl/worksheets/sheet4.xml" Id="R9fce9e067625490f" /><Relationship Type="http://schemas.openxmlformats.org/officeDocument/2006/relationships/worksheet" Target="/xl/worksheets/sheet5.xml" Id="R16df5e59a65d4bf4" /><Relationship Type="http://schemas.openxmlformats.org/officeDocument/2006/relationships/worksheet" Target="/xl/worksheets/sheet6.xml" Id="Rb9db49dae9c64222" /><Relationship Type="http://schemas.openxmlformats.org/officeDocument/2006/relationships/worksheet" Target="/xl/worksheets/sheet7.xml" Id="R3ae1cb1e682140b6" /><Relationship Type="http://schemas.openxmlformats.org/officeDocument/2006/relationships/worksheet" Target="/xl/worksheets/sheet8.xml" Id="Rd0e3a292b03a4fd9" /><Relationship Type="http://schemas.openxmlformats.org/officeDocument/2006/relationships/worksheet" Target="/xl/worksheets/sheet9.xml" Id="R8a16daa70d2b45ea" /><Relationship Type="http://schemas.openxmlformats.org/officeDocument/2006/relationships/worksheet" Target="/xl/worksheets/sheet10.xml" Id="Rf835f71725ac42d9" /><Relationship Type="http://schemas.openxmlformats.org/officeDocument/2006/relationships/worksheet" Target="/xl/worksheets/sheet11.xml" Id="Re082249dd6b74a7b" /><Relationship Type="http://schemas.openxmlformats.org/officeDocument/2006/relationships/worksheet" Target="/xl/worksheets/sheet12.xml" Id="R8953b915086d4f2d" /><Relationship Type="http://schemas.openxmlformats.org/officeDocument/2006/relationships/worksheet" Target="/xl/worksheets/sheet13.xml" Id="R34b36b504ad947f5" /><Relationship Type="http://schemas.openxmlformats.org/officeDocument/2006/relationships/worksheet" Target="/xl/worksheets/sheet14.xml" Id="R6dbc76a480e14539" /></Relationships>
</file>

<file path=xl/tables/table1.xml><?xml version="1.0" encoding="utf-8"?>
<x:table xmlns:x="http://schemas.openxmlformats.org/spreadsheetml/2006/main" id="1" name="CYB_Estatuto" displayName="CYB_Estatuto" ref="A4:B30" headerRowCount="1" totalsRowCount="0" totalsRowShown="0">
  <x:autoFilter ref="A4:B30"/>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Rector" displayName="CYB_Rector"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22" headerRowCount="1" totalsRowCount="0" totalsRowShown="0">
  <x:autoFilter ref="A4:B22"/>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94a274a999409a" /></Relationships>
</file>

<file path=xl/worksheets/_rels/sheet2.xml.rels>&#65279;<?xml version="1.0" encoding="utf-8"?><Relationships xmlns="http://schemas.openxmlformats.org/package/2006/relationships"><Relationship Type="http://schemas.openxmlformats.org/officeDocument/2006/relationships/table" Target="/xl/tables/table2.xml" Id="Rcaada477af5d4686" /></Relationships>
</file>

<file path=xl/worksheets/_rels/sheet3.xml.rels>&#65279;<?xml version="1.0" encoding="utf-8"?><Relationships xmlns="http://schemas.openxmlformats.org/package/2006/relationships"><Relationship Type="http://schemas.openxmlformats.org/officeDocument/2006/relationships/table" Target="/xl/tables/table3.xml" Id="R7ae6df46273a449d" /></Relationships>
</file>

<file path=xl/worksheets/_rels/sheet4.xml.rels>&#65279;<?xml version="1.0" encoding="utf-8"?><Relationships xmlns="http://schemas.openxmlformats.org/package/2006/relationships"><Relationship Type="http://schemas.openxmlformats.org/officeDocument/2006/relationships/table" Target="/xl/tables/table4.xml" Id="Rfad39424771b4a87" /></Relationships>
</file>

<file path=xl/worksheets/_rels/sheet5.xml.rels>&#65279;<?xml version="1.0" encoding="utf-8"?><Relationships xmlns="http://schemas.openxmlformats.org/package/2006/relationships"><Relationship Type="http://schemas.openxmlformats.org/officeDocument/2006/relationships/table" Target="/xl/tables/table5.xml" Id="R171b400eeb904d9c" /></Relationships>
</file>

<file path=xl/worksheets/_rels/sheet6.xml.rels>&#65279;<?xml version="1.0" encoding="utf-8"?><Relationships xmlns="http://schemas.openxmlformats.org/package/2006/relationships"><Relationship Type="http://schemas.openxmlformats.org/officeDocument/2006/relationships/table" Target="/xl/tables/table6.xml" Id="R570ab8cbf5124802" /></Relationships>
</file>

<file path=xl/worksheets/_rels/sheet7.xml.rels>&#65279;<?xml version="1.0" encoding="utf-8"?><Relationships xmlns="http://schemas.openxmlformats.org/package/2006/relationships"><Relationship Type="http://schemas.openxmlformats.org/officeDocument/2006/relationships/table" Target="/xl/tables/table7.xml" Id="R6d5e48a1744541fa" /></Relationships>
</file>

<file path=xl/worksheets/_rels/sheet8.xml.rels>&#65279;<?xml version="1.0" encoding="utf-8"?><Relationships xmlns="http://schemas.openxmlformats.org/package/2006/relationships"><Relationship Type="http://schemas.openxmlformats.org/officeDocument/2006/relationships/table" Target="/xl/tables/table8.xml" Id="R0147efd2deec46c0" /></Relationships>
</file>

<file path=xl/worksheets/_rels/sheet9.xml.rels>&#65279;<?xml version="1.0" encoding="utf-8"?><Relationships xmlns="http://schemas.openxmlformats.org/package/2006/relationships"><Relationship Type="http://schemas.openxmlformats.org/officeDocument/2006/relationships/table" Target="/xl/tables/table9.xml" Id="R0e85182be1184bbd" /></Relationships>
</file>

<file path=xl/worksheets/_rels/sheet10.xml.rels>&#65279;<?xml version="1.0" encoding="utf-8"?><Relationships xmlns="http://schemas.openxmlformats.org/package/2006/relationships"><Relationship Type="http://schemas.openxmlformats.org/officeDocument/2006/relationships/table" Target="/xl/tables/table10.xml" Id="Rf5b3ad19b4264219" /></Relationships>
</file>

<file path=xl/worksheets/_rels/sheet11.xml.rels>&#65279;<?xml version="1.0" encoding="utf-8"?><Relationships xmlns="http://schemas.openxmlformats.org/package/2006/relationships"><Relationship Type="http://schemas.openxmlformats.org/officeDocument/2006/relationships/table" Target="/xl/tables/table11.xml" Id="R759adedd133f4581" /></Relationships>
</file>

<file path=xl/worksheets/_rels/sheet12.xml.rels>&#65279;<?xml version="1.0" encoding="utf-8"?><Relationships xmlns="http://schemas.openxmlformats.org/package/2006/relationships"><Relationship Type="http://schemas.openxmlformats.org/officeDocument/2006/relationships/table" Target="/xl/tables/table12.xml" Id="Ra3a8b730837441c3" /></Relationships>
</file>

<file path=xl/worksheets/_rels/sheet13.xml.rels>&#65279;<?xml version="1.0" encoding="utf-8"?><Relationships xmlns="http://schemas.openxmlformats.org/package/2006/relationships"><Relationship Type="http://schemas.openxmlformats.org/officeDocument/2006/relationships/table" Target="/xl/tables/table13.xml" Id="R4fc3e31db3914396" /></Relationships>
</file>

<file path=xl/worksheets/_rels/sheet14.xml.rels>&#65279;<?xml version="1.0" encoding="utf-8"?><Relationships xmlns="http://schemas.openxmlformats.org/package/2006/relationships"><Relationship Type="http://schemas.openxmlformats.org/officeDocument/2006/relationships/table" Target="/xl/tables/table14.xml" Id="Rd0f1878f7cac4967"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19" hidden="0" customWidth="1"/>
  </x:cols>
  <x:sheetData>
    <x:row r="1" ht="32" customHeight="1">
      <x:c r="A1" s="6" t="str">
        <x:v>CATÁLOGO PROFESIONAL · CIBERSEGURIDAD INTELIGENTE</x:v>
      </x:c>
      <x:c r="B1" s="6"/>
    </x:row>
    <x:row r="2" ht="44" customHeight="1">
      <x:c r="A2" s="8" t="str">
        <x:v>Primer resultado documental · Excel principal · 08 de septiembre de 2026</x:v>
      </x:c>
      <x:c r="B2" s="8"/>
    </x:row>
    <x:row r="3">
      <x:c r="A3" s="4"/>
      <x:c r="B3" s="4"/>
    </x:row>
    <x:row r="4" ht="38" customHeight="1">
      <x:c r="A4" s="10" t="str">
        <x:v>Campo</x:v>
      </x:c>
      <x:c r="B4" s="10" t="str">
        <x:v>Contenido</x:v>
      </x:c>
    </x:row>
    <x:row r="5" ht="44" customHeight="1">
      <x:c r="A5" s="4" t="str">
        <x:v>Versión y fecha</x:v>
      </x:c>
      <x:c r="B5" s="4" t="str">
        <x:v>0.1 · corte documental 08-09-2026</x:v>
      </x:c>
    </x:row>
    <x:row r="6" ht="44" customHeight="1">
      <x:c r="A6" s="4" t="str">
        <x:v>Estado</x:v>
      </x:c>
      <x:c r="B6" s="4" t="str">
        <x:v>CATÁLOGO PREPARADO PARA REVISIÓN DE PERÍMETRO Y DECISIÓN DE OPERACIÓN</x:v>
      </x:c>
    </x:row>
    <x:row r="7" ht="44" customHeight="1">
      <x:c r="A7" s="4" t="str">
        <x:v>Autoría del trabajo</x:v>
      </x:c>
      <x:c r="B7" s="4" t="str">
        <x:v>Watson · síntesis y relaciones locales en español; no traducciones oficiales.</x:v>
      </x:c>
    </x:row>
    <x:row r="8" ht="44" customHeight="1">
      <x:c r="A8" s="4" t="str">
        <x:v>Mandato</x:v>
      </x:c>
      <x:c r="B8" s="4" t="str">
        <x:v>Instrucción aprobada v1.2, commit 47dc27aec9e7b517c27cfcf39b7ad1b186d36a4c; luz verde humana para trabajar.</x:v>
      </x:c>
    </x:row>
    <x:row r="9" ht="44" customHeight="1">
      <x:c r="A9" s="4" t="str">
        <x:v>Rector propuesto</x:v>
      </x:c>
      <x:c r="B9" s="4" t="str">
        <x:v>NICE Framework Components 2.2.0; SP 800-181 Rev. 1 como contrato estructural.</x:v>
      </x:c>
    </x:row>
    <x:row r="10" ht="44" customHeight="1">
      <x:c r="A10" s="4" t="str">
        <x:v>Razón de elección</x:v>
      </x:c>
      <x:c r="B10" s="4" t="str">
        <x:v>Referencia profesional orientada al trabajo, con identificadores y relaciones versionadas; uso internacional documentado, sin obligatoriedad mundial.</x:v>
      </x:c>
    </x:row>
    <x:row r="11" ht="44" customHeight="1">
      <x:c r="A11" s="4" t="str">
        <x:v>Complementos</x:v>
      </x:c>
      <x:c r="B11" s="4" t="str">
        <x:v>Formación, perfiles, conocimientos, métodos, disposiciones y cuatro dimensiones de IA conservan naturaleza y autoridad distintas.</x:v>
      </x:c>
    </x:row>
    <x:row r="12" ht="44" customHeight="1">
      <x:c r="A12" s="4" t="str">
        <x:v>Fuentes principales</x:v>
      </x:c>
      <x:c r="B12" s="12" t="n">
        <x:f>COUNTA('01_Fuentes'!$A$5:$A$40)</x:f>
        <x:v>36</x:v>
      </x:c>
    </x:row>
    <x:row r="13" ht="44" customHeight="1">
      <x:c r="A13" s="4" t="str">
        <x:v>Roles NICE</x:v>
      </x:c>
      <x:c r="B13" s="12" t="n">
        <x:f>COUNTIF('03_Rector'!$B$5:$B$57,"work_role")</x:f>
        <x:v>42</x:v>
      </x:c>
    </x:row>
    <x:row r="14" ht="44" customHeight="1">
      <x:c r="A14" s="4" t="str">
        <x:v>Áreas de competencia NICE</x:v>
      </x:c>
      <x:c r="B14" s="12" t="n">
        <x:f>COUNTIF('03_Rector'!$B$5:$B$57,"competency_area")</x:f>
        <x:v>11</x:v>
      </x:c>
    </x:row>
    <x:row r="15" ht="44" customHeight="1">
      <x:c r="A15" s="4" t="str">
        <x:v>TKS seleccionados</x:v>
      </x:c>
      <x:c r="B15" s="12" t="n">
        <x:f>COUNTA('04_TKS'!$A$5:$A$72)</x:f>
        <x:v>68</x:v>
      </x:c>
    </x:row>
    <x:row r="16" ht="44" customHeight="1">
      <x:c r="A16" s="4" t="str">
        <x:v>Aportaciones complementarias</x:v>
      </x:c>
      <x:c r="B16" s="12" t="n">
        <x:f>COUNTA('05_Complementos'!$A$5:$A$127)</x:f>
        <x:v>123</x:v>
      </x:c>
    </x:row>
    <x:row r="17" ht="44" customHeight="1">
      <x:c r="A17" s="4" t="str">
        <x:v>Operaciones candidatas</x:v>
      </x:c>
      <x:c r="B17" s="12" t="n">
        <x:f>COUNTA('07_Operaciones'!$A$5:$A$26)</x:f>
        <x:v>22</x:v>
      </x:c>
    </x:row>
    <x:row r="18" ht="44" customHeight="1">
      <x:c r="A18" s="4" t="str">
        <x:v>Incidencias estructurales</x:v>
      </x:c>
      <x:c r="B18" s="12" t="n">
        <x:f>'11_Controles'!C14</x:f>
        <x:v>0</x:v>
      </x:c>
    </x:row>
    <x:row r="19" ht="44" customHeight="1">
      <x:c r="A19" s="4" t="str">
        <x:v>Admisión y adopción</x:v>
      </x:c>
      <x:c r="B19" s="4" t="str">
        <x:v>Una fuente admitida documentalmente no adopta cada afirmación. Fechas de adopción humana no registradas; responsable de propuestas: Watson.</x:v>
      </x:c>
    </x:row>
    <x:row r="20" ht="44" customHeight="1">
      <x:c r="A20" s="4" t="str">
        <x:v>Primer universo</x:v>
      </x:c>
      <x:c r="B20" s="4" t="str">
        <x:v>Propuesta motivada OPC-07, informe de triaje de alerta con apoyo de IA. Cero universos constituidos en este corte.</x:v>
      </x:c>
    </x:row>
    <x:row r="21" ht="44" customHeight="1">
      <x:c r="A21" s="4" t="str">
        <x:v>Cobertura</x:v>
      </x:c>
      <x:c r="B21" s="4" t="str">
        <x:v>21 ejes revisados; los recuentos no demuestran exhaustividad ni suficiencia. Véase 06_Cobertura.</x:v>
      </x:c>
    </x:row>
    <x:row r="22" ht="44" customHeight="1">
      <x:c r="A22" s="4" t="str">
        <x:v>Jurisdicción</x:v>
      </x:c>
      <x:c r="B22" s="4" t="str">
        <x:v>España/UE como vector inicial propuesto; aplicabilidad por entidad, actividad, rol y tiempo. Base profesional internacional.</x:v>
      </x:c>
    </x:row>
    <x:row r="23" ht="44" customHeight="1">
      <x:c r="A23" s="4" t="str">
        <x:v>Fórmulas</x:v>
      </x:c>
      <x:c r="B23" s="4" t="str">
        <x:v>Controles de integridad y recuentos. Celdas calculadas en verde. No adjudican autoridad, equivalencia ni admisión semántica.</x:v>
      </x:c>
    </x:row>
    <x:row r="24" ht="44" customHeight="1">
      <x:c r="A24" s="4" t="str">
        <x:v>Trazabilidad</x:v>
      </x:c>
      <x:c r="B24" s="4" t="str">
        <x:v>03/04/05 contienen originales y síntesis; 08 fija bytes/fragmentos; 02 conserva capturas; 13 sólo relaciones oficiales NICE.</x:v>
      </x:c>
    </x:row>
    <x:row r="25" ht="44" customHeight="1">
      <x:c r="A25" s="4" t="str">
        <x:v>Relaciones locales</x:v>
      </x:c>
      <x:c r="B25" s="4" t="str">
        <x:v>Ancla y operación primaria indican pertinencia; no equivalencia publicada ni cobertura de todo el rol.</x:v>
      </x:c>
    </x:row>
    <x:row r="26" ht="44" customHeight="1">
      <x:c r="A26" s="4" t="str">
        <x:v>Números exactos</x:v>
      </x:c>
      <x:c r="B26" s="4" t="str">
        <x:v>Identificadores, versiones, huellas, offsets y longitudes son texto. Los recuentos son números.</x:v>
      </x:c>
    </x:row>
    <x:row r="27" ht="44" customHeight="1">
      <x:c r="A27" s="4" t="str">
        <x:v>Proyección posterior</x:v>
      </x:c>
      <x:c r="B27" s="4" t="str">
        <x:v>No generada. Tras cierre efectivo: Excel congelado y sellado; anexo determinista leído sin resalvar, verificado contra ese Excel.</x:v>
      </x:c>
    </x:row>
    <x:row r="28" ht="44" customHeight="1">
      <x:c r="A28" s="4" t="str">
        <x:v>Identidad y firma</x:v>
      </x:c>
      <x:c r="B28" s="4" t="str">
        <x:v>SHA-256 identifica bytes; no es firma digital, verdad ni aprobación soberana. El anexo será complementario.</x:v>
      </x:c>
    </x:row>
    <x:row r="29" ht="44" customHeight="1">
      <x:c r="A29" s="4" t="str">
        <x:v>Lectura sugerida</x:v>
      </x:c>
      <x:c r="B29" s="4" t="str">
        <x:v>Estatuto → Fuentes → Cobertura → Operaciones → Decisiones → Adversarial → Controles. Filtre las tablas por eje, fuente o estado.</x:v>
      </x:c>
    </x:row>
    <x:row r="30" ht="44" customHeight="1">
      <x:c r="A30" s="4" t="str">
        <x:v>Límite del corte</x:v>
      </x:c>
      <x:c r="B30" s="4" t="str">
        <x:v>Sin parámetros, datos de operación, ejecución productiva, agente ni cierre de fila 8. El método de Inmunología se conserva sin importar su contenido clínico.</x:v>
      </x:c>
    </x:row>
  </x:sheetData>
  <x:mergeCells>
    <x:mergeCell ref="A1:B1"/>
    <x:mergeCell ref="A2:B2"/>
  </x:mergeCells>
  <x:pageMargins left="0.7" right="0.7" top="0.75" bottom="0.75" header="0.3" footer="0.3"/>
  <x:tableParts count="1">
    <x:tablePart xmlns:r="http://schemas.openxmlformats.org/officeDocument/2006/relationships" r:id="Rc194a274a99940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2" customHeight="1">
      <x:c r="A1" s="6" t="str">
        <x:v>FUENTES · autoridad y admisión</x:v>
      </x:c>
      <x:c r="B1" s="6"/>
      <x:c r="C1" s="6"/>
      <x:c r="D1" s="6"/>
      <x:c r="E1" s="6"/>
      <x:c r="F1" s="6"/>
      <x:c r="G1" s="6"/>
      <x:c r="H1" s="6"/>
      <x:c r="I1" s="6"/>
      <x:c r="J1" s="6"/>
      <x:c r="K1" s="6"/>
      <x:c r="L1" s="6"/>
      <x:c r="M1" s="6"/>
      <x:c r="N1" s="6"/>
      <x:c r="O1" s="6"/>
      <x:c r="P1" s="6"/>
      <x:c r="Q1" s="6"/>
    </x:row>
    <x:row r="2" ht="44" customHeight="1">
      <x:c r="A2" s="8" t="str">
        <x:v>36 fuentes principales; procedencias diferenciadas. Las fichas de metadatos no respaldan cláusulas ni requisitos individuales.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38"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55"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RECTOR_PROPUESTO</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4"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CONTRATO_DEL_RECTOR</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4"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44"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55"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55"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55"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55"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4"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44"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44"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55"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4"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4"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4"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4"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55"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4"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55"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4"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4"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4"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4"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44"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55"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55"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55"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44"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55"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55"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44"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55"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55"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44"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55"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55"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conditionalFormatting sqref="O5:O40">
    <x:cfRule type="expression" dxfId="0" priority="1">
      <x:formula>O5&gt;0</x:formula>
    </x:cfRule>
  </x:conditionalFormatting>
  <x:conditionalFormatting sqref="P5:P40">
    <x:cfRule type="expression" dxfId="1" priority="2">
      <x:formula>P5&gt;0</x:formula>
    </x:cfRule>
  </x:conditionalFormatting>
  <x:conditionalFormatting sqref="Q5:Q40">
    <x:cfRule type="expression" dxfId="2" priority="3">
      <x:formula>Q5&gt;0</x:formula>
    </x:cfRule>
  </x:conditionalFormatting>
  <x:conditionalFormatting sqref="H5:H40">
    <x:cfRule type="expression" dxfId="24" priority="4">
      <x:formula>OR(ISNUMBER(SEARCH("PENDIENTE",H5)),ISNUMBER(SEARCH("NO_ADOPTABLE",H5)),ISNUMBER(SEARCH("METADATOS",H5)),ISNUMBER(SEARCH("BORRADOR",H5)))</x:formula>
    </x:cfRule>
  </x:conditionalFormatting>
  <x:pageMargins left="0.7" right="0.7" top="0.75" bottom="0.75" header="0.3" footer="0.3"/>
  <x:tableParts count="1">
    <x:tablePart xmlns:r="http://schemas.openxmlformats.org/officeDocument/2006/relationships" r:id="Rcaada477af5d468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2" customHeight="1">
      <x:c r="A1" s="6" t="str">
        <x:v>CUSTODIA · adquisiciones y acceso</x:v>
      </x:c>
      <x:c r="B1" s="6"/>
      <x:c r="C1" s="6"/>
      <x:c r="D1" s="6"/>
      <x:c r="E1" s="6"/>
      <x:c r="F1" s="6"/>
      <x:c r="G1" s="6"/>
      <x:c r="H1" s="6"/>
      <x:c r="I1" s="6"/>
      <x:c r="J1" s="6"/>
      <x:c r="K1" s="6"/>
      <x:c r="L1" s="6"/>
    </x:row>
    <x:row r="2" ht="44"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38"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4"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4"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4"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4"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4"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4"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4"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4"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4"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4"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4"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4"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4"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4"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4"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4"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4"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4"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4"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4"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4"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4"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4"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4"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4"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4"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4"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4"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4"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4"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4"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4"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4"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4"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44"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4"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4"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4"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4"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4"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4"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4"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55"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4"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4"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4"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44"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4"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4"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conditionalFormatting sqref="K5:K53">
    <x:cfRule type="expression" dxfId="3" priority="1">
      <x:formula>K5&gt;0</x:formula>
    </x:cfRule>
  </x:conditionalFormatting>
  <x:conditionalFormatting sqref="L5:L53">
    <x:cfRule type="expression" dxfId="4" priority="2">
      <x:formula>L5&gt;0</x:formula>
    </x:cfRule>
  </x:conditionalFormatting>
  <x:pageMargins left="0.7" right="0.7" top="0.75" bottom="0.75" header="0.3" footer="0.3"/>
  <x:tableParts count="1">
    <x:tablePart xmlns:r="http://schemas.openxmlformats.org/officeDocument/2006/relationships" r:id="R7ae6df46273a44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2" customHeight="1">
      <x:c r="A1" s="6" t="str">
        <x:v>NICE · roles y áreas de competencia</x:v>
      </x:c>
      <x:c r="B1" s="6"/>
      <x:c r="C1" s="6"/>
      <x:c r="D1" s="6"/>
      <x:c r="E1" s="6"/>
      <x:c r="F1" s="6"/>
      <x:c r="G1" s="6"/>
      <x:c r="H1" s="6"/>
      <x:c r="I1" s="6"/>
      <x:c r="J1" s="6"/>
      <x:c r="K1" s="6"/>
      <x:c r="L1" s="6"/>
      <x:c r="M1" s="6"/>
      <x:c r="N1" s="6"/>
      <x:c r="O1" s="6"/>
    </x:row>
    <x:row r="2" ht="44" customHeight="1">
      <x:c r="A2" s="8" t="str">
        <x:v>Todos los 42 roles y 11 áreas del corte 2.2.0. Original conservado; formulaciones españolas y operaciones primarias son propuestas locales.</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38"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85"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COUNTIF('03_Rector'!$A$5:$A$57,A5)+COUNTIF('04_TKS'!$A$5:$A$72,A5)-1</x:f>
        <x:v>0</x:v>
      </x:c>
      <x:c r="N5" s="12" t="n">
        <x:f>IF(AND(COUNTIF('01_Fuentes'!$A$5:$A$40,I5)=1,COUNTIF('07_Operaciones'!$A$5:$A$26,H5)=1,COUNTIF('06_Cobertura'!$A$5:$A$25,G5)=1),0,1)</x:f>
        <x:v>0</x:v>
      </x:c>
      <x:c r="O5" s="12" t="n">
        <x:f>IF(OR(A5="",D5="",F5=""),1,0)</x:f>
        <x:v>0</x:v>
      </x:c>
    </x:row>
    <x:row r="6" ht="70"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COUNTIF('03_Rector'!$A$5:$A$57,A6)+COUNTIF('04_TKS'!$A$5:$A$72,A6)-1</x:f>
        <x:v>0</x:v>
      </x:c>
      <x:c r="N6" s="12" t="n">
        <x:f>IF(AND(COUNTIF('01_Fuentes'!$A$5:$A$40,I6)=1,COUNTIF('07_Operaciones'!$A$5:$A$26,H6)=1,COUNTIF('06_Cobertura'!$A$5:$A$25,G6)=1),0,1)</x:f>
        <x:v>0</x:v>
      </x:c>
      <x:c r="O6" s="12" t="n">
        <x:f>IF(OR(A6="",D6="",F6=""),1,0)</x:f>
        <x:v>0</x:v>
      </x:c>
    </x:row>
    <x:row r="7" ht="55"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COUNTIF('03_Rector'!$A$5:$A$57,A7)+COUNTIF('04_TKS'!$A$5:$A$72,A7)-1</x:f>
        <x:v>0</x:v>
      </x:c>
      <x:c r="N7" s="12" t="n">
        <x:f>IF(AND(COUNTIF('01_Fuentes'!$A$5:$A$40,I7)=1,COUNTIF('07_Operaciones'!$A$5:$A$26,H7)=1,COUNTIF('06_Cobertura'!$A$5:$A$25,G7)=1),0,1)</x:f>
        <x:v>0</x:v>
      </x:c>
      <x:c r="O7" s="12" t="n">
        <x:f>IF(OR(A7="",D7="",F7=""),1,0)</x:f>
        <x:v>0</x:v>
      </x:c>
    </x:row>
    <x:row r="8" ht="55"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COUNTIF('03_Rector'!$A$5:$A$57,A8)+COUNTIF('04_TKS'!$A$5:$A$72,A8)-1</x:f>
        <x:v>0</x:v>
      </x:c>
      <x:c r="N8" s="12" t="n">
        <x:f>IF(AND(COUNTIF('01_Fuentes'!$A$5:$A$40,I8)=1,COUNTIF('07_Operaciones'!$A$5:$A$26,H8)=1,COUNTIF('06_Cobertura'!$A$5:$A$25,G8)=1),0,1)</x:f>
        <x:v>0</x:v>
      </x:c>
      <x:c r="O8" s="12" t="n">
        <x:f>IF(OR(A8="",D8="",F8=""),1,0)</x:f>
        <x:v>0</x:v>
      </x:c>
    </x:row>
    <x:row r="9" ht="55"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COUNTIF('03_Rector'!$A$5:$A$57,A9)+COUNTIF('04_TKS'!$A$5:$A$72,A9)-1</x:f>
        <x:v>0</x:v>
      </x:c>
      <x:c r="N9" s="12" t="n">
        <x:f>IF(AND(COUNTIF('01_Fuentes'!$A$5:$A$40,I9)=1,COUNTIF('07_Operaciones'!$A$5:$A$26,H9)=1,COUNTIF('06_Cobertura'!$A$5:$A$25,G9)=1),0,1)</x:f>
        <x:v>0</x:v>
      </x:c>
      <x:c r="O9" s="12" t="n">
        <x:f>IF(OR(A9="",D9="",F9=""),1,0)</x:f>
        <x:v>0</x:v>
      </x:c>
    </x:row>
    <x:row r="10" ht="55"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COUNTIF('03_Rector'!$A$5:$A$57,A10)+COUNTIF('04_TKS'!$A$5:$A$72,A10)-1</x:f>
        <x:v>0</x:v>
      </x:c>
      <x:c r="N10" s="12" t="n">
        <x:f>IF(AND(COUNTIF('01_Fuentes'!$A$5:$A$40,I10)=1,COUNTIF('07_Operaciones'!$A$5:$A$26,H10)=1,COUNTIF('06_Cobertura'!$A$5:$A$25,G10)=1),0,1)</x:f>
        <x:v>0</x:v>
      </x:c>
      <x:c r="O10" s="12" t="n">
        <x:f>IF(OR(A10="",D10="",F10=""),1,0)</x:f>
        <x:v>0</x:v>
      </x:c>
    </x:row>
    <x:row r="11" ht="55"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COUNTIF('03_Rector'!$A$5:$A$57,A11)+COUNTIF('04_TKS'!$A$5:$A$72,A11)-1</x:f>
        <x:v>0</x:v>
      </x:c>
      <x:c r="N11" s="12" t="n">
        <x:f>IF(AND(COUNTIF('01_Fuentes'!$A$5:$A$40,I11)=1,COUNTIF('07_Operaciones'!$A$5:$A$26,H11)=1,COUNTIF('06_Cobertura'!$A$5:$A$25,G11)=1),0,1)</x:f>
        <x:v>0</x:v>
      </x:c>
      <x:c r="O11" s="12" t="n">
        <x:f>IF(OR(A11="",D11="",F11=""),1,0)</x:f>
        <x:v>0</x:v>
      </x:c>
    </x:row>
    <x:row r="12" ht="85"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COUNTIF('03_Rector'!$A$5:$A$57,A12)+COUNTIF('04_TKS'!$A$5:$A$72,A12)-1</x:f>
        <x:v>0</x:v>
      </x:c>
      <x:c r="N12" s="12" t="n">
        <x:f>IF(AND(COUNTIF('01_Fuentes'!$A$5:$A$40,I12)=1,COUNTIF('07_Operaciones'!$A$5:$A$26,H12)=1,COUNTIF('06_Cobertura'!$A$5:$A$25,G12)=1),0,1)</x:f>
        <x:v>0</x:v>
      </x:c>
      <x:c r="O12" s="12" t="n">
        <x:f>IF(OR(A12="",D12="",F12=""),1,0)</x:f>
        <x:v>0</x:v>
      </x:c>
    </x:row>
    <x:row r="13" ht="100"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COUNTIF('03_Rector'!$A$5:$A$57,A13)+COUNTIF('04_TKS'!$A$5:$A$72,A13)-1</x:f>
        <x:v>0</x:v>
      </x:c>
      <x:c r="N13" s="12" t="n">
        <x:f>IF(AND(COUNTIF('01_Fuentes'!$A$5:$A$40,I13)=1,COUNTIF('07_Operaciones'!$A$5:$A$26,H13)=1,COUNTIF('06_Cobertura'!$A$5:$A$25,G13)=1),0,1)</x:f>
        <x:v>0</x:v>
      </x:c>
      <x:c r="O13" s="12" t="n">
        <x:f>IF(OR(A13="",D13="",F13=""),1,0)</x:f>
        <x:v>0</x:v>
      </x:c>
    </x:row>
    <x:row r="14" ht="85"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COUNTIF('03_Rector'!$A$5:$A$57,A14)+COUNTIF('04_TKS'!$A$5:$A$72,A14)-1</x:f>
        <x:v>0</x:v>
      </x:c>
      <x:c r="N14" s="12" t="n">
        <x:f>IF(AND(COUNTIF('01_Fuentes'!$A$5:$A$40,I14)=1,COUNTIF('07_Operaciones'!$A$5:$A$26,H14)=1,COUNTIF('06_Cobertura'!$A$5:$A$25,G14)=1),0,1)</x:f>
        <x:v>0</x:v>
      </x:c>
      <x:c r="O14" s="12" t="n">
        <x:f>IF(OR(A14="",D14="",F14=""),1,0)</x:f>
        <x:v>0</x:v>
      </x:c>
    </x:row>
    <x:row r="15" ht="55"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COUNTIF('03_Rector'!$A$5:$A$57,A15)+COUNTIF('04_TKS'!$A$5:$A$72,A15)-1</x:f>
        <x:v>0</x:v>
      </x:c>
      <x:c r="N15" s="12" t="n">
        <x:f>IF(AND(COUNTIF('01_Fuentes'!$A$5:$A$40,I15)=1,COUNTIF('07_Operaciones'!$A$5:$A$26,H15)=1,COUNTIF('06_Cobertura'!$A$5:$A$25,G15)=1),0,1)</x:f>
        <x:v>0</x:v>
      </x:c>
      <x:c r="O15" s="12" t="n">
        <x:f>IF(OR(A15="",D15="",F15=""),1,0)</x:f>
        <x:v>0</x:v>
      </x:c>
    </x:row>
    <x:row r="16" ht="85"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COUNTIF('03_Rector'!$A$5:$A$57,A16)+COUNTIF('04_TKS'!$A$5:$A$72,A16)-1</x:f>
        <x:v>0</x:v>
      </x:c>
      <x:c r="N16" s="12" t="n">
        <x:f>IF(AND(COUNTIF('01_Fuentes'!$A$5:$A$40,I16)=1,COUNTIF('07_Operaciones'!$A$5:$A$26,H16)=1,COUNTIF('06_Cobertura'!$A$5:$A$25,G16)=1),0,1)</x:f>
        <x:v>0</x:v>
      </x:c>
      <x:c r="O16" s="12" t="n">
        <x:f>IF(OR(A16="",D16="",F16=""),1,0)</x:f>
        <x:v>0</x:v>
      </x:c>
    </x:row>
    <x:row r="17" ht="55"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COUNTIF('03_Rector'!$A$5:$A$57,A17)+COUNTIF('04_TKS'!$A$5:$A$72,A17)-1</x:f>
        <x:v>0</x:v>
      </x:c>
      <x:c r="N17" s="12" t="n">
        <x:f>IF(AND(COUNTIF('01_Fuentes'!$A$5:$A$40,I17)=1,COUNTIF('07_Operaciones'!$A$5:$A$26,H17)=1,COUNTIF('06_Cobertura'!$A$5:$A$25,G17)=1),0,1)</x:f>
        <x:v>0</x:v>
      </x:c>
      <x:c r="O17" s="12" t="n">
        <x:f>IF(OR(A17="",D17="",F17=""),1,0)</x:f>
        <x:v>0</x:v>
      </x:c>
    </x:row>
    <x:row r="18" ht="55"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COUNTIF('03_Rector'!$A$5:$A$57,A18)+COUNTIF('04_TKS'!$A$5:$A$72,A18)-1</x:f>
        <x:v>0</x:v>
      </x:c>
      <x:c r="N18" s="12" t="n">
        <x:f>IF(AND(COUNTIF('01_Fuentes'!$A$5:$A$40,I18)=1,COUNTIF('07_Operaciones'!$A$5:$A$26,H18)=1,COUNTIF('06_Cobertura'!$A$5:$A$25,G18)=1),0,1)</x:f>
        <x:v>0</x:v>
      </x:c>
      <x:c r="O18" s="12" t="n">
        <x:f>IF(OR(A18="",D18="",F18=""),1,0)</x:f>
        <x:v>0</x:v>
      </x:c>
    </x:row>
    <x:row r="19" ht="55"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COUNTIF('03_Rector'!$A$5:$A$57,A19)+COUNTIF('04_TKS'!$A$5:$A$72,A19)-1</x:f>
        <x:v>0</x:v>
      </x:c>
      <x:c r="N19" s="12" t="n">
        <x:f>IF(AND(COUNTIF('01_Fuentes'!$A$5:$A$40,I19)=1,COUNTIF('07_Operaciones'!$A$5:$A$26,H19)=1,COUNTIF('06_Cobertura'!$A$5:$A$25,G19)=1),0,1)</x:f>
        <x:v>0</x:v>
      </x:c>
      <x:c r="O19" s="12" t="n">
        <x:f>IF(OR(A19="",D19="",F19=""),1,0)</x:f>
        <x:v>0</x:v>
      </x:c>
    </x:row>
    <x:row r="20" ht="100"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COUNTIF('03_Rector'!$A$5:$A$57,A20)+COUNTIF('04_TKS'!$A$5:$A$72,A20)-1</x:f>
        <x:v>0</x:v>
      </x:c>
      <x:c r="N20" s="12" t="n">
        <x:f>IF(AND(COUNTIF('01_Fuentes'!$A$5:$A$40,I20)=1,COUNTIF('07_Operaciones'!$A$5:$A$26,H20)=1,COUNTIF('06_Cobertura'!$A$5:$A$25,G20)=1),0,1)</x:f>
        <x:v>0</x:v>
      </x:c>
      <x:c r="O20" s="12" t="n">
        <x:f>IF(OR(A20="",D20="",F20=""),1,0)</x:f>
        <x:v>0</x:v>
      </x:c>
    </x:row>
    <x:row r="21" ht="70"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COUNTIF('03_Rector'!$A$5:$A$57,A21)+COUNTIF('04_TKS'!$A$5:$A$72,A21)-1</x:f>
        <x:v>0</x:v>
      </x:c>
      <x:c r="N21" s="12" t="n">
        <x:f>IF(AND(COUNTIF('01_Fuentes'!$A$5:$A$40,I21)=1,COUNTIF('07_Operaciones'!$A$5:$A$26,H21)=1,COUNTIF('06_Cobertura'!$A$5:$A$25,G21)=1),0,1)</x:f>
        <x:v>0</x:v>
      </x:c>
      <x:c r="O21" s="12" t="n">
        <x:f>IF(OR(A21="",D21="",F21=""),1,0)</x:f>
        <x:v>0</x:v>
      </x:c>
    </x:row>
    <x:row r="22" ht="70"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COUNTIF('03_Rector'!$A$5:$A$57,A22)+COUNTIF('04_TKS'!$A$5:$A$72,A22)-1</x:f>
        <x:v>0</x:v>
      </x:c>
      <x:c r="N22" s="12" t="n">
        <x:f>IF(AND(COUNTIF('01_Fuentes'!$A$5:$A$40,I22)=1,COUNTIF('07_Operaciones'!$A$5:$A$26,H22)=1,COUNTIF('06_Cobertura'!$A$5:$A$25,G22)=1),0,1)</x:f>
        <x:v>0</x:v>
      </x:c>
      <x:c r="O22" s="12" t="n">
        <x:f>IF(OR(A22="",D22="",F22=""),1,0)</x:f>
        <x:v>0</x:v>
      </x:c>
    </x:row>
    <x:row r="23" ht="44"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COUNTIF('03_Rector'!$A$5:$A$57,A23)+COUNTIF('04_TKS'!$A$5:$A$72,A23)-1</x:f>
        <x:v>0</x:v>
      </x:c>
      <x:c r="N23" s="12" t="n">
        <x:f>IF(AND(COUNTIF('01_Fuentes'!$A$5:$A$40,I23)=1,COUNTIF('07_Operaciones'!$A$5:$A$26,H23)=1,COUNTIF('06_Cobertura'!$A$5:$A$25,G23)=1),0,1)</x:f>
        <x:v>0</x:v>
      </x:c>
      <x:c r="O23" s="12" t="n">
        <x:f>IF(OR(A23="",D23="",F23=""),1,0)</x:f>
        <x:v>0</x:v>
      </x:c>
    </x:row>
    <x:row r="24" ht="55"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COUNTIF('03_Rector'!$A$5:$A$57,A24)+COUNTIF('04_TKS'!$A$5:$A$72,A24)-1</x:f>
        <x:v>0</x:v>
      </x:c>
      <x:c r="N24" s="12" t="n">
        <x:f>IF(AND(COUNTIF('01_Fuentes'!$A$5:$A$40,I24)=1,COUNTIF('07_Operaciones'!$A$5:$A$26,H24)=1,COUNTIF('06_Cobertura'!$A$5:$A$25,G24)=1),0,1)</x:f>
        <x:v>0</x:v>
      </x:c>
      <x:c r="O24" s="12" t="n">
        <x:f>IF(OR(A24="",D24="",F24=""),1,0)</x:f>
        <x:v>0</x:v>
      </x:c>
    </x:row>
    <x:row r="25" ht="13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COUNTIF('03_Rector'!$A$5:$A$57,A25)+COUNTIF('04_TKS'!$A$5:$A$72,A25)-1</x:f>
        <x:v>0</x:v>
      </x:c>
      <x:c r="N25" s="12" t="n">
        <x:f>IF(AND(COUNTIF('01_Fuentes'!$A$5:$A$40,I25)=1,COUNTIF('07_Operaciones'!$A$5:$A$26,H25)=1,COUNTIF('06_Cobertura'!$A$5:$A$25,G25)=1),0,1)</x:f>
        <x:v>0</x:v>
      </x:c>
      <x:c r="O25" s="12" t="n">
        <x:f>IF(OR(A25="",D25="",F25=""),1,0)</x:f>
        <x:v>0</x:v>
      </x:c>
    </x:row>
    <x:row r="26" ht="70"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COUNTIF('03_Rector'!$A$5:$A$57,A26)+COUNTIF('04_TKS'!$A$5:$A$72,A26)-1</x:f>
        <x:v>0</x:v>
      </x:c>
      <x:c r="N26" s="12" t="n">
        <x:f>IF(AND(COUNTIF('01_Fuentes'!$A$5:$A$40,I26)=1,COUNTIF('07_Operaciones'!$A$5:$A$26,H26)=1,COUNTIF('06_Cobertura'!$A$5:$A$25,G26)=1),0,1)</x:f>
        <x:v>0</x:v>
      </x:c>
      <x:c r="O26" s="12" t="n">
        <x:f>IF(OR(A26="",D26="",F26=""),1,0)</x:f>
        <x:v>0</x:v>
      </x:c>
    </x:row>
    <x:row r="27" ht="44"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COUNTIF('03_Rector'!$A$5:$A$57,A27)+COUNTIF('04_TKS'!$A$5:$A$72,A27)-1</x:f>
        <x:v>0</x:v>
      </x:c>
      <x:c r="N27" s="12" t="n">
        <x:f>IF(AND(COUNTIF('01_Fuentes'!$A$5:$A$40,I27)=1,COUNTIF('07_Operaciones'!$A$5:$A$26,H27)=1,COUNTIF('06_Cobertura'!$A$5:$A$25,G27)=1),0,1)</x:f>
        <x:v>0</x:v>
      </x:c>
      <x:c r="O27" s="12" t="n">
        <x:f>IF(OR(A27="",D27="",F27=""),1,0)</x:f>
        <x:v>0</x:v>
      </x:c>
    </x:row>
    <x:row r="28" ht="55"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COUNTIF('03_Rector'!$A$5:$A$57,A28)+COUNTIF('04_TKS'!$A$5:$A$72,A28)-1</x:f>
        <x:v>0</x:v>
      </x:c>
      <x:c r="N28" s="12" t="n">
        <x:f>IF(AND(COUNTIF('01_Fuentes'!$A$5:$A$40,I28)=1,COUNTIF('07_Operaciones'!$A$5:$A$26,H28)=1,COUNTIF('06_Cobertura'!$A$5:$A$25,G28)=1),0,1)</x:f>
        <x:v>0</x:v>
      </x:c>
      <x:c r="O28" s="12" t="n">
        <x:f>IF(OR(A28="",D28="",F28=""),1,0)</x:f>
        <x:v>0</x:v>
      </x:c>
    </x:row>
    <x:row r="29" ht="85"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COUNTIF('03_Rector'!$A$5:$A$57,A29)+COUNTIF('04_TKS'!$A$5:$A$72,A29)-1</x:f>
        <x:v>0</x:v>
      </x:c>
      <x:c r="N29" s="12" t="n">
        <x:f>IF(AND(COUNTIF('01_Fuentes'!$A$5:$A$40,I29)=1,COUNTIF('07_Operaciones'!$A$5:$A$26,H29)=1,COUNTIF('06_Cobertura'!$A$5:$A$25,G29)=1),0,1)</x:f>
        <x:v>0</x:v>
      </x:c>
      <x:c r="O29" s="12" t="n">
        <x:f>IF(OR(A29="",D29="",F29=""),1,0)</x:f>
        <x:v>0</x:v>
      </x:c>
    </x:row>
    <x:row r="30" ht="70"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COUNTIF('03_Rector'!$A$5:$A$57,A30)+COUNTIF('04_TKS'!$A$5:$A$72,A30)-1</x:f>
        <x:v>0</x:v>
      </x:c>
      <x:c r="N30" s="12" t="n">
        <x:f>IF(AND(COUNTIF('01_Fuentes'!$A$5:$A$40,I30)=1,COUNTIF('07_Operaciones'!$A$5:$A$26,H30)=1,COUNTIF('06_Cobertura'!$A$5:$A$25,G30)=1),0,1)</x:f>
        <x:v>0</x:v>
      </x:c>
      <x:c r="O30" s="12" t="n">
        <x:f>IF(OR(A30="",D30="",F30=""),1,0)</x:f>
        <x:v>0</x:v>
      </x:c>
    </x:row>
    <x:row r="31" ht="70"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COUNTIF('03_Rector'!$A$5:$A$57,A31)+COUNTIF('04_TKS'!$A$5:$A$72,A31)-1</x:f>
        <x:v>0</x:v>
      </x:c>
      <x:c r="N31" s="12" t="n">
        <x:f>IF(AND(COUNTIF('01_Fuentes'!$A$5:$A$40,I31)=1,COUNTIF('07_Operaciones'!$A$5:$A$26,H31)=1,COUNTIF('06_Cobertura'!$A$5:$A$25,G31)=1),0,1)</x:f>
        <x:v>0</x:v>
      </x:c>
      <x:c r="O31" s="12" t="n">
        <x:f>IF(OR(A31="",D31="",F31=""),1,0)</x:f>
        <x:v>0</x:v>
      </x:c>
    </x:row>
    <x:row r="32" ht="70"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COUNTIF('03_Rector'!$A$5:$A$57,A32)+COUNTIF('04_TKS'!$A$5:$A$72,A32)-1</x:f>
        <x:v>0</x:v>
      </x:c>
      <x:c r="N32" s="12" t="n">
        <x:f>IF(AND(COUNTIF('01_Fuentes'!$A$5:$A$40,I32)=1,COUNTIF('07_Operaciones'!$A$5:$A$26,H32)=1,COUNTIF('06_Cobertura'!$A$5:$A$25,G32)=1),0,1)</x:f>
        <x:v>0</x:v>
      </x:c>
      <x:c r="O32" s="12" t="n">
        <x:f>IF(OR(A32="",D32="",F32=""),1,0)</x:f>
        <x:v>0</x:v>
      </x:c>
    </x:row>
    <x:row r="33" ht="100"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COUNTIF('03_Rector'!$A$5:$A$57,A33)+COUNTIF('04_TKS'!$A$5:$A$72,A33)-1</x:f>
        <x:v>0</x:v>
      </x:c>
      <x:c r="N33" s="12" t="n">
        <x:f>IF(AND(COUNTIF('01_Fuentes'!$A$5:$A$40,I33)=1,COUNTIF('07_Operaciones'!$A$5:$A$26,H33)=1,COUNTIF('06_Cobertura'!$A$5:$A$25,G33)=1),0,1)</x:f>
        <x:v>0</x:v>
      </x:c>
      <x:c r="O33" s="12" t="n">
        <x:f>IF(OR(A33="",D33="",F33=""),1,0)</x:f>
        <x:v>0</x:v>
      </x:c>
    </x:row>
    <x:row r="34" ht="70"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COUNTIF('03_Rector'!$A$5:$A$57,A34)+COUNTIF('04_TKS'!$A$5:$A$72,A34)-1</x:f>
        <x:v>0</x:v>
      </x:c>
      <x:c r="N34" s="12" t="n">
        <x:f>IF(AND(COUNTIF('01_Fuentes'!$A$5:$A$40,I34)=1,COUNTIF('07_Operaciones'!$A$5:$A$26,H34)=1,COUNTIF('06_Cobertura'!$A$5:$A$25,G34)=1),0,1)</x:f>
        <x:v>0</x:v>
      </x:c>
      <x:c r="O34" s="12" t="n">
        <x:f>IF(OR(A34="",D34="",F34=""),1,0)</x:f>
        <x:v>0</x:v>
      </x:c>
    </x:row>
    <x:row r="35" ht="55"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COUNTIF('03_Rector'!$A$5:$A$57,A35)+COUNTIF('04_TKS'!$A$5:$A$72,A35)-1</x:f>
        <x:v>0</x:v>
      </x:c>
      <x:c r="N35" s="12" t="n">
        <x:f>IF(AND(COUNTIF('01_Fuentes'!$A$5:$A$40,I35)=1,COUNTIF('07_Operaciones'!$A$5:$A$26,H35)=1,COUNTIF('06_Cobertura'!$A$5:$A$25,G35)=1),0,1)</x:f>
        <x:v>0</x:v>
      </x:c>
      <x:c r="O35" s="12" t="n">
        <x:f>IF(OR(A35="",D35="",F35=""),1,0)</x:f>
        <x:v>0</x:v>
      </x:c>
    </x:row>
    <x:row r="36" ht="44"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COUNTIF('03_Rector'!$A$5:$A$57,A36)+COUNTIF('04_TKS'!$A$5:$A$72,A36)-1</x:f>
        <x:v>0</x:v>
      </x:c>
      <x:c r="N36" s="12" t="n">
        <x:f>IF(AND(COUNTIF('01_Fuentes'!$A$5:$A$40,I36)=1,COUNTIF('07_Operaciones'!$A$5:$A$26,H36)=1,COUNTIF('06_Cobertura'!$A$5:$A$25,G36)=1),0,1)</x:f>
        <x:v>0</x:v>
      </x:c>
      <x:c r="O36" s="12" t="n">
        <x:f>IF(OR(A36="",D36="",F36=""),1,0)</x:f>
        <x:v>0</x:v>
      </x:c>
    </x:row>
    <x:row r="37" ht="55"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COUNTIF('03_Rector'!$A$5:$A$57,A37)+COUNTIF('04_TKS'!$A$5:$A$72,A37)-1</x:f>
        <x:v>0</x:v>
      </x:c>
      <x:c r="N37" s="12" t="n">
        <x:f>IF(AND(COUNTIF('01_Fuentes'!$A$5:$A$40,I37)=1,COUNTIF('07_Operaciones'!$A$5:$A$26,H37)=1,COUNTIF('06_Cobertura'!$A$5:$A$25,G37)=1),0,1)</x:f>
        <x:v>0</x:v>
      </x:c>
      <x:c r="O37" s="12" t="n">
        <x:f>IF(OR(A37="",D37="",F37=""),1,0)</x:f>
        <x:v>0</x:v>
      </x:c>
    </x:row>
    <x:row r="38" ht="55"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COUNTIF('03_Rector'!$A$5:$A$57,A38)+COUNTIF('04_TKS'!$A$5:$A$72,A38)-1</x:f>
        <x:v>0</x:v>
      </x:c>
      <x:c r="N38" s="12" t="n">
        <x:f>IF(AND(COUNTIF('01_Fuentes'!$A$5:$A$40,I38)=1,COUNTIF('07_Operaciones'!$A$5:$A$26,H38)=1,COUNTIF('06_Cobertura'!$A$5:$A$25,G38)=1),0,1)</x:f>
        <x:v>0</x:v>
      </x:c>
      <x:c r="O38" s="12" t="n">
        <x:f>IF(OR(A38="",D38="",F38=""),1,0)</x:f>
        <x:v>0</x:v>
      </x:c>
    </x:row>
    <x:row r="39" ht="85"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COUNTIF('03_Rector'!$A$5:$A$57,A39)+COUNTIF('04_TKS'!$A$5:$A$72,A39)-1</x:f>
        <x:v>0</x:v>
      </x:c>
      <x:c r="N39" s="12" t="n">
        <x:f>IF(AND(COUNTIF('01_Fuentes'!$A$5:$A$40,I39)=1,COUNTIF('07_Operaciones'!$A$5:$A$26,H39)=1,COUNTIF('06_Cobertura'!$A$5:$A$25,G39)=1),0,1)</x:f>
        <x:v>0</x:v>
      </x:c>
      <x:c r="O39" s="12" t="n">
        <x:f>IF(OR(A39="",D39="",F39=""),1,0)</x:f>
        <x:v>0</x:v>
      </x:c>
    </x:row>
    <x:row r="40" ht="44"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COUNTIF('03_Rector'!$A$5:$A$57,A40)+COUNTIF('04_TKS'!$A$5:$A$72,A40)-1</x:f>
        <x:v>0</x:v>
      </x:c>
      <x:c r="N40" s="12" t="n">
        <x:f>IF(AND(COUNTIF('01_Fuentes'!$A$5:$A$40,I40)=1,COUNTIF('07_Operaciones'!$A$5:$A$26,H40)=1,COUNTIF('06_Cobertura'!$A$5:$A$25,G40)=1),0,1)</x:f>
        <x:v>0</x:v>
      </x:c>
      <x:c r="O40" s="12" t="n">
        <x:f>IF(OR(A40="",D40="",F40=""),1,0)</x:f>
        <x:v>0</x:v>
      </x:c>
    </x:row>
    <x:row r="41" ht="55"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COUNTIF('03_Rector'!$A$5:$A$57,A41)+COUNTIF('04_TKS'!$A$5:$A$72,A41)-1</x:f>
        <x:v>0</x:v>
      </x:c>
      <x:c r="N41" s="12" t="n">
        <x:f>IF(AND(COUNTIF('01_Fuentes'!$A$5:$A$40,I41)=1,COUNTIF('07_Operaciones'!$A$5:$A$26,H41)=1,COUNTIF('06_Cobertura'!$A$5:$A$25,G41)=1),0,1)</x:f>
        <x:v>0</x:v>
      </x:c>
      <x:c r="O41" s="12" t="n">
        <x:f>IF(OR(A41="",D41="",F41=""),1,0)</x:f>
        <x:v>0</x:v>
      </x:c>
    </x:row>
    <x:row r="42" ht="44"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COUNTIF('03_Rector'!$A$5:$A$57,A42)+COUNTIF('04_TKS'!$A$5:$A$72,A42)-1</x:f>
        <x:v>0</x:v>
      </x:c>
      <x:c r="N42" s="12" t="n">
        <x:f>IF(AND(COUNTIF('01_Fuentes'!$A$5:$A$40,I42)=1,COUNTIF('07_Operaciones'!$A$5:$A$26,H42)=1,COUNTIF('06_Cobertura'!$A$5:$A$25,G42)=1),0,1)</x:f>
        <x:v>0</x:v>
      </x:c>
      <x:c r="O42" s="12" t="n">
        <x:f>IF(OR(A42="",D42="",F42=""),1,0)</x:f>
        <x:v>0</x:v>
      </x:c>
    </x:row>
    <x:row r="43" ht="55"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COUNTIF('03_Rector'!$A$5:$A$57,A43)+COUNTIF('04_TKS'!$A$5:$A$72,A43)-1</x:f>
        <x:v>0</x:v>
      </x:c>
      <x:c r="N43" s="12" t="n">
        <x:f>IF(AND(COUNTIF('01_Fuentes'!$A$5:$A$40,I43)=1,COUNTIF('07_Operaciones'!$A$5:$A$26,H43)=1,COUNTIF('06_Cobertura'!$A$5:$A$25,G43)=1),0,1)</x:f>
        <x:v>0</x:v>
      </x:c>
      <x:c r="O43" s="12" t="n">
        <x:f>IF(OR(A43="",D43="",F43=""),1,0)</x:f>
        <x:v>0</x:v>
      </x:c>
    </x:row>
    <x:row r="44" ht="70"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COUNTIF('03_Rector'!$A$5:$A$57,A44)+COUNTIF('04_TKS'!$A$5:$A$72,A44)-1</x:f>
        <x:v>0</x:v>
      </x:c>
      <x:c r="N44" s="12" t="n">
        <x:f>IF(AND(COUNTIF('01_Fuentes'!$A$5:$A$40,I44)=1,COUNTIF('07_Operaciones'!$A$5:$A$26,H44)=1,COUNTIF('06_Cobertura'!$A$5:$A$25,G44)=1),0,1)</x:f>
        <x:v>0</x:v>
      </x:c>
      <x:c r="O44" s="12" t="n">
        <x:f>IF(OR(A44="",D44="",F44=""),1,0)</x:f>
        <x:v>0</x:v>
      </x:c>
    </x:row>
    <x:row r="45" ht="70"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COUNTIF('03_Rector'!$A$5:$A$57,A45)+COUNTIF('04_TKS'!$A$5:$A$72,A45)-1</x:f>
        <x:v>0</x:v>
      </x:c>
      <x:c r="N45" s="12" t="n">
        <x:f>IF(AND(COUNTIF('01_Fuentes'!$A$5:$A$40,I45)=1,COUNTIF('07_Operaciones'!$A$5:$A$26,H45)=1,COUNTIF('06_Cobertura'!$A$5:$A$25,G45)=1),0,1)</x:f>
        <x:v>0</x:v>
      </x:c>
      <x:c r="O45" s="12" t="n">
        <x:f>IF(OR(A45="",D45="",F45=""),1,0)</x:f>
        <x:v>0</x:v>
      </x:c>
    </x:row>
    <x:row r="46" ht="70"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COUNTIF('03_Rector'!$A$5:$A$57,A46)+COUNTIF('04_TKS'!$A$5:$A$72,A46)-1</x:f>
        <x:v>0</x:v>
      </x:c>
      <x:c r="N46" s="12" t="n">
        <x:f>IF(AND(COUNTIF('01_Fuentes'!$A$5:$A$40,I46)=1,COUNTIF('07_Operaciones'!$A$5:$A$26,H46)=1,COUNTIF('06_Cobertura'!$A$5:$A$25,G46)=1),0,1)</x:f>
        <x:v>0</x:v>
      </x:c>
      <x:c r="O46" s="12" t="n">
        <x:f>IF(OR(A46="",D46="",F46=""),1,0)</x:f>
        <x:v>0</x:v>
      </x:c>
    </x:row>
    <x:row r="47" ht="85"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COUNTIF('03_Rector'!$A$5:$A$57,A47)+COUNTIF('04_TKS'!$A$5:$A$72,A47)-1</x:f>
        <x:v>0</x:v>
      </x:c>
      <x:c r="N47" s="12" t="n">
        <x:f>IF(AND(COUNTIF('01_Fuentes'!$A$5:$A$40,I47)=1,COUNTIF('07_Operaciones'!$A$5:$A$26,H47)=1,COUNTIF('06_Cobertura'!$A$5:$A$25,G47)=1),0,1)</x:f>
        <x:v>0</x:v>
      </x:c>
      <x:c r="O47" s="12" t="n">
        <x:f>IF(OR(A47="",D47="",F47=""),1,0)</x:f>
        <x:v>0</x:v>
      </x:c>
    </x:row>
    <x:row r="48" ht="70"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COUNTIF('03_Rector'!$A$5:$A$57,A48)+COUNTIF('04_TKS'!$A$5:$A$72,A48)-1</x:f>
        <x:v>0</x:v>
      </x:c>
      <x:c r="N48" s="12" t="n">
        <x:f>IF(AND(COUNTIF('01_Fuentes'!$A$5:$A$40,I48)=1,COUNTIF('07_Operaciones'!$A$5:$A$26,H48)=1,COUNTIF('06_Cobertura'!$A$5:$A$25,G48)=1),0,1)</x:f>
        <x:v>0</x:v>
      </x:c>
      <x:c r="O48" s="12" t="n">
        <x:f>IF(OR(A48="",D48="",F48=""),1,0)</x:f>
        <x:v>0</x:v>
      </x:c>
    </x:row>
    <x:row r="49" ht="70"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COUNTIF('03_Rector'!$A$5:$A$57,A49)+COUNTIF('04_TKS'!$A$5:$A$72,A49)-1</x:f>
        <x:v>0</x:v>
      </x:c>
      <x:c r="N49" s="12" t="n">
        <x:f>IF(AND(COUNTIF('01_Fuentes'!$A$5:$A$40,I49)=1,COUNTIF('07_Operaciones'!$A$5:$A$26,H49)=1,COUNTIF('06_Cobertura'!$A$5:$A$25,G49)=1),0,1)</x:f>
        <x:v>0</x:v>
      </x:c>
      <x:c r="O49" s="12" t="n">
        <x:f>IF(OR(A49="",D49="",F49=""),1,0)</x:f>
        <x:v>0</x:v>
      </x:c>
    </x:row>
    <x:row r="50" ht="55"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COUNTIF('03_Rector'!$A$5:$A$57,A50)+COUNTIF('04_TKS'!$A$5:$A$72,A50)-1</x:f>
        <x:v>0</x:v>
      </x:c>
      <x:c r="N50" s="12" t="n">
        <x:f>IF(AND(COUNTIF('01_Fuentes'!$A$5:$A$40,I50)=1,COUNTIF('07_Operaciones'!$A$5:$A$26,H50)=1,COUNTIF('06_Cobertura'!$A$5:$A$25,G50)=1),0,1)</x:f>
        <x:v>0</x:v>
      </x:c>
      <x:c r="O50" s="12" t="n">
        <x:f>IF(OR(A50="",D50="",F50=""),1,0)</x:f>
        <x:v>0</x:v>
      </x:c>
    </x:row>
    <x:row r="51" ht="70"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COUNTIF('03_Rector'!$A$5:$A$57,A51)+COUNTIF('04_TKS'!$A$5:$A$72,A51)-1</x:f>
        <x:v>0</x:v>
      </x:c>
      <x:c r="N51" s="12" t="n">
        <x:f>IF(AND(COUNTIF('01_Fuentes'!$A$5:$A$40,I51)=1,COUNTIF('07_Operaciones'!$A$5:$A$26,H51)=1,COUNTIF('06_Cobertura'!$A$5:$A$25,G51)=1),0,1)</x:f>
        <x:v>0</x:v>
      </x:c>
      <x:c r="O51" s="12" t="n">
        <x:f>IF(OR(A51="",D51="",F51=""),1,0)</x:f>
        <x:v>0</x:v>
      </x:c>
    </x:row>
    <x:row r="52" ht="55"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COUNTIF('03_Rector'!$A$5:$A$57,A52)+COUNTIF('04_TKS'!$A$5:$A$72,A52)-1</x:f>
        <x:v>0</x:v>
      </x:c>
      <x:c r="N52" s="12" t="n">
        <x:f>IF(AND(COUNTIF('01_Fuentes'!$A$5:$A$40,I52)=1,COUNTIF('07_Operaciones'!$A$5:$A$26,H52)=1,COUNTIF('06_Cobertura'!$A$5:$A$25,G52)=1),0,1)</x:f>
        <x:v>0</x:v>
      </x:c>
      <x:c r="O52" s="12" t="n">
        <x:f>IF(OR(A52="",D52="",F52=""),1,0)</x:f>
        <x:v>0</x:v>
      </x:c>
    </x:row>
    <x:row r="53" ht="100"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COUNTIF('03_Rector'!$A$5:$A$57,A53)+COUNTIF('04_TKS'!$A$5:$A$72,A53)-1</x:f>
        <x:v>0</x:v>
      </x:c>
      <x:c r="N53" s="12" t="n">
        <x:f>IF(AND(COUNTIF('01_Fuentes'!$A$5:$A$40,I53)=1,COUNTIF('07_Operaciones'!$A$5:$A$26,H53)=1,COUNTIF('06_Cobertura'!$A$5:$A$25,G53)=1),0,1)</x:f>
        <x:v>0</x:v>
      </x:c>
      <x:c r="O53" s="12" t="n">
        <x:f>IF(OR(A53="",D53="",F53=""),1,0)</x:f>
        <x:v>0</x:v>
      </x:c>
    </x:row>
    <x:row r="54" ht="70"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COUNTIF('03_Rector'!$A$5:$A$57,A54)+COUNTIF('04_TKS'!$A$5:$A$72,A54)-1</x:f>
        <x:v>0</x:v>
      </x:c>
      <x:c r="N54" s="12" t="n">
        <x:f>IF(AND(COUNTIF('01_Fuentes'!$A$5:$A$40,I54)=1,COUNTIF('07_Operaciones'!$A$5:$A$26,H54)=1,COUNTIF('06_Cobertura'!$A$5:$A$25,G54)=1),0,1)</x:f>
        <x:v>0</x:v>
      </x:c>
      <x:c r="O54" s="12" t="n">
        <x:f>IF(OR(A54="",D54="",F54=""),1,0)</x:f>
        <x:v>0</x:v>
      </x:c>
    </x:row>
    <x:row r="55" ht="70"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COUNTIF('03_Rector'!$A$5:$A$57,A55)+COUNTIF('04_TKS'!$A$5:$A$72,A55)-1</x:f>
        <x:v>0</x:v>
      </x:c>
      <x:c r="N55" s="12" t="n">
        <x:f>IF(AND(COUNTIF('01_Fuentes'!$A$5:$A$40,I55)=1,COUNTIF('07_Operaciones'!$A$5:$A$26,H55)=1,COUNTIF('06_Cobertura'!$A$5:$A$25,G55)=1),0,1)</x:f>
        <x:v>0</x:v>
      </x:c>
      <x:c r="O55" s="12" t="n">
        <x:f>IF(OR(A55="",D55="",F55=""),1,0)</x:f>
        <x:v>0</x:v>
      </x:c>
    </x:row>
    <x:row r="56" ht="70"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COUNTIF('03_Rector'!$A$5:$A$57,A56)+COUNTIF('04_TKS'!$A$5:$A$72,A56)-1</x:f>
        <x:v>0</x:v>
      </x:c>
      <x:c r="N56" s="12" t="n">
        <x:f>IF(AND(COUNTIF('01_Fuentes'!$A$5:$A$40,I56)=1,COUNTIF('07_Operaciones'!$A$5:$A$26,H56)=1,COUNTIF('06_Cobertura'!$A$5:$A$25,G56)=1),0,1)</x:f>
        <x:v>0</x:v>
      </x:c>
      <x:c r="O56" s="12" t="n">
        <x:f>IF(OR(A56="",D56="",F56=""),1,0)</x:f>
        <x:v>0</x:v>
      </x:c>
    </x:row>
    <x:row r="57" ht="70"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COUNTIF('03_Rector'!$A$5:$A$57,A57)+COUNTIF('04_TKS'!$A$5:$A$72,A57)-1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conditionalFormatting sqref="M5:M57">
    <x:cfRule type="expression" dxfId="5" priority="1">
      <x:formula>M5&gt;0</x:formula>
    </x:cfRule>
  </x:conditionalFormatting>
  <x:conditionalFormatting sqref="N5:N57">
    <x:cfRule type="expression" dxfId="6" priority="2">
      <x:formula>N5&gt;0</x:formula>
    </x:cfRule>
  </x:conditionalFormatting>
  <x:conditionalFormatting sqref="O5:O57">
    <x:cfRule type="expression" dxfId="7" priority="3">
      <x:formula>O5&gt;0</x:formula>
    </x:cfRule>
  </x:conditionalFormatting>
  <x:conditionalFormatting sqref="L5:L57">
    <x:cfRule type="expression" dxfId="25" priority="4">
      <x:formula>OR(ISNUMBER(SEARCH("PENDIENTE",L5)),ISNUMBER(SEARCH("NO_ADOPTABLE",L5)),ISNUMBER(SEARCH("METADATOS",L5)),ISNUMBER(SEARCH("BORRADOR",L5)))</x:formula>
    </x:cfRule>
  </x:conditionalFormatting>
  <x:pageMargins left="0.7" right="0.7" top="0.75" bottom="0.75" header="0.3" footer="0.3"/>
  <x:tableParts count="1">
    <x:tablePart xmlns:r="http://schemas.openxmlformats.org/officeDocument/2006/relationships" r:id="Rfad39424771b4a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2" customHeight="1">
      <x:c r="A1" s="6" t="str">
        <x:v>NICE · tareas, conocimientos y habilidades</x:v>
      </x:c>
      <x:c r="B1" s="6"/>
      <x:c r="C1" s="6"/>
      <x:c r="D1" s="6"/>
      <x:c r="E1" s="6"/>
      <x:c r="F1" s="6"/>
      <x:c r="G1" s="6"/>
      <x:c r="H1" s="6"/>
      <x:c r="I1" s="6"/>
      <x:c r="J1" s="6"/>
      <x:c r="K1" s="6"/>
      <x:c r="L1" s="6"/>
      <x:c r="M1" s="6"/>
    </x:row>
    <x:row r="2" ht="44"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38"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4"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COUNTIF('03_Rector'!$A$5:$A$57,A5)+COUNTIF('04_TKS'!$A$5:$A$72,A5)-1</x:f>
        <x:v>0</x:v>
      </x:c>
      <x:c r="L5" s="12" t="n">
        <x:f>IF(AND(COUNTIF('01_Fuentes'!$A$5:$A$40,G5)=1,COUNTIF('07_Operaciones'!$A$5:$A$26,F5)=1,COUNTIF('06_Cobertura'!$A$5:$A$25,E5)=1),0,1)</x:f>
        <x:v>0</x:v>
      </x:c>
      <x:c r="M5" s="12" t="n">
        <x:f>IF(OR(A5="",C5="",D5=""),1,0)</x:f>
        <x:v>0</x:v>
      </x:c>
    </x:row>
    <x:row r="6" ht="44"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COUNTIF('03_Rector'!$A$5:$A$57,A6)+COUNTIF('04_TKS'!$A$5:$A$72,A6)-1</x:f>
        <x:v>0</x:v>
      </x:c>
      <x:c r="L6" s="12" t="n">
        <x:f>IF(AND(COUNTIF('01_Fuentes'!$A$5:$A$40,G6)=1,COUNTIF('07_Operaciones'!$A$5:$A$26,F6)=1,COUNTIF('06_Cobertura'!$A$5:$A$25,E6)=1),0,1)</x:f>
        <x:v>0</x:v>
      </x:c>
      <x:c r="M6" s="12" t="n">
        <x:f>IF(OR(A6="",C6="",D6=""),1,0)</x:f>
        <x:v>0</x:v>
      </x:c>
    </x:row>
    <x:row r="7" ht="44"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COUNTIF('03_Rector'!$A$5:$A$57,A7)+COUNTIF('04_TKS'!$A$5:$A$72,A7)-1</x:f>
        <x:v>0</x:v>
      </x:c>
      <x:c r="L7" s="12" t="n">
        <x:f>IF(AND(COUNTIF('01_Fuentes'!$A$5:$A$40,G7)=1,COUNTIF('07_Operaciones'!$A$5:$A$26,F7)=1,COUNTIF('06_Cobertura'!$A$5:$A$25,E7)=1),0,1)</x:f>
        <x:v>0</x:v>
      </x:c>
      <x:c r="M7" s="12" t="n">
        <x:f>IF(OR(A7="",C7="",D7=""),1,0)</x:f>
        <x:v>0</x:v>
      </x:c>
    </x:row>
    <x:row r="8" ht="44"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COUNTIF('03_Rector'!$A$5:$A$57,A8)+COUNTIF('04_TKS'!$A$5:$A$72,A8)-1</x:f>
        <x:v>0</x:v>
      </x:c>
      <x:c r="L8" s="12" t="n">
        <x:f>IF(AND(COUNTIF('01_Fuentes'!$A$5:$A$40,G8)=1,COUNTIF('07_Operaciones'!$A$5:$A$26,F8)=1,COUNTIF('06_Cobertura'!$A$5:$A$25,E8)=1),0,1)</x:f>
        <x:v>0</x:v>
      </x:c>
      <x:c r="M8" s="12" t="n">
        <x:f>IF(OR(A8="",C8="",D8=""),1,0)</x:f>
        <x:v>0</x:v>
      </x:c>
    </x:row>
    <x:row r="9" ht="44"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COUNTIF('03_Rector'!$A$5:$A$57,A9)+COUNTIF('04_TKS'!$A$5:$A$72,A9)-1</x:f>
        <x:v>0</x:v>
      </x:c>
      <x:c r="L9" s="12" t="n">
        <x:f>IF(AND(COUNTIF('01_Fuentes'!$A$5:$A$40,G9)=1,COUNTIF('07_Operaciones'!$A$5:$A$26,F9)=1,COUNTIF('06_Cobertura'!$A$5:$A$25,E9)=1),0,1)</x:f>
        <x:v>0</x:v>
      </x:c>
      <x:c r="M9" s="12" t="n">
        <x:f>IF(OR(A9="",C9="",D9=""),1,0)</x:f>
        <x:v>0</x:v>
      </x:c>
    </x:row>
    <x:row r="10" ht="44"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COUNTIF('03_Rector'!$A$5:$A$57,A10)+COUNTIF('04_TKS'!$A$5:$A$72,A10)-1</x:f>
        <x:v>0</x:v>
      </x:c>
      <x:c r="L10" s="12" t="n">
        <x:f>IF(AND(COUNTIF('01_Fuentes'!$A$5:$A$40,G10)=1,COUNTIF('07_Operaciones'!$A$5:$A$26,F10)=1,COUNTIF('06_Cobertura'!$A$5:$A$25,E10)=1),0,1)</x:f>
        <x:v>0</x:v>
      </x:c>
      <x:c r="M10" s="12" t="n">
        <x:f>IF(OR(A10="",C10="",D10=""),1,0)</x:f>
        <x:v>0</x:v>
      </x:c>
    </x:row>
    <x:row r="11" ht="44"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COUNTIF('03_Rector'!$A$5:$A$57,A11)+COUNTIF('04_TKS'!$A$5:$A$72,A11)-1</x:f>
        <x:v>0</x:v>
      </x:c>
      <x:c r="L11" s="12" t="n">
        <x:f>IF(AND(COUNTIF('01_Fuentes'!$A$5:$A$40,G11)=1,COUNTIF('07_Operaciones'!$A$5:$A$26,F11)=1,COUNTIF('06_Cobertura'!$A$5:$A$25,E11)=1),0,1)</x:f>
        <x:v>0</x:v>
      </x:c>
      <x:c r="M11" s="12" t="n">
        <x:f>IF(OR(A11="",C11="",D11=""),1,0)</x:f>
        <x:v>0</x:v>
      </x:c>
    </x:row>
    <x:row r="12" ht="44"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COUNTIF('03_Rector'!$A$5:$A$57,A12)+COUNTIF('04_TKS'!$A$5:$A$72,A12)-1</x:f>
        <x:v>0</x:v>
      </x:c>
      <x:c r="L12" s="12" t="n">
        <x:f>IF(AND(COUNTIF('01_Fuentes'!$A$5:$A$40,G12)=1,COUNTIF('07_Operaciones'!$A$5:$A$26,F12)=1,COUNTIF('06_Cobertura'!$A$5:$A$25,E12)=1),0,1)</x:f>
        <x:v>0</x:v>
      </x:c>
      <x:c r="M12" s="12" t="n">
        <x:f>IF(OR(A12="",C12="",D12=""),1,0)</x:f>
        <x:v>0</x:v>
      </x:c>
    </x:row>
    <x:row r="13" ht="44"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COUNTIF('03_Rector'!$A$5:$A$57,A13)+COUNTIF('04_TKS'!$A$5:$A$72,A13)-1</x:f>
        <x:v>0</x:v>
      </x:c>
      <x:c r="L13" s="12" t="n">
        <x:f>IF(AND(COUNTIF('01_Fuentes'!$A$5:$A$40,G13)=1,COUNTIF('07_Operaciones'!$A$5:$A$26,F13)=1,COUNTIF('06_Cobertura'!$A$5:$A$25,E13)=1),0,1)</x:f>
        <x:v>0</x:v>
      </x:c>
      <x:c r="M13" s="12" t="n">
        <x:f>IF(OR(A13="",C13="",D13=""),1,0)</x:f>
        <x:v>0</x:v>
      </x:c>
    </x:row>
    <x:row r="14" ht="44"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COUNTIF('03_Rector'!$A$5:$A$57,A14)+COUNTIF('04_TKS'!$A$5:$A$72,A14)-1</x:f>
        <x:v>0</x:v>
      </x:c>
      <x:c r="L14" s="12" t="n">
        <x:f>IF(AND(COUNTIF('01_Fuentes'!$A$5:$A$40,G14)=1,COUNTIF('07_Operaciones'!$A$5:$A$26,F14)=1,COUNTIF('06_Cobertura'!$A$5:$A$25,E14)=1),0,1)</x:f>
        <x:v>0</x:v>
      </x:c>
      <x:c r="M14" s="12" t="n">
        <x:f>IF(OR(A14="",C14="",D14=""),1,0)</x:f>
        <x:v>0</x:v>
      </x:c>
    </x:row>
    <x:row r="15" ht="44"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COUNTIF('03_Rector'!$A$5:$A$57,A15)+COUNTIF('04_TKS'!$A$5:$A$72,A15)-1</x:f>
        <x:v>0</x:v>
      </x:c>
      <x:c r="L15" s="12" t="n">
        <x:f>IF(AND(COUNTIF('01_Fuentes'!$A$5:$A$40,G15)=1,COUNTIF('07_Operaciones'!$A$5:$A$26,F15)=1,COUNTIF('06_Cobertura'!$A$5:$A$25,E15)=1),0,1)</x:f>
        <x:v>0</x:v>
      </x:c>
      <x:c r="M15" s="12" t="n">
        <x:f>IF(OR(A15="",C15="",D15=""),1,0)</x:f>
        <x:v>0</x:v>
      </x:c>
    </x:row>
    <x:row r="16" ht="44"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COUNTIF('03_Rector'!$A$5:$A$57,A16)+COUNTIF('04_TKS'!$A$5:$A$72,A16)-1</x:f>
        <x:v>0</x:v>
      </x:c>
      <x:c r="L16" s="12" t="n">
        <x:f>IF(AND(COUNTIF('01_Fuentes'!$A$5:$A$40,G16)=1,COUNTIF('07_Operaciones'!$A$5:$A$26,F16)=1,COUNTIF('06_Cobertura'!$A$5:$A$25,E16)=1),0,1)</x:f>
        <x:v>0</x:v>
      </x:c>
      <x:c r="M16" s="12" t="n">
        <x:f>IF(OR(A16="",C16="",D16=""),1,0)</x:f>
        <x:v>0</x:v>
      </x:c>
    </x:row>
    <x:row r="17" ht="44"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COUNTIF('03_Rector'!$A$5:$A$57,A17)+COUNTIF('04_TKS'!$A$5:$A$72,A17)-1</x:f>
        <x:v>0</x:v>
      </x:c>
      <x:c r="L17" s="12" t="n">
        <x:f>IF(AND(COUNTIF('01_Fuentes'!$A$5:$A$40,G17)=1,COUNTIF('07_Operaciones'!$A$5:$A$26,F17)=1,COUNTIF('06_Cobertura'!$A$5:$A$25,E17)=1),0,1)</x:f>
        <x:v>0</x:v>
      </x:c>
      <x:c r="M17" s="12" t="n">
        <x:f>IF(OR(A17="",C17="",D17=""),1,0)</x:f>
        <x:v>0</x:v>
      </x:c>
    </x:row>
    <x:row r="18" ht="44"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COUNTIF('03_Rector'!$A$5:$A$57,A18)+COUNTIF('04_TKS'!$A$5:$A$72,A18)-1</x:f>
        <x:v>0</x:v>
      </x:c>
      <x:c r="L18" s="12" t="n">
        <x:f>IF(AND(COUNTIF('01_Fuentes'!$A$5:$A$40,G18)=1,COUNTIF('07_Operaciones'!$A$5:$A$26,F18)=1,COUNTIF('06_Cobertura'!$A$5:$A$25,E18)=1),0,1)</x:f>
        <x:v>0</x:v>
      </x:c>
      <x:c r="M18" s="12" t="n">
        <x:f>IF(OR(A18="",C18="",D18=""),1,0)</x:f>
        <x:v>0</x:v>
      </x:c>
    </x:row>
    <x:row r="19" ht="44"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COUNTIF('03_Rector'!$A$5:$A$57,A19)+COUNTIF('04_TKS'!$A$5:$A$72,A19)-1</x:f>
        <x:v>0</x:v>
      </x:c>
      <x:c r="L19" s="12" t="n">
        <x:f>IF(AND(COUNTIF('01_Fuentes'!$A$5:$A$40,G19)=1,COUNTIF('07_Operaciones'!$A$5:$A$26,F19)=1,COUNTIF('06_Cobertura'!$A$5:$A$25,E19)=1),0,1)</x:f>
        <x:v>0</x:v>
      </x:c>
      <x:c r="M19" s="12" t="n">
        <x:f>IF(OR(A19="",C19="",D19=""),1,0)</x:f>
        <x:v>0</x:v>
      </x:c>
    </x:row>
    <x:row r="20" ht="44"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COUNTIF('03_Rector'!$A$5:$A$57,A20)+COUNTIF('04_TKS'!$A$5:$A$72,A20)-1</x:f>
        <x:v>0</x:v>
      </x:c>
      <x:c r="L20" s="12" t="n">
        <x:f>IF(AND(COUNTIF('01_Fuentes'!$A$5:$A$40,G20)=1,COUNTIF('07_Operaciones'!$A$5:$A$26,F20)=1,COUNTIF('06_Cobertura'!$A$5:$A$25,E20)=1),0,1)</x:f>
        <x:v>0</x:v>
      </x:c>
      <x:c r="M20" s="12" t="n">
        <x:f>IF(OR(A20="",C20="",D20=""),1,0)</x:f>
        <x:v>0</x:v>
      </x:c>
    </x:row>
    <x:row r="21" ht="44"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COUNTIF('03_Rector'!$A$5:$A$57,A21)+COUNTIF('04_TKS'!$A$5:$A$72,A21)-1</x:f>
        <x:v>0</x:v>
      </x:c>
      <x:c r="L21" s="12" t="n">
        <x:f>IF(AND(COUNTIF('01_Fuentes'!$A$5:$A$40,G21)=1,COUNTIF('07_Operaciones'!$A$5:$A$26,F21)=1,COUNTIF('06_Cobertura'!$A$5:$A$25,E21)=1),0,1)</x:f>
        <x:v>0</x:v>
      </x:c>
      <x:c r="M21" s="12" t="n">
        <x:f>IF(OR(A21="",C21="",D21=""),1,0)</x:f>
        <x:v>0</x:v>
      </x:c>
    </x:row>
    <x:row r="22" ht="44"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COUNTIF('03_Rector'!$A$5:$A$57,A22)+COUNTIF('04_TKS'!$A$5:$A$72,A22)-1</x:f>
        <x:v>0</x:v>
      </x:c>
      <x:c r="L22" s="12" t="n">
        <x:f>IF(AND(COUNTIF('01_Fuentes'!$A$5:$A$40,G22)=1,COUNTIF('07_Operaciones'!$A$5:$A$26,F22)=1,COUNTIF('06_Cobertura'!$A$5:$A$25,E22)=1),0,1)</x:f>
        <x:v>0</x:v>
      </x:c>
      <x:c r="M22" s="12" t="n">
        <x:f>IF(OR(A22="",C22="",D22=""),1,0)</x:f>
        <x:v>0</x:v>
      </x:c>
    </x:row>
    <x:row r="23" ht="44"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COUNTIF('03_Rector'!$A$5:$A$57,A23)+COUNTIF('04_TKS'!$A$5:$A$72,A23)-1</x:f>
        <x:v>0</x:v>
      </x:c>
      <x:c r="L23" s="12" t="n">
        <x:f>IF(AND(COUNTIF('01_Fuentes'!$A$5:$A$40,G23)=1,COUNTIF('07_Operaciones'!$A$5:$A$26,F23)=1,COUNTIF('06_Cobertura'!$A$5:$A$25,E23)=1),0,1)</x:f>
        <x:v>0</x:v>
      </x:c>
      <x:c r="M23" s="12" t="n">
        <x:f>IF(OR(A23="",C23="",D23=""),1,0)</x:f>
        <x:v>0</x:v>
      </x:c>
    </x:row>
    <x:row r="24" ht="44"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COUNTIF('03_Rector'!$A$5:$A$57,A24)+COUNTIF('04_TKS'!$A$5:$A$72,A24)-1</x:f>
        <x:v>0</x:v>
      </x:c>
      <x:c r="L24" s="12" t="n">
        <x:f>IF(AND(COUNTIF('01_Fuentes'!$A$5:$A$40,G24)=1,COUNTIF('07_Operaciones'!$A$5:$A$26,F24)=1,COUNTIF('06_Cobertura'!$A$5:$A$25,E24)=1),0,1)</x:f>
        <x:v>0</x:v>
      </x:c>
      <x:c r="M24" s="12" t="n">
        <x:f>IF(OR(A24="",C24="",D24=""),1,0)</x:f>
        <x:v>0</x:v>
      </x:c>
    </x:row>
    <x:row r="25" ht="44"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COUNTIF('03_Rector'!$A$5:$A$57,A25)+COUNTIF('04_TKS'!$A$5:$A$72,A25)-1</x:f>
        <x:v>0</x:v>
      </x:c>
      <x:c r="L25" s="12" t="n">
        <x:f>IF(AND(COUNTIF('01_Fuentes'!$A$5:$A$40,G25)=1,COUNTIF('07_Operaciones'!$A$5:$A$26,F25)=1,COUNTIF('06_Cobertura'!$A$5:$A$25,E25)=1),0,1)</x:f>
        <x:v>0</x:v>
      </x:c>
      <x:c r="M25" s="12" t="n">
        <x:f>IF(OR(A25="",C25="",D25=""),1,0)</x:f>
        <x:v>0</x:v>
      </x:c>
    </x:row>
    <x:row r="26" ht="44"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COUNTIF('03_Rector'!$A$5:$A$57,A26)+COUNTIF('04_TKS'!$A$5:$A$72,A26)-1</x:f>
        <x:v>0</x:v>
      </x:c>
      <x:c r="L26" s="12" t="n">
        <x:f>IF(AND(COUNTIF('01_Fuentes'!$A$5:$A$40,G26)=1,COUNTIF('07_Operaciones'!$A$5:$A$26,F26)=1,COUNTIF('06_Cobertura'!$A$5:$A$25,E26)=1),0,1)</x:f>
        <x:v>0</x:v>
      </x:c>
      <x:c r="M26" s="12" t="n">
        <x:f>IF(OR(A26="",C26="",D26=""),1,0)</x:f>
        <x:v>0</x:v>
      </x:c>
    </x:row>
    <x:row r="27" ht="44"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COUNTIF('03_Rector'!$A$5:$A$57,A27)+COUNTIF('04_TKS'!$A$5:$A$72,A27)-1</x:f>
        <x:v>0</x:v>
      </x:c>
      <x:c r="L27" s="12" t="n">
        <x:f>IF(AND(COUNTIF('01_Fuentes'!$A$5:$A$40,G27)=1,COUNTIF('07_Operaciones'!$A$5:$A$26,F27)=1,COUNTIF('06_Cobertura'!$A$5:$A$25,E27)=1),0,1)</x:f>
        <x:v>0</x:v>
      </x:c>
      <x:c r="M27" s="12" t="n">
        <x:f>IF(OR(A27="",C27="",D27=""),1,0)</x:f>
        <x:v>0</x:v>
      </x:c>
    </x:row>
    <x:row r="28" ht="44"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COUNTIF('03_Rector'!$A$5:$A$57,A28)+COUNTIF('04_TKS'!$A$5:$A$72,A28)-1</x:f>
        <x:v>0</x:v>
      </x:c>
      <x:c r="L28" s="12" t="n">
        <x:f>IF(AND(COUNTIF('01_Fuentes'!$A$5:$A$40,G28)=1,COUNTIF('07_Operaciones'!$A$5:$A$26,F28)=1,COUNTIF('06_Cobertura'!$A$5:$A$25,E28)=1),0,1)</x:f>
        <x:v>0</x:v>
      </x:c>
      <x:c r="M28" s="12" t="n">
        <x:f>IF(OR(A28="",C28="",D28=""),1,0)</x:f>
        <x:v>0</x:v>
      </x:c>
    </x:row>
    <x:row r="29" ht="44"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COUNTIF('03_Rector'!$A$5:$A$57,A29)+COUNTIF('04_TKS'!$A$5:$A$72,A29)-1</x:f>
        <x:v>0</x:v>
      </x:c>
      <x:c r="L29" s="12" t="n">
        <x:f>IF(AND(COUNTIF('01_Fuentes'!$A$5:$A$40,G29)=1,COUNTIF('07_Operaciones'!$A$5:$A$26,F29)=1,COUNTIF('06_Cobertura'!$A$5:$A$25,E29)=1),0,1)</x:f>
        <x:v>0</x:v>
      </x:c>
      <x:c r="M29" s="12" t="n">
        <x:f>IF(OR(A29="",C29="",D29=""),1,0)</x:f>
        <x:v>0</x:v>
      </x:c>
    </x:row>
    <x:row r="30" ht="44"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COUNTIF('03_Rector'!$A$5:$A$57,A30)+COUNTIF('04_TKS'!$A$5:$A$72,A30)-1</x:f>
        <x:v>0</x:v>
      </x:c>
      <x:c r="L30" s="12" t="n">
        <x:f>IF(AND(COUNTIF('01_Fuentes'!$A$5:$A$40,G30)=1,COUNTIF('07_Operaciones'!$A$5:$A$26,F30)=1,COUNTIF('06_Cobertura'!$A$5:$A$25,E30)=1),0,1)</x:f>
        <x:v>0</x:v>
      </x:c>
      <x:c r="M30" s="12" t="n">
        <x:f>IF(OR(A30="",C30="",D30=""),1,0)</x:f>
        <x:v>0</x:v>
      </x:c>
    </x:row>
    <x:row r="31" ht="44"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COUNTIF('03_Rector'!$A$5:$A$57,A31)+COUNTIF('04_TKS'!$A$5:$A$72,A31)-1</x:f>
        <x:v>0</x:v>
      </x:c>
      <x:c r="L31" s="12" t="n">
        <x:f>IF(AND(COUNTIF('01_Fuentes'!$A$5:$A$40,G31)=1,COUNTIF('07_Operaciones'!$A$5:$A$26,F31)=1,COUNTIF('06_Cobertura'!$A$5:$A$25,E31)=1),0,1)</x:f>
        <x:v>0</x:v>
      </x:c>
      <x:c r="M31" s="12" t="n">
        <x:f>IF(OR(A31="",C31="",D31=""),1,0)</x:f>
        <x:v>0</x:v>
      </x:c>
    </x:row>
    <x:row r="32" ht="44"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COUNTIF('03_Rector'!$A$5:$A$57,A32)+COUNTIF('04_TKS'!$A$5:$A$72,A32)-1</x:f>
        <x:v>0</x:v>
      </x:c>
      <x:c r="L32" s="12" t="n">
        <x:f>IF(AND(COUNTIF('01_Fuentes'!$A$5:$A$40,G32)=1,COUNTIF('07_Operaciones'!$A$5:$A$26,F32)=1,COUNTIF('06_Cobertura'!$A$5:$A$25,E32)=1),0,1)</x:f>
        <x:v>0</x:v>
      </x:c>
      <x:c r="M32" s="12" t="n">
        <x:f>IF(OR(A32="",C32="",D32=""),1,0)</x:f>
        <x:v>0</x:v>
      </x:c>
    </x:row>
    <x:row r="33" ht="44"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COUNTIF('03_Rector'!$A$5:$A$57,A33)+COUNTIF('04_TKS'!$A$5:$A$72,A33)-1</x:f>
        <x:v>0</x:v>
      </x:c>
      <x:c r="L33" s="12" t="n">
        <x:f>IF(AND(COUNTIF('01_Fuentes'!$A$5:$A$40,G33)=1,COUNTIF('07_Operaciones'!$A$5:$A$26,F33)=1,COUNTIF('06_Cobertura'!$A$5:$A$25,E33)=1),0,1)</x:f>
        <x:v>0</x:v>
      </x:c>
      <x:c r="M33" s="12" t="n">
        <x:f>IF(OR(A33="",C33="",D33=""),1,0)</x:f>
        <x:v>0</x:v>
      </x:c>
    </x:row>
    <x:row r="34" ht="44"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COUNTIF('03_Rector'!$A$5:$A$57,A34)+COUNTIF('04_TKS'!$A$5:$A$72,A34)-1</x:f>
        <x:v>0</x:v>
      </x:c>
      <x:c r="L34" s="12" t="n">
        <x:f>IF(AND(COUNTIF('01_Fuentes'!$A$5:$A$40,G34)=1,COUNTIF('07_Operaciones'!$A$5:$A$26,F34)=1,COUNTIF('06_Cobertura'!$A$5:$A$25,E34)=1),0,1)</x:f>
        <x:v>0</x:v>
      </x:c>
      <x:c r="M34" s="12" t="n">
        <x:f>IF(OR(A34="",C34="",D34=""),1,0)</x:f>
        <x:v>0</x:v>
      </x:c>
    </x:row>
    <x:row r="35" ht="44"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COUNTIF('03_Rector'!$A$5:$A$57,A35)+COUNTIF('04_TKS'!$A$5:$A$72,A35)-1</x:f>
        <x:v>0</x:v>
      </x:c>
      <x:c r="L35" s="12" t="n">
        <x:f>IF(AND(COUNTIF('01_Fuentes'!$A$5:$A$40,G35)=1,COUNTIF('07_Operaciones'!$A$5:$A$26,F35)=1,COUNTIF('06_Cobertura'!$A$5:$A$25,E35)=1),0,1)</x:f>
        <x:v>0</x:v>
      </x:c>
      <x:c r="M35" s="12" t="n">
        <x:f>IF(OR(A35="",C35="",D35=""),1,0)</x:f>
        <x:v>0</x:v>
      </x:c>
    </x:row>
    <x:row r="36" ht="44"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COUNTIF('03_Rector'!$A$5:$A$57,A36)+COUNTIF('04_TKS'!$A$5:$A$72,A36)-1</x:f>
        <x:v>0</x:v>
      </x:c>
      <x:c r="L36" s="12" t="n">
        <x:f>IF(AND(COUNTIF('01_Fuentes'!$A$5:$A$40,G36)=1,COUNTIF('07_Operaciones'!$A$5:$A$26,F36)=1,COUNTIF('06_Cobertura'!$A$5:$A$25,E36)=1),0,1)</x:f>
        <x:v>0</x:v>
      </x:c>
      <x:c r="M36" s="12" t="n">
        <x:f>IF(OR(A36="",C36="",D36=""),1,0)</x:f>
        <x:v>0</x:v>
      </x:c>
    </x:row>
    <x:row r="37" ht="44"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COUNTIF('03_Rector'!$A$5:$A$57,A37)+COUNTIF('04_TKS'!$A$5:$A$72,A37)-1</x:f>
        <x:v>0</x:v>
      </x:c>
      <x:c r="L37" s="12" t="n">
        <x:f>IF(AND(COUNTIF('01_Fuentes'!$A$5:$A$40,G37)=1,COUNTIF('07_Operaciones'!$A$5:$A$26,F37)=1,COUNTIF('06_Cobertura'!$A$5:$A$25,E37)=1),0,1)</x:f>
        <x:v>0</x:v>
      </x:c>
      <x:c r="M37" s="12" t="n">
        <x:f>IF(OR(A37="",C37="",D37=""),1,0)</x:f>
        <x:v>0</x:v>
      </x:c>
    </x:row>
    <x:row r="38" ht="44"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COUNTIF('03_Rector'!$A$5:$A$57,A38)+COUNTIF('04_TKS'!$A$5:$A$72,A38)-1</x:f>
        <x:v>0</x:v>
      </x:c>
      <x:c r="L38" s="12" t="n">
        <x:f>IF(AND(COUNTIF('01_Fuentes'!$A$5:$A$40,G38)=1,COUNTIF('07_Operaciones'!$A$5:$A$26,F38)=1,COUNTIF('06_Cobertura'!$A$5:$A$25,E38)=1),0,1)</x:f>
        <x:v>0</x:v>
      </x:c>
      <x:c r="M38" s="12" t="n">
        <x:f>IF(OR(A38="",C38="",D38=""),1,0)</x:f>
        <x:v>0</x:v>
      </x:c>
    </x:row>
    <x:row r="39" ht="44"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COUNTIF('03_Rector'!$A$5:$A$57,A39)+COUNTIF('04_TKS'!$A$5:$A$72,A39)-1</x:f>
        <x:v>0</x:v>
      </x:c>
      <x:c r="L39" s="12" t="n">
        <x:f>IF(AND(COUNTIF('01_Fuentes'!$A$5:$A$40,G39)=1,COUNTIF('07_Operaciones'!$A$5:$A$26,F39)=1,COUNTIF('06_Cobertura'!$A$5:$A$25,E39)=1),0,1)</x:f>
        <x:v>0</x:v>
      </x:c>
      <x:c r="M39" s="12" t="n">
        <x:f>IF(OR(A39="",C39="",D39=""),1,0)</x:f>
        <x:v>0</x:v>
      </x:c>
    </x:row>
    <x:row r="40" ht="44"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COUNTIF('03_Rector'!$A$5:$A$57,A40)+COUNTIF('04_TKS'!$A$5:$A$72,A40)-1</x:f>
        <x:v>0</x:v>
      </x:c>
      <x:c r="L40" s="12" t="n">
        <x:f>IF(AND(COUNTIF('01_Fuentes'!$A$5:$A$40,G40)=1,COUNTIF('07_Operaciones'!$A$5:$A$26,F40)=1,COUNTIF('06_Cobertura'!$A$5:$A$25,E40)=1),0,1)</x:f>
        <x:v>0</x:v>
      </x:c>
      <x:c r="M40" s="12" t="n">
        <x:f>IF(OR(A40="",C40="",D40=""),1,0)</x:f>
        <x:v>0</x:v>
      </x:c>
    </x:row>
    <x:row r="41" ht="44"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COUNTIF('03_Rector'!$A$5:$A$57,A41)+COUNTIF('04_TKS'!$A$5:$A$72,A41)-1</x:f>
        <x:v>0</x:v>
      </x:c>
      <x:c r="L41" s="12" t="n">
        <x:f>IF(AND(COUNTIF('01_Fuentes'!$A$5:$A$40,G41)=1,COUNTIF('07_Operaciones'!$A$5:$A$26,F41)=1,COUNTIF('06_Cobertura'!$A$5:$A$25,E41)=1),0,1)</x:f>
        <x:v>0</x:v>
      </x:c>
      <x:c r="M41" s="12" t="n">
        <x:f>IF(OR(A41="",C41="",D41=""),1,0)</x:f>
        <x:v>0</x:v>
      </x:c>
    </x:row>
    <x:row r="42" ht="44"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COUNTIF('03_Rector'!$A$5:$A$57,A42)+COUNTIF('04_TKS'!$A$5:$A$72,A42)-1</x:f>
        <x:v>0</x:v>
      </x:c>
      <x:c r="L42" s="12" t="n">
        <x:f>IF(AND(COUNTIF('01_Fuentes'!$A$5:$A$40,G42)=1,COUNTIF('07_Operaciones'!$A$5:$A$26,F42)=1,COUNTIF('06_Cobertura'!$A$5:$A$25,E42)=1),0,1)</x:f>
        <x:v>0</x:v>
      </x:c>
      <x:c r="M42" s="12" t="n">
        <x:f>IF(OR(A42="",C42="",D42=""),1,0)</x:f>
        <x:v>0</x:v>
      </x:c>
    </x:row>
    <x:row r="43" ht="44"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COUNTIF('03_Rector'!$A$5:$A$57,A43)+COUNTIF('04_TKS'!$A$5:$A$72,A43)-1</x:f>
        <x:v>0</x:v>
      </x:c>
      <x:c r="L43" s="12" t="n">
        <x:f>IF(AND(COUNTIF('01_Fuentes'!$A$5:$A$40,G43)=1,COUNTIF('07_Operaciones'!$A$5:$A$26,F43)=1,COUNTIF('06_Cobertura'!$A$5:$A$25,E43)=1),0,1)</x:f>
        <x:v>0</x:v>
      </x:c>
      <x:c r="M43" s="12" t="n">
        <x:f>IF(OR(A43="",C43="",D43=""),1,0)</x:f>
        <x:v>0</x:v>
      </x:c>
    </x:row>
    <x:row r="44" ht="44"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COUNTIF('03_Rector'!$A$5:$A$57,A44)+COUNTIF('04_TKS'!$A$5:$A$72,A44)-1</x:f>
        <x:v>0</x:v>
      </x:c>
      <x:c r="L44" s="12" t="n">
        <x:f>IF(AND(COUNTIF('01_Fuentes'!$A$5:$A$40,G44)=1,COUNTIF('07_Operaciones'!$A$5:$A$26,F44)=1,COUNTIF('06_Cobertura'!$A$5:$A$25,E44)=1),0,1)</x:f>
        <x:v>0</x:v>
      </x:c>
      <x:c r="M44" s="12" t="n">
        <x:f>IF(OR(A44="",C44="",D44=""),1,0)</x:f>
        <x:v>0</x:v>
      </x:c>
    </x:row>
    <x:row r="45" ht="44"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COUNTIF('03_Rector'!$A$5:$A$57,A45)+COUNTIF('04_TKS'!$A$5:$A$72,A45)-1</x:f>
        <x:v>0</x:v>
      </x:c>
      <x:c r="L45" s="12" t="n">
        <x:f>IF(AND(COUNTIF('01_Fuentes'!$A$5:$A$40,G45)=1,COUNTIF('07_Operaciones'!$A$5:$A$26,F45)=1,COUNTIF('06_Cobertura'!$A$5:$A$25,E45)=1),0,1)</x:f>
        <x:v>0</x:v>
      </x:c>
      <x:c r="M45" s="12" t="n">
        <x:f>IF(OR(A45="",C45="",D45=""),1,0)</x:f>
        <x:v>0</x:v>
      </x:c>
    </x:row>
    <x:row r="46" ht="44"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COUNTIF('03_Rector'!$A$5:$A$57,A46)+COUNTIF('04_TKS'!$A$5:$A$72,A46)-1</x:f>
        <x:v>0</x:v>
      </x:c>
      <x:c r="L46" s="12" t="n">
        <x:f>IF(AND(COUNTIF('01_Fuentes'!$A$5:$A$40,G46)=1,COUNTIF('07_Operaciones'!$A$5:$A$26,F46)=1,COUNTIF('06_Cobertura'!$A$5:$A$25,E46)=1),0,1)</x:f>
        <x:v>0</x:v>
      </x:c>
      <x:c r="M46" s="12" t="n">
        <x:f>IF(OR(A46="",C46="",D46=""),1,0)</x:f>
        <x:v>0</x:v>
      </x:c>
    </x:row>
    <x:row r="47" ht="44"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COUNTIF('03_Rector'!$A$5:$A$57,A47)+COUNTIF('04_TKS'!$A$5:$A$72,A47)-1</x:f>
        <x:v>0</x:v>
      </x:c>
      <x:c r="L47" s="12" t="n">
        <x:f>IF(AND(COUNTIF('01_Fuentes'!$A$5:$A$40,G47)=1,COUNTIF('07_Operaciones'!$A$5:$A$26,F47)=1,COUNTIF('06_Cobertura'!$A$5:$A$25,E47)=1),0,1)</x:f>
        <x:v>0</x:v>
      </x:c>
      <x:c r="M47" s="12" t="n">
        <x:f>IF(OR(A47="",C47="",D47=""),1,0)</x:f>
        <x:v>0</x:v>
      </x:c>
    </x:row>
    <x:row r="48" ht="44"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COUNTIF('03_Rector'!$A$5:$A$57,A48)+COUNTIF('04_TKS'!$A$5:$A$72,A48)-1</x:f>
        <x:v>0</x:v>
      </x:c>
      <x:c r="L48" s="12" t="n">
        <x:f>IF(AND(COUNTIF('01_Fuentes'!$A$5:$A$40,G48)=1,COUNTIF('07_Operaciones'!$A$5:$A$26,F48)=1,COUNTIF('06_Cobertura'!$A$5:$A$25,E48)=1),0,1)</x:f>
        <x:v>0</x:v>
      </x:c>
      <x:c r="M48" s="12" t="n">
        <x:f>IF(OR(A48="",C48="",D48=""),1,0)</x:f>
        <x:v>0</x:v>
      </x:c>
    </x:row>
    <x:row r="49" ht="44"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COUNTIF('03_Rector'!$A$5:$A$57,A49)+COUNTIF('04_TKS'!$A$5:$A$72,A49)-1</x:f>
        <x:v>0</x:v>
      </x:c>
      <x:c r="L49" s="12" t="n">
        <x:f>IF(AND(COUNTIF('01_Fuentes'!$A$5:$A$40,G49)=1,COUNTIF('07_Operaciones'!$A$5:$A$26,F49)=1,COUNTIF('06_Cobertura'!$A$5:$A$25,E49)=1),0,1)</x:f>
        <x:v>0</x:v>
      </x:c>
      <x:c r="M49" s="12" t="n">
        <x:f>IF(OR(A49="",C49="",D49=""),1,0)</x:f>
        <x:v>0</x:v>
      </x:c>
    </x:row>
    <x:row r="50" ht="44"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COUNTIF('03_Rector'!$A$5:$A$57,A50)+COUNTIF('04_TKS'!$A$5:$A$72,A50)-1</x:f>
        <x:v>0</x:v>
      </x:c>
      <x:c r="L50" s="12" t="n">
        <x:f>IF(AND(COUNTIF('01_Fuentes'!$A$5:$A$40,G50)=1,COUNTIF('07_Operaciones'!$A$5:$A$26,F50)=1,COUNTIF('06_Cobertura'!$A$5:$A$25,E50)=1),0,1)</x:f>
        <x:v>0</x:v>
      </x:c>
      <x:c r="M50" s="12" t="n">
        <x:f>IF(OR(A50="",C50="",D50=""),1,0)</x:f>
        <x:v>0</x:v>
      </x:c>
    </x:row>
    <x:row r="51" ht="44"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COUNTIF('03_Rector'!$A$5:$A$57,A51)+COUNTIF('04_TKS'!$A$5:$A$72,A51)-1</x:f>
        <x:v>0</x:v>
      </x:c>
      <x:c r="L51" s="12" t="n">
        <x:f>IF(AND(COUNTIF('01_Fuentes'!$A$5:$A$40,G51)=1,COUNTIF('07_Operaciones'!$A$5:$A$26,F51)=1,COUNTIF('06_Cobertura'!$A$5:$A$25,E51)=1),0,1)</x:f>
        <x:v>0</x:v>
      </x:c>
      <x:c r="M51" s="12" t="n">
        <x:f>IF(OR(A51="",C51="",D51=""),1,0)</x:f>
        <x:v>0</x:v>
      </x:c>
    </x:row>
    <x:row r="52" ht="44"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COUNTIF('03_Rector'!$A$5:$A$57,A52)+COUNTIF('04_TKS'!$A$5:$A$72,A52)-1</x:f>
        <x:v>0</x:v>
      </x:c>
      <x:c r="L52" s="12" t="n">
        <x:f>IF(AND(COUNTIF('01_Fuentes'!$A$5:$A$40,G52)=1,COUNTIF('07_Operaciones'!$A$5:$A$26,F52)=1,COUNTIF('06_Cobertura'!$A$5:$A$25,E52)=1),0,1)</x:f>
        <x:v>0</x:v>
      </x:c>
      <x:c r="M52" s="12" t="n">
        <x:f>IF(OR(A52="",C52="",D52=""),1,0)</x:f>
        <x:v>0</x:v>
      </x:c>
    </x:row>
    <x:row r="53" ht="44"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COUNTIF('03_Rector'!$A$5:$A$57,A53)+COUNTIF('04_TKS'!$A$5:$A$72,A53)-1</x:f>
        <x:v>0</x:v>
      </x:c>
      <x:c r="L53" s="12" t="n">
        <x:f>IF(AND(COUNTIF('01_Fuentes'!$A$5:$A$40,G53)=1,COUNTIF('07_Operaciones'!$A$5:$A$26,F53)=1,COUNTIF('06_Cobertura'!$A$5:$A$25,E53)=1),0,1)</x:f>
        <x:v>0</x:v>
      </x:c>
      <x:c r="M53" s="12" t="n">
        <x:f>IF(OR(A53="",C53="",D53=""),1,0)</x:f>
        <x:v>0</x:v>
      </x:c>
    </x:row>
    <x:row r="54" ht="44"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COUNTIF('03_Rector'!$A$5:$A$57,A54)+COUNTIF('04_TKS'!$A$5:$A$72,A54)-1</x:f>
        <x:v>0</x:v>
      </x:c>
      <x:c r="L54" s="12" t="n">
        <x:f>IF(AND(COUNTIF('01_Fuentes'!$A$5:$A$40,G54)=1,COUNTIF('07_Operaciones'!$A$5:$A$26,F54)=1,COUNTIF('06_Cobertura'!$A$5:$A$25,E54)=1),0,1)</x:f>
        <x:v>0</x:v>
      </x:c>
      <x:c r="M54" s="12" t="n">
        <x:f>IF(OR(A54="",C54="",D54=""),1,0)</x:f>
        <x:v>0</x:v>
      </x:c>
    </x:row>
    <x:row r="55" ht="44"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COUNTIF('03_Rector'!$A$5:$A$57,A55)+COUNTIF('04_TKS'!$A$5:$A$72,A55)-1</x:f>
        <x:v>0</x:v>
      </x:c>
      <x:c r="L55" s="12" t="n">
        <x:f>IF(AND(COUNTIF('01_Fuentes'!$A$5:$A$40,G55)=1,COUNTIF('07_Operaciones'!$A$5:$A$26,F55)=1,COUNTIF('06_Cobertura'!$A$5:$A$25,E55)=1),0,1)</x:f>
        <x:v>0</x:v>
      </x:c>
      <x:c r="M55" s="12" t="n">
        <x:f>IF(OR(A55="",C55="",D55=""),1,0)</x:f>
        <x:v>0</x:v>
      </x:c>
    </x:row>
    <x:row r="56" ht="44"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COUNTIF('03_Rector'!$A$5:$A$57,A56)+COUNTIF('04_TKS'!$A$5:$A$72,A56)-1</x:f>
        <x:v>0</x:v>
      </x:c>
      <x:c r="L56" s="12" t="n">
        <x:f>IF(AND(COUNTIF('01_Fuentes'!$A$5:$A$40,G56)=1,COUNTIF('07_Operaciones'!$A$5:$A$26,F56)=1,COUNTIF('06_Cobertura'!$A$5:$A$25,E56)=1),0,1)</x:f>
        <x:v>0</x:v>
      </x:c>
      <x:c r="M56" s="12" t="n">
        <x:f>IF(OR(A56="",C56="",D56=""),1,0)</x:f>
        <x:v>0</x:v>
      </x:c>
    </x:row>
    <x:row r="57" ht="44"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COUNTIF('03_Rector'!$A$5:$A$57,A57)+COUNTIF('04_TKS'!$A$5:$A$72,A57)-1</x:f>
        <x:v>0</x:v>
      </x:c>
      <x:c r="L57" s="12" t="n">
        <x:f>IF(AND(COUNTIF('01_Fuentes'!$A$5:$A$40,G57)=1,COUNTIF('07_Operaciones'!$A$5:$A$26,F57)=1,COUNTIF('06_Cobertura'!$A$5:$A$25,E57)=1),0,1)</x:f>
        <x:v>0</x:v>
      </x:c>
      <x:c r="M57" s="12" t="n">
        <x:f>IF(OR(A57="",C57="",D57=""),1,0)</x:f>
        <x:v>0</x:v>
      </x:c>
    </x:row>
    <x:row r="58" ht="44"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COUNTIF('03_Rector'!$A$5:$A$57,A58)+COUNTIF('04_TKS'!$A$5:$A$72,A58)-1</x:f>
        <x:v>0</x:v>
      </x:c>
      <x:c r="L58" s="12" t="n">
        <x:f>IF(AND(COUNTIF('01_Fuentes'!$A$5:$A$40,G58)=1,COUNTIF('07_Operaciones'!$A$5:$A$26,F58)=1,COUNTIF('06_Cobertura'!$A$5:$A$25,E58)=1),0,1)</x:f>
        <x:v>0</x:v>
      </x:c>
      <x:c r="M58" s="12" t="n">
        <x:f>IF(OR(A58="",C58="",D58=""),1,0)</x:f>
        <x:v>0</x:v>
      </x:c>
    </x:row>
    <x:row r="59" ht="44"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COUNTIF('03_Rector'!$A$5:$A$57,A59)+COUNTIF('04_TKS'!$A$5:$A$72,A59)-1</x:f>
        <x:v>0</x:v>
      </x:c>
      <x:c r="L59" s="12" t="n">
        <x:f>IF(AND(COUNTIF('01_Fuentes'!$A$5:$A$40,G59)=1,COUNTIF('07_Operaciones'!$A$5:$A$26,F59)=1,COUNTIF('06_Cobertura'!$A$5:$A$25,E59)=1),0,1)</x:f>
        <x:v>0</x:v>
      </x:c>
      <x:c r="M59" s="12" t="n">
        <x:f>IF(OR(A59="",C59="",D59=""),1,0)</x:f>
        <x:v>0</x:v>
      </x:c>
    </x:row>
    <x:row r="60" ht="44"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COUNTIF('03_Rector'!$A$5:$A$57,A60)+COUNTIF('04_TKS'!$A$5:$A$72,A60)-1</x:f>
        <x:v>0</x:v>
      </x:c>
      <x:c r="L60" s="12" t="n">
        <x:f>IF(AND(COUNTIF('01_Fuentes'!$A$5:$A$40,G60)=1,COUNTIF('07_Operaciones'!$A$5:$A$26,F60)=1,COUNTIF('06_Cobertura'!$A$5:$A$25,E60)=1),0,1)</x:f>
        <x:v>0</x:v>
      </x:c>
      <x:c r="M60" s="12" t="n">
        <x:f>IF(OR(A60="",C60="",D60=""),1,0)</x:f>
        <x:v>0</x:v>
      </x:c>
    </x:row>
    <x:row r="61" ht="44"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COUNTIF('03_Rector'!$A$5:$A$57,A61)+COUNTIF('04_TKS'!$A$5:$A$72,A61)-1</x:f>
        <x:v>0</x:v>
      </x:c>
      <x:c r="L61" s="12" t="n">
        <x:f>IF(AND(COUNTIF('01_Fuentes'!$A$5:$A$40,G61)=1,COUNTIF('07_Operaciones'!$A$5:$A$26,F61)=1,COUNTIF('06_Cobertura'!$A$5:$A$25,E61)=1),0,1)</x:f>
        <x:v>0</x:v>
      </x:c>
      <x:c r="M61" s="12" t="n">
        <x:f>IF(OR(A61="",C61="",D61=""),1,0)</x:f>
        <x:v>0</x:v>
      </x:c>
    </x:row>
    <x:row r="62" ht="44"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COUNTIF('03_Rector'!$A$5:$A$57,A62)+COUNTIF('04_TKS'!$A$5:$A$72,A62)-1</x:f>
        <x:v>0</x:v>
      </x:c>
      <x:c r="L62" s="12" t="n">
        <x:f>IF(AND(COUNTIF('01_Fuentes'!$A$5:$A$40,G62)=1,COUNTIF('07_Operaciones'!$A$5:$A$26,F62)=1,COUNTIF('06_Cobertura'!$A$5:$A$25,E62)=1),0,1)</x:f>
        <x:v>0</x:v>
      </x:c>
      <x:c r="M62" s="12" t="n">
        <x:f>IF(OR(A62="",C62="",D62=""),1,0)</x:f>
        <x:v>0</x:v>
      </x:c>
    </x:row>
    <x:row r="63" ht="44"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COUNTIF('03_Rector'!$A$5:$A$57,A63)+COUNTIF('04_TKS'!$A$5:$A$72,A63)-1</x:f>
        <x:v>0</x:v>
      </x:c>
      <x:c r="L63" s="12" t="n">
        <x:f>IF(AND(COUNTIF('01_Fuentes'!$A$5:$A$40,G63)=1,COUNTIF('07_Operaciones'!$A$5:$A$26,F63)=1,COUNTIF('06_Cobertura'!$A$5:$A$25,E63)=1),0,1)</x:f>
        <x:v>0</x:v>
      </x:c>
      <x:c r="M63" s="12" t="n">
        <x:f>IF(OR(A63="",C63="",D63=""),1,0)</x:f>
        <x:v>0</x:v>
      </x:c>
    </x:row>
    <x:row r="64" ht="44"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COUNTIF('03_Rector'!$A$5:$A$57,A64)+COUNTIF('04_TKS'!$A$5:$A$72,A64)-1</x:f>
        <x:v>0</x:v>
      </x:c>
      <x:c r="L64" s="12" t="n">
        <x:f>IF(AND(COUNTIF('01_Fuentes'!$A$5:$A$40,G64)=1,COUNTIF('07_Operaciones'!$A$5:$A$26,F64)=1,COUNTIF('06_Cobertura'!$A$5:$A$25,E64)=1),0,1)</x:f>
        <x:v>0</x:v>
      </x:c>
      <x:c r="M64" s="12" t="n">
        <x:f>IF(OR(A64="",C64="",D64=""),1,0)</x:f>
        <x:v>0</x:v>
      </x:c>
    </x:row>
    <x:row r="65" ht="44"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COUNTIF('03_Rector'!$A$5:$A$57,A65)+COUNTIF('04_TKS'!$A$5:$A$72,A65)-1</x:f>
        <x:v>0</x:v>
      </x:c>
      <x:c r="L65" s="12" t="n">
        <x:f>IF(AND(COUNTIF('01_Fuentes'!$A$5:$A$40,G65)=1,COUNTIF('07_Operaciones'!$A$5:$A$26,F65)=1,COUNTIF('06_Cobertura'!$A$5:$A$25,E65)=1),0,1)</x:f>
        <x:v>0</x:v>
      </x:c>
      <x:c r="M65" s="12" t="n">
        <x:f>IF(OR(A65="",C65="",D65=""),1,0)</x:f>
        <x:v>0</x:v>
      </x:c>
    </x:row>
    <x:row r="66" ht="44"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COUNTIF('03_Rector'!$A$5:$A$57,A66)+COUNTIF('04_TKS'!$A$5:$A$72,A66)-1</x:f>
        <x:v>0</x:v>
      </x:c>
      <x:c r="L66" s="12" t="n">
        <x:f>IF(AND(COUNTIF('01_Fuentes'!$A$5:$A$40,G66)=1,COUNTIF('07_Operaciones'!$A$5:$A$26,F66)=1,COUNTIF('06_Cobertura'!$A$5:$A$25,E66)=1),0,1)</x:f>
        <x:v>0</x:v>
      </x:c>
      <x:c r="M66" s="12" t="n">
        <x:f>IF(OR(A66="",C66="",D66=""),1,0)</x:f>
        <x:v>0</x:v>
      </x:c>
    </x:row>
    <x:row r="67" ht="44"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COUNTIF('03_Rector'!$A$5:$A$57,A67)+COUNTIF('04_TKS'!$A$5:$A$72,A67)-1</x:f>
        <x:v>0</x:v>
      </x:c>
      <x:c r="L67" s="12" t="n">
        <x:f>IF(AND(COUNTIF('01_Fuentes'!$A$5:$A$40,G67)=1,COUNTIF('07_Operaciones'!$A$5:$A$26,F67)=1,COUNTIF('06_Cobertura'!$A$5:$A$25,E67)=1),0,1)</x:f>
        <x:v>0</x:v>
      </x:c>
      <x:c r="M67" s="12" t="n">
        <x:f>IF(OR(A67="",C67="",D67=""),1,0)</x:f>
        <x:v>0</x:v>
      </x:c>
    </x:row>
    <x:row r="68" ht="44"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COUNTIF('03_Rector'!$A$5:$A$57,A68)+COUNTIF('04_TKS'!$A$5:$A$72,A68)-1</x:f>
        <x:v>0</x:v>
      </x:c>
      <x:c r="L68" s="12" t="n">
        <x:f>IF(AND(COUNTIF('01_Fuentes'!$A$5:$A$40,G68)=1,COUNTIF('07_Operaciones'!$A$5:$A$26,F68)=1,COUNTIF('06_Cobertura'!$A$5:$A$25,E68)=1),0,1)</x:f>
        <x:v>0</x:v>
      </x:c>
      <x:c r="M68" s="12" t="n">
        <x:f>IF(OR(A68="",C68="",D68=""),1,0)</x:f>
        <x:v>0</x:v>
      </x:c>
    </x:row>
    <x:row r="69" ht="44"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COUNTIF('03_Rector'!$A$5:$A$57,A69)+COUNTIF('04_TKS'!$A$5:$A$72,A69)-1</x:f>
        <x:v>0</x:v>
      </x:c>
      <x:c r="L69" s="12" t="n">
        <x:f>IF(AND(COUNTIF('01_Fuentes'!$A$5:$A$40,G69)=1,COUNTIF('07_Operaciones'!$A$5:$A$26,F69)=1,COUNTIF('06_Cobertura'!$A$5:$A$25,E69)=1),0,1)</x:f>
        <x:v>0</x:v>
      </x:c>
      <x:c r="M69" s="12" t="n">
        <x:f>IF(OR(A69="",C69="",D69=""),1,0)</x:f>
        <x:v>0</x:v>
      </x:c>
    </x:row>
    <x:row r="70" ht="44"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COUNTIF('03_Rector'!$A$5:$A$57,A70)+COUNTIF('04_TKS'!$A$5:$A$72,A70)-1</x:f>
        <x:v>0</x:v>
      </x:c>
      <x:c r="L70" s="12" t="n">
        <x:f>IF(AND(COUNTIF('01_Fuentes'!$A$5:$A$40,G70)=1,COUNTIF('07_Operaciones'!$A$5:$A$26,F70)=1,COUNTIF('06_Cobertura'!$A$5:$A$25,E70)=1),0,1)</x:f>
        <x:v>0</x:v>
      </x:c>
      <x:c r="M70" s="12" t="n">
        <x:f>IF(OR(A70="",C70="",D70=""),1,0)</x:f>
        <x:v>0</x:v>
      </x:c>
    </x:row>
    <x:row r="71" ht="44"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COUNTIF('03_Rector'!$A$5:$A$57,A71)+COUNTIF('04_TKS'!$A$5:$A$72,A71)-1</x:f>
        <x:v>0</x:v>
      </x:c>
      <x:c r="L71" s="12" t="n">
        <x:f>IF(AND(COUNTIF('01_Fuentes'!$A$5:$A$40,G71)=1,COUNTIF('07_Operaciones'!$A$5:$A$26,F71)=1,COUNTIF('06_Cobertura'!$A$5:$A$25,E71)=1),0,1)</x:f>
        <x:v>0</x:v>
      </x:c>
      <x:c r="M71" s="12" t="n">
        <x:f>IF(OR(A71="",C71="",D71=""),1,0)</x:f>
        <x:v>0</x:v>
      </x:c>
    </x:row>
    <x:row r="72" ht="44"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COUNTIF('03_Rector'!$A$5:$A$57,A72)+COUNTIF('04_TKS'!$A$5:$A$72,A72)-1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conditionalFormatting sqref="K5:K72">
    <x:cfRule type="expression" dxfId="8" priority="1">
      <x:formula>K5&gt;0</x:formula>
    </x:cfRule>
  </x:conditionalFormatting>
  <x:conditionalFormatting sqref="L5:L72">
    <x:cfRule type="expression" dxfId="9" priority="2">
      <x:formula>L5&gt;0</x:formula>
    </x:cfRule>
  </x:conditionalFormatting>
  <x:conditionalFormatting sqref="M5:M72">
    <x:cfRule type="expression" dxfId="10" priority="3">
      <x:formula>M5&gt;0</x:formula>
    </x:cfRule>
  </x:conditionalFormatting>
  <x:conditionalFormatting sqref="J5:J72">
    <x:cfRule type="expression" dxfId="26" priority="4">
      <x:formula>OR(ISNUMBER(SEARCH("PENDIENTE",J5)),ISNUMBER(SEARCH("NO_ADOPTABLE",J5)),ISNUMBER(SEARCH("METADATOS",J5)),ISNUMBER(SEARCH("BORRADOR",J5)))</x:formula>
    </x:cfRule>
  </x:conditionalFormatting>
  <x:pageMargins left="0.7" right="0.7" top="0.75" bottom="0.75" header="0.3" footer="0.3"/>
  <x:tableParts count="1">
    <x:tablePart xmlns:r="http://schemas.openxmlformats.org/officeDocument/2006/relationships" r:id="R171b400eeb904d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2" customHeight="1">
      <x:c r="A1" s="6" t="str">
        <x:v>COMPLEMENTOS · contribuciones trazadas</x:v>
      </x:c>
      <x:c r="B1" s="6"/>
      <x:c r="C1" s="6"/>
      <x:c r="D1" s="6"/>
      <x:c r="E1" s="6"/>
      <x:c r="F1" s="6"/>
      <x:c r="G1" s="6"/>
      <x:c r="H1" s="6"/>
      <x:c r="I1" s="6"/>
      <x:c r="J1" s="6"/>
      <x:c r="K1" s="6"/>
      <x:c r="L1" s="6"/>
      <x:c r="M1" s="6"/>
      <x:c r="N1" s="6"/>
      <x:c r="O1" s="6"/>
      <x:c r="P1" s="6"/>
      <x:c r="Q1" s="6"/>
    </x:row>
    <x:row r="2" ht="44"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38"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4"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IF(COUNTIF('03_Rector'!$A$5:$A$57,I5)+COUNTIF('04_TKS'!$A$5:$A$72,I5)=1,0,1)</x:f>
        <x:v>0</x:v>
      </x:c>
      <x:c r="P5" s="12" t="n">
        <x:f>IF(OR(AND(B5="F008",L5&lt;&gt;"IDENTIFICADA_NO_ADOPTABLE"),AND(B5="F028",L5&lt;&gt;"PREGUNTA_NO_NORMATIVA"),COUNTIFS('01_Fuentes'!$A$5:$A$40,B5,'01_Fuentes'!$H$5:$H$40,"METADATOS_SOLO")&gt;0),1,0)</x:f>
        <x:v>0</x:v>
      </x:c>
      <x:c r="Q5" s="12" t="n">
        <x:f>IF(OR(A5="",D5="",E5="",F5="",K5="",L5=""),1,0)</x:f>
        <x:v>0</x:v>
      </x:c>
    </x:row>
    <x:row r="6" ht="44"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IF(COUNTIF('03_Rector'!$A$5:$A$57,I6)+COUNTIF('04_TKS'!$A$5:$A$72,I6)=1,0,1)</x:f>
        <x:v>0</x:v>
      </x:c>
      <x:c r="P6" s="12" t="n">
        <x:f>IF(OR(AND(B6="F008",L6&lt;&gt;"IDENTIFICADA_NO_ADOPTABLE"),AND(B6="F028",L6&lt;&gt;"PREGUNTA_NO_NORMATIVA"),COUNTIFS('01_Fuentes'!$A$5:$A$40,B6,'01_Fuentes'!$H$5:$H$40,"METADATOS_SOLO")&gt;0),1,0)</x:f>
        <x:v>0</x:v>
      </x:c>
      <x:c r="Q6" s="12" t="n">
        <x:f>IF(OR(A6="",D6="",E6="",F6="",K6="",L6=""),1,0)</x:f>
        <x:v>0</x:v>
      </x:c>
    </x:row>
    <x:row r="7" ht="44"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IF(COUNTIF('03_Rector'!$A$5:$A$57,I7)+COUNTIF('04_TKS'!$A$5:$A$72,I7)=1,0,1)</x:f>
        <x:v>0</x:v>
      </x:c>
      <x:c r="P7" s="12" t="n">
        <x:f>IF(OR(AND(B7="F008",L7&lt;&gt;"IDENTIFICADA_NO_ADOPTABLE"),AND(B7="F028",L7&lt;&gt;"PREGUNTA_NO_NORMATIVA"),COUNTIFS('01_Fuentes'!$A$5:$A$40,B7,'01_Fuentes'!$H$5:$H$40,"METADATOS_SOLO")&gt;0),1,0)</x:f>
        <x:v>0</x:v>
      </x:c>
      <x:c r="Q7" s="12" t="n">
        <x:f>IF(OR(A7="",D7="",E7="",F7="",K7="",L7=""),1,0)</x:f>
        <x:v>0</x:v>
      </x:c>
    </x:row>
    <x:row r="8" ht="44"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IF(COUNTIF('03_Rector'!$A$5:$A$57,I8)+COUNTIF('04_TKS'!$A$5:$A$72,I8)=1,0,1)</x:f>
        <x:v>0</x:v>
      </x:c>
      <x:c r="P8" s="12" t="n">
        <x:f>IF(OR(AND(B8="F008",L8&lt;&gt;"IDENTIFICADA_NO_ADOPTABLE"),AND(B8="F028",L8&lt;&gt;"PREGUNTA_NO_NORMATIVA"),COUNTIFS('01_Fuentes'!$A$5:$A$40,B8,'01_Fuentes'!$H$5:$H$40,"METADATOS_SOLO")&gt;0),1,0)</x:f>
        <x:v>0</x:v>
      </x:c>
      <x:c r="Q8" s="12" t="n">
        <x:f>IF(OR(A8="",D8="",E8="",F8="",K8="",L8=""),1,0)</x:f>
        <x:v>0</x:v>
      </x:c>
    </x:row>
    <x:row r="9" ht="44"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IF(COUNTIF('03_Rector'!$A$5:$A$57,I9)+COUNTIF('04_TKS'!$A$5:$A$72,I9)=1,0,1)</x:f>
        <x:v>0</x:v>
      </x:c>
      <x:c r="P9" s="12" t="n">
        <x:f>IF(OR(AND(B9="F008",L9&lt;&gt;"IDENTIFICADA_NO_ADOPTABLE"),AND(B9="F028",L9&lt;&gt;"PREGUNTA_NO_NORMATIVA"),COUNTIFS('01_Fuentes'!$A$5:$A$40,B9,'01_Fuentes'!$H$5:$H$40,"METADATOS_SOLO")&gt;0),1,0)</x:f>
        <x:v>0</x:v>
      </x:c>
      <x:c r="Q9" s="12" t="n">
        <x:f>IF(OR(A9="",D9="",E9="",F9="",K9="",L9=""),1,0)</x:f>
        <x:v>0</x:v>
      </x:c>
    </x:row>
    <x:row r="10" ht="44"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IF(COUNTIF('03_Rector'!$A$5:$A$57,I10)+COUNTIF('04_TKS'!$A$5:$A$72,I10)=1,0,1)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4"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IF(COUNTIF('03_Rector'!$A$5:$A$57,I11)+COUNTIF('04_TKS'!$A$5:$A$72,I11)=1,0,1)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4"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IF(COUNTIF('03_Rector'!$A$5:$A$57,I12)+COUNTIF('04_TKS'!$A$5:$A$72,I12)=1,0,1)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4"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IF(COUNTIF('03_Rector'!$A$5:$A$57,I13)+COUNTIF('04_TKS'!$A$5:$A$72,I13)=1,0,1)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4"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IF(COUNTIF('03_Rector'!$A$5:$A$57,I14)+COUNTIF('04_TKS'!$A$5:$A$72,I14)=1,0,1)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4"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IF(COUNTIF('03_Rector'!$A$5:$A$57,I15)+COUNTIF('04_TKS'!$A$5:$A$72,I15)=1,0,1)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4"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IF(COUNTIF('03_Rector'!$A$5:$A$57,I16)+COUNTIF('04_TKS'!$A$5:$A$72,I16)=1,0,1)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4"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IF(COUNTIF('03_Rector'!$A$5:$A$57,I17)+COUNTIF('04_TKS'!$A$5:$A$72,I17)=1,0,1)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4"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IF(COUNTIF('03_Rector'!$A$5:$A$57,I18)+COUNTIF('04_TKS'!$A$5:$A$72,I18)=1,0,1)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4"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IF(COUNTIF('03_Rector'!$A$5:$A$57,I19)+COUNTIF('04_TKS'!$A$5:$A$72,I19)=1,0,1)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4"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IF(COUNTIF('03_Rector'!$A$5:$A$57,I20)+COUNTIF('04_TKS'!$A$5:$A$72,I20)=1,0,1)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4"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IF(COUNTIF('03_Rector'!$A$5:$A$57,I21)+COUNTIF('04_TKS'!$A$5:$A$72,I21)=1,0,1)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4"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IF(COUNTIF('03_Rector'!$A$5:$A$57,I22)+COUNTIF('04_TKS'!$A$5:$A$72,I22)=1,0,1)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4"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IF(COUNTIF('03_Rector'!$A$5:$A$57,I23)+COUNTIF('04_TKS'!$A$5:$A$72,I23)=1,0,1)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4"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IF(COUNTIF('03_Rector'!$A$5:$A$57,I24)+COUNTIF('04_TKS'!$A$5:$A$72,I24)=1,0,1)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4"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IF(COUNTIF('03_Rector'!$A$5:$A$57,I25)+COUNTIF('04_TKS'!$A$5:$A$72,I25)=1,0,1)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4"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IF(COUNTIF('03_Rector'!$A$5:$A$57,I26)+COUNTIF('04_TKS'!$A$5:$A$72,I26)=1,0,1)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4"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IF(COUNTIF('03_Rector'!$A$5:$A$57,I27)+COUNTIF('04_TKS'!$A$5:$A$72,I27)=1,0,1)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4"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IF(COUNTIF('03_Rector'!$A$5:$A$57,I28)+COUNTIF('04_TKS'!$A$5:$A$72,I28)=1,0,1)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4"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IF(COUNTIF('03_Rector'!$A$5:$A$57,I29)+COUNTIF('04_TKS'!$A$5:$A$72,I29)=1,0,1)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4"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IF(COUNTIF('03_Rector'!$A$5:$A$57,I30)+COUNTIF('04_TKS'!$A$5:$A$72,I30)=1,0,1)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4"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IF(COUNTIF('03_Rector'!$A$5:$A$57,I31)+COUNTIF('04_TKS'!$A$5:$A$72,I31)=1,0,1)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4"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IF(COUNTIF('03_Rector'!$A$5:$A$57,I32)+COUNTIF('04_TKS'!$A$5:$A$72,I32)=1,0,1)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4"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IF(COUNTIF('03_Rector'!$A$5:$A$57,I33)+COUNTIF('04_TKS'!$A$5:$A$72,I33)=1,0,1)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4"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IF(COUNTIF('03_Rector'!$A$5:$A$57,I34)+COUNTIF('04_TKS'!$A$5:$A$72,I34)=1,0,1)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4"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IF(COUNTIF('03_Rector'!$A$5:$A$57,I35)+COUNTIF('04_TKS'!$A$5:$A$72,I35)=1,0,1)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4"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IF(COUNTIF('03_Rector'!$A$5:$A$57,I36)+COUNTIF('04_TKS'!$A$5:$A$72,I36)=1,0,1)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4"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IF(COUNTIF('03_Rector'!$A$5:$A$57,I37)+COUNTIF('04_TKS'!$A$5:$A$72,I37)=1,0,1)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4"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IF(COUNTIF('03_Rector'!$A$5:$A$57,I38)+COUNTIF('04_TKS'!$A$5:$A$72,I38)=1,0,1)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4"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IF(COUNTIF('03_Rector'!$A$5:$A$57,I39)+COUNTIF('04_TKS'!$A$5:$A$72,I39)=1,0,1)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4"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IF(COUNTIF('03_Rector'!$A$5:$A$57,I40)+COUNTIF('04_TKS'!$A$5:$A$72,I40)=1,0,1)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4"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IF(COUNTIF('03_Rector'!$A$5:$A$57,I41)+COUNTIF('04_TKS'!$A$5:$A$72,I41)=1,0,1)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4"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IF(COUNTIF('03_Rector'!$A$5:$A$57,I42)+COUNTIF('04_TKS'!$A$5:$A$72,I42)=1,0,1)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4"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IF(COUNTIF('03_Rector'!$A$5:$A$57,I43)+COUNTIF('04_TKS'!$A$5:$A$72,I43)=1,0,1)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4"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IF(COUNTIF('03_Rector'!$A$5:$A$57,I44)+COUNTIF('04_TKS'!$A$5:$A$72,I44)=1,0,1)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4"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IF(COUNTIF('03_Rector'!$A$5:$A$57,I45)+COUNTIF('04_TKS'!$A$5:$A$72,I45)=1,0,1)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4"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IF(COUNTIF('03_Rector'!$A$5:$A$57,I46)+COUNTIF('04_TKS'!$A$5:$A$72,I46)=1,0,1)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4"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IF(COUNTIF('03_Rector'!$A$5:$A$57,I47)+COUNTIF('04_TKS'!$A$5:$A$72,I47)=1,0,1)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4"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IF(COUNTIF('03_Rector'!$A$5:$A$57,I48)+COUNTIF('04_TKS'!$A$5:$A$72,I48)=1,0,1)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4"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IF(COUNTIF('03_Rector'!$A$5:$A$57,I49)+COUNTIF('04_TKS'!$A$5:$A$72,I49)=1,0,1)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4"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IF(COUNTIF('03_Rector'!$A$5:$A$57,I50)+COUNTIF('04_TKS'!$A$5:$A$72,I50)=1,0,1)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4"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IF(COUNTIF('03_Rector'!$A$5:$A$57,I51)+COUNTIF('04_TKS'!$A$5:$A$72,I51)=1,0,1)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4"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IF(COUNTIF('03_Rector'!$A$5:$A$57,I52)+COUNTIF('04_TKS'!$A$5:$A$72,I52)=1,0,1)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4"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IF(COUNTIF('03_Rector'!$A$5:$A$57,I53)+COUNTIF('04_TKS'!$A$5:$A$72,I53)=1,0,1)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4"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IF(COUNTIF('03_Rector'!$A$5:$A$57,I54)+COUNTIF('04_TKS'!$A$5:$A$72,I54)=1,0,1)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4"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IF(COUNTIF('03_Rector'!$A$5:$A$57,I55)+COUNTIF('04_TKS'!$A$5:$A$72,I55)=1,0,1)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4"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IF(COUNTIF('03_Rector'!$A$5:$A$57,I56)+COUNTIF('04_TKS'!$A$5:$A$72,I56)=1,0,1)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4"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IF(COUNTIF('03_Rector'!$A$5:$A$57,I57)+COUNTIF('04_TKS'!$A$5:$A$72,I57)=1,0,1)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4"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IF(COUNTIF('03_Rector'!$A$5:$A$57,I58)+COUNTIF('04_TKS'!$A$5:$A$72,I58)=1,0,1)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4"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IF(COUNTIF('03_Rector'!$A$5:$A$57,I59)+COUNTIF('04_TKS'!$A$5:$A$72,I59)=1,0,1)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4"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IF(COUNTIF('03_Rector'!$A$5:$A$57,I60)+COUNTIF('04_TKS'!$A$5:$A$72,I60)=1,0,1)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4"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IF(COUNTIF('03_Rector'!$A$5:$A$57,I61)+COUNTIF('04_TKS'!$A$5:$A$72,I61)=1,0,1)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4"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IF(COUNTIF('03_Rector'!$A$5:$A$57,I62)+COUNTIF('04_TKS'!$A$5:$A$72,I62)=1,0,1)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4"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IF(COUNTIF('03_Rector'!$A$5:$A$57,I63)+COUNTIF('04_TKS'!$A$5:$A$72,I63)=1,0,1)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4"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IF(COUNTIF('03_Rector'!$A$5:$A$57,I64)+COUNTIF('04_TKS'!$A$5:$A$72,I64)=1,0,1)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4"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IF(COUNTIF('03_Rector'!$A$5:$A$57,I65)+COUNTIF('04_TKS'!$A$5:$A$72,I65)=1,0,1)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4"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IF(COUNTIF('03_Rector'!$A$5:$A$57,I66)+COUNTIF('04_TKS'!$A$5:$A$72,I66)=1,0,1)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4"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IF(COUNTIF('03_Rector'!$A$5:$A$57,I67)+COUNTIF('04_TKS'!$A$5:$A$72,I67)=1,0,1)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4"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IF(COUNTIF('03_Rector'!$A$5:$A$57,I68)+COUNTIF('04_TKS'!$A$5:$A$72,I68)=1,0,1)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4"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IF(COUNTIF('03_Rector'!$A$5:$A$57,I69)+COUNTIF('04_TKS'!$A$5:$A$72,I69)=1,0,1)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4"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IF(COUNTIF('03_Rector'!$A$5:$A$57,I70)+COUNTIF('04_TKS'!$A$5:$A$72,I70)=1,0,1)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4"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IF(COUNTIF('03_Rector'!$A$5:$A$57,I71)+COUNTIF('04_TKS'!$A$5:$A$72,I71)=1,0,1)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4"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IF(COUNTIF('03_Rector'!$A$5:$A$57,I72)+COUNTIF('04_TKS'!$A$5:$A$72,I72)=1,0,1)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4"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IF(COUNTIF('03_Rector'!$A$5:$A$57,I73)+COUNTIF('04_TKS'!$A$5:$A$72,I73)=1,0,1)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4"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IF(COUNTIF('03_Rector'!$A$5:$A$57,I74)+COUNTIF('04_TKS'!$A$5:$A$72,I74)=1,0,1)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4"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IF(COUNTIF('03_Rector'!$A$5:$A$57,I75)+COUNTIF('04_TKS'!$A$5:$A$72,I75)=1,0,1)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4"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IF(COUNTIF('03_Rector'!$A$5:$A$57,I76)+COUNTIF('04_TKS'!$A$5:$A$72,I76)=1,0,1)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4"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IF(COUNTIF('03_Rector'!$A$5:$A$57,I77)+COUNTIF('04_TKS'!$A$5:$A$72,I77)=1,0,1)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4"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IF(COUNTIF('03_Rector'!$A$5:$A$57,I78)+COUNTIF('04_TKS'!$A$5:$A$72,I78)=1,0,1)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4"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IF(COUNTIF('03_Rector'!$A$5:$A$57,I79)+COUNTIF('04_TKS'!$A$5:$A$72,I79)=1,0,1)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4"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IF(COUNTIF('03_Rector'!$A$5:$A$57,I80)+COUNTIF('04_TKS'!$A$5:$A$72,I80)=1,0,1)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4"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IF(COUNTIF('03_Rector'!$A$5:$A$57,I81)+COUNTIF('04_TKS'!$A$5:$A$72,I81)=1,0,1)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4"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IF(COUNTIF('03_Rector'!$A$5:$A$57,I82)+COUNTIF('04_TKS'!$A$5:$A$72,I82)=1,0,1)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4"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IF(COUNTIF('03_Rector'!$A$5:$A$57,I83)+COUNTIF('04_TKS'!$A$5:$A$72,I83)=1,0,1)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4"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IF(COUNTIF('03_Rector'!$A$5:$A$57,I84)+COUNTIF('04_TKS'!$A$5:$A$72,I84)=1,0,1)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4"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IF(COUNTIF('03_Rector'!$A$5:$A$57,I85)+COUNTIF('04_TKS'!$A$5:$A$72,I85)=1,0,1)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4"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IF(COUNTIF('03_Rector'!$A$5:$A$57,I86)+COUNTIF('04_TKS'!$A$5:$A$72,I86)=1,0,1)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4"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IF(COUNTIF('03_Rector'!$A$5:$A$57,I87)+COUNTIF('04_TKS'!$A$5:$A$72,I87)=1,0,1)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4"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IF(COUNTIF('03_Rector'!$A$5:$A$57,I88)+COUNTIF('04_TKS'!$A$5:$A$72,I88)=1,0,1)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4"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IF(COUNTIF('03_Rector'!$A$5:$A$57,I89)+COUNTIF('04_TKS'!$A$5:$A$72,I89)=1,0,1)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4"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IF(COUNTIF('03_Rector'!$A$5:$A$57,I90)+COUNTIF('04_TKS'!$A$5:$A$72,I90)=1,0,1)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4"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IF(COUNTIF('03_Rector'!$A$5:$A$57,I91)+COUNTIF('04_TKS'!$A$5:$A$72,I91)=1,0,1)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4"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IF(COUNTIF('03_Rector'!$A$5:$A$57,I92)+COUNTIF('04_TKS'!$A$5:$A$72,I92)=1,0,1)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4"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IF(COUNTIF('03_Rector'!$A$5:$A$57,I93)+COUNTIF('04_TKS'!$A$5:$A$72,I93)=1,0,1)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4"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IF(COUNTIF('03_Rector'!$A$5:$A$57,I94)+COUNTIF('04_TKS'!$A$5:$A$72,I94)=1,0,1)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4"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IF(COUNTIF('03_Rector'!$A$5:$A$57,I95)+COUNTIF('04_TKS'!$A$5:$A$72,I95)=1,0,1)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4"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IF(COUNTIF('03_Rector'!$A$5:$A$57,I96)+COUNTIF('04_TKS'!$A$5:$A$72,I96)=1,0,1)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4"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IF(COUNTIF('03_Rector'!$A$5:$A$57,I97)+COUNTIF('04_TKS'!$A$5:$A$72,I97)=1,0,1)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4"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IF(COUNTIF('03_Rector'!$A$5:$A$57,I98)+COUNTIF('04_TKS'!$A$5:$A$72,I98)=1,0,1)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4"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IF(COUNTIF('03_Rector'!$A$5:$A$57,I99)+COUNTIF('04_TKS'!$A$5:$A$72,I99)=1,0,1)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4"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IF(COUNTIF('03_Rector'!$A$5:$A$57,I100)+COUNTIF('04_TKS'!$A$5:$A$72,I100)=1,0,1)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4"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IF(COUNTIF('03_Rector'!$A$5:$A$57,I101)+COUNTIF('04_TKS'!$A$5:$A$72,I101)=1,0,1)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4"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IF(COUNTIF('03_Rector'!$A$5:$A$57,I102)+COUNTIF('04_TKS'!$A$5:$A$72,I102)=1,0,1)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4"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IF(COUNTIF('03_Rector'!$A$5:$A$57,I103)+COUNTIF('04_TKS'!$A$5:$A$72,I103)=1,0,1)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4"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IF(COUNTIF('03_Rector'!$A$5:$A$57,I104)+COUNTIF('04_TKS'!$A$5:$A$72,I104)=1,0,1)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4"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IF(COUNTIF('03_Rector'!$A$5:$A$57,I105)+COUNTIF('04_TKS'!$A$5:$A$72,I105)=1,0,1)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4"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IF(COUNTIF('03_Rector'!$A$5:$A$57,I106)+COUNTIF('04_TKS'!$A$5:$A$72,I106)=1,0,1)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4"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IF(COUNTIF('03_Rector'!$A$5:$A$57,I107)+COUNTIF('04_TKS'!$A$5:$A$72,I107)=1,0,1)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4"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IF(COUNTIF('03_Rector'!$A$5:$A$57,I108)+COUNTIF('04_TKS'!$A$5:$A$72,I108)=1,0,1)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4"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IF(COUNTIF('03_Rector'!$A$5:$A$57,I109)+COUNTIF('04_TKS'!$A$5:$A$72,I109)=1,0,1)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4"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IF(COUNTIF('03_Rector'!$A$5:$A$57,I110)+COUNTIF('04_TKS'!$A$5:$A$72,I110)=1,0,1)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4"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IF(COUNTIF('03_Rector'!$A$5:$A$57,I111)+COUNTIF('04_TKS'!$A$5:$A$72,I111)=1,0,1)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4"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IF(COUNTIF('03_Rector'!$A$5:$A$57,I112)+COUNTIF('04_TKS'!$A$5:$A$72,I112)=1,0,1)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4"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IF(COUNTIF('03_Rector'!$A$5:$A$57,I113)+COUNTIF('04_TKS'!$A$5:$A$72,I113)=1,0,1)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4"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IF(COUNTIF('03_Rector'!$A$5:$A$57,I114)+COUNTIF('04_TKS'!$A$5:$A$72,I114)=1,0,1)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4"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IF(COUNTIF('03_Rector'!$A$5:$A$57,I115)+COUNTIF('04_TKS'!$A$5:$A$72,I115)=1,0,1)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4"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IF(COUNTIF('03_Rector'!$A$5:$A$57,I116)+COUNTIF('04_TKS'!$A$5:$A$72,I116)=1,0,1)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4"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IF(COUNTIF('03_Rector'!$A$5:$A$57,I117)+COUNTIF('04_TKS'!$A$5:$A$72,I117)=1,0,1)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4"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IF(COUNTIF('03_Rector'!$A$5:$A$57,I118)+COUNTIF('04_TKS'!$A$5:$A$72,I118)=1,0,1)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4"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IF(COUNTIF('03_Rector'!$A$5:$A$57,I119)+COUNTIF('04_TKS'!$A$5:$A$72,I119)=1,0,1)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4"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IF(COUNTIF('03_Rector'!$A$5:$A$57,I120)+COUNTIF('04_TKS'!$A$5:$A$72,I120)=1,0,1)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4"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IF(COUNTIF('03_Rector'!$A$5:$A$57,I121)+COUNTIF('04_TKS'!$A$5:$A$72,I121)=1,0,1)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4"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IF(COUNTIF('03_Rector'!$A$5:$A$57,I122)+COUNTIF('04_TKS'!$A$5:$A$72,I122)=1,0,1)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4"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IF(COUNTIF('03_Rector'!$A$5:$A$57,I123)+COUNTIF('04_TKS'!$A$5:$A$72,I123)=1,0,1)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4"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IF(COUNTIF('03_Rector'!$A$5:$A$57,I124)+COUNTIF('04_TKS'!$A$5:$A$72,I124)=1,0,1)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4"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IF(COUNTIF('03_Rector'!$A$5:$A$57,I125)+COUNTIF('04_TKS'!$A$5:$A$72,I125)=1,0,1)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55"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IF(COUNTIF('03_Rector'!$A$5:$A$57,I126)+COUNTIF('04_TKS'!$A$5:$A$72,I126)=1,0,1)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4"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IF(COUNTIF('03_Rector'!$A$5:$A$57,I127)+COUNTIF('04_TKS'!$A$5:$A$72,I127)=1,0,1)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conditionalFormatting sqref="M5:M127">
    <x:cfRule type="expression" dxfId="11" priority="1">
      <x:formula>M5&gt;0</x:formula>
    </x:cfRule>
  </x:conditionalFormatting>
  <x:conditionalFormatting sqref="N5:N127">
    <x:cfRule type="expression" dxfId="12" priority="2">
      <x:formula>N5&gt;0</x:formula>
    </x:cfRule>
  </x:conditionalFormatting>
  <x:conditionalFormatting sqref="O5:O127">
    <x:cfRule type="expression" dxfId="13" priority="3">
      <x:formula>O5&gt;0</x:formula>
    </x:cfRule>
  </x:conditionalFormatting>
  <x:conditionalFormatting sqref="P5:P127">
    <x:cfRule type="expression" dxfId="14" priority="4">
      <x:formula>P5&gt;0</x:formula>
    </x:cfRule>
  </x:conditionalFormatting>
  <x:conditionalFormatting sqref="Q5:Q127">
    <x:cfRule type="expression" dxfId="15" priority="5">
      <x:formula>Q5&gt;0</x:formula>
    </x:cfRule>
  </x:conditionalFormatting>
  <x:conditionalFormatting sqref="L5:L127">
    <x:cfRule type="expression" dxfId="27" priority="6">
      <x:formula>OR(ISNUMBER(SEARCH("PENDIENTE",L5)),ISNUMBER(SEARCH("NO_ADOPTABLE",L5)),ISNUMBER(SEARCH("METADATOS",L5)),ISNUMBER(SEARCH("BORRADOR",L5)))</x:formula>
    </x:cfRule>
  </x:conditionalFormatting>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570ab8cbf51248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2" customHeight="1">
      <x:c r="A1" s="6" t="str">
        <x:v>COBERTURA · revisión tradicional e IA</x:v>
      </x:c>
      <x:c r="B1" s="6"/>
      <x:c r="C1" s="6"/>
      <x:c r="D1" s="6"/>
      <x:c r="E1" s="6"/>
      <x:c r="F1" s="6"/>
      <x:c r="G1" s="6"/>
      <x:c r="H1" s="6"/>
    </x:row>
    <x:row r="2" ht="44"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38"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4" customHeight="1">
      <x:c r="A5" s="4" t="str">
        <x:v>E01</x:v>
      </x:c>
      <x:c r="B5" s="4" t="str">
        <x:v>Gobierno y riesgo</x:v>
      </x:c>
      <x:c r="C5" s="4" t="str">
        <x:v>Responsabilidad, políticas, riesgo y aceptación</x:v>
      </x:c>
      <x:c r="D5" s="14" t="n">
        <x:f>COUNTIF('03_Rector'!$G$5:$G$57,A5)</x:f>
        <x:v>6</x:v>
      </x:c>
      <x:c r="E5" s="14" t="n">
        <x:f>COUNTIF('04_TKS'!$E$5:$E$72,A5)</x:f>
        <x:v>2</x:v>
      </x:c>
      <x:c r="F5" s="14"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4" customHeight="1">
      <x:c r="A6" s="4" t="str">
        <x:v>E02</x:v>
      </x:c>
      <x:c r="B6" s="4" t="str">
        <x:v>Activos y arquitectura</x:v>
      </x:c>
      <x:c r="C6" s="4" t="str">
        <x:v>Inventario, dependencias y requisitos de seguridad</x:v>
      </x:c>
      <x:c r="D6" s="14" t="n">
        <x:f>COUNTIF('03_Rector'!$G$5:$G$57,A6)</x:f>
        <x:v>5</x:v>
      </x:c>
      <x:c r="E6" s="14" t="n">
        <x:f>COUNTIF('04_TKS'!$E$5:$E$72,A6)</x:f>
        <x:v>0</x:v>
      </x:c>
      <x:c r="F6" s="14"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4" customHeight="1">
      <x:c r="A7" s="4" t="str">
        <x:v>E03</x:v>
      </x:c>
      <x:c r="B7" s="4" t="str">
        <x:v>Identidad, acceso y privilegios</x:v>
      </x:c>
      <x:c r="C7" s="4" t="str">
        <x:v>Autorización, autenticación, vigencia y revocación</x:v>
      </x:c>
      <x:c r="D7" s="14" t="n">
        <x:f>COUNTIF('03_Rector'!$G$5:$G$57,A7)</x:f>
        <x:v>1</x:v>
      </x:c>
      <x:c r="E7" s="14" t="n">
        <x:f>COUNTIF('04_TKS'!$E$5:$E$72,A7)</x:f>
        <x:v>3</x:v>
      </x:c>
      <x:c r="F7" s="14"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4" customHeight="1">
      <x:c r="A8" s="4" t="str">
        <x:v>E04</x:v>
      </x:c>
      <x:c r="B8" s="4" t="str">
        <x:v>Criptografía y claves</x:v>
      </x:c>
      <x:c r="C8" s="4" t="str">
        <x:v>Protección, protocolos y gestión criptográfica</x:v>
      </x:c>
      <x:c r="D8" s="14" t="n">
        <x:f>COUNTIF('03_Rector'!$G$5:$G$57,A8)</x:f>
        <x:v>2</x:v>
      </x:c>
      <x:c r="E8" s="14" t="n">
        <x:f>COUNTIF('04_TKS'!$E$5:$E$72,A8)</x:f>
        <x:v>0</x:v>
      </x:c>
      <x:c r="F8" s="14"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4" customHeight="1">
      <x:c r="A9" s="4" t="str">
        <x:v>E05</x:v>
      </x:c>
      <x:c r="B9" s="4" t="str">
        <x:v>Redes, sistemas y servicios</x:v>
      </x:c>
      <x:c r="C9" s="4" t="str">
        <x:v>Configuración, operación y mantenimiento seguro</x:v>
      </x:c>
      <x:c r="D9" s="14" t="n">
        <x:f>COUNTIF('03_Rector'!$G$5:$G$57,A9)</x:f>
        <x:v>8</x:v>
      </x:c>
      <x:c r="E9" s="14" t="n">
        <x:f>COUNTIF('04_TKS'!$E$5:$E$72,A9)</x:f>
        <x:v>1</x:v>
      </x:c>
      <x:c r="F9" s="14"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4" customHeight="1">
      <x:c r="A10" s="4" t="str">
        <x:v>E06</x:v>
      </x:c>
      <x:c r="B10" s="4" t="str">
        <x:v>Aplicaciones y desarrollo</x:v>
      </x:c>
      <x:c r="C10" s="4" t="str">
        <x:v>Diseño, verificación, entrega y errores</x:v>
      </x:c>
      <x:c r="D10" s="14" t="n">
        <x:f>COUNTIF('03_Rector'!$G$5:$G$57,A10)</x:f>
        <x:v>4</x:v>
      </x:c>
      <x:c r="E10" s="14" t="n">
        <x:f>COUNTIF('04_TKS'!$E$5:$E$72,A10)</x:f>
        <x:v>2</x:v>
      </x:c>
      <x:c r="F10" s="14"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4" customHeight="1">
      <x:c r="A11" s="4" t="str">
        <x:v>E07</x:v>
      </x:c>
      <x:c r="B11" s="4" t="str">
        <x:v>Nube y cadena de suministro</x:v>
      </x:c>
      <x:c r="C11" s="4" t="str">
        <x:v>Adquisición, dependencias y riesgo externo</x:v>
      </x:c>
      <x:c r="D11" s="14" t="n">
        <x:f>COUNTIF('03_Rector'!$G$5:$G$57,A11)</x:f>
        <x:v>4</x:v>
      </x:c>
      <x:c r="E11" s="14" t="n">
        <x:f>COUNTIF('04_TKS'!$E$5:$E$72,A11)</x:f>
        <x:v>6</x:v>
      </x:c>
      <x:c r="F11" s="14"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4" customHeight="1">
      <x:c r="A12" s="4" t="str">
        <x:v>E08</x:v>
      </x:c>
      <x:c r="B12" s="4" t="str">
        <x:v>Vulnerabilidades y evaluación autorizada</x:v>
      </x:c>
      <x:c r="C12" s="4" t="str">
        <x:v>Alcance, método, evidencia y hallazgos</x:v>
      </x:c>
      <x:c r="D12" s="14" t="n">
        <x:f>COUNTIF('03_Rector'!$G$5:$G$57,A12)</x:f>
        <x:v>2</x:v>
      </x:c>
      <x:c r="E12" s="14" t="n">
        <x:f>COUNTIF('04_TKS'!$E$5:$E$72,A12)</x:f>
        <x:v>5</x:v>
      </x:c>
      <x:c r="F12" s="14"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4" customHeight="1">
      <x:c r="A13" s="4" t="str">
        <x:v>E09</x:v>
      </x:c>
      <x:c r="B13" s="4" t="str">
        <x:v>Detección e inteligencia</x:v>
      </x:c>
      <x:c r="C13" s="4" t="str">
        <x:v>Análisis de alertas, indicadores y amenazas</x:v>
      </x:c>
      <x:c r="D13" s="14" t="n">
        <x:f>COUNTIF('03_Rector'!$G$5:$G$57,A13)</x:f>
        <x:v>4</x:v>
      </x:c>
      <x:c r="E13" s="14" t="n">
        <x:f>COUNTIF('04_TKS'!$E$5:$E$72,A13)</x:f>
        <x:v>3</x:v>
      </x:c>
      <x:c r="F13" s="14"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4" customHeight="1">
      <x:c r="A14" s="4" t="str">
        <x:v>E10</x:v>
      </x:c>
      <x:c r="B14" s="4" t="str">
        <x:v>Forense y custodia</x:v>
      </x:c>
      <x:c r="C14" s="4" t="str">
        <x:v>Adquisición, integridad, cronología y atribución de evidencia</x:v>
      </x:c>
      <x:c r="D14" s="14" t="n">
        <x:f>COUNTIF('03_Rector'!$G$5:$G$57,A14)</x:f>
        <x:v>3</x:v>
      </x:c>
      <x:c r="E14" s="14" t="n">
        <x:f>COUNTIF('04_TKS'!$E$5:$E$72,A14)</x:f>
        <x:v>7</x:v>
      </x:c>
      <x:c r="F14" s="14"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4" customHeight="1">
      <x:c r="A15" s="4" t="str">
        <x:v>E11</x:v>
      </x:c>
      <x:c r="B15" s="4" t="str">
        <x:v>Respuesta a incidentes</x:v>
      </x:c>
      <x:c r="C15" s="4" t="str">
        <x:v>Investigación, coordinación y opciones de respuesta</x:v>
      </x:c>
      <x:c r="D15" s="14" t="n">
        <x:f>COUNTIF('03_Rector'!$G$5:$G$57,A15)</x:f>
        <x:v>1</x:v>
      </x:c>
      <x:c r="E15" s="14" t="n">
        <x:f>COUNTIF('04_TKS'!$E$5:$E$72,A15)</x:f>
        <x:v>2</x:v>
      </x:c>
      <x:c r="F15" s="14"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4" customHeight="1">
      <x:c r="A16" s="4" t="str">
        <x:v>E12</x:v>
      </x:c>
      <x:c r="B16" s="4" t="str">
        <x:v>Continuidad y recuperación</x:v>
      </x:c>
      <x:c r="C16" s="4" t="str">
        <x:v>Requisitos, copias y pruebas de recuperación</x:v>
      </x:c>
      <x:c r="D16" s="14" t="n">
        <x:f>COUNTIF('03_Rector'!$G$5:$G$57,A16)</x:f>
        <x:v>1</x:v>
      </x:c>
      <x:c r="E16" s="14" t="n">
        <x:f>COUNTIF('04_TKS'!$E$5:$E$72,A16)</x:f>
        <x:v>3</x:v>
      </x:c>
      <x:c r="F16" s="14"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4" customHeight="1">
      <x:c r="A17" s="4" t="str">
        <x:v>E13</x:v>
      </x:c>
      <x:c r="B17" s="4" t="str">
        <x:v>Tecnología operacional</x:v>
      </x:c>
      <x:c r="C17" s="4" t="str">
        <x:v>Seguridad física, fiabilidad y restricciones de control</x:v>
      </x:c>
      <x:c r="D17" s="14" t="n">
        <x:f>COUNTIF('03_Rector'!$G$5:$G$57,A17)</x:f>
        <x:v>2</x:v>
      </x:c>
      <x:c r="E17" s="14" t="n">
        <x:f>COUNTIF('04_TKS'!$E$5:$E$72,A17)</x:f>
        <x:v>2</x:v>
      </x:c>
      <x:c r="F17" s="14"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4" customHeight="1">
      <x:c r="A18" s="4" t="str">
        <x:v>E14</x:v>
      </x:c>
      <x:c r="B18" s="4" t="str">
        <x:v>Factores humanos y formación</x:v>
      </x:c>
      <x:c r="C18" s="4" t="str">
        <x:v>Sesgos, interacción, competencias y evaluación</x:v>
      </x:c>
      <x:c r="D18" s="14" t="n">
        <x:f>COUNTIF('03_Rector'!$G$5:$G$57,A18)</x:f>
        <x:v>3</x:v>
      </x:c>
      <x:c r="E18" s="14" t="n">
        <x:f>COUNTIF('04_TKS'!$E$5:$E$72,A18)</x:f>
        <x:v>3</x:v>
      </x:c>
      <x:c r="F18" s="14"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4" customHeight="1">
      <x:c r="A19" s="4" t="str">
        <x:v>E15</x:v>
      </x:c>
      <x:c r="B19" s="4" t="str">
        <x:v>Seguridad física y auditoría</x:v>
      </x:c>
      <x:c r="C19" s="4" t="str">
        <x:v>Dependencias físicas pertinentes y evidencia de controles</x:v>
      </x:c>
      <x:c r="D19" s="14" t="n">
        <x:f>COUNTIF('03_Rector'!$G$5:$G$57,A19)</x:f>
        <x:v>2</x:v>
      </x:c>
      <x:c r="E19" s="14" t="n">
        <x:f>COUNTIF('04_TKS'!$E$5:$E$72,A19)</x:f>
        <x:v>2</x:v>
      </x:c>
      <x:c r="F19" s="14"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4" customHeight="1">
      <x:c r="A20" s="4" t="str">
        <x:v>E16</x:v>
      </x:c>
      <x:c r="B20" s="4" t="str">
        <x:v>Privacidad y derecho</x:v>
      </x:c>
      <x:c r="C20" s="4" t="str">
        <x:v>Jurisdicción, rol, finalidad, autorización y vigencia</x:v>
      </x:c>
      <x:c r="D20" s="14" t="n">
        <x:f>COUNTIF('03_Rector'!$G$5:$G$57,A20)</x:f>
        <x:v>2</x:v>
      </x:c>
      <x:c r="E20" s="14" t="n">
        <x:f>COUNTIF('04_TKS'!$E$5:$E$72,A20)</x:f>
        <x:v>3</x:v>
      </x:c>
      <x:c r="F20" s="14"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4" customHeight="1">
      <x:c r="A21" s="4" t="str">
        <x:v>E17</x:v>
      </x:c>
      <x:c r="B21" s="4" t="str">
        <x:v>Investigación y conocimiento</x:v>
      </x:c>
      <x:c r="C21" s="4" t="str">
        <x:v>Producción, revisión y conservación de conocimiento</x:v>
      </x:c>
      <x:c r="D21" s="14" t="n">
        <x:f>COUNTIF('03_Rector'!$G$5:$G$57,A21)</x:f>
        <x:v>2</x:v>
      </x:c>
      <x:c r="E21" s="14" t="n">
        <x:f>COUNTIF('04_TKS'!$E$5:$E$72,A21)</x:f>
        <x:v>0</x:v>
      </x:c>
      <x:c r="F21" s="14"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4" customHeight="1">
      <x:c r="A22" s="4" t="str">
        <x:v>E18</x:v>
      </x:c>
      <x:c r="B22" s="4" t="str">
        <x:v>Seguridad de sistemas de IA</x:v>
      </x:c>
      <x:c r="C22" s="4" t="str">
        <x:v>Datos, modelo, entrenamiento, inferencia, herramientas y dependencias</x:v>
      </x:c>
      <x:c r="D22" s="14" t="n">
        <x:f>COUNTIF('03_Rector'!$G$5:$G$57,A22)</x:f>
        <x:v>1</x:v>
      </x:c>
      <x:c r="E22" s="14" t="n">
        <x:f>COUNTIF('04_TKS'!$E$5:$E$72,A22)</x:f>
        <x:v>5</x:v>
      </x:c>
      <x:c r="F22" s="14"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4" customHeight="1">
      <x:c r="A23" s="4" t="str">
        <x:v>E19</x:v>
      </x:c>
      <x:c r="B23" s="4" t="str">
        <x:v>IA para ciberseguridad</x:v>
      </x:c>
      <x:c r="C23" s="4" t="str">
        <x:v>Validez, error, sesgo, evaluación e incertidumbre de apoyo analítico</x:v>
      </x:c>
      <x:c r="D23" s="14" t="n">
        <x:f>COUNTIF('03_Rector'!$G$5:$G$57,A23)</x:f>
        <x:v>0</x:v>
      </x:c>
      <x:c r="E23" s="14" t="n">
        <x:f>COUNTIF('04_TKS'!$E$5:$E$72,A23)</x:f>
        <x:v>14</x:v>
      </x:c>
      <x:c r="F23" s="14"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4" customHeight="1">
      <x:c r="A24" s="4" t="str">
        <x:v>E20</x:v>
      </x:c>
      <x:c r="B24" s="4" t="str">
        <x:v>Amenazas facilitadas por IA</x:v>
      </x:c>
      <x:c r="C24" s="4" t="str">
        <x:v>Evolución de capacidades adversarias y calidad de las evidencias</x:v>
      </x:c>
      <x:c r="D24" s="14" t="n">
        <x:f>COUNTIF('03_Rector'!$G$5:$G$57,A24)</x:f>
        <x:v>0</x:v>
      </x:c>
      <x:c r="E24" s="14" t="n">
        <x:f>COUNTIF('04_TKS'!$E$5:$E$72,A24)</x:f>
        <x:v>1</x:v>
      </x:c>
      <x:c r="F24" s="14"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4" customHeight="1">
      <x:c r="A25" s="4" t="str">
        <x:v>E21</x:v>
      </x:c>
      <x:c r="B25" s="4" t="str">
        <x:v>Gobierno transversal de IA</x:v>
      </x:c>
      <x:c r="C25" s="4" t="str">
        <x:v>Responsabilidad, supervisión, revisión y uso delimitado</x:v>
      </x:c>
      <x:c r="D25" s="14" t="n">
        <x:f>COUNTIF('03_Rector'!$G$5:$G$57,A25)</x:f>
        <x:v>0</x:v>
      </x:c>
      <x:c r="E25" s="14" t="n">
        <x:f>COUNTIF('04_TKS'!$E$5:$E$72,A25)</x:f>
        <x:v>4</x:v>
      </x:c>
      <x:c r="F25" s="14"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6d5e48a1744541f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2" customHeight="1">
      <x:c r="A1" s="6" t="str">
        <x:v>MAPA · operaciones candidatas</x:v>
      </x:c>
      <x:c r="B1" s="6"/>
      <x:c r="C1" s="6"/>
      <x:c r="D1" s="6"/>
      <x:c r="E1" s="6"/>
      <x:c r="F1" s="6"/>
      <x:c r="G1" s="6"/>
      <x:c r="H1" s="6"/>
      <x:c r="I1" s="6"/>
      <x:c r="J1" s="6"/>
      <x:c r="K1" s="6"/>
    </x:row>
    <x:row r="2" ht="44" customHeight="1">
      <x:c r="A2" s="8" t="str">
        <x:v>22 productos por identidad profesional. OPC-07 se propone para decisión constitutiva posterior. Ninguno es todavía universo constituido.</x:v>
      </x:c>
      <x:c r="B2" s="8"/>
      <x:c r="C2" s="8"/>
      <x:c r="D2" s="8"/>
      <x:c r="E2" s="8"/>
      <x:c r="F2" s="8"/>
      <x:c r="G2" s="8"/>
      <x:c r="H2" s="8"/>
      <x:c r="I2" s="8"/>
      <x:c r="J2" s="8"/>
      <x:c r="K2" s="8"/>
    </x:row>
    <x:row r="3">
      <x:c r="A3" s="4"/>
      <x:c r="B3" s="4"/>
      <x:c r="C3" s="4"/>
      <x:c r="D3" s="4"/>
      <x:c r="E3" s="4"/>
      <x:c r="F3" s="4"/>
      <x:c r="G3" s="4"/>
      <x:c r="H3" s="4"/>
      <x:c r="I3" s="4"/>
      <x:c r="J3" s="4"/>
      <x:c r="K3" s="4"/>
    </x:row>
    <x:row r="4" ht="38"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4"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COUNTIF('03_Rector'!$H$5:$H$57,A5)+COUNTIF('04_TKS'!$F$5:$F$72,A5)+COUNTIF('05_Complementos'!$J$5:$J$127,A5)</x:f>
        <x:v>21</x:v>
      </x:c>
    </x:row>
    <x:row r="6" ht="44"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COUNTIF('03_Rector'!$H$5:$H$57,A6)+COUNTIF('04_TKS'!$F$5:$F$72,A6)+COUNTIF('05_Complementos'!$J$5:$J$127,A6)</x:f>
        <x:v>9</x:v>
      </x:c>
    </x:row>
    <x:row r="7" ht="44"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COUNTIF('03_Rector'!$H$5:$H$57,A7)+COUNTIF('04_TKS'!$F$5:$F$72,A7)+COUNTIF('05_Complementos'!$J$5:$J$127,A7)</x:f>
        <x:v>10</x:v>
      </x:c>
    </x:row>
    <x:row r="8" ht="44"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COUNTIF('03_Rector'!$H$5:$H$57,A8)+COUNTIF('04_TKS'!$F$5:$F$72,A8)+COUNTIF('05_Complementos'!$J$5:$J$127,A8)</x:f>
        <x:v>15</x:v>
      </x:c>
    </x:row>
    <x:row r="9" ht="44"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COUNTIF('03_Rector'!$H$5:$H$57,A9)+COUNTIF('04_TKS'!$F$5:$F$72,A9)+COUNTIF('05_Complementos'!$J$5:$J$127,A9)</x:f>
        <x:v>14</x:v>
      </x:c>
    </x:row>
    <x:row r="10" ht="44"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COUNTIF('03_Rector'!$H$5:$H$57,A10)+COUNTIF('04_TKS'!$F$5:$F$72,A10)+COUNTIF('05_Complementos'!$J$5:$J$127,A10)</x:f>
        <x:v>14</x:v>
      </x:c>
    </x:row>
    <x:row r="11" ht="44"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COUNTIF('03_Rector'!$H$5:$H$57,A11)+COUNTIF('04_TKS'!$F$5:$F$72,A11)+COUNTIF('05_Complementos'!$J$5:$J$127,A11)</x:f>
        <x:v>16</x:v>
      </x:c>
    </x:row>
    <x:row r="12" ht="44"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COUNTIF('03_Rector'!$H$5:$H$57,A12)+COUNTIF('04_TKS'!$F$5:$F$72,A12)+COUNTIF('05_Complementos'!$J$5:$J$127,A12)</x:f>
        <x:v>8</x:v>
      </x:c>
    </x:row>
    <x:row r="13" ht="44"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COUNTIF('03_Rector'!$H$5:$H$57,A13)+COUNTIF('04_TKS'!$F$5:$F$72,A13)+COUNTIF('05_Complementos'!$J$5:$J$127,A13)</x:f>
        <x:v>11</x:v>
      </x:c>
    </x:row>
    <x:row r="14" ht="44"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COUNTIF('03_Rector'!$H$5:$H$57,A14)+COUNTIF('04_TKS'!$F$5:$F$72,A14)+COUNTIF('05_Complementos'!$J$5:$J$127,A14)</x:f>
        <x:v>17</x:v>
      </x:c>
    </x:row>
    <x:row r="15" ht="44"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COUNTIF('03_Rector'!$H$5:$H$57,A15)+COUNTIF('04_TKS'!$F$5:$F$72,A15)+COUNTIF('05_Complementos'!$J$5:$J$127,A15)</x:f>
        <x:v>5</x:v>
      </x:c>
    </x:row>
    <x:row r="16" ht="44"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COUNTIF('03_Rector'!$H$5:$H$57,A16)+COUNTIF('04_TKS'!$F$5:$F$72,A16)+COUNTIF('05_Complementos'!$J$5:$J$127,A16)</x:f>
        <x:v>16</x:v>
      </x:c>
    </x:row>
    <x:row r="17" ht="44"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COUNTIF('03_Rector'!$H$5:$H$57,A17)+COUNTIF('04_TKS'!$F$5:$F$72,A17)+COUNTIF('05_Complementos'!$J$5:$J$127,A17)</x:f>
        <x:v>7</x:v>
      </x:c>
    </x:row>
    <x:row r="18" ht="44"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COUNTIF('03_Rector'!$H$5:$H$57,A18)+COUNTIF('04_TKS'!$F$5:$F$72,A18)+COUNTIF('05_Complementos'!$J$5:$J$127,A18)</x:f>
        <x:v>6</x:v>
      </x:c>
    </x:row>
    <x:row r="19" ht="44"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COUNTIF('03_Rector'!$H$5:$H$57,A19)+COUNTIF('04_TKS'!$F$5:$F$72,A19)+COUNTIF('05_Complementos'!$J$5:$J$127,A19)</x:f>
        <x:v>42</x:v>
      </x:c>
    </x:row>
    <x:row r="20" ht="44"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COUNTIF('03_Rector'!$H$5:$H$57,A20)+COUNTIF('04_TKS'!$F$5:$F$72,A20)+COUNTIF('05_Complementos'!$J$5:$J$127,A20)</x:f>
        <x:v>5</x:v>
      </x:c>
    </x:row>
    <x:row r="21" ht="44"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COUNTIF('03_Rector'!$H$5:$H$57,A21)+COUNTIF('04_TKS'!$F$5:$F$72,A21)+COUNTIF('05_Complementos'!$J$5:$J$127,A21)</x:f>
        <x:v>17</x:v>
      </x:c>
    </x:row>
    <x:row r="22" ht="44"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COUNTIF('03_Rector'!$H$5:$H$57,A22)+COUNTIF('04_TKS'!$F$5:$F$72,A22)+COUNTIF('05_Complementos'!$J$5:$J$127,A22)</x:f>
        <x:v>3</x:v>
      </x:c>
    </x:row>
    <x:row r="23" ht="44"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COUNTIF('03_Rector'!$H$5:$H$57,A23)+COUNTIF('04_TKS'!$F$5:$F$72,A23)+COUNTIF('05_Complementos'!$J$5:$J$127,A23)</x:f>
        <x:v>3</x:v>
      </x:c>
    </x:row>
    <x:row r="24" ht="44"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COUNTIF('03_Rector'!$H$5:$H$57,A24)+COUNTIF('04_TKS'!$F$5:$F$72,A24)+COUNTIF('05_Complementos'!$J$5:$J$127,A24)</x:f>
        <x:v>2</x:v>
      </x:c>
    </x:row>
    <x:row r="25" ht="44"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COUNTIF('03_Rector'!$H$5:$H$57,A25)+COUNTIF('04_TKS'!$F$5:$F$72,A25)+COUNTIF('05_Complementos'!$J$5:$J$127,A25)</x:f>
        <x:v>1</x:v>
      </x:c>
    </x:row>
    <x:row r="26" ht="44"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COUNTIF('03_Rector'!$H$5:$H$57,A26)+COUNTIF('04_TKS'!$F$5:$F$72,A26)+COUNTIF('05_Complementos'!$J$5:$J$127,A26)</x:f>
        <x:v>2</x:v>
      </x:c>
    </x:row>
  </x:sheetData>
  <x:mergeCells>
    <x:mergeCell ref="A1:D1"/>
    <x:mergeCell ref="A2:F2"/>
  </x:mergeCells>
  <x:conditionalFormatting sqref="I5:I26">
    <x:cfRule type="expression" dxfId="16" priority="1">
      <x:formula>I5&gt;0</x:formula>
    </x:cfRule>
  </x:conditionalFormatting>
  <x:conditionalFormatting sqref="J5:J26">
    <x:cfRule type="expression" dxfId="17" priority="2">
      <x:formula>J5&gt;0</x:formula>
    </x:cfRule>
  </x:conditionalFormatting>
  <x:pageMargins left="0.7" right="0.7" top="0.75" bottom="0.75" header="0.3" footer="0.3"/>
  <x:tableParts count="1">
    <x:tablePart xmlns:r="http://schemas.openxmlformats.org/officeDocument/2006/relationships" r:id="R0147efd2deec46c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2" customHeight="1">
      <x:c r="A1" s="6" t="str">
        <x:v>TRAZABILIDAD · identidad de entradas</x:v>
      </x:c>
      <x:c r="B1" s="6"/>
      <x:c r="C1" s="6"/>
      <x:c r="D1" s="6"/>
      <x:c r="E1" s="6"/>
      <x:c r="F1" s="6"/>
      <x:c r="G1" s="6"/>
      <x:c r="H1" s="6"/>
      <x:c r="I1" s="6"/>
      <x:c r="J1" s="6"/>
      <x:c r="K1" s="6"/>
      <x:c r="L1" s="6"/>
      <x:c r="M1" s="6"/>
      <x:c r="N1" s="6"/>
      <x:c r="O1" s="6"/>
      <x:c r="P1" s="6"/>
    </x:row>
    <x:row r="2" ht="44"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38"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4"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IF(COUNTIF('03_Rector'!$A$5:$A$57,A5)+COUNTIF('04_TKS'!$A$5:$A$72,A5)+COUNTIF('05_Complementos'!$A$5:$A$127,A5)=1,0,1)</x:f>
        <x:v>0</x:v>
      </x:c>
      <x:c r="O5" s="12" t="n">
        <x:f>COUNTIF('08_Trazas'!$A$5:$A$248,A5)-1</x:f>
        <x:v>0</x:v>
      </x:c>
      <x:c r="P5" s="12" t="n">
        <x:f>IF(COUNTIF('02_Custodia'!$A$5:$A$53,C5)=1,0,1)</x:f>
        <x:v>0</x:v>
      </x:c>
    </x:row>
    <x:row r="6" ht="44"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IF(COUNTIF('03_Rector'!$A$5:$A$57,A6)+COUNTIF('04_TKS'!$A$5:$A$72,A6)+COUNTIF('05_Complementos'!$A$5:$A$127,A6)=1,0,1)</x:f>
        <x:v>0</x:v>
      </x:c>
      <x:c r="O6" s="12" t="n">
        <x:f>COUNTIF('08_Trazas'!$A$5:$A$248,A6)-1</x:f>
        <x:v>0</x:v>
      </x:c>
      <x:c r="P6" s="12" t="n">
        <x:f>IF(COUNTIF('02_Custodia'!$A$5:$A$53,C6)=1,0,1)</x:f>
        <x:v>0</x:v>
      </x:c>
    </x:row>
    <x:row r="7" ht="44"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IF(COUNTIF('03_Rector'!$A$5:$A$57,A7)+COUNTIF('04_TKS'!$A$5:$A$72,A7)+COUNTIF('05_Complementos'!$A$5:$A$127,A7)=1,0,1)</x:f>
        <x:v>0</x:v>
      </x:c>
      <x:c r="O7" s="12" t="n">
        <x:f>COUNTIF('08_Trazas'!$A$5:$A$248,A7)-1</x:f>
        <x:v>0</x:v>
      </x:c>
      <x:c r="P7" s="12" t="n">
        <x:f>IF(COUNTIF('02_Custodia'!$A$5:$A$53,C7)=1,0,1)</x:f>
        <x:v>0</x:v>
      </x:c>
    </x:row>
    <x:row r="8" ht="44"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IF(COUNTIF('03_Rector'!$A$5:$A$57,A8)+COUNTIF('04_TKS'!$A$5:$A$72,A8)+COUNTIF('05_Complementos'!$A$5:$A$127,A8)=1,0,1)</x:f>
        <x:v>0</x:v>
      </x:c>
      <x:c r="O8" s="12" t="n">
        <x:f>COUNTIF('08_Trazas'!$A$5:$A$248,A8)-1</x:f>
        <x:v>0</x:v>
      </x:c>
      <x:c r="P8" s="12" t="n">
        <x:f>IF(COUNTIF('02_Custodia'!$A$5:$A$53,C8)=1,0,1)</x:f>
        <x:v>0</x:v>
      </x:c>
    </x:row>
    <x:row r="9" ht="44"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IF(COUNTIF('03_Rector'!$A$5:$A$57,A9)+COUNTIF('04_TKS'!$A$5:$A$72,A9)+COUNTIF('05_Complementos'!$A$5:$A$127,A9)=1,0,1)</x:f>
        <x:v>0</x:v>
      </x:c>
      <x:c r="O9" s="12" t="n">
        <x:f>COUNTIF('08_Trazas'!$A$5:$A$248,A9)-1</x:f>
        <x:v>0</x:v>
      </x:c>
      <x:c r="P9" s="12" t="n">
        <x:f>IF(COUNTIF('02_Custodia'!$A$5:$A$53,C9)=1,0,1)</x:f>
        <x:v>0</x:v>
      </x:c>
    </x:row>
    <x:row r="10" ht="44"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IF(COUNTIF('03_Rector'!$A$5:$A$57,A10)+COUNTIF('04_TKS'!$A$5:$A$72,A10)+COUNTIF('05_Complementos'!$A$5:$A$127,A10)=1,0,1)</x:f>
        <x:v>0</x:v>
      </x:c>
      <x:c r="O10" s="12" t="n">
        <x:f>COUNTIF('08_Trazas'!$A$5:$A$248,A10)-1</x:f>
        <x:v>0</x:v>
      </x:c>
      <x:c r="P10" s="12" t="n">
        <x:f>IF(COUNTIF('02_Custodia'!$A$5:$A$53,C10)=1,0,1)</x:f>
        <x:v>0</x:v>
      </x:c>
    </x:row>
    <x:row r="11" ht="44"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IF(COUNTIF('03_Rector'!$A$5:$A$57,A11)+COUNTIF('04_TKS'!$A$5:$A$72,A11)+COUNTIF('05_Complementos'!$A$5:$A$127,A11)=1,0,1)</x:f>
        <x:v>0</x:v>
      </x:c>
      <x:c r="O11" s="12" t="n">
        <x:f>COUNTIF('08_Trazas'!$A$5:$A$248,A11)-1</x:f>
        <x:v>0</x:v>
      </x:c>
      <x:c r="P11" s="12" t="n">
        <x:f>IF(COUNTIF('02_Custodia'!$A$5:$A$53,C11)=1,0,1)</x:f>
        <x:v>0</x:v>
      </x:c>
    </x:row>
    <x:row r="12" ht="44"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IF(COUNTIF('03_Rector'!$A$5:$A$57,A12)+COUNTIF('04_TKS'!$A$5:$A$72,A12)+COUNTIF('05_Complementos'!$A$5:$A$127,A12)=1,0,1)</x:f>
        <x:v>0</x:v>
      </x:c>
      <x:c r="O12" s="12" t="n">
        <x:f>COUNTIF('08_Trazas'!$A$5:$A$248,A12)-1</x:f>
        <x:v>0</x:v>
      </x:c>
      <x:c r="P12" s="12" t="n">
        <x:f>IF(COUNTIF('02_Custodia'!$A$5:$A$53,C12)=1,0,1)</x:f>
        <x:v>0</x:v>
      </x:c>
    </x:row>
    <x:row r="13" ht="44"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IF(COUNTIF('03_Rector'!$A$5:$A$57,A13)+COUNTIF('04_TKS'!$A$5:$A$72,A13)+COUNTIF('05_Complementos'!$A$5:$A$127,A13)=1,0,1)</x:f>
        <x:v>0</x:v>
      </x:c>
      <x:c r="O13" s="12" t="n">
        <x:f>COUNTIF('08_Trazas'!$A$5:$A$248,A13)-1</x:f>
        <x:v>0</x:v>
      </x:c>
      <x:c r="P13" s="12" t="n">
        <x:f>IF(COUNTIF('02_Custodia'!$A$5:$A$53,C13)=1,0,1)</x:f>
        <x:v>0</x:v>
      </x:c>
    </x:row>
    <x:row r="14" ht="44"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IF(COUNTIF('03_Rector'!$A$5:$A$57,A14)+COUNTIF('04_TKS'!$A$5:$A$72,A14)+COUNTIF('05_Complementos'!$A$5:$A$127,A14)=1,0,1)</x:f>
        <x:v>0</x:v>
      </x:c>
      <x:c r="O14" s="12" t="n">
        <x:f>COUNTIF('08_Trazas'!$A$5:$A$248,A14)-1</x:f>
        <x:v>0</x:v>
      </x:c>
      <x:c r="P14" s="12" t="n">
        <x:f>IF(COUNTIF('02_Custodia'!$A$5:$A$53,C14)=1,0,1)</x:f>
        <x:v>0</x:v>
      </x:c>
    </x:row>
    <x:row r="15" ht="44"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IF(COUNTIF('03_Rector'!$A$5:$A$57,A15)+COUNTIF('04_TKS'!$A$5:$A$72,A15)+COUNTIF('05_Complementos'!$A$5:$A$127,A15)=1,0,1)</x:f>
        <x:v>0</x:v>
      </x:c>
      <x:c r="O15" s="12" t="n">
        <x:f>COUNTIF('08_Trazas'!$A$5:$A$248,A15)-1</x:f>
        <x:v>0</x:v>
      </x:c>
      <x:c r="P15" s="12" t="n">
        <x:f>IF(COUNTIF('02_Custodia'!$A$5:$A$53,C15)=1,0,1)</x:f>
        <x:v>0</x:v>
      </x:c>
    </x:row>
    <x:row r="16" ht="44"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IF(COUNTIF('03_Rector'!$A$5:$A$57,A16)+COUNTIF('04_TKS'!$A$5:$A$72,A16)+COUNTIF('05_Complementos'!$A$5:$A$127,A16)=1,0,1)</x:f>
        <x:v>0</x:v>
      </x:c>
      <x:c r="O16" s="12" t="n">
        <x:f>COUNTIF('08_Trazas'!$A$5:$A$248,A16)-1</x:f>
        <x:v>0</x:v>
      </x:c>
      <x:c r="P16" s="12" t="n">
        <x:f>IF(COUNTIF('02_Custodia'!$A$5:$A$53,C16)=1,0,1)</x:f>
        <x:v>0</x:v>
      </x:c>
    </x:row>
    <x:row r="17" ht="44"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IF(COUNTIF('03_Rector'!$A$5:$A$57,A17)+COUNTIF('04_TKS'!$A$5:$A$72,A17)+COUNTIF('05_Complementos'!$A$5:$A$127,A17)=1,0,1)</x:f>
        <x:v>0</x:v>
      </x:c>
      <x:c r="O17" s="12" t="n">
        <x:f>COUNTIF('08_Trazas'!$A$5:$A$248,A17)-1</x:f>
        <x:v>0</x:v>
      </x:c>
      <x:c r="P17" s="12" t="n">
        <x:f>IF(COUNTIF('02_Custodia'!$A$5:$A$53,C17)=1,0,1)</x:f>
        <x:v>0</x:v>
      </x:c>
    </x:row>
    <x:row r="18" ht="44"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IF(COUNTIF('03_Rector'!$A$5:$A$57,A18)+COUNTIF('04_TKS'!$A$5:$A$72,A18)+COUNTIF('05_Complementos'!$A$5:$A$127,A18)=1,0,1)</x:f>
        <x:v>0</x:v>
      </x:c>
      <x:c r="O18" s="12" t="n">
        <x:f>COUNTIF('08_Trazas'!$A$5:$A$248,A18)-1</x:f>
        <x:v>0</x:v>
      </x:c>
      <x:c r="P18" s="12" t="n">
        <x:f>IF(COUNTIF('02_Custodia'!$A$5:$A$53,C18)=1,0,1)</x:f>
        <x:v>0</x:v>
      </x:c>
    </x:row>
    <x:row r="19" ht="44"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IF(COUNTIF('03_Rector'!$A$5:$A$57,A19)+COUNTIF('04_TKS'!$A$5:$A$72,A19)+COUNTIF('05_Complementos'!$A$5:$A$127,A19)=1,0,1)</x:f>
        <x:v>0</x:v>
      </x:c>
      <x:c r="O19" s="12" t="n">
        <x:f>COUNTIF('08_Trazas'!$A$5:$A$248,A19)-1</x:f>
        <x:v>0</x:v>
      </x:c>
      <x:c r="P19" s="12" t="n">
        <x:f>IF(COUNTIF('02_Custodia'!$A$5:$A$53,C19)=1,0,1)</x:f>
        <x:v>0</x:v>
      </x:c>
    </x:row>
    <x:row r="20" ht="44"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IF(COUNTIF('03_Rector'!$A$5:$A$57,A20)+COUNTIF('04_TKS'!$A$5:$A$72,A20)+COUNTIF('05_Complementos'!$A$5:$A$127,A20)=1,0,1)</x:f>
        <x:v>0</x:v>
      </x:c>
      <x:c r="O20" s="12" t="n">
        <x:f>COUNTIF('08_Trazas'!$A$5:$A$248,A20)-1</x:f>
        <x:v>0</x:v>
      </x:c>
      <x:c r="P20" s="12" t="n">
        <x:f>IF(COUNTIF('02_Custodia'!$A$5:$A$53,C20)=1,0,1)</x:f>
        <x:v>0</x:v>
      </x:c>
    </x:row>
    <x:row r="21" ht="44"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IF(COUNTIF('03_Rector'!$A$5:$A$57,A21)+COUNTIF('04_TKS'!$A$5:$A$72,A21)+COUNTIF('05_Complementos'!$A$5:$A$127,A21)=1,0,1)</x:f>
        <x:v>0</x:v>
      </x:c>
      <x:c r="O21" s="12" t="n">
        <x:f>COUNTIF('08_Trazas'!$A$5:$A$248,A21)-1</x:f>
        <x:v>0</x:v>
      </x:c>
      <x:c r="P21" s="12" t="n">
        <x:f>IF(COUNTIF('02_Custodia'!$A$5:$A$53,C21)=1,0,1)</x:f>
        <x:v>0</x:v>
      </x:c>
    </x:row>
    <x:row r="22" ht="44"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IF(COUNTIF('03_Rector'!$A$5:$A$57,A22)+COUNTIF('04_TKS'!$A$5:$A$72,A22)+COUNTIF('05_Complementos'!$A$5:$A$127,A22)=1,0,1)</x:f>
        <x:v>0</x:v>
      </x:c>
      <x:c r="O22" s="12" t="n">
        <x:f>COUNTIF('08_Trazas'!$A$5:$A$248,A22)-1</x:f>
        <x:v>0</x:v>
      </x:c>
      <x:c r="P22" s="12" t="n">
        <x:f>IF(COUNTIF('02_Custodia'!$A$5:$A$53,C22)=1,0,1)</x:f>
        <x:v>0</x:v>
      </x:c>
    </x:row>
    <x:row r="23" ht="44"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IF(COUNTIF('03_Rector'!$A$5:$A$57,A23)+COUNTIF('04_TKS'!$A$5:$A$72,A23)+COUNTIF('05_Complementos'!$A$5:$A$127,A23)=1,0,1)</x:f>
        <x:v>0</x:v>
      </x:c>
      <x:c r="O23" s="12" t="n">
        <x:f>COUNTIF('08_Trazas'!$A$5:$A$248,A23)-1</x:f>
        <x:v>0</x:v>
      </x:c>
      <x:c r="P23" s="12" t="n">
        <x:f>IF(COUNTIF('02_Custodia'!$A$5:$A$53,C23)=1,0,1)</x:f>
        <x:v>0</x:v>
      </x:c>
    </x:row>
    <x:row r="24" ht="44"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IF(COUNTIF('03_Rector'!$A$5:$A$57,A24)+COUNTIF('04_TKS'!$A$5:$A$72,A24)+COUNTIF('05_Complementos'!$A$5:$A$127,A24)=1,0,1)</x:f>
        <x:v>0</x:v>
      </x:c>
      <x:c r="O24" s="12" t="n">
        <x:f>COUNTIF('08_Trazas'!$A$5:$A$248,A24)-1</x:f>
        <x:v>0</x:v>
      </x:c>
      <x:c r="P24" s="12" t="n">
        <x:f>IF(COUNTIF('02_Custodia'!$A$5:$A$53,C24)=1,0,1)</x:f>
        <x:v>0</x:v>
      </x:c>
    </x:row>
    <x:row r="25" ht="44"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IF(COUNTIF('03_Rector'!$A$5:$A$57,A25)+COUNTIF('04_TKS'!$A$5:$A$72,A25)+COUNTIF('05_Complementos'!$A$5:$A$127,A25)=1,0,1)</x:f>
        <x:v>0</x:v>
      </x:c>
      <x:c r="O25" s="12" t="n">
        <x:f>COUNTIF('08_Trazas'!$A$5:$A$248,A25)-1</x:f>
        <x:v>0</x:v>
      </x:c>
      <x:c r="P25" s="12" t="n">
        <x:f>IF(COUNTIF('02_Custodia'!$A$5:$A$53,C25)=1,0,1)</x:f>
        <x:v>0</x:v>
      </x:c>
    </x:row>
    <x:row r="26" ht="44"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IF(COUNTIF('03_Rector'!$A$5:$A$57,A26)+COUNTIF('04_TKS'!$A$5:$A$72,A26)+COUNTIF('05_Complementos'!$A$5:$A$127,A26)=1,0,1)</x:f>
        <x:v>0</x:v>
      </x:c>
      <x:c r="O26" s="12" t="n">
        <x:f>COUNTIF('08_Trazas'!$A$5:$A$248,A26)-1</x:f>
        <x:v>0</x:v>
      </x:c>
      <x:c r="P26" s="12" t="n">
        <x:f>IF(COUNTIF('02_Custodia'!$A$5:$A$53,C26)=1,0,1)</x:f>
        <x:v>0</x:v>
      </x:c>
    </x:row>
    <x:row r="27" ht="44"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IF(COUNTIF('03_Rector'!$A$5:$A$57,A27)+COUNTIF('04_TKS'!$A$5:$A$72,A27)+COUNTIF('05_Complementos'!$A$5:$A$127,A27)=1,0,1)</x:f>
        <x:v>0</x:v>
      </x:c>
      <x:c r="O27" s="12" t="n">
        <x:f>COUNTIF('08_Trazas'!$A$5:$A$248,A27)-1</x:f>
        <x:v>0</x:v>
      </x:c>
      <x:c r="P27" s="12" t="n">
        <x:f>IF(COUNTIF('02_Custodia'!$A$5:$A$53,C27)=1,0,1)</x:f>
        <x:v>0</x:v>
      </x:c>
    </x:row>
    <x:row r="28" ht="44"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IF(COUNTIF('03_Rector'!$A$5:$A$57,A28)+COUNTIF('04_TKS'!$A$5:$A$72,A28)+COUNTIF('05_Complementos'!$A$5:$A$127,A28)=1,0,1)</x:f>
        <x:v>0</x:v>
      </x:c>
      <x:c r="O28" s="12" t="n">
        <x:f>COUNTIF('08_Trazas'!$A$5:$A$248,A28)-1</x:f>
        <x:v>0</x:v>
      </x:c>
      <x:c r="P28" s="12" t="n">
        <x:f>IF(COUNTIF('02_Custodia'!$A$5:$A$53,C28)=1,0,1)</x:f>
        <x:v>0</x:v>
      </x:c>
    </x:row>
    <x:row r="29" ht="44"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IF(COUNTIF('03_Rector'!$A$5:$A$57,A29)+COUNTIF('04_TKS'!$A$5:$A$72,A29)+COUNTIF('05_Complementos'!$A$5:$A$127,A29)=1,0,1)</x:f>
        <x:v>0</x:v>
      </x:c>
      <x:c r="O29" s="12" t="n">
        <x:f>COUNTIF('08_Trazas'!$A$5:$A$248,A29)-1</x:f>
        <x:v>0</x:v>
      </x:c>
      <x:c r="P29" s="12" t="n">
        <x:f>IF(COUNTIF('02_Custodia'!$A$5:$A$53,C29)=1,0,1)</x:f>
        <x:v>0</x:v>
      </x:c>
    </x:row>
    <x:row r="30" ht="44"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IF(COUNTIF('03_Rector'!$A$5:$A$57,A30)+COUNTIF('04_TKS'!$A$5:$A$72,A30)+COUNTIF('05_Complementos'!$A$5:$A$127,A30)=1,0,1)</x:f>
        <x:v>0</x:v>
      </x:c>
      <x:c r="O30" s="12" t="n">
        <x:f>COUNTIF('08_Trazas'!$A$5:$A$248,A30)-1</x:f>
        <x:v>0</x:v>
      </x:c>
      <x:c r="P30" s="12" t="n">
        <x:f>IF(COUNTIF('02_Custodia'!$A$5:$A$53,C30)=1,0,1)</x:f>
        <x:v>0</x:v>
      </x:c>
    </x:row>
    <x:row r="31" ht="44"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IF(COUNTIF('03_Rector'!$A$5:$A$57,A31)+COUNTIF('04_TKS'!$A$5:$A$72,A31)+COUNTIF('05_Complementos'!$A$5:$A$127,A31)=1,0,1)</x:f>
        <x:v>0</x:v>
      </x:c>
      <x:c r="O31" s="12" t="n">
        <x:f>COUNTIF('08_Trazas'!$A$5:$A$248,A31)-1</x:f>
        <x:v>0</x:v>
      </x:c>
      <x:c r="P31" s="12" t="n">
        <x:f>IF(COUNTIF('02_Custodia'!$A$5:$A$53,C31)=1,0,1)</x:f>
        <x:v>0</x:v>
      </x:c>
    </x:row>
    <x:row r="32" ht="44"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IF(COUNTIF('03_Rector'!$A$5:$A$57,A32)+COUNTIF('04_TKS'!$A$5:$A$72,A32)+COUNTIF('05_Complementos'!$A$5:$A$127,A32)=1,0,1)</x:f>
        <x:v>0</x:v>
      </x:c>
      <x:c r="O32" s="12" t="n">
        <x:f>COUNTIF('08_Trazas'!$A$5:$A$248,A32)-1</x:f>
        <x:v>0</x:v>
      </x:c>
      <x:c r="P32" s="12" t="n">
        <x:f>IF(COUNTIF('02_Custodia'!$A$5:$A$53,C32)=1,0,1)</x:f>
        <x:v>0</x:v>
      </x:c>
    </x:row>
    <x:row r="33" ht="44"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IF(COUNTIF('03_Rector'!$A$5:$A$57,A33)+COUNTIF('04_TKS'!$A$5:$A$72,A33)+COUNTIF('05_Complementos'!$A$5:$A$127,A33)=1,0,1)</x:f>
        <x:v>0</x:v>
      </x:c>
      <x:c r="O33" s="12" t="n">
        <x:f>COUNTIF('08_Trazas'!$A$5:$A$248,A33)-1</x:f>
        <x:v>0</x:v>
      </x:c>
      <x:c r="P33" s="12" t="n">
        <x:f>IF(COUNTIF('02_Custodia'!$A$5:$A$53,C33)=1,0,1)</x:f>
        <x:v>0</x:v>
      </x:c>
    </x:row>
    <x:row r="34" ht="44"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IF(COUNTIF('03_Rector'!$A$5:$A$57,A34)+COUNTIF('04_TKS'!$A$5:$A$72,A34)+COUNTIF('05_Complementos'!$A$5:$A$127,A34)=1,0,1)</x:f>
        <x:v>0</x:v>
      </x:c>
      <x:c r="O34" s="12" t="n">
        <x:f>COUNTIF('08_Trazas'!$A$5:$A$248,A34)-1</x:f>
        <x:v>0</x:v>
      </x:c>
      <x:c r="P34" s="12" t="n">
        <x:f>IF(COUNTIF('02_Custodia'!$A$5:$A$53,C34)=1,0,1)</x:f>
        <x:v>0</x:v>
      </x:c>
    </x:row>
    <x:row r="35" ht="44"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IF(COUNTIF('03_Rector'!$A$5:$A$57,A35)+COUNTIF('04_TKS'!$A$5:$A$72,A35)+COUNTIF('05_Complementos'!$A$5:$A$127,A35)=1,0,1)</x:f>
        <x:v>0</x:v>
      </x:c>
      <x:c r="O35" s="12" t="n">
        <x:f>COUNTIF('08_Trazas'!$A$5:$A$248,A35)-1</x:f>
        <x:v>0</x:v>
      </x:c>
      <x:c r="P35" s="12" t="n">
        <x:f>IF(COUNTIF('02_Custodia'!$A$5:$A$53,C35)=1,0,1)</x:f>
        <x:v>0</x:v>
      </x:c>
    </x:row>
    <x:row r="36" ht="44"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IF(COUNTIF('03_Rector'!$A$5:$A$57,A36)+COUNTIF('04_TKS'!$A$5:$A$72,A36)+COUNTIF('05_Complementos'!$A$5:$A$127,A36)=1,0,1)</x:f>
        <x:v>0</x:v>
      </x:c>
      <x:c r="O36" s="12" t="n">
        <x:f>COUNTIF('08_Trazas'!$A$5:$A$248,A36)-1</x:f>
        <x:v>0</x:v>
      </x:c>
      <x:c r="P36" s="12" t="n">
        <x:f>IF(COUNTIF('02_Custodia'!$A$5:$A$53,C36)=1,0,1)</x:f>
        <x:v>0</x:v>
      </x:c>
    </x:row>
    <x:row r="37" ht="44"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IF(COUNTIF('03_Rector'!$A$5:$A$57,A37)+COUNTIF('04_TKS'!$A$5:$A$72,A37)+COUNTIF('05_Complementos'!$A$5:$A$127,A37)=1,0,1)</x:f>
        <x:v>0</x:v>
      </x:c>
      <x:c r="O37" s="12" t="n">
        <x:f>COUNTIF('08_Trazas'!$A$5:$A$248,A37)-1</x:f>
        <x:v>0</x:v>
      </x:c>
      <x:c r="P37" s="12" t="n">
        <x:f>IF(COUNTIF('02_Custodia'!$A$5:$A$53,C37)=1,0,1)</x:f>
        <x:v>0</x:v>
      </x:c>
    </x:row>
    <x:row r="38" ht="44"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IF(COUNTIF('03_Rector'!$A$5:$A$57,A38)+COUNTIF('04_TKS'!$A$5:$A$72,A38)+COUNTIF('05_Complementos'!$A$5:$A$127,A38)=1,0,1)</x:f>
        <x:v>0</x:v>
      </x:c>
      <x:c r="O38" s="12" t="n">
        <x:f>COUNTIF('08_Trazas'!$A$5:$A$248,A38)-1</x:f>
        <x:v>0</x:v>
      </x:c>
      <x:c r="P38" s="12" t="n">
        <x:f>IF(COUNTIF('02_Custodia'!$A$5:$A$53,C38)=1,0,1)</x:f>
        <x:v>0</x:v>
      </x:c>
    </x:row>
    <x:row r="39" ht="44"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IF(COUNTIF('03_Rector'!$A$5:$A$57,A39)+COUNTIF('04_TKS'!$A$5:$A$72,A39)+COUNTIF('05_Complementos'!$A$5:$A$127,A39)=1,0,1)</x:f>
        <x:v>0</x:v>
      </x:c>
      <x:c r="O39" s="12" t="n">
        <x:f>COUNTIF('08_Trazas'!$A$5:$A$248,A39)-1</x:f>
        <x:v>0</x:v>
      </x:c>
      <x:c r="P39" s="12" t="n">
        <x:f>IF(COUNTIF('02_Custodia'!$A$5:$A$53,C39)=1,0,1)</x:f>
        <x:v>0</x:v>
      </x:c>
    </x:row>
    <x:row r="40" ht="44"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IF(COUNTIF('03_Rector'!$A$5:$A$57,A40)+COUNTIF('04_TKS'!$A$5:$A$72,A40)+COUNTIF('05_Complementos'!$A$5:$A$127,A40)=1,0,1)</x:f>
        <x:v>0</x:v>
      </x:c>
      <x:c r="O40" s="12" t="n">
        <x:f>COUNTIF('08_Trazas'!$A$5:$A$248,A40)-1</x:f>
        <x:v>0</x:v>
      </x:c>
      <x:c r="P40" s="12" t="n">
        <x:f>IF(COUNTIF('02_Custodia'!$A$5:$A$53,C40)=1,0,1)</x:f>
        <x:v>0</x:v>
      </x:c>
    </x:row>
    <x:row r="41" ht="44"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IF(COUNTIF('03_Rector'!$A$5:$A$57,A41)+COUNTIF('04_TKS'!$A$5:$A$72,A41)+COUNTIF('05_Complementos'!$A$5:$A$127,A41)=1,0,1)</x:f>
        <x:v>0</x:v>
      </x:c>
      <x:c r="O41" s="12" t="n">
        <x:f>COUNTIF('08_Trazas'!$A$5:$A$248,A41)-1</x:f>
        <x:v>0</x:v>
      </x:c>
      <x:c r="P41" s="12" t="n">
        <x:f>IF(COUNTIF('02_Custodia'!$A$5:$A$53,C41)=1,0,1)</x:f>
        <x:v>0</x:v>
      </x:c>
    </x:row>
    <x:row r="42" ht="44"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IF(COUNTIF('03_Rector'!$A$5:$A$57,A42)+COUNTIF('04_TKS'!$A$5:$A$72,A42)+COUNTIF('05_Complementos'!$A$5:$A$127,A42)=1,0,1)</x:f>
        <x:v>0</x:v>
      </x:c>
      <x:c r="O42" s="12" t="n">
        <x:f>COUNTIF('08_Trazas'!$A$5:$A$248,A42)-1</x:f>
        <x:v>0</x:v>
      </x:c>
      <x:c r="P42" s="12" t="n">
        <x:f>IF(COUNTIF('02_Custodia'!$A$5:$A$53,C42)=1,0,1)</x:f>
        <x:v>0</x:v>
      </x:c>
    </x:row>
    <x:row r="43" ht="44"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IF(COUNTIF('03_Rector'!$A$5:$A$57,A43)+COUNTIF('04_TKS'!$A$5:$A$72,A43)+COUNTIF('05_Complementos'!$A$5:$A$127,A43)=1,0,1)</x:f>
        <x:v>0</x:v>
      </x:c>
      <x:c r="O43" s="12" t="n">
        <x:f>COUNTIF('08_Trazas'!$A$5:$A$248,A43)-1</x:f>
        <x:v>0</x:v>
      </x:c>
      <x:c r="P43" s="12" t="n">
        <x:f>IF(COUNTIF('02_Custodia'!$A$5:$A$53,C43)=1,0,1)</x:f>
        <x:v>0</x:v>
      </x:c>
    </x:row>
    <x:row r="44" ht="44"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IF(COUNTIF('03_Rector'!$A$5:$A$57,A44)+COUNTIF('04_TKS'!$A$5:$A$72,A44)+COUNTIF('05_Complementos'!$A$5:$A$127,A44)=1,0,1)</x:f>
        <x:v>0</x:v>
      </x:c>
      <x:c r="O44" s="12" t="n">
        <x:f>COUNTIF('08_Trazas'!$A$5:$A$248,A44)-1</x:f>
        <x:v>0</x:v>
      </x:c>
      <x:c r="P44" s="12" t="n">
        <x:f>IF(COUNTIF('02_Custodia'!$A$5:$A$53,C44)=1,0,1)</x:f>
        <x:v>0</x:v>
      </x:c>
    </x:row>
    <x:row r="45" ht="44"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IF(COUNTIF('03_Rector'!$A$5:$A$57,A45)+COUNTIF('04_TKS'!$A$5:$A$72,A45)+COUNTIF('05_Complementos'!$A$5:$A$127,A45)=1,0,1)</x:f>
        <x:v>0</x:v>
      </x:c>
      <x:c r="O45" s="12" t="n">
        <x:f>COUNTIF('08_Trazas'!$A$5:$A$248,A45)-1</x:f>
        <x:v>0</x:v>
      </x:c>
      <x:c r="P45" s="12" t="n">
        <x:f>IF(COUNTIF('02_Custodia'!$A$5:$A$53,C45)=1,0,1)</x:f>
        <x:v>0</x:v>
      </x:c>
    </x:row>
    <x:row r="46" ht="44"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IF(COUNTIF('03_Rector'!$A$5:$A$57,A46)+COUNTIF('04_TKS'!$A$5:$A$72,A46)+COUNTIF('05_Complementos'!$A$5:$A$127,A46)=1,0,1)</x:f>
        <x:v>0</x:v>
      </x:c>
      <x:c r="O46" s="12" t="n">
        <x:f>COUNTIF('08_Trazas'!$A$5:$A$248,A46)-1</x:f>
        <x:v>0</x:v>
      </x:c>
      <x:c r="P46" s="12" t="n">
        <x:f>IF(COUNTIF('02_Custodia'!$A$5:$A$53,C46)=1,0,1)</x:f>
        <x:v>0</x:v>
      </x:c>
    </x:row>
    <x:row r="47" ht="44"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IF(COUNTIF('03_Rector'!$A$5:$A$57,A47)+COUNTIF('04_TKS'!$A$5:$A$72,A47)+COUNTIF('05_Complementos'!$A$5:$A$127,A47)=1,0,1)</x:f>
        <x:v>0</x:v>
      </x:c>
      <x:c r="O47" s="12" t="n">
        <x:f>COUNTIF('08_Trazas'!$A$5:$A$248,A47)-1</x:f>
        <x:v>0</x:v>
      </x:c>
      <x:c r="P47" s="12" t="n">
        <x:f>IF(COUNTIF('02_Custodia'!$A$5:$A$53,C47)=1,0,1)</x:f>
        <x:v>0</x:v>
      </x:c>
    </x:row>
    <x:row r="48" ht="44"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IF(COUNTIF('03_Rector'!$A$5:$A$57,A48)+COUNTIF('04_TKS'!$A$5:$A$72,A48)+COUNTIF('05_Complementos'!$A$5:$A$127,A48)=1,0,1)</x:f>
        <x:v>0</x:v>
      </x:c>
      <x:c r="O48" s="12" t="n">
        <x:f>COUNTIF('08_Trazas'!$A$5:$A$248,A48)-1</x:f>
        <x:v>0</x:v>
      </x:c>
      <x:c r="P48" s="12" t="n">
        <x:f>IF(COUNTIF('02_Custodia'!$A$5:$A$53,C48)=1,0,1)</x:f>
        <x:v>0</x:v>
      </x:c>
    </x:row>
    <x:row r="49" ht="44"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IF(COUNTIF('03_Rector'!$A$5:$A$57,A49)+COUNTIF('04_TKS'!$A$5:$A$72,A49)+COUNTIF('05_Complementos'!$A$5:$A$127,A49)=1,0,1)</x:f>
        <x:v>0</x:v>
      </x:c>
      <x:c r="O49" s="12" t="n">
        <x:f>COUNTIF('08_Trazas'!$A$5:$A$248,A49)-1</x:f>
        <x:v>0</x:v>
      </x:c>
      <x:c r="P49" s="12" t="n">
        <x:f>IF(COUNTIF('02_Custodia'!$A$5:$A$53,C49)=1,0,1)</x:f>
        <x:v>0</x:v>
      </x:c>
    </x:row>
    <x:row r="50" ht="44"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IF(COUNTIF('03_Rector'!$A$5:$A$57,A50)+COUNTIF('04_TKS'!$A$5:$A$72,A50)+COUNTIF('05_Complementos'!$A$5:$A$127,A50)=1,0,1)</x:f>
        <x:v>0</x:v>
      </x:c>
      <x:c r="O50" s="12" t="n">
        <x:f>COUNTIF('08_Trazas'!$A$5:$A$248,A50)-1</x:f>
        <x:v>0</x:v>
      </x:c>
      <x:c r="P50" s="12" t="n">
        <x:f>IF(COUNTIF('02_Custodia'!$A$5:$A$53,C50)=1,0,1)</x:f>
        <x:v>0</x:v>
      </x:c>
    </x:row>
    <x:row r="51" ht="44"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IF(COUNTIF('03_Rector'!$A$5:$A$57,A51)+COUNTIF('04_TKS'!$A$5:$A$72,A51)+COUNTIF('05_Complementos'!$A$5:$A$127,A51)=1,0,1)</x:f>
        <x:v>0</x:v>
      </x:c>
      <x:c r="O51" s="12" t="n">
        <x:f>COUNTIF('08_Trazas'!$A$5:$A$248,A51)-1</x:f>
        <x:v>0</x:v>
      </x:c>
      <x:c r="P51" s="12" t="n">
        <x:f>IF(COUNTIF('02_Custodia'!$A$5:$A$53,C51)=1,0,1)</x:f>
        <x:v>0</x:v>
      </x:c>
    </x:row>
    <x:row r="52" ht="44"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IF(COUNTIF('03_Rector'!$A$5:$A$57,A52)+COUNTIF('04_TKS'!$A$5:$A$72,A52)+COUNTIF('05_Complementos'!$A$5:$A$127,A52)=1,0,1)</x:f>
        <x:v>0</x:v>
      </x:c>
      <x:c r="O52" s="12" t="n">
        <x:f>COUNTIF('08_Trazas'!$A$5:$A$248,A52)-1</x:f>
        <x:v>0</x:v>
      </x:c>
      <x:c r="P52" s="12" t="n">
        <x:f>IF(COUNTIF('02_Custodia'!$A$5:$A$53,C52)=1,0,1)</x:f>
        <x:v>0</x:v>
      </x:c>
    </x:row>
    <x:row r="53" ht="44"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IF(COUNTIF('03_Rector'!$A$5:$A$57,A53)+COUNTIF('04_TKS'!$A$5:$A$72,A53)+COUNTIF('05_Complementos'!$A$5:$A$127,A53)=1,0,1)</x:f>
        <x:v>0</x:v>
      </x:c>
      <x:c r="O53" s="12" t="n">
        <x:f>COUNTIF('08_Trazas'!$A$5:$A$248,A53)-1</x:f>
        <x:v>0</x:v>
      </x:c>
      <x:c r="P53" s="12" t="n">
        <x:f>IF(COUNTIF('02_Custodia'!$A$5:$A$53,C53)=1,0,1)</x:f>
        <x:v>0</x:v>
      </x:c>
    </x:row>
    <x:row r="54" ht="44"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IF(COUNTIF('03_Rector'!$A$5:$A$57,A54)+COUNTIF('04_TKS'!$A$5:$A$72,A54)+COUNTIF('05_Complementos'!$A$5:$A$127,A54)=1,0,1)</x:f>
        <x:v>0</x:v>
      </x:c>
      <x:c r="O54" s="12" t="n">
        <x:f>COUNTIF('08_Trazas'!$A$5:$A$248,A54)-1</x:f>
        <x:v>0</x:v>
      </x:c>
      <x:c r="P54" s="12" t="n">
        <x:f>IF(COUNTIF('02_Custodia'!$A$5:$A$53,C54)=1,0,1)</x:f>
        <x:v>0</x:v>
      </x:c>
    </x:row>
    <x:row r="55" ht="44"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IF(COUNTIF('03_Rector'!$A$5:$A$57,A55)+COUNTIF('04_TKS'!$A$5:$A$72,A55)+COUNTIF('05_Complementos'!$A$5:$A$127,A55)=1,0,1)</x:f>
        <x:v>0</x:v>
      </x:c>
      <x:c r="O55" s="12" t="n">
        <x:f>COUNTIF('08_Trazas'!$A$5:$A$248,A55)-1</x:f>
        <x:v>0</x:v>
      </x:c>
      <x:c r="P55" s="12" t="n">
        <x:f>IF(COUNTIF('02_Custodia'!$A$5:$A$53,C55)=1,0,1)</x:f>
        <x:v>0</x:v>
      </x:c>
    </x:row>
    <x:row r="56" ht="44"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IF(COUNTIF('03_Rector'!$A$5:$A$57,A56)+COUNTIF('04_TKS'!$A$5:$A$72,A56)+COUNTIF('05_Complementos'!$A$5:$A$127,A56)=1,0,1)</x:f>
        <x:v>0</x:v>
      </x:c>
      <x:c r="O56" s="12" t="n">
        <x:f>COUNTIF('08_Trazas'!$A$5:$A$248,A56)-1</x:f>
        <x:v>0</x:v>
      </x:c>
      <x:c r="P56" s="12" t="n">
        <x:f>IF(COUNTIF('02_Custodia'!$A$5:$A$53,C56)=1,0,1)</x:f>
        <x:v>0</x:v>
      </x:c>
    </x:row>
    <x:row r="57" ht="44"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IF(COUNTIF('03_Rector'!$A$5:$A$57,A57)+COUNTIF('04_TKS'!$A$5:$A$72,A57)+COUNTIF('05_Complementos'!$A$5:$A$127,A57)=1,0,1)</x:f>
        <x:v>0</x:v>
      </x:c>
      <x:c r="O57" s="12" t="n">
        <x:f>COUNTIF('08_Trazas'!$A$5:$A$248,A57)-1</x:f>
        <x:v>0</x:v>
      </x:c>
      <x:c r="P57" s="12" t="n">
        <x:f>IF(COUNTIF('02_Custodia'!$A$5:$A$53,C57)=1,0,1)</x:f>
        <x:v>0</x:v>
      </x:c>
    </x:row>
    <x:row r="58" ht="44"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IF(COUNTIF('03_Rector'!$A$5:$A$57,A58)+COUNTIF('04_TKS'!$A$5:$A$72,A58)+COUNTIF('05_Complementos'!$A$5:$A$127,A58)=1,0,1)</x:f>
        <x:v>0</x:v>
      </x:c>
      <x:c r="O58" s="12" t="n">
        <x:f>COUNTIF('08_Trazas'!$A$5:$A$248,A58)-1</x:f>
        <x:v>0</x:v>
      </x:c>
      <x:c r="P58" s="12" t="n">
        <x:f>IF(COUNTIF('02_Custodia'!$A$5:$A$53,C58)=1,0,1)</x:f>
        <x:v>0</x:v>
      </x:c>
    </x:row>
    <x:row r="59" ht="44"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IF(COUNTIF('03_Rector'!$A$5:$A$57,A59)+COUNTIF('04_TKS'!$A$5:$A$72,A59)+COUNTIF('05_Complementos'!$A$5:$A$127,A59)=1,0,1)</x:f>
        <x:v>0</x:v>
      </x:c>
      <x:c r="O59" s="12" t="n">
        <x:f>COUNTIF('08_Trazas'!$A$5:$A$248,A59)-1</x:f>
        <x:v>0</x:v>
      </x:c>
      <x:c r="P59" s="12" t="n">
        <x:f>IF(COUNTIF('02_Custodia'!$A$5:$A$53,C59)=1,0,1)</x:f>
        <x:v>0</x:v>
      </x:c>
    </x:row>
    <x:row r="60" ht="44"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IF(COUNTIF('03_Rector'!$A$5:$A$57,A60)+COUNTIF('04_TKS'!$A$5:$A$72,A60)+COUNTIF('05_Complementos'!$A$5:$A$127,A60)=1,0,1)</x:f>
        <x:v>0</x:v>
      </x:c>
      <x:c r="O60" s="12" t="n">
        <x:f>COUNTIF('08_Trazas'!$A$5:$A$248,A60)-1</x:f>
        <x:v>0</x:v>
      </x:c>
      <x:c r="P60" s="12" t="n">
        <x:f>IF(COUNTIF('02_Custodia'!$A$5:$A$53,C60)=1,0,1)</x:f>
        <x:v>0</x:v>
      </x:c>
    </x:row>
    <x:row r="61" ht="44"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IF(COUNTIF('03_Rector'!$A$5:$A$57,A61)+COUNTIF('04_TKS'!$A$5:$A$72,A61)+COUNTIF('05_Complementos'!$A$5:$A$127,A61)=1,0,1)</x:f>
        <x:v>0</x:v>
      </x:c>
      <x:c r="O61" s="12" t="n">
        <x:f>COUNTIF('08_Trazas'!$A$5:$A$248,A61)-1</x:f>
        <x:v>0</x:v>
      </x:c>
      <x:c r="P61" s="12" t="n">
        <x:f>IF(COUNTIF('02_Custodia'!$A$5:$A$53,C61)=1,0,1)</x:f>
        <x:v>0</x:v>
      </x:c>
    </x:row>
    <x:row r="62" ht="44"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IF(COUNTIF('03_Rector'!$A$5:$A$57,A62)+COUNTIF('04_TKS'!$A$5:$A$72,A62)+COUNTIF('05_Complementos'!$A$5:$A$127,A62)=1,0,1)</x:f>
        <x:v>0</x:v>
      </x:c>
      <x:c r="O62" s="12" t="n">
        <x:f>COUNTIF('08_Trazas'!$A$5:$A$248,A62)-1</x:f>
        <x:v>0</x:v>
      </x:c>
      <x:c r="P62" s="12" t="n">
        <x:f>IF(COUNTIF('02_Custodia'!$A$5:$A$53,C62)=1,0,1)</x:f>
        <x:v>0</x:v>
      </x:c>
    </x:row>
    <x:row r="63" ht="44"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IF(COUNTIF('03_Rector'!$A$5:$A$57,A63)+COUNTIF('04_TKS'!$A$5:$A$72,A63)+COUNTIF('05_Complementos'!$A$5:$A$127,A63)=1,0,1)</x:f>
        <x:v>0</x:v>
      </x:c>
      <x:c r="O63" s="12" t="n">
        <x:f>COUNTIF('08_Trazas'!$A$5:$A$248,A63)-1</x:f>
        <x:v>0</x:v>
      </x:c>
      <x:c r="P63" s="12" t="n">
        <x:f>IF(COUNTIF('02_Custodia'!$A$5:$A$53,C63)=1,0,1)</x:f>
        <x:v>0</x:v>
      </x:c>
    </x:row>
    <x:row r="64" ht="44"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IF(COUNTIF('03_Rector'!$A$5:$A$57,A64)+COUNTIF('04_TKS'!$A$5:$A$72,A64)+COUNTIF('05_Complementos'!$A$5:$A$127,A64)=1,0,1)</x:f>
        <x:v>0</x:v>
      </x:c>
      <x:c r="O64" s="12" t="n">
        <x:f>COUNTIF('08_Trazas'!$A$5:$A$248,A64)-1</x:f>
        <x:v>0</x:v>
      </x:c>
      <x:c r="P64" s="12" t="n">
        <x:f>IF(COUNTIF('02_Custodia'!$A$5:$A$53,C64)=1,0,1)</x:f>
        <x:v>0</x:v>
      </x:c>
    </x:row>
    <x:row r="65" ht="44"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IF(COUNTIF('03_Rector'!$A$5:$A$57,A65)+COUNTIF('04_TKS'!$A$5:$A$72,A65)+COUNTIF('05_Complementos'!$A$5:$A$127,A65)=1,0,1)</x:f>
        <x:v>0</x:v>
      </x:c>
      <x:c r="O65" s="12" t="n">
        <x:f>COUNTIF('08_Trazas'!$A$5:$A$248,A65)-1</x:f>
        <x:v>0</x:v>
      </x:c>
      <x:c r="P65" s="12" t="n">
        <x:f>IF(COUNTIF('02_Custodia'!$A$5:$A$53,C65)=1,0,1)</x:f>
        <x:v>0</x:v>
      </x:c>
    </x:row>
    <x:row r="66" ht="44"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IF(COUNTIF('03_Rector'!$A$5:$A$57,A66)+COUNTIF('04_TKS'!$A$5:$A$72,A66)+COUNTIF('05_Complementos'!$A$5:$A$127,A66)=1,0,1)</x:f>
        <x:v>0</x:v>
      </x:c>
      <x:c r="O66" s="12" t="n">
        <x:f>COUNTIF('08_Trazas'!$A$5:$A$248,A66)-1</x:f>
        <x:v>0</x:v>
      </x:c>
      <x:c r="P66" s="12" t="n">
        <x:f>IF(COUNTIF('02_Custodia'!$A$5:$A$53,C66)=1,0,1)</x:f>
        <x:v>0</x:v>
      </x:c>
    </x:row>
    <x:row r="67" ht="44"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IF(COUNTIF('03_Rector'!$A$5:$A$57,A67)+COUNTIF('04_TKS'!$A$5:$A$72,A67)+COUNTIF('05_Complementos'!$A$5:$A$127,A67)=1,0,1)</x:f>
        <x:v>0</x:v>
      </x:c>
      <x:c r="O67" s="12" t="n">
        <x:f>COUNTIF('08_Trazas'!$A$5:$A$248,A67)-1</x:f>
        <x:v>0</x:v>
      </x:c>
      <x:c r="P67" s="12" t="n">
        <x:f>IF(COUNTIF('02_Custodia'!$A$5:$A$53,C67)=1,0,1)</x:f>
        <x:v>0</x:v>
      </x:c>
    </x:row>
    <x:row r="68" ht="44"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IF(COUNTIF('03_Rector'!$A$5:$A$57,A68)+COUNTIF('04_TKS'!$A$5:$A$72,A68)+COUNTIF('05_Complementos'!$A$5:$A$127,A68)=1,0,1)</x:f>
        <x:v>0</x:v>
      </x:c>
      <x:c r="O68" s="12" t="n">
        <x:f>COUNTIF('08_Trazas'!$A$5:$A$248,A68)-1</x:f>
        <x:v>0</x:v>
      </x:c>
      <x:c r="P68" s="12" t="n">
        <x:f>IF(COUNTIF('02_Custodia'!$A$5:$A$53,C68)=1,0,1)</x:f>
        <x:v>0</x:v>
      </x:c>
    </x:row>
    <x:row r="69" ht="44"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IF(COUNTIF('03_Rector'!$A$5:$A$57,A69)+COUNTIF('04_TKS'!$A$5:$A$72,A69)+COUNTIF('05_Complementos'!$A$5:$A$127,A69)=1,0,1)</x:f>
        <x:v>0</x:v>
      </x:c>
      <x:c r="O69" s="12" t="n">
        <x:f>COUNTIF('08_Trazas'!$A$5:$A$248,A69)-1</x:f>
        <x:v>0</x:v>
      </x:c>
      <x:c r="P69" s="12" t="n">
        <x:f>IF(COUNTIF('02_Custodia'!$A$5:$A$53,C69)=1,0,1)</x:f>
        <x:v>0</x:v>
      </x:c>
    </x:row>
    <x:row r="70" ht="44"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IF(COUNTIF('03_Rector'!$A$5:$A$57,A70)+COUNTIF('04_TKS'!$A$5:$A$72,A70)+COUNTIF('05_Complementos'!$A$5:$A$127,A70)=1,0,1)</x:f>
        <x:v>0</x:v>
      </x:c>
      <x:c r="O70" s="12" t="n">
        <x:f>COUNTIF('08_Trazas'!$A$5:$A$248,A70)-1</x:f>
        <x:v>0</x:v>
      </x:c>
      <x:c r="P70" s="12" t="n">
        <x:f>IF(COUNTIF('02_Custodia'!$A$5:$A$53,C70)=1,0,1)</x:f>
        <x:v>0</x:v>
      </x:c>
    </x:row>
    <x:row r="71" ht="44"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IF(COUNTIF('03_Rector'!$A$5:$A$57,A71)+COUNTIF('04_TKS'!$A$5:$A$72,A71)+COUNTIF('05_Complementos'!$A$5:$A$127,A71)=1,0,1)</x:f>
        <x:v>0</x:v>
      </x:c>
      <x:c r="O71" s="12" t="n">
        <x:f>COUNTIF('08_Trazas'!$A$5:$A$248,A71)-1</x:f>
        <x:v>0</x:v>
      </x:c>
      <x:c r="P71" s="12" t="n">
        <x:f>IF(COUNTIF('02_Custodia'!$A$5:$A$53,C71)=1,0,1)</x:f>
        <x:v>0</x:v>
      </x:c>
    </x:row>
    <x:row r="72" ht="44"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IF(COUNTIF('03_Rector'!$A$5:$A$57,A72)+COUNTIF('04_TKS'!$A$5:$A$72,A72)+COUNTIF('05_Complementos'!$A$5:$A$127,A72)=1,0,1)</x:f>
        <x:v>0</x:v>
      </x:c>
      <x:c r="O72" s="12" t="n">
        <x:f>COUNTIF('08_Trazas'!$A$5:$A$248,A72)-1</x:f>
        <x:v>0</x:v>
      </x:c>
      <x:c r="P72" s="12" t="n">
        <x:f>IF(COUNTIF('02_Custodia'!$A$5:$A$53,C72)=1,0,1)</x:f>
        <x:v>0</x:v>
      </x:c>
    </x:row>
    <x:row r="73" ht="44"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IF(COUNTIF('03_Rector'!$A$5:$A$57,A73)+COUNTIF('04_TKS'!$A$5:$A$72,A73)+COUNTIF('05_Complementos'!$A$5:$A$127,A73)=1,0,1)</x:f>
        <x:v>0</x:v>
      </x:c>
      <x:c r="O73" s="12" t="n">
        <x:f>COUNTIF('08_Trazas'!$A$5:$A$248,A73)-1</x:f>
        <x:v>0</x:v>
      </x:c>
      <x:c r="P73" s="12" t="n">
        <x:f>IF(COUNTIF('02_Custodia'!$A$5:$A$53,C73)=1,0,1)</x:f>
        <x:v>0</x:v>
      </x:c>
    </x:row>
    <x:row r="74" ht="44"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IF(COUNTIF('03_Rector'!$A$5:$A$57,A74)+COUNTIF('04_TKS'!$A$5:$A$72,A74)+COUNTIF('05_Complementos'!$A$5:$A$127,A74)=1,0,1)</x:f>
        <x:v>0</x:v>
      </x:c>
      <x:c r="O74" s="12" t="n">
        <x:f>COUNTIF('08_Trazas'!$A$5:$A$248,A74)-1</x:f>
        <x:v>0</x:v>
      </x:c>
      <x:c r="P74" s="12" t="n">
        <x:f>IF(COUNTIF('02_Custodia'!$A$5:$A$53,C74)=1,0,1)</x:f>
        <x:v>0</x:v>
      </x:c>
    </x:row>
    <x:row r="75" ht="44"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IF(COUNTIF('03_Rector'!$A$5:$A$57,A75)+COUNTIF('04_TKS'!$A$5:$A$72,A75)+COUNTIF('05_Complementos'!$A$5:$A$127,A75)=1,0,1)</x:f>
        <x:v>0</x:v>
      </x:c>
      <x:c r="O75" s="12" t="n">
        <x:f>COUNTIF('08_Trazas'!$A$5:$A$248,A75)-1</x:f>
        <x:v>0</x:v>
      </x:c>
      <x:c r="P75" s="12" t="n">
        <x:f>IF(COUNTIF('02_Custodia'!$A$5:$A$53,C75)=1,0,1)</x:f>
        <x:v>0</x:v>
      </x:c>
    </x:row>
    <x:row r="76" ht="44"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IF(COUNTIF('03_Rector'!$A$5:$A$57,A76)+COUNTIF('04_TKS'!$A$5:$A$72,A76)+COUNTIF('05_Complementos'!$A$5:$A$127,A76)=1,0,1)</x:f>
        <x:v>0</x:v>
      </x:c>
      <x:c r="O76" s="12" t="n">
        <x:f>COUNTIF('08_Trazas'!$A$5:$A$248,A76)-1</x:f>
        <x:v>0</x:v>
      </x:c>
      <x:c r="P76" s="12" t="n">
        <x:f>IF(COUNTIF('02_Custodia'!$A$5:$A$53,C76)=1,0,1)</x:f>
        <x:v>0</x:v>
      </x:c>
    </x:row>
    <x:row r="77" ht="44"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IF(COUNTIF('03_Rector'!$A$5:$A$57,A77)+COUNTIF('04_TKS'!$A$5:$A$72,A77)+COUNTIF('05_Complementos'!$A$5:$A$127,A77)=1,0,1)</x:f>
        <x:v>0</x:v>
      </x:c>
      <x:c r="O77" s="12" t="n">
        <x:f>COUNTIF('08_Trazas'!$A$5:$A$248,A77)-1</x:f>
        <x:v>0</x:v>
      </x:c>
      <x:c r="P77" s="12" t="n">
        <x:f>IF(COUNTIF('02_Custodia'!$A$5:$A$53,C77)=1,0,1)</x:f>
        <x:v>0</x:v>
      </x:c>
    </x:row>
    <x:row r="78" ht="44"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IF(COUNTIF('03_Rector'!$A$5:$A$57,A78)+COUNTIF('04_TKS'!$A$5:$A$72,A78)+COUNTIF('05_Complementos'!$A$5:$A$127,A78)=1,0,1)</x:f>
        <x:v>0</x:v>
      </x:c>
      <x:c r="O78" s="12" t="n">
        <x:f>COUNTIF('08_Trazas'!$A$5:$A$248,A78)-1</x:f>
        <x:v>0</x:v>
      </x:c>
      <x:c r="P78" s="12" t="n">
        <x:f>IF(COUNTIF('02_Custodia'!$A$5:$A$53,C78)=1,0,1)</x:f>
        <x:v>0</x:v>
      </x:c>
    </x:row>
    <x:row r="79" ht="44"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IF(COUNTIF('03_Rector'!$A$5:$A$57,A79)+COUNTIF('04_TKS'!$A$5:$A$72,A79)+COUNTIF('05_Complementos'!$A$5:$A$127,A79)=1,0,1)</x:f>
        <x:v>0</x:v>
      </x:c>
      <x:c r="O79" s="12" t="n">
        <x:f>COUNTIF('08_Trazas'!$A$5:$A$248,A79)-1</x:f>
        <x:v>0</x:v>
      </x:c>
      <x:c r="P79" s="12" t="n">
        <x:f>IF(COUNTIF('02_Custodia'!$A$5:$A$53,C79)=1,0,1)</x:f>
        <x:v>0</x:v>
      </x:c>
    </x:row>
    <x:row r="80" ht="44"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IF(COUNTIF('03_Rector'!$A$5:$A$57,A80)+COUNTIF('04_TKS'!$A$5:$A$72,A80)+COUNTIF('05_Complementos'!$A$5:$A$127,A80)=1,0,1)</x:f>
        <x:v>0</x:v>
      </x:c>
      <x:c r="O80" s="12" t="n">
        <x:f>COUNTIF('08_Trazas'!$A$5:$A$248,A80)-1</x:f>
        <x:v>0</x:v>
      </x:c>
      <x:c r="P80" s="12" t="n">
        <x:f>IF(COUNTIF('02_Custodia'!$A$5:$A$53,C80)=1,0,1)</x:f>
        <x:v>0</x:v>
      </x:c>
    </x:row>
    <x:row r="81" ht="44"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IF(COUNTIF('03_Rector'!$A$5:$A$57,A81)+COUNTIF('04_TKS'!$A$5:$A$72,A81)+COUNTIF('05_Complementos'!$A$5:$A$127,A81)=1,0,1)</x:f>
        <x:v>0</x:v>
      </x:c>
      <x:c r="O81" s="12" t="n">
        <x:f>COUNTIF('08_Trazas'!$A$5:$A$248,A81)-1</x:f>
        <x:v>0</x:v>
      </x:c>
      <x:c r="P81" s="12" t="n">
        <x:f>IF(COUNTIF('02_Custodia'!$A$5:$A$53,C81)=1,0,1)</x:f>
        <x:v>0</x:v>
      </x:c>
    </x:row>
    <x:row r="82" ht="44"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IF(COUNTIF('03_Rector'!$A$5:$A$57,A82)+COUNTIF('04_TKS'!$A$5:$A$72,A82)+COUNTIF('05_Complementos'!$A$5:$A$127,A82)=1,0,1)</x:f>
        <x:v>0</x:v>
      </x:c>
      <x:c r="O82" s="12" t="n">
        <x:f>COUNTIF('08_Trazas'!$A$5:$A$248,A82)-1</x:f>
        <x:v>0</x:v>
      </x:c>
      <x:c r="P82" s="12" t="n">
        <x:f>IF(COUNTIF('02_Custodia'!$A$5:$A$53,C82)=1,0,1)</x:f>
        <x:v>0</x:v>
      </x:c>
    </x:row>
    <x:row r="83" ht="44"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IF(COUNTIF('03_Rector'!$A$5:$A$57,A83)+COUNTIF('04_TKS'!$A$5:$A$72,A83)+COUNTIF('05_Complementos'!$A$5:$A$127,A83)=1,0,1)</x:f>
        <x:v>0</x:v>
      </x:c>
      <x:c r="O83" s="12" t="n">
        <x:f>COUNTIF('08_Trazas'!$A$5:$A$248,A83)-1</x:f>
        <x:v>0</x:v>
      </x:c>
      <x:c r="P83" s="12" t="n">
        <x:f>IF(COUNTIF('02_Custodia'!$A$5:$A$53,C83)=1,0,1)</x:f>
        <x:v>0</x:v>
      </x:c>
    </x:row>
    <x:row r="84" ht="44"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IF(COUNTIF('03_Rector'!$A$5:$A$57,A84)+COUNTIF('04_TKS'!$A$5:$A$72,A84)+COUNTIF('05_Complementos'!$A$5:$A$127,A84)=1,0,1)</x:f>
        <x:v>0</x:v>
      </x:c>
      <x:c r="O84" s="12" t="n">
        <x:f>COUNTIF('08_Trazas'!$A$5:$A$248,A84)-1</x:f>
        <x:v>0</x:v>
      </x:c>
      <x:c r="P84" s="12" t="n">
        <x:f>IF(COUNTIF('02_Custodia'!$A$5:$A$53,C84)=1,0,1)</x:f>
        <x:v>0</x:v>
      </x:c>
    </x:row>
    <x:row r="85" ht="44"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IF(COUNTIF('03_Rector'!$A$5:$A$57,A85)+COUNTIF('04_TKS'!$A$5:$A$72,A85)+COUNTIF('05_Complementos'!$A$5:$A$127,A85)=1,0,1)</x:f>
        <x:v>0</x:v>
      </x:c>
      <x:c r="O85" s="12" t="n">
        <x:f>COUNTIF('08_Trazas'!$A$5:$A$248,A85)-1</x:f>
        <x:v>0</x:v>
      </x:c>
      <x:c r="P85" s="12" t="n">
        <x:f>IF(COUNTIF('02_Custodia'!$A$5:$A$53,C85)=1,0,1)</x:f>
        <x:v>0</x:v>
      </x:c>
    </x:row>
    <x:row r="86" ht="44"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IF(COUNTIF('03_Rector'!$A$5:$A$57,A86)+COUNTIF('04_TKS'!$A$5:$A$72,A86)+COUNTIF('05_Complementos'!$A$5:$A$127,A86)=1,0,1)</x:f>
        <x:v>0</x:v>
      </x:c>
      <x:c r="O86" s="12" t="n">
        <x:f>COUNTIF('08_Trazas'!$A$5:$A$248,A86)-1</x:f>
        <x:v>0</x:v>
      </x:c>
      <x:c r="P86" s="12" t="n">
        <x:f>IF(COUNTIF('02_Custodia'!$A$5:$A$53,C86)=1,0,1)</x:f>
        <x:v>0</x:v>
      </x:c>
    </x:row>
    <x:row r="87" ht="44"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IF(COUNTIF('03_Rector'!$A$5:$A$57,A87)+COUNTIF('04_TKS'!$A$5:$A$72,A87)+COUNTIF('05_Complementos'!$A$5:$A$127,A87)=1,0,1)</x:f>
        <x:v>0</x:v>
      </x:c>
      <x:c r="O87" s="12" t="n">
        <x:f>COUNTIF('08_Trazas'!$A$5:$A$248,A87)-1</x:f>
        <x:v>0</x:v>
      </x:c>
      <x:c r="P87" s="12" t="n">
        <x:f>IF(COUNTIF('02_Custodia'!$A$5:$A$53,C87)=1,0,1)</x:f>
        <x:v>0</x:v>
      </x:c>
    </x:row>
    <x:row r="88" ht="44"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IF(COUNTIF('03_Rector'!$A$5:$A$57,A88)+COUNTIF('04_TKS'!$A$5:$A$72,A88)+COUNTIF('05_Complementos'!$A$5:$A$127,A88)=1,0,1)</x:f>
        <x:v>0</x:v>
      </x:c>
      <x:c r="O88" s="12" t="n">
        <x:f>COUNTIF('08_Trazas'!$A$5:$A$248,A88)-1</x:f>
        <x:v>0</x:v>
      </x:c>
      <x:c r="P88" s="12" t="n">
        <x:f>IF(COUNTIF('02_Custodia'!$A$5:$A$53,C88)=1,0,1)</x:f>
        <x:v>0</x:v>
      </x:c>
    </x:row>
    <x:row r="89" ht="44"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IF(COUNTIF('03_Rector'!$A$5:$A$57,A89)+COUNTIF('04_TKS'!$A$5:$A$72,A89)+COUNTIF('05_Complementos'!$A$5:$A$127,A89)=1,0,1)</x:f>
        <x:v>0</x:v>
      </x:c>
      <x:c r="O89" s="12" t="n">
        <x:f>COUNTIF('08_Trazas'!$A$5:$A$248,A89)-1</x:f>
        <x:v>0</x:v>
      </x:c>
      <x:c r="P89" s="12" t="n">
        <x:f>IF(COUNTIF('02_Custodia'!$A$5:$A$53,C89)=1,0,1)</x:f>
        <x:v>0</x:v>
      </x:c>
    </x:row>
    <x:row r="90" ht="44"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IF(COUNTIF('03_Rector'!$A$5:$A$57,A90)+COUNTIF('04_TKS'!$A$5:$A$72,A90)+COUNTIF('05_Complementos'!$A$5:$A$127,A90)=1,0,1)</x:f>
        <x:v>0</x:v>
      </x:c>
      <x:c r="O90" s="12" t="n">
        <x:f>COUNTIF('08_Trazas'!$A$5:$A$248,A90)-1</x:f>
        <x:v>0</x:v>
      </x:c>
      <x:c r="P90" s="12" t="n">
        <x:f>IF(COUNTIF('02_Custodia'!$A$5:$A$53,C90)=1,0,1)</x:f>
        <x:v>0</x:v>
      </x:c>
    </x:row>
    <x:row r="91" ht="44"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IF(COUNTIF('03_Rector'!$A$5:$A$57,A91)+COUNTIF('04_TKS'!$A$5:$A$72,A91)+COUNTIF('05_Complementos'!$A$5:$A$127,A91)=1,0,1)</x:f>
        <x:v>0</x:v>
      </x:c>
      <x:c r="O91" s="12" t="n">
        <x:f>COUNTIF('08_Trazas'!$A$5:$A$248,A91)-1</x:f>
        <x:v>0</x:v>
      </x:c>
      <x:c r="P91" s="12" t="n">
        <x:f>IF(COUNTIF('02_Custodia'!$A$5:$A$53,C91)=1,0,1)</x:f>
        <x:v>0</x:v>
      </x:c>
    </x:row>
    <x:row r="92" ht="44"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IF(COUNTIF('03_Rector'!$A$5:$A$57,A92)+COUNTIF('04_TKS'!$A$5:$A$72,A92)+COUNTIF('05_Complementos'!$A$5:$A$127,A92)=1,0,1)</x:f>
        <x:v>0</x:v>
      </x:c>
      <x:c r="O92" s="12" t="n">
        <x:f>COUNTIF('08_Trazas'!$A$5:$A$248,A92)-1</x:f>
        <x:v>0</x:v>
      </x:c>
      <x:c r="P92" s="12" t="n">
        <x:f>IF(COUNTIF('02_Custodia'!$A$5:$A$53,C92)=1,0,1)</x:f>
        <x:v>0</x:v>
      </x:c>
    </x:row>
    <x:row r="93" ht="44"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IF(COUNTIF('03_Rector'!$A$5:$A$57,A93)+COUNTIF('04_TKS'!$A$5:$A$72,A93)+COUNTIF('05_Complementos'!$A$5:$A$127,A93)=1,0,1)</x:f>
        <x:v>0</x:v>
      </x:c>
      <x:c r="O93" s="12" t="n">
        <x:f>COUNTIF('08_Trazas'!$A$5:$A$248,A93)-1</x:f>
        <x:v>0</x:v>
      </x:c>
      <x:c r="P93" s="12" t="n">
        <x:f>IF(COUNTIF('02_Custodia'!$A$5:$A$53,C93)=1,0,1)</x:f>
        <x:v>0</x:v>
      </x:c>
    </x:row>
    <x:row r="94" ht="44"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IF(COUNTIF('03_Rector'!$A$5:$A$57,A94)+COUNTIF('04_TKS'!$A$5:$A$72,A94)+COUNTIF('05_Complementos'!$A$5:$A$127,A94)=1,0,1)</x:f>
        <x:v>0</x:v>
      </x:c>
      <x:c r="O94" s="12" t="n">
        <x:f>COUNTIF('08_Trazas'!$A$5:$A$248,A94)-1</x:f>
        <x:v>0</x:v>
      </x:c>
      <x:c r="P94" s="12" t="n">
        <x:f>IF(COUNTIF('02_Custodia'!$A$5:$A$53,C94)=1,0,1)</x:f>
        <x:v>0</x:v>
      </x:c>
    </x:row>
    <x:row r="95" ht="44"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IF(COUNTIF('03_Rector'!$A$5:$A$57,A95)+COUNTIF('04_TKS'!$A$5:$A$72,A95)+COUNTIF('05_Complementos'!$A$5:$A$127,A95)=1,0,1)</x:f>
        <x:v>0</x:v>
      </x:c>
      <x:c r="O95" s="12" t="n">
        <x:f>COUNTIF('08_Trazas'!$A$5:$A$248,A95)-1</x:f>
        <x:v>0</x:v>
      </x:c>
      <x:c r="P95" s="12" t="n">
        <x:f>IF(COUNTIF('02_Custodia'!$A$5:$A$53,C95)=1,0,1)</x:f>
        <x:v>0</x:v>
      </x:c>
    </x:row>
    <x:row r="96" ht="44"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IF(COUNTIF('03_Rector'!$A$5:$A$57,A96)+COUNTIF('04_TKS'!$A$5:$A$72,A96)+COUNTIF('05_Complementos'!$A$5:$A$127,A96)=1,0,1)</x:f>
        <x:v>0</x:v>
      </x:c>
      <x:c r="O96" s="12" t="n">
        <x:f>COUNTIF('08_Trazas'!$A$5:$A$248,A96)-1</x:f>
        <x:v>0</x:v>
      </x:c>
      <x:c r="P96" s="12" t="n">
        <x:f>IF(COUNTIF('02_Custodia'!$A$5:$A$53,C96)=1,0,1)</x:f>
        <x:v>0</x:v>
      </x:c>
    </x:row>
    <x:row r="97" ht="44"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IF(COUNTIF('03_Rector'!$A$5:$A$57,A97)+COUNTIF('04_TKS'!$A$5:$A$72,A97)+COUNTIF('05_Complementos'!$A$5:$A$127,A97)=1,0,1)</x:f>
        <x:v>0</x:v>
      </x:c>
      <x:c r="O97" s="12" t="n">
        <x:f>COUNTIF('08_Trazas'!$A$5:$A$248,A97)-1</x:f>
        <x:v>0</x:v>
      </x:c>
      <x:c r="P97" s="12" t="n">
        <x:f>IF(COUNTIF('02_Custodia'!$A$5:$A$53,C97)=1,0,1)</x:f>
        <x:v>0</x:v>
      </x:c>
    </x:row>
    <x:row r="98" ht="44"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IF(COUNTIF('03_Rector'!$A$5:$A$57,A98)+COUNTIF('04_TKS'!$A$5:$A$72,A98)+COUNTIF('05_Complementos'!$A$5:$A$127,A98)=1,0,1)</x:f>
        <x:v>0</x:v>
      </x:c>
      <x:c r="O98" s="12" t="n">
        <x:f>COUNTIF('08_Trazas'!$A$5:$A$248,A98)-1</x:f>
        <x:v>0</x:v>
      </x:c>
      <x:c r="P98" s="12" t="n">
        <x:f>IF(COUNTIF('02_Custodia'!$A$5:$A$53,C98)=1,0,1)</x:f>
        <x:v>0</x:v>
      </x:c>
    </x:row>
    <x:row r="99" ht="44"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IF(COUNTIF('03_Rector'!$A$5:$A$57,A99)+COUNTIF('04_TKS'!$A$5:$A$72,A99)+COUNTIF('05_Complementos'!$A$5:$A$127,A99)=1,0,1)</x:f>
        <x:v>0</x:v>
      </x:c>
      <x:c r="O99" s="12" t="n">
        <x:f>COUNTIF('08_Trazas'!$A$5:$A$248,A99)-1</x:f>
        <x:v>0</x:v>
      </x:c>
      <x:c r="P99" s="12" t="n">
        <x:f>IF(COUNTIF('02_Custodia'!$A$5:$A$53,C99)=1,0,1)</x:f>
        <x:v>0</x:v>
      </x:c>
    </x:row>
    <x:row r="100" ht="44"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IF(COUNTIF('03_Rector'!$A$5:$A$57,A100)+COUNTIF('04_TKS'!$A$5:$A$72,A100)+COUNTIF('05_Complementos'!$A$5:$A$127,A100)=1,0,1)</x:f>
        <x:v>0</x:v>
      </x:c>
      <x:c r="O100" s="12" t="n">
        <x:f>COUNTIF('08_Trazas'!$A$5:$A$248,A100)-1</x:f>
        <x:v>0</x:v>
      </x:c>
      <x:c r="P100" s="12" t="n">
        <x:f>IF(COUNTIF('02_Custodia'!$A$5:$A$53,C100)=1,0,1)</x:f>
        <x:v>0</x:v>
      </x:c>
    </x:row>
    <x:row r="101" ht="44"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IF(COUNTIF('03_Rector'!$A$5:$A$57,A101)+COUNTIF('04_TKS'!$A$5:$A$72,A101)+COUNTIF('05_Complementos'!$A$5:$A$127,A101)=1,0,1)</x:f>
        <x:v>0</x:v>
      </x:c>
      <x:c r="O101" s="12" t="n">
        <x:f>COUNTIF('08_Trazas'!$A$5:$A$248,A101)-1</x:f>
        <x:v>0</x:v>
      </x:c>
      <x:c r="P101" s="12" t="n">
        <x:f>IF(COUNTIF('02_Custodia'!$A$5:$A$53,C101)=1,0,1)</x:f>
        <x:v>0</x:v>
      </x:c>
    </x:row>
    <x:row r="102" ht="44"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IF(COUNTIF('03_Rector'!$A$5:$A$57,A102)+COUNTIF('04_TKS'!$A$5:$A$72,A102)+COUNTIF('05_Complementos'!$A$5:$A$127,A102)=1,0,1)</x:f>
        <x:v>0</x:v>
      </x:c>
      <x:c r="O102" s="12" t="n">
        <x:f>COUNTIF('08_Trazas'!$A$5:$A$248,A102)-1</x:f>
        <x:v>0</x:v>
      </x:c>
      <x:c r="P102" s="12" t="n">
        <x:f>IF(COUNTIF('02_Custodia'!$A$5:$A$53,C102)=1,0,1)</x:f>
        <x:v>0</x:v>
      </x:c>
    </x:row>
    <x:row r="103" ht="44"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IF(COUNTIF('03_Rector'!$A$5:$A$57,A103)+COUNTIF('04_TKS'!$A$5:$A$72,A103)+COUNTIF('05_Complementos'!$A$5:$A$127,A103)=1,0,1)</x:f>
        <x:v>0</x:v>
      </x:c>
      <x:c r="O103" s="12" t="n">
        <x:f>COUNTIF('08_Trazas'!$A$5:$A$248,A103)-1</x:f>
        <x:v>0</x:v>
      </x:c>
      <x:c r="P103" s="12" t="n">
        <x:f>IF(COUNTIF('02_Custodia'!$A$5:$A$53,C103)=1,0,1)</x:f>
        <x:v>0</x:v>
      </x:c>
    </x:row>
    <x:row r="104" ht="44"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IF(COUNTIF('03_Rector'!$A$5:$A$57,A104)+COUNTIF('04_TKS'!$A$5:$A$72,A104)+COUNTIF('05_Complementos'!$A$5:$A$127,A104)=1,0,1)</x:f>
        <x:v>0</x:v>
      </x:c>
      <x:c r="O104" s="12" t="n">
        <x:f>COUNTIF('08_Trazas'!$A$5:$A$248,A104)-1</x:f>
        <x:v>0</x:v>
      </x:c>
      <x:c r="P104" s="12" t="n">
        <x:f>IF(COUNTIF('02_Custodia'!$A$5:$A$53,C104)=1,0,1)</x:f>
        <x:v>0</x:v>
      </x:c>
    </x:row>
    <x:row r="105" ht="44"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IF(COUNTIF('03_Rector'!$A$5:$A$57,A105)+COUNTIF('04_TKS'!$A$5:$A$72,A105)+COUNTIF('05_Complementos'!$A$5:$A$127,A105)=1,0,1)</x:f>
        <x:v>0</x:v>
      </x:c>
      <x:c r="O105" s="12" t="n">
        <x:f>COUNTIF('08_Trazas'!$A$5:$A$248,A105)-1</x:f>
        <x:v>0</x:v>
      </x:c>
      <x:c r="P105" s="12" t="n">
        <x:f>IF(COUNTIF('02_Custodia'!$A$5:$A$53,C105)=1,0,1)</x:f>
        <x:v>0</x:v>
      </x:c>
    </x:row>
    <x:row r="106" ht="44"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IF(COUNTIF('03_Rector'!$A$5:$A$57,A106)+COUNTIF('04_TKS'!$A$5:$A$72,A106)+COUNTIF('05_Complementos'!$A$5:$A$127,A106)=1,0,1)</x:f>
        <x:v>0</x:v>
      </x:c>
      <x:c r="O106" s="12" t="n">
        <x:f>COUNTIF('08_Trazas'!$A$5:$A$248,A106)-1</x:f>
        <x:v>0</x:v>
      </x:c>
      <x:c r="P106" s="12" t="n">
        <x:f>IF(COUNTIF('02_Custodia'!$A$5:$A$53,C106)=1,0,1)</x:f>
        <x:v>0</x:v>
      </x:c>
    </x:row>
    <x:row r="107" ht="44"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IF(COUNTIF('03_Rector'!$A$5:$A$57,A107)+COUNTIF('04_TKS'!$A$5:$A$72,A107)+COUNTIF('05_Complementos'!$A$5:$A$127,A107)=1,0,1)</x:f>
        <x:v>0</x:v>
      </x:c>
      <x:c r="O107" s="12" t="n">
        <x:f>COUNTIF('08_Trazas'!$A$5:$A$248,A107)-1</x:f>
        <x:v>0</x:v>
      </x:c>
      <x:c r="P107" s="12" t="n">
        <x:f>IF(COUNTIF('02_Custodia'!$A$5:$A$53,C107)=1,0,1)</x:f>
        <x:v>0</x:v>
      </x:c>
    </x:row>
    <x:row r="108" ht="44"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IF(COUNTIF('03_Rector'!$A$5:$A$57,A108)+COUNTIF('04_TKS'!$A$5:$A$72,A108)+COUNTIF('05_Complementos'!$A$5:$A$127,A108)=1,0,1)</x:f>
        <x:v>0</x:v>
      </x:c>
      <x:c r="O108" s="12" t="n">
        <x:f>COUNTIF('08_Trazas'!$A$5:$A$248,A108)-1</x:f>
        <x:v>0</x:v>
      </x:c>
      <x:c r="P108" s="12" t="n">
        <x:f>IF(COUNTIF('02_Custodia'!$A$5:$A$53,C108)=1,0,1)</x:f>
        <x:v>0</x:v>
      </x:c>
    </x:row>
    <x:row r="109" ht="44"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IF(COUNTIF('03_Rector'!$A$5:$A$57,A109)+COUNTIF('04_TKS'!$A$5:$A$72,A109)+COUNTIF('05_Complementos'!$A$5:$A$127,A109)=1,0,1)</x:f>
        <x:v>0</x:v>
      </x:c>
      <x:c r="O109" s="12" t="n">
        <x:f>COUNTIF('08_Trazas'!$A$5:$A$248,A109)-1</x:f>
        <x:v>0</x:v>
      </x:c>
      <x:c r="P109" s="12" t="n">
        <x:f>IF(COUNTIF('02_Custodia'!$A$5:$A$53,C109)=1,0,1)</x:f>
        <x:v>0</x:v>
      </x:c>
    </x:row>
    <x:row r="110" ht="44"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IF(COUNTIF('03_Rector'!$A$5:$A$57,A110)+COUNTIF('04_TKS'!$A$5:$A$72,A110)+COUNTIF('05_Complementos'!$A$5:$A$127,A110)=1,0,1)</x:f>
        <x:v>0</x:v>
      </x:c>
      <x:c r="O110" s="12" t="n">
        <x:f>COUNTIF('08_Trazas'!$A$5:$A$248,A110)-1</x:f>
        <x:v>0</x:v>
      </x:c>
      <x:c r="P110" s="12" t="n">
        <x:f>IF(COUNTIF('02_Custodia'!$A$5:$A$53,C110)=1,0,1)</x:f>
        <x:v>0</x:v>
      </x:c>
    </x:row>
    <x:row r="111" ht="44"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IF(COUNTIF('03_Rector'!$A$5:$A$57,A111)+COUNTIF('04_TKS'!$A$5:$A$72,A111)+COUNTIF('05_Complementos'!$A$5:$A$127,A111)=1,0,1)</x:f>
        <x:v>0</x:v>
      </x:c>
      <x:c r="O111" s="12" t="n">
        <x:f>COUNTIF('08_Trazas'!$A$5:$A$248,A111)-1</x:f>
        <x:v>0</x:v>
      </x:c>
      <x:c r="P111" s="12" t="n">
        <x:f>IF(COUNTIF('02_Custodia'!$A$5:$A$53,C111)=1,0,1)</x:f>
        <x:v>0</x:v>
      </x:c>
    </x:row>
    <x:row r="112" ht="44"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IF(COUNTIF('03_Rector'!$A$5:$A$57,A112)+COUNTIF('04_TKS'!$A$5:$A$72,A112)+COUNTIF('05_Complementos'!$A$5:$A$127,A112)=1,0,1)</x:f>
        <x:v>0</x:v>
      </x:c>
      <x:c r="O112" s="12" t="n">
        <x:f>COUNTIF('08_Trazas'!$A$5:$A$248,A112)-1</x:f>
        <x:v>0</x:v>
      </x:c>
      <x:c r="P112" s="12" t="n">
        <x:f>IF(COUNTIF('02_Custodia'!$A$5:$A$53,C112)=1,0,1)</x:f>
        <x:v>0</x:v>
      </x:c>
    </x:row>
    <x:row r="113" ht="44"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IF(COUNTIF('03_Rector'!$A$5:$A$57,A113)+COUNTIF('04_TKS'!$A$5:$A$72,A113)+COUNTIF('05_Complementos'!$A$5:$A$127,A113)=1,0,1)</x:f>
        <x:v>0</x:v>
      </x:c>
      <x:c r="O113" s="12" t="n">
        <x:f>COUNTIF('08_Trazas'!$A$5:$A$248,A113)-1</x:f>
        <x:v>0</x:v>
      </x:c>
      <x:c r="P113" s="12" t="n">
        <x:f>IF(COUNTIF('02_Custodia'!$A$5:$A$53,C113)=1,0,1)</x:f>
        <x:v>0</x:v>
      </x:c>
    </x:row>
    <x:row r="114" ht="44"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IF(COUNTIF('03_Rector'!$A$5:$A$57,A114)+COUNTIF('04_TKS'!$A$5:$A$72,A114)+COUNTIF('05_Complementos'!$A$5:$A$127,A114)=1,0,1)</x:f>
        <x:v>0</x:v>
      </x:c>
      <x:c r="O114" s="12" t="n">
        <x:f>COUNTIF('08_Trazas'!$A$5:$A$248,A114)-1</x:f>
        <x:v>0</x:v>
      </x:c>
      <x:c r="P114" s="12" t="n">
        <x:f>IF(COUNTIF('02_Custodia'!$A$5:$A$53,C114)=1,0,1)</x:f>
        <x:v>0</x:v>
      </x:c>
    </x:row>
    <x:row r="115" ht="44"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IF(COUNTIF('03_Rector'!$A$5:$A$57,A115)+COUNTIF('04_TKS'!$A$5:$A$72,A115)+COUNTIF('05_Complementos'!$A$5:$A$127,A115)=1,0,1)</x:f>
        <x:v>0</x:v>
      </x:c>
      <x:c r="O115" s="12" t="n">
        <x:f>COUNTIF('08_Trazas'!$A$5:$A$248,A115)-1</x:f>
        <x:v>0</x:v>
      </x:c>
      <x:c r="P115" s="12" t="n">
        <x:f>IF(COUNTIF('02_Custodia'!$A$5:$A$53,C115)=1,0,1)</x:f>
        <x:v>0</x:v>
      </x:c>
    </x:row>
    <x:row r="116" ht="44"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IF(COUNTIF('03_Rector'!$A$5:$A$57,A116)+COUNTIF('04_TKS'!$A$5:$A$72,A116)+COUNTIF('05_Complementos'!$A$5:$A$127,A116)=1,0,1)</x:f>
        <x:v>0</x:v>
      </x:c>
      <x:c r="O116" s="12" t="n">
        <x:f>COUNTIF('08_Trazas'!$A$5:$A$248,A116)-1</x:f>
        <x:v>0</x:v>
      </x:c>
      <x:c r="P116" s="12" t="n">
        <x:f>IF(COUNTIF('02_Custodia'!$A$5:$A$53,C116)=1,0,1)</x:f>
        <x:v>0</x:v>
      </x:c>
    </x:row>
    <x:row r="117" ht="44"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IF(COUNTIF('03_Rector'!$A$5:$A$57,A117)+COUNTIF('04_TKS'!$A$5:$A$72,A117)+COUNTIF('05_Complementos'!$A$5:$A$127,A117)=1,0,1)</x:f>
        <x:v>0</x:v>
      </x:c>
      <x:c r="O117" s="12" t="n">
        <x:f>COUNTIF('08_Trazas'!$A$5:$A$248,A117)-1</x:f>
        <x:v>0</x:v>
      </x:c>
      <x:c r="P117" s="12" t="n">
        <x:f>IF(COUNTIF('02_Custodia'!$A$5:$A$53,C117)=1,0,1)</x:f>
        <x:v>0</x:v>
      </x:c>
    </x:row>
    <x:row r="118" ht="44"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IF(COUNTIF('03_Rector'!$A$5:$A$57,A118)+COUNTIF('04_TKS'!$A$5:$A$72,A118)+COUNTIF('05_Complementos'!$A$5:$A$127,A118)=1,0,1)</x:f>
        <x:v>0</x:v>
      </x:c>
      <x:c r="O118" s="12" t="n">
        <x:f>COUNTIF('08_Trazas'!$A$5:$A$248,A118)-1</x:f>
        <x:v>0</x:v>
      </x:c>
      <x:c r="P118" s="12" t="n">
        <x:f>IF(COUNTIF('02_Custodia'!$A$5:$A$53,C118)=1,0,1)</x:f>
        <x:v>0</x:v>
      </x:c>
    </x:row>
    <x:row r="119" ht="44"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IF(COUNTIF('03_Rector'!$A$5:$A$57,A119)+COUNTIF('04_TKS'!$A$5:$A$72,A119)+COUNTIF('05_Complementos'!$A$5:$A$127,A119)=1,0,1)</x:f>
        <x:v>0</x:v>
      </x:c>
      <x:c r="O119" s="12" t="n">
        <x:f>COUNTIF('08_Trazas'!$A$5:$A$248,A119)-1</x:f>
        <x:v>0</x:v>
      </x:c>
      <x:c r="P119" s="12" t="n">
        <x:f>IF(COUNTIF('02_Custodia'!$A$5:$A$53,C119)=1,0,1)</x:f>
        <x:v>0</x:v>
      </x:c>
    </x:row>
    <x:row r="120" ht="44"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IF(COUNTIF('03_Rector'!$A$5:$A$57,A120)+COUNTIF('04_TKS'!$A$5:$A$72,A120)+COUNTIF('05_Complementos'!$A$5:$A$127,A120)=1,0,1)</x:f>
        <x:v>0</x:v>
      </x:c>
      <x:c r="O120" s="12" t="n">
        <x:f>COUNTIF('08_Trazas'!$A$5:$A$248,A120)-1</x:f>
        <x:v>0</x:v>
      </x:c>
      <x:c r="P120" s="12" t="n">
        <x:f>IF(COUNTIF('02_Custodia'!$A$5:$A$53,C120)=1,0,1)</x:f>
        <x:v>0</x:v>
      </x:c>
    </x:row>
    <x:row r="121" ht="44"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IF(COUNTIF('03_Rector'!$A$5:$A$57,A121)+COUNTIF('04_TKS'!$A$5:$A$72,A121)+COUNTIF('05_Complementos'!$A$5:$A$127,A121)=1,0,1)</x:f>
        <x:v>0</x:v>
      </x:c>
      <x:c r="O121" s="12" t="n">
        <x:f>COUNTIF('08_Trazas'!$A$5:$A$248,A121)-1</x:f>
        <x:v>0</x:v>
      </x:c>
      <x:c r="P121" s="12" t="n">
        <x:f>IF(COUNTIF('02_Custodia'!$A$5:$A$53,C121)=1,0,1)</x:f>
        <x:v>0</x:v>
      </x:c>
    </x:row>
    <x:row r="122" ht="44"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IF(COUNTIF('03_Rector'!$A$5:$A$57,A122)+COUNTIF('04_TKS'!$A$5:$A$72,A122)+COUNTIF('05_Complementos'!$A$5:$A$127,A122)=1,0,1)</x:f>
        <x:v>0</x:v>
      </x:c>
      <x:c r="O122" s="12" t="n">
        <x:f>COUNTIF('08_Trazas'!$A$5:$A$248,A122)-1</x:f>
        <x:v>0</x:v>
      </x:c>
      <x:c r="P122" s="12" t="n">
        <x:f>IF(COUNTIF('02_Custodia'!$A$5:$A$53,C122)=1,0,1)</x:f>
        <x:v>0</x:v>
      </x:c>
    </x:row>
    <x:row r="123" ht="44"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IF(COUNTIF('03_Rector'!$A$5:$A$57,A123)+COUNTIF('04_TKS'!$A$5:$A$72,A123)+COUNTIF('05_Complementos'!$A$5:$A$127,A123)=1,0,1)</x:f>
        <x:v>0</x:v>
      </x:c>
      <x:c r="O123" s="12" t="n">
        <x:f>COUNTIF('08_Trazas'!$A$5:$A$248,A123)-1</x:f>
        <x:v>0</x:v>
      </x:c>
      <x:c r="P123" s="12" t="n">
        <x:f>IF(COUNTIF('02_Custodia'!$A$5:$A$53,C123)=1,0,1)</x:f>
        <x:v>0</x:v>
      </x:c>
    </x:row>
    <x:row r="124" ht="44"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IF(COUNTIF('03_Rector'!$A$5:$A$57,A124)+COUNTIF('04_TKS'!$A$5:$A$72,A124)+COUNTIF('05_Complementos'!$A$5:$A$127,A124)=1,0,1)</x:f>
        <x:v>0</x:v>
      </x:c>
      <x:c r="O124" s="12" t="n">
        <x:f>COUNTIF('08_Trazas'!$A$5:$A$248,A124)-1</x:f>
        <x:v>0</x:v>
      </x:c>
      <x:c r="P124" s="12" t="n">
        <x:f>IF(COUNTIF('02_Custodia'!$A$5:$A$53,C124)=1,0,1)</x:f>
        <x:v>0</x:v>
      </x:c>
    </x:row>
    <x:row r="125" ht="44"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IF(COUNTIF('03_Rector'!$A$5:$A$57,A125)+COUNTIF('04_TKS'!$A$5:$A$72,A125)+COUNTIF('05_Complementos'!$A$5:$A$127,A125)=1,0,1)</x:f>
        <x:v>0</x:v>
      </x:c>
      <x:c r="O125" s="12" t="n">
        <x:f>COUNTIF('08_Trazas'!$A$5:$A$248,A125)-1</x:f>
        <x:v>0</x:v>
      </x:c>
      <x:c r="P125" s="12" t="n">
        <x:f>IF(COUNTIF('02_Custodia'!$A$5:$A$53,C125)=1,0,1)</x:f>
        <x:v>0</x:v>
      </x:c>
    </x:row>
    <x:row r="126" ht="44"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IF(COUNTIF('03_Rector'!$A$5:$A$57,A126)+COUNTIF('04_TKS'!$A$5:$A$72,A126)+COUNTIF('05_Complementos'!$A$5:$A$127,A126)=1,0,1)</x:f>
        <x:v>0</x:v>
      </x:c>
      <x:c r="O126" s="12" t="n">
        <x:f>COUNTIF('08_Trazas'!$A$5:$A$248,A126)-1</x:f>
        <x:v>0</x:v>
      </x:c>
      <x:c r="P126" s="12" t="n">
        <x:f>IF(COUNTIF('02_Custodia'!$A$5:$A$53,C126)=1,0,1)</x:f>
        <x:v>0</x:v>
      </x:c>
    </x:row>
    <x:row r="127" ht="44"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IF(COUNTIF('03_Rector'!$A$5:$A$57,A127)+COUNTIF('04_TKS'!$A$5:$A$72,A127)+COUNTIF('05_Complementos'!$A$5:$A$127,A127)=1,0,1)</x:f>
        <x:v>0</x:v>
      </x:c>
      <x:c r="O127" s="12" t="n">
        <x:f>COUNTIF('08_Trazas'!$A$5:$A$248,A127)-1</x:f>
        <x:v>0</x:v>
      </x:c>
      <x:c r="P127" s="12" t="n">
        <x:f>IF(COUNTIF('02_Custodia'!$A$5:$A$53,C127)=1,0,1)</x:f>
        <x:v>0</x:v>
      </x:c>
    </x:row>
    <x:row r="128" ht="44"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IF(COUNTIF('03_Rector'!$A$5:$A$57,A128)+COUNTIF('04_TKS'!$A$5:$A$72,A128)+COUNTIF('05_Complementos'!$A$5:$A$127,A128)=1,0,1)</x:f>
        <x:v>0</x:v>
      </x:c>
      <x:c r="O128" s="12" t="n">
        <x:f>COUNTIF('08_Trazas'!$A$5:$A$248,A128)-1</x:f>
        <x:v>0</x:v>
      </x:c>
      <x:c r="P128" s="12" t="n">
        <x:f>IF(COUNTIF('02_Custodia'!$A$5:$A$53,C128)=1,0,1)</x:f>
        <x:v>0</x:v>
      </x:c>
    </x:row>
    <x:row r="129" ht="44"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IF(COUNTIF('03_Rector'!$A$5:$A$57,A129)+COUNTIF('04_TKS'!$A$5:$A$72,A129)+COUNTIF('05_Complementos'!$A$5:$A$127,A129)=1,0,1)</x:f>
        <x:v>0</x:v>
      </x:c>
      <x:c r="O129" s="12" t="n">
        <x:f>COUNTIF('08_Trazas'!$A$5:$A$248,A129)-1</x:f>
        <x:v>0</x:v>
      </x:c>
      <x:c r="P129" s="12" t="n">
        <x:f>IF(COUNTIF('02_Custodia'!$A$5:$A$53,C129)=1,0,1)</x:f>
        <x:v>0</x:v>
      </x:c>
    </x:row>
    <x:row r="130" ht="44"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IF(COUNTIF('03_Rector'!$A$5:$A$57,A130)+COUNTIF('04_TKS'!$A$5:$A$72,A130)+COUNTIF('05_Complementos'!$A$5:$A$127,A130)=1,0,1)</x:f>
        <x:v>0</x:v>
      </x:c>
      <x:c r="O130" s="12" t="n">
        <x:f>COUNTIF('08_Trazas'!$A$5:$A$248,A130)-1</x:f>
        <x:v>0</x:v>
      </x:c>
      <x:c r="P130" s="12" t="n">
        <x:f>IF(COUNTIF('02_Custodia'!$A$5:$A$53,C130)=1,0,1)</x:f>
        <x:v>0</x:v>
      </x:c>
    </x:row>
    <x:row r="131" ht="44"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IF(COUNTIF('03_Rector'!$A$5:$A$57,A131)+COUNTIF('04_TKS'!$A$5:$A$72,A131)+COUNTIF('05_Complementos'!$A$5:$A$127,A131)=1,0,1)</x:f>
        <x:v>0</x:v>
      </x:c>
      <x:c r="O131" s="12" t="n">
        <x:f>COUNTIF('08_Trazas'!$A$5:$A$248,A131)-1</x:f>
        <x:v>0</x:v>
      </x:c>
      <x:c r="P131" s="12" t="n">
        <x:f>IF(COUNTIF('02_Custodia'!$A$5:$A$53,C131)=1,0,1)</x:f>
        <x:v>0</x:v>
      </x:c>
    </x:row>
    <x:row r="132" ht="44"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IF(COUNTIF('03_Rector'!$A$5:$A$57,A132)+COUNTIF('04_TKS'!$A$5:$A$72,A132)+COUNTIF('05_Complementos'!$A$5:$A$127,A132)=1,0,1)</x:f>
        <x:v>0</x:v>
      </x:c>
      <x:c r="O132" s="12" t="n">
        <x:f>COUNTIF('08_Trazas'!$A$5:$A$248,A132)-1</x:f>
        <x:v>0</x:v>
      </x:c>
      <x:c r="P132" s="12" t="n">
        <x:f>IF(COUNTIF('02_Custodia'!$A$5:$A$53,C132)=1,0,1)</x:f>
        <x:v>0</x:v>
      </x:c>
    </x:row>
    <x:row r="133" ht="44"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IF(COUNTIF('03_Rector'!$A$5:$A$57,A133)+COUNTIF('04_TKS'!$A$5:$A$72,A133)+COUNTIF('05_Complementos'!$A$5:$A$127,A133)=1,0,1)</x:f>
        <x:v>0</x:v>
      </x:c>
      <x:c r="O133" s="12" t="n">
        <x:f>COUNTIF('08_Trazas'!$A$5:$A$248,A133)-1</x:f>
        <x:v>0</x:v>
      </x:c>
      <x:c r="P133" s="12" t="n">
        <x:f>IF(COUNTIF('02_Custodia'!$A$5:$A$53,C133)=1,0,1)</x:f>
        <x:v>0</x:v>
      </x:c>
    </x:row>
    <x:row r="134" ht="44"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IF(COUNTIF('03_Rector'!$A$5:$A$57,A134)+COUNTIF('04_TKS'!$A$5:$A$72,A134)+COUNTIF('05_Complementos'!$A$5:$A$127,A134)=1,0,1)</x:f>
        <x:v>0</x:v>
      </x:c>
      <x:c r="O134" s="12" t="n">
        <x:f>COUNTIF('08_Trazas'!$A$5:$A$248,A134)-1</x:f>
        <x:v>0</x:v>
      </x:c>
      <x:c r="P134" s="12" t="n">
        <x:f>IF(COUNTIF('02_Custodia'!$A$5:$A$53,C134)=1,0,1)</x:f>
        <x:v>0</x:v>
      </x:c>
    </x:row>
    <x:row r="135" ht="44"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IF(COUNTIF('03_Rector'!$A$5:$A$57,A135)+COUNTIF('04_TKS'!$A$5:$A$72,A135)+COUNTIF('05_Complementos'!$A$5:$A$127,A135)=1,0,1)</x:f>
        <x:v>0</x:v>
      </x:c>
      <x:c r="O135" s="12" t="n">
        <x:f>COUNTIF('08_Trazas'!$A$5:$A$248,A135)-1</x:f>
        <x:v>0</x:v>
      </x:c>
      <x:c r="P135" s="12" t="n">
        <x:f>IF(COUNTIF('02_Custodia'!$A$5:$A$53,C135)=1,0,1)</x:f>
        <x:v>0</x:v>
      </x:c>
    </x:row>
    <x:row r="136" ht="44"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IF(COUNTIF('03_Rector'!$A$5:$A$57,A136)+COUNTIF('04_TKS'!$A$5:$A$72,A136)+COUNTIF('05_Complementos'!$A$5:$A$127,A136)=1,0,1)</x:f>
        <x:v>0</x:v>
      </x:c>
      <x:c r="O136" s="12" t="n">
        <x:f>COUNTIF('08_Trazas'!$A$5:$A$248,A136)-1</x:f>
        <x:v>0</x:v>
      </x:c>
      <x:c r="P136" s="12" t="n">
        <x:f>IF(COUNTIF('02_Custodia'!$A$5:$A$53,C136)=1,0,1)</x:f>
        <x:v>0</x:v>
      </x:c>
    </x:row>
    <x:row r="137" ht="44"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IF(COUNTIF('03_Rector'!$A$5:$A$57,A137)+COUNTIF('04_TKS'!$A$5:$A$72,A137)+COUNTIF('05_Complementos'!$A$5:$A$127,A137)=1,0,1)</x:f>
        <x:v>0</x:v>
      </x:c>
      <x:c r="O137" s="12" t="n">
        <x:f>COUNTIF('08_Trazas'!$A$5:$A$248,A137)-1</x:f>
        <x:v>0</x:v>
      </x:c>
      <x:c r="P137" s="12" t="n">
        <x:f>IF(COUNTIF('02_Custodia'!$A$5:$A$53,C137)=1,0,1)</x:f>
        <x:v>0</x:v>
      </x:c>
    </x:row>
    <x:row r="138" ht="44"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IF(COUNTIF('03_Rector'!$A$5:$A$57,A138)+COUNTIF('04_TKS'!$A$5:$A$72,A138)+COUNTIF('05_Complementos'!$A$5:$A$127,A138)=1,0,1)</x:f>
        <x:v>0</x:v>
      </x:c>
      <x:c r="O138" s="12" t="n">
        <x:f>COUNTIF('08_Trazas'!$A$5:$A$248,A138)-1</x:f>
        <x:v>0</x:v>
      </x:c>
      <x:c r="P138" s="12" t="n">
        <x:f>IF(COUNTIF('02_Custodia'!$A$5:$A$53,C138)=1,0,1)</x:f>
        <x:v>0</x:v>
      </x:c>
    </x:row>
    <x:row r="139" ht="44"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IF(COUNTIF('03_Rector'!$A$5:$A$57,A139)+COUNTIF('04_TKS'!$A$5:$A$72,A139)+COUNTIF('05_Complementos'!$A$5:$A$127,A139)=1,0,1)</x:f>
        <x:v>0</x:v>
      </x:c>
      <x:c r="O139" s="12" t="n">
        <x:f>COUNTIF('08_Trazas'!$A$5:$A$248,A139)-1</x:f>
        <x:v>0</x:v>
      </x:c>
      <x:c r="P139" s="12" t="n">
        <x:f>IF(COUNTIF('02_Custodia'!$A$5:$A$53,C139)=1,0,1)</x:f>
        <x:v>0</x:v>
      </x:c>
    </x:row>
    <x:row r="140" ht="44"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IF(COUNTIF('03_Rector'!$A$5:$A$57,A140)+COUNTIF('04_TKS'!$A$5:$A$72,A140)+COUNTIF('05_Complementos'!$A$5:$A$127,A140)=1,0,1)</x:f>
        <x:v>0</x:v>
      </x:c>
      <x:c r="O140" s="12" t="n">
        <x:f>COUNTIF('08_Trazas'!$A$5:$A$248,A140)-1</x:f>
        <x:v>0</x:v>
      </x:c>
      <x:c r="P140" s="12" t="n">
        <x:f>IF(COUNTIF('02_Custodia'!$A$5:$A$53,C140)=1,0,1)</x:f>
        <x:v>0</x:v>
      </x:c>
    </x:row>
    <x:row r="141" ht="44"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IF(COUNTIF('03_Rector'!$A$5:$A$57,A141)+COUNTIF('04_TKS'!$A$5:$A$72,A141)+COUNTIF('05_Complementos'!$A$5:$A$127,A141)=1,0,1)</x:f>
        <x:v>0</x:v>
      </x:c>
      <x:c r="O141" s="12" t="n">
        <x:f>COUNTIF('08_Trazas'!$A$5:$A$248,A141)-1</x:f>
        <x:v>0</x:v>
      </x:c>
      <x:c r="P141" s="12" t="n">
        <x:f>IF(COUNTIF('02_Custodia'!$A$5:$A$53,C141)=1,0,1)</x:f>
        <x:v>0</x:v>
      </x:c>
    </x:row>
    <x:row r="142" ht="44"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IF(COUNTIF('03_Rector'!$A$5:$A$57,A142)+COUNTIF('04_TKS'!$A$5:$A$72,A142)+COUNTIF('05_Complementos'!$A$5:$A$127,A142)=1,0,1)</x:f>
        <x:v>0</x:v>
      </x:c>
      <x:c r="O142" s="12" t="n">
        <x:f>COUNTIF('08_Trazas'!$A$5:$A$248,A142)-1</x:f>
        <x:v>0</x:v>
      </x:c>
      <x:c r="P142" s="12" t="n">
        <x:f>IF(COUNTIF('02_Custodia'!$A$5:$A$53,C142)=1,0,1)</x:f>
        <x:v>0</x:v>
      </x:c>
    </x:row>
    <x:row r="143" ht="44"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IF(COUNTIF('03_Rector'!$A$5:$A$57,A143)+COUNTIF('04_TKS'!$A$5:$A$72,A143)+COUNTIF('05_Complementos'!$A$5:$A$127,A143)=1,0,1)</x:f>
        <x:v>0</x:v>
      </x:c>
      <x:c r="O143" s="12" t="n">
        <x:f>COUNTIF('08_Trazas'!$A$5:$A$248,A143)-1</x:f>
        <x:v>0</x:v>
      </x:c>
      <x:c r="P143" s="12" t="n">
        <x:f>IF(COUNTIF('02_Custodia'!$A$5:$A$53,C143)=1,0,1)</x:f>
        <x:v>0</x:v>
      </x:c>
    </x:row>
    <x:row r="144" ht="44"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IF(COUNTIF('03_Rector'!$A$5:$A$57,A144)+COUNTIF('04_TKS'!$A$5:$A$72,A144)+COUNTIF('05_Complementos'!$A$5:$A$127,A144)=1,0,1)</x:f>
        <x:v>0</x:v>
      </x:c>
      <x:c r="O144" s="12" t="n">
        <x:f>COUNTIF('08_Trazas'!$A$5:$A$248,A144)-1</x:f>
        <x:v>0</x:v>
      </x:c>
      <x:c r="P144" s="12" t="n">
        <x:f>IF(COUNTIF('02_Custodia'!$A$5:$A$53,C144)=1,0,1)</x:f>
        <x:v>0</x:v>
      </x:c>
    </x:row>
    <x:row r="145" ht="44"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IF(COUNTIF('03_Rector'!$A$5:$A$57,A145)+COUNTIF('04_TKS'!$A$5:$A$72,A145)+COUNTIF('05_Complementos'!$A$5:$A$127,A145)=1,0,1)</x:f>
        <x:v>0</x:v>
      </x:c>
      <x:c r="O145" s="12" t="n">
        <x:f>COUNTIF('08_Trazas'!$A$5:$A$248,A145)-1</x:f>
        <x:v>0</x:v>
      </x:c>
      <x:c r="P145" s="12" t="n">
        <x:f>IF(COUNTIF('02_Custodia'!$A$5:$A$53,C145)=1,0,1)</x:f>
        <x:v>0</x:v>
      </x:c>
    </x:row>
    <x:row r="146" ht="44"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IF(COUNTIF('03_Rector'!$A$5:$A$57,A146)+COUNTIF('04_TKS'!$A$5:$A$72,A146)+COUNTIF('05_Complementos'!$A$5:$A$127,A146)=1,0,1)</x:f>
        <x:v>0</x:v>
      </x:c>
      <x:c r="O146" s="12" t="n">
        <x:f>COUNTIF('08_Trazas'!$A$5:$A$248,A146)-1</x:f>
        <x:v>0</x:v>
      </x:c>
      <x:c r="P146" s="12" t="n">
        <x:f>IF(COUNTIF('02_Custodia'!$A$5:$A$53,C146)=1,0,1)</x:f>
        <x:v>0</x:v>
      </x:c>
    </x:row>
    <x:row r="147" ht="44"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IF(COUNTIF('03_Rector'!$A$5:$A$57,A147)+COUNTIF('04_TKS'!$A$5:$A$72,A147)+COUNTIF('05_Complementos'!$A$5:$A$127,A147)=1,0,1)</x:f>
        <x:v>0</x:v>
      </x:c>
      <x:c r="O147" s="12" t="n">
        <x:f>COUNTIF('08_Trazas'!$A$5:$A$248,A147)-1</x:f>
        <x:v>0</x:v>
      </x:c>
      <x:c r="P147" s="12" t="n">
        <x:f>IF(COUNTIF('02_Custodia'!$A$5:$A$53,C147)=1,0,1)</x:f>
        <x:v>0</x:v>
      </x:c>
    </x:row>
    <x:row r="148" ht="44"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IF(COUNTIF('03_Rector'!$A$5:$A$57,A148)+COUNTIF('04_TKS'!$A$5:$A$72,A148)+COUNTIF('05_Complementos'!$A$5:$A$127,A148)=1,0,1)</x:f>
        <x:v>0</x:v>
      </x:c>
      <x:c r="O148" s="12" t="n">
        <x:f>COUNTIF('08_Trazas'!$A$5:$A$248,A148)-1</x:f>
        <x:v>0</x:v>
      </x:c>
      <x:c r="P148" s="12" t="n">
        <x:f>IF(COUNTIF('02_Custodia'!$A$5:$A$53,C148)=1,0,1)</x:f>
        <x:v>0</x:v>
      </x:c>
    </x:row>
    <x:row r="149" ht="44"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IF(COUNTIF('03_Rector'!$A$5:$A$57,A149)+COUNTIF('04_TKS'!$A$5:$A$72,A149)+COUNTIF('05_Complementos'!$A$5:$A$127,A149)=1,0,1)</x:f>
        <x:v>0</x:v>
      </x:c>
      <x:c r="O149" s="12" t="n">
        <x:f>COUNTIF('08_Trazas'!$A$5:$A$248,A149)-1</x:f>
        <x:v>0</x:v>
      </x:c>
      <x:c r="P149" s="12" t="n">
        <x:f>IF(COUNTIF('02_Custodia'!$A$5:$A$53,C149)=1,0,1)</x:f>
        <x:v>0</x:v>
      </x:c>
    </x:row>
    <x:row r="150" ht="44"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IF(COUNTIF('03_Rector'!$A$5:$A$57,A150)+COUNTIF('04_TKS'!$A$5:$A$72,A150)+COUNTIF('05_Complementos'!$A$5:$A$127,A150)=1,0,1)</x:f>
        <x:v>0</x:v>
      </x:c>
      <x:c r="O150" s="12" t="n">
        <x:f>COUNTIF('08_Trazas'!$A$5:$A$248,A150)-1</x:f>
        <x:v>0</x:v>
      </x:c>
      <x:c r="P150" s="12" t="n">
        <x:f>IF(COUNTIF('02_Custodia'!$A$5:$A$53,C150)=1,0,1)</x:f>
        <x:v>0</x:v>
      </x:c>
    </x:row>
    <x:row r="151" ht="44"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IF(COUNTIF('03_Rector'!$A$5:$A$57,A151)+COUNTIF('04_TKS'!$A$5:$A$72,A151)+COUNTIF('05_Complementos'!$A$5:$A$127,A151)=1,0,1)</x:f>
        <x:v>0</x:v>
      </x:c>
      <x:c r="O151" s="12" t="n">
        <x:f>COUNTIF('08_Trazas'!$A$5:$A$248,A151)-1</x:f>
        <x:v>0</x:v>
      </x:c>
      <x:c r="P151" s="12" t="n">
        <x:f>IF(COUNTIF('02_Custodia'!$A$5:$A$53,C151)=1,0,1)</x:f>
        <x:v>0</x:v>
      </x:c>
    </x:row>
    <x:row r="152" ht="44"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IF(COUNTIF('03_Rector'!$A$5:$A$57,A152)+COUNTIF('04_TKS'!$A$5:$A$72,A152)+COUNTIF('05_Complementos'!$A$5:$A$127,A152)=1,0,1)</x:f>
        <x:v>0</x:v>
      </x:c>
      <x:c r="O152" s="12" t="n">
        <x:f>COUNTIF('08_Trazas'!$A$5:$A$248,A152)-1</x:f>
        <x:v>0</x:v>
      </x:c>
      <x:c r="P152" s="12" t="n">
        <x:f>IF(COUNTIF('02_Custodia'!$A$5:$A$53,C152)=1,0,1)</x:f>
        <x:v>0</x:v>
      </x:c>
    </x:row>
    <x:row r="153" ht="44"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IF(COUNTIF('03_Rector'!$A$5:$A$57,A153)+COUNTIF('04_TKS'!$A$5:$A$72,A153)+COUNTIF('05_Complementos'!$A$5:$A$127,A153)=1,0,1)</x:f>
        <x:v>0</x:v>
      </x:c>
      <x:c r="O153" s="12" t="n">
        <x:f>COUNTIF('08_Trazas'!$A$5:$A$248,A153)-1</x:f>
        <x:v>0</x:v>
      </x:c>
      <x:c r="P153" s="12" t="n">
        <x:f>IF(COUNTIF('02_Custodia'!$A$5:$A$53,C153)=1,0,1)</x:f>
        <x:v>0</x:v>
      </x:c>
    </x:row>
    <x:row r="154" ht="44"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IF(COUNTIF('03_Rector'!$A$5:$A$57,A154)+COUNTIF('04_TKS'!$A$5:$A$72,A154)+COUNTIF('05_Complementos'!$A$5:$A$127,A154)=1,0,1)</x:f>
        <x:v>0</x:v>
      </x:c>
      <x:c r="O154" s="12" t="n">
        <x:f>COUNTIF('08_Trazas'!$A$5:$A$248,A154)-1</x:f>
        <x:v>0</x:v>
      </x:c>
      <x:c r="P154" s="12" t="n">
        <x:f>IF(COUNTIF('02_Custodia'!$A$5:$A$53,C154)=1,0,1)</x:f>
        <x:v>0</x:v>
      </x:c>
    </x:row>
    <x:row r="155" ht="44"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IF(COUNTIF('03_Rector'!$A$5:$A$57,A155)+COUNTIF('04_TKS'!$A$5:$A$72,A155)+COUNTIF('05_Complementos'!$A$5:$A$127,A155)=1,0,1)</x:f>
        <x:v>0</x:v>
      </x:c>
      <x:c r="O155" s="12" t="n">
        <x:f>COUNTIF('08_Trazas'!$A$5:$A$248,A155)-1</x:f>
        <x:v>0</x:v>
      </x:c>
      <x:c r="P155" s="12" t="n">
        <x:f>IF(COUNTIF('02_Custodia'!$A$5:$A$53,C155)=1,0,1)</x:f>
        <x:v>0</x:v>
      </x:c>
    </x:row>
    <x:row r="156" ht="44"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IF(COUNTIF('03_Rector'!$A$5:$A$57,A156)+COUNTIF('04_TKS'!$A$5:$A$72,A156)+COUNTIF('05_Complementos'!$A$5:$A$127,A156)=1,0,1)</x:f>
        <x:v>0</x:v>
      </x:c>
      <x:c r="O156" s="12" t="n">
        <x:f>COUNTIF('08_Trazas'!$A$5:$A$248,A156)-1</x:f>
        <x:v>0</x:v>
      </x:c>
      <x:c r="P156" s="12" t="n">
        <x:f>IF(COUNTIF('02_Custodia'!$A$5:$A$53,C156)=1,0,1)</x:f>
        <x:v>0</x:v>
      </x:c>
    </x:row>
    <x:row r="157" ht="44"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IF(COUNTIF('03_Rector'!$A$5:$A$57,A157)+COUNTIF('04_TKS'!$A$5:$A$72,A157)+COUNTIF('05_Complementos'!$A$5:$A$127,A157)=1,0,1)</x:f>
        <x:v>0</x:v>
      </x:c>
      <x:c r="O157" s="12" t="n">
        <x:f>COUNTIF('08_Trazas'!$A$5:$A$248,A157)-1</x:f>
        <x:v>0</x:v>
      </x:c>
      <x:c r="P157" s="12" t="n">
        <x:f>IF(COUNTIF('02_Custodia'!$A$5:$A$53,C157)=1,0,1)</x:f>
        <x:v>0</x:v>
      </x:c>
    </x:row>
    <x:row r="158" ht="44"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IF(COUNTIF('03_Rector'!$A$5:$A$57,A158)+COUNTIF('04_TKS'!$A$5:$A$72,A158)+COUNTIF('05_Complementos'!$A$5:$A$127,A158)=1,0,1)</x:f>
        <x:v>0</x:v>
      </x:c>
      <x:c r="O158" s="12" t="n">
        <x:f>COUNTIF('08_Trazas'!$A$5:$A$248,A158)-1</x:f>
        <x:v>0</x:v>
      </x:c>
      <x:c r="P158" s="12" t="n">
        <x:f>IF(COUNTIF('02_Custodia'!$A$5:$A$53,C158)=1,0,1)</x:f>
        <x:v>0</x:v>
      </x:c>
    </x:row>
    <x:row r="159" ht="44"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IF(COUNTIF('03_Rector'!$A$5:$A$57,A159)+COUNTIF('04_TKS'!$A$5:$A$72,A159)+COUNTIF('05_Complementos'!$A$5:$A$127,A159)=1,0,1)</x:f>
        <x:v>0</x:v>
      </x:c>
      <x:c r="O159" s="12" t="n">
        <x:f>COUNTIF('08_Trazas'!$A$5:$A$248,A159)-1</x:f>
        <x:v>0</x:v>
      </x:c>
      <x:c r="P159" s="12" t="n">
        <x:f>IF(COUNTIF('02_Custodia'!$A$5:$A$53,C159)=1,0,1)</x:f>
        <x:v>0</x:v>
      </x:c>
    </x:row>
    <x:row r="160" ht="44"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IF(COUNTIF('03_Rector'!$A$5:$A$57,A160)+COUNTIF('04_TKS'!$A$5:$A$72,A160)+COUNTIF('05_Complementos'!$A$5:$A$127,A160)=1,0,1)</x:f>
        <x:v>0</x:v>
      </x:c>
      <x:c r="O160" s="12" t="n">
        <x:f>COUNTIF('08_Trazas'!$A$5:$A$248,A160)-1</x:f>
        <x:v>0</x:v>
      </x:c>
      <x:c r="P160" s="12" t="n">
        <x:f>IF(COUNTIF('02_Custodia'!$A$5:$A$53,C160)=1,0,1)</x:f>
        <x:v>0</x:v>
      </x:c>
    </x:row>
    <x:row r="161" ht="44"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IF(COUNTIF('03_Rector'!$A$5:$A$57,A161)+COUNTIF('04_TKS'!$A$5:$A$72,A161)+COUNTIF('05_Complementos'!$A$5:$A$127,A161)=1,0,1)</x:f>
        <x:v>0</x:v>
      </x:c>
      <x:c r="O161" s="12" t="n">
        <x:f>COUNTIF('08_Trazas'!$A$5:$A$248,A161)-1</x:f>
        <x:v>0</x:v>
      </x:c>
      <x:c r="P161" s="12" t="n">
        <x:f>IF(COUNTIF('02_Custodia'!$A$5:$A$53,C161)=1,0,1)</x:f>
        <x:v>0</x:v>
      </x:c>
    </x:row>
    <x:row r="162" ht="44"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IF(COUNTIF('03_Rector'!$A$5:$A$57,A162)+COUNTIF('04_TKS'!$A$5:$A$72,A162)+COUNTIF('05_Complementos'!$A$5:$A$127,A162)=1,0,1)</x:f>
        <x:v>0</x:v>
      </x:c>
      <x:c r="O162" s="12" t="n">
        <x:f>COUNTIF('08_Trazas'!$A$5:$A$248,A162)-1</x:f>
        <x:v>0</x:v>
      </x:c>
      <x:c r="P162" s="12" t="n">
        <x:f>IF(COUNTIF('02_Custodia'!$A$5:$A$53,C162)=1,0,1)</x:f>
        <x:v>0</x:v>
      </x:c>
    </x:row>
    <x:row r="163" ht="44"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IF(COUNTIF('03_Rector'!$A$5:$A$57,A163)+COUNTIF('04_TKS'!$A$5:$A$72,A163)+COUNTIF('05_Complementos'!$A$5:$A$127,A163)=1,0,1)</x:f>
        <x:v>0</x:v>
      </x:c>
      <x:c r="O163" s="12" t="n">
        <x:f>COUNTIF('08_Trazas'!$A$5:$A$248,A163)-1</x:f>
        <x:v>0</x:v>
      </x:c>
      <x:c r="P163" s="12" t="n">
        <x:f>IF(COUNTIF('02_Custodia'!$A$5:$A$53,C163)=1,0,1)</x:f>
        <x:v>0</x:v>
      </x:c>
    </x:row>
    <x:row r="164" ht="44"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IF(COUNTIF('03_Rector'!$A$5:$A$57,A164)+COUNTIF('04_TKS'!$A$5:$A$72,A164)+COUNTIF('05_Complementos'!$A$5:$A$127,A164)=1,0,1)</x:f>
        <x:v>0</x:v>
      </x:c>
      <x:c r="O164" s="12" t="n">
        <x:f>COUNTIF('08_Trazas'!$A$5:$A$248,A164)-1</x:f>
        <x:v>0</x:v>
      </x:c>
      <x:c r="P164" s="12" t="n">
        <x:f>IF(COUNTIF('02_Custodia'!$A$5:$A$53,C164)=1,0,1)</x:f>
        <x:v>0</x:v>
      </x:c>
    </x:row>
    <x:row r="165" ht="44"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IF(COUNTIF('03_Rector'!$A$5:$A$57,A165)+COUNTIF('04_TKS'!$A$5:$A$72,A165)+COUNTIF('05_Complementos'!$A$5:$A$127,A165)=1,0,1)</x:f>
        <x:v>0</x:v>
      </x:c>
      <x:c r="O165" s="12" t="n">
        <x:f>COUNTIF('08_Trazas'!$A$5:$A$248,A165)-1</x:f>
        <x:v>0</x:v>
      </x:c>
      <x:c r="P165" s="12" t="n">
        <x:f>IF(COUNTIF('02_Custodia'!$A$5:$A$53,C165)=1,0,1)</x:f>
        <x:v>0</x:v>
      </x:c>
    </x:row>
    <x:row r="166" ht="44"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IF(COUNTIF('03_Rector'!$A$5:$A$57,A166)+COUNTIF('04_TKS'!$A$5:$A$72,A166)+COUNTIF('05_Complementos'!$A$5:$A$127,A166)=1,0,1)</x:f>
        <x:v>0</x:v>
      </x:c>
      <x:c r="O166" s="12" t="n">
        <x:f>COUNTIF('08_Trazas'!$A$5:$A$248,A166)-1</x:f>
        <x:v>0</x:v>
      </x:c>
      <x:c r="P166" s="12" t="n">
        <x:f>IF(COUNTIF('02_Custodia'!$A$5:$A$53,C166)=1,0,1)</x:f>
        <x:v>0</x:v>
      </x:c>
    </x:row>
    <x:row r="167" ht="44"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IF(COUNTIF('03_Rector'!$A$5:$A$57,A167)+COUNTIF('04_TKS'!$A$5:$A$72,A167)+COUNTIF('05_Complementos'!$A$5:$A$127,A167)=1,0,1)</x:f>
        <x:v>0</x:v>
      </x:c>
      <x:c r="O167" s="12" t="n">
        <x:f>COUNTIF('08_Trazas'!$A$5:$A$248,A167)-1</x:f>
        <x:v>0</x:v>
      </x:c>
      <x:c r="P167" s="12" t="n">
        <x:f>IF(COUNTIF('02_Custodia'!$A$5:$A$53,C167)=1,0,1)</x:f>
        <x:v>0</x:v>
      </x:c>
    </x:row>
    <x:row r="168" ht="44"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IF(COUNTIF('03_Rector'!$A$5:$A$57,A168)+COUNTIF('04_TKS'!$A$5:$A$72,A168)+COUNTIF('05_Complementos'!$A$5:$A$127,A168)=1,0,1)</x:f>
        <x:v>0</x:v>
      </x:c>
      <x:c r="O168" s="12" t="n">
        <x:f>COUNTIF('08_Trazas'!$A$5:$A$248,A168)-1</x:f>
        <x:v>0</x:v>
      </x:c>
      <x:c r="P168" s="12" t="n">
        <x:f>IF(COUNTIF('02_Custodia'!$A$5:$A$53,C168)=1,0,1)</x:f>
        <x:v>0</x:v>
      </x:c>
    </x:row>
    <x:row r="169" ht="44"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IF(COUNTIF('03_Rector'!$A$5:$A$57,A169)+COUNTIF('04_TKS'!$A$5:$A$72,A169)+COUNTIF('05_Complementos'!$A$5:$A$127,A169)=1,0,1)</x:f>
        <x:v>0</x:v>
      </x:c>
      <x:c r="O169" s="12" t="n">
        <x:f>COUNTIF('08_Trazas'!$A$5:$A$248,A169)-1</x:f>
        <x:v>0</x:v>
      </x:c>
      <x:c r="P169" s="12" t="n">
        <x:f>IF(COUNTIF('02_Custodia'!$A$5:$A$53,C169)=1,0,1)</x:f>
        <x:v>0</x:v>
      </x:c>
    </x:row>
    <x:row r="170" ht="44"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IF(COUNTIF('03_Rector'!$A$5:$A$57,A170)+COUNTIF('04_TKS'!$A$5:$A$72,A170)+COUNTIF('05_Complementos'!$A$5:$A$127,A170)=1,0,1)</x:f>
        <x:v>0</x:v>
      </x:c>
      <x:c r="O170" s="12" t="n">
        <x:f>COUNTIF('08_Trazas'!$A$5:$A$248,A170)-1</x:f>
        <x:v>0</x:v>
      </x:c>
      <x:c r="P170" s="12" t="n">
        <x:f>IF(COUNTIF('02_Custodia'!$A$5:$A$53,C170)=1,0,1)</x:f>
        <x:v>0</x:v>
      </x:c>
    </x:row>
    <x:row r="171" ht="44"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IF(COUNTIF('03_Rector'!$A$5:$A$57,A171)+COUNTIF('04_TKS'!$A$5:$A$72,A171)+COUNTIF('05_Complementos'!$A$5:$A$127,A171)=1,0,1)</x:f>
        <x:v>0</x:v>
      </x:c>
      <x:c r="O171" s="12" t="n">
        <x:f>COUNTIF('08_Trazas'!$A$5:$A$248,A171)-1</x:f>
        <x:v>0</x:v>
      </x:c>
      <x:c r="P171" s="12" t="n">
        <x:f>IF(COUNTIF('02_Custodia'!$A$5:$A$53,C171)=1,0,1)</x:f>
        <x:v>0</x:v>
      </x:c>
    </x:row>
    <x:row r="172" ht="44"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IF(COUNTIF('03_Rector'!$A$5:$A$57,A172)+COUNTIF('04_TKS'!$A$5:$A$72,A172)+COUNTIF('05_Complementos'!$A$5:$A$127,A172)=1,0,1)</x:f>
        <x:v>0</x:v>
      </x:c>
      <x:c r="O172" s="12" t="n">
        <x:f>COUNTIF('08_Trazas'!$A$5:$A$248,A172)-1</x:f>
        <x:v>0</x:v>
      </x:c>
      <x:c r="P172" s="12" t="n">
        <x:f>IF(COUNTIF('02_Custodia'!$A$5:$A$53,C172)=1,0,1)</x:f>
        <x:v>0</x:v>
      </x:c>
    </x:row>
    <x:row r="173" ht="44"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IF(COUNTIF('03_Rector'!$A$5:$A$57,A173)+COUNTIF('04_TKS'!$A$5:$A$72,A173)+COUNTIF('05_Complementos'!$A$5:$A$127,A173)=1,0,1)</x:f>
        <x:v>0</x:v>
      </x:c>
      <x:c r="O173" s="12" t="n">
        <x:f>COUNTIF('08_Trazas'!$A$5:$A$248,A173)-1</x:f>
        <x:v>0</x:v>
      </x:c>
      <x:c r="P173" s="12" t="n">
        <x:f>IF(COUNTIF('02_Custodia'!$A$5:$A$53,C173)=1,0,1)</x:f>
        <x:v>0</x:v>
      </x:c>
    </x:row>
    <x:row r="174" ht="44"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IF(COUNTIF('03_Rector'!$A$5:$A$57,A174)+COUNTIF('04_TKS'!$A$5:$A$72,A174)+COUNTIF('05_Complementos'!$A$5:$A$127,A174)=1,0,1)</x:f>
        <x:v>0</x:v>
      </x:c>
      <x:c r="O174" s="12" t="n">
        <x:f>COUNTIF('08_Trazas'!$A$5:$A$248,A174)-1</x:f>
        <x:v>0</x:v>
      </x:c>
      <x:c r="P174" s="12" t="n">
        <x:f>IF(COUNTIF('02_Custodia'!$A$5:$A$53,C174)=1,0,1)</x:f>
        <x:v>0</x:v>
      </x:c>
    </x:row>
    <x:row r="175" ht="44"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IF(COUNTIF('03_Rector'!$A$5:$A$57,A175)+COUNTIF('04_TKS'!$A$5:$A$72,A175)+COUNTIF('05_Complementos'!$A$5:$A$127,A175)=1,0,1)</x:f>
        <x:v>0</x:v>
      </x:c>
      <x:c r="O175" s="12" t="n">
        <x:f>COUNTIF('08_Trazas'!$A$5:$A$248,A175)-1</x:f>
        <x:v>0</x:v>
      </x:c>
      <x:c r="P175" s="12" t="n">
        <x:f>IF(COUNTIF('02_Custodia'!$A$5:$A$53,C175)=1,0,1)</x:f>
        <x:v>0</x:v>
      </x:c>
    </x:row>
    <x:row r="176" ht="44"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IF(COUNTIF('03_Rector'!$A$5:$A$57,A176)+COUNTIF('04_TKS'!$A$5:$A$72,A176)+COUNTIF('05_Complementos'!$A$5:$A$127,A176)=1,0,1)</x:f>
        <x:v>0</x:v>
      </x:c>
      <x:c r="O176" s="12" t="n">
        <x:f>COUNTIF('08_Trazas'!$A$5:$A$248,A176)-1</x:f>
        <x:v>0</x:v>
      </x:c>
      <x:c r="P176" s="12" t="n">
        <x:f>IF(COUNTIF('02_Custodia'!$A$5:$A$53,C176)=1,0,1)</x:f>
        <x:v>0</x:v>
      </x:c>
    </x:row>
    <x:row r="177" ht="44"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IF(COUNTIF('03_Rector'!$A$5:$A$57,A177)+COUNTIF('04_TKS'!$A$5:$A$72,A177)+COUNTIF('05_Complementos'!$A$5:$A$127,A177)=1,0,1)</x:f>
        <x:v>0</x:v>
      </x:c>
      <x:c r="O177" s="12" t="n">
        <x:f>COUNTIF('08_Trazas'!$A$5:$A$248,A177)-1</x:f>
        <x:v>0</x:v>
      </x:c>
      <x:c r="P177" s="12" t="n">
        <x:f>IF(COUNTIF('02_Custodia'!$A$5:$A$53,C177)=1,0,1)</x:f>
        <x:v>0</x:v>
      </x:c>
    </x:row>
    <x:row r="178" ht="44"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IF(COUNTIF('03_Rector'!$A$5:$A$57,A178)+COUNTIF('04_TKS'!$A$5:$A$72,A178)+COUNTIF('05_Complementos'!$A$5:$A$127,A178)=1,0,1)</x:f>
        <x:v>0</x:v>
      </x:c>
      <x:c r="O178" s="12" t="n">
        <x:f>COUNTIF('08_Trazas'!$A$5:$A$248,A178)-1</x:f>
        <x:v>0</x:v>
      </x:c>
      <x:c r="P178" s="12" t="n">
        <x:f>IF(COUNTIF('02_Custodia'!$A$5:$A$53,C178)=1,0,1)</x:f>
        <x:v>0</x:v>
      </x:c>
    </x:row>
    <x:row r="179" ht="44"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IF(COUNTIF('03_Rector'!$A$5:$A$57,A179)+COUNTIF('04_TKS'!$A$5:$A$72,A179)+COUNTIF('05_Complementos'!$A$5:$A$127,A179)=1,0,1)</x:f>
        <x:v>0</x:v>
      </x:c>
      <x:c r="O179" s="12" t="n">
        <x:f>COUNTIF('08_Trazas'!$A$5:$A$248,A179)-1</x:f>
        <x:v>0</x:v>
      </x:c>
      <x:c r="P179" s="12" t="n">
        <x:f>IF(COUNTIF('02_Custodia'!$A$5:$A$53,C179)=1,0,1)</x:f>
        <x:v>0</x:v>
      </x:c>
    </x:row>
    <x:row r="180" ht="44"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IF(COUNTIF('03_Rector'!$A$5:$A$57,A180)+COUNTIF('04_TKS'!$A$5:$A$72,A180)+COUNTIF('05_Complementos'!$A$5:$A$127,A180)=1,0,1)</x:f>
        <x:v>0</x:v>
      </x:c>
      <x:c r="O180" s="12" t="n">
        <x:f>COUNTIF('08_Trazas'!$A$5:$A$248,A180)-1</x:f>
        <x:v>0</x:v>
      </x:c>
      <x:c r="P180" s="12" t="n">
        <x:f>IF(COUNTIF('02_Custodia'!$A$5:$A$53,C180)=1,0,1)</x:f>
        <x:v>0</x:v>
      </x:c>
    </x:row>
    <x:row r="181" ht="44"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IF(COUNTIF('03_Rector'!$A$5:$A$57,A181)+COUNTIF('04_TKS'!$A$5:$A$72,A181)+COUNTIF('05_Complementos'!$A$5:$A$127,A181)=1,0,1)</x:f>
        <x:v>0</x:v>
      </x:c>
      <x:c r="O181" s="12" t="n">
        <x:f>COUNTIF('08_Trazas'!$A$5:$A$248,A181)-1</x:f>
        <x:v>0</x:v>
      </x:c>
      <x:c r="P181" s="12" t="n">
        <x:f>IF(COUNTIF('02_Custodia'!$A$5:$A$53,C181)=1,0,1)</x:f>
        <x:v>0</x:v>
      </x:c>
    </x:row>
    <x:row r="182" ht="44"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IF(COUNTIF('03_Rector'!$A$5:$A$57,A182)+COUNTIF('04_TKS'!$A$5:$A$72,A182)+COUNTIF('05_Complementos'!$A$5:$A$127,A182)=1,0,1)</x:f>
        <x:v>0</x:v>
      </x:c>
      <x:c r="O182" s="12" t="n">
        <x:f>COUNTIF('08_Trazas'!$A$5:$A$248,A182)-1</x:f>
        <x:v>0</x:v>
      </x:c>
      <x:c r="P182" s="12" t="n">
        <x:f>IF(COUNTIF('02_Custodia'!$A$5:$A$53,C182)=1,0,1)</x:f>
        <x:v>0</x:v>
      </x:c>
    </x:row>
    <x:row r="183" ht="44"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IF(COUNTIF('03_Rector'!$A$5:$A$57,A183)+COUNTIF('04_TKS'!$A$5:$A$72,A183)+COUNTIF('05_Complementos'!$A$5:$A$127,A183)=1,0,1)</x:f>
        <x:v>0</x:v>
      </x:c>
      <x:c r="O183" s="12" t="n">
        <x:f>COUNTIF('08_Trazas'!$A$5:$A$248,A183)-1</x:f>
        <x:v>0</x:v>
      </x:c>
      <x:c r="P183" s="12" t="n">
        <x:f>IF(COUNTIF('02_Custodia'!$A$5:$A$53,C183)=1,0,1)</x:f>
        <x:v>0</x:v>
      </x:c>
    </x:row>
    <x:row r="184" ht="44"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IF(COUNTIF('03_Rector'!$A$5:$A$57,A184)+COUNTIF('04_TKS'!$A$5:$A$72,A184)+COUNTIF('05_Complementos'!$A$5:$A$127,A184)=1,0,1)</x:f>
        <x:v>0</x:v>
      </x:c>
      <x:c r="O184" s="12" t="n">
        <x:f>COUNTIF('08_Trazas'!$A$5:$A$248,A184)-1</x:f>
        <x:v>0</x:v>
      </x:c>
      <x:c r="P184" s="12" t="n">
        <x:f>IF(COUNTIF('02_Custodia'!$A$5:$A$53,C184)=1,0,1)</x:f>
        <x:v>0</x:v>
      </x:c>
    </x:row>
    <x:row r="185" ht="44"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IF(COUNTIF('03_Rector'!$A$5:$A$57,A185)+COUNTIF('04_TKS'!$A$5:$A$72,A185)+COUNTIF('05_Complementos'!$A$5:$A$127,A185)=1,0,1)</x:f>
        <x:v>0</x:v>
      </x:c>
      <x:c r="O185" s="12" t="n">
        <x:f>COUNTIF('08_Trazas'!$A$5:$A$248,A185)-1</x:f>
        <x:v>0</x:v>
      </x:c>
      <x:c r="P185" s="12" t="n">
        <x:f>IF(COUNTIF('02_Custodia'!$A$5:$A$53,C185)=1,0,1)</x:f>
        <x:v>0</x:v>
      </x:c>
    </x:row>
    <x:row r="186" ht="44"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IF(COUNTIF('03_Rector'!$A$5:$A$57,A186)+COUNTIF('04_TKS'!$A$5:$A$72,A186)+COUNTIF('05_Complementos'!$A$5:$A$127,A186)=1,0,1)</x:f>
        <x:v>0</x:v>
      </x:c>
      <x:c r="O186" s="12" t="n">
        <x:f>COUNTIF('08_Trazas'!$A$5:$A$248,A186)-1</x:f>
        <x:v>0</x:v>
      </x:c>
      <x:c r="P186" s="12" t="n">
        <x:f>IF(COUNTIF('02_Custodia'!$A$5:$A$53,C186)=1,0,1)</x:f>
        <x:v>0</x:v>
      </x:c>
    </x:row>
    <x:row r="187" ht="44"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IF(COUNTIF('03_Rector'!$A$5:$A$57,A187)+COUNTIF('04_TKS'!$A$5:$A$72,A187)+COUNTIF('05_Complementos'!$A$5:$A$127,A187)=1,0,1)</x:f>
        <x:v>0</x:v>
      </x:c>
      <x:c r="O187" s="12" t="n">
        <x:f>COUNTIF('08_Trazas'!$A$5:$A$248,A187)-1</x:f>
        <x:v>0</x:v>
      </x:c>
      <x:c r="P187" s="12" t="n">
        <x:f>IF(COUNTIF('02_Custodia'!$A$5:$A$53,C187)=1,0,1)</x:f>
        <x:v>0</x:v>
      </x:c>
    </x:row>
    <x:row r="188" ht="44"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IF(COUNTIF('03_Rector'!$A$5:$A$57,A188)+COUNTIF('04_TKS'!$A$5:$A$72,A188)+COUNTIF('05_Complementos'!$A$5:$A$127,A188)=1,0,1)</x:f>
        <x:v>0</x:v>
      </x:c>
      <x:c r="O188" s="12" t="n">
        <x:f>COUNTIF('08_Trazas'!$A$5:$A$248,A188)-1</x:f>
        <x:v>0</x:v>
      </x:c>
      <x:c r="P188" s="12" t="n">
        <x:f>IF(COUNTIF('02_Custodia'!$A$5:$A$53,C188)=1,0,1)</x:f>
        <x:v>0</x:v>
      </x:c>
    </x:row>
    <x:row r="189" ht="44"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IF(COUNTIF('03_Rector'!$A$5:$A$57,A189)+COUNTIF('04_TKS'!$A$5:$A$72,A189)+COUNTIF('05_Complementos'!$A$5:$A$127,A189)=1,0,1)</x:f>
        <x:v>0</x:v>
      </x:c>
      <x:c r="O189" s="12" t="n">
        <x:f>COUNTIF('08_Trazas'!$A$5:$A$248,A189)-1</x:f>
        <x:v>0</x:v>
      </x:c>
      <x:c r="P189" s="12" t="n">
        <x:f>IF(COUNTIF('02_Custodia'!$A$5:$A$53,C189)=1,0,1)</x:f>
        <x:v>0</x:v>
      </x:c>
    </x:row>
    <x:row r="190" ht="44"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IF(COUNTIF('03_Rector'!$A$5:$A$57,A190)+COUNTIF('04_TKS'!$A$5:$A$72,A190)+COUNTIF('05_Complementos'!$A$5:$A$127,A190)=1,0,1)</x:f>
        <x:v>0</x:v>
      </x:c>
      <x:c r="O190" s="12" t="n">
        <x:f>COUNTIF('08_Trazas'!$A$5:$A$248,A190)-1</x:f>
        <x:v>0</x:v>
      </x:c>
      <x:c r="P190" s="12" t="n">
        <x:f>IF(COUNTIF('02_Custodia'!$A$5:$A$53,C190)=1,0,1)</x:f>
        <x:v>0</x:v>
      </x:c>
    </x:row>
    <x:row r="191" ht="44"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IF(COUNTIF('03_Rector'!$A$5:$A$57,A191)+COUNTIF('04_TKS'!$A$5:$A$72,A191)+COUNTIF('05_Complementos'!$A$5:$A$127,A191)=1,0,1)</x:f>
        <x:v>0</x:v>
      </x:c>
      <x:c r="O191" s="12" t="n">
        <x:f>COUNTIF('08_Trazas'!$A$5:$A$248,A191)-1</x:f>
        <x:v>0</x:v>
      </x:c>
      <x:c r="P191" s="12" t="n">
        <x:f>IF(COUNTIF('02_Custodia'!$A$5:$A$53,C191)=1,0,1)</x:f>
        <x:v>0</x:v>
      </x:c>
    </x:row>
    <x:row r="192" ht="44"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IF(COUNTIF('03_Rector'!$A$5:$A$57,A192)+COUNTIF('04_TKS'!$A$5:$A$72,A192)+COUNTIF('05_Complementos'!$A$5:$A$127,A192)=1,0,1)</x:f>
        <x:v>0</x:v>
      </x:c>
      <x:c r="O192" s="12" t="n">
        <x:f>COUNTIF('08_Trazas'!$A$5:$A$248,A192)-1</x:f>
        <x:v>0</x:v>
      </x:c>
      <x:c r="P192" s="12" t="n">
        <x:f>IF(COUNTIF('02_Custodia'!$A$5:$A$53,C192)=1,0,1)</x:f>
        <x:v>0</x:v>
      </x:c>
    </x:row>
    <x:row r="193" ht="44"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IF(COUNTIF('03_Rector'!$A$5:$A$57,A193)+COUNTIF('04_TKS'!$A$5:$A$72,A193)+COUNTIF('05_Complementos'!$A$5:$A$127,A193)=1,0,1)</x:f>
        <x:v>0</x:v>
      </x:c>
      <x:c r="O193" s="12" t="n">
        <x:f>COUNTIF('08_Trazas'!$A$5:$A$248,A193)-1</x:f>
        <x:v>0</x:v>
      </x:c>
      <x:c r="P193" s="12" t="n">
        <x:f>IF(COUNTIF('02_Custodia'!$A$5:$A$53,C193)=1,0,1)</x:f>
        <x:v>0</x:v>
      </x:c>
    </x:row>
    <x:row r="194" ht="44"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IF(COUNTIF('03_Rector'!$A$5:$A$57,A194)+COUNTIF('04_TKS'!$A$5:$A$72,A194)+COUNTIF('05_Complementos'!$A$5:$A$127,A194)=1,0,1)</x:f>
        <x:v>0</x:v>
      </x:c>
      <x:c r="O194" s="12" t="n">
        <x:f>COUNTIF('08_Trazas'!$A$5:$A$248,A194)-1</x:f>
        <x:v>0</x:v>
      </x:c>
      <x:c r="P194" s="12" t="n">
        <x:f>IF(COUNTIF('02_Custodia'!$A$5:$A$53,C194)=1,0,1)</x:f>
        <x:v>0</x:v>
      </x:c>
    </x:row>
    <x:row r="195" ht="44"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IF(COUNTIF('03_Rector'!$A$5:$A$57,A195)+COUNTIF('04_TKS'!$A$5:$A$72,A195)+COUNTIF('05_Complementos'!$A$5:$A$127,A195)=1,0,1)</x:f>
        <x:v>0</x:v>
      </x:c>
      <x:c r="O195" s="12" t="n">
        <x:f>COUNTIF('08_Trazas'!$A$5:$A$248,A195)-1</x:f>
        <x:v>0</x:v>
      </x:c>
      <x:c r="P195" s="12" t="n">
        <x:f>IF(COUNTIF('02_Custodia'!$A$5:$A$53,C195)=1,0,1)</x:f>
        <x:v>0</x:v>
      </x:c>
    </x:row>
    <x:row r="196" ht="44"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IF(COUNTIF('03_Rector'!$A$5:$A$57,A196)+COUNTIF('04_TKS'!$A$5:$A$72,A196)+COUNTIF('05_Complementos'!$A$5:$A$127,A196)=1,0,1)</x:f>
        <x:v>0</x:v>
      </x:c>
      <x:c r="O196" s="12" t="n">
        <x:f>COUNTIF('08_Trazas'!$A$5:$A$248,A196)-1</x:f>
        <x:v>0</x:v>
      </x:c>
      <x:c r="P196" s="12" t="n">
        <x:f>IF(COUNTIF('02_Custodia'!$A$5:$A$53,C196)=1,0,1)</x:f>
        <x:v>0</x:v>
      </x:c>
    </x:row>
    <x:row r="197" ht="44"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IF(COUNTIF('03_Rector'!$A$5:$A$57,A197)+COUNTIF('04_TKS'!$A$5:$A$72,A197)+COUNTIF('05_Complementos'!$A$5:$A$127,A197)=1,0,1)</x:f>
        <x:v>0</x:v>
      </x:c>
      <x:c r="O197" s="12" t="n">
        <x:f>COUNTIF('08_Trazas'!$A$5:$A$248,A197)-1</x:f>
        <x:v>0</x:v>
      </x:c>
      <x:c r="P197" s="12" t="n">
        <x:f>IF(COUNTIF('02_Custodia'!$A$5:$A$53,C197)=1,0,1)</x:f>
        <x:v>0</x:v>
      </x:c>
    </x:row>
    <x:row r="198" ht="44"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IF(COUNTIF('03_Rector'!$A$5:$A$57,A198)+COUNTIF('04_TKS'!$A$5:$A$72,A198)+COUNTIF('05_Complementos'!$A$5:$A$127,A198)=1,0,1)</x:f>
        <x:v>0</x:v>
      </x:c>
      <x:c r="O198" s="12" t="n">
        <x:f>COUNTIF('08_Trazas'!$A$5:$A$248,A198)-1</x:f>
        <x:v>0</x:v>
      </x:c>
      <x:c r="P198" s="12" t="n">
        <x:f>IF(COUNTIF('02_Custodia'!$A$5:$A$53,C198)=1,0,1)</x:f>
        <x:v>0</x:v>
      </x:c>
    </x:row>
    <x:row r="199" ht="44"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IF(COUNTIF('03_Rector'!$A$5:$A$57,A199)+COUNTIF('04_TKS'!$A$5:$A$72,A199)+COUNTIF('05_Complementos'!$A$5:$A$127,A199)=1,0,1)</x:f>
        <x:v>0</x:v>
      </x:c>
      <x:c r="O199" s="12" t="n">
        <x:f>COUNTIF('08_Trazas'!$A$5:$A$248,A199)-1</x:f>
        <x:v>0</x:v>
      </x:c>
      <x:c r="P199" s="12" t="n">
        <x:f>IF(COUNTIF('02_Custodia'!$A$5:$A$53,C199)=1,0,1)</x:f>
        <x:v>0</x:v>
      </x:c>
    </x:row>
    <x:row r="200" ht="44"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IF(COUNTIF('03_Rector'!$A$5:$A$57,A200)+COUNTIF('04_TKS'!$A$5:$A$72,A200)+COUNTIF('05_Complementos'!$A$5:$A$127,A200)=1,0,1)</x:f>
        <x:v>0</x:v>
      </x:c>
      <x:c r="O200" s="12" t="n">
        <x:f>COUNTIF('08_Trazas'!$A$5:$A$248,A200)-1</x:f>
        <x:v>0</x:v>
      </x:c>
      <x:c r="P200" s="12" t="n">
        <x:f>IF(COUNTIF('02_Custodia'!$A$5:$A$53,C200)=1,0,1)</x:f>
        <x:v>0</x:v>
      </x:c>
    </x:row>
    <x:row r="201" ht="44"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IF(COUNTIF('03_Rector'!$A$5:$A$57,A201)+COUNTIF('04_TKS'!$A$5:$A$72,A201)+COUNTIF('05_Complementos'!$A$5:$A$127,A201)=1,0,1)</x:f>
        <x:v>0</x:v>
      </x:c>
      <x:c r="O201" s="12" t="n">
        <x:f>COUNTIF('08_Trazas'!$A$5:$A$248,A201)-1</x:f>
        <x:v>0</x:v>
      </x:c>
      <x:c r="P201" s="12" t="n">
        <x:f>IF(COUNTIF('02_Custodia'!$A$5:$A$53,C201)=1,0,1)</x:f>
        <x:v>0</x:v>
      </x:c>
    </x:row>
    <x:row r="202" ht="44"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IF(COUNTIF('03_Rector'!$A$5:$A$57,A202)+COUNTIF('04_TKS'!$A$5:$A$72,A202)+COUNTIF('05_Complementos'!$A$5:$A$127,A202)=1,0,1)</x:f>
        <x:v>0</x:v>
      </x:c>
      <x:c r="O202" s="12" t="n">
        <x:f>COUNTIF('08_Trazas'!$A$5:$A$248,A202)-1</x:f>
        <x:v>0</x:v>
      </x:c>
      <x:c r="P202" s="12" t="n">
        <x:f>IF(COUNTIF('02_Custodia'!$A$5:$A$53,C202)=1,0,1)</x:f>
        <x:v>0</x:v>
      </x:c>
    </x:row>
    <x:row r="203" ht="44"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IF(COUNTIF('03_Rector'!$A$5:$A$57,A203)+COUNTIF('04_TKS'!$A$5:$A$72,A203)+COUNTIF('05_Complementos'!$A$5:$A$127,A203)=1,0,1)</x:f>
        <x:v>0</x:v>
      </x:c>
      <x:c r="O203" s="12" t="n">
        <x:f>COUNTIF('08_Trazas'!$A$5:$A$248,A203)-1</x:f>
        <x:v>0</x:v>
      </x:c>
      <x:c r="P203" s="12" t="n">
        <x:f>IF(COUNTIF('02_Custodia'!$A$5:$A$53,C203)=1,0,1)</x:f>
        <x:v>0</x:v>
      </x:c>
    </x:row>
    <x:row r="204" ht="44"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IF(COUNTIF('03_Rector'!$A$5:$A$57,A204)+COUNTIF('04_TKS'!$A$5:$A$72,A204)+COUNTIF('05_Complementos'!$A$5:$A$127,A204)=1,0,1)</x:f>
        <x:v>0</x:v>
      </x:c>
      <x:c r="O204" s="12" t="n">
        <x:f>COUNTIF('08_Trazas'!$A$5:$A$248,A204)-1</x:f>
        <x:v>0</x:v>
      </x:c>
      <x:c r="P204" s="12" t="n">
        <x:f>IF(COUNTIF('02_Custodia'!$A$5:$A$53,C204)=1,0,1)</x:f>
        <x:v>0</x:v>
      </x:c>
    </x:row>
    <x:row r="205" ht="44"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IF(COUNTIF('03_Rector'!$A$5:$A$57,A205)+COUNTIF('04_TKS'!$A$5:$A$72,A205)+COUNTIF('05_Complementos'!$A$5:$A$127,A205)=1,0,1)</x:f>
        <x:v>0</x:v>
      </x:c>
      <x:c r="O205" s="12" t="n">
        <x:f>COUNTIF('08_Trazas'!$A$5:$A$248,A205)-1</x:f>
        <x:v>0</x:v>
      </x:c>
      <x:c r="P205" s="12" t="n">
        <x:f>IF(COUNTIF('02_Custodia'!$A$5:$A$53,C205)=1,0,1)</x:f>
        <x:v>0</x:v>
      </x:c>
    </x:row>
    <x:row r="206" ht="44"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IF(COUNTIF('03_Rector'!$A$5:$A$57,A206)+COUNTIF('04_TKS'!$A$5:$A$72,A206)+COUNTIF('05_Complementos'!$A$5:$A$127,A206)=1,0,1)</x:f>
        <x:v>0</x:v>
      </x:c>
      <x:c r="O206" s="12" t="n">
        <x:f>COUNTIF('08_Trazas'!$A$5:$A$248,A206)-1</x:f>
        <x:v>0</x:v>
      </x:c>
      <x:c r="P206" s="12" t="n">
        <x:f>IF(COUNTIF('02_Custodia'!$A$5:$A$53,C206)=1,0,1)</x:f>
        <x:v>0</x:v>
      </x:c>
    </x:row>
    <x:row r="207" ht="44"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IF(COUNTIF('03_Rector'!$A$5:$A$57,A207)+COUNTIF('04_TKS'!$A$5:$A$72,A207)+COUNTIF('05_Complementos'!$A$5:$A$127,A207)=1,0,1)</x:f>
        <x:v>0</x:v>
      </x:c>
      <x:c r="O207" s="12" t="n">
        <x:f>COUNTIF('08_Trazas'!$A$5:$A$248,A207)-1</x:f>
        <x:v>0</x:v>
      </x:c>
      <x:c r="P207" s="12" t="n">
        <x:f>IF(COUNTIF('02_Custodia'!$A$5:$A$53,C207)=1,0,1)</x:f>
        <x:v>0</x:v>
      </x:c>
    </x:row>
    <x:row r="208" ht="44"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IF(COUNTIF('03_Rector'!$A$5:$A$57,A208)+COUNTIF('04_TKS'!$A$5:$A$72,A208)+COUNTIF('05_Complementos'!$A$5:$A$127,A208)=1,0,1)</x:f>
        <x:v>0</x:v>
      </x:c>
      <x:c r="O208" s="12" t="n">
        <x:f>COUNTIF('08_Trazas'!$A$5:$A$248,A208)-1</x:f>
        <x:v>0</x:v>
      </x:c>
      <x:c r="P208" s="12" t="n">
        <x:f>IF(COUNTIF('02_Custodia'!$A$5:$A$53,C208)=1,0,1)</x:f>
        <x:v>0</x:v>
      </x:c>
    </x:row>
    <x:row r="209" ht="44"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IF(COUNTIF('03_Rector'!$A$5:$A$57,A209)+COUNTIF('04_TKS'!$A$5:$A$72,A209)+COUNTIF('05_Complementos'!$A$5:$A$127,A209)=1,0,1)</x:f>
        <x:v>0</x:v>
      </x:c>
      <x:c r="O209" s="12" t="n">
        <x:f>COUNTIF('08_Trazas'!$A$5:$A$248,A209)-1</x:f>
        <x:v>0</x:v>
      </x:c>
      <x:c r="P209" s="12" t="n">
        <x:f>IF(COUNTIF('02_Custodia'!$A$5:$A$53,C209)=1,0,1)</x:f>
        <x:v>0</x:v>
      </x:c>
    </x:row>
    <x:row r="210" ht="44"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IF(COUNTIF('03_Rector'!$A$5:$A$57,A210)+COUNTIF('04_TKS'!$A$5:$A$72,A210)+COUNTIF('05_Complementos'!$A$5:$A$127,A210)=1,0,1)</x:f>
        <x:v>0</x:v>
      </x:c>
      <x:c r="O210" s="12" t="n">
        <x:f>COUNTIF('08_Trazas'!$A$5:$A$248,A210)-1</x:f>
        <x:v>0</x:v>
      </x:c>
      <x:c r="P210" s="12" t="n">
        <x:f>IF(COUNTIF('02_Custodia'!$A$5:$A$53,C210)=1,0,1)</x:f>
        <x:v>0</x:v>
      </x:c>
    </x:row>
    <x:row r="211" ht="44"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IF(COUNTIF('03_Rector'!$A$5:$A$57,A211)+COUNTIF('04_TKS'!$A$5:$A$72,A211)+COUNTIF('05_Complementos'!$A$5:$A$127,A211)=1,0,1)</x:f>
        <x:v>0</x:v>
      </x:c>
      <x:c r="O211" s="12" t="n">
        <x:f>COUNTIF('08_Trazas'!$A$5:$A$248,A211)-1</x:f>
        <x:v>0</x:v>
      </x:c>
      <x:c r="P211" s="12" t="n">
        <x:f>IF(COUNTIF('02_Custodia'!$A$5:$A$53,C211)=1,0,1)</x:f>
        <x:v>0</x:v>
      </x:c>
    </x:row>
    <x:row r="212" ht="44"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IF(COUNTIF('03_Rector'!$A$5:$A$57,A212)+COUNTIF('04_TKS'!$A$5:$A$72,A212)+COUNTIF('05_Complementos'!$A$5:$A$127,A212)=1,0,1)</x:f>
        <x:v>0</x:v>
      </x:c>
      <x:c r="O212" s="12" t="n">
        <x:f>COUNTIF('08_Trazas'!$A$5:$A$248,A212)-1</x:f>
        <x:v>0</x:v>
      </x:c>
      <x:c r="P212" s="12" t="n">
        <x:f>IF(COUNTIF('02_Custodia'!$A$5:$A$53,C212)=1,0,1)</x:f>
        <x:v>0</x:v>
      </x:c>
    </x:row>
    <x:row r="213" ht="44"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IF(COUNTIF('03_Rector'!$A$5:$A$57,A213)+COUNTIF('04_TKS'!$A$5:$A$72,A213)+COUNTIF('05_Complementos'!$A$5:$A$127,A213)=1,0,1)</x:f>
        <x:v>0</x:v>
      </x:c>
      <x:c r="O213" s="12" t="n">
        <x:f>COUNTIF('08_Trazas'!$A$5:$A$248,A213)-1</x:f>
        <x:v>0</x:v>
      </x:c>
      <x:c r="P213" s="12" t="n">
        <x:f>IF(COUNTIF('02_Custodia'!$A$5:$A$53,C213)=1,0,1)</x:f>
        <x:v>0</x:v>
      </x:c>
    </x:row>
    <x:row r="214" ht="44"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IF(COUNTIF('03_Rector'!$A$5:$A$57,A214)+COUNTIF('04_TKS'!$A$5:$A$72,A214)+COUNTIF('05_Complementos'!$A$5:$A$127,A214)=1,0,1)</x:f>
        <x:v>0</x:v>
      </x:c>
      <x:c r="O214" s="12" t="n">
        <x:f>COUNTIF('08_Trazas'!$A$5:$A$248,A214)-1</x:f>
        <x:v>0</x:v>
      </x:c>
      <x:c r="P214" s="12" t="n">
        <x:f>IF(COUNTIF('02_Custodia'!$A$5:$A$53,C214)=1,0,1)</x:f>
        <x:v>0</x:v>
      </x:c>
    </x:row>
    <x:row r="215" ht="44"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IF(COUNTIF('03_Rector'!$A$5:$A$57,A215)+COUNTIF('04_TKS'!$A$5:$A$72,A215)+COUNTIF('05_Complementos'!$A$5:$A$127,A215)=1,0,1)</x:f>
        <x:v>0</x:v>
      </x:c>
      <x:c r="O215" s="12" t="n">
        <x:f>COUNTIF('08_Trazas'!$A$5:$A$248,A215)-1</x:f>
        <x:v>0</x:v>
      </x:c>
      <x:c r="P215" s="12" t="n">
        <x:f>IF(COUNTIF('02_Custodia'!$A$5:$A$53,C215)=1,0,1)</x:f>
        <x:v>0</x:v>
      </x:c>
    </x:row>
    <x:row r="216" ht="44"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IF(COUNTIF('03_Rector'!$A$5:$A$57,A216)+COUNTIF('04_TKS'!$A$5:$A$72,A216)+COUNTIF('05_Complementos'!$A$5:$A$127,A216)=1,0,1)</x:f>
        <x:v>0</x:v>
      </x:c>
      <x:c r="O216" s="12" t="n">
        <x:f>COUNTIF('08_Trazas'!$A$5:$A$248,A216)-1</x:f>
        <x:v>0</x:v>
      </x:c>
      <x:c r="P216" s="12" t="n">
        <x:f>IF(COUNTIF('02_Custodia'!$A$5:$A$53,C216)=1,0,1)</x:f>
        <x:v>0</x:v>
      </x:c>
    </x:row>
    <x:row r="217" ht="44"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IF(COUNTIF('03_Rector'!$A$5:$A$57,A217)+COUNTIF('04_TKS'!$A$5:$A$72,A217)+COUNTIF('05_Complementos'!$A$5:$A$127,A217)=1,0,1)</x:f>
        <x:v>0</x:v>
      </x:c>
      <x:c r="O217" s="12" t="n">
        <x:f>COUNTIF('08_Trazas'!$A$5:$A$248,A217)-1</x:f>
        <x:v>0</x:v>
      </x:c>
      <x:c r="P217" s="12" t="n">
        <x:f>IF(COUNTIF('02_Custodia'!$A$5:$A$53,C217)=1,0,1)</x:f>
        <x:v>0</x:v>
      </x:c>
    </x:row>
    <x:row r="218" ht="44"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IF(COUNTIF('03_Rector'!$A$5:$A$57,A218)+COUNTIF('04_TKS'!$A$5:$A$72,A218)+COUNTIF('05_Complementos'!$A$5:$A$127,A218)=1,0,1)</x:f>
        <x:v>0</x:v>
      </x:c>
      <x:c r="O218" s="12" t="n">
        <x:f>COUNTIF('08_Trazas'!$A$5:$A$248,A218)-1</x:f>
        <x:v>0</x:v>
      </x:c>
      <x:c r="P218" s="12" t="n">
        <x:f>IF(COUNTIF('02_Custodia'!$A$5:$A$53,C218)=1,0,1)</x:f>
        <x:v>0</x:v>
      </x:c>
    </x:row>
    <x:row r="219" ht="44"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IF(COUNTIF('03_Rector'!$A$5:$A$57,A219)+COUNTIF('04_TKS'!$A$5:$A$72,A219)+COUNTIF('05_Complementos'!$A$5:$A$127,A219)=1,0,1)</x:f>
        <x:v>0</x:v>
      </x:c>
      <x:c r="O219" s="12" t="n">
        <x:f>COUNTIF('08_Trazas'!$A$5:$A$248,A219)-1</x:f>
        <x:v>0</x:v>
      </x:c>
      <x:c r="P219" s="12" t="n">
        <x:f>IF(COUNTIF('02_Custodia'!$A$5:$A$53,C219)=1,0,1)</x:f>
        <x:v>0</x:v>
      </x:c>
    </x:row>
    <x:row r="220" ht="44"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IF(COUNTIF('03_Rector'!$A$5:$A$57,A220)+COUNTIF('04_TKS'!$A$5:$A$72,A220)+COUNTIF('05_Complementos'!$A$5:$A$127,A220)=1,0,1)</x:f>
        <x:v>0</x:v>
      </x:c>
      <x:c r="O220" s="12" t="n">
        <x:f>COUNTIF('08_Trazas'!$A$5:$A$248,A220)-1</x:f>
        <x:v>0</x:v>
      </x:c>
      <x:c r="P220" s="12" t="n">
        <x:f>IF(COUNTIF('02_Custodia'!$A$5:$A$53,C220)=1,0,1)</x:f>
        <x:v>0</x:v>
      </x:c>
    </x:row>
    <x:row r="221" ht="44"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IF(COUNTIF('03_Rector'!$A$5:$A$57,A221)+COUNTIF('04_TKS'!$A$5:$A$72,A221)+COUNTIF('05_Complementos'!$A$5:$A$127,A221)=1,0,1)</x:f>
        <x:v>0</x:v>
      </x:c>
      <x:c r="O221" s="12" t="n">
        <x:f>COUNTIF('08_Trazas'!$A$5:$A$248,A221)-1</x:f>
        <x:v>0</x:v>
      </x:c>
      <x:c r="P221" s="12" t="n">
        <x:f>IF(COUNTIF('02_Custodia'!$A$5:$A$53,C221)=1,0,1)</x:f>
        <x:v>0</x:v>
      </x:c>
    </x:row>
    <x:row r="222" ht="44"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IF(COUNTIF('03_Rector'!$A$5:$A$57,A222)+COUNTIF('04_TKS'!$A$5:$A$72,A222)+COUNTIF('05_Complementos'!$A$5:$A$127,A222)=1,0,1)</x:f>
        <x:v>0</x:v>
      </x:c>
      <x:c r="O222" s="12" t="n">
        <x:f>COUNTIF('08_Trazas'!$A$5:$A$248,A222)-1</x:f>
        <x:v>0</x:v>
      </x:c>
      <x:c r="P222" s="12" t="n">
        <x:f>IF(COUNTIF('02_Custodia'!$A$5:$A$53,C222)=1,0,1)</x:f>
        <x:v>0</x:v>
      </x:c>
    </x:row>
    <x:row r="223" ht="44"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IF(COUNTIF('03_Rector'!$A$5:$A$57,A223)+COUNTIF('04_TKS'!$A$5:$A$72,A223)+COUNTIF('05_Complementos'!$A$5:$A$127,A223)=1,0,1)</x:f>
        <x:v>0</x:v>
      </x:c>
      <x:c r="O223" s="12" t="n">
        <x:f>COUNTIF('08_Trazas'!$A$5:$A$248,A223)-1</x:f>
        <x:v>0</x:v>
      </x:c>
      <x:c r="P223" s="12" t="n">
        <x:f>IF(COUNTIF('02_Custodia'!$A$5:$A$53,C223)=1,0,1)</x:f>
        <x:v>0</x:v>
      </x:c>
    </x:row>
    <x:row r="224" ht="44"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IF(COUNTIF('03_Rector'!$A$5:$A$57,A224)+COUNTIF('04_TKS'!$A$5:$A$72,A224)+COUNTIF('05_Complementos'!$A$5:$A$127,A224)=1,0,1)</x:f>
        <x:v>0</x:v>
      </x:c>
      <x:c r="O224" s="12" t="n">
        <x:f>COUNTIF('08_Trazas'!$A$5:$A$248,A224)-1</x:f>
        <x:v>0</x:v>
      </x:c>
      <x:c r="P224" s="12" t="n">
        <x:f>IF(COUNTIF('02_Custodia'!$A$5:$A$53,C224)=1,0,1)</x:f>
        <x:v>0</x:v>
      </x:c>
    </x:row>
    <x:row r="225" ht="44"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IF(COUNTIF('03_Rector'!$A$5:$A$57,A225)+COUNTIF('04_TKS'!$A$5:$A$72,A225)+COUNTIF('05_Complementos'!$A$5:$A$127,A225)=1,0,1)</x:f>
        <x:v>0</x:v>
      </x:c>
      <x:c r="O225" s="12" t="n">
        <x:f>COUNTIF('08_Trazas'!$A$5:$A$248,A225)-1</x:f>
        <x:v>0</x:v>
      </x:c>
      <x:c r="P225" s="12" t="n">
        <x:f>IF(COUNTIF('02_Custodia'!$A$5:$A$53,C225)=1,0,1)</x:f>
        <x:v>0</x:v>
      </x:c>
    </x:row>
    <x:row r="226" ht="44"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IF(COUNTIF('03_Rector'!$A$5:$A$57,A226)+COUNTIF('04_TKS'!$A$5:$A$72,A226)+COUNTIF('05_Complementos'!$A$5:$A$127,A226)=1,0,1)</x:f>
        <x:v>0</x:v>
      </x:c>
      <x:c r="O226" s="12" t="n">
        <x:f>COUNTIF('08_Trazas'!$A$5:$A$248,A226)-1</x:f>
        <x:v>0</x:v>
      </x:c>
      <x:c r="P226" s="12" t="n">
        <x:f>IF(COUNTIF('02_Custodia'!$A$5:$A$53,C226)=1,0,1)</x:f>
        <x:v>0</x:v>
      </x:c>
    </x:row>
    <x:row r="227" ht="44"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IF(COUNTIF('03_Rector'!$A$5:$A$57,A227)+COUNTIF('04_TKS'!$A$5:$A$72,A227)+COUNTIF('05_Complementos'!$A$5:$A$127,A227)=1,0,1)</x:f>
        <x:v>0</x:v>
      </x:c>
      <x:c r="O227" s="12" t="n">
        <x:f>COUNTIF('08_Trazas'!$A$5:$A$248,A227)-1</x:f>
        <x:v>0</x:v>
      </x:c>
      <x:c r="P227" s="12" t="n">
        <x:f>IF(COUNTIF('02_Custodia'!$A$5:$A$53,C227)=1,0,1)</x:f>
        <x:v>0</x:v>
      </x:c>
    </x:row>
    <x:row r="228" ht="44"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IF(COUNTIF('03_Rector'!$A$5:$A$57,A228)+COUNTIF('04_TKS'!$A$5:$A$72,A228)+COUNTIF('05_Complementos'!$A$5:$A$127,A228)=1,0,1)</x:f>
        <x:v>0</x:v>
      </x:c>
      <x:c r="O228" s="12" t="n">
        <x:f>COUNTIF('08_Trazas'!$A$5:$A$248,A228)-1</x:f>
        <x:v>0</x:v>
      </x:c>
      <x:c r="P228" s="12" t="n">
        <x:f>IF(COUNTIF('02_Custodia'!$A$5:$A$53,C228)=1,0,1)</x:f>
        <x:v>0</x:v>
      </x:c>
    </x:row>
    <x:row r="229" ht="44"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IF(COUNTIF('03_Rector'!$A$5:$A$57,A229)+COUNTIF('04_TKS'!$A$5:$A$72,A229)+COUNTIF('05_Complementos'!$A$5:$A$127,A229)=1,0,1)</x:f>
        <x:v>0</x:v>
      </x:c>
      <x:c r="O229" s="12" t="n">
        <x:f>COUNTIF('08_Trazas'!$A$5:$A$248,A229)-1</x:f>
        <x:v>0</x:v>
      </x:c>
      <x:c r="P229" s="12" t="n">
        <x:f>IF(COUNTIF('02_Custodia'!$A$5:$A$53,C229)=1,0,1)</x:f>
        <x:v>0</x:v>
      </x:c>
    </x:row>
    <x:row r="230" ht="44"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IF(COUNTIF('03_Rector'!$A$5:$A$57,A230)+COUNTIF('04_TKS'!$A$5:$A$72,A230)+COUNTIF('05_Complementos'!$A$5:$A$127,A230)=1,0,1)</x:f>
        <x:v>0</x:v>
      </x:c>
      <x:c r="O230" s="12" t="n">
        <x:f>COUNTIF('08_Trazas'!$A$5:$A$248,A230)-1</x:f>
        <x:v>0</x:v>
      </x:c>
      <x:c r="P230" s="12" t="n">
        <x:f>IF(COUNTIF('02_Custodia'!$A$5:$A$53,C230)=1,0,1)</x:f>
        <x:v>0</x:v>
      </x:c>
    </x:row>
    <x:row r="231" ht="44"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IF(COUNTIF('03_Rector'!$A$5:$A$57,A231)+COUNTIF('04_TKS'!$A$5:$A$72,A231)+COUNTIF('05_Complementos'!$A$5:$A$127,A231)=1,0,1)</x:f>
        <x:v>0</x:v>
      </x:c>
      <x:c r="O231" s="12" t="n">
        <x:f>COUNTIF('08_Trazas'!$A$5:$A$248,A231)-1</x:f>
        <x:v>0</x:v>
      </x:c>
      <x:c r="P231" s="12" t="n">
        <x:f>IF(COUNTIF('02_Custodia'!$A$5:$A$53,C231)=1,0,1)</x:f>
        <x:v>0</x:v>
      </x:c>
    </x:row>
    <x:row r="232" ht="44"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IF(COUNTIF('03_Rector'!$A$5:$A$57,A232)+COUNTIF('04_TKS'!$A$5:$A$72,A232)+COUNTIF('05_Complementos'!$A$5:$A$127,A232)=1,0,1)</x:f>
        <x:v>0</x:v>
      </x:c>
      <x:c r="O232" s="12" t="n">
        <x:f>COUNTIF('08_Trazas'!$A$5:$A$248,A232)-1</x:f>
        <x:v>0</x:v>
      </x:c>
      <x:c r="P232" s="12" t="n">
        <x:f>IF(COUNTIF('02_Custodia'!$A$5:$A$53,C232)=1,0,1)</x:f>
        <x:v>0</x:v>
      </x:c>
    </x:row>
    <x:row r="233" ht="44"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IF(COUNTIF('03_Rector'!$A$5:$A$57,A233)+COUNTIF('04_TKS'!$A$5:$A$72,A233)+COUNTIF('05_Complementos'!$A$5:$A$127,A233)=1,0,1)</x:f>
        <x:v>0</x:v>
      </x:c>
      <x:c r="O233" s="12" t="n">
        <x:f>COUNTIF('08_Trazas'!$A$5:$A$248,A233)-1</x:f>
        <x:v>0</x:v>
      </x:c>
      <x:c r="P233" s="12" t="n">
        <x:f>IF(COUNTIF('02_Custodia'!$A$5:$A$53,C233)=1,0,1)</x:f>
        <x:v>0</x:v>
      </x:c>
    </x:row>
    <x:row r="234" ht="44"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IF(COUNTIF('03_Rector'!$A$5:$A$57,A234)+COUNTIF('04_TKS'!$A$5:$A$72,A234)+COUNTIF('05_Complementos'!$A$5:$A$127,A234)=1,0,1)</x:f>
        <x:v>0</x:v>
      </x:c>
      <x:c r="O234" s="12" t="n">
        <x:f>COUNTIF('08_Trazas'!$A$5:$A$248,A234)-1</x:f>
        <x:v>0</x:v>
      </x:c>
      <x:c r="P234" s="12" t="n">
        <x:f>IF(COUNTIF('02_Custodia'!$A$5:$A$53,C234)=1,0,1)</x:f>
        <x:v>0</x:v>
      </x:c>
    </x:row>
    <x:row r="235" ht="44"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IF(COUNTIF('03_Rector'!$A$5:$A$57,A235)+COUNTIF('04_TKS'!$A$5:$A$72,A235)+COUNTIF('05_Complementos'!$A$5:$A$127,A235)=1,0,1)</x:f>
        <x:v>0</x:v>
      </x:c>
      <x:c r="O235" s="12" t="n">
        <x:f>COUNTIF('08_Trazas'!$A$5:$A$248,A235)-1</x:f>
        <x:v>0</x:v>
      </x:c>
      <x:c r="P235" s="12" t="n">
        <x:f>IF(COUNTIF('02_Custodia'!$A$5:$A$53,C235)=1,0,1)</x:f>
        <x:v>0</x:v>
      </x:c>
    </x:row>
    <x:row r="236" ht="44"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IF(COUNTIF('03_Rector'!$A$5:$A$57,A236)+COUNTIF('04_TKS'!$A$5:$A$72,A236)+COUNTIF('05_Complementos'!$A$5:$A$127,A236)=1,0,1)</x:f>
        <x:v>0</x:v>
      </x:c>
      <x:c r="O236" s="12" t="n">
        <x:f>COUNTIF('08_Trazas'!$A$5:$A$248,A236)-1</x:f>
        <x:v>0</x:v>
      </x:c>
      <x:c r="P236" s="12" t="n">
        <x:f>IF(COUNTIF('02_Custodia'!$A$5:$A$53,C236)=1,0,1)</x:f>
        <x:v>0</x:v>
      </x:c>
    </x:row>
    <x:row r="237" ht="44"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IF(COUNTIF('03_Rector'!$A$5:$A$57,A237)+COUNTIF('04_TKS'!$A$5:$A$72,A237)+COUNTIF('05_Complementos'!$A$5:$A$127,A237)=1,0,1)</x:f>
        <x:v>0</x:v>
      </x:c>
      <x:c r="O237" s="12" t="n">
        <x:f>COUNTIF('08_Trazas'!$A$5:$A$248,A237)-1</x:f>
        <x:v>0</x:v>
      </x:c>
      <x:c r="P237" s="12" t="n">
        <x:f>IF(COUNTIF('02_Custodia'!$A$5:$A$53,C237)=1,0,1)</x:f>
        <x:v>0</x:v>
      </x:c>
    </x:row>
    <x:row r="238" ht="44"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IF(COUNTIF('03_Rector'!$A$5:$A$57,A238)+COUNTIF('04_TKS'!$A$5:$A$72,A238)+COUNTIF('05_Complementos'!$A$5:$A$127,A238)=1,0,1)</x:f>
        <x:v>0</x:v>
      </x:c>
      <x:c r="O238" s="12" t="n">
        <x:f>COUNTIF('08_Trazas'!$A$5:$A$248,A238)-1</x:f>
        <x:v>0</x:v>
      </x:c>
      <x:c r="P238" s="12" t="n">
        <x:f>IF(COUNTIF('02_Custodia'!$A$5:$A$53,C238)=1,0,1)</x:f>
        <x:v>0</x:v>
      </x:c>
    </x:row>
    <x:row r="239" ht="44"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IF(COUNTIF('03_Rector'!$A$5:$A$57,A239)+COUNTIF('04_TKS'!$A$5:$A$72,A239)+COUNTIF('05_Complementos'!$A$5:$A$127,A239)=1,0,1)</x:f>
        <x:v>0</x:v>
      </x:c>
      <x:c r="O239" s="12" t="n">
        <x:f>COUNTIF('08_Trazas'!$A$5:$A$248,A239)-1</x:f>
        <x:v>0</x:v>
      </x:c>
      <x:c r="P239" s="12" t="n">
        <x:f>IF(COUNTIF('02_Custodia'!$A$5:$A$53,C239)=1,0,1)</x:f>
        <x:v>0</x:v>
      </x:c>
    </x:row>
    <x:row r="240" ht="44"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IF(COUNTIF('03_Rector'!$A$5:$A$57,A240)+COUNTIF('04_TKS'!$A$5:$A$72,A240)+COUNTIF('05_Complementos'!$A$5:$A$127,A240)=1,0,1)</x:f>
        <x:v>0</x:v>
      </x:c>
      <x:c r="O240" s="12" t="n">
        <x:f>COUNTIF('08_Trazas'!$A$5:$A$248,A240)-1</x:f>
        <x:v>0</x:v>
      </x:c>
      <x:c r="P240" s="12" t="n">
        <x:f>IF(COUNTIF('02_Custodia'!$A$5:$A$53,C240)=1,0,1)</x:f>
        <x:v>0</x:v>
      </x:c>
    </x:row>
    <x:row r="241" ht="44"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IF(COUNTIF('03_Rector'!$A$5:$A$57,A241)+COUNTIF('04_TKS'!$A$5:$A$72,A241)+COUNTIF('05_Complementos'!$A$5:$A$127,A241)=1,0,1)</x:f>
        <x:v>0</x:v>
      </x:c>
      <x:c r="O241" s="12" t="n">
        <x:f>COUNTIF('08_Trazas'!$A$5:$A$248,A241)-1</x:f>
        <x:v>0</x:v>
      </x:c>
      <x:c r="P241" s="12" t="n">
        <x:f>IF(COUNTIF('02_Custodia'!$A$5:$A$53,C241)=1,0,1)</x:f>
        <x:v>0</x:v>
      </x:c>
    </x:row>
    <x:row r="242" ht="44"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IF(COUNTIF('03_Rector'!$A$5:$A$57,A242)+COUNTIF('04_TKS'!$A$5:$A$72,A242)+COUNTIF('05_Complementos'!$A$5:$A$127,A242)=1,0,1)</x:f>
        <x:v>0</x:v>
      </x:c>
      <x:c r="O242" s="12" t="n">
        <x:f>COUNTIF('08_Trazas'!$A$5:$A$248,A242)-1</x:f>
        <x:v>0</x:v>
      </x:c>
      <x:c r="P242" s="12" t="n">
        <x:f>IF(COUNTIF('02_Custodia'!$A$5:$A$53,C242)=1,0,1)</x:f>
        <x:v>0</x:v>
      </x:c>
    </x:row>
    <x:row r="243" ht="44"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IF(COUNTIF('03_Rector'!$A$5:$A$57,A243)+COUNTIF('04_TKS'!$A$5:$A$72,A243)+COUNTIF('05_Complementos'!$A$5:$A$127,A243)=1,0,1)</x:f>
        <x:v>0</x:v>
      </x:c>
      <x:c r="O243" s="12" t="n">
        <x:f>COUNTIF('08_Trazas'!$A$5:$A$248,A243)-1</x:f>
        <x:v>0</x:v>
      </x:c>
      <x:c r="P243" s="12" t="n">
        <x:f>IF(COUNTIF('02_Custodia'!$A$5:$A$53,C243)=1,0,1)</x:f>
        <x:v>0</x:v>
      </x:c>
    </x:row>
    <x:row r="244" ht="44"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IF(COUNTIF('03_Rector'!$A$5:$A$57,A244)+COUNTIF('04_TKS'!$A$5:$A$72,A244)+COUNTIF('05_Complementos'!$A$5:$A$127,A244)=1,0,1)</x:f>
        <x:v>0</x:v>
      </x:c>
      <x:c r="O244" s="12" t="n">
        <x:f>COUNTIF('08_Trazas'!$A$5:$A$248,A244)-1</x:f>
        <x:v>0</x:v>
      </x:c>
      <x:c r="P244" s="12" t="n">
        <x:f>IF(COUNTIF('02_Custodia'!$A$5:$A$53,C244)=1,0,1)</x:f>
        <x:v>0</x:v>
      </x:c>
    </x:row>
    <x:row r="245" ht="44"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IF(COUNTIF('03_Rector'!$A$5:$A$57,A245)+COUNTIF('04_TKS'!$A$5:$A$72,A245)+COUNTIF('05_Complementos'!$A$5:$A$127,A245)=1,0,1)</x:f>
        <x:v>0</x:v>
      </x:c>
      <x:c r="O245" s="12" t="n">
        <x:f>COUNTIF('08_Trazas'!$A$5:$A$248,A245)-1</x:f>
        <x:v>0</x:v>
      </x:c>
      <x:c r="P245" s="12" t="n">
        <x:f>IF(COUNTIF('02_Custodia'!$A$5:$A$53,C245)=1,0,1)</x:f>
        <x:v>0</x:v>
      </x:c>
    </x:row>
    <x:row r="246" ht="44"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IF(COUNTIF('03_Rector'!$A$5:$A$57,A246)+COUNTIF('04_TKS'!$A$5:$A$72,A246)+COUNTIF('05_Complementos'!$A$5:$A$127,A246)=1,0,1)</x:f>
        <x:v>0</x:v>
      </x:c>
      <x:c r="O246" s="12" t="n">
        <x:f>COUNTIF('08_Trazas'!$A$5:$A$248,A246)-1</x:f>
        <x:v>0</x:v>
      </x:c>
      <x:c r="P246" s="12" t="n">
        <x:f>IF(COUNTIF('02_Custodia'!$A$5:$A$53,C246)=1,0,1)</x:f>
        <x:v>0</x:v>
      </x:c>
    </x:row>
    <x:row r="247" ht="44"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IF(COUNTIF('03_Rector'!$A$5:$A$57,A247)+COUNTIF('04_TKS'!$A$5:$A$72,A247)+COUNTIF('05_Complementos'!$A$5:$A$127,A247)=1,0,1)</x:f>
        <x:v>0</x:v>
      </x:c>
      <x:c r="O247" s="12" t="n">
        <x:f>COUNTIF('08_Trazas'!$A$5:$A$248,A247)-1</x:f>
        <x:v>0</x:v>
      </x:c>
      <x:c r="P247" s="12" t="n">
        <x:f>IF(COUNTIF('02_Custodia'!$A$5:$A$53,C247)=1,0,1)</x:f>
        <x:v>0</x:v>
      </x:c>
    </x:row>
    <x:row r="248" ht="44"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IF(COUNTIF('03_Rector'!$A$5:$A$57,A248)+COUNTIF('04_TKS'!$A$5:$A$72,A248)+COUNTIF('05_Complementos'!$A$5:$A$127,A248)=1,0,1)</x:f>
        <x:v>0</x:v>
      </x:c>
      <x:c r="O248" s="12" t="n">
        <x:f>COUNTIF('08_Trazas'!$A$5:$A$248,A248)-1</x:f>
        <x:v>0</x:v>
      </x:c>
      <x:c r="P248" s="12" t="n">
        <x:f>IF(COUNTIF('02_Custodia'!$A$5:$A$53,C248)=1,0,1)</x:f>
        <x:v>0</x:v>
      </x:c>
    </x:row>
  </x:sheetData>
  <x:mergeCells>
    <x:mergeCell ref="A1:D1"/>
    <x:mergeCell ref="A2:F2"/>
  </x:mergeCells>
  <x:conditionalFormatting sqref="M5:M248">
    <x:cfRule type="expression" dxfId="18" priority="1">
      <x:formula>M5&gt;0</x:formula>
    </x:cfRule>
  </x:conditionalFormatting>
  <x:conditionalFormatting sqref="N5:N248">
    <x:cfRule type="expression" dxfId="19" priority="2">
      <x:formula>N5&gt;0</x:formula>
    </x:cfRule>
  </x:conditionalFormatting>
  <x:conditionalFormatting sqref="O5:O248">
    <x:cfRule type="expression" dxfId="20" priority="3">
      <x:formula>O5&gt;0</x:formula>
    </x:cfRule>
  </x:conditionalFormatting>
  <x:conditionalFormatting sqref="P5:P248">
    <x:cfRule type="expression" dxfId="21" priority="4">
      <x:formula>P5&gt;0</x:formula>
    </x:cfRule>
  </x:conditionalFormatting>
  <x:pageMargins left="0.7" right="0.7" top="0.75" bottom="0.75" header="0.3" footer="0.3"/>
  <x:tableParts count="1">
    <x:tablePart xmlns:r="http://schemas.openxmlformats.org/officeDocument/2006/relationships" r:id="R0e85182be1184bb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2" customHeight="1">
      <x:c r="A1" s="6" t="str">
        <x:v>DECISIONES · fundamentos y contradicciones</x:v>
      </x:c>
      <x:c r="B1" s="6"/>
      <x:c r="C1" s="6"/>
      <x:c r="D1" s="6"/>
      <x:c r="E1" s="6"/>
      <x:c r="F1" s="6"/>
    </x:row>
    <x:row r="2" ht="44" customHeight="1">
      <x:c r="A2" s="8" t="str">
        <x:v>Comparación cualitativa, cortes externos, límites de acceso y custodia. No se asignan puntuaciones arbitrarias a los marcos.</x:v>
      </x:c>
      <x:c r="B2" s="8"/>
      <x:c r="C2" s="8"/>
      <x:c r="D2" s="8"/>
      <x:c r="E2" s="8"/>
      <x:c r="F2" s="8"/>
    </x:row>
    <x:row r="3">
      <x:c r="A3" s="4"/>
      <x:c r="B3" s="4"/>
      <x:c r="C3" s="4"/>
      <x:c r="D3" s="4"/>
      <x:c r="E3" s="4"/>
      <x:c r="F3" s="4"/>
    </x:row>
    <x:row r="4" ht="38" customHeight="1">
      <x:c r="A4" s="10" t="str">
        <x:v>ID</x:v>
      </x:c>
      <x:c r="B4" s="10" t="str">
        <x:v>Asunto</x:v>
      </x:c>
      <x:c r="C4" s="10" t="str">
        <x:v>Objeto</x:v>
      </x:c>
      <x:c r="D4" s="10" t="str">
        <x:v>Fundamento</x:v>
      </x:c>
      <x:c r="E4" s="10" t="str">
        <x:v>Evidencia</x:v>
      </x:c>
      <x:c r="F4" s="10" t="str">
        <x:v>Límite / efecto</x:v>
      </x:c>
    </x:row>
    <x:row r="5" ht="44" customHeight="1">
      <x:c r="A5" s="4" t="str">
        <x:v>DEC-01</x:v>
      </x:c>
      <x:c r="B5" s="4" t="str">
        <x:v>Rector</x:v>
      </x:c>
      <x:c r="C5" s="4" t="str">
        <x:v>NICE 2.2.0</x:v>
      </x:c>
      <x:c r="D5" s="4" t="str">
        <x:v>Elegir una referencia orientada al trabajo con identificadores, TKS y relaciones publicadas; uso internacional documentado por NIST.</x:v>
      </x:c>
      <x:c r="E5" s="4" t="str">
        <x:v>F001;F002;A012</x:v>
      </x:c>
      <x:c r="F5" s="4" t="str">
        <x:v>Propuesta fundamentada; no se afirma que sea jurídicamente rector mundial ni el más usado por una medición inexistente.</x:v>
      </x:c>
    </x:row>
    <x:row r="6" ht="44"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4"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4"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44"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55"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4"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4"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4"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4"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4"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4"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44"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4"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13_Relaciones_NICE;03_Rector;04_TKS;05_Complementos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f5b3ad19b426421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2" customHeight="1">
      <x:c r="A1" s="6" t="str">
        <x:v>REVISIÓN ADVERSARIAL · contenido y método</x:v>
      </x:c>
      <x:c r="B1" s="6"/>
      <x:c r="C1" s="6"/>
      <x:c r="D1" s="6"/>
      <x:c r="E1" s="6"/>
      <x:c r="F1" s="6"/>
    </x:row>
    <x:row r="2" ht="44" customHeight="1">
      <x:c r="A2" s="8" t="str">
        <x:v>Revisión de Watson; no se atribuye a un revisor independiente. Las pruebas de fórmulas se documentan en 11_Controles.</x:v>
      </x:c>
      <x:c r="B2" s="8"/>
      <x:c r="C2" s="8"/>
      <x:c r="D2" s="8"/>
      <x:c r="E2" s="8"/>
      <x:c r="F2" s="8"/>
    </x:row>
    <x:row r="3">
      <x:c r="A3" s="4"/>
      <x:c r="B3" s="4"/>
      <x:c r="C3" s="4"/>
      <x:c r="D3" s="4"/>
      <x:c r="E3" s="4"/>
      <x:c r="F3" s="4"/>
    </x:row>
    <x:row r="4" ht="38" customHeight="1">
      <x:c r="A4" s="10" t="str">
        <x:v>ID</x:v>
      </x:c>
      <x:c r="B4" s="10" t="str">
        <x:v>Frente</x:v>
      </x:c>
      <x:c r="C4" s="10" t="str">
        <x:v>Riesgo o defecto contrastado</x:v>
      </x:c>
      <x:c r="D4" s="10" t="str">
        <x:v>Resultado</x:v>
      </x:c>
      <x:c r="E4" s="10" t="str">
        <x:v>Tratamiento</x:v>
      </x:c>
      <x:c r="F4" s="10" t="str">
        <x:v>Evidencia</x:v>
      </x:c>
    </x:row>
    <x:row r="5" ht="44" customHeight="1">
      <x:c r="A5" s="4" t="str">
        <x:v>ADV-01</x:v>
      </x:c>
      <x:c r="B5" s="4" t="str">
        <x:v>Rector internacional</x:v>
      </x:c>
      <x:c r="C5" s="4" t="str">
        <x:v>Confundir uso internacional con obligatoriedad o liderazgo cuantificado.</x:v>
      </x:c>
      <x:c r="D5" s="4" t="str">
        <x:v>CORREGIDO_EN_DELIMITACION</x:v>
      </x:c>
      <x:c r="E5" s="4" t="str">
        <x:v>Se justifica adecuación profesional y uso internacional; no ranking empírico ni potestad universal.</x:v>
      </x:c>
      <x:c r="F5" s="4" t="str">
        <x:v>DEC-01–04</x:v>
      </x:c>
    </x:row>
    <x:row r="6" ht="44"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F001;03_Rector;04_TKS</x:v>
      </x:c>
    </x:row>
    <x:row r="7" ht="44"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4"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4"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4"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4"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4"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4"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4"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4"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4"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del rector.</x:v>
      </x:c>
      <x:c r="F16" s="4" t="str">
        <x:v>06_Cobertura</x:v>
      </x:c>
    </x:row>
    <x:row r="17" ht="44"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4"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759adedd133f45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2" customHeight="1">
      <x:c r="A1" s="6" t="str">
        <x:v>CONTROLES · fórmulas y sensibilidad</x:v>
      </x:c>
      <x:c r="B1" s="6"/>
      <x:c r="C1" s="6"/>
      <x:c r="D1" s="6"/>
      <x:c r="E1" s="6"/>
    </x:row>
    <x:row r="2" ht="44" customHeight="1">
      <x:c r="A2" s="8" t="str">
        <x:v>Una salida cero sólo significa ausencia de incidencias estructurales declaradas. Cinco mutaciones comprueban que los controles sí detectan sus defectos.</x:v>
      </x:c>
      <x:c r="B2" s="8"/>
      <x:c r="C2" s="8"/>
      <x:c r="D2" s="8"/>
      <x:c r="E2" s="8"/>
    </x:row>
    <x:row r="3">
      <x:c r="A3" s="4"/>
      <x:c r="B3" s="4"/>
      <x:c r="C3" s="4"/>
      <x:c r="D3" s="4"/>
      <x:c r="E3" s="4"/>
    </x:row>
    <x:row r="4" ht="38" customHeight="1">
      <x:c r="A4" s="10" t="str">
        <x:v>ID</x:v>
      </x:c>
      <x:c r="B4" s="10" t="str">
        <x:v>Control o mutación</x:v>
      </x:c>
      <x:c r="C4" s="10" t="str">
        <x:v>Resultado calculado / observado</x:v>
      </x:c>
      <x:c r="D4" s="10" t="str">
        <x:v>Esperado</x:v>
      </x:c>
      <x:c r="E4" s="10" t="str">
        <x:v>Comprobación</x:v>
      </x:c>
    </x:row>
    <x:row r="5" ht="44" customHeight="1">
      <x:c r="A5" s="4" t="str">
        <x:v>CTL-01</x:v>
      </x:c>
      <x:c r="B5" s="4" t="str">
        <x:v>Fuentes: duplicados, capturas y campos</x:v>
      </x:c>
      <x:c r="C5" s="14" t="n">
        <x:f>SUM('01_Fuentes'!O5:Q40)</x:f>
        <x:v>0</x:v>
      </x:c>
      <x:c r="D5" s="15" t="n">
        <x:v>0</x:v>
      </x:c>
      <x:c r="E5" s="12" t="str">
        <x:f>IF(C5=D5,"PASA","REVISAR")</x:f>
        <x:v>PASA</x:v>
      </x:c>
    </x:row>
    <x:row r="6" ht="44" customHeight="1">
      <x:c r="A6" s="4" t="str">
        <x:v>CTL-02</x:v>
      </x:c>
      <x:c r="B6" s="4" t="str">
        <x:v>Capturas: hash y unicidad</x:v>
      </x:c>
      <x:c r="C6" s="14" t="n">
        <x:f>SUM('02_Custodia'!K5:L53)</x:f>
        <x:v>0</x:v>
      </x:c>
      <x:c r="D6" s="15" t="n">
        <x:v>0</x:v>
      </x:c>
      <x:c r="E6" s="12" t="str">
        <x:f>IF(C6=D6,"PASA","REVISAR")</x:f>
        <x:v>PASA</x:v>
      </x:c>
    </x:row>
    <x:row r="7" ht="44" customHeight="1">
      <x:c r="A7" s="4" t="str">
        <x:v>CTL-03</x:v>
      </x:c>
      <x:c r="B7" s="4" t="str">
        <x:v>Rector: identidad, referencias y campos</x:v>
      </x:c>
      <x:c r="C7" s="14" t="n">
        <x:f>SUM('03_Rector'!M5:O57)</x:f>
        <x:v>0</x:v>
      </x:c>
      <x:c r="D7" s="15" t="n">
        <x:v>0</x:v>
      </x:c>
      <x:c r="E7" s="12" t="str">
        <x:f>IF(C7=D7,"PASA","REVISAR")</x:f>
        <x:v>PASA</x:v>
      </x:c>
    </x:row>
    <x:row r="8" ht="44" customHeight="1">
      <x:c r="A8" s="4" t="str">
        <x:v>CTL-04</x:v>
      </x:c>
      <x:c r="B8" s="4" t="str">
        <x:v>TKS: identidad, referencias y campos</x:v>
      </x:c>
      <x:c r="C8" s="14" t="n">
        <x:f>SUM('04_TKS'!K5:M72)</x:f>
        <x:v>0</x:v>
      </x:c>
      <x:c r="D8" s="15" t="n">
        <x:v>0</x:v>
      </x:c>
      <x:c r="E8" s="12" t="str">
        <x:f>IF(C8=D8,"PASA","REVISAR")</x:f>
        <x:v>PASA</x:v>
      </x:c>
    </x:row>
    <x:row r="9" ht="44" customHeight="1">
      <x:c r="A9" s="4" t="str">
        <x:v>CTL-05</x:v>
      </x:c>
      <x:c r="B9" s="4" t="str">
        <x:v>Complementos: integridad y admisión</x:v>
      </x:c>
      <x:c r="C9" s="14" t="n">
        <x:f>SUM('05_Complementos'!M5:Q127)</x:f>
        <x:v>0</x:v>
      </x:c>
      <x:c r="D9" s="15" t="n">
        <x:v>0</x:v>
      </x:c>
      <x:c r="E9" s="12" t="str">
        <x:f>IF(C9=D9,"PASA","REVISAR")</x:f>
        <x:v>PASA</x:v>
      </x:c>
    </x:row>
    <x:row r="10" ht="44" customHeight="1">
      <x:c r="A10" s="4" t="str">
        <x:v>CTL-06</x:v>
      </x:c>
      <x:c r="B10" s="4" t="str">
        <x:v>Trazas: hashes, entradas y capturas</x:v>
      </x:c>
      <x:c r="C10" s="14" t="n">
        <x:f>SUM('08_Trazas'!M5:P248)</x:f>
        <x:v>0</x:v>
      </x:c>
      <x:c r="D10" s="15" t="n">
        <x:v>0</x:v>
      </x:c>
      <x:c r="E10" s="12" t="str">
        <x:f>IF(C10=D10,"PASA","REVISAR")</x:f>
        <x:v>PASA</x:v>
      </x:c>
    </x:row>
    <x:row r="11" ht="44" customHeight="1">
      <x:c r="A11" s="4" t="str">
        <x:v>CTL-07</x:v>
      </x:c>
      <x:c r="B11" s="4" t="str">
        <x:v>Operaciones: identidad y campos</x:v>
      </x:c>
      <x:c r="C11" s="14" t="n">
        <x:f>SUM('07_Operaciones'!I5:J26)</x:f>
        <x:v>0</x:v>
      </x:c>
      <x:c r="D11" s="15" t="n">
        <x:v>0</x:v>
      </x:c>
      <x:c r="E11" s="12" t="str">
        <x:f>IF(C11=D11,"PASA","REVISAR")</x:f>
        <x:v>PASA</x:v>
      </x:c>
    </x:row>
    <x:row r="12" ht="44" customHeight="1">
      <x:c r="A12" s="4" t="str">
        <x:v>CTL-08</x:v>
      </x:c>
      <x:c r="B12" s="4" t="str">
        <x:v>Relaciones oficiales: extremos</x:v>
      </x:c>
      <x:c r="C12" s="14" t="n">
        <x:f>SUM('13_Relaciones_NICE'!G5:H186)</x:f>
        <x:v>0</x:v>
      </x:c>
      <x:c r="D12" s="15" t="n">
        <x:v>0</x:v>
      </x:c>
      <x:c r="E12" s="12" t="str">
        <x:f>IF(C12=D12,"PASA","REVISAR")</x:f>
        <x:v>PASA</x:v>
      </x:c>
    </x:row>
    <x:row r="13" ht="44" customHeight="1">
      <x:c r="A13" s="4" t="str">
        <x:v>CTL-09</x:v>
      </x:c>
      <x:c r="B13" s="4" t="str">
        <x:v>Ejes sin ningún respaldo admisible</x:v>
      </x:c>
      <x:c r="C13" s="14" t="n">
        <x:f>COUNTIFS('06_Cobertura'!$D$5:$D$25,0,'06_Cobertura'!$E$5:$E$25,0,'06_Cobertura'!$F$5:$F$25,0)</x:f>
        <x:v>0</x:v>
      </x:c>
      <x:c r="D13" s="15" t="n">
        <x:v>0</x:v>
      </x:c>
      <x:c r="E13" s="12" t="str">
        <x:f>IF(C13=D13,"PASA","REVISAR")</x:f>
        <x:v>PASA</x:v>
      </x:c>
    </x:row>
    <x:row r="14" ht="44" customHeight="1">
      <x:c r="A14" s="4" t="str">
        <x:v>CTL-10</x:v>
      </x:c>
      <x:c r="B14" s="4" t="str">
        <x:v>Total de incidencias estructurales</x:v>
      </x:c>
      <x:c r="C14" s="14" t="n">
        <x:f>SUM(C5:C13)</x:f>
        <x:v>0</x:v>
      </x:c>
      <x:c r="D14" s="15" t="n">
        <x:v>0</x:v>
      </x:c>
      <x:c r="E14" s="12" t="str">
        <x:f>IF(C14=D14,"PASA","REVISAR")</x:f>
        <x:v>PASA</x:v>
      </x:c>
    </x:row>
    <x:row r="15" ht="44" customHeight="1">
      <x:c r="A15" s="4" t="str">
        <x:v>MUT-01</x:v>
      </x:c>
      <x:c r="B15" s="4" t="str">
        <x:v>Duplicar identificador de fuente</x:v>
      </x:c>
      <x:c r="C15" s="4" t="str">
        <x:v>DETECTADO Y RESTAURADO</x:v>
      </x:c>
      <x:c r="D15" s="4" t="str">
        <x:v>Mayor que cero</x:v>
      </x:c>
      <x:c r="E15" s="4" t="str">
        <x:v>Prueba ejecutada antes de exportar.</x:v>
      </x:c>
    </x:row>
    <x:row r="16" ht="44" customHeight="1">
      <x:c r="A16" s="4" t="str">
        <x:v>MUT-02</x:v>
      </x:c>
      <x:c r="B16" s="4" t="str">
        <x:v>Referencia a una fuente inexistente</x:v>
      </x:c>
      <x:c r="C16" s="4" t="str">
        <x:v>DETECTADO Y RESTAURADO</x:v>
      </x:c>
      <x:c r="D16" s="4" t="str">
        <x:v>Mayor que cero</x:v>
      </x:c>
      <x:c r="E16" s="4" t="str">
        <x:v>Prueba ejecutada antes de exportar.</x:v>
      </x:c>
    </x:row>
    <x:row r="17" ht="44" customHeight="1">
      <x:c r="A17" s="4" t="str">
        <x:v>MUT-03</x:v>
      </x:c>
      <x:c r="B17" s="4" t="str">
        <x:v>Acortar una huella de 64 a 63 caracteres</x:v>
      </x:c>
      <x:c r="C17" s="4" t="str">
        <x:v>DETECTADO Y RESTAURADO</x:v>
      </x:c>
      <x:c r="D17" s="4" t="str">
        <x:v>Mayor que cero</x:v>
      </x:c>
      <x:c r="E17" s="4" t="str">
        <x:v>Prueba ejecutada antes de exportar.</x:v>
      </x:c>
    </x:row>
    <x:row r="18" ht="44" customHeight="1">
      <x:c r="A18" s="4" t="str">
        <x:v>MUT-04</x:v>
      </x:c>
      <x:c r="B18" s="4" t="str">
        <x:v>Declarar adoptable una entrada de UC3M parcial</x:v>
      </x:c>
      <x:c r="C18" s="4" t="str">
        <x:v>DETECTADO Y RESTAURADO</x:v>
      </x:c>
      <x:c r="D18" s="4" t="str">
        <x:v>Mayor que cero</x:v>
      </x:c>
      <x:c r="E18" s="4" t="str">
        <x:v>Prueba ejecutada antes de exportar.</x:v>
      </x:c>
    </x:row>
    <x:row r="19" ht="44" customHeight="1">
      <x:c r="A19" s="4" t="str">
        <x:v>MUT-05</x:v>
      </x:c>
      <x:c r="B19" s="4" t="str">
        <x:v>Vaciar una síntesis exigida de TKS</x:v>
      </x:c>
      <x:c r="C19" s="4" t="str">
        <x:v>DETECTADO Y RESTAURADO</x:v>
      </x:c>
      <x:c r="D19" s="4" t="str">
        <x:v>Mayor que cero</x:v>
      </x:c>
      <x:c r="E19" s="4" t="str">
        <x:v>Prueba ejecutada antes de exportar.</x:v>
      </x:c>
    </x:row>
    <x:row r="20" ht="44" customHeight="1">
      <x:c r="A20" s="4" t="str">
        <x:v>BASE</x:v>
      </x:c>
      <x:c r="B20" s="4" t="str">
        <x:v>Estado final después de restauración</x:v>
      </x:c>
      <x:c r="C20" s="12" t="n">
        <x:f>C14</x:f>
        <x:v>0</x:v>
      </x:c>
      <x:c r="D20" s="13" t="n">
        <x:v>0</x:v>
      </x:c>
      <x:c r="E20" s="12" t="str">
        <x:f>IF(C20=D20,"PASA","REVISAR")</x:f>
        <x:v>PASA</x:v>
      </x:c>
    </x:row>
    <x:row r="21" ht="44"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4"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a3a8b730837441c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2" customHeight="1">
      <x:c r="A1" s="6" t="str">
        <x:v>GLOSARIO · estados y términos</x:v>
      </x:c>
      <x:c r="B1" s="6"/>
    </x:row>
    <x:row r="2" ht="44" customHeight="1">
      <x:c r="A2" s="8" t="str">
        <x:v>Español como lengua de trabajo. Identificadores, títulos originales y nombres técnicos conservan su identidad de fuente.</x:v>
      </x:c>
      <x:c r="B2" s="8"/>
    </x:row>
    <x:row r="3">
      <x:c r="A3" s="4"/>
      <x:c r="B3" s="4"/>
    </x:row>
    <x:row r="4" ht="38" customHeight="1">
      <x:c r="A4" s="10" t="str">
        <x:v>Término</x:v>
      </x:c>
      <x:c r="B4" s="10" t="str">
        <x:v>Significado en este corte</x:v>
      </x:c>
    </x:row>
    <x:row r="5" ht="44" customHeight="1">
      <x:c r="A5" s="4" t="str">
        <x:v>Catálogo principal</x:v>
      </x:c>
      <x:c r="B5" s="4" t="str">
        <x:v>El libro .xlsx; fuente de trabajo y revisión de las normalizaciones y relaciones locales.</x:v>
      </x:c>
    </x:row>
    <x:row r="6" ht="44" customHeight="1">
      <x:c r="A6" s="4" t="str">
        <x:v>Admisión documental</x:v>
      </x:c>
      <x:c r="B6" s="4" t="str">
        <x:v>Lectura y uso de una fuente dentro del alcance declarado. No es adopción humana de sus afirmaciones.</x:v>
      </x:c>
    </x:row>
    <x:row r="7" ht="44" customHeight="1">
      <x:c r="A7" s="4" t="str">
        <x:v>CANDIDATA_NO_ADOPTADA</x:v>
      </x:c>
      <x:c r="B7" s="4" t="str">
        <x:v>Formulación profesional propuesta para este catálogo; sin acto constitutivo humano registrado.</x:v>
      </x:c>
    </x:row>
    <x:row r="8" ht="44" customHeight="1">
      <x:c r="A8" s="4" t="str">
        <x:v>Identificada no adoptable</x:v>
      </x:c>
      <x:c r="B8" s="4" t="str">
        <x:v>Evidencia parcial que no puede sostener la afirmación dependiente de lectura completa.</x:v>
      </x:c>
    </x:row>
    <x:row r="9" ht="44" customHeight="1">
      <x:c r="A9" s="4" t="str">
        <x:v>Pregunta no normativa</x:v>
      </x:c>
      <x:c r="B9" s="4" t="str">
        <x:v>Uso del borrador para revisar cobertura; no obligación ni único fundamento.</x:v>
      </x:c>
    </x:row>
    <x:row r="10" ht="44" customHeight="1">
      <x:c r="A10" s="4" t="str">
        <x:v>Aplicabilidad pendiente</x:v>
      </x:c>
      <x:c r="B10" s="4" t="str">
        <x:v>Texto jurídico identificado; entidad, jurisdicción, rol y tiempo todavía sin resolver para una operación real.</x:v>
      </x:c>
    </x:row>
    <x:row r="11" ht="44" customHeight="1">
      <x:c r="A11" s="4" t="str">
        <x:v>Síntesis controlada</x:v>
      </x:c>
      <x:c r="B11" s="4" t="str">
        <x:v>Redacción de Watson en español; no traducción oficial ni cita del emisor.</x:v>
      </x:c>
    </x:row>
    <x:row r="12" ht="44" customHeight="1">
      <x:c r="A12" s="4" t="str">
        <x:v>Ancla NICE</x:v>
      </x:c>
      <x:c r="B12" s="4" t="str">
        <x:v>Relación local de pertinencia; no equivalencia publicada por NIST ni sustitución del objeto original.</x:v>
      </x:c>
    </x:row>
    <x:row r="13" ht="44" customHeight="1">
      <x:c r="A13" s="4" t="str">
        <x:v>Relación oficial NICE</x:v>
      </x:c>
      <x:c r="B13" s="4" t="str">
        <x:v>Arista projection conservada tal cual del JSON 2.2.0. No equivale por sí misma a identidad de objetos.</x:v>
      </x:c>
    </x:row>
    <x:row r="14" ht="44" customHeight="1">
      <x:c r="A14" s="4" t="str">
        <x:v>Eje de cobertura</x:v>
      </x:c>
      <x:c r="B14" s="4" t="str">
        <x:v>Pregunta para revisar el perímetro; no parámetro, átomo, ruta ni universo.</x:v>
      </x:c>
    </x:row>
    <x:row r="15" ht="44" customHeight="1">
      <x:c r="A15" s="4" t="str">
        <x:v>Operación candidata</x:v>
      </x:c>
      <x:c r="B15" s="4" t="str">
        <x:v>Producto profesional acotado con objeto, desencadenante, autoridad, frontera y término identificados.</x:v>
      </x:c>
    </x:row>
    <x:row r="16" ht="44" customHeight="1">
      <x:c r="A16" s="4" t="str">
        <x:v>TKS</x:v>
      </x:c>
      <x:c r="B16" s="4" t="str">
        <x:v>Tareas, conocimientos y habilidades de NICE; categorías distintas de roles y áreas de competencia.</x:v>
      </x:c>
    </x:row>
    <x:row r="17" ht="44" customHeight="1">
      <x:c r="A17" s="4" t="str">
        <x:v>IA</x:v>
      </x:c>
      <x:c r="B17" s="4" t="str">
        <x:v>Inteligencia artificial; se distingue proteger IA, usarla en ciberseguridad, afrontar amenazas facilitadas por ella y gobernar transversalmente.</x:v>
      </x:c>
    </x:row>
    <x:row r="18" ht="44" customHeight="1">
      <x:c r="A18" s="4" t="str">
        <x:v>Triaje</x:v>
      </x:c>
      <x:c r="B18" s="4" t="str">
        <x:v>Examen inicial de una alerta para documentar su clasificación, evidencia y escalado conforme a criterios constituidos.</x:v>
      </x:c>
    </x:row>
    <x:row r="19" ht="44" customHeight="1">
      <x:c r="A19" s="4" t="str">
        <x:v>Huella SHA-256</x:v>
      </x:c>
      <x:c r="B19" s="4" t="str">
        <x:v>Identificador de integridad de una secuencia de bytes; no prueba verdad, autoría ni aprobación.</x:v>
      </x:c>
    </x:row>
    <x:row r="20" ht="44" customHeight="1">
      <x:c r="A20" s="4" t="str">
        <x:v>Cambio de catálogo externo</x:v>
      </x:c>
      <x:c r="B20" s="4" t="str">
        <x:v>Causa de revisión de referencias; no nuevo símbolo SV, observación, fallo técnico ni Tri.U automático.</x:v>
      </x:c>
    </x:row>
    <x:row r="21" ht="44" customHeight="1">
      <x:c r="A21" s="4" t="str">
        <x:v>Tri</x:v>
      </x:c>
      <x:c r="B21" s="4" t="str">
        <x:v>Alfabeto {0,1,U}; no recibe una sexta salida ni traduce automáticamente números o confianza estadística.</x:v>
      </x:c>
    </x:row>
    <x:row r="22" ht="44" customHeight="1">
      <x:c r="A22" s="4" t="str">
        <x:v>Q0 y doce SP</x:v>
      </x:c>
      <x:c r="B22" s="4" t="str">
        <x:v>Antecedente de Inmunología; no se han validado de nuevo ni integrado productivamente en este corte CYB.</x:v>
      </x:c>
    </x:row>
  </x:sheetData>
  <x:mergeCells>
    <x:mergeCell ref="A1:B1"/>
    <x:mergeCell ref="A2:B2"/>
  </x:mergeCells>
  <x:pageMargins left="0.7" right="0.7" top="0.75" bottom="0.75" header="0.3" footer="0.3"/>
  <x:tableParts count="1">
    <x:tablePart xmlns:r="http://schemas.openxmlformats.org/officeDocument/2006/relationships" r:id="R4fc3e31db3914396"/>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2" customHeight="1">
      <x:c r="A1" s="6" t="str">
        <x:v>RELACIONES NICE · aristas oficiales</x:v>
      </x:c>
      <x:c r="B1" s="6"/>
      <x:c r="C1" s="6"/>
      <x:c r="D1" s="6"/>
      <x:c r="E1" s="6"/>
      <x:c r="F1" s="6"/>
      <x:c r="G1" s="6"/>
      <x:c r="H1" s="6"/>
    </x:row>
    <x:row r="2" ht="44"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38"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4"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IF(AND(COUNTIF('03_Rector'!$A$5:$A$57,B5)+COUNTIF('04_TKS'!$A$5:$A$72,B5)=1,COUNTIF('03_Rector'!$A$5:$A$57,C5)+COUNTIF('04_TKS'!$A$5:$A$72,C5)=1),0,1)</x:f>
        <x:v>0</x:v>
      </x:c>
    </x:row>
    <x:row r="6" ht="44"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IF(AND(COUNTIF('03_Rector'!$A$5:$A$57,B6)+COUNTIF('04_TKS'!$A$5:$A$72,B6)=1,COUNTIF('03_Rector'!$A$5:$A$57,C6)+COUNTIF('04_TKS'!$A$5:$A$72,C6)=1),0,1)</x:f>
        <x:v>0</x:v>
      </x:c>
    </x:row>
    <x:row r="7" ht="44"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IF(AND(COUNTIF('03_Rector'!$A$5:$A$57,B7)+COUNTIF('04_TKS'!$A$5:$A$72,B7)=1,COUNTIF('03_Rector'!$A$5:$A$57,C7)+COUNTIF('04_TKS'!$A$5:$A$72,C7)=1),0,1)</x:f>
        <x:v>0</x:v>
      </x:c>
    </x:row>
    <x:row r="8" ht="44"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IF(AND(COUNTIF('03_Rector'!$A$5:$A$57,B8)+COUNTIF('04_TKS'!$A$5:$A$72,B8)=1,COUNTIF('03_Rector'!$A$5:$A$57,C8)+COUNTIF('04_TKS'!$A$5:$A$72,C8)=1),0,1)</x:f>
        <x:v>0</x:v>
      </x:c>
    </x:row>
    <x:row r="9" ht="44"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IF(AND(COUNTIF('03_Rector'!$A$5:$A$57,B9)+COUNTIF('04_TKS'!$A$5:$A$72,B9)=1,COUNTIF('03_Rector'!$A$5:$A$57,C9)+COUNTIF('04_TKS'!$A$5:$A$72,C9)=1),0,1)</x:f>
        <x:v>0</x:v>
      </x:c>
    </x:row>
    <x:row r="10" ht="44"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IF(AND(COUNTIF('03_Rector'!$A$5:$A$57,B10)+COUNTIF('04_TKS'!$A$5:$A$72,B10)=1,COUNTIF('03_Rector'!$A$5:$A$57,C10)+COUNTIF('04_TKS'!$A$5:$A$72,C10)=1),0,1)</x:f>
        <x:v>0</x:v>
      </x:c>
    </x:row>
    <x:row r="11" ht="44"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IF(AND(COUNTIF('03_Rector'!$A$5:$A$57,B11)+COUNTIF('04_TKS'!$A$5:$A$72,B11)=1,COUNTIF('03_Rector'!$A$5:$A$57,C11)+COUNTIF('04_TKS'!$A$5:$A$72,C11)=1),0,1)</x:f>
        <x:v>0</x:v>
      </x:c>
    </x:row>
    <x:row r="12" ht="44"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IF(AND(COUNTIF('03_Rector'!$A$5:$A$57,B12)+COUNTIF('04_TKS'!$A$5:$A$72,B12)=1,COUNTIF('03_Rector'!$A$5:$A$57,C12)+COUNTIF('04_TKS'!$A$5:$A$72,C12)=1),0,1)</x:f>
        <x:v>0</x:v>
      </x:c>
    </x:row>
    <x:row r="13" ht="44"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IF(AND(COUNTIF('03_Rector'!$A$5:$A$57,B13)+COUNTIF('04_TKS'!$A$5:$A$72,B13)=1,COUNTIF('03_Rector'!$A$5:$A$57,C13)+COUNTIF('04_TKS'!$A$5:$A$72,C13)=1),0,1)</x:f>
        <x:v>0</x:v>
      </x:c>
    </x:row>
    <x:row r="14" ht="44"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IF(AND(COUNTIF('03_Rector'!$A$5:$A$57,B14)+COUNTIF('04_TKS'!$A$5:$A$72,B14)=1,COUNTIF('03_Rector'!$A$5:$A$57,C14)+COUNTIF('04_TKS'!$A$5:$A$72,C14)=1),0,1)</x:f>
        <x:v>0</x:v>
      </x:c>
    </x:row>
    <x:row r="15" ht="44"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IF(AND(COUNTIF('03_Rector'!$A$5:$A$57,B15)+COUNTIF('04_TKS'!$A$5:$A$72,B15)=1,COUNTIF('03_Rector'!$A$5:$A$57,C15)+COUNTIF('04_TKS'!$A$5:$A$72,C15)=1),0,1)</x:f>
        <x:v>0</x:v>
      </x:c>
    </x:row>
    <x:row r="16" ht="44"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IF(AND(COUNTIF('03_Rector'!$A$5:$A$57,B16)+COUNTIF('04_TKS'!$A$5:$A$72,B16)=1,COUNTIF('03_Rector'!$A$5:$A$57,C16)+COUNTIF('04_TKS'!$A$5:$A$72,C16)=1),0,1)</x:f>
        <x:v>0</x:v>
      </x:c>
    </x:row>
    <x:row r="17" ht="44"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IF(AND(COUNTIF('03_Rector'!$A$5:$A$57,B17)+COUNTIF('04_TKS'!$A$5:$A$72,B17)=1,COUNTIF('03_Rector'!$A$5:$A$57,C17)+COUNTIF('04_TKS'!$A$5:$A$72,C17)=1),0,1)</x:f>
        <x:v>0</x:v>
      </x:c>
    </x:row>
    <x:row r="18" ht="44"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IF(AND(COUNTIF('03_Rector'!$A$5:$A$57,B18)+COUNTIF('04_TKS'!$A$5:$A$72,B18)=1,COUNTIF('03_Rector'!$A$5:$A$57,C18)+COUNTIF('04_TKS'!$A$5:$A$72,C18)=1),0,1)</x:f>
        <x:v>0</x:v>
      </x:c>
    </x:row>
    <x:row r="19" ht="44"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IF(AND(COUNTIF('03_Rector'!$A$5:$A$57,B19)+COUNTIF('04_TKS'!$A$5:$A$72,B19)=1,COUNTIF('03_Rector'!$A$5:$A$57,C19)+COUNTIF('04_TKS'!$A$5:$A$72,C19)=1),0,1)</x:f>
        <x:v>0</x:v>
      </x:c>
    </x:row>
    <x:row r="20" ht="44"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IF(AND(COUNTIF('03_Rector'!$A$5:$A$57,B20)+COUNTIF('04_TKS'!$A$5:$A$72,B20)=1,COUNTIF('03_Rector'!$A$5:$A$57,C20)+COUNTIF('04_TKS'!$A$5:$A$72,C20)=1),0,1)</x:f>
        <x:v>0</x:v>
      </x:c>
    </x:row>
    <x:row r="21" ht="44"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IF(AND(COUNTIF('03_Rector'!$A$5:$A$57,B21)+COUNTIF('04_TKS'!$A$5:$A$72,B21)=1,COUNTIF('03_Rector'!$A$5:$A$57,C21)+COUNTIF('04_TKS'!$A$5:$A$72,C21)=1),0,1)</x:f>
        <x:v>0</x:v>
      </x:c>
    </x:row>
    <x:row r="22" ht="44"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IF(AND(COUNTIF('03_Rector'!$A$5:$A$57,B22)+COUNTIF('04_TKS'!$A$5:$A$72,B22)=1,COUNTIF('03_Rector'!$A$5:$A$57,C22)+COUNTIF('04_TKS'!$A$5:$A$72,C22)=1),0,1)</x:f>
        <x:v>0</x:v>
      </x:c>
    </x:row>
    <x:row r="23" ht="44"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IF(AND(COUNTIF('03_Rector'!$A$5:$A$57,B23)+COUNTIF('04_TKS'!$A$5:$A$72,B23)=1,COUNTIF('03_Rector'!$A$5:$A$57,C23)+COUNTIF('04_TKS'!$A$5:$A$72,C23)=1),0,1)</x:f>
        <x:v>0</x:v>
      </x:c>
    </x:row>
    <x:row r="24" ht="44"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IF(AND(COUNTIF('03_Rector'!$A$5:$A$57,B24)+COUNTIF('04_TKS'!$A$5:$A$72,B24)=1,COUNTIF('03_Rector'!$A$5:$A$57,C24)+COUNTIF('04_TKS'!$A$5:$A$72,C24)=1),0,1)</x:f>
        <x:v>0</x:v>
      </x:c>
    </x:row>
    <x:row r="25" ht="44"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IF(AND(COUNTIF('03_Rector'!$A$5:$A$57,B25)+COUNTIF('04_TKS'!$A$5:$A$72,B25)=1,COUNTIF('03_Rector'!$A$5:$A$57,C25)+COUNTIF('04_TKS'!$A$5:$A$72,C25)=1),0,1)</x:f>
        <x:v>0</x:v>
      </x:c>
    </x:row>
    <x:row r="26" ht="44"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IF(AND(COUNTIF('03_Rector'!$A$5:$A$57,B26)+COUNTIF('04_TKS'!$A$5:$A$72,B26)=1,COUNTIF('03_Rector'!$A$5:$A$57,C26)+COUNTIF('04_TKS'!$A$5:$A$72,C26)=1),0,1)</x:f>
        <x:v>0</x:v>
      </x:c>
    </x:row>
    <x:row r="27" ht="44"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IF(AND(COUNTIF('03_Rector'!$A$5:$A$57,B27)+COUNTIF('04_TKS'!$A$5:$A$72,B27)=1,COUNTIF('03_Rector'!$A$5:$A$57,C27)+COUNTIF('04_TKS'!$A$5:$A$72,C27)=1),0,1)</x:f>
        <x:v>0</x:v>
      </x:c>
    </x:row>
    <x:row r="28" ht="44"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IF(AND(COUNTIF('03_Rector'!$A$5:$A$57,B28)+COUNTIF('04_TKS'!$A$5:$A$72,B28)=1,COUNTIF('03_Rector'!$A$5:$A$57,C28)+COUNTIF('04_TKS'!$A$5:$A$72,C28)=1),0,1)</x:f>
        <x:v>0</x:v>
      </x:c>
    </x:row>
    <x:row r="29" ht="44"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IF(AND(COUNTIF('03_Rector'!$A$5:$A$57,B29)+COUNTIF('04_TKS'!$A$5:$A$72,B29)=1,COUNTIF('03_Rector'!$A$5:$A$57,C29)+COUNTIF('04_TKS'!$A$5:$A$72,C29)=1),0,1)</x:f>
        <x:v>0</x:v>
      </x:c>
    </x:row>
    <x:row r="30" ht="44"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IF(AND(COUNTIF('03_Rector'!$A$5:$A$57,B30)+COUNTIF('04_TKS'!$A$5:$A$72,B30)=1,COUNTIF('03_Rector'!$A$5:$A$57,C30)+COUNTIF('04_TKS'!$A$5:$A$72,C30)=1),0,1)</x:f>
        <x:v>0</x:v>
      </x:c>
    </x:row>
    <x:row r="31" ht="44"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IF(AND(COUNTIF('03_Rector'!$A$5:$A$57,B31)+COUNTIF('04_TKS'!$A$5:$A$72,B31)=1,COUNTIF('03_Rector'!$A$5:$A$57,C31)+COUNTIF('04_TKS'!$A$5:$A$72,C31)=1),0,1)</x:f>
        <x:v>0</x:v>
      </x:c>
    </x:row>
    <x:row r="32" ht="44"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IF(AND(COUNTIF('03_Rector'!$A$5:$A$57,B32)+COUNTIF('04_TKS'!$A$5:$A$72,B32)=1,COUNTIF('03_Rector'!$A$5:$A$57,C32)+COUNTIF('04_TKS'!$A$5:$A$72,C32)=1),0,1)</x:f>
        <x:v>0</x:v>
      </x:c>
    </x:row>
    <x:row r="33" ht="44"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IF(AND(COUNTIF('03_Rector'!$A$5:$A$57,B33)+COUNTIF('04_TKS'!$A$5:$A$72,B33)=1,COUNTIF('03_Rector'!$A$5:$A$57,C33)+COUNTIF('04_TKS'!$A$5:$A$72,C33)=1),0,1)</x:f>
        <x:v>0</x:v>
      </x:c>
    </x:row>
    <x:row r="34" ht="44"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IF(AND(COUNTIF('03_Rector'!$A$5:$A$57,B34)+COUNTIF('04_TKS'!$A$5:$A$72,B34)=1,COUNTIF('03_Rector'!$A$5:$A$57,C34)+COUNTIF('04_TKS'!$A$5:$A$72,C34)=1),0,1)</x:f>
        <x:v>0</x:v>
      </x:c>
    </x:row>
    <x:row r="35" ht="44"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IF(AND(COUNTIF('03_Rector'!$A$5:$A$57,B35)+COUNTIF('04_TKS'!$A$5:$A$72,B35)=1,COUNTIF('03_Rector'!$A$5:$A$57,C35)+COUNTIF('04_TKS'!$A$5:$A$72,C35)=1),0,1)</x:f>
        <x:v>0</x:v>
      </x:c>
    </x:row>
    <x:row r="36" ht="44"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IF(AND(COUNTIF('03_Rector'!$A$5:$A$57,B36)+COUNTIF('04_TKS'!$A$5:$A$72,B36)=1,COUNTIF('03_Rector'!$A$5:$A$57,C36)+COUNTIF('04_TKS'!$A$5:$A$72,C36)=1),0,1)</x:f>
        <x:v>0</x:v>
      </x:c>
    </x:row>
    <x:row r="37" ht="44"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IF(AND(COUNTIF('03_Rector'!$A$5:$A$57,B37)+COUNTIF('04_TKS'!$A$5:$A$72,B37)=1,COUNTIF('03_Rector'!$A$5:$A$57,C37)+COUNTIF('04_TKS'!$A$5:$A$72,C37)=1),0,1)</x:f>
        <x:v>0</x:v>
      </x:c>
    </x:row>
    <x:row r="38" ht="44"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IF(AND(COUNTIF('03_Rector'!$A$5:$A$57,B38)+COUNTIF('04_TKS'!$A$5:$A$72,B38)=1,COUNTIF('03_Rector'!$A$5:$A$57,C38)+COUNTIF('04_TKS'!$A$5:$A$72,C38)=1),0,1)</x:f>
        <x:v>0</x:v>
      </x:c>
    </x:row>
    <x:row r="39" ht="44"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IF(AND(COUNTIF('03_Rector'!$A$5:$A$57,B39)+COUNTIF('04_TKS'!$A$5:$A$72,B39)=1,COUNTIF('03_Rector'!$A$5:$A$57,C39)+COUNTIF('04_TKS'!$A$5:$A$72,C39)=1),0,1)</x:f>
        <x:v>0</x:v>
      </x:c>
    </x:row>
    <x:row r="40" ht="44"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IF(AND(COUNTIF('03_Rector'!$A$5:$A$57,B40)+COUNTIF('04_TKS'!$A$5:$A$72,B40)=1,COUNTIF('03_Rector'!$A$5:$A$57,C40)+COUNTIF('04_TKS'!$A$5:$A$72,C40)=1),0,1)</x:f>
        <x:v>0</x:v>
      </x:c>
    </x:row>
    <x:row r="41" ht="44"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IF(AND(COUNTIF('03_Rector'!$A$5:$A$57,B41)+COUNTIF('04_TKS'!$A$5:$A$72,B41)=1,COUNTIF('03_Rector'!$A$5:$A$57,C41)+COUNTIF('04_TKS'!$A$5:$A$72,C41)=1),0,1)</x:f>
        <x:v>0</x:v>
      </x:c>
    </x:row>
    <x:row r="42" ht="44"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IF(AND(COUNTIF('03_Rector'!$A$5:$A$57,B42)+COUNTIF('04_TKS'!$A$5:$A$72,B42)=1,COUNTIF('03_Rector'!$A$5:$A$57,C42)+COUNTIF('04_TKS'!$A$5:$A$72,C42)=1),0,1)</x:f>
        <x:v>0</x:v>
      </x:c>
    </x:row>
    <x:row r="43" ht="44"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IF(AND(COUNTIF('03_Rector'!$A$5:$A$57,B43)+COUNTIF('04_TKS'!$A$5:$A$72,B43)=1,COUNTIF('03_Rector'!$A$5:$A$57,C43)+COUNTIF('04_TKS'!$A$5:$A$72,C43)=1),0,1)</x:f>
        <x:v>0</x:v>
      </x:c>
    </x:row>
    <x:row r="44" ht="44"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IF(AND(COUNTIF('03_Rector'!$A$5:$A$57,B44)+COUNTIF('04_TKS'!$A$5:$A$72,B44)=1,COUNTIF('03_Rector'!$A$5:$A$57,C44)+COUNTIF('04_TKS'!$A$5:$A$72,C44)=1),0,1)</x:f>
        <x:v>0</x:v>
      </x:c>
    </x:row>
    <x:row r="45" ht="44"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IF(AND(COUNTIF('03_Rector'!$A$5:$A$57,B45)+COUNTIF('04_TKS'!$A$5:$A$72,B45)=1,COUNTIF('03_Rector'!$A$5:$A$57,C45)+COUNTIF('04_TKS'!$A$5:$A$72,C45)=1),0,1)</x:f>
        <x:v>0</x:v>
      </x:c>
    </x:row>
    <x:row r="46" ht="44"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IF(AND(COUNTIF('03_Rector'!$A$5:$A$57,B46)+COUNTIF('04_TKS'!$A$5:$A$72,B46)=1,COUNTIF('03_Rector'!$A$5:$A$57,C46)+COUNTIF('04_TKS'!$A$5:$A$72,C46)=1),0,1)</x:f>
        <x:v>0</x:v>
      </x:c>
    </x:row>
    <x:row r="47" ht="44"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IF(AND(COUNTIF('03_Rector'!$A$5:$A$57,B47)+COUNTIF('04_TKS'!$A$5:$A$72,B47)=1,COUNTIF('03_Rector'!$A$5:$A$57,C47)+COUNTIF('04_TKS'!$A$5:$A$72,C47)=1),0,1)</x:f>
        <x:v>0</x:v>
      </x:c>
    </x:row>
    <x:row r="48" ht="44"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IF(AND(COUNTIF('03_Rector'!$A$5:$A$57,B48)+COUNTIF('04_TKS'!$A$5:$A$72,B48)=1,COUNTIF('03_Rector'!$A$5:$A$57,C48)+COUNTIF('04_TKS'!$A$5:$A$72,C48)=1),0,1)</x:f>
        <x:v>0</x:v>
      </x:c>
    </x:row>
    <x:row r="49" ht="44"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IF(AND(COUNTIF('03_Rector'!$A$5:$A$57,B49)+COUNTIF('04_TKS'!$A$5:$A$72,B49)=1,COUNTIF('03_Rector'!$A$5:$A$57,C49)+COUNTIF('04_TKS'!$A$5:$A$72,C49)=1),0,1)</x:f>
        <x:v>0</x:v>
      </x:c>
    </x:row>
    <x:row r="50" ht="44"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IF(AND(COUNTIF('03_Rector'!$A$5:$A$57,B50)+COUNTIF('04_TKS'!$A$5:$A$72,B50)=1,COUNTIF('03_Rector'!$A$5:$A$57,C50)+COUNTIF('04_TKS'!$A$5:$A$72,C50)=1),0,1)</x:f>
        <x:v>0</x:v>
      </x:c>
    </x:row>
    <x:row r="51" ht="44"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IF(AND(COUNTIF('03_Rector'!$A$5:$A$57,B51)+COUNTIF('04_TKS'!$A$5:$A$72,B51)=1,COUNTIF('03_Rector'!$A$5:$A$57,C51)+COUNTIF('04_TKS'!$A$5:$A$72,C51)=1),0,1)</x:f>
        <x:v>0</x:v>
      </x:c>
    </x:row>
    <x:row r="52" ht="44"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IF(AND(COUNTIF('03_Rector'!$A$5:$A$57,B52)+COUNTIF('04_TKS'!$A$5:$A$72,B52)=1,COUNTIF('03_Rector'!$A$5:$A$57,C52)+COUNTIF('04_TKS'!$A$5:$A$72,C52)=1),0,1)</x:f>
        <x:v>0</x:v>
      </x:c>
    </x:row>
    <x:row r="53" ht="44"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IF(AND(COUNTIF('03_Rector'!$A$5:$A$57,B53)+COUNTIF('04_TKS'!$A$5:$A$72,B53)=1,COUNTIF('03_Rector'!$A$5:$A$57,C53)+COUNTIF('04_TKS'!$A$5:$A$72,C53)=1),0,1)</x:f>
        <x:v>0</x:v>
      </x:c>
    </x:row>
    <x:row r="54" ht="44"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IF(AND(COUNTIF('03_Rector'!$A$5:$A$57,B54)+COUNTIF('04_TKS'!$A$5:$A$72,B54)=1,COUNTIF('03_Rector'!$A$5:$A$57,C54)+COUNTIF('04_TKS'!$A$5:$A$72,C54)=1),0,1)</x:f>
        <x:v>0</x:v>
      </x:c>
    </x:row>
    <x:row r="55" ht="44"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IF(AND(COUNTIF('03_Rector'!$A$5:$A$57,B55)+COUNTIF('04_TKS'!$A$5:$A$72,B55)=1,COUNTIF('03_Rector'!$A$5:$A$57,C55)+COUNTIF('04_TKS'!$A$5:$A$72,C55)=1),0,1)</x:f>
        <x:v>0</x:v>
      </x:c>
    </x:row>
    <x:row r="56" ht="44"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IF(AND(COUNTIF('03_Rector'!$A$5:$A$57,B56)+COUNTIF('04_TKS'!$A$5:$A$72,B56)=1,COUNTIF('03_Rector'!$A$5:$A$57,C56)+COUNTIF('04_TKS'!$A$5:$A$72,C56)=1),0,1)</x:f>
        <x:v>0</x:v>
      </x:c>
    </x:row>
    <x:row r="57" ht="44"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IF(AND(COUNTIF('03_Rector'!$A$5:$A$57,B57)+COUNTIF('04_TKS'!$A$5:$A$72,B57)=1,COUNTIF('03_Rector'!$A$5:$A$57,C57)+COUNTIF('04_TKS'!$A$5:$A$72,C57)=1),0,1)</x:f>
        <x:v>0</x:v>
      </x:c>
    </x:row>
    <x:row r="58" ht="44"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IF(AND(COUNTIF('03_Rector'!$A$5:$A$57,B58)+COUNTIF('04_TKS'!$A$5:$A$72,B58)=1,COUNTIF('03_Rector'!$A$5:$A$57,C58)+COUNTIF('04_TKS'!$A$5:$A$72,C58)=1),0,1)</x:f>
        <x:v>0</x:v>
      </x:c>
    </x:row>
    <x:row r="59" ht="44"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IF(AND(COUNTIF('03_Rector'!$A$5:$A$57,B59)+COUNTIF('04_TKS'!$A$5:$A$72,B59)=1,COUNTIF('03_Rector'!$A$5:$A$57,C59)+COUNTIF('04_TKS'!$A$5:$A$72,C59)=1),0,1)</x:f>
        <x:v>0</x:v>
      </x:c>
    </x:row>
    <x:row r="60" ht="44"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IF(AND(COUNTIF('03_Rector'!$A$5:$A$57,B60)+COUNTIF('04_TKS'!$A$5:$A$72,B60)=1,COUNTIF('03_Rector'!$A$5:$A$57,C60)+COUNTIF('04_TKS'!$A$5:$A$72,C60)=1),0,1)</x:f>
        <x:v>0</x:v>
      </x:c>
    </x:row>
    <x:row r="61" ht="44"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IF(AND(COUNTIF('03_Rector'!$A$5:$A$57,B61)+COUNTIF('04_TKS'!$A$5:$A$72,B61)=1,COUNTIF('03_Rector'!$A$5:$A$57,C61)+COUNTIF('04_TKS'!$A$5:$A$72,C61)=1),0,1)</x:f>
        <x:v>0</x:v>
      </x:c>
    </x:row>
    <x:row r="62" ht="44"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IF(AND(COUNTIF('03_Rector'!$A$5:$A$57,B62)+COUNTIF('04_TKS'!$A$5:$A$72,B62)=1,COUNTIF('03_Rector'!$A$5:$A$57,C62)+COUNTIF('04_TKS'!$A$5:$A$72,C62)=1),0,1)</x:f>
        <x:v>0</x:v>
      </x:c>
    </x:row>
    <x:row r="63" ht="44"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IF(AND(COUNTIF('03_Rector'!$A$5:$A$57,B63)+COUNTIF('04_TKS'!$A$5:$A$72,B63)=1,COUNTIF('03_Rector'!$A$5:$A$57,C63)+COUNTIF('04_TKS'!$A$5:$A$72,C63)=1),0,1)</x:f>
        <x:v>0</x:v>
      </x:c>
    </x:row>
    <x:row r="64" ht="44"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IF(AND(COUNTIF('03_Rector'!$A$5:$A$57,B64)+COUNTIF('04_TKS'!$A$5:$A$72,B64)=1,COUNTIF('03_Rector'!$A$5:$A$57,C64)+COUNTIF('04_TKS'!$A$5:$A$72,C64)=1),0,1)</x:f>
        <x:v>0</x:v>
      </x:c>
    </x:row>
    <x:row r="65" ht="44"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IF(AND(COUNTIF('03_Rector'!$A$5:$A$57,B65)+COUNTIF('04_TKS'!$A$5:$A$72,B65)=1,COUNTIF('03_Rector'!$A$5:$A$57,C65)+COUNTIF('04_TKS'!$A$5:$A$72,C65)=1),0,1)</x:f>
        <x:v>0</x:v>
      </x:c>
    </x:row>
    <x:row r="66" ht="44"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IF(AND(COUNTIF('03_Rector'!$A$5:$A$57,B66)+COUNTIF('04_TKS'!$A$5:$A$72,B66)=1,COUNTIF('03_Rector'!$A$5:$A$57,C66)+COUNTIF('04_TKS'!$A$5:$A$72,C66)=1),0,1)</x:f>
        <x:v>0</x:v>
      </x:c>
    </x:row>
    <x:row r="67" ht="44"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IF(AND(COUNTIF('03_Rector'!$A$5:$A$57,B67)+COUNTIF('04_TKS'!$A$5:$A$72,B67)=1,COUNTIF('03_Rector'!$A$5:$A$57,C67)+COUNTIF('04_TKS'!$A$5:$A$72,C67)=1),0,1)</x:f>
        <x:v>0</x:v>
      </x:c>
    </x:row>
    <x:row r="68" ht="44"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IF(AND(COUNTIF('03_Rector'!$A$5:$A$57,B68)+COUNTIF('04_TKS'!$A$5:$A$72,B68)=1,COUNTIF('03_Rector'!$A$5:$A$57,C68)+COUNTIF('04_TKS'!$A$5:$A$72,C68)=1),0,1)</x:f>
        <x:v>0</x:v>
      </x:c>
    </x:row>
    <x:row r="69" ht="44"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IF(AND(COUNTIF('03_Rector'!$A$5:$A$57,B69)+COUNTIF('04_TKS'!$A$5:$A$72,B69)=1,COUNTIF('03_Rector'!$A$5:$A$57,C69)+COUNTIF('04_TKS'!$A$5:$A$72,C69)=1),0,1)</x:f>
        <x:v>0</x:v>
      </x:c>
    </x:row>
    <x:row r="70" ht="44"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IF(AND(COUNTIF('03_Rector'!$A$5:$A$57,B70)+COUNTIF('04_TKS'!$A$5:$A$72,B70)=1,COUNTIF('03_Rector'!$A$5:$A$57,C70)+COUNTIF('04_TKS'!$A$5:$A$72,C70)=1),0,1)</x:f>
        <x:v>0</x:v>
      </x:c>
    </x:row>
    <x:row r="71" ht="44"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IF(AND(COUNTIF('03_Rector'!$A$5:$A$57,B71)+COUNTIF('04_TKS'!$A$5:$A$72,B71)=1,COUNTIF('03_Rector'!$A$5:$A$57,C71)+COUNTIF('04_TKS'!$A$5:$A$72,C71)=1),0,1)</x:f>
        <x:v>0</x:v>
      </x:c>
    </x:row>
    <x:row r="72" ht="44"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IF(AND(COUNTIF('03_Rector'!$A$5:$A$57,B72)+COUNTIF('04_TKS'!$A$5:$A$72,B72)=1,COUNTIF('03_Rector'!$A$5:$A$57,C72)+COUNTIF('04_TKS'!$A$5:$A$72,C72)=1),0,1)</x:f>
        <x:v>0</x:v>
      </x:c>
    </x:row>
    <x:row r="73" ht="44"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IF(AND(COUNTIF('03_Rector'!$A$5:$A$57,B73)+COUNTIF('04_TKS'!$A$5:$A$72,B73)=1,COUNTIF('03_Rector'!$A$5:$A$57,C73)+COUNTIF('04_TKS'!$A$5:$A$72,C73)=1),0,1)</x:f>
        <x:v>0</x:v>
      </x:c>
    </x:row>
    <x:row r="74" ht="44"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IF(AND(COUNTIF('03_Rector'!$A$5:$A$57,B74)+COUNTIF('04_TKS'!$A$5:$A$72,B74)=1,COUNTIF('03_Rector'!$A$5:$A$57,C74)+COUNTIF('04_TKS'!$A$5:$A$72,C74)=1),0,1)</x:f>
        <x:v>0</x:v>
      </x:c>
    </x:row>
    <x:row r="75" ht="44"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IF(AND(COUNTIF('03_Rector'!$A$5:$A$57,B75)+COUNTIF('04_TKS'!$A$5:$A$72,B75)=1,COUNTIF('03_Rector'!$A$5:$A$57,C75)+COUNTIF('04_TKS'!$A$5:$A$72,C75)=1),0,1)</x:f>
        <x:v>0</x:v>
      </x:c>
    </x:row>
    <x:row r="76" ht="44"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IF(AND(COUNTIF('03_Rector'!$A$5:$A$57,B76)+COUNTIF('04_TKS'!$A$5:$A$72,B76)=1,COUNTIF('03_Rector'!$A$5:$A$57,C76)+COUNTIF('04_TKS'!$A$5:$A$72,C76)=1),0,1)</x:f>
        <x:v>0</x:v>
      </x:c>
    </x:row>
    <x:row r="77" ht="44"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IF(AND(COUNTIF('03_Rector'!$A$5:$A$57,B77)+COUNTIF('04_TKS'!$A$5:$A$72,B77)=1,COUNTIF('03_Rector'!$A$5:$A$57,C77)+COUNTIF('04_TKS'!$A$5:$A$72,C77)=1),0,1)</x:f>
        <x:v>0</x:v>
      </x:c>
    </x:row>
    <x:row r="78" ht="44"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IF(AND(COUNTIF('03_Rector'!$A$5:$A$57,B78)+COUNTIF('04_TKS'!$A$5:$A$72,B78)=1,COUNTIF('03_Rector'!$A$5:$A$57,C78)+COUNTIF('04_TKS'!$A$5:$A$72,C78)=1),0,1)</x:f>
        <x:v>0</x:v>
      </x:c>
    </x:row>
    <x:row r="79" ht="44"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IF(AND(COUNTIF('03_Rector'!$A$5:$A$57,B79)+COUNTIF('04_TKS'!$A$5:$A$72,B79)=1,COUNTIF('03_Rector'!$A$5:$A$57,C79)+COUNTIF('04_TKS'!$A$5:$A$72,C79)=1),0,1)</x:f>
        <x:v>0</x:v>
      </x:c>
    </x:row>
    <x:row r="80" ht="44"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IF(AND(COUNTIF('03_Rector'!$A$5:$A$57,B80)+COUNTIF('04_TKS'!$A$5:$A$72,B80)=1,COUNTIF('03_Rector'!$A$5:$A$57,C80)+COUNTIF('04_TKS'!$A$5:$A$72,C80)=1),0,1)</x:f>
        <x:v>0</x:v>
      </x:c>
    </x:row>
    <x:row r="81" ht="44"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IF(AND(COUNTIF('03_Rector'!$A$5:$A$57,B81)+COUNTIF('04_TKS'!$A$5:$A$72,B81)=1,COUNTIF('03_Rector'!$A$5:$A$57,C81)+COUNTIF('04_TKS'!$A$5:$A$72,C81)=1),0,1)</x:f>
        <x:v>0</x:v>
      </x:c>
    </x:row>
    <x:row r="82" ht="44"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IF(AND(COUNTIF('03_Rector'!$A$5:$A$57,B82)+COUNTIF('04_TKS'!$A$5:$A$72,B82)=1,COUNTIF('03_Rector'!$A$5:$A$57,C82)+COUNTIF('04_TKS'!$A$5:$A$72,C82)=1),0,1)</x:f>
        <x:v>0</x:v>
      </x:c>
    </x:row>
    <x:row r="83" ht="44"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IF(AND(COUNTIF('03_Rector'!$A$5:$A$57,B83)+COUNTIF('04_TKS'!$A$5:$A$72,B83)=1,COUNTIF('03_Rector'!$A$5:$A$57,C83)+COUNTIF('04_TKS'!$A$5:$A$72,C83)=1),0,1)</x:f>
        <x:v>0</x:v>
      </x:c>
    </x:row>
    <x:row r="84" ht="44"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IF(AND(COUNTIF('03_Rector'!$A$5:$A$57,B84)+COUNTIF('04_TKS'!$A$5:$A$72,B84)=1,COUNTIF('03_Rector'!$A$5:$A$57,C84)+COUNTIF('04_TKS'!$A$5:$A$72,C84)=1),0,1)</x:f>
        <x:v>0</x:v>
      </x:c>
    </x:row>
    <x:row r="85" ht="44"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IF(AND(COUNTIF('03_Rector'!$A$5:$A$57,B85)+COUNTIF('04_TKS'!$A$5:$A$72,B85)=1,COUNTIF('03_Rector'!$A$5:$A$57,C85)+COUNTIF('04_TKS'!$A$5:$A$72,C85)=1),0,1)</x:f>
        <x:v>0</x:v>
      </x:c>
    </x:row>
    <x:row r="86" ht="44"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IF(AND(COUNTIF('03_Rector'!$A$5:$A$57,B86)+COUNTIF('04_TKS'!$A$5:$A$72,B86)=1,COUNTIF('03_Rector'!$A$5:$A$57,C86)+COUNTIF('04_TKS'!$A$5:$A$72,C86)=1),0,1)</x:f>
        <x:v>0</x:v>
      </x:c>
    </x:row>
    <x:row r="87" ht="44"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IF(AND(COUNTIF('03_Rector'!$A$5:$A$57,B87)+COUNTIF('04_TKS'!$A$5:$A$72,B87)=1,COUNTIF('03_Rector'!$A$5:$A$57,C87)+COUNTIF('04_TKS'!$A$5:$A$72,C87)=1),0,1)</x:f>
        <x:v>0</x:v>
      </x:c>
    </x:row>
    <x:row r="88" ht="44"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IF(AND(COUNTIF('03_Rector'!$A$5:$A$57,B88)+COUNTIF('04_TKS'!$A$5:$A$72,B88)=1,COUNTIF('03_Rector'!$A$5:$A$57,C88)+COUNTIF('04_TKS'!$A$5:$A$72,C88)=1),0,1)</x:f>
        <x:v>0</x:v>
      </x:c>
    </x:row>
    <x:row r="89" ht="44"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IF(AND(COUNTIF('03_Rector'!$A$5:$A$57,B89)+COUNTIF('04_TKS'!$A$5:$A$72,B89)=1,COUNTIF('03_Rector'!$A$5:$A$57,C89)+COUNTIF('04_TKS'!$A$5:$A$72,C89)=1),0,1)</x:f>
        <x:v>0</x:v>
      </x:c>
    </x:row>
    <x:row r="90" ht="44"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IF(AND(COUNTIF('03_Rector'!$A$5:$A$57,B90)+COUNTIF('04_TKS'!$A$5:$A$72,B90)=1,COUNTIF('03_Rector'!$A$5:$A$57,C90)+COUNTIF('04_TKS'!$A$5:$A$72,C90)=1),0,1)</x:f>
        <x:v>0</x:v>
      </x:c>
    </x:row>
    <x:row r="91" ht="44"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IF(AND(COUNTIF('03_Rector'!$A$5:$A$57,B91)+COUNTIF('04_TKS'!$A$5:$A$72,B91)=1,COUNTIF('03_Rector'!$A$5:$A$57,C91)+COUNTIF('04_TKS'!$A$5:$A$72,C91)=1),0,1)</x:f>
        <x:v>0</x:v>
      </x:c>
    </x:row>
    <x:row r="92" ht="44"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IF(AND(COUNTIF('03_Rector'!$A$5:$A$57,B92)+COUNTIF('04_TKS'!$A$5:$A$72,B92)=1,COUNTIF('03_Rector'!$A$5:$A$57,C92)+COUNTIF('04_TKS'!$A$5:$A$72,C92)=1),0,1)</x:f>
        <x:v>0</x:v>
      </x:c>
    </x:row>
    <x:row r="93" ht="44"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IF(AND(COUNTIF('03_Rector'!$A$5:$A$57,B93)+COUNTIF('04_TKS'!$A$5:$A$72,B93)=1,COUNTIF('03_Rector'!$A$5:$A$57,C93)+COUNTIF('04_TKS'!$A$5:$A$72,C93)=1),0,1)</x:f>
        <x:v>0</x:v>
      </x:c>
    </x:row>
    <x:row r="94" ht="44"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IF(AND(COUNTIF('03_Rector'!$A$5:$A$57,B94)+COUNTIF('04_TKS'!$A$5:$A$72,B94)=1,COUNTIF('03_Rector'!$A$5:$A$57,C94)+COUNTIF('04_TKS'!$A$5:$A$72,C94)=1),0,1)</x:f>
        <x:v>0</x:v>
      </x:c>
    </x:row>
    <x:row r="95" ht="44"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IF(AND(COUNTIF('03_Rector'!$A$5:$A$57,B95)+COUNTIF('04_TKS'!$A$5:$A$72,B95)=1,COUNTIF('03_Rector'!$A$5:$A$57,C95)+COUNTIF('04_TKS'!$A$5:$A$72,C95)=1),0,1)</x:f>
        <x:v>0</x:v>
      </x:c>
    </x:row>
    <x:row r="96" ht="44"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IF(AND(COUNTIF('03_Rector'!$A$5:$A$57,B96)+COUNTIF('04_TKS'!$A$5:$A$72,B96)=1,COUNTIF('03_Rector'!$A$5:$A$57,C96)+COUNTIF('04_TKS'!$A$5:$A$72,C96)=1),0,1)</x:f>
        <x:v>0</x:v>
      </x:c>
    </x:row>
    <x:row r="97" ht="44"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IF(AND(COUNTIF('03_Rector'!$A$5:$A$57,B97)+COUNTIF('04_TKS'!$A$5:$A$72,B97)=1,COUNTIF('03_Rector'!$A$5:$A$57,C97)+COUNTIF('04_TKS'!$A$5:$A$72,C97)=1),0,1)</x:f>
        <x:v>0</x:v>
      </x:c>
    </x:row>
    <x:row r="98" ht="44"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IF(AND(COUNTIF('03_Rector'!$A$5:$A$57,B98)+COUNTIF('04_TKS'!$A$5:$A$72,B98)=1,COUNTIF('03_Rector'!$A$5:$A$57,C98)+COUNTIF('04_TKS'!$A$5:$A$72,C98)=1),0,1)</x:f>
        <x:v>0</x:v>
      </x:c>
    </x:row>
    <x:row r="99" ht="44"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IF(AND(COUNTIF('03_Rector'!$A$5:$A$57,B99)+COUNTIF('04_TKS'!$A$5:$A$72,B99)=1,COUNTIF('03_Rector'!$A$5:$A$57,C99)+COUNTIF('04_TKS'!$A$5:$A$72,C99)=1),0,1)</x:f>
        <x:v>0</x:v>
      </x:c>
    </x:row>
    <x:row r="100" ht="44"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IF(AND(COUNTIF('03_Rector'!$A$5:$A$57,B100)+COUNTIF('04_TKS'!$A$5:$A$72,B100)=1,COUNTIF('03_Rector'!$A$5:$A$57,C100)+COUNTIF('04_TKS'!$A$5:$A$72,C100)=1),0,1)</x:f>
        <x:v>0</x:v>
      </x:c>
    </x:row>
    <x:row r="101" ht="44"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IF(AND(COUNTIF('03_Rector'!$A$5:$A$57,B101)+COUNTIF('04_TKS'!$A$5:$A$72,B101)=1,COUNTIF('03_Rector'!$A$5:$A$57,C101)+COUNTIF('04_TKS'!$A$5:$A$72,C101)=1),0,1)</x:f>
        <x:v>0</x:v>
      </x:c>
    </x:row>
    <x:row r="102" ht="44"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IF(AND(COUNTIF('03_Rector'!$A$5:$A$57,B102)+COUNTIF('04_TKS'!$A$5:$A$72,B102)=1,COUNTIF('03_Rector'!$A$5:$A$57,C102)+COUNTIF('04_TKS'!$A$5:$A$72,C102)=1),0,1)</x:f>
        <x:v>0</x:v>
      </x:c>
    </x:row>
    <x:row r="103" ht="44"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IF(AND(COUNTIF('03_Rector'!$A$5:$A$57,B103)+COUNTIF('04_TKS'!$A$5:$A$72,B103)=1,COUNTIF('03_Rector'!$A$5:$A$57,C103)+COUNTIF('04_TKS'!$A$5:$A$72,C103)=1),0,1)</x:f>
        <x:v>0</x:v>
      </x:c>
    </x:row>
    <x:row r="104" ht="44"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IF(AND(COUNTIF('03_Rector'!$A$5:$A$57,B104)+COUNTIF('04_TKS'!$A$5:$A$72,B104)=1,COUNTIF('03_Rector'!$A$5:$A$57,C104)+COUNTIF('04_TKS'!$A$5:$A$72,C104)=1),0,1)</x:f>
        <x:v>0</x:v>
      </x:c>
    </x:row>
    <x:row r="105" ht="44"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IF(AND(COUNTIF('03_Rector'!$A$5:$A$57,B105)+COUNTIF('04_TKS'!$A$5:$A$72,B105)=1,COUNTIF('03_Rector'!$A$5:$A$57,C105)+COUNTIF('04_TKS'!$A$5:$A$72,C105)=1),0,1)</x:f>
        <x:v>0</x:v>
      </x:c>
    </x:row>
    <x:row r="106" ht="44"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IF(AND(COUNTIF('03_Rector'!$A$5:$A$57,B106)+COUNTIF('04_TKS'!$A$5:$A$72,B106)=1,COUNTIF('03_Rector'!$A$5:$A$57,C106)+COUNTIF('04_TKS'!$A$5:$A$72,C106)=1),0,1)</x:f>
        <x:v>0</x:v>
      </x:c>
    </x:row>
    <x:row r="107" ht="44"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IF(AND(COUNTIF('03_Rector'!$A$5:$A$57,B107)+COUNTIF('04_TKS'!$A$5:$A$72,B107)=1,COUNTIF('03_Rector'!$A$5:$A$57,C107)+COUNTIF('04_TKS'!$A$5:$A$72,C107)=1),0,1)</x:f>
        <x:v>0</x:v>
      </x:c>
    </x:row>
    <x:row r="108" ht="44"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IF(AND(COUNTIF('03_Rector'!$A$5:$A$57,B108)+COUNTIF('04_TKS'!$A$5:$A$72,B108)=1,COUNTIF('03_Rector'!$A$5:$A$57,C108)+COUNTIF('04_TKS'!$A$5:$A$72,C108)=1),0,1)</x:f>
        <x:v>0</x:v>
      </x:c>
    </x:row>
    <x:row r="109" ht="44"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IF(AND(COUNTIF('03_Rector'!$A$5:$A$57,B109)+COUNTIF('04_TKS'!$A$5:$A$72,B109)=1,COUNTIF('03_Rector'!$A$5:$A$57,C109)+COUNTIF('04_TKS'!$A$5:$A$72,C109)=1),0,1)</x:f>
        <x:v>0</x:v>
      </x:c>
    </x:row>
    <x:row r="110" ht="44"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IF(AND(COUNTIF('03_Rector'!$A$5:$A$57,B110)+COUNTIF('04_TKS'!$A$5:$A$72,B110)=1,COUNTIF('03_Rector'!$A$5:$A$57,C110)+COUNTIF('04_TKS'!$A$5:$A$72,C110)=1),0,1)</x:f>
        <x:v>0</x:v>
      </x:c>
    </x:row>
    <x:row r="111" ht="44"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IF(AND(COUNTIF('03_Rector'!$A$5:$A$57,B111)+COUNTIF('04_TKS'!$A$5:$A$72,B111)=1,COUNTIF('03_Rector'!$A$5:$A$57,C111)+COUNTIF('04_TKS'!$A$5:$A$72,C111)=1),0,1)</x:f>
        <x:v>0</x:v>
      </x:c>
    </x:row>
    <x:row r="112" ht="44"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IF(AND(COUNTIF('03_Rector'!$A$5:$A$57,B112)+COUNTIF('04_TKS'!$A$5:$A$72,B112)=1,COUNTIF('03_Rector'!$A$5:$A$57,C112)+COUNTIF('04_TKS'!$A$5:$A$72,C112)=1),0,1)</x:f>
        <x:v>0</x:v>
      </x:c>
    </x:row>
    <x:row r="113" ht="44"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IF(AND(COUNTIF('03_Rector'!$A$5:$A$57,B113)+COUNTIF('04_TKS'!$A$5:$A$72,B113)=1,COUNTIF('03_Rector'!$A$5:$A$57,C113)+COUNTIF('04_TKS'!$A$5:$A$72,C113)=1),0,1)</x:f>
        <x:v>0</x:v>
      </x:c>
    </x:row>
    <x:row r="114" ht="44"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IF(AND(COUNTIF('03_Rector'!$A$5:$A$57,B114)+COUNTIF('04_TKS'!$A$5:$A$72,B114)=1,COUNTIF('03_Rector'!$A$5:$A$57,C114)+COUNTIF('04_TKS'!$A$5:$A$72,C114)=1),0,1)</x:f>
        <x:v>0</x:v>
      </x:c>
    </x:row>
    <x:row r="115" ht="44"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IF(AND(COUNTIF('03_Rector'!$A$5:$A$57,B115)+COUNTIF('04_TKS'!$A$5:$A$72,B115)=1,COUNTIF('03_Rector'!$A$5:$A$57,C115)+COUNTIF('04_TKS'!$A$5:$A$72,C115)=1),0,1)</x:f>
        <x:v>0</x:v>
      </x:c>
    </x:row>
    <x:row r="116" ht="44"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IF(AND(COUNTIF('03_Rector'!$A$5:$A$57,B116)+COUNTIF('04_TKS'!$A$5:$A$72,B116)=1,COUNTIF('03_Rector'!$A$5:$A$57,C116)+COUNTIF('04_TKS'!$A$5:$A$72,C116)=1),0,1)</x:f>
        <x:v>0</x:v>
      </x:c>
    </x:row>
    <x:row r="117" ht="44"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IF(AND(COUNTIF('03_Rector'!$A$5:$A$57,B117)+COUNTIF('04_TKS'!$A$5:$A$72,B117)=1,COUNTIF('03_Rector'!$A$5:$A$57,C117)+COUNTIF('04_TKS'!$A$5:$A$72,C117)=1),0,1)</x:f>
        <x:v>0</x:v>
      </x:c>
    </x:row>
    <x:row r="118" ht="44"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IF(AND(COUNTIF('03_Rector'!$A$5:$A$57,B118)+COUNTIF('04_TKS'!$A$5:$A$72,B118)=1,COUNTIF('03_Rector'!$A$5:$A$57,C118)+COUNTIF('04_TKS'!$A$5:$A$72,C118)=1),0,1)</x:f>
        <x:v>0</x:v>
      </x:c>
    </x:row>
    <x:row r="119" ht="44"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IF(AND(COUNTIF('03_Rector'!$A$5:$A$57,B119)+COUNTIF('04_TKS'!$A$5:$A$72,B119)=1,COUNTIF('03_Rector'!$A$5:$A$57,C119)+COUNTIF('04_TKS'!$A$5:$A$72,C119)=1),0,1)</x:f>
        <x:v>0</x:v>
      </x:c>
    </x:row>
    <x:row r="120" ht="44"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IF(AND(COUNTIF('03_Rector'!$A$5:$A$57,B120)+COUNTIF('04_TKS'!$A$5:$A$72,B120)=1,COUNTIF('03_Rector'!$A$5:$A$57,C120)+COUNTIF('04_TKS'!$A$5:$A$72,C120)=1),0,1)</x:f>
        <x:v>0</x:v>
      </x:c>
    </x:row>
    <x:row r="121" ht="44"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IF(AND(COUNTIF('03_Rector'!$A$5:$A$57,B121)+COUNTIF('04_TKS'!$A$5:$A$72,B121)=1,COUNTIF('03_Rector'!$A$5:$A$57,C121)+COUNTIF('04_TKS'!$A$5:$A$72,C121)=1),0,1)</x:f>
        <x:v>0</x:v>
      </x:c>
    </x:row>
    <x:row r="122" ht="44"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IF(AND(COUNTIF('03_Rector'!$A$5:$A$57,B122)+COUNTIF('04_TKS'!$A$5:$A$72,B122)=1,COUNTIF('03_Rector'!$A$5:$A$57,C122)+COUNTIF('04_TKS'!$A$5:$A$72,C122)=1),0,1)</x:f>
        <x:v>0</x:v>
      </x:c>
    </x:row>
    <x:row r="123" ht="44"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IF(AND(COUNTIF('03_Rector'!$A$5:$A$57,B123)+COUNTIF('04_TKS'!$A$5:$A$72,B123)=1,COUNTIF('03_Rector'!$A$5:$A$57,C123)+COUNTIF('04_TKS'!$A$5:$A$72,C123)=1),0,1)</x:f>
        <x:v>0</x:v>
      </x:c>
    </x:row>
    <x:row r="124" ht="44"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IF(AND(COUNTIF('03_Rector'!$A$5:$A$57,B124)+COUNTIF('04_TKS'!$A$5:$A$72,B124)=1,COUNTIF('03_Rector'!$A$5:$A$57,C124)+COUNTIF('04_TKS'!$A$5:$A$72,C124)=1),0,1)</x:f>
        <x:v>0</x:v>
      </x:c>
    </x:row>
    <x:row r="125" ht="44"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IF(AND(COUNTIF('03_Rector'!$A$5:$A$57,B125)+COUNTIF('04_TKS'!$A$5:$A$72,B125)=1,COUNTIF('03_Rector'!$A$5:$A$57,C125)+COUNTIF('04_TKS'!$A$5:$A$72,C125)=1),0,1)</x:f>
        <x:v>0</x:v>
      </x:c>
    </x:row>
    <x:row r="126" ht="44"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IF(AND(COUNTIF('03_Rector'!$A$5:$A$57,B126)+COUNTIF('04_TKS'!$A$5:$A$72,B126)=1,COUNTIF('03_Rector'!$A$5:$A$57,C126)+COUNTIF('04_TKS'!$A$5:$A$72,C126)=1),0,1)</x:f>
        <x:v>0</x:v>
      </x:c>
    </x:row>
    <x:row r="127" ht="44"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IF(AND(COUNTIF('03_Rector'!$A$5:$A$57,B127)+COUNTIF('04_TKS'!$A$5:$A$72,B127)=1,COUNTIF('03_Rector'!$A$5:$A$57,C127)+COUNTIF('04_TKS'!$A$5:$A$72,C127)=1),0,1)</x:f>
        <x:v>0</x:v>
      </x:c>
    </x:row>
    <x:row r="128" ht="44"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IF(AND(COUNTIF('03_Rector'!$A$5:$A$57,B128)+COUNTIF('04_TKS'!$A$5:$A$72,B128)=1,COUNTIF('03_Rector'!$A$5:$A$57,C128)+COUNTIF('04_TKS'!$A$5:$A$72,C128)=1),0,1)</x:f>
        <x:v>0</x:v>
      </x:c>
    </x:row>
    <x:row r="129" ht="44"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IF(AND(COUNTIF('03_Rector'!$A$5:$A$57,B129)+COUNTIF('04_TKS'!$A$5:$A$72,B129)=1,COUNTIF('03_Rector'!$A$5:$A$57,C129)+COUNTIF('04_TKS'!$A$5:$A$72,C129)=1),0,1)</x:f>
        <x:v>0</x:v>
      </x:c>
    </x:row>
    <x:row r="130" ht="44"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IF(AND(COUNTIF('03_Rector'!$A$5:$A$57,B130)+COUNTIF('04_TKS'!$A$5:$A$72,B130)=1,COUNTIF('03_Rector'!$A$5:$A$57,C130)+COUNTIF('04_TKS'!$A$5:$A$72,C130)=1),0,1)</x:f>
        <x:v>0</x:v>
      </x:c>
    </x:row>
    <x:row r="131" ht="44"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IF(AND(COUNTIF('03_Rector'!$A$5:$A$57,B131)+COUNTIF('04_TKS'!$A$5:$A$72,B131)=1,COUNTIF('03_Rector'!$A$5:$A$57,C131)+COUNTIF('04_TKS'!$A$5:$A$72,C131)=1),0,1)</x:f>
        <x:v>0</x:v>
      </x:c>
    </x:row>
    <x:row r="132" ht="44"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IF(AND(COUNTIF('03_Rector'!$A$5:$A$57,B132)+COUNTIF('04_TKS'!$A$5:$A$72,B132)=1,COUNTIF('03_Rector'!$A$5:$A$57,C132)+COUNTIF('04_TKS'!$A$5:$A$72,C132)=1),0,1)</x:f>
        <x:v>0</x:v>
      </x:c>
    </x:row>
    <x:row r="133" ht="44"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IF(AND(COUNTIF('03_Rector'!$A$5:$A$57,B133)+COUNTIF('04_TKS'!$A$5:$A$72,B133)=1,COUNTIF('03_Rector'!$A$5:$A$57,C133)+COUNTIF('04_TKS'!$A$5:$A$72,C133)=1),0,1)</x:f>
        <x:v>0</x:v>
      </x:c>
    </x:row>
    <x:row r="134" ht="44"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IF(AND(COUNTIF('03_Rector'!$A$5:$A$57,B134)+COUNTIF('04_TKS'!$A$5:$A$72,B134)=1,COUNTIF('03_Rector'!$A$5:$A$57,C134)+COUNTIF('04_TKS'!$A$5:$A$72,C134)=1),0,1)</x:f>
        <x:v>0</x:v>
      </x:c>
    </x:row>
    <x:row r="135" ht="44"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IF(AND(COUNTIF('03_Rector'!$A$5:$A$57,B135)+COUNTIF('04_TKS'!$A$5:$A$72,B135)=1,COUNTIF('03_Rector'!$A$5:$A$57,C135)+COUNTIF('04_TKS'!$A$5:$A$72,C135)=1),0,1)</x:f>
        <x:v>0</x:v>
      </x:c>
    </x:row>
    <x:row r="136" ht="44"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IF(AND(COUNTIF('03_Rector'!$A$5:$A$57,B136)+COUNTIF('04_TKS'!$A$5:$A$72,B136)=1,COUNTIF('03_Rector'!$A$5:$A$57,C136)+COUNTIF('04_TKS'!$A$5:$A$72,C136)=1),0,1)</x:f>
        <x:v>0</x:v>
      </x:c>
    </x:row>
    <x:row r="137" ht="44"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IF(AND(COUNTIF('03_Rector'!$A$5:$A$57,B137)+COUNTIF('04_TKS'!$A$5:$A$72,B137)=1,COUNTIF('03_Rector'!$A$5:$A$57,C137)+COUNTIF('04_TKS'!$A$5:$A$72,C137)=1),0,1)</x:f>
        <x:v>0</x:v>
      </x:c>
    </x:row>
    <x:row r="138" ht="44"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IF(AND(COUNTIF('03_Rector'!$A$5:$A$57,B138)+COUNTIF('04_TKS'!$A$5:$A$72,B138)=1,COUNTIF('03_Rector'!$A$5:$A$57,C138)+COUNTIF('04_TKS'!$A$5:$A$72,C138)=1),0,1)</x:f>
        <x:v>0</x:v>
      </x:c>
    </x:row>
    <x:row r="139" ht="44"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IF(AND(COUNTIF('03_Rector'!$A$5:$A$57,B139)+COUNTIF('04_TKS'!$A$5:$A$72,B139)=1,COUNTIF('03_Rector'!$A$5:$A$57,C139)+COUNTIF('04_TKS'!$A$5:$A$72,C139)=1),0,1)</x:f>
        <x:v>0</x:v>
      </x:c>
    </x:row>
    <x:row r="140" ht="44"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IF(AND(COUNTIF('03_Rector'!$A$5:$A$57,B140)+COUNTIF('04_TKS'!$A$5:$A$72,B140)=1,COUNTIF('03_Rector'!$A$5:$A$57,C140)+COUNTIF('04_TKS'!$A$5:$A$72,C140)=1),0,1)</x:f>
        <x:v>0</x:v>
      </x:c>
    </x:row>
    <x:row r="141" ht="44"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IF(AND(COUNTIF('03_Rector'!$A$5:$A$57,B141)+COUNTIF('04_TKS'!$A$5:$A$72,B141)=1,COUNTIF('03_Rector'!$A$5:$A$57,C141)+COUNTIF('04_TKS'!$A$5:$A$72,C141)=1),0,1)</x:f>
        <x:v>0</x:v>
      </x:c>
    </x:row>
    <x:row r="142" ht="44"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IF(AND(COUNTIF('03_Rector'!$A$5:$A$57,B142)+COUNTIF('04_TKS'!$A$5:$A$72,B142)=1,COUNTIF('03_Rector'!$A$5:$A$57,C142)+COUNTIF('04_TKS'!$A$5:$A$72,C142)=1),0,1)</x:f>
        <x:v>0</x:v>
      </x:c>
    </x:row>
    <x:row r="143" ht="44"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IF(AND(COUNTIF('03_Rector'!$A$5:$A$57,B143)+COUNTIF('04_TKS'!$A$5:$A$72,B143)=1,COUNTIF('03_Rector'!$A$5:$A$57,C143)+COUNTIF('04_TKS'!$A$5:$A$72,C143)=1),0,1)</x:f>
        <x:v>0</x:v>
      </x:c>
    </x:row>
    <x:row r="144" ht="44"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IF(AND(COUNTIF('03_Rector'!$A$5:$A$57,B144)+COUNTIF('04_TKS'!$A$5:$A$72,B144)=1,COUNTIF('03_Rector'!$A$5:$A$57,C144)+COUNTIF('04_TKS'!$A$5:$A$72,C144)=1),0,1)</x:f>
        <x:v>0</x:v>
      </x:c>
    </x:row>
    <x:row r="145" ht="44"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IF(AND(COUNTIF('03_Rector'!$A$5:$A$57,B145)+COUNTIF('04_TKS'!$A$5:$A$72,B145)=1,COUNTIF('03_Rector'!$A$5:$A$57,C145)+COUNTIF('04_TKS'!$A$5:$A$72,C145)=1),0,1)</x:f>
        <x:v>0</x:v>
      </x:c>
    </x:row>
    <x:row r="146" ht="44"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IF(AND(COUNTIF('03_Rector'!$A$5:$A$57,B146)+COUNTIF('04_TKS'!$A$5:$A$72,B146)=1,COUNTIF('03_Rector'!$A$5:$A$57,C146)+COUNTIF('04_TKS'!$A$5:$A$72,C146)=1),0,1)</x:f>
        <x:v>0</x:v>
      </x:c>
    </x:row>
    <x:row r="147" ht="44"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IF(AND(COUNTIF('03_Rector'!$A$5:$A$57,B147)+COUNTIF('04_TKS'!$A$5:$A$72,B147)=1,COUNTIF('03_Rector'!$A$5:$A$57,C147)+COUNTIF('04_TKS'!$A$5:$A$72,C147)=1),0,1)</x:f>
        <x:v>0</x:v>
      </x:c>
    </x:row>
    <x:row r="148" ht="44"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IF(AND(COUNTIF('03_Rector'!$A$5:$A$57,B148)+COUNTIF('04_TKS'!$A$5:$A$72,B148)=1,COUNTIF('03_Rector'!$A$5:$A$57,C148)+COUNTIF('04_TKS'!$A$5:$A$72,C148)=1),0,1)</x:f>
        <x:v>0</x:v>
      </x:c>
    </x:row>
    <x:row r="149" ht="44"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IF(AND(COUNTIF('03_Rector'!$A$5:$A$57,B149)+COUNTIF('04_TKS'!$A$5:$A$72,B149)=1,COUNTIF('03_Rector'!$A$5:$A$57,C149)+COUNTIF('04_TKS'!$A$5:$A$72,C149)=1),0,1)</x:f>
        <x:v>0</x:v>
      </x:c>
    </x:row>
    <x:row r="150" ht="44"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IF(AND(COUNTIF('03_Rector'!$A$5:$A$57,B150)+COUNTIF('04_TKS'!$A$5:$A$72,B150)=1,COUNTIF('03_Rector'!$A$5:$A$57,C150)+COUNTIF('04_TKS'!$A$5:$A$72,C150)=1),0,1)</x:f>
        <x:v>0</x:v>
      </x:c>
    </x:row>
    <x:row r="151" ht="44"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IF(AND(COUNTIF('03_Rector'!$A$5:$A$57,B151)+COUNTIF('04_TKS'!$A$5:$A$72,B151)=1,COUNTIF('03_Rector'!$A$5:$A$57,C151)+COUNTIF('04_TKS'!$A$5:$A$72,C151)=1),0,1)</x:f>
        <x:v>0</x:v>
      </x:c>
    </x:row>
    <x:row r="152" ht="44"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IF(AND(COUNTIF('03_Rector'!$A$5:$A$57,B152)+COUNTIF('04_TKS'!$A$5:$A$72,B152)=1,COUNTIF('03_Rector'!$A$5:$A$57,C152)+COUNTIF('04_TKS'!$A$5:$A$72,C152)=1),0,1)</x:f>
        <x:v>0</x:v>
      </x:c>
    </x:row>
    <x:row r="153" ht="44"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IF(AND(COUNTIF('03_Rector'!$A$5:$A$57,B153)+COUNTIF('04_TKS'!$A$5:$A$72,B153)=1,COUNTIF('03_Rector'!$A$5:$A$57,C153)+COUNTIF('04_TKS'!$A$5:$A$72,C153)=1),0,1)</x:f>
        <x:v>0</x:v>
      </x:c>
    </x:row>
    <x:row r="154" ht="44"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IF(AND(COUNTIF('03_Rector'!$A$5:$A$57,B154)+COUNTIF('04_TKS'!$A$5:$A$72,B154)=1,COUNTIF('03_Rector'!$A$5:$A$57,C154)+COUNTIF('04_TKS'!$A$5:$A$72,C154)=1),0,1)</x:f>
        <x:v>0</x:v>
      </x:c>
    </x:row>
    <x:row r="155" ht="44"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IF(AND(COUNTIF('03_Rector'!$A$5:$A$57,B155)+COUNTIF('04_TKS'!$A$5:$A$72,B155)=1,COUNTIF('03_Rector'!$A$5:$A$57,C155)+COUNTIF('04_TKS'!$A$5:$A$72,C155)=1),0,1)</x:f>
        <x:v>0</x:v>
      </x:c>
    </x:row>
    <x:row r="156" ht="44"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IF(AND(COUNTIF('03_Rector'!$A$5:$A$57,B156)+COUNTIF('04_TKS'!$A$5:$A$72,B156)=1,COUNTIF('03_Rector'!$A$5:$A$57,C156)+COUNTIF('04_TKS'!$A$5:$A$72,C156)=1),0,1)</x:f>
        <x:v>0</x:v>
      </x:c>
    </x:row>
    <x:row r="157" ht="44"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IF(AND(COUNTIF('03_Rector'!$A$5:$A$57,B157)+COUNTIF('04_TKS'!$A$5:$A$72,B157)=1,COUNTIF('03_Rector'!$A$5:$A$57,C157)+COUNTIF('04_TKS'!$A$5:$A$72,C157)=1),0,1)</x:f>
        <x:v>0</x:v>
      </x:c>
    </x:row>
    <x:row r="158" ht="44"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IF(AND(COUNTIF('03_Rector'!$A$5:$A$57,B158)+COUNTIF('04_TKS'!$A$5:$A$72,B158)=1,COUNTIF('03_Rector'!$A$5:$A$57,C158)+COUNTIF('04_TKS'!$A$5:$A$72,C158)=1),0,1)</x:f>
        <x:v>0</x:v>
      </x:c>
    </x:row>
    <x:row r="159" ht="44"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IF(AND(COUNTIF('03_Rector'!$A$5:$A$57,B159)+COUNTIF('04_TKS'!$A$5:$A$72,B159)=1,COUNTIF('03_Rector'!$A$5:$A$57,C159)+COUNTIF('04_TKS'!$A$5:$A$72,C159)=1),0,1)</x:f>
        <x:v>0</x:v>
      </x:c>
    </x:row>
    <x:row r="160" ht="44"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IF(AND(COUNTIF('03_Rector'!$A$5:$A$57,B160)+COUNTIF('04_TKS'!$A$5:$A$72,B160)=1,COUNTIF('03_Rector'!$A$5:$A$57,C160)+COUNTIF('04_TKS'!$A$5:$A$72,C160)=1),0,1)</x:f>
        <x:v>0</x:v>
      </x:c>
    </x:row>
    <x:row r="161" ht="44"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IF(AND(COUNTIF('03_Rector'!$A$5:$A$57,B161)+COUNTIF('04_TKS'!$A$5:$A$72,B161)=1,COUNTIF('03_Rector'!$A$5:$A$57,C161)+COUNTIF('04_TKS'!$A$5:$A$72,C161)=1),0,1)</x:f>
        <x:v>0</x:v>
      </x:c>
    </x:row>
    <x:row r="162" ht="44"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IF(AND(COUNTIF('03_Rector'!$A$5:$A$57,B162)+COUNTIF('04_TKS'!$A$5:$A$72,B162)=1,COUNTIF('03_Rector'!$A$5:$A$57,C162)+COUNTIF('04_TKS'!$A$5:$A$72,C162)=1),0,1)</x:f>
        <x:v>0</x:v>
      </x:c>
    </x:row>
    <x:row r="163" ht="44"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IF(AND(COUNTIF('03_Rector'!$A$5:$A$57,B163)+COUNTIF('04_TKS'!$A$5:$A$72,B163)=1,COUNTIF('03_Rector'!$A$5:$A$57,C163)+COUNTIF('04_TKS'!$A$5:$A$72,C163)=1),0,1)</x:f>
        <x:v>0</x:v>
      </x:c>
    </x:row>
    <x:row r="164" ht="44"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IF(AND(COUNTIF('03_Rector'!$A$5:$A$57,B164)+COUNTIF('04_TKS'!$A$5:$A$72,B164)=1,COUNTIF('03_Rector'!$A$5:$A$57,C164)+COUNTIF('04_TKS'!$A$5:$A$72,C164)=1),0,1)</x:f>
        <x:v>0</x:v>
      </x:c>
    </x:row>
    <x:row r="165" ht="44"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IF(AND(COUNTIF('03_Rector'!$A$5:$A$57,B165)+COUNTIF('04_TKS'!$A$5:$A$72,B165)=1,COUNTIF('03_Rector'!$A$5:$A$57,C165)+COUNTIF('04_TKS'!$A$5:$A$72,C165)=1),0,1)</x:f>
        <x:v>0</x:v>
      </x:c>
    </x:row>
    <x:row r="166" ht="44"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IF(AND(COUNTIF('03_Rector'!$A$5:$A$57,B166)+COUNTIF('04_TKS'!$A$5:$A$72,B166)=1,COUNTIF('03_Rector'!$A$5:$A$57,C166)+COUNTIF('04_TKS'!$A$5:$A$72,C166)=1),0,1)</x:f>
        <x:v>0</x:v>
      </x:c>
    </x:row>
    <x:row r="167" ht="44"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IF(AND(COUNTIF('03_Rector'!$A$5:$A$57,B167)+COUNTIF('04_TKS'!$A$5:$A$72,B167)=1,COUNTIF('03_Rector'!$A$5:$A$57,C167)+COUNTIF('04_TKS'!$A$5:$A$72,C167)=1),0,1)</x:f>
        <x:v>0</x:v>
      </x:c>
    </x:row>
    <x:row r="168" ht="44"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IF(AND(COUNTIF('03_Rector'!$A$5:$A$57,B168)+COUNTIF('04_TKS'!$A$5:$A$72,B168)=1,COUNTIF('03_Rector'!$A$5:$A$57,C168)+COUNTIF('04_TKS'!$A$5:$A$72,C168)=1),0,1)</x:f>
        <x:v>0</x:v>
      </x:c>
    </x:row>
    <x:row r="169" ht="44"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IF(AND(COUNTIF('03_Rector'!$A$5:$A$57,B169)+COUNTIF('04_TKS'!$A$5:$A$72,B169)=1,COUNTIF('03_Rector'!$A$5:$A$57,C169)+COUNTIF('04_TKS'!$A$5:$A$72,C169)=1),0,1)</x:f>
        <x:v>0</x:v>
      </x:c>
    </x:row>
    <x:row r="170" ht="44"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IF(AND(COUNTIF('03_Rector'!$A$5:$A$57,B170)+COUNTIF('04_TKS'!$A$5:$A$72,B170)=1,COUNTIF('03_Rector'!$A$5:$A$57,C170)+COUNTIF('04_TKS'!$A$5:$A$72,C170)=1),0,1)</x:f>
        <x:v>0</x:v>
      </x:c>
    </x:row>
    <x:row r="171" ht="44"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IF(AND(COUNTIF('03_Rector'!$A$5:$A$57,B171)+COUNTIF('04_TKS'!$A$5:$A$72,B171)=1,COUNTIF('03_Rector'!$A$5:$A$57,C171)+COUNTIF('04_TKS'!$A$5:$A$72,C171)=1),0,1)</x:f>
        <x:v>0</x:v>
      </x:c>
    </x:row>
    <x:row r="172" ht="44"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IF(AND(COUNTIF('03_Rector'!$A$5:$A$57,B172)+COUNTIF('04_TKS'!$A$5:$A$72,B172)=1,COUNTIF('03_Rector'!$A$5:$A$57,C172)+COUNTIF('04_TKS'!$A$5:$A$72,C172)=1),0,1)</x:f>
        <x:v>0</x:v>
      </x:c>
    </x:row>
    <x:row r="173" ht="44"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IF(AND(COUNTIF('03_Rector'!$A$5:$A$57,B173)+COUNTIF('04_TKS'!$A$5:$A$72,B173)=1,COUNTIF('03_Rector'!$A$5:$A$57,C173)+COUNTIF('04_TKS'!$A$5:$A$72,C173)=1),0,1)</x:f>
        <x:v>0</x:v>
      </x:c>
    </x:row>
    <x:row r="174" ht="44"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IF(AND(COUNTIF('03_Rector'!$A$5:$A$57,B174)+COUNTIF('04_TKS'!$A$5:$A$72,B174)=1,COUNTIF('03_Rector'!$A$5:$A$57,C174)+COUNTIF('04_TKS'!$A$5:$A$72,C174)=1),0,1)</x:f>
        <x:v>0</x:v>
      </x:c>
    </x:row>
    <x:row r="175" ht="44"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IF(AND(COUNTIF('03_Rector'!$A$5:$A$57,B175)+COUNTIF('04_TKS'!$A$5:$A$72,B175)=1,COUNTIF('03_Rector'!$A$5:$A$57,C175)+COUNTIF('04_TKS'!$A$5:$A$72,C175)=1),0,1)</x:f>
        <x:v>0</x:v>
      </x:c>
    </x:row>
    <x:row r="176" ht="44"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IF(AND(COUNTIF('03_Rector'!$A$5:$A$57,B176)+COUNTIF('04_TKS'!$A$5:$A$72,B176)=1,COUNTIF('03_Rector'!$A$5:$A$57,C176)+COUNTIF('04_TKS'!$A$5:$A$72,C176)=1),0,1)</x:f>
        <x:v>0</x:v>
      </x:c>
    </x:row>
    <x:row r="177" ht="44"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IF(AND(COUNTIF('03_Rector'!$A$5:$A$57,B177)+COUNTIF('04_TKS'!$A$5:$A$72,B177)=1,COUNTIF('03_Rector'!$A$5:$A$57,C177)+COUNTIF('04_TKS'!$A$5:$A$72,C177)=1),0,1)</x:f>
        <x:v>0</x:v>
      </x:c>
    </x:row>
    <x:row r="178" ht="44"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IF(AND(COUNTIF('03_Rector'!$A$5:$A$57,B178)+COUNTIF('04_TKS'!$A$5:$A$72,B178)=1,COUNTIF('03_Rector'!$A$5:$A$57,C178)+COUNTIF('04_TKS'!$A$5:$A$72,C178)=1),0,1)</x:f>
        <x:v>0</x:v>
      </x:c>
    </x:row>
    <x:row r="179" ht="44"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IF(AND(COUNTIF('03_Rector'!$A$5:$A$57,B179)+COUNTIF('04_TKS'!$A$5:$A$72,B179)=1,COUNTIF('03_Rector'!$A$5:$A$57,C179)+COUNTIF('04_TKS'!$A$5:$A$72,C179)=1),0,1)</x:f>
        <x:v>0</x:v>
      </x:c>
    </x:row>
    <x:row r="180" ht="44"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IF(AND(COUNTIF('03_Rector'!$A$5:$A$57,B180)+COUNTIF('04_TKS'!$A$5:$A$72,B180)=1,COUNTIF('03_Rector'!$A$5:$A$57,C180)+COUNTIF('04_TKS'!$A$5:$A$72,C180)=1),0,1)</x:f>
        <x:v>0</x:v>
      </x:c>
    </x:row>
    <x:row r="181" ht="44"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IF(AND(COUNTIF('03_Rector'!$A$5:$A$57,B181)+COUNTIF('04_TKS'!$A$5:$A$72,B181)=1,COUNTIF('03_Rector'!$A$5:$A$57,C181)+COUNTIF('04_TKS'!$A$5:$A$72,C181)=1),0,1)</x:f>
        <x:v>0</x:v>
      </x:c>
    </x:row>
    <x:row r="182" ht="44"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IF(AND(COUNTIF('03_Rector'!$A$5:$A$57,B182)+COUNTIF('04_TKS'!$A$5:$A$72,B182)=1,COUNTIF('03_Rector'!$A$5:$A$57,C182)+COUNTIF('04_TKS'!$A$5:$A$72,C182)=1),0,1)</x:f>
        <x:v>0</x:v>
      </x:c>
    </x:row>
    <x:row r="183" ht="44"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IF(AND(COUNTIF('03_Rector'!$A$5:$A$57,B183)+COUNTIF('04_TKS'!$A$5:$A$72,B183)=1,COUNTIF('03_Rector'!$A$5:$A$57,C183)+COUNTIF('04_TKS'!$A$5:$A$72,C183)=1),0,1)</x:f>
        <x:v>0</x:v>
      </x:c>
    </x:row>
    <x:row r="184" ht="44"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IF(AND(COUNTIF('03_Rector'!$A$5:$A$57,B184)+COUNTIF('04_TKS'!$A$5:$A$72,B184)=1,COUNTIF('03_Rector'!$A$5:$A$57,C184)+COUNTIF('04_TKS'!$A$5:$A$72,C184)=1),0,1)</x:f>
        <x:v>0</x:v>
      </x:c>
    </x:row>
    <x:row r="185" ht="44"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IF(AND(COUNTIF('03_Rector'!$A$5:$A$57,B185)+COUNTIF('04_TKS'!$A$5:$A$72,B185)=1,COUNTIF('03_Rector'!$A$5:$A$57,C185)+COUNTIF('04_TKS'!$A$5:$A$72,C185)=1),0,1)</x:f>
        <x:v>0</x:v>
      </x:c>
    </x:row>
    <x:row r="186" ht="44"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IF(AND(COUNTIF('03_Rector'!$A$5:$A$57,B186)+COUNTIF('04_TKS'!$A$5:$A$72,B186)=1,COUNTIF('03_Rector'!$A$5:$A$57,C186)+COUNTIF('04_TKS'!$A$5:$A$72,C186)=1),0,1)</x:f>
        <x:v>0</x:v>
      </x:c>
    </x:row>
  </x:sheetData>
  <x:mergeCells>
    <x:mergeCell ref="A1:D1"/>
    <x:mergeCell ref="A2:F2"/>
  </x:mergeCells>
  <x:conditionalFormatting sqref="G5:G186">
    <x:cfRule type="expression" dxfId="22" priority="1">
      <x:formula>G5&gt;0</x:formula>
    </x:cfRule>
  </x:conditionalFormatting>
  <x:conditionalFormatting sqref="H5:H186">
    <x:cfRule type="expression" dxfId="23" priority="2">
      <x:formula>H5&gt;0</x:formula>
    </x:cfRule>
  </x:conditionalFormatting>
  <x:pageMargins left="0.7" right="0.7" top="0.75" bottom="0.75" header="0.3" footer="0.3"/>
  <x:tableParts count="1">
    <x:tablePart xmlns:r="http://schemas.openxmlformats.org/officeDocument/2006/relationships" r:id="Rd0f1878f7cac4967"/>
  </x:tableParts>
</x:worksheet>
</file>