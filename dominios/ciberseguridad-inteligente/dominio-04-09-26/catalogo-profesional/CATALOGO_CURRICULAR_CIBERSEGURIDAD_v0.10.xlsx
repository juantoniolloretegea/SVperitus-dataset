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worksheets/sheet55.xml" ContentType="application/vnd.openxmlformats-officedocument.spreadsheetml.worksheet+xml"/>
  <Override PartName="/xl/tables/table55.xml" ContentType="application/vnd.openxmlformats-officedocument.spreadsheetml.table+xml"/>
  <Override PartName="/xl/worksheets/sheet56.xml" ContentType="application/vnd.openxmlformats-officedocument.spreadsheetml.worksheet+xml"/>
  <Override PartName="/xl/tables/table56.xml" ContentType="application/vnd.openxmlformats-officedocument.spreadsheetml.table+xml"/>
  <Override PartName="/xl/worksheets/sheet57.xml" ContentType="application/vnd.openxmlformats-officedocument.spreadsheetml.worksheet+xml"/>
  <Override PartName="/xl/tables/table57.xml" ContentType="application/vnd.openxmlformats-officedocument.spreadsheetml.table+xml"/>
  <Override PartName="/xl/worksheets/sheet58.xml" ContentType="application/vnd.openxmlformats-officedocument.spreadsheetml.worksheet+xml"/>
  <Override PartName="/xl/tables/table58.xml" ContentType="application/vnd.openxmlformats-officedocument.spreadsheetml.table+xml"/>
  <Override PartName="/xl/worksheets/sheet59.xml" ContentType="application/vnd.openxmlformats-officedocument.spreadsheetml.worksheet+xml"/>
  <Override PartName="/xl/tables/table59.xml" ContentType="application/vnd.openxmlformats-officedocument.spreadsheetml.table+xml"/>
  <Override PartName="/xl/worksheets/sheet60.xml" ContentType="application/vnd.openxmlformats-officedocument.spreadsheetml.worksheet+xml"/>
  <Override PartName="/xl/tables/table60.xml" ContentType="application/vnd.openxmlformats-officedocument.spreadsheetml.table+xml"/>
  <Override PartName="/xl/worksheets/sheet61.xml" ContentType="application/vnd.openxmlformats-officedocument.spreadsheetml.worksheet+xml"/>
  <Override PartName="/xl/tables/table61.xml" ContentType="application/vnd.openxmlformats-officedocument.spreadsheetml.table+xml"/>
  <Override PartName="/xl/worksheets/sheet62.xml" ContentType="application/vnd.openxmlformats-officedocument.spreadsheetml.worksheet+xml"/>
  <Override PartName="/xl/tables/table62.xml" ContentType="application/vnd.openxmlformats-officedocument.spreadsheetml.table+xml"/>
  <Override PartName="/xl/worksheets/sheet63.xml" ContentType="application/vnd.openxmlformats-officedocument.spreadsheetml.worksheet+xml"/>
  <Override PartName="/xl/tables/table63.xml" ContentType="application/vnd.openxmlformats-officedocument.spreadsheetml.table+xml"/>
  <Override PartName="/xl/worksheets/sheet64.xml" ContentType="application/vnd.openxmlformats-officedocument.spreadsheetml.worksheet+xml"/>
  <Override PartName="/xl/tables/table64.xml" ContentType="application/vnd.openxmlformats-officedocument.spreadsheetml.table+xml"/>
  <Override PartName="/xl/worksheets/sheet65.xml" ContentType="application/vnd.openxmlformats-officedocument.spreadsheetml.worksheet+xml"/>
  <Override PartName="/xl/tables/table65.xml" ContentType="application/vnd.openxmlformats-officedocument.spreadsheetml.table+xml"/>
  <Override PartName="/xl/worksheets/sheet66.xml" ContentType="application/vnd.openxmlformats-officedocument.spreadsheetml.worksheet+xml"/>
  <Override PartName="/xl/tables/table66.xml" ContentType="application/vnd.openxmlformats-officedocument.spreadsheetml.table+xml"/>
  <Override PartName="/xl/worksheets/sheet67.xml" ContentType="application/vnd.openxmlformats-officedocument.spreadsheetml.worksheet+xml"/>
  <Override PartName="/xl/tables/table67.xml" ContentType="application/vnd.openxmlformats-officedocument.spreadsheetml.table+xml"/>
  <Override PartName="/xl/worksheets/sheet68.xml" ContentType="application/vnd.openxmlformats-officedocument.spreadsheetml.worksheet+xml"/>
  <Override PartName="/xl/tables/table68.xml" ContentType="application/vnd.openxmlformats-officedocument.spreadsheetml.table+xml"/>
  <Override PartName="/xl/worksheets/sheet69.xml" ContentType="application/vnd.openxmlformats-officedocument.spreadsheetml.worksheet+xml"/>
  <Override PartName="/xl/tables/table69.xml" ContentType="application/vnd.openxmlformats-officedocument.spreadsheetml.table+xml"/>
  <Override PartName="/xl/worksheets/sheet70.xml" ContentType="application/vnd.openxmlformats-officedocument.spreadsheetml.worksheet+xml"/>
  <Override PartName="/xl/tables/table70.xml" ContentType="application/vnd.openxmlformats-officedocument.spreadsheetml.table+xml"/>
  <Override PartName="/xl/worksheets/sheet71.xml" ContentType="application/vnd.openxmlformats-officedocument.spreadsheetml.worksheet+xml"/>
  <Override PartName="/xl/tables/table71.xml" ContentType="application/vnd.openxmlformats-officedocument.spreadsheetml.table+xml"/>
  <Override PartName="/xl/worksheets/sheet72.xml" ContentType="application/vnd.openxmlformats-officedocument.spreadsheetml.worksheet+xml"/>
  <Override PartName="/xl/tables/table72.xml" ContentType="application/vnd.openxmlformats-officedocument.spreadsheetml.table+xml"/>
  <Override PartName="/xl/worksheets/sheet73.xml" ContentType="application/vnd.openxmlformats-officedocument.spreadsheetml.worksheet+xml"/>
  <Override PartName="/xl/tables/table73.xml" ContentType="application/vnd.openxmlformats-officedocument.spreadsheetml.table+xml"/>
  <Override PartName="/xl/worksheets/sheet74.xml" ContentType="application/vnd.openxmlformats-officedocument.spreadsheetml.worksheet+xml"/>
  <Override PartName="/xl/tables/table74.xml" ContentType="application/vnd.openxmlformats-officedocument.spreadsheetml.table+xml"/>
  <Override PartName="/xl/worksheets/sheet75.xml" ContentType="application/vnd.openxmlformats-officedocument.spreadsheetml.worksheet+xml"/>
  <Override PartName="/xl/tables/table75.xml" ContentType="application/vnd.openxmlformats-officedocument.spreadsheetml.table+xml"/>
  <Override PartName="/xl/worksheets/sheet76.xml" ContentType="application/vnd.openxmlformats-officedocument.spreadsheetml.worksheet+xml"/>
  <Override PartName="/xl/tables/table76.xml" ContentType="application/vnd.openxmlformats-officedocument.spreadsheetml.table+xml"/>
  <Override PartName="/xl/worksheets/sheet77.xml" ContentType="application/vnd.openxmlformats-officedocument.spreadsheetml.worksheet+xml"/>
  <Override PartName="/xl/tables/table77.xml" ContentType="application/vnd.openxmlformats-officedocument.spreadsheetml.table+xml"/>
  <Override PartName="/xl/worksheets/sheet78.xml" ContentType="application/vnd.openxmlformats-officedocument.spreadsheetml.worksheet+xml"/>
  <Override PartName="/xl/tables/table78.xml" ContentType="application/vnd.openxmlformats-officedocument.spreadsheetml.table+xml"/>
  <Override PartName="/xl/worksheets/sheet79.xml" ContentType="application/vnd.openxmlformats-officedocument.spreadsheetml.worksheet+xml"/>
  <Override PartName="/xl/tables/table79.xml" ContentType="application/vnd.openxmlformats-officedocument.spreadsheetml.table+xml"/>
  <Override PartName="/xl/worksheets/sheet80.xml" ContentType="application/vnd.openxmlformats-officedocument.spreadsheetml.worksheet+xml"/>
  <Override PartName="/xl/tables/table80.xml" ContentType="application/vnd.openxmlformats-officedocument.spreadsheetml.table+xml"/>
  <Override PartName="/xl/worksheets/sheet81.xml" ContentType="application/vnd.openxmlformats-officedocument.spreadsheetml.worksheet+xml"/>
  <Override PartName="/xl/tables/table81.xml" ContentType="application/vnd.openxmlformats-officedocument.spreadsheetml.table+xml"/>
  <Override PartName="/xl/worksheets/sheet82.xml" ContentType="application/vnd.openxmlformats-officedocument.spreadsheetml.worksheet+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worksheets/sheet83.xml" ContentType="application/vnd.openxmlformats-officedocument.spreadsheetml.worksheet+xml"/>
  <Override PartName="/xl/tables/table86.xml" ContentType="application/vnd.openxmlformats-officedocument.spreadsheetml.table+xml"/>
  <Override PartName="/xl/worksheets/sheet84.xml" ContentType="application/vnd.openxmlformats-officedocument.spreadsheetml.worksheet+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worksheets/sheet85.xml" ContentType="application/vnd.openxmlformats-officedocument.spreadsheetml.worksheet+xml"/>
  <Override PartName="/xl/tables/table9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989a6369dc8473e" /></Relationships>
</file>

<file path=xl/workbook.xml><?xml version="1.0" encoding="utf-8"?>
<x:workbook xmlns:x="http://schemas.openxmlformats.org/spreadsheetml/2006/main">
  <x:sheets>
    <x:sheet xmlns:r="http://schemas.openxmlformats.org/officeDocument/2006/relationships" name="00_Estatuto" sheetId="1" r:id="Rebb1b593c17c4253"/>
    <x:sheet xmlns:r="http://schemas.openxmlformats.org/officeDocument/2006/relationships" name="01_Fuentes" sheetId="2" r:id="R99a57db072a246a5"/>
    <x:sheet xmlns:r="http://schemas.openxmlformats.org/officeDocument/2006/relationships" name="02_Custodia" sheetId="3" r:id="R0229ef72b6ee427a"/>
    <x:sheet xmlns:r="http://schemas.openxmlformats.org/officeDocument/2006/relationships" name="03_NICE" sheetId="4" r:id="R193157a8c6db43f8"/>
    <x:sheet xmlns:r="http://schemas.openxmlformats.org/officeDocument/2006/relationships" name="04_TKS" sheetId="5" r:id="Rf5c55e83befa4d9c"/>
    <x:sheet xmlns:r="http://schemas.openxmlformats.org/officeDocument/2006/relationships" name="05_Complementos" sheetId="6" r:id="Rd5fcd35627264000"/>
    <x:sheet xmlns:r="http://schemas.openxmlformats.org/officeDocument/2006/relationships" name="06_Cobertura" sheetId="7" r:id="R746d13481f954392"/>
    <x:sheet xmlns:r="http://schemas.openxmlformats.org/officeDocument/2006/relationships" name="07_Operaciones" sheetId="8" r:id="Rd493f94ca61a432b"/>
    <x:sheet xmlns:r="http://schemas.openxmlformats.org/officeDocument/2006/relationships" name="08_Trazas" sheetId="9" r:id="R7a353e780f8b4cab"/>
    <x:sheet xmlns:r="http://schemas.openxmlformats.org/officeDocument/2006/relationships" name="09_Decisiones" sheetId="10" r:id="R884c3a3bd5c84a16"/>
    <x:sheet xmlns:r="http://schemas.openxmlformats.org/officeDocument/2006/relationships" name="10_Adversarial" sheetId="11" r:id="R1e440c6a62c74a13"/>
    <x:sheet xmlns:r="http://schemas.openxmlformats.org/officeDocument/2006/relationships" name="11_Controles" sheetId="12" r:id="Reab1845286024f21"/>
    <x:sheet xmlns:r="http://schemas.openxmlformats.org/officeDocument/2006/relationships" name="12_Glosario" sheetId="13" r:id="R6423f686276a47b7"/>
    <x:sheet xmlns:r="http://schemas.openxmlformats.org/officeDocument/2006/relationships" name="13_Relaciones_NICE" sheetId="14" r:id="R318a96028dbc4304"/>
    <x:sheet xmlns:r="http://schemas.openxmlformats.org/officeDocument/2006/relationships" name="14_Comparacion" sheetId="15" r:id="R976f4bcaa5ec4104"/>
    <x:sheet xmlns:r="http://schemas.openxmlformats.org/officeDocument/2006/relationships" name="15_Base_universitaria" sheetId="16" r:id="Re2c61df002464271"/>
    <x:sheet xmlns:r="http://schemas.openxmlformats.org/officeDocument/2006/relationships" name="16_Progresion" sheetId="17" r:id="Re9305b0ba0634bc1"/>
    <x:sheet xmlns:r="http://schemas.openxmlformats.org/officeDocument/2006/relationships" name="17_Comp_educativos" sheetId="18" r:id="Rdc181c81848b4b7d"/>
    <x:sheet xmlns:r="http://schemas.openxmlformats.org/officeDocument/2006/relationships" name="18_Necesidades_IA" sheetId="19" r:id="R9554130660694ada"/>
    <x:sheet xmlns:r="http://schemas.openxmlformats.org/officeDocument/2006/relationships" name="19_Consecuencias" sheetId="20" r:id="R15814cf7a7944f85"/>
    <x:sheet xmlns:r="http://schemas.openxmlformats.org/officeDocument/2006/relationships" name="20_Familias" sheetId="21" r:id="Ra13d2e9177aa429b"/>
    <x:sheet xmlns:r="http://schemas.openxmlformats.org/officeDocument/2006/relationships" name="21_Fuentes_educativas" sheetId="22" r:id="Rf5dd448371834b4e"/>
    <x:sheet xmlns:r="http://schemas.openxmlformats.org/officeDocument/2006/relationships" name="22_Revision_curricular" sheetId="23" r:id="Re66538d9b3714e22"/>
    <x:sheet xmlns:r="http://schemas.openxmlformats.org/officeDocument/2006/relationships" name="23_Control_curricular" sheetId="24" r:id="R0986c4cf515b4df8"/>
    <x:sheet xmlns:r="http://schemas.openxmlformats.org/officeDocument/2006/relationships" name="24_Gobierno" sheetId="25" r:id="R66668b89fd264793"/>
    <x:sheet xmlns:r="http://schemas.openxmlformats.org/officeDocument/2006/relationships" name="25_Delimitacion" sheetId="26" r:id="Rfb461f82f7b04c00"/>
    <x:sheet xmlns:r="http://schemas.openxmlformats.org/officeDocument/2006/relationships" name="26_Mapa_universos" sheetId="27" r:id="R9674c84db0254885"/>
    <x:sheet xmlns:r="http://schemas.openxmlformats.org/officeDocument/2006/relationships" name="27_Cobertura_aprendizaje" sheetId="28" r:id="Rd8873f0e08b945db"/>
    <x:sheet xmlns:r="http://schemas.openxmlformats.org/officeDocument/2006/relationships" name="28_Relaciones_candidatas" sheetId="29" r:id="R26bde50e6a9b4de1"/>
    <x:sheet xmlns:r="http://schemas.openxmlformats.org/officeDocument/2006/relationships" name="29_Camino_constitutivo" sheetId="30" r:id="R447bc4591bf84c2f"/>
    <x:sheet xmlns:r="http://schemas.openxmlformats.org/officeDocument/2006/relationships" name="30_Revision_acotacion" sheetId="31" r:id="Refc353818acf47ef"/>
    <x:sheet xmlns:r="http://schemas.openxmlformats.org/officeDocument/2006/relationships" name="31_Control_acotacion" sheetId="32" r:id="R82f7e480fafb44a1"/>
    <x:sheet xmlns:r="http://schemas.openxmlformats.org/officeDocument/2006/relationships" name="32_Fuentes_metodo" sheetId="33" r:id="R57d5fff8e97f4660"/>
    <x:sheet xmlns:r="http://schemas.openxmlformats.org/officeDocument/2006/relationships" name="33_Correspondencia_mapa" sheetId="34" r:id="R779731e961254033"/>
    <x:sheet xmlns:r="http://schemas.openxmlformats.org/officeDocument/2006/relationships" name="34_Consecuencias_enlace" sheetId="35" r:id="Rd3b1a9fc4a694730"/>
    <x:sheet xmlns:r="http://schemas.openxmlformats.org/officeDocument/2006/relationships" name="35_Consejo_y_frame" sheetId="36" r:id="Rc486115398e1487d"/>
    <x:sheet xmlns:r="http://schemas.openxmlformats.org/officeDocument/2006/relationships" name="36_Seleccion_y_lagunas" sheetId="37" r:id="R0d320b59f64344bb"/>
    <x:sheet xmlns:r="http://schemas.openxmlformats.org/officeDocument/2006/relationships" name="37_Operacion_CYB_001" sheetId="38" r:id="R7549cc37a7cf4e38"/>
    <x:sheet xmlns:r="http://schemas.openxmlformats.org/officeDocument/2006/relationships" name="38_Q0_y_terminacion" sheetId="39" r:id="R8ac9bd1b670249ac"/>
    <x:sheet xmlns:r="http://schemas.openxmlformats.org/officeDocument/2006/relationships" name="39_Primer_parametro" sheetId="40" r:id="R89c4e39a006443d3"/>
    <x:sheet xmlns:r="http://schemas.openxmlformats.org/officeDocument/2006/relationships" name="40_Consecuencias_G4" sheetId="41" r:id="R3c2deaf5414d43ae"/>
    <x:sheet xmlns:r="http://schemas.openxmlformats.org/officeDocument/2006/relationships" name="41_Testigos_G5" sheetId="42" r:id="Rd14b85beb5504f60"/>
    <x:sheet xmlns:r="http://schemas.openxmlformats.org/officeDocument/2006/relationships" name="42_Adversarial_G5" sheetId="43" r:id="R0200b68da8154f85"/>
    <x:sheet xmlns:r="http://schemas.openxmlformats.org/officeDocument/2006/relationships" name="43_Fuentes_atomicas" sheetId="44" r:id="R27c4b8996c2a488f"/>
    <x:sheet xmlns:r="http://schemas.openxmlformats.org/officeDocument/2006/relationships" name="44_Control_G5" sheetId="45" r:id="Rffa52e37913c4667"/>
    <x:sheet xmlns:r="http://schemas.openxmlformats.org/officeDocument/2006/relationships" name="45_Apertura_y_adopcion" sheetId="46" r:id="R8b48d5d4e55a4e8c"/>
    <x:sheet xmlns:r="http://schemas.openxmlformats.org/officeDocument/2006/relationships" name="46_Registro_diez" sheetId="47" r:id="R1e5607efe23749ca"/>
    <x:sheet xmlns:r="http://schemas.openxmlformats.org/officeDocument/2006/relationships" name="47_Contratos_atomicos" sheetId="48" r:id="R1dc49a7992a74b36"/>
    <x:sheet xmlns:r="http://schemas.openxmlformats.org/officeDocument/2006/relationships" name="48_Consecuencias_lote" sheetId="49" r:id="R2aaa21c72cc742e7"/>
    <x:sheet xmlns:r="http://schemas.openxmlformats.org/officeDocument/2006/relationships" name="49_Atomicidad_y_ablacion" sheetId="50" r:id="Rfb1169e6c10740c3"/>
    <x:sheet xmlns:r="http://schemas.openxmlformats.org/officeDocument/2006/relationships" name="50_Testigos_lote" sheetId="51" r:id="R54f7603928ff4621"/>
    <x:sheet xmlns:r="http://schemas.openxmlformats.org/officeDocument/2006/relationships" name="51_Adversarial_lote" sheetId="52" r:id="Rfce7f17500ed439b"/>
    <x:sheet xmlns:r="http://schemas.openxmlformats.org/officeDocument/2006/relationships" name="52_Cobertura_Q0_actual" sheetId="53" r:id="R29ce01a40d5b4eba"/>
    <x:sheet xmlns:r="http://schemas.openxmlformats.org/officeDocument/2006/relationships" name="53_Fuentes_lote" sheetId="54" r:id="Redf212889a494fc8"/>
    <x:sheet xmlns:r="http://schemas.openxmlformats.org/officeDocument/2006/relationships" name="54_Control_lote" sheetId="55" r:id="R41e0cadb7b0d431c"/>
    <x:sheet xmlns:r="http://schemas.openxmlformats.org/officeDocument/2006/relationships" name="55_Codificacion_ensayo" sheetId="56" r:id="R7bed462c11a04e5b"/>
    <x:sheet xmlns:r="http://schemas.openxmlformats.org/officeDocument/2006/relationships" name="56_Cierre_documental" sheetId="57" r:id="R7a28fd9038ea4668"/>
    <x:sheet xmlns:r="http://schemas.openxmlformats.org/officeDocument/2006/relationships" name="57_Registro_actual" sheetId="58" r:id="R1dc852018523436c"/>
    <x:sheet xmlns:r="http://schemas.openxmlformats.org/officeDocument/2006/relationships" name="58_Contratos_nuevos" sheetId="59" r:id="Rcc6099c22ebf40e6"/>
    <x:sheet xmlns:r="http://schemas.openxmlformats.org/officeDocument/2006/relationships" name="59_Q0_terminal" sheetId="60" r:id="R2fb3c265737748e1"/>
    <x:sheet xmlns:r="http://schemas.openxmlformats.org/officeDocument/2006/relationships" name="60_Contratos_control" sheetId="61" r:id="R4c269062c9534e12"/>
    <x:sheet xmlns:r="http://schemas.openxmlformats.org/officeDocument/2006/relationships" name="61_Relaciones_consejo" sheetId="62" r:id="R84d6f89ccdf34cec"/>
    <x:sheet xmlns:r="http://schemas.openxmlformats.org/officeDocument/2006/relationships" name="62_Testigos_nuevos" sheetId="63" r:id="Rd93bda935fea4e74"/>
    <x:sheet xmlns:r="http://schemas.openxmlformats.org/officeDocument/2006/relationships" name="63_Contraste_controles" sheetId="64" r:id="R959d76d40c92434c"/>
    <x:sheet xmlns:r="http://schemas.openxmlformats.org/officeDocument/2006/relationships" name="64_Adversarial_y_deuda" sheetId="65" r:id="R745d83666d98442c"/>
    <x:sheet xmlns:r="http://schemas.openxmlformats.org/officeDocument/2006/relationships" name="65_Fuentes_y_verificacion" sheetId="66" r:id="R8889bdf961ab4eb7"/>
    <x:sheet xmlns:r="http://schemas.openxmlformats.org/officeDocument/2006/relationships" name="66_Resultado_actual" sheetId="67" r:id="Rde4e405c93a242e3"/>
    <x:sheet xmlns:r="http://schemas.openxmlformats.org/officeDocument/2006/relationships" name="67_Parametros" sheetId="68" r:id="R0ed922fa7b614910"/>
    <x:sheet xmlns:r="http://schemas.openxmlformats.org/officeDocument/2006/relationships" name="68_Consecuencias" sheetId="69" r:id="R64681ccc7ff34666"/>
    <x:sheet xmlns:r="http://schemas.openxmlformats.org/officeDocument/2006/relationships" name="69_Cobertura" sheetId="70" r:id="R6de9032cb4654322"/>
    <x:sheet xmlns:r="http://schemas.openxmlformats.org/officeDocument/2006/relationships" name="70_Estimacion" sheetId="71" r:id="Rf4e9a447958d42c5"/>
    <x:sheet xmlns:r="http://schemas.openxmlformats.org/officeDocument/2006/relationships" name="71_Bibliografia" sheetId="72" r:id="Rf0dde4a3032a4020"/>
    <x:sheet xmlns:r="http://schemas.openxmlformats.org/officeDocument/2006/relationships" name="72_Ensayos" sheetId="73" r:id="R0d3e471856574024"/>
    <x:sheet xmlns:r="http://schemas.openxmlformats.org/officeDocument/2006/relationships" name="73_Revision" sheetId="74" r:id="R2c4f65affe654638"/>
    <x:sheet xmlns:r="http://schemas.openxmlformats.org/officeDocument/2006/relationships" name="74_Ampliacion_atomica" sheetId="75" r:id="R60f2892e2ee9482f"/>
    <x:sheet xmlns:r="http://schemas.openxmlformats.org/officeDocument/2006/relationships" name="75_Presiones_y_controles" sheetId="76" r:id="Rd13c82a1f2414f7b"/>
    <x:sheet xmlns:r="http://schemas.openxmlformats.org/officeDocument/2006/relationships" name="76_Productos_y_particion" sheetId="77" r:id="R0a184fb4e90b4038"/>
    <x:sheet xmlns:r="http://schemas.openxmlformats.org/officeDocument/2006/relationships" name="77_Estimacion_revisada" sheetId="78" r:id="R5d0444624e8741c1"/>
    <x:sheet xmlns:r="http://schemas.openxmlformats.org/officeDocument/2006/relationships" name="78_Contraste_Lenguaje" sheetId="79" r:id="R0ee89046c4204331"/>
    <x:sheet xmlns:r="http://schemas.openxmlformats.org/officeDocument/2006/relationships" name="79_Ensayos_presion" sheetId="80" r:id="R4b476af8262646df"/>
    <x:sheet xmlns:r="http://schemas.openxmlformats.org/officeDocument/2006/relationships" name="80_Fuentes_de_presion" sheetId="81" r:id="Raf4fa58c00e143ab"/>
    <x:sheet xmlns:r="http://schemas.openxmlformats.org/officeDocument/2006/relationships" name="81_Partida_y_continuidad" sheetId="82" r:id="R0bca49e97fb34f9d"/>
    <x:sheet xmlns:r="http://schemas.openxmlformats.org/officeDocument/2006/relationships" name="82_Justificacion_parametrica" sheetId="83" r:id="R0b435175cdb64512"/>
    <x:sheet xmlns:r="http://schemas.openxmlformats.org/officeDocument/2006/relationships" name="83_Contraste_continuidad" sheetId="84" r:id="R1896e9319a2a472a"/>
    <x:sheet xmlns:r="http://schemas.openxmlformats.org/officeDocument/2006/relationships" name="84_Bibliografia_utilizada" sheetId="85" r:id="R3c8efbaaac6f44e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General"/>
    <x:numFmt numFmtId="202" formatCode="0"/>
    <x:numFmt numFmtId="203" formatCode="0%"/>
  </x:numFmts>
  <x:fonts count="11">
    <x:font>
      <x:sz val="11"/>
      <x:name val="Carlito"/>
    </x:font>
    <x:font>
      <x:sz val="11"/>
      <x:color rgb="FF223549"/>
      <x:name val="Carlito"/>
    </x:font>
    <x:font>
      <x:b/>
      <x:sz val="16"/>
      <x:color rgb="FFFFFFFF"/>
      <x:name val="Carlito"/>
    </x:font>
    <x:font>
      <x:i/>
      <x:sz val="10"/>
      <x:color rgb="FF223549"/>
      <x:name val="Carlito"/>
    </x:font>
    <x:font>
      <x:b/>
      <x:sz val="11"/>
      <x:color rgb="FFFFFFFF"/>
      <x:name val="Carlito"/>
    </x:font>
    <x:font>
      <x:sz val="11"/>
      <x:color rgb="FF176B53"/>
      <x:name val="Carlito"/>
    </x:font>
    <x:font>
      <x:sz val="11"/>
      <x:color rgb="FF172B3A"/>
      <x:name val="Carlito"/>
    </x:font>
    <x:font>
      <x:b/>
      <x:sz val="15"/>
      <x:color rgb="FFFFFFFF"/>
      <x:name val="Carlito"/>
    </x:font>
    <x:font>
      <x:sz val="11"/>
      <x:color rgb="FF183044"/>
      <x:name val="Carlito"/>
    </x:font>
    <x:font>
      <x:b/>
      <x:sz val="16"/>
      <x:color rgb="FF193650"/>
      <x:name val="Carlito"/>
    </x:font>
    <x:font>
      <x:sz val="11"/>
      <x:color rgb="FF41546A"/>
      <x:name val="Carlito"/>
    </x:font>
  </x:fonts>
  <x:fills count="15">
    <x:fill>
      <x:patternFill patternType="none"/>
    </x:fill>
    <x:fill>
      <x:patternFill patternType="gray125"/>
    </x:fill>
    <x:fill>
      <x:patternFill patternType="solid">
        <x:fgColor rgb="FF193650"/>
      </x:patternFill>
    </x:fill>
    <x:fill>
      <x:patternFill patternType="solid">
        <x:fgColor rgb="FFD9E7F3"/>
      </x:patternFill>
    </x:fill>
    <x:fill>
      <x:patternFill patternType="solid">
        <x:fgColor rgb="FF0F6B6D"/>
      </x:patternFill>
    </x:fill>
    <x:fill>
      <x:patternFill patternType="solid">
        <x:fgColor rgb="FF193650"/>
      </x:patternFill>
    </x:fill>
    <x:fill>
      <x:patternFill patternType="solid">
        <x:fgColor rgb="FFDAE8F2"/>
      </x:patternFill>
    </x:fill>
    <x:fill>
      <x:patternFill patternType="solid">
        <x:fgColor rgb="FF0F6B6D"/>
      </x:patternFill>
    </x:fill>
    <x:fill>
      <x:patternFill patternType="solid">
        <x:fgColor rgb="FF254F69"/>
      </x:patternFill>
    </x:fill>
    <x:fill>
      <x:patternFill patternType="solid">
        <x:fgColor rgb="FFFFF2D5"/>
      </x:patternFill>
    </x:fill>
    <x:fill>
      <x:patternFill patternType="solid">
        <x:fgColor rgb="FFDCE8F0"/>
      </x:patternFill>
    </x:fill>
    <x:fill>
      <x:patternFill patternType="solid">
        <x:fgColor rgb="FF254F69"/>
      </x:patternFill>
    </x:fill>
    <x:fill>
      <x:patternFill patternType="solid">
        <x:fgColor rgb="FFFFF2D5"/>
      </x:patternFill>
    </x:fill>
    <x:fill>
      <x:patternFill patternType="solid">
        <x:fgColor rgb="FFDCE8F0"/>
      </x:patternFill>
    </x:fill>
    <x:fill>
      <x:patternFill patternType="solid">
        <x:fgColor rgb="FF254F69"/>
      </x:patternFill>
    </x:fill>
  </x:fills>
  <x:borders count="1">
    <x:border/>
  </x:borders>
  <x:cellStyleXfs count="1">
    <x:xf numFmtId="0" fontId="0" fillId="0" borderId="0"/>
  </x:cellStyleXfs>
  <x:cellXfs count="6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2" fillId="2"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3" fillId="3"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0" fontId="4" fillId="4"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5"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1" fontId="5" fillId="0" borderId="0" xfId="0" applyNumberFormat="1" applyFont="1" applyFill="1" applyBorder="1" applyAlignment="1">
      <x:alignment horizontal="center" vertical="top" wrapText="1"/>
    </x:xf>
    <x:xf numFmtId="202" fontId="1" fillId="0" borderId="0" xfId="0" applyNumberFormat="1" applyFont="1" applyFill="1" applyBorder="1" applyAlignment="1">
      <x:alignment horizontal="center" vertical="top" wrapText="1"/>
    </x:xf>
    <x:xf numFmtId="200" fontId="1" fillId="0" borderId="0" xfId="0" applyNumberFormat="1" applyFont="1" applyFill="1" applyBorder="1" applyAlignment="1">
      <x:alignment horizontal="center" vertical="top" wrapText="1"/>
    </x:xf>
    <x:xf numFmtId="202" fontId="5" fillId="0" borderId="0" xfId="0" applyNumberFormat="1" applyFont="1" applyFill="1" applyBorder="1" applyAlignment="1">
      <x:alignment vertical="top"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200" fontId="6" fillId="5" borderId="0" xfId="0" applyNumberFormat="1" applyFont="1" applyFill="1" applyBorder="1" applyAlignment="1">
      <x:alignment vertical="top" wrapText="1"/>
    </x:xf>
    <x:xf numFmtId="200" fontId="7" fillId="5" borderId="0" xfId="0" applyNumberFormat="1" applyFont="1" applyFill="1" applyBorder="1" applyAlignment="1">
      <x:alignment vertical="top" wrapText="1"/>
    </x:xf>
    <x:xf numFmtId="200" fontId="6" fillId="6" borderId="0" xfId="0" applyNumberFormat="1" applyFont="1" applyFill="1" applyBorder="1" applyAlignment="1">
      <x:alignment vertical="top" wrapText="1"/>
    </x:xf>
    <x:xf numFmtId="200" fontId="6" fillId="7" borderId="0" xfId="0" applyNumberFormat="1" applyFont="1" applyFill="1" applyBorder="1" applyAlignment="1">
      <x:alignment vertical="top" wrapText="1"/>
    </x:xf>
    <x:xf numFmtId="200" fontId="4" fillId="7" borderId="0"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6" borderId="0" xfId="0" applyNumberFormat="1" applyFont="1" applyFill="1" applyBorder="1" applyAlignment="1">
      <x:alignment wrapText="1"/>
    </x:xf>
    <x:xf numFmtId="0" fontId="5" fillId="0" borderId="0" xfId="0" applyNumberFormat="1" applyFont="1" applyFill="1" applyBorder="1" applyAlignment="1">
      <x:alignment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200" fontId="8" fillId="0" borderId="0" xfId="0" applyNumberFormat="1" applyFont="1" applyFill="1" applyBorder="1" applyAlignment="1">
      <x:alignment vertical="top" wrapText="1"/>
    </x:xf>
    <x:xf numFmtId="200" fontId="9" fillId="0" borderId="0" xfId="0" applyNumberFormat="1" applyFont="1" applyFill="1" applyBorder="1" applyAlignment="1">
      <x:alignment vertical="top" wrapText="1"/>
    </x:xf>
    <x:xf numFmtId="200" fontId="10" fillId="0" borderId="0" xfId="0" applyNumberFormat="1" applyFont="1" applyFill="1" applyBorder="1" applyAlignment="1">
      <x:alignment vertical="top" wrapText="1"/>
    </x:xf>
    <x:xf numFmtId="200" fontId="8" fillId="8" borderId="0" xfId="0" applyNumberFormat="1" applyFont="1" applyFill="1" applyBorder="1" applyAlignment="1">
      <x:alignment vertical="top" wrapText="1"/>
    </x:xf>
    <x:xf numFmtId="200" fontId="4" fillId="8" borderId="0" xfId="0" applyNumberFormat="1" applyFont="1" applyFill="1" applyBorder="1" applyAlignment="1">
      <x:alignment vertical="top" wrapText="1"/>
    </x:xf>
    <x:xf numFmtId="202" fontId="8" fillId="0" borderId="0" xfId="0" applyNumberFormat="1" applyFont="1" applyFill="1" applyBorder="1" applyAlignment="1">
      <x:alignment vertical="top" wrapText="1"/>
    </x:xf>
    <x:xf numFmtId="202" fontId="8" fillId="9" borderId="0" xfId="0" applyNumberFormat="1" applyFont="1" applyFill="1" applyBorder="1" applyAlignment="1">
      <x:alignment vertical="top" wrapText="1"/>
    </x:xf>
    <x:xf numFmtId="203" fontId="0" fillId="0" borderId="0" xfId="0" applyNumberFormat="1" applyFont="1" applyFill="1" applyBorder="1"/>
    <x:xf numFmtId="203" fontId="0" fillId="9" borderId="0" xfId="0" applyNumberFormat="1" applyFont="1" applyFill="1" applyBorder="1"/>
    <x:xf numFmtId="203" fontId="8" fillId="9" borderId="0" xfId="0" applyNumberFormat="1" applyFont="1" applyFill="1" applyBorder="1"/>
    <x:xf numFmtId="203" fontId="8" fillId="0" borderId="0" xfId="0" applyNumberFormat="1" applyFont="1" applyFill="1" applyBorder="1"/>
    <x:xf numFmtId="203" fontId="8" fillId="9" borderId="0" xfId="0" applyNumberFormat="1" applyFont="1" applyFill="1" applyBorder="1" applyAlignment="1">
      <x:alignment wrapText="1"/>
    </x:xf>
    <x:xf numFmtId="203" fontId="8" fillId="0" borderId="0" xfId="0" applyNumberFormat="1" applyFont="1" applyFill="1" applyBorder="1" applyAlignment="1">
      <x:alignment wrapText="1"/>
    </x:xf>
    <x:xf numFmtId="0" fontId="8" fillId="10" borderId="0" xfId="0" applyNumberFormat="1" applyFont="1" applyFill="1" applyBorder="1" applyAlignment="1">
      <x:alignment wrapText="1"/>
    </x:xf>
    <x:xf numFmtId="202" fontId="8" fillId="0" borderId="0" xfId="0" applyNumberFormat="1" applyFont="1" applyFill="1" applyBorder="1" applyAlignment="1">
      <x:alignment wrapText="1"/>
    </x:xf>
    <x:xf numFmtId="200" fontId="8" fillId="11" borderId="0" xfId="0" applyNumberFormat="1" applyFont="1" applyFill="1" applyBorder="1" applyAlignment="1">
      <x:alignment vertical="top" wrapText="1"/>
    </x:xf>
    <x:xf numFmtId="200" fontId="4" fillId="11" borderId="0" xfId="0" applyNumberFormat="1" applyFont="1" applyFill="1" applyBorder="1" applyAlignment="1">
      <x:alignment vertical="top" wrapText="1"/>
    </x:xf>
    <x:xf numFmtId="202" fontId="8" fillId="12" borderId="0" xfId="0" applyNumberFormat="1" applyFont="1" applyFill="1" applyBorder="1" applyAlignment="1">
      <x:alignment vertical="top" wrapText="1"/>
    </x:xf>
    <x:xf numFmtId="203" fontId="0" fillId="12" borderId="0" xfId="0" applyNumberFormat="1" applyFont="1" applyFill="1" applyBorder="1"/>
    <x:xf numFmtId="203" fontId="8" fillId="12" borderId="0" xfId="0" applyNumberFormat="1" applyFont="1" applyFill="1" applyBorder="1"/>
    <x:xf numFmtId="203" fontId="8" fillId="12" borderId="0" xfId="0" applyNumberFormat="1" applyFont="1" applyFill="1" applyBorder="1" applyAlignment="1">
      <x:alignment wrapText="1"/>
    </x:xf>
    <x:xf numFmtId="203" fontId="8" fillId="12" borderId="0"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203" fontId="8" fillId="0" borderId="0" xfId="0" applyNumberFormat="1" applyFont="1" applyFill="1" applyBorder="1" applyAlignment="1">
      <x:alignment vertical="top" wrapText="1"/>
    </x:xf>
    <x:xf numFmtId="200" fontId="8" fillId="14" borderId="0" xfId="0" applyNumberFormat="1" applyFont="1" applyFill="1" applyBorder="1" applyAlignment="1">
      <x:alignment vertical="top" wrapText="1"/>
    </x:xf>
    <x:xf numFmtId="200" fontId="4" fillId="14" borderId="0" xfId="0" applyNumberFormat="1" applyFont="1" applyFill="1" applyBorder="1" applyAlignment="1">
      <x:alignment vertical="top" wrapText="1"/>
    </x:xf>
    <x:xf numFmtId="0" fontId="9" fillId="0" borderId="0" xfId="0" applyNumberFormat="1" applyFont="1" applyFill="1" applyBorder="1"/>
    <x:xf numFmtId="0" fontId="10" fillId="0" borderId="0" xfId="0" applyNumberFormat="1" applyFont="1" applyFill="1" applyBorder="1"/>
    <x:xf numFmtId="0" fontId="10" fillId="0" borderId="0" xfId="0" applyNumberFormat="1" applyFont="1" applyFill="1" applyBorder="1" applyAlignment="1">
      <x:alignment wrapText="1"/>
    </x:xf>
    <x:xf numFmtId="202" fontId="0" fillId="0" borderId="0" xfId="0" applyNumberFormat="1" applyFont="1" applyFill="1" applyBorder="1"/>
    <x:xf numFmtId="202" fontId="8" fillId="0" borderId="0" xfId="0" applyNumberFormat="1" applyFont="1" applyFill="1" applyBorder="1"/>
  </x:cellXfs>
  <x:cellStyles count="1">
    <x:cellStyle name="Normal" xfId="0"/>
  </x:cellStyles>
  <x:dxfs count="31">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color rgb="FF8A5A12"/>
      </x:font>
      <x:fill>
        <x:patternFill>
          <x:bgColor rgb="FFFFF0D4"/>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82323"/>
      </x:font>
      <x:fill>
        <x:patternFill>
          <x:bgColor rgb="FFFCE6E6"/>
        </x:patternFill>
      </x:fill>
    </x:dxf>
    <x:dxf>
      <x:font>
        <x:b/>
        <x:color rgb="FFA52518"/>
      </x:font>
      <x:fill>
        <x:patternFill>
          <x:bgColor rgb="FFFFE2D9"/>
        </x:patternFill>
      </x:fill>
    </x:dxf>
    <x:dxf>
      <x:font>
        <x:b/>
        <x:color rgb="FFA52518"/>
      </x:font>
      <x:fill>
        <x:patternFill>
          <x:bgColor rgb="FFFFE2D9"/>
        </x:patternFill>
      </x:fill>
    </x:dxf>
    <x:dxf>
      <x:font>
        <x:b/>
        <x:color rgb="FF9B2422"/>
      </x:font>
      <x:fill>
        <x:patternFill>
          <x:bgColor rgb="FFFCE0D9"/>
        </x:patternFill>
      </x:fill>
    </x:dxf>
    <x:dxf>
      <x:font>
        <x:b/>
        <x:color rgb="FF9B2422"/>
      </x:font>
      <x:fill>
        <x:patternFill>
          <x:bgColor rgb="FFFCE0D9"/>
        </x:patternFill>
      </x:fill>
    </x:dxf>
    <x:dxf>
      <x:font>
        <x:b/>
        <x:color rgb="FF9B2422"/>
      </x:font>
      <x:fill>
        <x:patternFill patternType="solid">
          <x:bgColor rgb="FFFCE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1c849e182f34325" /><Relationship Type="http://schemas.openxmlformats.org/officeDocument/2006/relationships/theme" Target="/xl/theme/theme1.xml" Id="R5d7bb5c272fd4c80" /><Relationship Type="http://schemas.openxmlformats.org/officeDocument/2006/relationships/sharedStrings" Target="/xl/sharedStrings.xml" Id="Re3bbfbdb38814eaf" /><Relationship Type="http://schemas.openxmlformats.org/officeDocument/2006/relationships/worksheet" Target="/xl/worksheets/sheet1.xml" Id="Rebb1b593c17c4253" /><Relationship Type="http://schemas.openxmlformats.org/officeDocument/2006/relationships/worksheet" Target="/xl/worksheets/sheet2.xml" Id="R99a57db072a246a5" /><Relationship Type="http://schemas.openxmlformats.org/officeDocument/2006/relationships/worksheet" Target="/xl/worksheets/sheet3.xml" Id="R0229ef72b6ee427a" /><Relationship Type="http://schemas.openxmlformats.org/officeDocument/2006/relationships/worksheet" Target="/xl/worksheets/sheet4.xml" Id="R193157a8c6db43f8" /><Relationship Type="http://schemas.openxmlformats.org/officeDocument/2006/relationships/worksheet" Target="/xl/worksheets/sheet5.xml" Id="Rf5c55e83befa4d9c" /><Relationship Type="http://schemas.openxmlformats.org/officeDocument/2006/relationships/worksheet" Target="/xl/worksheets/sheet6.xml" Id="Rd5fcd35627264000" /><Relationship Type="http://schemas.openxmlformats.org/officeDocument/2006/relationships/worksheet" Target="/xl/worksheets/sheet7.xml" Id="R746d13481f954392" /><Relationship Type="http://schemas.openxmlformats.org/officeDocument/2006/relationships/worksheet" Target="/xl/worksheets/sheet8.xml" Id="Rd493f94ca61a432b" /><Relationship Type="http://schemas.openxmlformats.org/officeDocument/2006/relationships/worksheet" Target="/xl/worksheets/sheet9.xml" Id="R7a353e780f8b4cab" /><Relationship Type="http://schemas.openxmlformats.org/officeDocument/2006/relationships/worksheet" Target="/xl/worksheets/sheet10.xml" Id="R884c3a3bd5c84a16" /><Relationship Type="http://schemas.openxmlformats.org/officeDocument/2006/relationships/worksheet" Target="/xl/worksheets/sheet11.xml" Id="R1e440c6a62c74a13" /><Relationship Type="http://schemas.openxmlformats.org/officeDocument/2006/relationships/worksheet" Target="/xl/worksheets/sheet12.xml" Id="Reab1845286024f21" /><Relationship Type="http://schemas.openxmlformats.org/officeDocument/2006/relationships/worksheet" Target="/xl/worksheets/sheet13.xml" Id="R6423f686276a47b7" /><Relationship Type="http://schemas.openxmlformats.org/officeDocument/2006/relationships/worksheet" Target="/xl/worksheets/sheet14.xml" Id="R318a96028dbc4304" /><Relationship Type="http://schemas.openxmlformats.org/officeDocument/2006/relationships/worksheet" Target="/xl/worksheets/sheet15.xml" Id="R976f4bcaa5ec4104" /><Relationship Type="http://schemas.openxmlformats.org/officeDocument/2006/relationships/worksheet" Target="/xl/worksheets/sheet16.xml" Id="Re2c61df002464271" /><Relationship Type="http://schemas.openxmlformats.org/officeDocument/2006/relationships/worksheet" Target="/xl/worksheets/sheet17.xml" Id="Re9305b0ba0634bc1" /><Relationship Type="http://schemas.openxmlformats.org/officeDocument/2006/relationships/worksheet" Target="/xl/worksheets/sheet18.xml" Id="Rdc181c81848b4b7d" /><Relationship Type="http://schemas.openxmlformats.org/officeDocument/2006/relationships/worksheet" Target="/xl/worksheets/sheet19.xml" Id="R9554130660694ada" /><Relationship Type="http://schemas.openxmlformats.org/officeDocument/2006/relationships/worksheet" Target="/xl/worksheets/sheet20.xml" Id="R15814cf7a7944f85" /><Relationship Type="http://schemas.openxmlformats.org/officeDocument/2006/relationships/worksheet" Target="/xl/worksheets/sheet21.xml" Id="Ra13d2e9177aa429b" /><Relationship Type="http://schemas.openxmlformats.org/officeDocument/2006/relationships/worksheet" Target="/xl/worksheets/sheet22.xml" Id="Rf5dd448371834b4e" /><Relationship Type="http://schemas.openxmlformats.org/officeDocument/2006/relationships/worksheet" Target="/xl/worksheets/sheet23.xml" Id="Re66538d9b3714e22" /><Relationship Type="http://schemas.openxmlformats.org/officeDocument/2006/relationships/worksheet" Target="/xl/worksheets/sheet24.xml" Id="R0986c4cf515b4df8" /><Relationship Type="http://schemas.openxmlformats.org/officeDocument/2006/relationships/worksheet" Target="/xl/worksheets/sheet25.xml" Id="R66668b89fd264793" /><Relationship Type="http://schemas.openxmlformats.org/officeDocument/2006/relationships/worksheet" Target="/xl/worksheets/sheet26.xml" Id="Rfb461f82f7b04c00" /><Relationship Type="http://schemas.openxmlformats.org/officeDocument/2006/relationships/worksheet" Target="/xl/worksheets/sheet27.xml" Id="R9674c84db0254885" /><Relationship Type="http://schemas.openxmlformats.org/officeDocument/2006/relationships/worksheet" Target="/xl/worksheets/sheet28.xml" Id="Rd8873f0e08b945db" /><Relationship Type="http://schemas.openxmlformats.org/officeDocument/2006/relationships/worksheet" Target="/xl/worksheets/sheet29.xml" Id="R26bde50e6a9b4de1" /><Relationship Type="http://schemas.openxmlformats.org/officeDocument/2006/relationships/worksheet" Target="/xl/worksheets/sheet30.xml" Id="R447bc4591bf84c2f" /><Relationship Type="http://schemas.openxmlformats.org/officeDocument/2006/relationships/worksheet" Target="/xl/worksheets/sheet31.xml" Id="Refc353818acf47ef" /><Relationship Type="http://schemas.openxmlformats.org/officeDocument/2006/relationships/worksheet" Target="/xl/worksheets/sheet32.xml" Id="R82f7e480fafb44a1" /><Relationship Type="http://schemas.openxmlformats.org/officeDocument/2006/relationships/worksheet" Target="/xl/worksheets/sheet33.xml" Id="R57d5fff8e97f4660" /><Relationship Type="http://schemas.openxmlformats.org/officeDocument/2006/relationships/worksheet" Target="/xl/worksheets/sheet34.xml" Id="R779731e961254033" /><Relationship Type="http://schemas.openxmlformats.org/officeDocument/2006/relationships/worksheet" Target="/xl/worksheets/sheet35.xml" Id="Rd3b1a9fc4a694730" /><Relationship Type="http://schemas.openxmlformats.org/officeDocument/2006/relationships/worksheet" Target="/xl/worksheets/sheet36.xml" Id="Rc486115398e1487d" /><Relationship Type="http://schemas.openxmlformats.org/officeDocument/2006/relationships/worksheet" Target="/xl/worksheets/sheet37.xml" Id="R0d320b59f64344bb" /><Relationship Type="http://schemas.openxmlformats.org/officeDocument/2006/relationships/worksheet" Target="/xl/worksheets/sheet38.xml" Id="R7549cc37a7cf4e38" /><Relationship Type="http://schemas.openxmlformats.org/officeDocument/2006/relationships/worksheet" Target="/xl/worksheets/sheet39.xml" Id="R8ac9bd1b670249ac" /><Relationship Type="http://schemas.openxmlformats.org/officeDocument/2006/relationships/worksheet" Target="/xl/worksheets/sheet40.xml" Id="R89c4e39a006443d3" /><Relationship Type="http://schemas.openxmlformats.org/officeDocument/2006/relationships/worksheet" Target="/xl/worksheets/sheet41.xml" Id="R3c2deaf5414d43ae" /><Relationship Type="http://schemas.openxmlformats.org/officeDocument/2006/relationships/worksheet" Target="/xl/worksheets/sheet42.xml" Id="Rd14b85beb5504f60" /><Relationship Type="http://schemas.openxmlformats.org/officeDocument/2006/relationships/worksheet" Target="/xl/worksheets/sheet43.xml" Id="R0200b68da8154f85" /><Relationship Type="http://schemas.openxmlformats.org/officeDocument/2006/relationships/worksheet" Target="/xl/worksheets/sheet44.xml" Id="R27c4b8996c2a488f" /><Relationship Type="http://schemas.openxmlformats.org/officeDocument/2006/relationships/worksheet" Target="/xl/worksheets/sheet45.xml" Id="Rffa52e37913c4667" /><Relationship Type="http://schemas.openxmlformats.org/officeDocument/2006/relationships/worksheet" Target="/xl/worksheets/sheet46.xml" Id="R8b48d5d4e55a4e8c" /><Relationship Type="http://schemas.openxmlformats.org/officeDocument/2006/relationships/worksheet" Target="/xl/worksheets/sheet47.xml" Id="R1e5607efe23749ca" /><Relationship Type="http://schemas.openxmlformats.org/officeDocument/2006/relationships/worksheet" Target="/xl/worksheets/sheet48.xml" Id="R1dc49a7992a74b36" /><Relationship Type="http://schemas.openxmlformats.org/officeDocument/2006/relationships/worksheet" Target="/xl/worksheets/sheet49.xml" Id="R2aaa21c72cc742e7" /><Relationship Type="http://schemas.openxmlformats.org/officeDocument/2006/relationships/worksheet" Target="/xl/worksheets/sheet50.xml" Id="Rfb1169e6c10740c3" /><Relationship Type="http://schemas.openxmlformats.org/officeDocument/2006/relationships/worksheet" Target="/xl/worksheets/sheet51.xml" Id="R54f7603928ff4621" /><Relationship Type="http://schemas.openxmlformats.org/officeDocument/2006/relationships/worksheet" Target="/xl/worksheets/sheet52.xml" Id="Rfce7f17500ed439b" /><Relationship Type="http://schemas.openxmlformats.org/officeDocument/2006/relationships/worksheet" Target="/xl/worksheets/sheet53.xml" Id="R29ce01a40d5b4eba" /><Relationship Type="http://schemas.openxmlformats.org/officeDocument/2006/relationships/worksheet" Target="/xl/worksheets/sheet54.xml" Id="Redf212889a494fc8" /><Relationship Type="http://schemas.openxmlformats.org/officeDocument/2006/relationships/worksheet" Target="/xl/worksheets/sheet55.xml" Id="R41e0cadb7b0d431c" /><Relationship Type="http://schemas.openxmlformats.org/officeDocument/2006/relationships/worksheet" Target="/xl/worksheets/sheet56.xml" Id="R7bed462c11a04e5b" /><Relationship Type="http://schemas.openxmlformats.org/officeDocument/2006/relationships/worksheet" Target="/xl/worksheets/sheet57.xml" Id="R7a28fd9038ea4668" /><Relationship Type="http://schemas.openxmlformats.org/officeDocument/2006/relationships/worksheet" Target="/xl/worksheets/sheet58.xml" Id="R1dc852018523436c" /><Relationship Type="http://schemas.openxmlformats.org/officeDocument/2006/relationships/worksheet" Target="/xl/worksheets/sheet59.xml" Id="Rcc6099c22ebf40e6" /><Relationship Type="http://schemas.openxmlformats.org/officeDocument/2006/relationships/worksheet" Target="/xl/worksheets/sheet60.xml" Id="R2fb3c265737748e1" /><Relationship Type="http://schemas.openxmlformats.org/officeDocument/2006/relationships/worksheet" Target="/xl/worksheets/sheet61.xml" Id="R4c269062c9534e12" /><Relationship Type="http://schemas.openxmlformats.org/officeDocument/2006/relationships/worksheet" Target="/xl/worksheets/sheet62.xml" Id="R84d6f89ccdf34cec" /><Relationship Type="http://schemas.openxmlformats.org/officeDocument/2006/relationships/worksheet" Target="/xl/worksheets/sheet63.xml" Id="Rd93bda935fea4e74" /><Relationship Type="http://schemas.openxmlformats.org/officeDocument/2006/relationships/worksheet" Target="/xl/worksheets/sheet64.xml" Id="R959d76d40c92434c" /><Relationship Type="http://schemas.openxmlformats.org/officeDocument/2006/relationships/worksheet" Target="/xl/worksheets/sheet65.xml" Id="R745d83666d98442c" /><Relationship Type="http://schemas.openxmlformats.org/officeDocument/2006/relationships/worksheet" Target="/xl/worksheets/sheet66.xml" Id="R8889bdf961ab4eb7" /><Relationship Type="http://schemas.openxmlformats.org/officeDocument/2006/relationships/worksheet" Target="/xl/worksheets/sheet67.xml" Id="Rde4e405c93a242e3" /><Relationship Type="http://schemas.openxmlformats.org/officeDocument/2006/relationships/worksheet" Target="/xl/worksheets/sheet68.xml" Id="R0ed922fa7b614910" /><Relationship Type="http://schemas.openxmlformats.org/officeDocument/2006/relationships/worksheet" Target="/xl/worksheets/sheet69.xml" Id="R64681ccc7ff34666" /><Relationship Type="http://schemas.openxmlformats.org/officeDocument/2006/relationships/worksheet" Target="/xl/worksheets/sheet70.xml" Id="R6de9032cb4654322" /><Relationship Type="http://schemas.openxmlformats.org/officeDocument/2006/relationships/worksheet" Target="/xl/worksheets/sheet71.xml" Id="Rf4e9a447958d42c5" /><Relationship Type="http://schemas.openxmlformats.org/officeDocument/2006/relationships/worksheet" Target="/xl/worksheets/sheet72.xml" Id="Rf0dde4a3032a4020" /><Relationship Type="http://schemas.openxmlformats.org/officeDocument/2006/relationships/worksheet" Target="/xl/worksheets/sheet73.xml" Id="R0d3e471856574024" /><Relationship Type="http://schemas.openxmlformats.org/officeDocument/2006/relationships/worksheet" Target="/xl/worksheets/sheet74.xml" Id="R2c4f65affe654638" /><Relationship Type="http://schemas.openxmlformats.org/officeDocument/2006/relationships/worksheet" Target="/xl/worksheets/sheet75.xml" Id="R60f2892e2ee9482f" /><Relationship Type="http://schemas.openxmlformats.org/officeDocument/2006/relationships/worksheet" Target="/xl/worksheets/sheet76.xml" Id="Rd13c82a1f2414f7b" /><Relationship Type="http://schemas.openxmlformats.org/officeDocument/2006/relationships/worksheet" Target="/xl/worksheets/sheet77.xml" Id="R0a184fb4e90b4038" /><Relationship Type="http://schemas.openxmlformats.org/officeDocument/2006/relationships/worksheet" Target="/xl/worksheets/sheet78.xml" Id="R5d0444624e8741c1" /><Relationship Type="http://schemas.openxmlformats.org/officeDocument/2006/relationships/worksheet" Target="/xl/worksheets/sheet79.xml" Id="R0ee89046c4204331" /><Relationship Type="http://schemas.openxmlformats.org/officeDocument/2006/relationships/worksheet" Target="/xl/worksheets/sheet80.xml" Id="R4b476af8262646df" /><Relationship Type="http://schemas.openxmlformats.org/officeDocument/2006/relationships/worksheet" Target="/xl/worksheets/sheet81.xml" Id="Raf4fa58c00e143ab" /><Relationship Type="http://schemas.openxmlformats.org/officeDocument/2006/relationships/worksheet" Target="/xl/worksheets/sheet82.xml" Id="R0bca49e97fb34f9d" /><Relationship Type="http://schemas.openxmlformats.org/officeDocument/2006/relationships/worksheet" Target="/xl/worksheets/sheet83.xml" Id="R0b435175cdb64512" /><Relationship Type="http://schemas.openxmlformats.org/officeDocument/2006/relationships/worksheet" Target="/xl/worksheets/sheet84.xml" Id="R1896e9319a2a472a" /><Relationship Type="http://schemas.openxmlformats.org/officeDocument/2006/relationships/worksheet" Target="/xl/worksheets/sheet85.xml" Id="R3c8efbaaac6f44eb" /></Relationships>
</file>

<file path=xl/tables/table1.xml><?xml version="1.0" encoding="utf-8"?>
<x:table xmlns:x="http://schemas.openxmlformats.org/spreadsheetml/2006/main" id="1" name="CYB_Estatuto" displayName="CYB_Estatuto" ref="A4:B46" headerRowCount="1" totalsRowCount="0" totalsRowShown="0">
  <x:autoFilter ref="A4:B46"/>
  <x:tableColumns count="2">
    <x:tableColumn id="1" name="Campo"/>
    <x:tableColumn id="2" name="Contenido"/>
  </x:tableColumns>
  <x:tableStyleInfo name="TableStyleMedium2" showFirstColumn="0" showLastColumn="0" showRowStripes="1" showColumnStripes="0"/>
</x:table>
</file>

<file path=xl/tables/table2.xml><?xml version="1.0" encoding="utf-8"?>
<x:table xmlns:x="http://schemas.openxmlformats.org/spreadsheetml/2006/main" id="2" name="CYB_Fuentes" displayName="CYB_Fuentes" ref="A4:Q40" headerRowCount="1" totalsRowCount="0" totalsRowShown="0">
  <x:autoFilter ref="A4:Q40"/>
  <x:tableColumns count="17">
    <x:tableColumn id="1" name="ID fuente"/>
    <x:tableColumn id="2" name="Clase"/>
    <x:tableColumn id="3" name="Emisor"/>
    <x:tableColumn id="4" name="Título oficial"/>
    <x:tableColumn id="5" name="Edición / corte"/>
    <x:tableColumn id="6" name="País / jurisdicción"/>
    <x:tableColumn id="7" name="Función en catálogo"/>
    <x:tableColumn id="8" name="Admisión documental"/>
    <x:tableColumn id="9" name="Justificación de selección"/>
    <x:tableColumn id="10" name="Límite"/>
    <x:tableColumn id="11" name="Captura principal"/>
    <x:tableColumn id="12" name="URL oficial"/>
    <x:tableColumn id="13" name="Consulta"/>
    <x:tableColumn id="14" name="Responsable / adopción"/>
    <x:tableColumn id="15" name="Duplicado"/>
    <x:tableColumn id="16" name="Captura ausente"/>
    <x:tableColumn id="17" name="Campo ausente"/>
  </x:tableColumns>
  <x:tableStyleInfo name="TableStyleMedium2" showFirstColumn="0" showLastColumn="0" showRowStripes="1" showColumnStripes="0"/>
</x:table>
</file>

<file path=xl/tables/table3.xml><?xml version="1.0" encoding="utf-8"?>
<x:table xmlns:x="http://schemas.openxmlformats.org/spreadsheetml/2006/main" id="3" name="CYB_Custodia" displayName="CYB_Custodia" ref="A4:L53" headerRowCount="1" totalsRowCount="0" totalsRowShown="0">
  <x:autoFilter ref="A4:L53"/>
  <x:tableColumns count="12">
    <x:tableColumn id="1" name="ID captura"/>
    <x:tableColumn id="2" name="URL solicitada"/>
    <x:tableColumn id="3" name="URL efectiva"/>
    <x:tableColumn id="4" name="Captura UTC"/>
    <x:tableColumn id="5" name="Tipo de bytes"/>
    <x:tableColumn id="6" name="Estado de adquisición"/>
    <x:tableColumn id="7" name="Tamaño bytes (texto)"/>
    <x:tableColumn id="8" name="SHA-256"/>
    <x:tableColumn id="9" name="Alcance disponible"/>
    <x:tableColumn id="10" name="Licencia / uso"/>
    <x:tableColumn id="11" name="Huella defectuosa"/>
    <x:tableColumn id="12" name="Duplicado"/>
  </x:tableColumns>
  <x:tableStyleInfo name="TableStyleMedium2" showFirstColumn="0" showLastColumn="0" showRowStripes="1" showColumnStripes="0"/>
</x:table>
</file>

<file path=xl/tables/table4.xml><?xml version="1.0" encoding="utf-8"?>
<x:table xmlns:x="http://schemas.openxmlformats.org/spreadsheetml/2006/main" id="4" name="CYB_NICE" displayName="CYB_NICE" ref="A4:O57" headerRowCount="1" totalsRowCount="0" totalsRowShown="0">
  <x:autoFilter ref="A4:O57"/>
  <x:tableColumns count="15">
    <x:tableColumn id="1" name="ID externo"/>
    <x:tableColumn id="2" name="Tipo NICE"/>
    <x:tableColumn id="3" name="Título original"/>
    <x:tableColumn id="4" name="Definición original"/>
    <x:tableColumn id="5" name="Rótulo español"/>
    <x:tableColumn id="6" name="Síntesis española"/>
    <x:tableColumn id="7" name="Eje"/>
    <x:tableColumn id="8" name="Operación primaria"/>
    <x:tableColumn id="9" name="Fuente"/>
    <x:tableColumn id="10" name="Edición"/>
    <x:tableColumn id="11" name="Estado externo"/>
    <x:tableColumn id="12" name="Adopción de afirmación"/>
    <x:tableColumn id="13" name="Duplicado"/>
    <x:tableColumn id="14" name="Referencia ausente"/>
    <x:tableColumn id="15" name="Campo ausente"/>
  </x:tableColumns>
  <x:tableStyleInfo name="TableStyleMedium2" showFirstColumn="0" showLastColumn="0" showRowStripes="1" showColumnStripes="0"/>
</x:table>
</file>

<file path=xl/tables/table5.xml><?xml version="1.0" encoding="utf-8"?>
<x:table xmlns:x="http://schemas.openxmlformats.org/spreadsheetml/2006/main" id="5" name="CYB_TKS" displayName="CYB_TKS" ref="A4:M72" headerRowCount="1" totalsRowCount="0" totalsRowShown="0">
  <x:autoFilter ref="A4:M72"/>
  <x:tableColumns count="13">
    <x:tableColumn id="1" name="ID externo"/>
    <x:tableColumn id="2" name="Tipo NICE"/>
    <x:tableColumn id="3" name="Texto original"/>
    <x:tableColumn id="4" name="Síntesis española"/>
    <x:tableColumn id="5" name="Eje"/>
    <x:tableColumn id="6" name="Operación primaria"/>
    <x:tableColumn id="7" name="Fuente"/>
    <x:tableColumn id="8" name="Edición"/>
    <x:tableColumn id="9" name="Estado externo"/>
    <x:tableColumn id="10" name="Adopción de afirmación"/>
    <x:tableColumn id="11" name="Duplicado"/>
    <x:tableColumn id="12" name="Referencia ausente"/>
    <x:tableColumn id="13" name="Campo ausente"/>
  </x:tableColumns>
  <x:tableStyleInfo name="TableStyleMedium2" showFirstColumn="0" showLastColumn="0" showRowStripes="1" showColumnStripes="0"/>
</x:table>
</file>

<file path=xl/tables/table6.xml><?xml version="1.0" encoding="utf-8"?>
<x:table xmlns:x="http://schemas.openxmlformats.org/spreadsheetml/2006/main" id="6" name="CYB_Complementos" displayName="CYB_Complementos" ref="A4:Q127" headerRowCount="1" totalsRowCount="0" totalsRowShown="0">
  <x:autoFilter ref="A4:Q127"/>
  <x:tableColumns count="17">
    <x:tableColumn id="1" name="ID local"/>
    <x:tableColumn id="2" name="Fuente"/>
    <x:tableColumn id="3" name="Captura"/>
    <x:tableColumn id="4" name="Localizador de lectura"/>
    <x:tableColumn id="5" name="Original breve"/>
    <x:tableColumn id="6" name="Síntesis española"/>
    <x:tableColumn id="7" name="Clase de aportación"/>
    <x:tableColumn id="8" name="Eje"/>
    <x:tableColumn id="9" name="Ancla NICE"/>
    <x:tableColumn id="10" name="Operación primaria"/>
    <x:tableColumn id="11" name="Naturaleza de relación"/>
    <x:tableColumn id="12" name="Adopción de afirmación"/>
    <x:tableColumn id="13" name="Duplicado"/>
    <x:tableColumn id="14" name="Fuente ausente"/>
    <x:tableColumn id="15" name="Ancla ausente"/>
    <x:tableColumn id="16" name="Uso indebido"/>
    <x:tableColumn id="17" name="Campo ausente"/>
  </x:tableColumns>
  <x:tableStyleInfo name="TableStyleMedium2" showFirstColumn="0" showLastColumn="0" showRowStripes="1" showColumnStripes="0"/>
</x:table>
</file>

<file path=xl/tables/table7.xml><?xml version="1.0" encoding="utf-8"?>
<x:table xmlns:x="http://schemas.openxmlformats.org/spreadsheetml/2006/main" id="7" name="CYB_Cobertura" displayName="CYB_Cobertura" ref="A4:H25" headerRowCount="1" totalsRowCount="0" totalsRowShown="0">
  <x:autoFilter ref="A4:H25"/>
  <x:tableColumns count="8">
    <x:tableColumn id="1" name="Eje"/>
    <x:tableColumn id="2" name="Dimensión"/>
    <x:tableColumn id="3" name="Pregunta de revisión"/>
    <x:tableColumn id="4" name="Roles / áreas"/>
    <x:tableColumn id="5" name="TKS"/>
    <x:tableColumn id="6" name="Complementos utilizables"/>
    <x:tableColumn id="7" name="Vacío o frontera pendiente"/>
    <x:tableColumn id="8" name="Dictamen de alcance"/>
  </x:tableColumns>
  <x:tableStyleInfo name="TableStyleMedium2" showFirstColumn="0" showLastColumn="0" showRowStripes="1" showColumnStripes="0"/>
</x:table>
</file>

<file path=xl/tables/table8.xml><?xml version="1.0" encoding="utf-8"?>
<x:table xmlns:x="http://schemas.openxmlformats.org/spreadsheetml/2006/main" id="8" name="CYB_Operaciones" displayName="CYB_Operaciones" ref="A4:K26" headerRowCount="1" totalsRowCount="0" totalsRowShown="0">
  <x:autoFilter ref="A4:K26"/>
  <x:tableColumns count="11">
    <x:tableColumn id="1" name="ID candidato"/>
    <x:tableColumn id="2" name="Producto"/>
    <x:tableColumn id="3" name="Objeto / sujeto"/>
    <x:tableColumn id="4" name="Desencadenante"/>
    <x:tableColumn id="5" name="Autoridad requerida"/>
    <x:tableColumn id="6" name="Frontera"/>
    <x:tableColumn id="7" name="Terminación candidata"/>
    <x:tableColumn id="8" name="Anclas de procedencia"/>
    <x:tableColumn id="9" name="Duplicado"/>
    <x:tableColumn id="10" name="Campo ausente"/>
    <x:tableColumn id="11" name="Vínculos primarios"/>
  </x:tableColumns>
  <x:tableStyleInfo name="TableStyleMedium2" showFirstColumn="0" showLastColumn="0" showRowStripes="1" showColumnStripes="0"/>
</x:table>
</file>

<file path=xl/tables/table9.xml><?xml version="1.0" encoding="utf-8"?>
<x:table xmlns:x="http://schemas.openxmlformats.org/spreadsheetml/2006/main" id="9" name="CYB_Trazas" displayName="CYB_Trazas" ref="A4:P248" headerRowCount="1" totalsRowCount="0" totalsRowShown="0">
  <x:autoFilter ref="A4:P248"/>
  <x:tableColumns count="16">
    <x:tableColumn id="1" name="Entrada"/>
    <x:tableColumn id="2" name="Fuente"/>
    <x:tableColumn id="3" name="Captura"/>
    <x:tableColumn id="4" name="Identidad externa / localizador"/>
    <x:tableColumn id="5" name="Edición o instantánea"/>
    <x:tableColumn id="6" name="Localización rastreada"/>
    <x:tableColumn id="7" name="Tipo de extracción"/>
    <x:tableColumn id="8" name="Offset UTF-8 (texto)"/>
    <x:tableColumn id="9" name="Longitud bytes (texto)"/>
    <x:tableColumn id="10" name="SHA-256 del objeto o fragmento"/>
    <x:tableColumn id="11" name="Fecha de consulta"/>
    <x:tableColumn id="12" name="Fecha de adopción"/>
    <x:tableColumn id="13" name="Huella defectuosa"/>
    <x:tableColumn id="14" name="Entrada ausente"/>
    <x:tableColumn id="15" name="Duplicado"/>
    <x:tableColumn id="16" name="Captura ausente"/>
  </x:tableColumns>
  <x:tableStyleInfo name="TableStyleMedium2" showFirstColumn="0" showLastColumn="0" showRowStripes="1" showColumnStripes="0"/>
</x:table>
</file>

<file path=xl/tables/table10.xml><?xml version="1.0" encoding="utf-8"?>
<x:table xmlns:x="http://schemas.openxmlformats.org/spreadsheetml/2006/main" id="10" name="CYB_Decisiones" displayName="CYB_Decisiones" ref="A4:F18" headerRowCount="1" totalsRowCount="0" totalsRowShown="0">
  <x:autoFilter ref="A4:F18"/>
  <x:tableColumns count="6">
    <x:tableColumn id="1" name="ID"/>
    <x:tableColumn id="2" name="Asunto"/>
    <x:tableColumn id="3" name="Objeto"/>
    <x:tableColumn id="4" name="Fundamento"/>
    <x:tableColumn id="5" name="Evidencia"/>
    <x:tableColumn id="6" name="Límite / efecto"/>
  </x:tableColumns>
  <x:tableStyleInfo name="TableStyleMedium2" showFirstColumn="0" showLastColumn="0" showRowStripes="1" showColumnStripes="0"/>
</x:table>
</file>

<file path=xl/tables/table11.xml><?xml version="1.0" encoding="utf-8"?>
<x:table xmlns:x="http://schemas.openxmlformats.org/spreadsheetml/2006/main" id="11" name="CYB_Adversarial" displayName="CYB_Adversarial" ref="A4:F18" headerRowCount="1" totalsRowCount="0" totalsRowShown="0">
  <x:autoFilter ref="A4:F18"/>
  <x:tableColumns count="6">
    <x:tableColumn id="1" name="ID"/>
    <x:tableColumn id="2" name="Frente"/>
    <x:tableColumn id="3" name="Riesgo o defecto contrastado"/>
    <x:tableColumn id="4" name="Resultado"/>
    <x:tableColumn id="5" name="Tratamiento"/>
    <x:tableColumn id="6" name="Evidencia"/>
  </x:tableColumns>
  <x:tableStyleInfo name="TableStyleMedium2" showFirstColumn="0" showLastColumn="0" showRowStripes="1" showColumnStripes="0"/>
</x:table>
</file>

<file path=xl/tables/table12.xml><?xml version="1.0" encoding="utf-8"?>
<x:table xmlns:x="http://schemas.openxmlformats.org/spreadsheetml/2006/main" id="12" name="CYB_Controles" displayName="CYB_Controles" ref="A4:E22" headerRowCount="1" totalsRowCount="0" totalsRowShown="0">
  <x:autoFilter ref="A4:E22"/>
  <x:tableColumns count="5">
    <x:tableColumn id="1" name="ID"/>
    <x:tableColumn id="2" name="Control o mutación"/>
    <x:tableColumn id="3" name="Resultado calculado / observado"/>
    <x:tableColumn id="4" name="Esperado"/>
    <x:tableColumn id="5" name="Comprobación"/>
  </x:tableColumns>
  <x:tableStyleInfo name="TableStyleMedium2" showFirstColumn="0" showLastColumn="0" showRowStripes="1" showColumnStripes="0"/>
</x:table>
</file>

<file path=xl/tables/table13.xml><?xml version="1.0" encoding="utf-8"?>
<x:table xmlns:x="http://schemas.openxmlformats.org/spreadsheetml/2006/main" id="13" name="CYB_Glosario" displayName="CYB_Glosario" ref="A4:B38" headerRowCount="1" totalsRowCount="0" totalsRowShown="0">
  <x:autoFilter ref="A4:B38"/>
  <x:tableColumns count="2">
    <x:tableColumn id="1" name="Término"/>
    <x:tableColumn id="2" name="Significado en este corte"/>
  </x:tableColumns>
  <x:tableStyleInfo name="TableStyleMedium2" showFirstColumn="0" showLastColumn="0" showRowStripes="1" showColumnStripes="0"/>
</x:table>
</file>

<file path=xl/tables/table14.xml><?xml version="1.0" encoding="utf-8"?>
<x:table xmlns:x="http://schemas.openxmlformats.org/spreadsheetml/2006/main" id="14" name="CYB_Relaciones_NICE" displayName="CYB_Relaciones_NICE" ref="A4:H186" headerRowCount="1" totalsRowCount="0" totalsRowShown="0">
  <x:autoFilter ref="A4:H186"/>
  <x:tableColumns count="8">
    <x:tableColumn id="1" name="ID local de registro"/>
    <x:tableColumn id="2" name="Origen NICE"/>
    <x:tableColumn id="3" name="Destino NICE"/>
    <x:tableColumn id="4" name="Tipo original"/>
    <x:tableColumn id="5" name="Procedencia original"/>
    <x:tableColumn id="6" name="Fuente / edición"/>
    <x:tableColumn id="7" name="Duplicado"/>
    <x:tableColumn id="8" name="Extremo ausente"/>
  </x:tableColumns>
  <x:tableStyleInfo name="TableStyleMedium2" showFirstColumn="0" showLastColumn="0" showRowStripes="1" showColumnStripes="0"/>
</x:table>
</file>

<file path=xl/tables/table15.xml><?xml version="1.0" encoding="utf-8"?>
<x:table xmlns:x="http://schemas.openxmlformats.org/spreadsheetml/2006/main" id="15" name="CYB_Comparacion" displayName="CYB_Comparacion" ref="A4:K11" headerRowCount="1" totalsRowCount="0" totalsRowShown="0">
  <x:autoFilter ref="A4:K11"/>
  <x:tableColumns count="11">
    <x:tableColumn id="1" name="ID"/>
    <x:tableColumn id="2" name="País"/>
    <x:tableColumn id="3" name="Programa"/>
    <x:tableColumn id="4" name="Edición / identidad"/>
    <x:tableColumn id="5" name="Nivel y carga"/>
    <x:tableColumn id="6" name="Aportación educativa"/>
    <x:tableColumn id="7" name="Lectura efectuada"/>
    <x:tableColumn id="8" name="Propuesta"/>
    <x:tableColumn id="9" name="Justificación"/>
    <x:tableColumn id="10" name="Reserva"/>
    <x:tableColumn id="11" name="Fuentes"/>
  </x:tableColumns>
  <x:tableStyleInfo name="TableStyleMedium2" showFirstColumn="0" showLastColumn="0" showRowStripes="1" showColumnStripes="0"/>
</x:table>
</file>

<file path=xl/tables/table16.xml><?xml version="1.0" encoding="utf-8"?>
<x:table xmlns:x="http://schemas.openxmlformats.org/spreadsheetml/2006/main" id="16" name="CYB_Base_universitaria" displayName="CYB_Base_universitaria" ref="A4:S44" headerRowCount="1" totalsRowCount="0" totalsRowShown="0">
  <x:autoFilter ref="A4:S44"/>
  <x:tableColumns count="19">
    <x:tableColumn id="1" name="ID local"/>
    <x:tableColumn id="2" name="Código oficial"/>
    <x:tableColumn id="3" name="Asignatura oficial"/>
    <x:tableColumn id="4" name="Curso"/>
    <x:tableColumn id="5" name="Semestre"/>
    <x:tableColumn id="6" name="ECTS originales"/>
    <x:tableColumn id="7" name="Carácter"/>
    <x:tableColumn id="8" name="Familia local"/>
    <x:tableColumn id="9" name="Conocimiento · síntesis"/>
    <x:tableColumn id="10" name="Saber hacer · síntesis"/>
    <x:tableColumn id="11" name="Forma educativa · síntesis"/>
    <x:tableColumn id="12" name="Resultados identificados"/>
    <x:tableColumn id="13" name="Guía"/>
    <x:tableColumn id="14" name="Localizador"/>
    <x:tableColumn id="15" name="Estado"/>
    <x:tableColumn id="16" name="ECTS calculados"/>
    <x:tableColumn id="17" name="Duplicado"/>
    <x:tableColumn id="18" name="Referencia ausente"/>
    <x:tableColumn id="19" name="Fuente no admisible"/>
  </x:tableColumns>
  <x:tableStyleInfo name="TableStyleMedium2" showFirstColumn="0" showLastColumn="0" showRowStripes="1" showColumnStripes="0"/>
</x:table>
</file>

<file path=xl/tables/table17.xml><?xml version="1.0" encoding="utf-8"?>
<x:table xmlns:x="http://schemas.openxmlformats.org/spreadsheetml/2006/main" id="17" name="CYB_Progresion" displayName="CYB_Progresion" ref="A4:I12" headerRowCount="1" totalsRowCount="0" totalsRowShown="0">
  <x:autoFilter ref="A4:I12"/>
  <x:tableColumns count="9">
    <x:tableColumn id="1" name="ID"/>
    <x:tableColumn id="2" name="Base"/>
    <x:tableColumn id="3" name="Continuación"/>
    <x:tableColumn id="4" name="Relación publicada"/>
    <x:tableColumn id="5" name="Fuente / localizador"/>
    <x:tableColumn id="6" name="Evidencia"/>
    <x:tableColumn id="7" name="Límite"/>
    <x:tableColumn id="8" name="Origen ausente"/>
    <x:tableColumn id="9" name="Destino ausente"/>
  </x:tableColumns>
  <x:tableStyleInfo name="TableStyleMedium2" showFirstColumn="0" showLastColumn="0" showRowStripes="1" showColumnStripes="0"/>
</x:table>
</file>

<file path=xl/tables/table18.xml><?xml version="1.0" encoding="utf-8"?>
<x:table xmlns:x="http://schemas.openxmlformats.org/spreadsheetml/2006/main" id="18" name="CYB_Comp_educativos" displayName="CYB_Comp_educativos" ref="A4:L16" headerRowCount="1" totalsRowCount="0" totalsRowShown="0">
  <x:autoFilter ref="A4:L16"/>
  <x:tableColumns count="12">
    <x:tableColumn id="1" name="ID"/>
    <x:tableColumn id="2" name="País"/>
    <x:tableColumn id="3" name="Fuente"/>
    <x:tableColumn id="4" name="Unidad y edición"/>
    <x:tableColumn id="5" name="Base relacionada"/>
    <x:tableColumn id="6" name="Decisión propuesta"/>
    <x:tableColumn id="7" name="Conocimiento adicional o contraste"/>
    <x:tableColumn id="8" name="Saber hacer"/>
    <x:tableColumn id="9" name="Resultado / evidencia educativa"/>
    <x:tableColumn id="10" name="Justificación frente al rector"/>
    <x:tableColumn id="11" name="Límite"/>
    <x:tableColumn id="12" name="Necesidades"/>
  </x:tableColumns>
  <x:tableStyleInfo name="TableStyleMedium2" showFirstColumn="0" showLastColumn="0" showRowStripes="1" showColumnStripes="0"/>
</x:table>
</file>

<file path=xl/tables/table19.xml><?xml version="1.0" encoding="utf-8"?>
<x:table xmlns:x="http://schemas.openxmlformats.org/spreadsheetml/2006/main" id="19" name="CYB_Necesidades_IA" displayName="CYB_Necesidades_IA" ref="A4:K12" headerRowCount="1" totalsRowCount="0" totalsRowShown="0">
  <x:autoFilter ref="A4:K12"/>
  <x:tableColumns count="11">
    <x:tableColumn id="1" name="ID"/>
    <x:tableColumn id="2" name="Necesidad"/>
    <x:tableColumn id="3" name="Origen"/>
    <x:tableColumn id="4" name="Base educativa"/>
    <x:tableColumn id="5" name="Complementos vinculados"/>
    <x:tableColumn id="6" name="Situación"/>
    <x:tableColumn id="7" name="Conocimiento requerido"/>
    <x:tableColumn id="8" name="Actuación que debe poder justificarse"/>
    <x:tableColumn id="9" name="Riesgo de ignorarlo · candidato"/>
    <x:tableColumn id="10" name="Fuentes de contraste"/>
    <x:tableColumn id="11" name="Reserva y frontera"/>
  </x:tableColumns>
  <x:tableStyleInfo name="TableStyleMedium2" showFirstColumn="0" showLastColumn="0" showRowStripes="1" showColumnStripes="0"/>
</x:table>
</file>

<file path=xl/tables/table20.xml><?xml version="1.0" encoding="utf-8"?>
<x:table xmlns:x="http://schemas.openxmlformats.org/spreadsheetml/2006/main" id="20" name="CYB_Consecuencias" displayName="CYB_Consecuencias" ref="A4:J16" headerRowCount="1" totalsRowCount="0" totalsRowShown="0">
  <x:autoFilter ref="A4:J16"/>
  <x:tableColumns count="10">
    <x:tableColumn id="1" name="ID"/>
    <x:tableColumn id="2" name="Necesidad"/>
    <x:tableColumn id="3" name="Carencia o confusión"/>
    <x:tableColumn id="4" name="Ancla educativa / rectora"/>
    <x:tableColumn id="5" name="Error de actuación"/>
    <x:tableColumn id="6" name="Consecuencia epistemológica"/>
    <x:tableColumn id="7" name="Consecuencia operacional condicionada"/>
    <x:tableColumn id="8" name="Testigo propuesto"/>
    <x:tableColumn id="9" name="Criterio de contraste propuesto"/>
    <x:tableColumn id="10" name="Estado de prueba"/>
  </x:tableColumns>
  <x:tableStyleInfo name="TableStyleMedium2" showFirstColumn="0" showLastColumn="0" showRowStripes="1" showColumnStripes="0"/>
</x:table>
</file>

<file path=xl/tables/table21.xml><?xml version="1.0" encoding="utf-8"?>
<x:table xmlns:x="http://schemas.openxmlformats.org/spreadsheetml/2006/main" id="21" name="CYB_Familias" displayName="CYB_Familias" ref="A4:F19" headerRowCount="1" totalsRowCount="0" totalsRowShown="0">
  <x:autoFilter ref="A4:F19"/>
  <x:tableColumns count="6">
    <x:tableColumn id="1" name="ID"/>
    <x:tableColumn id="2" name="Familia propuesta"/>
    <x:tableColumn id="3" name="Criterio de ordenación"/>
    <x:tableColumn id="4" name="Asignaturas"/>
    <x:tableColumn id="5" name="ECTS calculados"/>
    <x:tableColumn id="6" name="Interpretación"/>
  </x:tableColumns>
  <x:tableStyleInfo name="TableStyleMedium2" showFirstColumn="0" showLastColumn="0" showRowStripes="1" showColumnStripes="0"/>
</x:table>
</file>

<file path=xl/tables/table22.xml><?xml version="1.0" encoding="utf-8"?>
<x:table xmlns:x="http://schemas.openxmlformats.org/spreadsheetml/2006/main" id="22" name="CYB_Fuentes_educativas" displayName="CYB_Fuentes_educativas" ref="A4:M188" headerRowCount="1" totalsRowCount="0" totalsRowShown="0">
  <x:autoFilter ref="A4:M188"/>
  <x:tableColumns count="13">
    <x:tableColumn id="1" name="ID"/>
    <x:tableColumn id="2" name="Documento o identificador"/>
    <x:tableColumn id="3" name="URL solicitada"/>
    <x:tableColumn id="4" name="URL efectiva"/>
    <x:tableColumn id="5" name="Adquisición"/>
    <x:tableColumn id="6" name="Bytes · texto"/>
    <x:tableColumn id="7" name="SHA-256 de los bytes"/>
    <x:tableColumn id="8" name="Páginas PDF"/>
    <x:tableColumn id="9" name="Alcance de lectura / incidencia"/>
    <x:tableColumn id="10" name="Uso en este corte"/>
    <x:tableColumn id="11" name="Captura UTC"/>
    <x:tableColumn id="12" name="Duplicado"/>
    <x:tableColumn id="13" name="Huella defectuosa"/>
  </x:tableColumns>
  <x:tableStyleInfo name="TableStyleMedium2" showFirstColumn="0" showLastColumn="0" showRowStripes="1" showColumnStripes="0"/>
</x:table>
</file>

<file path=xl/tables/table23.xml><?xml version="1.0" encoding="utf-8"?>
<x:table xmlns:x="http://schemas.openxmlformats.org/spreadsheetml/2006/main" id="23" name="CYB_Revision_curricular" displayName="CYB_Revision_curricular" ref="A4:G22" headerRowCount="1" totalsRowCount="0" totalsRowShown="0">
  <x:autoFilter ref="A4:G22"/>
  <x:tableColumns count="7">
    <x:tableColumn id="1" name="ID"/>
    <x:tableColumn id="2" name="Ataque de revisión"/>
    <x:tableColumn id="3" name="Hallazgo o riesgo"/>
    <x:tableColumn id="4" name="Tratamiento"/>
    <x:tableColumn id="5" name="Resolución aplicada"/>
    <x:tableColumn id="6" name="Evidencia"/>
    <x:tableColumn id="7" name="Reserva residual"/>
  </x:tableColumns>
  <x:tableStyleInfo name="TableStyleMedium2" showFirstColumn="0" showLastColumn="0" showRowStripes="1" showColumnStripes="0"/>
</x:table>
</file>

<file path=xl/tables/table24.xml><?xml version="1.0" encoding="utf-8"?>
<x:table xmlns:x="http://schemas.openxmlformats.org/spreadsheetml/2006/main" id="24" name="CYB_Control_curricular" displayName="CYB_Control_curricular" ref="A4:E21" headerRowCount="1" totalsRowCount="0" totalsRowShown="0">
  <x:autoFilter ref="A4:E21"/>
  <x:tableColumns count="5">
    <x:tableColumn id="1" name="ID"/>
    <x:tableColumn id="2" name="Comprobación"/>
    <x:tableColumn id="3" name="Resultado"/>
    <x:tableColumn id="4" name="Esperado"/>
    <x:tableColumn id="5" name="Alcance"/>
  </x:tableColumns>
  <x:tableStyleInfo name="TableStyleMedium2" showFirstColumn="0" showLastColumn="0" showRowStripes="1" showColumnStripes="0"/>
</x:table>
</file>

<file path=xl/tables/table25.xml><?xml version="1.0" encoding="utf-8"?>
<x:table xmlns:x="http://schemas.openxmlformats.org/spreadsheetml/2006/main" id="25" name="CYB_Gobierno" displayName="CYB_Gobierno" ref="A4:F14" headerRowCount="1" totalsRowCount="0" totalsRowShown="0">
  <x:autoFilter ref="A4:F14"/>
  <x:tableColumns count="6">
    <x:tableColumn id="1" name="ID"/>
    <x:tableColumn id="2" name="Autoridad o plano"/>
    <x:tableColumn id="3" name="Función que se preserva"/>
    <x:tableColumn id="4" name="Frontera"/>
    <x:tableColumn id="5" name="Fuente / localizador"/>
    <x:tableColumn id="6" name="Aplicación en este libro"/>
  </x:tableColumns>
  <x:tableStyleInfo name="TableStyleMedium2" showFirstColumn="0" showLastColumn="0" showRowStripes="1" showColumnStripes="0"/>
</x:table>
</file>

<file path=xl/tables/table26.xml><?xml version="1.0" encoding="utf-8"?>
<x:table xmlns:x="http://schemas.openxmlformats.org/spreadsheetml/2006/main" id="26" name="CYB_Delimitacion" displayName="CYB_Delimitacion" ref="A4:F23" headerRowCount="1" totalsRowCount="0" totalsRowShown="0">
  <x:autoFilter ref="A4:F23"/>
  <x:tableColumns count="6">
    <x:tableColumn id="1" name="ID"/>
    <x:tableColumn id="2" name="Cuestión"/>
    <x:tableColumn id="3" name="Conclusión documentada o propuesta"/>
    <x:tableColumn id="4" name="Distinción y límite"/>
    <x:tableColumn id="5" name="Evidencia"/>
    <x:tableColumn id="6" name="Efecto en Ciberseguridad"/>
  </x:tableColumns>
  <x:tableStyleInfo name="TableStyleMedium2" showFirstColumn="0" showLastColumn="0" showRowStripes="1" showColumnStripes="0"/>
</x:table>
</file>

<file path=xl/tables/table27.xml><?xml version="1.0" encoding="utf-8"?>
<x:table xmlns:x="http://schemas.openxmlformats.org/spreadsheetml/2006/main" id="27" name="CYB_Mapa_universos" displayName="CYB_Mapa_universos" ref="A4:O33" headerRowCount="1" totalsRowCount="0" totalsRowShown="0">
  <x:autoFilter ref="A4:O33"/>
  <x:tableColumns count="15">
    <x:tableColumn id="1" name="ID"/>
    <x:tableColumn id="2" name="Agrupación editorial"/>
    <x:tableColumn id="3" name="Producto terminal"/>
    <x:tableColumn id="4" name="Objeto"/>
    <x:tableColumn id="5" name="Disparador"/>
    <x:tableColumn id="6" name="Autoridad"/>
    <x:tableColumn id="7" name="Frontera"/>
    <x:tableColumn id="8" name="Finalización"/>
    <x:tableColumn id="9" name="Conocimiento y saber hacer"/>
    <x:tableColumn id="10" name="Consecuencia de omitirlo · potencial"/>
    <x:tableColumn id="11" name="Ancla principal"/>
    <x:tableColumn id="12" name="Localizador y complemento"/>
    <x:tableColumn id="13" name="Estatuto"/>
    <x:tableColumn id="14" name="Duplicado"/>
    <x:tableColumn id="15" name="Campo ausente"/>
  </x:tableColumns>
  <x:tableStyleInfo name="TableStyleMedium2" showFirstColumn="0" showLastColumn="0" showRowStripes="1" showColumnStripes="0"/>
</x:table>
</file>

<file path=xl/tables/table28.xml><?xml version="1.0" encoding="utf-8"?>
<x:table xmlns:x="http://schemas.openxmlformats.org/spreadsheetml/2006/main" id="28" name="CYB_Cobertura_aprendizaje" displayName="CYB_Cobertura_aprendizaje" ref="A4:L131" headerRowCount="1" totalsRowCount="0" totalsRowShown="0">
  <x:autoFilter ref="A4:L131"/>
  <x:tableColumns count="12">
    <x:tableColumn id="1" name="Traza"/>
    <x:tableColumn id="2" name="Unidad"/>
    <x:tableColumn id="3" name="Clase"/>
    <x:tableColumn id="4" name="Destino"/>
    <x:tableColumn id="5" name="Conocimiento necesario"/>
    <x:tableColumn id="6" name="Saber hacer"/>
    <x:tableColumn id="7" name="Consecuencia / límite"/>
    <x:tableColumn id="8" name="Fuente"/>
    <x:tableColumn id="9" name="Localizador"/>
    <x:tableColumn id="10" name="Estatuto"/>
    <x:tableColumn id="11" name="Destino inválido"/>
    <x:tableColumn id="12" name="Fuente inválida"/>
  </x:tableColumns>
  <x:tableStyleInfo name="TableStyleMedium2" showFirstColumn="0" showLastColumn="0" showRowStripes="1" showColumnStripes="0"/>
</x:table>
</file>

<file path=xl/tables/table29.xml><?xml version="1.0" encoding="utf-8"?>
<x:table xmlns:x="http://schemas.openxmlformats.org/spreadsheetml/2006/main" id="29" name="CYB_Relaciones_candidatas" displayName="CYB_Relaciones_candidatas" ref="A4:K18" headerRowCount="1" totalsRowCount="0" totalsRowShown="0">
  <x:autoFilter ref="A4:K18"/>
  <x:tableColumns count="11">
    <x:tableColumn id="1" name="ID"/>
    <x:tableColumn id="2" name="Origen"/>
    <x:tableColumn id="3" name="Destino"/>
    <x:tableColumn id="4" name="Relación profesional"/>
    <x:tableColumn id="5" name="Contenido transmitido"/>
    <x:tableColumn id="6" name="Tratamiento de insuficiencia / U"/>
    <x:tableColumn id="7" name="Obligación de tipado y límite"/>
    <x:tableColumn id="8" name="Anclas"/>
    <x:tableColumn id="9" name="Estatuto"/>
    <x:tableColumn id="10" name="Origen inválido"/>
    <x:tableColumn id="11" name="Destino inválido"/>
  </x:tableColumns>
  <x:tableStyleInfo name="TableStyleMedium2" showFirstColumn="0" showLastColumn="0" showRowStripes="1" showColumnStripes="0"/>
</x:table>
</file>

<file path=xl/tables/table30.xml><?xml version="1.0" encoding="utf-8"?>
<x:table xmlns:x="http://schemas.openxmlformats.org/spreadsheetml/2006/main" id="30" name="CYB_Camino_constitutivo" displayName="CYB_Camino_constitutivo" ref="A4:G14" headerRowCount="1" totalsRowCount="0" totalsRowShown="0">
  <x:autoFilter ref="A4:G14"/>
  <x:tableColumns count="7">
    <x:tableColumn id="1" name="ID"/>
    <x:tableColumn id="2" name="Paso"/>
    <x:tableColumn id="3" name="Trabajo y criterio"/>
    <x:tableColumn id="4" name="Frontera / condición"/>
    <x:tableColumn id="5" name="Objeto de cierre"/>
    <x:tableColumn id="6" name="Fuente"/>
    <x:tableColumn id="7" name="Estado"/>
  </x:tableColumns>
  <x:tableStyleInfo name="TableStyleMedium2" showFirstColumn="0" showLastColumn="0" showRowStripes="1" showColumnStripes="0"/>
</x:table>
</file>

<file path=xl/tables/table31.xml><?xml version="1.0" encoding="utf-8"?>
<x:table xmlns:x="http://schemas.openxmlformats.org/spreadsheetml/2006/main" id="31" name="CYB_Revision_acotacion" displayName="CYB_Revision_acotacion" ref="A4:E29" headerRowCount="1" totalsRowCount="0" totalsRowShown="0">
  <x:autoFilter ref="A4:E29"/>
  <x:tableColumns count="5">
    <x:tableColumn id="1" name="ID"/>
    <x:tableColumn id="2" name="Ataque"/>
    <x:tableColumn id="3" name="Respuesta y evidencia"/>
    <x:tableColumn id="4" name="Resultado"/>
    <x:tableColumn id="5" name="Localizador"/>
  </x:tableColumns>
  <x:tableStyleInfo name="TableStyleMedium2" showFirstColumn="0" showLastColumn="0" showRowStripes="1" showColumnStripes="0"/>
</x:table>
</file>

<file path=xl/tables/table32.xml><?xml version="1.0" encoding="utf-8"?>
<x:table xmlns:x="http://schemas.openxmlformats.org/spreadsheetml/2006/main" id="32" name="CYB_Control_acotacion" displayName="CYB_Control_acotacion" ref="A4:E25" headerRowCount="1" totalsRowCount="0" totalsRowShown="0">
  <x:autoFilter ref="A4:E25"/>
  <x:tableColumns count="5">
    <x:tableColumn id="1" name="ID"/>
    <x:tableColumn id="2" name="Comprobación"/>
    <x:tableColumn id="3" name="Resultado"/>
    <x:tableColumn id="4" name="Esperado"/>
    <x:tableColumn id="5" name="Alcance"/>
  </x:tableColumns>
  <x:tableStyleInfo name="TableStyleMedium2" showFirstColumn="0" showLastColumn="0" showRowStripes="1" showColumnStripes="0"/>
</x:table>
</file>

<file path=xl/tables/table33.xml><?xml version="1.0" encoding="utf-8"?>
<x:table xmlns:x="http://schemas.openxmlformats.org/spreadsheetml/2006/main" id="33" name="CYB_Fuentes_metodo" displayName="CYB_Fuentes_metodo" ref="A4:J23" headerRowCount="1" totalsRowCount="0" totalsRowShown="0">
  <x:autoFilter ref="A4:J23"/>
  <x:tableColumns count="10">
    <x:tableColumn id="1" name="ID"/>
    <x:tableColumn id="2" name="URL / identidad"/>
    <x:tableColumn id="3" name="Adquisición"/>
    <x:tableColumn id="4" name="Bytes · texto"/>
    <x:tableColumn id="5" name="SHA-256"/>
    <x:tableColumn id="6" name="Alcance de lectura"/>
    <x:tableColumn id="7" name="Corte Git o límite"/>
    <x:tableColumn id="8" name="Blob Git / incidencia"/>
    <x:tableColumn id="9" name="Duplicado"/>
    <x:tableColumn id="10" name="Huella defectuosa"/>
  </x:tableColumns>
  <x:tableStyleInfo name="TableStyleMedium2" showFirstColumn="0" showLastColumn="0" showRowStripes="1" showColumnStripes="0"/>
</x:table>
</file>

<file path=xl/tables/table34.xml><?xml version="1.0" encoding="utf-8"?>
<x:table xmlns:x="http://schemas.openxmlformats.org/spreadsheetml/2006/main" id="34" name="CYB_Correspondencia_mapa" displayName="CYB_Correspondencia_mapa" ref="A4:F34" headerRowCount="1" totalsRowCount="0" totalsRowShown="0">
  <x:autoFilter ref="A4:F34"/>
  <x:tableColumns count="6">
    <x:tableColumn id="1" name="Antecedente"/>
    <x:tableColumn id="2" name="Destino"/>
    <x:tableColumn id="3" name="Relación editorial"/>
    <x:tableColumn id="4" name="Justificación"/>
    <x:tableColumn id="5" name="Evidencia"/>
    <x:tableColumn id="6" name="Destino inválido"/>
  </x:tableColumns>
  <x:tableStyleInfo name="TableStyleMedium2" showFirstColumn="0" showLastColumn="0" showRowStripes="1" showColumnStripes="0"/>
</x:table>
</file>

<file path=xl/tables/table35.xml><?xml version="1.0" encoding="utf-8"?>
<x:table xmlns:x="http://schemas.openxmlformats.org/spreadsheetml/2006/main" id="35" name="CYB_Consecuencias_enlace" displayName="CYB_Consecuencias_enlace" ref="A4:R12" headerRowCount="1" totalsRowCount="0" totalsRowShown="0">
  <x:autoFilter ref="A4:R12"/>
  <x:tableColumns count="18">
    <x:tableColumn id="1" name="ID"/>
    <x:tableColumn id="2" name="Operación"/>
    <x:tableColumn id="3" name="Conocimiento A"/>
    <x:tableColumn id="4" name="Conocimiento B"/>
    <x:tableColumn id="5" name="Conocimiento C"/>
    <x:tableColumn id="6" name="Escenario hipotético"/>
    <x:tableColumn id="7" name="Enlace necesario"/>
    <x:tableColumn id="8" name="Consejo defectuoso si se omite"/>
    <x:tableColumn id="9" name="Consecuencia potencial"/>
    <x:tableColumn id="10" name="Consejo que debe poder fundamentarse"/>
    <x:tableColumn id="11" name="Fuente principal"/>
    <x:tableColumn id="12" name="Localizador"/>
    <x:tableColumn id="13" name="Límite de la evidencia"/>
    <x:tableColumn id="14" name="Necesidad de ruta / explicación"/>
    <x:tableColumn id="15" name="Estado probatorio"/>
    <x:tableColumn id="16" name="Operación inválida"/>
    <x:tableColumn id="17" name="Conocimiento inválido"/>
    <x:tableColumn id="18" name="Campo esencial ausente"/>
  </x:tableColumns>
  <x:tableStyleInfo name="TableStyleMedium2" showFirstColumn="0" showLastColumn="0" showRowStripes="1" showColumnStripes="0"/>
</x:table>
</file>

<file path=xl/tables/table36.xml><?xml version="1.0" encoding="utf-8"?>
<x:table xmlns:x="http://schemas.openxmlformats.org/spreadsheetml/2006/main" id="36" name="CYB_Consejo_y_frame" displayName="CYB_Consejo_y_frame" ref="A4:F16" headerRowCount="1" totalsRowCount="0" totalsRowShown="0">
  <x:autoFilter ref="A4:F16"/>
  <x:tableColumns count="6">
    <x:tableColumn id="1" name="ID"/>
    <x:tableColumn id="2" name="Objeto"/>
    <x:tableColumn id="3" name="Obligación"/>
    <x:tableColumn id="4" name="Omisión que debe impedirse"/>
    <x:tableColumn id="5" name="Fuente / localizador"/>
    <x:tableColumn id="6" name="Estatuto"/>
  </x:tableColumns>
  <x:tableStyleInfo name="TableStyleMedium2" showFirstColumn="0" showLastColumn="0" showRowStripes="1" showColumnStripes="0"/>
</x:table>
</file>

<file path=xl/tables/table37.xml><?xml version="1.0" encoding="utf-8"?>
<x:table xmlns:x="http://schemas.openxmlformats.org/spreadsheetml/2006/main" id="37" name="CYB_Seleccion_y_lagunas" displayName="CYB_Seleccion_y_lagunas" ref="A4:F16" headerRowCount="1" totalsRowCount="0" totalsRowShown="0">
  <x:autoFilter ref="A4:F16"/>
  <x:tableColumns count="6">
    <x:tableColumn id="1" name="ID"/>
    <x:tableColumn id="2" name="Cuestión"/>
    <x:tableColumn id="3" name="Decisión fundada"/>
    <x:tableColumn id="4" name="Límite que se conserva"/>
    <x:tableColumn id="5" name="Estado"/>
    <x:tableColumn id="6" name="Evidencia"/>
  </x:tableColumns>
  <x:tableStyleInfo name="TableStyleMedium2" showFirstColumn="0" showLastColumn="0" showRowStripes="1" showColumnStripes="0"/>
</x:table>
</file>

<file path=xl/tables/table38.xml><?xml version="1.0" encoding="utf-8"?>
<x:table xmlns:x="http://schemas.openxmlformats.org/spreadsheetml/2006/main" id="38" name="CYB_Operacion_CYB_001" displayName="CYB_Operacion_CYB_001" ref="A4:C18" headerRowCount="1" totalsRowCount="0" totalsRowShown="0">
  <x:autoFilter ref="A4:C18"/>
  <x:tableColumns count="3">
    <x:tableColumn id="1" name="Componente"/>
    <x:tableColumn id="2" name="Contrato del recorte"/>
    <x:tableColumn id="3" name="Frontera / fundamento"/>
  </x:tableColumns>
  <x:tableStyleInfo name="TableStyleMedium2" showFirstColumn="0" showLastColumn="0" showRowStripes="1" showColumnStripes="0"/>
</x:table>
</file>

<file path=xl/tables/table39.xml><?xml version="1.0" encoding="utf-8"?>
<x:table xmlns:x="http://schemas.openxmlformats.org/spreadsheetml/2006/main" id="39" name="CYB_Q0_y_terminacion" displayName="CYB_Q0_y_terminacion" ref="A4:J13" headerRowCount="1" totalsRowCount="0" totalsRowShown="0">
  <x:autoFilter ref="A4:J13"/>
  <x:tableColumns count="10">
    <x:tableColumn id="1" name="Raíz"/>
    <x:tableColumn id="2" name="Familia de pregunta"/>
    <x:tableColumn id="3" name="Pregunta"/>
    <x:tableColumn id="4" name="Distinciones declaradas antes de G5"/>
    <x:tableColumn id="5" name="D declaradas"/>
    <x:tableColumn id="6" name="D dictaminadas"/>
    <x:tableColumn id="7" name="D pendientes"/>
    <x:tableColumn id="8" name="Estado"/>
    <x:tableColumn id="9" name="Fuente"/>
    <x:tableColumn id="10" name="Consecuencia del pendiente"/>
  </x:tableColumns>
  <x:tableStyleInfo name="TableStyleMedium2" showFirstColumn="0" showLastColumn="0" showRowStripes="1" showColumnStripes="0"/>
</x:table>
</file>

<file path=xl/tables/table40.xml><?xml version="1.0" encoding="utf-8"?>
<x:table xmlns:x="http://schemas.openxmlformats.org/spreadsheetml/2006/main" id="40" name="CYB_Primer_parametro" displayName="CYB_Primer_parametro" ref="A4:C32" headerRowCount="1" totalsRowCount="0" totalsRowShown="0">
  <x:autoFilter ref="A4:C32"/>
  <x:tableColumns count="3">
    <x:tableColumn id="1" name="Elemento"/>
    <x:tableColumn id="2" name="Contrato"/>
    <x:tableColumn id="3" name="Justificación / límite"/>
  </x:tableColumns>
  <x:tableStyleInfo name="TableStyleMedium2" showFirstColumn="0" showLastColumn="0" showRowStripes="1" showColumnStripes="0"/>
</x:table>
</file>

<file path=xl/tables/table41.xml><?xml version="1.0" encoding="utf-8"?>
<x:table xmlns:x="http://schemas.openxmlformats.org/spreadsheetml/2006/main" id="41" name="CYB_Consecuencias_G4" displayName="CYB_Consecuencias_G4" ref="A4:H8" headerRowCount="1" totalsRowCount="0" totalsRowShown="0">
  <x:autoFilter ref="A4:H8"/>
  <x:tableColumns count="8">
    <x:tableColumn id="1" name="ID"/>
    <x:tableColumn id="2" name="Clase"/>
    <x:tableColumn id="3" name="Conocimiento que debe enlazarse"/>
    <x:tableColumn id="4" name="Error u omisión"/>
    <x:tableColumn id="5" name="Consejo afectado"/>
    <x:tableColumn id="6" name="Consecuencia"/>
    <x:tableColumn id="7" name="Condición / límite causal"/>
    <x:tableColumn id="8" name="Fuentes previas"/>
  </x:tableColumns>
  <x:tableStyleInfo name="TableStyleMedium2" showFirstColumn="0" showLastColumn="0" showRowStripes="1" showColumnStripes="0"/>
</x:table>
</file>

<file path=xl/tables/table42.xml><?xml version="1.0" encoding="utf-8"?>
<x:table xmlns:x="http://schemas.openxmlformats.org/spreadsheetml/2006/main" id="42" name="CYB_Testigos_G5" displayName="CYB_Testigos_G5" ref="A4:R32" headerRowCount="1" totalsRowCount="0" totalsRowShown="0">
  <x:autoFilter ref="A4:R32"/>
  <x:tableColumns count="18">
    <x:tableColumn id="1" name="ID"/>
    <x:tableColumn id="2" name="Ataque / familia"/>
    <x:tableColumn id="3" name="Perfil"/>
    <x:tableColumn id="4" name="Identidad"/>
    <x:tableColumn id="5" name="Procedencia"/>
    <x:tableColumn id="6" name="Captura"/>
    <x:tableColumn id="7" name="Ámbito"/>
    <x:tableColumn id="8" name="Resultado instalación"/>
    <x:tableColumn id="9" name="Observación"/>
    <x:tableColumn id="10" name="Lexema exacto"/>
    <x:tableColumn id="11" name="Clase esperada"/>
    <x:tableColumn id="12" name="Tri esperado"/>
    <x:tableColumn id="13" name="Diagnóstico esperado"/>
    <x:tableColumn id="14" name="Clase calculada"/>
    <x:tableColumn id="15" name="Tri calculado"/>
    <x:tableColumn id="16" name="Diagnóstico calculado"/>
    <x:tableColumn id="17" name="Concordancia"/>
    <x:tableColumn id="18" name="Interpretación"/>
  </x:tableColumns>
  <x:tableStyleInfo name="TableStyleMedium2" showFirstColumn="0" showLastColumn="0" showRowStripes="1" showColumnStripes="0"/>
</x:table>
</file>

<file path=xl/tables/table43.xml><?xml version="1.0" encoding="utf-8"?>
<x:table xmlns:x="http://schemas.openxmlformats.org/spreadsheetml/2006/main" id="43" name="CYB_Adversarial_G5" displayName="CYB_Adversarial_G5" ref="A4:E24" headerRowCount="1" totalsRowCount="0" totalsRowShown="0">
  <x:autoFilter ref="A4:E24"/>
  <x:tableColumns count="5">
    <x:tableColumn id="1" name="ID"/>
    <x:tableColumn id="2" name="Ataque"/>
    <x:tableColumn id="3" name="Resolución"/>
    <x:tableColumn id="4" name="Dictamen"/>
    <x:tableColumn id="5" name="Evidencia"/>
  </x:tableColumns>
  <x:tableStyleInfo name="TableStyleMedium2" showFirstColumn="0" showLastColumn="0" showRowStripes="1" showColumnStripes="0"/>
</x:table>
</file>

<file path=xl/tables/table44.xml><?xml version="1.0" encoding="utf-8"?>
<x:table xmlns:x="http://schemas.openxmlformats.org/spreadsheetml/2006/main" id="44" name="CYB_Fuentes_atomicas" displayName="CYB_Fuentes_atomicas" ref="A4:I15" headerRowCount="1" totalsRowCount="0" totalsRowShown="0">
  <x:autoFilter ref="A4:I15"/>
  <x:tableColumns count="9">
    <x:tableColumn id="1" name="ID"/>
    <x:tableColumn id="2" name="Documento y edición"/>
    <x:tableColumn id="3" name="URL"/>
    <x:tableColumn id="4" name="Localizador utilizado"/>
    <x:tableColumn id="5" name="Función de la fuente"/>
    <x:tableColumn id="6" name="Captura"/>
    <x:tableColumn id="7" name="Bytes exactos"/>
    <x:tableColumn id="8" name="SHA-256"/>
    <x:tableColumn id="9" name="Adopción / límite"/>
  </x:tableColumns>
  <x:tableStyleInfo name="TableStyleMedium2" showFirstColumn="0" showLastColumn="0" showRowStripes="1" showColumnStripes="0"/>
</x:table>
</file>

<file path=xl/tables/table45.xml><?xml version="1.0" encoding="utf-8"?>
<x:table xmlns:x="http://schemas.openxmlformats.org/spreadsheetml/2006/main" id="45" name="CYB_Control_G5" displayName="CYB_Control_G5" ref="A4:E16" headerRowCount="1" totalsRowCount="0" totalsRowShown="0">
  <x:autoFilter ref="A4:E16"/>
  <x:tableColumns count="5">
    <x:tableColumn id="1" name="ID"/>
    <x:tableColumn id="2" name="Control"/>
    <x:tableColumn id="3" name="Observado"/>
    <x:tableColumn id="4" name="Esperado"/>
    <x:tableColumn id="5" name="Límite"/>
  </x:tableColumns>
  <x:tableStyleInfo name="TableStyleMedium2" showFirstColumn="0" showLastColumn="0" showRowStripes="1" showColumnStripes="0"/>
</x:table>
</file>

<file path=xl/tables/table46.xml><?xml version="1.0" encoding="utf-8"?>
<x:table xmlns:x="http://schemas.openxmlformats.org/spreadsheetml/2006/main" id="46" name="CYB_Apertura_y_adopcion" displayName="CYB_Apertura_y_adopcion" ref="A4:C14" headerRowCount="1" totalsRowCount="0" totalsRowShown="0">
  <x:autoFilter ref="A4:C14"/>
  <x:tableColumns count="3">
    <x:tableColumn id="1" name="Elemento"/>
    <x:tableColumn id="2" name="Estado actual"/>
    <x:tableColumn id="3" name="Fundamento"/>
  </x:tableColumns>
  <x:tableStyleInfo name="TableStyleMedium2" showFirstColumn="0" showLastColumn="0" showRowStripes="1" showColumnStripes="0"/>
</x:table>
</file>

<file path=xl/tables/table47.xml><?xml version="1.0" encoding="utf-8"?>
<x:table xmlns:x="http://schemas.openxmlformats.org/spreadsheetml/2006/main" id="47" name="CYB_Registro_diez" displayName="CYB_Registro_diez" ref="A4:L14" headerRowCount="1" totalsRowCount="0" totalsRowShown="0">
  <x:autoFilter ref="A4:L14"/>
  <x:tableColumns count="12">
    <x:tableColumn id="1" name="Alias"/>
    <x:tableColumn id="2" name="Identidad canónica"/>
    <x:tableColumn id="3" name="Versión"/>
    <x:tableColumn id="4" name="Distinción Q0"/>
    <x:tableColumn id="5" name="Nombre"/>
    <x:tableColumn id="6" name="Proposición única"/>
    <x:tableColumn id="7" name="Perfil"/>
    <x:tableColumn id="8" name="Dictamen"/>
    <x:tableColumn id="9" name="Adopción nominal"/>
    <x:tableColumn id="10" name="Expediente"/>
    <x:tableColumn id="11" name="Fuentes"/>
    <x:tableColumn id="12" name="Propiedad"/>
  </x:tableColumns>
  <x:tableStyleInfo name="TableStyleMedium2" showFirstColumn="0" showLastColumn="0" showRowStripes="1" showColumnStripes="0"/>
</x:table>
</file>

<file path=xl/tables/table48.xml><?xml version="1.0" encoding="utf-8"?>
<x:table xmlns:x="http://schemas.openxmlformats.org/spreadsheetml/2006/main" id="48" name="CYB_Contratos_atomicos" displayName="CYB_Contratos_atomicos" ref="A4:D103" headerRowCount="1" totalsRowCount="0" totalsRowShown="0">
  <x:autoFilter ref="A4:D103"/>
  <x:tableColumns count="4">
    <x:tableColumn id="1" name="Parámetro"/>
    <x:tableColumn id="2" name="Elemento"/>
    <x:tableColumn id="3" name="Contrato"/>
    <x:tableColumn id="4" name="Fuente"/>
  </x:tableColumns>
  <x:tableStyleInfo name="TableStyleMedium2" showFirstColumn="0" showLastColumn="0" showRowStripes="1" showColumnStripes="0"/>
</x:table>
</file>

<file path=xl/tables/table49.xml><?xml version="1.0" encoding="utf-8"?>
<x:table xmlns:x="http://schemas.openxmlformats.org/spreadsheetml/2006/main" id="49" name="CYB_Consecuencias_lote" displayName="CYB_Consecuencias_lote" ref="A4:G22" headerRowCount="1" totalsRowCount="0" totalsRowShown="0">
  <x:autoFilter ref="A4:G22"/>
  <x:tableColumns count="7">
    <x:tableColumn id="1" name="Consecuencia"/>
    <x:tableColumn id="2" name="Parámetro"/>
    <x:tableColumn id="3" name="Conocimiento que debe enlazarse"/>
    <x:tableColumn id="4" name="Error o exceso"/>
    <x:tableColumn id="5" name="Función alterada"/>
    <x:tableColumn id="6" name="Condición y límite"/>
    <x:tableColumn id="7" name="Fuente"/>
  </x:tableColumns>
  <x:tableStyleInfo name="TableStyleMedium2" showFirstColumn="0" showLastColumn="0" showRowStripes="1" showColumnStripes="0"/>
</x:table>
</file>

<file path=xl/tables/table50.xml><?xml version="1.0" encoding="utf-8"?>
<x:table xmlns:x="http://schemas.openxmlformats.org/spreadsheetml/2006/main" id="50" name="CYB_Atomicidad_y_ablacion" displayName="CYB_Atomicidad_y_ablacion" ref="A4:D94" headerRowCount="1" totalsRowCount="0" totalsRowShown="0">
  <x:autoFilter ref="A4:D94"/>
  <x:tableColumns count="4">
    <x:tableColumn id="1" name="Parámetro"/>
    <x:tableColumn id="2" name="Criterio"/>
    <x:tableColumn id="3" name="Prueba / razón delimitada"/>
    <x:tableColumn id="4" name="Resultado"/>
  </x:tableColumns>
  <x:tableStyleInfo name="TableStyleMedium2" showFirstColumn="0" showLastColumn="0" showRowStripes="1" showColumnStripes="0"/>
</x:table>
</file>

<file path=xl/tables/table51.xml><?xml version="1.0" encoding="utf-8"?>
<x:table xmlns:x="http://schemas.openxmlformats.org/spreadsheetml/2006/main" id="51" name="CYB_Testigos_lote" displayName="CYB_Testigos_lote" ref="A4:AB131" headerRowCount="1" totalsRowCount="0" totalsRowShown="0">
  <x:autoFilter ref="A4:AB131"/>
  <x:tableColumns count="28">
    <x:tableColumn id="1" name="Caso"/>
    <x:tableColumn id="2" name="Parámetro"/>
    <x:tableColumn id="3" name="Perfil"/>
    <x:tableColumn id="4" name="Identidad"/>
    <x:tableColumn id="5" name="Captura"/>
    <x:tableColumn id="6" name="Soporte observado"/>
    <x:tableColumn id="7" name="Presencia"/>
    <x:tableColumn id="8" name="Lexema / identidad 1"/>
    <x:tableColumn id="9" name="Lexema / identidad 2"/>
    <x:tableColumn id="10" name="Cobertura"/>
    <x:tableColumn id="11" name="Contexto"/>
    <x:tableColumn id="12" name="Clase esperada"/>
    <x:tableColumn id="13" name="Tri esperado"/>
    <x:tableColumn id="14" name="Diagnóstico esperado"/>
    <x:tableColumn id="15" name="Clase calculada"/>
    <x:tableColumn id="16" name="Tri calculado"/>
    <x:tableColumn id="17" name="Diagnóstico calculado"/>
    <x:tableColumn id="18" name="Contraste"/>
    <x:tableColumn id="19" name="Razón profesional"/>
    <x:tableColumn id="20" name="Perfil esperado por contrato"/>
    <x:tableColumn id="21" name="Soporte exigido"/>
    <x:tableColumn id="22" name="Contexto exigido"/>
    <x:tableColumn id="23" name="Modo contractual"/>
    <x:tableColumn id="24" name="Positivo contractual"/>
    <x:tableColumn id="25" name="Auxiliar contractual"/>
    <x:tableColumn id="26" name="Negativo contractual"/>
    <x:tableColumn id="27" name="Diagnóstico positivo"/>
    <x:tableColumn id="28" name="Diagnóstico negativo"/>
  </x:tableColumns>
  <x:tableStyleInfo name="TableStyleMedium2" showFirstColumn="0" showLastColumn="0" showRowStripes="1" showColumnStripes="0"/>
</x:table>
</file>

<file path=xl/tables/table52.xml><?xml version="1.0" encoding="utf-8"?>
<x:table xmlns:x="http://schemas.openxmlformats.org/spreadsheetml/2006/main" id="52" name="CYB_Adversarial_lote" displayName="CYB_Adversarial_lote" ref="A4:E24" headerRowCount="1" totalsRowCount="0" totalsRowShown="0">
  <x:autoFilter ref="A4:E24"/>
  <x:tableColumns count="5">
    <x:tableColumn id="1" name="Ataque"/>
    <x:tableColumn id="2" name="Objeto"/>
    <x:tableColumn id="3" name="Refutación buscada"/>
    <x:tableColumn id="4" name="Resolución"/>
    <x:tableColumn id="5" name="Resultado material"/>
  </x:tableColumns>
  <x:tableStyleInfo name="TableStyleMedium2" showFirstColumn="0" showLastColumn="0" showRowStripes="1" showColumnStripes="0"/>
</x:table>
</file>

<file path=xl/tables/table53.xml><?xml version="1.0" encoding="utf-8"?>
<x:table xmlns:x="http://schemas.openxmlformats.org/spreadsheetml/2006/main" id="53" name="CYB_Cobertura_Q0_actual" displayName="CYB_Cobertura_Q0_actual" ref="A4:F35" headerRowCount="1" totalsRowCount="0" totalsRowShown="0">
  <x:autoFilter ref="A4:F35"/>
  <x:tableColumns count="6">
    <x:tableColumn id="1" name="Distinción"/>
    <x:tableColumn id="2" name="Objeto"/>
    <x:tableColumn id="3" name="Parámetro enlazado"/>
    <x:tableColumn id="4" name="Estado de cobertura"/>
    <x:tableColumn id="5" name="Laguna / alcance"/>
    <x:tableColumn id="6" name="Regla"/>
  </x:tableColumns>
  <x:tableStyleInfo name="TableStyleMedium2" showFirstColumn="0" showLastColumn="0" showRowStripes="1" showColumnStripes="0"/>
</x:table>
</file>

<file path=xl/tables/table54.xml><?xml version="1.0" encoding="utf-8"?>
<x:table xmlns:x="http://schemas.openxmlformats.org/spreadsheetml/2006/main" id="54" name="CYB_Fuentes_lote" displayName="CYB_Fuentes_lote" ref="A4:J11" headerRowCount="1" totalsRowCount="0" totalsRowShown="0">
  <x:autoFilter ref="A4:J11"/>
  <x:tableColumns count="10">
    <x:tableColumn id="1" name="ID"/>
    <x:tableColumn id="2" name="Título"/>
    <x:tableColumn id="3" name="URL"/>
    <x:tableColumn id="4" name="Localizador"/>
    <x:tableColumn id="5" name="Alcance leído"/>
    <x:tableColumn id="6" name="Fecha visible"/>
    <x:tableColumn id="7" name="ms.date"/>
    <x:tableColumn id="8" name="Bytes exactos"/>
    <x:tableColumn id="9" name="SHA-256"/>
    <x:tableColumn id="10" name="Estatuto"/>
  </x:tableColumns>
  <x:tableStyleInfo name="TableStyleMedium2" showFirstColumn="0" showLastColumn="0" showRowStripes="1" showColumnStripes="0"/>
</x:table>
</file>

<file path=xl/tables/table55.xml><?xml version="1.0" encoding="utf-8"?>
<x:table xmlns:x="http://schemas.openxmlformats.org/spreadsheetml/2006/main" id="55" name="CYB_Control_lote" displayName="CYB_Control_lote" ref="A4:E18" headerRowCount="1" totalsRowCount="0" totalsRowShown="0">
  <x:autoFilter ref="A4:E18"/>
  <x:tableColumns count="5">
    <x:tableColumn id="1" name="Control"/>
    <x:tableColumn id="2" name="Magnitud"/>
    <x:tableColumn id="3" name="Observado"/>
    <x:tableColumn id="4" name="Esperado"/>
    <x:tableColumn id="5" name="Alcance"/>
  </x:tableColumns>
  <x:tableStyleInfo name="TableStyleMedium2" showFirstColumn="0" showLastColumn="0" showRowStripes="1" showColumnStripes="0"/>
</x:table>
</file>

<file path=xl/tables/table56.xml><?xml version="1.0" encoding="utf-8"?>
<x:table xmlns:x="http://schemas.openxmlformats.org/spreadsheetml/2006/main" id="56" name="CYB_Codificacion_ensayo" displayName="CYB_Codificacion_ensayo" ref="A4:J13" headerRowCount="1" totalsRowCount="0" totalsRowShown="0">
  <x:autoFilter ref="A4:J13"/>
  <x:tableColumns count="10">
    <x:tableColumn id="1" name="Parámetro"/>
    <x:tableColumn id="2" name="Perfil"/>
    <x:tableColumn id="3" name="Soporte requerido"/>
    <x:tableColumn id="4" name="Contexto requerido"/>
    <x:tableColumn id="5" name="Modo"/>
    <x:tableColumn id="6" name="Positivo 1"/>
    <x:tableColumn id="7" name="Auxiliar"/>
    <x:tableColumn id="8" name="Negativo"/>
    <x:tableColumn id="9" name="Diagnóstico 1"/>
    <x:tableColumn id="10" name="Diagnóstico 0"/>
  </x:tableColumns>
  <x:tableStyleInfo name="TableStyleMedium2" showFirstColumn="0" showLastColumn="0" showRowStripes="1" showColumnStripes="0"/>
</x:table>
</file>

<file path=xl/tables/table57.xml><?xml version="1.0" encoding="utf-8"?>
<x:table xmlns:x="http://schemas.openxmlformats.org/spreadsheetml/2006/main" id="57" name="CYB06_56" displayName="CYB06_56" ref="A4:D15" headerRowCount="1" totalsRowCount="0" totalsRowShown="0">
  <x:autoFilter ref="A4:D15"/>
  <x:tableColumns count="4">
    <x:tableColumn id="1" name="Cuestión"/>
    <x:tableColumn id="2" name="Resultado"/>
    <x:tableColumn id="3" name="Fundamento"/>
    <x:tableColumn id="4" name="Límite o siguiente responsable"/>
  </x:tableColumns>
  <x:tableStyleInfo name="TableStyleMedium2" showFirstColumn="0" showLastColumn="0" showRowStripes="1" showColumnStripes="0"/>
</x:table>
</file>

<file path=xl/tables/table58.xml><?xml version="1.0" encoding="utf-8"?>
<x:table xmlns:x="http://schemas.openxmlformats.org/spreadsheetml/2006/main" id="58" name="CYB06_57" displayName="CYB06_57" ref="A4:H19" headerRowCount="1" totalsRowCount="0" totalsRowShown="0">
  <x:autoFilter ref="A4:H19"/>
  <x:tableColumns count="8">
    <x:tableColumn id="1" name="Alias"/>
    <x:tableColumn id="2" name="Identidad canónica"/>
    <x:tableColumn id="3" name="Nombre"/>
    <x:tableColumn id="4" name="Q0"/>
    <x:tableColumn id="5" name="Proposición única"/>
    <x:tableColumn id="6" name="Estatuto vigente"/>
    <x:tableColumn id="7" name="Perfil / contrato"/>
    <x:tableColumn id="8" name="Límite"/>
  </x:tableColumns>
  <x:tableStyleInfo name="TableStyleMedium2" showFirstColumn="0" showLastColumn="0" showRowStripes="1" showColumnStripes="0"/>
</x:table>
</file>

<file path=xl/tables/table59.xml><?xml version="1.0" encoding="utf-8"?>
<x:table xmlns:x="http://schemas.openxmlformats.org/spreadsheetml/2006/main" id="59" name="CYB06_58" displayName="CYB06_58" ref="A4:D59" headerRowCount="1" totalsRowCount="0" totalsRowShown="0">
  <x:autoFilter ref="A4:D59"/>
  <x:tableColumns count="4">
    <x:tableColumn id="1" name="Alias"/>
    <x:tableColumn id="2" name="Identidad"/>
    <x:tableColumn id="3" name="Componente contractual"/>
    <x:tableColumn id="4" name="Contenido"/>
  </x:tableColumns>
  <x:tableStyleInfo name="TableStyleMedium2" showFirstColumn="0" showLastColumn="0" showRowStripes="1" showColumnStripes="0"/>
</x:table>
</file>

<file path=xl/tables/table60.xml><?xml version="1.0" encoding="utf-8"?>
<x:table xmlns:x="http://schemas.openxmlformats.org/spreadsheetml/2006/main" id="60" name="CYB06_59" displayName="CYB06_59" ref="A4:F35" headerRowCount="1" totalsRowCount="0" totalsRowShown="0">
  <x:autoFilter ref="A4:F35"/>
  <x:tableColumns count="6">
    <x:tableColumn id="1" name="Distinción"/>
    <x:tableColumn id="2" name="Referencias"/>
    <x:tableColumn id="3" name="Estatuto"/>
    <x:tableColumn id="4" name="Resolución documental"/>
    <x:tableColumn id="5" name="Terminación"/>
    <x:tableColumn id="6" name="Dependencia que bloquea capacidad"/>
  </x:tableColumns>
  <x:tableStyleInfo name="TableStyleMedium2" showFirstColumn="0" showLastColumn="0" showRowStripes="1" showColumnStripes="0"/>
</x:table>
</file>

<file path=xl/tables/table61.xml><?xml version="1.0" encoding="utf-8"?>
<x:table xmlns:x="http://schemas.openxmlformats.org/spreadsheetml/2006/main" id="61" name="CYB06_60" displayName="CYB06_60" ref="A4:D88" headerRowCount="1" totalsRowCount="0" totalsRowShown="0">
  <x:autoFilter ref="A4:D88"/>
  <x:tableColumns count="4">
    <x:tableColumn id="1" name="Control"/>
    <x:tableColumn id="2" name="Nombre"/>
    <x:tableColumn id="3" name="Apartado"/>
    <x:tableColumn id="4" name="Contrato y consecuencia"/>
  </x:tableColumns>
  <x:tableStyleInfo name="TableStyleMedium2" showFirstColumn="0" showLastColumn="0" showRowStripes="1" showColumnStripes="0"/>
</x:table>
</file>

<file path=xl/tables/table62.xml><?xml version="1.0" encoding="utf-8"?>
<x:table xmlns:x="http://schemas.openxmlformats.org/spreadsheetml/2006/main" id="62" name="CYB06_61" displayName="CYB06_61" ref="A4:F20" headerRowCount="1" totalsRowCount="0" totalsRowShown="0">
  <x:autoFilter ref="A4:F20"/>
  <x:tableColumns count="6">
    <x:tableColumn id="1" name="Relación"/>
    <x:tableColumn id="2" name="Antecedente"/>
    <x:tableColumn id="3" name="Consecuente"/>
    <x:tableColumn id="4" name="Relación / condición"/>
    <x:tableColumn id="5" name="Consecuencia de omisión"/>
    <x:tableColumn id="6" name="Q0"/>
  </x:tableColumns>
  <x:tableStyleInfo name="TableStyleMedium2" showFirstColumn="0" showLastColumn="0" showRowStripes="1" showColumnStripes="0"/>
</x:table>
</file>

<file path=xl/tables/table63.xml><?xml version="1.0" encoding="utf-8"?>
<x:table xmlns:x="http://schemas.openxmlformats.org/spreadsheetml/2006/main" id="63" name="CYB06_62" displayName="CYB06_62" ref="A4:S69" headerRowCount="1" totalsRowCount="0" totalsRowShown="0">
  <x:autoFilter ref="A4:S69"/>
  <x:tableColumns count="19">
    <x:tableColumn id="1" name="Caso"/>
    <x:tableColumn id="2" name="Parámetro"/>
    <x:tableColumn id="3" name="Ataque"/>
    <x:tableColumn id="4" name="Recepción"/>
    <x:tableColumn id="5" name="Perfil"/>
    <x:tableColumn id="6" name="Pertinencia"/>
    <x:tableColumn id="7" name="Observación"/>
    <x:tableColumn id="8" name="Conflicto"/>
    <x:tableColumn id="9" name="Tipo"/>
    <x:tableColumn id="10" name="Tipo objetivo"/>
    <x:tableColumn id="11" name="Valor"/>
    <x:tableColumn id="12" name="Objetivo"/>
    <x:tableColumn id="13" name="Ancla exacta"/>
    <x:tableColumn id="14" name="Corte exacto"/>
    <x:tableColumn id="15" name="Cobertura"/>
    <x:tableColumn id="16" name="Esperado previo"/>
    <x:tableColumn id="17" name="Resultado ejecutado"/>
    <x:tableColumn id="18" name="Concordancia Excel"/>
    <x:tableColumn id="19" name="Entrada íntegra"/>
  </x:tableColumns>
  <x:tableStyleInfo name="TableStyleMedium2" showFirstColumn="0" showLastColumn="0" showRowStripes="1" showColumnStripes="0"/>
</x:table>
</file>

<file path=xl/tables/table64.xml><?xml version="1.0" encoding="utf-8"?>
<x:table xmlns:x="http://schemas.openxmlformats.org/spreadsheetml/2006/main" id="64" name="CYB06_63" displayName="CYB06_63" ref="A4:F59" headerRowCount="1" totalsRowCount="0" totalsRowShown="0">
  <x:autoFilter ref="A4:F59"/>
  <x:tableColumns count="6">
    <x:tableColumn id="1" name="Caso"/>
    <x:tableColumn id="2" name="Ataque"/>
    <x:tableColumn id="3" name="Esperado previo"/>
    <x:tableColumn id="4" name="Resultado ejecutado"/>
    <x:tableColumn id="5" name="Concordancia Excel"/>
    <x:tableColumn id="6" name="Alcance"/>
  </x:tableColumns>
  <x:tableStyleInfo name="TableStyleMedium2" showFirstColumn="0" showLastColumn="0" showRowStripes="1" showColumnStripes="0"/>
</x:table>
</file>

<file path=xl/tables/table65.xml><?xml version="1.0" encoding="utf-8"?>
<x:table xmlns:x="http://schemas.openxmlformats.org/spreadsheetml/2006/main" id="65" name="CYB06_64" displayName="CYB06_64" ref="A4:D31" headerRowCount="1" totalsRowCount="0" totalsRowShown="0">
  <x:autoFilter ref="A4:D31"/>
  <x:tableColumns count="4">
    <x:tableColumn id="1" name="ID"/>
    <x:tableColumn id="2" name="Ataque / deuda"/>
    <x:tableColumn id="3" name="Resultado / responsable"/>
    <x:tableColumn id="4" name="Resolución / capacidad bloqueada"/>
  </x:tableColumns>
  <x:tableStyleInfo name="TableStyleMedium2" showFirstColumn="0" showLastColumn="0" showRowStripes="1" showColumnStripes="0"/>
</x:table>
</file>

<file path=xl/tables/table66.xml><?xml version="1.0" encoding="utf-8"?>
<x:table xmlns:x="http://schemas.openxmlformats.org/spreadsheetml/2006/main" id="66" name="CYB06_65" displayName="CYB06_65" ref="A4:H9" headerRowCount="1" totalsRowCount="0" totalsRowShown="0">
  <x:autoFilter ref="A4:H9"/>
  <x:tableColumns count="8">
    <x:tableColumn id="1" name="ID"/>
    <x:tableColumn id="2" name="Fuente"/>
    <x:tableColumn id="3" name="URL"/>
    <x:tableColumn id="4" name="Localizador aplicado"/>
    <x:tableColumn id="5" name="Edición / metadato"/>
    <x:tableColumn id="6" name="SHA-256 original"/>
    <x:tableColumn id="7" name="Bytes"/>
    <x:tableColumn id="8" name="Captura / corte"/>
  </x:tableColumns>
  <x:tableStyleInfo name="TableStyleMedium2" showFirstColumn="0" showLastColumn="0" showRowStripes="1" showColumnStripes="0"/>
</x:table>
</file>

<file path=xl/tables/table67.xml><?xml version="1.0" encoding="utf-8"?>
<x:table xmlns:x="http://schemas.openxmlformats.org/spreadsheetml/2006/main" id="67" name="CYB07_66" displayName="CYB07_66" ref="A4:C19" headerRowCount="1" totalsRowCount="0" totalsRowShown="0">
  <x:autoFilter ref="A4:C19"/>
  <x:tableColumns count="3">
    <x:tableColumn id="1" name="Cuestión"/>
    <x:tableColumn id="2" name="Resultado"/>
    <x:tableColumn id="3" name="Fundamento"/>
  </x:tableColumns>
  <x:tableStyleInfo name="TableStyleMedium2" showFirstColumn="0" showLastColumn="0" showRowStripes="1" showColumnStripes="0"/>
</x:table>
</file>

<file path=xl/tables/table68.xml><?xml version="1.0" encoding="utf-8"?>
<x:table xmlns:x="http://schemas.openxmlformats.org/spreadsheetml/2006/main" id="68" name="CYB07_67" displayName="CYB07_67" ref="A4:K28" headerRowCount="1" totalsRowCount="0" totalsRowShown="0">
  <x:autoFilter ref="A4:K28"/>
  <x:tableColumns count="11">
    <x:tableColumn id="1" name="Parámetro"/>
    <x:tableColumn id="2" name="Identidad estable"/>
    <x:tableColumn id="3" name="Versión"/>
    <x:tableColumn id="4" name="Denominación"/>
    <x:tableColumn id="5" name="Sujeto"/>
    <x:tableColumn id="6" name="Proposición"/>
    <x:tableColumn id="7" name="Condición de 1"/>
    <x:tableColumn id="8" name="Condición de 0"/>
    <x:tableColumn id="9" name="Condición de U"/>
    <x:tableColumn id="10" name="Observación y límites"/>
    <x:tableColumn id="11" name="Fuentes"/>
  </x:tableColumns>
  <x:tableStyleInfo name="TableStyleMedium2" showFirstColumn="0" showLastColumn="0" showRowStripes="1" showColumnStripes="0"/>
</x:table>
</file>

<file path=xl/tables/table69.xml><?xml version="1.0" encoding="utf-8"?>
<x:table xmlns:x="http://schemas.openxmlformats.org/spreadsheetml/2006/main" id="69" name="CYB07_68" displayName="CYB07_68" ref="A4:I28" headerRowCount="1" totalsRowCount="0" totalsRowShown="0">
  <x:autoFilter ref="A4:I28"/>
  <x:tableColumns count="9">
    <x:tableColumn id="1" name="Parámetro"/>
    <x:tableColumn id="2" name="Conocimiento necesario"/>
    <x:tableColumn id="3" name="Relación"/>
    <x:tableColumn id="4" name="Consecuencia de omisión"/>
    <x:tableColumn id="5" name="Consecuencia del exceso"/>
    <x:tableColumn id="6" name="Variación independiente"/>
    <x:tableColumn id="7" name="Partición examinada"/>
    <x:tableColumn id="8" name="Comparación principal"/>
    <x:tableColumn id="9" name="Fuentes"/>
  </x:tableColumns>
  <x:tableStyleInfo name="TableStyleMedium2" showFirstColumn="0" showLastColumn="0" showRowStripes="1" showColumnStripes="0"/>
</x:table>
</file>

<file path=xl/tables/table70.xml><?xml version="1.0" encoding="utf-8"?>
<x:table xmlns:x="http://schemas.openxmlformats.org/spreadsheetml/2006/main" id="70" name="CYB07_69" displayName="CYB07_69" ref="A4:F113" headerRowCount="1" totalsRowCount="0" totalsRowShown="0">
  <x:autoFilter ref="A4:F113"/>
  <x:tableColumns count="6">
    <x:tableColumn id="1" name="Tipo"/>
    <x:tableColumn id="2" name="Identidad"/>
    <x:tableColumn id="3" name="Necesidad examinada"/>
    <x:tableColumn id="4" name="Representación o resolución"/>
    <x:tableColumn id="5" name="Justificación y contraejemplo"/>
    <x:tableColumn id="6" name="Fundamento"/>
  </x:tableColumns>
  <x:tableStyleInfo name="TableStyleMedium2" showFirstColumn="0" showLastColumn="0" showRowStripes="1" showColumnStripes="0"/>
</x:table>
</file>

<file path=xl/tables/table71.xml><?xml version="1.0" encoding="utf-8"?>
<x:table xmlns:x="http://schemas.openxmlformats.org/spreadsheetml/2006/main" id="71" name="CYB07_70" displayName="CYB07_70" ref="A4:L33" headerRowCount="1" totalsRowCount="0" totalsRowShown="0">
  <x:autoFilter ref="A4:L33"/>
  <x:tableColumns count="12">
    <x:tableColumn id="1" name="Operación"/>
    <x:tableColumn id="2" name="Familia profesional"/>
    <x:tableColumn id="3" name="Universos compacto"/>
    <x:tableColumn id="4" name="Universos central"/>
    <x:tableColumn id="5" name="Universos amplio"/>
    <x:tableColumn id="6" name="Adicionales compacto"/>
    <x:tableColumn id="7" name="Adicionales central"/>
    <x:tableColumn id="8" name="Adicionales amplio"/>
    <x:tableColumn id="9" name="Justificación de partición"/>
    <x:tableColumn id="10" name="Conocimiento de base"/>
    <x:tableColumn id="11" name="Consecuencia de omitirlo"/>
    <x:tableColumn id="12" name="Referencia educativa"/>
  </x:tableColumns>
  <x:tableStyleInfo name="TableStyleMedium2" showFirstColumn="0" showLastColumn="0" showRowStripes="1" showColumnStripes="0"/>
</x:table>
</file>

<file path=xl/tables/table72.xml><?xml version="1.0" encoding="utf-8"?>
<x:table xmlns:x="http://schemas.openxmlformats.org/spreadsheetml/2006/main" id="72" name="CYB07_71" displayName="CYB07_71" ref="A4:I82" headerRowCount="1" totalsRowCount="0" totalsRowShown="0">
  <x:autoFilter ref="A4:I82"/>
  <x:tableColumns count="9">
    <x:tableColumn id="1" name="Referencia"/>
    <x:tableColumn id="2" name="Autoría"/>
    <x:tableColumn id="3" name="Título"/>
    <x:tableColumn id="4" name="Fecha o edición"/>
    <x:tableColumn id="5" name="Documento original"/>
    <x:tableColumn id="6" name="Localizador"/>
    <x:tableColumn id="7" name="Aportación y límite"/>
    <x:tableColumn id="8" name="SHA-256 del original"/>
    <x:tableColumn id="9" name="Bytes"/>
  </x:tableColumns>
  <x:tableStyleInfo name="TableStyleMedium2" showFirstColumn="0" showLastColumn="0" showRowStripes="1" showColumnStripes="0"/>
</x:table>
</file>

<file path=xl/tables/table73.xml><?xml version="1.0" encoding="utf-8"?>
<x:table xmlns:x="http://schemas.openxmlformats.org/spreadsheetml/2006/main" id="73" name="CYB07_72" displayName="CYB07_72" ref="A4:F68" headerRowCount="1" totalsRowCount="0" totalsRowShown="0">
  <x:autoFilter ref="A4:F68"/>
  <x:tableColumns count="6">
    <x:tableColumn id="1" name="Caso"/>
    <x:tableColumn id="2" name="Parámetro"/>
    <x:tableColumn id="3" name="Supuesto contrastado"/>
    <x:tableColumn id="4" name="Esperado"/>
    <x:tableColumn id="5" name="Obtenido"/>
    <x:tableColumn id="6" name="Concordancia"/>
  </x:tableColumns>
  <x:tableStyleInfo name="TableStyleMedium2" showFirstColumn="0" showLastColumn="0" showRowStripes="1" showColumnStripes="0"/>
</x:table>
</file>

<file path=xl/tables/table74.xml><?xml version="1.0" encoding="utf-8"?>
<x:table xmlns:x="http://schemas.openxmlformats.org/spreadsheetml/2006/main" id="74" name="CYB09_73" displayName="CYB09_73" ref="A4:C21" headerRowCount="1" totalsRowCount="0" totalsRowShown="0">
  <x:autoFilter ref="A4:C21"/>
  <x:tableColumns count="3">
    <x:tableColumn id="1" name="Cuestión"/>
    <x:tableColumn id="2" name="Resultado actual"/>
    <x:tableColumn id="3" name="Fundamento y alcance"/>
  </x:tableColumns>
  <x:tableStyleInfo name="TableStyleMedium2" showFirstColumn="0" showLastColumn="0" showRowStripes="1" showColumnStripes="0"/>
</x:table>
</file>

<file path=xl/tables/table75.xml><?xml version="1.0" encoding="utf-8"?>
<x:table xmlns:x="http://schemas.openxmlformats.org/spreadsheetml/2006/main" id="75" name="CYB09_74" displayName="CYB09_74" ref="A4:Q12" headerRowCount="1" totalsRowCount="0" totalsRowShown="0">
  <x:autoFilter ref="A4:Q12"/>
  <x:tableColumns count="17">
    <x:tableColumn id="1" name="Parámetro"/>
    <x:tableColumn id="2" name="Identidad estable"/>
    <x:tableColumn id="3" name="Versión"/>
    <x:tableColumn id="4" name="Denominación"/>
    <x:tableColumn id="5" name="Sujeto"/>
    <x:tableColumn id="6" name="Proposición"/>
    <x:tableColumn id="7" name="Condición de 1"/>
    <x:tableColumn id="8" name="Condición de 0"/>
    <x:tableColumn id="9" name="Condición de U"/>
    <x:tableColumn id="10" name="Observación y perfil"/>
    <x:tableColumn id="11" name="Conocimiento necesario"/>
    <x:tableColumn id="12" name="Relación"/>
    <x:tableColumn id="13" name="Consecuencia de omisión"/>
    <x:tableColumn id="14" name="Límite frente al exceso"/>
    <x:tableColumn id="15" name="Variación independiente"/>
    <x:tableColumn id="16" name="Partición examinada"/>
    <x:tableColumn id="17" name="Fuentes"/>
  </x:tableColumns>
  <x:tableStyleInfo name="TableStyleMedium2" showFirstColumn="0" showLastColumn="0" showRowStripes="1" showColumnStripes="0"/>
</x:table>
</file>

<file path=xl/tables/table76.xml><?xml version="1.0" encoding="utf-8"?>
<x:table xmlns:x="http://schemas.openxmlformats.org/spreadsheetml/2006/main" id="76" name="CYB09_75" displayName="CYB09_75" ref="A4:H54" headerRowCount="1" totalsRowCount="0" totalsRowShown="0">
  <x:autoFilter ref="A4:H54"/>
  <x:tableColumns count="8">
    <x:tableColumn id="1" name="Tipo"/>
    <x:tableColumn id="2" name="Identidad"/>
    <x:tableColumn id="3" name="Necesidad"/>
    <x:tableColumn id="4" name="Clasificación"/>
    <x:tableColumn id="5" name="Contrato o argumento"/>
    <x:tableColumn id="6" name="Contraejemplo o consecuencia"/>
    <x:tableColumn id="7" name="Resolución o destino"/>
    <x:tableColumn id="8" name="Fundamento"/>
  </x:tableColumns>
  <x:tableStyleInfo name="TableStyleMedium2" showFirstColumn="0" showLastColumn="0" showRowStripes="1" showColumnStripes="0"/>
</x:table>
</file>

<file path=xl/tables/table77.xml><?xml version="1.0" encoding="utf-8"?>
<x:table xmlns:x="http://schemas.openxmlformats.org/spreadsheetml/2006/main" id="77" name="CYB09_76" displayName="CYB09_76" ref="A4:I63" headerRowCount="1" totalsRowCount="0" totalsRowShown="0">
  <x:autoFilter ref="A4:I63"/>
  <x:tableColumns count="9">
    <x:tableColumn id="1" name="Producto"/>
    <x:tableColumn id="2" name="Operación"/>
    <x:tableColumn id="3" name="Resultado profesional"/>
    <x:tableColumn id="4" name="Grupo compacto"/>
    <x:tableColumn id="5" name="Grupo central"/>
    <x:tableColumn id="6" name="Grupo amplio"/>
    <x:tableColumn id="7" name="Estatuto"/>
    <x:tableColumn id="8" name="Razón de partición"/>
    <x:tableColumn id="9" name="Referencia educativa"/>
  </x:tableColumns>
  <x:tableStyleInfo name="TableStyleMedium2" showFirstColumn="0" showLastColumn="0" showRowStripes="1" showColumnStripes="0"/>
</x:table>
</file>

<file path=xl/tables/table78.xml><?xml version="1.0" encoding="utf-8"?>
<x:table xmlns:x="http://schemas.openxmlformats.org/spreadsheetml/2006/main" id="78" name="CYB09_77" displayName="CYB09_77" ref="A4:O33" headerRowCount="1" totalsRowCount="0" totalsRowShown="0">
  <x:autoFilter ref="A4:O33"/>
  <x:tableColumns count="15">
    <x:tableColumn id="1" name="Operación"/>
    <x:tableColumn id="2" name="Familia profesional"/>
    <x:tableColumn id="3" name="Universos compacto"/>
    <x:tableColumn id="4" name="Universos central"/>
    <x:tableColumn id="5" name="Universos amplio"/>
    <x:tableColumn id="6" name="Presupuesto compacto anterior"/>
    <x:tableColumn id="7" name="Presupuesto central anterior"/>
    <x:tableColumn id="8" name="Presupuesto amplio anterior"/>
    <x:tableColumn id="9" name="Identidades ya contadas"/>
    <x:tableColumn id="10" name="Descuento"/>
    <x:tableColumn id="11" name="Pendientes compacto"/>
    <x:tableColumn id="12" name="Pendientes central"/>
    <x:tableColumn id="13" name="Pendientes amplio"/>
    <x:tableColumn id="14" name="Razón de separación"/>
    <x:tableColumn id="15" name="Referencia educativa"/>
  </x:tableColumns>
  <x:tableStyleInfo name="TableStyleMedium2" showFirstColumn="0" showLastColumn="0" showRowStripes="1" showColumnStripes="0"/>
</x:table>
</file>

<file path=xl/tables/table79.xml><?xml version="1.0" encoding="utf-8"?>
<x:table xmlns:x="http://schemas.openxmlformats.org/spreadsheetml/2006/main" id="79" name="CYB09_78" displayName="CYB09_78" ref="A4:H12" headerRowCount="1" totalsRowCount="0" totalsRowShown="0">
  <x:autoFilter ref="A4:H12"/>
  <x:tableColumns count="8">
    <x:tableColumn id="1" name="Requisito"/>
    <x:tableColumn id="2" name="Necesidad"/>
    <x:tableColumn id="3" name="Destinos"/>
    <x:tableColumn id="4" name="Oferta inspeccionada"/>
    <x:tableColumn id="5" name="Contraste exigido"/>
    <x:tableColumn id="6" name="Testigos"/>
    <x:tableColumn id="7" name="Dictamen actual"/>
    <x:tableColumn id="8" name="Responsabilidad"/>
  </x:tableColumns>
  <x:tableStyleInfo name="TableStyleMedium2" showFirstColumn="0" showLastColumn="0" showRowStripes="1" showColumnStripes="0"/>
</x:table>
</file>

<file path=xl/tables/table80.xml><?xml version="1.0" encoding="utf-8"?>
<x:table xmlns:x="http://schemas.openxmlformats.org/spreadsheetml/2006/main" id="80" name="CYB09_79" displayName="CYB09_79" ref="A4:G50" headerRowCount="1" totalsRowCount="0" totalsRowShown="0">
  <x:autoFilter ref="A4:G50"/>
  <x:tableColumns count="7">
    <x:tableColumn id="1" name="Caso"/>
    <x:tableColumn id="2" name="Parámetro"/>
    <x:tableColumn id="3" name="Supuesto"/>
    <x:tableColumn id="4" name="Entrada sintética"/>
    <x:tableColumn id="5" name="Esperado"/>
    <x:tableColumn id="6" name="Obtenido"/>
    <x:tableColumn id="7" name="Concordancia"/>
  </x:tableColumns>
  <x:tableStyleInfo name="TableStyleMedium2" showFirstColumn="0" showLastColumn="0" showRowStripes="1" showColumnStripes="0"/>
</x:table>
</file>

<file path=xl/tables/table81.xml><?xml version="1.0" encoding="utf-8"?>
<x:table xmlns:x="http://schemas.openxmlformats.org/spreadsheetml/2006/main" id="81" name="CYB09_80" displayName="CYB09_80" ref="A4:K16" headerRowCount="1" totalsRowCount="0" totalsRowShown="0">
  <x:autoFilter ref="A4:K16"/>
  <x:tableColumns count="11">
    <x:tableColumn id="1" name="Referencia"/>
    <x:tableColumn id="2" name="Autoría"/>
    <x:tableColumn id="3" name="Título"/>
    <x:tableColumn id="4" name="Edición o fecha"/>
    <x:tableColumn id="5" name="Naturaleza"/>
    <x:tableColumn id="6" name="Fuente o copia"/>
    <x:tableColumn id="7" name="Localizador"/>
    <x:tableColumn id="8" name="Lectura y límite"/>
    <x:tableColumn id="9" name="Aportación"/>
    <x:tableColumn id="10" name="SHA-256 de la copia"/>
    <x:tableColumn id="11" name="Bytes"/>
  </x:tableColumns>
  <x:tableStyleInfo name="TableStyleMedium2" showFirstColumn="0" showLastColumn="0" showRowStripes="1" showColumnStripes="0"/>
</x:table>
</file>

<file path=xl/tables/table82.xml><?xml version="1.0" encoding="utf-8"?>
<x:table xmlns:x="http://schemas.openxmlformats.org/spreadsheetml/2006/main" id="82" name="CYB10_81" displayName="CYB10_81" ref="A4:G22" headerRowCount="1" totalsRowCount="0" totalsRowShown="0">
  <x:autoFilter ref="A4:G22"/>
  <x:tableColumns count="7">
    <x:tableColumn id="1" name="Elemento"/>
    <x:tableColumn id="2" name="Contenido"/>
    <x:tableColumn id="3" name="Contrato documental"/>
    <x:tableColumn id="4" name="Destino"/>
    <x:tableColumn id="5" name="Consecuencia de omisión"/>
    <x:tableColumn id="6" name="Fuentes"/>
    <x:tableColumn id="7" name="Testigos"/>
  </x:tableColumns>
  <x:tableStyleInfo name="TableStyleMedium2" showFirstColumn="0" showLastColumn="0" showRowStripes="1" showColumnStripes="0"/>
</x:table>
</file>

<file path=xl/tables/table83.xml><?xml version="1.0" encoding="utf-8"?>
<x:table xmlns:x="http://schemas.openxmlformats.org/spreadsheetml/2006/main" id="86" name="CYB10_REL" displayName="CYB10_REL" ref="A26:C35" headerRowCount="1" totalsRowCount="0" totalsRowShown="0">
  <x:autoFilter ref="A26:C35"/>
  <x:tableColumns count="3">
    <x:tableColumn id="1" name="Relación"/>
    <x:tableColumn id="2" name="Extremos"/>
    <x:tableColumn id="3" name="Alcance"/>
  </x:tableColumns>
  <x:tableStyleInfo name="TableStyleMedium2" showFirstColumn="0" showLastColumn="0" showRowStripes="1" showColumnStripes="0"/>
</x:table>
</file>

<file path=xl/tables/table84.xml><?xml version="1.0" encoding="utf-8"?>
<x:table xmlns:x="http://schemas.openxmlformats.org/spreadsheetml/2006/main" id="87" name="CYB10_REQ" displayName="CYB10_REQ" ref="A39:F43" headerRowCount="1" totalsRowCount="0" totalsRowShown="0">
  <x:autoFilter ref="A39:F43"/>
  <x:tableColumns count="6">
    <x:tableColumn id="1" name="Requisito"/>
    <x:tableColumn id="2" name="Necesidad"/>
    <x:tableColumn id="3" name="Contraste exigido"/>
    <x:tableColumn id="4" name="Testigos"/>
    <x:tableColumn id="5" name="Responsabilidad"/>
    <x:tableColumn id="6" name="Antecedente de deuda"/>
  </x:tableColumns>
  <x:tableStyleInfo name="TableStyleMedium2" showFirstColumn="0" showLastColumn="0" showRowStripes="1" showColumnStripes="0"/>
</x:table>
</file>

<file path=xl/tables/table85.xml><?xml version="1.0" encoding="utf-8"?>
<x:table xmlns:x="http://schemas.openxmlformats.org/spreadsheetml/2006/main" id="88" name="CYB10_C17" displayName="CYB10_C17" ref="A47:E48" headerRowCount="1" totalsRowCount="0" totalsRowShown="0">
  <x:autoFilter ref="A47:E48"/>
  <x:tableColumns count="5">
    <x:tableColumn id="1" name="Control"/>
    <x:tableColumn id="2" name="Denominación"/>
    <x:tableColumn id="3" name="Contrato"/>
    <x:tableColumn id="4" name="Contraejemplo"/>
    <x:tableColumn id="5" name="Fuentes"/>
  </x:tableColumns>
  <x:tableStyleInfo name="TableStyleMedium2" showFirstColumn="0" showLastColumn="0" showRowStripes="1" showColumnStripes="0"/>
</x:table>
</file>

<file path=xl/tables/table86.xml><?xml version="1.0" encoding="utf-8"?>
<x:table xmlns:x="http://schemas.openxmlformats.org/spreadsheetml/2006/main" id="83" name="CYB10_82" displayName="CYB10_82" ref="A4:I36" headerRowCount="1" totalsRowCount="0" totalsRowShown="0">
  <x:autoFilter ref="A4:I36"/>
  <x:tableColumns count="9">
    <x:tableColumn id="1" name="Parámetro"/>
    <x:tableColumn id="2" name="Denominación"/>
    <x:tableColumn id="3" name="Conocimiento necesario"/>
    <x:tableColumn id="4" name="Distinción que justifica separarlo"/>
    <x:tableColumn id="5" name="Alternativa y unidad"/>
    <x:tableColumn id="6" name="Consecuencia de omisión"/>
    <x:tableColumn id="7" name="Consecuencia de exceso"/>
    <x:tableColumn id="8" name="Perfil y límites"/>
    <x:tableColumn id="9" name="Fuentes"/>
  </x:tableColumns>
  <x:tableStyleInfo name="TableStyleMedium2" showFirstColumn="0" showLastColumn="0" showRowStripes="1" showColumnStripes="0"/>
</x:table>
</file>

<file path=xl/tables/table87.xml><?xml version="1.0" encoding="utf-8"?>
<x:table xmlns:x="http://schemas.openxmlformats.org/spreadsheetml/2006/main" id="84" name="CYB10_83" displayName="CYB10_83" ref="A4:G36" headerRowCount="1" totalsRowCount="0" totalsRowShown="0">
  <x:autoFilter ref="A4:G36"/>
  <x:tableColumns count="7">
    <x:tableColumn id="1" name="Caso"/>
    <x:tableColumn id="2" name="Pregunta o ataque"/>
    <x:tableColumn id="3" name="Clase de contrato"/>
    <x:tableColumn id="4" name="Esperado"/>
    <x:tableColumn id="5" name="Observado"/>
    <x:tableColumn id="6" name="Concordancia"/>
    <x:tableColumn id="7" name="Fundamento"/>
  </x:tableColumns>
  <x:tableStyleInfo name="TableStyleMedium2" showFirstColumn="0" showLastColumn="0" showRowStripes="1" showColumnStripes="0"/>
</x:table>
</file>

<file path=xl/tables/table88.xml><?xml version="1.0" encoding="utf-8"?>
<x:table xmlns:x="http://schemas.openxmlformats.org/spreadsheetml/2006/main" id="89" name="CYB10_MUT" displayName="CYB10_MUT" ref="A40:B51" headerRowCount="1" totalsRowCount="0" totalsRowShown="0">
  <x:autoFilter ref="A40:B51"/>
  <x:tableColumns count="2">
    <x:tableColumn id="1" name="Alteración del observador"/>
    <x:tableColumn id="2" name="Casos que la refutan"/>
  </x:tableColumns>
  <x:tableStyleInfo name="TableStyleMedium2" showFirstColumn="0" showLastColumn="0" showRowStripes="1" showColumnStripes="0"/>
</x:table>
</file>

<file path=xl/tables/table89.xml><?xml version="1.0" encoding="utf-8"?>
<x:table xmlns:x="http://schemas.openxmlformats.org/spreadsheetml/2006/main" id="90" name="CYB10_PARES" displayName="CYB10_PARES" ref="A60:D68" headerRowCount="1" totalsRowCount="0" totalsRowShown="0">
  <x:autoFilter ref="A60:D68"/>
  <x:tableColumns count="4">
    <x:tableColumn id="1" name="Par documental"/>
    <x:tableColumn id="2" name="Casos"/>
    <x:tableColumn id="3" name="Estado técnico común"/>
    <x:tableColumn id="4" name="Alcance"/>
  </x:tableColumns>
  <x:tableStyleInfo name="TableStyleMedium2" showFirstColumn="0" showLastColumn="0" showRowStripes="1" showColumnStripes="0"/>
</x:table>
</file>

<file path=xl/tables/table90.xml><?xml version="1.0" encoding="utf-8"?>
<x:table xmlns:x="http://schemas.openxmlformats.org/spreadsheetml/2006/main" id="85" name="CYB10_84" displayName="CYB10_84" ref="A4:I49" headerRowCount="1" totalsRowCount="0" totalsRowShown="0">
  <x:autoFilter ref="A4:I49"/>
  <x:tableColumns count="9">
    <x:tableColumn id="1" name="Referencia"/>
    <x:tableColumn id="2" name="Autoría"/>
    <x:tableColumn id="3" name="Fecha o edición"/>
    <x:tableColumn id="4" name="Título"/>
    <x:tableColumn id="5" name="Localizador"/>
    <x:tableColumn id="6" name="Aportación y límite"/>
    <x:tableColumn id="7" name="URL"/>
    <x:tableColumn id="8" name="Bytes"/>
    <x:tableColumn id="9" name="SHA-256"/>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ba79dc15b684e1e" /></Relationships>
</file>

<file path=xl/worksheets/_rels/sheet2.xml.rels>&#65279;<?xml version="1.0" encoding="utf-8"?><Relationships xmlns="http://schemas.openxmlformats.org/package/2006/relationships"><Relationship Type="http://schemas.openxmlformats.org/officeDocument/2006/relationships/table" Target="/xl/tables/table2.xml" Id="Rfa19b6ce79cb46f1" /></Relationships>
</file>

<file path=xl/worksheets/_rels/sheet3.xml.rels>&#65279;<?xml version="1.0" encoding="utf-8"?><Relationships xmlns="http://schemas.openxmlformats.org/package/2006/relationships"><Relationship Type="http://schemas.openxmlformats.org/officeDocument/2006/relationships/table" Target="/xl/tables/table3.xml" Id="Ra3c2fceb837241db" /></Relationships>
</file>

<file path=xl/worksheets/_rels/sheet4.xml.rels>&#65279;<?xml version="1.0" encoding="utf-8"?><Relationships xmlns="http://schemas.openxmlformats.org/package/2006/relationships"><Relationship Type="http://schemas.openxmlformats.org/officeDocument/2006/relationships/table" Target="/xl/tables/table4.xml" Id="R0c29985059a44032" /></Relationships>
</file>

<file path=xl/worksheets/_rels/sheet5.xml.rels>&#65279;<?xml version="1.0" encoding="utf-8"?><Relationships xmlns="http://schemas.openxmlformats.org/package/2006/relationships"><Relationship Type="http://schemas.openxmlformats.org/officeDocument/2006/relationships/table" Target="/xl/tables/table5.xml" Id="Rdd18a7cdfad64c07" /></Relationships>
</file>

<file path=xl/worksheets/_rels/sheet6.xml.rels>&#65279;<?xml version="1.0" encoding="utf-8"?><Relationships xmlns="http://schemas.openxmlformats.org/package/2006/relationships"><Relationship Type="http://schemas.openxmlformats.org/officeDocument/2006/relationships/table" Target="/xl/tables/table6.xml" Id="R186d2b085a1b4de6" /></Relationships>
</file>

<file path=xl/worksheets/_rels/sheet7.xml.rels>&#65279;<?xml version="1.0" encoding="utf-8"?><Relationships xmlns="http://schemas.openxmlformats.org/package/2006/relationships"><Relationship Type="http://schemas.openxmlformats.org/officeDocument/2006/relationships/table" Target="/xl/tables/table7.xml" Id="Rc79401fd07af4872" /></Relationships>
</file>

<file path=xl/worksheets/_rels/sheet8.xml.rels>&#65279;<?xml version="1.0" encoding="utf-8"?><Relationships xmlns="http://schemas.openxmlformats.org/package/2006/relationships"><Relationship Type="http://schemas.openxmlformats.org/officeDocument/2006/relationships/table" Target="/xl/tables/table8.xml" Id="R6649c334cdb245ab" /></Relationships>
</file>

<file path=xl/worksheets/_rels/sheet9.xml.rels>&#65279;<?xml version="1.0" encoding="utf-8"?><Relationships xmlns="http://schemas.openxmlformats.org/package/2006/relationships"><Relationship Type="http://schemas.openxmlformats.org/officeDocument/2006/relationships/table" Target="/xl/tables/table9.xml" Id="R6bfdfb2d486b4ba3" /></Relationships>
</file>

<file path=xl/worksheets/_rels/sheet10.xml.rels>&#65279;<?xml version="1.0" encoding="utf-8"?><Relationships xmlns="http://schemas.openxmlformats.org/package/2006/relationships"><Relationship Type="http://schemas.openxmlformats.org/officeDocument/2006/relationships/table" Target="/xl/tables/table10.xml" Id="R332be7e1b4244f87" /></Relationships>
</file>

<file path=xl/worksheets/_rels/sheet11.xml.rels>&#65279;<?xml version="1.0" encoding="utf-8"?><Relationships xmlns="http://schemas.openxmlformats.org/package/2006/relationships"><Relationship Type="http://schemas.openxmlformats.org/officeDocument/2006/relationships/table" Target="/xl/tables/table11.xml" Id="R808996b9fd0b40ad" /></Relationships>
</file>

<file path=xl/worksheets/_rels/sheet12.xml.rels>&#65279;<?xml version="1.0" encoding="utf-8"?><Relationships xmlns="http://schemas.openxmlformats.org/package/2006/relationships"><Relationship Type="http://schemas.openxmlformats.org/officeDocument/2006/relationships/table" Target="/xl/tables/table12.xml" Id="R9f49500c0b534c85" /></Relationships>
</file>

<file path=xl/worksheets/_rels/sheet13.xml.rels>&#65279;<?xml version="1.0" encoding="utf-8"?><Relationships xmlns="http://schemas.openxmlformats.org/package/2006/relationships"><Relationship Type="http://schemas.openxmlformats.org/officeDocument/2006/relationships/table" Target="/xl/tables/table13.xml" Id="R99c4920f54cb4c8b" /></Relationships>
</file>

<file path=xl/worksheets/_rels/sheet14.xml.rels>&#65279;<?xml version="1.0" encoding="utf-8"?><Relationships xmlns="http://schemas.openxmlformats.org/package/2006/relationships"><Relationship Type="http://schemas.openxmlformats.org/officeDocument/2006/relationships/table" Target="/xl/tables/table14.xml" Id="R6fcff26559e64fbd" /></Relationships>
</file>

<file path=xl/worksheets/_rels/sheet15.xml.rels>&#65279;<?xml version="1.0" encoding="utf-8"?><Relationships xmlns="http://schemas.openxmlformats.org/package/2006/relationships"><Relationship Type="http://schemas.openxmlformats.org/officeDocument/2006/relationships/table" Target="/xl/tables/table15.xml" Id="R9f1a232ea03a442c" /></Relationships>
</file>

<file path=xl/worksheets/_rels/sheet16.xml.rels>&#65279;<?xml version="1.0" encoding="utf-8"?><Relationships xmlns="http://schemas.openxmlformats.org/package/2006/relationships"><Relationship Type="http://schemas.openxmlformats.org/officeDocument/2006/relationships/table" Target="/xl/tables/table16.xml" Id="Rf91a4994bb5e480f" /></Relationships>
</file>

<file path=xl/worksheets/_rels/sheet17.xml.rels>&#65279;<?xml version="1.0" encoding="utf-8"?><Relationships xmlns="http://schemas.openxmlformats.org/package/2006/relationships"><Relationship Type="http://schemas.openxmlformats.org/officeDocument/2006/relationships/table" Target="/xl/tables/table17.xml" Id="R8451a7de92f044a5" /></Relationships>
</file>

<file path=xl/worksheets/_rels/sheet18.xml.rels>&#65279;<?xml version="1.0" encoding="utf-8"?><Relationships xmlns="http://schemas.openxmlformats.org/package/2006/relationships"><Relationship Type="http://schemas.openxmlformats.org/officeDocument/2006/relationships/table" Target="/xl/tables/table18.xml" Id="R32e6bce9cc79413f" /></Relationships>
</file>

<file path=xl/worksheets/_rels/sheet19.xml.rels>&#65279;<?xml version="1.0" encoding="utf-8"?><Relationships xmlns="http://schemas.openxmlformats.org/package/2006/relationships"><Relationship Type="http://schemas.openxmlformats.org/officeDocument/2006/relationships/table" Target="/xl/tables/table19.xml" Id="Rbdbc08013f5142e3" /></Relationships>
</file>

<file path=xl/worksheets/_rels/sheet20.xml.rels>&#65279;<?xml version="1.0" encoding="utf-8"?><Relationships xmlns="http://schemas.openxmlformats.org/package/2006/relationships"><Relationship Type="http://schemas.openxmlformats.org/officeDocument/2006/relationships/table" Target="/xl/tables/table20.xml" Id="Rbc432ba804b94383" /></Relationships>
</file>

<file path=xl/worksheets/_rels/sheet21.xml.rels>&#65279;<?xml version="1.0" encoding="utf-8"?><Relationships xmlns="http://schemas.openxmlformats.org/package/2006/relationships"><Relationship Type="http://schemas.openxmlformats.org/officeDocument/2006/relationships/table" Target="/xl/tables/table21.xml" Id="R0c6dce0d1ce44885" /></Relationships>
</file>

<file path=xl/worksheets/_rels/sheet22.xml.rels>&#65279;<?xml version="1.0" encoding="utf-8"?><Relationships xmlns="http://schemas.openxmlformats.org/package/2006/relationships"><Relationship Type="http://schemas.openxmlformats.org/officeDocument/2006/relationships/table" Target="/xl/tables/table22.xml" Id="R38d265dbf7b04a24" /></Relationships>
</file>

<file path=xl/worksheets/_rels/sheet23.xml.rels>&#65279;<?xml version="1.0" encoding="utf-8"?><Relationships xmlns="http://schemas.openxmlformats.org/package/2006/relationships"><Relationship Type="http://schemas.openxmlformats.org/officeDocument/2006/relationships/table" Target="/xl/tables/table23.xml" Id="R532294f8fffd4e1e" /></Relationships>
</file>

<file path=xl/worksheets/_rels/sheet24.xml.rels>&#65279;<?xml version="1.0" encoding="utf-8"?><Relationships xmlns="http://schemas.openxmlformats.org/package/2006/relationships"><Relationship Type="http://schemas.openxmlformats.org/officeDocument/2006/relationships/table" Target="/xl/tables/table24.xml" Id="R29100200cd4943fb" /></Relationships>
</file>

<file path=xl/worksheets/_rels/sheet25.xml.rels>&#65279;<?xml version="1.0" encoding="utf-8"?><Relationships xmlns="http://schemas.openxmlformats.org/package/2006/relationships"><Relationship Type="http://schemas.openxmlformats.org/officeDocument/2006/relationships/table" Target="/xl/tables/table25.xml" Id="Rca128efa39b7481c" /></Relationships>
</file>

<file path=xl/worksheets/_rels/sheet26.xml.rels>&#65279;<?xml version="1.0" encoding="utf-8"?><Relationships xmlns="http://schemas.openxmlformats.org/package/2006/relationships"><Relationship Type="http://schemas.openxmlformats.org/officeDocument/2006/relationships/table" Target="/xl/tables/table26.xml" Id="R02e8cabb25834851" /></Relationships>
</file>

<file path=xl/worksheets/_rels/sheet27.xml.rels>&#65279;<?xml version="1.0" encoding="utf-8"?><Relationships xmlns="http://schemas.openxmlformats.org/package/2006/relationships"><Relationship Type="http://schemas.openxmlformats.org/officeDocument/2006/relationships/table" Target="/xl/tables/table27.xml" Id="Rfff1018faf2e4aa1" /></Relationships>
</file>

<file path=xl/worksheets/_rels/sheet28.xml.rels>&#65279;<?xml version="1.0" encoding="utf-8"?><Relationships xmlns="http://schemas.openxmlformats.org/package/2006/relationships"><Relationship Type="http://schemas.openxmlformats.org/officeDocument/2006/relationships/table" Target="/xl/tables/table28.xml" Id="R6a53043e81034386" /></Relationships>
</file>

<file path=xl/worksheets/_rels/sheet29.xml.rels>&#65279;<?xml version="1.0" encoding="utf-8"?><Relationships xmlns="http://schemas.openxmlformats.org/package/2006/relationships"><Relationship Type="http://schemas.openxmlformats.org/officeDocument/2006/relationships/table" Target="/xl/tables/table29.xml" Id="Rd6d73090ae3a4f1f" /></Relationships>
</file>

<file path=xl/worksheets/_rels/sheet30.xml.rels>&#65279;<?xml version="1.0" encoding="utf-8"?><Relationships xmlns="http://schemas.openxmlformats.org/package/2006/relationships"><Relationship Type="http://schemas.openxmlformats.org/officeDocument/2006/relationships/table" Target="/xl/tables/table30.xml" Id="R773c88e21e9448fb" /></Relationships>
</file>

<file path=xl/worksheets/_rels/sheet31.xml.rels>&#65279;<?xml version="1.0" encoding="utf-8"?><Relationships xmlns="http://schemas.openxmlformats.org/package/2006/relationships"><Relationship Type="http://schemas.openxmlformats.org/officeDocument/2006/relationships/table" Target="/xl/tables/table31.xml" Id="R434703410bf3406f" /></Relationships>
</file>

<file path=xl/worksheets/_rels/sheet32.xml.rels>&#65279;<?xml version="1.0" encoding="utf-8"?><Relationships xmlns="http://schemas.openxmlformats.org/package/2006/relationships"><Relationship Type="http://schemas.openxmlformats.org/officeDocument/2006/relationships/table" Target="/xl/tables/table32.xml" Id="R2a303bd844f44294" /></Relationships>
</file>

<file path=xl/worksheets/_rels/sheet33.xml.rels>&#65279;<?xml version="1.0" encoding="utf-8"?><Relationships xmlns="http://schemas.openxmlformats.org/package/2006/relationships"><Relationship Type="http://schemas.openxmlformats.org/officeDocument/2006/relationships/table" Target="/xl/tables/table33.xml" Id="R6efae1e3a4ed4f88" /></Relationships>
</file>

<file path=xl/worksheets/_rels/sheet34.xml.rels>&#65279;<?xml version="1.0" encoding="utf-8"?><Relationships xmlns="http://schemas.openxmlformats.org/package/2006/relationships"><Relationship Type="http://schemas.openxmlformats.org/officeDocument/2006/relationships/table" Target="/xl/tables/table34.xml" Id="R296b411e4f424b9a" /></Relationships>
</file>

<file path=xl/worksheets/_rels/sheet35.xml.rels>&#65279;<?xml version="1.0" encoding="utf-8"?><Relationships xmlns="http://schemas.openxmlformats.org/package/2006/relationships"><Relationship Type="http://schemas.openxmlformats.org/officeDocument/2006/relationships/table" Target="/xl/tables/table35.xml" Id="Rf69954b39bdf431b" /></Relationships>
</file>

<file path=xl/worksheets/_rels/sheet36.xml.rels>&#65279;<?xml version="1.0" encoding="utf-8"?><Relationships xmlns="http://schemas.openxmlformats.org/package/2006/relationships"><Relationship Type="http://schemas.openxmlformats.org/officeDocument/2006/relationships/table" Target="/xl/tables/table36.xml" Id="Ra3283da056654902" /></Relationships>
</file>

<file path=xl/worksheets/_rels/sheet37.xml.rels>&#65279;<?xml version="1.0" encoding="utf-8"?><Relationships xmlns="http://schemas.openxmlformats.org/package/2006/relationships"><Relationship Type="http://schemas.openxmlformats.org/officeDocument/2006/relationships/table" Target="/xl/tables/table37.xml" Id="R8b8a5952b3d84dee" /></Relationships>
</file>

<file path=xl/worksheets/_rels/sheet38.xml.rels>&#65279;<?xml version="1.0" encoding="utf-8"?><Relationships xmlns="http://schemas.openxmlformats.org/package/2006/relationships"><Relationship Type="http://schemas.openxmlformats.org/officeDocument/2006/relationships/table" Target="/xl/tables/table38.xml" Id="Re66b99efea4544cb" /></Relationships>
</file>

<file path=xl/worksheets/_rels/sheet39.xml.rels>&#65279;<?xml version="1.0" encoding="utf-8"?><Relationships xmlns="http://schemas.openxmlformats.org/package/2006/relationships"><Relationship Type="http://schemas.openxmlformats.org/officeDocument/2006/relationships/table" Target="/xl/tables/table39.xml" Id="Rb1537553b29241f5" /></Relationships>
</file>

<file path=xl/worksheets/_rels/sheet40.xml.rels>&#65279;<?xml version="1.0" encoding="utf-8"?><Relationships xmlns="http://schemas.openxmlformats.org/package/2006/relationships"><Relationship Type="http://schemas.openxmlformats.org/officeDocument/2006/relationships/table" Target="/xl/tables/table40.xml" Id="R7c82fad096b84799" /></Relationships>
</file>

<file path=xl/worksheets/_rels/sheet41.xml.rels>&#65279;<?xml version="1.0" encoding="utf-8"?><Relationships xmlns="http://schemas.openxmlformats.org/package/2006/relationships"><Relationship Type="http://schemas.openxmlformats.org/officeDocument/2006/relationships/table" Target="/xl/tables/table41.xml" Id="Ra40df929037243e0" /></Relationships>
</file>

<file path=xl/worksheets/_rels/sheet42.xml.rels>&#65279;<?xml version="1.0" encoding="utf-8"?><Relationships xmlns="http://schemas.openxmlformats.org/package/2006/relationships"><Relationship Type="http://schemas.openxmlformats.org/officeDocument/2006/relationships/table" Target="/xl/tables/table42.xml" Id="Rd4cb861004e54eac" /></Relationships>
</file>

<file path=xl/worksheets/_rels/sheet43.xml.rels>&#65279;<?xml version="1.0" encoding="utf-8"?><Relationships xmlns="http://schemas.openxmlformats.org/package/2006/relationships"><Relationship Type="http://schemas.openxmlformats.org/officeDocument/2006/relationships/table" Target="/xl/tables/table43.xml" Id="Rf41d2a70a234454f" /></Relationships>
</file>

<file path=xl/worksheets/_rels/sheet44.xml.rels>&#65279;<?xml version="1.0" encoding="utf-8"?><Relationships xmlns="http://schemas.openxmlformats.org/package/2006/relationships"><Relationship Type="http://schemas.openxmlformats.org/officeDocument/2006/relationships/table" Target="/xl/tables/table44.xml" Id="R4ef5198c7e764c89" /></Relationships>
</file>

<file path=xl/worksheets/_rels/sheet45.xml.rels>&#65279;<?xml version="1.0" encoding="utf-8"?><Relationships xmlns="http://schemas.openxmlformats.org/package/2006/relationships"><Relationship Type="http://schemas.openxmlformats.org/officeDocument/2006/relationships/table" Target="/xl/tables/table45.xml" Id="R8432eb7ed44245fd" /></Relationships>
</file>

<file path=xl/worksheets/_rels/sheet46.xml.rels>&#65279;<?xml version="1.0" encoding="utf-8"?><Relationships xmlns="http://schemas.openxmlformats.org/package/2006/relationships"><Relationship Type="http://schemas.openxmlformats.org/officeDocument/2006/relationships/table" Target="/xl/tables/table46.xml" Id="R0e6d68dcd75143b7" /></Relationships>
</file>

<file path=xl/worksheets/_rels/sheet47.xml.rels>&#65279;<?xml version="1.0" encoding="utf-8"?><Relationships xmlns="http://schemas.openxmlformats.org/package/2006/relationships"><Relationship Type="http://schemas.openxmlformats.org/officeDocument/2006/relationships/table" Target="/xl/tables/table47.xml" Id="R2caba7d6559143da" /></Relationships>
</file>

<file path=xl/worksheets/_rels/sheet48.xml.rels>&#65279;<?xml version="1.0" encoding="utf-8"?><Relationships xmlns="http://schemas.openxmlformats.org/package/2006/relationships"><Relationship Type="http://schemas.openxmlformats.org/officeDocument/2006/relationships/table" Target="/xl/tables/table48.xml" Id="Rc2b102f9035c45ed" /></Relationships>
</file>

<file path=xl/worksheets/_rels/sheet49.xml.rels>&#65279;<?xml version="1.0" encoding="utf-8"?><Relationships xmlns="http://schemas.openxmlformats.org/package/2006/relationships"><Relationship Type="http://schemas.openxmlformats.org/officeDocument/2006/relationships/table" Target="/xl/tables/table49.xml" Id="Rc8c26e9f61974726" /></Relationships>
</file>

<file path=xl/worksheets/_rels/sheet50.xml.rels>&#65279;<?xml version="1.0" encoding="utf-8"?><Relationships xmlns="http://schemas.openxmlformats.org/package/2006/relationships"><Relationship Type="http://schemas.openxmlformats.org/officeDocument/2006/relationships/table" Target="/xl/tables/table50.xml" Id="Rced24c71ed52434c" /></Relationships>
</file>

<file path=xl/worksheets/_rels/sheet51.xml.rels>&#65279;<?xml version="1.0" encoding="utf-8"?><Relationships xmlns="http://schemas.openxmlformats.org/package/2006/relationships"><Relationship Type="http://schemas.openxmlformats.org/officeDocument/2006/relationships/table" Target="/xl/tables/table51.xml" Id="R60ebad745c6f43b6" /></Relationships>
</file>

<file path=xl/worksheets/_rels/sheet52.xml.rels>&#65279;<?xml version="1.0" encoding="utf-8"?><Relationships xmlns="http://schemas.openxmlformats.org/package/2006/relationships"><Relationship Type="http://schemas.openxmlformats.org/officeDocument/2006/relationships/table" Target="/xl/tables/table52.xml" Id="R6e02c15f27e647d5" /></Relationships>
</file>

<file path=xl/worksheets/_rels/sheet53.xml.rels>&#65279;<?xml version="1.0" encoding="utf-8"?><Relationships xmlns="http://schemas.openxmlformats.org/package/2006/relationships"><Relationship Type="http://schemas.openxmlformats.org/officeDocument/2006/relationships/table" Target="/xl/tables/table53.xml" Id="R8528cbe3499e4b39" /></Relationships>
</file>

<file path=xl/worksheets/_rels/sheet54.xml.rels>&#65279;<?xml version="1.0" encoding="utf-8"?><Relationships xmlns="http://schemas.openxmlformats.org/package/2006/relationships"><Relationship Type="http://schemas.openxmlformats.org/officeDocument/2006/relationships/table" Target="/xl/tables/table54.xml" Id="R801a153648404f6f" /></Relationships>
</file>

<file path=xl/worksheets/_rels/sheet55.xml.rels>&#65279;<?xml version="1.0" encoding="utf-8"?><Relationships xmlns="http://schemas.openxmlformats.org/package/2006/relationships"><Relationship Type="http://schemas.openxmlformats.org/officeDocument/2006/relationships/table" Target="/xl/tables/table55.xml" Id="R99d7bba07b4b453d" /></Relationships>
</file>

<file path=xl/worksheets/_rels/sheet56.xml.rels>&#65279;<?xml version="1.0" encoding="utf-8"?><Relationships xmlns="http://schemas.openxmlformats.org/package/2006/relationships"><Relationship Type="http://schemas.openxmlformats.org/officeDocument/2006/relationships/table" Target="/xl/tables/table56.xml" Id="R0d6a6bbb9ff54a72" /></Relationships>
</file>

<file path=xl/worksheets/_rels/sheet57.xml.rels>&#65279;<?xml version="1.0" encoding="utf-8"?><Relationships xmlns="http://schemas.openxmlformats.org/package/2006/relationships"><Relationship Type="http://schemas.openxmlformats.org/officeDocument/2006/relationships/table" Target="/xl/tables/table57.xml" Id="Ra37f3792315b4b64" /></Relationships>
</file>

<file path=xl/worksheets/_rels/sheet58.xml.rels>&#65279;<?xml version="1.0" encoding="utf-8"?><Relationships xmlns="http://schemas.openxmlformats.org/package/2006/relationships"><Relationship Type="http://schemas.openxmlformats.org/officeDocument/2006/relationships/table" Target="/xl/tables/table58.xml" Id="R730687dad0f44a93" /></Relationships>
</file>

<file path=xl/worksheets/_rels/sheet59.xml.rels>&#65279;<?xml version="1.0" encoding="utf-8"?><Relationships xmlns="http://schemas.openxmlformats.org/package/2006/relationships"><Relationship Type="http://schemas.openxmlformats.org/officeDocument/2006/relationships/table" Target="/xl/tables/table59.xml" Id="R3129d7501dff42ee" /></Relationships>
</file>

<file path=xl/worksheets/_rels/sheet60.xml.rels>&#65279;<?xml version="1.0" encoding="utf-8"?><Relationships xmlns="http://schemas.openxmlformats.org/package/2006/relationships"><Relationship Type="http://schemas.openxmlformats.org/officeDocument/2006/relationships/table" Target="/xl/tables/table60.xml" Id="R8b54303d44d8433b" /></Relationships>
</file>

<file path=xl/worksheets/_rels/sheet61.xml.rels>&#65279;<?xml version="1.0" encoding="utf-8"?><Relationships xmlns="http://schemas.openxmlformats.org/package/2006/relationships"><Relationship Type="http://schemas.openxmlformats.org/officeDocument/2006/relationships/table" Target="/xl/tables/table61.xml" Id="R7a1d112eb61c4790" /></Relationships>
</file>

<file path=xl/worksheets/_rels/sheet62.xml.rels>&#65279;<?xml version="1.0" encoding="utf-8"?><Relationships xmlns="http://schemas.openxmlformats.org/package/2006/relationships"><Relationship Type="http://schemas.openxmlformats.org/officeDocument/2006/relationships/table" Target="/xl/tables/table62.xml" Id="Rac39378ec50741da" /></Relationships>
</file>

<file path=xl/worksheets/_rels/sheet63.xml.rels>&#65279;<?xml version="1.0" encoding="utf-8"?><Relationships xmlns="http://schemas.openxmlformats.org/package/2006/relationships"><Relationship Type="http://schemas.openxmlformats.org/officeDocument/2006/relationships/table" Target="/xl/tables/table63.xml" Id="Re203136587e14e14" /></Relationships>
</file>

<file path=xl/worksheets/_rels/sheet64.xml.rels>&#65279;<?xml version="1.0" encoding="utf-8"?><Relationships xmlns="http://schemas.openxmlformats.org/package/2006/relationships"><Relationship Type="http://schemas.openxmlformats.org/officeDocument/2006/relationships/table" Target="/xl/tables/table64.xml" Id="Rabb756cf0fa04c17" /></Relationships>
</file>

<file path=xl/worksheets/_rels/sheet65.xml.rels>&#65279;<?xml version="1.0" encoding="utf-8"?><Relationships xmlns="http://schemas.openxmlformats.org/package/2006/relationships"><Relationship Type="http://schemas.openxmlformats.org/officeDocument/2006/relationships/table" Target="/xl/tables/table65.xml" Id="Rd61a702ffef54e85" /></Relationships>
</file>

<file path=xl/worksheets/_rels/sheet66.xml.rels>&#65279;<?xml version="1.0" encoding="utf-8"?><Relationships xmlns="http://schemas.openxmlformats.org/package/2006/relationships"><Relationship Type="http://schemas.openxmlformats.org/officeDocument/2006/relationships/table" Target="/xl/tables/table66.xml" Id="Re558942da92d4e86" /></Relationships>
</file>

<file path=xl/worksheets/_rels/sheet67.xml.rels>&#65279;<?xml version="1.0" encoding="utf-8"?><Relationships xmlns="http://schemas.openxmlformats.org/package/2006/relationships"><Relationship Type="http://schemas.openxmlformats.org/officeDocument/2006/relationships/table" Target="/xl/tables/table67.xml" Id="R3f6dbab0b2e04849" /></Relationships>
</file>

<file path=xl/worksheets/_rels/sheet68.xml.rels>&#65279;<?xml version="1.0" encoding="utf-8"?><Relationships xmlns="http://schemas.openxmlformats.org/package/2006/relationships"><Relationship Type="http://schemas.openxmlformats.org/officeDocument/2006/relationships/table" Target="/xl/tables/table68.xml" Id="Ra9e8f9fbea4747c2" /></Relationships>
</file>

<file path=xl/worksheets/_rels/sheet69.xml.rels>&#65279;<?xml version="1.0" encoding="utf-8"?><Relationships xmlns="http://schemas.openxmlformats.org/package/2006/relationships"><Relationship Type="http://schemas.openxmlformats.org/officeDocument/2006/relationships/table" Target="/xl/tables/table69.xml" Id="Rfec905fd30f647f9" /></Relationships>
</file>

<file path=xl/worksheets/_rels/sheet70.xml.rels>&#65279;<?xml version="1.0" encoding="utf-8"?><Relationships xmlns="http://schemas.openxmlformats.org/package/2006/relationships"><Relationship Type="http://schemas.openxmlformats.org/officeDocument/2006/relationships/table" Target="/xl/tables/table70.xml" Id="R47cd86e85d6e4672" /></Relationships>
</file>

<file path=xl/worksheets/_rels/sheet71.xml.rels>&#65279;<?xml version="1.0" encoding="utf-8"?><Relationships xmlns="http://schemas.openxmlformats.org/package/2006/relationships"><Relationship Type="http://schemas.openxmlformats.org/officeDocument/2006/relationships/table" Target="/xl/tables/table71.xml" Id="R2c6fe440e8be4c4a" /></Relationships>
</file>

<file path=xl/worksheets/_rels/sheet72.xml.rels>&#65279;<?xml version="1.0" encoding="utf-8"?><Relationships xmlns="http://schemas.openxmlformats.org/package/2006/relationships"><Relationship Type="http://schemas.openxmlformats.org/officeDocument/2006/relationships/table" Target="/xl/tables/table72.xml" Id="Rd6e7e52bd44c42f2" /></Relationships>
</file>

<file path=xl/worksheets/_rels/sheet73.xml.rels>&#65279;<?xml version="1.0" encoding="utf-8"?><Relationships xmlns="http://schemas.openxmlformats.org/package/2006/relationships"><Relationship Type="http://schemas.openxmlformats.org/officeDocument/2006/relationships/table" Target="/xl/tables/table73.xml" Id="R08a726f8609c4928" /></Relationships>
</file>

<file path=xl/worksheets/_rels/sheet74.xml.rels>&#65279;<?xml version="1.0" encoding="utf-8"?><Relationships xmlns="http://schemas.openxmlformats.org/package/2006/relationships"><Relationship Type="http://schemas.openxmlformats.org/officeDocument/2006/relationships/table" Target="/xl/tables/table74.xml" Id="R155c42fb99a743a5" /></Relationships>
</file>

<file path=xl/worksheets/_rels/sheet75.xml.rels>&#65279;<?xml version="1.0" encoding="utf-8"?><Relationships xmlns="http://schemas.openxmlformats.org/package/2006/relationships"><Relationship Type="http://schemas.openxmlformats.org/officeDocument/2006/relationships/table" Target="/xl/tables/table75.xml" Id="Ra7afa4f1c7d14bf4" /></Relationships>
</file>

<file path=xl/worksheets/_rels/sheet76.xml.rels>&#65279;<?xml version="1.0" encoding="utf-8"?><Relationships xmlns="http://schemas.openxmlformats.org/package/2006/relationships"><Relationship Type="http://schemas.openxmlformats.org/officeDocument/2006/relationships/table" Target="/xl/tables/table76.xml" Id="Rb9f98a09d73b4e69" /></Relationships>
</file>

<file path=xl/worksheets/_rels/sheet77.xml.rels>&#65279;<?xml version="1.0" encoding="utf-8"?><Relationships xmlns="http://schemas.openxmlformats.org/package/2006/relationships"><Relationship Type="http://schemas.openxmlformats.org/officeDocument/2006/relationships/table" Target="/xl/tables/table77.xml" Id="R31048eafb6e3400f" /></Relationships>
</file>

<file path=xl/worksheets/_rels/sheet78.xml.rels>&#65279;<?xml version="1.0" encoding="utf-8"?><Relationships xmlns="http://schemas.openxmlformats.org/package/2006/relationships"><Relationship Type="http://schemas.openxmlformats.org/officeDocument/2006/relationships/table" Target="/xl/tables/table78.xml" Id="R5e38b2613ca943e8" /></Relationships>
</file>

<file path=xl/worksheets/_rels/sheet79.xml.rels>&#65279;<?xml version="1.0" encoding="utf-8"?><Relationships xmlns="http://schemas.openxmlformats.org/package/2006/relationships"><Relationship Type="http://schemas.openxmlformats.org/officeDocument/2006/relationships/table" Target="/xl/tables/table79.xml" Id="R83a5f3ba2d9f481c" /></Relationships>
</file>

<file path=xl/worksheets/_rels/sheet80.xml.rels>&#65279;<?xml version="1.0" encoding="utf-8"?><Relationships xmlns="http://schemas.openxmlformats.org/package/2006/relationships"><Relationship Type="http://schemas.openxmlformats.org/officeDocument/2006/relationships/table" Target="/xl/tables/table80.xml" Id="R55a0222fb37d4796" /></Relationships>
</file>

<file path=xl/worksheets/_rels/sheet81.xml.rels>&#65279;<?xml version="1.0" encoding="utf-8"?><Relationships xmlns="http://schemas.openxmlformats.org/package/2006/relationships"><Relationship Type="http://schemas.openxmlformats.org/officeDocument/2006/relationships/table" Target="/xl/tables/table81.xml" Id="R556be61ac87543cc" /></Relationships>
</file>

<file path=xl/worksheets/_rels/sheet82.xml.rels>&#65279;<?xml version="1.0" encoding="utf-8"?><Relationships xmlns="http://schemas.openxmlformats.org/package/2006/relationships"><Relationship Type="http://schemas.openxmlformats.org/officeDocument/2006/relationships/table" Target="/xl/tables/table82.xml" Id="R75856d7fbc5e4d04" /><Relationship Type="http://schemas.openxmlformats.org/officeDocument/2006/relationships/table" Target="/xl/tables/table83.xml" Id="R614ef132011b4f08" /><Relationship Type="http://schemas.openxmlformats.org/officeDocument/2006/relationships/table" Target="/xl/tables/table84.xml" Id="R9c05b7650ca44687" /><Relationship Type="http://schemas.openxmlformats.org/officeDocument/2006/relationships/table" Target="/xl/tables/table85.xml" Id="R311bd1291825418d" /></Relationships>
</file>

<file path=xl/worksheets/_rels/sheet83.xml.rels>&#65279;<?xml version="1.0" encoding="utf-8"?><Relationships xmlns="http://schemas.openxmlformats.org/package/2006/relationships"><Relationship Type="http://schemas.openxmlformats.org/officeDocument/2006/relationships/table" Target="/xl/tables/table86.xml" Id="Rf102202293b44a97" /></Relationships>
</file>

<file path=xl/worksheets/_rels/sheet84.xml.rels>&#65279;<?xml version="1.0" encoding="utf-8"?><Relationships xmlns="http://schemas.openxmlformats.org/package/2006/relationships"><Relationship Type="http://schemas.openxmlformats.org/officeDocument/2006/relationships/table" Target="/xl/tables/table87.xml" Id="R0196395408eb439b" /><Relationship Type="http://schemas.openxmlformats.org/officeDocument/2006/relationships/table" Target="/xl/tables/table88.xml" Id="Re6d5f08be03243d6" /><Relationship Type="http://schemas.openxmlformats.org/officeDocument/2006/relationships/table" Target="/xl/tables/table89.xml" Id="Rfe74e7de4ec346ed" /></Relationships>
</file>

<file path=xl/worksheets/_rels/sheet85.xml.rels>&#65279;<?xml version="1.0" encoding="utf-8"?><Relationships xmlns="http://schemas.openxmlformats.org/package/2006/relationships"><Relationship Type="http://schemas.openxmlformats.org/officeDocument/2006/relationships/table" Target="/xl/tables/table90.xml" Id="R4f592b8636dd476d" /></Relationships>
</file>

<file path=xl/worksheets/sheet1.xml><?xml version="1.0" encoding="utf-8"?>
<x:worksheet xmlns:x="http://schemas.openxmlformats.org/spreadsheetml/2006/main">
  <x:sheetViews>
    <x:sheetView showGridLines="0" workbookViewId="0"/>
  </x:sheetViews>
  <x:sheetFormatPr defaultRowHeight="15"/>
  <x:cols>
    <x:col min="1" max="1" width="33" hidden="0" customWidth="1"/>
    <x:col min="2" max="2" width="120" hidden="0" customWidth="1"/>
  </x:cols>
  <x:sheetData>
    <x:row r="1" ht="35" customHeight="1">
      <x:c r="A1" s="6" t="str">
        <x:v>CATÁLOGO CURRICULAR · CIBERSEGURIDAD INTELIGENTE</x:v>
      </x:c>
      <x:c r="B1" s="6"/>
    </x:row>
    <x:row r="2" ht="52" customHeight="1">
      <x:c r="A2" s="8" t="str">
        <x:v>Revisión 0.10. Estado de partida, antecedentes y continuidad del primer universo.</x:v>
      </x:c>
      <x:c r="B2" s="8"/>
    </x:row>
    <x:row r="3">
      <x:c r="A3" s="4"/>
      <x:c r="B3" s="4"/>
    </x:row>
    <x:row r="4" ht="42" customHeight="1">
      <x:c r="A4" s="10" t="str">
        <x:v>Campo</x:v>
      </x:c>
      <x:c r="B4" s="10" t="str">
        <x:v>Contenido</x:v>
      </x:c>
    </x:row>
    <x:row r="5" ht="47" customHeight="1">
      <x:c r="A5" s="4" t="str">
        <x:v>Versión y fecha</x:v>
      </x:c>
      <x:c r="B5" s="4" t="str">
        <x:v>0.10 · estado de partida, continuidad y justificación · 09-09-2026</x:v>
      </x:c>
    </x:row>
    <x:row r="6" ht="47" customHeight="1">
      <x:c r="A6" s="4" t="str">
        <x:v>Estado</x:v>
      </x:c>
      <x:c r="B6" s="4" t="str">
        <x:v>32 definiciones conservadas; 17 controles, incluido C17. Contexto y relaciones explícitos. Suficiencia operacional SV no acreditada.</x:v>
      </x:c>
    </x:row>
    <x:row r="7" ht="47" customHeight="1">
      <x:c r="A7" s="4" t="str">
        <x:v>Autoría del trabajo</x:v>
      </x:c>
      <x:c r="B7" s="4" t="str">
        <x:v>Watson. Expediente predecisional, justificación científica y revisión adversarial en español.</x:v>
      </x:c>
    </x:row>
    <x:row r="8" ht="47" customHeight="1">
      <x:c r="A8" s="4" t="str">
        <x:v>Mandato</x:v>
      </x:c>
      <x:c r="B8" s="4" t="str">
        <x:v>Mandato humano de revisión: antecedentes, responsabilidad, inventario, credenciales y perímetros de protección.</x:v>
      </x:c>
    </x:row>
    <x:row r="9" ht="47" customHeight="1">
      <x:c r="A9" s="4" t="str">
        <x:v>Rector educativo propuesto</x:v>
      </x:c>
      <x:c r="B9" s="4" t="str">
        <x:v>España · Universidad Rey Juan Carlos (URJC) · Grado en Ingeniería de la Ciberseguridad · plan y guías 2026–27.</x:v>
      </x:c>
    </x:row>
    <x:row r="10" ht="47" customHeight="1">
      <x:c r="A10" s="4" t="str">
        <x:v>Razón de elección</x:v>
      </x:c>
      <x:c r="B10" s="4" t="str">
        <x:v>Base completa de grado, progresión y guías identificadas; contraste con formación internacional. No es currículo nacional único ni se ha medido liderazgo mundial.</x:v>
      </x:c>
    </x:row>
    <x:row r="11" ht="47" customHeight="1">
      <x:c r="A11" s="4" t="str">
        <x:v>Papel de los complementos</x:v>
      </x:c>
      <x:c r="B11" s="4" t="str">
        <x:v>Australia y Reino Unido aportan profundización y método; Canadá aporta contraste y proyecto. Estados Unidos y UPC quedan en el alcance y reservas de 17. NICE conserva función profesional, sin rectoría educativa.</x:v>
      </x:c>
    </x:row>
    <x:row r="12" ht="47" customHeight="1">
      <x:c r="A12" s="4" t="str">
        <x:v>Fuentes principales · antecedente v0.1</x:v>
      </x:c>
      <x:c r="B12" s="12" t="n">
        <x:f>COUNTA('01_Fuentes'!$A$5:$A$40)</x:f>
        <x:v>36</x:v>
      </x:c>
    </x:row>
    <x:row r="13" ht="47" customHeight="1">
      <x:c r="A13" s="4" t="str">
        <x:v>Roles NICE</x:v>
      </x:c>
      <x:c r="B13" s="12" t="n">
        <x:f>COUNTIF('03_NICE'!$B$5:$B$57,"work_role")</x:f>
        <x:v>42</x:v>
      </x:c>
    </x:row>
    <x:row r="14" ht="47" customHeight="1">
      <x:c r="A14" s="4" t="str">
        <x:v>Áreas de competencia NICE</x:v>
      </x:c>
      <x:c r="B14" s="12" t="n">
        <x:f>COUNTIF('03_NICE'!$B$5:$B$57,"competency_area")</x:f>
        <x:v>11</x:v>
      </x:c>
    </x:row>
    <x:row r="15" ht="47" customHeight="1">
      <x:c r="A15" s="4" t="str">
        <x:v>TKS seleccionados · antecedente v0.1</x:v>
      </x:c>
      <x:c r="B15" s="12" t="n">
        <x:f>COUNTA('04_TKS'!$A$5:$A$72)</x:f>
        <x:v>68</x:v>
      </x:c>
    </x:row>
    <x:row r="16" ht="47" customHeight="1">
      <x:c r="A16" s="4" t="str">
        <x:v>Aportaciones complementarias · antecedente v0.1</x:v>
      </x:c>
      <x:c r="B16" s="12" t="n">
        <x:f>COUNTA('05_Complementos'!$A$5:$A$127)</x:f>
        <x:v>123</x:v>
      </x:c>
    </x:row>
    <x:row r="17" ht="47" customHeight="1">
      <x:c r="A17" s="4" t="str">
        <x:v>Operaciones candidatas · antecedente v0.1</x:v>
      </x:c>
      <x:c r="B17" s="12" t="n">
        <x:f>COUNTA('07_Operaciones'!$A$5:$A$26)</x:f>
        <x:v>22</x:v>
      </x:c>
    </x:row>
    <x:row r="18" ht="47" customHeight="1">
      <x:c r="A18" s="4" t="str">
        <x:v>Controles discordantes</x:v>
      </x:c>
      <x:c r="B18" s="12" t="n">
        <x:f>IF('31_Control_acotacion'!C5='31_Control_acotacion'!D5,0,1)+IF('31_Control_acotacion'!C6='31_Control_acotacion'!D6,0,1)+IF('31_Control_acotacion'!C7='31_Control_acotacion'!D7,0,1)+IF('31_Control_acotacion'!C8='31_Control_acotacion'!D8,0,1)+IF('31_Control_acotacion'!C9='31_Control_acotacion'!D9,0,1)+IF('31_Control_acotacion'!C10='31_Control_acotacion'!D10,0,1)+IF('31_Control_acotacion'!C11='31_Control_acotacion'!D11,0,1)+IF('31_Control_acotacion'!C12='31_Control_acotacion'!D12,0,1)+IF('31_Control_acotacion'!C13='31_Control_acotacion'!D13,0,1)+IF('31_Control_acotacion'!C14='31_Control_acotacion'!D14,0,1)+IF('31_Control_acotacion'!C15='31_Control_acotacion'!D15,0,1)+IF('31_Control_acotacion'!C16='31_Control_acotacion'!D16,0,1)+IF('31_Control_acotacion'!C17='31_Control_acotacion'!D17,0,1)+IF('44_Control_G5'!C5='44_Control_G5'!D5,0,1)+IF('44_Control_G5'!C6='44_Control_G5'!D6,0,1)+IF('44_Control_G5'!C7='44_Control_G5'!D7,0,1)+IF('44_Control_G5'!C8='44_Control_G5'!D8,0,1)+IF('44_Control_G5'!C9='44_Control_G5'!D9,0,1)+IF('44_Control_G5'!C10='44_Control_G5'!D10,0,1)+IF('44_Control_G5'!C11='44_Control_G5'!D11,0,1)+IF('44_Control_G5'!C12='44_Control_G5'!D12,0,1)+IF('44_Control_G5'!C13='44_Control_G5'!D13,0,1)+IF('44_Control_G5'!C14='44_Control_G5'!D14,0,1)+IF('44_Control_G5'!C15='44_Control_G5'!D15,0,1)+IF('44_Control_G5'!C16='44_Control_G5'!D16,0,1)+IF('54_Control_lote'!C5='54_Control_lote'!D5,0,1)+IF('54_Control_lote'!C6='54_Control_lote'!D6,0,1)+IF('54_Control_lote'!C7='54_Control_lote'!D7,0,1)+IF('54_Control_lote'!C8='54_Control_lote'!D8,0,1)+IF('54_Control_lote'!C9='54_Control_lote'!D9,0,1)+IF('54_Control_lote'!C10='54_Control_lote'!D10,0,1)+IF('54_Control_lote'!C11='54_Control_lote'!D11,0,1)+IF('54_Control_lote'!C12='54_Control_lote'!D12,0,1)+IF('54_Control_lote'!C13='54_Control_lote'!D13,0,1)+IF('54_Control_lote'!C14='54_Control_lote'!D14,0,1)+IF('54_Control_lote'!C15='54_Control_lote'!D15,0,1)+IF('54_Control_lote'!C16='54_Control_lote'!D16,0,1)+IF('54_Control_lote'!C17='54_Control_lote'!D17,0,1)+IF('54_Control_lote'!C18='54_Control_lote'!D18,0,1)</x:f>
        <x:v>0</x:v>
      </x:c>
    </x:row>
    <x:row r="19" ht="47" customHeight="1">
      <x:c r="A19" s="4" t="str">
        <x:v>Admisión y adopción</x:v>
      </x:c>
      <x:c r="B19" s="4" t="str">
        <x:v>El trabajo documental está autorizado. Las nuevas fuentes y reglas para un consejo real siguen sujetas a admisión humana competente.</x:v>
      </x:c>
    </x:row>
    <x:row r="20" ht="47" customHeight="1">
      <x:c r="A20" s="4" t="str">
        <x:v>Primer universo</x:v>
      </x:c>
      <x:c r="B20" s="4" t="str">
        <x:v>P01–P24 en 67/68; P25–P32 en 74. Justificación conjunta en 82. No se han añadido átomos.</x:v>
      </x:c>
    </x:row>
    <x:row r="21" ht="47" customHeight="1">
      <x:c r="A21" s="4" t="str">
        <x:v>Cobertura</x:v>
      </x:c>
      <x:c r="B21" s="4" t="str">
        <x:v>40 asignaturas del plan; 15 familias editoriales y ocho necesidades humanas. Los 21 ejes profesionales previos se conservan en 06; ningún recuento prueba suficiencia.</x:v>
      </x:c>
    </x:row>
    <x:row r="22" ht="47" customHeight="1">
      <x:c r="A22" s="4" t="str">
        <x:v>Jurisdicción</x:v>
      </x:c>
      <x:c r="B22" s="4" t="str">
        <x:v>España es el país vector educativo propuesto; la aplicabilidad profesional y normativa se decide por entidad, actividad, rol, jurisdicción y tiempo.</x:v>
      </x:c>
    </x:row>
    <x:row r="23" ht="47" customHeight="1">
      <x:c r="A23" s="4" t="str">
        <x:v>Fórmulas</x:v>
      </x:c>
      <x:c r="B23" s="4" t="str">
        <x:v>Las fórmulas auditan recuentos y escenarios. No convierten hipótesis ni documentos de autoridad en permisos materiales.</x:v>
      </x:c>
    </x:row>
    <x:row r="24" ht="47" customHeight="1">
      <x:c r="A24" s="4" t="str">
        <x:v>Trazabilidad</x:v>
      </x:c>
      <x:c r="B24" s="4" t="str">
        <x:v>La precisión de continuidad está en 81–84; complementa 73–80. Los cierres anteriores conservan su alcance histórico.</x:v>
      </x:c>
    </x:row>
    <x:row r="25" ht="47" customHeight="1">
      <x:c r="A25" s="4" t="str">
        <x:v>Relaciones locales</x:v>
      </x:c>
      <x:c r="B25" s="4" t="str">
        <x:v>Familias, enlaces educativos y antiguas operaciones primarias son relaciones editoriales de Watson; no equivalencias oficiales ni prioridad operacional adoptada.</x:v>
      </x:c>
    </x:row>
    <x:row r="26" ht="47" customHeight="1">
      <x:c r="A26" s="4" t="str">
        <x:v>Números exactos</x:v>
      </x:c>
      <x:c r="B26" s="4" t="str">
        <x:v>Identidades, versiones, huellas y magnitudes exactas se conservan como texto. Recuentos y supuestos son números.</x:v>
      </x:c>
    </x:row>
    <x:row r="27" ht="47" customHeight="1">
      <x:c r="A27" s="4" t="str">
        <x:v>Proyección posterior</x:v>
      </x:c>
      <x:c r="B27" s="4" t="str">
        <x:v>El anexo complementario se obtiene del libro cerrado, por lectura, sin resalvarlo.</x:v>
      </x:c>
    </x:row>
    <x:row r="28" ht="47" customHeight="1">
      <x:c r="A28" s="4" t="str">
        <x:v>Identidad y firma</x:v>
      </x:c>
      <x:c r="B28" s="4" t="str">
        <x:v>SHA-256 identifica bytes; no es firma digital, verdad ni aprobación soberana. El anexo será complementario.</x:v>
      </x:c>
    </x:row>
    <x:row r="29" ht="47" customHeight="1">
      <x:c r="A29" s="4" t="str">
        <x:v>Lectura sugerida</x:v>
      </x:c>
      <x:c r="B29" s="4" t="str">
        <x:v>81 estado de partida, relaciones y RS09–RS12; 82 justificación; 83 ensayos; 84 bibliografía utilizada.</x:v>
      </x:c>
    </x:row>
    <x:row r="30" ht="47" customHeight="1">
      <x:c r="A30" s="4" t="str">
        <x:v>Límite del corte</x:v>
      </x:c>
      <x:c r="B30" s="4" t="str">
        <x:v>Solicitud de valoración preparada para el Director. La decisión de uno o dos universos no se ejecuta automáticamente.</x:v>
      </x:c>
    </x:row>
    <x:row r="31" ht="47" customHeight="1">
      <x:c r="A31" s="4" t="str">
        <x:v>Asignaturas de la base</x:v>
      </x:c>
      <x:c r="B31" s="12" t="n">
        <x:f>COUNTA('15_Base_universitaria'!$A$5:$A$44)</x:f>
        <x:v>40</x:v>
      </x:c>
    </x:row>
    <x:row r="32" ht="47" customHeight="1">
      <x:c r="A32" s="4" t="str">
        <x:v>ECTS de la base</x:v>
      </x:c>
      <x:c r="B32" s="12" t="n">
        <x:f>SUM('15_Base_universitaria'!$P$5:$P$44)</x:f>
        <x:v>240</x:v>
      </x:c>
    </x:row>
    <x:row r="33" ht="47" customHeight="1">
      <x:c r="A33" s="4" t="str">
        <x:v>Familias educativas locales</x:v>
      </x:c>
      <x:c r="B33" s="12" t="n">
        <x:f>COUNTA('20_Familias'!$A$5:$A$19)</x:f>
        <x:v>15</x:v>
      </x:c>
    </x:row>
    <x:row r="34" ht="47" customHeight="1">
      <x:c r="A34" s="4" t="str">
        <x:v>Necesidades aportadas</x:v>
      </x:c>
      <x:c r="B34" s="12" t="n">
        <x:f>COUNTA('18_Necesidades_IA'!$A$5:$A$12)</x:f>
        <x:v>8</x:v>
      </x:c>
    </x:row>
    <x:row r="35" ht="47" customHeight="1">
      <x:c r="A35" s="4" t="str">
        <x:v>Decisiones sobre complementos</x:v>
      </x:c>
      <x:c r="B35" s="12" t="n">
        <x:f>COUNTA('17_Comp_educativos'!$A$5:$A$16)</x:f>
        <x:v>12</x:v>
      </x:c>
    </x:row>
    <x:row r="36" ht="47" customHeight="1">
      <x:c r="A36" s="4" t="str">
        <x:v>Testigos educativos propuestos</x:v>
      </x:c>
      <x:c r="B36" s="12" t="n">
        <x:f>COUNTA('19_Consecuencias'!$A$5:$A$16)</x:f>
        <x:v>12</x:v>
      </x:c>
    </x:row>
    <x:row r="37" ht="47" customHeight="1">
      <x:c r="A37" s="4" t="str">
        <x:v>Naturaleza de los testigos</x:v>
      </x:c>
      <x:c r="B37" s="4" t="str">
        <x:v>Doce propuestas no ensayadas. No son daños demostrados, consecuencias operacionales, parámetros ni cierre de una puerta posterior.</x:v>
      </x:c>
    </x:row>
    <x:row r="38" ht="47" customHeight="1">
      <x:c r="A38" s="4" t="str">
        <x:v>Actualización del dominio</x:v>
      </x:c>
      <x:c r="B38" s="4" t="str">
        <x:v>La adquisición de una fuente nueva sólo produce una candidata de revisión. La aptitud y adopción del cambio requieren decisión humana antes de alterar el corte gobernante.</x:v>
      </x:c>
    </x:row>
    <x:row r="39" ht="47" customHeight="1">
      <x:c r="A39" s="4" t="str">
        <x:v>Antecedente material</x:v>
      </x:c>
      <x:c r="B39" s="4" t="str">
        <x:v>Libro recibido: SHA-256 bab1740f1e42909a96b115a7e350d6acfc596257c8b3e615f291595f300b45e9; 153954 bytes.</x:v>
      </x:c>
    </x:row>
    <x:row r="40" ht="47" customHeight="1">
      <x:c r="A40" s="4" t="str">
        <x:v>Precedencia documental</x:v>
      </x:c>
      <x:c r="B40" s="4" t="str">
        <x:v>La instrucción aprobada de Ciberseguridad gobierna el trabajo. Las actas de Inmunología se leen con la reconciliación y el manifiesto posterior; véase 24_Gobierno.</x:v>
      </x:c>
    </x:row>
    <x:row r="41" ht="47" customHeight="1">
      <x:c r="A41" s="4" t="str">
        <x:v>Función de la IA</x:v>
      </x:c>
      <x:c r="B41" s="4" t="str">
        <x:v>Consejera vinculada al experto. Utiliza conocimiento previamente admitido y explica el consejo; no aprende reglas durante la consulta ni asume la decisión o responsabilidad humana.</x:v>
      </x:c>
    </x:row>
    <x:row r="42" ht="47" customHeight="1">
      <x:c r="A42" s="4" t="str">
        <x:v>Consecuencias como criterio</x:v>
      </x:c>
      <x:c r="B42" s="4" t="str">
        <x:v>Omitir un enlace de conocimiento necesario puede alterar el consejo. La hoja 34 muestra ocho cadenas hipotéticas para orientar universos, atomicidad y rutas críticas.</x:v>
      </x:c>
    </x:row>
    <x:row r="43" ht="47" customHeight="1">
      <x:c r="A43" s="4" t="str">
        <x:v>Tamaños de células</x:v>
      </x:c>
      <x:c r="B43" s="4" t="str">
        <x:v>Se retira el uso arquitectónico de los tamaños históricos 6/1/3/2/6/9. Sólo se constituirán células SV legítimas, b≥3 y n=b², sin relleno ni reinterpretación 3×3.</x:v>
      </x:c>
    </x:row>
    <x:row r="44" ht="47" customHeight="1">
      <x:c r="A44" s="4" t="str">
        <x:v>Estado del mapa</x:v>
      </x:c>
      <x:c r="B44" s="4" t="str">
        <x:v>29 productos profesionales candidatos; 28 de trabajo y una frontera condicionada. No son 29 universos constituidos ni cota ontológica del dominio.</x:v>
      </x:c>
    </x:row>
    <x:row r="45" ht="47" customHeight="1">
      <x:c r="A45" s="4" t="str">
        <x:v>Parámetros y células CYB</x:v>
      </x:c>
      <x:c r="B45" s="4" t="str">
        <x:v>32 definiciones. La cantidad no constituye células ni autoriza relleno.</x:v>
      </x:c>
    </x:row>
    <x:row r="46" ht="47" customHeight="1">
      <x:c r="A46" s="4" t="str">
        <x:v>Objeto de la explicación</x:v>
      </x:c>
      <x:c r="B46" s="4" t="str">
        <x:v>Respuesta r, justificación reconstruible J y metadatos M; el Frame debe remitir a una arquitectura válida. Coherencia técnica no prueba suficiencia del consejo.</x:v>
      </x:c>
    </x:row>
  </x:sheetData>
  <x:mergeCells>
    <x:mergeCell ref="A1:B1"/>
    <x:mergeCell ref="A2:B2"/>
  </x:mergeCells>
  <x:pageMargins left="0.7" right="0.7" top="0.75" bottom="0.75" header="0.3" footer="0.3"/>
  <x:tableParts count="1">
    <x:tablePart xmlns:r="http://schemas.openxmlformats.org/officeDocument/2006/relationships" r:id="R4ba79dc15b684e1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28" hidden="0" customWidth="1"/>
    <x:col min="4" max="4" width="48" hidden="0" customWidth="1"/>
    <x:col min="5" max="5" width="39" hidden="0" customWidth="1"/>
    <x:col min="6" max="6" width="36" hidden="0" customWidth="1"/>
    <x:col min="7" max="7" width="30" hidden="0" customWidth="1"/>
    <x:col min="8" max="8" width="31" hidden="0" customWidth="1"/>
    <x:col min="9" max="9" width="54" hidden="0" customWidth="1"/>
    <x:col min="10" max="10" width="54" hidden="0" customWidth="1"/>
    <x:col min="11" max="11" width="14" hidden="0" customWidth="1"/>
    <x:col min="12" max="12" width="66" hidden="0" customWidth="1"/>
    <x:col min="13" max="13" width="16" hidden="0" customWidth="1"/>
    <x:col min="14" max="14" width="38" hidden="0" customWidth="1"/>
    <x:col min="15" max="15" width="12" hidden="0" customWidth="1"/>
    <x:col min="16" max="16" width="13" hidden="0" customWidth="1"/>
    <x:col min="17" max="17" width="13" hidden="0" customWidth="1"/>
  </x:cols>
  <x:sheetData>
    <x:row r="1" ht="35" customHeight="1">
      <x:c r="A1" s="6" t="str">
        <x:v>FUENTES · autoridad y admisión</x:v>
      </x:c>
      <x:c r="B1" s="6"/>
      <x:c r="C1" s="6"/>
      <x:c r="D1" s="6"/>
      <x:c r="E1" s="6"/>
      <x:c r="F1" s="6"/>
      <x:c r="G1" s="6"/>
      <x:c r="H1" s="6"/>
      <x:c r="I1" s="6"/>
      <x:c r="J1" s="6"/>
      <x:c r="K1" s="6"/>
      <x:c r="L1" s="6"/>
      <x:c r="M1" s="6"/>
      <x:c r="N1" s="6"/>
      <x:c r="O1" s="6"/>
      <x:c r="P1" s="6"/>
      <x:c r="Q1" s="6"/>
    </x:row>
    <x:row r="2" ht="52" customHeight="1">
      <x:c r="A2" s="8" t="str">
        <x:v>36 fuentes del antecedente profesional v0.1. Su papel rector se rectifica aquí: la base educativa propuesta está en 14–15; fichas de metadatos no acreditan cláusulas.</x:v>
      </x:c>
      <x:c r="B2" s="8"/>
      <x:c r="C2" s="8"/>
      <x:c r="D2" s="8"/>
      <x:c r="E2" s="8"/>
      <x:c r="F2" s="8"/>
      <x:c r="G2" s="8"/>
      <x:c r="H2" s="8"/>
      <x:c r="I2" s="8"/>
      <x:c r="J2" s="8"/>
      <x:c r="K2" s="8"/>
      <x:c r="L2" s="8"/>
      <x:c r="M2" s="8"/>
      <x:c r="N2" s="8"/>
      <x:c r="O2" s="8"/>
      <x:c r="P2" s="8"/>
      <x:c r="Q2" s="8"/>
    </x:row>
    <x:row r="3">
      <x:c r="A3" s="4"/>
      <x:c r="B3" s="4"/>
      <x:c r="C3" s="4"/>
      <x:c r="D3" s="4"/>
      <x:c r="E3" s="4"/>
      <x:c r="F3" s="4"/>
      <x:c r="G3" s="4"/>
      <x:c r="H3" s="4"/>
      <x:c r="I3" s="4"/>
      <x:c r="J3" s="4"/>
      <x:c r="K3" s="4"/>
      <x:c r="L3" s="4"/>
      <x:c r="M3" s="4"/>
      <x:c r="N3" s="4"/>
      <x:c r="O3" s="4"/>
      <x:c r="P3" s="4"/>
      <x:c r="Q3" s="4"/>
    </x:row>
    <x:row r="4" ht="42" customHeight="1">
      <x:c r="A4" s="10" t="str">
        <x:v>ID fuente</x:v>
      </x:c>
      <x:c r="B4" s="10" t="str">
        <x:v>Clase</x:v>
      </x:c>
      <x:c r="C4" s="10" t="str">
        <x:v>Emisor</x:v>
      </x:c>
      <x:c r="D4" s="10" t="str">
        <x:v>Título oficial</x:v>
      </x:c>
      <x:c r="E4" s="10" t="str">
        <x:v>Edición / corte</x:v>
      </x:c>
      <x:c r="F4" s="10" t="str">
        <x:v>País / jurisdicción</x:v>
      </x:c>
      <x:c r="G4" s="10" t="str">
        <x:v>Función en catálogo</x:v>
      </x:c>
      <x:c r="H4" s="10" t="str">
        <x:v>Admisión documental</x:v>
      </x:c>
      <x:c r="I4" s="10" t="str">
        <x:v>Justificación de selección</x:v>
      </x:c>
      <x:c r="J4" s="10" t="str">
        <x:v>Límite</x:v>
      </x:c>
      <x:c r="K4" s="10" t="str">
        <x:v>Captura principal</x:v>
      </x:c>
      <x:c r="L4" s="10" t="str">
        <x:v>URL oficial</x:v>
      </x:c>
      <x:c r="M4" s="10" t="str">
        <x:v>Consulta</x:v>
      </x:c>
      <x:c r="N4" s="10" t="str">
        <x:v>Responsable / adopción</x:v>
      </x:c>
      <x:c r="O4" s="10" t="str">
        <x:v>Duplicado</x:v>
      </x:c>
      <x:c r="P4" s="10" t="str">
        <x:v>Captura ausente</x:v>
      </x:c>
      <x:c r="Q4" s="10" t="str">
        <x:v>Campo ausente</x:v>
      </x:c>
    </x:row>
    <x:row r="5" ht="60" customHeight="1">
      <x:c r="A5" s="4" t="str">
        <x:v>F001</x:v>
      </x:c>
      <x:c r="B5" s="4" t="str">
        <x:v>Marco de competencias</x:v>
      </x:c>
      <x:c r="C5" s="4" t="str">
        <x:v>NIST / programa NICE</x:v>
      </x:c>
      <x:c r="D5" s="4" t="str">
        <x:v>NICE Framework Components</x:v>
      </x:c>
      <x:c r="E5" s="4" t="str">
        <x:v>2.2.0; publicación 28-04-2026</x:v>
      </x:c>
      <x:c r="F5" s="4" t="str">
        <x:v>EE. UU.; uso internacional, sin potestad extraterritorial</x:v>
      </x:c>
      <x:c r="G5" s="4" t="str">
        <x:v>CONTRASTE_PROFESIONAL</x:v>
      </x:c>
      <x:c r="H5" s="4" t="str">
        <x:v>ADMITIDA_DOCUMENTAL</x:v>
      </x:c>
      <x:c r="I5" s="4" t="str">
        <x:v>Tareas, conocimientos, habilidades, roles y relaciones versionados; base profesional orientada al trabajo.</x:v>
      </x:c>
      <x:c r="J5" s="4" t="str">
        <x:v>No concede permisos; selección TKS finita; no equivale a empleo ni a catálogo de controles.</x:v>
      </x:c>
      <x:c r="K5" s="4" t="str">
        <x:v>F001</x:v>
      </x:c>
      <x:c r="L5" s="4" t="str">
        <x:v>https://csrc.nist.gov/csrc/media/Projects/cprt/documents/nice/v2-2-0_nf_components.json</x:v>
      </x:c>
      <x:c r="M5" s="4" t="str">
        <x:v>2026-09-08</x:v>
      </x:c>
      <x:c r="N5" s="4" t="str">
        <x:v>Watson / delimitación documental; adopción humana no registrada</x:v>
      </x:c>
      <x:c r="O5" s="12" t="n">
        <x:f>COUNTIF('01_Fuentes'!$A$5:$A$40,A5)-1</x:f>
        <x:v>0</x:v>
      </x:c>
      <x:c r="P5" s="12" t="n">
        <x:f>IF(COUNTIF('02_Custodia'!$A$5:$A$53,K5)=1,0,1)</x:f>
        <x:v>0</x:v>
      </x:c>
      <x:c r="Q5" s="12" t="n">
        <x:f>IF(OR(A5="",C5="",D5="",E5="",H5="",I5="",L5=""),1,0)</x:f>
        <x:v>0</x:v>
      </x:c>
    </x:row>
    <x:row r="6" ht="47" customHeight="1">
      <x:c r="A6" s="4" t="str">
        <x:v>F002</x:v>
      </x:c>
      <x:c r="B6" s="4" t="str">
        <x:v>Marco de competencias</x:v>
      </x:c>
      <x:c r="C6" s="4" t="str">
        <x:v>NIST</x:v>
      </x:c>
      <x:c r="D6" s="4" t="str">
        <x:v>Workforce Framework for Cybersecurity (NICE Framework), SP 800-181 Rev. 1</x:v>
      </x:c>
      <x:c r="E6" s="4" t="str">
        <x:v>2020-11</x:v>
      </x:c>
      <x:c r="F6" s="4" t="str">
        <x:v>EE. UU.; aplicación adaptable</x:v>
      </x:c>
      <x:c r="G6" s="4" t="str">
        <x:v>ESTRUCTURA_NICE</x:v>
      </x:c>
      <x:c r="H6" s="4" t="str">
        <x:v>ADMITIDA_DOCUMENTAL</x:v>
      </x:c>
      <x:c r="I6" s="4" t="str">
        <x:v>Define cómo se relacionan trabajo y capacidades individuales en NICE.</x:v>
      </x:c>
      <x:c r="J6" s="4" t="str">
        <x:v>La estructura de 2020 y los componentes de 2026 son objetos distintos.</x:v>
      </x:c>
      <x:c r="K6" s="4" t="str">
        <x:v>F002</x:v>
      </x:c>
      <x:c r="L6" s="4" t="str">
        <x:v>https://csrc.nist.gov/pubs/sp/800/181/r1/final</x:v>
      </x:c>
      <x:c r="M6" s="4" t="str">
        <x:v>2026-09-08</x:v>
      </x:c>
      <x:c r="N6" s="4" t="str">
        <x:v>Watson / delimitación documental; adopción humana no registrada</x:v>
      </x:c>
      <x:c r="O6" s="12" t="n">
        <x:f>COUNTIF('01_Fuentes'!$A$5:$A$40,A6)-1</x:f>
        <x:v>0</x:v>
      </x:c>
      <x:c r="P6" s="12" t="n">
        <x:f>IF(COUNTIF('02_Custodia'!$A$5:$A$53,K6)=1,0,1)</x:f>
        <x:v>0</x:v>
      </x:c>
      <x:c r="Q6" s="12" t="n">
        <x:f>IF(OR(A6="",C6="",D6="",E6="",H6="",I6="",L6=""),1,0)</x:f>
        <x:v>0</x:v>
      </x:c>
    </x:row>
    <x:row r="7" ht="47" customHeight="1">
      <x:c r="A7" s="4" t="str">
        <x:v>F003</x:v>
      </x:c>
      <x:c r="B7" s="4" t="str">
        <x:v>Marco curricular</x:v>
      </x:c>
      <x:c r="C7" s="4" t="str">
        <x:v>ACM / IEEE-CS / AIS SIGSEC / IFIP WG 11.8</x:v>
      </x:c>
      <x:c r="D7" s="4" t="str">
        <x:v>Cybersecurity Curricula 2017 (CSEC2017)</x:v>
      </x:c>
      <x:c r="E7" s="4" t="str">
        <x:v>1.0; 31-12-2017</x:v>
      </x:c>
      <x:c r="F7" s="4" t="str">
        <x:v>Colaboración internacional</x:v>
      </x:c>
      <x:c r="G7" s="4" t="str">
        <x:v>CONTRASTE_FORMATIVO</x:v>
      </x:c>
      <x:c r="H7" s="4" t="str">
        <x:v>ADMITIDA_DOCUMENTAL</x:v>
      </x:c>
      <x:c r="I7" s="4" t="str">
        <x:v>Ocho áreas permiten revisar fundamentos humanos, organizativos y sociales además de tecnología.</x:v>
      </x:c>
      <x:c r="J7" s="4" t="str">
        <x:v>No cubre por sí solo la evolución de IA; no certifica competencia ni habilita actuaciones.</x:v>
      </x:c>
      <x:c r="K7" s="4" t="str">
        <x:v>F003</x:v>
      </x:c>
      <x:c r="L7" s="4" t="str">
        <x:v>https://cybered.hosting.acm.org/wp-content/uploads/2018/02/newcover_csec2017.pdf</x:v>
      </x:c>
      <x:c r="M7" s="4" t="str">
        <x:v>2026-09-08</x:v>
      </x:c>
      <x:c r="N7" s="4" t="str">
        <x:v>Watson / delimitación documental; adopción humana no registrada</x:v>
      </x:c>
      <x:c r="O7" s="12" t="n">
        <x:f>COUNTIF('01_Fuentes'!$A$5:$A$40,A7)-1</x:f>
        <x:v>0</x:v>
      </x:c>
      <x:c r="P7" s="12" t="n">
        <x:f>IF(COUNTIF('02_Custodia'!$A$5:$A$53,K7)=1,0,1)</x:f>
        <x:v>0</x:v>
      </x:c>
      <x:c r="Q7" s="12" t="n">
        <x:f>IF(OR(A7="",C7="",D7="",E7="",H7="",I7="",L7=""),1,0)</x:f>
        <x:v>0</x:v>
      </x:c>
    </x:row>
    <x:row r="8" ht="60" customHeight="1">
      <x:c r="A8" s="4" t="str">
        <x:v>F004</x:v>
      </x:c>
      <x:c r="B8" s="4" t="str">
        <x:v>Cuerpo de conocimientos</x:v>
      </x:c>
      <x:c r="C8" s="4" t="str">
        <x:v>CyBOK / NCSC; autores internacionales</x:v>
      </x:c>
      <x:c r="D8" s="4" t="str">
        <x:v>The Cyber Security Body of Knowledge</x:v>
      </x:c>
      <x:c r="E8" s="4" t="str">
        <x:v>1.1.0; julio 2021</x:v>
      </x:c>
      <x:c r="F8" s="4" t="str">
        <x:v>Reino Unido; elaboración internacional</x:v>
      </x:c>
      <x:c r="G8" s="4" t="str">
        <x:v>CONTRASTE_DE_CONOCIMIENTO</x:v>
      </x:c>
      <x:c r="H8" s="4" t="str">
        <x:v>ADMITIDA_DOCUMENTAL</x:v>
      </x:c>
      <x:c r="I8" s="4" t="str">
        <x:v>21 áreas; profundidad conceptual, métodos formales, criptografía aplicada y sistemas ciberfísicos.</x:v>
      </x:c>
      <x:c r="J8" s="4" t="str">
        <x:v>Cuerpo de conocimiento, no habilitación profesional ni marco normativo mundial.</x:v>
      </x:c>
      <x:c r="K8" s="4" t="str">
        <x:v>F004</x:v>
      </x:c>
      <x:c r="L8" s="4" t="str">
        <x:v>https://www.cybok.org/wp-content/uploads/CyBOK_v1.1.0.pdf</x:v>
      </x:c>
      <x:c r="M8" s="4" t="str">
        <x:v>2026-09-08</x:v>
      </x:c>
      <x:c r="N8" s="4" t="str">
        <x:v>Watson / delimitación documental; adopción humana no registrada</x:v>
      </x:c>
      <x:c r="O8" s="12" t="n">
        <x:f>COUNTIF('01_Fuentes'!$A$5:$A$40,A8)-1</x:f>
        <x:v>0</x:v>
      </x:c>
      <x:c r="P8" s="12" t="n">
        <x:f>IF(COUNTIF('02_Custodia'!$A$5:$A$53,K8)=1,0,1)</x:f>
        <x:v>0</x:v>
      </x:c>
      <x:c r="Q8" s="12" t="n">
        <x:f>IF(OR(A8="",C8="",D8="",E8="",H8="",I8="",L8=""),1,0)</x:f>
        <x:v>0</x:v>
      </x:c>
    </x:row>
    <x:row r="9" ht="60" customHeight="1">
      <x:c r="A9" s="4" t="str">
        <x:v>F005</x:v>
      </x:c>
      <x:c r="B9" s="4" t="str">
        <x:v>Marco de competencias</x:v>
      </x:c>
      <x:c r="C9" s="4" t="str">
        <x:v>ENISA</x:v>
      </x:c>
      <x:c r="D9" s="4" t="str">
        <x:v>European Cybersecurity Skills Framework Role Profiles</x:v>
      </x:c>
      <x:c r="E9" s="4" t="str">
        <x:v>Septiembre 2022</x:v>
      </x:c>
      <x:c r="F9" s="4" t="str">
        <x:v>Unión Europea</x:v>
      </x:c>
      <x:c r="G9" s="4" t="str">
        <x:v>CONTRASTE_DE_PRODUCTOS</x:v>
      </x:c>
      <x:c r="H9" s="4" t="str">
        <x:v>ADMITIDA_DOCUMENTAL</x:v>
      </x:c>
      <x:c r="I9" s="4" t="str">
        <x:v>Perfiles con misión, tareas y entregables; contrasta productos y responsabilidades de NICE.</x:v>
      </x:c>
      <x:c r="J9" s="4" t="str">
        <x:v>Los 12 perfiles no son doce universos ni equivalentes uno a uno a roles NICE.</x:v>
      </x:c>
      <x:c r="K9" s="4" t="str">
        <x:v>A008</x:v>
      </x:c>
      <x:c r="L9" s="4" t="str">
        <x:v>https://www.enisa.europa.eu/sites/default/files/publications/European%20Cybersecurity%20Skills%20Framework%20Role%20Profiles.pdf</x:v>
      </x:c>
      <x:c r="M9" s="4" t="str">
        <x:v>2026-09-08</x:v>
      </x:c>
      <x:c r="N9" s="4" t="str">
        <x:v>Watson / delimitación documental; adopción humana no registrada</x:v>
      </x:c>
      <x:c r="O9" s="12" t="n">
        <x:f>COUNTIF('01_Fuentes'!$A$5:$A$40,A9)-1</x:f>
        <x:v>0</x:v>
      </x:c>
      <x:c r="P9" s="12" t="n">
        <x:f>IF(COUNTIF('02_Custodia'!$A$5:$A$53,K9)=1,0,1)</x:f>
        <x:v>0</x:v>
      </x:c>
      <x:c r="Q9" s="12" t="n">
        <x:f>IF(OR(A9="",C9="",D9="",E9="",H9="",I9="",L9=""),1,0)</x:f>
        <x:v>0</x:v>
      </x:c>
    </x:row>
    <x:row r="10" ht="60" customHeight="1">
      <x:c r="A10" s="4" t="str">
        <x:v>F006</x:v>
      </x:c>
      <x:c r="B10" s="4" t="str">
        <x:v>Programa universitario</x:v>
      </x:c>
      <x:c r="C10" s="4" t="str">
        <x:v>Universitat Politècnica de Catalunya</x:v>
      </x:c>
      <x:c r="D10" s="4" t="str">
        <x:v>Master’s degree in Cybersecurity</x:v>
      </x:c>
      <x:c r="E10" s="4" t="str">
        <x:v>Oferta 2026-2027; página capturada</x:v>
      </x:c>
      <x:c r="F10" s="4" t="str">
        <x:v>España / Espacio Europeo de Educación Superior</x:v>
      </x:c>
      <x:c r="G10" s="4" t="str">
        <x:v>CONTRASTE_FORMATIVO</x:v>
      </x:c>
      <x:c r="H10" s="4" t="str">
        <x:v>ADMITIDA_DOCUMENTAL</x:v>
      </x:c>
      <x:c r="I10" s="4" t="str">
        <x:v>Programa completo y competencias específicas; ingeniería, análisis de ataques, criptografía y privacidad.</x:v>
      </x:c>
      <x:c r="J10" s="4" t="str">
        <x:v>Extracción selectiva de competencias; no se adopta cada optativa ni se suman todos sus créditos.</x:v>
      </x:c>
      <x:c r="K10" s="4" t="str">
        <x:v>F006</x:v>
      </x:c>
      <x:c r="L10" s="4" t="str">
        <x:v>https://www.upc.edu/en/masters/cybersecurity</x:v>
      </x:c>
      <x:c r="M10" s="4" t="str">
        <x:v>2026-09-08</x:v>
      </x:c>
      <x:c r="N10" s="4" t="str">
        <x:v>Watson / delimitación documental; adopción humana no registrada</x:v>
      </x:c>
      <x:c r="O10" s="12" t="n">
        <x:f>COUNTIF('01_Fuentes'!$A$5:$A$40,A10)-1</x:f>
        <x:v>0</x:v>
      </x:c>
      <x:c r="P10" s="12" t="n">
        <x:f>IF(COUNTIF('02_Custodia'!$A$5:$A$53,K10)=1,0,1)</x:f>
        <x:v>0</x:v>
      </x:c>
      <x:c r="Q10" s="12" t="n">
        <x:f>IF(OR(A10="",C10="",D10="",E10="",H10="",I10="",L10=""),1,0)</x:f>
        <x:v>0</x:v>
      </x:c>
    </x:row>
    <x:row r="11" ht="60" customHeight="1">
      <x:c r="A11" s="4" t="str">
        <x:v>F007</x:v>
      </x:c>
      <x:c r="B11" s="4" t="str">
        <x:v>Programa universitario</x:v>
      </x:c>
      <x:c r="C11" s="4" t="str">
        <x:v>Carnegie Mellon University, Heinz College</x:v>
      </x:c>
      <x:c r="D11" s="4" t="str">
        <x:v>MS in Information Security Policy and Management</x:v>
      </x:c>
      <x:c r="E11" s="4" t="str">
        <x:v>Student Handbook Addendum 2026-2027</x:v>
      </x:c>
      <x:c r="F11" s="4" t="str">
        <x:v>Estados Unidos</x:v>
      </x:c>
      <x:c r="G11" s="4" t="str">
        <x:v>CONTRASTE_DE_GOBIERNO</x:v>
      </x:c>
      <x:c r="H11" s="4" t="str">
        <x:v>ADMITIDA_DOCUMENTAL</x:v>
      </x:c>
      <x:c r="I11" s="4" t="str">
        <x:v>Programa completo: dirección, riesgo, políticas y formación técnica; contraste con formación de ingeniería.</x:v>
      </x:c>
      <x:c r="J11" s="4" t="str">
        <x:v>No se importan finanzas o programación general sin función cibersegura; cursos de IA optativos no son núcleo común.</x:v>
      </x:c>
      <x:c r="K11" s="4" t="str">
        <x:v>A009</x:v>
      </x:c>
      <x:c r="L11" s="4" t="str">
        <x:v>https://www.heinz.cmu.edu/sites/default/files/cmu-heinz-files/docs/msispm-student-handbook.pdf</x:v>
      </x:c>
      <x:c r="M11" s="4" t="str">
        <x:v>2026-09-08</x:v>
      </x:c>
      <x:c r="N11" s="4" t="str">
        <x:v>Watson / delimitación documental; adopción humana no registrada</x:v>
      </x:c>
      <x:c r="O11" s="12" t="n">
        <x:f>COUNTIF('01_Fuentes'!$A$5:$A$40,A11)-1</x:f>
        <x:v>0</x:v>
      </x:c>
      <x:c r="P11" s="12" t="n">
        <x:f>IF(COUNTIF('02_Custodia'!$A$5:$A$53,K11)=1,0,1)</x:f>
        <x:v>0</x:v>
      </x:c>
      <x:c r="Q11" s="12" t="n">
        <x:f>IF(OR(A11="",C11="",D11="",E11="",H11="",I11="",L11=""),1,0)</x:f>
        <x:v>0</x:v>
      </x:c>
    </x:row>
    <x:row r="12" ht="60" customHeight="1">
      <x:c r="A12" s="4" t="str">
        <x:v>F008</x:v>
      </x:c>
      <x:c r="B12" s="4" t="str">
        <x:v>Programa universitario</x:v>
      </x:c>
      <x:c r="C12" s="4" t="str">
        <x:v>Universidad Carlos III de Madrid</x:v>
      </x:c>
      <x:c r="D12" s="4" t="str">
        <x:v>Máster Universitario en Ciberseguridad</x:v>
      </x:c>
      <x:c r="E12" s="4" t="str">
        <x:v>Página y guías enlazadas al corte 08-09-2026; curso completo no fijado</x:v>
      </x:c>
      <x:c r="F12" s="4" t="str">
        <x:v>España</x:v>
      </x:c>
      <x:c r="G12" s="4" t="str">
        <x:v>COMPARADOR_IDENTIFICADO</x:v>
      </x:c>
      <x:c r="H12" s="4" t="str">
        <x:v>PARCIAL_NO_ADOPTABLE</x:v>
      </x:c>
      <x:c r="I12" s="4" t="str">
        <x:v>Distingue ingeniería de sistemas seguros y análisis de ciberseguridad.</x:v>
      </x:c>
      <x:c r="J12" s="4" t="str">
        <x:v>Página leída; descarga del plan anual y guía concreta fallidas. No se cuenta como currículo anual extraído y cerrado.</x:v>
      </x:c>
      <x:c r="K12" s="4" t="str">
        <x:v>F008</x:v>
      </x:c>
      <x:c r="L12" s="4" t="str">
        <x:v>https://www.uc3m.es/master/ciberseguridad</x:v>
      </x:c>
      <x:c r="M12" s="4" t="str">
        <x:v>2026-09-08</x:v>
      </x:c>
      <x:c r="N12" s="4" t="str">
        <x:v>Watson / delimitación documental; adopción humana no registrada</x:v>
      </x:c>
      <x:c r="O12" s="12" t="n">
        <x:f>COUNTIF('01_Fuentes'!$A$5:$A$40,A12)-1</x:f>
        <x:v>0</x:v>
      </x:c>
      <x:c r="P12" s="12" t="n">
        <x:f>IF(COUNTIF('02_Custodia'!$A$5:$A$53,K12)=1,0,1)</x:f>
        <x:v>0</x:v>
      </x:c>
      <x:c r="Q12" s="12" t="n">
        <x:f>IF(OR(A12="",C12="",D12="",E12="",H12="",I12="",L12=""),1,0)</x:f>
        <x:v>0</x:v>
      </x:c>
    </x:row>
    <x:row r="13" ht="47" customHeight="1">
      <x:c r="A13" s="4" t="str">
        <x:v>F009</x:v>
      </x:c>
      <x:c r="B13" s="4" t="str">
        <x:v>Certificación personal</x:v>
      </x:c>
      <x:c r="C13" s="4" t="str">
        <x:v>ISC2</x:v>
      </x:c>
      <x:c r="D13" s="4" t="str">
        <x:v>CISSP Certification Exam Outline</x:v>
      </x:c>
      <x:c r="E13" s="4" t="str">
        <x:v>Vigencia 15-04-2024</x:v>
      </x:c>
      <x:c r="F13" s="4" t="str">
        <x:v>Certificación internacional; sin permiso operativo</x:v>
      </x:c>
      <x:c r="G13" s="4" t="str">
        <x:v>CONTRASTE_PROFESIONAL</x:v>
      </x:c>
      <x:c r="H13" s="4" t="str">
        <x:v>ADMITIDA_DOCUMENTAL</x:v>
      </x:c>
      <x:c r="I13" s="4" t="str">
        <x:v>Contrasta amplitud profesional en ocho dominios de conocimientos evaluados.</x:v>
      </x:c>
      <x:c r="J13" s="4" t="str">
        <x:v>Temario de examen; no es certificación del dominio ni prueba empírica de seguridad.</x:v>
      </x:c>
      <x:c r="K13" s="4" t="str">
        <x:v>F009</x:v>
      </x:c>
      <x:c r="L13" s="4" t="str">
        <x:v>https://www.isc2.org/certifications/cissp/cissp-certification-exam-outline</x:v>
      </x:c>
      <x:c r="M13" s="4" t="str">
        <x:v>2026-09-08</x:v>
      </x:c>
      <x:c r="N13" s="4" t="str">
        <x:v>Watson / delimitación documental; adopción humana no registrada</x:v>
      </x:c>
      <x:c r="O13" s="12" t="n">
        <x:f>COUNTIF('01_Fuentes'!$A$5:$A$40,A13)-1</x:f>
        <x:v>0</x:v>
      </x:c>
      <x:c r="P13" s="12" t="n">
        <x:f>IF(COUNTIF('02_Custodia'!$A$5:$A$53,K13)=1,0,1)</x:f>
        <x:v>0</x:v>
      </x:c>
      <x:c r="Q13" s="12" t="n">
        <x:f>IF(OR(A13="",C13="",D13="",E13="",H13="",I13="",L13=""),1,0)</x:f>
        <x:v>0</x:v>
      </x:c>
    </x:row>
    <x:row r="14" ht="60" customHeight="1">
      <x:c r="A14" s="4" t="str">
        <x:v>F010</x:v>
      </x:c>
      <x:c r="B14" s="4" t="str">
        <x:v>Certificación personal</x:v>
      </x:c>
      <x:c r="C14" s="4" t="str">
        <x:v>ISACA</x:v>
      </x:c>
      <x:c r="D14" s="4" t="str">
        <x:v>CISM Exam Content Outline</x:v>
      </x:c>
      <x:c r="E14" s="4" t="str">
        <x:v>Temario anterior al cambio previsto para 03-11-2026; captura 08-09-2026</x:v>
      </x:c>
      <x:c r="F14" s="4" t="str">
        <x:v>Certificación internacional</x:v>
      </x:c>
      <x:c r="G14" s="4" t="str">
        <x:v>CONTRASTE_DE_GOBIERNO</x:v>
      </x:c>
      <x:c r="H14" s="4" t="str">
        <x:v>ADMITIDA_DOCUMENTAL</x:v>
      </x:c>
      <x:c r="I14" s="4" t="str">
        <x:v>Contrasta responsabilidades de gobierno, riesgo, programa e incidentes.</x:v>
      </x:c>
      <x:c r="J14" s="4" t="str">
        <x:v>Se conserva anuncio de revisión futura; no se mezcla su contenido con el corte utilizado.</x:v>
      </x:c>
      <x:c r="K14" s="4" t="str">
        <x:v>F010</x:v>
      </x:c>
      <x:c r="L14" s="4" t="str">
        <x:v>https://www.isaca.org/credentialing/cism/cism-exam-content-outline</x:v>
      </x:c>
      <x:c r="M14" s="4" t="str">
        <x:v>2026-09-08</x:v>
      </x:c>
      <x:c r="N14" s="4" t="str">
        <x:v>Watson / delimitación documental; adopción humana no registrada</x:v>
      </x:c>
      <x:c r="O14" s="12" t="n">
        <x:f>COUNTIF('01_Fuentes'!$A$5:$A$40,A14)-1</x:f>
        <x:v>0</x:v>
      </x:c>
      <x:c r="P14" s="12" t="n">
        <x:f>IF(COUNTIF('02_Custodia'!$A$5:$A$53,K14)=1,0,1)</x:f>
        <x:v>0</x:v>
      </x:c>
      <x:c r="Q14" s="12" t="n">
        <x:f>IF(OR(A14="",C14="",D14="",E14="",H14="",I14="",L14=""),1,0)</x:f>
        <x:v>0</x:v>
      </x:c>
    </x:row>
    <x:row r="15" ht="60" customHeight="1">
      <x:c r="A15" s="4" t="str">
        <x:v>F011</x:v>
      </x:c>
      <x:c r="B15" s="4" t="str">
        <x:v>Certificación personal especializada</x:v>
      </x:c>
      <x:c r="C15" s="4" t="str">
        <x:v>GIAC</x:v>
      </x:c>
      <x:c r="D15" s="4" t="str">
        <x:v>GIAC Certified Forensic Analyst (GCFA), objectives</x:v>
      </x:c>
      <x:c r="E15" s="4" t="str">
        <x:v>Instantánea 08-09-2026; sin revisión formal por objetivo</x:v>
      </x:c>
      <x:c r="F15" s="4" t="str">
        <x:v>Certificación internacional</x:v>
      </x:c>
      <x:c r="G15" s="4" t="str">
        <x:v>REFINAMIENTO_FORENSE</x:v>
      </x:c>
      <x:c r="H15" s="4" t="str">
        <x:v>ADMITIDA_DOCUMENTAL</x:v>
      </x:c>
      <x:c r="I15" s="4" t="str">
        <x:v>Memoria volátil, cronología y acciones antiforenses refinan la capacidad de análisis de evidencia.</x:v>
      </x:c>
      <x:c r="J15" s="4" t="str">
        <x:v>Sesgo a entornos Windows; no agota forense móvil, nube ni admisibilidad judicial.</x:v>
      </x:c>
      <x:c r="K15" s="4" t="str">
        <x:v>F011</x:v>
      </x:c>
      <x:c r="L15" s="4" t="str">
        <x:v>https://www.giac.org/certifications/certified-forensic-analyst-gcfa/</x:v>
      </x:c>
      <x:c r="M15" s="4" t="str">
        <x:v>2026-09-08</x:v>
      </x:c>
      <x:c r="N15" s="4" t="str">
        <x:v>Watson / delimitación documental; adopción humana no registrada</x:v>
      </x:c>
      <x:c r="O15" s="12" t="n">
        <x:f>COUNTIF('01_Fuentes'!$A$5:$A$40,A15)-1</x:f>
        <x:v>0</x:v>
      </x:c>
      <x:c r="P15" s="12" t="n">
        <x:f>IF(COUNTIF('02_Custodia'!$A$5:$A$53,K15)=1,0,1)</x:f>
        <x:v>0</x:v>
      </x:c>
      <x:c r="Q15" s="12" t="n">
        <x:f>IF(OR(A15="",C15="",D15="",E15="",H15="",I15="",L15=""),1,0)</x:f>
        <x:v>0</x:v>
      </x:c>
    </x:row>
    <x:row r="16" ht="76" customHeight="1">
      <x:c r="A16" s="4" t="str">
        <x:v>F012</x:v>
      </x:c>
      <x:c r="B16" s="4" t="str">
        <x:v>Formación y certificación personal</x:v>
      </x:c>
      <x:c r="C16" s="4" t="str">
        <x:v>OffSec</x:v>
      </x:c>
      <x:c r="D16" s="4" t="str">
        <x:v>PEN-200: Penetration Testing with Kali Linux / OSCP+</x:v>
      </x:c>
      <x:c r="E16" s="4" t="str">
        <x:v>Syllabus publicado en ruta 2026/03; instantánea</x:v>
      </x:c>
      <x:c r="F16" s="4" t="str">
        <x:v>Certificación internacional</x:v>
      </x:c>
      <x:c r="G16" s="4" t="str">
        <x:v>CONTRASTE_EVALUACION_AUTORIZADA</x:v>
      </x:c>
      <x:c r="H16" s="4" t="str">
        <x:v>ADMITIDA_DOCUMENTAL</x:v>
      </x:c>
      <x:c r="I16" s="4" t="str">
        <x:v>Ámbito práctico de evaluación ofensiva y comunicación de resultados.</x:v>
      </x:c>
      <x:c r="J16" s="4" t="str">
        <x:v>No autoriza pruebas contra terceros ni representa toda la ciberseguridad. Syllabus de dos páginas: alcance, no extracción exhaustiva de lecciones.</x:v>
      </x:c>
      <x:c r="K16" s="4" t="str">
        <x:v>F012</x:v>
      </x:c>
      <x:c r="L16" s="4" t="str">
        <x:v>https://manage.offsec.com/app/uploads/2026/03/PEN-200_Syllabus.pdf</x:v>
      </x:c>
      <x:c r="M16" s="4" t="str">
        <x:v>2026-09-08</x:v>
      </x:c>
      <x:c r="N16" s="4" t="str">
        <x:v>Watson / delimitación documental; adopción humana no registrada</x:v>
      </x:c>
      <x:c r="O16" s="12" t="n">
        <x:f>COUNTIF('01_Fuentes'!$A$5:$A$40,A16)-1</x:f>
        <x:v>0</x:v>
      </x:c>
      <x:c r="P16" s="12" t="n">
        <x:f>IF(COUNTIF('02_Custodia'!$A$5:$A$53,K16)=1,0,1)</x:f>
        <x:v>0</x:v>
      </x:c>
      <x:c r="Q16" s="12" t="n">
        <x:f>IF(OR(A16="",C16="",D16="",E16="",H16="",I16="",L16=""),1,0)</x:f>
        <x:v>0</x:v>
      </x:c>
    </x:row>
    <x:row r="17" ht="47" customHeight="1">
      <x:c r="A17" s="4" t="str">
        <x:v>F013</x:v>
      </x:c>
      <x:c r="B17" s="4" t="str">
        <x:v>Norma de gestión</x:v>
      </x:c>
      <x:c r="C17" s="4" t="str">
        <x:v>ISO / IEC</x:v>
      </x:c>
      <x:c r="D17" s="4" t="str">
        <x:v>ISO/IEC 27001:2022</x:v>
      </x:c>
      <x:c r="E17" s="4" t="str">
        <x:v>Edición 3; 2022-10; enmienda 2024 identificada</x:v>
      </x:c>
      <x:c r="F17" s="4" t="str">
        <x:v>Internacional; adopción y contrato aplicables</x:v>
      </x:c>
      <x:c r="G17" s="4" t="str">
        <x:v>REFERENCIA_DE_GESTION</x:v>
      </x:c>
      <x:c r="H17" s="4" t="str">
        <x:v>METADATOS_SOLO</x:v>
      </x:c>
      <x:c r="I17" s="4" t="str">
        <x:v>Identifica requisitos para un sistema de gestión de seguridad de la información.</x:v>
      </x:c>
      <x:c r="J17" s="4" t="str">
        <x:v>Texto completo licenciado no obtenido; ninguna cláusula adoptada ni conformidad declarada.</x:v>
      </x:c>
      <x:c r="K17" s="4" t="str">
        <x:v>F013</x:v>
      </x:c>
      <x:c r="L17" s="4" t="str">
        <x:v>https://www.iso.org/standard/27001</x:v>
      </x:c>
      <x:c r="M17" s="4" t="str">
        <x:v>2026-09-08</x:v>
      </x:c>
      <x:c r="N17" s="4" t="str">
        <x:v>Watson / delimitación documental; adopción humana no registrada</x:v>
      </x:c>
      <x:c r="O17" s="12" t="n">
        <x:f>COUNTIF('01_Fuentes'!$A$5:$A$40,A17)-1</x:f>
        <x:v>0</x:v>
      </x:c>
      <x:c r="P17" s="12" t="n">
        <x:f>IF(COUNTIF('02_Custodia'!$A$5:$A$53,K17)=1,0,1)</x:f>
        <x:v>0</x:v>
      </x:c>
      <x:c r="Q17" s="12" t="n">
        <x:f>IF(OR(A17="",C17="",D17="",E17="",H17="",I17="",L17=""),1,0)</x:f>
        <x:v>0</x:v>
      </x:c>
    </x:row>
    <x:row r="18" ht="47" customHeight="1">
      <x:c r="A18" s="4" t="str">
        <x:v>F014</x:v>
      </x:c>
      <x:c r="B18" s="4" t="str">
        <x:v>Guía de controles</x:v>
      </x:c>
      <x:c r="C18" s="4" t="str">
        <x:v>ISO / IEC</x:v>
      </x:c>
      <x:c r="D18" s="4" t="str">
        <x:v>ISO/IEC 27002:2022</x:v>
      </x:c>
      <x:c r="E18" s="4" t="str">
        <x:v>Edición 3; 2022</x:v>
      </x:c>
      <x:c r="F18" s="4" t="str">
        <x:v>Internacional</x:v>
      </x:c>
      <x:c r="G18" s="4" t="str">
        <x:v>REFERENCIA_DE_CONTROLES</x:v>
      </x:c>
      <x:c r="H18" s="4" t="str">
        <x:v>METADATOS_SOLO</x:v>
      </x:c>
      <x:c r="I18" s="4" t="str">
        <x:v>Identifica guía de controles de seguridad de la información.</x:v>
      </x:c>
      <x:c r="J18" s="4" t="str">
        <x:v>Ficha pública, no lectura completa ni extracción de controles.</x:v>
      </x:c>
      <x:c r="K18" s="4" t="str">
        <x:v>F014</x:v>
      </x:c>
      <x:c r="L18" s="4" t="str">
        <x:v>https://www.iso.org/standard/75652.html</x:v>
      </x:c>
      <x:c r="M18" s="4" t="str">
        <x:v>2026-09-08</x:v>
      </x:c>
      <x:c r="N18" s="4" t="str">
        <x:v>Watson / delimitación documental; adopción humana no registrada</x:v>
      </x:c>
      <x:c r="O18" s="12" t="n">
        <x:f>COUNTIF('01_Fuentes'!$A$5:$A$40,A18)-1</x:f>
        <x:v>0</x:v>
      </x:c>
      <x:c r="P18" s="12" t="n">
        <x:f>IF(COUNTIF('02_Custodia'!$A$5:$A$53,K18)=1,0,1)</x:f>
        <x:v>0</x:v>
      </x:c>
      <x:c r="Q18" s="12" t="n">
        <x:f>IF(OR(A18="",C18="",D18="",E18="",H18="",I18="",L18=""),1,0)</x:f>
        <x:v>0</x:v>
      </x:c>
    </x:row>
    <x:row r="19" ht="47" customHeight="1">
      <x:c r="A19" s="4" t="str">
        <x:v>F015</x:v>
      </x:c>
      <x:c r="B19" s="4" t="str">
        <x:v>Guía de riesgo</x:v>
      </x:c>
      <x:c r="C19" s="4" t="str">
        <x:v>ISO / IEC</x:v>
      </x:c>
      <x:c r="D19" s="4" t="str">
        <x:v>ISO/IEC 27005:2022</x:v>
      </x:c>
      <x:c r="E19" s="4" t="str">
        <x:v>Edición 4; 2022</x:v>
      </x:c>
      <x:c r="F19" s="4" t="str">
        <x:v>Internacional</x:v>
      </x:c>
      <x:c r="G19" s="4" t="str">
        <x:v>REFERENCIA_DE_RIESGO</x:v>
      </x:c>
      <x:c r="H19" s="4" t="str">
        <x:v>METADATOS_SOLO</x:v>
      </x:c>
      <x:c r="I19" s="4" t="str">
        <x:v>Identifica gestión de riesgos de seguridad de la información.</x:v>
      </x:c>
      <x:c r="J19" s="4" t="str">
        <x:v>No reconstruir cláusulas sin acceso autorizado.</x:v>
      </x:c>
      <x:c r="K19" s="4" t="str">
        <x:v>F015</x:v>
      </x:c>
      <x:c r="L19" s="4" t="str">
        <x:v>https://www.iso.org/standard/80585.html</x:v>
      </x:c>
      <x:c r="M19" s="4" t="str">
        <x:v>2026-09-08</x:v>
      </x:c>
      <x:c r="N19" s="4" t="str">
        <x:v>Watson / delimitación documental; adopción humana no registrada</x:v>
      </x:c>
      <x:c r="O19" s="12" t="n">
        <x:f>COUNTIF('01_Fuentes'!$A$5:$A$40,A19)-1</x:f>
        <x:v>0</x:v>
      </x:c>
      <x:c r="P19" s="12" t="n">
        <x:f>IF(COUNTIF('02_Custodia'!$A$5:$A$53,K19)=1,0,1)</x:f>
        <x:v>0</x:v>
      </x:c>
      <x:c r="Q19" s="12" t="n">
        <x:f>IF(OR(A19="",C19="",D19="",E19="",H19="",I19="",L19=""),1,0)</x:f>
        <x:v>0</x:v>
      </x:c>
    </x:row>
    <x:row r="20" ht="47" customHeight="1">
      <x:c r="A20" s="4" t="str">
        <x:v>F016</x:v>
      </x:c>
      <x:c r="B20" s="4" t="str">
        <x:v>Marco de resultados</x:v>
      </x:c>
      <x:c r="C20" s="4" t="str">
        <x:v>NIST</x:v>
      </x:c>
      <x:c r="D20" s="4" t="str">
        <x:v>The NIST Cybersecurity Framework (CSF) 2.0</x:v>
      </x:c>
      <x:c r="E20" s="4" t="str">
        <x:v>CSWP 29; 26-02-2024</x:v>
      </x:c>
      <x:c r="F20" s="4" t="str">
        <x:v>EE. UU.; uso voluntario adaptable</x:v>
      </x:c>
      <x:c r="G20" s="4" t="str">
        <x:v>CONTRASTE_DE_CICLO</x:v>
      </x:c>
      <x:c r="H20" s="4" t="str">
        <x:v>ADMITIDA_DOCUMENTAL</x:v>
      </x:c>
      <x:c r="I20" s="4" t="str">
        <x:v>Resultados de gobierno, identificación, protección, detección, respuesta y recuperación.</x:v>
      </x:c>
      <x:c r="J20" s="4" t="str">
        <x:v>Resultados no prescriptivos; ninguna equivalencia automática con controles o cumplimiento.</x:v>
      </x:c>
      <x:c r="K20" s="4" t="str">
        <x:v>F016</x:v>
      </x:c>
      <x:c r="L20" s="4" t="str">
        <x:v>https://nvlpubs.nist.gov/nistpubs/CSWP/NIST.CSWP.29.pdf</x:v>
      </x:c>
      <x:c r="M20" s="4" t="str">
        <x:v>2026-09-08</x:v>
      </x:c>
      <x:c r="N20" s="4" t="str">
        <x:v>Watson / delimitación documental; adopción humana no registrada</x:v>
      </x:c>
      <x:c r="O20" s="12" t="n">
        <x:f>COUNTIF('01_Fuentes'!$A$5:$A$40,A20)-1</x:f>
        <x:v>0</x:v>
      </x:c>
      <x:c r="P20" s="12" t="n">
        <x:f>IF(COUNTIF('02_Custodia'!$A$5:$A$53,K20)=1,0,1)</x:f>
        <x:v>0</x:v>
      </x:c>
      <x:c r="Q20" s="12" t="n">
        <x:f>IF(OR(A20="",C20="",D20="",E20="",H20="",I20="",L20=""),1,0)</x:f>
        <x:v>0</x:v>
      </x:c>
    </x:row>
    <x:row r="21" ht="60" customHeight="1">
      <x:c r="A21" s="4" t="str">
        <x:v>F017</x:v>
      </x:c>
      <x:c r="B21" s="4" t="str">
        <x:v>Catálogo de controles</x:v>
      </x:c>
      <x:c r="C21" s="4" t="str">
        <x:v>NIST</x:v>
      </x:c>
      <x:c r="D21" s="4" t="str">
        <x:v>SP 800-53 Rev. 5, Security and Privacy Controls for Information Systems and Organizations</x:v>
      </x:c>
      <x:c r="E21" s="4" t="str">
        <x:v>Rev. 5; actualización documental 10-12-2020; release de controles 5.2.0 anunciada 27-08-2025</x:v>
      </x:c>
      <x:c r="F21" s="4" t="str">
        <x:v>EE. UU.; aplicabilidad según organización y contrato</x:v>
      </x:c>
      <x:c r="G21" s="4" t="str">
        <x:v>REFERENCIA_DE_CONTROLES</x:v>
      </x:c>
      <x:c r="H21" s="4" t="str">
        <x:v>METADATOS_SOLO</x:v>
      </x:c>
      <x:c r="I21" s="4" t="str">
        <x:v>Distingue catálogo de controles de marco de competencias y de resultados.</x:v>
      </x:c>
      <x:c r="J21" s="4" t="str">
        <x:v>Página y actualización verificadas; corpus de controles 5.2.0 no extraído. No se declara evaluación de controles.</x:v>
      </x:c>
      <x:c r="K21" s="4" t="str">
        <x:v>F017</x:v>
      </x:c>
      <x:c r="L21" s="4" t="str">
        <x:v>https://csrc.nist.gov/pubs/sp/800/53/r5/upd1/final</x:v>
      </x:c>
      <x:c r="M21" s="4" t="str">
        <x:v>2026-09-08</x:v>
      </x:c>
      <x:c r="N21" s="4" t="str">
        <x:v>Watson / delimitación documental; adopción humana no registrada</x:v>
      </x:c>
      <x:c r="O21" s="12" t="n">
        <x:f>COUNTIF('01_Fuentes'!$A$5:$A$40,A21)-1</x:f>
        <x:v>0</x:v>
      </x:c>
      <x:c r="P21" s="12" t="n">
        <x:f>IF(COUNTIF('02_Custodia'!$A$5:$A$53,K21)=1,0,1)</x:f>
        <x:v>0</x:v>
      </x:c>
      <x:c r="Q21" s="12" t="n">
        <x:f>IF(OR(A21="",C21="",D21="",E21="",H21="",I21="",L21=""),1,0)</x:f>
        <x:v>0</x:v>
      </x:c>
    </x:row>
    <x:row r="22" ht="47" customHeight="1">
      <x:c r="A22" s="4" t="str">
        <x:v>F018</x:v>
      </x:c>
      <x:c r="B22" s="4" t="str">
        <x:v>Método técnico</x:v>
      </x:c>
      <x:c r="C22" s="4" t="str">
        <x:v>NIST</x:v>
      </x:c>
      <x:c r="D22" s="4" t="str">
        <x:v>SP 800-115, Technical Guide to Information Security Testing and Assessment</x:v>
      </x:c>
      <x:c r="E22" s="4" t="str">
        <x:v>Final; septiembre 2008</x:v>
      </x:c>
      <x:c r="F22" s="4" t="str">
        <x:v>EE. UU.; método adaptable bajo autorización</x:v>
      </x:c>
      <x:c r="G22" s="4" t="str">
        <x:v>COMPLEMENTO_DE_METODO</x:v>
      </x:c>
      <x:c r="H22" s="4" t="str">
        <x:v>ADMITIDA_DOCUMENTAL</x:v>
      </x:c>
      <x:c r="I22" s="4" t="str">
        <x:v>Planificación, reglas de actuación, ejecución y reporte de evaluaciones técnicas.</x:v>
      </x:c>
      <x:c r="J22" s="4" t="str">
        <x:v>Antigüedad explícita; no sustituye técnicas actuales ni autorización del propietario.</x:v>
      </x:c>
      <x:c r="K22" s="4" t="str">
        <x:v>F018</x:v>
      </x:c>
      <x:c r="L22" s="4" t="str">
        <x:v>https://nvlpubs.nist.gov/nistpubs/Legacy/SP/nistspecialpublication800-115.pdf</x:v>
      </x:c>
      <x:c r="M22" s="4" t="str">
        <x:v>2026-09-08</x:v>
      </x:c>
      <x:c r="N22" s="4" t="str">
        <x:v>Watson / delimitación documental; adopción humana no registrada</x:v>
      </x:c>
      <x:c r="O22" s="12" t="n">
        <x:f>COUNTIF('01_Fuentes'!$A$5:$A$40,A22)-1</x:f>
        <x:v>0</x:v>
      </x:c>
      <x:c r="P22" s="12" t="n">
        <x:f>IF(COUNTIF('02_Custodia'!$A$5:$A$53,K22)=1,0,1)</x:f>
        <x:v>0</x:v>
      </x:c>
      <x:c r="Q22" s="12" t="n">
        <x:f>IF(OR(A22="",C22="",D22="",E22="",H22="",I22="",L22=""),1,0)</x:f>
        <x:v>0</x:v>
      </x:c>
    </x:row>
    <x:row r="23" ht="60" customHeight="1">
      <x:c r="A23" s="4" t="str">
        <x:v>F019</x:v>
      </x:c>
      <x:c r="B23" s="4" t="str">
        <x:v>Método técnico</x:v>
      </x:c>
      <x:c r="C23" s="4" t="str">
        <x:v>NIST</x:v>
      </x:c>
      <x:c r="D23" s="4" t="str">
        <x:v>SP 800-61 Rev. 3, Incident Response Recommendations and Considerations for Cybersecurity Risk Management</x:v>
      </x:c>
      <x:c r="E23" s="4" t="str">
        <x:v>Final; abril 2025</x:v>
      </x:c>
      <x:c r="F23" s="4" t="str">
        <x:v>EE. UU.; método adaptable</x:v>
      </x:c>
      <x:c r="G23" s="4" t="str">
        <x:v>COMPLEMENTO_DE_METODO</x:v>
      </x:c>
      <x:c r="H23" s="4" t="str">
        <x:v>ADMITIDA_DOCUMENTAL</x:v>
      </x:c>
      <x:c r="I23" s="4" t="str">
        <x:v>Respuesta a incidentes vinculada al ciclo CSF 2.0 y a su gobierno.</x:v>
      </x:c>
      <x:c r="J23" s="4" t="str">
        <x:v>No habilita contención ni efectos; selección operativa y autoridad por constituir.</x:v>
      </x:c>
      <x:c r="K23" s="4" t="str">
        <x:v>F019</x:v>
      </x:c>
      <x:c r="L23" s="4" t="str">
        <x:v>https://nvlpubs.nist.gov/nistpubs/SpecialPublications/NIST.SP.800-61r3.pdf</x:v>
      </x:c>
      <x:c r="M23" s="4" t="str">
        <x:v>2026-09-08</x:v>
      </x:c>
      <x:c r="N23" s="4" t="str">
        <x:v>Watson / delimitación documental; adopción humana no registrada</x:v>
      </x:c>
      <x:c r="O23" s="12" t="n">
        <x:f>COUNTIF('01_Fuentes'!$A$5:$A$40,A23)-1</x:f>
        <x:v>0</x:v>
      </x:c>
      <x:c r="P23" s="12" t="n">
        <x:f>IF(COUNTIF('02_Custodia'!$A$5:$A$53,K23)=1,0,1)</x:f>
        <x:v>0</x:v>
      </x:c>
      <x:c r="Q23" s="12" t="n">
        <x:f>IF(OR(A23="",C23="",D23="",E23="",H23="",I23="",L23=""),1,0)</x:f>
        <x:v>0</x:v>
      </x:c>
    </x:row>
    <x:row r="24" ht="47" customHeight="1">
      <x:c r="A24" s="4" t="str">
        <x:v>F020</x:v>
      </x:c>
      <x:c r="B24" s="4" t="str">
        <x:v>Método técnico sectorial</x:v>
      </x:c>
      <x:c r="C24" s="4" t="str">
        <x:v>NIST</x:v>
      </x:c>
      <x:c r="D24" s="4" t="str">
        <x:v>SP 800-82 Rev. 3, Guide to Operational Technology (OT) Security</x:v>
      </x:c>
      <x:c r="E24" s="4" t="str">
        <x:v>Final; septiembre 2023</x:v>
      </x:c>
      <x:c r="F24" s="4" t="str">
        <x:v>EE. UU.; entornos OT cuando proceda</x:v>
      </x:c>
      <x:c r="G24" s="4" t="str">
        <x:v>COMPLEMENTO_DE_FRONTERA</x:v>
      </x:c>
      <x:c r="H24" s="4" t="str">
        <x:v>ADMITIDA_DOCUMENTAL</x:v>
      </x:c>
      <x:c r="I24" s="4" t="str">
        <x:v>Diferencias de seguridad física, disponibilidad, fiabilidad y control industrial.</x:v>
      </x:c>
      <x:c r="J24" s="4" t="str">
        <x:v>Sólo frontera profesional OT; ninguna instalación ni actuación industrial en este corte.</x:v>
      </x:c>
      <x:c r="K24" s="4" t="str">
        <x:v>F020</x:v>
      </x:c>
      <x:c r="L24" s="4" t="str">
        <x:v>https://nvlpubs.nist.gov/nistpubs/SpecialPublications/NIST.SP.800-82r3.pdf</x:v>
      </x:c>
      <x:c r="M24" s="4" t="str">
        <x:v>2026-09-08</x:v>
      </x:c>
      <x:c r="N24" s="4" t="str">
        <x:v>Watson / delimitación documental; adopción humana no registrada</x:v>
      </x:c>
      <x:c r="O24" s="12" t="n">
        <x:f>COUNTIF('01_Fuentes'!$A$5:$A$40,A24)-1</x:f>
        <x:v>0</x:v>
      </x:c>
      <x:c r="P24" s="12" t="n">
        <x:f>IF(COUNTIF('02_Custodia'!$A$5:$A$53,K24)=1,0,1)</x:f>
        <x:v>0</x:v>
      </x:c>
      <x:c r="Q24" s="12" t="n">
        <x:f>IF(OR(A24="",C24="",D24="",E24="",H24="",I24="",L24=""),1,0)</x:f>
        <x:v>0</x:v>
      </x:c>
    </x:row>
    <x:row r="25" ht="47" customHeight="1">
      <x:c r="A25" s="4" t="str">
        <x:v>F021</x:v>
      </x:c>
      <x:c r="B25" s="4" t="str">
        <x:v>Estándar técnico comunitario</x:v>
      </x:c>
      <x:c r="C25" s="4" t="str">
        <x:v>OWASP</x:v>
      </x:c>
      <x:c r="D25" s="4" t="str">
        <x:v>Application Security Verification Standard (ASVS)</x:v>
      </x:c>
      <x:c r="E25" s="4" t="str">
        <x:v>5.0.0; 30-05-2025</x:v>
      </x:c>
      <x:c r="F25" s="4" t="str">
        <x:v>Comunidad internacional</x:v>
      </x:c>
      <x:c r="G25" s="4" t="str">
        <x:v>REFERENCIA_DE_VERIFICACION</x:v>
      </x:c>
      <x:c r="H25" s="4" t="str">
        <x:v>METADATOS_SOLO</x:v>
      </x:c>
      <x:c r="I25" s="4" t="str">
        <x:v>Criterios verificables de seguridad de aplicaciones con identificadores versionados.</x:v>
      </x:c>
      <x:c r="J25" s="4" t="str">
        <x:v>Página y convención de versión leídas; requisitos individuales no extraídos en este corte.</x:v>
      </x:c>
      <x:c r="K25" s="4" t="str">
        <x:v>F021</x:v>
      </x:c>
      <x:c r="L25" s="4" t="str">
        <x:v>https://owasp.org/www-project-application-security-verification-standard/</x:v>
      </x:c>
      <x:c r="M25" s="4" t="str">
        <x:v>2026-09-08</x:v>
      </x:c>
      <x:c r="N25" s="4" t="str">
        <x:v>Watson / delimitación documental; adopción humana no registrada</x:v>
      </x:c>
      <x:c r="O25" s="12" t="n">
        <x:f>COUNTIF('01_Fuentes'!$A$5:$A$40,A25)-1</x:f>
        <x:v>0</x:v>
      </x:c>
      <x:c r="P25" s="12" t="n">
        <x:f>IF(COUNTIF('02_Custodia'!$A$5:$A$53,K25)=1,0,1)</x:f>
        <x:v>0</x:v>
      </x:c>
      <x:c r="Q25" s="12" t="n">
        <x:f>IF(OR(A25="",C25="",D25="",E25="",H25="",I25="",L25=""),1,0)</x:f>
        <x:v>0</x:v>
      </x:c>
    </x:row>
    <x:row r="26" ht="47" customHeight="1">
      <x:c r="A26" s="4" t="str">
        <x:v>F022</x:v>
      </x:c>
      <x:c r="B26" s="4" t="str">
        <x:v>Norma de gestión de IA</x:v>
      </x:c>
      <x:c r="C26" s="4" t="str">
        <x:v>ISO / IEC</x:v>
      </x:c>
      <x:c r="D26" s="4" t="str">
        <x:v>ISO/IEC 42001:2023</x:v>
      </x:c>
      <x:c r="E26" s="4" t="str">
        <x:v>Edición 1; 2023</x:v>
      </x:c>
      <x:c r="F26" s="4" t="str">
        <x:v>Internacional</x:v>
      </x:c>
      <x:c r="G26" s="4" t="str">
        <x:v>REFERENCIA_GOBIERNO_IA</x:v>
      </x:c>
      <x:c r="H26" s="4" t="str">
        <x:v>METADATOS_SOLO</x:v>
      </x:c>
      <x:c r="I26" s="4" t="str">
        <x:v>Identifica sistema de gestión para organizaciones que desarrollan, proveen o usan IA.</x:v>
      </x:c>
      <x:c r="J26" s="4" t="str">
        <x:v>Ficha pública; texto completo y cláusulas no adoptados.</x:v>
      </x:c>
      <x:c r="K26" s="4" t="str">
        <x:v>F022</x:v>
      </x:c>
      <x:c r="L26" s="4" t="str">
        <x:v>https://www.iso.org/standard/42001</x:v>
      </x:c>
      <x:c r="M26" s="4" t="str">
        <x:v>2026-09-08</x:v>
      </x:c>
      <x:c r="N26" s="4" t="str">
        <x:v>Watson / delimitación documental; adopción humana no registrada</x:v>
      </x:c>
      <x:c r="O26" s="12" t="n">
        <x:f>COUNTIF('01_Fuentes'!$A$5:$A$40,A26)-1</x:f>
        <x:v>0</x:v>
      </x:c>
      <x:c r="P26" s="12" t="n">
        <x:f>IF(COUNTIF('02_Custodia'!$A$5:$A$53,K26)=1,0,1)</x:f>
        <x:v>0</x:v>
      </x:c>
      <x:c r="Q26" s="12" t="n">
        <x:f>IF(OR(A26="",C26="",D26="",E26="",H26="",I26="",L26=""),1,0)</x:f>
        <x:v>0</x:v>
      </x:c>
    </x:row>
    <x:row r="27" ht="47" customHeight="1">
      <x:c r="A27" s="4" t="str">
        <x:v>F023</x:v>
      </x:c>
      <x:c r="B27" s="4" t="str">
        <x:v>Guía de riesgo de IA</x:v>
      </x:c>
      <x:c r="C27" s="4" t="str">
        <x:v>ISO / IEC</x:v>
      </x:c>
      <x:c r="D27" s="4" t="str">
        <x:v>ISO/IEC 23894:2023</x:v>
      </x:c>
      <x:c r="E27" s="4" t="str">
        <x:v>Edición 1; 2023</x:v>
      </x:c>
      <x:c r="F27" s="4" t="str">
        <x:v>Internacional</x:v>
      </x:c>
      <x:c r="G27" s="4" t="str">
        <x:v>REFERENCIA_RIESGO_IA</x:v>
      </x:c>
      <x:c r="H27" s="4" t="str">
        <x:v>METADATOS_SOLO</x:v>
      </x:c>
      <x:c r="I27" s="4" t="str">
        <x:v>Identifica guía de gestión del riesgo de IA.</x:v>
      </x:c>
      <x:c r="J27" s="4" t="str">
        <x:v>Ficha pública; no equivale a requisitos de 42001 ni se reconstruye texto licenciado.</x:v>
      </x:c>
      <x:c r="K27" s="4" t="str">
        <x:v>F023</x:v>
      </x:c>
      <x:c r="L27" s="4" t="str">
        <x:v>https://www.iso.org/standard/77304.html</x:v>
      </x:c>
      <x:c r="M27" s="4" t="str">
        <x:v>2026-09-08</x:v>
      </x:c>
      <x:c r="N27" s="4" t="str">
        <x:v>Watson / delimitación documental; adopción humana no registrada</x:v>
      </x:c>
      <x:c r="O27" s="12" t="n">
        <x:f>COUNTIF('01_Fuentes'!$A$5:$A$40,A27)-1</x:f>
        <x:v>0</x:v>
      </x:c>
      <x:c r="P27" s="12" t="n">
        <x:f>IF(COUNTIF('02_Custodia'!$A$5:$A$53,K27)=1,0,1)</x:f>
        <x:v>0</x:v>
      </x:c>
      <x:c r="Q27" s="12" t="n">
        <x:f>IF(OR(A27="",C27="",D27="",E27="",H27="",I27="",L27=""),1,0)</x:f>
        <x:v>0</x:v>
      </x:c>
    </x:row>
    <x:row r="28" ht="60" customHeight="1">
      <x:c r="A28" s="4" t="str">
        <x:v>F024</x:v>
      </x:c>
      <x:c r="B28" s="4" t="str">
        <x:v>Marco de riesgo de IA</x:v>
      </x:c>
      <x:c r="C28" s="4" t="str">
        <x:v>NIST</x:v>
      </x:c>
      <x:c r="D28" s="4" t="str">
        <x:v>Artificial Intelligence Risk Management Framework (AI RMF 1.0)</x:v>
      </x:c>
      <x:c r="E28" s="4" t="str">
        <x:v>AI 100-1; enero 2023</x:v>
      </x:c>
      <x:c r="F28" s="4" t="str">
        <x:v>EE. UU.; marco voluntario</x:v>
      </x:c>
      <x:c r="G28" s="4" t="str">
        <x:v>COMPLEMENTO_GOBIERNO_IA</x:v>
      </x:c>
      <x:c r="H28" s="4" t="str">
        <x:v>ADMITIDA_DOCUMENTAL</x:v>
      </x:c>
      <x:c r="I28" s="4" t="str">
        <x:v>Contexto, medición, gestión y gobierno del riesgo de IA; responsabilidad y validez de evaluaciones.</x:v>
      </x:c>
      <x:c r="J28" s="4" t="str">
        <x:v>No convierte métricas probabilísticas en primitivas SV ni confiere decisiones a la IA.</x:v>
      </x:c>
      <x:c r="K28" s="4" t="str">
        <x:v>F024</x:v>
      </x:c>
      <x:c r="L28" s="4" t="str">
        <x:v>https://nvlpubs.nist.gov/nistpubs/ai/NIST.AI.100-1.pdf</x:v>
      </x:c>
      <x:c r="M28" s="4" t="str">
        <x:v>2026-09-08</x:v>
      </x:c>
      <x:c r="N28" s="4" t="str">
        <x:v>Watson / delimitación documental; adopción humana no registrada</x:v>
      </x:c>
      <x:c r="O28" s="12" t="n">
        <x:f>COUNTIF('01_Fuentes'!$A$5:$A$40,A28)-1</x:f>
        <x:v>0</x:v>
      </x:c>
      <x:c r="P28" s="12" t="n">
        <x:f>IF(COUNTIF('02_Custodia'!$A$5:$A$53,K28)=1,0,1)</x:f>
        <x:v>0</x:v>
      </x:c>
      <x:c r="Q28" s="12" t="n">
        <x:f>IF(OR(A28="",C28="",D28="",E28="",H28="",I28="",L28=""),1,0)</x:f>
        <x:v>0</x:v>
      </x:c>
    </x:row>
    <x:row r="29" ht="60" customHeight="1">
      <x:c r="A29" s="4" t="str">
        <x:v>F025</x:v>
      </x:c>
      <x:c r="B29" s="4" t="str">
        <x:v>Perfil de desarrollo seguro de IA</x:v>
      </x:c>
      <x:c r="C29" s="4" t="str">
        <x:v>NIST</x:v>
      </x:c>
      <x:c r="D29" s="4" t="str">
        <x:v>SP 800-218A, Secure Software Development Practices for Generative AI and Dual-Use Foundation Models</x:v>
      </x:c>
      <x:c r="E29" s="4" t="str">
        <x:v>Final; 26-07-2024</x:v>
      </x:c>
      <x:c r="F29" s="4" t="str">
        <x:v>EE. UU.; productores y adquirentes según alcance</x:v>
      </x:c>
      <x:c r="G29" s="4" t="str">
        <x:v>COMPLEMENTO_CICLO_IA</x:v>
      </x:c>
      <x:c r="H29" s="4" t="str">
        <x:v>ADMITIDA_DOCUMENTAL</x:v>
      </x:c>
      <x:c r="I29" s="4" t="str">
        <x:v>Desarrollo de modelos, procedencia de datos, pruebas y dependencias de IA generativa y modelos fundacionales.</x:v>
      </x:c>
      <x:c r="J29" s="4" t="str">
        <x:v>Alcance específico; no es todo aprendizaje automático ni reemplaza al SSDF base.</x:v>
      </x:c>
      <x:c r="K29" s="4" t="str">
        <x:v>F025</x:v>
      </x:c>
      <x:c r="L29" s="4" t="str">
        <x:v>https://nvlpubs.nist.gov/nistpubs/SpecialPublications/NIST.SP.800-218A.pdf</x:v>
      </x:c>
      <x:c r="M29" s="4" t="str">
        <x:v>2026-09-08</x:v>
      </x:c>
      <x:c r="N29" s="4" t="str">
        <x:v>Watson / delimitación documental; adopción humana no registrada</x:v>
      </x:c>
      <x:c r="O29" s="12" t="n">
        <x:f>COUNTIF('01_Fuentes'!$A$5:$A$40,A29)-1</x:f>
        <x:v>0</x:v>
      </x:c>
      <x:c r="P29" s="12" t="n">
        <x:f>IF(COUNTIF('02_Custodia'!$A$5:$A$53,K29)=1,0,1)</x:f>
        <x:v>0</x:v>
      </x:c>
      <x:c r="Q29" s="12" t="n">
        <x:f>IF(OR(A29="",C29="",D29="",E29="",H29="",I29="",L29=""),1,0)</x:f>
        <x:v>0</x:v>
      </x:c>
    </x:row>
    <x:row r="30" ht="60" customHeight="1">
      <x:c r="A30" s="4" t="str">
        <x:v>F026</x:v>
      </x:c>
      <x:c r="B30" s="4" t="str">
        <x:v>Taxonomía técnica de amenazas de IA</x:v>
      </x:c>
      <x:c r="C30" s="4" t="str">
        <x:v>NIST</x:v>
      </x:c>
      <x:c r="D30" s="4" t="str">
        <x:v>AI 100-2 E2025, Adversarial Machine Learning: A Taxonomy and Terminology of Attacks and Mitigations</x:v>
      </x:c>
      <x:c r="E30" s="4" t="str">
        <x:v>Marzo 2025; PDF corregido 01-04-2025; errata pendiente de página x identificada</x:v>
      </x:c>
      <x:c r="F30" s="4" t="str">
        <x:v>EE. UU.; conocimiento técnico</x:v>
      </x:c>
      <x:c r="G30" s="4" t="str">
        <x:v>COMPLEMENTO_AMENAZAS_IA</x:v>
      </x:c>
      <x:c r="H30" s="4" t="str">
        <x:v>ADMITIDA_DOCUMENTAL</x:v>
      </x:c>
      <x:c r="I30" s="4" t="str">
        <x:v>Distingue objetivos, conocimiento y capacidades adversarias; envenenamiento, evasión y privacidad en distintas clases de IA.</x:v>
      </x:c>
      <x:c r="J30" s="4" t="str">
        <x:v>Taxonomía y mitigaciones, no causalidad ni gravedad automática por nombre de ataque.</x:v>
      </x:c>
      <x:c r="K30" s="4" t="str">
        <x:v>F026</x:v>
      </x:c>
      <x:c r="L30" s="4" t="str">
        <x:v>https://nvlpubs.nist.gov/nistpubs/ai/NIST.AI.100-2e2025.pdf</x:v>
      </x:c>
      <x:c r="M30" s="4" t="str">
        <x:v>2026-09-08</x:v>
      </x:c>
      <x:c r="N30" s="4" t="str">
        <x:v>Watson / delimitación documental; adopción humana no registrada</x:v>
      </x:c>
      <x:c r="O30" s="12" t="n">
        <x:f>COUNTIF('01_Fuentes'!$A$5:$A$40,A30)-1</x:f>
        <x:v>0</x:v>
      </x:c>
      <x:c r="P30" s="12" t="n">
        <x:f>IF(COUNTIF('02_Custodia'!$A$5:$A$53,K30)=1,0,1)</x:f>
        <x:v>0</x:v>
      </x:c>
      <x:c r="Q30" s="12" t="n">
        <x:f>IF(OR(A30="",C30="",D30="",E30="",H30="",I30="",L30=""),1,0)</x:f>
        <x:v>0</x:v>
      </x:c>
    </x:row>
    <x:row r="31" ht="60" customHeight="1">
      <x:c r="A31" s="4" t="str">
        <x:v>F027</x:v>
      </x:c>
      <x:c r="B31" s="4" t="str">
        <x:v>Guía técnica comunitaria de IA</x:v>
      </x:c>
      <x:c r="C31" s="4" t="str">
        <x:v>OWASP AI Exchange</x:v>
      </x:c>
      <x:c r="D31" s="4" t="str">
        <x:v>AI Security Overview</x:v>
      </x:c>
      <x:c r="E31" s="4" t="str">
        <x:v>Instantánea 08-09-2026; sección 0</x:v>
      </x:c>
      <x:c r="F31" s="4" t="str">
        <x:v>Internacional</x:v>
      </x:c>
      <x:c r="G31" s="4" t="str">
        <x:v>CONTRASTE_IA_GENERAL</x:v>
      </x:c>
      <x:c r="H31" s="4" t="str">
        <x:v>ADMITIDA_DOCUMENTAL</x:v>
      </x:c>
      <x:c r="I31" s="4" t="str">
        <x:v>Visión de amenazas y controles para distintas clases de IA; evita reducir el perímetro a LLM.</x:v>
      </x:c>
      <x:c r="J31" s="4" t="str">
        <x:v>Sección de visión general capturada; no se declara copia completa del sitio ni de sus estándares relacionados.</x:v>
      </x:c>
      <x:c r="K31" s="4" t="str">
        <x:v>F027</x:v>
      </x:c>
      <x:c r="L31" s="4" t="str">
        <x:v>https://owaspai.org/docs/ai_security_overview/</x:v>
      </x:c>
      <x:c r="M31" s="4" t="str">
        <x:v>2026-09-08</x:v>
      </x:c>
      <x:c r="N31" s="4" t="str">
        <x:v>Watson / delimitación documental; adopción humana no registrada</x:v>
      </x:c>
      <x:c r="O31" s="12" t="n">
        <x:f>COUNTIF('01_Fuentes'!$A$5:$A$40,A31)-1</x:f>
        <x:v>0</x:v>
      </x:c>
      <x:c r="P31" s="12" t="n">
        <x:f>IF(COUNTIF('02_Custodia'!$A$5:$A$53,K31)=1,0,1)</x:f>
        <x:v>0</x:v>
      </x:c>
      <x:c r="Q31" s="12" t="n">
        <x:f>IF(OR(A31="",C31="",D31="",E31="",H31="",I31="",L31=""),1,0)</x:f>
        <x:v>0</x:v>
      </x:c>
    </x:row>
    <x:row r="32" ht="60" customHeight="1">
      <x:c r="A32" s="4" t="str">
        <x:v>F028</x:v>
      </x:c>
      <x:c r="B32" s="4" t="str">
        <x:v>Borrador de perfil de IA</x:v>
      </x:c>
      <x:c r="C32" s="4" t="str">
        <x:v>NIST</x:v>
      </x:c>
      <x:c r="D32" s="4" t="str">
        <x:v>IR 8596, Cybersecurity Framework Profile for Artificial Intelligence (Cyber AI Profile)</x:v>
      </x:c>
      <x:c r="E32" s="4" t="str">
        <x:v>Initial Preliminary Draft; 16-12-2025</x:v>
      </x:c>
      <x:c r="F32" s="4" t="str">
        <x:v>EE. UU.; propuesta en desarrollo</x:v>
      </x:c>
      <x:c r="G32" s="4" t="str">
        <x:v>PREGUNTAS_DE_COBERTURA</x:v>
      </x:c>
      <x:c r="H32" s="4" t="str">
        <x:v>BORRADOR_NO_NORMATIVO</x:v>
      </x:c>
      <x:c r="I32" s="4" t="str">
        <x:v>Distingue proteger IA, emplear IA en defensa y afrontar amenazas facilitadas por IA.</x:v>
      </x:c>
      <x:c r="J32" s="4" t="str">
        <x:v>Conserva estatuto de borrador. No se adopta como norma final ni como único apoyo de una capacidad.</x:v>
      </x:c>
      <x:c r="K32" s="4" t="str">
        <x:v>F028</x:v>
      </x:c>
      <x:c r="L32" s="4" t="str">
        <x:v>https://nvlpubs.nist.gov/nistpubs/ir/2025/NIST.IR.8596.iprd.pdf</x:v>
      </x:c>
      <x:c r="M32" s="4" t="str">
        <x:v>2026-09-08</x:v>
      </x:c>
      <x:c r="N32" s="4" t="str">
        <x:v>Watson / delimitación documental; adopción humana no registrada</x:v>
      </x:c>
      <x:c r="O32" s="12" t="n">
        <x:f>COUNTIF('01_Fuentes'!$A$5:$A$40,A32)-1</x:f>
        <x:v>0</x:v>
      </x:c>
      <x:c r="P32" s="12" t="n">
        <x:f>IF(COUNTIF('02_Custodia'!$A$5:$A$53,K32)=1,0,1)</x:f>
        <x:v>0</x:v>
      </x:c>
      <x:c r="Q32" s="12" t="n">
        <x:f>IF(OR(A32="",C32="",D32="",E32="",H32="",I32="",L32=""),1,0)</x:f>
        <x:v>0</x:v>
      </x:c>
    </x:row>
    <x:row r="33" ht="60" customHeight="1">
      <x:c r="A33" s="4" t="str">
        <x:v>F029</x:v>
      </x:c>
      <x:c r="B33" s="4" t="str">
        <x:v>Guía comunitaria de amenazas de IA</x:v>
      </x:c>
      <x:c r="C33" s="4" t="str">
        <x:v>OWASP GenAI Security Project</x:v>
      </x:c>
      <x:c r="D33" s="4" t="str">
        <x:v>OWASP GenAI LLM Top 10 2026</x:v>
      </x:c>
      <x:c r="E33" s="4" t="str">
        <x:v>Edición 2026; PDF publicado en agosto; repositorio 9253e38ade58e959b531c0c5c9a4842272c9cd0e</x:v>
      </x:c>
      <x:c r="F33" s="4" t="str">
        <x:v>Internacional</x:v>
      </x:c>
      <x:c r="G33" s="4" t="str">
        <x:v>REFINAMIENTO_IA_GENERATIVA</x:v>
      </x:c>
      <x:c r="H33" s="4" t="str">
        <x:v>ADMITIDA_DOCUMENTAL</x:v>
      </x:c>
      <x:c r="I33" s="4" t="str">
        <x:v>Actualiza riesgos de aplicaciones LLM, incluyendo agencia, contexto oculto y manejo de salidas.</x:v>
      </x:c>
      <x:c r="J33" s="4" t="str">
        <x:v>La antigua página /llm-top-10/ aún muestra 2025. Se conserva como antecedente; no se mezclan identificadores entre ediciones.</x:v>
      </x:c>
      <x:c r="K33" s="4" t="str">
        <x:v>A013</x:v>
      </x:c>
      <x:c r="L33" s="4" t="str">
        <x:v>https://genai.owasp.org/download/56857/?tmstv=1785822482</x:v>
      </x:c>
      <x:c r="M33" s="4" t="str">
        <x:v>2026-09-08</x:v>
      </x:c>
      <x:c r="N33" s="4" t="str">
        <x:v>Watson / delimitación documental; adopción humana no registrada</x:v>
      </x:c>
      <x:c r="O33" s="12" t="n">
        <x:f>COUNTIF('01_Fuentes'!$A$5:$A$40,A33)-1</x:f>
        <x:v>0</x:v>
      </x:c>
      <x:c r="P33" s="12" t="n">
        <x:f>IF(COUNTIF('02_Custodia'!$A$5:$A$53,K33)=1,0,1)</x:f>
        <x:v>0</x:v>
      </x:c>
      <x:c r="Q33" s="12" t="n">
        <x:f>IF(OR(A33="",C33="",D33="",E33="",H33="",I33="",L33=""),1,0)</x:f>
        <x:v>0</x:v>
      </x:c>
    </x:row>
    <x:row r="34" ht="60" customHeight="1">
      <x:c r="A34" s="4" t="str">
        <x:v>F030</x:v>
      </x:c>
      <x:c r="B34" s="4" t="str">
        <x:v>Disposición jurídica</x:v>
      </x:c>
      <x:c r="C34" s="4" t="str">
        <x:v>España / BOE</x:v>
      </x:c>
      <x:c r="D34" s="4" t="str">
        <x:v>Real Decreto 311/2022, Esquema Nacional de Seguridad</x:v>
      </x:c>
      <x:c r="E34" s="4" t="str">
        <x:v>Texto consolidado capturado; RD 03-05-2022</x:v>
      </x:c>
      <x:c r="F34" s="4" t="str">
        <x:v>España; supuestos del artículo 2 y contratos pertinentes</x:v>
      </x:c>
      <x:c r="G34" s="4" t="str">
        <x:v>FRONTERA_JURIDICA</x:v>
      </x:c>
      <x:c r="H34" s="4" t="str">
        <x:v>ADMITIDA_CONDICIONAL</x:v>
      </x:c>
      <x:c r="I34" s="4" t="str">
        <x:v>Determina ámbito y responsabilidades del ENS, no una ley mundial de ciberseguridad.</x:v>
      </x:c>
      <x:c r="J34" s="4" t="str">
        <x:v>Consolidación informativa; obligación concreta requiere entidad, actividad, versión temporal y texto oficial aplicable.</x:v>
      </x:c>
      <x:c r="K34" s="4" t="str">
        <x:v>F030</x:v>
      </x:c>
      <x:c r="L34" s="4" t="str">
        <x:v>https://www.boe.es/eli/es/rd/2022/05/03/311/con</x:v>
      </x:c>
      <x:c r="M34" s="4" t="str">
        <x:v>2026-09-08</x:v>
      </x:c>
      <x:c r="N34" s="4" t="str">
        <x:v>Watson / delimitación documental; adopción humana no registrada</x:v>
      </x:c>
      <x:c r="O34" s="12" t="n">
        <x:f>COUNTIF('01_Fuentes'!$A$5:$A$40,A34)-1</x:f>
        <x:v>0</x:v>
      </x:c>
      <x:c r="P34" s="12" t="n">
        <x:f>IF(COUNTIF('02_Custodia'!$A$5:$A$53,K34)=1,0,1)</x:f>
        <x:v>0</x:v>
      </x:c>
      <x:c r="Q34" s="12" t="n">
        <x:f>IF(OR(A34="",C34="",D34="",E34="",H34="",I34="",L34=""),1,0)</x:f>
        <x:v>0</x:v>
      </x:c>
    </x:row>
    <x:row r="35" ht="60" customHeight="1">
      <x:c r="A35" s="4" t="str">
        <x:v>F031</x:v>
      </x:c>
      <x:c r="B35" s="4" t="str">
        <x:v>Disposición jurídica</x:v>
      </x:c>
      <x:c r="C35" s="4" t="str">
        <x:v>Unión Europea</x:v>
      </x:c>
      <x:c r="D35" s="4" t="str">
        <x:v>Directiva (UE) 2022/2555 (NIS2)</x:v>
      </x:c>
      <x:c r="E35" s="4" t="str">
        <x:v>Texto original DOUE capturado; 14-12-2022</x:v>
      </x:c>
      <x:c r="F35" s="4" t="str">
        <x:v>UE; destinatarios y transposición nacional</x:v>
      </x:c>
      <x:c r="G35" s="4" t="str">
        <x:v>FRONTERA_JURIDICA</x:v>
      </x:c>
      <x:c r="H35" s="4" t="str">
        <x:v>ADMITIDA_CONDICIONAL</x:v>
      </x:c>
      <x:c r="I35" s="4" t="str">
        <x:v>Ámbito, gobierno y medidas de gestión de riesgo; responsabilidad institucional.</x:v>
      </x:c>
      <x:c r="J35" s="4" t="str">
        <x:v>No se presume transposición española ni equivalencia entre directiva y obligación nacional ejecutable.</x:v>
      </x:c>
      <x:c r="K35" s="4" t="str">
        <x:v>F031</x:v>
      </x:c>
      <x:c r="L35" s="4" t="str">
        <x:v>https://eur-lex.europa.eu/eli/dir/2022/2555/oj/eng</x:v>
      </x:c>
      <x:c r="M35" s="4" t="str">
        <x:v>2026-09-08</x:v>
      </x:c>
      <x:c r="N35" s="4" t="str">
        <x:v>Watson / delimitación documental; adopción humana no registrada</x:v>
      </x:c>
      <x:c r="O35" s="12" t="n">
        <x:f>COUNTIF('01_Fuentes'!$A$5:$A$40,A35)-1</x:f>
        <x:v>0</x:v>
      </x:c>
      <x:c r="P35" s="12" t="n">
        <x:f>IF(COUNTIF('02_Custodia'!$A$5:$A$53,K35)=1,0,1)</x:f>
        <x:v>0</x:v>
      </x:c>
      <x:c r="Q35" s="12" t="n">
        <x:f>IF(OR(A35="",C35="",D35="",E35="",H35="",I35="",L35=""),1,0)</x:f>
        <x:v>0</x:v>
      </x:c>
    </x:row>
    <x:row r="36" ht="60" customHeight="1">
      <x:c r="A36" s="4" t="str">
        <x:v>F032</x:v>
      </x:c>
      <x:c r="B36" s="4" t="str">
        <x:v>Disposición jurídica</x:v>
      </x:c>
      <x:c r="C36" s="4" t="str">
        <x:v>Unión Europea</x:v>
      </x:c>
      <x:c r="D36" s="4" t="str">
        <x:v>Reglamento (UE) 2024/2847 (Cyber Resilience Act)</x:v>
      </x:c>
      <x:c r="E36" s="4" t="str">
        <x:v>Texto original DOUE capturado; 23-10-2024</x:v>
      </x:c>
      <x:c r="F36" s="4" t="str">
        <x:v>UE; productos con elementos digitales y operadores definidos</x:v>
      </x:c>
      <x:c r="G36" s="4" t="str">
        <x:v>FRONTERA_JURIDICA</x:v>
      </x:c>
      <x:c r="H36" s="4" t="str">
        <x:v>ADMITIDA_CONDICIONAL</x:v>
      </x:c>
      <x:c r="I36" s="4" t="str">
        <x:v>Seguridad de producto y tratamiento de vulnerabilidades; delimita papel del operador.</x:v>
      </x:c>
      <x:c r="J36" s="4" t="str">
        <x:v>Calendario, modificaciones y excepciones deben resolverse por operación; no se aplica íntegramente por estar publicado.</x:v>
      </x:c>
      <x:c r="K36" s="4" t="str">
        <x:v>F032</x:v>
      </x:c>
      <x:c r="L36" s="4" t="str">
        <x:v>https://eur-lex.europa.eu/eli/reg/2024/2847/oj/eng</x:v>
      </x:c>
      <x:c r="M36" s="4" t="str">
        <x:v>2026-09-08</x:v>
      </x:c>
      <x:c r="N36" s="4" t="str">
        <x:v>Watson / delimitación documental; adopción humana no registrada</x:v>
      </x:c>
      <x:c r="O36" s="12" t="n">
        <x:f>COUNTIF('01_Fuentes'!$A$5:$A$40,A36)-1</x:f>
        <x:v>0</x:v>
      </x:c>
      <x:c r="P36" s="12" t="n">
        <x:f>IF(COUNTIF('02_Custodia'!$A$5:$A$53,K36)=1,0,1)</x:f>
        <x:v>0</x:v>
      </x:c>
      <x:c r="Q36" s="12" t="n">
        <x:f>IF(OR(A36="",C36="",D36="",E36="",H36="",I36="",L36=""),1,0)</x:f>
        <x:v>0</x:v>
      </x:c>
    </x:row>
    <x:row r="37" ht="60" customHeight="1">
      <x:c r="A37" s="4" t="str">
        <x:v>F033</x:v>
      </x:c>
      <x:c r="B37" s="4" t="str">
        <x:v>Disposición jurídica</x:v>
      </x:c>
      <x:c r="C37" s="4" t="str">
        <x:v>Unión Europea</x:v>
      </x:c>
      <x:c r="D37" s="4" t="str">
        <x:v>Reglamento (UE) 2024/1689 (Artificial Intelligence Act)</x:v>
      </x:c>
      <x:c r="E37" s="4" t="str">
        <x:v>Texto original DOUE capturado; 13-06-2024</x:v>
      </x:c>
      <x:c r="F37" s="4" t="str">
        <x:v>UE; sistemas/modelos, riesgos y operadores definidos</x:v>
      </x:c>
      <x:c r="G37" s="4" t="str">
        <x:v>FRONTERA_JURIDICA_IA</x:v>
      </x:c>
      <x:c r="H37" s="4" t="str">
        <x:v>ADMITIDA_CONDICIONAL</x:v>
      </x:c>
      <x:c r="I37" s="4" t="str">
        <x:v>Clasificación y responsabilidades específicas; no equipara todo sistema IA a alto riesgo.</x:v>
      </x:c>
      <x:c r="J37" s="4" t="str">
        <x:v>No se emite juicio jurídico ni calendario de cumplimiento; comprobar modificaciones y aplicación por caso.</x:v>
      </x:c>
      <x:c r="K37" s="4" t="str">
        <x:v>F033</x:v>
      </x:c>
      <x:c r="L37" s="4" t="str">
        <x:v>https://eur-lex.europa.eu/eli/reg/2024/1689/oj/eng</x:v>
      </x:c>
      <x:c r="M37" s="4" t="str">
        <x:v>2026-09-08</x:v>
      </x:c>
      <x:c r="N37" s="4" t="str">
        <x:v>Watson / delimitación documental; adopción humana no registrada</x:v>
      </x:c>
      <x:c r="O37" s="12" t="n">
        <x:f>COUNTIF('01_Fuentes'!$A$5:$A$40,A37)-1</x:f>
        <x:v>0</x:v>
      </x:c>
      <x:c r="P37" s="12" t="n">
        <x:f>IF(COUNTIF('02_Custodia'!$A$5:$A$53,K37)=1,0,1)</x:f>
        <x:v>0</x:v>
      </x:c>
      <x:c r="Q37" s="12" t="n">
        <x:f>IF(OR(A37="",C37="",D37="",E37="",H37="",I37="",L37=""),1,0)</x:f>
        <x:v>0</x:v>
      </x:c>
    </x:row>
    <x:row r="38" ht="60" customHeight="1">
      <x:c r="A38" s="4" t="str">
        <x:v>F034</x:v>
      </x:c>
      <x:c r="B38" s="4" t="str">
        <x:v>Disposición jurídica</x:v>
      </x:c>
      <x:c r="C38" s="4" t="str">
        <x:v>Unión Europea</x:v>
      </x:c>
      <x:c r="D38" s="4" t="str">
        <x:v>Reglamento (UE) 2016/679 (General Data Protection Regulation)</x:v>
      </x:c>
      <x:c r="E38" s="4" t="str">
        <x:v>Texto original DOUE capturado; 27-04-2016</x:v>
      </x:c>
      <x:c r="F38" s="4" t="str">
        <x:v>UE; ámbitos material y territorial y papeles de tratamiento</x:v>
      </x:c>
      <x:c r="G38" s="4" t="str">
        <x:v>FRONTERA_PRIVACIDAD</x:v>
      </x:c>
      <x:c r="H38" s="4" t="str">
        <x:v>ADMITIDA_CONDICIONAL</x:v>
      </x:c>
      <x:c r="I38" s="4" t="str">
        <x:v>Principios y seguridad del tratamiento de datos personales; incidentes y evidencia pueden contenerlos.</x:v>
      </x:c>
      <x:c r="J38" s="4" t="str">
        <x:v>No se presume base jurídica, consentimiento ni autorización para reutilizar telemetría personal.</x:v>
      </x:c>
      <x:c r="K38" s="4" t="str">
        <x:v>F034</x:v>
      </x:c>
      <x:c r="L38" s="4" t="str">
        <x:v>https://eur-lex.europa.eu/eli/reg/2016/679/oj/eng</x:v>
      </x:c>
      <x:c r="M38" s="4" t="str">
        <x:v>2026-09-08</x:v>
      </x:c>
      <x:c r="N38" s="4" t="str">
        <x:v>Watson / delimitación documental; adopción humana no registrada</x:v>
      </x:c>
      <x:c r="O38" s="12" t="n">
        <x:f>COUNTIF('01_Fuentes'!$A$5:$A$40,A38)-1</x:f>
        <x:v>0</x:v>
      </x:c>
      <x:c r="P38" s="12" t="n">
        <x:f>IF(COUNTIF('02_Custodia'!$A$5:$A$53,K38)=1,0,1)</x:f>
        <x:v>0</x:v>
      </x:c>
      <x:c r="Q38" s="12" t="n">
        <x:f>IF(OR(A38="",C38="",D38="",E38="",H38="",I38="",L38=""),1,0)</x:f>
        <x:v>0</x:v>
      </x:c>
    </x:row>
    <x:row r="39" ht="60" customHeight="1">
      <x:c r="A39" s="4" t="str">
        <x:v>F035</x:v>
      </x:c>
      <x:c r="B39" s="4" t="str">
        <x:v>Marco profesional nacional</x:v>
      </x:c>
      <x:c r="C39" s="4" t="str">
        <x:v>IMDA / SkillsFuture Singapore</x:v>
      </x:c>
      <x:c r="D39" s="4" t="str">
        <x:v>Skills Framework for Infocomm Technology</x:v>
      </x:c>
      <x:c r="E39" s="4" t="str">
        <x:v>PDF institucional sin edición formal fijada; página actualizada 23-07-2026</x:v>
      </x:c>
      <x:c r="F39" s="4" t="str">
        <x:v>Singapur</x:v>
      </x:c>
      <x:c r="G39" s="4" t="str">
        <x:v>CONTRASTE_INTERNACIONAL_ACOTADO</x:v>
      </x:c>
      <x:c r="H39" s="4" t="str">
        <x:v>ADMITIDA_DOCUMENTAL</x:v>
      </x:c>
      <x:c r="I39" s="4" t="str">
        <x:v>Contrasta especialidades de ciberseguridad y progresión profesional en Asia.</x:v>
      </x:c>
      <x:c r="J39" s="4" t="str">
        <x:v>Sólo tramo de ciberseguridad; no importa todo ICT, niveles como números SV ni Cyber Security Act de Singapur a España.</x:v>
      </x:c>
      <x:c r="K39" s="4" t="str">
        <x:v>A007</x:v>
      </x:c>
      <x:c r="L39" s="4" t="str">
        <x:v>https://www.imda.gov.sg/assets/61b11126-441b-48fb-baed-5cebb6279305.pdf</x:v>
      </x:c>
      <x:c r="M39" s="4" t="str">
        <x:v>2026-09-08</x:v>
      </x:c>
      <x:c r="N39" s="4" t="str">
        <x:v>Watson / delimitación documental; adopción humana no registrada</x:v>
      </x:c>
      <x:c r="O39" s="12" t="n">
        <x:f>COUNTIF('01_Fuentes'!$A$5:$A$40,A39)-1</x:f>
        <x:v>0</x:v>
      </x:c>
      <x:c r="P39" s="12" t="n">
        <x:f>IF(COUNTIF('02_Custodia'!$A$5:$A$53,K39)=1,0,1)</x:f>
        <x:v>0</x:v>
      </x:c>
      <x:c r="Q39" s="12" t="n">
        <x:f>IF(OR(A39="",C39="",D39="",E39="",H39="",I39="",L39=""),1,0)</x:f>
        <x:v>0</x:v>
      </x:c>
    </x:row>
    <x:row r="40" ht="60" customHeight="1">
      <x:c r="A40" s="4" t="str">
        <x:v>F036</x:v>
      </x:c>
      <x:c r="B40" s="4" t="str">
        <x:v>Evaluación estratégica de amenazas</x:v>
      </x:c>
      <x:c r="C40" s="4" t="str">
        <x:v>UK National Cyber Security Centre</x:v>
      </x:c>
      <x:c r="D40" s="4" t="str">
        <x:v>Impact of AI on cyber threat from now to 2027</x:v>
      </x:c>
      <x:c r="E40" s="4" t="str">
        <x:v>Evaluación publicada 07-05-2025</x:v>
      </x:c>
      <x:c r="F40" s="4" t="str">
        <x:v>Reino Unido; evaluación estratégica prospectiva</x:v>
      </x:c>
      <x:c r="G40" s="4" t="str">
        <x:v>COMPLEMENTO_AMENAZAS_FACILITADAS_IA</x:v>
      </x:c>
      <x:c r="H40" s="4" t="str">
        <x:v>ADMITIDA_DOCUMENTAL</x:v>
      </x:c>
      <x:c r="I40" s="4" t="str">
        <x:v>Aporta juicio institucional sobre uso adversario de IA y su posible evolución; complementa la taxonomía técnica.</x:v>
      </x:c>
      <x:c r="J40" s="4" t="str">
        <x:v>Lenguaje probabilístico y horizonte propios; no se presenta como observación individual ni prueba de causalidad.</x:v>
      </x:c>
      <x:c r="K40" s="4" t="str">
        <x:v>F036</x:v>
      </x:c>
      <x:c r="L40" s="4" t="str">
        <x:v>https://www.ncsc.gov.uk/report/impact-ai-cyber-threat-now-2027</x:v>
      </x:c>
      <x:c r="M40" s="4" t="str">
        <x:v>2026-09-08</x:v>
      </x:c>
      <x:c r="N40" s="4" t="str">
        <x:v>Watson / delimitación documental; adopción humana no registrada</x:v>
      </x:c>
      <x:c r="O40" s="12" t="n">
        <x:f>COUNTIF('01_Fuentes'!$A$5:$A$40,A40)-1</x:f>
        <x:v>0</x:v>
      </x:c>
      <x:c r="P40" s="12" t="n">
        <x:f>IF(COUNTIF('02_Custodia'!$A$5:$A$53,K40)=1,0,1)</x:f>
        <x:v>0</x:v>
      </x:c>
      <x:c r="Q40" s="12" t="n">
        <x:f>IF(OR(A40="",C40="",D40="",E40="",H40="",I40="",L40=""),1,0)</x:f>
        <x:v>0</x:v>
      </x:c>
    </x:row>
  </x:sheetData>
  <x:mergeCells>
    <x:mergeCell ref="A1:D1"/>
    <x:mergeCell ref="A2:F2"/>
  </x:mergeCells>
  <x:pageMargins left="0.7" right="0.7" top="0.75" bottom="0.75" header="0.3" footer="0.3"/>
  <x:tableParts count="1">
    <x:tablePart xmlns:r="http://schemas.openxmlformats.org/officeDocument/2006/relationships" r:id="Rfa19b6ce79cb46f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67" hidden="0" customWidth="1"/>
    <x:col min="3" max="3" width="67" hidden="0" customWidth="1"/>
    <x:col min="4" max="4" width="44" hidden="0" customWidth="1"/>
    <x:col min="5" max="5" width="31" hidden="0" customWidth="1"/>
    <x:col min="6" max="6" width="34" hidden="0" customWidth="1"/>
    <x:col min="7" max="7" width="22" hidden="0" customWidth="1"/>
    <x:col min="8" max="8" width="67" hidden="0" customWidth="1"/>
    <x:col min="9" max="9" width="61" hidden="0" customWidth="1"/>
    <x:col min="10" max="10" width="60" hidden="0" customWidth="1"/>
    <x:col min="11" max="11" width="16" hidden="0" customWidth="1"/>
    <x:col min="12" max="12" width="12" hidden="0" customWidth="1"/>
  </x:cols>
  <x:sheetData>
    <x:row r="1" ht="35" customHeight="1">
      <x:c r="A1" s="6" t="str">
        <x:v>CUSTODIA · adquisiciones y acceso</x:v>
      </x:c>
      <x:c r="B1" s="6"/>
      <x:c r="C1" s="6"/>
      <x:c r="D1" s="6"/>
      <x:c r="E1" s="6"/>
      <x:c r="F1" s="6"/>
      <x:c r="G1" s="6"/>
      <x:c r="H1" s="6"/>
      <x:c r="I1" s="6"/>
      <x:c r="J1" s="6"/>
      <x:c r="K1" s="6"/>
      <x:c r="L1" s="6"/>
    </x:row>
    <x:row r="2" ht="52" customHeight="1">
      <x:c r="A2" s="8" t="str">
        <x:v>49 registros: originales, auxiliares, representación web parcial y fallos. El inventario de capturas no equivale al de fuentes.</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ID captura</x:v>
      </x:c>
      <x:c r="B4" s="10" t="str">
        <x:v>URL solicitada</x:v>
      </x:c>
      <x:c r="C4" s="10" t="str">
        <x:v>URL efectiva</x:v>
      </x:c>
      <x:c r="D4" s="10" t="str">
        <x:v>Captura UTC</x:v>
      </x:c>
      <x:c r="E4" s="10" t="str">
        <x:v>Tipo de bytes</x:v>
      </x:c>
      <x:c r="F4" s="10" t="str">
        <x:v>Estado de adquisición</x:v>
      </x:c>
      <x:c r="G4" s="10" t="str">
        <x:v>Tamaño bytes (texto)</x:v>
      </x:c>
      <x:c r="H4" s="10" t="str">
        <x:v>SHA-256</x:v>
      </x:c>
      <x:c r="I4" s="10" t="str">
        <x:v>Alcance disponible</x:v>
      </x:c>
      <x:c r="J4" s="10" t="str">
        <x:v>Licencia / uso</x:v>
      </x:c>
      <x:c r="K4" s="10" t="str">
        <x:v>Huella defectuosa</x:v>
      </x:c>
      <x:c r="L4" s="10" t="str">
        <x:v>Duplicado</x:v>
      </x:c>
    </x:row>
    <x:row r="5" ht="47" customHeight="1">
      <x:c r="A5" s="4" t="str">
        <x:v>F001</x:v>
      </x:c>
      <x:c r="B5" s="4" t="str">
        <x:v>https://csrc.nist.gov/csrc/media/Projects/cprt/documents/nice/v2-2-0_nf_components.json</x:v>
      </x:c>
      <x:c r="C5" s="4" t="str">
        <x:v>https://csrc.nist.gov/csrc/media/Projects/cprt/documents/nice/v2-2-0_nf_components.json</x:v>
      </x:c>
      <x:c r="D5" s="4" t="str">
        <x:v>UTC · 2026-09-08T15:44:39.826980+00:00</x:v>
      </x:c>
      <x:c r="E5" s="4" t="str">
        <x:v>JSON_ORIGINAL</x:v>
      </x:c>
      <x:c r="F5" s="4" t="str">
        <x:v>CAPTURADA</x:v>
      </x:c>
      <x:c r="G5" s="4" t="str">
        <x:v>2674252</x:v>
      </x:c>
      <x:c r="H5" s="4" t="str">
        <x:v>3ad1d9d7e0d6b32895cb569f86c3bc05af2937a68e96eab4d1c9b3d9fa6e575e</x:v>
      </x:c>
      <x:c r="I5" s="4" t="str">
        <x:v>JSON íntegro preservado en NICE_2.2.0.json.gz; descompresión recupera bytes originales.</x:v>
      </x:c>
      <x:c r="J5" s="4" t="str">
        <x:v>NIST, publicación del Gobierno de EE. UU.; atribución conservada.</x:v>
      </x:c>
      <x:c r="K5" s="12" t="n">
        <x:f>IF(OR(F5="CAPTURADA",F5="REPRESENTACION_WEB_PARCIAL"),IF(LEN(H5)=64,0,1),0)</x:f>
        <x:v>0</x:v>
      </x:c>
      <x:c r="L5" s="12" t="n">
        <x:f>COUNTIF('02_Custodia'!$A$5:$A$53,A5)-1</x:f>
        <x:v>0</x:v>
      </x:c>
    </x:row>
    <x:row r="6" ht="47" customHeight="1">
      <x:c r="A6" s="4" t="str">
        <x:v>F002</x:v>
      </x:c>
      <x:c r="B6" s="4" t="str">
        <x:v>https://csrc.nist.gov/pubs/sp/800/181/r1/final</x:v>
      </x:c>
      <x:c r="C6" s="4" t="str">
        <x:v>https://csrc.nist.gov/pubs/sp/800/181/r1/final</x:v>
      </x:c>
      <x:c r="D6" s="4" t="str">
        <x:v>UTC · 2026-09-08T15:44:28.959225+00:00</x:v>
      </x:c>
      <x:c r="E6" s="4" t="str">
        <x:v>HTML_ORIGINAL</x:v>
      </x:c>
      <x:c r="F6" s="4" t="str">
        <x:v>CAPTURADA</x:v>
      </x:c>
      <x:c r="G6" s="4" t="str">
        <x:v>48808</x:v>
      </x:c>
      <x:c r="H6" s="4" t="str">
        <x:v>71ee69f230378abf96e479990dc5f7b0d5b5fc8f310b8a7a3e3ecc06cd1c01af</x:v>
      </x:c>
      <x:c r="I6" s="4" t="str">
        <x:v>Captura original íntegra; fragmentos de uso preservados; no adopción íntegra del documento.</x:v>
      </x:c>
      <x:c r="J6" s="4" t="str">
        <x:v>Consulta pública; se publican metadatos y fragmentos breves, no texto completo licenciado.</x:v>
      </x:c>
      <x:c r="K6" s="12" t="n">
        <x:f>IF(OR(F6="CAPTURADA",F6="REPRESENTACION_WEB_PARCIAL"),IF(LEN(H6)=64,0,1),0)</x:f>
        <x:v>0</x:v>
      </x:c>
      <x:c r="L6" s="12" t="n">
        <x:f>COUNTIF('02_Custodia'!$A$5:$A$53,A6)-1</x:f>
        <x:v>0</x:v>
      </x:c>
    </x:row>
    <x:row r="7" ht="47" customHeight="1">
      <x:c r="A7" s="4" t="str">
        <x:v>F003</x:v>
      </x:c>
      <x:c r="B7" s="4" t="str">
        <x:v>https://cybered.hosting.acm.org/wp-content/uploads/2018/02/newcover_csec2017.pdf</x:v>
      </x:c>
      <x:c r="C7" s="4" t="str">
        <x:v>https://cybered.hosting.acm.org/wp-content/uploads/2018/02/newcover_csec2017.pdf</x:v>
      </x:c>
      <x:c r="D7" s="4" t="str">
        <x:v>UTC · 2026-09-08T15:44:31.552586+00:00</x:v>
      </x:c>
      <x:c r="E7" s="4" t="str">
        <x:v>PDF_ORIGINAL</x:v>
      </x:c>
      <x:c r="F7" s="4" t="str">
        <x:v>CAPTURADA</x:v>
      </x:c>
      <x:c r="G7" s="4" t="str">
        <x:v>2623686</x:v>
      </x:c>
      <x:c r="H7" s="4" t="str">
        <x:v>2d668b321e142bdfc28dd93c42984f85d49b71917f8daf9a910d5e82e20806e0</x:v>
      </x:c>
      <x:c r="I7" s="4" t="str">
        <x:v>Captura original íntegra; fragmentos de uso preservados; no adopción íntegra del documento.</x:v>
      </x:c>
      <x:c r="J7" s="4" t="str">
        <x:v>Consulta pública; se publican metadatos y fragmentos breves, no texto completo licenciado.</x:v>
      </x:c>
      <x:c r="K7" s="12" t="n">
        <x:f>IF(OR(F7="CAPTURADA",F7="REPRESENTACION_WEB_PARCIAL"),IF(LEN(H7)=64,0,1),0)</x:f>
        <x:v>0</x:v>
      </x:c>
      <x:c r="L7" s="12" t="n">
        <x:f>COUNTIF('02_Custodia'!$A$5:$A$53,A7)-1</x:f>
        <x:v>0</x:v>
      </x:c>
    </x:row>
    <x:row r="8" ht="47" customHeight="1">
      <x:c r="A8" s="4" t="str">
        <x:v>F004</x:v>
      </x:c>
      <x:c r="B8" s="4" t="str">
        <x:v>https://www.cybok.org/wp-content/uploads/CyBOK_v1.1.0.pdf</x:v>
      </x:c>
      <x:c r="C8" s="4" t="str">
        <x:v>https://www.cybok.org/wp-content/uploads/CyBOK_v1.1.0.pdf</x:v>
      </x:c>
      <x:c r="D8" s="4" t="str">
        <x:v>UTC · 2026-09-08T15:44:48.734917+00:00</x:v>
      </x:c>
      <x:c r="E8" s="4" t="str">
        <x:v>PDF_ORIGINAL</x:v>
      </x:c>
      <x:c r="F8" s="4" t="str">
        <x:v>CAPTURADA</x:v>
      </x:c>
      <x:c r="G8" s="4" t="str">
        <x:v>21703405</x:v>
      </x:c>
      <x:c r="H8" s="4" t="str">
        <x:v>27ad7d0758e2b143b81fceed5865b7d86507815aa173b61b9ba1a0c899e7403b</x:v>
      </x:c>
      <x:c r="I8" s="4" t="str">
        <x:v>Captura original íntegra; fragmentos de uso preservados; no adopción íntegra del documento.</x:v>
      </x:c>
      <x:c r="J8" s="4" t="str">
        <x:v>CyBOK v1.1.0, Crown Copyright NCSC 2021, Open Government Licence v3.0; atribución.</x:v>
      </x:c>
      <x:c r="K8" s="12" t="n">
        <x:f>IF(OR(F8="CAPTURADA",F8="REPRESENTACION_WEB_PARCIAL"),IF(LEN(H8)=64,0,1),0)</x:f>
        <x:v>0</x:v>
      </x:c>
      <x:c r="L8" s="12" t="n">
        <x:f>COUNTIF('02_Custodia'!$A$5:$A$53,A8)-1</x:f>
        <x:v>0</x:v>
      </x:c>
    </x:row>
    <x:row r="9" ht="47" customHeight="1">
      <x:c r="A9" s="4" t="str">
        <x:v>F005</x:v>
      </x:c>
      <x:c r="B9" s="4" t="str">
        <x:v>https://www.enisa.europa.eu/publications/european-cybersecurity-skills-framework-role-profiles</x:v>
      </x:c>
      <x:c r="C9" s="4" t="str">
        <x:v>https://www.enisa.europa.eu/publications/european-cybersecurity-skills-framework-role-profiles</x:v>
      </x:c>
      <x:c r="D9" s="4" t="str">
        <x:v>UTC · 2026-09-08T15:44:29.236012+00:00</x:v>
      </x:c>
      <x:c r="E9" s="4" t="str">
        <x:v>HTML_ORIGINAL</x:v>
      </x:c>
      <x:c r="F9" s="4" t="str">
        <x:v>CAPTURADA</x:v>
      </x:c>
      <x:c r="G9" s="4" t="str">
        <x:v>54784</x:v>
      </x:c>
      <x:c r="H9" s="4" t="str">
        <x:v>4e9e7246aa9f2c83868ec4dc709aeaa8578c2d56d823273103b1cfe214c53f06</x:v>
      </x:c>
      <x:c r="I9" s="4" t="str">
        <x:v>Captura original íntegra; fragmentos de uso preservados; no adopción íntegra del documento.</x:v>
      </x:c>
      <x:c r="J9" s="4" t="str">
        <x:v>Consulta pública; se publican metadatos y fragmentos breves, no texto completo licenciado.</x:v>
      </x:c>
      <x:c r="K9" s="12" t="n">
        <x:f>IF(OR(F9="CAPTURADA",F9="REPRESENTACION_WEB_PARCIAL"),IF(LEN(H9)=64,0,1),0)</x:f>
        <x:v>0</x:v>
      </x:c>
      <x:c r="L9" s="12" t="n">
        <x:f>COUNTIF('02_Custodia'!$A$5:$A$53,A9)-1</x:f>
        <x:v>0</x:v>
      </x:c>
    </x:row>
    <x:row r="10" ht="47" customHeight="1">
      <x:c r="A10" s="4" t="str">
        <x:v>F006</x:v>
      </x:c>
      <x:c r="B10" s="4" t="str">
        <x:v>https://www.upc.edu/en/masters/cybersecurity</x:v>
      </x:c>
      <x:c r="C10" s="4" t="str">
        <x:v>https://www.upc.edu/en/masters/cybersecurity</x:v>
      </x:c>
      <x:c r="D10" s="4" t="str">
        <x:v>UTC · 2026-09-08T15:44:30.189314+00:00</x:v>
      </x:c>
      <x:c r="E10" s="4" t="str">
        <x:v>HTML_ORIGINAL</x:v>
      </x:c>
      <x:c r="F10" s="4" t="str">
        <x:v>CAPTURADA</x:v>
      </x:c>
      <x:c r="G10" s="4" t="str">
        <x:v>105116</x:v>
      </x:c>
      <x:c r="H10" s="4" t="str">
        <x:v>1cb7af269f409b985b9a58b5c46402ba6288029367b25664fae08f00e921544b</x:v>
      </x:c>
      <x:c r="I10" s="4" t="str">
        <x:v>Captura original íntegra; fragmentos de uso preservados; no adopción íntegra del documento.</x:v>
      </x:c>
      <x:c r="J10" s="4" t="str">
        <x:v>Consulta pública; se publican metadatos y fragmentos breves, no texto completo licenciado.</x:v>
      </x:c>
      <x:c r="K10" s="12" t="n">
        <x:f>IF(OR(F10="CAPTURADA",F10="REPRESENTACION_WEB_PARCIAL"),IF(LEN(H10)=64,0,1),0)</x:f>
        <x:v>0</x:v>
      </x:c>
      <x:c r="L10" s="12" t="n">
        <x:f>COUNTIF('02_Custodia'!$A$5:$A$53,A10)-1</x:f>
        <x:v>0</x:v>
      </x:c>
    </x:row>
    <x:row r="11" ht="47" customHeight="1">
      <x:c r="A11" s="4" t="str">
        <x:v>F007</x:v>
      </x:c>
      <x:c r="B11" s="4" t="str">
        <x:v>https://www.heinz.cmu.edu/programs/information-security-policy-management-master/right-for-me</x:v>
      </x:c>
      <x:c r="C11" s="4" t="str">
        <x:v>https://www.heinz.cmu.edu/programs/information-security-policy-management-master/right-for-me</x:v>
      </x:c>
      <x:c r="D11" s="4" t="str">
        <x:v>UTC · 2026-09-08T15:44:30.839483+00:00</x:v>
      </x:c>
      <x:c r="E11" s="4" t="str">
        <x:v>HTML_ORIGINAL</x:v>
      </x:c>
      <x:c r="F11" s="4" t="str">
        <x:v>CAPTURADA</x:v>
      </x:c>
      <x:c r="G11" s="4" t="str">
        <x:v>89479</x:v>
      </x:c>
      <x:c r="H11" s="4" t="str">
        <x:v>c6937e81a072ba2cc993caae3336d0377117f9e1896cc04c7685eb829dd9920a</x:v>
      </x:c>
      <x:c r="I11" s="4" t="str">
        <x:v>Captura original íntegra; fragmentos de uso preservados; no adopción íntegra del documento.</x:v>
      </x:c>
      <x:c r="J11" s="4" t="str">
        <x:v>Consulta pública; se publican metadatos y fragmentos breves, no texto completo licenciado.</x:v>
      </x:c>
      <x:c r="K11" s="12" t="n">
        <x:f>IF(OR(F11="CAPTURADA",F11="REPRESENTACION_WEB_PARCIAL"),IF(LEN(H11)=64,0,1),0)</x:f>
        <x:v>0</x:v>
      </x:c>
      <x:c r="L11" s="12" t="n">
        <x:f>COUNTIF('02_Custodia'!$A$5:$A$53,A11)-1</x:f>
        <x:v>0</x:v>
      </x:c>
    </x:row>
    <x:row r="12" ht="47" customHeight="1">
      <x:c r="A12" s="4" t="str">
        <x:v>F008</x:v>
      </x:c>
      <x:c r="B12" s="4" t="str">
        <x:v>https://www.uc3m.es/master/ciberseguridad</x:v>
      </x:c>
      <x:c r="C12" s="4" t="str">
        <x:v>https://www.uc3m.es/master/ciberseguridad</x:v>
      </x:c>
      <x:c r="D12" s="4" t="str">
        <x:v>UTC · 2026-09-08; hora no conservada por el lector web</x:v>
      </x:c>
      <x:c r="E12" s="4" t="str">
        <x:v>REPRESENTACION_WEB_PARCIAL</x:v>
      </x:c>
      <x:c r="F12" s="4" t="str">
        <x:v>REPRESENTACION_WEB_PARCIAL</x:v>
      </x:c>
      <x:c r="G12" s="4" t="str">
        <x:v>14273</x:v>
      </x:c>
      <x:c r="H12" s="4" t="str">
        <x:v>8fe8d68715a8ebab9aa5665e97e2fbd9fde196cf4a005e04b1772acc57fe62b0</x:v>
      </x:c>
      <x:c r="I12" s="4" t="str">
        <x:v>Sólo representación parcial del lector web.</x:v>
      </x:c>
      <x:c r="J12" s="4" t="str">
        <x:v>Consulta pública; se publican metadatos y fragmentos breves, no texto completo licenciado.</x:v>
      </x:c>
      <x:c r="K12" s="12" t="n">
        <x:f>IF(OR(F12="CAPTURADA",F12="REPRESENTACION_WEB_PARCIAL"),IF(LEN(H12)=64,0,1),0)</x:f>
        <x:v>0</x:v>
      </x:c>
      <x:c r="L12" s="12" t="n">
        <x:f>COUNTIF('02_Custodia'!$A$5:$A$53,A12)-1</x:f>
        <x:v>0</x:v>
      </x:c>
    </x:row>
    <x:row r="13" ht="47" customHeight="1">
      <x:c r="A13" s="4" t="str">
        <x:v>F009</x:v>
      </x:c>
      <x:c r="B13" s="4" t="str">
        <x:v>https://www.isc2.org/certifications/cissp/cissp-certification-exam-outline</x:v>
      </x:c>
      <x:c r="C13" s="4" t="str">
        <x:v>https://www.isc2.org/certifications/cissp/cissp-certification-exam-outline</x:v>
      </x:c>
      <x:c r="D13" s="4" t="str">
        <x:v>UTC · 2026-09-08T15:44:40.827648+00:00</x:v>
      </x:c>
      <x:c r="E13" s="4" t="str">
        <x:v>HTML_ORIGINAL</x:v>
      </x:c>
      <x:c r="F13" s="4" t="str">
        <x:v>CAPTURADA</x:v>
      </x:c>
      <x:c r="G13" s="4" t="str">
        <x:v>240399</x:v>
      </x:c>
      <x:c r="H13" s="4" t="str">
        <x:v>78588e7c0fde49e6532323f627c669abcc8aa2d23e6112d3a76dbcd2e0cd490d</x:v>
      </x:c>
      <x:c r="I13" s="4" t="str">
        <x:v>Captura original íntegra; fragmentos de uso preservados; no adopción íntegra del documento.</x:v>
      </x:c>
      <x:c r="J13" s="4" t="str">
        <x:v>Consulta pública; se publican metadatos y fragmentos breves, no texto completo licenciado.</x:v>
      </x:c>
      <x:c r="K13" s="12" t="n">
        <x:f>IF(OR(F13="CAPTURADA",F13="REPRESENTACION_WEB_PARCIAL"),IF(LEN(H13)=64,0,1),0)</x:f>
        <x:v>0</x:v>
      </x:c>
      <x:c r="L13" s="12" t="n">
        <x:f>COUNTIF('02_Custodia'!$A$5:$A$53,A13)-1</x:f>
        <x:v>0</x:v>
      </x:c>
    </x:row>
    <x:row r="14" ht="47" customHeight="1">
      <x:c r="A14" s="4" t="str">
        <x:v>F010</x:v>
      </x:c>
      <x:c r="B14" s="4" t="str">
        <x:v>https://www.isaca.org/credentialing/cism/cism-exam-content-outline</x:v>
      </x:c>
      <x:c r="C14" s="4" t="str">
        <x:v>https://www.isaca.org/credentialing/cism/cism-exam-content-outline</x:v>
      </x:c>
      <x:c r="D14" s="4" t="str">
        <x:v>UTC · 2026-09-08T15:44:37.986304+00:00</x:v>
      </x:c>
      <x:c r="E14" s="4" t="str">
        <x:v>HTML_ORIGINAL</x:v>
      </x:c>
      <x:c r="F14" s="4" t="str">
        <x:v>CAPTURADA</x:v>
      </x:c>
      <x:c r="G14" s="4" t="str">
        <x:v>141238</x:v>
      </x:c>
      <x:c r="H14" s="4" t="str">
        <x:v>3c6d7f5d4abb9635152402f4917fda4410bbd14a31dc7e7dbffe448b92ed5db8</x:v>
      </x:c>
      <x:c r="I14" s="4" t="str">
        <x:v>Captura original íntegra; fragmentos de uso preservados; no adopción íntegra del documento.</x:v>
      </x:c>
      <x:c r="J14" s="4" t="str">
        <x:v>Consulta pública; se publican metadatos y fragmentos breves, no texto completo licenciado.</x:v>
      </x:c>
      <x:c r="K14" s="12" t="n">
        <x:f>IF(OR(F14="CAPTURADA",F14="REPRESENTACION_WEB_PARCIAL"),IF(LEN(H14)=64,0,1),0)</x:f>
        <x:v>0</x:v>
      </x:c>
      <x:c r="L14" s="12" t="n">
        <x:f>COUNTIF('02_Custodia'!$A$5:$A$53,A14)-1</x:f>
        <x:v>0</x:v>
      </x:c>
    </x:row>
    <x:row r="15" ht="47" customHeight="1">
      <x:c r="A15" s="4" t="str">
        <x:v>F011</x:v>
      </x:c>
      <x:c r="B15" s="4" t="str">
        <x:v>https://www.giac.org/certifications/certified-forensic-analyst-gcfa/</x:v>
      </x:c>
      <x:c r="C15" s="4" t="str">
        <x:v>https://www.giac.org/certifications/certified-forensic-analyst-gcfa</x:v>
      </x:c>
      <x:c r="D15" s="4" t="str">
        <x:v>UTC · 2026-09-08T15:44:51.119751+00:00</x:v>
      </x:c>
      <x:c r="E15" s="4" t="str">
        <x:v>HTML_ORIGINAL</x:v>
      </x:c>
      <x:c r="F15" s="4" t="str">
        <x:v>CAPTURADA</x:v>
      </x:c>
      <x:c r="G15" s="4" t="str">
        <x:v>279987</x:v>
      </x:c>
      <x:c r="H15" s="4" t="str">
        <x:v>50a899f87ed908e5d59cbc2b28503631c75adf844fa673e48751c08f2116d634</x:v>
      </x:c>
      <x:c r="I15" s="4" t="str">
        <x:v>Captura original íntegra; fragmentos de uso preservados; no adopción íntegra del documento.</x:v>
      </x:c>
      <x:c r="J15" s="4" t="str">
        <x:v>Consulta pública; se publican metadatos y fragmentos breves, no texto completo licenciado.</x:v>
      </x:c>
      <x:c r="K15" s="12" t="n">
        <x:f>IF(OR(F15="CAPTURADA",F15="REPRESENTACION_WEB_PARCIAL"),IF(LEN(H15)=64,0,1),0)</x:f>
        <x:v>0</x:v>
      </x:c>
      <x:c r="L15" s="12" t="n">
        <x:f>COUNTIF('02_Custodia'!$A$5:$A$53,A15)-1</x:f>
        <x:v>0</x:v>
      </x:c>
    </x:row>
    <x:row r="16" ht="47" customHeight="1">
      <x:c r="A16" s="4" t="str">
        <x:v>F012</x:v>
      </x:c>
      <x:c r="B16" s="4" t="str">
        <x:v>https://manage.offsec.com/app/uploads/2026/03/PEN-200_Syllabus.pdf</x:v>
      </x:c>
      <x:c r="C16" s="4" t="str">
        <x:v>https://manage.offsec.com/app/uploads/2026/03/PEN-200_Syllabus.pdf</x:v>
      </x:c>
      <x:c r="D16" s="4" t="str">
        <x:v>UTC · 2026-09-08T15:44:42.134919+00:00</x:v>
      </x:c>
      <x:c r="E16" s="4" t="str">
        <x:v>PDF_ORIGINAL</x:v>
      </x:c>
      <x:c r="F16" s="4" t="str">
        <x:v>CAPTURADA</x:v>
      </x:c>
      <x:c r="G16" s="4" t="str">
        <x:v>64005</x:v>
      </x:c>
      <x:c r="H16" s="4" t="str">
        <x:v>5a619969bef2fecc825aaca68d8c6cdb11004651f08b06959c78144b478174fc</x:v>
      </x:c>
      <x:c r="I16" s="4" t="str">
        <x:v>Captura original íntegra; fragmentos de uso preservados; no adopción íntegra del documento.</x:v>
      </x:c>
      <x:c r="J16" s="4" t="str">
        <x:v>Consulta pública; se publican metadatos y fragmentos breves, no texto completo licenciado.</x:v>
      </x:c>
      <x:c r="K16" s="12" t="n">
        <x:f>IF(OR(F16="CAPTURADA",F16="REPRESENTACION_WEB_PARCIAL"),IF(LEN(H16)=64,0,1),0)</x:f>
        <x:v>0</x:v>
      </x:c>
      <x:c r="L16" s="12" t="n">
        <x:f>COUNTIF('02_Custodia'!$A$5:$A$53,A16)-1</x:f>
        <x:v>0</x:v>
      </x:c>
    </x:row>
    <x:row r="17" ht="47" customHeight="1">
      <x:c r="A17" s="4" t="str">
        <x:v>F013</x:v>
      </x:c>
      <x:c r="B17" s="4" t="str">
        <x:v>https://www.iso.org/standard/27001</x:v>
      </x:c>
      <x:c r="C17" s="4" t="str">
        <x:v>https://www.iso.org/standard/27001</x:v>
      </x:c>
      <x:c r="D17" s="4" t="str">
        <x:v>UTC · 2026-09-08; hora no conservada por el lector web</x:v>
      </x:c>
      <x:c r="E17" s="4" t="str">
        <x:v>REPRESENTACION_WEB_PARCIAL</x:v>
      </x:c>
      <x:c r="F17" s="4" t="str">
        <x:v>REPRESENTACION_WEB_PARCIAL</x:v>
      </x:c>
      <x:c r="G17" s="4" t="str">
        <x:v>14771</x:v>
      </x:c>
      <x:c r="H17" s="4" t="str">
        <x:v>377e7bcf339feaadc9e2f5b2c411bd06028807020cbfe3fd0957a922bd859f27</x:v>
      </x:c>
      <x:c r="I17" s="4" t="str">
        <x:v>Sólo representación parcial del lector web.</x:v>
      </x:c>
      <x:c r="J17" s="4" t="str">
        <x:v>Consulta pública; se publican metadatos y fragmentos breves, no texto completo licenciado.</x:v>
      </x:c>
      <x:c r="K17" s="12" t="n">
        <x:f>IF(OR(F17="CAPTURADA",F17="REPRESENTACION_WEB_PARCIAL"),IF(LEN(H17)=64,0,1),0)</x:f>
        <x:v>0</x:v>
      </x:c>
      <x:c r="L17" s="12" t="n">
        <x:f>COUNTIF('02_Custodia'!$A$5:$A$53,A17)-1</x:f>
        <x:v>0</x:v>
      </x:c>
    </x:row>
    <x:row r="18" ht="47" customHeight="1">
      <x:c r="A18" s="4" t="str">
        <x:v>F014</x:v>
      </x:c>
      <x:c r="B18" s="4" t="str">
        <x:v>https://www.iso.org/standard/75652.html</x:v>
      </x:c>
      <x:c r="C18" s="4" t="str">
        <x:v>https://www.iso.org/standard/75652.html</x:v>
      </x:c>
      <x:c r="D18" s="4" t="str">
        <x:v>UTC · 2026-09-08; hora no conservada por el lector web</x:v>
      </x:c>
      <x:c r="E18" s="4" t="str">
        <x:v>REPRESENTACION_WEB_PARCIAL</x:v>
      </x:c>
      <x:c r="F18" s="4" t="str">
        <x:v>REPRESENTACION_WEB_PARCIAL</x:v>
      </x:c>
      <x:c r="G18" s="4" t="str">
        <x:v>11214</x:v>
      </x:c>
      <x:c r="H18" s="4" t="str">
        <x:v>c0c3daa7f3777182ee7f26a2370d10e7612b6e6dbd7ebaf677e07e664616b48f</x:v>
      </x:c>
      <x:c r="I18" s="4" t="str">
        <x:v>Sólo representación parcial del lector web.</x:v>
      </x:c>
      <x:c r="J18" s="4" t="str">
        <x:v>Consulta pública; se publican metadatos y fragmentos breves, no texto completo licenciado.</x:v>
      </x:c>
      <x:c r="K18" s="12" t="n">
        <x:f>IF(OR(F18="CAPTURADA",F18="REPRESENTACION_WEB_PARCIAL"),IF(LEN(H18)=64,0,1),0)</x:f>
        <x:v>0</x:v>
      </x:c>
      <x:c r="L18" s="12" t="n">
        <x:f>COUNTIF('02_Custodia'!$A$5:$A$53,A18)-1</x:f>
        <x:v>0</x:v>
      </x:c>
    </x:row>
    <x:row r="19" ht="47" customHeight="1">
      <x:c r="A19" s="4" t="str">
        <x:v>F015</x:v>
      </x:c>
      <x:c r="B19" s="4" t="str">
        <x:v>https://www.iso.org/standard/80585.html</x:v>
      </x:c>
      <x:c r="C19" s="4" t="str">
        <x:v>https://www.iso.org/standard/80585.html</x:v>
      </x:c>
      <x:c r="D19" s="4" t="str">
        <x:v>UTC · 2026-09-08; hora no conservada por el lector web</x:v>
      </x:c>
      <x:c r="E19" s="4" t="str">
        <x:v>REPRESENTACION_WEB_PARCIAL</x:v>
      </x:c>
      <x:c r="F19" s="4" t="str">
        <x:v>REPRESENTACION_WEB_PARCIAL</x:v>
      </x:c>
      <x:c r="G19" s="4" t="str">
        <x:v>7936</x:v>
      </x:c>
      <x:c r="H19" s="4" t="str">
        <x:v>2456ff7aabd4dd156124712aa44338bf027b0c8f7c3de1a1d9d55043b42735cb</x:v>
      </x:c>
      <x:c r="I19" s="4" t="str">
        <x:v>Sólo representación parcial del lector web.</x:v>
      </x:c>
      <x:c r="J19" s="4" t="str">
        <x:v>Consulta pública; se publican metadatos y fragmentos breves, no texto completo licenciado.</x:v>
      </x:c>
      <x:c r="K19" s="12" t="n">
        <x:f>IF(OR(F19="CAPTURADA",F19="REPRESENTACION_WEB_PARCIAL"),IF(LEN(H19)=64,0,1),0)</x:f>
        <x:v>0</x:v>
      </x:c>
      <x:c r="L19" s="12" t="n">
        <x:f>COUNTIF('02_Custodia'!$A$5:$A$53,A19)-1</x:f>
        <x:v>0</x:v>
      </x:c>
    </x:row>
    <x:row r="20" ht="47" customHeight="1">
      <x:c r="A20" s="4" t="str">
        <x:v>F016</x:v>
      </x:c>
      <x:c r="B20" s="4" t="str">
        <x:v>https://nvlpubs.nist.gov/nistpubs/CSWP/NIST.CSWP.29.pdf</x:v>
      </x:c>
      <x:c r="C20" s="4" t="str">
        <x:v>https://nvlpubs.nist.gov/nistpubs/CSWP/NIST.CSWP.29.pdf</x:v>
      </x:c>
      <x:c r="D20" s="4" t="str">
        <x:v>UTC · 2026-09-08T15:44:52.422791+00:00</x:v>
      </x:c>
      <x:c r="E20" s="4" t="str">
        <x:v>PDF_ORIGINAL</x:v>
      </x:c>
      <x:c r="F20" s="4" t="str">
        <x:v>CAPTURADA</x:v>
      </x:c>
      <x:c r="G20" s="4" t="str">
        <x:v>1518858</x:v>
      </x:c>
      <x:c r="H20" s="4" t="str">
        <x:v>3c31f46fee98cac0c4323453e5109291a213b4de7fef8c058af9bf67f717433c</x:v>
      </x:c>
      <x:c r="I20" s="4" t="str">
        <x:v>Captura original íntegra; fragmentos de uso preservados; no adopción íntegra del documento.</x:v>
      </x:c>
      <x:c r="J20" s="4" t="str">
        <x:v>Consulta pública; se publican metadatos y fragmentos breves, no texto completo licenciado.</x:v>
      </x:c>
      <x:c r="K20" s="12" t="n">
        <x:f>IF(OR(F20="CAPTURADA",F20="REPRESENTACION_WEB_PARCIAL"),IF(LEN(H20)=64,0,1),0)</x:f>
        <x:v>0</x:v>
      </x:c>
      <x:c r="L20" s="12" t="n">
        <x:f>COUNTIF('02_Custodia'!$A$5:$A$53,A20)-1</x:f>
        <x:v>0</x:v>
      </x:c>
    </x:row>
    <x:row r="21" ht="47" customHeight="1">
      <x:c r="A21" s="4" t="str">
        <x:v>F017</x:v>
      </x:c>
      <x:c r="B21" s="4" t="str">
        <x:v>https://csrc.nist.gov/pubs/sp/800/53/r5/upd1/final</x:v>
      </x:c>
      <x:c r="C21" s="4" t="str">
        <x:v>https://csrc.nist.gov/pubs/sp/800/53/r5/upd1/final</x:v>
      </x:c>
      <x:c r="D21" s="4" t="str">
        <x:v>UTC · 2026-09-08T15:44:49.807639+00:00</x:v>
      </x:c>
      <x:c r="E21" s="4" t="str">
        <x:v>HTML_ORIGINAL</x:v>
      </x:c>
      <x:c r="F21" s="4" t="str">
        <x:v>CAPTURADA</x:v>
      </x:c>
      <x:c r="G21" s="4" t="str">
        <x:v>57249</x:v>
      </x:c>
      <x:c r="H21" s="4" t="str">
        <x:v>87ceb517ea20dad8c39da8a79411a867ba8a037fd366020f8e746dd0504ab860</x:v>
      </x:c>
      <x:c r="I21" s="4" t="str">
        <x:v>Captura original íntegra; fragmentos de uso preservados; no adopción íntegra del documento.</x:v>
      </x:c>
      <x:c r="J21" s="4" t="str">
        <x:v>Consulta pública; se publican metadatos y fragmentos breves, no texto completo licenciado.</x:v>
      </x:c>
      <x:c r="K21" s="12" t="n">
        <x:f>IF(OR(F21="CAPTURADA",F21="REPRESENTACION_WEB_PARCIAL"),IF(LEN(H21)=64,0,1),0)</x:f>
        <x:v>0</x:v>
      </x:c>
      <x:c r="L21" s="12" t="n">
        <x:f>COUNTIF('02_Custodia'!$A$5:$A$53,A21)-1</x:f>
        <x:v>0</x:v>
      </x:c>
    </x:row>
    <x:row r="22" ht="47" customHeight="1">
      <x:c r="A22" s="4" t="str">
        <x:v>F018</x:v>
      </x:c>
      <x:c r="B22" s="4" t="str">
        <x:v>https://nvlpubs.nist.gov/nistpubs/Legacy/SP/nistspecialpublication800-115.pdf</x:v>
      </x:c>
      <x:c r="C22" s="4" t="str">
        <x:v>https://nvlpubs.nist.gov/nistpubs/Legacy/SP/nistspecialpublication800-115.pdf</x:v>
      </x:c>
      <x:c r="D22" s="4" t="str">
        <x:v>UTC · 2026-09-08T15:44:50.943003+00:00</x:v>
      </x:c>
      <x:c r="E22" s="4" t="str">
        <x:v>PDF_ORIGINAL</x:v>
      </x:c>
      <x:c r="F22" s="4" t="str">
        <x:v>CAPTURADA</x:v>
      </x:c>
      <x:c r="G22" s="4" t="str">
        <x:v>544047</x:v>
      </x:c>
      <x:c r="H22" s="4" t="str">
        <x:v>58e5ed41e5c8ca34ce14fd80b70f118f2c6d613d1647bc307edca30bcc45f063</x:v>
      </x:c>
      <x:c r="I22" s="4" t="str">
        <x:v>Captura original íntegra; fragmentos de uso preservados; no adopción íntegra del documento.</x:v>
      </x:c>
      <x:c r="J22" s="4" t="str">
        <x:v>Consulta pública; se publican metadatos y fragmentos breves, no texto completo licenciado.</x:v>
      </x:c>
      <x:c r="K22" s="12" t="n">
        <x:f>IF(OR(F22="CAPTURADA",F22="REPRESENTACION_WEB_PARCIAL"),IF(LEN(H22)=64,0,1),0)</x:f>
        <x:v>0</x:v>
      </x:c>
      <x:c r="L22" s="12" t="n">
        <x:f>COUNTIF('02_Custodia'!$A$5:$A$53,A22)-1</x:f>
        <x:v>0</x:v>
      </x:c>
    </x:row>
    <x:row r="23" ht="47" customHeight="1">
      <x:c r="A23" s="4" t="str">
        <x:v>F019</x:v>
      </x:c>
      <x:c r="B23" s="4" t="str">
        <x:v>https://nvlpubs.nist.gov/nistpubs/SpecialPublications/NIST.SP.800-61r3.pdf</x:v>
      </x:c>
      <x:c r="C23" s="4" t="str">
        <x:v>https://nvlpubs.nist.gov/nistpubs/SpecialPublications/NIST.SP.800-61r3.pdf</x:v>
      </x:c>
      <x:c r="D23" s="4" t="str">
        <x:v>UTC · 2026-09-08T15:44:52.170774+00:00</x:v>
      </x:c>
      <x:c r="E23" s="4" t="str">
        <x:v>PDF_ORIGINAL</x:v>
      </x:c>
      <x:c r="F23" s="4" t="str">
        <x:v>CAPTURADA</x:v>
      </x:c>
      <x:c r="G23" s="4" t="str">
        <x:v>1040566</x:v>
      </x:c>
      <x:c r="H23" s="4" t="str">
        <x:v>e5593d6bb85daecec7e8d9549400c7b3473bcc3f06e469c82218073afa7fba2d</x:v>
      </x:c>
      <x:c r="I23" s="4" t="str">
        <x:v>Captura original íntegra; fragmentos de uso preservados; no adopción íntegra del documento.</x:v>
      </x:c>
      <x:c r="J23" s="4" t="str">
        <x:v>Consulta pública; se publican metadatos y fragmentos breves, no texto completo licenciado.</x:v>
      </x:c>
      <x:c r="K23" s="12" t="n">
        <x:f>IF(OR(F23="CAPTURADA",F23="REPRESENTACION_WEB_PARCIAL"),IF(LEN(H23)=64,0,1),0)</x:f>
        <x:v>0</x:v>
      </x:c>
      <x:c r="L23" s="12" t="n">
        <x:f>COUNTIF('02_Custodia'!$A$5:$A$53,A23)-1</x:f>
        <x:v>0</x:v>
      </x:c>
    </x:row>
    <x:row r="24" ht="47" customHeight="1">
      <x:c r="A24" s="4" t="str">
        <x:v>F020</x:v>
      </x:c>
      <x:c r="B24" s="4" t="str">
        <x:v>https://nvlpubs.nist.gov/nistpubs/SpecialPublications/NIST.SP.800-82r3.pdf</x:v>
      </x:c>
      <x:c r="C24" s="4" t="str">
        <x:v>https://nvlpubs.nist.gov/nistpubs/SpecialPublications/NIST.SP.800-82r3.pdf</x:v>
      </x:c>
      <x:c r="D24" s="4" t="str">
        <x:v>UTC · 2026-09-08T15:45:02.619471+00:00</x:v>
      </x:c>
      <x:c r="E24" s="4" t="str">
        <x:v>PDF_ORIGINAL</x:v>
      </x:c>
      <x:c r="F24" s="4" t="str">
        <x:v>CAPTURADA</x:v>
      </x:c>
      <x:c r="G24" s="4" t="str">
        <x:v>8584345</x:v>
      </x:c>
      <x:c r="H24" s="4" t="str">
        <x:v>608f554514d381853e24e0b33123b7080fbd757826f460032690aade63394616</x:v>
      </x:c>
      <x:c r="I24" s="4" t="str">
        <x:v>Captura original íntegra; fragmentos de uso preservados; no adopción íntegra del documento.</x:v>
      </x:c>
      <x:c r="J24" s="4" t="str">
        <x:v>Consulta pública; se publican metadatos y fragmentos breves, no texto completo licenciado.</x:v>
      </x:c>
      <x:c r="K24" s="12" t="n">
        <x:f>IF(OR(F24="CAPTURADA",F24="REPRESENTACION_WEB_PARCIAL"),IF(LEN(H24)=64,0,1),0)</x:f>
        <x:v>0</x:v>
      </x:c>
      <x:c r="L24" s="12" t="n">
        <x:f>COUNTIF('02_Custodia'!$A$5:$A$53,A24)-1</x:f>
        <x:v>0</x:v>
      </x:c>
    </x:row>
    <x:row r="25" ht="47" customHeight="1">
      <x:c r="A25" s="4" t="str">
        <x:v>F021</x:v>
      </x:c>
      <x:c r="B25" s="4" t="str">
        <x:v>https://owasp.org/www-project-application-security-verification-standard/</x:v>
      </x:c>
      <x:c r="C25" s="4" t="str">
        <x:v>https://owasp.org/www-project-application-security-verification-standard/</x:v>
      </x:c>
      <x:c r="D25" s="4" t="str">
        <x:v>UTC · 2026-09-08T15:44:49.964377+00:00</x:v>
      </x:c>
      <x:c r="E25" s="4" t="str">
        <x:v>HTML_ORIGINAL</x:v>
      </x:c>
      <x:c r="F25" s="4" t="str">
        <x:v>CAPTURADA</x:v>
      </x:c>
      <x:c r="G25" s="4" t="str">
        <x:v>67908</x:v>
      </x:c>
      <x:c r="H25" s="4" t="str">
        <x:v>d55efadd6290032579ace1e9fc1bf62156ca61bbfbf9c250fd918d8cfd60e33f</x:v>
      </x:c>
      <x:c r="I25" s="4" t="str">
        <x:v>Captura original íntegra; fragmentos de uso preservados; no adopción íntegra del documento.</x:v>
      </x:c>
      <x:c r="J25" s="4" t="str">
        <x:v>Consulta pública; se publican metadatos y fragmentos breves, no texto completo licenciado.</x:v>
      </x:c>
      <x:c r="K25" s="12" t="n">
        <x:f>IF(OR(F25="CAPTURADA",F25="REPRESENTACION_WEB_PARCIAL"),IF(LEN(H25)=64,0,1),0)</x:f>
        <x:v>0</x:v>
      </x:c>
      <x:c r="L25" s="12" t="n">
        <x:f>COUNTIF('02_Custodia'!$A$5:$A$53,A25)-1</x:f>
        <x:v>0</x:v>
      </x:c>
    </x:row>
    <x:row r="26" ht="47" customHeight="1">
      <x:c r="A26" s="4" t="str">
        <x:v>F022</x:v>
      </x:c>
      <x:c r="B26" s="4" t="str">
        <x:v>https://www.iso.org/standard/42001</x:v>
      </x:c>
      <x:c r="C26" s="4" t="str">
        <x:v>https://www.iso.org/standard/42001</x:v>
      </x:c>
      <x:c r="D26" s="4" t="str">
        <x:v>UTC · 2026-09-08; hora no conservada por el lector web</x:v>
      </x:c>
      <x:c r="E26" s="4" t="str">
        <x:v>REPRESENTACION_WEB_PARCIAL</x:v>
      </x:c>
      <x:c r="F26" s="4" t="str">
        <x:v>REPRESENTACION_WEB_PARCIAL</x:v>
      </x:c>
      <x:c r="G26" s="4" t="str">
        <x:v>11616</x:v>
      </x:c>
      <x:c r="H26" s="4" t="str">
        <x:v>3d3c5e2e72eee5ce3a8e15caa65e5944ab56fb438f33c425d6de4604080c3b7f</x:v>
      </x:c>
      <x:c r="I26" s="4" t="str">
        <x:v>Sólo representación parcial del lector web.</x:v>
      </x:c>
      <x:c r="J26" s="4" t="str">
        <x:v>Consulta pública; se publican metadatos y fragmentos breves, no texto completo licenciado.</x:v>
      </x:c>
      <x:c r="K26" s="12" t="n">
        <x:f>IF(OR(F26="CAPTURADA",F26="REPRESENTACION_WEB_PARCIAL"),IF(LEN(H26)=64,0,1),0)</x:f>
        <x:v>0</x:v>
      </x:c>
      <x:c r="L26" s="12" t="n">
        <x:f>COUNTIF('02_Custodia'!$A$5:$A$53,A26)-1</x:f>
        <x:v>0</x:v>
      </x:c>
    </x:row>
    <x:row r="27" ht="47" customHeight="1">
      <x:c r="A27" s="4" t="str">
        <x:v>F023</x:v>
      </x:c>
      <x:c r="B27" s="4" t="str">
        <x:v>https://www.iso.org/standard/77304.html</x:v>
      </x:c>
      <x:c r="C27" s="4" t="str">
        <x:v>https://www.iso.org/standard/77304.html</x:v>
      </x:c>
      <x:c r="D27" s="4" t="str">
        <x:v>UTC · 2026-09-08; hora no conservada por el lector web</x:v>
      </x:c>
      <x:c r="E27" s="4" t="str">
        <x:v>REPRESENTACION_WEB_PARCIAL</x:v>
      </x:c>
      <x:c r="F27" s="4" t="str">
        <x:v>REPRESENTACION_WEB_PARCIAL</x:v>
      </x:c>
      <x:c r="G27" s="4" t="str">
        <x:v>6688</x:v>
      </x:c>
      <x:c r="H27" s="4" t="str">
        <x:v>2112222a965dc0b14397feb589ba0e55b621b8f750bf8d605a068e928c3df4dc</x:v>
      </x:c>
      <x:c r="I27" s="4" t="str">
        <x:v>Sólo representación parcial del lector web.</x:v>
      </x:c>
      <x:c r="J27" s="4" t="str">
        <x:v>Consulta pública; se publican metadatos y fragmentos breves, no texto completo licenciado.</x:v>
      </x:c>
      <x:c r="K27" s="12" t="n">
        <x:f>IF(OR(F27="CAPTURADA",F27="REPRESENTACION_WEB_PARCIAL"),IF(LEN(H27)=64,0,1),0)</x:f>
        <x:v>0</x:v>
      </x:c>
      <x:c r="L27" s="12" t="n">
        <x:f>COUNTIF('02_Custodia'!$A$5:$A$53,A27)-1</x:f>
        <x:v>0</x:v>
      </x:c>
    </x:row>
    <x:row r="28" ht="47" customHeight="1">
      <x:c r="A28" s="4" t="str">
        <x:v>F024</x:v>
      </x:c>
      <x:c r="B28" s="4" t="str">
        <x:v>https://nvlpubs.nist.gov/nistpubs/ai/NIST.AI.100-1.pdf</x:v>
      </x:c>
      <x:c r="C28" s="4" t="str">
        <x:v>https://nvlpubs.nist.gov/nistpubs/ai/NIST.AI.100-1.pdf</x:v>
      </x:c>
      <x:c r="D28" s="4" t="str">
        <x:v>UTC · 2026-09-08T15:45:02.625365+00:00</x:v>
      </x:c>
      <x:c r="E28" s="4" t="str">
        <x:v>PDF_ORIGINAL</x:v>
      </x:c>
      <x:c r="F28" s="4" t="str">
        <x:v>CAPTURADA</x:v>
      </x:c>
      <x:c r="G28" s="4" t="str">
        <x:v>1946127</x:v>
      </x:c>
      <x:c r="H28" s="4" t="str">
        <x:v>7576edb531d9848825814ee88e28b1795d3a84b435b4b797d3670eafdc4a89f1</x:v>
      </x:c>
      <x:c r="I28" s="4" t="str">
        <x:v>Captura original íntegra; fragmentos de uso preservados; no adopción íntegra del documento.</x:v>
      </x:c>
      <x:c r="J28" s="4" t="str">
        <x:v>Consulta pública; se publican metadatos y fragmentos breves, no texto completo licenciado.</x:v>
      </x:c>
      <x:c r="K28" s="12" t="n">
        <x:f>IF(OR(F28="CAPTURADA",F28="REPRESENTACION_WEB_PARCIAL"),IF(LEN(H28)=64,0,1),0)</x:f>
        <x:v>0</x:v>
      </x:c>
      <x:c r="L28" s="12" t="n">
        <x:f>COUNTIF('02_Custodia'!$A$5:$A$53,A28)-1</x:f>
        <x:v>0</x:v>
      </x:c>
    </x:row>
    <x:row r="29" ht="47" customHeight="1">
      <x:c r="A29" s="4" t="str">
        <x:v>F025</x:v>
      </x:c>
      <x:c r="B29" s="4" t="str">
        <x:v>https://nvlpubs.nist.gov/nistpubs/SpecialPublications/NIST.SP.800-218A.pdf</x:v>
      </x:c>
      <x:c r="C29" s="4" t="str">
        <x:v>https://nvlpubs.nist.gov/nistpubs/SpecialPublications/NIST.SP.800-218A.pdf</x:v>
      </x:c>
      <x:c r="D29" s="4" t="str">
        <x:v>UTC · 2026-09-08T15:45:01.463854+00:00</x:v>
      </x:c>
      <x:c r="E29" s="4" t="str">
        <x:v>PDF_ORIGINAL</x:v>
      </x:c>
      <x:c r="F29" s="4" t="str">
        <x:v>CAPTURADA</x:v>
      </x:c>
      <x:c r="G29" s="4" t="str">
        <x:v>650661</x:v>
      </x:c>
      <x:c r="H29" s="4" t="str">
        <x:v>e088c8bc75716824dae7c36a987f408364638561d381ed001b5c12254a7b10d8</x:v>
      </x:c>
      <x:c r="I29" s="4" t="str">
        <x:v>Captura original íntegra; fragmentos de uso preservados; no adopción íntegra del documento.</x:v>
      </x:c>
      <x:c r="J29" s="4" t="str">
        <x:v>Consulta pública; se publican metadatos y fragmentos breves, no texto completo licenciado.</x:v>
      </x:c>
      <x:c r="K29" s="12" t="n">
        <x:f>IF(OR(F29="CAPTURADA",F29="REPRESENTACION_WEB_PARCIAL"),IF(LEN(H29)=64,0,1),0)</x:f>
        <x:v>0</x:v>
      </x:c>
      <x:c r="L29" s="12" t="n">
        <x:f>COUNTIF('02_Custodia'!$A$5:$A$53,A29)-1</x:f>
        <x:v>0</x:v>
      </x:c>
    </x:row>
    <x:row r="30" ht="47" customHeight="1">
      <x:c r="A30" s="4" t="str">
        <x:v>F026</x:v>
      </x:c>
      <x:c r="B30" s="4" t="str">
        <x:v>https://nvlpubs.nist.gov/nistpubs/ai/NIST.AI.100-2e2025.pdf</x:v>
      </x:c>
      <x:c r="C30" s="4" t="str">
        <x:v>https://nvlpubs.nist.gov/nistpubs/ai/NIST.AI.100-2e2025.pdf</x:v>
      </x:c>
      <x:c r="D30" s="4" t="str">
        <x:v>UTC · 2026-09-08T15:45:07.049580+00:00</x:v>
      </x:c>
      <x:c r="E30" s="4" t="str">
        <x:v>PDF_ORIGINAL</x:v>
      </x:c>
      <x:c r="F30" s="4" t="str">
        <x:v>CAPTURADA</x:v>
      </x:c>
      <x:c r="G30" s="4" t="str">
        <x:v>1964469</x:v>
      </x:c>
      <x:c r="H30" s="4" t="str">
        <x:v>4811fb6ad73f9c9121843ab77e029b5adc6f2c86d33c2fc5b2099ef133847646</x:v>
      </x:c>
      <x:c r="I30" s="4" t="str">
        <x:v>Captura original íntegra; fragmentos de uso preservados; no adopción íntegra del documento.</x:v>
      </x:c>
      <x:c r="J30" s="4" t="str">
        <x:v>Consulta pública; se publican metadatos y fragmentos breves, no texto completo licenciado.</x:v>
      </x:c>
      <x:c r="K30" s="12" t="n">
        <x:f>IF(OR(F30="CAPTURADA",F30="REPRESENTACION_WEB_PARCIAL"),IF(LEN(H30)=64,0,1),0)</x:f>
        <x:v>0</x:v>
      </x:c>
      <x:c r="L30" s="12" t="n">
        <x:f>COUNTIF('02_Custodia'!$A$5:$A$53,A30)-1</x:f>
        <x:v>0</x:v>
      </x:c>
    </x:row>
    <x:row r="31" ht="47" customHeight="1">
      <x:c r="A31" s="4" t="str">
        <x:v>F027</x:v>
      </x:c>
      <x:c r="B31" s="4" t="str">
        <x:v>https://owaspai.org/docs/ai_security_overview/</x:v>
      </x:c>
      <x:c r="C31" s="4" t="str">
        <x:v>https://owaspai.org/docs/ai_security_overview/</x:v>
      </x:c>
      <x:c r="D31" s="4" t="str">
        <x:v>UTC · 2026-09-08T15:45:00.920615+00:00</x:v>
      </x:c>
      <x:c r="E31" s="4" t="str">
        <x:v>HTML_ORIGINAL</x:v>
      </x:c>
      <x:c r="F31" s="4" t="str">
        <x:v>CAPTURADA</x:v>
      </x:c>
      <x:c r="G31" s="4" t="str">
        <x:v>240463</x:v>
      </x:c>
      <x:c r="H31" s="4" t="str">
        <x:v>4636583a842c34b0e85c8258b28766a95a3c3593d7312a1f4d221c0124f29a8d</x:v>
      </x:c>
      <x:c r="I31" s="4" t="str">
        <x:v>Captura original íntegra; fragmentos de uso preservados; no adopción íntegra del documento.</x:v>
      </x:c>
      <x:c r="J31" s="4" t="str">
        <x:v>Proyecto OWASP; licencia declarada CC BY-SA 4.0; fragmentos atribuidos; normalización no oficial.</x:v>
      </x:c>
      <x:c r="K31" s="12" t="n">
        <x:f>IF(OR(F31="CAPTURADA",F31="REPRESENTACION_WEB_PARCIAL"),IF(LEN(H31)=64,0,1),0)</x:f>
        <x:v>0</x:v>
      </x:c>
      <x:c r="L31" s="12" t="n">
        <x:f>COUNTIF('02_Custodia'!$A$5:$A$53,A31)-1</x:f>
        <x:v>0</x:v>
      </x:c>
    </x:row>
    <x:row r="32" ht="47" customHeight="1">
      <x:c r="A32" s="4" t="str">
        <x:v>F028</x:v>
      </x:c>
      <x:c r="B32" s="4" t="str">
        <x:v>https://nvlpubs.nist.gov/nistpubs/ir/2025/NIST.IR.8596.iprd.pdf</x:v>
      </x:c>
      <x:c r="C32" s="4" t="str">
        <x:v>https://nvlpubs.nist.gov/nistpubs/ir/2025/NIST.IR.8596.iprd.pdf</x:v>
      </x:c>
      <x:c r="D32" s="4" t="str">
        <x:v>UTC · 2026-09-08T15:45:06.835366+00:00</x:v>
      </x:c>
      <x:c r="E32" s="4" t="str">
        <x:v>PDF_ORIGINAL</x:v>
      </x:c>
      <x:c r="F32" s="4" t="str">
        <x:v>CAPTURADA</x:v>
      </x:c>
      <x:c r="G32" s="4" t="str">
        <x:v>2297620</x:v>
      </x:c>
      <x:c r="H32" s="4" t="str">
        <x:v>4744b04dd75a278476b618b39ff57daef45c46760ec623f3e31543e73112cfde</x:v>
      </x:c>
      <x:c r="I32" s="4" t="str">
        <x:v>Captura original íntegra; fragmentos de uso preservados; no adopción íntegra del documento.</x:v>
      </x:c>
      <x:c r="J32" s="4" t="str">
        <x:v>Consulta pública; se publican metadatos y fragmentos breves, no texto completo licenciado.</x:v>
      </x:c>
      <x:c r="K32" s="12" t="n">
        <x:f>IF(OR(F32="CAPTURADA",F32="REPRESENTACION_WEB_PARCIAL"),IF(LEN(H32)=64,0,1),0)</x:f>
        <x:v>0</x:v>
      </x:c>
      <x:c r="L32" s="12" t="n">
        <x:f>COUNTIF('02_Custodia'!$A$5:$A$53,A32)-1</x:f>
        <x:v>0</x:v>
      </x:c>
    </x:row>
    <x:row r="33" ht="47" customHeight="1">
      <x:c r="A33" s="4" t="str">
        <x:v>F029</x:v>
      </x:c>
      <x:c r="B33" s="4" t="str">
        <x:v>https://genai.owasp.org/llm-top-10/</x:v>
      </x:c>
      <x:c r="C33" s="4" t="str">
        <x:v>https://genai.owasp.org/llm-top-10/</x:v>
      </x:c>
      <x:c r="D33" s="4" t="str">
        <x:v>UTC · 2026-09-08T15:45:13.616138+00:00</x:v>
      </x:c>
      <x:c r="E33" s="4" t="str">
        <x:v>HTML_ORIGINAL</x:v>
      </x:c>
      <x:c r="F33" s="4" t="str">
        <x:v>CAPTURADA</x:v>
      </x:c>
      <x:c r="G33" s="4" t="str">
        <x:v>912634</x:v>
      </x:c>
      <x:c r="H33" s="4" t="str">
        <x:v>609c802717a017a05b555f8678accb296e7fb9f8f0f49a91c5569fc4182c104f</x:v>
      </x:c>
      <x:c r="I33" s="4" t="str">
        <x:v>Captura original íntegra; fragmentos de uso preservados; no adopción íntegra del documento.</x:v>
      </x:c>
      <x:c r="J33" s="4" t="str">
        <x:v>Consulta pública; se publican metadatos y fragmentos breves, no texto completo licenciado.</x:v>
      </x:c>
      <x:c r="K33" s="12" t="n">
        <x:f>IF(OR(F33="CAPTURADA",F33="REPRESENTACION_WEB_PARCIAL"),IF(LEN(H33)=64,0,1),0)</x:f>
        <x:v>0</x:v>
      </x:c>
      <x:c r="L33" s="12" t="n">
        <x:f>COUNTIF('02_Custodia'!$A$5:$A$53,A33)-1</x:f>
        <x:v>0</x:v>
      </x:c>
    </x:row>
    <x:row r="34" ht="47" customHeight="1">
      <x:c r="A34" s="4" t="str">
        <x:v>F030</x:v>
      </x:c>
      <x:c r="B34" s="4" t="str">
        <x:v>https://www.boe.es/eli/es/rd/2022/05/03/311/con</x:v>
      </x:c>
      <x:c r="C34" s="4" t="str">
        <x:v>https://www.boe.es/eli/es/rd/2022/05/03/311/con</x:v>
      </x:c>
      <x:c r="D34" s="4" t="str">
        <x:v>UTC · 2026-09-08T15:45:12.267444+00:00</x:v>
      </x:c>
      <x:c r="E34" s="4" t="str">
        <x:v>HTML_ORIGINAL</x:v>
      </x:c>
      <x:c r="F34" s="4" t="str">
        <x:v>CAPTURADA</x:v>
      </x:c>
      <x:c r="G34" s="4" t="str">
        <x:v>408282</x:v>
      </x:c>
      <x:c r="H34" s="4" t="str">
        <x:v>3e16ce700069eab21bc3a080c79f1a7f9beba1d81fb127824521fd9e3274644c</x:v>
      </x:c>
      <x:c r="I34" s="4" t="str">
        <x:v>Captura original íntegra; fragmentos de uso preservados; no adopción íntegra del documento.</x:v>
      </x:c>
      <x:c r="J34" s="4" t="str">
        <x:v>Consulta pública; se publican metadatos y fragmentos breves, no texto completo licenciado.</x:v>
      </x:c>
      <x:c r="K34" s="12" t="n">
        <x:f>IF(OR(F34="CAPTURADA",F34="REPRESENTACION_WEB_PARCIAL"),IF(LEN(H34)=64,0,1),0)</x:f>
        <x:v>0</x:v>
      </x:c>
      <x:c r="L34" s="12" t="n">
        <x:f>COUNTIF('02_Custodia'!$A$5:$A$53,A34)-1</x:f>
        <x:v>0</x:v>
      </x:c>
    </x:row>
    <x:row r="35" ht="47" customHeight="1">
      <x:c r="A35" s="4" t="str">
        <x:v>F031</x:v>
      </x:c>
      <x:c r="B35" s="4" t="str">
        <x:v>https://eur-lex.europa.eu/eli/dir/2022/2555/oj/eng</x:v>
      </x:c>
      <x:c r="C35" s="4" t="str">
        <x:v>https://eur-lex.europa.eu/eli/dir/2022/2555/oj/eng</x:v>
      </x:c>
      <x:c r="D35" s="4" t="str">
        <x:v>UTC · 2026-09-08T15:45:13.730232+00:00</x:v>
      </x:c>
      <x:c r="E35" s="4" t="str">
        <x:v>HTML_ORIGINAL</x:v>
      </x:c>
      <x:c r="F35" s="4" t="str">
        <x:v>CAPTURADA</x:v>
      </x:c>
      <x:c r="G35" s="4" t="str">
        <x:v>969304</x:v>
      </x:c>
      <x:c r="H35" s="4" t="str">
        <x:v>9744bd11a4d84e582895a24fc92932619836174792a10463cbb1aefeb5a74f40</x:v>
      </x:c>
      <x:c r="I35" s="4" t="str">
        <x:v>Captura original íntegra; fragmentos de uso preservados; no adopción íntegra del documento.</x:v>
      </x:c>
      <x:c r="J35" s="4" t="str">
        <x:v>Consulta pública; se publican metadatos y fragmentos breves, no texto completo licenciado.</x:v>
      </x:c>
      <x:c r="K35" s="12" t="n">
        <x:f>IF(OR(F35="CAPTURADA",F35="REPRESENTACION_WEB_PARCIAL"),IF(LEN(H35)=64,0,1),0)</x:f>
        <x:v>0</x:v>
      </x:c>
      <x:c r="L35" s="12" t="n">
        <x:f>COUNTIF('02_Custodia'!$A$5:$A$53,A35)-1</x:f>
        <x:v>0</x:v>
      </x:c>
    </x:row>
    <x:row r="36" ht="47" customHeight="1">
      <x:c r="A36" s="4" t="str">
        <x:v>F032</x:v>
      </x:c>
      <x:c r="B36" s="4" t="str">
        <x:v>https://eur-lex.europa.eu/eli/reg/2024/2847/oj/eng</x:v>
      </x:c>
      <x:c r="C36" s="4" t="str">
        <x:v>https://eur-lex.europa.eu/eli/reg/2024/2847/oj/eng</x:v>
      </x:c>
      <x:c r="D36" s="4" t="str">
        <x:v>UTC · 2026-09-08T15:45:14.035138+00:00</x:v>
      </x:c>
      <x:c r="E36" s="4" t="str">
        <x:v>HTML_ORIGINAL</x:v>
      </x:c>
      <x:c r="F36" s="4" t="str">
        <x:v>CAPTURADA</x:v>
      </x:c>
      <x:c r="G36" s="4" t="str">
        <x:v>974702</x:v>
      </x:c>
      <x:c r="H36" s="4" t="str">
        <x:v>fd964b65ad6c07269201c0df0de7be9046f16fd43d59ae67a44fa0b0aaff1b6d</x:v>
      </x:c>
      <x:c r="I36" s="4" t="str">
        <x:v>Captura original íntegra; fragmentos de uso preservados; no adopción íntegra del documento.</x:v>
      </x:c>
      <x:c r="J36" s="4" t="str">
        <x:v>Consulta pública; se publican metadatos y fragmentos breves, no texto completo licenciado.</x:v>
      </x:c>
      <x:c r="K36" s="12" t="n">
        <x:f>IF(OR(F36="CAPTURADA",F36="REPRESENTACION_WEB_PARCIAL"),IF(LEN(H36)=64,0,1),0)</x:f>
        <x:v>0</x:v>
      </x:c>
      <x:c r="L36" s="12" t="n">
        <x:f>COUNTIF('02_Custodia'!$A$5:$A$53,A36)-1</x:f>
        <x:v>0</x:v>
      </x:c>
    </x:row>
    <x:row r="37" ht="47" customHeight="1">
      <x:c r="A37" s="4" t="str">
        <x:v>F033</x:v>
      </x:c>
      <x:c r="B37" s="4" t="str">
        <x:v>https://eur-lex.europa.eu/eli/reg/2024/1689/oj/eng</x:v>
      </x:c>
      <x:c r="C37" s="4" t="str">
        <x:v>https://eur-lex.europa.eu/eli/reg/2024/1689/oj/eng</x:v>
      </x:c>
      <x:c r="D37" s="4" t="str">
        <x:v>UTC · 2026-09-08T15:45:14.322427+00:00</x:v>
      </x:c>
      <x:c r="E37" s="4" t="str">
        <x:v>HTML_ORIGINAL</x:v>
      </x:c>
      <x:c r="F37" s="4" t="str">
        <x:v>CAPTURADA</x:v>
      </x:c>
      <x:c r="G37" s="4" t="str">
        <x:v>1535247</x:v>
      </x:c>
      <x:c r="H37" s="4" t="str">
        <x:v>0876031f565718edc3a7b285e84f1975f5d89333744b7918d8c3391ca6031f39</x:v>
      </x:c>
      <x:c r="I37" s="4" t="str">
        <x:v>Captura original íntegra; fragmentos de uso preservados; no adopción íntegra del documento.</x:v>
      </x:c>
      <x:c r="J37" s="4" t="str">
        <x:v>Consulta pública; se publican metadatos y fragmentos breves, no texto completo licenciado.</x:v>
      </x:c>
      <x:c r="K37" s="12" t="n">
        <x:f>IF(OR(F37="CAPTURADA",F37="REPRESENTACION_WEB_PARCIAL"),IF(LEN(H37)=64,0,1),0)</x:f>
        <x:v>0</x:v>
      </x:c>
      <x:c r="L37" s="12" t="n">
        <x:f>COUNTIF('02_Custodia'!$A$5:$A$53,A37)-1</x:f>
        <x:v>0</x:v>
      </x:c>
    </x:row>
    <x:row r="38" ht="47" customHeight="1">
      <x:c r="A38" s="4" t="str">
        <x:v>F034</x:v>
      </x:c>
      <x:c r="B38" s="4" t="str">
        <x:v>https://eur-lex.europa.eu/eli/reg/2016/679/oj/eng</x:v>
      </x:c>
      <x:c r="C38" s="4" t="str">
        <x:v>https://eur-lex.europa.eu/eli/reg/2016/679/oj/eng</x:v>
      </x:c>
      <x:c r="D38" s="4" t="str">
        <x:v>UTC · 2026-09-08T15:45:13.730151+00:00</x:v>
      </x:c>
      <x:c r="E38" s="4" t="str">
        <x:v>HTML_ORIGINAL</x:v>
      </x:c>
      <x:c r="F38" s="4" t="str">
        <x:v>CAPTURADA</x:v>
      </x:c>
      <x:c r="G38" s="4" t="str">
        <x:v>1070840</x:v>
      </x:c>
      <x:c r="H38" s="4" t="str">
        <x:v>83050ad097143fbdb821560d0100e3f9b965b0889116fc4c4a2a9f0320fd5f7d</x:v>
      </x:c>
      <x:c r="I38" s="4" t="str">
        <x:v>Captura original íntegra; fragmentos de uso preservados; no adopción íntegra del documento.</x:v>
      </x:c>
      <x:c r="J38" s="4" t="str">
        <x:v>Consulta pública; se publican metadatos y fragmentos breves, no texto completo licenciado.</x:v>
      </x:c>
      <x:c r="K38" s="12" t="n">
        <x:f>IF(OR(F38="CAPTURADA",F38="REPRESENTACION_WEB_PARCIAL"),IF(LEN(H38)=64,0,1),0)</x:f>
        <x:v>0</x:v>
      </x:c>
      <x:c r="L38" s="12" t="n">
        <x:f>COUNTIF('02_Custodia'!$A$5:$A$53,A38)-1</x:f>
        <x:v>0</x:v>
      </x:c>
    </x:row>
    <x:row r="39" ht="60" customHeight="1">
      <x:c r="A39" s="4" t="str">
        <x:v>F035</x:v>
      </x:c>
      <x:c r="B39" s="4" t="str">
        <x:v>https://www.imda.gov.sg/how-we-can-help/techskills-accelerator-tesa/skills-framework-for-infocomm-technology-sfw-for-ict</x:v>
      </x:c>
      <x:c r="C39" s="4" t="str">
        <x:v>https://www.imda.gov.sg/how-we-can-help/techskills-accelerator-tesa/skills-framework-for-infocomm-technology-sfw-for-ict</x:v>
      </x:c>
      <x:c r="D39" s="4" t="str">
        <x:v>UTC · 2026-09-08T15:45:23.501323+00:00</x:v>
      </x:c>
      <x:c r="E39" s="4" t="str">
        <x:v>HTML_ORIGINAL</x:v>
      </x:c>
      <x:c r="F39" s="4" t="str">
        <x:v>CAPTURADA</x:v>
      </x:c>
      <x:c r="G39" s="4" t="str">
        <x:v>146738</x:v>
      </x:c>
      <x:c r="H39" s="4" t="str">
        <x:v>ede12c72776220df59fd2585aa3feee24aa5418254bc45f3078c4542101e5400</x:v>
      </x:c>
      <x:c r="I39" s="4" t="str">
        <x:v>Captura original íntegra; fragmentos de uso preservados; no adopción íntegra del documento.</x:v>
      </x:c>
      <x:c r="J39" s="4" t="str">
        <x:v>Consulta pública; se publican metadatos y fragmentos breves, no texto completo licenciado.</x:v>
      </x:c>
      <x:c r="K39" s="12" t="n">
        <x:f>IF(OR(F39="CAPTURADA",F39="REPRESENTACION_WEB_PARCIAL"),IF(LEN(H39)=64,0,1),0)</x:f>
        <x:v>0</x:v>
      </x:c>
      <x:c r="L39" s="12" t="n">
        <x:f>COUNTIF('02_Custodia'!$A$5:$A$53,A39)-1</x:f>
        <x:v>0</x:v>
      </x:c>
    </x:row>
    <x:row r="40" ht="47" customHeight="1">
      <x:c r="A40" s="4" t="str">
        <x:v>A001</x:v>
      </x:c>
      <x:c r="B40" s="4" t="str">
        <x:v>https://www.nist.gov/news-events/news/2026/04/nice-releases-nice-framework-components-v220</x:v>
      </x:c>
      <x:c r="C40" s="4" t="str">
        <x:v>https://www.nist.gov/news-events/news/2026/04/nice-releases-nice-framework-components-v220</x:v>
      </x:c>
      <x:c r="D40" s="4" t="str">
        <x:v>UTC · 2026-09-08T15:45:20.105612+00:00</x:v>
      </x:c>
      <x:c r="E40" s="4" t="str">
        <x:v>HTML_ORIGINAL</x:v>
      </x:c>
      <x:c r="F40" s="4" t="str">
        <x:v>CAPTURADA</x:v>
      </x:c>
      <x:c r="G40" s="4" t="str">
        <x:v>85916</x:v>
      </x:c>
      <x:c r="H40" s="4" t="str">
        <x:v>3818ddb06986b81e385454723d99842e879744118d2c15f81334f5678dd6b2b6</x:v>
      </x:c>
      <x:c r="I40" s="4" t="str">
        <x:v>Captura original íntegra; fragmentos de uso preservados; no adopción íntegra del documento.</x:v>
      </x:c>
      <x:c r="J40" s="4" t="str">
        <x:v>Consulta pública; se publican metadatos y fragmentos breves, no texto completo licenciado.</x:v>
      </x:c>
      <x:c r="K40" s="12" t="n">
        <x:f>IF(OR(F40="CAPTURADA",F40="REPRESENTACION_WEB_PARCIAL"),IF(LEN(H40)=64,0,1),0)</x:f>
        <x:v>0</x:v>
      </x:c>
      <x:c r="L40" s="12" t="n">
        <x:f>COUNTIF('02_Custodia'!$A$5:$A$53,A40)-1</x:f>
        <x:v>0</x:v>
      </x:c>
    </x:row>
    <x:row r="41" ht="47" customHeight="1">
      <x:c r="A41" s="4" t="str">
        <x:v>A002</x:v>
      </x:c>
      <x:c r="B41" s="4" t="str">
        <x:v>https://www.nist.gov/itl/applied-cybersecurity/nice/nice-framework-resource-center/nice-framework-current-versions</x:v>
      </x:c>
      <x:c r="C41" s="4" t="str">
        <x:v>https://www.nist.gov/itl/applied-cybersecurity/nice/nice-framework-resource-center/nice-framework-current-versions</x:v>
      </x:c>
      <x:c r="D41" s="4" t="str">
        <x:v>UTC · 2026-09-08T15:45:20.557570+00:00</x:v>
      </x:c>
      <x:c r="E41" s="4" t="str">
        <x:v>HTML_ORIGINAL</x:v>
      </x:c>
      <x:c r="F41" s="4" t="str">
        <x:v>CAPTURADA</x:v>
      </x:c>
      <x:c r="G41" s="4" t="str">
        <x:v>105413</x:v>
      </x:c>
      <x:c r="H41" s="4" t="str">
        <x:v>f31d8848fe7465aadf43998be8fac3ff0f001243ff3b413acde64566a7519672</x:v>
      </x:c>
      <x:c r="I41" s="4" t="str">
        <x:v>Captura original íntegra; fragmentos de uso preservados; no adopción íntegra del documento.</x:v>
      </x:c>
      <x:c r="J41" s="4" t="str">
        <x:v>Consulta pública; se publican metadatos y fragmentos breves, no texto completo licenciado.</x:v>
      </x:c>
      <x:c r="K41" s="12" t="n">
        <x:f>IF(OR(F41="CAPTURADA",F41="REPRESENTACION_WEB_PARCIAL"),IF(LEN(H41)=64,0,1),0)</x:f>
        <x:v>0</x:v>
      </x:c>
      <x:c r="L41" s="12" t="n">
        <x:f>COUNTIF('02_Custodia'!$A$5:$A$53,A41)-1</x:f>
        <x:v>0</x:v>
      </x:c>
    </x:row>
    <x:row r="42" ht="47" customHeight="1">
      <x:c r="A42" s="4" t="str">
        <x:v>A003</x:v>
      </x:c>
      <x:c r="B42" s="4" t="str">
        <x:v>https://www.isaca.org/credentialing/cism</x:v>
      </x:c>
      <x:c r="C42" s="4" t="str">
        <x:v>https://www.isaca.org/credentialing/cism</x:v>
      </x:c>
      <x:c r="D42" s="4" t="str">
        <x:v>UTC · 2026-09-08T15:45:23.246107+00:00</x:v>
      </x:c>
      <x:c r="E42" s="4" t="str">
        <x:v>HTML_ORIGINAL</x:v>
      </x:c>
      <x:c r="F42" s="4" t="str">
        <x:v>CAPTURADA</x:v>
      </x:c>
      <x:c r="G42" s="4" t="str">
        <x:v>171725</x:v>
      </x:c>
      <x:c r="H42" s="4" t="str">
        <x:v>0d5620993b0275e4753c37457689835b80cf206dee4044b9f12ca9556d60479f</x:v>
      </x:c>
      <x:c r="I42" s="4" t="str">
        <x:v>Captura original íntegra; fragmentos de uso preservados; no adopción íntegra del documento.</x:v>
      </x:c>
      <x:c r="J42" s="4" t="str">
        <x:v>Consulta pública; se publican metadatos y fragmentos breves, no texto completo licenciado.</x:v>
      </x:c>
      <x:c r="K42" s="12" t="n">
        <x:f>IF(OR(F42="CAPTURADA",F42="REPRESENTACION_WEB_PARCIAL"),IF(LEN(H42)=64,0,1),0)</x:f>
        <x:v>0</x:v>
      </x:c>
      <x:c r="L42" s="12" t="n">
        <x:f>COUNTIF('02_Custodia'!$A$5:$A$53,A42)-1</x:f>
        <x:v>0</x:v>
      </x:c>
    </x:row>
    <x:row r="43" ht="47" customHeight="1">
      <x:c r="A43" s="4" t="str">
        <x:v>A004</x:v>
      </x:c>
      <x:c r="B43" s="4" t="str">
        <x:v>https://csrc.nist.gov/pubs/ai/100/2/e2025/final</x:v>
      </x:c>
      <x:c r="C43" s="4" t="str">
        <x:v>https://csrc.nist.gov/pubs/ai/100/2/e2025/final</x:v>
      </x:c>
      <x:c r="D43" s="4" t="str">
        <x:v>UTC · 2026-09-08T15:45:22.670726+00:00</x:v>
      </x:c>
      <x:c r="E43" s="4" t="str">
        <x:v>HTML_ORIGINAL</x:v>
      </x:c>
      <x:c r="F43" s="4" t="str">
        <x:v>CAPTURADA</x:v>
      </x:c>
      <x:c r="G43" s="4" t="str">
        <x:v>47698</x:v>
      </x:c>
      <x:c r="H43" s="4" t="str">
        <x:v>d112307ff7705545aeaaa4ed040da74ac40a6a059349b57a15069e4960b53d5f</x:v>
      </x:c>
      <x:c r="I43" s="4" t="str">
        <x:v>Captura original íntegra; fragmentos de uso preservados; no adopción íntegra del documento.</x:v>
      </x:c>
      <x:c r="J43" s="4" t="str">
        <x:v>Consulta pública; se publican metadatos y fragmentos breves, no texto completo licenciado.</x:v>
      </x:c>
      <x:c r="K43" s="12" t="n">
        <x:f>IF(OR(F43="CAPTURADA",F43="REPRESENTACION_WEB_PARCIAL"),IF(LEN(H43)=64,0,1),0)</x:f>
        <x:v>0</x:v>
      </x:c>
      <x:c r="L43" s="12" t="n">
        <x:f>COUNTIF('02_Custodia'!$A$5:$A$53,A43)-1</x:f>
        <x:v>0</x:v>
      </x:c>
    </x:row>
    <x:row r="44" ht="47" customHeight="1">
      <x:c r="A44" s="4" t="str">
        <x:v>A005</x:v>
      </x:c>
      <x:c r="B44" s="4" t="str">
        <x:v>https://csrc.nist.gov/pubs/ir/8596/iprd</x:v>
      </x:c>
      <x:c r="C44" s="4" t="str">
        <x:v>https://csrc.nist.gov/pubs/ir/8596/iprd</x:v>
      </x:c>
      <x:c r="D44" s="4" t="str">
        <x:v>UTC · 2026-09-08T15:45:22.667011+00:00</x:v>
      </x:c>
      <x:c r="E44" s="4" t="str">
        <x:v>HTML_ORIGINAL</x:v>
      </x:c>
      <x:c r="F44" s="4" t="str">
        <x:v>CAPTURADA</x:v>
      </x:c>
      <x:c r="G44" s="4" t="str">
        <x:v>49885</x:v>
      </x:c>
      <x:c r="H44" s="4" t="str">
        <x:v>0782d89460baad35be735faae46d5e059012b641ec5ef30f7d672278664a495e</x:v>
      </x:c>
      <x:c r="I44" s="4" t="str">
        <x:v>Captura original íntegra; fragmentos de uso preservados; no adopción íntegra del documento.</x:v>
      </x:c>
      <x:c r="J44" s="4" t="str">
        <x:v>Consulta pública; se publican metadatos y fragmentos breves, no texto completo licenciado.</x:v>
      </x:c>
      <x:c r="K44" s="12" t="n">
        <x:f>IF(OR(F44="CAPTURADA",F44="REPRESENTACION_WEB_PARCIAL"),IF(LEN(H44)=64,0,1),0)</x:f>
        <x:v>0</x:v>
      </x:c>
      <x:c r="L44" s="12" t="n">
        <x:f>COUNTIF('02_Custodia'!$A$5:$A$53,A44)-1</x:f>
        <x:v>0</x:v>
      </x:c>
    </x:row>
    <x:row r="45" ht="47" customHeight="1">
      <x:c r="A45" s="4" t="str">
        <x:v>A006</x:v>
      </x:c>
      <x:c r="B45" s="4" t="str">
        <x:v>https://hosting04.uc3m.es/gdc/datos/plan_docente_profesorado/plan_estudios_profesorado_288.pdf</x:v>
      </x:c>
      <x:c r="C45" s="4" t="str">
        <x:v>https://hosting04.uc3m.es/gdc/datos/plan_docente_profesorado/plan_estudios_profesorado_288.pdf</x:v>
      </x:c>
      <x:c r="D45" s="4" t="str">
        <x:v>UTC · NO_CONSTA</x:v>
      </x:c>
      <x:c r="E45" s="4" t="str">
        <x:v>HTML_ORIGINAL</x:v>
      </x:c>
      <x:c r="F45" s="4" t="str">
        <x:v>NO_CAPTURADA</x:v>
      </x:c>
      <x:c r="G45" s="4" t="str"/>
      <x:c r="H45" s="4" t="str"/>
      <x:c r="I45" s="4" t="str">
        <x:v>Adquisición fallida; sin contenido adoptable.</x:v>
      </x:c>
      <x:c r="J45" s="4" t="str">
        <x:v>Consulta pública; se publican metadatos y fragmentos breves, no texto completo licenciado.</x:v>
      </x:c>
      <x:c r="K45" s="12" t="n">
        <x:f>IF(OR(F45="CAPTURADA",F45="REPRESENTACION_WEB_PARCIAL"),IF(LEN(H45)=64,0,1),0)</x:f>
        <x:v>0</x:v>
      </x:c>
      <x:c r="L45" s="12" t="n">
        <x:f>COUNTIF('02_Custodia'!$A$5:$A$53,A45)-1</x:f>
        <x:v>0</x:v>
      </x:c>
    </x:row>
    <x:row r="46" ht="47" customHeight="1">
      <x:c r="A46" s="4" t="str">
        <x:v>A007</x:v>
      </x:c>
      <x:c r="B46" s="4" t="str">
        <x:v>https://www.imda.gov.sg/assets/61b11126-441b-48fb-baed-5cebb6279305.pdf</x:v>
      </x:c>
      <x:c r="C46" s="4" t="str">
        <x:v>https://www.imda.gov.sg/assets/61b11126-441b-48fb-baed-5cebb6279305.pdf</x:v>
      </x:c>
      <x:c r="D46" s="4" t="str">
        <x:v>UTC · 2026-09-08T15:45:30.627737+00:00</x:v>
      </x:c>
      <x:c r="E46" s="4" t="str">
        <x:v>PDF_ORIGINAL</x:v>
      </x:c>
      <x:c r="F46" s="4" t="str">
        <x:v>CAPTURADA</x:v>
      </x:c>
      <x:c r="G46" s="4" t="str">
        <x:v>5223203</x:v>
      </x:c>
      <x:c r="H46" s="4" t="str">
        <x:v>77c15aa610a3f41b2043115359685d51f53a5afeaf5e180943b63e0cc3f44027</x:v>
      </x:c>
      <x:c r="I46" s="4" t="str">
        <x:v>Captura original íntegra; fragmentos de uso preservados; no adopción íntegra del documento.</x:v>
      </x:c>
      <x:c r="J46" s="4" t="str">
        <x:v>Consulta pública; se publican metadatos y fragmentos breves, no texto completo licenciado.</x:v>
      </x:c>
      <x:c r="K46" s="12" t="n">
        <x:f>IF(OR(F46="CAPTURADA",F46="REPRESENTACION_WEB_PARCIAL"),IF(LEN(H46)=64,0,1),0)</x:f>
        <x:v>0</x:v>
      </x:c>
      <x:c r="L46" s="12" t="n">
        <x:f>COUNTIF('02_Custodia'!$A$5:$A$53,A46)-1</x:f>
        <x:v>0</x:v>
      </x:c>
    </x:row>
    <x:row r="47" ht="60" customHeight="1">
      <x:c r="A47" s="4" t="str">
        <x:v>A008</x:v>
      </x:c>
      <x:c r="B47" s="4" t="str">
        <x:v>https://www.enisa.europa.eu/sites/default/files/publications/European%20Cybersecurity%20Skills%20Framework%20Role%20Profiles.pdf</x:v>
      </x:c>
      <x:c r="C47" s="4" t="str">
        <x:v>https://www.enisa.europa.eu/sites/default/files/publications/European%20Cybersecurity%20Skills%20Framework%20Role%20Profiles.pdf</x:v>
      </x:c>
      <x:c r="D47" s="4" t="str">
        <x:v>UTC · 2026-09-08T15:48:07.063976+00:00</x:v>
      </x:c>
      <x:c r="E47" s="4" t="str">
        <x:v>PDF_ORIGINAL</x:v>
      </x:c>
      <x:c r="F47" s="4" t="str">
        <x:v>CAPTURADA</x:v>
      </x:c>
      <x:c r="G47" s="4" t="str">
        <x:v>983388</x:v>
      </x:c>
      <x:c r="H47" s="4" t="str">
        <x:v>10bd5a6e7f5d3214f04de67dbc47f3707ce185d69634738d7164f2b4cd28ffc9</x:v>
      </x:c>
      <x:c r="I47" s="4" t="str">
        <x:v>Captura original íntegra; fragmentos de uso preservados; no adopción íntegra del documento.</x:v>
      </x:c>
      <x:c r="J47" s="4" t="str">
        <x:v>ENISA 2022, CC BY 4.0; atribución; normalizaciones no oficiales.</x:v>
      </x:c>
      <x:c r="K47" s="12" t="n">
        <x:f>IF(OR(F47="CAPTURADA",F47="REPRESENTACION_WEB_PARCIAL"),IF(LEN(H47)=64,0,1),0)</x:f>
        <x:v>0</x:v>
      </x:c>
      <x:c r="L47" s="12" t="n">
        <x:f>COUNTIF('02_Custodia'!$A$5:$A$53,A47)-1</x:f>
        <x:v>0</x:v>
      </x:c>
    </x:row>
    <x:row r="48" ht="47" customHeight="1">
      <x:c r="A48" s="4" t="str">
        <x:v>A009</x:v>
      </x:c>
      <x:c r="B48" s="4" t="str">
        <x:v>https://www.heinz.cmu.edu/sites/default/files/cmu-heinz-files/docs/msispm-student-handbook.pdf</x:v>
      </x:c>
      <x:c r="C48" s="4" t="str">
        <x:v>https://www.heinz.cmu.edu/sites/default/files/cmu-heinz-files/docs/msispm-student-handbook.pdf</x:v>
      </x:c>
      <x:c r="D48" s="4" t="str">
        <x:v>UTC · 2026-09-08T15:48:06.999385+00:00</x:v>
      </x:c>
      <x:c r="E48" s="4" t="str">
        <x:v>PDF_ORIGINAL</x:v>
      </x:c>
      <x:c r="F48" s="4" t="str">
        <x:v>CAPTURADA</x:v>
      </x:c>
      <x:c r="G48" s="4" t="str">
        <x:v>321729</x:v>
      </x:c>
      <x:c r="H48" s="4" t="str">
        <x:v>3d425fc4cb0bc99d25e40f0df7cbb081b55c9def8cbb8617c1c0547845a03285</x:v>
      </x:c>
      <x:c r="I48" s="4" t="str">
        <x:v>Captura original íntegra; fragmentos de uso preservados; no adopción íntegra del documento.</x:v>
      </x:c>
      <x:c r="J48" s="4" t="str">
        <x:v>Consulta pública; se publican metadatos y fragmentos breves, no texto completo licenciado.</x:v>
      </x:c>
      <x:c r="K48" s="12" t="n">
        <x:f>IF(OR(F48="CAPTURADA",F48="REPRESENTACION_WEB_PARCIAL"),IF(LEN(H48)=64,0,1),0)</x:f>
        <x:v>0</x:v>
      </x:c>
      <x:c r="L48" s="12" t="n">
        <x:f>COUNTIF('02_Custodia'!$A$5:$A$53,A48)-1</x:f>
        <x:v>0</x:v>
      </x:c>
    </x:row>
    <x:row r="49" ht="47" customHeight="1">
      <x:c r="A49" s="4" t="str">
        <x:v>A010</x:v>
      </x:c>
      <x:c r="B49" s="4" t="str">
        <x:v>https://genai.owasp.org/resource/owasp-genai-llm-top-10-2026/</x:v>
      </x:c>
      <x:c r="C49" s="4" t="str">
        <x:v>https://genai.owasp.org/resource/owasp-genai-llm-top-10-2026/</x:v>
      </x:c>
      <x:c r="D49" s="4" t="str">
        <x:v>UTC · 2026-09-08T15:47:59.274744+00:00</x:v>
      </x:c>
      <x:c r="E49" s="4" t="str">
        <x:v>HTML_ORIGINAL</x:v>
      </x:c>
      <x:c r="F49" s="4" t="str">
        <x:v>CAPTURADA</x:v>
      </x:c>
      <x:c r="G49" s="4" t="str">
        <x:v>351846</x:v>
      </x:c>
      <x:c r="H49" s="4" t="str">
        <x:v>ef275d4510acc39b10fa07cb0794e753e2b36068a71f66cede6a8563d37e8833</x:v>
      </x:c>
      <x:c r="I49" s="4" t="str">
        <x:v>Captura original íntegra; fragmentos de uso preservados; no adopción íntegra del documento.</x:v>
      </x:c>
      <x:c r="J49" s="4" t="str">
        <x:v>Consulta pública; se publican metadatos y fragmentos breves, no texto completo licenciado.</x:v>
      </x:c>
      <x:c r="K49" s="12" t="n">
        <x:f>IF(OR(F49="CAPTURADA",F49="REPRESENTACION_WEB_PARCIAL"),IF(LEN(H49)=64,0,1),0)</x:f>
        <x:v>0</x:v>
      </x:c>
      <x:c r="L49" s="12" t="n">
        <x:f>COUNTIF('02_Custodia'!$A$5:$A$53,A49)-1</x:f>
        <x:v>0</x:v>
      </x:c>
    </x:row>
    <x:row r="50" ht="47" customHeight="1">
      <x:c r="A50" s="4" t="str">
        <x:v>A011</x:v>
      </x:c>
      <x:c r="B50" s="4" t="str">
        <x:v>https://owasp.org/www-project-top-10-for-large-language-model-applications/</x:v>
      </x:c>
      <x:c r="C50" s="4" t="str">
        <x:v>https://owasp.org/www-project-top-10-for-large-language-model-applications/</x:v>
      </x:c>
      <x:c r="D50" s="4" t="str">
        <x:v>UTC · 2026-09-08T15:48:00.944051+00:00</x:v>
      </x:c>
      <x:c r="E50" s="4" t="str">
        <x:v>HTML_ORIGINAL</x:v>
      </x:c>
      <x:c r="F50" s="4" t="str">
        <x:v>CAPTURADA</x:v>
      </x:c>
      <x:c r="G50" s="4" t="str">
        <x:v>43880</x:v>
      </x:c>
      <x:c r="H50" s="4" t="str">
        <x:v>fac0ea9cda6436fe2f7eda7d5c8618c545596bcc1d55061d96df3a7a2f70b5cf</x:v>
      </x:c>
      <x:c r="I50" s="4" t="str">
        <x:v>Captura original íntegra; fragmentos de uso preservados; no adopción íntegra del documento.</x:v>
      </x:c>
      <x:c r="J50" s="4" t="str">
        <x:v>Consulta pública; se publican metadatos y fragmentos breves, no texto completo licenciado.</x:v>
      </x:c>
      <x:c r="K50" s="12" t="n">
        <x:f>IF(OR(F50="CAPTURADA",F50="REPRESENTACION_WEB_PARCIAL"),IF(LEN(H50)=64,0,1),0)</x:f>
        <x:v>0</x:v>
      </x:c>
      <x:c r="L50" s="12" t="n">
        <x:f>COUNTIF('02_Custodia'!$A$5:$A$53,A50)-1</x:f>
        <x:v>0</x:v>
      </x:c>
    </x:row>
    <x:row r="51" ht="60" customHeight="1">
      <x:c r="A51" s="4" t="str">
        <x:v>A012</x:v>
      </x:c>
      <x:c r="B51" s="4" t="str">
        <x:v>https://www.nist.gov/itl/applied-cybersecurity/nice/nice-framework-resource-center/resources/international-cybersecurity</x:v>
      </x:c>
      <x:c r="C51" s="4" t="str">
        <x:v>https://www.nist.gov/itl/applied-cybersecurity/nice/nice-framework-resource-center/resources/international-cybersecurity</x:v>
      </x:c>
      <x:c r="D51" s="4" t="str">
        <x:v>UTC · 2026-09-08T15:47:58.813178+00:00</x:v>
      </x:c>
      <x:c r="E51" s="4" t="str">
        <x:v>HTML_ORIGINAL</x:v>
      </x:c>
      <x:c r="F51" s="4" t="str">
        <x:v>CAPTURADA</x:v>
      </x:c>
      <x:c r="G51" s="4" t="str">
        <x:v>92931</x:v>
      </x:c>
      <x:c r="H51" s="4" t="str">
        <x:v>58d7b9cdb5dc03d9bc77694bfb0d2b034497ee19ef955993639a05c51ac08094</x:v>
      </x:c>
      <x:c r="I51" s="4" t="str">
        <x:v>Captura original íntegra; fragmentos de uso preservados; no adopción íntegra del documento.</x:v>
      </x:c>
      <x:c r="J51" s="4" t="str">
        <x:v>Consulta pública; se publican metadatos y fragmentos breves, no texto completo licenciado.</x:v>
      </x:c>
      <x:c r="K51" s="12" t="n">
        <x:f>IF(OR(F51="CAPTURADA",F51="REPRESENTACION_WEB_PARCIAL"),IF(LEN(H51)=64,0,1),0)</x:f>
        <x:v>0</x:v>
      </x:c>
      <x:c r="L51" s="12" t="n">
        <x:f>COUNTIF('02_Custodia'!$A$5:$A$53,A51)-1</x:f>
        <x:v>0</x:v>
      </x:c>
    </x:row>
    <x:row r="52" ht="47" customHeight="1">
      <x:c r="A52" s="4" t="str">
        <x:v>A013</x:v>
      </x:c>
      <x:c r="B52" s="4" t="str">
        <x:v>https://genai.owasp.org/download/56857/?tmstv=1785822482</x:v>
      </x:c>
      <x:c r="C52" s="4" t="str">
        <x:v>https://genai.owasp.org/download/56857/?tmstv=1785822482</x:v>
      </x:c>
      <x:c r="D52" s="4" t="str">
        <x:v>UTC · 2026-09-08T15:48:55.970499+00:00</x:v>
      </x:c>
      <x:c r="E52" s="4" t="str">
        <x:v>PDF_ORIGINAL</x:v>
      </x:c>
      <x:c r="F52" s="4" t="str">
        <x:v>CAPTURADA</x:v>
      </x:c>
      <x:c r="G52" s="4" t="str">
        <x:v>2402520</x:v>
      </x:c>
      <x:c r="H52" s="4" t="str">
        <x:v>ef87993a4e50ae9d83b41ff7a3d3e6320a82dfa8d4ec6bf98d0ce264b2e6108e</x:v>
      </x:c>
      <x:c r="I52" s="4" t="str">
        <x:v>Captura original íntegra; fragmentos de uso preservados; no adopción íntegra del documento.</x:v>
      </x:c>
      <x:c r="J52" s="4" t="str">
        <x:v>Proyecto OWASP; licencia declarada CC BY-SA 4.0; fragmentos atribuidos; normalización no oficial.</x:v>
      </x:c>
      <x:c r="K52" s="12" t="n">
        <x:f>IF(OR(F52="CAPTURADA",F52="REPRESENTACION_WEB_PARCIAL"),IF(LEN(H52)=64,0,1),0)</x:f>
        <x:v>0</x:v>
      </x:c>
      <x:c r="L52" s="12" t="n">
        <x:f>COUNTIF('02_Custodia'!$A$5:$A$53,A52)-1</x:f>
        <x:v>0</x:v>
      </x:c>
    </x:row>
    <x:row r="53" ht="47" customHeight="1">
      <x:c r="A53" s="4" t="str">
        <x:v>F036</x:v>
      </x:c>
      <x:c r="B53" s="4" t="str">
        <x:v>https://www.ncsc.gov.uk/report/impact-ai-cyber-threat-now-2027</x:v>
      </x:c>
      <x:c r="C53" s="4" t="str">
        <x:v>https://www.ncsc.gov.uk/report/impact-ai-cyber-threat-now-2027</x:v>
      </x:c>
      <x:c r="D53" s="4" t="str">
        <x:v>UTC · 2026-09-08T15:48:51.593931+00:00</x:v>
      </x:c>
      <x:c r="E53" s="4" t="str">
        <x:v>HTML_ORIGINAL</x:v>
      </x:c>
      <x:c r="F53" s="4" t="str">
        <x:v>CAPTURADA</x:v>
      </x:c>
      <x:c r="G53" s="4" t="str">
        <x:v>150126</x:v>
      </x:c>
      <x:c r="H53" s="4" t="str">
        <x:v>2e3180f4b9420e4f5ec3687974468b275d5700f189c40fa702c67851f8709171</x:v>
      </x:c>
      <x:c r="I53" s="4" t="str">
        <x:v>Captura original íntegra; fragmentos de uso preservados; no adopción íntegra del documento.</x:v>
      </x:c>
      <x:c r="J53" s="4" t="str">
        <x:v>Consulta pública; se publican metadatos y fragmentos breves, no texto completo licenciado.</x:v>
      </x:c>
      <x:c r="K53" s="12" t="n">
        <x:f>IF(OR(F53="CAPTURADA",F53="REPRESENTACION_WEB_PARCIAL"),IF(LEN(H53)=64,0,1),0)</x:f>
        <x:v>0</x:v>
      </x:c>
      <x:c r="L53" s="12" t="n">
        <x:f>COUNTIF('02_Custodia'!$A$5:$A$53,A53)-1</x:f>
        <x:v>0</x:v>
      </x:c>
    </x:row>
  </x:sheetData>
  <x:mergeCells>
    <x:mergeCell ref="A1:D1"/>
    <x:mergeCell ref="A2:F2"/>
  </x:mergeCells>
  <x:pageMargins left="0.7" right="0.7" top="0.75" bottom="0.75" header="0.3" footer="0.3"/>
  <x:tableParts count="1">
    <x:tablePart xmlns:r="http://schemas.openxmlformats.org/officeDocument/2006/relationships" r:id="Ra3c2fceb837241d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9" hidden="0" customWidth="1"/>
    <x:col min="2" max="2" width="22" hidden="0" customWidth="1"/>
    <x:col min="3" max="3" width="36" hidden="0" customWidth="1"/>
    <x:col min="4" max="4" width="65" hidden="0" customWidth="1"/>
    <x:col min="5" max="5" width="37" hidden="0" customWidth="1"/>
    <x:col min="6" max="6" width="65" hidden="0" customWidth="1"/>
    <x:col min="7" max="7" width="10" hidden="0" customWidth="1"/>
    <x:col min="8" max="8" width="19" hidden="0" customWidth="1"/>
    <x:col min="9" max="9" width="12" hidden="0" customWidth="1"/>
    <x:col min="10" max="10" width="12" hidden="0" customWidth="1"/>
    <x:col min="11" max="11" width="41" hidden="0" customWidth="1"/>
    <x:col min="12" max="12" width="34" hidden="0" customWidth="1"/>
    <x:col min="13" max="13" width="12" hidden="0" customWidth="1"/>
    <x:col min="14" max="14" width="15" hidden="0" customWidth="1"/>
    <x:col min="15" max="15" width="13" hidden="0" customWidth="1"/>
  </x:cols>
  <x:sheetData>
    <x:row r="1" ht="35" customHeight="1">
      <x:c r="A1" s="6" t="str">
        <x:v>NICE · roles y áreas de competencia</x:v>
      </x:c>
      <x:c r="B1" s="6"/>
      <x:c r="C1" s="6"/>
      <x:c r="D1" s="6"/>
      <x:c r="E1" s="6"/>
      <x:c r="F1" s="6"/>
      <x:c r="G1" s="6"/>
      <x:c r="H1" s="6"/>
      <x:c r="I1" s="6"/>
      <x:c r="J1" s="6"/>
      <x:c r="K1" s="6"/>
      <x:c r="L1" s="6"/>
      <x:c r="M1" s="6"/>
      <x:c r="N1" s="6"/>
      <x:c r="O1" s="6"/>
    </x:row>
    <x:row r="2" ht="52" customHeight="1">
      <x:c r="A2" s="8" t="str">
        <x:v>Contraste profesional: 42 roles y 11 áreas de NICE 2.2.0. No es el rector educativo. Las operaciones primarias son enlaces históricos, no una selección de universo.</x:v>
      </x:c>
      <x:c r="B2" s="8"/>
      <x:c r="C2" s="8"/>
      <x:c r="D2" s="8"/>
      <x:c r="E2" s="8"/>
      <x:c r="F2" s="8"/>
      <x:c r="G2" s="8"/>
      <x:c r="H2" s="8"/>
      <x:c r="I2" s="8"/>
      <x:c r="J2" s="8"/>
      <x:c r="K2" s="8"/>
      <x:c r="L2" s="8"/>
      <x:c r="M2" s="8"/>
      <x:c r="N2" s="8"/>
      <x:c r="O2" s="8"/>
    </x:row>
    <x:row r="3">
      <x:c r="A3" s="4"/>
      <x:c r="B3" s="4"/>
      <x:c r="C3" s="4"/>
      <x:c r="D3" s="4"/>
      <x:c r="E3" s="4"/>
      <x:c r="F3" s="4"/>
      <x:c r="G3" s="4"/>
      <x:c r="H3" s="4"/>
      <x:c r="I3" s="4"/>
      <x:c r="J3" s="4"/>
      <x:c r="K3" s="4"/>
      <x:c r="L3" s="4"/>
      <x:c r="M3" s="4"/>
      <x:c r="N3" s="4"/>
      <x:c r="O3" s="4"/>
    </x:row>
    <x:row r="4" ht="42" customHeight="1">
      <x:c r="A4" s="10" t="str">
        <x:v>ID externo</x:v>
      </x:c>
      <x:c r="B4" s="10" t="str">
        <x:v>Tipo NICE</x:v>
      </x:c>
      <x:c r="C4" s="10" t="str">
        <x:v>Título original</x:v>
      </x:c>
      <x:c r="D4" s="10" t="str">
        <x:v>Definición original</x:v>
      </x:c>
      <x:c r="E4" s="10" t="str">
        <x:v>Rótulo español</x:v>
      </x:c>
      <x:c r="F4" s="10" t="str">
        <x:v>Síntesis española</x:v>
      </x:c>
      <x:c r="G4" s="10" t="str">
        <x:v>Eje</x:v>
      </x:c>
      <x:c r="H4" s="10" t="str">
        <x:v>Operación primaria</x:v>
      </x:c>
      <x:c r="I4" s="10" t="str">
        <x:v>Fuente</x:v>
      </x:c>
      <x:c r="J4" s="10" t="str">
        <x:v>Edición</x:v>
      </x:c>
      <x:c r="K4" s="10" t="str">
        <x:v>Estado externo</x:v>
      </x:c>
      <x:c r="L4" s="10" t="str">
        <x:v>Adopción de afirmación</x:v>
      </x:c>
      <x:c r="M4" s="10" t="str">
        <x:v>Duplicado</x:v>
      </x:c>
      <x:c r="N4" s="10" t="str">
        <x:v>Referencia ausente</x:v>
      </x:c>
      <x:c r="O4" s="10" t="str">
        <x:v>Campo ausente</x:v>
      </x:c>
    </x:row>
    <x:row r="5" ht="92" customHeight="1">
      <x:c r="A5" s="4" t="str">
        <x:v>DD-WRL-001</x:v>
      </x:c>
      <x:c r="B5" s="4" t="str">
        <x:v>work_role</x:v>
      </x:c>
      <x:c r="C5" s="4" t="str">
        <x:v>Cybersecurity Architecture</x:v>
      </x:c>
      <x:c r="D5" s="4" t="str">
        <x:v>Responsible for ensuring that security requirements are adequately addressed in all aspects of enterprise architecture, including reference models, segment and solution architectures, and the resulting systems that protect and support organizational mission and business processes.</x:v>
      </x:c>
      <x:c r="E5" s="4" t="str">
        <x:v>Arquitectura de ciberseguridad</x:v>
      </x:c>
      <x:c r="F5" s="4" t="str">
        <x:v>Integrar requisitos de seguridad en arquitecturas de empresa, soluciones y sistemas.</x:v>
      </x:c>
      <x:c r="G5" s="4" t="str">
        <x:v>E02</x:v>
      </x:c>
      <x:c r="H5" s="4" t="str">
        <x:v>OPC-02</x:v>
      </x:c>
      <x:c r="I5" s="4" t="str">
        <x:v>F001</x:v>
      </x:c>
      <x:c r="J5" s="4" t="str">
        <x:v>2.2.0</x:v>
      </x:c>
      <x:c r="K5" s="4" t="str">
        <x:v>PRESENTE_EN_CORTE; sin revisión individual declarada</x:v>
      </x:c>
      <x:c r="L5" s="4" t="str">
        <x:v>CANDIDATA_NO_ADOPTADA</x:v>
      </x:c>
      <x:c r="M5" s="12" t="n">
        <x:f>COUNTIF('03_NICE'!$A$5:$A$57,A5)+COUNTIF('04_TKS'!$A$5:$A$72,A5)-1</x:f>
        <x:v>0</x:v>
      </x:c>
      <x:c r="N5" s="12" t="n">
        <x:f>IF(AND(COUNTIF('01_Fuentes'!$A$5:$A$40,I5)=1,COUNTIF('07_Operaciones'!$A$5:$A$26,H5)=1,COUNTIF('06_Cobertura'!$A$5:$A$25,G5)=1),0,1)</x:f>
        <x:v>0</x:v>
      </x:c>
      <x:c r="O5" s="12" t="n">
        <x:f>IF(OR(A5="",D5="",F5=""),1,0)</x:f>
        <x:v>0</x:v>
      </x:c>
    </x:row>
    <x:row r="6" ht="76" customHeight="1">
      <x:c r="A6" s="4" t="str">
        <x:v>DD-WRL-002</x:v>
      </x:c>
      <x:c r="B6" s="4" t="str">
        <x:v>work_role</x:v>
      </x:c>
      <x:c r="C6" s="4" t="str">
        <x:v>Enterprise Architecture</x:v>
      </x:c>
      <x:c r="D6" s="4" t="str">
        <x:v>Responsible for developing and maintaining business, systems, and information processes to support enterprise mission needs. Develops technology rules and requirements that describe baseline and target architectures.</x:v>
      </x:c>
      <x:c r="E6" s="4" t="str">
        <x:v>Arquitectura empresarial</x:v>
      </x:c>
      <x:c r="F6" s="4" t="str">
        <x:v>Definir procesos y arquitecturas objetivo que soporten la misión, acotando aquí sus dependencias de seguridad.</x:v>
      </x:c>
      <x:c r="G6" s="4" t="str">
        <x:v>E02</x:v>
      </x:c>
      <x:c r="H6" s="4" t="str">
        <x:v>OPC-02</x:v>
      </x:c>
      <x:c r="I6" s="4" t="str">
        <x:v>F001</x:v>
      </x:c>
      <x:c r="J6" s="4" t="str">
        <x:v>2.2.0</x:v>
      </x:c>
      <x:c r="K6" s="4" t="str">
        <x:v>PRESENTE_EN_CORTE; sin revisión individual declarada</x:v>
      </x:c>
      <x:c r="L6" s="4" t="str">
        <x:v>CANDIDATA_NO_ADOPTADA</x:v>
      </x:c>
      <x:c r="M6" s="12" t="n">
        <x:f>COUNTIF('03_NICE'!$A$5:$A$57,A6)+COUNTIF('04_TKS'!$A$5:$A$72,A6)-1</x:f>
        <x:v>0</x:v>
      </x:c>
      <x:c r="N6" s="12" t="n">
        <x:f>IF(AND(COUNTIF('01_Fuentes'!$A$5:$A$40,I6)=1,COUNTIF('07_Operaciones'!$A$5:$A$26,H6)=1,COUNTIF('06_Cobertura'!$A$5:$A$25,G6)=1),0,1)</x:f>
        <x:v>0</x:v>
      </x:c>
      <x:c r="O6" s="12" t="n">
        <x:f>IF(OR(A6="",D6="",F6=""),1,0)</x:f>
        <x:v>0</x:v>
      </x:c>
    </x:row>
    <x:row r="7" ht="60" customHeight="1">
      <x:c r="A7" s="4" t="str">
        <x:v>DD-WRL-003</x:v>
      </x:c>
      <x:c r="B7" s="4" t="str">
        <x:v>work_role</x:v>
      </x:c>
      <x:c r="C7" s="4" t="str">
        <x:v>Secure Software Development</x:v>
      </x:c>
      <x:c r="D7" s="4" t="str">
        <x:v>Responsible for developing, creating, modifying, and maintaining computer applications, software, or specialized utility programs.</x:v>
      </x:c>
      <x:c r="E7" s="4" t="str">
        <x:v>Desarrollo seguro de software</x:v>
      </x:c>
      <x:c r="F7" s="4" t="str">
        <x:v>Crear y mantener aplicaciones y utilidades con responsabilidades de desarrollo seguro.</x:v>
      </x:c>
      <x:c r="G7" s="4" t="str">
        <x:v>E06</x:v>
      </x:c>
      <x:c r="H7" s="4" t="str">
        <x:v>OPC-05</x:v>
      </x:c>
      <x:c r="I7" s="4" t="str">
        <x:v>F001</x:v>
      </x:c>
      <x:c r="J7" s="4" t="str">
        <x:v>2.2.0</x:v>
      </x:c>
      <x:c r="K7" s="4" t="str">
        <x:v>PRESENTE_EN_CORTE; sin revisión individual declarada</x:v>
      </x:c>
      <x:c r="L7" s="4" t="str">
        <x:v>CANDIDATA_NO_ADOPTADA</x:v>
      </x:c>
      <x:c r="M7" s="12" t="n">
        <x:f>COUNTIF('03_NICE'!$A$5:$A$57,A7)+COUNTIF('04_TKS'!$A$5:$A$72,A7)-1</x:f>
        <x:v>0</x:v>
      </x:c>
      <x:c r="N7" s="12" t="n">
        <x:f>IF(AND(COUNTIF('01_Fuentes'!$A$5:$A$40,I7)=1,COUNTIF('07_Operaciones'!$A$5:$A$26,H7)=1,COUNTIF('06_Cobertura'!$A$5:$A$25,G7)=1),0,1)</x:f>
        <x:v>0</x:v>
      </x:c>
      <x:c r="O7" s="12" t="n">
        <x:f>IF(OR(A7="",D7="",F7=""),1,0)</x:f>
        <x:v>0</x:v>
      </x:c>
    </x:row>
    <x:row r="8" ht="60" customHeight="1">
      <x:c r="A8" s="4" t="str">
        <x:v>DD-WRL-004</x:v>
      </x:c>
      <x:c r="B8" s="4" t="str">
        <x:v>work_role</x:v>
      </x:c>
      <x:c r="C8" s="4" t="str">
        <x:v>Secure Systems Development</x:v>
      </x:c>
      <x:c r="D8" s="4" t="str">
        <x:v>Responsible for the secure design, development, and testing of systems and the evaluation of system security throughout the systems development life cycle.</x:v>
      </x:c>
      <x:c r="E8" s="4" t="str">
        <x:v>Desarrollo de sistemas seguros</x:v>
      </x:c>
      <x:c r="F8" s="4" t="str">
        <x:v>Diseñar, desarrollar y probar sistemas y evaluar su seguridad durante el ciclo de vida.</x:v>
      </x:c>
      <x:c r="G8" s="4" t="str">
        <x:v>E02</x:v>
      </x:c>
      <x:c r="H8" s="4" t="str">
        <x:v>OPC-02</x:v>
      </x:c>
      <x:c r="I8" s="4" t="str">
        <x:v>F001</x:v>
      </x:c>
      <x:c r="J8" s="4" t="str">
        <x:v>2.2.0</x:v>
      </x:c>
      <x:c r="K8" s="4" t="str">
        <x:v>PRESENTE_EN_CORTE; sin revisión individual declarada</x:v>
      </x:c>
      <x:c r="L8" s="4" t="str">
        <x:v>CANDIDATA_NO_ADOPTADA</x:v>
      </x:c>
      <x:c r="M8" s="12" t="n">
        <x:f>COUNTIF('03_NICE'!$A$5:$A$57,A8)+COUNTIF('04_TKS'!$A$5:$A$72,A8)-1</x:f>
        <x:v>0</x:v>
      </x:c>
      <x:c r="N8" s="12" t="n">
        <x:f>IF(AND(COUNTIF('01_Fuentes'!$A$5:$A$40,I8)=1,COUNTIF('07_Operaciones'!$A$5:$A$26,H8)=1,COUNTIF('06_Cobertura'!$A$5:$A$25,G8)=1),0,1)</x:f>
        <x:v>0</x:v>
      </x:c>
      <x:c r="O8" s="12" t="n">
        <x:f>IF(OR(A8="",D8="",F8=""),1,0)</x:f>
        <x:v>0</x:v>
      </x:c>
    </x:row>
    <x:row r="9" ht="60" customHeight="1">
      <x:c r="A9" s="4" t="str">
        <x:v>DD-WRL-005</x:v>
      </x:c>
      <x:c r="B9" s="4" t="str">
        <x:v>work_role</x:v>
      </x:c>
      <x:c r="C9" s="4" t="str">
        <x:v>Software Security Assessment</x:v>
      </x:c>
      <x:c r="D9" s="4" t="str">
        <x:v>Responsible for analyzing the security of new or existing computer applications, software, or specialized utility programs and delivering actionable results.</x:v>
      </x:c>
      <x:c r="E9" s="4" t="str">
        <x:v>Evaluación de seguridad del software</x:v>
      </x:c>
      <x:c r="F9" s="4" t="str">
        <x:v>Analizar seguridad de aplicaciones existentes o nuevas y comunicar resultados utilizables.</x:v>
      </x:c>
      <x:c r="G9" s="4" t="str">
        <x:v>E06</x:v>
      </x:c>
      <x:c r="H9" s="4" t="str">
        <x:v>OPC-05</x:v>
      </x:c>
      <x:c r="I9" s="4" t="str">
        <x:v>F001</x:v>
      </x:c>
      <x:c r="J9" s="4" t="str">
        <x:v>2.2.0</x:v>
      </x:c>
      <x:c r="K9" s="4" t="str">
        <x:v>PRESENTE_EN_CORTE; sin revisión individual declarada</x:v>
      </x:c>
      <x:c r="L9" s="4" t="str">
        <x:v>CANDIDATA_NO_ADOPTADA</x:v>
      </x:c>
      <x:c r="M9" s="12" t="n">
        <x:f>COUNTIF('03_NICE'!$A$5:$A$57,A9)+COUNTIF('04_TKS'!$A$5:$A$72,A9)-1</x:f>
        <x:v>0</x:v>
      </x:c>
      <x:c r="N9" s="12" t="n">
        <x:f>IF(AND(COUNTIF('01_Fuentes'!$A$5:$A$40,I9)=1,COUNTIF('07_Operaciones'!$A$5:$A$26,H9)=1,COUNTIF('06_Cobertura'!$A$5:$A$25,G9)=1),0,1)</x:f>
        <x:v>0</x:v>
      </x:c>
      <x:c r="O9" s="12" t="n">
        <x:f>IF(OR(A9="",D9="",F9=""),1,0)</x:f>
        <x:v>0</x:v>
      </x:c>
    </x:row>
    <x:row r="10" ht="76" customHeight="1">
      <x:c r="A10" s="4" t="str">
        <x:v>DD-WRL-006</x:v>
      </x:c>
      <x:c r="B10" s="4" t="str">
        <x:v>work_role</x:v>
      </x:c>
      <x:c r="C10" s="4" t="str">
        <x:v>Systems Requirements Planning</x:v>
      </x:c>
      <x:c r="D10" s="4" t="str">
        <x:v>Responsible for consulting with internal and external customers to evaluate and translate functional requirements and integrating security policies into technical solutions.</x:v>
      </x:c>
      <x:c r="E10" s="4" t="str">
        <x:v>Planificación de requisitos</x:v>
      </x:c>
      <x:c r="F10" s="4" t="str">
        <x:v>Traducir necesidades funcionales e integrar políticas de seguridad en soluciones técnicas.</x:v>
      </x:c>
      <x:c r="G10" s="4" t="str">
        <x:v>E02</x:v>
      </x:c>
      <x:c r="H10" s="4" t="str">
        <x:v>OPC-02</x:v>
      </x:c>
      <x:c r="I10" s="4" t="str">
        <x:v>F001</x:v>
      </x:c>
      <x:c r="J10" s="4" t="str">
        <x:v>2.2.0</x:v>
      </x:c>
      <x:c r="K10" s="4" t="str">
        <x:v>PRESENTE_EN_CORTE; sin revisión individual declarada</x:v>
      </x:c>
      <x:c r="L10" s="4" t="str">
        <x:v>CANDIDATA_NO_ADOPTADA</x:v>
      </x:c>
      <x:c r="M10" s="12" t="n">
        <x:f>COUNTIF('03_NICE'!$A$5:$A$57,A10)+COUNTIF('04_TKS'!$A$5:$A$72,A10)-1</x:f>
        <x:v>0</x:v>
      </x:c>
      <x:c r="N10" s="12" t="n">
        <x:f>IF(AND(COUNTIF('01_Fuentes'!$A$5:$A$40,I10)=1,COUNTIF('07_Operaciones'!$A$5:$A$26,H10)=1,COUNTIF('06_Cobertura'!$A$5:$A$25,G10)=1),0,1)</x:f>
        <x:v>0</x:v>
      </x:c>
      <x:c r="O10" s="12" t="n">
        <x:f>IF(OR(A10="",D10="",F10=""),1,0)</x:f>
        <x:v>0</x:v>
      </x:c>
    </x:row>
    <x:row r="11" ht="60" customHeight="1">
      <x:c r="A11" s="4" t="str">
        <x:v>DD-WRL-007</x:v>
      </x:c>
      <x:c r="B11" s="4" t="str">
        <x:v>work_role</x:v>
      </x:c>
      <x:c r="C11" s="4" t="str">
        <x:v>Systems Testing and Evaluation</x:v>
      </x:c>
      <x:c r="D11" s="4" t="str">
        <x:v>Responsible for planning, preparing, and executing system tests; evaluating test results against specifications and requirements; and reporting test results and findings.</x:v>
      </x:c>
      <x:c r="E11" s="4" t="str">
        <x:v>Prueba y evaluación de sistemas</x:v>
      </x:c>
      <x:c r="F11" s="4" t="str">
        <x:v>Preparar y ejecutar pruebas, contrastar requisitos y documentar hallazgos.</x:v>
      </x:c>
      <x:c r="G11" s="4" t="str">
        <x:v>E08</x:v>
      </x:c>
      <x:c r="H11" s="4" t="str">
        <x:v>OPC-04</x:v>
      </x:c>
      <x:c r="I11" s="4" t="str">
        <x:v>F001</x:v>
      </x:c>
      <x:c r="J11" s="4" t="str">
        <x:v>2.2.0</x:v>
      </x:c>
      <x:c r="K11" s="4" t="str">
        <x:v>PRESENTE_EN_CORTE; sin revisión individual declarada</x:v>
      </x:c>
      <x:c r="L11" s="4" t="str">
        <x:v>CANDIDATA_NO_ADOPTADA</x:v>
      </x:c>
      <x:c r="M11" s="12" t="n">
        <x:f>COUNTIF('03_NICE'!$A$5:$A$57,A11)+COUNTIF('04_TKS'!$A$5:$A$72,A11)-1</x:f>
        <x:v>0</x:v>
      </x:c>
      <x:c r="N11" s="12" t="n">
        <x:f>IF(AND(COUNTIF('01_Fuentes'!$A$5:$A$40,I11)=1,COUNTIF('07_Operaciones'!$A$5:$A$26,H11)=1,COUNTIF('06_Cobertura'!$A$5:$A$25,G11)=1),0,1)</x:f>
        <x:v>0</x:v>
      </x:c>
      <x:c r="O11" s="12" t="n">
        <x:f>IF(OR(A11="",D11="",F11=""),1,0)</x:f>
        <x:v>0</x:v>
      </x:c>
    </x:row>
    <x:row r="12" ht="92" customHeight="1">
      <x:c r="A12" s="4" t="str">
        <x:v>DD-WRL-008</x:v>
      </x:c>
      <x:c r="B12" s="4" t="str">
        <x:v>work_role</x:v>
      </x:c>
      <x:c r="C12" s="4" t="str">
        <x:v>Technology Research and Development</x:v>
      </x:c>
      <x:c r="D12" s="4" t="str">
        <x:v>Responsible for conducting software and systems engineering and software systems research to develop new capabilities with fully integrated cybersecurity. Conducts comprehensive technology research to evaluate potential vulnerabilities in cyberspace systems.</x:v>
      </x:c>
      <x:c r="E12" s="4" t="str">
        <x:v>Investigación y desarrollo tecnológico</x:v>
      </x:c>
      <x:c r="F12" s="4" t="str">
        <x:v>Investigar capacidades y vulnerabilidades integrando ciberseguridad en la ingeniería.</x:v>
      </x:c>
      <x:c r="G12" s="4" t="str">
        <x:v>E17</x:v>
      </x:c>
      <x:c r="H12" s="4" t="str">
        <x:v>OPC-19</x:v>
      </x:c>
      <x:c r="I12" s="4" t="str">
        <x:v>F001</x:v>
      </x:c>
      <x:c r="J12" s="4" t="str">
        <x:v>2.2.0</x:v>
      </x:c>
      <x:c r="K12" s="4" t="str">
        <x:v>PRESENTE_EN_CORTE; sin revisión individual declarada</x:v>
      </x:c>
      <x:c r="L12" s="4" t="str">
        <x:v>CANDIDATA_NO_ADOPTADA</x:v>
      </x:c>
      <x:c r="M12" s="12" t="n">
        <x:f>COUNTIF('03_NICE'!$A$5:$A$57,A12)+COUNTIF('04_TKS'!$A$5:$A$72,A12)-1</x:f>
        <x:v>0</x:v>
      </x:c>
      <x:c r="N12" s="12" t="n">
        <x:f>IF(AND(COUNTIF('01_Fuentes'!$A$5:$A$40,I12)=1,COUNTIF('07_Operaciones'!$A$5:$A$26,H12)=1,COUNTIF('06_Cobertura'!$A$5:$A$25,G12)=1),0,1)</x:f>
        <x:v>0</x:v>
      </x:c>
      <x:c r="O12" s="12" t="n">
        <x:f>IF(OR(A12="",D12="",F12=""),1,0)</x:f>
        <x:v>0</x:v>
      </x:c>
    </x:row>
    <x:row r="13" ht="124" customHeight="1">
      <x:c r="A13" s="4" t="str">
        <x:v>DD-WRL-009</x:v>
      </x:c>
      <x:c r="B13" s="4" t="str">
        <x:v>work_role</x:v>
      </x:c>
      <x:c r="C13" s="4" t="str">
        <x:v>Operational Technology (OT) Cybersecurity Engineering</x:v>
      </x:c>
      <x:c r="D13" s="4" t="str">
        <x:v>Responsible for working within the engineering department to design and create systems, processes, and procedures that maintain the safety, reliability, controllability and security of industrial systems in the face of intentional and incidental cyber events. Interfaces with Chief Information Security Officer, plant managers and industrial cybersecurity technicians.</x:v>
      </x:c>
      <x:c r="E13" s="4" t="str">
        <x:v>Ingeniería de ciberseguridad OT</x:v>
      </x:c>
      <x:c r="F13" s="4" t="str">
        <x:v>Diseñar sistemas y procedimientos industriales que preserven seguridad, fiabilidad y control ante sucesos cibernéticos.</x:v>
      </x:c>
      <x:c r="G13" s="4" t="str">
        <x:v>E13</x:v>
      </x:c>
      <x:c r="H13" s="4" t="str">
        <x:v>OPC-14</x:v>
      </x:c>
      <x:c r="I13" s="4" t="str">
        <x:v>F001</x:v>
      </x:c>
      <x:c r="J13" s="4" t="str">
        <x:v>2.2.0</x:v>
      </x:c>
      <x:c r="K13" s="4" t="str">
        <x:v>PRESENTE_EN_CORTE; sin revisión individual declarada</x:v>
      </x:c>
      <x:c r="L13" s="4" t="str">
        <x:v>CANDIDATA_NO_ADOPTADA</x:v>
      </x:c>
      <x:c r="M13" s="12" t="n">
        <x:f>COUNTIF('03_NICE'!$A$5:$A$57,A13)+COUNTIF('04_TKS'!$A$5:$A$72,A13)-1</x:f>
        <x:v>0</x:v>
      </x:c>
      <x:c r="N13" s="12" t="n">
        <x:f>IF(AND(COUNTIF('01_Fuentes'!$A$5:$A$40,I13)=1,COUNTIF('07_Operaciones'!$A$5:$A$26,H13)=1,COUNTIF('06_Cobertura'!$A$5:$A$25,G13)=1),0,1)</x:f>
        <x:v>0</x:v>
      </x:c>
      <x:c r="O13" s="12" t="n">
        <x:f>IF(OR(A13="",D13="",F13=""),1,0)</x:f>
        <x:v>0</x:v>
      </x:c>
    </x:row>
    <x:row r="14" ht="92" customHeight="1">
      <x:c r="A14" s="4" t="str">
        <x:v>IN-WRL-001</x:v>
      </x:c>
      <x:c r="B14" s="4" t="str">
        <x:v>work_role</x:v>
      </x:c>
      <x:c r="C14" s="4" t="str">
        <x:v>Cybercrime Investigation</x:v>
      </x:c>
      <x:c r="D14" s="4" t="str">
        <x:v>Responsible for investigating cyberspace intrusion incidents and crimes. Applies tactics, techniques, and procedures for a full range of investigative tools and processes and appropriately balances the benefits of prosecution versus intelligence gathering.</x:v>
      </x:c>
      <x:c r="E14" s="4" t="str">
        <x:v>Investigación de ciberdelitos</x:v>
      </x:c>
      <x:c r="F14" s="4" t="str">
        <x:v>Investigar incidentes e infracciones con herramientas y procedimientos adecuados al mandato investigador.</x:v>
      </x:c>
      <x:c r="G14" s="4" t="str">
        <x:v>E10</x:v>
      </x:c>
      <x:c r="H14" s="4" t="str">
        <x:v>OPC-20</x:v>
      </x:c>
      <x:c r="I14" s="4" t="str">
        <x:v>F001</x:v>
      </x:c>
      <x:c r="J14" s="4" t="str">
        <x:v>2.2.0</x:v>
      </x:c>
      <x:c r="K14" s="4" t="str">
        <x:v>PRESENTE_EN_CORTE; sin revisión individual declarada</x:v>
      </x:c>
      <x:c r="L14" s="4" t="str">
        <x:v>CANDIDATA_NO_ADOPTADA</x:v>
      </x:c>
      <x:c r="M14" s="12" t="n">
        <x:f>COUNTIF('03_NICE'!$A$5:$A$57,A14)+COUNTIF('04_TKS'!$A$5:$A$72,A14)-1</x:f>
        <x:v>0</x:v>
      </x:c>
      <x:c r="N14" s="12" t="n">
        <x:f>IF(AND(COUNTIF('01_Fuentes'!$A$5:$A$40,I14)=1,COUNTIF('07_Operaciones'!$A$5:$A$26,H14)=1,COUNTIF('06_Cobertura'!$A$5:$A$25,G14)=1),0,1)</x:f>
        <x:v>0</x:v>
      </x:c>
      <x:c r="O14" s="12" t="n">
        <x:f>IF(OR(A14="",D14="",F14=""),1,0)</x:f>
        <x:v>0</x:v>
      </x:c>
    </x:row>
    <x:row r="15" ht="60" customHeight="1">
      <x:c r="A15" s="4" t="str">
        <x:v>IN-WRL-002</x:v>
      </x:c>
      <x:c r="B15" s="4" t="str">
        <x:v>work_role</x:v>
      </x:c>
      <x:c r="C15" s="4" t="str">
        <x:v>Digital Evidence Analysis</x:v>
      </x:c>
      <x:c r="D15" s="4" t="str">
        <x:v>Responsible for identifying, collecting, examining, and preserving digital evidence using controlled and documented analytical and investigative techniques.</x:v>
      </x:c>
      <x:c r="E15" s="4" t="str">
        <x:v>Análisis de evidencia digital</x:v>
      </x:c>
      <x:c r="F15" s="4" t="str">
        <x:v>Identificar, obtener, examinar y preservar evidencia mediante técnicas controladas y documentadas.</x:v>
      </x:c>
      <x:c r="G15" s="4" t="str">
        <x:v>E10</x:v>
      </x:c>
      <x:c r="H15" s="4" t="str">
        <x:v>OPC-10</x:v>
      </x:c>
      <x:c r="I15" s="4" t="str">
        <x:v>F001</x:v>
      </x:c>
      <x:c r="J15" s="4" t="str">
        <x:v>2.2.0</x:v>
      </x:c>
      <x:c r="K15" s="4" t="str">
        <x:v>PRESENTE_EN_CORTE; sin revisión individual declarada</x:v>
      </x:c>
      <x:c r="L15" s="4" t="str">
        <x:v>CANDIDATA_NO_ADOPTADA</x:v>
      </x:c>
      <x:c r="M15" s="12" t="n">
        <x:f>COUNTIF('03_NICE'!$A$5:$A$57,A15)+COUNTIF('04_TKS'!$A$5:$A$72,A15)-1</x:f>
        <x:v>0</x:v>
      </x:c>
      <x:c r="N15" s="12" t="n">
        <x:f>IF(AND(COUNTIF('01_Fuentes'!$A$5:$A$40,I15)=1,COUNTIF('07_Operaciones'!$A$5:$A$26,H15)=1,COUNTIF('06_Cobertura'!$A$5:$A$25,G15)=1),0,1)</x:f>
        <x:v>0</x:v>
      </x:c>
      <x:c r="O15" s="12" t="n">
        <x:f>IF(OR(A15="",D15="",F15=""),1,0)</x:f>
        <x:v>0</x:v>
      </x:c>
    </x:row>
    <x:row r="16" ht="92" customHeight="1">
      <x:c r="A16" s="4" t="str">
        <x:v>IO-WRL-001</x:v>
      </x:c>
      <x:c r="B16" s="4" t="str">
        <x:v>work_role</x:v>
      </x:c>
      <x:c r="C16" s="4" t="str">
        <x:v>Data Analysis</x:v>
      </x:c>
      <x:c r="D16" s="4" t="str">
        <x:v>Responsible for analyzing data from multiple disparate sources to provide cybersecurity and privacy insight. Designs and implements custom algorithms, workflow processes, and layouts for complex, enterprise-scale data sets used for modeling, data mining, and research purposes.</x:v>
      </x:c>
      <x:c r="E16" s="4" t="str">
        <x:v>Análisis de datos</x:v>
      </x:c>
      <x:c r="F16" s="4" t="str">
        <x:v>Analizar datos de diversas fuentes para producir conocimiento pertinente de ciberseguridad y privacidad.</x:v>
      </x:c>
      <x:c r="G16" s="4" t="str">
        <x:v>E09</x:v>
      </x:c>
      <x:c r="H16" s="4" t="str">
        <x:v>OPC-07</x:v>
      </x:c>
      <x:c r="I16" s="4" t="str">
        <x:v>F001</x:v>
      </x:c>
      <x:c r="J16" s="4" t="str">
        <x:v>2.2.0</x:v>
      </x:c>
      <x:c r="K16" s="4" t="str">
        <x:v>PRESENTE_EN_CORTE; sin revisión individual declarada</x:v>
      </x:c>
      <x:c r="L16" s="4" t="str">
        <x:v>CANDIDATA_NO_ADOPTADA</x:v>
      </x:c>
      <x:c r="M16" s="12" t="n">
        <x:f>COUNTIF('03_NICE'!$A$5:$A$57,A16)+COUNTIF('04_TKS'!$A$5:$A$72,A16)-1</x:f>
        <x:v>0</x:v>
      </x:c>
      <x:c r="N16" s="12" t="n">
        <x:f>IF(AND(COUNTIF('01_Fuentes'!$A$5:$A$40,I16)=1,COUNTIF('07_Operaciones'!$A$5:$A$26,H16)=1,COUNTIF('06_Cobertura'!$A$5:$A$25,G16)=1),0,1)</x:f>
        <x:v>0</x:v>
      </x:c>
      <x:c r="O16" s="12" t="n">
        <x:f>IF(OR(A16="",D16="",F16=""),1,0)</x:f>
        <x:v>0</x:v>
      </x:c>
    </x:row>
    <x:row r="17" ht="60" customHeight="1">
      <x:c r="A17" s="4" t="str">
        <x:v>IO-WRL-002</x:v>
      </x:c>
      <x:c r="B17" s="4" t="str">
        <x:v>work_role</x:v>
      </x:c>
      <x:c r="C17" s="4" t="str">
        <x:v>Database Administration</x:v>
      </x:c>
      <x:c r="D17" s="4" t="str">
        <x:v>Responsible for administering databases and data management systems that allow for the secure storage, query, protection, and utilization of data.</x:v>
      </x:c>
      <x:c r="E17" s="4" t="str">
        <x:v>Administración de bases de datos</x:v>
      </x:c>
      <x:c r="F17" s="4" t="str">
        <x:v>Administrar almacenamiento, consulta, protección y uso seguro de datos.</x:v>
      </x:c>
      <x:c r="G17" s="4" t="str">
        <x:v>E05</x:v>
      </x:c>
      <x:c r="H17" s="4" t="str">
        <x:v>OPC-12</x:v>
      </x:c>
      <x:c r="I17" s="4" t="str">
        <x:v>F001</x:v>
      </x:c>
      <x:c r="J17" s="4" t="str">
        <x:v>2.2.0</x:v>
      </x:c>
      <x:c r="K17" s="4" t="str">
        <x:v>PRESENTE_EN_CORTE; sin revisión individual declarada</x:v>
      </x:c>
      <x:c r="L17" s="4" t="str">
        <x:v>CANDIDATA_NO_ADOPTADA</x:v>
      </x:c>
      <x:c r="M17" s="12" t="n">
        <x:f>COUNTIF('03_NICE'!$A$5:$A$57,A17)+COUNTIF('04_TKS'!$A$5:$A$72,A17)-1</x:f>
        <x:v>0</x:v>
      </x:c>
      <x:c r="N17" s="12" t="n">
        <x:f>IF(AND(COUNTIF('01_Fuentes'!$A$5:$A$40,I17)=1,COUNTIF('07_Operaciones'!$A$5:$A$26,H17)=1,COUNTIF('06_Cobertura'!$A$5:$A$25,G17)=1),0,1)</x:f>
        <x:v>0</x:v>
      </x:c>
      <x:c r="O17" s="12" t="n">
        <x:f>IF(OR(A17="",D17="",F17=""),1,0)</x:f>
        <x:v>0</x:v>
      </x:c>
    </x:row>
    <x:row r="18" ht="60" customHeight="1">
      <x:c r="A18" s="4" t="str">
        <x:v>IO-WRL-003</x:v>
      </x:c>
      <x:c r="B18" s="4" t="str">
        <x:v>work_role</x:v>
      </x:c>
      <x:c r="C18" s="4" t="str">
        <x:v>Knowledge Management</x:v>
      </x:c>
      <x:c r="D18" s="4" t="str">
        <x:v>Responsible for managing and administering processes and tools to identify, document, and access an organization’s intellectual capital.</x:v>
      </x:c>
      <x:c r="E18" s="4" t="str">
        <x:v>Gestión del conocimiento</x:v>
      </x:c>
      <x:c r="F18" s="4" t="str">
        <x:v>Organizar procesos y herramientas que permitan documentar y recuperar conocimiento de seguridad.</x:v>
      </x:c>
      <x:c r="G18" s="4" t="str">
        <x:v>E17</x:v>
      </x:c>
      <x:c r="H18" s="4" t="str">
        <x:v>OPC-19</x:v>
      </x:c>
      <x:c r="I18" s="4" t="str">
        <x:v>F001</x:v>
      </x:c>
      <x:c r="J18" s="4" t="str">
        <x:v>2.2.0</x:v>
      </x:c>
      <x:c r="K18" s="4" t="str">
        <x:v>PRESENTE_EN_CORTE; sin revisión individual declarada</x:v>
      </x:c>
      <x:c r="L18" s="4" t="str">
        <x:v>CANDIDATA_NO_ADOPTADA</x:v>
      </x:c>
      <x:c r="M18" s="12" t="n">
        <x:f>COUNTIF('03_NICE'!$A$5:$A$57,A18)+COUNTIF('04_TKS'!$A$5:$A$72,A18)-1</x:f>
        <x:v>0</x:v>
      </x:c>
      <x:c r="N18" s="12" t="n">
        <x:f>IF(AND(COUNTIF('01_Fuentes'!$A$5:$A$40,I18)=1,COUNTIF('07_Operaciones'!$A$5:$A$26,H18)=1,COUNTIF('06_Cobertura'!$A$5:$A$25,G18)=1),0,1)</x:f>
        <x:v>0</x:v>
      </x:c>
      <x:c r="O18" s="12" t="n">
        <x:f>IF(OR(A18="",D18="",F18=""),1,0)</x:f>
        <x:v>0</x:v>
      </x:c>
    </x:row>
    <x:row r="19" ht="60" customHeight="1">
      <x:c r="A19" s="4" t="str">
        <x:v>IO-WRL-004</x:v>
      </x:c>
      <x:c r="B19" s="4" t="str">
        <x:v>work_role</x:v>
      </x:c>
      <x:c r="C19" s="4" t="str">
        <x:v>Network Operations</x:v>
      </x:c>
      <x:c r="D19" s="4" t="str">
        <x:v>Responsible for planning, implementing, and operating network services and systems, including hardware and virtual environments.</x:v>
      </x:c>
      <x:c r="E19" s="4" t="str">
        <x:v>Operación de redes</x:v>
      </x:c>
      <x:c r="F19" s="4" t="str">
        <x:v>Planificar, implantar y operar servicios y sistemas de red, incluidos entornos virtuales.</x:v>
      </x:c>
      <x:c r="G19" s="4" t="str">
        <x:v>E05</x:v>
      </x:c>
      <x:c r="H19" s="4" t="str">
        <x:v>OPC-12</x:v>
      </x:c>
      <x:c r="I19" s="4" t="str">
        <x:v>F001</x:v>
      </x:c>
      <x:c r="J19" s="4" t="str">
        <x:v>2.2.0</x:v>
      </x:c>
      <x:c r="K19" s="4" t="str">
        <x:v>PRESENTE_EN_CORTE; sin revisión individual declarada</x:v>
      </x:c>
      <x:c r="L19" s="4" t="str">
        <x:v>CANDIDATA_NO_ADOPTADA</x:v>
      </x:c>
      <x:c r="M19" s="12" t="n">
        <x:f>COUNTIF('03_NICE'!$A$5:$A$57,A19)+COUNTIF('04_TKS'!$A$5:$A$72,A19)-1</x:f>
        <x:v>0</x:v>
      </x:c>
      <x:c r="N19" s="12" t="n">
        <x:f>IF(AND(COUNTIF('01_Fuentes'!$A$5:$A$40,I19)=1,COUNTIF('07_Operaciones'!$A$5:$A$26,H19)=1,COUNTIF('06_Cobertura'!$A$5:$A$25,G19)=1),0,1)</x:f>
        <x:v>0</x:v>
      </x:c>
      <x:c r="O19" s="12" t="n">
        <x:f>IF(OR(A19="",D19="",F19=""),1,0)</x:f>
        <x:v>0</x:v>
      </x:c>
    </x:row>
    <x:row r="20" ht="108" customHeight="1">
      <x:c r="A20" s="4" t="str">
        <x:v>IO-WRL-005</x:v>
      </x:c>
      <x:c r="B20" s="4" t="str">
        <x:v>work_role</x:v>
      </x:c>
      <x:c r="C20" s="4" t="str">
        <x:v>Systems Administration</x:v>
      </x:c>
      <x:c r="D20" s="4" t="str">
        <x:v>Responsible for setting up and maintaining a system or specific components of a system in adherence with organizational security policies and procedures. Includes hardware and software installation, configuration, and updates; user account management; backup and recovery management; and security control implementation.</x:v>
      </x:c>
      <x:c r="E20" s="4" t="str">
        <x:v>Administración de sistemas</x:v>
      </x:c>
      <x:c r="F20" s="4" t="str">
        <x:v>Configurar y mantener sistemas, cuentas, copias y controles conforme a políticas autorizadas.</x:v>
      </x:c>
      <x:c r="G20" s="4" t="str">
        <x:v>E05</x:v>
      </x:c>
      <x:c r="H20" s="4" t="str">
        <x:v>OPC-12</x:v>
      </x:c>
      <x:c r="I20" s="4" t="str">
        <x:v>F001</x:v>
      </x:c>
      <x:c r="J20" s="4" t="str">
        <x:v>2.2.0</x:v>
      </x:c>
      <x:c r="K20" s="4" t="str">
        <x:v>PRESENTE_EN_CORTE; sin revisión individual declarada</x:v>
      </x:c>
      <x:c r="L20" s="4" t="str">
        <x:v>CANDIDATA_NO_ADOPTADA</x:v>
      </x:c>
      <x:c r="M20" s="12" t="n">
        <x:f>COUNTIF('03_NICE'!$A$5:$A$57,A20)+COUNTIF('04_TKS'!$A$5:$A$72,A20)-1</x:f>
        <x:v>0</x:v>
      </x:c>
      <x:c r="N20" s="12" t="n">
        <x:f>IF(AND(COUNTIF('01_Fuentes'!$A$5:$A$40,I20)=1,COUNTIF('07_Operaciones'!$A$5:$A$26,H20)=1,COUNTIF('06_Cobertura'!$A$5:$A$25,G20)=1),0,1)</x:f>
        <x:v>0</x:v>
      </x:c>
      <x:c r="O20" s="12" t="n">
        <x:f>IF(OR(A20="",D20="",F20=""),1,0)</x:f>
        <x:v>0</x:v>
      </x:c>
    </x:row>
    <x:row r="21" ht="76" customHeight="1">
      <x:c r="A21" s="4" t="str">
        <x:v>IO-WRL-006</x:v>
      </x:c>
      <x:c r="B21" s="4" t="str">
        <x:v>work_role</x:v>
      </x:c>
      <x:c r="C21" s="4" t="str">
        <x:v>Systems Security Analysis</x:v>
      </x:c>
      <x:c r="D21" s="4" t="str">
        <x:v>Responsible for developing and analyzing the integration, testing, operations, and maintenance of systems security. Prepares, performs, and manages the security aspects of implementing and operating a system.</x:v>
      </x:c>
      <x:c r="E21" s="4" t="str">
        <x:v>Análisis de seguridad de sistemas</x:v>
      </x:c>
      <x:c r="F21" s="4" t="str">
        <x:v>Analizar integración, pruebas, operación y mantenimiento de la seguridad del sistema.</x:v>
      </x:c>
      <x:c r="G21" s="4" t="str">
        <x:v>E05</x:v>
      </x:c>
      <x:c r="H21" s="4" t="str">
        <x:v>OPC-12</x:v>
      </x:c>
      <x:c r="I21" s="4" t="str">
        <x:v>F001</x:v>
      </x:c>
      <x:c r="J21" s="4" t="str">
        <x:v>2.2.0</x:v>
      </x:c>
      <x:c r="K21" s="4" t="str">
        <x:v>PRESENTE_EN_CORTE; sin revisión individual declarada</x:v>
      </x:c>
      <x:c r="L21" s="4" t="str">
        <x:v>CANDIDATA_NO_ADOPTADA</x:v>
      </x:c>
      <x:c r="M21" s="12" t="n">
        <x:f>COUNTIF('03_NICE'!$A$5:$A$57,A21)+COUNTIF('04_TKS'!$A$5:$A$72,A21)-1</x:f>
        <x:v>0</x:v>
      </x:c>
      <x:c r="N21" s="12" t="n">
        <x:f>IF(AND(COUNTIF('01_Fuentes'!$A$5:$A$40,I21)=1,COUNTIF('07_Operaciones'!$A$5:$A$26,H21)=1,COUNTIF('06_Cobertura'!$A$5:$A$25,G21)=1),0,1)</x:f>
        <x:v>0</x:v>
      </x:c>
      <x:c r="O21" s="12" t="n">
        <x:f>IF(OR(A21="",D21="",F21=""),1,0)</x:f>
        <x:v>0</x:v>
      </x:c>
    </x:row>
    <x:row r="22" ht="76" customHeight="1">
      <x:c r="A22" s="4" t="str">
        <x:v>IO-WRL-007</x:v>
      </x:c>
      <x:c r="B22" s="4" t="str">
        <x:v>work_role</x:v>
      </x:c>
      <x:c r="C22" s="4" t="str">
        <x:v>Technical Support</x:v>
      </x:c>
      <x:c r="D22" s="4" t="str">
        <x:v>Responsible for providing technical support to customers who need assistance utilizing client-level hardware and software in accordance with established or approved organizational policies and processes.</x:v>
      </x:c>
      <x:c r="E22" s="4" t="str">
        <x:v>Soporte técnico</x:v>
      </x:c>
      <x:c r="F22" s="4" t="str">
        <x:v>Asistir en hardware y software de usuario según procedimientos organizativos, dentro del alcance de seguridad.</x:v>
      </x:c>
      <x:c r="G22" s="4" t="str">
        <x:v>E05</x:v>
      </x:c>
      <x:c r="H22" s="4" t="str">
        <x:v>OPC-12</x:v>
      </x:c>
      <x:c r="I22" s="4" t="str">
        <x:v>F001</x:v>
      </x:c>
      <x:c r="J22" s="4" t="str">
        <x:v>2.2.0</x:v>
      </x:c>
      <x:c r="K22" s="4" t="str">
        <x:v>PRESENTE_EN_CORTE; sin revisión individual declarada</x:v>
      </x:c>
      <x:c r="L22" s="4" t="str">
        <x:v>CANDIDATA_NO_ADOPTADA</x:v>
      </x:c>
      <x:c r="M22" s="12" t="n">
        <x:f>COUNTIF('03_NICE'!$A$5:$A$57,A22)+COUNTIF('04_TKS'!$A$5:$A$72,A22)-1</x:f>
        <x:v>0</x:v>
      </x:c>
      <x:c r="N22" s="12" t="n">
        <x:f>IF(AND(COUNTIF('01_Fuentes'!$A$5:$A$40,I22)=1,COUNTIF('07_Operaciones'!$A$5:$A$26,H22)=1,COUNTIF('06_Cobertura'!$A$5:$A$25,G22)=1),0,1)</x:f>
        <x:v>0</x:v>
      </x:c>
      <x:c r="O22" s="12" t="n">
        <x:f>IF(OR(A22="",D22="",F22=""),1,0)</x:f>
        <x:v>0</x:v>
      </x:c>
    </x:row>
    <x:row r="23" ht="47" customHeight="1">
      <x:c r="A23" s="4" t="str">
        <x:v>OG-WRL-001</x:v>
      </x:c>
      <x:c r="B23" s="4" t="str">
        <x:v>work_role</x:v>
      </x:c>
      <x:c r="C23" s="4" t="str">
        <x:v>Communications Security (COMSEC) Management</x:v>
      </x:c>
      <x:c r="D23" s="4" t="str">
        <x:v>Responsible for managing the Communications Security (COMSEC) resources of an organization.</x:v>
      </x:c>
      <x:c r="E23" s="4" t="str">
        <x:v>Gestión de seguridad de comunicaciones</x:v>
      </x:c>
      <x:c r="F23" s="4" t="str">
        <x:v>Gestionar recursos de seguridad de comunicaciones de la organización.</x:v>
      </x:c>
      <x:c r="G23" s="4" t="str">
        <x:v>E04</x:v>
      </x:c>
      <x:c r="H23" s="4" t="str">
        <x:v>OPC-13</x:v>
      </x:c>
      <x:c r="I23" s="4" t="str">
        <x:v>F001</x:v>
      </x:c>
      <x:c r="J23" s="4" t="str">
        <x:v>2.2.0</x:v>
      </x:c>
      <x:c r="K23" s="4" t="str">
        <x:v>PRESENTE_EN_CORTE; sin revisión individual declarada</x:v>
      </x:c>
      <x:c r="L23" s="4" t="str">
        <x:v>CANDIDATA_NO_ADOPTADA</x:v>
      </x:c>
      <x:c r="M23" s="12" t="n">
        <x:f>COUNTIF('03_NICE'!$A$5:$A$57,A23)+COUNTIF('04_TKS'!$A$5:$A$72,A23)-1</x:f>
        <x:v>0</x:v>
      </x:c>
      <x:c r="N23" s="12" t="n">
        <x:f>IF(AND(COUNTIF('01_Fuentes'!$A$5:$A$40,I23)=1,COUNTIF('07_Operaciones'!$A$5:$A$26,H23)=1,COUNTIF('06_Cobertura'!$A$5:$A$25,G23)=1),0,1)</x:f>
        <x:v>0</x:v>
      </x:c>
      <x:c r="O23" s="12" t="n">
        <x:f>IF(OR(A23="",D23="",F23=""),1,0)</x:f>
        <x:v>0</x:v>
      </x:c>
    </x:row>
    <x:row r="24" ht="76" customHeight="1">
      <x:c r="A24" s="4" t="str">
        <x:v>OG-WRL-002</x:v>
      </x:c>
      <x:c r="B24" s="4" t="str">
        <x:v>work_role</x:v>
      </x:c>
      <x:c r="C24" s="4" t="str">
        <x:v>Cybersecurity Policy and Planning</x:v>
      </x:c>
      <x:c r="D24" s="4" t="str">
        <x:v>Responsible for developing and maintaining cybersecurity plans, strategy, and policy to support and align with organizational cybersecurity initiatives and regulatory compliance.</x:v>
      </x:c>
      <x:c r="E24" s="4" t="str">
        <x:v>Política y planificación de ciberseguridad</x:v>
      </x:c>
      <x:c r="F24" s="4" t="str">
        <x:v>Mantener estrategia, políticas y planes alineados con necesidades organizativas y regulación aplicable.</x:v>
      </x:c>
      <x:c r="G24" s="4" t="str">
        <x:v>E01</x:v>
      </x:c>
      <x:c r="H24" s="4" t="str">
        <x:v>OPC-01</x:v>
      </x:c>
      <x:c r="I24" s="4" t="str">
        <x:v>F001</x:v>
      </x:c>
      <x:c r="J24" s="4" t="str">
        <x:v>2.2.0</x:v>
      </x:c>
      <x:c r="K24" s="4" t="str">
        <x:v>PRESENTE_EN_CORTE; sin revisión individual declarada</x:v>
      </x:c>
      <x:c r="L24" s="4" t="str">
        <x:v>CANDIDATA_NO_ADOPTADA</x:v>
      </x:c>
      <x:c r="M24" s="12" t="n">
        <x:f>COUNTIF('03_NICE'!$A$5:$A$57,A24)+COUNTIF('04_TKS'!$A$5:$A$72,A24)-1</x:f>
        <x:v>0</x:v>
      </x:c>
      <x:c r="N24" s="12" t="n">
        <x:f>IF(AND(COUNTIF('01_Fuentes'!$A$5:$A$40,I24)=1,COUNTIF('07_Operaciones'!$A$5:$A$26,H24)=1,COUNTIF('06_Cobertura'!$A$5:$A$25,G24)=1),0,1)</x:f>
        <x:v>0</x:v>
      </x:c>
      <x:c r="O24" s="12" t="n">
        <x:f>IF(OR(A24="",D24="",F24=""),1,0)</x:f>
        <x:v>0</x:v>
      </x:c>
    </x:row>
    <x:row r="25" ht="140" customHeight="1">
      <x:c r="A25" s="4" t="str">
        <x:v>OG-WRL-003</x:v>
      </x:c>
      <x:c r="B25" s="4" t="str">
        <x:v>work_role</x:v>
      </x:c>
      <x:c r="C25" s="4" t="str">
        <x:v>Cybersecurity Workforce Management</x:v>
      </x:c>
      <x:c r="D25" s="4" t="str">
        <x:v>Responsible for developing cybersecurity workforce plans, assessments, strategies, and guidance, including cybersecurity-related staff training, education, and hiring processes. Makes adjustments in response to or in anticipation of changes to cybersecurity-related policy, technology, and staffing needs and requirements.Authors mandated workforce planning strategies to maintain compliance with legislation, regulation, and policy.</x:v>
      </x:c>
      <x:c r="E25" s="4" t="str">
        <x:v>Gestión de profesionales de ciberseguridad</x:v>
      </x:c>
      <x:c r="F25" s="4" t="str">
        <x:v>Planificar capacidades, formación y dotación profesional según necesidades de seguridad.</x:v>
      </x:c>
      <x:c r="G25" s="4" t="str">
        <x:v>E14</x:v>
      </x:c>
      <x:c r="H25" s="4" t="str">
        <x:v>OPC-18</x:v>
      </x:c>
      <x:c r="I25" s="4" t="str">
        <x:v>F001</x:v>
      </x:c>
      <x:c r="J25" s="4" t="str">
        <x:v>2.2.0</x:v>
      </x:c>
      <x:c r="K25" s="4" t="str">
        <x:v>PRESENTE_EN_CORTE; sin revisión individual declarada</x:v>
      </x:c>
      <x:c r="L25" s="4" t="str">
        <x:v>CANDIDATA_NO_ADOPTADA</x:v>
      </x:c>
      <x:c r="M25" s="12" t="n">
        <x:f>COUNTIF('03_NICE'!$A$5:$A$57,A25)+COUNTIF('04_TKS'!$A$5:$A$72,A25)-1</x:f>
        <x:v>0</x:v>
      </x:c>
      <x:c r="N25" s="12" t="n">
        <x:f>IF(AND(COUNTIF('01_Fuentes'!$A$5:$A$40,I25)=1,COUNTIF('07_Operaciones'!$A$5:$A$26,H25)=1,COUNTIF('06_Cobertura'!$A$5:$A$25,G25)=1),0,1)</x:f>
        <x:v>0</x:v>
      </x:c>
      <x:c r="O25" s="12" t="n">
        <x:f>IF(OR(A25="",D25="",F25=""),1,0)</x:f>
        <x:v>0</x:v>
      </x:c>
    </x:row>
    <x:row r="26" ht="76" customHeight="1">
      <x:c r="A26" s="4" t="str">
        <x:v>OG-WRL-004</x:v>
      </x:c>
      <x:c r="B26" s="4" t="str">
        <x:v>work_role</x:v>
      </x:c>
      <x:c r="C26" s="4" t="str">
        <x:v>Cybersecurity Curriculum Development</x:v>
      </x:c>
      <x:c r="D26" s="4" t="str">
        <x:v>Responsible for developing, planning, coordinating, and evaluating cybersecurity awareness, training, or education content, methods, and techniques based on instructional needs and requirements.</x:v>
      </x:c>
      <x:c r="E26" s="4" t="str">
        <x:v>Diseño curricular de ciberseguridad</x:v>
      </x:c>
      <x:c r="F26" s="4" t="str">
        <x:v>Diseñar y evaluar contenidos y métodos formativos a partir de necesidades identificadas.</x:v>
      </x:c>
      <x:c r="G26" s="4" t="str">
        <x:v>E14</x:v>
      </x:c>
      <x:c r="H26" s="4" t="str">
        <x:v>OPC-18</x:v>
      </x:c>
      <x:c r="I26" s="4" t="str">
        <x:v>F001</x:v>
      </x:c>
      <x:c r="J26" s="4" t="str">
        <x:v>2.2.0</x:v>
      </x:c>
      <x:c r="K26" s="4" t="str">
        <x:v>PRESENTE_EN_CORTE; sin revisión individual declarada</x:v>
      </x:c>
      <x:c r="L26" s="4" t="str">
        <x:v>CANDIDATA_NO_ADOPTADA</x:v>
      </x:c>
      <x:c r="M26" s="12" t="n">
        <x:f>COUNTIF('03_NICE'!$A$5:$A$57,A26)+COUNTIF('04_TKS'!$A$5:$A$72,A26)-1</x:f>
        <x:v>0</x:v>
      </x:c>
      <x:c r="N26" s="12" t="n">
        <x:f>IF(AND(COUNTIF('01_Fuentes'!$A$5:$A$40,I26)=1,COUNTIF('07_Operaciones'!$A$5:$A$26,H26)=1,COUNTIF('06_Cobertura'!$A$5:$A$25,G26)=1),0,1)</x:f>
        <x:v>0</x:v>
      </x:c>
      <x:c r="O26" s="12" t="n">
        <x:f>IF(OR(A26="",D26="",F26=""),1,0)</x:f>
        <x:v>0</x:v>
      </x:c>
    </x:row>
    <x:row r="27" ht="47" customHeight="1">
      <x:c r="A27" s="4" t="str">
        <x:v>OG-WRL-005</x:v>
      </x:c>
      <x:c r="B27" s="4" t="str">
        <x:v>work_role</x:v>
      </x:c>
      <x:c r="C27" s="4" t="str">
        <x:v>Cybersecurity Instruction</x:v>
      </x:c>
      <x:c r="D27" s="4" t="str">
        <x:v>Responsible for developing and conducting cybersecurity awareness, training, or education.</x:v>
      </x:c>
      <x:c r="E27" s="4" t="str">
        <x:v>Docencia de ciberseguridad</x:v>
      </x:c>
      <x:c r="F27" s="4" t="str">
        <x:v>Preparar e impartir concienciación, formación y educación en ciberseguridad.</x:v>
      </x:c>
      <x:c r="G27" s="4" t="str">
        <x:v>E14</x:v>
      </x:c>
      <x:c r="H27" s="4" t="str">
        <x:v>OPC-22</x:v>
      </x:c>
      <x:c r="I27" s="4" t="str">
        <x:v>F001</x:v>
      </x:c>
      <x:c r="J27" s="4" t="str">
        <x:v>2.2.0</x:v>
      </x:c>
      <x:c r="K27" s="4" t="str">
        <x:v>PRESENTE_EN_CORTE; sin revisión individual declarada</x:v>
      </x:c>
      <x:c r="L27" s="4" t="str">
        <x:v>CANDIDATA_NO_ADOPTADA</x:v>
      </x:c>
      <x:c r="M27" s="12" t="n">
        <x:f>COUNTIF('03_NICE'!$A$5:$A$57,A27)+COUNTIF('04_TKS'!$A$5:$A$72,A27)-1</x:f>
        <x:v>0</x:v>
      </x:c>
      <x:c r="N27" s="12" t="n">
        <x:f>IF(AND(COUNTIF('01_Fuentes'!$A$5:$A$40,I27)=1,COUNTIF('07_Operaciones'!$A$5:$A$26,H27)=1,COUNTIF('06_Cobertura'!$A$5:$A$25,G27)=1),0,1)</x:f>
        <x:v>0</x:v>
      </x:c>
      <x:c r="O27" s="12" t="n">
        <x:f>IF(OR(A27="",D27="",F27=""),1,0)</x:f>
        <x:v>0</x:v>
      </x:c>
    </x:row>
    <x:row r="28" ht="60" customHeight="1">
      <x:c r="A28" s="4" t="str">
        <x:v>OG-WRL-006</x:v>
      </x:c>
      <x:c r="B28" s="4" t="str">
        <x:v>work_role</x:v>
      </x:c>
      <x:c r="C28" s="4" t="str">
        <x:v>Cybersecurity Legal Advice</x:v>
      </x:c>
      <x:c r="D28" s="4" t="str">
        <x:v>Responsible for providing cybersecurity legal advice and recommendations, including monitoring related legislation and regulations.</x:v>
      </x:c>
      <x:c r="E28" s="4" t="str">
        <x:v>Asesoramiento jurídico de ciberseguridad</x:v>
      </x:c>
      <x:c r="F28" s="4" t="str">
        <x:v>Aportar análisis jurídico y vigilar legislación pertinente desde la autoridad profesional competente.</x:v>
      </x:c>
      <x:c r="G28" s="4" t="str">
        <x:v>E16</x:v>
      </x:c>
      <x:c r="H28" s="4" t="str">
        <x:v>OPC-17</x:v>
      </x:c>
      <x:c r="I28" s="4" t="str">
        <x:v>F001</x:v>
      </x:c>
      <x:c r="J28" s="4" t="str">
        <x:v>2.2.0</x:v>
      </x:c>
      <x:c r="K28" s="4" t="str">
        <x:v>PRESENTE_EN_CORTE; sin revisión individual declarada</x:v>
      </x:c>
      <x:c r="L28" s="4" t="str">
        <x:v>CANDIDATA_NO_ADOPTADA</x:v>
      </x:c>
      <x:c r="M28" s="12" t="n">
        <x:f>COUNTIF('03_NICE'!$A$5:$A$57,A28)+COUNTIF('04_TKS'!$A$5:$A$72,A28)-1</x:f>
        <x:v>0</x:v>
      </x:c>
      <x:c r="N28" s="12" t="n">
        <x:f>IF(AND(COUNTIF('01_Fuentes'!$A$5:$A$40,I28)=1,COUNTIF('07_Operaciones'!$A$5:$A$26,H28)=1,COUNTIF('06_Cobertura'!$A$5:$A$25,G28)=1),0,1)</x:f>
        <x:v>0</x:v>
      </x:c>
      <x:c r="O28" s="12" t="n">
        <x:f>IF(OR(A28="",D28="",F28=""),1,0)</x:f>
        <x:v>0</x:v>
      </x:c>
    </x:row>
    <x:row r="29" ht="108" customHeight="1">
      <x:c r="A29" s="4" t="str">
        <x:v>OG-WRL-007</x:v>
      </x:c>
      <x:c r="B29" s="4" t="str">
        <x:v>work_role</x:v>
      </x:c>
      <x:c r="C29" s="4" t="str">
        <x:v>Executive Cybersecurity Leadership</x:v>
      </x:c>
      <x:c r="D29" s="4" t="str">
        <x:v>Responsible for establishing vision and direction for an organization's cybersecurity operations and resources and their impact on digital and physical spaces. Possesses authority to make and execute decisions that impact an organization broadly, including policy approval and stakeholder engagement.</x:v>
      </x:c>
      <x:c r="E29" s="4" t="str">
        <x:v>Dirección ejecutiva de ciberseguridad</x:v>
      </x:c>
      <x:c r="F29" s="4" t="str">
        <x:v>Fijar orientación, recursos y decisiones institucionales de seguridad con autoridad y rendición de cuentas.</x:v>
      </x:c>
      <x:c r="G29" s="4" t="str">
        <x:v>E01</x:v>
      </x:c>
      <x:c r="H29" s="4" t="str">
        <x:v>OPC-01</x:v>
      </x:c>
      <x:c r="I29" s="4" t="str">
        <x:v>F001</x:v>
      </x:c>
      <x:c r="J29" s="4" t="str">
        <x:v>2.2.0</x:v>
      </x:c>
      <x:c r="K29" s="4" t="str">
        <x:v>PRESENTE_EN_CORTE; sin revisión individual declarada</x:v>
      </x:c>
      <x:c r="L29" s="4" t="str">
        <x:v>CANDIDATA_NO_ADOPTADA</x:v>
      </x:c>
      <x:c r="M29" s="12" t="n">
        <x:f>COUNTIF('03_NICE'!$A$5:$A$57,A29)+COUNTIF('04_TKS'!$A$5:$A$72,A29)-1</x:f>
        <x:v>0</x:v>
      </x:c>
      <x:c r="N29" s="12" t="n">
        <x:f>IF(AND(COUNTIF('01_Fuentes'!$A$5:$A$40,I29)=1,COUNTIF('07_Operaciones'!$A$5:$A$26,H29)=1,COUNTIF('06_Cobertura'!$A$5:$A$25,G29)=1),0,1)</x:f>
        <x:v>0</x:v>
      </x:c>
      <x:c r="O29" s="12" t="n">
        <x:f>IF(OR(A29="",D29="",F29=""),1,0)</x:f>
        <x:v>0</x:v>
      </x:c>
    </x:row>
    <x:row r="30" ht="76" customHeight="1">
      <x:c r="A30" s="4" t="str">
        <x:v>OG-WRL-008</x:v>
      </x:c>
      <x:c r="B30" s="4" t="str">
        <x:v>work_role</x:v>
      </x:c>
      <x:c r="C30" s="4" t="str">
        <x:v>Privacy Compliance</x:v>
      </x:c>
      <x:c r="D30" s="4" t="str">
        <x:v>Responsible for developing and overseeing an organization’s privacy compliance program and staff, including establishing and managing privacy-related governance, policy, and incident response needs.</x:v>
      </x:c>
      <x:c r="E30" s="4" t="str">
        <x:v>Cumplimiento de privacidad</x:v>
      </x:c>
      <x:c r="F30" s="4" t="str">
        <x:v>Gobernar un programa de privacidad, políticas y necesidades de respuesta relacionadas.</x:v>
      </x:c>
      <x:c r="G30" s="4" t="str">
        <x:v>E16</x:v>
      </x:c>
      <x:c r="H30" s="4" t="str">
        <x:v>OPC-17</x:v>
      </x:c>
      <x:c r="I30" s="4" t="str">
        <x:v>F001</x:v>
      </x:c>
      <x:c r="J30" s="4" t="str">
        <x:v>2.2.0</x:v>
      </x:c>
      <x:c r="K30" s="4" t="str">
        <x:v>PRESENTE_EN_CORTE; sin revisión individual declarada</x:v>
      </x:c>
      <x:c r="L30" s="4" t="str">
        <x:v>CANDIDATA_NO_ADOPTADA</x:v>
      </x:c>
      <x:c r="M30" s="12" t="n">
        <x:f>COUNTIF('03_NICE'!$A$5:$A$57,A30)+COUNTIF('04_TKS'!$A$5:$A$72,A30)-1</x:f>
        <x:v>0</x:v>
      </x:c>
      <x:c r="N30" s="12" t="n">
        <x:f>IF(AND(COUNTIF('01_Fuentes'!$A$5:$A$40,I30)=1,COUNTIF('07_Operaciones'!$A$5:$A$26,H30)=1,COUNTIF('06_Cobertura'!$A$5:$A$25,G30)=1),0,1)</x:f>
        <x:v>0</x:v>
      </x:c>
      <x:c r="O30" s="12" t="n">
        <x:f>IF(OR(A30="",D30="",F30=""),1,0)</x:f>
        <x:v>0</x:v>
      </x:c>
    </x:row>
    <x:row r="31" ht="76" customHeight="1">
      <x:c r="A31" s="4" t="str">
        <x:v>OG-WRL-009</x:v>
      </x:c>
      <x:c r="B31" s="4" t="str">
        <x:v>work_role</x:v>
      </x:c>
      <x:c r="C31" s="4" t="str">
        <x:v>Product Support Management</x:v>
      </x:c>
      <x:c r="D31" s="4" t="str">
        <x:v>Responsible for planning, estimating costs, budgeting, developing, implementing, and managing product support strategies in order to field and maintain the readiness and operational capability of systems and components.</x:v>
      </x:c>
      <x:c r="E31" s="4" t="str">
        <x:v>Gestión de soporte del producto</x:v>
      </x:c>
      <x:c r="F31" s="4" t="str">
        <x:v>Planificar soporte que preserve disponibilidad y capacidad operativa de sistemas y componentes.</x:v>
      </x:c>
      <x:c r="G31" s="4" t="str">
        <x:v>E07</x:v>
      </x:c>
      <x:c r="H31" s="4" t="str">
        <x:v>OPC-06</x:v>
      </x:c>
      <x:c r="I31" s="4" t="str">
        <x:v>F001</x:v>
      </x:c>
      <x:c r="J31" s="4" t="str">
        <x:v>2.2.0</x:v>
      </x:c>
      <x:c r="K31" s="4" t="str">
        <x:v>PRESENTE_EN_CORTE; sin revisión individual declarada</x:v>
      </x:c>
      <x:c r="L31" s="4" t="str">
        <x:v>CANDIDATA_NO_ADOPTADA</x:v>
      </x:c>
      <x:c r="M31" s="12" t="n">
        <x:f>COUNTIF('03_NICE'!$A$5:$A$57,A31)+COUNTIF('04_TKS'!$A$5:$A$72,A31)-1</x:f>
        <x:v>0</x:v>
      </x:c>
      <x:c r="N31" s="12" t="n">
        <x:f>IF(AND(COUNTIF('01_Fuentes'!$A$5:$A$40,I31)=1,COUNTIF('07_Operaciones'!$A$5:$A$26,H31)=1,COUNTIF('06_Cobertura'!$A$5:$A$25,G31)=1),0,1)</x:f>
        <x:v>0</x:v>
      </x:c>
      <x:c r="O31" s="12" t="n">
        <x:f>IF(OR(A31="",D31="",F31=""),1,0)</x:f>
        <x:v>0</x:v>
      </x:c>
    </x:row>
    <x:row r="32" ht="76" customHeight="1">
      <x:c r="A32" s="4" t="str">
        <x:v>OG-WRL-010</x:v>
      </x:c>
      <x:c r="B32" s="4" t="str">
        <x:v>work_role</x:v>
      </x:c>
      <x:c r="C32" s="4" t="str">
        <x:v>Program Management</x:v>
      </x:c>
      <x:c r="D32" s="4" t="str">
        <x:v>Responsible for leading, coordinating, and the overall success of a defined program. Includes communicating about the program and ensuring alignment with agency or organizational priorities.</x:v>
      </x:c>
      <x:c r="E32" s="4" t="str">
        <x:v>Gestión de programas</x:v>
      </x:c>
      <x:c r="F32" s="4" t="str">
        <x:v>Coordinar un programa y su alineación con prioridades institucionales, aquí limitado a seguridad.</x:v>
      </x:c>
      <x:c r="G32" s="4" t="str">
        <x:v>E01</x:v>
      </x:c>
      <x:c r="H32" s="4" t="str">
        <x:v>OPC-01</x:v>
      </x:c>
      <x:c r="I32" s="4" t="str">
        <x:v>F001</x:v>
      </x:c>
      <x:c r="J32" s="4" t="str">
        <x:v>2.2.0</x:v>
      </x:c>
      <x:c r="K32" s="4" t="str">
        <x:v>PRESENTE_EN_CORTE; sin revisión individual declarada</x:v>
      </x:c>
      <x:c r="L32" s="4" t="str">
        <x:v>CANDIDATA_NO_ADOPTADA</x:v>
      </x:c>
      <x:c r="M32" s="12" t="n">
        <x:f>COUNTIF('03_NICE'!$A$5:$A$57,A32)+COUNTIF('04_TKS'!$A$5:$A$72,A32)-1</x:f>
        <x:v>0</x:v>
      </x:c>
      <x:c r="N32" s="12" t="n">
        <x:f>IF(AND(COUNTIF('01_Fuentes'!$A$5:$A$40,I32)=1,COUNTIF('07_Operaciones'!$A$5:$A$26,H32)=1,COUNTIF('06_Cobertura'!$A$5:$A$25,G32)=1),0,1)</x:f>
        <x:v>0</x:v>
      </x:c>
      <x:c r="O32" s="12" t="n">
        <x:f>IF(OR(A32="",D32="",F32=""),1,0)</x:f>
        <x:v>0</x:v>
      </x:c>
    </x:row>
    <x:row r="33" ht="108" customHeight="1">
      <x:c r="A33" s="4" t="str">
        <x:v>OG-WRL-011</x:v>
      </x:c>
      <x:c r="B33" s="4" t="str">
        <x:v>work_role</x:v>
      </x:c>
      <x:c r="C33" s="4" t="str">
        <x:v>Secure Project Management</x:v>
      </x:c>
      <x:c r="D33" s="4" t="str">
        <x:v>Responsible for overseeing and directly managing technology projects. Ensures cybersecurity is built into projects to protect the organization’s critical infrastructure and assets, reduce risk, and meet organizational goals. Tracks and communicates project status and demonstrates project value to the organization.</x:v>
      </x:c>
      <x:c r="E33" s="4" t="str">
        <x:v>Gestión de proyectos seguros</x:v>
      </x:c>
      <x:c r="F33" s="4" t="str">
        <x:v>Incorporar seguridad en proyectos tecnológicos y documentar su avance y valor organizativo.</x:v>
      </x:c>
      <x:c r="G33" s="4" t="str">
        <x:v>E06</x:v>
      </x:c>
      <x:c r="H33" s="4" t="str">
        <x:v>OPC-05</x:v>
      </x:c>
      <x:c r="I33" s="4" t="str">
        <x:v>F001</x:v>
      </x:c>
      <x:c r="J33" s="4" t="str">
        <x:v>2.2.0</x:v>
      </x:c>
      <x:c r="K33" s="4" t="str">
        <x:v>PRESENTE_EN_CORTE; sin revisión individual declarada</x:v>
      </x:c>
      <x:c r="L33" s="4" t="str">
        <x:v>CANDIDATA_NO_ADOPTADA</x:v>
      </x:c>
      <x:c r="M33" s="12" t="n">
        <x:f>COUNTIF('03_NICE'!$A$5:$A$57,A33)+COUNTIF('04_TKS'!$A$5:$A$72,A33)-1</x:f>
        <x:v>0</x:v>
      </x:c>
      <x:c r="N33" s="12" t="n">
        <x:f>IF(AND(COUNTIF('01_Fuentes'!$A$5:$A$40,I33)=1,COUNTIF('07_Operaciones'!$A$5:$A$26,H33)=1,COUNTIF('06_Cobertura'!$A$5:$A$25,G33)=1),0,1)</x:f>
        <x:v>0</x:v>
      </x:c>
      <x:c r="O33" s="12" t="n">
        <x:f>IF(OR(A33="",D33="",F33=""),1,0)</x:f>
        <x:v>0</x:v>
      </x:c>
    </x:row>
    <x:row r="34" ht="92" customHeight="1">
      <x:c r="A34" s="4" t="str">
        <x:v>OG-WRL-012</x:v>
      </x:c>
      <x:c r="B34" s="4" t="str">
        <x:v>work_role</x:v>
      </x:c>
      <x:c r="C34" s="4" t="str">
        <x:v>Security Control Assessment</x:v>
      </x:c>
      <x:c r="D34" s="4" t="str">
        <x:v>Responsible for conducting independent comprehensive assessments of management, operational, and technical security controls and control enhancements employed within or inherited by a system to determine their overall effectiveness.</x:v>
      </x:c>
      <x:c r="E34" s="4" t="str">
        <x:v>Evaluación de controles de seguridad</x:v>
      </x:c>
      <x:c r="F34" s="4" t="str">
        <x:v>Evaluar de forma independiente eficacia de controles de gestión, operativos y técnicos del sistema.</x:v>
      </x:c>
      <x:c r="G34" s="4" t="str">
        <x:v>E15</x:v>
      </x:c>
      <x:c r="H34" s="4" t="str">
        <x:v>OPC-16</x:v>
      </x:c>
      <x:c r="I34" s="4" t="str">
        <x:v>F001</x:v>
      </x:c>
      <x:c r="J34" s="4" t="str">
        <x:v>2.2.0</x:v>
      </x:c>
      <x:c r="K34" s="4" t="str">
        <x:v>PRESENTE_EN_CORTE; sin revisión individual declarada</x:v>
      </x:c>
      <x:c r="L34" s="4" t="str">
        <x:v>CANDIDATA_NO_ADOPTADA</x:v>
      </x:c>
      <x:c r="M34" s="12" t="n">
        <x:f>COUNTIF('03_NICE'!$A$5:$A$57,A34)+COUNTIF('04_TKS'!$A$5:$A$72,A34)-1</x:f>
        <x:v>0</x:v>
      </x:c>
      <x:c r="N34" s="12" t="n">
        <x:f>IF(AND(COUNTIF('01_Fuentes'!$A$5:$A$40,I34)=1,COUNTIF('07_Operaciones'!$A$5:$A$26,H34)=1,COUNTIF('06_Cobertura'!$A$5:$A$25,G34)=1),0,1)</x:f>
        <x:v>0</x:v>
      </x:c>
      <x:c r="O34" s="12" t="n">
        <x:f>IF(OR(A34="",D34="",F34=""),1,0)</x:f>
        <x:v>0</x:v>
      </x:c>
    </x:row>
    <x:row r="35" ht="76" customHeight="1">
      <x:c r="A35" s="4" t="str">
        <x:v>OG-WRL-013</x:v>
      </x:c>
      <x:c r="B35" s="4" t="str">
        <x:v>work_role</x:v>
      </x:c>
      <x:c r="C35" s="4" t="str">
        <x:v>Systems Authorization</x:v>
      </x:c>
      <x:c r="D35" s="4" t="str">
        <x:v>Responsible for operating an information system at an acceptable level of risk to organizational operations, organizational assets, individuals, other organizations, and the nation.</x:v>
      </x:c>
      <x:c r="E35" s="4" t="str">
        <x:v>Autorización de sistemas</x:v>
      </x:c>
      <x:c r="F35" s="4" t="str">
        <x:v>Responsabilizarse de operar un sistema con riesgo institucional aceptado en el mandato aplicable.</x:v>
      </x:c>
      <x:c r="G35" s="4" t="str">
        <x:v>E01</x:v>
      </x:c>
      <x:c r="H35" s="4" t="str">
        <x:v>OPC-21</x:v>
      </x:c>
      <x:c r="I35" s="4" t="str">
        <x:v>F001</x:v>
      </x:c>
      <x:c r="J35" s="4" t="str">
        <x:v>2.2.0</x:v>
      </x:c>
      <x:c r="K35" s="4" t="str">
        <x:v>PRESENTE_EN_CORTE; sin revisión individual declarada</x:v>
      </x:c>
      <x:c r="L35" s="4" t="str">
        <x:v>CANDIDATA_NO_ADOPTADA</x:v>
      </x:c>
      <x:c r="M35" s="12" t="n">
        <x:f>COUNTIF('03_NICE'!$A$5:$A$57,A35)+COUNTIF('04_TKS'!$A$5:$A$72,A35)-1</x:f>
        <x:v>0</x:v>
      </x:c>
      <x:c r="N35" s="12" t="n">
        <x:f>IF(AND(COUNTIF('01_Fuentes'!$A$5:$A$40,I35)=1,COUNTIF('07_Operaciones'!$A$5:$A$26,H35)=1,COUNTIF('06_Cobertura'!$A$5:$A$25,G35)=1),0,1)</x:f>
        <x:v>0</x:v>
      </x:c>
      <x:c r="O35" s="12" t="n">
        <x:f>IF(OR(A35="",D35="",F35=""),1,0)</x:f>
        <x:v>0</x:v>
      </x:c>
    </x:row>
    <x:row r="36" ht="47" customHeight="1">
      <x:c r="A36" s="4" t="str">
        <x:v>OG-WRL-014</x:v>
      </x:c>
      <x:c r="B36" s="4" t="str">
        <x:v>work_role</x:v>
      </x:c>
      <x:c r="C36" s="4" t="str">
        <x:v>Systems Security Management</x:v>
      </x:c>
      <x:c r="D36" s="4" t="str">
        <x:v>Responsible for managing the cybersecurity of a program, organization, system, or enclave.</x:v>
      </x:c>
      <x:c r="E36" s="4" t="str">
        <x:v>Gestión de seguridad de sistemas</x:v>
      </x:c>
      <x:c r="F36" s="4" t="str">
        <x:v>Gestionar seguridad de un programa, organización, sistema o enclave.</x:v>
      </x:c>
      <x:c r="G36" s="4" t="str">
        <x:v>E01</x:v>
      </x:c>
      <x:c r="H36" s="4" t="str">
        <x:v>OPC-01</x:v>
      </x:c>
      <x:c r="I36" s="4" t="str">
        <x:v>F001</x:v>
      </x:c>
      <x:c r="J36" s="4" t="str">
        <x:v>2.2.0</x:v>
      </x:c>
      <x:c r="K36" s="4" t="str">
        <x:v>PRESENTE_EN_CORTE; sin revisión individual declarada</x:v>
      </x:c>
      <x:c r="L36" s="4" t="str">
        <x:v>CANDIDATA_NO_ADOPTADA</x:v>
      </x:c>
      <x:c r="M36" s="12" t="n">
        <x:f>COUNTIF('03_NICE'!$A$5:$A$57,A36)+COUNTIF('04_TKS'!$A$5:$A$72,A36)-1</x:f>
        <x:v>0</x:v>
      </x:c>
      <x:c r="N36" s="12" t="n">
        <x:f>IF(AND(COUNTIF('01_Fuentes'!$A$5:$A$40,I36)=1,COUNTIF('07_Operaciones'!$A$5:$A$26,H36)=1,COUNTIF('06_Cobertura'!$A$5:$A$25,G36)=1),0,1)</x:f>
        <x:v>0</x:v>
      </x:c>
      <x:c r="O36" s="12" t="n">
        <x:f>IF(OR(A36="",D36="",F36=""),1,0)</x:f>
        <x:v>0</x:v>
      </x:c>
    </x:row>
    <x:row r="37" ht="60" customHeight="1">
      <x:c r="A37" s="4" t="str">
        <x:v>OG-WRL-015</x:v>
      </x:c>
      <x:c r="B37" s="4" t="str">
        <x:v>work_role</x:v>
      </x:c>
      <x:c r="C37" s="4" t="str">
        <x:v>Technology Portfolio Management</x:v>
      </x:c>
      <x:c r="D37" s="4" t="str">
        <x:v>Responsible for managing a portfolio of technology investments that align with the overall needs of mission and enterprise priorities.</x:v>
      </x:c>
      <x:c r="E37" s="4" t="str">
        <x:v>Gestión de cartera tecnológica</x:v>
      </x:c>
      <x:c r="F37" s="4" t="str">
        <x:v>Gestionar inversiones tecnológicas conforme a misión y prioridades, acotando la función de seguridad.</x:v>
      </x:c>
      <x:c r="G37" s="4" t="str">
        <x:v>E01</x:v>
      </x:c>
      <x:c r="H37" s="4" t="str">
        <x:v>OPC-01</x:v>
      </x:c>
      <x:c r="I37" s="4" t="str">
        <x:v>F001</x:v>
      </x:c>
      <x:c r="J37" s="4" t="str">
        <x:v>2.2.0</x:v>
      </x:c>
      <x:c r="K37" s="4" t="str">
        <x:v>PRESENTE_EN_CORTE; sin revisión individual declarada</x:v>
      </x:c>
      <x:c r="L37" s="4" t="str">
        <x:v>CANDIDATA_NO_ADOPTADA</x:v>
      </x:c>
      <x:c r="M37" s="12" t="n">
        <x:f>COUNTIF('03_NICE'!$A$5:$A$57,A37)+COUNTIF('04_TKS'!$A$5:$A$72,A37)-1</x:f>
        <x:v>0</x:v>
      </x:c>
      <x:c r="N37" s="12" t="n">
        <x:f>IF(AND(COUNTIF('01_Fuentes'!$A$5:$A$40,I37)=1,COUNTIF('07_Operaciones'!$A$5:$A$26,H37)=1,COUNTIF('06_Cobertura'!$A$5:$A$25,G37)=1),0,1)</x:f>
        <x:v>0</x:v>
      </x:c>
      <x:c r="O37" s="12" t="n">
        <x:f>IF(OR(A37="",D37="",F37=""),1,0)</x:f>
        <x:v>0</x:v>
      </x:c>
    </x:row>
    <x:row r="38" ht="60" customHeight="1">
      <x:c r="A38" s="4" t="str">
        <x:v>OG-WRL-016</x:v>
      </x:c>
      <x:c r="B38" s="4" t="str">
        <x:v>work_role</x:v>
      </x:c>
      <x:c r="C38" s="4" t="str">
        <x:v>Technology Program Auditing</x:v>
      </x:c>
      <x:c r="D38" s="4" t="str">
        <x:v>Responsible for conducting evaluations of technology programs or their individual components to determine compliance with published standards.</x:v>
      </x:c>
      <x:c r="E38" s="4" t="str">
        <x:v>Auditoría de programas tecnológicos</x:v>
      </x:c>
      <x:c r="F38" s="4" t="str">
        <x:v>Evaluar programas y componentes frente a estándares publicados y aplicables.</x:v>
      </x:c>
      <x:c r="G38" s="4" t="str">
        <x:v>E15</x:v>
      </x:c>
      <x:c r="H38" s="4" t="str">
        <x:v>OPC-16</x:v>
      </x:c>
      <x:c r="I38" s="4" t="str">
        <x:v>F001</x:v>
      </x:c>
      <x:c r="J38" s="4" t="str">
        <x:v>2.2.0</x:v>
      </x:c>
      <x:c r="K38" s="4" t="str">
        <x:v>PRESENTE_EN_CORTE; sin revisión individual declarada</x:v>
      </x:c>
      <x:c r="L38" s="4" t="str">
        <x:v>CANDIDATA_NO_ADOPTADA</x:v>
      </x:c>
      <x:c r="M38" s="12" t="n">
        <x:f>COUNTIF('03_NICE'!$A$5:$A$57,A38)+COUNTIF('04_TKS'!$A$5:$A$72,A38)-1</x:f>
        <x:v>0</x:v>
      </x:c>
      <x:c r="N38" s="12" t="n">
        <x:f>IF(AND(COUNTIF('01_Fuentes'!$A$5:$A$40,I38)=1,COUNTIF('07_Operaciones'!$A$5:$A$26,H38)=1,COUNTIF('06_Cobertura'!$A$5:$A$25,G38)=1),0,1)</x:f>
        <x:v>0</x:v>
      </x:c>
      <x:c r="O38" s="12" t="n">
        <x:f>IF(OR(A38="",D38="",F38=""),1,0)</x:f>
        <x:v>0</x:v>
      </x:c>
    </x:row>
    <x:row r="39" ht="108" customHeight="1">
      <x:c r="A39" s="4" t="str">
        <x:v>OG-WRL-017</x:v>
      </x:c>
      <x:c r="B39" s="4" t="str">
        <x:v>work_role</x:v>
      </x:c>
      <x:c r="C39" s="4" t="str">
        <x:v>Cybersecurity Supply Chain Risk Management</x:v>
      </x:c>
      <x:c r="D39" s="4" t="str">
        <x:v>Responsible for developing cybersecurity supply chain risk management (C-SCRM) policies, processes, and procedures to identify, assess, protect against, and respond to cybersecurity risks throughout the supply chain, and for advising other stakeholders within an enterprise about supply chain risks.</x:v>
      </x:c>
      <x:c r="E39" s="4" t="str">
        <x:v>Gestión de riesgo de cadena de suministro</x:v>
      </x:c>
      <x:c r="F39" s="4" t="str">
        <x:v>Desarrollar políticas, procesos y asesoramiento sobre riesgos cibernéticos de la cadena de suministro.</x:v>
      </x:c>
      <x:c r="G39" s="4" t="str">
        <x:v>E07</x:v>
      </x:c>
      <x:c r="H39" s="4" t="str">
        <x:v>OPC-06</x:v>
      </x:c>
      <x:c r="I39" s="4" t="str">
        <x:v>F001</x:v>
      </x:c>
      <x:c r="J39" s="4" t="str">
        <x:v>2.2.0</x:v>
      </x:c>
      <x:c r="K39" s="4" t="str">
        <x:v>PRESENTE_EN_CORTE; sin revisión individual declarada</x:v>
      </x:c>
      <x:c r="L39" s="4" t="str">
        <x:v>CANDIDATA_NO_ADOPTADA</x:v>
      </x:c>
      <x:c r="M39" s="12" t="n">
        <x:f>COUNTIF('03_NICE'!$A$5:$A$57,A39)+COUNTIF('04_TKS'!$A$5:$A$72,A39)-1</x:f>
        <x:v>0</x:v>
      </x:c>
      <x:c r="N39" s="12" t="n">
        <x:f>IF(AND(COUNTIF('01_Fuentes'!$A$5:$A$40,I39)=1,COUNTIF('07_Operaciones'!$A$5:$A$26,H39)=1,COUNTIF('06_Cobertura'!$A$5:$A$25,G39)=1),0,1)</x:f>
        <x:v>0</x:v>
      </x:c>
      <x:c r="O39" s="12" t="n">
        <x:f>IF(OR(A39="",D39="",F39=""),1,0)</x:f>
        <x:v>0</x:v>
      </x:c>
    </x:row>
    <x:row r="40" ht="47" customHeight="1">
      <x:c r="A40" s="4" t="str">
        <x:v>PD-WRL-001</x:v>
      </x:c>
      <x:c r="B40" s="4" t="str">
        <x:v>work_role</x:v>
      </x:c>
      <x:c r="C40" s="4" t="str">
        <x:v>Defensive Cybersecurity</x:v>
      </x:c>
      <x:c r="D40" s="4" t="str">
        <x:v>Responsible for analyzing data collected from various cybersecurity defense tools to mitigate risks.</x:v>
      </x:c>
      <x:c r="E40" s="4" t="str">
        <x:v>Ciberseguridad defensiva</x:v>
      </x:c>
      <x:c r="F40" s="4" t="str">
        <x:v>Analizar datos de herramientas defensivas para apoyar la mitigación de riesgos.</x:v>
      </x:c>
      <x:c r="G40" s="4" t="str">
        <x:v>E09</x:v>
      </x:c>
      <x:c r="H40" s="4" t="str">
        <x:v>OPC-07</x:v>
      </x:c>
      <x:c r="I40" s="4" t="str">
        <x:v>F001</x:v>
      </x:c>
      <x:c r="J40" s="4" t="str">
        <x:v>2.2.0</x:v>
      </x:c>
      <x:c r="K40" s="4" t="str">
        <x:v>PRESENTE_EN_CORTE; sin revisión individual declarada</x:v>
      </x:c>
      <x:c r="L40" s="4" t="str">
        <x:v>CANDIDATA_NO_ADOPTADA</x:v>
      </x:c>
      <x:c r="M40" s="12" t="n">
        <x:f>COUNTIF('03_NICE'!$A$5:$A$57,A40)+COUNTIF('04_TKS'!$A$5:$A$72,A40)-1</x:f>
        <x:v>0</x:v>
      </x:c>
      <x:c r="N40" s="12" t="n">
        <x:f>IF(AND(COUNTIF('01_Fuentes'!$A$5:$A$40,I40)=1,COUNTIF('07_Operaciones'!$A$5:$A$26,H40)=1,COUNTIF('06_Cobertura'!$A$5:$A$25,G40)=1),0,1)</x:f>
        <x:v>0</x:v>
      </x:c>
      <x:c r="O40" s="12" t="n">
        <x:f>IF(OR(A40="",D40="",F40=""),1,0)</x:f>
        <x:v>0</x:v>
      </x:c>
    </x:row>
    <x:row r="41" ht="60" customHeight="1">
      <x:c r="A41" s="4" t="str">
        <x:v>PD-WRL-002</x:v>
      </x:c>
      <x:c r="B41" s="4" t="str">
        <x:v>work_role</x:v>
      </x:c>
      <x:c r="C41" s="4" t="str">
        <x:v>Digital Forensics</x:v>
      </x:c>
      <x:c r="D41" s="4" t="str">
        <x:v>Responsible for analyzing digital evidence from computer security incidents to derive useful information in support of system and network vulnerability mitigation.</x:v>
      </x:c>
      <x:c r="E41" s="4" t="str">
        <x:v>Análisis forense de incidentes</x:v>
      </x:c>
      <x:c r="F41" s="4" t="str">
        <x:v>Analizar evidencia digital de incidentes para apoyar mitigación y comprensión de vulnerabilidades.</x:v>
      </x:c>
      <x:c r="G41" s="4" t="str">
        <x:v>E10</x:v>
      </x:c>
      <x:c r="H41" s="4" t="str">
        <x:v>OPC-10</x:v>
      </x:c>
      <x:c r="I41" s="4" t="str">
        <x:v>F001</x:v>
      </x:c>
      <x:c r="J41" s="4" t="str">
        <x:v>2.2.0</x:v>
      </x:c>
      <x:c r="K41" s="4" t="str">
        <x:v>PRESENTE_EN_CORTE; sin revisión individual declarada</x:v>
      </x:c>
      <x:c r="L41" s="4" t="str">
        <x:v>CANDIDATA_NO_ADOPTADA</x:v>
      </x:c>
      <x:c r="M41" s="12" t="n">
        <x:f>COUNTIF('03_NICE'!$A$5:$A$57,A41)+COUNTIF('04_TKS'!$A$5:$A$72,A41)-1</x:f>
        <x:v>0</x:v>
      </x:c>
      <x:c r="N41" s="12" t="n">
        <x:f>IF(AND(COUNTIF('01_Fuentes'!$A$5:$A$40,I41)=1,COUNTIF('07_Operaciones'!$A$5:$A$26,H41)=1,COUNTIF('06_Cobertura'!$A$5:$A$25,G41)=1),0,1)</x:f>
        <x:v>0</x:v>
      </x:c>
      <x:c r="O41" s="12" t="n">
        <x:f>IF(OR(A41="",D41="",F41=""),1,0)</x:f>
        <x:v>0</x:v>
      </x:c>
    </x:row>
    <x:row r="42" ht="47" customHeight="1">
      <x:c r="A42" s="4" t="str">
        <x:v>PD-WRL-003</x:v>
      </x:c>
      <x:c r="B42" s="4" t="str">
        <x:v>work_role</x:v>
      </x:c>
      <x:c r="C42" s="4" t="str">
        <x:v>Incident Response</x:v>
      </x:c>
      <x:c r="D42" s="4" t="str">
        <x:v>Responsible for investigating, analyzing, and responding to network cybersecurity incidents.</x:v>
      </x:c>
      <x:c r="E42" s="4" t="str">
        <x:v>Respuesta a incidentes</x:v>
      </x:c>
      <x:c r="F42" s="4" t="str">
        <x:v>Investigar, analizar y responder a incidentes de ciberseguridad en redes.</x:v>
      </x:c>
      <x:c r="G42" s="4" t="str">
        <x:v>E11</x:v>
      </x:c>
      <x:c r="H42" s="4" t="str">
        <x:v>OPC-09</x:v>
      </x:c>
      <x:c r="I42" s="4" t="str">
        <x:v>F001</x:v>
      </x:c>
      <x:c r="J42" s="4" t="str">
        <x:v>2.2.0</x:v>
      </x:c>
      <x:c r="K42" s="4" t="str">
        <x:v>PRESENTE_EN_CORTE; sin revisión individual declarada</x:v>
      </x:c>
      <x:c r="L42" s="4" t="str">
        <x:v>CANDIDATA_NO_ADOPTADA</x:v>
      </x:c>
      <x:c r="M42" s="12" t="n">
        <x:f>COUNTIF('03_NICE'!$A$5:$A$57,A42)+COUNTIF('04_TKS'!$A$5:$A$72,A42)-1</x:f>
        <x:v>0</x:v>
      </x:c>
      <x:c r="N42" s="12" t="n">
        <x:f>IF(AND(COUNTIF('01_Fuentes'!$A$5:$A$40,I42)=1,COUNTIF('07_Operaciones'!$A$5:$A$26,H42)=1,COUNTIF('06_Cobertura'!$A$5:$A$25,G42)=1),0,1)</x:f>
        <x:v>0</x:v>
      </x:c>
      <x:c r="O42" s="12" t="n">
        <x:f>IF(OR(A42="",D42="",F42=""),1,0)</x:f>
        <x:v>0</x:v>
      </x:c>
    </x:row>
    <x:row r="43" ht="60" customHeight="1">
      <x:c r="A43" s="4" t="str">
        <x:v>PD-WRL-004</x:v>
      </x:c>
      <x:c r="B43" s="4" t="str">
        <x:v>work_role</x:v>
      </x:c>
      <x:c r="C43" s="4" t="str">
        <x:v>Infrastructure Support</x:v>
      </x:c>
      <x:c r="D43" s="4" t="str">
        <x:v>Responsible for testing, implementing, deploying, maintaining, and administering infrastructure hardware and software for cybersecurity.</x:v>
      </x:c>
      <x:c r="E43" s="4" t="str">
        <x:v>Soporte de infraestructura defensiva</x:v>
      </x:c>
      <x:c r="F43" s="4" t="str">
        <x:v>Implantar y mantener infraestructura y software de ciberseguridad.</x:v>
      </x:c>
      <x:c r="G43" s="4" t="str">
        <x:v>E05</x:v>
      </x:c>
      <x:c r="H43" s="4" t="str">
        <x:v>OPC-12</x:v>
      </x:c>
      <x:c r="I43" s="4" t="str">
        <x:v>F001</x:v>
      </x:c>
      <x:c r="J43" s="4" t="str">
        <x:v>2.2.0</x:v>
      </x:c>
      <x:c r="K43" s="4" t="str">
        <x:v>PRESENTE_EN_CORTE; sin revisión individual declarada</x:v>
      </x:c>
      <x:c r="L43" s="4" t="str">
        <x:v>CANDIDATA_NO_ADOPTADA</x:v>
      </x:c>
      <x:c r="M43" s="12" t="n">
        <x:f>COUNTIF('03_NICE'!$A$5:$A$57,A43)+COUNTIF('04_TKS'!$A$5:$A$72,A43)-1</x:f>
        <x:v>0</x:v>
      </x:c>
      <x:c r="N43" s="12" t="n">
        <x:f>IF(AND(COUNTIF('01_Fuentes'!$A$5:$A$40,I43)=1,COUNTIF('07_Operaciones'!$A$5:$A$26,H43)=1,COUNTIF('06_Cobertura'!$A$5:$A$25,G43)=1),0,1)</x:f>
        <x:v>0</x:v>
      </x:c>
      <x:c r="O43" s="12" t="n">
        <x:f>IF(OR(A43="",D43="",F43=""),1,0)</x:f>
        <x:v>0</x:v>
      </x:c>
    </x:row>
    <x:row r="44" ht="76" customHeight="1">
      <x:c r="A44" s="4" t="str">
        <x:v>PD-WRL-005</x:v>
      </x:c>
      <x:c r="B44" s="4" t="str">
        <x:v>work_role</x:v>
      </x:c>
      <x:c r="C44" s="4" t="str">
        <x:v>Insider Threat Analysis</x:v>
      </x:c>
      <x:c r="D44" s="4" t="str">
        <x:v>Responsible for identifying and assessing the capabilities and activities of cybersecurity insider threats; produces findings to help initialize and support law enforcement and counterintelligence activities and investigations.</x:v>
      </x:c>
      <x:c r="E44" s="4" t="str">
        <x:v>Análisis de amenazas internas</x:v>
      </x:c>
      <x:c r="F44" s="4" t="str">
        <x:v>Identificar y evaluar actividad de amenazas internas y comunicar hallazgos dentro del mandato aplicable.</x:v>
      </x:c>
      <x:c r="G44" s="4" t="str">
        <x:v>E09</x:v>
      </x:c>
      <x:c r="H44" s="4" t="str">
        <x:v>OPC-08</x:v>
      </x:c>
      <x:c r="I44" s="4" t="str">
        <x:v>F001</x:v>
      </x:c>
      <x:c r="J44" s="4" t="str">
        <x:v>2.2.0</x:v>
      </x:c>
      <x:c r="K44" s="4" t="str">
        <x:v>PRESENTE_EN_CORTE; sin revisión individual declarada</x:v>
      </x:c>
      <x:c r="L44" s="4" t="str">
        <x:v>CANDIDATA_NO_ADOPTADA</x:v>
      </x:c>
      <x:c r="M44" s="12" t="n">
        <x:f>COUNTIF('03_NICE'!$A$5:$A$57,A44)+COUNTIF('04_TKS'!$A$5:$A$72,A44)-1</x:f>
        <x:v>0</x:v>
      </x:c>
      <x:c r="N44" s="12" t="n">
        <x:f>IF(AND(COUNTIF('01_Fuentes'!$A$5:$A$40,I44)=1,COUNTIF('07_Operaciones'!$A$5:$A$26,H44)=1,COUNTIF('06_Cobertura'!$A$5:$A$25,G44)=1),0,1)</x:f>
        <x:v>0</x:v>
      </x:c>
      <x:c r="O44" s="12" t="n">
        <x:f>IF(OR(A44="",D44="",F44=""),1,0)</x:f>
        <x:v>0</x:v>
      </x:c>
    </x:row>
    <x:row r="45" ht="76" customHeight="1">
      <x:c r="A45" s="4" t="str">
        <x:v>PD-WRL-006</x:v>
      </x:c>
      <x:c r="B45" s="4" t="str">
        <x:v>work_role</x:v>
      </x:c>
      <x:c r="C45" s="4" t="str">
        <x:v>Threat Analysis</x:v>
      </x:c>
      <x:c r="D45" s="4" t="str">
        <x:v>Responsible for collecting, processing, analyzing, and disseminating cybersecurity threat assessments. Develops cybersecurity indicators to maintain awareness of the status of the highly dynamic operating environment.</x:v>
      </x:c>
      <x:c r="E45" s="4" t="str">
        <x:v>Análisis de amenazas</x:v>
      </x:c>
      <x:c r="F45" s="4" t="str">
        <x:v>Obtener, analizar y difundir evaluaciones e indicadores de amenazas cibernéticas.</x:v>
      </x:c>
      <x:c r="G45" s="4" t="str">
        <x:v>E09</x:v>
      </x:c>
      <x:c r="H45" s="4" t="str">
        <x:v>OPC-08</x:v>
      </x:c>
      <x:c r="I45" s="4" t="str">
        <x:v>F001</x:v>
      </x:c>
      <x:c r="J45" s="4" t="str">
        <x:v>2.2.0</x:v>
      </x:c>
      <x:c r="K45" s="4" t="str">
        <x:v>PRESENTE_EN_CORTE; sin revisión individual declarada</x:v>
      </x:c>
      <x:c r="L45" s="4" t="str">
        <x:v>CANDIDATA_NO_ADOPTADA</x:v>
      </x:c>
      <x:c r="M45" s="12" t="n">
        <x:f>COUNTIF('03_NICE'!$A$5:$A$57,A45)+COUNTIF('04_TKS'!$A$5:$A$72,A45)-1</x:f>
        <x:v>0</x:v>
      </x:c>
      <x:c r="N45" s="12" t="n">
        <x:f>IF(AND(COUNTIF('01_Fuentes'!$A$5:$A$40,I45)=1,COUNTIF('07_Operaciones'!$A$5:$A$26,H45)=1,COUNTIF('06_Cobertura'!$A$5:$A$25,G45)=1),0,1)</x:f>
        <x:v>0</x:v>
      </x:c>
      <x:c r="O45" s="12" t="n">
        <x:f>IF(OR(A45="",D45="",F45=""),1,0)</x:f>
        <x:v>0</x:v>
      </x:c>
    </x:row>
    <x:row r="46" ht="76" customHeight="1">
      <x:c r="A46" s="4" t="str">
        <x:v>PD-WRL-007</x:v>
      </x:c>
      <x:c r="B46" s="4" t="str">
        <x:v>work_role</x:v>
      </x:c>
      <x:c r="C46" s="4" t="str">
        <x:v>Vulnerability Analysis</x:v>
      </x:c>
      <x:c r="D46" s="4" t="str">
        <x:v>Responsible for assessing systems and networks to identify deviations from acceptable configurations, enclave policy, or local policy. Measure effectiveness of defense-in-depth architecture against known vulnerabilities.</x:v>
      </x:c>
      <x:c r="E46" s="4" t="str">
        <x:v>Análisis de vulnerabilidades</x:v>
      </x:c>
      <x:c r="F46" s="4" t="str">
        <x:v>Evaluar sistemas y redes frente a configuraciones aceptadas y vulnerabilidades conocidas.</x:v>
      </x:c>
      <x:c r="G46" s="4" t="str">
        <x:v>E08</x:v>
      </x:c>
      <x:c r="H46" s="4" t="str">
        <x:v>OPC-04</x:v>
      </x:c>
      <x:c r="I46" s="4" t="str">
        <x:v>F001</x:v>
      </x:c>
      <x:c r="J46" s="4" t="str">
        <x:v>2.2.0</x:v>
      </x:c>
      <x:c r="K46" s="4" t="str">
        <x:v>PRESENTE_EN_CORTE; sin revisión individual declarada</x:v>
      </x:c>
      <x:c r="L46" s="4" t="str">
        <x:v>CANDIDATA_NO_ADOPTADA</x:v>
      </x:c>
      <x:c r="M46" s="12" t="n">
        <x:f>COUNTIF('03_NICE'!$A$5:$A$57,A46)+COUNTIF('04_TKS'!$A$5:$A$72,A46)-1</x:f>
        <x:v>0</x:v>
      </x:c>
      <x:c r="N46" s="12" t="n">
        <x:f>IF(AND(COUNTIF('01_Fuentes'!$A$5:$A$40,I46)=1,COUNTIF('07_Operaciones'!$A$5:$A$26,H46)=1,COUNTIF('06_Cobertura'!$A$5:$A$25,G46)=1),0,1)</x:f>
        <x:v>0</x:v>
      </x:c>
      <x:c r="O46" s="12" t="n">
        <x:f>IF(OR(A46="",D46="",F46=""),1,0)</x:f>
        <x:v>0</x:v>
      </x:c>
    </x:row>
    <x:row r="47" ht="92" customHeight="1">
      <x:c r="A47" s="4" t="str">
        <x:v>NF-COM-001</x:v>
      </x:c>
      <x:c r="B47" s="4" t="str">
        <x:v>competency_area</x:v>
      </x:c>
      <x:c r="C47" s="4" t="str">
        <x:v>Access Controls</x:v>
      </x:c>
      <x:c r="D47" s="4" t="str">
        <x:v>This Competency Area describes a learner’s capabilities to define, manage, and monitor the roles and secure access privileges of who is authorized to access protected data and resources and understand the impact of different types of access controls.</x:v>
      </x:c>
      <x:c r="E47" s="4" t="str">
        <x:v>Control de acceso</x:v>
      </x:c>
      <x:c r="F47" s="4" t="str">
        <x:v>Definir, gestionar y vigilar roles y privilegios autorizados sobre recursos protegidos.</x:v>
      </x:c>
      <x:c r="G47" s="4" t="str">
        <x:v>E03</x:v>
      </x:c>
      <x:c r="H47" s="4" t="str">
        <x:v>OPC-03</x:v>
      </x:c>
      <x:c r="I47" s="4" t="str">
        <x:v>F001</x:v>
      </x:c>
      <x:c r="J47" s="4" t="str">
        <x:v>2.2.0</x:v>
      </x:c>
      <x:c r="K47" s="4" t="str">
        <x:v>PRESENTE_EN_CORTE; sin revisión individual declarada</x:v>
      </x:c>
      <x:c r="L47" s="4" t="str">
        <x:v>CANDIDATA_NO_ADOPTADA</x:v>
      </x:c>
      <x:c r="M47" s="12" t="n">
        <x:f>COUNTIF('03_NICE'!$A$5:$A$57,A47)+COUNTIF('04_TKS'!$A$5:$A$72,A47)-1</x:f>
        <x:v>0</x:v>
      </x:c>
      <x:c r="N47" s="12" t="n">
        <x:f>IF(AND(COUNTIF('01_Fuentes'!$A$5:$A$40,I47)=1,COUNTIF('07_Operaciones'!$A$5:$A$26,H47)=1,COUNTIF('06_Cobertura'!$A$5:$A$25,G47)=1),0,1)</x:f>
        <x:v>0</x:v>
      </x:c>
      <x:c r="O47" s="12" t="n">
        <x:f>IF(OR(A47="",D47="",F47=""),1,0)</x:f>
        <x:v>0</x:v>
      </x:c>
    </x:row>
    <x:row r="48" ht="76" customHeight="1">
      <x:c r="A48" s="4" t="str">
        <x:v>NF-COM-002</x:v>
      </x:c>
      <x:c r="B48" s="4" t="str">
        <x:v>competency_area</x:v>
      </x:c>
      <x:c r="C48" s="4" t="str">
        <x:v>Artificial Intelligence (AI) Security</x:v>
      </x:c>
      <x:c r="D48" s="4" t="str">
        <x:v>This Competency Area describes a learner’s capability to understand Artificial Intelligence (AI) systems and to use them in a secure manner that maximizes AI’s benefits while minimizing potential negative risks.</x:v>
      </x:c>
      <x:c r="E48" s="4" t="str">
        <x:v>Seguridad de inteligencia artificial</x:v>
      </x:c>
      <x:c r="F48" s="4" t="str">
        <x:v>Comprender sistemas de IA y usarlos de forma segura, evaluando beneficios y riesgos.</x:v>
      </x:c>
      <x:c r="G48" s="4" t="str">
        <x:v>E18</x:v>
      </x:c>
      <x:c r="H48" s="4" t="str">
        <x:v>OPC-15</x:v>
      </x:c>
      <x:c r="I48" s="4" t="str">
        <x:v>F001</x:v>
      </x:c>
      <x:c r="J48" s="4" t="str">
        <x:v>2.2.0</x:v>
      </x:c>
      <x:c r="K48" s="4" t="str">
        <x:v>PRESENTE_EN_CORTE; sin revisión individual declarada</x:v>
      </x:c>
      <x:c r="L48" s="4" t="str">
        <x:v>CANDIDATA_NO_ADOPTADA</x:v>
      </x:c>
      <x:c r="M48" s="12" t="n">
        <x:f>COUNTIF('03_NICE'!$A$5:$A$57,A48)+COUNTIF('04_TKS'!$A$5:$A$72,A48)-1</x:f>
        <x:v>0</x:v>
      </x:c>
      <x:c r="N48" s="12" t="n">
        <x:f>IF(AND(COUNTIF('01_Fuentes'!$A$5:$A$40,I48)=1,COUNTIF('07_Operaciones'!$A$5:$A$26,H48)=1,COUNTIF('06_Cobertura'!$A$5:$A$25,G48)=1),0,1)</x:f>
        <x:v>0</x:v>
      </x:c>
      <x:c r="O48" s="12" t="n">
        <x:f>IF(OR(A48="",D48="",F48=""),1,0)</x:f>
        <x:v>0</x:v>
      </x:c>
    </x:row>
    <x:row r="49" ht="76" customHeight="1">
      <x:c r="A49" s="4" t="str">
        <x:v>NF-COM-003</x:v>
      </x:c>
      <x:c r="B49" s="4" t="str">
        <x:v>competency_area</x:v>
      </x:c>
      <x:c r="C49" s="4" t="str">
        <x:v>Asset Management</x:v>
      </x:c>
      <x:c r="D49" s="4" t="str">
        <x:v>This Competency Area describes a learner’s capabilities to conduct and maintain an accurate inventory of all digital assets, to include identifying, developing, operating, maintaining, upgrading, and disposing of assets.</x:v>
      </x:c>
      <x:c r="E49" s="4" t="str">
        <x:v>Gestión de activos</x:v>
      </x:c>
      <x:c r="F49" s="4" t="str">
        <x:v>Mantener inventario y ciclo de vida de activos digitales, incluida su retirada.</x:v>
      </x:c>
      <x:c r="G49" s="4" t="str">
        <x:v>E02</x:v>
      </x:c>
      <x:c r="H49" s="4" t="str">
        <x:v>OPC-12</x:v>
      </x:c>
      <x:c r="I49" s="4" t="str">
        <x:v>F001</x:v>
      </x:c>
      <x:c r="J49" s="4" t="str">
        <x:v>2.2.0</x:v>
      </x:c>
      <x:c r="K49" s="4" t="str">
        <x:v>PRESENTE_EN_CORTE; sin revisión individual declarada</x:v>
      </x:c>
      <x:c r="L49" s="4" t="str">
        <x:v>CANDIDATA_NO_ADOPTADA</x:v>
      </x:c>
      <x:c r="M49" s="12" t="n">
        <x:f>COUNTIF('03_NICE'!$A$5:$A$57,A49)+COUNTIF('04_TKS'!$A$5:$A$72,A49)-1</x:f>
        <x:v>0</x:v>
      </x:c>
      <x:c r="N49" s="12" t="n">
        <x:f>IF(AND(COUNTIF('01_Fuentes'!$A$5:$A$40,I49)=1,COUNTIF('07_Operaciones'!$A$5:$A$26,H49)=1,COUNTIF('06_Cobertura'!$A$5:$A$25,G49)=1),0,1)</x:f>
        <x:v>0</x:v>
      </x:c>
      <x:c r="O49" s="12" t="n">
        <x:f>IF(OR(A49="",D49="",F49=""),1,0)</x:f>
        <x:v>0</x:v>
      </x:c>
    </x:row>
    <x:row r="50" ht="60" customHeight="1">
      <x:c r="A50" s="4" t="str">
        <x:v>NF-COM-004</x:v>
      </x:c>
      <x:c r="B50" s="4" t="str">
        <x:v>competency_area</x:v>
      </x:c>
      <x:c r="C50" s="4" t="str">
        <x:v>Cloud Security</x:v>
      </x:c>
      <x:c r="D50" s="4" t="str">
        <x:v>This Competency Area describes a learner’s capabilities to protect cloud data, applications, and infrastructure from internal and external threats.</x:v>
      </x:c>
      <x:c r="E50" s="4" t="str">
        <x:v>Seguridad de nube</x:v>
      </x:c>
      <x:c r="F50" s="4" t="str">
        <x:v>Proteger datos, aplicaciones e infraestructura en nube frente a amenazas internas y externas.</x:v>
      </x:c>
      <x:c r="G50" s="4" t="str">
        <x:v>E07</x:v>
      </x:c>
      <x:c r="H50" s="4" t="str">
        <x:v>OPC-06</x:v>
      </x:c>
      <x:c r="I50" s="4" t="str">
        <x:v>F001</x:v>
      </x:c>
      <x:c r="J50" s="4" t="str">
        <x:v>2.2.0</x:v>
      </x:c>
      <x:c r="K50" s="4" t="str">
        <x:v>PRESENTE_EN_CORTE; sin revisión individual declarada</x:v>
      </x:c>
      <x:c r="L50" s="4" t="str">
        <x:v>CANDIDATA_NO_ADOPTADA</x:v>
      </x:c>
      <x:c r="M50" s="12" t="n">
        <x:f>COUNTIF('03_NICE'!$A$5:$A$57,A50)+COUNTIF('04_TKS'!$A$5:$A$72,A50)-1</x:f>
        <x:v>0</x:v>
      </x:c>
      <x:c r="N50" s="12" t="n">
        <x:f>IF(AND(COUNTIF('01_Fuentes'!$A$5:$A$40,I50)=1,COUNTIF('07_Operaciones'!$A$5:$A$26,H50)=1,COUNTIF('06_Cobertura'!$A$5:$A$25,G50)=1),0,1)</x:f>
        <x:v>0</x:v>
      </x:c>
      <x:c r="O50" s="12" t="n">
        <x:f>IF(OR(A50="",D50="",F50=""),1,0)</x:f>
        <x:v>0</x:v>
      </x:c>
    </x:row>
    <x:row r="51" ht="76" customHeight="1">
      <x:c r="A51" s="4" t="str">
        <x:v>NF-COM-005</x:v>
      </x:c>
      <x:c r="B51" s="4" t="str">
        <x:v>competency_area</x:v>
      </x:c>
      <x:c r="C51" s="4" t="str">
        <x:v>Communications Security</x:v>
      </x:c>
      <x:c r="D51" s="4" t="str">
        <x:v>This Competency Area describes a learner’s capabilities to secure the transmissions, broadcasting, switching, control, and operation of communications and related network infrastructures.</x:v>
      </x:c>
      <x:c r="E51" s="4" t="str">
        <x:v>Seguridad de comunicaciones</x:v>
      </x:c>
      <x:c r="F51" s="4" t="str">
        <x:v>Proteger transmisión, conmutación, operación y control de comunicaciones e infraestructura asociada.</x:v>
      </x:c>
      <x:c r="G51" s="4" t="str">
        <x:v>E05</x:v>
      </x:c>
      <x:c r="H51" s="4" t="str">
        <x:v>OPC-13</x:v>
      </x:c>
      <x:c r="I51" s="4" t="str">
        <x:v>F001</x:v>
      </x:c>
      <x:c r="J51" s="4" t="str">
        <x:v>2.2.0</x:v>
      </x:c>
      <x:c r="K51" s="4" t="str">
        <x:v>PRESENTE_EN_CORTE; sin revisión individual declarada</x:v>
      </x:c>
      <x:c r="L51" s="4" t="str">
        <x:v>CANDIDATA_NO_ADOPTADA</x:v>
      </x:c>
      <x:c r="M51" s="12" t="n">
        <x:f>COUNTIF('03_NICE'!$A$5:$A$57,A51)+COUNTIF('04_TKS'!$A$5:$A$72,A51)-1</x:f>
        <x:v>0</x:v>
      </x:c>
      <x:c r="N51" s="12" t="n">
        <x:f>IF(AND(COUNTIF('01_Fuentes'!$A$5:$A$40,I51)=1,COUNTIF('07_Operaciones'!$A$5:$A$26,H51)=1,COUNTIF('06_Cobertura'!$A$5:$A$25,G51)=1),0,1)</x:f>
        <x:v>0</x:v>
      </x:c>
      <x:c r="O51" s="12" t="n">
        <x:f>IF(OR(A51="",D51="",F51=""),1,0)</x:f>
        <x:v>0</x:v>
      </x:c>
    </x:row>
    <x:row r="52" ht="76" customHeight="1">
      <x:c r="A52" s="4" t="str">
        <x:v>NF-COM-006</x:v>
      </x:c>
      <x:c r="B52" s="4" t="str">
        <x:v>competency_area</x:v>
      </x:c>
      <x:c r="C52" s="4" t="str">
        <x:v>Cryptography</x:v>
      </x:c>
      <x:c r="D52" s="4" t="str">
        <x:v>This Competency Area describes a learner’s capabilities to transform data using cryptographic processes to ensure it can only be read by the person who is authorized to access it.</x:v>
      </x:c>
      <x:c r="E52" s="4" t="str">
        <x:v>Criptografía</x:v>
      </x:c>
      <x:c r="F52" s="4" t="str">
        <x:v>Aplicar transformaciones criptográficas para proteger lectura autorizada de los datos.</x:v>
      </x:c>
      <x:c r="G52" s="4" t="str">
        <x:v>E04</x:v>
      </x:c>
      <x:c r="H52" s="4" t="str">
        <x:v>OPC-13</x:v>
      </x:c>
      <x:c r="I52" s="4" t="str">
        <x:v>F001</x:v>
      </x:c>
      <x:c r="J52" s="4" t="str">
        <x:v>2.2.0</x:v>
      </x:c>
      <x:c r="K52" s="4" t="str">
        <x:v>PRESENTE_EN_CORTE; sin revisión individual declarada</x:v>
      </x:c>
      <x:c r="L52" s="4" t="str">
        <x:v>CANDIDATA_NO_ADOPTADA</x:v>
      </x:c>
      <x:c r="M52" s="12" t="n">
        <x:f>COUNTIF('03_NICE'!$A$5:$A$57,A52)+COUNTIF('04_TKS'!$A$5:$A$72,A52)-1</x:f>
        <x:v>0</x:v>
      </x:c>
      <x:c r="N52" s="12" t="n">
        <x:f>IF(AND(COUNTIF('01_Fuentes'!$A$5:$A$40,I52)=1,COUNTIF('07_Operaciones'!$A$5:$A$26,H52)=1,COUNTIF('06_Cobertura'!$A$5:$A$25,G52)=1),0,1)</x:f>
        <x:v>0</x:v>
      </x:c>
      <x:c r="O52" s="12" t="n">
        <x:f>IF(OR(A52="",D52="",F52=""),1,0)</x:f>
        <x:v>0</x:v>
      </x:c>
    </x:row>
    <x:row r="53" ht="108" customHeight="1">
      <x:c r="A53" s="4" t="str">
        <x:v>NF-COM-007</x:v>
      </x:c>
      <x:c r="B53" s="4" t="str">
        <x:v>competency_area</x:v>
      </x:c>
      <x:c r="C53" s="4" t="str">
        <x:v>Cyber Resiliency</x:v>
      </x:c>
      <x:c r="D53" s="4" t="str">
        <x:v>This Competency Area describes a learner’s capability related to architecting, designing, developing, implementing, and maintaining the trustworthiness of systems that use or are enabled by cyber resources in order to anticipate, withstand, recover from, and adapt to adverse conditions, stresses, attacks, or compromises.</x:v>
      </x:c>
      <x:c r="E53" s="4" t="str">
        <x:v>Ciberresiliencia</x:v>
      </x:c>
      <x:c r="F53" s="4" t="str">
        <x:v>Diseñar y mantener sistemas capaces de anticipar, resistir, recuperarse y adaptarse a condiciones adversas.</x:v>
      </x:c>
      <x:c r="G53" s="4" t="str">
        <x:v>E12</x:v>
      </x:c>
      <x:c r="H53" s="4" t="str">
        <x:v>OPC-11</x:v>
      </x:c>
      <x:c r="I53" s="4" t="str">
        <x:v>F001</x:v>
      </x:c>
      <x:c r="J53" s="4" t="str">
        <x:v>2.2.0</x:v>
      </x:c>
      <x:c r="K53" s="4" t="str">
        <x:v>PRESENTE_EN_CORTE; sin revisión individual declarada</x:v>
      </x:c>
      <x:c r="L53" s="4" t="str">
        <x:v>CANDIDATA_NO_ADOPTADA</x:v>
      </x:c>
      <x:c r="M53" s="12" t="n">
        <x:f>COUNTIF('03_NICE'!$A$5:$A$57,A53)+COUNTIF('04_TKS'!$A$5:$A$72,A53)-1</x:f>
        <x:v>0</x:v>
      </x:c>
      <x:c r="N53" s="12" t="n">
        <x:f>IF(AND(COUNTIF('01_Fuentes'!$A$5:$A$40,I53)=1,COUNTIF('07_Operaciones'!$A$5:$A$26,H53)=1,COUNTIF('06_Cobertura'!$A$5:$A$25,G53)=1),0,1)</x:f>
        <x:v>0</x:v>
      </x:c>
      <x:c r="O53" s="12" t="n">
        <x:f>IF(OR(A53="",D53="",F53=""),1,0)</x:f>
        <x:v>0</x:v>
      </x:c>
    </x:row>
    <x:row r="54" ht="76" customHeight="1">
      <x:c r="A54" s="4" t="str">
        <x:v>NF-COM-008</x:v>
      </x:c>
      <x:c r="B54" s="4" t="str">
        <x:v>competency_area</x:v>
      </x:c>
      <x:c r="C54" s="4" t="str">
        <x:v>DevSecOps</x:v>
      </x:c>
      <x:c r="D54" s="4" t="str">
        <x:v>This Competency Area describes a learner’s capabilities to integrate security as a shared responsibility throughout the development, security, and operations (DevSecOps) life cycle of technologies.</x:v>
      </x:c>
      <x:c r="E54" s="4" t="str">
        <x:v>Desarrollo, seguridad y operación integrados</x:v>
      </x:c>
      <x:c r="F54" s="4" t="str">
        <x:v>Integrar seguridad como responsabilidad compartida a lo largo del ciclo DevSecOps.</x:v>
      </x:c>
      <x:c r="G54" s="4" t="str">
        <x:v>E06</x:v>
      </x:c>
      <x:c r="H54" s="4" t="str">
        <x:v>OPC-05</x:v>
      </x:c>
      <x:c r="I54" s="4" t="str">
        <x:v>F001</x:v>
      </x:c>
      <x:c r="J54" s="4" t="str">
        <x:v>2.2.0</x:v>
      </x:c>
      <x:c r="K54" s="4" t="str">
        <x:v>PRESENTE_EN_CORTE; sin revisión individual declarada</x:v>
      </x:c>
      <x:c r="L54" s="4" t="str">
        <x:v>CANDIDATA_NO_ADOPTADA</x:v>
      </x:c>
      <x:c r="M54" s="12" t="n">
        <x:f>COUNTIF('03_NICE'!$A$5:$A$57,A54)+COUNTIF('04_TKS'!$A$5:$A$72,A54)-1</x:f>
        <x:v>0</x:v>
      </x:c>
      <x:c r="N54" s="12" t="n">
        <x:f>IF(AND(COUNTIF('01_Fuentes'!$A$5:$A$40,I54)=1,COUNTIF('07_Operaciones'!$A$5:$A$26,H54)=1,COUNTIF('06_Cobertura'!$A$5:$A$25,G54)=1),0,1)</x:f>
        <x:v>0</x:v>
      </x:c>
      <x:c r="O54" s="12" t="n">
        <x:f>IF(OR(A54="",D54="",F54=""),1,0)</x:f>
        <x:v>0</x:v>
      </x:c>
    </x:row>
    <x:row r="55" ht="76" customHeight="1">
      <x:c r="A55" s="4" t="str">
        <x:v>NF-COM-009</x:v>
      </x:c>
      <x:c r="B55" s="4" t="str">
        <x:v>competency_area</x:v>
      </x:c>
      <x:c r="C55" s="4" t="str">
        <x:v>Operating Systems (OS) Security</x:v>
      </x:c>
      <x:c r="D55" s="4" t="str">
        <x:v>This Competency Area describes a learner’s capabilities to install, administer, troubleshoot, backup, and conduct recovery of Operating Systems (OS), including in simulated environments.</x:v>
      </x:c>
      <x:c r="E55" s="4" t="str">
        <x:v>Seguridad de sistemas operativos</x:v>
      </x:c>
      <x:c r="F55" s="4" t="str">
        <x:v>Instalar, administrar, resolver problemas y recuperar sistemas operativos.</x:v>
      </x:c>
      <x:c r="G55" s="4" t="str">
        <x:v>E05</x:v>
      </x:c>
      <x:c r="H55" s="4" t="str">
        <x:v>OPC-12</x:v>
      </x:c>
      <x:c r="I55" s="4" t="str">
        <x:v>F001</x:v>
      </x:c>
      <x:c r="J55" s="4" t="str">
        <x:v>2.2.0</x:v>
      </x:c>
      <x:c r="K55" s="4" t="str">
        <x:v>PRESENTE_EN_CORTE; sin revisión individual declarada</x:v>
      </x:c>
      <x:c r="L55" s="4" t="str">
        <x:v>CANDIDATA_NO_ADOPTADA</x:v>
      </x:c>
      <x:c r="M55" s="12" t="n">
        <x:f>COUNTIF('03_NICE'!$A$5:$A$57,A55)+COUNTIF('04_TKS'!$A$5:$A$72,A55)-1</x:f>
        <x:v>0</x:v>
      </x:c>
      <x:c r="N55" s="12" t="n">
        <x:f>IF(AND(COUNTIF('01_Fuentes'!$A$5:$A$40,I55)=1,COUNTIF('07_Operaciones'!$A$5:$A$26,H55)=1,COUNTIF('06_Cobertura'!$A$5:$A$25,G55)=1),0,1)</x:f>
        <x:v>0</x:v>
      </x:c>
      <x:c r="O55" s="12" t="n">
        <x:f>IF(OR(A55="",D55="",F55=""),1,0)</x:f>
        <x:v>0</x:v>
      </x:c>
    </x:row>
    <x:row r="56" ht="76" customHeight="1">
      <x:c r="A56" s="4" t="str">
        <x:v>NF-COM-010</x:v>
      </x:c>
      <x:c r="B56" s="4" t="str">
        <x:v>competency_area</x:v>
      </x:c>
      <x:c r="C56" s="4" t="str">
        <x:v>Operational Technology (OT) Security</x:v>
      </x:c>
      <x:c r="D56" s="4" t="str">
        <x:v>This Competency Area describes a learner’s capabilities to improve and maintain the security of Operational Technology (OT) systems while addressing their unique performance, reliability, and safety requirements.</x:v>
      </x:c>
      <x:c r="E56" s="4" t="str">
        <x:v>Seguridad de tecnología operacional</x:v>
      </x:c>
      <x:c r="F56" s="4" t="str">
        <x:v>Mantener seguridad OT atendiendo a rendimiento, fiabilidad y seguridad física.</x:v>
      </x:c>
      <x:c r="G56" s="4" t="str">
        <x:v>E13</x:v>
      </x:c>
      <x:c r="H56" s="4" t="str">
        <x:v>OPC-14</x:v>
      </x:c>
      <x:c r="I56" s="4" t="str">
        <x:v>F001</x:v>
      </x:c>
      <x:c r="J56" s="4" t="str">
        <x:v>2.2.0</x:v>
      </x:c>
      <x:c r="K56" s="4" t="str">
        <x:v>PRESENTE_EN_CORTE; sin revisión individual declarada</x:v>
      </x:c>
      <x:c r="L56" s="4" t="str">
        <x:v>CANDIDATA_NO_ADOPTADA</x:v>
      </x:c>
      <x:c r="M56" s="12" t="n">
        <x:f>COUNTIF('03_NICE'!$A$5:$A$57,A56)+COUNTIF('04_TKS'!$A$5:$A$72,A56)-1</x:f>
        <x:v>0</x:v>
      </x:c>
      <x:c r="N56" s="12" t="n">
        <x:f>IF(AND(COUNTIF('01_Fuentes'!$A$5:$A$40,I56)=1,COUNTIF('07_Operaciones'!$A$5:$A$26,H56)=1,COUNTIF('06_Cobertura'!$A$5:$A$25,G56)=1),0,1)</x:f>
        <x:v>0</x:v>
      </x:c>
      <x:c r="O56" s="12" t="n">
        <x:f>IF(OR(A56="",D56="",F56=""),1,0)</x:f>
        <x:v>0</x:v>
      </x:c>
    </x:row>
    <x:row r="57" ht="76" customHeight="1">
      <x:c r="A57" s="4" t="str">
        <x:v>NF-COM-011</x:v>
      </x:c>
      <x:c r="B57" s="4" t="str">
        <x:v>competency_area</x:v>
      </x:c>
      <x:c r="C57" s="4" t="str">
        <x:v>Supply Chain Security</x:v>
      </x:c>
      <x:c r="D57" s="4" t="str">
        <x:v>This Competency Area describes a learner’s capabilities to analyze and control digital and physical risks presented by technology products or services purchased from parties outside your organization.</x:v>
      </x:c>
      <x:c r="E57" s="4" t="str">
        <x:v>Seguridad de la cadena de suministro</x:v>
      </x:c>
      <x:c r="F57" s="4" t="str">
        <x:v>Analizar y controlar riesgos digitales y físicos de productos y servicios externos.</x:v>
      </x:c>
      <x:c r="G57" s="4" t="str">
        <x:v>E07</x:v>
      </x:c>
      <x:c r="H57" s="4" t="str">
        <x:v>OPC-06</x:v>
      </x:c>
      <x:c r="I57" s="4" t="str">
        <x:v>F001</x:v>
      </x:c>
      <x:c r="J57" s="4" t="str">
        <x:v>2.2.0</x:v>
      </x:c>
      <x:c r="K57" s="4" t="str">
        <x:v>PRESENTE_EN_CORTE; sin revisión individual declarada</x:v>
      </x:c>
      <x:c r="L57" s="4" t="str">
        <x:v>CANDIDATA_NO_ADOPTADA</x:v>
      </x:c>
      <x:c r="M57" s="12" t="n">
        <x:f>COUNTIF('03_NICE'!$A$5:$A$57,A57)+COUNTIF('04_TKS'!$A$5:$A$72,A57)-1</x:f>
        <x:v>0</x:v>
      </x:c>
      <x:c r="N57" s="12" t="n">
        <x:f>IF(AND(COUNTIF('01_Fuentes'!$A$5:$A$40,I57)=1,COUNTIF('07_Operaciones'!$A$5:$A$26,H57)=1,COUNTIF('06_Cobertura'!$A$5:$A$25,G57)=1),0,1)</x:f>
        <x:v>0</x:v>
      </x:c>
      <x:c r="O57" s="12" t="n">
        <x:f>IF(OR(A57="",D57="",F57=""),1,0)</x:f>
        <x:v>0</x:v>
      </x:c>
    </x:row>
  </x:sheetData>
  <x:mergeCells>
    <x:mergeCell ref="A1:D1"/>
    <x:mergeCell ref="A2:F2"/>
  </x:mergeCells>
  <x:pageMargins left="0.7" right="0.7" top="0.75" bottom="0.75" header="0.3" footer="0.3"/>
  <x:tableParts count="1">
    <x:tablePart xmlns:r="http://schemas.openxmlformats.org/officeDocument/2006/relationships" r:id="R0c29985059a4403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18" hidden="0" customWidth="1"/>
    <x:col min="3" max="3" width="73" hidden="0" customWidth="1"/>
    <x:col min="4" max="4" width="74" hidden="0" customWidth="1"/>
    <x:col min="5" max="5" width="10" hidden="0" customWidth="1"/>
    <x:col min="6" max="6" width="19" hidden="0" customWidth="1"/>
    <x:col min="7" max="7" width="12" hidden="0" customWidth="1"/>
    <x:col min="8" max="8" width="12" hidden="0" customWidth="1"/>
    <x:col min="9" max="9" width="41" hidden="0" customWidth="1"/>
    <x:col min="10" max="10" width="34" hidden="0" customWidth="1"/>
    <x:col min="11" max="11" width="12" hidden="0" customWidth="1"/>
    <x:col min="12" max="12" width="15" hidden="0" customWidth="1"/>
    <x:col min="13" max="13" width="13" hidden="0" customWidth="1"/>
  </x:cols>
  <x:sheetData>
    <x:row r="1" ht="35" customHeight="1">
      <x:c r="A1" s="6" t="str">
        <x:v>NICE · tareas, conocimientos y habilidades</x:v>
      </x:c>
      <x:c r="B1" s="6"/>
      <x:c r="C1" s="6"/>
      <x:c r="D1" s="6"/>
      <x:c r="E1" s="6"/>
      <x:c r="F1" s="6"/>
      <x:c r="G1" s="6"/>
      <x:c r="H1" s="6"/>
      <x:c r="I1" s="6"/>
      <x:c r="J1" s="6"/>
      <x:c r="K1" s="6"/>
      <x:c r="L1" s="6"/>
      <x:c r="M1" s="6"/>
    </x:row>
    <x:row r="2" ht="52" customHeight="1">
      <x:c r="A2" s="8" t="str">
        <x:v>68 TKS seleccionados del corpus de 2.211. Selección finita pertinente; no extracción exhaustiva de tareas de cada rol.</x:v>
      </x:c>
      <x:c r="B2" s="8"/>
      <x:c r="C2" s="8"/>
      <x:c r="D2" s="8"/>
      <x:c r="E2" s="8"/>
      <x:c r="F2" s="8"/>
      <x:c r="G2" s="8"/>
      <x:c r="H2" s="8"/>
      <x:c r="I2" s="8"/>
      <x:c r="J2" s="8"/>
      <x:c r="K2" s="8"/>
      <x:c r="L2" s="8"/>
      <x:c r="M2" s="8"/>
    </x:row>
    <x:row r="3">
      <x:c r="A3" s="4"/>
      <x:c r="B3" s="4"/>
      <x:c r="C3" s="4"/>
      <x:c r="D3" s="4"/>
      <x:c r="E3" s="4"/>
      <x:c r="F3" s="4"/>
      <x:c r="G3" s="4"/>
      <x:c r="H3" s="4"/>
      <x:c r="I3" s="4"/>
      <x:c r="J3" s="4"/>
      <x:c r="K3" s="4"/>
      <x:c r="L3" s="4"/>
      <x:c r="M3" s="4"/>
    </x:row>
    <x:row r="4" ht="42" customHeight="1">
      <x:c r="A4" s="10" t="str">
        <x:v>ID externo</x:v>
      </x:c>
      <x:c r="B4" s="10" t="str">
        <x:v>Tipo NICE</x:v>
      </x:c>
      <x:c r="C4" s="10" t="str">
        <x:v>Texto original</x:v>
      </x:c>
      <x:c r="D4" s="10" t="str">
        <x:v>Síntesis española</x:v>
      </x:c>
      <x:c r="E4" s="10" t="str">
        <x:v>Eje</x:v>
      </x:c>
      <x:c r="F4" s="10" t="str">
        <x:v>Operación primaria</x:v>
      </x:c>
      <x:c r="G4" s="10" t="str">
        <x:v>Fuente</x:v>
      </x:c>
      <x:c r="H4" s="10" t="str">
        <x:v>Edición</x:v>
      </x:c>
      <x:c r="I4" s="10" t="str">
        <x:v>Estado externo</x:v>
      </x:c>
      <x:c r="J4" s="10" t="str">
        <x:v>Adopción de afirmación</x:v>
      </x:c>
      <x:c r="K4" s="10" t="str">
        <x:v>Duplicado</x:v>
      </x:c>
      <x:c r="L4" s="10" t="str">
        <x:v>Referencia ausente</x:v>
      </x:c>
      <x:c r="M4" s="10" t="str">
        <x:v>Campo ausente</x:v>
      </x:c>
    </x:row>
    <x:row r="5" ht="47" customHeight="1">
      <x:c r="A5" s="4" t="str">
        <x:v>T0077</x:v>
      </x:c>
      <x:c r="B5" s="4" t="str">
        <x:v>task</x:v>
      </x:c>
      <x:c r="C5" s="4" t="str">
        <x:v>Develop secure code and error handling</x:v>
      </x:c>
      <x:c r="D5" s="4" t="str">
        <x:v>Desarrollar código seguro y tratamiento de errores.</x:v>
      </x:c>
      <x:c r="E5" s="4" t="str">
        <x:v>E06</x:v>
      </x:c>
      <x:c r="F5" s="4" t="str">
        <x:v>OPC-05</x:v>
      </x:c>
      <x:c r="G5" s="4" t="str">
        <x:v>F001</x:v>
      </x:c>
      <x:c r="H5" s="4" t="str">
        <x:v>2.2.0</x:v>
      </x:c>
      <x:c r="I5" s="4" t="str">
        <x:v>PRESENTE_EN_CORTE; sin revisión individual declarada</x:v>
      </x:c>
      <x:c r="J5" s="4" t="str">
        <x:v>CANDIDATA_NO_ADOPTADA</x:v>
      </x:c>
      <x:c r="K5" s="12" t="n">
        <x:f>COUNTIF('03_NICE'!$A$5:$A$57,A5)+COUNTIF('04_TKS'!$A$5:$A$72,A5)-1</x:f>
        <x:v>0</x:v>
      </x:c>
      <x:c r="L5" s="12" t="n">
        <x:f>IF(AND(COUNTIF('01_Fuentes'!$A$5:$A$40,G5)=1,COUNTIF('07_Operaciones'!$A$5:$A$26,F5)=1,COUNTIF('06_Cobertura'!$A$5:$A$25,E5)=1),0,1)</x:f>
        <x:v>0</x:v>
      </x:c>
      <x:c r="M5" s="12" t="n">
        <x:f>IF(OR(A5="",C5="",D5=""),1,0)</x:f>
        <x:v>0</x:v>
      </x:c>
    </x:row>
    <x:row r="6" ht="47" customHeight="1">
      <x:c r="A6" s="4" t="str">
        <x:v>T0080</x:v>
      </x:c>
      <x:c r="B6" s="4" t="str">
        <x:v>task</x:v>
      </x:c>
      <x:c r="C6" s="4" t="str">
        <x:v>Develop test plans to address specifications and requirements</x:v>
      </x:c>
      <x:c r="D6" s="4" t="str">
        <x:v>Preparar planes de prueba que contrasten requisitos y especificaciones.</x:v>
      </x:c>
      <x:c r="E6" s="4" t="str">
        <x:v>E08</x:v>
      </x:c>
      <x:c r="F6" s="4" t="str">
        <x:v>OPC-04</x:v>
      </x:c>
      <x:c r="G6" s="4" t="str">
        <x:v>F001</x:v>
      </x:c>
      <x:c r="H6" s="4" t="str">
        <x:v>2.2.0</x:v>
      </x:c>
      <x:c r="I6" s="4" t="str">
        <x:v>PRESENTE_EN_CORTE; sin revisión individual declarada</x:v>
      </x:c>
      <x:c r="J6" s="4" t="str">
        <x:v>CANDIDATA_NO_ADOPTADA</x:v>
      </x:c>
      <x:c r="K6" s="12" t="n">
        <x:f>COUNTIF('03_NICE'!$A$5:$A$57,A6)+COUNTIF('04_TKS'!$A$5:$A$72,A6)-1</x:f>
        <x:v>0</x:v>
      </x:c>
      <x:c r="L6" s="12" t="n">
        <x:f>IF(AND(COUNTIF('01_Fuentes'!$A$5:$A$40,G6)=1,COUNTIF('07_Operaciones'!$A$5:$A$26,F6)=1,COUNTIF('06_Cobertura'!$A$5:$A$25,E6)=1),0,1)</x:f>
        <x:v>0</x:v>
      </x:c>
      <x:c r="M6" s="12" t="n">
        <x:f>IF(OR(A6="",C6="",D6=""),1,0)</x:f>
        <x:v>0</x:v>
      </x:c>
    </x:row>
    <x:row r="7" ht="47" customHeight="1">
      <x:c r="A7" s="4" t="str">
        <x:v>T0084</x:v>
      </x:c>
      <x:c r="B7" s="4" t="str">
        <x:v>task</x:v>
      </x:c>
      <x:c r="C7" s="4" t="str">
        <x:v>Employ secure configuration management processes</x:v>
      </x:c>
      <x:c r="D7" s="4" t="str">
        <x:v>Aplicar procesos seguros de gestión de configuración.</x:v>
      </x:c>
      <x:c r="E7" s="4" t="str">
        <x:v>E05</x:v>
      </x:c>
      <x:c r="F7" s="4" t="str">
        <x:v>OPC-12</x:v>
      </x:c>
      <x:c r="G7" s="4" t="str">
        <x:v>F001</x:v>
      </x:c>
      <x:c r="H7" s="4" t="str">
        <x:v>2.2.0</x:v>
      </x:c>
      <x:c r="I7" s="4" t="str">
        <x:v>PRESENTE_EN_CORTE; sin revisión individual declarada</x:v>
      </x:c>
      <x:c r="J7" s="4" t="str">
        <x:v>CANDIDATA_NO_ADOPTADA</x:v>
      </x:c>
      <x:c r="K7" s="12" t="n">
        <x:f>COUNTIF('03_NICE'!$A$5:$A$57,A7)+COUNTIF('04_TKS'!$A$5:$A$72,A7)-1</x:f>
        <x:v>0</x:v>
      </x:c>
      <x:c r="L7" s="12" t="n">
        <x:f>IF(AND(COUNTIF('01_Fuentes'!$A$5:$A$40,G7)=1,COUNTIF('07_Operaciones'!$A$5:$A$26,F7)=1,COUNTIF('06_Cobertura'!$A$5:$A$25,E7)=1),0,1)</x:f>
        <x:v>0</x:v>
      </x:c>
      <x:c r="M7" s="12" t="n">
        <x:f>IF(OR(A7="",C7="",D7=""),1,0)</x:f>
        <x:v>0</x:v>
      </x:c>
    </x:row>
    <x:row r="8" ht="47" customHeight="1">
      <x:c r="A8" s="4" t="str">
        <x:v>T0101</x:v>
      </x:c>
      <x:c r="B8" s="4" t="str">
        <x:v>task</x:v>
      </x:c>
      <x:c r="C8" s="4" t="str">
        <x:v>Evaluate the effectiveness and comprehensiveness of existing training programs</x:v>
      </x:c>
      <x:c r="D8" s="4" t="str">
        <x:v>Evaluar eficacia y cobertura de programas de formación existentes.</x:v>
      </x:c>
      <x:c r="E8" s="4" t="str">
        <x:v>E14</x:v>
      </x:c>
      <x:c r="F8" s="4" t="str">
        <x:v>OPC-18</x:v>
      </x:c>
      <x:c r="G8" s="4" t="str">
        <x:v>F001</x:v>
      </x:c>
      <x:c r="H8" s="4" t="str">
        <x:v>2.2.0</x:v>
      </x:c>
      <x:c r="I8" s="4" t="str">
        <x:v>PRESENTE_EN_CORTE; sin revisión individual declarada</x:v>
      </x:c>
      <x:c r="J8" s="4" t="str">
        <x:v>CANDIDATA_NO_ADOPTADA</x:v>
      </x:c>
      <x:c r="K8" s="12" t="n">
        <x:f>COUNTIF('03_NICE'!$A$5:$A$57,A8)+COUNTIF('04_TKS'!$A$5:$A$72,A8)-1</x:f>
        <x:v>0</x:v>
      </x:c>
      <x:c r="L8" s="12" t="n">
        <x:f>IF(AND(COUNTIF('01_Fuentes'!$A$5:$A$40,G8)=1,COUNTIF('07_Operaciones'!$A$5:$A$26,F8)=1,COUNTIF('06_Cobertura'!$A$5:$A$25,E8)=1),0,1)</x:f>
        <x:v>0</x:v>
      </x:c>
      <x:c r="M8" s="12" t="n">
        <x:f>IF(OR(A8="",C8="",D8=""),1,0)</x:f>
        <x:v>0</x:v>
      </x:c>
    </x:row>
    <x:row r="9" ht="47" customHeight="1">
      <x:c r="A9" s="4" t="str">
        <x:v>T0173</x:v>
      </x:c>
      <x:c r="B9" s="4" t="str">
        <x:v>task</x:v>
      </x:c>
      <x:c r="C9" s="4" t="str">
        <x:v>Perform timeline analysis</x:v>
      </x:c>
      <x:c r="D9" s="4" t="str">
        <x:v>Analizar la cronología de los hechos investigados.</x:v>
      </x:c>
      <x:c r="E9" s="4" t="str">
        <x:v>E10</x:v>
      </x:c>
      <x:c r="F9" s="4" t="str">
        <x:v>OPC-10</x:v>
      </x:c>
      <x:c r="G9" s="4" t="str">
        <x:v>F001</x:v>
      </x:c>
      <x:c r="H9" s="4" t="str">
        <x:v>2.2.0</x:v>
      </x:c>
      <x:c r="I9" s="4" t="str">
        <x:v>PRESENTE_EN_CORTE; sin revisión individual declarada</x:v>
      </x:c>
      <x:c r="J9" s="4" t="str">
        <x:v>CANDIDATA_NO_ADOPTADA</x:v>
      </x:c>
      <x:c r="K9" s="12" t="n">
        <x:f>COUNTIF('03_NICE'!$A$5:$A$57,A9)+COUNTIF('04_TKS'!$A$5:$A$72,A9)-1</x:f>
        <x:v>0</x:v>
      </x:c>
      <x:c r="L9" s="12" t="n">
        <x:f>IF(AND(COUNTIF('01_Fuentes'!$A$5:$A$40,G9)=1,COUNTIF('07_Operaciones'!$A$5:$A$26,F9)=1,COUNTIF('06_Cobertura'!$A$5:$A$25,E9)=1),0,1)</x:f>
        <x:v>0</x:v>
      </x:c>
      <x:c r="M9" s="12" t="n">
        <x:f>IF(OR(A9="",C9="",D9=""),1,0)</x:f>
        <x:v>0</x:v>
      </x:c>
    </x:row>
    <x:row r="10" ht="47" customHeight="1">
      <x:c r="A10" s="4" t="str">
        <x:v>T0220</x:v>
      </x:c>
      <x:c r="B10" s="4" t="str">
        <x:v>task</x:v>
      </x:c>
      <x:c r="C10" s="4" t="str">
        <x:v>Resolve conflicts in laws, regulations, policies, standards, or procedures</x:v>
      </x:c>
      <x:c r="D10" s="4" t="str">
        <x:v>Resolver conflictos entre disposiciones, políticas, estándares y procedimientos desde la autoridad competente.</x:v>
      </x:c>
      <x:c r="E10" s="4" t="str">
        <x:v>E16</x:v>
      </x:c>
      <x:c r="F10" s="4" t="str">
        <x:v>OPC-17</x:v>
      </x:c>
      <x:c r="G10" s="4" t="str">
        <x:v>F001</x:v>
      </x:c>
      <x:c r="H10" s="4" t="str">
        <x:v>2.2.0</x:v>
      </x:c>
      <x:c r="I10" s="4" t="str">
        <x:v>PRESENTE_EN_CORTE; sin revisión individual declarada</x:v>
      </x:c>
      <x:c r="J10" s="4" t="str">
        <x:v>CANDIDATA_NO_ADOPTADA</x:v>
      </x:c>
      <x:c r="K10" s="12" t="n">
        <x:f>COUNTIF('03_NICE'!$A$5:$A$57,A10)+COUNTIF('04_TKS'!$A$5:$A$72,A10)-1</x:f>
        <x:v>0</x:v>
      </x:c>
      <x:c r="L10" s="12" t="n">
        <x:f>IF(AND(COUNTIF('01_Fuentes'!$A$5:$A$40,G10)=1,COUNTIF('07_Operaciones'!$A$5:$A$26,F10)=1,COUNTIF('06_Cobertura'!$A$5:$A$25,E10)=1),0,1)</x:f>
        <x:v>0</x:v>
      </x:c>
      <x:c r="M10" s="12" t="n">
        <x:f>IF(OR(A10="",C10="",D10=""),1,0)</x:f>
        <x:v>0</x:v>
      </x:c>
    </x:row>
    <x:row r="11" ht="47" customHeight="1">
      <x:c r="A11" s="4" t="str">
        <x:v>T0274</x:v>
      </x:c>
      <x:c r="B11" s="4" t="str">
        <x:v>task</x:v>
      </x:c>
      <x:c r="C11" s="4" t="str">
        <x:v>Create auditable evidence of security measures</x:v>
      </x:c>
      <x:c r="D11" s="4" t="str">
        <x:v>Crear evidencia auditable de las medidas de seguridad.</x:v>
      </x:c>
      <x:c r="E11" s="4" t="str">
        <x:v>E15</x:v>
      </x:c>
      <x:c r="F11" s="4" t="str">
        <x:v>OPC-16</x:v>
      </x:c>
      <x:c r="G11" s="4" t="str">
        <x:v>F001</x:v>
      </x:c>
      <x:c r="H11" s="4" t="str">
        <x:v>2.2.0</x:v>
      </x:c>
      <x:c r="I11" s="4" t="str">
        <x:v>PRESENTE_EN_CORTE; sin revisión individual declarada</x:v>
      </x:c>
      <x:c r="J11" s="4" t="str">
        <x:v>CANDIDATA_NO_ADOPTADA</x:v>
      </x:c>
      <x:c r="K11" s="12" t="n">
        <x:f>COUNTIF('03_NICE'!$A$5:$A$57,A11)+COUNTIF('04_TKS'!$A$5:$A$72,A11)-1</x:f>
        <x:v>0</x:v>
      </x:c>
      <x:c r="L11" s="12" t="n">
        <x:f>IF(AND(COUNTIF('01_Fuentes'!$A$5:$A$40,G11)=1,COUNTIF('07_Operaciones'!$A$5:$A$26,F11)=1,COUNTIF('06_Cobertura'!$A$5:$A$25,E11)=1),0,1)</x:f>
        <x:v>0</x:v>
      </x:c>
      <x:c r="M11" s="12" t="n">
        <x:f>IF(OR(A11="",C11="",D11=""),1,0)</x:f>
        <x:v>0</x:v>
      </x:c>
    </x:row>
    <x:row r="12" ht="47" customHeight="1">
      <x:c r="A12" s="4" t="str">
        <x:v>T0309</x:v>
      </x:c>
      <x:c r="B12" s="4" t="str">
        <x:v>task</x:v>
      </x:c>
      <x:c r="C12" s="4" t="str">
        <x:v>Assess the effectiveness of security controls</x:v>
      </x:c>
      <x:c r="D12" s="4" t="str">
        <x:v>Evaluar la eficacia de los controles de seguridad.</x:v>
      </x:c>
      <x:c r="E12" s="4" t="str">
        <x:v>E15</x:v>
      </x:c>
      <x:c r="F12" s="4" t="str">
        <x:v>OPC-16</x:v>
      </x:c>
      <x:c r="G12" s="4" t="str">
        <x:v>F001</x:v>
      </x:c>
      <x:c r="H12" s="4" t="str">
        <x:v>2.2.0</x:v>
      </x:c>
      <x:c r="I12" s="4" t="str">
        <x:v>PRESENTE_EN_CORTE; sin revisión individual declarada</x:v>
      </x:c>
      <x:c r="J12" s="4" t="str">
        <x:v>CANDIDATA_NO_ADOPTADA</x:v>
      </x:c>
      <x:c r="K12" s="12" t="n">
        <x:f>COUNTIF('03_NICE'!$A$5:$A$57,A12)+COUNTIF('04_TKS'!$A$5:$A$72,A12)-1</x:f>
        <x:v>0</x:v>
      </x:c>
      <x:c r="L12" s="12" t="n">
        <x:f>IF(AND(COUNTIF('01_Fuentes'!$A$5:$A$40,G12)=1,COUNTIF('07_Operaciones'!$A$5:$A$26,F12)=1,COUNTIF('06_Cobertura'!$A$5:$A$25,E12)=1),0,1)</x:f>
        <x:v>0</x:v>
      </x:c>
      <x:c r="M12" s="12" t="n">
        <x:f>IF(OR(A12="",C12="",D12=""),1,0)</x:f>
        <x:v>0</x:v>
      </x:c>
    </x:row>
    <x:row r="13" ht="47" customHeight="1">
      <x:c r="A13" s="4" t="str">
        <x:v>T0510</x:v>
      </x:c>
      <x:c r="B13" s="4" t="str">
        <x:v>task</x:v>
      </x:c>
      <x:c r="C13" s="4" t="str">
        <x:v>Coordinate incident response functions</x:v>
      </x:c>
      <x:c r="D13" s="4" t="str">
        <x:v>Coordinar las funciones de respuesta a incidentes.</x:v>
      </x:c>
      <x:c r="E13" s="4" t="str">
        <x:v>E11</x:v>
      </x:c>
      <x:c r="F13" s="4" t="str">
        <x:v>OPC-09</x:v>
      </x:c>
      <x:c r="G13" s="4" t="str">
        <x:v>F001</x:v>
      </x:c>
      <x:c r="H13" s="4" t="str">
        <x:v>2.2.0</x:v>
      </x:c>
      <x:c r="I13" s="4" t="str">
        <x:v>PRESENTE_EN_CORTE; sin revisión individual declarada</x:v>
      </x:c>
      <x:c r="J13" s="4" t="str">
        <x:v>CANDIDATA_NO_ADOPTADA</x:v>
      </x:c>
      <x:c r="K13" s="12" t="n">
        <x:f>COUNTIF('03_NICE'!$A$5:$A$57,A13)+COUNTIF('04_TKS'!$A$5:$A$72,A13)-1</x:f>
        <x:v>0</x:v>
      </x:c>
      <x:c r="L13" s="12" t="n">
        <x:f>IF(AND(COUNTIF('01_Fuentes'!$A$5:$A$40,G13)=1,COUNTIF('07_Operaciones'!$A$5:$A$26,F13)=1,COUNTIF('06_Cobertura'!$A$5:$A$25,E13)=1),0,1)</x:f>
        <x:v>0</x:v>
      </x:c>
      <x:c r="M13" s="12" t="n">
        <x:f>IF(OR(A13="",C13="",D13=""),1,0)</x:f>
        <x:v>0</x:v>
      </x:c>
    </x:row>
    <x:row r="14" ht="47" customHeight="1">
      <x:c r="A14" s="4" t="str">
        <x:v>T1020</x:v>
      </x:c>
      <x:c r="B14" s="4" t="str">
        <x:v>task</x:v>
      </x:c>
      <x:c r="C14" s="4" t="str">
        <x:v>Determine the operational and safety impacts of cybersecurity lapses</x:v>
      </x:c>
      <x:c r="D14" s="4" t="str">
        <x:v>Determinar el impacto operativo y de seguridad física de fallos de ciberseguridad.</x:v>
      </x:c>
      <x:c r="E14" s="4" t="str">
        <x:v>E13</x:v>
      </x:c>
      <x:c r="F14" s="4" t="str">
        <x:v>OPC-14</x:v>
      </x:c>
      <x:c r="G14" s="4" t="str">
        <x:v>F001</x:v>
      </x:c>
      <x:c r="H14" s="4" t="str">
        <x:v>2.2.0</x:v>
      </x:c>
      <x:c r="I14" s="4" t="str">
        <x:v>PRESENTE_EN_CORTE; sin revisión individual declarada</x:v>
      </x:c>
      <x:c r="J14" s="4" t="str">
        <x:v>CANDIDATA_NO_ADOPTADA</x:v>
      </x:c>
      <x:c r="K14" s="12" t="n">
        <x:f>COUNTIF('03_NICE'!$A$5:$A$57,A14)+COUNTIF('04_TKS'!$A$5:$A$72,A14)-1</x:f>
        <x:v>0</x:v>
      </x:c>
      <x:c r="L14" s="12" t="n">
        <x:f>IF(AND(COUNTIF('01_Fuentes'!$A$5:$A$40,G14)=1,COUNTIF('07_Operaciones'!$A$5:$A$26,F14)=1,COUNTIF('06_Cobertura'!$A$5:$A$25,E14)=1),0,1)</x:f>
        <x:v>0</x:v>
      </x:c>
      <x:c r="M14" s="12" t="n">
        <x:f>IF(OR(A14="",C14="",D14=""),1,0)</x:f>
        <x:v>0</x:v>
      </x:c>
    </x:row>
    <x:row r="15" ht="47" customHeight="1">
      <x:c r="A15" s="4" t="str">
        <x:v>T1111</x:v>
      </x:c>
      <x:c r="B15" s="4" t="str">
        <x:v>task</x:v>
      </x:c>
      <x:c r="C15" s="4" t="str">
        <x:v>Administer rule and signature updates for specialized cyber defense applications</x:v>
      </x:c>
      <x:c r="D15" s="4" t="str">
        <x:v>Administrar actualizaciones de reglas y firmas de aplicaciones defensivas.</x:v>
      </x:c>
      <x:c r="E15" s="4" t="str">
        <x:v>E09</x:v>
      </x:c>
      <x:c r="F15" s="4" t="str">
        <x:v>OPC-07</x:v>
      </x:c>
      <x:c r="G15" s="4" t="str">
        <x:v>F001</x:v>
      </x:c>
      <x:c r="H15" s="4" t="str">
        <x:v>2.2.0</x:v>
      </x:c>
      <x:c r="I15" s="4" t="str">
        <x:v>PRESENTE_EN_CORTE; sin revisión individual declarada</x:v>
      </x:c>
      <x:c r="J15" s="4" t="str">
        <x:v>CANDIDATA_NO_ADOPTADA</x:v>
      </x:c>
      <x:c r="K15" s="12" t="n">
        <x:f>COUNTIF('03_NICE'!$A$5:$A$57,A15)+COUNTIF('04_TKS'!$A$5:$A$72,A15)-1</x:f>
        <x:v>0</x:v>
      </x:c>
      <x:c r="L15" s="12" t="n">
        <x:f>IF(AND(COUNTIF('01_Fuentes'!$A$5:$A$40,G15)=1,COUNTIF('07_Operaciones'!$A$5:$A$26,F15)=1,COUNTIF('06_Cobertura'!$A$5:$A$25,E15)=1),0,1)</x:f>
        <x:v>0</x:v>
      </x:c>
      <x:c r="M15" s="12" t="n">
        <x:f>IF(OR(A15="",C15="",D15=""),1,0)</x:f>
        <x:v>0</x:v>
      </x:c>
    </x:row>
    <x:row r="16" ht="47" customHeight="1">
      <x:c r="A16" s="4" t="str">
        <x:v>T1118</x:v>
      </x:c>
      <x:c r="B16" s="4" t="str">
        <x:v>task</x:v>
      </x:c>
      <x:c r="C16" s="4" t="str">
        <x:v>Identify vulnerabilities</x:v>
      </x:c>
      <x:c r="D16" s="4" t="str">
        <x:v>Identificar vulnerabilidades en el alcance declarado.</x:v>
      </x:c>
      <x:c r="E16" s="4" t="str">
        <x:v>E08</x:v>
      </x:c>
      <x:c r="F16" s="4" t="str">
        <x:v>OPC-04</x:v>
      </x:c>
      <x:c r="G16" s="4" t="str">
        <x:v>F001</x:v>
      </x:c>
      <x:c r="H16" s="4" t="str">
        <x:v>2.2.0</x:v>
      </x:c>
      <x:c r="I16" s="4" t="str">
        <x:v>PRESENTE_EN_CORTE; sin revisión individual declarada</x:v>
      </x:c>
      <x:c r="J16" s="4" t="str">
        <x:v>CANDIDATA_NO_ADOPTADA</x:v>
      </x:c>
      <x:c r="K16" s="12" t="n">
        <x:f>COUNTIF('03_NICE'!$A$5:$A$57,A16)+COUNTIF('04_TKS'!$A$5:$A$72,A16)-1</x:f>
        <x:v>0</x:v>
      </x:c>
      <x:c r="L16" s="12" t="n">
        <x:f>IF(AND(COUNTIF('01_Fuentes'!$A$5:$A$40,G16)=1,COUNTIF('07_Operaciones'!$A$5:$A$26,F16)=1,COUNTIF('06_Cobertura'!$A$5:$A$25,E16)=1),0,1)</x:f>
        <x:v>0</x:v>
      </x:c>
      <x:c r="M16" s="12" t="n">
        <x:f>IF(OR(A16="",C16="",D16=""),1,0)</x:f>
        <x:v>0</x:v>
      </x:c>
    </x:row>
    <x:row r="17" ht="47" customHeight="1">
      <x:c r="A17" s="4" t="str">
        <x:v>T1119</x:v>
      </x:c>
      <x:c r="B17" s="4" t="str">
        <x:v>task</x:v>
      </x:c>
      <x:c r="C17" s="4" t="str">
        <x:v>Recommend vulnerability remediation strategies</x:v>
      </x:c>
      <x:c r="D17" s="4" t="str">
        <x:v>Proponer estrategias de corrección de vulnerabilidades.</x:v>
      </x:c>
      <x:c r="E17" s="4" t="str">
        <x:v>E08</x:v>
      </x:c>
      <x:c r="F17" s="4" t="str">
        <x:v>OPC-04</x:v>
      </x:c>
      <x:c r="G17" s="4" t="str">
        <x:v>F001</x:v>
      </x:c>
      <x:c r="H17" s="4" t="str">
        <x:v>2.2.0</x:v>
      </x:c>
      <x:c r="I17" s="4" t="str">
        <x:v>PRESENTE_EN_CORTE; sin revisión individual declarada</x:v>
      </x:c>
      <x:c r="J17" s="4" t="str">
        <x:v>CANDIDATA_NO_ADOPTADA</x:v>
      </x:c>
      <x:c r="K17" s="12" t="n">
        <x:f>COUNTIF('03_NICE'!$A$5:$A$57,A17)+COUNTIF('04_TKS'!$A$5:$A$72,A17)-1</x:f>
        <x:v>0</x:v>
      </x:c>
      <x:c r="L17" s="12" t="n">
        <x:f>IF(AND(COUNTIF('01_Fuentes'!$A$5:$A$40,G17)=1,COUNTIF('07_Operaciones'!$A$5:$A$26,F17)=1,COUNTIF('06_Cobertura'!$A$5:$A$25,E17)=1),0,1)</x:f>
        <x:v>0</x:v>
      </x:c>
      <x:c r="M17" s="12" t="n">
        <x:f>IF(OR(A17="",C17="",D17=""),1,0)</x:f>
        <x:v>0</x:v>
      </x:c>
    </x:row>
    <x:row r="18" ht="47" customHeight="1">
      <x:c r="A18" s="4" t="str">
        <x:v>T1120</x:v>
      </x:c>
      <x:c r="B18" s="4" t="str">
        <x:v>task</x:v>
      </x:c>
      <x:c r="C18" s="4" t="str">
        <x:v>Create forensically sound duplicates of evidence</x:v>
      </x:c>
      <x:c r="D18" s="4" t="str">
        <x:v>Crear duplicados de evidencia con rigor forense.</x:v>
      </x:c>
      <x:c r="E18" s="4" t="str">
        <x:v>E10</x:v>
      </x:c>
      <x:c r="F18" s="4" t="str">
        <x:v>OPC-10</x:v>
      </x:c>
      <x:c r="G18" s="4" t="str">
        <x:v>F001</x:v>
      </x:c>
      <x:c r="H18" s="4" t="str">
        <x:v>2.2.0</x:v>
      </x:c>
      <x:c r="I18" s="4" t="str">
        <x:v>PRESENTE_EN_CORTE; sin revisión individual declarada</x:v>
      </x:c>
      <x:c r="J18" s="4" t="str">
        <x:v>CANDIDATA_NO_ADOPTADA</x:v>
      </x:c>
      <x:c r="K18" s="12" t="n">
        <x:f>COUNTIF('03_NICE'!$A$5:$A$57,A18)+COUNTIF('04_TKS'!$A$5:$A$72,A18)-1</x:f>
        <x:v>0</x:v>
      </x:c>
      <x:c r="L18" s="12" t="n">
        <x:f>IF(AND(COUNTIF('01_Fuentes'!$A$5:$A$40,G18)=1,COUNTIF('07_Operaciones'!$A$5:$A$26,F18)=1,COUNTIF('06_Cobertura'!$A$5:$A$25,E18)=1),0,1)</x:f>
        <x:v>0</x:v>
      </x:c>
      <x:c r="M18" s="12" t="n">
        <x:f>IF(OR(A18="",C18="",D18=""),1,0)</x:f>
        <x:v>0</x:v>
      </x:c>
    </x:row>
    <x:row r="19" ht="47" customHeight="1">
      <x:c r="A19" s="4" t="str">
        <x:v>T1126</x:v>
      </x:c>
      <x:c r="B19" s="4" t="str">
        <x:v>task</x:v>
      </x:c>
      <x:c r="C19" s="4" t="str">
        <x:v>Determine disaster recovery and continuity of operations system requirements</x:v>
      </x:c>
      <x:c r="D19" s="4" t="str">
        <x:v>Determinar requisitos de recuperación y continuidad de sistemas.</x:v>
      </x:c>
      <x:c r="E19" s="4" t="str">
        <x:v>E12</x:v>
      </x:c>
      <x:c r="F19" s="4" t="str">
        <x:v>OPC-11</x:v>
      </x:c>
      <x:c r="G19" s="4" t="str">
        <x:v>F001</x:v>
      </x:c>
      <x:c r="H19" s="4" t="str">
        <x:v>2.2.0</x:v>
      </x:c>
      <x:c r="I19" s="4" t="str">
        <x:v>PRESENTE_EN_CORTE; sin revisión individual declarada</x:v>
      </x:c>
      <x:c r="J19" s="4" t="str">
        <x:v>CANDIDATA_NO_ADOPTADA</x:v>
      </x:c>
      <x:c r="K19" s="12" t="n">
        <x:f>COUNTIF('03_NICE'!$A$5:$A$57,A19)+COUNTIF('04_TKS'!$A$5:$A$72,A19)-1</x:f>
        <x:v>0</x:v>
      </x:c>
      <x:c r="L19" s="12" t="n">
        <x:f>IF(AND(COUNTIF('01_Fuentes'!$A$5:$A$40,G19)=1,COUNTIF('07_Operaciones'!$A$5:$A$26,F19)=1,COUNTIF('06_Cobertura'!$A$5:$A$25,E19)=1),0,1)</x:f>
        <x:v>0</x:v>
      </x:c>
      <x:c r="M19" s="12" t="n">
        <x:f>IF(OR(A19="",C19="",D19=""),1,0)</x:f>
        <x:v>0</x:v>
      </x:c>
    </x:row>
    <x:row r="20" ht="47" customHeight="1">
      <x:c r="A20" s="4" t="str">
        <x:v>T1130</x:v>
      </x:c>
      <x:c r="B20" s="4" t="str">
        <x:v>task</x:v>
      </x:c>
      <x:c r="C20" s="4" t="str">
        <x:v>Develop group policies and access control lists</x:v>
      </x:c>
      <x:c r="D20" s="4" t="str">
        <x:v>Desarrollar políticas de grupo y listas de control de acceso.</x:v>
      </x:c>
      <x:c r="E20" s="4" t="str">
        <x:v>E03</x:v>
      </x:c>
      <x:c r="F20" s="4" t="str">
        <x:v>OPC-03</x:v>
      </x:c>
      <x:c r="G20" s="4" t="str">
        <x:v>F001</x:v>
      </x:c>
      <x:c r="H20" s="4" t="str">
        <x:v>2.2.0</x:v>
      </x:c>
      <x:c r="I20" s="4" t="str">
        <x:v>PRESENTE_EN_CORTE; sin revisión individual declarada</x:v>
      </x:c>
      <x:c r="J20" s="4" t="str">
        <x:v>CANDIDATA_NO_ADOPTADA</x:v>
      </x:c>
      <x:c r="K20" s="12" t="n">
        <x:f>COUNTIF('03_NICE'!$A$5:$A$57,A20)+COUNTIF('04_TKS'!$A$5:$A$72,A20)-1</x:f>
        <x:v>0</x:v>
      </x:c>
      <x:c r="L20" s="12" t="n">
        <x:f>IF(AND(COUNTIF('01_Fuentes'!$A$5:$A$40,G20)=1,COUNTIF('07_Operaciones'!$A$5:$A$26,F20)=1,COUNTIF('06_Cobertura'!$A$5:$A$25,E20)=1),0,1)</x:f>
        <x:v>0</x:v>
      </x:c>
      <x:c r="M20" s="12" t="n">
        <x:f>IF(OR(A20="",C20="",D20=""),1,0)</x:f>
        <x:v>0</x:v>
      </x:c>
    </x:row>
    <x:row r="21" ht="47" customHeight="1">
      <x:c r="A21" s="4" t="str">
        <x:v>T1133</x:v>
      </x:c>
      <x:c r="B21" s="4" t="str">
        <x:v>task</x:v>
      </x:c>
      <x:c r="C21" s="4" t="str">
        <x:v>Develop technical and procedural processes for integrity of stored backup data</x:v>
      </x:c>
      <x:c r="D21" s="4" t="str">
        <x:v>Definir procesos técnicos y procedimentales para integridad de copias de seguridad.</x:v>
      </x:c>
      <x:c r="E21" s="4" t="str">
        <x:v>E12</x:v>
      </x:c>
      <x:c r="F21" s="4" t="str">
        <x:v>OPC-11</x:v>
      </x:c>
      <x:c r="G21" s="4" t="str">
        <x:v>F001</x:v>
      </x:c>
      <x:c r="H21" s="4" t="str">
        <x:v>2.2.0</x:v>
      </x:c>
      <x:c r="I21" s="4" t="str">
        <x:v>PRESENTE_EN_CORTE; sin revisión individual declarada</x:v>
      </x:c>
      <x:c r="J21" s="4" t="str">
        <x:v>CANDIDATA_NO_ADOPTADA</x:v>
      </x:c>
      <x:c r="K21" s="12" t="n">
        <x:f>COUNTIF('03_NICE'!$A$5:$A$57,A21)+COUNTIF('04_TKS'!$A$5:$A$72,A21)-1</x:f>
        <x:v>0</x:v>
      </x:c>
      <x:c r="L21" s="12" t="n">
        <x:f>IF(AND(COUNTIF('01_Fuentes'!$A$5:$A$40,G21)=1,COUNTIF('07_Operaciones'!$A$5:$A$26,F21)=1,COUNTIF('06_Cobertura'!$A$5:$A$25,E21)=1),0,1)</x:f>
        <x:v>0</x:v>
      </x:c>
      <x:c r="M21" s="12" t="n">
        <x:f>IF(OR(A21="",C21="",D21=""),1,0)</x:f>
        <x:v>0</x:v>
      </x:c>
    </x:row>
    <x:row r="22" ht="47" customHeight="1">
      <x:c r="A22" s="4" t="str">
        <x:v>T1150</x:v>
      </x:c>
      <x:c r="B22" s="4" t="str">
        <x:v>task</x:v>
      </x:c>
      <x:c r="C22" s="4" t="str">
        <x:v>Test disaster recovery and continuity of operations plans for systems prior to deployment</x:v>
      </x:c>
      <x:c r="D22" s="4" t="str">
        <x:v>Probar recuperación y continuidad antes del despliegue.</x:v>
      </x:c>
      <x:c r="E22" s="4" t="str">
        <x:v>E12</x:v>
      </x:c>
      <x:c r="F22" s="4" t="str">
        <x:v>OPC-11</x:v>
      </x:c>
      <x:c r="G22" s="4" t="str">
        <x:v>F001</x:v>
      </x:c>
      <x:c r="H22" s="4" t="str">
        <x:v>2.2.0</x:v>
      </x:c>
      <x:c r="I22" s="4" t="str">
        <x:v>PRESENTE_EN_CORTE; sin revisión individual declarada</x:v>
      </x:c>
      <x:c r="J22" s="4" t="str">
        <x:v>CANDIDATA_NO_ADOPTADA</x:v>
      </x:c>
      <x:c r="K22" s="12" t="n">
        <x:f>COUNTIF('03_NICE'!$A$5:$A$57,A22)+COUNTIF('04_TKS'!$A$5:$A$72,A22)-1</x:f>
        <x:v>0</x:v>
      </x:c>
      <x:c r="L22" s="12" t="n">
        <x:f>IF(AND(COUNTIF('01_Fuentes'!$A$5:$A$40,G22)=1,COUNTIF('07_Operaciones'!$A$5:$A$26,F22)=1,COUNTIF('06_Cobertura'!$A$5:$A$25,E22)=1),0,1)</x:f>
        <x:v>0</x:v>
      </x:c>
      <x:c r="M22" s="12" t="n">
        <x:f>IF(OR(A22="",C22="",D22=""),1,0)</x:f>
        <x:v>0</x:v>
      </x:c>
    </x:row>
    <x:row r="23" ht="47" customHeight="1">
      <x:c r="A23" s="4" t="str">
        <x:v>T1175</x:v>
      </x:c>
      <x:c r="B23" s="4" t="str">
        <x:v>task</x:v>
      </x:c>
      <x:c r="C23" s="4" t="str">
        <x:v>Determine if digital media chain or custody processes meet Federal Rules of Evidence requirements</x:v>
      </x:c>
      <x:c r="D23" s="4" t="str">
        <x:v>Evaluar cadena de custodia de medios digitales según las reglas federales de evidencia citadas por la fuente estadounidense.</x:v>
      </x:c>
      <x:c r="E23" s="4" t="str">
        <x:v>E16</x:v>
      </x:c>
      <x:c r="F23" s="4" t="str">
        <x:v>OPC-20</x:v>
      </x:c>
      <x:c r="G23" s="4" t="str">
        <x:v>F001</x:v>
      </x:c>
      <x:c r="H23" s="4" t="str">
        <x:v>2.2.0</x:v>
      </x:c>
      <x:c r="I23" s="4" t="str">
        <x:v>PRESENTE_EN_CORTE; sin revisión individual declarada</x:v>
      </x:c>
      <x:c r="J23" s="4" t="str">
        <x:v>CANDIDATA_NO_ADOPTADA</x:v>
      </x:c>
      <x:c r="K23" s="12" t="n">
        <x:f>COUNTIF('03_NICE'!$A$5:$A$57,A23)+COUNTIF('04_TKS'!$A$5:$A$72,A23)-1</x:f>
        <x:v>0</x:v>
      </x:c>
      <x:c r="L23" s="12" t="n">
        <x:f>IF(AND(COUNTIF('01_Fuentes'!$A$5:$A$40,G23)=1,COUNTIF('07_Operaciones'!$A$5:$A$26,F23)=1,COUNTIF('06_Cobertura'!$A$5:$A$25,E23)=1),0,1)</x:f>
        <x:v>0</x:v>
      </x:c>
      <x:c r="M23" s="12" t="n">
        <x:f>IF(OR(A23="",C23="",D23=""),1,0)</x:f>
        <x:v>0</x:v>
      </x:c>
    </x:row>
    <x:row r="24" ht="47" customHeight="1">
      <x:c r="A24" s="4" t="str">
        <x:v>T1289</x:v>
      </x:c>
      <x:c r="B24" s="4" t="str">
        <x:v>task</x:v>
      </x:c>
      <x:c r="C24" s="4" t="str">
        <x:v>Document software application, system, and network security postures, capabilities, and vulnerabilities</x:v>
      </x:c>
      <x:c r="D24" s="4" t="str">
        <x:v>Documentar postura, capacidades y vulnerabilidades de aplicaciones, sistemas y redes.</x:v>
      </x:c>
      <x:c r="E24" s="4" t="str">
        <x:v>E08</x:v>
      </x:c>
      <x:c r="F24" s="4" t="str">
        <x:v>OPC-04</x:v>
      </x:c>
      <x:c r="G24" s="4" t="str">
        <x:v>F001</x:v>
      </x:c>
      <x:c r="H24" s="4" t="str">
        <x:v>2.2.0</x:v>
      </x:c>
      <x:c r="I24" s="4" t="str">
        <x:v>PRESENTE_EN_CORTE; sin revisión individual declarada</x:v>
      </x:c>
      <x:c r="J24" s="4" t="str">
        <x:v>CANDIDATA_NO_ADOPTADA</x:v>
      </x:c>
      <x:c r="K24" s="12" t="n">
        <x:f>COUNTIF('03_NICE'!$A$5:$A$57,A24)+COUNTIF('04_TKS'!$A$5:$A$72,A24)-1</x:f>
        <x:v>0</x:v>
      </x:c>
      <x:c r="L24" s="12" t="n">
        <x:f>IF(AND(COUNTIF('01_Fuentes'!$A$5:$A$40,G24)=1,COUNTIF('07_Operaciones'!$A$5:$A$26,F24)=1,COUNTIF('06_Cobertura'!$A$5:$A$25,E24)=1),0,1)</x:f>
        <x:v>0</x:v>
      </x:c>
      <x:c r="M24" s="12" t="n">
        <x:f>IF(OR(A24="",C24="",D24=""),1,0)</x:f>
        <x:v>0</x:v>
      </x:c>
    </x:row>
    <x:row r="25" ht="47" customHeight="1">
      <x:c r="A25" s="4" t="str">
        <x:v>T1325</x:v>
      </x:c>
      <x:c r="B25" s="4" t="str">
        <x:v>task</x:v>
      </x:c>
      <x:c r="C25" s="4" t="str">
        <x:v>Document digital evidence</x:v>
      </x:c>
      <x:c r="D25" s="4" t="str">
        <x:v>Documentar evidencia digital.</x:v>
      </x:c>
      <x:c r="E25" s="4" t="str">
        <x:v>E10</x:v>
      </x:c>
      <x:c r="F25" s="4" t="str">
        <x:v>OPC-10</x:v>
      </x:c>
      <x:c r="G25" s="4" t="str">
        <x:v>F001</x:v>
      </x:c>
      <x:c r="H25" s="4" t="str">
        <x:v>2.2.0</x:v>
      </x:c>
      <x:c r="I25" s="4" t="str">
        <x:v>PRESENTE_EN_CORTE; sin revisión individual declarada</x:v>
      </x:c>
      <x:c r="J25" s="4" t="str">
        <x:v>CANDIDATA_NO_ADOPTADA</x:v>
      </x:c>
      <x:c r="K25" s="12" t="n">
        <x:f>COUNTIF('03_NICE'!$A$5:$A$57,A25)+COUNTIF('04_TKS'!$A$5:$A$72,A25)-1</x:f>
        <x:v>0</x:v>
      </x:c>
      <x:c r="L25" s="12" t="n">
        <x:f>IF(AND(COUNTIF('01_Fuentes'!$A$5:$A$40,G25)=1,COUNTIF('07_Operaciones'!$A$5:$A$26,F25)=1,COUNTIF('06_Cobertura'!$A$5:$A$25,E25)=1),0,1)</x:f>
        <x:v>0</x:v>
      </x:c>
      <x:c r="M25" s="12" t="n">
        <x:f>IF(OR(A25="",C25="",D25=""),1,0)</x:f>
        <x:v>0</x:v>
      </x:c>
    </x:row>
    <x:row r="26" ht="47" customHeight="1">
      <x:c r="A26" s="4" t="str">
        <x:v>T1344</x:v>
      </x:c>
      <x:c r="B26" s="4" t="str">
        <x:v>task</x:v>
      </x:c>
      <x:c r="C26" s="4" t="str">
        <x:v>Determine if procurement activities sufficiently address supply chain risks</x:v>
      </x:c>
      <x:c r="D26" s="4" t="str">
        <x:v>Determinar si la adquisición atiende suficientemente los riesgos de suministro.</x:v>
      </x:c>
      <x:c r="E26" s="4" t="str">
        <x:v>E07</x:v>
      </x:c>
      <x:c r="F26" s="4" t="str">
        <x:v>OPC-06</x:v>
      </x:c>
      <x:c r="G26" s="4" t="str">
        <x:v>F001</x:v>
      </x:c>
      <x:c r="H26" s="4" t="str">
        <x:v>2.2.0</x:v>
      </x:c>
      <x:c r="I26" s="4" t="str">
        <x:v>PRESENTE_EN_CORTE; sin revisión individual declarada</x:v>
      </x:c>
      <x:c r="J26" s="4" t="str">
        <x:v>CANDIDATA_NO_ADOPTADA</x:v>
      </x:c>
      <x:c r="K26" s="12" t="n">
        <x:f>COUNTIF('03_NICE'!$A$5:$A$57,A26)+COUNTIF('04_TKS'!$A$5:$A$72,A26)-1</x:f>
        <x:v>0</x:v>
      </x:c>
      <x:c r="L26" s="12" t="n">
        <x:f>IF(AND(COUNTIF('01_Fuentes'!$A$5:$A$40,G26)=1,COUNTIF('07_Operaciones'!$A$5:$A$26,F26)=1,COUNTIF('06_Cobertura'!$A$5:$A$25,E26)=1),0,1)</x:f>
        <x:v>0</x:v>
      </x:c>
      <x:c r="M26" s="12" t="n">
        <x:f>IF(OR(A26="",C26="",D26=""),1,0)</x:f>
        <x:v>0</x:v>
      </x:c>
    </x:row>
    <x:row r="27" ht="47" customHeight="1">
      <x:c r="A27" s="4" t="str">
        <x:v>T1366</x:v>
      </x:c>
      <x:c r="B27" s="4" t="str">
        <x:v>task</x:v>
      </x:c>
      <x:c r="C27" s="4" t="str">
        <x:v>Identify supply chain risks for critical system elements</x:v>
      </x:c>
      <x:c r="D27" s="4" t="str">
        <x:v>Identificar riesgos de cadena de suministro de elementos críticos.</x:v>
      </x:c>
      <x:c r="E27" s="4" t="str">
        <x:v>E07</x:v>
      </x:c>
      <x:c r="F27" s="4" t="str">
        <x:v>OPC-06</x:v>
      </x:c>
      <x:c r="G27" s="4" t="str">
        <x:v>F001</x:v>
      </x:c>
      <x:c r="H27" s="4" t="str">
        <x:v>2.2.0</x:v>
      </x:c>
      <x:c r="I27" s="4" t="str">
        <x:v>PRESENTE_EN_CORTE; sin revisión individual declarada</x:v>
      </x:c>
      <x:c r="J27" s="4" t="str">
        <x:v>CANDIDATA_NO_ADOPTADA</x:v>
      </x:c>
      <x:c r="K27" s="12" t="n">
        <x:f>COUNTIF('03_NICE'!$A$5:$A$57,A27)+COUNTIF('04_TKS'!$A$5:$A$72,A27)-1</x:f>
        <x:v>0</x:v>
      </x:c>
      <x:c r="L27" s="12" t="n">
        <x:f>IF(AND(COUNTIF('01_Fuentes'!$A$5:$A$40,G27)=1,COUNTIF('07_Operaciones'!$A$5:$A$26,F27)=1,COUNTIF('06_Cobertura'!$A$5:$A$25,E27)=1),0,1)</x:f>
        <x:v>0</x:v>
      </x:c>
      <x:c r="M27" s="12" t="n">
        <x:f>IF(OR(A27="",C27="",D27=""),1,0)</x:f>
        <x:v>0</x:v>
      </x:c>
    </x:row>
    <x:row r="28" ht="47" customHeight="1">
      <x:c r="A28" s="4" t="str">
        <x:v>T1510</x:v>
      </x:c>
      <x:c r="B28" s="4" t="str">
        <x:v>task</x:v>
      </x:c>
      <x:c r="C28" s="4" t="str">
        <x:v>Preserve digital evidence</x:v>
      </x:c>
      <x:c r="D28" s="4" t="str">
        <x:v>Preservar evidencia digital.</x:v>
      </x:c>
      <x:c r="E28" s="4" t="str">
        <x:v>E10</x:v>
      </x:c>
      <x:c r="F28" s="4" t="str">
        <x:v>OPC-10</x:v>
      </x:c>
      <x:c r="G28" s="4" t="str">
        <x:v>F001</x:v>
      </x:c>
      <x:c r="H28" s="4" t="str">
        <x:v>2.2.0</x:v>
      </x:c>
      <x:c r="I28" s="4" t="str">
        <x:v>PRESENTE_EN_CORTE; sin revisión individual declarada</x:v>
      </x:c>
      <x:c r="J28" s="4" t="str">
        <x:v>CANDIDATA_NO_ADOPTADA</x:v>
      </x:c>
      <x:c r="K28" s="12" t="n">
        <x:f>COUNTIF('03_NICE'!$A$5:$A$57,A28)+COUNTIF('04_TKS'!$A$5:$A$72,A28)-1</x:f>
        <x:v>0</x:v>
      </x:c>
      <x:c r="L28" s="12" t="n">
        <x:f>IF(AND(COUNTIF('01_Fuentes'!$A$5:$A$40,G28)=1,COUNTIF('07_Operaciones'!$A$5:$A$26,F28)=1,COUNTIF('06_Cobertura'!$A$5:$A$25,E28)=1),0,1)</x:f>
        <x:v>0</x:v>
      </x:c>
      <x:c r="M28" s="12" t="n">
        <x:f>IF(OR(A28="",C28="",D28=""),1,0)</x:f>
        <x:v>0</x:v>
      </x:c>
    </x:row>
    <x:row r="29" ht="47" customHeight="1">
      <x:c r="A29" s="4" t="str">
        <x:v>T1542</x:v>
      </x:c>
      <x:c r="B29" s="4" t="str">
        <x:v>task</x:v>
      </x:c>
      <x:c r="C29" s="4" t="str">
        <x:v>Document original condition of digital evidence</x:v>
      </x:c>
      <x:c r="D29" s="4" t="str">
        <x:v>Documentar el estado original de la evidencia digital.</x:v>
      </x:c>
      <x:c r="E29" s="4" t="str">
        <x:v>E10</x:v>
      </x:c>
      <x:c r="F29" s="4" t="str">
        <x:v>OPC-10</x:v>
      </x:c>
      <x:c r="G29" s="4" t="str">
        <x:v>F001</x:v>
      </x:c>
      <x:c r="H29" s="4" t="str">
        <x:v>2.2.0</x:v>
      </x:c>
      <x:c r="I29" s="4" t="str">
        <x:v>PRESENTE_EN_CORTE; sin revisión individual declarada</x:v>
      </x:c>
      <x:c r="J29" s="4" t="str">
        <x:v>CANDIDATA_NO_ADOPTADA</x:v>
      </x:c>
      <x:c r="K29" s="12" t="n">
        <x:f>COUNTIF('03_NICE'!$A$5:$A$57,A29)+COUNTIF('04_TKS'!$A$5:$A$72,A29)-1</x:f>
        <x:v>0</x:v>
      </x:c>
      <x:c r="L29" s="12" t="n">
        <x:f>IF(AND(COUNTIF('01_Fuentes'!$A$5:$A$40,G29)=1,COUNTIF('07_Operaciones'!$A$5:$A$26,F29)=1,COUNTIF('06_Cobertura'!$A$5:$A$25,E29)=1),0,1)</x:f>
        <x:v>0</x:v>
      </x:c>
      <x:c r="M29" s="12" t="n">
        <x:f>IF(OR(A29="",C29="",D29=""),1,0)</x:f>
        <x:v>0</x:v>
      </x:c>
    </x:row>
    <x:row r="30" ht="47" customHeight="1">
      <x:c r="A30" s="4" t="str">
        <x:v>T1548</x:v>
      </x:c>
      <x:c r="B30" s="4" t="str">
        <x:v>task</x:v>
      </x:c>
      <x:c r="C30" s="4" t="str">
        <x:v>Determine adequacy of access controls</x:v>
      </x:c>
      <x:c r="D30" s="4" t="str">
        <x:v>Evaluar la adecuación de los controles de acceso.</x:v>
      </x:c>
      <x:c r="E30" s="4" t="str">
        <x:v>E03</x:v>
      </x:c>
      <x:c r="F30" s="4" t="str">
        <x:v>OPC-03</x:v>
      </x:c>
      <x:c r="G30" s="4" t="str">
        <x:v>F001</x:v>
      </x:c>
      <x:c r="H30" s="4" t="str">
        <x:v>2.2.0</x:v>
      </x:c>
      <x:c r="I30" s="4" t="str">
        <x:v>PRESENTE_EN_CORTE; sin revisión individual declarada</x:v>
      </x:c>
      <x:c r="J30" s="4" t="str">
        <x:v>CANDIDATA_NO_ADOPTADA</x:v>
      </x:c>
      <x:c r="K30" s="12" t="n">
        <x:f>COUNTIF('03_NICE'!$A$5:$A$57,A30)+COUNTIF('04_TKS'!$A$5:$A$72,A30)-1</x:f>
        <x:v>0</x:v>
      </x:c>
      <x:c r="L30" s="12" t="n">
        <x:f>IF(AND(COUNTIF('01_Fuentes'!$A$5:$A$40,G30)=1,COUNTIF('07_Operaciones'!$A$5:$A$26,F30)=1,COUNTIF('06_Cobertura'!$A$5:$A$25,E30)=1),0,1)</x:f>
        <x:v>0</x:v>
      </x:c>
      <x:c r="M30" s="12" t="n">
        <x:f>IF(OR(A30="",C30="",D30=""),1,0)</x:f>
        <x:v>0</x:v>
      </x:c>
    </x:row>
    <x:row r="31" ht="47" customHeight="1">
      <x:c r="A31" s="4" t="str">
        <x:v>T1586</x:v>
      </x:c>
      <x:c r="B31" s="4" t="str">
        <x:v>task</x:v>
      </x:c>
      <x:c r="C31" s="4" t="str">
        <x:v>Conduct cybersecurity risk assessments</x:v>
      </x:c>
      <x:c r="D31" s="4" t="str">
        <x:v>Realizar evaluaciones de riesgo de ciberseguridad.</x:v>
      </x:c>
      <x:c r="E31" s="4" t="str">
        <x:v>E01</x:v>
      </x:c>
      <x:c r="F31" s="4" t="str">
        <x:v>OPC-01</x:v>
      </x:c>
      <x:c r="G31" s="4" t="str">
        <x:v>F001</x:v>
      </x:c>
      <x:c r="H31" s="4" t="str">
        <x:v>2.2.0</x:v>
      </x:c>
      <x:c r="I31" s="4" t="str">
        <x:v>PRESENTE_EN_CORTE; sin revisión individual declarada</x:v>
      </x:c>
      <x:c r="J31" s="4" t="str">
        <x:v>CANDIDATA_NO_ADOPTADA</x:v>
      </x:c>
      <x:c r="K31" s="12" t="n">
        <x:f>COUNTIF('03_NICE'!$A$5:$A$57,A31)+COUNTIF('04_TKS'!$A$5:$A$72,A31)-1</x:f>
        <x:v>0</x:v>
      </x:c>
      <x:c r="L31" s="12" t="n">
        <x:f>IF(AND(COUNTIF('01_Fuentes'!$A$5:$A$40,G31)=1,COUNTIF('07_Operaciones'!$A$5:$A$26,F31)=1,COUNTIF('06_Cobertura'!$A$5:$A$25,E31)=1),0,1)</x:f>
        <x:v>0</x:v>
      </x:c>
      <x:c r="M31" s="12" t="n">
        <x:f>IF(OR(A31="",C31="",D31=""),1,0)</x:f>
        <x:v>0</x:v>
      </x:c>
    </x:row>
    <x:row r="32" ht="47" customHeight="1">
      <x:c r="A32" s="4" t="str">
        <x:v>T1602</x:v>
      </x:c>
      <x:c r="B32" s="4" t="str">
        <x:v>task</x:v>
      </x:c>
      <x:c r="C32" s="4" t="str">
        <x:v>Advise stakeholders on supply chain risk management</x:v>
      </x:c>
      <x:c r="D32" s="4" t="str">
        <x:v>Asesorar a las partes responsables sobre riesgo de suministro.</x:v>
      </x:c>
      <x:c r="E32" s="4" t="str">
        <x:v>E07</x:v>
      </x:c>
      <x:c r="F32" s="4" t="str">
        <x:v>OPC-06</x:v>
      </x:c>
      <x:c r="G32" s="4" t="str">
        <x:v>F001</x:v>
      </x:c>
      <x:c r="H32" s="4" t="str">
        <x:v>2.2.0</x:v>
      </x:c>
      <x:c r="I32" s="4" t="str">
        <x:v>PRESENTE_EN_CORTE; sin revisión individual declarada</x:v>
      </x:c>
      <x:c r="J32" s="4" t="str">
        <x:v>CANDIDATA_NO_ADOPTADA</x:v>
      </x:c>
      <x:c r="K32" s="12" t="n">
        <x:f>COUNTIF('03_NICE'!$A$5:$A$57,A32)+COUNTIF('04_TKS'!$A$5:$A$72,A32)-1</x:f>
        <x:v>0</x:v>
      </x:c>
      <x:c r="L32" s="12" t="n">
        <x:f>IF(AND(COUNTIF('01_Fuentes'!$A$5:$A$40,G32)=1,COUNTIF('07_Operaciones'!$A$5:$A$26,F32)=1,COUNTIF('06_Cobertura'!$A$5:$A$25,E32)=1),0,1)</x:f>
        <x:v>0</x:v>
      </x:c>
      <x:c r="M32" s="12" t="n">
        <x:f>IF(OR(A32="",C32="",D32=""),1,0)</x:f>
        <x:v>0</x:v>
      </x:c>
    </x:row>
    <x:row r="33" ht="47" customHeight="1">
      <x:c r="A33" s="4" t="str">
        <x:v>T1624</x:v>
      </x:c>
      <x:c r="B33" s="4" t="str">
        <x:v>task</x:v>
      </x:c>
      <x:c r="C33" s="4" t="str">
        <x:v>Conduct vulnerability analysis of software patches and updates</x:v>
      </x:c>
      <x:c r="D33" s="4" t="str">
        <x:v>Analizar vulnerabilidades en parches y actualizaciones de software.</x:v>
      </x:c>
      <x:c r="E33" s="4" t="str">
        <x:v>E06</x:v>
      </x:c>
      <x:c r="F33" s="4" t="str">
        <x:v>OPC-05</x:v>
      </x:c>
      <x:c r="G33" s="4" t="str">
        <x:v>F001</x:v>
      </x:c>
      <x:c r="H33" s="4" t="str">
        <x:v>2.2.0</x:v>
      </x:c>
      <x:c r="I33" s="4" t="str">
        <x:v>PRESENTE_EN_CORTE; sin revisión individual declarada</x:v>
      </x:c>
      <x:c r="J33" s="4" t="str">
        <x:v>CANDIDATA_NO_ADOPTADA</x:v>
      </x:c>
      <x:c r="K33" s="12" t="n">
        <x:f>COUNTIF('03_NICE'!$A$5:$A$57,A33)+COUNTIF('04_TKS'!$A$5:$A$72,A33)-1</x:f>
        <x:v>0</x:v>
      </x:c>
      <x:c r="L33" s="12" t="n">
        <x:f>IF(AND(COUNTIF('01_Fuentes'!$A$5:$A$40,G33)=1,COUNTIF('07_Operaciones'!$A$5:$A$26,F33)=1,COUNTIF('06_Cobertura'!$A$5:$A$25,E33)=1),0,1)</x:f>
        <x:v>0</x:v>
      </x:c>
      <x:c r="M33" s="12" t="n">
        <x:f>IF(OR(A33="",C33="",D33=""),1,0)</x:f>
        <x:v>0</x:v>
      </x:c>
    </x:row>
    <x:row r="34" ht="47" customHeight="1">
      <x:c r="A34" s="4" t="str">
        <x:v>T1625</x:v>
      </x:c>
      <x:c r="B34" s="4" t="str">
        <x:v>task</x:v>
      </x:c>
      <x:c r="C34" s="4" t="str">
        <x:v>Prepare vulnerability analysis reports</x:v>
      </x:c>
      <x:c r="D34" s="4" t="str">
        <x:v>Preparar informes de análisis de vulnerabilidades.</x:v>
      </x:c>
      <x:c r="E34" s="4" t="str">
        <x:v>E08</x:v>
      </x:c>
      <x:c r="F34" s="4" t="str">
        <x:v>OPC-04</x:v>
      </x:c>
      <x:c r="G34" s="4" t="str">
        <x:v>F001</x:v>
      </x:c>
      <x:c r="H34" s="4" t="str">
        <x:v>2.2.0</x:v>
      </x:c>
      <x:c r="I34" s="4" t="str">
        <x:v>PRESENTE_EN_CORTE; sin revisión individual declarada</x:v>
      </x:c>
      <x:c r="J34" s="4" t="str">
        <x:v>CANDIDATA_NO_ADOPTADA</x:v>
      </x:c>
      <x:c r="K34" s="12" t="n">
        <x:f>COUNTIF('03_NICE'!$A$5:$A$57,A34)+COUNTIF('04_TKS'!$A$5:$A$72,A34)-1</x:f>
        <x:v>0</x:v>
      </x:c>
      <x:c r="L34" s="12" t="n">
        <x:f>IF(AND(COUNTIF('01_Fuentes'!$A$5:$A$40,G34)=1,COUNTIF('07_Operaciones'!$A$5:$A$26,F34)=1,COUNTIF('06_Cobertura'!$A$5:$A$25,E34)=1),0,1)</x:f>
        <x:v>0</x:v>
      </x:c>
      <x:c r="M34" s="12" t="n">
        <x:f>IF(OR(A34="",C34="",D34=""),1,0)</x:f>
        <x:v>0</x:v>
      </x:c>
    </x:row>
    <x:row r="35" ht="47" customHeight="1">
      <x:c r="A35" s="4" t="str">
        <x:v>T1974</x:v>
      </x:c>
      <x:c r="B35" s="4" t="str">
        <x:v>task</x:v>
      </x:c>
      <x:c r="C35" s="4" t="str">
        <x:v>Conduct insider threat risk assessments</x:v>
      </x:c>
      <x:c r="D35" s="4" t="str">
        <x:v>Evaluar riesgos de amenazas internas.</x:v>
      </x:c>
      <x:c r="E35" s="4" t="str">
        <x:v>E09</x:v>
      </x:c>
      <x:c r="F35" s="4" t="str">
        <x:v>OPC-08</x:v>
      </x:c>
      <x:c r="G35" s="4" t="str">
        <x:v>F001</x:v>
      </x:c>
      <x:c r="H35" s="4" t="str">
        <x:v>2.2.0</x:v>
      </x:c>
      <x:c r="I35" s="4" t="str">
        <x:v>PRESENTE_EN_CORTE; sin revisión individual declarada</x:v>
      </x:c>
      <x:c r="J35" s="4" t="str">
        <x:v>CANDIDATA_NO_ADOPTADA</x:v>
      </x:c>
      <x:c r="K35" s="12" t="n">
        <x:f>COUNTIF('03_NICE'!$A$5:$A$57,A35)+COUNTIF('04_TKS'!$A$5:$A$72,A35)-1</x:f>
        <x:v>0</x:v>
      </x:c>
      <x:c r="L35" s="12" t="n">
        <x:f>IF(AND(COUNTIF('01_Fuentes'!$A$5:$A$40,G35)=1,COUNTIF('07_Operaciones'!$A$5:$A$26,F35)=1,COUNTIF('06_Cobertura'!$A$5:$A$25,E35)=1),0,1)</x:f>
        <x:v>0</x:v>
      </x:c>
      <x:c r="M35" s="12" t="n">
        <x:f>IF(OR(A35="",C35="",D35=""),1,0)</x:f>
        <x:v>0</x:v>
      </x:c>
    </x:row>
    <x:row r="36" ht="47" customHeight="1">
      <x:c r="A36" s="4" t="str">
        <x:v>T1980</x:v>
      </x:c>
      <x:c r="B36" s="4" t="str">
        <x:v>task</x:v>
      </x:c>
      <x:c r="C36" s="4" t="str">
        <x:v>Develop digital evidence reports for internal and external partners</x:v>
      </x:c>
      <x:c r="D36" s="4" t="str">
        <x:v>Elaborar informes de evidencia digital para destinatarios internos y externos.</x:v>
      </x:c>
      <x:c r="E36" s="4" t="str">
        <x:v>E10</x:v>
      </x:c>
      <x:c r="F36" s="4" t="str">
        <x:v>OPC-10</x:v>
      </x:c>
      <x:c r="G36" s="4" t="str">
        <x:v>F001</x:v>
      </x:c>
      <x:c r="H36" s="4" t="str">
        <x:v>2.2.0</x:v>
      </x:c>
      <x:c r="I36" s="4" t="str">
        <x:v>PRESENTE_EN_CORTE; sin revisión individual declarada</x:v>
      </x:c>
      <x:c r="J36" s="4" t="str">
        <x:v>CANDIDATA_NO_ADOPTADA</x:v>
      </x:c>
      <x:c r="K36" s="12" t="n">
        <x:f>COUNTIF('03_NICE'!$A$5:$A$57,A36)+COUNTIF('04_TKS'!$A$5:$A$72,A36)-1</x:f>
        <x:v>0</x:v>
      </x:c>
      <x:c r="L36" s="12" t="n">
        <x:f>IF(AND(COUNTIF('01_Fuentes'!$A$5:$A$40,G36)=1,COUNTIF('07_Operaciones'!$A$5:$A$26,F36)=1,COUNTIF('06_Cobertura'!$A$5:$A$25,E36)=1),0,1)</x:f>
        <x:v>0</x:v>
      </x:c>
      <x:c r="M36" s="12" t="n">
        <x:f>IF(OR(A36="",C36="",D36=""),1,0)</x:f>
        <x:v>0</x:v>
      </x:c>
    </x:row>
    <x:row r="37" ht="47" customHeight="1">
      <x:c r="A37" s="4" t="str">
        <x:v>T2036</x:v>
      </x:c>
      <x:c r="B37" s="4" t="str">
        <x:v>task</x:v>
      </x:c>
      <x:c r="C37" s="4" t="str">
        <x:v>Review policies, standards, and regulations for conflicts that may create control system vulnerabilities</x:v>
      </x:c>
      <x:c r="D37" s="4" t="str">
        <x:v>Revisar conflictos de políticas y normas que puedan crear vulnerabilidades en sistemas de control.</x:v>
      </x:c>
      <x:c r="E37" s="4" t="str">
        <x:v>E13</x:v>
      </x:c>
      <x:c r="F37" s="4" t="str">
        <x:v>OPC-14</x:v>
      </x:c>
      <x:c r="G37" s="4" t="str">
        <x:v>F001</x:v>
      </x:c>
      <x:c r="H37" s="4" t="str">
        <x:v>2.2.0</x:v>
      </x:c>
      <x:c r="I37" s="4" t="str">
        <x:v>PRESENTE_EN_CORTE; sin revisión individual declarada</x:v>
      </x:c>
      <x:c r="J37" s="4" t="str">
        <x:v>CANDIDATA_NO_ADOPTADA</x:v>
      </x:c>
      <x:c r="K37" s="12" t="n">
        <x:f>COUNTIF('03_NICE'!$A$5:$A$57,A37)+COUNTIF('04_TKS'!$A$5:$A$72,A37)-1</x:f>
        <x:v>0</x:v>
      </x:c>
      <x:c r="L37" s="12" t="n">
        <x:f>IF(AND(COUNTIF('01_Fuentes'!$A$5:$A$40,G37)=1,COUNTIF('07_Operaciones'!$A$5:$A$26,F37)=1,COUNTIF('06_Cobertura'!$A$5:$A$25,E37)=1),0,1)</x:f>
        <x:v>0</x:v>
      </x:c>
      <x:c r="M37" s="12" t="n">
        <x:f>IF(OR(A37="",C37="",D37=""),1,0)</x:f>
        <x:v>0</x:v>
      </x:c>
    </x:row>
    <x:row r="38" ht="47" customHeight="1">
      <x:c r="A38" s="4" t="str">
        <x:v>T2056</x:v>
      </x:c>
      <x:c r="B38" s="4" t="str">
        <x:v>task</x:v>
      </x:c>
      <x:c r="C38" s="4" t="str">
        <x:v>Conduct supplier risk assessments</x:v>
      </x:c>
      <x:c r="D38" s="4" t="str">
        <x:v>Evaluar el riesgo de proveedores.</x:v>
      </x:c>
      <x:c r="E38" s="4" t="str">
        <x:v>E07</x:v>
      </x:c>
      <x:c r="F38" s="4" t="str">
        <x:v>OPC-06</x:v>
      </x:c>
      <x:c r="G38" s="4" t="str">
        <x:v>F001</x:v>
      </x:c>
      <x:c r="H38" s="4" t="str">
        <x:v>2.2.0</x:v>
      </x:c>
      <x:c r="I38" s="4" t="str">
        <x:v>PRESENTE_EN_CORTE; sin revisión individual declarada</x:v>
      </x:c>
      <x:c r="J38" s="4" t="str">
        <x:v>CANDIDATA_NO_ADOPTADA</x:v>
      </x:c>
      <x:c r="K38" s="12" t="n">
        <x:f>COUNTIF('03_NICE'!$A$5:$A$57,A38)+COUNTIF('04_TKS'!$A$5:$A$72,A38)-1</x:f>
        <x:v>0</x:v>
      </x:c>
      <x:c r="L38" s="12" t="n">
        <x:f>IF(AND(COUNTIF('01_Fuentes'!$A$5:$A$40,G38)=1,COUNTIF('07_Operaciones'!$A$5:$A$26,F38)=1,COUNTIF('06_Cobertura'!$A$5:$A$25,E38)=1),0,1)</x:f>
        <x:v>0</x:v>
      </x:c>
      <x:c r="M38" s="12" t="n">
        <x:f>IF(OR(A38="",C38="",D38=""),1,0)</x:f>
        <x:v>0</x:v>
      </x:c>
    </x:row>
    <x:row r="39" ht="47" customHeight="1">
      <x:c r="A39" s="4" t="str">
        <x:v>T2058</x:v>
      </x:c>
      <x:c r="B39" s="4" t="str">
        <x:v>task</x:v>
      </x:c>
      <x:c r="C39" s="4" t="str">
        <x:v>Monitor supply chain risk exposure</x:v>
      </x:c>
      <x:c r="D39" s="4" t="str">
        <x:v>Vigilar la exposición al riesgo de cadena de suministro.</x:v>
      </x:c>
      <x:c r="E39" s="4" t="str">
        <x:v>E07</x:v>
      </x:c>
      <x:c r="F39" s="4" t="str">
        <x:v>OPC-06</x:v>
      </x:c>
      <x:c r="G39" s="4" t="str">
        <x:v>F001</x:v>
      </x:c>
      <x:c r="H39" s="4" t="str">
        <x:v>2.2.0</x:v>
      </x:c>
      <x:c r="I39" s="4" t="str">
        <x:v>PRESENTE_EN_CORTE; sin revisión individual declarada</x:v>
      </x:c>
      <x:c r="J39" s="4" t="str">
        <x:v>CANDIDATA_NO_ADOPTADA</x:v>
      </x:c>
      <x:c r="K39" s="12" t="n">
        <x:f>COUNTIF('03_NICE'!$A$5:$A$57,A39)+COUNTIF('04_TKS'!$A$5:$A$72,A39)-1</x:f>
        <x:v>0</x:v>
      </x:c>
      <x:c r="L39" s="12" t="n">
        <x:f>IF(AND(COUNTIF('01_Fuentes'!$A$5:$A$40,G39)=1,COUNTIF('07_Operaciones'!$A$5:$A$26,F39)=1,COUNTIF('06_Cobertura'!$A$5:$A$25,E39)=1),0,1)</x:f>
        <x:v>0</x:v>
      </x:c>
      <x:c r="M39" s="12" t="n">
        <x:f>IF(OR(A39="",C39="",D39=""),1,0)</x:f>
        <x:v>0</x:v>
      </x:c>
    </x:row>
    <x:row r="40" ht="47" customHeight="1">
      <x:c r="A40" s="4" t="str">
        <x:v>T2067</x:v>
      </x:c>
      <x:c r="B40" s="4" t="str">
        <x:v>task</x:v>
      </x:c>
      <x:c r="C40" s="4" t="str">
        <x:v>Integrate C-SCRM into incident response functions</x:v>
      </x:c>
      <x:c r="D40" s="4" t="str">
        <x:v>Integrar riesgo de suministro en funciones de respuesta a incidentes.</x:v>
      </x:c>
      <x:c r="E40" s="4" t="str">
        <x:v>E11</x:v>
      </x:c>
      <x:c r="F40" s="4" t="str">
        <x:v>OPC-09</x:v>
      </x:c>
      <x:c r="G40" s="4" t="str">
        <x:v>F001</x:v>
      </x:c>
      <x:c r="H40" s="4" t="str">
        <x:v>2.2.0</x:v>
      </x:c>
      <x:c r="I40" s="4" t="str">
        <x:v>PRESENTE_EN_CORTE; sin revisión individual declarada</x:v>
      </x:c>
      <x:c r="J40" s="4" t="str">
        <x:v>CANDIDATA_NO_ADOPTADA</x:v>
      </x:c>
      <x:c r="K40" s="12" t="n">
        <x:f>COUNTIF('03_NICE'!$A$5:$A$57,A40)+COUNTIF('04_TKS'!$A$5:$A$72,A40)-1</x:f>
        <x:v>0</x:v>
      </x:c>
      <x:c r="L40" s="12" t="n">
        <x:f>IF(AND(COUNTIF('01_Fuentes'!$A$5:$A$40,G40)=1,COUNTIF('07_Operaciones'!$A$5:$A$26,F40)=1,COUNTIF('06_Cobertura'!$A$5:$A$25,E40)=1),0,1)</x:f>
        <x:v>0</x:v>
      </x:c>
      <x:c r="M40" s="12" t="n">
        <x:f>IF(OR(A40="",C40="",D40=""),1,0)</x:f>
        <x:v>0</x:v>
      </x:c>
    </x:row>
    <x:row r="41" ht="47" customHeight="1">
      <x:c r="A41" s="4" t="str">
        <x:v>K0658</x:v>
      </x:c>
      <x:c r="B41" s="4" t="str">
        <x:v>knowledge</x:v>
      </x:c>
      <x:c r="C41" s="4" t="str">
        <x:v>Knowledge of cognitive biases</x:v>
      </x:c>
      <x:c r="D41" s="4" t="str">
        <x:v>Conocer sesgos cognitivos que puedan afectar el análisis.</x:v>
      </x:c>
      <x:c r="E41" s="4" t="str">
        <x:v>E14</x:v>
      </x:c>
      <x:c r="F41" s="4" t="str">
        <x:v>OPC-07</x:v>
      </x:c>
      <x:c r="G41" s="4" t="str">
        <x:v>F001</x:v>
      </x:c>
      <x:c r="H41" s="4" t="str">
        <x:v>2.2.0</x:v>
      </x:c>
      <x:c r="I41" s="4" t="str">
        <x:v>PRESENTE_EN_CORTE; sin revisión individual declarada</x:v>
      </x:c>
      <x:c r="J41" s="4" t="str">
        <x:v>CANDIDATA_NO_ADOPTADA</x:v>
      </x:c>
      <x:c r="K41" s="12" t="n">
        <x:f>COUNTIF('03_NICE'!$A$5:$A$57,A41)+COUNTIF('04_TKS'!$A$5:$A$72,A41)-1</x:f>
        <x:v>0</x:v>
      </x:c>
      <x:c r="L41" s="12" t="n">
        <x:f>IF(AND(COUNTIF('01_Fuentes'!$A$5:$A$40,G41)=1,COUNTIF('07_Operaciones'!$A$5:$A$26,F41)=1,COUNTIF('06_Cobertura'!$A$5:$A$25,E41)=1),0,1)</x:f>
        <x:v>0</x:v>
      </x:c>
      <x:c r="M41" s="12" t="n">
        <x:f>IF(OR(A41="",C41="",D41=""),1,0)</x:f>
        <x:v>0</x:v>
      </x:c>
    </x:row>
    <x:row r="42" ht="47" customHeight="1">
      <x:c r="A42" s="4" t="str">
        <x:v>K0711</x:v>
      </x:c>
      <x:c r="B42" s="4" t="str">
        <x:v>knowledge</x:v>
      </x:c>
      <x:c r="C42" s="4" t="str">
        <x:v>Knowledge of evaluation and validation principles and practices</x:v>
      </x:c>
      <x:c r="D42" s="4" t="str">
        <x:v>Conocer principios y prácticas de evaluación y validación.</x:v>
      </x:c>
      <x:c r="E42" s="4" t="str">
        <x:v>E19</x:v>
      </x:c>
      <x:c r="F42" s="4" t="str">
        <x:v>OPC-15</x:v>
      </x:c>
      <x:c r="G42" s="4" t="str">
        <x:v>F001</x:v>
      </x:c>
      <x:c r="H42" s="4" t="str">
        <x:v>2.2.0</x:v>
      </x:c>
      <x:c r="I42" s="4" t="str">
        <x:v>PRESENTE_EN_CORTE; sin revisión individual declarada</x:v>
      </x:c>
      <x:c r="J42" s="4" t="str">
        <x:v>CANDIDATA_NO_ADOPTADA</x:v>
      </x:c>
      <x:c r="K42" s="12" t="n">
        <x:f>COUNTIF('03_NICE'!$A$5:$A$57,A42)+COUNTIF('04_TKS'!$A$5:$A$72,A42)-1</x:f>
        <x:v>0</x:v>
      </x:c>
      <x:c r="L42" s="12" t="n">
        <x:f>IF(AND(COUNTIF('01_Fuentes'!$A$5:$A$40,G42)=1,COUNTIF('07_Operaciones'!$A$5:$A$26,F42)=1,COUNTIF('06_Cobertura'!$A$5:$A$25,E42)=1),0,1)</x:f>
        <x:v>0</x:v>
      </x:c>
      <x:c r="M42" s="12" t="n">
        <x:f>IF(OR(A42="",C42="",D42=""),1,0)</x:f>
        <x:v>0</x:v>
      </x:c>
    </x:row>
    <x:row r="43" ht="47" customHeight="1">
      <x:c r="A43" s="4" t="str">
        <x:v>K0742</x:v>
      </x:c>
      <x:c r="B43" s="4" t="str">
        <x:v>knowledge</x:v>
      </x:c>
      <x:c r="C43" s="4" t="str">
        <x:v>Knowledge of identity and access management (IAM) principles and practices</x:v>
      </x:c>
      <x:c r="D43" s="4" t="str">
        <x:v>Conocer principios y prácticas de gestión de identidad y acceso.</x:v>
      </x:c>
      <x:c r="E43" s="4" t="str">
        <x:v>E03</x:v>
      </x:c>
      <x:c r="F43" s="4" t="str">
        <x:v>OPC-03</x:v>
      </x:c>
      <x:c r="G43" s="4" t="str">
        <x:v>F001</x:v>
      </x:c>
      <x:c r="H43" s="4" t="str">
        <x:v>2.2.0</x:v>
      </x:c>
      <x:c r="I43" s="4" t="str">
        <x:v>PRESENTE_EN_CORTE; sin revisión individual declarada</x:v>
      </x:c>
      <x:c r="J43" s="4" t="str">
        <x:v>CANDIDATA_NO_ADOPTADA</x:v>
      </x:c>
      <x:c r="K43" s="12" t="n">
        <x:f>COUNTIF('03_NICE'!$A$5:$A$57,A43)+COUNTIF('04_TKS'!$A$5:$A$72,A43)-1</x:f>
        <x:v>0</x:v>
      </x:c>
      <x:c r="L43" s="12" t="n">
        <x:f>IF(AND(COUNTIF('01_Fuentes'!$A$5:$A$40,G43)=1,COUNTIF('07_Operaciones'!$A$5:$A$26,F43)=1,COUNTIF('06_Cobertura'!$A$5:$A$25,E43)=1),0,1)</x:f>
        <x:v>0</x:v>
      </x:c>
      <x:c r="M43" s="12" t="n">
        <x:f>IF(OR(A43="",C43="",D43=""),1,0)</x:f>
        <x:v>0</x:v>
      </x:c>
    </x:row>
    <x:row r="44" ht="47" customHeight="1">
      <x:c r="A44" s="4" t="str">
        <x:v>K0904</x:v>
      </x:c>
      <x:c r="B44" s="4" t="str">
        <x:v>knowledge</x:v>
      </x:c>
      <x:c r="C44" s="4" t="str">
        <x:v>Knowledge of machine learning principles and practices</x:v>
      </x:c>
      <x:c r="D44" s="4" t="str">
        <x:v>Conocer principios y prácticas de aprendizaje automático.</x:v>
      </x:c>
      <x:c r="E44" s="4" t="str">
        <x:v>E18</x:v>
      </x:c>
      <x:c r="F44" s="4" t="str">
        <x:v>OPC-15</x:v>
      </x:c>
      <x:c r="G44" s="4" t="str">
        <x:v>F001</x:v>
      </x:c>
      <x:c r="H44" s="4" t="str">
        <x:v>2.2.0</x:v>
      </x:c>
      <x:c r="I44" s="4" t="str">
        <x:v>PRESENTE_EN_CORTE; sin revisión individual declarada</x:v>
      </x:c>
      <x:c r="J44" s="4" t="str">
        <x:v>CANDIDATA_NO_ADOPTADA</x:v>
      </x:c>
      <x:c r="K44" s="12" t="n">
        <x:f>COUNTIF('03_NICE'!$A$5:$A$57,A44)+COUNTIF('04_TKS'!$A$5:$A$72,A44)-1</x:f>
        <x:v>0</x:v>
      </x:c>
      <x:c r="L44" s="12" t="n">
        <x:f>IF(AND(COUNTIF('01_Fuentes'!$A$5:$A$40,G44)=1,COUNTIF('07_Operaciones'!$A$5:$A$26,F44)=1,COUNTIF('06_Cobertura'!$A$5:$A$25,E44)=1),0,1)</x:f>
        <x:v>0</x:v>
      </x:c>
      <x:c r="M44" s="12" t="n">
        <x:f>IF(OR(A44="",C44="",D44=""),1,0)</x:f>
        <x:v>0</x:v>
      </x:c>
    </x:row>
    <x:row r="45" ht="47" customHeight="1">
      <x:c r="A45" s="4" t="str">
        <x:v>K1147</x:v>
      </x:c>
      <x:c r="B45" s="4" t="str">
        <x:v>knowledge</x:v>
      </x:c>
      <x:c r="C45" s="4" t="str">
        <x:v>Knowledge of data integrity principles and practices</x:v>
      </x:c>
      <x:c r="D45" s="4" t="str">
        <x:v>Conocer principios y prácticas de integridad de datos.</x:v>
      </x:c>
      <x:c r="E45" s="4" t="str">
        <x:v>E10</x:v>
      </x:c>
      <x:c r="F45" s="4" t="str">
        <x:v>OPC-10</x:v>
      </x:c>
      <x:c r="G45" s="4" t="str">
        <x:v>F001</x:v>
      </x:c>
      <x:c r="H45" s="4" t="str">
        <x:v>2.2.0</x:v>
      </x:c>
      <x:c r="I45" s="4" t="str">
        <x:v>PRESENTE_EN_CORTE; sin revisión individual declarada</x:v>
      </x:c>
      <x:c r="J45" s="4" t="str">
        <x:v>CANDIDATA_NO_ADOPTADA</x:v>
      </x:c>
      <x:c r="K45" s="12" t="n">
        <x:f>COUNTIF('03_NICE'!$A$5:$A$57,A45)+COUNTIF('04_TKS'!$A$5:$A$72,A45)-1</x:f>
        <x:v>0</x:v>
      </x:c>
      <x:c r="L45" s="12" t="n">
        <x:f>IF(AND(COUNTIF('01_Fuentes'!$A$5:$A$40,G45)=1,COUNTIF('07_Operaciones'!$A$5:$A$26,F45)=1,COUNTIF('06_Cobertura'!$A$5:$A$25,E45)=1),0,1)</x:f>
        <x:v>0</x:v>
      </x:c>
      <x:c r="M45" s="12" t="n">
        <x:f>IF(OR(A45="",C45="",D45=""),1,0)</x:f>
        <x:v>0</x:v>
      </x:c>
    </x:row>
    <x:row r="46" ht="47" customHeight="1">
      <x:c r="A46" s="4" t="str">
        <x:v>K1317</x:v>
      </x:c>
      <x:c r="B46" s="4" t="str">
        <x:v>knowledge</x:v>
      </x:c>
      <x:c r="C46" s="4" t="str">
        <x:v>Knowledge of AI bias types</x:v>
      </x:c>
      <x:c r="D46" s="4" t="str">
        <x:v>Distinguir tipos de sesgo de IA.</x:v>
      </x:c>
      <x:c r="E46" s="4" t="str">
        <x:v>E19</x:v>
      </x:c>
      <x:c r="F46" s="4" t="str">
        <x:v>OPC-15</x:v>
      </x:c>
      <x:c r="G46" s="4" t="str">
        <x:v>F001</x:v>
      </x:c>
      <x:c r="H46" s="4" t="str">
        <x:v>2.2.0</x:v>
      </x:c>
      <x:c r="I46" s="4" t="str">
        <x:v>PRESENTE_EN_CORTE; sin revisión individual declarada</x:v>
      </x:c>
      <x:c r="J46" s="4" t="str">
        <x:v>CANDIDATA_NO_ADOPTADA</x:v>
      </x:c>
      <x:c r="K46" s="12" t="n">
        <x:f>COUNTIF('03_NICE'!$A$5:$A$57,A46)+COUNTIF('04_TKS'!$A$5:$A$72,A46)-1</x:f>
        <x:v>0</x:v>
      </x:c>
      <x:c r="L46" s="12" t="n">
        <x:f>IF(AND(COUNTIF('01_Fuentes'!$A$5:$A$40,G46)=1,COUNTIF('07_Operaciones'!$A$5:$A$26,F46)=1,COUNTIF('06_Cobertura'!$A$5:$A$25,E46)=1),0,1)</x:f>
        <x:v>0</x:v>
      </x:c>
      <x:c r="M46" s="12" t="n">
        <x:f>IF(OR(A46="",C46="",D46=""),1,0)</x:f>
        <x:v>0</x:v>
      </x:c>
    </x:row>
    <x:row r="47" ht="47" customHeight="1">
      <x:c r="A47" s="4" t="str">
        <x:v>K1318</x:v>
      </x:c>
      <x:c r="B47" s="4" t="str">
        <x:v>knowledge</x:v>
      </x:c>
      <x:c r="C47" s="4" t="str">
        <x:v>Knowledge of AI model development processes</x:v>
      </x:c>
      <x:c r="D47" s="4" t="str">
        <x:v>Conocer procesos de desarrollo de modelos de IA.</x:v>
      </x:c>
      <x:c r="E47" s="4" t="str">
        <x:v>E18</x:v>
      </x:c>
      <x:c r="F47" s="4" t="str">
        <x:v>OPC-05</x:v>
      </x:c>
      <x:c r="G47" s="4" t="str">
        <x:v>F001</x:v>
      </x:c>
      <x:c r="H47" s="4" t="str">
        <x:v>2.2.0</x:v>
      </x:c>
      <x:c r="I47" s="4" t="str">
        <x:v>PRESENTE_EN_CORTE; sin revisión individual declarada</x:v>
      </x:c>
      <x:c r="J47" s="4" t="str">
        <x:v>CANDIDATA_NO_ADOPTADA</x:v>
      </x:c>
      <x:c r="K47" s="12" t="n">
        <x:f>COUNTIF('03_NICE'!$A$5:$A$57,A47)+COUNTIF('04_TKS'!$A$5:$A$72,A47)-1</x:f>
        <x:v>0</x:v>
      </x:c>
      <x:c r="L47" s="12" t="n">
        <x:f>IF(AND(COUNTIF('01_Fuentes'!$A$5:$A$40,G47)=1,COUNTIF('07_Operaciones'!$A$5:$A$26,F47)=1,COUNTIF('06_Cobertura'!$A$5:$A$25,E47)=1),0,1)</x:f>
        <x:v>0</x:v>
      </x:c>
      <x:c r="M47" s="12" t="n">
        <x:f>IF(OR(A47="",C47="",D47=""),1,0)</x:f>
        <x:v>0</x:v>
      </x:c>
    </x:row>
    <x:row r="48" ht="47" customHeight="1">
      <x:c r="A48" s="4" t="str">
        <x:v>K1320</x:v>
      </x:c>
      <x:c r="B48" s="4" t="str">
        <x:v>knowledge</x:v>
      </x:c>
      <x:c r="C48" s="4" t="str">
        <x:v>Knowledge of common AI security risks</x:v>
      </x:c>
      <x:c r="D48" s="4" t="str">
        <x:v>Conocer riesgos comunes de seguridad de IA.</x:v>
      </x:c>
      <x:c r="E48" s="4" t="str">
        <x:v>E18</x:v>
      </x:c>
      <x:c r="F48" s="4" t="str">
        <x:v>OPC-15</x:v>
      </x:c>
      <x:c r="G48" s="4" t="str">
        <x:v>F001</x:v>
      </x:c>
      <x:c r="H48" s="4" t="str">
        <x:v>2.2.0</x:v>
      </x:c>
      <x:c r="I48" s="4" t="str">
        <x:v>PRESENTE_EN_CORTE; sin revisión individual declarada</x:v>
      </x:c>
      <x:c r="J48" s="4" t="str">
        <x:v>CANDIDATA_NO_ADOPTADA</x:v>
      </x:c>
      <x:c r="K48" s="12" t="n">
        <x:f>COUNTIF('03_NICE'!$A$5:$A$57,A48)+COUNTIF('04_TKS'!$A$5:$A$72,A48)-1</x:f>
        <x:v>0</x:v>
      </x:c>
      <x:c r="L48" s="12" t="n">
        <x:f>IF(AND(COUNTIF('01_Fuentes'!$A$5:$A$40,G48)=1,COUNTIF('07_Operaciones'!$A$5:$A$26,F48)=1,COUNTIF('06_Cobertura'!$A$5:$A$25,E48)=1),0,1)</x:f>
        <x:v>0</x:v>
      </x:c>
      <x:c r="M48" s="12" t="n">
        <x:f>IF(OR(A48="",C48="",D48=""),1,0)</x:f>
        <x:v>0</x:v>
      </x:c>
    </x:row>
    <x:row r="49" ht="47" customHeight="1">
      <x:c r="A49" s="4" t="str">
        <x:v>K1321</x:v>
      </x:c>
      <x:c r="B49" s="4" t="str">
        <x:v>knowledge</x:v>
      </x:c>
      <x:c r="C49" s="4" t="str">
        <x:v>Knowledge of common business and cybersecurity applications of AI systems</x:v>
      </x:c>
      <x:c r="D49" s="4" t="str">
        <x:v>Conocer aplicaciones de IA en negocio y ciberseguridad.</x:v>
      </x:c>
      <x:c r="E49" s="4" t="str">
        <x:v>E19</x:v>
      </x:c>
      <x:c r="F49" s="4" t="str">
        <x:v>OPC-15</x:v>
      </x:c>
      <x:c r="G49" s="4" t="str">
        <x:v>F001</x:v>
      </x:c>
      <x:c r="H49" s="4" t="str">
        <x:v>2.2.0</x:v>
      </x:c>
      <x:c r="I49" s="4" t="str">
        <x:v>PRESENTE_EN_CORTE; sin revisión individual declarada</x:v>
      </x:c>
      <x:c r="J49" s="4" t="str">
        <x:v>CANDIDATA_NO_ADOPTADA</x:v>
      </x:c>
      <x:c r="K49" s="12" t="n">
        <x:f>COUNTIF('03_NICE'!$A$5:$A$57,A49)+COUNTIF('04_TKS'!$A$5:$A$72,A49)-1</x:f>
        <x:v>0</x:v>
      </x:c>
      <x:c r="L49" s="12" t="n">
        <x:f>IF(AND(COUNTIF('01_Fuentes'!$A$5:$A$40,G49)=1,COUNTIF('07_Operaciones'!$A$5:$A$26,F49)=1,COUNTIF('06_Cobertura'!$A$5:$A$25,E49)=1),0,1)</x:f>
        <x:v>0</x:v>
      </x:c>
      <x:c r="M49" s="12" t="n">
        <x:f>IF(OR(A49="",C49="",D49=""),1,0)</x:f>
        <x:v>0</x:v>
      </x:c>
    </x:row>
    <x:row r="50" ht="47" customHeight="1">
      <x:c r="A50" s="4" t="str">
        <x:v>K1324</x:v>
      </x:c>
      <x:c r="B50" s="4" t="str">
        <x:v>knowledge</x:v>
      </x:c>
      <x:c r="C50" s="4" t="str">
        <x:v>Knowledge of data poisoning cyberattacks</x:v>
      </x:c>
      <x:c r="D50" s="4" t="str">
        <x:v>Conocer ataques de envenenamiento de datos.</x:v>
      </x:c>
      <x:c r="E50" s="4" t="str">
        <x:v>E18</x:v>
      </x:c>
      <x:c r="F50" s="4" t="str">
        <x:v>OPC-15</x:v>
      </x:c>
      <x:c r="G50" s="4" t="str">
        <x:v>F001</x:v>
      </x:c>
      <x:c r="H50" s="4" t="str">
        <x:v>2.2.0</x:v>
      </x:c>
      <x:c r="I50" s="4" t="str">
        <x:v>PRESENTE_EN_CORTE; sin revisión individual declarada</x:v>
      </x:c>
      <x:c r="J50" s="4" t="str">
        <x:v>CANDIDATA_NO_ADOPTADA</x:v>
      </x:c>
      <x:c r="K50" s="12" t="n">
        <x:f>COUNTIF('03_NICE'!$A$5:$A$57,A50)+COUNTIF('04_TKS'!$A$5:$A$72,A50)-1</x:f>
        <x:v>0</x:v>
      </x:c>
      <x:c r="L50" s="12" t="n">
        <x:f>IF(AND(COUNTIF('01_Fuentes'!$A$5:$A$40,G50)=1,COUNTIF('07_Operaciones'!$A$5:$A$26,F50)=1,COUNTIF('06_Cobertura'!$A$5:$A$25,E50)=1),0,1)</x:f>
        <x:v>0</x:v>
      </x:c>
      <x:c r="M50" s="12" t="n">
        <x:f>IF(OR(A50="",C50="",D50=""),1,0)</x:f>
        <x:v>0</x:v>
      </x:c>
    </x:row>
    <x:row r="51" ht="47" customHeight="1">
      <x:c r="A51" s="4" t="str">
        <x:v>K1327</x:v>
      </x:c>
      <x:c r="B51" s="4" t="str">
        <x:v>knowledge</x:v>
      </x:c>
      <x:c r="C51" s="4" t="str">
        <x:v>Knowledge of ethical responsibilities of AI system users and providers</x:v>
      </x:c>
      <x:c r="D51" s="4" t="str">
        <x:v>Conocer responsabilidades éticas de usuarios y proveedores de IA.</x:v>
      </x:c>
      <x:c r="E51" s="4" t="str">
        <x:v>E21</x:v>
      </x:c>
      <x:c r="F51" s="4" t="str">
        <x:v>OPC-15</x:v>
      </x:c>
      <x:c r="G51" s="4" t="str">
        <x:v>F001</x:v>
      </x:c>
      <x:c r="H51" s="4" t="str">
        <x:v>2.2.0</x:v>
      </x:c>
      <x:c r="I51" s="4" t="str">
        <x:v>PRESENTE_EN_CORTE; sin revisión individual declarada</x:v>
      </x:c>
      <x:c r="J51" s="4" t="str">
        <x:v>CANDIDATA_NO_ADOPTADA</x:v>
      </x:c>
      <x:c r="K51" s="12" t="n">
        <x:f>COUNTIF('03_NICE'!$A$5:$A$57,A51)+COUNTIF('04_TKS'!$A$5:$A$72,A51)-1</x:f>
        <x:v>0</x:v>
      </x:c>
      <x:c r="L51" s="12" t="n">
        <x:f>IF(AND(COUNTIF('01_Fuentes'!$A$5:$A$40,G51)=1,COUNTIF('07_Operaciones'!$A$5:$A$26,F51)=1,COUNTIF('06_Cobertura'!$A$5:$A$25,E51)=1),0,1)</x:f>
        <x:v>0</x:v>
      </x:c>
      <x:c r="M51" s="12" t="n">
        <x:f>IF(OR(A51="",C51="",D51=""),1,0)</x:f>
        <x:v>0</x:v>
      </x:c>
    </x:row>
    <x:row r="52" ht="47" customHeight="1">
      <x:c r="A52" s="4" t="str">
        <x:v>K1328</x:v>
      </x:c>
      <x:c r="B52" s="4" t="str">
        <x:v>knowledge</x:v>
      </x:c>
      <x:c r="C52" s="4" t="str">
        <x:v>Knowledge of human-AI interaction principles and practices</x:v>
      </x:c>
      <x:c r="D52" s="4" t="str">
        <x:v>Conocer principios y prácticas de interacción humano-IA.</x:v>
      </x:c>
      <x:c r="E52" s="4" t="str">
        <x:v>E21</x:v>
      </x:c>
      <x:c r="F52" s="4" t="str">
        <x:v>OPC-07</x:v>
      </x:c>
      <x:c r="G52" s="4" t="str">
        <x:v>F001</x:v>
      </x:c>
      <x:c r="H52" s="4" t="str">
        <x:v>2.2.0</x:v>
      </x:c>
      <x:c r="I52" s="4" t="str">
        <x:v>PRESENTE_EN_CORTE; sin revisión individual declarada</x:v>
      </x:c>
      <x:c r="J52" s="4" t="str">
        <x:v>CANDIDATA_NO_ADOPTADA</x:v>
      </x:c>
      <x:c r="K52" s="12" t="n">
        <x:f>COUNTIF('03_NICE'!$A$5:$A$57,A52)+COUNTIF('04_TKS'!$A$5:$A$72,A52)-1</x:f>
        <x:v>0</x:v>
      </x:c>
      <x:c r="L52" s="12" t="n">
        <x:f>IF(AND(COUNTIF('01_Fuentes'!$A$5:$A$40,G52)=1,COUNTIF('07_Operaciones'!$A$5:$A$26,F52)=1,COUNTIF('06_Cobertura'!$A$5:$A$25,E52)=1),0,1)</x:f>
        <x:v>0</x:v>
      </x:c>
      <x:c r="M52" s="12" t="n">
        <x:f>IF(OR(A52="",C52="",D52=""),1,0)</x:f>
        <x:v>0</x:v>
      </x:c>
    </x:row>
    <x:row r="53" ht="47" customHeight="1">
      <x:c r="A53" s="4" t="str">
        <x:v>K1329</x:v>
      </x:c>
      <x:c r="B53" s="4" t="str">
        <x:v>knowledge</x:v>
      </x:c>
      <x:c r="C53" s="4" t="str">
        <x:v>Knowledge of impact of data sparsity</x:v>
      </x:c>
      <x:c r="D53" s="4" t="str">
        <x:v>Comprender el efecto de la escasez de datos.</x:v>
      </x:c>
      <x:c r="E53" s="4" t="str">
        <x:v>E19</x:v>
      </x:c>
      <x:c r="F53" s="4" t="str">
        <x:v>OPC-15</x:v>
      </x:c>
      <x:c r="G53" s="4" t="str">
        <x:v>F001</x:v>
      </x:c>
      <x:c r="H53" s="4" t="str">
        <x:v>2.2.0</x:v>
      </x:c>
      <x:c r="I53" s="4" t="str">
        <x:v>PRESENTE_EN_CORTE; sin revisión individual declarada</x:v>
      </x:c>
      <x:c r="J53" s="4" t="str">
        <x:v>CANDIDATA_NO_ADOPTADA</x:v>
      </x:c>
      <x:c r="K53" s="12" t="n">
        <x:f>COUNTIF('03_NICE'!$A$5:$A$57,A53)+COUNTIF('04_TKS'!$A$5:$A$72,A53)-1</x:f>
        <x:v>0</x:v>
      </x:c>
      <x:c r="L53" s="12" t="n">
        <x:f>IF(AND(COUNTIF('01_Fuentes'!$A$5:$A$40,G53)=1,COUNTIF('07_Operaciones'!$A$5:$A$26,F53)=1,COUNTIF('06_Cobertura'!$A$5:$A$25,E53)=1),0,1)</x:f>
        <x:v>0</x:v>
      </x:c>
      <x:c r="M53" s="12" t="n">
        <x:f>IF(OR(A53="",C53="",D53=""),1,0)</x:f>
        <x:v>0</x:v>
      </x:c>
    </x:row>
    <x:row r="54" ht="47" customHeight="1">
      <x:c r="A54" s="4" t="str">
        <x:v>K1332</x:v>
      </x:c>
      <x:c r="B54" s="4" t="str">
        <x:v>knowledge</x:v>
      </x:c>
      <x:c r="C54" s="4" t="str">
        <x:v>Knowledge of legal responsibilities of AI system users</x:v>
      </x:c>
      <x:c r="D54" s="4" t="str">
        <x:v>Conocer responsabilidades jurídicas de usuarios de IA, con jurisdicción identificada.</x:v>
      </x:c>
      <x:c r="E54" s="4" t="str">
        <x:v>E16</x:v>
      </x:c>
      <x:c r="F54" s="4" t="str">
        <x:v>OPC-17</x:v>
      </x:c>
      <x:c r="G54" s="4" t="str">
        <x:v>F001</x:v>
      </x:c>
      <x:c r="H54" s="4" t="str">
        <x:v>2.2.0</x:v>
      </x:c>
      <x:c r="I54" s="4" t="str">
        <x:v>PRESENTE_EN_CORTE; sin revisión individual declarada</x:v>
      </x:c>
      <x:c r="J54" s="4" t="str">
        <x:v>CANDIDATA_NO_ADOPTADA</x:v>
      </x:c>
      <x:c r="K54" s="12" t="n">
        <x:f>COUNTIF('03_NICE'!$A$5:$A$57,A54)+COUNTIF('04_TKS'!$A$5:$A$72,A54)-1</x:f>
        <x:v>0</x:v>
      </x:c>
      <x:c r="L54" s="12" t="n">
        <x:f>IF(AND(COUNTIF('01_Fuentes'!$A$5:$A$40,G54)=1,COUNTIF('07_Operaciones'!$A$5:$A$26,F54)=1,COUNTIF('06_Cobertura'!$A$5:$A$25,E54)=1),0,1)</x:f>
        <x:v>0</x:v>
      </x:c>
      <x:c r="M54" s="12" t="n">
        <x:f>IF(OR(A54="",C54="",D54=""),1,0)</x:f>
        <x:v>0</x:v>
      </x:c>
    </x:row>
    <x:row r="55" ht="47" customHeight="1">
      <x:c r="A55" s="4" t="str">
        <x:v>K1333</x:v>
      </x:c>
      <x:c r="B55" s="4" t="str">
        <x:v>knowledge</x:v>
      </x:c>
      <x:c r="C55" s="4" t="str">
        <x:v>Knowledge of misinformation and disinformation vulnerabilities in AI systems</x:v>
      </x:c>
      <x:c r="D55" s="4" t="str">
        <x:v>Conocer vulnerabilidades de información errónea y desinformación en sistemas de IA.</x:v>
      </x:c>
      <x:c r="E55" s="4" t="str">
        <x:v>E20</x:v>
      </x:c>
      <x:c r="F55" s="4" t="str">
        <x:v>OPC-08</x:v>
      </x:c>
      <x:c r="G55" s="4" t="str">
        <x:v>F001</x:v>
      </x:c>
      <x:c r="H55" s="4" t="str">
        <x:v>2.2.0</x:v>
      </x:c>
      <x:c r="I55" s="4" t="str">
        <x:v>PRESENTE_EN_CORTE; sin revisión individual declarada</x:v>
      </x:c>
      <x:c r="J55" s="4" t="str">
        <x:v>CANDIDATA_NO_ADOPTADA</x:v>
      </x:c>
      <x:c r="K55" s="12" t="n">
        <x:f>COUNTIF('03_NICE'!$A$5:$A$57,A55)+COUNTIF('04_TKS'!$A$5:$A$72,A55)-1</x:f>
        <x:v>0</x:v>
      </x:c>
      <x:c r="L55" s="12" t="n">
        <x:f>IF(AND(COUNTIF('01_Fuentes'!$A$5:$A$40,G55)=1,COUNTIF('07_Operaciones'!$A$5:$A$26,F55)=1,COUNTIF('06_Cobertura'!$A$5:$A$25,E55)=1),0,1)</x:f>
        <x:v>0</x:v>
      </x:c>
      <x:c r="M55" s="12" t="n">
        <x:f>IF(OR(A55="",C55="",D55=""),1,0)</x:f>
        <x:v>0</x:v>
      </x:c>
    </x:row>
    <x:row r="56" ht="47" customHeight="1">
      <x:c r="A56" s="4" t="str">
        <x:v>K1334</x:v>
      </x:c>
      <x:c r="B56" s="4" t="str">
        <x:v>knowledge</x:v>
      </x:c>
      <x:c r="C56" s="4" t="str">
        <x:v>Knowledge of NIST AI Risk Management Framework</x:v>
      </x:c>
      <x:c r="D56" s="4" t="str">
        <x:v>Conocer el marco NIST de gestión del riesgo de IA.</x:v>
      </x:c>
      <x:c r="E56" s="4" t="str">
        <x:v>E21</x:v>
      </x:c>
      <x:c r="F56" s="4" t="str">
        <x:v>OPC-15</x:v>
      </x:c>
      <x:c r="G56" s="4" t="str">
        <x:v>F001</x:v>
      </x:c>
      <x:c r="H56" s="4" t="str">
        <x:v>2.2.0</x:v>
      </x:c>
      <x:c r="I56" s="4" t="str">
        <x:v>PRESENTE_EN_CORTE; sin revisión individual declarada</x:v>
      </x:c>
      <x:c r="J56" s="4" t="str">
        <x:v>CANDIDATA_NO_ADOPTADA</x:v>
      </x:c>
      <x:c r="K56" s="12" t="n">
        <x:f>COUNTIF('03_NICE'!$A$5:$A$57,A56)+COUNTIF('04_TKS'!$A$5:$A$72,A56)-1</x:f>
        <x:v>0</x:v>
      </x:c>
      <x:c r="L56" s="12" t="n">
        <x:f>IF(AND(COUNTIF('01_Fuentes'!$A$5:$A$40,G56)=1,COUNTIF('07_Operaciones'!$A$5:$A$26,F56)=1,COUNTIF('06_Cobertura'!$A$5:$A$25,E56)=1),0,1)</x:f>
        <x:v>0</x:v>
      </x:c>
      <x:c r="M56" s="12" t="n">
        <x:f>IF(OR(A56="",C56="",D56=""),1,0)</x:f>
        <x:v>0</x:v>
      </x:c>
    </x:row>
    <x:row r="57" ht="47" customHeight="1">
      <x:c r="A57" s="4" t="str">
        <x:v>K1335</x:v>
      </x:c>
      <x:c r="B57" s="4" t="str">
        <x:v>knowledge</x:v>
      </x:c>
      <x:c r="C57" s="4" t="str">
        <x:v>Knowledge of recall and precision metrics for classification tasks</x:v>
      </x:c>
      <x:c r="D57" s="4" t="str">
        <x:v>Distinguir exhaustividad y precisión como métricas de clasificación.</x:v>
      </x:c>
      <x:c r="E57" s="4" t="str">
        <x:v>E19</x:v>
      </x:c>
      <x:c r="F57" s="4" t="str">
        <x:v>OPC-15</x:v>
      </x:c>
      <x:c r="G57" s="4" t="str">
        <x:v>F001</x:v>
      </x:c>
      <x:c r="H57" s="4" t="str">
        <x:v>2.2.0</x:v>
      </x:c>
      <x:c r="I57" s="4" t="str">
        <x:v>PRESENTE_EN_CORTE; sin revisión individual declarada</x:v>
      </x:c>
      <x:c r="J57" s="4" t="str">
        <x:v>CANDIDATA_NO_ADOPTADA</x:v>
      </x:c>
      <x:c r="K57" s="12" t="n">
        <x:f>COUNTIF('03_NICE'!$A$5:$A$57,A57)+COUNTIF('04_TKS'!$A$5:$A$72,A57)-1</x:f>
        <x:v>0</x:v>
      </x:c>
      <x:c r="L57" s="12" t="n">
        <x:f>IF(AND(COUNTIF('01_Fuentes'!$A$5:$A$40,G57)=1,COUNTIF('07_Operaciones'!$A$5:$A$26,F57)=1,COUNTIF('06_Cobertura'!$A$5:$A$25,E57)=1),0,1)</x:f>
        <x:v>0</x:v>
      </x:c>
      <x:c r="M57" s="12" t="n">
        <x:f>IF(OR(A57="",C57="",D57=""),1,0)</x:f>
        <x:v>0</x:v>
      </x:c>
    </x:row>
    <x:row r="58" ht="47" customHeight="1">
      <x:c r="A58" s="4" t="str">
        <x:v>K1336</x:v>
      </x:c>
      <x:c r="B58" s="4" t="str">
        <x:v>knowledge</x:v>
      </x:c>
      <x:c r="C58" s="4" t="str">
        <x:v>Knowledge of residual risk principles and practices</x:v>
      </x:c>
      <x:c r="D58" s="4" t="str">
        <x:v>Conocer principios y prácticas de riesgo residual.</x:v>
      </x:c>
      <x:c r="E58" s="4" t="str">
        <x:v>E01</x:v>
      </x:c>
      <x:c r="F58" s="4" t="str">
        <x:v>OPC-01</x:v>
      </x:c>
      <x:c r="G58" s="4" t="str">
        <x:v>F001</x:v>
      </x:c>
      <x:c r="H58" s="4" t="str">
        <x:v>2.2.0</x:v>
      </x:c>
      <x:c r="I58" s="4" t="str">
        <x:v>PRESENTE_EN_CORTE; sin revisión individual declarada</x:v>
      </x:c>
      <x:c r="J58" s="4" t="str">
        <x:v>CANDIDATA_NO_ADOPTADA</x:v>
      </x:c>
      <x:c r="K58" s="12" t="n">
        <x:f>COUNTIF('03_NICE'!$A$5:$A$57,A58)+COUNTIF('04_TKS'!$A$5:$A$72,A58)-1</x:f>
        <x:v>0</x:v>
      </x:c>
      <x:c r="L58" s="12" t="n">
        <x:f>IF(AND(COUNTIF('01_Fuentes'!$A$5:$A$40,G58)=1,COUNTIF('07_Operaciones'!$A$5:$A$26,F58)=1,COUNTIF('06_Cobertura'!$A$5:$A$25,E58)=1),0,1)</x:f>
        <x:v>0</x:v>
      </x:c>
      <x:c r="M58" s="12" t="n">
        <x:f>IF(OR(A58="",C58="",D58=""),1,0)</x:f>
        <x:v>0</x:v>
      </x:c>
    </x:row>
    <x:row r="59" ht="47" customHeight="1">
      <x:c r="A59" s="4" t="str">
        <x:v>K1339</x:v>
      </x:c>
      <x:c r="B59" s="4" t="str">
        <x:v>knowledge</x:v>
      </x:c>
      <x:c r="C59" s="4" t="str">
        <x:v>Knowledge of statistical principles and practices</x:v>
      </x:c>
      <x:c r="D59" s="4" t="str">
        <x:v>Conocer principios y prácticas estadísticas pertinentes para evaluar sistemas.</x:v>
      </x:c>
      <x:c r="E59" s="4" t="str">
        <x:v>E19</x:v>
      </x:c>
      <x:c r="F59" s="4" t="str">
        <x:v>OPC-15</x:v>
      </x:c>
      <x:c r="G59" s="4" t="str">
        <x:v>F001</x:v>
      </x:c>
      <x:c r="H59" s="4" t="str">
        <x:v>2.2.0</x:v>
      </x:c>
      <x:c r="I59" s="4" t="str">
        <x:v>PRESENTE_EN_CORTE; sin revisión individual declarada</x:v>
      </x:c>
      <x:c r="J59" s="4" t="str">
        <x:v>CANDIDATA_NO_ADOPTADA</x:v>
      </x:c>
      <x:c r="K59" s="12" t="n">
        <x:f>COUNTIF('03_NICE'!$A$5:$A$57,A59)+COUNTIF('04_TKS'!$A$5:$A$72,A59)-1</x:f>
        <x:v>0</x:v>
      </x:c>
      <x:c r="L59" s="12" t="n">
        <x:f>IF(AND(COUNTIF('01_Fuentes'!$A$5:$A$40,G59)=1,COUNTIF('07_Operaciones'!$A$5:$A$26,F59)=1,COUNTIF('06_Cobertura'!$A$5:$A$25,E59)=1),0,1)</x:f>
        <x:v>0</x:v>
      </x:c>
      <x:c r="M59" s="12" t="n">
        <x:f>IF(OR(A59="",C59="",D59=""),1,0)</x:f>
        <x:v>0</x:v>
      </x:c>
    </x:row>
    <x:row r="60" ht="47" customHeight="1">
      <x:c r="A60" s="4" t="str">
        <x:v>K1341</x:v>
      </x:c>
      <x:c r="B60" s="4" t="str">
        <x:v>knowledge</x:v>
      </x:c>
      <x:c r="C60" s="4" t="str">
        <x:v>Knowledge of test, evaluation, verification, and validation (TEVV) processes</x:v>
      </x:c>
      <x:c r="D60" s="4" t="str">
        <x:v>Conocer procesos de prueba, evaluación, verificación y validación.</x:v>
      </x:c>
      <x:c r="E60" s="4" t="str">
        <x:v>E19</x:v>
      </x:c>
      <x:c r="F60" s="4" t="str">
        <x:v>OPC-15</x:v>
      </x:c>
      <x:c r="G60" s="4" t="str">
        <x:v>F001</x:v>
      </x:c>
      <x:c r="H60" s="4" t="str">
        <x:v>2.2.0</x:v>
      </x:c>
      <x:c r="I60" s="4" t="str">
        <x:v>PRESENTE_EN_CORTE; sin revisión individual declarada</x:v>
      </x:c>
      <x:c r="J60" s="4" t="str">
        <x:v>CANDIDATA_NO_ADOPTADA</x:v>
      </x:c>
      <x:c r="K60" s="12" t="n">
        <x:f>COUNTIF('03_NICE'!$A$5:$A$57,A60)+COUNTIF('04_TKS'!$A$5:$A$72,A60)-1</x:f>
        <x:v>0</x:v>
      </x:c>
      <x:c r="L60" s="12" t="n">
        <x:f>IF(AND(COUNTIF('01_Fuentes'!$A$5:$A$40,G60)=1,COUNTIF('07_Operaciones'!$A$5:$A$26,F60)=1,COUNTIF('06_Cobertura'!$A$5:$A$25,E60)=1),0,1)</x:f>
        <x:v>0</x:v>
      </x:c>
      <x:c r="M60" s="12" t="n">
        <x:f>IF(OR(A60="",C60="",D60=""),1,0)</x:f>
        <x:v>0</x:v>
      </x:c>
    </x:row>
    <x:row r="61" ht="47" customHeight="1">
      <x:c r="A61" s="4" t="str">
        <x:v>K1342</x:v>
      </x:c>
      <x:c r="B61" s="4" t="str">
        <x:v>knowledge</x:v>
      </x:c>
      <x:c r="C61" s="4" t="str">
        <x:v>Knowledge of training, validation, and test data sets</x:v>
      </x:c>
      <x:c r="D61" s="4" t="str">
        <x:v>Distinguir conjuntos de entrenamiento, validación y prueba.</x:v>
      </x:c>
      <x:c r="E61" s="4" t="str">
        <x:v>E19</x:v>
      </x:c>
      <x:c r="F61" s="4" t="str">
        <x:v>OPC-15</x:v>
      </x:c>
      <x:c r="G61" s="4" t="str">
        <x:v>F001</x:v>
      </x:c>
      <x:c r="H61" s="4" t="str">
        <x:v>2.2.0</x:v>
      </x:c>
      <x:c r="I61" s="4" t="str">
        <x:v>PRESENTE_EN_CORTE; sin revisión individual declarada</x:v>
      </x:c>
      <x:c r="J61" s="4" t="str">
        <x:v>CANDIDATA_NO_ADOPTADA</x:v>
      </x:c>
      <x:c r="K61" s="12" t="n">
        <x:f>COUNTIF('03_NICE'!$A$5:$A$57,A61)+COUNTIF('04_TKS'!$A$5:$A$72,A61)-1</x:f>
        <x:v>0</x:v>
      </x:c>
      <x:c r="L61" s="12" t="n">
        <x:f>IF(AND(COUNTIF('01_Fuentes'!$A$5:$A$40,G61)=1,COUNTIF('07_Operaciones'!$A$5:$A$26,F61)=1,COUNTIF('06_Cobertura'!$A$5:$A$25,E61)=1),0,1)</x:f>
        <x:v>0</x:v>
      </x:c>
      <x:c r="M61" s="12" t="n">
        <x:f>IF(OR(A61="",C61="",D61=""),1,0)</x:f>
        <x:v>0</x:v>
      </x:c>
    </x:row>
    <x:row r="62" ht="47" customHeight="1">
      <x:c r="A62" s="4" t="str">
        <x:v>K1343</x:v>
      </x:c>
      <x:c r="B62" s="4" t="str">
        <x:v>knowledge</x:v>
      </x:c>
      <x:c r="C62" s="4" t="str">
        <x:v>Knowledge of uncertainty measurement principles and practices</x:v>
      </x:c>
      <x:c r="D62" s="4" t="str">
        <x:v>Conocer principios y prácticas de medición de incertidumbre.</x:v>
      </x:c>
      <x:c r="E62" s="4" t="str">
        <x:v>E19</x:v>
      </x:c>
      <x:c r="F62" s="4" t="str">
        <x:v>OPC-15</x:v>
      </x:c>
      <x:c r="G62" s="4" t="str">
        <x:v>F001</x:v>
      </x:c>
      <x:c r="H62" s="4" t="str">
        <x:v>2.2.0</x:v>
      </x:c>
      <x:c r="I62" s="4" t="str">
        <x:v>PRESENTE_EN_CORTE; sin revisión individual declarada</x:v>
      </x:c>
      <x:c r="J62" s="4" t="str">
        <x:v>CANDIDATA_NO_ADOPTADA</x:v>
      </x:c>
      <x:c r="K62" s="12" t="n">
        <x:f>COUNTIF('03_NICE'!$A$5:$A$57,A62)+COUNTIF('04_TKS'!$A$5:$A$72,A62)-1</x:f>
        <x:v>0</x:v>
      </x:c>
      <x:c r="L62" s="12" t="n">
        <x:f>IF(AND(COUNTIF('01_Fuentes'!$A$5:$A$40,G62)=1,COUNTIF('07_Operaciones'!$A$5:$A$26,F62)=1,COUNTIF('06_Cobertura'!$A$5:$A$25,E62)=1),0,1)</x:f>
        <x:v>0</x:v>
      </x:c>
      <x:c r="M62" s="12" t="n">
        <x:f>IF(OR(A62="",C62="",D62=""),1,0)</x:f>
        <x:v>0</x:v>
      </x:c>
    </x:row>
    <x:row r="63" ht="47" customHeight="1">
      <x:c r="A63" s="4" t="str">
        <x:v>K1345</x:v>
      </x:c>
      <x:c r="B63" s="4" t="str">
        <x:v>knowledge</x:v>
      </x:c>
      <x:c r="C63" s="4" t="str">
        <x:v>Knowledge of agentic AI principles and practices</x:v>
      </x:c>
      <x:c r="D63" s="4" t="str">
        <x:v>Conocer principios y prácticas de IA con capacidad de actuación mediante agentes.</x:v>
      </x:c>
      <x:c r="E63" s="4" t="str">
        <x:v>E18</x:v>
      </x:c>
      <x:c r="F63" s="4" t="str">
        <x:v>OPC-15</x:v>
      </x:c>
      <x:c r="G63" s="4" t="str">
        <x:v>F001</x:v>
      </x:c>
      <x:c r="H63" s="4" t="str">
        <x:v>2.2.0</x:v>
      </x:c>
      <x:c r="I63" s="4" t="str">
        <x:v>PRESENTE_EN_CORTE; sin revisión individual declarada</x:v>
      </x:c>
      <x:c r="J63" s="4" t="str">
        <x:v>CANDIDATA_NO_ADOPTADA</x:v>
      </x:c>
      <x:c r="K63" s="12" t="n">
        <x:f>COUNTIF('03_NICE'!$A$5:$A$57,A63)+COUNTIF('04_TKS'!$A$5:$A$72,A63)-1</x:f>
        <x:v>0</x:v>
      </x:c>
      <x:c r="L63" s="12" t="n">
        <x:f>IF(AND(COUNTIF('01_Fuentes'!$A$5:$A$40,G63)=1,COUNTIF('07_Operaciones'!$A$5:$A$26,F63)=1,COUNTIF('06_Cobertura'!$A$5:$A$25,E63)=1),0,1)</x:f>
        <x:v>0</x:v>
      </x:c>
      <x:c r="M63" s="12" t="n">
        <x:f>IF(OR(A63="",C63="",D63=""),1,0)</x:f>
        <x:v>0</x:v>
      </x:c>
    </x:row>
    <x:row r="64" ht="47" customHeight="1">
      <x:c r="A64" s="4" t="str">
        <x:v>S0443</x:v>
      </x:c>
      <x:c r="B64" s="4" t="str">
        <x:v>skill</x:v>
      </x:c>
      <x:c r="C64" s="4" t="str">
        <x:v>Skill in mitigating cognitive biases</x:v>
      </x:c>
      <x:c r="D64" s="4" t="str">
        <x:v>Aplicar medidas para mitigar sesgos cognitivos.</x:v>
      </x:c>
      <x:c r="E64" s="4" t="str">
        <x:v>E14</x:v>
      </x:c>
      <x:c r="F64" s="4" t="str">
        <x:v>OPC-07</x:v>
      </x:c>
      <x:c r="G64" s="4" t="str">
        <x:v>F001</x:v>
      </x:c>
      <x:c r="H64" s="4" t="str">
        <x:v>2.2.0</x:v>
      </x:c>
      <x:c r="I64" s="4" t="str">
        <x:v>PRESENTE_EN_CORTE; sin revisión individual declarada</x:v>
      </x:c>
      <x:c r="J64" s="4" t="str">
        <x:v>CANDIDATA_NO_ADOPTADA</x:v>
      </x:c>
      <x:c r="K64" s="12" t="n">
        <x:f>COUNTIF('03_NICE'!$A$5:$A$57,A64)+COUNTIF('04_TKS'!$A$5:$A$72,A64)-1</x:f>
        <x:v>0</x:v>
      </x:c>
      <x:c r="L64" s="12" t="n">
        <x:f>IF(AND(COUNTIF('01_Fuentes'!$A$5:$A$40,G64)=1,COUNTIF('07_Operaciones'!$A$5:$A$26,F64)=1,COUNTIF('06_Cobertura'!$A$5:$A$25,E64)=1),0,1)</x:f>
        <x:v>0</x:v>
      </x:c>
      <x:c r="M64" s="12" t="n">
        <x:f>IF(OR(A64="",C64="",D64=""),1,0)</x:f>
        <x:v>0</x:v>
      </x:c>
    </x:row>
    <x:row r="65" ht="47" customHeight="1">
      <x:c r="A65" s="4" t="str">
        <x:v>S0480</x:v>
      </x:c>
      <x:c r="B65" s="4" t="str">
        <x:v>skill</x:v>
      </x:c>
      <x:c r="C65" s="4" t="str">
        <x:v>Skill in evaluating product trustworthiness</x:v>
      </x:c>
      <x:c r="D65" s="4" t="str">
        <x:v>Evaluar la confianza justificable en un producto.</x:v>
      </x:c>
      <x:c r="E65" s="4" t="str">
        <x:v>E07</x:v>
      </x:c>
      <x:c r="F65" s="4" t="str">
        <x:v>OPC-06</x:v>
      </x:c>
      <x:c r="G65" s="4" t="str">
        <x:v>F001</x:v>
      </x:c>
      <x:c r="H65" s="4" t="str">
        <x:v>2.2.0</x:v>
      </x:c>
      <x:c r="I65" s="4" t="str">
        <x:v>PRESENTE_EN_CORTE; sin revisión individual declarada</x:v>
      </x:c>
      <x:c r="J65" s="4" t="str">
        <x:v>CANDIDATA_NO_ADOPTADA</x:v>
      </x:c>
      <x:c r="K65" s="12" t="n">
        <x:f>COUNTIF('03_NICE'!$A$5:$A$57,A65)+COUNTIF('04_TKS'!$A$5:$A$72,A65)-1</x:f>
        <x:v>0</x:v>
      </x:c>
      <x:c r="L65" s="12" t="n">
        <x:f>IF(AND(COUNTIF('01_Fuentes'!$A$5:$A$40,G65)=1,COUNTIF('07_Operaciones'!$A$5:$A$26,F65)=1,COUNTIF('06_Cobertura'!$A$5:$A$25,E65)=1),0,1)</x:f>
        <x:v>0</x:v>
      </x:c>
      <x:c r="M65" s="12" t="n">
        <x:f>IF(OR(A65="",C65="",D65=""),1,0)</x:f>
        <x:v>0</x:v>
      </x:c>
    </x:row>
    <x:row r="66" ht="47" customHeight="1">
      <x:c r="A66" s="4" t="str">
        <x:v>S0900</x:v>
      </x:c>
      <x:c r="B66" s="4" t="str">
        <x:v>skill</x:v>
      </x:c>
      <x:c r="C66" s="4" t="str">
        <x:v>Skill in analyzing information from multiple sources</x:v>
      </x:c>
      <x:c r="D66" s="4" t="str">
        <x:v>Analizar información procedente de diversas fuentes.</x:v>
      </x:c>
      <x:c r="E66" s="4" t="str">
        <x:v>E09</x:v>
      </x:c>
      <x:c r="F66" s="4" t="str">
        <x:v>OPC-08</x:v>
      </x:c>
      <x:c r="G66" s="4" t="str">
        <x:v>F001</x:v>
      </x:c>
      <x:c r="H66" s="4" t="str">
        <x:v>2.2.0</x:v>
      </x:c>
      <x:c r="I66" s="4" t="str">
        <x:v>PRESENTE_EN_CORTE; sin revisión individual declarada</x:v>
      </x:c>
      <x:c r="J66" s="4" t="str">
        <x:v>CANDIDATA_NO_ADOPTADA</x:v>
      </x:c>
      <x:c r="K66" s="12" t="n">
        <x:f>COUNTIF('03_NICE'!$A$5:$A$57,A66)+COUNTIF('04_TKS'!$A$5:$A$72,A66)-1</x:f>
        <x:v>0</x:v>
      </x:c>
      <x:c r="L66" s="12" t="n">
        <x:f>IF(AND(COUNTIF('01_Fuentes'!$A$5:$A$40,G66)=1,COUNTIF('07_Operaciones'!$A$5:$A$26,F66)=1,COUNTIF('06_Cobertura'!$A$5:$A$25,E66)=1),0,1)</x:f>
        <x:v>0</x:v>
      </x:c>
      <x:c r="M66" s="12" t="n">
        <x:f>IF(OR(A66="",C66="",D66=""),1,0)</x:f>
        <x:v>0</x:v>
      </x:c>
    </x:row>
    <x:row r="67" ht="47" customHeight="1">
      <x:c r="A67" s="4" t="str">
        <x:v>S0952</x:v>
      </x:c>
      <x:c r="B67" s="4" t="str">
        <x:v>skill</x:v>
      </x:c>
      <x:c r="C67" s="4" t="str">
        <x:v>Skill in developing appropriate system use cases</x:v>
      </x:c>
      <x:c r="D67" s="4" t="str">
        <x:v>Definir casos de uso apropiados del sistema.</x:v>
      </x:c>
      <x:c r="E67" s="4" t="str">
        <x:v>E21</x:v>
      </x:c>
      <x:c r="F67" s="4" t="str">
        <x:v>OPC-15</x:v>
      </x:c>
      <x:c r="G67" s="4" t="str">
        <x:v>F001</x:v>
      </x:c>
      <x:c r="H67" s="4" t="str">
        <x:v>2.2.0</x:v>
      </x:c>
      <x:c r="I67" s="4" t="str">
        <x:v>PRESENTE_EN_CORTE; sin revisión individual declarada</x:v>
      </x:c>
      <x:c r="J67" s="4" t="str">
        <x:v>CANDIDATA_NO_ADOPTADA</x:v>
      </x:c>
      <x:c r="K67" s="12" t="n">
        <x:f>COUNTIF('03_NICE'!$A$5:$A$57,A67)+COUNTIF('04_TKS'!$A$5:$A$72,A67)-1</x:f>
        <x:v>0</x:v>
      </x:c>
      <x:c r="L67" s="12" t="n">
        <x:f>IF(AND(COUNTIF('01_Fuentes'!$A$5:$A$40,G67)=1,COUNTIF('07_Operaciones'!$A$5:$A$26,F67)=1,COUNTIF('06_Cobertura'!$A$5:$A$25,E67)=1),0,1)</x:f>
        <x:v>0</x:v>
      </x:c>
      <x:c r="M67" s="12" t="n">
        <x:f>IF(OR(A67="",C67="",D67=""),1,0)</x:f>
        <x:v>0</x:v>
      </x:c>
    </x:row>
    <x:row r="68" ht="47" customHeight="1">
      <x:c r="A68" s="4" t="str">
        <x:v>S0954</x:v>
      </x:c>
      <x:c r="B68" s="4" t="str">
        <x:v>skill</x:v>
      </x:c>
      <x:c r="C68" s="4" t="str">
        <x:v>Skill in dividing data into training, validation, and test data sets</x:v>
      </x:c>
      <x:c r="D68" s="4" t="str">
        <x:v>Separar datos de entrenamiento, validación y prueba.</x:v>
      </x:c>
      <x:c r="E68" s="4" t="str">
        <x:v>E19</x:v>
      </x:c>
      <x:c r="F68" s="4" t="str">
        <x:v>OPC-15</x:v>
      </x:c>
      <x:c r="G68" s="4" t="str">
        <x:v>F001</x:v>
      </x:c>
      <x:c r="H68" s="4" t="str">
        <x:v>2.2.0</x:v>
      </x:c>
      <x:c r="I68" s="4" t="str">
        <x:v>PRESENTE_EN_CORTE; sin revisión individual declarada</x:v>
      </x:c>
      <x:c r="J68" s="4" t="str">
        <x:v>CANDIDATA_NO_ADOPTADA</x:v>
      </x:c>
      <x:c r="K68" s="12" t="n">
        <x:f>COUNTIF('03_NICE'!$A$5:$A$57,A68)+COUNTIF('04_TKS'!$A$5:$A$72,A68)-1</x:f>
        <x:v>0</x:v>
      </x:c>
      <x:c r="L68" s="12" t="n">
        <x:f>IF(AND(COUNTIF('01_Fuentes'!$A$5:$A$40,G68)=1,COUNTIF('07_Operaciones'!$A$5:$A$26,F68)=1,COUNTIF('06_Cobertura'!$A$5:$A$25,E68)=1),0,1)</x:f>
        <x:v>0</x:v>
      </x:c>
      <x:c r="M68" s="12" t="n">
        <x:f>IF(OR(A68="",C68="",D68=""),1,0)</x:f>
        <x:v>0</x:v>
      </x:c>
    </x:row>
    <x:row r="69" ht="47" customHeight="1">
      <x:c r="A69" s="4" t="str">
        <x:v>S0955</x:v>
      </x:c>
      <x:c r="B69" s="4" t="str">
        <x:v>skill</x:v>
      </x:c>
      <x:c r="C69" s="4" t="str">
        <x:v>Skill in evaluating machine learning models</x:v>
      </x:c>
      <x:c r="D69" s="4" t="str">
        <x:v>Evaluar modelos de aprendizaje automático.</x:v>
      </x:c>
      <x:c r="E69" s="4" t="str">
        <x:v>E19</x:v>
      </x:c>
      <x:c r="F69" s="4" t="str">
        <x:v>OPC-15</x:v>
      </x:c>
      <x:c r="G69" s="4" t="str">
        <x:v>F001</x:v>
      </x:c>
      <x:c r="H69" s="4" t="str">
        <x:v>2.2.0</x:v>
      </x:c>
      <x:c r="I69" s="4" t="str">
        <x:v>PRESENTE_EN_CORTE; sin revisión individual declarada</x:v>
      </x:c>
      <x:c r="J69" s="4" t="str">
        <x:v>CANDIDATA_NO_ADOPTADA</x:v>
      </x:c>
      <x:c r="K69" s="12" t="n">
        <x:f>COUNTIF('03_NICE'!$A$5:$A$57,A69)+COUNTIF('04_TKS'!$A$5:$A$72,A69)-1</x:f>
        <x:v>0</x:v>
      </x:c>
      <x:c r="L69" s="12" t="n">
        <x:f>IF(AND(COUNTIF('01_Fuentes'!$A$5:$A$40,G69)=1,COUNTIF('07_Operaciones'!$A$5:$A$26,F69)=1,COUNTIF('06_Cobertura'!$A$5:$A$25,E69)=1),0,1)</x:f>
        <x:v>0</x:v>
      </x:c>
      <x:c r="M69" s="12" t="n">
        <x:f>IF(OR(A69="",C69="",D69=""),1,0)</x:f>
        <x:v>0</x:v>
      </x:c>
    </x:row>
    <x:row r="70" ht="47" customHeight="1">
      <x:c r="A70" s="4" t="str">
        <x:v>S0956</x:v>
      </x:c>
      <x:c r="B70" s="4" t="str">
        <x:v>skill</x:v>
      </x:c>
      <x:c r="C70" s="4" t="str">
        <x:v>Skill in evaluating the performance of algorithms</x:v>
      </x:c>
      <x:c r="D70" s="4" t="str">
        <x:v>Evaluar el rendimiento de algoritmos.</x:v>
      </x:c>
      <x:c r="E70" s="4" t="str">
        <x:v>E19</x:v>
      </x:c>
      <x:c r="F70" s="4" t="str">
        <x:v>OPC-15</x:v>
      </x:c>
      <x:c r="G70" s="4" t="str">
        <x:v>F001</x:v>
      </x:c>
      <x:c r="H70" s="4" t="str">
        <x:v>2.2.0</x:v>
      </x:c>
      <x:c r="I70" s="4" t="str">
        <x:v>PRESENTE_EN_CORTE; sin revisión individual declarada</x:v>
      </x:c>
      <x:c r="J70" s="4" t="str">
        <x:v>CANDIDATA_NO_ADOPTADA</x:v>
      </x:c>
      <x:c r="K70" s="12" t="n">
        <x:f>COUNTIF('03_NICE'!$A$5:$A$57,A70)+COUNTIF('04_TKS'!$A$5:$A$72,A70)-1</x:f>
        <x:v>0</x:v>
      </x:c>
      <x:c r="L70" s="12" t="n">
        <x:f>IF(AND(COUNTIF('01_Fuentes'!$A$5:$A$40,G70)=1,COUNTIF('07_Operaciones'!$A$5:$A$26,F70)=1,COUNTIF('06_Cobertura'!$A$5:$A$25,E70)=1),0,1)</x:f>
        <x:v>0</x:v>
      </x:c>
      <x:c r="M70" s="12" t="n">
        <x:f>IF(OR(A70="",C70="",D70=""),1,0)</x:f>
        <x:v>0</x:v>
      </x:c>
    </x:row>
    <x:row r="71" ht="47" customHeight="1">
      <x:c r="A71" s="4" t="str">
        <x:v>S0957</x:v>
      </x:c>
      <x:c r="B71" s="4" t="str">
        <x:v>skill</x:v>
      </x:c>
      <x:c r="C71" s="4" t="str">
        <x:v>Skill in identifying possible mistakes or hallucinations in AI-generated outputs</x:v>
      </x:c>
      <x:c r="D71" s="4" t="str">
        <x:v>Identificar errores o invenciones posibles en salidas generadas por IA.</x:v>
      </x:c>
      <x:c r="E71" s="4" t="str">
        <x:v>E19</x:v>
      </x:c>
      <x:c r="F71" s="4" t="str">
        <x:v>OPC-07</x:v>
      </x:c>
      <x:c r="G71" s="4" t="str">
        <x:v>F001</x:v>
      </x:c>
      <x:c r="H71" s="4" t="str">
        <x:v>2.2.0</x:v>
      </x:c>
      <x:c r="I71" s="4" t="str">
        <x:v>PRESENTE_EN_CORTE; sin revisión individual declarada</x:v>
      </x:c>
      <x:c r="J71" s="4" t="str">
        <x:v>CANDIDATA_NO_ADOPTADA</x:v>
      </x:c>
      <x:c r="K71" s="12" t="n">
        <x:f>COUNTIF('03_NICE'!$A$5:$A$57,A71)+COUNTIF('04_TKS'!$A$5:$A$72,A71)-1</x:f>
        <x:v>0</x:v>
      </x:c>
      <x:c r="L71" s="12" t="n">
        <x:f>IF(AND(COUNTIF('01_Fuentes'!$A$5:$A$40,G71)=1,COUNTIF('07_Operaciones'!$A$5:$A$26,F71)=1,COUNTIF('06_Cobertura'!$A$5:$A$25,E71)=1),0,1)</x:f>
        <x:v>0</x:v>
      </x:c>
      <x:c r="M71" s="12" t="n">
        <x:f>IF(OR(A71="",C71="",D71=""),1,0)</x:f>
        <x:v>0</x:v>
      </x:c>
    </x:row>
    <x:row r="72" ht="47" customHeight="1">
      <x:c r="A72" s="4" t="str">
        <x:v>S0958</x:v>
      </x:c>
      <x:c r="B72" s="4" t="str">
        <x:v>skill</x:v>
      </x:c>
      <x:c r="C72" s="4" t="str">
        <x:v>Skill in measuring non-explainable risk</x:v>
      </x:c>
      <x:c r="D72" s="4" t="str">
        <x:v>Medir el riesgo no explicable conforme al método que se constituya; no convertirlo automáticamente en Tri.</x:v>
      </x:c>
      <x:c r="E72" s="4" t="str">
        <x:v>E19</x:v>
      </x:c>
      <x:c r="F72" s="4" t="str">
        <x:v>OPC-15</x:v>
      </x:c>
      <x:c r="G72" s="4" t="str">
        <x:v>F001</x:v>
      </x:c>
      <x:c r="H72" s="4" t="str">
        <x:v>2.2.0</x:v>
      </x:c>
      <x:c r="I72" s="4" t="str">
        <x:v>PRESENTE_EN_CORTE; sin revisión individual declarada</x:v>
      </x:c>
      <x:c r="J72" s="4" t="str">
        <x:v>CANDIDATA_NO_ADOPTADA</x:v>
      </x:c>
      <x:c r="K72" s="12" t="n">
        <x:f>COUNTIF('03_NICE'!$A$5:$A$57,A72)+COUNTIF('04_TKS'!$A$5:$A$72,A72)-1</x:f>
        <x:v>0</x:v>
      </x:c>
      <x:c r="L72" s="12" t="n">
        <x:f>IF(AND(COUNTIF('01_Fuentes'!$A$5:$A$40,G72)=1,COUNTIF('07_Operaciones'!$A$5:$A$26,F72)=1,COUNTIF('06_Cobertura'!$A$5:$A$25,E72)=1),0,1)</x:f>
        <x:v>0</x:v>
      </x:c>
      <x:c r="M72" s="12" t="n">
        <x:f>IF(OR(A72="",C72="",D72=""),1,0)</x:f>
        <x:v>0</x:v>
      </x:c>
    </x:row>
  </x:sheetData>
  <x:mergeCells>
    <x:mergeCell ref="A1:D1"/>
    <x:mergeCell ref="A2:F2"/>
  </x:mergeCells>
  <x:pageMargins left="0.7" right="0.7" top="0.75" bottom="0.75" header="0.3" footer="0.3"/>
  <x:tableParts count="1">
    <x:tablePart xmlns:r="http://schemas.openxmlformats.org/officeDocument/2006/relationships" r:id="Rdd18a7cdfad64c0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11" hidden="0" customWidth="1"/>
    <x:col min="3" max="3" width="12" hidden="0" customWidth="1"/>
    <x:col min="4" max="4" width="61" hidden="0" customWidth="1"/>
    <x:col min="5" max="5" width="44" hidden="0" customWidth="1"/>
    <x:col min="6" max="6" width="78" hidden="0" customWidth="1"/>
    <x:col min="7" max="7" width="24" hidden="0" customWidth="1"/>
    <x:col min="8" max="8" width="10" hidden="0" customWidth="1"/>
    <x:col min="9" max="9" width="19" hidden="0" customWidth="1"/>
    <x:col min="10" max="10" width="20" hidden="0" customWidth="1"/>
    <x:col min="11" max="11" width="64" hidden="0" customWidth="1"/>
    <x:col min="12" max="12" width="34" hidden="0" customWidth="1"/>
    <x:col min="13" max="13" width="12" hidden="0" customWidth="1"/>
    <x:col min="14" max="14" width="13" hidden="0" customWidth="1"/>
    <x:col min="15" max="15" width="13" hidden="0" customWidth="1"/>
    <x:col min="16" max="16" width="13" hidden="0" customWidth="1"/>
    <x:col min="17" max="17" width="13" hidden="0" customWidth="1"/>
  </x:cols>
  <x:sheetData>
    <x:row r="1" ht="35" customHeight="1">
      <x:c r="A1" s="6" t="str">
        <x:v>COMPLEMENTOS · contribuciones trazadas</x:v>
      </x:c>
      <x:c r="B1" s="6"/>
      <x:c r="C1" s="6"/>
      <x:c r="D1" s="6"/>
      <x:c r="E1" s="6"/>
      <x:c r="F1" s="6"/>
      <x:c r="G1" s="6"/>
      <x:c r="H1" s="6"/>
      <x:c r="I1" s="6"/>
      <x:c r="J1" s="6"/>
      <x:c r="K1" s="6"/>
      <x:c r="L1" s="6"/>
      <x:c r="M1" s="6"/>
      <x:c r="N1" s="6"/>
      <x:c r="O1" s="6"/>
      <x:c r="P1" s="6"/>
      <x:c r="Q1" s="6"/>
    </x:row>
    <x:row r="2" ht="52" customHeight="1">
      <x:c r="A2" s="8" t="str">
        <x:v>123 aportaciones: original breve, síntesis y relación local. El ancla NICE indica pertinencia; no certifica equivalencia entre fuentes.</x:v>
      </x:c>
      <x:c r="B2" s="8"/>
      <x:c r="C2" s="8"/>
      <x:c r="D2" s="8"/>
      <x:c r="E2" s="8"/>
      <x:c r="F2" s="8"/>
      <x:c r="G2" s="8"/>
      <x:c r="H2" s="8"/>
      <x:c r="I2" s="8"/>
      <x:c r="J2" s="8"/>
      <x:c r="K2" s="8"/>
      <x:c r="L2" s="8"/>
      <x:c r="M2" s="8"/>
      <x:c r="N2" s="8"/>
      <x:c r="O2" s="8"/>
      <x:c r="P2" s="8"/>
      <x:c r="Q2" s="8"/>
    </x:row>
    <x:row r="3">
      <x:c r="A3" s="4"/>
      <x:c r="B3" s="4"/>
      <x:c r="C3" s="4"/>
      <x:c r="D3" s="4"/>
      <x:c r="E3" s="4"/>
      <x:c r="F3" s="4"/>
      <x:c r="G3" s="4"/>
      <x:c r="H3" s="4"/>
      <x:c r="I3" s="4"/>
      <x:c r="J3" s="4"/>
      <x:c r="K3" s="4"/>
      <x:c r="L3" s="4"/>
      <x:c r="M3" s="4"/>
      <x:c r="N3" s="4"/>
      <x:c r="O3" s="4"/>
      <x:c r="P3" s="4"/>
      <x:c r="Q3" s="4"/>
    </x:row>
    <x:row r="4" ht="42" customHeight="1">
      <x:c r="A4" s="10" t="str">
        <x:v>ID local</x:v>
      </x:c>
      <x:c r="B4" s="10" t="str">
        <x:v>Fuente</x:v>
      </x:c>
      <x:c r="C4" s="10" t="str">
        <x:v>Captura</x:v>
      </x:c>
      <x:c r="D4" s="10" t="str">
        <x:v>Localizador de lectura</x:v>
      </x:c>
      <x:c r="E4" s="10" t="str">
        <x:v>Original breve</x:v>
      </x:c>
      <x:c r="F4" s="10" t="str">
        <x:v>Síntesis española</x:v>
      </x:c>
      <x:c r="G4" s="10" t="str">
        <x:v>Clase de aportación</x:v>
      </x:c>
      <x:c r="H4" s="10" t="str">
        <x:v>Eje</x:v>
      </x:c>
      <x:c r="I4" s="10" t="str">
        <x:v>Ancla NICE</x:v>
      </x:c>
      <x:c r="J4" s="10" t="str">
        <x:v>Operación primaria</x:v>
      </x:c>
      <x:c r="K4" s="10" t="str">
        <x:v>Naturaleza de relación</x:v>
      </x:c>
      <x:c r="L4" s="10" t="str">
        <x:v>Adopción de afirmación</x:v>
      </x:c>
      <x:c r="M4" s="10" t="str">
        <x:v>Duplicado</x:v>
      </x:c>
      <x:c r="N4" s="10" t="str">
        <x:v>Fuente ausente</x:v>
      </x:c>
      <x:c r="O4" s="10" t="str">
        <x:v>Ancla ausente</x:v>
      </x:c>
      <x:c r="P4" s="10" t="str">
        <x:v>Uso indebido</x:v>
      </x:c>
      <x:c r="Q4" s="10" t="str">
        <x:v>Campo ausente</x:v>
      </x:c>
    </x:row>
    <x:row r="5" ht="47" customHeight="1">
      <x:c r="A5" s="4" t="str">
        <x:v>CP-001</x:v>
      </x:c>
      <x:c r="B5" s="4" t="str">
        <x:v>F003</x:v>
      </x:c>
      <x:c r="C5" s="4" t="str">
        <x:v>F003</x:v>
      </x:c>
      <x:c r="D5" s="4" t="str">
        <x:v>§4; área Data Security</x:v>
      </x:c>
      <x:c r="E5" s="4" t="str">
        <x:v>Data Security</x:v>
      </x:c>
      <x:c r="F5" s="4" t="str">
        <x:v>Seguridad de datos</x:v>
      </x:c>
      <x:c r="G5" s="4" t="str">
        <x:v>Conocimiento</x:v>
      </x:c>
      <x:c r="H5" s="4" t="str">
        <x:v>E10</x:v>
      </x:c>
      <x:c r="I5" s="4" t="str">
        <x:v>K1147</x:v>
      </x:c>
      <x:c r="J5" s="4" t="str">
        <x:v>OPC-10</x:v>
      </x:c>
      <x:c r="K5" s="4" t="str">
        <x:v>CORROBORA_COBERTURA; áreas, no parámetros</x:v>
      </x:c>
      <x:c r="L5" s="4" t="str">
        <x:v>CANDIDATA_NO_ADOPTADA</x:v>
      </x:c>
      <x:c r="M5" s="12" t="n">
        <x:f>COUNTIF('05_Complementos'!$A$5:$A$127,A5)-1</x:f>
        <x:v>0</x:v>
      </x:c>
      <x:c r="N5" s="12" t="n">
        <x:f>IF(AND(COUNTIF('01_Fuentes'!$A$5:$A$40,B5)=1,COUNTIF('02_Custodia'!$A$5:$A$53,C5)=1,COUNTIF('07_Operaciones'!$A$5:$A$26,J5)=1,COUNTIF('06_Cobertura'!$A$5:$A$25,H5)=1),0,1)</x:f>
        <x:v>0</x:v>
      </x:c>
      <x:c r="O5" s="12" t="n">
        <x:f>IF(COUNTIF('03_NICE'!$A$5:$A$57,I5)+COUNTIF('04_TKS'!$A$5:$A$72,I5)=1,0,1)</x:f>
        <x:v>0</x:v>
      </x:c>
      <x:c r="P5" s="12" t="n">
        <x:f>IF(OR(AND(B5="F008",L5&lt;&gt;"IDENTIFICADA_NO_ADOPTABLE"),AND(B5="F028",L5&lt;&gt;"PREGUNTA_NO_NORMATIVA"),COUNTIFS('01_Fuentes'!$A$5:$A$40,B5,'01_Fuentes'!$H$5:$H$40,"METADATOS_SOLO")&gt;0),1,0)</x:f>
        <x:v>0</x:v>
      </x:c>
      <x:c r="Q5" s="12" t="n">
        <x:f>IF(OR(A5="",D5="",E5="",F5="",K5="",L5=""),1,0)</x:f>
        <x:v>0</x:v>
      </x:c>
    </x:row>
    <x:row r="6" ht="47" customHeight="1">
      <x:c r="A6" s="4" t="str">
        <x:v>CP-002</x:v>
      </x:c>
      <x:c r="B6" s="4" t="str">
        <x:v>F003</x:v>
      </x:c>
      <x:c r="C6" s="4" t="str">
        <x:v>F003</x:v>
      </x:c>
      <x:c r="D6" s="4" t="str">
        <x:v>§4; área Software Security</x:v>
      </x:c>
      <x:c r="E6" s="4" t="str">
        <x:v>Software Security</x:v>
      </x:c>
      <x:c r="F6" s="4" t="str">
        <x:v>Seguridad del software</x:v>
      </x:c>
      <x:c r="G6" s="4" t="str">
        <x:v>Conocimiento</x:v>
      </x:c>
      <x:c r="H6" s="4" t="str">
        <x:v>E06</x:v>
      </x:c>
      <x:c r="I6" s="4" t="str">
        <x:v>DD-WRL-003</x:v>
      </x:c>
      <x:c r="J6" s="4" t="str">
        <x:v>OPC-05</x:v>
      </x:c>
      <x:c r="K6" s="4" t="str">
        <x:v>CORROBORA_COBERTURA; áreas, no parámetros</x:v>
      </x:c>
      <x:c r="L6" s="4" t="str">
        <x:v>CANDIDATA_NO_ADOPTADA</x:v>
      </x:c>
      <x:c r="M6" s="12" t="n">
        <x:f>COUNTIF('05_Complementos'!$A$5:$A$127,A6)-1</x:f>
        <x:v>0</x:v>
      </x:c>
      <x:c r="N6" s="12" t="n">
        <x:f>IF(AND(COUNTIF('01_Fuentes'!$A$5:$A$40,B6)=1,COUNTIF('02_Custodia'!$A$5:$A$53,C6)=1,COUNTIF('07_Operaciones'!$A$5:$A$26,J6)=1,COUNTIF('06_Cobertura'!$A$5:$A$25,H6)=1),0,1)</x:f>
        <x:v>0</x:v>
      </x:c>
      <x:c r="O6" s="12" t="n">
        <x:f>IF(COUNTIF('03_NICE'!$A$5:$A$57,I6)+COUNTIF('04_TKS'!$A$5:$A$72,I6)=1,0,1)</x:f>
        <x:v>0</x:v>
      </x:c>
      <x:c r="P6" s="12" t="n">
        <x:f>IF(OR(AND(B6="F008",L6&lt;&gt;"IDENTIFICADA_NO_ADOPTABLE"),AND(B6="F028",L6&lt;&gt;"PREGUNTA_NO_NORMATIVA"),COUNTIFS('01_Fuentes'!$A$5:$A$40,B6,'01_Fuentes'!$H$5:$H$40,"METADATOS_SOLO")&gt;0),1,0)</x:f>
        <x:v>0</x:v>
      </x:c>
      <x:c r="Q6" s="12" t="n">
        <x:f>IF(OR(A6="",D6="",E6="",F6="",K6="",L6=""),1,0)</x:f>
        <x:v>0</x:v>
      </x:c>
    </x:row>
    <x:row r="7" ht="47" customHeight="1">
      <x:c r="A7" s="4" t="str">
        <x:v>CP-003</x:v>
      </x:c>
      <x:c r="B7" s="4" t="str">
        <x:v>F003</x:v>
      </x:c>
      <x:c r="C7" s="4" t="str">
        <x:v>F003</x:v>
      </x:c>
      <x:c r="D7" s="4" t="str">
        <x:v>§4; área Component Security</x:v>
      </x:c>
      <x:c r="E7" s="4" t="str">
        <x:v>Component Security</x:v>
      </x:c>
      <x:c r="F7" s="4" t="str">
        <x:v>Seguridad de componentes</x:v>
      </x:c>
      <x:c r="G7" s="4" t="str">
        <x:v>Conocimiento</x:v>
      </x:c>
      <x:c r="H7" s="4" t="str">
        <x:v>E07</x:v>
      </x:c>
      <x:c r="I7" s="4" t="str">
        <x:v>NF-COM-011</x:v>
      </x:c>
      <x:c r="J7" s="4" t="str">
        <x:v>OPC-06</x:v>
      </x:c>
      <x:c r="K7" s="4" t="str">
        <x:v>CORROBORA_COBERTURA; áreas, no parámetros</x:v>
      </x:c>
      <x:c r="L7" s="4" t="str">
        <x:v>CANDIDATA_NO_ADOPTADA</x:v>
      </x:c>
      <x:c r="M7" s="12" t="n">
        <x:f>COUNTIF('05_Complementos'!$A$5:$A$127,A7)-1</x:f>
        <x:v>0</x:v>
      </x:c>
      <x:c r="N7" s="12" t="n">
        <x:f>IF(AND(COUNTIF('01_Fuentes'!$A$5:$A$40,B7)=1,COUNTIF('02_Custodia'!$A$5:$A$53,C7)=1,COUNTIF('07_Operaciones'!$A$5:$A$26,J7)=1,COUNTIF('06_Cobertura'!$A$5:$A$25,H7)=1),0,1)</x:f>
        <x:v>0</x:v>
      </x:c>
      <x:c r="O7" s="12" t="n">
        <x:f>IF(COUNTIF('03_NICE'!$A$5:$A$57,I7)+COUNTIF('04_TKS'!$A$5:$A$72,I7)=1,0,1)</x:f>
        <x:v>0</x:v>
      </x:c>
      <x:c r="P7" s="12" t="n">
        <x:f>IF(OR(AND(B7="F008",L7&lt;&gt;"IDENTIFICADA_NO_ADOPTABLE"),AND(B7="F028",L7&lt;&gt;"PREGUNTA_NO_NORMATIVA"),COUNTIFS('01_Fuentes'!$A$5:$A$40,B7,'01_Fuentes'!$H$5:$H$40,"METADATOS_SOLO")&gt;0),1,0)</x:f>
        <x:v>0</x:v>
      </x:c>
      <x:c r="Q7" s="12" t="n">
        <x:f>IF(OR(A7="",D7="",E7="",F7="",K7="",L7=""),1,0)</x:f>
        <x:v>0</x:v>
      </x:c>
    </x:row>
    <x:row r="8" ht="47" customHeight="1">
      <x:c r="A8" s="4" t="str">
        <x:v>CP-004</x:v>
      </x:c>
      <x:c r="B8" s="4" t="str">
        <x:v>F003</x:v>
      </x:c>
      <x:c r="C8" s="4" t="str">
        <x:v>F003</x:v>
      </x:c>
      <x:c r="D8" s="4" t="str">
        <x:v>§4; área Connection Security</x:v>
      </x:c>
      <x:c r="E8" s="4" t="str">
        <x:v>Connection Security</x:v>
      </x:c>
      <x:c r="F8" s="4" t="str">
        <x:v>Seguridad de conexiones</x:v>
      </x:c>
      <x:c r="G8" s="4" t="str">
        <x:v>Conocimiento</x:v>
      </x:c>
      <x:c r="H8" s="4" t="str">
        <x:v>E05</x:v>
      </x:c>
      <x:c r="I8" s="4" t="str">
        <x:v>IO-WRL-004</x:v>
      </x:c>
      <x:c r="J8" s="4" t="str">
        <x:v>OPC-12</x:v>
      </x:c>
      <x:c r="K8" s="4" t="str">
        <x:v>CORROBORA_COBERTURA; áreas, no parámetros</x:v>
      </x:c>
      <x:c r="L8" s="4" t="str">
        <x:v>CANDIDATA_NO_ADOPTADA</x:v>
      </x:c>
      <x:c r="M8" s="12" t="n">
        <x:f>COUNTIF('05_Complementos'!$A$5:$A$127,A8)-1</x:f>
        <x:v>0</x:v>
      </x:c>
      <x:c r="N8" s="12" t="n">
        <x:f>IF(AND(COUNTIF('01_Fuentes'!$A$5:$A$40,B8)=1,COUNTIF('02_Custodia'!$A$5:$A$53,C8)=1,COUNTIF('07_Operaciones'!$A$5:$A$26,J8)=1,COUNTIF('06_Cobertura'!$A$5:$A$25,H8)=1),0,1)</x:f>
        <x:v>0</x:v>
      </x:c>
      <x:c r="O8" s="12" t="n">
        <x:f>IF(COUNTIF('03_NICE'!$A$5:$A$57,I8)+COUNTIF('04_TKS'!$A$5:$A$72,I8)=1,0,1)</x:f>
        <x:v>0</x:v>
      </x:c>
      <x:c r="P8" s="12" t="n">
        <x:f>IF(OR(AND(B8="F008",L8&lt;&gt;"IDENTIFICADA_NO_ADOPTABLE"),AND(B8="F028",L8&lt;&gt;"PREGUNTA_NO_NORMATIVA"),COUNTIFS('01_Fuentes'!$A$5:$A$40,B8,'01_Fuentes'!$H$5:$H$40,"METADATOS_SOLO")&gt;0),1,0)</x:f>
        <x:v>0</x:v>
      </x:c>
      <x:c r="Q8" s="12" t="n">
        <x:f>IF(OR(A8="",D8="",E8="",F8="",K8="",L8=""),1,0)</x:f>
        <x:v>0</x:v>
      </x:c>
    </x:row>
    <x:row r="9" ht="47" customHeight="1">
      <x:c r="A9" s="4" t="str">
        <x:v>CP-005</x:v>
      </x:c>
      <x:c r="B9" s="4" t="str">
        <x:v>F003</x:v>
      </x:c>
      <x:c r="C9" s="4" t="str">
        <x:v>F003</x:v>
      </x:c>
      <x:c r="D9" s="4" t="str">
        <x:v>§4; área System Security</x:v>
      </x:c>
      <x:c r="E9" s="4" t="str">
        <x:v>System Security</x:v>
      </x:c>
      <x:c r="F9" s="4" t="str">
        <x:v>Seguridad del sistema</x:v>
      </x:c>
      <x:c r="G9" s="4" t="str">
        <x:v>Conocimiento</x:v>
      </x:c>
      <x:c r="H9" s="4" t="str">
        <x:v>E02</x:v>
      </x:c>
      <x:c r="I9" s="4" t="str">
        <x:v>DD-WRL-004</x:v>
      </x:c>
      <x:c r="J9" s="4" t="str">
        <x:v>OPC-02</x:v>
      </x:c>
      <x:c r="K9" s="4" t="str">
        <x:v>CORROBORA_COBERTURA; áreas, no parámetros</x:v>
      </x:c>
      <x:c r="L9" s="4" t="str">
        <x:v>CANDIDATA_NO_ADOPTADA</x:v>
      </x:c>
      <x:c r="M9" s="12" t="n">
        <x:f>COUNTIF('05_Complementos'!$A$5:$A$127,A9)-1</x:f>
        <x:v>0</x:v>
      </x:c>
      <x:c r="N9" s="12" t="n">
        <x:f>IF(AND(COUNTIF('01_Fuentes'!$A$5:$A$40,B9)=1,COUNTIF('02_Custodia'!$A$5:$A$53,C9)=1,COUNTIF('07_Operaciones'!$A$5:$A$26,J9)=1,COUNTIF('06_Cobertura'!$A$5:$A$25,H9)=1),0,1)</x:f>
        <x:v>0</x:v>
      </x:c>
      <x:c r="O9" s="12" t="n">
        <x:f>IF(COUNTIF('03_NICE'!$A$5:$A$57,I9)+COUNTIF('04_TKS'!$A$5:$A$72,I9)=1,0,1)</x:f>
        <x:v>0</x:v>
      </x:c>
      <x:c r="P9" s="12" t="n">
        <x:f>IF(OR(AND(B9="F008",L9&lt;&gt;"IDENTIFICADA_NO_ADOPTABLE"),AND(B9="F028",L9&lt;&gt;"PREGUNTA_NO_NORMATIVA"),COUNTIFS('01_Fuentes'!$A$5:$A$40,B9,'01_Fuentes'!$H$5:$H$40,"METADATOS_SOLO")&gt;0),1,0)</x:f>
        <x:v>0</x:v>
      </x:c>
      <x:c r="Q9" s="12" t="n">
        <x:f>IF(OR(A9="",D9="",E9="",F9="",K9="",L9=""),1,0)</x:f>
        <x:v>0</x:v>
      </x:c>
    </x:row>
    <x:row r="10" ht="47" customHeight="1">
      <x:c r="A10" s="4" t="str">
        <x:v>CP-006</x:v>
      </x:c>
      <x:c r="B10" s="4" t="str">
        <x:v>F003</x:v>
      </x:c>
      <x:c r="C10" s="4" t="str">
        <x:v>F003</x:v>
      </x:c>
      <x:c r="D10" s="4" t="str">
        <x:v>§4; área Human Security</x:v>
      </x:c>
      <x:c r="E10" s="4" t="str">
        <x:v>Human Security</x:v>
      </x:c>
      <x:c r="F10" s="4" t="str">
        <x:v>Seguridad de las personas</x:v>
      </x:c>
      <x:c r="G10" s="4" t="str">
        <x:v>Conocimiento</x:v>
      </x:c>
      <x:c r="H10" s="4" t="str">
        <x:v>E14</x:v>
      </x:c>
      <x:c r="I10" s="4" t="str">
        <x:v>K0658</x:v>
      </x:c>
      <x:c r="J10" s="4" t="str">
        <x:v>OPC-07</x:v>
      </x:c>
      <x:c r="K10" s="4" t="str">
        <x:v>CORROBORA_COBERTURA; áreas, no parámetros</x:v>
      </x:c>
      <x:c r="L10" s="4" t="str">
        <x:v>CANDIDATA_NO_ADOPTADA</x:v>
      </x:c>
      <x:c r="M10" s="12" t="n">
        <x:f>COUNTIF('05_Complementos'!$A$5:$A$127,A10)-1</x:f>
        <x:v>0</x:v>
      </x:c>
      <x:c r="N10" s="12" t="n">
        <x:f>IF(AND(COUNTIF('01_Fuentes'!$A$5:$A$40,B10)=1,COUNTIF('02_Custodia'!$A$5:$A$53,C10)=1,COUNTIF('07_Operaciones'!$A$5:$A$26,J10)=1,COUNTIF('06_Cobertura'!$A$5:$A$25,H10)=1),0,1)</x:f>
        <x:v>0</x:v>
      </x:c>
      <x:c r="O10" s="12" t="n">
        <x:f>IF(COUNTIF('03_NICE'!$A$5:$A$57,I10)+COUNTIF('04_TKS'!$A$5:$A$72,I10)=1,0,1)</x:f>
        <x:v>0</x:v>
      </x:c>
      <x:c r="P10" s="12" t="n">
        <x:f>IF(OR(AND(B10="F008",L10&lt;&gt;"IDENTIFICADA_NO_ADOPTABLE"),AND(B10="F028",L10&lt;&gt;"PREGUNTA_NO_NORMATIVA"),COUNTIFS('01_Fuentes'!$A$5:$A$40,B10,'01_Fuentes'!$H$5:$H$40,"METADATOS_SOLO")&gt;0),1,0)</x:f>
        <x:v>0</x:v>
      </x:c>
      <x:c r="Q10" s="12" t="n">
        <x:f>IF(OR(A10="",D10="",E10="",F10="",K10="",L10=""),1,0)</x:f>
        <x:v>0</x:v>
      </x:c>
    </x:row>
    <x:row r="11" ht="47" customHeight="1">
      <x:c r="A11" s="4" t="str">
        <x:v>CP-007</x:v>
      </x:c>
      <x:c r="B11" s="4" t="str">
        <x:v>F003</x:v>
      </x:c>
      <x:c r="C11" s="4" t="str">
        <x:v>F003</x:v>
      </x:c>
      <x:c r="D11" s="4" t="str">
        <x:v>§4; área Organizational Security</x:v>
      </x:c>
      <x:c r="E11" s="4" t="str">
        <x:v>Organizational Security</x:v>
      </x:c>
      <x:c r="F11" s="4" t="str">
        <x:v>Seguridad organizativa</x:v>
      </x:c>
      <x:c r="G11" s="4" t="str">
        <x:v>Conocimiento</x:v>
      </x:c>
      <x:c r="H11" s="4" t="str">
        <x:v>E01</x:v>
      </x:c>
      <x:c r="I11" s="4" t="str">
        <x:v>OG-WRL-007</x:v>
      </x:c>
      <x:c r="J11" s="4" t="str">
        <x:v>OPC-01</x:v>
      </x:c>
      <x:c r="K11" s="4" t="str">
        <x:v>CORROBORA_COBERTURA; áreas, no parámetros</x:v>
      </x:c>
      <x:c r="L11" s="4" t="str">
        <x:v>CANDIDATA_NO_ADOPTADA</x:v>
      </x:c>
      <x:c r="M11" s="12" t="n">
        <x:f>COUNTIF('05_Complementos'!$A$5:$A$127,A11)-1</x:f>
        <x:v>0</x:v>
      </x:c>
      <x:c r="N11" s="12" t="n">
        <x:f>IF(AND(COUNTIF('01_Fuentes'!$A$5:$A$40,B11)=1,COUNTIF('02_Custodia'!$A$5:$A$53,C11)=1,COUNTIF('07_Operaciones'!$A$5:$A$26,J11)=1,COUNTIF('06_Cobertura'!$A$5:$A$25,H11)=1),0,1)</x:f>
        <x:v>0</x:v>
      </x:c>
      <x:c r="O11" s="12" t="n">
        <x:f>IF(COUNTIF('03_NICE'!$A$5:$A$57,I11)+COUNTIF('04_TKS'!$A$5:$A$72,I11)=1,0,1)</x:f>
        <x:v>0</x:v>
      </x:c>
      <x:c r="P11" s="12" t="n">
        <x:f>IF(OR(AND(B11="F008",L11&lt;&gt;"IDENTIFICADA_NO_ADOPTABLE"),AND(B11="F028",L11&lt;&gt;"PREGUNTA_NO_NORMATIVA"),COUNTIFS('01_Fuentes'!$A$5:$A$40,B11,'01_Fuentes'!$H$5:$H$40,"METADATOS_SOLO")&gt;0),1,0)</x:f>
        <x:v>0</x:v>
      </x:c>
      <x:c r="Q11" s="12" t="n">
        <x:f>IF(OR(A11="",D11="",E11="",F11="",K11="",L11=""),1,0)</x:f>
        <x:v>0</x:v>
      </x:c>
    </x:row>
    <x:row r="12" ht="47" customHeight="1">
      <x:c r="A12" s="4" t="str">
        <x:v>CP-008</x:v>
      </x:c>
      <x:c r="B12" s="4" t="str">
        <x:v>F003</x:v>
      </x:c>
      <x:c r="C12" s="4" t="str">
        <x:v>F003</x:v>
      </x:c>
      <x:c r="D12" s="4" t="str">
        <x:v>§4; área Societal Security</x:v>
      </x:c>
      <x:c r="E12" s="4" t="str">
        <x:v>Societal Security</x:v>
      </x:c>
      <x:c r="F12" s="4" t="str">
        <x:v>Seguridad y contexto social</x:v>
      </x:c>
      <x:c r="G12" s="4" t="str">
        <x:v>Conocimiento</x:v>
      </x:c>
      <x:c r="H12" s="4" t="str">
        <x:v>E16</x:v>
      </x:c>
      <x:c r="I12" s="4" t="str">
        <x:v>OG-WRL-006</x:v>
      </x:c>
      <x:c r="J12" s="4" t="str">
        <x:v>OPC-17</x:v>
      </x:c>
      <x:c r="K12" s="4" t="str">
        <x:v>CORROBORA_COBERTURA; áreas, no parámetros</x:v>
      </x:c>
      <x:c r="L12" s="4" t="str">
        <x:v>CANDIDATA_NO_ADOPTADA</x:v>
      </x:c>
      <x:c r="M12" s="12" t="n">
        <x:f>COUNTIF('05_Complementos'!$A$5:$A$127,A12)-1</x:f>
        <x:v>0</x:v>
      </x:c>
      <x:c r="N12" s="12" t="n">
        <x:f>IF(AND(COUNTIF('01_Fuentes'!$A$5:$A$40,B12)=1,COUNTIF('02_Custodia'!$A$5:$A$53,C12)=1,COUNTIF('07_Operaciones'!$A$5:$A$26,J12)=1,COUNTIF('06_Cobertura'!$A$5:$A$25,H12)=1),0,1)</x:f>
        <x:v>0</x:v>
      </x:c>
      <x:c r="O12" s="12" t="n">
        <x:f>IF(COUNTIF('03_NICE'!$A$5:$A$57,I12)+COUNTIF('04_TKS'!$A$5:$A$72,I12)=1,0,1)</x:f>
        <x:v>0</x:v>
      </x:c>
      <x:c r="P12" s="12" t="n">
        <x:f>IF(OR(AND(B12="F008",L12&lt;&gt;"IDENTIFICADA_NO_ADOPTABLE"),AND(B12="F028",L12&lt;&gt;"PREGUNTA_NO_NORMATIVA"),COUNTIFS('01_Fuentes'!$A$5:$A$40,B12,'01_Fuentes'!$H$5:$H$40,"METADATOS_SOLO")&gt;0),1,0)</x:f>
        <x:v>0</x:v>
      </x:c>
      <x:c r="Q12" s="12" t="n">
        <x:f>IF(OR(A12="",D12="",E12="",F12="",K12="",L12=""),1,0)</x:f>
        <x:v>0</x:v>
      </x:c>
    </x:row>
    <x:row r="13" ht="47" customHeight="1">
      <x:c r="A13" s="4" t="str">
        <x:v>CP-009</x:v>
      </x:c>
      <x:c r="B13" s="4" t="str">
        <x:v>F004</x:v>
      </x:c>
      <x:c r="C13" s="4" t="str">
        <x:v>F004</x:v>
      </x:c>
      <x:c r="D13" s="4" t="str">
        <x:v>Área de conocimiento: Risk Management &amp; Governance</x:v>
      </x:c>
      <x:c r="E13" s="4" t="str">
        <x:v>Risk Management &amp; Governance</x:v>
      </x:c>
      <x:c r="F13" s="4" t="str">
        <x:v>Riesgo y gobierno</x:v>
      </x:c>
      <x:c r="G13" s="4" t="str">
        <x:v>Conocimiento</x:v>
      </x:c>
      <x:c r="H13" s="4" t="str">
        <x:v>E01</x:v>
      </x:c>
      <x:c r="I13" s="4" t="str">
        <x:v>OG-WRL-002</x:v>
      </x:c>
      <x:c r="J13" s="4" t="str">
        <x:v>OPC-01</x:v>
      </x:c>
      <x:c r="K13" s="4" t="str">
        <x:v>REFINA_BASE_CONCEPTUAL; no demuestra ausencia en todo NICE</x:v>
      </x:c>
      <x:c r="L13" s="4" t="str">
        <x:v>CANDIDATA_NO_ADOPTADA</x:v>
      </x:c>
      <x:c r="M13" s="12" t="n">
        <x:f>COUNTIF('05_Complementos'!$A$5:$A$127,A13)-1</x:f>
        <x:v>0</x:v>
      </x:c>
      <x:c r="N13" s="12" t="n">
        <x:f>IF(AND(COUNTIF('01_Fuentes'!$A$5:$A$40,B13)=1,COUNTIF('02_Custodia'!$A$5:$A$53,C13)=1,COUNTIF('07_Operaciones'!$A$5:$A$26,J13)=1,COUNTIF('06_Cobertura'!$A$5:$A$25,H13)=1),0,1)</x:f>
        <x:v>0</x:v>
      </x:c>
      <x:c r="O13" s="12" t="n">
        <x:f>IF(COUNTIF('03_NICE'!$A$5:$A$57,I13)+COUNTIF('04_TKS'!$A$5:$A$72,I13)=1,0,1)</x:f>
        <x:v>0</x:v>
      </x:c>
      <x:c r="P13" s="12" t="n">
        <x:f>IF(OR(AND(B13="F008",L13&lt;&gt;"IDENTIFICADA_NO_ADOPTABLE"),AND(B13="F028",L13&lt;&gt;"PREGUNTA_NO_NORMATIVA"),COUNTIFS('01_Fuentes'!$A$5:$A$40,B13,'01_Fuentes'!$H$5:$H$40,"METADATOS_SOLO")&gt;0),1,0)</x:f>
        <x:v>0</x:v>
      </x:c>
      <x:c r="Q13" s="12" t="n">
        <x:f>IF(OR(A13="",D13="",E13="",F13="",K13="",L13=""),1,0)</x:f>
        <x:v>0</x:v>
      </x:c>
    </x:row>
    <x:row r="14" ht="47" customHeight="1">
      <x:c r="A14" s="4" t="str">
        <x:v>CP-010</x:v>
      </x:c>
      <x:c r="B14" s="4" t="str">
        <x:v>F004</x:v>
      </x:c>
      <x:c r="C14" s="4" t="str">
        <x:v>F004</x:v>
      </x:c>
      <x:c r="D14" s="4" t="str">
        <x:v>Área de conocimiento: Law &amp; Regulation</x:v>
      </x:c>
      <x:c r="E14" s="4" t="str">
        <x:v>Law &amp; Regulation</x:v>
      </x:c>
      <x:c r="F14" s="4" t="str">
        <x:v>Derecho y regulación</x:v>
      </x:c>
      <x:c r="G14" s="4" t="str">
        <x:v>Conocimiento</x:v>
      </x:c>
      <x:c r="H14" s="4" t="str">
        <x:v>E16</x:v>
      </x:c>
      <x:c r="I14" s="4" t="str">
        <x:v>OG-WRL-006</x:v>
      </x:c>
      <x:c r="J14" s="4" t="str">
        <x:v>OPC-17</x:v>
      </x:c>
      <x:c r="K14" s="4" t="str">
        <x:v>REFINA_BASE_CONCEPTUAL; no demuestra ausencia en todo NICE</x:v>
      </x:c>
      <x:c r="L14" s="4" t="str">
        <x:v>CANDIDATA_NO_ADOPTADA</x:v>
      </x:c>
      <x:c r="M14" s="12" t="n">
        <x:f>COUNTIF('05_Complementos'!$A$5:$A$127,A14)-1</x:f>
        <x:v>0</x:v>
      </x:c>
      <x:c r="N14" s="12" t="n">
        <x:f>IF(AND(COUNTIF('01_Fuentes'!$A$5:$A$40,B14)=1,COUNTIF('02_Custodia'!$A$5:$A$53,C14)=1,COUNTIF('07_Operaciones'!$A$5:$A$26,J14)=1,COUNTIF('06_Cobertura'!$A$5:$A$25,H14)=1),0,1)</x:f>
        <x:v>0</x:v>
      </x:c>
      <x:c r="O14" s="12" t="n">
        <x:f>IF(COUNTIF('03_NICE'!$A$5:$A$57,I14)+COUNTIF('04_TKS'!$A$5:$A$72,I14)=1,0,1)</x:f>
        <x:v>0</x:v>
      </x:c>
      <x:c r="P14" s="12" t="n">
        <x:f>IF(OR(AND(B14="F008",L14&lt;&gt;"IDENTIFICADA_NO_ADOPTABLE"),AND(B14="F028",L14&lt;&gt;"PREGUNTA_NO_NORMATIVA"),COUNTIFS('01_Fuentes'!$A$5:$A$40,B14,'01_Fuentes'!$H$5:$H$40,"METADATOS_SOLO")&gt;0),1,0)</x:f>
        <x:v>0</x:v>
      </x:c>
      <x:c r="Q14" s="12" t="n">
        <x:f>IF(OR(A14="",D14="",E14="",F14="",K14="",L14=""),1,0)</x:f>
        <x:v>0</x:v>
      </x:c>
    </x:row>
    <x:row r="15" ht="47" customHeight="1">
      <x:c r="A15" s="4" t="str">
        <x:v>CP-011</x:v>
      </x:c>
      <x:c r="B15" s="4" t="str">
        <x:v>F004</x:v>
      </x:c>
      <x:c r="C15" s="4" t="str">
        <x:v>F004</x:v>
      </x:c>
      <x:c r="D15" s="4" t="str">
        <x:v>Área de conocimiento: Human Factors</x:v>
      </x:c>
      <x:c r="E15" s="4" t="str">
        <x:v>Human Factors</x:v>
      </x:c>
      <x:c r="F15" s="4" t="str">
        <x:v>Factores humanos</x:v>
      </x:c>
      <x:c r="G15" s="4" t="str">
        <x:v>Conocimiento</x:v>
      </x:c>
      <x:c r="H15" s="4" t="str">
        <x:v>E14</x:v>
      </x:c>
      <x:c r="I15" s="4" t="str">
        <x:v>K0658</x:v>
      </x:c>
      <x:c r="J15" s="4" t="str">
        <x:v>OPC-07</x:v>
      </x:c>
      <x:c r="K15" s="4" t="str">
        <x:v>REFINA_BASE_CONCEPTUAL; no demuestra ausencia en todo NICE</x:v>
      </x:c>
      <x:c r="L15" s="4" t="str">
        <x:v>CANDIDATA_NO_ADOPTADA</x:v>
      </x:c>
      <x:c r="M15" s="12" t="n">
        <x:f>COUNTIF('05_Complementos'!$A$5:$A$127,A15)-1</x:f>
        <x:v>0</x:v>
      </x:c>
      <x:c r="N15" s="12" t="n">
        <x:f>IF(AND(COUNTIF('01_Fuentes'!$A$5:$A$40,B15)=1,COUNTIF('02_Custodia'!$A$5:$A$53,C15)=1,COUNTIF('07_Operaciones'!$A$5:$A$26,J15)=1,COUNTIF('06_Cobertura'!$A$5:$A$25,H15)=1),0,1)</x:f>
        <x:v>0</x:v>
      </x:c>
      <x:c r="O15" s="12" t="n">
        <x:f>IF(COUNTIF('03_NICE'!$A$5:$A$57,I15)+COUNTIF('04_TKS'!$A$5:$A$72,I15)=1,0,1)</x:f>
        <x:v>0</x:v>
      </x:c>
      <x:c r="P15" s="12" t="n">
        <x:f>IF(OR(AND(B15="F008",L15&lt;&gt;"IDENTIFICADA_NO_ADOPTABLE"),AND(B15="F028",L15&lt;&gt;"PREGUNTA_NO_NORMATIVA"),COUNTIFS('01_Fuentes'!$A$5:$A$40,B15,'01_Fuentes'!$H$5:$H$40,"METADATOS_SOLO")&gt;0),1,0)</x:f>
        <x:v>0</x:v>
      </x:c>
      <x:c r="Q15" s="12" t="n">
        <x:f>IF(OR(A15="",D15="",E15="",F15="",K15="",L15=""),1,0)</x:f>
        <x:v>0</x:v>
      </x:c>
    </x:row>
    <x:row r="16" ht="47" customHeight="1">
      <x:c r="A16" s="4" t="str">
        <x:v>CP-012</x:v>
      </x:c>
      <x:c r="B16" s="4" t="str">
        <x:v>F004</x:v>
      </x:c>
      <x:c r="C16" s="4" t="str">
        <x:v>F004</x:v>
      </x:c>
      <x:c r="D16" s="4" t="str">
        <x:v>Área de conocimiento: Privacy &amp; Online Rights</x:v>
      </x:c>
      <x:c r="E16" s="4" t="str">
        <x:v>Privacy &amp; Online Rights</x:v>
      </x:c>
      <x:c r="F16" s="4" t="str">
        <x:v>Privacidad y derechos en línea</x:v>
      </x:c>
      <x:c r="G16" s="4" t="str">
        <x:v>Conocimiento</x:v>
      </x:c>
      <x:c r="H16" s="4" t="str">
        <x:v>E16</x:v>
      </x:c>
      <x:c r="I16" s="4" t="str">
        <x:v>OG-WRL-008</x:v>
      </x:c>
      <x:c r="J16" s="4" t="str">
        <x:v>OPC-17</x:v>
      </x:c>
      <x:c r="K16" s="4" t="str">
        <x:v>REFINA_BASE_CONCEPTUAL; no demuestra ausencia en todo NICE</x:v>
      </x:c>
      <x:c r="L16" s="4" t="str">
        <x:v>CANDIDATA_NO_ADOPTADA</x:v>
      </x:c>
      <x:c r="M16" s="12" t="n">
        <x:f>COUNTIF('05_Complementos'!$A$5:$A$127,A16)-1</x:f>
        <x:v>0</x:v>
      </x:c>
      <x:c r="N16" s="12" t="n">
        <x:f>IF(AND(COUNTIF('01_Fuentes'!$A$5:$A$40,B16)=1,COUNTIF('02_Custodia'!$A$5:$A$53,C16)=1,COUNTIF('07_Operaciones'!$A$5:$A$26,J16)=1,COUNTIF('06_Cobertura'!$A$5:$A$25,H16)=1),0,1)</x:f>
        <x:v>0</x:v>
      </x:c>
      <x:c r="O16" s="12" t="n">
        <x:f>IF(COUNTIF('03_NICE'!$A$5:$A$57,I16)+COUNTIF('04_TKS'!$A$5:$A$72,I16)=1,0,1)</x:f>
        <x:v>0</x:v>
      </x:c>
      <x:c r="P16" s="12" t="n">
        <x:f>IF(OR(AND(B16="F008",L16&lt;&gt;"IDENTIFICADA_NO_ADOPTABLE"),AND(B16="F028",L16&lt;&gt;"PREGUNTA_NO_NORMATIVA"),COUNTIFS('01_Fuentes'!$A$5:$A$40,B16,'01_Fuentes'!$H$5:$H$40,"METADATOS_SOLO")&gt;0),1,0)</x:f>
        <x:v>0</x:v>
      </x:c>
      <x:c r="Q16" s="12" t="n">
        <x:f>IF(OR(A16="",D16="",E16="",F16="",K16="",L16=""),1,0)</x:f>
        <x:v>0</x:v>
      </x:c>
    </x:row>
    <x:row r="17" ht="47" customHeight="1">
      <x:c r="A17" s="4" t="str">
        <x:v>CP-013</x:v>
      </x:c>
      <x:c r="B17" s="4" t="str">
        <x:v>F004</x:v>
      </x:c>
      <x:c r="C17" s="4" t="str">
        <x:v>F004</x:v>
      </x:c>
      <x:c r="D17" s="4" t="str">
        <x:v>Área de conocimiento: Malware &amp; Attack Technologies</x:v>
      </x:c>
      <x:c r="E17" s="4" t="str">
        <x:v>Malware &amp; Attack Technologies</x:v>
      </x:c>
      <x:c r="F17" s="4" t="str">
        <x:v>Malware y tecnologías de ataque</x:v>
      </x:c>
      <x:c r="G17" s="4" t="str">
        <x:v>Conocimiento</x:v>
      </x:c>
      <x:c r="H17" s="4" t="str">
        <x:v>E08</x:v>
      </x:c>
      <x:c r="I17" s="4" t="str">
        <x:v>PD-WRL-007</x:v>
      </x:c>
      <x:c r="J17" s="4" t="str">
        <x:v>OPC-04</x:v>
      </x:c>
      <x:c r="K17" s="4" t="str">
        <x:v>REFINA_BASE_CONCEPTUAL; no demuestra ausencia en todo NICE</x:v>
      </x:c>
      <x:c r="L17" s="4" t="str">
        <x:v>CANDIDATA_NO_ADOPTADA</x:v>
      </x:c>
      <x:c r="M17" s="12" t="n">
        <x:f>COUNTIF('05_Complementos'!$A$5:$A$127,A17)-1</x:f>
        <x:v>0</x:v>
      </x:c>
      <x:c r="N17" s="12" t="n">
        <x:f>IF(AND(COUNTIF('01_Fuentes'!$A$5:$A$40,B17)=1,COUNTIF('02_Custodia'!$A$5:$A$53,C17)=1,COUNTIF('07_Operaciones'!$A$5:$A$26,J17)=1,COUNTIF('06_Cobertura'!$A$5:$A$25,H17)=1),0,1)</x:f>
        <x:v>0</x:v>
      </x:c>
      <x:c r="O17" s="12" t="n">
        <x:f>IF(COUNTIF('03_NICE'!$A$5:$A$57,I17)+COUNTIF('04_TKS'!$A$5:$A$72,I17)=1,0,1)</x:f>
        <x:v>0</x:v>
      </x:c>
      <x:c r="P17" s="12" t="n">
        <x:f>IF(OR(AND(B17="F008",L17&lt;&gt;"IDENTIFICADA_NO_ADOPTABLE"),AND(B17="F028",L17&lt;&gt;"PREGUNTA_NO_NORMATIVA"),COUNTIFS('01_Fuentes'!$A$5:$A$40,B17,'01_Fuentes'!$H$5:$H$40,"METADATOS_SOLO")&gt;0),1,0)</x:f>
        <x:v>0</x:v>
      </x:c>
      <x:c r="Q17" s="12" t="n">
        <x:f>IF(OR(A17="",D17="",E17="",F17="",K17="",L17=""),1,0)</x:f>
        <x:v>0</x:v>
      </x:c>
    </x:row>
    <x:row r="18" ht="47" customHeight="1">
      <x:c r="A18" s="4" t="str">
        <x:v>CP-014</x:v>
      </x:c>
      <x:c r="B18" s="4" t="str">
        <x:v>F004</x:v>
      </x:c>
      <x:c r="C18" s="4" t="str">
        <x:v>F004</x:v>
      </x:c>
      <x:c r="D18" s="4" t="str">
        <x:v>Área de conocimiento: Adversarial Behaviours</x:v>
      </x:c>
      <x:c r="E18" s="4" t="str">
        <x:v>Adversarial Behaviours</x:v>
      </x:c>
      <x:c r="F18" s="4" t="str">
        <x:v>Comportamientos adversarios</x:v>
      </x:c>
      <x:c r="G18" s="4" t="str">
        <x:v>Conocimiento</x:v>
      </x:c>
      <x:c r="H18" s="4" t="str">
        <x:v>E09</x:v>
      </x:c>
      <x:c r="I18" s="4" t="str">
        <x:v>PD-WRL-006</x:v>
      </x:c>
      <x:c r="J18" s="4" t="str">
        <x:v>OPC-08</x:v>
      </x:c>
      <x:c r="K18" s="4" t="str">
        <x:v>REFINA_BASE_CONCEPTUAL; no demuestra ausencia en todo NICE</x:v>
      </x:c>
      <x:c r="L18" s="4" t="str">
        <x:v>CANDIDATA_NO_ADOPTADA</x:v>
      </x:c>
      <x:c r="M18" s="12" t="n">
        <x:f>COUNTIF('05_Complementos'!$A$5:$A$127,A18)-1</x:f>
        <x:v>0</x:v>
      </x:c>
      <x:c r="N18" s="12" t="n">
        <x:f>IF(AND(COUNTIF('01_Fuentes'!$A$5:$A$40,B18)=1,COUNTIF('02_Custodia'!$A$5:$A$53,C18)=1,COUNTIF('07_Operaciones'!$A$5:$A$26,J18)=1,COUNTIF('06_Cobertura'!$A$5:$A$25,H18)=1),0,1)</x:f>
        <x:v>0</x:v>
      </x:c>
      <x:c r="O18" s="12" t="n">
        <x:f>IF(COUNTIF('03_NICE'!$A$5:$A$57,I18)+COUNTIF('04_TKS'!$A$5:$A$72,I18)=1,0,1)</x:f>
        <x:v>0</x:v>
      </x:c>
      <x:c r="P18" s="12" t="n">
        <x:f>IF(OR(AND(B18="F008",L18&lt;&gt;"IDENTIFICADA_NO_ADOPTABLE"),AND(B18="F028",L18&lt;&gt;"PREGUNTA_NO_NORMATIVA"),COUNTIFS('01_Fuentes'!$A$5:$A$40,B18,'01_Fuentes'!$H$5:$H$40,"METADATOS_SOLO")&gt;0),1,0)</x:f>
        <x:v>0</x:v>
      </x:c>
      <x:c r="Q18" s="12" t="n">
        <x:f>IF(OR(A18="",D18="",E18="",F18="",K18="",L18=""),1,0)</x:f>
        <x:v>0</x:v>
      </x:c>
    </x:row>
    <x:row r="19" ht="47" customHeight="1">
      <x:c r="A19" s="4" t="str">
        <x:v>CP-015</x:v>
      </x:c>
      <x:c r="B19" s="4" t="str">
        <x:v>F004</x:v>
      </x:c>
      <x:c r="C19" s="4" t="str">
        <x:v>F004</x:v>
      </x:c>
      <x:c r="D19" s="4" t="str">
        <x:v>Área de conocimiento: Security Operations &amp; Incident Management</x:v>
      </x:c>
      <x:c r="E19" s="4" t="str">
        <x:v>Security Operations &amp; Incident Management</x:v>
      </x:c>
      <x:c r="F19" s="4" t="str">
        <x:v>Operaciones de seguridad e incidentes</x:v>
      </x:c>
      <x:c r="G19" s="4" t="str">
        <x:v>Conocimiento</x:v>
      </x:c>
      <x:c r="H19" s="4" t="str">
        <x:v>E11</x:v>
      </x:c>
      <x:c r="I19" s="4" t="str">
        <x:v>PD-WRL-003</x:v>
      </x:c>
      <x:c r="J19" s="4" t="str">
        <x:v>OPC-09</x:v>
      </x:c>
      <x:c r="K19" s="4" t="str">
        <x:v>REFINA_BASE_CONCEPTUAL; no demuestra ausencia en todo NICE</x:v>
      </x:c>
      <x:c r="L19" s="4" t="str">
        <x:v>CANDIDATA_NO_ADOPTADA</x:v>
      </x:c>
      <x:c r="M19" s="12" t="n">
        <x:f>COUNTIF('05_Complementos'!$A$5:$A$127,A19)-1</x:f>
        <x:v>0</x:v>
      </x:c>
      <x:c r="N19" s="12" t="n">
        <x:f>IF(AND(COUNTIF('01_Fuentes'!$A$5:$A$40,B19)=1,COUNTIF('02_Custodia'!$A$5:$A$53,C19)=1,COUNTIF('07_Operaciones'!$A$5:$A$26,J19)=1,COUNTIF('06_Cobertura'!$A$5:$A$25,H19)=1),0,1)</x:f>
        <x:v>0</x:v>
      </x:c>
      <x:c r="O19" s="12" t="n">
        <x:f>IF(COUNTIF('03_NICE'!$A$5:$A$57,I19)+COUNTIF('04_TKS'!$A$5:$A$72,I19)=1,0,1)</x:f>
        <x:v>0</x:v>
      </x:c>
      <x:c r="P19" s="12" t="n">
        <x:f>IF(OR(AND(B19="F008",L19&lt;&gt;"IDENTIFICADA_NO_ADOPTABLE"),AND(B19="F028",L19&lt;&gt;"PREGUNTA_NO_NORMATIVA"),COUNTIFS('01_Fuentes'!$A$5:$A$40,B19,'01_Fuentes'!$H$5:$H$40,"METADATOS_SOLO")&gt;0),1,0)</x:f>
        <x:v>0</x:v>
      </x:c>
      <x:c r="Q19" s="12" t="n">
        <x:f>IF(OR(A19="",D19="",E19="",F19="",K19="",L19=""),1,0)</x:f>
        <x:v>0</x:v>
      </x:c>
    </x:row>
    <x:row r="20" ht="47" customHeight="1">
      <x:c r="A20" s="4" t="str">
        <x:v>CP-016</x:v>
      </x:c>
      <x:c r="B20" s="4" t="str">
        <x:v>F004</x:v>
      </x:c>
      <x:c r="C20" s="4" t="str">
        <x:v>F004</x:v>
      </x:c>
      <x:c r="D20" s="4" t="str">
        <x:v>Área de conocimiento: Forensics</x:v>
      </x:c>
      <x:c r="E20" s="4" t="str">
        <x:v>Forensics</x:v>
      </x:c>
      <x:c r="F20" s="4" t="str">
        <x:v>Análisis forense</x:v>
      </x:c>
      <x:c r="G20" s="4" t="str">
        <x:v>Conocimiento</x:v>
      </x:c>
      <x:c r="H20" s="4" t="str">
        <x:v>E10</x:v>
      </x:c>
      <x:c r="I20" s="4" t="str">
        <x:v>IN-WRL-002</x:v>
      </x:c>
      <x:c r="J20" s="4" t="str">
        <x:v>OPC-10</x:v>
      </x:c>
      <x:c r="K20" s="4" t="str">
        <x:v>REFINA_BASE_CONCEPTUAL; no demuestra ausencia en todo NICE</x:v>
      </x:c>
      <x:c r="L20" s="4" t="str">
        <x:v>CANDIDATA_NO_ADOPTADA</x:v>
      </x:c>
      <x:c r="M20" s="12" t="n">
        <x:f>COUNTIF('05_Complementos'!$A$5:$A$127,A20)-1</x:f>
        <x:v>0</x:v>
      </x:c>
      <x:c r="N20" s="12" t="n">
        <x:f>IF(AND(COUNTIF('01_Fuentes'!$A$5:$A$40,B20)=1,COUNTIF('02_Custodia'!$A$5:$A$53,C20)=1,COUNTIF('07_Operaciones'!$A$5:$A$26,J20)=1,COUNTIF('06_Cobertura'!$A$5:$A$25,H20)=1),0,1)</x:f>
        <x:v>0</x:v>
      </x:c>
      <x:c r="O20" s="12" t="n">
        <x:f>IF(COUNTIF('03_NICE'!$A$5:$A$57,I20)+COUNTIF('04_TKS'!$A$5:$A$72,I20)=1,0,1)</x:f>
        <x:v>0</x:v>
      </x:c>
      <x:c r="P20" s="12" t="n">
        <x:f>IF(OR(AND(B20="F008",L20&lt;&gt;"IDENTIFICADA_NO_ADOPTABLE"),AND(B20="F028",L20&lt;&gt;"PREGUNTA_NO_NORMATIVA"),COUNTIFS('01_Fuentes'!$A$5:$A$40,B20,'01_Fuentes'!$H$5:$H$40,"METADATOS_SOLO")&gt;0),1,0)</x:f>
        <x:v>0</x:v>
      </x:c>
      <x:c r="Q20" s="12" t="n">
        <x:f>IF(OR(A20="",D20="",E20="",F20="",K20="",L20=""),1,0)</x:f>
        <x:v>0</x:v>
      </x:c>
    </x:row>
    <x:row r="21" ht="47" customHeight="1">
      <x:c r="A21" s="4" t="str">
        <x:v>CP-017</x:v>
      </x:c>
      <x:c r="B21" s="4" t="str">
        <x:v>F004</x:v>
      </x:c>
      <x:c r="C21" s="4" t="str">
        <x:v>F004</x:v>
      </x:c>
      <x:c r="D21" s="4" t="str">
        <x:v>Área de conocimiento: Cryptography</x:v>
      </x:c>
      <x:c r="E21" s="4" t="str">
        <x:v>Cryptography</x:v>
      </x:c>
      <x:c r="F21" s="4" t="str">
        <x:v>Criptografía</x:v>
      </x:c>
      <x:c r="G21" s="4" t="str">
        <x:v>Conocimiento</x:v>
      </x:c>
      <x:c r="H21" s="4" t="str">
        <x:v>E04</x:v>
      </x:c>
      <x:c r="I21" s="4" t="str">
        <x:v>NF-COM-006</x:v>
      </x:c>
      <x:c r="J21" s="4" t="str">
        <x:v>OPC-13</x:v>
      </x:c>
      <x:c r="K21" s="4" t="str">
        <x:v>REFINA_BASE_CONCEPTUAL; no demuestra ausencia en todo NICE</x:v>
      </x:c>
      <x:c r="L21" s="4" t="str">
        <x:v>CANDIDATA_NO_ADOPTADA</x:v>
      </x:c>
      <x:c r="M21" s="12" t="n">
        <x:f>COUNTIF('05_Complementos'!$A$5:$A$127,A21)-1</x:f>
        <x:v>0</x:v>
      </x:c>
      <x:c r="N21" s="12" t="n">
        <x:f>IF(AND(COUNTIF('01_Fuentes'!$A$5:$A$40,B21)=1,COUNTIF('02_Custodia'!$A$5:$A$53,C21)=1,COUNTIF('07_Operaciones'!$A$5:$A$26,J21)=1,COUNTIF('06_Cobertura'!$A$5:$A$25,H21)=1),0,1)</x:f>
        <x:v>0</x:v>
      </x:c>
      <x:c r="O21" s="12" t="n">
        <x:f>IF(COUNTIF('03_NICE'!$A$5:$A$57,I21)+COUNTIF('04_TKS'!$A$5:$A$72,I21)=1,0,1)</x:f>
        <x:v>0</x:v>
      </x:c>
      <x:c r="P21" s="12" t="n">
        <x:f>IF(OR(AND(B21="F008",L21&lt;&gt;"IDENTIFICADA_NO_ADOPTABLE"),AND(B21="F028",L21&lt;&gt;"PREGUNTA_NO_NORMATIVA"),COUNTIFS('01_Fuentes'!$A$5:$A$40,B21,'01_Fuentes'!$H$5:$H$40,"METADATOS_SOLO")&gt;0),1,0)</x:f>
        <x:v>0</x:v>
      </x:c>
      <x:c r="Q21" s="12" t="n">
        <x:f>IF(OR(A21="",D21="",E21="",F21="",K21="",L21=""),1,0)</x:f>
        <x:v>0</x:v>
      </x:c>
    </x:row>
    <x:row r="22" ht="47" customHeight="1">
      <x:c r="A22" s="4" t="str">
        <x:v>CP-018</x:v>
      </x:c>
      <x:c r="B22" s="4" t="str">
        <x:v>F004</x:v>
      </x:c>
      <x:c r="C22" s="4" t="str">
        <x:v>F004</x:v>
      </x:c>
      <x:c r="D22" s="4" t="str">
        <x:v>Área de conocimiento: Operating Systems &amp; Virtualisation</x:v>
      </x:c>
      <x:c r="E22" s="4" t="str">
        <x:v>Operating Systems &amp; Virtualisation</x:v>
      </x:c>
      <x:c r="F22" s="4" t="str">
        <x:v>Sistemas operativos y virtualización</x:v>
      </x:c>
      <x:c r="G22" s="4" t="str">
        <x:v>Conocimiento</x:v>
      </x:c>
      <x:c r="H22" s="4" t="str">
        <x:v>E05</x:v>
      </x:c>
      <x:c r="I22" s="4" t="str">
        <x:v>NF-COM-009</x:v>
      </x:c>
      <x:c r="J22" s="4" t="str">
        <x:v>OPC-12</x:v>
      </x:c>
      <x:c r="K22" s="4" t="str">
        <x:v>REFINA_BASE_CONCEPTUAL; no demuestra ausencia en todo NICE</x:v>
      </x:c>
      <x:c r="L22" s="4" t="str">
        <x:v>CANDIDATA_NO_ADOPTADA</x:v>
      </x:c>
      <x:c r="M22" s="12" t="n">
        <x:f>COUNTIF('05_Complementos'!$A$5:$A$127,A22)-1</x:f>
        <x:v>0</x:v>
      </x:c>
      <x:c r="N22" s="12" t="n">
        <x:f>IF(AND(COUNTIF('01_Fuentes'!$A$5:$A$40,B22)=1,COUNTIF('02_Custodia'!$A$5:$A$53,C22)=1,COUNTIF('07_Operaciones'!$A$5:$A$26,J22)=1,COUNTIF('06_Cobertura'!$A$5:$A$25,H22)=1),0,1)</x:f>
        <x:v>0</x:v>
      </x:c>
      <x:c r="O22" s="12" t="n">
        <x:f>IF(COUNTIF('03_NICE'!$A$5:$A$57,I22)+COUNTIF('04_TKS'!$A$5:$A$72,I22)=1,0,1)</x:f>
        <x:v>0</x:v>
      </x:c>
      <x:c r="P22" s="12" t="n">
        <x:f>IF(OR(AND(B22="F008",L22&lt;&gt;"IDENTIFICADA_NO_ADOPTABLE"),AND(B22="F028",L22&lt;&gt;"PREGUNTA_NO_NORMATIVA"),COUNTIFS('01_Fuentes'!$A$5:$A$40,B22,'01_Fuentes'!$H$5:$H$40,"METADATOS_SOLO")&gt;0),1,0)</x:f>
        <x:v>0</x:v>
      </x:c>
      <x:c r="Q22" s="12" t="n">
        <x:f>IF(OR(A22="",D22="",E22="",F22="",K22="",L22=""),1,0)</x:f>
        <x:v>0</x:v>
      </x:c>
    </x:row>
    <x:row r="23" ht="47" customHeight="1">
      <x:c r="A23" s="4" t="str">
        <x:v>CP-019</x:v>
      </x:c>
      <x:c r="B23" s="4" t="str">
        <x:v>F004</x:v>
      </x:c>
      <x:c r="C23" s="4" t="str">
        <x:v>F004</x:v>
      </x:c>
      <x:c r="D23" s="4" t="str">
        <x:v>Área de conocimiento: Distributed Systems Security</x:v>
      </x:c>
      <x:c r="E23" s="4" t="str">
        <x:v>Distributed Systems Security</x:v>
      </x:c>
      <x:c r="F23" s="4" t="str">
        <x:v>Seguridad de sistemas distribuidos</x:v>
      </x:c>
      <x:c r="G23" s="4" t="str">
        <x:v>Conocimiento</x:v>
      </x:c>
      <x:c r="H23" s="4" t="str">
        <x:v>E07</x:v>
      </x:c>
      <x:c r="I23" s="4" t="str">
        <x:v>NF-COM-004</x:v>
      </x:c>
      <x:c r="J23" s="4" t="str">
        <x:v>OPC-06</x:v>
      </x:c>
      <x:c r="K23" s="4" t="str">
        <x:v>REFINA_BASE_CONCEPTUAL; no demuestra ausencia en todo NICE</x:v>
      </x:c>
      <x:c r="L23" s="4" t="str">
        <x:v>CANDIDATA_NO_ADOPTADA</x:v>
      </x:c>
      <x:c r="M23" s="12" t="n">
        <x:f>COUNTIF('05_Complementos'!$A$5:$A$127,A23)-1</x:f>
        <x:v>0</x:v>
      </x:c>
      <x:c r="N23" s="12" t="n">
        <x:f>IF(AND(COUNTIF('01_Fuentes'!$A$5:$A$40,B23)=1,COUNTIF('02_Custodia'!$A$5:$A$53,C23)=1,COUNTIF('07_Operaciones'!$A$5:$A$26,J23)=1,COUNTIF('06_Cobertura'!$A$5:$A$25,H23)=1),0,1)</x:f>
        <x:v>0</x:v>
      </x:c>
      <x:c r="O23" s="12" t="n">
        <x:f>IF(COUNTIF('03_NICE'!$A$5:$A$57,I23)+COUNTIF('04_TKS'!$A$5:$A$72,I23)=1,0,1)</x:f>
        <x:v>0</x:v>
      </x:c>
      <x:c r="P23" s="12" t="n">
        <x:f>IF(OR(AND(B23="F008",L23&lt;&gt;"IDENTIFICADA_NO_ADOPTABLE"),AND(B23="F028",L23&lt;&gt;"PREGUNTA_NO_NORMATIVA"),COUNTIFS('01_Fuentes'!$A$5:$A$40,B23,'01_Fuentes'!$H$5:$H$40,"METADATOS_SOLO")&gt;0),1,0)</x:f>
        <x:v>0</x:v>
      </x:c>
      <x:c r="Q23" s="12" t="n">
        <x:f>IF(OR(A23="",D23="",E23="",F23="",K23="",L23=""),1,0)</x:f>
        <x:v>0</x:v>
      </x:c>
    </x:row>
    <x:row r="24" ht="47" customHeight="1">
      <x:c r="A24" s="4" t="str">
        <x:v>CP-020</x:v>
      </x:c>
      <x:c r="B24" s="4" t="str">
        <x:v>F004</x:v>
      </x:c>
      <x:c r="C24" s="4" t="str">
        <x:v>F004</x:v>
      </x:c>
      <x:c r="D24" s="4" t="str">
        <x:v>Área de conocimiento: Formal Methods for Security</x:v>
      </x:c>
      <x:c r="E24" s="4" t="str">
        <x:v>Formal Methods for Security</x:v>
      </x:c>
      <x:c r="F24" s="4" t="str">
        <x:v>Métodos formales de seguridad</x:v>
      </x:c>
      <x:c r="G24" s="4" t="str">
        <x:v>Conocimiento</x:v>
      </x:c>
      <x:c r="H24" s="4" t="str">
        <x:v>E06</x:v>
      </x:c>
      <x:c r="I24" s="4" t="str">
        <x:v>DD-WRL-007</x:v>
      </x:c>
      <x:c r="J24" s="4" t="str">
        <x:v>OPC-04</x:v>
      </x:c>
      <x:c r="K24" s="4" t="str">
        <x:v>REFINA_BASE_CONCEPTUAL; no demuestra ausencia en todo NICE</x:v>
      </x:c>
      <x:c r="L24" s="4" t="str">
        <x:v>CANDIDATA_NO_ADOPTADA</x:v>
      </x:c>
      <x:c r="M24" s="12" t="n">
        <x:f>COUNTIF('05_Complementos'!$A$5:$A$127,A24)-1</x:f>
        <x:v>0</x:v>
      </x:c>
      <x:c r="N24" s="12" t="n">
        <x:f>IF(AND(COUNTIF('01_Fuentes'!$A$5:$A$40,B24)=1,COUNTIF('02_Custodia'!$A$5:$A$53,C24)=1,COUNTIF('07_Operaciones'!$A$5:$A$26,J24)=1,COUNTIF('06_Cobertura'!$A$5:$A$25,H24)=1),0,1)</x:f>
        <x:v>0</x:v>
      </x:c>
      <x:c r="O24" s="12" t="n">
        <x:f>IF(COUNTIF('03_NICE'!$A$5:$A$57,I24)+COUNTIF('04_TKS'!$A$5:$A$72,I24)=1,0,1)</x:f>
        <x:v>0</x:v>
      </x:c>
      <x:c r="P24" s="12" t="n">
        <x:f>IF(OR(AND(B24="F008",L24&lt;&gt;"IDENTIFICADA_NO_ADOPTABLE"),AND(B24="F028",L24&lt;&gt;"PREGUNTA_NO_NORMATIVA"),COUNTIFS('01_Fuentes'!$A$5:$A$40,B24,'01_Fuentes'!$H$5:$H$40,"METADATOS_SOLO")&gt;0),1,0)</x:f>
        <x:v>0</x:v>
      </x:c>
      <x:c r="Q24" s="12" t="n">
        <x:f>IF(OR(A24="",D24="",E24="",F24="",K24="",L24=""),1,0)</x:f>
        <x:v>0</x:v>
      </x:c>
    </x:row>
    <x:row r="25" ht="47" customHeight="1">
      <x:c r="A25" s="4" t="str">
        <x:v>CP-021</x:v>
      </x:c>
      <x:c r="B25" s="4" t="str">
        <x:v>F004</x:v>
      </x:c>
      <x:c r="C25" s="4" t="str">
        <x:v>F004</x:v>
      </x:c>
      <x:c r="D25" s="4" t="str">
        <x:v>Área de conocimiento: Authentication, Authorisation &amp; Accountability</x:v>
      </x:c>
      <x:c r="E25" s="4" t="str">
        <x:v>Authentication, Authorisation &amp; Accountability</x:v>
      </x:c>
      <x:c r="F25" s="4" t="str">
        <x:v>Autenticación, autorización y responsabilidad</x:v>
      </x:c>
      <x:c r="G25" s="4" t="str">
        <x:v>Conocimiento</x:v>
      </x:c>
      <x:c r="H25" s="4" t="str">
        <x:v>E03</x:v>
      </x:c>
      <x:c r="I25" s="4" t="str">
        <x:v>NF-COM-001</x:v>
      </x:c>
      <x:c r="J25" s="4" t="str">
        <x:v>OPC-03</x:v>
      </x:c>
      <x:c r="K25" s="4" t="str">
        <x:v>REFINA_BASE_CONCEPTUAL; no demuestra ausencia en todo NICE</x:v>
      </x:c>
      <x:c r="L25" s="4" t="str">
        <x:v>CANDIDATA_NO_ADOPTADA</x:v>
      </x:c>
      <x:c r="M25" s="12" t="n">
        <x:f>COUNTIF('05_Complementos'!$A$5:$A$127,A25)-1</x:f>
        <x:v>0</x:v>
      </x:c>
      <x:c r="N25" s="12" t="n">
        <x:f>IF(AND(COUNTIF('01_Fuentes'!$A$5:$A$40,B25)=1,COUNTIF('02_Custodia'!$A$5:$A$53,C25)=1,COUNTIF('07_Operaciones'!$A$5:$A$26,J25)=1,COUNTIF('06_Cobertura'!$A$5:$A$25,H25)=1),0,1)</x:f>
        <x:v>0</x:v>
      </x:c>
      <x:c r="O25" s="12" t="n">
        <x:f>IF(COUNTIF('03_NICE'!$A$5:$A$57,I25)+COUNTIF('04_TKS'!$A$5:$A$72,I25)=1,0,1)</x:f>
        <x:v>0</x:v>
      </x:c>
      <x:c r="P25" s="12" t="n">
        <x:f>IF(OR(AND(B25="F008",L25&lt;&gt;"IDENTIFICADA_NO_ADOPTABLE"),AND(B25="F028",L25&lt;&gt;"PREGUNTA_NO_NORMATIVA"),COUNTIFS('01_Fuentes'!$A$5:$A$40,B25,'01_Fuentes'!$H$5:$H$40,"METADATOS_SOLO")&gt;0),1,0)</x:f>
        <x:v>0</x:v>
      </x:c>
      <x:c r="Q25" s="12" t="n">
        <x:f>IF(OR(A25="",D25="",E25="",F25="",K25="",L25=""),1,0)</x:f>
        <x:v>0</x:v>
      </x:c>
    </x:row>
    <x:row r="26" ht="47" customHeight="1">
      <x:c r="A26" s="4" t="str">
        <x:v>CP-022</x:v>
      </x:c>
      <x:c r="B26" s="4" t="str">
        <x:v>F004</x:v>
      </x:c>
      <x:c r="C26" s="4" t="str">
        <x:v>F004</x:v>
      </x:c>
      <x:c r="D26" s="4" t="str">
        <x:v>Área de conocimiento: Software Security</x:v>
      </x:c>
      <x:c r="E26" s="4" t="str">
        <x:v>Software Security</x:v>
      </x:c>
      <x:c r="F26" s="4" t="str">
        <x:v>Seguridad del software</x:v>
      </x:c>
      <x:c r="G26" s="4" t="str">
        <x:v>Conocimiento</x:v>
      </x:c>
      <x:c r="H26" s="4" t="str">
        <x:v>E06</x:v>
      </x:c>
      <x:c r="I26" s="4" t="str">
        <x:v>DD-WRL-005</x:v>
      </x:c>
      <x:c r="J26" s="4" t="str">
        <x:v>OPC-05</x:v>
      </x:c>
      <x:c r="K26" s="4" t="str">
        <x:v>REFINA_BASE_CONCEPTUAL; no demuestra ausencia en todo NICE</x:v>
      </x:c>
      <x:c r="L26" s="4" t="str">
        <x:v>CANDIDATA_NO_ADOPTADA</x:v>
      </x:c>
      <x:c r="M26" s="12" t="n">
        <x:f>COUNTIF('05_Complementos'!$A$5:$A$127,A26)-1</x:f>
        <x:v>0</x:v>
      </x:c>
      <x:c r="N26" s="12" t="n">
        <x:f>IF(AND(COUNTIF('01_Fuentes'!$A$5:$A$40,B26)=1,COUNTIF('02_Custodia'!$A$5:$A$53,C26)=1,COUNTIF('07_Operaciones'!$A$5:$A$26,J26)=1,COUNTIF('06_Cobertura'!$A$5:$A$25,H26)=1),0,1)</x:f>
        <x:v>0</x:v>
      </x:c>
      <x:c r="O26" s="12" t="n">
        <x:f>IF(COUNTIF('03_NICE'!$A$5:$A$57,I26)+COUNTIF('04_TKS'!$A$5:$A$72,I26)=1,0,1)</x:f>
        <x:v>0</x:v>
      </x:c>
      <x:c r="P26" s="12" t="n">
        <x:f>IF(OR(AND(B26="F008",L26&lt;&gt;"IDENTIFICADA_NO_ADOPTABLE"),AND(B26="F028",L26&lt;&gt;"PREGUNTA_NO_NORMATIVA"),COUNTIFS('01_Fuentes'!$A$5:$A$40,B26,'01_Fuentes'!$H$5:$H$40,"METADATOS_SOLO")&gt;0),1,0)</x:f>
        <x:v>0</x:v>
      </x:c>
      <x:c r="Q26" s="12" t="n">
        <x:f>IF(OR(A26="",D26="",E26="",F26="",K26="",L26=""),1,0)</x:f>
        <x:v>0</x:v>
      </x:c>
    </x:row>
    <x:row r="27" ht="47" customHeight="1">
      <x:c r="A27" s="4" t="str">
        <x:v>CP-023</x:v>
      </x:c>
      <x:c r="B27" s="4" t="str">
        <x:v>F004</x:v>
      </x:c>
      <x:c r="C27" s="4" t="str">
        <x:v>F004</x:v>
      </x:c>
      <x:c r="D27" s="4" t="str">
        <x:v>Área de conocimiento: Web &amp; Mobile Security</x:v>
      </x:c>
      <x:c r="E27" s="4" t="str">
        <x:v>Web &amp; Mobile Security</x:v>
      </x:c>
      <x:c r="F27" s="4" t="str">
        <x:v>Seguridad web y móvil</x:v>
      </x:c>
      <x:c r="G27" s="4" t="str">
        <x:v>Conocimiento</x:v>
      </x:c>
      <x:c r="H27" s="4" t="str">
        <x:v>E06</x:v>
      </x:c>
      <x:c r="I27" s="4" t="str">
        <x:v>DD-WRL-005</x:v>
      </x:c>
      <x:c r="J27" s="4" t="str">
        <x:v>OPC-05</x:v>
      </x:c>
      <x:c r="K27" s="4" t="str">
        <x:v>REFINA_BASE_CONCEPTUAL; no demuestra ausencia en todo NICE</x:v>
      </x:c>
      <x:c r="L27" s="4" t="str">
        <x:v>CANDIDATA_NO_ADOPTADA</x:v>
      </x:c>
      <x:c r="M27" s="12" t="n">
        <x:f>COUNTIF('05_Complementos'!$A$5:$A$127,A27)-1</x:f>
        <x:v>0</x:v>
      </x:c>
      <x:c r="N27" s="12" t="n">
        <x:f>IF(AND(COUNTIF('01_Fuentes'!$A$5:$A$40,B27)=1,COUNTIF('02_Custodia'!$A$5:$A$53,C27)=1,COUNTIF('07_Operaciones'!$A$5:$A$26,J27)=1,COUNTIF('06_Cobertura'!$A$5:$A$25,H27)=1),0,1)</x:f>
        <x:v>0</x:v>
      </x:c>
      <x:c r="O27" s="12" t="n">
        <x:f>IF(COUNTIF('03_NICE'!$A$5:$A$57,I27)+COUNTIF('04_TKS'!$A$5:$A$72,I27)=1,0,1)</x:f>
        <x:v>0</x:v>
      </x:c>
      <x:c r="P27" s="12" t="n">
        <x:f>IF(OR(AND(B27="F008",L27&lt;&gt;"IDENTIFICADA_NO_ADOPTABLE"),AND(B27="F028",L27&lt;&gt;"PREGUNTA_NO_NORMATIVA"),COUNTIFS('01_Fuentes'!$A$5:$A$40,B27,'01_Fuentes'!$H$5:$H$40,"METADATOS_SOLO")&gt;0),1,0)</x:f>
        <x:v>0</x:v>
      </x:c>
      <x:c r="Q27" s="12" t="n">
        <x:f>IF(OR(A27="",D27="",E27="",F27="",K27="",L27=""),1,0)</x:f>
        <x:v>0</x:v>
      </x:c>
    </x:row>
    <x:row r="28" ht="47" customHeight="1">
      <x:c r="A28" s="4" t="str">
        <x:v>CP-024</x:v>
      </x:c>
      <x:c r="B28" s="4" t="str">
        <x:v>F004</x:v>
      </x:c>
      <x:c r="C28" s="4" t="str">
        <x:v>F004</x:v>
      </x:c>
      <x:c r="D28" s="4" t="str">
        <x:v>Área de conocimiento: Secure Software Lifecycle</x:v>
      </x:c>
      <x:c r="E28" s="4" t="str">
        <x:v>Secure Software Lifecycle</x:v>
      </x:c>
      <x:c r="F28" s="4" t="str">
        <x:v>Ciclo de vida seguro del software</x:v>
      </x:c>
      <x:c r="G28" s="4" t="str">
        <x:v>Conocimiento</x:v>
      </x:c>
      <x:c r="H28" s="4" t="str">
        <x:v>E06</x:v>
      </x:c>
      <x:c r="I28" s="4" t="str">
        <x:v>NF-COM-008</x:v>
      </x:c>
      <x:c r="J28" s="4" t="str">
        <x:v>OPC-05</x:v>
      </x:c>
      <x:c r="K28" s="4" t="str">
        <x:v>REFINA_BASE_CONCEPTUAL; no demuestra ausencia en todo NICE</x:v>
      </x:c>
      <x:c r="L28" s="4" t="str">
        <x:v>CANDIDATA_NO_ADOPTADA</x:v>
      </x:c>
      <x:c r="M28" s="12" t="n">
        <x:f>COUNTIF('05_Complementos'!$A$5:$A$127,A28)-1</x:f>
        <x:v>0</x:v>
      </x:c>
      <x:c r="N28" s="12" t="n">
        <x:f>IF(AND(COUNTIF('01_Fuentes'!$A$5:$A$40,B28)=1,COUNTIF('02_Custodia'!$A$5:$A$53,C28)=1,COUNTIF('07_Operaciones'!$A$5:$A$26,J28)=1,COUNTIF('06_Cobertura'!$A$5:$A$25,H28)=1),0,1)</x:f>
        <x:v>0</x:v>
      </x:c>
      <x:c r="O28" s="12" t="n">
        <x:f>IF(COUNTIF('03_NICE'!$A$5:$A$57,I28)+COUNTIF('04_TKS'!$A$5:$A$72,I28)=1,0,1)</x:f>
        <x:v>0</x:v>
      </x:c>
      <x:c r="P28" s="12" t="n">
        <x:f>IF(OR(AND(B28="F008",L28&lt;&gt;"IDENTIFICADA_NO_ADOPTABLE"),AND(B28="F028",L28&lt;&gt;"PREGUNTA_NO_NORMATIVA"),COUNTIFS('01_Fuentes'!$A$5:$A$40,B28,'01_Fuentes'!$H$5:$H$40,"METADATOS_SOLO")&gt;0),1,0)</x:f>
        <x:v>0</x:v>
      </x:c>
      <x:c r="Q28" s="12" t="n">
        <x:f>IF(OR(A28="",D28="",E28="",F28="",K28="",L28=""),1,0)</x:f>
        <x:v>0</x:v>
      </x:c>
    </x:row>
    <x:row r="29" ht="47" customHeight="1">
      <x:c r="A29" s="4" t="str">
        <x:v>CP-025</x:v>
      </x:c>
      <x:c r="B29" s="4" t="str">
        <x:v>F004</x:v>
      </x:c>
      <x:c r="C29" s="4" t="str">
        <x:v>F004</x:v>
      </x:c>
      <x:c r="D29" s="4" t="str">
        <x:v>Área de conocimiento: Applied Cryptography</x:v>
      </x:c>
      <x:c r="E29" s="4" t="str">
        <x:v>Applied Cryptography</x:v>
      </x:c>
      <x:c r="F29" s="4" t="str">
        <x:v>Criptografía aplicada</x:v>
      </x:c>
      <x:c r="G29" s="4" t="str">
        <x:v>Conocimiento</x:v>
      </x:c>
      <x:c r="H29" s="4" t="str">
        <x:v>E04</x:v>
      </x:c>
      <x:c r="I29" s="4" t="str">
        <x:v>NF-COM-006</x:v>
      </x:c>
      <x:c r="J29" s="4" t="str">
        <x:v>OPC-13</x:v>
      </x:c>
      <x:c r="K29" s="4" t="str">
        <x:v>REFINA_BASE_CONCEPTUAL; no demuestra ausencia en todo NICE</x:v>
      </x:c>
      <x:c r="L29" s="4" t="str">
        <x:v>CANDIDATA_NO_ADOPTADA</x:v>
      </x:c>
      <x:c r="M29" s="12" t="n">
        <x:f>COUNTIF('05_Complementos'!$A$5:$A$127,A29)-1</x:f>
        <x:v>0</x:v>
      </x:c>
      <x:c r="N29" s="12" t="n">
        <x:f>IF(AND(COUNTIF('01_Fuentes'!$A$5:$A$40,B29)=1,COUNTIF('02_Custodia'!$A$5:$A$53,C29)=1,COUNTIF('07_Operaciones'!$A$5:$A$26,J29)=1,COUNTIF('06_Cobertura'!$A$5:$A$25,H29)=1),0,1)</x:f>
        <x:v>0</x:v>
      </x:c>
      <x:c r="O29" s="12" t="n">
        <x:f>IF(COUNTIF('03_NICE'!$A$5:$A$57,I29)+COUNTIF('04_TKS'!$A$5:$A$72,I29)=1,0,1)</x:f>
        <x:v>0</x:v>
      </x:c>
      <x:c r="P29" s="12" t="n">
        <x:f>IF(OR(AND(B29="F008",L29&lt;&gt;"IDENTIFICADA_NO_ADOPTABLE"),AND(B29="F028",L29&lt;&gt;"PREGUNTA_NO_NORMATIVA"),COUNTIFS('01_Fuentes'!$A$5:$A$40,B29,'01_Fuentes'!$H$5:$H$40,"METADATOS_SOLO")&gt;0),1,0)</x:f>
        <x:v>0</x:v>
      </x:c>
      <x:c r="Q29" s="12" t="n">
        <x:f>IF(OR(A29="",D29="",E29="",F29="",K29="",L29=""),1,0)</x:f>
        <x:v>0</x:v>
      </x:c>
    </x:row>
    <x:row r="30" ht="47" customHeight="1">
      <x:c r="A30" s="4" t="str">
        <x:v>CP-026</x:v>
      </x:c>
      <x:c r="B30" s="4" t="str">
        <x:v>F004</x:v>
      </x:c>
      <x:c r="C30" s="4" t="str">
        <x:v>F004</x:v>
      </x:c>
      <x:c r="D30" s="4" t="str">
        <x:v>Área de conocimiento: Network Security</x:v>
      </x:c>
      <x:c r="E30" s="4" t="str">
        <x:v>Network Security</x:v>
      </x:c>
      <x:c r="F30" s="4" t="str">
        <x:v>Seguridad de redes</x:v>
      </x:c>
      <x:c r="G30" s="4" t="str">
        <x:v>Conocimiento</x:v>
      </x:c>
      <x:c r="H30" s="4" t="str">
        <x:v>E05</x:v>
      </x:c>
      <x:c r="I30" s="4" t="str">
        <x:v>IO-WRL-004</x:v>
      </x:c>
      <x:c r="J30" s="4" t="str">
        <x:v>OPC-12</x:v>
      </x:c>
      <x:c r="K30" s="4" t="str">
        <x:v>REFINA_BASE_CONCEPTUAL; no demuestra ausencia en todo NICE</x:v>
      </x:c>
      <x:c r="L30" s="4" t="str">
        <x:v>CANDIDATA_NO_ADOPTADA</x:v>
      </x:c>
      <x:c r="M30" s="12" t="n">
        <x:f>COUNTIF('05_Complementos'!$A$5:$A$127,A30)-1</x:f>
        <x:v>0</x:v>
      </x:c>
      <x:c r="N30" s="12" t="n">
        <x:f>IF(AND(COUNTIF('01_Fuentes'!$A$5:$A$40,B30)=1,COUNTIF('02_Custodia'!$A$5:$A$53,C30)=1,COUNTIF('07_Operaciones'!$A$5:$A$26,J30)=1,COUNTIF('06_Cobertura'!$A$5:$A$25,H30)=1),0,1)</x:f>
        <x:v>0</x:v>
      </x:c>
      <x:c r="O30" s="12" t="n">
        <x:f>IF(COUNTIF('03_NICE'!$A$5:$A$57,I30)+COUNTIF('04_TKS'!$A$5:$A$72,I30)=1,0,1)</x:f>
        <x:v>0</x:v>
      </x:c>
      <x:c r="P30" s="12" t="n">
        <x:f>IF(OR(AND(B30="F008",L30&lt;&gt;"IDENTIFICADA_NO_ADOPTABLE"),AND(B30="F028",L30&lt;&gt;"PREGUNTA_NO_NORMATIVA"),COUNTIFS('01_Fuentes'!$A$5:$A$40,B30,'01_Fuentes'!$H$5:$H$40,"METADATOS_SOLO")&gt;0),1,0)</x:f>
        <x:v>0</x:v>
      </x:c>
      <x:c r="Q30" s="12" t="n">
        <x:f>IF(OR(A30="",D30="",E30="",F30="",K30="",L30=""),1,0)</x:f>
        <x:v>0</x:v>
      </x:c>
    </x:row>
    <x:row r="31" ht="47" customHeight="1">
      <x:c r="A31" s="4" t="str">
        <x:v>CP-027</x:v>
      </x:c>
      <x:c r="B31" s="4" t="str">
        <x:v>F004</x:v>
      </x:c>
      <x:c r="C31" s="4" t="str">
        <x:v>F004</x:v>
      </x:c>
      <x:c r="D31" s="4" t="str">
        <x:v>Área de conocimiento: Hardware Security</x:v>
      </x:c>
      <x:c r="E31" s="4" t="str">
        <x:v>Hardware Security</x:v>
      </x:c>
      <x:c r="F31" s="4" t="str">
        <x:v>Seguridad del hardware</x:v>
      </x:c>
      <x:c r="G31" s="4" t="str">
        <x:v>Conocimiento</x:v>
      </x:c>
      <x:c r="H31" s="4" t="str">
        <x:v>E02</x:v>
      </x:c>
      <x:c r="I31" s="4" t="str">
        <x:v>DD-WRL-004</x:v>
      </x:c>
      <x:c r="J31" s="4" t="str">
        <x:v>OPC-02</x:v>
      </x:c>
      <x:c r="K31" s="4" t="str">
        <x:v>REFINA_BASE_CONCEPTUAL; no demuestra ausencia en todo NICE</x:v>
      </x:c>
      <x:c r="L31" s="4" t="str">
        <x:v>CANDIDATA_NO_ADOPTADA</x:v>
      </x:c>
      <x:c r="M31" s="12" t="n">
        <x:f>COUNTIF('05_Complementos'!$A$5:$A$127,A31)-1</x:f>
        <x:v>0</x:v>
      </x:c>
      <x:c r="N31" s="12" t="n">
        <x:f>IF(AND(COUNTIF('01_Fuentes'!$A$5:$A$40,B31)=1,COUNTIF('02_Custodia'!$A$5:$A$53,C31)=1,COUNTIF('07_Operaciones'!$A$5:$A$26,J31)=1,COUNTIF('06_Cobertura'!$A$5:$A$25,H31)=1),0,1)</x:f>
        <x:v>0</x:v>
      </x:c>
      <x:c r="O31" s="12" t="n">
        <x:f>IF(COUNTIF('03_NICE'!$A$5:$A$57,I31)+COUNTIF('04_TKS'!$A$5:$A$72,I31)=1,0,1)</x:f>
        <x:v>0</x:v>
      </x:c>
      <x:c r="P31" s="12" t="n">
        <x:f>IF(OR(AND(B31="F008",L31&lt;&gt;"IDENTIFICADA_NO_ADOPTABLE"),AND(B31="F028",L31&lt;&gt;"PREGUNTA_NO_NORMATIVA"),COUNTIFS('01_Fuentes'!$A$5:$A$40,B31,'01_Fuentes'!$H$5:$H$40,"METADATOS_SOLO")&gt;0),1,0)</x:f>
        <x:v>0</x:v>
      </x:c>
      <x:c r="Q31" s="12" t="n">
        <x:f>IF(OR(A31="",D31="",E31="",F31="",K31="",L31=""),1,0)</x:f>
        <x:v>0</x:v>
      </x:c>
    </x:row>
    <x:row r="32" ht="47" customHeight="1">
      <x:c r="A32" s="4" t="str">
        <x:v>CP-028</x:v>
      </x:c>
      <x:c r="B32" s="4" t="str">
        <x:v>F004</x:v>
      </x:c>
      <x:c r="C32" s="4" t="str">
        <x:v>F004</x:v>
      </x:c>
      <x:c r="D32" s="4" t="str">
        <x:v>Área de conocimiento: Cyber-Physical Systems Security</x:v>
      </x:c>
      <x:c r="E32" s="4" t="str">
        <x:v>Cyber-Physical Systems Security</x:v>
      </x:c>
      <x:c r="F32" s="4" t="str">
        <x:v>Seguridad ciberfísica</x:v>
      </x:c>
      <x:c r="G32" s="4" t="str">
        <x:v>Conocimiento</x:v>
      </x:c>
      <x:c r="H32" s="4" t="str">
        <x:v>E13</x:v>
      </x:c>
      <x:c r="I32" s="4" t="str">
        <x:v>DD-WRL-009</x:v>
      </x:c>
      <x:c r="J32" s="4" t="str">
        <x:v>OPC-14</x:v>
      </x:c>
      <x:c r="K32" s="4" t="str">
        <x:v>REFINA_BASE_CONCEPTUAL; no demuestra ausencia en todo NICE</x:v>
      </x:c>
      <x:c r="L32" s="4" t="str">
        <x:v>CANDIDATA_NO_ADOPTADA</x:v>
      </x:c>
      <x:c r="M32" s="12" t="n">
        <x:f>COUNTIF('05_Complementos'!$A$5:$A$127,A32)-1</x:f>
        <x:v>0</x:v>
      </x:c>
      <x:c r="N32" s="12" t="n">
        <x:f>IF(AND(COUNTIF('01_Fuentes'!$A$5:$A$40,B32)=1,COUNTIF('02_Custodia'!$A$5:$A$53,C32)=1,COUNTIF('07_Operaciones'!$A$5:$A$26,J32)=1,COUNTIF('06_Cobertura'!$A$5:$A$25,H32)=1),0,1)</x:f>
        <x:v>0</x:v>
      </x:c>
      <x:c r="O32" s="12" t="n">
        <x:f>IF(COUNTIF('03_NICE'!$A$5:$A$57,I32)+COUNTIF('04_TKS'!$A$5:$A$72,I32)=1,0,1)</x:f>
        <x:v>0</x:v>
      </x:c>
      <x:c r="P32" s="12" t="n">
        <x:f>IF(OR(AND(B32="F008",L32&lt;&gt;"IDENTIFICADA_NO_ADOPTABLE"),AND(B32="F028",L32&lt;&gt;"PREGUNTA_NO_NORMATIVA"),COUNTIFS('01_Fuentes'!$A$5:$A$40,B32,'01_Fuentes'!$H$5:$H$40,"METADATOS_SOLO")&gt;0),1,0)</x:f>
        <x:v>0</x:v>
      </x:c>
      <x:c r="Q32" s="12" t="n">
        <x:f>IF(OR(A32="",D32="",E32="",F32="",K32="",L32=""),1,0)</x:f>
        <x:v>0</x:v>
      </x:c>
    </x:row>
    <x:row r="33" ht="47" customHeight="1">
      <x:c r="A33" s="4" t="str">
        <x:v>CP-029</x:v>
      </x:c>
      <x:c r="B33" s="4" t="str">
        <x:v>F004</x:v>
      </x:c>
      <x:c r="C33" s="4" t="str">
        <x:v>F004</x:v>
      </x:c>
      <x:c r="D33" s="4" t="str">
        <x:v>Área de conocimiento: Physical Layer &amp; Telecommunications Security</x:v>
      </x:c>
      <x:c r="E33" s="4" t="str">
        <x:v>Physical Layer &amp; Telecommunications Security</x:v>
      </x:c>
      <x:c r="F33" s="4" t="str">
        <x:v>Capa física y telecomunicaciones</x:v>
      </x:c>
      <x:c r="G33" s="4" t="str">
        <x:v>Conocimiento</x:v>
      </x:c>
      <x:c r="H33" s="4" t="str">
        <x:v>E15</x:v>
      </x:c>
      <x:c r="I33" s="4" t="str">
        <x:v>NF-COM-005</x:v>
      </x:c>
      <x:c r="J33" s="4" t="str">
        <x:v>OPC-13</x:v>
      </x:c>
      <x:c r="K33" s="4" t="str">
        <x:v>REFINA_BASE_CONCEPTUAL; no demuestra ausencia en todo NICE</x:v>
      </x:c>
      <x:c r="L33" s="4" t="str">
        <x:v>CANDIDATA_NO_ADOPTADA</x:v>
      </x:c>
      <x:c r="M33" s="12" t="n">
        <x:f>COUNTIF('05_Complementos'!$A$5:$A$127,A33)-1</x:f>
        <x:v>0</x:v>
      </x:c>
      <x:c r="N33" s="12" t="n">
        <x:f>IF(AND(COUNTIF('01_Fuentes'!$A$5:$A$40,B33)=1,COUNTIF('02_Custodia'!$A$5:$A$53,C33)=1,COUNTIF('07_Operaciones'!$A$5:$A$26,J33)=1,COUNTIF('06_Cobertura'!$A$5:$A$25,H33)=1),0,1)</x:f>
        <x:v>0</x:v>
      </x:c>
      <x:c r="O33" s="12" t="n">
        <x:f>IF(COUNTIF('03_NICE'!$A$5:$A$57,I33)+COUNTIF('04_TKS'!$A$5:$A$72,I33)=1,0,1)</x:f>
        <x:v>0</x:v>
      </x:c>
      <x:c r="P33" s="12" t="n">
        <x:f>IF(OR(AND(B33="F008",L33&lt;&gt;"IDENTIFICADA_NO_ADOPTABLE"),AND(B33="F028",L33&lt;&gt;"PREGUNTA_NO_NORMATIVA"),COUNTIFS('01_Fuentes'!$A$5:$A$40,B33,'01_Fuentes'!$H$5:$H$40,"METADATOS_SOLO")&gt;0),1,0)</x:f>
        <x:v>0</x:v>
      </x:c>
      <x:c r="Q33" s="12" t="n">
        <x:f>IF(OR(A33="",D33="",E33="",F33="",K33="",L33=""),1,0)</x:f>
        <x:v>0</x:v>
      </x:c>
    </x:row>
    <x:row r="34" ht="47" customHeight="1">
      <x:c r="A34" s="4" t="str">
        <x:v>CP-030</x:v>
      </x:c>
      <x:c r="B34" s="4" t="str">
        <x:v>F005</x:v>
      </x:c>
      <x:c r="C34" s="4" t="str">
        <x:v>A008</x:v>
      </x:c>
      <x:c r="D34" s="4" t="str">
        <x:v>§2.1; Profile, Mission y Deliverables</x:v>
      </x:c>
      <x:c r="E34" s="4" t="str">
        <x:v>Chief Information Security Officer</x:v>
      </x:c>
      <x:c r="F34" s="4" t="str">
        <x:v>Dirección: estrategia y política de ciberseguridad.</x:v>
      </x:c>
      <x:c r="G34" s="4" t="str">
        <x:v>Competencia</x:v>
      </x:c>
      <x:c r="H34" s="4" t="str">
        <x:v>E01</x:v>
      </x:c>
      <x:c r="I34" s="4" t="str">
        <x:v>OG-WRL-007</x:v>
      </x:c>
      <x:c r="J34" s="4" t="str">
        <x:v>OPC-01</x:v>
      </x:c>
      <x:c r="K34" s="4" t="str">
        <x:v>CONTRASTA_PRODUCTO; relación local no equivalencia de perfiles</x:v>
      </x:c>
      <x:c r="L34" s="4" t="str">
        <x:v>CANDIDATA_NO_ADOPTADA</x:v>
      </x:c>
      <x:c r="M34" s="12" t="n">
        <x:f>COUNTIF('05_Complementos'!$A$5:$A$127,A34)-1</x:f>
        <x:v>0</x:v>
      </x:c>
      <x:c r="N34" s="12" t="n">
        <x:f>IF(AND(COUNTIF('01_Fuentes'!$A$5:$A$40,B34)=1,COUNTIF('02_Custodia'!$A$5:$A$53,C34)=1,COUNTIF('07_Operaciones'!$A$5:$A$26,J34)=1,COUNTIF('06_Cobertura'!$A$5:$A$25,H34)=1),0,1)</x:f>
        <x:v>0</x:v>
      </x:c>
      <x:c r="O34" s="12" t="n">
        <x:f>IF(COUNTIF('03_NICE'!$A$5:$A$57,I34)+COUNTIF('04_TKS'!$A$5:$A$72,I34)=1,0,1)</x:f>
        <x:v>0</x:v>
      </x:c>
      <x:c r="P34" s="12" t="n">
        <x:f>IF(OR(AND(B34="F008",L34&lt;&gt;"IDENTIFICADA_NO_ADOPTABLE"),AND(B34="F028",L34&lt;&gt;"PREGUNTA_NO_NORMATIVA"),COUNTIFS('01_Fuentes'!$A$5:$A$40,B34,'01_Fuentes'!$H$5:$H$40,"METADATOS_SOLO")&gt;0),1,0)</x:f>
        <x:v>0</x:v>
      </x:c>
      <x:c r="Q34" s="12" t="n">
        <x:f>IF(OR(A34="",D34="",E34="",F34="",K34="",L34=""),1,0)</x:f>
        <x:v>0</x:v>
      </x:c>
    </x:row>
    <x:row r="35" ht="47" customHeight="1">
      <x:c r="A35" s="4" t="str">
        <x:v>CP-031</x:v>
      </x:c>
      <x:c r="B35" s="4" t="str">
        <x:v>F005</x:v>
      </x:c>
      <x:c r="C35" s="4" t="str">
        <x:v>A008</x:v>
      </x:c>
      <x:c r="D35" s="4" t="str">
        <x:v>§2.2; Profile, Mission y Deliverables</x:v>
      </x:c>
      <x:c r="E35" s="4" t="str">
        <x:v>Cyber Incident Responder</x:v>
      </x:c>
      <x:c r="F35" s="4" t="str">
        <x:v>Respuesta: plan e informe de incidentes.</x:v>
      </x:c>
      <x:c r="G35" s="4" t="str">
        <x:v>Competencia</x:v>
      </x:c>
      <x:c r="H35" s="4" t="str">
        <x:v>E11</x:v>
      </x:c>
      <x:c r="I35" s="4" t="str">
        <x:v>PD-WRL-003</x:v>
      </x:c>
      <x:c r="J35" s="4" t="str">
        <x:v>OPC-09</x:v>
      </x:c>
      <x:c r="K35" s="4" t="str">
        <x:v>CONTRASTA_PRODUCTO; relación local no equivalencia de perfiles</x:v>
      </x:c>
      <x:c r="L35" s="4" t="str">
        <x:v>CANDIDATA_NO_ADOPTADA</x:v>
      </x:c>
      <x:c r="M35" s="12" t="n">
        <x:f>COUNTIF('05_Complementos'!$A$5:$A$127,A35)-1</x:f>
        <x:v>0</x:v>
      </x:c>
      <x:c r="N35" s="12" t="n">
        <x:f>IF(AND(COUNTIF('01_Fuentes'!$A$5:$A$40,B35)=1,COUNTIF('02_Custodia'!$A$5:$A$53,C35)=1,COUNTIF('07_Operaciones'!$A$5:$A$26,J35)=1,COUNTIF('06_Cobertura'!$A$5:$A$25,H35)=1),0,1)</x:f>
        <x:v>0</x:v>
      </x:c>
      <x:c r="O35" s="12" t="n">
        <x:f>IF(COUNTIF('03_NICE'!$A$5:$A$57,I35)+COUNTIF('04_TKS'!$A$5:$A$72,I35)=1,0,1)</x:f>
        <x:v>0</x:v>
      </x:c>
      <x:c r="P35" s="12" t="n">
        <x:f>IF(OR(AND(B35="F008",L35&lt;&gt;"IDENTIFICADA_NO_ADOPTABLE"),AND(B35="F028",L35&lt;&gt;"PREGUNTA_NO_NORMATIVA"),COUNTIFS('01_Fuentes'!$A$5:$A$40,B35,'01_Fuentes'!$H$5:$H$40,"METADATOS_SOLO")&gt;0),1,0)</x:f>
        <x:v>0</x:v>
      </x:c>
      <x:c r="Q35" s="12" t="n">
        <x:f>IF(OR(A35="",D35="",E35="",F35="",K35="",L35=""),1,0)</x:f>
        <x:v>0</x:v>
      </x:c>
    </x:row>
    <x:row r="36" ht="47" customHeight="1">
      <x:c r="A36" s="4" t="str">
        <x:v>CP-032</x:v>
      </x:c>
      <x:c r="B36" s="4" t="str">
        <x:v>F005</x:v>
      </x:c>
      <x:c r="C36" s="4" t="str">
        <x:v>A008</x:v>
      </x:c>
      <x:c r="D36" s="4" t="str">
        <x:v>§2.3; Profile, Mission y Deliverables</x:v>
      </x:c>
      <x:c r="E36" s="4" t="str">
        <x:v>Cyber Legal, Policy &amp; Compliance Officer</x:v>
      </x:c>
      <x:c r="F36" s="4" t="str">
        <x:v>Función jurídica: manual de cumplimiento y políticas.</x:v>
      </x:c>
      <x:c r="G36" s="4" t="str">
        <x:v>Competencia</x:v>
      </x:c>
      <x:c r="H36" s="4" t="str">
        <x:v>E16</x:v>
      </x:c>
      <x:c r="I36" s="4" t="str">
        <x:v>OG-WRL-006</x:v>
      </x:c>
      <x:c r="J36" s="4" t="str">
        <x:v>OPC-17</x:v>
      </x:c>
      <x:c r="K36" s="4" t="str">
        <x:v>CONTRASTA_PRODUCTO; relación local no equivalencia de perfiles</x:v>
      </x:c>
      <x:c r="L36" s="4" t="str">
        <x:v>CANDIDATA_NO_ADOPTADA</x:v>
      </x:c>
      <x:c r="M36" s="12" t="n">
        <x:f>COUNTIF('05_Complementos'!$A$5:$A$127,A36)-1</x:f>
        <x:v>0</x:v>
      </x:c>
      <x:c r="N36" s="12" t="n">
        <x:f>IF(AND(COUNTIF('01_Fuentes'!$A$5:$A$40,B36)=1,COUNTIF('02_Custodia'!$A$5:$A$53,C36)=1,COUNTIF('07_Operaciones'!$A$5:$A$26,J36)=1,COUNTIF('06_Cobertura'!$A$5:$A$25,H36)=1),0,1)</x:f>
        <x:v>0</x:v>
      </x:c>
      <x:c r="O36" s="12" t="n">
        <x:f>IF(COUNTIF('03_NICE'!$A$5:$A$57,I36)+COUNTIF('04_TKS'!$A$5:$A$72,I36)=1,0,1)</x:f>
        <x:v>0</x:v>
      </x:c>
      <x:c r="P36" s="12" t="n">
        <x:f>IF(OR(AND(B36="F008",L36&lt;&gt;"IDENTIFICADA_NO_ADOPTABLE"),AND(B36="F028",L36&lt;&gt;"PREGUNTA_NO_NORMATIVA"),COUNTIFS('01_Fuentes'!$A$5:$A$40,B36,'01_Fuentes'!$H$5:$H$40,"METADATOS_SOLO")&gt;0),1,0)</x:f>
        <x:v>0</x:v>
      </x:c>
      <x:c r="Q36" s="12" t="n">
        <x:f>IF(OR(A36="",D36="",E36="",F36="",K36="",L36=""),1,0)</x:f>
        <x:v>0</x:v>
      </x:c>
    </x:row>
    <x:row r="37" ht="47" customHeight="1">
      <x:c r="A37" s="4" t="str">
        <x:v>CP-033</x:v>
      </x:c>
      <x:c r="B37" s="4" t="str">
        <x:v>F005</x:v>
      </x:c>
      <x:c r="C37" s="4" t="str">
        <x:v>A008</x:v>
      </x:c>
      <x:c r="D37" s="4" t="str">
        <x:v>§2.4; Profile, Mission y Deliverables</x:v>
      </x:c>
      <x:c r="E37" s="4" t="str">
        <x:v>Cyber Threat Intelligence Specialist</x:v>
      </x:c>
      <x:c r="F37" s="4" t="str">
        <x:v>Inteligencia: informe de amenazas contextualizado.</x:v>
      </x:c>
      <x:c r="G37" s="4" t="str">
        <x:v>Competencia</x:v>
      </x:c>
      <x:c r="H37" s="4" t="str">
        <x:v>E09</x:v>
      </x:c>
      <x:c r="I37" s="4" t="str">
        <x:v>PD-WRL-006</x:v>
      </x:c>
      <x:c r="J37" s="4" t="str">
        <x:v>OPC-08</x:v>
      </x:c>
      <x:c r="K37" s="4" t="str">
        <x:v>CONTRASTA_PRODUCTO; relación local no equivalencia de perfiles</x:v>
      </x:c>
      <x:c r="L37" s="4" t="str">
        <x:v>CANDIDATA_NO_ADOPTADA</x:v>
      </x:c>
      <x:c r="M37" s="12" t="n">
        <x:f>COUNTIF('05_Complementos'!$A$5:$A$127,A37)-1</x:f>
        <x:v>0</x:v>
      </x:c>
      <x:c r="N37" s="12" t="n">
        <x:f>IF(AND(COUNTIF('01_Fuentes'!$A$5:$A$40,B37)=1,COUNTIF('02_Custodia'!$A$5:$A$53,C37)=1,COUNTIF('07_Operaciones'!$A$5:$A$26,J37)=1,COUNTIF('06_Cobertura'!$A$5:$A$25,H37)=1),0,1)</x:f>
        <x:v>0</x:v>
      </x:c>
      <x:c r="O37" s="12" t="n">
        <x:f>IF(COUNTIF('03_NICE'!$A$5:$A$57,I37)+COUNTIF('04_TKS'!$A$5:$A$72,I37)=1,0,1)</x:f>
        <x:v>0</x:v>
      </x:c>
      <x:c r="P37" s="12" t="n">
        <x:f>IF(OR(AND(B37="F008",L37&lt;&gt;"IDENTIFICADA_NO_ADOPTABLE"),AND(B37="F028",L37&lt;&gt;"PREGUNTA_NO_NORMATIVA"),COUNTIFS('01_Fuentes'!$A$5:$A$40,B37,'01_Fuentes'!$H$5:$H$40,"METADATOS_SOLO")&gt;0),1,0)</x:f>
        <x:v>0</x:v>
      </x:c>
      <x:c r="Q37" s="12" t="n">
        <x:f>IF(OR(A37="",D37="",E37="",F37="",K37="",L37=""),1,0)</x:f>
        <x:v>0</x:v>
      </x:c>
    </x:row>
    <x:row r="38" ht="47" customHeight="1">
      <x:c r="A38" s="4" t="str">
        <x:v>CP-034</x:v>
      </x:c>
      <x:c r="B38" s="4" t="str">
        <x:v>F005</x:v>
      </x:c>
      <x:c r="C38" s="4" t="str">
        <x:v>A008</x:v>
      </x:c>
      <x:c r="D38" s="4" t="str">
        <x:v>§2.5; Profile, Mission y Deliverables</x:v>
      </x:c>
      <x:c r="E38" s="4" t="str">
        <x:v>Cybersecurity Architect</x:v>
      </x:c>
      <x:c r="F38" s="4" t="str">
        <x:v>Arquitectura: diseño y requisitos de seguridad.</x:v>
      </x:c>
      <x:c r="G38" s="4" t="str">
        <x:v>Competencia</x:v>
      </x:c>
      <x:c r="H38" s="4" t="str">
        <x:v>E02</x:v>
      </x:c>
      <x:c r="I38" s="4" t="str">
        <x:v>DD-WRL-001</x:v>
      </x:c>
      <x:c r="J38" s="4" t="str">
        <x:v>OPC-02</x:v>
      </x:c>
      <x:c r="K38" s="4" t="str">
        <x:v>CONTRASTA_PRODUCTO; relación local no equivalencia de perfiles</x:v>
      </x:c>
      <x:c r="L38" s="4" t="str">
        <x:v>CANDIDATA_NO_ADOPTADA</x:v>
      </x:c>
      <x:c r="M38" s="12" t="n">
        <x:f>COUNTIF('05_Complementos'!$A$5:$A$127,A38)-1</x:f>
        <x:v>0</x:v>
      </x:c>
      <x:c r="N38" s="12" t="n">
        <x:f>IF(AND(COUNTIF('01_Fuentes'!$A$5:$A$40,B38)=1,COUNTIF('02_Custodia'!$A$5:$A$53,C38)=1,COUNTIF('07_Operaciones'!$A$5:$A$26,J38)=1,COUNTIF('06_Cobertura'!$A$5:$A$25,H38)=1),0,1)</x:f>
        <x:v>0</x:v>
      </x:c>
      <x:c r="O38" s="12" t="n">
        <x:f>IF(COUNTIF('03_NICE'!$A$5:$A$57,I38)+COUNTIF('04_TKS'!$A$5:$A$72,I38)=1,0,1)</x:f>
        <x:v>0</x:v>
      </x:c>
      <x:c r="P38" s="12" t="n">
        <x:f>IF(OR(AND(B38="F008",L38&lt;&gt;"IDENTIFICADA_NO_ADOPTABLE"),AND(B38="F028",L38&lt;&gt;"PREGUNTA_NO_NORMATIVA"),COUNTIFS('01_Fuentes'!$A$5:$A$40,B38,'01_Fuentes'!$H$5:$H$40,"METADATOS_SOLO")&gt;0),1,0)</x:f>
        <x:v>0</x:v>
      </x:c>
      <x:c r="Q38" s="12" t="n">
        <x:f>IF(OR(A38="",D38="",E38="",F38="",K38="",L38=""),1,0)</x:f>
        <x:v>0</x:v>
      </x:c>
    </x:row>
    <x:row r="39" ht="47" customHeight="1">
      <x:c r="A39" s="4" t="str">
        <x:v>CP-035</x:v>
      </x:c>
      <x:c r="B39" s="4" t="str">
        <x:v>F005</x:v>
      </x:c>
      <x:c r="C39" s="4" t="str">
        <x:v>A008</x:v>
      </x:c>
      <x:c r="D39" s="4" t="str">
        <x:v>§2.6; Profile, Mission y Deliverables</x:v>
      </x:c>
      <x:c r="E39" s="4" t="str">
        <x:v>Cybersecurity Auditor</x:v>
      </x:c>
      <x:c r="F39" s="4" t="str">
        <x:v>Auditoría: plan y resultados de evaluación.</x:v>
      </x:c>
      <x:c r="G39" s="4" t="str">
        <x:v>Competencia</x:v>
      </x:c>
      <x:c r="H39" s="4" t="str">
        <x:v>E15</x:v>
      </x:c>
      <x:c r="I39" s="4" t="str">
        <x:v>OG-WRL-016</x:v>
      </x:c>
      <x:c r="J39" s="4" t="str">
        <x:v>OPC-16</x:v>
      </x:c>
      <x:c r="K39" s="4" t="str">
        <x:v>CONTRASTA_PRODUCTO; relación local no equivalencia de perfiles</x:v>
      </x:c>
      <x:c r="L39" s="4" t="str">
        <x:v>CANDIDATA_NO_ADOPTADA</x:v>
      </x:c>
      <x:c r="M39" s="12" t="n">
        <x:f>COUNTIF('05_Complementos'!$A$5:$A$127,A39)-1</x:f>
        <x:v>0</x:v>
      </x:c>
      <x:c r="N39" s="12" t="n">
        <x:f>IF(AND(COUNTIF('01_Fuentes'!$A$5:$A$40,B39)=1,COUNTIF('02_Custodia'!$A$5:$A$53,C39)=1,COUNTIF('07_Operaciones'!$A$5:$A$26,J39)=1,COUNTIF('06_Cobertura'!$A$5:$A$25,H39)=1),0,1)</x:f>
        <x:v>0</x:v>
      </x:c>
      <x:c r="O39" s="12" t="n">
        <x:f>IF(COUNTIF('03_NICE'!$A$5:$A$57,I39)+COUNTIF('04_TKS'!$A$5:$A$72,I39)=1,0,1)</x:f>
        <x:v>0</x:v>
      </x:c>
      <x:c r="P39" s="12" t="n">
        <x:f>IF(OR(AND(B39="F008",L39&lt;&gt;"IDENTIFICADA_NO_ADOPTABLE"),AND(B39="F028",L39&lt;&gt;"PREGUNTA_NO_NORMATIVA"),COUNTIFS('01_Fuentes'!$A$5:$A$40,B39,'01_Fuentes'!$H$5:$H$40,"METADATOS_SOLO")&gt;0),1,0)</x:f>
        <x:v>0</x:v>
      </x:c>
      <x:c r="Q39" s="12" t="n">
        <x:f>IF(OR(A39="",D39="",E39="",F39="",K39="",L39=""),1,0)</x:f>
        <x:v>0</x:v>
      </x:c>
    </x:row>
    <x:row r="40" ht="47" customHeight="1">
      <x:c r="A40" s="4" t="str">
        <x:v>CP-036</x:v>
      </x:c>
      <x:c r="B40" s="4" t="str">
        <x:v>F005</x:v>
      </x:c>
      <x:c r="C40" s="4" t="str">
        <x:v>A008</x:v>
      </x:c>
      <x:c r="D40" s="4" t="str">
        <x:v>§2.7; Profile, Mission y Deliverables</x:v>
      </x:c>
      <x:c r="E40" s="4" t="str">
        <x:v>Cybersecurity Educator</x:v>
      </x:c>
      <x:c r="F40" s="4" t="str">
        <x:v>Formación: programa y materiales de aprendizaje.</x:v>
      </x:c>
      <x:c r="G40" s="4" t="str">
        <x:v>Competencia</x:v>
      </x:c>
      <x:c r="H40" s="4" t="str">
        <x:v>E14</x:v>
      </x:c>
      <x:c r="I40" s="4" t="str">
        <x:v>OG-WRL-005</x:v>
      </x:c>
      <x:c r="J40" s="4" t="str">
        <x:v>OPC-22</x:v>
      </x:c>
      <x:c r="K40" s="4" t="str">
        <x:v>CONTRASTA_PRODUCTO; relación local no equivalencia de perfiles</x:v>
      </x:c>
      <x:c r="L40" s="4" t="str">
        <x:v>CANDIDATA_NO_ADOPTADA</x:v>
      </x:c>
      <x:c r="M40" s="12" t="n">
        <x:f>COUNTIF('05_Complementos'!$A$5:$A$127,A40)-1</x:f>
        <x:v>0</x:v>
      </x:c>
      <x:c r="N40" s="12" t="n">
        <x:f>IF(AND(COUNTIF('01_Fuentes'!$A$5:$A$40,B40)=1,COUNTIF('02_Custodia'!$A$5:$A$53,C40)=1,COUNTIF('07_Operaciones'!$A$5:$A$26,J40)=1,COUNTIF('06_Cobertura'!$A$5:$A$25,H40)=1),0,1)</x:f>
        <x:v>0</x:v>
      </x:c>
      <x:c r="O40" s="12" t="n">
        <x:f>IF(COUNTIF('03_NICE'!$A$5:$A$57,I40)+COUNTIF('04_TKS'!$A$5:$A$72,I40)=1,0,1)</x:f>
        <x:v>0</x:v>
      </x:c>
      <x:c r="P40" s="12" t="n">
        <x:f>IF(OR(AND(B40="F008",L40&lt;&gt;"IDENTIFICADA_NO_ADOPTABLE"),AND(B40="F028",L40&lt;&gt;"PREGUNTA_NO_NORMATIVA"),COUNTIFS('01_Fuentes'!$A$5:$A$40,B40,'01_Fuentes'!$H$5:$H$40,"METADATOS_SOLO")&gt;0),1,0)</x:f>
        <x:v>0</x:v>
      </x:c>
      <x:c r="Q40" s="12" t="n">
        <x:f>IF(OR(A40="",D40="",E40="",F40="",K40="",L40=""),1,0)</x:f>
        <x:v>0</x:v>
      </x:c>
    </x:row>
    <x:row r="41" ht="47" customHeight="1">
      <x:c r="A41" s="4" t="str">
        <x:v>CP-037</x:v>
      </x:c>
      <x:c r="B41" s="4" t="str">
        <x:v>F005</x:v>
      </x:c>
      <x:c r="C41" s="4" t="str">
        <x:v>A008</x:v>
      </x:c>
      <x:c r="D41" s="4" t="str">
        <x:v>§2.8; Profile, Mission y Deliverables</x:v>
      </x:c>
      <x:c r="E41" s="4" t="str">
        <x:v>Cybersecurity Implementer</x:v>
      </x:c>
      <x:c r="F41" s="4" t="str">
        <x:v>Implantación: soluciones de ciberseguridad documentadas.</x:v>
      </x:c>
      <x:c r="G41" s="4" t="str">
        <x:v>Competencia</x:v>
      </x:c>
      <x:c r="H41" s="4" t="str">
        <x:v>E05</x:v>
      </x:c>
      <x:c r="I41" s="4" t="str">
        <x:v>PD-WRL-004</x:v>
      </x:c>
      <x:c r="J41" s="4" t="str">
        <x:v>OPC-12</x:v>
      </x:c>
      <x:c r="K41" s="4" t="str">
        <x:v>CONTRASTA_PRODUCTO; relación local no equivalencia de perfiles</x:v>
      </x:c>
      <x:c r="L41" s="4" t="str">
        <x:v>CANDIDATA_NO_ADOPTADA</x:v>
      </x:c>
      <x:c r="M41" s="12" t="n">
        <x:f>COUNTIF('05_Complementos'!$A$5:$A$127,A41)-1</x:f>
        <x:v>0</x:v>
      </x:c>
      <x:c r="N41" s="12" t="n">
        <x:f>IF(AND(COUNTIF('01_Fuentes'!$A$5:$A$40,B41)=1,COUNTIF('02_Custodia'!$A$5:$A$53,C41)=1,COUNTIF('07_Operaciones'!$A$5:$A$26,J41)=1,COUNTIF('06_Cobertura'!$A$5:$A$25,H41)=1),0,1)</x:f>
        <x:v>0</x:v>
      </x:c>
      <x:c r="O41" s="12" t="n">
        <x:f>IF(COUNTIF('03_NICE'!$A$5:$A$57,I41)+COUNTIF('04_TKS'!$A$5:$A$72,I41)=1,0,1)</x:f>
        <x:v>0</x:v>
      </x:c>
      <x:c r="P41" s="12" t="n">
        <x:f>IF(OR(AND(B41="F008",L41&lt;&gt;"IDENTIFICADA_NO_ADOPTABLE"),AND(B41="F028",L41&lt;&gt;"PREGUNTA_NO_NORMATIVA"),COUNTIFS('01_Fuentes'!$A$5:$A$40,B41,'01_Fuentes'!$H$5:$H$40,"METADATOS_SOLO")&gt;0),1,0)</x:f>
        <x:v>0</x:v>
      </x:c>
      <x:c r="Q41" s="12" t="n">
        <x:f>IF(OR(A41="",D41="",E41="",F41="",K41="",L41=""),1,0)</x:f>
        <x:v>0</x:v>
      </x:c>
    </x:row>
    <x:row r="42" ht="47" customHeight="1">
      <x:c r="A42" s="4" t="str">
        <x:v>CP-038</x:v>
      </x:c>
      <x:c r="B42" s="4" t="str">
        <x:v>F005</x:v>
      </x:c>
      <x:c r="C42" s="4" t="str">
        <x:v>A008</x:v>
      </x:c>
      <x:c r="D42" s="4" t="str">
        <x:v>§2.9; Profile, Mission y Deliverables</x:v>
      </x:c>
      <x:c r="E42" s="4" t="str">
        <x:v>Cybersecurity Researcher</x:v>
      </x:c>
      <x:c r="F42" s="4" t="str">
        <x:v>Investigación: publicaciones y resultados contrastables.</x:v>
      </x:c>
      <x:c r="G42" s="4" t="str">
        <x:v>Competencia</x:v>
      </x:c>
      <x:c r="H42" s="4" t="str">
        <x:v>E17</x:v>
      </x:c>
      <x:c r="I42" s="4" t="str">
        <x:v>DD-WRL-008</x:v>
      </x:c>
      <x:c r="J42" s="4" t="str">
        <x:v>OPC-19</x:v>
      </x:c>
      <x:c r="K42" s="4" t="str">
        <x:v>CONTRASTA_PRODUCTO; relación local no equivalencia de perfiles</x:v>
      </x:c>
      <x:c r="L42" s="4" t="str">
        <x:v>CANDIDATA_NO_ADOPTADA</x:v>
      </x:c>
      <x:c r="M42" s="12" t="n">
        <x:f>COUNTIF('05_Complementos'!$A$5:$A$127,A42)-1</x:f>
        <x:v>0</x:v>
      </x:c>
      <x:c r="N42" s="12" t="n">
        <x:f>IF(AND(COUNTIF('01_Fuentes'!$A$5:$A$40,B42)=1,COUNTIF('02_Custodia'!$A$5:$A$53,C42)=1,COUNTIF('07_Operaciones'!$A$5:$A$26,J42)=1,COUNTIF('06_Cobertura'!$A$5:$A$25,H42)=1),0,1)</x:f>
        <x:v>0</x:v>
      </x:c>
      <x:c r="O42" s="12" t="n">
        <x:f>IF(COUNTIF('03_NICE'!$A$5:$A$57,I42)+COUNTIF('04_TKS'!$A$5:$A$72,I42)=1,0,1)</x:f>
        <x:v>0</x:v>
      </x:c>
      <x:c r="P42" s="12" t="n">
        <x:f>IF(OR(AND(B42="F008",L42&lt;&gt;"IDENTIFICADA_NO_ADOPTABLE"),AND(B42="F028",L42&lt;&gt;"PREGUNTA_NO_NORMATIVA"),COUNTIFS('01_Fuentes'!$A$5:$A$40,B42,'01_Fuentes'!$H$5:$H$40,"METADATOS_SOLO")&gt;0),1,0)</x:f>
        <x:v>0</x:v>
      </x:c>
      <x:c r="Q42" s="12" t="n">
        <x:f>IF(OR(A42="",D42="",E42="",F42="",K42="",L42=""),1,0)</x:f>
        <x:v>0</x:v>
      </x:c>
    </x:row>
    <x:row r="43" ht="47" customHeight="1">
      <x:c r="A43" s="4" t="str">
        <x:v>CP-039</x:v>
      </x:c>
      <x:c r="B43" s="4" t="str">
        <x:v>F005</x:v>
      </x:c>
      <x:c r="C43" s="4" t="str">
        <x:v>A008</x:v>
      </x:c>
      <x:c r="D43" s="4" t="str">
        <x:v>§2.10; Profile, Mission y Deliverables</x:v>
      </x:c>
      <x:c r="E43" s="4" t="str">
        <x:v>Cybersecurity Risk Manager</x:v>
      </x:c>
      <x:c r="F43" s="4" t="str">
        <x:v>Riesgo: evaluación y tratamiento documentados.</x:v>
      </x:c>
      <x:c r="G43" s="4" t="str">
        <x:v>Competencia</x:v>
      </x:c>
      <x:c r="H43" s="4" t="str">
        <x:v>E01</x:v>
      </x:c>
      <x:c r="I43" s="4" t="str">
        <x:v>T1586</x:v>
      </x:c>
      <x:c r="J43" s="4" t="str">
        <x:v>OPC-01</x:v>
      </x:c>
      <x:c r="K43" s="4" t="str">
        <x:v>CONTRASTA_PRODUCTO; relación local no equivalencia de perfiles</x:v>
      </x:c>
      <x:c r="L43" s="4" t="str">
        <x:v>CANDIDATA_NO_ADOPTADA</x:v>
      </x:c>
      <x:c r="M43" s="12" t="n">
        <x:f>COUNTIF('05_Complementos'!$A$5:$A$127,A43)-1</x:f>
        <x:v>0</x:v>
      </x:c>
      <x:c r="N43" s="12" t="n">
        <x:f>IF(AND(COUNTIF('01_Fuentes'!$A$5:$A$40,B43)=1,COUNTIF('02_Custodia'!$A$5:$A$53,C43)=1,COUNTIF('07_Operaciones'!$A$5:$A$26,J43)=1,COUNTIF('06_Cobertura'!$A$5:$A$25,H43)=1),0,1)</x:f>
        <x:v>0</x:v>
      </x:c>
      <x:c r="O43" s="12" t="n">
        <x:f>IF(COUNTIF('03_NICE'!$A$5:$A$57,I43)+COUNTIF('04_TKS'!$A$5:$A$72,I43)=1,0,1)</x:f>
        <x:v>0</x:v>
      </x:c>
      <x:c r="P43" s="12" t="n">
        <x:f>IF(OR(AND(B43="F008",L43&lt;&gt;"IDENTIFICADA_NO_ADOPTABLE"),AND(B43="F028",L43&lt;&gt;"PREGUNTA_NO_NORMATIVA"),COUNTIFS('01_Fuentes'!$A$5:$A$40,B43,'01_Fuentes'!$H$5:$H$40,"METADATOS_SOLO")&gt;0),1,0)</x:f>
        <x:v>0</x:v>
      </x:c>
      <x:c r="Q43" s="12" t="n">
        <x:f>IF(OR(A43="",D43="",E43="",F43="",K43="",L43=""),1,0)</x:f>
        <x:v>0</x:v>
      </x:c>
    </x:row>
    <x:row r="44" ht="47" customHeight="1">
      <x:c r="A44" s="4" t="str">
        <x:v>CP-040</x:v>
      </x:c>
      <x:c r="B44" s="4" t="str">
        <x:v>F005</x:v>
      </x:c>
      <x:c r="C44" s="4" t="str">
        <x:v>A008</x:v>
      </x:c>
      <x:c r="D44" s="4" t="str">
        <x:v>§2.11; Profile, Mission y Deliverables</x:v>
      </x:c>
      <x:c r="E44" s="4" t="str">
        <x:v>Digital Forensics Investigator</x:v>
      </x:c>
      <x:c r="F44" s="4" t="str">
        <x:v>Forense: resultados de análisis y evidencia.</x:v>
      </x:c>
      <x:c r="G44" s="4" t="str">
        <x:v>Competencia</x:v>
      </x:c>
      <x:c r="H44" s="4" t="str">
        <x:v>E10</x:v>
      </x:c>
      <x:c r="I44" s="4" t="str">
        <x:v>IN-WRL-002</x:v>
      </x:c>
      <x:c r="J44" s="4" t="str">
        <x:v>OPC-10</x:v>
      </x:c>
      <x:c r="K44" s="4" t="str">
        <x:v>CONTRASTA_PRODUCTO; relación local no equivalencia de perfiles</x:v>
      </x:c>
      <x:c r="L44" s="4" t="str">
        <x:v>CANDIDATA_NO_ADOPTADA</x:v>
      </x:c>
      <x:c r="M44" s="12" t="n">
        <x:f>COUNTIF('05_Complementos'!$A$5:$A$127,A44)-1</x:f>
        <x:v>0</x:v>
      </x:c>
      <x:c r="N44" s="12" t="n">
        <x:f>IF(AND(COUNTIF('01_Fuentes'!$A$5:$A$40,B44)=1,COUNTIF('02_Custodia'!$A$5:$A$53,C44)=1,COUNTIF('07_Operaciones'!$A$5:$A$26,J44)=1,COUNTIF('06_Cobertura'!$A$5:$A$25,H44)=1),0,1)</x:f>
        <x:v>0</x:v>
      </x:c>
      <x:c r="O44" s="12" t="n">
        <x:f>IF(COUNTIF('03_NICE'!$A$5:$A$57,I44)+COUNTIF('04_TKS'!$A$5:$A$72,I44)=1,0,1)</x:f>
        <x:v>0</x:v>
      </x:c>
      <x:c r="P44" s="12" t="n">
        <x:f>IF(OR(AND(B44="F008",L44&lt;&gt;"IDENTIFICADA_NO_ADOPTABLE"),AND(B44="F028",L44&lt;&gt;"PREGUNTA_NO_NORMATIVA"),COUNTIFS('01_Fuentes'!$A$5:$A$40,B44,'01_Fuentes'!$H$5:$H$40,"METADATOS_SOLO")&gt;0),1,0)</x:f>
        <x:v>0</x:v>
      </x:c>
      <x:c r="Q44" s="12" t="n">
        <x:f>IF(OR(A44="",D44="",E44="",F44="",K44="",L44=""),1,0)</x:f>
        <x:v>0</x:v>
      </x:c>
    </x:row>
    <x:row r="45" ht="47" customHeight="1">
      <x:c r="A45" s="4" t="str">
        <x:v>CP-041</x:v>
      </x:c>
      <x:c r="B45" s="4" t="str">
        <x:v>F005</x:v>
      </x:c>
      <x:c r="C45" s="4" t="str">
        <x:v>A008</x:v>
      </x:c>
      <x:c r="D45" s="4" t="str">
        <x:v>§2.12; Profile, Mission y Deliverables</x:v>
      </x:c>
      <x:c r="E45" s="4" t="str">
        <x:v>Penetration Tester</x:v>
      </x:c>
      <x:c r="F45" s="4" t="str">
        <x:v>Evaluación autorizada: informe de vulnerabilidades y prueba de penetración.</x:v>
      </x:c>
      <x:c r="G45" s="4" t="str">
        <x:v>Competencia</x:v>
      </x:c>
      <x:c r="H45" s="4" t="str">
        <x:v>E08</x:v>
      </x:c>
      <x:c r="I45" s="4" t="str">
        <x:v>PD-WRL-007</x:v>
      </x:c>
      <x:c r="J45" s="4" t="str">
        <x:v>OPC-04</x:v>
      </x:c>
      <x:c r="K45" s="4" t="str">
        <x:v>CONTRASTA_PRODUCTO; relación local no equivalencia de perfiles</x:v>
      </x:c>
      <x:c r="L45" s="4" t="str">
        <x:v>CANDIDATA_NO_ADOPTADA</x:v>
      </x:c>
      <x:c r="M45" s="12" t="n">
        <x:f>COUNTIF('05_Complementos'!$A$5:$A$127,A45)-1</x:f>
        <x:v>0</x:v>
      </x:c>
      <x:c r="N45" s="12" t="n">
        <x:f>IF(AND(COUNTIF('01_Fuentes'!$A$5:$A$40,B45)=1,COUNTIF('02_Custodia'!$A$5:$A$53,C45)=1,COUNTIF('07_Operaciones'!$A$5:$A$26,J45)=1,COUNTIF('06_Cobertura'!$A$5:$A$25,H45)=1),0,1)</x:f>
        <x:v>0</x:v>
      </x:c>
      <x:c r="O45" s="12" t="n">
        <x:f>IF(COUNTIF('03_NICE'!$A$5:$A$57,I45)+COUNTIF('04_TKS'!$A$5:$A$72,I45)=1,0,1)</x:f>
        <x:v>0</x:v>
      </x:c>
      <x:c r="P45" s="12" t="n">
        <x:f>IF(OR(AND(B45="F008",L45&lt;&gt;"IDENTIFICADA_NO_ADOPTABLE"),AND(B45="F028",L45&lt;&gt;"PREGUNTA_NO_NORMATIVA"),COUNTIFS('01_Fuentes'!$A$5:$A$40,B45,'01_Fuentes'!$H$5:$H$40,"METADATOS_SOLO")&gt;0),1,0)</x:f>
        <x:v>0</x:v>
      </x:c>
      <x:c r="Q45" s="12" t="n">
        <x:f>IF(OR(A45="",D45="",E45="",F45="",K45="",L45=""),1,0)</x:f>
        <x:v>0</x:v>
      </x:c>
    </x:row>
    <x:row r="46" ht="47" customHeight="1">
      <x:c r="A46" s="4" t="str">
        <x:v>CP-042</x:v>
      </x:c>
      <x:c r="B46" s="4" t="str">
        <x:v>F006</x:v>
      </x:c>
      <x:c r="C46" s="4" t="str">
        <x:v>F006</x:v>
      </x:c>
      <x:c r="D46" s="4" t="str">
        <x:v>Specific competencies, 2</x:v>
      </x:c>
      <x:c r="E46" s="4" t="str">
        <x:v>identify and select</x:v>
      </x:c>
      <x:c r="F46" s="4" t="str">
        <x:v>Seleccionar herramientas de detección y análisis según naturaleza y contexto del incidente.</x:v>
      </x:c>
      <x:c r="G46" s="4" t="str">
        <x:v>Competencia</x:v>
      </x:c>
      <x:c r="H46" s="4" t="str">
        <x:v>E09</x:v>
      </x:c>
      <x:c r="I46" s="4" t="str">
        <x:v>PD-WRL-001</x:v>
      </x:c>
      <x:c r="J46" s="4" t="str">
        <x:v>OPC-07</x:v>
      </x:c>
      <x:c r="K46" s="4" t="str">
        <x:v>CONTRASTE_UNIVERSITARIO; selección de competencias del programa completo</x:v>
      </x:c>
      <x:c r="L46" s="4" t="str">
        <x:v>CANDIDATA_NO_ADOPTADA</x:v>
      </x:c>
      <x:c r="M46" s="12" t="n">
        <x:f>COUNTIF('05_Complementos'!$A$5:$A$127,A46)-1</x:f>
        <x:v>0</x:v>
      </x:c>
      <x:c r="N46" s="12" t="n">
        <x:f>IF(AND(COUNTIF('01_Fuentes'!$A$5:$A$40,B46)=1,COUNTIF('02_Custodia'!$A$5:$A$53,C46)=1,COUNTIF('07_Operaciones'!$A$5:$A$26,J46)=1,COUNTIF('06_Cobertura'!$A$5:$A$25,H46)=1),0,1)</x:f>
        <x:v>0</x:v>
      </x:c>
      <x:c r="O46" s="12" t="n">
        <x:f>IF(COUNTIF('03_NICE'!$A$5:$A$57,I46)+COUNTIF('04_TKS'!$A$5:$A$72,I46)=1,0,1)</x:f>
        <x:v>0</x:v>
      </x:c>
      <x:c r="P46" s="12" t="n">
        <x:f>IF(OR(AND(B46="F008",L46&lt;&gt;"IDENTIFICADA_NO_ADOPTABLE"),AND(B46="F028",L46&lt;&gt;"PREGUNTA_NO_NORMATIVA"),COUNTIFS('01_Fuentes'!$A$5:$A$40,B46,'01_Fuentes'!$H$5:$H$40,"METADATOS_SOLO")&gt;0),1,0)</x:f>
        <x:v>0</x:v>
      </x:c>
      <x:c r="Q46" s="12" t="n">
        <x:f>IF(OR(A46="",D46="",E46="",F46="",K46="",L46=""),1,0)</x:f>
        <x:v>0</x:v>
      </x:c>
    </x:row>
    <x:row r="47" ht="47" customHeight="1">
      <x:c r="A47" s="4" t="str">
        <x:v>CP-043</x:v>
      </x:c>
      <x:c r="B47" s="4" t="str">
        <x:v>F006</x:v>
      </x:c>
      <x:c r="C47" s="4" t="str">
        <x:v>F006</x:v>
      </x:c>
      <x:c r="D47" s="4" t="str">
        <x:v>Specific competencies, 4</x:v>
      </x:c>
      <x:c r="E47" s="4" t="str">
        <x:v>cryptographic key</x:v>
      </x:c>
      <x:c r="F47" s="4" t="str">
        <x:v>Analizar robustez de protocolos criptográficos y gestión de claves.</x:v>
      </x:c>
      <x:c r="G47" s="4" t="str">
        <x:v>Competencia</x:v>
      </x:c>
      <x:c r="H47" s="4" t="str">
        <x:v>E04</x:v>
      </x:c>
      <x:c r="I47" s="4" t="str">
        <x:v>NF-COM-006</x:v>
      </x:c>
      <x:c r="J47" s="4" t="str">
        <x:v>OPC-13</x:v>
      </x:c>
      <x:c r="K47" s="4" t="str">
        <x:v>CONTRASTE_UNIVERSITARIO; selección de competencias del programa completo</x:v>
      </x:c>
      <x:c r="L47" s="4" t="str">
        <x:v>CANDIDATA_NO_ADOPTADA</x:v>
      </x:c>
      <x:c r="M47" s="12" t="n">
        <x:f>COUNTIF('05_Complementos'!$A$5:$A$127,A47)-1</x:f>
        <x:v>0</x:v>
      </x:c>
      <x:c r="N47" s="12" t="n">
        <x:f>IF(AND(COUNTIF('01_Fuentes'!$A$5:$A$40,B47)=1,COUNTIF('02_Custodia'!$A$5:$A$53,C47)=1,COUNTIF('07_Operaciones'!$A$5:$A$26,J47)=1,COUNTIF('06_Cobertura'!$A$5:$A$25,H47)=1),0,1)</x:f>
        <x:v>0</x:v>
      </x:c>
      <x:c r="O47" s="12" t="n">
        <x:f>IF(COUNTIF('03_NICE'!$A$5:$A$57,I47)+COUNTIF('04_TKS'!$A$5:$A$72,I47)=1,0,1)</x:f>
        <x:v>0</x:v>
      </x:c>
      <x:c r="P47" s="12" t="n">
        <x:f>IF(OR(AND(B47="F008",L47&lt;&gt;"IDENTIFICADA_NO_ADOPTABLE"),AND(B47="F028",L47&lt;&gt;"PREGUNTA_NO_NORMATIVA"),COUNTIFS('01_Fuentes'!$A$5:$A$40,B47,'01_Fuentes'!$H$5:$H$40,"METADATOS_SOLO")&gt;0),1,0)</x:f>
        <x:v>0</x:v>
      </x:c>
      <x:c r="Q47" s="12" t="n">
        <x:f>IF(OR(A47="",D47="",E47="",F47="",K47="",L47=""),1,0)</x:f>
        <x:v>0</x:v>
      </x:c>
    </x:row>
    <x:row r="48" ht="47" customHeight="1">
      <x:c r="A48" s="4" t="str">
        <x:v>CP-044</x:v>
      </x:c>
      <x:c r="B48" s="4" t="str">
        <x:v>F006</x:v>
      </x:c>
      <x:c r="C48" s="4" t="str">
        <x:v>F006</x:v>
      </x:c>
      <x:c r="D48" s="4" t="str">
        <x:v>Specific competencies, 5</x:v>
      </x:c>
      <x:c r="E48" s="4" t="str">
        <x:v>authentication, authorisation</x:v>
      </x:c>
      <x:c r="F48" s="4" t="str">
        <x:v>Diseñar y operar protocolos de autenticación, autorización y auditoría.</x:v>
      </x:c>
      <x:c r="G48" s="4" t="str">
        <x:v>Competencia</x:v>
      </x:c>
      <x:c r="H48" s="4" t="str">
        <x:v>E03</x:v>
      </x:c>
      <x:c r="I48" s="4" t="str">
        <x:v>NF-COM-001</x:v>
      </x:c>
      <x:c r="J48" s="4" t="str">
        <x:v>OPC-03</x:v>
      </x:c>
      <x:c r="K48" s="4" t="str">
        <x:v>CONTRASTE_UNIVERSITARIO; selección de competencias del programa completo</x:v>
      </x:c>
      <x:c r="L48" s="4" t="str">
        <x:v>CANDIDATA_NO_ADOPTADA</x:v>
      </x:c>
      <x:c r="M48" s="12" t="n">
        <x:f>COUNTIF('05_Complementos'!$A$5:$A$127,A48)-1</x:f>
        <x:v>0</x:v>
      </x:c>
      <x:c r="N48" s="12" t="n">
        <x:f>IF(AND(COUNTIF('01_Fuentes'!$A$5:$A$40,B48)=1,COUNTIF('02_Custodia'!$A$5:$A$53,C48)=1,COUNTIF('07_Operaciones'!$A$5:$A$26,J48)=1,COUNTIF('06_Cobertura'!$A$5:$A$25,H48)=1),0,1)</x:f>
        <x:v>0</x:v>
      </x:c>
      <x:c r="O48" s="12" t="n">
        <x:f>IF(COUNTIF('03_NICE'!$A$5:$A$57,I48)+COUNTIF('04_TKS'!$A$5:$A$72,I48)=1,0,1)</x:f>
        <x:v>0</x:v>
      </x:c>
      <x:c r="P48" s="12" t="n">
        <x:f>IF(OR(AND(B48="F008",L48&lt;&gt;"IDENTIFICADA_NO_ADOPTABLE"),AND(B48="F028",L48&lt;&gt;"PREGUNTA_NO_NORMATIVA"),COUNTIFS('01_Fuentes'!$A$5:$A$40,B48,'01_Fuentes'!$H$5:$H$40,"METADATOS_SOLO")&gt;0),1,0)</x:f>
        <x:v>0</x:v>
      </x:c>
      <x:c r="Q48" s="12" t="n">
        <x:f>IF(OR(A48="",D48="",E48="",F48="",K48="",L48=""),1,0)</x:f>
        <x:v>0</x:v>
      </x:c>
    </x:row>
    <x:row r="49" ht="47" customHeight="1">
      <x:c r="A49" s="4" t="str">
        <x:v>CP-045</x:v>
      </x:c>
      <x:c r="B49" s="4" t="str">
        <x:v>F006</x:v>
      </x:c>
      <x:c r="C49" s="4" t="str">
        <x:v>F006</x:v>
      </x:c>
      <x:c r="D49" s="4" t="str">
        <x:v>Specific competencies, 6</x:v>
      </x:c>
      <x:c r="E49" s="4" t="str">
        <x:v>monitoring and analysis</x:v>
      </x:c>
      <x:c r="F49" s="4" t="str">
        <x:v>Aplicar análisis de tráfico para detectar ataques e investigar incidentes.</x:v>
      </x:c>
      <x:c r="G49" s="4" t="str">
        <x:v>Competencia</x:v>
      </x:c>
      <x:c r="H49" s="4" t="str">
        <x:v>E09</x:v>
      </x:c>
      <x:c r="I49" s="4" t="str">
        <x:v>PD-WRL-003</x:v>
      </x:c>
      <x:c r="J49" s="4" t="str">
        <x:v>OPC-09</x:v>
      </x:c>
      <x:c r="K49" s="4" t="str">
        <x:v>CONTRASTE_UNIVERSITARIO; selección de competencias del programa completo</x:v>
      </x:c>
      <x:c r="L49" s="4" t="str">
        <x:v>CANDIDATA_NO_ADOPTADA</x:v>
      </x:c>
      <x:c r="M49" s="12" t="n">
        <x:f>COUNTIF('05_Complementos'!$A$5:$A$127,A49)-1</x:f>
        <x:v>0</x:v>
      </x:c>
      <x:c r="N49" s="12" t="n">
        <x:f>IF(AND(COUNTIF('01_Fuentes'!$A$5:$A$40,B49)=1,COUNTIF('02_Custodia'!$A$5:$A$53,C49)=1,COUNTIF('07_Operaciones'!$A$5:$A$26,J49)=1,COUNTIF('06_Cobertura'!$A$5:$A$25,H49)=1),0,1)</x:f>
        <x:v>0</x:v>
      </x:c>
      <x:c r="O49" s="12" t="n">
        <x:f>IF(COUNTIF('03_NICE'!$A$5:$A$57,I49)+COUNTIF('04_TKS'!$A$5:$A$72,I49)=1,0,1)</x:f>
        <x:v>0</x:v>
      </x:c>
      <x:c r="P49" s="12" t="n">
        <x:f>IF(OR(AND(B49="F008",L49&lt;&gt;"IDENTIFICADA_NO_ADOPTABLE"),AND(B49="F028",L49&lt;&gt;"PREGUNTA_NO_NORMATIVA"),COUNTIFS('01_Fuentes'!$A$5:$A$40,B49,'01_Fuentes'!$H$5:$H$40,"METADATOS_SOLO")&gt;0),1,0)</x:f>
        <x:v>0</x:v>
      </x:c>
      <x:c r="Q49" s="12" t="n">
        <x:f>IF(OR(A49="",D49="",E49="",F49="",K49="",L49=""),1,0)</x:f>
        <x:v>0</x:v>
      </x:c>
    </x:row>
    <x:row r="50" ht="47" customHeight="1">
      <x:c r="A50" s="4" t="str">
        <x:v>CP-046</x:v>
      </x:c>
      <x:c r="B50" s="4" t="str">
        <x:v>F007</x:v>
      </x:c>
      <x:c r="C50" s="4" t="str">
        <x:v>A009</x:v>
      </x:c>
      <x:c r="D50" s="4" t="str">
        <x:v>Core classes, 95-743; Student Handbook 2026-2027</x:v>
      </x:c>
      <x:c r="E50" s="4" t="str">
        <x:v>Cybersecurity Policy and Governance</x:v>
      </x:c>
      <x:c r="F50" s="4" t="str">
        <x:v>Estudiar política y gobierno de ciberseguridad en el plan anual; se conserva el cambio de título frente a la página web.</x:v>
      </x:c>
      <x:c r="G50" s="4" t="str">
        <x:v>Conocimiento</x:v>
      </x:c>
      <x:c r="H50" s="4" t="str">
        <x:v>E01</x:v>
      </x:c>
      <x:c r="I50" s="4" t="str">
        <x:v>OG-WRL-002</x:v>
      </x:c>
      <x:c r="J50" s="4" t="str">
        <x:v>OPC-01</x:v>
      </x:c>
      <x:c r="K50" s="4" t="str">
        <x:v>CONTRASTE_FORMATIVO; asignatura no acredita desempeño</x:v>
      </x:c>
      <x:c r="L50" s="4" t="str">
        <x:v>CANDIDATA_NO_ADOPTADA</x:v>
      </x:c>
      <x:c r="M50" s="12" t="n">
        <x:f>COUNTIF('05_Complementos'!$A$5:$A$127,A50)-1</x:f>
        <x:v>0</x:v>
      </x:c>
      <x:c r="N50" s="12" t="n">
        <x:f>IF(AND(COUNTIF('01_Fuentes'!$A$5:$A$40,B50)=1,COUNTIF('02_Custodia'!$A$5:$A$53,C50)=1,COUNTIF('07_Operaciones'!$A$5:$A$26,J50)=1,COUNTIF('06_Cobertura'!$A$5:$A$25,H50)=1),0,1)</x:f>
        <x:v>0</x:v>
      </x:c>
      <x:c r="O50" s="12" t="n">
        <x:f>IF(COUNTIF('03_NICE'!$A$5:$A$57,I50)+COUNTIF('04_TKS'!$A$5:$A$72,I50)=1,0,1)</x:f>
        <x:v>0</x:v>
      </x:c>
      <x:c r="P50" s="12" t="n">
        <x:f>IF(OR(AND(B50="F008",L50&lt;&gt;"IDENTIFICADA_NO_ADOPTABLE"),AND(B50="F028",L50&lt;&gt;"PREGUNTA_NO_NORMATIVA"),COUNTIFS('01_Fuentes'!$A$5:$A$40,B50,'01_Fuentes'!$H$5:$H$40,"METADATOS_SOLO")&gt;0),1,0)</x:f>
        <x:v>0</x:v>
      </x:c>
      <x:c r="Q50" s="12" t="n">
        <x:f>IF(OR(A50="",D50="",E50="",F50="",K50="",L50=""),1,0)</x:f>
        <x:v>0</x:v>
      </x:c>
    </x:row>
    <x:row r="51" ht="47" customHeight="1">
      <x:c r="A51" s="4" t="str">
        <x:v>CP-047</x:v>
      </x:c>
      <x:c r="B51" s="4" t="str">
        <x:v>F007</x:v>
      </x:c>
      <x:c r="C51" s="4" t="str">
        <x:v>A009</x:v>
      </x:c>
      <x:c r="D51" s="4" t="str">
        <x:v>Core classes, 95-755; Student Handbook 2026-2027</x:v>
      </x:c>
      <x:c r="E51" s="4" t="str">
        <x:v>Information Security Risk</x:v>
      </x:c>
      <x:c r="F51" s="4" t="str">
        <x:v>Estudiar evaluación y gestión de riesgo de seguridad.</x:v>
      </x:c>
      <x:c r="G51" s="4" t="str">
        <x:v>Conocimiento</x:v>
      </x:c>
      <x:c r="H51" s="4" t="str">
        <x:v>E01</x:v>
      </x:c>
      <x:c r="I51" s="4" t="str">
        <x:v>T1586</x:v>
      </x:c>
      <x:c r="J51" s="4" t="str">
        <x:v>OPC-01</x:v>
      </x:c>
      <x:c r="K51" s="4" t="str">
        <x:v>CONTRASTE_FORMATIVO; asignatura no acredita desempeño</x:v>
      </x:c>
      <x:c r="L51" s="4" t="str">
        <x:v>CANDIDATA_NO_ADOPTADA</x:v>
      </x:c>
      <x:c r="M51" s="12" t="n">
        <x:f>COUNTIF('05_Complementos'!$A$5:$A$127,A51)-1</x:f>
        <x:v>0</x:v>
      </x:c>
      <x:c r="N51" s="12" t="n">
        <x:f>IF(AND(COUNTIF('01_Fuentes'!$A$5:$A$40,B51)=1,COUNTIF('02_Custodia'!$A$5:$A$53,C51)=1,COUNTIF('07_Operaciones'!$A$5:$A$26,J51)=1,COUNTIF('06_Cobertura'!$A$5:$A$25,H51)=1),0,1)</x:f>
        <x:v>0</x:v>
      </x:c>
      <x:c r="O51" s="12" t="n">
        <x:f>IF(COUNTIF('03_NICE'!$A$5:$A$57,I51)+COUNTIF('04_TKS'!$A$5:$A$72,I51)=1,0,1)</x:f>
        <x:v>0</x:v>
      </x:c>
      <x:c r="P51" s="12" t="n">
        <x:f>IF(OR(AND(B51="F008",L51&lt;&gt;"IDENTIFICADA_NO_ADOPTABLE"),AND(B51="F028",L51&lt;&gt;"PREGUNTA_NO_NORMATIVA"),COUNTIFS('01_Fuentes'!$A$5:$A$40,B51,'01_Fuentes'!$H$5:$H$40,"METADATOS_SOLO")&gt;0),1,0)</x:f>
        <x:v>0</x:v>
      </x:c>
      <x:c r="Q51" s="12" t="n">
        <x:f>IF(OR(A51="",D51="",E51="",F51="",K51="",L51=""),1,0)</x:f>
        <x:v>0</x:v>
      </x:c>
    </x:row>
    <x:row r="52" ht="47" customHeight="1">
      <x:c r="A52" s="4" t="str">
        <x:v>CP-048</x:v>
      </x:c>
      <x:c r="B52" s="4" t="str">
        <x:v>F007</x:v>
      </x:c>
      <x:c r="C52" s="4" t="str">
        <x:v>A009</x:v>
      </x:c>
      <x:c r="D52" s="4" t="str">
        <x:v>Core classes, 95-760; Student Handbook 2026-2027</x:v>
      </x:c>
      <x:c r="E52" s="4" t="str">
        <x:v>Decision Making Under Uncertainty</x:v>
      </x:c>
      <x:c r="F52" s="4" t="str">
        <x:v>Estudiar decisiones bajo incertidumbre; su método externo no modifica el alfabeto SV.</x:v>
      </x:c>
      <x:c r="G52" s="4" t="str">
        <x:v>Conocimiento</x:v>
      </x:c>
      <x:c r="H52" s="4" t="str">
        <x:v>E19</x:v>
      </x:c>
      <x:c r="I52" s="4" t="str">
        <x:v>K1343</x:v>
      </x:c>
      <x:c r="J52" s="4" t="str">
        <x:v>OPC-15</x:v>
      </x:c>
      <x:c r="K52" s="4" t="str">
        <x:v>CONTRASTE_FORMATIVO; asignatura no acredita desempeño</x:v>
      </x:c>
      <x:c r="L52" s="4" t="str">
        <x:v>CANDIDATA_NO_ADOPTADA</x:v>
      </x:c>
      <x:c r="M52" s="12" t="n">
        <x:f>COUNTIF('05_Complementos'!$A$5:$A$127,A52)-1</x:f>
        <x:v>0</x:v>
      </x:c>
      <x:c r="N52" s="12" t="n">
        <x:f>IF(AND(COUNTIF('01_Fuentes'!$A$5:$A$40,B52)=1,COUNTIF('02_Custodia'!$A$5:$A$53,C52)=1,COUNTIF('07_Operaciones'!$A$5:$A$26,J52)=1,COUNTIF('06_Cobertura'!$A$5:$A$25,H52)=1),0,1)</x:f>
        <x:v>0</x:v>
      </x:c>
      <x:c r="O52" s="12" t="n">
        <x:f>IF(COUNTIF('03_NICE'!$A$5:$A$57,I52)+COUNTIF('04_TKS'!$A$5:$A$72,I52)=1,0,1)</x:f>
        <x:v>0</x:v>
      </x:c>
      <x:c r="P52" s="12" t="n">
        <x:f>IF(OR(AND(B52="F008",L52&lt;&gt;"IDENTIFICADA_NO_ADOPTABLE"),AND(B52="F028",L52&lt;&gt;"PREGUNTA_NO_NORMATIVA"),COUNTIFS('01_Fuentes'!$A$5:$A$40,B52,'01_Fuentes'!$H$5:$H$40,"METADATOS_SOLO")&gt;0),1,0)</x:f>
        <x:v>0</x:v>
      </x:c>
      <x:c r="Q52" s="12" t="n">
        <x:f>IF(OR(A52="",D52="",E52="",F52="",K52="",L52=""),1,0)</x:f>
        <x:v>0</x:v>
      </x:c>
    </x:row>
    <x:row r="53" ht="47" customHeight="1">
      <x:c r="A53" s="4" t="str">
        <x:v>CP-049</x:v>
      </x:c>
      <x:c r="B53" s="4" t="str">
        <x:v>F007</x:v>
      </x:c>
      <x:c r="C53" s="4" t="str">
        <x:v>A009</x:v>
      </x:c>
      <x:c r="D53" s="4" t="str">
        <x:v>Recommended Electives; 95-767; Student Handbook 2026-2027</x:v>
      </x:c>
      <x:c r="E53" s="4" t="str">
        <x:v>Cybersecurity for AI</x:v>
      </x:c>
      <x:c r="F53" s="4" t="str">
        <x:v>Examinar seguridad de IA como formación especializada optativa.</x:v>
      </x:c>
      <x:c r="G53" s="4" t="str">
        <x:v>Conocimiento</x:v>
      </x:c>
      <x:c r="H53" s="4" t="str">
        <x:v>E18</x:v>
      </x:c>
      <x:c r="I53" s="4" t="str">
        <x:v>NF-COM-002</x:v>
      </x:c>
      <x:c r="J53" s="4" t="str">
        <x:v>OPC-15</x:v>
      </x:c>
      <x:c r="K53" s="4" t="str">
        <x:v>CONTRASTE_FORMATIVO; asignatura no acredita desempeño</x:v>
      </x:c>
      <x:c r="L53" s="4" t="str">
        <x:v>CANDIDATA_NO_ADOPTADA</x:v>
      </x:c>
      <x:c r="M53" s="12" t="n">
        <x:f>COUNTIF('05_Complementos'!$A$5:$A$127,A53)-1</x:f>
        <x:v>0</x:v>
      </x:c>
      <x:c r="N53" s="12" t="n">
        <x:f>IF(AND(COUNTIF('01_Fuentes'!$A$5:$A$40,B53)=1,COUNTIF('02_Custodia'!$A$5:$A$53,C53)=1,COUNTIF('07_Operaciones'!$A$5:$A$26,J53)=1,COUNTIF('06_Cobertura'!$A$5:$A$25,H53)=1),0,1)</x:f>
        <x:v>0</x:v>
      </x:c>
      <x:c r="O53" s="12" t="n">
        <x:f>IF(COUNTIF('03_NICE'!$A$5:$A$57,I53)+COUNTIF('04_TKS'!$A$5:$A$72,I53)=1,0,1)</x:f>
        <x:v>0</x:v>
      </x:c>
      <x:c r="P53" s="12" t="n">
        <x:f>IF(OR(AND(B53="F008",L53&lt;&gt;"IDENTIFICADA_NO_ADOPTABLE"),AND(B53="F028",L53&lt;&gt;"PREGUNTA_NO_NORMATIVA"),COUNTIFS('01_Fuentes'!$A$5:$A$40,B53,'01_Fuentes'!$H$5:$H$40,"METADATOS_SOLO")&gt;0),1,0)</x:f>
        <x:v>0</x:v>
      </x:c>
      <x:c r="Q53" s="12" t="n">
        <x:f>IF(OR(A53="",D53="",E53="",F53="",K53="",L53=""),1,0)</x:f>
        <x:v>0</x:v>
      </x:c>
    </x:row>
    <x:row r="54" ht="47" customHeight="1">
      <x:c r="A54" s="4" t="str">
        <x:v>CP-050</x:v>
      </x:c>
      <x:c r="B54" s="4" t="str">
        <x:v>F008</x:v>
      </x:c>
      <x:c r="C54" s="4" t="str">
        <x:v>F008</x:v>
      </x:c>
      <x:c r="D54" s="4" t="str">
        <x:v>Inicio; perfiles de egreso</x:v>
      </x:c>
      <x:c r="E54" s="4" t="str">
        <x:v>Ingeniero de Sistemas Seguros</x:v>
      </x:c>
      <x:c r="F54" s="4" t="str">
        <x:v>Perfil de diseño de sistemas seguros identificado; extracción anual pendiente.</x:v>
      </x:c>
      <x:c r="G54" s="4" t="str">
        <x:v>Competencia</x:v>
      </x:c>
      <x:c r="H54" s="4" t="str">
        <x:v>E02</x:v>
      </x:c>
      <x:c r="I54" s="4" t="str">
        <x:v>DD-WRL-004</x:v>
      </x:c>
      <x:c r="J54" s="4" t="str">
        <x:v>OPC-02</x:v>
      </x:c>
      <x:c r="K54" s="4" t="str">
        <x:v>IDENTIFICACION_PARCIAL_NO_ADOPTADA</x:v>
      </x:c>
      <x:c r="L54" s="4" t="str">
        <x:v>IDENTIFICADA_NO_ADOPTABLE</x:v>
      </x:c>
      <x:c r="M54" s="12" t="n">
        <x:f>COUNTIF('05_Complementos'!$A$5:$A$127,A54)-1</x:f>
        <x:v>0</x:v>
      </x:c>
      <x:c r="N54" s="12" t="n">
        <x:f>IF(AND(COUNTIF('01_Fuentes'!$A$5:$A$40,B54)=1,COUNTIF('02_Custodia'!$A$5:$A$53,C54)=1,COUNTIF('07_Operaciones'!$A$5:$A$26,J54)=1,COUNTIF('06_Cobertura'!$A$5:$A$25,H54)=1),0,1)</x:f>
        <x:v>0</x:v>
      </x:c>
      <x:c r="O54" s="12" t="n">
        <x:f>IF(COUNTIF('03_NICE'!$A$5:$A$57,I54)+COUNTIF('04_TKS'!$A$5:$A$72,I54)=1,0,1)</x:f>
        <x:v>0</x:v>
      </x:c>
      <x:c r="P54" s="12" t="n">
        <x:f>IF(OR(AND(B54="F008",L54&lt;&gt;"IDENTIFICADA_NO_ADOPTABLE"),AND(B54="F028",L54&lt;&gt;"PREGUNTA_NO_NORMATIVA"),COUNTIFS('01_Fuentes'!$A$5:$A$40,B54,'01_Fuentes'!$H$5:$H$40,"METADATOS_SOLO")&gt;0),1,0)</x:f>
        <x:v>0</x:v>
      </x:c>
      <x:c r="Q54" s="12" t="n">
        <x:f>IF(OR(A54="",D54="",E54="",F54="",K54="",L54=""),1,0)</x:f>
        <x:v>0</x:v>
      </x:c>
    </x:row>
    <x:row r="55" ht="47" customHeight="1">
      <x:c r="A55" s="4" t="str">
        <x:v>CP-051</x:v>
      </x:c>
      <x:c r="B55" s="4" t="str">
        <x:v>F008</x:v>
      </x:c>
      <x:c r="C55" s="4" t="str">
        <x:v>F008</x:v>
      </x:c>
      <x:c r="D55" s="4" t="str">
        <x:v>Inicio; perfiles de egreso</x:v>
      </x:c>
      <x:c r="E55" s="4" t="str">
        <x:v>Analista de Ciberseguridad</x:v>
      </x:c>
      <x:c r="F55" s="4" t="str">
        <x:v>Perfil de análisis de ataques y debilidades identificado; extracción anual pendiente.</x:v>
      </x:c>
      <x:c r="G55" s="4" t="str">
        <x:v>Competencia</x:v>
      </x:c>
      <x:c r="H55" s="4" t="str">
        <x:v>E09</x:v>
      </x:c>
      <x:c r="I55" s="4" t="str">
        <x:v>PD-WRL-001</x:v>
      </x:c>
      <x:c r="J55" s="4" t="str">
        <x:v>OPC-07</x:v>
      </x:c>
      <x:c r="K55" s="4" t="str">
        <x:v>IDENTIFICACION_PARCIAL_NO_ADOPTADA</x:v>
      </x:c>
      <x:c r="L55" s="4" t="str">
        <x:v>IDENTIFICADA_NO_ADOPTABLE</x:v>
      </x:c>
      <x:c r="M55" s="12" t="n">
        <x:f>COUNTIF('05_Complementos'!$A$5:$A$127,A55)-1</x:f>
        <x:v>0</x:v>
      </x:c>
      <x:c r="N55" s="12" t="n">
        <x:f>IF(AND(COUNTIF('01_Fuentes'!$A$5:$A$40,B55)=1,COUNTIF('02_Custodia'!$A$5:$A$53,C55)=1,COUNTIF('07_Operaciones'!$A$5:$A$26,J55)=1,COUNTIF('06_Cobertura'!$A$5:$A$25,H55)=1),0,1)</x:f>
        <x:v>0</x:v>
      </x:c>
      <x:c r="O55" s="12" t="n">
        <x:f>IF(COUNTIF('03_NICE'!$A$5:$A$57,I55)+COUNTIF('04_TKS'!$A$5:$A$72,I55)=1,0,1)</x:f>
        <x:v>0</x:v>
      </x:c>
      <x:c r="P55" s="12" t="n">
        <x:f>IF(OR(AND(B55="F008",L55&lt;&gt;"IDENTIFICADA_NO_ADOPTABLE"),AND(B55="F028",L55&lt;&gt;"PREGUNTA_NO_NORMATIVA"),COUNTIFS('01_Fuentes'!$A$5:$A$40,B55,'01_Fuentes'!$H$5:$H$40,"METADATOS_SOLO")&gt;0),1,0)</x:f>
        <x:v>0</x:v>
      </x:c>
      <x:c r="Q55" s="12" t="n">
        <x:f>IF(OR(A55="",D55="",E55="",F55="",K55="",L55=""),1,0)</x:f>
        <x:v>0</x:v>
      </x:c>
    </x:row>
    <x:row r="56" ht="47" customHeight="1">
      <x:c r="A56" s="4" t="str">
        <x:v>CP-052</x:v>
      </x:c>
      <x:c r="B56" s="4" t="str">
        <x:v>F009</x:v>
      </x:c>
      <x:c r="C56" s="4" t="str">
        <x:v>F009</x:v>
      </x:c>
      <x:c r="D56" s="4" t="str">
        <x:v>Dominio 1</x:v>
      </x:c>
      <x:c r="E56" s="4" t="str">
        <x:v>Risk Management</x:v>
      </x:c>
      <x:c r="F56" s="4" t="str">
        <x:v>Gestión de seguridad y riesgo.</x:v>
      </x:c>
      <x:c r="G56" s="4" t="str">
        <x:v>Conocimiento</x:v>
      </x:c>
      <x:c r="H56" s="4" t="str">
        <x:v>E01</x:v>
      </x:c>
      <x:c r="I56" s="4" t="str">
        <x:v>OG-WRL-002</x:v>
      </x:c>
      <x:c r="J56" s="4" t="str">
        <x:v>OPC-01</x:v>
      </x:c>
      <x:c r="K56" s="4" t="str">
        <x:v>CORROBORA_TEMARIO; fragmento breve del rótulo</x:v>
      </x:c>
      <x:c r="L56" s="4" t="str">
        <x:v>CANDIDATA_NO_ADOPTADA</x:v>
      </x:c>
      <x:c r="M56" s="12" t="n">
        <x:f>COUNTIF('05_Complementos'!$A$5:$A$127,A56)-1</x:f>
        <x:v>0</x:v>
      </x:c>
      <x:c r="N56" s="12" t="n">
        <x:f>IF(AND(COUNTIF('01_Fuentes'!$A$5:$A$40,B56)=1,COUNTIF('02_Custodia'!$A$5:$A$53,C56)=1,COUNTIF('07_Operaciones'!$A$5:$A$26,J56)=1,COUNTIF('06_Cobertura'!$A$5:$A$25,H56)=1),0,1)</x:f>
        <x:v>0</x:v>
      </x:c>
      <x:c r="O56" s="12" t="n">
        <x:f>IF(COUNTIF('03_NICE'!$A$5:$A$57,I56)+COUNTIF('04_TKS'!$A$5:$A$72,I56)=1,0,1)</x:f>
        <x:v>0</x:v>
      </x:c>
      <x:c r="P56" s="12" t="n">
        <x:f>IF(OR(AND(B56="F008",L56&lt;&gt;"IDENTIFICADA_NO_ADOPTABLE"),AND(B56="F028",L56&lt;&gt;"PREGUNTA_NO_NORMATIVA"),COUNTIFS('01_Fuentes'!$A$5:$A$40,B56,'01_Fuentes'!$H$5:$H$40,"METADATOS_SOLO")&gt;0),1,0)</x:f>
        <x:v>0</x:v>
      </x:c>
      <x:c r="Q56" s="12" t="n">
        <x:f>IF(OR(A56="",D56="",E56="",F56="",K56="",L56=""),1,0)</x:f>
        <x:v>0</x:v>
      </x:c>
    </x:row>
    <x:row r="57" ht="47" customHeight="1">
      <x:c r="A57" s="4" t="str">
        <x:v>CP-053</x:v>
      </x:c>
      <x:c r="B57" s="4" t="str">
        <x:v>F009</x:v>
      </x:c>
      <x:c r="C57" s="4" t="str">
        <x:v>F009</x:v>
      </x:c>
      <x:c r="D57" s="4" t="str">
        <x:v>Dominio 2</x:v>
      </x:c>
      <x:c r="E57" s="4" t="str">
        <x:v>Asset</x:v>
      </x:c>
      <x:c r="F57" s="4" t="str">
        <x:v>Protección de activos.</x:v>
      </x:c>
      <x:c r="G57" s="4" t="str">
        <x:v>Conocimiento</x:v>
      </x:c>
      <x:c r="H57" s="4" t="str">
        <x:v>E02</x:v>
      </x:c>
      <x:c r="I57" s="4" t="str">
        <x:v>NF-COM-003</x:v>
      </x:c>
      <x:c r="J57" s="4" t="str">
        <x:v>OPC-12</x:v>
      </x:c>
      <x:c r="K57" s="4" t="str">
        <x:v>CORROBORA_TEMARIO; fragmento breve del rótulo</x:v>
      </x:c>
      <x:c r="L57" s="4" t="str">
        <x:v>CANDIDATA_NO_ADOPTADA</x:v>
      </x:c>
      <x:c r="M57" s="12" t="n">
        <x:f>COUNTIF('05_Complementos'!$A$5:$A$127,A57)-1</x:f>
        <x:v>0</x:v>
      </x:c>
      <x:c r="N57" s="12" t="n">
        <x:f>IF(AND(COUNTIF('01_Fuentes'!$A$5:$A$40,B57)=1,COUNTIF('02_Custodia'!$A$5:$A$53,C57)=1,COUNTIF('07_Operaciones'!$A$5:$A$26,J57)=1,COUNTIF('06_Cobertura'!$A$5:$A$25,H57)=1),0,1)</x:f>
        <x:v>0</x:v>
      </x:c>
      <x:c r="O57" s="12" t="n">
        <x:f>IF(COUNTIF('03_NICE'!$A$5:$A$57,I57)+COUNTIF('04_TKS'!$A$5:$A$72,I57)=1,0,1)</x:f>
        <x:v>0</x:v>
      </x:c>
      <x:c r="P57" s="12" t="n">
        <x:f>IF(OR(AND(B57="F008",L57&lt;&gt;"IDENTIFICADA_NO_ADOPTABLE"),AND(B57="F028",L57&lt;&gt;"PREGUNTA_NO_NORMATIVA"),COUNTIFS('01_Fuentes'!$A$5:$A$40,B57,'01_Fuentes'!$H$5:$H$40,"METADATOS_SOLO")&gt;0),1,0)</x:f>
        <x:v>0</x:v>
      </x:c>
      <x:c r="Q57" s="12" t="n">
        <x:f>IF(OR(A57="",D57="",E57="",F57="",K57="",L57=""),1,0)</x:f>
        <x:v>0</x:v>
      </x:c>
    </x:row>
    <x:row r="58" ht="47" customHeight="1">
      <x:c r="A58" s="4" t="str">
        <x:v>CP-054</x:v>
      </x:c>
      <x:c r="B58" s="4" t="str">
        <x:v>F009</x:v>
      </x:c>
      <x:c r="C58" s="4" t="str">
        <x:v>F009</x:v>
      </x:c>
      <x:c r="D58" s="4" t="str">
        <x:v>Dominio 3</x:v>
      </x:c>
      <x:c r="E58" s="4" t="str">
        <x:v>Architecture and Engineering</x:v>
      </x:c>
      <x:c r="F58" s="4" t="str">
        <x:v>Arquitectura e ingeniería de seguridad.</x:v>
      </x:c>
      <x:c r="G58" s="4" t="str">
        <x:v>Conocimiento</x:v>
      </x:c>
      <x:c r="H58" s="4" t="str">
        <x:v>E02</x:v>
      </x:c>
      <x:c r="I58" s="4" t="str">
        <x:v>DD-WRL-001</x:v>
      </x:c>
      <x:c r="J58" s="4" t="str">
        <x:v>OPC-02</x:v>
      </x:c>
      <x:c r="K58" s="4" t="str">
        <x:v>CORROBORA_TEMARIO; fragmento breve del rótulo</x:v>
      </x:c>
      <x:c r="L58" s="4" t="str">
        <x:v>CANDIDATA_NO_ADOPTADA</x:v>
      </x:c>
      <x:c r="M58" s="12" t="n">
        <x:f>COUNTIF('05_Complementos'!$A$5:$A$127,A58)-1</x:f>
        <x:v>0</x:v>
      </x:c>
      <x:c r="N58" s="12" t="n">
        <x:f>IF(AND(COUNTIF('01_Fuentes'!$A$5:$A$40,B58)=1,COUNTIF('02_Custodia'!$A$5:$A$53,C58)=1,COUNTIF('07_Operaciones'!$A$5:$A$26,J58)=1,COUNTIF('06_Cobertura'!$A$5:$A$25,H58)=1),0,1)</x:f>
        <x:v>0</x:v>
      </x:c>
      <x:c r="O58" s="12" t="n">
        <x:f>IF(COUNTIF('03_NICE'!$A$5:$A$57,I58)+COUNTIF('04_TKS'!$A$5:$A$72,I58)=1,0,1)</x:f>
        <x:v>0</x:v>
      </x:c>
      <x:c r="P58" s="12" t="n">
        <x:f>IF(OR(AND(B58="F008",L58&lt;&gt;"IDENTIFICADA_NO_ADOPTABLE"),AND(B58="F028",L58&lt;&gt;"PREGUNTA_NO_NORMATIVA"),COUNTIFS('01_Fuentes'!$A$5:$A$40,B58,'01_Fuentes'!$H$5:$H$40,"METADATOS_SOLO")&gt;0),1,0)</x:f>
        <x:v>0</x:v>
      </x:c>
      <x:c r="Q58" s="12" t="n">
        <x:f>IF(OR(A58="",D58="",E58="",F58="",K58="",L58=""),1,0)</x:f>
        <x:v>0</x:v>
      </x:c>
    </x:row>
    <x:row r="59" ht="47" customHeight="1">
      <x:c r="A59" s="4" t="str">
        <x:v>CP-055</x:v>
      </x:c>
      <x:c r="B59" s="4" t="str">
        <x:v>F009</x:v>
      </x:c>
      <x:c r="C59" s="4" t="str">
        <x:v>F009</x:v>
      </x:c>
      <x:c r="D59" s="4" t="str">
        <x:v>Dominio 4</x:v>
      </x:c>
      <x:c r="E59" s="4" t="str">
        <x:v>Communication and Network</x:v>
      </x:c>
      <x:c r="F59" s="4" t="str">
        <x:v>Comunicaciones y redes seguras.</x:v>
      </x:c>
      <x:c r="G59" s="4" t="str">
        <x:v>Conocimiento</x:v>
      </x:c>
      <x:c r="H59" s="4" t="str">
        <x:v>E05</x:v>
      </x:c>
      <x:c r="I59" s="4" t="str">
        <x:v>IO-WRL-004</x:v>
      </x:c>
      <x:c r="J59" s="4" t="str">
        <x:v>OPC-12</x:v>
      </x:c>
      <x:c r="K59" s="4" t="str">
        <x:v>CORROBORA_TEMARIO; fragmento breve del rótulo</x:v>
      </x:c>
      <x:c r="L59" s="4" t="str">
        <x:v>CANDIDATA_NO_ADOPTADA</x:v>
      </x:c>
      <x:c r="M59" s="12" t="n">
        <x:f>COUNTIF('05_Complementos'!$A$5:$A$127,A59)-1</x:f>
        <x:v>0</x:v>
      </x:c>
      <x:c r="N59" s="12" t="n">
        <x:f>IF(AND(COUNTIF('01_Fuentes'!$A$5:$A$40,B59)=1,COUNTIF('02_Custodia'!$A$5:$A$53,C59)=1,COUNTIF('07_Operaciones'!$A$5:$A$26,J59)=1,COUNTIF('06_Cobertura'!$A$5:$A$25,H59)=1),0,1)</x:f>
        <x:v>0</x:v>
      </x:c>
      <x:c r="O59" s="12" t="n">
        <x:f>IF(COUNTIF('03_NICE'!$A$5:$A$57,I59)+COUNTIF('04_TKS'!$A$5:$A$72,I59)=1,0,1)</x:f>
        <x:v>0</x:v>
      </x:c>
      <x:c r="P59" s="12" t="n">
        <x:f>IF(OR(AND(B59="F008",L59&lt;&gt;"IDENTIFICADA_NO_ADOPTABLE"),AND(B59="F028",L59&lt;&gt;"PREGUNTA_NO_NORMATIVA"),COUNTIFS('01_Fuentes'!$A$5:$A$40,B59,'01_Fuentes'!$H$5:$H$40,"METADATOS_SOLO")&gt;0),1,0)</x:f>
        <x:v>0</x:v>
      </x:c>
      <x:c r="Q59" s="12" t="n">
        <x:f>IF(OR(A59="",D59="",E59="",F59="",K59="",L59=""),1,0)</x:f>
        <x:v>0</x:v>
      </x:c>
    </x:row>
    <x:row r="60" ht="47" customHeight="1">
      <x:c r="A60" s="4" t="str">
        <x:v>CP-056</x:v>
      </x:c>
      <x:c r="B60" s="4" t="str">
        <x:v>F009</x:v>
      </x:c>
      <x:c r="C60" s="4" t="str">
        <x:v>F009</x:v>
      </x:c>
      <x:c r="D60" s="4" t="str">
        <x:v>Dominio 5</x:v>
      </x:c>
      <x:c r="E60" s="4" t="str">
        <x:v>Identity and Access</x:v>
      </x:c>
      <x:c r="F60" s="4" t="str">
        <x:v>Identidad y control de acceso.</x:v>
      </x:c>
      <x:c r="G60" s="4" t="str">
        <x:v>Conocimiento</x:v>
      </x:c>
      <x:c r="H60" s="4" t="str">
        <x:v>E03</x:v>
      </x:c>
      <x:c r="I60" s="4" t="str">
        <x:v>NF-COM-001</x:v>
      </x:c>
      <x:c r="J60" s="4" t="str">
        <x:v>OPC-03</x:v>
      </x:c>
      <x:c r="K60" s="4" t="str">
        <x:v>CORROBORA_TEMARIO; fragmento breve del rótulo</x:v>
      </x:c>
      <x:c r="L60" s="4" t="str">
        <x:v>CANDIDATA_NO_ADOPTADA</x:v>
      </x:c>
      <x:c r="M60" s="12" t="n">
        <x:f>COUNTIF('05_Complementos'!$A$5:$A$127,A60)-1</x:f>
        <x:v>0</x:v>
      </x:c>
      <x:c r="N60" s="12" t="n">
        <x:f>IF(AND(COUNTIF('01_Fuentes'!$A$5:$A$40,B60)=1,COUNTIF('02_Custodia'!$A$5:$A$53,C60)=1,COUNTIF('07_Operaciones'!$A$5:$A$26,J60)=1,COUNTIF('06_Cobertura'!$A$5:$A$25,H60)=1),0,1)</x:f>
        <x:v>0</x:v>
      </x:c>
      <x:c r="O60" s="12" t="n">
        <x:f>IF(COUNTIF('03_NICE'!$A$5:$A$57,I60)+COUNTIF('04_TKS'!$A$5:$A$72,I60)=1,0,1)</x:f>
        <x:v>0</x:v>
      </x:c>
      <x:c r="P60" s="12" t="n">
        <x:f>IF(OR(AND(B60="F008",L60&lt;&gt;"IDENTIFICADA_NO_ADOPTABLE"),AND(B60="F028",L60&lt;&gt;"PREGUNTA_NO_NORMATIVA"),COUNTIFS('01_Fuentes'!$A$5:$A$40,B60,'01_Fuentes'!$H$5:$H$40,"METADATOS_SOLO")&gt;0),1,0)</x:f>
        <x:v>0</x:v>
      </x:c>
      <x:c r="Q60" s="12" t="n">
        <x:f>IF(OR(A60="",D60="",E60="",F60="",K60="",L60=""),1,0)</x:f>
        <x:v>0</x:v>
      </x:c>
    </x:row>
    <x:row r="61" ht="47" customHeight="1">
      <x:c r="A61" s="4" t="str">
        <x:v>CP-057</x:v>
      </x:c>
      <x:c r="B61" s="4" t="str">
        <x:v>F009</x:v>
      </x:c>
      <x:c r="C61" s="4" t="str">
        <x:v>F009</x:v>
      </x:c>
      <x:c r="D61" s="4" t="str">
        <x:v>Dominio 6</x:v>
      </x:c>
      <x:c r="E61" s="4" t="str">
        <x:v>Assessment and Testing</x:v>
      </x:c>
      <x:c r="F61" s="4" t="str">
        <x:v>Evaluación y pruebas de seguridad.</x:v>
      </x:c>
      <x:c r="G61" s="4" t="str">
        <x:v>Conocimiento</x:v>
      </x:c>
      <x:c r="H61" s="4" t="str">
        <x:v>E08</x:v>
      </x:c>
      <x:c r="I61" s="4" t="str">
        <x:v>DD-WRL-007</x:v>
      </x:c>
      <x:c r="J61" s="4" t="str">
        <x:v>OPC-04</x:v>
      </x:c>
      <x:c r="K61" s="4" t="str">
        <x:v>CORROBORA_TEMARIO; fragmento breve del rótulo</x:v>
      </x:c>
      <x:c r="L61" s="4" t="str">
        <x:v>CANDIDATA_NO_ADOPTADA</x:v>
      </x:c>
      <x:c r="M61" s="12" t="n">
        <x:f>COUNTIF('05_Complementos'!$A$5:$A$127,A61)-1</x:f>
        <x:v>0</x:v>
      </x:c>
      <x:c r="N61" s="12" t="n">
        <x:f>IF(AND(COUNTIF('01_Fuentes'!$A$5:$A$40,B61)=1,COUNTIF('02_Custodia'!$A$5:$A$53,C61)=1,COUNTIF('07_Operaciones'!$A$5:$A$26,J61)=1,COUNTIF('06_Cobertura'!$A$5:$A$25,H61)=1),0,1)</x:f>
        <x:v>0</x:v>
      </x:c>
      <x:c r="O61" s="12" t="n">
        <x:f>IF(COUNTIF('03_NICE'!$A$5:$A$57,I61)+COUNTIF('04_TKS'!$A$5:$A$72,I61)=1,0,1)</x:f>
        <x:v>0</x:v>
      </x:c>
      <x:c r="P61" s="12" t="n">
        <x:f>IF(OR(AND(B61="F008",L61&lt;&gt;"IDENTIFICADA_NO_ADOPTABLE"),AND(B61="F028",L61&lt;&gt;"PREGUNTA_NO_NORMATIVA"),COUNTIFS('01_Fuentes'!$A$5:$A$40,B61,'01_Fuentes'!$H$5:$H$40,"METADATOS_SOLO")&gt;0),1,0)</x:f>
        <x:v>0</x:v>
      </x:c>
      <x:c r="Q61" s="12" t="n">
        <x:f>IF(OR(A61="",D61="",E61="",F61="",K61="",L61=""),1,0)</x:f>
        <x:v>0</x:v>
      </x:c>
    </x:row>
    <x:row r="62" ht="47" customHeight="1">
      <x:c r="A62" s="4" t="str">
        <x:v>CP-058</x:v>
      </x:c>
      <x:c r="B62" s="4" t="str">
        <x:v>F009</x:v>
      </x:c>
      <x:c r="C62" s="4" t="str">
        <x:v>F009</x:v>
      </x:c>
      <x:c r="D62" s="4" t="str">
        <x:v>Dominio 7</x:v>
      </x:c>
      <x:c r="E62" s="4" t="str">
        <x:v>Operations</x:v>
      </x:c>
      <x:c r="F62" s="4" t="str">
        <x:v>Operaciones de seguridad.</x:v>
      </x:c>
      <x:c r="G62" s="4" t="str">
        <x:v>Conocimiento</x:v>
      </x:c>
      <x:c r="H62" s="4" t="str">
        <x:v>E11</x:v>
      </x:c>
      <x:c r="I62" s="4" t="str">
        <x:v>PD-WRL-003</x:v>
      </x:c>
      <x:c r="J62" s="4" t="str">
        <x:v>OPC-09</x:v>
      </x:c>
      <x:c r="K62" s="4" t="str">
        <x:v>CORROBORA_TEMARIO; fragmento breve del rótulo</x:v>
      </x:c>
      <x:c r="L62" s="4" t="str">
        <x:v>CANDIDATA_NO_ADOPTADA</x:v>
      </x:c>
      <x:c r="M62" s="12" t="n">
        <x:f>COUNTIF('05_Complementos'!$A$5:$A$127,A62)-1</x:f>
        <x:v>0</x:v>
      </x:c>
      <x:c r="N62" s="12" t="n">
        <x:f>IF(AND(COUNTIF('01_Fuentes'!$A$5:$A$40,B62)=1,COUNTIF('02_Custodia'!$A$5:$A$53,C62)=1,COUNTIF('07_Operaciones'!$A$5:$A$26,J62)=1,COUNTIF('06_Cobertura'!$A$5:$A$25,H62)=1),0,1)</x:f>
        <x:v>0</x:v>
      </x:c>
      <x:c r="O62" s="12" t="n">
        <x:f>IF(COUNTIF('03_NICE'!$A$5:$A$57,I62)+COUNTIF('04_TKS'!$A$5:$A$72,I62)=1,0,1)</x:f>
        <x:v>0</x:v>
      </x:c>
      <x:c r="P62" s="12" t="n">
        <x:f>IF(OR(AND(B62="F008",L62&lt;&gt;"IDENTIFICADA_NO_ADOPTABLE"),AND(B62="F028",L62&lt;&gt;"PREGUNTA_NO_NORMATIVA"),COUNTIFS('01_Fuentes'!$A$5:$A$40,B62,'01_Fuentes'!$H$5:$H$40,"METADATOS_SOLO")&gt;0),1,0)</x:f>
        <x:v>0</x:v>
      </x:c>
      <x:c r="Q62" s="12" t="n">
        <x:f>IF(OR(A62="",D62="",E62="",F62="",K62="",L62=""),1,0)</x:f>
        <x:v>0</x:v>
      </x:c>
    </x:row>
    <x:row r="63" ht="47" customHeight="1">
      <x:c r="A63" s="4" t="str">
        <x:v>CP-059</x:v>
      </x:c>
      <x:c r="B63" s="4" t="str">
        <x:v>F009</x:v>
      </x:c>
      <x:c r="C63" s="4" t="str">
        <x:v>F009</x:v>
      </x:c>
      <x:c r="D63" s="4" t="str">
        <x:v>Dominio 8</x:v>
      </x:c>
      <x:c r="E63" s="4" t="str">
        <x:v>Software Development</x:v>
      </x:c>
      <x:c r="F63" s="4" t="str">
        <x:v>Seguridad del desarrollo.</x:v>
      </x:c>
      <x:c r="G63" s="4" t="str">
        <x:v>Conocimiento</x:v>
      </x:c>
      <x:c r="H63" s="4" t="str">
        <x:v>E06</x:v>
      </x:c>
      <x:c r="I63" s="4" t="str">
        <x:v>DD-WRL-003</x:v>
      </x:c>
      <x:c r="J63" s="4" t="str">
        <x:v>OPC-05</x:v>
      </x:c>
      <x:c r="K63" s="4" t="str">
        <x:v>CORROBORA_TEMARIO; fragmento breve del rótulo</x:v>
      </x:c>
      <x:c r="L63" s="4" t="str">
        <x:v>CANDIDATA_NO_ADOPTADA</x:v>
      </x:c>
      <x:c r="M63" s="12" t="n">
        <x:f>COUNTIF('05_Complementos'!$A$5:$A$127,A63)-1</x:f>
        <x:v>0</x:v>
      </x:c>
      <x:c r="N63" s="12" t="n">
        <x:f>IF(AND(COUNTIF('01_Fuentes'!$A$5:$A$40,B63)=1,COUNTIF('02_Custodia'!$A$5:$A$53,C63)=1,COUNTIF('07_Operaciones'!$A$5:$A$26,J63)=1,COUNTIF('06_Cobertura'!$A$5:$A$25,H63)=1),0,1)</x:f>
        <x:v>0</x:v>
      </x:c>
      <x:c r="O63" s="12" t="n">
        <x:f>IF(COUNTIF('03_NICE'!$A$5:$A$57,I63)+COUNTIF('04_TKS'!$A$5:$A$72,I63)=1,0,1)</x:f>
        <x:v>0</x:v>
      </x:c>
      <x:c r="P63" s="12" t="n">
        <x:f>IF(OR(AND(B63="F008",L63&lt;&gt;"IDENTIFICADA_NO_ADOPTABLE"),AND(B63="F028",L63&lt;&gt;"PREGUNTA_NO_NORMATIVA"),COUNTIFS('01_Fuentes'!$A$5:$A$40,B63,'01_Fuentes'!$H$5:$H$40,"METADATOS_SOLO")&gt;0),1,0)</x:f>
        <x:v>0</x:v>
      </x:c>
      <x:c r="Q63" s="12" t="n">
        <x:f>IF(OR(A63="",D63="",E63="",F63="",K63="",L63=""),1,0)</x:f>
        <x:v>0</x:v>
      </x:c>
    </x:row>
    <x:row r="64" ht="47" customHeight="1">
      <x:c r="A64" s="4" t="str">
        <x:v>CP-060</x:v>
      </x:c>
      <x:c r="B64" s="4" t="str">
        <x:v>F010</x:v>
      </x:c>
      <x:c r="C64" s="4" t="str">
        <x:v>F010</x:v>
      </x:c>
      <x:c r="D64" s="4" t="str">
        <x:v>Domain 1</x:v>
      </x:c>
      <x:c r="E64" s="4" t="str">
        <x:v>Information Security Governance</x:v>
      </x:c>
      <x:c r="F64" s="4" t="str">
        <x:v>Gobernar estrategia y responsabilidades de seguridad.</x:v>
      </x:c>
      <x:c r="G64" s="4" t="str">
        <x:v>Competencia</x:v>
      </x:c>
      <x:c r="H64" s="4" t="str">
        <x:v>E01</x:v>
      </x:c>
      <x:c r="I64" s="4" t="str">
        <x:v>OG-WRL-007</x:v>
      </x:c>
      <x:c r="J64" s="4" t="str">
        <x:v>OPC-01</x:v>
      </x:c>
      <x:c r="K64" s="4" t="str">
        <x:v>CONTRASTE_DE_GESTION; no adopta temario futuro</x:v>
      </x:c>
      <x:c r="L64" s="4" t="str">
        <x:v>CANDIDATA_NO_ADOPTADA</x:v>
      </x:c>
      <x:c r="M64" s="12" t="n">
        <x:f>COUNTIF('05_Complementos'!$A$5:$A$127,A64)-1</x:f>
        <x:v>0</x:v>
      </x:c>
      <x:c r="N64" s="12" t="n">
        <x:f>IF(AND(COUNTIF('01_Fuentes'!$A$5:$A$40,B64)=1,COUNTIF('02_Custodia'!$A$5:$A$53,C64)=1,COUNTIF('07_Operaciones'!$A$5:$A$26,J64)=1,COUNTIF('06_Cobertura'!$A$5:$A$25,H64)=1),0,1)</x:f>
        <x:v>0</x:v>
      </x:c>
      <x:c r="O64" s="12" t="n">
        <x:f>IF(COUNTIF('03_NICE'!$A$5:$A$57,I64)+COUNTIF('04_TKS'!$A$5:$A$72,I64)=1,0,1)</x:f>
        <x:v>0</x:v>
      </x:c>
      <x:c r="P64" s="12" t="n">
        <x:f>IF(OR(AND(B64="F008",L64&lt;&gt;"IDENTIFICADA_NO_ADOPTABLE"),AND(B64="F028",L64&lt;&gt;"PREGUNTA_NO_NORMATIVA"),COUNTIFS('01_Fuentes'!$A$5:$A$40,B64,'01_Fuentes'!$H$5:$H$40,"METADATOS_SOLO")&gt;0),1,0)</x:f>
        <x:v>0</x:v>
      </x:c>
      <x:c r="Q64" s="12" t="n">
        <x:f>IF(OR(A64="",D64="",E64="",F64="",K64="",L64=""),1,0)</x:f>
        <x:v>0</x:v>
      </x:c>
    </x:row>
    <x:row r="65" ht="47" customHeight="1">
      <x:c r="A65" s="4" t="str">
        <x:v>CP-061</x:v>
      </x:c>
      <x:c r="B65" s="4" t="str">
        <x:v>F010</x:v>
      </x:c>
      <x:c r="C65" s="4" t="str">
        <x:v>F010</x:v>
      </x:c>
      <x:c r="D65" s="4" t="str">
        <x:v>Domain 2</x:v>
      </x:c>
      <x:c r="E65" s="4" t="str">
        <x:v>Information Security Risk Management</x:v>
      </x:c>
      <x:c r="F65" s="4" t="str">
        <x:v>Gestionar riesgo de seguridad de la información.</x:v>
      </x:c>
      <x:c r="G65" s="4" t="str">
        <x:v>Competencia</x:v>
      </x:c>
      <x:c r="H65" s="4" t="str">
        <x:v>E01</x:v>
      </x:c>
      <x:c r="I65" s="4" t="str">
        <x:v>T1586</x:v>
      </x:c>
      <x:c r="J65" s="4" t="str">
        <x:v>OPC-01</x:v>
      </x:c>
      <x:c r="K65" s="4" t="str">
        <x:v>CONTRASTE_DE_GESTION; no adopta temario futuro</x:v>
      </x:c>
      <x:c r="L65" s="4" t="str">
        <x:v>CANDIDATA_NO_ADOPTADA</x:v>
      </x:c>
      <x:c r="M65" s="12" t="n">
        <x:f>COUNTIF('05_Complementos'!$A$5:$A$127,A65)-1</x:f>
        <x:v>0</x:v>
      </x:c>
      <x:c r="N65" s="12" t="n">
        <x:f>IF(AND(COUNTIF('01_Fuentes'!$A$5:$A$40,B65)=1,COUNTIF('02_Custodia'!$A$5:$A$53,C65)=1,COUNTIF('07_Operaciones'!$A$5:$A$26,J65)=1,COUNTIF('06_Cobertura'!$A$5:$A$25,H65)=1),0,1)</x:f>
        <x:v>0</x:v>
      </x:c>
      <x:c r="O65" s="12" t="n">
        <x:f>IF(COUNTIF('03_NICE'!$A$5:$A$57,I65)+COUNTIF('04_TKS'!$A$5:$A$72,I65)=1,0,1)</x:f>
        <x:v>0</x:v>
      </x:c>
      <x:c r="P65" s="12" t="n">
        <x:f>IF(OR(AND(B65="F008",L65&lt;&gt;"IDENTIFICADA_NO_ADOPTABLE"),AND(B65="F028",L65&lt;&gt;"PREGUNTA_NO_NORMATIVA"),COUNTIFS('01_Fuentes'!$A$5:$A$40,B65,'01_Fuentes'!$H$5:$H$40,"METADATOS_SOLO")&gt;0),1,0)</x:f>
        <x:v>0</x:v>
      </x:c>
      <x:c r="Q65" s="12" t="n">
        <x:f>IF(OR(A65="",D65="",E65="",F65="",K65="",L65=""),1,0)</x:f>
        <x:v>0</x:v>
      </x:c>
    </x:row>
    <x:row r="66" ht="47" customHeight="1">
      <x:c r="A66" s="4" t="str">
        <x:v>CP-062</x:v>
      </x:c>
      <x:c r="B66" s="4" t="str">
        <x:v>F010</x:v>
      </x:c>
      <x:c r="C66" s="4" t="str">
        <x:v>F010</x:v>
      </x:c>
      <x:c r="D66" s="4" t="str">
        <x:v>Domain 3</x:v>
      </x:c>
      <x:c r="E66" s="4" t="str">
        <x:v>Information Security Program</x:v>
      </x:c>
      <x:c r="F66" s="4" t="str">
        <x:v>Desarrollar y gestionar el programa de seguridad.</x:v>
      </x:c>
      <x:c r="G66" s="4" t="str">
        <x:v>Competencia</x:v>
      </x:c>
      <x:c r="H66" s="4" t="str">
        <x:v>E01</x:v>
      </x:c>
      <x:c r="I66" s="4" t="str">
        <x:v>OG-WRL-014</x:v>
      </x:c>
      <x:c r="J66" s="4" t="str">
        <x:v>OPC-01</x:v>
      </x:c>
      <x:c r="K66" s="4" t="str">
        <x:v>CONTRASTE_DE_GESTION; no adopta temario futuro</x:v>
      </x:c>
      <x:c r="L66" s="4" t="str">
        <x:v>CANDIDATA_NO_ADOPTADA</x:v>
      </x:c>
      <x:c r="M66" s="12" t="n">
        <x:f>COUNTIF('05_Complementos'!$A$5:$A$127,A66)-1</x:f>
        <x:v>0</x:v>
      </x:c>
      <x:c r="N66" s="12" t="n">
        <x:f>IF(AND(COUNTIF('01_Fuentes'!$A$5:$A$40,B66)=1,COUNTIF('02_Custodia'!$A$5:$A$53,C66)=1,COUNTIF('07_Operaciones'!$A$5:$A$26,J66)=1,COUNTIF('06_Cobertura'!$A$5:$A$25,H66)=1),0,1)</x:f>
        <x:v>0</x:v>
      </x:c>
      <x:c r="O66" s="12" t="n">
        <x:f>IF(COUNTIF('03_NICE'!$A$5:$A$57,I66)+COUNTIF('04_TKS'!$A$5:$A$72,I66)=1,0,1)</x:f>
        <x:v>0</x:v>
      </x:c>
      <x:c r="P66" s="12" t="n">
        <x:f>IF(OR(AND(B66="F008",L66&lt;&gt;"IDENTIFICADA_NO_ADOPTABLE"),AND(B66="F028",L66&lt;&gt;"PREGUNTA_NO_NORMATIVA"),COUNTIFS('01_Fuentes'!$A$5:$A$40,B66,'01_Fuentes'!$H$5:$H$40,"METADATOS_SOLO")&gt;0),1,0)</x:f>
        <x:v>0</x:v>
      </x:c>
      <x:c r="Q66" s="12" t="n">
        <x:f>IF(OR(A66="",D66="",E66="",F66="",K66="",L66=""),1,0)</x:f>
        <x:v>0</x:v>
      </x:c>
    </x:row>
    <x:row r="67" ht="47" customHeight="1">
      <x:c r="A67" s="4" t="str">
        <x:v>CP-063</x:v>
      </x:c>
      <x:c r="B67" s="4" t="str">
        <x:v>F010</x:v>
      </x:c>
      <x:c r="C67" s="4" t="str">
        <x:v>F010</x:v>
      </x:c>
      <x:c r="D67" s="4" t="str">
        <x:v>Domain 4</x:v>
      </x:c>
      <x:c r="E67" s="4" t="str">
        <x:v>Incident Management</x:v>
      </x:c>
      <x:c r="F67" s="4" t="str">
        <x:v>Gestionar preparación y respuesta a incidentes.</x:v>
      </x:c>
      <x:c r="G67" s="4" t="str">
        <x:v>Competencia</x:v>
      </x:c>
      <x:c r="H67" s="4" t="str">
        <x:v>E11</x:v>
      </x:c>
      <x:c r="I67" s="4" t="str">
        <x:v>PD-WRL-003</x:v>
      </x:c>
      <x:c r="J67" s="4" t="str">
        <x:v>OPC-09</x:v>
      </x:c>
      <x:c r="K67" s="4" t="str">
        <x:v>CONTRASTE_DE_GESTION; no adopta temario futuro</x:v>
      </x:c>
      <x:c r="L67" s="4" t="str">
        <x:v>CANDIDATA_NO_ADOPTADA</x:v>
      </x:c>
      <x:c r="M67" s="12" t="n">
        <x:f>COUNTIF('05_Complementos'!$A$5:$A$127,A67)-1</x:f>
        <x:v>0</x:v>
      </x:c>
      <x:c r="N67" s="12" t="n">
        <x:f>IF(AND(COUNTIF('01_Fuentes'!$A$5:$A$40,B67)=1,COUNTIF('02_Custodia'!$A$5:$A$53,C67)=1,COUNTIF('07_Operaciones'!$A$5:$A$26,J67)=1,COUNTIF('06_Cobertura'!$A$5:$A$25,H67)=1),0,1)</x:f>
        <x:v>0</x:v>
      </x:c>
      <x:c r="O67" s="12" t="n">
        <x:f>IF(COUNTIF('03_NICE'!$A$5:$A$57,I67)+COUNTIF('04_TKS'!$A$5:$A$72,I67)=1,0,1)</x:f>
        <x:v>0</x:v>
      </x:c>
      <x:c r="P67" s="12" t="n">
        <x:f>IF(OR(AND(B67="F008",L67&lt;&gt;"IDENTIFICADA_NO_ADOPTABLE"),AND(B67="F028",L67&lt;&gt;"PREGUNTA_NO_NORMATIVA"),COUNTIFS('01_Fuentes'!$A$5:$A$40,B67,'01_Fuentes'!$H$5:$H$40,"METADATOS_SOLO")&gt;0),1,0)</x:f>
        <x:v>0</x:v>
      </x:c>
      <x:c r="Q67" s="12" t="n">
        <x:f>IF(OR(A67="",D67="",E67="",F67="",K67="",L67=""),1,0)</x:f>
        <x:v>0</x:v>
      </x:c>
    </x:row>
    <x:row r="68" ht="47" customHeight="1">
      <x:c r="A68" s="4" t="str">
        <x:v>CP-064</x:v>
      </x:c>
      <x:c r="B68" s="4" t="str">
        <x:v>F011</x:v>
      </x:c>
      <x:c r="C68" s="4" t="str">
        <x:v>F011</x:v>
      </x:c>
      <x:c r="D68" s="4" t="str">
        <x:v>Exam Certification Objectives &amp; Outcome Statements; Introduction to Memory Forensics</x:v>
      </x:c>
      <x:c r="E68" s="4" t="str">
        <x:v>Introduction to Memory Forensics</x:v>
      </x:c>
      <x:c r="F68" s="4" t="str">
        <x:v>Reconocer cuándo obtener datos volátiles y preservar su integridad.</x:v>
      </x:c>
      <x:c r="G68" s="4" t="str">
        <x:v>Habilidad</x:v>
      </x:c>
      <x:c r="H68" s="4" t="str">
        <x:v>E10</x:v>
      </x:c>
      <x:c r="I68" s="4" t="str">
        <x:v>T1510</x:v>
      </x:c>
      <x:c r="J68" s="4" t="str">
        <x:v>OPC-10</x:v>
      </x:c>
      <x:c r="K68" s="4" t="str">
        <x:v>REFINA_FORENSE; predominio Windows conservado</x:v>
      </x:c>
      <x:c r="L68" s="4" t="str">
        <x:v>CANDIDATA_NO_ADOPTADA</x:v>
      </x:c>
      <x:c r="M68" s="12" t="n">
        <x:f>COUNTIF('05_Complementos'!$A$5:$A$127,A68)-1</x:f>
        <x:v>0</x:v>
      </x:c>
      <x:c r="N68" s="12" t="n">
        <x:f>IF(AND(COUNTIF('01_Fuentes'!$A$5:$A$40,B68)=1,COUNTIF('02_Custodia'!$A$5:$A$53,C68)=1,COUNTIF('07_Operaciones'!$A$5:$A$26,J68)=1,COUNTIF('06_Cobertura'!$A$5:$A$25,H68)=1),0,1)</x:f>
        <x:v>0</x:v>
      </x:c>
      <x:c r="O68" s="12" t="n">
        <x:f>IF(COUNTIF('03_NICE'!$A$5:$A$57,I68)+COUNTIF('04_TKS'!$A$5:$A$72,I68)=1,0,1)</x:f>
        <x:v>0</x:v>
      </x:c>
      <x:c r="P68" s="12" t="n">
        <x:f>IF(OR(AND(B68="F008",L68&lt;&gt;"IDENTIFICADA_NO_ADOPTABLE"),AND(B68="F028",L68&lt;&gt;"PREGUNTA_NO_NORMATIVA"),COUNTIFS('01_Fuentes'!$A$5:$A$40,B68,'01_Fuentes'!$H$5:$H$40,"METADATOS_SOLO")&gt;0),1,0)</x:f>
        <x:v>0</x:v>
      </x:c>
      <x:c r="Q68" s="12" t="n">
        <x:f>IF(OR(A68="",D68="",E68="",F68="",K68="",L68=""),1,0)</x:f>
        <x:v>0</x:v>
      </x:c>
    </x:row>
    <x:row r="69" ht="47" customHeight="1">
      <x:c r="A69" s="4" t="str">
        <x:v>CP-065</x:v>
      </x:c>
      <x:c r="B69" s="4" t="str">
        <x:v>F011</x:v>
      </x:c>
      <x:c r="C69" s="4" t="str">
        <x:v>F011</x:v>
      </x:c>
      <x:c r="D69" s="4" t="str">
        <x:v>Exam Certification Objectives &amp; Outcome Statements; File System Timeline Artifact Analysis</x:v>
      </x:c>
      <x:c r="E69" s="4" t="str">
        <x:v>File System Timeline Artifact Analysis</x:v>
      </x:c>
      <x:c r="F69" s="4" t="str">
        <x:v>Analizar marcas temporales y sus modificaciones por actividad del sistema o usuario.</x:v>
      </x:c>
      <x:c r="G69" s="4" t="str">
        <x:v>Habilidad</x:v>
      </x:c>
      <x:c r="H69" s="4" t="str">
        <x:v>E10</x:v>
      </x:c>
      <x:c r="I69" s="4" t="str">
        <x:v>T0173</x:v>
      </x:c>
      <x:c r="J69" s="4" t="str">
        <x:v>OPC-10</x:v>
      </x:c>
      <x:c r="K69" s="4" t="str">
        <x:v>REFINA_FORENSE; predominio Windows conservado</x:v>
      </x:c>
      <x:c r="L69" s="4" t="str">
        <x:v>CANDIDATA_NO_ADOPTADA</x:v>
      </x:c>
      <x:c r="M69" s="12" t="n">
        <x:f>COUNTIF('05_Complementos'!$A$5:$A$127,A69)-1</x:f>
        <x:v>0</x:v>
      </x:c>
      <x:c r="N69" s="12" t="n">
        <x:f>IF(AND(COUNTIF('01_Fuentes'!$A$5:$A$40,B69)=1,COUNTIF('02_Custodia'!$A$5:$A$53,C69)=1,COUNTIF('07_Operaciones'!$A$5:$A$26,J69)=1,COUNTIF('06_Cobertura'!$A$5:$A$25,H69)=1),0,1)</x:f>
        <x:v>0</x:v>
      </x:c>
      <x:c r="O69" s="12" t="n">
        <x:f>IF(COUNTIF('03_NICE'!$A$5:$A$57,I69)+COUNTIF('04_TKS'!$A$5:$A$72,I69)=1,0,1)</x:f>
        <x:v>0</x:v>
      </x:c>
      <x:c r="P69" s="12" t="n">
        <x:f>IF(OR(AND(B69="F008",L69&lt;&gt;"IDENTIFICADA_NO_ADOPTABLE"),AND(B69="F028",L69&lt;&gt;"PREGUNTA_NO_NORMATIVA"),COUNTIFS('01_Fuentes'!$A$5:$A$40,B69,'01_Fuentes'!$H$5:$H$40,"METADATOS_SOLO")&gt;0),1,0)</x:f>
        <x:v>0</x:v>
      </x:c>
      <x:c r="Q69" s="12" t="n">
        <x:f>IF(OR(A69="",D69="",E69="",F69="",K69="",L69=""),1,0)</x:f>
        <x:v>0</x:v>
      </x:c>
    </x:row>
    <x:row r="70" ht="47" customHeight="1">
      <x:c r="A70" s="4" t="str">
        <x:v>CP-066</x:v>
      </x:c>
      <x:c r="B70" s="4" t="str">
        <x:v>F011</x:v>
      </x:c>
      <x:c r="C70" s="4" t="str">
        <x:v>F011</x:v>
      </x:c>
      <x:c r="D70" s="4" t="str">
        <x:v>Exam Certification Objectives &amp; Outcome Statements; Identification of Malicious System and User Activity</x:v>
      </x:c>
      <x:c r="E70" s="4" t="str">
        <x:v>Identification of Malicious System and User Activity</x:v>
      </x:c>
      <x:c r="F70" s="4" t="str">
        <x:v>Identificar actividad maliciosa y efectos antiforenses en artefactos de memoria y disco.</x:v>
      </x:c>
      <x:c r="G70" s="4" t="str">
        <x:v>Habilidad</x:v>
      </x:c>
      <x:c r="H70" s="4" t="str">
        <x:v>E10</x:v>
      </x:c>
      <x:c r="I70" s="4" t="str">
        <x:v>PD-WRL-002</x:v>
      </x:c>
      <x:c r="J70" s="4" t="str">
        <x:v>OPC-10</x:v>
      </x:c>
      <x:c r="K70" s="4" t="str">
        <x:v>REFINA_FORENSE; predominio Windows conservado</x:v>
      </x:c>
      <x:c r="L70" s="4" t="str">
        <x:v>CANDIDATA_NO_ADOPTADA</x:v>
      </x:c>
      <x:c r="M70" s="12" t="n">
        <x:f>COUNTIF('05_Complementos'!$A$5:$A$127,A70)-1</x:f>
        <x:v>0</x:v>
      </x:c>
      <x:c r="N70" s="12" t="n">
        <x:f>IF(AND(COUNTIF('01_Fuentes'!$A$5:$A$40,B70)=1,COUNTIF('02_Custodia'!$A$5:$A$53,C70)=1,COUNTIF('07_Operaciones'!$A$5:$A$26,J70)=1,COUNTIF('06_Cobertura'!$A$5:$A$25,H70)=1),0,1)</x:f>
        <x:v>0</x:v>
      </x:c>
      <x:c r="O70" s="12" t="n">
        <x:f>IF(COUNTIF('03_NICE'!$A$5:$A$57,I70)+COUNTIF('04_TKS'!$A$5:$A$72,I70)=1,0,1)</x:f>
        <x:v>0</x:v>
      </x:c>
      <x:c r="P70" s="12" t="n">
        <x:f>IF(OR(AND(B70="F008",L70&lt;&gt;"IDENTIFICADA_NO_ADOPTABLE"),AND(B70="F028",L70&lt;&gt;"PREGUNTA_NO_NORMATIVA"),COUNTIFS('01_Fuentes'!$A$5:$A$40,B70,'01_Fuentes'!$H$5:$H$40,"METADATOS_SOLO")&gt;0),1,0)</x:f>
        <x:v>0</x:v>
      </x:c>
      <x:c r="Q70" s="12" t="n">
        <x:f>IF(OR(A70="",D70="",E70="",F70="",K70="",L70=""),1,0)</x:f>
        <x:v>0</x:v>
      </x:c>
    </x:row>
    <x:row r="71" ht="47" customHeight="1">
      <x:c r="A71" s="4" t="str">
        <x:v>CP-067</x:v>
      </x:c>
      <x:c r="B71" s="4" t="str">
        <x:v>F012</x:v>
      </x:c>
      <x:c r="C71" s="4" t="str">
        <x:v>F012</x:v>
      </x:c>
      <x:c r="D71" s="4" t="str">
        <x:v>Syllabus; descripción y temas</x:v>
      </x:c>
      <x:c r="E71" s="4" t="str">
        <x:v>Penetration Testing with Kali Linux</x:v>
      </x:c>
      <x:c r="F71" s="4" t="str">
        <x:v>Evaluar vulnerabilidades de sistemas, redes, aplicaciones y nube básica mediante práctica autorizada.</x:v>
      </x:c>
      <x:c r="G71" s="4" t="str">
        <x:v>Competencia</x:v>
      </x:c>
      <x:c r="H71" s="4" t="str">
        <x:v>E08</x:v>
      </x:c>
      <x:c r="I71" s="4" t="str">
        <x:v>PD-WRL-007</x:v>
      </x:c>
      <x:c r="J71" s="4" t="str">
        <x:v>OPC-04</x:v>
      </x:c>
      <x:c r="K71" s="4" t="str">
        <x:v>CONTRASTA_ALCANCE_PRACTICO; no otorga permiso</x:v>
      </x:c>
      <x:c r="L71" s="4" t="str">
        <x:v>CANDIDATA_NO_ADOPTADA</x:v>
      </x:c>
      <x:c r="M71" s="12" t="n">
        <x:f>COUNTIF('05_Complementos'!$A$5:$A$127,A71)-1</x:f>
        <x:v>0</x:v>
      </x:c>
      <x:c r="N71" s="12" t="n">
        <x:f>IF(AND(COUNTIF('01_Fuentes'!$A$5:$A$40,B71)=1,COUNTIF('02_Custodia'!$A$5:$A$53,C71)=1,COUNTIF('07_Operaciones'!$A$5:$A$26,J71)=1,COUNTIF('06_Cobertura'!$A$5:$A$25,H71)=1),0,1)</x:f>
        <x:v>0</x:v>
      </x:c>
      <x:c r="O71" s="12" t="n">
        <x:f>IF(COUNTIF('03_NICE'!$A$5:$A$57,I71)+COUNTIF('04_TKS'!$A$5:$A$72,I71)=1,0,1)</x:f>
        <x:v>0</x:v>
      </x:c>
      <x:c r="P71" s="12" t="n">
        <x:f>IF(OR(AND(B71="F008",L71&lt;&gt;"IDENTIFICADA_NO_ADOPTABLE"),AND(B71="F028",L71&lt;&gt;"PREGUNTA_NO_NORMATIVA"),COUNTIFS('01_Fuentes'!$A$5:$A$40,B71,'01_Fuentes'!$H$5:$H$40,"METADATOS_SOLO")&gt;0),1,0)</x:f>
        <x:v>0</x:v>
      </x:c>
      <x:c r="Q71" s="12" t="n">
        <x:f>IF(OR(A71="",D71="",E71="",F71="",K71="",L71=""),1,0)</x:f>
        <x:v>0</x:v>
      </x:c>
    </x:row>
    <x:row r="72" ht="47" customHeight="1">
      <x:c r="A72" s="4" t="str">
        <x:v>CP-068</x:v>
      </x:c>
      <x:c r="B72" s="4" t="str">
        <x:v>F016</x:v>
      </x:c>
      <x:c r="C72" s="4" t="str">
        <x:v>F016</x:v>
      </x:c>
      <x:c r="D72" s="4" t="str">
        <x:v>§2.1; función GV</x:v>
      </x:c>
      <x:c r="E72" s="4" t="str">
        <x:v>GOVERN</x:v>
      </x:c>
      <x:c r="F72" s="4" t="str">
        <x:v>Fijar estrategia, expectativas y política de riesgo.</x:v>
      </x:c>
      <x:c r="G72" s="4" t="str">
        <x:v>Resultado de referencia</x:v>
      </x:c>
      <x:c r="H72" s="4" t="str">
        <x:v>E01</x:v>
      </x:c>
      <x:c r="I72" s="4" t="str">
        <x:v>OG-WRL-007</x:v>
      </x:c>
      <x:c r="J72" s="4" t="str">
        <x:v>OPC-01</x:v>
      </x:c>
      <x:c r="K72" s="4" t="str">
        <x:v>CONTRASTA_CICLO; no prescribe un control</x:v>
      </x:c>
      <x:c r="L72" s="4" t="str">
        <x:v>CANDIDATA_NO_ADOPTADA</x:v>
      </x:c>
      <x:c r="M72" s="12" t="n">
        <x:f>COUNTIF('05_Complementos'!$A$5:$A$127,A72)-1</x:f>
        <x:v>0</x:v>
      </x:c>
      <x:c r="N72" s="12" t="n">
        <x:f>IF(AND(COUNTIF('01_Fuentes'!$A$5:$A$40,B72)=1,COUNTIF('02_Custodia'!$A$5:$A$53,C72)=1,COUNTIF('07_Operaciones'!$A$5:$A$26,J72)=1,COUNTIF('06_Cobertura'!$A$5:$A$25,H72)=1),0,1)</x:f>
        <x:v>0</x:v>
      </x:c>
      <x:c r="O72" s="12" t="n">
        <x:f>IF(COUNTIF('03_NICE'!$A$5:$A$57,I72)+COUNTIF('04_TKS'!$A$5:$A$72,I72)=1,0,1)</x:f>
        <x:v>0</x:v>
      </x:c>
      <x:c r="P72" s="12" t="n">
        <x:f>IF(OR(AND(B72="F008",L72&lt;&gt;"IDENTIFICADA_NO_ADOPTABLE"),AND(B72="F028",L72&lt;&gt;"PREGUNTA_NO_NORMATIVA"),COUNTIFS('01_Fuentes'!$A$5:$A$40,B72,'01_Fuentes'!$H$5:$H$40,"METADATOS_SOLO")&gt;0),1,0)</x:f>
        <x:v>0</x:v>
      </x:c>
      <x:c r="Q72" s="12" t="n">
        <x:f>IF(OR(A72="",D72="",E72="",F72="",K72="",L72=""),1,0)</x:f>
        <x:v>0</x:v>
      </x:c>
    </x:row>
    <x:row r="73" ht="47" customHeight="1">
      <x:c r="A73" s="4" t="str">
        <x:v>CP-069</x:v>
      </x:c>
      <x:c r="B73" s="4" t="str">
        <x:v>F016</x:v>
      </x:c>
      <x:c r="C73" s="4" t="str">
        <x:v>F016</x:v>
      </x:c>
      <x:c r="D73" s="4" t="str">
        <x:v>§2.1; función ID</x:v>
      </x:c>
      <x:c r="E73" s="4" t="str">
        <x:v>IDENTIFY</x:v>
      </x:c>
      <x:c r="F73" s="4" t="str">
        <x:v>Comprender riesgos y activos del contexto.</x:v>
      </x:c>
      <x:c r="G73" s="4" t="str">
        <x:v>Resultado de referencia</x:v>
      </x:c>
      <x:c r="H73" s="4" t="str">
        <x:v>E02</x:v>
      </x:c>
      <x:c r="I73" s="4" t="str">
        <x:v>NF-COM-003</x:v>
      </x:c>
      <x:c r="J73" s="4" t="str">
        <x:v>OPC-12</x:v>
      </x:c>
      <x:c r="K73" s="4" t="str">
        <x:v>CONTRASTA_CICLO; no prescribe un control</x:v>
      </x:c>
      <x:c r="L73" s="4" t="str">
        <x:v>CANDIDATA_NO_ADOPTADA</x:v>
      </x:c>
      <x:c r="M73" s="12" t="n">
        <x:f>COUNTIF('05_Complementos'!$A$5:$A$127,A73)-1</x:f>
        <x:v>0</x:v>
      </x:c>
      <x:c r="N73" s="12" t="n">
        <x:f>IF(AND(COUNTIF('01_Fuentes'!$A$5:$A$40,B73)=1,COUNTIF('02_Custodia'!$A$5:$A$53,C73)=1,COUNTIF('07_Operaciones'!$A$5:$A$26,J73)=1,COUNTIF('06_Cobertura'!$A$5:$A$25,H73)=1),0,1)</x:f>
        <x:v>0</x:v>
      </x:c>
      <x:c r="O73" s="12" t="n">
        <x:f>IF(COUNTIF('03_NICE'!$A$5:$A$57,I73)+COUNTIF('04_TKS'!$A$5:$A$72,I73)=1,0,1)</x:f>
        <x:v>0</x:v>
      </x:c>
      <x:c r="P73" s="12" t="n">
        <x:f>IF(OR(AND(B73="F008",L73&lt;&gt;"IDENTIFICADA_NO_ADOPTABLE"),AND(B73="F028",L73&lt;&gt;"PREGUNTA_NO_NORMATIVA"),COUNTIFS('01_Fuentes'!$A$5:$A$40,B73,'01_Fuentes'!$H$5:$H$40,"METADATOS_SOLO")&gt;0),1,0)</x:f>
        <x:v>0</x:v>
      </x:c>
      <x:c r="Q73" s="12" t="n">
        <x:f>IF(OR(A73="",D73="",E73="",F73="",K73="",L73=""),1,0)</x:f>
        <x:v>0</x:v>
      </x:c>
    </x:row>
    <x:row r="74" ht="47" customHeight="1">
      <x:c r="A74" s="4" t="str">
        <x:v>CP-070</x:v>
      </x:c>
      <x:c r="B74" s="4" t="str">
        <x:v>F016</x:v>
      </x:c>
      <x:c r="C74" s="4" t="str">
        <x:v>F016</x:v>
      </x:c>
      <x:c r="D74" s="4" t="str">
        <x:v>§2.1; función PR</x:v>
      </x:c>
      <x:c r="E74" s="4" t="str">
        <x:v>PROTECT</x:v>
      </x:c>
      <x:c r="F74" s="4" t="str">
        <x:v>Establecer salvaguardas pertinentes.</x:v>
      </x:c>
      <x:c r="G74" s="4" t="str">
        <x:v>Resultado de referencia</x:v>
      </x:c>
      <x:c r="H74" s="4" t="str">
        <x:v>E03</x:v>
      </x:c>
      <x:c r="I74" s="4" t="str">
        <x:v>NF-COM-001</x:v>
      </x:c>
      <x:c r="J74" s="4" t="str">
        <x:v>OPC-03</x:v>
      </x:c>
      <x:c r="K74" s="4" t="str">
        <x:v>CONTRASTA_CICLO; no prescribe un control</x:v>
      </x:c>
      <x:c r="L74" s="4" t="str">
        <x:v>CANDIDATA_NO_ADOPTADA</x:v>
      </x:c>
      <x:c r="M74" s="12" t="n">
        <x:f>COUNTIF('05_Complementos'!$A$5:$A$127,A74)-1</x:f>
        <x:v>0</x:v>
      </x:c>
      <x:c r="N74" s="12" t="n">
        <x:f>IF(AND(COUNTIF('01_Fuentes'!$A$5:$A$40,B74)=1,COUNTIF('02_Custodia'!$A$5:$A$53,C74)=1,COUNTIF('07_Operaciones'!$A$5:$A$26,J74)=1,COUNTIF('06_Cobertura'!$A$5:$A$25,H74)=1),0,1)</x:f>
        <x:v>0</x:v>
      </x:c>
      <x:c r="O74" s="12" t="n">
        <x:f>IF(COUNTIF('03_NICE'!$A$5:$A$57,I74)+COUNTIF('04_TKS'!$A$5:$A$72,I74)=1,0,1)</x:f>
        <x:v>0</x:v>
      </x:c>
      <x:c r="P74" s="12" t="n">
        <x:f>IF(OR(AND(B74="F008",L74&lt;&gt;"IDENTIFICADA_NO_ADOPTABLE"),AND(B74="F028",L74&lt;&gt;"PREGUNTA_NO_NORMATIVA"),COUNTIFS('01_Fuentes'!$A$5:$A$40,B74,'01_Fuentes'!$H$5:$H$40,"METADATOS_SOLO")&gt;0),1,0)</x:f>
        <x:v>0</x:v>
      </x:c>
      <x:c r="Q74" s="12" t="n">
        <x:f>IF(OR(A74="",D74="",E74="",F74="",K74="",L74=""),1,0)</x:f>
        <x:v>0</x:v>
      </x:c>
    </x:row>
    <x:row r="75" ht="47" customHeight="1">
      <x:c r="A75" s="4" t="str">
        <x:v>CP-071</x:v>
      </x:c>
      <x:c r="B75" s="4" t="str">
        <x:v>F016</x:v>
      </x:c>
      <x:c r="C75" s="4" t="str">
        <x:v>F016</x:v>
      </x:c>
      <x:c r="D75" s="4" t="str">
        <x:v>§2.1; función DE</x:v>
      </x:c>
      <x:c r="E75" s="4" t="str">
        <x:v>DETECT</x:v>
      </x:c>
      <x:c r="F75" s="4" t="str">
        <x:v>Encontrar y analizar posibles ataques y compromisos.</x:v>
      </x:c>
      <x:c r="G75" s="4" t="str">
        <x:v>Resultado de referencia</x:v>
      </x:c>
      <x:c r="H75" s="4" t="str">
        <x:v>E09</x:v>
      </x:c>
      <x:c r="I75" s="4" t="str">
        <x:v>PD-WRL-001</x:v>
      </x:c>
      <x:c r="J75" s="4" t="str">
        <x:v>OPC-07</x:v>
      </x:c>
      <x:c r="K75" s="4" t="str">
        <x:v>CONTRASTA_CICLO; no prescribe un control</x:v>
      </x:c>
      <x:c r="L75" s="4" t="str">
        <x:v>CANDIDATA_NO_ADOPTADA</x:v>
      </x:c>
      <x:c r="M75" s="12" t="n">
        <x:f>COUNTIF('05_Complementos'!$A$5:$A$127,A75)-1</x:f>
        <x:v>0</x:v>
      </x:c>
      <x:c r="N75" s="12" t="n">
        <x:f>IF(AND(COUNTIF('01_Fuentes'!$A$5:$A$40,B75)=1,COUNTIF('02_Custodia'!$A$5:$A$53,C75)=1,COUNTIF('07_Operaciones'!$A$5:$A$26,J75)=1,COUNTIF('06_Cobertura'!$A$5:$A$25,H75)=1),0,1)</x:f>
        <x:v>0</x:v>
      </x:c>
      <x:c r="O75" s="12" t="n">
        <x:f>IF(COUNTIF('03_NICE'!$A$5:$A$57,I75)+COUNTIF('04_TKS'!$A$5:$A$72,I75)=1,0,1)</x:f>
        <x:v>0</x:v>
      </x:c>
      <x:c r="P75" s="12" t="n">
        <x:f>IF(OR(AND(B75="F008",L75&lt;&gt;"IDENTIFICADA_NO_ADOPTABLE"),AND(B75="F028",L75&lt;&gt;"PREGUNTA_NO_NORMATIVA"),COUNTIFS('01_Fuentes'!$A$5:$A$40,B75,'01_Fuentes'!$H$5:$H$40,"METADATOS_SOLO")&gt;0),1,0)</x:f>
        <x:v>0</x:v>
      </x:c>
      <x:c r="Q75" s="12" t="n">
        <x:f>IF(OR(A75="",D75="",E75="",F75="",K75="",L75=""),1,0)</x:f>
        <x:v>0</x:v>
      </x:c>
    </x:row>
    <x:row r="76" ht="47" customHeight="1">
      <x:c r="A76" s="4" t="str">
        <x:v>CP-072</x:v>
      </x:c>
      <x:c r="B76" s="4" t="str">
        <x:v>F016</x:v>
      </x:c>
      <x:c r="C76" s="4" t="str">
        <x:v>F016</x:v>
      </x:c>
      <x:c r="D76" s="4" t="str">
        <x:v>§2.1; función RS</x:v>
      </x:c>
      <x:c r="E76" s="4" t="str">
        <x:v>RESPOND</x:v>
      </x:c>
      <x:c r="F76" s="4" t="str">
        <x:v>Actuar bajo gobierno ante incidentes detectados.</x:v>
      </x:c>
      <x:c r="G76" s="4" t="str">
        <x:v>Resultado de referencia</x:v>
      </x:c>
      <x:c r="H76" s="4" t="str">
        <x:v>E11</x:v>
      </x:c>
      <x:c r="I76" s="4" t="str">
        <x:v>PD-WRL-003</x:v>
      </x:c>
      <x:c r="J76" s="4" t="str">
        <x:v>OPC-09</x:v>
      </x:c>
      <x:c r="K76" s="4" t="str">
        <x:v>CONTRASTA_CICLO; no prescribe un control</x:v>
      </x:c>
      <x:c r="L76" s="4" t="str">
        <x:v>CANDIDATA_NO_ADOPTADA</x:v>
      </x:c>
      <x:c r="M76" s="12" t="n">
        <x:f>COUNTIF('05_Complementos'!$A$5:$A$127,A76)-1</x:f>
        <x:v>0</x:v>
      </x:c>
      <x:c r="N76" s="12" t="n">
        <x:f>IF(AND(COUNTIF('01_Fuentes'!$A$5:$A$40,B76)=1,COUNTIF('02_Custodia'!$A$5:$A$53,C76)=1,COUNTIF('07_Operaciones'!$A$5:$A$26,J76)=1,COUNTIF('06_Cobertura'!$A$5:$A$25,H76)=1),0,1)</x:f>
        <x:v>0</x:v>
      </x:c>
      <x:c r="O76" s="12" t="n">
        <x:f>IF(COUNTIF('03_NICE'!$A$5:$A$57,I76)+COUNTIF('04_TKS'!$A$5:$A$72,I76)=1,0,1)</x:f>
        <x:v>0</x:v>
      </x:c>
      <x:c r="P76" s="12" t="n">
        <x:f>IF(OR(AND(B76="F008",L76&lt;&gt;"IDENTIFICADA_NO_ADOPTABLE"),AND(B76="F028",L76&lt;&gt;"PREGUNTA_NO_NORMATIVA"),COUNTIFS('01_Fuentes'!$A$5:$A$40,B76,'01_Fuentes'!$H$5:$H$40,"METADATOS_SOLO")&gt;0),1,0)</x:f>
        <x:v>0</x:v>
      </x:c>
      <x:c r="Q76" s="12" t="n">
        <x:f>IF(OR(A76="",D76="",E76="",F76="",K76="",L76=""),1,0)</x:f>
        <x:v>0</x:v>
      </x:c>
    </x:row>
    <x:row r="77" ht="47" customHeight="1">
      <x:c r="A77" s="4" t="str">
        <x:v>CP-073</x:v>
      </x:c>
      <x:c r="B77" s="4" t="str">
        <x:v>F016</x:v>
      </x:c>
      <x:c r="C77" s="4" t="str">
        <x:v>F016</x:v>
      </x:c>
      <x:c r="D77" s="4" t="str">
        <x:v>§2.1; función RC</x:v>
      </x:c>
      <x:c r="E77" s="4" t="str">
        <x:v>RECOVER</x:v>
      </x:c>
      <x:c r="F77" s="4" t="str">
        <x:v>Restaurar activos y operaciones afectados.</x:v>
      </x:c>
      <x:c r="G77" s="4" t="str">
        <x:v>Resultado de referencia</x:v>
      </x:c>
      <x:c r="H77" s="4" t="str">
        <x:v>E12</x:v>
      </x:c>
      <x:c r="I77" s="4" t="str">
        <x:v>NF-COM-007</x:v>
      </x:c>
      <x:c r="J77" s="4" t="str">
        <x:v>OPC-11</x:v>
      </x:c>
      <x:c r="K77" s="4" t="str">
        <x:v>CONTRASTA_CICLO; no prescribe un control</x:v>
      </x:c>
      <x:c r="L77" s="4" t="str">
        <x:v>CANDIDATA_NO_ADOPTADA</x:v>
      </x:c>
      <x:c r="M77" s="12" t="n">
        <x:f>COUNTIF('05_Complementos'!$A$5:$A$127,A77)-1</x:f>
        <x:v>0</x:v>
      </x:c>
      <x:c r="N77" s="12" t="n">
        <x:f>IF(AND(COUNTIF('01_Fuentes'!$A$5:$A$40,B77)=1,COUNTIF('02_Custodia'!$A$5:$A$53,C77)=1,COUNTIF('07_Operaciones'!$A$5:$A$26,J77)=1,COUNTIF('06_Cobertura'!$A$5:$A$25,H77)=1),0,1)</x:f>
        <x:v>0</x:v>
      </x:c>
      <x:c r="O77" s="12" t="n">
        <x:f>IF(COUNTIF('03_NICE'!$A$5:$A$57,I77)+COUNTIF('04_TKS'!$A$5:$A$72,I77)=1,0,1)</x:f>
        <x:v>0</x:v>
      </x:c>
      <x:c r="P77" s="12" t="n">
        <x:f>IF(OR(AND(B77="F008",L77&lt;&gt;"IDENTIFICADA_NO_ADOPTABLE"),AND(B77="F028",L77&lt;&gt;"PREGUNTA_NO_NORMATIVA"),COUNTIFS('01_Fuentes'!$A$5:$A$40,B77,'01_Fuentes'!$H$5:$H$40,"METADATOS_SOLO")&gt;0),1,0)</x:f>
        <x:v>0</x:v>
      </x:c>
      <x:c r="Q77" s="12" t="n">
        <x:f>IF(OR(A77="",D77="",E77="",F77="",K77="",L77=""),1,0)</x:f>
        <x:v>0</x:v>
      </x:c>
    </x:row>
    <x:row r="78" ht="47" customHeight="1">
      <x:c r="A78" s="4" t="str">
        <x:v>CP-074</x:v>
      </x:c>
      <x:c r="B78" s="4" t="str">
        <x:v>F018</x:v>
      </x:c>
      <x:c r="C78" s="4" t="str">
        <x:v>F018</x:v>
      </x:c>
      <x:c r="D78" s="4" t="str">
        <x:v>§6</x:v>
      </x:c>
      <x:c r="E78" s="4" t="str">
        <x:v>Security Assessment Planning</x:v>
      </x:c>
      <x:c r="F78" s="4" t="str">
        <x:v>Fijar objetivo, alcance, recursos y plan antes de evaluar.</x:v>
      </x:c>
      <x:c r="G78" s="4" t="str">
        <x:v>Método</x:v>
      </x:c>
      <x:c r="H78" s="4" t="str">
        <x:v>E08</x:v>
      </x:c>
      <x:c r="I78" s="4" t="str">
        <x:v>DD-WRL-007</x:v>
      </x:c>
      <x:c r="J78" s="4" t="str">
        <x:v>OPC-04</x:v>
      </x:c>
      <x:c r="K78" s="4" t="str">
        <x:v>REFINA_METODO_Y_AUTORIZACION</x:v>
      </x:c>
      <x:c r="L78" s="4" t="str">
        <x:v>CANDIDATA_NO_ADOPTADA</x:v>
      </x:c>
      <x:c r="M78" s="12" t="n">
        <x:f>COUNTIF('05_Complementos'!$A$5:$A$127,A78)-1</x:f>
        <x:v>0</x:v>
      </x:c>
      <x:c r="N78" s="12" t="n">
        <x:f>IF(AND(COUNTIF('01_Fuentes'!$A$5:$A$40,B78)=1,COUNTIF('02_Custodia'!$A$5:$A$53,C78)=1,COUNTIF('07_Operaciones'!$A$5:$A$26,J78)=1,COUNTIF('06_Cobertura'!$A$5:$A$25,H78)=1),0,1)</x:f>
        <x:v>0</x:v>
      </x:c>
      <x:c r="O78" s="12" t="n">
        <x:f>IF(COUNTIF('03_NICE'!$A$5:$A$57,I78)+COUNTIF('04_TKS'!$A$5:$A$72,I78)=1,0,1)</x:f>
        <x:v>0</x:v>
      </x:c>
      <x:c r="P78" s="12" t="n">
        <x:f>IF(OR(AND(B78="F008",L78&lt;&gt;"IDENTIFICADA_NO_ADOPTABLE"),AND(B78="F028",L78&lt;&gt;"PREGUNTA_NO_NORMATIVA"),COUNTIFS('01_Fuentes'!$A$5:$A$40,B78,'01_Fuentes'!$H$5:$H$40,"METADATOS_SOLO")&gt;0),1,0)</x:f>
        <x:v>0</x:v>
      </x:c>
      <x:c r="Q78" s="12" t="n">
        <x:f>IF(OR(A78="",D78="",E78="",F78="",K78="",L78=""),1,0)</x:f>
        <x:v>0</x:v>
      </x:c>
    </x:row>
    <x:row r="79" ht="47" customHeight="1">
      <x:c r="A79" s="4" t="str">
        <x:v>CP-075</x:v>
      </x:c>
      <x:c r="B79" s="4" t="str">
        <x:v>F018</x:v>
      </x:c>
      <x:c r="C79" s="4" t="str">
        <x:v>F018</x:v>
      </x:c>
      <x:c r="D79" s="4" t="str">
        <x:v>Apéndice B</x:v>
      </x:c>
      <x:c r="E79" s="4" t="str">
        <x:v>Rules of Engagement</x:v>
      </x:c>
      <x:c r="F79" s="4" t="str">
        <x:v>Documentar autorización y restricciones de las pruebas.</x:v>
      </x:c>
      <x:c r="G79" s="4" t="str">
        <x:v>Método</x:v>
      </x:c>
      <x:c r="H79" s="4" t="str">
        <x:v>E08</x:v>
      </x:c>
      <x:c r="I79" s="4" t="str">
        <x:v>DD-WRL-007</x:v>
      </x:c>
      <x:c r="J79" s="4" t="str">
        <x:v>OPC-04</x:v>
      </x:c>
      <x:c r="K79" s="4" t="str">
        <x:v>REFINA_METODO_Y_AUTORIZACION</x:v>
      </x:c>
      <x:c r="L79" s="4" t="str">
        <x:v>CANDIDATA_NO_ADOPTADA</x:v>
      </x:c>
      <x:c r="M79" s="12" t="n">
        <x:f>COUNTIF('05_Complementos'!$A$5:$A$127,A79)-1</x:f>
        <x:v>0</x:v>
      </x:c>
      <x:c r="N79" s="12" t="n">
        <x:f>IF(AND(COUNTIF('01_Fuentes'!$A$5:$A$40,B79)=1,COUNTIF('02_Custodia'!$A$5:$A$53,C79)=1,COUNTIF('07_Operaciones'!$A$5:$A$26,J79)=1,COUNTIF('06_Cobertura'!$A$5:$A$25,H79)=1),0,1)</x:f>
        <x:v>0</x:v>
      </x:c>
      <x:c r="O79" s="12" t="n">
        <x:f>IF(COUNTIF('03_NICE'!$A$5:$A$57,I79)+COUNTIF('04_TKS'!$A$5:$A$72,I79)=1,0,1)</x:f>
        <x:v>0</x:v>
      </x:c>
      <x:c r="P79" s="12" t="n">
        <x:f>IF(OR(AND(B79="F008",L79&lt;&gt;"IDENTIFICADA_NO_ADOPTABLE"),AND(B79="F028",L79&lt;&gt;"PREGUNTA_NO_NORMATIVA"),COUNTIFS('01_Fuentes'!$A$5:$A$40,B79,'01_Fuentes'!$H$5:$H$40,"METADATOS_SOLO")&gt;0),1,0)</x:f>
        <x:v>0</x:v>
      </x:c>
      <x:c r="Q79" s="12" t="n">
        <x:f>IF(OR(A79="",D79="",E79="",F79="",K79="",L79=""),1,0)</x:f>
        <x:v>0</x:v>
      </x:c>
    </x:row>
    <x:row r="80" ht="47" customHeight="1">
      <x:c r="A80" s="4" t="str">
        <x:v>CP-076</x:v>
      </x:c>
      <x:c r="B80" s="4" t="str">
        <x:v>F018</x:v>
      </x:c>
      <x:c r="C80" s="4" t="str">
        <x:v>F018</x:v>
      </x:c>
      <x:c r="D80" s="4" t="str">
        <x:v>§8.2</x:v>
      </x:c>
      <x:c r="E80" s="4" t="str">
        <x:v>Reporting</x:v>
      </x:c>
      <x:c r="F80" s="4" t="str">
        <x:v>Comunicar hallazgos, método, limitaciones y opciones de corrección.</x:v>
      </x:c>
      <x:c r="G80" s="4" t="str">
        <x:v>Método</x:v>
      </x:c>
      <x:c r="H80" s="4" t="str">
        <x:v>E08</x:v>
      </x:c>
      <x:c r="I80" s="4" t="str">
        <x:v>DD-WRL-007</x:v>
      </x:c>
      <x:c r="J80" s="4" t="str">
        <x:v>OPC-04</x:v>
      </x:c>
      <x:c r="K80" s="4" t="str">
        <x:v>REFINA_METODO_Y_AUTORIZACION</x:v>
      </x:c>
      <x:c r="L80" s="4" t="str">
        <x:v>CANDIDATA_NO_ADOPTADA</x:v>
      </x:c>
      <x:c r="M80" s="12" t="n">
        <x:f>COUNTIF('05_Complementos'!$A$5:$A$127,A80)-1</x:f>
        <x:v>0</x:v>
      </x:c>
      <x:c r="N80" s="12" t="n">
        <x:f>IF(AND(COUNTIF('01_Fuentes'!$A$5:$A$40,B80)=1,COUNTIF('02_Custodia'!$A$5:$A$53,C80)=1,COUNTIF('07_Operaciones'!$A$5:$A$26,J80)=1,COUNTIF('06_Cobertura'!$A$5:$A$25,H80)=1),0,1)</x:f>
        <x:v>0</x:v>
      </x:c>
      <x:c r="O80" s="12" t="n">
        <x:f>IF(COUNTIF('03_NICE'!$A$5:$A$57,I80)+COUNTIF('04_TKS'!$A$5:$A$72,I80)=1,0,1)</x:f>
        <x:v>0</x:v>
      </x:c>
      <x:c r="P80" s="12" t="n">
        <x:f>IF(OR(AND(B80="F008",L80&lt;&gt;"IDENTIFICADA_NO_ADOPTABLE"),AND(B80="F028",L80&lt;&gt;"PREGUNTA_NO_NORMATIVA"),COUNTIFS('01_Fuentes'!$A$5:$A$40,B80,'01_Fuentes'!$H$5:$H$40,"METADATOS_SOLO")&gt;0),1,0)</x:f>
        <x:v>0</x:v>
      </x:c>
      <x:c r="Q80" s="12" t="n">
        <x:f>IF(OR(A80="",D80="",E80="",F80="",K80="",L80=""),1,0)</x:f>
        <x:v>0</x:v>
      </x:c>
    </x:row>
    <x:row r="81" ht="47" customHeight="1">
      <x:c r="A81" s="4" t="str">
        <x:v>CP-077</x:v>
      </x:c>
      <x:c r="B81" s="4" t="str">
        <x:v>F019</x:v>
      </x:c>
      <x:c r="C81" s="4" t="str">
        <x:v>F019</x:v>
      </x:c>
      <x:c r="D81" s="4" t="str">
        <x:v>Tabla 3; DE.AE-03</x:v>
      </x:c>
      <x:c r="E81" s="4" t="str">
        <x:v>DE.AE-03</x:v>
      </x:c>
      <x:c r="F81" s="4" t="str">
        <x:v>Correlacionar información de fuentes múltiples conservando procedencia y contexto.</x:v>
      </x:c>
      <x:c r="G81" s="4" t="str">
        <x:v>Método</x:v>
      </x:c>
      <x:c r="H81" s="4" t="str">
        <x:v>E09</x:v>
      </x:c>
      <x:c r="I81" s="4" t="str">
        <x:v>PD-WRL-001</x:v>
      </x:c>
      <x:c r="J81" s="4" t="str">
        <x:v>OPC-07</x:v>
      </x:c>
      <x:c r="K81" s="4" t="str">
        <x:v>REFINA_CONDICIONES_DE_OPERACION; no constituye aún reglas SV</x:v>
      </x:c>
      <x:c r="L81" s="4" t="str">
        <x:v>CANDIDATA_NO_ADOPTADA</x:v>
      </x:c>
      <x:c r="M81" s="12" t="n">
        <x:f>COUNTIF('05_Complementos'!$A$5:$A$127,A81)-1</x:f>
        <x:v>0</x:v>
      </x:c>
      <x:c r="N81" s="12" t="n">
        <x:f>IF(AND(COUNTIF('01_Fuentes'!$A$5:$A$40,B81)=1,COUNTIF('02_Custodia'!$A$5:$A$53,C81)=1,COUNTIF('07_Operaciones'!$A$5:$A$26,J81)=1,COUNTIF('06_Cobertura'!$A$5:$A$25,H81)=1),0,1)</x:f>
        <x:v>0</x:v>
      </x:c>
      <x:c r="O81" s="12" t="n">
        <x:f>IF(COUNTIF('03_NICE'!$A$5:$A$57,I81)+COUNTIF('04_TKS'!$A$5:$A$72,I81)=1,0,1)</x:f>
        <x:v>0</x:v>
      </x:c>
      <x:c r="P81" s="12" t="n">
        <x:f>IF(OR(AND(B81="F008",L81&lt;&gt;"IDENTIFICADA_NO_ADOPTABLE"),AND(B81="F028",L81&lt;&gt;"PREGUNTA_NO_NORMATIVA"),COUNTIFS('01_Fuentes'!$A$5:$A$40,B81,'01_Fuentes'!$H$5:$H$40,"METADATOS_SOLO")&gt;0),1,0)</x:f>
        <x:v>0</x:v>
      </x:c>
      <x:c r="Q81" s="12" t="n">
        <x:f>IF(OR(A81="",D81="",E81="",F81="",K81="",L81=""),1,0)</x:f>
        <x:v>0</x:v>
      </x:c>
    </x:row>
    <x:row r="82" ht="47" customHeight="1">
      <x:c r="A82" s="4" t="str">
        <x:v>CP-078</x:v>
      </x:c>
      <x:c r="B82" s="4" t="str">
        <x:v>F019</x:v>
      </x:c>
      <x:c r="C82" s="4" t="str">
        <x:v>F019</x:v>
      </x:c>
      <x:c r="D82" s="4" t="str">
        <x:v>Tabla 3; DE.AE-04</x:v>
      </x:c>
      <x:c r="E82" s="4" t="str">
        <x:v>DE.AE-04</x:v>
      </x:c>
      <x:c r="F82" s="4" t="str">
        <x:v>Estimar y revisar impacto y alcance del evento adverso.</x:v>
      </x:c>
      <x:c r="G82" s="4" t="str">
        <x:v>Método</x:v>
      </x:c>
      <x:c r="H82" s="4" t="str">
        <x:v>E09</x:v>
      </x:c>
      <x:c r="I82" s="4" t="str">
        <x:v>PD-WRL-001</x:v>
      </x:c>
      <x:c r="J82" s="4" t="str">
        <x:v>OPC-07</x:v>
      </x:c>
      <x:c r="K82" s="4" t="str">
        <x:v>REFINA_CONDICIONES_DE_OPERACION; no constituye aún reglas SV</x:v>
      </x:c>
      <x:c r="L82" s="4" t="str">
        <x:v>CANDIDATA_NO_ADOPTADA</x:v>
      </x:c>
      <x:c r="M82" s="12" t="n">
        <x:f>COUNTIF('05_Complementos'!$A$5:$A$127,A82)-1</x:f>
        <x:v>0</x:v>
      </x:c>
      <x:c r="N82" s="12" t="n">
        <x:f>IF(AND(COUNTIF('01_Fuentes'!$A$5:$A$40,B82)=1,COUNTIF('02_Custodia'!$A$5:$A$53,C82)=1,COUNTIF('07_Operaciones'!$A$5:$A$26,J82)=1,COUNTIF('06_Cobertura'!$A$5:$A$25,H82)=1),0,1)</x:f>
        <x:v>0</x:v>
      </x:c>
      <x:c r="O82" s="12" t="n">
        <x:f>IF(COUNTIF('03_NICE'!$A$5:$A$57,I82)+COUNTIF('04_TKS'!$A$5:$A$72,I82)=1,0,1)</x:f>
        <x:v>0</x:v>
      </x:c>
      <x:c r="P82" s="12" t="n">
        <x:f>IF(OR(AND(B82="F008",L82&lt;&gt;"IDENTIFICADA_NO_ADOPTABLE"),AND(B82="F028",L82&lt;&gt;"PREGUNTA_NO_NORMATIVA"),COUNTIFS('01_Fuentes'!$A$5:$A$40,B82,'01_Fuentes'!$H$5:$H$40,"METADATOS_SOLO")&gt;0),1,0)</x:f>
        <x:v>0</x:v>
      </x:c>
      <x:c r="Q82" s="12" t="n">
        <x:f>IF(OR(A82="",D82="",E82="",F82="",K82="",L82=""),1,0)</x:f>
        <x:v>0</x:v>
      </x:c>
    </x:row>
    <x:row r="83" ht="47" customHeight="1">
      <x:c r="A83" s="4" t="str">
        <x:v>CP-079</x:v>
      </x:c>
      <x:c r="B83" s="4" t="str">
        <x:v>F019</x:v>
      </x:c>
      <x:c r="C83" s="4" t="str">
        <x:v>F019</x:v>
      </x:c>
      <x:c r="D83" s="4" t="str">
        <x:v>Tabla 3; DE.AE-06</x:v>
      </x:c>
      <x:c r="E83" s="4" t="str">
        <x:v>DE.AE-06</x:v>
      </x:c>
      <x:c r="F83" s="4" t="str">
        <x:v>Proporcionar información de eventos a personal y herramientas autorizados.</x:v>
      </x:c>
      <x:c r="G83" s="4" t="str">
        <x:v>Método</x:v>
      </x:c>
      <x:c r="H83" s="4" t="str">
        <x:v>E03</x:v>
      </x:c>
      <x:c r="I83" s="4" t="str">
        <x:v>NF-COM-001</x:v>
      </x:c>
      <x:c r="J83" s="4" t="str">
        <x:v>OPC-03</x:v>
      </x:c>
      <x:c r="K83" s="4" t="str">
        <x:v>REFINA_CONDICIONES_DE_OPERACION; no constituye aún reglas SV</x:v>
      </x:c>
      <x:c r="L83" s="4" t="str">
        <x:v>CANDIDATA_NO_ADOPTADA</x:v>
      </x:c>
      <x:c r="M83" s="12" t="n">
        <x:f>COUNTIF('05_Complementos'!$A$5:$A$127,A83)-1</x:f>
        <x:v>0</x:v>
      </x:c>
      <x:c r="N83" s="12" t="n">
        <x:f>IF(AND(COUNTIF('01_Fuentes'!$A$5:$A$40,B83)=1,COUNTIF('02_Custodia'!$A$5:$A$53,C83)=1,COUNTIF('07_Operaciones'!$A$5:$A$26,J83)=1,COUNTIF('06_Cobertura'!$A$5:$A$25,H83)=1),0,1)</x:f>
        <x:v>0</x:v>
      </x:c>
      <x:c r="O83" s="12" t="n">
        <x:f>IF(COUNTIF('03_NICE'!$A$5:$A$57,I83)+COUNTIF('04_TKS'!$A$5:$A$72,I83)=1,0,1)</x:f>
        <x:v>0</x:v>
      </x:c>
      <x:c r="P83" s="12" t="n">
        <x:f>IF(OR(AND(B83="F008",L83&lt;&gt;"IDENTIFICADA_NO_ADOPTABLE"),AND(B83="F028",L83&lt;&gt;"PREGUNTA_NO_NORMATIVA"),COUNTIFS('01_Fuentes'!$A$5:$A$40,B83,'01_Fuentes'!$H$5:$H$40,"METADATOS_SOLO")&gt;0),1,0)</x:f>
        <x:v>0</x:v>
      </x:c>
      <x:c r="Q83" s="12" t="n">
        <x:f>IF(OR(A83="",D83="",E83="",F83="",K83="",L83=""),1,0)</x:f>
        <x:v>0</x:v>
      </x:c>
    </x:row>
    <x:row r="84" ht="47" customHeight="1">
      <x:c r="A84" s="4" t="str">
        <x:v>CP-080</x:v>
      </x:c>
      <x:c r="B84" s="4" t="str">
        <x:v>F019</x:v>
      </x:c>
      <x:c r="C84" s="4" t="str">
        <x:v>F019</x:v>
      </x:c>
      <x:c r="D84" s="4" t="str">
        <x:v>Tabla 3; DE.AE-08</x:v>
      </x:c>
      <x:c r="E84" s="4" t="str">
        <x:v>DE.AE-08</x:v>
      </x:c>
      <x:c r="F84" s="4" t="str">
        <x:v>Declarar incidente sólo conforme a criterios definidos, considerando falsos positivos.</x:v>
      </x:c>
      <x:c r="G84" s="4" t="str">
        <x:v>Método</x:v>
      </x:c>
      <x:c r="H84" s="4" t="str">
        <x:v>E09</x:v>
      </x:c>
      <x:c r="I84" s="4" t="str">
        <x:v>PD-WRL-001</x:v>
      </x:c>
      <x:c r="J84" s="4" t="str">
        <x:v>OPC-07</x:v>
      </x:c>
      <x:c r="K84" s="4" t="str">
        <x:v>REFINA_CONDICIONES_DE_OPERACION; no constituye aún reglas SV</x:v>
      </x:c>
      <x:c r="L84" s="4" t="str">
        <x:v>CANDIDATA_NO_ADOPTADA</x:v>
      </x:c>
      <x:c r="M84" s="12" t="n">
        <x:f>COUNTIF('05_Complementos'!$A$5:$A$127,A84)-1</x:f>
        <x:v>0</x:v>
      </x:c>
      <x:c r="N84" s="12" t="n">
        <x:f>IF(AND(COUNTIF('01_Fuentes'!$A$5:$A$40,B84)=1,COUNTIF('02_Custodia'!$A$5:$A$53,C84)=1,COUNTIF('07_Operaciones'!$A$5:$A$26,J84)=1,COUNTIF('06_Cobertura'!$A$5:$A$25,H84)=1),0,1)</x:f>
        <x:v>0</x:v>
      </x:c>
      <x:c r="O84" s="12" t="n">
        <x:f>IF(COUNTIF('03_NICE'!$A$5:$A$57,I84)+COUNTIF('04_TKS'!$A$5:$A$72,I84)=1,0,1)</x:f>
        <x:v>0</x:v>
      </x:c>
      <x:c r="P84" s="12" t="n">
        <x:f>IF(OR(AND(B84="F008",L84&lt;&gt;"IDENTIFICADA_NO_ADOPTABLE"),AND(B84="F028",L84&lt;&gt;"PREGUNTA_NO_NORMATIVA"),COUNTIFS('01_Fuentes'!$A$5:$A$40,B84,'01_Fuentes'!$H$5:$H$40,"METADATOS_SOLO")&gt;0),1,0)</x:f>
        <x:v>0</x:v>
      </x:c>
      <x:c r="Q84" s="12" t="n">
        <x:f>IF(OR(A84="",D84="",E84="",F84="",K84="",L84=""),1,0)</x:f>
        <x:v>0</x:v>
      </x:c>
    </x:row>
    <x:row r="85" ht="47" customHeight="1">
      <x:c r="A85" s="4" t="str">
        <x:v>CP-081</x:v>
      </x:c>
      <x:c r="B85" s="4" t="str">
        <x:v>F019</x:v>
      </x:c>
      <x:c r="C85" s="4" t="str">
        <x:v>F019</x:v>
      </x:c>
      <x:c r="D85" s="4" t="str">
        <x:v>Tabla 3; RS.MA-02</x:v>
      </x:c>
      <x:c r="E85" s="4" t="str">
        <x:v>RS.MA-02</x:v>
      </x:c>
      <x:c r="F85" s="4" t="str">
        <x:v>Triajar y validar informes de incidentes antes de continuar su gestión.</x:v>
      </x:c>
      <x:c r="G85" s="4" t="str">
        <x:v>Método</x:v>
      </x:c>
      <x:c r="H85" s="4" t="str">
        <x:v>E11</x:v>
      </x:c>
      <x:c r="I85" s="4" t="str">
        <x:v>PD-WRL-003</x:v>
      </x:c>
      <x:c r="J85" s="4" t="str">
        <x:v>OPC-09</x:v>
      </x:c>
      <x:c r="K85" s="4" t="str">
        <x:v>REFINA_CONDICIONES_DE_OPERACION; no constituye aún reglas SV</x:v>
      </x:c>
      <x:c r="L85" s="4" t="str">
        <x:v>CANDIDATA_NO_ADOPTADA</x:v>
      </x:c>
      <x:c r="M85" s="12" t="n">
        <x:f>COUNTIF('05_Complementos'!$A$5:$A$127,A85)-1</x:f>
        <x:v>0</x:v>
      </x:c>
      <x:c r="N85" s="12" t="n">
        <x:f>IF(AND(COUNTIF('01_Fuentes'!$A$5:$A$40,B85)=1,COUNTIF('02_Custodia'!$A$5:$A$53,C85)=1,COUNTIF('07_Operaciones'!$A$5:$A$26,J85)=1,COUNTIF('06_Cobertura'!$A$5:$A$25,H85)=1),0,1)</x:f>
        <x:v>0</x:v>
      </x:c>
      <x:c r="O85" s="12" t="n">
        <x:f>IF(COUNTIF('03_NICE'!$A$5:$A$57,I85)+COUNTIF('04_TKS'!$A$5:$A$72,I85)=1,0,1)</x:f>
        <x:v>0</x:v>
      </x:c>
      <x:c r="P85" s="12" t="n">
        <x:f>IF(OR(AND(B85="F008",L85&lt;&gt;"IDENTIFICADA_NO_ADOPTABLE"),AND(B85="F028",L85&lt;&gt;"PREGUNTA_NO_NORMATIVA"),COUNTIFS('01_Fuentes'!$A$5:$A$40,B85,'01_Fuentes'!$H$5:$H$40,"METADATOS_SOLO")&gt;0),1,0)</x:f>
        <x:v>0</x:v>
      </x:c>
      <x:c r="Q85" s="12" t="n">
        <x:f>IF(OR(A85="",D85="",E85="",F85="",K85="",L85=""),1,0)</x:f>
        <x:v>0</x:v>
      </x:c>
    </x:row>
    <x:row r="86" ht="47" customHeight="1">
      <x:c r="A86" s="4" t="str">
        <x:v>CP-082</x:v>
      </x:c>
      <x:c r="B86" s="4" t="str">
        <x:v>F019</x:v>
      </x:c>
      <x:c r="C86" s="4" t="str">
        <x:v>F019</x:v>
      </x:c>
      <x:c r="D86" s="4" t="str">
        <x:v>Tabla 3; RS.AN-07</x:v>
      </x:c>
      <x:c r="E86" s="4" t="str">
        <x:v>RS.AN-07</x:v>
      </x:c>
      <x:c r="F86" s="4" t="str">
        <x:v>Obtener y preservar datos y metadatos del incidente con integridad y procedencia.</x:v>
      </x:c>
      <x:c r="G86" s="4" t="str">
        <x:v>Método</x:v>
      </x:c>
      <x:c r="H86" s="4" t="str">
        <x:v>E10</x:v>
      </x:c>
      <x:c r="I86" s="4" t="str">
        <x:v>T1510</x:v>
      </x:c>
      <x:c r="J86" s="4" t="str">
        <x:v>OPC-10</x:v>
      </x:c>
      <x:c r="K86" s="4" t="str">
        <x:v>REFINA_CONDICIONES_DE_OPERACION; no constituye aún reglas SV</x:v>
      </x:c>
      <x:c r="L86" s="4" t="str">
        <x:v>CANDIDATA_NO_ADOPTADA</x:v>
      </x:c>
      <x:c r="M86" s="12" t="n">
        <x:f>COUNTIF('05_Complementos'!$A$5:$A$127,A86)-1</x:f>
        <x:v>0</x:v>
      </x:c>
      <x:c r="N86" s="12" t="n">
        <x:f>IF(AND(COUNTIF('01_Fuentes'!$A$5:$A$40,B86)=1,COUNTIF('02_Custodia'!$A$5:$A$53,C86)=1,COUNTIF('07_Operaciones'!$A$5:$A$26,J86)=1,COUNTIF('06_Cobertura'!$A$5:$A$25,H86)=1),0,1)</x:f>
        <x:v>0</x:v>
      </x:c>
      <x:c r="O86" s="12" t="n">
        <x:f>IF(COUNTIF('03_NICE'!$A$5:$A$57,I86)+COUNTIF('04_TKS'!$A$5:$A$72,I86)=1,0,1)</x:f>
        <x:v>0</x:v>
      </x:c>
      <x:c r="P86" s="12" t="n">
        <x:f>IF(OR(AND(B86="F008",L86&lt;&gt;"IDENTIFICADA_NO_ADOPTABLE"),AND(B86="F028",L86&lt;&gt;"PREGUNTA_NO_NORMATIVA"),COUNTIFS('01_Fuentes'!$A$5:$A$40,B86,'01_Fuentes'!$H$5:$H$40,"METADATOS_SOLO")&gt;0),1,0)</x:f>
        <x:v>0</x:v>
      </x:c>
      <x:c r="Q86" s="12" t="n">
        <x:f>IF(OR(A86="",D86="",E86="",F86="",K86="",L86=""),1,0)</x:f>
        <x:v>0</x:v>
      </x:c>
    </x:row>
    <x:row r="87" ht="47" customHeight="1">
      <x:c r="A87" s="4" t="str">
        <x:v>CP-083</x:v>
      </x:c>
      <x:c r="B87" s="4" t="str">
        <x:v>F020</x:v>
      </x:c>
      <x:c r="C87" s="4" t="str">
        <x:v>F020</x:v>
      </x:c>
      <x:c r="D87" s="4" t="str">
        <x:v>Páginas impresas 28–32; Comparing OT and IT System Security; tabla 1</x:v>
      </x:c>
      <x:c r="E87" s="4" t="str">
        <x:v>safety</x:v>
      </x:c>
      <x:c r="F87" s="4" t="str">
        <x:v>Atender restricciones de seguridad física, fiabilidad y rendimiento antes de evaluar o modificar OT.</x:v>
      </x:c>
      <x:c r="G87" s="4" t="str">
        <x:v>Restricción técnica</x:v>
      </x:c>
      <x:c r="H87" s="4" t="str">
        <x:v>E13</x:v>
      </x:c>
      <x:c r="I87" s="4" t="str">
        <x:v>DD-WRL-009</x:v>
      </x:c>
      <x:c r="J87" s="4" t="str">
        <x:v>OPC-14</x:v>
      </x:c>
      <x:c r="K87" s="4" t="str">
        <x:v>REFINA_FRONTERA_CIBERFISICA</x:v>
      </x:c>
      <x:c r="L87" s="4" t="str">
        <x:v>CANDIDATA_NO_ADOPTADA</x:v>
      </x:c>
      <x:c r="M87" s="12" t="n">
        <x:f>COUNTIF('05_Complementos'!$A$5:$A$127,A87)-1</x:f>
        <x:v>0</x:v>
      </x:c>
      <x:c r="N87" s="12" t="n">
        <x:f>IF(AND(COUNTIF('01_Fuentes'!$A$5:$A$40,B87)=1,COUNTIF('02_Custodia'!$A$5:$A$53,C87)=1,COUNTIF('07_Operaciones'!$A$5:$A$26,J87)=1,COUNTIF('06_Cobertura'!$A$5:$A$25,H87)=1),0,1)</x:f>
        <x:v>0</x:v>
      </x:c>
      <x:c r="O87" s="12" t="n">
        <x:f>IF(COUNTIF('03_NICE'!$A$5:$A$57,I87)+COUNTIF('04_TKS'!$A$5:$A$72,I87)=1,0,1)</x:f>
        <x:v>0</x:v>
      </x:c>
      <x:c r="P87" s="12" t="n">
        <x:f>IF(OR(AND(B87="F008",L87&lt;&gt;"IDENTIFICADA_NO_ADOPTABLE"),AND(B87="F028",L87&lt;&gt;"PREGUNTA_NO_NORMATIVA"),COUNTIFS('01_Fuentes'!$A$5:$A$40,B87,'01_Fuentes'!$H$5:$H$40,"METADATOS_SOLO")&gt;0),1,0)</x:f>
        <x:v>0</x:v>
      </x:c>
      <x:c r="Q87" s="12" t="n">
        <x:f>IF(OR(A87="",D87="",E87="",F87="",K87="",L87=""),1,0)</x:f>
        <x:v>0</x:v>
      </x:c>
    </x:row>
    <x:row r="88" ht="47" customHeight="1">
      <x:c r="A88" s="4" t="str">
        <x:v>CP-084</x:v>
      </x:c>
      <x:c r="B88" s="4" t="str">
        <x:v>F024</x:v>
      </x:c>
      <x:c r="C88" s="4" t="str">
        <x:v>F024</x:v>
      </x:c>
      <x:c r="D88" s="4" t="str">
        <x:v>Parte 2; AI RMF Core; función GOVERN</x:v>
      </x:c>
      <x:c r="E88" s="4" t="str">
        <x:v>GOVERN</x:v>
      </x:c>
      <x:c r="F88" s="4" t="str">
        <x:v>Establecer responsabilidades, cultura y procesos de gobierno del riesgo de IA.</x:v>
      </x:c>
      <x:c r="G88" s="4" t="str">
        <x:v>Método</x:v>
      </x:c>
      <x:c r="H88" s="4" t="str">
        <x:v>E21</x:v>
      </x:c>
      <x:c r="I88" s="4" t="str">
        <x:v>K1327</x:v>
      </x:c>
      <x:c r="J88" s="4" t="str">
        <x:v>OPC-15</x:v>
      </x:c>
      <x:c r="K88" s="4" t="str">
        <x:v>PROFUNDIZA_GOBIERNO_IA</x:v>
      </x:c>
      <x:c r="L88" s="4" t="str">
        <x:v>CANDIDATA_NO_ADOPTADA</x:v>
      </x:c>
      <x:c r="M88" s="12" t="n">
        <x:f>COUNTIF('05_Complementos'!$A$5:$A$127,A88)-1</x:f>
        <x:v>0</x:v>
      </x:c>
      <x:c r="N88" s="12" t="n">
        <x:f>IF(AND(COUNTIF('01_Fuentes'!$A$5:$A$40,B88)=1,COUNTIF('02_Custodia'!$A$5:$A$53,C88)=1,COUNTIF('07_Operaciones'!$A$5:$A$26,J88)=1,COUNTIF('06_Cobertura'!$A$5:$A$25,H88)=1),0,1)</x:f>
        <x:v>0</x:v>
      </x:c>
      <x:c r="O88" s="12" t="n">
        <x:f>IF(COUNTIF('03_NICE'!$A$5:$A$57,I88)+COUNTIF('04_TKS'!$A$5:$A$72,I88)=1,0,1)</x:f>
        <x:v>0</x:v>
      </x:c>
      <x:c r="P88" s="12" t="n">
        <x:f>IF(OR(AND(B88="F008",L88&lt;&gt;"IDENTIFICADA_NO_ADOPTABLE"),AND(B88="F028",L88&lt;&gt;"PREGUNTA_NO_NORMATIVA"),COUNTIFS('01_Fuentes'!$A$5:$A$40,B88,'01_Fuentes'!$H$5:$H$40,"METADATOS_SOLO")&gt;0),1,0)</x:f>
        <x:v>0</x:v>
      </x:c>
      <x:c r="Q88" s="12" t="n">
        <x:f>IF(OR(A88="",D88="",E88="",F88="",K88="",L88=""),1,0)</x:f>
        <x:v>0</x:v>
      </x:c>
    </x:row>
    <x:row r="89" ht="47" customHeight="1">
      <x:c r="A89" s="4" t="str">
        <x:v>CP-085</x:v>
      </x:c>
      <x:c r="B89" s="4" t="str">
        <x:v>F024</x:v>
      </x:c>
      <x:c r="C89" s="4" t="str">
        <x:v>F024</x:v>
      </x:c>
      <x:c r="D89" s="4" t="str">
        <x:v>Parte 2; AI RMF Core; función MAP</x:v>
      </x:c>
      <x:c r="E89" s="4" t="str">
        <x:v>MAP</x:v>
      </x:c>
      <x:c r="F89" s="4" t="str">
        <x:v>Delimitar propósito, contexto, actores y riesgos del uso de IA.</x:v>
      </x:c>
      <x:c r="G89" s="4" t="str">
        <x:v>Método</x:v>
      </x:c>
      <x:c r="H89" s="4" t="str">
        <x:v>E21</x:v>
      </x:c>
      <x:c r="I89" s="4" t="str">
        <x:v>S0952</x:v>
      </x:c>
      <x:c r="J89" s="4" t="str">
        <x:v>OPC-15</x:v>
      </x:c>
      <x:c r="K89" s="4" t="str">
        <x:v>PROFUNDIZA_GOBIERNO_IA</x:v>
      </x:c>
      <x:c r="L89" s="4" t="str">
        <x:v>CANDIDATA_NO_ADOPTADA</x:v>
      </x:c>
      <x:c r="M89" s="12" t="n">
        <x:f>COUNTIF('05_Complementos'!$A$5:$A$127,A89)-1</x:f>
        <x:v>0</x:v>
      </x:c>
      <x:c r="N89" s="12" t="n">
        <x:f>IF(AND(COUNTIF('01_Fuentes'!$A$5:$A$40,B89)=1,COUNTIF('02_Custodia'!$A$5:$A$53,C89)=1,COUNTIF('07_Operaciones'!$A$5:$A$26,J89)=1,COUNTIF('06_Cobertura'!$A$5:$A$25,H89)=1),0,1)</x:f>
        <x:v>0</x:v>
      </x:c>
      <x:c r="O89" s="12" t="n">
        <x:f>IF(COUNTIF('03_NICE'!$A$5:$A$57,I89)+COUNTIF('04_TKS'!$A$5:$A$72,I89)=1,0,1)</x:f>
        <x:v>0</x:v>
      </x:c>
      <x:c r="P89" s="12" t="n">
        <x:f>IF(OR(AND(B89="F008",L89&lt;&gt;"IDENTIFICADA_NO_ADOPTABLE"),AND(B89="F028",L89&lt;&gt;"PREGUNTA_NO_NORMATIVA"),COUNTIFS('01_Fuentes'!$A$5:$A$40,B89,'01_Fuentes'!$H$5:$H$40,"METADATOS_SOLO")&gt;0),1,0)</x:f>
        <x:v>0</x:v>
      </x:c>
      <x:c r="Q89" s="12" t="n">
        <x:f>IF(OR(A89="",D89="",E89="",F89="",K89="",L89=""),1,0)</x:f>
        <x:v>0</x:v>
      </x:c>
    </x:row>
    <x:row r="90" ht="47" customHeight="1">
      <x:c r="A90" s="4" t="str">
        <x:v>CP-086</x:v>
      </x:c>
      <x:c r="B90" s="4" t="str">
        <x:v>F024</x:v>
      </x:c>
      <x:c r="C90" s="4" t="str">
        <x:v>F024</x:v>
      </x:c>
      <x:c r="D90" s="4" t="str">
        <x:v>Parte 2; AI RMF Core; función MEASURE</x:v>
      </x:c>
      <x:c r="E90" s="4" t="str">
        <x:v>MEASURE</x:v>
      </x:c>
      <x:c r="F90" s="4" t="str">
        <x:v>Evaluar riesgos y características pertinentes mediante métodos y métricas documentados.</x:v>
      </x:c>
      <x:c r="G90" s="4" t="str">
        <x:v>Método</x:v>
      </x:c>
      <x:c r="H90" s="4" t="str">
        <x:v>E19</x:v>
      </x:c>
      <x:c r="I90" s="4" t="str">
        <x:v>K1341</x:v>
      </x:c>
      <x:c r="J90" s="4" t="str">
        <x:v>OPC-15</x:v>
      </x:c>
      <x:c r="K90" s="4" t="str">
        <x:v>PROFUNDIZA_GOBIERNO_IA</x:v>
      </x:c>
      <x:c r="L90" s="4" t="str">
        <x:v>CANDIDATA_NO_ADOPTADA</x:v>
      </x:c>
      <x:c r="M90" s="12" t="n">
        <x:f>COUNTIF('05_Complementos'!$A$5:$A$127,A90)-1</x:f>
        <x:v>0</x:v>
      </x:c>
      <x:c r="N90" s="12" t="n">
        <x:f>IF(AND(COUNTIF('01_Fuentes'!$A$5:$A$40,B90)=1,COUNTIF('02_Custodia'!$A$5:$A$53,C90)=1,COUNTIF('07_Operaciones'!$A$5:$A$26,J90)=1,COUNTIF('06_Cobertura'!$A$5:$A$25,H90)=1),0,1)</x:f>
        <x:v>0</x:v>
      </x:c>
      <x:c r="O90" s="12" t="n">
        <x:f>IF(COUNTIF('03_NICE'!$A$5:$A$57,I90)+COUNTIF('04_TKS'!$A$5:$A$72,I90)=1,0,1)</x:f>
        <x:v>0</x:v>
      </x:c>
      <x:c r="P90" s="12" t="n">
        <x:f>IF(OR(AND(B90="F008",L90&lt;&gt;"IDENTIFICADA_NO_ADOPTABLE"),AND(B90="F028",L90&lt;&gt;"PREGUNTA_NO_NORMATIVA"),COUNTIFS('01_Fuentes'!$A$5:$A$40,B90,'01_Fuentes'!$H$5:$H$40,"METADATOS_SOLO")&gt;0),1,0)</x:f>
        <x:v>0</x:v>
      </x:c>
      <x:c r="Q90" s="12" t="n">
        <x:f>IF(OR(A90="",D90="",E90="",F90="",K90="",L90=""),1,0)</x:f>
        <x:v>0</x:v>
      </x:c>
    </x:row>
    <x:row r="91" ht="47" customHeight="1">
      <x:c r="A91" s="4" t="str">
        <x:v>CP-087</x:v>
      </x:c>
      <x:c r="B91" s="4" t="str">
        <x:v>F024</x:v>
      </x:c>
      <x:c r="C91" s="4" t="str">
        <x:v>F024</x:v>
      </x:c>
      <x:c r="D91" s="4" t="str">
        <x:v>Parte 2; AI RMF Core; función MANAGE</x:v>
      </x:c>
      <x:c r="E91" s="4" t="str">
        <x:v>MANAGE</x:v>
      </x:c>
      <x:c r="F91" s="4" t="str">
        <x:v>Priorizar y tratar riesgos de IA conforme a contexto y recursos legitimados.</x:v>
      </x:c>
      <x:c r="G91" s="4" t="str">
        <x:v>Método</x:v>
      </x:c>
      <x:c r="H91" s="4" t="str">
        <x:v>E21</x:v>
      </x:c>
      <x:c r="I91" s="4" t="str">
        <x:v>K1336</x:v>
      </x:c>
      <x:c r="J91" s="4" t="str">
        <x:v>OPC-01</x:v>
      </x:c>
      <x:c r="K91" s="4" t="str">
        <x:v>PROFUNDIZA_GOBIERNO_IA</x:v>
      </x:c>
      <x:c r="L91" s="4" t="str">
        <x:v>CANDIDATA_NO_ADOPTADA</x:v>
      </x:c>
      <x:c r="M91" s="12" t="n">
        <x:f>COUNTIF('05_Complementos'!$A$5:$A$127,A91)-1</x:f>
        <x:v>0</x:v>
      </x:c>
      <x:c r="N91" s="12" t="n">
        <x:f>IF(AND(COUNTIF('01_Fuentes'!$A$5:$A$40,B91)=1,COUNTIF('02_Custodia'!$A$5:$A$53,C91)=1,COUNTIF('07_Operaciones'!$A$5:$A$26,J91)=1,COUNTIF('06_Cobertura'!$A$5:$A$25,H91)=1),0,1)</x:f>
        <x:v>0</x:v>
      </x:c>
      <x:c r="O91" s="12" t="n">
        <x:f>IF(COUNTIF('03_NICE'!$A$5:$A$57,I91)+COUNTIF('04_TKS'!$A$5:$A$72,I91)=1,0,1)</x:f>
        <x:v>0</x:v>
      </x:c>
      <x:c r="P91" s="12" t="n">
        <x:f>IF(OR(AND(B91="F008",L91&lt;&gt;"IDENTIFICADA_NO_ADOPTABLE"),AND(B91="F028",L91&lt;&gt;"PREGUNTA_NO_NORMATIVA"),COUNTIFS('01_Fuentes'!$A$5:$A$40,B91,'01_Fuentes'!$H$5:$H$40,"METADATOS_SOLO")&gt;0),1,0)</x:f>
        <x:v>0</x:v>
      </x:c>
      <x:c r="Q91" s="12" t="n">
        <x:f>IF(OR(A91="",D91="",E91="",F91="",K91="",L91=""),1,0)</x:f>
        <x:v>0</x:v>
      </x:c>
    </x:row>
    <x:row r="92" ht="47" customHeight="1">
      <x:c r="A92" s="4" t="str">
        <x:v>CP-088</x:v>
      </x:c>
      <x:c r="B92" s="4" t="str">
        <x:v>F025</x:v>
      </x:c>
      <x:c r="C92" s="4" t="str">
        <x:v>F025</x:v>
      </x:c>
      <x:c r="D92" s="4" t="str">
        <x:v>Tabla 1; PS.1.1</x:v>
      </x:c>
      <x:c r="E92" s="4" t="str">
        <x:v>PS.1.1</x:v>
      </x:c>
      <x:c r="F92" s="4" t="str">
        <x:v>Aplicar mínimo privilegio al almacenamiento de código y elementos de modelos.</x:v>
      </x:c>
      <x:c r="G92" s="4" t="str">
        <x:v>Práctica técnica</x:v>
      </x:c>
      <x:c r="H92" s="4" t="str">
        <x:v>E18</x:v>
      </x:c>
      <x:c r="I92" s="4" t="str">
        <x:v>NF-COM-001</x:v>
      </x:c>
      <x:c r="J92" s="4" t="str">
        <x:v>OPC-03</x:v>
      </x:c>
      <x:c r="K92" s="4" t="str">
        <x:v>REFINA_CICLO_DE_MODELO; no generaliza alcance de 218A</x:v>
      </x:c>
      <x:c r="L92" s="4" t="str">
        <x:v>CANDIDATA_NO_ADOPTADA</x:v>
      </x:c>
      <x:c r="M92" s="12" t="n">
        <x:f>COUNTIF('05_Complementos'!$A$5:$A$127,A92)-1</x:f>
        <x:v>0</x:v>
      </x:c>
      <x:c r="N92" s="12" t="n">
        <x:f>IF(AND(COUNTIF('01_Fuentes'!$A$5:$A$40,B92)=1,COUNTIF('02_Custodia'!$A$5:$A$53,C92)=1,COUNTIF('07_Operaciones'!$A$5:$A$26,J92)=1,COUNTIF('06_Cobertura'!$A$5:$A$25,H92)=1),0,1)</x:f>
        <x:v>0</x:v>
      </x:c>
      <x:c r="O92" s="12" t="n">
        <x:f>IF(COUNTIF('03_NICE'!$A$5:$A$57,I92)+COUNTIF('04_TKS'!$A$5:$A$72,I92)=1,0,1)</x:f>
        <x:v>0</x:v>
      </x:c>
      <x:c r="P92" s="12" t="n">
        <x:f>IF(OR(AND(B92="F008",L92&lt;&gt;"IDENTIFICADA_NO_ADOPTABLE"),AND(B92="F028",L92&lt;&gt;"PREGUNTA_NO_NORMATIVA"),COUNTIFS('01_Fuentes'!$A$5:$A$40,B92,'01_Fuentes'!$H$5:$H$40,"METADATOS_SOLO")&gt;0),1,0)</x:f>
        <x:v>0</x:v>
      </x:c>
      <x:c r="Q92" s="12" t="n">
        <x:f>IF(OR(A92="",D92="",E92="",F92="",K92="",L92=""),1,0)</x:f>
        <x:v>0</x:v>
      </x:c>
    </x:row>
    <x:row r="93" ht="47" customHeight="1">
      <x:c r="A93" s="4" t="str">
        <x:v>CP-089</x:v>
      </x:c>
      <x:c r="B93" s="4" t="str">
        <x:v>F025</x:v>
      </x:c>
      <x:c r="C93" s="4" t="str">
        <x:v>F025</x:v>
      </x:c>
      <x:c r="D93" s="4" t="str">
        <x:v>Tabla 1; PS.1.2</x:v>
      </x:c>
      <x:c r="E93" s="4" t="str">
        <x:v>PS.1.2</x:v>
      </x:c>
      <x:c r="F93" s="4" t="str">
        <x:v>Proteger datos de entrenamiento, prueba, ajuste y alineación frente a acceso y modificación no autorizados.</x:v>
      </x:c>
      <x:c r="G93" s="4" t="str">
        <x:v>Práctica técnica</x:v>
      </x:c>
      <x:c r="H93" s="4" t="str">
        <x:v>E18</x:v>
      </x:c>
      <x:c r="I93" s="4" t="str">
        <x:v>K1324</x:v>
      </x:c>
      <x:c r="J93" s="4" t="str">
        <x:v>OPC-15</x:v>
      </x:c>
      <x:c r="K93" s="4" t="str">
        <x:v>REFINA_CICLO_DE_MODELO; no generaliza alcance de 218A</x:v>
      </x:c>
      <x:c r="L93" s="4" t="str">
        <x:v>CANDIDATA_NO_ADOPTADA</x:v>
      </x:c>
      <x:c r="M93" s="12" t="n">
        <x:f>COUNTIF('05_Complementos'!$A$5:$A$127,A93)-1</x:f>
        <x:v>0</x:v>
      </x:c>
      <x:c r="N93" s="12" t="n">
        <x:f>IF(AND(COUNTIF('01_Fuentes'!$A$5:$A$40,B93)=1,COUNTIF('02_Custodia'!$A$5:$A$53,C93)=1,COUNTIF('07_Operaciones'!$A$5:$A$26,J93)=1,COUNTIF('06_Cobertura'!$A$5:$A$25,H93)=1),0,1)</x:f>
        <x:v>0</x:v>
      </x:c>
      <x:c r="O93" s="12" t="n">
        <x:f>IF(COUNTIF('03_NICE'!$A$5:$A$57,I93)+COUNTIF('04_TKS'!$A$5:$A$72,I93)=1,0,1)</x:f>
        <x:v>0</x:v>
      </x:c>
      <x:c r="P93" s="12" t="n">
        <x:f>IF(OR(AND(B93="F008",L93&lt;&gt;"IDENTIFICADA_NO_ADOPTABLE"),AND(B93="F028",L93&lt;&gt;"PREGUNTA_NO_NORMATIVA"),COUNTIFS('01_Fuentes'!$A$5:$A$40,B93,'01_Fuentes'!$H$5:$H$40,"METADATOS_SOLO")&gt;0),1,0)</x:f>
        <x:v>0</x:v>
      </x:c>
      <x:c r="Q93" s="12" t="n">
        <x:f>IF(OR(A93="",D93="",E93="",F93="",K93="",L93=""),1,0)</x:f>
        <x:v>0</x:v>
      </x:c>
    </x:row>
    <x:row r="94" ht="47" customHeight="1">
      <x:c r="A94" s="4" t="str">
        <x:v>CP-090</x:v>
      </x:c>
      <x:c r="B94" s="4" t="str">
        <x:v>F025</x:v>
      </x:c>
      <x:c r="C94" s="4" t="str">
        <x:v>F025</x:v>
      </x:c>
      <x:c r="D94" s="4" t="str">
        <x:v>Tabla 1; PS.1.3</x:v>
      </x:c>
      <x:c r="E94" s="4" t="str">
        <x:v>PS.1.3</x:v>
      </x:c>
      <x:c r="F94" s="4" t="str">
        <x:v>Proteger pesos y configuración del modelo; conservar distinción respecto de los datos.</x:v>
      </x:c>
      <x:c r="G94" s="4" t="str">
        <x:v>Práctica técnica</x:v>
      </x:c>
      <x:c r="H94" s="4" t="str">
        <x:v>E18</x:v>
      </x:c>
      <x:c r="I94" s="4" t="str">
        <x:v>K1318</x:v>
      </x:c>
      <x:c r="J94" s="4" t="str">
        <x:v>OPC-05</x:v>
      </x:c>
      <x:c r="K94" s="4" t="str">
        <x:v>REFINA_CICLO_DE_MODELO; no generaliza alcance de 218A</x:v>
      </x:c>
      <x:c r="L94" s="4" t="str">
        <x:v>CANDIDATA_NO_ADOPTADA</x:v>
      </x:c>
      <x:c r="M94" s="12" t="n">
        <x:f>COUNTIF('05_Complementos'!$A$5:$A$127,A94)-1</x:f>
        <x:v>0</x:v>
      </x:c>
      <x:c r="N94" s="12" t="n">
        <x:f>IF(AND(COUNTIF('01_Fuentes'!$A$5:$A$40,B94)=1,COUNTIF('02_Custodia'!$A$5:$A$53,C94)=1,COUNTIF('07_Operaciones'!$A$5:$A$26,J94)=1,COUNTIF('06_Cobertura'!$A$5:$A$25,H94)=1),0,1)</x:f>
        <x:v>0</x:v>
      </x:c>
      <x:c r="O94" s="12" t="n">
        <x:f>IF(COUNTIF('03_NICE'!$A$5:$A$57,I94)+COUNTIF('04_TKS'!$A$5:$A$72,I94)=1,0,1)</x:f>
        <x:v>0</x:v>
      </x:c>
      <x:c r="P94" s="12" t="n">
        <x:f>IF(OR(AND(B94="F008",L94&lt;&gt;"IDENTIFICADA_NO_ADOPTABLE"),AND(B94="F028",L94&lt;&gt;"PREGUNTA_NO_NORMATIVA"),COUNTIFS('01_Fuentes'!$A$5:$A$40,B94,'01_Fuentes'!$H$5:$H$40,"METADATOS_SOLO")&gt;0),1,0)</x:f>
        <x:v>0</x:v>
      </x:c>
      <x:c r="Q94" s="12" t="n">
        <x:f>IF(OR(A94="",D94="",E94="",F94="",K94="",L94=""),1,0)</x:f>
        <x:v>0</x:v>
      </x:c>
    </x:row>
    <x:row r="95" ht="47" customHeight="1">
      <x:c r="A95" s="4" t="str">
        <x:v>CP-091</x:v>
      </x:c>
      <x:c r="B95" s="4" t="str">
        <x:v>F026</x:v>
      </x:c>
      <x:c r="C95" s="4" t="str">
        <x:v>F026</x:v>
      </x:c>
      <x:c r="D95" s="4" t="str">
        <x:v>§2.1</x:v>
      </x:c>
      <x:c r="E95" s="4" t="str">
        <x:v>Attacker</x:v>
      </x:c>
      <x:c r="F95" s="4" t="str">
        <x:v>Separar objetivos, conocimiento y capacidades del adversario para delimitar el ataque.</x:v>
      </x:c>
      <x:c r="G95" s="4" t="str">
        <x:v>Conocimiento</x:v>
      </x:c>
      <x:c r="H95" s="4" t="str">
        <x:v>E18</x:v>
      </x:c>
      <x:c r="I95" s="4" t="str">
        <x:v>K1320</x:v>
      </x:c>
      <x:c r="J95" s="4" t="str">
        <x:v>OPC-15</x:v>
      </x:c>
      <x:c r="K95" s="4" t="str">
        <x:v>REFINA_TAXONOMIA; no prueba ataque individual</x:v>
      </x:c>
      <x:c r="L95" s="4" t="str">
        <x:v>CANDIDATA_NO_ADOPTADA</x:v>
      </x:c>
      <x:c r="M95" s="12" t="n">
        <x:f>COUNTIF('05_Complementos'!$A$5:$A$127,A95)-1</x:f>
        <x:v>0</x:v>
      </x:c>
      <x:c r="N95" s="12" t="n">
        <x:f>IF(AND(COUNTIF('01_Fuentes'!$A$5:$A$40,B95)=1,COUNTIF('02_Custodia'!$A$5:$A$53,C95)=1,COUNTIF('07_Operaciones'!$A$5:$A$26,J95)=1,COUNTIF('06_Cobertura'!$A$5:$A$25,H95)=1),0,1)</x:f>
        <x:v>0</x:v>
      </x:c>
      <x:c r="O95" s="12" t="n">
        <x:f>IF(COUNTIF('03_NICE'!$A$5:$A$57,I95)+COUNTIF('04_TKS'!$A$5:$A$72,I95)=1,0,1)</x:f>
        <x:v>0</x:v>
      </x:c>
      <x:c r="P95" s="12" t="n">
        <x:f>IF(OR(AND(B95="F008",L95&lt;&gt;"IDENTIFICADA_NO_ADOPTABLE"),AND(B95="F028",L95&lt;&gt;"PREGUNTA_NO_NORMATIVA"),COUNTIFS('01_Fuentes'!$A$5:$A$40,B95,'01_Fuentes'!$H$5:$H$40,"METADATOS_SOLO")&gt;0),1,0)</x:f>
        <x:v>0</x:v>
      </x:c>
      <x:c r="Q95" s="12" t="n">
        <x:f>IF(OR(A95="",D95="",E95="",F95="",K95="",L95=""),1,0)</x:f>
        <x:v>0</x:v>
      </x:c>
    </x:row>
    <x:row r="96" ht="47" customHeight="1">
      <x:c r="A96" s="4" t="str">
        <x:v>CP-092</x:v>
      </x:c>
      <x:c r="B96" s="4" t="str">
        <x:v>F026</x:v>
      </x:c>
      <x:c r="C96" s="4" t="str">
        <x:v>F026</x:v>
      </x:c>
      <x:c r="D96" s="4" t="str">
        <x:v>§2.2</x:v>
      </x:c>
      <x:c r="E96" s="4" t="str">
        <x:v>Evasion</x:v>
      </x:c>
      <x:c r="F96" s="4" t="str">
        <x:v>Distinguir evasión durante uso del modelo de alteración de su entrenamiento.</x:v>
      </x:c>
      <x:c r="G96" s="4" t="str">
        <x:v>Conocimiento</x:v>
      </x:c>
      <x:c r="H96" s="4" t="str">
        <x:v>E18</x:v>
      </x:c>
      <x:c r="I96" s="4" t="str">
        <x:v>K1320</x:v>
      </x:c>
      <x:c r="J96" s="4" t="str">
        <x:v>OPC-15</x:v>
      </x:c>
      <x:c r="K96" s="4" t="str">
        <x:v>REFINA_TAXONOMIA; no prueba ataque individual</x:v>
      </x:c>
      <x:c r="L96" s="4" t="str">
        <x:v>CANDIDATA_NO_ADOPTADA</x:v>
      </x:c>
      <x:c r="M96" s="12" t="n">
        <x:f>COUNTIF('05_Complementos'!$A$5:$A$127,A96)-1</x:f>
        <x:v>0</x:v>
      </x:c>
      <x:c r="N96" s="12" t="n">
        <x:f>IF(AND(COUNTIF('01_Fuentes'!$A$5:$A$40,B96)=1,COUNTIF('02_Custodia'!$A$5:$A$53,C96)=1,COUNTIF('07_Operaciones'!$A$5:$A$26,J96)=1,COUNTIF('06_Cobertura'!$A$5:$A$25,H96)=1),0,1)</x:f>
        <x:v>0</x:v>
      </x:c>
      <x:c r="O96" s="12" t="n">
        <x:f>IF(COUNTIF('03_NICE'!$A$5:$A$57,I96)+COUNTIF('04_TKS'!$A$5:$A$72,I96)=1,0,1)</x:f>
        <x:v>0</x:v>
      </x:c>
      <x:c r="P96" s="12" t="n">
        <x:f>IF(OR(AND(B96="F008",L96&lt;&gt;"IDENTIFICADA_NO_ADOPTABLE"),AND(B96="F028",L96&lt;&gt;"PREGUNTA_NO_NORMATIVA"),COUNTIFS('01_Fuentes'!$A$5:$A$40,B96,'01_Fuentes'!$H$5:$H$40,"METADATOS_SOLO")&gt;0),1,0)</x:f>
        <x:v>0</x:v>
      </x:c>
      <x:c r="Q96" s="12" t="n">
        <x:f>IF(OR(A96="",D96="",E96="",F96="",K96="",L96=""),1,0)</x:f>
        <x:v>0</x:v>
      </x:c>
    </x:row>
    <x:row r="97" ht="47" customHeight="1">
      <x:c r="A97" s="4" t="str">
        <x:v>CP-093</x:v>
      </x:c>
      <x:c r="B97" s="4" t="str">
        <x:v>F026</x:v>
      </x:c>
      <x:c r="C97" s="4" t="str">
        <x:v>F026</x:v>
      </x:c>
      <x:c r="D97" s="4" t="str">
        <x:v>§2.3</x:v>
      </x:c>
      <x:c r="E97" s="4" t="str">
        <x:v>Poisoning</x:v>
      </x:c>
      <x:c r="F97" s="4" t="str">
        <x:v>Distinguir envenenamiento de datos y de modelo bajo capacidades adversarias declaradas.</x:v>
      </x:c>
      <x:c r="G97" s="4" t="str">
        <x:v>Conocimiento</x:v>
      </x:c>
      <x:c r="H97" s="4" t="str">
        <x:v>E18</x:v>
      </x:c>
      <x:c r="I97" s="4" t="str">
        <x:v>K1324</x:v>
      </x:c>
      <x:c r="J97" s="4" t="str">
        <x:v>OPC-15</x:v>
      </x:c>
      <x:c r="K97" s="4" t="str">
        <x:v>REFINA_TAXONOMIA; no prueba ataque individual</x:v>
      </x:c>
      <x:c r="L97" s="4" t="str">
        <x:v>CANDIDATA_NO_ADOPTADA</x:v>
      </x:c>
      <x:c r="M97" s="12" t="n">
        <x:f>COUNTIF('05_Complementos'!$A$5:$A$127,A97)-1</x:f>
        <x:v>0</x:v>
      </x:c>
      <x:c r="N97" s="12" t="n">
        <x:f>IF(AND(COUNTIF('01_Fuentes'!$A$5:$A$40,B97)=1,COUNTIF('02_Custodia'!$A$5:$A$53,C97)=1,COUNTIF('07_Operaciones'!$A$5:$A$26,J97)=1,COUNTIF('06_Cobertura'!$A$5:$A$25,H97)=1),0,1)</x:f>
        <x:v>0</x:v>
      </x:c>
      <x:c r="O97" s="12" t="n">
        <x:f>IF(COUNTIF('03_NICE'!$A$5:$A$57,I97)+COUNTIF('04_TKS'!$A$5:$A$72,I97)=1,0,1)</x:f>
        <x:v>0</x:v>
      </x:c>
      <x:c r="P97" s="12" t="n">
        <x:f>IF(OR(AND(B97="F008",L97&lt;&gt;"IDENTIFICADA_NO_ADOPTABLE"),AND(B97="F028",L97&lt;&gt;"PREGUNTA_NO_NORMATIVA"),COUNTIFS('01_Fuentes'!$A$5:$A$40,B97,'01_Fuentes'!$H$5:$H$40,"METADATOS_SOLO")&gt;0),1,0)</x:f>
        <x:v>0</x:v>
      </x:c>
      <x:c r="Q97" s="12" t="n">
        <x:f>IF(OR(A97="",D97="",E97="",F97="",K97="",L97=""),1,0)</x:f>
        <x:v>0</x:v>
      </x:c>
    </x:row>
    <x:row r="98" ht="47" customHeight="1">
      <x:c r="A98" s="4" t="str">
        <x:v>CP-094</x:v>
      </x:c>
      <x:c r="B98" s="4" t="str">
        <x:v>F026</x:v>
      </x:c>
      <x:c r="C98" s="4" t="str">
        <x:v>F026</x:v>
      </x:c>
      <x:c r="D98" s="4" t="str">
        <x:v>§2.4</x:v>
      </x:c>
      <x:c r="E98" s="4" t="str">
        <x:v>Privacy</x:v>
      </x:c>
      <x:c r="F98" s="4" t="str">
        <x:v>Analizar inferencia de pertenencia, reconstrucción y extracción de información protegida.</x:v>
      </x:c>
      <x:c r="G98" s="4" t="str">
        <x:v>Conocimiento</x:v>
      </x:c>
      <x:c r="H98" s="4" t="str">
        <x:v>E18</x:v>
      </x:c>
      <x:c r="I98" s="4" t="str">
        <x:v>OG-WRL-008</x:v>
      </x:c>
      <x:c r="J98" s="4" t="str">
        <x:v>OPC-17</x:v>
      </x:c>
      <x:c r="K98" s="4" t="str">
        <x:v>REFINA_TAXONOMIA; no prueba ataque individual</x:v>
      </x:c>
      <x:c r="L98" s="4" t="str">
        <x:v>CANDIDATA_NO_ADOPTADA</x:v>
      </x:c>
      <x:c r="M98" s="12" t="n">
        <x:f>COUNTIF('05_Complementos'!$A$5:$A$127,A98)-1</x:f>
        <x:v>0</x:v>
      </x:c>
      <x:c r="N98" s="12" t="n">
        <x:f>IF(AND(COUNTIF('01_Fuentes'!$A$5:$A$40,B98)=1,COUNTIF('02_Custodia'!$A$5:$A$53,C98)=1,COUNTIF('07_Operaciones'!$A$5:$A$26,J98)=1,COUNTIF('06_Cobertura'!$A$5:$A$25,H98)=1),0,1)</x:f>
        <x:v>0</x:v>
      </x:c>
      <x:c r="O98" s="12" t="n">
        <x:f>IF(COUNTIF('03_NICE'!$A$5:$A$57,I98)+COUNTIF('04_TKS'!$A$5:$A$72,I98)=1,0,1)</x:f>
        <x:v>0</x:v>
      </x:c>
      <x:c r="P98" s="12" t="n">
        <x:f>IF(OR(AND(B98="F008",L98&lt;&gt;"IDENTIFICADA_NO_ADOPTABLE"),AND(B98="F028",L98&lt;&gt;"PREGUNTA_NO_NORMATIVA"),COUNTIFS('01_Fuentes'!$A$5:$A$40,B98,'01_Fuentes'!$H$5:$H$40,"METADATOS_SOLO")&gt;0),1,0)</x:f>
        <x:v>0</x:v>
      </x:c>
      <x:c r="Q98" s="12" t="n">
        <x:f>IF(OR(A98="",D98="",E98="",F98="",K98="",L98=""),1,0)</x:f>
        <x:v>0</x:v>
      </x:c>
    </x:row>
    <x:row r="99" ht="47" customHeight="1">
      <x:c r="A99" s="4" t="str">
        <x:v>CP-095</x:v>
      </x:c>
      <x:c r="B99" s="4" t="str">
        <x:v>F026</x:v>
      </x:c>
      <x:c r="C99" s="4" t="str">
        <x:v>F026</x:v>
      </x:c>
      <x:c r="D99" s="4" t="str">
        <x:v>§3</x:v>
      </x:c>
      <x:c r="E99" s="4" t="str">
        <x:v>Generative AI</x:v>
      </x:c>
      <x:c r="F99" s="4" t="str">
        <x:v>Tratar amenazas de IA generativa sin absorber en ellas toda la IA predictiva.</x:v>
      </x:c>
      <x:c r="G99" s="4" t="str">
        <x:v>Conocimiento</x:v>
      </x:c>
      <x:c r="H99" s="4" t="str">
        <x:v>E18</x:v>
      </x:c>
      <x:c r="I99" s="4" t="str">
        <x:v>NF-COM-002</x:v>
      </x:c>
      <x:c r="J99" s="4" t="str">
        <x:v>OPC-15</x:v>
      </x:c>
      <x:c r="K99" s="4" t="str">
        <x:v>REFINA_TAXONOMIA; no prueba ataque individual</x:v>
      </x:c>
      <x:c r="L99" s="4" t="str">
        <x:v>CANDIDATA_NO_ADOPTADA</x:v>
      </x:c>
      <x:c r="M99" s="12" t="n">
        <x:f>COUNTIF('05_Complementos'!$A$5:$A$127,A99)-1</x:f>
        <x:v>0</x:v>
      </x:c>
      <x:c r="N99" s="12" t="n">
        <x:f>IF(AND(COUNTIF('01_Fuentes'!$A$5:$A$40,B99)=1,COUNTIF('02_Custodia'!$A$5:$A$53,C99)=1,COUNTIF('07_Operaciones'!$A$5:$A$26,J99)=1,COUNTIF('06_Cobertura'!$A$5:$A$25,H99)=1),0,1)</x:f>
        <x:v>0</x:v>
      </x:c>
      <x:c r="O99" s="12" t="n">
        <x:f>IF(COUNTIF('03_NICE'!$A$5:$A$57,I99)+COUNTIF('04_TKS'!$A$5:$A$72,I99)=1,0,1)</x:f>
        <x:v>0</x:v>
      </x:c>
      <x:c r="P99" s="12" t="n">
        <x:f>IF(OR(AND(B99="F008",L99&lt;&gt;"IDENTIFICADA_NO_ADOPTABLE"),AND(B99="F028",L99&lt;&gt;"PREGUNTA_NO_NORMATIVA"),COUNTIFS('01_Fuentes'!$A$5:$A$40,B99,'01_Fuentes'!$H$5:$H$40,"METADATOS_SOLO")&gt;0),1,0)</x:f>
        <x:v>0</x:v>
      </x:c>
      <x:c r="Q99" s="12" t="n">
        <x:f>IF(OR(A99="",D99="",E99="",F99="",K99="",L99=""),1,0)</x:f>
        <x:v>0</x:v>
      </x:c>
    </x:row>
    <x:row r="100" ht="47" customHeight="1">
      <x:c r="A100" s="4" t="str">
        <x:v>CP-096</x:v>
      </x:c>
      <x:c r="B100" s="4" t="str">
        <x:v>F027</x:v>
      </x:c>
      <x:c r="C100" s="4" t="str">
        <x:v>F027</x:v>
      </x:c>
      <x:c r="D100" s="4" t="str">
        <x:v>Sección 0; Overview</x:v>
      </x:c>
      <x:c r="E100" s="4" t="str">
        <x:v>all types of AI</x:v>
      </x:c>
      <x:c r="F100" s="4" t="str">
        <x:v>Contrastar amenazas y controles en diversas clases de IA; seguridad y privacidad no se agotan en LLM.</x:v>
      </x:c>
      <x:c r="G100" s="4" t="str">
        <x:v>Conocimiento</x:v>
      </x:c>
      <x:c r="H100" s="4" t="str">
        <x:v>E18</x:v>
      </x:c>
      <x:c r="I100" s="4" t="str">
        <x:v>NF-COM-002</x:v>
      </x:c>
      <x:c r="J100" s="4" t="str">
        <x:v>OPC-15</x:v>
      </x:c>
      <x:c r="K100" s="4" t="str">
        <x:v>CONTRASTE_AMPLITUD_IA; captura de sección, no sitio completo</x:v>
      </x:c>
      <x:c r="L100" s="4" t="str">
        <x:v>CANDIDATA_NO_ADOPTADA</x:v>
      </x:c>
      <x:c r="M100" s="12" t="n">
        <x:f>COUNTIF('05_Complementos'!$A$5:$A$127,A100)-1</x:f>
        <x:v>0</x:v>
      </x:c>
      <x:c r="N100" s="12" t="n">
        <x:f>IF(AND(COUNTIF('01_Fuentes'!$A$5:$A$40,B100)=1,COUNTIF('02_Custodia'!$A$5:$A$53,C100)=1,COUNTIF('07_Operaciones'!$A$5:$A$26,J100)=1,COUNTIF('06_Cobertura'!$A$5:$A$25,H100)=1),0,1)</x:f>
        <x:v>0</x:v>
      </x:c>
      <x:c r="O100" s="12" t="n">
        <x:f>IF(COUNTIF('03_NICE'!$A$5:$A$57,I100)+COUNTIF('04_TKS'!$A$5:$A$72,I100)=1,0,1)</x:f>
        <x:v>0</x:v>
      </x:c>
      <x:c r="P100" s="12" t="n">
        <x:f>IF(OR(AND(B100="F008",L100&lt;&gt;"IDENTIFICADA_NO_ADOPTABLE"),AND(B100="F028",L100&lt;&gt;"PREGUNTA_NO_NORMATIVA"),COUNTIFS('01_Fuentes'!$A$5:$A$40,B100,'01_Fuentes'!$H$5:$H$40,"METADATOS_SOLO")&gt;0),1,0)</x:f>
        <x:v>0</x:v>
      </x:c>
      <x:c r="Q100" s="12" t="n">
        <x:f>IF(OR(A100="",D100="",E100="",F100="",K100="",L100=""),1,0)</x:f>
        <x:v>0</x:v>
      </x:c>
    </x:row>
    <x:row r="101" ht="47" customHeight="1">
      <x:c r="A101" s="4" t="str">
        <x:v>CP-097</x:v>
      </x:c>
      <x:c r="B101" s="4" t="str">
        <x:v>F028</x:v>
      </x:c>
      <x:c r="C101" s="4" t="str">
        <x:v>F028</x:v>
      </x:c>
      <x:c r="D101" s="4" t="str">
        <x:v>§2; áreas de enfoque</x:v>
      </x:c>
      <x:c r="E101" s="4" t="str">
        <x:v>Securing AI System Components</x:v>
      </x:c>
      <x:c r="F101" s="4" t="str">
        <x:v>Revisar seguridad del sistema de IA.</x:v>
      </x:c>
      <x:c r="G101" s="4" t="str">
        <x:v>Pregunta de cobertura</x:v>
      </x:c>
      <x:c r="H101" s="4" t="str">
        <x:v>E18</x:v>
      </x:c>
      <x:c r="I101" s="4" t="str">
        <x:v>NF-COM-002</x:v>
      </x:c>
      <x:c r="J101" s="4" t="str">
        <x:v>OPC-15</x:v>
      </x:c>
      <x:c r="K101" s="4" t="str">
        <x:v>BORRADOR; no constituye obligación normativa</x:v>
      </x:c>
      <x:c r="L101" s="4" t="str">
        <x:v>PREGUNTA_NO_NORMATIVA</x:v>
      </x:c>
      <x:c r="M101" s="12" t="n">
        <x:f>COUNTIF('05_Complementos'!$A$5:$A$127,A101)-1</x:f>
        <x:v>0</x:v>
      </x:c>
      <x:c r="N101" s="12" t="n">
        <x:f>IF(AND(COUNTIF('01_Fuentes'!$A$5:$A$40,B101)=1,COUNTIF('02_Custodia'!$A$5:$A$53,C101)=1,COUNTIF('07_Operaciones'!$A$5:$A$26,J101)=1,COUNTIF('06_Cobertura'!$A$5:$A$25,H101)=1),0,1)</x:f>
        <x:v>0</x:v>
      </x:c>
      <x:c r="O101" s="12" t="n">
        <x:f>IF(COUNTIF('03_NICE'!$A$5:$A$57,I101)+COUNTIF('04_TKS'!$A$5:$A$72,I101)=1,0,1)</x:f>
        <x:v>0</x:v>
      </x:c>
      <x:c r="P101" s="12" t="n">
        <x:f>IF(OR(AND(B101="F008",L101&lt;&gt;"IDENTIFICADA_NO_ADOPTABLE"),AND(B101="F028",L101&lt;&gt;"PREGUNTA_NO_NORMATIVA"),COUNTIFS('01_Fuentes'!$A$5:$A$40,B101,'01_Fuentes'!$H$5:$H$40,"METADATOS_SOLO")&gt;0),1,0)</x:f>
        <x:v>0</x:v>
      </x:c>
      <x:c r="Q101" s="12" t="n">
        <x:f>IF(OR(A101="",D101="",E101="",F101="",K101="",L101=""),1,0)</x:f>
        <x:v>0</x:v>
      </x:c>
    </x:row>
    <x:row r="102" ht="47" customHeight="1">
      <x:c r="A102" s="4" t="str">
        <x:v>CP-098</x:v>
      </x:c>
      <x:c r="B102" s="4" t="str">
        <x:v>F028</x:v>
      </x:c>
      <x:c r="C102" s="4" t="str">
        <x:v>F028</x:v>
      </x:c>
      <x:c r="D102" s="4" t="str">
        <x:v>§2; áreas de enfoque</x:v>
      </x:c>
      <x:c r="E102" s="4" t="str">
        <x:v>Conducting AI-enabled Cyber Defense</x:v>
      </x:c>
      <x:c r="F102" s="4" t="str">
        <x:v>Revisar utilización de IA para defender sistemas.</x:v>
      </x:c>
      <x:c r="G102" s="4" t="str">
        <x:v>Pregunta de cobertura</x:v>
      </x:c>
      <x:c r="H102" s="4" t="str">
        <x:v>E19</x:v>
      </x:c>
      <x:c r="I102" s="4" t="str">
        <x:v>NF-COM-002</x:v>
      </x:c>
      <x:c r="J102" s="4" t="str">
        <x:v>OPC-15</x:v>
      </x:c>
      <x:c r="K102" s="4" t="str">
        <x:v>BORRADOR; no constituye obligación normativa</x:v>
      </x:c>
      <x:c r="L102" s="4" t="str">
        <x:v>PREGUNTA_NO_NORMATIVA</x:v>
      </x:c>
      <x:c r="M102" s="12" t="n">
        <x:f>COUNTIF('05_Complementos'!$A$5:$A$127,A102)-1</x:f>
        <x:v>0</x:v>
      </x:c>
      <x:c r="N102" s="12" t="n">
        <x:f>IF(AND(COUNTIF('01_Fuentes'!$A$5:$A$40,B102)=1,COUNTIF('02_Custodia'!$A$5:$A$53,C102)=1,COUNTIF('07_Operaciones'!$A$5:$A$26,J102)=1,COUNTIF('06_Cobertura'!$A$5:$A$25,H102)=1),0,1)</x:f>
        <x:v>0</x:v>
      </x:c>
      <x:c r="O102" s="12" t="n">
        <x:f>IF(COUNTIF('03_NICE'!$A$5:$A$57,I102)+COUNTIF('04_TKS'!$A$5:$A$72,I102)=1,0,1)</x:f>
        <x:v>0</x:v>
      </x:c>
      <x:c r="P102" s="12" t="n">
        <x:f>IF(OR(AND(B102="F008",L102&lt;&gt;"IDENTIFICADA_NO_ADOPTABLE"),AND(B102="F028",L102&lt;&gt;"PREGUNTA_NO_NORMATIVA"),COUNTIFS('01_Fuentes'!$A$5:$A$40,B102,'01_Fuentes'!$H$5:$H$40,"METADATOS_SOLO")&gt;0),1,0)</x:f>
        <x:v>0</x:v>
      </x:c>
      <x:c r="Q102" s="12" t="n">
        <x:f>IF(OR(A102="",D102="",E102="",F102="",K102="",L102=""),1,0)</x:f>
        <x:v>0</x:v>
      </x:c>
    </x:row>
    <x:row r="103" ht="47" customHeight="1">
      <x:c r="A103" s="4" t="str">
        <x:v>CP-099</x:v>
      </x:c>
      <x:c r="B103" s="4" t="str">
        <x:v>F028</x:v>
      </x:c>
      <x:c r="C103" s="4" t="str">
        <x:v>F028</x:v>
      </x:c>
      <x:c r="D103" s="4" t="str">
        <x:v>§2; áreas de enfoque</x:v>
      </x:c>
      <x:c r="E103" s="4" t="str">
        <x:v>Thwarting AI-enabled Cyber Attacks</x:v>
      </x:c>
      <x:c r="F103" s="4" t="str">
        <x:v>Revisar amenazas facilitadas por IA.</x:v>
      </x:c>
      <x:c r="G103" s="4" t="str">
        <x:v>Pregunta de cobertura</x:v>
      </x:c>
      <x:c r="H103" s="4" t="str">
        <x:v>E20</x:v>
      </x:c>
      <x:c r="I103" s="4" t="str">
        <x:v>NF-COM-002</x:v>
      </x:c>
      <x:c r="J103" s="4" t="str">
        <x:v>OPC-15</x:v>
      </x:c>
      <x:c r="K103" s="4" t="str">
        <x:v>BORRADOR; no constituye obligación normativa</x:v>
      </x:c>
      <x:c r="L103" s="4" t="str">
        <x:v>PREGUNTA_NO_NORMATIVA</x:v>
      </x:c>
      <x:c r="M103" s="12" t="n">
        <x:f>COUNTIF('05_Complementos'!$A$5:$A$127,A103)-1</x:f>
        <x:v>0</x:v>
      </x:c>
      <x:c r="N103" s="12" t="n">
        <x:f>IF(AND(COUNTIF('01_Fuentes'!$A$5:$A$40,B103)=1,COUNTIF('02_Custodia'!$A$5:$A$53,C103)=1,COUNTIF('07_Operaciones'!$A$5:$A$26,J103)=1,COUNTIF('06_Cobertura'!$A$5:$A$25,H103)=1),0,1)</x:f>
        <x:v>0</x:v>
      </x:c>
      <x:c r="O103" s="12" t="n">
        <x:f>IF(COUNTIF('03_NICE'!$A$5:$A$57,I103)+COUNTIF('04_TKS'!$A$5:$A$72,I103)=1,0,1)</x:f>
        <x:v>0</x:v>
      </x:c>
      <x:c r="P103" s="12" t="n">
        <x:f>IF(OR(AND(B103="F008",L103&lt;&gt;"IDENTIFICADA_NO_ADOPTABLE"),AND(B103="F028",L103&lt;&gt;"PREGUNTA_NO_NORMATIVA"),COUNTIFS('01_Fuentes'!$A$5:$A$40,B103,'01_Fuentes'!$H$5:$H$40,"METADATOS_SOLO")&gt;0),1,0)</x:f>
        <x:v>0</x:v>
      </x:c>
      <x:c r="Q103" s="12" t="n">
        <x:f>IF(OR(A103="",D103="",E103="",F103="",K103="",L103=""),1,0)</x:f>
        <x:v>0</x:v>
      </x:c>
    </x:row>
    <x:row r="104" ht="47" customHeight="1">
      <x:c r="A104" s="4" t="str">
        <x:v>CP-100</x:v>
      </x:c>
      <x:c r="B104" s="4" t="str">
        <x:v>F029</x:v>
      </x:c>
      <x:c r="C104" s="4" t="str">
        <x:v>A013</x:v>
      </x:c>
      <x:c r="D104" s="4" t="str">
        <x:v>LLM01:2026</x:v>
      </x:c>
      <x:c r="E104" s="4" t="str">
        <x:v>Prompt Injection</x:v>
      </x:c>
      <x:c r="F104" s="4" t="str">
        <x:v>Inyección de instrucciones.</x:v>
      </x:c>
      <x:c r="G104" s="4" t="str">
        <x:v>Conocimiento</x:v>
      </x:c>
      <x:c r="H104" s="4" t="str">
        <x:v>E18</x:v>
      </x:c>
      <x:c r="I104" s="4" t="str">
        <x:v>NF-COM-002</x:v>
      </x:c>
      <x:c r="J104" s="4" t="str">
        <x:v>OPC-15</x:v>
      </x:c>
      <x:c r="K104" s="4" t="str">
        <x:v>TAXONOMIA_2026; sin equivalencia automática de numerales 2025</x:v>
      </x:c>
      <x:c r="L104" s="4" t="str">
        <x:v>CANDIDATA_NO_ADOPTADA</x:v>
      </x:c>
      <x:c r="M104" s="12" t="n">
        <x:f>COUNTIF('05_Complementos'!$A$5:$A$127,A104)-1</x:f>
        <x:v>0</x:v>
      </x:c>
      <x:c r="N104" s="12" t="n">
        <x:f>IF(AND(COUNTIF('01_Fuentes'!$A$5:$A$40,B104)=1,COUNTIF('02_Custodia'!$A$5:$A$53,C104)=1,COUNTIF('07_Operaciones'!$A$5:$A$26,J104)=1,COUNTIF('06_Cobertura'!$A$5:$A$25,H104)=1),0,1)</x:f>
        <x:v>0</x:v>
      </x:c>
      <x:c r="O104" s="12" t="n">
        <x:f>IF(COUNTIF('03_NICE'!$A$5:$A$57,I104)+COUNTIF('04_TKS'!$A$5:$A$72,I104)=1,0,1)</x:f>
        <x:v>0</x:v>
      </x:c>
      <x:c r="P104" s="12" t="n">
        <x:f>IF(OR(AND(B104="F008",L104&lt;&gt;"IDENTIFICADA_NO_ADOPTABLE"),AND(B104="F028",L104&lt;&gt;"PREGUNTA_NO_NORMATIVA"),COUNTIFS('01_Fuentes'!$A$5:$A$40,B104,'01_Fuentes'!$H$5:$H$40,"METADATOS_SOLO")&gt;0),1,0)</x:f>
        <x:v>0</x:v>
      </x:c>
      <x:c r="Q104" s="12" t="n">
        <x:f>IF(OR(A104="",D104="",E104="",F104="",K104="",L104=""),1,0)</x:f>
        <x:v>0</x:v>
      </x:c>
    </x:row>
    <x:row r="105" ht="47" customHeight="1">
      <x:c r="A105" s="4" t="str">
        <x:v>CP-101</x:v>
      </x:c>
      <x:c r="B105" s="4" t="str">
        <x:v>F029</x:v>
      </x:c>
      <x:c r="C105" s="4" t="str">
        <x:v>A013</x:v>
      </x:c>
      <x:c r="D105" s="4" t="str">
        <x:v>LLM02:2026</x:v>
      </x:c>
      <x:c r="E105" s="4" t="str">
        <x:v>Sensitive Information Disclosure</x:v>
      </x:c>
      <x:c r="F105" s="4" t="str">
        <x:v>Divulgación de información sensible.</x:v>
      </x:c>
      <x:c r="G105" s="4" t="str">
        <x:v>Conocimiento</x:v>
      </x:c>
      <x:c r="H105" s="4" t="str">
        <x:v>E18</x:v>
      </x:c>
      <x:c r="I105" s="4" t="str">
        <x:v>OG-WRL-008</x:v>
      </x:c>
      <x:c r="J105" s="4" t="str">
        <x:v>OPC-17</x:v>
      </x:c>
      <x:c r="K105" s="4" t="str">
        <x:v>TAXONOMIA_2026; sin equivalencia automática de numerales 2025</x:v>
      </x:c>
      <x:c r="L105" s="4" t="str">
        <x:v>CANDIDATA_NO_ADOPTADA</x:v>
      </x:c>
      <x:c r="M105" s="12" t="n">
        <x:f>COUNTIF('05_Complementos'!$A$5:$A$127,A105)-1</x:f>
        <x:v>0</x:v>
      </x:c>
      <x:c r="N105" s="12" t="n">
        <x:f>IF(AND(COUNTIF('01_Fuentes'!$A$5:$A$40,B105)=1,COUNTIF('02_Custodia'!$A$5:$A$53,C105)=1,COUNTIF('07_Operaciones'!$A$5:$A$26,J105)=1,COUNTIF('06_Cobertura'!$A$5:$A$25,H105)=1),0,1)</x:f>
        <x:v>0</x:v>
      </x:c>
      <x:c r="O105" s="12" t="n">
        <x:f>IF(COUNTIF('03_NICE'!$A$5:$A$57,I105)+COUNTIF('04_TKS'!$A$5:$A$72,I105)=1,0,1)</x:f>
        <x:v>0</x:v>
      </x:c>
      <x:c r="P105" s="12" t="n">
        <x:f>IF(OR(AND(B105="F008",L105&lt;&gt;"IDENTIFICADA_NO_ADOPTABLE"),AND(B105="F028",L105&lt;&gt;"PREGUNTA_NO_NORMATIVA"),COUNTIFS('01_Fuentes'!$A$5:$A$40,B105,'01_Fuentes'!$H$5:$H$40,"METADATOS_SOLO")&gt;0),1,0)</x:f>
        <x:v>0</x:v>
      </x:c>
      <x:c r="Q105" s="12" t="n">
        <x:f>IF(OR(A105="",D105="",E105="",F105="",K105="",L105=""),1,0)</x:f>
        <x:v>0</x:v>
      </x:c>
    </x:row>
    <x:row r="106" ht="47" customHeight="1">
      <x:c r="A106" s="4" t="str">
        <x:v>CP-102</x:v>
      </x:c>
      <x:c r="B106" s="4" t="str">
        <x:v>F029</x:v>
      </x:c>
      <x:c r="C106" s="4" t="str">
        <x:v>A013</x:v>
      </x:c>
      <x:c r="D106" s="4" t="str">
        <x:v>LLM03:2026</x:v>
      </x:c>
      <x:c r="E106" s="4" t="str">
        <x:v>Excessive Agency</x:v>
      </x:c>
      <x:c r="F106" s="4" t="str">
        <x:v>Capacidad de actuación excesiva.</x:v>
      </x:c>
      <x:c r="G106" s="4" t="str">
        <x:v>Conocimiento</x:v>
      </x:c>
      <x:c r="H106" s="4" t="str">
        <x:v>E18</x:v>
      </x:c>
      <x:c r="I106" s="4" t="str">
        <x:v>K1345</x:v>
      </x:c>
      <x:c r="J106" s="4" t="str">
        <x:v>OPC-15</x:v>
      </x:c>
      <x:c r="K106" s="4" t="str">
        <x:v>TAXONOMIA_2026; sin equivalencia automática de numerales 2025</x:v>
      </x:c>
      <x:c r="L106" s="4" t="str">
        <x:v>CANDIDATA_NO_ADOPTADA</x:v>
      </x:c>
      <x:c r="M106" s="12" t="n">
        <x:f>COUNTIF('05_Complementos'!$A$5:$A$127,A106)-1</x:f>
        <x:v>0</x:v>
      </x:c>
      <x:c r="N106" s="12" t="n">
        <x:f>IF(AND(COUNTIF('01_Fuentes'!$A$5:$A$40,B106)=1,COUNTIF('02_Custodia'!$A$5:$A$53,C106)=1,COUNTIF('07_Operaciones'!$A$5:$A$26,J106)=1,COUNTIF('06_Cobertura'!$A$5:$A$25,H106)=1),0,1)</x:f>
        <x:v>0</x:v>
      </x:c>
      <x:c r="O106" s="12" t="n">
        <x:f>IF(COUNTIF('03_NICE'!$A$5:$A$57,I106)+COUNTIF('04_TKS'!$A$5:$A$72,I106)=1,0,1)</x:f>
        <x:v>0</x:v>
      </x:c>
      <x:c r="P106" s="12" t="n">
        <x:f>IF(OR(AND(B106="F008",L106&lt;&gt;"IDENTIFICADA_NO_ADOPTABLE"),AND(B106="F028",L106&lt;&gt;"PREGUNTA_NO_NORMATIVA"),COUNTIFS('01_Fuentes'!$A$5:$A$40,B106,'01_Fuentes'!$H$5:$H$40,"METADATOS_SOLO")&gt;0),1,0)</x:f>
        <x:v>0</x:v>
      </x:c>
      <x:c r="Q106" s="12" t="n">
        <x:f>IF(OR(A106="",D106="",E106="",F106="",K106="",L106=""),1,0)</x:f>
        <x:v>0</x:v>
      </x:c>
    </x:row>
    <x:row r="107" ht="47" customHeight="1">
      <x:c r="A107" s="4" t="str">
        <x:v>CP-103</x:v>
      </x:c>
      <x:c r="B107" s="4" t="str">
        <x:v>F029</x:v>
      </x:c>
      <x:c r="C107" s="4" t="str">
        <x:v>A013</x:v>
      </x:c>
      <x:c r="D107" s="4" t="str">
        <x:v>LLM04:2026</x:v>
      </x:c>
      <x:c r="E107" s="4" t="str">
        <x:v>Supply Chain</x:v>
      </x:c>
      <x:c r="F107" s="4" t="str">
        <x:v>Riesgos de suministro.</x:v>
      </x:c>
      <x:c r="G107" s="4" t="str">
        <x:v>Conocimiento</x:v>
      </x:c>
      <x:c r="H107" s="4" t="str">
        <x:v>E18</x:v>
      </x:c>
      <x:c r="I107" s="4" t="str">
        <x:v>NF-COM-011</x:v>
      </x:c>
      <x:c r="J107" s="4" t="str">
        <x:v>OPC-06</x:v>
      </x:c>
      <x:c r="K107" s="4" t="str">
        <x:v>TAXONOMIA_2026; sin equivalencia automática de numerales 2025</x:v>
      </x:c>
      <x:c r="L107" s="4" t="str">
        <x:v>CANDIDATA_NO_ADOPTADA</x:v>
      </x:c>
      <x:c r="M107" s="12" t="n">
        <x:f>COUNTIF('05_Complementos'!$A$5:$A$127,A107)-1</x:f>
        <x:v>0</x:v>
      </x:c>
      <x:c r="N107" s="12" t="n">
        <x:f>IF(AND(COUNTIF('01_Fuentes'!$A$5:$A$40,B107)=1,COUNTIF('02_Custodia'!$A$5:$A$53,C107)=1,COUNTIF('07_Operaciones'!$A$5:$A$26,J107)=1,COUNTIF('06_Cobertura'!$A$5:$A$25,H107)=1),0,1)</x:f>
        <x:v>0</x:v>
      </x:c>
      <x:c r="O107" s="12" t="n">
        <x:f>IF(COUNTIF('03_NICE'!$A$5:$A$57,I107)+COUNTIF('04_TKS'!$A$5:$A$72,I107)=1,0,1)</x:f>
        <x:v>0</x:v>
      </x:c>
      <x:c r="P107" s="12" t="n">
        <x:f>IF(OR(AND(B107="F008",L107&lt;&gt;"IDENTIFICADA_NO_ADOPTABLE"),AND(B107="F028",L107&lt;&gt;"PREGUNTA_NO_NORMATIVA"),COUNTIFS('01_Fuentes'!$A$5:$A$40,B107,'01_Fuentes'!$H$5:$H$40,"METADATOS_SOLO")&gt;0),1,0)</x:f>
        <x:v>0</x:v>
      </x:c>
      <x:c r="Q107" s="12" t="n">
        <x:f>IF(OR(A107="",D107="",E107="",F107="",K107="",L107=""),1,0)</x:f>
        <x:v>0</x:v>
      </x:c>
    </x:row>
    <x:row r="108" ht="47" customHeight="1">
      <x:c r="A108" s="4" t="str">
        <x:v>CP-104</x:v>
      </x:c>
      <x:c r="B108" s="4" t="str">
        <x:v>F029</x:v>
      </x:c>
      <x:c r="C108" s="4" t="str">
        <x:v>A013</x:v>
      </x:c>
      <x:c r="D108" s="4" t="str">
        <x:v>LLM05:2026</x:v>
      </x:c>
      <x:c r="E108" s="4" t="str">
        <x:v>Data and Model Poisoning</x:v>
      </x:c>
      <x:c r="F108" s="4" t="str">
        <x:v>Envenenamiento de datos y modelos.</x:v>
      </x:c>
      <x:c r="G108" s="4" t="str">
        <x:v>Conocimiento</x:v>
      </x:c>
      <x:c r="H108" s="4" t="str">
        <x:v>E18</x:v>
      </x:c>
      <x:c r="I108" s="4" t="str">
        <x:v>K1324</x:v>
      </x:c>
      <x:c r="J108" s="4" t="str">
        <x:v>OPC-15</x:v>
      </x:c>
      <x:c r="K108" s="4" t="str">
        <x:v>TAXONOMIA_2026; sin equivalencia automática de numerales 2025</x:v>
      </x:c>
      <x:c r="L108" s="4" t="str">
        <x:v>CANDIDATA_NO_ADOPTADA</x:v>
      </x:c>
      <x:c r="M108" s="12" t="n">
        <x:f>COUNTIF('05_Complementos'!$A$5:$A$127,A108)-1</x:f>
        <x:v>0</x:v>
      </x:c>
      <x:c r="N108" s="12" t="n">
        <x:f>IF(AND(COUNTIF('01_Fuentes'!$A$5:$A$40,B108)=1,COUNTIF('02_Custodia'!$A$5:$A$53,C108)=1,COUNTIF('07_Operaciones'!$A$5:$A$26,J108)=1,COUNTIF('06_Cobertura'!$A$5:$A$25,H108)=1),0,1)</x:f>
        <x:v>0</x:v>
      </x:c>
      <x:c r="O108" s="12" t="n">
        <x:f>IF(COUNTIF('03_NICE'!$A$5:$A$57,I108)+COUNTIF('04_TKS'!$A$5:$A$72,I108)=1,0,1)</x:f>
        <x:v>0</x:v>
      </x:c>
      <x:c r="P108" s="12" t="n">
        <x:f>IF(OR(AND(B108="F008",L108&lt;&gt;"IDENTIFICADA_NO_ADOPTABLE"),AND(B108="F028",L108&lt;&gt;"PREGUNTA_NO_NORMATIVA"),COUNTIFS('01_Fuentes'!$A$5:$A$40,B108,'01_Fuentes'!$H$5:$H$40,"METADATOS_SOLO")&gt;0),1,0)</x:f>
        <x:v>0</x:v>
      </x:c>
      <x:c r="Q108" s="12" t="n">
        <x:f>IF(OR(A108="",D108="",E108="",F108="",K108="",L108=""),1,0)</x:f>
        <x:v>0</x:v>
      </x:c>
    </x:row>
    <x:row r="109" ht="47" customHeight="1">
      <x:c r="A109" s="4" t="str">
        <x:v>CP-105</x:v>
      </x:c>
      <x:c r="B109" s="4" t="str">
        <x:v>F029</x:v>
      </x:c>
      <x:c r="C109" s="4" t="str">
        <x:v>A013</x:v>
      </x:c>
      <x:c r="D109" s="4" t="str">
        <x:v>LLM06:2026</x:v>
      </x:c>
      <x:c r="E109" s="4" t="str">
        <x:v>Unbounded Consumption</x:v>
      </x:c>
      <x:c r="F109" s="4" t="str">
        <x:v>Consumo sin límites adecuados.</x:v>
      </x:c>
      <x:c r="G109" s="4" t="str">
        <x:v>Conocimiento</x:v>
      </x:c>
      <x:c r="H109" s="4" t="str">
        <x:v>E18</x:v>
      </x:c>
      <x:c r="I109" s="4" t="str">
        <x:v>NF-COM-002</x:v>
      </x:c>
      <x:c r="J109" s="4" t="str">
        <x:v>OPC-15</x:v>
      </x:c>
      <x:c r="K109" s="4" t="str">
        <x:v>TAXONOMIA_2026; sin equivalencia automática de numerales 2025</x:v>
      </x:c>
      <x:c r="L109" s="4" t="str">
        <x:v>CANDIDATA_NO_ADOPTADA</x:v>
      </x:c>
      <x:c r="M109" s="12" t="n">
        <x:f>COUNTIF('05_Complementos'!$A$5:$A$127,A109)-1</x:f>
        <x:v>0</x:v>
      </x:c>
      <x:c r="N109" s="12" t="n">
        <x:f>IF(AND(COUNTIF('01_Fuentes'!$A$5:$A$40,B109)=1,COUNTIF('02_Custodia'!$A$5:$A$53,C109)=1,COUNTIF('07_Operaciones'!$A$5:$A$26,J109)=1,COUNTIF('06_Cobertura'!$A$5:$A$25,H109)=1),0,1)</x:f>
        <x:v>0</x:v>
      </x:c>
      <x:c r="O109" s="12" t="n">
        <x:f>IF(COUNTIF('03_NICE'!$A$5:$A$57,I109)+COUNTIF('04_TKS'!$A$5:$A$72,I109)=1,0,1)</x:f>
        <x:v>0</x:v>
      </x:c>
      <x:c r="P109" s="12" t="n">
        <x:f>IF(OR(AND(B109="F008",L109&lt;&gt;"IDENTIFICADA_NO_ADOPTABLE"),AND(B109="F028",L109&lt;&gt;"PREGUNTA_NO_NORMATIVA"),COUNTIFS('01_Fuentes'!$A$5:$A$40,B109,'01_Fuentes'!$H$5:$H$40,"METADATOS_SOLO")&gt;0),1,0)</x:f>
        <x:v>0</x:v>
      </x:c>
      <x:c r="Q109" s="12" t="n">
        <x:f>IF(OR(A109="",D109="",E109="",F109="",K109="",L109=""),1,0)</x:f>
        <x:v>0</x:v>
      </x:c>
    </x:row>
    <x:row r="110" ht="47" customHeight="1">
      <x:c r="A110" s="4" t="str">
        <x:v>CP-106</x:v>
      </x:c>
      <x:c r="B110" s="4" t="str">
        <x:v>F029</x:v>
      </x:c>
      <x:c r="C110" s="4" t="str">
        <x:v>A013</x:v>
      </x:c>
      <x:c r="D110" s="4" t="str">
        <x:v>LLM07:2026</x:v>
      </x:c>
      <x:c r="E110" s="4" t="str">
        <x:v>Misinformation</x:v>
      </x:c>
      <x:c r="F110" s="4" t="str">
        <x:v>Información errónea generada.</x:v>
      </x:c>
      <x:c r="G110" s="4" t="str">
        <x:v>Conocimiento</x:v>
      </x:c>
      <x:c r="H110" s="4" t="str">
        <x:v>E18</x:v>
      </x:c>
      <x:c r="I110" s="4" t="str">
        <x:v>S0957</x:v>
      </x:c>
      <x:c r="J110" s="4" t="str">
        <x:v>OPC-07</x:v>
      </x:c>
      <x:c r="K110" s="4" t="str">
        <x:v>TAXONOMIA_2026; sin equivalencia automática de numerales 2025</x:v>
      </x:c>
      <x:c r="L110" s="4" t="str">
        <x:v>CANDIDATA_NO_ADOPTADA</x:v>
      </x:c>
      <x:c r="M110" s="12" t="n">
        <x:f>COUNTIF('05_Complementos'!$A$5:$A$127,A110)-1</x:f>
        <x:v>0</x:v>
      </x:c>
      <x:c r="N110" s="12" t="n">
        <x:f>IF(AND(COUNTIF('01_Fuentes'!$A$5:$A$40,B110)=1,COUNTIF('02_Custodia'!$A$5:$A$53,C110)=1,COUNTIF('07_Operaciones'!$A$5:$A$26,J110)=1,COUNTIF('06_Cobertura'!$A$5:$A$25,H110)=1),0,1)</x:f>
        <x:v>0</x:v>
      </x:c>
      <x:c r="O110" s="12" t="n">
        <x:f>IF(COUNTIF('03_NICE'!$A$5:$A$57,I110)+COUNTIF('04_TKS'!$A$5:$A$72,I110)=1,0,1)</x:f>
        <x:v>0</x:v>
      </x:c>
      <x:c r="P110" s="12" t="n">
        <x:f>IF(OR(AND(B110="F008",L110&lt;&gt;"IDENTIFICADA_NO_ADOPTABLE"),AND(B110="F028",L110&lt;&gt;"PREGUNTA_NO_NORMATIVA"),COUNTIFS('01_Fuentes'!$A$5:$A$40,B110,'01_Fuentes'!$H$5:$H$40,"METADATOS_SOLO")&gt;0),1,0)</x:f>
        <x:v>0</x:v>
      </x:c>
      <x:c r="Q110" s="12" t="n">
        <x:f>IF(OR(A110="",D110="",E110="",F110="",K110="",L110=""),1,0)</x:f>
        <x:v>0</x:v>
      </x:c>
    </x:row>
    <x:row r="111" ht="47" customHeight="1">
      <x:c r="A111" s="4" t="str">
        <x:v>CP-107</x:v>
      </x:c>
      <x:c r="B111" s="4" t="str">
        <x:v>F029</x:v>
      </x:c>
      <x:c r="C111" s="4" t="str">
        <x:v>A013</x:v>
      </x:c>
      <x:c r="D111" s="4" t="str">
        <x:v>LLM08:2026</x:v>
      </x:c>
      <x:c r="E111" s="4" t="str">
        <x:v>Hidden Context Exposure</x:v>
      </x:c>
      <x:c r="F111" s="4" t="str">
        <x:v>Exposición de contexto oculto.</x:v>
      </x:c>
      <x:c r="G111" s="4" t="str">
        <x:v>Conocimiento</x:v>
      </x:c>
      <x:c r="H111" s="4" t="str">
        <x:v>E18</x:v>
      </x:c>
      <x:c r="I111" s="4" t="str">
        <x:v>OG-WRL-008</x:v>
      </x:c>
      <x:c r="J111" s="4" t="str">
        <x:v>OPC-17</x:v>
      </x:c>
      <x:c r="K111" s="4" t="str">
        <x:v>TAXONOMIA_2026; sin equivalencia automática de numerales 2025</x:v>
      </x:c>
      <x:c r="L111" s="4" t="str">
        <x:v>CANDIDATA_NO_ADOPTADA</x:v>
      </x:c>
      <x:c r="M111" s="12" t="n">
        <x:f>COUNTIF('05_Complementos'!$A$5:$A$127,A111)-1</x:f>
        <x:v>0</x:v>
      </x:c>
      <x:c r="N111" s="12" t="n">
        <x:f>IF(AND(COUNTIF('01_Fuentes'!$A$5:$A$40,B111)=1,COUNTIF('02_Custodia'!$A$5:$A$53,C111)=1,COUNTIF('07_Operaciones'!$A$5:$A$26,J111)=1,COUNTIF('06_Cobertura'!$A$5:$A$25,H111)=1),0,1)</x:f>
        <x:v>0</x:v>
      </x:c>
      <x:c r="O111" s="12" t="n">
        <x:f>IF(COUNTIF('03_NICE'!$A$5:$A$57,I111)+COUNTIF('04_TKS'!$A$5:$A$72,I111)=1,0,1)</x:f>
        <x:v>0</x:v>
      </x:c>
      <x:c r="P111" s="12" t="n">
        <x:f>IF(OR(AND(B111="F008",L111&lt;&gt;"IDENTIFICADA_NO_ADOPTABLE"),AND(B111="F028",L111&lt;&gt;"PREGUNTA_NO_NORMATIVA"),COUNTIFS('01_Fuentes'!$A$5:$A$40,B111,'01_Fuentes'!$H$5:$H$40,"METADATOS_SOLO")&gt;0),1,0)</x:f>
        <x:v>0</x:v>
      </x:c>
      <x:c r="Q111" s="12" t="n">
        <x:f>IF(OR(A111="",D111="",E111="",F111="",K111="",L111=""),1,0)</x:f>
        <x:v>0</x:v>
      </x:c>
    </x:row>
    <x:row r="112" ht="47" customHeight="1">
      <x:c r="A112" s="4" t="str">
        <x:v>CP-108</x:v>
      </x:c>
      <x:c r="B112" s="4" t="str">
        <x:v>F029</x:v>
      </x:c>
      <x:c r="C112" s="4" t="str">
        <x:v>A013</x:v>
      </x:c>
      <x:c r="D112" s="4" t="str">
        <x:v>LLM09:2026</x:v>
      </x:c>
      <x:c r="E112" s="4" t="str">
        <x:v>Vector and Embedding Weaknesses</x:v>
      </x:c>
      <x:c r="F112" s="4" t="str">
        <x:v>Debilidades de vectores y representaciones embebidas.</x:v>
      </x:c>
      <x:c r="G112" s="4" t="str">
        <x:v>Conocimiento</x:v>
      </x:c>
      <x:c r="H112" s="4" t="str">
        <x:v>E18</x:v>
      </x:c>
      <x:c r="I112" s="4" t="str">
        <x:v>NF-COM-002</x:v>
      </x:c>
      <x:c r="J112" s="4" t="str">
        <x:v>OPC-15</x:v>
      </x:c>
      <x:c r="K112" s="4" t="str">
        <x:v>TAXONOMIA_2026; sin equivalencia automática de numerales 2025</x:v>
      </x:c>
      <x:c r="L112" s="4" t="str">
        <x:v>CANDIDATA_NO_ADOPTADA</x:v>
      </x:c>
      <x:c r="M112" s="12" t="n">
        <x:f>COUNTIF('05_Complementos'!$A$5:$A$127,A112)-1</x:f>
        <x:v>0</x:v>
      </x:c>
      <x:c r="N112" s="12" t="n">
        <x:f>IF(AND(COUNTIF('01_Fuentes'!$A$5:$A$40,B112)=1,COUNTIF('02_Custodia'!$A$5:$A$53,C112)=1,COUNTIF('07_Operaciones'!$A$5:$A$26,J112)=1,COUNTIF('06_Cobertura'!$A$5:$A$25,H112)=1),0,1)</x:f>
        <x:v>0</x:v>
      </x:c>
      <x:c r="O112" s="12" t="n">
        <x:f>IF(COUNTIF('03_NICE'!$A$5:$A$57,I112)+COUNTIF('04_TKS'!$A$5:$A$72,I112)=1,0,1)</x:f>
        <x:v>0</x:v>
      </x:c>
      <x:c r="P112" s="12" t="n">
        <x:f>IF(OR(AND(B112="F008",L112&lt;&gt;"IDENTIFICADA_NO_ADOPTABLE"),AND(B112="F028",L112&lt;&gt;"PREGUNTA_NO_NORMATIVA"),COUNTIFS('01_Fuentes'!$A$5:$A$40,B112,'01_Fuentes'!$H$5:$H$40,"METADATOS_SOLO")&gt;0),1,0)</x:f>
        <x:v>0</x:v>
      </x:c>
      <x:c r="Q112" s="12" t="n">
        <x:f>IF(OR(A112="",D112="",E112="",F112="",K112="",L112=""),1,0)</x:f>
        <x:v>0</x:v>
      </x:c>
    </x:row>
    <x:row r="113" ht="47" customHeight="1">
      <x:c r="A113" s="4" t="str">
        <x:v>CP-109</x:v>
      </x:c>
      <x:c r="B113" s="4" t="str">
        <x:v>F029</x:v>
      </x:c>
      <x:c r="C113" s="4" t="str">
        <x:v>A013</x:v>
      </x:c>
      <x:c r="D113" s="4" t="str">
        <x:v>LLM10:2026</x:v>
      </x:c>
      <x:c r="E113" s="4" t="str">
        <x:v>Improper Output Handling</x:v>
      </x:c>
      <x:c r="F113" s="4" t="str">
        <x:v>Tratamiento inadecuado de salidas.</x:v>
      </x:c>
      <x:c r="G113" s="4" t="str">
        <x:v>Conocimiento</x:v>
      </x:c>
      <x:c r="H113" s="4" t="str">
        <x:v>E18</x:v>
      </x:c>
      <x:c r="I113" s="4" t="str">
        <x:v>DD-WRL-005</x:v>
      </x:c>
      <x:c r="J113" s="4" t="str">
        <x:v>OPC-05</x:v>
      </x:c>
      <x:c r="K113" s="4" t="str">
        <x:v>TAXONOMIA_2026; sin equivalencia automática de numerales 2025</x:v>
      </x:c>
      <x:c r="L113" s="4" t="str">
        <x:v>CANDIDATA_NO_ADOPTADA</x:v>
      </x:c>
      <x:c r="M113" s="12" t="n">
        <x:f>COUNTIF('05_Complementos'!$A$5:$A$127,A113)-1</x:f>
        <x:v>0</x:v>
      </x:c>
      <x:c r="N113" s="12" t="n">
        <x:f>IF(AND(COUNTIF('01_Fuentes'!$A$5:$A$40,B113)=1,COUNTIF('02_Custodia'!$A$5:$A$53,C113)=1,COUNTIF('07_Operaciones'!$A$5:$A$26,J113)=1,COUNTIF('06_Cobertura'!$A$5:$A$25,H113)=1),0,1)</x:f>
        <x:v>0</x:v>
      </x:c>
      <x:c r="O113" s="12" t="n">
        <x:f>IF(COUNTIF('03_NICE'!$A$5:$A$57,I113)+COUNTIF('04_TKS'!$A$5:$A$72,I113)=1,0,1)</x:f>
        <x:v>0</x:v>
      </x:c>
      <x:c r="P113" s="12" t="n">
        <x:f>IF(OR(AND(B113="F008",L113&lt;&gt;"IDENTIFICADA_NO_ADOPTABLE"),AND(B113="F028",L113&lt;&gt;"PREGUNTA_NO_NORMATIVA"),COUNTIFS('01_Fuentes'!$A$5:$A$40,B113,'01_Fuentes'!$H$5:$H$40,"METADATOS_SOLO")&gt;0),1,0)</x:f>
        <x:v>0</x:v>
      </x:c>
      <x:c r="Q113" s="12" t="n">
        <x:f>IF(OR(A113="",D113="",E113="",F113="",K113="",L113=""),1,0)</x:f>
        <x:v>0</x:v>
      </x:c>
    </x:row>
    <x:row r="114" ht="47" customHeight="1">
      <x:c r="A114" s="4" t="str">
        <x:v>CP-110</x:v>
      </x:c>
      <x:c r="B114" s="4" t="str">
        <x:v>F030</x:v>
      </x:c>
      <x:c r="C114" s="4" t="str">
        <x:v>F030</x:v>
      </x:c>
      <x:c r="D114" s="4" t="str">
        <x:v>Artículo 2</x:v>
      </x:c>
      <x:c r="E114" s="4" t="str">
        <x:v>Ámbito de aplicación</x:v>
      </x:c>
      <x:c r="F114" s="4" t="str">
        <x:v>Determinar si la entidad, el sistema o el contrato están sujetos al ENS.</x:v>
      </x:c>
      <x:c r="G114" s="4" t="str">
        <x:v>Restricción jurídica</x:v>
      </x:c>
      <x:c r="H114" s="4" t="str">
        <x:v>E16</x:v>
      </x:c>
      <x:c r="I114" s="4" t="str">
        <x:v>OG-WRL-006</x:v>
      </x:c>
      <x:c r="J114" s="4" t="str">
        <x:v>OPC-17</x:v>
      </x:c>
      <x:c r="K114" s="4" t="str">
        <x:v>APLICABILIDAD_CONDICIONAL; sin adopción de obligación de caso</x:v>
      </x:c>
      <x:c r="L114" s="4" t="str">
        <x:v>APLICABILIDAD_PENDIENTE</x:v>
      </x:c>
      <x:c r="M114" s="12" t="n">
        <x:f>COUNTIF('05_Complementos'!$A$5:$A$127,A114)-1</x:f>
        <x:v>0</x:v>
      </x:c>
      <x:c r="N114" s="12" t="n">
        <x:f>IF(AND(COUNTIF('01_Fuentes'!$A$5:$A$40,B114)=1,COUNTIF('02_Custodia'!$A$5:$A$53,C114)=1,COUNTIF('07_Operaciones'!$A$5:$A$26,J114)=1,COUNTIF('06_Cobertura'!$A$5:$A$25,H114)=1),0,1)</x:f>
        <x:v>0</x:v>
      </x:c>
      <x:c r="O114" s="12" t="n">
        <x:f>IF(COUNTIF('03_NICE'!$A$5:$A$57,I114)+COUNTIF('04_TKS'!$A$5:$A$72,I114)=1,0,1)</x:f>
        <x:v>0</x:v>
      </x:c>
      <x:c r="P114" s="12" t="n">
        <x:f>IF(OR(AND(B114="F008",L114&lt;&gt;"IDENTIFICADA_NO_ADOPTABLE"),AND(B114="F028",L114&lt;&gt;"PREGUNTA_NO_NORMATIVA"),COUNTIFS('01_Fuentes'!$A$5:$A$40,B114,'01_Fuentes'!$H$5:$H$40,"METADATOS_SOLO")&gt;0),1,0)</x:f>
        <x:v>0</x:v>
      </x:c>
      <x:c r="Q114" s="12" t="n">
        <x:f>IF(OR(A114="",D114="",E114="",F114="",K114="",L114=""),1,0)</x:f>
        <x:v>0</x:v>
      </x:c>
    </x:row>
    <x:row r="115" ht="47" customHeight="1">
      <x:c r="A115" s="4" t="str">
        <x:v>CP-111</x:v>
      </x:c>
      <x:c r="B115" s="4" t="str">
        <x:v>F030</x:v>
      </x:c>
      <x:c r="C115" s="4" t="str">
        <x:v>F030</x:v>
      </x:c>
      <x:c r="D115" s="4" t="str">
        <x:v>Artículo 11</x:v>
      </x:c>
      <x:c r="E115" s="4" t="str">
        <x:v>Diferenciación de responsabilidades</x:v>
      </x:c>
      <x:c r="F115" s="4" t="str">
        <x:v>Distinguir responsabilidades de seguridad, sistema e información según el régimen aplicable.</x:v>
      </x:c>
      <x:c r="G115" s="4" t="str">
        <x:v>Restricción jurídica</x:v>
      </x:c>
      <x:c r="H115" s="4" t="str">
        <x:v>E16</x:v>
      </x:c>
      <x:c r="I115" s="4" t="str">
        <x:v>OG-WRL-007</x:v>
      </x:c>
      <x:c r="J115" s="4" t="str">
        <x:v>OPC-01</x:v>
      </x:c>
      <x:c r="K115" s="4" t="str">
        <x:v>APLICABILIDAD_CONDICIONAL; sin adopción de obligación de caso</x:v>
      </x:c>
      <x:c r="L115" s="4" t="str">
        <x:v>APLICABILIDAD_PENDIENTE</x:v>
      </x:c>
      <x:c r="M115" s="12" t="n">
        <x:f>COUNTIF('05_Complementos'!$A$5:$A$127,A115)-1</x:f>
        <x:v>0</x:v>
      </x:c>
      <x:c r="N115" s="12" t="n">
        <x:f>IF(AND(COUNTIF('01_Fuentes'!$A$5:$A$40,B115)=1,COUNTIF('02_Custodia'!$A$5:$A$53,C115)=1,COUNTIF('07_Operaciones'!$A$5:$A$26,J115)=1,COUNTIF('06_Cobertura'!$A$5:$A$25,H115)=1),0,1)</x:f>
        <x:v>0</x:v>
      </x:c>
      <x:c r="O115" s="12" t="n">
        <x:f>IF(COUNTIF('03_NICE'!$A$5:$A$57,I115)+COUNTIF('04_TKS'!$A$5:$A$72,I115)=1,0,1)</x:f>
        <x:v>0</x:v>
      </x:c>
      <x:c r="P115" s="12" t="n">
        <x:f>IF(OR(AND(B115="F008",L115&lt;&gt;"IDENTIFICADA_NO_ADOPTABLE"),AND(B115="F028",L115&lt;&gt;"PREGUNTA_NO_NORMATIVA"),COUNTIFS('01_Fuentes'!$A$5:$A$40,B115,'01_Fuentes'!$H$5:$H$40,"METADATOS_SOLO")&gt;0),1,0)</x:f>
        <x:v>0</x:v>
      </x:c>
      <x:c r="Q115" s="12" t="n">
        <x:f>IF(OR(A115="",D115="",E115="",F115="",K115="",L115=""),1,0)</x:f>
        <x:v>0</x:v>
      </x:c>
    </x:row>
    <x:row r="116" ht="47" customHeight="1">
      <x:c r="A116" s="4" t="str">
        <x:v>CP-112</x:v>
      </x:c>
      <x:c r="B116" s="4" t="str">
        <x:v>F031</x:v>
      </x:c>
      <x:c r="C116" s="4" t="str">
        <x:v>F031</x:v>
      </x:c>
      <x:c r="D116" s="4" t="str">
        <x:v>Artículo 2</x:v>
      </x:c>
      <x:c r="E116" s="4" t="str">
        <x:v>Scope</x:v>
      </x:c>
      <x:c r="F116" s="4" t="str">
        <x:v>Delimitar sujetos y exclusiones de NIS2 antes de derivar obligaciones nacionales.</x:v>
      </x:c>
      <x:c r="G116" s="4" t="str">
        <x:v>Restricción jurídica</x:v>
      </x:c>
      <x:c r="H116" s="4" t="str">
        <x:v>E16</x:v>
      </x:c>
      <x:c r="I116" s="4" t="str">
        <x:v>OG-WRL-006</x:v>
      </x:c>
      <x:c r="J116" s="4" t="str">
        <x:v>OPC-17</x:v>
      </x:c>
      <x:c r="K116" s="4" t="str">
        <x:v>APLICABILIDAD_CONDICIONAL; sin adopción de obligación de caso</x:v>
      </x:c>
      <x:c r="L116" s="4" t="str">
        <x:v>APLICABILIDAD_PENDIENTE</x:v>
      </x:c>
      <x:c r="M116" s="12" t="n">
        <x:f>COUNTIF('05_Complementos'!$A$5:$A$127,A116)-1</x:f>
        <x:v>0</x:v>
      </x:c>
      <x:c r="N116" s="12" t="n">
        <x:f>IF(AND(COUNTIF('01_Fuentes'!$A$5:$A$40,B116)=1,COUNTIF('02_Custodia'!$A$5:$A$53,C116)=1,COUNTIF('07_Operaciones'!$A$5:$A$26,J116)=1,COUNTIF('06_Cobertura'!$A$5:$A$25,H116)=1),0,1)</x:f>
        <x:v>0</x:v>
      </x:c>
      <x:c r="O116" s="12" t="n">
        <x:f>IF(COUNTIF('03_NICE'!$A$5:$A$57,I116)+COUNTIF('04_TKS'!$A$5:$A$72,I116)=1,0,1)</x:f>
        <x:v>0</x:v>
      </x:c>
      <x:c r="P116" s="12" t="n">
        <x:f>IF(OR(AND(B116="F008",L116&lt;&gt;"IDENTIFICADA_NO_ADOPTABLE"),AND(B116="F028",L116&lt;&gt;"PREGUNTA_NO_NORMATIVA"),COUNTIFS('01_Fuentes'!$A$5:$A$40,B116,'01_Fuentes'!$H$5:$H$40,"METADATOS_SOLO")&gt;0),1,0)</x:f>
        <x:v>0</x:v>
      </x:c>
      <x:c r="Q116" s="12" t="n">
        <x:f>IF(OR(A116="",D116="",E116="",F116="",K116="",L116=""),1,0)</x:f>
        <x:v>0</x:v>
      </x:c>
    </x:row>
    <x:row r="117" ht="47" customHeight="1">
      <x:c r="A117" s="4" t="str">
        <x:v>CP-113</x:v>
      </x:c>
      <x:c r="B117" s="4" t="str">
        <x:v>F031</x:v>
      </x:c>
      <x:c r="C117" s="4" t="str">
        <x:v>F031</x:v>
      </x:c>
      <x:c r="D117" s="4" t="str">
        <x:v>Artículos 20 y 21</x:v>
      </x:c>
      <x:c r="E117" s="4" t="str">
        <x:v>Governance</x:v>
      </x:c>
      <x:c r="F117" s="4" t="str">
        <x:v>Distinguir gobierno institucional y medidas de riesgo de una competencia profesional.</x:v>
      </x:c>
      <x:c r="G117" s="4" t="str">
        <x:v>Restricción jurídica</x:v>
      </x:c>
      <x:c r="H117" s="4" t="str">
        <x:v>E16</x:v>
      </x:c>
      <x:c r="I117" s="4" t="str">
        <x:v>OG-WRL-007</x:v>
      </x:c>
      <x:c r="J117" s="4" t="str">
        <x:v>OPC-01</x:v>
      </x:c>
      <x:c r="K117" s="4" t="str">
        <x:v>APLICABILIDAD_CONDICIONAL; sin adopción de obligación de caso</x:v>
      </x:c>
      <x:c r="L117" s="4" t="str">
        <x:v>APLICABILIDAD_PENDIENTE</x:v>
      </x:c>
      <x:c r="M117" s="12" t="n">
        <x:f>COUNTIF('05_Complementos'!$A$5:$A$127,A117)-1</x:f>
        <x:v>0</x:v>
      </x:c>
      <x:c r="N117" s="12" t="n">
        <x:f>IF(AND(COUNTIF('01_Fuentes'!$A$5:$A$40,B117)=1,COUNTIF('02_Custodia'!$A$5:$A$53,C117)=1,COUNTIF('07_Operaciones'!$A$5:$A$26,J117)=1,COUNTIF('06_Cobertura'!$A$5:$A$25,H117)=1),0,1)</x:f>
        <x:v>0</x:v>
      </x:c>
      <x:c r="O117" s="12" t="n">
        <x:f>IF(COUNTIF('03_NICE'!$A$5:$A$57,I117)+COUNTIF('04_TKS'!$A$5:$A$72,I117)=1,0,1)</x:f>
        <x:v>0</x:v>
      </x:c>
      <x:c r="P117" s="12" t="n">
        <x:f>IF(OR(AND(B117="F008",L117&lt;&gt;"IDENTIFICADA_NO_ADOPTABLE"),AND(B117="F028",L117&lt;&gt;"PREGUNTA_NO_NORMATIVA"),COUNTIFS('01_Fuentes'!$A$5:$A$40,B117,'01_Fuentes'!$H$5:$H$40,"METADATOS_SOLO")&gt;0),1,0)</x:f>
        <x:v>0</x:v>
      </x:c>
      <x:c r="Q117" s="12" t="n">
        <x:f>IF(OR(A117="",D117="",E117="",F117="",K117="",L117=""),1,0)</x:f>
        <x:v>0</x:v>
      </x:c>
    </x:row>
    <x:row r="118" ht="47" customHeight="1">
      <x:c r="A118" s="4" t="str">
        <x:v>CP-114</x:v>
      </x:c>
      <x:c r="B118" s="4" t="str">
        <x:v>F032</x:v>
      </x:c>
      <x:c r="C118" s="4" t="str">
        <x:v>F032</x:v>
      </x:c>
      <x:c r="D118" s="4" t="str">
        <x:v>Artículo 2</x:v>
      </x:c>
      <x:c r="E118" s="4" t="str">
        <x:v>Scope</x:v>
      </x:c>
      <x:c r="F118" s="4" t="str">
        <x:v>Comprobar producto, comercialización, rol y exclusiones antes de aplicar el reglamento.</x:v>
      </x:c>
      <x:c r="G118" s="4" t="str">
        <x:v>Restricción jurídica</x:v>
      </x:c>
      <x:c r="H118" s="4" t="str">
        <x:v>E16</x:v>
      </x:c>
      <x:c r="I118" s="4" t="str">
        <x:v>OG-WRL-006</x:v>
      </x:c>
      <x:c r="J118" s="4" t="str">
        <x:v>OPC-17</x:v>
      </x:c>
      <x:c r="K118" s="4" t="str">
        <x:v>APLICABILIDAD_CONDICIONAL; sin adopción de obligación de caso</x:v>
      </x:c>
      <x:c r="L118" s="4" t="str">
        <x:v>APLICABILIDAD_PENDIENTE</x:v>
      </x:c>
      <x:c r="M118" s="12" t="n">
        <x:f>COUNTIF('05_Complementos'!$A$5:$A$127,A118)-1</x:f>
        <x:v>0</x:v>
      </x:c>
      <x:c r="N118" s="12" t="n">
        <x:f>IF(AND(COUNTIF('01_Fuentes'!$A$5:$A$40,B118)=1,COUNTIF('02_Custodia'!$A$5:$A$53,C118)=1,COUNTIF('07_Operaciones'!$A$5:$A$26,J118)=1,COUNTIF('06_Cobertura'!$A$5:$A$25,H118)=1),0,1)</x:f>
        <x:v>0</x:v>
      </x:c>
      <x:c r="O118" s="12" t="n">
        <x:f>IF(COUNTIF('03_NICE'!$A$5:$A$57,I118)+COUNTIF('04_TKS'!$A$5:$A$72,I118)=1,0,1)</x:f>
        <x:v>0</x:v>
      </x:c>
      <x:c r="P118" s="12" t="n">
        <x:f>IF(OR(AND(B118="F008",L118&lt;&gt;"IDENTIFICADA_NO_ADOPTABLE"),AND(B118="F028",L118&lt;&gt;"PREGUNTA_NO_NORMATIVA"),COUNTIFS('01_Fuentes'!$A$5:$A$40,B118,'01_Fuentes'!$H$5:$H$40,"METADATOS_SOLO")&gt;0),1,0)</x:f>
        <x:v>0</x:v>
      </x:c>
      <x:c r="Q118" s="12" t="n">
        <x:f>IF(OR(A118="",D118="",E118="",F118="",K118="",L118=""),1,0)</x:f>
        <x:v>0</x:v>
      </x:c>
    </x:row>
    <x:row r="119" ht="47" customHeight="1">
      <x:c r="A119" s="4" t="str">
        <x:v>CP-115</x:v>
      </x:c>
      <x:c r="B119" s="4" t="str">
        <x:v>F032</x:v>
      </x:c>
      <x:c r="C119" s="4" t="str">
        <x:v>F032</x:v>
      </x:c>
      <x:c r="D119" s="4" t="str">
        <x:v>Anexo I</x:v>
      </x:c>
      <x:c r="E119" s="4" t="str">
        <x:v>ESSENTIAL CYBERSECURITY REQUIREMENTS</x:v>
      </x:c>
      <x:c r="F119" s="4" t="str">
        <x:v>Identificar requisitos esenciales de producto y tratamiento de vulnerabilidades como objeto distinto de un currículo.</x:v>
      </x:c>
      <x:c r="G119" s="4" t="str">
        <x:v>Restricción jurídica</x:v>
      </x:c>
      <x:c r="H119" s="4" t="str">
        <x:v>E16</x:v>
      </x:c>
      <x:c r="I119" s="4" t="str">
        <x:v>OG-WRL-017</x:v>
      </x:c>
      <x:c r="J119" s="4" t="str">
        <x:v>OPC-06</x:v>
      </x:c>
      <x:c r="K119" s="4" t="str">
        <x:v>APLICABILIDAD_CONDICIONAL; sin adopción de obligación de caso</x:v>
      </x:c>
      <x:c r="L119" s="4" t="str">
        <x:v>APLICABILIDAD_PENDIENTE</x:v>
      </x:c>
      <x:c r="M119" s="12" t="n">
        <x:f>COUNTIF('05_Complementos'!$A$5:$A$127,A119)-1</x:f>
        <x:v>0</x:v>
      </x:c>
      <x:c r="N119" s="12" t="n">
        <x:f>IF(AND(COUNTIF('01_Fuentes'!$A$5:$A$40,B119)=1,COUNTIF('02_Custodia'!$A$5:$A$53,C119)=1,COUNTIF('07_Operaciones'!$A$5:$A$26,J119)=1,COUNTIF('06_Cobertura'!$A$5:$A$25,H119)=1),0,1)</x:f>
        <x:v>0</x:v>
      </x:c>
      <x:c r="O119" s="12" t="n">
        <x:f>IF(COUNTIF('03_NICE'!$A$5:$A$57,I119)+COUNTIF('04_TKS'!$A$5:$A$72,I119)=1,0,1)</x:f>
        <x:v>0</x:v>
      </x:c>
      <x:c r="P119" s="12" t="n">
        <x:f>IF(OR(AND(B119="F008",L119&lt;&gt;"IDENTIFICADA_NO_ADOPTABLE"),AND(B119="F028",L119&lt;&gt;"PREGUNTA_NO_NORMATIVA"),COUNTIFS('01_Fuentes'!$A$5:$A$40,B119,'01_Fuentes'!$H$5:$H$40,"METADATOS_SOLO")&gt;0),1,0)</x:f>
        <x:v>0</x:v>
      </x:c>
      <x:c r="Q119" s="12" t="n">
        <x:f>IF(OR(A119="",D119="",E119="",F119="",K119="",L119=""),1,0)</x:f>
        <x:v>0</x:v>
      </x:c>
    </x:row>
    <x:row r="120" ht="47" customHeight="1">
      <x:c r="A120" s="4" t="str">
        <x:v>CP-116</x:v>
      </x:c>
      <x:c r="B120" s="4" t="str">
        <x:v>F033</x:v>
      </x:c>
      <x:c r="C120" s="4" t="str">
        <x:v>F033</x:v>
      </x:c>
      <x:c r="D120" s="4" t="str">
        <x:v>Artículo 2</x:v>
      </x:c>
      <x:c r="E120" s="4" t="str">
        <x:v>Scope</x:v>
      </x:c>
      <x:c r="F120" s="4" t="str">
        <x:v>Determinar ámbito y papel del operador del sistema o modelo de IA.</x:v>
      </x:c>
      <x:c r="G120" s="4" t="str">
        <x:v>Restricción jurídica</x:v>
      </x:c>
      <x:c r="H120" s="4" t="str">
        <x:v>E16</x:v>
      </x:c>
      <x:c r="I120" s="4" t="str">
        <x:v>OG-WRL-006</x:v>
      </x:c>
      <x:c r="J120" s="4" t="str">
        <x:v>OPC-17</x:v>
      </x:c>
      <x:c r="K120" s="4" t="str">
        <x:v>APLICABILIDAD_CONDICIONAL; sin adopción de obligación de caso</x:v>
      </x:c>
      <x:c r="L120" s="4" t="str">
        <x:v>APLICABILIDAD_PENDIENTE</x:v>
      </x:c>
      <x:c r="M120" s="12" t="n">
        <x:f>COUNTIF('05_Complementos'!$A$5:$A$127,A120)-1</x:f>
        <x:v>0</x:v>
      </x:c>
      <x:c r="N120" s="12" t="n">
        <x:f>IF(AND(COUNTIF('01_Fuentes'!$A$5:$A$40,B120)=1,COUNTIF('02_Custodia'!$A$5:$A$53,C120)=1,COUNTIF('07_Operaciones'!$A$5:$A$26,J120)=1,COUNTIF('06_Cobertura'!$A$5:$A$25,H120)=1),0,1)</x:f>
        <x:v>0</x:v>
      </x:c>
      <x:c r="O120" s="12" t="n">
        <x:f>IF(COUNTIF('03_NICE'!$A$5:$A$57,I120)+COUNTIF('04_TKS'!$A$5:$A$72,I120)=1,0,1)</x:f>
        <x:v>0</x:v>
      </x:c>
      <x:c r="P120" s="12" t="n">
        <x:f>IF(OR(AND(B120="F008",L120&lt;&gt;"IDENTIFICADA_NO_ADOPTABLE"),AND(B120="F028",L120&lt;&gt;"PREGUNTA_NO_NORMATIVA"),COUNTIFS('01_Fuentes'!$A$5:$A$40,B120,'01_Fuentes'!$H$5:$H$40,"METADATOS_SOLO")&gt;0),1,0)</x:f>
        <x:v>0</x:v>
      </x:c>
      <x:c r="Q120" s="12" t="n">
        <x:f>IF(OR(A120="",D120="",E120="",F120="",K120="",L120=""),1,0)</x:f>
        <x:v>0</x:v>
      </x:c>
    </x:row>
    <x:row r="121" ht="47" customHeight="1">
      <x:c r="A121" s="4" t="str">
        <x:v>CP-117</x:v>
      </x:c>
      <x:c r="B121" s="4" t="str">
        <x:v>F033</x:v>
      </x:c>
      <x:c r="C121" s="4" t="str">
        <x:v>F033</x:v>
      </x:c>
      <x:c r="D121" s="4" t="str">
        <x:v>Artículos 14 y 15</x:v>
      </x:c>
      <x:c r="E121" s="4" t="str">
        <x:v>Human oversight</x:v>
      </x:c>
      <x:c r="F121" s="4" t="str">
        <x:v>Identificar supervisión y seguridad exigibles al sistema de alto riesgo sólo si le resultan aplicables.</x:v>
      </x:c>
      <x:c r="G121" s="4" t="str">
        <x:v>Restricción jurídica</x:v>
      </x:c>
      <x:c r="H121" s="4" t="str">
        <x:v>E16</x:v>
      </x:c>
      <x:c r="I121" s="4" t="str">
        <x:v>K1327</x:v>
      </x:c>
      <x:c r="J121" s="4" t="str">
        <x:v>OPC-15</x:v>
      </x:c>
      <x:c r="K121" s="4" t="str">
        <x:v>APLICABILIDAD_CONDICIONAL; sin adopción de obligación de caso</x:v>
      </x:c>
      <x:c r="L121" s="4" t="str">
        <x:v>APLICABILIDAD_PENDIENTE</x:v>
      </x:c>
      <x:c r="M121" s="12" t="n">
        <x:f>COUNTIF('05_Complementos'!$A$5:$A$127,A121)-1</x:f>
        <x:v>0</x:v>
      </x:c>
      <x:c r="N121" s="12" t="n">
        <x:f>IF(AND(COUNTIF('01_Fuentes'!$A$5:$A$40,B121)=1,COUNTIF('02_Custodia'!$A$5:$A$53,C121)=1,COUNTIF('07_Operaciones'!$A$5:$A$26,J121)=1,COUNTIF('06_Cobertura'!$A$5:$A$25,H121)=1),0,1)</x:f>
        <x:v>0</x:v>
      </x:c>
      <x:c r="O121" s="12" t="n">
        <x:f>IF(COUNTIF('03_NICE'!$A$5:$A$57,I121)+COUNTIF('04_TKS'!$A$5:$A$72,I121)=1,0,1)</x:f>
        <x:v>0</x:v>
      </x:c>
      <x:c r="P121" s="12" t="n">
        <x:f>IF(OR(AND(B121="F008",L121&lt;&gt;"IDENTIFICADA_NO_ADOPTABLE"),AND(B121="F028",L121&lt;&gt;"PREGUNTA_NO_NORMATIVA"),COUNTIFS('01_Fuentes'!$A$5:$A$40,B121,'01_Fuentes'!$H$5:$H$40,"METADATOS_SOLO")&gt;0),1,0)</x:f>
        <x:v>0</x:v>
      </x:c>
      <x:c r="Q121" s="12" t="n">
        <x:f>IF(OR(A121="",D121="",E121="",F121="",K121="",L121=""),1,0)</x:f>
        <x:v>0</x:v>
      </x:c>
    </x:row>
    <x:row r="122" ht="47" customHeight="1">
      <x:c r="A122" s="4" t="str">
        <x:v>CP-118</x:v>
      </x:c>
      <x:c r="B122" s="4" t="str">
        <x:v>F034</x:v>
      </x:c>
      <x:c r="C122" s="4" t="str">
        <x:v>F034</x:v>
      </x:c>
      <x:c r="D122" s="4" t="str">
        <x:v>Artículos 2 y 3</x:v>
      </x:c>
      <x:c r="E122" s="4" t="str">
        <x:v>Material scope</x:v>
      </x:c>
      <x:c r="F122" s="4" t="str">
        <x:v>Comprobar ámbito material y territorial del tratamiento de datos.</x:v>
      </x:c>
      <x:c r="G122" s="4" t="str">
        <x:v>Restricción jurídica</x:v>
      </x:c>
      <x:c r="H122" s="4" t="str">
        <x:v>E16</x:v>
      </x:c>
      <x:c r="I122" s="4" t="str">
        <x:v>OG-WRL-008</x:v>
      </x:c>
      <x:c r="J122" s="4" t="str">
        <x:v>OPC-17</x:v>
      </x:c>
      <x:c r="K122" s="4" t="str">
        <x:v>APLICABILIDAD_CONDICIONAL; sin adopción de obligación de caso</x:v>
      </x:c>
      <x:c r="L122" s="4" t="str">
        <x:v>APLICABILIDAD_PENDIENTE</x:v>
      </x:c>
      <x:c r="M122" s="12" t="n">
        <x:f>COUNTIF('05_Complementos'!$A$5:$A$127,A122)-1</x:f>
        <x:v>0</x:v>
      </x:c>
      <x:c r="N122" s="12" t="n">
        <x:f>IF(AND(COUNTIF('01_Fuentes'!$A$5:$A$40,B122)=1,COUNTIF('02_Custodia'!$A$5:$A$53,C122)=1,COUNTIF('07_Operaciones'!$A$5:$A$26,J122)=1,COUNTIF('06_Cobertura'!$A$5:$A$25,H122)=1),0,1)</x:f>
        <x:v>0</x:v>
      </x:c>
      <x:c r="O122" s="12" t="n">
        <x:f>IF(COUNTIF('03_NICE'!$A$5:$A$57,I122)+COUNTIF('04_TKS'!$A$5:$A$72,I122)=1,0,1)</x:f>
        <x:v>0</x:v>
      </x:c>
      <x:c r="P122" s="12" t="n">
        <x:f>IF(OR(AND(B122="F008",L122&lt;&gt;"IDENTIFICADA_NO_ADOPTABLE"),AND(B122="F028",L122&lt;&gt;"PREGUNTA_NO_NORMATIVA"),COUNTIFS('01_Fuentes'!$A$5:$A$40,B122,'01_Fuentes'!$H$5:$H$40,"METADATOS_SOLO")&gt;0),1,0)</x:f>
        <x:v>0</x:v>
      </x:c>
      <x:c r="Q122" s="12" t="n">
        <x:f>IF(OR(A122="",D122="",E122="",F122="",K122="",L122=""),1,0)</x:f>
        <x:v>0</x:v>
      </x:c>
    </x:row>
    <x:row r="123" ht="47" customHeight="1">
      <x:c r="A123" s="4" t="str">
        <x:v>CP-119</x:v>
      </x:c>
      <x:c r="B123" s="4" t="str">
        <x:v>F034</x:v>
      </x:c>
      <x:c r="C123" s="4" t="str">
        <x:v>F034</x:v>
      </x:c>
      <x:c r="D123" s="4" t="str">
        <x:v>Artículo 32</x:v>
      </x:c>
      <x:c r="E123" s="4" t="str">
        <x:v>Security of processing</x:v>
      </x:c>
      <x:c r="F123" s="4" t="str">
        <x:v>Relacionar medidas de seguridad con contexto y riesgo del tratamiento cuando proceda.</x:v>
      </x:c>
      <x:c r="G123" s="4" t="str">
        <x:v>Restricción jurídica</x:v>
      </x:c>
      <x:c r="H123" s="4" t="str">
        <x:v>E16</x:v>
      </x:c>
      <x:c r="I123" s="4" t="str">
        <x:v>OG-WRL-008</x:v>
      </x:c>
      <x:c r="J123" s="4" t="str">
        <x:v>OPC-17</x:v>
      </x:c>
      <x:c r="K123" s="4" t="str">
        <x:v>APLICABILIDAD_CONDICIONAL; sin adopción de obligación de caso</x:v>
      </x:c>
      <x:c r="L123" s="4" t="str">
        <x:v>APLICABILIDAD_PENDIENTE</x:v>
      </x:c>
      <x:c r="M123" s="12" t="n">
        <x:f>COUNTIF('05_Complementos'!$A$5:$A$127,A123)-1</x:f>
        <x:v>0</x:v>
      </x:c>
      <x:c r="N123" s="12" t="n">
        <x:f>IF(AND(COUNTIF('01_Fuentes'!$A$5:$A$40,B123)=1,COUNTIF('02_Custodia'!$A$5:$A$53,C123)=1,COUNTIF('07_Operaciones'!$A$5:$A$26,J123)=1,COUNTIF('06_Cobertura'!$A$5:$A$25,H123)=1),0,1)</x:f>
        <x:v>0</x:v>
      </x:c>
      <x:c r="O123" s="12" t="n">
        <x:f>IF(COUNTIF('03_NICE'!$A$5:$A$57,I123)+COUNTIF('04_TKS'!$A$5:$A$72,I123)=1,0,1)</x:f>
        <x:v>0</x:v>
      </x:c>
      <x:c r="P123" s="12" t="n">
        <x:f>IF(OR(AND(B123="F008",L123&lt;&gt;"IDENTIFICADA_NO_ADOPTABLE"),AND(B123="F028",L123&lt;&gt;"PREGUNTA_NO_NORMATIVA"),COUNTIFS('01_Fuentes'!$A$5:$A$40,B123,'01_Fuentes'!$H$5:$H$40,"METADATOS_SOLO")&gt;0),1,0)</x:f>
        <x:v>0</x:v>
      </x:c>
      <x:c r="Q123" s="12" t="n">
        <x:f>IF(OR(A123="",D123="",E123="",F123="",K123="",L123=""),1,0)</x:f>
        <x:v>0</x:v>
      </x:c>
    </x:row>
    <x:row r="124" ht="47" customHeight="1">
      <x:c r="A124" s="4" t="str">
        <x:v>CP-120</x:v>
      </x:c>
      <x:c r="B124" s="4" t="str">
        <x:v>F035</x:v>
      </x:c>
      <x:c r="C124" s="4" t="str">
        <x:v>A007</x:v>
      </x:c>
      <x:c r="D124" s="4" t="str">
        <x:v>Tramo Cybersecurity; función de investigación y respuesta</x:v>
      </x:c>
      <x:c r="E124" s="4" t="str">
        <x:v>Cyber Forensics</x:v>
      </x:c>
      <x:c r="F124" s="4" t="str">
        <x:v>Contrastar especialización forense y su relación con la respuesta en un marco nacional asiático.</x:v>
      </x:c>
      <x:c r="G124" s="4" t="str">
        <x:v>Competencia</x:v>
      </x:c>
      <x:c r="H124" s="4" t="str">
        <x:v>E10</x:v>
      </x:c>
      <x:c r="I124" s="4" t="str">
        <x:v>IN-WRL-002</x:v>
      </x:c>
      <x:c r="J124" s="4" t="str">
        <x:v>OPC-10</x:v>
      </x:c>
      <x:c r="K124" s="4" t="str">
        <x:v>CONTRASTE_SINGAPUR; no importa autoridad jurídica</x:v>
      </x:c>
      <x:c r="L124" s="4" t="str">
        <x:v>CANDIDATA_NO_ADOPTADA</x:v>
      </x:c>
      <x:c r="M124" s="12" t="n">
        <x:f>COUNTIF('05_Complementos'!$A$5:$A$127,A124)-1</x:f>
        <x:v>0</x:v>
      </x:c>
      <x:c r="N124" s="12" t="n">
        <x:f>IF(AND(COUNTIF('01_Fuentes'!$A$5:$A$40,B124)=1,COUNTIF('02_Custodia'!$A$5:$A$53,C124)=1,COUNTIF('07_Operaciones'!$A$5:$A$26,J124)=1,COUNTIF('06_Cobertura'!$A$5:$A$25,H124)=1),0,1)</x:f>
        <x:v>0</x:v>
      </x:c>
      <x:c r="O124" s="12" t="n">
        <x:f>IF(COUNTIF('03_NICE'!$A$5:$A$57,I124)+COUNTIF('04_TKS'!$A$5:$A$72,I124)=1,0,1)</x:f>
        <x:v>0</x:v>
      </x:c>
      <x:c r="P124" s="12" t="n">
        <x:f>IF(OR(AND(B124="F008",L124&lt;&gt;"IDENTIFICADA_NO_ADOPTABLE"),AND(B124="F028",L124&lt;&gt;"PREGUNTA_NO_NORMATIVA"),COUNTIFS('01_Fuentes'!$A$5:$A$40,B124,'01_Fuentes'!$H$5:$H$40,"METADATOS_SOLO")&gt;0),1,0)</x:f>
        <x:v>0</x:v>
      </x:c>
      <x:c r="Q124" s="12" t="n">
        <x:f>IF(OR(A124="",D124="",E124="",F124="",K124="",L124=""),1,0)</x:f>
        <x:v>0</x:v>
      </x:c>
    </x:row>
    <x:row r="125" ht="47" customHeight="1">
      <x:c r="A125" s="4" t="str">
        <x:v>CP-121</x:v>
      </x:c>
      <x:c r="B125" s="4" t="str">
        <x:v>F035</x:v>
      </x:c>
      <x:c r="C125" s="4" t="str">
        <x:v>A007</x:v>
      </x:c>
      <x:c r="D125" s="4" t="str">
        <x:v>Tramo Cybersecurity; niveles de competencia</x:v>
      </x:c>
      <x:c r="E125" s="4" t="str">
        <x:v>Cyber and Data Breach Incident Management</x:v>
      </x:c>
      <x:c r="F125" s="4" t="str">
        <x:v>Contrastar responsabilidades y progresión en gestión de incidentes y brechas de datos.</x:v>
      </x:c>
      <x:c r="G125" s="4" t="str">
        <x:v>Competencia</x:v>
      </x:c>
      <x:c r="H125" s="4" t="str">
        <x:v>E11</x:v>
      </x:c>
      <x:c r="I125" s="4" t="str">
        <x:v>PD-WRL-003</x:v>
      </x:c>
      <x:c r="J125" s="4" t="str">
        <x:v>OPC-09</x:v>
      </x:c>
      <x:c r="K125" s="4" t="str">
        <x:v>CONTRASTE_PROGRESION; no convierte niveles en puntuación SV</x:v>
      </x:c>
      <x:c r="L125" s="4" t="str">
        <x:v>CANDIDATA_NO_ADOPTADA</x:v>
      </x:c>
      <x:c r="M125" s="12" t="n">
        <x:f>COUNTIF('05_Complementos'!$A$5:$A$127,A125)-1</x:f>
        <x:v>0</x:v>
      </x:c>
      <x:c r="N125" s="12" t="n">
        <x:f>IF(AND(COUNTIF('01_Fuentes'!$A$5:$A$40,B125)=1,COUNTIF('02_Custodia'!$A$5:$A$53,C125)=1,COUNTIF('07_Operaciones'!$A$5:$A$26,J125)=1,COUNTIF('06_Cobertura'!$A$5:$A$25,H125)=1),0,1)</x:f>
        <x:v>0</x:v>
      </x:c>
      <x:c r="O125" s="12" t="n">
        <x:f>IF(COUNTIF('03_NICE'!$A$5:$A$57,I125)+COUNTIF('04_TKS'!$A$5:$A$72,I125)=1,0,1)</x:f>
        <x:v>0</x:v>
      </x:c>
      <x:c r="P125" s="12" t="n">
        <x:f>IF(OR(AND(B125="F008",L125&lt;&gt;"IDENTIFICADA_NO_ADOPTABLE"),AND(B125="F028",L125&lt;&gt;"PREGUNTA_NO_NORMATIVA"),COUNTIFS('01_Fuentes'!$A$5:$A$40,B125,'01_Fuentes'!$H$5:$H$40,"METADATOS_SOLO")&gt;0),1,0)</x:f>
        <x:v>0</x:v>
      </x:c>
      <x:c r="Q125" s="12" t="n">
        <x:f>IF(OR(A125="",D125="",E125="",F125="",K125="",L125=""),1,0)</x:f>
        <x:v>0</x:v>
      </x:c>
    </x:row>
    <x:row r="126" ht="60" customHeight="1">
      <x:c r="A126" s="4" t="str">
        <x:v>CP-122</x:v>
      </x:c>
      <x:c r="B126" s="4" t="str">
        <x:v>F036</x:v>
      </x:c>
      <x:c r="C126" s="4" t="str">
        <x:v>F036</x:v>
      </x:c>
      <x:c r="D126" s="4" t="str">
        <x:v>Context; valoración de capacidades y horizonte</x:v>
      </x:c>
      <x:c r="E126" s="4" t="str">
        <x:v>cyber intrusion</x:v>
      </x:c>
      <x:c r="F126" s="4" t="str">
        <x:v>Considerar cambios previstos en reconocimiento, ingeniería social y explotación facilitados por IA, conservando incertidumbre y horizonte de la evaluación.</x:v>
      </x:c>
      <x:c r="G126" s="4" t="str">
        <x:v>Evaluación prospectiva</x:v>
      </x:c>
      <x:c r="H126" s="4" t="str">
        <x:v>E20</x:v>
      </x:c>
      <x:c r="I126" s="4" t="str">
        <x:v>PD-WRL-006</x:v>
      </x:c>
      <x:c r="J126" s="4" t="str">
        <x:v>OPC-08</x:v>
      </x:c>
      <x:c r="K126" s="4" t="str">
        <x:v>APORTA_PROSPECTIVA; no evento observado ni causalidad individual</x:v>
      </x:c>
      <x:c r="L126" s="4" t="str">
        <x:v>CANDIDATA_NO_ADOPTADA</x:v>
      </x:c>
      <x:c r="M126" s="12" t="n">
        <x:f>COUNTIF('05_Complementos'!$A$5:$A$127,A126)-1</x:f>
        <x:v>0</x:v>
      </x:c>
      <x:c r="N126" s="12" t="n">
        <x:f>IF(AND(COUNTIF('01_Fuentes'!$A$5:$A$40,B126)=1,COUNTIF('02_Custodia'!$A$5:$A$53,C126)=1,COUNTIF('07_Operaciones'!$A$5:$A$26,J126)=1,COUNTIF('06_Cobertura'!$A$5:$A$25,H126)=1),0,1)</x:f>
        <x:v>0</x:v>
      </x:c>
      <x:c r="O126" s="12" t="n">
        <x:f>IF(COUNTIF('03_NICE'!$A$5:$A$57,I126)+COUNTIF('04_TKS'!$A$5:$A$72,I126)=1,0,1)</x:f>
        <x:v>0</x:v>
      </x:c>
      <x:c r="P126" s="12" t="n">
        <x:f>IF(OR(AND(B126="F008",L126&lt;&gt;"IDENTIFICADA_NO_ADOPTABLE"),AND(B126="F028",L126&lt;&gt;"PREGUNTA_NO_NORMATIVA"),COUNTIFS('01_Fuentes'!$A$5:$A$40,B126,'01_Fuentes'!$H$5:$H$40,"METADATOS_SOLO")&gt;0),1,0)</x:f>
        <x:v>0</x:v>
      </x:c>
      <x:c r="Q126" s="12" t="n">
        <x:f>IF(OR(A126="",D126="",E126="",F126="",K126="",L126=""),1,0)</x:f>
        <x:v>0</x:v>
      </x:c>
    </x:row>
    <x:row r="127" ht="47" customHeight="1">
      <x:c r="A127" s="4" t="str">
        <x:v>CP-123</x:v>
      </x:c>
      <x:c r="B127" s="4" t="str">
        <x:v>F036</x:v>
      </x:c>
      <x:c r="C127" s="4" t="str">
        <x:v>F036</x:v>
      </x:c>
      <x:c r="D127" s="4" t="str">
        <x:v>Context; Human-machine teaming</x:v>
      </x:c>
      <x:c r="E127" s="4" t="str">
        <x:v>human-machine teaming</x:v>
      </x:c>
      <x:c r="F127" s="4" t="str">
        <x:v>Examinar cómo automatización parcial y cooperación humano-máquina pueden alterar seguimiento y mitigación de amenazas.</x:v>
      </x:c>
      <x:c r="G127" s="4" t="str">
        <x:v>Evaluación prospectiva</x:v>
      </x:c>
      <x:c r="H127" s="4" t="str">
        <x:v>E20</x:v>
      </x:c>
      <x:c r="I127" s="4" t="str">
        <x:v>K1321</x:v>
      </x:c>
      <x:c r="J127" s="4" t="str">
        <x:v>OPC-15</x:v>
      </x:c>
      <x:c r="K127" s="4" t="str">
        <x:v>APORTA_PREGUNTA_DE_EVIDENCIA; no autoriza automatización defensiva</x:v>
      </x:c>
      <x:c r="L127" s="4" t="str">
        <x:v>CANDIDATA_NO_ADOPTADA</x:v>
      </x:c>
      <x:c r="M127" s="12" t="n">
        <x:f>COUNTIF('05_Complementos'!$A$5:$A$127,A127)-1</x:f>
        <x:v>0</x:v>
      </x:c>
      <x:c r="N127" s="12" t="n">
        <x:f>IF(AND(COUNTIF('01_Fuentes'!$A$5:$A$40,B127)=1,COUNTIF('02_Custodia'!$A$5:$A$53,C127)=1,COUNTIF('07_Operaciones'!$A$5:$A$26,J127)=1,COUNTIF('06_Cobertura'!$A$5:$A$25,H127)=1),0,1)</x:f>
        <x:v>0</x:v>
      </x:c>
      <x:c r="O127" s="12" t="n">
        <x:f>IF(COUNTIF('03_NICE'!$A$5:$A$57,I127)+COUNTIF('04_TKS'!$A$5:$A$72,I127)=1,0,1)</x:f>
        <x:v>0</x:v>
      </x:c>
      <x:c r="P127" s="12" t="n">
        <x:f>IF(OR(AND(B127="F008",L127&lt;&gt;"IDENTIFICADA_NO_ADOPTABLE"),AND(B127="F028",L127&lt;&gt;"PREGUNTA_NO_NORMATIVA"),COUNTIFS('01_Fuentes'!$A$5:$A$40,B127,'01_Fuentes'!$H$5:$H$40,"METADATOS_SOLO")&gt;0),1,0)</x:f>
        <x:v>0</x:v>
      </x:c>
      <x:c r="Q127" s="12" t="n">
        <x:f>IF(OR(A127="",D127="",E127="",F127="",K127="",L127=""),1,0)</x:f>
        <x:v>0</x:v>
      </x:c>
    </x:row>
  </x:sheetData>
  <x:mergeCells>
    <x:mergeCell ref="A1:D1"/>
    <x:mergeCell ref="A2:F2"/>
  </x:mergeCells>
  <x:dataValidations count="1">
    <x:dataValidation type="list" sqref="L5:L127">
      <x:formula1>"CANDIDATA_NO_ADOPTADA,IDENTIFICADA_NO_ADOPTABLE,PREGUNTA_NO_NORMATIVA,APLICABILIDAD_PENDIENTE"</x:formula1>
    </x:dataValidation>
  </x:dataValidations>
  <x:pageMargins left="0.7" right="0.7" top="0.75" bottom="0.75" header="0.3" footer="0.3"/>
  <x:tableParts count="1">
    <x:tablePart xmlns:r="http://schemas.openxmlformats.org/officeDocument/2006/relationships" r:id="R186d2b085a1b4de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35" hidden="0" customWidth="1"/>
    <x:col min="3" max="3" width="52" hidden="0" customWidth="1"/>
    <x:col min="4" max="4" width="16" hidden="0" customWidth="1"/>
    <x:col min="5" max="5" width="12" hidden="0" customWidth="1"/>
    <x:col min="6" max="6" width="24" hidden="0" customWidth="1"/>
    <x:col min="7" max="7" width="78" hidden="0" customWidth="1"/>
    <x:col min="8" max="8" width="52" hidden="0" customWidth="1"/>
  </x:cols>
  <x:sheetData>
    <x:row r="1" ht="35" customHeight="1">
      <x:c r="A1" s="6" t="str">
        <x:v>COBERTURA · revisión tradicional e IA</x:v>
      </x:c>
      <x:c r="B1" s="6"/>
      <x:c r="C1" s="6"/>
      <x:c r="D1" s="6"/>
      <x:c r="E1" s="6"/>
      <x:c r="F1" s="6"/>
      <x:c r="G1" s="6"/>
      <x:c r="H1" s="6"/>
    </x:row>
    <x:row r="2" ht="52" customHeight="1">
      <x:c r="A2" s="8" t="str">
        <x:v>Recuentos de vínculos primarios. Excluyen del conteo complementario UC3M parcial y borrador IR 8596. No son puntuaciones ni prueba de suficiencia.</x:v>
      </x:c>
      <x:c r="B2" s="8"/>
      <x:c r="C2" s="8"/>
      <x:c r="D2" s="8"/>
      <x:c r="E2" s="8"/>
      <x:c r="F2" s="8"/>
      <x:c r="G2" s="8"/>
      <x:c r="H2" s="8"/>
    </x:row>
    <x:row r="3">
      <x:c r="A3" s="4"/>
      <x:c r="B3" s="4"/>
      <x:c r="C3" s="4"/>
      <x:c r="D3" s="4"/>
      <x:c r="E3" s="4"/>
      <x:c r="F3" s="4"/>
      <x:c r="G3" s="4"/>
      <x:c r="H3" s="4"/>
    </x:row>
    <x:row r="4" ht="42" customHeight="1">
      <x:c r="A4" s="10" t="str">
        <x:v>Eje</x:v>
      </x:c>
      <x:c r="B4" s="10" t="str">
        <x:v>Dimensión</x:v>
      </x:c>
      <x:c r="C4" s="10" t="str">
        <x:v>Pregunta de revisión</x:v>
      </x:c>
      <x:c r="D4" s="10" t="str">
        <x:v>Roles / áreas</x:v>
      </x:c>
      <x:c r="E4" s="10" t="str">
        <x:v>TKS</x:v>
      </x:c>
      <x:c r="F4" s="10" t="str">
        <x:v>Complementos utilizables</x:v>
      </x:c>
      <x:c r="G4" s="10" t="str">
        <x:v>Vacío o frontera pendiente</x:v>
      </x:c>
      <x:c r="H4" s="10" t="str">
        <x:v>Dictamen de alcance</x:v>
      </x:c>
    </x:row>
    <x:row r="5" ht="47" customHeight="1">
      <x:c r="A5" s="4" t="str">
        <x:v>E01</x:v>
      </x:c>
      <x:c r="B5" s="4" t="str">
        <x:v>Gobierno y riesgo</x:v>
      </x:c>
      <x:c r="C5" s="4" t="str">
        <x:v>Responsabilidad, políticas, riesgo y aceptación</x:v>
      </x:c>
      <x:c r="D5" s="12" t="n">
        <x:f>COUNTIF('03_NICE'!$G$5:$G$57,A5)</x:f>
        <x:v>6</x:v>
      </x:c>
      <x:c r="E5" s="12" t="n">
        <x:f>COUNTIF('04_TKS'!$E$5:$E$72,A5)</x:f>
        <x:v>2</x:v>
      </x:c>
      <x:c r="F5" s="12" t="n">
        <x:f>COUNTIF('05_Complementos'!$H$5:$H$127,A5)-COUNTIFS('05_Complementos'!$H$5:$H$127,A5,'05_Complementos'!$L$5:$L$127,"IDENTIFICADA_NO_ADOPTABLE")-COUNTIFS('05_Complementos'!$H$5:$H$127,A5,'05_Complementos'!$L$5:$L$127,"PREGUNTA_NO_NORMATIVA")</x:f>
        <x:v>11</x:v>
      </x:c>
      <x:c r="G5" s="4" t="str">
        <x:v>No fija apetito de riesgo ni autoridad institucional concreta.</x:v>
      </x:c>
      <x:c r="H5" s="4" t="str">
        <x:v>REVISADA_DOCUMENTALMENTE; DESARROLLO_OPERATIVO_PENDIENTE</x:v>
      </x:c>
    </x:row>
    <x:row r="6" ht="47" customHeight="1">
      <x:c r="A6" s="4" t="str">
        <x:v>E02</x:v>
      </x:c>
      <x:c r="B6" s="4" t="str">
        <x:v>Activos y arquitectura</x:v>
      </x:c>
      <x:c r="C6" s="4" t="str">
        <x:v>Inventario, dependencias y requisitos de seguridad</x:v>
      </x:c>
      <x:c r="D6" s="12" t="n">
        <x:f>COUNTIF('03_NICE'!$G$5:$G$57,A6)</x:f>
        <x:v>5</x:v>
      </x:c>
      <x:c r="E6" s="12" t="n">
        <x:f>COUNTIF('04_TKS'!$E$5:$E$72,A6)</x:f>
        <x:v>0</x:v>
      </x:c>
      <x:c r="F6" s="12" t="n">
        <x:f>COUNTIF('05_Complementos'!$H$5:$H$127,A6)-COUNTIFS('05_Complementos'!$H$5:$H$127,A6,'05_Complementos'!$L$5:$L$127,"IDENTIFICADA_NO_ADOPTABLE")-COUNTIFS('05_Complementos'!$H$5:$H$127,A6,'05_Complementos'!$L$5:$L$127,"PREGUNTA_NO_NORMATIVA")</x:f>
        <x:v>6</x:v>
      </x:c>
      <x:c r="G6" s="4" t="str">
        <x:v>No constituye arquitectura ni inventario de una organización.</x:v>
      </x:c>
      <x:c r="H6" s="4" t="str">
        <x:v>REVISADA_DOCUMENTALMENTE; DESARROLLO_OPERATIVO_PENDIENTE</x:v>
      </x:c>
    </x:row>
    <x:row r="7" ht="47" customHeight="1">
      <x:c r="A7" s="4" t="str">
        <x:v>E03</x:v>
      </x:c>
      <x:c r="B7" s="4" t="str">
        <x:v>Identidad, acceso y privilegios</x:v>
      </x:c>
      <x:c r="C7" s="4" t="str">
        <x:v>Autorización, autenticación, vigencia y revocación</x:v>
      </x:c>
      <x:c r="D7" s="12" t="n">
        <x:f>COUNTIF('03_NICE'!$G$5:$G$57,A7)</x:f>
        <x:v>1</x:v>
      </x:c>
      <x:c r="E7" s="12" t="n">
        <x:f>COUNTIF('04_TKS'!$E$5:$E$72,A7)</x:f>
        <x:v>3</x:v>
      </x:c>
      <x:c r="F7" s="12" t="n">
        <x:f>COUNTIF('05_Complementos'!$H$5:$H$127,A7)-COUNTIFS('05_Complementos'!$H$5:$H$127,A7,'05_Complementos'!$L$5:$L$127,"IDENTIFICADA_NO_ADOPTABLE")-COUNTIFS('05_Complementos'!$H$5:$H$127,A7,'05_Complementos'!$L$5:$L$127,"PREGUNTA_NO_NORMATIVA")</x:f>
        <x:v>5</x:v>
      </x:c>
      <x:c r="G7" s="4" t="str">
        <x:v>No se ejercen permisos ni se autentica a una persona por nombre.</x:v>
      </x:c>
      <x:c r="H7" s="4" t="str">
        <x:v>REVISADA_DOCUMENTALMENTE; DESARROLLO_OPERATIVO_PENDIENTE</x:v>
      </x:c>
    </x:row>
    <x:row r="8" ht="47" customHeight="1">
      <x:c r="A8" s="4" t="str">
        <x:v>E04</x:v>
      </x:c>
      <x:c r="B8" s="4" t="str">
        <x:v>Criptografía y claves</x:v>
      </x:c>
      <x:c r="C8" s="4" t="str">
        <x:v>Protección, protocolos y gestión criptográfica</x:v>
      </x:c>
      <x:c r="D8" s="12" t="n">
        <x:f>COUNTIF('03_NICE'!$G$5:$G$57,A8)</x:f>
        <x:v>2</x:v>
      </x:c>
      <x:c r="E8" s="12" t="n">
        <x:f>COUNTIF('04_TKS'!$E$5:$E$72,A8)</x:f>
        <x:v>0</x:v>
      </x:c>
      <x:c r="F8" s="12" t="n">
        <x:f>COUNTIF('05_Complementos'!$H$5:$H$127,A8)-COUNTIFS('05_Complementos'!$H$5:$H$127,A8,'05_Complementos'!$L$5:$L$127,"IDENTIFICADA_NO_ADOPTABLE")-COUNTIFS('05_Complementos'!$H$5:$H$127,A8,'05_Complementos'!$L$5:$L$127,"PREGUNTA_NO_NORMATIVA")</x:f>
        <x:v>3</x:v>
      </x:c>
      <x:c r="G8" s="4" t="str">
        <x:v>Algoritmos y parámetros exactos dependen de la operación.</x:v>
      </x:c>
      <x:c r="H8" s="4" t="str">
        <x:v>REVISADA_DOCUMENTALMENTE; DESARROLLO_OPERATIVO_PENDIENTE</x:v>
      </x:c>
    </x:row>
    <x:row r="9" ht="47" customHeight="1">
      <x:c r="A9" s="4" t="str">
        <x:v>E05</x:v>
      </x:c>
      <x:c r="B9" s="4" t="str">
        <x:v>Redes, sistemas y servicios</x:v>
      </x:c>
      <x:c r="C9" s="4" t="str">
        <x:v>Configuración, operación y mantenimiento seguro</x:v>
      </x:c>
      <x:c r="D9" s="12" t="n">
        <x:f>COUNTIF('03_NICE'!$G$5:$G$57,A9)</x:f>
        <x:v>8</x:v>
      </x:c>
      <x:c r="E9" s="12" t="n">
        <x:f>COUNTIF('04_TKS'!$E$5:$E$72,A9)</x:f>
        <x:v>1</x:v>
      </x:c>
      <x:c r="F9" s="12" t="n">
        <x:f>COUNTIF('05_Complementos'!$H$5:$H$127,A9)-COUNTIFS('05_Complementos'!$H$5:$H$127,A9,'05_Complementos'!$L$5:$L$127,"IDENTIFICADA_NO_ADOPTABLE")-COUNTIFS('05_Complementos'!$H$5:$H$127,A9,'05_Complementos'!$L$5:$L$127,"PREGUNTA_NO_NORMATIVA")</x:f>
        <x:v>5</x:v>
      </x:c>
      <x:c r="G9" s="4" t="str">
        <x:v>No se ofrece administración de sistemas reales.</x:v>
      </x:c>
      <x:c r="H9" s="4" t="str">
        <x:v>REVISADA_DOCUMENTALMENTE; DESARROLLO_OPERATIVO_PENDIENTE</x:v>
      </x:c>
    </x:row>
    <x:row r="10" ht="47" customHeight="1">
      <x:c r="A10" s="4" t="str">
        <x:v>E06</x:v>
      </x:c>
      <x:c r="B10" s="4" t="str">
        <x:v>Aplicaciones y desarrollo</x:v>
      </x:c>
      <x:c r="C10" s="4" t="str">
        <x:v>Diseño, verificación, entrega y errores</x:v>
      </x:c>
      <x:c r="D10" s="12" t="n">
        <x:f>COUNTIF('03_NICE'!$G$5:$G$57,A10)</x:f>
        <x:v>4</x:v>
      </x:c>
      <x:c r="E10" s="12" t="n">
        <x:f>COUNTIF('04_TKS'!$E$5:$E$72,A10)</x:f>
        <x:v>2</x:v>
      </x:c>
      <x:c r="F10" s="12" t="n">
        <x:f>COUNTIF('05_Complementos'!$H$5:$H$127,A10)-COUNTIFS('05_Complementos'!$H$5:$H$127,A10,'05_Complementos'!$L$5:$L$127,"IDENTIFICADA_NO_ADOPTABLE")-COUNTIFS('05_Complementos'!$H$5:$H$127,A10,'05_Complementos'!$L$5:$L$127,"PREGUNTA_NO_NORMATIVA")</x:f>
        <x:v>6</x:v>
      </x:c>
      <x:c r="G10" s="4" t="str">
        <x:v>No se han evaluado requisitos ASVS individuales ni software real.</x:v>
      </x:c>
      <x:c r="H10" s="4" t="str">
        <x:v>REVISADA_DOCUMENTALMENTE; DESARROLLO_OPERATIVO_PENDIENTE</x:v>
      </x:c>
    </x:row>
    <x:row r="11" ht="47" customHeight="1">
      <x:c r="A11" s="4" t="str">
        <x:v>E07</x:v>
      </x:c>
      <x:c r="B11" s="4" t="str">
        <x:v>Nube y cadena de suministro</x:v>
      </x:c>
      <x:c r="C11" s="4" t="str">
        <x:v>Adquisición, dependencias y riesgo externo</x:v>
      </x:c>
      <x:c r="D11" s="12" t="n">
        <x:f>COUNTIF('03_NICE'!$G$5:$G$57,A11)</x:f>
        <x:v>4</x:v>
      </x:c>
      <x:c r="E11" s="12" t="n">
        <x:f>COUNTIF('04_TKS'!$E$5:$E$72,A11)</x:f>
        <x:v>6</x:v>
      </x:c>
      <x:c r="F11" s="12" t="n">
        <x:f>COUNTIF('05_Complementos'!$H$5:$H$127,A11)-COUNTIFS('05_Complementos'!$H$5:$H$127,A11,'05_Complementos'!$L$5:$L$127,"IDENTIFICADA_NO_ADOPTABLE")-COUNTIFS('05_Complementos'!$H$5:$H$127,A11,'05_Complementos'!$L$5:$L$127,"PREGUNTA_NO_NORMATIVA")</x:f>
        <x:v>2</x:v>
      </x:c>
      <x:c r="G11" s="4" t="str">
        <x:v>Responsabilidades compartidas y contratos se fijan por servicio.</x:v>
      </x:c>
      <x:c r="H11" s="4" t="str">
        <x:v>REVISADA_DOCUMENTALMENTE; DESARROLLO_OPERATIVO_PENDIENTE</x:v>
      </x:c>
    </x:row>
    <x:row r="12" ht="47" customHeight="1">
      <x:c r="A12" s="4" t="str">
        <x:v>E08</x:v>
      </x:c>
      <x:c r="B12" s="4" t="str">
        <x:v>Vulnerabilidades y evaluación autorizada</x:v>
      </x:c>
      <x:c r="C12" s="4" t="str">
        <x:v>Alcance, método, evidencia y hallazgos</x:v>
      </x:c>
      <x:c r="D12" s="12" t="n">
        <x:f>COUNTIF('03_NICE'!$G$5:$G$57,A12)</x:f>
        <x:v>2</x:v>
      </x:c>
      <x:c r="E12" s="12" t="n">
        <x:f>COUNTIF('04_TKS'!$E$5:$E$72,A12)</x:f>
        <x:v>5</x:v>
      </x:c>
      <x:c r="F12" s="12" t="n">
        <x:f>COUNTIF('05_Complementos'!$H$5:$H$127,A12)-COUNTIFS('05_Complementos'!$H$5:$H$127,A12,'05_Complementos'!$L$5:$L$127,"IDENTIFICADA_NO_ADOPTABLE")-COUNTIFS('05_Complementos'!$H$5:$H$127,A12,'05_Complementos'!$L$5:$L$127,"PREGUNTA_NO_NORMATIVA")</x:f>
        <x:v>7</x:v>
      </x:c>
      <x:c r="G12" s="4" t="str">
        <x:v>Ningún objetivo real autorizado ni catálogo CVE/ATT&amp;CK incorporado.</x:v>
      </x:c>
      <x:c r="H12" s="4" t="str">
        <x:v>REVISADA_DOCUMENTALMENTE; DESARROLLO_OPERATIVO_PENDIENTE</x:v>
      </x:c>
    </x:row>
    <x:row r="13" ht="47" customHeight="1">
      <x:c r="A13" s="4" t="str">
        <x:v>E09</x:v>
      </x:c>
      <x:c r="B13" s="4" t="str">
        <x:v>Detección e inteligencia</x:v>
      </x:c>
      <x:c r="C13" s="4" t="str">
        <x:v>Análisis de alertas, indicadores y amenazas</x:v>
      </x:c>
      <x:c r="D13" s="12" t="n">
        <x:f>COUNTIF('03_NICE'!$G$5:$G$57,A13)</x:f>
        <x:v>4</x:v>
      </x:c>
      <x:c r="E13" s="12" t="n">
        <x:f>COUNTIF('04_TKS'!$E$5:$E$72,A13)</x:f>
        <x:v>3</x:v>
      </x:c>
      <x:c r="F13" s="12" t="n">
        <x:f>COUNTIF('05_Complementos'!$H$5:$H$127,A13)-COUNTIFS('05_Complementos'!$H$5:$H$127,A13,'05_Complementos'!$L$5:$L$127,"IDENTIFICADA_NO_ADOPTABLE")-COUNTIFS('05_Complementos'!$H$5:$H$127,A13,'05_Complementos'!$L$5:$L$127,"PREGUNTA_NO_NORMATIVA")</x:f>
        <x:v>8</x:v>
      </x:c>
      <x:c r="G13" s="4" t="str">
        <x:v>Métricas, caducidad y relevancia se constituyen por operación.</x:v>
      </x:c>
      <x:c r="H13" s="4" t="str">
        <x:v>REVISADA_DOCUMENTALMENTE; DESARROLLO_OPERATIVO_PENDIENTE</x:v>
      </x:c>
    </x:row>
    <x:row r="14" ht="47" customHeight="1">
      <x:c r="A14" s="4" t="str">
        <x:v>E10</x:v>
      </x:c>
      <x:c r="B14" s="4" t="str">
        <x:v>Forense y custodia</x:v>
      </x:c>
      <x:c r="C14" s="4" t="str">
        <x:v>Adquisición, integridad, cronología y atribución de evidencia</x:v>
      </x:c>
      <x:c r="D14" s="12" t="n">
        <x:f>COUNTIF('03_NICE'!$G$5:$G$57,A14)</x:f>
        <x:v>3</x:v>
      </x:c>
      <x:c r="E14" s="12" t="n">
        <x:f>COUNTIF('04_TKS'!$E$5:$E$72,A14)</x:f>
        <x:v>7</x:v>
      </x:c>
      <x:c r="F14" s="12" t="n">
        <x:f>COUNTIF('05_Complementos'!$H$5:$H$127,A14)-COUNTIFS('05_Complementos'!$H$5:$H$127,A14,'05_Complementos'!$L$5:$L$127,"IDENTIFICADA_NO_ADOPTABLE")-COUNTIFS('05_Complementos'!$H$5:$H$127,A14,'05_Complementos'!$L$5:$L$127,"PREGUNTA_NO_NORMATIVA")</x:f>
        <x:v>8</x:v>
      </x:c>
      <x:c r="G14" s="4" t="str">
        <x:v>Integridad no acredita origen veraz ni admisibilidad jurídica.</x:v>
      </x:c>
      <x:c r="H14" s="4" t="str">
        <x:v>REVISADA_DOCUMENTALMENTE; DESARROLLO_OPERATIVO_PENDIENTE</x:v>
      </x:c>
    </x:row>
    <x:row r="15" ht="47" customHeight="1">
      <x:c r="A15" s="4" t="str">
        <x:v>E11</x:v>
      </x:c>
      <x:c r="B15" s="4" t="str">
        <x:v>Respuesta a incidentes</x:v>
      </x:c>
      <x:c r="C15" s="4" t="str">
        <x:v>Investigación, coordinación y opciones de respuesta</x:v>
      </x:c>
      <x:c r="D15" s="12" t="n">
        <x:f>COUNTIF('03_NICE'!$G$5:$G$57,A15)</x:f>
        <x:v>1</x:v>
      </x:c>
      <x:c r="E15" s="12" t="n">
        <x:f>COUNTIF('04_TKS'!$E$5:$E$72,A15)</x:f>
        <x:v>2</x:v>
      </x:c>
      <x:c r="F15" s="12" t="n">
        <x:f>COUNTIF('05_Complementos'!$H$5:$H$127,A15)-COUNTIFS('05_Complementos'!$H$5:$H$127,A15,'05_Complementos'!$L$5:$L$127,"IDENTIFICADA_NO_ADOPTABLE")-COUNTIFS('05_Complementos'!$H$5:$H$127,A15,'05_Complementos'!$L$5:$L$127,"PREGUNTA_NO_NORMATIVA")</x:f>
        <x:v>7</x:v>
      </x:c>
      <x:c r="G15" s="4" t="str">
        <x:v>Propuesta, permiso, ejecución y efecto permanecen separados.</x:v>
      </x:c>
      <x:c r="H15" s="4" t="str">
        <x:v>REVISADA_DOCUMENTALMENTE; DESARROLLO_OPERATIVO_PENDIENTE</x:v>
      </x:c>
    </x:row>
    <x:row r="16" ht="47" customHeight="1">
      <x:c r="A16" s="4" t="str">
        <x:v>E12</x:v>
      </x:c>
      <x:c r="B16" s="4" t="str">
        <x:v>Continuidad y recuperación</x:v>
      </x:c>
      <x:c r="C16" s="4" t="str">
        <x:v>Requisitos, copias y pruebas de recuperación</x:v>
      </x:c>
      <x:c r="D16" s="12" t="n">
        <x:f>COUNTIF('03_NICE'!$G$5:$G$57,A16)</x:f>
        <x:v>1</x:v>
      </x:c>
      <x:c r="E16" s="12" t="n">
        <x:f>COUNTIF('04_TKS'!$E$5:$E$72,A16)</x:f>
        <x:v>3</x:v>
      </x:c>
      <x:c r="F16" s="12" t="n">
        <x:f>COUNTIF('05_Complementos'!$H$5:$H$127,A16)-COUNTIFS('05_Complementos'!$H$5:$H$127,A16,'05_Complementos'!$L$5:$L$127,"IDENTIFICADA_NO_ADOPTABLE")-COUNTIFS('05_Complementos'!$H$5:$H$127,A16,'05_Complementos'!$L$5:$L$127,"PREGUNTA_NO_NORMATIVA")</x:f>
        <x:v>1</x:v>
      </x:c>
      <x:c r="G16" s="4" t="str">
        <x:v>No se han acreditado restauración ni persistencia material SV.</x:v>
      </x:c>
      <x:c r="H16" s="4" t="str">
        <x:v>REVISADA_DOCUMENTALMENTE; DESARROLLO_OPERATIVO_PENDIENTE</x:v>
      </x:c>
    </x:row>
    <x:row r="17" ht="47" customHeight="1">
      <x:c r="A17" s="4" t="str">
        <x:v>E13</x:v>
      </x:c>
      <x:c r="B17" s="4" t="str">
        <x:v>Tecnología operacional</x:v>
      </x:c>
      <x:c r="C17" s="4" t="str">
        <x:v>Seguridad física, fiabilidad y restricciones de control</x:v>
      </x:c>
      <x:c r="D17" s="12" t="n">
        <x:f>COUNTIF('03_NICE'!$G$5:$G$57,A17)</x:f>
        <x:v>2</x:v>
      </x:c>
      <x:c r="E17" s="12" t="n">
        <x:f>COUNTIF('04_TKS'!$E$5:$E$72,A17)</x:f>
        <x:v>2</x:v>
      </x:c>
      <x:c r="F17" s="12" t="n">
        <x:f>COUNTIF('05_Complementos'!$H$5:$H$127,A17)-COUNTIFS('05_Complementos'!$H$5:$H$127,A17,'05_Complementos'!$L$5:$L$127,"IDENTIFICADA_NO_ADOPTABLE")-COUNTIFS('05_Complementos'!$H$5:$H$127,A17,'05_Complementos'!$L$5:$L$127,"PREGUNTA_NO_NORMATIVA")</x:f>
        <x:v>2</x:v>
      </x:c>
      <x:c r="G17" s="4" t="str">
        <x:v>Frontera profesional; ejecución industrial excluida de este corte.</x:v>
      </x:c>
      <x:c r="H17" s="4" t="str">
        <x:v>REVISADA_DOCUMENTALMENTE; DESARROLLO_OPERATIVO_PENDIENTE</x:v>
      </x:c>
    </x:row>
    <x:row r="18" ht="47" customHeight="1">
      <x:c r="A18" s="4" t="str">
        <x:v>E14</x:v>
      </x:c>
      <x:c r="B18" s="4" t="str">
        <x:v>Factores humanos y formación</x:v>
      </x:c>
      <x:c r="C18" s="4" t="str">
        <x:v>Sesgos, interacción, competencias y evaluación</x:v>
      </x:c>
      <x:c r="D18" s="12" t="n">
        <x:f>COUNTIF('03_NICE'!$G$5:$G$57,A18)</x:f>
        <x:v>3</x:v>
      </x:c>
      <x:c r="E18" s="12" t="n">
        <x:f>COUNTIF('04_TKS'!$E$5:$E$72,A18)</x:f>
        <x:v>3</x:v>
      </x:c>
      <x:c r="F18" s="12" t="n">
        <x:f>COUNTIF('05_Complementos'!$H$5:$H$127,A18)-COUNTIFS('05_Complementos'!$H$5:$H$127,A18,'05_Complementos'!$L$5:$L$127,"IDENTIFICADA_NO_ADOPTABLE")-COUNTIFS('05_Complementos'!$H$5:$H$127,A18,'05_Complementos'!$L$5:$L$127,"PREGUNTA_NO_NORMATIVA")</x:f>
        <x:v>3</x:v>
      </x:c>
      <x:c r="G18" s="4" t="str">
        <x:v>No se evalúan personas ni se atribuyen acreditaciones.</x:v>
      </x:c>
      <x:c r="H18" s="4" t="str">
        <x:v>REVISADA_DOCUMENTALMENTE; DESARROLLO_OPERATIVO_PENDIENTE</x:v>
      </x:c>
    </x:row>
    <x:row r="19" ht="47" customHeight="1">
      <x:c r="A19" s="4" t="str">
        <x:v>E15</x:v>
      </x:c>
      <x:c r="B19" s="4" t="str">
        <x:v>Seguridad física y auditoría</x:v>
      </x:c>
      <x:c r="C19" s="4" t="str">
        <x:v>Dependencias físicas pertinentes y evidencia de controles</x:v>
      </x:c>
      <x:c r="D19" s="12" t="n">
        <x:f>COUNTIF('03_NICE'!$G$5:$G$57,A19)</x:f>
        <x:v>2</x:v>
      </x:c>
      <x:c r="E19" s="12" t="n">
        <x:f>COUNTIF('04_TKS'!$E$5:$E$72,A19)</x:f>
        <x:v>2</x:v>
      </x:c>
      <x:c r="F19" s="12" t="n">
        <x:f>COUNTIF('05_Complementos'!$H$5:$H$127,A19)-COUNTIFS('05_Complementos'!$H$5:$H$127,A19,'05_Complementos'!$L$5:$L$127,"IDENTIFICADA_NO_ADOPTABLE")-COUNTIFS('05_Complementos'!$H$5:$H$127,A19,'05_Complementos'!$L$5:$L$127,"PREGUNTA_NO_NORMATIVA")</x:f>
        <x:v>2</x:v>
      </x:c>
      <x:c r="G19" s="4" t="str">
        <x:v>No certifica instalaciones, organización ni conformidad normativa.</x:v>
      </x:c>
      <x:c r="H19" s="4" t="str">
        <x:v>REVISADA_DOCUMENTALMENTE; DESARROLLO_OPERATIVO_PENDIENTE</x:v>
      </x:c>
    </x:row>
    <x:row r="20" ht="47" customHeight="1">
      <x:c r="A20" s="4" t="str">
        <x:v>E16</x:v>
      </x:c>
      <x:c r="B20" s="4" t="str">
        <x:v>Privacidad y derecho</x:v>
      </x:c>
      <x:c r="C20" s="4" t="str">
        <x:v>Jurisdicción, rol, finalidad, autorización y vigencia</x:v>
      </x:c>
      <x:c r="D20" s="12" t="n">
        <x:f>COUNTIF('03_NICE'!$G$5:$G$57,A20)</x:f>
        <x:v>2</x:v>
      </x:c>
      <x:c r="E20" s="12" t="n">
        <x:f>COUNTIF('04_TKS'!$E$5:$E$72,A20)</x:f>
        <x:v>3</x:v>
      </x:c>
      <x:c r="F20" s="12" t="n">
        <x:f>COUNTIF('05_Complementos'!$H$5:$H$127,A20)-COUNTIFS('05_Complementos'!$H$5:$H$127,A20,'05_Complementos'!$L$5:$L$127,"IDENTIFICADA_NO_ADOPTABLE")-COUNTIFS('05_Complementos'!$H$5:$H$127,A20,'05_Complementos'!$L$5:$L$127,"PREGUNTA_NO_NORMATIVA")</x:f>
        <x:v>14</x:v>
      </x:c>
      <x:c r="G20" s="4" t="str">
        <x:v>Aplicabilidad jurídica pendiente por entidad y operación.</x:v>
      </x:c>
      <x:c r="H20" s="4" t="str">
        <x:v>REVISADA_DOCUMENTALMENTE; DESARROLLO_OPERATIVO_PENDIENTE</x:v>
      </x:c>
    </x:row>
    <x:row r="21" ht="47" customHeight="1">
      <x:c r="A21" s="4" t="str">
        <x:v>E17</x:v>
      </x:c>
      <x:c r="B21" s="4" t="str">
        <x:v>Investigación y conocimiento</x:v>
      </x:c>
      <x:c r="C21" s="4" t="str">
        <x:v>Producción, revisión y conservación de conocimiento</x:v>
      </x:c>
      <x:c r="D21" s="12" t="n">
        <x:f>COUNTIF('03_NICE'!$G$5:$G$57,A21)</x:f>
        <x:v>2</x:v>
      </x:c>
      <x:c r="E21" s="12" t="n">
        <x:f>COUNTIF('04_TKS'!$E$5:$E$72,A21)</x:f>
        <x:v>0</x:v>
      </x:c>
      <x:c r="F21" s="12" t="n">
        <x:f>COUNTIF('05_Complementos'!$H$5:$H$127,A21)-COUNTIFS('05_Complementos'!$H$5:$H$127,A21,'05_Complementos'!$L$5:$L$127,"IDENTIFICADA_NO_ADOPTABLE")-COUNTIFS('05_Complementos'!$H$5:$H$127,A21,'05_Complementos'!$L$5:$L$127,"PREGUNTA_NO_NORMATIVA")</x:f>
        <x:v>1</x:v>
      </x:c>
      <x:c r="G21" s="4" t="str">
        <x:v>No aprendizaje automático del episodio ni adopción por IA.</x:v>
      </x:c>
      <x:c r="H21" s="4" t="str">
        <x:v>REVISADA_DOCUMENTALMENTE; DESARROLLO_OPERATIVO_PENDIENTE</x:v>
      </x:c>
    </x:row>
    <x:row r="22" ht="47" customHeight="1">
      <x:c r="A22" s="4" t="str">
        <x:v>E18</x:v>
      </x:c>
      <x:c r="B22" s="4" t="str">
        <x:v>Seguridad de sistemas de IA</x:v>
      </x:c>
      <x:c r="C22" s="4" t="str">
        <x:v>Datos, modelo, entrenamiento, inferencia, herramientas y dependencias</x:v>
      </x:c>
      <x:c r="D22" s="12" t="n">
        <x:f>COUNTIF('03_NICE'!$G$5:$G$57,A22)</x:f>
        <x:v>1</x:v>
      </x:c>
      <x:c r="E22" s="12" t="n">
        <x:f>COUNTIF('04_TKS'!$E$5:$E$72,A22)</x:f>
        <x:v>5</x:v>
      </x:c>
      <x:c r="F22" s="12" t="n">
        <x:f>COUNTIF('05_Complementos'!$H$5:$H$127,A22)-COUNTIFS('05_Complementos'!$H$5:$H$127,A22,'05_Complementos'!$L$5:$L$127,"IDENTIFICADA_NO_ADOPTABLE")-COUNTIFS('05_Complementos'!$H$5:$H$127,A22,'05_Complementos'!$L$5:$L$127,"PREGUNTA_NO_NORMATIVA")</x:f>
        <x:v>20</x:v>
      </x:c>
      <x:c r="G22" s="4" t="str">
        <x:v>No limitado a IA generativa; controles concretos pendientes del uso.</x:v>
      </x:c>
      <x:c r="H22" s="4" t="str">
        <x:v>REVISADA_DOCUMENTALMENTE; DESARROLLO_OPERATIVO_PENDIENTE</x:v>
      </x:c>
    </x:row>
    <x:row r="23" ht="47" customHeight="1">
      <x:c r="A23" s="4" t="str">
        <x:v>E19</x:v>
      </x:c>
      <x:c r="B23" s="4" t="str">
        <x:v>IA para ciberseguridad</x:v>
      </x:c>
      <x:c r="C23" s="4" t="str">
        <x:v>Validez, error, sesgo, evaluación e incertidumbre de apoyo analítico</x:v>
      </x:c>
      <x:c r="D23" s="12" t="n">
        <x:f>COUNTIF('03_NICE'!$G$5:$G$57,A23)</x:f>
        <x:v>0</x:v>
      </x:c>
      <x:c r="E23" s="12" t="n">
        <x:f>COUNTIF('04_TKS'!$E$5:$E$72,A23)</x:f>
        <x:v>14</x:v>
      </x:c>
      <x:c r="F23" s="12" t="n">
        <x:f>COUNTIF('05_Complementos'!$H$5:$H$127,A23)-COUNTIFS('05_Complementos'!$H$5:$H$127,A23,'05_Complementos'!$L$5:$L$127,"IDENTIFICADA_NO_ADOPTABLE")-COUNTIFS('05_Complementos'!$H$5:$H$127,A23,'05_Complementos'!$L$5:$L$127,"PREGUNTA_NO_NORMATIVA")</x:f>
        <x:v>2</x:v>
      </x:c>
      <x:c r="G23" s="4" t="str">
        <x:v>No se presupone utilidad de IA ni se equipara confianza a aptitud SV.</x:v>
      </x:c>
      <x:c r="H23" s="4" t="str">
        <x:v>REVISADA_DOCUMENTALMENTE; DESARROLLO_OPERATIVO_PENDIENTE</x:v>
      </x:c>
    </x:row>
    <x:row r="24" ht="47" customHeight="1">
      <x:c r="A24" s="4" t="str">
        <x:v>E20</x:v>
      </x:c>
      <x:c r="B24" s="4" t="str">
        <x:v>Amenazas facilitadas por IA</x:v>
      </x:c>
      <x:c r="C24" s="4" t="str">
        <x:v>Evolución de capacidades adversarias y calidad de las evidencias</x:v>
      </x:c>
      <x:c r="D24" s="12" t="n">
        <x:f>COUNTIF('03_NICE'!$G$5:$G$57,A24)</x:f>
        <x:v>0</x:v>
      </x:c>
      <x:c r="E24" s="12" t="n">
        <x:f>COUNTIF('04_TKS'!$E$5:$E$72,A24)</x:f>
        <x:v>1</x:v>
      </x:c>
      <x:c r="F24" s="12" t="n">
        <x:f>COUNTIF('05_Complementos'!$H$5:$H$127,A24)-COUNTIFS('05_Complementos'!$H$5:$H$127,A24,'05_Complementos'!$L$5:$L$127,"IDENTIFICADA_NO_ADOPTABLE")-COUNTIFS('05_Complementos'!$H$5:$H$127,A24,'05_Complementos'!$L$5:$L$127,"PREGUNTA_NO_NORMATIVA")</x:f>
        <x:v>2</x:v>
      </x:c>
      <x:c r="G24" s="4" t="str">
        <x:v>La prospectiva NCSC y el borrador NIST no son observaciones individuales.</x:v>
      </x:c>
      <x:c r="H24" s="4" t="str">
        <x:v>REVISADA_DOCUMENTALMENTE; DESARROLLO_OPERATIVO_PENDIENTE</x:v>
      </x:c>
    </x:row>
    <x:row r="25" ht="47" customHeight="1">
      <x:c r="A25" s="4" t="str">
        <x:v>E21</x:v>
      </x:c>
      <x:c r="B25" s="4" t="str">
        <x:v>Gobierno transversal de IA</x:v>
      </x:c>
      <x:c r="C25" s="4" t="str">
        <x:v>Responsabilidad, supervisión, revisión y uso delimitado</x:v>
      </x:c>
      <x:c r="D25" s="12" t="n">
        <x:f>COUNTIF('03_NICE'!$G$5:$G$57,A25)</x:f>
        <x:v>0</x:v>
      </x:c>
      <x:c r="E25" s="12" t="n">
        <x:f>COUNTIF('04_TKS'!$E$5:$E$72,A25)</x:f>
        <x:v>4</x:v>
      </x:c>
      <x:c r="F25" s="12" t="n">
        <x:f>COUNTIF('05_Complementos'!$H$5:$H$127,A25)-COUNTIFS('05_Complementos'!$H$5:$H$127,A25,'05_Complementos'!$L$5:$L$127,"IDENTIFICADA_NO_ADOPTABLE")-COUNTIFS('05_Complementos'!$H$5:$H$127,A25,'05_Complementos'!$L$5:$L$127,"PREGUNTA_NO_NORMATIVA")</x:f>
        <x:v>3</x:v>
      </x:c>
      <x:c r="G25" s="4" t="str">
        <x:v>No habilita autonomía ni convierte recomendaciones en permisos.</x:v>
      </x:c>
      <x:c r="H25" s="4" t="str">
        <x:v>REVISADA_DOCUMENTALMENTE; DESARROLLO_OPERATIVO_PENDIENTE</x:v>
      </x:c>
    </x:row>
  </x:sheetData>
  <x:mergeCells>
    <x:mergeCell ref="A1:D1"/>
    <x:mergeCell ref="A2:F2"/>
  </x:mergeCells>
  <x:pageMargins left="0.7" right="0.7" top="0.75" bottom="0.75" header="0.3" footer="0.3"/>
  <x:tableParts count="1">
    <x:tablePart xmlns:r="http://schemas.openxmlformats.org/officeDocument/2006/relationships" r:id="Rc79401fd07af487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54" hidden="0" customWidth="1"/>
    <x:col min="3" max="3" width="58" hidden="0" customWidth="1"/>
    <x:col min="4" max="4" width="46" hidden="0" customWidth="1"/>
    <x:col min="5" max="5" width="52" hidden="0" customWidth="1"/>
    <x:col min="6" max="6" width="78" hidden="0" customWidth="1"/>
    <x:col min="7" max="7" width="72" hidden="0" customWidth="1"/>
    <x:col min="8" max="8" width="55" hidden="0" customWidth="1"/>
    <x:col min="9" max="9" width="12" hidden="0" customWidth="1"/>
    <x:col min="10" max="10" width="13" hidden="0" customWidth="1"/>
    <x:col min="11" max="11" width="17" hidden="0" customWidth="1"/>
  </x:cols>
  <x:sheetData>
    <x:row r="1" ht="35" customHeight="1">
      <x:c r="A1" s="6" t="str">
        <x:v>ANTECEDENTE · 22 operaciones candidatas de v0.1</x:v>
      </x:c>
      <x:c r="B1" s="6"/>
      <x:c r="C1" s="6"/>
      <x:c r="D1" s="6"/>
      <x:c r="E1" s="6"/>
      <x:c r="F1" s="6"/>
      <x:c r="G1" s="6"/>
      <x:c r="H1" s="6"/>
      <x:c r="I1" s="6"/>
      <x:c r="J1" s="6"/>
      <x:c r="K1" s="6"/>
    </x:row>
    <x:row r="2" ht="52" customHeight="1">
      <x:c r="A2" s="8" t="str">
        <x:v>Mapa histórico conservado. La correspondencia de su reexamen está en 33 y la hipótesis de 29 productos en 26. Ninguna operación se constituye por este libro; OPC-07 no conserva prioridad.</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 candidato</x:v>
      </x:c>
      <x:c r="B4" s="10" t="str">
        <x:v>Producto</x:v>
      </x:c>
      <x:c r="C4" s="10" t="str">
        <x:v>Objeto / sujeto</x:v>
      </x:c>
      <x:c r="D4" s="10" t="str">
        <x:v>Desencadenante</x:v>
      </x:c>
      <x:c r="E4" s="10" t="str">
        <x:v>Autoridad requerida</x:v>
      </x:c>
      <x:c r="F4" s="10" t="str">
        <x:v>Frontera</x:v>
      </x:c>
      <x:c r="G4" s="10" t="str">
        <x:v>Terminación candidata</x:v>
      </x:c>
      <x:c r="H4" s="10" t="str">
        <x:v>Anclas de procedencia</x:v>
      </x:c>
      <x:c r="I4" s="10" t="str">
        <x:v>Duplicado</x:v>
      </x:c>
      <x:c r="J4" s="10" t="str">
        <x:v>Campo ausente</x:v>
      </x:c>
      <x:c r="K4" s="10" t="str">
        <x:v>Vínculos primarios</x:v>
      </x:c>
    </x:row>
    <x:row r="5" ht="47" customHeight="1">
      <x:c r="A5" s="4" t="str">
        <x:v>OPC-01</x:v>
      </x:c>
      <x:c r="B5" s="4" t="str">
        <x:v>Expediente de riesgo y plan de tratamiento</x:v>
      </x:c>
      <x:c r="C5" s="4" t="str">
        <x:v>Organización o sistema definido</x:v>
      </x:c>
      <x:c r="D5" s="4" t="str">
        <x:v>Evaluación inicial o cambio significativo</x:v>
      </x:c>
      <x:c r="E5" s="4" t="str">
        <x:v>Responsable de riesgo y dirección legitimada</x:v>
      </x:c>
      <x:c r="F5" s="4" t="str">
        <x:v>El análisis no acepta riesgo por la organización</x:v>
      </x:c>
      <x:c r="G5" s="4" t="str">
        <x:v>Riesgos, opciones, responsables y decisión pendiente o documentada</x:v>
      </x:c>
      <x:c r="H5" s="4" t="str">
        <x:v>OG-WRL-002;OG-WRL-007;T1586</x:v>
      </x:c>
      <x:c r="I5" s="12" t="n">
        <x:f>COUNTIF('07_Operaciones'!$A$5:$A$26,A5)-1</x:f>
        <x:v>0</x:v>
      </x:c>
      <x:c r="J5" s="12" t="n">
        <x:f>IF(COUNTBLANK(A5:H5)&gt;0,1,0)</x:f>
        <x:v>0</x:v>
      </x:c>
      <x:c r="K5" s="12" t="n">
        <x:f>COUNTIF('03_NICE'!$H$5:$H$57,A5)+COUNTIF('04_TKS'!$F$5:$F$72,A5)+COUNTIF('05_Complementos'!$J$5:$J$127,A5)</x:f>
        <x:v>21</x:v>
      </x:c>
    </x:row>
    <x:row r="6" ht="47" customHeight="1">
      <x:c r="A6" s="4" t="str">
        <x:v>OPC-02</x:v>
      </x:c>
      <x:c r="B6" s="4" t="str">
        <x:v>Dictamen de arquitectura y requisitos de seguridad</x:v>
      </x:c>
      <x:c r="C6" s="4" t="str">
        <x:v>Sistema o solución propuesta</x:v>
      </x:c>
      <x:c r="D6" s="4" t="str">
        <x:v>Diseño nuevo o modificación</x:v>
      </x:c>
      <x:c r="E6" s="4" t="str">
        <x:v>Arquitectura y responsable del sistema</x:v>
      </x:c>
      <x:c r="F6" s="4" t="str">
        <x:v>No equivale a autorización de puesta en servicio</x:v>
      </x:c>
      <x:c r="G6" s="4" t="str">
        <x:v>Requisitos, alternativas, restricciones y hallazgos trazados</x:v>
      </x:c>
      <x:c r="H6" s="4" t="str">
        <x:v>DD-WRL-001;DD-WRL-006</x:v>
      </x:c>
      <x:c r="I6" s="12" t="n">
        <x:f>COUNTIF('07_Operaciones'!$A$5:$A$26,A6)-1</x:f>
        <x:v>0</x:v>
      </x:c>
      <x:c r="J6" s="12" t="n">
        <x:f>IF(COUNTBLANK(A6:H6)&gt;0,1,0)</x:f>
        <x:v>0</x:v>
      </x:c>
      <x:c r="K6" s="12" t="n">
        <x:f>COUNTIF('03_NICE'!$H$5:$H$57,A6)+COUNTIF('04_TKS'!$F$5:$F$72,A6)+COUNTIF('05_Complementos'!$J$5:$J$127,A6)</x:f>
        <x:v>9</x:v>
      </x:c>
    </x:row>
    <x:row r="7" ht="47" customHeight="1">
      <x:c r="A7" s="4" t="str">
        <x:v>OPC-03</x:v>
      </x:c>
      <x:c r="B7" s="4" t="str">
        <x:v>Expediente de autorización de acceso</x:v>
      </x:c>
      <x:c r="C7" s="4" t="str">
        <x:v>Solicitud de un sujeto sobre recursos y privilegios delimitados</x:v>
      </x:c>
      <x:c r="D7" s="4" t="str">
        <x:v>Alta, cambio, renovación o revocación del acceso</x:v>
      </x:c>
      <x:c r="E7" s="4" t="str">
        <x:v>Titular del recurso y autoridad de acceso</x:v>
      </x:c>
      <x:c r="F7" s="4" t="str">
        <x:v>La recomendación y el rol no conceden permiso ni autorizan el sistema entero</x:v>
      </x:c>
      <x:c r="G7" s="4" t="str">
        <x:v>Alcance, legitimidad, vigencia y decisión explícita; sin efecto implícito</x:v>
      </x:c>
      <x:c r="H7" s="4" t="str">
        <x:v>NF-COM-001;T1548</x:v>
      </x:c>
      <x:c r="I7" s="12" t="n">
        <x:f>COUNTIF('07_Operaciones'!$A$5:$A$26,A7)-1</x:f>
        <x:v>0</x:v>
      </x:c>
      <x:c r="J7" s="12" t="n">
        <x:f>IF(COUNTBLANK(A7:H7)&gt;0,1,0)</x:f>
        <x:v>0</x:v>
      </x:c>
      <x:c r="K7" s="12" t="n">
        <x:f>COUNTIF('03_NICE'!$H$5:$H$57,A7)+COUNTIF('04_TKS'!$F$5:$F$72,A7)+COUNTIF('05_Complementos'!$J$5:$J$127,A7)</x:f>
        <x:v>10</x:v>
      </x:c>
    </x:row>
    <x:row r="8" ht="47" customHeight="1">
      <x:c r="A8" s="4" t="str">
        <x:v>OPC-04</x:v>
      </x:c>
      <x:c r="B8" s="4" t="str">
        <x:v>Informe de evaluación técnica de seguridad</x:v>
      </x:c>
      <x:c r="C8" s="4" t="str">
        <x:v>Sistema y superficie expresamente autorizados</x:v>
      </x:c>
      <x:c r="D8" s="4" t="str">
        <x:v>Encargo y reglas de actuación</x:v>
      </x:c>
      <x:c r="E8" s="4" t="str">
        <x:v>Evaluador autorizado y propietario del alcance</x:v>
      </x:c>
      <x:c r="F8" s="4" t="str">
        <x:v>No intervención fuera de alcance; distingue hallazgo de explotación y corrección</x:v>
      </x:c>
      <x:c r="G8" s="4" t="str">
        <x:v>Evidencia, método, límites y propuestas entregados</x:v>
      </x:c>
      <x:c r="H8" s="4" t="str">
        <x:v>PD-WRL-007;DD-WRL-007;T1625</x:v>
      </x:c>
      <x:c r="I8" s="12" t="n">
        <x:f>COUNTIF('07_Operaciones'!$A$5:$A$26,A8)-1</x:f>
        <x:v>0</x:v>
      </x:c>
      <x:c r="J8" s="12" t="n">
        <x:f>IF(COUNTBLANK(A8:H8)&gt;0,1,0)</x:f>
        <x:v>0</x:v>
      </x:c>
      <x:c r="K8" s="12" t="n">
        <x:f>COUNTIF('03_NICE'!$H$5:$H$57,A8)+COUNTIF('04_TKS'!$F$5:$F$72,A8)+COUNTIF('05_Complementos'!$J$5:$J$127,A8)</x:f>
        <x:v>15</x:v>
      </x:c>
    </x:row>
    <x:row r="9" ht="47" customHeight="1">
      <x:c r="A9" s="4" t="str">
        <x:v>OPC-05</x:v>
      </x:c>
      <x:c r="B9" s="4" t="str">
        <x:v>Dictamen de seguridad de una entrega de software o modelo</x:v>
      </x:c>
      <x:c r="C9" s="4" t="str">
        <x:v>Versión candidata y dependencias</x:v>
      </x:c>
      <x:c r="D9" s="4" t="str">
        <x:v>Nueva entrega o actualización</x:v>
      </x:c>
      <x:c r="E9" s="4" t="str">
        <x:v>Desarrollo, verificación y responsable de entrega</x:v>
      </x:c>
      <x:c r="F9" s="4" t="str">
        <x:v>Evaluación no despliega ni acepta riesgo tácitamente</x:v>
      </x:c>
      <x:c r="G9" s="4" t="str">
        <x:v>Pruebas, procedencia y defectos de la versión identificada</x:v>
      </x:c>
      <x:c r="H9" s="4" t="str">
        <x:v>DD-WRL-003;DD-WRL-005;NF-COM-008</x:v>
      </x:c>
      <x:c r="I9" s="12" t="n">
        <x:f>COUNTIF('07_Operaciones'!$A$5:$A$26,A9)-1</x:f>
        <x:v>0</x:v>
      </x:c>
      <x:c r="J9" s="12" t="n">
        <x:f>IF(COUNTBLANK(A9:H9)&gt;0,1,0)</x:f>
        <x:v>0</x:v>
      </x:c>
      <x:c r="K9" s="12" t="n">
        <x:f>COUNTIF('03_NICE'!$H$5:$H$57,A9)+COUNTIF('04_TKS'!$F$5:$F$72,A9)+COUNTIF('05_Complementos'!$J$5:$J$127,A9)</x:f>
        <x:v>14</x:v>
      </x:c>
    </x:row>
    <x:row r="10" ht="47" customHeight="1">
      <x:c r="A10" s="4" t="str">
        <x:v>OPC-06</x:v>
      </x:c>
      <x:c r="B10" s="4" t="str">
        <x:v>Evaluación de proveedor, componente o servicio externo</x:v>
      </x:c>
      <x:c r="C10" s="4" t="str">
        <x:v>Producto, modelo, servicio de nube o proveedor</x:v>
      </x:c>
      <x:c r="D10" s="4" t="str">
        <x:v>Adquisición, renovación o cambio</x:v>
      </x:c>
      <x:c r="E10" s="4" t="str">
        <x:v>Adquisiciones y responsable de riesgo</x:v>
      </x:c>
      <x:c r="F10" s="4" t="str">
        <x:v>No otorga confianza a toda la cadena por un certificado</x:v>
      </x:c>
      <x:c r="G10" s="4" t="str">
        <x:v>Requisitos, evidencias, riesgos y condiciones de admisión</x:v>
      </x:c>
      <x:c r="H10" s="4" t="str">
        <x:v>OG-WRL-017;NF-COM-004;T2056</x:v>
      </x:c>
      <x:c r="I10" s="12" t="n">
        <x:f>COUNTIF('07_Operaciones'!$A$5:$A$26,A10)-1</x:f>
        <x:v>0</x:v>
      </x:c>
      <x:c r="J10" s="12" t="n">
        <x:f>IF(COUNTBLANK(A10:H10)&gt;0,1,0)</x:f>
        <x:v>0</x:v>
      </x:c>
      <x:c r="K10" s="12" t="n">
        <x:f>COUNTIF('03_NICE'!$H$5:$H$57,A10)+COUNTIF('04_TKS'!$F$5:$F$72,A10)+COUNTIF('05_Complementos'!$J$5:$J$127,A10)</x:f>
        <x:v>14</x:v>
      </x:c>
    </x:row>
    <x:row r="11" ht="47" customHeight="1">
      <x:c r="A11" s="4" t="str">
        <x:v>OPC-07</x:v>
      </x:c>
      <x:c r="B11" s="4" t="str">
        <x:v>Informe de triaje de una alerta con apoyo de IA</x:v>
      </x:c>
      <x:c r="C11" s="4" t="str">
        <x:v>Alerta, activos y evidencias capturadas</x:v>
      </x:c>
      <x:c r="D11" s="4" t="str">
        <x:v>Recepción de alerta o revisión justificada</x:v>
      </x:c>
      <x:c r="E11" s="4" t="str">
        <x:v>Analista responsable y supervisor legitimado</x:v>
      </x:c>
      <x:c r="F11" s="4" t="str">
        <x:v>Separa observación, inferencia y fallo; no ejecuta respuesta</x:v>
      </x:c>
      <x:c r="G11" s="4" t="str">
        <x:v>Clasificación y fundamento trazados o insuficiencia delimitada; escalado cuando proceda</x:v>
      </x:c>
      <x:c r="H11" s="4" t="str">
        <x:v>PD-WRL-001;IO-WRL-001;S0957</x:v>
      </x:c>
      <x:c r="I11" s="12" t="n">
        <x:f>COUNTIF('07_Operaciones'!$A$5:$A$26,A11)-1</x:f>
        <x:v>0</x:v>
      </x:c>
      <x:c r="J11" s="12" t="n">
        <x:f>IF(COUNTBLANK(A11:H11)&gt;0,1,0)</x:f>
        <x:v>0</x:v>
      </x:c>
      <x:c r="K11" s="12" t="n">
        <x:f>COUNTIF('03_NICE'!$H$5:$H$57,A11)+COUNTIF('04_TKS'!$F$5:$F$72,A11)+COUNTIF('05_Complementos'!$J$5:$J$127,A11)</x:f>
        <x:v>16</x:v>
      </x:c>
    </x:row>
    <x:row r="12" ht="47" customHeight="1">
      <x:c r="A12" s="4" t="str">
        <x:v>OPC-08</x:v>
      </x:c>
      <x:c r="B12" s="4" t="str">
        <x:v>Informe de inteligencia de amenazas</x:v>
      </x:c>
      <x:c r="C12" s="4" t="str">
        <x:v>Pregunta de inteligencia y contexto</x:v>
      </x:c>
      <x:c r="D12" s="4" t="str">
        <x:v>Petición o revisión de amenazas</x:v>
      </x:c>
      <x:c r="E12" s="4" t="str">
        <x:v>Analista y destinatario autorizado</x:v>
      </x:c>
      <x:c r="F12" s="4" t="str">
        <x:v>Confianza analítica no prueba autoría de un ataque ni convierte predicción en hecho</x:v>
      </x:c>
      <x:c r="G12" s="4" t="str">
        <x:v>Evaluación, fuentes, incertidumbre y ámbito comunicados</x:v>
      </x:c>
      <x:c r="H12" s="4" t="str">
        <x:v>PD-WRL-006;PD-WRL-005;K1333</x:v>
      </x:c>
      <x:c r="I12" s="12" t="n">
        <x:f>COUNTIF('07_Operaciones'!$A$5:$A$26,A12)-1</x:f>
        <x:v>0</x:v>
      </x:c>
      <x:c r="J12" s="12" t="n">
        <x:f>IF(COUNTBLANK(A12:H12)&gt;0,1,0)</x:f>
        <x:v>0</x:v>
      </x:c>
      <x:c r="K12" s="12" t="n">
        <x:f>COUNTIF('03_NICE'!$H$5:$H$57,A12)+COUNTIF('04_TKS'!$F$5:$F$72,A12)+COUNTIF('05_Complementos'!$J$5:$J$127,A12)</x:f>
        <x:v>8</x:v>
      </x:c>
    </x:row>
    <x:row r="13" ht="47" customHeight="1">
      <x:c r="A13" s="4" t="str">
        <x:v>OPC-09</x:v>
      </x:c>
      <x:c r="B13" s="4" t="str">
        <x:v>Plan de respuesta a incidente para decisión autorizada</x:v>
      </x:c>
      <x:c r="C13" s="4" t="str">
        <x:v>Incidente y sistemas afectados</x:v>
      </x:c>
      <x:c r="D13" s="4" t="str">
        <x:v>Incidente admitido en el alcance</x:v>
      </x:c>
      <x:c r="E13" s="4" t="str">
        <x:v>Coordinador de respuesta y autoridad de intervención</x:v>
      </x:c>
      <x:c r="F13" s="4" t="str">
        <x:v>Plan, aprobación y efecto material son actos distintos</x:v>
      </x:c>
      <x:c r="G13" s="4" t="str">
        <x:v>Medidas, riesgos, evidencias y responsabilidades documentados</x:v>
      </x:c>
      <x:c r="H13" s="4" t="str">
        <x:v>PD-WRL-003;T0510;T2067</x:v>
      </x:c>
      <x:c r="I13" s="12" t="n">
        <x:f>COUNTIF('07_Operaciones'!$A$5:$A$26,A13)-1</x:f>
        <x:v>0</x:v>
      </x:c>
      <x:c r="J13" s="12" t="n">
        <x:f>IF(COUNTBLANK(A13:H13)&gt;0,1,0)</x:f>
        <x:v>0</x:v>
      </x:c>
      <x:c r="K13" s="12" t="n">
        <x:f>COUNTIF('03_NICE'!$H$5:$H$57,A13)+COUNTIF('04_TKS'!$F$5:$F$72,A13)+COUNTIF('05_Complementos'!$J$5:$J$127,A13)</x:f>
        <x:v>11</x:v>
      </x:c>
    </x:row>
    <x:row r="14" ht="47" customHeight="1">
      <x:c r="A14" s="4" t="str">
        <x:v>OPC-10</x:v>
      </x:c>
      <x:c r="B14" s="4" t="str">
        <x:v>Informe forense y expediente de evidencia</x:v>
      </x:c>
      <x:c r="C14" s="4" t="str">
        <x:v>Fuentes digitales identificadas</x:v>
      </x:c>
      <x:c r="D14" s="4" t="str">
        <x:v>Encargo investigador o preservación por incidente</x:v>
      </x:c>
      <x:c r="E14" s="4" t="str">
        <x:v>Analista forense y custodio de evidencia</x:v>
      </x:c>
      <x:c r="F14" s="4" t="str">
        <x:v>No decide culpabilidad ni admisibilidad judicial por sí solo</x:v>
      </x:c>
      <x:c r="G14" s="4" t="str">
        <x:v>Adquisición, integridad, transformaciones, análisis y límites trazados</x:v>
      </x:c>
      <x:c r="H14" s="4" t="str">
        <x:v>IN-WRL-002;PD-WRL-002;T1510</x:v>
      </x:c>
      <x:c r="I14" s="12" t="n">
        <x:f>COUNTIF('07_Operaciones'!$A$5:$A$26,A14)-1</x:f>
        <x:v>0</x:v>
      </x:c>
      <x:c r="J14" s="12" t="n">
        <x:f>IF(COUNTBLANK(A14:H14)&gt;0,1,0)</x:f>
        <x:v>0</x:v>
      </x:c>
      <x:c r="K14" s="12" t="n">
        <x:f>COUNTIF('03_NICE'!$H$5:$H$57,A14)+COUNTIF('04_TKS'!$F$5:$F$72,A14)+COUNTIF('05_Complementos'!$J$5:$J$127,A14)</x:f>
        <x:v>17</x:v>
      </x:c>
    </x:row>
    <x:row r="15" ht="47" customHeight="1">
      <x:c r="A15" s="4" t="str">
        <x:v>OPC-11</x:v>
      </x:c>
      <x:c r="B15" s="4" t="str">
        <x:v>Informe de preparación o prueba de recuperación</x:v>
      </x:c>
      <x:c r="C15" s="4" t="str">
        <x:v>Servicio, copias y plan de continuidad</x:v>
      </x:c>
      <x:c r="D15" s="4" t="str">
        <x:v>Prueba programada o necesidad de recuperación</x:v>
      </x:c>
      <x:c r="E15" s="4" t="str">
        <x:v>Continuidad y propietario del servicio</x:v>
      </x:c>
      <x:c r="F15" s="4" t="str">
        <x:v>Restauración técnica no acredita identidad vigente ni retorno seguro al servicio</x:v>
      </x:c>
      <x:c r="G15" s="4" t="str">
        <x:v>Resultados frente a requisitos y condiciones de recuperación documentados</x:v>
      </x:c>
      <x:c r="H15" s="4" t="str">
        <x:v>NF-COM-007;T1126;T1150</x:v>
      </x:c>
      <x:c r="I15" s="12" t="n">
        <x:f>COUNTIF('07_Operaciones'!$A$5:$A$26,A15)-1</x:f>
        <x:v>0</x:v>
      </x:c>
      <x:c r="J15" s="12" t="n">
        <x:f>IF(COUNTBLANK(A15:H15)&gt;0,1,0)</x:f>
        <x:v>0</x:v>
      </x:c>
      <x:c r="K15" s="12" t="n">
        <x:f>COUNTIF('03_NICE'!$H$5:$H$57,A15)+COUNTIF('04_TKS'!$F$5:$F$72,A15)+COUNTIF('05_Complementos'!$J$5:$J$127,A15)</x:f>
        <x:v>5</x:v>
      </x:c>
    </x:row>
    <x:row r="16" ht="47" customHeight="1">
      <x:c r="A16" s="4" t="str">
        <x:v>OPC-12</x:v>
      </x:c>
      <x:c r="B16" s="4" t="str">
        <x:v>Expediente de configuración y mantenimiento seguro</x:v>
      </x:c>
      <x:c r="C16" s="4" t="str">
        <x:v>Activo inventariado y configuración</x:v>
      </x:c>
      <x:c r="D16" s="4" t="str">
        <x:v>Alta, cambio, mantenimiento o retirada</x:v>
      </x:c>
      <x:c r="E16" s="4" t="str">
        <x:v>Operación de sistemas y propietario del cambio</x:v>
      </x:c>
      <x:c r="F16" s="4" t="str">
        <x:v>Registro de cambio no certifica su efecto ni autoriza acceso</x:v>
      </x:c>
      <x:c r="G16" s="4" t="str">
        <x:v>Estado previo, cambio, comprobaciones y residual identificados</x:v>
      </x:c>
      <x:c r="H16" s="4" t="str">
        <x:v>IO-WRL-005;NF-COM-003;T0084</x:v>
      </x:c>
      <x:c r="I16" s="12" t="n">
        <x:f>COUNTIF('07_Operaciones'!$A$5:$A$26,A16)-1</x:f>
        <x:v>0</x:v>
      </x:c>
      <x:c r="J16" s="12" t="n">
        <x:f>IF(COUNTBLANK(A16:H16)&gt;0,1,0)</x:f>
        <x:v>0</x:v>
      </x:c>
      <x:c r="K16" s="12" t="n">
        <x:f>COUNTIF('03_NICE'!$H$5:$H$57,A16)+COUNTIF('04_TKS'!$F$5:$F$72,A16)+COUNTIF('05_Complementos'!$J$5:$J$127,A16)</x:f>
        <x:v>16</x:v>
      </x:c>
    </x:row>
    <x:row r="17" ht="47" customHeight="1">
      <x:c r="A17" s="4" t="str">
        <x:v>OPC-13</x:v>
      </x:c>
      <x:c r="B17" s="4" t="str">
        <x:v>Dictamen de protección criptográfica y comunicaciones</x:v>
      </x:c>
      <x:c r="C17" s="4" t="str">
        <x:v>Datos, claves, protocolos y canales</x:v>
      </x:c>
      <x:c r="D17" s="4" t="str">
        <x:v>Diseño o revisión de protección</x:v>
      </x:c>
      <x:c r="E17" s="4" t="str">
        <x:v>Responsable criptográfico y de comunicaciones</x:v>
      </x:c>
      <x:c r="F17" s="4" t="str">
        <x:v>No crea algoritmos ni asume seguridad por usar cifrado</x:v>
      </x:c>
      <x:c r="G17" s="4" t="str">
        <x:v>Selección, ciclo de claves y limitaciones documentados</x:v>
      </x:c>
      <x:c r="H17" s="4" t="str">
        <x:v>NF-COM-006;OG-WRL-001;NF-COM-005</x:v>
      </x:c>
      <x:c r="I17" s="12" t="n">
        <x:f>COUNTIF('07_Operaciones'!$A$5:$A$26,A17)-1</x:f>
        <x:v>0</x:v>
      </x:c>
      <x:c r="J17" s="12" t="n">
        <x:f>IF(COUNTBLANK(A17:H17)&gt;0,1,0)</x:f>
        <x:v>0</x:v>
      </x:c>
      <x:c r="K17" s="12" t="n">
        <x:f>COUNTIF('03_NICE'!$H$5:$H$57,A17)+COUNTIF('04_TKS'!$F$5:$F$72,A17)+COUNTIF('05_Complementos'!$J$5:$J$127,A17)</x:f>
        <x:v>7</x:v>
      </x:c>
    </x:row>
    <x:row r="18" ht="47" customHeight="1">
      <x:c r="A18" s="4" t="str">
        <x:v>OPC-14</x:v>
      </x:c>
      <x:c r="B18" s="4" t="str">
        <x:v>Dictamen de seguridad de cambio en entorno OT</x:v>
      </x:c>
      <x:c r="C18" s="4" t="str">
        <x:v>Sistema industrial y proceso físico</x:v>
      </x:c>
      <x:c r="D18" s="4" t="str">
        <x:v>Cambio o hallazgo con impacto en control</x:v>
      </x:c>
      <x:c r="E18" s="4" t="str">
        <x:v>Ingeniería OT, operación y responsable de seguridad física</x:v>
      </x:c>
      <x:c r="F18" s="4" t="str">
        <x:v>No prueba en planta sin contrato y autoridad; seguridad física no se reduce a confidencialidad</x:v>
      </x:c>
      <x:c r="G18" s="4" t="str">
        <x:v>Riesgos ciberfísicos y condiciones de evaluación trazados</x:v>
      </x:c>
      <x:c r="H18" s="4" t="str">
        <x:v>DD-WRL-009;NF-COM-010;T1020</x:v>
      </x:c>
      <x:c r="I18" s="12" t="n">
        <x:f>COUNTIF('07_Operaciones'!$A$5:$A$26,A18)-1</x:f>
        <x:v>0</x:v>
      </x:c>
      <x:c r="J18" s="12" t="n">
        <x:f>IF(COUNTBLANK(A18:H18)&gt;0,1,0)</x:f>
        <x:v>0</x:v>
      </x:c>
      <x:c r="K18" s="12" t="n">
        <x:f>COUNTIF('03_NICE'!$H$5:$H$57,A18)+COUNTIF('04_TKS'!$F$5:$F$72,A18)+COUNTIF('05_Complementos'!$J$5:$J$127,A18)</x:f>
        <x:v>6</x:v>
      </x:c>
    </x:row>
    <x:row r="19" ht="47" customHeight="1">
      <x:c r="A19" s="4" t="str">
        <x:v>OPC-15</x:v>
      </x:c>
      <x:c r="B19" s="4" t="str">
        <x:v>Evaluación de idoneidad y seguridad de un uso de IA</x:v>
      </x:c>
      <x:c r="C19" s="4" t="str">
        <x:v>Sistema/modelo, propósito y datos</x:v>
      </x:c>
      <x:c r="D19" s="4" t="str">
        <x:v>Admisión o cambio de uso/modelo</x:v>
      </x:c>
      <x:c r="E19" s="4" t="str">
        <x:v>Propietario del uso, evaluador y supervisor humano</x:v>
      </x:c>
      <x:c r="F19" s="4" t="str">
        <x:v>Seguridad de IA y utilidad defensiva son juicios distintos; no habilita agente autónomo</x:v>
      </x:c>
      <x:c r="G19" s="4" t="str">
        <x:v>Evidencias de validez, riesgo y supervisión para decisión del uso delimitado</x:v>
      </x:c>
      <x:c r="H19" s="4" t="str">
        <x:v>NF-COM-002;K1341;S0955</x:v>
      </x:c>
      <x:c r="I19" s="12" t="n">
        <x:f>COUNTIF('07_Operaciones'!$A$5:$A$26,A19)-1</x:f>
        <x:v>0</x:v>
      </x:c>
      <x:c r="J19" s="12" t="n">
        <x:f>IF(COUNTBLANK(A19:H19)&gt;0,1,0)</x:f>
        <x:v>0</x:v>
      </x:c>
      <x:c r="K19" s="12" t="n">
        <x:f>COUNTIF('03_NICE'!$H$5:$H$57,A19)+COUNTIF('04_TKS'!$F$5:$F$72,A19)+COUNTIF('05_Complementos'!$J$5:$J$127,A19)</x:f>
        <x:v>42</x:v>
      </x:c>
    </x:row>
    <x:row r="20" ht="47" customHeight="1">
      <x:c r="A20" s="4" t="str">
        <x:v>OPC-16</x:v>
      </x:c>
      <x:c r="B20" s="4" t="str">
        <x:v>Informe de evaluación o auditoría de controles</x:v>
      </x:c>
      <x:c r="C20" s="4" t="str">
        <x:v>Sistema/programa y criterios aplicables</x:v>
      </x:c>
      <x:c r="D20" s="4" t="str">
        <x:v>Encargo independiente de evaluación</x:v>
      </x:c>
      <x:c r="E20" s="4" t="str">
        <x:v>Evaluador o auditor con mandato</x:v>
      </x:c>
      <x:c r="F20" s="4" t="str">
        <x:v>Evaluación no equivale a certificación acreditada ni a corrección de controles</x:v>
      </x:c>
      <x:c r="G20" s="4" t="str">
        <x:v>Hallazgos, evidencia, alcance y contradicciones comunicados</x:v>
      </x:c>
      <x:c r="H20" s="4" t="str">
        <x:v>OG-WRL-012;OG-WRL-016;T0274</x:v>
      </x:c>
      <x:c r="I20" s="12" t="n">
        <x:f>COUNTIF('07_Operaciones'!$A$5:$A$26,A20)-1</x:f>
        <x:v>0</x:v>
      </x:c>
      <x:c r="J20" s="12" t="n">
        <x:f>IF(COUNTBLANK(A20:H20)&gt;0,1,0)</x:f>
        <x:v>0</x:v>
      </x:c>
      <x:c r="K20" s="12" t="n">
        <x:f>COUNTIF('03_NICE'!$H$5:$H$57,A20)+COUNTIF('04_TKS'!$F$5:$F$72,A20)+COUNTIF('05_Complementos'!$J$5:$J$127,A20)</x:f>
        <x:v>5</x:v>
      </x:c>
    </x:row>
    <x:row r="21" ht="47" customHeight="1">
      <x:c r="A21" s="4" t="str">
        <x:v>OPC-17</x:v>
      </x:c>
      <x:c r="B21" s="4" t="str">
        <x:v>Dictamen de aplicabilidad jurídica y privacidad</x:v>
      </x:c>
      <x:c r="C21" s="4" t="str">
        <x:v>Entidad, actividad, tratamiento y jurisdicción</x:v>
      </x:c>
      <x:c r="D21" s="4" t="str">
        <x:v>Nuevo uso, incidente o cambio regulatorio</x:v>
      </x:c>
      <x:c r="E21" s="4" t="str">
        <x:v>Asesoría jurídica y responsable de privacidad competentes</x:v>
      </x:c>
      <x:c r="F21" s="4" t="str">
        <x:v>No importa obligaciones por analogía; no concede base jurídica por usar un marco</x:v>
      </x:c>
      <x:c r="G21" s="4" t="str">
        <x:v>Aplicabilidad, obligaciones, incertidumbres y destinatario documentados</x:v>
      </x:c>
      <x:c r="H21" s="4" t="str">
        <x:v>OG-WRL-006;OG-WRL-008;T0220</x:v>
      </x:c>
      <x:c r="I21" s="12" t="n">
        <x:f>COUNTIF('07_Operaciones'!$A$5:$A$26,A21)-1</x:f>
        <x:v>0</x:v>
      </x:c>
      <x:c r="J21" s="12" t="n">
        <x:f>IF(COUNTBLANK(A21:H21)&gt;0,1,0)</x:f>
        <x:v>0</x:v>
      </x:c>
      <x:c r="K21" s="12" t="n">
        <x:f>COUNTIF('03_NICE'!$H$5:$H$57,A21)+COUNTIF('04_TKS'!$F$5:$F$72,A21)+COUNTIF('05_Complementos'!$J$5:$J$127,A21)</x:f>
        <x:v>17</x:v>
      </x:c>
    </x:row>
    <x:row r="22" ht="47" customHeight="1">
      <x:c r="A22" s="4" t="str">
        <x:v>OPC-18</x:v>
      </x:c>
      <x:c r="B22" s="4" t="str">
        <x:v>Dictamen de diseño o revisión de programa formativo</x:v>
      </x:c>
      <x:c r="C22" s="4" t="str">
        <x:v>Programa y necesidades profesionales delimitadas</x:v>
      </x:c>
      <x:c r="D22" s="4" t="str">
        <x:v>Nuevo programa o revisión de su eficacia</x:v>
      </x:c>
      <x:c r="E22" s="4" t="str">
        <x:v>Responsable curricular y de planificación profesional</x:v>
      </x:c>
      <x:c r="F22" s="4" t="str">
        <x:v>Diseñar el programa no acredita aprendizaje de una persona</x:v>
      </x:c>
      <x:c r="G22" s="4" t="str">
        <x:v>Objetivos, contenidos, método y cambios propuestos documentados</x:v>
      </x:c>
      <x:c r="H22" s="4" t="str">
        <x:v>OG-WRL-003;OG-WRL-004;T0101</x:v>
      </x:c>
      <x:c r="I22" s="12" t="n">
        <x:f>COUNTIF('07_Operaciones'!$A$5:$A$26,A22)-1</x:f>
        <x:v>0</x:v>
      </x:c>
      <x:c r="J22" s="12" t="n">
        <x:f>IF(COUNTBLANK(A22:H22)&gt;0,1,0)</x:f>
        <x:v>0</x:v>
      </x:c>
      <x:c r="K22" s="12" t="n">
        <x:f>COUNTIF('03_NICE'!$H$5:$H$57,A22)+COUNTIF('04_TKS'!$F$5:$F$72,A22)+COUNTIF('05_Complementos'!$J$5:$J$127,A22)</x:f>
        <x:v>3</x:v>
      </x:c>
    </x:row>
    <x:row r="23" ht="47" customHeight="1">
      <x:c r="A23" s="4" t="str">
        <x:v>OPC-19</x:v>
      </x:c>
      <x:c r="B23" s="4" t="str">
        <x:v>Resultado de investigación o conocimiento técnico validable</x:v>
      </x:c>
      <x:c r="C23" s="4" t="str">
        <x:v>Pregunta de ciberseguridad definida</x:v>
      </x:c>
      <x:c r="D23" s="4" t="str">
        <x:v>Necesidad de conocimiento o evaluación tecnológica</x:v>
      </x:c>
      <x:c r="E23" s="4" t="str">
        <x:v>Responsable investigador y revisor</x:v>
      </x:c>
      <x:c r="F23" s="4" t="str">
        <x:v>No incorpora resultados al conocimiento autorizado sin revisión</x:v>
      </x:c>
      <x:c r="G23" s="4" t="str">
        <x:v>Método, resultados, límites y registro reutilizable</x:v>
      </x:c>
      <x:c r="H23" s="4" t="str">
        <x:v>DD-WRL-008;IO-WRL-003</x:v>
      </x:c>
      <x:c r="I23" s="12" t="n">
        <x:f>COUNTIF('07_Operaciones'!$A$5:$A$26,A23)-1</x:f>
        <x:v>0</x:v>
      </x:c>
      <x:c r="J23" s="12" t="n">
        <x:f>IF(COUNTBLANK(A23:H23)&gt;0,1,0)</x:f>
        <x:v>0</x:v>
      </x:c>
      <x:c r="K23" s="12" t="n">
        <x:f>COUNTIF('03_NICE'!$H$5:$H$57,A23)+COUNTIF('04_TKS'!$F$5:$F$72,A23)+COUNTIF('05_Complementos'!$J$5:$J$127,A23)</x:f>
        <x:v>3</x:v>
      </x:c>
    </x:row>
    <x:row r="24" ht="47" customHeight="1">
      <x:c r="A24" s="4" t="str">
        <x:v>OPC-20</x:v>
      </x:c>
      <x:c r="B24" s="4" t="str">
        <x:v>Expediente de investigación de ciberdelito</x:v>
      </x:c>
      <x:c r="C24" s="4" t="str">
        <x:v>Hechos y evidencia bajo mandato legal</x:v>
      </x:c>
      <x:c r="D24" s="4" t="str">
        <x:v>Encargo de autoridad investigadora</x:v>
      </x:c>
      <x:c r="E24" s="4" t="str">
        <x:v>Autoridad legal y equipo investigador legitimados</x:v>
      </x:c>
      <x:c r="F24" s="4" t="str">
        <x:v>Separado del análisis forense interno por mandato, finalidad y destino jurídico</x:v>
      </x:c>
      <x:c r="G24" s="4" t="str">
        <x:v>Hechos, cadena de custodia y entrega a autoridad competente</x:v>
      </x:c>
      <x:c r="H24" s="4" t="str">
        <x:v>IN-WRL-001;T1175</x:v>
      </x:c>
      <x:c r="I24" s="12" t="n">
        <x:f>COUNTIF('07_Operaciones'!$A$5:$A$26,A24)-1</x:f>
        <x:v>0</x:v>
      </x:c>
      <x:c r="J24" s="12" t="n">
        <x:f>IF(COUNTBLANK(A24:H24)&gt;0,1,0)</x:f>
        <x:v>0</x:v>
      </x:c>
      <x:c r="K24" s="12" t="n">
        <x:f>COUNTIF('03_NICE'!$H$5:$H$57,A24)+COUNTIF('04_TKS'!$F$5:$F$72,A24)+COUNTIF('05_Complementos'!$J$5:$J$127,A24)</x:f>
        <x:v>2</x:v>
      </x:c>
    </x:row>
    <x:row r="25" ht="47" customHeight="1">
      <x:c r="A25" s="4" t="str">
        <x:v>OPC-21</x:v>
      </x:c>
      <x:c r="B25" s="4" t="str">
        <x:v>Expediente de autorización para operar un sistema</x:v>
      </x:c>
      <x:c r="C25" s="4" t="str">
        <x:v>Sistema y riesgo institucional delimitados</x:v>
      </x:c>
      <x:c r="D25" s="4" t="str">
        <x:v>Puesta en servicio o renovación de autorización</x:v>
      </x:c>
      <x:c r="E25" s="4" t="str">
        <x:v>Autoridad institucional legitimada para aceptar el riesgo</x:v>
      </x:c>
      <x:c r="F25" s="4" t="str">
        <x:v>Separado del acceso individual; un informe técnico no acepta el riesgo</x:v>
      </x:c>
      <x:c r="G25" s="4" t="str">
        <x:v>Riesgo, condiciones, vigencia y decisión institucional explícita</x:v>
      </x:c>
      <x:c r="H25" s="4" t="str">
        <x:v>OG-WRL-013;OG-WRL-007</x:v>
      </x:c>
      <x:c r="I25" s="12" t="n">
        <x:f>COUNTIF('07_Operaciones'!$A$5:$A$26,A25)-1</x:f>
        <x:v>0</x:v>
      </x:c>
      <x:c r="J25" s="12" t="n">
        <x:f>IF(COUNTBLANK(A25:H25)&gt;0,1,0)</x:f>
        <x:v>0</x:v>
      </x:c>
      <x:c r="K25" s="12" t="n">
        <x:f>COUNTIF('03_NICE'!$H$5:$H$57,A25)+COUNTIF('04_TKS'!$F$5:$F$72,A25)+COUNTIF('05_Complementos'!$J$5:$J$127,A25)</x:f>
        <x:v>1</x:v>
      </x:c>
    </x:row>
    <x:row r="26" ht="47" customHeight="1">
      <x:c r="A26" s="4" t="str">
        <x:v>OPC-22</x:v>
      </x:c>
      <x:c r="B26" s="4" t="str">
        <x:v>Informe de una actividad formativa y su evaluación</x:v>
      </x:c>
      <x:c r="C26" s="4" t="str">
        <x:v>Actividad, participantes y objetivos de aprendizaje definidos</x:v>
      </x:c>
      <x:c r="D26" s="4" t="str">
        <x:v>Actividad autorizada del programa</x:v>
      </x:c>
      <x:c r="E26" s="4" t="str">
        <x:v>Docente y responsable de evaluación</x:v>
      </x:c>
      <x:c r="F26" s="4" t="str">
        <x:v>No confunde asistencia, aprendizaje ni permiso profesional</x:v>
      </x:c>
      <x:c r="G26" s="4" t="str">
        <x:v>Actividad realizada y evidencia de evaluación documentadas según el encargo</x:v>
      </x:c>
      <x:c r="H26" s="4" t="str">
        <x:v>OG-WRL-005;OG-WRL-004</x:v>
      </x:c>
      <x:c r="I26" s="12" t="n">
        <x:f>COUNTIF('07_Operaciones'!$A$5:$A$26,A26)-1</x:f>
        <x:v>0</x:v>
      </x:c>
      <x:c r="J26" s="12" t="n">
        <x:f>IF(COUNTBLANK(A26:H26)&gt;0,1,0)</x:f>
        <x:v>0</x:v>
      </x:c>
      <x:c r="K26" s="12" t="n">
        <x:f>COUNTIF('03_NICE'!$H$5:$H$57,A26)+COUNTIF('04_TKS'!$F$5:$F$72,A26)+COUNTIF('05_Complementos'!$J$5:$J$127,A26)</x:f>
        <x:v>2</x:v>
      </x:c>
    </x:row>
  </x:sheetData>
  <x:mergeCells>
    <x:mergeCell ref="A1:D1"/>
    <x:mergeCell ref="A2:F2"/>
  </x:mergeCells>
  <x:pageMargins left="0.7" right="0.7" top="0.75" bottom="0.75" header="0.3" footer="0.3"/>
  <x:tableParts count="1">
    <x:tablePart xmlns:r="http://schemas.openxmlformats.org/officeDocument/2006/relationships" r:id="R6649c334cdb245a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9" hidden="0" customWidth="1"/>
    <x:col min="2" max="2" width="11" hidden="0" customWidth="1"/>
    <x:col min="3" max="3" width="12" hidden="0" customWidth="1"/>
    <x:col min="4" max="4" width="61" hidden="0" customWidth="1"/>
    <x:col min="5" max="5" width="69" hidden="0" customWidth="1"/>
    <x:col min="6" max="6" width="50" hidden="0" customWidth="1"/>
    <x:col min="7" max="7" width="41" hidden="0" customWidth="1"/>
    <x:col min="8" max="8" width="24" hidden="0" customWidth="1"/>
    <x:col min="9" max="9" width="24" hidden="0" customWidth="1"/>
    <x:col min="10" max="10" width="67" hidden="0" customWidth="1"/>
    <x:col min="11" max="11" width="19" hidden="0" customWidth="1"/>
    <x:col min="12" max="12" width="31" hidden="0" customWidth="1"/>
    <x:col min="13" max="13" width="16" hidden="0" customWidth="1"/>
    <x:col min="14" max="14" width="14" hidden="0" customWidth="1"/>
    <x:col min="15" max="15" width="12" hidden="0" customWidth="1"/>
    <x:col min="16" max="16" width="14" hidden="0" customWidth="1"/>
  </x:cols>
  <x:sheetData>
    <x:row r="1" ht="35" customHeight="1">
      <x:c r="A1" s="6" t="str">
        <x:v>TRAZABILIDAD · identidad de entradas</x:v>
      </x:c>
      <x:c r="B1" s="6"/>
      <x:c r="C1" s="6"/>
      <x:c r="D1" s="6"/>
      <x:c r="E1" s="6"/>
      <x:c r="F1" s="6"/>
      <x:c r="G1" s="6"/>
      <x:c r="H1" s="6"/>
      <x:c r="I1" s="6"/>
      <x:c r="J1" s="6"/>
      <x:c r="K1" s="6"/>
      <x:c r="L1" s="6"/>
      <x:c r="M1" s="6"/>
      <x:c r="N1" s="6"/>
      <x:c r="O1" s="6"/>
      <x:c r="P1" s="6"/>
    </x:row>
    <x:row r="2" ht="52" customHeight="1">
      <x:c r="A2" s="8" t="str">
        <x:v>244 entradas. En NICE: objeto JSON original. En complementos: rótulo exacto rastreado en texto extraído, distinto de la síntesis y del documento entero.</x:v>
      </x:c>
      <x:c r="B2" s="8"/>
      <x:c r="C2" s="8"/>
      <x:c r="D2" s="8"/>
      <x:c r="E2" s="8"/>
      <x:c r="F2" s="8"/>
      <x:c r="G2" s="8"/>
      <x:c r="H2" s="8"/>
      <x:c r="I2" s="8"/>
      <x:c r="J2" s="8"/>
      <x:c r="K2" s="8"/>
      <x:c r="L2" s="8"/>
      <x:c r="M2" s="8"/>
      <x:c r="N2" s="8"/>
      <x:c r="O2" s="8"/>
      <x:c r="P2" s="8"/>
    </x:row>
    <x:row r="3">
      <x:c r="A3" s="4"/>
      <x:c r="B3" s="4"/>
      <x:c r="C3" s="4"/>
      <x:c r="D3" s="4"/>
      <x:c r="E3" s="4"/>
      <x:c r="F3" s="4"/>
      <x:c r="G3" s="4"/>
      <x:c r="H3" s="4"/>
      <x:c r="I3" s="4"/>
      <x:c r="J3" s="4"/>
      <x:c r="K3" s="4"/>
      <x:c r="L3" s="4"/>
      <x:c r="M3" s="4"/>
      <x:c r="N3" s="4"/>
      <x:c r="O3" s="4"/>
      <x:c r="P3" s="4"/>
    </x:row>
    <x:row r="4" ht="42" customHeight="1">
      <x:c r="A4" s="10" t="str">
        <x:v>Entrada</x:v>
      </x:c>
      <x:c r="B4" s="10" t="str">
        <x:v>Fuente</x:v>
      </x:c>
      <x:c r="C4" s="10" t="str">
        <x:v>Captura</x:v>
      </x:c>
      <x:c r="D4" s="10" t="str">
        <x:v>Identidad externa / localizador</x:v>
      </x:c>
      <x:c r="E4" s="10" t="str">
        <x:v>Edición o instantánea</x:v>
      </x:c>
      <x:c r="F4" s="10" t="str">
        <x:v>Localización rastreada</x:v>
      </x:c>
      <x:c r="G4" s="10" t="str">
        <x:v>Tipo de extracción</x:v>
      </x:c>
      <x:c r="H4" s="10" t="str">
        <x:v>Offset UTF-8 (texto)</x:v>
      </x:c>
      <x:c r="I4" s="10" t="str">
        <x:v>Longitud bytes (texto)</x:v>
      </x:c>
      <x:c r="J4" s="10" t="str">
        <x:v>SHA-256 del objeto o fragmento</x:v>
      </x:c>
      <x:c r="K4" s="10" t="str">
        <x:v>Fecha de consulta</x:v>
      </x:c>
      <x:c r="L4" s="10" t="str">
        <x:v>Fecha de adopción</x:v>
      </x:c>
      <x:c r="M4" s="10" t="str">
        <x:v>Huella defectuosa</x:v>
      </x:c>
      <x:c r="N4" s="10" t="str">
        <x:v>Entrada ausente</x:v>
      </x:c>
      <x:c r="O4" s="10" t="str">
        <x:v>Duplicado</x:v>
      </x:c>
      <x:c r="P4" s="10" t="str">
        <x:v>Captura ausente</x:v>
      </x:c>
    </x:row>
    <x:row r="5" ht="47" customHeight="1">
      <x:c r="A5" s="4" t="str">
        <x:v>DD-WRL-001</x:v>
      </x:c>
      <x:c r="B5" s="4" t="str">
        <x:v>F001</x:v>
      </x:c>
      <x:c r="C5" s="4" t="str">
        <x:v>F001</x:v>
      </x:c>
      <x:c r="D5" s="4" t="str">
        <x:v>DD-WRL-001</x:v>
      </x:c>
      <x:c r="E5" s="4" t="str">
        <x:v>2.2.0</x:v>
      </x:c>
      <x:c r="F5" s="4" t="str">
        <x:v>elements / DD-WRL-001</x:v>
      </x:c>
      <x:c r="G5" s="4" t="str">
        <x:v>JSON_ORIGINAL_UTF8</x:v>
      </x:c>
      <x:c r="H5" s="4" t="str">
        <x:v>24719</x:v>
      </x:c>
      <x:c r="I5" s="4" t="str">
        <x:v>505</x:v>
      </x:c>
      <x:c r="J5" s="4" t="str">
        <x:v>12c0320b407301ec68d3628f0cc63d4dc67bb467436b80f2b769e35343af98b2</x:v>
      </x:c>
      <x:c r="K5" s="4" t="str">
        <x:v>2026-09-08</x:v>
      </x:c>
      <x:c r="L5" s="4" t="str">
        <x:v>SIN_FECHA_DE_ADOPCION</x:v>
      </x:c>
      <x:c r="M5" s="12" t="n">
        <x:f>IF(LEN(J5)=64,0,1)</x:f>
        <x:v>0</x:v>
      </x:c>
      <x:c r="N5" s="12" t="n">
        <x:f>IF(COUNTIF('03_NICE'!$A$5:$A$57,A5)+COUNTIF('04_TKS'!$A$5:$A$72,A5)+COUNTIF('05_Complementos'!$A$5:$A$127,A5)=1,0,1)</x:f>
        <x:v>0</x:v>
      </x:c>
      <x:c r="O5" s="12" t="n">
        <x:f>COUNTIF('08_Trazas'!$A$5:$A$248,A5)-1</x:f>
        <x:v>0</x:v>
      </x:c>
      <x:c r="P5" s="12" t="n">
        <x:f>IF(COUNTIF('02_Custodia'!$A$5:$A$53,C5)=1,0,1)</x:f>
        <x:v>0</x:v>
      </x:c>
    </x:row>
    <x:row r="6" ht="47" customHeight="1">
      <x:c r="A6" s="4" t="str">
        <x:v>DD-WRL-002</x:v>
      </x:c>
      <x:c r="B6" s="4" t="str">
        <x:v>F001</x:v>
      </x:c>
      <x:c r="C6" s="4" t="str">
        <x:v>F001</x:v>
      </x:c>
      <x:c r="D6" s="4" t="str">
        <x:v>DD-WRL-002</x:v>
      </x:c>
      <x:c r="E6" s="4" t="str">
        <x:v>2.2.0</x:v>
      </x:c>
      <x:c r="F6" s="4" t="str">
        <x:v>elements / DD-WRL-002</x:v>
      </x:c>
      <x:c r="G6" s="4" t="str">
        <x:v>JSON_ORIGINAL_UTF8</x:v>
      </x:c>
      <x:c r="H6" s="4" t="str">
        <x:v>28307</x:v>
      </x:c>
      <x:c r="I6" s="4" t="str">
        <x:v>437</x:v>
      </x:c>
      <x:c r="J6" s="4" t="str">
        <x:v>c688b31491ab89ce4510cbfd34bf0b494d82f55851711a85853dbac47da54b3e</x:v>
      </x:c>
      <x:c r="K6" s="4" t="str">
        <x:v>2026-09-08</x:v>
      </x:c>
      <x:c r="L6" s="4" t="str">
        <x:v>SIN_FECHA_DE_ADOPCION</x:v>
      </x:c>
      <x:c r="M6" s="12" t="n">
        <x:f>IF(LEN(J6)=64,0,1)</x:f>
        <x:v>0</x:v>
      </x:c>
      <x:c r="N6" s="12" t="n">
        <x:f>IF(COUNTIF('03_NICE'!$A$5:$A$57,A6)+COUNTIF('04_TKS'!$A$5:$A$72,A6)+COUNTIF('05_Complementos'!$A$5:$A$127,A6)=1,0,1)</x:f>
        <x:v>0</x:v>
      </x:c>
      <x:c r="O6" s="12" t="n">
        <x:f>COUNTIF('08_Trazas'!$A$5:$A$248,A6)-1</x:f>
        <x:v>0</x:v>
      </x:c>
      <x:c r="P6" s="12" t="n">
        <x:f>IF(COUNTIF('02_Custodia'!$A$5:$A$53,C6)=1,0,1)</x:f>
        <x:v>0</x:v>
      </x:c>
    </x:row>
    <x:row r="7" ht="47" customHeight="1">
      <x:c r="A7" s="4" t="str">
        <x:v>DD-WRL-003</x:v>
      </x:c>
      <x:c r="B7" s="4" t="str">
        <x:v>F001</x:v>
      </x:c>
      <x:c r="C7" s="4" t="str">
        <x:v>F001</x:v>
      </x:c>
      <x:c r="D7" s="4" t="str">
        <x:v>DD-WRL-003</x:v>
      </x:c>
      <x:c r="E7" s="4" t="str">
        <x:v>2.2.0</x:v>
      </x:c>
      <x:c r="F7" s="4" t="str">
        <x:v>elements / DD-WRL-003</x:v>
      </x:c>
      <x:c r="G7" s="4" t="str">
        <x:v>JSON_ORIGINAL_UTF8</x:v>
      </x:c>
      <x:c r="H7" s="4" t="str">
        <x:v>25234</x:v>
      </x:c>
      <x:c r="I7" s="4" t="str">
        <x:v>355</x:v>
      </x:c>
      <x:c r="J7" s="4" t="str">
        <x:v>352c4f00f2200e765f74b7f03863d2287629a60d25a46cc3ab4ca6c8ab77d8d3</x:v>
      </x:c>
      <x:c r="K7" s="4" t="str">
        <x:v>2026-09-08</x:v>
      </x:c>
      <x:c r="L7" s="4" t="str">
        <x:v>SIN_FECHA_DE_ADOPCION</x:v>
      </x:c>
      <x:c r="M7" s="12" t="n">
        <x:f>IF(LEN(J7)=64,0,1)</x:f>
        <x:v>0</x:v>
      </x:c>
      <x:c r="N7" s="12" t="n">
        <x:f>IF(COUNTIF('03_NICE'!$A$5:$A$57,A7)+COUNTIF('04_TKS'!$A$5:$A$72,A7)+COUNTIF('05_Complementos'!$A$5:$A$127,A7)=1,0,1)</x:f>
        <x:v>0</x:v>
      </x:c>
      <x:c r="O7" s="12" t="n">
        <x:f>COUNTIF('08_Trazas'!$A$5:$A$248,A7)-1</x:f>
        <x:v>0</x:v>
      </x:c>
      <x:c r="P7" s="12" t="n">
        <x:f>IF(COUNTIF('02_Custodia'!$A$5:$A$53,C7)=1,0,1)</x:f>
        <x:v>0</x:v>
      </x:c>
    </x:row>
    <x:row r="8" ht="47" customHeight="1">
      <x:c r="A8" s="4" t="str">
        <x:v>DD-WRL-004</x:v>
      </x:c>
      <x:c r="B8" s="4" t="str">
        <x:v>F001</x:v>
      </x:c>
      <x:c r="C8" s="4" t="str">
        <x:v>F001</x:v>
      </x:c>
      <x:c r="D8" s="4" t="str">
        <x:v>DD-WRL-004</x:v>
      </x:c>
      <x:c r="E8" s="4" t="str">
        <x:v>2.2.0</x:v>
      </x:c>
      <x:c r="F8" s="4" t="str">
        <x:v>elements / DD-WRL-004</x:v>
      </x:c>
      <x:c r="G8" s="4" t="str">
        <x:v>JSON_ORIGINAL_UTF8</x:v>
      </x:c>
      <x:c r="H8" s="4" t="str">
        <x:v>27918</x:v>
      </x:c>
      <x:c r="I8" s="4" t="str">
        <x:v>379</x:v>
      </x:c>
      <x:c r="J8" s="4" t="str">
        <x:v>3400279fc222586aa6df59ce8d8258bb5bf2fb5b06f5115f2acde9d157dde4f8</x:v>
      </x:c>
      <x:c r="K8" s="4" t="str">
        <x:v>2026-09-08</x:v>
      </x:c>
      <x:c r="L8" s="4" t="str">
        <x:v>SIN_FECHA_DE_ADOPCION</x:v>
      </x:c>
      <x:c r="M8" s="12" t="n">
        <x:f>IF(LEN(J8)=64,0,1)</x:f>
        <x:v>0</x:v>
      </x:c>
      <x:c r="N8" s="12" t="n">
        <x:f>IF(COUNTIF('03_NICE'!$A$5:$A$57,A8)+COUNTIF('04_TKS'!$A$5:$A$72,A8)+COUNTIF('05_Complementos'!$A$5:$A$127,A8)=1,0,1)</x:f>
        <x:v>0</x:v>
      </x:c>
      <x:c r="O8" s="12" t="n">
        <x:f>COUNTIF('08_Trazas'!$A$5:$A$248,A8)-1</x:f>
        <x:v>0</x:v>
      </x:c>
      <x:c r="P8" s="12" t="n">
        <x:f>IF(COUNTIF('02_Custodia'!$A$5:$A$53,C8)=1,0,1)</x:f>
        <x:v>0</x:v>
      </x:c>
    </x:row>
    <x:row r="9" ht="47" customHeight="1">
      <x:c r="A9" s="4" t="str">
        <x:v>DD-WRL-005</x:v>
      </x:c>
      <x:c r="B9" s="4" t="str">
        <x:v>F001</x:v>
      </x:c>
      <x:c r="C9" s="4" t="str">
        <x:v>F001</x:v>
      </x:c>
      <x:c r="D9" s="4" t="str">
        <x:v>DD-WRL-005</x:v>
      </x:c>
      <x:c r="E9" s="4" t="str">
        <x:v>2.2.0</x:v>
      </x:c>
      <x:c r="F9" s="4" t="str">
        <x:v>elements / DD-WRL-005</x:v>
      </x:c>
      <x:c r="G9" s="4" t="str">
        <x:v>JSON_ORIGINAL_UTF8</x:v>
      </x:c>
      <x:c r="H9" s="4" t="str">
        <x:v>27525</x:v>
      </x:c>
      <x:c r="I9" s="4" t="str">
        <x:v>383</x:v>
      </x:c>
      <x:c r="J9" s="4" t="str">
        <x:v>5a28e7b71866daeb48e5cd5c7efc21bc0af31c9416894911614e8f7edb8ca6b7</x:v>
      </x:c>
      <x:c r="K9" s="4" t="str">
        <x:v>2026-09-08</x:v>
      </x:c>
      <x:c r="L9" s="4" t="str">
        <x:v>SIN_FECHA_DE_ADOPCION</x:v>
      </x:c>
      <x:c r="M9" s="12" t="n">
        <x:f>IF(LEN(J9)=64,0,1)</x:f>
        <x:v>0</x:v>
      </x:c>
      <x:c r="N9" s="12" t="n">
        <x:f>IF(COUNTIF('03_NICE'!$A$5:$A$57,A9)+COUNTIF('04_TKS'!$A$5:$A$72,A9)+COUNTIF('05_Complementos'!$A$5:$A$127,A9)=1,0,1)</x:f>
        <x:v>0</x:v>
      </x:c>
      <x:c r="O9" s="12" t="n">
        <x:f>COUNTIF('08_Trazas'!$A$5:$A$248,A9)-1</x:f>
        <x:v>0</x:v>
      </x:c>
      <x:c r="P9" s="12" t="n">
        <x:f>IF(COUNTIF('02_Custodia'!$A$5:$A$53,C9)=1,0,1)</x:f>
        <x:v>0</x:v>
      </x:c>
    </x:row>
    <x:row r="10" ht="47" customHeight="1">
      <x:c r="A10" s="4" t="str">
        <x:v>DD-WRL-006</x:v>
      </x:c>
      <x:c r="B10" s="4" t="str">
        <x:v>F001</x:v>
      </x:c>
      <x:c r="C10" s="4" t="str">
        <x:v>F001</x:v>
      </x:c>
      <x:c r="D10" s="4" t="str">
        <x:v>DD-WRL-006</x:v>
      </x:c>
      <x:c r="E10" s="4" t="str">
        <x:v>2.2.0</x:v>
      </x:c>
      <x:c r="F10" s="4" t="str">
        <x:v>elements / DD-WRL-006</x:v>
      </x:c>
      <x:c r="G10" s="4" t="str">
        <x:v>JSON_ORIGINAL_UTF8</x:v>
      </x:c>
      <x:c r="H10" s="4" t="str">
        <x:v>24309</x:v>
      </x:c>
      <x:c r="I10" s="4" t="str">
        <x:v>400</x:v>
      </x:c>
      <x:c r="J10" s="4" t="str">
        <x:v>ab378dbae707713d66cc7f4b714821238b78052f53d5db0f39be0051259bfc83</x:v>
      </x:c>
      <x:c r="K10" s="4" t="str">
        <x:v>2026-09-08</x:v>
      </x:c>
      <x:c r="L10" s="4" t="str">
        <x:v>SIN_FECHA_DE_ADOPCION</x:v>
      </x:c>
      <x:c r="M10" s="12" t="n">
        <x:f>IF(LEN(J10)=64,0,1)</x:f>
        <x:v>0</x:v>
      </x:c>
      <x:c r="N10" s="12" t="n">
        <x:f>IF(COUNTIF('03_NICE'!$A$5:$A$57,A10)+COUNTIF('04_TKS'!$A$5:$A$72,A10)+COUNTIF('05_Complementos'!$A$5:$A$127,A10)=1,0,1)</x:f>
        <x:v>0</x:v>
      </x:c>
      <x:c r="O10" s="12" t="n">
        <x:f>COUNTIF('08_Trazas'!$A$5:$A$248,A10)-1</x:f>
        <x:v>0</x:v>
      </x:c>
      <x:c r="P10" s="12" t="n">
        <x:f>IF(COUNTIF('02_Custodia'!$A$5:$A$53,C10)=1,0,1)</x:f>
        <x:v>0</x:v>
      </x:c>
    </x:row>
    <x:row r="11" ht="47" customHeight="1">
      <x:c r="A11" s="4" t="str">
        <x:v>DD-WRL-007</x:v>
      </x:c>
      <x:c r="B11" s="4" t="str">
        <x:v>F001</x:v>
      </x:c>
      <x:c r="C11" s="4" t="str">
        <x:v>F001</x:v>
      </x:c>
      <x:c r="D11" s="4" t="str">
        <x:v>DD-WRL-007</x:v>
      </x:c>
      <x:c r="E11" s="4" t="str">
        <x:v>2.2.0</x:v>
      </x:c>
      <x:c r="F11" s="4" t="str">
        <x:v>elements / DD-WRL-007</x:v>
      </x:c>
      <x:c r="G11" s="4" t="str">
        <x:v>JSON_ORIGINAL_UTF8</x:v>
      </x:c>
      <x:c r="H11" s="4" t="str">
        <x:v>25599</x:v>
      </x:c>
      <x:c r="I11" s="4" t="str">
        <x:v>398</x:v>
      </x:c>
      <x:c r="J11" s="4" t="str">
        <x:v>c80c4df1de71329885e77e6f4860acb8fcb03fc062b4258d5bd4c0b242b43d97</x:v>
      </x:c>
      <x:c r="K11" s="4" t="str">
        <x:v>2026-09-08</x:v>
      </x:c>
      <x:c r="L11" s="4" t="str">
        <x:v>SIN_FECHA_DE_ADOPCION</x:v>
      </x:c>
      <x:c r="M11" s="12" t="n">
        <x:f>IF(LEN(J11)=64,0,1)</x:f>
        <x:v>0</x:v>
      </x:c>
      <x:c r="N11" s="12" t="n">
        <x:f>IF(COUNTIF('03_NICE'!$A$5:$A$57,A11)+COUNTIF('04_TKS'!$A$5:$A$72,A11)+COUNTIF('05_Complementos'!$A$5:$A$127,A11)=1,0,1)</x:f>
        <x:v>0</x:v>
      </x:c>
      <x:c r="O11" s="12" t="n">
        <x:f>COUNTIF('08_Trazas'!$A$5:$A$248,A11)-1</x:f>
        <x:v>0</x:v>
      </x:c>
      <x:c r="P11" s="12" t="n">
        <x:f>IF(COUNTIF('02_Custodia'!$A$5:$A$53,C11)=1,0,1)</x:f>
        <x:v>0</x:v>
      </x:c>
    </x:row>
    <x:row r="12" ht="47" customHeight="1">
      <x:c r="A12" s="4" t="str">
        <x:v>DD-WRL-008</x:v>
      </x:c>
      <x:c r="B12" s="4" t="str">
        <x:v>F001</x:v>
      </x:c>
      <x:c r="C12" s="4" t="str">
        <x:v>F001</x:v>
      </x:c>
      <x:c r="D12" s="4" t="str">
        <x:v>DD-WRL-008</x:v>
      </x:c>
      <x:c r="E12" s="4" t="str">
        <x:v>2.2.0</x:v>
      </x:c>
      <x:c r="F12" s="4" t="str">
        <x:v>elements / DD-WRL-008</x:v>
      </x:c>
      <x:c r="G12" s="4" t="str">
        <x:v>JSON_ORIGINAL_UTF8</x:v>
      </x:c>
      <x:c r="H12" s="4" t="str">
        <x:v>26636</x:v>
      </x:c>
      <x:c r="I12" s="4" t="str">
        <x:v>491</x:v>
      </x:c>
      <x:c r="J12" s="4" t="str">
        <x:v>5cedb4be880e3b15b02af572ef76ab509ca3d32c4451f7cf8de760d496c71444</x:v>
      </x:c>
      <x:c r="K12" s="4" t="str">
        <x:v>2026-09-08</x:v>
      </x:c>
      <x:c r="L12" s="4" t="str">
        <x:v>SIN_FECHA_DE_ADOPCION</x:v>
      </x:c>
      <x:c r="M12" s="12" t="n">
        <x:f>IF(LEN(J12)=64,0,1)</x:f>
        <x:v>0</x:v>
      </x:c>
      <x:c r="N12" s="12" t="n">
        <x:f>IF(COUNTIF('03_NICE'!$A$5:$A$57,A12)+COUNTIF('04_TKS'!$A$5:$A$72,A12)+COUNTIF('05_Complementos'!$A$5:$A$127,A12)=1,0,1)</x:f>
        <x:v>0</x:v>
      </x:c>
      <x:c r="O12" s="12" t="n">
        <x:f>COUNTIF('08_Trazas'!$A$5:$A$248,A12)-1</x:f>
        <x:v>0</x:v>
      </x:c>
      <x:c r="P12" s="12" t="n">
        <x:f>IF(COUNTIF('02_Custodia'!$A$5:$A$53,C12)=1,0,1)</x:f>
        <x:v>0</x:v>
      </x:c>
    </x:row>
    <x:row r="13" ht="47" customHeight="1">
      <x:c r="A13" s="4" t="str">
        <x:v>DD-WRL-009</x:v>
      </x:c>
      <x:c r="B13" s="4" t="str">
        <x:v>F001</x:v>
      </x:c>
      <x:c r="C13" s="4" t="str">
        <x:v>F001</x:v>
      </x:c>
      <x:c r="D13" s="4" t="str">
        <x:v>DD-WRL-009</x:v>
      </x:c>
      <x:c r="E13" s="4" t="str">
        <x:v>2.2.0</x:v>
      </x:c>
      <x:c r="F13" s="4" t="str">
        <x:v>elements / DD-WRL-009</x:v>
      </x:c>
      <x:c r="G13" s="4" t="str">
        <x:v>JSON_ORIGINAL_UTF8</x:v>
      </x:c>
      <x:c r="H13" s="4" t="str">
        <x:v>26007</x:v>
      </x:c>
      <x:c r="I13" s="4" t="str">
        <x:v>619</x:v>
      </x:c>
      <x:c r="J13" s="4" t="str">
        <x:v>f47b71c73c3e59df521a6ef136caeca3adfabefdf4dce83f2e16538b950a76f2</x:v>
      </x:c>
      <x:c r="K13" s="4" t="str">
        <x:v>2026-09-08</x:v>
      </x:c>
      <x:c r="L13" s="4" t="str">
        <x:v>SIN_FECHA_DE_ADOPCION</x:v>
      </x:c>
      <x:c r="M13" s="12" t="n">
        <x:f>IF(LEN(J13)=64,0,1)</x:f>
        <x:v>0</x:v>
      </x:c>
      <x:c r="N13" s="12" t="n">
        <x:f>IF(COUNTIF('03_NICE'!$A$5:$A$57,A13)+COUNTIF('04_TKS'!$A$5:$A$72,A13)+COUNTIF('05_Complementos'!$A$5:$A$127,A13)=1,0,1)</x:f>
        <x:v>0</x:v>
      </x:c>
      <x:c r="O13" s="12" t="n">
        <x:f>COUNTIF('08_Trazas'!$A$5:$A$248,A13)-1</x:f>
        <x:v>0</x:v>
      </x:c>
      <x:c r="P13" s="12" t="n">
        <x:f>IF(COUNTIF('02_Custodia'!$A$5:$A$53,C13)=1,0,1)</x:f>
        <x:v>0</x:v>
      </x:c>
    </x:row>
    <x:row r="14" ht="47" customHeight="1">
      <x:c r="A14" s="4" t="str">
        <x:v>IN-WRL-001</x:v>
      </x:c>
      <x:c r="B14" s="4" t="str">
        <x:v>F001</x:v>
      </x:c>
      <x:c r="C14" s="4" t="str">
        <x:v>F001</x:v>
      </x:c>
      <x:c r="D14" s="4" t="str">
        <x:v>IN-WRL-001</x:v>
      </x:c>
      <x:c r="E14" s="4" t="str">
        <x:v>2.2.0</x:v>
      </x:c>
      <x:c r="F14" s="4" t="str">
        <x:v>elements / IN-WRL-001</x:v>
      </x:c>
      <x:c r="G14" s="4" t="str">
        <x:v>JSON_ORIGINAL_UTF8</x:v>
      </x:c>
      <x:c r="H14" s="4" t="str">
        <x:v>17624</x:v>
      </x:c>
      <x:c r="I14" s="4" t="str">
        <x:v>478</x:v>
      </x:c>
      <x:c r="J14" s="4" t="str">
        <x:v>efc7c472d89c663a43c238a8b1256d22e11a4656231364a0c6d9ab0892986335</x:v>
      </x:c>
      <x:c r="K14" s="4" t="str">
        <x:v>2026-09-08</x:v>
      </x:c>
      <x:c r="L14" s="4" t="str">
        <x:v>SIN_FECHA_DE_ADOPCION</x:v>
      </x:c>
      <x:c r="M14" s="12" t="n">
        <x:f>IF(LEN(J14)=64,0,1)</x:f>
        <x:v>0</x:v>
      </x:c>
      <x:c r="N14" s="12" t="n">
        <x:f>IF(COUNTIF('03_NICE'!$A$5:$A$57,A14)+COUNTIF('04_TKS'!$A$5:$A$72,A14)+COUNTIF('05_Complementos'!$A$5:$A$127,A14)=1,0,1)</x:f>
        <x:v>0</x:v>
      </x:c>
      <x:c r="O14" s="12" t="n">
        <x:f>COUNTIF('08_Trazas'!$A$5:$A$248,A14)-1</x:f>
        <x:v>0</x:v>
      </x:c>
      <x:c r="P14" s="12" t="n">
        <x:f>IF(COUNTIF('02_Custodia'!$A$5:$A$53,C14)=1,0,1)</x:f>
        <x:v>0</x:v>
      </x:c>
    </x:row>
    <x:row r="15" ht="47" customHeight="1">
      <x:c r="A15" s="4" t="str">
        <x:v>IN-WRL-002</x:v>
      </x:c>
      <x:c r="B15" s="4" t="str">
        <x:v>F001</x:v>
      </x:c>
      <x:c r="C15" s="4" t="str">
        <x:v>F001</x:v>
      </x:c>
      <x:c r="D15" s="4" t="str">
        <x:v>IN-WRL-002</x:v>
      </x:c>
      <x:c r="E15" s="4" t="str">
        <x:v>2.2.0</x:v>
      </x:c>
      <x:c r="F15" s="4" t="str">
        <x:v>elements / IN-WRL-002</x:v>
      </x:c>
      <x:c r="G15" s="4" t="str">
        <x:v>JSON_ORIGINAL_UTF8</x:v>
      </x:c>
      <x:c r="H15" s="4" t="str">
        <x:v>21889</x:v>
      </x:c>
      <x:c r="I15" s="4" t="str">
        <x:v>379</x:v>
      </x:c>
      <x:c r="J15" s="4" t="str">
        <x:v>8c88c9619e24aa449d7ab1d87a98e33b3b38309b2bdd83fe6842c24df685efdc</x:v>
      </x:c>
      <x:c r="K15" s="4" t="str">
        <x:v>2026-09-08</x:v>
      </x:c>
      <x:c r="L15" s="4" t="str">
        <x:v>SIN_FECHA_DE_ADOPCION</x:v>
      </x:c>
      <x:c r="M15" s="12" t="n">
        <x:f>IF(LEN(J15)=64,0,1)</x:f>
        <x:v>0</x:v>
      </x:c>
      <x:c r="N15" s="12" t="n">
        <x:f>IF(COUNTIF('03_NICE'!$A$5:$A$57,A15)+COUNTIF('04_TKS'!$A$5:$A$72,A15)+COUNTIF('05_Complementos'!$A$5:$A$127,A15)=1,0,1)</x:f>
        <x:v>0</x:v>
      </x:c>
      <x:c r="O15" s="12" t="n">
        <x:f>COUNTIF('08_Trazas'!$A$5:$A$248,A15)-1</x:f>
        <x:v>0</x:v>
      </x:c>
      <x:c r="P15" s="12" t="n">
        <x:f>IF(COUNTIF('02_Custodia'!$A$5:$A$53,C15)=1,0,1)</x:f>
        <x:v>0</x:v>
      </x:c>
    </x:row>
    <x:row r="16" ht="47" customHeight="1">
      <x:c r="A16" s="4" t="str">
        <x:v>IO-WRL-001</x:v>
      </x:c>
      <x:c r="B16" s="4" t="str">
        <x:v>F001</x:v>
      </x:c>
      <x:c r="C16" s="4" t="str">
        <x:v>F001</x:v>
      </x:c>
      <x:c r="D16" s="4" t="str">
        <x:v>IO-WRL-001</x:v>
      </x:c>
      <x:c r="E16" s="4" t="str">
        <x:v>2.2.0</x:v>
      </x:c>
      <x:c r="F16" s="4" t="str">
        <x:v>elements / IO-WRL-001</x:v>
      </x:c>
      <x:c r="G16" s="4" t="str">
        <x:v>JSON_ORIGINAL_UTF8</x:v>
      </x:c>
      <x:c r="H16" s="4" t="str">
        <x:v>18112</x:v>
      </x:c>
      <x:c r="I16" s="4" t="str">
        <x:v>488</x:v>
      </x:c>
      <x:c r="J16" s="4" t="str">
        <x:v>d8d85a1dbaa6cfd445570186d0d666638b807bf2711bdd1768ad7a30a47c9f60</x:v>
      </x:c>
      <x:c r="K16" s="4" t="str">
        <x:v>2026-09-08</x:v>
      </x:c>
      <x:c r="L16" s="4" t="str">
        <x:v>SIN_FECHA_DE_ADOPCION</x:v>
      </x:c>
      <x:c r="M16" s="12" t="n">
        <x:f>IF(LEN(J16)=64,0,1)</x:f>
        <x:v>0</x:v>
      </x:c>
      <x:c r="N16" s="12" t="n">
        <x:f>IF(COUNTIF('03_NICE'!$A$5:$A$57,A16)+COUNTIF('04_TKS'!$A$5:$A$72,A16)+COUNTIF('05_Complementos'!$A$5:$A$127,A16)=1,0,1)</x:f>
        <x:v>0</x:v>
      </x:c>
      <x:c r="O16" s="12" t="n">
        <x:f>COUNTIF('08_Trazas'!$A$5:$A$248,A16)-1</x:f>
        <x:v>0</x:v>
      </x:c>
      <x:c r="P16" s="12" t="n">
        <x:f>IF(COUNTIF('02_Custodia'!$A$5:$A$53,C16)=1,0,1)</x:f>
        <x:v>0</x:v>
      </x:c>
    </x:row>
    <x:row r="17" ht="47" customHeight="1">
      <x:c r="A17" s="4" t="str">
        <x:v>IO-WRL-002</x:v>
      </x:c>
      <x:c r="B17" s="4" t="str">
        <x:v>F001</x:v>
      </x:c>
      <x:c r="C17" s="4" t="str">
        <x:v>F001</x:v>
      </x:c>
      <x:c r="D17" s="4" t="str">
        <x:v>IO-WRL-002</x:v>
      </x:c>
      <x:c r="E17" s="4" t="str">
        <x:v>2.2.0</x:v>
      </x:c>
      <x:c r="F17" s="4" t="str">
        <x:v>elements / IO-WRL-002</x:v>
      </x:c>
      <x:c r="G17" s="4" t="str">
        <x:v>JSON_ORIGINAL_UTF8</x:v>
      </x:c>
      <x:c r="H17" s="4" t="str">
        <x:v>21512</x:v>
      </x:c>
      <x:c r="I17" s="4" t="str">
        <x:v>367</x:v>
      </x:c>
      <x:c r="J17" s="4" t="str">
        <x:v>e9d335fe67e6e7b64899e2525b7756f559ffc62ef379f0cf259189ae6c2e4542</x:v>
      </x:c>
      <x:c r="K17" s="4" t="str">
        <x:v>2026-09-08</x:v>
      </x:c>
      <x:c r="L17" s="4" t="str">
        <x:v>SIN_FECHA_DE_ADOPCION</x:v>
      </x:c>
      <x:c r="M17" s="12" t="n">
        <x:f>IF(LEN(J17)=64,0,1)</x:f>
        <x:v>0</x:v>
      </x:c>
      <x:c r="N17" s="12" t="n">
        <x:f>IF(COUNTIF('03_NICE'!$A$5:$A$57,A17)+COUNTIF('04_TKS'!$A$5:$A$72,A17)+COUNTIF('05_Complementos'!$A$5:$A$127,A17)=1,0,1)</x:f>
        <x:v>0</x:v>
      </x:c>
      <x:c r="O17" s="12" t="n">
        <x:f>COUNTIF('08_Trazas'!$A$5:$A$248,A17)-1</x:f>
        <x:v>0</x:v>
      </x:c>
      <x:c r="P17" s="12" t="n">
        <x:f>IF(COUNTIF('02_Custodia'!$A$5:$A$53,C17)=1,0,1)</x:f>
        <x:v>0</x:v>
      </x:c>
    </x:row>
    <x:row r="18" ht="47" customHeight="1">
      <x:c r="A18" s="4" t="str">
        <x:v>IO-WRL-003</x:v>
      </x:c>
      <x:c r="B18" s="4" t="str">
        <x:v>F001</x:v>
      </x:c>
      <x:c r="C18" s="4" t="str">
        <x:v>F001</x:v>
      </x:c>
      <x:c r="D18" s="4" t="str">
        <x:v>IO-WRL-003</x:v>
      </x:c>
      <x:c r="E18" s="4" t="str">
        <x:v>2.2.0</x:v>
      </x:c>
      <x:c r="F18" s="4" t="str">
        <x:v>elements / IO-WRL-003</x:v>
      </x:c>
      <x:c r="G18" s="4" t="str">
        <x:v>JSON_ORIGINAL_UTF8</x:v>
      </x:c>
      <x:c r="H18" s="4" t="str">
        <x:v>20239</x:v>
      </x:c>
      <x:c r="I18" s="4" t="str">
        <x:v>359</x:v>
      </x:c>
      <x:c r="J18" s="4" t="str">
        <x:v>0dff0a8a5a637d33ccf84384abc3d9956b0f504433f16a1af32f2efd07d0bb7a</x:v>
      </x:c>
      <x:c r="K18" s="4" t="str">
        <x:v>2026-09-08</x:v>
      </x:c>
      <x:c r="L18" s="4" t="str">
        <x:v>SIN_FECHA_DE_ADOPCION</x:v>
      </x:c>
      <x:c r="M18" s="12" t="n">
        <x:f>IF(LEN(J18)=64,0,1)</x:f>
        <x:v>0</x:v>
      </x:c>
      <x:c r="N18" s="12" t="n">
        <x:f>IF(COUNTIF('03_NICE'!$A$5:$A$57,A18)+COUNTIF('04_TKS'!$A$5:$A$72,A18)+COUNTIF('05_Complementos'!$A$5:$A$127,A18)=1,0,1)</x:f>
        <x:v>0</x:v>
      </x:c>
      <x:c r="O18" s="12" t="n">
        <x:f>COUNTIF('08_Trazas'!$A$5:$A$248,A18)-1</x:f>
        <x:v>0</x:v>
      </x:c>
      <x:c r="P18" s="12" t="n">
        <x:f>IF(COUNTIF('02_Custodia'!$A$5:$A$53,C18)=1,0,1)</x:f>
        <x:v>0</x:v>
      </x:c>
    </x:row>
    <x:row r="19" ht="47" customHeight="1">
      <x:c r="A19" s="4" t="str">
        <x:v>IO-WRL-004</x:v>
      </x:c>
      <x:c r="B19" s="4" t="str">
        <x:v>F001</x:v>
      </x:c>
      <x:c r="C19" s="4" t="str">
        <x:v>F001</x:v>
      </x:c>
      <x:c r="D19" s="4" t="str">
        <x:v>IO-WRL-004</x:v>
      </x:c>
      <x:c r="E19" s="4" t="str">
        <x:v>2.2.0</x:v>
      </x:c>
      <x:c r="F19" s="4" t="str">
        <x:v>elements / IO-WRL-004</x:v>
      </x:c>
      <x:c r="G19" s="4" t="str">
        <x:v>JSON_ORIGINAL_UTF8</x:v>
      </x:c>
      <x:c r="H19" s="4" t="str">
        <x:v>21158</x:v>
      </x:c>
      <x:c r="I19" s="4" t="str">
        <x:v>344</x:v>
      </x:c>
      <x:c r="J19" s="4" t="str">
        <x:v>15337789f079fcde128fabf8e7f0457b844e2e3e9aad6d3f4eb781bfc235aff1</x:v>
      </x:c>
      <x:c r="K19" s="4" t="str">
        <x:v>2026-09-08</x:v>
      </x:c>
      <x:c r="L19" s="4" t="str">
        <x:v>SIN_FECHA_DE_ADOPCION</x:v>
      </x:c>
      <x:c r="M19" s="12" t="n">
        <x:f>IF(LEN(J19)=64,0,1)</x:f>
        <x:v>0</x:v>
      </x:c>
      <x:c r="N19" s="12" t="n">
        <x:f>IF(COUNTIF('03_NICE'!$A$5:$A$57,A19)+COUNTIF('04_TKS'!$A$5:$A$72,A19)+COUNTIF('05_Complementos'!$A$5:$A$127,A19)=1,0,1)</x:f>
        <x:v>0</x:v>
      </x:c>
      <x:c r="O19" s="12" t="n">
        <x:f>COUNTIF('08_Trazas'!$A$5:$A$248,A19)-1</x:f>
        <x:v>0</x:v>
      </x:c>
      <x:c r="P19" s="12" t="n">
        <x:f>IF(COUNTIF('02_Custodia'!$A$5:$A$53,C19)=1,0,1)</x:f>
        <x:v>0</x:v>
      </x:c>
    </x:row>
    <x:row r="20" ht="47" customHeight="1">
      <x:c r="A20" s="4" t="str">
        <x:v>IO-WRL-005</x:v>
      </x:c>
      <x:c r="B20" s="4" t="str">
        <x:v>F001</x:v>
      </x:c>
      <x:c r="C20" s="4" t="str">
        <x:v>F001</x:v>
      </x:c>
      <x:c r="D20" s="4" t="str">
        <x:v>IO-WRL-005</x:v>
      </x:c>
      <x:c r="E20" s="4" t="str">
        <x:v>2.2.0</x:v>
      </x:c>
      <x:c r="F20" s="4" t="str">
        <x:v>elements / IO-WRL-005</x:v>
      </x:c>
      <x:c r="G20" s="4" t="str">
        <x:v>JSON_ORIGINAL_UTF8</x:v>
      </x:c>
      <x:c r="H20" s="4" t="str">
        <x:v>20608</x:v>
      </x:c>
      <x:c r="I20" s="4" t="str">
        <x:v>540</x:v>
      </x:c>
      <x:c r="J20" s="4" t="str">
        <x:v>969c94de601c26dcd1875ce429d12367bf1b689b5c4341bc2a82647f529a7faf</x:v>
      </x:c>
      <x:c r="K20" s="4" t="str">
        <x:v>2026-09-08</x:v>
      </x:c>
      <x:c r="L20" s="4" t="str">
        <x:v>SIN_FECHA_DE_ADOPCION</x:v>
      </x:c>
      <x:c r="M20" s="12" t="n">
        <x:f>IF(LEN(J20)=64,0,1)</x:f>
        <x:v>0</x:v>
      </x:c>
      <x:c r="N20" s="12" t="n">
        <x:f>IF(COUNTIF('03_NICE'!$A$5:$A$57,A20)+COUNTIF('04_TKS'!$A$5:$A$72,A20)+COUNTIF('05_Complementos'!$A$5:$A$127,A20)=1,0,1)</x:f>
        <x:v>0</x:v>
      </x:c>
      <x:c r="O20" s="12" t="n">
        <x:f>COUNTIF('08_Trazas'!$A$5:$A$248,A20)-1</x:f>
        <x:v>0</x:v>
      </x:c>
      <x:c r="P20" s="12" t="n">
        <x:f>IF(COUNTIF('02_Custodia'!$A$5:$A$53,C20)=1,0,1)</x:f>
        <x:v>0</x:v>
      </x:c>
    </x:row>
    <x:row r="21" ht="47" customHeight="1">
      <x:c r="A21" s="4" t="str">
        <x:v>IO-WRL-006</x:v>
      </x:c>
      <x:c r="B21" s="4" t="str">
        <x:v>F001</x:v>
      </x:c>
      <x:c r="C21" s="4" t="str">
        <x:v>F001</x:v>
      </x:c>
      <x:c r="D21" s="4" t="str">
        <x:v>IO-WRL-006</x:v>
      </x:c>
      <x:c r="E21" s="4" t="str">
        <x:v>2.2.0</x:v>
      </x:c>
      <x:c r="F21" s="4" t="str">
        <x:v>elements / IO-WRL-006</x:v>
      </x:c>
      <x:c r="G21" s="4" t="str">
        <x:v>JSON_ORIGINAL_UTF8</x:v>
      </x:c>
      <x:c r="H21" s="4" t="str">
        <x:v>18610</x:v>
      </x:c>
      <x:c r="I21" s="4" t="str">
        <x:v>431</x:v>
      </x:c>
      <x:c r="J21" s="4" t="str">
        <x:v>d715331090d65abea1edfd26b80eb33f31876f16f14836d29c868030ed957f63</x:v>
      </x:c>
      <x:c r="K21" s="4" t="str">
        <x:v>2026-09-08</x:v>
      </x:c>
      <x:c r="L21" s="4" t="str">
        <x:v>SIN_FECHA_DE_ADOPCION</x:v>
      </x:c>
      <x:c r="M21" s="12" t="n">
        <x:f>IF(LEN(J21)=64,0,1)</x:f>
        <x:v>0</x:v>
      </x:c>
      <x:c r="N21" s="12" t="n">
        <x:f>IF(COUNTIF('03_NICE'!$A$5:$A$57,A21)+COUNTIF('04_TKS'!$A$5:$A$72,A21)+COUNTIF('05_Complementos'!$A$5:$A$127,A21)=1,0,1)</x:f>
        <x:v>0</x:v>
      </x:c>
      <x:c r="O21" s="12" t="n">
        <x:f>COUNTIF('08_Trazas'!$A$5:$A$248,A21)-1</x:f>
        <x:v>0</x:v>
      </x:c>
      <x:c r="P21" s="12" t="n">
        <x:f>IF(COUNTIF('02_Custodia'!$A$5:$A$53,C21)=1,0,1)</x:f>
        <x:v>0</x:v>
      </x:c>
    </x:row>
    <x:row r="22" ht="47" customHeight="1">
      <x:c r="A22" s="4" t="str">
        <x:v>IO-WRL-007</x:v>
      </x:c>
      <x:c r="B22" s="4" t="str">
        <x:v>F001</x:v>
      </x:c>
      <x:c r="C22" s="4" t="str">
        <x:v>F001</x:v>
      </x:c>
      <x:c r="D22" s="4" t="str">
        <x:v>IO-WRL-007</x:v>
      </x:c>
      <x:c r="E22" s="4" t="str">
        <x:v>2.2.0</x:v>
      </x:c>
      <x:c r="F22" s="4" t="str">
        <x:v>elements / IO-WRL-007</x:v>
      </x:c>
      <x:c r="G22" s="4" t="str">
        <x:v>JSON_ORIGINAL_UTF8</x:v>
      </x:c>
      <x:c r="H22" s="4" t="str">
        <x:v>17196</x:v>
      </x:c>
      <x:c r="I22" s="4" t="str">
        <x:v>418</x:v>
      </x:c>
      <x:c r="J22" s="4" t="str">
        <x:v>b31506784bac92197d61961228d9ce7d83895a0e9a3e783bd36deda4f6e70fd2</x:v>
      </x:c>
      <x:c r="K22" s="4" t="str">
        <x:v>2026-09-08</x:v>
      </x:c>
      <x:c r="L22" s="4" t="str">
        <x:v>SIN_FECHA_DE_ADOPCION</x:v>
      </x:c>
      <x:c r="M22" s="12" t="n">
        <x:f>IF(LEN(J22)=64,0,1)</x:f>
        <x:v>0</x:v>
      </x:c>
      <x:c r="N22" s="12" t="n">
        <x:f>IF(COUNTIF('03_NICE'!$A$5:$A$57,A22)+COUNTIF('04_TKS'!$A$5:$A$72,A22)+COUNTIF('05_Complementos'!$A$5:$A$127,A22)=1,0,1)</x:f>
        <x:v>0</x:v>
      </x:c>
      <x:c r="O22" s="12" t="n">
        <x:f>COUNTIF('08_Trazas'!$A$5:$A$248,A22)-1</x:f>
        <x:v>0</x:v>
      </x:c>
      <x:c r="P22" s="12" t="n">
        <x:f>IF(COUNTIF('02_Custodia'!$A$5:$A$53,C22)=1,0,1)</x:f>
        <x:v>0</x:v>
      </x:c>
    </x:row>
    <x:row r="23" ht="47" customHeight="1">
      <x:c r="A23" s="4" t="str">
        <x:v>OG-WRL-001</x:v>
      </x:c>
      <x:c r="B23" s="4" t="str">
        <x:v>F001</x:v>
      </x:c>
      <x:c r="C23" s="4" t="str">
        <x:v>F001</x:v>
      </x:c>
      <x:c r="D23" s="4" t="str">
        <x:v>OG-WRL-001</x:v>
      </x:c>
      <x:c r="E23" s="4" t="str">
        <x:v>2.2.0</x:v>
      </x:c>
      <x:c r="F23" s="4" t="str">
        <x:v>elements / OG-WRL-001</x:v>
      </x:c>
      <x:c r="G23" s="4" t="str">
        <x:v>JSON_ORIGINAL_UTF8</x:v>
      </x:c>
      <x:c r="H23" s="4" t="str">
        <x:v>13241</x:v>
      </x:c>
      <x:c r="I23" s="4" t="str">
        <x:v>332</x:v>
      </x:c>
      <x:c r="J23" s="4" t="str">
        <x:v>632b4a35b6b4fae58a5b9fba1e0f78fc9d80b4ef5d318cd12084ba554fb38b6a</x:v>
      </x:c>
      <x:c r="K23" s="4" t="str">
        <x:v>2026-09-08</x:v>
      </x:c>
      <x:c r="L23" s="4" t="str">
        <x:v>SIN_FECHA_DE_ADOPCION</x:v>
      </x:c>
      <x:c r="M23" s="12" t="n">
        <x:f>IF(LEN(J23)=64,0,1)</x:f>
        <x:v>0</x:v>
      </x:c>
      <x:c r="N23" s="12" t="n">
        <x:f>IF(COUNTIF('03_NICE'!$A$5:$A$57,A23)+COUNTIF('04_TKS'!$A$5:$A$72,A23)+COUNTIF('05_Complementos'!$A$5:$A$127,A23)=1,0,1)</x:f>
        <x:v>0</x:v>
      </x:c>
      <x:c r="O23" s="12" t="n">
        <x:f>COUNTIF('08_Trazas'!$A$5:$A$248,A23)-1</x:f>
        <x:v>0</x:v>
      </x:c>
      <x:c r="P23" s="12" t="n">
        <x:f>IF(COUNTIF('02_Custodia'!$A$5:$A$53,C23)=1,0,1)</x:f>
        <x:v>0</x:v>
      </x:c>
    </x:row>
    <x:row r="24" ht="47" customHeight="1">
      <x:c r="A24" s="4" t="str">
        <x:v>OG-WRL-002</x:v>
      </x:c>
      <x:c r="B24" s="4" t="str">
        <x:v>F001</x:v>
      </x:c>
      <x:c r="C24" s="4" t="str">
        <x:v>F001</x:v>
      </x:c>
      <x:c r="D24" s="4" t="str">
        <x:v>OG-WRL-002</x:v>
      </x:c>
      <x:c r="E24" s="4" t="str">
        <x:v>2.2.0</x:v>
      </x:c>
      <x:c r="F24" s="4" t="str">
        <x:v>elements / OG-WRL-002</x:v>
      </x:c>
      <x:c r="G24" s="4" t="str">
        <x:v>JSON_ORIGINAL_UTF8</x:v>
      </x:c>
      <x:c r="H24" s="4" t="str">
        <x:v>19489</x:v>
      </x:c>
      <x:c r="I24" s="4" t="str">
        <x:v>409</x:v>
      </x:c>
      <x:c r="J24" s="4" t="str">
        <x:v>dd4bb3b6a96b7b0e6ab59a8a903b8f3507f155f2a1ee5f064d3cc4fe17b41ac0</x:v>
      </x:c>
      <x:c r="K24" s="4" t="str">
        <x:v>2026-09-08</x:v>
      </x:c>
      <x:c r="L24" s="4" t="str">
        <x:v>SIN_FECHA_DE_ADOPCION</x:v>
      </x:c>
      <x:c r="M24" s="12" t="n">
        <x:f>IF(LEN(J24)=64,0,1)</x:f>
        <x:v>0</x:v>
      </x:c>
      <x:c r="N24" s="12" t="n">
        <x:f>IF(COUNTIF('03_NICE'!$A$5:$A$57,A24)+COUNTIF('04_TKS'!$A$5:$A$72,A24)+COUNTIF('05_Complementos'!$A$5:$A$127,A24)=1,0,1)</x:f>
        <x:v>0</x:v>
      </x:c>
      <x:c r="O24" s="12" t="n">
        <x:f>COUNTIF('08_Trazas'!$A$5:$A$248,A24)-1</x:f>
        <x:v>0</x:v>
      </x:c>
      <x:c r="P24" s="12" t="n">
        <x:f>IF(COUNTIF('02_Custodia'!$A$5:$A$53,C24)=1,0,1)</x:f>
        <x:v>0</x:v>
      </x:c>
    </x:row>
    <x:row r="25" ht="47" customHeight="1">
      <x:c r="A25" s="4" t="str">
        <x:v>OG-WRL-003</x:v>
      </x:c>
      <x:c r="B25" s="4" t="str">
        <x:v>F001</x:v>
      </x:c>
      <x:c r="C25" s="4" t="str">
        <x:v>F001</x:v>
      </x:c>
      <x:c r="D25" s="4" t="str">
        <x:v>OG-WRL-003</x:v>
      </x:c>
      <x:c r="E25" s="4" t="str">
        <x:v>2.2.0</x:v>
      </x:c>
      <x:c r="F25" s="4" t="str">
        <x:v>elements / OG-WRL-003</x:v>
      </x:c>
      <x:c r="G25" s="4" t="str">
        <x:v>JSON_ORIGINAL_UTF8</x:v>
      </x:c>
      <x:c r="H25" s="4" t="str">
        <x:v>16198</x:v>
      </x:c>
      <x:c r="I25" s="4" t="str">
        <x:v>665</x:v>
      </x:c>
      <x:c r="J25" s="4" t="str">
        <x:v>455b08466f80f81430645bba0466e8ff8b35366ddc3d500bc3e7f204a4953e19</x:v>
      </x:c>
      <x:c r="K25" s="4" t="str">
        <x:v>2026-09-08</x:v>
      </x:c>
      <x:c r="L25" s="4" t="str">
        <x:v>SIN_FECHA_DE_ADOPCION</x:v>
      </x:c>
      <x:c r="M25" s="12" t="n">
        <x:f>IF(LEN(J25)=64,0,1)</x:f>
        <x:v>0</x:v>
      </x:c>
      <x:c r="N25" s="12" t="n">
        <x:f>IF(COUNTIF('03_NICE'!$A$5:$A$57,A25)+COUNTIF('04_TKS'!$A$5:$A$72,A25)+COUNTIF('05_Complementos'!$A$5:$A$127,A25)=1,0,1)</x:f>
        <x:v>0</x:v>
      </x:c>
      <x:c r="O25" s="12" t="n">
        <x:f>COUNTIF('08_Trazas'!$A$5:$A$248,A25)-1</x:f>
        <x:v>0</x:v>
      </x:c>
      <x:c r="P25" s="12" t="n">
        <x:f>IF(COUNTIF('02_Custodia'!$A$5:$A$53,C25)=1,0,1)</x:f>
        <x:v>0</x:v>
      </x:c>
    </x:row>
    <x:row r="26" ht="47" customHeight="1">
      <x:c r="A26" s="4" t="str">
        <x:v>OG-WRL-004</x:v>
      </x:c>
      <x:c r="B26" s="4" t="str">
        <x:v>F001</x:v>
      </x:c>
      <x:c r="C26" s="4" t="str">
        <x:v>F001</x:v>
      </x:c>
      <x:c r="D26" s="4" t="str">
        <x:v>OG-WRL-004</x:v>
      </x:c>
      <x:c r="E26" s="4" t="str">
        <x:v>2.2.0</x:v>
      </x:c>
      <x:c r="F26" s="4" t="str">
        <x:v>elements / OG-WRL-004</x:v>
      </x:c>
      <x:c r="G26" s="4" t="str">
        <x:v>JSON_ORIGINAL_UTF8</x:v>
      </x:c>
      <x:c r="H26" s="4" t="str">
        <x:v>19051</x:v>
      </x:c>
      <x:c r="I26" s="4" t="str">
        <x:v>428</x:v>
      </x:c>
      <x:c r="J26" s="4" t="str">
        <x:v>9c70cf7721171ccbdf8ef45f103c399051991c76390da9aa1a4148d085f8a6ac</x:v>
      </x:c>
      <x:c r="K26" s="4" t="str">
        <x:v>2026-09-08</x:v>
      </x:c>
      <x:c r="L26" s="4" t="str">
        <x:v>SIN_FECHA_DE_ADOPCION</x:v>
      </x:c>
      <x:c r="M26" s="12" t="n">
        <x:f>IF(LEN(J26)=64,0,1)</x:f>
        <x:v>0</x:v>
      </x:c>
      <x:c r="N26" s="12" t="n">
        <x:f>IF(COUNTIF('03_NICE'!$A$5:$A$57,A26)+COUNTIF('04_TKS'!$A$5:$A$72,A26)+COUNTIF('05_Complementos'!$A$5:$A$127,A26)=1,0,1)</x:f>
        <x:v>0</x:v>
      </x:c>
      <x:c r="O26" s="12" t="n">
        <x:f>COUNTIF('08_Trazas'!$A$5:$A$248,A26)-1</x:f>
        <x:v>0</x:v>
      </x:c>
      <x:c r="P26" s="12" t="n">
        <x:f>IF(COUNTIF('02_Custodia'!$A$5:$A$53,C26)=1,0,1)</x:f>
        <x:v>0</x:v>
      </x:c>
    </x:row>
    <x:row r="27" ht="47" customHeight="1">
      <x:c r="A27" s="4" t="str">
        <x:v>OG-WRL-005</x:v>
      </x:c>
      <x:c r="B27" s="4" t="str">
        <x:v>F001</x:v>
      </x:c>
      <x:c r="C27" s="4" t="str">
        <x:v>F001</x:v>
      </x:c>
      <x:c r="D27" s="4" t="str">
        <x:v>OG-WRL-005</x:v>
      </x:c>
      <x:c r="E27" s="4" t="str">
        <x:v>2.2.0</x:v>
      </x:c>
      <x:c r="F27" s="4" t="str">
        <x:v>elements / OG-WRL-005</x:v>
      </x:c>
      <x:c r="G27" s="4" t="str">
        <x:v>JSON_ORIGINAL_UTF8</x:v>
      </x:c>
      <x:c r="H27" s="4" t="str">
        <x:v>16873</x:v>
      </x:c>
      <x:c r="I27" s="4" t="str">
        <x:v>313</x:v>
      </x:c>
      <x:c r="J27" s="4" t="str">
        <x:v>45eb4109c9336897dfdccddf2a7ccab110ad4ddf218962dfc7a672d7a6cc2c21</x:v>
      </x:c>
      <x:c r="K27" s="4" t="str">
        <x:v>2026-09-08</x:v>
      </x:c>
      <x:c r="L27" s="4" t="str">
        <x:v>SIN_FECHA_DE_ADOPCION</x:v>
      </x:c>
      <x:c r="M27" s="12" t="n">
        <x:f>IF(LEN(J27)=64,0,1)</x:f>
        <x:v>0</x:v>
      </x:c>
      <x:c r="N27" s="12" t="n">
        <x:f>IF(COUNTIF('03_NICE'!$A$5:$A$57,A27)+COUNTIF('04_TKS'!$A$5:$A$72,A27)+COUNTIF('05_Complementos'!$A$5:$A$127,A27)=1,0,1)</x:f>
        <x:v>0</x:v>
      </x:c>
      <x:c r="O27" s="12" t="n">
        <x:f>COUNTIF('08_Trazas'!$A$5:$A$248,A27)-1</x:f>
        <x:v>0</x:v>
      </x:c>
      <x:c r="P27" s="12" t="n">
        <x:f>IF(COUNTIF('02_Custodia'!$A$5:$A$53,C27)=1,0,1)</x:f>
        <x:v>0</x:v>
      </x:c>
    </x:row>
    <x:row r="28" ht="47" customHeight="1">
      <x:c r="A28" s="4" t="str">
        <x:v>OG-WRL-006</x:v>
      </x:c>
      <x:c r="B28" s="4" t="str">
        <x:v>F001</x:v>
      </x:c>
      <x:c r="C28" s="4" t="str">
        <x:v>F001</x:v>
      </x:c>
      <x:c r="D28" s="4" t="str">
        <x:v>OG-WRL-006</x:v>
      </x:c>
      <x:c r="E28" s="4" t="str">
        <x:v>2.2.0</x:v>
      </x:c>
      <x:c r="F28" s="4" t="str">
        <x:v>elements / OG-WRL-006</x:v>
      </x:c>
      <x:c r="G28" s="4" t="str">
        <x:v>JSON_ORIGINAL_UTF8</x:v>
      </x:c>
      <x:c r="H28" s="4" t="str">
        <x:v>15833</x:v>
      </x:c>
      <x:c r="I28" s="4" t="str">
        <x:v>355</x:v>
      </x:c>
      <x:c r="J28" s="4" t="str">
        <x:v>5267f07e019a90f294914692d859b49da8643cc00b5d3a574187cbac4dc0212e</x:v>
      </x:c>
      <x:c r="K28" s="4" t="str">
        <x:v>2026-09-08</x:v>
      </x:c>
      <x:c r="L28" s="4" t="str">
        <x:v>SIN_FECHA_DE_ADOPCION</x:v>
      </x:c>
      <x:c r="M28" s="12" t="n">
        <x:f>IF(LEN(J28)=64,0,1)</x:f>
        <x:v>0</x:v>
      </x:c>
      <x:c r="N28" s="12" t="n">
        <x:f>IF(COUNTIF('03_NICE'!$A$5:$A$57,A28)+COUNTIF('04_TKS'!$A$5:$A$72,A28)+COUNTIF('05_Complementos'!$A$5:$A$127,A28)=1,0,1)</x:f>
        <x:v>0</x:v>
      </x:c>
      <x:c r="O28" s="12" t="n">
        <x:f>COUNTIF('08_Trazas'!$A$5:$A$248,A28)-1</x:f>
        <x:v>0</x:v>
      </x:c>
      <x:c r="P28" s="12" t="n">
        <x:f>IF(COUNTIF('02_Custodia'!$A$5:$A$53,C28)=1,0,1)</x:f>
        <x:v>0</x:v>
      </x:c>
    </x:row>
    <x:row r="29" ht="47" customHeight="1">
      <x:c r="A29" s="4" t="str">
        <x:v>OG-WRL-007</x:v>
      </x:c>
      <x:c r="B29" s="4" t="str">
        <x:v>F001</x:v>
      </x:c>
      <x:c r="C29" s="4" t="str">
        <x:v>F001</x:v>
      </x:c>
      <x:c r="D29" s="4" t="str">
        <x:v>OG-WRL-007</x:v>
      </x:c>
      <x:c r="E29" s="4" t="str">
        <x:v>2.2.0</x:v>
      </x:c>
      <x:c r="F29" s="4" t="str">
        <x:v>elements / OG-WRL-007</x:v>
      </x:c>
      <x:c r="G29" s="4" t="str">
        <x:v>JSON_ORIGINAL_UTF8</x:v>
      </x:c>
      <x:c r="H29" s="4" t="str">
        <x:v>14838</x:v>
      </x:c>
      <x:c r="I29" s="4" t="str">
        <x:v>532</x:v>
      </x:c>
      <x:c r="J29" s="4" t="str">
        <x:v>53e9b51dad81cf1c8d1ea713c92ed044f9495d702a52f9a7b1cf11c67529d97f</x:v>
      </x:c>
      <x:c r="K29" s="4" t="str">
        <x:v>2026-09-08</x:v>
      </x:c>
      <x:c r="L29" s="4" t="str">
        <x:v>SIN_FECHA_DE_ADOPCION</x:v>
      </x:c>
      <x:c r="M29" s="12" t="n">
        <x:f>IF(LEN(J29)=64,0,1)</x:f>
        <x:v>0</x:v>
      </x:c>
      <x:c r="N29" s="12" t="n">
        <x:f>IF(COUNTIF('03_NICE'!$A$5:$A$57,A29)+COUNTIF('04_TKS'!$A$5:$A$72,A29)+COUNTIF('05_Complementos'!$A$5:$A$127,A29)=1,0,1)</x:f>
        <x:v>0</x:v>
      </x:c>
      <x:c r="O29" s="12" t="n">
        <x:f>COUNTIF('08_Trazas'!$A$5:$A$248,A29)-1</x:f>
        <x:v>0</x:v>
      </x:c>
      <x:c r="P29" s="12" t="n">
        <x:f>IF(COUNTIF('02_Custodia'!$A$5:$A$53,C29)=1,0,1)</x:f>
        <x:v>0</x:v>
      </x:c>
    </x:row>
    <x:row r="30" ht="47" customHeight="1">
      <x:c r="A30" s="4" t="str">
        <x:v>OG-WRL-008</x:v>
      </x:c>
      <x:c r="B30" s="4" t="str">
        <x:v>F001</x:v>
      </x:c>
      <x:c r="C30" s="4" t="str">
        <x:v>F001</x:v>
      </x:c>
      <x:c r="D30" s="4" t="str">
        <x:v>OG-WRL-008</x:v>
      </x:c>
      <x:c r="E30" s="4" t="str">
        <x:v>2.2.0</x:v>
      </x:c>
      <x:c r="F30" s="4" t="str">
        <x:v>elements / OG-WRL-008</x:v>
      </x:c>
      <x:c r="G30" s="4" t="str">
        <x:v>JSON_ORIGINAL_UTF8</x:v>
      </x:c>
      <x:c r="H30" s="4" t="str">
        <x:v>14409</x:v>
      </x:c>
      <x:c r="I30" s="4" t="str">
        <x:v>419</x:v>
      </x:c>
      <x:c r="J30" s="4" t="str">
        <x:v>bc4229a927bbd3f3b7d533a8c435568460a6671cab22f4440e86b299d8e97aae</x:v>
      </x:c>
      <x:c r="K30" s="4" t="str">
        <x:v>2026-09-08</x:v>
      </x:c>
      <x:c r="L30" s="4" t="str">
        <x:v>SIN_FECHA_DE_ADOPCION</x:v>
      </x:c>
      <x:c r="M30" s="12" t="n">
        <x:f>IF(LEN(J30)=64,0,1)</x:f>
        <x:v>0</x:v>
      </x:c>
      <x:c r="N30" s="12" t="n">
        <x:f>IF(COUNTIF('03_NICE'!$A$5:$A$57,A30)+COUNTIF('04_TKS'!$A$5:$A$72,A30)+COUNTIF('05_Complementos'!$A$5:$A$127,A30)=1,0,1)</x:f>
        <x:v>0</x:v>
      </x:c>
      <x:c r="O30" s="12" t="n">
        <x:f>COUNTIF('08_Trazas'!$A$5:$A$248,A30)-1</x:f>
        <x:v>0</x:v>
      </x:c>
      <x:c r="P30" s="12" t="n">
        <x:f>IF(COUNTIF('02_Custodia'!$A$5:$A$53,C30)=1,0,1)</x:f>
        <x:v>0</x:v>
      </x:c>
    </x:row>
    <x:row r="31" ht="47" customHeight="1">
      <x:c r="A31" s="4" t="str">
        <x:v>OG-WRL-009</x:v>
      </x:c>
      <x:c r="B31" s="4" t="str">
        <x:v>F001</x:v>
      </x:c>
      <x:c r="C31" s="4" t="str">
        <x:v>F001</x:v>
      </x:c>
      <x:c r="D31" s="4" t="str">
        <x:v>OG-WRL-009</x:v>
      </x:c>
      <x:c r="E31" s="4" t="str">
        <x:v>2.2.0</x:v>
      </x:c>
      <x:c r="F31" s="4" t="str">
        <x:v>elements / OG-WRL-009</x:v>
      </x:c>
      <x:c r="G31" s="4" t="str">
        <x:v>JSON_ORIGINAL_UTF8</x:v>
      </x:c>
      <x:c r="H31" s="4" t="str">
        <x:v>15380</x:v>
      </x:c>
      <x:c r="I31" s="4" t="str">
        <x:v>443</x:v>
      </x:c>
      <x:c r="J31" s="4" t="str">
        <x:v>9ec7ef50eb5f1a1683fcc6c5240d642383977557e0a993f938b74d4f245e2833</x:v>
      </x:c>
      <x:c r="K31" s="4" t="str">
        <x:v>2026-09-08</x:v>
      </x:c>
      <x:c r="L31" s="4" t="str">
        <x:v>SIN_FECHA_DE_ADOPCION</x:v>
      </x:c>
      <x:c r="M31" s="12" t="n">
        <x:f>IF(LEN(J31)=64,0,1)</x:f>
        <x:v>0</x:v>
      </x:c>
      <x:c r="N31" s="12" t="n">
        <x:f>IF(COUNTIF('03_NICE'!$A$5:$A$57,A31)+COUNTIF('04_TKS'!$A$5:$A$72,A31)+COUNTIF('05_Complementos'!$A$5:$A$127,A31)=1,0,1)</x:f>
        <x:v>0</x:v>
      </x:c>
      <x:c r="O31" s="12" t="n">
        <x:f>COUNTIF('08_Trazas'!$A$5:$A$248,A31)-1</x:f>
        <x:v>0</x:v>
      </x:c>
      <x:c r="P31" s="12" t="n">
        <x:f>IF(COUNTIF('02_Custodia'!$A$5:$A$53,C31)=1,0,1)</x:f>
        <x:v>0</x:v>
      </x:c>
    </x:row>
    <x:row r="32" ht="47" customHeight="1">
      <x:c r="A32" s="4" t="str">
        <x:v>OG-WRL-010</x:v>
      </x:c>
      <x:c r="B32" s="4" t="str">
        <x:v>F001</x:v>
      </x:c>
      <x:c r="C32" s="4" t="str">
        <x:v>F001</x:v>
      </x:c>
      <x:c r="D32" s="4" t="str">
        <x:v>OG-WRL-010</x:v>
      </x:c>
      <x:c r="E32" s="4" t="str">
        <x:v>2.2.0</x:v>
      </x:c>
      <x:c r="F32" s="4" t="str">
        <x:v>elements / OG-WRL-010</x:v>
      </x:c>
      <x:c r="G32" s="4" t="str">
        <x:v>JSON_ORIGINAL_UTF8</x:v>
      </x:c>
      <x:c r="H32" s="4" t="str">
        <x:v>13993</x:v>
      </x:c>
      <x:c r="I32" s="4" t="str">
        <x:v>406</x:v>
      </x:c>
      <x:c r="J32" s="4" t="str">
        <x:v>f043df29bcf440f31adbc826959de2c97a5defad0005180a95fadecea720cb8e</x:v>
      </x:c>
      <x:c r="K32" s="4" t="str">
        <x:v>2026-09-08</x:v>
      </x:c>
      <x:c r="L32" s="4" t="str">
        <x:v>SIN_FECHA_DE_ADOPCION</x:v>
      </x:c>
      <x:c r="M32" s="12" t="n">
        <x:f>IF(LEN(J32)=64,0,1)</x:f>
        <x:v>0</x:v>
      </x:c>
      <x:c r="N32" s="12" t="n">
        <x:f>IF(COUNTIF('03_NICE'!$A$5:$A$57,A32)+COUNTIF('04_TKS'!$A$5:$A$72,A32)+COUNTIF('05_Complementos'!$A$5:$A$127,A32)=1,0,1)</x:f>
        <x:v>0</x:v>
      </x:c>
      <x:c r="O32" s="12" t="n">
        <x:f>COUNTIF('08_Trazas'!$A$5:$A$248,A32)-1</x:f>
        <x:v>0</x:v>
      </x:c>
      <x:c r="P32" s="12" t="n">
        <x:f>IF(COUNTIF('02_Custodia'!$A$5:$A$53,C32)=1,0,1)</x:f>
        <x:v>0</x:v>
      </x:c>
    </x:row>
    <x:row r="33" ht="47" customHeight="1">
      <x:c r="A33" s="4" t="str">
        <x:v>OG-WRL-011</x:v>
      </x:c>
      <x:c r="B33" s="4" t="str">
        <x:v>F001</x:v>
      </x:c>
      <x:c r="C33" s="4" t="str">
        <x:v>F001</x:v>
      </x:c>
      <x:c r="D33" s="4" t="str">
        <x:v>OG-WRL-011</x:v>
      </x:c>
      <x:c r="E33" s="4" t="str">
        <x:v>2.2.0</x:v>
      </x:c>
      <x:c r="F33" s="4" t="str">
        <x:v>elements / OG-WRL-011</x:v>
      </x:c>
      <x:c r="G33" s="4" t="str">
        <x:v>JSON_ORIGINAL_UTF8</x:v>
      </x:c>
      <x:c r="H33" s="4" t="str">
        <x:v>12221</x:v>
      </x:c>
      <x:c r="I33" s="4" t="str">
        <x:v>543</x:v>
      </x:c>
      <x:c r="J33" s="4" t="str">
        <x:v>830c362d0be99510cdf77cf958608e7ecb0ccb1e11ba29240fd8e93f35e3ba54</x:v>
      </x:c>
      <x:c r="K33" s="4" t="str">
        <x:v>2026-09-08</x:v>
      </x:c>
      <x:c r="L33" s="4" t="str">
        <x:v>SIN_FECHA_DE_ADOPCION</x:v>
      </x:c>
      <x:c r="M33" s="12" t="n">
        <x:f>IF(LEN(J33)=64,0,1)</x:f>
        <x:v>0</x:v>
      </x:c>
      <x:c r="N33" s="12" t="n">
        <x:f>IF(COUNTIF('03_NICE'!$A$5:$A$57,A33)+COUNTIF('04_TKS'!$A$5:$A$72,A33)+COUNTIF('05_Complementos'!$A$5:$A$127,A33)=1,0,1)</x:f>
        <x:v>0</x:v>
      </x:c>
      <x:c r="O33" s="12" t="n">
        <x:f>COUNTIF('08_Trazas'!$A$5:$A$248,A33)-1</x:f>
        <x:v>0</x:v>
      </x:c>
      <x:c r="P33" s="12" t="n">
        <x:f>IF(COUNTIF('02_Custodia'!$A$5:$A$53,C33)=1,0,1)</x:f>
        <x:v>0</x:v>
      </x:c>
    </x:row>
    <x:row r="34" ht="47" customHeight="1">
      <x:c r="A34" s="4" t="str">
        <x:v>OG-WRL-012</x:v>
      </x:c>
      <x:c r="B34" s="4" t="str">
        <x:v>F001</x:v>
      </x:c>
      <x:c r="C34" s="4" t="str">
        <x:v>F001</x:v>
      </x:c>
      <x:c r="D34" s="4" t="str">
        <x:v>OG-WRL-012</x:v>
      </x:c>
      <x:c r="E34" s="4" t="str">
        <x:v>2.2.0</x:v>
      </x:c>
      <x:c r="F34" s="4" t="str">
        <x:v>elements / OG-WRL-012</x:v>
      </x:c>
      <x:c r="G34" s="4" t="str">
        <x:v>JSON_ORIGINAL_UTF8</x:v>
      </x:c>
      <x:c r="H34" s="4" t="str">
        <x:v>12774</x:v>
      </x:c>
      <x:c r="I34" s="4" t="str">
        <x:v>457</x:v>
      </x:c>
      <x:c r="J34" s="4" t="str">
        <x:v>c6c9402000239549c0d5a6c4f31fe5b12f71356e68fab903f68fe5a3175456fa</x:v>
      </x:c>
      <x:c r="K34" s="4" t="str">
        <x:v>2026-09-08</x:v>
      </x:c>
      <x:c r="L34" s="4" t="str">
        <x:v>SIN_FECHA_DE_ADOPCION</x:v>
      </x:c>
      <x:c r="M34" s="12" t="n">
        <x:f>IF(LEN(J34)=64,0,1)</x:f>
        <x:v>0</x:v>
      </x:c>
      <x:c r="N34" s="12" t="n">
        <x:f>IF(COUNTIF('03_NICE'!$A$5:$A$57,A34)+COUNTIF('04_TKS'!$A$5:$A$72,A34)+COUNTIF('05_Complementos'!$A$5:$A$127,A34)=1,0,1)</x:f>
        <x:v>0</x:v>
      </x:c>
      <x:c r="O34" s="12" t="n">
        <x:f>COUNTIF('08_Trazas'!$A$5:$A$248,A34)-1</x:f>
        <x:v>0</x:v>
      </x:c>
      <x:c r="P34" s="12" t="n">
        <x:f>IF(COUNTIF('02_Custodia'!$A$5:$A$53,C34)=1,0,1)</x:f>
        <x:v>0</x:v>
      </x:c>
    </x:row>
    <x:row r="35" ht="47" customHeight="1">
      <x:c r="A35" s="4" t="str">
        <x:v>OG-WRL-013</x:v>
      </x:c>
      <x:c r="B35" s="4" t="str">
        <x:v>F001</x:v>
      </x:c>
      <x:c r="C35" s="4" t="str">
        <x:v>F001</x:v>
      </x:c>
      <x:c r="D35" s="4" t="str">
        <x:v>OG-WRL-013</x:v>
      </x:c>
      <x:c r="E35" s="4" t="str">
        <x:v>2.2.0</x:v>
      </x:c>
      <x:c r="F35" s="4" t="str">
        <x:v>elements / OG-WRL-013</x:v>
      </x:c>
      <x:c r="G35" s="4" t="str">
        <x:v>JSON_ORIGINAL_UTF8</x:v>
      </x:c>
      <x:c r="H35" s="4" t="str">
        <x:v>13583</x:v>
      </x:c>
      <x:c r="I35" s="4" t="str">
        <x:v>400</x:v>
      </x:c>
      <x:c r="J35" s="4" t="str">
        <x:v>4f6710f77414bfd46b95d8f04d500bc4d1e047f6c21d56204a0d5f12e62813e1</x:v>
      </x:c>
      <x:c r="K35" s="4" t="str">
        <x:v>2026-09-08</x:v>
      </x:c>
      <x:c r="L35" s="4" t="str">
        <x:v>SIN_FECHA_DE_ADOPCION</x:v>
      </x:c>
      <x:c r="M35" s="12" t="n">
        <x:f>IF(LEN(J35)=64,0,1)</x:f>
        <x:v>0</x:v>
      </x:c>
      <x:c r="N35" s="12" t="n">
        <x:f>IF(COUNTIF('03_NICE'!$A$5:$A$57,A35)+COUNTIF('04_TKS'!$A$5:$A$72,A35)+COUNTIF('05_Complementos'!$A$5:$A$127,A35)=1,0,1)</x:f>
        <x:v>0</x:v>
      </x:c>
      <x:c r="O35" s="12" t="n">
        <x:f>COUNTIF('08_Trazas'!$A$5:$A$248,A35)-1</x:f>
        <x:v>0</x:v>
      </x:c>
      <x:c r="P35" s="12" t="n">
        <x:f>IF(COUNTIF('02_Custodia'!$A$5:$A$53,C35)=1,0,1)</x:f>
        <x:v>0</x:v>
      </x:c>
    </x:row>
    <x:row r="36" ht="47" customHeight="1">
      <x:c r="A36" s="4" t="str">
        <x:v>OG-WRL-014</x:v>
      </x:c>
      <x:c r="B36" s="4" t="str">
        <x:v>F001</x:v>
      </x:c>
      <x:c r="C36" s="4" t="str">
        <x:v>F001</x:v>
      </x:c>
      <x:c r="D36" s="4" t="str">
        <x:v>OG-WRL-014</x:v>
      </x:c>
      <x:c r="E36" s="4" t="str">
        <x:v>2.2.0</x:v>
      </x:c>
      <x:c r="F36" s="4" t="str">
        <x:v>elements / OG-WRL-014</x:v>
      </x:c>
      <x:c r="G36" s="4" t="str">
        <x:v>JSON_ORIGINAL_UTF8</x:v>
      </x:c>
      <x:c r="H36" s="4" t="str">
        <x:v>11146</x:v>
      </x:c>
      <x:c r="I36" s="4" t="str">
        <x:v>315</x:v>
      </x:c>
      <x:c r="J36" s="4" t="str">
        <x:v>b41e0cbd71113e30fe01f1b56bb83b9b28746baabca8183a2e02227a9501ece8</x:v>
      </x:c>
      <x:c r="K36" s="4" t="str">
        <x:v>2026-09-08</x:v>
      </x:c>
      <x:c r="L36" s="4" t="str">
        <x:v>SIN_FECHA_DE_ADOPCION</x:v>
      </x:c>
      <x:c r="M36" s="12" t="n">
        <x:f>IF(LEN(J36)=64,0,1)</x:f>
        <x:v>0</x:v>
      </x:c>
      <x:c r="N36" s="12" t="n">
        <x:f>IF(COUNTIF('03_NICE'!$A$5:$A$57,A36)+COUNTIF('04_TKS'!$A$5:$A$72,A36)+COUNTIF('05_Complementos'!$A$5:$A$127,A36)=1,0,1)</x:f>
        <x:v>0</x:v>
      </x:c>
      <x:c r="O36" s="12" t="n">
        <x:f>COUNTIF('08_Trazas'!$A$5:$A$248,A36)-1</x:f>
        <x:v>0</x:v>
      </x:c>
      <x:c r="P36" s="12" t="n">
        <x:f>IF(COUNTIF('02_Custodia'!$A$5:$A$53,C36)=1,0,1)</x:f>
        <x:v>0</x:v>
      </x:c>
    </x:row>
    <x:row r="37" ht="47" customHeight="1">
      <x:c r="A37" s="4" t="str">
        <x:v>OG-WRL-015</x:v>
      </x:c>
      <x:c r="B37" s="4" t="str">
        <x:v>F001</x:v>
      </x:c>
      <x:c r="C37" s="4" t="str">
        <x:v>F001</x:v>
      </x:c>
      <x:c r="D37" s="4" t="str">
        <x:v>OG-WRL-015</x:v>
      </x:c>
      <x:c r="E37" s="4" t="str">
        <x:v>2.2.0</x:v>
      </x:c>
      <x:c r="F37" s="4" t="str">
        <x:v>elements / OG-WRL-015</x:v>
      </x:c>
      <x:c r="G37" s="4" t="str">
        <x:v>JSON_ORIGINAL_UTF8</x:v>
      </x:c>
      <x:c r="H37" s="4" t="str">
        <x:v>11848</x:v>
      </x:c>
      <x:c r="I37" s="4" t="str">
        <x:v>363</x:v>
      </x:c>
      <x:c r="J37" s="4" t="str">
        <x:v>2918afdd0ac16fc727fdf3ced6188d8e2202f4c06dabc559186b6bad94739861</x:v>
      </x:c>
      <x:c r="K37" s="4" t="str">
        <x:v>2026-09-08</x:v>
      </x:c>
      <x:c r="L37" s="4" t="str">
        <x:v>SIN_FECHA_DE_ADOPCION</x:v>
      </x:c>
      <x:c r="M37" s="12" t="n">
        <x:f>IF(LEN(J37)=64,0,1)</x:f>
        <x:v>0</x:v>
      </x:c>
      <x:c r="N37" s="12" t="n">
        <x:f>IF(COUNTIF('03_NICE'!$A$5:$A$57,A37)+COUNTIF('04_TKS'!$A$5:$A$72,A37)+COUNTIF('05_Complementos'!$A$5:$A$127,A37)=1,0,1)</x:f>
        <x:v>0</x:v>
      </x:c>
      <x:c r="O37" s="12" t="n">
        <x:f>COUNTIF('08_Trazas'!$A$5:$A$248,A37)-1</x:f>
        <x:v>0</x:v>
      </x:c>
      <x:c r="P37" s="12" t="n">
        <x:f>IF(COUNTIF('02_Custodia'!$A$5:$A$53,C37)=1,0,1)</x:f>
        <x:v>0</x:v>
      </x:c>
    </x:row>
    <x:row r="38" ht="47" customHeight="1">
      <x:c r="A38" s="4" t="str">
        <x:v>OG-WRL-016</x:v>
      </x:c>
      <x:c r="B38" s="4" t="str">
        <x:v>F001</x:v>
      </x:c>
      <x:c r="C38" s="4" t="str">
        <x:v>F001</x:v>
      </x:c>
      <x:c r="D38" s="4" t="str">
        <x:v>OG-WRL-016</x:v>
      </x:c>
      <x:c r="E38" s="4" t="str">
        <x:v>2.2.0</x:v>
      </x:c>
      <x:c r="F38" s="4" t="str">
        <x:v>elements / OG-WRL-016</x:v>
      </x:c>
      <x:c r="G38" s="4" t="str">
        <x:v>JSON_ORIGINAL_UTF8</x:v>
      </x:c>
      <x:c r="H38" s="4" t="str">
        <x:v>11471</x:v>
      </x:c>
      <x:c r="I38" s="4" t="str">
        <x:v>367</x:v>
      </x:c>
      <x:c r="J38" s="4" t="str">
        <x:v>00d9c4867edded95c8044c5e617dd7ad44ad4f2155254a3425b34508c8c1091a</x:v>
      </x:c>
      <x:c r="K38" s="4" t="str">
        <x:v>2026-09-08</x:v>
      </x:c>
      <x:c r="L38" s="4" t="str">
        <x:v>SIN_FECHA_DE_ADOPCION</x:v>
      </x:c>
      <x:c r="M38" s="12" t="n">
        <x:f>IF(LEN(J38)=64,0,1)</x:f>
        <x:v>0</x:v>
      </x:c>
      <x:c r="N38" s="12" t="n">
        <x:f>IF(COUNTIF('03_NICE'!$A$5:$A$57,A38)+COUNTIF('04_TKS'!$A$5:$A$72,A38)+COUNTIF('05_Complementos'!$A$5:$A$127,A38)=1,0,1)</x:f>
        <x:v>0</x:v>
      </x:c>
      <x:c r="O38" s="12" t="n">
        <x:f>COUNTIF('08_Trazas'!$A$5:$A$248,A38)-1</x:f>
        <x:v>0</x:v>
      </x:c>
      <x:c r="P38" s="12" t="n">
        <x:f>IF(COUNTIF('02_Custodia'!$A$5:$A$53,C38)=1,0,1)</x:f>
        <x:v>0</x:v>
      </x:c>
    </x:row>
    <x:row r="39" ht="47" customHeight="1">
      <x:c r="A39" s="4" t="str">
        <x:v>OG-WRL-017</x:v>
      </x:c>
      <x:c r="B39" s="4" t="str">
        <x:v>F001</x:v>
      </x:c>
      <x:c r="C39" s="4" t="str">
        <x:v>F001</x:v>
      </x:c>
      <x:c r="D39" s="4" t="str">
        <x:v>OG-WRL-017</x:v>
      </x:c>
      <x:c r="E39" s="4" t="str">
        <x:v>2.2.0</x:v>
      </x:c>
      <x:c r="F39" s="4" t="str">
        <x:v>elements / OG-WRL-017</x:v>
      </x:c>
      <x:c r="G39" s="4" t="str">
        <x:v>JSON_ORIGINAL_UTF8</x:v>
      </x:c>
      <x:c r="H39" s="4" t="str">
        <x:v>10597</x:v>
      </x:c>
      <x:c r="I39" s="4" t="str">
        <x:v>539</x:v>
      </x:c>
      <x:c r="J39" s="4" t="str">
        <x:v>4315692f500a49510c380decd70594c64311aa4e3586b47aed13676c968caf96</x:v>
      </x:c>
      <x:c r="K39" s="4" t="str">
        <x:v>2026-09-08</x:v>
      </x:c>
      <x:c r="L39" s="4" t="str">
        <x:v>SIN_FECHA_DE_ADOPCION</x:v>
      </x:c>
      <x:c r="M39" s="12" t="n">
        <x:f>IF(LEN(J39)=64,0,1)</x:f>
        <x:v>0</x:v>
      </x:c>
      <x:c r="N39" s="12" t="n">
        <x:f>IF(COUNTIF('03_NICE'!$A$5:$A$57,A39)+COUNTIF('04_TKS'!$A$5:$A$72,A39)+COUNTIF('05_Complementos'!$A$5:$A$127,A39)=1,0,1)</x:f>
        <x:v>0</x:v>
      </x:c>
      <x:c r="O39" s="12" t="n">
        <x:f>COUNTIF('08_Trazas'!$A$5:$A$248,A39)-1</x:f>
        <x:v>0</x:v>
      </x:c>
      <x:c r="P39" s="12" t="n">
        <x:f>IF(COUNTIF('02_Custodia'!$A$5:$A$53,C39)=1,0,1)</x:f>
        <x:v>0</x:v>
      </x:c>
    </x:row>
    <x:row r="40" ht="47" customHeight="1">
      <x:c r="A40" s="4" t="str">
        <x:v>PD-WRL-001</x:v>
      </x:c>
      <x:c r="B40" s="4" t="str">
        <x:v>F001</x:v>
      </x:c>
      <x:c r="C40" s="4" t="str">
        <x:v>F001</x:v>
      </x:c>
      <x:c r="D40" s="4" t="str">
        <x:v>PD-WRL-001</x:v>
      </x:c>
      <x:c r="E40" s="4" t="str">
        <x:v>2.2.0</x:v>
      </x:c>
      <x:c r="F40" s="4" t="str">
        <x:v>elements / PD-WRL-001</x:v>
      </x:c>
      <x:c r="G40" s="4" t="str">
        <x:v>JSON_ORIGINAL_UTF8</x:v>
      </x:c>
      <x:c r="H40" s="4" t="str">
        <x:v>19908</x:v>
      </x:c>
      <x:c r="I40" s="4" t="str">
        <x:v>321</x:v>
      </x:c>
      <x:c r="J40" s="4" t="str">
        <x:v>1229ac870accf47e4e65966b6a7f5086df6a1e0bf396f0f1b80839d9d8c793f8</x:v>
      </x:c>
      <x:c r="K40" s="4" t="str">
        <x:v>2026-09-08</x:v>
      </x:c>
      <x:c r="L40" s="4" t="str">
        <x:v>SIN_FECHA_DE_ADOPCION</x:v>
      </x:c>
      <x:c r="M40" s="12" t="n">
        <x:f>IF(LEN(J40)=64,0,1)</x:f>
        <x:v>0</x:v>
      </x:c>
      <x:c r="N40" s="12" t="n">
        <x:f>IF(COUNTIF('03_NICE'!$A$5:$A$57,A40)+COUNTIF('04_TKS'!$A$5:$A$72,A40)+COUNTIF('05_Complementos'!$A$5:$A$127,A40)=1,0,1)</x:f>
        <x:v>0</x:v>
      </x:c>
      <x:c r="O40" s="12" t="n">
        <x:f>COUNTIF('08_Trazas'!$A$5:$A$248,A40)-1</x:f>
        <x:v>0</x:v>
      </x:c>
      <x:c r="P40" s="12" t="n">
        <x:f>IF(COUNTIF('02_Custodia'!$A$5:$A$53,C40)=1,0,1)</x:f>
        <x:v>0</x:v>
      </x:c>
    </x:row>
    <x:row r="41" ht="47" customHeight="1">
      <x:c r="A41" s="4" t="str">
        <x:v>PD-WRL-002</x:v>
      </x:c>
      <x:c r="B41" s="4" t="str">
        <x:v>F001</x:v>
      </x:c>
      <x:c r="C41" s="4" t="str">
        <x:v>F001</x:v>
      </x:c>
      <x:c r="D41" s="4" t="str">
        <x:v>PD-WRL-002</x:v>
      </x:c>
      <x:c r="E41" s="4" t="str">
        <x:v>2.2.0</x:v>
      </x:c>
      <x:c r="F41" s="4" t="str">
        <x:v>elements / PD-WRL-002</x:v>
      </x:c>
      <x:c r="G41" s="4" t="str">
        <x:v>JSON_ORIGINAL_UTF8</x:v>
      </x:c>
      <x:c r="H41" s="4" t="str">
        <x:v>27137</x:v>
      </x:c>
      <x:c r="I41" s="4" t="str">
        <x:v>378</x:v>
      </x:c>
      <x:c r="J41" s="4" t="str">
        <x:v>2646949783525a49282ccc750f2e2a61b31e5f02cfb9dd713dee6155548b60db</x:v>
      </x:c>
      <x:c r="K41" s="4" t="str">
        <x:v>2026-09-08</x:v>
      </x:c>
      <x:c r="L41" s="4" t="str">
        <x:v>SIN_FECHA_DE_ADOPCION</x:v>
      </x:c>
      <x:c r="M41" s="12" t="n">
        <x:f>IF(LEN(J41)=64,0,1)</x:f>
        <x:v>0</x:v>
      </x:c>
      <x:c r="N41" s="12" t="n">
        <x:f>IF(COUNTIF('03_NICE'!$A$5:$A$57,A41)+COUNTIF('04_TKS'!$A$5:$A$72,A41)+COUNTIF('05_Complementos'!$A$5:$A$127,A41)=1,0,1)</x:f>
        <x:v>0</x:v>
      </x:c>
      <x:c r="O41" s="12" t="n">
        <x:f>COUNTIF('08_Trazas'!$A$5:$A$248,A41)-1</x:f>
        <x:v>0</x:v>
      </x:c>
      <x:c r="P41" s="12" t="n">
        <x:f>IF(COUNTIF('02_Custodia'!$A$5:$A$53,C41)=1,0,1)</x:f>
        <x:v>0</x:v>
      </x:c>
    </x:row>
    <x:row r="42" ht="47" customHeight="1">
      <x:c r="A42" s="4" t="str">
        <x:v>PD-WRL-003</x:v>
      </x:c>
      <x:c r="B42" s="4" t="str">
        <x:v>F001</x:v>
      </x:c>
      <x:c r="C42" s="4" t="str">
        <x:v>F001</x:v>
      </x:c>
      <x:c r="D42" s="4" t="str">
        <x:v>PD-WRL-003</x:v>
      </x:c>
      <x:c r="E42" s="4" t="str">
        <x:v>2.2.0</x:v>
      </x:c>
      <x:c r="F42" s="4" t="str">
        <x:v>elements / PD-WRL-003</x:v>
      </x:c>
      <x:c r="G42" s="4" t="str">
        <x:v>JSON_ORIGINAL_UTF8</x:v>
      </x:c>
      <x:c r="H42" s="4" t="str">
        <x:v>23992</x:v>
      </x:c>
      <x:c r="I42" s="4" t="str">
        <x:v>307</x:v>
      </x:c>
      <x:c r="J42" s="4" t="str">
        <x:v>81215158773ba5c9fe4d49fe1b6eae387a56ea320975f1de59580147ef14c41f</x:v>
      </x:c>
      <x:c r="K42" s="4" t="str">
        <x:v>2026-09-08</x:v>
      </x:c>
      <x:c r="L42" s="4" t="str">
        <x:v>SIN_FECHA_DE_ADOPCION</x:v>
      </x:c>
      <x:c r="M42" s="12" t="n">
        <x:f>IF(LEN(J42)=64,0,1)</x:f>
        <x:v>0</x:v>
      </x:c>
      <x:c r="N42" s="12" t="n">
        <x:f>IF(COUNTIF('03_NICE'!$A$5:$A$57,A42)+COUNTIF('04_TKS'!$A$5:$A$72,A42)+COUNTIF('05_Complementos'!$A$5:$A$127,A42)=1,0,1)</x:f>
        <x:v>0</x:v>
      </x:c>
      <x:c r="O42" s="12" t="n">
        <x:f>COUNTIF('08_Trazas'!$A$5:$A$248,A42)-1</x:f>
        <x:v>0</x:v>
      </x:c>
      <x:c r="P42" s="12" t="n">
        <x:f>IF(COUNTIF('02_Custodia'!$A$5:$A$53,C42)=1,0,1)</x:f>
        <x:v>0</x:v>
      </x:c>
    </x:row>
    <x:row r="43" ht="47" customHeight="1">
      <x:c r="A43" s="4" t="str">
        <x:v>PD-WRL-004</x:v>
      </x:c>
      <x:c r="B43" s="4" t="str">
        <x:v>F001</x:v>
      </x:c>
      <x:c r="C43" s="4" t="str">
        <x:v>F001</x:v>
      </x:c>
      <x:c r="D43" s="4" t="str">
        <x:v>PD-WRL-004</x:v>
      </x:c>
      <x:c r="E43" s="4" t="str">
        <x:v>2.2.0</x:v>
      </x:c>
      <x:c r="F43" s="4" t="str">
        <x:v>elements / PD-WRL-004</x:v>
      </x:c>
      <x:c r="G43" s="4" t="str">
        <x:v>JSON_ORIGINAL_UTF8</x:v>
      </x:c>
      <x:c r="H43" s="4" t="str">
        <x:v>22736</x:v>
      </x:c>
      <x:c r="I43" s="4" t="str">
        <x:v>356</x:v>
      </x:c>
      <x:c r="J43" s="4" t="str">
        <x:v>ed1192b225a849db6465f654b080e96b3bbda25017a236428e13126261a341d0</x:v>
      </x:c>
      <x:c r="K43" s="4" t="str">
        <x:v>2026-09-08</x:v>
      </x:c>
      <x:c r="L43" s="4" t="str">
        <x:v>SIN_FECHA_DE_ADOPCION</x:v>
      </x:c>
      <x:c r="M43" s="12" t="n">
        <x:f>IF(LEN(J43)=64,0,1)</x:f>
        <x:v>0</x:v>
      </x:c>
      <x:c r="N43" s="12" t="n">
        <x:f>IF(COUNTIF('03_NICE'!$A$5:$A$57,A43)+COUNTIF('04_TKS'!$A$5:$A$72,A43)+COUNTIF('05_Complementos'!$A$5:$A$127,A43)=1,0,1)</x:f>
        <x:v>0</x:v>
      </x:c>
      <x:c r="O43" s="12" t="n">
        <x:f>COUNTIF('08_Trazas'!$A$5:$A$248,A43)-1</x:f>
        <x:v>0</x:v>
      </x:c>
      <x:c r="P43" s="12" t="n">
        <x:f>IF(COUNTIF('02_Custodia'!$A$5:$A$53,C43)=1,0,1)</x:f>
        <x:v>0</x:v>
      </x:c>
    </x:row>
    <x:row r="44" ht="47" customHeight="1">
      <x:c r="A44" s="4" t="str">
        <x:v>PD-WRL-005</x:v>
      </x:c>
      <x:c r="B44" s="4" t="str">
        <x:v>F001</x:v>
      </x:c>
      <x:c r="C44" s="4" t="str">
        <x:v>F001</x:v>
      </x:c>
      <x:c r="D44" s="4" t="str">
        <x:v>PD-WRL-005</x:v>
      </x:c>
      <x:c r="E44" s="4" t="str">
        <x:v>2.2.0</x:v>
      </x:c>
      <x:c r="F44" s="4" t="str">
        <x:v>elements / PD-WRL-005</x:v>
      </x:c>
      <x:c r="G44" s="4" t="str">
        <x:v>JSON_ORIGINAL_UTF8</x:v>
      </x:c>
      <x:c r="H44" s="4" t="str">
        <x:v>22278</x:v>
      </x:c>
      <x:c r="I44" s="4" t="str">
        <x:v>448</x:v>
      </x:c>
      <x:c r="J44" s="4" t="str">
        <x:v>d2af2a2cdcfd24661a36c52971d9fa54c651c414ca79d267474f622187ac9ec7</x:v>
      </x:c>
      <x:c r="K44" s="4" t="str">
        <x:v>2026-09-08</x:v>
      </x:c>
      <x:c r="L44" s="4" t="str">
        <x:v>SIN_FECHA_DE_ADOPCION</x:v>
      </x:c>
      <x:c r="M44" s="12" t="n">
        <x:f>IF(LEN(J44)=64,0,1)</x:f>
        <x:v>0</x:v>
      </x:c>
      <x:c r="N44" s="12" t="n">
        <x:f>IF(COUNTIF('03_NICE'!$A$5:$A$57,A44)+COUNTIF('04_TKS'!$A$5:$A$72,A44)+COUNTIF('05_Complementos'!$A$5:$A$127,A44)=1,0,1)</x:f>
        <x:v>0</x:v>
      </x:c>
      <x:c r="O44" s="12" t="n">
        <x:f>COUNTIF('08_Trazas'!$A$5:$A$248,A44)-1</x:f>
        <x:v>0</x:v>
      </x:c>
      <x:c r="P44" s="12" t="n">
        <x:f>IF(COUNTIF('02_Custodia'!$A$5:$A$53,C44)=1,0,1)</x:f>
        <x:v>0</x:v>
      </x:c>
    </x:row>
    <x:row r="45" ht="47" customHeight="1">
      <x:c r="A45" s="4" t="str">
        <x:v>PD-WRL-006</x:v>
      </x:c>
      <x:c r="B45" s="4" t="str">
        <x:v>F001</x:v>
      </x:c>
      <x:c r="C45" s="4" t="str">
        <x:v>F001</x:v>
      </x:c>
      <x:c r="D45" s="4" t="str">
        <x:v>PD-WRL-006</x:v>
      </x:c>
      <x:c r="E45" s="4" t="str">
        <x:v>2.2.0</x:v>
      </x:c>
      <x:c r="F45" s="4" t="str">
        <x:v>elements / PD-WRL-006</x:v>
      </x:c>
      <x:c r="G45" s="4" t="str">
        <x:v>JSON_ORIGINAL_UTF8</x:v>
      </x:c>
      <x:c r="H45" s="4" t="str">
        <x:v>23552</x:v>
      </x:c>
      <x:c r="I45" s="4" t="str">
        <x:v>430</x:v>
      </x:c>
      <x:c r="J45" s="4" t="str">
        <x:v>79530d197b6294b98b2a85ba8e549296759a6c67c0e0d3433047ad89db66fd3e</x:v>
      </x:c>
      <x:c r="K45" s="4" t="str">
        <x:v>2026-09-08</x:v>
      </x:c>
      <x:c r="L45" s="4" t="str">
        <x:v>SIN_FECHA_DE_ADOPCION</x:v>
      </x:c>
      <x:c r="M45" s="12" t="n">
        <x:f>IF(LEN(J45)=64,0,1)</x:f>
        <x:v>0</x:v>
      </x:c>
      <x:c r="N45" s="12" t="n">
        <x:f>IF(COUNTIF('03_NICE'!$A$5:$A$57,A45)+COUNTIF('04_TKS'!$A$5:$A$72,A45)+COUNTIF('05_Complementos'!$A$5:$A$127,A45)=1,0,1)</x:f>
        <x:v>0</x:v>
      </x:c>
      <x:c r="O45" s="12" t="n">
        <x:f>COUNTIF('08_Trazas'!$A$5:$A$248,A45)-1</x:f>
        <x:v>0</x:v>
      </x:c>
      <x:c r="P45" s="12" t="n">
        <x:f>IF(COUNTIF('02_Custodia'!$A$5:$A$53,C45)=1,0,1)</x:f>
        <x:v>0</x:v>
      </x:c>
    </x:row>
    <x:row r="46" ht="47" customHeight="1">
      <x:c r="A46" s="4" t="str">
        <x:v>PD-WRL-007</x:v>
      </x:c>
      <x:c r="B46" s="4" t="str">
        <x:v>F001</x:v>
      </x:c>
      <x:c r="C46" s="4" t="str">
        <x:v>F001</x:v>
      </x:c>
      <x:c r="D46" s="4" t="str">
        <x:v>PD-WRL-007</x:v>
      </x:c>
      <x:c r="E46" s="4" t="str">
        <x:v>2.2.0</x:v>
      </x:c>
      <x:c r="F46" s="4" t="str">
        <x:v>elements / PD-WRL-007</x:v>
      </x:c>
      <x:c r="G46" s="4" t="str">
        <x:v>JSON_ORIGINAL_UTF8</x:v>
      </x:c>
      <x:c r="H46" s="4" t="str">
        <x:v>23102</x:v>
      </x:c>
      <x:c r="I46" s="4" t="str">
        <x:v>440</x:v>
      </x:c>
      <x:c r="J46" s="4" t="str">
        <x:v>437f4fd73dd18c9b9cbe3526735220d9f6fb554ae7d39847e9cbd8af95c607ba</x:v>
      </x:c>
      <x:c r="K46" s="4" t="str">
        <x:v>2026-09-08</x:v>
      </x:c>
      <x:c r="L46" s="4" t="str">
        <x:v>SIN_FECHA_DE_ADOPCION</x:v>
      </x:c>
      <x:c r="M46" s="12" t="n">
        <x:f>IF(LEN(J46)=64,0,1)</x:f>
        <x:v>0</x:v>
      </x:c>
      <x:c r="N46" s="12" t="n">
        <x:f>IF(COUNTIF('03_NICE'!$A$5:$A$57,A46)+COUNTIF('04_TKS'!$A$5:$A$72,A46)+COUNTIF('05_Complementos'!$A$5:$A$127,A46)=1,0,1)</x:f>
        <x:v>0</x:v>
      </x:c>
      <x:c r="O46" s="12" t="n">
        <x:f>COUNTIF('08_Trazas'!$A$5:$A$248,A46)-1</x:f>
        <x:v>0</x:v>
      </x:c>
      <x:c r="P46" s="12" t="n">
        <x:f>IF(COUNTIF('02_Custodia'!$A$5:$A$53,C46)=1,0,1)</x:f>
        <x:v>0</x:v>
      </x:c>
    </x:row>
    <x:row r="47" ht="47" customHeight="1">
      <x:c r="A47" s="4" t="str">
        <x:v>NF-COM-001</x:v>
      </x:c>
      <x:c r="B47" s="4" t="str">
        <x:v>F001</x:v>
      </x:c>
      <x:c r="C47" s="4" t="str">
        <x:v>F001</x:v>
      </x:c>
      <x:c r="D47" s="4" t="str">
        <x:v>NF-COM-001</x:v>
      </x:c>
      <x:c r="E47" s="4" t="str">
        <x:v>2.2.0</x:v>
      </x:c>
      <x:c r="F47" s="4" t="str">
        <x:v>elements / NF-COM-001</x:v>
      </x:c>
      <x:c r="G47" s="4" t="str">
        <x:v>JSON_ORIGINAL_UTF8</x:v>
      </x:c>
      <x:c r="H47" s="4" t="str">
        <x:v>34728</x:v>
      </x:c>
      <x:c r="I47" s="4" t="str">
        <x:v>474</x:v>
      </x:c>
      <x:c r="J47" s="4" t="str">
        <x:v>64d5d1b1bacb1a145816b1f3d7e6f657c4b8bb31b75a88fa1ad31168213777bc</x:v>
      </x:c>
      <x:c r="K47" s="4" t="str">
        <x:v>2026-09-08</x:v>
      </x:c>
      <x:c r="L47" s="4" t="str">
        <x:v>SIN_FECHA_DE_ADOPCION</x:v>
      </x:c>
      <x:c r="M47" s="12" t="n">
        <x:f>IF(LEN(J47)=64,0,1)</x:f>
        <x:v>0</x:v>
      </x:c>
      <x:c r="N47" s="12" t="n">
        <x:f>IF(COUNTIF('03_NICE'!$A$5:$A$57,A47)+COUNTIF('04_TKS'!$A$5:$A$72,A47)+COUNTIF('05_Complementos'!$A$5:$A$127,A47)=1,0,1)</x:f>
        <x:v>0</x:v>
      </x:c>
      <x:c r="O47" s="12" t="n">
        <x:f>COUNTIF('08_Trazas'!$A$5:$A$248,A47)-1</x:f>
        <x:v>0</x:v>
      </x:c>
      <x:c r="P47" s="12" t="n">
        <x:f>IF(COUNTIF('02_Custodia'!$A$5:$A$53,C47)=1,0,1)</x:f>
        <x:v>0</x:v>
      </x:c>
    </x:row>
    <x:row r="48" ht="47" customHeight="1">
      <x:c r="A48" s="4" t="str">
        <x:v>NF-COM-002</x:v>
      </x:c>
      <x:c r="B48" s="4" t="str">
        <x:v>F001</x:v>
      </x:c>
      <x:c r="C48" s="4" t="str">
        <x:v>F001</x:v>
      </x:c>
      <x:c r="D48" s="4" t="str">
        <x:v>NF-COM-002</x:v>
      </x:c>
      <x:c r="E48" s="4" t="str">
        <x:v>2.2.0</x:v>
      </x:c>
      <x:c r="F48" s="4" t="str">
        <x:v>elements / NF-COM-002</x:v>
      </x:c>
      <x:c r="G48" s="4" t="str">
        <x:v>JSON_ORIGINAL_UTF8</x:v>
      </x:c>
      <x:c r="H48" s="4" t="str">
        <x:v>35212</x:v>
      </x:c>
      <x:c r="I48" s="4" t="str">
        <x:v>462</x:v>
      </x:c>
      <x:c r="J48" s="4" t="str">
        <x:v>346ef7871b824909a509b80f54b699829db9f8e2953e4321c57657f5e57a7f43</x:v>
      </x:c>
      <x:c r="K48" s="4" t="str">
        <x:v>2026-09-08</x:v>
      </x:c>
      <x:c r="L48" s="4" t="str">
        <x:v>SIN_FECHA_DE_ADOPCION</x:v>
      </x:c>
      <x:c r="M48" s="12" t="n">
        <x:f>IF(LEN(J48)=64,0,1)</x:f>
        <x:v>0</x:v>
      </x:c>
      <x:c r="N48" s="12" t="n">
        <x:f>IF(COUNTIF('03_NICE'!$A$5:$A$57,A48)+COUNTIF('04_TKS'!$A$5:$A$72,A48)+COUNTIF('05_Complementos'!$A$5:$A$127,A48)=1,0,1)</x:f>
        <x:v>0</x:v>
      </x:c>
      <x:c r="O48" s="12" t="n">
        <x:f>COUNTIF('08_Trazas'!$A$5:$A$248,A48)-1</x:f>
        <x:v>0</x:v>
      </x:c>
      <x:c r="P48" s="12" t="n">
        <x:f>IF(COUNTIF('02_Custodia'!$A$5:$A$53,C48)=1,0,1)</x:f>
        <x:v>0</x:v>
      </x:c>
    </x:row>
    <x:row r="49" ht="47" customHeight="1">
      <x:c r="A49" s="4" t="str">
        <x:v>NF-COM-003</x:v>
      </x:c>
      <x:c r="B49" s="4" t="str">
        <x:v>F001</x:v>
      </x:c>
      <x:c r="C49" s="4" t="str">
        <x:v>F001</x:v>
      </x:c>
      <x:c r="D49" s="4" t="str">
        <x:v>NF-COM-003</x:v>
      </x:c>
      <x:c r="E49" s="4" t="str">
        <x:v>2.2.0</x:v>
      </x:c>
      <x:c r="F49" s="4" t="str">
        <x:v>elements / NF-COM-003</x:v>
      </x:c>
      <x:c r="G49" s="4" t="str">
        <x:v>JSON_ORIGINAL_UTF8</x:v>
      </x:c>
      <x:c r="H49" s="4" t="str">
        <x:v>33893</x:v>
      </x:c>
      <x:c r="I49" s="4" t="str">
        <x:v>445</x:v>
      </x:c>
      <x:c r="J49" s="4" t="str">
        <x:v>a49e538d9f8ffa06a225ff71e4763a5ec47626f175fb46e4641fc215d042e968</x:v>
      </x:c>
      <x:c r="K49" s="4" t="str">
        <x:v>2026-09-08</x:v>
      </x:c>
      <x:c r="L49" s="4" t="str">
        <x:v>SIN_FECHA_DE_ADOPCION</x:v>
      </x:c>
      <x:c r="M49" s="12" t="n">
        <x:f>IF(LEN(J49)=64,0,1)</x:f>
        <x:v>0</x:v>
      </x:c>
      <x:c r="N49" s="12" t="n">
        <x:f>IF(COUNTIF('03_NICE'!$A$5:$A$57,A49)+COUNTIF('04_TKS'!$A$5:$A$72,A49)+COUNTIF('05_Complementos'!$A$5:$A$127,A49)=1,0,1)</x:f>
        <x:v>0</x:v>
      </x:c>
      <x:c r="O49" s="12" t="n">
        <x:f>COUNTIF('08_Trazas'!$A$5:$A$248,A49)-1</x:f>
        <x:v>0</x:v>
      </x:c>
      <x:c r="P49" s="12" t="n">
        <x:f>IF(COUNTIF('02_Custodia'!$A$5:$A$53,C49)=1,0,1)</x:f>
        <x:v>0</x:v>
      </x:c>
    </x:row>
    <x:row r="50" ht="47" customHeight="1">
      <x:c r="A50" s="4" t="str">
        <x:v>NF-COM-004</x:v>
      </x:c>
      <x:c r="B50" s="4" t="str">
        <x:v>F001</x:v>
      </x:c>
      <x:c r="C50" s="4" t="str">
        <x:v>F001</x:v>
      </x:c>
      <x:c r="D50" s="4" t="str">
        <x:v>NF-COM-004</x:v>
      </x:c>
      <x:c r="E50" s="4" t="str">
        <x:v>2.2.0</x:v>
      </x:c>
      <x:c r="F50" s="4" t="str">
        <x:v>elements / NF-COM-004</x:v>
      </x:c>
      <x:c r="G50" s="4" t="str">
        <x:v>JSON_ORIGINAL_UTF8</x:v>
      </x:c>
      <x:c r="H50" s="4" t="str">
        <x:v>34348</x:v>
      </x:c>
      <x:c r="I50" s="4" t="str">
        <x:v>370</x:v>
      </x:c>
      <x:c r="J50" s="4" t="str">
        <x:v>1c7a2d86d57e5507e4fa221e13f7abcce317503614c3700d76ecd1b827761895</x:v>
      </x:c>
      <x:c r="K50" s="4" t="str">
        <x:v>2026-09-08</x:v>
      </x:c>
      <x:c r="L50" s="4" t="str">
        <x:v>SIN_FECHA_DE_ADOPCION</x:v>
      </x:c>
      <x:c r="M50" s="12" t="n">
        <x:f>IF(LEN(J50)=64,0,1)</x:f>
        <x:v>0</x:v>
      </x:c>
      <x:c r="N50" s="12" t="n">
        <x:f>IF(COUNTIF('03_NICE'!$A$5:$A$57,A50)+COUNTIF('04_TKS'!$A$5:$A$72,A50)+COUNTIF('05_Complementos'!$A$5:$A$127,A50)=1,0,1)</x:f>
        <x:v>0</x:v>
      </x:c>
      <x:c r="O50" s="12" t="n">
        <x:f>COUNTIF('08_Trazas'!$A$5:$A$248,A50)-1</x:f>
        <x:v>0</x:v>
      </x:c>
      <x:c r="P50" s="12" t="n">
        <x:f>IF(COUNTIF('02_Custodia'!$A$5:$A$53,C50)=1,0,1)</x:f>
        <x:v>0</x:v>
      </x:c>
    </x:row>
    <x:row r="51" ht="47" customHeight="1">
      <x:c r="A51" s="4" t="str">
        <x:v>NF-COM-005</x:v>
      </x:c>
      <x:c r="B51" s="4" t="str">
        <x:v>F001</x:v>
      </x:c>
      <x:c r="C51" s="4" t="str">
        <x:v>F001</x:v>
      </x:c>
      <x:c r="D51" s="4" t="str">
        <x:v>NF-COM-005</x:v>
      </x:c>
      <x:c r="E51" s="4" t="str">
        <x:v>2.2.0</x:v>
      </x:c>
      <x:c r="F51" s="4" t="str">
        <x:v>elements / NF-COM-005</x:v>
      </x:c>
      <x:c r="G51" s="4" t="str">
        <x:v>JSON_ORIGINAL_UTF8</x:v>
      </x:c>
      <x:c r="H51" s="4" t="str">
        <x:v>33054</x:v>
      </x:c>
      <x:c r="I51" s="4" t="str">
        <x:v>419</x:v>
      </x:c>
      <x:c r="J51" s="4" t="str">
        <x:v>25c4407c7be4cc0310fc813b92d04ea9eba5583f09c1ed2dc0c1f03a83a3f732</x:v>
      </x:c>
      <x:c r="K51" s="4" t="str">
        <x:v>2026-09-08</x:v>
      </x:c>
      <x:c r="L51" s="4" t="str">
        <x:v>SIN_FECHA_DE_ADOPCION</x:v>
      </x:c>
      <x:c r="M51" s="12" t="n">
        <x:f>IF(LEN(J51)=64,0,1)</x:f>
        <x:v>0</x:v>
      </x:c>
      <x:c r="N51" s="12" t="n">
        <x:f>IF(COUNTIF('03_NICE'!$A$5:$A$57,A51)+COUNTIF('04_TKS'!$A$5:$A$72,A51)+COUNTIF('05_Complementos'!$A$5:$A$127,A51)=1,0,1)</x:f>
        <x:v>0</x:v>
      </x:c>
      <x:c r="O51" s="12" t="n">
        <x:f>COUNTIF('08_Trazas'!$A$5:$A$248,A51)-1</x:f>
        <x:v>0</x:v>
      </x:c>
      <x:c r="P51" s="12" t="n">
        <x:f>IF(COUNTIF('02_Custodia'!$A$5:$A$53,C51)=1,0,1)</x:f>
        <x:v>0</x:v>
      </x:c>
    </x:row>
    <x:row r="52" ht="47" customHeight="1">
      <x:c r="A52" s="4" t="str">
        <x:v>NF-COM-006</x:v>
      </x:c>
      <x:c r="B52" s="4" t="str">
        <x:v>F001</x:v>
      </x:c>
      <x:c r="C52" s="4" t="str">
        <x:v>F001</x:v>
      </x:c>
      <x:c r="D52" s="4" t="str">
        <x:v>NF-COM-006</x:v>
      </x:c>
      <x:c r="E52" s="4" t="str">
        <x:v>2.2.0</x:v>
      </x:c>
      <x:c r="F52" s="4" t="str">
        <x:v>elements / NF-COM-006</x:v>
      </x:c>
      <x:c r="G52" s="4" t="str">
        <x:v>JSON_ORIGINAL_UTF8</x:v>
      </x:c>
      <x:c r="H52" s="4" t="str">
        <x:v>33483</x:v>
      </x:c>
      <x:c r="I52" s="4" t="str">
        <x:v>400</x:v>
      </x:c>
      <x:c r="J52" s="4" t="str">
        <x:v>2ff12382f7022aa3c729249d288f1e38ff8785c173906ee891ab220ec02541cc</x:v>
      </x:c>
      <x:c r="K52" s="4" t="str">
        <x:v>2026-09-08</x:v>
      </x:c>
      <x:c r="L52" s="4" t="str">
        <x:v>SIN_FECHA_DE_ADOPCION</x:v>
      </x:c>
      <x:c r="M52" s="12" t="n">
        <x:f>IF(LEN(J52)=64,0,1)</x:f>
        <x:v>0</x:v>
      </x:c>
      <x:c r="N52" s="12" t="n">
        <x:f>IF(COUNTIF('03_NICE'!$A$5:$A$57,A52)+COUNTIF('04_TKS'!$A$5:$A$72,A52)+COUNTIF('05_Complementos'!$A$5:$A$127,A52)=1,0,1)</x:f>
        <x:v>0</x:v>
      </x:c>
      <x:c r="O52" s="12" t="n">
        <x:f>COUNTIF('08_Trazas'!$A$5:$A$248,A52)-1</x:f>
        <x:v>0</x:v>
      </x:c>
      <x:c r="P52" s="12" t="n">
        <x:f>IF(COUNTIF('02_Custodia'!$A$5:$A$53,C52)=1,0,1)</x:f>
        <x:v>0</x:v>
      </x:c>
    </x:row>
    <x:row r="53" ht="47" customHeight="1">
      <x:c r="A53" s="4" t="str">
        <x:v>NF-COM-007</x:v>
      </x:c>
      <x:c r="B53" s="4" t="str">
        <x:v>F001</x:v>
      </x:c>
      <x:c r="C53" s="4" t="str">
        <x:v>F001</x:v>
      </x:c>
      <x:c r="D53" s="4" t="str">
        <x:v>NF-COM-007</x:v>
      </x:c>
      <x:c r="E53" s="4" t="str">
        <x:v>2.2.0</x:v>
      </x:c>
      <x:c r="F53" s="4" t="str">
        <x:v>elements / NF-COM-007</x:v>
      </x:c>
      <x:c r="G53" s="4" t="str">
        <x:v>JSON_ORIGINAL_UTF8</x:v>
      </x:c>
      <x:c r="H53" s="4" t="str">
        <x:v>32072</x:v>
      </x:c>
      <x:c r="I53" s="4" t="str">
        <x:v>547</x:v>
      </x:c>
      <x:c r="J53" s="4" t="str">
        <x:v>a256c77b8864868a0502a1d6d7548c8394b1d6727d9ba1952747cea931c568ac</x:v>
      </x:c>
      <x:c r="K53" s="4" t="str">
        <x:v>2026-09-08</x:v>
      </x:c>
      <x:c r="L53" s="4" t="str">
        <x:v>SIN_FECHA_DE_ADOPCION</x:v>
      </x:c>
      <x:c r="M53" s="12" t="n">
        <x:f>IF(LEN(J53)=64,0,1)</x:f>
        <x:v>0</x:v>
      </x:c>
      <x:c r="N53" s="12" t="n">
        <x:f>IF(COUNTIF('03_NICE'!$A$5:$A$57,A53)+COUNTIF('04_TKS'!$A$5:$A$72,A53)+COUNTIF('05_Complementos'!$A$5:$A$127,A53)=1,0,1)</x:f>
        <x:v>0</x:v>
      </x:c>
      <x:c r="O53" s="12" t="n">
        <x:f>COUNTIF('08_Trazas'!$A$5:$A$248,A53)-1</x:f>
        <x:v>0</x:v>
      </x:c>
      <x:c r="P53" s="12" t="n">
        <x:f>IF(COUNTIF('02_Custodia'!$A$5:$A$53,C53)=1,0,1)</x:f>
        <x:v>0</x:v>
      </x:c>
    </x:row>
    <x:row r="54" ht="47" customHeight="1">
      <x:c r="A54" s="4" t="str">
        <x:v>NF-COM-008</x:v>
      </x:c>
      <x:c r="B54" s="4" t="str">
        <x:v>F001</x:v>
      </x:c>
      <x:c r="C54" s="4" t="str">
        <x:v>F001</x:v>
      </x:c>
      <x:c r="D54" s="4" t="str">
        <x:v>NF-COM-008</x:v>
      </x:c>
      <x:c r="E54" s="4" t="str">
        <x:v>2.2.0</x:v>
      </x:c>
      <x:c r="F54" s="4" t="str">
        <x:v>elements / NF-COM-008</x:v>
      </x:c>
      <x:c r="G54" s="4" t="str">
        <x:v>JSON_ORIGINAL_UTF8</x:v>
      </x:c>
      <x:c r="H54" s="4" t="str">
        <x:v>32629</x:v>
      </x:c>
      <x:c r="I54" s="4" t="str">
        <x:v>415</x:v>
      </x:c>
      <x:c r="J54" s="4" t="str">
        <x:v>bdf9f4f9f6edca34ae162a34eb42d6ff78d0d4c3db50268b30c6d3647bd77ed7</x:v>
      </x:c>
      <x:c r="K54" s="4" t="str">
        <x:v>2026-09-08</x:v>
      </x:c>
      <x:c r="L54" s="4" t="str">
        <x:v>SIN_FECHA_DE_ADOPCION</x:v>
      </x:c>
      <x:c r="M54" s="12" t="n">
        <x:f>IF(LEN(J54)=64,0,1)</x:f>
        <x:v>0</x:v>
      </x:c>
      <x:c r="N54" s="12" t="n">
        <x:f>IF(COUNTIF('03_NICE'!$A$5:$A$57,A54)+COUNTIF('04_TKS'!$A$5:$A$72,A54)+COUNTIF('05_Complementos'!$A$5:$A$127,A54)=1,0,1)</x:f>
        <x:v>0</x:v>
      </x:c>
      <x:c r="O54" s="12" t="n">
        <x:f>COUNTIF('08_Trazas'!$A$5:$A$248,A54)-1</x:f>
        <x:v>0</x:v>
      </x:c>
      <x:c r="P54" s="12" t="n">
        <x:f>IF(COUNTIF('02_Custodia'!$A$5:$A$53,C54)=1,0,1)</x:f>
        <x:v>0</x:v>
      </x:c>
    </x:row>
    <x:row r="55" ht="47" customHeight="1">
      <x:c r="A55" s="4" t="str">
        <x:v>NF-COM-009</x:v>
      </x:c>
      <x:c r="B55" s="4" t="str">
        <x:v>F001</x:v>
      </x:c>
      <x:c r="C55" s="4" t="str">
        <x:v>F001</x:v>
      </x:c>
      <x:c r="D55" s="4" t="str">
        <x:v>NF-COM-009</x:v>
      </x:c>
      <x:c r="E55" s="4" t="str">
        <x:v>2.2.0</x:v>
      </x:c>
      <x:c r="F55" s="4" t="str">
        <x:v>elements / NF-COM-009</x:v>
      </x:c>
      <x:c r="G55" s="4" t="str">
        <x:v>JSON_ORIGINAL_UTF8</x:v>
      </x:c>
      <x:c r="H55" s="4" t="str">
        <x:v>31636</x:v>
      </x:c>
      <x:c r="I55" s="4" t="str">
        <x:v>426</x:v>
      </x:c>
      <x:c r="J55" s="4" t="str">
        <x:v>a8939129764613f8d51bb8edcbe88acb5ea31a7601874bae242ab644cbb75977</x:v>
      </x:c>
      <x:c r="K55" s="4" t="str">
        <x:v>2026-09-08</x:v>
      </x:c>
      <x:c r="L55" s="4" t="str">
        <x:v>SIN_FECHA_DE_ADOPCION</x:v>
      </x:c>
      <x:c r="M55" s="12" t="n">
        <x:f>IF(LEN(J55)=64,0,1)</x:f>
        <x:v>0</x:v>
      </x:c>
      <x:c r="N55" s="12" t="n">
        <x:f>IF(COUNTIF('03_NICE'!$A$5:$A$57,A55)+COUNTIF('04_TKS'!$A$5:$A$72,A55)+COUNTIF('05_Complementos'!$A$5:$A$127,A55)=1,0,1)</x:f>
        <x:v>0</x:v>
      </x:c>
      <x:c r="O55" s="12" t="n">
        <x:f>COUNTIF('08_Trazas'!$A$5:$A$248,A55)-1</x:f>
        <x:v>0</x:v>
      </x:c>
      <x:c r="P55" s="12" t="n">
        <x:f>IF(COUNTIF('02_Custodia'!$A$5:$A$53,C55)=1,0,1)</x:f>
        <x:v>0</x:v>
      </x:c>
    </x:row>
    <x:row r="56" ht="47" customHeight="1">
      <x:c r="A56" s="4" t="str">
        <x:v>NF-COM-010</x:v>
      </x:c>
      <x:c r="B56" s="4" t="str">
        <x:v>F001</x:v>
      </x:c>
      <x:c r="C56" s="4" t="str">
        <x:v>F001</x:v>
      </x:c>
      <x:c r="D56" s="4" t="str">
        <x:v>NF-COM-010</x:v>
      </x:c>
      <x:c r="E56" s="4" t="str">
        <x:v>2.2.0</x:v>
      </x:c>
      <x:c r="F56" s="4" t="str">
        <x:v>elements / NF-COM-010</x:v>
      </x:c>
      <x:c r="G56" s="4" t="str">
        <x:v>JSON_ORIGINAL_UTF8</x:v>
      </x:c>
      <x:c r="H56" s="4" t="str">
        <x:v>30729</x:v>
      </x:c>
      <x:c r="I56" s="4" t="str">
        <x:v>457</x:v>
      </x:c>
      <x:c r="J56" s="4" t="str">
        <x:v>470bfebf3512ec2510edca2e0fca5a3aa551a5d37a9a266fb1c40e582eb58b5c</x:v>
      </x:c>
      <x:c r="K56" s="4" t="str">
        <x:v>2026-09-08</x:v>
      </x:c>
      <x:c r="L56" s="4" t="str">
        <x:v>SIN_FECHA_DE_ADOPCION</x:v>
      </x:c>
      <x:c r="M56" s="12" t="n">
        <x:f>IF(LEN(J56)=64,0,1)</x:f>
        <x:v>0</x:v>
      </x:c>
      <x:c r="N56" s="12" t="n">
        <x:f>IF(COUNTIF('03_NICE'!$A$5:$A$57,A56)+COUNTIF('04_TKS'!$A$5:$A$72,A56)+COUNTIF('05_Complementos'!$A$5:$A$127,A56)=1,0,1)</x:f>
        <x:v>0</x:v>
      </x:c>
      <x:c r="O56" s="12" t="n">
        <x:f>COUNTIF('08_Trazas'!$A$5:$A$248,A56)-1</x:f>
        <x:v>0</x:v>
      </x:c>
      <x:c r="P56" s="12" t="n">
        <x:f>IF(COUNTIF('02_Custodia'!$A$5:$A$53,C56)=1,0,1)</x:f>
        <x:v>0</x:v>
      </x:c>
    </x:row>
    <x:row r="57" ht="47" customHeight="1">
      <x:c r="A57" s="4" t="str">
        <x:v>NF-COM-011</x:v>
      </x:c>
      <x:c r="B57" s="4" t="str">
        <x:v>F001</x:v>
      </x:c>
      <x:c r="C57" s="4" t="str">
        <x:v>F001</x:v>
      </x:c>
      <x:c r="D57" s="4" t="str">
        <x:v>NF-COM-011</x:v>
      </x:c>
      <x:c r="E57" s="4" t="str">
        <x:v>2.2.0</x:v>
      </x:c>
      <x:c r="F57" s="4" t="str">
        <x:v>elements / NF-COM-011</x:v>
      </x:c>
      <x:c r="G57" s="4" t="str">
        <x:v>JSON_ORIGINAL_UTF8</x:v>
      </x:c>
      <x:c r="H57" s="4" t="str">
        <x:v>31196</x:v>
      </x:c>
      <x:c r="I57" s="4" t="str">
        <x:v>430</x:v>
      </x:c>
      <x:c r="J57" s="4" t="str">
        <x:v>4cf9310c8795409c12464bf4b4b49a0b32e3763ab1f339f7a6648a3ac15a9516</x:v>
      </x:c>
      <x:c r="K57" s="4" t="str">
        <x:v>2026-09-08</x:v>
      </x:c>
      <x:c r="L57" s="4" t="str">
        <x:v>SIN_FECHA_DE_ADOPCION</x:v>
      </x:c>
      <x:c r="M57" s="12" t="n">
        <x:f>IF(LEN(J57)=64,0,1)</x:f>
        <x:v>0</x:v>
      </x:c>
      <x:c r="N57" s="12" t="n">
        <x:f>IF(COUNTIF('03_NICE'!$A$5:$A$57,A57)+COUNTIF('04_TKS'!$A$5:$A$72,A57)+COUNTIF('05_Complementos'!$A$5:$A$127,A57)=1,0,1)</x:f>
        <x:v>0</x:v>
      </x:c>
      <x:c r="O57" s="12" t="n">
        <x:f>COUNTIF('08_Trazas'!$A$5:$A$248,A57)-1</x:f>
        <x:v>0</x:v>
      </x:c>
      <x:c r="P57" s="12" t="n">
        <x:f>IF(COUNTIF('02_Custodia'!$A$5:$A$53,C57)=1,0,1)</x:f>
        <x:v>0</x:v>
      </x:c>
    </x:row>
    <x:row r="58" ht="47" customHeight="1">
      <x:c r="A58" s="4" t="str">
        <x:v>T0077</x:v>
      </x:c>
      <x:c r="B58" s="4" t="str">
        <x:v>F001</x:v>
      </x:c>
      <x:c r="C58" s="4" t="str">
        <x:v>F001</x:v>
      </x:c>
      <x:c r="D58" s="4" t="str">
        <x:v>T0077</x:v>
      </x:c>
      <x:c r="E58" s="4" t="str">
        <x:v>2.2.0</x:v>
      </x:c>
      <x:c r="F58" s="4" t="str">
        <x:v>elements / T0077</x:v>
      </x:c>
      <x:c r="G58" s="4" t="str">
        <x:v>JSON_ORIGINAL_UTF8</x:v>
      </x:c>
      <x:c r="H58" s="4" t="str">
        <x:v>44724</x:v>
      </x:c>
      <x:c r="I58" s="4" t="str">
        <x:v>226</x:v>
      </x:c>
      <x:c r="J58" s="4" t="str">
        <x:v>d1aa6066b235790e72eb38abc976a19b70408ed8eb7e5718f996dfffecd4caf2</x:v>
      </x:c>
      <x:c r="K58" s="4" t="str">
        <x:v>2026-09-08</x:v>
      </x:c>
      <x:c r="L58" s="4" t="str">
        <x:v>SIN_FECHA_DE_ADOPCION</x:v>
      </x:c>
      <x:c r="M58" s="12" t="n">
        <x:f>IF(LEN(J58)=64,0,1)</x:f>
        <x:v>0</x:v>
      </x:c>
      <x:c r="N58" s="12" t="n">
        <x:f>IF(COUNTIF('03_NICE'!$A$5:$A$57,A58)+COUNTIF('04_TKS'!$A$5:$A$72,A58)+COUNTIF('05_Complementos'!$A$5:$A$127,A58)=1,0,1)</x:f>
        <x:v>0</x:v>
      </x:c>
      <x:c r="O58" s="12" t="n">
        <x:f>COUNTIF('08_Trazas'!$A$5:$A$248,A58)-1</x:f>
        <x:v>0</x:v>
      </x:c>
      <x:c r="P58" s="12" t="n">
        <x:f>IF(COUNTIF('02_Custodia'!$A$5:$A$53,C58)=1,0,1)</x:f>
        <x:v>0</x:v>
      </x:c>
    </x:row>
    <x:row r="59" ht="47" customHeight="1">
      <x:c r="A59" s="4" t="str">
        <x:v>T0080</x:v>
      </x:c>
      <x:c r="B59" s="4" t="str">
        <x:v>F001</x:v>
      </x:c>
      <x:c r="C59" s="4" t="str">
        <x:v>F001</x:v>
      </x:c>
      <x:c r="D59" s="4" t="str">
        <x:v>T0080</x:v>
      </x:c>
      <x:c r="E59" s="4" t="str">
        <x:v>2.2.0</x:v>
      </x:c>
      <x:c r="F59" s="4" t="str">
        <x:v>elements / T0080</x:v>
      </x:c>
      <x:c r="G59" s="4" t="str">
        <x:v>JSON_ORIGINAL_UTF8</x:v>
      </x:c>
      <x:c r="H59" s="4" t="str">
        <x:v>44960</x:v>
      </x:c>
      <x:c r="I59" s="4" t="str">
        <x:v>249</x:v>
      </x:c>
      <x:c r="J59" s="4" t="str">
        <x:v>be045c51e49107578d897a14af414216705307b4dea7bbb74b6cfb37c3ec7323</x:v>
      </x:c>
      <x:c r="K59" s="4" t="str">
        <x:v>2026-09-08</x:v>
      </x:c>
      <x:c r="L59" s="4" t="str">
        <x:v>SIN_FECHA_DE_ADOPCION</x:v>
      </x:c>
      <x:c r="M59" s="12" t="n">
        <x:f>IF(LEN(J59)=64,0,1)</x:f>
        <x:v>0</x:v>
      </x:c>
      <x:c r="N59" s="12" t="n">
        <x:f>IF(COUNTIF('03_NICE'!$A$5:$A$57,A59)+COUNTIF('04_TKS'!$A$5:$A$72,A59)+COUNTIF('05_Complementos'!$A$5:$A$127,A59)=1,0,1)</x:f>
        <x:v>0</x:v>
      </x:c>
      <x:c r="O59" s="12" t="n">
        <x:f>COUNTIF('08_Trazas'!$A$5:$A$248,A59)-1</x:f>
        <x:v>0</x:v>
      </x:c>
      <x:c r="P59" s="12" t="n">
        <x:f>IF(COUNTIF('02_Custodia'!$A$5:$A$53,C59)=1,0,1)</x:f>
        <x:v>0</x:v>
      </x:c>
    </x:row>
    <x:row r="60" ht="47" customHeight="1">
      <x:c r="A60" s="4" t="str">
        <x:v>T0084</x:v>
      </x:c>
      <x:c r="B60" s="4" t="str">
        <x:v>F001</x:v>
      </x:c>
      <x:c r="C60" s="4" t="str">
        <x:v>F001</x:v>
      </x:c>
      <x:c r="D60" s="4" t="str">
        <x:v>T0084</x:v>
      </x:c>
      <x:c r="E60" s="4" t="str">
        <x:v>2.2.0</x:v>
      </x:c>
      <x:c r="F60" s="4" t="str">
        <x:v>elements / T0084</x:v>
      </x:c>
      <x:c r="G60" s="4" t="str">
        <x:v>JSON_ORIGINAL_UTF8</x:v>
      </x:c>
      <x:c r="H60" s="4" t="str">
        <x:v>45455</x:v>
      </x:c>
      <x:c r="I60" s="4" t="str">
        <x:v>236</x:v>
      </x:c>
      <x:c r="J60" s="4" t="str">
        <x:v>2b947b69554c307cf6b0ee1a4a325a275ea17f0992663e4e3dabd1af98586014</x:v>
      </x:c>
      <x:c r="K60" s="4" t="str">
        <x:v>2026-09-08</x:v>
      </x:c>
      <x:c r="L60" s="4" t="str">
        <x:v>SIN_FECHA_DE_ADOPCION</x:v>
      </x:c>
      <x:c r="M60" s="12" t="n">
        <x:f>IF(LEN(J60)=64,0,1)</x:f>
        <x:v>0</x:v>
      </x:c>
      <x:c r="N60" s="12" t="n">
        <x:f>IF(COUNTIF('03_NICE'!$A$5:$A$57,A60)+COUNTIF('04_TKS'!$A$5:$A$72,A60)+COUNTIF('05_Complementos'!$A$5:$A$127,A60)=1,0,1)</x:f>
        <x:v>0</x:v>
      </x:c>
      <x:c r="O60" s="12" t="n">
        <x:f>COUNTIF('08_Trazas'!$A$5:$A$248,A60)-1</x:f>
        <x:v>0</x:v>
      </x:c>
      <x:c r="P60" s="12" t="n">
        <x:f>IF(COUNTIF('02_Custodia'!$A$5:$A$53,C60)=1,0,1)</x:f>
        <x:v>0</x:v>
      </x:c>
    </x:row>
    <x:row r="61" ht="47" customHeight="1">
      <x:c r="A61" s="4" t="str">
        <x:v>T0101</x:v>
      </x:c>
      <x:c r="B61" s="4" t="str">
        <x:v>F001</x:v>
      </x:c>
      <x:c r="C61" s="4" t="str">
        <x:v>F001</x:v>
      </x:c>
      <x:c r="D61" s="4" t="str">
        <x:v>T0101</x:v>
      </x:c>
      <x:c r="E61" s="4" t="str">
        <x:v>2.2.0</x:v>
      </x:c>
      <x:c r="F61" s="4" t="str">
        <x:v>elements / T0101</x:v>
      </x:c>
      <x:c r="G61" s="4" t="str">
        <x:v>JSON_ORIGINAL_UTF8</x:v>
      </x:c>
      <x:c r="H61" s="4" t="str">
        <x:v>45701</x:v>
      </x:c>
      <x:c r="I61" s="4" t="str">
        <x:v>266</x:v>
      </x:c>
      <x:c r="J61" s="4" t="str">
        <x:v>c95b6936d681a346b2bcbdfb1b9b15c49d130fc766bf1f59bb9a5fc8e1a7e71b</x:v>
      </x:c>
      <x:c r="K61" s="4" t="str">
        <x:v>2026-09-08</x:v>
      </x:c>
      <x:c r="L61" s="4" t="str">
        <x:v>SIN_FECHA_DE_ADOPCION</x:v>
      </x:c>
      <x:c r="M61" s="12" t="n">
        <x:f>IF(LEN(J61)=64,0,1)</x:f>
        <x:v>0</x:v>
      </x:c>
      <x:c r="N61" s="12" t="n">
        <x:f>IF(COUNTIF('03_NICE'!$A$5:$A$57,A61)+COUNTIF('04_TKS'!$A$5:$A$72,A61)+COUNTIF('05_Complementos'!$A$5:$A$127,A61)=1,0,1)</x:f>
        <x:v>0</x:v>
      </x:c>
      <x:c r="O61" s="12" t="n">
        <x:f>COUNTIF('08_Trazas'!$A$5:$A$248,A61)-1</x:f>
        <x:v>0</x:v>
      </x:c>
      <x:c r="P61" s="12" t="n">
        <x:f>IF(COUNTIF('02_Custodia'!$A$5:$A$53,C61)=1,0,1)</x:f>
        <x:v>0</x:v>
      </x:c>
    </x:row>
    <x:row r="62" ht="47" customHeight="1">
      <x:c r="A62" s="4" t="str">
        <x:v>T0173</x:v>
      </x:c>
      <x:c r="B62" s="4" t="str">
        <x:v>F001</x:v>
      </x:c>
      <x:c r="C62" s="4" t="str">
        <x:v>F001</x:v>
      </x:c>
      <x:c r="D62" s="4" t="str">
        <x:v>T0173</x:v>
      </x:c>
      <x:c r="E62" s="4" t="str">
        <x:v>2.2.0</x:v>
      </x:c>
      <x:c r="F62" s="4" t="str">
        <x:v>elements / T0173</x:v>
      </x:c>
      <x:c r="G62" s="4" t="str">
        <x:v>JSON_ORIGINAL_UTF8</x:v>
      </x:c>
      <x:c r="H62" s="4" t="str">
        <x:v>49040</x:v>
      </x:c>
      <x:c r="I62" s="4" t="str">
        <x:v>213</x:v>
      </x:c>
      <x:c r="J62" s="4" t="str">
        <x:v>14b56f0f290e6613bc1227110224ae568ab080c57c17f7289491ff32cbbaac29</x:v>
      </x:c>
      <x:c r="K62" s="4" t="str">
        <x:v>2026-09-08</x:v>
      </x:c>
      <x:c r="L62" s="4" t="str">
        <x:v>SIN_FECHA_DE_ADOPCION</x:v>
      </x:c>
      <x:c r="M62" s="12" t="n">
        <x:f>IF(LEN(J62)=64,0,1)</x:f>
        <x:v>0</x:v>
      </x:c>
      <x:c r="N62" s="12" t="n">
        <x:f>IF(COUNTIF('03_NICE'!$A$5:$A$57,A62)+COUNTIF('04_TKS'!$A$5:$A$72,A62)+COUNTIF('05_Complementos'!$A$5:$A$127,A62)=1,0,1)</x:f>
        <x:v>0</x:v>
      </x:c>
      <x:c r="O62" s="12" t="n">
        <x:f>COUNTIF('08_Trazas'!$A$5:$A$248,A62)-1</x:f>
        <x:v>0</x:v>
      </x:c>
      <x:c r="P62" s="12" t="n">
        <x:f>IF(COUNTIF('02_Custodia'!$A$5:$A$53,C62)=1,0,1)</x:f>
        <x:v>0</x:v>
      </x:c>
    </x:row>
    <x:row r="63" ht="47" customHeight="1">
      <x:c r="A63" s="4" t="str">
        <x:v>T0220</x:v>
      </x:c>
      <x:c r="B63" s="4" t="str">
        <x:v>F001</x:v>
      </x:c>
      <x:c r="C63" s="4" t="str">
        <x:v>F001</x:v>
      </x:c>
      <x:c r="D63" s="4" t="str">
        <x:v>T0220</x:v>
      </x:c>
      <x:c r="E63" s="4" t="str">
        <x:v>2.2.0</x:v>
      </x:c>
      <x:c r="F63" s="4" t="str">
        <x:v>elements / T0220</x:v>
      </x:c>
      <x:c r="G63" s="4" t="str">
        <x:v>JSON_ORIGINAL_UTF8</x:v>
      </x:c>
      <x:c r="H63" s="4" t="str">
        <x:v>49947</x:v>
      </x:c>
      <x:c r="I63" s="4" t="str">
        <x:v>262</x:v>
      </x:c>
      <x:c r="J63" s="4" t="str">
        <x:v>ff4a7be918c86e1ba986b63131f4810d67814a08fa774bef80dd9b2c46c6fd92</x:v>
      </x:c>
      <x:c r="K63" s="4" t="str">
        <x:v>2026-09-08</x:v>
      </x:c>
      <x:c r="L63" s="4" t="str">
        <x:v>SIN_FECHA_DE_ADOPCION</x:v>
      </x:c>
      <x:c r="M63" s="12" t="n">
        <x:f>IF(LEN(J63)=64,0,1)</x:f>
        <x:v>0</x:v>
      </x:c>
      <x:c r="N63" s="12" t="n">
        <x:f>IF(COUNTIF('03_NICE'!$A$5:$A$57,A63)+COUNTIF('04_TKS'!$A$5:$A$72,A63)+COUNTIF('05_Complementos'!$A$5:$A$127,A63)=1,0,1)</x:f>
        <x:v>0</x:v>
      </x:c>
      <x:c r="O63" s="12" t="n">
        <x:f>COUNTIF('08_Trazas'!$A$5:$A$248,A63)-1</x:f>
        <x:v>0</x:v>
      </x:c>
      <x:c r="P63" s="12" t="n">
        <x:f>IF(COUNTIF('02_Custodia'!$A$5:$A$53,C63)=1,0,1)</x:f>
        <x:v>0</x:v>
      </x:c>
    </x:row>
    <x:row r="64" ht="47" customHeight="1">
      <x:c r="A64" s="4" t="str">
        <x:v>T0274</x:v>
      </x:c>
      <x:c r="B64" s="4" t="str">
        <x:v>F001</x:v>
      </x:c>
      <x:c r="C64" s="4" t="str">
        <x:v>F001</x:v>
      </x:c>
      <x:c r="D64" s="4" t="str">
        <x:v>T0274</x:v>
      </x:c>
      <x:c r="E64" s="4" t="str">
        <x:v>2.2.0</x:v>
      </x:c>
      <x:c r="F64" s="4" t="str">
        <x:v>elements / T0274</x:v>
      </x:c>
      <x:c r="G64" s="4" t="str">
        <x:v>JSON_ORIGINAL_UTF8</x:v>
      </x:c>
      <x:c r="H64" s="4" t="str">
        <x:v>51808</x:v>
      </x:c>
      <x:c r="I64" s="4" t="str">
        <x:v>234</x:v>
      </x:c>
      <x:c r="J64" s="4" t="str">
        <x:v>a5b7df69cec8371b67b749f326c1db7513323b7bd2df092e2666036056ac1d15</x:v>
      </x:c>
      <x:c r="K64" s="4" t="str">
        <x:v>2026-09-08</x:v>
      </x:c>
      <x:c r="L64" s="4" t="str">
        <x:v>SIN_FECHA_DE_ADOPCION</x:v>
      </x:c>
      <x:c r="M64" s="12" t="n">
        <x:f>IF(LEN(J64)=64,0,1)</x:f>
        <x:v>0</x:v>
      </x:c>
      <x:c r="N64" s="12" t="n">
        <x:f>IF(COUNTIF('03_NICE'!$A$5:$A$57,A64)+COUNTIF('04_TKS'!$A$5:$A$72,A64)+COUNTIF('05_Complementos'!$A$5:$A$127,A64)=1,0,1)</x:f>
        <x:v>0</x:v>
      </x:c>
      <x:c r="O64" s="12" t="n">
        <x:f>COUNTIF('08_Trazas'!$A$5:$A$248,A64)-1</x:f>
        <x:v>0</x:v>
      </x:c>
      <x:c r="P64" s="12" t="n">
        <x:f>IF(COUNTIF('02_Custodia'!$A$5:$A$53,C64)=1,0,1)</x:f>
        <x:v>0</x:v>
      </x:c>
    </x:row>
    <x:row r="65" ht="47" customHeight="1">
      <x:c r="A65" s="4" t="str">
        <x:v>T0309</x:v>
      </x:c>
      <x:c r="B65" s="4" t="str">
        <x:v>F001</x:v>
      </x:c>
      <x:c r="C65" s="4" t="str">
        <x:v>F001</x:v>
      </x:c>
      <x:c r="D65" s="4" t="str">
        <x:v>T0309</x:v>
      </x:c>
      <x:c r="E65" s="4" t="str">
        <x:v>2.2.0</x:v>
      </x:c>
      <x:c r="F65" s="4" t="str">
        <x:v>elements / T0309</x:v>
      </x:c>
      <x:c r="G65" s="4" t="str">
        <x:v>JSON_ORIGINAL_UTF8</x:v>
      </x:c>
      <x:c r="H65" s="4" t="str">
        <x:v>52581</x:v>
      </x:c>
      <x:c r="I65" s="4" t="str">
        <x:v>233</x:v>
      </x:c>
      <x:c r="J65" s="4" t="str">
        <x:v>f05f427519a083eccc74f92497cdf6f51de8bf55f7a96f9d899eb5ed519ccebb</x:v>
      </x:c>
      <x:c r="K65" s="4" t="str">
        <x:v>2026-09-08</x:v>
      </x:c>
      <x:c r="L65" s="4" t="str">
        <x:v>SIN_FECHA_DE_ADOPCION</x:v>
      </x:c>
      <x:c r="M65" s="12" t="n">
        <x:f>IF(LEN(J65)=64,0,1)</x:f>
        <x:v>0</x:v>
      </x:c>
      <x:c r="N65" s="12" t="n">
        <x:f>IF(COUNTIF('03_NICE'!$A$5:$A$57,A65)+COUNTIF('04_TKS'!$A$5:$A$72,A65)+COUNTIF('05_Complementos'!$A$5:$A$127,A65)=1,0,1)</x:f>
        <x:v>0</x:v>
      </x:c>
      <x:c r="O65" s="12" t="n">
        <x:f>COUNTIF('08_Trazas'!$A$5:$A$248,A65)-1</x:f>
        <x:v>0</x:v>
      </x:c>
      <x:c r="P65" s="12" t="n">
        <x:f>IF(COUNTIF('02_Custodia'!$A$5:$A$53,C65)=1,0,1)</x:f>
        <x:v>0</x:v>
      </x:c>
    </x:row>
    <x:row r="66" ht="47" customHeight="1">
      <x:c r="A66" s="4" t="str">
        <x:v>T0510</x:v>
      </x:c>
      <x:c r="B66" s="4" t="str">
        <x:v>F001</x:v>
      </x:c>
      <x:c r="C66" s="4" t="str">
        <x:v>F001</x:v>
      </x:c>
      <x:c r="D66" s="4" t="str">
        <x:v>T0510</x:v>
      </x:c>
      <x:c r="E66" s="4" t="str">
        <x:v>2.2.0</x:v>
      </x:c>
      <x:c r="F66" s="4" t="str">
        <x:v>elements / T0510</x:v>
      </x:c>
      <x:c r="G66" s="4" t="str">
        <x:v>JSON_ORIGINAL_UTF8</x:v>
      </x:c>
      <x:c r="H66" s="4" t="str">
        <x:v>55846</x:v>
      </x:c>
      <x:c r="I66" s="4" t="str">
        <x:v>226</x:v>
      </x:c>
      <x:c r="J66" s="4" t="str">
        <x:v>c5fa3c96b5500482bf9182f9050f75c589fa472f494b376074a99b16f464f60f</x:v>
      </x:c>
      <x:c r="K66" s="4" t="str">
        <x:v>2026-09-08</x:v>
      </x:c>
      <x:c r="L66" s="4" t="str">
        <x:v>SIN_FECHA_DE_ADOPCION</x:v>
      </x:c>
      <x:c r="M66" s="12" t="n">
        <x:f>IF(LEN(J66)=64,0,1)</x:f>
        <x:v>0</x:v>
      </x:c>
      <x:c r="N66" s="12" t="n">
        <x:f>IF(COUNTIF('03_NICE'!$A$5:$A$57,A66)+COUNTIF('04_TKS'!$A$5:$A$72,A66)+COUNTIF('05_Complementos'!$A$5:$A$127,A66)=1,0,1)</x:f>
        <x:v>0</x:v>
      </x:c>
      <x:c r="O66" s="12" t="n">
        <x:f>COUNTIF('08_Trazas'!$A$5:$A$248,A66)-1</x:f>
        <x:v>0</x:v>
      </x:c>
      <x:c r="P66" s="12" t="n">
        <x:f>IF(COUNTIF('02_Custodia'!$A$5:$A$53,C66)=1,0,1)</x:f>
        <x:v>0</x:v>
      </x:c>
    </x:row>
    <x:row r="67" ht="47" customHeight="1">
      <x:c r="A67" s="4" t="str">
        <x:v>T1020</x:v>
      </x:c>
      <x:c r="B67" s="4" t="str">
        <x:v>F001</x:v>
      </x:c>
      <x:c r="C67" s="4" t="str">
        <x:v>F001</x:v>
      </x:c>
      <x:c r="D67" s="4" t="str">
        <x:v>T1020</x:v>
      </x:c>
      <x:c r="E67" s="4" t="str">
        <x:v>2.2.0</x:v>
      </x:c>
      <x:c r="F67" s="4" t="str">
        <x:v>elements / T1020</x:v>
      </x:c>
      <x:c r="G67" s="4" t="str">
        <x:v>JSON_ORIGINAL_UTF8</x:v>
      </x:c>
      <x:c r="H67" s="4" t="str">
        <x:v>64191</x:v>
      </x:c>
      <x:c r="I67" s="4" t="str">
        <x:v>256</x:v>
      </x:c>
      <x:c r="J67" s="4" t="str">
        <x:v>623d0f8b3fca81411f37415186ecd1233b2dfc0583bd2a39a0fcbe12f1ea9b4b</x:v>
      </x:c>
      <x:c r="K67" s="4" t="str">
        <x:v>2026-09-08</x:v>
      </x:c>
      <x:c r="L67" s="4" t="str">
        <x:v>SIN_FECHA_DE_ADOPCION</x:v>
      </x:c>
      <x:c r="M67" s="12" t="n">
        <x:f>IF(LEN(J67)=64,0,1)</x:f>
        <x:v>0</x:v>
      </x:c>
      <x:c r="N67" s="12" t="n">
        <x:f>IF(COUNTIF('03_NICE'!$A$5:$A$57,A67)+COUNTIF('04_TKS'!$A$5:$A$72,A67)+COUNTIF('05_Complementos'!$A$5:$A$127,A67)=1,0,1)</x:f>
        <x:v>0</x:v>
      </x:c>
      <x:c r="O67" s="12" t="n">
        <x:f>COUNTIF('08_Trazas'!$A$5:$A$248,A67)-1</x:f>
        <x:v>0</x:v>
      </x:c>
      <x:c r="P67" s="12" t="n">
        <x:f>IF(COUNTIF('02_Custodia'!$A$5:$A$53,C67)=1,0,1)</x:f>
        <x:v>0</x:v>
      </x:c>
    </x:row>
    <x:row r="68" ht="47" customHeight="1">
      <x:c r="A68" s="4" t="str">
        <x:v>T1111</x:v>
      </x:c>
      <x:c r="B68" s="4" t="str">
        <x:v>F001</x:v>
      </x:c>
      <x:c r="C68" s="4" t="str">
        <x:v>F001</x:v>
      </x:c>
      <x:c r="D68" s="4" t="str">
        <x:v>T1111</x:v>
      </x:c>
      <x:c r="E68" s="4" t="str">
        <x:v>2.2.0</x:v>
      </x:c>
      <x:c r="F68" s="4" t="str">
        <x:v>elements / T1111</x:v>
      </x:c>
      <x:c r="G68" s="4" t="str">
        <x:v>JSON_ORIGINAL_UTF8</x:v>
      </x:c>
      <x:c r="H68" s="4" t="str">
        <x:v>84438</x:v>
      </x:c>
      <x:c r="I68" s="4" t="str">
        <x:v>268</x:v>
      </x:c>
      <x:c r="J68" s="4" t="str">
        <x:v>6a59f27c2621e4123bd3be67063a697881d50bbd04fa568d3d2e53feb6ab306a</x:v>
      </x:c>
      <x:c r="K68" s="4" t="str">
        <x:v>2026-09-08</x:v>
      </x:c>
      <x:c r="L68" s="4" t="str">
        <x:v>SIN_FECHA_DE_ADOPCION</x:v>
      </x:c>
      <x:c r="M68" s="12" t="n">
        <x:f>IF(LEN(J68)=64,0,1)</x:f>
        <x:v>0</x:v>
      </x:c>
      <x:c r="N68" s="12" t="n">
        <x:f>IF(COUNTIF('03_NICE'!$A$5:$A$57,A68)+COUNTIF('04_TKS'!$A$5:$A$72,A68)+COUNTIF('05_Complementos'!$A$5:$A$127,A68)=1,0,1)</x:f>
        <x:v>0</x:v>
      </x:c>
      <x:c r="O68" s="12" t="n">
        <x:f>COUNTIF('08_Trazas'!$A$5:$A$248,A68)-1</x:f>
        <x:v>0</x:v>
      </x:c>
      <x:c r="P68" s="12" t="n">
        <x:f>IF(COUNTIF('02_Custodia'!$A$5:$A$53,C68)=1,0,1)</x:f>
        <x:v>0</x:v>
      </x:c>
    </x:row>
    <x:row r="69" ht="47" customHeight="1">
      <x:c r="A69" s="4" t="str">
        <x:v>T1118</x:v>
      </x:c>
      <x:c r="B69" s="4" t="str">
        <x:v>F001</x:v>
      </x:c>
      <x:c r="C69" s="4" t="str">
        <x:v>F001</x:v>
      </x:c>
      <x:c r="D69" s="4" t="str">
        <x:v>T1118</x:v>
      </x:c>
      <x:c r="E69" s="4" t="str">
        <x:v>2.2.0</x:v>
      </x:c>
      <x:c r="F69" s="4" t="str">
        <x:v>elements / T1118</x:v>
      </x:c>
      <x:c r="G69" s="4" t="str">
        <x:v>JSON_ORIGINAL_UTF8</x:v>
      </x:c>
      <x:c r="H69" s="4" t="str">
        <x:v>86154</x:v>
      </x:c>
      <x:c r="I69" s="4" t="str">
        <x:v>212</x:v>
      </x:c>
      <x:c r="J69" s="4" t="str">
        <x:v>8f9c86e6e996c74f4289e80965b7db8dfbd178d3aebb7defa6338f08365046e5</x:v>
      </x:c>
      <x:c r="K69" s="4" t="str">
        <x:v>2026-09-08</x:v>
      </x:c>
      <x:c r="L69" s="4" t="str">
        <x:v>SIN_FECHA_DE_ADOPCION</x:v>
      </x:c>
      <x:c r="M69" s="12" t="n">
        <x:f>IF(LEN(J69)=64,0,1)</x:f>
        <x:v>0</x:v>
      </x:c>
      <x:c r="N69" s="12" t="n">
        <x:f>IF(COUNTIF('03_NICE'!$A$5:$A$57,A69)+COUNTIF('04_TKS'!$A$5:$A$72,A69)+COUNTIF('05_Complementos'!$A$5:$A$127,A69)=1,0,1)</x:f>
        <x:v>0</x:v>
      </x:c>
      <x:c r="O69" s="12" t="n">
        <x:f>COUNTIF('08_Trazas'!$A$5:$A$248,A69)-1</x:f>
        <x:v>0</x:v>
      </x:c>
      <x:c r="P69" s="12" t="n">
        <x:f>IF(COUNTIF('02_Custodia'!$A$5:$A$53,C69)=1,0,1)</x:f>
        <x:v>0</x:v>
      </x:c>
    </x:row>
    <x:row r="70" ht="47" customHeight="1">
      <x:c r="A70" s="4" t="str">
        <x:v>T1119</x:v>
      </x:c>
      <x:c r="B70" s="4" t="str">
        <x:v>F001</x:v>
      </x:c>
      <x:c r="C70" s="4" t="str">
        <x:v>F001</x:v>
      </x:c>
      <x:c r="D70" s="4" t="str">
        <x:v>T1119</x:v>
      </x:c>
      <x:c r="E70" s="4" t="str">
        <x:v>2.2.0</x:v>
      </x:c>
      <x:c r="F70" s="4" t="str">
        <x:v>elements / T1119</x:v>
      </x:c>
      <x:c r="G70" s="4" t="str">
        <x:v>JSON_ORIGINAL_UTF8</x:v>
      </x:c>
      <x:c r="H70" s="4" t="str">
        <x:v>86376</x:v>
      </x:c>
      <x:c r="I70" s="4" t="str">
        <x:v>234</x:v>
      </x:c>
      <x:c r="J70" s="4" t="str">
        <x:v>4203d3cad25177f8d069fd835e815d708cc24b444765cd3e5258c1a09226c154</x:v>
      </x:c>
      <x:c r="K70" s="4" t="str">
        <x:v>2026-09-08</x:v>
      </x:c>
      <x:c r="L70" s="4" t="str">
        <x:v>SIN_FECHA_DE_ADOPCION</x:v>
      </x:c>
      <x:c r="M70" s="12" t="n">
        <x:f>IF(LEN(J70)=64,0,1)</x:f>
        <x:v>0</x:v>
      </x:c>
      <x:c r="N70" s="12" t="n">
        <x:f>IF(COUNTIF('03_NICE'!$A$5:$A$57,A70)+COUNTIF('04_TKS'!$A$5:$A$72,A70)+COUNTIF('05_Complementos'!$A$5:$A$127,A70)=1,0,1)</x:f>
        <x:v>0</x:v>
      </x:c>
      <x:c r="O70" s="12" t="n">
        <x:f>COUNTIF('08_Trazas'!$A$5:$A$248,A70)-1</x:f>
        <x:v>0</x:v>
      </x:c>
      <x:c r="P70" s="12" t="n">
        <x:f>IF(COUNTIF('02_Custodia'!$A$5:$A$53,C70)=1,0,1)</x:f>
        <x:v>0</x:v>
      </x:c>
    </x:row>
    <x:row r="71" ht="47" customHeight="1">
      <x:c r="A71" s="4" t="str">
        <x:v>T1120</x:v>
      </x:c>
      <x:c r="B71" s="4" t="str">
        <x:v>F001</x:v>
      </x:c>
      <x:c r="C71" s="4" t="str">
        <x:v>F001</x:v>
      </x:c>
      <x:c r="D71" s="4" t="str">
        <x:v>T1120</x:v>
      </x:c>
      <x:c r="E71" s="4" t="str">
        <x:v>2.2.0</x:v>
      </x:c>
      <x:c r="F71" s="4" t="str">
        <x:v>elements / T1120</x:v>
      </x:c>
      <x:c r="G71" s="4" t="str">
        <x:v>JSON_ORIGINAL_UTF8</x:v>
      </x:c>
      <x:c r="H71" s="4" t="str">
        <x:v>86620</x:v>
      </x:c>
      <x:c r="I71" s="4" t="str">
        <x:v>236</x:v>
      </x:c>
      <x:c r="J71" s="4" t="str">
        <x:v>066e8ba2934f961269f77787dedf7e69c3f8b6f4580436345fcf405ee01232d4</x:v>
      </x:c>
      <x:c r="K71" s="4" t="str">
        <x:v>2026-09-08</x:v>
      </x:c>
      <x:c r="L71" s="4" t="str">
        <x:v>SIN_FECHA_DE_ADOPCION</x:v>
      </x:c>
      <x:c r="M71" s="12" t="n">
        <x:f>IF(LEN(J71)=64,0,1)</x:f>
        <x:v>0</x:v>
      </x:c>
      <x:c r="N71" s="12" t="n">
        <x:f>IF(COUNTIF('03_NICE'!$A$5:$A$57,A71)+COUNTIF('04_TKS'!$A$5:$A$72,A71)+COUNTIF('05_Complementos'!$A$5:$A$127,A71)=1,0,1)</x:f>
        <x:v>0</x:v>
      </x:c>
      <x:c r="O71" s="12" t="n">
        <x:f>COUNTIF('08_Trazas'!$A$5:$A$248,A71)-1</x:f>
        <x:v>0</x:v>
      </x:c>
      <x:c r="P71" s="12" t="n">
        <x:f>IF(COUNTIF('02_Custodia'!$A$5:$A$53,C71)=1,0,1)</x:f>
        <x:v>0</x:v>
      </x:c>
    </x:row>
    <x:row r="72" ht="47" customHeight="1">
      <x:c r="A72" s="4" t="str">
        <x:v>T1126</x:v>
      </x:c>
      <x:c r="B72" s="4" t="str">
        <x:v>F001</x:v>
      </x:c>
      <x:c r="C72" s="4" t="str">
        <x:v>F001</x:v>
      </x:c>
      <x:c r="D72" s="4" t="str">
        <x:v>T1126</x:v>
      </x:c>
      <x:c r="E72" s="4" t="str">
        <x:v>2.2.0</x:v>
      </x:c>
      <x:c r="F72" s="4" t="str">
        <x:v>elements / T1126</x:v>
      </x:c>
      <x:c r="G72" s="4" t="str">
        <x:v>JSON_ORIGINAL_UTF8</x:v>
      </x:c>
      <x:c r="H72" s="4" t="str">
        <x:v>88127</x:v>
      </x:c>
      <x:c r="I72" s="4" t="str">
        <x:v>264</x:v>
      </x:c>
      <x:c r="J72" s="4" t="str">
        <x:v>67fca5c18e9c34ed8ccaaa861f81ccf9dba73da15eaca7222bbe17896848e767</x:v>
      </x:c>
      <x:c r="K72" s="4" t="str">
        <x:v>2026-09-08</x:v>
      </x:c>
      <x:c r="L72" s="4" t="str">
        <x:v>SIN_FECHA_DE_ADOPCION</x:v>
      </x:c>
      <x:c r="M72" s="12" t="n">
        <x:f>IF(LEN(J72)=64,0,1)</x:f>
        <x:v>0</x:v>
      </x:c>
      <x:c r="N72" s="12" t="n">
        <x:f>IF(COUNTIF('03_NICE'!$A$5:$A$57,A72)+COUNTIF('04_TKS'!$A$5:$A$72,A72)+COUNTIF('05_Complementos'!$A$5:$A$127,A72)=1,0,1)</x:f>
        <x:v>0</x:v>
      </x:c>
      <x:c r="O72" s="12" t="n">
        <x:f>COUNTIF('08_Trazas'!$A$5:$A$248,A72)-1</x:f>
        <x:v>0</x:v>
      </x:c>
      <x:c r="P72" s="12" t="n">
        <x:f>IF(COUNTIF('02_Custodia'!$A$5:$A$53,C72)=1,0,1)</x:f>
        <x:v>0</x:v>
      </x:c>
    </x:row>
    <x:row r="73" ht="47" customHeight="1">
      <x:c r="A73" s="4" t="str">
        <x:v>T1130</x:v>
      </x:c>
      <x:c r="B73" s="4" t="str">
        <x:v>F001</x:v>
      </x:c>
      <x:c r="C73" s="4" t="str">
        <x:v>F001</x:v>
      </x:c>
      <x:c r="D73" s="4" t="str">
        <x:v>T1130</x:v>
      </x:c>
      <x:c r="E73" s="4" t="str">
        <x:v>2.2.0</x:v>
      </x:c>
      <x:c r="F73" s="4" t="str">
        <x:v>elements / T1130</x:v>
      </x:c>
      <x:c r="G73" s="4" t="str">
        <x:v>JSON_ORIGINAL_UTF8</x:v>
      </x:c>
      <x:c r="H73" s="4" t="str">
        <x:v>89139</x:v>
      </x:c>
      <x:c r="I73" s="4" t="str">
        <x:v>235</x:v>
      </x:c>
      <x:c r="J73" s="4" t="str">
        <x:v>03f98a4c2a9a7e11e722f6de51c4c2d786db7680fee533bff099a89c10a9c42d</x:v>
      </x:c>
      <x:c r="K73" s="4" t="str">
        <x:v>2026-09-08</x:v>
      </x:c>
      <x:c r="L73" s="4" t="str">
        <x:v>SIN_FECHA_DE_ADOPCION</x:v>
      </x:c>
      <x:c r="M73" s="12" t="n">
        <x:f>IF(LEN(J73)=64,0,1)</x:f>
        <x:v>0</x:v>
      </x:c>
      <x:c r="N73" s="12" t="n">
        <x:f>IF(COUNTIF('03_NICE'!$A$5:$A$57,A73)+COUNTIF('04_TKS'!$A$5:$A$72,A73)+COUNTIF('05_Complementos'!$A$5:$A$127,A73)=1,0,1)</x:f>
        <x:v>0</x:v>
      </x:c>
      <x:c r="O73" s="12" t="n">
        <x:f>COUNTIF('08_Trazas'!$A$5:$A$248,A73)-1</x:f>
        <x:v>0</x:v>
      </x:c>
      <x:c r="P73" s="12" t="n">
        <x:f>IF(COUNTIF('02_Custodia'!$A$5:$A$53,C73)=1,0,1)</x:f>
        <x:v>0</x:v>
      </x:c>
    </x:row>
    <x:row r="74" ht="47" customHeight="1">
      <x:c r="A74" s="4" t="str">
        <x:v>T1133</x:v>
      </x:c>
      <x:c r="B74" s="4" t="str">
        <x:v>F001</x:v>
      </x:c>
      <x:c r="C74" s="4" t="str">
        <x:v>F001</x:v>
      </x:c>
      <x:c r="D74" s="4" t="str">
        <x:v>T1133</x:v>
      </x:c>
      <x:c r="E74" s="4" t="str">
        <x:v>2.2.0</x:v>
      </x:c>
      <x:c r="F74" s="4" t="str">
        <x:v>elements / T1133</x:v>
      </x:c>
      <x:c r="G74" s="4" t="str">
        <x:v>JSON_ORIGINAL_UTF8</x:v>
      </x:c>
      <x:c r="H74" s="4" t="str">
        <x:v>89931</x:v>
      </x:c>
      <x:c r="I74" s="4" t="str">
        <x:v>266</x:v>
      </x:c>
      <x:c r="J74" s="4" t="str">
        <x:v>b1f74e23c68755ee04f88d4510c28f7f487c2f3767363f35f7ee1493e2324fc4</x:v>
      </x:c>
      <x:c r="K74" s="4" t="str">
        <x:v>2026-09-08</x:v>
      </x:c>
      <x:c r="L74" s="4" t="str">
        <x:v>SIN_FECHA_DE_ADOPCION</x:v>
      </x:c>
      <x:c r="M74" s="12" t="n">
        <x:f>IF(LEN(J74)=64,0,1)</x:f>
        <x:v>0</x:v>
      </x:c>
      <x:c r="N74" s="12" t="n">
        <x:f>IF(COUNTIF('03_NICE'!$A$5:$A$57,A74)+COUNTIF('04_TKS'!$A$5:$A$72,A74)+COUNTIF('05_Complementos'!$A$5:$A$127,A74)=1,0,1)</x:f>
        <x:v>0</x:v>
      </x:c>
      <x:c r="O74" s="12" t="n">
        <x:f>COUNTIF('08_Trazas'!$A$5:$A$248,A74)-1</x:f>
        <x:v>0</x:v>
      </x:c>
      <x:c r="P74" s="12" t="n">
        <x:f>IF(COUNTIF('02_Custodia'!$A$5:$A$53,C74)=1,0,1)</x:f>
        <x:v>0</x:v>
      </x:c>
    </x:row>
    <x:row r="75" ht="47" customHeight="1">
      <x:c r="A75" s="4" t="str">
        <x:v>T1150</x:v>
      </x:c>
      <x:c r="B75" s="4" t="str">
        <x:v>F001</x:v>
      </x:c>
      <x:c r="C75" s="4" t="str">
        <x:v>F001</x:v>
      </x:c>
      <x:c r="D75" s="4" t="str">
        <x:v>T1150</x:v>
      </x:c>
      <x:c r="E75" s="4" t="str">
        <x:v>2.2.0</x:v>
      </x:c>
      <x:c r="F75" s="4" t="str">
        <x:v>elements / T1150</x:v>
      </x:c>
      <x:c r="G75" s="4" t="str">
        <x:v>JSON_ORIGINAL_UTF8</x:v>
      </x:c>
      <x:c r="H75" s="4" t="str">
        <x:v>93978</x:v>
      </x:c>
      <x:c r="I75" s="4" t="str">
        <x:v>277</x:v>
      </x:c>
      <x:c r="J75" s="4" t="str">
        <x:v>de9346ddf4ca95f7b55ea6a13e0a958675ce1f4fadbf9874f4a0f90185c24e2c</x:v>
      </x:c>
      <x:c r="K75" s="4" t="str">
        <x:v>2026-09-08</x:v>
      </x:c>
      <x:c r="L75" s="4" t="str">
        <x:v>SIN_FECHA_DE_ADOPCION</x:v>
      </x:c>
      <x:c r="M75" s="12" t="n">
        <x:f>IF(LEN(J75)=64,0,1)</x:f>
        <x:v>0</x:v>
      </x:c>
      <x:c r="N75" s="12" t="n">
        <x:f>IF(COUNTIF('03_NICE'!$A$5:$A$57,A75)+COUNTIF('04_TKS'!$A$5:$A$72,A75)+COUNTIF('05_Complementos'!$A$5:$A$127,A75)=1,0,1)</x:f>
        <x:v>0</x:v>
      </x:c>
      <x:c r="O75" s="12" t="n">
        <x:f>COUNTIF('08_Trazas'!$A$5:$A$248,A75)-1</x:f>
        <x:v>0</x:v>
      </x:c>
      <x:c r="P75" s="12" t="n">
        <x:f>IF(COUNTIF('02_Custodia'!$A$5:$A$53,C75)=1,0,1)</x:f>
        <x:v>0</x:v>
      </x:c>
    </x:row>
    <x:row r="76" ht="47" customHeight="1">
      <x:c r="A76" s="4" t="str">
        <x:v>T1175</x:v>
      </x:c>
      <x:c r="B76" s="4" t="str">
        <x:v>F001</x:v>
      </x:c>
      <x:c r="C76" s="4" t="str">
        <x:v>F001</x:v>
      </x:c>
      <x:c r="D76" s="4" t="str">
        <x:v>T1175</x:v>
      </x:c>
      <x:c r="E76" s="4" t="str">
        <x:v>2.2.0</x:v>
      </x:c>
      <x:c r="F76" s="4" t="str">
        <x:v>elements / T1175</x:v>
      </x:c>
      <x:c r="G76" s="4" t="str">
        <x:v>JSON_ORIGINAL_UTF8</x:v>
      </x:c>
      <x:c r="H76" s="4" t="str">
        <x:v>100108</x:v>
      </x:c>
      <x:c r="I76" s="4" t="str">
        <x:v>285</x:v>
      </x:c>
      <x:c r="J76" s="4" t="str">
        <x:v>5e72d26c399a5c6970f59914b5aff5697e56c0da6e9a075e9c7cec8017fe2d77</x:v>
      </x:c>
      <x:c r="K76" s="4" t="str">
        <x:v>2026-09-08</x:v>
      </x:c>
      <x:c r="L76" s="4" t="str">
        <x:v>SIN_FECHA_DE_ADOPCION</x:v>
      </x:c>
      <x:c r="M76" s="12" t="n">
        <x:f>IF(LEN(J76)=64,0,1)</x:f>
        <x:v>0</x:v>
      </x:c>
      <x:c r="N76" s="12" t="n">
        <x:f>IF(COUNTIF('03_NICE'!$A$5:$A$57,A76)+COUNTIF('04_TKS'!$A$5:$A$72,A76)+COUNTIF('05_Complementos'!$A$5:$A$127,A76)=1,0,1)</x:f>
        <x:v>0</x:v>
      </x:c>
      <x:c r="O76" s="12" t="n">
        <x:f>COUNTIF('08_Trazas'!$A$5:$A$248,A76)-1</x:f>
        <x:v>0</x:v>
      </x:c>
      <x:c r="P76" s="12" t="n">
        <x:f>IF(COUNTIF('02_Custodia'!$A$5:$A$53,C76)=1,0,1)</x:f>
        <x:v>0</x:v>
      </x:c>
    </x:row>
    <x:row r="77" ht="47" customHeight="1">
      <x:c r="A77" s="4" t="str">
        <x:v>T1289</x:v>
      </x:c>
      <x:c r="B77" s="4" t="str">
        <x:v>F001</x:v>
      </x:c>
      <x:c r="C77" s="4" t="str">
        <x:v>F001</x:v>
      </x:c>
      <x:c r="D77" s="4" t="str">
        <x:v>T1289</x:v>
      </x:c>
      <x:c r="E77" s="4" t="str">
        <x:v>2.2.0</x:v>
      </x:c>
      <x:c r="F77" s="4" t="str">
        <x:v>elements / T1289</x:v>
      </x:c>
      <x:c r="G77" s="4" t="str">
        <x:v>JSON_ORIGINAL_UTF8</x:v>
      </x:c>
      <x:c r="H77" s="4" t="str">
        <x:v>128455</x:v>
      </x:c>
      <x:c r="I77" s="4" t="str">
        <x:v>291</x:v>
      </x:c>
      <x:c r="J77" s="4" t="str">
        <x:v>c3b0ef3e0207d417e535785ee54f8b4de0257367416d9b35a218e024baef2b74</x:v>
      </x:c>
      <x:c r="K77" s="4" t="str">
        <x:v>2026-09-08</x:v>
      </x:c>
      <x:c r="L77" s="4" t="str">
        <x:v>SIN_FECHA_DE_ADOPCION</x:v>
      </x:c>
      <x:c r="M77" s="12" t="n">
        <x:f>IF(LEN(J77)=64,0,1)</x:f>
        <x:v>0</x:v>
      </x:c>
      <x:c r="N77" s="12" t="n">
        <x:f>IF(COUNTIF('03_NICE'!$A$5:$A$57,A77)+COUNTIF('04_TKS'!$A$5:$A$72,A77)+COUNTIF('05_Complementos'!$A$5:$A$127,A77)=1,0,1)</x:f>
        <x:v>0</x:v>
      </x:c>
      <x:c r="O77" s="12" t="n">
        <x:f>COUNTIF('08_Trazas'!$A$5:$A$248,A77)-1</x:f>
        <x:v>0</x:v>
      </x:c>
      <x:c r="P77" s="12" t="n">
        <x:f>IF(COUNTIF('02_Custodia'!$A$5:$A$53,C77)=1,0,1)</x:f>
        <x:v>0</x:v>
      </x:c>
    </x:row>
    <x:row r="78" ht="47" customHeight="1">
      <x:c r="A78" s="4" t="str">
        <x:v>T1325</x:v>
      </x:c>
      <x:c r="B78" s="4" t="str">
        <x:v>F001</x:v>
      </x:c>
      <x:c r="C78" s="4" t="str">
        <x:v>F001</x:v>
      </x:c>
      <x:c r="D78" s="4" t="str">
        <x:v>T1325</x:v>
      </x:c>
      <x:c r="E78" s="4" t="str">
        <x:v>2.2.0</x:v>
      </x:c>
      <x:c r="F78" s="4" t="str">
        <x:v>elements / T1325</x:v>
      </x:c>
      <x:c r="G78" s="4" t="str">
        <x:v>JSON_ORIGINAL_UTF8</x:v>
      </x:c>
      <x:c r="H78" s="4" t="str">
        <x:v>137775</x:v>
      </x:c>
      <x:c r="I78" s="4" t="str">
        <x:v>213</x:v>
      </x:c>
      <x:c r="J78" s="4" t="str">
        <x:v>0dd8a174525cca5bd24a776d5eb56bb3de13e3c16a855803c6b5dbfbbc1da6e1</x:v>
      </x:c>
      <x:c r="K78" s="4" t="str">
        <x:v>2026-09-08</x:v>
      </x:c>
      <x:c r="L78" s="4" t="str">
        <x:v>SIN_FECHA_DE_ADOPCION</x:v>
      </x:c>
      <x:c r="M78" s="12" t="n">
        <x:f>IF(LEN(J78)=64,0,1)</x:f>
        <x:v>0</x:v>
      </x:c>
      <x:c r="N78" s="12" t="n">
        <x:f>IF(COUNTIF('03_NICE'!$A$5:$A$57,A78)+COUNTIF('04_TKS'!$A$5:$A$72,A78)+COUNTIF('05_Complementos'!$A$5:$A$127,A78)=1,0,1)</x:f>
        <x:v>0</x:v>
      </x:c>
      <x:c r="O78" s="12" t="n">
        <x:f>COUNTIF('08_Trazas'!$A$5:$A$248,A78)-1</x:f>
        <x:v>0</x:v>
      </x:c>
      <x:c r="P78" s="12" t="n">
        <x:f>IF(COUNTIF('02_Custodia'!$A$5:$A$53,C78)=1,0,1)</x:f>
        <x:v>0</x:v>
      </x:c>
    </x:row>
    <x:row r="79" ht="47" customHeight="1">
      <x:c r="A79" s="4" t="str">
        <x:v>T1344</x:v>
      </x:c>
      <x:c r="B79" s="4" t="str">
        <x:v>F001</x:v>
      </x:c>
      <x:c r="C79" s="4" t="str">
        <x:v>F001</x:v>
      </x:c>
      <x:c r="D79" s="4" t="str">
        <x:v>T1344</x:v>
      </x:c>
      <x:c r="E79" s="4" t="str">
        <x:v>2.2.0</x:v>
      </x:c>
      <x:c r="F79" s="4" t="str">
        <x:v>elements / T1344</x:v>
      </x:c>
      <x:c r="G79" s="4" t="str">
        <x:v>JSON_ORIGINAL_UTF8</x:v>
      </x:c>
      <x:c r="H79" s="4" t="str">
        <x:v>142793</x:v>
      </x:c>
      <x:c r="I79" s="4" t="str">
        <x:v>263</x:v>
      </x:c>
      <x:c r="J79" s="4" t="str">
        <x:v>1c4fe720d96440dbceb75488bfaa4590e4aacc8560a5c26c8e83fca3bf8684c5</x:v>
      </x:c>
      <x:c r="K79" s="4" t="str">
        <x:v>2026-09-08</x:v>
      </x:c>
      <x:c r="L79" s="4" t="str">
        <x:v>SIN_FECHA_DE_ADOPCION</x:v>
      </x:c>
      <x:c r="M79" s="12" t="n">
        <x:f>IF(LEN(J79)=64,0,1)</x:f>
        <x:v>0</x:v>
      </x:c>
      <x:c r="N79" s="12" t="n">
        <x:f>IF(COUNTIF('03_NICE'!$A$5:$A$57,A79)+COUNTIF('04_TKS'!$A$5:$A$72,A79)+COUNTIF('05_Complementos'!$A$5:$A$127,A79)=1,0,1)</x:f>
        <x:v>0</x:v>
      </x:c>
      <x:c r="O79" s="12" t="n">
        <x:f>COUNTIF('08_Trazas'!$A$5:$A$248,A79)-1</x:f>
        <x:v>0</x:v>
      </x:c>
      <x:c r="P79" s="12" t="n">
        <x:f>IF(COUNTIF('02_Custodia'!$A$5:$A$53,C79)=1,0,1)</x:f>
        <x:v>0</x:v>
      </x:c>
    </x:row>
    <x:row r="80" ht="47" customHeight="1">
      <x:c r="A80" s="4" t="str">
        <x:v>T1366</x:v>
      </x:c>
      <x:c r="B80" s="4" t="str">
        <x:v>F001</x:v>
      </x:c>
      <x:c r="C80" s="4" t="str">
        <x:v>F001</x:v>
      </x:c>
      <x:c r="D80" s="4" t="str">
        <x:v>T1366</x:v>
      </x:c>
      <x:c r="E80" s="4" t="str">
        <x:v>2.2.0</x:v>
      </x:c>
      <x:c r="F80" s="4" t="str">
        <x:v>elements / T1366</x:v>
      </x:c>
      <x:c r="G80" s="4" t="str">
        <x:v>JSON_ORIGINAL_UTF8</x:v>
      </x:c>
      <x:c r="H80" s="4" t="str">
        <x:v>148532</x:v>
      </x:c>
      <x:c r="I80" s="4" t="str">
        <x:v>244</x:v>
      </x:c>
      <x:c r="J80" s="4" t="str">
        <x:v>7531973cb63f30cc77ff4c7c55c811ca839d21a95d0da3f4d4dcc7a03ff2a590</x:v>
      </x:c>
      <x:c r="K80" s="4" t="str">
        <x:v>2026-09-08</x:v>
      </x:c>
      <x:c r="L80" s="4" t="str">
        <x:v>SIN_FECHA_DE_ADOPCION</x:v>
      </x:c>
      <x:c r="M80" s="12" t="n">
        <x:f>IF(LEN(J80)=64,0,1)</x:f>
        <x:v>0</x:v>
      </x:c>
      <x:c r="N80" s="12" t="n">
        <x:f>IF(COUNTIF('03_NICE'!$A$5:$A$57,A80)+COUNTIF('04_TKS'!$A$5:$A$72,A80)+COUNTIF('05_Complementos'!$A$5:$A$127,A80)=1,0,1)</x:f>
        <x:v>0</x:v>
      </x:c>
      <x:c r="O80" s="12" t="n">
        <x:f>COUNTIF('08_Trazas'!$A$5:$A$248,A80)-1</x:f>
        <x:v>0</x:v>
      </x:c>
      <x:c r="P80" s="12" t="n">
        <x:f>IF(COUNTIF('02_Custodia'!$A$5:$A$53,C80)=1,0,1)</x:f>
        <x:v>0</x:v>
      </x:c>
    </x:row>
    <x:row r="81" ht="47" customHeight="1">
      <x:c r="A81" s="4" t="str">
        <x:v>T1510</x:v>
      </x:c>
      <x:c r="B81" s="4" t="str">
        <x:v>F001</x:v>
      </x:c>
      <x:c r="C81" s="4" t="str">
        <x:v>F001</x:v>
      </x:c>
      <x:c r="D81" s="4" t="str">
        <x:v>T1510</x:v>
      </x:c>
      <x:c r="E81" s="4" t="str">
        <x:v>2.2.0</x:v>
      </x:c>
      <x:c r="F81" s="4" t="str">
        <x:v>elements / T1510</x:v>
      </x:c>
      <x:c r="G81" s="4" t="str">
        <x:v>JSON_ORIGINAL_UTF8</x:v>
      </x:c>
      <x:c r="H81" s="4" t="str">
        <x:v>184221</x:v>
      </x:c>
      <x:c r="I81" s="4" t="str">
        <x:v>213</x:v>
      </x:c>
      <x:c r="J81" s="4" t="str">
        <x:v>38879bfa7e5fc93d73ac7643b425b2e5012df1f0a78127c85bcbc9594dec9ad5</x:v>
      </x:c>
      <x:c r="K81" s="4" t="str">
        <x:v>2026-09-08</x:v>
      </x:c>
      <x:c r="L81" s="4" t="str">
        <x:v>SIN_FECHA_DE_ADOPCION</x:v>
      </x:c>
      <x:c r="M81" s="12" t="n">
        <x:f>IF(LEN(J81)=64,0,1)</x:f>
        <x:v>0</x:v>
      </x:c>
      <x:c r="N81" s="12" t="n">
        <x:f>IF(COUNTIF('03_NICE'!$A$5:$A$57,A81)+COUNTIF('04_TKS'!$A$5:$A$72,A81)+COUNTIF('05_Complementos'!$A$5:$A$127,A81)=1,0,1)</x:f>
        <x:v>0</x:v>
      </x:c>
      <x:c r="O81" s="12" t="n">
        <x:f>COUNTIF('08_Trazas'!$A$5:$A$248,A81)-1</x:f>
        <x:v>0</x:v>
      </x:c>
      <x:c r="P81" s="12" t="n">
        <x:f>IF(COUNTIF('02_Custodia'!$A$5:$A$53,C81)=1,0,1)</x:f>
        <x:v>0</x:v>
      </x:c>
    </x:row>
    <x:row r="82" ht="47" customHeight="1">
      <x:c r="A82" s="4" t="str">
        <x:v>T1542</x:v>
      </x:c>
      <x:c r="B82" s="4" t="str">
        <x:v>F001</x:v>
      </x:c>
      <x:c r="C82" s="4" t="str">
        <x:v>F001</x:v>
      </x:c>
      <x:c r="D82" s="4" t="str">
        <x:v>T1542</x:v>
      </x:c>
      <x:c r="E82" s="4" t="str">
        <x:v>2.2.0</x:v>
      </x:c>
      <x:c r="F82" s="4" t="str">
        <x:v>elements / T1542</x:v>
      </x:c>
      <x:c r="G82" s="4" t="str">
        <x:v>JSON_ORIGINAL_UTF8</x:v>
      </x:c>
      <x:c r="H82" s="4" t="str">
        <x:v>191913</x:v>
      </x:c>
      <x:c r="I82" s="4" t="str">
        <x:v>235</x:v>
      </x:c>
      <x:c r="J82" s="4" t="str">
        <x:v>8072ba1cb6cafcf43112f780c17e96b9e7baddf6397e9bb77e79f67f3a773f36</x:v>
      </x:c>
      <x:c r="K82" s="4" t="str">
        <x:v>2026-09-08</x:v>
      </x:c>
      <x:c r="L82" s="4" t="str">
        <x:v>SIN_FECHA_DE_ADOPCION</x:v>
      </x:c>
      <x:c r="M82" s="12" t="n">
        <x:f>IF(LEN(J82)=64,0,1)</x:f>
        <x:v>0</x:v>
      </x:c>
      <x:c r="N82" s="12" t="n">
        <x:f>IF(COUNTIF('03_NICE'!$A$5:$A$57,A82)+COUNTIF('04_TKS'!$A$5:$A$72,A82)+COUNTIF('05_Complementos'!$A$5:$A$127,A82)=1,0,1)</x:f>
        <x:v>0</x:v>
      </x:c>
      <x:c r="O82" s="12" t="n">
        <x:f>COUNTIF('08_Trazas'!$A$5:$A$248,A82)-1</x:f>
        <x:v>0</x:v>
      </x:c>
      <x:c r="P82" s="12" t="n">
        <x:f>IF(COUNTIF('02_Custodia'!$A$5:$A$53,C82)=1,0,1)</x:f>
        <x:v>0</x:v>
      </x:c>
    </x:row>
    <x:row r="83" ht="47" customHeight="1">
      <x:c r="A83" s="4" t="str">
        <x:v>T1548</x:v>
      </x:c>
      <x:c r="B83" s="4" t="str">
        <x:v>F001</x:v>
      </x:c>
      <x:c r="C83" s="4" t="str">
        <x:v>F001</x:v>
      </x:c>
      <x:c r="D83" s="4" t="str">
        <x:v>T1548</x:v>
      </x:c>
      <x:c r="E83" s="4" t="str">
        <x:v>2.2.0</x:v>
      </x:c>
      <x:c r="F83" s="4" t="str">
        <x:v>elements / T1548</x:v>
      </x:c>
      <x:c r="G83" s="4" t="str">
        <x:v>JSON_ORIGINAL_UTF8</x:v>
      </x:c>
      <x:c r="H83" s="4" t="str">
        <x:v>193469</x:v>
      </x:c>
      <x:c r="I83" s="4" t="str">
        <x:v>225</x:v>
      </x:c>
      <x:c r="J83" s="4" t="str">
        <x:v>ce0f1b498270d8aa4d7445210cce4ae05b7b71dc24e172bcd36043a638324995</x:v>
      </x:c>
      <x:c r="K83" s="4" t="str">
        <x:v>2026-09-08</x:v>
      </x:c>
      <x:c r="L83" s="4" t="str">
        <x:v>SIN_FECHA_DE_ADOPCION</x:v>
      </x:c>
      <x:c r="M83" s="12" t="n">
        <x:f>IF(LEN(J83)=64,0,1)</x:f>
        <x:v>0</x:v>
      </x:c>
      <x:c r="N83" s="12" t="n">
        <x:f>IF(COUNTIF('03_NICE'!$A$5:$A$57,A83)+COUNTIF('04_TKS'!$A$5:$A$72,A83)+COUNTIF('05_Complementos'!$A$5:$A$127,A83)=1,0,1)</x:f>
        <x:v>0</x:v>
      </x:c>
      <x:c r="O83" s="12" t="n">
        <x:f>COUNTIF('08_Trazas'!$A$5:$A$248,A83)-1</x:f>
        <x:v>0</x:v>
      </x:c>
      <x:c r="P83" s="12" t="n">
        <x:f>IF(COUNTIF('02_Custodia'!$A$5:$A$53,C83)=1,0,1)</x:f>
        <x:v>0</x:v>
      </x:c>
    </x:row>
    <x:row r="84" ht="47" customHeight="1">
      <x:c r="A84" s="4" t="str">
        <x:v>T1586</x:v>
      </x:c>
      <x:c r="B84" s="4" t="str">
        <x:v>F001</x:v>
      </x:c>
      <x:c r="C84" s="4" t="str">
        <x:v>F001</x:v>
      </x:c>
      <x:c r="D84" s="4" t="str">
        <x:v>T1586</x:v>
      </x:c>
      <x:c r="E84" s="4" t="str">
        <x:v>2.2.0</x:v>
      </x:c>
      <x:c r="F84" s="4" t="str">
        <x:v>elements / T1586</x:v>
      </x:c>
      <x:c r="G84" s="4" t="str">
        <x:v>JSON_ORIGINAL_UTF8</x:v>
      </x:c>
      <x:c r="H84" s="4" t="str">
        <x:v>202636</x:v>
      </x:c>
      <x:c r="I84" s="4" t="str">
        <x:v>226</x:v>
      </x:c>
      <x:c r="J84" s="4" t="str">
        <x:v>3ce59e6485dc729ceca81852c2fb60bfb57e344dc2da6bc1d49f87c2a4d4a018</x:v>
      </x:c>
      <x:c r="K84" s="4" t="str">
        <x:v>2026-09-08</x:v>
      </x:c>
      <x:c r="L84" s="4" t="str">
        <x:v>SIN_FECHA_DE_ADOPCION</x:v>
      </x:c>
      <x:c r="M84" s="12" t="n">
        <x:f>IF(LEN(J84)=64,0,1)</x:f>
        <x:v>0</x:v>
      </x:c>
      <x:c r="N84" s="12" t="n">
        <x:f>IF(COUNTIF('03_NICE'!$A$5:$A$57,A84)+COUNTIF('04_TKS'!$A$5:$A$72,A84)+COUNTIF('05_Complementos'!$A$5:$A$127,A84)=1,0,1)</x:f>
        <x:v>0</x:v>
      </x:c>
      <x:c r="O84" s="12" t="n">
        <x:f>COUNTIF('08_Trazas'!$A$5:$A$248,A84)-1</x:f>
        <x:v>0</x:v>
      </x:c>
      <x:c r="P84" s="12" t="n">
        <x:f>IF(COUNTIF('02_Custodia'!$A$5:$A$53,C84)=1,0,1)</x:f>
        <x:v>0</x:v>
      </x:c>
    </x:row>
    <x:row r="85" ht="47" customHeight="1">
      <x:c r="A85" s="4" t="str">
        <x:v>T1602</x:v>
      </x:c>
      <x:c r="B85" s="4" t="str">
        <x:v>F001</x:v>
      </x:c>
      <x:c r="C85" s="4" t="str">
        <x:v>F001</x:v>
      </x:c>
      <x:c r="D85" s="4" t="str">
        <x:v>T1602</x:v>
      </x:c>
      <x:c r="E85" s="4" t="str">
        <x:v>2.2.0</x:v>
      </x:c>
      <x:c r="F85" s="4" t="str">
        <x:v>elements / T1602</x:v>
      </x:c>
      <x:c r="G85" s="4" t="str">
        <x:v>JSON_ORIGINAL_UTF8</x:v>
      </x:c>
      <x:c r="H85" s="4" t="str">
        <x:v>206445</x:v>
      </x:c>
      <x:c r="I85" s="4" t="str">
        <x:v>239</x:v>
      </x:c>
      <x:c r="J85" s="4" t="str">
        <x:v>3bb704f5fd110874fce2da842bfe39d3b36fd72c01ff1f73b9cd0d0a16a04d8c</x:v>
      </x:c>
      <x:c r="K85" s="4" t="str">
        <x:v>2026-09-08</x:v>
      </x:c>
      <x:c r="L85" s="4" t="str">
        <x:v>SIN_FECHA_DE_ADOPCION</x:v>
      </x:c>
      <x:c r="M85" s="12" t="n">
        <x:f>IF(LEN(J85)=64,0,1)</x:f>
        <x:v>0</x:v>
      </x:c>
      <x:c r="N85" s="12" t="n">
        <x:f>IF(COUNTIF('03_NICE'!$A$5:$A$57,A85)+COUNTIF('04_TKS'!$A$5:$A$72,A85)+COUNTIF('05_Complementos'!$A$5:$A$127,A85)=1,0,1)</x:f>
        <x:v>0</x:v>
      </x:c>
      <x:c r="O85" s="12" t="n">
        <x:f>COUNTIF('08_Trazas'!$A$5:$A$248,A85)-1</x:f>
        <x:v>0</x:v>
      </x:c>
      <x:c r="P85" s="12" t="n">
        <x:f>IF(COUNTIF('02_Custodia'!$A$5:$A$53,C85)=1,0,1)</x:f>
        <x:v>0</x:v>
      </x:c>
    </x:row>
    <x:row r="86" ht="47" customHeight="1">
      <x:c r="A86" s="4" t="str">
        <x:v>T1624</x:v>
      </x:c>
      <x:c r="B86" s="4" t="str">
        <x:v>F001</x:v>
      </x:c>
      <x:c r="C86" s="4" t="str">
        <x:v>F001</x:v>
      </x:c>
      <x:c r="D86" s="4" t="str">
        <x:v>T1624</x:v>
      </x:c>
      <x:c r="E86" s="4" t="str">
        <x:v>2.2.0</x:v>
      </x:c>
      <x:c r="F86" s="4" t="str">
        <x:v>elements / T1624</x:v>
      </x:c>
      <x:c r="G86" s="4" t="str">
        <x:v>JSON_ORIGINAL_UTF8</x:v>
      </x:c>
      <x:c r="H86" s="4" t="str">
        <x:v>211954</x:v>
      </x:c>
      <x:c r="I86" s="4" t="str">
        <x:v>250</x:v>
      </x:c>
      <x:c r="J86" s="4" t="str">
        <x:v>300c77de5e048dfc176a7cb4dcca2e3242e5020409093f1b28fee2d09ceccc77</x:v>
      </x:c>
      <x:c r="K86" s="4" t="str">
        <x:v>2026-09-08</x:v>
      </x:c>
      <x:c r="L86" s="4" t="str">
        <x:v>SIN_FECHA_DE_ADOPCION</x:v>
      </x:c>
      <x:c r="M86" s="12" t="n">
        <x:f>IF(LEN(J86)=64,0,1)</x:f>
        <x:v>0</x:v>
      </x:c>
      <x:c r="N86" s="12" t="n">
        <x:f>IF(COUNTIF('03_NICE'!$A$5:$A$57,A86)+COUNTIF('04_TKS'!$A$5:$A$72,A86)+COUNTIF('05_Complementos'!$A$5:$A$127,A86)=1,0,1)</x:f>
        <x:v>0</x:v>
      </x:c>
      <x:c r="O86" s="12" t="n">
        <x:f>COUNTIF('08_Trazas'!$A$5:$A$248,A86)-1</x:f>
        <x:v>0</x:v>
      </x:c>
      <x:c r="P86" s="12" t="n">
        <x:f>IF(COUNTIF('02_Custodia'!$A$5:$A$53,C86)=1,0,1)</x:f>
        <x:v>0</x:v>
      </x:c>
    </x:row>
    <x:row r="87" ht="47" customHeight="1">
      <x:c r="A87" s="4" t="str">
        <x:v>T1625</x:v>
      </x:c>
      <x:c r="B87" s="4" t="str">
        <x:v>F001</x:v>
      </x:c>
      <x:c r="C87" s="4" t="str">
        <x:v>F001</x:v>
      </x:c>
      <x:c r="D87" s="4" t="str">
        <x:v>T1625</x:v>
      </x:c>
      <x:c r="E87" s="4" t="str">
        <x:v>2.2.0</x:v>
      </x:c>
      <x:c r="F87" s="4" t="str">
        <x:v>elements / T1625</x:v>
      </x:c>
      <x:c r="G87" s="4" t="str">
        <x:v>JSON_ORIGINAL_UTF8</x:v>
      </x:c>
      <x:c r="H87" s="4" t="str">
        <x:v>212214</x:v>
      </x:c>
      <x:c r="I87" s="4" t="str">
        <x:v>226</x:v>
      </x:c>
      <x:c r="J87" s="4" t="str">
        <x:v>90536d729a766b5421e6936166c14eec946909e79668b3bb29d79bd291f75052</x:v>
      </x:c>
      <x:c r="K87" s="4" t="str">
        <x:v>2026-09-08</x:v>
      </x:c>
      <x:c r="L87" s="4" t="str">
        <x:v>SIN_FECHA_DE_ADOPCION</x:v>
      </x:c>
      <x:c r="M87" s="12" t="n">
        <x:f>IF(LEN(J87)=64,0,1)</x:f>
        <x:v>0</x:v>
      </x:c>
      <x:c r="N87" s="12" t="n">
        <x:f>IF(COUNTIF('03_NICE'!$A$5:$A$57,A87)+COUNTIF('04_TKS'!$A$5:$A$72,A87)+COUNTIF('05_Complementos'!$A$5:$A$127,A87)=1,0,1)</x:f>
        <x:v>0</x:v>
      </x:c>
      <x:c r="O87" s="12" t="n">
        <x:f>COUNTIF('08_Trazas'!$A$5:$A$248,A87)-1</x:f>
        <x:v>0</x:v>
      </x:c>
      <x:c r="P87" s="12" t="n">
        <x:f>IF(COUNTIF('02_Custodia'!$A$5:$A$53,C87)=1,0,1)</x:f>
        <x:v>0</x:v>
      </x:c>
    </x:row>
    <x:row r="88" ht="47" customHeight="1">
      <x:c r="A88" s="4" t="str">
        <x:v>T1974</x:v>
      </x:c>
      <x:c r="B88" s="4" t="str">
        <x:v>F001</x:v>
      </x:c>
      <x:c r="C88" s="4" t="str">
        <x:v>F001</x:v>
      </x:c>
      <x:c r="D88" s="4" t="str">
        <x:v>T1974</x:v>
      </x:c>
      <x:c r="E88" s="4" t="str">
        <x:v>2.2.0</x:v>
      </x:c>
      <x:c r="F88" s="4" t="str">
        <x:v>elements / T1974</x:v>
      </x:c>
      <x:c r="G88" s="4" t="str">
        <x:v>JSON_ORIGINAL_UTF8</x:v>
      </x:c>
      <x:c r="H88" s="4" t="str">
        <x:v>261489</x:v>
      </x:c>
      <x:c r="I88" s="4" t="str">
        <x:v>227</x:v>
      </x:c>
      <x:c r="J88" s="4" t="str">
        <x:v>dc25b278d9d816e1614c4bbc65d8f60fd9d5097dbdffd2bae779f6a89c5c0e7d</x:v>
      </x:c>
      <x:c r="K88" s="4" t="str">
        <x:v>2026-09-08</x:v>
      </x:c>
      <x:c r="L88" s="4" t="str">
        <x:v>SIN_FECHA_DE_ADOPCION</x:v>
      </x:c>
      <x:c r="M88" s="12" t="n">
        <x:f>IF(LEN(J88)=64,0,1)</x:f>
        <x:v>0</x:v>
      </x:c>
      <x:c r="N88" s="12" t="n">
        <x:f>IF(COUNTIF('03_NICE'!$A$5:$A$57,A88)+COUNTIF('04_TKS'!$A$5:$A$72,A88)+COUNTIF('05_Complementos'!$A$5:$A$127,A88)=1,0,1)</x:f>
        <x:v>0</x:v>
      </x:c>
      <x:c r="O88" s="12" t="n">
        <x:f>COUNTIF('08_Trazas'!$A$5:$A$248,A88)-1</x:f>
        <x:v>0</x:v>
      </x:c>
      <x:c r="P88" s="12" t="n">
        <x:f>IF(COUNTIF('02_Custodia'!$A$5:$A$53,C88)=1,0,1)</x:f>
        <x:v>0</x:v>
      </x:c>
    </x:row>
    <x:row r="89" ht="47" customHeight="1">
      <x:c r="A89" s="4" t="str">
        <x:v>T1980</x:v>
      </x:c>
      <x:c r="B89" s="4" t="str">
        <x:v>F001</x:v>
      </x:c>
      <x:c r="C89" s="4" t="str">
        <x:v>F001</x:v>
      </x:c>
      <x:c r="D89" s="4" t="str">
        <x:v>T1980</x:v>
      </x:c>
      <x:c r="E89" s="4" t="str">
        <x:v>2.2.0</x:v>
      </x:c>
      <x:c r="F89" s="4" t="str">
        <x:v>elements / T1980</x:v>
      </x:c>
      <x:c r="G89" s="4" t="str">
        <x:v>JSON_ORIGINAL_UTF8</x:v>
      </x:c>
      <x:c r="H89" s="4" t="str">
        <x:v>263014</x:v>
      </x:c>
      <x:c r="I89" s="4" t="str">
        <x:v>255</x:v>
      </x:c>
      <x:c r="J89" s="4" t="str">
        <x:v>7d5ce0dc50df92c1f9f7ac8e5c80f2d08c43e736536c78520b7e7176c3c94a80</x:v>
      </x:c>
      <x:c r="K89" s="4" t="str">
        <x:v>2026-09-08</x:v>
      </x:c>
      <x:c r="L89" s="4" t="str">
        <x:v>SIN_FECHA_DE_ADOPCION</x:v>
      </x:c>
      <x:c r="M89" s="12" t="n">
        <x:f>IF(LEN(J89)=64,0,1)</x:f>
        <x:v>0</x:v>
      </x:c>
      <x:c r="N89" s="12" t="n">
        <x:f>IF(COUNTIF('03_NICE'!$A$5:$A$57,A89)+COUNTIF('04_TKS'!$A$5:$A$72,A89)+COUNTIF('05_Complementos'!$A$5:$A$127,A89)=1,0,1)</x:f>
        <x:v>0</x:v>
      </x:c>
      <x:c r="O89" s="12" t="n">
        <x:f>COUNTIF('08_Trazas'!$A$5:$A$248,A89)-1</x:f>
        <x:v>0</x:v>
      </x:c>
      <x:c r="P89" s="12" t="n">
        <x:f>IF(COUNTIF('02_Custodia'!$A$5:$A$53,C89)=1,0,1)</x:f>
        <x:v>0</x:v>
      </x:c>
    </x:row>
    <x:row r="90" ht="47" customHeight="1">
      <x:c r="A90" s="4" t="str">
        <x:v>T2036</x:v>
      </x:c>
      <x:c r="B90" s="4" t="str">
        <x:v>F001</x:v>
      </x:c>
      <x:c r="C90" s="4" t="str">
        <x:v>F001</x:v>
      </x:c>
      <x:c r="D90" s="4" t="str">
        <x:v>T2036</x:v>
      </x:c>
      <x:c r="E90" s="4" t="str">
        <x:v>2.2.0</x:v>
      </x:c>
      <x:c r="F90" s="4" t="str">
        <x:v>elements / T2036</x:v>
      </x:c>
      <x:c r="G90" s="4" t="str">
        <x:v>JSON_ORIGINAL_UTF8</x:v>
      </x:c>
      <x:c r="H90" s="4" t="str">
        <x:v>276956</x:v>
      </x:c>
      <x:c r="I90" s="4" t="str">
        <x:v>292</x:v>
      </x:c>
      <x:c r="J90" s="4" t="str">
        <x:v>9cc07b348a847e6afab25018ce9faace3421ff41a10a0ed5a6b382a20cb43884</x:v>
      </x:c>
      <x:c r="K90" s="4" t="str">
        <x:v>2026-09-08</x:v>
      </x:c>
      <x:c r="L90" s="4" t="str">
        <x:v>SIN_FECHA_DE_ADOPCION</x:v>
      </x:c>
      <x:c r="M90" s="12" t="n">
        <x:f>IF(LEN(J90)=64,0,1)</x:f>
        <x:v>0</x:v>
      </x:c>
      <x:c r="N90" s="12" t="n">
        <x:f>IF(COUNTIF('03_NICE'!$A$5:$A$57,A90)+COUNTIF('04_TKS'!$A$5:$A$72,A90)+COUNTIF('05_Complementos'!$A$5:$A$127,A90)=1,0,1)</x:f>
        <x:v>0</x:v>
      </x:c>
      <x:c r="O90" s="12" t="n">
        <x:f>COUNTIF('08_Trazas'!$A$5:$A$248,A90)-1</x:f>
        <x:v>0</x:v>
      </x:c>
      <x:c r="P90" s="12" t="n">
        <x:f>IF(COUNTIF('02_Custodia'!$A$5:$A$53,C90)=1,0,1)</x:f>
        <x:v>0</x:v>
      </x:c>
    </x:row>
    <x:row r="91" ht="47" customHeight="1">
      <x:c r="A91" s="4" t="str">
        <x:v>T2056</x:v>
      </x:c>
      <x:c r="B91" s="4" t="str">
        <x:v>F001</x:v>
      </x:c>
      <x:c r="C91" s="4" t="str">
        <x:v>F001</x:v>
      </x:c>
      <x:c r="D91" s="4" t="str">
        <x:v>T2056</x:v>
      </x:c>
      <x:c r="E91" s="4" t="str">
        <x:v>2.2.0</x:v>
      </x:c>
      <x:c r="F91" s="4" t="str">
        <x:v>elements / T2056</x:v>
      </x:c>
      <x:c r="G91" s="4" t="str">
        <x:v>JSON_ORIGINAL_UTF8</x:v>
      </x:c>
      <x:c r="H91" s="4" t="str">
        <x:v>282313</x:v>
      </x:c>
      <x:c r="I91" s="4" t="str">
        <x:v>221</x:v>
      </x:c>
      <x:c r="J91" s="4" t="str">
        <x:v>8ec8ca35859b2f5c4099ee1b62838c824522ef7f5556c4b3699f31711a0c848b</x:v>
      </x:c>
      <x:c r="K91" s="4" t="str">
        <x:v>2026-09-08</x:v>
      </x:c>
      <x:c r="L91" s="4" t="str">
        <x:v>SIN_FECHA_DE_ADOPCION</x:v>
      </x:c>
      <x:c r="M91" s="12" t="n">
        <x:f>IF(LEN(J91)=64,0,1)</x:f>
        <x:v>0</x:v>
      </x:c>
      <x:c r="N91" s="12" t="n">
        <x:f>IF(COUNTIF('03_NICE'!$A$5:$A$57,A91)+COUNTIF('04_TKS'!$A$5:$A$72,A91)+COUNTIF('05_Complementos'!$A$5:$A$127,A91)=1,0,1)</x:f>
        <x:v>0</x:v>
      </x:c>
      <x:c r="O91" s="12" t="n">
        <x:f>COUNTIF('08_Trazas'!$A$5:$A$248,A91)-1</x:f>
        <x:v>0</x:v>
      </x:c>
      <x:c r="P91" s="12" t="n">
        <x:f>IF(COUNTIF('02_Custodia'!$A$5:$A$53,C91)=1,0,1)</x:f>
        <x:v>0</x:v>
      </x:c>
    </x:row>
    <x:row r="92" ht="47" customHeight="1">
      <x:c r="A92" s="4" t="str">
        <x:v>T2058</x:v>
      </x:c>
      <x:c r="B92" s="4" t="str">
        <x:v>F001</x:v>
      </x:c>
      <x:c r="C92" s="4" t="str">
        <x:v>F001</x:v>
      </x:c>
      <x:c r="D92" s="4" t="str">
        <x:v>T2058</x:v>
      </x:c>
      <x:c r="E92" s="4" t="str">
        <x:v>2.2.0</x:v>
      </x:c>
      <x:c r="F92" s="4" t="str">
        <x:v>elements / T2058</x:v>
      </x:c>
      <x:c r="G92" s="4" t="str">
        <x:v>JSON_ORIGINAL_UTF8</x:v>
      </x:c>
      <x:c r="H92" s="4" t="str">
        <x:v>282777</x:v>
      </x:c>
      <x:c r="I92" s="4" t="str">
        <x:v>222</x:v>
      </x:c>
      <x:c r="J92" s="4" t="str">
        <x:v>9e7cfccc5a2a16485121052d88ac839e68a507f2273a80e5d95b4560e86ccda8</x:v>
      </x:c>
      <x:c r="K92" s="4" t="str">
        <x:v>2026-09-08</x:v>
      </x:c>
      <x:c r="L92" s="4" t="str">
        <x:v>SIN_FECHA_DE_ADOPCION</x:v>
      </x:c>
      <x:c r="M92" s="12" t="n">
        <x:f>IF(LEN(J92)=64,0,1)</x:f>
        <x:v>0</x:v>
      </x:c>
      <x:c r="N92" s="12" t="n">
        <x:f>IF(COUNTIF('03_NICE'!$A$5:$A$57,A92)+COUNTIF('04_TKS'!$A$5:$A$72,A92)+COUNTIF('05_Complementos'!$A$5:$A$127,A92)=1,0,1)</x:f>
        <x:v>0</x:v>
      </x:c>
      <x:c r="O92" s="12" t="n">
        <x:f>COUNTIF('08_Trazas'!$A$5:$A$248,A92)-1</x:f>
        <x:v>0</x:v>
      </x:c>
      <x:c r="P92" s="12" t="n">
        <x:f>IF(COUNTIF('02_Custodia'!$A$5:$A$53,C92)=1,0,1)</x:f>
        <x:v>0</x:v>
      </x:c>
    </x:row>
    <x:row r="93" ht="47" customHeight="1">
      <x:c r="A93" s="4" t="str">
        <x:v>T2067</x:v>
      </x:c>
      <x:c r="B93" s="4" t="str">
        <x:v>F001</x:v>
      </x:c>
      <x:c r="C93" s="4" t="str">
        <x:v>F001</x:v>
      </x:c>
      <x:c r="D93" s="4" t="str">
        <x:v>T2067</x:v>
      </x:c>
      <x:c r="E93" s="4" t="str">
        <x:v>2.2.0</x:v>
      </x:c>
      <x:c r="F93" s="4" t="str">
        <x:v>elements / T2067</x:v>
      </x:c>
      <x:c r="G93" s="4" t="str">
        <x:v>JSON_ORIGINAL_UTF8</x:v>
      </x:c>
      <x:c r="H93" s="4" t="str">
        <x:v>285126</x:v>
      </x:c>
      <x:c r="I93" s="4" t="str">
        <x:v>237</x:v>
      </x:c>
      <x:c r="J93" s="4" t="str">
        <x:v>bde2a0eda0cbac61c440b976e61e8f6ab65cc3c154183417c5381ec89ca46f93</x:v>
      </x:c>
      <x:c r="K93" s="4" t="str">
        <x:v>2026-09-08</x:v>
      </x:c>
      <x:c r="L93" s="4" t="str">
        <x:v>SIN_FECHA_DE_ADOPCION</x:v>
      </x:c>
      <x:c r="M93" s="12" t="n">
        <x:f>IF(LEN(J93)=64,0,1)</x:f>
        <x:v>0</x:v>
      </x:c>
      <x:c r="N93" s="12" t="n">
        <x:f>IF(COUNTIF('03_NICE'!$A$5:$A$57,A93)+COUNTIF('04_TKS'!$A$5:$A$72,A93)+COUNTIF('05_Complementos'!$A$5:$A$127,A93)=1,0,1)</x:f>
        <x:v>0</x:v>
      </x:c>
      <x:c r="O93" s="12" t="n">
        <x:f>COUNTIF('08_Trazas'!$A$5:$A$248,A93)-1</x:f>
        <x:v>0</x:v>
      </x:c>
      <x:c r="P93" s="12" t="n">
        <x:f>IF(COUNTIF('02_Custodia'!$A$5:$A$53,C93)=1,0,1)</x:f>
        <x:v>0</x:v>
      </x:c>
    </x:row>
    <x:row r="94" ht="47" customHeight="1">
      <x:c r="A94" s="4" t="str">
        <x:v>K0658</x:v>
      </x:c>
      <x:c r="B94" s="4" t="str">
        <x:v>F001</x:v>
      </x:c>
      <x:c r="C94" s="4" t="str">
        <x:v>F001</x:v>
      </x:c>
      <x:c r="D94" s="4" t="str">
        <x:v>K0658</x:v>
      </x:c>
      <x:c r="E94" s="4" t="str">
        <x:v>2.2.0</x:v>
      </x:c>
      <x:c r="F94" s="4" t="str">
        <x:v>elements / K0658</x:v>
      </x:c>
      <x:c r="G94" s="4" t="str">
        <x:v>JSON_ORIGINAL_UTF8</x:v>
      </x:c>
      <x:c r="H94" s="4" t="str">
        <x:v>295338</x:v>
      </x:c>
      <x:c r="I94" s="4" t="str">
        <x:v>222</x:v>
      </x:c>
      <x:c r="J94" s="4" t="str">
        <x:v>efcc8c518b9f851d688436ce0e2b8f26cc7fdce5e0bdb5bef9ad8304b2574faf</x:v>
      </x:c>
      <x:c r="K94" s="4" t="str">
        <x:v>2026-09-08</x:v>
      </x:c>
      <x:c r="L94" s="4" t="str">
        <x:v>SIN_FECHA_DE_ADOPCION</x:v>
      </x:c>
      <x:c r="M94" s="12" t="n">
        <x:f>IF(LEN(J94)=64,0,1)</x:f>
        <x:v>0</x:v>
      </x:c>
      <x:c r="N94" s="12" t="n">
        <x:f>IF(COUNTIF('03_NICE'!$A$5:$A$57,A94)+COUNTIF('04_TKS'!$A$5:$A$72,A94)+COUNTIF('05_Complementos'!$A$5:$A$127,A94)=1,0,1)</x:f>
        <x:v>0</x:v>
      </x:c>
      <x:c r="O94" s="12" t="n">
        <x:f>COUNTIF('08_Trazas'!$A$5:$A$248,A94)-1</x:f>
        <x:v>0</x:v>
      </x:c>
      <x:c r="P94" s="12" t="n">
        <x:f>IF(COUNTIF('02_Custodia'!$A$5:$A$53,C94)=1,0,1)</x:f>
        <x:v>0</x:v>
      </x:c>
    </x:row>
    <x:row r="95" ht="47" customHeight="1">
      <x:c r="A95" s="4" t="str">
        <x:v>K0711</x:v>
      </x:c>
      <x:c r="B95" s="4" t="str">
        <x:v>F001</x:v>
      </x:c>
      <x:c r="C95" s="4" t="str">
        <x:v>F001</x:v>
      </x:c>
      <x:c r="D95" s="4" t="str">
        <x:v>K0711</x:v>
      </x:c>
      <x:c r="E95" s="4" t="str">
        <x:v>2.2.0</x:v>
      </x:c>
      <x:c r="F95" s="4" t="str">
        <x:v>elements / K0711</x:v>
      </x:c>
      <x:c r="G95" s="4" t="str">
        <x:v>JSON_ORIGINAL_UTF8</x:v>
      </x:c>
      <x:c r="H95" s="4" t="str">
        <x:v>308347</x:v>
      </x:c>
      <x:c r="I95" s="4" t="str">
        <x:v>256</x:v>
      </x:c>
      <x:c r="J95" s="4" t="str">
        <x:v>c144eaafe4a02eb5a693a61162abcc9d5fa09785b5fb6cdcf9a98b458653f626</x:v>
      </x:c>
      <x:c r="K95" s="4" t="str">
        <x:v>2026-09-08</x:v>
      </x:c>
      <x:c r="L95" s="4" t="str">
        <x:v>SIN_FECHA_DE_ADOPCION</x:v>
      </x:c>
      <x:c r="M95" s="12" t="n">
        <x:f>IF(LEN(J95)=64,0,1)</x:f>
        <x:v>0</x:v>
      </x:c>
      <x:c r="N95" s="12" t="n">
        <x:f>IF(COUNTIF('03_NICE'!$A$5:$A$57,A95)+COUNTIF('04_TKS'!$A$5:$A$72,A95)+COUNTIF('05_Complementos'!$A$5:$A$127,A95)=1,0,1)</x:f>
        <x:v>0</x:v>
      </x:c>
      <x:c r="O95" s="12" t="n">
        <x:f>COUNTIF('08_Trazas'!$A$5:$A$248,A95)-1</x:f>
        <x:v>0</x:v>
      </x:c>
      <x:c r="P95" s="12" t="n">
        <x:f>IF(COUNTIF('02_Custodia'!$A$5:$A$53,C95)=1,0,1)</x:f>
        <x:v>0</x:v>
      </x:c>
    </x:row>
    <x:row r="96" ht="47" customHeight="1">
      <x:c r="A96" s="4" t="str">
        <x:v>K0742</x:v>
      </x:c>
      <x:c r="B96" s="4" t="str">
        <x:v>F001</x:v>
      </x:c>
      <x:c r="C96" s="4" t="str">
        <x:v>F001</x:v>
      </x:c>
      <x:c r="D96" s="4" t="str">
        <x:v>K0742</x:v>
      </x:c>
      <x:c r="E96" s="4" t="str">
        <x:v>2.2.0</x:v>
      </x:c>
      <x:c r="F96" s="4" t="str">
        <x:v>elements / K0742</x:v>
      </x:c>
      <x:c r="G96" s="4" t="str">
        <x:v>JSON_ORIGINAL_UTF8</x:v>
      </x:c>
      <x:c r="H96" s="4" t="str">
        <x:v>316377</x:v>
      </x:c>
      <x:c r="I96" s="4" t="str">
        <x:v>267</x:v>
      </x:c>
      <x:c r="J96" s="4" t="str">
        <x:v>15dd59410263c6f464414df71902d998215af17a22a08754677ebac9d3c9f8e1</x:v>
      </x:c>
      <x:c r="K96" s="4" t="str">
        <x:v>2026-09-08</x:v>
      </x:c>
      <x:c r="L96" s="4" t="str">
        <x:v>SIN_FECHA_DE_ADOPCION</x:v>
      </x:c>
      <x:c r="M96" s="12" t="n">
        <x:f>IF(LEN(J96)=64,0,1)</x:f>
        <x:v>0</x:v>
      </x:c>
      <x:c r="N96" s="12" t="n">
        <x:f>IF(COUNTIF('03_NICE'!$A$5:$A$57,A96)+COUNTIF('04_TKS'!$A$5:$A$72,A96)+COUNTIF('05_Complementos'!$A$5:$A$127,A96)=1,0,1)</x:f>
        <x:v>0</x:v>
      </x:c>
      <x:c r="O96" s="12" t="n">
        <x:f>COUNTIF('08_Trazas'!$A$5:$A$248,A96)-1</x:f>
        <x:v>0</x:v>
      </x:c>
      <x:c r="P96" s="12" t="n">
        <x:f>IF(COUNTIF('02_Custodia'!$A$5:$A$53,C96)=1,0,1)</x:f>
        <x:v>0</x:v>
      </x:c>
    </x:row>
    <x:row r="97" ht="47" customHeight="1">
      <x:c r="A97" s="4" t="str">
        <x:v>K0904</x:v>
      </x:c>
      <x:c r="B97" s="4" t="str">
        <x:v>F001</x:v>
      </x:c>
      <x:c r="C97" s="4" t="str">
        <x:v>F001</x:v>
      </x:c>
      <x:c r="D97" s="4" t="str">
        <x:v>K0904</x:v>
      </x:c>
      <x:c r="E97" s="4" t="str">
        <x:v>2.2.0</x:v>
      </x:c>
      <x:c r="F97" s="4" t="str">
        <x:v>elements / K0904</x:v>
      </x:c>
      <x:c r="G97" s="4" t="str">
        <x:v>JSON_ORIGINAL_UTF8</x:v>
      </x:c>
      <x:c r="H97" s="4" t="str">
        <x:v>357388</x:v>
      </x:c>
      <x:c r="I97" s="4" t="str">
        <x:v>247</x:v>
      </x:c>
      <x:c r="J97" s="4" t="str">
        <x:v>f80b97fd04eaaf4cdd1c2fa04bba122404b0ed5f6ed565d44fce7409296e8ff2</x:v>
      </x:c>
      <x:c r="K97" s="4" t="str">
        <x:v>2026-09-08</x:v>
      </x:c>
      <x:c r="L97" s="4" t="str">
        <x:v>SIN_FECHA_DE_ADOPCION</x:v>
      </x:c>
      <x:c r="M97" s="12" t="n">
        <x:f>IF(LEN(J97)=64,0,1)</x:f>
        <x:v>0</x:v>
      </x:c>
      <x:c r="N97" s="12" t="n">
        <x:f>IF(COUNTIF('03_NICE'!$A$5:$A$57,A97)+COUNTIF('04_TKS'!$A$5:$A$72,A97)+COUNTIF('05_Complementos'!$A$5:$A$127,A97)=1,0,1)</x:f>
        <x:v>0</x:v>
      </x:c>
      <x:c r="O97" s="12" t="n">
        <x:f>COUNTIF('08_Trazas'!$A$5:$A$248,A97)-1</x:f>
        <x:v>0</x:v>
      </x:c>
      <x:c r="P97" s="12" t="n">
        <x:f>IF(COUNTIF('02_Custodia'!$A$5:$A$53,C97)=1,0,1)</x:f>
        <x:v>0</x:v>
      </x:c>
    </x:row>
    <x:row r="98" ht="47" customHeight="1">
      <x:c r="A98" s="4" t="str">
        <x:v>K1147</x:v>
      </x:c>
      <x:c r="B98" s="4" t="str">
        <x:v>F001</x:v>
      </x:c>
      <x:c r="C98" s="4" t="str">
        <x:v>F001</x:v>
      </x:c>
      <x:c r="D98" s="4" t="str">
        <x:v>K1147</x:v>
      </x:c>
      <x:c r="E98" s="4" t="str">
        <x:v>2.2.0</x:v>
      </x:c>
      <x:c r="F98" s="4" t="str">
        <x:v>elements / K1147</x:v>
      </x:c>
      <x:c r="G98" s="4" t="str">
        <x:v>JSON_ORIGINAL_UTF8</x:v>
      </x:c>
      <x:c r="H98" s="4" t="str">
        <x:v>407357</x:v>
      </x:c>
      <x:c r="I98" s="4" t="str">
        <x:v>245</x:v>
      </x:c>
      <x:c r="J98" s="4" t="str">
        <x:v>42ddc454323b6271ffbe1edab36d66d746dfd9e00ec000d234b3f671ae9a620f</x:v>
      </x:c>
      <x:c r="K98" s="4" t="str">
        <x:v>2026-09-08</x:v>
      </x:c>
      <x:c r="L98" s="4" t="str">
        <x:v>SIN_FECHA_DE_ADOPCION</x:v>
      </x:c>
      <x:c r="M98" s="12" t="n">
        <x:f>IF(LEN(J98)=64,0,1)</x:f>
        <x:v>0</x:v>
      </x:c>
      <x:c r="N98" s="12" t="n">
        <x:f>IF(COUNTIF('03_NICE'!$A$5:$A$57,A98)+COUNTIF('04_TKS'!$A$5:$A$72,A98)+COUNTIF('05_Complementos'!$A$5:$A$127,A98)=1,0,1)</x:f>
        <x:v>0</x:v>
      </x:c>
      <x:c r="O98" s="12" t="n">
        <x:f>COUNTIF('08_Trazas'!$A$5:$A$248,A98)-1</x:f>
        <x:v>0</x:v>
      </x:c>
      <x:c r="P98" s="12" t="n">
        <x:f>IF(COUNTIF('02_Custodia'!$A$5:$A$53,C98)=1,0,1)</x:f>
        <x:v>0</x:v>
      </x:c>
    </x:row>
    <x:row r="99" ht="47" customHeight="1">
      <x:c r="A99" s="4" t="str">
        <x:v>K1317</x:v>
      </x:c>
      <x:c r="B99" s="4" t="str">
        <x:v>F001</x:v>
      </x:c>
      <x:c r="C99" s="4" t="str">
        <x:v>F001</x:v>
      </x:c>
      <x:c r="D99" s="4" t="str">
        <x:v>K1317</x:v>
      </x:c>
      <x:c r="E99" s="4" t="str">
        <x:v>2.2.0</x:v>
      </x:c>
      <x:c r="F99" s="4" t="str">
        <x:v>elements / K1317</x:v>
      </x:c>
      <x:c r="G99" s="4" t="str">
        <x:v>JSON_ORIGINAL_UTF8</x:v>
      </x:c>
      <x:c r="H99" s="4" t="str">
        <x:v>446418</x:v>
      </x:c>
      <x:c r="I99" s="4" t="str">
        <x:v>219</x:v>
      </x:c>
      <x:c r="J99" s="4" t="str">
        <x:v>f8e8fc5892dcfcbcc5ff90bfdb565de48dcb64199e2fdb2c4c7495d56a2c2d12</x:v>
      </x:c>
      <x:c r="K99" s="4" t="str">
        <x:v>2026-09-08</x:v>
      </x:c>
      <x:c r="L99" s="4" t="str">
        <x:v>SIN_FECHA_DE_ADOPCION</x:v>
      </x:c>
      <x:c r="M99" s="12" t="n">
        <x:f>IF(LEN(J99)=64,0,1)</x:f>
        <x:v>0</x:v>
      </x:c>
      <x:c r="N99" s="12" t="n">
        <x:f>IF(COUNTIF('03_NICE'!$A$5:$A$57,A99)+COUNTIF('04_TKS'!$A$5:$A$72,A99)+COUNTIF('05_Complementos'!$A$5:$A$127,A99)=1,0,1)</x:f>
        <x:v>0</x:v>
      </x:c>
      <x:c r="O99" s="12" t="n">
        <x:f>COUNTIF('08_Trazas'!$A$5:$A$248,A99)-1</x:f>
        <x:v>0</x:v>
      </x:c>
      <x:c r="P99" s="12" t="n">
        <x:f>IF(COUNTIF('02_Custodia'!$A$5:$A$53,C99)=1,0,1)</x:f>
        <x:v>0</x:v>
      </x:c>
    </x:row>
    <x:row r="100" ht="47" customHeight="1">
      <x:c r="A100" s="4" t="str">
        <x:v>K1318</x:v>
      </x:c>
      <x:c r="B100" s="4" t="str">
        <x:v>F001</x:v>
      </x:c>
      <x:c r="C100" s="4" t="str">
        <x:v>F001</x:v>
      </x:c>
      <x:c r="D100" s="4" t="str">
        <x:v>K1318</x:v>
      </x:c>
      <x:c r="E100" s="4" t="str">
        <x:v>2.2.0</x:v>
      </x:c>
      <x:c r="F100" s="4" t="str">
        <x:v>elements / K1318</x:v>
      </x:c>
      <x:c r="G100" s="4" t="str">
        <x:v>JSON_ORIGINAL_UTF8</x:v>
      </x:c>
      <x:c r="H100" s="4" t="str">
        <x:v>446647</x:v>
      </x:c>
      <x:c r="I100" s="4" t="str">
        <x:v>236</x:v>
      </x:c>
      <x:c r="J100" s="4" t="str">
        <x:v>1a7bb43b80dbc140708d00403ebb920cecc0d9c208c0125554a782f517def29a</x:v>
      </x:c>
      <x:c r="K100" s="4" t="str">
        <x:v>2026-09-08</x:v>
      </x:c>
      <x:c r="L100" s="4" t="str">
        <x:v>SIN_FECHA_DE_ADOPCION</x:v>
      </x:c>
      <x:c r="M100" s="12" t="n">
        <x:f>IF(LEN(J100)=64,0,1)</x:f>
        <x:v>0</x:v>
      </x:c>
      <x:c r="N100" s="12" t="n">
        <x:f>IF(COUNTIF('03_NICE'!$A$5:$A$57,A100)+COUNTIF('04_TKS'!$A$5:$A$72,A100)+COUNTIF('05_Complementos'!$A$5:$A$127,A100)=1,0,1)</x:f>
        <x:v>0</x:v>
      </x:c>
      <x:c r="O100" s="12" t="n">
        <x:f>COUNTIF('08_Trazas'!$A$5:$A$248,A100)-1</x:f>
        <x:v>0</x:v>
      </x:c>
      <x:c r="P100" s="12" t="n">
        <x:f>IF(COUNTIF('02_Custodia'!$A$5:$A$53,C100)=1,0,1)</x:f>
        <x:v>0</x:v>
      </x:c>
    </x:row>
    <x:row r="101" ht="47" customHeight="1">
      <x:c r="A101" s="4" t="str">
        <x:v>K1320</x:v>
      </x:c>
      <x:c r="B101" s="4" t="str">
        <x:v>F001</x:v>
      </x:c>
      <x:c r="C101" s="4" t="str">
        <x:v>F001</x:v>
      </x:c>
      <x:c r="D101" s="4" t="str">
        <x:v>K1320</x:v>
      </x:c>
      <x:c r="E101" s="4" t="str">
        <x:v>2.2.0</x:v>
      </x:c>
      <x:c r="F101" s="4" t="str">
        <x:v>elements / K1320</x:v>
      </x:c>
      <x:c r="G101" s="4" t="str">
        <x:v>JSON_ORIGINAL_UTF8</x:v>
      </x:c>
      <x:c r="H101" s="4" t="str">
        <x:v>447130</x:v>
      </x:c>
      <x:c r="I101" s="4" t="str">
        <x:v>230</x:v>
      </x:c>
      <x:c r="J101" s="4" t="str">
        <x:v>d586f29e1d0e36b81ff6e1094cdb995cdfdb35e718212930982cda5c085a31a5</x:v>
      </x:c>
      <x:c r="K101" s="4" t="str">
        <x:v>2026-09-08</x:v>
      </x:c>
      <x:c r="L101" s="4" t="str">
        <x:v>SIN_FECHA_DE_ADOPCION</x:v>
      </x:c>
      <x:c r="M101" s="12" t="n">
        <x:f>IF(LEN(J101)=64,0,1)</x:f>
        <x:v>0</x:v>
      </x:c>
      <x:c r="N101" s="12" t="n">
        <x:f>IF(COUNTIF('03_NICE'!$A$5:$A$57,A101)+COUNTIF('04_TKS'!$A$5:$A$72,A101)+COUNTIF('05_Complementos'!$A$5:$A$127,A101)=1,0,1)</x:f>
        <x:v>0</x:v>
      </x:c>
      <x:c r="O101" s="12" t="n">
        <x:f>COUNTIF('08_Trazas'!$A$5:$A$248,A101)-1</x:f>
        <x:v>0</x:v>
      </x:c>
      <x:c r="P101" s="12" t="n">
        <x:f>IF(COUNTIF('02_Custodia'!$A$5:$A$53,C101)=1,0,1)</x:f>
        <x:v>0</x:v>
      </x:c>
    </x:row>
    <x:row r="102" ht="47" customHeight="1">
      <x:c r="A102" s="4" t="str">
        <x:v>K1321</x:v>
      </x:c>
      <x:c r="B102" s="4" t="str">
        <x:v>F001</x:v>
      </x:c>
      <x:c r="C102" s="4" t="str">
        <x:v>F001</x:v>
      </x:c>
      <x:c r="D102" s="4" t="str">
        <x:v>K1321</x:v>
      </x:c>
      <x:c r="E102" s="4" t="str">
        <x:v>2.2.0</x:v>
      </x:c>
      <x:c r="F102" s="4" t="str">
        <x:v>elements / K1321</x:v>
      </x:c>
      <x:c r="G102" s="4" t="str">
        <x:v>JSON_ORIGINAL_UTF8</x:v>
      </x:c>
      <x:c r="H102" s="4" t="str">
        <x:v>447370</x:v>
      </x:c>
      <x:c r="I102" s="4" t="str">
        <x:v>266</x:v>
      </x:c>
      <x:c r="J102" s="4" t="str">
        <x:v>bfcaa37175b25e9de8df1451f2b8ce5d7acbbe7d0cfc3361d46d88fa88eea336</x:v>
      </x:c>
      <x:c r="K102" s="4" t="str">
        <x:v>2026-09-08</x:v>
      </x:c>
      <x:c r="L102" s="4" t="str">
        <x:v>SIN_FECHA_DE_ADOPCION</x:v>
      </x:c>
      <x:c r="M102" s="12" t="n">
        <x:f>IF(LEN(J102)=64,0,1)</x:f>
        <x:v>0</x:v>
      </x:c>
      <x:c r="N102" s="12" t="n">
        <x:f>IF(COUNTIF('03_NICE'!$A$5:$A$57,A102)+COUNTIF('04_TKS'!$A$5:$A$72,A102)+COUNTIF('05_Complementos'!$A$5:$A$127,A102)=1,0,1)</x:f>
        <x:v>0</x:v>
      </x:c>
      <x:c r="O102" s="12" t="n">
        <x:f>COUNTIF('08_Trazas'!$A$5:$A$248,A102)-1</x:f>
        <x:v>0</x:v>
      </x:c>
      <x:c r="P102" s="12" t="n">
        <x:f>IF(COUNTIF('02_Custodia'!$A$5:$A$53,C102)=1,0,1)</x:f>
        <x:v>0</x:v>
      </x:c>
    </x:row>
    <x:row r="103" ht="47" customHeight="1">
      <x:c r="A103" s="4" t="str">
        <x:v>K1324</x:v>
      </x:c>
      <x:c r="B103" s="4" t="str">
        <x:v>F001</x:v>
      </x:c>
      <x:c r="C103" s="4" t="str">
        <x:v>F001</x:v>
      </x:c>
      <x:c r="D103" s="4" t="str">
        <x:v>K1324</x:v>
      </x:c>
      <x:c r="E103" s="4" t="str">
        <x:v>2.2.0</x:v>
      </x:c>
      <x:c r="F103" s="4" t="str">
        <x:v>elements / K1324</x:v>
      </x:c>
      <x:c r="G103" s="4" t="str">
        <x:v>JSON_ORIGINAL_UTF8</x:v>
      </x:c>
      <x:c r="H103" s="4" t="str">
        <x:v>448158</x:v>
      </x:c>
      <x:c r="I103" s="4" t="str">
        <x:v>233</x:v>
      </x:c>
      <x:c r="J103" s="4" t="str">
        <x:v>5a70f875a532204b4103b66d261b493838d60f14bf3c02ae3db85ffda9c3174d</x:v>
      </x:c>
      <x:c r="K103" s="4" t="str">
        <x:v>2026-09-08</x:v>
      </x:c>
      <x:c r="L103" s="4" t="str">
        <x:v>SIN_FECHA_DE_ADOPCION</x:v>
      </x:c>
      <x:c r="M103" s="12" t="n">
        <x:f>IF(LEN(J103)=64,0,1)</x:f>
        <x:v>0</x:v>
      </x:c>
      <x:c r="N103" s="12" t="n">
        <x:f>IF(COUNTIF('03_NICE'!$A$5:$A$57,A103)+COUNTIF('04_TKS'!$A$5:$A$72,A103)+COUNTIF('05_Complementos'!$A$5:$A$127,A103)=1,0,1)</x:f>
        <x:v>0</x:v>
      </x:c>
      <x:c r="O103" s="12" t="n">
        <x:f>COUNTIF('08_Trazas'!$A$5:$A$248,A103)-1</x:f>
        <x:v>0</x:v>
      </x:c>
      <x:c r="P103" s="12" t="n">
        <x:f>IF(COUNTIF('02_Custodia'!$A$5:$A$53,C103)=1,0,1)</x:f>
        <x:v>0</x:v>
      </x:c>
    </x:row>
    <x:row r="104" ht="47" customHeight="1">
      <x:c r="A104" s="4" t="str">
        <x:v>K1327</x:v>
      </x:c>
      <x:c r="B104" s="4" t="str">
        <x:v>F001</x:v>
      </x:c>
      <x:c r="C104" s="4" t="str">
        <x:v>F001</x:v>
      </x:c>
      <x:c r="D104" s="4" t="str">
        <x:v>K1327</x:v>
      </x:c>
      <x:c r="E104" s="4" t="str">
        <x:v>2.2.0</x:v>
      </x:c>
      <x:c r="F104" s="4" t="str">
        <x:v>elements / K1327</x:v>
      </x:c>
      <x:c r="G104" s="4" t="str">
        <x:v>JSON_ORIGINAL_UTF8</x:v>
      </x:c>
      <x:c r="H104" s="4" t="str">
        <x:v>448950</x:v>
      </x:c>
      <x:c r="I104" s="4" t="str">
        <x:v>263</x:v>
      </x:c>
      <x:c r="J104" s="4" t="str">
        <x:v>8c871a045edd4b858fb0c1caf3d79edbf8371fc5f4fa4b550dcf61d077ee480b</x:v>
      </x:c>
      <x:c r="K104" s="4" t="str">
        <x:v>2026-09-08</x:v>
      </x:c>
      <x:c r="L104" s="4" t="str">
        <x:v>SIN_FECHA_DE_ADOPCION</x:v>
      </x:c>
      <x:c r="M104" s="12" t="n">
        <x:f>IF(LEN(J104)=64,0,1)</x:f>
        <x:v>0</x:v>
      </x:c>
      <x:c r="N104" s="12" t="n">
        <x:f>IF(COUNTIF('03_NICE'!$A$5:$A$57,A104)+COUNTIF('04_TKS'!$A$5:$A$72,A104)+COUNTIF('05_Complementos'!$A$5:$A$127,A104)=1,0,1)</x:f>
        <x:v>0</x:v>
      </x:c>
      <x:c r="O104" s="12" t="n">
        <x:f>COUNTIF('08_Trazas'!$A$5:$A$248,A104)-1</x:f>
        <x:v>0</x:v>
      </x:c>
      <x:c r="P104" s="12" t="n">
        <x:f>IF(COUNTIF('02_Custodia'!$A$5:$A$53,C104)=1,0,1)</x:f>
        <x:v>0</x:v>
      </x:c>
    </x:row>
    <x:row r="105" ht="47" customHeight="1">
      <x:c r="A105" s="4" t="str">
        <x:v>K1328</x:v>
      </x:c>
      <x:c r="B105" s="4" t="str">
        <x:v>F001</x:v>
      </x:c>
      <x:c r="C105" s="4" t="str">
        <x:v>F001</x:v>
      </x:c>
      <x:c r="D105" s="4" t="str">
        <x:v>K1328</x:v>
      </x:c>
      <x:c r="E105" s="4" t="str">
        <x:v>2.2.0</x:v>
      </x:c>
      <x:c r="F105" s="4" t="str">
        <x:v>elements / K1328</x:v>
      </x:c>
      <x:c r="G105" s="4" t="str">
        <x:v>JSON_ORIGINAL_UTF8</x:v>
      </x:c>
      <x:c r="H105" s="4" t="str">
        <x:v>449223</x:v>
      </x:c>
      <x:c r="I105" s="4" t="str">
        <x:v>251</x:v>
      </x:c>
      <x:c r="J105" s="4" t="str">
        <x:v>f6476024df055a774a740c00e6c4e2b593301be3bef4c51597dc04972ecdb2ac</x:v>
      </x:c>
      <x:c r="K105" s="4" t="str">
        <x:v>2026-09-08</x:v>
      </x:c>
      <x:c r="L105" s="4" t="str">
        <x:v>SIN_FECHA_DE_ADOPCION</x:v>
      </x:c>
      <x:c r="M105" s="12" t="n">
        <x:f>IF(LEN(J105)=64,0,1)</x:f>
        <x:v>0</x:v>
      </x:c>
      <x:c r="N105" s="12" t="n">
        <x:f>IF(COUNTIF('03_NICE'!$A$5:$A$57,A105)+COUNTIF('04_TKS'!$A$5:$A$72,A105)+COUNTIF('05_Complementos'!$A$5:$A$127,A105)=1,0,1)</x:f>
        <x:v>0</x:v>
      </x:c>
      <x:c r="O105" s="12" t="n">
        <x:f>COUNTIF('08_Trazas'!$A$5:$A$248,A105)-1</x:f>
        <x:v>0</x:v>
      </x:c>
      <x:c r="P105" s="12" t="n">
        <x:f>IF(COUNTIF('02_Custodia'!$A$5:$A$53,C105)=1,0,1)</x:f>
        <x:v>0</x:v>
      </x:c>
    </x:row>
    <x:row r="106" ht="47" customHeight="1">
      <x:c r="A106" s="4" t="str">
        <x:v>K1329</x:v>
      </x:c>
      <x:c r="B106" s="4" t="str">
        <x:v>F001</x:v>
      </x:c>
      <x:c r="C106" s="4" t="str">
        <x:v>F001</x:v>
      </x:c>
      <x:c r="D106" s="4" t="str">
        <x:v>K1329</x:v>
      </x:c>
      <x:c r="E106" s="4" t="str">
        <x:v>2.2.0</x:v>
      </x:c>
      <x:c r="F106" s="4" t="str">
        <x:v>elements / K1329</x:v>
      </x:c>
      <x:c r="G106" s="4" t="str">
        <x:v>JSON_ORIGINAL_UTF8</x:v>
      </x:c>
      <x:c r="H106" s="4" t="str">
        <x:v>449484</x:v>
      </x:c>
      <x:c r="I106" s="4" t="str">
        <x:v>229</x:v>
      </x:c>
      <x:c r="J106" s="4" t="str">
        <x:v>260d6da5625e28aa6618034c42c5fd51fdf9ca92fdd519d98c1a15e9729be14d</x:v>
      </x:c>
      <x:c r="K106" s="4" t="str">
        <x:v>2026-09-08</x:v>
      </x:c>
      <x:c r="L106" s="4" t="str">
        <x:v>SIN_FECHA_DE_ADOPCION</x:v>
      </x:c>
      <x:c r="M106" s="12" t="n">
        <x:f>IF(LEN(J106)=64,0,1)</x:f>
        <x:v>0</x:v>
      </x:c>
      <x:c r="N106" s="12" t="n">
        <x:f>IF(COUNTIF('03_NICE'!$A$5:$A$57,A106)+COUNTIF('04_TKS'!$A$5:$A$72,A106)+COUNTIF('05_Complementos'!$A$5:$A$127,A106)=1,0,1)</x:f>
        <x:v>0</x:v>
      </x:c>
      <x:c r="O106" s="12" t="n">
        <x:f>COUNTIF('08_Trazas'!$A$5:$A$248,A106)-1</x:f>
        <x:v>0</x:v>
      </x:c>
      <x:c r="P106" s="12" t="n">
        <x:f>IF(COUNTIF('02_Custodia'!$A$5:$A$53,C106)=1,0,1)</x:f>
        <x:v>0</x:v>
      </x:c>
    </x:row>
    <x:row r="107" ht="47" customHeight="1">
      <x:c r="A107" s="4" t="str">
        <x:v>K1332</x:v>
      </x:c>
      <x:c r="B107" s="4" t="str">
        <x:v>F001</x:v>
      </x:c>
      <x:c r="C107" s="4" t="str">
        <x:v>F001</x:v>
      </x:c>
      <x:c r="D107" s="4" t="str">
        <x:v>K1332</x:v>
      </x:c>
      <x:c r="E107" s="4" t="str">
        <x:v>2.2.0</x:v>
      </x:c>
      <x:c r="F107" s="4" t="str">
        <x:v>elements / K1332</x:v>
      </x:c>
      <x:c r="G107" s="4" t="str">
        <x:v>JSON_ORIGINAL_UTF8</x:v>
      </x:c>
      <x:c r="H107" s="4" t="str">
        <x:v>450245</x:v>
      </x:c>
      <x:c r="I107" s="4" t="str">
        <x:v>247</x:v>
      </x:c>
      <x:c r="J107" s="4" t="str">
        <x:v>301480d51a547a28bb4ba8bcb5fa29fe0bc9354bcd99a15cdf5895ea6dd05ee1</x:v>
      </x:c>
      <x:c r="K107" s="4" t="str">
        <x:v>2026-09-08</x:v>
      </x:c>
      <x:c r="L107" s="4" t="str">
        <x:v>SIN_FECHA_DE_ADOPCION</x:v>
      </x:c>
      <x:c r="M107" s="12" t="n">
        <x:f>IF(LEN(J107)=64,0,1)</x:f>
        <x:v>0</x:v>
      </x:c>
      <x:c r="N107" s="12" t="n">
        <x:f>IF(COUNTIF('03_NICE'!$A$5:$A$57,A107)+COUNTIF('04_TKS'!$A$5:$A$72,A107)+COUNTIF('05_Complementos'!$A$5:$A$127,A107)=1,0,1)</x:f>
        <x:v>0</x:v>
      </x:c>
      <x:c r="O107" s="12" t="n">
        <x:f>COUNTIF('08_Trazas'!$A$5:$A$248,A107)-1</x:f>
        <x:v>0</x:v>
      </x:c>
      <x:c r="P107" s="12" t="n">
        <x:f>IF(COUNTIF('02_Custodia'!$A$5:$A$53,C107)=1,0,1)</x:f>
        <x:v>0</x:v>
      </x:c>
    </x:row>
    <x:row r="108" ht="47" customHeight="1">
      <x:c r="A108" s="4" t="str">
        <x:v>K1333</x:v>
      </x:c>
      <x:c r="B108" s="4" t="str">
        <x:v>F001</x:v>
      </x:c>
      <x:c r="C108" s="4" t="str">
        <x:v>F001</x:v>
      </x:c>
      <x:c r="D108" s="4" t="str">
        <x:v>K1333</x:v>
      </x:c>
      <x:c r="E108" s="4" t="str">
        <x:v>2.2.0</x:v>
      </x:c>
      <x:c r="F108" s="4" t="str">
        <x:v>elements / K1333</x:v>
      </x:c>
      <x:c r="G108" s="4" t="str">
        <x:v>JSON_ORIGINAL_UTF8</x:v>
      </x:c>
      <x:c r="H108" s="4" t="str">
        <x:v>450502</x:v>
      </x:c>
      <x:c r="I108" s="4" t="str">
        <x:v>269</x:v>
      </x:c>
      <x:c r="J108" s="4" t="str">
        <x:v>a55fd6c8a872cd0d6dfb2afd618c17738f71936cc900c9811a161509557947cc</x:v>
      </x:c>
      <x:c r="K108" s="4" t="str">
        <x:v>2026-09-08</x:v>
      </x:c>
      <x:c r="L108" s="4" t="str">
        <x:v>SIN_FECHA_DE_ADOPCION</x:v>
      </x:c>
      <x:c r="M108" s="12" t="n">
        <x:f>IF(LEN(J108)=64,0,1)</x:f>
        <x:v>0</x:v>
      </x:c>
      <x:c r="N108" s="12" t="n">
        <x:f>IF(COUNTIF('03_NICE'!$A$5:$A$57,A108)+COUNTIF('04_TKS'!$A$5:$A$72,A108)+COUNTIF('05_Complementos'!$A$5:$A$127,A108)=1,0,1)</x:f>
        <x:v>0</x:v>
      </x:c>
      <x:c r="O108" s="12" t="n">
        <x:f>COUNTIF('08_Trazas'!$A$5:$A$248,A108)-1</x:f>
        <x:v>0</x:v>
      </x:c>
      <x:c r="P108" s="12" t="n">
        <x:f>IF(COUNTIF('02_Custodia'!$A$5:$A$53,C108)=1,0,1)</x:f>
        <x:v>0</x:v>
      </x:c>
    </x:row>
    <x:row r="109" ht="47" customHeight="1">
      <x:c r="A109" s="4" t="str">
        <x:v>K1334</x:v>
      </x:c>
      <x:c r="B109" s="4" t="str">
        <x:v>F001</x:v>
      </x:c>
      <x:c r="C109" s="4" t="str">
        <x:v>F001</x:v>
      </x:c>
      <x:c r="D109" s="4" t="str">
        <x:v>K1334</x:v>
      </x:c>
      <x:c r="E109" s="4" t="str">
        <x:v>2.2.0</x:v>
      </x:c>
      <x:c r="F109" s="4" t="str">
        <x:v>elements / K1334</x:v>
      </x:c>
      <x:c r="G109" s="4" t="str">
        <x:v>JSON_ORIGINAL_UTF8</x:v>
      </x:c>
      <x:c r="H109" s="4" t="str">
        <x:v>450781</x:v>
      </x:c>
      <x:c r="I109" s="4" t="str">
        <x:v>239</x:v>
      </x:c>
      <x:c r="J109" s="4" t="str">
        <x:v>63b665a7d964249e40ebe88f65431deb44f868e8545996c054413f6baa1501a9</x:v>
      </x:c>
      <x:c r="K109" s="4" t="str">
        <x:v>2026-09-08</x:v>
      </x:c>
      <x:c r="L109" s="4" t="str">
        <x:v>SIN_FECHA_DE_ADOPCION</x:v>
      </x:c>
      <x:c r="M109" s="12" t="n">
        <x:f>IF(LEN(J109)=64,0,1)</x:f>
        <x:v>0</x:v>
      </x:c>
      <x:c r="N109" s="12" t="n">
        <x:f>IF(COUNTIF('03_NICE'!$A$5:$A$57,A109)+COUNTIF('04_TKS'!$A$5:$A$72,A109)+COUNTIF('05_Complementos'!$A$5:$A$127,A109)=1,0,1)</x:f>
        <x:v>0</x:v>
      </x:c>
      <x:c r="O109" s="12" t="n">
        <x:f>COUNTIF('08_Trazas'!$A$5:$A$248,A109)-1</x:f>
        <x:v>0</x:v>
      </x:c>
      <x:c r="P109" s="12" t="n">
        <x:f>IF(COUNTIF('02_Custodia'!$A$5:$A$53,C109)=1,0,1)</x:f>
        <x:v>0</x:v>
      </x:c>
    </x:row>
    <x:row r="110" ht="47" customHeight="1">
      <x:c r="A110" s="4" t="str">
        <x:v>K1335</x:v>
      </x:c>
      <x:c r="B110" s="4" t="str">
        <x:v>F001</x:v>
      </x:c>
      <x:c r="C110" s="4" t="str">
        <x:v>F001</x:v>
      </x:c>
      <x:c r="D110" s="4" t="str">
        <x:v>K1335</x:v>
      </x:c>
      <x:c r="E110" s="4" t="str">
        <x:v>2.2.0</x:v>
      </x:c>
      <x:c r="F110" s="4" t="str">
        <x:v>elements / K1335</x:v>
      </x:c>
      <x:c r="G110" s="4" t="str">
        <x:v>JSON_ORIGINAL_UTF8</x:v>
      </x:c>
      <x:c r="H110" s="4" t="str">
        <x:v>451030</x:v>
      </x:c>
      <x:c r="I110" s="4" t="str">
        <x:v>259</x:v>
      </x:c>
      <x:c r="J110" s="4" t="str">
        <x:v>50ff83d0ea5ea6d4924214755553f841f713769d4fab3e00ea8b914088b03ca5</x:v>
      </x:c>
      <x:c r="K110" s="4" t="str">
        <x:v>2026-09-08</x:v>
      </x:c>
      <x:c r="L110" s="4" t="str">
        <x:v>SIN_FECHA_DE_ADOPCION</x:v>
      </x:c>
      <x:c r="M110" s="12" t="n">
        <x:f>IF(LEN(J110)=64,0,1)</x:f>
        <x:v>0</x:v>
      </x:c>
      <x:c r="N110" s="12" t="n">
        <x:f>IF(COUNTIF('03_NICE'!$A$5:$A$57,A110)+COUNTIF('04_TKS'!$A$5:$A$72,A110)+COUNTIF('05_Complementos'!$A$5:$A$127,A110)=1,0,1)</x:f>
        <x:v>0</x:v>
      </x:c>
      <x:c r="O110" s="12" t="n">
        <x:f>COUNTIF('08_Trazas'!$A$5:$A$248,A110)-1</x:f>
        <x:v>0</x:v>
      </x:c>
      <x:c r="P110" s="12" t="n">
        <x:f>IF(COUNTIF('02_Custodia'!$A$5:$A$53,C110)=1,0,1)</x:f>
        <x:v>0</x:v>
      </x:c>
    </x:row>
    <x:row r="111" ht="47" customHeight="1">
      <x:c r="A111" s="4" t="str">
        <x:v>K1336</x:v>
      </x:c>
      <x:c r="B111" s="4" t="str">
        <x:v>F001</x:v>
      </x:c>
      <x:c r="C111" s="4" t="str">
        <x:v>F001</x:v>
      </x:c>
      <x:c r="D111" s="4" t="str">
        <x:v>K1336</x:v>
      </x:c>
      <x:c r="E111" s="4" t="str">
        <x:v>2.2.0</x:v>
      </x:c>
      <x:c r="F111" s="4" t="str">
        <x:v>elements / K1336</x:v>
      </x:c>
      <x:c r="G111" s="4" t="str">
        <x:v>JSON_ORIGINAL_UTF8</x:v>
      </x:c>
      <x:c r="H111" s="4" t="str">
        <x:v>451299</x:v>
      </x:c>
      <x:c r="I111" s="4" t="str">
        <x:v>244</x:v>
      </x:c>
      <x:c r="J111" s="4" t="str">
        <x:v>307206d3e60092fa50a6b2e24e079023f833c92dc85bcd283a3540f1200e347f</x:v>
      </x:c>
      <x:c r="K111" s="4" t="str">
        <x:v>2026-09-08</x:v>
      </x:c>
      <x:c r="L111" s="4" t="str">
        <x:v>SIN_FECHA_DE_ADOPCION</x:v>
      </x:c>
      <x:c r="M111" s="12" t="n">
        <x:f>IF(LEN(J111)=64,0,1)</x:f>
        <x:v>0</x:v>
      </x:c>
      <x:c r="N111" s="12" t="n">
        <x:f>IF(COUNTIF('03_NICE'!$A$5:$A$57,A111)+COUNTIF('04_TKS'!$A$5:$A$72,A111)+COUNTIF('05_Complementos'!$A$5:$A$127,A111)=1,0,1)</x:f>
        <x:v>0</x:v>
      </x:c>
      <x:c r="O111" s="12" t="n">
        <x:f>COUNTIF('08_Trazas'!$A$5:$A$248,A111)-1</x:f>
        <x:v>0</x:v>
      </x:c>
      <x:c r="P111" s="12" t="n">
        <x:f>IF(COUNTIF('02_Custodia'!$A$5:$A$53,C111)=1,0,1)</x:f>
        <x:v>0</x:v>
      </x:c>
    </x:row>
    <x:row r="112" ht="47" customHeight="1">
      <x:c r="A112" s="4" t="str">
        <x:v>K1339</x:v>
      </x:c>
      <x:c r="B112" s="4" t="str">
        <x:v>F001</x:v>
      </x:c>
      <x:c r="C112" s="4" t="str">
        <x:v>F001</x:v>
      </x:c>
      <x:c r="D112" s="4" t="str">
        <x:v>K1339</x:v>
      </x:c>
      <x:c r="E112" s="4" t="str">
        <x:v>2.2.0</x:v>
      </x:c>
      <x:c r="F112" s="4" t="str">
        <x:v>elements / K1339</x:v>
      </x:c>
      <x:c r="G112" s="4" t="str">
        <x:v>JSON_ORIGINAL_UTF8</x:v>
      </x:c>
      <x:c r="H112" s="4" t="str">
        <x:v>452064</x:v>
      </x:c>
      <x:c r="I112" s="4" t="str">
        <x:v>242</x:v>
      </x:c>
      <x:c r="J112" s="4" t="str">
        <x:v>b9eb86268117d7b82b3ed56f4a542e5d8c96148cafe63c429d1c4e2adba6f298</x:v>
      </x:c>
      <x:c r="K112" s="4" t="str">
        <x:v>2026-09-08</x:v>
      </x:c>
      <x:c r="L112" s="4" t="str">
        <x:v>SIN_FECHA_DE_ADOPCION</x:v>
      </x:c>
      <x:c r="M112" s="12" t="n">
        <x:f>IF(LEN(J112)=64,0,1)</x:f>
        <x:v>0</x:v>
      </x:c>
      <x:c r="N112" s="12" t="n">
        <x:f>IF(COUNTIF('03_NICE'!$A$5:$A$57,A112)+COUNTIF('04_TKS'!$A$5:$A$72,A112)+COUNTIF('05_Complementos'!$A$5:$A$127,A112)=1,0,1)</x:f>
        <x:v>0</x:v>
      </x:c>
      <x:c r="O112" s="12" t="n">
        <x:f>COUNTIF('08_Trazas'!$A$5:$A$248,A112)-1</x:f>
        <x:v>0</x:v>
      </x:c>
      <x:c r="P112" s="12" t="n">
        <x:f>IF(COUNTIF('02_Custodia'!$A$5:$A$53,C112)=1,0,1)</x:f>
        <x:v>0</x:v>
      </x:c>
    </x:row>
    <x:row r="113" ht="47" customHeight="1">
      <x:c r="A113" s="4" t="str">
        <x:v>K1341</x:v>
      </x:c>
      <x:c r="B113" s="4" t="str">
        <x:v>F001</x:v>
      </x:c>
      <x:c r="C113" s="4" t="str">
        <x:v>F001</x:v>
      </x:c>
      <x:c r="D113" s="4" t="str">
        <x:v>K1341</x:v>
      </x:c>
      <x:c r="E113" s="4" t="str">
        <x:v>2.2.0</x:v>
      </x:c>
      <x:c r="F113" s="4" t="str">
        <x:v>elements / K1341</x:v>
      </x:c>
      <x:c r="G113" s="4" t="str">
        <x:v>JSON_ORIGINAL_UTF8</x:v>
      </x:c>
      <x:c r="H113" s="4" t="str">
        <x:v>452560</x:v>
      </x:c>
      <x:c r="I113" s="4" t="str">
        <x:v>269</x:v>
      </x:c>
      <x:c r="J113" s="4" t="str">
        <x:v>8c4571e88b43b47dc9a599187b0d627ee2b5efc28dafa4235a69bcb27d1bbd79</x:v>
      </x:c>
      <x:c r="K113" s="4" t="str">
        <x:v>2026-09-08</x:v>
      </x:c>
      <x:c r="L113" s="4" t="str">
        <x:v>SIN_FECHA_DE_ADOPCION</x:v>
      </x:c>
      <x:c r="M113" s="12" t="n">
        <x:f>IF(LEN(J113)=64,0,1)</x:f>
        <x:v>0</x:v>
      </x:c>
      <x:c r="N113" s="12" t="n">
        <x:f>IF(COUNTIF('03_NICE'!$A$5:$A$57,A113)+COUNTIF('04_TKS'!$A$5:$A$72,A113)+COUNTIF('05_Complementos'!$A$5:$A$127,A113)=1,0,1)</x:f>
        <x:v>0</x:v>
      </x:c>
      <x:c r="O113" s="12" t="n">
        <x:f>COUNTIF('08_Trazas'!$A$5:$A$248,A113)-1</x:f>
        <x:v>0</x:v>
      </x:c>
      <x:c r="P113" s="12" t="n">
        <x:f>IF(COUNTIF('02_Custodia'!$A$5:$A$53,C113)=1,0,1)</x:f>
        <x:v>0</x:v>
      </x:c>
    </x:row>
    <x:row r="114" ht="47" customHeight="1">
      <x:c r="A114" s="4" t="str">
        <x:v>K1342</x:v>
      </x:c>
      <x:c r="B114" s="4" t="str">
        <x:v>F001</x:v>
      </x:c>
      <x:c r="C114" s="4" t="str">
        <x:v>F001</x:v>
      </x:c>
      <x:c r="D114" s="4" t="str">
        <x:v>K1342</x:v>
      </x:c>
      <x:c r="E114" s="4" t="str">
        <x:v>2.2.0</x:v>
      </x:c>
      <x:c r="F114" s="4" t="str">
        <x:v>elements / K1342</x:v>
      </x:c>
      <x:c r="G114" s="4" t="str">
        <x:v>JSON_ORIGINAL_UTF8</x:v>
      </x:c>
      <x:c r="H114" s="4" t="str">
        <x:v>452839</x:v>
      </x:c>
      <x:c r="I114" s="4" t="str">
        <x:v>246</x:v>
      </x:c>
      <x:c r="J114" s="4" t="str">
        <x:v>14a833fc9bb0260fa1f0b7dea95b867ac750449765b85518ee5bc8fb2f986e2b</x:v>
      </x:c>
      <x:c r="K114" s="4" t="str">
        <x:v>2026-09-08</x:v>
      </x:c>
      <x:c r="L114" s="4" t="str">
        <x:v>SIN_FECHA_DE_ADOPCION</x:v>
      </x:c>
      <x:c r="M114" s="12" t="n">
        <x:f>IF(LEN(J114)=64,0,1)</x:f>
        <x:v>0</x:v>
      </x:c>
      <x:c r="N114" s="12" t="n">
        <x:f>IF(COUNTIF('03_NICE'!$A$5:$A$57,A114)+COUNTIF('04_TKS'!$A$5:$A$72,A114)+COUNTIF('05_Complementos'!$A$5:$A$127,A114)=1,0,1)</x:f>
        <x:v>0</x:v>
      </x:c>
      <x:c r="O114" s="12" t="n">
        <x:f>COUNTIF('08_Trazas'!$A$5:$A$248,A114)-1</x:f>
        <x:v>0</x:v>
      </x:c>
      <x:c r="P114" s="12" t="n">
        <x:f>IF(COUNTIF('02_Custodia'!$A$5:$A$53,C114)=1,0,1)</x:f>
        <x:v>0</x:v>
      </x:c>
    </x:row>
    <x:row r="115" ht="47" customHeight="1">
      <x:c r="A115" s="4" t="str">
        <x:v>K1343</x:v>
      </x:c>
      <x:c r="B115" s="4" t="str">
        <x:v>F001</x:v>
      </x:c>
      <x:c r="C115" s="4" t="str">
        <x:v>F001</x:v>
      </x:c>
      <x:c r="D115" s="4" t="str">
        <x:v>K1343</x:v>
      </x:c>
      <x:c r="E115" s="4" t="str">
        <x:v>2.2.0</x:v>
      </x:c>
      <x:c r="F115" s="4" t="str">
        <x:v>elements / K1343</x:v>
      </x:c>
      <x:c r="G115" s="4" t="str">
        <x:v>JSON_ORIGINAL_UTF8</x:v>
      </x:c>
      <x:c r="H115" s="4" t="str">
        <x:v>453095</x:v>
      </x:c>
      <x:c r="I115" s="4" t="str">
        <x:v>254</x:v>
      </x:c>
      <x:c r="J115" s="4" t="str">
        <x:v>3f2dc3c5ac69f08f491ab30f28607a8001b4c3599f27e9b919ffb6c3120e31eb</x:v>
      </x:c>
      <x:c r="K115" s="4" t="str">
        <x:v>2026-09-08</x:v>
      </x:c>
      <x:c r="L115" s="4" t="str">
        <x:v>SIN_FECHA_DE_ADOPCION</x:v>
      </x:c>
      <x:c r="M115" s="12" t="n">
        <x:f>IF(LEN(J115)=64,0,1)</x:f>
        <x:v>0</x:v>
      </x:c>
      <x:c r="N115" s="12" t="n">
        <x:f>IF(COUNTIF('03_NICE'!$A$5:$A$57,A115)+COUNTIF('04_TKS'!$A$5:$A$72,A115)+COUNTIF('05_Complementos'!$A$5:$A$127,A115)=1,0,1)</x:f>
        <x:v>0</x:v>
      </x:c>
      <x:c r="O115" s="12" t="n">
        <x:f>COUNTIF('08_Trazas'!$A$5:$A$248,A115)-1</x:f>
        <x:v>0</x:v>
      </x:c>
      <x:c r="P115" s="12" t="n">
        <x:f>IF(COUNTIF('02_Custodia'!$A$5:$A$53,C115)=1,0,1)</x:f>
        <x:v>0</x:v>
      </x:c>
    </x:row>
    <x:row r="116" ht="47" customHeight="1">
      <x:c r="A116" s="4" t="str">
        <x:v>K1345</x:v>
      </x:c>
      <x:c r="B116" s="4" t="str">
        <x:v>F001</x:v>
      </x:c>
      <x:c r="C116" s="4" t="str">
        <x:v>F001</x:v>
      </x:c>
      <x:c r="D116" s="4" t="str">
        <x:v>K1345</x:v>
      </x:c>
      <x:c r="E116" s="4" t="str">
        <x:v>2.2.0</x:v>
      </x:c>
      <x:c r="F116" s="4" t="str">
        <x:v>elements / K1345</x:v>
      </x:c>
      <x:c r="G116" s="4" t="str">
        <x:v>JSON_ORIGINAL_UTF8</x:v>
      </x:c>
      <x:c r="H116" s="4" t="str">
        <x:v>453612</x:v>
      </x:c>
      <x:c r="I116" s="4" t="str">
        <x:v>241</x:v>
      </x:c>
      <x:c r="J116" s="4" t="str">
        <x:v>a415c0c5444984044aa220f303ab499ecd2de6b4b1df2c3f2427da72a641e087</x:v>
      </x:c>
      <x:c r="K116" s="4" t="str">
        <x:v>2026-09-08</x:v>
      </x:c>
      <x:c r="L116" s="4" t="str">
        <x:v>SIN_FECHA_DE_ADOPCION</x:v>
      </x:c>
      <x:c r="M116" s="12" t="n">
        <x:f>IF(LEN(J116)=64,0,1)</x:f>
        <x:v>0</x:v>
      </x:c>
      <x:c r="N116" s="12" t="n">
        <x:f>IF(COUNTIF('03_NICE'!$A$5:$A$57,A116)+COUNTIF('04_TKS'!$A$5:$A$72,A116)+COUNTIF('05_Complementos'!$A$5:$A$127,A116)=1,0,1)</x:f>
        <x:v>0</x:v>
      </x:c>
      <x:c r="O116" s="12" t="n">
        <x:f>COUNTIF('08_Trazas'!$A$5:$A$248,A116)-1</x:f>
        <x:v>0</x:v>
      </x:c>
      <x:c r="P116" s="12" t="n">
        <x:f>IF(COUNTIF('02_Custodia'!$A$5:$A$53,C116)=1,0,1)</x:f>
        <x:v>0</x:v>
      </x:c>
    </x:row>
    <x:row r="117" ht="47" customHeight="1">
      <x:c r="A117" s="4" t="str">
        <x:v>S0443</x:v>
      </x:c>
      <x:c r="B117" s="4" t="str">
        <x:v>F001</x:v>
      </x:c>
      <x:c r="C117" s="4" t="str">
        <x:v>F001</x:v>
      </x:c>
      <x:c r="D117" s="4" t="str">
        <x:v>S0443</x:v>
      </x:c>
      <x:c r="E117" s="4" t="str">
        <x:v>2.2.0</x:v>
      </x:c>
      <x:c r="F117" s="4" t="str">
        <x:v>elements / S0443</x:v>
      </x:c>
      <x:c r="G117" s="4" t="str">
        <x:v>JSON_ORIGINAL_UTF8</x:v>
      </x:c>
      <x:c r="H117" s="4" t="str">
        <x:v>484938</x:v>
      </x:c>
      <x:c r="I117" s="4" t="str">
        <x:v>225</x:v>
      </x:c>
      <x:c r="J117" s="4" t="str">
        <x:v>6b0911819cbc98cc26a03e5167e4a7435fae3c8124d7e1e6a854a5c662f341b8</x:v>
      </x:c>
      <x:c r="K117" s="4" t="str">
        <x:v>2026-09-08</x:v>
      </x:c>
      <x:c r="L117" s="4" t="str">
        <x:v>SIN_FECHA_DE_ADOPCION</x:v>
      </x:c>
      <x:c r="M117" s="12" t="n">
        <x:f>IF(LEN(J117)=64,0,1)</x:f>
        <x:v>0</x:v>
      </x:c>
      <x:c r="N117" s="12" t="n">
        <x:f>IF(COUNTIF('03_NICE'!$A$5:$A$57,A117)+COUNTIF('04_TKS'!$A$5:$A$72,A117)+COUNTIF('05_Complementos'!$A$5:$A$127,A117)=1,0,1)</x:f>
        <x:v>0</x:v>
      </x:c>
      <x:c r="O117" s="12" t="n">
        <x:f>COUNTIF('08_Trazas'!$A$5:$A$248,A117)-1</x:f>
        <x:v>0</x:v>
      </x:c>
      <x:c r="P117" s="12" t="n">
        <x:f>IF(COUNTIF('02_Custodia'!$A$5:$A$53,C117)=1,0,1)</x:f>
        <x:v>0</x:v>
      </x:c>
    </x:row>
    <x:row r="118" ht="47" customHeight="1">
      <x:c r="A118" s="4" t="str">
        <x:v>S0480</x:v>
      </x:c>
      <x:c r="B118" s="4" t="str">
        <x:v>F001</x:v>
      </x:c>
      <x:c r="C118" s="4" t="str">
        <x:v>F001</x:v>
      </x:c>
      <x:c r="D118" s="4" t="str">
        <x:v>S0480</x:v>
      </x:c>
      <x:c r="E118" s="4" t="str">
        <x:v>2.2.0</x:v>
      </x:c>
      <x:c r="F118" s="4" t="str">
        <x:v>elements / S0480</x:v>
      </x:c>
      <x:c r="G118" s="4" t="str">
        <x:v>JSON_ORIGINAL_UTF8</x:v>
      </x:c>
      <x:c r="H118" s="4" t="str">
        <x:v>493828</x:v>
      </x:c>
      <x:c r="I118" s="4" t="str">
        <x:v>232</x:v>
      </x:c>
      <x:c r="J118" s="4" t="str">
        <x:v>76fb67acadfedcb6477b01daedf4373094766465099a85a237ed1e15986d7a69</x:v>
      </x:c>
      <x:c r="K118" s="4" t="str">
        <x:v>2026-09-08</x:v>
      </x:c>
      <x:c r="L118" s="4" t="str">
        <x:v>SIN_FECHA_DE_ADOPCION</x:v>
      </x:c>
      <x:c r="M118" s="12" t="n">
        <x:f>IF(LEN(J118)=64,0,1)</x:f>
        <x:v>0</x:v>
      </x:c>
      <x:c r="N118" s="12" t="n">
        <x:f>IF(COUNTIF('03_NICE'!$A$5:$A$57,A118)+COUNTIF('04_TKS'!$A$5:$A$72,A118)+COUNTIF('05_Complementos'!$A$5:$A$127,A118)=1,0,1)</x:f>
        <x:v>0</x:v>
      </x:c>
      <x:c r="O118" s="12" t="n">
        <x:f>COUNTIF('08_Trazas'!$A$5:$A$248,A118)-1</x:f>
        <x:v>0</x:v>
      </x:c>
      <x:c r="P118" s="12" t="n">
        <x:f>IF(COUNTIF('02_Custodia'!$A$5:$A$53,C118)=1,0,1)</x:f>
        <x:v>0</x:v>
      </x:c>
    </x:row>
    <x:row r="119" ht="47" customHeight="1">
      <x:c r="A119" s="4" t="str">
        <x:v>S0900</x:v>
      </x:c>
      <x:c r="B119" s="4" t="str">
        <x:v>F001</x:v>
      </x:c>
      <x:c r="C119" s="4" t="str">
        <x:v>F001</x:v>
      </x:c>
      <x:c r="D119" s="4" t="str">
        <x:v>S0900</x:v>
      </x:c>
      <x:c r="E119" s="4" t="str">
        <x:v>2.2.0</x:v>
      </x:c>
      <x:c r="F119" s="4" t="str">
        <x:v>elements / S0900</x:v>
      </x:c>
      <x:c r="G119" s="4" t="str">
        <x:v>JSON_ORIGINAL_UTF8</x:v>
      </x:c>
      <x:c r="H119" s="4" t="str">
        <x:v>579602</x:v>
      </x:c>
      <x:c r="I119" s="4" t="str">
        <x:v>241</x:v>
      </x:c>
      <x:c r="J119" s="4" t="str">
        <x:v>f3eea923541148c109028a5ee92e659b97a4c57cc2a0693583021282111bae4c</x:v>
      </x:c>
      <x:c r="K119" s="4" t="str">
        <x:v>2026-09-08</x:v>
      </x:c>
      <x:c r="L119" s="4" t="str">
        <x:v>SIN_FECHA_DE_ADOPCION</x:v>
      </x:c>
      <x:c r="M119" s="12" t="n">
        <x:f>IF(LEN(J119)=64,0,1)</x:f>
        <x:v>0</x:v>
      </x:c>
      <x:c r="N119" s="12" t="n">
        <x:f>IF(COUNTIF('03_NICE'!$A$5:$A$57,A119)+COUNTIF('04_TKS'!$A$5:$A$72,A119)+COUNTIF('05_Complementos'!$A$5:$A$127,A119)=1,0,1)</x:f>
        <x:v>0</x:v>
      </x:c>
      <x:c r="O119" s="12" t="n">
        <x:f>COUNTIF('08_Trazas'!$A$5:$A$248,A119)-1</x:f>
        <x:v>0</x:v>
      </x:c>
      <x:c r="P119" s="12" t="n">
        <x:f>IF(COUNTIF('02_Custodia'!$A$5:$A$53,C119)=1,0,1)</x:f>
        <x:v>0</x:v>
      </x:c>
    </x:row>
    <x:row r="120" ht="47" customHeight="1">
      <x:c r="A120" s="4" t="str">
        <x:v>S0952</x:v>
      </x:c>
      <x:c r="B120" s="4" t="str">
        <x:v>F001</x:v>
      </x:c>
      <x:c r="C120" s="4" t="str">
        <x:v>F001</x:v>
      </x:c>
      <x:c r="D120" s="4" t="str">
        <x:v>S0952</x:v>
      </x:c>
      <x:c r="E120" s="4" t="str">
        <x:v>2.2.0</x:v>
      </x:c>
      <x:c r="F120" s="4" t="str">
        <x:v>elements / S0952</x:v>
      </x:c>
      <x:c r="G120" s="4" t="str">
        <x:v>JSON_ORIGINAL_UTF8</x:v>
      </x:c>
      <x:c r="H120" s="4" t="str">
        <x:v>591651</x:v>
      </x:c>
      <x:c r="I120" s="4" t="str">
        <x:v>237</x:v>
      </x:c>
      <x:c r="J120" s="4" t="str">
        <x:v>db37853f8ceae3085b1755602bd6ea4ef0acecd51b2760fc6ab77d353025d6ba</x:v>
      </x:c>
      <x:c r="K120" s="4" t="str">
        <x:v>2026-09-08</x:v>
      </x:c>
      <x:c r="L120" s="4" t="str">
        <x:v>SIN_FECHA_DE_ADOPCION</x:v>
      </x:c>
      <x:c r="M120" s="12" t="n">
        <x:f>IF(LEN(J120)=64,0,1)</x:f>
        <x:v>0</x:v>
      </x:c>
      <x:c r="N120" s="12" t="n">
        <x:f>IF(COUNTIF('03_NICE'!$A$5:$A$57,A120)+COUNTIF('04_TKS'!$A$5:$A$72,A120)+COUNTIF('05_Complementos'!$A$5:$A$127,A120)=1,0,1)</x:f>
        <x:v>0</x:v>
      </x:c>
      <x:c r="O120" s="12" t="n">
        <x:f>COUNTIF('08_Trazas'!$A$5:$A$248,A120)-1</x:f>
        <x:v>0</x:v>
      </x:c>
      <x:c r="P120" s="12" t="n">
        <x:f>IF(COUNTIF('02_Custodia'!$A$5:$A$53,C120)=1,0,1)</x:f>
        <x:v>0</x:v>
      </x:c>
    </x:row>
    <x:row r="121" ht="47" customHeight="1">
      <x:c r="A121" s="4" t="str">
        <x:v>S0954</x:v>
      </x:c>
      <x:c r="B121" s="4" t="str">
        <x:v>F001</x:v>
      </x:c>
      <x:c r="C121" s="4" t="str">
        <x:v>F001</x:v>
      </x:c>
      <x:c r="D121" s="4" t="str">
        <x:v>S0954</x:v>
      </x:c>
      <x:c r="E121" s="4" t="str">
        <x:v>2.2.0</x:v>
      </x:c>
      <x:c r="F121" s="4" t="str">
        <x:v>elements / S0954</x:v>
      </x:c>
      <x:c r="G121" s="4" t="str">
        <x:v>JSON_ORIGINAL_UTF8</x:v>
      </x:c>
      <x:c r="H121" s="4" t="str">
        <x:v>592150</x:v>
      </x:c>
      <x:c r="I121" s="4" t="str">
        <x:v>257</x:v>
      </x:c>
      <x:c r="J121" s="4" t="str">
        <x:v>0eaa0762c12ae526ff4de160121f9b2b2c33fb960543707cfc6af9f9887d568d</x:v>
      </x:c>
      <x:c r="K121" s="4" t="str">
        <x:v>2026-09-08</x:v>
      </x:c>
      <x:c r="L121" s="4" t="str">
        <x:v>SIN_FECHA_DE_ADOPCION</x:v>
      </x:c>
      <x:c r="M121" s="12" t="n">
        <x:f>IF(LEN(J121)=64,0,1)</x:f>
        <x:v>0</x:v>
      </x:c>
      <x:c r="N121" s="12" t="n">
        <x:f>IF(COUNTIF('03_NICE'!$A$5:$A$57,A121)+COUNTIF('04_TKS'!$A$5:$A$72,A121)+COUNTIF('05_Complementos'!$A$5:$A$127,A121)=1,0,1)</x:f>
        <x:v>0</x:v>
      </x:c>
      <x:c r="O121" s="12" t="n">
        <x:f>COUNTIF('08_Trazas'!$A$5:$A$248,A121)-1</x:f>
        <x:v>0</x:v>
      </x:c>
      <x:c r="P121" s="12" t="n">
        <x:f>IF(COUNTIF('02_Custodia'!$A$5:$A$53,C121)=1,0,1)</x:f>
        <x:v>0</x:v>
      </x:c>
    </x:row>
    <x:row r="122" ht="47" customHeight="1">
      <x:c r="A122" s="4" t="str">
        <x:v>S0955</x:v>
      </x:c>
      <x:c r="B122" s="4" t="str">
        <x:v>F001</x:v>
      </x:c>
      <x:c r="C122" s="4" t="str">
        <x:v>F001</x:v>
      </x:c>
      <x:c r="D122" s="4" t="str">
        <x:v>S0955</x:v>
      </x:c>
      <x:c r="E122" s="4" t="str">
        <x:v>2.2.0</x:v>
      </x:c>
      <x:c r="F122" s="4" t="str">
        <x:v>elements / S0955</x:v>
      </x:c>
      <x:c r="G122" s="4" t="str">
        <x:v>JSON_ORIGINAL_UTF8</x:v>
      </x:c>
      <x:c r="H122" s="4" t="str">
        <x:v>592417</x:v>
      </x:c>
      <x:c r="I122" s="4" t="str">
        <x:v>232</x:v>
      </x:c>
      <x:c r="J122" s="4" t="str">
        <x:v>546cf709b7d764418ba1b095ca901a4dd8785d800978c62c07a6f51aa93fe1ac</x:v>
      </x:c>
      <x:c r="K122" s="4" t="str">
        <x:v>2026-09-08</x:v>
      </x:c>
      <x:c r="L122" s="4" t="str">
        <x:v>SIN_FECHA_DE_ADOPCION</x:v>
      </x:c>
      <x:c r="M122" s="12" t="n">
        <x:f>IF(LEN(J122)=64,0,1)</x:f>
        <x:v>0</x:v>
      </x:c>
      <x:c r="N122" s="12" t="n">
        <x:f>IF(COUNTIF('03_NICE'!$A$5:$A$57,A122)+COUNTIF('04_TKS'!$A$5:$A$72,A122)+COUNTIF('05_Complementos'!$A$5:$A$127,A122)=1,0,1)</x:f>
        <x:v>0</x:v>
      </x:c>
      <x:c r="O122" s="12" t="n">
        <x:f>COUNTIF('08_Trazas'!$A$5:$A$248,A122)-1</x:f>
        <x:v>0</x:v>
      </x:c>
      <x:c r="P122" s="12" t="n">
        <x:f>IF(COUNTIF('02_Custodia'!$A$5:$A$53,C122)=1,0,1)</x:f>
        <x:v>0</x:v>
      </x:c>
    </x:row>
    <x:row r="123" ht="47" customHeight="1">
      <x:c r="A123" s="4" t="str">
        <x:v>S0956</x:v>
      </x:c>
      <x:c r="B123" s="4" t="str">
        <x:v>F001</x:v>
      </x:c>
      <x:c r="C123" s="4" t="str">
        <x:v>F001</x:v>
      </x:c>
      <x:c r="D123" s="4" t="str">
        <x:v>S0956</x:v>
      </x:c>
      <x:c r="E123" s="4" t="str">
        <x:v>2.2.0</x:v>
      </x:c>
      <x:c r="F123" s="4" t="str">
        <x:v>elements / S0956</x:v>
      </x:c>
      <x:c r="G123" s="4" t="str">
        <x:v>JSON_ORIGINAL_UTF8</x:v>
      </x:c>
      <x:c r="H123" s="4" t="str">
        <x:v>592659</x:v>
      </x:c>
      <x:c r="I123" s="4" t="str">
        <x:v>238</x:v>
      </x:c>
      <x:c r="J123" s="4" t="str">
        <x:v>7623da9347f60d3e627bd499b6dd6178b278b2e4e9da40ccef0f2243f26a801d</x:v>
      </x:c>
      <x:c r="K123" s="4" t="str">
        <x:v>2026-09-08</x:v>
      </x:c>
      <x:c r="L123" s="4" t="str">
        <x:v>SIN_FECHA_DE_ADOPCION</x:v>
      </x:c>
      <x:c r="M123" s="12" t="n">
        <x:f>IF(LEN(J123)=64,0,1)</x:f>
        <x:v>0</x:v>
      </x:c>
      <x:c r="N123" s="12" t="n">
        <x:f>IF(COUNTIF('03_NICE'!$A$5:$A$57,A123)+COUNTIF('04_TKS'!$A$5:$A$72,A123)+COUNTIF('05_Complementos'!$A$5:$A$127,A123)=1,0,1)</x:f>
        <x:v>0</x:v>
      </x:c>
      <x:c r="O123" s="12" t="n">
        <x:f>COUNTIF('08_Trazas'!$A$5:$A$248,A123)-1</x:f>
        <x:v>0</x:v>
      </x:c>
      <x:c r="P123" s="12" t="n">
        <x:f>IF(COUNTIF('02_Custodia'!$A$5:$A$53,C123)=1,0,1)</x:f>
        <x:v>0</x:v>
      </x:c>
    </x:row>
    <x:row r="124" ht="47" customHeight="1">
      <x:c r="A124" s="4" t="str">
        <x:v>S0957</x:v>
      </x:c>
      <x:c r="B124" s="4" t="str">
        <x:v>F001</x:v>
      </x:c>
      <x:c r="C124" s="4" t="str">
        <x:v>F001</x:v>
      </x:c>
      <x:c r="D124" s="4" t="str">
        <x:v>S0957</x:v>
      </x:c>
      <x:c r="E124" s="4" t="str">
        <x:v>2.2.0</x:v>
      </x:c>
      <x:c r="F124" s="4" t="str">
        <x:v>elements / S0957</x:v>
      </x:c>
      <x:c r="G124" s="4" t="str">
        <x:v>JSON_ORIGINAL_UTF8</x:v>
      </x:c>
      <x:c r="H124" s="4" t="str">
        <x:v>592907</x:v>
      </x:c>
      <x:c r="I124" s="4" t="str">
        <x:v>269</x:v>
      </x:c>
      <x:c r="J124" s="4" t="str">
        <x:v>c821dc999a818699c47139f3bd479ea1f437ce61bf86dddffa476d6b71a25b84</x:v>
      </x:c>
      <x:c r="K124" s="4" t="str">
        <x:v>2026-09-08</x:v>
      </x:c>
      <x:c r="L124" s="4" t="str">
        <x:v>SIN_FECHA_DE_ADOPCION</x:v>
      </x:c>
      <x:c r="M124" s="12" t="n">
        <x:f>IF(LEN(J124)=64,0,1)</x:f>
        <x:v>0</x:v>
      </x:c>
      <x:c r="N124" s="12" t="n">
        <x:f>IF(COUNTIF('03_NICE'!$A$5:$A$57,A124)+COUNTIF('04_TKS'!$A$5:$A$72,A124)+COUNTIF('05_Complementos'!$A$5:$A$127,A124)=1,0,1)</x:f>
        <x:v>0</x:v>
      </x:c>
      <x:c r="O124" s="12" t="n">
        <x:f>COUNTIF('08_Trazas'!$A$5:$A$248,A124)-1</x:f>
        <x:v>0</x:v>
      </x:c>
      <x:c r="P124" s="12" t="n">
        <x:f>IF(COUNTIF('02_Custodia'!$A$5:$A$53,C124)=1,0,1)</x:f>
        <x:v>0</x:v>
      </x:c>
    </x:row>
    <x:row r="125" ht="47" customHeight="1">
      <x:c r="A125" s="4" t="str">
        <x:v>S0958</x:v>
      </x:c>
      <x:c r="B125" s="4" t="str">
        <x:v>F001</x:v>
      </x:c>
      <x:c r="C125" s="4" t="str">
        <x:v>F001</x:v>
      </x:c>
      <x:c r="D125" s="4" t="str">
        <x:v>S0958</x:v>
      </x:c>
      <x:c r="E125" s="4" t="str">
        <x:v>2.2.0</x:v>
      </x:c>
      <x:c r="F125" s="4" t="str">
        <x:v>elements / S0958</x:v>
      </x:c>
      <x:c r="G125" s="4" t="str">
        <x:v>JSON_ORIGINAL_UTF8</x:v>
      </x:c>
      <x:c r="H125" s="4" t="str">
        <x:v>593186</x:v>
      </x:c>
      <x:c r="I125" s="4" t="str">
        <x:v>228</x:v>
      </x:c>
      <x:c r="J125" s="4" t="str">
        <x:v>94c65a1bde923d497b434ae080218af01b4dba8e6a0215d42306f4e88895a77a</x:v>
      </x:c>
      <x:c r="K125" s="4" t="str">
        <x:v>2026-09-08</x:v>
      </x:c>
      <x:c r="L125" s="4" t="str">
        <x:v>SIN_FECHA_DE_ADOPCION</x:v>
      </x:c>
      <x:c r="M125" s="12" t="n">
        <x:f>IF(LEN(J125)=64,0,1)</x:f>
        <x:v>0</x:v>
      </x:c>
      <x:c r="N125" s="12" t="n">
        <x:f>IF(COUNTIF('03_NICE'!$A$5:$A$57,A125)+COUNTIF('04_TKS'!$A$5:$A$72,A125)+COUNTIF('05_Complementos'!$A$5:$A$127,A125)=1,0,1)</x:f>
        <x:v>0</x:v>
      </x:c>
      <x:c r="O125" s="12" t="n">
        <x:f>COUNTIF('08_Trazas'!$A$5:$A$248,A125)-1</x:f>
        <x:v>0</x:v>
      </x:c>
      <x:c r="P125" s="12" t="n">
        <x:f>IF(COUNTIF('02_Custodia'!$A$5:$A$53,C125)=1,0,1)</x:f>
        <x:v>0</x:v>
      </x:c>
    </x:row>
    <x:row r="126" ht="47" customHeight="1">
      <x:c r="A126" s="4" t="str">
        <x:v>CP-001</x:v>
      </x:c>
      <x:c r="B126" s="4" t="str">
        <x:v>F003</x:v>
      </x:c>
      <x:c r="C126" s="4" t="str">
        <x:v>F003</x:v>
      </x:c>
      <x:c r="D126" s="4" t="str">
        <x:v>§4; área Data Security</x:v>
      </x:c>
      <x:c r="E126" s="4" t="str">
        <x:v>1.0; 31-12-2017</x:v>
      </x:c>
      <x:c r="F126" s="4" t="str">
        <x:v>página física 6</x:v>
      </x:c>
      <x:c r="G126" s="4" t="str">
        <x:v>ROTULO_EN_TEXTO_EXTRAIDO_UTF8</x:v>
      </x:c>
      <x:c r="H126" s="4" t="str">
        <x:v>5925</x:v>
      </x:c>
      <x:c r="I126" s="4" t="str">
        <x:v>13</x:v>
      </x:c>
      <x:c r="J126" s="4" t="str">
        <x:v>852ccc4f614ef53e4e877e3232f387d30acc304d39d73b5e7435a1d9c612f892</x:v>
      </x:c>
      <x:c r="K126" s="4" t="str">
        <x:v>2026-09-08</x:v>
      </x:c>
      <x:c r="L126" s="4" t="str">
        <x:v>SIN_FECHA_DE_ADOPCION</x:v>
      </x:c>
      <x:c r="M126" s="12" t="n">
        <x:f>IF(LEN(J126)=64,0,1)</x:f>
        <x:v>0</x:v>
      </x:c>
      <x:c r="N126" s="12" t="n">
        <x:f>IF(COUNTIF('03_NICE'!$A$5:$A$57,A126)+COUNTIF('04_TKS'!$A$5:$A$72,A126)+COUNTIF('05_Complementos'!$A$5:$A$127,A126)=1,0,1)</x:f>
        <x:v>0</x:v>
      </x:c>
      <x:c r="O126" s="12" t="n">
        <x:f>COUNTIF('08_Trazas'!$A$5:$A$248,A126)-1</x:f>
        <x:v>0</x:v>
      </x:c>
      <x:c r="P126" s="12" t="n">
        <x:f>IF(COUNTIF('02_Custodia'!$A$5:$A$53,C126)=1,0,1)</x:f>
        <x:v>0</x:v>
      </x:c>
    </x:row>
    <x:row r="127" ht="47" customHeight="1">
      <x:c r="A127" s="4" t="str">
        <x:v>CP-002</x:v>
      </x:c>
      <x:c r="B127" s="4" t="str">
        <x:v>F003</x:v>
      </x:c>
      <x:c r="C127" s="4" t="str">
        <x:v>F003</x:v>
      </x:c>
      <x:c r="D127" s="4" t="str">
        <x:v>§4; área Software Security</x:v>
      </x:c>
      <x:c r="E127" s="4" t="str">
        <x:v>1.0; 31-12-2017</x:v>
      </x:c>
      <x:c r="F127" s="4" t="str">
        <x:v>página física 6</x:v>
      </x:c>
      <x:c r="G127" s="4" t="str">
        <x:v>ROTULO_EN_TEXTO_EXTRAIDO_UTF8</x:v>
      </x:c>
      <x:c r="H127" s="4" t="str">
        <x:v>6043</x:v>
      </x:c>
      <x:c r="I127" s="4" t="str">
        <x:v>17</x:v>
      </x:c>
      <x:c r="J127" s="4" t="str">
        <x:v>cbc6c126bb7652d587243ebd8589417e4b6025547444fa75ef9e18dfba5704ff</x:v>
      </x:c>
      <x:c r="K127" s="4" t="str">
        <x:v>2026-09-08</x:v>
      </x:c>
      <x:c r="L127" s="4" t="str">
        <x:v>SIN_FECHA_DE_ADOPCION</x:v>
      </x:c>
      <x:c r="M127" s="12" t="n">
        <x:f>IF(LEN(J127)=64,0,1)</x:f>
        <x:v>0</x:v>
      </x:c>
      <x:c r="N127" s="12" t="n">
        <x:f>IF(COUNTIF('03_NICE'!$A$5:$A$57,A127)+COUNTIF('04_TKS'!$A$5:$A$72,A127)+COUNTIF('05_Complementos'!$A$5:$A$127,A127)=1,0,1)</x:f>
        <x:v>0</x:v>
      </x:c>
      <x:c r="O127" s="12" t="n">
        <x:f>COUNTIF('08_Trazas'!$A$5:$A$248,A127)-1</x:f>
        <x:v>0</x:v>
      </x:c>
      <x:c r="P127" s="12" t="n">
        <x:f>IF(COUNTIF('02_Custodia'!$A$5:$A$53,C127)=1,0,1)</x:f>
        <x:v>0</x:v>
      </x:c>
    </x:row>
    <x:row r="128" ht="47" customHeight="1">
      <x:c r="A128" s="4" t="str">
        <x:v>CP-003</x:v>
      </x:c>
      <x:c r="B128" s="4" t="str">
        <x:v>F003</x:v>
      </x:c>
      <x:c r="C128" s="4" t="str">
        <x:v>F003</x:v>
      </x:c>
      <x:c r="D128" s="4" t="str">
        <x:v>§4; área Component Security</x:v>
      </x:c>
      <x:c r="E128" s="4" t="str">
        <x:v>1.0; 31-12-2017</x:v>
      </x:c>
      <x:c r="F128" s="4" t="str">
        <x:v>página física 6</x:v>
      </x:c>
      <x:c r="G128" s="4" t="str">
        <x:v>ROTULO_EN_TEXTO_EXTRAIDO_UTF8</x:v>
      </x:c>
      <x:c r="H128" s="4" t="str">
        <x:v>6165</x:v>
      </x:c>
      <x:c r="I128" s="4" t="str">
        <x:v>18</x:v>
      </x:c>
      <x:c r="J128" s="4" t="str">
        <x:v>bae95a9f0dadc79bd1b2f8bfc304eeee0c8a035f3c37e3d6fd81833063b235c5</x:v>
      </x:c>
      <x:c r="K128" s="4" t="str">
        <x:v>2026-09-08</x:v>
      </x:c>
      <x:c r="L128" s="4" t="str">
        <x:v>SIN_FECHA_DE_ADOPCION</x:v>
      </x:c>
      <x:c r="M128" s="12" t="n">
        <x:f>IF(LEN(J128)=64,0,1)</x:f>
        <x:v>0</x:v>
      </x:c>
      <x:c r="N128" s="12" t="n">
        <x:f>IF(COUNTIF('03_NICE'!$A$5:$A$57,A128)+COUNTIF('04_TKS'!$A$5:$A$72,A128)+COUNTIF('05_Complementos'!$A$5:$A$127,A128)=1,0,1)</x:f>
        <x:v>0</x:v>
      </x:c>
      <x:c r="O128" s="12" t="n">
        <x:f>COUNTIF('08_Trazas'!$A$5:$A$248,A128)-1</x:f>
        <x:v>0</x:v>
      </x:c>
      <x:c r="P128" s="12" t="n">
        <x:f>IF(COUNTIF('02_Custodia'!$A$5:$A$53,C128)=1,0,1)</x:f>
        <x:v>0</x:v>
      </x:c>
    </x:row>
    <x:row r="129" ht="47" customHeight="1">
      <x:c r="A129" s="4" t="str">
        <x:v>CP-004</x:v>
      </x:c>
      <x:c r="B129" s="4" t="str">
        <x:v>F003</x:v>
      </x:c>
      <x:c r="C129" s="4" t="str">
        <x:v>F003</x:v>
      </x:c>
      <x:c r="D129" s="4" t="str">
        <x:v>§4; área Connection Security</x:v>
      </x:c>
      <x:c r="E129" s="4" t="str">
        <x:v>1.0; 31-12-2017</x:v>
      </x:c>
      <x:c r="F129" s="4" t="str">
        <x:v>página física 7</x:v>
      </x:c>
      <x:c r="G129" s="4" t="str">
        <x:v>ROTULO_EN_TEXTO_EXTRAIDO_UTF8</x:v>
      </x:c>
      <x:c r="H129" s="4" t="str">
        <x:v>6375</x:v>
      </x:c>
      <x:c r="I129" s="4" t="str">
        <x:v>19</x:v>
      </x:c>
      <x:c r="J129" s="4" t="str">
        <x:v>88eadf8c146266c4c757a2a1263c7985c83c79a23aebd6607fa962dc8715e106</x:v>
      </x:c>
      <x:c r="K129" s="4" t="str">
        <x:v>2026-09-08</x:v>
      </x:c>
      <x:c r="L129" s="4" t="str">
        <x:v>SIN_FECHA_DE_ADOPCION</x:v>
      </x:c>
      <x:c r="M129" s="12" t="n">
        <x:f>IF(LEN(J129)=64,0,1)</x:f>
        <x:v>0</x:v>
      </x:c>
      <x:c r="N129" s="12" t="n">
        <x:f>IF(COUNTIF('03_NICE'!$A$5:$A$57,A129)+COUNTIF('04_TKS'!$A$5:$A$72,A129)+COUNTIF('05_Complementos'!$A$5:$A$127,A129)=1,0,1)</x:f>
        <x:v>0</x:v>
      </x:c>
      <x:c r="O129" s="12" t="n">
        <x:f>COUNTIF('08_Trazas'!$A$5:$A$248,A129)-1</x:f>
        <x:v>0</x:v>
      </x:c>
      <x:c r="P129" s="12" t="n">
        <x:f>IF(COUNTIF('02_Custodia'!$A$5:$A$53,C129)=1,0,1)</x:f>
        <x:v>0</x:v>
      </x:c>
    </x:row>
    <x:row r="130" ht="47" customHeight="1">
      <x:c r="A130" s="4" t="str">
        <x:v>CP-005</x:v>
      </x:c>
      <x:c r="B130" s="4" t="str">
        <x:v>F003</x:v>
      </x:c>
      <x:c r="C130" s="4" t="str">
        <x:v>F003</x:v>
      </x:c>
      <x:c r="D130" s="4" t="str">
        <x:v>§4; área System Security</x:v>
      </x:c>
      <x:c r="E130" s="4" t="str">
        <x:v>1.0; 31-12-2017</x:v>
      </x:c>
      <x:c r="F130" s="4" t="str">
        <x:v>página física 7</x:v>
      </x:c>
      <x:c r="G130" s="4" t="str">
        <x:v>ROTULO_EN_TEXTO_EXTRAIDO_UTF8</x:v>
      </x:c>
      <x:c r="H130" s="4" t="str">
        <x:v>6499</x:v>
      </x:c>
      <x:c r="I130" s="4" t="str">
        <x:v>15</x:v>
      </x:c>
      <x:c r="J130" s="4" t="str">
        <x:v>cc19147dc275fc05114a2a1d7f24917fdfe7b5f5164bca33cd1980e88ce82ded</x:v>
      </x:c>
      <x:c r="K130" s="4" t="str">
        <x:v>2026-09-08</x:v>
      </x:c>
      <x:c r="L130" s="4" t="str">
        <x:v>SIN_FECHA_DE_ADOPCION</x:v>
      </x:c>
      <x:c r="M130" s="12" t="n">
        <x:f>IF(LEN(J130)=64,0,1)</x:f>
        <x:v>0</x:v>
      </x:c>
      <x:c r="N130" s="12" t="n">
        <x:f>IF(COUNTIF('03_NICE'!$A$5:$A$57,A130)+COUNTIF('04_TKS'!$A$5:$A$72,A130)+COUNTIF('05_Complementos'!$A$5:$A$127,A130)=1,0,1)</x:f>
        <x:v>0</x:v>
      </x:c>
      <x:c r="O130" s="12" t="n">
        <x:f>COUNTIF('08_Trazas'!$A$5:$A$248,A130)-1</x:f>
        <x:v>0</x:v>
      </x:c>
      <x:c r="P130" s="12" t="n">
        <x:f>IF(COUNTIF('02_Custodia'!$A$5:$A$53,C130)=1,0,1)</x:f>
        <x:v>0</x:v>
      </x:c>
    </x:row>
    <x:row r="131" ht="47" customHeight="1">
      <x:c r="A131" s="4" t="str">
        <x:v>CP-006</x:v>
      </x:c>
      <x:c r="B131" s="4" t="str">
        <x:v>F003</x:v>
      </x:c>
      <x:c r="C131" s="4" t="str">
        <x:v>F003</x:v>
      </x:c>
      <x:c r="D131" s="4" t="str">
        <x:v>§4; área Human Security</x:v>
      </x:c>
      <x:c r="E131" s="4" t="str">
        <x:v>1.0; 31-12-2017</x:v>
      </x:c>
      <x:c r="F131" s="4" t="str">
        <x:v>página física 7</x:v>
      </x:c>
      <x:c r="G131" s="4" t="str">
        <x:v>ROTULO_EN_TEXTO_EXTRAIDO_UTF8</x:v>
      </x:c>
      <x:c r="H131" s="4" t="str">
        <x:v>6619</x:v>
      </x:c>
      <x:c r="I131" s="4" t="str">
        <x:v>14</x:v>
      </x:c>
      <x:c r="J131" s="4" t="str">
        <x:v>f6b9a32d9714028d85ee59340fcc43c001f688451b76797fbca1ad7112961355</x:v>
      </x:c>
      <x:c r="K131" s="4" t="str">
        <x:v>2026-09-08</x:v>
      </x:c>
      <x:c r="L131" s="4" t="str">
        <x:v>SIN_FECHA_DE_ADOPCION</x:v>
      </x:c>
      <x:c r="M131" s="12" t="n">
        <x:f>IF(LEN(J131)=64,0,1)</x:f>
        <x:v>0</x:v>
      </x:c>
      <x:c r="N131" s="12" t="n">
        <x:f>IF(COUNTIF('03_NICE'!$A$5:$A$57,A131)+COUNTIF('04_TKS'!$A$5:$A$72,A131)+COUNTIF('05_Complementos'!$A$5:$A$127,A131)=1,0,1)</x:f>
        <x:v>0</x:v>
      </x:c>
      <x:c r="O131" s="12" t="n">
        <x:f>COUNTIF('08_Trazas'!$A$5:$A$248,A131)-1</x:f>
        <x:v>0</x:v>
      </x:c>
      <x:c r="P131" s="12" t="n">
        <x:f>IF(COUNTIF('02_Custodia'!$A$5:$A$53,C131)=1,0,1)</x:f>
        <x:v>0</x:v>
      </x:c>
    </x:row>
    <x:row r="132" ht="47" customHeight="1">
      <x:c r="A132" s="4" t="str">
        <x:v>CP-007</x:v>
      </x:c>
      <x:c r="B132" s="4" t="str">
        <x:v>F003</x:v>
      </x:c>
      <x:c r="C132" s="4" t="str">
        <x:v>F003</x:v>
      </x:c>
      <x:c r="D132" s="4" t="str">
        <x:v>§4; área Organizational Security</x:v>
      </x:c>
      <x:c r="E132" s="4" t="str">
        <x:v>1.0; 31-12-2017</x:v>
      </x:c>
      <x:c r="F132" s="4" t="str">
        <x:v>página física 7</x:v>
      </x:c>
      <x:c r="G132" s="4" t="str">
        <x:v>ROTULO_EN_TEXTO_EXTRAIDO_UTF8</x:v>
      </x:c>
      <x:c r="H132" s="4" t="str">
        <x:v>6738</x:v>
      </x:c>
      <x:c r="I132" s="4" t="str">
        <x:v>23</x:v>
      </x:c>
      <x:c r="J132" s="4" t="str">
        <x:v>e90bbdbb053215768565b83a1b6e48660f83a09cc4d6cb2795d109ad8492d277</x:v>
      </x:c>
      <x:c r="K132" s="4" t="str">
        <x:v>2026-09-08</x:v>
      </x:c>
      <x:c r="L132" s="4" t="str">
        <x:v>SIN_FECHA_DE_ADOPCION</x:v>
      </x:c>
      <x:c r="M132" s="12" t="n">
        <x:f>IF(LEN(J132)=64,0,1)</x:f>
        <x:v>0</x:v>
      </x:c>
      <x:c r="N132" s="12" t="n">
        <x:f>IF(COUNTIF('03_NICE'!$A$5:$A$57,A132)+COUNTIF('04_TKS'!$A$5:$A$72,A132)+COUNTIF('05_Complementos'!$A$5:$A$127,A132)=1,0,1)</x:f>
        <x:v>0</x:v>
      </x:c>
      <x:c r="O132" s="12" t="n">
        <x:f>COUNTIF('08_Trazas'!$A$5:$A$248,A132)-1</x:f>
        <x:v>0</x:v>
      </x:c>
      <x:c r="P132" s="12" t="n">
        <x:f>IF(COUNTIF('02_Custodia'!$A$5:$A$53,C132)=1,0,1)</x:f>
        <x:v>0</x:v>
      </x:c>
    </x:row>
    <x:row r="133" ht="47" customHeight="1">
      <x:c r="A133" s="4" t="str">
        <x:v>CP-008</x:v>
      </x:c>
      <x:c r="B133" s="4" t="str">
        <x:v>F003</x:v>
      </x:c>
      <x:c r="C133" s="4" t="str">
        <x:v>F003</x:v>
      </x:c>
      <x:c r="D133" s="4" t="str">
        <x:v>§4; área Societal Security</x:v>
      </x:c>
      <x:c r="E133" s="4" t="str">
        <x:v>1.0; 31-12-2017</x:v>
      </x:c>
      <x:c r="F133" s="4" t="str">
        <x:v>página física 7</x:v>
      </x:c>
      <x:c r="G133" s="4" t="str">
        <x:v>ROTULO_EN_TEXTO_EXTRAIDO_UTF8</x:v>
      </x:c>
      <x:c r="H133" s="4" t="str">
        <x:v>6866</x:v>
      </x:c>
      <x:c r="I133" s="4" t="str">
        <x:v>17</x:v>
      </x:c>
      <x:c r="J133" s="4" t="str">
        <x:v>153a2eae900720ebc4fd56a8d94f15ffcbf572ffbff7d8111ed58db5756affd4</x:v>
      </x:c>
      <x:c r="K133" s="4" t="str">
        <x:v>2026-09-08</x:v>
      </x:c>
      <x:c r="L133" s="4" t="str">
        <x:v>SIN_FECHA_DE_ADOPCION</x:v>
      </x:c>
      <x:c r="M133" s="12" t="n">
        <x:f>IF(LEN(J133)=64,0,1)</x:f>
        <x:v>0</x:v>
      </x:c>
      <x:c r="N133" s="12" t="n">
        <x:f>IF(COUNTIF('03_NICE'!$A$5:$A$57,A133)+COUNTIF('04_TKS'!$A$5:$A$72,A133)+COUNTIF('05_Complementos'!$A$5:$A$127,A133)=1,0,1)</x:f>
        <x:v>0</x:v>
      </x:c>
      <x:c r="O133" s="12" t="n">
        <x:f>COUNTIF('08_Trazas'!$A$5:$A$248,A133)-1</x:f>
        <x:v>0</x:v>
      </x:c>
      <x:c r="P133" s="12" t="n">
        <x:f>IF(COUNTIF('02_Custodia'!$A$5:$A$53,C133)=1,0,1)</x:f>
        <x:v>0</x:v>
      </x:c>
    </x:row>
    <x:row r="134" ht="47" customHeight="1">
      <x:c r="A134" s="4" t="str">
        <x:v>CP-009</x:v>
      </x:c>
      <x:c r="B134" s="4" t="str">
        <x:v>F004</x:v>
      </x:c>
      <x:c r="C134" s="4" t="str">
        <x:v>F004</x:v>
      </x:c>
      <x:c r="D134" s="4" t="str">
        <x:v>Área de conocimiento: Risk Management &amp; Governance</x:v>
      </x:c>
      <x:c r="E134" s="4" t="str">
        <x:v>1.1.0; julio 2021</x:v>
      </x:c>
      <x:c r="F134" s="4" t="str">
        <x:v>página física 9</x:v>
      </x:c>
      <x:c r="G134" s="4" t="str">
        <x:v>ROTULO_EN_TEXTO_EXTRAIDO_UTF8</x:v>
      </x:c>
      <x:c r="H134" s="4" t="str">
        <x:v>10018</x:v>
      </x:c>
      <x:c r="I134" s="4" t="str">
        <x:v>28</x:v>
      </x:c>
      <x:c r="J134" s="4" t="str">
        <x:v>78297379e6fb11c18b10deb3a77433e34d00aaab0679389229102b42f739261a</x:v>
      </x:c>
      <x:c r="K134" s="4" t="str">
        <x:v>2026-09-08</x:v>
      </x:c>
      <x:c r="L134" s="4" t="str">
        <x:v>SIN_FECHA_DE_ADOPCION</x:v>
      </x:c>
      <x:c r="M134" s="12" t="n">
        <x:f>IF(LEN(J134)=64,0,1)</x:f>
        <x:v>0</x:v>
      </x:c>
      <x:c r="N134" s="12" t="n">
        <x:f>IF(COUNTIF('03_NICE'!$A$5:$A$57,A134)+COUNTIF('04_TKS'!$A$5:$A$72,A134)+COUNTIF('05_Complementos'!$A$5:$A$127,A134)=1,0,1)</x:f>
        <x:v>0</x:v>
      </x:c>
      <x:c r="O134" s="12" t="n">
        <x:f>COUNTIF('08_Trazas'!$A$5:$A$248,A134)-1</x:f>
        <x:v>0</x:v>
      </x:c>
      <x:c r="P134" s="12" t="n">
        <x:f>IF(COUNTIF('02_Custodia'!$A$5:$A$53,C134)=1,0,1)</x:f>
        <x:v>0</x:v>
      </x:c>
    </x:row>
    <x:row r="135" ht="47" customHeight="1">
      <x:c r="A135" s="4" t="str">
        <x:v>CP-010</x:v>
      </x:c>
      <x:c r="B135" s="4" t="str">
        <x:v>F004</x:v>
      </x:c>
      <x:c r="C135" s="4" t="str">
        <x:v>F004</x:v>
      </x:c>
      <x:c r="D135" s="4" t="str">
        <x:v>Área de conocimiento: Law &amp; Regulation</x:v>
      </x:c>
      <x:c r="E135" s="4" t="str">
        <x:v>1.1.0; julio 2021</x:v>
      </x:c>
      <x:c r="F135" s="4" t="str">
        <x:v>página física 3</x:v>
      </x:c>
      <x:c r="G135" s="4" t="str">
        <x:v>ROTULO_EN_TEXTO_EXTRAIDO_UTF8</x:v>
      </x:c>
      <x:c r="H135" s="4" t="str">
        <x:v>2477</x:v>
      </x:c>
      <x:c r="I135" s="4" t="str">
        <x:v>16</x:v>
      </x:c>
      <x:c r="J135" s="4" t="str">
        <x:v>af6bf9a1b75b4d39478ba07603e6d8eb42082440810be4a4fcd33da6de6ace64</x:v>
      </x:c>
      <x:c r="K135" s="4" t="str">
        <x:v>2026-09-08</x:v>
      </x:c>
      <x:c r="L135" s="4" t="str">
        <x:v>SIN_FECHA_DE_ADOPCION</x:v>
      </x:c>
      <x:c r="M135" s="12" t="n">
        <x:f>IF(LEN(J135)=64,0,1)</x:f>
        <x:v>0</x:v>
      </x:c>
      <x:c r="N135" s="12" t="n">
        <x:f>IF(COUNTIF('03_NICE'!$A$5:$A$57,A135)+COUNTIF('04_TKS'!$A$5:$A$72,A135)+COUNTIF('05_Complementos'!$A$5:$A$127,A135)=1,0,1)</x:f>
        <x:v>0</x:v>
      </x:c>
      <x:c r="O135" s="12" t="n">
        <x:f>COUNTIF('08_Trazas'!$A$5:$A$248,A135)-1</x:f>
        <x:v>0</x:v>
      </x:c>
      <x:c r="P135" s="12" t="n">
        <x:f>IF(COUNTIF('02_Custodia'!$A$5:$A$53,C135)=1,0,1)</x:f>
        <x:v>0</x:v>
      </x:c>
    </x:row>
    <x:row r="136" ht="47" customHeight="1">
      <x:c r="A136" s="4" t="str">
        <x:v>CP-011</x:v>
      </x:c>
      <x:c r="B136" s="4" t="str">
        <x:v>F004</x:v>
      </x:c>
      <x:c r="C136" s="4" t="str">
        <x:v>F004</x:v>
      </x:c>
      <x:c r="D136" s="4" t="str">
        <x:v>Área de conocimiento: Human Factors</x:v>
      </x:c>
      <x:c r="E136" s="4" t="str">
        <x:v>1.1.0; julio 2021</x:v>
      </x:c>
      <x:c r="F136" s="4" t="str">
        <x:v>página física 3</x:v>
      </x:c>
      <x:c r="G136" s="4" t="str">
        <x:v>ROTULO_EN_TEXTO_EXTRAIDO_UTF8</x:v>
      </x:c>
      <x:c r="H136" s="4" t="str">
        <x:v>2919</x:v>
      </x:c>
      <x:c r="I136" s="4" t="str">
        <x:v>13</x:v>
      </x:c>
      <x:c r="J136" s="4" t="str">
        <x:v>bfde5e194e293606c49259d219f763a6bb9ef088fdc9bd764565806a3daf925a</x:v>
      </x:c>
      <x:c r="K136" s="4" t="str">
        <x:v>2026-09-08</x:v>
      </x:c>
      <x:c r="L136" s="4" t="str">
        <x:v>SIN_FECHA_DE_ADOPCION</x:v>
      </x:c>
      <x:c r="M136" s="12" t="n">
        <x:f>IF(LEN(J136)=64,0,1)</x:f>
        <x:v>0</x:v>
      </x:c>
      <x:c r="N136" s="12" t="n">
        <x:f>IF(COUNTIF('03_NICE'!$A$5:$A$57,A136)+COUNTIF('04_TKS'!$A$5:$A$72,A136)+COUNTIF('05_Complementos'!$A$5:$A$127,A136)=1,0,1)</x:f>
        <x:v>0</x:v>
      </x:c>
      <x:c r="O136" s="12" t="n">
        <x:f>COUNTIF('08_Trazas'!$A$5:$A$248,A136)-1</x:f>
        <x:v>0</x:v>
      </x:c>
      <x:c r="P136" s="12" t="n">
        <x:f>IF(COUNTIF('02_Custodia'!$A$5:$A$53,C136)=1,0,1)</x:f>
        <x:v>0</x:v>
      </x:c>
    </x:row>
    <x:row r="137" ht="47" customHeight="1">
      <x:c r="A137" s="4" t="str">
        <x:v>CP-012</x:v>
      </x:c>
      <x:c r="B137" s="4" t="str">
        <x:v>F004</x:v>
      </x:c>
      <x:c r="C137" s="4" t="str">
        <x:v>F004</x:v>
      </x:c>
      <x:c r="D137" s="4" t="str">
        <x:v>Área de conocimiento: Privacy &amp; Online Rights</x:v>
      </x:c>
      <x:c r="E137" s="4" t="str">
        <x:v>1.1.0; julio 2021</x:v>
      </x:c>
      <x:c r="F137" s="4" t="str">
        <x:v>página física 3</x:v>
      </x:c>
      <x:c r="G137" s="4" t="str">
        <x:v>ROTULO_EN_TEXTO_EXTRAIDO_UTF8</x:v>
      </x:c>
      <x:c r="H137" s="4" t="str">
        <x:v>3196</x:v>
      </x:c>
      <x:c r="I137" s="4" t="str">
        <x:v>23</x:v>
      </x:c>
      <x:c r="J137" s="4" t="str">
        <x:v>9a507e85e9c3eaf6d4ec7d2abbf5ae6f0ec854d3eff7774414949dd860d211e3</x:v>
      </x:c>
      <x:c r="K137" s="4" t="str">
        <x:v>2026-09-08</x:v>
      </x:c>
      <x:c r="L137" s="4" t="str">
        <x:v>SIN_FECHA_DE_ADOPCION</x:v>
      </x:c>
      <x:c r="M137" s="12" t="n">
        <x:f>IF(LEN(J137)=64,0,1)</x:f>
        <x:v>0</x:v>
      </x:c>
      <x:c r="N137" s="12" t="n">
        <x:f>IF(COUNTIF('03_NICE'!$A$5:$A$57,A137)+COUNTIF('04_TKS'!$A$5:$A$72,A137)+COUNTIF('05_Complementos'!$A$5:$A$127,A137)=1,0,1)</x:f>
        <x:v>0</x:v>
      </x:c>
      <x:c r="O137" s="12" t="n">
        <x:f>COUNTIF('08_Trazas'!$A$5:$A$248,A137)-1</x:f>
        <x:v>0</x:v>
      </x:c>
      <x:c r="P137" s="12" t="n">
        <x:f>IF(COUNTIF('02_Custodia'!$A$5:$A$53,C137)=1,0,1)</x:f>
        <x:v>0</x:v>
      </x:c>
    </x:row>
    <x:row r="138" ht="47" customHeight="1">
      <x:c r="A138" s="4" t="str">
        <x:v>CP-013</x:v>
      </x:c>
      <x:c r="B138" s="4" t="str">
        <x:v>F004</x:v>
      </x:c>
      <x:c r="C138" s="4" t="str">
        <x:v>F004</x:v>
      </x:c>
      <x:c r="D138" s="4" t="str">
        <x:v>Área de conocimiento: Malware &amp; Attack Technologies</x:v>
      </x:c>
      <x:c r="E138" s="4" t="str">
        <x:v>1.1.0; julio 2021</x:v>
      </x:c>
      <x:c r="F138" s="4" t="str">
        <x:v>página física 4</x:v>
      </x:c>
      <x:c r="G138" s="4" t="str">
        <x:v>ROTULO_EN_TEXTO_EXTRAIDO_UTF8</x:v>
      </x:c>
      <x:c r="H138" s="4" t="str">
        <x:v>3889</x:v>
      </x:c>
      <x:c r="I138" s="4" t="str">
        <x:v>29</x:v>
      </x:c>
      <x:c r="J138" s="4" t="str">
        <x:v>583e8932924f97420f09448bb23ce74f2bba98cbface03f5fac5ee95a4b764c8</x:v>
      </x:c>
      <x:c r="K138" s="4" t="str">
        <x:v>2026-09-08</x:v>
      </x:c>
      <x:c r="L138" s="4" t="str">
        <x:v>SIN_FECHA_DE_ADOPCION</x:v>
      </x:c>
      <x:c r="M138" s="12" t="n">
        <x:f>IF(LEN(J138)=64,0,1)</x:f>
        <x:v>0</x:v>
      </x:c>
      <x:c r="N138" s="12" t="n">
        <x:f>IF(COUNTIF('03_NICE'!$A$5:$A$57,A138)+COUNTIF('04_TKS'!$A$5:$A$72,A138)+COUNTIF('05_Complementos'!$A$5:$A$127,A138)=1,0,1)</x:f>
        <x:v>0</x:v>
      </x:c>
      <x:c r="O138" s="12" t="n">
        <x:f>COUNTIF('08_Trazas'!$A$5:$A$248,A138)-1</x:f>
        <x:v>0</x:v>
      </x:c>
      <x:c r="P138" s="12" t="n">
        <x:f>IF(COUNTIF('02_Custodia'!$A$5:$A$53,C138)=1,0,1)</x:f>
        <x:v>0</x:v>
      </x:c>
    </x:row>
    <x:row r="139" ht="47" customHeight="1">
      <x:c r="A139" s="4" t="str">
        <x:v>CP-014</x:v>
      </x:c>
      <x:c r="B139" s="4" t="str">
        <x:v>F004</x:v>
      </x:c>
      <x:c r="C139" s="4" t="str">
        <x:v>F004</x:v>
      </x:c>
      <x:c r="D139" s="4" t="str">
        <x:v>Área de conocimiento: Adversarial Behaviours</x:v>
      </x:c>
      <x:c r="E139" s="4" t="str">
        <x:v>1.1.0; julio 2021</x:v>
      </x:c>
      <x:c r="F139" s="4" t="str">
        <x:v>página física 4</x:v>
      </x:c>
      <x:c r="G139" s="4" t="str">
        <x:v>ROTULO_EN_TEXTO_EXTRAIDO_UTF8</x:v>
      </x:c>
      <x:c r="H139" s="4" t="str">
        <x:v>4167</x:v>
      </x:c>
      <x:c r="I139" s="4" t="str">
        <x:v>22</x:v>
      </x:c>
      <x:c r="J139" s="4" t="str">
        <x:v>adeb0c4ebffb9ce932fe87f5c2d8518000a282b9a5e41ece5b5550f654658ea9</x:v>
      </x:c>
      <x:c r="K139" s="4" t="str">
        <x:v>2026-09-08</x:v>
      </x:c>
      <x:c r="L139" s="4" t="str">
        <x:v>SIN_FECHA_DE_ADOPCION</x:v>
      </x:c>
      <x:c r="M139" s="12" t="n">
        <x:f>IF(LEN(J139)=64,0,1)</x:f>
        <x:v>0</x:v>
      </x:c>
      <x:c r="N139" s="12" t="n">
        <x:f>IF(COUNTIF('03_NICE'!$A$5:$A$57,A139)+COUNTIF('04_TKS'!$A$5:$A$72,A139)+COUNTIF('05_Complementos'!$A$5:$A$127,A139)=1,0,1)</x:f>
        <x:v>0</x:v>
      </x:c>
      <x:c r="O139" s="12" t="n">
        <x:f>COUNTIF('08_Trazas'!$A$5:$A$248,A139)-1</x:f>
        <x:v>0</x:v>
      </x:c>
      <x:c r="P139" s="12" t="n">
        <x:f>IF(COUNTIF('02_Custodia'!$A$5:$A$53,C139)=1,0,1)</x:f>
        <x:v>0</x:v>
      </x:c>
    </x:row>
    <x:row r="140" ht="47" customHeight="1">
      <x:c r="A140" s="4" t="str">
        <x:v>CP-015</x:v>
      </x:c>
      <x:c r="B140" s="4" t="str">
        <x:v>F004</x:v>
      </x:c>
      <x:c r="C140" s="4" t="str">
        <x:v>F004</x:v>
      </x:c>
      <x:c r="D140" s="4" t="str">
        <x:v>Área de conocimiento: Security Operations &amp; Incident Management</x:v>
      </x:c>
      <x:c r="E140" s="4" t="str">
        <x:v>1.1.0; julio 2021</x:v>
      </x:c>
      <x:c r="F140" s="4" t="str">
        <x:v>página física 4</x:v>
      </x:c>
      <x:c r="G140" s="4" t="str">
        <x:v>ROTULO_EN_TEXTO_EXTRAIDO_UTF8</x:v>
      </x:c>
      <x:c r="H140" s="4" t="str">
        <x:v>4438</x:v>
      </x:c>
      <x:c r="I140" s="4" t="str">
        <x:v>41</x:v>
      </x:c>
      <x:c r="J140" s="4" t="str">
        <x:v>cb8ecef31f212c279daaa56564d56804158eb018c0ffb1a198c4bda9fae7ff25</x:v>
      </x:c>
      <x:c r="K140" s="4" t="str">
        <x:v>2026-09-08</x:v>
      </x:c>
      <x:c r="L140" s="4" t="str">
        <x:v>SIN_FECHA_DE_ADOPCION</x:v>
      </x:c>
      <x:c r="M140" s="12" t="n">
        <x:f>IF(LEN(J140)=64,0,1)</x:f>
        <x:v>0</x:v>
      </x:c>
      <x:c r="N140" s="12" t="n">
        <x:f>IF(COUNTIF('03_NICE'!$A$5:$A$57,A140)+COUNTIF('04_TKS'!$A$5:$A$72,A140)+COUNTIF('05_Complementos'!$A$5:$A$127,A140)=1,0,1)</x:f>
        <x:v>0</x:v>
      </x:c>
      <x:c r="O140" s="12" t="n">
        <x:f>COUNTIF('08_Trazas'!$A$5:$A$248,A140)-1</x:f>
        <x:v>0</x:v>
      </x:c>
      <x:c r="P140" s="12" t="n">
        <x:f>IF(COUNTIF('02_Custodia'!$A$5:$A$53,C140)=1,0,1)</x:f>
        <x:v>0</x:v>
      </x:c>
    </x:row>
    <x:row r="141" ht="47" customHeight="1">
      <x:c r="A141" s="4" t="str">
        <x:v>CP-016</x:v>
      </x:c>
      <x:c r="B141" s="4" t="str">
        <x:v>F004</x:v>
      </x:c>
      <x:c r="C141" s="4" t="str">
        <x:v>F004</x:v>
      </x:c>
      <x:c r="D141" s="4" t="str">
        <x:v>Área de conocimiento: Forensics</x:v>
      </x:c>
      <x:c r="E141" s="4" t="str">
        <x:v>1.1.0; julio 2021</x:v>
      </x:c>
      <x:c r="F141" s="4" t="str">
        <x:v>página física 4</x:v>
      </x:c>
      <x:c r="G141" s="4" t="str">
        <x:v>ROTULO_EN_TEXTO_EXTRAIDO_UTF8</x:v>
      </x:c>
      <x:c r="H141" s="4" t="str">
        <x:v>4995</x:v>
      </x:c>
      <x:c r="I141" s="4" t="str">
        <x:v>9</x:v>
      </x:c>
      <x:c r="J141" s="4" t="str">
        <x:v>64e34ce2ec320026f638a38f9b75e0a6e14a991b93e53004d66fcfe1adb48616</x:v>
      </x:c>
      <x:c r="K141" s="4" t="str">
        <x:v>2026-09-08</x:v>
      </x:c>
      <x:c r="L141" s="4" t="str">
        <x:v>SIN_FECHA_DE_ADOPCION</x:v>
      </x:c>
      <x:c r="M141" s="12" t="n">
        <x:f>IF(LEN(J141)=64,0,1)</x:f>
        <x:v>0</x:v>
      </x:c>
      <x:c r="N141" s="12" t="n">
        <x:f>IF(COUNTIF('03_NICE'!$A$5:$A$57,A141)+COUNTIF('04_TKS'!$A$5:$A$72,A141)+COUNTIF('05_Complementos'!$A$5:$A$127,A141)=1,0,1)</x:f>
        <x:v>0</x:v>
      </x:c>
      <x:c r="O141" s="12" t="n">
        <x:f>COUNTIF('08_Trazas'!$A$5:$A$248,A141)-1</x:f>
        <x:v>0</x:v>
      </x:c>
      <x:c r="P141" s="12" t="n">
        <x:f>IF(COUNTIF('02_Custodia'!$A$5:$A$53,C141)=1,0,1)</x:f>
        <x:v>0</x:v>
      </x:c>
    </x:row>
    <x:row r="142" ht="47" customHeight="1">
      <x:c r="A142" s="4" t="str">
        <x:v>CP-017</x:v>
      </x:c>
      <x:c r="B142" s="4" t="str">
        <x:v>F004</x:v>
      </x:c>
      <x:c r="C142" s="4" t="str">
        <x:v>F004</x:v>
      </x:c>
      <x:c r="D142" s="4" t="str">
        <x:v>Área de conocimiento: Cryptography</x:v>
      </x:c>
      <x:c r="E142" s="4" t="str">
        <x:v>1.1.0; julio 2021</x:v>
      </x:c>
      <x:c r="F142" s="4" t="str">
        <x:v>página física 4</x:v>
      </x:c>
      <x:c r="G142" s="4" t="str">
        <x:v>ROTULO_EN_TEXTO_EXTRAIDO_UTF8</x:v>
      </x:c>
      <x:c r="H142" s="4" t="str">
        <x:v>5253</x:v>
      </x:c>
      <x:c r="I142" s="4" t="str">
        <x:v>12</x:v>
      </x:c>
      <x:c r="J142" s="4" t="str">
        <x:v>b584eec728548aced5a66c0267dd520a00871b5e7b735b2d8202f86719f61857</x:v>
      </x:c>
      <x:c r="K142" s="4" t="str">
        <x:v>2026-09-08</x:v>
      </x:c>
      <x:c r="L142" s="4" t="str">
        <x:v>SIN_FECHA_DE_ADOPCION</x:v>
      </x:c>
      <x:c r="M142" s="12" t="n">
        <x:f>IF(LEN(J142)=64,0,1)</x:f>
        <x:v>0</x:v>
      </x:c>
      <x:c r="N142" s="12" t="n">
        <x:f>IF(COUNTIF('03_NICE'!$A$5:$A$57,A142)+COUNTIF('04_TKS'!$A$5:$A$72,A142)+COUNTIF('05_Complementos'!$A$5:$A$127,A142)=1,0,1)</x:f>
        <x:v>0</x:v>
      </x:c>
      <x:c r="O142" s="12" t="n">
        <x:f>COUNTIF('08_Trazas'!$A$5:$A$248,A142)-1</x:f>
        <x:v>0</x:v>
      </x:c>
      <x:c r="P142" s="12" t="n">
        <x:f>IF(COUNTIF('02_Custodia'!$A$5:$A$53,C142)=1,0,1)</x:f>
        <x:v>0</x:v>
      </x:c>
    </x:row>
    <x:row r="143" ht="47" customHeight="1">
      <x:c r="A143" s="4" t="str">
        <x:v>CP-018</x:v>
      </x:c>
      <x:c r="B143" s="4" t="str">
        <x:v>F004</x:v>
      </x:c>
      <x:c r="C143" s="4" t="str">
        <x:v>F004</x:v>
      </x:c>
      <x:c r="D143" s="4" t="str">
        <x:v>Área de conocimiento: Operating Systems &amp; Virtualisation</x:v>
      </x:c>
      <x:c r="E143" s="4" t="str">
        <x:v>1.1.0; julio 2021</x:v>
      </x:c>
      <x:c r="F143" s="4" t="str">
        <x:v>página física 14</x:v>
      </x:c>
      <x:c r="G143" s="4" t="str">
        <x:v>ROTULO_EN_TEXTO_EXTRAIDO_UTF8</x:v>
      </x:c>
      <x:c r="H143" s="4" t="str">
        <x:v>27187</x:v>
      </x:c>
      <x:c r="I143" s="4" t="str">
        <x:v>34</x:v>
      </x:c>
      <x:c r="J143" s="4" t="str">
        <x:v>9e30256e23e42c551cb7d03b1b02b58be35a5ccd052b80e75beade8d173742c1</x:v>
      </x:c>
      <x:c r="K143" s="4" t="str">
        <x:v>2026-09-08</x:v>
      </x:c>
      <x:c r="L143" s="4" t="str">
        <x:v>SIN_FECHA_DE_ADOPCION</x:v>
      </x:c>
      <x:c r="M143" s="12" t="n">
        <x:f>IF(LEN(J143)=64,0,1)</x:f>
        <x:v>0</x:v>
      </x:c>
      <x:c r="N143" s="12" t="n">
        <x:f>IF(COUNTIF('03_NICE'!$A$5:$A$57,A143)+COUNTIF('04_TKS'!$A$5:$A$72,A143)+COUNTIF('05_Complementos'!$A$5:$A$127,A143)=1,0,1)</x:f>
        <x:v>0</x:v>
      </x:c>
      <x:c r="O143" s="12" t="n">
        <x:f>COUNTIF('08_Trazas'!$A$5:$A$248,A143)-1</x:f>
        <x:v>0</x:v>
      </x:c>
      <x:c r="P143" s="12" t="n">
        <x:f>IF(COUNTIF('02_Custodia'!$A$5:$A$53,C143)=1,0,1)</x:f>
        <x:v>0</x:v>
      </x:c>
    </x:row>
    <x:row r="144" ht="47" customHeight="1">
      <x:c r="A144" s="4" t="str">
        <x:v>CP-019</x:v>
      </x:c>
      <x:c r="B144" s="4" t="str">
        <x:v>F004</x:v>
      </x:c>
      <x:c r="C144" s="4" t="str">
        <x:v>F004</x:v>
      </x:c>
      <x:c r="D144" s="4" t="str">
        <x:v>Área de conocimiento: Distributed Systems Security</x:v>
      </x:c>
      <x:c r="E144" s="4" t="str">
        <x:v>1.1.0; julio 2021</x:v>
      </x:c>
      <x:c r="F144" s="4" t="str">
        <x:v>página física 5</x:v>
      </x:c>
      <x:c r="G144" s="4" t="str">
        <x:v>ROTULO_EN_TEXTO_EXTRAIDO_UTF8</x:v>
      </x:c>
      <x:c r="H144" s="4" t="str">
        <x:v>5958</x:v>
      </x:c>
      <x:c r="I144" s="4" t="str">
        <x:v>28</x:v>
      </x:c>
      <x:c r="J144" s="4" t="str">
        <x:v>d1575941f69ef97c8e03023e1955edc5429acbdce01f87c931e916fcad114e4b</x:v>
      </x:c>
      <x:c r="K144" s="4" t="str">
        <x:v>2026-09-08</x:v>
      </x:c>
      <x:c r="L144" s="4" t="str">
        <x:v>SIN_FECHA_DE_ADOPCION</x:v>
      </x:c>
      <x:c r="M144" s="12" t="n">
        <x:f>IF(LEN(J144)=64,0,1)</x:f>
        <x:v>0</x:v>
      </x:c>
      <x:c r="N144" s="12" t="n">
        <x:f>IF(COUNTIF('03_NICE'!$A$5:$A$57,A144)+COUNTIF('04_TKS'!$A$5:$A$72,A144)+COUNTIF('05_Complementos'!$A$5:$A$127,A144)=1,0,1)</x:f>
        <x:v>0</x:v>
      </x:c>
      <x:c r="O144" s="12" t="n">
        <x:f>COUNTIF('08_Trazas'!$A$5:$A$248,A144)-1</x:f>
        <x:v>0</x:v>
      </x:c>
      <x:c r="P144" s="12" t="n">
        <x:f>IF(COUNTIF('02_Custodia'!$A$5:$A$53,C144)=1,0,1)</x:f>
        <x:v>0</x:v>
      </x:c>
    </x:row>
    <x:row r="145" ht="47" customHeight="1">
      <x:c r="A145" s="4" t="str">
        <x:v>CP-020</x:v>
      </x:c>
      <x:c r="B145" s="4" t="str">
        <x:v>F004</x:v>
      </x:c>
      <x:c r="C145" s="4" t="str">
        <x:v>F004</x:v>
      </x:c>
      <x:c r="D145" s="4" t="str">
        <x:v>Área de conocimiento: Formal Methods for Security</x:v>
      </x:c>
      <x:c r="E145" s="4" t="str">
        <x:v>1.1.0; julio 2021</x:v>
      </x:c>
      <x:c r="F145" s="4" t="str">
        <x:v>página física 5</x:v>
      </x:c>
      <x:c r="G145" s="4" t="str">
        <x:v>ROTULO_EN_TEXTO_EXTRAIDO_UTF8</x:v>
      </x:c>
      <x:c r="H145" s="4" t="str">
        <x:v>6235</x:v>
      </x:c>
      <x:c r="I145" s="4" t="str">
        <x:v>27</x:v>
      </x:c>
      <x:c r="J145" s="4" t="str">
        <x:v>e062ed7bbb99bc6444739fd3bc6ab7138a5b6cff17d6ee2bbbdbe66ed4a24b91</x:v>
      </x:c>
      <x:c r="K145" s="4" t="str">
        <x:v>2026-09-08</x:v>
      </x:c>
      <x:c r="L145" s="4" t="str">
        <x:v>SIN_FECHA_DE_ADOPCION</x:v>
      </x:c>
      <x:c r="M145" s="12" t="n">
        <x:f>IF(LEN(J145)=64,0,1)</x:f>
        <x:v>0</x:v>
      </x:c>
      <x:c r="N145" s="12" t="n">
        <x:f>IF(COUNTIF('03_NICE'!$A$5:$A$57,A145)+COUNTIF('04_TKS'!$A$5:$A$72,A145)+COUNTIF('05_Complementos'!$A$5:$A$127,A145)=1,0,1)</x:f>
        <x:v>0</x:v>
      </x:c>
      <x:c r="O145" s="12" t="n">
        <x:f>COUNTIF('08_Trazas'!$A$5:$A$248,A145)-1</x:f>
        <x:v>0</x:v>
      </x:c>
      <x:c r="P145" s="12" t="n">
        <x:f>IF(COUNTIF('02_Custodia'!$A$5:$A$53,C145)=1,0,1)</x:f>
        <x:v>0</x:v>
      </x:c>
    </x:row>
    <x:row r="146" ht="47" customHeight="1">
      <x:c r="A146" s="4" t="str">
        <x:v>CP-021</x:v>
      </x:c>
      <x:c r="B146" s="4" t="str">
        <x:v>F004</x:v>
      </x:c>
      <x:c r="C146" s="4" t="str">
        <x:v>F004</x:v>
      </x:c>
      <x:c r="D146" s="4" t="str">
        <x:v>Área de conocimiento: Authentication, Authorisation &amp; Accountability</x:v>
      </x:c>
      <x:c r="E146" s="4" t="str">
        <x:v>1.1.0; julio 2021</x:v>
      </x:c>
      <x:c r="F146" s="4" t="str">
        <x:v>página física 5</x:v>
      </x:c>
      <x:c r="G146" s="4" t="str">
        <x:v>ROTULO_EN_TEXTO_EXTRAIDO_UTF8</x:v>
      </x:c>
      <x:c r="H146" s="4" t="str">
        <x:v>6367</x:v>
      </x:c>
      <x:c r="I146" s="4" t="str">
        <x:v>46</x:v>
      </x:c>
      <x:c r="J146" s="4" t="str">
        <x:v>5b6c76b6ed848b0d8ae22ed4d08f73b2414abf32382cc5de2a60b83ffb226aef</x:v>
      </x:c>
      <x:c r="K146" s="4" t="str">
        <x:v>2026-09-08</x:v>
      </x:c>
      <x:c r="L146" s="4" t="str">
        <x:v>SIN_FECHA_DE_ADOPCION</x:v>
      </x:c>
      <x:c r="M146" s="12" t="n">
        <x:f>IF(LEN(J146)=64,0,1)</x:f>
        <x:v>0</x:v>
      </x:c>
      <x:c r="N146" s="12" t="n">
        <x:f>IF(COUNTIF('03_NICE'!$A$5:$A$57,A146)+COUNTIF('04_TKS'!$A$5:$A$72,A146)+COUNTIF('05_Complementos'!$A$5:$A$127,A146)=1,0,1)</x:f>
        <x:v>0</x:v>
      </x:c>
      <x:c r="O146" s="12" t="n">
        <x:f>COUNTIF('08_Trazas'!$A$5:$A$248,A146)-1</x:f>
        <x:v>0</x:v>
      </x:c>
      <x:c r="P146" s="12" t="n">
        <x:f>IF(COUNTIF('02_Custodia'!$A$5:$A$53,C146)=1,0,1)</x:f>
        <x:v>0</x:v>
      </x:c>
    </x:row>
    <x:row r="147" ht="47" customHeight="1">
      <x:c r="A147" s="4" t="str">
        <x:v>CP-022</x:v>
      </x:c>
      <x:c r="B147" s="4" t="str">
        <x:v>F004</x:v>
      </x:c>
      <x:c r="C147" s="4" t="str">
        <x:v>F004</x:v>
      </x:c>
      <x:c r="D147" s="4" t="str">
        <x:v>Área de conocimiento: Software Security</x:v>
      </x:c>
      <x:c r="E147" s="4" t="str">
        <x:v>1.1.0; julio 2021</x:v>
      </x:c>
      <x:c r="F147" s="4" t="str">
        <x:v>página física 5</x:v>
      </x:c>
      <x:c r="G147" s="4" t="str">
        <x:v>ROTULO_EN_TEXTO_EXTRAIDO_UTF8</x:v>
      </x:c>
      <x:c r="H147" s="4" t="str">
        <x:v>6863</x:v>
      </x:c>
      <x:c r="I147" s="4" t="str">
        <x:v>17</x:v>
      </x:c>
      <x:c r="J147" s="4" t="str">
        <x:v>cbc6c126bb7652d587243ebd8589417e4b6025547444fa75ef9e18dfba5704ff</x:v>
      </x:c>
      <x:c r="K147" s="4" t="str">
        <x:v>2026-09-08</x:v>
      </x:c>
      <x:c r="L147" s="4" t="str">
        <x:v>SIN_FECHA_DE_ADOPCION</x:v>
      </x:c>
      <x:c r="M147" s="12" t="n">
        <x:f>IF(LEN(J147)=64,0,1)</x:f>
        <x:v>0</x:v>
      </x:c>
      <x:c r="N147" s="12" t="n">
        <x:f>IF(COUNTIF('03_NICE'!$A$5:$A$57,A147)+COUNTIF('04_TKS'!$A$5:$A$72,A147)+COUNTIF('05_Complementos'!$A$5:$A$127,A147)=1,0,1)</x:f>
        <x:v>0</x:v>
      </x:c>
      <x:c r="O147" s="12" t="n">
        <x:f>COUNTIF('08_Trazas'!$A$5:$A$248,A147)-1</x:f>
        <x:v>0</x:v>
      </x:c>
      <x:c r="P147" s="12" t="n">
        <x:f>IF(COUNTIF('02_Custodia'!$A$5:$A$53,C147)=1,0,1)</x:f>
        <x:v>0</x:v>
      </x:c>
    </x:row>
    <x:row r="148" ht="47" customHeight="1">
      <x:c r="A148" s="4" t="str">
        <x:v>CP-023</x:v>
      </x:c>
      <x:c r="B148" s="4" t="str">
        <x:v>F004</x:v>
      </x:c>
      <x:c r="C148" s="4" t="str">
        <x:v>F004</x:v>
      </x:c>
      <x:c r="D148" s="4" t="str">
        <x:v>Área de conocimiento: Web &amp; Mobile Security</x:v>
      </x:c>
      <x:c r="E148" s="4" t="str">
        <x:v>1.1.0; julio 2021</x:v>
      </x:c>
      <x:c r="F148" s="4" t="str">
        <x:v>página física 6</x:v>
      </x:c>
      <x:c r="G148" s="4" t="str">
        <x:v>ROTULO_EN_TEXTO_EXTRAIDO_UTF8</x:v>
      </x:c>
      <x:c r="H148" s="4" t="str">
        <x:v>7258</x:v>
      </x:c>
      <x:c r="I148" s="4" t="str">
        <x:v>21</x:v>
      </x:c>
      <x:c r="J148" s="4" t="str">
        <x:v>aa11007e4cb287b1e4ca2f6d3d4cd1333fd3c34ff8e0e22d9dc1a133e33e3e5a</x:v>
      </x:c>
      <x:c r="K148" s="4" t="str">
        <x:v>2026-09-08</x:v>
      </x:c>
      <x:c r="L148" s="4" t="str">
        <x:v>SIN_FECHA_DE_ADOPCION</x:v>
      </x:c>
      <x:c r="M148" s="12" t="n">
        <x:f>IF(LEN(J148)=64,0,1)</x:f>
        <x:v>0</x:v>
      </x:c>
      <x:c r="N148" s="12" t="n">
        <x:f>IF(COUNTIF('03_NICE'!$A$5:$A$57,A148)+COUNTIF('04_TKS'!$A$5:$A$72,A148)+COUNTIF('05_Complementos'!$A$5:$A$127,A148)=1,0,1)</x:f>
        <x:v>0</x:v>
      </x:c>
      <x:c r="O148" s="12" t="n">
        <x:f>COUNTIF('08_Trazas'!$A$5:$A$248,A148)-1</x:f>
        <x:v>0</x:v>
      </x:c>
      <x:c r="P148" s="12" t="n">
        <x:f>IF(COUNTIF('02_Custodia'!$A$5:$A$53,C148)=1,0,1)</x:f>
        <x:v>0</x:v>
      </x:c>
    </x:row>
    <x:row r="149" ht="47" customHeight="1">
      <x:c r="A149" s="4" t="str">
        <x:v>CP-024</x:v>
      </x:c>
      <x:c r="B149" s="4" t="str">
        <x:v>F004</x:v>
      </x:c>
      <x:c r="C149" s="4" t="str">
        <x:v>F004</x:v>
      </x:c>
      <x:c r="D149" s="4" t="str">
        <x:v>Área de conocimiento: Secure Software Lifecycle</x:v>
      </x:c>
      <x:c r="E149" s="4" t="str">
        <x:v>1.1.0; julio 2021</x:v>
      </x:c>
      <x:c r="F149" s="4" t="str">
        <x:v>página física 6</x:v>
      </x:c>
      <x:c r="G149" s="4" t="str">
        <x:v>ROTULO_EN_TEXTO_EXTRAIDO_UTF8</x:v>
      </x:c>
      <x:c r="H149" s="4" t="str">
        <x:v>7543</x:v>
      </x:c>
      <x:c r="I149" s="4" t="str">
        <x:v>25</x:v>
      </x:c>
      <x:c r="J149" s="4" t="str">
        <x:v>0acf39c724faab941867895afef0f1439f2c48e03193d8db4f3a6c220af69cdb</x:v>
      </x:c>
      <x:c r="K149" s="4" t="str">
        <x:v>2026-09-08</x:v>
      </x:c>
      <x:c r="L149" s="4" t="str">
        <x:v>SIN_FECHA_DE_ADOPCION</x:v>
      </x:c>
      <x:c r="M149" s="12" t="n">
        <x:f>IF(LEN(J149)=64,0,1)</x:f>
        <x:v>0</x:v>
      </x:c>
      <x:c r="N149" s="12" t="n">
        <x:f>IF(COUNTIF('03_NICE'!$A$5:$A$57,A149)+COUNTIF('04_TKS'!$A$5:$A$72,A149)+COUNTIF('05_Complementos'!$A$5:$A$127,A149)=1,0,1)</x:f>
        <x:v>0</x:v>
      </x:c>
      <x:c r="O149" s="12" t="n">
        <x:f>COUNTIF('08_Trazas'!$A$5:$A$248,A149)-1</x:f>
        <x:v>0</x:v>
      </x:c>
      <x:c r="P149" s="12" t="n">
        <x:f>IF(COUNTIF('02_Custodia'!$A$5:$A$53,C149)=1,0,1)</x:f>
        <x:v>0</x:v>
      </x:c>
    </x:row>
    <x:row r="150" ht="47" customHeight="1">
      <x:c r="A150" s="4" t="str">
        <x:v>CP-025</x:v>
      </x:c>
      <x:c r="B150" s="4" t="str">
        <x:v>F004</x:v>
      </x:c>
      <x:c r="C150" s="4" t="str">
        <x:v>F004</x:v>
      </x:c>
      <x:c r="D150" s="4" t="str">
        <x:v>Área de conocimiento: Applied Cryptography</x:v>
      </x:c>
      <x:c r="E150" s="4" t="str">
        <x:v>1.1.0; julio 2021</x:v>
      </x:c>
      <x:c r="F150" s="4" t="str">
        <x:v>página física 6</x:v>
      </x:c>
      <x:c r="G150" s="4" t="str">
        <x:v>ROTULO_EN_TEXTO_EXTRAIDO_UTF8</x:v>
      </x:c>
      <x:c r="H150" s="4" t="str">
        <x:v>8090</x:v>
      </x:c>
      <x:c r="I150" s="4" t="str">
        <x:v>20</x:v>
      </x:c>
      <x:c r="J150" s="4" t="str">
        <x:v>5c353f08c517ba45434097acaf34f37fb80a8f8cf5c022d6f85070caa63e5551</x:v>
      </x:c>
      <x:c r="K150" s="4" t="str">
        <x:v>2026-09-08</x:v>
      </x:c>
      <x:c r="L150" s="4" t="str">
        <x:v>SIN_FECHA_DE_ADOPCION</x:v>
      </x:c>
      <x:c r="M150" s="12" t="n">
        <x:f>IF(LEN(J150)=64,0,1)</x:f>
        <x:v>0</x:v>
      </x:c>
      <x:c r="N150" s="12" t="n">
        <x:f>IF(COUNTIF('03_NICE'!$A$5:$A$57,A150)+COUNTIF('04_TKS'!$A$5:$A$72,A150)+COUNTIF('05_Complementos'!$A$5:$A$127,A150)=1,0,1)</x:f>
        <x:v>0</x:v>
      </x:c>
      <x:c r="O150" s="12" t="n">
        <x:f>COUNTIF('08_Trazas'!$A$5:$A$248,A150)-1</x:f>
        <x:v>0</x:v>
      </x:c>
      <x:c r="P150" s="12" t="n">
        <x:f>IF(COUNTIF('02_Custodia'!$A$5:$A$53,C150)=1,0,1)</x:f>
        <x:v>0</x:v>
      </x:c>
    </x:row>
    <x:row r="151" ht="47" customHeight="1">
      <x:c r="A151" s="4" t="str">
        <x:v>CP-026</x:v>
      </x:c>
      <x:c r="B151" s="4" t="str">
        <x:v>F004</x:v>
      </x:c>
      <x:c r="C151" s="4" t="str">
        <x:v>F004</x:v>
      </x:c>
      <x:c r="D151" s="4" t="str">
        <x:v>Área de conocimiento: Network Security</x:v>
      </x:c>
      <x:c r="E151" s="4" t="str">
        <x:v>1.1.0; julio 2021</x:v>
      </x:c>
      <x:c r="F151" s="4" t="str">
        <x:v>página física 6</x:v>
      </x:c>
      <x:c r="G151" s="4" t="str">
        <x:v>ROTULO_EN_TEXTO_EXTRAIDO_UTF8</x:v>
      </x:c>
      <x:c r="H151" s="4" t="str">
        <x:v>8215</x:v>
      </x:c>
      <x:c r="I151" s="4" t="str">
        <x:v>16</x:v>
      </x:c>
      <x:c r="J151" s="4" t="str">
        <x:v>f95b4782c97bd99b554584e864216f33b5bd97f1d85e61fa9bc1b3f00d5c8028</x:v>
      </x:c>
      <x:c r="K151" s="4" t="str">
        <x:v>2026-09-08</x:v>
      </x:c>
      <x:c r="L151" s="4" t="str">
        <x:v>SIN_FECHA_DE_ADOPCION</x:v>
      </x:c>
      <x:c r="M151" s="12" t="n">
        <x:f>IF(LEN(J151)=64,0,1)</x:f>
        <x:v>0</x:v>
      </x:c>
      <x:c r="N151" s="12" t="n">
        <x:f>IF(COUNTIF('03_NICE'!$A$5:$A$57,A151)+COUNTIF('04_TKS'!$A$5:$A$72,A151)+COUNTIF('05_Complementos'!$A$5:$A$127,A151)=1,0,1)</x:f>
        <x:v>0</x:v>
      </x:c>
      <x:c r="O151" s="12" t="n">
        <x:f>COUNTIF('08_Trazas'!$A$5:$A$248,A151)-1</x:f>
        <x:v>0</x:v>
      </x:c>
      <x:c r="P151" s="12" t="n">
        <x:f>IF(COUNTIF('02_Custodia'!$A$5:$A$53,C151)=1,0,1)</x:f>
        <x:v>0</x:v>
      </x:c>
    </x:row>
    <x:row r="152" ht="47" customHeight="1">
      <x:c r="A152" s="4" t="str">
        <x:v>CP-027</x:v>
      </x:c>
      <x:c r="B152" s="4" t="str">
        <x:v>F004</x:v>
      </x:c>
      <x:c r="C152" s="4" t="str">
        <x:v>F004</x:v>
      </x:c>
      <x:c r="D152" s="4" t="str">
        <x:v>Área de conocimiento: Hardware Security</x:v>
      </x:c>
      <x:c r="E152" s="4" t="str">
        <x:v>1.1.0; julio 2021</x:v>
      </x:c>
      <x:c r="F152" s="4" t="str">
        <x:v>página física 6</x:v>
      </x:c>
      <x:c r="G152" s="4" t="str">
        <x:v>ROTULO_EN_TEXTO_EXTRAIDO_UTF8</x:v>
      </x:c>
      <x:c r="H152" s="4" t="str">
        <x:v>8553</x:v>
      </x:c>
      <x:c r="I152" s="4" t="str">
        <x:v>17</x:v>
      </x:c>
      <x:c r="J152" s="4" t="str">
        <x:v>14e29d3099e592f260361305461d25b265b96d18c002e0c9dcb75971bda2ccbd</x:v>
      </x:c>
      <x:c r="K152" s="4" t="str">
        <x:v>2026-09-08</x:v>
      </x:c>
      <x:c r="L152" s="4" t="str">
        <x:v>SIN_FECHA_DE_ADOPCION</x:v>
      </x:c>
      <x:c r="M152" s="12" t="n">
        <x:f>IF(LEN(J152)=64,0,1)</x:f>
        <x:v>0</x:v>
      </x:c>
      <x:c r="N152" s="12" t="n">
        <x:f>IF(COUNTIF('03_NICE'!$A$5:$A$57,A152)+COUNTIF('04_TKS'!$A$5:$A$72,A152)+COUNTIF('05_Complementos'!$A$5:$A$127,A152)=1,0,1)</x:f>
        <x:v>0</x:v>
      </x:c>
      <x:c r="O152" s="12" t="n">
        <x:f>COUNTIF('08_Trazas'!$A$5:$A$248,A152)-1</x:f>
        <x:v>0</x:v>
      </x:c>
      <x:c r="P152" s="12" t="n">
        <x:f>IF(COUNTIF('02_Custodia'!$A$5:$A$53,C152)=1,0,1)</x:f>
        <x:v>0</x:v>
      </x:c>
    </x:row>
    <x:row r="153" ht="47" customHeight="1">
      <x:c r="A153" s="4" t="str">
        <x:v>CP-028</x:v>
      </x:c>
      <x:c r="B153" s="4" t="str">
        <x:v>F004</x:v>
      </x:c>
      <x:c r="C153" s="4" t="str">
        <x:v>F004</x:v>
      </x:c>
      <x:c r="D153" s="4" t="str">
        <x:v>Área de conocimiento: Cyber-Physical Systems Security</x:v>
      </x:c>
      <x:c r="E153" s="4" t="str">
        <x:v>1.1.0; julio 2021</x:v>
      </x:c>
      <x:c r="F153" s="4" t="str">
        <x:v>página física 7</x:v>
      </x:c>
      <x:c r="G153" s="4" t="str">
        <x:v>ROTULO_EN_TEXTO_EXTRAIDO_UTF8</x:v>
      </x:c>
      <x:c r="H153" s="4" t="str">
        <x:v>8954</x:v>
      </x:c>
      <x:c r="I153" s="4" t="str">
        <x:v>31</x:v>
      </x:c>
      <x:c r="J153" s="4" t="str">
        <x:v>3bfec35239047a3e0df2053962d1a981415c0e025d0702cfa02db0a86eeda57f</x:v>
      </x:c>
      <x:c r="K153" s="4" t="str">
        <x:v>2026-09-08</x:v>
      </x:c>
      <x:c r="L153" s="4" t="str">
        <x:v>SIN_FECHA_DE_ADOPCION</x:v>
      </x:c>
      <x:c r="M153" s="12" t="n">
        <x:f>IF(LEN(J153)=64,0,1)</x:f>
        <x:v>0</x:v>
      </x:c>
      <x:c r="N153" s="12" t="n">
        <x:f>IF(COUNTIF('03_NICE'!$A$5:$A$57,A153)+COUNTIF('04_TKS'!$A$5:$A$72,A153)+COUNTIF('05_Complementos'!$A$5:$A$127,A153)=1,0,1)</x:f>
        <x:v>0</x:v>
      </x:c>
      <x:c r="O153" s="12" t="n">
        <x:f>COUNTIF('08_Trazas'!$A$5:$A$248,A153)-1</x:f>
        <x:v>0</x:v>
      </x:c>
      <x:c r="P153" s="12" t="n">
        <x:f>IF(COUNTIF('02_Custodia'!$A$5:$A$53,C153)=1,0,1)</x:f>
        <x:v>0</x:v>
      </x:c>
    </x:row>
    <x:row r="154" ht="47" customHeight="1">
      <x:c r="A154" s="4" t="str">
        <x:v>CP-029</x:v>
      </x:c>
      <x:c r="B154" s="4" t="str">
        <x:v>F004</x:v>
      </x:c>
      <x:c r="C154" s="4" t="str">
        <x:v>F004</x:v>
      </x:c>
      <x:c r="D154" s="4" t="str">
        <x:v>Área de conocimiento: Physical Layer &amp; Telecommunications Security</x:v>
      </x:c>
      <x:c r="E154" s="4" t="str">
        <x:v>1.1.0; julio 2021</x:v>
      </x:c>
      <x:c r="F154" s="4" t="str">
        <x:v>página física 15</x:v>
      </x:c>
      <x:c r="G154" s="4" t="str">
        <x:v>ROTULO_EN_TEXTO_EXTRAIDO_UTF8</x:v>
      </x:c>
      <x:c r="H154" s="4" t="str">
        <x:v>28626</x:v>
      </x:c>
      <x:c r="I154" s="4" t="str">
        <x:v>44</x:v>
      </x:c>
      <x:c r="J154" s="4" t="str">
        <x:v>872fd72e24419d9d283592f5513b18819e51ed5182e58145f1fe0a39e768ac02</x:v>
      </x:c>
      <x:c r="K154" s="4" t="str">
        <x:v>2026-09-08</x:v>
      </x:c>
      <x:c r="L154" s="4" t="str">
        <x:v>SIN_FECHA_DE_ADOPCION</x:v>
      </x:c>
      <x:c r="M154" s="12" t="n">
        <x:f>IF(LEN(J154)=64,0,1)</x:f>
        <x:v>0</x:v>
      </x:c>
      <x:c r="N154" s="12" t="n">
        <x:f>IF(COUNTIF('03_NICE'!$A$5:$A$57,A154)+COUNTIF('04_TKS'!$A$5:$A$72,A154)+COUNTIF('05_Complementos'!$A$5:$A$127,A154)=1,0,1)</x:f>
        <x:v>0</x:v>
      </x:c>
      <x:c r="O154" s="12" t="n">
        <x:f>COUNTIF('08_Trazas'!$A$5:$A$248,A154)-1</x:f>
        <x:v>0</x:v>
      </x:c>
      <x:c r="P154" s="12" t="n">
        <x:f>IF(COUNTIF('02_Custodia'!$A$5:$A$53,C154)=1,0,1)</x:f>
        <x:v>0</x:v>
      </x:c>
    </x:row>
    <x:row r="155" ht="47" customHeight="1">
      <x:c r="A155" s="4" t="str">
        <x:v>CP-030</x:v>
      </x:c>
      <x:c r="B155" s="4" t="str">
        <x:v>F005</x:v>
      </x:c>
      <x:c r="C155" s="4" t="str">
        <x:v>A008</x:v>
      </x:c>
      <x:c r="D155" s="4" t="str">
        <x:v>§2.1; Profile, Mission y Deliverables</x:v>
      </x:c>
      <x:c r="E155" s="4" t="str">
        <x:v>Septiembre 2022</x:v>
      </x:c>
      <x:c r="F155" s="4" t="str">
        <x:v>página física 4</x:v>
      </x:c>
      <x:c r="G155" s="4" t="str">
        <x:v>ROTULO_EN_TEXTO_EXTRAIDO_UTF8</x:v>
      </x:c>
      <x:c r="H155" s="4" t="str">
        <x:v>3583</x:v>
      </x:c>
      <x:c r="I155" s="4" t="str">
        <x:v>34</x:v>
      </x:c>
      <x:c r="J155" s="4" t="str">
        <x:v>c04b23a47b08b3ef95f1e719448997bc997df6c7e12c8d0ad92224e776c9d52f</x:v>
      </x:c>
      <x:c r="K155" s="4" t="str">
        <x:v>2026-09-08</x:v>
      </x:c>
      <x:c r="L155" s="4" t="str">
        <x:v>SIN_FECHA_DE_ADOPCION</x:v>
      </x:c>
      <x:c r="M155" s="12" t="n">
        <x:f>IF(LEN(J155)=64,0,1)</x:f>
        <x:v>0</x:v>
      </x:c>
      <x:c r="N155" s="12" t="n">
        <x:f>IF(COUNTIF('03_NICE'!$A$5:$A$57,A155)+COUNTIF('04_TKS'!$A$5:$A$72,A155)+COUNTIF('05_Complementos'!$A$5:$A$127,A155)=1,0,1)</x:f>
        <x:v>0</x:v>
      </x:c>
      <x:c r="O155" s="12" t="n">
        <x:f>COUNTIF('08_Trazas'!$A$5:$A$248,A155)-1</x:f>
        <x:v>0</x:v>
      </x:c>
      <x:c r="P155" s="12" t="n">
        <x:f>IF(COUNTIF('02_Custodia'!$A$5:$A$53,C155)=1,0,1)</x:f>
        <x:v>0</x:v>
      </x:c>
    </x:row>
    <x:row r="156" ht="47" customHeight="1">
      <x:c r="A156" s="4" t="str">
        <x:v>CP-031</x:v>
      </x:c>
      <x:c r="B156" s="4" t="str">
        <x:v>F005</x:v>
      </x:c>
      <x:c r="C156" s="4" t="str">
        <x:v>A008</x:v>
      </x:c>
      <x:c r="D156" s="4" t="str">
        <x:v>§2.2; Profile, Mission y Deliverables</x:v>
      </x:c>
      <x:c r="E156" s="4" t="str">
        <x:v>Septiembre 2022</x:v>
      </x:c>
      <x:c r="F156" s="4" t="str">
        <x:v>página física 4</x:v>
      </x:c>
      <x:c r="G156" s="4" t="str">
        <x:v>ROTULO_EN_TEXTO_EXTRAIDO_UTF8</x:v>
      </x:c>
      <x:c r="H156" s="4" t="str">
        <x:v>3632</x:v>
      </x:c>
      <x:c r="I156" s="4" t="str">
        <x:v>24</x:v>
      </x:c>
      <x:c r="J156" s="4" t="str">
        <x:v>f65826372a79bac0dc5a8428b1d32be727c8a4ca46c0f9ccf943bdf88be65f04</x:v>
      </x:c>
      <x:c r="K156" s="4" t="str">
        <x:v>2026-09-08</x:v>
      </x:c>
      <x:c r="L156" s="4" t="str">
        <x:v>SIN_FECHA_DE_ADOPCION</x:v>
      </x:c>
      <x:c r="M156" s="12" t="n">
        <x:f>IF(LEN(J156)=64,0,1)</x:f>
        <x:v>0</x:v>
      </x:c>
      <x:c r="N156" s="12" t="n">
        <x:f>IF(COUNTIF('03_NICE'!$A$5:$A$57,A156)+COUNTIF('04_TKS'!$A$5:$A$72,A156)+COUNTIF('05_Complementos'!$A$5:$A$127,A156)=1,0,1)</x:f>
        <x:v>0</x:v>
      </x:c>
      <x:c r="O156" s="12" t="n">
        <x:f>COUNTIF('08_Trazas'!$A$5:$A$248,A156)-1</x:f>
        <x:v>0</x:v>
      </x:c>
      <x:c r="P156" s="12" t="n">
        <x:f>IF(COUNTIF('02_Custodia'!$A$5:$A$53,C156)=1,0,1)</x:f>
        <x:v>0</x:v>
      </x:c>
    </x:row>
    <x:row r="157" ht="47" customHeight="1">
      <x:c r="A157" s="4" t="str">
        <x:v>CP-032</x:v>
      </x:c>
      <x:c r="B157" s="4" t="str">
        <x:v>F005</x:v>
      </x:c>
      <x:c r="C157" s="4" t="str">
        <x:v>A008</x:v>
      </x:c>
      <x:c r="D157" s="4" t="str">
        <x:v>§2.3; Profile, Mission y Deliverables</x:v>
      </x:c>
      <x:c r="E157" s="4" t="str">
        <x:v>Septiembre 2022</x:v>
      </x:c>
      <x:c r="F157" s="4" t="str">
        <x:v>página física 4</x:v>
      </x:c>
      <x:c r="G157" s="4" t="str">
        <x:v>ROTULO_EN_TEXTO_EXTRAIDO_UTF8</x:v>
      </x:c>
      <x:c r="H157" s="4" t="str">
        <x:v>3664</x:v>
      </x:c>
      <x:c r="I157" s="4" t="str">
        <x:v>40</x:v>
      </x:c>
      <x:c r="J157" s="4" t="str">
        <x:v>c9d14fa5c2212ac5385e1bff9f1a2837c428fb5000c551e2976f22733a2812e4</x:v>
      </x:c>
      <x:c r="K157" s="4" t="str">
        <x:v>2026-09-08</x:v>
      </x:c>
      <x:c r="L157" s="4" t="str">
        <x:v>SIN_FECHA_DE_ADOPCION</x:v>
      </x:c>
      <x:c r="M157" s="12" t="n">
        <x:f>IF(LEN(J157)=64,0,1)</x:f>
        <x:v>0</x:v>
      </x:c>
      <x:c r="N157" s="12" t="n">
        <x:f>IF(COUNTIF('03_NICE'!$A$5:$A$57,A157)+COUNTIF('04_TKS'!$A$5:$A$72,A157)+COUNTIF('05_Complementos'!$A$5:$A$127,A157)=1,0,1)</x:f>
        <x:v>0</x:v>
      </x:c>
      <x:c r="O157" s="12" t="n">
        <x:f>COUNTIF('08_Trazas'!$A$5:$A$248,A157)-1</x:f>
        <x:v>0</x:v>
      </x:c>
      <x:c r="P157" s="12" t="n">
        <x:f>IF(COUNTIF('02_Custodia'!$A$5:$A$53,C157)=1,0,1)</x:f>
        <x:v>0</x:v>
      </x:c>
    </x:row>
    <x:row r="158" ht="47" customHeight="1">
      <x:c r="A158" s="4" t="str">
        <x:v>CP-033</x:v>
      </x:c>
      <x:c r="B158" s="4" t="str">
        <x:v>F005</x:v>
      </x:c>
      <x:c r="C158" s="4" t="str">
        <x:v>A008</x:v>
      </x:c>
      <x:c r="D158" s="4" t="str">
        <x:v>§2.4; Profile, Mission y Deliverables</x:v>
      </x:c>
      <x:c r="E158" s="4" t="str">
        <x:v>Septiembre 2022</x:v>
      </x:c>
      <x:c r="F158" s="4" t="str">
        <x:v>página física 4</x:v>
      </x:c>
      <x:c r="G158" s="4" t="str">
        <x:v>ROTULO_EN_TEXTO_EXTRAIDO_UTF8</x:v>
      </x:c>
      <x:c r="H158" s="4" t="str">
        <x:v>3712</x:v>
      </x:c>
      <x:c r="I158" s="4" t="str">
        <x:v>36</x:v>
      </x:c>
      <x:c r="J158" s="4" t="str">
        <x:v>d080977b54f1e617c573cd8b7ef8194527c117fab7bc7cc52978df1b51ae8aa8</x:v>
      </x:c>
      <x:c r="K158" s="4" t="str">
        <x:v>2026-09-08</x:v>
      </x:c>
      <x:c r="L158" s="4" t="str">
        <x:v>SIN_FECHA_DE_ADOPCION</x:v>
      </x:c>
      <x:c r="M158" s="12" t="n">
        <x:f>IF(LEN(J158)=64,0,1)</x:f>
        <x:v>0</x:v>
      </x:c>
      <x:c r="N158" s="12" t="n">
        <x:f>IF(COUNTIF('03_NICE'!$A$5:$A$57,A158)+COUNTIF('04_TKS'!$A$5:$A$72,A158)+COUNTIF('05_Complementos'!$A$5:$A$127,A158)=1,0,1)</x:f>
        <x:v>0</x:v>
      </x:c>
      <x:c r="O158" s="12" t="n">
        <x:f>COUNTIF('08_Trazas'!$A$5:$A$248,A158)-1</x:f>
        <x:v>0</x:v>
      </x:c>
      <x:c r="P158" s="12" t="n">
        <x:f>IF(COUNTIF('02_Custodia'!$A$5:$A$53,C158)=1,0,1)</x:f>
        <x:v>0</x:v>
      </x:c>
    </x:row>
    <x:row r="159" ht="47" customHeight="1">
      <x:c r="A159" s="4" t="str">
        <x:v>CP-034</x:v>
      </x:c>
      <x:c r="B159" s="4" t="str">
        <x:v>F005</x:v>
      </x:c>
      <x:c r="C159" s="4" t="str">
        <x:v>A008</x:v>
      </x:c>
      <x:c r="D159" s="4" t="str">
        <x:v>§2.5; Profile, Mission y Deliverables</x:v>
      </x:c>
      <x:c r="E159" s="4" t="str">
        <x:v>Septiembre 2022</x:v>
      </x:c>
      <x:c r="F159" s="4" t="str">
        <x:v>página física 4</x:v>
      </x:c>
      <x:c r="G159" s="4" t="str">
        <x:v>ROTULO_EN_TEXTO_EXTRAIDO_UTF8</x:v>
      </x:c>
      <x:c r="H159" s="4" t="str">
        <x:v>3757</x:v>
      </x:c>
      <x:c r="I159" s="4" t="str">
        <x:v>23</x:v>
      </x:c>
      <x:c r="J159" s="4" t="str">
        <x:v>e98235d09c3a4e8fb14d65ba1770baa40825c7f8b126317b832c7e8d00646a6b</x:v>
      </x:c>
      <x:c r="K159" s="4" t="str">
        <x:v>2026-09-08</x:v>
      </x:c>
      <x:c r="L159" s="4" t="str">
        <x:v>SIN_FECHA_DE_ADOPCION</x:v>
      </x:c>
      <x:c r="M159" s="12" t="n">
        <x:f>IF(LEN(J159)=64,0,1)</x:f>
        <x:v>0</x:v>
      </x:c>
      <x:c r="N159" s="12" t="n">
        <x:f>IF(COUNTIF('03_NICE'!$A$5:$A$57,A159)+COUNTIF('04_TKS'!$A$5:$A$72,A159)+COUNTIF('05_Complementos'!$A$5:$A$127,A159)=1,0,1)</x:f>
        <x:v>0</x:v>
      </x:c>
      <x:c r="O159" s="12" t="n">
        <x:f>COUNTIF('08_Trazas'!$A$5:$A$248,A159)-1</x:f>
        <x:v>0</x:v>
      </x:c>
      <x:c r="P159" s="12" t="n">
        <x:f>IF(COUNTIF('02_Custodia'!$A$5:$A$53,C159)=1,0,1)</x:f>
        <x:v>0</x:v>
      </x:c>
    </x:row>
    <x:row r="160" ht="47" customHeight="1">
      <x:c r="A160" s="4" t="str">
        <x:v>CP-035</x:v>
      </x:c>
      <x:c r="B160" s="4" t="str">
        <x:v>F005</x:v>
      </x:c>
      <x:c r="C160" s="4" t="str">
        <x:v>A008</x:v>
      </x:c>
      <x:c r="D160" s="4" t="str">
        <x:v>§2.6; Profile, Mission y Deliverables</x:v>
      </x:c>
      <x:c r="E160" s="4" t="str">
        <x:v>Septiembre 2022</x:v>
      </x:c>
      <x:c r="F160" s="4" t="str">
        <x:v>página física 4</x:v>
      </x:c>
      <x:c r="G160" s="4" t="str">
        <x:v>ROTULO_EN_TEXTO_EXTRAIDO_UTF8</x:v>
      </x:c>
      <x:c r="H160" s="4" t="str">
        <x:v>3789</x:v>
      </x:c>
      <x:c r="I160" s="4" t="str">
        <x:v>21</x:v>
      </x:c>
      <x:c r="J160" s="4" t="str">
        <x:v>c7442db0f62cb5aaa4fd19966762962418a25acb5c4b6cc79e1dcff45f9d809a</x:v>
      </x:c>
      <x:c r="K160" s="4" t="str">
        <x:v>2026-09-08</x:v>
      </x:c>
      <x:c r="L160" s="4" t="str">
        <x:v>SIN_FECHA_DE_ADOPCION</x:v>
      </x:c>
      <x:c r="M160" s="12" t="n">
        <x:f>IF(LEN(J160)=64,0,1)</x:f>
        <x:v>0</x:v>
      </x:c>
      <x:c r="N160" s="12" t="n">
        <x:f>IF(COUNTIF('03_NICE'!$A$5:$A$57,A160)+COUNTIF('04_TKS'!$A$5:$A$72,A160)+COUNTIF('05_Complementos'!$A$5:$A$127,A160)=1,0,1)</x:f>
        <x:v>0</x:v>
      </x:c>
      <x:c r="O160" s="12" t="n">
        <x:f>COUNTIF('08_Trazas'!$A$5:$A$248,A160)-1</x:f>
        <x:v>0</x:v>
      </x:c>
      <x:c r="P160" s="12" t="n">
        <x:f>IF(COUNTIF('02_Custodia'!$A$5:$A$53,C160)=1,0,1)</x:f>
        <x:v>0</x:v>
      </x:c>
    </x:row>
    <x:row r="161" ht="47" customHeight="1">
      <x:c r="A161" s="4" t="str">
        <x:v>CP-036</x:v>
      </x:c>
      <x:c r="B161" s="4" t="str">
        <x:v>F005</x:v>
      </x:c>
      <x:c r="C161" s="4" t="str">
        <x:v>A008</x:v>
      </x:c>
      <x:c r="D161" s="4" t="str">
        <x:v>§2.7; Profile, Mission y Deliverables</x:v>
      </x:c>
      <x:c r="E161" s="4" t="str">
        <x:v>Septiembre 2022</x:v>
      </x:c>
      <x:c r="F161" s="4" t="str">
        <x:v>página física 4</x:v>
      </x:c>
      <x:c r="G161" s="4" t="str">
        <x:v>ROTULO_EN_TEXTO_EXTRAIDO_UTF8</x:v>
      </x:c>
      <x:c r="H161" s="4" t="str">
        <x:v>3819</x:v>
      </x:c>
      <x:c r="I161" s="4" t="str">
        <x:v>22</x:v>
      </x:c>
      <x:c r="J161" s="4" t="str">
        <x:v>ab70b857f52f2251829a67262577d3ce377edf61fdd7868b7d6d4358305a853d</x:v>
      </x:c>
      <x:c r="K161" s="4" t="str">
        <x:v>2026-09-08</x:v>
      </x:c>
      <x:c r="L161" s="4" t="str">
        <x:v>SIN_FECHA_DE_ADOPCION</x:v>
      </x:c>
      <x:c r="M161" s="12" t="n">
        <x:f>IF(LEN(J161)=64,0,1)</x:f>
        <x:v>0</x:v>
      </x:c>
      <x:c r="N161" s="12" t="n">
        <x:f>IF(COUNTIF('03_NICE'!$A$5:$A$57,A161)+COUNTIF('04_TKS'!$A$5:$A$72,A161)+COUNTIF('05_Complementos'!$A$5:$A$127,A161)=1,0,1)</x:f>
        <x:v>0</x:v>
      </x:c>
      <x:c r="O161" s="12" t="n">
        <x:f>COUNTIF('08_Trazas'!$A$5:$A$248,A161)-1</x:f>
        <x:v>0</x:v>
      </x:c>
      <x:c r="P161" s="12" t="n">
        <x:f>IF(COUNTIF('02_Custodia'!$A$5:$A$53,C161)=1,0,1)</x:f>
        <x:v>0</x:v>
      </x:c>
    </x:row>
    <x:row r="162" ht="47" customHeight="1">
      <x:c r="A162" s="4" t="str">
        <x:v>CP-037</x:v>
      </x:c>
      <x:c r="B162" s="4" t="str">
        <x:v>F005</x:v>
      </x:c>
      <x:c r="C162" s="4" t="str">
        <x:v>A008</x:v>
      </x:c>
      <x:c r="D162" s="4" t="str">
        <x:v>§2.8; Profile, Mission y Deliverables</x:v>
      </x:c>
      <x:c r="E162" s="4" t="str">
        <x:v>Septiembre 2022</x:v>
      </x:c>
      <x:c r="F162" s="4" t="str">
        <x:v>página física 4</x:v>
      </x:c>
      <x:c r="G162" s="4" t="str">
        <x:v>ROTULO_EN_TEXTO_EXTRAIDO_UTF8</x:v>
      </x:c>
      <x:c r="H162" s="4" t="str">
        <x:v>3850</x:v>
      </x:c>
      <x:c r="I162" s="4" t="str">
        <x:v>25</x:v>
      </x:c>
      <x:c r="J162" s="4" t="str">
        <x:v>144b10e71c7c6e1d7506cb46caa24090323a7427a6be111208d122a01b219181</x:v>
      </x:c>
      <x:c r="K162" s="4" t="str">
        <x:v>2026-09-08</x:v>
      </x:c>
      <x:c r="L162" s="4" t="str">
        <x:v>SIN_FECHA_DE_ADOPCION</x:v>
      </x:c>
      <x:c r="M162" s="12" t="n">
        <x:f>IF(LEN(J162)=64,0,1)</x:f>
        <x:v>0</x:v>
      </x:c>
      <x:c r="N162" s="12" t="n">
        <x:f>IF(COUNTIF('03_NICE'!$A$5:$A$57,A162)+COUNTIF('04_TKS'!$A$5:$A$72,A162)+COUNTIF('05_Complementos'!$A$5:$A$127,A162)=1,0,1)</x:f>
        <x:v>0</x:v>
      </x:c>
      <x:c r="O162" s="12" t="n">
        <x:f>COUNTIF('08_Trazas'!$A$5:$A$248,A162)-1</x:f>
        <x:v>0</x:v>
      </x:c>
      <x:c r="P162" s="12" t="n">
        <x:f>IF(COUNTIF('02_Custodia'!$A$5:$A$53,C162)=1,0,1)</x:f>
        <x:v>0</x:v>
      </x:c>
    </x:row>
    <x:row r="163" ht="47" customHeight="1">
      <x:c r="A163" s="4" t="str">
        <x:v>CP-038</x:v>
      </x:c>
      <x:c r="B163" s="4" t="str">
        <x:v>F005</x:v>
      </x:c>
      <x:c r="C163" s="4" t="str">
        <x:v>A008</x:v>
      </x:c>
      <x:c r="D163" s="4" t="str">
        <x:v>§2.9; Profile, Mission y Deliverables</x:v>
      </x:c>
      <x:c r="E163" s="4" t="str">
        <x:v>Septiembre 2022</x:v>
      </x:c>
      <x:c r="F163" s="4" t="str">
        <x:v>página física 4</x:v>
      </x:c>
      <x:c r="G163" s="4" t="str">
        <x:v>ROTULO_EN_TEXTO_EXTRAIDO_UTF8</x:v>
      </x:c>
      <x:c r="H163" s="4" t="str">
        <x:v>3884</x:v>
      </x:c>
      <x:c r="I163" s="4" t="str">
        <x:v>24</x:v>
      </x:c>
      <x:c r="J163" s="4" t="str">
        <x:v>7aa3c11874b251a1e941257d1d6787029248a71d069cd94f44755c361f700862</x:v>
      </x:c>
      <x:c r="K163" s="4" t="str">
        <x:v>2026-09-08</x:v>
      </x:c>
      <x:c r="L163" s="4" t="str">
        <x:v>SIN_FECHA_DE_ADOPCION</x:v>
      </x:c>
      <x:c r="M163" s="12" t="n">
        <x:f>IF(LEN(J163)=64,0,1)</x:f>
        <x:v>0</x:v>
      </x:c>
      <x:c r="N163" s="12" t="n">
        <x:f>IF(COUNTIF('03_NICE'!$A$5:$A$57,A163)+COUNTIF('04_TKS'!$A$5:$A$72,A163)+COUNTIF('05_Complementos'!$A$5:$A$127,A163)=1,0,1)</x:f>
        <x:v>0</x:v>
      </x:c>
      <x:c r="O163" s="12" t="n">
        <x:f>COUNTIF('08_Trazas'!$A$5:$A$248,A163)-1</x:f>
        <x:v>0</x:v>
      </x:c>
      <x:c r="P163" s="12" t="n">
        <x:f>IF(COUNTIF('02_Custodia'!$A$5:$A$53,C163)=1,0,1)</x:f>
        <x:v>0</x:v>
      </x:c>
    </x:row>
    <x:row r="164" ht="47" customHeight="1">
      <x:c r="A164" s="4" t="str">
        <x:v>CP-039</x:v>
      </x:c>
      <x:c r="B164" s="4" t="str">
        <x:v>F005</x:v>
      </x:c>
      <x:c r="C164" s="4" t="str">
        <x:v>A008</x:v>
      </x:c>
      <x:c r="D164" s="4" t="str">
        <x:v>§2.10; Profile, Mission y Deliverables</x:v>
      </x:c>
      <x:c r="E164" s="4" t="str">
        <x:v>Septiembre 2022</x:v>
      </x:c>
      <x:c r="F164" s="4" t="str">
        <x:v>página física 4</x:v>
      </x:c>
      <x:c r="G164" s="4" t="str">
        <x:v>ROTULO_EN_TEXTO_EXTRAIDO_UTF8</x:v>
      </x:c>
      <x:c r="H164" s="4" t="str">
        <x:v>3918</x:v>
      </x:c>
      <x:c r="I164" s="4" t="str">
        <x:v>26</x:v>
      </x:c>
      <x:c r="J164" s="4" t="str">
        <x:v>c22376386233e666bccb164da623dab9b23353f39744a632cd7ebc5bb2f54a71</x:v>
      </x:c>
      <x:c r="K164" s="4" t="str">
        <x:v>2026-09-08</x:v>
      </x:c>
      <x:c r="L164" s="4" t="str">
        <x:v>SIN_FECHA_DE_ADOPCION</x:v>
      </x:c>
      <x:c r="M164" s="12" t="n">
        <x:f>IF(LEN(J164)=64,0,1)</x:f>
        <x:v>0</x:v>
      </x:c>
      <x:c r="N164" s="12" t="n">
        <x:f>IF(COUNTIF('03_NICE'!$A$5:$A$57,A164)+COUNTIF('04_TKS'!$A$5:$A$72,A164)+COUNTIF('05_Complementos'!$A$5:$A$127,A164)=1,0,1)</x:f>
        <x:v>0</x:v>
      </x:c>
      <x:c r="O164" s="12" t="n">
        <x:f>COUNTIF('08_Trazas'!$A$5:$A$248,A164)-1</x:f>
        <x:v>0</x:v>
      </x:c>
      <x:c r="P164" s="12" t="n">
        <x:f>IF(COUNTIF('02_Custodia'!$A$5:$A$53,C164)=1,0,1)</x:f>
        <x:v>0</x:v>
      </x:c>
    </x:row>
    <x:row r="165" ht="47" customHeight="1">
      <x:c r="A165" s="4" t="str">
        <x:v>CP-040</x:v>
      </x:c>
      <x:c r="B165" s="4" t="str">
        <x:v>F005</x:v>
      </x:c>
      <x:c r="C165" s="4" t="str">
        <x:v>A008</x:v>
      </x:c>
      <x:c r="D165" s="4" t="str">
        <x:v>§2.11; Profile, Mission y Deliverables</x:v>
      </x:c>
      <x:c r="E165" s="4" t="str">
        <x:v>Septiembre 2022</x:v>
      </x:c>
      <x:c r="F165" s="4" t="str">
        <x:v>página física 4</x:v>
      </x:c>
      <x:c r="G165" s="4" t="str">
        <x:v>ROTULO_EN_TEXTO_EXTRAIDO_UTF8</x:v>
      </x:c>
      <x:c r="H165" s="4" t="str">
        <x:v>3954</x:v>
      </x:c>
      <x:c r="I165" s="4" t="str">
        <x:v>30</x:v>
      </x:c>
      <x:c r="J165" s="4" t="str">
        <x:v>12547d9e0d4a0a4cbb3ae928fcaf432ad55927ff7fc96fa138754307026494aa</x:v>
      </x:c>
      <x:c r="K165" s="4" t="str">
        <x:v>2026-09-08</x:v>
      </x:c>
      <x:c r="L165" s="4" t="str">
        <x:v>SIN_FECHA_DE_ADOPCION</x:v>
      </x:c>
      <x:c r="M165" s="12" t="n">
        <x:f>IF(LEN(J165)=64,0,1)</x:f>
        <x:v>0</x:v>
      </x:c>
      <x:c r="N165" s="12" t="n">
        <x:f>IF(COUNTIF('03_NICE'!$A$5:$A$57,A165)+COUNTIF('04_TKS'!$A$5:$A$72,A165)+COUNTIF('05_Complementos'!$A$5:$A$127,A165)=1,0,1)</x:f>
        <x:v>0</x:v>
      </x:c>
      <x:c r="O165" s="12" t="n">
        <x:f>COUNTIF('08_Trazas'!$A$5:$A$248,A165)-1</x:f>
        <x:v>0</x:v>
      </x:c>
      <x:c r="P165" s="12" t="n">
        <x:f>IF(COUNTIF('02_Custodia'!$A$5:$A$53,C165)=1,0,1)</x:f>
        <x:v>0</x:v>
      </x:c>
    </x:row>
    <x:row r="166" ht="47" customHeight="1">
      <x:c r="A166" s="4" t="str">
        <x:v>CP-041</x:v>
      </x:c>
      <x:c r="B166" s="4" t="str">
        <x:v>F005</x:v>
      </x:c>
      <x:c r="C166" s="4" t="str">
        <x:v>A008</x:v>
      </x:c>
      <x:c r="D166" s="4" t="str">
        <x:v>§2.12; Profile, Mission y Deliverables</x:v>
      </x:c>
      <x:c r="E166" s="4" t="str">
        <x:v>Septiembre 2022</x:v>
      </x:c>
      <x:c r="F166" s="4" t="str">
        <x:v>página física 4</x:v>
      </x:c>
      <x:c r="G166" s="4" t="str">
        <x:v>ROTULO_EN_TEXTO_EXTRAIDO_UTF8</x:v>
      </x:c>
      <x:c r="H166" s="4" t="str">
        <x:v>3994</x:v>
      </x:c>
      <x:c r="I166" s="4" t="str">
        <x:v>18</x:v>
      </x:c>
      <x:c r="J166" s="4" t="str">
        <x:v>a3c40d75929184ca0dc0930d8fa955df6709c3ab8c5f436c744f3035113c1567</x:v>
      </x:c>
      <x:c r="K166" s="4" t="str">
        <x:v>2026-09-08</x:v>
      </x:c>
      <x:c r="L166" s="4" t="str">
        <x:v>SIN_FECHA_DE_ADOPCION</x:v>
      </x:c>
      <x:c r="M166" s="12" t="n">
        <x:f>IF(LEN(J166)=64,0,1)</x:f>
        <x:v>0</x:v>
      </x:c>
      <x:c r="N166" s="12" t="n">
        <x:f>IF(COUNTIF('03_NICE'!$A$5:$A$57,A166)+COUNTIF('04_TKS'!$A$5:$A$72,A166)+COUNTIF('05_Complementos'!$A$5:$A$127,A166)=1,0,1)</x:f>
        <x:v>0</x:v>
      </x:c>
      <x:c r="O166" s="12" t="n">
        <x:f>COUNTIF('08_Trazas'!$A$5:$A$248,A166)-1</x:f>
        <x:v>0</x:v>
      </x:c>
      <x:c r="P166" s="12" t="n">
        <x:f>IF(COUNTIF('02_Custodia'!$A$5:$A$53,C166)=1,0,1)</x:f>
        <x:v>0</x:v>
      </x:c>
    </x:row>
    <x:row r="167" ht="47" customHeight="1">
      <x:c r="A167" s="4" t="str">
        <x:v>CP-042</x:v>
      </x:c>
      <x:c r="B167" s="4" t="str">
        <x:v>F006</x:v>
      </x:c>
      <x:c r="C167" s="4" t="str">
        <x:v>F006</x:v>
      </x:c>
      <x:c r="D167" s="4" t="str">
        <x:v>Specific competencies, 2</x:v>
      </x:c>
      <x:c r="E167" s="4" t="str">
        <x:v>Oferta 2026-2027; página capturada</x:v>
      </x:c>
      <x:c r="F167" s="4" t="str">
        <x:v>texto extraído; posición UTF-8</x:v>
      </x:c>
      <x:c r="G167" s="4" t="str">
        <x:v>ROTULO_EN_TEXTO_EXTRAIDO_UTF8</x:v>
      </x:c>
      <x:c r="H167" s="4" t="str">
        <x:v>7839</x:v>
      </x:c>
      <x:c r="I167" s="4" t="str">
        <x:v>19</x:v>
      </x:c>
      <x:c r="J167" s="4" t="str">
        <x:v>9d95672956b1fed14fd432a4cf8296df76a1302692829a5bf5edda8beff21d74</x:v>
      </x:c>
      <x:c r="K167" s="4" t="str">
        <x:v>2026-09-08</x:v>
      </x:c>
      <x:c r="L167" s="4" t="str">
        <x:v>SIN_FECHA_DE_ADOPCION</x:v>
      </x:c>
      <x:c r="M167" s="12" t="n">
        <x:f>IF(LEN(J167)=64,0,1)</x:f>
        <x:v>0</x:v>
      </x:c>
      <x:c r="N167" s="12" t="n">
        <x:f>IF(COUNTIF('03_NICE'!$A$5:$A$57,A167)+COUNTIF('04_TKS'!$A$5:$A$72,A167)+COUNTIF('05_Complementos'!$A$5:$A$127,A167)=1,0,1)</x:f>
        <x:v>0</x:v>
      </x:c>
      <x:c r="O167" s="12" t="n">
        <x:f>COUNTIF('08_Trazas'!$A$5:$A$248,A167)-1</x:f>
        <x:v>0</x:v>
      </x:c>
      <x:c r="P167" s="12" t="n">
        <x:f>IF(COUNTIF('02_Custodia'!$A$5:$A$53,C167)=1,0,1)</x:f>
        <x:v>0</x:v>
      </x:c>
    </x:row>
    <x:row r="168" ht="47" customHeight="1">
      <x:c r="A168" s="4" t="str">
        <x:v>CP-043</x:v>
      </x:c>
      <x:c r="B168" s="4" t="str">
        <x:v>F006</x:v>
      </x:c>
      <x:c r="C168" s="4" t="str">
        <x:v>F006</x:v>
      </x:c>
      <x:c r="D168" s="4" t="str">
        <x:v>Specific competencies, 4</x:v>
      </x:c>
      <x:c r="E168" s="4" t="str">
        <x:v>Oferta 2026-2027; página capturada</x:v>
      </x:c>
      <x:c r="F168" s="4" t="str">
        <x:v>texto extraído; posición UTF-8</x:v>
      </x:c>
      <x:c r="G168" s="4" t="str">
        <x:v>ROTULO_EN_TEXTO_EXTRAIDO_UTF8</x:v>
      </x:c>
      <x:c r="H168" s="4" t="str">
        <x:v>8225</x:v>
      </x:c>
      <x:c r="I168" s="4" t="str">
        <x:v>17</x:v>
      </x:c>
      <x:c r="J168" s="4" t="str">
        <x:v>c98956f559f317f9d46b51be17ca96c2b69d046803f1e0409e82f1a5da33ce2d</x:v>
      </x:c>
      <x:c r="K168" s="4" t="str">
        <x:v>2026-09-08</x:v>
      </x:c>
      <x:c r="L168" s="4" t="str">
        <x:v>SIN_FECHA_DE_ADOPCION</x:v>
      </x:c>
      <x:c r="M168" s="12" t="n">
        <x:f>IF(LEN(J168)=64,0,1)</x:f>
        <x:v>0</x:v>
      </x:c>
      <x:c r="N168" s="12" t="n">
        <x:f>IF(COUNTIF('03_NICE'!$A$5:$A$57,A168)+COUNTIF('04_TKS'!$A$5:$A$72,A168)+COUNTIF('05_Complementos'!$A$5:$A$127,A168)=1,0,1)</x:f>
        <x:v>0</x:v>
      </x:c>
      <x:c r="O168" s="12" t="n">
        <x:f>COUNTIF('08_Trazas'!$A$5:$A$248,A168)-1</x:f>
        <x:v>0</x:v>
      </x:c>
      <x:c r="P168" s="12" t="n">
        <x:f>IF(COUNTIF('02_Custodia'!$A$5:$A$53,C168)=1,0,1)</x:f>
        <x:v>0</x:v>
      </x:c>
    </x:row>
    <x:row r="169" ht="47" customHeight="1">
      <x:c r="A169" s="4" t="str">
        <x:v>CP-044</x:v>
      </x:c>
      <x:c r="B169" s="4" t="str">
        <x:v>F006</x:v>
      </x:c>
      <x:c r="C169" s="4" t="str">
        <x:v>F006</x:v>
      </x:c>
      <x:c r="D169" s="4" t="str">
        <x:v>Specific competencies, 5</x:v>
      </x:c>
      <x:c r="E169" s="4" t="str">
        <x:v>Oferta 2026-2027; página capturada</x:v>
      </x:c>
      <x:c r="F169" s="4" t="str">
        <x:v>texto extraído; posición UTF-8</x:v>
      </x:c>
      <x:c r="G169" s="4" t="str">
        <x:v>ROTULO_EN_TEXTO_EXTRAIDO_UTF8</x:v>
      </x:c>
      <x:c r="H169" s="4" t="str">
        <x:v>8375</x:v>
      </x:c>
      <x:c r="I169" s="4" t="str">
        <x:v>29</x:v>
      </x:c>
      <x:c r="J169" s="4" t="str">
        <x:v>68c478c99ee6cea3142553da89c85be5766d3ea0416ade4686a14598823bb01a</x:v>
      </x:c>
      <x:c r="K169" s="4" t="str">
        <x:v>2026-09-08</x:v>
      </x:c>
      <x:c r="L169" s="4" t="str">
        <x:v>SIN_FECHA_DE_ADOPCION</x:v>
      </x:c>
      <x:c r="M169" s="12" t="n">
        <x:f>IF(LEN(J169)=64,0,1)</x:f>
        <x:v>0</x:v>
      </x:c>
      <x:c r="N169" s="12" t="n">
        <x:f>IF(COUNTIF('03_NICE'!$A$5:$A$57,A169)+COUNTIF('04_TKS'!$A$5:$A$72,A169)+COUNTIF('05_Complementos'!$A$5:$A$127,A169)=1,0,1)</x:f>
        <x:v>0</x:v>
      </x:c>
      <x:c r="O169" s="12" t="n">
        <x:f>COUNTIF('08_Trazas'!$A$5:$A$248,A169)-1</x:f>
        <x:v>0</x:v>
      </x:c>
      <x:c r="P169" s="12" t="n">
        <x:f>IF(COUNTIF('02_Custodia'!$A$5:$A$53,C169)=1,0,1)</x:f>
        <x:v>0</x:v>
      </x:c>
    </x:row>
    <x:row r="170" ht="47" customHeight="1">
      <x:c r="A170" s="4" t="str">
        <x:v>CP-045</x:v>
      </x:c>
      <x:c r="B170" s="4" t="str">
        <x:v>F006</x:v>
      </x:c>
      <x:c r="C170" s="4" t="str">
        <x:v>F006</x:v>
      </x:c>
      <x:c r="D170" s="4" t="str">
        <x:v>Specific competencies, 6</x:v>
      </x:c>
      <x:c r="E170" s="4" t="str">
        <x:v>Oferta 2026-2027; página capturada</x:v>
      </x:c>
      <x:c r="F170" s="4" t="str">
        <x:v>texto extraído; posición UTF-8</x:v>
      </x:c>
      <x:c r="G170" s="4" t="str">
        <x:v>ROTULO_EN_TEXTO_EXTRAIDO_UTF8</x:v>
      </x:c>
      <x:c r="H170" s="4" t="str">
        <x:v>6344</x:v>
      </x:c>
      <x:c r="I170" s="4" t="str">
        <x:v>23</x:v>
      </x:c>
      <x:c r="J170" s="4" t="str">
        <x:v>9513f02288c9fb9bac2a3adcb2e2611e97052eb155e13cc900d714119d3e7fd8</x:v>
      </x:c>
      <x:c r="K170" s="4" t="str">
        <x:v>2026-09-08</x:v>
      </x:c>
      <x:c r="L170" s="4" t="str">
        <x:v>SIN_FECHA_DE_ADOPCION</x:v>
      </x:c>
      <x:c r="M170" s="12" t="n">
        <x:f>IF(LEN(J170)=64,0,1)</x:f>
        <x:v>0</x:v>
      </x:c>
      <x:c r="N170" s="12" t="n">
        <x:f>IF(COUNTIF('03_NICE'!$A$5:$A$57,A170)+COUNTIF('04_TKS'!$A$5:$A$72,A170)+COUNTIF('05_Complementos'!$A$5:$A$127,A170)=1,0,1)</x:f>
        <x:v>0</x:v>
      </x:c>
      <x:c r="O170" s="12" t="n">
        <x:f>COUNTIF('08_Trazas'!$A$5:$A$248,A170)-1</x:f>
        <x:v>0</x:v>
      </x:c>
      <x:c r="P170" s="12" t="n">
        <x:f>IF(COUNTIF('02_Custodia'!$A$5:$A$53,C170)=1,0,1)</x:f>
        <x:v>0</x:v>
      </x:c>
    </x:row>
    <x:row r="171" ht="47" customHeight="1">
      <x:c r="A171" s="4" t="str">
        <x:v>CP-046</x:v>
      </x:c>
      <x:c r="B171" s="4" t="str">
        <x:v>F007</x:v>
      </x:c>
      <x:c r="C171" s="4" t="str">
        <x:v>A009</x:v>
      </x:c>
      <x:c r="D171" s="4" t="str">
        <x:v>Core classes, 95-743; Student Handbook 2026-2027</x:v>
      </x:c>
      <x:c r="E171" s="4" t="str">
        <x:v>Student Handbook Addendum 2026-2027</x:v>
      </x:c>
      <x:c r="F171" s="4" t="str">
        <x:v>página física 5</x:v>
      </x:c>
      <x:c r="G171" s="4" t="str">
        <x:v>ROTULO_EN_TEXTO_EXTRAIDO_UTF8</x:v>
      </x:c>
      <x:c r="H171" s="4" t="str">
        <x:v>9429</x:v>
      </x:c>
      <x:c r="I171" s="4" t="str">
        <x:v>41</x:v>
      </x:c>
      <x:c r="J171" s="4" t="str">
        <x:v>6240eb2e5a7f18a6885d482f4904cd182733c5956f3fe01f06dfca873b3c29c6</x:v>
      </x:c>
      <x:c r="K171" s="4" t="str">
        <x:v>2026-09-08</x:v>
      </x:c>
      <x:c r="L171" s="4" t="str">
        <x:v>SIN_FECHA_DE_ADOPCION</x:v>
      </x:c>
      <x:c r="M171" s="12" t="n">
        <x:f>IF(LEN(J171)=64,0,1)</x:f>
        <x:v>0</x:v>
      </x:c>
      <x:c r="N171" s="12" t="n">
        <x:f>IF(COUNTIF('03_NICE'!$A$5:$A$57,A171)+COUNTIF('04_TKS'!$A$5:$A$72,A171)+COUNTIF('05_Complementos'!$A$5:$A$127,A171)=1,0,1)</x:f>
        <x:v>0</x:v>
      </x:c>
      <x:c r="O171" s="12" t="n">
        <x:f>COUNTIF('08_Trazas'!$A$5:$A$248,A171)-1</x:f>
        <x:v>0</x:v>
      </x:c>
      <x:c r="P171" s="12" t="n">
        <x:f>IF(COUNTIF('02_Custodia'!$A$5:$A$53,C171)=1,0,1)</x:f>
        <x:v>0</x:v>
      </x:c>
    </x:row>
    <x:row r="172" ht="47" customHeight="1">
      <x:c r="A172" s="4" t="str">
        <x:v>CP-047</x:v>
      </x:c>
      <x:c r="B172" s="4" t="str">
        <x:v>F007</x:v>
      </x:c>
      <x:c r="C172" s="4" t="str">
        <x:v>A009</x:v>
      </x:c>
      <x:c r="D172" s="4" t="str">
        <x:v>Core classes, 95-755; Student Handbook 2026-2027</x:v>
      </x:c>
      <x:c r="E172" s="4" t="str">
        <x:v>Student Handbook Addendum 2026-2027</x:v>
      </x:c>
      <x:c r="F172" s="4" t="str">
        <x:v>página física 5</x:v>
      </x:c>
      <x:c r="G172" s="4" t="str">
        <x:v>ROTULO_EN_TEXTO_EXTRAIDO_UTF8</x:v>
      </x:c>
      <x:c r="H172" s="4" t="str">
        <x:v>9489</x:v>
      </x:c>
      <x:c r="I172" s="4" t="str">
        <x:v>29</x:v>
      </x:c>
      <x:c r="J172" s="4" t="str">
        <x:v>2c2a0193530d51eb12819c1af462e9fbece9d38ac67b7545f1308e49acf9d58c</x:v>
      </x:c>
      <x:c r="K172" s="4" t="str">
        <x:v>2026-09-08</x:v>
      </x:c>
      <x:c r="L172" s="4" t="str">
        <x:v>SIN_FECHA_DE_ADOPCION</x:v>
      </x:c>
      <x:c r="M172" s="12" t="n">
        <x:f>IF(LEN(J172)=64,0,1)</x:f>
        <x:v>0</x:v>
      </x:c>
      <x:c r="N172" s="12" t="n">
        <x:f>IF(COUNTIF('03_NICE'!$A$5:$A$57,A172)+COUNTIF('04_TKS'!$A$5:$A$72,A172)+COUNTIF('05_Complementos'!$A$5:$A$127,A172)=1,0,1)</x:f>
        <x:v>0</x:v>
      </x:c>
      <x:c r="O172" s="12" t="n">
        <x:f>COUNTIF('08_Trazas'!$A$5:$A$248,A172)-1</x:f>
        <x:v>0</x:v>
      </x:c>
      <x:c r="P172" s="12" t="n">
        <x:f>IF(COUNTIF('02_Custodia'!$A$5:$A$53,C172)=1,0,1)</x:f>
        <x:v>0</x:v>
      </x:c>
    </x:row>
    <x:row r="173" ht="47" customHeight="1">
      <x:c r="A173" s="4" t="str">
        <x:v>CP-048</x:v>
      </x:c>
      <x:c r="B173" s="4" t="str">
        <x:v>F007</x:v>
      </x:c>
      <x:c r="C173" s="4" t="str">
        <x:v>A009</x:v>
      </x:c>
      <x:c r="D173" s="4" t="str">
        <x:v>Core classes, 95-760; Student Handbook 2026-2027</x:v>
      </x:c>
      <x:c r="E173" s="4" t="str">
        <x:v>Student Handbook Addendum 2026-2027</x:v>
      </x:c>
      <x:c r="F173" s="4" t="str">
        <x:v>página física 5</x:v>
      </x:c>
      <x:c r="G173" s="4" t="str">
        <x:v>ROTULO_EN_TEXTO_EXTRAIDO_UTF8</x:v>
      </x:c>
      <x:c r="H173" s="4" t="str">
        <x:v>8780</x:v>
      </x:c>
      <x:c r="I173" s="4" t="str">
        <x:v>39</x:v>
      </x:c>
      <x:c r="J173" s="4" t="str">
        <x:v>74b30c9412a49ccd738776be5f9e4626831c98748b334a9b6c9131876dc7663c</x:v>
      </x:c>
      <x:c r="K173" s="4" t="str">
        <x:v>2026-09-08</x:v>
      </x:c>
      <x:c r="L173" s="4" t="str">
        <x:v>SIN_FECHA_DE_ADOPCION</x:v>
      </x:c>
      <x:c r="M173" s="12" t="n">
        <x:f>IF(LEN(J173)=64,0,1)</x:f>
        <x:v>0</x:v>
      </x:c>
      <x:c r="N173" s="12" t="n">
        <x:f>IF(COUNTIF('03_NICE'!$A$5:$A$57,A173)+COUNTIF('04_TKS'!$A$5:$A$72,A173)+COUNTIF('05_Complementos'!$A$5:$A$127,A173)=1,0,1)</x:f>
        <x:v>0</x:v>
      </x:c>
      <x:c r="O173" s="12" t="n">
        <x:f>COUNTIF('08_Trazas'!$A$5:$A$248,A173)-1</x:f>
        <x:v>0</x:v>
      </x:c>
      <x:c r="P173" s="12" t="n">
        <x:f>IF(COUNTIF('02_Custodia'!$A$5:$A$53,C173)=1,0,1)</x:f>
        <x:v>0</x:v>
      </x:c>
    </x:row>
    <x:row r="174" ht="47" customHeight="1">
      <x:c r="A174" s="4" t="str">
        <x:v>CP-049</x:v>
      </x:c>
      <x:c r="B174" s="4" t="str">
        <x:v>F007</x:v>
      </x:c>
      <x:c r="C174" s="4" t="str">
        <x:v>A009</x:v>
      </x:c>
      <x:c r="D174" s="4" t="str">
        <x:v>Recommended Electives; 95-767; Student Handbook 2026-2027</x:v>
      </x:c>
      <x:c r="E174" s="4" t="str">
        <x:v>Student Handbook Addendum 2026-2027</x:v>
      </x:c>
      <x:c r="F174" s="4" t="str">
        <x:v>página física 7</x:v>
      </x:c>
      <x:c r="G174" s="4" t="str">
        <x:v>ROTULO_EN_TEXTO_EXTRAIDO_UTF8</x:v>
      </x:c>
      <x:c r="H174" s="4" t="str">
        <x:v>14479</x:v>
      </x:c>
      <x:c r="I174" s="4" t="str">
        <x:v>24</x:v>
      </x:c>
      <x:c r="J174" s="4" t="str">
        <x:v>cb7947806d3007b079df9b7442ed06e86ee95d697dee8636a001aac11c7a924d</x:v>
      </x:c>
      <x:c r="K174" s="4" t="str">
        <x:v>2026-09-08</x:v>
      </x:c>
      <x:c r="L174" s="4" t="str">
        <x:v>SIN_FECHA_DE_ADOPCION</x:v>
      </x:c>
      <x:c r="M174" s="12" t="n">
        <x:f>IF(LEN(J174)=64,0,1)</x:f>
        <x:v>0</x:v>
      </x:c>
      <x:c r="N174" s="12" t="n">
        <x:f>IF(COUNTIF('03_NICE'!$A$5:$A$57,A174)+COUNTIF('04_TKS'!$A$5:$A$72,A174)+COUNTIF('05_Complementos'!$A$5:$A$127,A174)=1,0,1)</x:f>
        <x:v>0</x:v>
      </x:c>
      <x:c r="O174" s="12" t="n">
        <x:f>COUNTIF('08_Trazas'!$A$5:$A$248,A174)-1</x:f>
        <x:v>0</x:v>
      </x:c>
      <x:c r="P174" s="12" t="n">
        <x:f>IF(COUNTIF('02_Custodia'!$A$5:$A$53,C174)=1,0,1)</x:f>
        <x:v>0</x:v>
      </x:c>
    </x:row>
    <x:row r="175" ht="47" customHeight="1">
      <x:c r="A175" s="4" t="str">
        <x:v>CP-050</x:v>
      </x:c>
      <x:c r="B175" s="4" t="str">
        <x:v>F008</x:v>
      </x:c>
      <x:c r="C175" s="4" t="str">
        <x:v>F008</x:v>
      </x:c>
      <x:c r="D175" s="4" t="str">
        <x:v>Inicio; perfiles de egreso</x:v>
      </x:c>
      <x:c r="E175" s="4" t="str">
        <x:v>Página y guías enlazadas al corte 08-09-2026; curso completo no fijado</x:v>
      </x:c>
      <x:c r="F175" s="4" t="str">
        <x:v>texto extraído; posición UTF-8</x:v>
      </x:c>
      <x:c r="G175" s="4" t="str">
        <x:v>ROTULO_EN_TEXTO_EXTRAIDO_UTF8</x:v>
      </x:c>
      <x:c r="H175" s="4" t="str">
        <x:v>3805</x:v>
      </x:c>
      <x:c r="I175" s="4" t="str">
        <x:v>29</x:v>
      </x:c>
      <x:c r="J175" s="4" t="str">
        <x:v>62da1dd491a17aa178aeffb4848e449b13d26bcd7b9a1f26c3e8475003f48024</x:v>
      </x:c>
      <x:c r="K175" s="4" t="str">
        <x:v>2026-09-08</x:v>
      </x:c>
      <x:c r="L175" s="4" t="str">
        <x:v>SIN_FECHA_DE_ADOPCION</x:v>
      </x:c>
      <x:c r="M175" s="12" t="n">
        <x:f>IF(LEN(J175)=64,0,1)</x:f>
        <x:v>0</x:v>
      </x:c>
      <x:c r="N175" s="12" t="n">
        <x:f>IF(COUNTIF('03_NICE'!$A$5:$A$57,A175)+COUNTIF('04_TKS'!$A$5:$A$72,A175)+COUNTIF('05_Complementos'!$A$5:$A$127,A175)=1,0,1)</x:f>
        <x:v>0</x:v>
      </x:c>
      <x:c r="O175" s="12" t="n">
        <x:f>COUNTIF('08_Trazas'!$A$5:$A$248,A175)-1</x:f>
        <x:v>0</x:v>
      </x:c>
      <x:c r="P175" s="12" t="n">
        <x:f>IF(COUNTIF('02_Custodia'!$A$5:$A$53,C175)=1,0,1)</x:f>
        <x:v>0</x:v>
      </x:c>
    </x:row>
    <x:row r="176" ht="47" customHeight="1">
      <x:c r="A176" s="4" t="str">
        <x:v>CP-051</x:v>
      </x:c>
      <x:c r="B176" s="4" t="str">
        <x:v>F008</x:v>
      </x:c>
      <x:c r="C176" s="4" t="str">
        <x:v>F008</x:v>
      </x:c>
      <x:c r="D176" s="4" t="str">
        <x:v>Inicio; perfiles de egreso</x:v>
      </x:c>
      <x:c r="E176" s="4" t="str">
        <x:v>Página y guías enlazadas al corte 08-09-2026; curso completo no fijado</x:v>
      </x:c>
      <x:c r="F176" s="4" t="str">
        <x:v>texto extraído; posición UTF-8</x:v>
      </x:c>
      <x:c r="G176" s="4" t="str">
        <x:v>ROTULO_EN_TEXTO_EXTRAIDO_UTF8</x:v>
      </x:c>
      <x:c r="H176" s="4" t="str">
        <x:v>4089</x:v>
      </x:c>
      <x:c r="I176" s="4" t="str">
        <x:v>26</x:v>
      </x:c>
      <x:c r="J176" s="4" t="str">
        <x:v>93a8ae57a8c27c742d09f34cb1903da892252fa801f1f575cb4d985994a52e71</x:v>
      </x:c>
      <x:c r="K176" s="4" t="str">
        <x:v>2026-09-08</x:v>
      </x:c>
      <x:c r="L176" s="4" t="str">
        <x:v>SIN_FECHA_DE_ADOPCION</x:v>
      </x:c>
      <x:c r="M176" s="12" t="n">
        <x:f>IF(LEN(J176)=64,0,1)</x:f>
        <x:v>0</x:v>
      </x:c>
      <x:c r="N176" s="12" t="n">
        <x:f>IF(COUNTIF('03_NICE'!$A$5:$A$57,A176)+COUNTIF('04_TKS'!$A$5:$A$72,A176)+COUNTIF('05_Complementos'!$A$5:$A$127,A176)=1,0,1)</x:f>
        <x:v>0</x:v>
      </x:c>
      <x:c r="O176" s="12" t="n">
        <x:f>COUNTIF('08_Trazas'!$A$5:$A$248,A176)-1</x:f>
        <x:v>0</x:v>
      </x:c>
      <x:c r="P176" s="12" t="n">
        <x:f>IF(COUNTIF('02_Custodia'!$A$5:$A$53,C176)=1,0,1)</x:f>
        <x:v>0</x:v>
      </x:c>
    </x:row>
    <x:row r="177" ht="47" customHeight="1">
      <x:c r="A177" s="4" t="str">
        <x:v>CP-052</x:v>
      </x:c>
      <x:c r="B177" s="4" t="str">
        <x:v>F009</x:v>
      </x:c>
      <x:c r="C177" s="4" t="str">
        <x:v>F009</x:v>
      </x:c>
      <x:c r="D177" s="4" t="str">
        <x:v>Dominio 1</x:v>
      </x:c>
      <x:c r="E177" s="4" t="str">
        <x:v>Vigencia 15-04-2024</x:v>
      </x:c>
      <x:c r="F177" s="4" t="str">
        <x:v>texto extraído; posición UTF-8</x:v>
      </x:c>
      <x:c r="G177" s="4" t="str">
        <x:v>ROTULO_EN_TEXTO_EXTRAIDO_UTF8</x:v>
      </x:c>
      <x:c r="H177" s="4" t="str">
        <x:v>2245</x:v>
      </x:c>
      <x:c r="I177" s="4" t="str">
        <x:v>15</x:v>
      </x:c>
      <x:c r="J177" s="4" t="str">
        <x:v>c463ddb110dfd2bdaa0972c85de17bb13b8f4f19d83b39b9da1af6fbf1e6272c</x:v>
      </x:c>
      <x:c r="K177" s="4" t="str">
        <x:v>2026-09-08</x:v>
      </x:c>
      <x:c r="L177" s="4" t="str">
        <x:v>SIN_FECHA_DE_ADOPCION</x:v>
      </x:c>
      <x:c r="M177" s="12" t="n">
        <x:f>IF(LEN(J177)=64,0,1)</x:f>
        <x:v>0</x:v>
      </x:c>
      <x:c r="N177" s="12" t="n">
        <x:f>IF(COUNTIF('03_NICE'!$A$5:$A$57,A177)+COUNTIF('04_TKS'!$A$5:$A$72,A177)+COUNTIF('05_Complementos'!$A$5:$A$127,A177)=1,0,1)</x:f>
        <x:v>0</x:v>
      </x:c>
      <x:c r="O177" s="12" t="n">
        <x:f>COUNTIF('08_Trazas'!$A$5:$A$248,A177)-1</x:f>
        <x:v>0</x:v>
      </x:c>
      <x:c r="P177" s="12" t="n">
        <x:f>IF(COUNTIF('02_Custodia'!$A$5:$A$53,C177)=1,0,1)</x:f>
        <x:v>0</x:v>
      </x:c>
    </x:row>
    <x:row r="178" ht="47" customHeight="1">
      <x:c r="A178" s="4" t="str">
        <x:v>CP-053</x:v>
      </x:c>
      <x:c r="B178" s="4" t="str">
        <x:v>F009</x:v>
      </x:c>
      <x:c r="C178" s="4" t="str">
        <x:v>F009</x:v>
      </x:c>
      <x:c r="D178" s="4" t="str">
        <x:v>Dominio 2</x:v>
      </x:c>
      <x:c r="E178" s="4" t="str">
        <x:v>Vigencia 15-04-2024</x:v>
      </x:c>
      <x:c r="F178" s="4" t="str">
        <x:v>texto extraído; posición UTF-8</x:v>
      </x:c>
      <x:c r="G178" s="4" t="str">
        <x:v>ROTULO_EN_TEXTO_EXTRAIDO_UTF8</x:v>
      </x:c>
      <x:c r="H178" s="4" t="str">
        <x:v>2261</x:v>
      </x:c>
      <x:c r="I178" s="4" t="str">
        <x:v>5</x:v>
      </x:c>
      <x:c r="J178" s="4" t="str">
        <x:v>80d298c9f240900f00b327f5b611dc41aa785788d6fd3edbe35812ca88f02e9a</x:v>
      </x:c>
      <x:c r="K178" s="4" t="str">
        <x:v>2026-09-08</x:v>
      </x:c>
      <x:c r="L178" s="4" t="str">
        <x:v>SIN_FECHA_DE_ADOPCION</x:v>
      </x:c>
      <x:c r="M178" s="12" t="n">
        <x:f>IF(LEN(J178)=64,0,1)</x:f>
        <x:v>0</x:v>
      </x:c>
      <x:c r="N178" s="12" t="n">
        <x:f>IF(COUNTIF('03_NICE'!$A$5:$A$57,A178)+COUNTIF('04_TKS'!$A$5:$A$72,A178)+COUNTIF('05_Complementos'!$A$5:$A$127,A178)=1,0,1)</x:f>
        <x:v>0</x:v>
      </x:c>
      <x:c r="O178" s="12" t="n">
        <x:f>COUNTIF('08_Trazas'!$A$5:$A$248,A178)-1</x:f>
        <x:v>0</x:v>
      </x:c>
      <x:c r="P178" s="12" t="n">
        <x:f>IF(COUNTIF('02_Custodia'!$A$5:$A$53,C178)=1,0,1)</x:f>
        <x:v>0</x:v>
      </x:c>
    </x:row>
    <x:row r="179" ht="47" customHeight="1">
      <x:c r="A179" s="4" t="str">
        <x:v>CP-054</x:v>
      </x:c>
      <x:c r="B179" s="4" t="str">
        <x:v>F009</x:v>
      </x:c>
      <x:c r="C179" s="4" t="str">
        <x:v>F009</x:v>
      </x:c>
      <x:c r="D179" s="4" t="str">
        <x:v>Dominio 3</x:v>
      </x:c>
      <x:c r="E179" s="4" t="str">
        <x:v>Vigencia 15-04-2024</x:v>
      </x:c>
      <x:c r="F179" s="4" t="str">
        <x:v>texto extraído; posición UTF-8</x:v>
      </x:c>
      <x:c r="G179" s="4" t="str">
        <x:v>ROTULO_EN_TEXTO_EXTRAIDO_UTF8</x:v>
      </x:c>
      <x:c r="H179" s="4" t="str">
        <x:v>2285</x:v>
      </x:c>
      <x:c r="I179" s="4" t="str">
        <x:v>28</x:v>
      </x:c>
      <x:c r="J179" s="4" t="str">
        <x:v>55039427d11bcdfafcb20748b120d3f038e861feba8649e6fb022b0649306e2b</x:v>
      </x:c>
      <x:c r="K179" s="4" t="str">
        <x:v>2026-09-08</x:v>
      </x:c>
      <x:c r="L179" s="4" t="str">
        <x:v>SIN_FECHA_DE_ADOPCION</x:v>
      </x:c>
      <x:c r="M179" s="12" t="n">
        <x:f>IF(LEN(J179)=64,0,1)</x:f>
        <x:v>0</x:v>
      </x:c>
      <x:c r="N179" s="12" t="n">
        <x:f>IF(COUNTIF('03_NICE'!$A$5:$A$57,A179)+COUNTIF('04_TKS'!$A$5:$A$72,A179)+COUNTIF('05_Complementos'!$A$5:$A$127,A179)=1,0,1)</x:f>
        <x:v>0</x:v>
      </x:c>
      <x:c r="O179" s="12" t="n">
        <x:f>COUNTIF('08_Trazas'!$A$5:$A$248,A179)-1</x:f>
        <x:v>0</x:v>
      </x:c>
      <x:c r="P179" s="12" t="n">
        <x:f>IF(COUNTIF('02_Custodia'!$A$5:$A$53,C179)=1,0,1)</x:f>
        <x:v>0</x:v>
      </x:c>
    </x:row>
    <x:row r="180" ht="47" customHeight="1">
      <x:c r="A180" s="4" t="str">
        <x:v>CP-055</x:v>
      </x:c>
      <x:c r="B180" s="4" t="str">
        <x:v>F009</x:v>
      </x:c>
      <x:c r="C180" s="4" t="str">
        <x:v>F009</x:v>
      </x:c>
      <x:c r="D180" s="4" t="str">
        <x:v>Dominio 4</x:v>
      </x:c>
      <x:c r="E180" s="4" t="str">
        <x:v>Vigencia 15-04-2024</x:v>
      </x:c>
      <x:c r="F180" s="4" t="str">
        <x:v>texto extraído; posición UTF-8</x:v>
      </x:c>
      <x:c r="G180" s="4" t="str">
        <x:v>ROTULO_EN_TEXTO_EXTRAIDO_UTF8</x:v>
      </x:c>
      <x:c r="H180" s="4" t="str">
        <x:v>2314</x:v>
      </x:c>
      <x:c r="I180" s="4" t="str">
        <x:v>25</x:v>
      </x:c>
      <x:c r="J180" s="4" t="str">
        <x:v>b4fa73b5b887e43692692daa515b258e6d32febdf65192e481db9ec438718445</x:v>
      </x:c>
      <x:c r="K180" s="4" t="str">
        <x:v>2026-09-08</x:v>
      </x:c>
      <x:c r="L180" s="4" t="str">
        <x:v>SIN_FECHA_DE_ADOPCION</x:v>
      </x:c>
      <x:c r="M180" s="12" t="n">
        <x:f>IF(LEN(J180)=64,0,1)</x:f>
        <x:v>0</x:v>
      </x:c>
      <x:c r="N180" s="12" t="n">
        <x:f>IF(COUNTIF('03_NICE'!$A$5:$A$57,A180)+COUNTIF('04_TKS'!$A$5:$A$72,A180)+COUNTIF('05_Complementos'!$A$5:$A$127,A180)=1,0,1)</x:f>
        <x:v>0</x:v>
      </x:c>
      <x:c r="O180" s="12" t="n">
        <x:f>COUNTIF('08_Trazas'!$A$5:$A$248,A180)-1</x:f>
        <x:v>0</x:v>
      </x:c>
      <x:c r="P180" s="12" t="n">
        <x:f>IF(COUNTIF('02_Custodia'!$A$5:$A$53,C180)=1,0,1)</x:f>
        <x:v>0</x:v>
      </x:c>
    </x:row>
    <x:row r="181" ht="47" customHeight="1">
      <x:c r="A181" s="4" t="str">
        <x:v>CP-056</x:v>
      </x:c>
      <x:c r="B181" s="4" t="str">
        <x:v>F009</x:v>
      </x:c>
      <x:c r="C181" s="4" t="str">
        <x:v>F009</x:v>
      </x:c>
      <x:c r="D181" s="4" t="str">
        <x:v>Dominio 5</x:v>
      </x:c>
      <x:c r="E181" s="4" t="str">
        <x:v>Vigencia 15-04-2024</x:v>
      </x:c>
      <x:c r="F181" s="4" t="str">
        <x:v>texto extraído; posición UTF-8</x:v>
      </x:c>
      <x:c r="G181" s="4" t="str">
        <x:v>ROTULO_EN_TEXTO_EXTRAIDO_UTF8</x:v>
      </x:c>
      <x:c r="H181" s="4" t="str">
        <x:v>2349</x:v>
      </x:c>
      <x:c r="I181" s="4" t="str">
        <x:v>19</x:v>
      </x:c>
      <x:c r="J181" s="4" t="str">
        <x:v>da73977e0dbd055865549bb36d266b343106c54940f68f24d243016cb5183b30</x:v>
      </x:c>
      <x:c r="K181" s="4" t="str">
        <x:v>2026-09-08</x:v>
      </x:c>
      <x:c r="L181" s="4" t="str">
        <x:v>SIN_FECHA_DE_ADOPCION</x:v>
      </x:c>
      <x:c r="M181" s="12" t="n">
        <x:f>IF(LEN(J181)=64,0,1)</x:f>
        <x:v>0</x:v>
      </x:c>
      <x:c r="N181" s="12" t="n">
        <x:f>IF(COUNTIF('03_NICE'!$A$5:$A$57,A181)+COUNTIF('04_TKS'!$A$5:$A$72,A181)+COUNTIF('05_Complementos'!$A$5:$A$127,A181)=1,0,1)</x:f>
        <x:v>0</x:v>
      </x:c>
      <x:c r="O181" s="12" t="n">
        <x:f>COUNTIF('08_Trazas'!$A$5:$A$248,A181)-1</x:f>
        <x:v>0</x:v>
      </x:c>
      <x:c r="P181" s="12" t="n">
        <x:f>IF(COUNTIF('02_Custodia'!$A$5:$A$53,C181)=1,0,1)</x:f>
        <x:v>0</x:v>
      </x:c>
    </x:row>
    <x:row r="182" ht="47" customHeight="1">
      <x:c r="A182" s="4" t="str">
        <x:v>CP-057</x:v>
      </x:c>
      <x:c r="B182" s="4" t="str">
        <x:v>F009</x:v>
      </x:c>
      <x:c r="C182" s="4" t="str">
        <x:v>F009</x:v>
      </x:c>
      <x:c r="D182" s="4" t="str">
        <x:v>Dominio 6</x:v>
      </x:c>
      <x:c r="E182" s="4" t="str">
        <x:v>Vigencia 15-04-2024</x:v>
      </x:c>
      <x:c r="F182" s="4" t="str">
        <x:v>texto extraído; posición UTF-8</x:v>
      </x:c>
      <x:c r="G182" s="4" t="str">
        <x:v>ROTULO_EN_TEXTO_EXTRAIDO_UTF8</x:v>
      </x:c>
      <x:c r="H182" s="4" t="str">
        <x:v>2395</x:v>
      </x:c>
      <x:c r="I182" s="4" t="str">
        <x:v>22</x:v>
      </x:c>
      <x:c r="J182" s="4" t="str">
        <x:v>3f3cca040949f579682e64f4cb1af4136f59035bae44eadd16c3b63523066728</x:v>
      </x:c>
      <x:c r="K182" s="4" t="str">
        <x:v>2026-09-08</x:v>
      </x:c>
      <x:c r="L182" s="4" t="str">
        <x:v>SIN_FECHA_DE_ADOPCION</x:v>
      </x:c>
      <x:c r="M182" s="12" t="n">
        <x:f>IF(LEN(J182)=64,0,1)</x:f>
        <x:v>0</x:v>
      </x:c>
      <x:c r="N182" s="12" t="n">
        <x:f>IF(COUNTIF('03_NICE'!$A$5:$A$57,A182)+COUNTIF('04_TKS'!$A$5:$A$72,A182)+COUNTIF('05_Complementos'!$A$5:$A$127,A182)=1,0,1)</x:f>
        <x:v>0</x:v>
      </x:c>
      <x:c r="O182" s="12" t="n">
        <x:f>COUNTIF('08_Trazas'!$A$5:$A$248,A182)-1</x:f>
        <x:v>0</x:v>
      </x:c>
      <x:c r="P182" s="12" t="n">
        <x:f>IF(COUNTIF('02_Custodia'!$A$5:$A$53,C182)=1,0,1)</x:f>
        <x:v>0</x:v>
      </x:c>
    </x:row>
    <x:row r="183" ht="47" customHeight="1">
      <x:c r="A183" s="4" t="str">
        <x:v>CP-058</x:v>
      </x:c>
      <x:c r="B183" s="4" t="str">
        <x:v>F009</x:v>
      </x:c>
      <x:c r="C183" s="4" t="str">
        <x:v>F009</x:v>
      </x:c>
      <x:c r="D183" s="4" t="str">
        <x:v>Dominio 7</x:v>
      </x:c>
      <x:c r="E183" s="4" t="str">
        <x:v>Vigencia 15-04-2024</x:v>
      </x:c>
      <x:c r="F183" s="4" t="str">
        <x:v>texto extraído; posición UTF-8</x:v>
      </x:c>
      <x:c r="G183" s="4" t="str">
        <x:v>ROTULO_EN_TEXTO_EXTRAIDO_UTF8</x:v>
      </x:c>
      <x:c r="H183" s="4" t="str">
        <x:v>2427</x:v>
      </x:c>
      <x:c r="I183" s="4" t="str">
        <x:v>10</x:v>
      </x:c>
      <x:c r="J183" s="4" t="str">
        <x:v>358cc201f87d9dc9defd3eac467a62fae720aa99a76be8b98e0fc9b3893a427d</x:v>
      </x:c>
      <x:c r="K183" s="4" t="str">
        <x:v>2026-09-08</x:v>
      </x:c>
      <x:c r="L183" s="4" t="str">
        <x:v>SIN_FECHA_DE_ADOPCION</x:v>
      </x:c>
      <x:c r="M183" s="12" t="n">
        <x:f>IF(LEN(J183)=64,0,1)</x:f>
        <x:v>0</x:v>
      </x:c>
      <x:c r="N183" s="12" t="n">
        <x:f>IF(COUNTIF('03_NICE'!$A$5:$A$57,A183)+COUNTIF('04_TKS'!$A$5:$A$72,A183)+COUNTIF('05_Complementos'!$A$5:$A$127,A183)=1,0,1)</x:f>
        <x:v>0</x:v>
      </x:c>
      <x:c r="O183" s="12" t="n">
        <x:f>COUNTIF('08_Trazas'!$A$5:$A$248,A183)-1</x:f>
        <x:v>0</x:v>
      </x:c>
      <x:c r="P183" s="12" t="n">
        <x:f>IF(COUNTIF('02_Custodia'!$A$5:$A$53,C183)=1,0,1)</x:f>
        <x:v>0</x:v>
      </x:c>
    </x:row>
    <x:row r="184" ht="47" customHeight="1">
      <x:c r="A184" s="4" t="str">
        <x:v>CP-059</x:v>
      </x:c>
      <x:c r="B184" s="4" t="str">
        <x:v>F009</x:v>
      </x:c>
      <x:c r="C184" s="4" t="str">
        <x:v>F009</x:v>
      </x:c>
      <x:c r="D184" s="4" t="str">
        <x:v>Dominio 8</x:v>
      </x:c>
      <x:c r="E184" s="4" t="str">
        <x:v>Vigencia 15-04-2024</x:v>
      </x:c>
      <x:c r="F184" s="4" t="str">
        <x:v>texto extraído; posición UTF-8</x:v>
      </x:c>
      <x:c r="G184" s="4" t="str">
        <x:v>ROTULO_EN_TEXTO_EXTRAIDO_UTF8</x:v>
      </x:c>
      <x:c r="H184" s="4" t="str">
        <x:v>2438</x:v>
      </x:c>
      <x:c r="I184" s="4" t="str">
        <x:v>20</x:v>
      </x:c>
      <x:c r="J184" s="4" t="str">
        <x:v>af9087d16e5013a938415934febd4fd425fbf552a58f705727f2325ae789d48c</x:v>
      </x:c>
      <x:c r="K184" s="4" t="str">
        <x:v>2026-09-08</x:v>
      </x:c>
      <x:c r="L184" s="4" t="str">
        <x:v>SIN_FECHA_DE_ADOPCION</x:v>
      </x:c>
      <x:c r="M184" s="12" t="n">
        <x:f>IF(LEN(J184)=64,0,1)</x:f>
        <x:v>0</x:v>
      </x:c>
      <x:c r="N184" s="12" t="n">
        <x:f>IF(COUNTIF('03_NICE'!$A$5:$A$57,A184)+COUNTIF('04_TKS'!$A$5:$A$72,A184)+COUNTIF('05_Complementos'!$A$5:$A$127,A184)=1,0,1)</x:f>
        <x:v>0</x:v>
      </x:c>
      <x:c r="O184" s="12" t="n">
        <x:f>COUNTIF('08_Trazas'!$A$5:$A$248,A184)-1</x:f>
        <x:v>0</x:v>
      </x:c>
      <x:c r="P184" s="12" t="n">
        <x:f>IF(COUNTIF('02_Custodia'!$A$5:$A$53,C184)=1,0,1)</x:f>
        <x:v>0</x:v>
      </x:c>
    </x:row>
    <x:row r="185" ht="47" customHeight="1">
      <x:c r="A185" s="4" t="str">
        <x:v>CP-060</x:v>
      </x:c>
      <x:c r="B185" s="4" t="str">
        <x:v>F010</x:v>
      </x:c>
      <x:c r="C185" s="4" t="str">
        <x:v>F010</x:v>
      </x:c>
      <x:c r="D185" s="4" t="str">
        <x:v>Domain 1</x:v>
      </x:c>
      <x:c r="E185" s="4" t="str">
        <x:v>Temario anterior al cambio previsto para 03-11-2026; captura 08-09-2026</x:v>
      </x:c>
      <x:c r="F185" s="4" t="str">
        <x:v>texto extraído; posición UTF-8</x:v>
      </x:c>
      <x:c r="G185" s="4" t="str">
        <x:v>ROTULO_EN_TEXTO_EXTRAIDO_UTF8</x:v>
      </x:c>
      <x:c r="H185" s="4" t="str">
        <x:v>4675</x:v>
      </x:c>
      <x:c r="I185" s="4" t="str">
        <x:v>31</x:v>
      </x:c>
      <x:c r="J185" s="4" t="str">
        <x:v>ac510a3c80392d32f5506f429930cb5531e37fb0fdde42f0ebe9b0b913ea78ab</x:v>
      </x:c>
      <x:c r="K185" s="4" t="str">
        <x:v>2026-09-08</x:v>
      </x:c>
      <x:c r="L185" s="4" t="str">
        <x:v>SIN_FECHA_DE_ADOPCION</x:v>
      </x:c>
      <x:c r="M185" s="12" t="n">
        <x:f>IF(LEN(J185)=64,0,1)</x:f>
        <x:v>0</x:v>
      </x:c>
      <x:c r="N185" s="12" t="n">
        <x:f>IF(COUNTIF('03_NICE'!$A$5:$A$57,A185)+COUNTIF('04_TKS'!$A$5:$A$72,A185)+COUNTIF('05_Complementos'!$A$5:$A$127,A185)=1,0,1)</x:f>
        <x:v>0</x:v>
      </x:c>
      <x:c r="O185" s="12" t="n">
        <x:f>COUNTIF('08_Trazas'!$A$5:$A$248,A185)-1</x:f>
        <x:v>0</x:v>
      </x:c>
      <x:c r="P185" s="12" t="n">
        <x:f>IF(COUNTIF('02_Custodia'!$A$5:$A$53,C185)=1,0,1)</x:f>
        <x:v>0</x:v>
      </x:c>
    </x:row>
    <x:row r="186" ht="47" customHeight="1">
      <x:c r="A186" s="4" t="str">
        <x:v>CP-061</x:v>
      </x:c>
      <x:c r="B186" s="4" t="str">
        <x:v>F010</x:v>
      </x:c>
      <x:c r="C186" s="4" t="str">
        <x:v>F010</x:v>
      </x:c>
      <x:c r="D186" s="4" t="str">
        <x:v>Domain 2</x:v>
      </x:c>
      <x:c r="E186" s="4" t="str">
        <x:v>Temario anterior al cambio previsto para 03-11-2026; captura 08-09-2026</x:v>
      </x:c>
      <x:c r="F186" s="4" t="str">
        <x:v>texto extraído; posición UTF-8</x:v>
      </x:c>
      <x:c r="G186" s="4" t="str">
        <x:v>ROTULO_EN_TEXTO_EXTRAIDO_UTF8</x:v>
      </x:c>
      <x:c r="H186" s="4" t="str">
        <x:v>4716</x:v>
      </x:c>
      <x:c r="I186" s="4" t="str">
        <x:v>36</x:v>
      </x:c>
      <x:c r="J186" s="4" t="str">
        <x:v>ea706d98ac60942984627e944742a2ac90bd7161acdfa06bad082ebd91d0a45c</x:v>
      </x:c>
      <x:c r="K186" s="4" t="str">
        <x:v>2026-09-08</x:v>
      </x:c>
      <x:c r="L186" s="4" t="str">
        <x:v>SIN_FECHA_DE_ADOPCION</x:v>
      </x:c>
      <x:c r="M186" s="12" t="n">
        <x:f>IF(LEN(J186)=64,0,1)</x:f>
        <x:v>0</x:v>
      </x:c>
      <x:c r="N186" s="12" t="n">
        <x:f>IF(COUNTIF('03_NICE'!$A$5:$A$57,A186)+COUNTIF('04_TKS'!$A$5:$A$72,A186)+COUNTIF('05_Complementos'!$A$5:$A$127,A186)=1,0,1)</x:f>
        <x:v>0</x:v>
      </x:c>
      <x:c r="O186" s="12" t="n">
        <x:f>COUNTIF('08_Trazas'!$A$5:$A$248,A186)-1</x:f>
        <x:v>0</x:v>
      </x:c>
      <x:c r="P186" s="12" t="n">
        <x:f>IF(COUNTIF('02_Custodia'!$A$5:$A$53,C186)=1,0,1)</x:f>
        <x:v>0</x:v>
      </x:c>
    </x:row>
    <x:row r="187" ht="47" customHeight="1">
      <x:c r="A187" s="4" t="str">
        <x:v>CP-062</x:v>
      </x:c>
      <x:c r="B187" s="4" t="str">
        <x:v>F010</x:v>
      </x:c>
      <x:c r="C187" s="4" t="str">
        <x:v>F010</x:v>
      </x:c>
      <x:c r="D187" s="4" t="str">
        <x:v>Domain 3</x:v>
      </x:c>
      <x:c r="E187" s="4" t="str">
        <x:v>Temario anterior al cambio previsto para 03-11-2026; captura 08-09-2026</x:v>
      </x:c>
      <x:c r="F187" s="4" t="str">
        <x:v>texto extraído; posición UTF-8</x:v>
      </x:c>
      <x:c r="G187" s="4" t="str">
        <x:v>ROTULO_EN_TEXTO_EXTRAIDO_UTF8</x:v>
      </x:c>
      <x:c r="H187" s="4" t="str">
        <x:v>4762</x:v>
      </x:c>
      <x:c r="I187" s="4" t="str">
        <x:v>28</x:v>
      </x:c>
      <x:c r="J187" s="4" t="str">
        <x:v>00d18ef979c8b55d25eef544d1a1cb0e88ba59a07151622aed5f31dbc765d2b6</x:v>
      </x:c>
      <x:c r="K187" s="4" t="str">
        <x:v>2026-09-08</x:v>
      </x:c>
      <x:c r="L187" s="4" t="str">
        <x:v>SIN_FECHA_DE_ADOPCION</x:v>
      </x:c>
      <x:c r="M187" s="12" t="n">
        <x:f>IF(LEN(J187)=64,0,1)</x:f>
        <x:v>0</x:v>
      </x:c>
      <x:c r="N187" s="12" t="n">
        <x:f>IF(COUNTIF('03_NICE'!$A$5:$A$57,A187)+COUNTIF('04_TKS'!$A$5:$A$72,A187)+COUNTIF('05_Complementos'!$A$5:$A$127,A187)=1,0,1)</x:f>
        <x:v>0</x:v>
      </x:c>
      <x:c r="O187" s="12" t="n">
        <x:f>COUNTIF('08_Trazas'!$A$5:$A$248,A187)-1</x:f>
        <x:v>0</x:v>
      </x:c>
      <x:c r="P187" s="12" t="n">
        <x:f>IF(COUNTIF('02_Custodia'!$A$5:$A$53,C187)=1,0,1)</x:f>
        <x:v>0</x:v>
      </x:c>
    </x:row>
    <x:row r="188" ht="47" customHeight="1">
      <x:c r="A188" s="4" t="str">
        <x:v>CP-063</x:v>
      </x:c>
      <x:c r="B188" s="4" t="str">
        <x:v>F010</x:v>
      </x:c>
      <x:c r="C188" s="4" t="str">
        <x:v>F010</x:v>
      </x:c>
      <x:c r="D188" s="4" t="str">
        <x:v>Domain 4</x:v>
      </x:c>
      <x:c r="E188" s="4" t="str">
        <x:v>Temario anterior al cambio previsto para 03-11-2026; captura 08-09-2026</x:v>
      </x:c>
      <x:c r="F188" s="4" t="str">
        <x:v>texto extraído; posición UTF-8</x:v>
      </x:c>
      <x:c r="G188" s="4" t="str">
        <x:v>ROTULO_EN_TEXTO_EXTRAIDO_UTF8</x:v>
      </x:c>
      <x:c r="H188" s="4" t="str">
        <x:v>4800</x:v>
      </x:c>
      <x:c r="I188" s="4" t="str">
        <x:v>19</x:v>
      </x:c>
      <x:c r="J188" s="4" t="str">
        <x:v>ce109eb54091d855d23a02df1cbe168b44b869387a162c94b8474357c74acc9f</x:v>
      </x:c>
      <x:c r="K188" s="4" t="str">
        <x:v>2026-09-08</x:v>
      </x:c>
      <x:c r="L188" s="4" t="str">
        <x:v>SIN_FECHA_DE_ADOPCION</x:v>
      </x:c>
      <x:c r="M188" s="12" t="n">
        <x:f>IF(LEN(J188)=64,0,1)</x:f>
        <x:v>0</x:v>
      </x:c>
      <x:c r="N188" s="12" t="n">
        <x:f>IF(COUNTIF('03_NICE'!$A$5:$A$57,A188)+COUNTIF('04_TKS'!$A$5:$A$72,A188)+COUNTIF('05_Complementos'!$A$5:$A$127,A188)=1,0,1)</x:f>
        <x:v>0</x:v>
      </x:c>
      <x:c r="O188" s="12" t="n">
        <x:f>COUNTIF('08_Trazas'!$A$5:$A$248,A188)-1</x:f>
        <x:v>0</x:v>
      </x:c>
      <x:c r="P188" s="12" t="n">
        <x:f>IF(COUNTIF('02_Custodia'!$A$5:$A$53,C188)=1,0,1)</x:f>
        <x:v>0</x:v>
      </x:c>
    </x:row>
    <x:row r="189" ht="47" customHeight="1">
      <x:c r="A189" s="4" t="str">
        <x:v>CP-064</x:v>
      </x:c>
      <x:c r="B189" s="4" t="str">
        <x:v>F011</x:v>
      </x:c>
      <x:c r="C189" s="4" t="str">
        <x:v>F011</x:v>
      </x:c>
      <x:c r="D189" s="4" t="str">
        <x:v>Exam Certification Objectives &amp; Outcome Statements; Introduction to Memory Forensics</x:v>
      </x:c>
      <x:c r="E189" s="4" t="str">
        <x:v>Instantánea 08-09-2026; sin revisión formal por objetivo</x:v>
      </x:c>
      <x:c r="F189" s="4" t="str">
        <x:v>texto extraído; posición UTF-8</x:v>
      </x:c>
      <x:c r="G189" s="4" t="str">
        <x:v>ROTULO_EN_TEXTO_EXTRAIDO_UTF8</x:v>
      </x:c>
      <x:c r="H189" s="4" t="str">
        <x:v>9112</x:v>
      </x:c>
      <x:c r="I189" s="4" t="str">
        <x:v>32</x:v>
      </x:c>
      <x:c r="J189" s="4" t="str">
        <x:v>a627ef700eebce696b83203ca43faadb8b5d953fc38537e5f9c4b53fcab0393e</x:v>
      </x:c>
      <x:c r="K189" s="4" t="str">
        <x:v>2026-09-08</x:v>
      </x:c>
      <x:c r="L189" s="4" t="str">
        <x:v>SIN_FECHA_DE_ADOPCION</x:v>
      </x:c>
      <x:c r="M189" s="12" t="n">
        <x:f>IF(LEN(J189)=64,0,1)</x:f>
        <x:v>0</x:v>
      </x:c>
      <x:c r="N189" s="12" t="n">
        <x:f>IF(COUNTIF('03_NICE'!$A$5:$A$57,A189)+COUNTIF('04_TKS'!$A$5:$A$72,A189)+COUNTIF('05_Complementos'!$A$5:$A$127,A189)=1,0,1)</x:f>
        <x:v>0</x:v>
      </x:c>
      <x:c r="O189" s="12" t="n">
        <x:f>COUNTIF('08_Trazas'!$A$5:$A$248,A189)-1</x:f>
        <x:v>0</x:v>
      </x:c>
      <x:c r="P189" s="12" t="n">
        <x:f>IF(COUNTIF('02_Custodia'!$A$5:$A$53,C189)=1,0,1)</x:f>
        <x:v>0</x:v>
      </x:c>
    </x:row>
    <x:row r="190" ht="47" customHeight="1">
      <x:c r="A190" s="4" t="str">
        <x:v>CP-065</x:v>
      </x:c>
      <x:c r="B190" s="4" t="str">
        <x:v>F011</x:v>
      </x:c>
      <x:c r="C190" s="4" t="str">
        <x:v>F011</x:v>
      </x:c>
      <x:c r="D190" s="4" t="str">
        <x:v>Exam Certification Objectives &amp; Outcome Statements; File System Timeline Artifact Analysis</x:v>
      </x:c>
      <x:c r="E190" s="4" t="str">
        <x:v>Instantánea 08-09-2026; sin revisión formal por objetivo</x:v>
      </x:c>
      <x:c r="F190" s="4" t="str">
        <x:v>texto extraído; posición UTF-8</x:v>
      </x:c>
      <x:c r="G190" s="4" t="str">
        <x:v>ROTULO_EN_TEXTO_EXTRAIDO_UTF8</x:v>
      </x:c>
      <x:c r="H190" s="4" t="str">
        <x:v>8117</x:v>
      </x:c>
      <x:c r="I190" s="4" t="str">
        <x:v>38</x:v>
      </x:c>
      <x:c r="J190" s="4" t="str">
        <x:v>017be1529ecfa3307d249be592372623aebef65d39e9d9f49c4226cf3df2996a</x:v>
      </x:c>
      <x:c r="K190" s="4" t="str">
        <x:v>2026-09-08</x:v>
      </x:c>
      <x:c r="L190" s="4" t="str">
        <x:v>SIN_FECHA_DE_ADOPCION</x:v>
      </x:c>
      <x:c r="M190" s="12" t="n">
        <x:f>IF(LEN(J190)=64,0,1)</x:f>
        <x:v>0</x:v>
      </x:c>
      <x:c r="N190" s="12" t="n">
        <x:f>IF(COUNTIF('03_NICE'!$A$5:$A$57,A190)+COUNTIF('04_TKS'!$A$5:$A$72,A190)+COUNTIF('05_Complementos'!$A$5:$A$127,A190)=1,0,1)</x:f>
        <x:v>0</x:v>
      </x:c>
      <x:c r="O190" s="12" t="n">
        <x:f>COUNTIF('08_Trazas'!$A$5:$A$248,A190)-1</x:f>
        <x:v>0</x:v>
      </x:c>
      <x:c r="P190" s="12" t="n">
        <x:f>IF(COUNTIF('02_Custodia'!$A$5:$A$53,C190)=1,0,1)</x:f>
        <x:v>0</x:v>
      </x:c>
    </x:row>
    <x:row r="191" ht="47" customHeight="1">
      <x:c r="A191" s="4" t="str">
        <x:v>CP-066</x:v>
      </x:c>
      <x:c r="B191" s="4" t="str">
        <x:v>F011</x:v>
      </x:c>
      <x:c r="C191" s="4" t="str">
        <x:v>F011</x:v>
      </x:c>
      <x:c r="D191" s="4" t="str">
        <x:v>Exam Certification Objectives &amp; Outcome Statements; Identification of Malicious System and User Activity</x:v>
      </x:c>
      <x:c r="E191" s="4" t="str">
        <x:v>Instantánea 08-09-2026; sin revisión formal por objetivo</x:v>
      </x:c>
      <x:c r="F191" s="4" t="str">
        <x:v>texto extraído; posición UTF-8</x:v>
      </x:c>
      <x:c r="G191" s="4" t="str">
        <x:v>ROTULO_EN_TEXTO_EXTRAIDO_UTF8</x:v>
      </x:c>
      <x:c r="H191" s="4" t="str">
        <x:v>8311</x:v>
      </x:c>
      <x:c r="I191" s="4" t="str">
        <x:v>52</x:v>
      </x:c>
      <x:c r="J191" s="4" t="str">
        <x:v>d537d798d6e4e1bdbb6194f3b23dd732d0eb0a2d3b3812a125ad1b00d786ef7c</x:v>
      </x:c>
      <x:c r="K191" s="4" t="str">
        <x:v>2026-09-08</x:v>
      </x:c>
      <x:c r="L191" s="4" t="str">
        <x:v>SIN_FECHA_DE_ADOPCION</x:v>
      </x:c>
      <x:c r="M191" s="12" t="n">
        <x:f>IF(LEN(J191)=64,0,1)</x:f>
        <x:v>0</x:v>
      </x:c>
      <x:c r="N191" s="12" t="n">
        <x:f>IF(COUNTIF('03_NICE'!$A$5:$A$57,A191)+COUNTIF('04_TKS'!$A$5:$A$72,A191)+COUNTIF('05_Complementos'!$A$5:$A$127,A191)=1,0,1)</x:f>
        <x:v>0</x:v>
      </x:c>
      <x:c r="O191" s="12" t="n">
        <x:f>COUNTIF('08_Trazas'!$A$5:$A$248,A191)-1</x:f>
        <x:v>0</x:v>
      </x:c>
      <x:c r="P191" s="12" t="n">
        <x:f>IF(COUNTIF('02_Custodia'!$A$5:$A$53,C191)=1,0,1)</x:f>
        <x:v>0</x:v>
      </x:c>
    </x:row>
    <x:row r="192" ht="47" customHeight="1">
      <x:c r="A192" s="4" t="str">
        <x:v>CP-067</x:v>
      </x:c>
      <x:c r="B192" s="4" t="str">
        <x:v>F012</x:v>
      </x:c>
      <x:c r="C192" s="4" t="str">
        <x:v>F012</x:v>
      </x:c>
      <x:c r="D192" s="4" t="str">
        <x:v>Syllabus; descripción y temas</x:v>
      </x:c>
      <x:c r="E192" s="4" t="str">
        <x:v>Syllabus publicado en ruta 2026/03; instantánea</x:v>
      </x:c>
      <x:c r="F192" s="4" t="str">
        <x:v>página física 1</x:v>
      </x:c>
      <x:c r="G192" s="4" t="str">
        <x:v>ROTULO_EN_TEXTO_EXTRAIDO_UTF8</x:v>
      </x:c>
      <x:c r="H192" s="4" t="str">
        <x:v>29</x:v>
      </x:c>
      <x:c r="I192" s="4" t="str">
        <x:v>39</x:v>
      </x:c>
      <x:c r="J192" s="4" t="str">
        <x:v>cb610b6c031cfa5967519e0c58f0afde65af96c29134b099e1b972fff8b7e849</x:v>
      </x:c>
      <x:c r="K192" s="4" t="str">
        <x:v>2026-09-08</x:v>
      </x:c>
      <x:c r="L192" s="4" t="str">
        <x:v>SIN_FECHA_DE_ADOPCION</x:v>
      </x:c>
      <x:c r="M192" s="12" t="n">
        <x:f>IF(LEN(J192)=64,0,1)</x:f>
        <x:v>0</x:v>
      </x:c>
      <x:c r="N192" s="12" t="n">
        <x:f>IF(COUNTIF('03_NICE'!$A$5:$A$57,A192)+COUNTIF('04_TKS'!$A$5:$A$72,A192)+COUNTIF('05_Complementos'!$A$5:$A$127,A192)=1,0,1)</x:f>
        <x:v>0</x:v>
      </x:c>
      <x:c r="O192" s="12" t="n">
        <x:f>COUNTIF('08_Trazas'!$A$5:$A$248,A192)-1</x:f>
        <x:v>0</x:v>
      </x:c>
      <x:c r="P192" s="12" t="n">
        <x:f>IF(COUNTIF('02_Custodia'!$A$5:$A$53,C192)=1,0,1)</x:f>
        <x:v>0</x:v>
      </x:c>
    </x:row>
    <x:row r="193" ht="47" customHeight="1">
      <x:c r="A193" s="4" t="str">
        <x:v>CP-068</x:v>
      </x:c>
      <x:c r="B193" s="4" t="str">
        <x:v>F016</x:v>
      </x:c>
      <x:c r="C193" s="4" t="str">
        <x:v>F016</x:v>
      </x:c>
      <x:c r="D193" s="4" t="str">
        <x:v>§2.1; función GV</x:v>
      </x:c>
      <x:c r="E193" s="4" t="str">
        <x:v>CSWP 29; 26-02-2024</x:v>
      </x:c>
      <x:c r="F193" s="4" t="str">
        <x:v>página física 2</x:v>
      </x:c>
      <x:c r="G193" s="4" t="str">
        <x:v>ROTULO_EN_TEXTO_EXTRAIDO_UTF8</x:v>
      </x:c>
      <x:c r="H193" s="4" t="str">
        <x:v>397</x:v>
      </x:c>
      <x:c r="I193" s="4" t="str">
        <x:v>6</x:v>
      </x:c>
      <x:c r="J193" s="4" t="str">
        <x:v>0acb4d236dc4d40335f7d6530517e0a24403a93b74f3ab4bcdbc78509682520e</x:v>
      </x:c>
      <x:c r="K193" s="4" t="str">
        <x:v>2026-09-08</x:v>
      </x:c>
      <x:c r="L193" s="4" t="str">
        <x:v>SIN_FECHA_DE_ADOPCION</x:v>
      </x:c>
      <x:c r="M193" s="12" t="n">
        <x:f>IF(LEN(J193)=64,0,1)</x:f>
        <x:v>0</x:v>
      </x:c>
      <x:c r="N193" s="12" t="n">
        <x:f>IF(COUNTIF('03_NICE'!$A$5:$A$57,A193)+COUNTIF('04_TKS'!$A$5:$A$72,A193)+COUNTIF('05_Complementos'!$A$5:$A$127,A193)=1,0,1)</x:f>
        <x:v>0</x:v>
      </x:c>
      <x:c r="O193" s="12" t="n">
        <x:f>COUNTIF('08_Trazas'!$A$5:$A$248,A193)-1</x:f>
        <x:v>0</x:v>
      </x:c>
      <x:c r="P193" s="12" t="n">
        <x:f>IF(COUNTIF('02_Custodia'!$A$5:$A$53,C193)=1,0,1)</x:f>
        <x:v>0</x:v>
      </x:c>
    </x:row>
    <x:row r="194" ht="47" customHeight="1">
      <x:c r="A194" s="4" t="str">
        <x:v>CP-069</x:v>
      </x:c>
      <x:c r="B194" s="4" t="str">
        <x:v>F016</x:v>
      </x:c>
      <x:c r="C194" s="4" t="str">
        <x:v>F016</x:v>
      </x:c>
      <x:c r="D194" s="4" t="str">
        <x:v>§2.1; función ID</x:v>
      </x:c>
      <x:c r="E194" s="4" t="str">
        <x:v>CSWP 29; 26-02-2024</x:v>
      </x:c>
      <x:c r="F194" s="4" t="str">
        <x:v>página física 7</x:v>
      </x:c>
      <x:c r="G194" s="4" t="str">
        <x:v>ROTULO_EN_TEXTO_EXTRAIDO_UTF8</x:v>
      </x:c>
      <x:c r="H194" s="4" t="str">
        <x:v>11467</x:v>
      </x:c>
      <x:c r="I194" s="4" t="str">
        <x:v>8</x:v>
      </x:c>
      <x:c r="J194" s="4" t="str">
        <x:v>4786cd5110a4a25d7f290ecdc62053c3e521475e725dcee6df863e0e86fd9c60</x:v>
      </x:c>
      <x:c r="K194" s="4" t="str">
        <x:v>2026-09-08</x:v>
      </x:c>
      <x:c r="L194" s="4" t="str">
        <x:v>SIN_FECHA_DE_ADOPCION</x:v>
      </x:c>
      <x:c r="M194" s="12" t="n">
        <x:f>IF(LEN(J194)=64,0,1)</x:f>
        <x:v>0</x:v>
      </x:c>
      <x:c r="N194" s="12" t="n">
        <x:f>IF(COUNTIF('03_NICE'!$A$5:$A$57,A194)+COUNTIF('04_TKS'!$A$5:$A$72,A194)+COUNTIF('05_Complementos'!$A$5:$A$127,A194)=1,0,1)</x:f>
        <x:v>0</x:v>
      </x:c>
      <x:c r="O194" s="12" t="n">
        <x:f>COUNTIF('08_Trazas'!$A$5:$A$248,A194)-1</x:f>
        <x:v>0</x:v>
      </x:c>
      <x:c r="P194" s="12" t="n">
        <x:f>IF(COUNTIF('02_Custodia'!$A$5:$A$53,C194)=1,0,1)</x:f>
        <x:v>0</x:v>
      </x:c>
    </x:row>
    <x:row r="195" ht="47" customHeight="1">
      <x:c r="A195" s="4" t="str">
        <x:v>CP-070</x:v>
      </x:c>
      <x:c r="B195" s="4" t="str">
        <x:v>F016</x:v>
      </x:c>
      <x:c r="C195" s="4" t="str">
        <x:v>F016</x:v>
      </x:c>
      <x:c r="D195" s="4" t="str">
        <x:v>§2.1; función PR</x:v>
      </x:c>
      <x:c r="E195" s="4" t="str">
        <x:v>CSWP 29; 26-02-2024</x:v>
      </x:c>
      <x:c r="F195" s="4" t="str">
        <x:v>página física 8</x:v>
      </x:c>
      <x:c r="G195" s="4" t="str">
        <x:v>ROTULO_EN_TEXTO_EXTRAIDO_UTF8</x:v>
      </x:c>
      <x:c r="H195" s="4" t="str">
        <x:v>14599</x:v>
      </x:c>
      <x:c r="I195" s="4" t="str">
        <x:v>7</x:v>
      </x:c>
      <x:c r="J195" s="4" t="str">
        <x:v>0a5688a8b2cf7c00d358fb345214873d713a5fff3d3967a77e5c380480884d62</x:v>
      </x:c>
      <x:c r="K195" s="4" t="str">
        <x:v>2026-09-08</x:v>
      </x:c>
      <x:c r="L195" s="4" t="str">
        <x:v>SIN_FECHA_DE_ADOPCION</x:v>
      </x:c>
      <x:c r="M195" s="12" t="n">
        <x:f>IF(LEN(J195)=64,0,1)</x:f>
        <x:v>0</x:v>
      </x:c>
      <x:c r="N195" s="12" t="n">
        <x:f>IF(COUNTIF('03_NICE'!$A$5:$A$57,A195)+COUNTIF('04_TKS'!$A$5:$A$72,A195)+COUNTIF('05_Complementos'!$A$5:$A$127,A195)=1,0,1)</x:f>
        <x:v>0</x:v>
      </x:c>
      <x:c r="O195" s="12" t="n">
        <x:f>COUNTIF('08_Trazas'!$A$5:$A$248,A195)-1</x:f>
        <x:v>0</x:v>
      </x:c>
      <x:c r="P195" s="12" t="n">
        <x:f>IF(COUNTIF('02_Custodia'!$A$5:$A$53,C195)=1,0,1)</x:f>
        <x:v>0</x:v>
      </x:c>
    </x:row>
    <x:row r="196" ht="47" customHeight="1">
      <x:c r="A196" s="4" t="str">
        <x:v>CP-071</x:v>
      </x:c>
      <x:c r="B196" s="4" t="str">
        <x:v>F016</x:v>
      </x:c>
      <x:c r="C196" s="4" t="str">
        <x:v>F016</x:v>
      </x:c>
      <x:c r="D196" s="4" t="str">
        <x:v>§2.1; función DE</x:v>
      </x:c>
      <x:c r="E196" s="4" t="str">
        <x:v>CSWP 29; 26-02-2024</x:v>
      </x:c>
      <x:c r="F196" s="4" t="str">
        <x:v>página física 8</x:v>
      </x:c>
      <x:c r="G196" s="4" t="str">
        <x:v>ROTULO_EN_TEXTO_EXTRAIDO_UTF8</x:v>
      </x:c>
      <x:c r="H196" s="4" t="str">
        <x:v>14608</x:v>
      </x:c>
      <x:c r="I196" s="4" t="str">
        <x:v>6</x:v>
      </x:c>
      <x:c r="J196" s="4" t="str">
        <x:v>f9aaaf059b7869a7f340d06f407f41b69f4972b6289ab1993260a8f28ce5ee13</x:v>
      </x:c>
      <x:c r="K196" s="4" t="str">
        <x:v>2026-09-08</x:v>
      </x:c>
      <x:c r="L196" s="4" t="str">
        <x:v>SIN_FECHA_DE_ADOPCION</x:v>
      </x:c>
      <x:c r="M196" s="12" t="n">
        <x:f>IF(LEN(J196)=64,0,1)</x:f>
        <x:v>0</x:v>
      </x:c>
      <x:c r="N196" s="12" t="n">
        <x:f>IF(COUNTIF('03_NICE'!$A$5:$A$57,A196)+COUNTIF('04_TKS'!$A$5:$A$72,A196)+COUNTIF('05_Complementos'!$A$5:$A$127,A196)=1,0,1)</x:f>
        <x:v>0</x:v>
      </x:c>
      <x:c r="O196" s="12" t="n">
        <x:f>COUNTIF('08_Trazas'!$A$5:$A$248,A196)-1</x:f>
        <x:v>0</x:v>
      </x:c>
      <x:c r="P196" s="12" t="n">
        <x:f>IF(COUNTIF('02_Custodia'!$A$5:$A$53,C196)=1,0,1)</x:f>
        <x:v>0</x:v>
      </x:c>
    </x:row>
    <x:row r="197" ht="47" customHeight="1">
      <x:c r="A197" s="4" t="str">
        <x:v>CP-072</x:v>
      </x:c>
      <x:c r="B197" s="4" t="str">
        <x:v>F016</x:v>
      </x:c>
      <x:c r="C197" s="4" t="str">
        <x:v>F016</x:v>
      </x:c>
      <x:c r="D197" s="4" t="str">
        <x:v>§2.1; función RS</x:v>
      </x:c>
      <x:c r="E197" s="4" t="str">
        <x:v>CSWP 29; 26-02-2024</x:v>
      </x:c>
      <x:c r="F197" s="4" t="str">
        <x:v>página física 8</x:v>
      </x:c>
      <x:c r="G197" s="4" t="str">
        <x:v>ROTULO_EN_TEXTO_EXTRAIDO_UTF8</x:v>
      </x:c>
      <x:c r="H197" s="4" t="str">
        <x:v>14616</x:v>
      </x:c>
      <x:c r="I197" s="4" t="str">
        <x:v>7</x:v>
      </x:c>
      <x:c r="J197" s="4" t="str">
        <x:v>135f705a6ac05f6bfb3ec133733eba7a38a79dbb55f73fb03e292d1aa389f02d</x:v>
      </x:c>
      <x:c r="K197" s="4" t="str">
        <x:v>2026-09-08</x:v>
      </x:c>
      <x:c r="L197" s="4" t="str">
        <x:v>SIN_FECHA_DE_ADOPCION</x:v>
      </x:c>
      <x:c r="M197" s="12" t="n">
        <x:f>IF(LEN(J197)=64,0,1)</x:f>
        <x:v>0</x:v>
      </x:c>
      <x:c r="N197" s="12" t="n">
        <x:f>IF(COUNTIF('03_NICE'!$A$5:$A$57,A197)+COUNTIF('04_TKS'!$A$5:$A$72,A197)+COUNTIF('05_Complementos'!$A$5:$A$127,A197)=1,0,1)</x:f>
        <x:v>0</x:v>
      </x:c>
      <x:c r="O197" s="12" t="n">
        <x:f>COUNTIF('08_Trazas'!$A$5:$A$248,A197)-1</x:f>
        <x:v>0</x:v>
      </x:c>
      <x:c r="P197" s="12" t="n">
        <x:f>IF(COUNTIF('02_Custodia'!$A$5:$A$53,C197)=1,0,1)</x:f>
        <x:v>0</x:v>
      </x:c>
    </x:row>
    <x:row r="198" ht="47" customHeight="1">
      <x:c r="A198" s="4" t="str">
        <x:v>CP-073</x:v>
      </x:c>
      <x:c r="B198" s="4" t="str">
        <x:v>F016</x:v>
      </x:c>
      <x:c r="C198" s="4" t="str">
        <x:v>F016</x:v>
      </x:c>
      <x:c r="D198" s="4" t="str">
        <x:v>§2.1; función RC</x:v>
      </x:c>
      <x:c r="E198" s="4" t="str">
        <x:v>CSWP 29; 26-02-2024</x:v>
      </x:c>
      <x:c r="F198" s="4" t="str">
        <x:v>página física 8</x:v>
      </x:c>
      <x:c r="G198" s="4" t="str">
        <x:v>ROTULO_EN_TEXTO_EXTRAIDO_UTF8</x:v>
      </x:c>
      <x:c r="H198" s="4" t="str">
        <x:v>14629</x:v>
      </x:c>
      <x:c r="I198" s="4" t="str">
        <x:v>7</x:v>
      </x:c>
      <x:c r="J198" s="4" t="str">
        <x:v>f9b5b9db79dec543d817f523ab97391c70b7d82d308c21a8fa2432b4fb43b2c2</x:v>
      </x:c>
      <x:c r="K198" s="4" t="str">
        <x:v>2026-09-08</x:v>
      </x:c>
      <x:c r="L198" s="4" t="str">
        <x:v>SIN_FECHA_DE_ADOPCION</x:v>
      </x:c>
      <x:c r="M198" s="12" t="n">
        <x:f>IF(LEN(J198)=64,0,1)</x:f>
        <x:v>0</x:v>
      </x:c>
      <x:c r="N198" s="12" t="n">
        <x:f>IF(COUNTIF('03_NICE'!$A$5:$A$57,A198)+COUNTIF('04_TKS'!$A$5:$A$72,A198)+COUNTIF('05_Complementos'!$A$5:$A$127,A198)=1,0,1)</x:f>
        <x:v>0</x:v>
      </x:c>
      <x:c r="O198" s="12" t="n">
        <x:f>COUNTIF('08_Trazas'!$A$5:$A$248,A198)-1</x:f>
        <x:v>0</x:v>
      </x:c>
      <x:c r="P198" s="12" t="n">
        <x:f>IF(COUNTIF('02_Custodia'!$A$5:$A$53,C198)=1,0,1)</x:f>
        <x:v>0</x:v>
      </x:c>
    </x:row>
    <x:row r="199" ht="47" customHeight="1">
      <x:c r="A199" s="4" t="str">
        <x:v>CP-074</x:v>
      </x:c>
      <x:c r="B199" s="4" t="str">
        <x:v>F018</x:v>
      </x:c>
      <x:c r="C199" s="4" t="str">
        <x:v>F018</x:v>
      </x:c>
      <x:c r="D199" s="4" t="str">
        <x:v>§6</x:v>
      </x:c>
      <x:c r="E199" s="4" t="str">
        <x:v>Final; septiembre 2008</x:v>
      </x:c>
      <x:c r="F199" s="4" t="str">
        <x:v>página física 5</x:v>
      </x:c>
      <x:c r="G199" s="4" t="str">
        <x:v>ROTULO_EN_TEXTO_EXTRAIDO_UTF8</x:v>
      </x:c>
      <x:c r="H199" s="4" t="str">
        <x:v>8498</x:v>
      </x:c>
      <x:c r="I199" s="4" t="str">
        <x:v>28</x:v>
      </x:c>
      <x:c r="J199" s="4" t="str">
        <x:v>b7385acb705dbe05077a579333c4401b7244d90d296c7613a3820338d12c9aed</x:v>
      </x:c>
      <x:c r="K199" s="4" t="str">
        <x:v>2026-09-08</x:v>
      </x:c>
      <x:c r="L199" s="4" t="str">
        <x:v>SIN_FECHA_DE_ADOPCION</x:v>
      </x:c>
      <x:c r="M199" s="12" t="n">
        <x:f>IF(LEN(J199)=64,0,1)</x:f>
        <x:v>0</x:v>
      </x:c>
      <x:c r="N199" s="12" t="n">
        <x:f>IF(COUNTIF('03_NICE'!$A$5:$A$57,A199)+COUNTIF('04_TKS'!$A$5:$A$72,A199)+COUNTIF('05_Complementos'!$A$5:$A$127,A199)=1,0,1)</x:f>
        <x:v>0</x:v>
      </x:c>
      <x:c r="O199" s="12" t="n">
        <x:f>COUNTIF('08_Trazas'!$A$5:$A$248,A199)-1</x:f>
        <x:v>0</x:v>
      </x:c>
      <x:c r="P199" s="12" t="n">
        <x:f>IF(COUNTIF('02_Custodia'!$A$5:$A$53,C199)=1,0,1)</x:f>
        <x:v>0</x:v>
      </x:c>
    </x:row>
    <x:row r="200" ht="47" customHeight="1">
      <x:c r="A200" s="4" t="str">
        <x:v>CP-075</x:v>
      </x:c>
      <x:c r="B200" s="4" t="str">
        <x:v>F018</x:v>
      </x:c>
      <x:c r="C200" s="4" t="str">
        <x:v>F018</x:v>
      </x:c>
      <x:c r="D200" s="4" t="str">
        <x:v>Apéndice B</x:v>
      </x:c>
      <x:c r="E200" s="4" t="str">
        <x:v>Final; septiembre 2008</x:v>
      </x:c>
      <x:c r="F200" s="4" t="str">
        <x:v>página física 6</x:v>
      </x:c>
      <x:c r="G200" s="4" t="str">
        <x:v>ROTULO_EN_TEXTO_EXTRAIDO_UTF8</x:v>
      </x:c>
      <x:c r="H200" s="4" t="str">
        <x:v>11642</x:v>
      </x:c>
      <x:c r="I200" s="4" t="str">
        <x:v>19</x:v>
      </x:c>
      <x:c r="J200" s="4" t="str">
        <x:v>9ad5bcc7c6b7c2f00ba5b0b6cebf4aeac7cb41b98808b383d9a559f9e39d2298</x:v>
      </x:c>
      <x:c r="K200" s="4" t="str">
        <x:v>2026-09-08</x:v>
      </x:c>
      <x:c r="L200" s="4" t="str">
        <x:v>SIN_FECHA_DE_ADOPCION</x:v>
      </x:c>
      <x:c r="M200" s="12" t="n">
        <x:f>IF(LEN(J200)=64,0,1)</x:f>
        <x:v>0</x:v>
      </x:c>
      <x:c r="N200" s="12" t="n">
        <x:f>IF(COUNTIF('03_NICE'!$A$5:$A$57,A200)+COUNTIF('04_TKS'!$A$5:$A$72,A200)+COUNTIF('05_Complementos'!$A$5:$A$127,A200)=1,0,1)</x:f>
        <x:v>0</x:v>
      </x:c>
      <x:c r="O200" s="12" t="n">
        <x:f>COUNTIF('08_Trazas'!$A$5:$A$248,A200)-1</x:f>
        <x:v>0</x:v>
      </x:c>
      <x:c r="P200" s="12" t="n">
        <x:f>IF(COUNTIF('02_Custodia'!$A$5:$A$53,C200)=1,0,1)</x:f>
        <x:v>0</x:v>
      </x:c>
    </x:row>
    <x:row r="201" ht="47" customHeight="1">
      <x:c r="A201" s="4" t="str">
        <x:v>CP-076</x:v>
      </x:c>
      <x:c r="B201" s="4" t="str">
        <x:v>F018</x:v>
      </x:c>
      <x:c r="C201" s="4" t="str">
        <x:v>F018</x:v>
      </x:c>
      <x:c r="D201" s="4" t="str">
        <x:v>§8.2</x:v>
      </x:c>
      <x:c r="E201" s="4" t="str">
        <x:v>Final; septiembre 2008</x:v>
      </x:c>
      <x:c r="F201" s="4" t="str">
        <x:v>página física 6</x:v>
      </x:c>
      <x:c r="G201" s="4" t="str">
        <x:v>ROTULO_EN_TEXTO_EXTRAIDO_UTF8</x:v>
      </x:c>
      <x:c r="H201" s="4" t="str">
        <x:v>11239</x:v>
      </x:c>
      <x:c r="I201" s="4" t="str">
        <x:v>9</x:v>
      </x:c>
      <x:c r="J201" s="4" t="str">
        <x:v>b1fa104b9bf0635e9d9550184d989002b9f1bd87fc945e563a1f7024054db6aa</x:v>
      </x:c>
      <x:c r="K201" s="4" t="str">
        <x:v>2026-09-08</x:v>
      </x:c>
      <x:c r="L201" s="4" t="str">
        <x:v>SIN_FECHA_DE_ADOPCION</x:v>
      </x:c>
      <x:c r="M201" s="12" t="n">
        <x:f>IF(LEN(J201)=64,0,1)</x:f>
        <x:v>0</x:v>
      </x:c>
      <x:c r="N201" s="12" t="n">
        <x:f>IF(COUNTIF('03_NICE'!$A$5:$A$57,A201)+COUNTIF('04_TKS'!$A$5:$A$72,A201)+COUNTIF('05_Complementos'!$A$5:$A$127,A201)=1,0,1)</x:f>
        <x:v>0</x:v>
      </x:c>
      <x:c r="O201" s="12" t="n">
        <x:f>COUNTIF('08_Trazas'!$A$5:$A$248,A201)-1</x:f>
        <x:v>0</x:v>
      </x:c>
      <x:c r="P201" s="12" t="n">
        <x:f>IF(COUNTIF('02_Custodia'!$A$5:$A$53,C201)=1,0,1)</x:f>
        <x:v>0</x:v>
      </x:c>
    </x:row>
    <x:row r="202" ht="47" customHeight="1">
      <x:c r="A202" s="4" t="str">
        <x:v>CP-077</x:v>
      </x:c>
      <x:c r="B202" s="4" t="str">
        <x:v>F019</x:v>
      </x:c>
      <x:c r="C202" s="4" t="str">
        <x:v>F019</x:v>
      </x:c>
      <x:c r="D202" s="4" t="str">
        <x:v>Tabla 3; DE.AE-03</x:v>
      </x:c>
      <x:c r="E202" s="4" t="str">
        <x:v>Final; abril 2025</x:v>
      </x:c>
      <x:c r="F202" s="4" t="str">
        <x:v>página física 33</x:v>
      </x:c>
      <x:c r="G202" s="4" t="str">
        <x:v>ROTULO_EN_TEXTO_EXTRAIDO_UTF8</x:v>
      </x:c>
      <x:c r="H202" s="4" t="str">
        <x:v>75155</x:v>
      </x:c>
      <x:c r="I202" s="4" t="str">
        <x:v>8</x:v>
      </x:c>
      <x:c r="J202" s="4" t="str">
        <x:v>a66d3f07d02b4cecd90e1b540c786548ae5522d4d085545619ffd55921a7a6ac</x:v>
      </x:c>
      <x:c r="K202" s="4" t="str">
        <x:v>2026-09-08</x:v>
      </x:c>
      <x:c r="L202" s="4" t="str">
        <x:v>SIN_FECHA_DE_ADOPCION</x:v>
      </x:c>
      <x:c r="M202" s="12" t="n">
        <x:f>IF(LEN(J202)=64,0,1)</x:f>
        <x:v>0</x:v>
      </x:c>
      <x:c r="N202" s="12" t="n">
        <x:f>IF(COUNTIF('03_NICE'!$A$5:$A$57,A202)+COUNTIF('04_TKS'!$A$5:$A$72,A202)+COUNTIF('05_Complementos'!$A$5:$A$127,A202)=1,0,1)</x:f>
        <x:v>0</x:v>
      </x:c>
      <x:c r="O202" s="12" t="n">
        <x:f>COUNTIF('08_Trazas'!$A$5:$A$248,A202)-1</x:f>
        <x:v>0</x:v>
      </x:c>
      <x:c r="P202" s="12" t="n">
        <x:f>IF(COUNTIF('02_Custodia'!$A$5:$A$53,C202)=1,0,1)</x:f>
        <x:v>0</x:v>
      </x:c>
    </x:row>
    <x:row r="203" ht="47" customHeight="1">
      <x:c r="A203" s="4" t="str">
        <x:v>CP-078</x:v>
      </x:c>
      <x:c r="B203" s="4" t="str">
        <x:v>F019</x:v>
      </x:c>
      <x:c r="C203" s="4" t="str">
        <x:v>F019</x:v>
      </x:c>
      <x:c r="D203" s="4" t="str">
        <x:v>Tabla 3; DE.AE-04</x:v>
      </x:c>
      <x:c r="E203" s="4" t="str">
        <x:v>Final; abril 2025</x:v>
      </x:c>
      <x:c r="F203" s="4" t="str">
        <x:v>página física 34</x:v>
      </x:c>
      <x:c r="G203" s="4" t="str">
        <x:v>ROTULO_EN_TEXTO_EXTRAIDO_UTF8</x:v>
      </x:c>
      <x:c r="H203" s="4" t="str">
        <x:v>75733</x:v>
      </x:c>
      <x:c r="I203" s="4" t="str">
        <x:v>8</x:v>
      </x:c>
      <x:c r="J203" s="4" t="str">
        <x:v>a36232b7192f0a759b67e88b5cc399833a1d934a980f4c2addd986f1e55c2a65</x:v>
      </x:c>
      <x:c r="K203" s="4" t="str">
        <x:v>2026-09-08</x:v>
      </x:c>
      <x:c r="L203" s="4" t="str">
        <x:v>SIN_FECHA_DE_ADOPCION</x:v>
      </x:c>
      <x:c r="M203" s="12" t="n">
        <x:f>IF(LEN(J203)=64,0,1)</x:f>
        <x:v>0</x:v>
      </x:c>
      <x:c r="N203" s="12" t="n">
        <x:f>IF(COUNTIF('03_NICE'!$A$5:$A$57,A203)+COUNTIF('04_TKS'!$A$5:$A$72,A203)+COUNTIF('05_Complementos'!$A$5:$A$127,A203)=1,0,1)</x:f>
        <x:v>0</x:v>
      </x:c>
      <x:c r="O203" s="12" t="n">
        <x:f>COUNTIF('08_Trazas'!$A$5:$A$248,A203)-1</x:f>
        <x:v>0</x:v>
      </x:c>
      <x:c r="P203" s="12" t="n">
        <x:f>IF(COUNTIF('02_Custodia'!$A$5:$A$53,C203)=1,0,1)</x:f>
        <x:v>0</x:v>
      </x:c>
    </x:row>
    <x:row r="204" ht="47" customHeight="1">
      <x:c r="A204" s="4" t="str">
        <x:v>CP-079</x:v>
      </x:c>
      <x:c r="B204" s="4" t="str">
        <x:v>F019</x:v>
      </x:c>
      <x:c r="C204" s="4" t="str">
        <x:v>F019</x:v>
      </x:c>
      <x:c r="D204" s="4" t="str">
        <x:v>Tabla 3; DE.AE-06</x:v>
      </x:c>
      <x:c r="E204" s="4" t="str">
        <x:v>Final; abril 2025</x:v>
      </x:c>
      <x:c r="F204" s="4" t="str">
        <x:v>página física 34</x:v>
      </x:c>
      <x:c r="G204" s="4" t="str">
        <x:v>ROTULO_EN_TEXTO_EXTRAIDO_UTF8</x:v>
      </x:c>
      <x:c r="H204" s="4" t="str">
        <x:v>75965</x:v>
      </x:c>
      <x:c r="I204" s="4" t="str">
        <x:v>8</x:v>
      </x:c>
      <x:c r="J204" s="4" t="str">
        <x:v>3e935ba49133437b9380d6805e4860102720432ddfb6361416028eb7d70c609b</x:v>
      </x:c>
      <x:c r="K204" s="4" t="str">
        <x:v>2026-09-08</x:v>
      </x:c>
      <x:c r="L204" s="4" t="str">
        <x:v>SIN_FECHA_DE_ADOPCION</x:v>
      </x:c>
      <x:c r="M204" s="12" t="n">
        <x:f>IF(LEN(J204)=64,0,1)</x:f>
        <x:v>0</x:v>
      </x:c>
      <x:c r="N204" s="12" t="n">
        <x:f>IF(COUNTIF('03_NICE'!$A$5:$A$57,A204)+COUNTIF('04_TKS'!$A$5:$A$72,A204)+COUNTIF('05_Complementos'!$A$5:$A$127,A204)=1,0,1)</x:f>
        <x:v>0</x:v>
      </x:c>
      <x:c r="O204" s="12" t="n">
        <x:f>COUNTIF('08_Trazas'!$A$5:$A$248,A204)-1</x:f>
        <x:v>0</x:v>
      </x:c>
      <x:c r="P204" s="12" t="n">
        <x:f>IF(COUNTIF('02_Custodia'!$A$5:$A$53,C204)=1,0,1)</x:f>
        <x:v>0</x:v>
      </x:c>
    </x:row>
    <x:row r="205" ht="47" customHeight="1">
      <x:c r="A205" s="4" t="str">
        <x:v>CP-080</x:v>
      </x:c>
      <x:c r="B205" s="4" t="str">
        <x:v>F019</x:v>
      </x:c>
      <x:c r="C205" s="4" t="str">
        <x:v>F019</x:v>
      </x:c>
      <x:c r="D205" s="4" t="str">
        <x:v>Tabla 3; DE.AE-08</x:v>
      </x:c>
      <x:c r="E205" s="4" t="str">
        <x:v>Final; abril 2025</x:v>
      </x:c>
      <x:c r="F205" s="4" t="str">
        <x:v>página física 34</x:v>
      </x:c>
      <x:c r="G205" s="4" t="str">
        <x:v>ROTULO_EN_TEXTO_EXTRAIDO_UTF8</x:v>
      </x:c>
      <x:c r="H205" s="4" t="str">
        <x:v>77064</x:v>
      </x:c>
      <x:c r="I205" s="4" t="str">
        <x:v>8</x:v>
      </x:c>
      <x:c r="J205" s="4" t="str">
        <x:v>5fdf9e594a7f0088419a3cf295bf3be69b5b7eb72d9362dd45dbf5b1ed8f8137</x:v>
      </x:c>
      <x:c r="K205" s="4" t="str">
        <x:v>2026-09-08</x:v>
      </x:c>
      <x:c r="L205" s="4" t="str">
        <x:v>SIN_FECHA_DE_ADOPCION</x:v>
      </x:c>
      <x:c r="M205" s="12" t="n">
        <x:f>IF(LEN(J205)=64,0,1)</x:f>
        <x:v>0</x:v>
      </x:c>
      <x:c r="N205" s="12" t="n">
        <x:f>IF(COUNTIF('03_NICE'!$A$5:$A$57,A205)+COUNTIF('04_TKS'!$A$5:$A$72,A205)+COUNTIF('05_Complementos'!$A$5:$A$127,A205)=1,0,1)</x:f>
        <x:v>0</x:v>
      </x:c>
      <x:c r="O205" s="12" t="n">
        <x:f>COUNTIF('08_Trazas'!$A$5:$A$248,A205)-1</x:f>
        <x:v>0</x:v>
      </x:c>
      <x:c r="P205" s="12" t="n">
        <x:f>IF(COUNTIF('02_Custodia'!$A$5:$A$53,C205)=1,0,1)</x:f>
        <x:v>0</x:v>
      </x:c>
    </x:row>
    <x:row r="206" ht="47" customHeight="1">
      <x:c r="A206" s="4" t="str">
        <x:v>CP-081</x:v>
      </x:c>
      <x:c r="B206" s="4" t="str">
        <x:v>F019</x:v>
      </x:c>
      <x:c r="C206" s="4" t="str">
        <x:v>F019</x:v>
      </x:c>
      <x:c r="D206" s="4" t="str">
        <x:v>Tabla 3; RS.MA-02</x:v>
      </x:c>
      <x:c r="E206" s="4" t="str">
        <x:v>Final; abril 2025</x:v>
      </x:c>
      <x:c r="F206" s="4" t="str">
        <x:v>página física 35</x:v>
      </x:c>
      <x:c r="G206" s="4" t="str">
        <x:v>ROTULO_EN_TEXTO_EXTRAIDO_UTF8</x:v>
      </x:c>
      <x:c r="H206" s="4" t="str">
        <x:v>79564</x:v>
      </x:c>
      <x:c r="I206" s="4" t="str">
        <x:v>8</x:v>
      </x:c>
      <x:c r="J206" s="4" t="str">
        <x:v>c5f9abba758d6b3387377715be408d79b611e2a344d82ea5116aafc690ddc544</x:v>
      </x:c>
      <x:c r="K206" s="4" t="str">
        <x:v>2026-09-08</x:v>
      </x:c>
      <x:c r="L206" s="4" t="str">
        <x:v>SIN_FECHA_DE_ADOPCION</x:v>
      </x:c>
      <x:c r="M206" s="12" t="n">
        <x:f>IF(LEN(J206)=64,0,1)</x:f>
        <x:v>0</x:v>
      </x:c>
      <x:c r="N206" s="12" t="n">
        <x:f>IF(COUNTIF('03_NICE'!$A$5:$A$57,A206)+COUNTIF('04_TKS'!$A$5:$A$72,A206)+COUNTIF('05_Complementos'!$A$5:$A$127,A206)=1,0,1)</x:f>
        <x:v>0</x:v>
      </x:c>
      <x:c r="O206" s="12" t="n">
        <x:f>COUNTIF('08_Trazas'!$A$5:$A$248,A206)-1</x:f>
        <x:v>0</x:v>
      </x:c>
      <x:c r="P206" s="12" t="n">
        <x:f>IF(COUNTIF('02_Custodia'!$A$5:$A$53,C206)=1,0,1)</x:f>
        <x:v>0</x:v>
      </x:c>
    </x:row>
    <x:row r="207" ht="47" customHeight="1">
      <x:c r="A207" s="4" t="str">
        <x:v>CP-082</x:v>
      </x:c>
      <x:c r="B207" s="4" t="str">
        <x:v>F019</x:v>
      </x:c>
      <x:c r="C207" s="4" t="str">
        <x:v>F019</x:v>
      </x:c>
      <x:c r="D207" s="4" t="str">
        <x:v>Tabla 3; RS.AN-07</x:v>
      </x:c>
      <x:c r="E207" s="4" t="str">
        <x:v>Final; abril 2025</x:v>
      </x:c>
      <x:c r="F207" s="4" t="str">
        <x:v>página física 37</x:v>
      </x:c>
      <x:c r="G207" s="4" t="str">
        <x:v>ROTULO_EN_TEXTO_EXTRAIDO_UTF8</x:v>
      </x:c>
      <x:c r="H207" s="4" t="str">
        <x:v>84351</x:v>
      </x:c>
      <x:c r="I207" s="4" t="str">
        <x:v>8</x:v>
      </x:c>
      <x:c r="J207" s="4" t="str">
        <x:v>ec4a4cbb05c21a4efe644e28234b489cb70166f662ade1a87517fc7d9ead4c89</x:v>
      </x:c>
      <x:c r="K207" s="4" t="str">
        <x:v>2026-09-08</x:v>
      </x:c>
      <x:c r="L207" s="4" t="str">
        <x:v>SIN_FECHA_DE_ADOPCION</x:v>
      </x:c>
      <x:c r="M207" s="12" t="n">
        <x:f>IF(LEN(J207)=64,0,1)</x:f>
        <x:v>0</x:v>
      </x:c>
      <x:c r="N207" s="12" t="n">
        <x:f>IF(COUNTIF('03_NICE'!$A$5:$A$57,A207)+COUNTIF('04_TKS'!$A$5:$A$72,A207)+COUNTIF('05_Complementos'!$A$5:$A$127,A207)=1,0,1)</x:f>
        <x:v>0</x:v>
      </x:c>
      <x:c r="O207" s="12" t="n">
        <x:f>COUNTIF('08_Trazas'!$A$5:$A$248,A207)-1</x:f>
        <x:v>0</x:v>
      </x:c>
      <x:c r="P207" s="12" t="n">
        <x:f>IF(COUNTIF('02_Custodia'!$A$5:$A$53,C207)=1,0,1)</x:f>
        <x:v>0</x:v>
      </x:c>
    </x:row>
    <x:row r="208" ht="47" customHeight="1">
      <x:c r="A208" s="4" t="str">
        <x:v>CP-083</x:v>
      </x:c>
      <x:c r="B208" s="4" t="str">
        <x:v>F020</x:v>
      </x:c>
      <x:c r="C208" s="4" t="str">
        <x:v>F020</x:v>
      </x:c>
      <x:c r="D208" s="4" t="str">
        <x:v>Páginas impresas 28–32; Comparing OT and IT System Security; tabla 1</x:v>
      </x:c>
      <x:c r="E208" s="4" t="str">
        <x:v>Final; septiembre 2023</x:v>
      </x:c>
      <x:c r="F208" s="4" t="str">
        <x:v>página física 5</x:v>
      </x:c>
      <x:c r="G208" s="4" t="str">
        <x:v>ROTULO_EN_TEXTO_EXTRAIDO_UTF8</x:v>
      </x:c>
      <x:c r="H208" s="4" t="str">
        <x:v>5258</x:v>
      </x:c>
      <x:c r="I208" s="4" t="str">
        <x:v>6</x:v>
      </x:c>
      <x:c r="J208" s="4" t="str">
        <x:v>856e8bd358ece398c72f1003391aef5d1cd4fb9146e9f280b86290ce670b5afc</x:v>
      </x:c>
      <x:c r="K208" s="4" t="str">
        <x:v>2026-09-08</x:v>
      </x:c>
      <x:c r="L208" s="4" t="str">
        <x:v>SIN_FECHA_DE_ADOPCION</x:v>
      </x:c>
      <x:c r="M208" s="12" t="n">
        <x:f>IF(LEN(J208)=64,0,1)</x:f>
        <x:v>0</x:v>
      </x:c>
      <x:c r="N208" s="12" t="n">
        <x:f>IF(COUNTIF('03_NICE'!$A$5:$A$57,A208)+COUNTIF('04_TKS'!$A$5:$A$72,A208)+COUNTIF('05_Complementos'!$A$5:$A$127,A208)=1,0,1)</x:f>
        <x:v>0</x:v>
      </x:c>
      <x:c r="O208" s="12" t="n">
        <x:f>COUNTIF('08_Trazas'!$A$5:$A$248,A208)-1</x:f>
        <x:v>0</x:v>
      </x:c>
      <x:c r="P208" s="12" t="n">
        <x:f>IF(COUNTIF('02_Custodia'!$A$5:$A$53,C208)=1,0,1)</x:f>
        <x:v>0</x:v>
      </x:c>
    </x:row>
    <x:row r="209" ht="47" customHeight="1">
      <x:c r="A209" s="4" t="str">
        <x:v>CP-084</x:v>
      </x:c>
      <x:c r="B209" s="4" t="str">
        <x:v>F024</x:v>
      </x:c>
      <x:c r="C209" s="4" t="str">
        <x:v>F024</x:v>
      </x:c>
      <x:c r="D209" s="4" t="str">
        <x:v>Parte 2; AI RMF Core; función GOVERN</x:v>
      </x:c>
      <x:c r="E209" s="4" t="str">
        <x:v>AI 100-1; enero 2023</x:v>
      </x:c>
      <x:c r="F209" s="4" t="str">
        <x:v>página física 4</x:v>
      </x:c>
      <x:c r="G209" s="4" t="str">
        <x:v>ROTULO_EN_TEXTO_EXTRAIDO_UTF8</x:v>
      </x:c>
      <x:c r="H209" s="4" t="str">
        <x:v>2710</x:v>
      </x:c>
      <x:c r="I209" s="4" t="str">
        <x:v>6</x:v>
      </x:c>
      <x:c r="J209" s="4" t="str">
        <x:v>01abc25e265982968fdd6300ad5e02a0a00042a0f5a341d4cf46b419cfe43c0a</x:v>
      </x:c>
      <x:c r="K209" s="4" t="str">
        <x:v>2026-09-08</x:v>
      </x:c>
      <x:c r="L209" s="4" t="str">
        <x:v>SIN_FECHA_DE_ADOPCION</x:v>
      </x:c>
      <x:c r="M209" s="12" t="n">
        <x:f>IF(LEN(J209)=64,0,1)</x:f>
        <x:v>0</x:v>
      </x:c>
      <x:c r="N209" s="12" t="n">
        <x:f>IF(COUNTIF('03_NICE'!$A$5:$A$57,A209)+COUNTIF('04_TKS'!$A$5:$A$72,A209)+COUNTIF('05_Complementos'!$A$5:$A$127,A209)=1,0,1)</x:f>
        <x:v>0</x:v>
      </x:c>
      <x:c r="O209" s="12" t="n">
        <x:f>COUNTIF('08_Trazas'!$A$5:$A$248,A209)-1</x:f>
        <x:v>0</x:v>
      </x:c>
      <x:c r="P209" s="12" t="n">
        <x:f>IF(COUNTIF('02_Custodia'!$A$5:$A$53,C209)=1,0,1)</x:f>
        <x:v>0</x:v>
      </x:c>
    </x:row>
    <x:row r="210" ht="47" customHeight="1">
      <x:c r="A210" s="4" t="str">
        <x:v>CP-085</x:v>
      </x:c>
      <x:c r="B210" s="4" t="str">
        <x:v>F024</x:v>
      </x:c>
      <x:c r="C210" s="4" t="str">
        <x:v>F024</x:v>
      </x:c>
      <x:c r="D210" s="4" t="str">
        <x:v>Parte 2; AI RMF Core; función MAP</x:v>
      </x:c>
      <x:c r="E210" s="4" t="str">
        <x:v>AI 100-1; enero 2023</x:v>
      </x:c>
      <x:c r="F210" s="4" t="str">
        <x:v>página física 4</x:v>
      </x:c>
      <x:c r="G210" s="4" t="str">
        <x:v>ROTULO_EN_TEXTO_EXTRAIDO_UTF8</x:v>
      </x:c>
      <x:c r="H210" s="4" t="str">
        <x:v>2724</x:v>
      </x:c>
      <x:c r="I210" s="4" t="str">
        <x:v>3</x:v>
      </x:c>
      <x:c r="J210" s="4" t="str">
        <x:v>be176b0015c424b78e9f343f8bc3014a7a701cc2eb9000b6acbc04d67dbecb8f</x:v>
      </x:c>
      <x:c r="K210" s="4" t="str">
        <x:v>2026-09-08</x:v>
      </x:c>
      <x:c r="L210" s="4" t="str">
        <x:v>SIN_FECHA_DE_ADOPCION</x:v>
      </x:c>
      <x:c r="M210" s="12" t="n">
        <x:f>IF(LEN(J210)=64,0,1)</x:f>
        <x:v>0</x:v>
      </x:c>
      <x:c r="N210" s="12" t="n">
        <x:f>IF(COUNTIF('03_NICE'!$A$5:$A$57,A210)+COUNTIF('04_TKS'!$A$5:$A$72,A210)+COUNTIF('05_Complementos'!$A$5:$A$127,A210)=1,0,1)</x:f>
        <x:v>0</x:v>
      </x:c>
      <x:c r="O210" s="12" t="n">
        <x:f>COUNTIF('08_Trazas'!$A$5:$A$248,A210)-1</x:f>
        <x:v>0</x:v>
      </x:c>
      <x:c r="P210" s="12" t="n">
        <x:f>IF(COUNTIF('02_Custodia'!$A$5:$A$53,C210)=1,0,1)</x:f>
        <x:v>0</x:v>
      </x:c>
    </x:row>
    <x:row r="211" ht="47" customHeight="1">
      <x:c r="A211" s="4" t="str">
        <x:v>CP-086</x:v>
      </x:c>
      <x:c r="B211" s="4" t="str">
        <x:v>F024</x:v>
      </x:c>
      <x:c r="C211" s="4" t="str">
        <x:v>F024</x:v>
      </x:c>
      <x:c r="D211" s="4" t="str">
        <x:v>Parte 2; AI RMF Core; función MEASURE</x:v>
      </x:c>
      <x:c r="E211" s="4" t="str">
        <x:v>AI 100-1; enero 2023</x:v>
      </x:c>
      <x:c r="F211" s="4" t="str">
        <x:v>página física 4</x:v>
      </x:c>
      <x:c r="G211" s="4" t="str">
        <x:v>ROTULO_EN_TEXTO_EXTRAIDO_UTF8</x:v>
      </x:c>
      <x:c r="H211" s="4" t="str">
        <x:v>2253</x:v>
      </x:c>
      <x:c r="I211" s="4" t="str">
        <x:v>7</x:v>
      </x:c>
      <x:c r="J211" s="4" t="str">
        <x:v>ebf940f2b3eaa86c4ca34f4bfe7241f2c2815c1358cbb6b841818ca7a4aaadc7</x:v>
      </x:c>
      <x:c r="K211" s="4" t="str">
        <x:v>2026-09-08</x:v>
      </x:c>
      <x:c r="L211" s="4" t="str">
        <x:v>SIN_FECHA_DE_ADOPCION</x:v>
      </x:c>
      <x:c r="M211" s="12" t="n">
        <x:f>IF(LEN(J211)=64,0,1)</x:f>
        <x:v>0</x:v>
      </x:c>
      <x:c r="N211" s="12" t="n">
        <x:f>IF(COUNTIF('03_NICE'!$A$5:$A$57,A211)+COUNTIF('04_TKS'!$A$5:$A$72,A211)+COUNTIF('05_Complementos'!$A$5:$A$127,A211)=1,0,1)</x:f>
        <x:v>0</x:v>
      </x:c>
      <x:c r="O211" s="12" t="n">
        <x:f>COUNTIF('08_Trazas'!$A$5:$A$248,A211)-1</x:f>
        <x:v>0</x:v>
      </x:c>
      <x:c r="P211" s="12" t="n">
        <x:f>IF(COUNTIF('02_Custodia'!$A$5:$A$53,C211)=1,0,1)</x:f>
        <x:v>0</x:v>
      </x:c>
    </x:row>
    <x:row r="212" ht="47" customHeight="1">
      <x:c r="A212" s="4" t="str">
        <x:v>CP-087</x:v>
      </x:c>
      <x:c r="B212" s="4" t="str">
        <x:v>F024</x:v>
      </x:c>
      <x:c r="C212" s="4" t="str">
        <x:v>F024</x:v>
      </x:c>
      <x:c r="D212" s="4" t="str">
        <x:v>Parte 2; AI RMF Core; función MANAGE</x:v>
      </x:c>
      <x:c r="E212" s="4" t="str">
        <x:v>AI 100-1; enero 2023</x:v>
      </x:c>
      <x:c r="F212" s="4" t="str">
        <x:v>página física 1</x:v>
      </x:c>
      <x:c r="G212" s="4" t="str">
        <x:v>ROTULO_EN_TEXTO_EXTRAIDO_UTF8</x:v>
      </x:c>
      <x:c r="H212" s="4" t="str">
        <x:v>57</x:v>
      </x:c>
      <x:c r="I212" s="4" t="str">
        <x:v>6</x:v>
      </x:c>
      <x:c r="J212" s="4" t="str">
        <x:v>5a23444828db654a0eaef5f81aabe79432871f43f73ea888279b3ee212f98a7b</x:v>
      </x:c>
      <x:c r="K212" s="4" t="str">
        <x:v>2026-09-08</x:v>
      </x:c>
      <x:c r="L212" s="4" t="str">
        <x:v>SIN_FECHA_DE_ADOPCION</x:v>
      </x:c>
      <x:c r="M212" s="12" t="n">
        <x:f>IF(LEN(J212)=64,0,1)</x:f>
        <x:v>0</x:v>
      </x:c>
      <x:c r="N212" s="12" t="n">
        <x:f>IF(COUNTIF('03_NICE'!$A$5:$A$57,A212)+COUNTIF('04_TKS'!$A$5:$A$72,A212)+COUNTIF('05_Complementos'!$A$5:$A$127,A212)=1,0,1)</x:f>
        <x:v>0</x:v>
      </x:c>
      <x:c r="O212" s="12" t="n">
        <x:f>COUNTIF('08_Trazas'!$A$5:$A$248,A212)-1</x:f>
        <x:v>0</x:v>
      </x:c>
      <x:c r="P212" s="12" t="n">
        <x:f>IF(COUNTIF('02_Custodia'!$A$5:$A$53,C212)=1,0,1)</x:f>
        <x:v>0</x:v>
      </x:c>
    </x:row>
    <x:row r="213" ht="47" customHeight="1">
      <x:c r="A213" s="4" t="str">
        <x:v>CP-088</x:v>
      </x:c>
      <x:c r="B213" s="4" t="str">
        <x:v>F025</x:v>
      </x:c>
      <x:c r="C213" s="4" t="str">
        <x:v>F025</x:v>
      </x:c>
      <x:c r="D213" s="4" t="str">
        <x:v>Tabla 1; PS.1.1</x:v>
      </x:c>
      <x:c r="E213" s="4" t="str">
        <x:v>Final; 26-07-2024</x:v>
      </x:c>
      <x:c r="F213" s="4" t="str">
        <x:v>página física 19</x:v>
      </x:c>
      <x:c r="G213" s="4" t="str">
        <x:v>ROTULO_EN_TEXTO_EXTRAIDO_UTF8</x:v>
      </x:c>
      <x:c r="H213" s="4" t="str">
        <x:v>39911</x:v>
      </x:c>
      <x:c r="I213" s="4" t="str">
        <x:v>6</x:v>
      </x:c>
      <x:c r="J213" s="4" t="str">
        <x:v>7b7873f2427ea0249436f0525a96192923e508c33190845921623281c638c12a</x:v>
      </x:c>
      <x:c r="K213" s="4" t="str">
        <x:v>2026-09-08</x:v>
      </x:c>
      <x:c r="L213" s="4" t="str">
        <x:v>SIN_FECHA_DE_ADOPCION</x:v>
      </x:c>
      <x:c r="M213" s="12" t="n">
        <x:f>IF(LEN(J213)=64,0,1)</x:f>
        <x:v>0</x:v>
      </x:c>
      <x:c r="N213" s="12" t="n">
        <x:f>IF(COUNTIF('03_NICE'!$A$5:$A$57,A213)+COUNTIF('04_TKS'!$A$5:$A$72,A213)+COUNTIF('05_Complementos'!$A$5:$A$127,A213)=1,0,1)</x:f>
        <x:v>0</x:v>
      </x:c>
      <x:c r="O213" s="12" t="n">
        <x:f>COUNTIF('08_Trazas'!$A$5:$A$248,A213)-1</x:f>
        <x:v>0</x:v>
      </x:c>
      <x:c r="P213" s="12" t="n">
        <x:f>IF(COUNTIF('02_Custodia'!$A$5:$A$53,C213)=1,0,1)</x:f>
        <x:v>0</x:v>
      </x:c>
    </x:row>
    <x:row r="214" ht="47" customHeight="1">
      <x:c r="A214" s="4" t="str">
        <x:v>CP-089</x:v>
      </x:c>
      <x:c r="B214" s="4" t="str">
        <x:v>F025</x:v>
      </x:c>
      <x:c r="C214" s="4" t="str">
        <x:v>F025</x:v>
      </x:c>
      <x:c r="D214" s="4" t="str">
        <x:v>Tabla 1; PS.1.2</x:v>
      </x:c>
      <x:c r="E214" s="4" t="str">
        <x:v>Final; 26-07-2024</x:v>
      </x:c>
      <x:c r="F214" s="4" t="str">
        <x:v>página física 20</x:v>
      </x:c>
      <x:c r="G214" s="4" t="str">
        <x:v>ROTULO_EN_TEXTO_EXTRAIDO_UTF8</x:v>
      </x:c>
      <x:c r="H214" s="4" t="str">
        <x:v>41183</x:v>
      </x:c>
      <x:c r="I214" s="4" t="str">
        <x:v>6</x:v>
      </x:c>
      <x:c r="J214" s="4" t="str">
        <x:v>325fe5d536fcd87668e03384352cf791adc251584b28da6e70e7a68611082f4d</x:v>
      </x:c>
      <x:c r="K214" s="4" t="str">
        <x:v>2026-09-08</x:v>
      </x:c>
      <x:c r="L214" s="4" t="str">
        <x:v>SIN_FECHA_DE_ADOPCION</x:v>
      </x:c>
      <x:c r="M214" s="12" t="n">
        <x:f>IF(LEN(J214)=64,0,1)</x:f>
        <x:v>0</x:v>
      </x:c>
      <x:c r="N214" s="12" t="n">
        <x:f>IF(COUNTIF('03_NICE'!$A$5:$A$57,A214)+COUNTIF('04_TKS'!$A$5:$A$72,A214)+COUNTIF('05_Complementos'!$A$5:$A$127,A214)=1,0,1)</x:f>
        <x:v>0</x:v>
      </x:c>
      <x:c r="O214" s="12" t="n">
        <x:f>COUNTIF('08_Trazas'!$A$5:$A$248,A214)-1</x:f>
        <x:v>0</x:v>
      </x:c>
      <x:c r="P214" s="12" t="n">
        <x:f>IF(COUNTIF('02_Custodia'!$A$5:$A$53,C214)=1,0,1)</x:f>
        <x:v>0</x:v>
      </x:c>
    </x:row>
    <x:row r="215" ht="47" customHeight="1">
      <x:c r="A215" s="4" t="str">
        <x:v>CP-090</x:v>
      </x:c>
      <x:c r="B215" s="4" t="str">
        <x:v>F025</x:v>
      </x:c>
      <x:c r="C215" s="4" t="str">
        <x:v>F025</x:v>
      </x:c>
      <x:c r="D215" s="4" t="str">
        <x:v>Tabla 1; PS.1.3</x:v>
      </x:c>
      <x:c r="E215" s="4" t="str">
        <x:v>Final; 26-07-2024</x:v>
      </x:c>
      <x:c r="F215" s="4" t="str">
        <x:v>página física 20</x:v>
      </x:c>
      <x:c r="G215" s="4" t="str">
        <x:v>ROTULO_EN_TEXTO_EXTRAIDO_UTF8</x:v>
      </x:c>
      <x:c r="H215" s="4" t="str">
        <x:v>41627</x:v>
      </x:c>
      <x:c r="I215" s="4" t="str">
        <x:v>6</x:v>
      </x:c>
      <x:c r="J215" s="4" t="str">
        <x:v>6ced4d3a67adfda08fb8f9785e828c7280fac4561883bd6d85c244c3b23f7b4b</x:v>
      </x:c>
      <x:c r="K215" s="4" t="str">
        <x:v>2026-09-08</x:v>
      </x:c>
      <x:c r="L215" s="4" t="str">
        <x:v>SIN_FECHA_DE_ADOPCION</x:v>
      </x:c>
      <x:c r="M215" s="12" t="n">
        <x:f>IF(LEN(J215)=64,0,1)</x:f>
        <x:v>0</x:v>
      </x:c>
      <x:c r="N215" s="12" t="n">
        <x:f>IF(COUNTIF('03_NICE'!$A$5:$A$57,A215)+COUNTIF('04_TKS'!$A$5:$A$72,A215)+COUNTIF('05_Complementos'!$A$5:$A$127,A215)=1,0,1)</x:f>
        <x:v>0</x:v>
      </x:c>
      <x:c r="O215" s="12" t="n">
        <x:f>COUNTIF('08_Trazas'!$A$5:$A$248,A215)-1</x:f>
        <x:v>0</x:v>
      </x:c>
      <x:c r="P215" s="12" t="n">
        <x:f>IF(COUNTIF('02_Custodia'!$A$5:$A$53,C215)=1,0,1)</x:f>
        <x:v>0</x:v>
      </x:c>
    </x:row>
    <x:row r="216" ht="47" customHeight="1">
      <x:c r="A216" s="4" t="str">
        <x:v>CP-091</x:v>
      </x:c>
      <x:c r="B216" s="4" t="str">
        <x:v>F026</x:v>
      </x:c>
      <x:c r="C216" s="4" t="str">
        <x:v>F026</x:v>
      </x:c>
      <x:c r="D216" s="4" t="str">
        <x:v>§2.1</x:v>
      </x:c>
      <x:c r="E216" s="4" t="str">
        <x:v>Marzo 2025; PDF corregido 01-04-2025; errata pendiente de página x identificada</x:v>
      </x:c>
      <x:c r="F216" s="4" t="str">
        <x:v>página física 4</x:v>
      </x:c>
      <x:c r="G216" s="4" t="str">
        <x:v>ROTULO_EN_TEXTO_EXTRAIDO_UTF8</x:v>
      </x:c>
      <x:c r="H216" s="4" t="str">
        <x:v>2829</x:v>
      </x:c>
      <x:c r="I216" s="4" t="str">
        <x:v>8</x:v>
      </x:c>
      <x:c r="J216" s="4" t="str">
        <x:v>e64ba38a4b958c72bc0d421150ba464636422485ed72fab7086c7691ce4008cc</x:v>
      </x:c>
      <x:c r="K216" s="4" t="str">
        <x:v>2026-09-08</x:v>
      </x:c>
      <x:c r="L216" s="4" t="str">
        <x:v>SIN_FECHA_DE_ADOPCION</x:v>
      </x:c>
      <x:c r="M216" s="12" t="n">
        <x:f>IF(LEN(J216)=64,0,1)</x:f>
        <x:v>0</x:v>
      </x:c>
      <x:c r="N216" s="12" t="n">
        <x:f>IF(COUNTIF('03_NICE'!$A$5:$A$57,A216)+COUNTIF('04_TKS'!$A$5:$A$72,A216)+COUNTIF('05_Complementos'!$A$5:$A$127,A216)=1,0,1)</x:f>
        <x:v>0</x:v>
      </x:c>
      <x:c r="O216" s="12" t="n">
        <x:f>COUNTIF('08_Trazas'!$A$5:$A$248,A216)-1</x:f>
        <x:v>0</x:v>
      </x:c>
      <x:c r="P216" s="12" t="n">
        <x:f>IF(COUNTIF('02_Custodia'!$A$5:$A$53,C216)=1,0,1)</x:f>
        <x:v>0</x:v>
      </x:c>
    </x:row>
    <x:row r="217" ht="47" customHeight="1">
      <x:c r="A217" s="4" t="str">
        <x:v>CP-092</x:v>
      </x:c>
      <x:c r="B217" s="4" t="str">
        <x:v>F026</x:v>
      </x:c>
      <x:c r="C217" s="4" t="str">
        <x:v>F026</x:v>
      </x:c>
      <x:c r="D217" s="4" t="str">
        <x:v>§2.2</x:v>
      </x:c>
      <x:c r="E217" s="4" t="str">
        <x:v>Marzo 2025; PDF corregido 01-04-2025; errata pendiente de página x identificada</x:v>
      </x:c>
      <x:c r="F217" s="4" t="str">
        <x:v>página física 4</x:v>
      </x:c>
      <x:c r="G217" s="4" t="str">
        <x:v>ROTULO_EN_TEXTO_EXTRAIDO_UTF8</x:v>
      </x:c>
      <x:c r="H217" s="4" t="str">
        <x:v>3571</x:v>
      </x:c>
      <x:c r="I217" s="4" t="str">
        <x:v>7</x:v>
      </x:c>
      <x:c r="J217" s="4" t="str">
        <x:v>aae36d07312f912f02b69e83016721922d43680bacb48bc21046f9eaf8686197</x:v>
      </x:c>
      <x:c r="K217" s="4" t="str">
        <x:v>2026-09-08</x:v>
      </x:c>
      <x:c r="L217" s="4" t="str">
        <x:v>SIN_FECHA_DE_ADOPCION</x:v>
      </x:c>
      <x:c r="M217" s="12" t="n">
        <x:f>IF(LEN(J217)=64,0,1)</x:f>
        <x:v>0</x:v>
      </x:c>
      <x:c r="N217" s="12" t="n">
        <x:f>IF(COUNTIF('03_NICE'!$A$5:$A$57,A217)+COUNTIF('04_TKS'!$A$5:$A$72,A217)+COUNTIF('05_Complementos'!$A$5:$A$127,A217)=1,0,1)</x:f>
        <x:v>0</x:v>
      </x:c>
      <x:c r="O217" s="12" t="n">
        <x:f>COUNTIF('08_Trazas'!$A$5:$A$248,A217)-1</x:f>
        <x:v>0</x:v>
      </x:c>
      <x:c r="P217" s="12" t="n">
        <x:f>IF(COUNTIF('02_Custodia'!$A$5:$A$53,C217)=1,0,1)</x:f>
        <x:v>0</x:v>
      </x:c>
    </x:row>
    <x:row r="218" ht="47" customHeight="1">
      <x:c r="A218" s="4" t="str">
        <x:v>CP-093</x:v>
      </x:c>
      <x:c r="B218" s="4" t="str">
        <x:v>F026</x:v>
      </x:c>
      <x:c r="C218" s="4" t="str">
        <x:v>F026</x:v>
      </x:c>
      <x:c r="D218" s="4" t="str">
        <x:v>§2.3</x:v>
      </x:c>
      <x:c r="E218" s="4" t="str">
        <x:v>Marzo 2025; PDF corregido 01-04-2025; errata pendiente de página x identificada</x:v>
      </x:c>
      <x:c r="F218" s="4" t="str">
        <x:v>página física 4</x:v>
      </x:c>
      <x:c r="G218" s="4" t="str">
        <x:v>ROTULO_EN_TEXTO_EXTRAIDO_UTF8</x:v>
      </x:c>
      <x:c r="H218" s="4" t="str">
        <x:v>3560</x:v>
      </x:c>
      <x:c r="I218" s="4" t="str">
        <x:v>9</x:v>
      </x:c>
      <x:c r="J218" s="4" t="str">
        <x:v>bd624895401c0adca7b738fa02304d22a67f502bf25383ae67a82d460153f0ee</x:v>
      </x:c>
      <x:c r="K218" s="4" t="str">
        <x:v>2026-09-08</x:v>
      </x:c>
      <x:c r="L218" s="4" t="str">
        <x:v>SIN_FECHA_DE_ADOPCION</x:v>
      </x:c>
      <x:c r="M218" s="12" t="n">
        <x:f>IF(LEN(J218)=64,0,1)</x:f>
        <x:v>0</x:v>
      </x:c>
      <x:c r="N218" s="12" t="n">
        <x:f>IF(COUNTIF('03_NICE'!$A$5:$A$57,A218)+COUNTIF('04_TKS'!$A$5:$A$72,A218)+COUNTIF('05_Complementos'!$A$5:$A$127,A218)=1,0,1)</x:f>
        <x:v>0</x:v>
      </x:c>
      <x:c r="O218" s="12" t="n">
        <x:f>COUNTIF('08_Trazas'!$A$5:$A$248,A218)-1</x:f>
        <x:v>0</x:v>
      </x:c>
      <x:c r="P218" s="12" t="n">
        <x:f>IF(COUNTIF('02_Custodia'!$A$5:$A$53,C218)=1,0,1)</x:f>
        <x:v>0</x:v>
      </x:c>
    </x:row>
    <x:row r="219" ht="47" customHeight="1">
      <x:c r="A219" s="4" t="str">
        <x:v>CP-094</x:v>
      </x:c>
      <x:c r="B219" s="4" t="str">
        <x:v>F026</x:v>
      </x:c>
      <x:c r="C219" s="4" t="str">
        <x:v>F026</x:v>
      </x:c>
      <x:c r="D219" s="4" t="str">
        <x:v>§2.4</x:v>
      </x:c>
      <x:c r="E219" s="4" t="str">
        <x:v>Marzo 2025; PDF corregido 01-04-2025; errata pendiente de página x identificada</x:v>
      </x:c>
      <x:c r="F219" s="4" t="str">
        <x:v>página física 4</x:v>
      </x:c>
      <x:c r="G219" s="4" t="str">
        <x:v>ROTULO_EN_TEXTO_EXTRAIDO_UTF8</x:v>
      </x:c>
      <x:c r="H219" s="4" t="str">
        <x:v>3580</x:v>
      </x:c>
      <x:c r="I219" s="4" t="str">
        <x:v>7</x:v>
      </x:c>
      <x:c r="J219" s="4" t="str">
        <x:v>a4cc6bc01a927e2a78fd3bec51e865ac0d85e4daab6f988d5d33d056e125b1c3</x:v>
      </x:c>
      <x:c r="K219" s="4" t="str">
        <x:v>2026-09-08</x:v>
      </x:c>
      <x:c r="L219" s="4" t="str">
        <x:v>SIN_FECHA_DE_ADOPCION</x:v>
      </x:c>
      <x:c r="M219" s="12" t="n">
        <x:f>IF(LEN(J219)=64,0,1)</x:f>
        <x:v>0</x:v>
      </x:c>
      <x:c r="N219" s="12" t="n">
        <x:f>IF(COUNTIF('03_NICE'!$A$5:$A$57,A219)+COUNTIF('04_TKS'!$A$5:$A$72,A219)+COUNTIF('05_Complementos'!$A$5:$A$127,A219)=1,0,1)</x:f>
        <x:v>0</x:v>
      </x:c>
      <x:c r="O219" s="12" t="n">
        <x:f>COUNTIF('08_Trazas'!$A$5:$A$248,A219)-1</x:f>
        <x:v>0</x:v>
      </x:c>
      <x:c r="P219" s="12" t="n">
        <x:f>IF(COUNTIF('02_Custodia'!$A$5:$A$53,C219)=1,0,1)</x:f>
        <x:v>0</x:v>
      </x:c>
    </x:row>
    <x:row r="220" ht="47" customHeight="1">
      <x:c r="A220" s="4" t="str">
        <x:v>CP-095</x:v>
      </x:c>
      <x:c r="B220" s="4" t="str">
        <x:v>F026</x:v>
      </x:c>
      <x:c r="C220" s="4" t="str">
        <x:v>F026</x:v>
      </x:c>
      <x:c r="D220" s="4" t="str">
        <x:v>§3</x:v>
      </x:c>
      <x:c r="E220" s="4" t="str">
        <x:v>Marzo 2025; PDF corregido 01-04-2025; errata pendiente de página x identificada</x:v>
      </x:c>
      <x:c r="F220" s="4" t="str">
        <x:v>página física 5</x:v>
      </x:c>
      <x:c r="G220" s="4" t="str">
        <x:v>ROTULO_EN_TEXTO_EXTRAIDO_UTF8</x:v>
      </x:c>
      <x:c r="H220" s="4" t="str">
        <x:v>4799</x:v>
      </x:c>
      <x:c r="I220" s="4" t="str">
        <x:v>13</x:v>
      </x:c>
      <x:c r="J220" s="4" t="str">
        <x:v>c95abd40e0f3ef3a5b859f4be7a7b112dab4d8f53fbf08f6636359b63ecfc677</x:v>
      </x:c>
      <x:c r="K220" s="4" t="str">
        <x:v>2026-09-08</x:v>
      </x:c>
      <x:c r="L220" s="4" t="str">
        <x:v>SIN_FECHA_DE_ADOPCION</x:v>
      </x:c>
      <x:c r="M220" s="12" t="n">
        <x:f>IF(LEN(J220)=64,0,1)</x:f>
        <x:v>0</x:v>
      </x:c>
      <x:c r="N220" s="12" t="n">
        <x:f>IF(COUNTIF('03_NICE'!$A$5:$A$57,A220)+COUNTIF('04_TKS'!$A$5:$A$72,A220)+COUNTIF('05_Complementos'!$A$5:$A$127,A220)=1,0,1)</x:f>
        <x:v>0</x:v>
      </x:c>
      <x:c r="O220" s="12" t="n">
        <x:f>COUNTIF('08_Trazas'!$A$5:$A$248,A220)-1</x:f>
        <x:v>0</x:v>
      </x:c>
      <x:c r="P220" s="12" t="n">
        <x:f>IF(COUNTIF('02_Custodia'!$A$5:$A$53,C220)=1,0,1)</x:f>
        <x:v>0</x:v>
      </x:c>
    </x:row>
    <x:row r="221" ht="47" customHeight="1">
      <x:c r="A221" s="4" t="str">
        <x:v>CP-096</x:v>
      </x:c>
      <x:c r="B221" s="4" t="str">
        <x:v>F027</x:v>
      </x:c>
      <x:c r="C221" s="4" t="str">
        <x:v>F027</x:v>
      </x:c>
      <x:c r="D221" s="4" t="str">
        <x:v>Sección 0; Overview</x:v>
      </x:c>
      <x:c r="E221" s="4" t="str">
        <x:v>Instantánea 08-09-2026; sección 0</x:v>
      </x:c>
      <x:c r="F221" s="4" t="str">
        <x:v>texto extraído; posición UTF-8</x:v>
      </x:c>
      <x:c r="G221" s="4" t="str">
        <x:v>ROTULO_EN_TEXTO_EXTRAIDO_UTF8</x:v>
      </x:c>
      <x:c r="H221" s="4" t="str">
        <x:v>11936</x:v>
      </x:c>
      <x:c r="I221" s="4" t="str">
        <x:v>15</x:v>
      </x:c>
      <x:c r="J221" s="4" t="str">
        <x:v>6051eda4f99ba1a387b7934e6f2dd9bd35d77fd4c04735e7dde52b7e606ebe55</x:v>
      </x:c>
      <x:c r="K221" s="4" t="str">
        <x:v>2026-09-08</x:v>
      </x:c>
      <x:c r="L221" s="4" t="str">
        <x:v>SIN_FECHA_DE_ADOPCION</x:v>
      </x:c>
      <x:c r="M221" s="12" t="n">
        <x:f>IF(LEN(J221)=64,0,1)</x:f>
        <x:v>0</x:v>
      </x:c>
      <x:c r="N221" s="12" t="n">
        <x:f>IF(COUNTIF('03_NICE'!$A$5:$A$57,A221)+COUNTIF('04_TKS'!$A$5:$A$72,A221)+COUNTIF('05_Complementos'!$A$5:$A$127,A221)=1,0,1)</x:f>
        <x:v>0</x:v>
      </x:c>
      <x:c r="O221" s="12" t="n">
        <x:f>COUNTIF('08_Trazas'!$A$5:$A$248,A221)-1</x:f>
        <x:v>0</x:v>
      </x:c>
      <x:c r="P221" s="12" t="n">
        <x:f>IF(COUNTIF('02_Custodia'!$A$5:$A$53,C221)=1,0,1)</x:f>
        <x:v>0</x:v>
      </x:c>
    </x:row>
    <x:row r="222" ht="47" customHeight="1">
      <x:c r="A222" s="4" t="str">
        <x:v>CP-097</x:v>
      </x:c>
      <x:c r="B222" s="4" t="str">
        <x:v>F028</x:v>
      </x:c>
      <x:c r="C222" s="4" t="str">
        <x:v>F028</x:v>
      </x:c>
      <x:c r="D222" s="4" t="str">
        <x:v>§2; áreas de enfoque</x:v>
      </x:c>
      <x:c r="E222" s="4" t="str">
        <x:v>Initial Preliminary Draft; 16-12-2025</x:v>
      </x:c>
      <x:c r="F222" s="4" t="str">
        <x:v>página física 7</x:v>
      </x:c>
      <x:c r="G222" s="4" t="str">
        <x:v>ROTULO_EN_TEXTO_EXTRAIDO_UTF8</x:v>
      </x:c>
      <x:c r="H222" s="4" t="str">
        <x:v>12319</x:v>
      </x:c>
      <x:c r="I222" s="4" t="str">
        <x:v>29</x:v>
      </x:c>
      <x:c r="J222" s="4" t="str">
        <x:v>4ea702881e9cd2109aeae41ad3eec61c147bf9464eaa7783d4c971e2e9373f8c</x:v>
      </x:c>
      <x:c r="K222" s="4" t="str">
        <x:v>2026-09-08</x:v>
      </x:c>
      <x:c r="L222" s="4" t="str">
        <x:v>SIN_FECHA_DE_ADOPCION</x:v>
      </x:c>
      <x:c r="M222" s="12" t="n">
        <x:f>IF(LEN(J222)=64,0,1)</x:f>
        <x:v>0</x:v>
      </x:c>
      <x:c r="N222" s="12" t="n">
        <x:f>IF(COUNTIF('03_NICE'!$A$5:$A$57,A222)+COUNTIF('04_TKS'!$A$5:$A$72,A222)+COUNTIF('05_Complementos'!$A$5:$A$127,A222)=1,0,1)</x:f>
        <x:v>0</x:v>
      </x:c>
      <x:c r="O222" s="12" t="n">
        <x:f>COUNTIF('08_Trazas'!$A$5:$A$248,A222)-1</x:f>
        <x:v>0</x:v>
      </x:c>
      <x:c r="P222" s="12" t="n">
        <x:f>IF(COUNTIF('02_Custodia'!$A$5:$A$53,C222)=1,0,1)</x:f>
        <x:v>0</x:v>
      </x:c>
    </x:row>
    <x:row r="223" ht="47" customHeight="1">
      <x:c r="A223" s="4" t="str">
        <x:v>CP-098</x:v>
      </x:c>
      <x:c r="B223" s="4" t="str">
        <x:v>F028</x:v>
      </x:c>
      <x:c r="C223" s="4" t="str">
        <x:v>F028</x:v>
      </x:c>
      <x:c r="D223" s="4" t="str">
        <x:v>§2; áreas de enfoque</x:v>
      </x:c>
      <x:c r="E223" s="4" t="str">
        <x:v>Initial Preliminary Draft; 16-12-2025</x:v>
      </x:c>
      <x:c r="F223" s="4" t="str">
        <x:v>página física 7</x:v>
      </x:c>
      <x:c r="G223" s="4" t="str">
        <x:v>ROTULO_EN_TEXTO_EXTRAIDO_UTF8</x:v>
      </x:c>
      <x:c r="H223" s="4" t="str">
        <x:v>12456</x:v>
      </x:c>
      <x:c r="I223" s="4" t="str">
        <x:v>35</x:v>
      </x:c>
      <x:c r="J223" s="4" t="str">
        <x:v>00e57fac0e8aff5ae29fc8ddec46130148c4b17e06bc8eac6e905cdb617b3e9a</x:v>
      </x:c>
      <x:c r="K223" s="4" t="str">
        <x:v>2026-09-08</x:v>
      </x:c>
      <x:c r="L223" s="4" t="str">
        <x:v>SIN_FECHA_DE_ADOPCION</x:v>
      </x:c>
      <x:c r="M223" s="12" t="n">
        <x:f>IF(LEN(J223)=64,0,1)</x:f>
        <x:v>0</x:v>
      </x:c>
      <x:c r="N223" s="12" t="n">
        <x:f>IF(COUNTIF('03_NICE'!$A$5:$A$57,A223)+COUNTIF('04_TKS'!$A$5:$A$72,A223)+COUNTIF('05_Complementos'!$A$5:$A$127,A223)=1,0,1)</x:f>
        <x:v>0</x:v>
      </x:c>
      <x:c r="O223" s="12" t="n">
        <x:f>COUNTIF('08_Trazas'!$A$5:$A$248,A223)-1</x:f>
        <x:v>0</x:v>
      </x:c>
      <x:c r="P223" s="12" t="n">
        <x:f>IF(COUNTIF('02_Custodia'!$A$5:$A$53,C223)=1,0,1)</x:f>
        <x:v>0</x:v>
      </x:c>
    </x:row>
    <x:row r="224" ht="47" customHeight="1">
      <x:c r="A224" s="4" t="str">
        <x:v>CP-099</x:v>
      </x:c>
      <x:c r="B224" s="4" t="str">
        <x:v>F028</x:v>
      </x:c>
      <x:c r="C224" s="4" t="str">
        <x:v>F028</x:v>
      </x:c>
      <x:c r="D224" s="4" t="str">
        <x:v>§2; áreas de enfoque</x:v>
      </x:c>
      <x:c r="E224" s="4" t="str">
        <x:v>Initial Preliminary Draft; 16-12-2025</x:v>
      </x:c>
      <x:c r="F224" s="4" t="str">
        <x:v>página física 7</x:v>
      </x:c>
      <x:c r="G224" s="4" t="str">
        <x:v>ROTULO_EN_TEXTO_EXTRAIDO_UTF8</x:v>
      </x:c>
      <x:c r="H224" s="4" t="str">
        <x:v>12588</x:v>
      </x:c>
      <x:c r="I224" s="4" t="str">
        <x:v>34</x:v>
      </x:c>
      <x:c r="J224" s="4" t="str">
        <x:v>f63ec9f253bdbd3dd879d65e1d365c2dfded866df260aece04d34975e50a804f</x:v>
      </x:c>
      <x:c r="K224" s="4" t="str">
        <x:v>2026-09-08</x:v>
      </x:c>
      <x:c r="L224" s="4" t="str">
        <x:v>SIN_FECHA_DE_ADOPCION</x:v>
      </x:c>
      <x:c r="M224" s="12" t="n">
        <x:f>IF(LEN(J224)=64,0,1)</x:f>
        <x:v>0</x:v>
      </x:c>
      <x:c r="N224" s="12" t="n">
        <x:f>IF(COUNTIF('03_NICE'!$A$5:$A$57,A224)+COUNTIF('04_TKS'!$A$5:$A$72,A224)+COUNTIF('05_Complementos'!$A$5:$A$127,A224)=1,0,1)</x:f>
        <x:v>0</x:v>
      </x:c>
      <x:c r="O224" s="12" t="n">
        <x:f>COUNTIF('08_Trazas'!$A$5:$A$248,A224)-1</x:f>
        <x:v>0</x:v>
      </x:c>
      <x:c r="P224" s="12" t="n">
        <x:f>IF(COUNTIF('02_Custodia'!$A$5:$A$53,C224)=1,0,1)</x:f>
        <x:v>0</x:v>
      </x:c>
    </x:row>
    <x:row r="225" ht="47" customHeight="1">
      <x:c r="A225" s="4" t="str">
        <x:v>CP-100</x:v>
      </x:c>
      <x:c r="B225" s="4" t="str">
        <x:v>F029</x:v>
      </x:c>
      <x:c r="C225" s="4" t="str">
        <x:v>A013</x:v>
      </x:c>
      <x:c r="D225" s="4" t="str">
        <x:v>LLM01:2026</x:v>
      </x:c>
      <x:c r="E225" s="4" t="str">
        <x:v>Edición 2026; PDF publicado en agosto; repositorio 9253e38ade58e959b531c0c5c9a4842272c9cd0e</x:v>
      </x:c>
      <x:c r="F225" s="4" t="str">
        <x:v>página física 3</x:v>
      </x:c>
      <x:c r="G225" s="4" t="str">
        <x:v>ROTULO_EN_TEXTO_EXTRAIDO_UTF8</x:v>
      </x:c>
      <x:c r="H225" s="4" t="str">
        <x:v>1921</x:v>
      </x:c>
      <x:c r="I225" s="4" t="str">
        <x:v>16</x:v>
      </x:c>
      <x:c r="J225" s="4" t="str">
        <x:v>c2b4a05edf4bc78fbbf2a68f1ebe024223d54aa1a140f8d6581342298b092f1f</x:v>
      </x:c>
      <x:c r="K225" s="4" t="str">
        <x:v>2026-09-08</x:v>
      </x:c>
      <x:c r="L225" s="4" t="str">
        <x:v>SIN_FECHA_DE_ADOPCION</x:v>
      </x:c>
      <x:c r="M225" s="12" t="n">
        <x:f>IF(LEN(J225)=64,0,1)</x:f>
        <x:v>0</x:v>
      </x:c>
      <x:c r="N225" s="12" t="n">
        <x:f>IF(COUNTIF('03_NICE'!$A$5:$A$57,A225)+COUNTIF('04_TKS'!$A$5:$A$72,A225)+COUNTIF('05_Complementos'!$A$5:$A$127,A225)=1,0,1)</x:f>
        <x:v>0</x:v>
      </x:c>
      <x:c r="O225" s="12" t="n">
        <x:f>COUNTIF('08_Trazas'!$A$5:$A$248,A225)-1</x:f>
        <x:v>0</x:v>
      </x:c>
      <x:c r="P225" s="12" t="n">
        <x:f>IF(COUNTIF('02_Custodia'!$A$5:$A$53,C225)=1,0,1)</x:f>
        <x:v>0</x:v>
      </x:c>
    </x:row>
    <x:row r="226" ht="47" customHeight="1">
      <x:c r="A226" s="4" t="str">
        <x:v>CP-101</x:v>
      </x:c>
      <x:c r="B226" s="4" t="str">
        <x:v>F029</x:v>
      </x:c>
      <x:c r="C226" s="4" t="str">
        <x:v>A013</x:v>
      </x:c>
      <x:c r="D226" s="4" t="str">
        <x:v>LLM02:2026</x:v>
      </x:c>
      <x:c r="E226" s="4" t="str">
        <x:v>Edición 2026; PDF publicado en agosto; repositorio 9253e38ade58e959b531c0c5c9a4842272c9cd0e</x:v>
      </x:c>
      <x:c r="F226" s="4" t="str">
        <x:v>página física 3</x:v>
      </x:c>
      <x:c r="G226" s="4" t="str">
        <x:v>ROTULO_EN_TEXTO_EXTRAIDO_UTF8</x:v>
      </x:c>
      <x:c r="H226" s="4" t="str">
        <x:v>1953</x:v>
      </x:c>
      <x:c r="I226" s="4" t="str">
        <x:v>32</x:v>
      </x:c>
      <x:c r="J226" s="4" t="str">
        <x:v>ba4fec681b4895ca7b23c7872adfe34fb3856a2e513f54336f24cf278dcd85a0</x:v>
      </x:c>
      <x:c r="K226" s="4" t="str">
        <x:v>2026-09-08</x:v>
      </x:c>
      <x:c r="L226" s="4" t="str">
        <x:v>SIN_FECHA_DE_ADOPCION</x:v>
      </x:c>
      <x:c r="M226" s="12" t="n">
        <x:f>IF(LEN(J226)=64,0,1)</x:f>
        <x:v>0</x:v>
      </x:c>
      <x:c r="N226" s="12" t="n">
        <x:f>IF(COUNTIF('03_NICE'!$A$5:$A$57,A226)+COUNTIF('04_TKS'!$A$5:$A$72,A226)+COUNTIF('05_Complementos'!$A$5:$A$127,A226)=1,0,1)</x:f>
        <x:v>0</x:v>
      </x:c>
      <x:c r="O226" s="12" t="n">
        <x:f>COUNTIF('08_Trazas'!$A$5:$A$248,A226)-1</x:f>
        <x:v>0</x:v>
      </x:c>
      <x:c r="P226" s="12" t="n">
        <x:f>IF(COUNTIF('02_Custodia'!$A$5:$A$53,C226)=1,0,1)</x:f>
        <x:v>0</x:v>
      </x:c>
    </x:row>
    <x:row r="227" ht="47" customHeight="1">
      <x:c r="A227" s="4" t="str">
        <x:v>CP-102</x:v>
      </x:c>
      <x:c r="B227" s="4" t="str">
        <x:v>F029</x:v>
      </x:c>
      <x:c r="C227" s="4" t="str">
        <x:v>A013</x:v>
      </x:c>
      <x:c r="D227" s="4" t="str">
        <x:v>LLM03:2026</x:v>
      </x:c>
      <x:c r="E227" s="4" t="str">
        <x:v>Edición 2026; PDF publicado en agosto; repositorio 9253e38ade58e959b531c0c5c9a4842272c9cd0e</x:v>
      </x:c>
      <x:c r="F227" s="4" t="str">
        <x:v>página física 3</x:v>
      </x:c>
      <x:c r="G227" s="4" t="str">
        <x:v>ROTULO_EN_TEXTO_EXTRAIDO_UTF8</x:v>
      </x:c>
      <x:c r="H227" s="4" t="str">
        <x:v>2001</x:v>
      </x:c>
      <x:c r="I227" s="4" t="str">
        <x:v>16</x:v>
      </x:c>
      <x:c r="J227" s="4" t="str">
        <x:v>b9926fda130b27068c8ecb6db06628c047b83a27062ee26a2bf6d76aa19ed565</x:v>
      </x:c>
      <x:c r="K227" s="4" t="str">
        <x:v>2026-09-08</x:v>
      </x:c>
      <x:c r="L227" s="4" t="str">
        <x:v>SIN_FECHA_DE_ADOPCION</x:v>
      </x:c>
      <x:c r="M227" s="12" t="n">
        <x:f>IF(LEN(J227)=64,0,1)</x:f>
        <x:v>0</x:v>
      </x:c>
      <x:c r="N227" s="12" t="n">
        <x:f>IF(COUNTIF('03_NICE'!$A$5:$A$57,A227)+COUNTIF('04_TKS'!$A$5:$A$72,A227)+COUNTIF('05_Complementos'!$A$5:$A$127,A227)=1,0,1)</x:f>
        <x:v>0</x:v>
      </x:c>
      <x:c r="O227" s="12" t="n">
        <x:f>COUNTIF('08_Trazas'!$A$5:$A$248,A227)-1</x:f>
        <x:v>0</x:v>
      </x:c>
      <x:c r="P227" s="12" t="n">
        <x:f>IF(COUNTIF('02_Custodia'!$A$5:$A$53,C227)=1,0,1)</x:f>
        <x:v>0</x:v>
      </x:c>
    </x:row>
    <x:row r="228" ht="47" customHeight="1">
      <x:c r="A228" s="4" t="str">
        <x:v>CP-103</x:v>
      </x:c>
      <x:c r="B228" s="4" t="str">
        <x:v>F029</x:v>
      </x:c>
      <x:c r="C228" s="4" t="str">
        <x:v>A013</x:v>
      </x:c>
      <x:c r="D228" s="4" t="str">
        <x:v>LLM04:2026</x:v>
      </x:c>
      <x:c r="E228" s="4" t="str">
        <x:v>Edición 2026; PDF publicado en agosto; repositorio 9253e38ade58e959b531c0c5c9a4842272c9cd0e</x:v>
      </x:c>
      <x:c r="F228" s="4" t="str">
        <x:v>página física 3</x:v>
      </x:c>
      <x:c r="G228" s="4" t="str">
        <x:v>ROTULO_EN_TEXTO_EXTRAIDO_UTF8</x:v>
      </x:c>
      <x:c r="H228" s="4" t="str">
        <x:v>2033</x:v>
      </x:c>
      <x:c r="I228" s="4" t="str">
        <x:v>12</x:v>
      </x:c>
      <x:c r="J228" s="4" t="str">
        <x:v>d6c88a7829f8c891235ebc0b62759422dfc35391c8c7aa3644aabdd83c2defdf</x:v>
      </x:c>
      <x:c r="K228" s="4" t="str">
        <x:v>2026-09-08</x:v>
      </x:c>
      <x:c r="L228" s="4" t="str">
        <x:v>SIN_FECHA_DE_ADOPCION</x:v>
      </x:c>
      <x:c r="M228" s="12" t="n">
        <x:f>IF(LEN(J228)=64,0,1)</x:f>
        <x:v>0</x:v>
      </x:c>
      <x:c r="N228" s="12" t="n">
        <x:f>IF(COUNTIF('03_NICE'!$A$5:$A$57,A228)+COUNTIF('04_TKS'!$A$5:$A$72,A228)+COUNTIF('05_Complementos'!$A$5:$A$127,A228)=1,0,1)</x:f>
        <x:v>0</x:v>
      </x:c>
      <x:c r="O228" s="12" t="n">
        <x:f>COUNTIF('08_Trazas'!$A$5:$A$248,A228)-1</x:f>
        <x:v>0</x:v>
      </x:c>
      <x:c r="P228" s="12" t="n">
        <x:f>IF(COUNTIF('02_Custodia'!$A$5:$A$53,C228)=1,0,1)</x:f>
        <x:v>0</x:v>
      </x:c>
    </x:row>
    <x:row r="229" ht="47" customHeight="1">
      <x:c r="A229" s="4" t="str">
        <x:v>CP-104</x:v>
      </x:c>
      <x:c r="B229" s="4" t="str">
        <x:v>F029</x:v>
      </x:c>
      <x:c r="C229" s="4" t="str">
        <x:v>A013</x:v>
      </x:c>
      <x:c r="D229" s="4" t="str">
        <x:v>LLM05:2026</x:v>
      </x:c>
      <x:c r="E229" s="4" t="str">
        <x:v>Edición 2026; PDF publicado en agosto; repositorio 9253e38ade58e959b531c0c5c9a4842272c9cd0e</x:v>
      </x:c>
      <x:c r="F229" s="4" t="str">
        <x:v>página física 3</x:v>
      </x:c>
      <x:c r="G229" s="4" t="str">
        <x:v>ROTULO_EN_TEXTO_EXTRAIDO_UTF8</x:v>
      </x:c>
      <x:c r="H229" s="4" t="str">
        <x:v>2061</x:v>
      </x:c>
      <x:c r="I229" s="4" t="str">
        <x:v>24</x:v>
      </x:c>
      <x:c r="J229" s="4" t="str">
        <x:v>2611cdd28621d2066bec3b2c79b72ccc769c38cf173bbd70e505f831e02fccc1</x:v>
      </x:c>
      <x:c r="K229" s="4" t="str">
        <x:v>2026-09-08</x:v>
      </x:c>
      <x:c r="L229" s="4" t="str">
        <x:v>SIN_FECHA_DE_ADOPCION</x:v>
      </x:c>
      <x:c r="M229" s="12" t="n">
        <x:f>IF(LEN(J229)=64,0,1)</x:f>
        <x:v>0</x:v>
      </x:c>
      <x:c r="N229" s="12" t="n">
        <x:f>IF(COUNTIF('03_NICE'!$A$5:$A$57,A229)+COUNTIF('04_TKS'!$A$5:$A$72,A229)+COUNTIF('05_Complementos'!$A$5:$A$127,A229)=1,0,1)</x:f>
        <x:v>0</x:v>
      </x:c>
      <x:c r="O229" s="12" t="n">
        <x:f>COUNTIF('08_Trazas'!$A$5:$A$248,A229)-1</x:f>
        <x:v>0</x:v>
      </x:c>
      <x:c r="P229" s="12" t="n">
        <x:f>IF(COUNTIF('02_Custodia'!$A$5:$A$53,C229)=1,0,1)</x:f>
        <x:v>0</x:v>
      </x:c>
    </x:row>
    <x:row r="230" ht="47" customHeight="1">
      <x:c r="A230" s="4" t="str">
        <x:v>CP-105</x:v>
      </x:c>
      <x:c r="B230" s="4" t="str">
        <x:v>F029</x:v>
      </x:c>
      <x:c r="C230" s="4" t="str">
        <x:v>A013</x:v>
      </x:c>
      <x:c r="D230" s="4" t="str">
        <x:v>LLM06:2026</x:v>
      </x:c>
      <x:c r="E230" s="4" t="str">
        <x:v>Edición 2026; PDF publicado en agosto; repositorio 9253e38ade58e959b531c0c5c9a4842272c9cd0e</x:v>
      </x:c>
      <x:c r="F230" s="4" t="str">
        <x:v>página física 3</x:v>
      </x:c>
      <x:c r="G230" s="4" t="str">
        <x:v>ROTULO_EN_TEXTO_EXTRAIDO_UTF8</x:v>
      </x:c>
      <x:c r="H230" s="4" t="str">
        <x:v>2101</x:v>
      </x:c>
      <x:c r="I230" s="4" t="str">
        <x:v>21</x:v>
      </x:c>
      <x:c r="J230" s="4" t="str">
        <x:v>588489412decc7461678fcd3d1eb8e8a4cb5b51d77d17259f6c7000506f848f7</x:v>
      </x:c>
      <x:c r="K230" s="4" t="str">
        <x:v>2026-09-08</x:v>
      </x:c>
      <x:c r="L230" s="4" t="str">
        <x:v>SIN_FECHA_DE_ADOPCION</x:v>
      </x:c>
      <x:c r="M230" s="12" t="n">
        <x:f>IF(LEN(J230)=64,0,1)</x:f>
        <x:v>0</x:v>
      </x:c>
      <x:c r="N230" s="12" t="n">
        <x:f>IF(COUNTIF('03_NICE'!$A$5:$A$57,A230)+COUNTIF('04_TKS'!$A$5:$A$72,A230)+COUNTIF('05_Complementos'!$A$5:$A$127,A230)=1,0,1)</x:f>
        <x:v>0</x:v>
      </x:c>
      <x:c r="O230" s="12" t="n">
        <x:f>COUNTIF('08_Trazas'!$A$5:$A$248,A230)-1</x:f>
        <x:v>0</x:v>
      </x:c>
      <x:c r="P230" s="12" t="n">
        <x:f>IF(COUNTIF('02_Custodia'!$A$5:$A$53,C230)=1,0,1)</x:f>
        <x:v>0</x:v>
      </x:c>
    </x:row>
    <x:row r="231" ht="47" customHeight="1">
      <x:c r="A231" s="4" t="str">
        <x:v>CP-106</x:v>
      </x:c>
      <x:c r="B231" s="4" t="str">
        <x:v>F029</x:v>
      </x:c>
      <x:c r="C231" s="4" t="str">
        <x:v>A013</x:v>
      </x:c>
      <x:c r="D231" s="4" t="str">
        <x:v>LLM07:2026</x:v>
      </x:c>
      <x:c r="E231" s="4" t="str">
        <x:v>Edición 2026; PDF publicado en agosto; repositorio 9253e38ade58e959b531c0c5c9a4842272c9cd0e</x:v>
      </x:c>
      <x:c r="F231" s="4" t="str">
        <x:v>página física 3</x:v>
      </x:c>
      <x:c r="G231" s="4" t="str">
        <x:v>ROTULO_EN_TEXTO_EXTRAIDO_UTF8</x:v>
      </x:c>
      <x:c r="H231" s="4" t="str">
        <x:v>2138</x:v>
      </x:c>
      <x:c r="I231" s="4" t="str">
        <x:v>14</x:v>
      </x:c>
      <x:c r="J231" s="4" t="str">
        <x:v>34d52e35bd31217c5e4997ef3b5f0112b6dfa2acb5fa4b3863b5a904327d7f8c</x:v>
      </x:c>
      <x:c r="K231" s="4" t="str">
        <x:v>2026-09-08</x:v>
      </x:c>
      <x:c r="L231" s="4" t="str">
        <x:v>SIN_FECHA_DE_ADOPCION</x:v>
      </x:c>
      <x:c r="M231" s="12" t="n">
        <x:f>IF(LEN(J231)=64,0,1)</x:f>
        <x:v>0</x:v>
      </x:c>
      <x:c r="N231" s="12" t="n">
        <x:f>IF(COUNTIF('03_NICE'!$A$5:$A$57,A231)+COUNTIF('04_TKS'!$A$5:$A$72,A231)+COUNTIF('05_Complementos'!$A$5:$A$127,A231)=1,0,1)</x:f>
        <x:v>0</x:v>
      </x:c>
      <x:c r="O231" s="12" t="n">
        <x:f>COUNTIF('08_Trazas'!$A$5:$A$248,A231)-1</x:f>
        <x:v>0</x:v>
      </x:c>
      <x:c r="P231" s="12" t="n">
        <x:f>IF(COUNTIF('02_Custodia'!$A$5:$A$53,C231)=1,0,1)</x:f>
        <x:v>0</x:v>
      </x:c>
    </x:row>
    <x:row r="232" ht="47" customHeight="1">
      <x:c r="A232" s="4" t="str">
        <x:v>CP-107</x:v>
      </x:c>
      <x:c r="B232" s="4" t="str">
        <x:v>F029</x:v>
      </x:c>
      <x:c r="C232" s="4" t="str">
        <x:v>A013</x:v>
      </x:c>
      <x:c r="D232" s="4" t="str">
        <x:v>LLM08:2026</x:v>
      </x:c>
      <x:c r="E232" s="4" t="str">
        <x:v>Edición 2026; PDF publicado en agosto; repositorio 9253e38ade58e959b531c0c5c9a4842272c9cd0e</x:v>
      </x:c>
      <x:c r="F232" s="4" t="str">
        <x:v>página física 3</x:v>
      </x:c>
      <x:c r="G232" s="4" t="str">
        <x:v>ROTULO_EN_TEXTO_EXTRAIDO_UTF8</x:v>
      </x:c>
      <x:c r="H232" s="4" t="str">
        <x:v>2168</x:v>
      </x:c>
      <x:c r="I232" s="4" t="str">
        <x:v>23</x:v>
      </x:c>
      <x:c r="J232" s="4" t="str">
        <x:v>bb3bb40843930852f2554a86ce0a7cf5fc1ceac6c078947f73bf3eb760cd11f0</x:v>
      </x:c>
      <x:c r="K232" s="4" t="str">
        <x:v>2026-09-08</x:v>
      </x:c>
      <x:c r="L232" s="4" t="str">
        <x:v>SIN_FECHA_DE_ADOPCION</x:v>
      </x:c>
      <x:c r="M232" s="12" t="n">
        <x:f>IF(LEN(J232)=64,0,1)</x:f>
        <x:v>0</x:v>
      </x:c>
      <x:c r="N232" s="12" t="n">
        <x:f>IF(COUNTIF('03_NICE'!$A$5:$A$57,A232)+COUNTIF('04_TKS'!$A$5:$A$72,A232)+COUNTIF('05_Complementos'!$A$5:$A$127,A232)=1,0,1)</x:f>
        <x:v>0</x:v>
      </x:c>
      <x:c r="O232" s="12" t="n">
        <x:f>COUNTIF('08_Trazas'!$A$5:$A$248,A232)-1</x:f>
        <x:v>0</x:v>
      </x:c>
      <x:c r="P232" s="12" t="n">
        <x:f>IF(COUNTIF('02_Custodia'!$A$5:$A$53,C232)=1,0,1)</x:f>
        <x:v>0</x:v>
      </x:c>
    </x:row>
    <x:row r="233" ht="47" customHeight="1">
      <x:c r="A233" s="4" t="str">
        <x:v>CP-108</x:v>
      </x:c>
      <x:c r="B233" s="4" t="str">
        <x:v>F029</x:v>
      </x:c>
      <x:c r="C233" s="4" t="str">
        <x:v>A013</x:v>
      </x:c>
      <x:c r="D233" s="4" t="str">
        <x:v>LLM09:2026</x:v>
      </x:c>
      <x:c r="E233" s="4" t="str">
        <x:v>Edición 2026; PDF publicado en agosto; repositorio 9253e38ade58e959b531c0c5c9a4842272c9cd0e</x:v>
      </x:c>
      <x:c r="F233" s="4" t="str">
        <x:v>página física 3</x:v>
      </x:c>
      <x:c r="G233" s="4" t="str">
        <x:v>ROTULO_EN_TEXTO_EXTRAIDO_UTF8</x:v>
      </x:c>
      <x:c r="H233" s="4" t="str">
        <x:v>2207</x:v>
      </x:c>
      <x:c r="I233" s="4" t="str">
        <x:v>31</x:v>
      </x:c>
      <x:c r="J233" s="4" t="str">
        <x:v>bca002a3651237a0cb9fb06b79c977272cedc8c84f393bc6319af17be00bf86d</x:v>
      </x:c>
      <x:c r="K233" s="4" t="str">
        <x:v>2026-09-08</x:v>
      </x:c>
      <x:c r="L233" s="4" t="str">
        <x:v>SIN_FECHA_DE_ADOPCION</x:v>
      </x:c>
      <x:c r="M233" s="12" t="n">
        <x:f>IF(LEN(J233)=64,0,1)</x:f>
        <x:v>0</x:v>
      </x:c>
      <x:c r="N233" s="12" t="n">
        <x:f>IF(COUNTIF('03_NICE'!$A$5:$A$57,A233)+COUNTIF('04_TKS'!$A$5:$A$72,A233)+COUNTIF('05_Complementos'!$A$5:$A$127,A233)=1,0,1)</x:f>
        <x:v>0</x:v>
      </x:c>
      <x:c r="O233" s="12" t="n">
        <x:f>COUNTIF('08_Trazas'!$A$5:$A$248,A233)-1</x:f>
        <x:v>0</x:v>
      </x:c>
      <x:c r="P233" s="12" t="n">
        <x:f>IF(COUNTIF('02_Custodia'!$A$5:$A$53,C233)=1,0,1)</x:f>
        <x:v>0</x:v>
      </x:c>
    </x:row>
    <x:row r="234" ht="47" customHeight="1">
      <x:c r="A234" s="4" t="str">
        <x:v>CP-109</x:v>
      </x:c>
      <x:c r="B234" s="4" t="str">
        <x:v>F029</x:v>
      </x:c>
      <x:c r="C234" s="4" t="str">
        <x:v>A013</x:v>
      </x:c>
      <x:c r="D234" s="4" t="str">
        <x:v>LLM10:2026</x:v>
      </x:c>
      <x:c r="E234" s="4" t="str">
        <x:v>Edición 2026; PDF publicado en agosto; repositorio 9253e38ade58e959b531c0c5c9a4842272c9cd0e</x:v>
      </x:c>
      <x:c r="F234" s="4" t="str">
        <x:v>página física 3</x:v>
      </x:c>
      <x:c r="G234" s="4" t="str">
        <x:v>ROTULO_EN_TEXTO_EXTRAIDO_UTF8</x:v>
      </x:c>
      <x:c r="H234" s="4" t="str">
        <x:v>2254</x:v>
      </x:c>
      <x:c r="I234" s="4" t="str">
        <x:v>24</x:v>
      </x:c>
      <x:c r="J234" s="4" t="str">
        <x:v>5c61a05c3fb2992b4dd293fd66e795780327c45ea977199082bb9f8377828ab0</x:v>
      </x:c>
      <x:c r="K234" s="4" t="str">
        <x:v>2026-09-08</x:v>
      </x:c>
      <x:c r="L234" s="4" t="str">
        <x:v>SIN_FECHA_DE_ADOPCION</x:v>
      </x:c>
      <x:c r="M234" s="12" t="n">
        <x:f>IF(LEN(J234)=64,0,1)</x:f>
        <x:v>0</x:v>
      </x:c>
      <x:c r="N234" s="12" t="n">
        <x:f>IF(COUNTIF('03_NICE'!$A$5:$A$57,A234)+COUNTIF('04_TKS'!$A$5:$A$72,A234)+COUNTIF('05_Complementos'!$A$5:$A$127,A234)=1,0,1)</x:f>
        <x:v>0</x:v>
      </x:c>
      <x:c r="O234" s="12" t="n">
        <x:f>COUNTIF('08_Trazas'!$A$5:$A$248,A234)-1</x:f>
        <x:v>0</x:v>
      </x:c>
      <x:c r="P234" s="12" t="n">
        <x:f>IF(COUNTIF('02_Custodia'!$A$5:$A$53,C234)=1,0,1)</x:f>
        <x:v>0</x:v>
      </x:c>
    </x:row>
    <x:row r="235" ht="47" customHeight="1">
      <x:c r="A235" s="4" t="str">
        <x:v>CP-110</x:v>
      </x:c>
      <x:c r="B235" s="4" t="str">
        <x:v>F030</x:v>
      </x:c>
      <x:c r="C235" s="4" t="str">
        <x:v>F030</x:v>
      </x:c>
      <x:c r="D235" s="4" t="str">
        <x:v>Artículo 2</x:v>
      </x:c>
      <x:c r="E235" s="4" t="str">
        <x:v>Texto consolidado capturado; RD 03-05-2022</x:v>
      </x:c>
      <x:c r="F235" s="4" t="str">
        <x:v>texto extraído; posición UTF-8</x:v>
      </x:c>
      <x:c r="G235" s="4" t="str">
        <x:v>ROTULO_EN_TEXTO_EXTRAIDO_UTF8</x:v>
      </x:c>
      <x:c r="H235" s="4" t="str">
        <x:v>3316</x:v>
      </x:c>
      <x:c r="I235" s="4" t="str">
        <x:v>22</x:v>
      </x:c>
      <x:c r="J235" s="4" t="str">
        <x:v>d49df7febe66d6e73e6cbaae0675cea544ba3adeb6a1dc69e909084507b637a9</x:v>
      </x:c>
      <x:c r="K235" s="4" t="str">
        <x:v>2026-09-08</x:v>
      </x:c>
      <x:c r="L235" s="4" t="str">
        <x:v>SIN_FECHA_DE_ADOPCION</x:v>
      </x:c>
      <x:c r="M235" s="12" t="n">
        <x:f>IF(LEN(J235)=64,0,1)</x:f>
        <x:v>0</x:v>
      </x:c>
      <x:c r="N235" s="12" t="n">
        <x:f>IF(COUNTIF('03_NICE'!$A$5:$A$57,A235)+COUNTIF('04_TKS'!$A$5:$A$72,A235)+COUNTIF('05_Complementos'!$A$5:$A$127,A235)=1,0,1)</x:f>
        <x:v>0</x:v>
      </x:c>
      <x:c r="O235" s="12" t="n">
        <x:f>COUNTIF('08_Trazas'!$A$5:$A$248,A235)-1</x:f>
        <x:v>0</x:v>
      </x:c>
      <x:c r="P235" s="12" t="n">
        <x:f>IF(COUNTIF('02_Custodia'!$A$5:$A$53,C235)=1,0,1)</x:f>
        <x:v>0</x:v>
      </x:c>
    </x:row>
    <x:row r="236" ht="47" customHeight="1">
      <x:c r="A236" s="4" t="str">
        <x:v>CP-111</x:v>
      </x:c>
      <x:c r="B236" s="4" t="str">
        <x:v>F030</x:v>
      </x:c>
      <x:c r="C236" s="4" t="str">
        <x:v>F030</x:v>
      </x:c>
      <x:c r="D236" s="4" t="str">
        <x:v>Artículo 11</x:v>
      </x:c>
      <x:c r="E236" s="4" t="str">
        <x:v>Texto consolidado capturado; RD 03-05-2022</x:v>
      </x:c>
      <x:c r="F236" s="4" t="str">
        <x:v>texto extraído; posición UTF-8</x:v>
      </x:c>
      <x:c r="G236" s="4" t="str">
        <x:v>ROTULO_EN_TEXTO_EXTRAIDO_UTF8</x:v>
      </x:c>
      <x:c r="H236" s="4" t="str">
        <x:v>25260</x:v>
      </x:c>
      <x:c r="I236" s="4" t="str">
        <x:v>36</x:v>
      </x:c>
      <x:c r="J236" s="4" t="str">
        <x:v>8cfc0a801a52b50e60843a2067b6d910d92d126b573f62a081a8968638d530e0</x:v>
      </x:c>
      <x:c r="K236" s="4" t="str">
        <x:v>2026-09-08</x:v>
      </x:c>
      <x:c r="L236" s="4" t="str">
        <x:v>SIN_FECHA_DE_ADOPCION</x:v>
      </x:c>
      <x:c r="M236" s="12" t="n">
        <x:f>IF(LEN(J236)=64,0,1)</x:f>
        <x:v>0</x:v>
      </x:c>
      <x:c r="N236" s="12" t="n">
        <x:f>IF(COUNTIF('03_NICE'!$A$5:$A$57,A236)+COUNTIF('04_TKS'!$A$5:$A$72,A236)+COUNTIF('05_Complementos'!$A$5:$A$127,A236)=1,0,1)</x:f>
        <x:v>0</x:v>
      </x:c>
      <x:c r="O236" s="12" t="n">
        <x:f>COUNTIF('08_Trazas'!$A$5:$A$248,A236)-1</x:f>
        <x:v>0</x:v>
      </x:c>
      <x:c r="P236" s="12" t="n">
        <x:f>IF(COUNTIF('02_Custodia'!$A$5:$A$53,C236)=1,0,1)</x:f>
        <x:v>0</x:v>
      </x:c>
    </x:row>
    <x:row r="237" ht="47" customHeight="1">
      <x:c r="A237" s="4" t="str">
        <x:v>CP-112</x:v>
      </x:c>
      <x:c r="B237" s="4" t="str">
        <x:v>F031</x:v>
      </x:c>
      <x:c r="C237" s="4" t="str">
        <x:v>F031</x:v>
      </x:c>
      <x:c r="D237" s="4" t="str">
        <x:v>Artículo 2</x:v>
      </x:c>
      <x:c r="E237" s="4" t="str">
        <x:v>Texto original DOUE capturado; 14-12-2022</x:v>
      </x:c>
      <x:c r="F237" s="4" t="str">
        <x:v>texto extraído; posición UTF-8</x:v>
      </x:c>
      <x:c r="G237" s="4" t="str">
        <x:v>ROTULO_EN_TEXTO_EXTRAIDO_UTF8</x:v>
      </x:c>
      <x:c r="H237" s="4" t="str">
        <x:v>11118</x:v>
      </x:c>
      <x:c r="I237" s="4" t="str">
        <x:v>5</x:v>
      </x:c>
      <x:c r="J237" s="4" t="str">
        <x:v>5f161c9149882e0e10124bc5dd5c11f0fbe8ec452edd52bcec76b01e9252cb33</x:v>
      </x:c>
      <x:c r="K237" s="4" t="str">
        <x:v>2026-09-08</x:v>
      </x:c>
      <x:c r="L237" s="4" t="str">
        <x:v>SIN_FECHA_DE_ADOPCION</x:v>
      </x:c>
      <x:c r="M237" s="12" t="n">
        <x:f>IF(LEN(J237)=64,0,1)</x:f>
        <x:v>0</x:v>
      </x:c>
      <x:c r="N237" s="12" t="n">
        <x:f>IF(COUNTIF('03_NICE'!$A$5:$A$57,A237)+COUNTIF('04_TKS'!$A$5:$A$72,A237)+COUNTIF('05_Complementos'!$A$5:$A$127,A237)=1,0,1)</x:f>
        <x:v>0</x:v>
      </x:c>
      <x:c r="O237" s="12" t="n">
        <x:f>COUNTIF('08_Trazas'!$A$5:$A$248,A237)-1</x:f>
        <x:v>0</x:v>
      </x:c>
      <x:c r="P237" s="12" t="n">
        <x:f>IF(COUNTIF('02_Custodia'!$A$5:$A$53,C237)=1,0,1)</x:f>
        <x:v>0</x:v>
      </x:c>
    </x:row>
    <x:row r="238" ht="47" customHeight="1">
      <x:c r="A238" s="4" t="str">
        <x:v>CP-113</x:v>
      </x:c>
      <x:c r="B238" s="4" t="str">
        <x:v>F031</x:v>
      </x:c>
      <x:c r="C238" s="4" t="str">
        <x:v>F031</x:v>
      </x:c>
      <x:c r="D238" s="4" t="str">
        <x:v>Artículos 20 y 21</x:v>
      </x:c>
      <x:c r="E238" s="4" t="str">
        <x:v>Texto original DOUE capturado; 14-12-2022</x:v>
      </x:c>
      <x:c r="F238" s="4" t="str">
        <x:v>texto extraído; posición UTF-8</x:v>
      </x:c>
      <x:c r="G238" s="4" t="str">
        <x:v>ROTULO_EN_TEXTO_EXTRAIDO_UTF8</x:v>
      </x:c>
      <x:c r="H238" s="4" t="str">
        <x:v>42623</x:v>
      </x:c>
      <x:c r="I238" s="4" t="str">
        <x:v>10</x:v>
      </x:c>
      <x:c r="J238" s="4" t="str">
        <x:v>bf9422a2a04aad2180fad0913f1cdf8a9d3780fd074817d2569050d0a8095d3a</x:v>
      </x:c>
      <x:c r="K238" s="4" t="str">
        <x:v>2026-09-08</x:v>
      </x:c>
      <x:c r="L238" s="4" t="str">
        <x:v>SIN_FECHA_DE_ADOPCION</x:v>
      </x:c>
      <x:c r="M238" s="12" t="n">
        <x:f>IF(LEN(J238)=64,0,1)</x:f>
        <x:v>0</x:v>
      </x:c>
      <x:c r="N238" s="12" t="n">
        <x:f>IF(COUNTIF('03_NICE'!$A$5:$A$57,A238)+COUNTIF('04_TKS'!$A$5:$A$72,A238)+COUNTIF('05_Complementos'!$A$5:$A$127,A238)=1,0,1)</x:f>
        <x:v>0</x:v>
      </x:c>
      <x:c r="O238" s="12" t="n">
        <x:f>COUNTIF('08_Trazas'!$A$5:$A$248,A238)-1</x:f>
        <x:v>0</x:v>
      </x:c>
      <x:c r="P238" s="12" t="n">
        <x:f>IF(COUNTIF('02_Custodia'!$A$5:$A$53,C238)=1,0,1)</x:f>
        <x:v>0</x:v>
      </x:c>
    </x:row>
    <x:row r="239" ht="47" customHeight="1">
      <x:c r="A239" s="4" t="str">
        <x:v>CP-114</x:v>
      </x:c>
      <x:c r="B239" s="4" t="str">
        <x:v>F032</x:v>
      </x:c>
      <x:c r="C239" s="4" t="str">
        <x:v>F032</x:v>
      </x:c>
      <x:c r="D239" s="4" t="str">
        <x:v>Artículo 2</x:v>
      </x:c>
      <x:c r="E239" s="4" t="str">
        <x:v>Texto original DOUE capturado; 23-10-2024</x:v>
      </x:c>
      <x:c r="F239" s="4" t="str">
        <x:v>texto extraído; posición UTF-8</x:v>
      </x:c>
      <x:c r="G239" s="4" t="str">
        <x:v>ROTULO_EN_TEXTO_EXTRAIDO_UTF8</x:v>
      </x:c>
      <x:c r="H239" s="4" t="str">
        <x:v>11972</x:v>
      </x:c>
      <x:c r="I239" s="4" t="str">
        <x:v>5</x:v>
      </x:c>
      <x:c r="J239" s="4" t="str">
        <x:v>5f161c9149882e0e10124bc5dd5c11f0fbe8ec452edd52bcec76b01e9252cb33</x:v>
      </x:c>
      <x:c r="K239" s="4" t="str">
        <x:v>2026-09-08</x:v>
      </x:c>
      <x:c r="L239" s="4" t="str">
        <x:v>SIN_FECHA_DE_ADOPCION</x:v>
      </x:c>
      <x:c r="M239" s="12" t="n">
        <x:f>IF(LEN(J239)=64,0,1)</x:f>
        <x:v>0</x:v>
      </x:c>
      <x:c r="N239" s="12" t="n">
        <x:f>IF(COUNTIF('03_NICE'!$A$5:$A$57,A239)+COUNTIF('04_TKS'!$A$5:$A$72,A239)+COUNTIF('05_Complementos'!$A$5:$A$127,A239)=1,0,1)</x:f>
        <x:v>0</x:v>
      </x:c>
      <x:c r="O239" s="12" t="n">
        <x:f>COUNTIF('08_Trazas'!$A$5:$A$248,A239)-1</x:f>
        <x:v>0</x:v>
      </x:c>
      <x:c r="P239" s="12" t="n">
        <x:f>IF(COUNTIF('02_Custodia'!$A$5:$A$53,C239)=1,0,1)</x:f>
        <x:v>0</x:v>
      </x:c>
    </x:row>
    <x:row r="240" ht="47" customHeight="1">
      <x:c r="A240" s="4" t="str">
        <x:v>CP-115</x:v>
      </x:c>
      <x:c r="B240" s="4" t="str">
        <x:v>F032</x:v>
      </x:c>
      <x:c r="C240" s="4" t="str">
        <x:v>F032</x:v>
      </x:c>
      <x:c r="D240" s="4" t="str">
        <x:v>Anexo I</x:v>
      </x:c>
      <x:c r="E240" s="4" t="str">
        <x:v>Texto original DOUE capturado; 23-10-2024</x:v>
      </x:c>
      <x:c r="F240" s="4" t="str">
        <x:v>texto extraído; posición UTF-8</x:v>
      </x:c>
      <x:c r="G240" s="4" t="str">
        <x:v>ROTULO_EN_TEXTO_EXTRAIDO_UTF8</x:v>
      </x:c>
      <x:c r="H240" s="4" t="str">
        <x:v>7801</x:v>
      </x:c>
      <x:c r="I240" s="4" t="str">
        <x:v>36</x:v>
      </x:c>
      <x:c r="J240" s="4" t="str">
        <x:v>0a004f9280a49fbcc85a4d09767301ef56f04c85347eb3fb04dc6d19d2a57da8</x:v>
      </x:c>
      <x:c r="K240" s="4" t="str">
        <x:v>2026-09-08</x:v>
      </x:c>
      <x:c r="L240" s="4" t="str">
        <x:v>SIN_FECHA_DE_ADOPCION</x:v>
      </x:c>
      <x:c r="M240" s="12" t="n">
        <x:f>IF(LEN(J240)=64,0,1)</x:f>
        <x:v>0</x:v>
      </x:c>
      <x:c r="N240" s="12" t="n">
        <x:f>IF(COUNTIF('03_NICE'!$A$5:$A$57,A240)+COUNTIF('04_TKS'!$A$5:$A$72,A240)+COUNTIF('05_Complementos'!$A$5:$A$127,A240)=1,0,1)</x:f>
        <x:v>0</x:v>
      </x:c>
      <x:c r="O240" s="12" t="n">
        <x:f>COUNTIF('08_Trazas'!$A$5:$A$248,A240)-1</x:f>
        <x:v>0</x:v>
      </x:c>
      <x:c r="P240" s="12" t="n">
        <x:f>IF(COUNTIF('02_Custodia'!$A$5:$A$53,C240)=1,0,1)</x:f>
        <x:v>0</x:v>
      </x:c>
    </x:row>
    <x:row r="241" ht="47" customHeight="1">
      <x:c r="A241" s="4" t="str">
        <x:v>CP-116</x:v>
      </x:c>
      <x:c r="B241" s="4" t="str">
        <x:v>F033</x:v>
      </x:c>
      <x:c r="C241" s="4" t="str">
        <x:v>F033</x:v>
      </x:c>
      <x:c r="D241" s="4" t="str">
        <x:v>Artículo 2</x:v>
      </x:c>
      <x:c r="E241" s="4" t="str">
        <x:v>Texto original DOUE capturado; 13-06-2024</x:v>
      </x:c>
      <x:c r="F241" s="4" t="str">
        <x:v>texto extraído; posición UTF-8</x:v>
      </x:c>
      <x:c r="G241" s="4" t="str">
        <x:v>ROTULO_EN_TEXTO_EXTRAIDO_UTF8</x:v>
      </x:c>
      <x:c r="H241" s="4" t="str">
        <x:v>17225</x:v>
      </x:c>
      <x:c r="I241" s="4" t="str">
        <x:v>5</x:v>
      </x:c>
      <x:c r="J241" s="4" t="str">
        <x:v>5f161c9149882e0e10124bc5dd5c11f0fbe8ec452edd52bcec76b01e9252cb33</x:v>
      </x:c>
      <x:c r="K241" s="4" t="str">
        <x:v>2026-09-08</x:v>
      </x:c>
      <x:c r="L241" s="4" t="str">
        <x:v>SIN_FECHA_DE_ADOPCION</x:v>
      </x:c>
      <x:c r="M241" s="12" t="n">
        <x:f>IF(LEN(J241)=64,0,1)</x:f>
        <x:v>0</x:v>
      </x:c>
      <x:c r="N241" s="12" t="n">
        <x:f>IF(COUNTIF('03_NICE'!$A$5:$A$57,A241)+COUNTIF('04_TKS'!$A$5:$A$72,A241)+COUNTIF('05_Complementos'!$A$5:$A$127,A241)=1,0,1)</x:f>
        <x:v>0</x:v>
      </x:c>
      <x:c r="O241" s="12" t="n">
        <x:f>COUNTIF('08_Trazas'!$A$5:$A$248,A241)-1</x:f>
        <x:v>0</x:v>
      </x:c>
      <x:c r="P241" s="12" t="n">
        <x:f>IF(COUNTIF('02_Custodia'!$A$5:$A$53,C241)=1,0,1)</x:f>
        <x:v>0</x:v>
      </x:c>
    </x:row>
    <x:row r="242" ht="47" customHeight="1">
      <x:c r="A242" s="4" t="str">
        <x:v>CP-117</x:v>
      </x:c>
      <x:c r="B242" s="4" t="str">
        <x:v>F033</x:v>
      </x:c>
      <x:c r="C242" s="4" t="str">
        <x:v>F033</x:v>
      </x:c>
      <x:c r="D242" s="4" t="str">
        <x:v>Artículos 14 y 15</x:v>
      </x:c>
      <x:c r="E242" s="4" t="str">
        <x:v>Texto original DOUE capturado; 13-06-2024</x:v>
      </x:c>
      <x:c r="F242" s="4" t="str">
        <x:v>texto extraído; posición UTF-8</x:v>
      </x:c>
      <x:c r="G242" s="4" t="str">
        <x:v>ROTULO_EN_TEXTO_EXTRAIDO_UTF8</x:v>
      </x:c>
      <x:c r="H242" s="4" t="str">
        <x:v>102776</x:v>
      </x:c>
      <x:c r="I242" s="4" t="str">
        <x:v>15</x:v>
      </x:c>
      <x:c r="J242" s="4" t="str">
        <x:v>7b0fee27227d460af1a4cd164a4ff1442eab332f59e1718c6b7d2a80c7f8a245</x:v>
      </x:c>
      <x:c r="K242" s="4" t="str">
        <x:v>2026-09-08</x:v>
      </x:c>
      <x:c r="L242" s="4" t="str">
        <x:v>SIN_FECHA_DE_ADOPCION</x:v>
      </x:c>
      <x:c r="M242" s="12" t="n">
        <x:f>IF(LEN(J242)=64,0,1)</x:f>
        <x:v>0</x:v>
      </x:c>
      <x:c r="N242" s="12" t="n">
        <x:f>IF(COUNTIF('03_NICE'!$A$5:$A$57,A242)+COUNTIF('04_TKS'!$A$5:$A$72,A242)+COUNTIF('05_Complementos'!$A$5:$A$127,A242)=1,0,1)</x:f>
        <x:v>0</x:v>
      </x:c>
      <x:c r="O242" s="12" t="n">
        <x:f>COUNTIF('08_Trazas'!$A$5:$A$248,A242)-1</x:f>
        <x:v>0</x:v>
      </x:c>
      <x:c r="P242" s="12" t="n">
        <x:f>IF(COUNTIF('02_Custodia'!$A$5:$A$53,C242)=1,0,1)</x:f>
        <x:v>0</x:v>
      </x:c>
    </x:row>
    <x:row r="243" ht="47" customHeight="1">
      <x:c r="A243" s="4" t="str">
        <x:v>CP-118</x:v>
      </x:c>
      <x:c r="B243" s="4" t="str">
        <x:v>F034</x:v>
      </x:c>
      <x:c r="C243" s="4" t="str">
        <x:v>F034</x:v>
      </x:c>
      <x:c r="D243" s="4" t="str">
        <x:v>Artículos 2 y 3</x:v>
      </x:c>
      <x:c r="E243" s="4" t="str">
        <x:v>Texto original DOUE capturado; 27-04-2016</x:v>
      </x:c>
      <x:c r="F243" s="4" t="str">
        <x:v>texto extraído; posición UTF-8</x:v>
      </x:c>
      <x:c r="G243" s="4" t="str">
        <x:v>ROTULO_EN_TEXTO_EXTRAIDO_UTF8</x:v>
      </x:c>
      <x:c r="H243" s="4" t="str">
        <x:v>161335</x:v>
      </x:c>
      <x:c r="I243" s="4" t="str">
        <x:v>14</x:v>
      </x:c>
      <x:c r="J243" s="4" t="str">
        <x:v>85009c5fc45c48f62d934af1992b5608c6c1ee723601e1eac727cef314251b19</x:v>
      </x:c>
      <x:c r="K243" s="4" t="str">
        <x:v>2026-09-08</x:v>
      </x:c>
      <x:c r="L243" s="4" t="str">
        <x:v>SIN_FECHA_DE_ADOPCION</x:v>
      </x:c>
      <x:c r="M243" s="12" t="n">
        <x:f>IF(LEN(J243)=64,0,1)</x:f>
        <x:v>0</x:v>
      </x:c>
      <x:c r="N243" s="12" t="n">
        <x:f>IF(COUNTIF('03_NICE'!$A$5:$A$57,A243)+COUNTIF('04_TKS'!$A$5:$A$72,A243)+COUNTIF('05_Complementos'!$A$5:$A$127,A243)=1,0,1)</x:f>
        <x:v>0</x:v>
      </x:c>
      <x:c r="O243" s="12" t="n">
        <x:f>COUNTIF('08_Trazas'!$A$5:$A$248,A243)-1</x:f>
        <x:v>0</x:v>
      </x:c>
      <x:c r="P243" s="12" t="n">
        <x:f>IF(COUNTIF('02_Custodia'!$A$5:$A$53,C243)=1,0,1)</x:f>
        <x:v>0</x:v>
      </x:c>
    </x:row>
    <x:row r="244" ht="47" customHeight="1">
      <x:c r="A244" s="4" t="str">
        <x:v>CP-119</x:v>
      </x:c>
      <x:c r="B244" s="4" t="str">
        <x:v>F034</x:v>
      </x:c>
      <x:c r="C244" s="4" t="str">
        <x:v>F034</x:v>
      </x:c>
      <x:c r="D244" s="4" t="str">
        <x:v>Artículo 32</x:v>
      </x:c>
      <x:c r="E244" s="4" t="str">
        <x:v>Texto original DOUE capturado; 27-04-2016</x:v>
      </x:c>
      <x:c r="F244" s="4" t="str">
        <x:v>texto extraído; posición UTF-8</x:v>
      </x:c>
      <x:c r="G244" s="4" t="str">
        <x:v>ROTULO_EN_TEXTO_EXTRAIDO_UTF8</x:v>
      </x:c>
      <x:c r="H244" s="4" t="str">
        <x:v>80853</x:v>
      </x:c>
      <x:c r="I244" s="4" t="str">
        <x:v>22</x:v>
      </x:c>
      <x:c r="J244" s="4" t="str">
        <x:v>00d2f72243643f619c13e051f1188770d8f09af916e42cbbc206384d51c095c3</x:v>
      </x:c>
      <x:c r="K244" s="4" t="str">
        <x:v>2026-09-08</x:v>
      </x:c>
      <x:c r="L244" s="4" t="str">
        <x:v>SIN_FECHA_DE_ADOPCION</x:v>
      </x:c>
      <x:c r="M244" s="12" t="n">
        <x:f>IF(LEN(J244)=64,0,1)</x:f>
        <x:v>0</x:v>
      </x:c>
      <x:c r="N244" s="12" t="n">
        <x:f>IF(COUNTIF('03_NICE'!$A$5:$A$57,A244)+COUNTIF('04_TKS'!$A$5:$A$72,A244)+COUNTIF('05_Complementos'!$A$5:$A$127,A244)=1,0,1)</x:f>
        <x:v>0</x:v>
      </x:c>
      <x:c r="O244" s="12" t="n">
        <x:f>COUNTIF('08_Trazas'!$A$5:$A$248,A244)-1</x:f>
        <x:v>0</x:v>
      </x:c>
      <x:c r="P244" s="12" t="n">
        <x:f>IF(COUNTIF('02_Custodia'!$A$5:$A$53,C244)=1,0,1)</x:f>
        <x:v>0</x:v>
      </x:c>
    </x:row>
    <x:row r="245" ht="47" customHeight="1">
      <x:c r="A245" s="4" t="str">
        <x:v>CP-120</x:v>
      </x:c>
      <x:c r="B245" s="4" t="str">
        <x:v>F035</x:v>
      </x:c>
      <x:c r="C245" s="4" t="str">
        <x:v>A007</x:v>
      </x:c>
      <x:c r="D245" s="4" t="str">
        <x:v>Tramo Cybersecurity; función de investigación y respuesta</x:v>
      </x:c>
      <x:c r="E245" s="4" t="str">
        <x:v>PDF institucional sin edición formal fijada; página actualizada 23-07-2026</x:v>
      </x:c>
      <x:c r="F245" s="4" t="str">
        <x:v>página física 159</x:v>
      </x:c>
      <x:c r="G245" s="4" t="str">
        <x:v>ROTULO_EN_TEXTO_EXTRAIDO_UTF8</x:v>
      </x:c>
      <x:c r="H245" s="4" t="str">
        <x:v>324218</x:v>
      </x:c>
      <x:c r="I245" s="4" t="str">
        <x:v>15</x:v>
      </x:c>
      <x:c r="J245" s="4" t="str">
        <x:v>df1d4220ec5cfaf0f9f912ce05c2cba480d8d6234b3b6ef6ed2b492c681f7144</x:v>
      </x:c>
      <x:c r="K245" s="4" t="str">
        <x:v>2026-09-08</x:v>
      </x:c>
      <x:c r="L245" s="4" t="str">
        <x:v>SIN_FECHA_DE_ADOPCION</x:v>
      </x:c>
      <x:c r="M245" s="12" t="n">
        <x:f>IF(LEN(J245)=64,0,1)</x:f>
        <x:v>0</x:v>
      </x:c>
      <x:c r="N245" s="12" t="n">
        <x:f>IF(COUNTIF('03_NICE'!$A$5:$A$57,A245)+COUNTIF('04_TKS'!$A$5:$A$72,A245)+COUNTIF('05_Complementos'!$A$5:$A$127,A245)=1,0,1)</x:f>
        <x:v>0</x:v>
      </x:c>
      <x:c r="O245" s="12" t="n">
        <x:f>COUNTIF('08_Trazas'!$A$5:$A$248,A245)-1</x:f>
        <x:v>0</x:v>
      </x:c>
      <x:c r="P245" s="12" t="n">
        <x:f>IF(COUNTIF('02_Custodia'!$A$5:$A$53,C245)=1,0,1)</x:f>
        <x:v>0</x:v>
      </x:c>
    </x:row>
    <x:row r="246" ht="47" customHeight="1">
      <x:c r="A246" s="4" t="str">
        <x:v>CP-121</x:v>
      </x:c>
      <x:c r="B246" s="4" t="str">
        <x:v>F035</x:v>
      </x:c>
      <x:c r="C246" s="4" t="str">
        <x:v>A007</x:v>
      </x:c>
      <x:c r="D246" s="4" t="str">
        <x:v>Tramo Cybersecurity; niveles de competencia</x:v>
      </x:c>
      <x:c r="E246" s="4" t="str">
        <x:v>PDF institucional sin edición formal fijada; página actualizada 23-07-2026</x:v>
      </x:c>
      <x:c r="F246" s="4" t="str">
        <x:v>página física 50</x:v>
      </x:c>
      <x:c r="G246" s="4" t="str">
        <x:v>ROTULO_EN_TEXTO_EXTRAIDO_UTF8</x:v>
      </x:c>
      <x:c r="H246" s="4" t="str">
        <x:v>80401</x:v>
      </x:c>
      <x:c r="I246" s="4" t="str">
        <x:v>42</x:v>
      </x:c>
      <x:c r="J246" s="4" t="str">
        <x:v>a6346857fb88b1b0898d2b1e4a43714e17776ef5fd9cee9211d4492b58977e5e</x:v>
      </x:c>
      <x:c r="K246" s="4" t="str">
        <x:v>2026-09-08</x:v>
      </x:c>
      <x:c r="L246" s="4" t="str">
        <x:v>SIN_FECHA_DE_ADOPCION</x:v>
      </x:c>
      <x:c r="M246" s="12" t="n">
        <x:f>IF(LEN(J246)=64,0,1)</x:f>
        <x:v>0</x:v>
      </x:c>
      <x:c r="N246" s="12" t="n">
        <x:f>IF(COUNTIF('03_NICE'!$A$5:$A$57,A246)+COUNTIF('04_TKS'!$A$5:$A$72,A246)+COUNTIF('05_Complementos'!$A$5:$A$127,A246)=1,0,1)</x:f>
        <x:v>0</x:v>
      </x:c>
      <x:c r="O246" s="12" t="n">
        <x:f>COUNTIF('08_Trazas'!$A$5:$A$248,A246)-1</x:f>
        <x:v>0</x:v>
      </x:c>
      <x:c r="P246" s="12" t="n">
        <x:f>IF(COUNTIF('02_Custodia'!$A$5:$A$53,C246)=1,0,1)</x:f>
        <x:v>0</x:v>
      </x:c>
    </x:row>
    <x:row r="247" ht="47" customHeight="1">
      <x:c r="A247" s="4" t="str">
        <x:v>CP-122</x:v>
      </x:c>
      <x:c r="B247" s="4" t="str">
        <x:v>F036</x:v>
      </x:c>
      <x:c r="C247" s="4" t="str">
        <x:v>F036</x:v>
      </x:c>
      <x:c r="D247" s="4" t="str">
        <x:v>Context; valoración de capacidades y horizonte</x:v>
      </x:c>
      <x:c r="E247" s="4" t="str">
        <x:v>Evaluación publicada 07-05-2025</x:v>
      </x:c>
      <x:c r="F247" s="4" t="str">
        <x:v>texto extraído; posición UTF-8</x:v>
      </x:c>
      <x:c r="G247" s="4" t="str">
        <x:v>ROTULO_EN_TEXTO_EXTRAIDO_UTF8</x:v>
      </x:c>
      <x:c r="H247" s="4" t="str">
        <x:v>3950</x:v>
      </x:c>
      <x:c r="I247" s="4" t="str">
        <x:v>15</x:v>
      </x:c>
      <x:c r="J247" s="4" t="str">
        <x:v>b31a0f2f55f6e5bcc14e61724e160250ea117e2437851f2e3116fb43fc135ef6</x:v>
      </x:c>
      <x:c r="K247" s="4" t="str">
        <x:v>2026-09-08</x:v>
      </x:c>
      <x:c r="L247" s="4" t="str">
        <x:v>SIN_FECHA_DE_ADOPCION</x:v>
      </x:c>
      <x:c r="M247" s="12" t="n">
        <x:f>IF(LEN(J247)=64,0,1)</x:f>
        <x:v>0</x:v>
      </x:c>
      <x:c r="N247" s="12" t="n">
        <x:f>IF(COUNTIF('03_NICE'!$A$5:$A$57,A247)+COUNTIF('04_TKS'!$A$5:$A$72,A247)+COUNTIF('05_Complementos'!$A$5:$A$127,A247)=1,0,1)</x:f>
        <x:v>0</x:v>
      </x:c>
      <x:c r="O247" s="12" t="n">
        <x:f>COUNTIF('08_Trazas'!$A$5:$A$248,A247)-1</x:f>
        <x:v>0</x:v>
      </x:c>
      <x:c r="P247" s="12" t="n">
        <x:f>IF(COUNTIF('02_Custodia'!$A$5:$A$53,C247)=1,0,1)</x:f>
        <x:v>0</x:v>
      </x:c>
    </x:row>
    <x:row r="248" ht="47" customHeight="1">
      <x:c r="A248" s="4" t="str">
        <x:v>CP-123</x:v>
      </x:c>
      <x:c r="B248" s="4" t="str">
        <x:v>F036</x:v>
      </x:c>
      <x:c r="C248" s="4" t="str">
        <x:v>F036</x:v>
      </x:c>
      <x:c r="D248" s="4" t="str">
        <x:v>Context; Human-machine teaming</x:v>
      </x:c>
      <x:c r="E248" s="4" t="str">
        <x:v>Evaluación publicada 07-05-2025</x:v>
      </x:c>
      <x:c r="F248" s="4" t="str">
        <x:v>texto extraído; posición UTF-8</x:v>
      </x:c>
      <x:c r="G248" s="4" t="str">
        <x:v>ROTULO_EN_TEXTO_EXTRAIDO_UTF8</x:v>
      </x:c>
      <x:c r="H248" s="4" t="str">
        <x:v>9692</x:v>
      </x:c>
      <x:c r="I248" s="4" t="str">
        <x:v>21</x:v>
      </x:c>
      <x:c r="J248" s="4" t="str">
        <x:v>248bcba3a994cdb66cccceb03c72bc442e2f89c761a8ca131055ed66497e126d</x:v>
      </x:c>
      <x:c r="K248" s="4" t="str">
        <x:v>2026-09-08</x:v>
      </x:c>
      <x:c r="L248" s="4" t="str">
        <x:v>SIN_FECHA_DE_ADOPCION</x:v>
      </x:c>
      <x:c r="M248" s="12" t="n">
        <x:f>IF(LEN(J248)=64,0,1)</x:f>
        <x:v>0</x:v>
      </x:c>
      <x:c r="N248" s="12" t="n">
        <x:f>IF(COUNTIF('03_NICE'!$A$5:$A$57,A248)+COUNTIF('04_TKS'!$A$5:$A$72,A248)+COUNTIF('05_Complementos'!$A$5:$A$127,A248)=1,0,1)</x:f>
        <x:v>0</x:v>
      </x:c>
      <x:c r="O248" s="12" t="n">
        <x:f>COUNTIF('08_Trazas'!$A$5:$A$248,A248)-1</x:f>
        <x:v>0</x:v>
      </x:c>
      <x:c r="P248" s="12" t="n">
        <x:f>IF(COUNTIF('02_Custodia'!$A$5:$A$53,C248)=1,0,1)</x:f>
        <x:v>0</x:v>
      </x:c>
    </x:row>
  </x:sheetData>
  <x:mergeCells>
    <x:mergeCell ref="A1:D1"/>
    <x:mergeCell ref="A2:F2"/>
  </x:mergeCells>
  <x:pageMargins left="0.7" right="0.7" top="0.75" bottom="0.75" header="0.3" footer="0.3"/>
  <x:tableParts count="1">
    <x:tablePart xmlns:r="http://schemas.openxmlformats.org/officeDocument/2006/relationships" r:id="R6bfdfb2d486b4ba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4" hidden="0" customWidth="1"/>
    <x:col min="2" max="2" width="25" hidden="0" customWidth="1"/>
    <x:col min="3" max="3" width="44" hidden="0" customWidth="1"/>
    <x:col min="4" max="4" width="91" hidden="0" customWidth="1"/>
    <x:col min="5" max="5" width="35" hidden="0" customWidth="1"/>
    <x:col min="6" max="6" width="90" hidden="0" customWidth="1"/>
  </x:cols>
  <x:sheetData>
    <x:row r="1" ht="35" customHeight="1">
      <x:c r="A1" s="6" t="str">
        <x:v>DECISIONES · fundamentos y contradicciones</x:v>
      </x:c>
      <x:c r="B1" s="6"/>
      <x:c r="C1" s="6"/>
      <x:c r="D1" s="6"/>
      <x:c r="E1" s="6"/>
      <x:c r="F1" s="6"/>
    </x:row>
    <x:row r="2" ht="52" customHeight="1">
      <x:c r="A2" s="8" t="str">
        <x:v>Decisiones del antecedente profesional; la propuesta rectora DEC-01 queda rectificada en v0.2. Nuevos fundamentos, reservas y autoridades: 14, 22 y 24.</x:v>
      </x:c>
      <x:c r="B2" s="8"/>
      <x:c r="C2" s="8"/>
      <x:c r="D2" s="8"/>
      <x:c r="E2" s="8"/>
      <x:c r="F2" s="8"/>
    </x:row>
    <x:row r="3">
      <x:c r="A3" s="4"/>
      <x:c r="B3" s="4"/>
      <x:c r="C3" s="4"/>
      <x:c r="D3" s="4"/>
      <x:c r="E3" s="4"/>
      <x:c r="F3" s="4"/>
    </x:row>
    <x:row r="4" ht="42" customHeight="1">
      <x:c r="A4" s="10" t="str">
        <x:v>ID</x:v>
      </x:c>
      <x:c r="B4" s="10" t="str">
        <x:v>Asunto</x:v>
      </x:c>
      <x:c r="C4" s="10" t="str">
        <x:v>Objeto</x:v>
      </x:c>
      <x:c r="D4" s="10" t="str">
        <x:v>Fundamento</x:v>
      </x:c>
      <x:c r="E4" s="10" t="str">
        <x:v>Evidencia</x:v>
      </x:c>
      <x:c r="F4" s="10" t="str">
        <x:v>Límite / efecto</x:v>
      </x:c>
    </x:row>
    <x:row r="5" ht="47" customHeight="1">
      <x:c r="A5" s="4" t="str">
        <x:v>DEC-01</x:v>
      </x:c>
      <x:c r="B5" s="4" t="str">
        <x:v>Rector · rectificación v0.2</x:v>
      </x:c>
      <x:c r="C5" s="4" t="str">
        <x:v>NICE 2.2.0 → contraste profesional</x:v>
      </x:c>
      <x:c r="D5" s="4" t="str">
        <x:v>La propuesta de v0.1 confundía referencia profesional y base educativa. Se propone URJC 2026–27 como rector curricular concreto.</x:v>
      </x:c>
      <x:c r="E5" s="4" t="str">
        <x:v>14 P01; 15; AC-01</x:v>
      </x:c>
      <x:c r="F5" s="4" t="str">
        <x:v>No altera los objetos NICE ni atribuye adopción humana. El antecedente original se conserva en el commit 6bb83608929d1f3e9aa47cc12f2a5bbddfdcb436.</x:v>
      </x:c>
    </x:row>
    <x:row r="6" ht="47" customHeight="1">
      <x:c r="A6" s="4" t="str">
        <x:v>DEC-02</x:v>
      </x:c>
      <x:c r="B6" s="4" t="str">
        <x:v>Comparación</x:v>
      </x:c>
      <x:c r="C6" s="4" t="str">
        <x:v>CSEC2017</x:v>
      </x:c>
      <x:c r="D6" s="4" t="str">
        <x:v>Ocho áreas y colaboración curricular internacional; útil para detectar fundamentos omitidos.</x:v>
      </x:c>
      <x:c r="E6" s="4" t="str">
        <x:v>F003</x:v>
      </x:c>
      <x:c r="F6" s="4" t="str">
        <x:v>Complementa el trabajo con formación; antigüedad y naturaleza curricular impiden usarlo solo.</x:v>
      </x:c>
    </x:row>
    <x:row r="7" ht="47" customHeight="1">
      <x:c r="A7" s="4" t="str">
        <x:v>DEC-03</x:v>
      </x:c>
      <x:c r="B7" s="4" t="str">
        <x:v>Comparación</x:v>
      </x:c>
      <x:c r="C7" s="4" t="str">
        <x:v>CyBOK 1.1.0</x:v>
      </x:c>
      <x:c r="D7" s="4" t="str">
        <x:v>21 áreas con profundidad conceptual; métodos formales, criptografía y fronteras ciberfísicas.</x:v>
      </x:c>
      <x:c r="E7" s="4" t="str">
        <x:v>F004</x:v>
      </x:c>
      <x:c r="F7" s="4" t="str">
        <x:v>No organiza toda la actividad mediante productos profesionales y autoridad; no sustituye a NICE.</x:v>
      </x:c>
    </x:row>
    <x:row r="8" ht="47" customHeight="1">
      <x:c r="A8" s="4" t="str">
        <x:v>DEC-04</x:v>
      </x:c>
      <x:c r="B8" s="4" t="str">
        <x:v>Comparación</x:v>
      </x:c>
      <x:c r="C8" s="4" t="str">
        <x:v>ECSF</x:v>
      </x:c>
      <x:c r="D8" s="4" t="str">
        <x:v>Misión y entregables de 12 perfiles europeos afinan identidad de operaciones y responsabilidad.</x:v>
      </x:c>
      <x:c r="E8" s="4" t="str">
        <x:v>F005;A008</x:v>
      </x:c>
      <x:c r="F8" s="4" t="str">
        <x:v>Complemento especialmente útil de productos; menor desagregación de TKS y jurisdicción europea explícita.</x:v>
      </x:c>
    </x:row>
    <x:row r="9" ht="60" customHeight="1">
      <x:c r="A9" s="4" t="str">
        <x:v>DEC-05</x:v>
      </x:c>
      <x:c r="B9" s="4" t="str">
        <x:v>Complemento necesario</x:v>
      </x:c>
      <x:c r="C9" s="4" t="str">
        <x:v>Cuatro dimensiones de IA</x:v>
      </x:c>
      <x:c r="D9" s="4" t="str">
        <x:v>NICE ya incluye NF-COM-002 y TKS de IA. NIST/OWASP añaden método de evaluación, amenazas, ciclo de datos/modelo y supervisión; NCSC aporta prospectiva del uso adversario.</x:v>
      </x:c>
      <x:c r="E9" s="4" t="str">
        <x:v>F024–F029;F036</x:v>
      </x:c>
      <x:c r="F9" s="4" t="str">
        <x:v>La novedad es profundidad y distinciones comprobadas, no ausencia general de IA en NICE.</x:v>
      </x:c>
    </x:row>
    <x:row r="10" ht="60" customHeight="1">
      <x:c r="A10" s="4" t="str">
        <x:v>DEC-06</x:v>
      </x:c>
      <x:c r="B10" s="4" t="str">
        <x:v>Cierre de búsqueda</x:v>
      </x:c>
      <x:c r="C10" s="4" t="str">
        <x:v>Inventario finito</x:v>
      </x:c>
      <x:c r="D10" s="4" t="str">
        <x:v>36 fuentes principales; 49 capturas incluidas auxiliares y fallidas. Ingeniería UPC, gobierno CMU, certificaciones y especialidades seleccionadas; contraste europeo y de Singapur.</x:v>
      </x:c>
      <x:c r="E10" s="4" t="str">
        <x:v>01_Fuentes;02_Custodia</x:v>
      </x:c>
      <x:c r="F10" s="4" t="str">
        <x:v>Sin cuotas ni exhaustividad mundial. No añadir fuente sin vacío, contradicción, autoridad o actualización material.</x:v>
      </x:c>
    </x:row>
    <x:row r="11" ht="47" customHeight="1">
      <x:c r="A11" s="4" t="str">
        <x:v>DEC-07</x:v>
      </x:c>
      <x:c r="B11" s="4" t="str">
        <x:v>Aplicabilidad</x:v>
      </x:c>
      <x:c r="C11" s="4" t="str">
        <x:v>España/UE como vector inicial</x:v>
      </x:c>
      <x:c r="D11" s="4" t="str">
        <x:v>Es el vector propuesto por la instrucción, condicionado a entidad, operación, rol y tiempo.</x:v>
      </x:c>
      <x:c r="E11" s="4" t="str">
        <x:v>F030–F034</x:v>
      </x:c>
      <x:c r="F11" s="4" t="str">
        <x:v>NIS2 no se traslada como obligación nacional automáticamente; textos originales UE no acreditan todas las modificaciones vigentes.</x:v>
      </x:c>
    </x:row>
    <x:row r="12" ht="47" customHeight="1">
      <x:c r="A12" s="4" t="str">
        <x:v>DEC-08</x:v>
      </x:c>
      <x:c r="B12" s="4" t="str">
        <x:v>Granularidad</x:v>
      </x:c>
      <x:c r="C12" s="4" t="str">
        <x:v>22 operaciones candidatas</x:v>
      </x:c>
      <x:c r="D12" s="4" t="str">
        <x:v>Producto, objeto, desencadenante, autoridad, frontera y terminación gobiernan separaciones.</x:v>
      </x:c>
      <x:c r="E12" s="4" t="str">
        <x:v>07_Operaciones;MAPA_OPERACIONES.md</x:v>
      </x:c>
      <x:c r="F12" s="4" t="str">
        <x:v>No son universos constituidos ni una operación por cada rol o por cada fuente.</x:v>
      </x:c>
    </x:row>
    <x:row r="13" ht="47" customHeight="1">
      <x:c r="A13" s="4" t="str">
        <x:v>DEC-09</x:v>
      </x:c>
      <x:c r="B13" s="4" t="str">
        <x:v>Versiones</x:v>
      </x:c>
      <x:c r="C13" s="4" t="str">
        <x:v>NICE 2026 frente a metadato 2025</x:v>
      </x:c>
      <x:c r="D13" s="4" t="str">
        <x:v>La nota de publicación y el JSON 2.2.0 fijan la edición; se conserva el error de año en la página de componentes.</x:v>
      </x:c>
      <x:c r="E13" s="4" t="str">
        <x:v>A001;A002;F001</x:v>
      </x:c>
      <x:c r="F13" s="4" t="str">
        <x:v>No normalizar silenciosamente el metadato histórico.</x:v>
      </x:c>
    </x:row>
    <x:row r="14" ht="47" customHeight="1">
      <x:c r="A14" s="4" t="str">
        <x:v>DEC-10</x:v>
      </x:c>
      <x:c r="B14" s="4" t="str">
        <x:v>Versiones</x:v>
      </x:c>
      <x:c r="C14" s="4" t="str">
        <x:v>OWASP 2026 frente a página 2025</x:v>
      </x:c>
      <x:c r="D14" s="4" t="str">
        <x:v>Se utiliza PDF 2026 y repositorio fijado; identificadores LLM03/LLM06 no se equiparan a 2025 por numeral.</x:v>
      </x:c>
      <x:c r="E14" s="4" t="str">
        <x:v>A010;A011;A013;F029</x:v>
      </x:c>
      <x:c r="F14" s="4" t="str">
        <x:v>Las páginas difieren en el día de agosto y el PDF contiene un marcador de fecha: se fija edición y bytes, no día exacto inventado.</x:v>
      </x:c>
    </x:row>
    <x:row r="15" ht="47" customHeight="1">
      <x:c r="A15" s="4" t="str">
        <x:v>DEC-11</x:v>
      </x:c>
      <x:c r="B15" s="4" t="str">
        <x:v>Versiones</x:v>
      </x:c>
      <x:c r="C15" s="4" t="str">
        <x:v>CMU 95-743</x:v>
      </x:c>
      <x:c r="D15" s="4" t="str">
        <x:v>El manual anual denomina la materia Cybersecurity Policy and Governance; la web conserva otro título.</x:v>
      </x:c>
      <x:c r="E15" s="4" t="str">
        <x:v>F007;A009</x:v>
      </x:c>
      <x:c r="F15" s="4" t="str">
        <x:v>Las cuatro extracciones usan el manual 2026-2027; el contenido optativo no se presenta como núcleo obligatorio.</x:v>
      </x:c>
    </x:row>
    <x:row r="16" ht="47" customHeight="1">
      <x:c r="A16" s="4" t="str">
        <x:v>DEC-12</x:v>
      </x:c>
      <x:c r="B16" s="4" t="str">
        <x:v>Límites de acceso</x:v>
      </x:c>
      <x:c r="C16" s="4" t="str">
        <x:v>ISO, controles y UC3M</x:v>
      </x:c>
      <x:c r="D16" s="4" t="str">
        <x:v>Siete referencias sólo de metadatos; UC3M queda parcial; IR 8596 conserva condición de borrador.</x:v>
      </x:c>
      <x:c r="E16" s="4" t="str">
        <x:v>01_Fuentes</x:v>
      </x:c>
      <x:c r="F16" s="4" t="str">
        <x:v>No sostienen afirmaciones de cláusulas, requisitos completos ni currículo anual adoptado.</x:v>
      </x:c>
    </x:row>
    <x:row r="17" ht="60" customHeight="1">
      <x:c r="A17" s="4" t="str">
        <x:v>DEC-13</x:v>
      </x:c>
      <x:c r="B17" s="4" t="str">
        <x:v>Método Excel</x:v>
      </x:c>
      <x:c r="C17" s="4" t="str">
        <x:v>Principal y anexo posterior</x:v>
      </x:c>
      <x:c r="D17" s="4" t="str">
        <x:v>Excel es el catálogo principal. Tras su cierre real: congelar bytes, sellar libro y producir anexo determinista leído sin resalvarlo, verificado contra el original.</x:v>
      </x:c>
      <x:c r="E17" s="4" t="str">
        <x:v>Mandato humano de esta conversación</x:v>
      </x:c>
      <x:c r="F17" s="4" t="str">
        <x:v>En este corte candidato no se genera proyección. SHA-256 no es firma digital de autoría ni aprobación soberana.</x:v>
      </x:c>
    </x:row>
    <x:row r="18" ht="47" customHeight="1">
      <x:c r="A18" s="4" t="str">
        <x:v>DEC-14</x:v>
      </x:c>
      <x:c r="B18" s="4" t="str">
        <x:v>Relaciones</x:v>
      </x:c>
      <x:c r="C18" s="4" t="str">
        <x:v>Oficiales frente a locales</x:v>
      </x:c>
      <x:c r="D18" s="4" t="str">
        <x:v>182 relaciones originales NICE con ambos extremos seleccionados; vínculos locales de pertinencia conservan su naturaleza.</x:v>
      </x:c>
      <x:c r="E18" s="4" t="str">
        <x:v>13_Relaciones_NICE;03_NICE;04_TKS;05_Complementos</x:v>
      </x:c>
      <x:c r="F18" s="4" t="str">
        <x:v>Una coincidencia de rótulos o una ancla local no demuestra equivalencia semántica ni cobertura completa de un rol.</x:v>
      </x:c>
    </x:row>
  </x:sheetData>
  <x:mergeCells>
    <x:mergeCell ref="A1:D1"/>
    <x:mergeCell ref="A2:F2"/>
  </x:mergeCells>
  <x:pageMargins left="0.7" right="0.7" top="0.75" bottom="0.75" header="0.3" footer="0.3"/>
  <x:tableParts count="1">
    <x:tablePart xmlns:r="http://schemas.openxmlformats.org/officeDocument/2006/relationships" r:id="R332be7e1b4244f8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4" hidden="0" customWidth="1"/>
    <x:col min="2" max="2" width="26" hidden="0" customWidth="1"/>
    <x:col min="3" max="3" width="76" hidden="0" customWidth="1"/>
    <x:col min="4" max="4" width="31" hidden="0" customWidth="1"/>
    <x:col min="5" max="5" width="89" hidden="0" customWidth="1"/>
    <x:col min="6" max="6" width="51" hidden="0" customWidth="1"/>
  </x:cols>
  <x:sheetData>
    <x:row r="1" ht="35" customHeight="1">
      <x:c r="A1" s="6" t="str">
        <x:v>REVISIÓN ADVERSARIAL · contenido y método</x:v>
      </x:c>
      <x:c r="B1" s="6"/>
      <x:c r="C1" s="6"/>
      <x:c r="D1" s="6"/>
      <x:c r="E1" s="6"/>
      <x:c r="F1" s="6"/>
    </x:row>
    <x:row r="2" ht="52" customHeight="1">
      <x:c r="A2" s="8" t="str">
        <x:v>Adversarial interna del antecedente profesional. La revisión curricular actual, sus defectos y reservas se registran en 22; no es auditoría independiente.</x:v>
      </x:c>
      <x:c r="B2" s="8"/>
      <x:c r="C2" s="8"/>
      <x:c r="D2" s="8"/>
      <x:c r="E2" s="8"/>
      <x:c r="F2" s="8"/>
    </x:row>
    <x:row r="3">
      <x:c r="A3" s="4"/>
      <x:c r="B3" s="4"/>
      <x:c r="C3" s="4"/>
      <x:c r="D3" s="4"/>
      <x:c r="E3" s="4"/>
      <x:c r="F3" s="4"/>
    </x:row>
    <x:row r="4" ht="42" customHeight="1">
      <x:c r="A4" s="10" t="str">
        <x:v>ID</x:v>
      </x:c>
      <x:c r="B4" s="10" t="str">
        <x:v>Frente</x:v>
      </x:c>
      <x:c r="C4" s="10" t="str">
        <x:v>Riesgo o defecto contrastado</x:v>
      </x:c>
      <x:c r="D4" s="10" t="str">
        <x:v>Resultado</x:v>
      </x:c>
      <x:c r="E4" s="10" t="str">
        <x:v>Tratamiento</x:v>
      </x:c>
      <x:c r="F4" s="10" t="str">
        <x:v>Evidencia</x:v>
      </x:c>
    </x:row>
    <x:row r="5" ht="47" customHeight="1">
      <x:c r="A5" s="4" t="str">
        <x:v>ADV-01</x:v>
      </x:c>
      <x:c r="B5" s="4" t="str">
        <x:v>Rector · revisión reabierta por defecto</x:v>
      </x:c>
      <x:c r="C5" s="4" t="str">
        <x:v>La referencia profesional no satisface la petición de un plan educativo universitario.</x:v>
      </x:c>
      <x:c r="D5" s="4" t="str">
        <x:v>RECTIFICADO EN v0.2</x:v>
      </x:c>
      <x:c r="E5" s="4" t="str">
        <x:v>NICE queda como contraste. URJC 2026–27 es la base educativa propuesta, con complementos justificados.</x:v>
      </x:c>
      <x:c r="F5" s="4" t="str">
        <x:v>AC-01; 14; 15</x:v>
      </x:c>
    </x:row>
    <x:row r="6" ht="47" customHeight="1">
      <x:c r="A6" s="4" t="str">
        <x:v>ADV-02</x:v>
      </x:c>
      <x:c r="B6" s="4" t="str">
        <x:v>Amplitud de IA</x:v>
      </x:c>
      <x:c r="C6" s="4" t="str">
        <x:v>Suponer que NICE carece de seguridad de IA.</x:v>
      </x:c>
      <x:c r="D6" s="4" t="str">
        <x:v>REFUTADO_CON_FUENTE</x:v>
      </x:c>
      <x:c r="E6" s="4" t="str">
        <x:v>Se retienen NF-COM-002 y TKS de IA; complementos profundizan distinciones.</x:v>
      </x:c>
      <x:c r="F6" s="4" t="str">
        <x:v>F001;03_NICE;04_TKS</x:v>
      </x:c>
    </x:row>
    <x:row r="7" ht="47" customHeight="1">
      <x:c r="A7" s="4" t="str">
        <x:v>ADV-03</x:v>
      </x:c>
      <x:c r="B7" s="4" t="str">
        <x:v>Identidad de operación</x:v>
      </x:c>
      <x:c r="C7" s="4" t="str">
        <x:v>Fusionar permiso individual y autorización institucional del sistema.</x:v>
      </x:c>
      <x:c r="D7" s="4" t="str">
        <x:v>ERROR_CORREGIDO</x:v>
      </x:c>
      <x:c r="E7" s="4" t="str">
        <x:v>OPC-03 y OPC-21 separados por objeto, autoridad y producto.</x:v>
      </x:c>
      <x:c r="F7" s="4" t="str">
        <x:v>07_Operaciones</x:v>
      </x:c>
    </x:row>
    <x:row r="8" ht="47" customHeight="1">
      <x:c r="A8" s="4" t="str">
        <x:v>ADV-04</x:v>
      </x:c>
      <x:c r="B8" s="4" t="str">
        <x:v>Identidad de operación</x:v>
      </x:c>
      <x:c r="C8" s="4" t="str">
        <x:v>Fusionar diseño del programa con evidencia de aprendizaje de participantes.</x:v>
      </x:c>
      <x:c r="D8" s="4" t="str">
        <x:v>ERROR_CORREGIDO</x:v>
      </x:c>
      <x:c r="E8" s="4" t="str">
        <x:v>OPC-18 y OPC-22 separados.</x:v>
      </x:c>
      <x:c r="F8" s="4" t="str">
        <x:v>07_Operaciones</x:v>
      </x:c>
    </x:row>
    <x:row r="9" ht="47" customHeight="1">
      <x:c r="A9" s="4" t="str">
        <x:v>ADV-05</x:v>
      </x:c>
      <x:c r="B9" s="4" t="str">
        <x:v>Localizador técnico</x:v>
      </x:c>
      <x:c r="C9" s="4" t="str">
        <x:v>Ubicar comparación IT/OT dentro de §2.3.</x:v>
      </x:c>
      <x:c r="D9" s="4" t="str">
        <x:v>ERROR_CORREGIDO</x:v>
      </x:c>
      <x:c r="E9" s="4" t="str">
        <x:v>Se referencia el apartado por título y páginas impresas 28–32 / tabla 1.</x:v>
      </x:c>
      <x:c r="F9" s="4" t="str">
        <x:v>F020</x:v>
      </x:c>
    </x:row>
    <x:row r="10" ht="47" customHeight="1">
      <x:c r="A10" s="4" t="str">
        <x:v>ADV-06</x:v>
      </x:c>
      <x:c r="B10" s="4" t="str">
        <x:v>Normalización española</x:v>
      </x:c>
      <x:c r="C10" s="4" t="str">
        <x:v>Reducir misinformation y disinformation a desinformación.</x:v>
      </x:c>
      <x:c r="D10" s="4" t="str">
        <x:v>ERROR_CORREGIDO</x:v>
      </x:c>
      <x:c r="E10" s="4" t="str">
        <x:v>K1333 conserva información errónea y desinformación.</x:v>
      </x:c>
      <x:c r="F10" s="4" t="str">
        <x:v>04_TKS</x:v>
      </x:c>
    </x:row>
    <x:row r="11" ht="47" customHeight="1">
      <x:c r="A11" s="4" t="str">
        <x:v>ADV-07</x:v>
      </x:c>
      <x:c r="B11" s="4" t="str">
        <x:v>Edición curricular</x:v>
      </x:c>
      <x:c r="C11" s="4" t="str">
        <x:v>Mezclar título web y edición anual de CMU.</x:v>
      </x:c>
      <x:c r="D11" s="4" t="str">
        <x:v>ERROR_CORREGIDO</x:v>
      </x:c>
      <x:c r="E11" s="4" t="str">
        <x:v>Las cuatro filas se extraen de A009; diferencia 95-743 registrada.</x:v>
      </x:c>
      <x:c r="F11" s="4" t="str">
        <x:v>DEC-11</x:v>
      </x:c>
    </x:row>
    <x:row r="12" ht="47" customHeight="1">
      <x:c r="A12" s="4" t="str">
        <x:v>ADV-08</x:v>
      </x:c>
      <x:c r="B12" s="4" t="str">
        <x:v>Evolución externa</x:v>
      </x:c>
      <x:c r="C12" s="4" t="str">
        <x:v>Usar edición OWASP 2025 por una página antigua o mezclar sus numerales.</x:v>
      </x:c>
      <x:c r="D12" s="4" t="str">
        <x:v>ERROR_EVITADO</x:v>
      </x:c>
      <x:c r="E12" s="4" t="str">
        <x:v>PDF 2026 capturado; se conserva antecedente y discrepancia de fechas.</x:v>
      </x:c>
      <x:c r="F12" s="4" t="str">
        <x:v>DEC-10</x:v>
      </x:c>
    </x:row>
    <x:row r="13" ht="47" customHeight="1">
      <x:c r="A13" s="4" t="str">
        <x:v>ADV-09</x:v>
      </x:c>
      <x:c r="B13" s="4" t="str">
        <x:v>Admisión documental</x:v>
      </x:c>
      <x:c r="C13" s="4" t="str">
        <x:v>Presentar fichas ISO o borrador NIST como normas leídas y adoptadas.</x:v>
      </x:c>
      <x:c r="D13" s="4" t="str">
        <x:v>BLOQUEO_EXPLICITO</x:v>
      </x:c>
      <x:c r="E13" s="4" t="str">
        <x:v>Metadatos, borrador, adopción y aplicabilidad separados.</x:v>
      </x:c>
      <x:c r="F13" s="4" t="str">
        <x:v>01_Fuentes;05_Complementos</x:v>
      </x:c>
    </x:row>
    <x:row r="14" ht="47" customHeight="1">
      <x:c r="A14" s="4" t="str">
        <x:v>ADV-10</x:v>
      </x:c>
      <x:c r="B14" s="4" t="str">
        <x:v>Integridad de fuentes</x:v>
      </x:c>
      <x:c r="C14" s="4" t="str">
        <x:v>Atribuir a una síntesis española la huella del original.</x:v>
      </x:c>
      <x:c r="D14" s="4" t="str">
        <x:v>CONTROLADO</x:v>
      </x:c>
      <x:c r="E14" s="4" t="str">
        <x:v>Objeto JSON original o rótulo exacto UTF-8 con tipo y offset; síntesis declarada como trabajo de Watson.</x:v>
      </x:c>
      <x:c r="F14" s="4" t="str">
        <x:v>08_Trazas;EXTRACTOS_DE_FUENTES.json</x:v>
      </x:c>
    </x:row>
    <x:row r="15" ht="47" customHeight="1">
      <x:c r="A15" s="4" t="str">
        <x:v>ADV-11</x:v>
      </x:c>
      <x:c r="B15" s="4" t="str">
        <x:v>Excel y proyección</x:v>
      </x:c>
      <x:c r="C15" s="4" t="str">
        <x:v>Confundir distinto hash de guardado con ausencia de valor probatorio.</x:v>
      </x:c>
      <x:c r="D15" s="4" t="str">
        <x:v>CRITERIO_FIJADO</x:v>
      </x:c>
      <x:c r="E15" s="4" t="str">
        <x:v>Hash de libro identifica sus bytes; anexo posterior permite contraste semántico. Ninguno acredita verdad ni autoría.</x:v>
      </x:c>
      <x:c r="F15" s="4" t="str">
        <x:v>DEC-13</x:v>
      </x:c>
    </x:row>
    <x:row r="16" ht="47" customHeight="1">
      <x:c r="A16" s="4" t="str">
        <x:v>ADV-12</x:v>
      </x:c>
      <x:c r="B16" s="4" t="str">
        <x:v>Cobertura</x:v>
      </x:c>
      <x:c r="C16" s="4" t="str">
        <x:v>Tomar recuentos o mapeo primario como exhaustividad.</x:v>
      </x:c>
      <x:c r="D16" s="4" t="str">
        <x:v>LIMITE_EXPLICITO</x:v>
      </x:c>
      <x:c r="E16" s="4" t="str">
        <x:v>21 ejes revisados; operaciones sólo cartografiadas. TKS seleccionados, no todos los de NICE.</x:v>
      </x:c>
      <x:c r="F16" s="4" t="str">
        <x:v>06_Cobertura</x:v>
      </x:c>
    </x:row>
    <x:row r="17" ht="47" customHeight="1">
      <x:c r="A17" s="4" t="str">
        <x:v>ADV-13</x:v>
      </x:c>
      <x:c r="B17" s="4" t="str">
        <x:v>Prueba del observador</x:v>
      </x:c>
      <x:c r="C17" s="4" t="str">
        <x:v>Exigir encontrar un fallo del Lenguaje.</x:v>
      </x:c>
      <x:c r="D17" s="4" t="str">
        <x:v>NO_SE_HA_EJECUTADO_AUN</x:v>
      </x:c>
      <x:c r="E17" s="4" t="str">
        <x:v>Prueba de sensibilidad futura con testigos discriminantes; pérdidas, suficiencia en alcance o no concluyente son salidas legítimas.</x:v>
      </x:c>
      <x:c r="F17" s="4" t="str">
        <x:v>MAPA_OPERACIONES.md</x:v>
      </x:c>
    </x:row>
    <x:row r="18" ht="47" customHeight="1">
      <x:c r="A18" s="4" t="str">
        <x:v>ADV-14</x:v>
      </x:c>
      <x:c r="B18" s="4" t="str">
        <x:v>Custodia del relevo</x:v>
      </x:c>
      <x:c r="C18" s="4" t="str">
        <x:v>Reabrir la autorización por row7_closed=false en una matriz anterior.</x:v>
      </x:c>
      <x:c r="D18" s="4" t="str">
        <x:v>RESUELTO_POR_SUCESION</x:v>
      </x:c>
      <x:c r="E18" s="4" t="str">
        <x:v>RETP-105 posterior entrega el corte representacional. Se conservan matriz histórica y límites materiales.</x:v>
      </x:c>
      <x:c r="F18" s="4" t="str">
        <x:v>EXPEDIENTE;RECEPCION_FILA7.json</x:v>
      </x:c>
    </x:row>
  </x:sheetData>
  <x:mergeCells>
    <x:mergeCell ref="A1:D1"/>
    <x:mergeCell ref="A2:F2"/>
  </x:mergeCells>
  <x:pageMargins left="0.7" right="0.7" top="0.75" bottom="0.75" header="0.3" footer="0.3"/>
  <x:tableParts count="1">
    <x:tablePart xmlns:r="http://schemas.openxmlformats.org/officeDocument/2006/relationships" r:id="R808996b9fd0b40a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5" hidden="0" customWidth="1"/>
    <x:col min="2" max="2" width="63" hidden="0" customWidth="1"/>
    <x:col min="3" max="3" width="48" hidden="0" customWidth="1"/>
    <x:col min="4" max="4" width="29" hidden="0" customWidth="1"/>
    <x:col min="5" max="5" width="70" hidden="0" customWidth="1"/>
  </x:cols>
  <x:sheetData>
    <x:row r="1" ht="35" customHeight="1">
      <x:c r="A1" s="6" t="str">
        <x:v>CONTROLES · fórmulas y sensibilidad</x:v>
      </x:c>
      <x:c r="B1" s="6"/>
      <x:c r="C1" s="6"/>
      <x:c r="D1" s="6"/>
      <x:c r="E1" s="6"/>
    </x:row>
    <x:row r="2" ht="52" customHeight="1">
      <x:c r="A2" s="8" t="str">
        <x:v>Controles estructurales del corpus profesional conservado. Las cinco mutaciones se reejecutan en esta revisión; los nuevos controles educativos están en 23.</x:v>
      </x:c>
      <x:c r="B2" s="8"/>
      <x:c r="C2" s="8"/>
      <x:c r="D2" s="8"/>
      <x:c r="E2" s="8"/>
    </x:row>
    <x:row r="3">
      <x:c r="A3" s="4"/>
      <x:c r="B3" s="4"/>
      <x:c r="C3" s="4"/>
      <x:c r="D3" s="4"/>
      <x:c r="E3" s="4"/>
    </x:row>
    <x:row r="4" ht="42" customHeight="1">
      <x:c r="A4" s="10" t="str">
        <x:v>ID</x:v>
      </x:c>
      <x:c r="B4" s="10" t="str">
        <x:v>Control o mutación</x:v>
      </x:c>
      <x:c r="C4" s="10" t="str">
        <x:v>Resultado calculado / observado</x:v>
      </x:c>
      <x:c r="D4" s="10" t="str">
        <x:v>Esperado</x:v>
      </x:c>
      <x:c r="E4" s="10" t="str">
        <x:v>Comprobación</x:v>
      </x:c>
    </x:row>
    <x:row r="5" ht="47" customHeight="1">
      <x:c r="A5" s="4" t="str">
        <x:v>CTL-01</x:v>
      </x:c>
      <x:c r="B5" s="4" t="str">
        <x:v>Fuentes: duplicados, capturas y campos</x:v>
      </x:c>
      <x:c r="C5" s="14" t="n">
        <x:f>SUM('01_Fuentes'!O5:Q40)</x:f>
        <x:v>0</x:v>
      </x:c>
      <x:c r="D5" s="16" t="n">
        <x:v>0</x:v>
      </x:c>
      <x:c r="E5" s="12" t="str">
        <x:f>IF(C5=D5,"PASA","REVISAR")</x:f>
        <x:v>PASA</x:v>
      </x:c>
    </x:row>
    <x:row r="6" ht="47" customHeight="1">
      <x:c r="A6" s="4" t="str">
        <x:v>CTL-02</x:v>
      </x:c>
      <x:c r="B6" s="4" t="str">
        <x:v>Capturas: hash y unicidad</x:v>
      </x:c>
      <x:c r="C6" s="14" t="n">
        <x:f>SUM('02_Custodia'!K5:L53)</x:f>
        <x:v>0</x:v>
      </x:c>
      <x:c r="D6" s="16" t="n">
        <x:v>0</x:v>
      </x:c>
      <x:c r="E6" s="12" t="str">
        <x:f>IF(C6=D6,"PASA","REVISAR")</x:f>
        <x:v>PASA</x:v>
      </x:c>
    </x:row>
    <x:row r="7" ht="47" customHeight="1">
      <x:c r="A7" s="4" t="str">
        <x:v>CTL-03</x:v>
      </x:c>
      <x:c r="B7" s="4" t="str">
        <x:v>NICE: identidad, referencias y campos</x:v>
      </x:c>
      <x:c r="C7" s="14" t="n">
        <x:f>SUM('03_NICE'!M5:O57)</x:f>
        <x:v>0</x:v>
      </x:c>
      <x:c r="D7" s="16" t="n">
        <x:v>0</x:v>
      </x:c>
      <x:c r="E7" s="12" t="str">
        <x:f>IF(C7=D7,"PASA","REVISAR")</x:f>
        <x:v>PASA</x:v>
      </x:c>
    </x:row>
    <x:row r="8" ht="47" customHeight="1">
      <x:c r="A8" s="4" t="str">
        <x:v>CTL-04</x:v>
      </x:c>
      <x:c r="B8" s="4" t="str">
        <x:v>TKS: identidad, referencias y campos</x:v>
      </x:c>
      <x:c r="C8" s="14" t="n">
        <x:f>SUM('04_TKS'!K5:M72)</x:f>
        <x:v>0</x:v>
      </x:c>
      <x:c r="D8" s="16" t="n">
        <x:v>0</x:v>
      </x:c>
      <x:c r="E8" s="12" t="str">
        <x:f>IF(C8=D8,"PASA","REVISAR")</x:f>
        <x:v>PASA</x:v>
      </x:c>
    </x:row>
    <x:row r="9" ht="47" customHeight="1">
      <x:c r="A9" s="4" t="str">
        <x:v>CTL-05</x:v>
      </x:c>
      <x:c r="B9" s="4" t="str">
        <x:v>Complementos: integridad y admisión</x:v>
      </x:c>
      <x:c r="C9" s="14" t="n">
        <x:f>SUM('05_Complementos'!M5:Q127)</x:f>
        <x:v>0</x:v>
      </x:c>
      <x:c r="D9" s="16" t="n">
        <x:v>0</x:v>
      </x:c>
      <x:c r="E9" s="12" t="str">
        <x:f>IF(C9=D9,"PASA","REVISAR")</x:f>
        <x:v>PASA</x:v>
      </x:c>
    </x:row>
    <x:row r="10" ht="47" customHeight="1">
      <x:c r="A10" s="4" t="str">
        <x:v>CTL-06</x:v>
      </x:c>
      <x:c r="B10" s="4" t="str">
        <x:v>Trazas: hashes, entradas y capturas</x:v>
      </x:c>
      <x:c r="C10" s="14" t="n">
        <x:f>SUM('08_Trazas'!M5:P248)</x:f>
        <x:v>0</x:v>
      </x:c>
      <x:c r="D10" s="16" t="n">
        <x:v>0</x:v>
      </x:c>
      <x:c r="E10" s="12" t="str">
        <x:f>IF(C10=D10,"PASA","REVISAR")</x:f>
        <x:v>PASA</x:v>
      </x:c>
    </x:row>
    <x:row r="11" ht="47" customHeight="1">
      <x:c r="A11" s="4" t="str">
        <x:v>CTL-07</x:v>
      </x:c>
      <x:c r="B11" s="4" t="str">
        <x:v>Operaciones: identidad y campos</x:v>
      </x:c>
      <x:c r="C11" s="14" t="n">
        <x:f>SUM('07_Operaciones'!I5:J26)</x:f>
        <x:v>0</x:v>
      </x:c>
      <x:c r="D11" s="16" t="n">
        <x:v>0</x:v>
      </x:c>
      <x:c r="E11" s="12" t="str">
        <x:f>IF(C11=D11,"PASA","REVISAR")</x:f>
        <x:v>PASA</x:v>
      </x:c>
    </x:row>
    <x:row r="12" ht="47" customHeight="1">
      <x:c r="A12" s="4" t="str">
        <x:v>CTL-08</x:v>
      </x:c>
      <x:c r="B12" s="4" t="str">
        <x:v>Relaciones oficiales: extremos</x:v>
      </x:c>
      <x:c r="C12" s="14" t="n">
        <x:f>SUM('13_Relaciones_NICE'!G5:H186)</x:f>
        <x:v>0</x:v>
      </x:c>
      <x:c r="D12" s="16" t="n">
        <x:v>0</x:v>
      </x:c>
      <x:c r="E12" s="12" t="str">
        <x:f>IF(C12=D12,"PASA","REVISAR")</x:f>
        <x:v>PASA</x:v>
      </x:c>
    </x:row>
    <x:row r="13" ht="47" customHeight="1">
      <x:c r="A13" s="4" t="str">
        <x:v>CTL-09</x:v>
      </x:c>
      <x:c r="B13" s="4" t="str">
        <x:v>Ejes sin ningún respaldo admisible</x:v>
      </x:c>
      <x:c r="C13" s="14" t="n">
        <x:f>COUNTIFS('06_Cobertura'!$D$5:$D$25,0,'06_Cobertura'!$E$5:$E$25,0,'06_Cobertura'!$F$5:$F$25,0)</x:f>
        <x:v>0</x:v>
      </x:c>
      <x:c r="D13" s="16" t="n">
        <x:v>0</x:v>
      </x:c>
      <x:c r="E13" s="12" t="str">
        <x:f>IF(C13=D13,"PASA","REVISAR")</x:f>
        <x:v>PASA</x:v>
      </x:c>
    </x:row>
    <x:row r="14" ht="47" customHeight="1">
      <x:c r="A14" s="4" t="str">
        <x:v>CTL-10</x:v>
      </x:c>
      <x:c r="B14" s="4" t="str">
        <x:v>Total de incidencias estructurales</x:v>
      </x:c>
      <x:c r="C14" s="14" t="n">
        <x:f>SUM(C5:C13)</x:f>
        <x:v>0</x:v>
      </x:c>
      <x:c r="D14" s="16" t="n">
        <x:v>0</x:v>
      </x:c>
      <x:c r="E14" s="12" t="str">
        <x:f>IF(C14=D14,"PASA","REVISAR")</x:f>
        <x:v>PASA</x:v>
      </x:c>
    </x:row>
    <x:row r="15" ht="47" customHeight="1">
      <x:c r="A15" s="4" t="str">
        <x:v>MUT-01</x:v>
      </x:c>
      <x:c r="B15" s="4" t="str">
        <x:v>Duplicar identificador de fuente</x:v>
      </x:c>
      <x:c r="C15" s="4" t="str">
        <x:v>DETECTADO Y RESTAURADO</x:v>
      </x:c>
      <x:c r="D15" s="4" t="str">
        <x:v>Mayor que cero</x:v>
      </x:c>
      <x:c r="E15" s="4" t="str">
        <x:v>Prueba ejecutada antes de exportar.</x:v>
      </x:c>
    </x:row>
    <x:row r="16" ht="47" customHeight="1">
      <x:c r="A16" s="4" t="str">
        <x:v>MUT-02</x:v>
      </x:c>
      <x:c r="B16" s="4" t="str">
        <x:v>Referencia a una fuente inexistente</x:v>
      </x:c>
      <x:c r="C16" s="4" t="str">
        <x:v>DETECTADO Y RESTAURADO</x:v>
      </x:c>
      <x:c r="D16" s="4" t="str">
        <x:v>Mayor que cero</x:v>
      </x:c>
      <x:c r="E16" s="4" t="str">
        <x:v>Prueba ejecutada antes de exportar.</x:v>
      </x:c>
    </x:row>
    <x:row r="17" ht="47" customHeight="1">
      <x:c r="A17" s="4" t="str">
        <x:v>MUT-03</x:v>
      </x:c>
      <x:c r="B17" s="4" t="str">
        <x:v>Acortar una huella de 64 a 63 caracteres</x:v>
      </x:c>
      <x:c r="C17" s="4" t="str">
        <x:v>DETECTADO Y RESTAURADO</x:v>
      </x:c>
      <x:c r="D17" s="4" t="str">
        <x:v>Mayor que cero</x:v>
      </x:c>
      <x:c r="E17" s="4" t="str">
        <x:v>Prueba ejecutada antes de exportar.</x:v>
      </x:c>
    </x:row>
    <x:row r="18" ht="47" customHeight="1">
      <x:c r="A18" s="4" t="str">
        <x:v>MUT-04</x:v>
      </x:c>
      <x:c r="B18" s="4" t="str">
        <x:v>Declarar adoptable una entrada de UC3M parcial</x:v>
      </x:c>
      <x:c r="C18" s="4" t="str">
        <x:v>DETECTADO Y RESTAURADO</x:v>
      </x:c>
      <x:c r="D18" s="4" t="str">
        <x:v>Mayor que cero</x:v>
      </x:c>
      <x:c r="E18" s="4" t="str">
        <x:v>Prueba ejecutada antes de exportar.</x:v>
      </x:c>
    </x:row>
    <x:row r="19" ht="47" customHeight="1">
      <x:c r="A19" s="4" t="str">
        <x:v>MUT-05</x:v>
      </x:c>
      <x:c r="B19" s="4" t="str">
        <x:v>Vaciar una síntesis exigida de TKS</x:v>
      </x:c>
      <x:c r="C19" s="4" t="str">
        <x:v>DETECTADO Y RESTAURADO</x:v>
      </x:c>
      <x:c r="D19" s="4" t="str">
        <x:v>Mayor que cero</x:v>
      </x:c>
      <x:c r="E19" s="4" t="str">
        <x:v>Prueba ejecutada antes de exportar.</x:v>
      </x:c>
    </x:row>
    <x:row r="20" ht="47" customHeight="1">
      <x:c r="A20" s="4" t="str">
        <x:v>BASE</x:v>
      </x:c>
      <x:c r="B20" s="4" t="str">
        <x:v>Estado final después de restauración</x:v>
      </x:c>
      <x:c r="C20" s="12" t="n">
        <x:f>C14</x:f>
        <x:v>0</x:v>
      </x:c>
      <x:c r="D20" s="4" t="n">
        <x:v>0</x:v>
      </x:c>
      <x:c r="E20" s="12" t="str">
        <x:f>IF(C20=D20,"PASA","REVISAR")</x:f>
        <x:v>PASA</x:v>
      </x:c>
    </x:row>
    <x:row r="21" ht="47" customHeight="1">
      <x:c r="A21" s="4" t="str">
        <x:v>LIMITE</x:v>
      </x:c>
      <x:c r="B21" s="4" t="str">
        <x:v>Qué no demuestran las fórmulas</x:v>
      </x:c>
      <x:c r="C21" s="4" t="str">
        <x:v>No validan semántica ni jurisdicción</x:v>
      </x:c>
      <x:c r="D21" s="4" t="str">
        <x:v>REVISIÓN HUMANA</x:v>
      </x:c>
      <x:c r="E21" s="4" t="str">
        <x:v>Los hallazgos de contenido están en 10_Adversarial.</x:v>
      </x:c>
    </x:row>
    <x:row r="22" ht="47" customHeight="1">
      <x:c r="A22" s="4" t="str">
        <x:v>ALCANCE</x:v>
      </x:c>
      <x:c r="B22" s="4" t="str">
        <x:v>Edición estructural futura</x:v>
      </x:c>
      <x:c r="C22" s="4" t="str">
        <x:v>Actualizar tablas y rangos acotados al ampliar el libro</x:v>
      </x:c>
      <x:c r="D22" s="4" t="str">
        <x:v>REVISAR</x:v>
      </x:c>
      <x:c r="E22" s="4" t="str">
        <x:v>Las fórmulas cubren este corte finito; no prometen absorber filas nuevas fuera de las tablas.</x:v>
      </x:c>
    </x:row>
  </x:sheetData>
  <x:mergeCells>
    <x:mergeCell ref="A1:D1"/>
    <x:mergeCell ref="A2:E2"/>
  </x:mergeCells>
  <x:pageMargins left="0.7" right="0.7" top="0.75" bottom="0.75" header="0.3" footer="0.3"/>
  <x:tableParts count="1">
    <x:tablePart xmlns:r="http://schemas.openxmlformats.org/officeDocument/2006/relationships" r:id="R9f49500c0b534c85"/>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36" hidden="0" customWidth="1"/>
    <x:col min="2" max="2" width="120" hidden="0" customWidth="1"/>
  </x:cols>
  <x:sheetData>
    <x:row r="1" ht="35" customHeight="1">
      <x:c r="A1" s="6" t="str">
        <x:v>GLOSARIO · estados y términos</x:v>
      </x:c>
      <x:c r="B1" s="6"/>
    </x:row>
    <x:row r="2" ht="52" customHeight="1">
      <x:c r="A2" s="8" t="str">
        <x:v>Español como lengua de trabajo. Identificadores, títulos originales y nombres técnicos conservan su identidad de fuente.</x:v>
      </x:c>
      <x:c r="B2" s="8"/>
    </x:row>
    <x:row r="3">
      <x:c r="A3" s="4"/>
      <x:c r="B3" s="4"/>
    </x:row>
    <x:row r="4" ht="42" customHeight="1">
      <x:c r="A4" s="10" t="str">
        <x:v>Término</x:v>
      </x:c>
      <x:c r="B4" s="10" t="str">
        <x:v>Significado en este corte</x:v>
      </x:c>
    </x:row>
    <x:row r="5" ht="47" customHeight="1">
      <x:c r="A5" s="4" t="str">
        <x:v>Catálogo principal</x:v>
      </x:c>
      <x:c r="B5" s="4" t="str">
        <x:v>El libro .xlsx; fuente de trabajo y revisión de las normalizaciones y relaciones locales.</x:v>
      </x:c>
    </x:row>
    <x:row r="6" ht="47" customHeight="1">
      <x:c r="A6" s="4" t="str">
        <x:v>Admisión documental</x:v>
      </x:c>
      <x:c r="B6" s="4" t="str">
        <x:v>Lectura y uso de una fuente dentro del alcance declarado. No es adopción humana de sus afirmaciones.</x:v>
      </x:c>
    </x:row>
    <x:row r="7" ht="47" customHeight="1">
      <x:c r="A7" s="4" t="str">
        <x:v>CANDIDATA_NO_ADOPTADA</x:v>
      </x:c>
      <x:c r="B7" s="4" t="str">
        <x:v>Formulación profesional propuesta para este catálogo; sin acto constitutivo humano registrado.</x:v>
      </x:c>
    </x:row>
    <x:row r="8" ht="47" customHeight="1">
      <x:c r="A8" s="4" t="str">
        <x:v>Identificada no adoptable</x:v>
      </x:c>
      <x:c r="B8" s="4" t="str">
        <x:v>Evidencia parcial que no puede sostener la afirmación dependiente de lectura completa.</x:v>
      </x:c>
    </x:row>
    <x:row r="9" ht="47" customHeight="1">
      <x:c r="A9" s="4" t="str">
        <x:v>Pregunta no normativa</x:v>
      </x:c>
      <x:c r="B9" s="4" t="str">
        <x:v>Uso del borrador para revisar cobertura; no obligación ni único fundamento.</x:v>
      </x:c>
    </x:row>
    <x:row r="10" ht="47" customHeight="1">
      <x:c r="A10" s="4" t="str">
        <x:v>Aplicabilidad pendiente</x:v>
      </x:c>
      <x:c r="B10" s="4" t="str">
        <x:v>Texto jurídico identificado; entidad, jurisdicción, rol y tiempo todavía sin resolver para una operación real.</x:v>
      </x:c>
    </x:row>
    <x:row r="11" ht="47" customHeight="1">
      <x:c r="A11" s="4" t="str">
        <x:v>Síntesis controlada</x:v>
      </x:c>
      <x:c r="B11" s="4" t="str">
        <x:v>Redacción de Watson en español; no traducción oficial ni cita del emisor.</x:v>
      </x:c>
    </x:row>
    <x:row r="12" ht="47" customHeight="1">
      <x:c r="A12" s="4" t="str">
        <x:v>Ancla NICE</x:v>
      </x:c>
      <x:c r="B12" s="4" t="str">
        <x:v>Relación local de pertinencia; no equivalencia publicada por NIST ni sustitución del objeto original.</x:v>
      </x:c>
    </x:row>
    <x:row r="13" ht="47" customHeight="1">
      <x:c r="A13" s="4" t="str">
        <x:v>Relación oficial NICE</x:v>
      </x:c>
      <x:c r="B13" s="4" t="str">
        <x:v>Arista projection conservada tal cual del JSON 2.2.0. No equivale por sí misma a identidad de objetos.</x:v>
      </x:c>
    </x:row>
    <x:row r="14" ht="47" customHeight="1">
      <x:c r="A14" s="4" t="str">
        <x:v>Eje de cobertura</x:v>
      </x:c>
      <x:c r="B14" s="4" t="str">
        <x:v>Pregunta para revisar el perímetro; no parámetro, átomo, ruta ni universo.</x:v>
      </x:c>
    </x:row>
    <x:row r="15" ht="47" customHeight="1">
      <x:c r="A15" s="4" t="str">
        <x:v>Operación candidata</x:v>
      </x:c>
      <x:c r="B15" s="4" t="str">
        <x:v>Producto profesional acotado con objeto, desencadenante, autoridad, frontera y término identificados.</x:v>
      </x:c>
    </x:row>
    <x:row r="16" ht="47" customHeight="1">
      <x:c r="A16" s="4" t="str">
        <x:v>TKS</x:v>
      </x:c>
      <x:c r="B16" s="4" t="str">
        <x:v>Tareas, conocimientos y habilidades de NICE; categorías distintas de roles y áreas de competencia.</x:v>
      </x:c>
    </x:row>
    <x:row r="17" ht="47" customHeight="1">
      <x:c r="A17" s="4" t="str">
        <x:v>IA</x:v>
      </x:c>
      <x:c r="B17" s="4" t="str">
        <x:v>Inteligencia artificial; se distingue proteger IA, usarla en ciberseguridad, afrontar amenazas facilitadas por ella y gobernar transversalmente.</x:v>
      </x:c>
    </x:row>
    <x:row r="18" ht="47" customHeight="1">
      <x:c r="A18" s="4" t="str">
        <x:v>Triaje</x:v>
      </x:c>
      <x:c r="B18" s="4" t="str">
        <x:v>Examen inicial de una alerta para documentar su clasificación, evidencia y escalado conforme a criterios constituidos.</x:v>
      </x:c>
    </x:row>
    <x:row r="19" ht="47" customHeight="1">
      <x:c r="A19" s="4" t="str">
        <x:v>Huella SHA-256</x:v>
      </x:c>
      <x:c r="B19" s="4" t="str">
        <x:v>Identificador de integridad de una secuencia de bytes; no prueba verdad, autoría ni aprobación.</x:v>
      </x:c>
    </x:row>
    <x:row r="20" ht="47" customHeight="1">
      <x:c r="A20" s="4" t="str">
        <x:v>Cambio de catálogo externo</x:v>
      </x:c>
      <x:c r="B20" s="4" t="str">
        <x:v>Causa de revisión de referencias; no nuevo símbolo SV, observación, fallo técnico ni Tri.U automático.</x:v>
      </x:c>
    </x:row>
    <x:row r="21" ht="47" customHeight="1">
      <x:c r="A21" s="4" t="str">
        <x:v>Tri</x:v>
      </x:c>
      <x:c r="B21" s="4" t="str">
        <x:v>Alfabeto {0,1,U}; no recibe una sexta salida ni traduce automáticamente números o confianza estadística.</x:v>
      </x:c>
    </x:row>
    <x:row r="22" ht="47" customHeight="1">
      <x:c r="A22" s="4" t="str">
        <x:v>Q0 y doce SP</x:v>
      </x:c>
      <x:c r="B22" s="4" t="str">
        <x:v>Antecedente de Inmunología; no se han validado de nuevo ni integrado productivamente en este corte CYB.</x:v>
      </x:c>
    </x:row>
    <x:row r="23" ht="47" customHeight="1">
      <x:c r="A23" s="4" t="str">
        <x:v>URJC</x:v>
      </x:c>
      <x:c r="B23" s="4" t="str">
        <x:v>Universidad Rey Juan Carlos; universidad del plan rector propuesto.</x:v>
      </x:c>
    </x:row>
    <x:row r="24" ht="47" customHeight="1">
      <x:c r="A24" s="4" t="str">
        <x:v>ECTS</x:v>
      </x:c>
      <x:c r="B24" s="4" t="str">
        <x:v>Sistema Europeo de Transferencia y Acumulación de Créditos; carga académica, no parámetro SV.</x:v>
      </x:c>
    </x:row>
    <x:row r="25" ht="47" customHeight="1">
      <x:c r="A25" s="4" t="str">
        <x:v>UOC</x:v>
      </x:c>
      <x:c r="B25" s="4" t="str">
        <x:v>Units of Credit de UNSW; se conserva su unidad propia, sin conversión a ECTS.</x:v>
      </x:c>
    </x:row>
    <x:row r="26" ht="47" customHeight="1">
      <x:c r="A26" s="4" t="str">
        <x:v>UNSW</x:v>
      </x:c>
      <x:c r="B26" s="4" t="str">
        <x:v>University of New South Wales, Australia.</x:v>
      </x:c>
    </x:row>
    <x:row r="27" ht="47" customHeight="1">
      <x:c r="A27" s="4" t="str">
        <x:v>TFG</x:v>
      </x:c>
      <x:c r="B27" s="4" t="str">
        <x:v>Trabajo Fin de Grado.</x:v>
      </x:c>
    </x:row>
    <x:row r="28" ht="47" customHeight="1">
      <x:c r="A28" s="4" t="str">
        <x:v>ML / DL</x:v>
      </x:c>
      <x:c r="B28" s="4" t="str">
        <x:v>Machine Learning (aprendizaje automático) / Deep Learning (aprendizaje profundo).</x:v>
      </x:c>
    </x:row>
    <x:row r="29" ht="47" customHeight="1">
      <x:c r="A29" s="4" t="str">
        <x:v>SOC</x:v>
      </x:c>
      <x:c r="B29" s="4" t="str">
        <x:v>Security Operations Centre: centro de operaciones de seguridad.</x:v>
      </x:c>
    </x:row>
    <x:row r="30" ht="47" customHeight="1">
      <x:c r="A30" s="4" t="str">
        <x:v>CTI</x:v>
      </x:c>
      <x:c r="B30" s="4" t="str">
        <x:v>Cyber Threat Intelligence: inteligencia de amenazas cibernéticas.</x:v>
      </x:c>
    </x:row>
    <x:row r="31" ht="47" customHeight="1">
      <x:c r="A31" s="4" t="str">
        <x:v>SDN / SDS</x:v>
      </x:c>
      <x:c r="B31" s="4" t="str">
        <x:v>Software-Defined Networking / Software-Defined Security; denominaciones distintas, no equivalencia automática.</x:v>
      </x:c>
    </x:row>
    <x:row r="32" ht="47" customHeight="1">
      <x:c r="A32" s="4" t="str">
        <x:v>eBPF</x:v>
      </x:c>
      <x:c r="B32" s="4" t="str">
        <x:v>Extended Berkeley Packet Filter: tecnología del núcleo Linux; no política ni garantía de seguridad.</x:v>
      </x:c>
    </x:row>
    <x:row r="33" ht="47" customHeight="1">
      <x:c r="A33" s="4" t="str">
        <x:v>P4</x:v>
      </x:c>
      <x:c r="B33" s="4" t="str">
        <x:v>Lenguaje para describir procesamiento de paquetes en el plano de datos; identidad técnica conservada.</x:v>
      </x:c>
    </x:row>
    <x:row r="34" ht="47" customHeight="1">
      <x:c r="A34" s="4" t="str">
        <x:v>TEE</x:v>
      </x:c>
      <x:c r="B34" s="4" t="str">
        <x:v>Trusted Execution Environment: entorno de ejecución confiable.</x:v>
      </x:c>
    </x:row>
    <x:row r="35" ht="47" customHeight="1">
      <x:c r="A35" s="4" t="str">
        <x:v>Shadow AI</x:v>
      </x:c>
      <x:c r="B35" s="4" t="str">
        <x:v>Uso de IA no declarado o ajeno al gobierno de usos de una organización.</x:v>
      </x:c>
    </x:row>
    <x:row r="36" ht="47" customHeight="1">
      <x:c r="A36" s="4" t="str">
        <x:v>CG / CE</x:v>
      </x:c>
      <x:c r="B36" s="4" t="str">
        <x:v>Códigos de competencias generales / específicas de las guías URJC; se conserva la codificación publicada.</x:v>
      </x:c>
    </x:row>
    <x:row r="37" ht="47" customHeight="1">
      <x:c r="A37" s="4" t="str">
        <x:v>RA / CLO</x:v>
      </x:c>
      <x:c r="B37" s="4" t="str">
        <x:v>Resultado de aprendizaje / Course Learning Outcome.</x:v>
      </x:c>
    </x:row>
    <x:row r="38" ht="47" customHeight="1">
      <x:c r="A38" s="4" t="str">
        <x:v>AI RMF / AI TRiSM</x:v>
      </x:c>
      <x:c r="B38" s="4" t="str">
        <x:v>AI Risk Management Framework, de NIST / AI Trust, Risk and Security Management, denominación de Gartner; funciones y acceso documental diferenciados.</x:v>
      </x:c>
    </x:row>
  </x:sheetData>
  <x:mergeCells>
    <x:mergeCell ref="A1:B1"/>
    <x:mergeCell ref="A2:B2"/>
  </x:mergeCells>
  <x:pageMargins left="0.7" right="0.7" top="0.75" bottom="0.75" header="0.3" footer="0.3"/>
  <x:tableParts count="1">
    <x:tablePart xmlns:r="http://schemas.openxmlformats.org/officeDocument/2006/relationships" r:id="R99c4920f54cb4c8b"/>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22" hidden="0" customWidth="1"/>
    <x:col min="2" max="2" width="23" hidden="0" customWidth="1"/>
    <x:col min="3" max="3" width="23" hidden="0" customWidth="1"/>
    <x:col min="4" max="4" width="23" hidden="0" customWidth="1"/>
    <x:col min="5" max="5" width="39" hidden="0" customWidth="1"/>
    <x:col min="6" max="6" width="22" hidden="0" customWidth="1"/>
    <x:col min="7" max="7" width="12" hidden="0" customWidth="1"/>
    <x:col min="8" max="8" width="16" hidden="0" customWidth="1"/>
  </x:cols>
  <x:sheetData>
    <x:row r="1" ht="35" customHeight="1">
      <x:c r="A1" s="6" t="str">
        <x:v>RELACIONES NICE · aristas oficiales</x:v>
      </x:c>
      <x:c r="B1" s="6"/>
      <x:c r="C1" s="6"/>
      <x:c r="D1" s="6"/>
      <x:c r="E1" s="6"/>
      <x:c r="F1" s="6"/>
      <x:c r="G1" s="6"/>
      <x:c r="H1" s="6"/>
    </x:row>
    <x:row r="2" ht="52" customHeight="1">
      <x:c r="A2" s="8" t="str">
        <x:v>182 relaciones del JSON original con ambos extremos seleccionados. Tipo projection conservado; no son los enlaces locales de pertinencia a operaciones.</x:v>
      </x:c>
      <x:c r="B2" s="8"/>
      <x:c r="C2" s="8"/>
      <x:c r="D2" s="8"/>
      <x:c r="E2" s="8"/>
      <x:c r="F2" s="8"/>
      <x:c r="G2" s="8"/>
      <x:c r="H2" s="8"/>
    </x:row>
    <x:row r="3">
      <x:c r="A3" s="4"/>
      <x:c r="B3" s="4"/>
      <x:c r="C3" s="4"/>
      <x:c r="D3" s="4"/>
      <x:c r="E3" s="4"/>
      <x:c r="F3" s="4"/>
      <x:c r="G3" s="4"/>
      <x:c r="H3" s="4"/>
    </x:row>
    <x:row r="4" ht="42" customHeight="1">
      <x:c r="A4" s="10" t="str">
        <x:v>ID local de registro</x:v>
      </x:c>
      <x:c r="B4" s="10" t="str">
        <x:v>Origen NICE</x:v>
      </x:c>
      <x:c r="C4" s="10" t="str">
        <x:v>Destino NICE</x:v>
      </x:c>
      <x:c r="D4" s="10" t="str">
        <x:v>Tipo original</x:v>
      </x:c>
      <x:c r="E4" s="10" t="str">
        <x:v>Procedencia original</x:v>
      </x:c>
      <x:c r="F4" s="10" t="str">
        <x:v>Fuente / edición</x:v>
      </x:c>
      <x:c r="G4" s="10" t="str">
        <x:v>Duplicado</x:v>
      </x:c>
      <x:c r="H4" s="10" t="str">
        <x:v>Extremo ausente</x:v>
      </x:c>
    </x:row>
    <x:row r="5" ht="47" customHeight="1">
      <x:c r="A5" s="4" t="str">
        <x:v>RN-001</x:v>
      </x:c>
      <x:c r="B5" s="4" t="str">
        <x:v>OG-WRL-001</x:v>
      </x:c>
      <x:c r="C5" s="4" t="str">
        <x:v>T1020</x:v>
      </x:c>
      <x:c r="D5" s="4" t="str">
        <x:v>projection</x:v>
      </x:c>
      <x:c r="E5" s="4" t="str">
        <x:v>SP_800_181_2_2_0</x:v>
      </x:c>
      <x:c r="F5" s="4" t="str">
        <x:v>F001 / 2.2.0</x:v>
      </x:c>
      <x:c r="G5" s="12" t="n">
        <x:f>COUNTIFS('13_Relaciones_NICE'!$B$5:$B$186,B5,'13_Relaciones_NICE'!$C$5:$C$186,C5)-1</x:f>
        <x:v>0</x:v>
      </x:c>
      <x:c r="H5" s="12" t="n">
        <x:f>IF(AND(COUNTIF('03_NICE'!$A$5:$A$57,B5)+COUNTIF('04_TKS'!$A$5:$A$72,B5)=1,COUNTIF('03_NICE'!$A$5:$A$57,C5)+COUNTIF('04_TKS'!$A$5:$A$72,C5)=1),0,1)</x:f>
        <x:v>0</x:v>
      </x:c>
    </x:row>
    <x:row r="6" ht="47" customHeight="1">
      <x:c r="A6" s="4" t="str">
        <x:v>RN-002</x:v>
      </x:c>
      <x:c r="B6" s="4" t="str">
        <x:v>OG-WRL-002</x:v>
      </x:c>
      <x:c r="C6" s="4" t="str">
        <x:v>T1020</x:v>
      </x:c>
      <x:c r="D6" s="4" t="str">
        <x:v>projection</x:v>
      </x:c>
      <x:c r="E6" s="4" t="str">
        <x:v>SP_800_181_2_2_0</x:v>
      </x:c>
      <x:c r="F6" s="4" t="str">
        <x:v>F001 / 2.2.0</x:v>
      </x:c>
      <x:c r="G6" s="12" t="n">
        <x:f>COUNTIFS('13_Relaciones_NICE'!$B$5:$B$186,B6,'13_Relaciones_NICE'!$C$5:$C$186,C6)-1</x:f>
        <x:v>0</x:v>
      </x:c>
      <x:c r="H6" s="12" t="n">
        <x:f>IF(AND(COUNTIF('03_NICE'!$A$5:$A$57,B6)+COUNTIF('04_TKS'!$A$5:$A$72,B6)=1,COUNTIF('03_NICE'!$A$5:$A$57,C6)+COUNTIF('04_TKS'!$A$5:$A$72,C6)=1),0,1)</x:f>
        <x:v>0</x:v>
      </x:c>
    </x:row>
    <x:row r="7" ht="47" customHeight="1">
      <x:c r="A7" s="4" t="str">
        <x:v>RN-003</x:v>
      </x:c>
      <x:c r="B7" s="4" t="str">
        <x:v>OG-WRL-003</x:v>
      </x:c>
      <x:c r="C7" s="4" t="str">
        <x:v>T1020</x:v>
      </x:c>
      <x:c r="D7" s="4" t="str">
        <x:v>projection</x:v>
      </x:c>
      <x:c r="E7" s="4" t="str">
        <x:v>SP_800_181_2_2_0</x:v>
      </x:c>
      <x:c r="F7" s="4" t="str">
        <x:v>F001 / 2.2.0</x:v>
      </x:c>
      <x:c r="G7" s="12" t="n">
        <x:f>COUNTIFS('13_Relaciones_NICE'!$B$5:$B$186,B7,'13_Relaciones_NICE'!$C$5:$C$186,C7)-1</x:f>
        <x:v>0</x:v>
      </x:c>
      <x:c r="H7" s="12" t="n">
        <x:f>IF(AND(COUNTIF('03_NICE'!$A$5:$A$57,B7)+COUNTIF('04_TKS'!$A$5:$A$72,B7)=1,COUNTIF('03_NICE'!$A$5:$A$57,C7)+COUNTIF('04_TKS'!$A$5:$A$72,C7)=1),0,1)</x:f>
        <x:v>0</x:v>
      </x:c>
    </x:row>
    <x:row r="8" ht="47" customHeight="1">
      <x:c r="A8" s="4" t="str">
        <x:v>RN-004</x:v>
      </x:c>
      <x:c r="B8" s="4" t="str">
        <x:v>OG-WRL-004</x:v>
      </x:c>
      <x:c r="C8" s="4" t="str">
        <x:v>T1020</x:v>
      </x:c>
      <x:c r="D8" s="4" t="str">
        <x:v>projection</x:v>
      </x:c>
      <x:c r="E8" s="4" t="str">
        <x:v>SP_800_181_2_2_0</x:v>
      </x:c>
      <x:c r="F8" s="4" t="str">
        <x:v>F001 / 2.2.0</x:v>
      </x:c>
      <x:c r="G8" s="12" t="n">
        <x:f>COUNTIFS('13_Relaciones_NICE'!$B$5:$B$186,B8,'13_Relaciones_NICE'!$C$5:$C$186,C8)-1</x:f>
        <x:v>0</x:v>
      </x:c>
      <x:c r="H8" s="12" t="n">
        <x:f>IF(AND(COUNTIF('03_NICE'!$A$5:$A$57,B8)+COUNTIF('04_TKS'!$A$5:$A$72,B8)=1,COUNTIF('03_NICE'!$A$5:$A$57,C8)+COUNTIF('04_TKS'!$A$5:$A$72,C8)=1),0,1)</x:f>
        <x:v>0</x:v>
      </x:c>
    </x:row>
    <x:row r="9" ht="47" customHeight="1">
      <x:c r="A9" s="4" t="str">
        <x:v>RN-005</x:v>
      </x:c>
      <x:c r="B9" s="4" t="str">
        <x:v>OG-WRL-005</x:v>
      </x:c>
      <x:c r="C9" s="4" t="str">
        <x:v>T0101</x:v>
      </x:c>
      <x:c r="D9" s="4" t="str">
        <x:v>projection</x:v>
      </x:c>
      <x:c r="E9" s="4" t="str">
        <x:v>SP_800_181_2_2_0</x:v>
      </x:c>
      <x:c r="F9" s="4" t="str">
        <x:v>F001 / 2.2.0</x:v>
      </x:c>
      <x:c r="G9" s="12" t="n">
        <x:f>COUNTIFS('13_Relaciones_NICE'!$B$5:$B$186,B9,'13_Relaciones_NICE'!$C$5:$C$186,C9)-1</x:f>
        <x:v>0</x:v>
      </x:c>
      <x:c r="H9" s="12" t="n">
        <x:f>IF(AND(COUNTIF('03_NICE'!$A$5:$A$57,B9)+COUNTIF('04_TKS'!$A$5:$A$72,B9)=1,COUNTIF('03_NICE'!$A$5:$A$57,C9)+COUNTIF('04_TKS'!$A$5:$A$72,C9)=1),0,1)</x:f>
        <x:v>0</x:v>
      </x:c>
    </x:row>
    <x:row r="10" ht="47" customHeight="1">
      <x:c r="A10" s="4" t="str">
        <x:v>RN-006</x:v>
      </x:c>
      <x:c r="B10" s="4" t="str">
        <x:v>OG-WRL-005</x:v>
      </x:c>
      <x:c r="C10" s="4" t="str">
        <x:v>T1020</x:v>
      </x:c>
      <x:c r="D10" s="4" t="str">
        <x:v>projection</x:v>
      </x:c>
      <x:c r="E10" s="4" t="str">
        <x:v>SP_800_181_2_2_0</x:v>
      </x:c>
      <x:c r="F10" s="4" t="str">
        <x:v>F001 / 2.2.0</x:v>
      </x:c>
      <x:c r="G10" s="12" t="n">
        <x:f>COUNTIFS('13_Relaciones_NICE'!$B$5:$B$186,B10,'13_Relaciones_NICE'!$C$5:$C$186,C10)-1</x:f>
        <x:v>0</x:v>
      </x:c>
      <x:c r="H10" s="12" t="n">
        <x:f>IF(AND(COUNTIF('03_NICE'!$A$5:$A$57,B10)+COUNTIF('04_TKS'!$A$5:$A$72,B10)=1,COUNTIF('03_NICE'!$A$5:$A$57,C10)+COUNTIF('04_TKS'!$A$5:$A$72,C10)=1),0,1)</x:f>
        <x:v>0</x:v>
      </x:c>
    </x:row>
    <x:row r="11" ht="47" customHeight="1">
      <x:c r="A11" s="4" t="str">
        <x:v>RN-007</x:v>
      </x:c>
      <x:c r="B11" s="4" t="str">
        <x:v>OG-WRL-006</x:v>
      </x:c>
      <x:c r="C11" s="4" t="str">
        <x:v>T0220</x:v>
      </x:c>
      <x:c r="D11" s="4" t="str">
        <x:v>projection</x:v>
      </x:c>
      <x:c r="E11" s="4" t="str">
        <x:v>SP_800_181_2_2_0</x:v>
      </x:c>
      <x:c r="F11" s="4" t="str">
        <x:v>F001 / 2.2.0</x:v>
      </x:c>
      <x:c r="G11" s="12" t="n">
        <x:f>COUNTIFS('13_Relaciones_NICE'!$B$5:$B$186,B11,'13_Relaciones_NICE'!$C$5:$C$186,C11)-1</x:f>
        <x:v>0</x:v>
      </x:c>
      <x:c r="H11" s="12" t="n">
        <x:f>IF(AND(COUNTIF('03_NICE'!$A$5:$A$57,B11)+COUNTIF('04_TKS'!$A$5:$A$72,B11)=1,COUNTIF('03_NICE'!$A$5:$A$57,C11)+COUNTIF('04_TKS'!$A$5:$A$72,C11)=1),0,1)</x:f>
        <x:v>0</x:v>
      </x:c>
    </x:row>
    <x:row r="12" ht="47" customHeight="1">
      <x:c r="A12" s="4" t="str">
        <x:v>RN-008</x:v>
      </x:c>
      <x:c r="B12" s="4" t="str">
        <x:v>OG-WRL-006</x:v>
      </x:c>
      <x:c r="C12" s="4" t="str">
        <x:v>T1020</x:v>
      </x:c>
      <x:c r="D12" s="4" t="str">
        <x:v>projection</x:v>
      </x:c>
      <x:c r="E12" s="4" t="str">
        <x:v>SP_800_181_2_2_0</x:v>
      </x:c>
      <x:c r="F12" s="4" t="str">
        <x:v>F001 / 2.2.0</x:v>
      </x:c>
      <x:c r="G12" s="12" t="n">
        <x:f>COUNTIFS('13_Relaciones_NICE'!$B$5:$B$186,B12,'13_Relaciones_NICE'!$C$5:$C$186,C12)-1</x:f>
        <x:v>0</x:v>
      </x:c>
      <x:c r="H12" s="12" t="n">
        <x:f>IF(AND(COUNTIF('03_NICE'!$A$5:$A$57,B12)+COUNTIF('04_TKS'!$A$5:$A$72,B12)=1,COUNTIF('03_NICE'!$A$5:$A$57,C12)+COUNTIF('04_TKS'!$A$5:$A$72,C12)=1),0,1)</x:f>
        <x:v>0</x:v>
      </x:c>
    </x:row>
    <x:row r="13" ht="47" customHeight="1">
      <x:c r="A13" s="4" t="str">
        <x:v>RN-009</x:v>
      </x:c>
      <x:c r="B13" s="4" t="str">
        <x:v>OG-WRL-007</x:v>
      </x:c>
      <x:c r="C13" s="4" t="str">
        <x:v>T1020</x:v>
      </x:c>
      <x:c r="D13" s="4" t="str">
        <x:v>projection</x:v>
      </x:c>
      <x:c r="E13" s="4" t="str">
        <x:v>SP_800_181_2_2_0</x:v>
      </x:c>
      <x:c r="F13" s="4" t="str">
        <x:v>F001 / 2.2.0</x:v>
      </x:c>
      <x:c r="G13" s="12" t="n">
        <x:f>COUNTIFS('13_Relaciones_NICE'!$B$5:$B$186,B13,'13_Relaciones_NICE'!$C$5:$C$186,C13)-1</x:f>
        <x:v>0</x:v>
      </x:c>
      <x:c r="H13" s="12" t="n">
        <x:f>IF(AND(COUNTIF('03_NICE'!$A$5:$A$57,B13)+COUNTIF('04_TKS'!$A$5:$A$72,B13)=1,COUNTIF('03_NICE'!$A$5:$A$57,C13)+COUNTIF('04_TKS'!$A$5:$A$72,C13)=1),0,1)</x:f>
        <x:v>0</x:v>
      </x:c>
    </x:row>
    <x:row r="14" ht="47" customHeight="1">
      <x:c r="A14" s="4" t="str">
        <x:v>RN-010</x:v>
      </x:c>
      <x:c r="B14" s="4" t="str">
        <x:v>OG-WRL-007</x:v>
      </x:c>
      <x:c r="C14" s="4" t="str">
        <x:v>T1586</x:v>
      </x:c>
      <x:c r="D14" s="4" t="str">
        <x:v>projection</x:v>
      </x:c>
      <x:c r="E14" s="4" t="str">
        <x:v>SP_800_181_2_2_0</x:v>
      </x:c>
      <x:c r="F14" s="4" t="str">
        <x:v>F001 / 2.2.0</x:v>
      </x:c>
      <x:c r="G14" s="12" t="n">
        <x:f>COUNTIFS('13_Relaciones_NICE'!$B$5:$B$186,B14,'13_Relaciones_NICE'!$C$5:$C$186,C14)-1</x:f>
        <x:v>0</x:v>
      </x:c>
      <x:c r="H14" s="12" t="n">
        <x:f>IF(AND(COUNTIF('03_NICE'!$A$5:$A$57,B14)+COUNTIF('04_TKS'!$A$5:$A$72,B14)=1,COUNTIF('03_NICE'!$A$5:$A$57,C14)+COUNTIF('04_TKS'!$A$5:$A$72,C14)=1),0,1)</x:f>
        <x:v>0</x:v>
      </x:c>
    </x:row>
    <x:row r="15" ht="47" customHeight="1">
      <x:c r="A15" s="4" t="str">
        <x:v>RN-011</x:v>
      </x:c>
      <x:c r="B15" s="4" t="str">
        <x:v>OG-WRL-008</x:v>
      </x:c>
      <x:c r="C15" s="4" t="str">
        <x:v>T1020</x:v>
      </x:c>
      <x:c r="D15" s="4" t="str">
        <x:v>projection</x:v>
      </x:c>
      <x:c r="E15" s="4" t="str">
        <x:v>SP_800_181_2_2_0</x:v>
      </x:c>
      <x:c r="F15" s="4" t="str">
        <x:v>F001 / 2.2.0</x:v>
      </x:c>
      <x:c r="G15" s="12" t="n">
        <x:f>COUNTIFS('13_Relaciones_NICE'!$B$5:$B$186,B15,'13_Relaciones_NICE'!$C$5:$C$186,C15)-1</x:f>
        <x:v>0</x:v>
      </x:c>
      <x:c r="H15" s="12" t="n">
        <x:f>IF(AND(COUNTIF('03_NICE'!$A$5:$A$57,B15)+COUNTIF('04_TKS'!$A$5:$A$72,B15)=1,COUNTIF('03_NICE'!$A$5:$A$57,C15)+COUNTIF('04_TKS'!$A$5:$A$72,C15)=1),0,1)</x:f>
        <x:v>0</x:v>
      </x:c>
    </x:row>
    <x:row r="16" ht="47" customHeight="1">
      <x:c r="A16" s="4" t="str">
        <x:v>RN-012</x:v>
      </x:c>
      <x:c r="B16" s="4" t="str">
        <x:v>OG-WRL-008</x:v>
      </x:c>
      <x:c r="C16" s="4" t="str">
        <x:v>T1118</x:v>
      </x:c>
      <x:c r="D16" s="4" t="str">
        <x:v>projection</x:v>
      </x:c>
      <x:c r="E16" s="4" t="str">
        <x:v>SP_800_181_2_2_0</x:v>
      </x:c>
      <x:c r="F16" s="4" t="str">
        <x:v>F001 / 2.2.0</x:v>
      </x:c>
      <x:c r="G16" s="12" t="n">
        <x:f>COUNTIFS('13_Relaciones_NICE'!$B$5:$B$186,B16,'13_Relaciones_NICE'!$C$5:$C$186,C16)-1</x:f>
        <x:v>0</x:v>
      </x:c>
      <x:c r="H16" s="12" t="n">
        <x:f>IF(AND(COUNTIF('03_NICE'!$A$5:$A$57,B16)+COUNTIF('04_TKS'!$A$5:$A$72,B16)=1,COUNTIF('03_NICE'!$A$5:$A$57,C16)+COUNTIF('04_TKS'!$A$5:$A$72,C16)=1),0,1)</x:f>
        <x:v>0</x:v>
      </x:c>
    </x:row>
    <x:row r="17" ht="47" customHeight="1">
      <x:c r="A17" s="4" t="str">
        <x:v>RN-013</x:v>
      </x:c>
      <x:c r="B17" s="4" t="str">
        <x:v>OG-WRL-008</x:v>
      </x:c>
      <x:c r="C17" s="4" t="str">
        <x:v>T1119</x:v>
      </x:c>
      <x:c r="D17" s="4" t="str">
        <x:v>projection</x:v>
      </x:c>
      <x:c r="E17" s="4" t="str">
        <x:v>SP_800_181_2_2_0</x:v>
      </x:c>
      <x:c r="F17" s="4" t="str">
        <x:v>F001 / 2.2.0</x:v>
      </x:c>
      <x:c r="G17" s="12" t="n">
        <x:f>COUNTIFS('13_Relaciones_NICE'!$B$5:$B$186,B17,'13_Relaciones_NICE'!$C$5:$C$186,C17)-1</x:f>
        <x:v>0</x:v>
      </x:c>
      <x:c r="H17" s="12" t="n">
        <x:f>IF(AND(COUNTIF('03_NICE'!$A$5:$A$57,B17)+COUNTIF('04_TKS'!$A$5:$A$72,B17)=1,COUNTIF('03_NICE'!$A$5:$A$57,C17)+COUNTIF('04_TKS'!$A$5:$A$72,C17)=1),0,1)</x:f>
        <x:v>0</x:v>
      </x:c>
    </x:row>
    <x:row r="18" ht="47" customHeight="1">
      <x:c r="A18" s="4" t="str">
        <x:v>RN-014</x:v>
      </x:c>
      <x:c r="B18" s="4" t="str">
        <x:v>OG-WRL-009</x:v>
      </x:c>
      <x:c r="C18" s="4" t="str">
        <x:v>T0220</x:v>
      </x:c>
      <x:c r="D18" s="4" t="str">
        <x:v>projection</x:v>
      </x:c>
      <x:c r="E18" s="4" t="str">
        <x:v>SP_800_181_2_2_0</x:v>
      </x:c>
      <x:c r="F18" s="4" t="str">
        <x:v>F001 / 2.2.0</x:v>
      </x:c>
      <x:c r="G18" s="12" t="n">
        <x:f>COUNTIFS('13_Relaciones_NICE'!$B$5:$B$186,B18,'13_Relaciones_NICE'!$C$5:$C$186,C18)-1</x:f>
        <x:v>0</x:v>
      </x:c>
      <x:c r="H18" s="12" t="n">
        <x:f>IF(AND(COUNTIF('03_NICE'!$A$5:$A$57,B18)+COUNTIF('04_TKS'!$A$5:$A$72,B18)=1,COUNTIF('03_NICE'!$A$5:$A$57,C18)+COUNTIF('04_TKS'!$A$5:$A$72,C18)=1),0,1)</x:f>
        <x:v>0</x:v>
      </x:c>
    </x:row>
    <x:row r="19" ht="47" customHeight="1">
      <x:c r="A19" s="4" t="str">
        <x:v>RN-015</x:v>
      </x:c>
      <x:c r="B19" s="4" t="str">
        <x:v>OG-WRL-009</x:v>
      </x:c>
      <x:c r="C19" s="4" t="str">
        <x:v>T1020</x:v>
      </x:c>
      <x:c r="D19" s="4" t="str">
        <x:v>projection</x:v>
      </x:c>
      <x:c r="E19" s="4" t="str">
        <x:v>SP_800_181_2_2_0</x:v>
      </x:c>
      <x:c r="F19" s="4" t="str">
        <x:v>F001 / 2.2.0</x:v>
      </x:c>
      <x:c r="G19" s="12" t="n">
        <x:f>COUNTIFS('13_Relaciones_NICE'!$B$5:$B$186,B19,'13_Relaciones_NICE'!$C$5:$C$186,C19)-1</x:f>
        <x:v>0</x:v>
      </x:c>
      <x:c r="H19" s="12" t="n">
        <x:f>IF(AND(COUNTIF('03_NICE'!$A$5:$A$57,B19)+COUNTIF('04_TKS'!$A$5:$A$72,B19)=1,COUNTIF('03_NICE'!$A$5:$A$57,C19)+COUNTIF('04_TKS'!$A$5:$A$72,C19)=1),0,1)</x:f>
        <x:v>0</x:v>
      </x:c>
    </x:row>
    <x:row r="20" ht="47" customHeight="1">
      <x:c r="A20" s="4" t="str">
        <x:v>RN-016</x:v>
      </x:c>
      <x:c r="B20" s="4" t="str">
        <x:v>OG-WRL-009</x:v>
      </x:c>
      <x:c r="C20" s="4" t="str">
        <x:v>T1344</x:v>
      </x:c>
      <x:c r="D20" s="4" t="str">
        <x:v>projection</x:v>
      </x:c>
      <x:c r="E20" s="4" t="str">
        <x:v>SP_800_181_2_2_0</x:v>
      </x:c>
      <x:c r="F20" s="4" t="str">
        <x:v>F001 / 2.2.0</x:v>
      </x:c>
      <x:c r="G20" s="12" t="n">
        <x:f>COUNTIFS('13_Relaciones_NICE'!$B$5:$B$186,B20,'13_Relaciones_NICE'!$C$5:$C$186,C20)-1</x:f>
        <x:v>0</x:v>
      </x:c>
      <x:c r="H20" s="12" t="n">
        <x:f>IF(AND(COUNTIF('03_NICE'!$A$5:$A$57,B20)+COUNTIF('04_TKS'!$A$5:$A$72,B20)=1,COUNTIF('03_NICE'!$A$5:$A$57,C20)+COUNTIF('04_TKS'!$A$5:$A$72,C20)=1),0,1)</x:f>
        <x:v>0</x:v>
      </x:c>
    </x:row>
    <x:row r="21" ht="47" customHeight="1">
      <x:c r="A21" s="4" t="str">
        <x:v>RN-017</x:v>
      </x:c>
      <x:c r="B21" s="4" t="str">
        <x:v>OG-WRL-009</x:v>
      </x:c>
      <x:c r="C21" s="4" t="str">
        <x:v>T1366</x:v>
      </x:c>
      <x:c r="D21" s="4" t="str">
        <x:v>projection</x:v>
      </x:c>
      <x:c r="E21" s="4" t="str">
        <x:v>SP_800_181_2_2_0</x:v>
      </x:c>
      <x:c r="F21" s="4" t="str">
        <x:v>F001 / 2.2.0</x:v>
      </x:c>
      <x:c r="G21" s="12" t="n">
        <x:f>COUNTIFS('13_Relaciones_NICE'!$B$5:$B$186,B21,'13_Relaciones_NICE'!$C$5:$C$186,C21)-1</x:f>
        <x:v>0</x:v>
      </x:c>
      <x:c r="H21" s="12" t="n">
        <x:f>IF(AND(COUNTIF('03_NICE'!$A$5:$A$57,B21)+COUNTIF('04_TKS'!$A$5:$A$72,B21)=1,COUNTIF('03_NICE'!$A$5:$A$57,C21)+COUNTIF('04_TKS'!$A$5:$A$72,C21)=1),0,1)</x:f>
        <x:v>0</x:v>
      </x:c>
    </x:row>
    <x:row r="22" ht="47" customHeight="1">
      <x:c r="A22" s="4" t="str">
        <x:v>RN-018</x:v>
      </x:c>
      <x:c r="B22" s="4" t="str">
        <x:v>OG-WRL-009</x:v>
      </x:c>
      <x:c r="C22" s="4" t="str">
        <x:v>T1602</x:v>
      </x:c>
      <x:c r="D22" s="4" t="str">
        <x:v>projection</x:v>
      </x:c>
      <x:c r="E22" s="4" t="str">
        <x:v>SP_800_181_2_2_0</x:v>
      </x:c>
      <x:c r="F22" s="4" t="str">
        <x:v>F001 / 2.2.0</x:v>
      </x:c>
      <x:c r="G22" s="12" t="n">
        <x:f>COUNTIFS('13_Relaciones_NICE'!$B$5:$B$186,B22,'13_Relaciones_NICE'!$C$5:$C$186,C22)-1</x:f>
        <x:v>0</x:v>
      </x:c>
      <x:c r="H22" s="12" t="n">
        <x:f>IF(AND(COUNTIF('03_NICE'!$A$5:$A$57,B22)+COUNTIF('04_TKS'!$A$5:$A$72,B22)=1,COUNTIF('03_NICE'!$A$5:$A$57,C22)+COUNTIF('04_TKS'!$A$5:$A$72,C22)=1),0,1)</x:f>
        <x:v>0</x:v>
      </x:c>
    </x:row>
    <x:row r="23" ht="47" customHeight="1">
      <x:c r="A23" s="4" t="str">
        <x:v>RN-019</x:v>
      </x:c>
      <x:c r="B23" s="4" t="str">
        <x:v>OG-WRL-010</x:v>
      </x:c>
      <x:c r="C23" s="4" t="str">
        <x:v>T0220</x:v>
      </x:c>
      <x:c r="D23" s="4" t="str">
        <x:v>projection</x:v>
      </x:c>
      <x:c r="E23" s="4" t="str">
        <x:v>SP_800_181_2_2_0</x:v>
      </x:c>
      <x:c r="F23" s="4" t="str">
        <x:v>F001 / 2.2.0</x:v>
      </x:c>
      <x:c r="G23" s="12" t="n">
        <x:f>COUNTIFS('13_Relaciones_NICE'!$B$5:$B$186,B23,'13_Relaciones_NICE'!$C$5:$C$186,C23)-1</x:f>
        <x:v>0</x:v>
      </x:c>
      <x:c r="H23" s="12" t="n">
        <x:f>IF(AND(COUNTIF('03_NICE'!$A$5:$A$57,B23)+COUNTIF('04_TKS'!$A$5:$A$72,B23)=1,COUNTIF('03_NICE'!$A$5:$A$57,C23)+COUNTIF('04_TKS'!$A$5:$A$72,C23)=1),0,1)</x:f>
        <x:v>0</x:v>
      </x:c>
    </x:row>
    <x:row r="24" ht="47" customHeight="1">
      <x:c r="A24" s="4" t="str">
        <x:v>RN-020</x:v>
      </x:c>
      <x:c r="B24" s="4" t="str">
        <x:v>OG-WRL-010</x:v>
      </x:c>
      <x:c r="C24" s="4" t="str">
        <x:v>T1020</x:v>
      </x:c>
      <x:c r="D24" s="4" t="str">
        <x:v>projection</x:v>
      </x:c>
      <x:c r="E24" s="4" t="str">
        <x:v>SP_800_181_2_2_0</x:v>
      </x:c>
      <x:c r="F24" s="4" t="str">
        <x:v>F001 / 2.2.0</x:v>
      </x:c>
      <x:c r="G24" s="12" t="n">
        <x:f>COUNTIFS('13_Relaciones_NICE'!$B$5:$B$186,B24,'13_Relaciones_NICE'!$C$5:$C$186,C24)-1</x:f>
        <x:v>0</x:v>
      </x:c>
      <x:c r="H24" s="12" t="n">
        <x:f>IF(AND(COUNTIF('03_NICE'!$A$5:$A$57,B24)+COUNTIF('04_TKS'!$A$5:$A$72,B24)=1,COUNTIF('03_NICE'!$A$5:$A$57,C24)+COUNTIF('04_TKS'!$A$5:$A$72,C24)=1),0,1)</x:f>
        <x:v>0</x:v>
      </x:c>
    </x:row>
    <x:row r="25" ht="47" customHeight="1">
      <x:c r="A25" s="4" t="str">
        <x:v>RN-021</x:v>
      </x:c>
      <x:c r="B25" s="4" t="str">
        <x:v>OG-WRL-010</x:v>
      </x:c>
      <x:c r="C25" s="4" t="str">
        <x:v>T1344</x:v>
      </x:c>
      <x:c r="D25" s="4" t="str">
        <x:v>projection</x:v>
      </x:c>
      <x:c r="E25" s="4" t="str">
        <x:v>SP_800_181_2_2_0</x:v>
      </x:c>
      <x:c r="F25" s="4" t="str">
        <x:v>F001 / 2.2.0</x:v>
      </x:c>
      <x:c r="G25" s="12" t="n">
        <x:f>COUNTIFS('13_Relaciones_NICE'!$B$5:$B$186,B25,'13_Relaciones_NICE'!$C$5:$C$186,C25)-1</x:f>
        <x:v>0</x:v>
      </x:c>
      <x:c r="H25" s="12" t="n">
        <x:f>IF(AND(COUNTIF('03_NICE'!$A$5:$A$57,B25)+COUNTIF('04_TKS'!$A$5:$A$72,B25)=1,COUNTIF('03_NICE'!$A$5:$A$57,C25)+COUNTIF('04_TKS'!$A$5:$A$72,C25)=1),0,1)</x:f>
        <x:v>0</x:v>
      </x:c>
    </x:row>
    <x:row r="26" ht="47" customHeight="1">
      <x:c r="A26" s="4" t="str">
        <x:v>RN-022</x:v>
      </x:c>
      <x:c r="B26" s="4" t="str">
        <x:v>OG-WRL-010</x:v>
      </x:c>
      <x:c r="C26" s="4" t="str">
        <x:v>T1366</x:v>
      </x:c>
      <x:c r="D26" s="4" t="str">
        <x:v>projection</x:v>
      </x:c>
      <x:c r="E26" s="4" t="str">
        <x:v>SP_800_181_2_2_0</x:v>
      </x:c>
      <x:c r="F26" s="4" t="str">
        <x:v>F001 / 2.2.0</x:v>
      </x:c>
      <x:c r="G26" s="12" t="n">
        <x:f>COUNTIFS('13_Relaciones_NICE'!$B$5:$B$186,B26,'13_Relaciones_NICE'!$C$5:$C$186,C26)-1</x:f>
        <x:v>0</x:v>
      </x:c>
      <x:c r="H26" s="12" t="n">
        <x:f>IF(AND(COUNTIF('03_NICE'!$A$5:$A$57,B26)+COUNTIF('04_TKS'!$A$5:$A$72,B26)=1,COUNTIF('03_NICE'!$A$5:$A$57,C26)+COUNTIF('04_TKS'!$A$5:$A$72,C26)=1),0,1)</x:f>
        <x:v>0</x:v>
      </x:c>
    </x:row>
    <x:row r="27" ht="47" customHeight="1">
      <x:c r="A27" s="4" t="str">
        <x:v>RN-023</x:v>
      </x:c>
      <x:c r="B27" s="4" t="str">
        <x:v>OG-WRL-010</x:v>
      </x:c>
      <x:c r="C27" s="4" t="str">
        <x:v>T1602</x:v>
      </x:c>
      <x:c r="D27" s="4" t="str">
        <x:v>projection</x:v>
      </x:c>
      <x:c r="E27" s="4" t="str">
        <x:v>SP_800_181_2_2_0</x:v>
      </x:c>
      <x:c r="F27" s="4" t="str">
        <x:v>F001 / 2.2.0</x:v>
      </x:c>
      <x:c r="G27" s="12" t="n">
        <x:f>COUNTIFS('13_Relaciones_NICE'!$B$5:$B$186,B27,'13_Relaciones_NICE'!$C$5:$C$186,C27)-1</x:f>
        <x:v>0</x:v>
      </x:c>
      <x:c r="H27" s="12" t="n">
        <x:f>IF(AND(COUNTIF('03_NICE'!$A$5:$A$57,B27)+COUNTIF('04_TKS'!$A$5:$A$72,B27)=1,COUNTIF('03_NICE'!$A$5:$A$57,C27)+COUNTIF('04_TKS'!$A$5:$A$72,C27)=1),0,1)</x:f>
        <x:v>0</x:v>
      </x:c>
    </x:row>
    <x:row r="28" ht="47" customHeight="1">
      <x:c r="A28" s="4" t="str">
        <x:v>RN-024</x:v>
      </x:c>
      <x:c r="B28" s="4" t="str">
        <x:v>OG-WRL-011</x:v>
      </x:c>
      <x:c r="C28" s="4" t="str">
        <x:v>T0220</x:v>
      </x:c>
      <x:c r="D28" s="4" t="str">
        <x:v>projection</x:v>
      </x:c>
      <x:c r="E28" s="4" t="str">
        <x:v>SP_800_181_2_2_0</x:v>
      </x:c>
      <x:c r="F28" s="4" t="str">
        <x:v>F001 / 2.2.0</x:v>
      </x:c>
      <x:c r="G28" s="12" t="n">
        <x:f>COUNTIFS('13_Relaciones_NICE'!$B$5:$B$186,B28,'13_Relaciones_NICE'!$C$5:$C$186,C28)-1</x:f>
        <x:v>0</x:v>
      </x:c>
      <x:c r="H28" s="12" t="n">
        <x:f>IF(AND(COUNTIF('03_NICE'!$A$5:$A$57,B28)+COUNTIF('04_TKS'!$A$5:$A$72,B28)=1,COUNTIF('03_NICE'!$A$5:$A$57,C28)+COUNTIF('04_TKS'!$A$5:$A$72,C28)=1),0,1)</x:f>
        <x:v>0</x:v>
      </x:c>
    </x:row>
    <x:row r="29" ht="47" customHeight="1">
      <x:c r="A29" s="4" t="str">
        <x:v>RN-025</x:v>
      </x:c>
      <x:c r="B29" s="4" t="str">
        <x:v>OG-WRL-011</x:v>
      </x:c>
      <x:c r="C29" s="4" t="str">
        <x:v>T1020</x:v>
      </x:c>
      <x:c r="D29" s="4" t="str">
        <x:v>projection</x:v>
      </x:c>
      <x:c r="E29" s="4" t="str">
        <x:v>SP_800_181_2_2_0</x:v>
      </x:c>
      <x:c r="F29" s="4" t="str">
        <x:v>F001 / 2.2.0</x:v>
      </x:c>
      <x:c r="G29" s="12" t="n">
        <x:f>COUNTIFS('13_Relaciones_NICE'!$B$5:$B$186,B29,'13_Relaciones_NICE'!$C$5:$C$186,C29)-1</x:f>
        <x:v>0</x:v>
      </x:c>
      <x:c r="H29" s="12" t="n">
        <x:f>IF(AND(COUNTIF('03_NICE'!$A$5:$A$57,B29)+COUNTIF('04_TKS'!$A$5:$A$72,B29)=1,COUNTIF('03_NICE'!$A$5:$A$57,C29)+COUNTIF('04_TKS'!$A$5:$A$72,C29)=1),0,1)</x:f>
        <x:v>0</x:v>
      </x:c>
    </x:row>
    <x:row r="30" ht="47" customHeight="1">
      <x:c r="A30" s="4" t="str">
        <x:v>RN-026</x:v>
      </x:c>
      <x:c r="B30" s="4" t="str">
        <x:v>OG-WRL-011</x:v>
      </x:c>
      <x:c r="C30" s="4" t="str">
        <x:v>T1344</x:v>
      </x:c>
      <x:c r="D30" s="4" t="str">
        <x:v>projection</x:v>
      </x:c>
      <x:c r="E30" s="4" t="str">
        <x:v>SP_800_181_2_2_0</x:v>
      </x:c>
      <x:c r="F30" s="4" t="str">
        <x:v>F001 / 2.2.0</x:v>
      </x:c>
      <x:c r="G30" s="12" t="n">
        <x:f>COUNTIFS('13_Relaciones_NICE'!$B$5:$B$186,B30,'13_Relaciones_NICE'!$C$5:$C$186,C30)-1</x:f>
        <x:v>0</x:v>
      </x:c>
      <x:c r="H30" s="12" t="n">
        <x:f>IF(AND(COUNTIF('03_NICE'!$A$5:$A$57,B30)+COUNTIF('04_TKS'!$A$5:$A$72,B30)=1,COUNTIF('03_NICE'!$A$5:$A$57,C30)+COUNTIF('04_TKS'!$A$5:$A$72,C30)=1),0,1)</x:f>
        <x:v>0</x:v>
      </x:c>
    </x:row>
    <x:row r="31" ht="47" customHeight="1">
      <x:c r="A31" s="4" t="str">
        <x:v>RN-027</x:v>
      </x:c>
      <x:c r="B31" s="4" t="str">
        <x:v>OG-WRL-011</x:v>
      </x:c>
      <x:c r="C31" s="4" t="str">
        <x:v>T1366</x:v>
      </x:c>
      <x:c r="D31" s="4" t="str">
        <x:v>projection</x:v>
      </x:c>
      <x:c r="E31" s="4" t="str">
        <x:v>SP_800_181_2_2_0</x:v>
      </x:c>
      <x:c r="F31" s="4" t="str">
        <x:v>F001 / 2.2.0</x:v>
      </x:c>
      <x:c r="G31" s="12" t="n">
        <x:f>COUNTIFS('13_Relaciones_NICE'!$B$5:$B$186,B31,'13_Relaciones_NICE'!$C$5:$C$186,C31)-1</x:f>
        <x:v>0</x:v>
      </x:c>
      <x:c r="H31" s="12" t="n">
        <x:f>IF(AND(COUNTIF('03_NICE'!$A$5:$A$57,B31)+COUNTIF('04_TKS'!$A$5:$A$72,B31)=1,COUNTIF('03_NICE'!$A$5:$A$57,C31)+COUNTIF('04_TKS'!$A$5:$A$72,C31)=1),0,1)</x:f>
        <x:v>0</x:v>
      </x:c>
    </x:row>
    <x:row r="32" ht="47" customHeight="1">
      <x:c r="A32" s="4" t="str">
        <x:v>RN-028</x:v>
      </x:c>
      <x:c r="B32" s="4" t="str">
        <x:v>OG-WRL-011</x:v>
      </x:c>
      <x:c r="C32" s="4" t="str">
        <x:v>T1602</x:v>
      </x:c>
      <x:c r="D32" s="4" t="str">
        <x:v>projection</x:v>
      </x:c>
      <x:c r="E32" s="4" t="str">
        <x:v>SP_800_181_2_2_0</x:v>
      </x:c>
      <x:c r="F32" s="4" t="str">
        <x:v>F001 / 2.2.0</x:v>
      </x:c>
      <x:c r="G32" s="12" t="n">
        <x:f>COUNTIFS('13_Relaciones_NICE'!$B$5:$B$186,B32,'13_Relaciones_NICE'!$C$5:$C$186,C32)-1</x:f>
        <x:v>0</x:v>
      </x:c>
      <x:c r="H32" s="12" t="n">
        <x:f>IF(AND(COUNTIF('03_NICE'!$A$5:$A$57,B32)+COUNTIF('04_TKS'!$A$5:$A$72,B32)=1,COUNTIF('03_NICE'!$A$5:$A$57,C32)+COUNTIF('04_TKS'!$A$5:$A$72,C32)=1),0,1)</x:f>
        <x:v>0</x:v>
      </x:c>
    </x:row>
    <x:row r="33" ht="47" customHeight="1">
      <x:c r="A33" s="4" t="str">
        <x:v>RN-029</x:v>
      </x:c>
      <x:c r="B33" s="4" t="str">
        <x:v>OG-WRL-012</x:v>
      </x:c>
      <x:c r="C33" s="4" t="str">
        <x:v>K0658</x:v>
      </x:c>
      <x:c r="D33" s="4" t="str">
        <x:v>projection</x:v>
      </x:c>
      <x:c r="E33" s="4" t="str">
        <x:v>SP_800_181_2_2_0</x:v>
      </x:c>
      <x:c r="F33" s="4" t="str">
        <x:v>F001 / 2.2.0</x:v>
      </x:c>
      <x:c r="G33" s="12" t="n">
        <x:f>COUNTIFS('13_Relaciones_NICE'!$B$5:$B$186,B33,'13_Relaciones_NICE'!$C$5:$C$186,C33)-1</x:f>
        <x:v>0</x:v>
      </x:c>
      <x:c r="H33" s="12" t="n">
        <x:f>IF(AND(COUNTIF('03_NICE'!$A$5:$A$57,B33)+COUNTIF('04_TKS'!$A$5:$A$72,B33)=1,COUNTIF('03_NICE'!$A$5:$A$57,C33)+COUNTIF('04_TKS'!$A$5:$A$72,C33)=1),0,1)</x:f>
        <x:v>0</x:v>
      </x:c>
    </x:row>
    <x:row r="34" ht="47" customHeight="1">
      <x:c r="A34" s="4" t="str">
        <x:v>RN-030</x:v>
      </x:c>
      <x:c r="B34" s="4" t="str">
        <x:v>OG-WRL-012</x:v>
      </x:c>
      <x:c r="C34" s="4" t="str">
        <x:v>K0711</x:v>
      </x:c>
      <x:c r="D34" s="4" t="str">
        <x:v>projection</x:v>
      </x:c>
      <x:c r="E34" s="4" t="str">
        <x:v>SP_800_181_2_2_0</x:v>
      </x:c>
      <x:c r="F34" s="4" t="str">
        <x:v>F001 / 2.2.0</x:v>
      </x:c>
      <x:c r="G34" s="12" t="n">
        <x:f>COUNTIFS('13_Relaciones_NICE'!$B$5:$B$186,B34,'13_Relaciones_NICE'!$C$5:$C$186,C34)-1</x:f>
        <x:v>0</x:v>
      </x:c>
      <x:c r="H34" s="12" t="n">
        <x:f>IF(AND(COUNTIF('03_NICE'!$A$5:$A$57,B34)+COUNTIF('04_TKS'!$A$5:$A$72,B34)=1,COUNTIF('03_NICE'!$A$5:$A$57,C34)+COUNTIF('04_TKS'!$A$5:$A$72,C34)=1),0,1)</x:f>
        <x:v>0</x:v>
      </x:c>
    </x:row>
    <x:row r="35" ht="47" customHeight="1">
      <x:c r="A35" s="4" t="str">
        <x:v>RN-031</x:v>
      </x:c>
      <x:c r="B35" s="4" t="str">
        <x:v>OG-WRL-012</x:v>
      </x:c>
      <x:c r="C35" s="4" t="str">
        <x:v>K0742</x:v>
      </x:c>
      <x:c r="D35" s="4" t="str">
        <x:v>projection</x:v>
      </x:c>
      <x:c r="E35" s="4" t="str">
        <x:v>SP_800_181_2_2_0</x:v>
      </x:c>
      <x:c r="F35" s="4" t="str">
        <x:v>F001 / 2.2.0</x:v>
      </x:c>
      <x:c r="G35" s="12" t="n">
        <x:f>COUNTIFS('13_Relaciones_NICE'!$B$5:$B$186,B35,'13_Relaciones_NICE'!$C$5:$C$186,C35)-1</x:f>
        <x:v>0</x:v>
      </x:c>
      <x:c r="H35" s="12" t="n">
        <x:f>IF(AND(COUNTIF('03_NICE'!$A$5:$A$57,B35)+COUNTIF('04_TKS'!$A$5:$A$72,B35)=1,COUNTIF('03_NICE'!$A$5:$A$57,C35)+COUNTIF('04_TKS'!$A$5:$A$72,C35)=1),0,1)</x:f>
        <x:v>0</x:v>
      </x:c>
    </x:row>
    <x:row r="36" ht="47" customHeight="1">
      <x:c r="A36" s="4" t="str">
        <x:v>RN-032</x:v>
      </x:c>
      <x:c r="B36" s="4" t="str">
        <x:v>OG-WRL-012</x:v>
      </x:c>
      <x:c r="C36" s="4" t="str">
        <x:v>S0443</x:v>
      </x:c>
      <x:c r="D36" s="4" t="str">
        <x:v>projection</x:v>
      </x:c>
      <x:c r="E36" s="4" t="str">
        <x:v>SP_800_181_2_2_0</x:v>
      </x:c>
      <x:c r="F36" s="4" t="str">
        <x:v>F001 / 2.2.0</x:v>
      </x:c>
      <x:c r="G36" s="12" t="n">
        <x:f>COUNTIFS('13_Relaciones_NICE'!$B$5:$B$186,B36,'13_Relaciones_NICE'!$C$5:$C$186,C36)-1</x:f>
        <x:v>0</x:v>
      </x:c>
      <x:c r="H36" s="12" t="n">
        <x:f>IF(AND(COUNTIF('03_NICE'!$A$5:$A$57,B36)+COUNTIF('04_TKS'!$A$5:$A$72,B36)=1,COUNTIF('03_NICE'!$A$5:$A$57,C36)+COUNTIF('04_TKS'!$A$5:$A$72,C36)=1),0,1)</x:f>
        <x:v>0</x:v>
      </x:c>
    </x:row>
    <x:row r="37" ht="47" customHeight="1">
      <x:c r="A37" s="4" t="str">
        <x:v>RN-033</x:v>
      </x:c>
      <x:c r="B37" s="4" t="str">
        <x:v>OG-WRL-012</x:v>
      </x:c>
      <x:c r="C37" s="4" t="str">
        <x:v>T0309</x:v>
      </x:c>
      <x:c r="D37" s="4" t="str">
        <x:v>projection</x:v>
      </x:c>
      <x:c r="E37" s="4" t="str">
        <x:v>SP_800_181_2_2_0</x:v>
      </x:c>
      <x:c r="F37" s="4" t="str">
        <x:v>F001 / 2.2.0</x:v>
      </x:c>
      <x:c r="G37" s="12" t="n">
        <x:f>COUNTIFS('13_Relaciones_NICE'!$B$5:$B$186,B37,'13_Relaciones_NICE'!$C$5:$C$186,C37)-1</x:f>
        <x:v>0</x:v>
      </x:c>
      <x:c r="H37" s="12" t="n">
        <x:f>IF(AND(COUNTIF('03_NICE'!$A$5:$A$57,B37)+COUNTIF('04_TKS'!$A$5:$A$72,B37)=1,COUNTIF('03_NICE'!$A$5:$A$57,C37)+COUNTIF('04_TKS'!$A$5:$A$72,C37)=1),0,1)</x:f>
        <x:v>0</x:v>
      </x:c>
    </x:row>
    <x:row r="38" ht="47" customHeight="1">
      <x:c r="A38" s="4" t="str">
        <x:v>RN-034</x:v>
      </x:c>
      <x:c r="B38" s="4" t="str">
        <x:v>OG-WRL-012</x:v>
      </x:c>
      <x:c r="C38" s="4" t="str">
        <x:v>T1020</x:v>
      </x:c>
      <x:c r="D38" s="4" t="str">
        <x:v>projection</x:v>
      </x:c>
      <x:c r="E38" s="4" t="str">
        <x:v>SP_800_181_2_2_0</x:v>
      </x:c>
      <x:c r="F38" s="4" t="str">
        <x:v>F001 / 2.2.0</x:v>
      </x:c>
      <x:c r="G38" s="12" t="n">
        <x:f>COUNTIFS('13_Relaciones_NICE'!$B$5:$B$186,B38,'13_Relaciones_NICE'!$C$5:$C$186,C38)-1</x:f>
        <x:v>0</x:v>
      </x:c>
      <x:c r="H38" s="12" t="n">
        <x:f>IF(AND(COUNTIF('03_NICE'!$A$5:$A$57,B38)+COUNTIF('04_TKS'!$A$5:$A$72,B38)=1,COUNTIF('03_NICE'!$A$5:$A$57,C38)+COUNTIF('04_TKS'!$A$5:$A$72,C38)=1),0,1)</x:f>
        <x:v>0</x:v>
      </x:c>
    </x:row>
    <x:row r="39" ht="47" customHeight="1">
      <x:c r="A39" s="4" t="str">
        <x:v>RN-035</x:v>
      </x:c>
      <x:c r="B39" s="4" t="str">
        <x:v>OG-WRL-012</x:v>
      </x:c>
      <x:c r="C39" s="4" t="str">
        <x:v>T1118</x:v>
      </x:c>
      <x:c r="D39" s="4" t="str">
        <x:v>projection</x:v>
      </x:c>
      <x:c r="E39" s="4" t="str">
        <x:v>SP_800_181_2_2_0</x:v>
      </x:c>
      <x:c r="F39" s="4" t="str">
        <x:v>F001 / 2.2.0</x:v>
      </x:c>
      <x:c r="G39" s="12" t="n">
        <x:f>COUNTIFS('13_Relaciones_NICE'!$B$5:$B$186,B39,'13_Relaciones_NICE'!$C$5:$C$186,C39)-1</x:f>
        <x:v>0</x:v>
      </x:c>
      <x:c r="H39" s="12" t="n">
        <x:f>IF(AND(COUNTIF('03_NICE'!$A$5:$A$57,B39)+COUNTIF('04_TKS'!$A$5:$A$72,B39)=1,COUNTIF('03_NICE'!$A$5:$A$57,C39)+COUNTIF('04_TKS'!$A$5:$A$72,C39)=1),0,1)</x:f>
        <x:v>0</x:v>
      </x:c>
    </x:row>
    <x:row r="40" ht="47" customHeight="1">
      <x:c r="A40" s="4" t="str">
        <x:v>RN-036</x:v>
      </x:c>
      <x:c r="B40" s="4" t="str">
        <x:v>OG-WRL-012</x:v>
      </x:c>
      <x:c r="C40" s="4" t="str">
        <x:v>T1119</x:v>
      </x:c>
      <x:c r="D40" s="4" t="str">
        <x:v>projection</x:v>
      </x:c>
      <x:c r="E40" s="4" t="str">
        <x:v>SP_800_181_2_2_0</x:v>
      </x:c>
      <x:c r="F40" s="4" t="str">
        <x:v>F001 / 2.2.0</x:v>
      </x:c>
      <x:c r="G40" s="12" t="n">
        <x:f>COUNTIFS('13_Relaciones_NICE'!$B$5:$B$186,B40,'13_Relaciones_NICE'!$C$5:$C$186,C40)-1</x:f>
        <x:v>0</x:v>
      </x:c>
      <x:c r="H40" s="12" t="n">
        <x:f>IF(AND(COUNTIF('03_NICE'!$A$5:$A$57,B40)+COUNTIF('04_TKS'!$A$5:$A$72,B40)=1,COUNTIF('03_NICE'!$A$5:$A$57,C40)+COUNTIF('04_TKS'!$A$5:$A$72,C40)=1),0,1)</x:f>
        <x:v>0</x:v>
      </x:c>
    </x:row>
    <x:row r="41" ht="47" customHeight="1">
      <x:c r="A41" s="4" t="str">
        <x:v>RN-037</x:v>
      </x:c>
      <x:c r="B41" s="4" t="str">
        <x:v>OG-WRL-013</x:v>
      </x:c>
      <x:c r="C41" s="4" t="str">
        <x:v>K0711</x:v>
      </x:c>
      <x:c r="D41" s="4" t="str">
        <x:v>projection</x:v>
      </x:c>
      <x:c r="E41" s="4" t="str">
        <x:v>SP_800_181_2_2_0</x:v>
      </x:c>
      <x:c r="F41" s="4" t="str">
        <x:v>F001 / 2.2.0</x:v>
      </x:c>
      <x:c r="G41" s="12" t="n">
        <x:f>COUNTIFS('13_Relaciones_NICE'!$B$5:$B$186,B41,'13_Relaciones_NICE'!$C$5:$C$186,C41)-1</x:f>
        <x:v>0</x:v>
      </x:c>
      <x:c r="H41" s="12" t="n">
        <x:f>IF(AND(COUNTIF('03_NICE'!$A$5:$A$57,B41)+COUNTIF('04_TKS'!$A$5:$A$72,B41)=1,COUNTIF('03_NICE'!$A$5:$A$57,C41)+COUNTIF('04_TKS'!$A$5:$A$72,C41)=1),0,1)</x:f>
        <x:v>0</x:v>
      </x:c>
    </x:row>
    <x:row r="42" ht="47" customHeight="1">
      <x:c r="A42" s="4" t="str">
        <x:v>RN-038</x:v>
      </x:c>
      <x:c r="B42" s="4" t="str">
        <x:v>OG-WRL-013</x:v>
      </x:c>
      <x:c r="C42" s="4" t="str">
        <x:v>T1020</x:v>
      </x:c>
      <x:c r="D42" s="4" t="str">
        <x:v>projection</x:v>
      </x:c>
      <x:c r="E42" s="4" t="str">
        <x:v>SP_800_181_2_2_0</x:v>
      </x:c>
      <x:c r="F42" s="4" t="str">
        <x:v>F001 / 2.2.0</x:v>
      </x:c>
      <x:c r="G42" s="12" t="n">
        <x:f>COUNTIFS('13_Relaciones_NICE'!$B$5:$B$186,B42,'13_Relaciones_NICE'!$C$5:$C$186,C42)-1</x:f>
        <x:v>0</x:v>
      </x:c>
      <x:c r="H42" s="12" t="n">
        <x:f>IF(AND(COUNTIF('03_NICE'!$A$5:$A$57,B42)+COUNTIF('04_TKS'!$A$5:$A$72,B42)=1,COUNTIF('03_NICE'!$A$5:$A$57,C42)+COUNTIF('04_TKS'!$A$5:$A$72,C42)=1),0,1)</x:f>
        <x:v>0</x:v>
      </x:c>
    </x:row>
    <x:row r="43" ht="47" customHeight="1">
      <x:c r="A43" s="4" t="str">
        <x:v>RN-039</x:v>
      </x:c>
      <x:c r="B43" s="4" t="str">
        <x:v>OG-WRL-014</x:v>
      </x:c>
      <x:c r="C43" s="4" t="str">
        <x:v>T1020</x:v>
      </x:c>
      <x:c r="D43" s="4" t="str">
        <x:v>projection</x:v>
      </x:c>
      <x:c r="E43" s="4" t="str">
        <x:v>SP_800_181_2_2_0</x:v>
      </x:c>
      <x:c r="F43" s="4" t="str">
        <x:v>F001 / 2.2.0</x:v>
      </x:c>
      <x:c r="G43" s="12" t="n">
        <x:f>COUNTIFS('13_Relaciones_NICE'!$B$5:$B$186,B43,'13_Relaciones_NICE'!$C$5:$C$186,C43)-1</x:f>
        <x:v>0</x:v>
      </x:c>
      <x:c r="H43" s="12" t="n">
        <x:f>IF(AND(COUNTIF('03_NICE'!$A$5:$A$57,B43)+COUNTIF('04_TKS'!$A$5:$A$72,B43)=1,COUNTIF('03_NICE'!$A$5:$A$57,C43)+COUNTIF('04_TKS'!$A$5:$A$72,C43)=1),0,1)</x:f>
        <x:v>0</x:v>
      </x:c>
    </x:row>
    <x:row r="44" ht="47" customHeight="1">
      <x:c r="A44" s="4" t="str">
        <x:v>RN-040</x:v>
      </x:c>
      <x:c r="B44" s="4" t="str">
        <x:v>OG-WRL-014</x:v>
      </x:c>
      <x:c r="C44" s="4" t="str">
        <x:v>T1344</x:v>
      </x:c>
      <x:c r="D44" s="4" t="str">
        <x:v>projection</x:v>
      </x:c>
      <x:c r="E44" s="4" t="str">
        <x:v>SP_800_181_2_2_0</x:v>
      </x:c>
      <x:c r="F44" s="4" t="str">
        <x:v>F001 / 2.2.0</x:v>
      </x:c>
      <x:c r="G44" s="12" t="n">
        <x:f>COUNTIFS('13_Relaciones_NICE'!$B$5:$B$186,B44,'13_Relaciones_NICE'!$C$5:$C$186,C44)-1</x:f>
        <x:v>0</x:v>
      </x:c>
      <x:c r="H44" s="12" t="n">
        <x:f>IF(AND(COUNTIF('03_NICE'!$A$5:$A$57,B44)+COUNTIF('04_TKS'!$A$5:$A$72,B44)=1,COUNTIF('03_NICE'!$A$5:$A$57,C44)+COUNTIF('04_TKS'!$A$5:$A$72,C44)=1),0,1)</x:f>
        <x:v>0</x:v>
      </x:c>
    </x:row>
    <x:row r="45" ht="47" customHeight="1">
      <x:c r="A45" s="4" t="str">
        <x:v>RN-041</x:v>
      </x:c>
      <x:c r="B45" s="4" t="str">
        <x:v>OG-WRL-014</x:v>
      </x:c>
      <x:c r="C45" s="4" t="str">
        <x:v>T1586</x:v>
      </x:c>
      <x:c r="D45" s="4" t="str">
        <x:v>projection</x:v>
      </x:c>
      <x:c r="E45" s="4" t="str">
        <x:v>SP_800_181_2_2_0</x:v>
      </x:c>
      <x:c r="F45" s="4" t="str">
        <x:v>F001 / 2.2.0</x:v>
      </x:c>
      <x:c r="G45" s="12" t="n">
        <x:f>COUNTIFS('13_Relaciones_NICE'!$B$5:$B$186,B45,'13_Relaciones_NICE'!$C$5:$C$186,C45)-1</x:f>
        <x:v>0</x:v>
      </x:c>
      <x:c r="H45" s="12" t="n">
        <x:f>IF(AND(COUNTIF('03_NICE'!$A$5:$A$57,B45)+COUNTIF('04_TKS'!$A$5:$A$72,B45)=1,COUNTIF('03_NICE'!$A$5:$A$57,C45)+COUNTIF('04_TKS'!$A$5:$A$72,C45)=1),0,1)</x:f>
        <x:v>0</x:v>
      </x:c>
    </x:row>
    <x:row r="46" ht="47" customHeight="1">
      <x:c r="A46" s="4" t="str">
        <x:v>RN-042</x:v>
      </x:c>
      <x:c r="B46" s="4" t="str">
        <x:v>OG-WRL-014</x:v>
      </x:c>
      <x:c r="C46" s="4" t="str">
        <x:v>T1602</x:v>
      </x:c>
      <x:c r="D46" s="4" t="str">
        <x:v>projection</x:v>
      </x:c>
      <x:c r="E46" s="4" t="str">
        <x:v>SP_800_181_2_2_0</x:v>
      </x:c>
      <x:c r="F46" s="4" t="str">
        <x:v>F001 / 2.2.0</x:v>
      </x:c>
      <x:c r="G46" s="12" t="n">
        <x:f>COUNTIFS('13_Relaciones_NICE'!$B$5:$B$186,B46,'13_Relaciones_NICE'!$C$5:$C$186,C46)-1</x:f>
        <x:v>0</x:v>
      </x:c>
      <x:c r="H46" s="12" t="n">
        <x:f>IF(AND(COUNTIF('03_NICE'!$A$5:$A$57,B46)+COUNTIF('04_TKS'!$A$5:$A$72,B46)=1,COUNTIF('03_NICE'!$A$5:$A$57,C46)+COUNTIF('04_TKS'!$A$5:$A$72,C46)=1),0,1)</x:f>
        <x:v>0</x:v>
      </x:c>
    </x:row>
    <x:row r="47" ht="47" customHeight="1">
      <x:c r="A47" s="4" t="str">
        <x:v>RN-043</x:v>
      </x:c>
      <x:c r="B47" s="4" t="str">
        <x:v>OG-WRL-015</x:v>
      </x:c>
      <x:c r="C47" s="4" t="str">
        <x:v>T0220</x:v>
      </x:c>
      <x:c r="D47" s="4" t="str">
        <x:v>projection</x:v>
      </x:c>
      <x:c r="E47" s="4" t="str">
        <x:v>SP_800_181_2_2_0</x:v>
      </x:c>
      <x:c r="F47" s="4" t="str">
        <x:v>F001 / 2.2.0</x:v>
      </x:c>
      <x:c r="G47" s="12" t="n">
        <x:f>COUNTIFS('13_Relaciones_NICE'!$B$5:$B$186,B47,'13_Relaciones_NICE'!$C$5:$C$186,C47)-1</x:f>
        <x:v>0</x:v>
      </x:c>
      <x:c r="H47" s="12" t="n">
        <x:f>IF(AND(COUNTIF('03_NICE'!$A$5:$A$57,B47)+COUNTIF('04_TKS'!$A$5:$A$72,B47)=1,COUNTIF('03_NICE'!$A$5:$A$57,C47)+COUNTIF('04_TKS'!$A$5:$A$72,C47)=1),0,1)</x:f>
        <x:v>0</x:v>
      </x:c>
    </x:row>
    <x:row r="48" ht="47" customHeight="1">
      <x:c r="A48" s="4" t="str">
        <x:v>RN-044</x:v>
      </x:c>
      <x:c r="B48" s="4" t="str">
        <x:v>OG-WRL-015</x:v>
      </x:c>
      <x:c r="C48" s="4" t="str">
        <x:v>T1020</x:v>
      </x:c>
      <x:c r="D48" s="4" t="str">
        <x:v>projection</x:v>
      </x:c>
      <x:c r="E48" s="4" t="str">
        <x:v>SP_800_181_2_2_0</x:v>
      </x:c>
      <x:c r="F48" s="4" t="str">
        <x:v>F001 / 2.2.0</x:v>
      </x:c>
      <x:c r="G48" s="12" t="n">
        <x:f>COUNTIFS('13_Relaciones_NICE'!$B$5:$B$186,B48,'13_Relaciones_NICE'!$C$5:$C$186,C48)-1</x:f>
        <x:v>0</x:v>
      </x:c>
      <x:c r="H48" s="12" t="n">
        <x:f>IF(AND(COUNTIF('03_NICE'!$A$5:$A$57,B48)+COUNTIF('04_TKS'!$A$5:$A$72,B48)=1,COUNTIF('03_NICE'!$A$5:$A$57,C48)+COUNTIF('04_TKS'!$A$5:$A$72,C48)=1),0,1)</x:f>
        <x:v>0</x:v>
      </x:c>
    </x:row>
    <x:row r="49" ht="47" customHeight="1">
      <x:c r="A49" s="4" t="str">
        <x:v>RN-045</x:v>
      </x:c>
      <x:c r="B49" s="4" t="str">
        <x:v>OG-WRL-016</x:v>
      </x:c>
      <x:c r="C49" s="4" t="str">
        <x:v>T1020</x:v>
      </x:c>
      <x:c r="D49" s="4" t="str">
        <x:v>projection</x:v>
      </x:c>
      <x:c r="E49" s="4" t="str">
        <x:v>SP_800_181_2_2_0</x:v>
      </x:c>
      <x:c r="F49" s="4" t="str">
        <x:v>F001 / 2.2.0</x:v>
      </x:c>
      <x:c r="G49" s="12" t="n">
        <x:f>COUNTIFS('13_Relaciones_NICE'!$B$5:$B$186,B49,'13_Relaciones_NICE'!$C$5:$C$186,C49)-1</x:f>
        <x:v>0</x:v>
      </x:c>
      <x:c r="H49" s="12" t="n">
        <x:f>IF(AND(COUNTIF('03_NICE'!$A$5:$A$57,B49)+COUNTIF('04_TKS'!$A$5:$A$72,B49)=1,COUNTIF('03_NICE'!$A$5:$A$57,C49)+COUNTIF('04_TKS'!$A$5:$A$72,C49)=1),0,1)</x:f>
        <x:v>0</x:v>
      </x:c>
    </x:row>
    <x:row r="50" ht="47" customHeight="1">
      <x:c r="A50" s="4" t="str">
        <x:v>RN-046</x:v>
      </x:c>
      <x:c r="B50" s="4" t="str">
        <x:v>OG-WRL-016</x:v>
      </x:c>
      <x:c r="C50" s="4" t="str">
        <x:v>T1344</x:v>
      </x:c>
      <x:c r="D50" s="4" t="str">
        <x:v>projection</x:v>
      </x:c>
      <x:c r="E50" s="4" t="str">
        <x:v>SP_800_181_2_2_0</x:v>
      </x:c>
      <x:c r="F50" s="4" t="str">
        <x:v>F001 / 2.2.0</x:v>
      </x:c>
      <x:c r="G50" s="12" t="n">
        <x:f>COUNTIFS('13_Relaciones_NICE'!$B$5:$B$186,B50,'13_Relaciones_NICE'!$C$5:$C$186,C50)-1</x:f>
        <x:v>0</x:v>
      </x:c>
      <x:c r="H50" s="12" t="n">
        <x:f>IF(AND(COUNTIF('03_NICE'!$A$5:$A$57,B50)+COUNTIF('04_TKS'!$A$5:$A$72,B50)=1,COUNTIF('03_NICE'!$A$5:$A$57,C50)+COUNTIF('04_TKS'!$A$5:$A$72,C50)=1),0,1)</x:f>
        <x:v>0</x:v>
      </x:c>
    </x:row>
    <x:row r="51" ht="47" customHeight="1">
      <x:c r="A51" s="4" t="str">
        <x:v>RN-047</x:v>
      </x:c>
      <x:c r="B51" s="4" t="str">
        <x:v>OG-WRL-017</x:v>
      </x:c>
      <x:c r="C51" s="4" t="str">
        <x:v>S0480</x:v>
      </x:c>
      <x:c r="D51" s="4" t="str">
        <x:v>projection</x:v>
      </x:c>
      <x:c r="E51" s="4" t="str">
        <x:v>SP_800_181_2_2_0</x:v>
      </x:c>
      <x:c r="F51" s="4" t="str">
        <x:v>F001 / 2.2.0</x:v>
      </x:c>
      <x:c r="G51" s="12" t="n">
        <x:f>COUNTIFS('13_Relaciones_NICE'!$B$5:$B$186,B51,'13_Relaciones_NICE'!$C$5:$C$186,C51)-1</x:f>
        <x:v>0</x:v>
      </x:c>
      <x:c r="H51" s="12" t="n">
        <x:f>IF(AND(COUNTIF('03_NICE'!$A$5:$A$57,B51)+COUNTIF('04_TKS'!$A$5:$A$72,B51)=1,COUNTIF('03_NICE'!$A$5:$A$57,C51)+COUNTIF('04_TKS'!$A$5:$A$72,C51)=1),0,1)</x:f>
        <x:v>0</x:v>
      </x:c>
    </x:row>
    <x:row r="52" ht="47" customHeight="1">
      <x:c r="A52" s="4" t="str">
        <x:v>RN-048</x:v>
      </x:c>
      <x:c r="B52" s="4" t="str">
        <x:v>OG-WRL-017</x:v>
      </x:c>
      <x:c r="C52" s="4" t="str">
        <x:v>S0900</x:v>
      </x:c>
      <x:c r="D52" s="4" t="str">
        <x:v>projection</x:v>
      </x:c>
      <x:c r="E52" s="4" t="str">
        <x:v>SP_800_181_2_2_0</x:v>
      </x:c>
      <x:c r="F52" s="4" t="str">
        <x:v>F001 / 2.2.0</x:v>
      </x:c>
      <x:c r="G52" s="12" t="n">
        <x:f>COUNTIFS('13_Relaciones_NICE'!$B$5:$B$186,B52,'13_Relaciones_NICE'!$C$5:$C$186,C52)-1</x:f>
        <x:v>0</x:v>
      </x:c>
      <x:c r="H52" s="12" t="n">
        <x:f>IF(AND(COUNTIF('03_NICE'!$A$5:$A$57,B52)+COUNTIF('04_TKS'!$A$5:$A$72,B52)=1,COUNTIF('03_NICE'!$A$5:$A$57,C52)+COUNTIF('04_TKS'!$A$5:$A$72,C52)=1),0,1)</x:f>
        <x:v>0</x:v>
      </x:c>
    </x:row>
    <x:row r="53" ht="47" customHeight="1">
      <x:c r="A53" s="4" t="str">
        <x:v>RN-049</x:v>
      </x:c>
      <x:c r="B53" s="4" t="str">
        <x:v>OG-WRL-017</x:v>
      </x:c>
      <x:c r="C53" s="4" t="str">
        <x:v>T1344</x:v>
      </x:c>
      <x:c r="D53" s="4" t="str">
        <x:v>projection</x:v>
      </x:c>
      <x:c r="E53" s="4" t="str">
        <x:v>SP_800_181_2_2_0</x:v>
      </x:c>
      <x:c r="F53" s="4" t="str">
        <x:v>F001 / 2.2.0</x:v>
      </x:c>
      <x:c r="G53" s="12" t="n">
        <x:f>COUNTIFS('13_Relaciones_NICE'!$B$5:$B$186,B53,'13_Relaciones_NICE'!$C$5:$C$186,C53)-1</x:f>
        <x:v>0</x:v>
      </x:c>
      <x:c r="H53" s="12" t="n">
        <x:f>IF(AND(COUNTIF('03_NICE'!$A$5:$A$57,B53)+COUNTIF('04_TKS'!$A$5:$A$72,B53)=1,COUNTIF('03_NICE'!$A$5:$A$57,C53)+COUNTIF('04_TKS'!$A$5:$A$72,C53)=1),0,1)</x:f>
        <x:v>0</x:v>
      </x:c>
    </x:row>
    <x:row r="54" ht="47" customHeight="1">
      <x:c r="A54" s="4" t="str">
        <x:v>RN-050</x:v>
      </x:c>
      <x:c r="B54" s="4" t="str">
        <x:v>OG-WRL-017</x:v>
      </x:c>
      <x:c r="C54" s="4" t="str">
        <x:v>T1366</x:v>
      </x:c>
      <x:c r="D54" s="4" t="str">
        <x:v>projection</x:v>
      </x:c>
      <x:c r="E54" s="4" t="str">
        <x:v>SP_800_181_2_2_0</x:v>
      </x:c>
      <x:c r="F54" s="4" t="str">
        <x:v>F001 / 2.2.0</x:v>
      </x:c>
      <x:c r="G54" s="12" t="n">
        <x:f>COUNTIFS('13_Relaciones_NICE'!$B$5:$B$186,B54,'13_Relaciones_NICE'!$C$5:$C$186,C54)-1</x:f>
        <x:v>0</x:v>
      </x:c>
      <x:c r="H54" s="12" t="n">
        <x:f>IF(AND(COUNTIF('03_NICE'!$A$5:$A$57,B54)+COUNTIF('04_TKS'!$A$5:$A$72,B54)=1,COUNTIF('03_NICE'!$A$5:$A$57,C54)+COUNTIF('04_TKS'!$A$5:$A$72,C54)=1),0,1)</x:f>
        <x:v>0</x:v>
      </x:c>
    </x:row>
    <x:row r="55" ht="47" customHeight="1">
      <x:c r="A55" s="4" t="str">
        <x:v>RN-051</x:v>
      </x:c>
      <x:c r="B55" s="4" t="str">
        <x:v>OG-WRL-017</x:v>
      </x:c>
      <x:c r="C55" s="4" t="str">
        <x:v>T1586</x:v>
      </x:c>
      <x:c r="D55" s="4" t="str">
        <x:v>projection</x:v>
      </x:c>
      <x:c r="E55" s="4" t="str">
        <x:v>SP_800_181_2_2_0</x:v>
      </x:c>
      <x:c r="F55" s="4" t="str">
        <x:v>F001 / 2.2.0</x:v>
      </x:c>
      <x:c r="G55" s="12" t="n">
        <x:f>COUNTIFS('13_Relaciones_NICE'!$B$5:$B$186,B55,'13_Relaciones_NICE'!$C$5:$C$186,C55)-1</x:f>
        <x:v>0</x:v>
      </x:c>
      <x:c r="H55" s="12" t="n">
        <x:f>IF(AND(COUNTIF('03_NICE'!$A$5:$A$57,B55)+COUNTIF('04_TKS'!$A$5:$A$72,B55)=1,COUNTIF('03_NICE'!$A$5:$A$57,C55)+COUNTIF('04_TKS'!$A$5:$A$72,C55)=1),0,1)</x:f>
        <x:v>0</x:v>
      </x:c>
    </x:row>
    <x:row r="56" ht="47" customHeight="1">
      <x:c r="A56" s="4" t="str">
        <x:v>RN-052</x:v>
      </x:c>
      <x:c r="B56" s="4" t="str">
        <x:v>OG-WRL-017</x:v>
      </x:c>
      <x:c r="C56" s="4" t="str">
        <x:v>T1602</x:v>
      </x:c>
      <x:c r="D56" s="4" t="str">
        <x:v>projection</x:v>
      </x:c>
      <x:c r="E56" s="4" t="str">
        <x:v>SP_800_181_2_2_0</x:v>
      </x:c>
      <x:c r="F56" s="4" t="str">
        <x:v>F001 / 2.2.0</x:v>
      </x:c>
      <x:c r="G56" s="12" t="n">
        <x:f>COUNTIFS('13_Relaciones_NICE'!$B$5:$B$186,B56,'13_Relaciones_NICE'!$C$5:$C$186,C56)-1</x:f>
        <x:v>0</x:v>
      </x:c>
      <x:c r="H56" s="12" t="n">
        <x:f>IF(AND(COUNTIF('03_NICE'!$A$5:$A$57,B56)+COUNTIF('04_TKS'!$A$5:$A$72,B56)=1,COUNTIF('03_NICE'!$A$5:$A$57,C56)+COUNTIF('04_TKS'!$A$5:$A$72,C56)=1),0,1)</x:f>
        <x:v>0</x:v>
      </x:c>
    </x:row>
    <x:row r="57" ht="47" customHeight="1">
      <x:c r="A57" s="4" t="str">
        <x:v>RN-053</x:v>
      </x:c>
      <x:c r="B57" s="4" t="str">
        <x:v>OG-WRL-017</x:v>
      </x:c>
      <x:c r="C57" s="4" t="str">
        <x:v>T2056</x:v>
      </x:c>
      <x:c r="D57" s="4" t="str">
        <x:v>projection</x:v>
      </x:c>
      <x:c r="E57" s="4" t="str">
        <x:v>SP_800_181_2_2_0</x:v>
      </x:c>
      <x:c r="F57" s="4" t="str">
        <x:v>F001 / 2.2.0</x:v>
      </x:c>
      <x:c r="G57" s="12" t="n">
        <x:f>COUNTIFS('13_Relaciones_NICE'!$B$5:$B$186,B57,'13_Relaciones_NICE'!$C$5:$C$186,C57)-1</x:f>
        <x:v>0</x:v>
      </x:c>
      <x:c r="H57" s="12" t="n">
        <x:f>IF(AND(COUNTIF('03_NICE'!$A$5:$A$57,B57)+COUNTIF('04_TKS'!$A$5:$A$72,B57)=1,COUNTIF('03_NICE'!$A$5:$A$57,C57)+COUNTIF('04_TKS'!$A$5:$A$72,C57)=1),0,1)</x:f>
        <x:v>0</x:v>
      </x:c>
    </x:row>
    <x:row r="58" ht="47" customHeight="1">
      <x:c r="A58" s="4" t="str">
        <x:v>RN-054</x:v>
      </x:c>
      <x:c r="B58" s="4" t="str">
        <x:v>OG-WRL-017</x:v>
      </x:c>
      <x:c r="C58" s="4" t="str">
        <x:v>T2058</x:v>
      </x:c>
      <x:c r="D58" s="4" t="str">
        <x:v>projection</x:v>
      </x:c>
      <x:c r="E58" s="4" t="str">
        <x:v>SP_800_181_2_2_0</x:v>
      </x:c>
      <x:c r="F58" s="4" t="str">
        <x:v>F001 / 2.2.0</x:v>
      </x:c>
      <x:c r="G58" s="12" t="n">
        <x:f>COUNTIFS('13_Relaciones_NICE'!$B$5:$B$186,B58,'13_Relaciones_NICE'!$C$5:$C$186,C58)-1</x:f>
        <x:v>0</x:v>
      </x:c>
      <x:c r="H58" s="12" t="n">
        <x:f>IF(AND(COUNTIF('03_NICE'!$A$5:$A$57,B58)+COUNTIF('04_TKS'!$A$5:$A$72,B58)=1,COUNTIF('03_NICE'!$A$5:$A$57,C58)+COUNTIF('04_TKS'!$A$5:$A$72,C58)=1),0,1)</x:f>
        <x:v>0</x:v>
      </x:c>
    </x:row>
    <x:row r="59" ht="47" customHeight="1">
      <x:c r="A59" s="4" t="str">
        <x:v>RN-055</x:v>
      </x:c>
      <x:c r="B59" s="4" t="str">
        <x:v>OG-WRL-017</x:v>
      </x:c>
      <x:c r="C59" s="4" t="str">
        <x:v>T2067</x:v>
      </x:c>
      <x:c r="D59" s="4" t="str">
        <x:v>projection</x:v>
      </x:c>
      <x:c r="E59" s="4" t="str">
        <x:v>SP_800_181_2_2_0</x:v>
      </x:c>
      <x:c r="F59" s="4" t="str">
        <x:v>F001 / 2.2.0</x:v>
      </x:c>
      <x:c r="G59" s="12" t="n">
        <x:f>COUNTIFS('13_Relaciones_NICE'!$B$5:$B$186,B59,'13_Relaciones_NICE'!$C$5:$C$186,C59)-1</x:f>
        <x:v>0</x:v>
      </x:c>
      <x:c r="H59" s="12" t="n">
        <x:f>IF(AND(COUNTIF('03_NICE'!$A$5:$A$57,B59)+COUNTIF('04_TKS'!$A$5:$A$72,B59)=1,COUNTIF('03_NICE'!$A$5:$A$57,C59)+COUNTIF('04_TKS'!$A$5:$A$72,C59)=1),0,1)</x:f>
        <x:v>0</x:v>
      </x:c>
    </x:row>
    <x:row r="60" ht="47" customHeight="1">
      <x:c r="A60" s="4" t="str">
        <x:v>RN-056</x:v>
      </x:c>
      <x:c r="B60" s="4" t="str">
        <x:v>DD-WRL-001</x:v>
      </x:c>
      <x:c r="C60" s="4" t="str">
        <x:v>K0742</x:v>
      </x:c>
      <x:c r="D60" s="4" t="str">
        <x:v>projection</x:v>
      </x:c>
      <x:c r="E60" s="4" t="str">
        <x:v>SP_800_181_2_2_0</x:v>
      </x:c>
      <x:c r="F60" s="4" t="str">
        <x:v>F001 / 2.2.0</x:v>
      </x:c>
      <x:c r="G60" s="12" t="n">
        <x:f>COUNTIFS('13_Relaciones_NICE'!$B$5:$B$186,B60,'13_Relaciones_NICE'!$C$5:$C$186,C60)-1</x:f>
        <x:v>0</x:v>
      </x:c>
      <x:c r="H60" s="12" t="n">
        <x:f>IF(AND(COUNTIF('03_NICE'!$A$5:$A$57,B60)+COUNTIF('04_TKS'!$A$5:$A$72,B60)=1,COUNTIF('03_NICE'!$A$5:$A$57,C60)+COUNTIF('04_TKS'!$A$5:$A$72,C60)=1),0,1)</x:f>
        <x:v>0</x:v>
      </x:c>
    </x:row>
    <x:row r="61" ht="47" customHeight="1">
      <x:c r="A61" s="4" t="str">
        <x:v>RN-057</x:v>
      </x:c>
      <x:c r="B61" s="4" t="str">
        <x:v>DD-WRL-001</x:v>
      </x:c>
      <x:c r="C61" s="4" t="str">
        <x:v>T0084</x:v>
      </x:c>
      <x:c r="D61" s="4" t="str">
        <x:v>projection</x:v>
      </x:c>
      <x:c r="E61" s="4" t="str">
        <x:v>SP_800_181_2_2_0</x:v>
      </x:c>
      <x:c r="F61" s="4" t="str">
        <x:v>F001 / 2.2.0</x:v>
      </x:c>
      <x:c r="G61" s="12" t="n">
        <x:f>COUNTIFS('13_Relaciones_NICE'!$B$5:$B$186,B61,'13_Relaciones_NICE'!$C$5:$C$186,C61)-1</x:f>
        <x:v>0</x:v>
      </x:c>
      <x:c r="H61" s="12" t="n">
        <x:f>IF(AND(COUNTIF('03_NICE'!$A$5:$A$57,B61)+COUNTIF('04_TKS'!$A$5:$A$72,B61)=1,COUNTIF('03_NICE'!$A$5:$A$57,C61)+COUNTIF('04_TKS'!$A$5:$A$72,C61)=1),0,1)</x:f>
        <x:v>0</x:v>
      </x:c>
    </x:row>
    <x:row r="62" ht="47" customHeight="1">
      <x:c r="A62" s="4" t="str">
        <x:v>RN-058</x:v>
      </x:c>
      <x:c r="B62" s="4" t="str">
        <x:v>DD-WRL-001</x:v>
      </x:c>
      <x:c r="C62" s="4" t="str">
        <x:v>T1020</x:v>
      </x:c>
      <x:c r="D62" s="4" t="str">
        <x:v>projection</x:v>
      </x:c>
      <x:c r="E62" s="4" t="str">
        <x:v>SP_800_181_2_2_0</x:v>
      </x:c>
      <x:c r="F62" s="4" t="str">
        <x:v>F001 / 2.2.0</x:v>
      </x:c>
      <x:c r="G62" s="12" t="n">
        <x:f>COUNTIFS('13_Relaciones_NICE'!$B$5:$B$186,B62,'13_Relaciones_NICE'!$C$5:$C$186,C62)-1</x:f>
        <x:v>0</x:v>
      </x:c>
      <x:c r="H62" s="12" t="n">
        <x:f>IF(AND(COUNTIF('03_NICE'!$A$5:$A$57,B62)+COUNTIF('04_TKS'!$A$5:$A$72,B62)=1,COUNTIF('03_NICE'!$A$5:$A$57,C62)+COUNTIF('04_TKS'!$A$5:$A$72,C62)=1),0,1)</x:f>
        <x:v>0</x:v>
      </x:c>
    </x:row>
    <x:row r="63" ht="47" customHeight="1">
      <x:c r="A63" s="4" t="str">
        <x:v>RN-059</x:v>
      </x:c>
      <x:c r="B63" s="4" t="str">
        <x:v>DD-WRL-001</x:v>
      </x:c>
      <x:c r="C63" s="4" t="str">
        <x:v>T1126</x:v>
      </x:c>
      <x:c r="D63" s="4" t="str">
        <x:v>projection</x:v>
      </x:c>
      <x:c r="E63" s="4" t="str">
        <x:v>SP_800_181_2_2_0</x:v>
      </x:c>
      <x:c r="F63" s="4" t="str">
        <x:v>F001 / 2.2.0</x:v>
      </x:c>
      <x:c r="G63" s="12" t="n">
        <x:f>COUNTIFS('13_Relaciones_NICE'!$B$5:$B$186,B63,'13_Relaciones_NICE'!$C$5:$C$186,C63)-1</x:f>
        <x:v>0</x:v>
      </x:c>
      <x:c r="H63" s="12" t="n">
        <x:f>IF(AND(COUNTIF('03_NICE'!$A$5:$A$57,B63)+COUNTIF('04_TKS'!$A$5:$A$72,B63)=1,COUNTIF('03_NICE'!$A$5:$A$57,C63)+COUNTIF('04_TKS'!$A$5:$A$72,C63)=1),0,1)</x:f>
        <x:v>0</x:v>
      </x:c>
    </x:row>
    <x:row r="64" ht="47" customHeight="1">
      <x:c r="A64" s="4" t="str">
        <x:v>RN-060</x:v>
      </x:c>
      <x:c r="B64" s="4" t="str">
        <x:v>DD-WRL-002</x:v>
      </x:c>
      <x:c r="C64" s="4" t="str">
        <x:v>K0711</x:v>
      </x:c>
      <x:c r="D64" s="4" t="str">
        <x:v>projection</x:v>
      </x:c>
      <x:c r="E64" s="4" t="str">
        <x:v>SP_800_181_2_2_0</x:v>
      </x:c>
      <x:c r="F64" s="4" t="str">
        <x:v>F001 / 2.2.0</x:v>
      </x:c>
      <x:c r="G64" s="12" t="n">
        <x:f>COUNTIFS('13_Relaciones_NICE'!$B$5:$B$186,B64,'13_Relaciones_NICE'!$C$5:$C$186,C64)-1</x:f>
        <x:v>0</x:v>
      </x:c>
      <x:c r="H64" s="12" t="n">
        <x:f>IF(AND(COUNTIF('03_NICE'!$A$5:$A$57,B64)+COUNTIF('04_TKS'!$A$5:$A$72,B64)=1,COUNTIF('03_NICE'!$A$5:$A$57,C64)+COUNTIF('04_TKS'!$A$5:$A$72,C64)=1),0,1)</x:f>
        <x:v>0</x:v>
      </x:c>
    </x:row>
    <x:row r="65" ht="47" customHeight="1">
      <x:c r="A65" s="4" t="str">
        <x:v>RN-061</x:v>
      </x:c>
      <x:c r="B65" s="4" t="str">
        <x:v>DD-WRL-002</x:v>
      </x:c>
      <x:c r="C65" s="4" t="str">
        <x:v>K0742</x:v>
      </x:c>
      <x:c r="D65" s="4" t="str">
        <x:v>projection</x:v>
      </x:c>
      <x:c r="E65" s="4" t="str">
        <x:v>SP_800_181_2_2_0</x:v>
      </x:c>
      <x:c r="F65" s="4" t="str">
        <x:v>F001 / 2.2.0</x:v>
      </x:c>
      <x:c r="G65" s="12" t="n">
        <x:f>COUNTIFS('13_Relaciones_NICE'!$B$5:$B$186,B65,'13_Relaciones_NICE'!$C$5:$C$186,C65)-1</x:f>
        <x:v>0</x:v>
      </x:c>
      <x:c r="H65" s="12" t="n">
        <x:f>IF(AND(COUNTIF('03_NICE'!$A$5:$A$57,B65)+COUNTIF('04_TKS'!$A$5:$A$72,B65)=1,COUNTIF('03_NICE'!$A$5:$A$57,C65)+COUNTIF('04_TKS'!$A$5:$A$72,C65)=1),0,1)</x:f>
        <x:v>0</x:v>
      </x:c>
    </x:row>
    <x:row r="66" ht="47" customHeight="1">
      <x:c r="A66" s="4" t="str">
        <x:v>RN-062</x:v>
      </x:c>
      <x:c r="B66" s="4" t="str">
        <x:v>DD-WRL-002</x:v>
      </x:c>
      <x:c r="C66" s="4" t="str">
        <x:v>T0084</x:v>
      </x:c>
      <x:c r="D66" s="4" t="str">
        <x:v>projection</x:v>
      </x:c>
      <x:c r="E66" s="4" t="str">
        <x:v>SP_800_181_2_2_0</x:v>
      </x:c>
      <x:c r="F66" s="4" t="str">
        <x:v>F001 / 2.2.0</x:v>
      </x:c>
      <x:c r="G66" s="12" t="n">
        <x:f>COUNTIFS('13_Relaciones_NICE'!$B$5:$B$186,B66,'13_Relaciones_NICE'!$C$5:$C$186,C66)-1</x:f>
        <x:v>0</x:v>
      </x:c>
      <x:c r="H66" s="12" t="n">
        <x:f>IF(AND(COUNTIF('03_NICE'!$A$5:$A$57,B66)+COUNTIF('04_TKS'!$A$5:$A$72,B66)=1,COUNTIF('03_NICE'!$A$5:$A$57,C66)+COUNTIF('04_TKS'!$A$5:$A$72,C66)=1),0,1)</x:f>
        <x:v>0</x:v>
      </x:c>
    </x:row>
    <x:row r="67" ht="47" customHeight="1">
      <x:c r="A67" s="4" t="str">
        <x:v>RN-063</x:v>
      </x:c>
      <x:c r="B67" s="4" t="str">
        <x:v>DD-WRL-002</x:v>
      </x:c>
      <x:c r="C67" s="4" t="str">
        <x:v>T1020</x:v>
      </x:c>
      <x:c r="D67" s="4" t="str">
        <x:v>projection</x:v>
      </x:c>
      <x:c r="E67" s="4" t="str">
        <x:v>SP_800_181_2_2_0</x:v>
      </x:c>
      <x:c r="F67" s="4" t="str">
        <x:v>F001 / 2.2.0</x:v>
      </x:c>
      <x:c r="G67" s="12" t="n">
        <x:f>COUNTIFS('13_Relaciones_NICE'!$B$5:$B$186,B67,'13_Relaciones_NICE'!$C$5:$C$186,C67)-1</x:f>
        <x:v>0</x:v>
      </x:c>
      <x:c r="H67" s="12" t="n">
        <x:f>IF(AND(COUNTIF('03_NICE'!$A$5:$A$57,B67)+COUNTIF('04_TKS'!$A$5:$A$72,B67)=1,COUNTIF('03_NICE'!$A$5:$A$57,C67)+COUNTIF('04_TKS'!$A$5:$A$72,C67)=1),0,1)</x:f>
        <x:v>0</x:v>
      </x:c>
    </x:row>
    <x:row r="68" ht="47" customHeight="1">
      <x:c r="A68" s="4" t="str">
        <x:v>RN-064</x:v>
      </x:c>
      <x:c r="B68" s="4" t="str">
        <x:v>DD-WRL-002</x:v>
      </x:c>
      <x:c r="C68" s="4" t="str">
        <x:v>T1126</x:v>
      </x:c>
      <x:c r="D68" s="4" t="str">
        <x:v>projection</x:v>
      </x:c>
      <x:c r="E68" s="4" t="str">
        <x:v>SP_800_181_2_2_0</x:v>
      </x:c>
      <x:c r="F68" s="4" t="str">
        <x:v>F001 / 2.2.0</x:v>
      </x:c>
      <x:c r="G68" s="12" t="n">
        <x:f>COUNTIFS('13_Relaciones_NICE'!$B$5:$B$186,B68,'13_Relaciones_NICE'!$C$5:$C$186,C68)-1</x:f>
        <x:v>0</x:v>
      </x:c>
      <x:c r="H68" s="12" t="n">
        <x:f>IF(AND(COUNTIF('03_NICE'!$A$5:$A$57,B68)+COUNTIF('04_TKS'!$A$5:$A$72,B68)=1,COUNTIF('03_NICE'!$A$5:$A$57,C68)+COUNTIF('04_TKS'!$A$5:$A$72,C68)=1),0,1)</x:f>
        <x:v>0</x:v>
      </x:c>
    </x:row>
    <x:row r="69" ht="47" customHeight="1">
      <x:c r="A69" s="4" t="str">
        <x:v>RN-065</x:v>
      </x:c>
      <x:c r="B69" s="4" t="str">
        <x:v>DD-WRL-003</x:v>
      </x:c>
      <x:c r="C69" s="4" t="str">
        <x:v>K0711</x:v>
      </x:c>
      <x:c r="D69" s="4" t="str">
        <x:v>projection</x:v>
      </x:c>
      <x:c r="E69" s="4" t="str">
        <x:v>SP_800_181_2_2_0</x:v>
      </x:c>
      <x:c r="F69" s="4" t="str">
        <x:v>F001 / 2.2.0</x:v>
      </x:c>
      <x:c r="G69" s="12" t="n">
        <x:f>COUNTIFS('13_Relaciones_NICE'!$B$5:$B$186,B69,'13_Relaciones_NICE'!$C$5:$C$186,C69)-1</x:f>
        <x:v>0</x:v>
      </x:c>
      <x:c r="H69" s="12" t="n">
        <x:f>IF(AND(COUNTIF('03_NICE'!$A$5:$A$57,B69)+COUNTIF('04_TKS'!$A$5:$A$72,B69)=1,COUNTIF('03_NICE'!$A$5:$A$57,C69)+COUNTIF('04_TKS'!$A$5:$A$72,C69)=1),0,1)</x:f>
        <x:v>0</x:v>
      </x:c>
    </x:row>
    <x:row r="70" ht="47" customHeight="1">
      <x:c r="A70" s="4" t="str">
        <x:v>RN-066</x:v>
      </x:c>
      <x:c r="B70" s="4" t="str">
        <x:v>DD-WRL-003</x:v>
      </x:c>
      <x:c r="C70" s="4" t="str">
        <x:v>T0077</x:v>
      </x:c>
      <x:c r="D70" s="4" t="str">
        <x:v>projection</x:v>
      </x:c>
      <x:c r="E70" s="4" t="str">
        <x:v>SP_800_181_2_2_0</x:v>
      </x:c>
      <x:c r="F70" s="4" t="str">
        <x:v>F001 / 2.2.0</x:v>
      </x:c>
      <x:c r="G70" s="12" t="n">
        <x:f>COUNTIFS('13_Relaciones_NICE'!$B$5:$B$186,B70,'13_Relaciones_NICE'!$C$5:$C$186,C70)-1</x:f>
        <x:v>0</x:v>
      </x:c>
      <x:c r="H70" s="12" t="n">
        <x:f>IF(AND(COUNTIF('03_NICE'!$A$5:$A$57,B70)+COUNTIF('04_TKS'!$A$5:$A$72,B70)=1,COUNTIF('03_NICE'!$A$5:$A$57,C70)+COUNTIF('04_TKS'!$A$5:$A$72,C70)=1),0,1)</x:f>
        <x:v>0</x:v>
      </x:c>
    </x:row>
    <x:row r="71" ht="47" customHeight="1">
      <x:c r="A71" s="4" t="str">
        <x:v>RN-067</x:v>
      </x:c>
      <x:c r="B71" s="4" t="str">
        <x:v>DD-WRL-003</x:v>
      </x:c>
      <x:c r="C71" s="4" t="str">
        <x:v>T1020</x:v>
      </x:c>
      <x:c r="D71" s="4" t="str">
        <x:v>projection</x:v>
      </x:c>
      <x:c r="E71" s="4" t="str">
        <x:v>SP_800_181_2_2_0</x:v>
      </x:c>
      <x:c r="F71" s="4" t="str">
        <x:v>F001 / 2.2.0</x:v>
      </x:c>
      <x:c r="G71" s="12" t="n">
        <x:f>COUNTIFS('13_Relaciones_NICE'!$B$5:$B$186,B71,'13_Relaciones_NICE'!$C$5:$C$186,C71)-1</x:f>
        <x:v>0</x:v>
      </x:c>
      <x:c r="H71" s="12" t="n">
        <x:f>IF(AND(COUNTIF('03_NICE'!$A$5:$A$57,B71)+COUNTIF('04_TKS'!$A$5:$A$72,B71)=1,COUNTIF('03_NICE'!$A$5:$A$57,C71)+COUNTIF('04_TKS'!$A$5:$A$72,C71)=1),0,1)</x:f>
        <x:v>0</x:v>
      </x:c>
    </x:row>
    <x:row r="72" ht="47" customHeight="1">
      <x:c r="A72" s="4" t="str">
        <x:v>RN-068</x:v>
      </x:c>
      <x:c r="B72" s="4" t="str">
        <x:v>DD-WRL-003</x:v>
      </x:c>
      <x:c r="C72" s="4" t="str">
        <x:v>T1624</x:v>
      </x:c>
      <x:c r="D72" s="4" t="str">
        <x:v>projection</x:v>
      </x:c>
      <x:c r="E72" s="4" t="str">
        <x:v>SP_800_181_2_2_0</x:v>
      </x:c>
      <x:c r="F72" s="4" t="str">
        <x:v>F001 / 2.2.0</x:v>
      </x:c>
      <x:c r="G72" s="12" t="n">
        <x:f>COUNTIFS('13_Relaciones_NICE'!$B$5:$B$186,B72,'13_Relaciones_NICE'!$C$5:$C$186,C72)-1</x:f>
        <x:v>0</x:v>
      </x:c>
      <x:c r="H72" s="12" t="n">
        <x:f>IF(AND(COUNTIF('03_NICE'!$A$5:$A$57,B72)+COUNTIF('04_TKS'!$A$5:$A$72,B72)=1,COUNTIF('03_NICE'!$A$5:$A$57,C72)+COUNTIF('04_TKS'!$A$5:$A$72,C72)=1),0,1)</x:f>
        <x:v>0</x:v>
      </x:c>
    </x:row>
    <x:row r="73" ht="47" customHeight="1">
      <x:c r="A73" s="4" t="str">
        <x:v>RN-069</x:v>
      </x:c>
      <x:c r="B73" s="4" t="str">
        <x:v>DD-WRL-003</x:v>
      </x:c>
      <x:c r="C73" s="4" t="str">
        <x:v>T1625</x:v>
      </x:c>
      <x:c r="D73" s="4" t="str">
        <x:v>projection</x:v>
      </x:c>
      <x:c r="E73" s="4" t="str">
        <x:v>SP_800_181_2_2_0</x:v>
      </x:c>
      <x:c r="F73" s="4" t="str">
        <x:v>F001 / 2.2.0</x:v>
      </x:c>
      <x:c r="G73" s="12" t="n">
        <x:f>COUNTIFS('13_Relaciones_NICE'!$B$5:$B$186,B73,'13_Relaciones_NICE'!$C$5:$C$186,C73)-1</x:f>
        <x:v>0</x:v>
      </x:c>
      <x:c r="H73" s="12" t="n">
        <x:f>IF(AND(COUNTIF('03_NICE'!$A$5:$A$57,B73)+COUNTIF('04_TKS'!$A$5:$A$72,B73)=1,COUNTIF('03_NICE'!$A$5:$A$57,C73)+COUNTIF('04_TKS'!$A$5:$A$72,C73)=1),0,1)</x:f>
        <x:v>0</x:v>
      </x:c>
    </x:row>
    <x:row r="74" ht="47" customHeight="1">
      <x:c r="A74" s="4" t="str">
        <x:v>RN-070</x:v>
      </x:c>
      <x:c r="B74" s="4" t="str">
        <x:v>DD-WRL-004</x:v>
      </x:c>
      <x:c r="C74" s="4" t="str">
        <x:v>K0711</x:v>
      </x:c>
      <x:c r="D74" s="4" t="str">
        <x:v>projection</x:v>
      </x:c>
      <x:c r="E74" s="4" t="str">
        <x:v>SP_800_181_2_2_0</x:v>
      </x:c>
      <x:c r="F74" s="4" t="str">
        <x:v>F001 / 2.2.0</x:v>
      </x:c>
      <x:c r="G74" s="12" t="n">
        <x:f>COUNTIFS('13_Relaciones_NICE'!$B$5:$B$186,B74,'13_Relaciones_NICE'!$C$5:$C$186,C74)-1</x:f>
        <x:v>0</x:v>
      </x:c>
      <x:c r="H74" s="12" t="n">
        <x:f>IF(AND(COUNTIF('03_NICE'!$A$5:$A$57,B74)+COUNTIF('04_TKS'!$A$5:$A$72,B74)=1,COUNTIF('03_NICE'!$A$5:$A$57,C74)+COUNTIF('04_TKS'!$A$5:$A$72,C74)=1),0,1)</x:f>
        <x:v>0</x:v>
      </x:c>
    </x:row>
    <x:row r="75" ht="47" customHeight="1">
      <x:c r="A75" s="4" t="str">
        <x:v>RN-071</x:v>
      </x:c>
      <x:c r="B75" s="4" t="str">
        <x:v>DD-WRL-004</x:v>
      </x:c>
      <x:c r="C75" s="4" t="str">
        <x:v>K0742</x:v>
      </x:c>
      <x:c r="D75" s="4" t="str">
        <x:v>projection</x:v>
      </x:c>
      <x:c r="E75" s="4" t="str">
        <x:v>SP_800_181_2_2_0</x:v>
      </x:c>
      <x:c r="F75" s="4" t="str">
        <x:v>F001 / 2.2.0</x:v>
      </x:c>
      <x:c r="G75" s="12" t="n">
        <x:f>COUNTIFS('13_Relaciones_NICE'!$B$5:$B$186,B75,'13_Relaciones_NICE'!$C$5:$C$186,C75)-1</x:f>
        <x:v>0</x:v>
      </x:c>
      <x:c r="H75" s="12" t="n">
        <x:f>IF(AND(COUNTIF('03_NICE'!$A$5:$A$57,B75)+COUNTIF('04_TKS'!$A$5:$A$72,B75)=1,COUNTIF('03_NICE'!$A$5:$A$57,C75)+COUNTIF('04_TKS'!$A$5:$A$72,C75)=1),0,1)</x:f>
        <x:v>0</x:v>
      </x:c>
    </x:row>
    <x:row r="76" ht="47" customHeight="1">
      <x:c r="A76" s="4" t="str">
        <x:v>RN-072</x:v>
      </x:c>
      <x:c r="B76" s="4" t="str">
        <x:v>DD-WRL-004</x:v>
      </x:c>
      <x:c r="C76" s="4" t="str">
        <x:v>T0084</x:v>
      </x:c>
      <x:c r="D76" s="4" t="str">
        <x:v>projection</x:v>
      </x:c>
      <x:c r="E76" s="4" t="str">
        <x:v>SP_800_181_2_2_0</x:v>
      </x:c>
      <x:c r="F76" s="4" t="str">
        <x:v>F001 / 2.2.0</x:v>
      </x:c>
      <x:c r="G76" s="12" t="n">
        <x:f>COUNTIFS('13_Relaciones_NICE'!$B$5:$B$186,B76,'13_Relaciones_NICE'!$C$5:$C$186,C76)-1</x:f>
        <x:v>0</x:v>
      </x:c>
      <x:c r="H76" s="12" t="n">
        <x:f>IF(AND(COUNTIF('03_NICE'!$A$5:$A$57,B76)+COUNTIF('04_TKS'!$A$5:$A$72,B76)=1,COUNTIF('03_NICE'!$A$5:$A$57,C76)+COUNTIF('04_TKS'!$A$5:$A$72,C76)=1),0,1)</x:f>
        <x:v>0</x:v>
      </x:c>
    </x:row>
    <x:row r="77" ht="47" customHeight="1">
      <x:c r="A77" s="4" t="str">
        <x:v>RN-073</x:v>
      </x:c>
      <x:c r="B77" s="4" t="str">
        <x:v>DD-WRL-004</x:v>
      </x:c>
      <x:c r="C77" s="4" t="str">
        <x:v>T1020</x:v>
      </x:c>
      <x:c r="D77" s="4" t="str">
        <x:v>projection</x:v>
      </x:c>
      <x:c r="E77" s="4" t="str">
        <x:v>SP_800_181_2_2_0</x:v>
      </x:c>
      <x:c r="F77" s="4" t="str">
        <x:v>F001 / 2.2.0</x:v>
      </x:c>
      <x:c r="G77" s="12" t="n">
        <x:f>COUNTIFS('13_Relaciones_NICE'!$B$5:$B$186,B77,'13_Relaciones_NICE'!$C$5:$C$186,C77)-1</x:f>
        <x:v>0</x:v>
      </x:c>
      <x:c r="H77" s="12" t="n">
        <x:f>IF(AND(COUNTIF('03_NICE'!$A$5:$A$57,B77)+COUNTIF('04_TKS'!$A$5:$A$72,B77)=1,COUNTIF('03_NICE'!$A$5:$A$57,C77)+COUNTIF('04_TKS'!$A$5:$A$72,C77)=1),0,1)</x:f>
        <x:v>0</x:v>
      </x:c>
    </x:row>
    <x:row r="78" ht="47" customHeight="1">
      <x:c r="A78" s="4" t="str">
        <x:v>RN-074</x:v>
      </x:c>
      <x:c r="B78" s="4" t="str">
        <x:v>DD-WRL-004</x:v>
      </x:c>
      <x:c r="C78" s="4" t="str">
        <x:v>T1118</x:v>
      </x:c>
      <x:c r="D78" s="4" t="str">
        <x:v>projection</x:v>
      </x:c>
      <x:c r="E78" s="4" t="str">
        <x:v>SP_800_181_2_2_0</x:v>
      </x:c>
      <x:c r="F78" s="4" t="str">
        <x:v>F001 / 2.2.0</x:v>
      </x:c>
      <x:c r="G78" s="12" t="n">
        <x:f>COUNTIFS('13_Relaciones_NICE'!$B$5:$B$186,B78,'13_Relaciones_NICE'!$C$5:$C$186,C78)-1</x:f>
        <x:v>0</x:v>
      </x:c>
      <x:c r="H78" s="12" t="n">
        <x:f>IF(AND(COUNTIF('03_NICE'!$A$5:$A$57,B78)+COUNTIF('04_TKS'!$A$5:$A$72,B78)=1,COUNTIF('03_NICE'!$A$5:$A$57,C78)+COUNTIF('04_TKS'!$A$5:$A$72,C78)=1),0,1)</x:f>
        <x:v>0</x:v>
      </x:c>
    </x:row>
    <x:row r="79" ht="47" customHeight="1">
      <x:c r="A79" s="4" t="str">
        <x:v>RN-075</x:v>
      </x:c>
      <x:c r="B79" s="4" t="str">
        <x:v>DD-WRL-004</x:v>
      </x:c>
      <x:c r="C79" s="4" t="str">
        <x:v>T1119</x:v>
      </x:c>
      <x:c r="D79" s="4" t="str">
        <x:v>projection</x:v>
      </x:c>
      <x:c r="E79" s="4" t="str">
        <x:v>SP_800_181_2_2_0</x:v>
      </x:c>
      <x:c r="F79" s="4" t="str">
        <x:v>F001 / 2.2.0</x:v>
      </x:c>
      <x:c r="G79" s="12" t="n">
        <x:f>COUNTIFS('13_Relaciones_NICE'!$B$5:$B$186,B79,'13_Relaciones_NICE'!$C$5:$C$186,C79)-1</x:f>
        <x:v>0</x:v>
      </x:c>
      <x:c r="H79" s="12" t="n">
        <x:f>IF(AND(COUNTIF('03_NICE'!$A$5:$A$57,B79)+COUNTIF('04_TKS'!$A$5:$A$72,B79)=1,COUNTIF('03_NICE'!$A$5:$A$57,C79)+COUNTIF('04_TKS'!$A$5:$A$72,C79)=1),0,1)</x:f>
        <x:v>0</x:v>
      </x:c>
    </x:row>
    <x:row r="80" ht="47" customHeight="1">
      <x:c r="A80" s="4" t="str">
        <x:v>RN-076</x:v>
      </x:c>
      <x:c r="B80" s="4" t="str">
        <x:v>DD-WRL-004</x:v>
      </x:c>
      <x:c r="C80" s="4" t="str">
        <x:v>T1133</x:v>
      </x:c>
      <x:c r="D80" s="4" t="str">
        <x:v>projection</x:v>
      </x:c>
      <x:c r="E80" s="4" t="str">
        <x:v>SP_800_181_2_2_0</x:v>
      </x:c>
      <x:c r="F80" s="4" t="str">
        <x:v>F001 / 2.2.0</x:v>
      </x:c>
      <x:c r="G80" s="12" t="n">
        <x:f>COUNTIFS('13_Relaciones_NICE'!$B$5:$B$186,B80,'13_Relaciones_NICE'!$C$5:$C$186,C80)-1</x:f>
        <x:v>0</x:v>
      </x:c>
      <x:c r="H80" s="12" t="n">
        <x:f>IF(AND(COUNTIF('03_NICE'!$A$5:$A$57,B80)+COUNTIF('04_TKS'!$A$5:$A$72,B80)=1,COUNTIF('03_NICE'!$A$5:$A$57,C80)+COUNTIF('04_TKS'!$A$5:$A$72,C80)=1),0,1)</x:f>
        <x:v>0</x:v>
      </x:c>
    </x:row>
    <x:row r="81" ht="47" customHeight="1">
      <x:c r="A81" s="4" t="str">
        <x:v>RN-077</x:v>
      </x:c>
      <x:c r="B81" s="4" t="str">
        <x:v>DD-WRL-004</x:v>
      </x:c>
      <x:c r="C81" s="4" t="str">
        <x:v>T1150</x:v>
      </x:c>
      <x:c r="D81" s="4" t="str">
        <x:v>projection</x:v>
      </x:c>
      <x:c r="E81" s="4" t="str">
        <x:v>SP_800_181_2_2_0</x:v>
      </x:c>
      <x:c r="F81" s="4" t="str">
        <x:v>F001 / 2.2.0</x:v>
      </x:c>
      <x:c r="G81" s="12" t="n">
        <x:f>COUNTIFS('13_Relaciones_NICE'!$B$5:$B$186,B81,'13_Relaciones_NICE'!$C$5:$C$186,C81)-1</x:f>
        <x:v>0</x:v>
      </x:c>
      <x:c r="H81" s="12" t="n">
        <x:f>IF(AND(COUNTIF('03_NICE'!$A$5:$A$57,B81)+COUNTIF('04_TKS'!$A$5:$A$72,B81)=1,COUNTIF('03_NICE'!$A$5:$A$57,C81)+COUNTIF('04_TKS'!$A$5:$A$72,C81)=1),0,1)</x:f>
        <x:v>0</x:v>
      </x:c>
    </x:row>
    <x:row r="82" ht="47" customHeight="1">
      <x:c r="A82" s="4" t="str">
        <x:v>RN-078</x:v>
      </x:c>
      <x:c r="B82" s="4" t="str">
        <x:v>DD-WRL-004</x:v>
      </x:c>
      <x:c r="C82" s="4" t="str">
        <x:v>T1586</x:v>
      </x:c>
      <x:c r="D82" s="4" t="str">
        <x:v>projection</x:v>
      </x:c>
      <x:c r="E82" s="4" t="str">
        <x:v>SP_800_181_2_2_0</x:v>
      </x:c>
      <x:c r="F82" s="4" t="str">
        <x:v>F001 / 2.2.0</x:v>
      </x:c>
      <x:c r="G82" s="12" t="n">
        <x:f>COUNTIFS('13_Relaciones_NICE'!$B$5:$B$186,B82,'13_Relaciones_NICE'!$C$5:$C$186,C82)-1</x:f>
        <x:v>0</x:v>
      </x:c>
      <x:c r="H82" s="12" t="n">
        <x:f>IF(AND(COUNTIF('03_NICE'!$A$5:$A$57,B82)+COUNTIF('04_TKS'!$A$5:$A$72,B82)=1,COUNTIF('03_NICE'!$A$5:$A$57,C82)+COUNTIF('04_TKS'!$A$5:$A$72,C82)=1),0,1)</x:f>
        <x:v>0</x:v>
      </x:c>
    </x:row>
    <x:row r="83" ht="47" customHeight="1">
      <x:c r="A83" s="4" t="str">
        <x:v>RN-079</x:v>
      </x:c>
      <x:c r="B83" s="4" t="str">
        <x:v>DD-WRL-005</x:v>
      </x:c>
      <x:c r="C83" s="4" t="str">
        <x:v>K0711</x:v>
      </x:c>
      <x:c r="D83" s="4" t="str">
        <x:v>projection</x:v>
      </x:c>
      <x:c r="E83" s="4" t="str">
        <x:v>SP_800_181_2_2_0</x:v>
      </x:c>
      <x:c r="F83" s="4" t="str">
        <x:v>F001 / 2.2.0</x:v>
      </x:c>
      <x:c r="G83" s="12" t="n">
        <x:f>COUNTIFS('13_Relaciones_NICE'!$B$5:$B$186,B83,'13_Relaciones_NICE'!$C$5:$C$186,C83)-1</x:f>
        <x:v>0</x:v>
      </x:c>
      <x:c r="H83" s="12" t="n">
        <x:f>IF(AND(COUNTIF('03_NICE'!$A$5:$A$57,B83)+COUNTIF('04_TKS'!$A$5:$A$72,B83)=1,COUNTIF('03_NICE'!$A$5:$A$57,C83)+COUNTIF('04_TKS'!$A$5:$A$72,C83)=1),0,1)</x:f>
        <x:v>0</x:v>
      </x:c>
    </x:row>
    <x:row r="84" ht="47" customHeight="1">
      <x:c r="A84" s="4" t="str">
        <x:v>RN-080</x:v>
      </x:c>
      <x:c r="B84" s="4" t="str">
        <x:v>DD-WRL-005</x:v>
      </x:c>
      <x:c r="C84" s="4" t="str">
        <x:v>T1020</x:v>
      </x:c>
      <x:c r="D84" s="4" t="str">
        <x:v>projection</x:v>
      </x:c>
      <x:c r="E84" s="4" t="str">
        <x:v>SP_800_181_2_2_0</x:v>
      </x:c>
      <x:c r="F84" s="4" t="str">
        <x:v>F001 / 2.2.0</x:v>
      </x:c>
      <x:c r="G84" s="12" t="n">
        <x:f>COUNTIFS('13_Relaciones_NICE'!$B$5:$B$186,B84,'13_Relaciones_NICE'!$C$5:$C$186,C84)-1</x:f>
        <x:v>0</x:v>
      </x:c>
      <x:c r="H84" s="12" t="n">
        <x:f>IF(AND(COUNTIF('03_NICE'!$A$5:$A$57,B84)+COUNTIF('04_TKS'!$A$5:$A$72,B84)=1,COUNTIF('03_NICE'!$A$5:$A$57,C84)+COUNTIF('04_TKS'!$A$5:$A$72,C84)=1),0,1)</x:f>
        <x:v>0</x:v>
      </x:c>
    </x:row>
    <x:row r="85" ht="47" customHeight="1">
      <x:c r="A85" s="4" t="str">
        <x:v>RN-081</x:v>
      </x:c>
      <x:c r="B85" s="4" t="str">
        <x:v>DD-WRL-005</x:v>
      </x:c>
      <x:c r="C85" s="4" t="str">
        <x:v>T1624</x:v>
      </x:c>
      <x:c r="D85" s="4" t="str">
        <x:v>projection</x:v>
      </x:c>
      <x:c r="E85" s="4" t="str">
        <x:v>SP_800_181_2_2_0</x:v>
      </x:c>
      <x:c r="F85" s="4" t="str">
        <x:v>F001 / 2.2.0</x:v>
      </x:c>
      <x:c r="G85" s="12" t="n">
        <x:f>COUNTIFS('13_Relaciones_NICE'!$B$5:$B$186,B85,'13_Relaciones_NICE'!$C$5:$C$186,C85)-1</x:f>
        <x:v>0</x:v>
      </x:c>
      <x:c r="H85" s="12" t="n">
        <x:f>IF(AND(COUNTIF('03_NICE'!$A$5:$A$57,B85)+COUNTIF('04_TKS'!$A$5:$A$72,B85)=1,COUNTIF('03_NICE'!$A$5:$A$57,C85)+COUNTIF('04_TKS'!$A$5:$A$72,C85)=1),0,1)</x:f>
        <x:v>0</x:v>
      </x:c>
    </x:row>
    <x:row r="86" ht="47" customHeight="1">
      <x:c r="A86" s="4" t="str">
        <x:v>RN-082</x:v>
      </x:c>
      <x:c r="B86" s="4" t="str">
        <x:v>DD-WRL-005</x:v>
      </x:c>
      <x:c r="C86" s="4" t="str">
        <x:v>T1625</x:v>
      </x:c>
      <x:c r="D86" s="4" t="str">
        <x:v>projection</x:v>
      </x:c>
      <x:c r="E86" s="4" t="str">
        <x:v>SP_800_181_2_2_0</x:v>
      </x:c>
      <x:c r="F86" s="4" t="str">
        <x:v>F001 / 2.2.0</x:v>
      </x:c>
      <x:c r="G86" s="12" t="n">
        <x:f>COUNTIFS('13_Relaciones_NICE'!$B$5:$B$186,B86,'13_Relaciones_NICE'!$C$5:$C$186,C86)-1</x:f>
        <x:v>0</x:v>
      </x:c>
      <x:c r="H86" s="12" t="n">
        <x:f>IF(AND(COUNTIF('03_NICE'!$A$5:$A$57,B86)+COUNTIF('04_TKS'!$A$5:$A$72,B86)=1,COUNTIF('03_NICE'!$A$5:$A$57,C86)+COUNTIF('04_TKS'!$A$5:$A$72,C86)=1),0,1)</x:f>
        <x:v>0</x:v>
      </x:c>
    </x:row>
    <x:row r="87" ht="47" customHeight="1">
      <x:c r="A87" s="4" t="str">
        <x:v>RN-083</x:v>
      </x:c>
      <x:c r="B87" s="4" t="str">
        <x:v>DD-WRL-006</x:v>
      </x:c>
      <x:c r="C87" s="4" t="str">
        <x:v>K0742</x:v>
      </x:c>
      <x:c r="D87" s="4" t="str">
        <x:v>projection</x:v>
      </x:c>
      <x:c r="E87" s="4" t="str">
        <x:v>SP_800_181_2_2_0</x:v>
      </x:c>
      <x:c r="F87" s="4" t="str">
        <x:v>F001 / 2.2.0</x:v>
      </x:c>
      <x:c r="G87" s="12" t="n">
        <x:f>COUNTIFS('13_Relaciones_NICE'!$B$5:$B$186,B87,'13_Relaciones_NICE'!$C$5:$C$186,C87)-1</x:f>
        <x:v>0</x:v>
      </x:c>
      <x:c r="H87" s="12" t="n">
        <x:f>IF(AND(COUNTIF('03_NICE'!$A$5:$A$57,B87)+COUNTIF('04_TKS'!$A$5:$A$72,B87)=1,COUNTIF('03_NICE'!$A$5:$A$57,C87)+COUNTIF('04_TKS'!$A$5:$A$72,C87)=1),0,1)</x:f>
        <x:v>0</x:v>
      </x:c>
    </x:row>
    <x:row r="88" ht="47" customHeight="1">
      <x:c r="A88" s="4" t="str">
        <x:v>RN-084</x:v>
      </x:c>
      <x:c r="B88" s="4" t="str">
        <x:v>DD-WRL-006</x:v>
      </x:c>
      <x:c r="C88" s="4" t="str">
        <x:v>T1020</x:v>
      </x:c>
      <x:c r="D88" s="4" t="str">
        <x:v>projection</x:v>
      </x:c>
      <x:c r="E88" s="4" t="str">
        <x:v>SP_800_181_2_2_0</x:v>
      </x:c>
      <x:c r="F88" s="4" t="str">
        <x:v>F001 / 2.2.0</x:v>
      </x:c>
      <x:c r="G88" s="12" t="n">
        <x:f>COUNTIFS('13_Relaciones_NICE'!$B$5:$B$186,B88,'13_Relaciones_NICE'!$C$5:$C$186,C88)-1</x:f>
        <x:v>0</x:v>
      </x:c>
      <x:c r="H88" s="12" t="n">
        <x:f>IF(AND(COUNTIF('03_NICE'!$A$5:$A$57,B88)+COUNTIF('04_TKS'!$A$5:$A$72,B88)=1,COUNTIF('03_NICE'!$A$5:$A$57,C88)+COUNTIF('04_TKS'!$A$5:$A$72,C88)=1),0,1)</x:f>
        <x:v>0</x:v>
      </x:c>
    </x:row>
    <x:row r="89" ht="47" customHeight="1">
      <x:c r="A89" s="4" t="str">
        <x:v>RN-085</x:v>
      </x:c>
      <x:c r="B89" s="4" t="str">
        <x:v>DD-WRL-006</x:v>
      </x:c>
      <x:c r="C89" s="4" t="str">
        <x:v>T1366</x:v>
      </x:c>
      <x:c r="D89" s="4" t="str">
        <x:v>projection</x:v>
      </x:c>
      <x:c r="E89" s="4" t="str">
        <x:v>SP_800_181_2_2_0</x:v>
      </x:c>
      <x:c r="F89" s="4" t="str">
        <x:v>F001 / 2.2.0</x:v>
      </x:c>
      <x:c r="G89" s="12" t="n">
        <x:f>COUNTIFS('13_Relaciones_NICE'!$B$5:$B$186,B89,'13_Relaciones_NICE'!$C$5:$C$186,C89)-1</x:f>
        <x:v>0</x:v>
      </x:c>
      <x:c r="H89" s="12" t="n">
        <x:f>IF(AND(COUNTIF('03_NICE'!$A$5:$A$57,B89)+COUNTIF('04_TKS'!$A$5:$A$72,B89)=1,COUNTIF('03_NICE'!$A$5:$A$57,C89)+COUNTIF('04_TKS'!$A$5:$A$72,C89)=1),0,1)</x:f>
        <x:v>0</x:v>
      </x:c>
    </x:row>
    <x:row r="90" ht="47" customHeight="1">
      <x:c r="A90" s="4" t="str">
        <x:v>RN-086</x:v>
      </x:c>
      <x:c r="B90" s="4" t="str">
        <x:v>DD-WRL-007</x:v>
      </x:c>
      <x:c r="C90" s="4" t="str">
        <x:v>K0711</x:v>
      </x:c>
      <x:c r="D90" s="4" t="str">
        <x:v>projection</x:v>
      </x:c>
      <x:c r="E90" s="4" t="str">
        <x:v>SP_800_181_2_2_0</x:v>
      </x:c>
      <x:c r="F90" s="4" t="str">
        <x:v>F001 / 2.2.0</x:v>
      </x:c>
      <x:c r="G90" s="12" t="n">
        <x:f>COUNTIFS('13_Relaciones_NICE'!$B$5:$B$186,B90,'13_Relaciones_NICE'!$C$5:$C$186,C90)-1</x:f>
        <x:v>0</x:v>
      </x:c>
      <x:c r="H90" s="12" t="n">
        <x:f>IF(AND(COUNTIF('03_NICE'!$A$5:$A$57,B90)+COUNTIF('04_TKS'!$A$5:$A$72,B90)=1,COUNTIF('03_NICE'!$A$5:$A$57,C90)+COUNTIF('04_TKS'!$A$5:$A$72,C90)=1),0,1)</x:f>
        <x:v>0</x:v>
      </x:c>
    </x:row>
    <x:row r="91" ht="47" customHeight="1">
      <x:c r="A91" s="4" t="str">
        <x:v>RN-087</x:v>
      </x:c>
      <x:c r="B91" s="4" t="str">
        <x:v>DD-WRL-007</x:v>
      </x:c>
      <x:c r="C91" s="4" t="str">
        <x:v>T0080</x:v>
      </x:c>
      <x:c r="D91" s="4" t="str">
        <x:v>projection</x:v>
      </x:c>
      <x:c r="E91" s="4" t="str">
        <x:v>SP_800_181_2_2_0</x:v>
      </x:c>
      <x:c r="F91" s="4" t="str">
        <x:v>F001 / 2.2.0</x:v>
      </x:c>
      <x:c r="G91" s="12" t="n">
        <x:f>COUNTIFS('13_Relaciones_NICE'!$B$5:$B$186,B91,'13_Relaciones_NICE'!$C$5:$C$186,C91)-1</x:f>
        <x:v>0</x:v>
      </x:c>
      <x:c r="H91" s="12" t="n">
        <x:f>IF(AND(COUNTIF('03_NICE'!$A$5:$A$57,B91)+COUNTIF('04_TKS'!$A$5:$A$72,B91)=1,COUNTIF('03_NICE'!$A$5:$A$57,C91)+COUNTIF('04_TKS'!$A$5:$A$72,C91)=1),0,1)</x:f>
        <x:v>0</x:v>
      </x:c>
    </x:row>
    <x:row r="92" ht="47" customHeight="1">
      <x:c r="A92" s="4" t="str">
        <x:v>RN-088</x:v>
      </x:c>
      <x:c r="B92" s="4" t="str">
        <x:v>DD-WRL-007</x:v>
      </x:c>
      <x:c r="C92" s="4" t="str">
        <x:v>T0274</x:v>
      </x:c>
      <x:c r="D92" s="4" t="str">
        <x:v>projection</x:v>
      </x:c>
      <x:c r="E92" s="4" t="str">
        <x:v>SP_800_181_2_2_0</x:v>
      </x:c>
      <x:c r="F92" s="4" t="str">
        <x:v>F001 / 2.2.0</x:v>
      </x:c>
      <x:c r="G92" s="12" t="n">
        <x:f>COUNTIFS('13_Relaciones_NICE'!$B$5:$B$186,B92,'13_Relaciones_NICE'!$C$5:$C$186,C92)-1</x:f>
        <x:v>0</x:v>
      </x:c>
      <x:c r="H92" s="12" t="n">
        <x:f>IF(AND(COUNTIF('03_NICE'!$A$5:$A$57,B92)+COUNTIF('04_TKS'!$A$5:$A$72,B92)=1,COUNTIF('03_NICE'!$A$5:$A$57,C92)+COUNTIF('04_TKS'!$A$5:$A$72,C92)=1),0,1)</x:f>
        <x:v>0</x:v>
      </x:c>
    </x:row>
    <x:row r="93" ht="47" customHeight="1">
      <x:c r="A93" s="4" t="str">
        <x:v>RN-089</x:v>
      </x:c>
      <x:c r="B93" s="4" t="str">
        <x:v>DD-WRL-007</x:v>
      </x:c>
      <x:c r="C93" s="4" t="str">
        <x:v>T1020</x:v>
      </x:c>
      <x:c r="D93" s="4" t="str">
        <x:v>projection</x:v>
      </x:c>
      <x:c r="E93" s="4" t="str">
        <x:v>SP_800_181_2_2_0</x:v>
      </x:c>
      <x:c r="F93" s="4" t="str">
        <x:v>F001 / 2.2.0</x:v>
      </x:c>
      <x:c r="G93" s="12" t="n">
        <x:f>COUNTIFS('13_Relaciones_NICE'!$B$5:$B$186,B93,'13_Relaciones_NICE'!$C$5:$C$186,C93)-1</x:f>
        <x:v>0</x:v>
      </x:c>
      <x:c r="H93" s="12" t="n">
        <x:f>IF(AND(COUNTIF('03_NICE'!$A$5:$A$57,B93)+COUNTIF('04_TKS'!$A$5:$A$72,B93)=1,COUNTIF('03_NICE'!$A$5:$A$57,C93)+COUNTIF('04_TKS'!$A$5:$A$72,C93)=1),0,1)</x:f>
        <x:v>0</x:v>
      </x:c>
    </x:row>
    <x:row r="94" ht="47" customHeight="1">
      <x:c r="A94" s="4" t="str">
        <x:v>RN-090</x:v>
      </x:c>
      <x:c r="B94" s="4" t="str">
        <x:v>DD-WRL-008</x:v>
      </x:c>
      <x:c r="C94" s="4" t="str">
        <x:v>T1020</x:v>
      </x:c>
      <x:c r="D94" s="4" t="str">
        <x:v>projection</x:v>
      </x:c>
      <x:c r="E94" s="4" t="str">
        <x:v>SP_800_181_2_2_0</x:v>
      </x:c>
      <x:c r="F94" s="4" t="str">
        <x:v>F001 / 2.2.0</x:v>
      </x:c>
      <x:c r="G94" s="12" t="n">
        <x:f>COUNTIFS('13_Relaciones_NICE'!$B$5:$B$186,B94,'13_Relaciones_NICE'!$C$5:$C$186,C94)-1</x:f>
        <x:v>0</x:v>
      </x:c>
      <x:c r="H94" s="12" t="n">
        <x:f>IF(AND(COUNTIF('03_NICE'!$A$5:$A$57,B94)+COUNTIF('04_TKS'!$A$5:$A$72,B94)=1,COUNTIF('03_NICE'!$A$5:$A$57,C94)+COUNTIF('04_TKS'!$A$5:$A$72,C94)=1),0,1)</x:f>
        <x:v>0</x:v>
      </x:c>
    </x:row>
    <x:row r="95" ht="47" customHeight="1">
      <x:c r="A95" s="4" t="str">
        <x:v>RN-091</x:v>
      </x:c>
      <x:c r="B95" s="4" t="str">
        <x:v>DD-WRL-008</x:v>
      </x:c>
      <x:c r="C95" s="4" t="str">
        <x:v>T1118</x:v>
      </x:c>
      <x:c r="D95" s="4" t="str">
        <x:v>projection</x:v>
      </x:c>
      <x:c r="E95" s="4" t="str">
        <x:v>SP_800_181_2_2_0</x:v>
      </x:c>
      <x:c r="F95" s="4" t="str">
        <x:v>F001 / 2.2.0</x:v>
      </x:c>
      <x:c r="G95" s="12" t="n">
        <x:f>COUNTIFS('13_Relaciones_NICE'!$B$5:$B$186,B95,'13_Relaciones_NICE'!$C$5:$C$186,C95)-1</x:f>
        <x:v>0</x:v>
      </x:c>
      <x:c r="H95" s="12" t="n">
        <x:f>IF(AND(COUNTIF('03_NICE'!$A$5:$A$57,B95)+COUNTIF('04_TKS'!$A$5:$A$72,B95)=1,COUNTIF('03_NICE'!$A$5:$A$57,C95)+COUNTIF('04_TKS'!$A$5:$A$72,C95)=1),0,1)</x:f>
        <x:v>0</x:v>
      </x:c>
    </x:row>
    <x:row r="96" ht="47" customHeight="1">
      <x:c r="A96" s="4" t="str">
        <x:v>RN-092</x:v>
      </x:c>
      <x:c r="B96" s="4" t="str">
        <x:v>DD-WRL-008</x:v>
      </x:c>
      <x:c r="C96" s="4" t="str">
        <x:v>T1119</x:v>
      </x:c>
      <x:c r="D96" s="4" t="str">
        <x:v>projection</x:v>
      </x:c>
      <x:c r="E96" s="4" t="str">
        <x:v>SP_800_181_2_2_0</x:v>
      </x:c>
      <x:c r="F96" s="4" t="str">
        <x:v>F001 / 2.2.0</x:v>
      </x:c>
      <x:c r="G96" s="12" t="n">
        <x:f>COUNTIFS('13_Relaciones_NICE'!$B$5:$B$186,B96,'13_Relaciones_NICE'!$C$5:$C$186,C96)-1</x:f>
        <x:v>0</x:v>
      </x:c>
      <x:c r="H96" s="12" t="n">
        <x:f>IF(AND(COUNTIF('03_NICE'!$A$5:$A$57,B96)+COUNTIF('04_TKS'!$A$5:$A$72,B96)=1,COUNTIF('03_NICE'!$A$5:$A$57,C96)+COUNTIF('04_TKS'!$A$5:$A$72,C96)=1),0,1)</x:f>
        <x:v>0</x:v>
      </x:c>
    </x:row>
    <x:row r="97" ht="47" customHeight="1">
      <x:c r="A97" s="4" t="str">
        <x:v>RN-093</x:v>
      </x:c>
      <x:c r="B97" s="4" t="str">
        <x:v>DD-WRL-009</x:v>
      </x:c>
      <x:c r="C97" s="4" t="str">
        <x:v>T2036</x:v>
      </x:c>
      <x:c r="D97" s="4" t="str">
        <x:v>projection</x:v>
      </x:c>
      <x:c r="E97" s="4" t="str">
        <x:v>SP_800_181_2_2_0</x:v>
      </x:c>
      <x:c r="F97" s="4" t="str">
        <x:v>F001 / 2.2.0</x:v>
      </x:c>
      <x:c r="G97" s="12" t="n">
        <x:f>COUNTIFS('13_Relaciones_NICE'!$B$5:$B$186,B97,'13_Relaciones_NICE'!$C$5:$C$186,C97)-1</x:f>
        <x:v>0</x:v>
      </x:c>
      <x:c r="H97" s="12" t="n">
        <x:f>IF(AND(COUNTIF('03_NICE'!$A$5:$A$57,B97)+COUNTIF('04_TKS'!$A$5:$A$72,B97)=1,COUNTIF('03_NICE'!$A$5:$A$57,C97)+COUNTIF('04_TKS'!$A$5:$A$72,C97)=1),0,1)</x:f>
        <x:v>0</x:v>
      </x:c>
    </x:row>
    <x:row r="98" ht="47" customHeight="1">
      <x:c r="A98" s="4" t="str">
        <x:v>RN-094</x:v>
      </x:c>
      <x:c r="B98" s="4" t="str">
        <x:v>IO-WRL-001</x:v>
      </x:c>
      <x:c r="C98" s="4" t="str">
        <x:v>K0742</x:v>
      </x:c>
      <x:c r="D98" s="4" t="str">
        <x:v>projection</x:v>
      </x:c>
      <x:c r="E98" s="4" t="str">
        <x:v>SP_800_181_2_2_0</x:v>
      </x:c>
      <x:c r="F98" s="4" t="str">
        <x:v>F001 / 2.2.0</x:v>
      </x:c>
      <x:c r="G98" s="12" t="n">
        <x:f>COUNTIFS('13_Relaciones_NICE'!$B$5:$B$186,B98,'13_Relaciones_NICE'!$C$5:$C$186,C98)-1</x:f>
        <x:v>0</x:v>
      </x:c>
      <x:c r="H98" s="12" t="n">
        <x:f>IF(AND(COUNTIF('03_NICE'!$A$5:$A$57,B98)+COUNTIF('04_TKS'!$A$5:$A$72,B98)=1,COUNTIF('03_NICE'!$A$5:$A$57,C98)+COUNTIF('04_TKS'!$A$5:$A$72,C98)=1),0,1)</x:f>
        <x:v>0</x:v>
      </x:c>
    </x:row>
    <x:row r="99" ht="47" customHeight="1">
      <x:c r="A99" s="4" t="str">
        <x:v>RN-095</x:v>
      </x:c>
      <x:c r="B99" s="4" t="str">
        <x:v>IO-WRL-001</x:v>
      </x:c>
      <x:c r="C99" s="4" t="str">
        <x:v>K0904</x:v>
      </x:c>
      <x:c r="D99" s="4" t="str">
        <x:v>projection</x:v>
      </x:c>
      <x:c r="E99" s="4" t="str">
        <x:v>SP_800_181_2_2_0</x:v>
      </x:c>
      <x:c r="F99" s="4" t="str">
        <x:v>F001 / 2.2.0</x:v>
      </x:c>
      <x:c r="G99" s="12" t="n">
        <x:f>COUNTIFS('13_Relaciones_NICE'!$B$5:$B$186,B99,'13_Relaciones_NICE'!$C$5:$C$186,C99)-1</x:f>
        <x:v>0</x:v>
      </x:c>
      <x:c r="H99" s="12" t="n">
        <x:f>IF(AND(COUNTIF('03_NICE'!$A$5:$A$57,B99)+COUNTIF('04_TKS'!$A$5:$A$72,B99)=1,COUNTIF('03_NICE'!$A$5:$A$57,C99)+COUNTIF('04_TKS'!$A$5:$A$72,C99)=1),0,1)</x:f>
        <x:v>0</x:v>
      </x:c>
    </x:row>
    <x:row r="100" ht="47" customHeight="1">
      <x:c r="A100" s="4" t="str">
        <x:v>RN-096</x:v>
      </x:c>
      <x:c r="B100" s="4" t="str">
        <x:v>IO-WRL-001</x:v>
      </x:c>
      <x:c r="C100" s="4" t="str">
        <x:v>T1020</x:v>
      </x:c>
      <x:c r="D100" s="4" t="str">
        <x:v>projection</x:v>
      </x:c>
      <x:c r="E100" s="4" t="str">
        <x:v>SP_800_181_2_2_0</x:v>
      </x:c>
      <x:c r="F100" s="4" t="str">
        <x:v>F001 / 2.2.0</x:v>
      </x:c>
      <x:c r="G100" s="12" t="n">
        <x:f>COUNTIFS('13_Relaciones_NICE'!$B$5:$B$186,B100,'13_Relaciones_NICE'!$C$5:$C$186,C100)-1</x:f>
        <x:v>0</x:v>
      </x:c>
      <x:c r="H100" s="12" t="n">
        <x:f>IF(AND(COUNTIF('03_NICE'!$A$5:$A$57,B100)+COUNTIF('04_TKS'!$A$5:$A$72,B100)=1,COUNTIF('03_NICE'!$A$5:$A$57,C100)+COUNTIF('04_TKS'!$A$5:$A$72,C100)=1),0,1)</x:f>
        <x:v>0</x:v>
      </x:c>
    </x:row>
    <x:row r="101" ht="47" customHeight="1">
      <x:c r="A101" s="4" t="str">
        <x:v>RN-097</x:v>
      </x:c>
      <x:c r="B101" s="4" t="str">
        <x:v>IO-WRL-002</x:v>
      </x:c>
      <x:c r="C101" s="4" t="str">
        <x:v>K0742</x:v>
      </x:c>
      <x:c r="D101" s="4" t="str">
        <x:v>projection</x:v>
      </x:c>
      <x:c r="E101" s="4" t="str">
        <x:v>SP_800_181_2_2_0</x:v>
      </x:c>
      <x:c r="F101" s="4" t="str">
        <x:v>F001 / 2.2.0</x:v>
      </x:c>
      <x:c r="G101" s="12" t="n">
        <x:f>COUNTIFS('13_Relaciones_NICE'!$B$5:$B$186,B101,'13_Relaciones_NICE'!$C$5:$C$186,C101)-1</x:f>
        <x:v>0</x:v>
      </x:c>
      <x:c r="H101" s="12" t="n">
        <x:f>IF(AND(COUNTIF('03_NICE'!$A$5:$A$57,B101)+COUNTIF('04_TKS'!$A$5:$A$72,B101)=1,COUNTIF('03_NICE'!$A$5:$A$57,C101)+COUNTIF('04_TKS'!$A$5:$A$72,C101)=1),0,1)</x:f>
        <x:v>0</x:v>
      </x:c>
    </x:row>
    <x:row r="102" ht="47" customHeight="1">
      <x:c r="A102" s="4" t="str">
        <x:v>RN-098</x:v>
      </x:c>
      <x:c r="B102" s="4" t="str">
        <x:v>IO-WRL-002</x:v>
      </x:c>
      <x:c r="C102" s="4" t="str">
        <x:v>K1147</x:v>
      </x:c>
      <x:c r="D102" s="4" t="str">
        <x:v>projection</x:v>
      </x:c>
      <x:c r="E102" s="4" t="str">
        <x:v>SP_800_181_2_2_0</x:v>
      </x:c>
      <x:c r="F102" s="4" t="str">
        <x:v>F001 / 2.2.0</x:v>
      </x:c>
      <x:c r="G102" s="12" t="n">
        <x:f>COUNTIFS('13_Relaciones_NICE'!$B$5:$B$186,B102,'13_Relaciones_NICE'!$C$5:$C$186,C102)-1</x:f>
        <x:v>0</x:v>
      </x:c>
      <x:c r="H102" s="12" t="n">
        <x:f>IF(AND(COUNTIF('03_NICE'!$A$5:$A$57,B102)+COUNTIF('04_TKS'!$A$5:$A$72,B102)=1,COUNTIF('03_NICE'!$A$5:$A$57,C102)+COUNTIF('04_TKS'!$A$5:$A$72,C102)=1),0,1)</x:f>
        <x:v>0</x:v>
      </x:c>
    </x:row>
    <x:row r="103" ht="47" customHeight="1">
      <x:c r="A103" s="4" t="str">
        <x:v>RN-099</x:v>
      </x:c>
      <x:c r="B103" s="4" t="str">
        <x:v>IO-WRL-002</x:v>
      </x:c>
      <x:c r="C103" s="4" t="str">
        <x:v>T1020</x:v>
      </x:c>
      <x:c r="D103" s="4" t="str">
        <x:v>projection</x:v>
      </x:c>
      <x:c r="E103" s="4" t="str">
        <x:v>SP_800_181_2_2_0</x:v>
      </x:c>
      <x:c r="F103" s="4" t="str">
        <x:v>F001 / 2.2.0</x:v>
      </x:c>
      <x:c r="G103" s="12" t="n">
        <x:f>COUNTIFS('13_Relaciones_NICE'!$B$5:$B$186,B103,'13_Relaciones_NICE'!$C$5:$C$186,C103)-1</x:f>
        <x:v>0</x:v>
      </x:c>
      <x:c r="H103" s="12" t="n">
        <x:f>IF(AND(COUNTIF('03_NICE'!$A$5:$A$57,B103)+COUNTIF('04_TKS'!$A$5:$A$72,B103)=1,COUNTIF('03_NICE'!$A$5:$A$57,C103)+COUNTIF('04_TKS'!$A$5:$A$72,C103)=1),0,1)</x:f>
        <x:v>0</x:v>
      </x:c>
    </x:row>
    <x:row r="104" ht="47" customHeight="1">
      <x:c r="A104" s="4" t="str">
        <x:v>RN-100</x:v>
      </x:c>
      <x:c r="B104" s="4" t="str">
        <x:v>IO-WRL-003</x:v>
      </x:c>
      <x:c r="C104" s="4" t="str">
        <x:v>T1020</x:v>
      </x:c>
      <x:c r="D104" s="4" t="str">
        <x:v>projection</x:v>
      </x:c>
      <x:c r="E104" s="4" t="str">
        <x:v>SP_800_181_2_2_0</x:v>
      </x:c>
      <x:c r="F104" s="4" t="str">
        <x:v>F001 / 2.2.0</x:v>
      </x:c>
      <x:c r="G104" s="12" t="n">
        <x:f>COUNTIFS('13_Relaciones_NICE'!$B$5:$B$186,B104,'13_Relaciones_NICE'!$C$5:$C$186,C104)-1</x:f>
        <x:v>0</x:v>
      </x:c>
      <x:c r="H104" s="12" t="n">
        <x:f>IF(AND(COUNTIF('03_NICE'!$A$5:$A$57,B104)+COUNTIF('04_TKS'!$A$5:$A$72,B104)=1,COUNTIF('03_NICE'!$A$5:$A$57,C104)+COUNTIF('04_TKS'!$A$5:$A$72,C104)=1),0,1)</x:f>
        <x:v>0</x:v>
      </x:c>
    </x:row>
    <x:row r="105" ht="47" customHeight="1">
      <x:c r="A105" s="4" t="str">
        <x:v>RN-101</x:v>
      </x:c>
      <x:c r="B105" s="4" t="str">
        <x:v>IO-WRL-004</x:v>
      </x:c>
      <x:c r="C105" s="4" t="str">
        <x:v>T1020</x:v>
      </x:c>
      <x:c r="D105" s="4" t="str">
        <x:v>projection</x:v>
      </x:c>
      <x:c r="E105" s="4" t="str">
        <x:v>SP_800_181_2_2_0</x:v>
      </x:c>
      <x:c r="F105" s="4" t="str">
        <x:v>F001 / 2.2.0</x:v>
      </x:c>
      <x:c r="G105" s="12" t="n">
        <x:f>COUNTIFS('13_Relaciones_NICE'!$B$5:$B$186,B105,'13_Relaciones_NICE'!$C$5:$C$186,C105)-1</x:f>
        <x:v>0</x:v>
      </x:c>
      <x:c r="H105" s="12" t="n">
        <x:f>IF(AND(COUNTIF('03_NICE'!$A$5:$A$57,B105)+COUNTIF('04_TKS'!$A$5:$A$72,B105)=1,COUNTIF('03_NICE'!$A$5:$A$57,C105)+COUNTIF('04_TKS'!$A$5:$A$72,C105)=1),0,1)</x:f>
        <x:v>0</x:v>
      </x:c>
    </x:row>
    <x:row r="106" ht="47" customHeight="1">
      <x:c r="A106" s="4" t="str">
        <x:v>RN-102</x:v>
      </x:c>
      <x:c r="B106" s="4" t="str">
        <x:v>IO-WRL-005</x:v>
      </x:c>
      <x:c r="C106" s="4" t="str">
        <x:v>T1020</x:v>
      </x:c>
      <x:c r="D106" s="4" t="str">
        <x:v>projection</x:v>
      </x:c>
      <x:c r="E106" s="4" t="str">
        <x:v>SP_800_181_2_2_0</x:v>
      </x:c>
      <x:c r="F106" s="4" t="str">
        <x:v>F001 / 2.2.0</x:v>
      </x:c>
      <x:c r="G106" s="12" t="n">
        <x:f>COUNTIFS('13_Relaciones_NICE'!$B$5:$B$186,B106,'13_Relaciones_NICE'!$C$5:$C$186,C106)-1</x:f>
        <x:v>0</x:v>
      </x:c>
      <x:c r="H106" s="12" t="n">
        <x:f>IF(AND(COUNTIF('03_NICE'!$A$5:$A$57,B106)+COUNTIF('04_TKS'!$A$5:$A$72,B106)=1,COUNTIF('03_NICE'!$A$5:$A$57,C106)+COUNTIF('04_TKS'!$A$5:$A$72,C106)=1),0,1)</x:f>
        <x:v>0</x:v>
      </x:c>
    </x:row>
    <x:row r="107" ht="47" customHeight="1">
      <x:c r="A107" s="4" t="str">
        <x:v>RN-103</x:v>
      </x:c>
      <x:c r="B107" s="4" t="str">
        <x:v>IO-WRL-005</x:v>
      </x:c>
      <x:c r="C107" s="4" t="str">
        <x:v>T1130</x:v>
      </x:c>
      <x:c r="D107" s="4" t="str">
        <x:v>projection</x:v>
      </x:c>
      <x:c r="E107" s="4" t="str">
        <x:v>SP_800_181_2_2_0</x:v>
      </x:c>
      <x:c r="F107" s="4" t="str">
        <x:v>F001 / 2.2.0</x:v>
      </x:c>
      <x:c r="G107" s="12" t="n">
        <x:f>COUNTIFS('13_Relaciones_NICE'!$B$5:$B$186,B107,'13_Relaciones_NICE'!$C$5:$C$186,C107)-1</x:f>
        <x:v>0</x:v>
      </x:c>
      <x:c r="H107" s="12" t="n">
        <x:f>IF(AND(COUNTIF('03_NICE'!$A$5:$A$57,B107)+COUNTIF('04_TKS'!$A$5:$A$72,B107)=1,COUNTIF('03_NICE'!$A$5:$A$57,C107)+COUNTIF('04_TKS'!$A$5:$A$72,C107)=1),0,1)</x:f>
        <x:v>0</x:v>
      </x:c>
    </x:row>
    <x:row r="108" ht="47" customHeight="1">
      <x:c r="A108" s="4" t="str">
        <x:v>RN-104</x:v>
      </x:c>
      <x:c r="B108" s="4" t="str">
        <x:v>IO-WRL-006</x:v>
      </x:c>
      <x:c r="C108" s="4" t="str">
        <x:v>K0742</x:v>
      </x:c>
      <x:c r="D108" s="4" t="str">
        <x:v>projection</x:v>
      </x:c>
      <x:c r="E108" s="4" t="str">
        <x:v>SP_800_181_2_2_0</x:v>
      </x:c>
      <x:c r="F108" s="4" t="str">
        <x:v>F001 / 2.2.0</x:v>
      </x:c>
      <x:c r="G108" s="12" t="n">
        <x:f>COUNTIFS('13_Relaciones_NICE'!$B$5:$B$186,B108,'13_Relaciones_NICE'!$C$5:$C$186,C108)-1</x:f>
        <x:v>0</x:v>
      </x:c>
      <x:c r="H108" s="12" t="n">
        <x:f>IF(AND(COUNTIF('03_NICE'!$A$5:$A$57,B108)+COUNTIF('04_TKS'!$A$5:$A$72,B108)=1,COUNTIF('03_NICE'!$A$5:$A$57,C108)+COUNTIF('04_TKS'!$A$5:$A$72,C108)=1),0,1)</x:f>
        <x:v>0</x:v>
      </x:c>
    </x:row>
    <x:row r="109" ht="47" customHeight="1">
      <x:c r="A109" s="4" t="str">
        <x:v>RN-105</x:v>
      </x:c>
      <x:c r="B109" s="4" t="str">
        <x:v>IO-WRL-006</x:v>
      </x:c>
      <x:c r="C109" s="4" t="str">
        <x:v>S0480</x:v>
      </x:c>
      <x:c r="D109" s="4" t="str">
        <x:v>projection</x:v>
      </x:c>
      <x:c r="E109" s="4" t="str">
        <x:v>SP_800_181_2_2_0</x:v>
      </x:c>
      <x:c r="F109" s="4" t="str">
        <x:v>F001 / 2.2.0</x:v>
      </x:c>
      <x:c r="G109" s="12" t="n">
        <x:f>COUNTIFS('13_Relaciones_NICE'!$B$5:$B$186,B109,'13_Relaciones_NICE'!$C$5:$C$186,C109)-1</x:f>
        <x:v>0</x:v>
      </x:c>
      <x:c r="H109" s="12" t="n">
        <x:f>IF(AND(COUNTIF('03_NICE'!$A$5:$A$57,B109)+COUNTIF('04_TKS'!$A$5:$A$72,B109)=1,COUNTIF('03_NICE'!$A$5:$A$57,C109)+COUNTIF('04_TKS'!$A$5:$A$72,C109)=1),0,1)</x:f>
        <x:v>0</x:v>
      </x:c>
    </x:row>
    <x:row r="110" ht="47" customHeight="1">
      <x:c r="A110" s="4" t="str">
        <x:v>RN-106</x:v>
      </x:c>
      <x:c r="B110" s="4" t="str">
        <x:v>IO-WRL-006</x:v>
      </x:c>
      <x:c r="C110" s="4" t="str">
        <x:v>T0309</x:v>
      </x:c>
      <x:c r="D110" s="4" t="str">
        <x:v>projection</x:v>
      </x:c>
      <x:c r="E110" s="4" t="str">
        <x:v>SP_800_181_2_2_0</x:v>
      </x:c>
      <x:c r="F110" s="4" t="str">
        <x:v>F001 / 2.2.0</x:v>
      </x:c>
      <x:c r="G110" s="12" t="n">
        <x:f>COUNTIFS('13_Relaciones_NICE'!$B$5:$B$186,B110,'13_Relaciones_NICE'!$C$5:$C$186,C110)-1</x:f>
        <x:v>0</x:v>
      </x:c>
      <x:c r="H110" s="12" t="n">
        <x:f>IF(AND(COUNTIF('03_NICE'!$A$5:$A$57,B110)+COUNTIF('04_TKS'!$A$5:$A$72,B110)=1,COUNTIF('03_NICE'!$A$5:$A$57,C110)+COUNTIF('04_TKS'!$A$5:$A$72,C110)=1),0,1)</x:f>
        <x:v>0</x:v>
      </x:c>
    </x:row>
    <x:row r="111" ht="47" customHeight="1">
      <x:c r="A111" s="4" t="str">
        <x:v>RN-107</x:v>
      </x:c>
      <x:c r="B111" s="4" t="str">
        <x:v>IO-WRL-006</x:v>
      </x:c>
      <x:c r="C111" s="4" t="str">
        <x:v>T1020</x:v>
      </x:c>
      <x:c r="D111" s="4" t="str">
        <x:v>projection</x:v>
      </x:c>
      <x:c r="E111" s="4" t="str">
        <x:v>SP_800_181_2_2_0</x:v>
      </x:c>
      <x:c r="F111" s="4" t="str">
        <x:v>F001 / 2.2.0</x:v>
      </x:c>
      <x:c r="G111" s="12" t="n">
        <x:f>COUNTIFS('13_Relaciones_NICE'!$B$5:$B$186,B111,'13_Relaciones_NICE'!$C$5:$C$186,C111)-1</x:f>
        <x:v>0</x:v>
      </x:c>
      <x:c r="H111" s="12" t="n">
        <x:f>IF(AND(COUNTIF('03_NICE'!$A$5:$A$57,B111)+COUNTIF('04_TKS'!$A$5:$A$72,B111)=1,COUNTIF('03_NICE'!$A$5:$A$57,C111)+COUNTIF('04_TKS'!$A$5:$A$72,C111)=1),0,1)</x:f>
        <x:v>0</x:v>
      </x:c>
    </x:row>
    <x:row r="112" ht="47" customHeight="1">
      <x:c r="A112" s="4" t="str">
        <x:v>RN-108</x:v>
      </x:c>
      <x:c r="B112" s="4" t="str">
        <x:v>IO-WRL-006</x:v>
      </x:c>
      <x:c r="C112" s="4" t="str">
        <x:v>T1548</x:v>
      </x:c>
      <x:c r="D112" s="4" t="str">
        <x:v>projection</x:v>
      </x:c>
      <x:c r="E112" s="4" t="str">
        <x:v>SP_800_181_2_2_0</x:v>
      </x:c>
      <x:c r="F112" s="4" t="str">
        <x:v>F001 / 2.2.0</x:v>
      </x:c>
      <x:c r="G112" s="12" t="n">
        <x:f>COUNTIFS('13_Relaciones_NICE'!$B$5:$B$186,B112,'13_Relaciones_NICE'!$C$5:$C$186,C112)-1</x:f>
        <x:v>0</x:v>
      </x:c>
      <x:c r="H112" s="12" t="n">
        <x:f>IF(AND(COUNTIF('03_NICE'!$A$5:$A$57,B112)+COUNTIF('04_TKS'!$A$5:$A$72,B112)=1,COUNTIF('03_NICE'!$A$5:$A$57,C112)+COUNTIF('04_TKS'!$A$5:$A$72,C112)=1),0,1)</x:f>
        <x:v>0</x:v>
      </x:c>
    </x:row>
    <x:row r="113" ht="47" customHeight="1">
      <x:c r="A113" s="4" t="str">
        <x:v>RN-109</x:v>
      </x:c>
      <x:c r="B113" s="4" t="str">
        <x:v>IO-WRL-007</x:v>
      </x:c>
      <x:c r="C113" s="4" t="str">
        <x:v>T1020</x:v>
      </x:c>
      <x:c r="D113" s="4" t="str">
        <x:v>projection</x:v>
      </x:c>
      <x:c r="E113" s="4" t="str">
        <x:v>SP_800_181_2_2_0</x:v>
      </x:c>
      <x:c r="F113" s="4" t="str">
        <x:v>F001 / 2.2.0</x:v>
      </x:c>
      <x:c r="G113" s="12" t="n">
        <x:f>COUNTIFS('13_Relaciones_NICE'!$B$5:$B$186,B113,'13_Relaciones_NICE'!$C$5:$C$186,C113)-1</x:f>
        <x:v>0</x:v>
      </x:c>
      <x:c r="H113" s="12" t="n">
        <x:f>IF(AND(COUNTIF('03_NICE'!$A$5:$A$57,B113)+COUNTIF('04_TKS'!$A$5:$A$72,B113)=1,COUNTIF('03_NICE'!$A$5:$A$57,C113)+COUNTIF('04_TKS'!$A$5:$A$72,C113)=1),0,1)</x:f>
        <x:v>0</x:v>
      </x:c>
    </x:row>
    <x:row r="114" ht="47" customHeight="1">
      <x:c r="A114" s="4" t="str">
        <x:v>RN-110</x:v>
      </x:c>
      <x:c r="B114" s="4" t="str">
        <x:v>PD-WRL-001</x:v>
      </x:c>
      <x:c r="C114" s="4" t="str">
        <x:v>K0742</x:v>
      </x:c>
      <x:c r="D114" s="4" t="str">
        <x:v>projection</x:v>
      </x:c>
      <x:c r="E114" s="4" t="str">
        <x:v>SP_800_181_2_2_0</x:v>
      </x:c>
      <x:c r="F114" s="4" t="str">
        <x:v>F001 / 2.2.0</x:v>
      </x:c>
      <x:c r="G114" s="12" t="n">
        <x:f>COUNTIFS('13_Relaciones_NICE'!$B$5:$B$186,B114,'13_Relaciones_NICE'!$C$5:$C$186,C114)-1</x:f>
        <x:v>0</x:v>
      </x:c>
      <x:c r="H114" s="12" t="n">
        <x:f>IF(AND(COUNTIF('03_NICE'!$A$5:$A$57,B114)+COUNTIF('04_TKS'!$A$5:$A$72,B114)=1,COUNTIF('03_NICE'!$A$5:$A$57,C114)+COUNTIF('04_TKS'!$A$5:$A$72,C114)=1),0,1)</x:f>
        <x:v>0</x:v>
      </x:c>
    </x:row>
    <x:row r="115" ht="47" customHeight="1">
      <x:c r="A115" s="4" t="str">
        <x:v>RN-111</x:v>
      </x:c>
      <x:c r="B115" s="4" t="str">
        <x:v>PD-WRL-001</x:v>
      </x:c>
      <x:c r="C115" s="4" t="str">
        <x:v>T1020</x:v>
      </x:c>
      <x:c r="D115" s="4" t="str">
        <x:v>projection</x:v>
      </x:c>
      <x:c r="E115" s="4" t="str">
        <x:v>SP_800_181_2_2_0</x:v>
      </x:c>
      <x:c r="F115" s="4" t="str">
        <x:v>F001 / 2.2.0</x:v>
      </x:c>
      <x:c r="G115" s="12" t="n">
        <x:f>COUNTIFS('13_Relaciones_NICE'!$B$5:$B$186,B115,'13_Relaciones_NICE'!$C$5:$C$186,C115)-1</x:f>
        <x:v>0</x:v>
      </x:c>
      <x:c r="H115" s="12" t="n">
        <x:f>IF(AND(COUNTIF('03_NICE'!$A$5:$A$57,B115)+COUNTIF('04_TKS'!$A$5:$A$72,B115)=1,COUNTIF('03_NICE'!$A$5:$A$57,C115)+COUNTIF('04_TKS'!$A$5:$A$72,C115)=1),0,1)</x:f>
        <x:v>0</x:v>
      </x:c>
    </x:row>
    <x:row r="116" ht="47" customHeight="1">
      <x:c r="A116" s="4" t="str">
        <x:v>RN-112</x:v>
      </x:c>
      <x:c r="B116" s="4" t="str">
        <x:v>PD-WRL-001</x:v>
      </x:c>
      <x:c r="C116" s="4" t="str">
        <x:v>T1119</x:v>
      </x:c>
      <x:c r="D116" s="4" t="str">
        <x:v>projection</x:v>
      </x:c>
      <x:c r="E116" s="4" t="str">
        <x:v>SP_800_181_2_2_0</x:v>
      </x:c>
      <x:c r="F116" s="4" t="str">
        <x:v>F001 / 2.2.0</x:v>
      </x:c>
      <x:c r="G116" s="12" t="n">
        <x:f>COUNTIFS('13_Relaciones_NICE'!$B$5:$B$186,B116,'13_Relaciones_NICE'!$C$5:$C$186,C116)-1</x:f>
        <x:v>0</x:v>
      </x:c>
      <x:c r="H116" s="12" t="n">
        <x:f>IF(AND(COUNTIF('03_NICE'!$A$5:$A$57,B116)+COUNTIF('04_TKS'!$A$5:$A$72,B116)=1,COUNTIF('03_NICE'!$A$5:$A$57,C116)+COUNTIF('04_TKS'!$A$5:$A$72,C116)=1),0,1)</x:f>
        <x:v>0</x:v>
      </x:c>
    </x:row>
    <x:row r="117" ht="47" customHeight="1">
      <x:c r="A117" s="4" t="str">
        <x:v>RN-113</x:v>
      </x:c>
      <x:c r="B117" s="4" t="str">
        <x:v>PD-WRL-001</x:v>
      </x:c>
      <x:c r="C117" s="4" t="str">
        <x:v>T1548</x:v>
      </x:c>
      <x:c r="D117" s="4" t="str">
        <x:v>projection</x:v>
      </x:c>
      <x:c r="E117" s="4" t="str">
        <x:v>SP_800_181_2_2_0</x:v>
      </x:c>
      <x:c r="F117" s="4" t="str">
        <x:v>F001 / 2.2.0</x:v>
      </x:c>
      <x:c r="G117" s="12" t="n">
        <x:f>COUNTIFS('13_Relaciones_NICE'!$B$5:$B$186,B117,'13_Relaciones_NICE'!$C$5:$C$186,C117)-1</x:f>
        <x:v>0</x:v>
      </x:c>
      <x:c r="H117" s="12" t="n">
        <x:f>IF(AND(COUNTIF('03_NICE'!$A$5:$A$57,B117)+COUNTIF('04_TKS'!$A$5:$A$72,B117)=1,COUNTIF('03_NICE'!$A$5:$A$57,C117)+COUNTIF('04_TKS'!$A$5:$A$72,C117)=1),0,1)</x:f>
        <x:v>0</x:v>
      </x:c>
    </x:row>
    <x:row r="118" ht="47" customHeight="1">
      <x:c r="A118" s="4" t="str">
        <x:v>RN-114</x:v>
      </x:c>
      <x:c r="B118" s="4" t="str">
        <x:v>PD-WRL-002</x:v>
      </x:c>
      <x:c r="C118" s="4" t="str">
        <x:v>K1147</x:v>
      </x:c>
      <x:c r="D118" s="4" t="str">
        <x:v>projection</x:v>
      </x:c>
      <x:c r="E118" s="4" t="str">
        <x:v>SP_800_181_2_2_0</x:v>
      </x:c>
      <x:c r="F118" s="4" t="str">
        <x:v>F001 / 2.2.0</x:v>
      </x:c>
      <x:c r="G118" s="12" t="n">
        <x:f>COUNTIFS('13_Relaciones_NICE'!$B$5:$B$186,B118,'13_Relaciones_NICE'!$C$5:$C$186,C118)-1</x:f>
        <x:v>0</x:v>
      </x:c>
      <x:c r="H118" s="12" t="n">
        <x:f>IF(AND(COUNTIF('03_NICE'!$A$5:$A$57,B118)+COUNTIF('04_TKS'!$A$5:$A$72,B118)=1,COUNTIF('03_NICE'!$A$5:$A$57,C118)+COUNTIF('04_TKS'!$A$5:$A$72,C118)=1),0,1)</x:f>
        <x:v>0</x:v>
      </x:c>
    </x:row>
    <x:row r="119" ht="47" customHeight="1">
      <x:c r="A119" s="4" t="str">
        <x:v>RN-115</x:v>
      </x:c>
      <x:c r="B119" s="4" t="str">
        <x:v>PD-WRL-002</x:v>
      </x:c>
      <x:c r="C119" s="4" t="str">
        <x:v>T0173</x:v>
      </x:c>
      <x:c r="D119" s="4" t="str">
        <x:v>projection</x:v>
      </x:c>
      <x:c r="E119" s="4" t="str">
        <x:v>SP_800_181_2_2_0</x:v>
      </x:c>
      <x:c r="F119" s="4" t="str">
        <x:v>F001 / 2.2.0</x:v>
      </x:c>
      <x:c r="G119" s="12" t="n">
        <x:f>COUNTIFS('13_Relaciones_NICE'!$B$5:$B$186,B119,'13_Relaciones_NICE'!$C$5:$C$186,C119)-1</x:f>
        <x:v>0</x:v>
      </x:c>
      <x:c r="H119" s="12" t="n">
        <x:f>IF(AND(COUNTIF('03_NICE'!$A$5:$A$57,B119)+COUNTIF('04_TKS'!$A$5:$A$72,B119)=1,COUNTIF('03_NICE'!$A$5:$A$57,C119)+COUNTIF('04_TKS'!$A$5:$A$72,C119)=1),0,1)</x:f>
        <x:v>0</x:v>
      </x:c>
    </x:row>
    <x:row r="120" ht="47" customHeight="1">
      <x:c r="A120" s="4" t="str">
        <x:v>RN-116</x:v>
      </x:c>
      <x:c r="B120" s="4" t="str">
        <x:v>PD-WRL-002</x:v>
      </x:c>
      <x:c r="C120" s="4" t="str">
        <x:v>T1020</x:v>
      </x:c>
      <x:c r="D120" s="4" t="str">
        <x:v>projection</x:v>
      </x:c>
      <x:c r="E120" s="4" t="str">
        <x:v>SP_800_181_2_2_0</x:v>
      </x:c>
      <x:c r="F120" s="4" t="str">
        <x:v>F001 / 2.2.0</x:v>
      </x:c>
      <x:c r="G120" s="12" t="n">
        <x:f>COUNTIFS('13_Relaciones_NICE'!$B$5:$B$186,B120,'13_Relaciones_NICE'!$C$5:$C$186,C120)-1</x:f>
        <x:v>0</x:v>
      </x:c>
      <x:c r="H120" s="12" t="n">
        <x:f>IF(AND(COUNTIF('03_NICE'!$A$5:$A$57,B120)+COUNTIF('04_TKS'!$A$5:$A$72,B120)=1,COUNTIF('03_NICE'!$A$5:$A$57,C120)+COUNTIF('04_TKS'!$A$5:$A$72,C120)=1),0,1)</x:f>
        <x:v>0</x:v>
      </x:c>
    </x:row>
    <x:row r="121" ht="47" customHeight="1">
      <x:c r="A121" s="4" t="str">
        <x:v>RN-117</x:v>
      </x:c>
      <x:c r="B121" s="4" t="str">
        <x:v>PD-WRL-002</x:v>
      </x:c>
      <x:c r="C121" s="4" t="str">
        <x:v>T1118</x:v>
      </x:c>
      <x:c r="D121" s="4" t="str">
        <x:v>projection</x:v>
      </x:c>
      <x:c r="E121" s="4" t="str">
        <x:v>SP_800_181_2_2_0</x:v>
      </x:c>
      <x:c r="F121" s="4" t="str">
        <x:v>F001 / 2.2.0</x:v>
      </x:c>
      <x:c r="G121" s="12" t="n">
        <x:f>COUNTIFS('13_Relaciones_NICE'!$B$5:$B$186,B121,'13_Relaciones_NICE'!$C$5:$C$186,C121)-1</x:f>
        <x:v>0</x:v>
      </x:c>
      <x:c r="H121" s="12" t="n">
        <x:f>IF(AND(COUNTIF('03_NICE'!$A$5:$A$57,B121)+COUNTIF('04_TKS'!$A$5:$A$72,B121)=1,COUNTIF('03_NICE'!$A$5:$A$57,C121)+COUNTIF('04_TKS'!$A$5:$A$72,C121)=1),0,1)</x:f>
        <x:v>0</x:v>
      </x:c>
    </x:row>
    <x:row r="122" ht="47" customHeight="1">
      <x:c r="A122" s="4" t="str">
        <x:v>RN-118</x:v>
      </x:c>
      <x:c r="B122" s="4" t="str">
        <x:v>PD-WRL-002</x:v>
      </x:c>
      <x:c r="C122" s="4" t="str">
        <x:v>T1119</x:v>
      </x:c>
      <x:c r="D122" s="4" t="str">
        <x:v>projection</x:v>
      </x:c>
      <x:c r="E122" s="4" t="str">
        <x:v>SP_800_181_2_2_0</x:v>
      </x:c>
      <x:c r="F122" s="4" t="str">
        <x:v>F001 / 2.2.0</x:v>
      </x:c>
      <x:c r="G122" s="12" t="n">
        <x:f>COUNTIFS('13_Relaciones_NICE'!$B$5:$B$186,B122,'13_Relaciones_NICE'!$C$5:$C$186,C122)-1</x:f>
        <x:v>0</x:v>
      </x:c>
      <x:c r="H122" s="12" t="n">
        <x:f>IF(AND(COUNTIF('03_NICE'!$A$5:$A$57,B122)+COUNTIF('04_TKS'!$A$5:$A$72,B122)=1,COUNTIF('03_NICE'!$A$5:$A$57,C122)+COUNTIF('04_TKS'!$A$5:$A$72,C122)=1),0,1)</x:f>
        <x:v>0</x:v>
      </x:c>
    </x:row>
    <x:row r="123" ht="47" customHeight="1">
      <x:c r="A123" s="4" t="str">
        <x:v>RN-119</x:v>
      </x:c>
      <x:c r="B123" s="4" t="str">
        <x:v>PD-WRL-002</x:v>
      </x:c>
      <x:c r="C123" s="4" t="str">
        <x:v>T1120</x:v>
      </x:c>
      <x:c r="D123" s="4" t="str">
        <x:v>projection</x:v>
      </x:c>
      <x:c r="E123" s="4" t="str">
        <x:v>SP_800_181_2_2_0</x:v>
      </x:c>
      <x:c r="F123" s="4" t="str">
        <x:v>F001 / 2.2.0</x:v>
      </x:c>
      <x:c r="G123" s="12" t="n">
        <x:f>COUNTIFS('13_Relaciones_NICE'!$B$5:$B$186,B123,'13_Relaciones_NICE'!$C$5:$C$186,C123)-1</x:f>
        <x:v>0</x:v>
      </x:c>
      <x:c r="H123" s="12" t="n">
        <x:f>IF(AND(COUNTIF('03_NICE'!$A$5:$A$57,B123)+COUNTIF('04_TKS'!$A$5:$A$72,B123)=1,COUNTIF('03_NICE'!$A$5:$A$57,C123)+COUNTIF('04_TKS'!$A$5:$A$72,C123)=1),0,1)</x:f>
        <x:v>0</x:v>
      </x:c>
    </x:row>
    <x:row r="124" ht="47" customHeight="1">
      <x:c r="A124" s="4" t="str">
        <x:v>RN-120</x:v>
      </x:c>
      <x:c r="B124" s="4" t="str">
        <x:v>PD-WRL-002</x:v>
      </x:c>
      <x:c r="C124" s="4" t="str">
        <x:v>T1175</x:v>
      </x:c>
      <x:c r="D124" s="4" t="str">
        <x:v>projection</x:v>
      </x:c>
      <x:c r="E124" s="4" t="str">
        <x:v>SP_800_181_2_2_0</x:v>
      </x:c>
      <x:c r="F124" s="4" t="str">
        <x:v>F001 / 2.2.0</x:v>
      </x:c>
      <x:c r="G124" s="12" t="n">
        <x:f>COUNTIFS('13_Relaciones_NICE'!$B$5:$B$186,B124,'13_Relaciones_NICE'!$C$5:$C$186,C124)-1</x:f>
        <x:v>0</x:v>
      </x:c>
      <x:c r="H124" s="12" t="n">
        <x:f>IF(AND(COUNTIF('03_NICE'!$A$5:$A$57,B124)+COUNTIF('04_TKS'!$A$5:$A$72,B124)=1,COUNTIF('03_NICE'!$A$5:$A$57,C124)+COUNTIF('04_TKS'!$A$5:$A$72,C124)=1),0,1)</x:f>
        <x:v>0</x:v>
      </x:c>
    </x:row>
    <x:row r="125" ht="47" customHeight="1">
      <x:c r="A125" s="4" t="str">
        <x:v>RN-121</x:v>
      </x:c>
      <x:c r="B125" s="4" t="str">
        <x:v>PD-WRL-002</x:v>
      </x:c>
      <x:c r="C125" s="4" t="str">
        <x:v>T1325</x:v>
      </x:c>
      <x:c r="D125" s="4" t="str">
        <x:v>projection</x:v>
      </x:c>
      <x:c r="E125" s="4" t="str">
        <x:v>SP_800_181_2_2_0</x:v>
      </x:c>
      <x:c r="F125" s="4" t="str">
        <x:v>F001 / 2.2.0</x:v>
      </x:c>
      <x:c r="G125" s="12" t="n">
        <x:f>COUNTIFS('13_Relaciones_NICE'!$B$5:$B$186,B125,'13_Relaciones_NICE'!$C$5:$C$186,C125)-1</x:f>
        <x:v>0</x:v>
      </x:c>
      <x:c r="H125" s="12" t="n">
        <x:f>IF(AND(COUNTIF('03_NICE'!$A$5:$A$57,B125)+COUNTIF('04_TKS'!$A$5:$A$72,B125)=1,COUNTIF('03_NICE'!$A$5:$A$57,C125)+COUNTIF('04_TKS'!$A$5:$A$72,C125)=1),0,1)</x:f>
        <x:v>0</x:v>
      </x:c>
    </x:row>
    <x:row r="126" ht="47" customHeight="1">
      <x:c r="A126" s="4" t="str">
        <x:v>RN-122</x:v>
      </x:c>
      <x:c r="B126" s="4" t="str">
        <x:v>PD-WRL-002</x:v>
      </x:c>
      <x:c r="C126" s="4" t="str">
        <x:v>T1510</x:v>
      </x:c>
      <x:c r="D126" s="4" t="str">
        <x:v>projection</x:v>
      </x:c>
      <x:c r="E126" s="4" t="str">
        <x:v>SP_800_181_2_2_0</x:v>
      </x:c>
      <x:c r="F126" s="4" t="str">
        <x:v>F001 / 2.2.0</x:v>
      </x:c>
      <x:c r="G126" s="12" t="n">
        <x:f>COUNTIFS('13_Relaciones_NICE'!$B$5:$B$186,B126,'13_Relaciones_NICE'!$C$5:$C$186,C126)-1</x:f>
        <x:v>0</x:v>
      </x:c>
      <x:c r="H126" s="12" t="n">
        <x:f>IF(AND(COUNTIF('03_NICE'!$A$5:$A$57,B126)+COUNTIF('04_TKS'!$A$5:$A$72,B126)=1,COUNTIF('03_NICE'!$A$5:$A$57,C126)+COUNTIF('04_TKS'!$A$5:$A$72,C126)=1),0,1)</x:f>
        <x:v>0</x:v>
      </x:c>
    </x:row>
    <x:row r="127" ht="47" customHeight="1">
      <x:c r="A127" s="4" t="str">
        <x:v>RN-123</x:v>
      </x:c>
      <x:c r="B127" s="4" t="str">
        <x:v>PD-WRL-003</x:v>
      </x:c>
      <x:c r="C127" s="4" t="str">
        <x:v>T0510</x:v>
      </x:c>
      <x:c r="D127" s="4" t="str">
        <x:v>projection</x:v>
      </x:c>
      <x:c r="E127" s="4" t="str">
        <x:v>SP_800_181_2_2_0</x:v>
      </x:c>
      <x:c r="F127" s="4" t="str">
        <x:v>F001 / 2.2.0</x:v>
      </x:c>
      <x:c r="G127" s="12" t="n">
        <x:f>COUNTIFS('13_Relaciones_NICE'!$B$5:$B$186,B127,'13_Relaciones_NICE'!$C$5:$C$186,C127)-1</x:f>
        <x:v>0</x:v>
      </x:c>
      <x:c r="H127" s="12" t="n">
        <x:f>IF(AND(COUNTIF('03_NICE'!$A$5:$A$57,B127)+COUNTIF('04_TKS'!$A$5:$A$72,B127)=1,COUNTIF('03_NICE'!$A$5:$A$57,C127)+COUNTIF('04_TKS'!$A$5:$A$72,C127)=1),0,1)</x:f>
        <x:v>0</x:v>
      </x:c>
    </x:row>
    <x:row r="128" ht="47" customHeight="1">
      <x:c r="A128" s="4" t="str">
        <x:v>RN-124</x:v>
      </x:c>
      <x:c r="B128" s="4" t="str">
        <x:v>PD-WRL-003</x:v>
      </x:c>
      <x:c r="C128" s="4" t="str">
        <x:v>T1020</x:v>
      </x:c>
      <x:c r="D128" s="4" t="str">
        <x:v>projection</x:v>
      </x:c>
      <x:c r="E128" s="4" t="str">
        <x:v>SP_800_181_2_2_0</x:v>
      </x:c>
      <x:c r="F128" s="4" t="str">
        <x:v>F001 / 2.2.0</x:v>
      </x:c>
      <x:c r="G128" s="12" t="n">
        <x:f>COUNTIFS('13_Relaciones_NICE'!$B$5:$B$186,B128,'13_Relaciones_NICE'!$C$5:$C$186,C128)-1</x:f>
        <x:v>0</x:v>
      </x:c>
      <x:c r="H128" s="12" t="n">
        <x:f>IF(AND(COUNTIF('03_NICE'!$A$5:$A$57,B128)+COUNTIF('04_TKS'!$A$5:$A$72,B128)=1,COUNTIF('03_NICE'!$A$5:$A$57,C128)+COUNTIF('04_TKS'!$A$5:$A$72,C128)=1),0,1)</x:f>
        <x:v>0</x:v>
      </x:c>
    </x:row>
    <x:row r="129" ht="47" customHeight="1">
      <x:c r="A129" s="4" t="str">
        <x:v>RN-125</x:v>
      </x:c>
      <x:c r="B129" s="4" t="str">
        <x:v>PD-WRL-003</x:v>
      </x:c>
      <x:c r="C129" s="4" t="str">
        <x:v>T1118</x:v>
      </x:c>
      <x:c r="D129" s="4" t="str">
        <x:v>projection</x:v>
      </x:c>
      <x:c r="E129" s="4" t="str">
        <x:v>SP_800_181_2_2_0</x:v>
      </x:c>
      <x:c r="F129" s="4" t="str">
        <x:v>F001 / 2.2.0</x:v>
      </x:c>
      <x:c r="G129" s="12" t="n">
        <x:f>COUNTIFS('13_Relaciones_NICE'!$B$5:$B$186,B129,'13_Relaciones_NICE'!$C$5:$C$186,C129)-1</x:f>
        <x:v>0</x:v>
      </x:c>
      <x:c r="H129" s="12" t="n">
        <x:f>IF(AND(COUNTIF('03_NICE'!$A$5:$A$57,B129)+COUNTIF('04_TKS'!$A$5:$A$72,B129)=1,COUNTIF('03_NICE'!$A$5:$A$57,C129)+COUNTIF('04_TKS'!$A$5:$A$72,C129)=1),0,1)</x:f>
        <x:v>0</x:v>
      </x:c>
    </x:row>
    <x:row r="130" ht="47" customHeight="1">
      <x:c r="A130" s="4" t="str">
        <x:v>RN-126</x:v>
      </x:c>
      <x:c r="B130" s="4" t="str">
        <x:v>PD-WRL-003</x:v>
      </x:c>
      <x:c r="C130" s="4" t="str">
        <x:v>T1119</x:v>
      </x:c>
      <x:c r="D130" s="4" t="str">
        <x:v>projection</x:v>
      </x:c>
      <x:c r="E130" s="4" t="str">
        <x:v>SP_800_181_2_2_0</x:v>
      </x:c>
      <x:c r="F130" s="4" t="str">
        <x:v>F001 / 2.2.0</x:v>
      </x:c>
      <x:c r="G130" s="12" t="n">
        <x:f>COUNTIFS('13_Relaciones_NICE'!$B$5:$B$186,B130,'13_Relaciones_NICE'!$C$5:$C$186,C130)-1</x:f>
        <x:v>0</x:v>
      </x:c>
      <x:c r="H130" s="12" t="n">
        <x:f>IF(AND(COUNTIF('03_NICE'!$A$5:$A$57,B130)+COUNTIF('04_TKS'!$A$5:$A$72,B130)=1,COUNTIF('03_NICE'!$A$5:$A$57,C130)+COUNTIF('04_TKS'!$A$5:$A$72,C130)=1),0,1)</x:f>
        <x:v>0</x:v>
      </x:c>
    </x:row>
    <x:row r="131" ht="47" customHeight="1">
      <x:c r="A131" s="4" t="str">
        <x:v>RN-127</x:v>
      </x:c>
      <x:c r="B131" s="4" t="str">
        <x:v>PD-WRL-004</x:v>
      </x:c>
      <x:c r="C131" s="4" t="str">
        <x:v>T1020</x:v>
      </x:c>
      <x:c r="D131" s="4" t="str">
        <x:v>projection</x:v>
      </x:c>
      <x:c r="E131" s="4" t="str">
        <x:v>SP_800_181_2_2_0</x:v>
      </x:c>
      <x:c r="F131" s="4" t="str">
        <x:v>F001 / 2.2.0</x:v>
      </x:c>
      <x:c r="G131" s="12" t="n">
        <x:f>COUNTIFS('13_Relaciones_NICE'!$B$5:$B$186,B131,'13_Relaciones_NICE'!$C$5:$C$186,C131)-1</x:f>
        <x:v>0</x:v>
      </x:c>
      <x:c r="H131" s="12" t="n">
        <x:f>IF(AND(COUNTIF('03_NICE'!$A$5:$A$57,B131)+COUNTIF('04_TKS'!$A$5:$A$72,B131)=1,COUNTIF('03_NICE'!$A$5:$A$57,C131)+COUNTIF('04_TKS'!$A$5:$A$72,C131)=1),0,1)</x:f>
        <x:v>0</x:v>
      </x:c>
    </x:row>
    <x:row r="132" ht="47" customHeight="1">
      <x:c r="A132" s="4" t="str">
        <x:v>RN-128</x:v>
      </x:c>
      <x:c r="B132" s="4" t="str">
        <x:v>PD-WRL-004</x:v>
      </x:c>
      <x:c r="C132" s="4" t="str">
        <x:v>T1111</x:v>
      </x:c>
      <x:c r="D132" s="4" t="str">
        <x:v>projection</x:v>
      </x:c>
      <x:c r="E132" s="4" t="str">
        <x:v>SP_800_181_2_2_0</x:v>
      </x:c>
      <x:c r="F132" s="4" t="str">
        <x:v>F001 / 2.2.0</x:v>
      </x:c>
      <x:c r="G132" s="12" t="n">
        <x:f>COUNTIFS('13_Relaciones_NICE'!$B$5:$B$186,B132,'13_Relaciones_NICE'!$C$5:$C$186,C132)-1</x:f>
        <x:v>0</x:v>
      </x:c>
      <x:c r="H132" s="12" t="n">
        <x:f>IF(AND(COUNTIF('03_NICE'!$A$5:$A$57,B132)+COUNTIF('04_TKS'!$A$5:$A$72,B132)=1,COUNTIF('03_NICE'!$A$5:$A$57,C132)+COUNTIF('04_TKS'!$A$5:$A$72,C132)=1),0,1)</x:f>
        <x:v>0</x:v>
      </x:c>
    </x:row>
    <x:row r="133" ht="47" customHeight="1">
      <x:c r="A133" s="4" t="str">
        <x:v>RN-129</x:v>
      </x:c>
      <x:c r="B133" s="4" t="str">
        <x:v>PD-WRL-005</x:v>
      </x:c>
      <x:c r="C133" s="4" t="str">
        <x:v>S0900</x:v>
      </x:c>
      <x:c r="D133" s="4" t="str">
        <x:v>projection</x:v>
      </x:c>
      <x:c r="E133" s="4" t="str">
        <x:v>SP_800_181_2_2_0</x:v>
      </x:c>
      <x:c r="F133" s="4" t="str">
        <x:v>F001 / 2.2.0</x:v>
      </x:c>
      <x:c r="G133" s="12" t="n">
        <x:f>COUNTIFS('13_Relaciones_NICE'!$B$5:$B$186,B133,'13_Relaciones_NICE'!$C$5:$C$186,C133)-1</x:f>
        <x:v>0</x:v>
      </x:c>
      <x:c r="H133" s="12" t="n">
        <x:f>IF(AND(COUNTIF('03_NICE'!$A$5:$A$57,B133)+COUNTIF('04_TKS'!$A$5:$A$72,B133)=1,COUNTIF('03_NICE'!$A$5:$A$57,C133)+COUNTIF('04_TKS'!$A$5:$A$72,C133)=1),0,1)</x:f>
        <x:v>0</x:v>
      </x:c>
    </x:row>
    <x:row r="134" ht="47" customHeight="1">
      <x:c r="A134" s="4" t="str">
        <x:v>RN-130</x:v>
      </x:c>
      <x:c r="B134" s="4" t="str">
        <x:v>PD-WRL-005</x:v>
      </x:c>
      <x:c r="C134" s="4" t="str">
        <x:v>T1325</x:v>
      </x:c>
      <x:c r="D134" s="4" t="str">
        <x:v>projection</x:v>
      </x:c>
      <x:c r="E134" s="4" t="str">
        <x:v>SP_800_181_2_2_0</x:v>
      </x:c>
      <x:c r="F134" s="4" t="str">
        <x:v>F001 / 2.2.0</x:v>
      </x:c>
      <x:c r="G134" s="12" t="n">
        <x:f>COUNTIFS('13_Relaciones_NICE'!$B$5:$B$186,B134,'13_Relaciones_NICE'!$C$5:$C$186,C134)-1</x:f>
        <x:v>0</x:v>
      </x:c>
      <x:c r="H134" s="12" t="n">
        <x:f>IF(AND(COUNTIF('03_NICE'!$A$5:$A$57,B134)+COUNTIF('04_TKS'!$A$5:$A$72,B134)=1,COUNTIF('03_NICE'!$A$5:$A$57,C134)+COUNTIF('04_TKS'!$A$5:$A$72,C134)=1),0,1)</x:f>
        <x:v>0</x:v>
      </x:c>
    </x:row>
    <x:row r="135" ht="47" customHeight="1">
      <x:c r="A135" s="4" t="str">
        <x:v>RN-131</x:v>
      </x:c>
      <x:c r="B135" s="4" t="str">
        <x:v>PD-WRL-005</x:v>
      </x:c>
      <x:c r="C135" s="4" t="str">
        <x:v>T1510</x:v>
      </x:c>
      <x:c r="D135" s="4" t="str">
        <x:v>projection</x:v>
      </x:c>
      <x:c r="E135" s="4" t="str">
        <x:v>SP_800_181_2_2_0</x:v>
      </x:c>
      <x:c r="F135" s="4" t="str">
        <x:v>F001 / 2.2.0</x:v>
      </x:c>
      <x:c r="G135" s="12" t="n">
        <x:f>COUNTIFS('13_Relaciones_NICE'!$B$5:$B$186,B135,'13_Relaciones_NICE'!$C$5:$C$186,C135)-1</x:f>
        <x:v>0</x:v>
      </x:c>
      <x:c r="H135" s="12" t="n">
        <x:f>IF(AND(COUNTIF('03_NICE'!$A$5:$A$57,B135)+COUNTIF('04_TKS'!$A$5:$A$72,B135)=1,COUNTIF('03_NICE'!$A$5:$A$57,C135)+COUNTIF('04_TKS'!$A$5:$A$72,C135)=1),0,1)</x:f>
        <x:v>0</x:v>
      </x:c>
    </x:row>
    <x:row r="136" ht="47" customHeight="1">
      <x:c r="A136" s="4" t="str">
        <x:v>RN-132</x:v>
      </x:c>
      <x:c r="B136" s="4" t="str">
        <x:v>PD-WRL-005</x:v>
      </x:c>
      <x:c r="C136" s="4" t="str">
        <x:v>T1974</x:v>
      </x:c>
      <x:c r="D136" s="4" t="str">
        <x:v>projection</x:v>
      </x:c>
      <x:c r="E136" s="4" t="str">
        <x:v>SP_800_181_2_2_0</x:v>
      </x:c>
      <x:c r="F136" s="4" t="str">
        <x:v>F001 / 2.2.0</x:v>
      </x:c>
      <x:c r="G136" s="12" t="n">
        <x:f>COUNTIFS('13_Relaciones_NICE'!$B$5:$B$186,B136,'13_Relaciones_NICE'!$C$5:$C$186,C136)-1</x:f>
        <x:v>0</x:v>
      </x:c>
      <x:c r="H136" s="12" t="n">
        <x:f>IF(AND(COUNTIF('03_NICE'!$A$5:$A$57,B136)+COUNTIF('04_TKS'!$A$5:$A$72,B136)=1,COUNTIF('03_NICE'!$A$5:$A$57,C136)+COUNTIF('04_TKS'!$A$5:$A$72,C136)=1),0,1)</x:f>
        <x:v>0</x:v>
      </x:c>
    </x:row>
    <x:row r="137" ht="47" customHeight="1">
      <x:c r="A137" s="4" t="str">
        <x:v>RN-133</x:v>
      </x:c>
      <x:c r="B137" s="4" t="str">
        <x:v>PD-WRL-005</x:v>
      </x:c>
      <x:c r="C137" s="4" t="str">
        <x:v>T1980</x:v>
      </x:c>
      <x:c r="D137" s="4" t="str">
        <x:v>projection</x:v>
      </x:c>
      <x:c r="E137" s="4" t="str">
        <x:v>SP_800_181_2_2_0</x:v>
      </x:c>
      <x:c r="F137" s="4" t="str">
        <x:v>F001 / 2.2.0</x:v>
      </x:c>
      <x:c r="G137" s="12" t="n">
        <x:f>COUNTIFS('13_Relaciones_NICE'!$B$5:$B$186,B137,'13_Relaciones_NICE'!$C$5:$C$186,C137)-1</x:f>
        <x:v>0</x:v>
      </x:c>
      <x:c r="H137" s="12" t="n">
        <x:f>IF(AND(COUNTIF('03_NICE'!$A$5:$A$57,B137)+COUNTIF('04_TKS'!$A$5:$A$72,B137)=1,COUNTIF('03_NICE'!$A$5:$A$57,C137)+COUNTIF('04_TKS'!$A$5:$A$72,C137)=1),0,1)</x:f>
        <x:v>0</x:v>
      </x:c>
    </x:row>
    <x:row r="138" ht="47" customHeight="1">
      <x:c r="A138" s="4" t="str">
        <x:v>RN-134</x:v>
      </x:c>
      <x:c r="B138" s="4" t="str">
        <x:v>PD-WRL-006</x:v>
      </x:c>
      <x:c r="C138" s="4" t="str">
        <x:v>K0658</x:v>
      </x:c>
      <x:c r="D138" s="4" t="str">
        <x:v>projection</x:v>
      </x:c>
      <x:c r="E138" s="4" t="str">
        <x:v>SP_800_181_2_2_0</x:v>
      </x:c>
      <x:c r="F138" s="4" t="str">
        <x:v>F001 / 2.2.0</x:v>
      </x:c>
      <x:c r="G138" s="12" t="n">
        <x:f>COUNTIFS('13_Relaciones_NICE'!$B$5:$B$186,B138,'13_Relaciones_NICE'!$C$5:$C$186,C138)-1</x:f>
        <x:v>0</x:v>
      </x:c>
      <x:c r="H138" s="12" t="n">
        <x:f>IF(AND(COUNTIF('03_NICE'!$A$5:$A$57,B138)+COUNTIF('04_TKS'!$A$5:$A$72,B138)=1,COUNTIF('03_NICE'!$A$5:$A$57,C138)+COUNTIF('04_TKS'!$A$5:$A$72,C138)=1),0,1)</x:f>
        <x:v>0</x:v>
      </x:c>
    </x:row>
    <x:row r="139" ht="47" customHeight="1">
      <x:c r="A139" s="4" t="str">
        <x:v>RN-135</x:v>
      </x:c>
      <x:c r="B139" s="4" t="str">
        <x:v>PD-WRL-006</x:v>
      </x:c>
      <x:c r="C139" s="4" t="str">
        <x:v>S0443</x:v>
      </x:c>
      <x:c r="D139" s="4" t="str">
        <x:v>projection</x:v>
      </x:c>
      <x:c r="E139" s="4" t="str">
        <x:v>SP_800_181_2_2_0</x:v>
      </x:c>
      <x:c r="F139" s="4" t="str">
        <x:v>F001 / 2.2.0</x:v>
      </x:c>
      <x:c r="G139" s="12" t="n">
        <x:f>COUNTIFS('13_Relaciones_NICE'!$B$5:$B$186,B139,'13_Relaciones_NICE'!$C$5:$C$186,C139)-1</x:f>
        <x:v>0</x:v>
      </x:c>
      <x:c r="H139" s="12" t="n">
        <x:f>IF(AND(COUNTIF('03_NICE'!$A$5:$A$57,B139)+COUNTIF('04_TKS'!$A$5:$A$72,B139)=1,COUNTIF('03_NICE'!$A$5:$A$57,C139)+COUNTIF('04_TKS'!$A$5:$A$72,C139)=1),0,1)</x:f>
        <x:v>0</x:v>
      </x:c>
    </x:row>
    <x:row r="140" ht="47" customHeight="1">
      <x:c r="A140" s="4" t="str">
        <x:v>RN-136</x:v>
      </x:c>
      <x:c r="B140" s="4" t="str">
        <x:v>PD-WRL-006</x:v>
      </x:c>
      <x:c r="C140" s="4" t="str">
        <x:v>T1020</x:v>
      </x:c>
      <x:c r="D140" s="4" t="str">
        <x:v>projection</x:v>
      </x:c>
      <x:c r="E140" s="4" t="str">
        <x:v>SP_800_181_2_2_0</x:v>
      </x:c>
      <x:c r="F140" s="4" t="str">
        <x:v>F001 / 2.2.0</x:v>
      </x:c>
      <x:c r="G140" s="12" t="n">
        <x:f>COUNTIFS('13_Relaciones_NICE'!$B$5:$B$186,B140,'13_Relaciones_NICE'!$C$5:$C$186,C140)-1</x:f>
        <x:v>0</x:v>
      </x:c>
      <x:c r="H140" s="12" t="n">
        <x:f>IF(AND(COUNTIF('03_NICE'!$A$5:$A$57,B140)+COUNTIF('04_TKS'!$A$5:$A$72,B140)=1,COUNTIF('03_NICE'!$A$5:$A$57,C140)+COUNTIF('04_TKS'!$A$5:$A$72,C140)=1),0,1)</x:f>
        <x:v>0</x:v>
      </x:c>
    </x:row>
    <x:row r="141" ht="47" customHeight="1">
      <x:c r="A141" s="4" t="str">
        <x:v>RN-137</x:v>
      </x:c>
      <x:c r="B141" s="4" t="str">
        <x:v>PD-WRL-007</x:v>
      </x:c>
      <x:c r="C141" s="4" t="str">
        <x:v>K0742</x:v>
      </x:c>
      <x:c r="D141" s="4" t="str">
        <x:v>projection</x:v>
      </x:c>
      <x:c r="E141" s="4" t="str">
        <x:v>SP_800_181_2_2_0</x:v>
      </x:c>
      <x:c r="F141" s="4" t="str">
        <x:v>F001 / 2.2.0</x:v>
      </x:c>
      <x:c r="G141" s="12" t="n">
        <x:f>COUNTIFS('13_Relaciones_NICE'!$B$5:$B$186,B141,'13_Relaciones_NICE'!$C$5:$C$186,C141)-1</x:f>
        <x:v>0</x:v>
      </x:c>
      <x:c r="H141" s="12" t="n">
        <x:f>IF(AND(COUNTIF('03_NICE'!$A$5:$A$57,B141)+COUNTIF('04_TKS'!$A$5:$A$72,B141)=1,COUNTIF('03_NICE'!$A$5:$A$57,C141)+COUNTIF('04_TKS'!$A$5:$A$72,C141)=1),0,1)</x:f>
        <x:v>0</x:v>
      </x:c>
    </x:row>
    <x:row r="142" ht="47" customHeight="1">
      <x:c r="A142" s="4" t="str">
        <x:v>RN-138</x:v>
      </x:c>
      <x:c r="B142" s="4" t="str">
        <x:v>PD-WRL-007</x:v>
      </x:c>
      <x:c r="C142" s="4" t="str">
        <x:v>T1020</x:v>
      </x:c>
      <x:c r="D142" s="4" t="str">
        <x:v>projection</x:v>
      </x:c>
      <x:c r="E142" s="4" t="str">
        <x:v>SP_800_181_2_2_0</x:v>
      </x:c>
      <x:c r="F142" s="4" t="str">
        <x:v>F001 / 2.2.0</x:v>
      </x:c>
      <x:c r="G142" s="12" t="n">
        <x:f>COUNTIFS('13_Relaciones_NICE'!$B$5:$B$186,B142,'13_Relaciones_NICE'!$C$5:$C$186,C142)-1</x:f>
        <x:v>0</x:v>
      </x:c>
      <x:c r="H142" s="12" t="n">
        <x:f>IF(AND(COUNTIF('03_NICE'!$A$5:$A$57,B142)+COUNTIF('04_TKS'!$A$5:$A$72,B142)=1,COUNTIF('03_NICE'!$A$5:$A$57,C142)+COUNTIF('04_TKS'!$A$5:$A$72,C142)=1),0,1)</x:f>
        <x:v>0</x:v>
      </x:c>
    </x:row>
    <x:row r="143" ht="47" customHeight="1">
      <x:c r="A143" s="4" t="str">
        <x:v>RN-139</x:v>
      </x:c>
      <x:c r="B143" s="4" t="str">
        <x:v>PD-WRL-007</x:v>
      </x:c>
      <x:c r="C143" s="4" t="str">
        <x:v>T1118</x:v>
      </x:c>
      <x:c r="D143" s="4" t="str">
        <x:v>projection</x:v>
      </x:c>
      <x:c r="E143" s="4" t="str">
        <x:v>SP_800_181_2_2_0</x:v>
      </x:c>
      <x:c r="F143" s="4" t="str">
        <x:v>F001 / 2.2.0</x:v>
      </x:c>
      <x:c r="G143" s="12" t="n">
        <x:f>COUNTIFS('13_Relaciones_NICE'!$B$5:$B$186,B143,'13_Relaciones_NICE'!$C$5:$C$186,C143)-1</x:f>
        <x:v>0</x:v>
      </x:c>
      <x:c r="H143" s="12" t="n">
        <x:f>IF(AND(COUNTIF('03_NICE'!$A$5:$A$57,B143)+COUNTIF('04_TKS'!$A$5:$A$72,B143)=1,COUNTIF('03_NICE'!$A$5:$A$57,C143)+COUNTIF('04_TKS'!$A$5:$A$72,C143)=1),0,1)</x:f>
        <x:v>0</x:v>
      </x:c>
    </x:row>
    <x:row r="144" ht="47" customHeight="1">
      <x:c r="A144" s="4" t="str">
        <x:v>RN-140</x:v>
      </x:c>
      <x:c r="B144" s="4" t="str">
        <x:v>PD-WRL-007</x:v>
      </x:c>
      <x:c r="C144" s="4" t="str">
        <x:v>T1119</x:v>
      </x:c>
      <x:c r="D144" s="4" t="str">
        <x:v>projection</x:v>
      </x:c>
      <x:c r="E144" s="4" t="str">
        <x:v>SP_800_181_2_2_0</x:v>
      </x:c>
      <x:c r="F144" s="4" t="str">
        <x:v>F001 / 2.2.0</x:v>
      </x:c>
      <x:c r="G144" s="12" t="n">
        <x:f>COUNTIFS('13_Relaciones_NICE'!$B$5:$B$186,B144,'13_Relaciones_NICE'!$C$5:$C$186,C144)-1</x:f>
        <x:v>0</x:v>
      </x:c>
      <x:c r="H144" s="12" t="n">
        <x:f>IF(AND(COUNTIF('03_NICE'!$A$5:$A$57,B144)+COUNTIF('04_TKS'!$A$5:$A$72,B144)=1,COUNTIF('03_NICE'!$A$5:$A$57,C144)+COUNTIF('04_TKS'!$A$5:$A$72,C144)=1),0,1)</x:f>
        <x:v>0</x:v>
      </x:c>
    </x:row>
    <x:row r="145" ht="47" customHeight="1">
      <x:c r="A145" s="4" t="str">
        <x:v>RN-141</x:v>
      </x:c>
      <x:c r="B145" s="4" t="str">
        <x:v>IN-WRL-001</x:v>
      </x:c>
      <x:c r="C145" s="4" t="str">
        <x:v>T0173</x:v>
      </x:c>
      <x:c r="D145" s="4" t="str">
        <x:v>projection</x:v>
      </x:c>
      <x:c r="E145" s="4" t="str">
        <x:v>SP_800_181_2_2_0</x:v>
      </x:c>
      <x:c r="F145" s="4" t="str">
        <x:v>F001 / 2.2.0</x:v>
      </x:c>
      <x:c r="G145" s="12" t="n">
        <x:f>COUNTIFS('13_Relaciones_NICE'!$B$5:$B$186,B145,'13_Relaciones_NICE'!$C$5:$C$186,C145)-1</x:f>
        <x:v>0</x:v>
      </x:c>
      <x:c r="H145" s="12" t="n">
        <x:f>IF(AND(COUNTIF('03_NICE'!$A$5:$A$57,B145)+COUNTIF('04_TKS'!$A$5:$A$72,B145)=1,COUNTIF('03_NICE'!$A$5:$A$57,C145)+COUNTIF('04_TKS'!$A$5:$A$72,C145)=1),0,1)</x:f>
        <x:v>0</x:v>
      </x:c>
    </x:row>
    <x:row r="146" ht="47" customHeight="1">
      <x:c r="A146" s="4" t="str">
        <x:v>RN-142</x:v>
      </x:c>
      <x:c r="B146" s="4" t="str">
        <x:v>IN-WRL-001</x:v>
      </x:c>
      <x:c r="C146" s="4" t="str">
        <x:v>T1325</x:v>
      </x:c>
      <x:c r="D146" s="4" t="str">
        <x:v>projection</x:v>
      </x:c>
      <x:c r="E146" s="4" t="str">
        <x:v>SP_800_181_2_2_0</x:v>
      </x:c>
      <x:c r="F146" s="4" t="str">
        <x:v>F001 / 2.2.0</x:v>
      </x:c>
      <x:c r="G146" s="12" t="n">
        <x:f>COUNTIFS('13_Relaciones_NICE'!$B$5:$B$186,B146,'13_Relaciones_NICE'!$C$5:$C$186,C146)-1</x:f>
        <x:v>0</x:v>
      </x:c>
      <x:c r="H146" s="12" t="n">
        <x:f>IF(AND(COUNTIF('03_NICE'!$A$5:$A$57,B146)+COUNTIF('04_TKS'!$A$5:$A$72,B146)=1,COUNTIF('03_NICE'!$A$5:$A$57,C146)+COUNTIF('04_TKS'!$A$5:$A$72,C146)=1),0,1)</x:f>
        <x:v>0</x:v>
      </x:c>
    </x:row>
    <x:row r="147" ht="47" customHeight="1">
      <x:c r="A147" s="4" t="str">
        <x:v>RN-143</x:v>
      </x:c>
      <x:c r="B147" s="4" t="str">
        <x:v>IN-WRL-001</x:v>
      </x:c>
      <x:c r="C147" s="4" t="str">
        <x:v>T1510</x:v>
      </x:c>
      <x:c r="D147" s="4" t="str">
        <x:v>projection</x:v>
      </x:c>
      <x:c r="E147" s="4" t="str">
        <x:v>SP_800_181_2_2_0</x:v>
      </x:c>
      <x:c r="F147" s="4" t="str">
        <x:v>F001 / 2.2.0</x:v>
      </x:c>
      <x:c r="G147" s="12" t="n">
        <x:f>COUNTIFS('13_Relaciones_NICE'!$B$5:$B$186,B147,'13_Relaciones_NICE'!$C$5:$C$186,C147)-1</x:f>
        <x:v>0</x:v>
      </x:c>
      <x:c r="H147" s="12" t="n">
        <x:f>IF(AND(COUNTIF('03_NICE'!$A$5:$A$57,B147)+COUNTIF('04_TKS'!$A$5:$A$72,B147)=1,COUNTIF('03_NICE'!$A$5:$A$57,C147)+COUNTIF('04_TKS'!$A$5:$A$72,C147)=1),0,1)</x:f>
        <x:v>0</x:v>
      </x:c>
    </x:row>
    <x:row r="148" ht="47" customHeight="1">
      <x:c r="A148" s="4" t="str">
        <x:v>RN-144</x:v>
      </x:c>
      <x:c r="B148" s="4" t="str">
        <x:v>IN-WRL-002</x:v>
      </x:c>
      <x:c r="C148" s="4" t="str">
        <x:v>K1147</x:v>
      </x:c>
      <x:c r="D148" s="4" t="str">
        <x:v>projection</x:v>
      </x:c>
      <x:c r="E148" s="4" t="str">
        <x:v>SP_800_181_2_2_0</x:v>
      </x:c>
      <x:c r="F148" s="4" t="str">
        <x:v>F001 / 2.2.0</x:v>
      </x:c>
      <x:c r="G148" s="12" t="n">
        <x:f>COUNTIFS('13_Relaciones_NICE'!$B$5:$B$186,B148,'13_Relaciones_NICE'!$C$5:$C$186,C148)-1</x:f>
        <x:v>0</x:v>
      </x:c>
      <x:c r="H148" s="12" t="n">
        <x:f>IF(AND(COUNTIF('03_NICE'!$A$5:$A$57,B148)+COUNTIF('04_TKS'!$A$5:$A$72,B148)=1,COUNTIF('03_NICE'!$A$5:$A$57,C148)+COUNTIF('04_TKS'!$A$5:$A$72,C148)=1),0,1)</x:f>
        <x:v>0</x:v>
      </x:c>
    </x:row>
    <x:row r="149" ht="47" customHeight="1">
      <x:c r="A149" s="4" t="str">
        <x:v>RN-145</x:v>
      </x:c>
      <x:c r="B149" s="4" t="str">
        <x:v>IN-WRL-002</x:v>
      </x:c>
      <x:c r="C149" s="4" t="str">
        <x:v>T0173</x:v>
      </x:c>
      <x:c r="D149" s="4" t="str">
        <x:v>projection</x:v>
      </x:c>
      <x:c r="E149" s="4" t="str">
        <x:v>SP_800_181_2_2_0</x:v>
      </x:c>
      <x:c r="F149" s="4" t="str">
        <x:v>F001 / 2.2.0</x:v>
      </x:c>
      <x:c r="G149" s="12" t="n">
        <x:f>COUNTIFS('13_Relaciones_NICE'!$B$5:$B$186,B149,'13_Relaciones_NICE'!$C$5:$C$186,C149)-1</x:f>
        <x:v>0</x:v>
      </x:c>
      <x:c r="H149" s="12" t="n">
        <x:f>IF(AND(COUNTIF('03_NICE'!$A$5:$A$57,B149)+COUNTIF('04_TKS'!$A$5:$A$72,B149)=1,COUNTIF('03_NICE'!$A$5:$A$57,C149)+COUNTIF('04_TKS'!$A$5:$A$72,C149)=1),0,1)</x:f>
        <x:v>0</x:v>
      </x:c>
    </x:row>
    <x:row r="150" ht="47" customHeight="1">
      <x:c r="A150" s="4" t="str">
        <x:v>RN-146</x:v>
      </x:c>
      <x:c r="B150" s="4" t="str">
        <x:v>IN-WRL-002</x:v>
      </x:c>
      <x:c r="C150" s="4" t="str">
        <x:v>T1120</x:v>
      </x:c>
      <x:c r="D150" s="4" t="str">
        <x:v>projection</x:v>
      </x:c>
      <x:c r="E150" s="4" t="str">
        <x:v>SP_800_181_2_2_0</x:v>
      </x:c>
      <x:c r="F150" s="4" t="str">
        <x:v>F001 / 2.2.0</x:v>
      </x:c>
      <x:c r="G150" s="12" t="n">
        <x:f>COUNTIFS('13_Relaciones_NICE'!$B$5:$B$186,B150,'13_Relaciones_NICE'!$C$5:$C$186,C150)-1</x:f>
        <x:v>0</x:v>
      </x:c>
      <x:c r="H150" s="12" t="n">
        <x:f>IF(AND(COUNTIF('03_NICE'!$A$5:$A$57,B150)+COUNTIF('04_TKS'!$A$5:$A$72,B150)=1,COUNTIF('03_NICE'!$A$5:$A$57,C150)+COUNTIF('04_TKS'!$A$5:$A$72,C150)=1),0,1)</x:f>
        <x:v>0</x:v>
      </x:c>
    </x:row>
    <x:row r="151" ht="47" customHeight="1">
      <x:c r="A151" s="4" t="str">
        <x:v>RN-147</x:v>
      </x:c>
      <x:c r="B151" s="4" t="str">
        <x:v>IN-WRL-002</x:v>
      </x:c>
      <x:c r="C151" s="4" t="str">
        <x:v>T1175</x:v>
      </x:c>
      <x:c r="D151" s="4" t="str">
        <x:v>projection</x:v>
      </x:c>
      <x:c r="E151" s="4" t="str">
        <x:v>SP_800_181_2_2_0</x:v>
      </x:c>
      <x:c r="F151" s="4" t="str">
        <x:v>F001 / 2.2.0</x:v>
      </x:c>
      <x:c r="G151" s="12" t="n">
        <x:f>COUNTIFS('13_Relaciones_NICE'!$B$5:$B$186,B151,'13_Relaciones_NICE'!$C$5:$C$186,C151)-1</x:f>
        <x:v>0</x:v>
      </x:c>
      <x:c r="H151" s="12" t="n">
        <x:f>IF(AND(COUNTIF('03_NICE'!$A$5:$A$57,B151)+COUNTIF('04_TKS'!$A$5:$A$72,B151)=1,COUNTIF('03_NICE'!$A$5:$A$57,C151)+COUNTIF('04_TKS'!$A$5:$A$72,C151)=1),0,1)</x:f>
        <x:v>0</x:v>
      </x:c>
    </x:row>
    <x:row r="152" ht="47" customHeight="1">
      <x:c r="A152" s="4" t="str">
        <x:v>RN-148</x:v>
      </x:c>
      <x:c r="B152" s="4" t="str">
        <x:v>IN-WRL-002</x:v>
      </x:c>
      <x:c r="C152" s="4" t="str">
        <x:v>T1325</x:v>
      </x:c>
      <x:c r="D152" s="4" t="str">
        <x:v>projection</x:v>
      </x:c>
      <x:c r="E152" s="4" t="str">
        <x:v>SP_800_181_2_2_0</x:v>
      </x:c>
      <x:c r="F152" s="4" t="str">
        <x:v>F001 / 2.2.0</x:v>
      </x:c>
      <x:c r="G152" s="12" t="n">
        <x:f>COUNTIFS('13_Relaciones_NICE'!$B$5:$B$186,B152,'13_Relaciones_NICE'!$C$5:$C$186,C152)-1</x:f>
        <x:v>0</x:v>
      </x:c>
      <x:c r="H152" s="12" t="n">
        <x:f>IF(AND(COUNTIF('03_NICE'!$A$5:$A$57,B152)+COUNTIF('04_TKS'!$A$5:$A$72,B152)=1,COUNTIF('03_NICE'!$A$5:$A$57,C152)+COUNTIF('04_TKS'!$A$5:$A$72,C152)=1),0,1)</x:f>
        <x:v>0</x:v>
      </x:c>
    </x:row>
    <x:row r="153" ht="47" customHeight="1">
      <x:c r="A153" s="4" t="str">
        <x:v>RN-149</x:v>
      </x:c>
      <x:c r="B153" s="4" t="str">
        <x:v>IN-WRL-002</x:v>
      </x:c>
      <x:c r="C153" s="4" t="str">
        <x:v>T1542</x:v>
      </x:c>
      <x:c r="D153" s="4" t="str">
        <x:v>projection</x:v>
      </x:c>
      <x:c r="E153" s="4" t="str">
        <x:v>SP_800_181_2_2_0</x:v>
      </x:c>
      <x:c r="F153" s="4" t="str">
        <x:v>F001 / 2.2.0</x:v>
      </x:c>
      <x:c r="G153" s="12" t="n">
        <x:f>COUNTIFS('13_Relaciones_NICE'!$B$5:$B$186,B153,'13_Relaciones_NICE'!$C$5:$C$186,C153)-1</x:f>
        <x:v>0</x:v>
      </x:c>
      <x:c r="H153" s="12" t="n">
        <x:f>IF(AND(COUNTIF('03_NICE'!$A$5:$A$57,B153)+COUNTIF('04_TKS'!$A$5:$A$72,B153)=1,COUNTIF('03_NICE'!$A$5:$A$57,C153)+COUNTIF('04_TKS'!$A$5:$A$72,C153)=1),0,1)</x:f>
        <x:v>0</x:v>
      </x:c>
    </x:row>
    <x:row r="154" ht="47" customHeight="1">
      <x:c r="A154" s="4" t="str">
        <x:v>RN-150</x:v>
      </x:c>
      <x:c r="B154" s="4" t="str">
        <x:v>NF-COM-002</x:v>
      </x:c>
      <x:c r="C154" s="4" t="str">
        <x:v>K0658</x:v>
      </x:c>
      <x:c r="D154" s="4" t="str">
        <x:v>projection</x:v>
      </x:c>
      <x:c r="E154" s="4" t="str">
        <x:v>SP_800_181_2_2_0</x:v>
      </x:c>
      <x:c r="F154" s="4" t="str">
        <x:v>F001 / 2.2.0</x:v>
      </x:c>
      <x:c r="G154" s="12" t="n">
        <x:f>COUNTIFS('13_Relaciones_NICE'!$B$5:$B$186,B154,'13_Relaciones_NICE'!$C$5:$C$186,C154)-1</x:f>
        <x:v>0</x:v>
      </x:c>
      <x:c r="H154" s="12" t="n">
        <x:f>IF(AND(COUNTIF('03_NICE'!$A$5:$A$57,B154)+COUNTIF('04_TKS'!$A$5:$A$72,B154)=1,COUNTIF('03_NICE'!$A$5:$A$57,C154)+COUNTIF('04_TKS'!$A$5:$A$72,C154)=1),0,1)</x:f>
        <x:v>0</x:v>
      </x:c>
    </x:row>
    <x:row r="155" ht="47" customHeight="1">
      <x:c r="A155" s="4" t="str">
        <x:v>RN-151</x:v>
      </x:c>
      <x:c r="B155" s="4" t="str">
        <x:v>NF-COM-002</x:v>
      </x:c>
      <x:c r="C155" s="4" t="str">
        <x:v>K0711</x:v>
      </x:c>
      <x:c r="D155" s="4" t="str">
        <x:v>projection</x:v>
      </x:c>
      <x:c r="E155" s="4" t="str">
        <x:v>SP_800_181_2_2_0</x:v>
      </x:c>
      <x:c r="F155" s="4" t="str">
        <x:v>F001 / 2.2.0</x:v>
      </x:c>
      <x:c r="G155" s="12" t="n">
        <x:f>COUNTIFS('13_Relaciones_NICE'!$B$5:$B$186,B155,'13_Relaciones_NICE'!$C$5:$C$186,C155)-1</x:f>
        <x:v>0</x:v>
      </x:c>
      <x:c r="H155" s="12" t="n">
        <x:f>IF(AND(COUNTIF('03_NICE'!$A$5:$A$57,B155)+COUNTIF('04_TKS'!$A$5:$A$72,B155)=1,COUNTIF('03_NICE'!$A$5:$A$57,C155)+COUNTIF('04_TKS'!$A$5:$A$72,C155)=1),0,1)</x:f>
        <x:v>0</x:v>
      </x:c>
    </x:row>
    <x:row r="156" ht="47" customHeight="1">
      <x:c r="A156" s="4" t="str">
        <x:v>RN-152</x:v>
      </x:c>
      <x:c r="B156" s="4" t="str">
        <x:v>NF-COM-002</x:v>
      </x:c>
      <x:c r="C156" s="4" t="str">
        <x:v>K0742</x:v>
      </x:c>
      <x:c r="D156" s="4" t="str">
        <x:v>projection</x:v>
      </x:c>
      <x:c r="E156" s="4" t="str">
        <x:v>SP_800_181_2_2_0</x:v>
      </x:c>
      <x:c r="F156" s="4" t="str">
        <x:v>F001 / 2.2.0</x:v>
      </x:c>
      <x:c r="G156" s="12" t="n">
        <x:f>COUNTIFS('13_Relaciones_NICE'!$B$5:$B$186,B156,'13_Relaciones_NICE'!$C$5:$C$186,C156)-1</x:f>
        <x:v>0</x:v>
      </x:c>
      <x:c r="H156" s="12" t="n">
        <x:f>IF(AND(COUNTIF('03_NICE'!$A$5:$A$57,B156)+COUNTIF('04_TKS'!$A$5:$A$72,B156)=1,COUNTIF('03_NICE'!$A$5:$A$57,C156)+COUNTIF('04_TKS'!$A$5:$A$72,C156)=1),0,1)</x:f>
        <x:v>0</x:v>
      </x:c>
    </x:row>
    <x:row r="157" ht="47" customHeight="1">
      <x:c r="A157" s="4" t="str">
        <x:v>RN-153</x:v>
      </x:c>
      <x:c r="B157" s="4" t="str">
        <x:v>NF-COM-002</x:v>
      </x:c>
      <x:c r="C157" s="4" t="str">
        <x:v>K0904</x:v>
      </x:c>
      <x:c r="D157" s="4" t="str">
        <x:v>projection</x:v>
      </x:c>
      <x:c r="E157" s="4" t="str">
        <x:v>SP_800_181_2_2_0</x:v>
      </x:c>
      <x:c r="F157" s="4" t="str">
        <x:v>F001 / 2.2.0</x:v>
      </x:c>
      <x:c r="G157" s="12" t="n">
        <x:f>COUNTIFS('13_Relaciones_NICE'!$B$5:$B$186,B157,'13_Relaciones_NICE'!$C$5:$C$186,C157)-1</x:f>
        <x:v>0</x:v>
      </x:c>
      <x:c r="H157" s="12" t="n">
        <x:f>IF(AND(COUNTIF('03_NICE'!$A$5:$A$57,B157)+COUNTIF('04_TKS'!$A$5:$A$72,B157)=1,COUNTIF('03_NICE'!$A$5:$A$57,C157)+COUNTIF('04_TKS'!$A$5:$A$72,C157)=1),0,1)</x:f>
        <x:v>0</x:v>
      </x:c>
    </x:row>
    <x:row r="158" ht="47" customHeight="1">
      <x:c r="A158" s="4" t="str">
        <x:v>RN-154</x:v>
      </x:c>
      <x:c r="B158" s="4" t="str">
        <x:v>NF-COM-002</x:v>
      </x:c>
      <x:c r="C158" s="4" t="str">
        <x:v>K1147</x:v>
      </x:c>
      <x:c r="D158" s="4" t="str">
        <x:v>projection</x:v>
      </x:c>
      <x:c r="E158" s="4" t="str">
        <x:v>SP_800_181_2_2_0</x:v>
      </x:c>
      <x:c r="F158" s="4" t="str">
        <x:v>F001 / 2.2.0</x:v>
      </x:c>
      <x:c r="G158" s="12" t="n">
        <x:f>COUNTIFS('13_Relaciones_NICE'!$B$5:$B$186,B158,'13_Relaciones_NICE'!$C$5:$C$186,C158)-1</x:f>
        <x:v>0</x:v>
      </x:c>
      <x:c r="H158" s="12" t="n">
        <x:f>IF(AND(COUNTIF('03_NICE'!$A$5:$A$57,B158)+COUNTIF('04_TKS'!$A$5:$A$72,B158)=1,COUNTIF('03_NICE'!$A$5:$A$57,C158)+COUNTIF('04_TKS'!$A$5:$A$72,C158)=1),0,1)</x:f>
        <x:v>0</x:v>
      </x:c>
    </x:row>
    <x:row r="159" ht="47" customHeight="1">
      <x:c r="A159" s="4" t="str">
        <x:v>RN-155</x:v>
      </x:c>
      <x:c r="B159" s="4" t="str">
        <x:v>NF-COM-002</x:v>
      </x:c>
      <x:c r="C159" s="4" t="str">
        <x:v>K1317</x:v>
      </x:c>
      <x:c r="D159" s="4" t="str">
        <x:v>projection</x:v>
      </x:c>
      <x:c r="E159" s="4" t="str">
        <x:v>SP_800_181_2_2_0</x:v>
      </x:c>
      <x:c r="F159" s="4" t="str">
        <x:v>F001 / 2.2.0</x:v>
      </x:c>
      <x:c r="G159" s="12" t="n">
        <x:f>COUNTIFS('13_Relaciones_NICE'!$B$5:$B$186,B159,'13_Relaciones_NICE'!$C$5:$C$186,C159)-1</x:f>
        <x:v>0</x:v>
      </x:c>
      <x:c r="H159" s="12" t="n">
        <x:f>IF(AND(COUNTIF('03_NICE'!$A$5:$A$57,B159)+COUNTIF('04_TKS'!$A$5:$A$72,B159)=1,COUNTIF('03_NICE'!$A$5:$A$57,C159)+COUNTIF('04_TKS'!$A$5:$A$72,C159)=1),0,1)</x:f>
        <x:v>0</x:v>
      </x:c>
    </x:row>
    <x:row r="160" ht="47" customHeight="1">
      <x:c r="A160" s="4" t="str">
        <x:v>RN-156</x:v>
      </x:c>
      <x:c r="B160" s="4" t="str">
        <x:v>NF-COM-002</x:v>
      </x:c>
      <x:c r="C160" s="4" t="str">
        <x:v>K1318</x:v>
      </x:c>
      <x:c r="D160" s="4" t="str">
        <x:v>projection</x:v>
      </x:c>
      <x:c r="E160" s="4" t="str">
        <x:v>SP_800_181_2_2_0</x:v>
      </x:c>
      <x:c r="F160" s="4" t="str">
        <x:v>F001 / 2.2.0</x:v>
      </x:c>
      <x:c r="G160" s="12" t="n">
        <x:f>COUNTIFS('13_Relaciones_NICE'!$B$5:$B$186,B160,'13_Relaciones_NICE'!$C$5:$C$186,C160)-1</x:f>
        <x:v>0</x:v>
      </x:c>
      <x:c r="H160" s="12" t="n">
        <x:f>IF(AND(COUNTIF('03_NICE'!$A$5:$A$57,B160)+COUNTIF('04_TKS'!$A$5:$A$72,B160)=1,COUNTIF('03_NICE'!$A$5:$A$57,C160)+COUNTIF('04_TKS'!$A$5:$A$72,C160)=1),0,1)</x:f>
        <x:v>0</x:v>
      </x:c>
    </x:row>
    <x:row r="161" ht="47" customHeight="1">
      <x:c r="A161" s="4" t="str">
        <x:v>RN-157</x:v>
      </x:c>
      <x:c r="B161" s="4" t="str">
        <x:v>NF-COM-002</x:v>
      </x:c>
      <x:c r="C161" s="4" t="str">
        <x:v>K1320</x:v>
      </x:c>
      <x:c r="D161" s="4" t="str">
        <x:v>projection</x:v>
      </x:c>
      <x:c r="E161" s="4" t="str">
        <x:v>SP_800_181_2_2_0</x:v>
      </x:c>
      <x:c r="F161" s="4" t="str">
        <x:v>F001 / 2.2.0</x:v>
      </x:c>
      <x:c r="G161" s="12" t="n">
        <x:f>COUNTIFS('13_Relaciones_NICE'!$B$5:$B$186,B161,'13_Relaciones_NICE'!$C$5:$C$186,C161)-1</x:f>
        <x:v>0</x:v>
      </x:c>
      <x:c r="H161" s="12" t="n">
        <x:f>IF(AND(COUNTIF('03_NICE'!$A$5:$A$57,B161)+COUNTIF('04_TKS'!$A$5:$A$72,B161)=1,COUNTIF('03_NICE'!$A$5:$A$57,C161)+COUNTIF('04_TKS'!$A$5:$A$72,C161)=1),0,1)</x:f>
        <x:v>0</x:v>
      </x:c>
    </x:row>
    <x:row r="162" ht="47" customHeight="1">
      <x:c r="A162" s="4" t="str">
        <x:v>RN-158</x:v>
      </x:c>
      <x:c r="B162" s="4" t="str">
        <x:v>NF-COM-002</x:v>
      </x:c>
      <x:c r="C162" s="4" t="str">
        <x:v>K1321</x:v>
      </x:c>
      <x:c r="D162" s="4" t="str">
        <x:v>projection</x:v>
      </x:c>
      <x:c r="E162" s="4" t="str">
        <x:v>SP_800_181_2_2_0</x:v>
      </x:c>
      <x:c r="F162" s="4" t="str">
        <x:v>F001 / 2.2.0</x:v>
      </x:c>
      <x:c r="G162" s="12" t="n">
        <x:f>COUNTIFS('13_Relaciones_NICE'!$B$5:$B$186,B162,'13_Relaciones_NICE'!$C$5:$C$186,C162)-1</x:f>
        <x:v>0</x:v>
      </x:c>
      <x:c r="H162" s="12" t="n">
        <x:f>IF(AND(COUNTIF('03_NICE'!$A$5:$A$57,B162)+COUNTIF('04_TKS'!$A$5:$A$72,B162)=1,COUNTIF('03_NICE'!$A$5:$A$57,C162)+COUNTIF('04_TKS'!$A$5:$A$72,C162)=1),0,1)</x:f>
        <x:v>0</x:v>
      </x:c>
    </x:row>
    <x:row r="163" ht="47" customHeight="1">
      <x:c r="A163" s="4" t="str">
        <x:v>RN-159</x:v>
      </x:c>
      <x:c r="B163" s="4" t="str">
        <x:v>NF-COM-002</x:v>
      </x:c>
      <x:c r="C163" s="4" t="str">
        <x:v>K1324</x:v>
      </x:c>
      <x:c r="D163" s="4" t="str">
        <x:v>projection</x:v>
      </x:c>
      <x:c r="E163" s="4" t="str">
        <x:v>SP_800_181_2_2_0</x:v>
      </x:c>
      <x:c r="F163" s="4" t="str">
        <x:v>F001 / 2.2.0</x:v>
      </x:c>
      <x:c r="G163" s="12" t="n">
        <x:f>COUNTIFS('13_Relaciones_NICE'!$B$5:$B$186,B163,'13_Relaciones_NICE'!$C$5:$C$186,C163)-1</x:f>
        <x:v>0</x:v>
      </x:c>
      <x:c r="H163" s="12" t="n">
        <x:f>IF(AND(COUNTIF('03_NICE'!$A$5:$A$57,B163)+COUNTIF('04_TKS'!$A$5:$A$72,B163)=1,COUNTIF('03_NICE'!$A$5:$A$57,C163)+COUNTIF('04_TKS'!$A$5:$A$72,C163)=1),0,1)</x:f>
        <x:v>0</x:v>
      </x:c>
    </x:row>
    <x:row r="164" ht="47" customHeight="1">
      <x:c r="A164" s="4" t="str">
        <x:v>RN-160</x:v>
      </x:c>
      <x:c r="B164" s="4" t="str">
        <x:v>NF-COM-002</x:v>
      </x:c>
      <x:c r="C164" s="4" t="str">
        <x:v>K1327</x:v>
      </x:c>
      <x:c r="D164" s="4" t="str">
        <x:v>projection</x:v>
      </x:c>
      <x:c r="E164" s="4" t="str">
        <x:v>SP_800_181_2_2_0</x:v>
      </x:c>
      <x:c r="F164" s="4" t="str">
        <x:v>F001 / 2.2.0</x:v>
      </x:c>
      <x:c r="G164" s="12" t="n">
        <x:f>COUNTIFS('13_Relaciones_NICE'!$B$5:$B$186,B164,'13_Relaciones_NICE'!$C$5:$C$186,C164)-1</x:f>
        <x:v>0</x:v>
      </x:c>
      <x:c r="H164" s="12" t="n">
        <x:f>IF(AND(COUNTIF('03_NICE'!$A$5:$A$57,B164)+COUNTIF('04_TKS'!$A$5:$A$72,B164)=1,COUNTIF('03_NICE'!$A$5:$A$57,C164)+COUNTIF('04_TKS'!$A$5:$A$72,C164)=1),0,1)</x:f>
        <x:v>0</x:v>
      </x:c>
    </x:row>
    <x:row r="165" ht="47" customHeight="1">
      <x:c r="A165" s="4" t="str">
        <x:v>RN-161</x:v>
      </x:c>
      <x:c r="B165" s="4" t="str">
        <x:v>NF-COM-002</x:v>
      </x:c>
      <x:c r="C165" s="4" t="str">
        <x:v>K1328</x:v>
      </x:c>
      <x:c r="D165" s="4" t="str">
        <x:v>projection</x:v>
      </x:c>
      <x:c r="E165" s="4" t="str">
        <x:v>SP_800_181_2_2_0</x:v>
      </x:c>
      <x:c r="F165" s="4" t="str">
        <x:v>F001 / 2.2.0</x:v>
      </x:c>
      <x:c r="G165" s="12" t="n">
        <x:f>COUNTIFS('13_Relaciones_NICE'!$B$5:$B$186,B165,'13_Relaciones_NICE'!$C$5:$C$186,C165)-1</x:f>
        <x:v>0</x:v>
      </x:c>
      <x:c r="H165" s="12" t="n">
        <x:f>IF(AND(COUNTIF('03_NICE'!$A$5:$A$57,B165)+COUNTIF('04_TKS'!$A$5:$A$72,B165)=1,COUNTIF('03_NICE'!$A$5:$A$57,C165)+COUNTIF('04_TKS'!$A$5:$A$72,C165)=1),0,1)</x:f>
        <x:v>0</x:v>
      </x:c>
    </x:row>
    <x:row r="166" ht="47" customHeight="1">
      <x:c r="A166" s="4" t="str">
        <x:v>RN-162</x:v>
      </x:c>
      <x:c r="B166" s="4" t="str">
        <x:v>NF-COM-002</x:v>
      </x:c>
      <x:c r="C166" s="4" t="str">
        <x:v>K1329</x:v>
      </x:c>
      <x:c r="D166" s="4" t="str">
        <x:v>projection</x:v>
      </x:c>
      <x:c r="E166" s="4" t="str">
        <x:v>SP_800_181_2_2_0</x:v>
      </x:c>
      <x:c r="F166" s="4" t="str">
        <x:v>F001 / 2.2.0</x:v>
      </x:c>
      <x:c r="G166" s="12" t="n">
        <x:f>COUNTIFS('13_Relaciones_NICE'!$B$5:$B$186,B166,'13_Relaciones_NICE'!$C$5:$C$186,C166)-1</x:f>
        <x:v>0</x:v>
      </x:c>
      <x:c r="H166" s="12" t="n">
        <x:f>IF(AND(COUNTIF('03_NICE'!$A$5:$A$57,B166)+COUNTIF('04_TKS'!$A$5:$A$72,B166)=1,COUNTIF('03_NICE'!$A$5:$A$57,C166)+COUNTIF('04_TKS'!$A$5:$A$72,C166)=1),0,1)</x:f>
        <x:v>0</x:v>
      </x:c>
    </x:row>
    <x:row r="167" ht="47" customHeight="1">
      <x:c r="A167" s="4" t="str">
        <x:v>RN-163</x:v>
      </x:c>
      <x:c r="B167" s="4" t="str">
        <x:v>NF-COM-002</x:v>
      </x:c>
      <x:c r="C167" s="4" t="str">
        <x:v>K1332</x:v>
      </x:c>
      <x:c r="D167" s="4" t="str">
        <x:v>projection</x:v>
      </x:c>
      <x:c r="E167" s="4" t="str">
        <x:v>SP_800_181_2_2_0</x:v>
      </x:c>
      <x:c r="F167" s="4" t="str">
        <x:v>F001 / 2.2.0</x:v>
      </x:c>
      <x:c r="G167" s="12" t="n">
        <x:f>COUNTIFS('13_Relaciones_NICE'!$B$5:$B$186,B167,'13_Relaciones_NICE'!$C$5:$C$186,C167)-1</x:f>
        <x:v>0</x:v>
      </x:c>
      <x:c r="H167" s="12" t="n">
        <x:f>IF(AND(COUNTIF('03_NICE'!$A$5:$A$57,B167)+COUNTIF('04_TKS'!$A$5:$A$72,B167)=1,COUNTIF('03_NICE'!$A$5:$A$57,C167)+COUNTIF('04_TKS'!$A$5:$A$72,C167)=1),0,1)</x:f>
        <x:v>0</x:v>
      </x:c>
    </x:row>
    <x:row r="168" ht="47" customHeight="1">
      <x:c r="A168" s="4" t="str">
        <x:v>RN-164</x:v>
      </x:c>
      <x:c r="B168" s="4" t="str">
        <x:v>NF-COM-002</x:v>
      </x:c>
      <x:c r="C168" s="4" t="str">
        <x:v>K1333</x:v>
      </x:c>
      <x:c r="D168" s="4" t="str">
        <x:v>projection</x:v>
      </x:c>
      <x:c r="E168" s="4" t="str">
        <x:v>SP_800_181_2_2_0</x:v>
      </x:c>
      <x:c r="F168" s="4" t="str">
        <x:v>F001 / 2.2.0</x:v>
      </x:c>
      <x:c r="G168" s="12" t="n">
        <x:f>COUNTIFS('13_Relaciones_NICE'!$B$5:$B$186,B168,'13_Relaciones_NICE'!$C$5:$C$186,C168)-1</x:f>
        <x:v>0</x:v>
      </x:c>
      <x:c r="H168" s="12" t="n">
        <x:f>IF(AND(COUNTIF('03_NICE'!$A$5:$A$57,B168)+COUNTIF('04_TKS'!$A$5:$A$72,B168)=1,COUNTIF('03_NICE'!$A$5:$A$57,C168)+COUNTIF('04_TKS'!$A$5:$A$72,C168)=1),0,1)</x:f>
        <x:v>0</x:v>
      </x:c>
    </x:row>
    <x:row r="169" ht="47" customHeight="1">
      <x:c r="A169" s="4" t="str">
        <x:v>RN-165</x:v>
      </x:c>
      <x:c r="B169" s="4" t="str">
        <x:v>NF-COM-002</x:v>
      </x:c>
      <x:c r="C169" s="4" t="str">
        <x:v>K1334</x:v>
      </x:c>
      <x:c r="D169" s="4" t="str">
        <x:v>projection</x:v>
      </x:c>
      <x:c r="E169" s="4" t="str">
        <x:v>SP_800_181_2_2_0</x:v>
      </x:c>
      <x:c r="F169" s="4" t="str">
        <x:v>F001 / 2.2.0</x:v>
      </x:c>
      <x:c r="G169" s="12" t="n">
        <x:f>COUNTIFS('13_Relaciones_NICE'!$B$5:$B$186,B169,'13_Relaciones_NICE'!$C$5:$C$186,C169)-1</x:f>
        <x:v>0</x:v>
      </x:c>
      <x:c r="H169" s="12" t="n">
        <x:f>IF(AND(COUNTIF('03_NICE'!$A$5:$A$57,B169)+COUNTIF('04_TKS'!$A$5:$A$72,B169)=1,COUNTIF('03_NICE'!$A$5:$A$57,C169)+COUNTIF('04_TKS'!$A$5:$A$72,C169)=1),0,1)</x:f>
        <x:v>0</x:v>
      </x:c>
    </x:row>
    <x:row r="170" ht="47" customHeight="1">
      <x:c r="A170" s="4" t="str">
        <x:v>RN-166</x:v>
      </x:c>
      <x:c r="B170" s="4" t="str">
        <x:v>NF-COM-002</x:v>
      </x:c>
      <x:c r="C170" s="4" t="str">
        <x:v>K1335</x:v>
      </x:c>
      <x:c r="D170" s="4" t="str">
        <x:v>projection</x:v>
      </x:c>
      <x:c r="E170" s="4" t="str">
        <x:v>SP_800_181_2_2_0</x:v>
      </x:c>
      <x:c r="F170" s="4" t="str">
        <x:v>F001 / 2.2.0</x:v>
      </x:c>
      <x:c r="G170" s="12" t="n">
        <x:f>COUNTIFS('13_Relaciones_NICE'!$B$5:$B$186,B170,'13_Relaciones_NICE'!$C$5:$C$186,C170)-1</x:f>
        <x:v>0</x:v>
      </x:c>
      <x:c r="H170" s="12" t="n">
        <x:f>IF(AND(COUNTIF('03_NICE'!$A$5:$A$57,B170)+COUNTIF('04_TKS'!$A$5:$A$72,B170)=1,COUNTIF('03_NICE'!$A$5:$A$57,C170)+COUNTIF('04_TKS'!$A$5:$A$72,C170)=1),0,1)</x:f>
        <x:v>0</x:v>
      </x:c>
    </x:row>
    <x:row r="171" ht="47" customHeight="1">
      <x:c r="A171" s="4" t="str">
        <x:v>RN-167</x:v>
      </x:c>
      <x:c r="B171" s="4" t="str">
        <x:v>NF-COM-002</x:v>
      </x:c>
      <x:c r="C171" s="4" t="str">
        <x:v>K1336</x:v>
      </x:c>
      <x:c r="D171" s="4" t="str">
        <x:v>projection</x:v>
      </x:c>
      <x:c r="E171" s="4" t="str">
        <x:v>SP_800_181_2_2_0</x:v>
      </x:c>
      <x:c r="F171" s="4" t="str">
        <x:v>F001 / 2.2.0</x:v>
      </x:c>
      <x:c r="G171" s="12" t="n">
        <x:f>COUNTIFS('13_Relaciones_NICE'!$B$5:$B$186,B171,'13_Relaciones_NICE'!$C$5:$C$186,C171)-1</x:f>
        <x:v>0</x:v>
      </x:c>
      <x:c r="H171" s="12" t="n">
        <x:f>IF(AND(COUNTIF('03_NICE'!$A$5:$A$57,B171)+COUNTIF('04_TKS'!$A$5:$A$72,B171)=1,COUNTIF('03_NICE'!$A$5:$A$57,C171)+COUNTIF('04_TKS'!$A$5:$A$72,C171)=1),0,1)</x:f>
        <x:v>0</x:v>
      </x:c>
    </x:row>
    <x:row r="172" ht="47" customHeight="1">
      <x:c r="A172" s="4" t="str">
        <x:v>RN-168</x:v>
      </x:c>
      <x:c r="B172" s="4" t="str">
        <x:v>NF-COM-002</x:v>
      </x:c>
      <x:c r="C172" s="4" t="str">
        <x:v>K1339</x:v>
      </x:c>
      <x:c r="D172" s="4" t="str">
        <x:v>projection</x:v>
      </x:c>
      <x:c r="E172" s="4" t="str">
        <x:v>SP_800_181_2_2_0</x:v>
      </x:c>
      <x:c r="F172" s="4" t="str">
        <x:v>F001 / 2.2.0</x:v>
      </x:c>
      <x:c r="G172" s="12" t="n">
        <x:f>COUNTIFS('13_Relaciones_NICE'!$B$5:$B$186,B172,'13_Relaciones_NICE'!$C$5:$C$186,C172)-1</x:f>
        <x:v>0</x:v>
      </x:c>
      <x:c r="H172" s="12" t="n">
        <x:f>IF(AND(COUNTIF('03_NICE'!$A$5:$A$57,B172)+COUNTIF('04_TKS'!$A$5:$A$72,B172)=1,COUNTIF('03_NICE'!$A$5:$A$57,C172)+COUNTIF('04_TKS'!$A$5:$A$72,C172)=1),0,1)</x:f>
        <x:v>0</x:v>
      </x:c>
    </x:row>
    <x:row r="173" ht="47" customHeight="1">
      <x:c r="A173" s="4" t="str">
        <x:v>RN-169</x:v>
      </x:c>
      <x:c r="B173" s="4" t="str">
        <x:v>NF-COM-002</x:v>
      </x:c>
      <x:c r="C173" s="4" t="str">
        <x:v>K1341</x:v>
      </x:c>
      <x:c r="D173" s="4" t="str">
        <x:v>projection</x:v>
      </x:c>
      <x:c r="E173" s="4" t="str">
        <x:v>SP_800_181_2_2_0</x:v>
      </x:c>
      <x:c r="F173" s="4" t="str">
        <x:v>F001 / 2.2.0</x:v>
      </x:c>
      <x:c r="G173" s="12" t="n">
        <x:f>COUNTIFS('13_Relaciones_NICE'!$B$5:$B$186,B173,'13_Relaciones_NICE'!$C$5:$C$186,C173)-1</x:f>
        <x:v>0</x:v>
      </x:c>
      <x:c r="H173" s="12" t="n">
        <x:f>IF(AND(COUNTIF('03_NICE'!$A$5:$A$57,B173)+COUNTIF('04_TKS'!$A$5:$A$72,B173)=1,COUNTIF('03_NICE'!$A$5:$A$57,C173)+COUNTIF('04_TKS'!$A$5:$A$72,C173)=1),0,1)</x:f>
        <x:v>0</x:v>
      </x:c>
    </x:row>
    <x:row r="174" ht="47" customHeight="1">
      <x:c r="A174" s="4" t="str">
        <x:v>RN-170</x:v>
      </x:c>
      <x:c r="B174" s="4" t="str">
        <x:v>NF-COM-002</x:v>
      </x:c>
      <x:c r="C174" s="4" t="str">
        <x:v>K1342</x:v>
      </x:c>
      <x:c r="D174" s="4" t="str">
        <x:v>projection</x:v>
      </x:c>
      <x:c r="E174" s="4" t="str">
        <x:v>SP_800_181_2_2_0</x:v>
      </x:c>
      <x:c r="F174" s="4" t="str">
        <x:v>F001 / 2.2.0</x:v>
      </x:c>
      <x:c r="G174" s="12" t="n">
        <x:f>COUNTIFS('13_Relaciones_NICE'!$B$5:$B$186,B174,'13_Relaciones_NICE'!$C$5:$C$186,C174)-1</x:f>
        <x:v>0</x:v>
      </x:c>
      <x:c r="H174" s="12" t="n">
        <x:f>IF(AND(COUNTIF('03_NICE'!$A$5:$A$57,B174)+COUNTIF('04_TKS'!$A$5:$A$72,B174)=1,COUNTIF('03_NICE'!$A$5:$A$57,C174)+COUNTIF('04_TKS'!$A$5:$A$72,C174)=1),0,1)</x:f>
        <x:v>0</x:v>
      </x:c>
    </x:row>
    <x:row r="175" ht="47" customHeight="1">
      <x:c r="A175" s="4" t="str">
        <x:v>RN-171</x:v>
      </x:c>
      <x:c r="B175" s="4" t="str">
        <x:v>NF-COM-002</x:v>
      </x:c>
      <x:c r="C175" s="4" t="str">
        <x:v>K1343</x:v>
      </x:c>
      <x:c r="D175" s="4" t="str">
        <x:v>projection</x:v>
      </x:c>
      <x:c r="E175" s="4" t="str">
        <x:v>SP_800_181_2_2_0</x:v>
      </x:c>
      <x:c r="F175" s="4" t="str">
        <x:v>F001 / 2.2.0</x:v>
      </x:c>
      <x:c r="G175" s="12" t="n">
        <x:f>COUNTIFS('13_Relaciones_NICE'!$B$5:$B$186,B175,'13_Relaciones_NICE'!$C$5:$C$186,C175)-1</x:f>
        <x:v>0</x:v>
      </x:c>
      <x:c r="H175" s="12" t="n">
        <x:f>IF(AND(COUNTIF('03_NICE'!$A$5:$A$57,B175)+COUNTIF('04_TKS'!$A$5:$A$72,B175)=1,COUNTIF('03_NICE'!$A$5:$A$57,C175)+COUNTIF('04_TKS'!$A$5:$A$72,C175)=1),0,1)</x:f>
        <x:v>0</x:v>
      </x:c>
    </x:row>
    <x:row r="176" ht="47" customHeight="1">
      <x:c r="A176" s="4" t="str">
        <x:v>RN-172</x:v>
      </x:c>
      <x:c r="B176" s="4" t="str">
        <x:v>NF-COM-002</x:v>
      </x:c>
      <x:c r="C176" s="4" t="str">
        <x:v>K1345</x:v>
      </x:c>
      <x:c r="D176" s="4" t="str">
        <x:v>projection</x:v>
      </x:c>
      <x:c r="E176" s="4" t="str">
        <x:v>SP_800_181_2_2_0</x:v>
      </x:c>
      <x:c r="F176" s="4" t="str">
        <x:v>F001 / 2.2.0</x:v>
      </x:c>
      <x:c r="G176" s="12" t="n">
        <x:f>COUNTIFS('13_Relaciones_NICE'!$B$5:$B$186,B176,'13_Relaciones_NICE'!$C$5:$C$186,C176)-1</x:f>
        <x:v>0</x:v>
      </x:c>
      <x:c r="H176" s="12" t="n">
        <x:f>IF(AND(COUNTIF('03_NICE'!$A$5:$A$57,B176)+COUNTIF('04_TKS'!$A$5:$A$72,B176)=1,COUNTIF('03_NICE'!$A$5:$A$57,C176)+COUNTIF('04_TKS'!$A$5:$A$72,C176)=1),0,1)</x:f>
        <x:v>0</x:v>
      </x:c>
    </x:row>
    <x:row r="177" ht="47" customHeight="1">
      <x:c r="A177" s="4" t="str">
        <x:v>RN-173</x:v>
      </x:c>
      <x:c r="B177" s="4" t="str">
        <x:v>NF-COM-002</x:v>
      </x:c>
      <x:c r="C177" s="4" t="str">
        <x:v>S0443</x:v>
      </x:c>
      <x:c r="D177" s="4" t="str">
        <x:v>projection</x:v>
      </x:c>
      <x:c r="E177" s="4" t="str">
        <x:v>SP_800_181_2_2_0</x:v>
      </x:c>
      <x:c r="F177" s="4" t="str">
        <x:v>F001 / 2.2.0</x:v>
      </x:c>
      <x:c r="G177" s="12" t="n">
        <x:f>COUNTIFS('13_Relaciones_NICE'!$B$5:$B$186,B177,'13_Relaciones_NICE'!$C$5:$C$186,C177)-1</x:f>
        <x:v>0</x:v>
      </x:c>
      <x:c r="H177" s="12" t="n">
        <x:f>IF(AND(COUNTIF('03_NICE'!$A$5:$A$57,B177)+COUNTIF('04_TKS'!$A$5:$A$72,B177)=1,COUNTIF('03_NICE'!$A$5:$A$57,C177)+COUNTIF('04_TKS'!$A$5:$A$72,C177)=1),0,1)</x:f>
        <x:v>0</x:v>
      </x:c>
    </x:row>
    <x:row r="178" ht="47" customHeight="1">
      <x:c r="A178" s="4" t="str">
        <x:v>RN-174</x:v>
      </x:c>
      <x:c r="B178" s="4" t="str">
        <x:v>NF-COM-002</x:v>
      </x:c>
      <x:c r="C178" s="4" t="str">
        <x:v>S0480</x:v>
      </x:c>
      <x:c r="D178" s="4" t="str">
        <x:v>projection</x:v>
      </x:c>
      <x:c r="E178" s="4" t="str">
        <x:v>SP_800_181_2_2_0</x:v>
      </x:c>
      <x:c r="F178" s="4" t="str">
        <x:v>F001 / 2.2.0</x:v>
      </x:c>
      <x:c r="G178" s="12" t="n">
        <x:f>COUNTIFS('13_Relaciones_NICE'!$B$5:$B$186,B178,'13_Relaciones_NICE'!$C$5:$C$186,C178)-1</x:f>
        <x:v>0</x:v>
      </x:c>
      <x:c r="H178" s="12" t="n">
        <x:f>IF(AND(COUNTIF('03_NICE'!$A$5:$A$57,B178)+COUNTIF('04_TKS'!$A$5:$A$72,B178)=1,COUNTIF('03_NICE'!$A$5:$A$57,C178)+COUNTIF('04_TKS'!$A$5:$A$72,C178)=1),0,1)</x:f>
        <x:v>0</x:v>
      </x:c>
    </x:row>
    <x:row r="179" ht="47" customHeight="1">
      <x:c r="A179" s="4" t="str">
        <x:v>RN-175</x:v>
      </x:c>
      <x:c r="B179" s="4" t="str">
        <x:v>NF-COM-002</x:v>
      </x:c>
      <x:c r="C179" s="4" t="str">
        <x:v>S0900</x:v>
      </x:c>
      <x:c r="D179" s="4" t="str">
        <x:v>projection</x:v>
      </x:c>
      <x:c r="E179" s="4" t="str">
        <x:v>SP_800_181_2_2_0</x:v>
      </x:c>
      <x:c r="F179" s="4" t="str">
        <x:v>F001 / 2.2.0</x:v>
      </x:c>
      <x:c r="G179" s="12" t="n">
        <x:f>COUNTIFS('13_Relaciones_NICE'!$B$5:$B$186,B179,'13_Relaciones_NICE'!$C$5:$C$186,C179)-1</x:f>
        <x:v>0</x:v>
      </x:c>
      <x:c r="H179" s="12" t="n">
        <x:f>IF(AND(COUNTIF('03_NICE'!$A$5:$A$57,B179)+COUNTIF('04_TKS'!$A$5:$A$72,B179)=1,COUNTIF('03_NICE'!$A$5:$A$57,C179)+COUNTIF('04_TKS'!$A$5:$A$72,C179)=1),0,1)</x:f>
        <x:v>0</x:v>
      </x:c>
    </x:row>
    <x:row r="180" ht="47" customHeight="1">
      <x:c r="A180" s="4" t="str">
        <x:v>RN-176</x:v>
      </x:c>
      <x:c r="B180" s="4" t="str">
        <x:v>NF-COM-002</x:v>
      </x:c>
      <x:c r="C180" s="4" t="str">
        <x:v>S0952</x:v>
      </x:c>
      <x:c r="D180" s="4" t="str">
        <x:v>projection</x:v>
      </x:c>
      <x:c r="E180" s="4" t="str">
        <x:v>SP_800_181_2_2_0</x:v>
      </x:c>
      <x:c r="F180" s="4" t="str">
        <x:v>F001 / 2.2.0</x:v>
      </x:c>
      <x:c r="G180" s="12" t="n">
        <x:f>COUNTIFS('13_Relaciones_NICE'!$B$5:$B$186,B180,'13_Relaciones_NICE'!$C$5:$C$186,C180)-1</x:f>
        <x:v>0</x:v>
      </x:c>
      <x:c r="H180" s="12" t="n">
        <x:f>IF(AND(COUNTIF('03_NICE'!$A$5:$A$57,B180)+COUNTIF('04_TKS'!$A$5:$A$72,B180)=1,COUNTIF('03_NICE'!$A$5:$A$57,C180)+COUNTIF('04_TKS'!$A$5:$A$72,C180)=1),0,1)</x:f>
        <x:v>0</x:v>
      </x:c>
    </x:row>
    <x:row r="181" ht="47" customHeight="1">
      <x:c r="A181" s="4" t="str">
        <x:v>RN-177</x:v>
      </x:c>
      <x:c r="B181" s="4" t="str">
        <x:v>NF-COM-002</x:v>
      </x:c>
      <x:c r="C181" s="4" t="str">
        <x:v>S0954</x:v>
      </x:c>
      <x:c r="D181" s="4" t="str">
        <x:v>projection</x:v>
      </x:c>
      <x:c r="E181" s="4" t="str">
        <x:v>SP_800_181_2_2_0</x:v>
      </x:c>
      <x:c r="F181" s="4" t="str">
        <x:v>F001 / 2.2.0</x:v>
      </x:c>
      <x:c r="G181" s="12" t="n">
        <x:f>COUNTIFS('13_Relaciones_NICE'!$B$5:$B$186,B181,'13_Relaciones_NICE'!$C$5:$C$186,C181)-1</x:f>
        <x:v>0</x:v>
      </x:c>
      <x:c r="H181" s="12" t="n">
        <x:f>IF(AND(COUNTIF('03_NICE'!$A$5:$A$57,B181)+COUNTIF('04_TKS'!$A$5:$A$72,B181)=1,COUNTIF('03_NICE'!$A$5:$A$57,C181)+COUNTIF('04_TKS'!$A$5:$A$72,C181)=1),0,1)</x:f>
        <x:v>0</x:v>
      </x:c>
    </x:row>
    <x:row r="182" ht="47" customHeight="1">
      <x:c r="A182" s="4" t="str">
        <x:v>RN-178</x:v>
      </x:c>
      <x:c r="B182" s="4" t="str">
        <x:v>NF-COM-002</x:v>
      </x:c>
      <x:c r="C182" s="4" t="str">
        <x:v>S0955</x:v>
      </x:c>
      <x:c r="D182" s="4" t="str">
        <x:v>projection</x:v>
      </x:c>
      <x:c r="E182" s="4" t="str">
        <x:v>SP_800_181_2_2_0</x:v>
      </x:c>
      <x:c r="F182" s="4" t="str">
        <x:v>F001 / 2.2.0</x:v>
      </x:c>
      <x:c r="G182" s="12" t="n">
        <x:f>COUNTIFS('13_Relaciones_NICE'!$B$5:$B$186,B182,'13_Relaciones_NICE'!$C$5:$C$186,C182)-1</x:f>
        <x:v>0</x:v>
      </x:c>
      <x:c r="H182" s="12" t="n">
        <x:f>IF(AND(COUNTIF('03_NICE'!$A$5:$A$57,B182)+COUNTIF('04_TKS'!$A$5:$A$72,B182)=1,COUNTIF('03_NICE'!$A$5:$A$57,C182)+COUNTIF('04_TKS'!$A$5:$A$72,C182)=1),0,1)</x:f>
        <x:v>0</x:v>
      </x:c>
    </x:row>
    <x:row r="183" ht="47" customHeight="1">
      <x:c r="A183" s="4" t="str">
        <x:v>RN-179</x:v>
      </x:c>
      <x:c r="B183" s="4" t="str">
        <x:v>NF-COM-002</x:v>
      </x:c>
      <x:c r="C183" s="4" t="str">
        <x:v>S0956</x:v>
      </x:c>
      <x:c r="D183" s="4" t="str">
        <x:v>projection</x:v>
      </x:c>
      <x:c r="E183" s="4" t="str">
        <x:v>SP_800_181_2_2_0</x:v>
      </x:c>
      <x:c r="F183" s="4" t="str">
        <x:v>F001 / 2.2.0</x:v>
      </x:c>
      <x:c r="G183" s="12" t="n">
        <x:f>COUNTIFS('13_Relaciones_NICE'!$B$5:$B$186,B183,'13_Relaciones_NICE'!$C$5:$C$186,C183)-1</x:f>
        <x:v>0</x:v>
      </x:c>
      <x:c r="H183" s="12" t="n">
        <x:f>IF(AND(COUNTIF('03_NICE'!$A$5:$A$57,B183)+COUNTIF('04_TKS'!$A$5:$A$72,B183)=1,COUNTIF('03_NICE'!$A$5:$A$57,C183)+COUNTIF('04_TKS'!$A$5:$A$72,C183)=1),0,1)</x:f>
        <x:v>0</x:v>
      </x:c>
    </x:row>
    <x:row r="184" ht="47" customHeight="1">
      <x:c r="A184" s="4" t="str">
        <x:v>RN-180</x:v>
      </x:c>
      <x:c r="B184" s="4" t="str">
        <x:v>NF-COM-002</x:v>
      </x:c>
      <x:c r="C184" s="4" t="str">
        <x:v>S0957</x:v>
      </x:c>
      <x:c r="D184" s="4" t="str">
        <x:v>projection</x:v>
      </x:c>
      <x:c r="E184" s="4" t="str">
        <x:v>SP_800_181_2_2_0</x:v>
      </x:c>
      <x:c r="F184" s="4" t="str">
        <x:v>F001 / 2.2.0</x:v>
      </x:c>
      <x:c r="G184" s="12" t="n">
        <x:f>COUNTIFS('13_Relaciones_NICE'!$B$5:$B$186,B184,'13_Relaciones_NICE'!$C$5:$C$186,C184)-1</x:f>
        <x:v>0</x:v>
      </x:c>
      <x:c r="H184" s="12" t="n">
        <x:f>IF(AND(COUNTIF('03_NICE'!$A$5:$A$57,B184)+COUNTIF('04_TKS'!$A$5:$A$72,B184)=1,COUNTIF('03_NICE'!$A$5:$A$57,C184)+COUNTIF('04_TKS'!$A$5:$A$72,C184)=1),0,1)</x:f>
        <x:v>0</x:v>
      </x:c>
    </x:row>
    <x:row r="185" ht="47" customHeight="1">
      <x:c r="A185" s="4" t="str">
        <x:v>RN-181</x:v>
      </x:c>
      <x:c r="B185" s="4" t="str">
        <x:v>NF-COM-002</x:v>
      </x:c>
      <x:c r="C185" s="4" t="str">
        <x:v>S0958</x:v>
      </x:c>
      <x:c r="D185" s="4" t="str">
        <x:v>projection</x:v>
      </x:c>
      <x:c r="E185" s="4" t="str">
        <x:v>SP_800_181_2_2_0</x:v>
      </x:c>
      <x:c r="F185" s="4" t="str">
        <x:v>F001 / 2.2.0</x:v>
      </x:c>
      <x:c r="G185" s="12" t="n">
        <x:f>COUNTIFS('13_Relaciones_NICE'!$B$5:$B$186,B185,'13_Relaciones_NICE'!$C$5:$C$186,C185)-1</x:f>
        <x:v>0</x:v>
      </x:c>
      <x:c r="H185" s="12" t="n">
        <x:f>IF(AND(COUNTIF('03_NICE'!$A$5:$A$57,B185)+COUNTIF('04_TKS'!$A$5:$A$72,B185)=1,COUNTIF('03_NICE'!$A$5:$A$57,C185)+COUNTIF('04_TKS'!$A$5:$A$72,C185)=1),0,1)</x:f>
        <x:v>0</x:v>
      </x:c>
    </x:row>
    <x:row r="186" ht="47" customHeight="1">
      <x:c r="A186" s="4" t="str">
        <x:v>RN-182</x:v>
      </x:c>
      <x:c r="B186" s="4" t="str">
        <x:v>NF-COM-006</x:v>
      </x:c>
      <x:c r="C186" s="4" t="str">
        <x:v>K1147</x:v>
      </x:c>
      <x:c r="D186" s="4" t="str">
        <x:v>projection</x:v>
      </x:c>
      <x:c r="E186" s="4" t="str">
        <x:v>SP_800_181_2_2_0</x:v>
      </x:c>
      <x:c r="F186" s="4" t="str">
        <x:v>F001 / 2.2.0</x:v>
      </x:c>
      <x:c r="G186" s="12" t="n">
        <x:f>COUNTIFS('13_Relaciones_NICE'!$B$5:$B$186,B186,'13_Relaciones_NICE'!$C$5:$C$186,C186)-1</x:f>
        <x:v>0</x:v>
      </x:c>
      <x:c r="H186" s="12" t="n">
        <x:f>IF(AND(COUNTIF('03_NICE'!$A$5:$A$57,B186)+COUNTIF('04_TKS'!$A$5:$A$72,B186)=1,COUNTIF('03_NICE'!$A$5:$A$57,C186)+COUNTIF('04_TKS'!$A$5:$A$72,C186)=1),0,1)</x:f>
        <x:v>0</x:v>
      </x:c>
    </x:row>
  </x:sheetData>
  <x:mergeCells>
    <x:mergeCell ref="A1:D1"/>
    <x:mergeCell ref="A2:F2"/>
  </x:mergeCells>
  <x:pageMargins left="0.7" right="0.7" top="0.75" bottom="0.75" header="0.3" footer="0.3"/>
  <x:tableParts count="1">
    <x:tablePart xmlns:r="http://schemas.openxmlformats.org/officeDocument/2006/relationships" r:id="R6fcff26559e64fbd"/>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0" hidden="0" customWidth="1"/>
    <x:col min="2" max="2" width="19" hidden="0" customWidth="1"/>
    <x:col min="3" max="3" width="48" hidden="0" customWidth="1"/>
    <x:col min="4" max="4" width="47" hidden="0" customWidth="1"/>
    <x:col min="5" max="5" width="33" hidden="0" customWidth="1"/>
    <x:col min="6" max="6" width="61" hidden="0" customWidth="1"/>
    <x:col min="7" max="7" width="65" hidden="0" customWidth="1"/>
    <x:col min="8" max="8" width="39" hidden="0" customWidth="1"/>
    <x:col min="9" max="9" width="79" hidden="0" customWidth="1"/>
    <x:col min="10" max="10" width="82" hidden="0" customWidth="1"/>
    <x:col min="11" max="11" width="29" hidden="0" customWidth="1"/>
  </x:cols>
  <x:sheetData>
    <x:row r="1" ht="35" customHeight="1">
      <x:c r="A1" s="6" t="str">
        <x:v>DECISIÓN PROPUESTA · base universitaria y países</x:v>
      </x:c>
      <x:c r="B1" s="6"/>
      <x:c r="C1" s="6"/>
      <x:c r="D1" s="6"/>
      <x:c r="E1" s="6"/>
      <x:c r="F1" s="6"/>
      <x:c r="G1" s="6"/>
      <x:c r="H1" s="6"/>
      <x:c r="I1" s="6"/>
      <x:c r="J1" s="6"/>
      <x:c r="K1" s="6"/>
    </x:row>
    <x:row r="2" ht="52" customHeight="1">
      <x:c r="A2" s="8" t="str">
        <x:v>Comparación cualitativa. España es el país vector propuesto; URJC es el plan concreto. Ningún programa representa por sí solo a su país.</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x:v>
      </x:c>
      <x:c r="B4" s="10" t="str">
        <x:v>País</x:v>
      </x:c>
      <x:c r="C4" s="10" t="str">
        <x:v>Programa</x:v>
      </x:c>
      <x:c r="D4" s="10" t="str">
        <x:v>Edición / identidad</x:v>
      </x:c>
      <x:c r="E4" s="10" t="str">
        <x:v>Nivel y carga</x:v>
      </x:c>
      <x:c r="F4" s="10" t="str">
        <x:v>Aportación educativa</x:v>
      </x:c>
      <x:c r="G4" s="10" t="str">
        <x:v>Lectura efectuada</x:v>
      </x:c>
      <x:c r="H4" s="10" t="str">
        <x:v>Propuesta</x:v>
      </x:c>
      <x:c r="I4" s="10" t="str">
        <x:v>Justificación</x:v>
      </x:c>
      <x:c r="J4" s="10" t="str">
        <x:v>Reserva</x:v>
      </x:c>
      <x:c r="K4" s="10" t="str">
        <x:v>Fuentes</x:v>
      </x:c>
    </x:row>
    <x:row r="5" ht="47" customHeight="1">
      <x:c r="A5" s="4" t="str">
        <x:v>P01</x:v>
      </x:c>
      <x:c r="B5" s="4" t="str">
        <x:v>España</x:v>
      </x:c>
      <x:c r="C5" s="4" t="str">
        <x:v>URJC · Grado en Ingeniería de la Ciberseguridad</x:v>
      </x:c>
      <x:c r="D5" s="4" t="str">
        <x:v>2026–27 · titulación 2285; RUCT 2503408</x:v>
      </x:c>
      <x:c r="E5" s="4" t="str">
        <x:v>Grado · 4 años · 240 ECTS</x:v>
      </x:c>
      <x:c r="F5" s="4" t="str">
        <x:v>Base matemática e informática, seguridad, gobierno y práctica integradora.</x:v>
      </x:c>
      <x:c r="G5" s="4" t="str">
        <x:v>40 asignaturas; guías individuales y plan completos identificados.</x:v>
      </x:c>
      <x:c r="H5" s="4" t="str">
        <x:v>RECTOR PROPUESTO</x:v>
      </x:c>
      <x:c r="I5" s="4" t="str">
        <x:v>Plan base con progresión explícita y fuentes de asignatura. La elección es de diseño documental, no un ranking mundial.</x:v>
      </x:c>
      <x:c r="J5" s="4" t="str">
        <x:v>No es un currículo nacional único ni acredita por sí solo aceptación internacional. IA avanzada necesita complemento.</x:v>
      </x:c>
      <x:c r="K5" s="4" t="str">
        <x:v>E001; E011; R001–R040</x:v>
      </x:c>
    </x:row>
    <x:row r="6" ht="47" customHeight="1">
      <x:c r="A6" s="4" t="str">
        <x:v>P02</x:v>
      </x:c>
      <x:c r="B6" s="4" t="str">
        <x:v>Reino Unido</x:v>
      </x:c>
      <x:c r="C6" s="4" t="str">
        <x:v>Warwick · BSc Cyber Security</x:v>
      </x:c>
      <x:c r="D6" s="4" t="str">
        <x:v>Presentación de ingreso 2027; guías consultadas 2026–27</x:v>
      </x:c>
      <x:c r="E6" s="4" t="str">
        <x:v>Grado · 3 años</x:v>
      </x:c>
      <x:c r="F6" s="4" t="str">
        <x:v>Formación técnica y factores humanos; resultados de aprendizaje observables.</x:v>
      </x:c>
      <x:c r="G6" s="4" t="str">
        <x:v>16 guías de cursos 1–2 recuperadas; 9 códigos de tercero sin guía 2026–27.</x:v>
      </x:c>
      <x:c r="H6" s="4" t="str">
        <x:v>COMPARADOR Y COMPLEMENTO SELECTIVO</x:v>
      </x:c>
      <x:c r="I6" s="4" t="str">
        <x:v>Profundiza evaluación de usabilidad, factores humanos e investigación.</x:v>
      </x:c>
      <x:c r="J6" s="4" t="str">
        <x:v>No se mezcla la página de ingreso 2027 con un plan íntegro 2026–27. Certificación NCSC/BCS declarada por la universidad.</x:v>
      </x:c>
      <x:c r="K6" s="4" t="str">
        <x:v>E005; W001–W025</x:v>
      </x:c>
    </x:row>
    <x:row r="7" ht="47" customHeight="1">
      <x:c r="A7" s="4" t="str">
        <x:v>P03</x:v>
      </x:c>
      <x:c r="B7" s="4" t="str">
        <x:v>Australia</x:v>
      </x:c>
      <x:c r="C7" s="4" t="str">
        <x:v>UNSW Canberra · Bachelor of Cyber Security, 4490</x:v>
      </x:c>
      <x:c r="D7" s="4" t="str">
        <x:v>Handbook 2026.05; estructura 2026.02.010</x:v>
      </x:c>
      <x:c r="E7" s="4" t="str">
        <x:v>Grado · 144 UOC</x:v>
      </x:c>
      <x:c r="F7" s="4" t="str">
        <x:v>Base de ciberseguridad y minor Intelligent Cyber Security.</x:v>
      </x:c>
      <x:c r="G7" s="4" t="str">
        <x:v>Estructura y resultados de programa; minor y guías de ML, DL e IA confiable.</x:v>
      </x:c>
      <x:c r="H7" s="4" t="str">
        <x:v>COMPLEMENTO EDUCATIVO PROPUESTO</x:v>
      </x:c>
      <x:c r="I7" s="4" t="str">
        <x:v>Aporta formación específica en evaluación e implementación de IA aplicada a ciberseguridad.</x:v>
      </x:c>
      <x:c r="J7" s="4" t="str">
        <x:v>UOC no se convierten a ECTS. Proyecto 2 enlazado como 2027 no se incorpora al corte 2026.</x:v>
      </x:c>
      <x:c r="K7" s="4" t="str">
        <x:v>E013; N020; M001–M004</x:v>
      </x:c>
    </x:row>
    <x:row r="8" ht="47" customHeight="1">
      <x:c r="A8" s="4" t="str">
        <x:v>P04</x:v>
      </x:c>
      <x:c r="B8" s="4" t="str">
        <x:v>Canadá</x:v>
      </x:c>
      <x:c r="C8" s="4" t="str">
        <x:v>Guelph · Master of Cybersecurity and Threat Intelligence</x:v>
      </x:c>
      <x:c r="D8" s="4" t="str">
        <x:v>Calendar consultado 08-09-2026; sin edición anual visible en extracto</x:v>
      </x:c>
      <x:c r="E8" s="4" t="str">
        <x:v>Máster · mínimo 4,00 créditos propios</x:v>
      </x:c>
      <x:c r="F8" s="4" t="str">
        <x:v>SOC docente, forense, búsqueda de amenazas, práctica y reflexión profesional.</x:v>
      </x:c>
      <x:c r="G8" s="4" t="str">
        <x:v>Requisitos del programa y 10 fichas de curso.</x:v>
      </x:c>
      <x:c r="H8" s="4" t="str">
        <x:v>COMPLEMENTO SELECTIVO PROPUESTO</x:v>
      </x:c>
      <x:c r="I8" s="4" t="str">
        <x:v>Hunting queda como contraste de contenido ya presente en URJC; el proyecto aporta un patrón de integración investigadora.</x:v>
      </x:c>
      <x:c r="J8" s="4" t="str">
        <x:v>CIS*6540 reproduce descripción de CIS*6530; se aparta su temario. CIS*6530 tiene títulos distintos entre páginas.</x:v>
      </x:c>
      <x:c r="K8" s="4" t="str">
        <x:v>E006; G001–G010</x:v>
      </x:c>
    </x:row>
    <x:row r="9" ht="47" customHeight="1">
      <x:c r="A9" s="4" t="str">
        <x:v>P05</x:v>
      </x:c>
      <x:c r="B9" s="4" t="str">
        <x:v>Estados Unidos</x:v>
      </x:c>
      <x:c r="C9" s="4" t="str">
        <x:v>Carnegie Mellon · MSISPM</x:v>
      </x:c>
      <x:c r="D9" s="4" t="str">
        <x:v>Handbook Addendum 2026–2027</x:v>
      </x:c>
      <x:c r="E9" s="4" t="str">
        <x:v>Máster · 192 unidades propias</x:v>
      </x:c>
      <x:c r="F9" s="4" t="str">
        <x:v>Seguridad, economía, decisión bajo incertidumbre, política y práctica.</x:v>
      </x:c>
      <x:c r="G9" s="4" t="str">
        <x:v>Plan requerido, optativas, prácticas y proyecto en manual pp. 4–10.</x:v>
      </x:c>
      <x:c r="H9" s="4" t="str">
        <x:v>CONTRASTE ECONÓMICO; PROFUNDIZACIÓN IDENTIFICADA</x:v>
      </x:c>
      <x:c r="I9" s="4" t="str">
        <x:v>95-710 y 95-760 refuerzan la exigencia de valorar decisiones y recursos; no prueban un vacío total de economía en URJC.</x:v>
      </x:c>
      <x:c r="J9" s="4" t="str">
        <x:v>Guías detalladas de esos cursos no leídas: no se adjudican temarios ni resultados específicos. Unidades no convertidas a ECTS.</x:v>
      </x:c>
      <x:c r="K9" s="4" t="str">
        <x:v>E008</x:v>
      </x:c>
    </x:row>
    <x:row r="10" ht="47" customHeight="1">
      <x:c r="A10" s="4" t="str">
        <x:v>P06</x:v>
      </x:c>
      <x:c r="B10" s="4" t="str">
        <x:v>España</x:v>
      </x:c>
      <x:c r="C10" s="4" t="str">
        <x:v>UPC · Master’s degree in Cybersecurity</x:v>
      </x:c>
      <x:c r="D10" s="4" t="str">
        <x:v>Página institucional consultada 08-09-2026</x:v>
      </x:c>
      <x:c r="E10" s="4" t="str">
        <x:v>Máster · especialización posterior a formación técnica</x:v>
      </x:c>
      <x:c r="F10" s="4" t="str">
        <x:v>Ingeniería, redes, datos, software, gestión y opciones avanzadas.</x:v>
      </x:c>
      <x:c r="G10" s="4" t="str">
        <x:v>Estructura general y competencias del programa; no todas las guías.</x:v>
      </x:c>
      <x:c r="H10" s="4" t="str">
        <x:v>CONTRASTE; NO SEGUNDO RECTOR</x:v>
      </x:c>
      <x:c r="I10" s="4" t="str">
        <x:v>Contrasta profundidad ingenieril; se retiene la base de grado para no omitir fundamentos.</x:v>
      </x:c>
      <x:c r="J10" s="4" t="str">
        <x:v>Un título de asignatura no acredita eBPF, P4, privacidad federada ni una evaluación práctica concreta.</x:v>
      </x:c>
      <x:c r="K10" s="4" t="str">
        <x:v>E009; F006</x:v>
      </x:c>
    </x:row>
    <x:row r="11" ht="47" customHeight="1">
      <x:c r="A11" s="4" t="str">
        <x:v>P07</x:v>
      </x:c>
      <x:c r="B11" s="4" t="str">
        <x:v>España</x:v>
      </x:c>
      <x:c r="C11" s="4" t="str">
        <x:v>UC3M · Máster Universitario en Ciberseguridad</x:v>
      </x:c>
      <x:c r="D11" s="4" t="str">
        <x:v>Antecedente v0.1; nueva consulta de página fallida</x:v>
      </x:c>
      <x:c r="E11" s="4" t="str">
        <x:v>Máster · referencia por desarrollar</x:v>
      </x:c>
      <x:c r="F11" s="4" t="str">
        <x:v>Especialización en ataque, defensa y gestión.</x:v>
      </x:c>
      <x:c r="G11" s="4" t="str">
        <x:v>Antecedente parcial; no se declara extraído un plan anual completo.</x:v>
      </x:c>
      <x:c r="H11" s="4" t="str">
        <x:v>RESERVA DOCUMENTAL</x:v>
      </x:c>
      <x:c r="I11" s="4" t="str">
        <x:v>Se conserva como candidato de comparación, sin usarlo para decidir rector ni completar vacíos.</x:v>
      </x:c>
      <x:c r="J11" s="4" t="str">
        <x:v>No transformar un fallo de acceso en ausencia curricular.</x:v>
      </x:c>
      <x:c r="K11" s="4" t="str">
        <x:v>F008; E010</x:v>
      </x:c>
    </x:row>
  </x:sheetData>
  <x:mergeCells>
    <x:mergeCell ref="A1:D1"/>
    <x:mergeCell ref="A2:F2"/>
  </x:mergeCells>
  <x:pageMargins left="0.7" right="0.7" top="0.75" bottom="0.75" header="0.3" footer="0.3"/>
  <x:tableParts count="1">
    <x:tablePart xmlns:r="http://schemas.openxmlformats.org/officeDocument/2006/relationships" r:id="R9f1a232ea03a442c"/>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46" hidden="0" customWidth="1"/>
    <x:col min="4" max="4" width="10" hidden="0" customWidth="1"/>
    <x:col min="5" max="5" width="17" hidden="0" customWidth="1"/>
    <x:col min="6" max="6" width="16" hidden="0" customWidth="1"/>
    <x:col min="7" max="7" width="25" hidden="0" customWidth="1"/>
    <x:col min="8" max="8" width="13" hidden="0" customWidth="1"/>
    <x:col min="9" max="9" width="63" hidden="0" customWidth="1"/>
    <x:col min="10" max="10" width="66" hidden="0" customWidth="1"/>
    <x:col min="11" max="11" width="60" hidden="0" customWidth="1"/>
    <x:col min="12" max="12" width="51" hidden="0" customWidth="1"/>
    <x:col min="13" max="13" width="12" hidden="0" customWidth="1"/>
    <x:col min="14" max="14" width="49" hidden="0" customWidth="1"/>
    <x:col min="15" max="15" width="49" hidden="0" customWidth="1"/>
    <x:col min="16" max="16" width="18" hidden="0" customWidth="1"/>
    <x:col min="17" max="17" width="13" hidden="0" customWidth="1"/>
    <x:col min="18" max="18" width="20" hidden="0" customWidth="1"/>
    <x:col min="19" max="19" width="23" hidden="0" customWidth="1"/>
  </x:cols>
  <x:sheetData>
    <x:row r="1" ht="35" customHeight="1">
      <x:c r="A1" s="6" t="str">
        <x:v>BASE UNIVERSITARIA · 40 asignaturas del plan URJC</x:v>
      </x:c>
      <x:c r="B1" s="6"/>
      <x:c r="C1" s="6"/>
      <x:c r="D1" s="6"/>
      <x:c r="E1" s="6"/>
      <x:c r="F1" s="6"/>
      <x:c r="G1" s="6"/>
      <x:c r="H1" s="6"/>
      <x:c r="I1" s="6"/>
      <x:c r="J1" s="6"/>
      <x:c r="K1" s="6"/>
      <x:c r="L1" s="6"/>
      <x:c r="M1" s="6"/>
      <x:c r="N1" s="6"/>
      <x:c r="O1" s="6"/>
      <x:c r="P1" s="6"/>
      <x:c r="Q1" s="6"/>
      <x:c r="R1" s="6"/>
      <x:c r="S1" s="6"/>
    </x:row>
    <x:row r="2" ht="52" customHeight="1">
      <x:c r="A2" s="8" t="str">
        <x:v>Unidad de inventario = asignatura, no parámetro. Síntesis en español de Watson. Los códigos CG/CE se extraen de cada guía; no se normalizan silenciosamente.</x:v>
      </x:c>
      <x:c r="B2" s="8"/>
      <x:c r="C2" s="8"/>
      <x:c r="D2" s="8"/>
      <x:c r="E2" s="8"/>
      <x:c r="F2" s="8"/>
      <x:c r="G2" s="8"/>
      <x:c r="H2" s="8"/>
      <x:c r="I2" s="8"/>
      <x:c r="J2" s="8"/>
      <x:c r="K2" s="8"/>
      <x:c r="L2" s="8"/>
      <x:c r="M2" s="8"/>
      <x:c r="N2" s="8"/>
      <x:c r="O2" s="8"/>
      <x:c r="P2" s="8"/>
      <x:c r="Q2" s="8"/>
      <x:c r="R2" s="8"/>
      <x:c r="S2" s="8"/>
    </x:row>
    <x:row r="3">
      <x:c r="A3" s="4"/>
      <x:c r="B3" s="4"/>
      <x:c r="C3" s="4"/>
      <x:c r="D3" s="4"/>
      <x:c r="E3" s="4"/>
      <x:c r="F3" s="4"/>
      <x:c r="G3" s="4"/>
      <x:c r="H3" s="4"/>
      <x:c r="I3" s="4"/>
      <x:c r="J3" s="4"/>
      <x:c r="K3" s="4"/>
      <x:c r="L3" s="4"/>
      <x:c r="M3" s="4"/>
      <x:c r="N3" s="4"/>
      <x:c r="O3" s="4"/>
      <x:c r="P3" s="4"/>
      <x:c r="Q3" s="4"/>
      <x:c r="R3" s="4"/>
      <x:c r="S3" s="4"/>
    </x:row>
    <x:row r="4" ht="42" customHeight="1">
      <x:c r="A4" s="10" t="str">
        <x:v>ID local</x:v>
      </x:c>
      <x:c r="B4" s="10" t="str">
        <x:v>Código oficial</x:v>
      </x:c>
      <x:c r="C4" s="10" t="str">
        <x:v>Asignatura oficial</x:v>
      </x:c>
      <x:c r="D4" s="10" t="str">
        <x:v>Curso</x:v>
      </x:c>
      <x:c r="E4" s="10" t="str">
        <x:v>Semestre</x:v>
      </x:c>
      <x:c r="F4" s="10" t="str">
        <x:v>ECTS originales</x:v>
      </x:c>
      <x:c r="G4" s="10" t="str">
        <x:v>Carácter</x:v>
      </x:c>
      <x:c r="H4" s="10" t="str">
        <x:v>Familia local</x:v>
      </x:c>
      <x:c r="I4" s="10" t="str">
        <x:v>Conocimiento · síntesis</x:v>
      </x:c>
      <x:c r="J4" s="10" t="str">
        <x:v>Saber hacer · síntesis</x:v>
      </x:c>
      <x:c r="K4" s="10" t="str">
        <x:v>Forma educativa · síntesis</x:v>
      </x:c>
      <x:c r="L4" s="10" t="str">
        <x:v>Resultados identificados</x:v>
      </x:c>
      <x:c r="M4" s="10" t="str">
        <x:v>Guía</x:v>
      </x:c>
      <x:c r="N4" s="10" t="str">
        <x:v>Localizador</x:v>
      </x:c>
      <x:c r="O4" s="10" t="str">
        <x:v>Estado</x:v>
      </x:c>
      <x:c r="P4" s="10" t="str">
        <x:v>ECTS calculados</x:v>
      </x:c>
      <x:c r="Q4" s="10" t="str">
        <x:v>Duplicado</x:v>
      </x:c>
      <x:c r="R4" s="10" t="str">
        <x:v>Referencia ausente</x:v>
      </x:c>
      <x:c r="S4" s="10" t="str">
        <x:v>Fuente no admisible</x:v>
      </x:c>
    </x:row>
    <x:row r="5" ht="47" customHeight="1">
      <x:c r="A5" s="4" t="str">
        <x:v>URJC-01</x:v>
      </x:c>
      <x:c r="B5" s="4" t="str">
        <x:v>2285001</x:v>
      </x:c>
      <x:c r="C5" s="4" t="str">
        <x:v>FUNDAMENTOS FISICOS DE LA INFORMATICA</x:v>
      </x:c>
      <x:c r="D5" s="4" t="str">
        <x:v>1</x:v>
      </x:c>
      <x:c r="E5" s="4" t="str">
        <x:v>Primero</x:v>
      </x:c>
      <x:c r="F5" s="4" t="str">
        <x:v>6</x:v>
      </x:c>
      <x:c r="G5" s="4" t="str">
        <x:v>FORMACIÓN BÁSICA</x:v>
      </x:c>
      <x:c r="H5" s="4" t="str">
        <x:v>F01</x:v>
      </x:c>
      <x:c r="I5" s="4" t="str">
        <x:v>Electromagnetismo; circuitos; semiconductores; lógica digital.</x:v>
      </x:c>
      <x:c r="J5" s="4" t="str">
        <x:v>Resolver circuitos y analizar máquinas de estados.</x:v>
      </x:c>
      <x:c r="K5" s="4" t="str">
        <x:v>Laboratorio y resolución de problemas.</x:v>
      </x:c>
      <x:c r="L5" s="4" t="str">
        <x:v>CE36; CG1; CG10; CG15; CG16; CG17; CG18; CG2; CG5</x:v>
      </x:c>
      <x:c r="M5" s="4" t="str">
        <x:v>R001</x:v>
      </x:c>
      <x:c r="N5" s="4" t="str">
        <x:v>II; III (códigos); IV; actividad académica según guía</x:v>
      </x:c>
      <x:c r="O5" s="4" t="str">
        <x:v>LECTURA CURRICULAR; ADOPCIÓN NO REGISTRADA</x:v>
      </x:c>
      <x:c r="P5" s="12" t="n">
        <x:f>VALUE(F5)</x:f>
        <x:v>6</x:v>
      </x:c>
      <x:c r="Q5" s="12" t="n">
        <x:f>COUNTIF('15_Base_universitaria'!$A$5:$A$44,A5)+COUNTIF('15_Base_universitaria'!$B$5:$B$44,B5)-2</x:f>
        <x:v>0</x:v>
      </x:c>
      <x:c r="R5" s="12" t="n">
        <x:f>IF(COUNTIF('21_Fuentes_educativas'!$A$5:$A$188,M5)=1,0,1)</x:f>
        <x:v>0</x:v>
      </x:c>
      <x:c r="S5" s="12" t="n">
        <x:f>IF(COUNTIFS('21_Fuentes_educativas'!$A$5:$A$188,M5,'21_Fuentes_educativas'!$J$5:$J$188,"CURRICULAR_REVISADA")+COUNTIFS('21_Fuentes_educativas'!$A$5:$A$188,M5,'21_Fuentes_educativas'!$J$5:$J$188,"TRANSVERSAL_IDENTIFICADA")=1,0,1)</x:f>
        <x:v>0</x:v>
      </x:c>
    </x:row>
    <x:row r="6" ht="47" customHeight="1">
      <x:c r="A6" s="4" t="str">
        <x:v>URJC-02</x:v>
      </x:c>
      <x:c r="B6" s="4" t="str">
        <x:v>2285002</x:v>
      </x:c>
      <x:c r="C6" s="4" t="str">
        <x:v>INTRODUCCION A LA CIBERSEGURIDAD</x:v>
      </x:c>
      <x:c r="D6" s="4" t="str">
        <x:v>1</x:v>
      </x:c>
      <x:c r="E6" s="4" t="str">
        <x:v>Primero</x:v>
      </x:c>
      <x:c r="F6" s="4" t="str">
        <x:v>6</x:v>
      </x:c>
      <x:c r="G6" s="4" t="str">
        <x:v>OBLIGATORIA</x:v>
      </x:c>
      <x:c r="H6" s="4" t="str">
        <x:v>F02</x:v>
      </x:c>
      <x:c r="I6" s="4" t="str">
        <x:v>Principios de seguridad; sistemas; amenazas; personas y economía.</x:v>
      </x:c>
      <x:c r="J6" s="4" t="str">
        <x:v>Distinguir riesgo, amenaza y vulnerabilidad en un contexto.</x:v>
      </x:c>
      <x:c r="K6" s="4" t="str">
        <x:v>Casos y prácticas de introducción.</x:v>
      </x:c>
      <x:c r="L6" s="4" t="str">
        <x:v>CE03; CE13; CE16; CE19; CG15; CG16; CG17; CG18; CG4; CG7; CG8</x:v>
      </x:c>
      <x:c r="M6" s="4" t="str">
        <x:v>R002</x:v>
      </x:c>
      <x:c r="N6" s="4" t="str">
        <x:v>II; III (códigos); IV; actividad académica según guía</x:v>
      </x:c>
      <x:c r="O6" s="4" t="str">
        <x:v>LECTURA CURRICULAR; ADOPCIÓN NO REGISTRADA</x:v>
      </x:c>
      <x:c r="P6" s="12" t="n">
        <x:f>VALUE(F6)</x:f>
        <x:v>6</x:v>
      </x:c>
      <x:c r="Q6" s="12" t="n">
        <x:f>COUNTIF('15_Base_universitaria'!$A$5:$A$44,A6)+COUNTIF('15_Base_universitaria'!$B$5:$B$44,B6)-2</x:f>
        <x:v>0</x:v>
      </x:c>
      <x:c r="R6" s="12" t="n">
        <x:f>IF(COUNTIF('21_Fuentes_educativas'!$A$5:$A$188,M6)=1,0,1)</x:f>
        <x:v>0</x:v>
      </x:c>
      <x:c r="S6" s="12" t="n">
        <x:f>IF(COUNTIFS('21_Fuentes_educativas'!$A$5:$A$188,M6,'21_Fuentes_educativas'!$J$5:$J$188,"CURRICULAR_REVISADA")+COUNTIFS('21_Fuentes_educativas'!$A$5:$A$188,M6,'21_Fuentes_educativas'!$J$5:$J$188,"TRANSVERSAL_IDENTIFICADA")=1,0,1)</x:f>
        <x:v>0</x:v>
      </x:c>
    </x:row>
    <x:row r="7" ht="47" customHeight="1">
      <x:c r="A7" s="4" t="str">
        <x:v>URJC-03</x:v>
      </x:c>
      <x:c r="B7" s="4" t="str">
        <x:v>2285003</x:v>
      </x:c>
      <x:c r="C7" s="4" t="str">
        <x:v>INTRODUCCION A LA PROGRAMACION</x:v>
      </x:c>
      <x:c r="D7" s="4" t="str">
        <x:v>1</x:v>
      </x:c>
      <x:c r="E7" s="4" t="str">
        <x:v>Primero</x:v>
      </x:c>
      <x:c r="F7" s="4" t="str">
        <x:v>6</x:v>
      </x:c>
      <x:c r="G7" s="4" t="str">
        <x:v>FORMACIÓN BÁSICA</x:v>
      </x:c>
      <x:c r="H7" s="4" t="str">
        <x:v>F03</x:v>
      </x:c>
      <x:c r="I7" s="4" t="str">
        <x:v>Tipos; control; punteros; memoria; funciones y ficheros.</x:v>
      </x:c>
      <x:c r="J7" s="4" t="str">
        <x:v>Construir programas y comprobar su comportamiento.</x:v>
      </x:c>
      <x:c r="K7" s="4" t="str">
        <x:v>Programación práctica y pruebas.</x:v>
      </x:c>
      <x:c r="L7" s="4" t="str">
        <x:v>CE04; CE06; CG1; CG10; CG12; CG15; CG16; CG17; CG18; CG2; CG3; CG4; CG5</x:v>
      </x:c>
      <x:c r="M7" s="4" t="str">
        <x:v>R003</x:v>
      </x:c>
      <x:c r="N7" s="4" t="str">
        <x:v>II; III (códigos); IV; actividad académica según guía</x:v>
      </x:c>
      <x:c r="O7" s="4" t="str">
        <x:v>LECTURA CURRICULAR; ADOPCIÓN NO REGISTRADA</x:v>
      </x:c>
      <x:c r="P7" s="12" t="n">
        <x:f>VALUE(F7)</x:f>
        <x:v>6</x:v>
      </x:c>
      <x:c r="Q7" s="12" t="n">
        <x:f>COUNTIF('15_Base_universitaria'!$A$5:$A$44,A7)+COUNTIF('15_Base_universitaria'!$B$5:$B$44,B7)-2</x:f>
        <x:v>0</x:v>
      </x:c>
      <x:c r="R7" s="12" t="n">
        <x:f>IF(COUNTIF('21_Fuentes_educativas'!$A$5:$A$188,M7)=1,0,1)</x:f>
        <x:v>0</x:v>
      </x:c>
      <x:c r="S7" s="12" t="n">
        <x:f>IF(COUNTIFS('21_Fuentes_educativas'!$A$5:$A$188,M7,'21_Fuentes_educativas'!$J$5:$J$188,"CURRICULAR_REVISADA")+COUNTIFS('21_Fuentes_educativas'!$A$5:$A$188,M7,'21_Fuentes_educativas'!$J$5:$J$188,"TRANSVERSAL_IDENTIFICADA")=1,0,1)</x:f>
        <x:v>0</x:v>
      </x:c>
    </x:row>
    <x:row r="8" ht="47" customHeight="1">
      <x:c r="A8" s="4" t="str">
        <x:v>URJC-04</x:v>
      </x:c>
      <x:c r="B8" s="4" t="str">
        <x:v>2285004</x:v>
      </x:c>
      <x:c r="C8" s="4" t="str">
        <x:v>LOGICA</x:v>
      </x:c>
      <x:c r="D8" s="4" t="str">
        <x:v>1</x:v>
      </x:c>
      <x:c r="E8" s="4" t="str">
        <x:v>Primero</x:v>
      </x:c>
      <x:c r="F8" s="4" t="str">
        <x:v>6</x:v>
      </x:c>
      <x:c r="G8" s="4" t="str">
        <x:v>FORMACIÓN BÁSICA</x:v>
      </x:c>
      <x:c r="H8" s="4" t="str">
        <x:v>F01</x:v>
      </x:c>
      <x:c r="I8" s="4" t="str">
        <x:v>Lógica proposicional y de primer orden; deducción; tipos.</x:v>
      </x:c>
      <x:c r="J8" s="4" t="str">
        <x:v>Formalizar razonamientos y comprobar su corrección.</x:v>
      </x:c>
      <x:c r="K8" s="4" t="str">
        <x:v>Ejercicios y programación lógica.</x:v>
      </x:c>
      <x:c r="L8" s="4" t="str">
        <x:v>CE01; CE02; CG1; CG10; CG15; CG16; CG17; CG18; CG3; CG5</x:v>
      </x:c>
      <x:c r="M8" s="4" t="str">
        <x:v>R004</x:v>
      </x:c>
      <x:c r="N8" s="4" t="str">
        <x:v>II; III (códigos); IV; actividad académica según guía</x:v>
      </x:c>
      <x:c r="O8" s="4" t="str">
        <x:v>LECTURA CURRICULAR; ADOPCIÓN NO REGISTRADA</x:v>
      </x:c>
      <x:c r="P8" s="12" t="n">
        <x:f>VALUE(F8)</x:f>
        <x:v>6</x:v>
      </x:c>
      <x:c r="Q8" s="12" t="n">
        <x:f>COUNTIF('15_Base_universitaria'!$A$5:$A$44,A8)+COUNTIF('15_Base_universitaria'!$B$5:$B$44,B8)-2</x:f>
        <x:v>0</x:v>
      </x:c>
      <x:c r="R8" s="12" t="n">
        <x:f>IF(COUNTIF('21_Fuentes_educativas'!$A$5:$A$188,M8)=1,0,1)</x:f>
        <x:v>0</x:v>
      </x:c>
      <x:c r="S8" s="12" t="n">
        <x:f>IF(COUNTIFS('21_Fuentes_educativas'!$A$5:$A$188,M8,'21_Fuentes_educativas'!$J$5:$J$188,"CURRICULAR_REVISADA")+COUNTIFS('21_Fuentes_educativas'!$A$5:$A$188,M8,'21_Fuentes_educativas'!$J$5:$J$188,"TRANSVERSAL_IDENTIFICADA")=1,0,1)</x:f>
        <x:v>0</x:v>
      </x:c>
    </x:row>
    <x:row r="9" ht="47" customHeight="1">
      <x:c r="A9" s="4" t="str">
        <x:v>URJC-05</x:v>
      </x:c>
      <x:c r="B9" s="4" t="str">
        <x:v>2285005</x:v>
      </x:c>
      <x:c r="C9" s="4" t="str">
        <x:v>MATEMATICA DISCRETA Y ALGEBRA</x:v>
      </x:c>
      <x:c r="D9" s="4" t="str">
        <x:v>1</x:v>
      </x:c>
      <x:c r="E9" s="4" t="str">
        <x:v>Primero</x:v>
      </x:c>
      <x:c r="F9" s="4" t="str">
        <x:v>6</x:v>
      </x:c>
      <x:c r="G9" s="4" t="str">
        <x:v>FORMACIÓN BÁSICA</x:v>
      </x:c>
      <x:c r="H9" s="4" t="str">
        <x:v>F01</x:v>
      </x:c>
      <x:c r="I9" s="4" t="str">
        <x:v>Álgebra lineal; aritmética modular; combinatoria; grafos.</x:v>
      </x:c>
      <x:c r="J9" s="4" t="str">
        <x:v>Resolver sistemas y usar estructuras discretas.</x:v>
      </x:c>
      <x:c r="K9" s="4" t="str">
        <x:v>Problemas matemáticos razonados.</x:v>
      </x:c>
      <x:c r="L9" s="4" t="str">
        <x:v>CE01; CE02; CG1; CG10; CG15; CG16; CG17; CG18; CG3; CG5</x:v>
      </x:c>
      <x:c r="M9" s="4" t="str">
        <x:v>R005</x:v>
      </x:c>
      <x:c r="N9" s="4" t="str">
        <x:v>II; III (códigos); IV; actividad académica según guía</x:v>
      </x:c>
      <x:c r="O9" s="4" t="str">
        <x:v>LECTURA CURRICULAR; ADOPCIÓN NO REGISTRADA</x:v>
      </x:c>
      <x:c r="P9" s="12" t="n">
        <x:f>VALUE(F9)</x:f>
        <x:v>6</x:v>
      </x:c>
      <x:c r="Q9" s="12" t="n">
        <x:f>COUNTIF('15_Base_universitaria'!$A$5:$A$44,A9)+COUNTIF('15_Base_universitaria'!$B$5:$B$44,B9)-2</x:f>
        <x:v>0</x:v>
      </x:c>
      <x:c r="R9" s="12" t="n">
        <x:f>IF(COUNTIF('21_Fuentes_educativas'!$A$5:$A$188,M9)=1,0,1)</x:f>
        <x:v>0</x:v>
      </x:c>
      <x:c r="S9" s="12" t="n">
        <x:f>IF(COUNTIFS('21_Fuentes_educativas'!$A$5:$A$188,M9,'21_Fuentes_educativas'!$J$5:$J$188,"CURRICULAR_REVISADA")+COUNTIFS('21_Fuentes_educativas'!$A$5:$A$188,M9,'21_Fuentes_educativas'!$J$5:$J$188,"TRANSVERSAL_IDENTIFICADA")=1,0,1)</x:f>
        <x:v>0</x:v>
      </x:c>
    </x:row>
    <x:row r="10" ht="47" customHeight="1">
      <x:c r="A10" s="4" t="str">
        <x:v>URJC-06</x:v>
      </x:c>
      <x:c r="B10" s="4" t="str">
        <x:v>2285006</x:v>
      </x:c>
      <x:c r="C10" s="4" t="str">
        <x:v>CALCULO</x:v>
      </x:c>
      <x:c r="D10" s="4" t="str">
        <x:v>1</x:v>
      </x:c>
      <x:c r="E10" s="4" t="str">
        <x:v>Segundo</x:v>
      </x:c>
      <x:c r="F10" s="4" t="str">
        <x:v>6</x:v>
      </x:c>
      <x:c r="G10" s="4" t="str">
        <x:v>FORMACIÓN BÁSICA</x:v>
      </x:c>
      <x:c r="H10" s="4" t="str">
        <x:v>F01</x:v>
      </x:c>
      <x:c r="I10" s="4" t="str">
        <x:v>Funciones; límites; derivadas; integrales; sucesiones y series.</x:v>
      </x:c>
      <x:c r="J10" s="4" t="str">
        <x:v>Analizar modelos de variación y resolver problemas progresivos.</x:v>
      </x:c>
      <x:c r="K10" s="4" t="str">
        <x:v>Resolución de ejercicios.</x:v>
      </x:c>
      <x:c r="L10" s="4" t="str">
        <x:v>CE01; CG1; CG14; CG15; CG16; CG17; CG18; CG2; CG5</x:v>
      </x:c>
      <x:c r="M10" s="4" t="str">
        <x:v>R006</x:v>
      </x:c>
      <x:c r="N10" s="4" t="str">
        <x:v>II; III (códigos); IV; actividad académica según guía</x:v>
      </x:c>
      <x:c r="O10" s="4" t="str">
        <x:v>LECTURA CURRICULAR; ADOPCIÓN NO REGISTRADA</x:v>
      </x:c>
      <x:c r="P10" s="12" t="n">
        <x:f>VALUE(F10)</x:f>
        <x:v>6</x:v>
      </x:c>
      <x:c r="Q10" s="12" t="n">
        <x:f>COUNTIF('15_Base_universitaria'!$A$5:$A$44,A10)+COUNTIF('15_Base_universitaria'!$B$5:$B$44,B10)-2</x:f>
        <x:v>0</x:v>
      </x:c>
      <x:c r="R10" s="12" t="n">
        <x:f>IF(COUNTIF('21_Fuentes_educativas'!$A$5:$A$188,M10)=1,0,1)</x:f>
        <x:v>0</x:v>
      </x:c>
      <x:c r="S10" s="12" t="n">
        <x:f>IF(COUNTIFS('21_Fuentes_educativas'!$A$5:$A$188,M10,'21_Fuentes_educativas'!$J$5:$J$188,"CURRICULAR_REVISADA")+COUNTIFS('21_Fuentes_educativas'!$A$5:$A$188,M10,'21_Fuentes_educativas'!$J$5:$J$188,"TRANSVERSAL_IDENTIFICADA")=1,0,1)</x:f>
        <x:v>0</x:v>
      </x:c>
    </x:row>
    <x:row r="11" ht="47" customHeight="1">
      <x:c r="A11" s="4" t="str">
        <x:v>URJC-07</x:v>
      </x:c>
      <x:c r="B11" s="4" t="str">
        <x:v>2285007</x:v>
      </x:c>
      <x:c r="C11" s="4" t="str">
        <x:v>CRIPTOGRAFIA</x:v>
      </x:c>
      <x:c r="D11" s="4" t="str">
        <x:v>1</x:v>
      </x:c>
      <x:c r="E11" s="4" t="str">
        <x:v>Segundo</x:v>
      </x:c>
      <x:c r="F11" s="4" t="str">
        <x:v>6</x:v>
      </x:c>
      <x:c r="G11" s="4" t="str">
        <x:v>OBLIGATORIA</x:v>
      </x:c>
      <x:c r="H11" s="4" t="str">
        <x:v>F04</x:v>
      </x:c>
      <x:c r="I11" s="4" t="str">
        <x:v>Seguridad demostrable; cifrado; hash/MAC; firma; secretos.</x:v>
      </x:c>
      <x:c r="J11" s="4" t="str">
        <x:v>Contrastar construcciones criptográficas y su implementación.</x:v>
      </x:c>
      <x:c r="K11" s="4" t="str">
        <x:v>Problemas y análisis criptográfico.</x:v>
      </x:c>
      <x:c r="L11" s="4" t="str">
        <x:v>CE19; CE24; CE25; CG11; CG13; CG14; CG16; CG4; CG7; CG8</x:v>
      </x:c>
      <x:c r="M11" s="4" t="str">
        <x:v>R007</x:v>
      </x:c>
      <x:c r="N11" s="4" t="str">
        <x:v>II; III (códigos); IV; actividad académica según guía</x:v>
      </x:c>
      <x:c r="O11" s="4" t="str">
        <x:v>LECTURA CURRICULAR; ADOPCIÓN NO REGISTRADA</x:v>
      </x:c>
      <x:c r="P11" s="12" t="n">
        <x:f>VALUE(F11)</x:f>
        <x:v>6</x:v>
      </x:c>
      <x:c r="Q11" s="12" t="n">
        <x:f>COUNTIF('15_Base_universitaria'!$A$5:$A$44,A11)+COUNTIF('15_Base_universitaria'!$B$5:$B$44,B11)-2</x:f>
        <x:v>0</x:v>
      </x:c>
      <x:c r="R11" s="12" t="n">
        <x:f>IF(COUNTIF('21_Fuentes_educativas'!$A$5:$A$188,M11)=1,0,1)</x:f>
        <x:v>0</x:v>
      </x:c>
      <x:c r="S11" s="12" t="n">
        <x:f>IF(COUNTIFS('21_Fuentes_educativas'!$A$5:$A$188,M11,'21_Fuentes_educativas'!$J$5:$J$188,"CURRICULAR_REVISADA")+COUNTIFS('21_Fuentes_educativas'!$A$5:$A$188,M11,'21_Fuentes_educativas'!$J$5:$J$188,"TRANSVERSAL_IDENTIFICADA")=1,0,1)</x:f>
        <x:v>0</x:v>
      </x:c>
    </x:row>
    <x:row r="12" ht="47" customHeight="1">
      <x:c r="A12" s="4" t="str">
        <x:v>URJC-08</x:v>
      </x:c>
      <x:c r="B12" s="4" t="str">
        <x:v>2285008</x:v>
      </x:c>
      <x:c r="C12" s="4" t="str">
        <x:v>DIMENSIONES Y MODELO DE LA SEGURIDAD</x:v>
      </x:c>
      <x:c r="D12" s="4" t="str">
        <x:v>1</x:v>
      </x:c>
      <x:c r="E12" s="4" t="str">
        <x:v>Segundo</x:v>
      </x:c>
      <x:c r="F12" s="4" t="str">
        <x:v>6</x:v>
      </x:c>
      <x:c r="G12" s="4" t="str">
        <x:v>FORMACIÓN BÁSICA</x:v>
      </x:c>
      <x:c r="H12" s="4" t="str">
        <x:v>F05</x:v>
      </x:c>
      <x:c r="I12" s="4" t="str">
        <x:v>Dimensiones de seguridad; políticas públicas; amenazas globales.</x:v>
      </x:c>
      <x:c r="J12" s="4" t="str">
        <x:v>Analizar contexto, actores e instrumentos de intervención.</x:v>
      </x:c>
      <x:c r="K12" s="4" t="str">
        <x:v>Lectura crítica, casos y debate.</x:v>
      </x:c>
      <x:c r="L12" s="4" t="str">
        <x:v>CE16; CE17; CE37; CG1; CG10; CG12; CG14; CG17; CG2; CG3; CG7; CG8</x:v>
      </x:c>
      <x:c r="M12" s="4" t="str">
        <x:v>R008</x:v>
      </x:c>
      <x:c r="N12" s="4" t="str">
        <x:v>II; III (códigos); IV; actividad académica según guía</x:v>
      </x:c>
      <x:c r="O12" s="4" t="str">
        <x:v>LECTURA CURRICULAR; ADOPCIÓN NO REGISTRADA</x:v>
      </x:c>
      <x:c r="P12" s="12" t="n">
        <x:f>VALUE(F12)</x:f>
        <x:v>6</x:v>
      </x:c>
      <x:c r="Q12" s="12" t="n">
        <x:f>COUNTIF('15_Base_universitaria'!$A$5:$A$44,A12)+COUNTIF('15_Base_universitaria'!$B$5:$B$44,B12)-2</x:f>
        <x:v>0</x:v>
      </x:c>
      <x:c r="R12" s="12" t="n">
        <x:f>IF(COUNTIF('21_Fuentes_educativas'!$A$5:$A$188,M12)=1,0,1)</x:f>
        <x:v>0</x:v>
      </x:c>
      <x:c r="S12" s="12" t="n">
        <x:f>IF(COUNTIFS('21_Fuentes_educativas'!$A$5:$A$188,M12,'21_Fuentes_educativas'!$J$5:$J$188,"CURRICULAR_REVISADA")+COUNTIFS('21_Fuentes_educativas'!$A$5:$A$188,M12,'21_Fuentes_educativas'!$J$5:$J$188,"TRANSVERSAL_IDENTIFICADA")=1,0,1)</x:f>
        <x:v>0</x:v>
      </x:c>
    </x:row>
    <x:row r="13" ht="47" customHeight="1">
      <x:c r="A13" s="4" t="str">
        <x:v>URJC-09</x:v>
      </x:c>
      <x:c r="B13" s="4" t="str">
        <x:v>2285009</x:v>
      </x:c>
      <x:c r="C13" s="4" t="str">
        <x:v>ESTADISTICA</x:v>
      </x:c>
      <x:c r="D13" s="4" t="str">
        <x:v>1</x:v>
      </x:c>
      <x:c r="E13" s="4" t="str">
        <x:v>Segundo</x:v>
      </x:c>
      <x:c r="F13" s="4" t="str">
        <x:v>6</x:v>
      </x:c>
      <x:c r="G13" s="4" t="str">
        <x:v>FORMACIÓN BÁSICA</x:v>
      </x:c>
      <x:c r="H13" s="4" t="str">
        <x:v>F01</x:v>
      </x:c>
      <x:c r="I13" s="4" t="str">
        <x:v>Descripción de datos; probabilidad; Bayes; estimación y contraste.</x:v>
      </x:c>
      <x:c r="J13" s="4" t="str">
        <x:v>Razonar bajo incertidumbre y explicar límites de una estimación.</x:v>
      </x:c>
      <x:c r="K13" s="4" t="str">
        <x:v>Laboratorios con R y resolución de casos.</x:v>
      </x:c>
      <x:c r="L13" s="4" t="str">
        <x:v>CE01; CG1; CG10; CG14; CG16; CG17; CG2; CG5; CG9</x:v>
      </x:c>
      <x:c r="M13" s="4" t="str">
        <x:v>R009</x:v>
      </x:c>
      <x:c r="N13" s="4" t="str">
        <x:v>II; III (códigos); IV; actividad académica según guía</x:v>
      </x:c>
      <x:c r="O13" s="4" t="str">
        <x:v>LECTURA CURRICULAR; ADOPCIÓN NO REGISTRADA</x:v>
      </x:c>
      <x:c r="P13" s="12" t="n">
        <x:f>VALUE(F13)</x:f>
        <x:v>6</x:v>
      </x:c>
      <x:c r="Q13" s="12" t="n">
        <x:f>COUNTIF('15_Base_universitaria'!$A$5:$A$44,A13)+COUNTIF('15_Base_universitaria'!$B$5:$B$44,B13)-2</x:f>
        <x:v>0</x:v>
      </x:c>
      <x:c r="R13" s="12" t="n">
        <x:f>IF(COUNTIF('21_Fuentes_educativas'!$A$5:$A$188,M13)=1,0,1)</x:f>
        <x:v>0</x:v>
      </x:c>
      <x:c r="S13" s="12" t="n">
        <x:f>IF(COUNTIFS('21_Fuentes_educativas'!$A$5:$A$188,M13,'21_Fuentes_educativas'!$J$5:$J$188,"CURRICULAR_REVISADA")+COUNTIFS('21_Fuentes_educativas'!$A$5:$A$188,M13,'21_Fuentes_educativas'!$J$5:$J$188,"TRANSVERSAL_IDENTIFICADA")=1,0,1)</x:f>
        <x:v>0</x:v>
      </x:c>
    </x:row>
    <x:row r="14" ht="47" customHeight="1">
      <x:c r="A14" s="4" t="str">
        <x:v>URJC-10</x:v>
      </x:c>
      <x:c r="B14" s="4" t="str">
        <x:v>2285010</x:v>
      </x:c>
      <x:c r="C14" s="4" t="str">
        <x:v>ESTRUCTURAS DE DATOS</x:v>
      </x:c>
      <x:c r="D14" s="4" t="str">
        <x:v>1</x:v>
      </x:c>
      <x:c r="E14" s="4" t="str">
        <x:v>Segundo</x:v>
      </x:c>
      <x:c r="F14" s="4" t="str">
        <x:v>6</x:v>
      </x:c>
      <x:c r="G14" s="4" t="str">
        <x:v>OBLIGATORIA</x:v>
      </x:c>
      <x:c r="H14" s="4" t="str">
        <x:v>F03</x:v>
      </x:c>
      <x:c r="I14" s="4" t="str">
        <x:v>Tipos abstractos; estructuras lineales, árboles, grafos y mapas.</x:v>
      </x:c>
      <x:c r="J14" s="4" t="str">
        <x:v>Especificar e implementar estructuras y utilizarlas en programas.</x:v>
      </x:c>
      <x:c r="K14" s="4" t="str">
        <x:v>Implementaciones y resolución de problemas.</x:v>
      </x:c>
      <x:c r="L14" s="4" t="str">
        <x:v>CE07; CG1; CG10; CG15; CG16; CG17; CG18; CG2; CG5</x:v>
      </x:c>
      <x:c r="M14" s="4" t="str">
        <x:v>R010</x:v>
      </x:c>
      <x:c r="N14" s="4" t="str">
        <x:v>II; III (códigos); IV; actividad académica según guía</x:v>
      </x:c>
      <x:c r="O14" s="4" t="str">
        <x:v>LECTURA CURRICULAR; ADOPCIÓN NO REGISTRADA</x:v>
      </x:c>
      <x:c r="P14" s="12" t="n">
        <x:f>VALUE(F14)</x:f>
        <x:v>6</x:v>
      </x:c>
      <x:c r="Q14" s="12" t="n">
        <x:f>COUNTIF('15_Base_universitaria'!$A$5:$A$44,A14)+COUNTIF('15_Base_universitaria'!$B$5:$B$44,B14)-2</x:f>
        <x:v>0</x:v>
      </x:c>
      <x:c r="R14" s="12" t="n">
        <x:f>IF(COUNTIF('21_Fuentes_educativas'!$A$5:$A$188,M14)=1,0,1)</x:f>
        <x:v>0</x:v>
      </x:c>
      <x:c r="S14" s="12" t="n">
        <x:f>IF(COUNTIFS('21_Fuentes_educativas'!$A$5:$A$188,M14,'21_Fuentes_educativas'!$J$5:$J$188,"CURRICULAR_REVISADA")+COUNTIFS('21_Fuentes_educativas'!$A$5:$A$188,M14,'21_Fuentes_educativas'!$J$5:$J$188,"TRANSVERSAL_IDENTIFICADA")=1,0,1)</x:f>
        <x:v>0</x:v>
      </x:c>
    </x:row>
    <x:row r="15" ht="47" customHeight="1">
      <x:c r="A15" s="4" t="str">
        <x:v>URJC-11</x:v>
      </x:c>
      <x:c r="B15" s="4" t="str">
        <x:v>2285011</x:v>
      </x:c>
      <x:c r="C15" s="4" t="str">
        <x:v>METODOS OPERATIVOS Y ESTADISTICOS DE GESTION</x:v>
      </x:c>
      <x:c r="D15" s="4" t="str">
        <x:v>2</x:v>
      </x:c>
      <x:c r="E15" s="4" t="str">
        <x:v>Primero</x:v>
      </x:c>
      <x:c r="F15" s="4" t="str">
        <x:v>6</x:v>
      </x:c>
      <x:c r="G15" s="4" t="str">
        <x:v>FORMACIÓN BÁSICA</x:v>
      </x:c>
      <x:c r="H15" s="4" t="str">
        <x:v>F06</x:v>
      </x:c>
      <x:c r="I15" s="4" t="str">
        <x:v>Organización; optimización; decisión multicriterio; proyectos; calidad.</x:v>
      </x:c>
      <x:c r="J15" s="4" t="str">
        <x:v>Formular problemas de decisión y aplicar métodos cuantitativos.</x:v>
      </x:c>
      <x:c r="K15" s="4" t="str">
        <x:v>Ejercicios y prácticas con ordenador.</x:v>
      </x:c>
      <x:c r="L15" s="4" t="str">
        <x:v>CE01; CE03; CG1; CG10; CG12; CG18; CG2; CG9</x:v>
      </x:c>
      <x:c r="M15" s="4" t="str">
        <x:v>R011</x:v>
      </x:c>
      <x:c r="N15" s="4" t="str">
        <x:v>II; III (códigos); IV; actividad académica según guía</x:v>
      </x:c>
      <x:c r="O15" s="4" t="str">
        <x:v>LECTURA CURRICULAR; ADOPCIÓN NO REGISTRADA</x:v>
      </x:c>
      <x:c r="P15" s="12" t="n">
        <x:f>VALUE(F15)</x:f>
        <x:v>6</x:v>
      </x:c>
      <x:c r="Q15" s="12" t="n">
        <x:f>COUNTIF('15_Base_universitaria'!$A$5:$A$44,A15)+COUNTIF('15_Base_universitaria'!$B$5:$B$44,B15)-2</x:f>
        <x:v>0</x:v>
      </x:c>
      <x:c r="R15" s="12" t="n">
        <x:f>IF(COUNTIF('21_Fuentes_educativas'!$A$5:$A$188,M15)=1,0,1)</x:f>
        <x:v>0</x:v>
      </x:c>
      <x:c r="S15" s="12" t="n">
        <x:f>IF(COUNTIFS('21_Fuentes_educativas'!$A$5:$A$188,M15,'21_Fuentes_educativas'!$J$5:$J$188,"CURRICULAR_REVISADA")+COUNTIFS('21_Fuentes_educativas'!$A$5:$A$188,M15,'21_Fuentes_educativas'!$J$5:$J$188,"TRANSVERSAL_IDENTIFICADA")=1,0,1)</x:f>
        <x:v>0</x:v>
      </x:c>
    </x:row>
    <x:row r="16" ht="47" customHeight="1">
      <x:c r="A16" s="4" t="str">
        <x:v>URJC-12</x:v>
      </x:c>
      <x:c r="B16" s="4" t="str">
        <x:v>2285012</x:v>
      </x:c>
      <x:c r="C16" s="4" t="str">
        <x:v>PRINCIPIOS JURIDICOS BASICOS APLICADOS A LA CIBERSEGURIDAD</x:v>
      </x:c>
      <x:c r="D16" s="4" t="str">
        <x:v>2</x:v>
      </x:c>
      <x:c r="E16" s="4" t="str">
        <x:v>Primero</x:v>
      </x:c>
      <x:c r="F16" s="4" t="str">
        <x:v>6</x:v>
      </x:c>
      <x:c r="G16" s="4" t="str">
        <x:v>FORMACIÓN BÁSICA</x:v>
      </x:c>
      <x:c r="H16" s="4" t="str">
        <x:v>F05</x:v>
      </x:c>
      <x:c r="I16" s="4" t="str">
        <x:v>Regulación; privacidad; responsabilidades; ética; licencias.</x:v>
      </x:c>
      <x:c r="J16" s="4" t="str">
        <x:v>Distinguir obligaciones, sujetos y límites del ejercicio profesional.</x:v>
      </x:c>
      <x:c r="K16" s="4" t="str">
        <x:v>Casos jurídicos, debate y exposición.</x:v>
      </x:c>
      <x:c r="L16" s="4" t="str">
        <x:v>CE03; CE18; CE22; CG12; CG16; CG6; CG9</x:v>
      </x:c>
      <x:c r="M16" s="4" t="str">
        <x:v>R012</x:v>
      </x:c>
      <x:c r="N16" s="4" t="str">
        <x:v>II; III (códigos); IV; actividad académica según guía</x:v>
      </x:c>
      <x:c r="O16" s="4" t="str">
        <x:v>LECTURA CURRICULAR; ADOPCIÓN NO REGISTRADA</x:v>
      </x:c>
      <x:c r="P16" s="12" t="n">
        <x:f>VALUE(F16)</x:f>
        <x:v>6</x:v>
      </x:c>
      <x:c r="Q16" s="12" t="n">
        <x:f>COUNTIF('15_Base_universitaria'!$A$5:$A$44,A16)+COUNTIF('15_Base_universitaria'!$B$5:$B$44,B16)-2</x:f>
        <x:v>0</x:v>
      </x:c>
      <x:c r="R16" s="12" t="n">
        <x:f>IF(COUNTIF('21_Fuentes_educativas'!$A$5:$A$188,M16)=1,0,1)</x:f>
        <x:v>0</x:v>
      </x:c>
      <x:c r="S16" s="12" t="n">
        <x:f>IF(COUNTIFS('21_Fuentes_educativas'!$A$5:$A$188,M16,'21_Fuentes_educativas'!$J$5:$J$188,"CURRICULAR_REVISADA")+COUNTIFS('21_Fuentes_educativas'!$A$5:$A$188,M16,'21_Fuentes_educativas'!$J$5:$J$188,"TRANSVERSAL_IDENTIFICADA")=1,0,1)</x:f>
        <x:v>0</x:v>
      </x:c>
    </x:row>
    <x:row r="17" ht="47" customHeight="1">
      <x:c r="A17" s="4" t="str">
        <x:v>URJC-13</x:v>
      </x:c>
      <x:c r="B17" s="4" t="str">
        <x:v>2285013</x:v>
      </x:c>
      <x:c r="C17" s="4" t="str">
        <x:v>PROGRAMACION AVANZADA</x:v>
      </x:c>
      <x:c r="D17" s="4" t="str">
        <x:v>2</x:v>
      </x:c>
      <x:c r="E17" s="4" t="str">
        <x:v>Primero</x:v>
      </x:c>
      <x:c r="F17" s="4" t="str">
        <x:v>6</x:v>
      </x:c>
      <x:c r="G17" s="4" t="str">
        <x:v>OBLIGATORIA</x:v>
      </x:c>
      <x:c r="H17" s="4" t="str">
        <x:v>F03</x:v>
      </x:c>
      <x:c r="I17" s="4" t="str">
        <x:v>Orientación a objetos; Java; UML; excepciones; concurrencia; pruebas.</x:v>
      </x:c>
      <x:c r="J17" s="4" t="str">
        <x:v>Diseñar y programar aplicaciones orientadas a objetos.</x:v>
      </x:c>
      <x:c r="K17" s="4" t="str">
        <x:v>Ejercicios y prácticas de programación.</x:v>
      </x:c>
      <x:c r="L17" s="4" t="str">
        <x:v>CE06; CE07; CG13; CG15; CG18; CG4; CG5</x:v>
      </x:c>
      <x:c r="M17" s="4" t="str">
        <x:v>R013</x:v>
      </x:c>
      <x:c r="N17" s="4" t="str">
        <x:v>II; III (códigos); IV; actividad académica según guía</x:v>
      </x:c>
      <x:c r="O17" s="4" t="str">
        <x:v>LECTURA CURRICULAR; ADOPCIÓN NO REGISTRADA</x:v>
      </x:c>
      <x:c r="P17" s="12" t="n">
        <x:f>VALUE(F17)</x:f>
        <x:v>6</x:v>
      </x:c>
      <x:c r="Q17" s="12" t="n">
        <x:f>COUNTIF('15_Base_universitaria'!$A$5:$A$44,A17)+COUNTIF('15_Base_universitaria'!$B$5:$B$44,B17)-2</x:f>
        <x:v>0</x:v>
      </x:c>
      <x:c r="R17" s="12" t="n">
        <x:f>IF(COUNTIF('21_Fuentes_educativas'!$A$5:$A$188,M17)=1,0,1)</x:f>
        <x:v>0</x:v>
      </x:c>
      <x:c r="S17" s="12" t="n">
        <x:f>IF(COUNTIFS('21_Fuentes_educativas'!$A$5:$A$188,M17,'21_Fuentes_educativas'!$J$5:$J$188,"CURRICULAR_REVISADA")+COUNTIFS('21_Fuentes_educativas'!$A$5:$A$188,M17,'21_Fuentes_educativas'!$J$5:$J$188,"TRANSVERSAL_IDENTIFICADA")=1,0,1)</x:f>
        <x:v>0</x:v>
      </x:c>
    </x:row>
    <x:row r="18" ht="47" customHeight="1">
      <x:c r="A18" s="4" t="str">
        <x:v>URJC-14</x:v>
      </x:c>
      <x:c r="B18" s="4" t="str">
        <x:v>2285014</x:v>
      </x:c>
      <x:c r="C18" s="4" t="str">
        <x:v>REDES DE COMPUTADORES</x:v>
      </x:c>
      <x:c r="D18" s="4" t="str">
        <x:v>2</x:v>
      </x:c>
      <x:c r="E18" s="4" t="str">
        <x:v>Primero</x:v>
      </x:c>
      <x:c r="F18" s="4" t="str">
        <x:v>6</x:v>
      </x:c>
      <x:c r="G18" s="4" t="str">
        <x:v>OBLIGATORIA</x:v>
      </x:c>
      <x:c r="H18" s="4" t="str">
        <x:v>F07</x:v>
      </x:c>
      <x:c r="I18" s="4" t="str">
        <x:v>Redes por capas; protocolos; rutas; congestión; comunicaciones.</x:v>
      </x:c>
      <x:c r="J18" s="4" t="str">
        <x:v>Diseñar una red atendiendo a coste, prestaciones, necesidades y seguridad.</x:v>
      </x:c>
      <x:c r="K18" s="4" t="str">
        <x:v>Laboratorios, ejercicios y pruebas prácticas.</x:v>
      </x:c>
      <x:c r="L18" s="4" t="str">
        <x:v>CE04; CE11; CG13; CG4; CG9</x:v>
      </x:c>
      <x:c r="M18" s="4" t="str">
        <x:v>R014</x:v>
      </x:c>
      <x:c r="N18" s="4" t="str">
        <x:v>II; III (códigos); IV; actividad académica según guía</x:v>
      </x:c>
      <x:c r="O18" s="4" t="str">
        <x:v>LECTURA CURRICULAR; ADOPCIÓN NO REGISTRADA</x:v>
      </x:c>
      <x:c r="P18" s="12" t="n">
        <x:f>VALUE(F18)</x:f>
        <x:v>6</x:v>
      </x:c>
      <x:c r="Q18" s="12" t="n">
        <x:f>COUNTIF('15_Base_universitaria'!$A$5:$A$44,A18)+COUNTIF('15_Base_universitaria'!$B$5:$B$44,B18)-2</x:f>
        <x:v>0</x:v>
      </x:c>
      <x:c r="R18" s="12" t="n">
        <x:f>IF(COUNTIF('21_Fuentes_educativas'!$A$5:$A$188,M18)=1,0,1)</x:f>
        <x:v>0</x:v>
      </x:c>
      <x:c r="S18" s="12" t="n">
        <x:f>IF(COUNTIFS('21_Fuentes_educativas'!$A$5:$A$188,M18,'21_Fuentes_educativas'!$J$5:$J$188,"CURRICULAR_REVISADA")+COUNTIFS('21_Fuentes_educativas'!$A$5:$A$188,M18,'21_Fuentes_educativas'!$J$5:$J$188,"TRANSVERSAL_IDENTIFICADA")=1,0,1)</x:f>
        <x:v>0</x:v>
      </x:c>
    </x:row>
    <x:row r="19" ht="47" customHeight="1">
      <x:c r="A19" s="4" t="str">
        <x:v>URJC-15</x:v>
      </x:c>
      <x:c r="B19" s="4" t="str">
        <x:v>2285015</x:v>
      </x:c>
      <x:c r="C19" s="4" t="str">
        <x:v>TECNICAS DE HACKING</x:v>
      </x:c>
      <x:c r="D19" s="4" t="str">
        <x:v>2</x:v>
      </x:c>
      <x:c r="E19" s="4" t="str">
        <x:v>Primero</x:v>
      </x:c>
      <x:c r="F19" s="4" t="str">
        <x:v>6</x:v>
      </x:c>
      <x:c r="G19" s="4" t="str">
        <x:v>OBLIGATORIA</x:v>
      </x:c>
      <x:c r="H19" s="4" t="str">
        <x:v>F08</x:v>
      </x:c>
      <x:c r="I19" s="4" t="str">
        <x:v>Reconocimiento; técnicas de ataque; vulnerabilidades y explotación.</x:v>
      </x:c>
      <x:c r="J19" s="4" t="str">
        <x:v>Analizar técnicas ofensivas dentro de un entorno autorizado.</x:v>
      </x:c>
      <x:c r="K19" s="4" t="str">
        <x:v>Prácticas de seguridad ofensiva.</x:v>
      </x:c>
      <x:c r="L19" s="4" t="str">
        <x:v>CE19; CE20; CE26; CG1; CG11; CG12; CG13; CG15; CG16; CG17; CG18; CG3; CG6; CG7</x:v>
      </x:c>
      <x:c r="M19" s="4" t="str">
        <x:v>R015</x:v>
      </x:c>
      <x:c r="N19" s="4" t="str">
        <x:v>II; III (códigos); IV; actividad académica según guía</x:v>
      </x:c>
      <x:c r="O19" s="4" t="str">
        <x:v>LECTURA CURRICULAR; ADOPCIÓN NO REGISTRADA</x:v>
      </x:c>
      <x:c r="P19" s="12" t="n">
        <x:f>VALUE(F19)</x:f>
        <x:v>6</x:v>
      </x:c>
      <x:c r="Q19" s="12" t="n">
        <x:f>COUNTIF('15_Base_universitaria'!$A$5:$A$44,A19)+COUNTIF('15_Base_universitaria'!$B$5:$B$44,B19)-2</x:f>
        <x:v>0</x:v>
      </x:c>
      <x:c r="R19" s="12" t="n">
        <x:f>IF(COUNTIF('21_Fuentes_educativas'!$A$5:$A$188,M19)=1,0,1)</x:f>
        <x:v>0</x:v>
      </x:c>
      <x:c r="S19" s="12" t="n">
        <x:f>IF(COUNTIFS('21_Fuentes_educativas'!$A$5:$A$188,M19,'21_Fuentes_educativas'!$J$5:$J$188,"CURRICULAR_REVISADA")+COUNTIFS('21_Fuentes_educativas'!$A$5:$A$188,M19,'21_Fuentes_educativas'!$J$5:$J$188,"TRANSVERSAL_IDENTIFICADA")=1,0,1)</x:f>
        <x:v>0</x:v>
      </x:c>
    </x:row>
    <x:row r="20" ht="47" customHeight="1">
      <x:c r="A20" s="4" t="str">
        <x:v>URJC-16</x:v>
      </x:c>
      <x:c r="B20" s="4" t="str">
        <x:v>2285016</x:v>
      </x:c>
      <x:c r="C20" s="4" t="str">
        <x:v>BASES DE DATOS</x:v>
      </x:c>
      <x:c r="D20" s="4" t="str">
        <x:v>2</x:v>
      </x:c>
      <x:c r="E20" s="4" t="str">
        <x:v>Segundo</x:v>
      </x:c>
      <x:c r="F20" s="4" t="str">
        <x:v>6</x:v>
      </x:c>
      <x:c r="G20" s="4" t="str">
        <x:v>OBLIGATORIA</x:v>
      </x:c>
      <x:c r="H20" s="4" t="str">
        <x:v>F09</x:v>
      </x:c>
      <x:c r="I20" s="4" t="str">
        <x:v>Modelos de datos; diseño conceptual y lógico; SQL.</x:v>
      </x:c>
      <x:c r="J20" s="4" t="str">
        <x:v>Diseñar y consultar bases de datos.</x:v>
      </x:c>
      <x:c r="K20" s="4" t="str">
        <x:v>Prácticas de modelado y consulta.</x:v>
      </x:c>
      <x:c r="L20" s="4" t="str">
        <x:v>CE05; CG14; CG5; CG9</x:v>
      </x:c>
      <x:c r="M20" s="4" t="str">
        <x:v>R016</x:v>
      </x:c>
      <x:c r="N20" s="4" t="str">
        <x:v>II; III (códigos); IV; actividad académica según guía</x:v>
      </x:c>
      <x:c r="O20" s="4" t="str">
        <x:v>LECTURA CURRICULAR; ADOPCIÓN NO REGISTRADA</x:v>
      </x:c>
      <x:c r="P20" s="12" t="n">
        <x:f>VALUE(F20)</x:f>
        <x:v>6</x:v>
      </x:c>
      <x:c r="Q20" s="12" t="n">
        <x:f>COUNTIF('15_Base_universitaria'!$A$5:$A$44,A20)+COUNTIF('15_Base_universitaria'!$B$5:$B$44,B20)-2</x:f>
        <x:v>0</x:v>
      </x:c>
      <x:c r="R20" s="12" t="n">
        <x:f>IF(COUNTIF('21_Fuentes_educativas'!$A$5:$A$188,M20)=1,0,1)</x:f>
        <x:v>0</x:v>
      </x:c>
      <x:c r="S20" s="12" t="n">
        <x:f>IF(COUNTIFS('21_Fuentes_educativas'!$A$5:$A$188,M20,'21_Fuentes_educativas'!$J$5:$J$188,"CURRICULAR_REVISADA")+COUNTIFS('21_Fuentes_educativas'!$A$5:$A$188,M20,'21_Fuentes_educativas'!$J$5:$J$188,"TRANSVERSAL_IDENTIFICADA")=1,0,1)</x:f>
        <x:v>0</x:v>
      </x:c>
    </x:row>
    <x:row r="21" ht="47" customHeight="1">
      <x:c r="A21" s="4" t="str">
        <x:v>URJC-17</x:v>
      </x:c>
      <x:c r="B21" s="4" t="str">
        <x:v>2285017</x:v>
      </x:c>
      <x:c r="C21" s="4" t="str">
        <x:v>DESARROLLO WEB SEGURO</x:v>
      </x:c>
      <x:c r="D21" s="4" t="str">
        <x:v>2</x:v>
      </x:c>
      <x:c r="E21" s="4" t="str">
        <x:v>Segundo</x:v>
      </x:c>
      <x:c r="F21" s="4" t="str">
        <x:v>6</x:v>
      </x:c>
      <x:c r="G21" s="4" t="str">
        <x:v>OBLIGATORIA</x:v>
      </x:c>
      <x:c r="H21" s="4" t="str">
        <x:v>F03</x:v>
      </x:c>
      <x:c r="I21" s="4" t="str">
        <x:v>Cliente y servidor web; despliegue; vulnerabilidades; herramientas de IA generativa.</x:v>
      </x:c>
      <x:c r="J21" s="4" t="str">
        <x:v>Construir, probar y proteger una aplicación web.</x:v>
      </x:c>
      <x:c r="K21" s="4" t="str">
        <x:v>Prácticas y ejercicios de desarrollo.</x:v>
      </x:c>
      <x:c r="L21" s="4" t="str">
        <x:v>CE08; CE11; CE12; CE25; CG11; CG13; CG5; CG7; CG8</x:v>
      </x:c>
      <x:c r="M21" s="4" t="str">
        <x:v>R017</x:v>
      </x:c>
      <x:c r="N21" s="4" t="str">
        <x:v>II; III (códigos); IV; actividad académica según guía</x:v>
      </x:c>
      <x:c r="O21" s="4" t="str">
        <x:v>LECTURA CURRICULAR; ADOPCIÓN NO REGISTRADA</x:v>
      </x:c>
      <x:c r="P21" s="12" t="n">
        <x:f>VALUE(F21)</x:f>
        <x:v>6</x:v>
      </x:c>
      <x:c r="Q21" s="12" t="n">
        <x:f>COUNTIF('15_Base_universitaria'!$A$5:$A$44,A21)+COUNTIF('15_Base_universitaria'!$B$5:$B$44,B21)-2</x:f>
        <x:v>0</x:v>
      </x:c>
      <x:c r="R21" s="12" t="n">
        <x:f>IF(COUNTIF('21_Fuentes_educativas'!$A$5:$A$188,M21)=1,0,1)</x:f>
        <x:v>0</x:v>
      </x:c>
      <x:c r="S21" s="12" t="n">
        <x:f>IF(COUNTIFS('21_Fuentes_educativas'!$A$5:$A$188,M21,'21_Fuentes_educativas'!$J$5:$J$188,"CURRICULAR_REVISADA")+COUNTIFS('21_Fuentes_educativas'!$A$5:$A$188,M21,'21_Fuentes_educativas'!$J$5:$J$188,"TRANSVERSAL_IDENTIFICADA")=1,0,1)</x:f>
        <x:v>0</x:v>
      </x:c>
    </x:row>
    <x:row r="22" ht="47" customHeight="1">
      <x:c r="A22" s="4" t="str">
        <x:v>URJC-18</x:v>
      </x:c>
      <x:c r="B22" s="4" t="str">
        <x:v>2285018</x:v>
      </x:c>
      <x:c r="C22" s="4" t="str">
        <x:v>ESTRUCTURA DE COMPUTADORES</x:v>
      </x:c>
      <x:c r="D22" s="4" t="str">
        <x:v>2</x:v>
      </x:c>
      <x:c r="E22" s="4" t="str">
        <x:v>Segundo</x:v>
      </x:c>
      <x:c r="F22" s="4" t="str">
        <x:v>6</x:v>
      </x:c>
      <x:c r="G22" s="4" t="str">
        <x:v>OBLIGATORIA</x:v>
      </x:c>
      <x:c r="H22" s="4" t="str">
        <x:v>F10</x:v>
      </x:c>
      <x:c r="I22" s="4" t="str">
        <x:v>Procesador; representación; ensamblador; camino de datos y control.</x:v>
      </x:c>
      <x:c r="J22" s="4" t="str">
        <x:v>Relacionar ejecución de instrucciones con estructura del computador.</x:v>
      </x:c>
      <x:c r="K22" s="4" t="str">
        <x:v>Ejercicios y prácticas sobre computadores.</x:v>
      </x:c>
      <x:c r="L22" s="4" t="str">
        <x:v>CE04; CE09; CG5; CG7</x:v>
      </x:c>
      <x:c r="M22" s="4" t="str">
        <x:v>R018</x:v>
      </x:c>
      <x:c r="N22" s="4" t="str">
        <x:v>II; III (códigos); IV; actividad académica según guía</x:v>
      </x:c>
      <x:c r="O22" s="4" t="str">
        <x:v>LECTURA CURRICULAR; ADOPCIÓN NO REGISTRADA</x:v>
      </x:c>
      <x:c r="P22" s="12" t="n">
        <x:f>VALUE(F22)</x:f>
        <x:v>6</x:v>
      </x:c>
      <x:c r="Q22" s="12" t="n">
        <x:f>COUNTIF('15_Base_universitaria'!$A$5:$A$44,A22)+COUNTIF('15_Base_universitaria'!$B$5:$B$44,B22)-2</x:f>
        <x:v>0</x:v>
      </x:c>
      <x:c r="R22" s="12" t="n">
        <x:f>IF(COUNTIF('21_Fuentes_educativas'!$A$5:$A$188,M22)=1,0,1)</x:f>
        <x:v>0</x:v>
      </x:c>
      <x:c r="S22" s="12" t="n">
        <x:f>IF(COUNTIFS('21_Fuentes_educativas'!$A$5:$A$188,M22,'21_Fuentes_educativas'!$J$5:$J$188,"CURRICULAR_REVISADA")+COUNTIFS('21_Fuentes_educativas'!$A$5:$A$188,M22,'21_Fuentes_educativas'!$J$5:$J$188,"TRANSVERSAL_IDENTIFICADA")=1,0,1)</x:f>
        <x:v>0</x:v>
      </x:c>
    </x:row>
    <x:row r="23" ht="47" customHeight="1">
      <x:c r="A23" s="4" t="str">
        <x:v>URJC-19</x:v>
      </x:c>
      <x:c r="B23" s="4" t="str">
        <x:v>2285019</x:v>
      </x:c>
      <x:c r="C23" s="4" t="str">
        <x:v>SEGURIDAD EN REDES</x:v>
      </x:c>
      <x:c r="D23" s="4" t="str">
        <x:v>2</x:v>
      </x:c>
      <x:c r="E23" s="4" t="str">
        <x:v>Segundo</x:v>
      </x:c>
      <x:c r="F23" s="4" t="str">
        <x:v>6</x:v>
      </x:c>
      <x:c r="G23" s="4" t="str">
        <x:v>OBLIGATORIA</x:v>
      </x:c>
      <x:c r="H23" s="4" t="str">
        <x:v>F07</x:v>
      </x:c>
      <x:c r="I23" s="4" t="str">
        <x:v>Protección perimetral; segmentación; detección; VPN; redes inalámbricas.</x:v>
      </x:c>
      <x:c r="J23" s="4" t="str">
        <x:v>Configurar y analizar mecanismos de protección de redes.</x:v>
      </x:c>
      <x:c r="K23" s="4" t="str">
        <x:v>Laboratorios de seguridad en redes.</x:v>
      </x:c>
      <x:c r="L23" s="4" t="str">
        <x:v>CE11; CE18; CE23; CE24; CG13; CG3; CG5; CG7; CG8</x:v>
      </x:c>
      <x:c r="M23" s="4" t="str">
        <x:v>R019</x:v>
      </x:c>
      <x:c r="N23" s="4" t="str">
        <x:v>II; III (códigos); IV; actividad académica según guía</x:v>
      </x:c>
      <x:c r="O23" s="4" t="str">
        <x:v>LECTURA CURRICULAR; ADOPCIÓN NO REGISTRADA</x:v>
      </x:c>
      <x:c r="P23" s="12" t="n">
        <x:f>VALUE(F23)</x:f>
        <x:v>6</x:v>
      </x:c>
      <x:c r="Q23" s="12" t="n">
        <x:f>COUNTIF('15_Base_universitaria'!$A$5:$A$44,A23)+COUNTIF('15_Base_universitaria'!$B$5:$B$44,B23)-2</x:f>
        <x:v>0</x:v>
      </x:c>
      <x:c r="R23" s="12" t="n">
        <x:f>IF(COUNTIF('21_Fuentes_educativas'!$A$5:$A$188,M23)=1,0,1)</x:f>
        <x:v>0</x:v>
      </x:c>
      <x:c r="S23" s="12" t="n">
        <x:f>IF(COUNTIFS('21_Fuentes_educativas'!$A$5:$A$188,M23,'21_Fuentes_educativas'!$J$5:$J$188,"CURRICULAR_REVISADA")+COUNTIFS('21_Fuentes_educativas'!$A$5:$A$188,M23,'21_Fuentes_educativas'!$J$5:$J$188,"TRANSVERSAL_IDENTIFICADA")=1,0,1)</x:f>
        <x:v>0</x:v>
      </x:c>
    </x:row>
    <x:row r="24" ht="47" customHeight="1">
      <x:c r="A24" s="4" t="str">
        <x:v>URJC-20</x:v>
      </x:c>
      <x:c r="B24" s="4" t="str">
        <x:v>2285020</x:v>
      </x:c>
      <x:c r="C24" s="4" t="str">
        <x:v>IDIOMA MODERNO</x:v>
      </x:c>
      <x:c r="D24" s="4" t="str">
        <x:v>2</x:v>
      </x:c>
      <x:c r="E24" s="4" t="str">
        <x:v>No indicado</x:v>
      </x:c>
      <x:c r="F24" s="4" t="str">
        <x:v>6</x:v>
      </x:c>
      <x:c r="G24" s="4" t="str">
        <x:v>FORMACIÓN BÁSICA</x:v>
      </x:c>
      <x:c r="H24" s="4" t="str">
        <x:v>F11</x:v>
      </x:c>
      <x:c r="I24" s="4" t="str">
        <x:v>Competencia en idioma moderno.</x:v>
      </x:c>
      <x:c r="J24" s="4" t="str">
        <x:v>Comprender y comunicar información en otra lengua.</x:v>
      </x:c>
      <x:c r="K24" s="4" t="str">
        <x:v>Formación transversal; no añade por sí sola un conocimiento de ciberseguridad.</x:v>
      </x:c>
      <x:c r="L24" s="4" t="str"/>
      <x:c r="M24" s="4" t="str">
        <x:v>R020</x:v>
      </x:c>
      <x:c r="N24" s="4" t="str">
        <x:v>II; III (códigos); IV; actividad académica según guía</x:v>
      </x:c>
      <x:c r="O24" s="4" t="str">
        <x:v>LECTURA CURRICULAR; ADOPCIÓN NO REGISTRADA</x:v>
      </x:c>
      <x:c r="P24" s="12" t="n">
        <x:f>VALUE(F24)</x:f>
        <x:v>6</x:v>
      </x:c>
      <x:c r="Q24" s="12" t="n">
        <x:f>COUNTIF('15_Base_universitaria'!$A$5:$A$44,A24)+COUNTIF('15_Base_universitaria'!$B$5:$B$44,B24)-2</x:f>
        <x:v>0</x:v>
      </x:c>
      <x:c r="R24" s="12" t="n">
        <x:f>IF(COUNTIF('21_Fuentes_educativas'!$A$5:$A$188,M24)=1,0,1)</x:f>
        <x:v>0</x:v>
      </x:c>
      <x:c r="S24" s="12" t="n">
        <x:f>IF(COUNTIFS('21_Fuentes_educativas'!$A$5:$A$188,M24,'21_Fuentes_educativas'!$J$5:$J$188,"CURRICULAR_REVISADA")+COUNTIFS('21_Fuentes_educativas'!$A$5:$A$188,M24,'21_Fuentes_educativas'!$J$5:$J$188,"TRANSVERSAL_IDENTIFICADA")=1,0,1)</x:f>
        <x:v>0</x:v>
      </x:c>
    </x:row>
    <x:row r="25" ht="47" customHeight="1">
      <x:c r="A25" s="4" t="str">
        <x:v>URJC-21</x:v>
      </x:c>
      <x:c r="B25" s="4" t="str">
        <x:v>2285021</x:v>
      </x:c>
      <x:c r="C25" s="4" t="str">
        <x:v>ARQUITECTURA DE COMPUTADORES</x:v>
      </x:c>
      <x:c r="D25" s="4" t="str">
        <x:v>3</x:v>
      </x:c>
      <x:c r="E25" s="4" t="str">
        <x:v>Primero</x:v>
      </x:c>
      <x:c r="F25" s="4" t="str">
        <x:v>6</x:v>
      </x:c>
      <x:c r="G25" s="4" t="str">
        <x:v>OBLIGATORIA</x:v>
      </x:c>
      <x:c r="H25" s="4" t="str">
        <x:v>F10</x:v>
      </x:c>
      <x:c r="I25" s="4" t="str">
        <x:v>Arquitectura del computador; memoria; rendimiento y organización.</x:v>
      </x:c>
      <x:c r="J25" s="4" t="str">
        <x:v>Analizar efectos de la arquitectura en la ejecución y prestaciones.</x:v>
      </x:c>
      <x:c r="K25" s="4" t="str">
        <x:v>Ejercicios y prácticas de arquitectura.</x:v>
      </x:c>
      <x:c r="L25" s="4" t="str">
        <x:v>CE04; CE09; CG13; CG5; CG7</x:v>
      </x:c>
      <x:c r="M25" s="4" t="str">
        <x:v>R021</x:v>
      </x:c>
      <x:c r="N25" s="4" t="str">
        <x:v>II; III (códigos); IV; actividad académica según guía</x:v>
      </x:c>
      <x:c r="O25" s="4" t="str">
        <x:v>LECTURA CURRICULAR; ADOPCIÓN NO REGISTRADA</x:v>
      </x:c>
      <x:c r="P25" s="12" t="n">
        <x:f>VALUE(F25)</x:f>
        <x:v>6</x:v>
      </x:c>
      <x:c r="Q25" s="12" t="n">
        <x:f>COUNTIF('15_Base_universitaria'!$A$5:$A$44,A25)+COUNTIF('15_Base_universitaria'!$B$5:$B$44,B25)-2</x:f>
        <x:v>0</x:v>
      </x:c>
      <x:c r="R25" s="12" t="n">
        <x:f>IF(COUNTIF('21_Fuentes_educativas'!$A$5:$A$188,M25)=1,0,1)</x:f>
        <x:v>0</x:v>
      </x:c>
      <x:c r="S25" s="12" t="n">
        <x:f>IF(COUNTIFS('21_Fuentes_educativas'!$A$5:$A$188,M25,'21_Fuentes_educativas'!$J$5:$J$188,"CURRICULAR_REVISADA")+COUNTIFS('21_Fuentes_educativas'!$A$5:$A$188,M25,'21_Fuentes_educativas'!$J$5:$J$188,"TRANSVERSAL_IDENTIFICADA")=1,0,1)</x:f>
        <x:v>0</x:v>
      </x:c>
    </x:row>
    <x:row r="26" ht="47" customHeight="1">
      <x:c r="A26" s="4" t="str">
        <x:v>URJC-22</x:v>
      </x:c>
      <x:c r="B26" s="4" t="str">
        <x:v>2285022</x:v>
      </x:c>
      <x:c r="C26" s="4" t="str">
        <x:v>DISEÑO Y ANALISIS DE ALGORITMOS</x:v>
      </x:c>
      <x:c r="D26" s="4" t="str">
        <x:v>3</x:v>
      </x:c>
      <x:c r="E26" s="4" t="str">
        <x:v>Primero</x:v>
      </x:c>
      <x:c r="F26" s="4" t="str">
        <x:v>6</x:v>
      </x:c>
      <x:c r="G26" s="4" t="str">
        <x:v>OBLIGATORIA</x:v>
      </x:c>
      <x:c r="H26" s="4" t="str">
        <x:v>F03</x:v>
      </x:c>
      <x:c r="I26" s="4" t="str">
        <x:v>Complejidad; diseño y análisis de algoritmos.</x:v>
      </x:c>
      <x:c r="J26" s="4" t="str">
        <x:v>Justificar corrección, recursos y adecuación de algoritmos.</x:v>
      </x:c>
      <x:c r="K26" s="4" t="str">
        <x:v>Implementación y análisis de problemas.</x:v>
      </x:c>
      <x:c r="L26" s="4" t="str">
        <x:v>CE02; CE06; CG11; CG5</x:v>
      </x:c>
      <x:c r="M26" s="4" t="str">
        <x:v>R022</x:v>
      </x:c>
      <x:c r="N26" s="4" t="str">
        <x:v>II; III (códigos); IV; actividad académica según guía</x:v>
      </x:c>
      <x:c r="O26" s="4" t="str">
        <x:v>LECTURA CURRICULAR; ADOPCIÓN NO REGISTRADA</x:v>
      </x:c>
      <x:c r="P26" s="12" t="n">
        <x:f>VALUE(F26)</x:f>
        <x:v>6</x:v>
      </x:c>
      <x:c r="Q26" s="12" t="n">
        <x:f>COUNTIF('15_Base_universitaria'!$A$5:$A$44,A26)+COUNTIF('15_Base_universitaria'!$B$5:$B$44,B26)-2</x:f>
        <x:v>0</x:v>
      </x:c>
      <x:c r="R26" s="12" t="n">
        <x:f>IF(COUNTIF('21_Fuentes_educativas'!$A$5:$A$188,M26)=1,0,1)</x:f>
        <x:v>0</x:v>
      </x:c>
      <x:c r="S26" s="12" t="n">
        <x:f>IF(COUNTIFS('21_Fuentes_educativas'!$A$5:$A$188,M26,'21_Fuentes_educativas'!$J$5:$J$188,"CURRICULAR_REVISADA")+COUNTIFS('21_Fuentes_educativas'!$A$5:$A$188,M26,'21_Fuentes_educativas'!$J$5:$J$188,"TRANSVERSAL_IDENTIFICADA")=1,0,1)</x:f>
        <x:v>0</x:v>
      </x:c>
    </x:row>
    <x:row r="27" ht="47" customHeight="1">
      <x:c r="A27" s="4" t="str">
        <x:v>URJC-23</x:v>
      </x:c>
      <x:c r="B27" s="4" t="str">
        <x:v>2285023</x:v>
      </x:c>
      <x:c r="C27" s="4" t="str">
        <x:v>INGENIERIA DEL SOFTWARE</x:v>
      </x:c>
      <x:c r="D27" s="4" t="str">
        <x:v>3</x:v>
      </x:c>
      <x:c r="E27" s="4" t="str">
        <x:v>Primero</x:v>
      </x:c>
      <x:c r="F27" s="4" t="str">
        <x:v>6</x:v>
      </x:c>
      <x:c r="G27" s="4" t="str">
        <x:v>OBLIGATORIA</x:v>
      </x:c>
      <x:c r="H27" s="4" t="str">
        <x:v>F03</x:v>
      </x:c>
      <x:c r="I27" s="4" t="str">
        <x:v>Procesos; ciclos de vida; metodologías y planificación de software en ciberseguridad.</x:v>
      </x:c>
      <x:c r="J27" s="4" t="str">
        <x:v>Organizar la resolución de problemas y proyectos de software en grupo.</x:v>
      </x:c>
      <x:c r="K27" s="4" t="str">
        <x:v>Trabajo en grupo, lecturas y práctica de ingeniería.</x:v>
      </x:c>
      <x:c r="L27" s="4" t="str">
        <x:v>CE08; CE14; CE17; CG1; CG10; CG12; CG15; CG2; CG3; CG4; CG7; CG9</x:v>
      </x:c>
      <x:c r="M27" s="4" t="str">
        <x:v>R023</x:v>
      </x:c>
      <x:c r="N27" s="4" t="str">
        <x:v>II; III (códigos); IV; actividad académica según guía</x:v>
      </x:c>
      <x:c r="O27" s="4" t="str">
        <x:v>LECTURA CURRICULAR; ADOPCIÓN NO REGISTRADA</x:v>
      </x:c>
      <x:c r="P27" s="12" t="n">
        <x:f>VALUE(F27)</x:f>
        <x:v>6</x:v>
      </x:c>
      <x:c r="Q27" s="12" t="n">
        <x:f>COUNTIF('15_Base_universitaria'!$A$5:$A$44,A27)+COUNTIF('15_Base_universitaria'!$B$5:$B$44,B27)-2</x:f>
        <x:v>0</x:v>
      </x:c>
      <x:c r="R27" s="12" t="n">
        <x:f>IF(COUNTIF('21_Fuentes_educativas'!$A$5:$A$188,M27)=1,0,1)</x:f>
        <x:v>0</x:v>
      </x:c>
      <x:c r="S27" s="12" t="n">
        <x:f>IF(COUNTIFS('21_Fuentes_educativas'!$A$5:$A$188,M27,'21_Fuentes_educativas'!$J$5:$J$188,"CURRICULAR_REVISADA")+COUNTIFS('21_Fuentes_educativas'!$A$5:$A$188,M27,'21_Fuentes_educativas'!$J$5:$J$188,"TRANSVERSAL_IDENTIFICADA")=1,0,1)</x:f>
        <x:v>0</x:v>
      </x:c>
    </x:row>
    <x:row r="28" ht="47" customHeight="1">
      <x:c r="A28" s="4" t="str">
        <x:v>URJC-24</x:v>
      </x:c>
      <x:c r="B28" s="4" t="str">
        <x:v>2285024</x:v>
      </x:c>
      <x:c r="C28" s="4" t="str">
        <x:v>SEGURIDAD EN BASES DE DATOS</x:v>
      </x:c>
      <x:c r="D28" s="4" t="str">
        <x:v>3</x:v>
      </x:c>
      <x:c r="E28" s="4" t="str">
        <x:v>Primero</x:v>
      </x:c>
      <x:c r="F28" s="4" t="str">
        <x:v>6</x:v>
      </x:c>
      <x:c r="G28" s="4" t="str">
        <x:v>OBLIGATORIA</x:v>
      </x:c>
      <x:c r="H28" s="4" t="str">
        <x:v>F09</x:v>
      </x:c>
      <x:c r="I28" s="4" t="str">
        <x:v>Protección en SGBD; acceso; confidencialidad; recuperación; auditoría.</x:v>
      </x:c>
      <x:c r="J28" s="4" t="str">
        <x:v>Administrar controles y evaluar la protección de bases de datos.</x:v>
      </x:c>
      <x:c r="K28" s="4" t="str">
        <x:v>Prácticas de administración y seguridad.</x:v>
      </x:c>
      <x:c r="L28" s="4" t="str">
        <x:v>CE12; CE25; CG11; CG13; CG3; CG5; CG7; CG8; CG9</x:v>
      </x:c>
      <x:c r="M28" s="4" t="str">
        <x:v>R024</x:v>
      </x:c>
      <x:c r="N28" s="4" t="str">
        <x:v>II; III (códigos); IV; actividad académica según guía</x:v>
      </x:c>
      <x:c r="O28" s="4" t="str">
        <x:v>LECTURA CURRICULAR; ADOPCIÓN NO REGISTRADA</x:v>
      </x:c>
      <x:c r="P28" s="12" t="n">
        <x:f>VALUE(F28)</x:f>
        <x:v>6</x:v>
      </x:c>
      <x:c r="Q28" s="12" t="n">
        <x:f>COUNTIF('15_Base_universitaria'!$A$5:$A$44,A28)+COUNTIF('15_Base_universitaria'!$B$5:$B$44,B28)-2</x:f>
        <x:v>0</x:v>
      </x:c>
      <x:c r="R28" s="12" t="n">
        <x:f>IF(COUNTIF('21_Fuentes_educativas'!$A$5:$A$188,M28)=1,0,1)</x:f>
        <x:v>0</x:v>
      </x:c>
      <x:c r="S28" s="12" t="n">
        <x:f>IF(COUNTIFS('21_Fuentes_educativas'!$A$5:$A$188,M28,'21_Fuentes_educativas'!$J$5:$J$188,"CURRICULAR_REVISADA")+COUNTIFS('21_Fuentes_educativas'!$A$5:$A$188,M28,'21_Fuentes_educativas'!$J$5:$J$188,"TRANSVERSAL_IDENTIFICADA")=1,0,1)</x:f>
        <x:v>0</x:v>
      </x:c>
    </x:row>
    <x:row r="29" ht="47" customHeight="1">
      <x:c r="A29" s="4" t="str">
        <x:v>URJC-25</x:v>
      </x:c>
      <x:c r="B29" s="4" t="str">
        <x:v>2285025</x:v>
      </x:c>
      <x:c r="C29" s="4" t="str">
        <x:v>SISTEMAS OPERATIVOS</x:v>
      </x:c>
      <x:c r="D29" s="4" t="str">
        <x:v>3</x:v>
      </x:c>
      <x:c r="E29" s="4" t="str">
        <x:v>Primero</x:v>
      </x:c>
      <x:c r="F29" s="4" t="str">
        <x:v>6</x:v>
      </x:c>
      <x:c r="G29" s="4" t="str">
        <x:v>OBLIGATORIA</x:v>
      </x:c>
      <x:c r="H29" s="4" t="str">
        <x:v>F10</x:v>
      </x:c>
      <x:c r="I29" s="4" t="str">
        <x:v>Procesos; memoria; ficheros; concurrencia; administración.</x:v>
      </x:c>
      <x:c r="J29" s="4" t="str">
        <x:v>Comprender y utilizar mecanismos del sistema operativo.</x:v>
      </x:c>
      <x:c r="K29" s="4" t="str">
        <x:v>Prácticas de sistemas y programación.</x:v>
      </x:c>
      <x:c r="L29" s="4" t="str">
        <x:v>CE10; CG13; CG5; CG7</x:v>
      </x:c>
      <x:c r="M29" s="4" t="str">
        <x:v>R025</x:v>
      </x:c>
      <x:c r="N29" s="4" t="str">
        <x:v>II; III (códigos); IV; actividad académica según guía</x:v>
      </x:c>
      <x:c r="O29" s="4" t="str">
        <x:v>LECTURA CURRICULAR; ADOPCIÓN NO REGISTRADA</x:v>
      </x:c>
      <x:c r="P29" s="12" t="n">
        <x:f>VALUE(F29)</x:f>
        <x:v>6</x:v>
      </x:c>
      <x:c r="Q29" s="12" t="n">
        <x:f>COUNTIF('15_Base_universitaria'!$A$5:$A$44,A29)+COUNTIF('15_Base_universitaria'!$B$5:$B$44,B29)-2</x:f>
        <x:v>0</x:v>
      </x:c>
      <x:c r="R29" s="12" t="n">
        <x:f>IF(COUNTIF('21_Fuentes_educativas'!$A$5:$A$188,M29)=1,0,1)</x:f>
        <x:v>0</x:v>
      </x:c>
      <x:c r="S29" s="12" t="n">
        <x:f>IF(COUNTIFS('21_Fuentes_educativas'!$A$5:$A$188,M29,'21_Fuentes_educativas'!$J$5:$J$188,"CURRICULAR_REVISADA")+COUNTIFS('21_Fuentes_educativas'!$A$5:$A$188,M29,'21_Fuentes_educativas'!$J$5:$J$188,"TRANSVERSAL_IDENTIFICADA")=1,0,1)</x:f>
        <x:v>0</x:v>
      </x:c>
    </x:row>
    <x:row r="30" ht="60" customHeight="1">
      <x:c r="A30" s="4" t="str">
        <x:v>URJC-26</x:v>
      </x:c>
      <x:c r="B30" s="4" t="str">
        <x:v>2285026</x:v>
      </x:c>
      <x:c r="C30" s="4" t="str">
        <x:v>INTELIGENCIA ARTIFICIAL</x:v>
      </x:c>
      <x:c r="D30" s="4" t="str">
        <x:v>3</x:v>
      </x:c>
      <x:c r="E30" s="4" t="str">
        <x:v>Segundo</x:v>
      </x:c>
      <x:c r="F30" s="4" t="str">
        <x:v>3</x:v>
      </x:c>
      <x:c r="G30" s="4" t="str">
        <x:v>OBLIGATORIA</x:v>
      </x:c>
      <x:c r="H30" s="4" t="str">
        <x:v>F12</x:v>
      </x:c>
      <x:c r="I30" s="4" t="str">
        <x:v>Agentes; búsqueda multiagente; redes bayesianas; decisión; aprendizaje probabilístico, inductivo y por refuerzo.</x:v>
      </x:c>
      <x:c r="J30" s="4" t="str">
        <x:v>Resolver problemas, consultar modelos y desarrollar soluciones basadas en datos.</x:v>
      </x:c>
      <x:c r="K30" s="4" t="str">
        <x:v>Prácticas de búsqueda, incertidumbre y aprendizaje.</x:v>
      </x:c>
      <x:c r="L30" s="4" t="str">
        <x:v>CE05; CE15; CG5</x:v>
      </x:c>
      <x:c r="M30" s="4" t="str">
        <x:v>R026</x:v>
      </x:c>
      <x:c r="N30" s="4" t="str">
        <x:v>II; III (códigos); IV; actividad académica según guía</x:v>
      </x:c>
      <x:c r="O30" s="4" t="str">
        <x:v>LECTURA CURRICULAR; ADOPCIÓN NO REGISTRADA</x:v>
      </x:c>
      <x:c r="P30" s="12" t="n">
        <x:f>VALUE(F30)</x:f>
        <x:v>3</x:v>
      </x:c>
      <x:c r="Q30" s="12" t="n">
        <x:f>COUNTIF('15_Base_universitaria'!$A$5:$A$44,A30)+COUNTIF('15_Base_universitaria'!$B$5:$B$44,B30)-2</x:f>
        <x:v>0</x:v>
      </x:c>
      <x:c r="R30" s="12" t="n">
        <x:f>IF(COUNTIF('21_Fuentes_educativas'!$A$5:$A$188,M30)=1,0,1)</x:f>
        <x:v>0</x:v>
      </x:c>
      <x:c r="S30" s="12" t="n">
        <x:f>IF(COUNTIFS('21_Fuentes_educativas'!$A$5:$A$188,M30,'21_Fuentes_educativas'!$J$5:$J$188,"CURRICULAR_REVISADA")+COUNTIFS('21_Fuentes_educativas'!$A$5:$A$188,M30,'21_Fuentes_educativas'!$J$5:$J$188,"TRANSVERSAL_IDENTIFICADA")=1,0,1)</x:f>
        <x:v>0</x:v>
      </x:c>
    </x:row>
    <x:row r="31" ht="47" customHeight="1">
      <x:c r="A31" s="4" t="str">
        <x:v>URJC-27</x:v>
      </x:c>
      <x:c r="B31" s="4" t="str">
        <x:v>2285027</x:v>
      </x:c>
      <x:c r="C31" s="4" t="str">
        <x:v>MALWARE Y AMENAZAS DIRIGIDAS</x:v>
      </x:c>
      <x:c r="D31" s="4" t="str">
        <x:v>3</x:v>
      </x:c>
      <x:c r="E31" s="4" t="str">
        <x:v>Segundo</x:v>
      </x:c>
      <x:c r="F31" s="4" t="str">
        <x:v>6</x:v>
      </x:c>
      <x:c r="G31" s="4" t="str">
        <x:v>OBLIGATORIA</x:v>
      </x:c>
      <x:c r="H31" s="4" t="str">
        <x:v>F08</x:v>
      </x:c>
      <x:c r="I31" s="4" t="str">
        <x:v>Taxonomía de malware; propagación; análisis; amenazas dirigidas.</x:v>
      </x:c>
      <x:c r="J31" s="4" t="str">
        <x:v>Analizar muestras y razonar sobre mecanismos de protección.</x:v>
      </x:c>
      <x:c r="K31" s="4" t="str">
        <x:v>Análisis práctico en entorno controlado.</x:v>
      </x:c>
      <x:c r="L31" s="4" t="str">
        <x:v>CE20; CE26; CE27; CG7</x:v>
      </x:c>
      <x:c r="M31" s="4" t="str">
        <x:v>R027</x:v>
      </x:c>
      <x:c r="N31" s="4" t="str">
        <x:v>II; III (códigos); IV; actividad académica según guía</x:v>
      </x:c>
      <x:c r="O31" s="4" t="str">
        <x:v>LECTURA CURRICULAR; ADOPCIÓN NO REGISTRADA</x:v>
      </x:c>
      <x:c r="P31" s="12" t="n">
        <x:f>VALUE(F31)</x:f>
        <x:v>6</x:v>
      </x:c>
      <x:c r="Q31" s="12" t="n">
        <x:f>COUNTIF('15_Base_universitaria'!$A$5:$A$44,A31)+COUNTIF('15_Base_universitaria'!$B$5:$B$44,B31)-2</x:f>
        <x:v>0</x:v>
      </x:c>
      <x:c r="R31" s="12" t="n">
        <x:f>IF(COUNTIF('21_Fuentes_educativas'!$A$5:$A$188,M31)=1,0,1)</x:f>
        <x:v>0</x:v>
      </x:c>
      <x:c r="S31" s="12" t="n">
        <x:f>IF(COUNTIFS('21_Fuentes_educativas'!$A$5:$A$188,M31,'21_Fuentes_educativas'!$J$5:$J$188,"CURRICULAR_REVISADA")+COUNTIFS('21_Fuentes_educativas'!$A$5:$A$188,M31,'21_Fuentes_educativas'!$J$5:$J$188,"TRANSVERSAL_IDENTIFICADA")=1,0,1)</x:f>
        <x:v>0</x:v>
      </x:c>
    </x:row>
    <x:row r="32" ht="47" customHeight="1">
      <x:c r="A32" s="4" t="str">
        <x:v>URJC-28</x:v>
      </x:c>
      <x:c r="B32" s="4" t="str">
        <x:v>2285028</x:v>
      </x:c>
      <x:c r="C32" s="4" t="str">
        <x:v>METODOLOGIAS DE DESARROLLO SEGURO</x:v>
      </x:c>
      <x:c r="D32" s="4" t="str">
        <x:v>3</x:v>
      </x:c>
      <x:c r="E32" s="4" t="str">
        <x:v>Segundo</x:v>
      </x:c>
      <x:c r="F32" s="4" t="str">
        <x:v>6</x:v>
      </x:c>
      <x:c r="G32" s="4" t="str">
        <x:v>OBLIGATORIA</x:v>
      </x:c>
      <x:c r="H32" s="4" t="str">
        <x:v>F03</x:v>
      </x:c>
      <x:c r="I32" s="4" t="str">
        <x:v>Desarrollo seguro; debilidades; análisis y verificación del software.</x:v>
      </x:c>
      <x:c r="J32" s="4" t="str">
        <x:v>Aplicar métodos de prevención y detección de defectos de seguridad.</x:v>
      </x:c>
      <x:c r="K32" s="4" t="str">
        <x:v>Prácticas de desarrollo y análisis.</x:v>
      </x:c>
      <x:c r="L32" s="4" t="str">
        <x:v>CE08; CE10; CE14; CE25; CG13; CG3; CG4; CG7; CG8</x:v>
      </x:c>
      <x:c r="M32" s="4" t="str">
        <x:v>R028</x:v>
      </x:c>
      <x:c r="N32" s="4" t="str">
        <x:v>II; III (códigos); IV; actividad académica según guía</x:v>
      </x:c>
      <x:c r="O32" s="4" t="str">
        <x:v>LECTURA CURRICULAR; ADOPCIÓN NO REGISTRADA</x:v>
      </x:c>
      <x:c r="P32" s="12" t="n">
        <x:f>VALUE(F32)</x:f>
        <x:v>6</x:v>
      </x:c>
      <x:c r="Q32" s="12" t="n">
        <x:f>COUNTIF('15_Base_universitaria'!$A$5:$A$44,A32)+COUNTIF('15_Base_universitaria'!$B$5:$B$44,B32)-2</x:f>
        <x:v>0</x:v>
      </x:c>
      <x:c r="R32" s="12" t="n">
        <x:f>IF(COUNTIF('21_Fuentes_educativas'!$A$5:$A$188,M32)=1,0,1)</x:f>
        <x:v>0</x:v>
      </x:c>
      <x:c r="S32" s="12" t="n">
        <x:f>IF(COUNTIFS('21_Fuentes_educativas'!$A$5:$A$188,M32,'21_Fuentes_educativas'!$J$5:$J$188,"CURRICULAR_REVISADA")+COUNTIFS('21_Fuentes_educativas'!$A$5:$A$188,M32,'21_Fuentes_educativas'!$J$5:$J$188,"TRANSVERSAL_IDENTIFICADA")=1,0,1)</x:f>
        <x:v>0</x:v>
      </x:c>
    </x:row>
    <x:row r="33" ht="47" customHeight="1">
      <x:c r="A33" s="4" t="str">
        <x:v>URJC-29</x:v>
      </x:c>
      <x:c r="B33" s="4" t="str">
        <x:v>2285029</x:v>
      </x:c>
      <x:c r="C33" s="4" t="str">
        <x:v>REDES AVANZADAS Y COMPUTACION EN LA NUBE</x:v>
      </x:c>
      <x:c r="D33" s="4" t="str">
        <x:v>3</x:v>
      </x:c>
      <x:c r="E33" s="4" t="str">
        <x:v>Segundo</x:v>
      </x:c>
      <x:c r="F33" s="4" t="str">
        <x:v>6</x:v>
      </x:c>
      <x:c r="G33" s="4" t="str">
        <x:v>OBLIGATORIA</x:v>
      </x:c>
      <x:c r="H33" s="4" t="str">
        <x:v>F07</x:v>
      </x:c>
      <x:c r="I33" s="4" t="str">
        <x:v>Redes avanzadas; tráfico; nube; virtualización; SDN.</x:v>
      </x:c>
      <x:c r="J33" s="4" t="str">
        <x:v>Analizar y configurar redes y servicios avanzados.</x:v>
      </x:c>
      <x:c r="K33" s="4" t="str">
        <x:v>Prácticas y problemas de redes.</x:v>
      </x:c>
      <x:c r="L33" s="4" t="str">
        <x:v>CE11; CE13; CE23; CE24; CG12; CG5; CG6; CG7; CG8</x:v>
      </x:c>
      <x:c r="M33" s="4" t="str">
        <x:v>R029</x:v>
      </x:c>
      <x:c r="N33" s="4" t="str">
        <x:v>II; III (códigos); IV; actividad académica según guía</x:v>
      </x:c>
      <x:c r="O33" s="4" t="str">
        <x:v>LECTURA CURRICULAR; ADOPCIÓN NO REGISTRADA</x:v>
      </x:c>
      <x:c r="P33" s="12" t="n">
        <x:f>VALUE(F33)</x:f>
        <x:v>6</x:v>
      </x:c>
      <x:c r="Q33" s="12" t="n">
        <x:f>COUNTIF('15_Base_universitaria'!$A$5:$A$44,A33)+COUNTIF('15_Base_universitaria'!$B$5:$B$44,B33)-2</x:f>
        <x:v>0</x:v>
      </x:c>
      <x:c r="R33" s="12" t="n">
        <x:f>IF(COUNTIF('21_Fuentes_educativas'!$A$5:$A$188,M33)=1,0,1)</x:f>
        <x:v>0</x:v>
      </x:c>
      <x:c r="S33" s="12" t="n">
        <x:f>IF(COUNTIFS('21_Fuentes_educativas'!$A$5:$A$188,M33,'21_Fuentes_educativas'!$J$5:$J$188,"CURRICULAR_REVISADA")+COUNTIFS('21_Fuentes_educativas'!$A$5:$A$188,M33,'21_Fuentes_educativas'!$J$5:$J$188,"TRANSVERSAL_IDENTIFICADA")=1,0,1)</x:f>
        <x:v>0</x:v>
      </x:c>
    </x:row>
    <x:row r="34" ht="47" customHeight="1">
      <x:c r="A34" s="4" t="str">
        <x:v>URJC-30</x:v>
      </x:c>
      <x:c r="B34" s="4" t="str">
        <x:v>2285030</x:v>
      </x:c>
      <x:c r="C34" s="4" t="str">
        <x:v>SISTEMAS DE INFORMACION</x:v>
      </x:c>
      <x:c r="D34" s="4" t="str">
        <x:v>3</x:v>
      </x:c>
      <x:c r="E34" s="4" t="str">
        <x:v>Segundo</x:v>
      </x:c>
      <x:c r="F34" s="4" t="str">
        <x:v>6</x:v>
      </x:c>
      <x:c r="G34" s="4" t="str">
        <x:v>OBLIGATORIA</x:v>
      </x:c>
      <x:c r="H34" s="4" t="str">
        <x:v>F09</x:v>
      </x:c>
      <x:c r="I34" s="4" t="str">
        <x:v>Organización; sistemas transaccionales; OLAP; ETL; datos incompletos; recomendación y aprendizaje.</x:v>
      </x:c>
      <x:c r="J34" s="4" t="str">
        <x:v>Analizar impacto y seleccionar, implementar y gestionar sistemas de información.</x:v>
      </x:c>
      <x:c r="K34" s="4" t="str">
        <x:v>Casos y prácticas con ordenador.</x:v>
      </x:c>
      <x:c r="L34" s="4" t="str">
        <x:v>CE12; CE24; CG1; CG11; CG4; CG5; CG8; CG9</x:v>
      </x:c>
      <x:c r="M34" s="4" t="str">
        <x:v>R030</x:v>
      </x:c>
      <x:c r="N34" s="4" t="str">
        <x:v>II; III (códigos); IV; actividad académica según guía</x:v>
      </x:c>
      <x:c r="O34" s="4" t="str">
        <x:v>LECTURA CURRICULAR; ADOPCIÓN NO REGISTRADA</x:v>
      </x:c>
      <x:c r="P34" s="12" t="n">
        <x:f>VALUE(F34)</x:f>
        <x:v>6</x:v>
      </x:c>
      <x:c r="Q34" s="12" t="n">
        <x:f>COUNTIF('15_Base_universitaria'!$A$5:$A$44,A34)+COUNTIF('15_Base_universitaria'!$B$5:$B$44,B34)-2</x:f>
        <x:v>0</x:v>
      </x:c>
      <x:c r="R34" s="12" t="n">
        <x:f>IF(COUNTIF('21_Fuentes_educativas'!$A$5:$A$188,M34)=1,0,1)</x:f>
        <x:v>0</x:v>
      </x:c>
      <x:c r="S34" s="12" t="n">
        <x:f>IF(COUNTIFS('21_Fuentes_educativas'!$A$5:$A$188,M34,'21_Fuentes_educativas'!$J$5:$J$188,"CURRICULAR_REVISADA")+COUNTIFS('21_Fuentes_educativas'!$A$5:$A$188,M34,'21_Fuentes_educativas'!$J$5:$J$188,"TRANSVERSAL_IDENTIFICADA")=1,0,1)</x:f>
        <x:v>0</x:v>
      </x:c>
    </x:row>
    <x:row r="35" ht="47" customHeight="1">
      <x:c r="A35" s="4" t="str">
        <x:v>URJC-31</x:v>
      </x:c>
      <x:c r="B35" s="4" t="str">
        <x:v>2285031</x:v>
      </x:c>
      <x:c r="C35" s="4" t="str">
        <x:v>VISION ARTIFICIAL APLICADA A LA CIBERSEGURIDAD</x:v>
      </x:c>
      <x:c r="D35" s="4" t="str">
        <x:v>3</x:v>
      </x:c>
      <x:c r="E35" s="4" t="str">
        <x:v>Segundo</x:v>
      </x:c>
      <x:c r="F35" s="4" t="str">
        <x:v>3</x:v>
      </x:c>
      <x:c r="G35" s="4" t="str">
        <x:v>OBLIGATORIA</x:v>
      </x:c>
      <x:c r="H35" s="4" t="str">
        <x:v>F12</x:v>
      </x:c>
      <x:c r="I35" s="4" t="str">
        <x:v>Procesamiento de imagen; clasificadores; redes neuronales; biometría y ataques.</x:v>
      </x:c>
      <x:c r="J35" s="4" t="str">
        <x:v>Analizar aplicaciones de visión y sus contramedidas.</x:v>
      </x:c>
      <x:c r="K35" s="4" t="str">
        <x:v>Prácticas y casos de aplicaciones reales.</x:v>
      </x:c>
      <x:c r="L35" s="4" t="str">
        <x:v>CE25; CE28; CG7; CG8</x:v>
      </x:c>
      <x:c r="M35" s="4" t="str">
        <x:v>R031</x:v>
      </x:c>
      <x:c r="N35" s="4" t="str">
        <x:v>II; III (códigos); IV; actividad académica según guía</x:v>
      </x:c>
      <x:c r="O35" s="4" t="str">
        <x:v>LECTURA CURRICULAR; ADOPCIÓN NO REGISTRADA</x:v>
      </x:c>
      <x:c r="P35" s="12" t="n">
        <x:f>VALUE(F35)</x:f>
        <x:v>3</x:v>
      </x:c>
      <x:c r="Q35" s="12" t="n">
        <x:f>COUNTIF('15_Base_universitaria'!$A$5:$A$44,A35)+COUNTIF('15_Base_universitaria'!$B$5:$B$44,B35)-2</x:f>
        <x:v>0</x:v>
      </x:c>
      <x:c r="R35" s="12" t="n">
        <x:f>IF(COUNTIF('21_Fuentes_educativas'!$A$5:$A$188,M35)=1,0,1)</x:f>
        <x:v>0</x:v>
      </x:c>
      <x:c r="S35" s="12" t="n">
        <x:f>IF(COUNTIFS('21_Fuentes_educativas'!$A$5:$A$188,M35,'21_Fuentes_educativas'!$J$5:$J$188,"CURRICULAR_REVISADA")+COUNTIFS('21_Fuentes_educativas'!$A$5:$A$188,M35,'21_Fuentes_educativas'!$J$5:$J$188,"TRANSVERSAL_IDENTIFICADA")=1,0,1)</x:f>
        <x:v>0</x:v>
      </x:c>
    </x:row>
    <x:row r="36" ht="47" customHeight="1">
      <x:c r="A36" s="4" t="str">
        <x:v>URJC-32</x:v>
      </x:c>
      <x:c r="B36" s="4" t="str">
        <x:v>2285032</x:v>
      </x:c>
      <x:c r="C36" s="4" t="str">
        <x:v>AUDITORIA</x:v>
      </x:c>
      <x:c r="D36" s="4" t="str">
        <x:v>4</x:v>
      </x:c>
      <x:c r="E36" s="4" t="str">
        <x:v>Primero</x:v>
      </x:c>
      <x:c r="F36" s="4" t="str">
        <x:v>3</x:v>
      </x:c>
      <x:c r="G36" s="4" t="str">
        <x:v>OBLIGATORIA</x:v>
      </x:c>
      <x:c r="H36" s="4" t="str">
        <x:v>F06</x:v>
      </x:c>
      <x:c r="I36" s="4" t="str">
        <x:v>Auditoría de seguridad; alcance; métodos; evidencia y conclusiones.</x:v>
      </x:c>
      <x:c r="J36" s="4" t="str">
        <x:v>Planificar y realizar una auditoría en el alcance definido.</x:v>
      </x:c>
      <x:c r="K36" s="4" t="str">
        <x:v>Caso o proyecto de auditoría.</x:v>
      </x:c>
      <x:c r="L36" s="4" t="str">
        <x:v>CE21; CE33; CE34; CG11; CG12; CG13; CG3; CG6</x:v>
      </x:c>
      <x:c r="M36" s="4" t="str">
        <x:v>R032</x:v>
      </x:c>
      <x:c r="N36" s="4" t="str">
        <x:v>II; III (códigos); IV; actividad académica según guía</x:v>
      </x:c>
      <x:c r="O36" s="4" t="str">
        <x:v>LECTURA CURRICULAR; ADOPCIÓN NO REGISTRADA</x:v>
      </x:c>
      <x:c r="P36" s="12" t="n">
        <x:f>VALUE(F36)</x:f>
        <x:v>3</x:v>
      </x:c>
      <x:c r="Q36" s="12" t="n">
        <x:f>COUNTIF('15_Base_universitaria'!$A$5:$A$44,A36)+COUNTIF('15_Base_universitaria'!$B$5:$B$44,B36)-2</x:f>
        <x:v>0</x:v>
      </x:c>
      <x:c r="R36" s="12" t="n">
        <x:f>IF(COUNTIF('21_Fuentes_educativas'!$A$5:$A$188,M36)=1,0,1)</x:f>
        <x:v>0</x:v>
      </x:c>
      <x:c r="S36" s="12" t="n">
        <x:f>IF(COUNTIFS('21_Fuentes_educativas'!$A$5:$A$188,M36,'21_Fuentes_educativas'!$J$5:$J$188,"CURRICULAR_REVISADA")+COUNTIFS('21_Fuentes_educativas'!$A$5:$A$188,M36,'21_Fuentes_educativas'!$J$5:$J$188,"TRANSVERSAL_IDENTIFICADA")=1,0,1)</x:f>
        <x:v>0</x:v>
      </x:c>
    </x:row>
    <x:row r="37" ht="47" customHeight="1">
      <x:c r="A37" s="4" t="str">
        <x:v>URJC-33</x:v>
      </x:c>
      <x:c r="B37" s="4" t="str">
        <x:v>2285033</x:v>
      </x:c>
      <x:c r="C37" s="4" t="str">
        <x:v>INTELIGENCIA DE LA SEGURIDAD</x:v>
      </x:c>
      <x:c r="D37" s="4" t="str">
        <x:v>4</x:v>
      </x:c>
      <x:c r="E37" s="4" t="str">
        <x:v>Primero</x:v>
      </x:c>
      <x:c r="F37" s="4" t="str">
        <x:v>6</x:v>
      </x:c>
      <x:c r="G37" s="4" t="str">
        <x:v>OBLIGATORIA</x:v>
      </x:c>
      <x:c r="H37" s="4" t="str">
        <x:v>F13</x:v>
      </x:c>
      <x:c r="I37" s="4" t="str">
        <x:v>SOC; correlación; DFIR; custodia; inteligencia; hipótesis de hunting; continuidad y recuperación.</x:v>
      </x:c>
      <x:c r="J37" s="4" t="str">
        <x:v>Detectar e investigar incidentes y relacionar respuesta, evidencia y continuidad.</x:v>
      </x:c>
      <x:c r="K37" s="4" t="str">
        <x:v>Prácticas de detección/respuesta, análisis forense y logs.</x:v>
      </x:c>
      <x:c r="L37" s="4" t="str">
        <x:v>CE29; CE30; CE31; CE32; CG3; CG8</x:v>
      </x:c>
      <x:c r="M37" s="4" t="str">
        <x:v>R033</x:v>
      </x:c>
      <x:c r="N37" s="4" t="str">
        <x:v>II; III (códigos); IV; actividad académica según guía</x:v>
      </x:c>
      <x:c r="O37" s="4" t="str">
        <x:v>LECTURA CURRICULAR; ADOPCIÓN NO REGISTRADA</x:v>
      </x:c>
      <x:c r="P37" s="12" t="n">
        <x:f>VALUE(F37)</x:f>
        <x:v>6</x:v>
      </x:c>
      <x:c r="Q37" s="12" t="n">
        <x:f>COUNTIF('15_Base_universitaria'!$A$5:$A$44,A37)+COUNTIF('15_Base_universitaria'!$B$5:$B$44,B37)-2</x:f>
        <x:v>0</x:v>
      </x:c>
      <x:c r="R37" s="12" t="n">
        <x:f>IF(COUNTIF('21_Fuentes_educativas'!$A$5:$A$188,M37)=1,0,1)</x:f>
        <x:v>0</x:v>
      </x:c>
      <x:c r="S37" s="12" t="n">
        <x:f>IF(COUNTIFS('21_Fuentes_educativas'!$A$5:$A$188,M37,'21_Fuentes_educativas'!$J$5:$J$188,"CURRICULAR_REVISADA")+COUNTIFS('21_Fuentes_educativas'!$A$5:$A$188,M37,'21_Fuentes_educativas'!$J$5:$J$188,"TRANSVERSAL_IDENTIFICADA")=1,0,1)</x:f>
        <x:v>0</x:v>
      </x:c>
    </x:row>
    <x:row r="38" ht="47" customHeight="1">
      <x:c r="A38" s="4" t="str">
        <x:v>URJC-34</x:v>
      </x:c>
      <x:c r="B38" s="4" t="str">
        <x:v>2285034</x:v>
      </x:c>
      <x:c r="C38" s="4" t="str">
        <x:v>PENTESTING</x:v>
      </x:c>
      <x:c r="D38" s="4" t="str">
        <x:v>4</x:v>
      </x:c>
      <x:c r="E38" s="4" t="str">
        <x:v>Primero</x:v>
      </x:c>
      <x:c r="F38" s="4" t="str">
        <x:v>3</x:v>
      </x:c>
      <x:c r="G38" s="4" t="str">
        <x:v>OBLIGATORIA</x:v>
      </x:c>
      <x:c r="H38" s="4" t="str">
        <x:v>F08</x:v>
      </x:c>
      <x:c r="I38" s="4" t="str">
        <x:v>Alcance; informes; pruebas web, móviles e IoT; IA en pentesting.</x:v>
      </x:c>
      <x:c r="J38" s="4" t="str">
        <x:v>Evaluar seguridad mediante pruebas autorizadas y comunicar resultados.</x:v>
      </x:c>
      <x:c r="K38" s="4" t="str">
        <x:v>Prácticas y pruebas sobre fases y entornos.</x:v>
      </x:c>
      <x:c r="L38" s="4" t="str">
        <x:v>CE20; CE21; CE34; CG6; CG7</x:v>
      </x:c>
      <x:c r="M38" s="4" t="str">
        <x:v>R034</x:v>
      </x:c>
      <x:c r="N38" s="4" t="str">
        <x:v>II; III (códigos); IV; actividad académica según guía</x:v>
      </x:c>
      <x:c r="O38" s="4" t="str">
        <x:v>LECTURA CURRICULAR; ADOPCIÓN NO REGISTRADA</x:v>
      </x:c>
      <x:c r="P38" s="12" t="n">
        <x:f>VALUE(F38)</x:f>
        <x:v>3</x:v>
      </x:c>
      <x:c r="Q38" s="12" t="n">
        <x:f>COUNTIF('15_Base_universitaria'!$A$5:$A$44,A38)+COUNTIF('15_Base_universitaria'!$B$5:$B$44,B38)-2</x:f>
        <x:v>0</x:v>
      </x:c>
      <x:c r="R38" s="12" t="n">
        <x:f>IF(COUNTIF('21_Fuentes_educativas'!$A$5:$A$188,M38)=1,0,1)</x:f>
        <x:v>0</x:v>
      </x:c>
      <x:c r="S38" s="12" t="n">
        <x:f>IF(COUNTIFS('21_Fuentes_educativas'!$A$5:$A$188,M38,'21_Fuentes_educativas'!$J$5:$J$188,"CURRICULAR_REVISADA")+COUNTIFS('21_Fuentes_educativas'!$A$5:$A$188,M38,'21_Fuentes_educativas'!$J$5:$J$188,"TRANSVERSAL_IDENTIFICADA")=1,0,1)</x:f>
        <x:v>0</x:v>
      </x:c>
    </x:row>
    <x:row r="39" ht="47" customHeight="1">
      <x:c r="A39" s="4" t="str">
        <x:v>URJC-35</x:v>
      </x:c>
      <x:c r="B39" s="4" t="str">
        <x:v>2285036</x:v>
      </x:c>
      <x:c r="C39" s="4" t="str">
        <x:v>ANALISIS Y GESTION DEL RIESGO</x:v>
      </x:c>
      <x:c r="D39" s="4" t="str">
        <x:v>4</x:v>
      </x:c>
      <x:c r="E39" s="4" t="str">
        <x:v>Segundo</x:v>
      </x:c>
      <x:c r="F39" s="4" t="str">
        <x:v>6</x:v>
      </x:c>
      <x:c r="G39" s="4" t="str">
        <x:v>OBLIGATORIA</x:v>
      </x:c>
      <x:c r="H39" s="4" t="str">
        <x:v>F06</x:v>
      </x:c>
      <x:c r="I39" s="4" t="str">
        <x:v>Métodos cualitativos; FAIR; Montecarlo; calibración; retornos; transferencia y sesgos.</x:v>
      </x:c>
      <x:c r="J39" s="4" t="str">
        <x:v>Escoger métodos, estimar riesgo y justificar tratamiento y comunicación.</x:v>
      </x:c>
      <x:c r="K39" s="4" t="str">
        <x:v>Casos, talleres de calibración y prácticas de análisis y gestión.</x:v>
      </x:c>
      <x:c r="L39" s="4" t="str">
        <x:v>CE18; CE22; CE29; CE30; CE37; CG10; CG11; CG12; CG3; CG4; CG8</x:v>
      </x:c>
      <x:c r="M39" s="4" t="str">
        <x:v>R035</x:v>
      </x:c>
      <x:c r="N39" s="4" t="str">
        <x:v>II; III (códigos); IV; actividad académica según guía</x:v>
      </x:c>
      <x:c r="O39" s="4" t="str">
        <x:v>LECTURA CURRICULAR; ADOPCIÓN NO REGISTRADA</x:v>
      </x:c>
      <x:c r="P39" s="12" t="n">
        <x:f>VALUE(F39)</x:f>
        <x:v>6</x:v>
      </x:c>
      <x:c r="Q39" s="12" t="n">
        <x:f>COUNTIF('15_Base_universitaria'!$A$5:$A$44,A39)+COUNTIF('15_Base_universitaria'!$B$5:$B$44,B39)-2</x:f>
        <x:v>0</x:v>
      </x:c>
      <x:c r="R39" s="12" t="n">
        <x:f>IF(COUNTIF('21_Fuentes_educativas'!$A$5:$A$188,M39)=1,0,1)</x:f>
        <x:v>0</x:v>
      </x:c>
      <x:c r="S39" s="12" t="n">
        <x:f>IF(COUNTIFS('21_Fuentes_educativas'!$A$5:$A$188,M39,'21_Fuentes_educativas'!$J$5:$J$188,"CURRICULAR_REVISADA")+COUNTIFS('21_Fuentes_educativas'!$A$5:$A$188,M39,'21_Fuentes_educativas'!$J$5:$J$188,"TRANSVERSAL_IDENTIFICADA")=1,0,1)</x:f>
        <x:v>0</x:v>
      </x:c>
    </x:row>
    <x:row r="40" ht="47" customHeight="1">
      <x:c r="A40" s="4" t="str">
        <x:v>URJC-36</x:v>
      </x:c>
      <x:c r="B40" s="4" t="str">
        <x:v>2285037</x:v>
      </x:c>
      <x:c r="C40" s="4" t="str">
        <x:v>PROTECCION DE INFRAESTRUCTURAS CRITICAS</x:v>
      </x:c>
      <x:c r="D40" s="4" t="str">
        <x:v>4</x:v>
      </x:c>
      <x:c r="E40" s="4" t="str">
        <x:v>Segundo</x:v>
      </x:c>
      <x:c r="F40" s="4" t="str">
        <x:v>3</x:v>
      </x:c>
      <x:c r="G40" s="4" t="str">
        <x:v>OBLIGATORIA</x:v>
      </x:c>
      <x:c r="H40" s="4" t="str">
        <x:v>F14</x:v>
      </x:c>
      <x:c r="I40" s="4" t="str">
        <x:v>Sistemas industriales; infraestructuras críticas; interdependencias.</x:v>
      </x:c>
      <x:c r="J40" s="4" t="str">
        <x:v>Analizar amenazas y medidas considerando efectos en sistemas físicos.</x:v>
      </x:c>
      <x:c r="K40" s="4" t="str">
        <x:v>Casos de protección de infraestructuras.</x:v>
      </x:c>
      <x:c r="L40" s="4" t="str">
        <x:v>CE13; CE28; CE35; CE37; CG11; CG12; CG3; CG6; CG7; CG8; CG9</x:v>
      </x:c>
      <x:c r="M40" s="4" t="str">
        <x:v>R036</x:v>
      </x:c>
      <x:c r="N40" s="4" t="str">
        <x:v>II; III (códigos); IV; actividad académica según guía</x:v>
      </x:c>
      <x:c r="O40" s="4" t="str">
        <x:v>LECTURA CURRICULAR; ADOPCIÓN NO REGISTRADA</x:v>
      </x:c>
      <x:c r="P40" s="12" t="n">
        <x:f>VALUE(F40)</x:f>
        <x:v>3</x:v>
      </x:c>
      <x:c r="Q40" s="12" t="n">
        <x:f>COUNTIF('15_Base_universitaria'!$A$5:$A$44,A40)+COUNTIF('15_Base_universitaria'!$B$5:$B$44,B40)-2</x:f>
        <x:v>0</x:v>
      </x:c>
      <x:c r="R40" s="12" t="n">
        <x:f>IF(COUNTIF('21_Fuentes_educativas'!$A$5:$A$188,M40)=1,0,1)</x:f>
        <x:v>0</x:v>
      </x:c>
      <x:c r="S40" s="12" t="n">
        <x:f>IF(COUNTIFS('21_Fuentes_educativas'!$A$5:$A$188,M40,'21_Fuentes_educativas'!$J$5:$J$188,"CURRICULAR_REVISADA")+COUNTIFS('21_Fuentes_educativas'!$A$5:$A$188,M40,'21_Fuentes_educativas'!$J$5:$J$188,"TRANSVERSAL_IDENTIFICADA")=1,0,1)</x:f>
        <x:v>0</x:v>
      </x:c>
    </x:row>
    <x:row r="41" ht="47" customHeight="1">
      <x:c r="A41" s="4" t="str">
        <x:v>URJC-37</x:v>
      </x:c>
      <x:c r="B41" s="4" t="str">
        <x:v>2285038</x:v>
      </x:c>
      <x:c r="C41" s="4" t="str">
        <x:v>REGULACION Y GOBERNANZA DE LA SEGURIDAD</x:v>
      </x:c>
      <x:c r="D41" s="4" t="str">
        <x:v>4</x:v>
      </x:c>
      <x:c r="E41" s="4" t="str">
        <x:v>Segundo</x:v>
      </x:c>
      <x:c r="F41" s="4" t="str">
        <x:v>3</x:v>
      </x:c>
      <x:c r="G41" s="4" t="str">
        <x:v>OBLIGATORIA</x:v>
      </x:c>
      <x:c r="H41" s="4" t="str">
        <x:v>F05</x:v>
      </x:c>
      <x:c r="I41" s="4" t="str">
        <x:v>Gobierno; estrategia; regulación; políticas y controles.</x:v>
      </x:c>
      <x:c r="J41" s="4" t="str">
        <x:v>Definir y valorar gobierno de seguridad en su contexto.</x:v>
      </x:c>
      <x:c r="K41" s="4" t="str">
        <x:v>Casos y propuestas de gobierno.</x:v>
      </x:c>
      <x:c r="L41" s="4" t="str">
        <x:v>CE18; CE22; CE29; CE30; CG3; CG6; CG7; CG9</x:v>
      </x:c>
      <x:c r="M41" s="4" t="str">
        <x:v>R037</x:v>
      </x:c>
      <x:c r="N41" s="4" t="str">
        <x:v>II; III (códigos); IV; actividad académica según guía</x:v>
      </x:c>
      <x:c r="O41" s="4" t="str">
        <x:v>LECTURA CURRICULAR; ADOPCIÓN NO REGISTRADA</x:v>
      </x:c>
      <x:c r="P41" s="12" t="n">
        <x:f>VALUE(F41)</x:f>
        <x:v>3</x:v>
      </x:c>
      <x:c r="Q41" s="12" t="n">
        <x:f>COUNTIF('15_Base_universitaria'!$A$5:$A$44,A41)+COUNTIF('15_Base_universitaria'!$B$5:$B$44,B41)-2</x:f>
        <x:v>0</x:v>
      </x:c>
      <x:c r="R41" s="12" t="n">
        <x:f>IF(COUNTIF('21_Fuentes_educativas'!$A$5:$A$188,M41)=1,0,1)</x:f>
        <x:v>0</x:v>
      </x:c>
      <x:c r="S41" s="12" t="n">
        <x:f>IF(COUNTIFS('21_Fuentes_educativas'!$A$5:$A$188,M41,'21_Fuentes_educativas'!$J$5:$J$188,"CURRICULAR_REVISADA")+COUNTIFS('21_Fuentes_educativas'!$A$5:$A$188,M41,'21_Fuentes_educativas'!$J$5:$J$188,"TRANSVERSAL_IDENTIFICADA")=1,0,1)</x:f>
        <x:v>0</x:v>
      </x:c>
    </x:row>
    <x:row r="42" ht="47" customHeight="1">
      <x:c r="A42" s="4" t="str">
        <x:v>URJC-38</x:v>
      </x:c>
      <x:c r="B42" s="4" t="str">
        <x:v>2285039</x:v>
      </x:c>
      <x:c r="C42" s="4" t="str">
        <x:v>PRACTICAS EXTERNAS</x:v>
      </x:c>
      <x:c r="D42" s="4" t="str">
        <x:v>4</x:v>
      </x:c>
      <x:c r="E42" s="4" t="str">
        <x:v>No indicado</x:v>
      </x:c>
      <x:c r="F42" s="4" t="str">
        <x:v>15</x:v>
      </x:c>
      <x:c r="G42" s="4" t="str">
        <x:v>OBLIGATORIA</x:v>
      </x:c>
      <x:c r="H42" s="4" t="str">
        <x:v>F15</x:v>
      </x:c>
      <x:c r="I42" s="4" t="str">
        <x:v>Aplicación tutelada, responsabilidad y adaptación al contexto profesional.</x:v>
      </x:c>
      <x:c r="J42" s="4" t="str">
        <x:v>Integrar conocimientos, resolver problemas y documentar la actuación.</x:v>
      </x:c>
      <x:c r="K42" s="4" t="str">
        <x:v>Proyecto formativo; tutor de entidad y académico; informes intermedio y final.</x:v>
      </x:c>
      <x:c r="L42" s="4" t="str">
        <x:v>CG1; CG10; CG14; CG18; CG2; CG3</x:v>
      </x:c>
      <x:c r="M42" s="4" t="str">
        <x:v>R038</x:v>
      </x:c>
      <x:c r="N42" s="4" t="str">
        <x:v>II; III (códigos); IV; VII.A para prácticas/TFG</x:v>
      </x:c>
      <x:c r="O42" s="4" t="str">
        <x:v>LECTURA CURRICULAR; ADOPCIÓN NO REGISTRADA</x:v>
      </x:c>
      <x:c r="P42" s="12" t="n">
        <x:f>VALUE(F42)</x:f>
        <x:v>15</x:v>
      </x:c>
      <x:c r="Q42" s="12" t="n">
        <x:f>COUNTIF('15_Base_universitaria'!$A$5:$A$44,A42)+COUNTIF('15_Base_universitaria'!$B$5:$B$44,B42)-2</x:f>
        <x:v>0</x:v>
      </x:c>
      <x:c r="R42" s="12" t="n">
        <x:f>IF(COUNTIF('21_Fuentes_educativas'!$A$5:$A$188,M42)=1,0,1)</x:f>
        <x:v>0</x:v>
      </x:c>
      <x:c r="S42" s="12" t="n">
        <x:f>IF(COUNTIFS('21_Fuentes_educativas'!$A$5:$A$188,M42,'21_Fuentes_educativas'!$J$5:$J$188,"CURRICULAR_REVISADA")+COUNTIFS('21_Fuentes_educativas'!$A$5:$A$188,M42,'21_Fuentes_educativas'!$J$5:$J$188,"TRANSVERSAL_IDENTIFICADA")=1,0,1)</x:f>
        <x:v>0</x:v>
      </x:c>
    </x:row>
    <x:row r="43" ht="47" customHeight="1">
      <x:c r="A43" s="4" t="str">
        <x:v>URJC-39</x:v>
      </x:c>
      <x:c r="B43" s="4" t="str">
        <x:v>2285035</x:v>
      </x:c>
      <x:c r="C43" s="4" t="str">
        <x:v>RECONOCIMIENTO ACADEMICO DE CREDITOS</x:v>
      </x:c>
      <x:c r="D43" s="4" t="str">
        <x:v>4</x:v>
      </x:c>
      <x:c r="E43" s="4" t="str">
        <x:v>No indicado</x:v>
      </x:c>
      <x:c r="F43" s="4" t="str">
        <x:v>6</x:v>
      </x:c>
      <x:c r="G43" s="4" t="str">
        <x:v>OBLIGATORIA</x:v>
      </x:c>
      <x:c r="H43" s="4" t="str">
        <x:v>F11</x:v>
      </x:c>
      <x:c r="I43" s="4" t="str">
        <x:v>Participación universitaria reconocida académicamente.</x:v>
      </x:c>
      <x:c r="J43" s="4" t="str">
        <x:v>Contribuir a actividades transversales acreditables.</x:v>
      </x:c>
      <x:c r="K43" s="4" t="str">
        <x:v>Componente de titulación; no se convierte en contenido técnico.</x:v>
      </x:c>
      <x:c r="L43" s="4" t="str"/>
      <x:c r="M43" s="4" t="str">
        <x:v>R039</x:v>
      </x:c>
      <x:c r="N43" s="4" t="str">
        <x:v>II; III (códigos); IV; actividad académica según guía</x:v>
      </x:c>
      <x:c r="O43" s="4" t="str">
        <x:v>LECTURA CURRICULAR; ADOPCIÓN NO REGISTRADA</x:v>
      </x:c>
      <x:c r="P43" s="12" t="n">
        <x:f>VALUE(F43)</x:f>
        <x:v>6</x:v>
      </x:c>
      <x:c r="Q43" s="12" t="n">
        <x:f>COUNTIF('15_Base_universitaria'!$A$5:$A$44,A43)+COUNTIF('15_Base_universitaria'!$B$5:$B$44,B43)-2</x:f>
        <x:v>0</x:v>
      </x:c>
      <x:c r="R43" s="12" t="n">
        <x:f>IF(COUNTIF('21_Fuentes_educativas'!$A$5:$A$188,M43)=1,0,1)</x:f>
        <x:v>0</x:v>
      </x:c>
      <x:c r="S43" s="12" t="n">
        <x:f>IF(COUNTIFS('21_Fuentes_educativas'!$A$5:$A$188,M43,'21_Fuentes_educativas'!$J$5:$J$188,"CURRICULAR_REVISADA")+COUNTIFS('21_Fuentes_educativas'!$A$5:$A$188,M43,'21_Fuentes_educativas'!$J$5:$J$188,"TRANSVERSAL_IDENTIFICADA")=1,0,1)</x:f>
        <x:v>0</x:v>
      </x:c>
    </x:row>
    <x:row r="44" ht="47" customHeight="1">
      <x:c r="A44" s="4" t="str">
        <x:v>URJC-40</x:v>
      </x:c>
      <x:c r="B44" s="4" t="str">
        <x:v>2285040</x:v>
      </x:c>
      <x:c r="C44" s="4" t="str">
        <x:v>TRABAJO FIN DE GRADO</x:v>
      </x:c>
      <x:c r="D44" s="4" t="str">
        <x:v>4</x:v>
      </x:c>
      <x:c r="E44" s="4" t="str">
        <x:v>No indicado</x:v>
      </x:c>
      <x:c r="F44" s="4" t="str">
        <x:v>15</x:v>
      </x:c>
      <x:c r="G44" s="4" t="str">
        <x:v>OBLIGATORIA</x:v>
      </x:c>
      <x:c r="H44" s="4" t="str">
        <x:v>F15</x:v>
      </x:c>
      <x:c r="I44" s="4" t="str">
        <x:v>Integración, interpretación de datos, juicio ético y comunicación mediante un trabajo final.</x:v>
      </x:c>
      <x:c r="J44" s="4" t="str">
        <x:v>Plantear y defender un proyecto; discutir resultados y conclusiones con el tutor.</x:v>
      </x:c>
      <x:c r="K44" s="4" t="str">
        <x:v>Memoria, metodología y defensa ante tribunal; guía VII.A. No es ejecución SV.</x:v>
      </x:c>
      <x:c r="L44" s="4" t="str">
        <x:v>CG1; CG11; CG12; CG13; CG14; CG15; CG16; CG17; CG18; CG2; CG3; CG5; CG8</x:v>
      </x:c>
      <x:c r="M44" s="4" t="str">
        <x:v>R040</x:v>
      </x:c>
      <x:c r="N44" s="4" t="str">
        <x:v>II; III (códigos); IV; VII.A para prácticas/TFG</x:v>
      </x:c>
      <x:c r="O44" s="4" t="str">
        <x:v>LECTURA CURRICULAR; ADOPCIÓN NO REGISTRADA</x:v>
      </x:c>
      <x:c r="P44" s="12" t="n">
        <x:f>VALUE(F44)</x:f>
        <x:v>15</x:v>
      </x:c>
      <x:c r="Q44" s="12" t="n">
        <x:f>COUNTIF('15_Base_universitaria'!$A$5:$A$44,A44)+COUNTIF('15_Base_universitaria'!$B$5:$B$44,B44)-2</x:f>
        <x:v>0</x:v>
      </x:c>
      <x:c r="R44" s="12" t="n">
        <x:f>IF(COUNTIF('21_Fuentes_educativas'!$A$5:$A$188,M44)=1,0,1)</x:f>
        <x:v>0</x:v>
      </x:c>
      <x:c r="S44" s="12" t="n">
        <x:f>IF(COUNTIFS('21_Fuentes_educativas'!$A$5:$A$188,M44,'21_Fuentes_educativas'!$J$5:$J$188,"CURRICULAR_REVISADA")+COUNTIFS('21_Fuentes_educativas'!$A$5:$A$188,M44,'21_Fuentes_educativas'!$J$5:$J$188,"TRANSVERSAL_IDENTIFICADA")=1,0,1)</x:f>
        <x:v>0</x:v>
      </x:c>
    </x:row>
  </x:sheetData>
  <x:mergeCells>
    <x:mergeCell ref="A1:D1"/>
    <x:mergeCell ref="A2:F2"/>
  </x:mergeCells>
  <x:conditionalFormatting sqref="Q5:Q44">
    <x:cfRule type="expression" dxfId="0" priority="1">
      <x:formula>Q5&gt;0</x:formula>
    </x:cfRule>
  </x:conditionalFormatting>
  <x:conditionalFormatting sqref="R5:R44">
    <x:cfRule type="expression" dxfId="1" priority="2">
      <x:formula>R5&gt;0</x:formula>
    </x:cfRule>
  </x:conditionalFormatting>
  <x:conditionalFormatting sqref="S5:S44">
    <x:cfRule type="expression" dxfId="2" priority="3">
      <x:formula>S5&gt;0</x:formula>
    </x:cfRule>
  </x:conditionalFormatting>
  <x:pageMargins left="0.7" right="0.7" top="0.75" bottom="0.75" header="0.3" footer="0.3"/>
  <x:tableParts count="1">
    <x:tablePart xmlns:r="http://schemas.openxmlformats.org/officeDocument/2006/relationships" r:id="Rf91a4994bb5e480f"/>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7" hidden="0" customWidth="1"/>
    <x:col min="4" max="4" width="43" hidden="0" customWidth="1"/>
    <x:col min="5" max="5" width="24" hidden="0" customWidth="1"/>
    <x:col min="6" max="6" width="72" hidden="0" customWidth="1"/>
    <x:col min="7" max="7" width="69" hidden="0" customWidth="1"/>
    <x:col min="8" max="8" width="18" hidden="0" customWidth="1"/>
    <x:col min="9" max="9" width="18" hidden="0" customWidth="1"/>
  </x:cols>
  <x:sheetData>
    <x:row r="1" ht="35" customHeight="1">
      <x:c r="A1" s="6" t="str">
        <x:v>PROGRESIÓN · relaciones educativas documentadas</x:v>
      </x:c>
      <x:c r="B1" s="6"/>
      <x:c r="C1" s="6"/>
      <x:c r="D1" s="6"/>
      <x:c r="E1" s="6"/>
      <x:c r="F1" s="6"/>
      <x:c r="G1" s="6"/>
      <x:c r="H1" s="6"/>
      <x:c r="I1" s="6"/>
    </x:row>
    <x:row r="2" ht="52" customHeight="1">
      <x:c r="A2" s="8" t="str">
        <x:v>El curso y semestre de cada asignatura están en 15. Aquí se distinguen dependencias educativas de los permisos de matrícula; no se imponen precedencias nuevas.</x:v>
      </x:c>
      <x:c r="B2" s="8"/>
      <x:c r="C2" s="8"/>
      <x:c r="D2" s="8"/>
      <x:c r="E2" s="8"/>
      <x:c r="F2" s="8"/>
      <x:c r="G2" s="8"/>
      <x:c r="H2" s="8"/>
      <x:c r="I2" s="8"/>
    </x:row>
    <x:row r="3">
      <x:c r="A3" s="4"/>
      <x:c r="B3" s="4"/>
      <x:c r="C3" s="4"/>
      <x:c r="D3" s="4"/>
      <x:c r="E3" s="4"/>
      <x:c r="F3" s="4"/>
      <x:c r="G3" s="4"/>
      <x:c r="H3" s="4"/>
      <x:c r="I3" s="4"/>
    </x:row>
    <x:row r="4" ht="42" customHeight="1">
      <x:c r="A4" s="10" t="str">
        <x:v>ID</x:v>
      </x:c>
      <x:c r="B4" s="10" t="str">
        <x:v>Base</x:v>
      </x:c>
      <x:c r="C4" s="10" t="str">
        <x:v>Continuación</x:v>
      </x:c>
      <x:c r="D4" s="10" t="str">
        <x:v>Relación publicada</x:v>
      </x:c>
      <x:c r="E4" s="10" t="str">
        <x:v>Fuente / localizador</x:v>
      </x:c>
      <x:c r="F4" s="10" t="str">
        <x:v>Evidencia</x:v>
      </x:c>
      <x:c r="G4" s="10" t="str">
        <x:v>Límite</x:v>
      </x:c>
      <x:c r="H4" s="10" t="str">
        <x:v>Origen ausente</x:v>
      </x:c>
      <x:c r="I4" s="10" t="str">
        <x:v>Destino ausente</x:v>
      </x:c>
    </x:row>
    <x:row r="5" ht="47" customHeight="1">
      <x:c r="A5" s="4" t="str">
        <x:v>PR-01</x:v>
      </x:c>
      <x:c r="B5" s="4" t="str">
        <x:v>URJC-03</x:v>
      </x:c>
      <x:c r="C5" s="4" t="str">
        <x:v>URJC-10</x:v>
      </x:c>
      <x:c r="D5" s="4" t="str">
        <x:v>Dependencia alta en diagrama institucional</x:v>
      </x:c>
      <x:c r="E5" s="4" t="str">
        <x:v>E012 · p. 1</x:v>
      </x:c>
      <x:c r="F5" s="4" t="str">
        <x:v>Arista roja comprobada visualmente; selección de ocho, no transcripción de todas las aristas.</x:v>
      </x:c>
      <x:c r="G5" s="4" t="str">
        <x:v>No equivale a requisito administrativo de matrícula.</x:v>
      </x:c>
      <x:c r="H5" s="12" t="n">
        <x:f>IF(COUNTIF('15_Base_universitaria'!$A$5:$A$44,B5)=1,0,1)</x:f>
        <x:v>0</x:v>
      </x:c>
      <x:c r="I5" s="12" t="n">
        <x:f>IF(COUNTIF('15_Base_universitaria'!$A$5:$A$44,C5)=1,0,1)</x:f>
        <x:v>0</x:v>
      </x:c>
    </x:row>
    <x:row r="6" ht="47" customHeight="1">
      <x:c r="A6" s="4" t="str">
        <x:v>PR-02</x:v>
      </x:c>
      <x:c r="B6" s="4" t="str">
        <x:v>URJC-03</x:v>
      </x:c>
      <x:c r="C6" s="4" t="str">
        <x:v>URJC-13</x:v>
      </x:c>
      <x:c r="D6" s="4" t="str">
        <x:v>Dependencia alta en diagrama institucional</x:v>
      </x:c>
      <x:c r="E6" s="4" t="str">
        <x:v>E012 · p. 1</x:v>
      </x:c>
      <x:c r="F6" s="4" t="str">
        <x:v>Arista roja comprobada visualmente; selección de ocho, no transcripción de todas las aristas.</x:v>
      </x:c>
      <x:c r="G6" s="4" t="str">
        <x:v>No equivale a requisito administrativo de matrícula.</x:v>
      </x:c>
      <x:c r="H6" s="12" t="n">
        <x:f>IF(COUNTIF('15_Base_universitaria'!$A$5:$A$44,B6)=1,0,1)</x:f>
        <x:v>0</x:v>
      </x:c>
      <x:c r="I6" s="12" t="n">
        <x:f>IF(COUNTIF('15_Base_universitaria'!$A$5:$A$44,C6)=1,0,1)</x:f>
        <x:v>0</x:v>
      </x:c>
    </x:row>
    <x:row r="7" ht="47" customHeight="1">
      <x:c r="A7" s="4" t="str">
        <x:v>PR-03</x:v>
      </x:c>
      <x:c r="B7" s="4" t="str">
        <x:v>URJC-02</x:v>
      </x:c>
      <x:c r="C7" s="4" t="str">
        <x:v>URJC-15</x:v>
      </x:c>
      <x:c r="D7" s="4" t="str">
        <x:v>Dependencia alta en diagrama institucional</x:v>
      </x:c>
      <x:c r="E7" s="4" t="str">
        <x:v>E012 · p. 1</x:v>
      </x:c>
      <x:c r="F7" s="4" t="str">
        <x:v>Arista roja comprobada visualmente; selección de ocho, no transcripción de todas las aristas.</x:v>
      </x:c>
      <x:c r="G7" s="4" t="str">
        <x:v>No equivale a requisito administrativo de matrícula.</x:v>
      </x:c>
      <x:c r="H7" s="12" t="n">
        <x:f>IF(COUNTIF('15_Base_universitaria'!$A$5:$A$44,B7)=1,0,1)</x:f>
        <x:v>0</x:v>
      </x:c>
      <x:c r="I7" s="12" t="n">
        <x:f>IF(COUNTIF('15_Base_universitaria'!$A$5:$A$44,C7)=1,0,1)</x:f>
        <x:v>0</x:v>
      </x:c>
    </x:row>
    <x:row r="8" ht="47" customHeight="1">
      <x:c r="A8" s="4" t="str">
        <x:v>PR-04</x:v>
      </x:c>
      <x:c r="B8" s="4" t="str">
        <x:v>URJC-14</x:v>
      </x:c>
      <x:c r="C8" s="4" t="str">
        <x:v>URJC-19</x:v>
      </x:c>
      <x:c r="D8" s="4" t="str">
        <x:v>Dependencia alta en diagrama institucional</x:v>
      </x:c>
      <x:c r="E8" s="4" t="str">
        <x:v>E012 · p. 1</x:v>
      </x:c>
      <x:c r="F8" s="4" t="str">
        <x:v>Arista roja comprobada visualmente; selección de ocho, no transcripción de todas las aristas.</x:v>
      </x:c>
      <x:c r="G8" s="4" t="str">
        <x:v>No equivale a requisito administrativo de matrícula.</x:v>
      </x:c>
      <x:c r="H8" s="12" t="n">
        <x:f>IF(COUNTIF('15_Base_universitaria'!$A$5:$A$44,B8)=1,0,1)</x:f>
        <x:v>0</x:v>
      </x:c>
      <x:c r="I8" s="12" t="n">
        <x:f>IF(COUNTIF('15_Base_universitaria'!$A$5:$A$44,C8)=1,0,1)</x:f>
        <x:v>0</x:v>
      </x:c>
    </x:row>
    <x:row r="9" ht="47" customHeight="1">
      <x:c r="A9" s="4" t="str">
        <x:v>PR-05</x:v>
      </x:c>
      <x:c r="B9" s="4" t="str">
        <x:v>URJC-14</x:v>
      </x:c>
      <x:c r="C9" s="4" t="str">
        <x:v>URJC-29</x:v>
      </x:c>
      <x:c r="D9" s="4" t="str">
        <x:v>Dependencia alta en diagrama institucional</x:v>
      </x:c>
      <x:c r="E9" s="4" t="str">
        <x:v>E012 · p. 1</x:v>
      </x:c>
      <x:c r="F9" s="4" t="str">
        <x:v>Arista roja comprobada visualmente; selección de ocho, no transcripción de todas las aristas.</x:v>
      </x:c>
      <x:c r="G9" s="4" t="str">
        <x:v>No equivale a requisito administrativo de matrícula.</x:v>
      </x:c>
      <x:c r="H9" s="12" t="n">
        <x:f>IF(COUNTIF('15_Base_universitaria'!$A$5:$A$44,B9)=1,0,1)</x:f>
        <x:v>0</x:v>
      </x:c>
      <x:c r="I9" s="12" t="n">
        <x:f>IF(COUNTIF('15_Base_universitaria'!$A$5:$A$44,C9)=1,0,1)</x:f>
        <x:v>0</x:v>
      </x:c>
    </x:row>
    <x:row r="10" ht="47" customHeight="1">
      <x:c r="A10" s="4" t="str">
        <x:v>PR-06</x:v>
      </x:c>
      <x:c r="B10" s="4" t="str">
        <x:v>URJC-15</x:v>
      </x:c>
      <x:c r="C10" s="4" t="str">
        <x:v>URJC-34</x:v>
      </x:c>
      <x:c r="D10" s="4" t="str">
        <x:v>Dependencia alta en diagrama institucional</x:v>
      </x:c>
      <x:c r="E10" s="4" t="str">
        <x:v>E012 · p. 1</x:v>
      </x:c>
      <x:c r="F10" s="4" t="str">
        <x:v>Arista roja comprobada visualmente; selección de ocho, no transcripción de todas las aristas.</x:v>
      </x:c>
      <x:c r="G10" s="4" t="str">
        <x:v>No equivale a requisito administrativo de matrícula.</x:v>
      </x:c>
      <x:c r="H10" s="12" t="n">
        <x:f>IF(COUNTIF('15_Base_universitaria'!$A$5:$A$44,B10)=1,0,1)</x:f>
        <x:v>0</x:v>
      </x:c>
      <x:c r="I10" s="12" t="n">
        <x:f>IF(COUNTIF('15_Base_universitaria'!$A$5:$A$44,C10)=1,0,1)</x:f>
        <x:v>0</x:v>
      </x:c>
    </x:row>
    <x:row r="11" ht="47" customHeight="1">
      <x:c r="A11" s="4" t="str">
        <x:v>PR-07</x:v>
      </x:c>
      <x:c r="B11" s="4" t="str">
        <x:v>URJC-18</x:v>
      </x:c>
      <x:c r="C11" s="4" t="str">
        <x:v>URJC-21</x:v>
      </x:c>
      <x:c r="D11" s="4" t="str">
        <x:v>Dependencia alta en diagrama institucional</x:v>
      </x:c>
      <x:c r="E11" s="4" t="str">
        <x:v>E012 · p. 1</x:v>
      </x:c>
      <x:c r="F11" s="4" t="str">
        <x:v>Arista roja comprobada visualmente; selección de ocho, no transcripción de todas las aristas.</x:v>
      </x:c>
      <x:c r="G11" s="4" t="str">
        <x:v>No equivale a requisito administrativo de matrícula.</x:v>
      </x:c>
      <x:c r="H11" s="12" t="n">
        <x:f>IF(COUNTIF('15_Base_universitaria'!$A$5:$A$44,B11)=1,0,1)</x:f>
        <x:v>0</x:v>
      </x:c>
      <x:c r="I11" s="12" t="n">
        <x:f>IF(COUNTIF('15_Base_universitaria'!$A$5:$A$44,C11)=1,0,1)</x:f>
        <x:v>0</x:v>
      </x:c>
    </x:row>
    <x:row r="12" ht="47" customHeight="1">
      <x:c r="A12" s="4" t="str">
        <x:v>PR-08</x:v>
      </x:c>
      <x:c r="B12" s="4" t="str">
        <x:v>URJC-16</x:v>
      </x:c>
      <x:c r="C12" s="4" t="str">
        <x:v>URJC-24</x:v>
      </x:c>
      <x:c r="D12" s="4" t="str">
        <x:v>Dependencia alta en diagrama institucional</x:v>
      </x:c>
      <x:c r="E12" s="4" t="str">
        <x:v>E012 · p. 1</x:v>
      </x:c>
      <x:c r="F12" s="4" t="str">
        <x:v>Arista roja comprobada visualmente; selección de ocho, no transcripción de todas las aristas.</x:v>
      </x:c>
      <x:c r="G12" s="4" t="str">
        <x:v>No equivale a requisito administrativo de matrícula.</x:v>
      </x:c>
      <x:c r="H12" s="12" t="n">
        <x:f>IF(COUNTIF('15_Base_universitaria'!$A$5:$A$44,B12)=1,0,1)</x:f>
        <x:v>0</x:v>
      </x:c>
      <x:c r="I12" s="12" t="n">
        <x:f>IF(COUNTIF('15_Base_universitaria'!$A$5:$A$44,C12)=1,0,1)</x:f>
        <x:v>0</x:v>
      </x:c>
    </x:row>
  </x:sheetData>
  <x:mergeCells>
    <x:mergeCell ref="A1:D1"/>
    <x:mergeCell ref="A2:F2"/>
  </x:mergeCells>
  <x:conditionalFormatting sqref="H5:H12">
    <x:cfRule type="expression" dxfId="5" priority="1">
      <x:formula>H5&gt;0</x:formula>
    </x:cfRule>
  </x:conditionalFormatting>
  <x:conditionalFormatting sqref="I5:I12">
    <x:cfRule type="expression" dxfId="6" priority="2">
      <x:formula>I5&gt;0</x:formula>
    </x:cfRule>
  </x:conditionalFormatting>
  <x:pageMargins left="0.7" right="0.7" top="0.75" bottom="0.75" header="0.3" footer="0.3"/>
  <x:tableParts count="1">
    <x:tablePart xmlns:r="http://schemas.openxmlformats.org/officeDocument/2006/relationships" r:id="R8451a7de92f044a5"/>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3" hidden="0" customWidth="1"/>
    <x:col min="2" max="2" width="19" hidden="0" customWidth="1"/>
    <x:col min="3" max="3" width="12" hidden="0" customWidth="1"/>
    <x:col min="4" max="4" width="43" hidden="0" customWidth="1"/>
    <x:col min="5" max="5" width="37" hidden="0" customWidth="1"/>
    <x:col min="6" max="6" width="50" hidden="0" customWidth="1"/>
    <x:col min="7" max="7" width="68" hidden="0" customWidth="1"/>
    <x:col min="8" max="8" width="69" hidden="0" customWidth="1"/>
    <x:col min="9" max="9" width="69" hidden="0" customWidth="1"/>
    <x:col min="10" max="10" width="83" hidden="0" customWidth="1"/>
    <x:col min="11" max="11" width="83" hidden="0" customWidth="1"/>
    <x:col min="12" max="12" width="26" hidden="0" customWidth="1"/>
  </x:cols>
  <x:sheetData>
    <x:row r="1" ht="35" customHeight="1">
      <x:c r="A1" s="6" t="str">
        <x:v>COMPLEMENTOS EDUCATIVOS · diferencia y justificación</x:v>
      </x:c>
      <x:c r="B1" s="6"/>
      <x:c r="C1" s="6"/>
      <x:c r="D1" s="6"/>
      <x:c r="E1" s="6"/>
      <x:c r="F1" s="6"/>
      <x:c r="G1" s="6"/>
      <x:c r="H1" s="6"/>
      <x:c r="I1" s="6"/>
      <x:c r="J1" s="6"/>
      <x:c r="K1" s="6"/>
      <x:c r="L1" s="6"/>
    </x:row>
    <x:row r="2" ht="52" customHeight="1">
      <x:c r="A2" s="8" t="str">
        <x:v>Doce decisiones acotadas: profundización, refuerzo, contraste, reserva o descarte de duplicación. Propuestas de Watson; no adopciones humanas ni equivalencias académicas.</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ID</x:v>
      </x:c>
      <x:c r="B4" s="10" t="str">
        <x:v>País</x:v>
      </x:c>
      <x:c r="C4" s="10" t="str">
        <x:v>Fuente</x:v>
      </x:c>
      <x:c r="D4" s="10" t="str">
        <x:v>Unidad y edición</x:v>
      </x:c>
      <x:c r="E4" s="10" t="str">
        <x:v>Base relacionada</x:v>
      </x:c>
      <x:c r="F4" s="10" t="str">
        <x:v>Decisión propuesta</x:v>
      </x:c>
      <x:c r="G4" s="10" t="str">
        <x:v>Conocimiento adicional o contraste</x:v>
      </x:c>
      <x:c r="H4" s="10" t="str">
        <x:v>Saber hacer</x:v>
      </x:c>
      <x:c r="I4" s="10" t="str">
        <x:v>Resultado / evidencia educativa</x:v>
      </x:c>
      <x:c r="J4" s="10" t="str">
        <x:v>Justificación frente al rector</x:v>
      </x:c>
      <x:c r="K4" s="10" t="str">
        <x:v>Límite</x:v>
      </x:c>
      <x:c r="L4" s="10" t="str">
        <x:v>Necesidades</x:v>
      </x:c>
    </x:row>
    <x:row r="5" ht="47" customHeight="1">
      <x:c r="A5" s="4" t="str">
        <x:v>CE-01</x:v>
      </x:c>
      <x:c r="B5" s="4" t="str">
        <x:v>Australia</x:v>
      </x:c>
      <x:c r="C5" s="4" t="str">
        <x:v>M002</x:v>
      </x:c>
      <x:c r="D5" s="4" t="str">
        <x:v>ZSPS2118 · 2026.02</x:v>
      </x:c>
      <x:c r="E5" s="4" t="str">
        <x:v>URJC-09; URJC-26</x:v>
      </x:c>
      <x:c r="F5" s="4" t="str">
        <x:v>PROFUNDIZACIÓN PROPUESTA</x:v>
      </x:c>
      <x:c r="G5" s="4" t="str">
        <x:v>Preparación de datos y aprendizaje supervisado/no supervisado aplicado a amenazas.</x:v>
      </x:c>
      <x:c r="H5" s="4" t="str">
        <x:v>Interpretar características de logs o archivos y evaluar modelos en escenarios de ciberseguridad.</x:v>
      </x:c>
      <x:c r="I5" s="4" t="str">
        <x:v>CLO1–5; proyecto 35%, informe y presentación 35%, examen 30%.</x:v>
      </x:c>
      <x:c r="J5" s="4" t="str">
        <x:v>La introducción de IA no documenta por sí sola esta profundidad práctica y estos resultados específicos.</x:v>
      </x:c>
      <x:c r="K5" s="4" t="str">
        <x:v>Las aplicaciones futuras siguen limitadas por mandato humano; no se adopta respuesta autónoma.</x:v>
      </x:c>
      <x:c r="L5" s="4" t="str">
        <x:v>AN-01; AN-04</x:v>
      </x:c>
    </x:row>
    <x:row r="6" ht="47" customHeight="1">
      <x:c r="A6" s="4" t="str">
        <x:v>CE-02</x:v>
      </x:c>
      <x:c r="B6" s="4" t="str">
        <x:v>Australia</x:v>
      </x:c>
      <x:c r="C6" s="4" t="str">
        <x:v>M004</x:v>
      </x:c>
      <x:c r="D6" s="4" t="str">
        <x:v>ZSPS2121 · 2026.01</x:v>
      </x:c>
      <x:c r="E6" s="4" t="str">
        <x:v>URJC-05; URJC-09; URJC-26</x:v>
      </x:c>
      <x:c r="F6" s="4" t="str">
        <x:v>PROFUNDIZACIÓN PROPUESTA</x:v>
      </x:c>
      <x:c r="G6" s="4" t="str">
        <x:v>Redes neuronales y desarrollo de procesos completos de aprendizaje profundo.</x:v>
      </x:c>
      <x:c r="H6" s="4" t="str">
        <x:v>Evaluar rendimiento, recursos, escalabilidad y riesgos de modelos en datos de seguridad.</x:v>
      </x:c>
      <x:c r="I6" s="4" t="str">
        <x:v>CLO1–5; laboratorio 30%, casos 30%, evaluación final 40%.</x:v>
      </x:c>
      <x:c r="J6" s="4" t="str">
        <x:v>Amplía la base de IA con construcción y evaluación de modelos profundos para ciberseguridad.</x:v>
      </x:c>
      <x:c r="K6" s="4" t="str">
        <x:v>Eficiencia o exactitud no acredita utilidad, seguridad absoluta ni validez fuera del contexto ensayado.</x:v>
      </x:c>
      <x:c r="L6" s="4" t="str">
        <x:v>AN-01; AN-04</x:v>
      </x:c>
    </x:row>
    <x:row r="7" ht="47" customHeight="1">
      <x:c r="A7" s="4" t="str">
        <x:v>CE-03</x:v>
      </x:c>
      <x:c r="B7" s="4" t="str">
        <x:v>Australia</x:v>
      </x:c>
      <x:c r="C7" s="4" t="str">
        <x:v>M003</x:v>
      </x:c>
      <x:c r="D7" s="4" t="str">
        <x:v>ZSPS2122 · 2026.02</x:v>
      </x:c>
      <x:c r="E7" s="4" t="str">
        <x:v>URJC-26; URJC-31</x:v>
      </x:c>
      <x:c r="F7" s="4" t="str">
        <x:v>PROFUNDIZACIÓN PROPUESTA</x:v>
      </x:c>
      <x:c r="G7" s="4" t="str">
        <x:v>Aprendizaje adversarial, explicabilidad, generalización y robustez.</x:v>
      </x:c>
      <x:c r="H7" s="4" t="str">
        <x:v>Evaluar y mitigar ataques contra modelos; justificar límites éticos y técnicos.</x:v>
      </x:c>
      <x:c r="I7" s="4" t="str">
        <x:v>CLO1–5; casos/presentación 20%, laboratorio 40%, evaluación final 40%.</x:v>
      </x:c>
      <x:c r="J7" s="4" t="str">
        <x:v>La guía explicita robustez y amenazas a modelos/LLM, alcance que no se presume por tener una asignatura de IA.</x:v>
      </x:c>
      <x:c r="K7" s="4" t="str">
        <x:v>No identifica de forma automática cada control OWASP ni todas las familias de ataques.</x:v>
      </x:c>
      <x:c r="L7" s="4" t="str">
        <x:v>AN-03; AN-05; AN-08</x:v>
      </x:c>
    </x:row>
    <x:row r="8" ht="47" customHeight="1">
      <x:c r="A8" s="4" t="str">
        <x:v>CE-04</x:v>
      </x:c>
      <x:c r="B8" s="4" t="str">
        <x:v>Australia</x:v>
      </x:c>
      <x:c r="C8" s="4" t="str">
        <x:v>M001</x:v>
      </x:c>
      <x:c r="D8" s="4" t="str">
        <x:v>ZSPS2119 · 2026.02</x:v>
      </x:c>
      <x:c r="E8" s="4" t="str">
        <x:v>URJC-38; URJC-40</x:v>
      </x:c>
      <x:c r="F8" s="4" t="str">
        <x:v>REFUERZO DEL MÉTODO PROPUESTO</x:v>
      </x:c>
      <x:c r="G8" s="4" t="str">
        <x:v>Proyecto profesional con reflexión y revisión de decisiones.</x:v>
      </x:c>
      <x:c r="H8" s="4" t="str">
        <x:v>Presentar alcance, justificar cambios, evaluar limitaciones y explicar la contribución individual.</x:v>
      </x:c>
      <x:c r="I8" s="4" t="str">
        <x:v>CLO1–6; desarrollo 40%, progreso 10%, informe 30%, portafolio 20%.</x:v>
      </x:c>
      <x:c r="J8" s="4" t="str">
        <x:v>Aporta un modo explícito de evaluar juicio y revisión de decisiones; no añade otro universo.</x:v>
      </x:c>
      <x:c r="K8" s="4" t="str">
        <x:v>Se toma como patrón educativo; no se afirma que prácticas y TFG del rector carezcan de reflexión.</x:v>
      </x:c>
      <x:c r="L8" s="4" t="str">
        <x:v>AN-04; AN-08</x:v>
      </x:c>
    </x:row>
    <x:row r="9" ht="47" customHeight="1">
      <x:c r="A9" s="4" t="str">
        <x:v>CE-05</x:v>
      </x:c>
      <x:c r="B9" s="4" t="str">
        <x:v>Reino Unido</x:v>
      </x:c>
      <x:c r="C9" s="4" t="str">
        <x:v>W010</x:v>
      </x:c>
      <x:c r="D9" s="4" t="str">
        <x:v>WM281-15 · 2026–27</x:v>
      </x:c>
      <x:c r="E9" s="4" t="str">
        <x:v>URJC-02; URJC-12</x:v>
      </x:c>
      <x:c r="F9" s="4" t="str">
        <x:v>PROFUNDIZACIÓN PROPUESTA</x:v>
      </x:c>
      <x:c r="G9" s="4" t="str">
        <x:v>Usabilidad de mecanismos de seguridad; factores individuales, organizativos y sociales.</x:v>
      </x:c>
      <x:c r="H9" s="4" t="str">
        <x:v>Evaluar consecuencias del comportamiento y diseñar controles utilizables.</x:v>
      </x:c>
      <x:c r="I9" s="4" t="str">
        <x:v>Learning outcomes; evaluación de criterios de usabilidad y factores humanos.</x:v>
      </x:c>
      <x:c r="J9" s="4" t="str">
        <x:v>Hace explícita una evaluación de interacción humano-sistema más precisa que una referencia general al factor humano.</x:v>
      </x:c>
      <x:c r="K9" s="4" t="str">
        <x:v>No se equipara error humano con culpa ni una política escrita con eficacia demostrada.</x:v>
      </x:c>
      <x:c r="L9" s="4" t="str">
        <x:v>AN-02; AN-08</x:v>
      </x:c>
    </x:row>
    <x:row r="10" ht="47" customHeight="1">
      <x:c r="A10" s="4" t="str">
        <x:v>CE-06</x:v>
      </x:c>
      <x:c r="B10" s="4" t="str">
        <x:v>Reino Unido</x:v>
      </x:c>
      <x:c r="C10" s="4" t="str">
        <x:v>W014</x:v>
      </x:c>
      <x:c r="D10" s="4" t="str">
        <x:v>WM279-15 · 2026–27</x:v>
      </x:c>
      <x:c r="E10" s="4" t="str">
        <x:v>URJC-35; URJC-37</x:v>
      </x:c>
      <x:c r="F10" s="4" t="str">
        <x:v>CONTRASTE; NO NUEVO VACÍO DEMOSTRADO</x:v>
      </x:c>
      <x:c r="G10" s="4" t="str">
        <x:v>Coherencia de gestión de seguridad y consecuencias de gestión inadecuada del riesgo.</x:v>
      </x:c>
      <x:c r="H10" s="4" t="str">
        <x:v>Analizar efectos organizativos y justificar mejoras.</x:v>
      </x:c>
      <x:c r="I10" s="4" t="str">
        <x:v>Learning outcomes.</x:v>
      </x:c>
      <x:c r="J10" s="4" t="str">
        <x:v>Refuerza la atención ex ante a consecuencias; no se contabiliza como conocimiento ausente del rector.</x:v>
      </x:c>
      <x:c r="K10" s="4" t="str">
        <x:v>Contraste semántico, sin equivalencia oficial entre asignaturas.</x:v>
      </x:c>
      <x:c r="L10" s="4" t="str">
        <x:v>AN-05</x:v>
      </x:c>
    </x:row>
    <x:row r="11" ht="47" customHeight="1">
      <x:c r="A11" s="4" t="str">
        <x:v>CE-07</x:v>
      </x:c>
      <x:c r="B11" s="4" t="str">
        <x:v>Reino Unido</x:v>
      </x:c>
      <x:c r="C11" s="4" t="str">
        <x:v>W016</x:v>
      </x:c>
      <x:c r="D11" s="4" t="str">
        <x:v>WM284-15 · 2026–27</x:v>
      </x:c>
      <x:c r="E11" s="4" t="str">
        <x:v>URJC-40</x:v>
      </x:c>
      <x:c r="F11" s="4" t="str">
        <x:v>REFUERZO DEL MÉTODO PROPUESTO</x:v>
      </x:c>
      <x:c r="G11" s="4" t="str">
        <x:v>Evaluación crítica de investigación, método y comunicación.</x:v>
      </x:c>
      <x:c r="H11" s="4" t="str">
        <x:v>Justificar el método para una pregunta y comunicar sus límites.</x:v>
      </x:c>
      <x:c r="I11" s="4" t="str">
        <x:v>Learning outcomes.</x:v>
      </x:c>
      <x:c r="J11" s="4" t="str">
        <x:v>Proporciona criterios explícitos de evaluación de información emergente.</x:v>
      </x:c>
      <x:c r="K11" s="4" t="str">
        <x:v>Actualizar el conocimiento disponible no actualiza el dominio admitido: se requiere decisión humana.</x:v>
      </x:c>
      <x:c r="L11" s="4" t="str">
        <x:v>AN-01; AN-08</x:v>
      </x:c>
    </x:row>
    <x:row r="12" ht="47" customHeight="1">
      <x:c r="A12" s="4" t="str">
        <x:v>CE-08</x:v>
      </x:c>
      <x:c r="B12" s="4" t="str">
        <x:v>Canadá</x:v>
      </x:c>
      <x:c r="C12" s="4" t="str">
        <x:v>G009</x:v>
      </x:c>
      <x:c r="D12" s="4" t="str">
        <x:v>CIS*6580 · instantánea 08-09-2026</x:v>
      </x:c>
      <x:c r="E12" s="4" t="str">
        <x:v>URJC-19; URJC-33</x:v>
      </x:c>
      <x:c r="F12" s="4" t="str">
        <x:v>CONTRASTE; NO NUEVO VACÍO DEMOSTRADO</x:v>
      </x:c>
      <x:c r="G12" s="4" t="str">
        <x:v>Monitorización y búsqueda de adversarios que eluden defensas.</x:v>
      </x:c>
      <x:c r="H12" s="4" t="str">
        <x:v>Examinar actividad y activos para investigar amenazas no detenidas por los controles.</x:v>
      </x:c>
      <x:c r="I12" s="4" t="str">
        <x:v>Descripción oficial del curso; evaluación detallada no disponible en esta ficha.</x:v>
      </x:c>
      <x:c r="J12" s="4" t="str">
        <x:v>El rector ya incluye hipótesis de hunting y EDR/SIEM (R033, tema 6). La ficha canadiense corrobora; no acredita mayor profundidad.</x:v>
      </x:c>
      <x:c r="K12" s="4" t="str">
        <x:v>El anexo agéntico y el triaje automático necesitan un contrato adicional; esta materia no los autoriza.</x:v>
      </x:c>
      <x:c r="L12" s="4" t="str">
        <x:v>AN-04</x:v>
      </x:c>
    </x:row>
    <x:row r="13" ht="47" customHeight="1">
      <x:c r="A13" s="4" t="str">
        <x:v>CE-09</x:v>
      </x:c>
      <x:c r="B13" s="4" t="str">
        <x:v>Canadá</x:v>
      </x:c>
      <x:c r="C13" s="4" t="str">
        <x:v>G007</x:v>
      </x:c>
      <x:c r="D13" s="4" t="str">
        <x:v>CIS*6560 · instantánea 08-09-2026</x:v>
      </x:c>
      <x:c r="E13" s="4" t="str">
        <x:v>URJC-38; URJC-40</x:v>
      </x:c>
      <x:c r="F13" s="4" t="str">
        <x:v>REFUERZO DEL MÉTODO PROPUESTO</x:v>
      </x:c>
      <x:c r="G13" s="4" t="str">
        <x:v>Proyecto tutelado con informe y producto ante un problema emergente.</x:v>
      </x:c>
      <x:c r="H13" s="4" t="str">
        <x:v>Investigar y justificar una solución con evidencia.</x:v>
      </x:c>
      <x:c r="I13" s="4" t="str">
        <x:v>Descripción oficial del proyecto; opción, no requisito universal del máster.</x:v>
      </x:c>
      <x:c r="J13" s="4" t="str">
        <x:v>Contrasta integración de conocimiento y actuación ante problemas nuevos.</x:v>
      </x:c>
      <x:c r="K13" s="4" t="str">
        <x:v>No acredita ejecución del dominio ni obliga a adoptar datos reales.</x:v>
      </x:c>
      <x:c r="L13" s="4" t="str">
        <x:v>AN-04; AN-08</x:v>
      </x:c>
    </x:row>
    <x:row r="14" ht="47" customHeight="1">
      <x:c r="A14" s="4" t="str">
        <x:v>CE-10</x:v>
      </x:c>
      <x:c r="B14" s="4" t="str">
        <x:v>Estados Unidos</x:v>
      </x:c>
      <x:c r="C14" s="4" t="str">
        <x:v>E008</x:v>
      </x:c>
      <x:c r="D14" s="4" t="str">
        <x:v>95-710 · MSISPM 2026–27</x:v>
      </x:c>
      <x:c r="E14" s="4" t="str">
        <x:v>URJC-11; URJC-35</x:v>
      </x:c>
      <x:c r="F14" s="4" t="str">
        <x:v>IDENTIFICADO; GUÍA DETALLADA PENDIENTE</x:v>
      </x:c>
      <x:c r="G14" s="4" t="str">
        <x:v>Análisis económico como materia obligatoria.</x:v>
      </x:c>
      <x:c r="H14" s="4" t="str">
        <x:v>No se adjudica resultado específico sin guía detallada.</x:v>
      </x:c>
      <x:c r="I14" s="4" t="str">
        <x:v>Manual §4.2, p. 5.</x:v>
      </x:c>
      <x:c r="J14" s="4" t="str">
        <x:v>Contraste de prioridad educativa para la proporcionalidad coste/protección. El rector ya incluye economía y optimización.</x:v>
      </x:c>
      <x:c r="K14" s="4" t="str">
        <x:v>No constituye una metodología económica extraída ni una fórmula universal de valoración.</x:v>
      </x:c>
      <x:c r="L14" s="4" t="str">
        <x:v>AN-05</x:v>
      </x:c>
    </x:row>
    <x:row r="15" ht="47" customHeight="1">
      <x:c r="A15" s="4" t="str">
        <x:v>CE-11</x:v>
      </x:c>
      <x:c r="B15" s="4" t="str">
        <x:v>Estados Unidos</x:v>
      </x:c>
      <x:c r="C15" s="4" t="str">
        <x:v>E008</x:v>
      </x:c>
      <x:c r="D15" s="4" t="str">
        <x:v>95-760 · MSISPM 2026–27</x:v>
      </x:c>
      <x:c r="E15" s="4" t="str">
        <x:v>URJC-09; URJC-11</x:v>
      </x:c>
      <x:c r="F15" s="4" t="str">
        <x:v>IDENTIFICADO; GUÍA DETALLADA PENDIENTE</x:v>
      </x:c>
      <x:c r="G15" s="4" t="str">
        <x:v>Decisión bajo incertidumbre como materia obligatoria.</x:v>
      </x:c>
      <x:c r="H15" s="4" t="str">
        <x:v>No se inventan los resultados de aprendizaje de la asignatura.</x:v>
      </x:c>
      <x:c r="I15" s="4" t="str">
        <x:v>Manual §4.2, p. 5.</x:v>
      </x:c>
      <x:c r="J15" s="4" t="str">
        <x:v>Refuerza que incertidumbre y decisión forman parte del aprendizaje.</x:v>
      </x:c>
      <x:c r="K15" s="4" t="str">
        <x:v>No duplica estadística ni adjudica suficiencia representacional a SV.</x:v>
      </x:c>
      <x:c r="L15" s="4" t="str">
        <x:v>AN-05</x:v>
      </x:c>
    </x:row>
    <x:row r="16" ht="47" customHeight="1">
      <x:c r="A16" s="4" t="str">
        <x:v>CE-12</x:v>
      </x:c>
      <x:c r="B16" s="4" t="str">
        <x:v>España</x:v>
      </x:c>
      <x:c r="C16" s="4" t="str">
        <x:v>E009</x:v>
      </x:c>
      <x:c r="D16" s="4" t="str">
        <x:v>UPC · Software-Defined Security (Sds)</x:v>
      </x:c>
      <x:c r="E16" s="4" t="str">
        <x:v>URJC-29</x:v>
      </x:c>
      <x:c r="F16" s="4" t="str">
        <x:v>NO AÑADIR POR MERA COINCIDENCIA</x:v>
      </x:c>
      <x:c r="G16" s="4" t="str">
        <x:v>Materia de seguridad definida por software; título identificado.</x:v>
      </x:c>
      <x:c r="H16" s="4" t="str">
        <x:v>El título de la asignatura no basta para adjudicar su temario ni equipararlo a SDN.</x:v>
      </x:c>
      <x:c r="I16" s="4" t="str">
        <x:v>Plan institucional y guía URJC de redes avanzadas.</x:v>
      </x:c>
      <x:c r="J16" s="4" t="str">
        <x:v>El rector ya incluye SDN. La ficha UPC queda pendiente de guía detallada; eBPF y P4 se examinan por separado en AN-06.</x:v>
      </x:c>
      <x:c r="K16" s="4" t="str">
        <x:v>No atribuir eBPF/P4 a esta asignatura por su título.</x:v>
      </x:c>
      <x:c r="L16" s="4" t="str">
        <x:v>AN-06</x:v>
      </x:c>
    </x:row>
  </x:sheetData>
  <x:mergeCells>
    <x:mergeCell ref="A1:D1"/>
    <x:mergeCell ref="A2:F2"/>
  </x:mergeCells>
  <x:pageMargins left="0.7" right="0.7" top="0.75" bottom="0.75" header="0.3" footer="0.3"/>
  <x:tableParts count="1">
    <x:tablePart xmlns:r="http://schemas.openxmlformats.org/officeDocument/2006/relationships" r:id="R32e6bce9cc79413f"/>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2" hidden="0" customWidth="1"/>
    <x:col min="2" max="2" width="43" hidden="0" customWidth="1"/>
    <x:col min="3" max="3" width="45" hidden="0" customWidth="1"/>
    <x:col min="4" max="4" width="56" hidden="0" customWidth="1"/>
    <x:col min="5" max="5" width="35" hidden="0" customWidth="1"/>
    <x:col min="6" max="6" width="46" hidden="0" customWidth="1"/>
    <x:col min="7" max="7" width="79" hidden="0" customWidth="1"/>
    <x:col min="8" max="8" width="91" hidden="0" customWidth="1"/>
    <x:col min="9" max="9" width="88" hidden="0" customWidth="1"/>
    <x:col min="10" max="10" width="39" hidden="0" customWidth="1"/>
    <x:col min="11" max="11" width="97" hidden="0" customWidth="1"/>
  </x:cols>
  <x:sheetData>
    <x:row r="1" ht="35" customHeight="1">
      <x:c r="A1" s="6" t="str">
        <x:v>OCHO NECESIDADES · anexos candidatos aportados por el Director</x:v>
      </x:c>
      <x:c r="B1" s="6"/>
      <x:c r="C1" s="6"/>
      <x:c r="D1" s="6"/>
      <x:c r="E1" s="6"/>
      <x:c r="F1" s="6"/>
      <x:c r="G1" s="6"/>
      <x:c r="H1" s="6"/>
      <x:c r="I1" s="6"/>
      <x:c r="J1" s="6"/>
      <x:c r="K1" s="6"/>
    </x:row>
    <x:row r="2" ht="52" customHeight="1">
      <x:c r="A2" s="8" t="str">
        <x:v>Las ocho pistas quedan recibidas. No se supone que todo falte en el rector ni se adopta automáticamente una norma, producto, técnica o automatización.</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x:v>
      </x:c>
      <x:c r="B4" s="10" t="str">
        <x:v>Necesidad</x:v>
      </x:c>
      <x:c r="C4" s="10" t="str">
        <x:v>Origen</x:v>
      </x:c>
      <x:c r="D4" s="10" t="str">
        <x:v>Base educativa</x:v>
      </x:c>
      <x:c r="E4" s="10" t="str">
        <x:v>Complementos vinculados</x:v>
      </x:c>
      <x:c r="F4" s="10" t="str">
        <x:v>Situación</x:v>
      </x:c>
      <x:c r="G4" s="10" t="str">
        <x:v>Conocimiento requerido</x:v>
      </x:c>
      <x:c r="H4" s="10" t="str">
        <x:v>Actuación que debe poder justificarse</x:v>
      </x:c>
      <x:c r="I4" s="10" t="str">
        <x:v>Riesgo de ignorarlo · candidato</x:v>
      </x:c>
      <x:c r="J4" s="10" t="str">
        <x:v>Fuentes de contraste</x:v>
      </x:c>
      <x:c r="K4" s="10" t="str">
        <x:v>Reserva y frontera</x:v>
      </x:c>
    </x:row>
    <x:row r="5" ht="47" customHeight="1">
      <x:c r="A5" s="4" t="str">
        <x:v>AN-01</x:v>
      </x:c>
      <x:c r="B5" s="4" t="str">
        <x:v>Fundamentos y arquitectura de IA</x:v>
      </x:c>
      <x:c r="C5" s="4" t="str">
        <x:v>Aporte humano · bloque 1</x:v>
      </x:c>
      <x:c r="D5" s="4" t="str">
        <x:v>URJC-05; URJC-09; URJC-26</x:v>
      </x:c>
      <x:c r="E5" s="4" t="str">
        <x:v>CE-01; CE-02</x:v>
      </x:c>
      <x:c r="F5" s="4" t="str">
        <x:v>BASE PRESENTE; PROFUNDIZACIÓN PROPUESTA</x:v>
      </x:c>
      <x:c r="G5" s="4" t="str">
        <x:v>Distinguir aprendizaje, inferencia, datos, características y arquitectura neuronal; comprender sus supuestos.</x:v>
      </x:c>
      <x:c r="H5" s="4" t="str">
        <x:v>Comparar una solución de IA con una alternativa simple mediante un problema, datos y criterio explícitos.</x:v>
      </x:c>
      <x:c r="I5" s="4" t="str">
        <x:v>Confundir una salida plausible con evidencia o elegir un modelo sin entender sus límites.</x:v>
      </x:c>
      <x:c r="J5" s="4" t="str">
        <x:v>M002; M004</x:v>
      </x:c>
      <x:c r="K5" s="4" t="str">
        <x:v>La formación no acredita que una arquitectura sea adecuada para cualquier operación.</x:v>
      </x:c>
    </x:row>
    <x:row r="6" ht="47" customHeight="1">
      <x:c r="A6" s="4" t="str">
        <x:v>AN-02</x:v>
      </x:c>
      <x:c r="B6" s="4" t="str">
        <x:v>Gobierno y políticas de uso de IA</x:v>
      </x:c>
      <x:c r="C6" s="4" t="str">
        <x:v>Aporte humano · bloque 2</x:v>
      </x:c>
      <x:c r="D6" s="4" t="str">
        <x:v>URJC-02; URJC-12; URJC-37</x:v>
      </x:c>
      <x:c r="E6" s="4" t="str">
        <x:v>CE-05</x:v>
      </x:c>
      <x:c r="F6" s="4" t="str">
        <x:v>EXTENSIÓN ESPECÍFICA PROPUESTA</x:v>
      </x:c>
      <x:c r="G6" s="4" t="str">
        <x:v>Inventario de usos autorizados/no declarados (Shadow AI), responsabilidades, datos, propiedad intelectual y políticas.</x:v>
      </x:c>
      <x:c r="H6" s="4" t="str">
        <x:v>Justificar quién permite qué uso, con qué datos, proveedor, versión y evidencia de cumplimiento.</x:v>
      </x:c>
      <x:c r="I6" s="4" t="str">
        <x:v>Tratar disponibilidad técnica como permiso; omitir un uso no inventariado y sus efectos.</x:v>
      </x:c>
      <x:c r="J6" s="4" t="str">
        <x:v>A102; A103; F022</x:v>
      </x:c>
      <x:c r="K6" s="4" t="str">
        <x:v>ISO/IEC 38507:2022 orienta gobierno; 42001:2023 es un sistema de gestión. Sólo fichas de alcance; no cláusulas ni conformidad acreditada.</x:v>
      </x:c>
    </x:row>
    <x:row r="7" ht="47" customHeight="1">
      <x:c r="A7" s="4" t="str">
        <x:v>AN-03</x:v>
      </x:c>
      <x:c r="B7" s="4" t="str">
        <x:v>Defensa de modelos, LLM y agentes</x:v>
      </x:c>
      <x:c r="C7" s="4" t="str">
        <x:v>Aporte humano · bloque 3</x:v>
      </x:c>
      <x:c r="D7" s="4" t="str">
        <x:v>URJC-17; URJC-26; URJC-28</x:v>
      </x:c>
      <x:c r="E7" s="4" t="str">
        <x:v>CE-03</x:v>
      </x:c>
      <x:c r="F7" s="4" t="str">
        <x:v>PROFUNDIZACIÓN Y ANEXO TÉCNICO</x:v>
      </x:c>
      <x:c r="G7" s="4" t="str">
        <x:v>Separar amenazas al modelo, datos, aplicación y capacidades de un agente.</x:v>
      </x:c>
      <x:c r="H7" s="4" t="str">
        <x:v>Construir pruebas de límites y mitigaciones asociadas a amenazas identificadas.</x:v>
      </x:c>
      <x:c r="I7" s="4" t="str">
        <x:v>Confundir instrucciones del usuario con datos externos, o permitir acciones por una salida no validada.</x:v>
      </x:c>
      <x:c r="J7" s="4" t="str">
        <x:v>M003; A104; F027; F029</x:v>
      </x:c>
      <x:c r="K7" s="4" t="str">
        <x:v>OWASP LLM y OWASP Agentic son referencias distintas. Una lista Top 10 no es una garantía completa ni un currículo.</x:v>
      </x:c>
    </x:row>
    <x:row r="8" ht="47" customHeight="1">
      <x:c r="A8" s="4" t="str">
        <x:v>AN-04</x:v>
      </x:c>
      <x:c r="B8" s="4" t="str">
        <x:v>Operaciones avanzadas y SOC con IA</x:v>
      </x:c>
      <x:c r="C8" s="4" t="str">
        <x:v>Aporte humano · bloque 4</x:v>
      </x:c>
      <x:c r="D8" s="4" t="str">
        <x:v>URJC-09; URJC-27; URJC-33</x:v>
      </x:c>
      <x:c r="E8" s="4" t="str">
        <x:v>CE-01; CE-02; CE-08</x:v>
      </x:c>
      <x:c r="F8" s="4" t="str">
        <x:v>APLICACIÓN CANDIDATA; SIN AUTOMATISMO</x:v>
      </x:c>
      <x:c r="G8" s="4" t="str">
        <x:v>Inteligencia de amenazas, detección, priorización y respuesta asistidas por modelos.</x:v>
      </x:c>
      <x:c r="H8" s="4" t="str">
        <x:v>Medir errores y costes, contrastar con una base sin IA y mantener intervención/autoridad humana delimitadas.</x:v>
      </x:c>
      <x:c r="I8" s="4" t="str">
        <x:v>Una alerta descartada sin evidencia puede dejar una amenaza sin investigar; una contención injustificada puede interrumpir un servicio.</x:v>
      </x:c>
      <x:c r="J8" s="4" t="str">
        <x:v>G009; M002; M004; F019</x:v>
      </x:c>
      <x:c r="K8" s="4" t="str">
        <x:v>No se presuponen mejora ni necesidad de agentes. Triaje y respuesta son operaciones distintas y siguen sin seleccionarse.</x:v>
      </x:c>
    </x:row>
    <x:row r="9" ht="47" customHeight="1">
      <x:c r="A9" s="4" t="str">
        <x:v>AN-05</x:v>
      </x:c>
      <x:c r="B9" s="4" t="str">
        <x:v>Riesgo, impacto, auditoría y proporcionalidad</x:v>
      </x:c>
      <x:c r="C9" s="4" t="str">
        <x:v>Aporte humano · bloque 5 y mandato sobre coste</x:v>
      </x:c>
      <x:c r="D9" s="4" t="str">
        <x:v>URJC-11; URJC-14; URJC-32; URJC-35</x:v>
      </x:c>
      <x:c r="E9" s="4" t="str">
        <x:v>CE-06; CE-10; CE-11</x:v>
      </x:c>
      <x:c r="F9" s="4" t="str">
        <x:v>BASE PRESENTE; MÉTODOS ESPECÍFICOS</x:v>
      </x:c>
      <x:c r="G9" s="4" t="str">
        <x:v>Diferenciar gestión de riesgo, evaluación de impactos y pruebas de robustez; valorar recursos y consecuencias.</x:v>
      </x:c>
      <x:c r="H9" s="4" t="str">
        <x:v>Documentar coste total de protección y valor protegido en alcance y horizonte humanos; no aprobar protección que exceda ese valor conforme al mandato.</x:v>
      </x:c>
      <x:c r="I9" s="4" t="str">
        <x:v>Una medida puede consumir más recursos que el valor protegido o trasladar impactos a otros afectados.</x:v>
      </x:c>
      <x:c r="J9" s="4" t="str">
        <x:v>R011; R014; A101; A109; E008</x:v>
      </x:c>
      <x:c r="K9" s="4" t="str">
        <x:v>ISO/IEC 42005:2025 trata evaluación de impacto; no sustituye ensayos de robustez. AI TRiSM: referencia comercial indicada por el humano, acceso primario pendiente.</x:v>
      </x:c>
    </x:row>
    <x:row r="10" ht="47" customHeight="1">
      <x:c r="A10" s="4" t="str">
        <x:v>AN-06</x:v>
      </x:c>
      <x:c r="B10" s="4" t="str">
        <x:v>SDN, telemetría, eBPF y P4</x:v>
      </x:c>
      <x:c r="C10" s="4" t="str">
        <x:v>Aporte humano · bloque 6</x:v>
      </x:c>
      <x:c r="D10" s="4" t="str">
        <x:v>URJC-14; URJC-19; URJC-25; URJC-29</x:v>
      </x:c>
      <x:c r="E10" s="4" t="str">
        <x:v>CE-12</x:v>
      </x:c>
      <x:c r="F10" s="4" t="str">
        <x:v>SDN PRESENTE; eBPF/P4 COMO CANDIDATOS</x:v>
      </x:c>
      <x:c r="G10" s="4" t="str">
        <x:v>Separar arquitectura de red, programación del plano de datos e instrumentación del núcleo.</x:v>
      </x:c>
      <x:c r="H10" s="4" t="str">
        <x:v>Justificar puntos de observación, privilegios, cobertura, carga y compatibilidad de la telemetría.</x:v>
      </x:c>
      <x:c r="I10" s="4" t="str">
        <x:v>Un punto ciego puede ocultar actividad; instrumentación mal dimensionada puede afectar al servicio.</x:v>
      </x:c>
      <x:c r="J10" s="4" t="str">
        <x:v>R029; A105; A113</x:v>
      </x:c>
      <x:c r="K10" s="4" t="str">
        <x:v>eBPF y P4 son tecnologías, no normas de gobierno. No toda red con IA necesita SDN ni estas herramientas. Formación docente específica pendiente.</x:v>
      </x:c>
    </x:row>
    <x:row r="11" ht="47" customHeight="1">
      <x:c r="A11" s="4" t="str">
        <x:v>AN-07</x:v>
      </x:c>
      <x:c r="B11" s="4" t="str">
        <x:v>Privacidad en aprendizaje automático</x:v>
      </x:c>
      <x:c r="C11" s="4" t="str">
        <x:v>Aporte humano · bloque 7</x:v>
      </x:c>
      <x:c r="D11" s="4" t="str">
        <x:v>URJC-07; URJC-12; URJC-24; URJC-26</x:v>
      </x:c>
      <x:c r="E11" s="4" t="str">
        <x:v>CE-03</x:v>
      </x:c>
      <x:c r="F11" s="4" t="str">
        <x:v>EXTENSIÓN TÉCNICA IDENTIFICADA</x:v>
      </x:c>
      <x:c r="G11" s="4" t="str">
        <x:v>Modelos de amenaza a datos y modelos; aprendizaje federado, privacidad diferencial y entornos de ejecución confiables.</x:v>
      </x:c>
      <x:c r="H11" s="4" t="str">
        <x:v>Comparar garantías, supuestos y riesgos residuales de cada técnica ante exfiltración o reconstrucción.</x:v>
      </x:c>
      <x:c r="I11" s="4" t="str">
        <x:v>Mantener datos locales o usar un TEE no acredita por sí solo ausencia de revelación de información.</x:v>
      </x:c>
      <x:c r="J11" s="4" t="str">
        <x:v>A107; A112; F026</x:v>
      </x:c>
      <x:c r="K11" s="4" t="str">
        <x:v>No son técnicas intercambiables. La ficha NIST SP 800-226 sustenta evaluar garantías de privacidad diferencial; curso específico y contrato cuantitativo pendientes.</x:v>
      </x:c>
    </x:row>
    <x:row r="12" ht="47" customHeight="1">
      <x:c r="A12" s="4" t="str">
        <x:v>AN-08</x:v>
      </x:c>
      <x:c r="B12" s="4" t="str">
        <x:v>IA responsable, juicio y consecuencias</x:v>
      </x:c>
      <x:c r="C12" s="4" t="str">
        <x:v>Aporte humano · bloque 8 y experiencia de Inmunología</x:v>
      </x:c>
      <x:c r="D12" s="4" t="str">
        <x:v>URJC-02; URJC-12; URJC-26; URJC-40</x:v>
      </x:c>
      <x:c r="E12" s="4" t="str">
        <x:v>CE-03; CE-04; CE-05; CE-07</x:v>
      </x:c>
      <x:c r="F12" s="4" t="str">
        <x:v>TRANSVERSAL; PROFUNDIZACIÓN PROPUESTA</x:v>
      </x:c>
      <x:c r="G12" s="4" t="str">
        <x:v>Sesgo, explicabilidad, robustez, responsabilidad y revisión de conocimiento ante cambios.</x:v>
      </x:c>
      <x:c r="H12" s="4" t="str">
        <x:v>Presentar evidencia, afectados, alternativas, incertidumbre y consecuencias antes de aconsejar; someter actualizaciones a adopción humana.</x:v>
      </x:c>
      <x:c r="I12" s="4" t="str">
        <x:v>Una explicación convincente puede ocultar error o sustituir indebidamente el juicio humano.</x:v>
      </x:c>
      <x:c r="J12" s="4" t="str">
        <x:v>M003; M001; W010; W016; F024; F033</x:v>
      </x:c>
      <x:c r="K12" s="4" t="str">
        <x:v>Explicabilidad no equivale a verdad. Los principios europeos y obligaciones concretas requieren jurisdicción, rol, texto y fecha aplicables.</x:v>
      </x:c>
    </x:row>
  </x:sheetData>
  <x:mergeCells>
    <x:mergeCell ref="A1:D1"/>
    <x:mergeCell ref="A2:F2"/>
  </x:mergeCells>
  <x:pageMargins left="0.7" right="0.7" top="0.75" bottom="0.75" header="0.3" footer="0.3"/>
  <x:tableParts count="1">
    <x:tablePart xmlns:r="http://schemas.openxmlformats.org/officeDocument/2006/relationships" r:id="Rbdbc08013f5142e3"/>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2" hidden="0" customWidth="1"/>
    <x:col min="2" max="2" width="13" hidden="0" customWidth="1"/>
    <x:col min="3" max="3" width="67" hidden="0" customWidth="1"/>
    <x:col min="4" max="4" width="46" hidden="0" customWidth="1"/>
    <x:col min="5" max="5" width="73" hidden="0" customWidth="1"/>
    <x:col min="6" max="6" width="64" hidden="0" customWidth="1"/>
    <x:col min="7" max="7" width="86" hidden="0" customWidth="1"/>
    <x:col min="8" max="8" width="74" hidden="0" customWidth="1"/>
    <x:col min="9" max="9" width="92" hidden="0" customWidth="1"/>
    <x:col min="10" max="10" width="43" hidden="0" customWidth="1"/>
  </x:cols>
  <x:sheetData>
    <x:row r="1" ht="35" customHeight="1">
      <x:c r="A1" s="6" t="str">
        <x:v>CONSECUENCIAS DE IGNORAR CONOCIMIENTO · testigos educativos</x:v>
      </x:c>
      <x:c r="B1" s="6"/>
      <x:c r="C1" s="6"/>
      <x:c r="D1" s="6"/>
      <x:c r="E1" s="6"/>
      <x:c r="F1" s="6"/>
      <x:c r="G1" s="6"/>
      <x:c r="H1" s="6"/>
      <x:c r="I1" s="6"/>
      <x:c r="J1" s="6"/>
    </x:row>
    <x:row r="2" ht="52" customHeight="1">
      <x:c r="A2" s="8" t="str">
        <x:v>Cadenas candidatas previas a una operación. Distinguen carencia, error y consecuencia potencial. No son daños demostrados, ensayos ejecutados, parámetros ni un universo.</x:v>
      </x:c>
      <x:c r="B2" s="8"/>
      <x:c r="C2" s="8"/>
      <x:c r="D2" s="8"/>
      <x:c r="E2" s="8"/>
      <x:c r="F2" s="8"/>
      <x:c r="G2" s="8"/>
      <x:c r="H2" s="8"/>
      <x:c r="I2" s="8"/>
      <x:c r="J2" s="8"/>
    </x:row>
    <x:row r="3">
      <x:c r="A3" s="4"/>
      <x:c r="B3" s="4"/>
      <x:c r="C3" s="4"/>
      <x:c r="D3" s="4"/>
      <x:c r="E3" s="4"/>
      <x:c r="F3" s="4"/>
      <x:c r="G3" s="4"/>
      <x:c r="H3" s="4"/>
      <x:c r="I3" s="4"/>
      <x:c r="J3" s="4"/>
    </x:row>
    <x:row r="4" ht="42" customHeight="1">
      <x:c r="A4" s="10" t="str">
        <x:v>ID</x:v>
      </x:c>
      <x:c r="B4" s="10" t="str">
        <x:v>Necesidad</x:v>
      </x:c>
      <x:c r="C4" s="10" t="str">
        <x:v>Carencia o confusión</x:v>
      </x:c>
      <x:c r="D4" s="10" t="str">
        <x:v>Ancla educativa / rectora</x:v>
      </x:c>
      <x:c r="E4" s="10" t="str">
        <x:v>Error de actuación</x:v>
      </x:c>
      <x:c r="F4" s="10" t="str">
        <x:v>Consecuencia epistemológica</x:v>
      </x:c>
      <x:c r="G4" s="10" t="str">
        <x:v>Consecuencia operacional condicionada</x:v>
      </x:c>
      <x:c r="H4" s="10" t="str">
        <x:v>Testigo propuesto</x:v>
      </x:c>
      <x:c r="I4" s="10" t="str">
        <x:v>Criterio de contraste propuesto</x:v>
      </x:c>
      <x:c r="J4" s="10" t="str">
        <x:v>Estado de prueba</x:v>
      </x:c>
    </x:row>
    <x:row r="5" ht="47" customHeight="1">
      <x:c r="A5" s="4" t="str">
        <x:v>CF-01</x:v>
      </x:c>
      <x:c r="B5" s="4" t="str">
        <x:v>AN-01</x:v>
      </x:c>
      <x:c r="C5" s="4" t="str">
        <x:v>Ignorar validez y límites de una estimación.</x:v>
      </x:c>
      <x:c r="D5" s="4" t="str">
        <x:v>URJC-09; CE-01</x:v>
      </x:c>
      <x:c r="E5" s="4" t="str">
        <x:v>Aceptar una puntuación sin saber qué estima.</x:v>
      </x:c>
      <x:c r="F5" s="4" t="str">
        <x:v>Decisión sin suficiencia de evidencia.</x:v>
      </x:c>
      <x:c r="G5" s="4" t="str">
        <x:v>Potencial: priorización incorrecta si el indicador no representa el problema.</x:v>
      </x:c>
      <x:c r="H5" s="4" t="str">
        <x:v>Cambiar población de datos manteniendo el número visible.</x:v>
      </x:c>
      <x:c r="I5" s="4" t="str">
        <x:v>Debe reconocer que el mismo número no conserva su significado sin contexto.</x:v>
      </x:c>
      <x:c r="J5" s="4" t="str">
        <x:v>PROPUESTA EDUCATIVA; NO ENSAYADA</x:v>
      </x:c>
    </x:row>
    <x:row r="6" ht="47" customHeight="1">
      <x:c r="A6" s="4" t="str">
        <x:v>CF-02</x:v>
      </x:c>
      <x:c r="B6" s="4" t="str">
        <x:v>AN-01</x:v>
      </x:c>
      <x:c r="C6" s="4" t="str">
        <x:v>Confundir correlación observada con explicación causal.</x:v>
      </x:c>
      <x:c r="D6" s="4" t="str">
        <x:v>URJC-09; CE-07</x:v>
      </x:c>
      <x:c r="E6" s="4" t="str">
        <x:v>Atribuir una causa y recomendar actuación sin contraste.</x:v>
      </x:c>
      <x:c r="F6" s="4" t="str">
        <x:v>Justificación causal no sostenida.</x:v>
      </x:c>
      <x:c r="G6" s="4" t="str">
        <x:v>No se atribuye un incidente real a esa carencia sin cadena probada.</x:v>
      </x:c>
      <x:c r="H6" s="4" t="str">
        <x:v>Presentar dos explicaciones compatibles con los mismos datos.</x:v>
      </x:c>
      <x:c r="I6" s="4" t="str">
        <x:v>Debe conservar incertidumbre y pedir evidencia discriminante.</x:v>
      </x:c>
      <x:c r="J6" s="4" t="str">
        <x:v>PROPUESTA EDUCATIVA; NO ENSAYADA</x:v>
      </x:c>
    </x:row>
    <x:row r="7" ht="47" customHeight="1">
      <x:c r="A7" s="4" t="str">
        <x:v>CF-03</x:v>
      </x:c>
      <x:c r="B7" s="4" t="str">
        <x:v>AN-02</x:v>
      </x:c>
      <x:c r="C7" s="4" t="str">
        <x:v>Omitir el inventario y la autorización del uso de IA.</x:v>
      </x:c>
      <x:c r="D7" s="4" t="str">
        <x:v>URJC-12; URJC-37; CE-05</x:v>
      </x:c>
      <x:c r="E7" s="4" t="str">
        <x:v>Usar datos o herramientas sin comprobar el permiso aplicable.</x:v>
      </x:c>
      <x:c r="F7" s="4" t="str">
        <x:v>Falta de base de admisión.</x:v>
      </x:c>
      <x:c r="G7" s="4" t="str">
        <x:v>Potencial: exposición de información o incumplimiento en un contexto que lo prohíba.</x:v>
      </x:c>
      <x:c r="H7" s="4" t="str">
        <x:v>Herramienta disponible con uso corporativo no autorizado.</x:v>
      </x:c>
      <x:c r="I7" s="4" t="str">
        <x:v>La disponibilidad no debe convertirse en autorización.</x:v>
      </x:c>
      <x:c r="J7" s="4" t="str">
        <x:v>PROPUESTA EDUCATIVA; NO ENSAYADA</x:v>
      </x:c>
    </x:row>
    <x:row r="8" ht="47" customHeight="1">
      <x:c r="A8" s="4" t="str">
        <x:v>CF-04</x:v>
      </x:c>
      <x:c r="B8" s="4" t="str">
        <x:v>AN-03</x:v>
      </x:c>
      <x:c r="C8" s="4" t="str">
        <x:v>Confundir contenido externo con instrucción autorizada.</x:v>
      </x:c>
      <x:c r="D8" s="4" t="str">
        <x:v>URJC-28; CE-03</x:v>
      </x:c>
      <x:c r="E8" s="4" t="str">
        <x:v>Ejecutar una acción indicada por una entrada no confiable.</x:v>
      </x:c>
      <x:c r="F8" s="4" t="str">
        <x:v>Pérdida de la frontera entre datos y mandato.</x:v>
      </x:c>
      <x:c r="G8" s="4" t="str">
        <x:v>Potencial: acción fuera de alcance si la realización no impone autorización.</x:v>
      </x:c>
      <x:c r="H8" s="4" t="str">
        <x:v>Documento de análisis que contiene una orden de actuar.</x:v>
      </x:c>
      <x:c r="I8" s="4" t="str">
        <x:v>Debe conservarlo como dato y comprobar la autoridad antes de cualquier acción.</x:v>
      </x:c>
      <x:c r="J8" s="4" t="str">
        <x:v>PROPUESTA EDUCATIVA; NO ENSAYADA</x:v>
      </x:c>
    </x:row>
    <x:row r="9" ht="47" customHeight="1">
      <x:c r="A9" s="4" t="str">
        <x:v>CF-05</x:v>
      </x:c>
      <x:c r="B9" s="4" t="str">
        <x:v>AN-04</x:v>
      </x:c>
      <x:c r="C9" s="4" t="str">
        <x:v>Ignorar errores del detector y el proceso de revisión.</x:v>
      </x:c>
      <x:c r="D9" s="4" t="str">
        <x:v>URJC-09; URJC-33; CE-08</x:v>
      </x:c>
      <x:c r="E9" s="4" t="str">
        <x:v>Cerrar una investigación por una clasificación automática.</x:v>
      </x:c>
      <x:c r="F9" s="4" t="str">
        <x:v>Cierre sin evidencia suficiente.</x:v>
      </x:c>
      <x:c r="G9" s="4" t="str">
        <x:v>Potencial: amenaza sin investigar; no implica daño consumado.</x:v>
      </x:c>
      <x:c r="H9" s="4" t="str">
        <x:v>Señales contradictorias con una clasificación de bajo riesgo.</x:v>
      </x:c>
      <x:c r="I9" s="4" t="str">
        <x:v>Debe identificar contradicción y mantener la revisión pendiente.</x:v>
      </x:c>
      <x:c r="J9" s="4" t="str">
        <x:v>PROPUESTA EDUCATIVA; NO ENSAYADA</x:v>
      </x:c>
    </x:row>
    <x:row r="10" ht="47" customHeight="1">
      <x:c r="A10" s="4" t="str">
        <x:v>CF-06</x:v>
      </x:c>
      <x:c r="B10" s="4" t="str">
        <x:v>AN-04</x:v>
      </x:c>
      <x:c r="C10" s="4" t="str">
        <x:v>Ignorar el coste de una falsa alarma y la dependencia del servicio.</x:v>
      </x:c>
      <x:c r="D10" s="4" t="str">
        <x:v>URJC-14; URJC-35; CE-06</x:v>
      </x:c>
      <x:c r="E10" s="4" t="str">
        <x:v>Proponer contención sin considerar el servicio protegido.</x:v>
      </x:c>
      <x:c r="F10" s="4" t="str">
        <x:v>Balance de consecuencias incompleto.</x:v>
      </x:c>
      <x:c r="G10" s="4" t="str">
        <x:v>Potencial: interrupción innecesaria por una intervención desproporcionada.</x:v>
      </x:c>
      <x:c r="H10" s="4" t="str">
        <x:v>Alerta con evidencia débil sobre un servicio crítico.</x:v>
      </x:c>
      <x:c r="I10" s="4" t="str">
        <x:v>Debe diferenciar investigar, priorizar y contener; no automatizar la respuesta.</x:v>
      </x:c>
      <x:c r="J10" s="4" t="str">
        <x:v>PROPUESTA EDUCATIVA; NO ENSAYADA</x:v>
      </x:c>
    </x:row>
    <x:row r="11" ht="47" customHeight="1">
      <x:c r="A11" s="4" t="str">
        <x:v>CF-07</x:v>
      </x:c>
      <x:c r="B11" s="4" t="str">
        <x:v>AN-05</x:v>
      </x:c>
      <x:c r="C11" s="4" t="str">
        <x:v>Omitir coste total, horizonte y valor protegido.</x:v>
      </x:c>
      <x:c r="D11" s="4" t="str">
        <x:v>URJC-11; URJC-14; URJC-35</x:v>
      </x:c>
      <x:c r="E11" s="4" t="str">
        <x:v>Elegir una protección sólo por su capacidad técnica.</x:v>
      </x:c>
      <x:c r="F11" s="4" t="str">
        <x:v>Comparación económica incompleta.</x:v>
      </x:c>
      <x:c r="G11" s="4" t="str">
        <x:v>Potencial: proteger con un coste superior al valor declarado de lo protegido.</x:v>
      </x:c>
      <x:c r="H11" s="4" t="str">
        <x:v>Control de coste conocido, valor protegido o mantenimiento sin determinar.</x:v>
      </x:c>
      <x:c r="I11" s="4" t="str">
        <x:v>Debe declarar insuficiencia del balance; el humano fija alcance, valoración y decisión.</x:v>
      </x:c>
      <x:c r="J11" s="4" t="str">
        <x:v>PROPUESTA EDUCATIVA; NO ENSAYADA</x:v>
      </x:c>
    </x:row>
    <x:row r="12" ht="47" customHeight="1">
      <x:c r="A12" s="4" t="str">
        <x:v>CF-08</x:v>
      </x:c>
      <x:c r="B12" s="4" t="str">
        <x:v>AN-06</x:v>
      </x:c>
      <x:c r="C12" s="4" t="str">
        <x:v>Confundir ausencia de telemetría con ausencia de actividad.</x:v>
      </x:c>
      <x:c r="D12" s="4" t="str">
        <x:v>URJC-19; URJC-29; CE-08</x:v>
      </x:c>
      <x:c r="E12" s="4" t="str">
        <x:v>Concluir que no ocurrió un evento fuera del campo observado.</x:v>
      </x:c>
      <x:c r="F12" s="4" t="str">
        <x:v>Falso negativo documental por falta de cobertura.</x:v>
      </x:c>
      <x:c r="G12" s="4" t="str">
        <x:v>Potencial: omisión de investigación; no se afirma ataque ocurrido.</x:v>
      </x:c>
      <x:c r="H12" s="4" t="str">
        <x:v>Mismo silencio de registros con sensor activo y con sensor fuera de servicio.</x:v>
      </x:c>
      <x:c r="I12" s="4" t="str">
        <x:v>Debe distinguir ambos casos y no resolver el segundo como ausencia demostrada.</x:v>
      </x:c>
      <x:c r="J12" s="4" t="str">
        <x:v>PROPUESTA EDUCATIVA; NO ENSAYADA</x:v>
      </x:c>
    </x:row>
    <x:row r="13" ht="47" customHeight="1">
      <x:c r="A13" s="4" t="str">
        <x:v>CF-09</x:v>
      </x:c>
      <x:c r="B13" s="4" t="str">
        <x:v>AN-07</x:v>
      </x:c>
      <x:c r="C13" s="4" t="str">
        <x:v>Confundir una técnica de privacidad con una garantía absoluta.</x:v>
      </x:c>
      <x:c r="D13" s="4" t="str">
        <x:v>URJC-12; URJC-24; CE-03</x:v>
      </x:c>
      <x:c r="E13" s="4" t="str">
        <x:v>Declarar protección sin examinar amenaza ni supuestos.</x:v>
      </x:c>
      <x:c r="F13" s="4" t="str">
        <x:v>Garantía no acreditada.</x:v>
      </x:c>
      <x:c r="G13" s="4" t="str">
        <x:v>Potencial: revelación de información fuera de lo cubierto por la técnica.</x:v>
      </x:c>
      <x:c r="H13" s="4" t="str">
        <x:v>Comparar datos locales, resultados compartidos y acceso al modelo.</x:v>
      </x:c>
      <x:c r="I13" s="4" t="str">
        <x:v>Debe especificar qué protege cada técnica y qué queda fuera.</x:v>
      </x:c>
      <x:c r="J13" s="4" t="str">
        <x:v>PROPUESTA EDUCATIVA; NO ENSAYADA</x:v>
      </x:c>
    </x:row>
    <x:row r="14" ht="47" customHeight="1">
      <x:c r="A14" s="4" t="str">
        <x:v>CF-10</x:v>
      </x:c>
      <x:c r="B14" s="4" t="str">
        <x:v>AN-08</x:v>
      </x:c>
      <x:c r="C14" s="4" t="str">
        <x:v>Ignorar efectos diferentes sobre grupos o situaciones.</x:v>
      </x:c>
      <x:c r="D14" s="4" t="str">
        <x:v>URJC-09; URJC-12; CE-03</x:v>
      </x:c>
      <x:c r="E14" s="4" t="str">
        <x:v>Usar una métrica global como prueba de adecuación para todos.</x:v>
      </x:c>
      <x:c r="F14" s="4" t="str">
        <x:v>Generalización no sostenida.</x:v>
      </x:c>
      <x:c r="G14" s="4" t="str">
        <x:v>Potencial: decisiones desiguales o errores no detectados por el agregado.</x:v>
      </x:c>
      <x:c r="H14" s="4" t="str">
        <x:v>Misma métrica global con distribuciones de error distintas.</x:v>
      </x:c>
      <x:c r="I14" s="4" t="str">
        <x:v>Debe examinar el alcance y desagregación pertinente antes de concluir.</x:v>
      </x:c>
      <x:c r="J14" s="4" t="str">
        <x:v>PROPUESTA EDUCATIVA; NO ENSAYADA</x:v>
      </x:c>
    </x:row>
    <x:row r="15" ht="47" customHeight="1">
      <x:c r="A15" s="4" t="str">
        <x:v>CF-11</x:v>
      </x:c>
      <x:c r="B15" s="4" t="str">
        <x:v>AN-08</x:v>
      </x:c>
      <x:c r="C15" s="4" t="str">
        <x:v>Sustituir una referencia por una edición nueva sin adopción.</x:v>
      </x:c>
      <x:c r="D15" s="4" t="str">
        <x:v>CE-07; mandato humano</x:v>
      </x:c>
      <x:c r="E15" s="4" t="str">
        <x:v>Reinterpretar el dominio cerrado desde información adquirida después.</x:v>
      </x:c>
      <x:c r="F15" s="4" t="str">
        <x:v>Ruptura de identidad y soberanía del corte.</x:v>
      </x:c>
      <x:c r="G15" s="4" t="str">
        <x:v>No se imputa un daño operativo sin prueba de uso y consecuencia.</x:v>
      </x:c>
      <x:c r="H15" s="4" t="str">
        <x:v>Nuevo catálogo externo con cambio material de un objeto.</x:v>
      </x:c>
      <x:c r="I15" s="4" t="str">
        <x:v>Debe conservar el corte anterior, proponer revisión y esperar declaración humana de aptitud.</x:v>
      </x:c>
      <x:c r="J15" s="4" t="str">
        <x:v>PROPUESTA EDUCATIVA; NO ENSAYADA</x:v>
      </x:c>
    </x:row>
    <x:row r="16" ht="47" customHeight="1">
      <x:c r="A16" s="4" t="str">
        <x:v>CF-12</x:v>
      </x:c>
      <x:c r="B16" s="4" t="str">
        <x:v>AN-08</x:v>
      </x:c>
      <x:c r="C16" s="4" t="str">
        <x:v>Confundir fallo técnico con conclusión del dominio.</x:v>
      </x:c>
      <x:c r="D16" s="4" t="str">
        <x:v>Instrucción aprobada; experiencia de Inmunología</x:v>
      </x:c>
      <x:c r="E16" s="4" t="str">
        <x:v>Emitir una salida alternativa ante un fallo de realización.</x:v>
      </x:c>
      <x:c r="F16" s="4" t="str">
        <x:v>No existe ejecución válida que sostenga la salida.</x:v>
      </x:c>
      <x:c r="G16" s="4" t="str">
        <x:v>No convertir el fallo técnico en evidencia de seguridad o inseguridad.</x:v>
      </x:c>
      <x:c r="H16" s="4" t="str">
        <x:v>Misma identidad de entrada con fallo técnico en una ejecución.</x:v>
      </x:c>
      <x:c r="I16" s="4" t="str">
        <x:v>Ejecución válida idéntica: mismos bytes; fallo: registro técnico, sin salida alternativa del dominio.</x:v>
      </x:c>
      <x:c r="J16" s="4" t="str">
        <x:v>PROPUESTA EDUCATIVA; NO ENSAYADA</x:v>
      </x:c>
    </x:row>
  </x:sheetData>
  <x:mergeCells>
    <x:mergeCell ref="A1:D1"/>
    <x:mergeCell ref="A2:F2"/>
  </x:mergeCells>
  <x:pageMargins left="0.7" right="0.7" top="0.75" bottom="0.75" header="0.3" footer="0.3"/>
  <x:tableParts count="1">
    <x:tablePart xmlns:r="http://schemas.openxmlformats.org/officeDocument/2006/relationships" r:id="Rbc432ba804b94383"/>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2" hidden="0" customWidth="1"/>
    <x:col min="2" max="2" width="57" hidden="0" customWidth="1"/>
    <x:col min="3" max="3" width="82" hidden="0" customWidth="1"/>
    <x:col min="4" max="4" width="17" hidden="0" customWidth="1"/>
    <x:col min="5" max="5" width="20" hidden="0" customWidth="1"/>
    <x:col min="6" max="6" width="88" hidden="0" customWidth="1"/>
  </x:cols>
  <x:sheetData>
    <x:row r="1" ht="35" customHeight="1">
      <x:c r="A1" s="6" t="str">
        <x:v>PRIMERA ORDENACIÓN · familias educativas locales</x:v>
      </x:c>
      <x:c r="B1" s="6"/>
      <x:c r="C1" s="6"/>
      <x:c r="D1" s="6"/>
      <x:c r="E1" s="6"/>
      <x:c r="F1" s="6"/>
    </x:row>
    <x:row r="2" ht="52" customHeight="1">
      <x:c r="A2" s="8" t="str">
        <x:v>Agrupación editorial de Watson para este catálogo. No es taxonomía oficial URJC, no determina matrices y no sustituye la adjudicación semántica posterior.</x:v>
      </x:c>
      <x:c r="B2" s="8"/>
      <x:c r="C2" s="8"/>
      <x:c r="D2" s="8"/>
      <x:c r="E2" s="8"/>
      <x:c r="F2" s="8"/>
    </x:row>
    <x:row r="3">
      <x:c r="A3" s="4"/>
      <x:c r="B3" s="4"/>
      <x:c r="C3" s="4"/>
      <x:c r="D3" s="4"/>
      <x:c r="E3" s="4"/>
      <x:c r="F3" s="4"/>
    </x:row>
    <x:row r="4" ht="42" customHeight="1">
      <x:c r="A4" s="10" t="str">
        <x:v>ID</x:v>
      </x:c>
      <x:c r="B4" s="10" t="str">
        <x:v>Familia propuesta</x:v>
      </x:c>
      <x:c r="C4" s="10" t="str">
        <x:v>Criterio de ordenación</x:v>
      </x:c>
      <x:c r="D4" s="10" t="str">
        <x:v>Asignaturas</x:v>
      </x:c>
      <x:c r="E4" s="10" t="str">
        <x:v>ECTS calculados</x:v>
      </x:c>
      <x:c r="F4" s="10" t="str">
        <x:v>Interpretación</x:v>
      </x:c>
    </x:row>
    <x:row r="5" ht="47" customHeight="1">
      <x:c r="A5" s="4" t="str">
        <x:v>F01</x:v>
      </x:c>
      <x:c r="B5" s="4" t="str">
        <x:v>Fundamentos matemáticos, físicos y razonamiento</x:v>
      </x:c>
      <x:c r="C5" s="4" t="str">
        <x:v>Comprender modelos, incertidumbre y límites; no convertir asignaturas en átomos.</x:v>
      </x:c>
      <x:c r="D5" s="14" t="n">
        <x:f>COUNTIF('15_Base_universitaria'!$H$5:$H$44,A5)</x:f>
        <x:v>5</x:v>
      </x:c>
      <x:c r="E5" s="14" t="n">
        <x:f>SUMIF('15_Base_universitaria'!$H$5:$H$44,A5,'15_Base_universitaria'!$P$5:$P$44)</x:f>
        <x:v>30</x:v>
      </x:c>
      <x:c r="F5" s="4" t="str">
        <x:v>Un enlace primario por asignatura evita doble conteo; no declara exclusividad temática.</x:v>
      </x:c>
    </x:row>
    <x:row r="6" ht="47" customHeight="1">
      <x:c r="A6" s="4" t="str">
        <x:v>F02</x:v>
      </x:c>
      <x:c r="B6" s="4" t="str">
        <x:v>Conceptos y contexto de ciberseguridad</x:v>
      </x:c>
      <x:c r="C6" s="4" t="str">
        <x:v>Relacionar tecnología, personas y organización.</x:v>
      </x:c>
      <x:c r="D6" s="14" t="n">
        <x:f>COUNTIF('15_Base_universitaria'!$H$5:$H$44,A6)</x:f>
        <x:v>1</x:v>
      </x:c>
      <x:c r="E6" s="14" t="n">
        <x:f>SUMIF('15_Base_universitaria'!$H$5:$H$44,A6,'15_Base_universitaria'!$P$5:$P$44)</x:f>
        <x:v>6</x:v>
      </x:c>
      <x:c r="F6" s="4" t="str">
        <x:v>Un enlace primario por asignatura evita doble conteo; no declara exclusividad temática.</x:v>
      </x:c>
    </x:row>
    <x:row r="7" ht="47" customHeight="1">
      <x:c r="A7" s="4" t="str">
        <x:v>F03</x:v>
      </x:c>
      <x:c r="B7" s="4" t="str">
        <x:v>Programación, algoritmos e ingeniería de software</x:v>
      </x:c>
      <x:c r="C7" s="4" t="str">
        <x:v>Construir, analizar y verificar sistemas.</x:v>
      </x:c>
      <x:c r="D7" s="14" t="n">
        <x:f>COUNTIF('15_Base_universitaria'!$H$5:$H$44,A7)</x:f>
        <x:v>7</x:v>
      </x:c>
      <x:c r="E7" s="14" t="n">
        <x:f>SUMIF('15_Base_universitaria'!$H$5:$H$44,A7,'15_Base_universitaria'!$P$5:$P$44)</x:f>
        <x:v>42</x:v>
      </x:c>
      <x:c r="F7" s="4" t="str">
        <x:v>Un enlace primario por asignatura evita doble conteo; no declara exclusividad temática.</x:v>
      </x:c>
    </x:row>
    <x:row r="8" ht="47" customHeight="1">
      <x:c r="A8" s="4" t="str">
        <x:v>F04</x:v>
      </x:c>
      <x:c r="B8" s="4" t="str">
        <x:v>Criptografía y garantías</x:v>
      </x:c>
      <x:c r="C8" s="4" t="str">
        <x:v>Distinguir propiedades y condiciones de protección.</x:v>
      </x:c>
      <x:c r="D8" s="14" t="n">
        <x:f>COUNTIF('15_Base_universitaria'!$H$5:$H$44,A8)</x:f>
        <x:v>1</x:v>
      </x:c>
      <x:c r="E8" s="14" t="n">
        <x:f>SUMIF('15_Base_universitaria'!$H$5:$H$44,A8,'15_Base_universitaria'!$P$5:$P$44)</x:f>
        <x:v>6</x:v>
      </x:c>
      <x:c r="F8" s="4" t="str">
        <x:v>Un enlace primario por asignatura evita doble conteo; no declara exclusividad temática.</x:v>
      </x:c>
    </x:row>
    <x:row r="9" ht="47" customHeight="1">
      <x:c r="A9" s="4" t="str">
        <x:v>F05</x:v>
      </x:c>
      <x:c r="B9" s="4" t="str">
        <x:v>Derecho, ética, contexto y gobierno</x:v>
      </x:c>
      <x:c r="C9" s="4" t="str">
        <x:v>Fundamentar autoridad, responsabilidad y políticas.</x:v>
      </x:c>
      <x:c r="D9" s="14" t="n">
        <x:f>COUNTIF('15_Base_universitaria'!$H$5:$H$44,A9)</x:f>
        <x:v>3</x:v>
      </x:c>
      <x:c r="E9" s="14" t="n">
        <x:f>SUMIF('15_Base_universitaria'!$H$5:$H$44,A9,'15_Base_universitaria'!$P$5:$P$44)</x:f>
        <x:v>15</x:v>
      </x:c>
      <x:c r="F9" s="4" t="str">
        <x:v>Un enlace primario por asignatura evita doble conteo; no declara exclusividad temática.</x:v>
      </x:c>
    </x:row>
    <x:row r="10" ht="47" customHeight="1">
      <x:c r="A10" s="4" t="str">
        <x:v>F06</x:v>
      </x:c>
      <x:c r="B10" s="4" t="str">
        <x:v>Economía, riesgo, auditoría y decisión</x:v>
      </x:c>
      <x:c r="C10" s="4" t="str">
        <x:v>Conectar protección, consecuencias, recursos y evidencia.</x:v>
      </x:c>
      <x:c r="D10" s="14" t="n">
        <x:f>COUNTIF('15_Base_universitaria'!$H$5:$H$44,A10)</x:f>
        <x:v>3</x:v>
      </x:c>
      <x:c r="E10" s="14" t="n">
        <x:f>SUMIF('15_Base_universitaria'!$H$5:$H$44,A10,'15_Base_universitaria'!$P$5:$P$44)</x:f>
        <x:v>15</x:v>
      </x:c>
      <x:c r="F10" s="4" t="str">
        <x:v>Un enlace primario por asignatura evita doble conteo; no declara exclusividad temática.</x:v>
      </x:c>
    </x:row>
    <x:row r="11" ht="47" customHeight="1">
      <x:c r="A11" s="4" t="str">
        <x:v>F07</x:v>
      </x:c>
      <x:c r="B11" s="4" t="str">
        <x:v>Redes, comunicaciones y nube</x:v>
      </x:c>
      <x:c r="C11" s="4" t="str">
        <x:v>Razonar sobre arquitectura, observación y protección.</x:v>
      </x:c>
      <x:c r="D11" s="14" t="n">
        <x:f>COUNTIF('15_Base_universitaria'!$H$5:$H$44,A11)</x:f>
        <x:v>3</x:v>
      </x:c>
      <x:c r="E11" s="14" t="n">
        <x:f>SUMIF('15_Base_universitaria'!$H$5:$H$44,A11,'15_Base_universitaria'!$P$5:$P$44)</x:f>
        <x:v>18</x:v>
      </x:c>
      <x:c r="F11" s="4" t="str">
        <x:v>Un enlace primario por asignatura evita doble conteo; no declara exclusividad temática.</x:v>
      </x:c>
    </x:row>
    <x:row r="12" ht="47" customHeight="1">
      <x:c r="A12" s="4" t="str">
        <x:v>F08</x:v>
      </x:c>
      <x:c r="B12" s="4" t="str">
        <x:v>Evaluación ofensiva y malware</x:v>
      </x:c>
      <x:c r="C12" s="4" t="str">
        <x:v>Comprender adversarios en entornos autorizados.</x:v>
      </x:c>
      <x:c r="D12" s="14" t="n">
        <x:f>COUNTIF('15_Base_universitaria'!$H$5:$H$44,A12)</x:f>
        <x:v>3</x:v>
      </x:c>
      <x:c r="E12" s="14" t="n">
        <x:f>SUMIF('15_Base_universitaria'!$H$5:$H$44,A12,'15_Base_universitaria'!$P$5:$P$44)</x:f>
        <x:v>15</x:v>
      </x:c>
      <x:c r="F12" s="4" t="str">
        <x:v>Un enlace primario por asignatura evita doble conteo; no declara exclusividad temática.</x:v>
      </x:c>
    </x:row>
    <x:row r="13" ht="47" customHeight="1">
      <x:c r="A13" s="4" t="str">
        <x:v>F09</x:v>
      </x:c>
      <x:c r="B13" s="4" t="str">
        <x:v>Datos y sistemas de información</x:v>
      </x:c>
      <x:c r="C13" s="4" t="str">
        <x:v>Relacionar información, controles y decisiones.</x:v>
      </x:c>
      <x:c r="D13" s="14" t="n">
        <x:f>COUNTIF('15_Base_universitaria'!$H$5:$H$44,A13)</x:f>
        <x:v>3</x:v>
      </x:c>
      <x:c r="E13" s="14" t="n">
        <x:f>SUMIF('15_Base_universitaria'!$H$5:$H$44,A13,'15_Base_universitaria'!$P$5:$P$44)</x:f>
        <x:v>18</x:v>
      </x:c>
      <x:c r="F13" s="4" t="str">
        <x:v>Un enlace primario por asignatura evita doble conteo; no declara exclusividad temática.</x:v>
      </x:c>
    </x:row>
    <x:row r="14" ht="47" customHeight="1">
      <x:c r="A14" s="4" t="str">
        <x:v>F10</x:v>
      </x:c>
      <x:c r="B14" s="4" t="str">
        <x:v>Computadores y sistemas operativos</x:v>
      </x:c>
      <x:c r="C14" s="4" t="str">
        <x:v>Comprender ejecución, aislamiento y recursos.</x:v>
      </x:c>
      <x:c r="D14" s="14" t="n">
        <x:f>COUNTIF('15_Base_universitaria'!$H$5:$H$44,A14)</x:f>
        <x:v>3</x:v>
      </x:c>
      <x:c r="E14" s="14" t="n">
        <x:f>SUMIF('15_Base_universitaria'!$H$5:$H$44,A14,'15_Base_universitaria'!$P$5:$P$44)</x:f>
        <x:v>18</x:v>
      </x:c>
      <x:c r="F14" s="4" t="str">
        <x:v>Un enlace primario por asignatura evita doble conteo; no declara exclusividad temática.</x:v>
      </x:c>
    </x:row>
    <x:row r="15" ht="47" customHeight="1">
      <x:c r="A15" s="4" t="str">
        <x:v>F11</x:v>
      </x:c>
      <x:c r="B15" s="4" t="str">
        <x:v>Formación transversal de la titulación</x:v>
      </x:c>
      <x:c r="C15" s="4" t="str">
        <x:v>Idioma y reconocimiento académico: no equivalen a contenido técnico de dominio.</x:v>
      </x:c>
      <x:c r="D15" s="14" t="n">
        <x:f>COUNTIF('15_Base_universitaria'!$H$5:$H$44,A15)</x:f>
        <x:v>2</x:v>
      </x:c>
      <x:c r="E15" s="14" t="n">
        <x:f>SUMIF('15_Base_universitaria'!$H$5:$H$44,A15,'15_Base_universitaria'!$P$5:$P$44)</x:f>
        <x:v>12</x:v>
      </x:c>
      <x:c r="F15" s="4" t="str">
        <x:v>Un enlace primario por asignatura evita doble conteo; no declara exclusividad temática.</x:v>
      </x:c>
    </x:row>
    <x:row r="16" ht="47" customHeight="1">
      <x:c r="A16" s="4" t="str">
        <x:v>F12</x:v>
      </x:c>
      <x:c r="B16" s="4" t="str">
        <x:v>IA, visión y sistemas inteligentes</x:v>
      </x:c>
      <x:c r="C16" s="4" t="str">
        <x:v>Base educativa que recibe complementos de evaluación y seguridad de IA.</x:v>
      </x:c>
      <x:c r="D16" s="14" t="n">
        <x:f>COUNTIF('15_Base_universitaria'!$H$5:$H$44,A16)</x:f>
        <x:v>2</x:v>
      </x:c>
      <x:c r="E16" s="14" t="n">
        <x:f>SUMIF('15_Base_universitaria'!$H$5:$H$44,A16,'15_Base_universitaria'!$P$5:$P$44)</x:f>
        <x:v>6</x:v>
      </x:c>
      <x:c r="F16" s="4" t="str">
        <x:v>Un enlace primario por asignatura evita doble conteo; no declara exclusividad temática.</x:v>
      </x:c>
    </x:row>
    <x:row r="17" ht="47" customHeight="1">
      <x:c r="A17" s="4" t="str">
        <x:v>F13</x:v>
      </x:c>
      <x:c r="B17" s="4" t="str">
        <x:v>Inteligencia, respuesta, forense y continuidad</x:v>
      </x:c>
      <x:c r="C17" s="4" t="str">
        <x:v>Investigar y actuar con evidencia y límites.</x:v>
      </x:c>
      <x:c r="D17" s="14" t="n">
        <x:f>COUNTIF('15_Base_universitaria'!$H$5:$H$44,A17)</x:f>
        <x:v>1</x:v>
      </x:c>
      <x:c r="E17" s="14" t="n">
        <x:f>SUMIF('15_Base_universitaria'!$H$5:$H$44,A17,'15_Base_universitaria'!$P$5:$P$44)</x:f>
        <x:v>6</x:v>
      </x:c>
      <x:c r="F17" s="4" t="str">
        <x:v>Un enlace primario por asignatura evita doble conteo; no declara exclusividad temática.</x:v>
      </x:c>
    </x:row>
    <x:row r="18" ht="47" customHeight="1">
      <x:c r="A18" s="4" t="str">
        <x:v>F14</x:v>
      </x:c>
      <x:c r="B18" s="4" t="str">
        <x:v>Infraestructuras críticas y sistemas físicos</x:v>
      </x:c>
      <x:c r="C18" s="4" t="str">
        <x:v>Considerar dependencias y efectos en la operación.</x:v>
      </x:c>
      <x:c r="D18" s="14" t="n">
        <x:f>COUNTIF('15_Base_universitaria'!$H$5:$H$44,A18)</x:f>
        <x:v>1</x:v>
      </x:c>
      <x:c r="E18" s="14" t="n">
        <x:f>SUMIF('15_Base_universitaria'!$H$5:$H$44,A18,'15_Base_universitaria'!$P$5:$P$44)</x:f>
        <x:v>3</x:v>
      </x:c>
      <x:c r="F18" s="4" t="str">
        <x:v>Un enlace primario por asignatura evita doble conteo; no declara exclusividad temática.</x:v>
      </x:c>
    </x:row>
    <x:row r="19" ht="47" customHeight="1">
      <x:c r="A19" s="4" t="str">
        <x:v>F15</x:v>
      </x:c>
      <x:c r="B19" s="4" t="str">
        <x:v>Integración y experiencia tutelada</x:v>
      </x:c>
      <x:c r="C19" s="4" t="str">
        <x:v>Practicar, justificar, revisar y defender decisiones.</x:v>
      </x:c>
      <x:c r="D19" s="14" t="n">
        <x:f>COUNTIF('15_Base_universitaria'!$H$5:$H$44,A19)</x:f>
        <x:v>2</x:v>
      </x:c>
      <x:c r="E19" s="14" t="n">
        <x:f>SUMIF('15_Base_universitaria'!$H$5:$H$44,A19,'15_Base_universitaria'!$P$5:$P$44)</x:f>
        <x:v>30</x:v>
      </x:c>
      <x:c r="F19" s="4" t="str">
        <x:v>Un enlace primario por asignatura evita doble conteo; no declara exclusividad temática.</x:v>
      </x:c>
    </x:row>
  </x:sheetData>
  <x:mergeCells>
    <x:mergeCell ref="A1:D1"/>
    <x:mergeCell ref="A2:F2"/>
  </x:mergeCells>
  <x:pageMargins left="0.7" right="0.7" top="0.75" bottom="0.75" header="0.3" footer="0.3"/>
  <x:tableParts count="1">
    <x:tablePart xmlns:r="http://schemas.openxmlformats.org/officeDocument/2006/relationships" r:id="R0c6dce0d1ce44885"/>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2" hidden="0" customWidth="1"/>
    <x:col min="2" max="2" width="60" hidden="0" customWidth="1"/>
    <x:col min="3" max="3" width="76" hidden="0" customWidth="1"/>
    <x:col min="4" max="4" width="76" hidden="0" customWidth="1"/>
    <x:col min="5" max="5" width="22" hidden="0" customWidth="1"/>
    <x:col min="6" max="6" width="21" hidden="0" customWidth="1"/>
    <x:col min="7" max="7" width="68" hidden="0" customWidth="1"/>
    <x:col min="8" max="8" width="20" hidden="0" customWidth="1"/>
    <x:col min="9" max="9" width="99" hidden="0" customWidth="1"/>
    <x:col min="10" max="10" width="43" hidden="0" customWidth="1"/>
    <x:col min="11" max="11" width="43" hidden="0" customWidth="1"/>
    <x:col min="12" max="12" width="15" hidden="0" customWidth="1"/>
    <x:col min="13" max="13" width="20" hidden="0" customWidth="1"/>
  </x:cols>
  <x:sheetData>
    <x:row r="1" ht="35" customHeight="1">
      <x:c r="A1" s="6" t="str">
        <x:v>BIBLIOTECA · inventario de adquisición y alcance de uso</x:v>
      </x:c>
      <x:c r="B1" s="6"/>
      <x:c r="C1" s="6"/>
      <x:c r="D1" s="6"/>
      <x:c r="E1" s="6"/>
      <x:c r="F1" s="6"/>
      <x:c r="G1" s="6"/>
      <x:c r="H1" s="6"/>
      <x:c r="I1" s="6"/>
      <x:c r="J1" s="6"/>
      <x:c r="K1" s="6"/>
      <x:c r="L1" s="6"/>
      <x:c r="M1" s="6"/>
    </x:row>
    <x:row r="2" ht="52" customHeight="1">
      <x:c r="A2" s="8" t="str">
        <x:v>Una captura no acredita lectura ni admisión. Los PDF del primer lote URJC se conservan apartados; las guías R son la recuperación secuencial. SHA-256 identifica bytes, no aprobación.</x:v>
      </x:c>
      <x:c r="B2" s="8"/>
      <x:c r="C2" s="8"/>
      <x:c r="D2" s="8"/>
      <x:c r="E2" s="8"/>
      <x:c r="F2" s="8"/>
      <x:c r="G2" s="8"/>
      <x:c r="H2" s="8"/>
      <x:c r="I2" s="8"/>
      <x:c r="J2" s="8"/>
      <x:c r="K2" s="8"/>
      <x:c r="L2" s="8"/>
      <x:c r="M2" s="8"/>
    </x:row>
    <x:row r="3">
      <x:c r="A3" s="4"/>
      <x:c r="B3" s="4"/>
      <x:c r="C3" s="4"/>
      <x:c r="D3" s="4"/>
      <x:c r="E3" s="4"/>
      <x:c r="F3" s="4"/>
      <x:c r="G3" s="4"/>
      <x:c r="H3" s="4"/>
      <x:c r="I3" s="4"/>
      <x:c r="J3" s="4"/>
      <x:c r="K3" s="4"/>
      <x:c r="L3" s="4"/>
      <x:c r="M3" s="4"/>
    </x:row>
    <x:row r="4" ht="42" customHeight="1">
      <x:c r="A4" s="10" t="str">
        <x:v>ID</x:v>
      </x:c>
      <x:c r="B4" s="10" t="str">
        <x:v>Documento o identificador</x:v>
      </x:c>
      <x:c r="C4" s="10" t="str">
        <x:v>URL solicitada</x:v>
      </x:c>
      <x:c r="D4" s="10" t="str">
        <x:v>URL efectiva</x:v>
      </x:c>
      <x:c r="E4" s="10" t="str">
        <x:v>Adquisición</x:v>
      </x:c>
      <x:c r="F4" s="10" t="str">
        <x:v>Bytes · texto</x:v>
      </x:c>
      <x:c r="G4" s="10" t="str">
        <x:v>SHA-256 de los bytes</x:v>
      </x:c>
      <x:c r="H4" s="10" t="str">
        <x:v>Páginas PDF</x:v>
      </x:c>
      <x:c r="I4" s="10" t="str">
        <x:v>Alcance de lectura / incidencia</x:v>
      </x:c>
      <x:c r="J4" s="10" t="str">
        <x:v>Uso en este corte</x:v>
      </x:c>
      <x:c r="K4" s="10" t="str">
        <x:v>Captura UTC</x:v>
      </x:c>
      <x:c r="L4" s="10" t="str">
        <x:v>Duplicado</x:v>
      </x:c>
      <x:c r="M4" s="10" t="str">
        <x:v>Huella defectuosa</x:v>
      </x:c>
    </x:row>
    <x:row r="5" ht="47" customHeight="1">
      <x:c r="A5" s="4" t="str">
        <x:v>A101</x:v>
      </x:c>
      <x:c r="B5" s="4" t="str">
        <x:v>ISO/IEC 42005:2025 · ficha pública</x:v>
      </x:c>
      <x:c r="C5" s="4" t="str">
        <x:v>https://www.iso.org/standard/42005</x:v>
      </x:c>
      <x:c r="D5" s="4" t="str"/>
      <x:c r="E5" s="4" t="str">
        <x:v>ERROR</x:v>
      </x:c>
      <x:c r="F5" s="4" t="str"/>
      <x:c r="G5" s="4" t="str"/>
      <x:c r="H5" s="4" t="str"/>
      <x:c r="I5" s="4" t="str">
        <x:v>Ficha pública verificada mediante consulta web; descarga original 403. No se dispone de la norma completa.</x:v>
      </x:c>
      <x:c r="J5" s="4" t="str">
        <x:v>SOLO_METADATOS_WEB</x:v>
      </x:c>
      <x:c r="K5" s="4" t="str"/>
      <x:c r="L5" s="12" t="n">
        <x:f>COUNTIF('21_Fuentes_educativas'!$A$5:$A$188,A5)-1</x:f>
        <x:v>0</x:v>
      </x:c>
      <x:c r="M5" s="12" t="n">
        <x:f>IF(E5="CAPTURADO",IF(LEN(G5)=64,0,1),0)</x:f>
        <x:v>0</x:v>
      </x:c>
    </x:row>
    <x:row r="6" ht="47" customHeight="1">
      <x:c r="A6" s="4" t="str">
        <x:v>A102</x:v>
      </x:c>
      <x:c r="B6" s="4" t="str">
        <x:v>ISO/IEC 38507:2022 · ficha pública</x:v>
      </x:c>
      <x:c r="C6" s="4" t="str">
        <x:v>https://www.iso.org/standard/56641.html</x:v>
      </x:c>
      <x:c r="D6" s="4" t="str"/>
      <x:c r="E6" s="4" t="str">
        <x:v>ERROR</x:v>
      </x:c>
      <x:c r="F6" s="4" t="str"/>
      <x:c r="G6" s="4" t="str"/>
      <x:c r="H6" s="4" t="str"/>
      <x:c r="I6" s="4" t="str">
        <x:v>Ficha pública verificada mediante consulta web; descarga original 403. No se dispone de la norma completa.</x:v>
      </x:c>
      <x:c r="J6" s="4" t="str">
        <x:v>SOLO_METADATOS_WEB</x:v>
      </x:c>
      <x:c r="K6" s="4" t="str"/>
      <x:c r="L6" s="12" t="n">
        <x:f>COUNTIF('21_Fuentes_educativas'!$A$5:$A$188,A6)-1</x:f>
        <x:v>0</x:v>
      </x:c>
      <x:c r="M6" s="12" t="n">
        <x:f>IF(E6="CAPTURADO",IF(LEN(G6)=64,0,1),0)</x:f>
        <x:v>0</x:v>
      </x:c>
    </x:row>
    <x:row r="7" ht="47" customHeight="1">
      <x:c r="A7" s="4" t="str">
        <x:v>A103</x:v>
      </x:c>
      <x:c r="B7" s="4" t="str">
        <x:v>ISO/IEC 42001:2023 · ficha pública</x:v>
      </x:c>
      <x:c r="C7" s="4" t="str">
        <x:v>https://www.iso.org/standard/42001</x:v>
      </x:c>
      <x:c r="D7" s="4" t="str"/>
      <x:c r="E7" s="4" t="str">
        <x:v>ERROR</x:v>
      </x:c>
      <x:c r="F7" s="4" t="str"/>
      <x:c r="G7" s="4" t="str"/>
      <x:c r="H7" s="4" t="str"/>
      <x:c r="I7" s="4" t="str">
        <x:v>HTTP Error 403: Forbidden</x:v>
      </x:c>
      <x:c r="J7" s="4" t="str">
        <x:v>SIN_CAPTURA</x:v>
      </x:c>
      <x:c r="K7" s="4" t="str"/>
      <x:c r="L7" s="12" t="n">
        <x:f>COUNTIF('21_Fuentes_educativas'!$A$5:$A$188,A7)-1</x:f>
        <x:v>0</x:v>
      </x:c>
      <x:c r="M7" s="12" t="n">
        <x:f>IF(E7="CAPTURADO",IF(LEN(G7)=64,0,1),0)</x:f>
        <x:v>0</x:v>
      </x:c>
    </x:row>
    <x:row r="8" ht="47" customHeight="1">
      <x:c r="A8" s="4" t="str">
        <x:v>A104</x:v>
      </x:c>
      <x:c r="B8" s="4" t="str">
        <x:v>OWASP Top 10 Agentic Applications 2026</x:v>
      </x:c>
      <x:c r="C8" s="4" t="str">
        <x:v>https://genai.owasp.org/resource/owasp-top-10-for-agentic-applications-for-2026/</x:v>
      </x:c>
      <x:c r="D8" s="4" t="str">
        <x:v>https://genai.owasp.org/resource/owasp-top-10-for-agentic-applications-for-2026/</x:v>
      </x:c>
      <x:c r="E8" s="4" t="str">
        <x:v>CAPTURADO</x:v>
      </x:c>
      <x:c r="F8" s="4" t="str">
        <x:v>354812</x:v>
      </x:c>
      <x:c r="G8" s="4" t="str">
        <x:v>36373f39c61e1313f301fc149b4d4dda1def571e70737ff03b45a69f0ea18623</x:v>
      </x:c>
      <x:c r="H8" s="4" t="str"/>
      <x:c r="I8" s="4" t="str">
        <x:v>Plan, descripción o apartados utilizados; localizadores en 14–20.</x:v>
      </x:c>
      <x:c r="J8" s="4" t="str">
        <x:v>REFERENCIA_REVISADA</x:v>
      </x:c>
      <x:c r="K8" s="4" t="n">
        <x:v>46273.82730359954</x:v>
      </x:c>
      <x:c r="L8" s="12" t="n">
        <x:f>COUNTIF('21_Fuentes_educativas'!$A$5:$A$188,A8)-1</x:f>
        <x:v>0</x:v>
      </x:c>
      <x:c r="M8" s="12" t="n">
        <x:f>IF(E8="CAPTURADO",IF(LEN(G8)=64,0,1),0)</x:f>
        <x:v>0</x:v>
      </x:c>
    </x:row>
    <x:row r="9" ht="47" customHeight="1">
      <x:c r="A9" s="4" t="str">
        <x:v>A105</x:v>
      </x:c>
      <x:c r="B9" s="4" t="str">
        <x:v>Linux kernel · BPF documentation</x:v>
      </x:c>
      <x:c r="C9" s="4" t="str">
        <x:v>https://docs.kernel.org/bpf/index.html</x:v>
      </x:c>
      <x:c r="D9" s="4" t="str">
        <x:v>https://docs.kernel.org/bpf/index.html</x:v>
      </x:c>
      <x:c r="E9" s="4" t="str">
        <x:v>CAPTURADO</x:v>
      </x:c>
      <x:c r="F9" s="4" t="str">
        <x:v>13664</x:v>
      </x:c>
      <x:c r="G9" s="4" t="str">
        <x:v>a35035de000054243024a969858cd1d1e36d9941a271bdd05f84279824084ac5</x:v>
      </x:c>
      <x:c r="H9" s="4" t="str"/>
      <x:c r="I9" s="4" t="str">
        <x:v>Plan, descripción o apartados utilizados; localizadores en 14–20.</x:v>
      </x:c>
      <x:c r="J9" s="4" t="str">
        <x:v>REFERENCIA_REVISADA</x:v>
      </x:c>
      <x:c r="K9" s="4" t="n">
        <x:v>46273.827317083334</x:v>
      </x:c>
      <x:c r="L9" s="12" t="n">
        <x:f>COUNTIF('21_Fuentes_educativas'!$A$5:$A$188,A9)-1</x:f>
        <x:v>0</x:v>
      </x:c>
      <x:c r="M9" s="12" t="n">
        <x:f>IF(E9="CAPTURADO",IF(LEN(G9)=64,0,1),0)</x:f>
        <x:v>0</x:v>
      </x:c>
    </x:row>
    <x:row r="10" ht="47" customHeight="1">
      <x:c r="A10" s="4" t="str">
        <x:v>A106</x:v>
      </x:c>
      <x:c r="B10" s="4" t="str">
        <x:v>P4 · URL descartada</x:v>
      </x:c>
      <x:c r="C10" s="4" t="str">
        <x:v>https://p4.org/specs/</x:v>
      </x:c>
      <x:c r="D10" s="4" t="str"/>
      <x:c r="E10" s="4" t="str">
        <x:v>ERROR</x:v>
      </x:c>
      <x:c r="F10" s="4" t="str"/>
      <x:c r="G10" s="4" t="str"/>
      <x:c r="H10" s="4" t="str"/>
      <x:c r="I10" s="4" t="str">
        <x:v>HTTP Error 404: Not Found</x:v>
      </x:c>
      <x:c r="J10" s="4" t="str">
        <x:v>SIN_CAPTURA</x:v>
      </x:c>
      <x:c r="K10" s="4" t="str"/>
      <x:c r="L10" s="12" t="n">
        <x:f>COUNTIF('21_Fuentes_educativas'!$A$5:$A$188,A10)-1</x:f>
        <x:v>0</x:v>
      </x:c>
      <x:c r="M10" s="12" t="n">
        <x:f>IF(E10="CAPTURADO",IF(LEN(G10)=64,0,1),0)</x:f>
        <x:v>0</x:v>
      </x:c>
    </x:row>
    <x:row r="11" ht="47" customHeight="1">
      <x:c r="A11" s="4" t="str">
        <x:v>A107</x:v>
      </x:c>
      <x:c r="B11" s="4" t="str">
        <x:v>NIST SP 800-226 · ficha pública</x:v>
      </x:c>
      <x:c r="C11" s="4" t="str">
        <x:v>https://csrc.nist.gov/pubs/sp/800/226/final</x:v>
      </x:c>
      <x:c r="D11" s="4" t="str">
        <x:v>https://csrc.nist.gov/pubs/sp/800/226/final</x:v>
      </x:c>
      <x:c r="E11" s="4" t="str">
        <x:v>CAPTURADO</x:v>
      </x:c>
      <x:c r="F11" s="4" t="str">
        <x:v>43505</x:v>
      </x:c>
      <x:c r="G11" s="4" t="str">
        <x:v>2c1b2cd8eb3b46c98abab76714dc59b1c60f1c1d5309796566a98b45da0c222a</x:v>
      </x:c>
      <x:c r="H11" s="4" t="str"/>
      <x:c r="I11" s="4" t="str">
        <x:v>Plan, descripción o apartados utilizados; localizadores en 14–20.</x:v>
      </x:c>
      <x:c r="J11" s="4" t="str">
        <x:v>REFERENCIA_REVISADA</x:v>
      </x:c>
      <x:c r="K11" s="4" t="n">
        <x:v>46273.827441319445</x:v>
      </x:c>
      <x:c r="L11" s="12" t="n">
        <x:f>COUNTIF('21_Fuentes_educativas'!$A$5:$A$188,A11)-1</x:f>
        <x:v>0</x:v>
      </x:c>
      <x:c r="M11" s="12" t="n">
        <x:f>IF(E11="CAPTURADO",IF(LEN(G11)=64,0,1),0)</x:f>
        <x:v>0</x:v>
      </x:c>
    </x:row>
    <x:row r="12" ht="47" customHeight="1">
      <x:c r="A12" s="4" t="str">
        <x:v>A108</x:v>
      </x:c>
      <x:c r="B12" s="4" t="str">
        <x:v>CCC · URL descartada</x:v>
      </x:c>
      <x:c r="C12" s="4" t="str">
        <x:v>https://confidentialcomputing.io/about/</x:v>
      </x:c>
      <x:c r="D12" s="4" t="str"/>
      <x:c r="E12" s="4" t="str">
        <x:v>ERROR</x:v>
      </x:c>
      <x:c r="F12" s="4" t="str"/>
      <x:c r="G12" s="4" t="str"/>
      <x:c r="H12" s="4" t="str"/>
      <x:c r="I12" s="4" t="str">
        <x:v>HTTP Error 404: Not Found</x:v>
      </x:c>
      <x:c r="J12" s="4" t="str">
        <x:v>SIN_CAPTURA</x:v>
      </x:c>
      <x:c r="K12" s="4" t="str"/>
      <x:c r="L12" s="12" t="n">
        <x:f>COUNTIF('21_Fuentes_educativas'!$A$5:$A$188,A12)-1</x:f>
        <x:v>0</x:v>
      </x:c>
      <x:c r="M12" s="12" t="n">
        <x:f>IF(E12="CAPTURADO",IF(LEN(G12)=64,0,1),0)</x:f>
        <x:v>0</x:v>
      </x:c>
    </x:row>
    <x:row r="13" ht="47" customHeight="1">
      <x:c r="A13" s="4" t="str">
        <x:v>A109</x:v>
      </x:c>
      <x:c r="B13" s="4" t="str">
        <x:v>NIST AI RMF · página oficial</x:v>
      </x:c>
      <x:c r="C13" s="4" t="str">
        <x:v>https://www.nist.gov/itl/ai-risk-management-framework</x:v>
      </x:c>
      <x:c r="D13" s="4" t="str">
        <x:v>https://www.nist.gov/itl/ai-risk-management-framework</x:v>
      </x:c>
      <x:c r="E13" s="4" t="str">
        <x:v>CAPTURADO</x:v>
      </x:c>
      <x:c r="F13" s="4" t="str">
        <x:v>93781</x:v>
      </x:c>
      <x:c r="G13" s="4" t="str">
        <x:v>8ff6f4d4006510cf9882a4b5c6a46570f16ea2a4fb9b94f463b69c28d176ab09</x:v>
      </x:c>
      <x:c r="H13" s="4" t="str"/>
      <x:c r="I13" s="4" t="str">
        <x:v>Plan, descripción o apartados utilizados; localizadores en 14–20.</x:v>
      </x:c>
      <x:c r="J13" s="4" t="str">
        <x:v>REFERENCIA_REVISADA</x:v>
      </x:c>
      <x:c r="K13" s="4" t="n">
        <x:v>46273.82742645833</x:v>
      </x:c>
      <x:c r="L13" s="12" t="n">
        <x:f>COUNTIF('21_Fuentes_educativas'!$A$5:$A$188,A13)-1</x:f>
        <x:v>0</x:v>
      </x:c>
      <x:c r="M13" s="12" t="n">
        <x:f>IF(E13="CAPTURADO",IF(LEN(G13)=64,0,1),0)</x:f>
        <x:v>0</x:v>
      </x:c>
    </x:row>
    <x:row r="14" ht="47" customHeight="1">
      <x:c r="A14" s="4" t="str">
        <x:v>A110</x:v>
      </x:c>
      <x:c r="B14" s="4" t="str">
        <x:v>Gartner AI TRiSM · acceso no obtenido</x:v>
      </x:c>
      <x:c r="C14" s="4" t="str">
        <x:v>https://www.gartner.com/en/articles/ai-trism</x:v>
      </x:c>
      <x:c r="D14" s="4" t="str"/>
      <x:c r="E14" s="4" t="str">
        <x:v>ERROR</x:v>
      </x:c>
      <x:c r="F14" s="4" t="str"/>
      <x:c r="G14" s="4" t="str"/>
      <x:c r="H14" s="4" t="str"/>
      <x:c r="I14" s="4" t="str">
        <x:v>HTTP Error 403: Forbidden</x:v>
      </x:c>
      <x:c r="J14" s="4" t="str">
        <x:v>SIN_CAPTURA</x:v>
      </x:c>
      <x:c r="K14" s="4" t="str"/>
      <x:c r="L14" s="12" t="n">
        <x:f>COUNTIF('21_Fuentes_educativas'!$A$5:$A$188,A14)-1</x:f>
        <x:v>0</x:v>
      </x:c>
      <x:c r="M14" s="12" t="n">
        <x:f>IF(E14="CAPTURADO",IF(LEN(G14)=64,0,1),0)</x:f>
        <x:v>0</x:v>
      </x:c>
    </x:row>
    <x:row r="15" ht="47" customHeight="1">
      <x:c r="A15" s="4" t="str">
        <x:v>A111</x:v>
      </x:c>
      <x:c r="B15" s="4" t="str">
        <x:v>P4 · página de proyecto</x:v>
      </x:c>
      <x:c r="C15" s="4" t="str">
        <x:v>https://p4.org/</x:v>
      </x:c>
      <x:c r="D15" s="4" t="str">
        <x:v>https://p4.org/</x:v>
      </x:c>
      <x:c r="E15" s="4" t="str">
        <x:v>CAPTURADO</x:v>
      </x:c>
      <x:c r="F15" s="4" t="str">
        <x:v>127400</x:v>
      </x:c>
      <x:c r="G15" s="4" t="str">
        <x:v>72c1eedeb6a9458591a11e17de497a6a128747ca2efc07a2f904619b7b7a00ed</x:v>
      </x:c>
      <x:c r="H15" s="4" t="str"/>
      <x:c r="I15" s="4" t="str">
        <x:v>Adquisición o identificación; no utilizada como contenido curricular.</x:v>
      </x:c>
      <x:c r="J15" s="4" t="str">
        <x:v>NO UTILIZADA EN LA PROPUESTA</x:v>
      </x:c>
      <x:c r="K15" s="4" t="n">
        <x:v>46273.8286752662</x:v>
      </x:c>
      <x:c r="L15" s="12" t="n">
        <x:f>COUNTIF('21_Fuentes_educativas'!$A$5:$A$188,A15)-1</x:f>
        <x:v>0</x:v>
      </x:c>
      <x:c r="M15" s="12" t="n">
        <x:f>IF(E15="CAPTURADO",IF(LEN(G15)=64,0,1),0)</x:f>
        <x:v>0</x:v>
      </x:c>
    </x:row>
    <x:row r="16" ht="47" customHeight="1">
      <x:c r="A16" s="4" t="str">
        <x:v>A112</x:v>
      </x:c>
      <x:c r="B16" s="4" t="str">
        <x:v>Confidential Computing Consortium · página oficial</x:v>
      </x:c>
      <x:c r="C16" s="4" t="str">
        <x:v>https://confidentialcomputing.io/</x:v>
      </x:c>
      <x:c r="D16" s="4" t="str">
        <x:v>https://confidentialcomputing.io/</x:v>
      </x:c>
      <x:c r="E16" s="4" t="str">
        <x:v>CAPTURADO</x:v>
      </x:c>
      <x:c r="F16" s="4" t="str">
        <x:v>213258</x:v>
      </x:c>
      <x:c r="G16" s="4" t="str">
        <x:v>84cca91e4b7604a1887feee1a931198609e7ce4a3e4907f031a969f9bddc42af</x:v>
      </x:c>
      <x:c r="H16" s="4" t="str"/>
      <x:c r="I16" s="4" t="str">
        <x:v>Plan, descripción o apartados utilizados; localizadores en 14–20.</x:v>
      </x:c>
      <x:c r="J16" s="4" t="str">
        <x:v>REFERENCIA_REVISADA</x:v>
      </x:c>
      <x:c r="K16" s="4" t="n">
        <x:v>46273.82866813657</x:v>
      </x:c>
      <x:c r="L16" s="12" t="n">
        <x:f>COUNTIF('21_Fuentes_educativas'!$A$5:$A$188,A16)-1</x:f>
        <x:v>0</x:v>
      </x:c>
      <x:c r="M16" s="12" t="n">
        <x:f>IF(E16="CAPTURADO",IF(LEN(G16)=64,0,1),0)</x:f>
        <x:v>0</x:v>
      </x:c>
    </x:row>
    <x:row r="17" ht="47" customHeight="1">
      <x:c r="A17" s="4" t="str">
        <x:v>A113</x:v>
      </x:c>
      <x:c r="B17" s="4" t="str">
        <x:v>P4 · especificaciones</x:v>
      </x:c>
      <x:c r="C17" s="4" t="str">
        <x:v>https://p4.org/specifications/</x:v>
      </x:c>
      <x:c r="D17" s="4" t="str">
        <x:v>https://p4.org/specifications/</x:v>
      </x:c>
      <x:c r="E17" s="4" t="str">
        <x:v>CAPTURADO</x:v>
      </x:c>
      <x:c r="F17" s="4" t="str">
        <x:v>119645</x:v>
      </x:c>
      <x:c r="G17" s="4" t="str">
        <x:v>ccfea9d69a2b1afa47f2ede4f5e174d785260b174f052051a0dae46737cdb693</x:v>
      </x:c>
      <x:c r="H17" s="4" t="str"/>
      <x:c r="I17" s="4" t="str">
        <x:v>Plan, descripción o apartados utilizados; localizadores en 14–20.</x:v>
      </x:c>
      <x:c r="J17" s="4" t="str">
        <x:v>REFERENCIA_REVISADA</x:v>
      </x:c>
      <x:c r="K17" s="4" t="n">
        <x:v>46273.829771006946</x:v>
      </x:c>
      <x:c r="L17" s="12" t="n">
        <x:f>COUNTIF('21_Fuentes_educativas'!$A$5:$A$188,A17)-1</x:f>
        <x:v>0</x:v>
      </x:c>
      <x:c r="M17" s="12" t="n">
        <x:f>IF(E17="CAPTURADO",IF(LEN(G17)=64,0,1),0)</x:f>
        <x:v>0</x:v>
      </x:c>
    </x:row>
    <x:row r="18" ht="47" customHeight="1">
      <x:c r="A18" s="4" t="str">
        <x:v>E001</x:v>
      </x:c>
      <x:c r="B18" s="4" t="str">
        <x:v>URJC · página oficial del grado</x:v>
      </x:c>
      <x:c r="C18" s="4" t="str">
        <x:v>https://www.urjc.es/estudios/grado/3100-ingenieria-de-la-ciberseguridad</x:v>
      </x:c>
      <x:c r="D18" s="4" t="str">
        <x:v>https://www.urjc.es/estudios/grado/3100-ingenieria-de-la-ciberseguridad</x:v>
      </x:c>
      <x:c r="E18" s="4" t="str">
        <x:v>CAPTURADO</x:v>
      </x:c>
      <x:c r="F18" s="4" t="str">
        <x:v>263056</x:v>
      </x:c>
      <x:c r="G18" s="4" t="str">
        <x:v>5336f7d470865965db4ba2079c4078e131683e559aedb6cfa165bf82051ca69b</x:v>
      </x:c>
      <x:c r="H18" s="4" t="str"/>
      <x:c r="I18" s="4" t="str">
        <x:v>Plan, descripción o apartados utilizados; localizadores en 14–20.</x:v>
      </x:c>
      <x:c r="J18" s="4" t="str">
        <x:v>REFERENCIA_REVISADA</x:v>
      </x:c>
      <x:c r="K18" s="4" t="n">
        <x:v>46273.82579255787</x:v>
      </x:c>
      <x:c r="L18" s="12" t="n">
        <x:f>COUNTIF('21_Fuentes_educativas'!$A$5:$A$188,A18)-1</x:f>
        <x:v>0</x:v>
      </x:c>
      <x:c r="M18" s="12" t="n">
        <x:f>IF(E18="CAPTURADO",IF(LEN(G18)=64,0,1),0)</x:f>
        <x:v>0</x:v>
      </x:c>
    </x:row>
    <x:row r="19" ht="47" customHeight="1">
      <x:c r="A19" s="4" t="str">
        <x:v>E002</x:v>
      </x:c>
      <x:c r="B19" s="4" t="str">
        <x:v>URJC · itinerario Erasmus 2021–22</x:v>
      </x:c>
      <x:c r="C19" s="4" t="str">
        <x:v>https://www.urjc.es/images/Estudios/Grado/ingenieria_ciberseguridad/GICiber.pdf</x:v>
      </x:c>
      <x:c r="D19" s="4" t="str">
        <x:v>https://www.urjc.es/images/Estudios/Grado/ingenieria_ciberseguridad/GICiber.pdf</x:v>
      </x:c>
      <x:c r="E19" s="4" t="str">
        <x:v>CAPTURADO</x:v>
      </x:c>
      <x:c r="F19" s="4" t="str">
        <x:v>156667</x:v>
      </x:c>
      <x:c r="G19" s="4" t="str">
        <x:v>7c63ca1ca52a030f0b3fe649d8be79ee6276fc7abee424ae7034b395a70775e4</x:v>
      </x:c>
      <x:c r="H19" s="4" t="str">
        <x:v>29</x:v>
      </x:c>
      <x:c r="I19" s="4" t="str">
        <x:v>Adquisición o identificación; no utilizada como contenido curricular.</x:v>
      </x:c>
      <x:c r="J19" s="4" t="str">
        <x:v>NO UTILIZADA EN LA PROPUESTA</x:v>
      </x:c>
      <x:c r="K19" s="4" t="n">
        <x:v>46273.825790219904</x:v>
      </x:c>
      <x:c r="L19" s="12" t="n">
        <x:f>COUNTIF('21_Fuentes_educativas'!$A$5:$A$188,A19)-1</x:f>
        <x:v>0</x:v>
      </x:c>
      <x:c r="M19" s="12" t="n">
        <x:f>IF(E19="CAPTURADO",IF(LEN(G19)=64,0,1),0)</x:f>
        <x:v>0</x:v>
      </x:c>
    </x:row>
    <x:row r="20" ht="47" customHeight="1">
      <x:c r="A20" s="4" t="str">
        <x:v>E003</x:v>
      </x:c>
      <x:c r="B20" s="4" t="str">
        <x:v>URJC · sede ETSII y dependencias</x:v>
      </x:c>
      <x:c r="C20" s="4" t="str">
        <x:v>https://www.urjc.es/titulaciones-etsii/ciberseguridad-etsii</x:v>
      </x:c>
      <x:c r="D20" s="4" t="str">
        <x:v>https://www.urjc.es/titulaciones-etsii/ciberseguridad-etsii</x:v>
      </x:c>
      <x:c r="E20" s="4" t="str">
        <x:v>CAPTURADO</x:v>
      </x:c>
      <x:c r="F20" s="4" t="str">
        <x:v>66391</x:v>
      </x:c>
      <x:c r="G20" s="4" t="str">
        <x:v>3a20a7d2c6caf0ab228d2118d99252b9d0c6008ccb453023c8090462850bd1eb</x:v>
      </x:c>
      <x:c r="H20" s="4" t="str"/>
      <x:c r="I20" s="4" t="str">
        <x:v>Adquisición o identificación; no utilizada como contenido curricular.</x:v>
      </x:c>
      <x:c r="J20" s="4" t="str">
        <x:v>NO UTILIZADA EN LA PROPUESTA</x:v>
      </x:c>
      <x:c r="K20" s="4" t="n">
        <x:v>46273.825787581016</x:v>
      </x:c>
      <x:c r="L20" s="12" t="n">
        <x:f>COUNTIF('21_Fuentes_educativas'!$A$5:$A$188,A20)-1</x:f>
        <x:v>0</x:v>
      </x:c>
      <x:c r="M20" s="12" t="n">
        <x:f>IF(E20="CAPTURADO",IF(LEN(G20)=64,0,1),0)</x:f>
        <x:v>0</x:v>
      </x:c>
    </x:row>
    <x:row r="21" ht="47" customHeight="1">
      <x:c r="A21" s="4" t="str">
        <x:v>E004</x:v>
      </x:c>
      <x:c r="B21" s="4" t="str">
        <x:v>URJC · selector de guías</x:v>
      </x:c>
      <x:c r="C21" s="4" t="str">
        <x:v>https://gestion3.urjc.es/guiasdocentes/</x:v>
      </x:c>
      <x:c r="D21" s="4" t="str">
        <x:v>https://servicios.urjc.es/guiasdocentes/</x:v>
      </x:c>
      <x:c r="E21" s="4" t="str">
        <x:v>CAPTURADO</x:v>
      </x:c>
      <x:c r="F21" s="4" t="str">
        <x:v>45615</x:v>
      </x:c>
      <x:c r="G21" s="4" t="str">
        <x:v>aeef3b5b3ab9ea41a0b0d5f6bde428c3e6bd3631920b6bc545b6c075cface739</x:v>
      </x:c>
      <x:c r="H21" s="4" t="str"/>
      <x:c r="I21" s="4" t="str">
        <x:v>Adquisición o identificación; no utilizada como contenido curricular.</x:v>
      </x:c>
      <x:c r="J21" s="4" t="str">
        <x:v>NO UTILIZADA EN LA PROPUESTA</x:v>
      </x:c>
      <x:c r="K21" s="4" t="n">
        <x:v>46273.82590633102</x:v>
      </x:c>
      <x:c r="L21" s="12" t="n">
        <x:f>COUNTIF('21_Fuentes_educativas'!$A$5:$A$188,A21)-1</x:f>
        <x:v>0</x:v>
      </x:c>
      <x:c r="M21" s="12" t="n">
        <x:f>IF(E21="CAPTURADO",IF(LEN(G21)=64,0,1),0)</x:f>
        <x:v>0</x:v>
      </x:c>
    </x:row>
    <x:row r="22" ht="47" customHeight="1">
      <x:c r="A22" s="4" t="str">
        <x:v>E005</x:v>
      </x:c>
      <x:c r="B22" s="4" t="str">
        <x:v>Warwick · presentación BSc para ingreso 2027</x:v>
      </x:c>
      <x:c r="C22" s="4" t="str">
        <x:v>https://warwick.ac.uk/study/undergraduate/courses/bsc-cyber-security/</x:v>
      </x:c>
      <x:c r="D22" s="4" t="str">
        <x:v>https://warwick.ac.uk/study/undergraduate/courses/bsc-cyber-security/</x:v>
      </x:c>
      <x:c r="E22" s="4" t="str">
        <x:v>CAPTURADO</x:v>
      </x:c>
      <x:c r="F22" s="4" t="str">
        <x:v>131318</x:v>
      </x:c>
      <x:c r="G22" s="4" t="str">
        <x:v>417ebaade5be1db2865af2e990c159c495857e3768b71eabfe9d1c149e7e61f3</x:v>
      </x:c>
      <x:c r="H22" s="4" t="str"/>
      <x:c r="I22" s="4" t="str">
        <x:v>Plan, descripción o apartados utilizados; localizadores en 14–20.</x:v>
      </x:c>
      <x:c r="J22" s="4" t="str">
        <x:v>REFERENCIA_REVISADA</x:v>
      </x:c>
      <x:c r="K22" s="4" t="n">
        <x:v>46273.82578085648</x:v>
      </x:c>
      <x:c r="L22" s="12" t="n">
        <x:f>COUNTIF('21_Fuentes_educativas'!$A$5:$A$188,A22)-1</x:f>
        <x:v>0</x:v>
      </x:c>
      <x:c r="M22" s="12" t="n">
        <x:f>IF(E22="CAPTURADO",IF(LEN(G22)=64,0,1),0)</x:f>
        <x:v>0</x:v>
      </x:c>
    </x:row>
    <x:row r="23" ht="47" customHeight="1">
      <x:c r="A23" s="4" t="str">
        <x:v>E006</x:v>
      </x:c>
      <x:c r="B23" s="4" t="str">
        <x:v>Guelph · programa MCTI, calendario</x:v>
      </x:c>
      <x:c r="C23" s="4" t="str">
        <x:v>https://calendar.uoguelph.ca/graduate-calendar/graduate-programs/cybersecurity-threat-intelligence/</x:v>
      </x:c>
      <x:c r="D23" s="4" t="str">
        <x:v>https://calendar.uoguelph.ca/graduate-calendar/graduate-programs/cybersecurity-threat-intelligence/</x:v>
      </x:c>
      <x:c r="E23" s="4" t="str">
        <x:v>CAPTURADO</x:v>
      </x:c>
      <x:c r="F23" s="4" t="str">
        <x:v>221489</x:v>
      </x:c>
      <x:c r="G23" s="4" t="str">
        <x:v>24f4fb54494edb427d684f8be19ebd959a082196c1f92591b375335a545e64c4</x:v>
      </x:c>
      <x:c r="H23" s="4" t="str"/>
      <x:c r="I23" s="4" t="str">
        <x:v>Plan, descripción o apartados utilizados; localizadores en 14–20.</x:v>
      </x:c>
      <x:c r="J23" s="4" t="str">
        <x:v>REFERENCIA_REVISADA</x:v>
      </x:c>
      <x:c r="K23" s="4" t="n">
        <x:v>46273.82578079861</x:v>
      </x:c>
      <x:c r="L23" s="12" t="n">
        <x:f>COUNTIF('21_Fuentes_educativas'!$A$5:$A$188,A23)-1</x:f>
        <x:v>0</x:v>
      </x:c>
      <x:c r="M23" s="12" t="n">
        <x:f>IF(E23="CAPTURADO",IF(LEN(G23)=64,0,1),0)</x:f>
        <x:v>0</x:v>
      </x:c>
    </x:row>
    <x:row r="24" ht="47" customHeight="1">
      <x:c r="A24" s="4" t="str">
        <x:v>E007</x:v>
      </x:c>
      <x:c r="B24" s="4" t="str">
        <x:v>UNSW · presentación del Bachelor</x:v>
      </x:c>
      <x:c r="C24" s="4" t="str">
        <x:v>https://www.unsw.edu.au/study/undergraduate/bachelor-of-cyber-security</x:v>
      </x:c>
      <x:c r="D24" s="4" t="str">
        <x:v>https://www.unsw.edu.au/study/undergraduate/bachelor-of-cyber-security</x:v>
      </x:c>
      <x:c r="E24" s="4" t="str">
        <x:v>CAPTURADO</x:v>
      </x:c>
      <x:c r="F24" s="4" t="str">
        <x:v>297643</x:v>
      </x:c>
      <x:c r="G24" s="4" t="str">
        <x:v>3eba89dfa7f20f62c80f9b0d356d5e054abf44ecda2220ca8fd2e33b04c19f0e</x:v>
      </x:c>
      <x:c r="H24" s="4" t="str"/>
      <x:c r="I24" s="4" t="str">
        <x:v>Adquisición o identificación; no utilizada como contenido curricular.</x:v>
      </x:c>
      <x:c r="J24" s="4" t="str">
        <x:v>NO UTILIZADA EN LA PROPUESTA</x:v>
      </x:c>
      <x:c r="K24" s="4" t="n">
        <x:v>46273.82590159722</x:v>
      </x:c>
      <x:c r="L24" s="12" t="n">
        <x:f>COUNTIF('21_Fuentes_educativas'!$A$5:$A$188,A24)-1</x:f>
        <x:v>0</x:v>
      </x:c>
      <x:c r="M24" s="12" t="n">
        <x:f>IF(E24="CAPTURADO",IF(LEN(G24)=64,0,1),0)</x:f>
        <x:v>0</x:v>
      </x:c>
    </x:row>
    <x:row r="25" ht="47" customHeight="1">
      <x:c r="A25" s="4" t="str">
        <x:v>E008</x:v>
      </x:c>
      <x:c r="B25" s="4" t="str">
        <x:v>CMU · MSISPM Handbook Addendum 2026–2027</x:v>
      </x:c>
      <x:c r="C25" s="4" t="str">
        <x:v>https://www.heinz.cmu.edu/sites/default/files/cmu-heinz-files/docs/msispm-student-handbook.pdf</x:v>
      </x:c>
      <x:c r="D25" s="4" t="str">
        <x:v>https://www.heinz.cmu.edu/sites/default/files/cmu-heinz-files/docs/msispm-student-handbook.pdf</x:v>
      </x:c>
      <x:c r="E25" s="4" t="str">
        <x:v>CAPTURADO</x:v>
      </x:c>
      <x:c r="F25" s="4" t="str">
        <x:v>321729</x:v>
      </x:c>
      <x:c r="G25" s="4" t="str">
        <x:v>3d425fc4cb0bc99d25e40f0df7cbb081b55c9def8cbb8617c1c0547845a03285</x:v>
      </x:c>
      <x:c r="H25" s="4" t="str">
        <x:v>12</x:v>
      </x:c>
      <x:c r="I25" s="4" t="str">
        <x:v>Plan, descripción o apartados utilizados; localizadores en 14–20.</x:v>
      </x:c>
      <x:c r="J25" s="4" t="str">
        <x:v>REFERENCIA_REVISADA</x:v>
      </x:c>
      <x:c r="K25" s="4" t="n">
        <x:v>46273.82592321759</x:v>
      </x:c>
      <x:c r="L25" s="12" t="n">
        <x:f>COUNTIF('21_Fuentes_educativas'!$A$5:$A$188,A25)-1</x:f>
        <x:v>0</x:v>
      </x:c>
      <x:c r="M25" s="12" t="n">
        <x:f>IF(E25="CAPTURADO",IF(LEN(G25)=64,0,1),0)</x:f>
        <x:v>0</x:v>
      </x:c>
    </x:row>
    <x:row r="26" ht="47" customHeight="1">
      <x:c r="A26" s="4" t="str">
        <x:v>E009</x:v>
      </x:c>
      <x:c r="B26" s="4" t="str">
        <x:v>UPC · Master Cybersecurity</x:v>
      </x:c>
      <x:c r="C26" s="4" t="str">
        <x:v>https://www.upc.edu/en/masters/cybersecurity</x:v>
      </x:c>
      <x:c r="D26" s="4" t="str">
        <x:v>https://www.upc.edu/en/masters/cybersecurity</x:v>
      </x:c>
      <x:c r="E26" s="4" t="str">
        <x:v>CAPTURADO</x:v>
      </x:c>
      <x:c r="F26" s="4" t="str">
        <x:v>105116</x:v>
      </x:c>
      <x:c r="G26" s="4" t="str">
        <x:v>1cb7af269f409b985b9a58b5c46402ba6288029367b25664fae08f00e921544b</x:v>
      </x:c>
      <x:c r="H26" s="4" t="str"/>
      <x:c r="I26" s="4" t="str">
        <x:v>Plan, descripción o apartados utilizados; localizadores en 14–20.</x:v>
      </x:c>
      <x:c r="J26" s="4" t="str">
        <x:v>REFERENCIA_REVISADA</x:v>
      </x:c>
      <x:c r="K26" s="4" t="n">
        <x:v>46273.82590454861</x:v>
      </x:c>
      <x:c r="L26" s="12" t="n">
        <x:f>COUNTIF('21_Fuentes_educativas'!$A$5:$A$188,A26)-1</x:f>
        <x:v>0</x:v>
      </x:c>
      <x:c r="M26" s="12" t="n">
        <x:f>IF(E26="CAPTURADO",IF(LEN(G26)=64,0,1),0)</x:f>
        <x:v>0</x:v>
      </x:c>
    </x:row>
    <x:row r="27" ht="47" customHeight="1">
      <x:c r="A27" s="4" t="str">
        <x:v>E010</x:v>
      </x:c>
      <x:c r="B27" s="4" t="str">
        <x:v>UC3M · consulta fallida</x:v>
      </x:c>
      <x:c r="C27" s="4" t="str">
        <x:v>https://www.uc3m.es/master/ciberseguridad</x:v>
      </x:c>
      <x:c r="D27" s="4" t="str"/>
      <x:c r="E27" s="4" t="str">
        <x:v>ERROR</x:v>
      </x:c>
      <x:c r="F27" s="4" t="str"/>
      <x:c r="G27" s="4" t="str"/>
      <x:c r="H27" s="4" t="str"/>
      <x:c r="I27" s="4" t="str">
        <x:v>HTTP Error 502: Bad Gateway</x:v>
      </x:c>
      <x:c r="J27" s="4" t="str">
        <x:v>SIN_CAPTURA</x:v>
      </x:c>
      <x:c r="K27" s="4" t="str"/>
      <x:c r="L27" s="12" t="n">
        <x:f>COUNTIF('21_Fuentes_educativas'!$A$5:$A$188,A27)-1</x:f>
        <x:v>0</x:v>
      </x:c>
      <x:c r="M27" s="12" t="n">
        <x:f>IF(E27="CAPTURADO",IF(LEN(G27)=64,0,1),0)</x:f>
        <x:v>0</x:v>
      </x:c>
    </x:row>
    <x:row r="28" ht="47" customHeight="1">
      <x:c r="A28" s="4" t="str">
        <x:v>E011</x:v>
      </x:c>
      <x:c r="B28" s="4" t="str">
        <x:v>URJC · plan de asignaturas 2026–27</x:v>
      </x:c>
      <x:c r="C28" s="4" t="str">
        <x:v>https://servicios.urjc.es/listadoprofesorado/itinerario-formativo/grado-en-ingenieria-de-la-ciberseguridad/presencial/2285</x:v>
      </x:c>
      <x:c r="D28" s="4" t="str">
        <x:v>https://servicios.urjc.es/listadoprofesorado/itinerario-formativo/grado-en-ingenieria-de-la-ciberseguridad/presencial/2285</x:v>
      </x:c>
      <x:c r="E28" s="4" t="str">
        <x:v>CAPTURADO</x:v>
      </x:c>
      <x:c r="F28" s="4" t="str">
        <x:v>73563</x:v>
      </x:c>
      <x:c r="G28" s="4" t="str">
        <x:v>7363a756b4988f3c1ac19b4dfbc472d767a0ea0c495753ef4139fe6c13a8ab5e</x:v>
      </x:c>
      <x:c r="H28" s="4" t="str"/>
      <x:c r="I28" s="4" t="str">
        <x:v>Plan, descripción o apartados utilizados; localizadores en 14–20.</x:v>
      </x:c>
      <x:c r="J28" s="4" t="str">
        <x:v>REFERENCIA_REVISADA</x:v>
      </x:c>
      <x:c r="K28" s="4" t="n">
        <x:v>46273.8259740625</x:v>
      </x:c>
      <x:c r="L28" s="12" t="n">
        <x:f>COUNTIF('21_Fuentes_educativas'!$A$5:$A$188,A28)-1</x:f>
        <x:v>0</x:v>
      </x:c>
      <x:c r="M28" s="12" t="n">
        <x:f>IF(E28="CAPTURADO",IF(LEN(G28)=64,0,1),0)</x:f>
        <x:v>0</x:v>
      </x:c>
    </x:row>
    <x:row r="29" ht="47" customHeight="1">
      <x:c r="A29" s="4" t="str">
        <x:v>E012</x:v>
      </x:c>
      <x:c r="B29" s="4" t="str">
        <x:v>URJC · diagrama de dependencias</x:v>
      </x:c>
      <x:c r="C29" s="4" t="str">
        <x:v>https://www.urjc.es/images/facultades/etsii/img/Dependencia_asignaturas_GICIB.pdf</x:v>
      </x:c>
      <x:c r="D29" s="4" t="str">
        <x:v>https://www.urjc.es/images/facultades/etsii/img/Dependencia_asignaturas_GICIB.pdf</x:v>
      </x:c>
      <x:c r="E29" s="4" t="str">
        <x:v>CAPTURADO</x:v>
      </x:c>
      <x:c r="F29" s="4" t="str">
        <x:v>33777</x:v>
      </x:c>
      <x:c r="G29" s="4" t="str">
        <x:v>f4493c39e7f1afedee8ef288bd77c59210b29b59a2e2c6c09dc78272f311fe1e</x:v>
      </x:c>
      <x:c r="H29" s="4" t="str">
        <x:v>1</x:v>
      </x:c>
      <x:c r="I29" s="4" t="str">
        <x:v>Plan, descripción o apartados utilizados; localizadores en 14–20.</x:v>
      </x:c>
      <x:c r="J29" s="4" t="str">
        <x:v>REFERENCIA_REVISADA</x:v>
      </x:c>
      <x:c r="K29" s="4" t="n">
        <x:v>46273.82897633102</x:v>
      </x:c>
      <x:c r="L29" s="12" t="n">
        <x:f>COUNTIF('21_Fuentes_educativas'!$A$5:$A$188,A29)-1</x:f>
        <x:v>0</x:v>
      </x:c>
      <x:c r="M29" s="12" t="n">
        <x:f>IF(E29="CAPTURADO",IF(LEN(G29)=64,0,1),0)</x:f>
        <x:v>0</x:v>
      </x:c>
    </x:row>
    <x:row r="30" ht="47" customHeight="1">
      <x:c r="A30" s="4" t="str">
        <x:v>E013</x:v>
      </x:c>
      <x:c r="B30" s="4" t="str">
        <x:v>UNSW · Handbook 4490, versión 2026.05</x:v>
      </x:c>
      <x:c r="C30" s="4" t="str">
        <x:v>https://www.handbook.unsw.edu.au/undergraduate/programs/2026/4490</x:v>
      </x:c>
      <x:c r="D30" s="4" t="str">
        <x:v>https://www.handbook.unsw.edu.au/undergraduate/programs/2026/4490</x:v>
      </x:c>
      <x:c r="E30" s="4" t="str">
        <x:v>CAPTURADO</x:v>
      </x:c>
      <x:c r="F30" s="4" t="str">
        <x:v>417987</x:v>
      </x:c>
      <x:c r="G30" s="4" t="str">
        <x:v>6dd9e8a8435d135863d3f379727d3aa2221ba3ea32d06d2008759f68fbf68dd3</x:v>
      </x:c>
      <x:c r="H30" s="4" t="str"/>
      <x:c r="I30" s="4" t="str">
        <x:v>Plan, descripción o apartados utilizados; localizadores en 14–20.</x:v>
      </x:c>
      <x:c r="J30" s="4" t="str">
        <x:v>REFERENCIA_REVISADA</x:v>
      </x:c>
      <x:c r="K30" s="4" t="n">
        <x:v>46273.829022777776</x:v>
      </x:c>
      <x:c r="L30" s="12" t="n">
        <x:f>COUNTIF('21_Fuentes_educativas'!$A$5:$A$188,A30)-1</x:f>
        <x:v>0</x:v>
      </x:c>
      <x:c r="M30" s="12" t="n">
        <x:f>IF(E30="CAPTURADO",IF(LEN(G30)=64,0,1),0)</x:f>
        <x:v>0</x:v>
      </x:c>
    </x:row>
    <x:row r="31" ht="47" customHeight="1">
      <x:c r="A31" s="4" t="str">
        <x:v>E014</x:v>
      </x:c>
      <x:c r="B31" s="4" t="str">
        <x:v>Warwick · índice del catálogo</x:v>
      </x:c>
      <x:c r="C31" s="4" t="str">
        <x:v>https://courses.warwick.ac.uk</x:v>
      </x:c>
      <x:c r="D31" s="4" t="str">
        <x:v>https://courses.warwick.ac.uk</x:v>
      </x:c>
      <x:c r="E31" s="4" t="str">
        <x:v>CAPTURADO</x:v>
      </x:c>
      <x:c r="F31" s="4" t="str">
        <x:v>24259</x:v>
      </x:c>
      <x:c r="G31" s="4" t="str">
        <x:v>c369495598eb1463d2bdaf32fb7c9f5d0051ed6411d4e1de75edbe5c3633ba5b</x:v>
      </x:c>
      <x:c r="H31" s="4" t="str"/>
      <x:c r="I31" s="4" t="str">
        <x:v>Adquisición o identificación; no utilizada como contenido curricular.</x:v>
      </x:c>
      <x:c r="J31" s="4" t="str">
        <x:v>NO UTILIZADA EN LA PROPUESTA</x:v>
      </x:c>
      <x:c r="K31" s="4" t="n">
        <x:v>46273.828670138886</x:v>
      </x:c>
      <x:c r="L31" s="12" t="n">
        <x:f>COUNTIF('21_Fuentes_educativas'!$A$5:$A$188,A31)-1</x:f>
        <x:v>0</x:v>
      </x:c>
      <x:c r="M31" s="12" t="n">
        <x:f>IF(E31="CAPTURADO",IF(LEN(G31)=64,0,1),0)</x:f>
        <x:v>0</x:v>
      </x:c>
    </x:row>
    <x:row r="32" ht="47" customHeight="1">
      <x:c r="A32" s="4" t="str">
        <x:v>E015</x:v>
      </x:c>
      <x:c r="B32" s="4" t="str">
        <x:v>Warwick · componente de sitio (auxiliar)</x:v>
      </x:c>
      <x:c r="C32" s="4" t="str">
        <x:v>https://d36jn9qou1tztq.cloudfront.net/static_war/sitebuilder.js.160620700363</x:v>
      </x:c>
      <x:c r="D32" s="4" t="str">
        <x:v>https://d36jn9qou1tztq.cloudfront.net/static_war/sitebuilder.js.160620700363</x:v>
      </x:c>
      <x:c r="E32" s="4" t="str">
        <x:v>CAPTURADO</x:v>
      </x:c>
      <x:c r="F32" s="4" t="str">
        <x:v>39585</x:v>
      </x:c>
      <x:c r="G32" s="4" t="str">
        <x:v>f56260ba1f7437cfea13045fed3585564771559b11cc419f38a09a7c44e8e7eb</x:v>
      </x:c>
      <x:c r="H32" s="4" t="str"/>
      <x:c r="I32" s="4" t="str">
        <x:v>Adquisición o identificación; no utilizada como contenido curricular.</x:v>
      </x:c>
      <x:c r="J32" s="4" t="str">
        <x:v>NO UTILIZADA EN LA PROPUESTA</x:v>
      </x:c>
      <x:c r="K32" s="4" t="n">
        <x:v>46273.82869509259</x:v>
      </x:c>
      <x:c r="L32" s="12" t="n">
        <x:f>COUNTIF('21_Fuentes_educativas'!$A$5:$A$188,A32)-1</x:f>
        <x:v>0</x:v>
      </x:c>
      <x:c r="M32" s="12" t="n">
        <x:f>IF(E32="CAPTURADO",IF(LEN(G32)=64,0,1),0)</x:f>
        <x:v>0</x:v>
      </x:c>
    </x:row>
    <x:row r="33" ht="47" customHeight="1">
      <x:c r="A33" s="4" t="str">
        <x:v>E016</x:v>
      </x:c>
      <x:c r="B33" s="4" t="str">
        <x:v>Warwick · búsqueda WM283</x:v>
      </x:c>
      <x:c r="C33" s="4" t="str">
        <x:v>https://courses.warwick.ac.uk/?keywords=WM283</x:v>
      </x:c>
      <x:c r="D33" s="4" t="str">
        <x:v>https://courses.warwick.ac.uk/?keywords=WM283</x:v>
      </x:c>
      <x:c r="E33" s="4" t="str">
        <x:v>CAPTURADO</x:v>
      </x:c>
      <x:c r="F33" s="4" t="str">
        <x:v>11378</x:v>
      </x:c>
      <x:c r="G33" s="4" t="str">
        <x:v>9fe5487f5cd0090b1c5ce8ec392e20d11f95de802ec7ab641047fb58ef4a9878</x:v>
      </x:c>
      <x:c r="H33" s="4" t="str"/>
      <x:c r="I33" s="4" t="str">
        <x:v>Adquisición o identificación; no utilizada como contenido curricular.</x:v>
      </x:c>
      <x:c r="J33" s="4" t="str">
        <x:v>NO UTILIZADA EN LA PROPUESTA</x:v>
      </x:c>
      <x:c r="K33" s="4" t="n">
        <x:v>46273.82974849537</x:v>
      </x:c>
      <x:c r="L33" s="12" t="n">
        <x:f>COUNTIF('21_Fuentes_educativas'!$A$5:$A$188,A33)-1</x:f>
        <x:v>0</x:v>
      </x:c>
      <x:c r="M33" s="12" t="n">
        <x:f>IF(E33="CAPTURADO",IF(LEN(G33)=64,0,1),0)</x:f>
        <x:v>0</x:v>
      </x:c>
    </x:row>
    <x:row r="34" ht="47" customHeight="1">
      <x:c r="A34" s="4" t="str">
        <x:v>G001</x:v>
      </x:c>
      <x:c r="B34" s="4" t="str">
        <x:v>CIS*6590</x:v>
      </x:c>
      <x:c r="C34" s="4" t="str">
        <x:v>https://calendar.uoguelph.ca/search/?P=CIS*6590</x:v>
      </x:c>
      <x:c r="D34" s="4" t="str">
        <x:v>https://calendar.uoguelph.ca/search/?P=CIS*6590</x:v>
      </x:c>
      <x:c r="E34" s="4" t="str">
        <x:v>CAPTURADO</x:v>
      </x:c>
      <x:c r="F34" s="4" t="str">
        <x:v>205781</x:v>
      </x:c>
      <x:c r="G34" s="4" t="str">
        <x:v>f5f75c72136fe29b3beb8ba5a61609a7f0264b3bbe76ae73ec9b35f6adcf94db</x:v>
      </x:c>
      <x:c r="H34" s="4" t="str"/>
      <x:c r="I34" s="4" t="str">
        <x:v>Adquisición o identificación; no utilizada como contenido curricular.</x:v>
      </x:c>
      <x:c r="J34" s="4" t="str">
        <x:v>NO UTILIZADA EN LA PROPUESTA</x:v>
      </x:c>
      <x:c r="K34" s="4" t="n">
        <x:v>46273.82911994213</x:v>
      </x:c>
      <x:c r="L34" s="12" t="n">
        <x:f>COUNTIF('21_Fuentes_educativas'!$A$5:$A$188,A34)-1</x:f>
        <x:v>0</x:v>
      </x:c>
      <x:c r="M34" s="12" t="n">
        <x:f>IF(E34="CAPTURADO",IF(LEN(G34)=64,0,1),0)</x:f>
        <x:v>0</x:v>
      </x:c>
    </x:row>
    <x:row r="35" ht="47" customHeight="1">
      <x:c r="A35" s="4" t="str">
        <x:v>G002</x:v>
      </x:c>
      <x:c r="B35" s="4" t="str">
        <x:v>CIS*6510</x:v>
      </x:c>
      <x:c r="C35" s="4" t="str">
        <x:v>https://calendar.uoguelph.ca/search/?P=CIS*6510</x:v>
      </x:c>
      <x:c r="D35" s="4" t="str">
        <x:v>https://calendar.uoguelph.ca/search/?P=CIS*6510</x:v>
      </x:c>
      <x:c r="E35" s="4" t="str">
        <x:v>CAPTURADO</x:v>
      </x:c>
      <x:c r="F35" s="4" t="str">
        <x:v>206434</x:v>
      </x:c>
      <x:c r="G35" s="4" t="str">
        <x:v>7ae01cdf68aa5938aeac762b9815f0b218dd4df65531cba22a6550132a760f2d</x:v>
      </x:c>
      <x:c r="H35" s="4" t="str"/>
      <x:c r="I35" s="4" t="str">
        <x:v>Adquisición o identificación; no utilizada como contenido curricular.</x:v>
      </x:c>
      <x:c r="J35" s="4" t="str">
        <x:v>NO UTILIZADA EN LA PROPUESTA</x:v>
      </x:c>
      <x:c r="K35" s="4" t="n">
        <x:v>46273.82912209491</x:v>
      </x:c>
      <x:c r="L35" s="12" t="n">
        <x:f>COUNTIF('21_Fuentes_educativas'!$A$5:$A$188,A35)-1</x:f>
        <x:v>0</x:v>
      </x:c>
      <x:c r="M35" s="12" t="n">
        <x:f>IF(E35="CAPTURADO",IF(LEN(G35)=64,0,1),0)</x:f>
        <x:v>0</x:v>
      </x:c>
    </x:row>
    <x:row r="36" ht="47" customHeight="1">
      <x:c r="A36" s="4" t="str">
        <x:v>G003</x:v>
      </x:c>
      <x:c r="B36" s="4" t="str">
        <x:v>CIS*6520</x:v>
      </x:c>
      <x:c r="C36" s="4" t="str">
        <x:v>https://calendar.uoguelph.ca/search/?P=CIS*6520</x:v>
      </x:c>
      <x:c r="D36" s="4" t="str">
        <x:v>https://calendar.uoguelph.ca/search/?P=CIS*6520</x:v>
      </x:c>
      <x:c r="E36" s="4" t="str">
        <x:v>CAPTURADO</x:v>
      </x:c>
      <x:c r="F36" s="4" t="str">
        <x:v>204778</x:v>
      </x:c>
      <x:c r="G36" s="4" t="str">
        <x:v>9fe08f36b056e02991ecbc1d44d7db3f1d2793de545f3204f623208d72221a1c</x:v>
      </x:c>
      <x:c r="H36" s="4" t="str"/>
      <x:c r="I36" s="4" t="str">
        <x:v>Adquisición o identificación; no utilizada como contenido curricular.</x:v>
      </x:c>
      <x:c r="J36" s="4" t="str">
        <x:v>NO UTILIZADA EN LA PROPUESTA</x:v>
      </x:c>
      <x:c r="K36" s="4" t="n">
        <x:v>46273.82926456018</x:v>
      </x:c>
      <x:c r="L36" s="12" t="n">
        <x:f>COUNTIF('21_Fuentes_educativas'!$A$5:$A$188,A36)-1</x:f>
        <x:v>0</x:v>
      </x:c>
      <x:c r="M36" s="12" t="n">
        <x:f>IF(E36="CAPTURADO",IF(LEN(G36)=64,0,1),0)</x:f>
        <x:v>0</x:v>
      </x:c>
    </x:row>
    <x:row r="37" ht="47" customHeight="1">
      <x:c r="A37" s="4" t="str">
        <x:v>G004</x:v>
      </x:c>
      <x:c r="B37" s="4" t="str">
        <x:v>CIS*6530</x:v>
      </x:c>
      <x:c r="C37" s="4" t="str">
        <x:v>https://calendar.uoguelph.ca/search/?P=CIS*6530</x:v>
      </x:c>
      <x:c r="D37" s="4" t="str">
        <x:v>https://calendar.uoguelph.ca/search/?P=CIS*6530</x:v>
      </x:c>
      <x:c r="E37" s="4" t="str">
        <x:v>CAPTURADO</x:v>
      </x:c>
      <x:c r="F37" s="4" t="str">
        <x:v>204809</x:v>
      </x:c>
      <x:c r="G37" s="4" t="str">
        <x:v>9f78fb0df8f95031968ec0b272cff033fe69684210f6be6902901e6fbde88cd1</x:v>
      </x:c>
      <x:c r="H37" s="4" t="str"/>
      <x:c r="I37" s="4" t="str">
        <x:v>Título/descripción discordantes o duplicados entre fichas; contenido apartado.</x:v>
      </x:c>
      <x:c r="J37" s="4" t="str">
        <x:v>RESERVA_POR_DISCORDANCIA</x:v>
      </x:c>
      <x:c r="K37" s="4" t="n">
        <x:v>46273.829264479165</x:v>
      </x:c>
      <x:c r="L37" s="12" t="n">
        <x:f>COUNTIF('21_Fuentes_educativas'!$A$5:$A$188,A37)-1</x:f>
        <x:v>0</x:v>
      </x:c>
      <x:c r="M37" s="12" t="n">
        <x:f>IF(E37="CAPTURADO",IF(LEN(G37)=64,0,1),0)</x:f>
        <x:v>0</x:v>
      </x:c>
    </x:row>
    <x:row r="38" ht="47" customHeight="1">
      <x:c r="A38" s="4" t="str">
        <x:v>G005</x:v>
      </x:c>
      <x:c r="B38" s="4" t="str">
        <x:v>CIS*6540</x:v>
      </x:c>
      <x:c r="C38" s="4" t="str">
        <x:v>https://calendar.uoguelph.ca/search/?P=CIS*6540</x:v>
      </x:c>
      <x:c r="D38" s="4" t="str">
        <x:v>https://calendar.uoguelph.ca/search/?P=CIS*6540</x:v>
      </x:c>
      <x:c r="E38" s="4" t="str">
        <x:v>CAPTURADO</x:v>
      </x:c>
      <x:c r="F38" s="4" t="str">
        <x:v>204806</x:v>
      </x:c>
      <x:c r="G38" s="4" t="str">
        <x:v>8546fcb0a6c0a994d3795af3dbc7a5eeb6a7083dfedf46f2f09a23a41e7394a3</x:v>
      </x:c>
      <x:c r="H38" s="4" t="str"/>
      <x:c r="I38" s="4" t="str">
        <x:v>Título/descripción discordantes o duplicados entre fichas; contenido apartado.</x:v>
      </x:c>
      <x:c r="J38" s="4" t="str">
        <x:v>RESERVA_POR_DISCORDANCIA</x:v>
      </x:c>
      <x:c r="K38" s="4" t="n">
        <x:v>46273.829260370374</x:v>
      </x:c>
      <x:c r="L38" s="12" t="n">
        <x:f>COUNTIF('21_Fuentes_educativas'!$A$5:$A$188,A38)-1</x:f>
        <x:v>0</x:v>
      </x:c>
      <x:c r="M38" s="12" t="n">
        <x:f>IF(E38="CAPTURADO",IF(LEN(G38)=64,0,1),0)</x:f>
        <x:v>0</x:v>
      </x:c>
    </x:row>
    <x:row r="39" ht="47" customHeight="1">
      <x:c r="A39" s="4" t="str">
        <x:v>G006</x:v>
      </x:c>
      <x:c r="B39" s="4" t="str">
        <x:v>CIS*6550</x:v>
      </x:c>
      <x:c r="C39" s="4" t="str">
        <x:v>https://calendar.uoguelph.ca/search/?P=CIS*6550</x:v>
      </x:c>
      <x:c r="D39" s="4" t="str">
        <x:v>https://calendar.uoguelph.ca/search/?P=CIS*6550</x:v>
      </x:c>
      <x:c r="E39" s="4" t="str">
        <x:v>CAPTURADO</x:v>
      </x:c>
      <x:c r="F39" s="4" t="str">
        <x:v>205264</x:v>
      </x:c>
      <x:c r="G39" s="4" t="str">
        <x:v>14a9f0d46f473072ae72a6288a2ec7bc32daf76a982197f74bc1085d59d26136</x:v>
      </x:c>
      <x:c r="H39" s="4" t="str"/>
      <x:c r="I39" s="4" t="str">
        <x:v>Adquisición o identificación; no utilizada como contenido curricular.</x:v>
      </x:c>
      <x:c r="J39" s="4" t="str">
        <x:v>NO UTILIZADA EN LA PROPUESTA</x:v>
      </x:c>
      <x:c r="K39" s="4" t="n">
        <x:v>46273.82926196759</x:v>
      </x:c>
      <x:c r="L39" s="12" t="n">
        <x:f>COUNTIF('21_Fuentes_educativas'!$A$5:$A$188,A39)-1</x:f>
        <x:v>0</x:v>
      </x:c>
      <x:c r="M39" s="12" t="n">
        <x:f>IF(E39="CAPTURADO",IF(LEN(G39)=64,0,1),0)</x:f>
        <x:v>0</x:v>
      </x:c>
    </x:row>
    <x:row r="40" ht="47" customHeight="1">
      <x:c r="A40" s="4" t="str">
        <x:v>G007</x:v>
      </x:c>
      <x:c r="B40" s="4" t="str">
        <x:v>CIS*6560</x:v>
      </x:c>
      <x:c r="C40" s="4" t="str">
        <x:v>https://calendar.uoguelph.ca/search/?P=CIS*6560</x:v>
      </x:c>
      <x:c r="D40" s="4" t="str">
        <x:v>https://calendar.uoguelph.ca/search/?P=CIS*6560</x:v>
      </x:c>
      <x:c r="E40" s="4" t="str">
        <x:v>CAPTURADO</x:v>
      </x:c>
      <x:c r="F40" s="4" t="str">
        <x:v>204815</x:v>
      </x:c>
      <x:c r="G40" s="4" t="str">
        <x:v>2d2a5f76fa41b647c7e37f988d4b9c7dbd761c4a2aa741488b6fd8538a841b56</x:v>
      </x:c>
      <x:c r="H40" s="4" t="str"/>
      <x:c r="I40" s="4" t="str">
        <x:v>Plan, descripción o apartados utilizados; localizadores en 14–20.</x:v>
      </x:c>
      <x:c r="J40" s="4" t="str">
        <x:v>REFERENCIA_REVISADA</x:v>
      </x:c>
      <x:c r="K40" s="4" t="n">
        <x:v>46273.829264409724</x:v>
      </x:c>
      <x:c r="L40" s="12" t="n">
        <x:f>COUNTIF('21_Fuentes_educativas'!$A$5:$A$188,A40)-1</x:f>
        <x:v>0</x:v>
      </x:c>
      <x:c r="M40" s="12" t="n">
        <x:f>IF(E40="CAPTURADO",IF(LEN(G40)=64,0,1),0)</x:f>
        <x:v>0</x:v>
      </x:c>
    </x:row>
    <x:row r="41" ht="47" customHeight="1">
      <x:c r="A41" s="4" t="str">
        <x:v>G008</x:v>
      </x:c>
      <x:c r="B41" s="4" t="str">
        <x:v>CIS*6570</x:v>
      </x:c>
      <x:c r="C41" s="4" t="str">
        <x:v>https://calendar.uoguelph.ca/search/?P=CIS*6570</x:v>
      </x:c>
      <x:c r="D41" s="4" t="str">
        <x:v>https://calendar.uoguelph.ca/search/?P=CIS*6570</x:v>
      </x:c>
      <x:c r="E41" s="4" t="str">
        <x:v>CAPTURADO</x:v>
      </x:c>
      <x:c r="F41" s="4" t="str">
        <x:v>204657</x:v>
      </x:c>
      <x:c r="G41" s="4" t="str">
        <x:v>b68494f204e1b676ea6fdbf28c240fec090fa238110653bfc1417c6eeb0e96dd</x:v>
      </x:c>
      <x:c r="H41" s="4" t="str"/>
      <x:c r="I41" s="4" t="str">
        <x:v>Adquisición o identificación; no utilizada como contenido curricular.</x:v>
      </x:c>
      <x:c r="J41" s="4" t="str">
        <x:v>NO UTILIZADA EN LA PROPUESTA</x:v>
      </x:c>
      <x:c r="K41" s="4" t="n">
        <x:v>46273.82926300926</x:v>
      </x:c>
      <x:c r="L41" s="12" t="n">
        <x:f>COUNTIF('21_Fuentes_educativas'!$A$5:$A$188,A41)-1</x:f>
        <x:v>0</x:v>
      </x:c>
      <x:c r="M41" s="12" t="n">
        <x:f>IF(E41="CAPTURADO",IF(LEN(G41)=64,0,1),0)</x:f>
        <x:v>0</x:v>
      </x:c>
    </x:row>
    <x:row r="42" ht="47" customHeight="1">
      <x:c r="A42" s="4" t="str">
        <x:v>G009</x:v>
      </x:c>
      <x:c r="B42" s="4" t="str">
        <x:v>CIS*6580</x:v>
      </x:c>
      <x:c r="C42" s="4" t="str">
        <x:v>https://calendar.uoguelph.ca/search/?P=CIS*6580</x:v>
      </x:c>
      <x:c r="D42" s="4" t="str">
        <x:v>https://calendar.uoguelph.ca/search/?P=CIS*6580</x:v>
      </x:c>
      <x:c r="E42" s="4" t="str">
        <x:v>CAPTURADO</x:v>
      </x:c>
      <x:c r="F42" s="4" t="str">
        <x:v>204762</x:v>
      </x:c>
      <x:c r="G42" s="4" t="str">
        <x:v>c9f2de63531cf3fae6276560e1f08aaa8b324a3b0ba83a7d3ec37062ee34d8d2</x:v>
      </x:c>
      <x:c r="H42" s="4" t="str"/>
      <x:c r="I42" s="4" t="str">
        <x:v>Plan, descripción o apartados utilizados; localizadores en 14–20.</x:v>
      </x:c>
      <x:c r="J42" s="4" t="str">
        <x:v>REFERENCIA_REVISADA</x:v>
      </x:c>
      <x:c r="K42" s="4" t="n">
        <x:v>46273.82939540509</x:v>
      </x:c>
      <x:c r="L42" s="12" t="n">
        <x:f>COUNTIF('21_Fuentes_educativas'!$A$5:$A$188,A42)-1</x:f>
        <x:v>0</x:v>
      </x:c>
      <x:c r="M42" s="12" t="n">
        <x:f>IF(E42="CAPTURADO",IF(LEN(G42)=64,0,1),0)</x:f>
        <x:v>0</x:v>
      </x:c>
    </x:row>
    <x:row r="43" ht="47" customHeight="1">
      <x:c r="A43" s="4" t="str">
        <x:v>G010</x:v>
      </x:c>
      <x:c r="B43" s="4" t="str">
        <x:v>CIS*6670</x:v>
      </x:c>
      <x:c r="C43" s="4" t="str">
        <x:v>https://calendar.uoguelph.ca/search/?P=CIS*6670</x:v>
      </x:c>
      <x:c r="D43" s="4" t="str">
        <x:v>https://calendar.uoguelph.ca/search/?P=CIS*6670</x:v>
      </x:c>
      <x:c r="E43" s="4" t="str">
        <x:v>CAPTURADO</x:v>
      </x:c>
      <x:c r="F43" s="4" t="str">
        <x:v>204802</x:v>
      </x:c>
      <x:c r="G43" s="4" t="str">
        <x:v>180d358cf1847b1767967aed30c7610867e61557dd161a79ccd4cc1c1094c25a</x:v>
      </x:c>
      <x:c r="H43" s="4" t="str"/>
      <x:c r="I43" s="4" t="str">
        <x:v>Adquisición o identificación; no utilizada como contenido curricular.</x:v>
      </x:c>
      <x:c r="J43" s="4" t="str">
        <x:v>NO UTILIZADA EN LA PROPUESTA</x:v>
      </x:c>
      <x:c r="K43" s="4" t="n">
        <x:v>46273.82940072917</x:v>
      </x:c>
      <x:c r="L43" s="12" t="n">
        <x:f>COUNTIF('21_Fuentes_educativas'!$A$5:$A$188,A43)-1</x:f>
        <x:v>0</x:v>
      </x:c>
      <x:c r="M43" s="12" t="n">
        <x:f>IF(E43="CAPTURADO",IF(LEN(G43)=64,0,1),0)</x:f>
        <x:v>0</x:v>
      </x:c>
    </x:row>
    <x:row r="44" ht="76" customHeight="1">
      <x:c r="A44" s="4" t="str">
        <x:v>I001</x:v>
      </x:c>
      <x:c r="B44" s="4" t="str">
        <x:v>acta-secuencia-constitutiva-custodia-rumbo-y-acoplamiento-lenguaje-sv-inmunologia-2026-09-02-v0.1.md</x:v>
      </x:c>
      <x:c r="C44" s="4" t="str">
        <x:v>https://raw.githubusercontent.com/juantoniolloretegea/SVperitus-dataset/fe8adf76aa030ba5ff4997be5772b5de5e4452f3/dominios/inmunologia/cambio-rumbo/acta-secuencia-constitutiva-custodia-rumbo-y-acoplamiento-lenguaje-sv-inmunologia-2026-09-02-v0.1.md</x:v>
      </x:c>
      <x:c r="D44" s="4" t="str">
        <x:v>https://raw.githubusercontent.com/juantoniolloretegea/SVperitus-dataset/fe8adf76aa030ba5ff4997be5772b5de5e4452f3/dominios/inmunologia/cambio-rumbo/acta-secuencia-constitutiva-custodia-rumbo-y-acoplamiento-lenguaje-sv-inmunologia-2026-09-02-v0.1.md</x:v>
      </x:c>
      <x:c r="E44" s="4" t="str">
        <x:v>CAPTURADO</x:v>
      </x:c>
      <x:c r="F44" s="4" t="str">
        <x:v>21217</x:v>
      </x:c>
      <x:c r="G44" s="4" t="str">
        <x:v>560cd6ba31dedc6f9a4c3dbab4eb6089ffca3cf4d4e0105d49bf0ecd6b6e5ba9</x:v>
      </x:c>
      <x:c r="H44" s="4" t="str"/>
      <x:c r="I44" s="4" t="str">
        <x:v>Lectura de método y precedencia; no traslada contenido clínico ni permisos de Inmunología.</x:v>
      </x:c>
      <x:c r="J44" s="4" t="str">
        <x:v>REFERENCIA_DE_METODO</x:v>
      </x:c>
      <x:c r="K44" s="4" t="n">
        <x:v>46273.848375381946</x:v>
      </x:c>
      <x:c r="L44" s="12" t="n">
        <x:f>COUNTIF('21_Fuentes_educativas'!$A$5:$A$188,A44)-1</x:f>
        <x:v>0</x:v>
      </x:c>
      <x:c r="M44" s="12" t="n">
        <x:f>IF(E44="CAPTURADO",IF(LEN(G44)=64,0,1),0)</x:f>
        <x:v>0</x:v>
      </x:c>
    </x:row>
    <x:row r="45" ht="76" customHeight="1">
      <x:c r="A45" s="4" t="str">
        <x:v>I002</x:v>
      </x:c>
      <x:c r="B45" s="4" t="str">
        <x:v>Recepcion_normalizada_auditoria_externa_acta_estratificacion_clinica_autoridad_y_ejecucion_v0.1_2026-09-02.md</x:v>
      </x:c>
      <x:c r="C45" s="4" t="str">
        <x:v>https://raw.githubusercontent.com/juantoniolloretegea/SVperitus-dataset/2dce3c597c1e71439f304045283980fea69a7e9c/dominios/inmunologia/cambio-rumbo/Recepcion_normalizada_auditoria_externa_acta_estratificacion_clinica_autoridad_y_ejecucion_v0.1_2026-09-02.md</x:v>
      </x:c>
      <x:c r="D45" s="4" t="str">
        <x:v>https://raw.githubusercontent.com/juantoniolloretegea/SVperitus-dataset/2dce3c597c1e71439f304045283980fea69a7e9c/dominios/inmunologia/cambio-rumbo/Recepcion_normalizada_auditoria_externa_acta_estratificacion_clinica_autoridad_y_ejecucion_v0.1_2026-09-02.md</x:v>
      </x:c>
      <x:c r="E45" s="4" t="str">
        <x:v>CAPTURADO</x:v>
      </x:c>
      <x:c r="F45" s="4" t="str">
        <x:v>6424</x:v>
      </x:c>
      <x:c r="G45" s="4" t="str">
        <x:v>7b51609598053af504c4e0eb148c1406979f5b4338b56c5caf435e88730cfbfe</x:v>
      </x:c>
      <x:c r="H45" s="4" t="str"/>
      <x:c r="I45" s="4" t="str">
        <x:v>Lectura de método y precedencia; no traslada contenido clínico ni permisos de Inmunología.</x:v>
      </x:c>
      <x:c r="J45" s="4" t="str">
        <x:v>REFERENCIA_DE_METODO</x:v>
      </x:c>
      <x:c r="K45" s="4" t="n">
        <x:v>46273.848374340276</x:v>
      </x:c>
      <x:c r="L45" s="12" t="n">
        <x:f>COUNTIF('21_Fuentes_educativas'!$A$5:$A$188,A45)-1</x:f>
        <x:v>0</x:v>
      </x:c>
      <x:c r="M45" s="12" t="n">
        <x:f>IF(E45="CAPTURADO",IF(LEN(G45)=64,0,1),0)</x:f>
        <x:v>0</x:v>
      </x:c>
    </x:row>
    <x:row r="46" ht="76" customHeight="1">
      <x:c r="A46" s="4" t="str">
        <x:v>I003</x:v>
      </x:c>
      <x:c r="B46" s="4" t="str">
        <x:v>adenda-reconciliacion-secuencia-constitutiva-y-puertas-inmunologia-2026-09-02-v0.1.md</x:v>
      </x:c>
      <x:c r="C46" s="4" t="str">
        <x:v>https://raw.githubusercontent.com/juantoniolloretegea/SVperitus-dataset/fe8adf76aa030ba5ff4997be5772b5de5e4452f3/dominios/inmunologia/cambio-rumbo/adenda-reconciliacion-secuencia-constitutiva-y-puertas-inmunologia-2026-09-02-v0.1.md</x:v>
      </x:c>
      <x:c r="D46" s="4" t="str">
        <x:v>https://raw.githubusercontent.com/juantoniolloretegea/SVperitus-dataset/fe8adf76aa030ba5ff4997be5772b5de5e4452f3/dominios/inmunologia/cambio-rumbo/adenda-reconciliacion-secuencia-constitutiva-y-puertas-inmunologia-2026-09-02-v0.1.md</x:v>
      </x:c>
      <x:c r="E46" s="4" t="str">
        <x:v>CAPTURADO</x:v>
      </x:c>
      <x:c r="F46" s="4" t="str">
        <x:v>13583</x:v>
      </x:c>
      <x:c r="G46" s="4" t="str">
        <x:v>bee483117b1572d849cfa66cd09b0fc52051e2b866997fa3a357d4b4a8ad28cf</x:v>
      </x:c>
      <x:c r="H46" s="4" t="str"/>
      <x:c r="I46" s="4" t="str">
        <x:v>Lectura de método y precedencia; no traslada contenido clínico ni permisos de Inmunología.</x:v>
      </x:c>
      <x:c r="J46" s="4" t="str">
        <x:v>REFERENCIA_DE_METODO</x:v>
      </x:c>
      <x:c r="K46" s="4" t="n">
        <x:v>46273.848374085646</x:v>
      </x:c>
      <x:c r="L46" s="12" t="n">
        <x:f>COUNTIF('21_Fuentes_educativas'!$A$5:$A$188,A46)-1</x:f>
        <x:v>0</x:v>
      </x:c>
      <x:c r="M46" s="12" t="n">
        <x:f>IF(E46="CAPTURADO",IF(LEN(G46)=64,0,1),0)</x:f>
        <x:v>0</x:v>
      </x:c>
    </x:row>
    <x:row r="47" ht="76" customHeight="1">
      <x:c r="A47" s="4" t="str">
        <x:v>I004</x:v>
      </x:c>
      <x:c r="B47" s="4" t="str">
        <x:v>manifiesto-terminal-alcance-cobertura-y-terminacion-OP-IMM-001-Q0-v0-2026-09-03.md</x:v>
      </x:c>
      <x:c r="C47" s="4" t="str">
        <x:v>https://raw.githubusercontent.com/juantoniolloretegea/SVperitus-dataset/fe8adf76aa030ba5ff4997be5772b5de5e4452f3/dominios/inmunologia/cambio-rumbo/manifiesto-terminal-alcance-cobertura-y-terminacion-OP-IMM-001-Q0-v0-2026-09-03.md</x:v>
      </x:c>
      <x:c r="D47" s="4" t="str">
        <x:v>https://raw.githubusercontent.com/juantoniolloretegea/SVperitus-dataset/fe8adf76aa030ba5ff4997be5772b5de5e4452f3/dominios/inmunologia/cambio-rumbo/manifiesto-terminal-alcance-cobertura-y-terminacion-OP-IMM-001-Q0-v0-2026-09-03.md</x:v>
      </x:c>
      <x:c r="E47" s="4" t="str">
        <x:v>CAPTURADO</x:v>
      </x:c>
      <x:c r="F47" s="4" t="str">
        <x:v>13263</x:v>
      </x:c>
      <x:c r="G47" s="4" t="str">
        <x:v>ac5d8ca551f5721d91a9dae8d84d79cc047a3720c5c68377fbbdda480526bfbe</x:v>
      </x:c>
      <x:c r="H47" s="4" t="str"/>
      <x:c r="I47" s="4" t="str">
        <x:v>Lectura de método y precedencia; no traslada contenido clínico ni permisos de Inmunología.</x:v>
      </x:c>
      <x:c r="J47" s="4" t="str">
        <x:v>REFERENCIA_DE_METODO</x:v>
      </x:c>
      <x:c r="K47" s="4" t="n">
        <x:v>46273.84837541667</x:v>
      </x:c>
      <x:c r="L47" s="12" t="n">
        <x:f>COUNTIF('21_Fuentes_educativas'!$A$5:$A$188,A47)-1</x:f>
        <x:v>0</x:v>
      </x:c>
      <x:c r="M47" s="12" t="n">
        <x:f>IF(E47="CAPTURADO",IF(LEN(G47)=64,0,1),0)</x:f>
        <x:v>0</x:v>
      </x:c>
    </x:row>
    <x:row r="48" ht="76" customHeight="1">
      <x:c r="A48" s="4" t="str">
        <x:v>I005</x:v>
      </x:c>
      <x:c r="B48" s="4" t="str">
        <x:v>Instrucción aprobada de Ciberseguridad · v1.2</x:v>
      </x:c>
      <x:c r="C48" s="4" t="str">
        <x:v>https://raw.githubusercontent.com/juantoniolloretegea/SVperitus-dataset/47dc27aec9e7b517c27cfcf39b7ad1b186d36a4c/dominios/ciberseguridad-inteligente/dominio-04-09-26/watson-biblioteca-ciber/Aprobada_INSTRUCCION_RELEVO_CIBERSEGURIDAD_INTELIGENTE_2026_09_08.md</x:v>
      </x:c>
      <x:c r="D48" s="4" t="str">
        <x:v>https://raw.githubusercontent.com/juantoniolloretegea/SVperitus-dataset/47dc27aec9e7b517c27cfcf39b7ad1b186d36a4c/dominios/ciberseguridad-inteligente/dominio-04-09-26/watson-biblioteca-ciber/Aprobada_INSTRUCCION_RELEVO_CIBERSEGURIDAD_INTELIGENTE_2026_09_08.md</x:v>
      </x:c>
      <x:c r="E48" s="4" t="str">
        <x:v>CAPTURADO</x:v>
      </x:c>
      <x:c r="F48" s="4" t="str">
        <x:v>57734</x:v>
      </x:c>
      <x:c r="G48" s="4" t="str">
        <x:v>0d35f7511a1754a7bc16c50609714445a294e6505aa1ae91678a05222192e57a</x:v>
      </x:c>
      <x:c r="H48" s="4" t="str"/>
      <x:c r="I48" s="4" t="str">
        <x:v>Lectura de método y precedencia; no traslada contenido clínico ni permisos de Inmunología.</x:v>
      </x:c>
      <x:c r="J48" s="4" t="str">
        <x:v>REFERENCIA_DE_METODO</x:v>
      </x:c>
      <x:c r="K48" s="4" t="n">
        <x:v>46273.84837581019</x:v>
      </x:c>
      <x:c r="L48" s="12" t="n">
        <x:f>COUNTIF('21_Fuentes_educativas'!$A$5:$A$188,A48)-1</x:f>
        <x:v>0</x:v>
      </x:c>
      <x:c r="M48" s="12" t="n">
        <x:f>IF(E48="CAPTURADO",IF(LEN(G48)=64,0,1),0)</x:f>
        <x:v>0</x:v>
      </x:c>
    </x:row>
    <x:row r="49" ht="47" customHeight="1">
      <x:c r="A49" s="4" t="str">
        <x:v>M001</x:v>
      </x:c>
      <x:c r="B49" s="4" t="str">
        <x:v>Cyber Security Industry Project 1</x:v>
      </x:c>
      <x:c r="C49" s="4" t="str">
        <x:v>https://www.handbook.unsw.edu.au/undergraduate/courses/2026/ZSPS2119</x:v>
      </x:c>
      <x:c r="D49" s="4" t="str">
        <x:v>https://www.handbook.unsw.edu.au/undergraduate/courses/2026/ZSPS2119</x:v>
      </x:c>
      <x:c r="E49" s="4" t="str">
        <x:v>CAPTURADO</x:v>
      </x:c>
      <x:c r="F49" s="4" t="str">
        <x:v>302868</x:v>
      </x:c>
      <x:c r="G49" s="4" t="str">
        <x:v>1407c5b86575a4633bdfcff893df35718c3c669e5273ee66197c4e4effe76978</x:v>
      </x:c>
      <x:c r="H49" s="4" t="str"/>
      <x:c r="I49" s="4" t="str">
        <x:v>Plan, descripción o apartados utilizados; localizadores en 14–20.</x:v>
      </x:c>
      <x:c r="J49" s="4" t="str">
        <x:v>REFERENCIA_REVISADA</x:v>
      </x:c>
      <x:c r="K49" s="4" t="n">
        <x:v>46273.83266310185</x:v>
      </x:c>
      <x:c r="L49" s="12" t="n">
        <x:f>COUNTIF('21_Fuentes_educativas'!$A$5:$A$188,A49)-1</x:f>
        <x:v>0</x:v>
      </x:c>
      <x:c r="M49" s="12" t="n">
        <x:f>IF(E49="CAPTURADO",IF(LEN(G49)=64,0,1),0)</x:f>
        <x:v>0</x:v>
      </x:c>
    </x:row>
    <x:row r="50" ht="47" customHeight="1">
      <x:c r="A50" s="4" t="str">
        <x:v>M002</x:v>
      </x:c>
      <x:c r="B50" s="4" t="str">
        <x:v>Machine Learning for Cyber Security</x:v>
      </x:c>
      <x:c r="C50" s="4" t="str">
        <x:v>https://www.handbook.unsw.edu.au/undergraduate/courses/2026/ZSPS2118</x:v>
      </x:c>
      <x:c r="D50" s="4" t="str">
        <x:v>https://www.handbook.unsw.edu.au/undergraduate/courses/2026/ZSPS2118</x:v>
      </x:c>
      <x:c r="E50" s="4" t="str">
        <x:v>CAPTURADO</x:v>
      </x:c>
      <x:c r="F50" s="4" t="str">
        <x:v>299334</x:v>
      </x:c>
      <x:c r="G50" s="4" t="str">
        <x:v>d7a8d023ff5b8013763fb62ab1ae460262dafbbf8fc328206a795fdce6795631</x:v>
      </x:c>
      <x:c r="H50" s="4" t="str"/>
      <x:c r="I50" s="4" t="str">
        <x:v>Plan, descripción o apartados utilizados; localizadores en 14–20.</x:v>
      </x:c>
      <x:c r="J50" s="4" t="str">
        <x:v>REFERENCIA_REVISADA</x:v>
      </x:c>
      <x:c r="K50" s="4" t="n">
        <x:v>46273.832650902776</x:v>
      </x:c>
      <x:c r="L50" s="12" t="n">
        <x:f>COUNTIF('21_Fuentes_educativas'!$A$5:$A$188,A50)-1</x:f>
        <x:v>0</x:v>
      </x:c>
      <x:c r="M50" s="12" t="n">
        <x:f>IF(E50="CAPTURADO",IF(LEN(G50)=64,0,1),0)</x:f>
        <x:v>0</x:v>
      </x:c>
    </x:row>
    <x:row r="51" ht="47" customHeight="1">
      <x:c r="A51" s="4" t="str">
        <x:v>M003</x:v>
      </x:c>
      <x:c r="B51" s="4" t="str">
        <x:v>Trustworthy AI for Cyber Security</x:v>
      </x:c>
      <x:c r="C51" s="4" t="str">
        <x:v>https://www.handbook.unsw.edu.au/undergraduate/courses/2026/ZSPS2122</x:v>
      </x:c>
      <x:c r="D51" s="4" t="str">
        <x:v>https://www.handbook.unsw.edu.au/undergraduate/courses/2026/ZSPS2122</x:v>
      </x:c>
      <x:c r="E51" s="4" t="str">
        <x:v>CAPTURADO</x:v>
      </x:c>
      <x:c r="F51" s="4" t="str">
        <x:v>300291</x:v>
      </x:c>
      <x:c r="G51" s="4" t="str">
        <x:v>307941cafcbf27b86acaab064e43763611e3800b2a01d96a90046a4c2259e0a7</x:v>
      </x:c>
      <x:c r="H51" s="4" t="str"/>
      <x:c r="I51" s="4" t="str">
        <x:v>Plan, descripción o apartados utilizados; localizadores en 14–20.</x:v>
      </x:c>
      <x:c r="J51" s="4" t="str">
        <x:v>REFERENCIA_REVISADA</x:v>
      </x:c>
      <x:c r="K51" s="4" t="n">
        <x:v>46273.83265671296</x:v>
      </x:c>
      <x:c r="L51" s="12" t="n">
        <x:f>COUNTIF('21_Fuentes_educativas'!$A$5:$A$188,A51)-1</x:f>
        <x:v>0</x:v>
      </x:c>
      <x:c r="M51" s="12" t="n">
        <x:f>IF(E51="CAPTURADO",IF(LEN(G51)=64,0,1),0)</x:f>
        <x:v>0</x:v>
      </x:c>
    </x:row>
    <x:row r="52" ht="47" customHeight="1">
      <x:c r="A52" s="4" t="str">
        <x:v>M004</x:v>
      </x:c>
      <x:c r="B52" s="4" t="str">
        <x:v>Deep Learning for Cyber Security</x:v>
      </x:c>
      <x:c r="C52" s="4" t="str">
        <x:v>https://www.handbook.unsw.edu.au/undergraduate/courses/2026/ZSPS2121</x:v>
      </x:c>
      <x:c r="D52" s="4" t="str">
        <x:v>https://www.handbook.unsw.edu.au/undergraduate/courses/2026/ZSPS2121</x:v>
      </x:c>
      <x:c r="E52" s="4" t="str">
        <x:v>CAPTURADO</x:v>
      </x:c>
      <x:c r="F52" s="4" t="str">
        <x:v>295349</x:v>
      </x:c>
      <x:c r="G52" s="4" t="str">
        <x:v>d6c58d21fa3dd583613d9bd9a24480b531cec8ed3982d9cdc29bbfbcd98379f0</x:v>
      </x:c>
      <x:c r="H52" s="4" t="str"/>
      <x:c r="I52" s="4" t="str">
        <x:v>Plan, descripción o apartados utilizados; localizadores en 14–20.</x:v>
      </x:c>
      <x:c r="J52" s="4" t="str">
        <x:v>REFERENCIA_REVISADA</x:v>
      </x:c>
      <x:c r="K52" s="4" t="n">
        <x:v>46273.83265276621</x:v>
      </x:c>
      <x:c r="L52" s="12" t="n">
        <x:f>COUNTIF('21_Fuentes_educativas'!$A$5:$A$188,A52)-1</x:f>
        <x:v>0</x:v>
      </x:c>
      <x:c r="M52" s="12" t="n">
        <x:f>IF(E52="CAPTURADO",IF(LEN(G52)=64,0,1),0)</x:f>
        <x:v>0</x:v>
      </x:c>
    </x:row>
    <x:row r="53" ht="47" customHeight="1">
      <x:c r="A53" s="4" t="str">
        <x:v>M005</x:v>
      </x:c>
      <x:c r="B53" s="4" t="str">
        <x:v>Cyber Security Industry Project 2</x:v>
      </x:c>
      <x:c r="C53" s="4" t="str">
        <x:v>https://www.handbook.unsw.edu.au/undergraduate/courses/2027/ZSPS3117</x:v>
      </x:c>
      <x:c r="D53" s="4" t="str">
        <x:v>https://www.handbook.unsw.edu.au/undergraduate/courses/2027/ZSPS3117</x:v>
      </x:c>
      <x:c r="E53" s="4" t="str">
        <x:v>CAPTURADO</x:v>
      </x:c>
      <x:c r="F53" s="4" t="str">
        <x:v>292406</x:v>
      </x:c>
      <x:c r="G53" s="4" t="str">
        <x:v>2bd14dcf721ec803f571fe297871c85953a5923d6fdbebc0c8de285c8289db4f</x:v>
      </x:c>
      <x:c r="H53" s="4" t="str"/>
      <x:c r="I53" s="4" t="str">
        <x:v>Adquisición o identificación; no utilizada como contenido curricular.</x:v>
      </x:c>
      <x:c r="J53" s="4" t="str">
        <x:v>NO UTILIZADA EN LA PROPUESTA</x:v>
      </x:c>
      <x:c r="K53" s="4" t="n">
        <x:v>46273.8326590625</x:v>
      </x:c>
      <x:c r="L53" s="12" t="n">
        <x:f>COUNTIF('21_Fuentes_educativas'!$A$5:$A$188,A53)-1</x:f>
        <x:v>0</x:v>
      </x:c>
      <x:c r="M53" s="12" t="n">
        <x:f>IF(E53="CAPTURADO",IF(LEN(G53)=64,0,1),0)</x:f>
        <x:v>0</x:v>
      </x:c>
    </x:row>
    <x:row r="54" ht="47" customHeight="1">
      <x:c r="A54" s="4" t="str">
        <x:v>N001</x:v>
      </x:c>
      <x:c r="B54" s="4" t="str">
        <x:v>Cyber Crime and Ethics</x:v>
      </x:c>
      <x:c r="C54" s="4" t="str">
        <x:v>https://www.handbook.unsw.edu.au/undergraduate/courses/2026/ZSPS1110</x:v>
      </x:c>
      <x:c r="D54" s="4" t="str">
        <x:v>https://www.handbook.unsw.edu.au/undergraduate/courses/2026/ZSPS1110</x:v>
      </x:c>
      <x:c r="E54" s="4" t="str">
        <x:v>CAPTURADO</x:v>
      </x:c>
      <x:c r="F54" s="4" t="str">
        <x:v>299353</x:v>
      </x:c>
      <x:c r="G54" s="4" t="str">
        <x:v>c24fe67c44ea686831c8fc892770fdca9323d7f85e60108663920ab87d457ea7</x:v>
      </x:c>
      <x:c r="H54" s="4" t="str"/>
      <x:c r="I54" s="4" t="str">
        <x:v>Adquisición o identificación; no utilizada como contenido curricular.</x:v>
      </x:c>
      <x:c r="J54" s="4" t="str">
        <x:v>NO UTILIZADA EN LA PROPUESTA</x:v>
      </x:c>
      <x:c r="K54" s="4" t="n">
        <x:v>46273.8312293287</x:v>
      </x:c>
      <x:c r="L54" s="12" t="n">
        <x:f>COUNTIF('21_Fuentes_educativas'!$A$5:$A$188,A54)-1</x:f>
        <x:v>0</x:v>
      </x:c>
      <x:c r="M54" s="12" t="n">
        <x:f>IF(E54="CAPTURADO",IF(LEN(G54)=64,0,1),0)</x:f>
        <x:v>0</x:v>
      </x:c>
    </x:row>
    <x:row r="55" ht="47" customHeight="1">
      <x:c r="A55" s="4" t="str">
        <x:v>N002</x:v>
      </x:c>
      <x:c r="B55" s="4" t="str">
        <x:v>Introduction to Information Technology and Networking</x:v>
      </x:c>
      <x:c r="C55" s="4" t="str">
        <x:v>https://www.handbook.unsw.edu.au/undergraduate/courses/2026/ZSPS1111</x:v>
      </x:c>
      <x:c r="D55" s="4" t="str">
        <x:v>https://www.handbook.unsw.edu.au/undergraduate/courses/2026/ZSPS1111</x:v>
      </x:c>
      <x:c r="E55" s="4" t="str">
        <x:v>CAPTURADO</x:v>
      </x:c>
      <x:c r="F55" s="4" t="str">
        <x:v>297943</x:v>
      </x:c>
      <x:c r="G55" s="4" t="str">
        <x:v>3d1a790a6968b25fe65562168509baf4d46d40e015e27eef224b9cd608bc0733</x:v>
      </x:c>
      <x:c r="H55" s="4" t="str"/>
      <x:c r="I55" s="4" t="str">
        <x:v>Adquisición o identificación; no utilizada como contenido curricular.</x:v>
      </x:c>
      <x:c r="J55" s="4" t="str">
        <x:v>NO UTILIZADA EN LA PROPUESTA</x:v>
      </x:c>
      <x:c r="K55" s="4" t="n">
        <x:v>46273.83122980324</x:v>
      </x:c>
      <x:c r="L55" s="12" t="n">
        <x:f>COUNTIF('21_Fuentes_educativas'!$A$5:$A$188,A55)-1</x:f>
        <x:v>0</x:v>
      </x:c>
      <x:c r="M55" s="12" t="n">
        <x:f>IF(E55="CAPTURADO",IF(LEN(G55)=64,0,1),0)</x:f>
        <x:v>0</x:v>
      </x:c>
    </x:row>
    <x:row r="56" ht="47" customHeight="1">
      <x:c r="A56" s="4" t="str">
        <x:v>N003</x:v>
      </x:c>
      <x:c r="B56" s="4" t="str">
        <x:v>Programming Fundamentals</x:v>
      </x:c>
      <x:c r="C56" s="4" t="str">
        <x:v>https://www.handbook.unsw.edu.au/undergraduate/courses/2026/ZSPS1112</x:v>
      </x:c>
      <x:c r="D56" s="4" t="str">
        <x:v>https://www.handbook.unsw.edu.au/undergraduate/courses/2026/ZSPS1112</x:v>
      </x:c>
      <x:c r="E56" s="4" t="str">
        <x:v>CAPTURADO</x:v>
      </x:c>
      <x:c r="F56" s="4" t="str">
        <x:v>298051</x:v>
      </x:c>
      <x:c r="G56" s="4" t="str">
        <x:v>2c5a878e1fceb10a039b4b63a81f54bfff5af44f93db02300fbff37fa81bb657</x:v>
      </x:c>
      <x:c r="H56" s="4" t="str"/>
      <x:c r="I56" s="4" t="str">
        <x:v>Adquisición o identificación; no utilizada como contenido curricular.</x:v>
      </x:c>
      <x:c r="J56" s="4" t="str">
        <x:v>NO UTILIZADA EN LA PROPUESTA</x:v>
      </x:c>
      <x:c r="K56" s="4" t="n">
        <x:v>46273.83121847222</x:v>
      </x:c>
      <x:c r="L56" s="12" t="n">
        <x:f>COUNTIF('21_Fuentes_educativas'!$A$5:$A$188,A56)-1</x:f>
        <x:v>0</x:v>
      </x:c>
      <x:c r="M56" s="12" t="n">
        <x:f>IF(E56="CAPTURADO",IF(LEN(G56)=64,0,1),0)</x:f>
        <x:v>0</x:v>
      </x:c>
    </x:row>
    <x:row r="57" ht="47" customHeight="1">
      <x:c r="A57" s="4" t="str">
        <x:v>N004</x:v>
      </x:c>
      <x:c r="B57" s="4" t="str">
        <x:v>Computer Architecture and Operating Systems</x:v>
      </x:c>
      <x:c r="C57" s="4" t="str">
        <x:v>https://www.handbook.unsw.edu.au/undergraduate/courses/2026/ZSPS1113</x:v>
      </x:c>
      <x:c r="D57" s="4" t="str">
        <x:v>https://www.handbook.unsw.edu.au/undergraduate/courses/2026/ZSPS1113</x:v>
      </x:c>
      <x:c r="E57" s="4" t="str">
        <x:v>CAPTURADO</x:v>
      </x:c>
      <x:c r="F57" s="4" t="str">
        <x:v>300359</x:v>
      </x:c>
      <x:c r="G57" s="4" t="str">
        <x:v>0e12acc1a525ee9d208242a0d6e7246300481604f29d8db5fb8ed1079505cc07</x:v>
      </x:c>
      <x:c r="H57" s="4" t="str"/>
      <x:c r="I57" s="4" t="str">
        <x:v>Adquisición o identificación; no utilizada como contenido curricular.</x:v>
      </x:c>
      <x:c r="J57" s="4" t="str">
        <x:v>NO UTILIZADA EN LA PROPUESTA</x:v>
      </x:c>
      <x:c r="K57" s="4" t="n">
        <x:v>46273.83122</x:v>
      </x:c>
      <x:c r="L57" s="12" t="n">
        <x:f>COUNTIF('21_Fuentes_educativas'!$A$5:$A$188,A57)-1</x:f>
        <x:v>0</x:v>
      </x:c>
      <x:c r="M57" s="12" t="n">
        <x:f>IF(E57="CAPTURADO",IF(LEN(G57)=64,0,1),0)</x:f>
        <x:v>0</x:v>
      </x:c>
    </x:row>
    <x:row r="58" ht="47" customHeight="1">
      <x:c r="A58" s="4" t="str">
        <x:v>N005</x:v>
      </x:c>
      <x:c r="B58" s="4" t="str">
        <x:v>Introduction to Cyber Security</x:v>
      </x:c>
      <x:c r="C58" s="4" t="str">
        <x:v>https://www.handbook.unsw.edu.au/undergraduate/courses/2026/ZSPS1337</x:v>
      </x:c>
      <x:c r="D58" s="4" t="str">
        <x:v>https://www.handbook.unsw.edu.au/undergraduate/courses/2026/ZSPS1337</x:v>
      </x:c>
      <x:c r="E58" s="4" t="str">
        <x:v>CAPTURADO</x:v>
      </x:c>
      <x:c r="F58" s="4" t="str">
        <x:v>298996</x:v>
      </x:c>
      <x:c r="G58" s="4" t="str">
        <x:v>6977a4be83ae9ce3796bdff899dde0413d6231f1d2aa55d549e8e5e860de2802</x:v>
      </x:c>
      <x:c r="H58" s="4" t="str"/>
      <x:c r="I58" s="4" t="str">
        <x:v>Adquisición o identificación; no utilizada como contenido curricular.</x:v>
      </x:c>
      <x:c r="J58" s="4" t="str">
        <x:v>NO UTILIZADA EN LA PROPUESTA</x:v>
      </x:c>
      <x:c r="K58" s="4" t="n">
        <x:v>46273.83123318287</x:v>
      </x:c>
      <x:c r="L58" s="12" t="n">
        <x:f>COUNTIF('21_Fuentes_educativas'!$A$5:$A$188,A58)-1</x:f>
        <x:v>0</x:v>
      </x:c>
      <x:c r="M58" s="12" t="n">
        <x:f>IF(E58="CAPTURADO",IF(LEN(G58)=64,0,1),0)</x:f>
        <x:v>0</x:v>
      </x:c>
    </x:row>
    <x:row r="59" ht="47" customHeight="1">
      <x:c r="A59" s="4" t="str">
        <x:v>N006</x:v>
      </x:c>
      <x:c r="B59" s="4" t="str">
        <x:v>Data Structures &amp; Algorithmic Knowledge</x:v>
      </x:c>
      <x:c r="C59" s="4" t="str">
        <x:v>https://www.handbook.unsw.edu.au/undergraduate/courses/2026/ZSPS2110</x:v>
      </x:c>
      <x:c r="D59" s="4" t="str">
        <x:v>https://www.handbook.unsw.edu.au/undergraduate/courses/2026/ZSPS2110</x:v>
      </x:c>
      <x:c r="E59" s="4" t="str">
        <x:v>CAPTURADO</x:v>
      </x:c>
      <x:c r="F59" s="4" t="str">
        <x:v>297338</x:v>
      </x:c>
      <x:c r="G59" s="4" t="str">
        <x:v>4559c7d3efaf528316cf848da65a1d16c0ea34b296479f97ec94eb9695f71888</x:v>
      </x:c>
      <x:c r="H59" s="4" t="str"/>
      <x:c r="I59" s="4" t="str">
        <x:v>Adquisición o identificación; no utilizada como contenido curricular.</x:v>
      </x:c>
      <x:c r="J59" s="4" t="str">
        <x:v>NO UTILIZADA EN LA PROPUESTA</x:v>
      </x:c>
      <x:c r="K59" s="4" t="n">
        <x:v>46273.83122851852</x:v>
      </x:c>
      <x:c r="L59" s="12" t="n">
        <x:f>COUNTIF('21_Fuentes_educativas'!$A$5:$A$188,A59)-1</x:f>
        <x:v>0</x:v>
      </x:c>
      <x:c r="M59" s="12" t="n">
        <x:f>IF(E59="CAPTURADO",IF(LEN(G59)=64,0,1),0)</x:f>
        <x:v>0</x:v>
      </x:c>
    </x:row>
    <x:row r="60" ht="47" customHeight="1">
      <x:c r="A60" s="4" t="str">
        <x:v>N007</x:v>
      </x:c>
      <x:c r="B60" s="4" t="str">
        <x:v>Ethical Hacking &amp; Penetration Testing</x:v>
      </x:c>
      <x:c r="C60" s="4" t="str">
        <x:v>https://www.handbook.unsw.edu.au/undergraduate/courses/2026/ZSPS2113</x:v>
      </x:c>
      <x:c r="D60" s="4" t="str">
        <x:v>https://www.handbook.unsw.edu.au/undergraduate/courses/2026/ZSPS2113</x:v>
      </x:c>
      <x:c r="E60" s="4" t="str">
        <x:v>CAPTURADO</x:v>
      </x:c>
      <x:c r="F60" s="4" t="str">
        <x:v>299517</x:v>
      </x:c>
      <x:c r="G60" s="4" t="str">
        <x:v>cc945d45f922bcd7ca716193ad4e105beeee0bb9abfd46dd9fb0c15c024e1f05</x:v>
      </x:c>
      <x:c r="H60" s="4" t="str"/>
      <x:c r="I60" s="4" t="str">
        <x:v>Adquisición o identificación; no utilizada como contenido curricular.</x:v>
      </x:c>
      <x:c r="J60" s="4" t="str">
        <x:v>NO UTILIZADA EN LA PROPUESTA</x:v>
      </x:c>
      <x:c r="K60" s="4" t="n">
        <x:v>46273.831346377316</x:v>
      </x:c>
      <x:c r="L60" s="12" t="n">
        <x:f>COUNTIF('21_Fuentes_educativas'!$A$5:$A$188,A60)-1</x:f>
        <x:v>0</x:v>
      </x:c>
      <x:c r="M60" s="12" t="n">
        <x:f>IF(E60="CAPTURADO",IF(LEN(G60)=64,0,1),0)</x:f>
        <x:v>0</x:v>
      </x:c>
    </x:row>
    <x:row r="61" ht="47" customHeight="1">
      <x:c r="A61" s="4" t="str">
        <x:v>N008</x:v>
      </x:c>
      <x:c r="B61" s="4" t="str">
        <x:v>Cyber Defence</x:v>
      </x:c>
      <x:c r="C61" s="4" t="str">
        <x:v>https://www.handbook.unsw.edu.au/undergraduate/courses/2026/ZSPS2114</x:v>
      </x:c>
      <x:c r="D61" s="4" t="str">
        <x:v>https://www.handbook.unsw.edu.au/undergraduate/courses/2026/ZSPS2114</x:v>
      </x:c>
      <x:c r="E61" s="4" t="str">
        <x:v>CAPTURADO</x:v>
      </x:c>
      <x:c r="F61" s="4" t="str">
        <x:v>298582</x:v>
      </x:c>
      <x:c r="G61" s="4" t="str">
        <x:v>12b93b10175e10716257275846f6c1f4adaf82cf15fdf7f9aaff43caaed3e41b</x:v>
      </x:c>
      <x:c r="H61" s="4" t="str"/>
      <x:c r="I61" s="4" t="str">
        <x:v>Adquisición o identificación; no utilizada como contenido curricular.</x:v>
      </x:c>
      <x:c r="J61" s="4" t="str">
        <x:v>NO UTILIZADA EN LA PROPUESTA</x:v>
      </x:c>
      <x:c r="K61" s="4" t="n">
        <x:v>46273.83134208334</x:v>
      </x:c>
      <x:c r="L61" s="12" t="n">
        <x:f>COUNTIF('21_Fuentes_educativas'!$A$5:$A$188,A61)-1</x:f>
        <x:v>0</x:v>
      </x:c>
      <x:c r="M61" s="12" t="n">
        <x:f>IF(E61="CAPTURADO",IF(LEN(G61)=64,0,1),0)</x:f>
        <x:v>0</x:v>
      </x:c>
    </x:row>
    <x:row r="62" ht="47" customHeight="1">
      <x:c r="A62" s="4" t="str">
        <x:v>N009</x:v>
      </x:c>
      <x:c r="B62" s="4" t="str">
        <x:v>Computational Mathematics and Applied Cryptography</x:v>
      </x:c>
      <x:c r="C62" s="4" t="str">
        <x:v>https://www.handbook.unsw.edu.au/undergraduate/courses/2026/ZSPS2115</x:v>
      </x:c>
      <x:c r="D62" s="4" t="str">
        <x:v>https://www.handbook.unsw.edu.au/undergraduate/courses/2026/ZSPS2115</x:v>
      </x:c>
      <x:c r="E62" s="4" t="str">
        <x:v>CAPTURADO</x:v>
      </x:c>
      <x:c r="F62" s="4" t="str">
        <x:v>299640</x:v>
      </x:c>
      <x:c r="G62" s="4" t="str">
        <x:v>ee9fa428821ad0ae849f4152715e3eb21a3d5ad81612e3d01649ed7300a5ce5c</x:v>
      </x:c>
      <x:c r="H62" s="4" t="str"/>
      <x:c r="I62" s="4" t="str">
        <x:v>Adquisición o identificación; no utilizada como contenido curricular.</x:v>
      </x:c>
      <x:c r="J62" s="4" t="str">
        <x:v>NO UTILIZADA EN LA PROPUESTA</x:v>
      </x:c>
      <x:c r="K62" s="4" t="n">
        <x:v>46273.83134747685</x:v>
      </x:c>
      <x:c r="L62" s="12" t="n">
        <x:f>COUNTIF('21_Fuentes_educativas'!$A$5:$A$188,A62)-1</x:f>
        <x:v>0</x:v>
      </x:c>
      <x:c r="M62" s="12" t="n">
        <x:f>IF(E62="CAPTURADO",IF(LEN(G62)=64,0,1),0)</x:f>
        <x:v>0</x:v>
      </x:c>
    </x:row>
    <x:row r="63" ht="47" customHeight="1">
      <x:c r="A63" s="4" t="str">
        <x:v>N010</x:v>
      </x:c>
      <x:c r="B63" s="4" t="str">
        <x:v>Human-Centric Cyber Security</x:v>
      </x:c>
      <x:c r="C63" s="4" t="str">
        <x:v>https://www.handbook.unsw.edu.au/undergraduate/courses/2026/ZSPS3110</x:v>
      </x:c>
      <x:c r="D63" s="4" t="str">
        <x:v>https://www.handbook.unsw.edu.au/undergraduate/courses/2026/ZSPS3110</x:v>
      </x:c>
      <x:c r="E63" s="4" t="str">
        <x:v>CAPTURADO</x:v>
      </x:c>
      <x:c r="F63" s="4" t="str">
        <x:v>296533</x:v>
      </x:c>
      <x:c r="G63" s="4" t="str">
        <x:v>139cf1ffdc4310d34e70cfa8cb32f6d88be251ae43da8f6c7379a5b92111f9c9</x:v>
      </x:c>
      <x:c r="H63" s="4" t="str"/>
      <x:c r="I63" s="4" t="str">
        <x:v>Adquisición o identificación; no utilizada como contenido curricular.</x:v>
      </x:c>
      <x:c r="J63" s="4" t="str">
        <x:v>NO UTILIZADA EN LA PROPUESTA</x:v>
      </x:c>
      <x:c r="K63" s="4" t="n">
        <x:v>46273.831336284726</x:v>
      </x:c>
      <x:c r="L63" s="12" t="n">
        <x:f>COUNTIF('21_Fuentes_educativas'!$A$5:$A$188,A63)-1</x:f>
        <x:v>0</x:v>
      </x:c>
      <x:c r="M63" s="12" t="n">
        <x:f>IF(E63="CAPTURADO",IF(LEN(G63)=64,0,1),0)</x:f>
        <x:v>0</x:v>
      </x:c>
    </x:row>
    <x:row r="64" ht="47" customHeight="1">
      <x:c r="A64" s="4" t="str">
        <x:v>N011</x:v>
      </x:c>
      <x:c r="B64" s="4" t="str">
        <x:v>Advanced Ethical Hacking and Penetration Testing</x:v>
      </x:c>
      <x:c r="C64" s="4" t="str">
        <x:v>https://www.handbook.unsw.edu.au/undergraduate/courses/2026/ZSPS3115</x:v>
      </x:c>
      <x:c r="D64" s="4" t="str">
        <x:v>https://www.handbook.unsw.edu.au/undergraduate/courses/2026/ZSPS3115</x:v>
      </x:c>
      <x:c r="E64" s="4" t="str">
        <x:v>CAPTURADO</x:v>
      </x:c>
      <x:c r="F64" s="4" t="str">
        <x:v>295061</x:v>
      </x:c>
      <x:c r="G64" s="4" t="str">
        <x:v>54953093dd8fbce79fc64e6f49f9a835ef687a6c741a7794a7cebb504ba69c74</x:v>
      </x:c>
      <x:c r="H64" s="4" t="str"/>
      <x:c r="I64" s="4" t="str">
        <x:v>Adquisición o identificación; no utilizada como contenido curricular.</x:v>
      </x:c>
      <x:c r="J64" s="4" t="str">
        <x:v>NO UTILIZADA EN LA PROPUESTA</x:v>
      </x:c>
      <x:c r="K64" s="4" t="n">
        <x:v>46273.83133728009</x:v>
      </x:c>
      <x:c r="L64" s="12" t="n">
        <x:f>COUNTIF('21_Fuentes_educativas'!$A$5:$A$188,A64)-1</x:f>
        <x:v>0</x:v>
      </x:c>
      <x:c r="M64" s="12" t="n">
        <x:f>IF(E64="CAPTURADO",IF(LEN(G64)=64,0,1),0)</x:f>
        <x:v>0</x:v>
      </x:c>
    </x:row>
    <x:row r="65" ht="47" customHeight="1">
      <x:c r="A65" s="4" t="str">
        <x:v>N012</x:v>
      </x:c>
      <x:c r="B65" s="4" t="str">
        <x:v>Knowledge Representation and Databases</x:v>
      </x:c>
      <x:c r="C65" s="4" t="str">
        <x:v>https://www.handbook.unsw.edu.au/undergraduate/courses/2026/ZSPS2111</x:v>
      </x:c>
      <x:c r="D65" s="4" t="str">
        <x:v>https://www.handbook.unsw.edu.au/undergraduate/courses/2026/ZSPS2111</x:v>
      </x:c>
      <x:c r="E65" s="4" t="str">
        <x:v>CAPTURADO</x:v>
      </x:c>
      <x:c r="F65" s="4" t="str">
        <x:v>298370</x:v>
      </x:c>
      <x:c r="G65" s="4" t="str">
        <x:v>4a88f4439ac7059677e90812a3da7a559d67417639a5d2e9b9bc6a445b448403</x:v>
      </x:c>
      <x:c r="H65" s="4" t="str"/>
      <x:c r="I65" s="4" t="str">
        <x:v>Adquisición o identificación; no utilizada como contenido curricular.</x:v>
      </x:c>
      <x:c r="J65" s="4" t="str">
        <x:v>NO UTILIZADA EN LA PROPUESTA</x:v>
      </x:c>
      <x:c r="K65" s="4" t="n">
        <x:v>46273.83134762732</x:v>
      </x:c>
      <x:c r="L65" s="12" t="n">
        <x:f>COUNTIF('21_Fuentes_educativas'!$A$5:$A$188,A65)-1</x:f>
        <x:v>0</x:v>
      </x:c>
      <x:c r="M65" s="12" t="n">
        <x:f>IF(E65="CAPTURADO",IF(LEN(G65)=64,0,1),0)</x:f>
        <x:v>0</x:v>
      </x:c>
    </x:row>
    <x:row r="66" ht="47" customHeight="1">
      <x:c r="A66" s="4" t="str">
        <x:v>N013</x:v>
      </x:c>
      <x:c r="B66" s="4" t="str">
        <x:v>Web Application and Security</x:v>
      </x:c>
      <x:c r="C66" s="4" t="str">
        <x:v>https://www.handbook.unsw.edu.au/undergraduate/courses/2026/ZSPS2112</x:v>
      </x:c>
      <x:c r="D66" s="4" t="str">
        <x:v>https://www.handbook.unsw.edu.au/undergraduate/courses/2026/ZSPS2112</x:v>
      </x:c>
      <x:c r="E66" s="4" t="str">
        <x:v>CAPTURADO</x:v>
      </x:c>
      <x:c r="F66" s="4" t="str">
        <x:v>297061</x:v>
      </x:c>
      <x:c r="G66" s="4" t="str">
        <x:v>4d5f2568a44504081d692528f15e1ab616ead2d9d132d97a144bf37575fa1fa1</x:v>
      </x:c>
      <x:c r="H66" s="4" t="str"/>
      <x:c r="I66" s="4" t="str">
        <x:v>Adquisición o identificación; no utilizada como contenido curricular.</x:v>
      </x:c>
      <x:c r="J66" s="4" t="str">
        <x:v>NO UTILIZADA EN LA PROPUESTA</x:v>
      </x:c>
      <x:c r="K66" s="4" t="n">
        <x:v>46273.831555543984</x:v>
      </x:c>
      <x:c r="L66" s="12" t="n">
        <x:f>COUNTIF('21_Fuentes_educativas'!$A$5:$A$188,A66)-1</x:f>
        <x:v>0</x:v>
      </x:c>
      <x:c r="M66" s="12" t="n">
        <x:f>IF(E66="CAPTURADO",IF(LEN(G66)=64,0,1),0)</x:f>
        <x:v>0</x:v>
      </x:c>
    </x:row>
    <x:row r="67" ht="47" customHeight="1">
      <x:c r="A67" s="4" t="str">
        <x:v>N014</x:v>
      </x:c>
      <x:c r="B67" s="4" t="str">
        <x:v>Digital Forensics</x:v>
      </x:c>
      <x:c r="C67" s="4" t="str">
        <x:v>https://www.handbook.unsw.edu.au/undergraduate/courses/2026/ZSPS3111</x:v>
      </x:c>
      <x:c r="D67" s="4" t="str">
        <x:v>https://www.handbook.unsw.edu.au/undergraduate/courses/2026/ZSPS3111</x:v>
      </x:c>
      <x:c r="E67" s="4" t="str">
        <x:v>CAPTURADO</x:v>
      </x:c>
      <x:c r="F67" s="4" t="str">
        <x:v>298497</x:v>
      </x:c>
      <x:c r="G67" s="4" t="str">
        <x:v>0a2191786510e88c2e0ea14317ce1cee6832b3ac45ba4554bf9f63941ed3a94c</x:v>
      </x:c>
      <x:c r="H67" s="4" t="str"/>
      <x:c r="I67" s="4" t="str">
        <x:v>Adquisición o identificación; no utilizada como contenido curricular.</x:v>
      </x:c>
      <x:c r="J67" s="4" t="str">
        <x:v>NO UTILIZADA EN LA PROPUESTA</x:v>
      </x:c>
      <x:c r="K67" s="4" t="n">
        <x:v>46273.831566875</x:v>
      </x:c>
      <x:c r="L67" s="12" t="n">
        <x:f>COUNTIF('21_Fuentes_educativas'!$A$5:$A$188,A67)-1</x:f>
        <x:v>0</x:v>
      </x:c>
      <x:c r="M67" s="12" t="n">
        <x:f>IF(E67="CAPTURADO",IF(LEN(G67)=64,0,1),0)</x:f>
        <x:v>0</x:v>
      </x:c>
    </x:row>
    <x:row r="68" ht="47" customHeight="1">
      <x:c r="A68" s="4" t="str">
        <x:v>N015</x:v>
      </x:c>
      <x:c r="B68" s="4" t="str">
        <x:v>Internet of Things and Network Security</x:v>
      </x:c>
      <x:c r="C68" s="4" t="str">
        <x:v>https://www.handbook.unsw.edu.au/undergraduate/courses/2026/ZSPS3112</x:v>
      </x:c>
      <x:c r="D68" s="4" t="str">
        <x:v>https://www.handbook.unsw.edu.au/undergraduate/courses/2026/ZSPS3112</x:v>
      </x:c>
      <x:c r="E68" s="4" t="str">
        <x:v>CAPTURADO</x:v>
      </x:c>
      <x:c r="F68" s="4" t="str">
        <x:v>296311</x:v>
      </x:c>
      <x:c r="G68" s="4" t="str">
        <x:v>45d05d50d4ec9ee760053895f0c683befefd118a0e65380ea33868d773bc5222</x:v>
      </x:c>
      <x:c r="H68" s="4" t="str"/>
      <x:c r="I68" s="4" t="str">
        <x:v>Adquisición o identificación; no utilizada como contenido curricular.</x:v>
      </x:c>
      <x:c r="J68" s="4" t="str">
        <x:v>NO UTILIZADA EN LA PROPUESTA</x:v>
      </x:c>
      <x:c r="K68" s="4" t="n">
        <x:v>46273.831565023145</x:v>
      </x:c>
      <x:c r="L68" s="12" t="n">
        <x:f>COUNTIF('21_Fuentes_educativas'!$A$5:$A$188,A68)-1</x:f>
        <x:v>0</x:v>
      </x:c>
      <x:c r="M68" s="12" t="n">
        <x:f>IF(E68="CAPTURADO",IF(LEN(G68)=64,0,1),0)</x:f>
        <x:v>0</x:v>
      </x:c>
    </x:row>
    <x:row r="69" ht="47" customHeight="1">
      <x:c r="A69" s="4" t="str">
        <x:v>N016</x:v>
      </x:c>
      <x:c r="B69" s="4" t="str">
        <x:v>Cloud Computing and Security</x:v>
      </x:c>
      <x:c r="C69" s="4" t="str">
        <x:v>https://www.handbook.unsw.edu.au/undergraduate/courses/2026/ZSPS3113</x:v>
      </x:c>
      <x:c r="D69" s="4" t="str">
        <x:v>https://www.handbook.unsw.edu.au/undergraduate/courses/2026/ZSPS3113</x:v>
      </x:c>
      <x:c r="E69" s="4" t="str">
        <x:v>CAPTURADO</x:v>
      </x:c>
      <x:c r="F69" s="4" t="str">
        <x:v>296019</x:v>
      </x:c>
      <x:c r="G69" s="4" t="str">
        <x:v>2e020ea35921e9e3ba217b8e9fe41277e529f90a59aa4d646eaabac14f02eb15</x:v>
      </x:c>
      <x:c r="H69" s="4" t="str"/>
      <x:c r="I69" s="4" t="str">
        <x:v>Adquisición o identificación; no utilizada como contenido curricular.</x:v>
      </x:c>
      <x:c r="J69" s="4" t="str">
        <x:v>NO UTILIZADA EN LA PROPUESTA</x:v>
      </x:c>
      <x:c r="K69" s="4" t="n">
        <x:v>46273.83155616898</x:v>
      </x:c>
      <x:c r="L69" s="12" t="n">
        <x:f>COUNTIF('21_Fuentes_educativas'!$A$5:$A$188,A69)-1</x:f>
        <x:v>0</x:v>
      </x:c>
      <x:c r="M69" s="12" t="n">
        <x:f>IF(E69="CAPTURADO",IF(LEN(G69)=64,0,1),0)</x:f>
        <x:v>0</x:v>
      </x:c>
    </x:row>
    <x:row r="70" ht="47" customHeight="1">
      <x:c r="A70" s="4" t="str">
        <x:v>N017</x:v>
      </x:c>
      <x:c r="B70" s="4" t="str">
        <x:v>Critical Infrastructure Protection</x:v>
      </x:c>
      <x:c r="C70" s="4" t="str">
        <x:v>https://www.handbook.unsw.edu.au/undergraduate/courses/2026/ZSPS3114</x:v>
      </x:c>
      <x:c r="D70" s="4" t="str">
        <x:v>https://www.handbook.unsw.edu.au/undergraduate/courses/2026/ZSPS3114</x:v>
      </x:c>
      <x:c r="E70" s="4" t="str">
        <x:v>CAPTURADO</x:v>
      </x:c>
      <x:c r="F70" s="4" t="str">
        <x:v>296531</x:v>
      </x:c>
      <x:c r="G70" s="4" t="str">
        <x:v>8de6f7e955052c4482735925b41355f063641bba9a5f32bbd21d8e81bfa0872e</x:v>
      </x:c>
      <x:c r="H70" s="4" t="str"/>
      <x:c r="I70" s="4" t="str">
        <x:v>Adquisición o identificación; no utilizada como contenido curricular.</x:v>
      </x:c>
      <x:c r="J70" s="4" t="str">
        <x:v>NO UTILIZADA EN LA PROPUESTA</x:v>
      </x:c>
      <x:c r="K70" s="4" t="n">
        <x:v>46273.831566712965</x:v>
      </x:c>
      <x:c r="L70" s="12" t="n">
        <x:f>COUNTIF('21_Fuentes_educativas'!$A$5:$A$188,A70)-1</x:f>
        <x:v>0</x:v>
      </x:c>
      <x:c r="M70" s="12" t="n">
        <x:f>IF(E70="CAPTURADO",IF(LEN(G70)=64,0,1),0)</x:f>
        <x:v>0</x:v>
      </x:c>
    </x:row>
    <x:row r="71" ht="47" customHeight="1">
      <x:c r="A71" s="4" t="str">
        <x:v>N018</x:v>
      </x:c>
      <x:c r="B71" s="4" t="str">
        <x:v>Cyber Risk Management &amp; Incident Response</x:v>
      </x:c>
      <x:c r="C71" s="4" t="str">
        <x:v>https://www.handbook.unsw.edu.au/undergraduate/courses/2026/ZSPS3116</x:v>
      </x:c>
      <x:c r="D71" s="4" t="str">
        <x:v>https://www.handbook.unsw.edu.au/undergraduate/courses/2026/ZSPS3116</x:v>
      </x:c>
      <x:c r="E71" s="4" t="str">
        <x:v>CAPTURADO</x:v>
      </x:c>
      <x:c r="F71" s="4" t="str">
        <x:v>296101</x:v>
      </x:c>
      <x:c r="G71" s="4" t="str">
        <x:v>16b08f3428f62b57c0c8bc7f8ed7ffa72d28ac1801c132dc55b503f5f61525c4</x:v>
      </x:c>
      <x:c r="H71" s="4" t="str"/>
      <x:c r="I71" s="4" t="str">
        <x:v>Adquisición o identificación; no utilizada como contenido curricular.</x:v>
      </x:c>
      <x:c r="J71" s="4" t="str">
        <x:v>NO UTILIZADA EN LA PROPUESTA</x:v>
      </x:c>
      <x:c r="K71" s="4" t="n">
        <x:v>46273.83156618055</x:v>
      </x:c>
      <x:c r="L71" s="12" t="n">
        <x:f>COUNTIF('21_Fuentes_educativas'!$A$5:$A$188,A71)-1</x:f>
        <x:v>0</x:v>
      </x:c>
      <x:c r="M71" s="12" t="n">
        <x:f>IF(E71="CAPTURADO",IF(LEN(G71)=64,0,1),0)</x:f>
        <x:v>0</x:v>
      </x:c>
    </x:row>
    <x:row r="72" ht="47" customHeight="1">
      <x:c r="A72" s="4" t="str">
        <x:v>N019</x:v>
      </x:c>
      <x:c r="B72" s="4" t="str">
        <x:v>Cyber Security Industry Application</x:v>
      </x:c>
      <x:c r="C72" s="4" t="str">
        <x:v>https://www.handbook.unsw.edu.au/undergraduate/specialisations/2026/ZSPSA2</x:v>
      </x:c>
      <x:c r="D72" s="4" t="str">
        <x:v>https://www.handbook.unsw.edu.au/undergraduate/specialisations/2026/ZSPSA2</x:v>
      </x:c>
      <x:c r="E72" s="4" t="str">
        <x:v>CAPTURADO</x:v>
      </x:c>
      <x:c r="F72" s="4" t="str">
        <x:v>280635</x:v>
      </x:c>
      <x:c r="G72" s="4" t="str">
        <x:v>53754dc09e31e665e2da2c81f9f699579e329aa984d510aa1615076d747d4d49</x:v>
      </x:c>
      <x:c r="H72" s="4" t="str"/>
      <x:c r="I72" s="4" t="str">
        <x:v>Adquisición o identificación; no utilizada como contenido curricular.</x:v>
      </x:c>
      <x:c r="J72" s="4" t="str">
        <x:v>NO UTILIZADA EN LA PROPUESTA</x:v>
      </x:c>
      <x:c r="K72" s="4" t="n">
        <x:v>46273.83167063657</x:v>
      </x:c>
      <x:c r="L72" s="12" t="n">
        <x:f>COUNTIF('21_Fuentes_educativas'!$A$5:$A$188,A72)-1</x:f>
        <x:v>0</x:v>
      </x:c>
      <x:c r="M72" s="12" t="n">
        <x:f>IF(E72="CAPTURADO",IF(LEN(G72)=64,0,1),0)</x:f>
        <x:v>0</x:v>
      </x:c>
    </x:row>
    <x:row r="73" ht="47" customHeight="1">
      <x:c r="A73" s="4" t="str">
        <x:v>N020</x:v>
      </x:c>
      <x:c r="B73" s="4" t="str">
        <x:v>Intelligent Cyber Security</x:v>
      </x:c>
      <x:c r="C73" s="4" t="str">
        <x:v>https://www.handbook.unsw.edu.au/undergraduate/specialisations/2026/ZSPSB2</x:v>
      </x:c>
      <x:c r="D73" s="4" t="str">
        <x:v>https://www.handbook.unsw.edu.au/undergraduate/specialisations/2026/ZSPSB2</x:v>
      </x:c>
      <x:c r="E73" s="4" t="str">
        <x:v>CAPTURADO</x:v>
      </x:c>
      <x:c r="F73" s="4" t="str">
        <x:v>279671</x:v>
      </x:c>
      <x:c r="G73" s="4" t="str">
        <x:v>26a3add84ba3937a9deed6793fee31b48b2df03a5e7dd03cdc10eb9ae8655141</x:v>
      </x:c>
      <x:c r="H73" s="4" t="str"/>
      <x:c r="I73" s="4" t="str">
        <x:v>Plan, descripción o apartados utilizados; localizadores en 14–20.</x:v>
      </x:c>
      <x:c r="J73" s="4" t="str">
        <x:v>REFERENCIA_REVISADA</x:v>
      </x:c>
      <x:c r="K73" s="4" t="n">
        <x:v>46273.83165847222</x:v>
      </x:c>
      <x:c r="L73" s="12" t="n">
        <x:f>COUNTIF('21_Fuentes_educativas'!$A$5:$A$188,A73)-1</x:f>
        <x:v>0</x:v>
      </x:c>
      <x:c r="M73" s="12" t="n">
        <x:f>IF(E73="CAPTURADO",IF(LEN(G73)=64,0,1),0)</x:f>
        <x:v>0</x:v>
      </x:c>
    </x:row>
    <x:row r="74" ht="47" customHeight="1">
      <x:c r="A74" s="4" t="str">
        <x:v>N021</x:v>
      </x:c>
      <x:c r="B74" s="4" t="str">
        <x:v>Cyber Risk Management &amp; Incident Response</x:v>
      </x:c>
      <x:c r="C74" s="4" t="str">
        <x:v>https://www.handbook.unsw.edu.au/undergraduate/courses/2026/ZSPS3116</x:v>
      </x:c>
      <x:c r="D74" s="4" t="str">
        <x:v>https://www.handbook.unsw.edu.au/undergraduate/courses/2026/ZSPS3116</x:v>
      </x:c>
      <x:c r="E74" s="4" t="str">
        <x:v>CAPTURADO</x:v>
      </x:c>
      <x:c r="F74" s="4" t="str">
        <x:v>296101</x:v>
      </x:c>
      <x:c r="G74" s="4" t="str">
        <x:v>16b08f3428f62b57c0c8bc7f8ed7ffa72d28ac1801c132dc55b503f5f61525c4</x:v>
      </x:c>
      <x:c r="H74" s="4" t="str"/>
      <x:c r="I74" s="4" t="str">
        <x:v>Adquisición o identificación; no utilizada como contenido curricular.</x:v>
      </x:c>
      <x:c r="J74" s="4" t="str">
        <x:v>NO UTILIZADA EN LA PROPUESTA</x:v>
      </x:c>
      <x:c r="K74" s="4" t="n">
        <x:v>46273.831647465275</x:v>
      </x:c>
      <x:c r="L74" s="12" t="n">
        <x:f>COUNTIF('21_Fuentes_educativas'!$A$5:$A$188,A74)-1</x:f>
        <x:v>0</x:v>
      </x:c>
      <x:c r="M74" s="12" t="n">
        <x:f>IF(E74="CAPTURADO",IF(LEN(G74)=64,0,1),0)</x:f>
        <x:v>0</x:v>
      </x:c>
    </x:row>
    <x:row r="75" ht="47" customHeight="1">
      <x:c r="A75" s="4" t="str">
        <x:v>N022</x:v>
      </x:c>
      <x:c r="B75" s="4" t="str">
        <x:v>Capacity Planning of Computer Systems and Networks</x:v>
      </x:c>
      <x:c r="C75" s="4" t="str">
        <x:v>https://www.handbook.unsw.edu.au/undergraduate/courses/2026/COMP9334</x:v>
      </x:c>
      <x:c r="D75" s="4" t="str">
        <x:v>https://www.handbook.unsw.edu.au/undergraduate/courses/2026/COMP9334</x:v>
      </x:c>
      <x:c r="E75" s="4" t="str">
        <x:v>CAPTURADO</x:v>
      </x:c>
      <x:c r="F75" s="4" t="str">
        <x:v>308998</x:v>
      </x:c>
      <x:c r="G75" s="4" t="str">
        <x:v>229ffbf7c6420ad4c3a55cf18874fbe2333f945374459ded48e89895e6f4a335</x:v>
      </x:c>
      <x:c r="H75" s="4" t="str"/>
      <x:c r="I75" s="4" t="str">
        <x:v>Adquisición o identificación; no utilizada como contenido curricular.</x:v>
      </x:c>
      <x:c r="J75" s="4" t="str">
        <x:v>NO UTILIZADA EN LA PROPUESTA</x:v>
      </x:c>
      <x:c r="K75" s="4" t="n">
        <x:v>46273.83167283565</x:v>
      </x:c>
      <x:c r="L75" s="12" t="n">
        <x:f>COUNTIF('21_Fuentes_educativas'!$A$5:$A$188,A75)-1</x:f>
        <x:v>0</x:v>
      </x:c>
      <x:c r="M75" s="12" t="n">
        <x:f>IF(E75="CAPTURADO",IF(LEN(G75)=64,0,1),0)</x:f>
        <x:v>0</x:v>
      </x:c>
    </x:row>
    <x:row r="76" ht="47" customHeight="1">
      <x:c r="A76" s="4" t="str">
        <x:v>N023</x:v>
      </x:c>
      <x:c r="B76" s="4" t="str">
        <x:v>Human Computer Interaction</x:v>
      </x:c>
      <x:c r="C76" s="4" t="str">
        <x:v>https://www.handbook.unsw.edu.au/undergraduate/courses/2026/COMP3511</x:v>
      </x:c>
      <x:c r="D76" s="4" t="str">
        <x:v>https://www.handbook.unsw.edu.au/undergraduate/courses/2026/COMP3511</x:v>
      </x:c>
      <x:c r="E76" s="4" t="str">
        <x:v>CAPTURADO</x:v>
      </x:c>
      <x:c r="F76" s="4" t="str">
        <x:v>317381</x:v>
      </x:c>
      <x:c r="G76" s="4" t="str">
        <x:v>174f90ce8784ca4f21ebd32827167544a9c6871079f7a40d4ddf404b37e56456</x:v>
      </x:c>
      <x:c r="H76" s="4" t="str"/>
      <x:c r="I76" s="4" t="str">
        <x:v>Adquisición o identificación; no utilizada como contenido curricular.</x:v>
      </x:c>
      <x:c r="J76" s="4" t="str">
        <x:v>NO UTILIZADA EN LA PROPUESTA</x:v>
      </x:c>
      <x:c r="K76" s="4" t="n">
        <x:v>46273.831659710646</x:v>
      </x:c>
      <x:c r="L76" s="12" t="n">
        <x:f>COUNTIF('21_Fuentes_educativas'!$A$5:$A$188,A76)-1</x:f>
        <x:v>0</x:v>
      </x:c>
      <x:c r="M76" s="12" t="n">
        <x:f>IF(E76="CAPTURADO",IF(LEN(G76)=64,0,1),0)</x:f>
        <x:v>0</x:v>
      </x:c>
    </x:row>
    <x:row r="77" ht="47" customHeight="1">
      <x:c r="A77" s="4" t="str">
        <x:v>N024</x:v>
      </x:c>
      <x:c r="B77" s="4" t="str">
        <x:v>Robotic Software Architecture</x:v>
      </x:c>
      <x:c r="C77" s="4" t="str">
        <x:v>https://www.handbook.unsw.edu.au/undergraduate/courses/2026/COMP3431</x:v>
      </x:c>
      <x:c r="D77" s="4" t="str">
        <x:v>https://www.handbook.unsw.edu.au/undergraduate/courses/2026/COMP3431</x:v>
      </x:c>
      <x:c r="E77" s="4" t="str">
        <x:v>CAPTURADO</x:v>
      </x:c>
      <x:c r="F77" s="4" t="str">
        <x:v>304791</x:v>
      </x:c>
      <x:c r="G77" s="4" t="str">
        <x:v>03666ded629ebc14eff462b8291d0f8c5ad4e1e572fc52c7e66318ea18f466e3</x:v>
      </x:c>
      <x:c r="H77" s="4" t="str"/>
      <x:c r="I77" s="4" t="str">
        <x:v>Adquisición o identificación; no utilizada como contenido curricular.</x:v>
      </x:c>
      <x:c r="J77" s="4" t="str">
        <x:v>NO UTILIZADA EN LA PROPUESTA</x:v>
      </x:c>
      <x:c r="K77" s="4" t="n">
        <x:v>46273.831674189816</x:v>
      </x:c>
      <x:c r="L77" s="12" t="n">
        <x:f>COUNTIF('21_Fuentes_educativas'!$A$5:$A$188,A77)-1</x:f>
        <x:v>0</x:v>
      </x:c>
      <x:c r="M77" s="12" t="n">
        <x:f>IF(E77="CAPTURADO",IF(LEN(G77)=64,0,1),0)</x:f>
        <x:v>0</x:v>
      </x:c>
    </x:row>
    <x:row r="78" ht="47" customHeight="1">
      <x:c r="A78" s="4" t="str">
        <x:v>N025</x:v>
      </x:c>
      <x:c r="B78" s="4" t="str">
        <x:v>Entrepreneurial Ecosystems</x:v>
      </x:c>
      <x:c r="C78" s="4" t="str">
        <x:v>https://www.handbook.unsw.edu.au/undergraduate/courses/2026/COMM1040</x:v>
      </x:c>
      <x:c r="D78" s="4" t="str">
        <x:v>https://www.handbook.unsw.edu.au/undergraduate/courses/2026/COMM1040</x:v>
      </x:c>
      <x:c r="E78" s="4" t="str">
        <x:v>CAPTURADO</x:v>
      </x:c>
      <x:c r="F78" s="4" t="str">
        <x:v>320382</x:v>
      </x:c>
      <x:c r="G78" s="4" t="str">
        <x:v>be9a7557a509c5c587074028fe4c4b3738dbdcd7388acb3515fec65cb2b5a3ce</x:v>
      </x:c>
      <x:c r="H78" s="4" t="str"/>
      <x:c r="I78" s="4" t="str">
        <x:v>Adquisición o identificación; no utilizada como contenido curricular.</x:v>
      </x:c>
      <x:c r="J78" s="4" t="str">
        <x:v>NO UTILIZADA EN LA PROPUESTA</x:v>
      </x:c>
      <x:c r="K78" s="4" t="n">
        <x:v>46273.83176231482</x:v>
      </x:c>
      <x:c r="L78" s="12" t="n">
        <x:f>COUNTIF('21_Fuentes_educativas'!$A$5:$A$188,A78)-1</x:f>
        <x:v>0</x:v>
      </x:c>
      <x:c r="M78" s="12" t="n">
        <x:f>IF(E78="CAPTURADO",IF(LEN(G78)=64,0,1),0)</x:f>
        <x:v>0</x:v>
      </x:c>
    </x:row>
    <x:row r="79" ht="47" customHeight="1">
      <x:c r="A79" s="4" t="str">
        <x:v>N026</x:v>
      </x:c>
      <x:c r="B79" s="4" t="str">
        <x:v>Creating Social Change: From Innovation to Impact</x:v>
      </x:c>
      <x:c r="C79" s="4" t="str">
        <x:v>https://www.handbook.unsw.edu.au/undergraduate/courses/2026/COMM2000</x:v>
      </x:c>
      <x:c r="D79" s="4" t="str">
        <x:v>https://www.handbook.unsw.edu.au/undergraduate/courses/2026/COMM2000</x:v>
      </x:c>
      <x:c r="E79" s="4" t="str">
        <x:v>CAPTURADO</x:v>
      </x:c>
      <x:c r="F79" s="4" t="str">
        <x:v>315377</x:v>
      </x:c>
      <x:c r="G79" s="4" t="str">
        <x:v>5f950e94c2edc8ad72817e888004559dbf1450bb8e7c8940c03a521951e0e979</x:v>
      </x:c>
      <x:c r="H79" s="4" t="str"/>
      <x:c r="I79" s="4" t="str">
        <x:v>Adquisición o identificación; no utilizada como contenido curricular.</x:v>
      </x:c>
      <x:c r="J79" s="4" t="str">
        <x:v>NO UTILIZADA EN LA PROPUESTA</x:v>
      </x:c>
      <x:c r="K79" s="4" t="n">
        <x:v>46273.831762141206</x:v>
      </x:c>
      <x:c r="L79" s="12" t="n">
        <x:f>COUNTIF('21_Fuentes_educativas'!$A$5:$A$188,A79)-1</x:f>
        <x:v>0</x:v>
      </x:c>
      <x:c r="M79" s="12" t="n">
        <x:f>IF(E79="CAPTURADO",IF(LEN(G79)=64,0,1),0)</x:f>
        <x:v>0</x:v>
      </x:c>
    </x:row>
    <x:row r="80" ht="47" customHeight="1">
      <x:c r="A80" s="4" t="str">
        <x:v>N027</x:v>
      </x:c>
      <x:c r="B80" s="4" t="str">
        <x:v>Future of Work Project</x:v>
      </x:c>
      <x:c r="C80" s="4" t="str">
        <x:v>https://www.handbook.unsw.edu.au/undergraduate/courses/2026/COMM2244</x:v>
      </x:c>
      <x:c r="D80" s="4" t="str">
        <x:v>https://www.handbook.unsw.edu.au/undergraduate/courses/2026/COMM2244</x:v>
      </x:c>
      <x:c r="E80" s="4" t="str">
        <x:v>CAPTURADO</x:v>
      </x:c>
      <x:c r="F80" s="4" t="str">
        <x:v>313477</x:v>
      </x:c>
      <x:c r="G80" s="4" t="str">
        <x:v>274c9bf173e2dc628607694e541c8badd22704638cb3f916501e622b643ef415</x:v>
      </x:c>
      <x:c r="H80" s="4" t="str"/>
      <x:c r="I80" s="4" t="str">
        <x:v>Adquisición o identificación; no utilizada como contenido curricular.</x:v>
      </x:c>
      <x:c r="J80" s="4" t="str">
        <x:v>NO UTILIZADA EN LA PROPUESTA</x:v>
      </x:c>
      <x:c r="K80" s="4" t="n">
        <x:v>46273.83173831018</x:v>
      </x:c>
      <x:c r="L80" s="12" t="n">
        <x:f>COUNTIF('21_Fuentes_educativas'!$A$5:$A$188,A80)-1</x:f>
        <x:v>0</x:v>
      </x:c>
      <x:c r="M80" s="12" t="n">
        <x:f>IF(E80="CAPTURADO",IF(LEN(G80)=64,0,1),0)</x:f>
        <x:v>0</x:v>
      </x:c>
    </x:row>
    <x:row r="81" ht="47" customHeight="1">
      <x:c r="A81" s="4" t="str">
        <x:v>N028</x:v>
      </x:c>
      <x:c r="B81" s="4" t="str">
        <x:v>Understanding Human Rights</x:v>
      </x:c>
      <x:c r="C81" s="4" t="str">
        <x:v>https://www.handbook.unsw.edu.au/undergraduate/courses/2026/GENL1062</x:v>
      </x:c>
      <x:c r="D81" s="4" t="str">
        <x:v>https://www.handbook.unsw.edu.au/undergraduate/courses/2026/GENL1062</x:v>
      </x:c>
      <x:c r="E81" s="4" t="str">
        <x:v>CAPTURADO</x:v>
      </x:c>
      <x:c r="F81" s="4" t="str">
        <x:v>316579</x:v>
      </x:c>
      <x:c r="G81" s="4" t="str">
        <x:v>93218deadc7f8f7444a7091fd39bcdf281f4dd38442d2ed98ae8c803639b3997</x:v>
      </x:c>
      <x:c r="H81" s="4" t="str"/>
      <x:c r="I81" s="4" t="str">
        <x:v>Adquisición o identificación; no utilizada como contenido curricular.</x:v>
      </x:c>
      <x:c r="J81" s="4" t="str">
        <x:v>NO UTILIZADA EN LA PROPUESTA</x:v>
      </x:c>
      <x:c r="K81" s="4" t="n">
        <x:v>46273.831763483795</x:v>
      </x:c>
      <x:c r="L81" s="12" t="n">
        <x:f>COUNTIF('21_Fuentes_educativas'!$A$5:$A$188,A81)-1</x:f>
        <x:v>0</x:v>
      </x:c>
      <x:c r="M81" s="12" t="n">
        <x:f>IF(E81="CAPTURADO",IF(LEN(G81)=64,0,1),0)</x:f>
        <x:v>0</x:v>
      </x:c>
    </x:row>
    <x:row r="82" ht="47" customHeight="1">
      <x:c r="A82" s="4" t="str">
        <x:v>N029</x:v>
      </x:c>
      <x:c r="B82" s="4" t="str">
        <x:v>Big Tech, AI and the Law  </x:v>
      </x:c>
      <x:c r="C82" s="4" t="str">
        <x:v>https://www.handbook.unsw.edu.au/undergraduate/courses/2026/GENL2033</x:v>
      </x:c>
      <x:c r="D82" s="4" t="str">
        <x:v>https://www.handbook.unsw.edu.au/undergraduate/courses/2026/GENL2033</x:v>
      </x:c>
      <x:c r="E82" s="4" t="str">
        <x:v>CAPTURADO</x:v>
      </x:c>
      <x:c r="F82" s="4" t="str">
        <x:v>306123</x:v>
      </x:c>
      <x:c r="G82" s="4" t="str">
        <x:v>3134c051d02fcac902bdfa1bb78d1d4bc46f5f4ec292e7cf1319fcecc251e6ce</x:v>
      </x:c>
      <x:c r="H82" s="4" t="str"/>
      <x:c r="I82" s="4" t="str">
        <x:v>Adquisición o identificación; no utilizada como contenido curricular.</x:v>
      </x:c>
      <x:c r="J82" s="4" t="str">
        <x:v>NO UTILIZADA EN LA PROPUESTA</x:v>
      </x:c>
      <x:c r="K82" s="4" t="n">
        <x:v>46273.83175888889</x:v>
      </x:c>
      <x:c r="L82" s="12" t="n">
        <x:f>COUNTIF('21_Fuentes_educativas'!$A$5:$A$188,A82)-1</x:f>
        <x:v>0</x:v>
      </x:c>
      <x:c r="M82" s="12" t="n">
        <x:f>IF(E82="CAPTURADO",IF(LEN(G82)=64,0,1),0)</x:f>
        <x:v>0</x:v>
      </x:c>
    </x:row>
    <x:row r="83" ht="47" customHeight="1">
      <x:c r="A83" s="4" t="str">
        <x:v>N030</x:v>
      </x:c>
      <x:c r="B83" s="4" t="str">
        <x:v>International Relations and Sport</x:v>
      </x:c>
      <x:c r="C83" s="4" t="str">
        <x:v>https://www.handbook.unsw.edu.au/undergraduate/courses/2026/GENL0252</x:v>
      </x:c>
      <x:c r="D83" s="4" t="str">
        <x:v>https://www.handbook.unsw.edu.au/undergraduate/courses/2026/GENL0252</x:v>
      </x:c>
      <x:c r="E83" s="4" t="str">
        <x:v>CAPTURADO</x:v>
      </x:c>
      <x:c r="F83" s="4" t="str">
        <x:v>308265</x:v>
      </x:c>
      <x:c r="G83" s="4" t="str">
        <x:v>691cbcc6ab7f118dcc842dcbd33c61a96959fb87df6f913dce66520ddccba985</x:v>
      </x:c>
      <x:c r="H83" s="4" t="str"/>
      <x:c r="I83" s="4" t="str">
        <x:v>Adquisición o identificación; no utilizada como contenido curricular.</x:v>
      </x:c>
      <x:c r="J83" s="4" t="str">
        <x:v>NO UTILIZADA EN LA PROPUESTA</x:v>
      </x:c>
      <x:c r="K83" s="4" t="n">
        <x:v>46273.83176217593</x:v>
      </x:c>
      <x:c r="L83" s="12" t="n">
        <x:f>COUNTIF('21_Fuentes_educativas'!$A$5:$A$188,A83)-1</x:f>
        <x:v>0</x:v>
      </x:c>
      <x:c r="M83" s="12" t="n">
        <x:f>IF(E83="CAPTURADO",IF(LEN(G83)=64,0,1),0)</x:f>
        <x:v>0</x:v>
      </x:c>
    </x:row>
    <x:row r="84" ht="47" customHeight="1">
      <x:c r="A84" s="4" t="str">
        <x:v>R001</x:v>
      </x:c>
      <x:c r="B84" s="4" t="str">
        <x:v>FUNDAMENTOS FISICOS DE LA INFORMATICA</x:v>
      </x:c>
      <x:c r="C84" s="4" t="str">
        <x:v>https://gestion3.urjc.es/guiasdocentes/pdfGuia.jsp?txtAsignatura=2285001&amp;txtTitulacion=2285&amp;txtCursoAcademico=2026-27</x:v>
      </x:c>
      <x:c r="D84" s="4" t="str">
        <x:v>https://servicios.urjc.es/guiasdocentes/pdfGuia.jsp?txtAsignatura=2285001&amp;txtTitulacion=2285&amp;txtCursoAcademico=2026-27</x:v>
      </x:c>
      <x:c r="E84" s="4" t="str">
        <x:v>CAPTURADO</x:v>
      </x:c>
      <x:c r="F84" s="4" t="str">
        <x:v>254990</x:v>
      </x:c>
      <x:c r="G84" s="4" t="str">
        <x:v>7a86fe97ccbd6fbc869a88f5956df06de9f8c908b3a555c1f08756e8857ca687</x:v>
      </x:c>
      <x:c r="H84" s="4" t="str">
        <x:v>11</x:v>
      </x:c>
      <x:c r="I84" s="4" t="str">
        <x:v>II y IV: lectura curricular; III: códigos de resultados extraídos. Identidad y contenido contrastados.</x:v>
      </x:c>
      <x:c r="J84" s="4" t="str">
        <x:v>CURRICULAR_REVISADA</x:v>
      </x:c>
      <x:c r="K84" s="4" t="n">
        <x:v>46273.83002190972</x:v>
      </x:c>
      <x:c r="L84" s="12" t="n">
        <x:f>COUNTIF('21_Fuentes_educativas'!$A$5:$A$188,A84)-1</x:f>
        <x:v>0</x:v>
      </x:c>
      <x:c r="M84" s="12" t="n">
        <x:f>IF(E84="CAPTURADO",IF(LEN(G84)=64,0,1),0)</x:f>
        <x:v>0</x:v>
      </x:c>
    </x:row>
    <x:row r="85" ht="47" customHeight="1">
      <x:c r="A85" s="4" t="str">
        <x:v>R002</x:v>
      </x:c>
      <x:c r="B85" s="4" t="str">
        <x:v>INTRODUCCION A LA CIBERSEGURIDAD</x:v>
      </x:c>
      <x:c r="C85" s="4" t="str">
        <x:v>https://gestion3.urjc.es/guiasdocentes/pdfGuia.jsp?txtAsignatura=2285002&amp;txtTitulacion=2285&amp;txtCursoAcademico=2026-27</x:v>
      </x:c>
      <x:c r="D85" s="4" t="str">
        <x:v>https://servicios.urjc.es/guiasdocentes/pdfGuia.jsp?txtAsignatura=2285002&amp;txtTitulacion=2285&amp;txtCursoAcademico=2026-27</x:v>
      </x:c>
      <x:c r="E85" s="4" t="str">
        <x:v>CAPTURADO</x:v>
      </x:c>
      <x:c r="F85" s="4" t="str">
        <x:v>256731</x:v>
      </x:c>
      <x:c r="G85" s="4" t="str">
        <x:v>65f71204ec2a42a8d52dc6310404dec67262cd3e214a592acd39b9d1c75dad9b</x:v>
      </x:c>
      <x:c r="H85" s="4" t="str">
        <x:v>11</x:v>
      </x:c>
      <x:c r="I85" s="4" t="str">
        <x:v>II y IV: lectura curricular; III: códigos de resultados extraídos. Identidad y contenido contrastados.</x:v>
      </x:c>
      <x:c r="J85" s="4" t="str">
        <x:v>CURRICULAR_REVISADA</x:v>
      </x:c>
      <x:c r="K85" s="4" t="n">
        <x:v>46273.83027726852</x:v>
      </x:c>
      <x:c r="L85" s="12" t="n">
        <x:f>COUNTIF('21_Fuentes_educativas'!$A$5:$A$188,A85)-1</x:f>
        <x:v>0</x:v>
      </x:c>
      <x:c r="M85" s="12" t="n">
        <x:f>IF(E85="CAPTURADO",IF(LEN(G85)=64,0,1),0)</x:f>
        <x:v>0</x:v>
      </x:c>
    </x:row>
    <x:row r="86" ht="47" customHeight="1">
      <x:c r="A86" s="4" t="str">
        <x:v>R003</x:v>
      </x:c>
      <x:c r="B86" s="4" t="str">
        <x:v>INTRODUCCION A LA PROGRAMACION</x:v>
      </x:c>
      <x:c r="C86" s="4" t="str">
        <x:v>https://gestion3.urjc.es/guiasdocentes/pdfGuia.jsp?txtAsignatura=2285003&amp;txtTitulacion=2285&amp;txtCursoAcademico=2026-27</x:v>
      </x:c>
      <x:c r="D86" s="4" t="str">
        <x:v>https://servicios.urjc.es/guiasdocentes/pdfGuia.jsp?txtAsignatura=2285003&amp;txtTitulacion=2285&amp;txtCursoAcademico=2026-27</x:v>
      </x:c>
      <x:c r="E86" s="4" t="str">
        <x:v>CAPTURADO</x:v>
      </x:c>
      <x:c r="F86" s="4" t="str">
        <x:v>261305</x:v>
      </x:c>
      <x:c r="G86" s="4" t="str">
        <x:v>2799acb3657da92344d8b0ef05650b0c661de473a21adc76dd79a4cebc503635</x:v>
      </x:c>
      <x:c r="H86" s="4" t="str">
        <x:v>11</x:v>
      </x:c>
      <x:c r="I86" s="4" t="str">
        <x:v>II y IV: lectura curricular; III: códigos de resultados extraídos. Identidad y contenido contrastados.</x:v>
      </x:c>
      <x:c r="J86" s="4" t="str">
        <x:v>CURRICULAR_REVISADA</x:v>
      </x:c>
      <x:c r="K86" s="4" t="n">
        <x:v>46273.83053320602</x:v>
      </x:c>
      <x:c r="L86" s="12" t="n">
        <x:f>COUNTIF('21_Fuentes_educativas'!$A$5:$A$188,A86)-1</x:f>
        <x:v>0</x:v>
      </x:c>
      <x:c r="M86" s="12" t="n">
        <x:f>IF(E86="CAPTURADO",IF(LEN(G86)=64,0,1),0)</x:f>
        <x:v>0</x:v>
      </x:c>
    </x:row>
    <x:row r="87" ht="47" customHeight="1">
      <x:c r="A87" s="4" t="str">
        <x:v>R004</x:v>
      </x:c>
      <x:c r="B87" s="4" t="str">
        <x:v>LOGICA</x:v>
      </x:c>
      <x:c r="C87" s="4" t="str">
        <x:v>https://gestion3.urjc.es/guiasdocentes/pdfGuia.jsp?txtAsignatura=2285004&amp;txtTitulacion=2285&amp;txtCursoAcademico=2026-27</x:v>
      </x:c>
      <x:c r="D87" s="4" t="str">
        <x:v>https://servicios.urjc.es/guiasdocentes/pdfGuia.jsp?txtAsignatura=2285004&amp;txtTitulacion=2285&amp;txtCursoAcademico=2026-27</x:v>
      </x:c>
      <x:c r="E87" s="4" t="str">
        <x:v>CAPTURADO</x:v>
      </x:c>
      <x:c r="F87" s="4" t="str">
        <x:v>240994</x:v>
      </x:c>
      <x:c r="G87" s="4" t="str">
        <x:v>ec4de8fc685f03fd4b6fcd918ef9078cb4ce118547ff1b2d6f9bd84d25d7ebf5</x:v>
      </x:c>
      <x:c r="H87" s="4" t="str">
        <x:v>10</x:v>
      </x:c>
      <x:c r="I87" s="4" t="str">
        <x:v>II y IV: lectura curricular; III: códigos de resultados extraídos. Identidad y contenido contrastados.</x:v>
      </x:c>
      <x:c r="J87" s="4" t="str">
        <x:v>CURRICULAR_REVISADA</x:v>
      </x:c>
      <x:c r="K87" s="4" t="n">
        <x:v>46273.8307909838</x:v>
      </x:c>
      <x:c r="L87" s="12" t="n">
        <x:f>COUNTIF('21_Fuentes_educativas'!$A$5:$A$188,A87)-1</x:f>
        <x:v>0</x:v>
      </x:c>
      <x:c r="M87" s="12" t="n">
        <x:f>IF(E87="CAPTURADO",IF(LEN(G87)=64,0,1),0)</x:f>
        <x:v>0</x:v>
      </x:c>
    </x:row>
    <x:row r="88" ht="47" customHeight="1">
      <x:c r="A88" s="4" t="str">
        <x:v>R005</x:v>
      </x:c>
      <x:c r="B88" s="4" t="str">
        <x:v>MATEMATICA DISCRETA Y ALGEBRA</x:v>
      </x:c>
      <x:c r="C88" s="4" t="str">
        <x:v>https://gestion3.urjc.es/guiasdocentes/pdfGuia.jsp?txtAsignatura=2285005&amp;txtTitulacion=2285&amp;txtCursoAcademico=2026-27</x:v>
      </x:c>
      <x:c r="D88" s="4" t="str">
        <x:v>https://servicios.urjc.es/guiasdocentes/pdfGuia.jsp?txtAsignatura=2285005&amp;txtTitulacion=2285&amp;txtCursoAcademico=2026-27</x:v>
      </x:c>
      <x:c r="E88" s="4" t="str">
        <x:v>CAPTURADO</x:v>
      </x:c>
      <x:c r="F88" s="4" t="str">
        <x:v>263194</x:v>
      </x:c>
      <x:c r="G88" s="4" t="str">
        <x:v>2b93570b279b512d512199b89658c3299d13b0075a0b3e7bba84f3124fb37542</x:v>
      </x:c>
      <x:c r="H88" s="4" t="str">
        <x:v>11</x:v>
      </x:c>
      <x:c r="I88" s="4" t="str">
        <x:v>II y IV: lectura curricular; III: códigos de resultados extraídos. Identidad y contenido contrastados.</x:v>
      </x:c>
      <x:c r="J88" s="4" t="str">
        <x:v>CURRICULAR_REVISADA</x:v>
      </x:c>
      <x:c r="K88" s="4" t="n">
        <x:v>46273.83106869213</x:v>
      </x:c>
      <x:c r="L88" s="12" t="n">
        <x:f>COUNTIF('21_Fuentes_educativas'!$A$5:$A$188,A88)-1</x:f>
        <x:v>0</x:v>
      </x:c>
      <x:c r="M88" s="12" t="n">
        <x:f>IF(E88="CAPTURADO",IF(LEN(G88)=64,0,1),0)</x:f>
        <x:v>0</x:v>
      </x:c>
    </x:row>
    <x:row r="89" ht="47" customHeight="1">
      <x:c r="A89" s="4" t="str">
        <x:v>R006</x:v>
      </x:c>
      <x:c r="B89" s="4" t="str">
        <x:v>CALCULO</x:v>
      </x:c>
      <x:c r="C89" s="4" t="str">
        <x:v>https://gestion3.urjc.es/guiasdocentes/pdfGuia.jsp?txtAsignatura=2285006&amp;txtTitulacion=2285&amp;txtCursoAcademico=2026-27</x:v>
      </x:c>
      <x:c r="D89" s="4" t="str">
        <x:v>https://servicios.urjc.es/guiasdocentes/pdfGuia.jsp?txtAsignatura=2285006&amp;txtTitulacion=2285&amp;txtCursoAcademico=2026-27</x:v>
      </x:c>
      <x:c r="E89" s="4" t="str">
        <x:v>CAPTURADO</x:v>
      </x:c>
      <x:c r="F89" s="4" t="str">
        <x:v>260726</x:v>
      </x:c>
      <x:c r="G89" s="4" t="str">
        <x:v>3a3875fd4d077876f4918bc974e217afa3408202f710a18a4fb647c538a0c134</x:v>
      </x:c>
      <x:c r="H89" s="4" t="str">
        <x:v>11</x:v>
      </x:c>
      <x:c r="I89" s="4" t="str">
        <x:v>II y IV: lectura curricular; III: códigos de resultados extraídos. Identidad y contenido contrastados.</x:v>
      </x:c>
      <x:c r="J89" s="4" t="str">
        <x:v>CURRICULAR_REVISADA</x:v>
      </x:c>
      <x:c r="K89" s="4" t="n">
        <x:v>46273.83130478009</x:v>
      </x:c>
      <x:c r="L89" s="12" t="n">
        <x:f>COUNTIF('21_Fuentes_educativas'!$A$5:$A$188,A89)-1</x:f>
        <x:v>0</x:v>
      </x:c>
      <x:c r="M89" s="12" t="n">
        <x:f>IF(E89="CAPTURADO",IF(LEN(G89)=64,0,1),0)</x:f>
        <x:v>0</x:v>
      </x:c>
    </x:row>
    <x:row r="90" ht="47" customHeight="1">
      <x:c r="A90" s="4" t="str">
        <x:v>R007</x:v>
      </x:c>
      <x:c r="B90" s="4" t="str">
        <x:v>CRIPTOGRAFIA</x:v>
      </x:c>
      <x:c r="C90" s="4" t="str">
        <x:v>https://gestion3.urjc.es/guiasdocentes/pdfGuia.jsp?txtAsignatura=2285007&amp;txtTitulacion=2285&amp;txtCursoAcademico=2026-27</x:v>
      </x:c>
      <x:c r="D90" s="4" t="str">
        <x:v>https://servicios.urjc.es/guiasdocentes/pdfGuia.jsp?txtAsignatura=2285007&amp;txtTitulacion=2285&amp;txtCursoAcademico=2026-27</x:v>
      </x:c>
      <x:c r="E90" s="4" t="str">
        <x:v>CAPTURADO</x:v>
      </x:c>
      <x:c r="F90" s="4" t="str">
        <x:v>276448</x:v>
      </x:c>
      <x:c r="G90" s="4" t="str">
        <x:v>4a92430c8179d6cb4fbde6b8291837f079207e954edaa2f3108b8d1b5429b228</x:v>
      </x:c>
      <x:c r="H90" s="4" t="str">
        <x:v>12</x:v>
      </x:c>
      <x:c r="I90" s="4" t="str">
        <x:v>II y IV: lectura curricular; III: códigos de resultados extraídos. Identidad y contenido contrastados.</x:v>
      </x:c>
      <x:c r="J90" s="4" t="str">
        <x:v>CURRICULAR_REVISADA</x:v>
      </x:c>
      <x:c r="K90" s="4" t="n">
        <x:v>46273.831711527775</x:v>
      </x:c>
      <x:c r="L90" s="12" t="n">
        <x:f>COUNTIF('21_Fuentes_educativas'!$A$5:$A$188,A90)-1</x:f>
        <x:v>0</x:v>
      </x:c>
      <x:c r="M90" s="12" t="n">
        <x:f>IF(E90="CAPTURADO",IF(LEN(G90)=64,0,1),0)</x:f>
        <x:v>0</x:v>
      </x:c>
    </x:row>
    <x:row r="91" ht="47" customHeight="1">
      <x:c r="A91" s="4" t="str">
        <x:v>R008</x:v>
      </x:c>
      <x:c r="B91" s="4" t="str">
        <x:v>DIMENSIONES Y MODELO DE LA SEGURIDAD</x:v>
      </x:c>
      <x:c r="C91" s="4" t="str">
        <x:v>https://gestion3.urjc.es/guiasdocentes/pdfGuia.jsp?txtAsignatura=2285008&amp;txtTitulacion=2285&amp;txtCursoAcademico=2026-27</x:v>
      </x:c>
      <x:c r="D91" s="4" t="str">
        <x:v>https://servicios.urjc.es/guiasdocentes/pdfGuia.jsp?txtAsignatura=2285008&amp;txtTitulacion=2285&amp;txtCursoAcademico=2026-27</x:v>
      </x:c>
      <x:c r="E91" s="4" t="str">
        <x:v>CAPTURADO</x:v>
      </x:c>
      <x:c r="F91" s="4" t="str">
        <x:v>244396</x:v>
      </x:c>
      <x:c r="G91" s="4" t="str">
        <x:v>66f03609162789eb126ef5d82681953692ef1bb13be1c8251031a4abba09f79f</x:v>
      </x:c>
      <x:c r="H91" s="4" t="str">
        <x:v>10</x:v>
      </x:c>
      <x:c r="I91" s="4" t="str">
        <x:v>II y IV: lectura curricular; III: códigos de resultados extraídos. Identidad y contenido contrastados.</x:v>
      </x:c>
      <x:c r="J91" s="4" t="str">
        <x:v>CURRICULAR_REVISADA</x:v>
      </x:c>
      <x:c r="K91" s="4" t="n">
        <x:v>46273.831964282406</x:v>
      </x:c>
      <x:c r="L91" s="12" t="n">
        <x:f>COUNTIF('21_Fuentes_educativas'!$A$5:$A$188,A91)-1</x:f>
        <x:v>0</x:v>
      </x:c>
      <x:c r="M91" s="12" t="n">
        <x:f>IF(E91="CAPTURADO",IF(LEN(G91)=64,0,1),0)</x:f>
        <x:v>0</x:v>
      </x:c>
    </x:row>
    <x:row r="92" ht="47" customHeight="1">
      <x:c r="A92" s="4" t="str">
        <x:v>R009</x:v>
      </x:c>
      <x:c r="B92" s="4" t="str">
        <x:v>ESTADISTICA</x:v>
      </x:c>
      <x:c r="C92" s="4" t="str">
        <x:v>https://gestion3.urjc.es/guiasdocentes/pdfGuia.jsp?txtAsignatura=2285009&amp;txtTitulacion=2285&amp;txtCursoAcademico=2026-27</x:v>
      </x:c>
      <x:c r="D92" s="4" t="str">
        <x:v>https://servicios.urjc.es/guiasdocentes/pdfGuia.jsp?txtAsignatura=2285009&amp;txtTitulacion=2285&amp;txtCursoAcademico=2026-27</x:v>
      </x:c>
      <x:c r="E92" s="4" t="str">
        <x:v>CAPTURADO</x:v>
      </x:c>
      <x:c r="F92" s="4" t="str">
        <x:v>234897</x:v>
      </x:c>
      <x:c r="G92" s="4" t="str">
        <x:v>16d200dfa93afae5a9259cf199fd4be17c95e51af4417dc2fbe0f8a9ac903a6f</x:v>
      </x:c>
      <x:c r="H92" s="4" t="str">
        <x:v>10</x:v>
      </x:c>
      <x:c r="I92" s="4" t="str">
        <x:v>II y IV: lectura curricular; III: códigos de resultados extraídos. Identidad y contenido contrastados.</x:v>
      </x:c>
      <x:c r="J92" s="4" t="str">
        <x:v>CURRICULAR_REVISADA</x:v>
      </x:c>
      <x:c r="K92" s="4" t="n">
        <x:v>46273.83222039352</x:v>
      </x:c>
      <x:c r="L92" s="12" t="n">
        <x:f>COUNTIF('21_Fuentes_educativas'!$A$5:$A$188,A92)-1</x:f>
        <x:v>0</x:v>
      </x:c>
      <x:c r="M92" s="12" t="n">
        <x:f>IF(E92="CAPTURADO",IF(LEN(G92)=64,0,1),0)</x:f>
        <x:v>0</x:v>
      </x:c>
    </x:row>
    <x:row r="93" ht="47" customHeight="1">
      <x:c r="A93" s="4" t="str">
        <x:v>R010</x:v>
      </x:c>
      <x:c r="B93" s="4" t="str">
        <x:v>ESTRUCTURAS DE DATOS</x:v>
      </x:c>
      <x:c r="C93" s="4" t="str">
        <x:v>https://gestion3.urjc.es/guiasdocentes/pdfGuia.jsp?txtAsignatura=2285010&amp;txtTitulacion=2285&amp;txtCursoAcademico=2026-27</x:v>
      </x:c>
      <x:c r="D93" s="4" t="str">
        <x:v>https://servicios.urjc.es/guiasdocentes/pdfGuia.jsp?txtAsignatura=2285010&amp;txtTitulacion=2285&amp;txtCursoAcademico=2026-27</x:v>
      </x:c>
      <x:c r="E93" s="4" t="str">
        <x:v>CAPTURADO</x:v>
      </x:c>
      <x:c r="F93" s="4" t="str">
        <x:v>282245</x:v>
      </x:c>
      <x:c r="G93" s="4" t="str">
        <x:v>a64f1e5e5d8c98920a06723a59db00fb7ef641b33d8045fec866bf87b88f85fe</x:v>
      </x:c>
      <x:c r="H93" s="4" t="str">
        <x:v>12</x:v>
      </x:c>
      <x:c r="I93" s="4" t="str">
        <x:v>II y IV: lectura curricular; III: códigos de resultados extraídos. Identidad y contenido contrastados.</x:v>
      </x:c>
      <x:c r="J93" s="4" t="str">
        <x:v>CURRICULAR_REVISADA</x:v>
      </x:c>
      <x:c r="K93" s="4" t="n">
        <x:v>46273.83246287037</x:v>
      </x:c>
      <x:c r="L93" s="12" t="n">
        <x:f>COUNTIF('21_Fuentes_educativas'!$A$5:$A$188,A93)-1</x:f>
        <x:v>0</x:v>
      </x:c>
      <x:c r="M93" s="12" t="n">
        <x:f>IF(E93="CAPTURADO",IF(LEN(G93)=64,0,1),0)</x:f>
        <x:v>0</x:v>
      </x:c>
    </x:row>
    <x:row r="94" ht="47" customHeight="1">
      <x:c r="A94" s="4" t="str">
        <x:v>R011</x:v>
      </x:c>
      <x:c r="B94" s="4" t="str">
        <x:v>METODOS OPERATIVOS Y ESTADISTICOS DE GESTION</x:v>
      </x:c>
      <x:c r="C94" s="4" t="str">
        <x:v>https://gestion3.urjc.es/guiasdocentes/pdfGuia.jsp?txtAsignatura=2285011&amp;txtTitulacion=2285&amp;txtCursoAcademico=2026-27</x:v>
      </x:c>
      <x:c r="D94" s="4" t="str">
        <x:v>https://servicios.urjc.es/guiasdocentes/pdfGuia.jsp?txtAsignatura=2285011&amp;txtTitulacion=2285&amp;txtCursoAcademico=2026-27</x:v>
      </x:c>
      <x:c r="E94" s="4" t="str">
        <x:v>CAPTURADO</x:v>
      </x:c>
      <x:c r="F94" s="4" t="str">
        <x:v>242475</x:v>
      </x:c>
      <x:c r="G94" s="4" t="str">
        <x:v>e74bfbb745292ca76d0f47cd70a8d4eeaff9a879f02865a8084a20d70b1fac6b</x:v>
      </x:c>
      <x:c r="H94" s="4" t="str">
        <x:v>10</x:v>
      </x:c>
      <x:c r="I94" s="4" t="str">
        <x:v>II y IV: lectura curricular; III: códigos de resultados extraídos. Identidad y contenido contrastados.</x:v>
      </x:c>
      <x:c r="J94" s="4" t="str">
        <x:v>CURRICULAR_REVISADA</x:v>
      </x:c>
      <x:c r="K94" s="4" t="n">
        <x:v>46273.83271927083</x:v>
      </x:c>
      <x:c r="L94" s="12" t="n">
        <x:f>COUNTIF('21_Fuentes_educativas'!$A$5:$A$188,A94)-1</x:f>
        <x:v>0</x:v>
      </x:c>
      <x:c r="M94" s="12" t="n">
        <x:f>IF(E94="CAPTURADO",IF(LEN(G94)=64,0,1),0)</x:f>
        <x:v>0</x:v>
      </x:c>
    </x:row>
    <x:row r="95" ht="47" customHeight="1">
      <x:c r="A95" s="4" t="str">
        <x:v>R012</x:v>
      </x:c>
      <x:c r="B95" s="4" t="str">
        <x:v>PRINCIPIOS JURIDICOS BASICOS APLICADOS A LA CIBERSEGURIDAD</x:v>
      </x:c>
      <x:c r="C95" s="4" t="str">
        <x:v>https://gestion3.urjc.es/guiasdocentes/pdfGuia.jsp?txtAsignatura=2285012&amp;txtTitulacion=2285&amp;txtCursoAcademico=2026-27</x:v>
      </x:c>
      <x:c r="D95" s="4" t="str">
        <x:v>https://servicios.urjc.es/guiasdocentes/pdfGuia.jsp?txtAsignatura=2285012&amp;txtTitulacion=2285&amp;txtCursoAcademico=2026-27</x:v>
      </x:c>
      <x:c r="E95" s="4" t="str">
        <x:v>CAPTURADO</x:v>
      </x:c>
      <x:c r="F95" s="4" t="str">
        <x:v>295215</x:v>
      </x:c>
      <x:c r="G95" s="4" t="str">
        <x:v>58ed064b67fb961561aa7eb8aa34b6edb818dd0f8fc598cad50865b410cb515d</x:v>
      </x:c>
      <x:c r="H95" s="4" t="str">
        <x:v>13</x:v>
      </x:c>
      <x:c r="I95" s="4" t="str">
        <x:v>II y IV: lectura curricular; III: códigos de resultados extraídos. Identidad y contenido contrastados.</x:v>
      </x:c>
      <x:c r="J95" s="4" t="str">
        <x:v>CURRICULAR_REVISADA</x:v>
      </x:c>
      <x:c r="K95" s="4" t="n">
        <x:v>46273.83297383102</x:v>
      </x:c>
      <x:c r="L95" s="12" t="n">
        <x:f>COUNTIF('21_Fuentes_educativas'!$A$5:$A$188,A95)-1</x:f>
        <x:v>0</x:v>
      </x:c>
      <x:c r="M95" s="12" t="n">
        <x:f>IF(E95="CAPTURADO",IF(LEN(G95)=64,0,1),0)</x:f>
        <x:v>0</x:v>
      </x:c>
    </x:row>
    <x:row r="96" ht="47" customHeight="1">
      <x:c r="A96" s="4" t="str">
        <x:v>R013</x:v>
      </x:c>
      <x:c r="B96" s="4" t="str">
        <x:v>PROGRAMACION AVANZADA</x:v>
      </x:c>
      <x:c r="C96" s="4" t="str">
        <x:v>https://gestion3.urjc.es/guiasdocentes/pdfGuia.jsp?txtAsignatura=2285013&amp;txtTitulacion=2285&amp;txtCursoAcademico=2026-27</x:v>
      </x:c>
      <x:c r="D96" s="4" t="str">
        <x:v>https://servicios.urjc.es/guiasdocentes/pdfGuia.jsp?txtAsignatura=2285013&amp;txtTitulacion=2285&amp;txtCursoAcademico=2026-27</x:v>
      </x:c>
      <x:c r="E96" s="4" t="str">
        <x:v>CAPTURADO</x:v>
      </x:c>
      <x:c r="F96" s="4" t="str">
        <x:v>296422</x:v>
      </x:c>
      <x:c r="G96" s="4" t="str">
        <x:v>e669ce8a330d119882bcd1241bfdd4fc4659ec5c916aaa5700f1b844a4e38c2e</x:v>
      </x:c>
      <x:c r="H96" s="4" t="str">
        <x:v>13</x:v>
      </x:c>
      <x:c r="I96" s="4" t="str">
        <x:v>II y IV: lectura curricular; III: códigos de resultados extraídos. Identidad y contenido contrastados.</x:v>
      </x:c>
      <x:c r="J96" s="4" t="str">
        <x:v>CURRICULAR_REVISADA</x:v>
      </x:c>
      <x:c r="K96" s="4" t="n">
        <x:v>46273.83322587963</x:v>
      </x:c>
      <x:c r="L96" s="12" t="n">
        <x:f>COUNTIF('21_Fuentes_educativas'!$A$5:$A$188,A96)-1</x:f>
        <x:v>0</x:v>
      </x:c>
      <x:c r="M96" s="12" t="n">
        <x:f>IF(E96="CAPTURADO",IF(LEN(G96)=64,0,1),0)</x:f>
        <x:v>0</x:v>
      </x:c>
    </x:row>
    <x:row r="97" ht="47" customHeight="1">
      <x:c r="A97" s="4" t="str">
        <x:v>R014</x:v>
      </x:c>
      <x:c r="B97" s="4" t="str">
        <x:v>REDES DE COMPUTADORES</x:v>
      </x:c>
      <x:c r="C97" s="4" t="str">
        <x:v>https://gestion3.urjc.es/guiasdocentes/pdfGuia.jsp?txtAsignatura=2285014&amp;txtTitulacion=2285&amp;txtCursoAcademico=2026-27</x:v>
      </x:c>
      <x:c r="D97" s="4" t="str">
        <x:v>https://servicios.urjc.es/guiasdocentes/pdfGuia.jsp?txtAsignatura=2285014&amp;txtTitulacion=2285&amp;txtCursoAcademico=2026-27</x:v>
      </x:c>
      <x:c r="E97" s="4" t="str">
        <x:v>CAPTURADO</x:v>
      </x:c>
      <x:c r="F97" s="4" t="str">
        <x:v>280984</x:v>
      </x:c>
      <x:c r="G97" s="4" t="str">
        <x:v>ca29157aa82c65f5bd4837e5ce24e761e315a22efb233d1009096a1d9a7d90f3</x:v>
      </x:c>
      <x:c r="H97" s="4" t="str">
        <x:v>12</x:v>
      </x:c>
      <x:c r="I97" s="4" t="str">
        <x:v>II y IV: lectura curricular; III: códigos de resultados extraídos. Identidad y contenido contrastados.</x:v>
      </x:c>
      <x:c r="J97" s="4" t="str">
        <x:v>CURRICULAR_REVISADA</x:v>
      </x:c>
      <x:c r="K97" s="4" t="n">
        <x:v>46273.83361662037</x:v>
      </x:c>
      <x:c r="L97" s="12" t="n">
        <x:f>COUNTIF('21_Fuentes_educativas'!$A$5:$A$188,A97)-1</x:f>
        <x:v>0</x:v>
      </x:c>
      <x:c r="M97" s="12" t="n">
        <x:f>IF(E97="CAPTURADO",IF(LEN(G97)=64,0,1),0)</x:f>
        <x:v>0</x:v>
      </x:c>
    </x:row>
    <x:row r="98" ht="47" customHeight="1">
      <x:c r="A98" s="4" t="str">
        <x:v>R015</x:v>
      </x:c>
      <x:c r="B98" s="4" t="str">
        <x:v>TECNICAS DE HACKING</x:v>
      </x:c>
      <x:c r="C98" s="4" t="str">
        <x:v>https://gestion3.urjc.es/guiasdocentes/pdfGuia.jsp?txtAsignatura=2285015&amp;txtTitulacion=2285&amp;txtCursoAcademico=2026-27</x:v>
      </x:c>
      <x:c r="D98" s="4" t="str">
        <x:v>https://servicios.urjc.es/guiasdocentes/pdfGuia.jsp?txtAsignatura=2285015&amp;txtTitulacion=2285&amp;txtCursoAcademico=2026-27</x:v>
      </x:c>
      <x:c r="E98" s="4" t="str">
        <x:v>CAPTURADO</x:v>
      </x:c>
      <x:c r="F98" s="4" t="str">
        <x:v>275514</x:v>
      </x:c>
      <x:c r="G98" s="4" t="str">
        <x:v>e8e5dc75c5cfd6f8f096d5a892013167f5d971468b3fe0385246f096374d2187</x:v>
      </x:c>
      <x:c r="H98" s="4" t="str">
        <x:v>12</x:v>
      </x:c>
      <x:c r="I98" s="4" t="str">
        <x:v>II y IV: lectura curricular; III: códigos de resultados extraídos. Identidad y contenido contrastados.</x:v>
      </x:c>
      <x:c r="J98" s="4" t="str">
        <x:v>CURRICULAR_REVISADA</x:v>
      </x:c>
      <x:c r="K98" s="4" t="n">
        <x:v>46273.833864768516</x:v>
      </x:c>
      <x:c r="L98" s="12" t="n">
        <x:f>COUNTIF('21_Fuentes_educativas'!$A$5:$A$188,A98)-1</x:f>
        <x:v>0</x:v>
      </x:c>
      <x:c r="M98" s="12" t="n">
        <x:f>IF(E98="CAPTURADO",IF(LEN(G98)=64,0,1),0)</x:f>
        <x:v>0</x:v>
      </x:c>
    </x:row>
    <x:row r="99" ht="47" customHeight="1">
      <x:c r="A99" s="4" t="str">
        <x:v>R016</x:v>
      </x:c>
      <x:c r="B99" s="4" t="str">
        <x:v>BASES DE DATOS</x:v>
      </x:c>
      <x:c r="C99" s="4" t="str">
        <x:v>https://gestion3.urjc.es/guiasdocentes/pdfGuia.jsp?txtAsignatura=2285016&amp;txtTitulacion=2285&amp;txtCursoAcademico=2026-27</x:v>
      </x:c>
      <x:c r="D99" s="4" t="str">
        <x:v>https://servicios.urjc.es/guiasdocentes/pdfGuia.jsp?txtAsignatura=2285016&amp;txtTitulacion=2285&amp;txtCursoAcademico=2026-27</x:v>
      </x:c>
      <x:c r="E99" s="4" t="str">
        <x:v>CAPTURADO</x:v>
      </x:c>
      <x:c r="F99" s="4" t="str">
        <x:v>281216</x:v>
      </x:c>
      <x:c r="G99" s="4" t="str">
        <x:v>8601dd695e0b06e4e7543aabca3351cfa0a8fcb6ebc2dab91468d613243e5052</x:v>
      </x:c>
      <x:c r="H99" s="4" t="str">
        <x:v>12</x:v>
      </x:c>
      <x:c r="I99" s="4" t="str">
        <x:v>II y IV: lectura curricular; III: códigos de resultados extraídos. Identidad y contenido contrastados.</x:v>
      </x:c>
      <x:c r="J99" s="4" t="str">
        <x:v>CURRICULAR_REVISADA</x:v>
      </x:c>
      <x:c r="K99" s="4" t="n">
        <x:v>46273.83412193287</x:v>
      </x:c>
      <x:c r="L99" s="12" t="n">
        <x:f>COUNTIF('21_Fuentes_educativas'!$A$5:$A$188,A99)-1</x:f>
        <x:v>0</x:v>
      </x:c>
      <x:c r="M99" s="12" t="n">
        <x:f>IF(E99="CAPTURADO",IF(LEN(G99)=64,0,1),0)</x:f>
        <x:v>0</x:v>
      </x:c>
    </x:row>
    <x:row r="100" ht="47" customHeight="1">
      <x:c r="A100" s="4" t="str">
        <x:v>R017</x:v>
      </x:c>
      <x:c r="B100" s="4" t="str">
        <x:v>DESARROLLO WEB SEGURO</x:v>
      </x:c>
      <x:c r="C100" s="4" t="str">
        <x:v>https://gestion3.urjc.es/guiasdocentes/pdfGuia.jsp?txtAsignatura=2285017&amp;txtTitulacion=2285&amp;txtCursoAcademico=2026-27</x:v>
      </x:c>
      <x:c r="D100" s="4" t="str">
        <x:v>https://servicios.urjc.es/guiasdocentes/pdfGuia.jsp?txtAsignatura=2285017&amp;txtTitulacion=2285&amp;txtCursoAcademico=2026-27</x:v>
      </x:c>
      <x:c r="E100" s="4" t="str">
        <x:v>CAPTURADO</x:v>
      </x:c>
      <x:c r="F100" s="4" t="str">
        <x:v>307413</x:v>
      </x:c>
      <x:c r="G100" s="4" t="str">
        <x:v>5465ada8497dc5e55e6d662cc47d2f8aeb54ecea934bbeac8ea92f0ae7fc121f</x:v>
      </x:c>
      <x:c r="H100" s="4" t="str">
        <x:v>13</x:v>
      </x:c>
      <x:c r="I100" s="4" t="str">
        <x:v>II y IV: lectura curricular; III: códigos de resultados extraídos. Identidad y contenido contrastados.</x:v>
      </x:c>
      <x:c r="J100" s="4" t="str">
        <x:v>CURRICULAR_REVISADA</x:v>
      </x:c>
      <x:c r="K100" s="4" t="n">
        <x:v>46273.8343847338</x:v>
      </x:c>
      <x:c r="L100" s="12" t="n">
        <x:f>COUNTIF('21_Fuentes_educativas'!$A$5:$A$188,A100)-1</x:f>
        <x:v>0</x:v>
      </x:c>
      <x:c r="M100" s="12" t="n">
        <x:f>IF(E100="CAPTURADO",IF(LEN(G100)=64,0,1),0)</x:f>
        <x:v>0</x:v>
      </x:c>
    </x:row>
    <x:row r="101" ht="47" customHeight="1">
      <x:c r="A101" s="4" t="str">
        <x:v>R018</x:v>
      </x:c>
      <x:c r="B101" s="4" t="str">
        <x:v>ESTRUCTURA DE COMPUTADORES</x:v>
      </x:c>
      <x:c r="C101" s="4" t="str">
        <x:v>https://gestion3.urjc.es/guiasdocentes/pdfGuia.jsp?txtAsignatura=2285018&amp;txtTitulacion=2285&amp;txtCursoAcademico=2026-27</x:v>
      </x:c>
      <x:c r="D101" s="4" t="str">
        <x:v>https://servicios.urjc.es/guiasdocentes/pdfGuia.jsp?txtAsignatura=2285018&amp;txtTitulacion=2285&amp;txtCursoAcademico=2026-27</x:v>
      </x:c>
      <x:c r="E101" s="4" t="str">
        <x:v>CAPTURADO</x:v>
      </x:c>
      <x:c r="F101" s="4" t="str">
        <x:v>281518</x:v>
      </x:c>
      <x:c r="G101" s="4" t="str">
        <x:v>bec4547aa87fcc83d2dd5fc3c29942044bb8539ab0a35399b30ccea7323292ac</x:v>
      </x:c>
      <x:c r="H101" s="4" t="str">
        <x:v>12</x:v>
      </x:c>
      <x:c r="I101" s="4" t="str">
        <x:v>II y IV: lectura curricular; III: códigos de resultados extraídos. Identidad y contenido contrastados.</x:v>
      </x:c>
      <x:c r="J101" s="4" t="str">
        <x:v>CURRICULAR_REVISADA</x:v>
      </x:c>
      <x:c r="K101" s="4" t="n">
        <x:v>46273.83463275463</x:v>
      </x:c>
      <x:c r="L101" s="12" t="n">
        <x:f>COUNTIF('21_Fuentes_educativas'!$A$5:$A$188,A101)-1</x:f>
        <x:v>0</x:v>
      </x:c>
      <x:c r="M101" s="12" t="n">
        <x:f>IF(E101="CAPTURADO",IF(LEN(G101)=64,0,1),0)</x:f>
        <x:v>0</x:v>
      </x:c>
    </x:row>
    <x:row r="102" ht="47" customHeight="1">
      <x:c r="A102" s="4" t="str">
        <x:v>R019</x:v>
      </x:c>
      <x:c r="B102" s="4" t="str">
        <x:v>SEGURIDAD EN REDES</x:v>
      </x:c>
      <x:c r="C102" s="4" t="str">
        <x:v>https://gestion3.urjc.es/guiasdocentes/pdfGuia.jsp?txtAsignatura=2285019&amp;txtTitulacion=2285&amp;txtCursoAcademico=2026-27</x:v>
      </x:c>
      <x:c r="D102" s="4" t="str">
        <x:v>https://servicios.urjc.es/guiasdocentes/pdfGuia.jsp?txtAsignatura=2285019&amp;txtTitulacion=2285&amp;txtCursoAcademico=2026-27</x:v>
      </x:c>
      <x:c r="E102" s="4" t="str">
        <x:v>CAPTURADO</x:v>
      </x:c>
      <x:c r="F102" s="4" t="str">
        <x:v>258731</x:v>
      </x:c>
      <x:c r="G102" s="4" t="str">
        <x:v>28fa6b9d4179df1df651cea072042ee3186da0af9e95404071fd0fcd1ddb84b4</x:v>
      </x:c>
      <x:c r="H102" s="4" t="str">
        <x:v>11</x:v>
      </x:c>
      <x:c r="I102" s="4" t="str">
        <x:v>II y IV: lectura curricular; III: códigos de resultados extraídos. Identidad y contenido contrastados.</x:v>
      </x:c>
      <x:c r="J102" s="4" t="str">
        <x:v>CURRICULAR_REVISADA</x:v>
      </x:c>
      <x:c r="K102" s="4" t="n">
        <x:v>46273.83488207176</x:v>
      </x:c>
      <x:c r="L102" s="12" t="n">
        <x:f>COUNTIF('21_Fuentes_educativas'!$A$5:$A$188,A102)-1</x:f>
        <x:v>0</x:v>
      </x:c>
      <x:c r="M102" s="12" t="n">
        <x:f>IF(E102="CAPTURADO",IF(LEN(G102)=64,0,1),0)</x:f>
        <x:v>0</x:v>
      </x:c>
    </x:row>
    <x:row r="103" ht="47" customHeight="1">
      <x:c r="A103" s="4" t="str">
        <x:v>R020</x:v>
      </x:c>
      <x:c r="B103" s="4" t="str">
        <x:v>IDIOMA MODERNO</x:v>
      </x:c>
      <x:c r="C103" s="4" t="str">
        <x:v>https://gestion3.urjc.es/guiasdocentes/pdfGuia.jsp?txtAsignatura=2285020&amp;txtTitulacion=2285&amp;txtCursoAcademico=2026-27</x:v>
      </x:c>
      <x:c r="D103" s="4" t="str">
        <x:v>https://servicios.urjc.es/guiasdocentes/pdfGuia.jsp?txtAsignatura=2285020&amp;txtTitulacion=2285&amp;txtCursoAcademico=2026-27</x:v>
      </x:c>
      <x:c r="E103" s="4" t="str">
        <x:v>CAPTURADO</x:v>
      </x:c>
      <x:c r="F103" s="4" t="str">
        <x:v>552946</x:v>
      </x:c>
      <x:c r="G103" s="4" t="str">
        <x:v>43411520b5d33d815da08e0a581a84cce2e8dc5a2d29e57a29ab42e8ec43cf78</x:v>
      </x:c>
      <x:c r="H103" s="4" t="str">
        <x:v>12</x:v>
      </x:c>
      <x:c r="I103" s="4" t="str">
        <x:v>Identidad y naturaleza transversal; no se incorpora temario técnico.</x:v>
      </x:c>
      <x:c r="J103" s="4" t="str">
        <x:v>TRANSVERSAL_IDENTIFICADA</x:v>
      </x:c>
      <x:c r="K103" s="4" t="n">
        <x:v>46273.8351428588</x:v>
      </x:c>
      <x:c r="L103" s="12" t="n">
        <x:f>COUNTIF('21_Fuentes_educativas'!$A$5:$A$188,A103)-1</x:f>
        <x:v>0</x:v>
      </x:c>
      <x:c r="M103" s="12" t="n">
        <x:f>IF(E103="CAPTURADO",IF(LEN(G103)=64,0,1),0)</x:f>
        <x:v>0</x:v>
      </x:c>
    </x:row>
    <x:row r="104" ht="47" customHeight="1">
      <x:c r="A104" s="4" t="str">
        <x:v>R021</x:v>
      </x:c>
      <x:c r="B104" s="4" t="str">
        <x:v>ARQUITECTURA DE COMPUTADORES</x:v>
      </x:c>
      <x:c r="C104" s="4" t="str">
        <x:v>https://gestion3.urjc.es/guiasdocentes/pdfGuia.jsp?txtAsignatura=2285021&amp;txtTitulacion=2285&amp;txtCursoAcademico=2026-27</x:v>
      </x:c>
      <x:c r="D104" s="4" t="str">
        <x:v>https://servicios.urjc.es/guiasdocentes/pdfGuia.jsp?txtAsignatura=2285021&amp;txtTitulacion=2285&amp;txtCursoAcademico=2026-27</x:v>
      </x:c>
      <x:c r="E104" s="4" t="str">
        <x:v>CAPTURADO</x:v>
      </x:c>
      <x:c r="F104" s="4" t="str">
        <x:v>261643</x:v>
      </x:c>
      <x:c r="G104" s="4" t="str">
        <x:v>743f98e8b904d2359f4bc05e9f7bda346c341b8a619d1f798d5a7c007f4c41d0</x:v>
      </x:c>
      <x:c r="H104" s="4" t="str">
        <x:v>11</x:v>
      </x:c>
      <x:c r="I104" s="4" t="str">
        <x:v>II y IV: lectura curricular; III: códigos de resultados extraídos. Identidad y contenido contrastados.</x:v>
      </x:c>
      <x:c r="J104" s="4" t="str">
        <x:v>CURRICULAR_REVISADA</x:v>
      </x:c>
      <x:c r="K104" s="4" t="n">
        <x:v>46273.83538862268</x:v>
      </x:c>
      <x:c r="L104" s="12" t="n">
        <x:f>COUNTIF('21_Fuentes_educativas'!$A$5:$A$188,A104)-1</x:f>
        <x:v>0</x:v>
      </x:c>
      <x:c r="M104" s="12" t="n">
        <x:f>IF(E104="CAPTURADO",IF(LEN(G104)=64,0,1),0)</x:f>
        <x:v>0</x:v>
      </x:c>
    </x:row>
    <x:row r="105" ht="47" customHeight="1">
      <x:c r="A105" s="4" t="str">
        <x:v>R022</x:v>
      </x:c>
      <x:c r="B105" s="4" t="str">
        <x:v>DISEÑO Y ANALISIS DE ALGORITMOS</x:v>
      </x:c>
      <x:c r="C105" s="4" t="str">
        <x:v>https://gestion3.urjc.es/guiasdocentes/pdfGuia.jsp?txtAsignatura=2285022&amp;txtTitulacion=2285&amp;txtCursoAcademico=2026-27</x:v>
      </x:c>
      <x:c r="D105" s="4" t="str">
        <x:v>https://servicios.urjc.es/guiasdocentes/pdfGuia.jsp?txtAsignatura=2285022&amp;txtTitulacion=2285&amp;txtCursoAcademico=2026-27</x:v>
      </x:c>
      <x:c r="E105" s="4" t="str">
        <x:v>CAPTURADO</x:v>
      </x:c>
      <x:c r="F105" s="4" t="str">
        <x:v>255157</x:v>
      </x:c>
      <x:c r="G105" s="4" t="str">
        <x:v>18fd4e605adaa5e9a1feabc2679e1d0cd16415266bf45d681fc5387c27a120a6</x:v>
      </x:c>
      <x:c r="H105" s="4" t="str">
        <x:v>11</x:v>
      </x:c>
      <x:c r="I105" s="4" t="str">
        <x:v>II y IV: lectura curricular; III: códigos de resultados extraídos. Identidad y contenido contrastados.</x:v>
      </x:c>
      <x:c r="J105" s="4" t="str">
        <x:v>CURRICULAR_REVISADA</x:v>
      </x:c>
      <x:c r="K105" s="4" t="n">
        <x:v>46273.83562892361</x:v>
      </x:c>
      <x:c r="L105" s="12" t="n">
        <x:f>COUNTIF('21_Fuentes_educativas'!$A$5:$A$188,A105)-1</x:f>
        <x:v>0</x:v>
      </x:c>
      <x:c r="M105" s="12" t="n">
        <x:f>IF(E105="CAPTURADO",IF(LEN(G105)=64,0,1),0)</x:f>
        <x:v>0</x:v>
      </x:c>
    </x:row>
    <x:row r="106" ht="47" customHeight="1">
      <x:c r="A106" s="4" t="str">
        <x:v>R023</x:v>
      </x:c>
      <x:c r="B106" s="4" t="str">
        <x:v>INGENIERIA DEL SOFTWARE</x:v>
      </x:c>
      <x:c r="C106" s="4" t="str">
        <x:v>https://gestion3.urjc.es/guiasdocentes/pdfGuia.jsp?txtAsignatura=2285023&amp;txtTitulacion=2285&amp;txtCursoAcademico=2026-27</x:v>
      </x:c>
      <x:c r="D106" s="4" t="str">
        <x:v>https://servicios.urjc.es/guiasdocentes/pdfGuia.jsp?txtAsignatura=2285023&amp;txtTitulacion=2285&amp;txtCursoAcademico=2026-27</x:v>
      </x:c>
      <x:c r="E106" s="4" t="str">
        <x:v>CAPTURADO</x:v>
      </x:c>
      <x:c r="F106" s="4" t="str">
        <x:v>301478</x:v>
      </x:c>
      <x:c r="G106" s="4" t="str">
        <x:v>1e34926c4bb524a1516ecb619caf413954ee85240e5ce39acff4f6179954f133</x:v>
      </x:c>
      <x:c r="H106" s="4" t="str">
        <x:v>13</x:v>
      </x:c>
      <x:c r="I106" s="4" t="str">
        <x:v>II y IV: lectura curricular; III: códigos de resultados extraídos. Identidad y contenido contrastados.</x:v>
      </x:c>
      <x:c r="J106" s="4" t="str">
        <x:v>CURRICULAR_REVISADA</x:v>
      </x:c>
      <x:c r="K106" s="4" t="n">
        <x:v>46273.835876412035</x:v>
      </x:c>
      <x:c r="L106" s="12" t="n">
        <x:f>COUNTIF('21_Fuentes_educativas'!$A$5:$A$188,A106)-1</x:f>
        <x:v>0</x:v>
      </x:c>
      <x:c r="M106" s="12" t="n">
        <x:f>IF(E106="CAPTURADO",IF(LEN(G106)=64,0,1),0)</x:f>
        <x:v>0</x:v>
      </x:c>
    </x:row>
    <x:row r="107" ht="47" customHeight="1">
      <x:c r="A107" s="4" t="str">
        <x:v>R024</x:v>
      </x:c>
      <x:c r="B107" s="4" t="str">
        <x:v>SEGURIDAD EN BASES DE DATOS</x:v>
      </x:c>
      <x:c r="C107" s="4" t="str">
        <x:v>https://gestion3.urjc.es/guiasdocentes/pdfGuia.jsp?txtAsignatura=2285024&amp;txtTitulacion=2285&amp;txtCursoAcademico=2026-27</x:v>
      </x:c>
      <x:c r="D107" s="4" t="str">
        <x:v>https://servicios.urjc.es/guiasdocentes/pdfGuia.jsp?txtAsignatura=2285024&amp;txtTitulacion=2285&amp;txtCursoAcademico=2026-27</x:v>
      </x:c>
      <x:c r="E107" s="4" t="str">
        <x:v>CAPTURADO</x:v>
      </x:c>
      <x:c r="F107" s="4" t="str">
        <x:v>281035</x:v>
      </x:c>
      <x:c r="G107" s="4" t="str">
        <x:v>72d355d6617ab9aa7c357dd1d31b42cb00c13fbd891bf5a698c51ca597d4eec5</x:v>
      </x:c>
      <x:c r="H107" s="4" t="str">
        <x:v>12</x:v>
      </x:c>
      <x:c r="I107" s="4" t="str">
        <x:v>II y IV: lectura curricular; III: códigos de resultados extraídos. Identidad y contenido contrastados.</x:v>
      </x:c>
      <x:c r="J107" s="4" t="str">
        <x:v>CURRICULAR_REVISADA</x:v>
      </x:c>
      <x:c r="K107" s="4" t="n">
        <x:v>46273.83612269676</x:v>
      </x:c>
      <x:c r="L107" s="12" t="n">
        <x:f>COUNTIF('21_Fuentes_educativas'!$A$5:$A$188,A107)-1</x:f>
        <x:v>0</x:v>
      </x:c>
      <x:c r="M107" s="12" t="n">
        <x:f>IF(E107="CAPTURADO",IF(LEN(G107)=64,0,1),0)</x:f>
        <x:v>0</x:v>
      </x:c>
    </x:row>
    <x:row r="108" ht="47" customHeight="1">
      <x:c r="A108" s="4" t="str">
        <x:v>R025</x:v>
      </x:c>
      <x:c r="B108" s="4" t="str">
        <x:v>SISTEMAS OPERATIVOS</x:v>
      </x:c>
      <x:c r="C108" s="4" t="str">
        <x:v>https://gestion3.urjc.es/guiasdocentes/pdfGuia.jsp?txtAsignatura=2285025&amp;txtTitulacion=2285&amp;txtCursoAcademico=2026-27</x:v>
      </x:c>
      <x:c r="D108" s="4" t="str">
        <x:v>https://servicios.urjc.es/guiasdocentes/pdfGuia.jsp?txtAsignatura=2285025&amp;txtTitulacion=2285&amp;txtCursoAcademico=2026-27</x:v>
      </x:c>
      <x:c r="E108" s="4" t="str">
        <x:v>CAPTURADO</x:v>
      </x:c>
      <x:c r="F108" s="4" t="str">
        <x:v>282277</x:v>
      </x:c>
      <x:c r="G108" s="4" t="str">
        <x:v>b3af36599e0e0358090f8457da07c8994e6c92e02e01368c49c63ca44a24c540</x:v>
      </x:c>
      <x:c r="H108" s="4" t="str">
        <x:v>12</x:v>
      </x:c>
      <x:c r="I108" s="4" t="str">
        <x:v>II y IV: lectura curricular; III: códigos de resultados extraídos. Identidad y contenido contrastados.</x:v>
      </x:c>
      <x:c r="J108" s="4" t="str">
        <x:v>CURRICULAR_REVISADA</x:v>
      </x:c>
      <x:c r="K108" s="4" t="n">
        <x:v>46273.83638756944</x:v>
      </x:c>
      <x:c r="L108" s="12" t="n">
        <x:f>COUNTIF('21_Fuentes_educativas'!$A$5:$A$188,A108)-1</x:f>
        <x:v>0</x:v>
      </x:c>
      <x:c r="M108" s="12" t="n">
        <x:f>IF(E108="CAPTURADO",IF(LEN(G108)=64,0,1),0)</x:f>
        <x:v>0</x:v>
      </x:c>
    </x:row>
    <x:row r="109" ht="47" customHeight="1">
      <x:c r="A109" s="4" t="str">
        <x:v>R026</x:v>
      </x:c>
      <x:c r="B109" s="4" t="str">
        <x:v>INTELIGENCIA ARTIFICIAL</x:v>
      </x:c>
      <x:c r="C109" s="4" t="str">
        <x:v>https://gestion3.urjc.es/guiasdocentes/pdfGuia.jsp?txtAsignatura=2285026&amp;txtTitulacion=2285&amp;txtCursoAcademico=2026-27</x:v>
      </x:c>
      <x:c r="D109" s="4" t="str">
        <x:v>https://servicios.urjc.es/guiasdocentes/pdfGuia.jsp?txtAsignatura=2285026&amp;txtTitulacion=2285&amp;txtCursoAcademico=2026-27</x:v>
      </x:c>
      <x:c r="E109" s="4" t="str">
        <x:v>CAPTURADO</x:v>
      </x:c>
      <x:c r="F109" s="4" t="str">
        <x:v>239664</x:v>
      </x:c>
      <x:c r="G109" s="4" t="str">
        <x:v>716d4089a3aeeefdb990de12e2e2b2f77cf54d8260f4f4af32d2de84f0904eca</x:v>
      </x:c>
      <x:c r="H109" s="4" t="str">
        <x:v>10</x:v>
      </x:c>
      <x:c r="I109" s="4" t="str">
        <x:v>II y IV: lectura curricular; III: códigos de resultados extraídos. Identidad y contenido contrastados.</x:v>
      </x:c>
      <x:c r="J109" s="4" t="str">
        <x:v>CURRICULAR_REVISADA</x:v>
      </x:c>
      <x:c r="K109" s="4" t="n">
        <x:v>46273.83664207176</x:v>
      </x:c>
      <x:c r="L109" s="12" t="n">
        <x:f>COUNTIF('21_Fuentes_educativas'!$A$5:$A$188,A109)-1</x:f>
        <x:v>0</x:v>
      </x:c>
      <x:c r="M109" s="12" t="n">
        <x:f>IF(E109="CAPTURADO",IF(LEN(G109)=64,0,1),0)</x:f>
        <x:v>0</x:v>
      </x:c>
    </x:row>
    <x:row r="110" ht="47" customHeight="1">
      <x:c r="A110" s="4" t="str">
        <x:v>R027</x:v>
      </x:c>
      <x:c r="B110" s="4" t="str">
        <x:v>MALWARE Y AMENAZAS DIRIGIDAS</x:v>
      </x:c>
      <x:c r="C110" s="4" t="str">
        <x:v>https://gestion3.urjc.es/guiasdocentes/pdfGuia.jsp?txtAsignatura=2285027&amp;txtTitulacion=2285&amp;txtCursoAcademico=2026-27</x:v>
      </x:c>
      <x:c r="D110" s="4" t="str">
        <x:v>https://servicios.urjc.es/guiasdocentes/pdfGuia.jsp?txtAsignatura=2285027&amp;txtTitulacion=2285&amp;txtCursoAcademico=2026-27</x:v>
      </x:c>
      <x:c r="E110" s="4" t="str">
        <x:v>CAPTURADO</x:v>
      </x:c>
      <x:c r="F110" s="4" t="str">
        <x:v>278293</x:v>
      </x:c>
      <x:c r="G110" s="4" t="str">
        <x:v>f42857213ee5f8d9f36cd61f8f733227d9d8c28e3c88d8a21f1f1b85315e65c7</x:v>
      </x:c>
      <x:c r="H110" s="4" t="str">
        <x:v>12</x:v>
      </x:c>
      <x:c r="I110" s="4" t="str">
        <x:v>II y IV: lectura curricular; III: códigos de resultados extraídos. Identidad y contenido contrastados.</x:v>
      </x:c>
      <x:c r="J110" s="4" t="str">
        <x:v>CURRICULAR_REVISADA</x:v>
      </x:c>
      <x:c r="K110" s="4" t="n">
        <x:v>46273.83690710648</x:v>
      </x:c>
      <x:c r="L110" s="12" t="n">
        <x:f>COUNTIF('21_Fuentes_educativas'!$A$5:$A$188,A110)-1</x:f>
        <x:v>0</x:v>
      </x:c>
      <x:c r="M110" s="12" t="n">
        <x:f>IF(E110="CAPTURADO",IF(LEN(G110)=64,0,1),0)</x:f>
        <x:v>0</x:v>
      </x:c>
    </x:row>
    <x:row r="111" ht="47" customHeight="1">
      <x:c r="A111" s="4" t="str">
        <x:v>R028</x:v>
      </x:c>
      <x:c r="B111" s="4" t="str">
        <x:v>METODOLOGIAS DE DESARROLLO SEGURO</x:v>
      </x:c>
      <x:c r="C111" s="4" t="str">
        <x:v>https://gestion3.urjc.es/guiasdocentes/pdfGuia.jsp?txtAsignatura=2285028&amp;txtTitulacion=2285&amp;txtCursoAcademico=2026-27</x:v>
      </x:c>
      <x:c r="D111" s="4" t="str">
        <x:v>https://servicios.urjc.es/guiasdocentes/pdfGuia.jsp?txtAsignatura=2285028&amp;txtTitulacion=2285&amp;txtCursoAcademico=2026-27</x:v>
      </x:c>
      <x:c r="E111" s="4" t="str">
        <x:v>CAPTURADO</x:v>
      </x:c>
      <x:c r="F111" s="4" t="str">
        <x:v>255135</x:v>
      </x:c>
      <x:c r="G111" s="4" t="str">
        <x:v>c8884e732d6be694251f4b1fc54b68519fc08b01937168e37a38cfbd8de546b1</x:v>
      </x:c>
      <x:c r="H111" s="4" t="str">
        <x:v>11</x:v>
      </x:c>
      <x:c r="I111" s="4" t="str">
        <x:v>II y IV: lectura curricular; III: códigos de resultados extraídos. Identidad y contenido contrastados.</x:v>
      </x:c>
      <x:c r="J111" s="4" t="str">
        <x:v>CURRICULAR_REVISADA</x:v>
      </x:c>
      <x:c r="K111" s="4" t="n">
        <x:v>46273.83715717593</x:v>
      </x:c>
      <x:c r="L111" s="12" t="n">
        <x:f>COUNTIF('21_Fuentes_educativas'!$A$5:$A$188,A111)-1</x:f>
        <x:v>0</x:v>
      </x:c>
      <x:c r="M111" s="12" t="n">
        <x:f>IF(E111="CAPTURADO",IF(LEN(G111)=64,0,1),0)</x:f>
        <x:v>0</x:v>
      </x:c>
    </x:row>
    <x:row r="112" ht="47" customHeight="1">
      <x:c r="A112" s="4" t="str">
        <x:v>R029</x:v>
      </x:c>
      <x:c r="B112" s="4" t="str">
        <x:v>REDES AVANZADAS Y COMPUTACION EN LA NUBE</x:v>
      </x:c>
      <x:c r="C112" s="4" t="str">
        <x:v>https://gestion3.urjc.es/guiasdocentes/pdfGuia.jsp?txtAsignatura=2285029&amp;txtTitulacion=2285&amp;txtCursoAcademico=2026-27</x:v>
      </x:c>
      <x:c r="D112" s="4" t="str">
        <x:v>https://servicios.urjc.es/guiasdocentes/pdfGuia.jsp?txtAsignatura=2285029&amp;txtTitulacion=2285&amp;txtCursoAcademico=2026-27</x:v>
      </x:c>
      <x:c r="E112" s="4" t="str">
        <x:v>CAPTURADO</x:v>
      </x:c>
      <x:c r="F112" s="4" t="str">
        <x:v>284029</x:v>
      </x:c>
      <x:c r="G112" s="4" t="str">
        <x:v>d2fb72105f0a559007c217175200578c8029e3b5b89f2615bb4fb893b0d7f91c</x:v>
      </x:c>
      <x:c r="H112" s="4" t="str">
        <x:v>12</x:v>
      </x:c>
      <x:c r="I112" s="4" t="str">
        <x:v>II y IV: lectura curricular; III: códigos de resultados extraídos. Identidad y contenido contrastados.</x:v>
      </x:c>
      <x:c r="J112" s="4" t="str">
        <x:v>CURRICULAR_REVISADA</x:v>
      </x:c>
      <x:c r="K112" s="4" t="n">
        <x:v>46273.83744646991</x:v>
      </x:c>
      <x:c r="L112" s="12" t="n">
        <x:f>COUNTIF('21_Fuentes_educativas'!$A$5:$A$188,A112)-1</x:f>
        <x:v>0</x:v>
      </x:c>
      <x:c r="M112" s="12" t="n">
        <x:f>IF(E112="CAPTURADO",IF(LEN(G112)=64,0,1),0)</x:f>
        <x:v>0</x:v>
      </x:c>
    </x:row>
    <x:row r="113" ht="47" customHeight="1">
      <x:c r="A113" s="4" t="str">
        <x:v>R030</x:v>
      </x:c>
      <x:c r="B113" s="4" t="str">
        <x:v>SISTEMAS DE INFORMACION</x:v>
      </x:c>
      <x:c r="C113" s="4" t="str">
        <x:v>https://gestion3.urjc.es/guiasdocentes/pdfGuia.jsp?txtAsignatura=2285030&amp;txtTitulacion=2285&amp;txtCursoAcademico=2026-27</x:v>
      </x:c>
      <x:c r="D113" s="4" t="str">
        <x:v>https://servicios.urjc.es/guiasdocentes/pdfGuia.jsp?txtAsignatura=2285030&amp;txtTitulacion=2285&amp;txtCursoAcademico=2026-27</x:v>
      </x:c>
      <x:c r="E113" s="4" t="str">
        <x:v>CAPTURADO</x:v>
      </x:c>
      <x:c r="F113" s="4" t="str">
        <x:v>303996</x:v>
      </x:c>
      <x:c r="G113" s="4" t="str">
        <x:v>8ff2b312b91d143ce13398706e7758263b62fe1c5b54d60b90dbb24acdf26a57</x:v>
      </x:c>
      <x:c r="H113" s="4" t="str">
        <x:v>13</x:v>
      </x:c>
      <x:c r="I113" s="4" t="str">
        <x:v>II y IV: lectura curricular; III: códigos de resultados extraídos. Identidad y contenido contrastados.</x:v>
      </x:c>
      <x:c r="J113" s="4" t="str">
        <x:v>CURRICULAR_REVISADA</x:v>
      </x:c>
      <x:c r="K113" s="4" t="n">
        <x:v>46273.837696875</x:v>
      </x:c>
      <x:c r="L113" s="12" t="n">
        <x:f>COUNTIF('21_Fuentes_educativas'!$A$5:$A$188,A113)-1</x:f>
        <x:v>0</x:v>
      </x:c>
      <x:c r="M113" s="12" t="n">
        <x:f>IF(E113="CAPTURADO",IF(LEN(G113)=64,0,1),0)</x:f>
        <x:v>0</x:v>
      </x:c>
    </x:row>
    <x:row r="114" ht="47" customHeight="1">
      <x:c r="A114" s="4" t="str">
        <x:v>R031</x:v>
      </x:c>
      <x:c r="B114" s="4" t="str">
        <x:v>VISION ARTIFICIAL APLICADA A LA CIBERSEGURIDAD</x:v>
      </x:c>
      <x:c r="C114" s="4" t="str">
        <x:v>https://gestion3.urjc.es/guiasdocentes/pdfGuia.jsp?txtAsignatura=2285031&amp;txtTitulacion=2285&amp;txtCursoAcademico=2026-27</x:v>
      </x:c>
      <x:c r="D114" s="4" t="str">
        <x:v>https://servicios.urjc.es/guiasdocentes/pdfGuia.jsp?txtAsignatura=2285031&amp;txtTitulacion=2285&amp;txtCursoAcademico=2026-27</x:v>
      </x:c>
      <x:c r="E114" s="4" t="str">
        <x:v>CAPTURADO</x:v>
      </x:c>
      <x:c r="F114" s="4" t="str">
        <x:v>258436</x:v>
      </x:c>
      <x:c r="G114" s="4" t="str">
        <x:v>17a24ea19e7f52915b6b3a3480b1c24acfea0de6886dc88377d8ea7b922b6acb</x:v>
      </x:c>
      <x:c r="H114" s="4" t="str">
        <x:v>11</x:v>
      </x:c>
      <x:c r="I114" s="4" t="str">
        <x:v>II y IV: lectura curricular; III: códigos de resultados extraídos. Identidad y contenido contrastados.</x:v>
      </x:c>
      <x:c r="J114" s="4" t="str">
        <x:v>CURRICULAR_REVISADA</x:v>
      </x:c>
      <x:c r="K114" s="4" t="n">
        <x:v>46273.83795429398</x:v>
      </x:c>
      <x:c r="L114" s="12" t="n">
        <x:f>COUNTIF('21_Fuentes_educativas'!$A$5:$A$188,A114)-1</x:f>
        <x:v>0</x:v>
      </x:c>
      <x:c r="M114" s="12" t="n">
        <x:f>IF(E114="CAPTURADO",IF(LEN(G114)=64,0,1),0)</x:f>
        <x:v>0</x:v>
      </x:c>
    </x:row>
    <x:row r="115" ht="47" customHeight="1">
      <x:c r="A115" s="4" t="str">
        <x:v>R032</x:v>
      </x:c>
      <x:c r="B115" s="4" t="str">
        <x:v>AUDITORIA</x:v>
      </x:c>
      <x:c r="C115" s="4" t="str">
        <x:v>https://gestion3.urjc.es/guiasdocentes/pdfGuia.jsp?txtAsignatura=2285032&amp;txtTitulacion=2285&amp;txtCursoAcademico=2026-27</x:v>
      </x:c>
      <x:c r="D115" s="4" t="str">
        <x:v>https://servicios.urjc.es/guiasdocentes/pdfGuia.jsp?txtAsignatura=2285032&amp;txtTitulacion=2285&amp;txtCursoAcademico=2026-27</x:v>
      </x:c>
      <x:c r="E115" s="4" t="str">
        <x:v>CAPTURADO</x:v>
      </x:c>
      <x:c r="F115" s="4" t="str">
        <x:v>235965</x:v>
      </x:c>
      <x:c r="G115" s="4" t="str">
        <x:v>1166067a7d7fb5134c17396a8b4c70cdeb467bcedba13832dfa5b09bf524e835</x:v>
      </x:c>
      <x:c r="H115" s="4" t="str">
        <x:v>10</x:v>
      </x:c>
      <x:c r="I115" s="4" t="str">
        <x:v>II y IV: lectura curricular; III: códigos de resultados extraídos. Identidad y contenido contrastados.</x:v>
      </x:c>
      <x:c r="J115" s="4" t="str">
        <x:v>CURRICULAR_REVISADA</x:v>
      </x:c>
      <x:c r="K115" s="4" t="n">
        <x:v>46273.83820494213</x:v>
      </x:c>
      <x:c r="L115" s="12" t="n">
        <x:f>COUNTIF('21_Fuentes_educativas'!$A$5:$A$188,A115)-1</x:f>
        <x:v>0</x:v>
      </x:c>
      <x:c r="M115" s="12" t="n">
        <x:f>IF(E115="CAPTURADO",IF(LEN(G115)=64,0,1),0)</x:f>
        <x:v>0</x:v>
      </x:c>
    </x:row>
    <x:row r="116" ht="47" customHeight="1">
      <x:c r="A116" s="4" t="str">
        <x:v>R033</x:v>
      </x:c>
      <x:c r="B116" s="4" t="str">
        <x:v>INTELIGENCIA DE LA SEGURIDAD</x:v>
      </x:c>
      <x:c r="C116" s="4" t="str">
        <x:v>https://gestion3.urjc.es/guiasdocentes/pdfGuia.jsp?txtAsignatura=2285033&amp;txtTitulacion=2285&amp;txtCursoAcademico=2026-27</x:v>
      </x:c>
      <x:c r="D116" s="4" t="str">
        <x:v>https://servicios.urjc.es/guiasdocentes/pdfGuia.jsp?txtAsignatura=2285033&amp;txtTitulacion=2285&amp;txtCursoAcademico=2026-27</x:v>
      </x:c>
      <x:c r="E116" s="4" t="str">
        <x:v>CAPTURADO</x:v>
      </x:c>
      <x:c r="F116" s="4" t="str">
        <x:v>255674</x:v>
      </x:c>
      <x:c r="G116" s="4" t="str">
        <x:v>951ba49ae08e05ed51c8a017382fdd0c44d4d044848571e759a6962ed2f7f314</x:v>
      </x:c>
      <x:c r="H116" s="4" t="str">
        <x:v>11</x:v>
      </x:c>
      <x:c r="I116" s="4" t="str">
        <x:v>II y IV: lectura curricular; III: códigos de resultados extraídos. Identidad y contenido contrastados.</x:v>
      </x:c>
      <x:c r="J116" s="4" t="str">
        <x:v>CURRICULAR_REVISADA</x:v>
      </x:c>
      <x:c r="K116" s="4" t="n">
        <x:v>46273.83846608796</x:v>
      </x:c>
      <x:c r="L116" s="12" t="n">
        <x:f>COUNTIF('21_Fuentes_educativas'!$A$5:$A$188,A116)-1</x:f>
        <x:v>0</x:v>
      </x:c>
      <x:c r="M116" s="12" t="n">
        <x:f>IF(E116="CAPTURADO",IF(LEN(G116)=64,0,1),0)</x:f>
        <x:v>0</x:v>
      </x:c>
    </x:row>
    <x:row r="117" ht="47" customHeight="1">
      <x:c r="A117" s="4" t="str">
        <x:v>R034</x:v>
      </x:c>
      <x:c r="B117" s="4" t="str">
        <x:v>PENTESTING</x:v>
      </x:c>
      <x:c r="C117" s="4" t="str">
        <x:v>https://gestion3.urjc.es/guiasdocentes/pdfGuia.jsp?txtAsignatura=2285034&amp;txtTitulacion=2285&amp;txtCursoAcademico=2026-27</x:v>
      </x:c>
      <x:c r="D117" s="4" t="str">
        <x:v>https://servicios.urjc.es/guiasdocentes/pdfGuia.jsp?txtAsignatura=2285034&amp;txtTitulacion=2285&amp;txtCursoAcademico=2026-27</x:v>
      </x:c>
      <x:c r="E117" s="4" t="str">
        <x:v>CAPTURADO</x:v>
      </x:c>
      <x:c r="F117" s="4" t="str">
        <x:v>276684</x:v>
      </x:c>
      <x:c r="G117" s="4" t="str">
        <x:v>c4c0a89c38f656ba665d21dec80ffcb7315846efadcde52e4c4e561d84bdadd7</x:v>
      </x:c>
      <x:c r="H117" s="4" t="str">
        <x:v>12</x:v>
      </x:c>
      <x:c r="I117" s="4" t="str">
        <x:v>II y IV: lectura curricular; III: códigos de resultados extraídos. Identidad y contenido contrastados.</x:v>
      </x:c>
      <x:c r="J117" s="4" t="str">
        <x:v>CURRICULAR_REVISADA</x:v>
      </x:c>
      <x:c r="K117" s="4" t="n">
        <x:v>46273.838743506945</x:v>
      </x:c>
      <x:c r="L117" s="12" t="n">
        <x:f>COUNTIF('21_Fuentes_educativas'!$A$5:$A$188,A117)-1</x:f>
        <x:v>0</x:v>
      </x:c>
      <x:c r="M117" s="12" t="n">
        <x:f>IF(E117="CAPTURADO",IF(LEN(G117)=64,0,1),0)</x:f>
        <x:v>0</x:v>
      </x:c>
    </x:row>
    <x:row r="118" ht="47" customHeight="1">
      <x:c r="A118" s="4" t="str">
        <x:v>R035</x:v>
      </x:c>
      <x:c r="B118" s="4" t="str">
        <x:v>ANALISIS Y GESTION DEL RIESGO</x:v>
      </x:c>
      <x:c r="C118" s="4" t="str">
        <x:v>https://gestion3.urjc.es/guiasdocentes/pdfGuia.jsp?txtAsignatura=2285036&amp;txtTitulacion=2285&amp;txtCursoAcademico=2026-27</x:v>
      </x:c>
      <x:c r="D118" s="4" t="str">
        <x:v>https://servicios.urjc.es/guiasdocentes/pdfGuia.jsp?txtAsignatura=2285036&amp;txtTitulacion=2285&amp;txtCursoAcademico=2026-27</x:v>
      </x:c>
      <x:c r="E118" s="4" t="str">
        <x:v>CAPTURADO</x:v>
      </x:c>
      <x:c r="F118" s="4" t="str">
        <x:v>278163</x:v>
      </x:c>
      <x:c r="G118" s="4" t="str">
        <x:v>099a3eb2a03c5040f76ddc3676ae6ed1987e0432626f014812a720fd204c0eea</x:v>
      </x:c>
      <x:c r="H118" s="4" t="str">
        <x:v>12</x:v>
      </x:c>
      <x:c r="I118" s="4" t="str">
        <x:v>II y IV: lectura curricular; III: códigos de resultados extraídos. Identidad y contenido contrastados.</x:v>
      </x:c>
      <x:c r="J118" s="4" t="str">
        <x:v>CURRICULAR_REVISADA</x:v>
      </x:c>
      <x:c r="K118" s="4" t="n">
        <x:v>46273.83916311343</x:v>
      </x:c>
      <x:c r="L118" s="12" t="n">
        <x:f>COUNTIF('21_Fuentes_educativas'!$A$5:$A$188,A118)-1</x:f>
        <x:v>0</x:v>
      </x:c>
      <x:c r="M118" s="12" t="n">
        <x:f>IF(E118="CAPTURADO",IF(LEN(G118)=64,0,1),0)</x:f>
        <x:v>0</x:v>
      </x:c>
    </x:row>
    <x:row r="119" ht="47" customHeight="1">
      <x:c r="A119" s="4" t="str">
        <x:v>R036</x:v>
      </x:c>
      <x:c r="B119" s="4" t="str">
        <x:v>PROTECCION DE INFRAESTRUCTURAS CRITICAS</x:v>
      </x:c>
      <x:c r="C119" s="4" t="str">
        <x:v>https://gestion3.urjc.es/guiasdocentes/pdfGuia.jsp?txtAsignatura=2285037&amp;txtTitulacion=2285&amp;txtCursoAcademico=2026-27</x:v>
      </x:c>
      <x:c r="D119" s="4" t="str">
        <x:v>https://servicios.urjc.es/guiasdocentes/pdfGuia.jsp?txtAsignatura=2285037&amp;txtTitulacion=2285&amp;txtCursoAcademico=2026-27</x:v>
      </x:c>
      <x:c r="E119" s="4" t="str">
        <x:v>CAPTURADO</x:v>
      </x:c>
      <x:c r="F119" s="4" t="str">
        <x:v>234641</x:v>
      </x:c>
      <x:c r="G119" s="4" t="str">
        <x:v>c911899853f38cab8c3d845e837e43b6adb99aec161edcd0d6168fabba9f9f55</x:v>
      </x:c>
      <x:c r="H119" s="4" t="str">
        <x:v>10</x:v>
      </x:c>
      <x:c r="I119" s="4" t="str">
        <x:v>II y IV: lectura curricular; III: códigos de resultados extraídos. Identidad y contenido contrastados.</x:v>
      </x:c>
      <x:c r="J119" s="4" t="str">
        <x:v>CURRICULAR_REVISADA</x:v>
      </x:c>
      <x:c r="K119" s="4" t="n">
        <x:v>46273.839436608796</x:v>
      </x:c>
      <x:c r="L119" s="12" t="n">
        <x:f>COUNTIF('21_Fuentes_educativas'!$A$5:$A$188,A119)-1</x:f>
        <x:v>0</x:v>
      </x:c>
      <x:c r="M119" s="12" t="n">
        <x:f>IF(E119="CAPTURADO",IF(LEN(G119)=64,0,1),0)</x:f>
        <x:v>0</x:v>
      </x:c>
    </x:row>
    <x:row r="120" ht="47" customHeight="1">
      <x:c r="A120" s="4" t="str">
        <x:v>R037</x:v>
      </x:c>
      <x:c r="B120" s="4" t="str">
        <x:v>REGULACION Y GOBERNANZA DE LA SEGURIDAD</x:v>
      </x:c>
      <x:c r="C120" s="4" t="str">
        <x:v>https://gestion3.urjc.es/guiasdocentes/pdfGuia.jsp?txtAsignatura=2285038&amp;txtTitulacion=2285&amp;txtCursoAcademico=2026-27</x:v>
      </x:c>
      <x:c r="D120" s="4" t="str">
        <x:v>https://servicios.urjc.es/guiasdocentes/pdfGuia.jsp?txtAsignatura=2285038&amp;txtTitulacion=2285&amp;txtCursoAcademico=2026-27</x:v>
      </x:c>
      <x:c r="E120" s="4" t="str">
        <x:v>CAPTURADO</x:v>
      </x:c>
      <x:c r="F120" s="4" t="str">
        <x:v>237085</x:v>
      </x:c>
      <x:c r="G120" s="4" t="str">
        <x:v>92f21597ea76857a36e6f592bfad6c604751e346260e46caf0acd69beb5082f8</x:v>
      </x:c>
      <x:c r="H120" s="4" t="str">
        <x:v>10</x:v>
      </x:c>
      <x:c r="I120" s="4" t="str">
        <x:v>II y IV: lectura curricular; III: códigos de resultados extraídos. Identidad y contenido contrastados.</x:v>
      </x:c>
      <x:c r="J120" s="4" t="str">
        <x:v>CURRICULAR_REVISADA</x:v>
      </x:c>
      <x:c r="K120" s="4" t="n">
        <x:v>46273.83971662037</x:v>
      </x:c>
      <x:c r="L120" s="12" t="n">
        <x:f>COUNTIF('21_Fuentes_educativas'!$A$5:$A$188,A120)-1</x:f>
        <x:v>0</x:v>
      </x:c>
      <x:c r="M120" s="12" t="n">
        <x:f>IF(E120="CAPTURADO",IF(LEN(G120)=64,0,1),0)</x:f>
        <x:v>0</x:v>
      </x:c>
    </x:row>
    <x:row r="121" ht="47" customHeight="1">
      <x:c r="A121" s="4" t="str">
        <x:v>R038</x:v>
      </x:c>
      <x:c r="B121" s="4" t="str">
        <x:v>PRACTICAS EXTERNAS</x:v>
      </x:c>
      <x:c r="C121" s="4" t="str">
        <x:v>https://gestion3.urjc.es/guiasdocentes/pdfGuia.jsp?txtAsignatura=2285039&amp;txtTitulacion=2285&amp;txtCursoAcademico=2026-27</x:v>
      </x:c>
      <x:c r="D121" s="4" t="str">
        <x:v>https://servicios.urjc.es/guiasdocentes/pdfGuia.jsp?txtAsignatura=2285039&amp;txtTitulacion=2285&amp;txtCursoAcademico=2026-27</x:v>
      </x:c>
      <x:c r="E121" s="4" t="str">
        <x:v>CAPTURADO</x:v>
      </x:c>
      <x:c r="F121" s="4" t="str">
        <x:v>192722</x:v>
      </x:c>
      <x:c r="G121" s="4" t="str">
        <x:v>8a4ec9299aa0f8e3ef047cefefd9b304dc39ffddfa2b3619bd29e6be6b9be2da</x:v>
      </x:c>
      <x:c r="H121" s="4" t="str">
        <x:v>8</x:v>
      </x:c>
      <x:c r="I121" s="4" t="str">
        <x:v>II y IV: lectura curricular; III: códigos de resultados extraídos. Identidad y contenido contrastados.</x:v>
      </x:c>
      <x:c r="J121" s="4" t="str">
        <x:v>CURRICULAR_REVISADA</x:v>
      </x:c>
      <x:c r="K121" s="4" t="n">
        <x:v>46273.840007453706</x:v>
      </x:c>
      <x:c r="L121" s="12" t="n">
        <x:f>COUNTIF('21_Fuentes_educativas'!$A$5:$A$188,A121)-1</x:f>
        <x:v>0</x:v>
      </x:c>
      <x:c r="M121" s="12" t="n">
        <x:f>IF(E121="CAPTURADO",IF(LEN(G121)=64,0,1),0)</x:f>
        <x:v>0</x:v>
      </x:c>
    </x:row>
    <x:row r="122" ht="47" customHeight="1">
      <x:c r="A122" s="4" t="str">
        <x:v>R039</x:v>
      </x:c>
      <x:c r="B122" s="4" t="str">
        <x:v>RECONOCIMIENTO ACADEMICO DE CREDITOS</x:v>
      </x:c>
      <x:c r="C122" s="4" t="str">
        <x:v>https://gestion3.urjc.es/guiasdocentes/pdfGuia.jsp?txtAsignatura=2285035&amp;txtTitulacion=2285&amp;txtCursoAcademico=2026-27</x:v>
      </x:c>
      <x:c r="D122" s="4" t="str">
        <x:v>https://servicios.urjc.es/guiasdocentes/pdfGuia.jsp?txtAsignatura=2285035&amp;txtTitulacion=2285&amp;txtCursoAcademico=2026-27</x:v>
      </x:c>
      <x:c r="E122" s="4" t="str">
        <x:v>CAPTURADO</x:v>
      </x:c>
      <x:c r="F122" s="4" t="str">
        <x:v>419263</x:v>
      </x:c>
      <x:c r="G122" s="4" t="str">
        <x:v>fec7f574fc45a4dc21a6badf794e85fa7cc4a4c994618209427770c2b2c34b08</x:v>
      </x:c>
      <x:c r="H122" s="4" t="str">
        <x:v>6</x:v>
      </x:c>
      <x:c r="I122" s="4" t="str">
        <x:v>Identidad y naturaleza transversal; no se incorpora temario técnico.</x:v>
      </x:c>
      <x:c r="J122" s="4" t="str">
        <x:v>TRANSVERSAL_IDENTIFICADA</x:v>
      </x:c>
      <x:c r="K122" s="4" t="n">
        <x:v>46273.84026686342</x:v>
      </x:c>
      <x:c r="L122" s="12" t="n">
        <x:f>COUNTIF('21_Fuentes_educativas'!$A$5:$A$188,A122)-1</x:f>
        <x:v>0</x:v>
      </x:c>
      <x:c r="M122" s="12" t="n">
        <x:f>IF(E122="CAPTURADO",IF(LEN(G122)=64,0,1),0)</x:f>
        <x:v>0</x:v>
      </x:c>
    </x:row>
    <x:row r="123" ht="47" customHeight="1">
      <x:c r="A123" s="4" t="str">
        <x:v>R040</x:v>
      </x:c>
      <x:c r="B123" s="4" t="str">
        <x:v>TRABAJO FIN DE GRADO</x:v>
      </x:c>
      <x:c r="C123" s="4" t="str">
        <x:v>https://gestion3.urjc.es/guiasdocentes/pdfGuia.jsp?txtAsignatura=2285040&amp;txtTitulacion=2285&amp;txtCursoAcademico=2026-27</x:v>
      </x:c>
      <x:c r="D123" s="4" t="str">
        <x:v>https://servicios.urjc.es/guiasdocentes/pdfGuia.jsp?txtAsignatura=2285040&amp;txtTitulacion=2285&amp;txtCursoAcademico=2026-27</x:v>
      </x:c>
      <x:c r="E123" s="4" t="str">
        <x:v>CAPTURADO</x:v>
      </x:c>
      <x:c r="F123" s="4" t="str">
        <x:v>219436</x:v>
      </x:c>
      <x:c r="G123" s="4" t="str">
        <x:v>3a173a15d1c352e94c31f0da51cc72f160131ddff092c38622103b9d13e04611</x:v>
      </x:c>
      <x:c r="H123" s="4" t="str">
        <x:v>9</x:v>
      </x:c>
      <x:c r="I123" s="4" t="str">
        <x:v>II y IV: lectura curricular; III: códigos de resultados extraídos. Identidad y contenido contrastados.</x:v>
      </x:c>
      <x:c r="J123" s="4" t="str">
        <x:v>CURRICULAR_REVISADA</x:v>
      </x:c>
      <x:c r="K123" s="4" t="n">
        <x:v>46273.840519467594</x:v>
      </x:c>
      <x:c r="L123" s="12" t="n">
        <x:f>COUNTIF('21_Fuentes_educativas'!$A$5:$A$188,A123)-1</x:f>
        <x:v>0</x:v>
      </x:c>
      <x:c r="M123" s="12" t="n">
        <x:f>IF(E123="CAPTURADO",IF(LEN(G123)=64,0,1),0)</x:f>
        <x:v>0</x:v>
      </x:c>
    </x:row>
    <x:row r="124" ht="47" customHeight="1">
      <x:c r="A124" s="4" t="str">
        <x:v>U001</x:v>
      </x:c>
      <x:c r="B124" s="4" t="str">
        <x:v>FUNDAMENTOS FISICOS DE LA INFORMATICA</x:v>
      </x:c>
      <x:c r="C124" s="4" t="str">
        <x:v>https://gestion3.urjc.es/guiasdocentes/pdfGuia.jsp?txtAsignatura=2285001&amp;txtTitulacion=2285&amp;txtCursoAcademico=2026-27</x:v>
      </x:c>
      <x:c r="D124" s="4" t="str">
        <x:v>https://servicios.urjc.es/guiasdocentes/pdfGuia.jsp?txtAsignatura=2285001&amp;txtTitulacion=2285&amp;txtCursoAcademico=2026-27</x:v>
      </x:c>
      <x:c r="E124" s="4" t="str">
        <x:v>CAPTURADO</x:v>
      </x:c>
      <x:c r="F124" s="4" t="str">
        <x:v>254601</x:v>
      </x:c>
      <x:c r="G124" s="4" t="str">
        <x:v>66a6e07633633e3229d4fc8ed5a31f2985edf077baa6aba13a2e6e78c2c5a0ca</x:v>
      </x:c>
      <x:c r="H124" s="4" t="str">
        <x:v>11</x:v>
      </x:c>
      <x:c r="I124" s="4" t="str">
        <x:v>Lote paralelo apartado: se detectó mezcla entre portada y temario.</x:v>
      </x:c>
      <x:c r="J124" s="4" t="str">
        <x:v>CUARENTENA</x:v>
      </x:c>
      <x:c r="K124" s="4" t="n">
        <x:v>46273.827030381944</x:v>
      </x:c>
      <x:c r="L124" s="12" t="n">
        <x:f>COUNTIF('21_Fuentes_educativas'!$A$5:$A$188,A124)-1</x:f>
        <x:v>0</x:v>
      </x:c>
      <x:c r="M124" s="12" t="n">
        <x:f>IF(E124="CAPTURADO",IF(LEN(G124)=64,0,1),0)</x:f>
        <x:v>0</x:v>
      </x:c>
    </x:row>
    <x:row r="125" ht="47" customHeight="1">
      <x:c r="A125" s="4" t="str">
        <x:v>U002</x:v>
      </x:c>
      <x:c r="B125" s="4" t="str">
        <x:v>INTRODUCCION A LA CIBERSEGURIDAD</x:v>
      </x:c>
      <x:c r="C125" s="4" t="str">
        <x:v>https://gestion3.urjc.es/guiasdocentes/pdfGuia.jsp?txtAsignatura=2285002&amp;txtTitulacion=2285&amp;txtCursoAcademico=2026-27</x:v>
      </x:c>
      <x:c r="D125" s="4" t="str">
        <x:v>https://servicios.urjc.es/guiasdocentes/pdfGuia.jsp?txtAsignatura=2285002&amp;txtTitulacion=2285&amp;txtCursoAcademico=2026-27</x:v>
      </x:c>
      <x:c r="E125" s="4" t="str">
        <x:v>CAPTURADO</x:v>
      </x:c>
      <x:c r="F125" s="4" t="str">
        <x:v>256839</x:v>
      </x:c>
      <x:c r="G125" s="4" t="str">
        <x:v>862fbc716b84c042ef80168d5e25a4771151194db790ba86dbed6dfd06756834</x:v>
      </x:c>
      <x:c r="H125" s="4" t="str">
        <x:v>11</x:v>
      </x:c>
      <x:c r="I125" s="4" t="str">
        <x:v>Lote paralelo apartado: se detectó mezcla entre portada y temario.</x:v>
      </x:c>
      <x:c r="J125" s="4" t="str">
        <x:v>CUARENTENA</x:v>
      </x:c>
      <x:c r="K125" s="4" t="n">
        <x:v>46273.82702952546</x:v>
      </x:c>
      <x:c r="L125" s="12" t="n">
        <x:f>COUNTIF('21_Fuentes_educativas'!$A$5:$A$188,A125)-1</x:f>
        <x:v>0</x:v>
      </x:c>
      <x:c r="M125" s="12" t="n">
        <x:f>IF(E125="CAPTURADO",IF(LEN(G125)=64,0,1),0)</x:f>
        <x:v>0</x:v>
      </x:c>
    </x:row>
    <x:row r="126" ht="47" customHeight="1">
      <x:c r="A126" s="4" t="str">
        <x:v>U003</x:v>
      </x:c>
      <x:c r="B126" s="4" t="str">
        <x:v>INTRODUCCION A LA PROGRAMACION</x:v>
      </x:c>
      <x:c r="C126" s="4" t="str">
        <x:v>https://gestion3.urjc.es/guiasdocentes/pdfGuia.jsp?txtAsignatura=2285003&amp;txtTitulacion=2285&amp;txtCursoAcademico=2026-27</x:v>
      </x:c>
      <x:c r="D126" s="4" t="str">
        <x:v>https://servicios.urjc.es/guiasdocentes/pdfGuia.jsp?txtAsignatura=2285003&amp;txtTitulacion=2285&amp;txtCursoAcademico=2026-27</x:v>
      </x:c>
      <x:c r="E126" s="4" t="str">
        <x:v>CAPTURADO</x:v>
      </x:c>
      <x:c r="F126" s="4" t="str">
        <x:v>240160</x:v>
      </x:c>
      <x:c r="G126" s="4" t="str">
        <x:v>74872a94b4513b5ea37971be5cde171ab1ed2269920f0b212f83b65ddd76776a</x:v>
      </x:c>
      <x:c r="H126" s="4" t="str">
        <x:v>10</x:v>
      </x:c>
      <x:c r="I126" s="4" t="str">
        <x:v>Lote paralelo apartado: se detectó mezcla entre portada y temario.</x:v>
      </x:c>
      <x:c r="J126" s="4" t="str">
        <x:v>CUARENTENA</x:v>
      </x:c>
      <x:c r="K126" s="4" t="n">
        <x:v>46273.827033761576</x:v>
      </x:c>
      <x:c r="L126" s="12" t="n">
        <x:f>COUNTIF('21_Fuentes_educativas'!$A$5:$A$188,A126)-1</x:f>
        <x:v>0</x:v>
      </x:c>
      <x:c r="M126" s="12" t="n">
        <x:f>IF(E126="CAPTURADO",IF(LEN(G126)=64,0,1),0)</x:f>
        <x:v>0</x:v>
      </x:c>
    </x:row>
    <x:row r="127" ht="47" customHeight="1">
      <x:c r="A127" s="4" t="str">
        <x:v>U004</x:v>
      </x:c>
      <x:c r="B127" s="4" t="str">
        <x:v>LOGICA</x:v>
      </x:c>
      <x:c r="C127" s="4" t="str">
        <x:v>https://gestion3.urjc.es/guiasdocentes/pdfGuia.jsp?txtAsignatura=2285004&amp;txtTitulacion=2285&amp;txtCursoAcademico=2026-27</x:v>
      </x:c>
      <x:c r="D127" s="4" t="str">
        <x:v>https://servicios.urjc.es/guiasdocentes/pdfGuia.jsp?txtAsignatura=2285004&amp;txtTitulacion=2285&amp;txtCursoAcademico=2026-27</x:v>
      </x:c>
      <x:c r="E127" s="4" t="str">
        <x:v>CAPTURADO</x:v>
      </x:c>
      <x:c r="F127" s="4" t="str">
        <x:v>240984</x:v>
      </x:c>
      <x:c r="G127" s="4" t="str">
        <x:v>d6d42df45c8888d0e6cae29a01b6137db5159876fee830912345b2f8364b65ea</x:v>
      </x:c>
      <x:c r="H127" s="4" t="str">
        <x:v>10</x:v>
      </x:c>
      <x:c r="I127" s="4" t="str">
        <x:v>Lote paralelo apartado: se detectó mezcla entre portada y temario.</x:v>
      </x:c>
      <x:c r="J127" s="4" t="str">
        <x:v>CUARENTENA</x:v>
      </x:c>
      <x:c r="K127" s="4" t="n">
        <x:v>46273.827031875</x:v>
      </x:c>
      <x:c r="L127" s="12" t="n">
        <x:f>COUNTIF('21_Fuentes_educativas'!$A$5:$A$188,A127)-1</x:f>
        <x:v>0</x:v>
      </x:c>
      <x:c r="M127" s="12" t="n">
        <x:f>IF(E127="CAPTURADO",IF(LEN(G127)=64,0,1),0)</x:f>
        <x:v>0</x:v>
      </x:c>
    </x:row>
    <x:row r="128" ht="47" customHeight="1">
      <x:c r="A128" s="4" t="str">
        <x:v>U005</x:v>
      </x:c>
      <x:c r="B128" s="4" t="str">
        <x:v>MATEMATICA DISCRETA Y ALGEBRA</x:v>
      </x:c>
      <x:c r="C128" s="4" t="str">
        <x:v>https://gestion3.urjc.es/guiasdocentes/pdfGuia.jsp?txtAsignatura=2285005&amp;txtTitulacion=2285&amp;txtCursoAcademico=2026-27</x:v>
      </x:c>
      <x:c r="D128" s="4" t="str">
        <x:v>https://servicios.urjc.es/guiasdocentes/pdfGuia.jsp?txtAsignatura=2285005&amp;txtTitulacion=2285&amp;txtCursoAcademico=2026-27</x:v>
      </x:c>
      <x:c r="E128" s="4" t="str">
        <x:v>CAPTURADO</x:v>
      </x:c>
      <x:c r="F128" s="4" t="str">
        <x:v>240132</x:v>
      </x:c>
      <x:c r="G128" s="4" t="str">
        <x:v>3d9dff8954dcc1c7cb6dd3dfa8137ae2cef878825830a0cc95cb06b6140d7256</x:v>
      </x:c>
      <x:c r="H128" s="4" t="str">
        <x:v>10</x:v>
      </x:c>
      <x:c r="I128" s="4" t="str">
        <x:v>Lote paralelo apartado: se detectó mezcla entre portada y temario.</x:v>
      </x:c>
      <x:c r="J128" s="4" t="str">
        <x:v>CUARENTENA</x:v>
      </x:c>
      <x:c r="K128" s="4" t="n">
        <x:v>46273.82702831019</x:v>
      </x:c>
      <x:c r="L128" s="12" t="n">
        <x:f>COUNTIF('21_Fuentes_educativas'!$A$5:$A$188,A128)-1</x:f>
        <x:v>0</x:v>
      </x:c>
      <x:c r="M128" s="12" t="n">
        <x:f>IF(E128="CAPTURADO",IF(LEN(G128)=64,0,1),0)</x:f>
        <x:v>0</x:v>
      </x:c>
    </x:row>
    <x:row r="129" ht="47" customHeight="1">
      <x:c r="A129" s="4" t="str">
        <x:v>U006</x:v>
      </x:c>
      <x:c r="B129" s="4" t="str">
        <x:v>CALCULO</x:v>
      </x:c>
      <x:c r="C129" s="4" t="str">
        <x:v>https://gestion3.urjc.es/guiasdocentes/pdfGuia.jsp?txtAsignatura=2285006&amp;txtTitulacion=2285&amp;txtCursoAcademico=2026-27</x:v>
      </x:c>
      <x:c r="D129" s="4" t="str">
        <x:v>https://servicios.urjc.es/guiasdocentes/pdfGuia.jsp?txtAsignatura=2285006&amp;txtTitulacion=2285&amp;txtCursoAcademico=2026-27</x:v>
      </x:c>
      <x:c r="E129" s="4" t="str">
        <x:v>CAPTURADO</x:v>
      </x:c>
      <x:c r="F129" s="4" t="str">
        <x:v>241195</x:v>
      </x:c>
      <x:c r="G129" s="4" t="str">
        <x:v>a1c1c82d25228d191cd3140f64b6cca4acfb794cb547395ac479c5feb85d96ce</x:v>
      </x:c>
      <x:c r="H129" s="4" t="str">
        <x:v>10</x:v>
      </x:c>
      <x:c r="I129" s="4" t="str">
        <x:v>Lote paralelo apartado: se detectó mezcla entre portada y temario.</x:v>
      </x:c>
      <x:c r="J129" s="4" t="str">
        <x:v>CUARENTENA</x:v>
      </x:c>
      <x:c r="K129" s="4" t="n">
        <x:v>46273.82703378472</x:v>
      </x:c>
      <x:c r="L129" s="12" t="n">
        <x:f>COUNTIF('21_Fuentes_educativas'!$A$5:$A$188,A129)-1</x:f>
        <x:v>0</x:v>
      </x:c>
      <x:c r="M129" s="12" t="n">
        <x:f>IF(E129="CAPTURADO",IF(LEN(G129)=64,0,1),0)</x:f>
        <x:v>0</x:v>
      </x:c>
    </x:row>
    <x:row r="130" ht="47" customHeight="1">
      <x:c r="A130" s="4" t="str">
        <x:v>U007</x:v>
      </x:c>
      <x:c r="B130" s="4" t="str">
        <x:v>CRIPTOGRAFIA</x:v>
      </x:c>
      <x:c r="C130" s="4" t="str">
        <x:v>https://gestion3.urjc.es/guiasdocentes/pdfGuia.jsp?txtAsignatura=2285007&amp;txtTitulacion=2285&amp;txtCursoAcademico=2026-27</x:v>
      </x:c>
      <x:c r="D130" s="4" t="str">
        <x:v>https://servicios.urjc.es/guiasdocentes/pdfGuia.jsp?txtAsignatura=2285007&amp;txtTitulacion=2285&amp;txtCursoAcademico=2026-27</x:v>
      </x:c>
      <x:c r="E130" s="4" t="str">
        <x:v>CAPTURADO</x:v>
      </x:c>
      <x:c r="F130" s="4" t="str">
        <x:v>242165</x:v>
      </x:c>
      <x:c r="G130" s="4" t="str">
        <x:v>208df833de31453d901453a7ffa022891f77ee08a1fe53d78c8ccfc54d42fbc1</x:v>
      </x:c>
      <x:c r="H130" s="4" t="str">
        <x:v>10</x:v>
      </x:c>
      <x:c r="I130" s="4" t="str">
        <x:v>Lote paralelo apartado: se detectó mezcla entre portada y temario.</x:v>
      </x:c>
      <x:c r="J130" s="4" t="str">
        <x:v>CUARENTENA</x:v>
      </x:c>
      <x:c r="K130" s="4" t="n">
        <x:v>46273.82730052083</x:v>
      </x:c>
      <x:c r="L130" s="12" t="n">
        <x:f>COUNTIF('21_Fuentes_educativas'!$A$5:$A$188,A130)-1</x:f>
        <x:v>0</x:v>
      </x:c>
      <x:c r="M130" s="12" t="n">
        <x:f>IF(E130="CAPTURADO",IF(LEN(G130)=64,0,1),0)</x:f>
        <x:v>0</x:v>
      </x:c>
    </x:row>
    <x:row r="131" ht="47" customHeight="1">
      <x:c r="A131" s="4" t="str">
        <x:v>U008</x:v>
      </x:c>
      <x:c r="B131" s="4" t="str">
        <x:v>DIMENSIONES Y MODELO DE LA SEGURIDAD</x:v>
      </x:c>
      <x:c r="C131" s="4" t="str">
        <x:v>https://gestion3.urjc.es/guiasdocentes/pdfGuia.jsp?txtAsignatura=2285008&amp;txtTitulacion=2285&amp;txtCursoAcademico=2026-27</x:v>
      </x:c>
      <x:c r="D131" s="4" t="str">
        <x:v>https://servicios.urjc.es/guiasdocentes/pdfGuia.jsp?txtAsignatura=2285008&amp;txtTitulacion=2285&amp;txtCursoAcademico=2026-27</x:v>
      </x:c>
      <x:c r="E131" s="4" t="str">
        <x:v>CAPTURADO</x:v>
      </x:c>
      <x:c r="F131" s="4" t="str">
        <x:v>242415</x:v>
      </x:c>
      <x:c r="G131" s="4" t="str">
        <x:v>7d4a865b71acc5e8432ae90bd2a472792aac1d78ccd048c9123f03e5f5454c30</x:v>
      </x:c>
      <x:c r="H131" s="4" t="str">
        <x:v>10</x:v>
      </x:c>
      <x:c r="I131" s="4" t="str">
        <x:v>Lote paralelo apartado: se detectó mezcla entre portada y temario.</x:v>
      </x:c>
      <x:c r="J131" s="4" t="str">
        <x:v>CUARENTENA</x:v>
      </x:c>
      <x:c r="K131" s="4" t="n">
        <x:v>46273.827302060185</x:v>
      </x:c>
      <x:c r="L131" s="12" t="n">
        <x:f>COUNTIF('21_Fuentes_educativas'!$A$5:$A$188,A131)-1</x:f>
        <x:v>0</x:v>
      </x:c>
      <x:c r="M131" s="12" t="n">
        <x:f>IF(E131="CAPTURADO",IF(LEN(G131)=64,0,1),0)</x:f>
        <x:v>0</x:v>
      </x:c>
    </x:row>
    <x:row r="132" ht="47" customHeight="1">
      <x:c r="A132" s="4" t="str">
        <x:v>U009</x:v>
      </x:c>
      <x:c r="B132" s="4" t="str">
        <x:v>ESTADISTICA</x:v>
      </x:c>
      <x:c r="C132" s="4" t="str">
        <x:v>https://gestion3.urjc.es/guiasdocentes/pdfGuia.jsp?txtAsignatura=2285009&amp;txtTitulacion=2285&amp;txtCursoAcademico=2026-27</x:v>
      </x:c>
      <x:c r="D132" s="4" t="str"/>
      <x:c r="E132" s="4" t="str">
        <x:v>ERROR</x:v>
      </x:c>
      <x:c r="F132" s="4" t="str"/>
      <x:c r="G132" s="4" t="str"/>
      <x:c r="H132" s="4" t="str"/>
      <x:c r="I132" s="4" t="str">
        <x:v>HTTP Error 500: </x:v>
      </x:c>
      <x:c r="J132" s="4" t="str">
        <x:v>SIN_CAPTURA</x:v>
      </x:c>
      <x:c r="K132" s="4" t="str"/>
      <x:c r="L132" s="12" t="n">
        <x:f>COUNTIF('21_Fuentes_educativas'!$A$5:$A$188,A132)-1</x:f>
        <x:v>0</x:v>
      </x:c>
      <x:c r="M132" s="12" t="n">
        <x:f>IF(E132="CAPTURADO",IF(LEN(G132)=64,0,1),0)</x:f>
        <x:v>0</x:v>
      </x:c>
    </x:row>
    <x:row r="133" ht="47" customHeight="1">
      <x:c r="A133" s="4" t="str">
        <x:v>U010</x:v>
      </x:c>
      <x:c r="B133" s="4" t="str">
        <x:v>ESTRUCTURAS DE DATOS</x:v>
      </x:c>
      <x:c r="C133" s="4" t="str">
        <x:v>https://gestion3.urjc.es/guiasdocentes/pdfGuia.jsp?txtAsignatura=2285010&amp;txtTitulacion=2285&amp;txtCursoAcademico=2026-27</x:v>
      </x:c>
      <x:c r="D133" s="4" t="str">
        <x:v>https://servicios.urjc.es/guiasdocentes/pdfGuia.jsp?txtAsignatura=2285010&amp;txtTitulacion=2285&amp;txtCursoAcademico=2026-27</x:v>
      </x:c>
      <x:c r="E133" s="4" t="str">
        <x:v>CAPTURADO</x:v>
      </x:c>
      <x:c r="F133" s="4" t="str">
        <x:v>294869</x:v>
      </x:c>
      <x:c r="G133" s="4" t="str">
        <x:v>6c7485013d23807666484b07b13b85466d096d07c389d8069a4e7c209e60bbb1</x:v>
      </x:c>
      <x:c r="H133" s="4" t="str">
        <x:v>13</x:v>
      </x:c>
      <x:c r="I133" s="4" t="str">
        <x:v>Lote paralelo apartado: se detectó mezcla entre portada y temario.</x:v>
      </x:c>
      <x:c r="J133" s="4" t="str">
        <x:v>CUARENTENA</x:v>
      </x:c>
      <x:c r="K133" s="4" t="n">
        <x:v>46273.82730511574</x:v>
      </x:c>
      <x:c r="L133" s="12" t="n">
        <x:f>COUNTIF('21_Fuentes_educativas'!$A$5:$A$188,A133)-1</x:f>
        <x:v>0</x:v>
      </x:c>
      <x:c r="M133" s="12" t="n">
        <x:f>IF(E133="CAPTURADO",IF(LEN(G133)=64,0,1),0)</x:f>
        <x:v>0</x:v>
      </x:c>
    </x:row>
    <x:row r="134" ht="47" customHeight="1">
      <x:c r="A134" s="4" t="str">
        <x:v>U011</x:v>
      </x:c>
      <x:c r="B134" s="4" t="str">
        <x:v>METODOS OPERATIVOS Y ESTADISTICOS DE GESTION</x:v>
      </x:c>
      <x:c r="C134" s="4" t="str">
        <x:v>https://gestion3.urjc.es/guiasdocentes/pdfGuia.jsp?txtAsignatura=2285011&amp;txtTitulacion=2285&amp;txtCursoAcademico=2026-27</x:v>
      </x:c>
      <x:c r="D134" s="4" t="str"/>
      <x:c r="E134" s="4" t="str">
        <x:v>ERROR</x:v>
      </x:c>
      <x:c r="F134" s="4" t="str"/>
      <x:c r="G134" s="4" t="str"/>
      <x:c r="H134" s="4" t="str"/>
      <x:c r="I134" s="4" t="str">
        <x:v>HTTP Error 500: </x:v>
      </x:c>
      <x:c r="J134" s="4" t="str">
        <x:v>SIN_CAPTURA</x:v>
      </x:c>
      <x:c r="K134" s="4" t="str"/>
      <x:c r="L134" s="12" t="n">
        <x:f>COUNTIF('21_Fuentes_educativas'!$A$5:$A$188,A134)-1</x:f>
        <x:v>0</x:v>
      </x:c>
      <x:c r="M134" s="12" t="n">
        <x:f>IF(E134="CAPTURADO",IF(LEN(G134)=64,0,1),0)</x:f>
        <x:v>0</x:v>
      </x:c>
    </x:row>
    <x:row r="135" ht="47" customHeight="1">
      <x:c r="A135" s="4" t="str">
        <x:v>U012</x:v>
      </x:c>
      <x:c r="B135" s="4" t="str">
        <x:v>PRINCIPIOS JURIDICOS BASICOS APLICADOS A LA CIBERSEGURIDAD</x:v>
      </x:c>
      <x:c r="C135" s="4" t="str">
        <x:v>https://gestion3.urjc.es/guiasdocentes/pdfGuia.jsp?txtAsignatura=2285012&amp;txtTitulacion=2285&amp;txtCursoAcademico=2026-27</x:v>
      </x:c>
      <x:c r="D135" s="4" t="str">
        <x:v>https://servicios.urjc.es/guiasdocentes/pdfGuia.jsp?txtAsignatura=2285012&amp;txtTitulacion=2285&amp;txtCursoAcademico=2026-27</x:v>
      </x:c>
      <x:c r="E135" s="4" t="str">
        <x:v>CAPTURADO</x:v>
      </x:c>
      <x:c r="F135" s="4" t="str">
        <x:v>295249</x:v>
      </x:c>
      <x:c r="G135" s="4" t="str">
        <x:v>306a71633ca55ee8f731fa690e8094c860bf607c0a056b6d615ca69b68d3cd23</x:v>
      </x:c>
      <x:c r="H135" s="4" t="str">
        <x:v>13</x:v>
      </x:c>
      <x:c r="I135" s="4" t="str">
        <x:v>Lote paralelo apartado: se detectó mezcla entre portada y temario.</x:v>
      </x:c>
      <x:c r="J135" s="4" t="str">
        <x:v>CUARENTENA</x:v>
      </x:c>
      <x:c r="K135" s="4" t="n">
        <x:v>46273.8273049537</x:v>
      </x:c>
      <x:c r="L135" s="12" t="n">
        <x:f>COUNTIF('21_Fuentes_educativas'!$A$5:$A$188,A135)-1</x:f>
        <x:v>0</x:v>
      </x:c>
      <x:c r="M135" s="12" t="n">
        <x:f>IF(E135="CAPTURADO",IF(LEN(G135)=64,0,1),0)</x:f>
        <x:v>0</x:v>
      </x:c>
    </x:row>
    <x:row r="136" ht="47" customHeight="1">
      <x:c r="A136" s="4" t="str">
        <x:v>U013</x:v>
      </x:c>
      <x:c r="B136" s="4" t="str">
        <x:v>PROGRAMACION AVANZADA</x:v>
      </x:c>
      <x:c r="C136" s="4" t="str">
        <x:v>https://gestion3.urjc.es/guiasdocentes/pdfGuia.jsp?txtAsignatura=2285013&amp;txtTitulacion=2285&amp;txtCursoAcademico=2026-27</x:v>
      </x:c>
      <x:c r="D136" s="4" t="str">
        <x:v>https://servicios.urjc.es/guiasdocentes/pdfGuia.jsp?txtAsignatura=2285013&amp;txtTitulacion=2285&amp;txtCursoAcademico=2026-27</x:v>
      </x:c>
      <x:c r="E136" s="4" t="str">
        <x:v>CAPTURADO</x:v>
      </x:c>
      <x:c r="F136" s="4" t="str">
        <x:v>325245</x:v>
      </x:c>
      <x:c r="G136" s="4" t="str">
        <x:v>012523016bbd9010e7a8dd0d77e0854260ca6d7448d53a1a2fa4b1134245c4dc</x:v>
      </x:c>
      <x:c r="H136" s="4" t="str">
        <x:v>14</x:v>
      </x:c>
      <x:c r="I136" s="4" t="str">
        <x:v>Lote paralelo apartado: se detectó mezcla entre portada y temario.</x:v>
      </x:c>
      <x:c r="J136" s="4" t="str">
        <x:v>CUARENTENA</x:v>
      </x:c>
      <x:c r="K136" s="4" t="n">
        <x:v>46273.827774074074</x:v>
      </x:c>
      <x:c r="L136" s="12" t="n">
        <x:f>COUNTIF('21_Fuentes_educativas'!$A$5:$A$188,A136)-1</x:f>
        <x:v>0</x:v>
      </x:c>
      <x:c r="M136" s="12" t="n">
        <x:f>IF(E136="CAPTURADO",IF(LEN(G136)=64,0,1),0)</x:f>
        <x:v>0</x:v>
      </x:c>
    </x:row>
    <x:row r="137" ht="47" customHeight="1">
      <x:c r="A137" s="4" t="str">
        <x:v>U014</x:v>
      </x:c>
      <x:c r="B137" s="4" t="str">
        <x:v>REDES DE COMPUTADORES</x:v>
      </x:c>
      <x:c r="C137" s="4" t="str">
        <x:v>https://gestion3.urjc.es/guiasdocentes/pdfGuia.jsp?txtAsignatura=2285014&amp;txtTitulacion=2285&amp;txtCursoAcademico=2026-27</x:v>
      </x:c>
      <x:c r="D137" s="4" t="str">
        <x:v>https://servicios.urjc.es/guiasdocentes/pdfGuia.jsp?txtAsignatura=2285014&amp;txtTitulacion=2285&amp;txtCursoAcademico=2026-27</x:v>
      </x:c>
      <x:c r="E137" s="4" t="str">
        <x:v>CAPTURADO</x:v>
      </x:c>
      <x:c r="F137" s="4" t="str">
        <x:v>325247</x:v>
      </x:c>
      <x:c r="G137" s="4" t="str">
        <x:v>1284cd2924a5edd105ea498b28068c941525bbd9f40a085efb66143d90773e4d</x:v>
      </x:c>
      <x:c r="H137" s="4" t="str">
        <x:v>14</x:v>
      </x:c>
      <x:c r="I137" s="4" t="str">
        <x:v>Lote paralelo apartado: se detectó mezcla entre portada y temario.</x:v>
      </x:c>
      <x:c r="J137" s="4" t="str">
        <x:v>CUARENTENA</x:v>
      </x:c>
      <x:c r="K137" s="4" t="n">
        <x:v>46273.827766574075</x:v>
      </x:c>
      <x:c r="L137" s="12" t="n">
        <x:f>COUNTIF('21_Fuentes_educativas'!$A$5:$A$188,A137)-1</x:f>
        <x:v>0</x:v>
      </x:c>
      <x:c r="M137" s="12" t="n">
        <x:f>IF(E137="CAPTURADO",IF(LEN(G137)=64,0,1),0)</x:f>
        <x:v>0</x:v>
      </x:c>
    </x:row>
    <x:row r="138" ht="47" customHeight="1">
      <x:c r="A138" s="4" t="str">
        <x:v>U015</x:v>
      </x:c>
      <x:c r="B138" s="4" t="str">
        <x:v>TECNICAS DE HACKING</x:v>
      </x:c>
      <x:c r="C138" s="4" t="str">
        <x:v>https://gestion3.urjc.es/guiasdocentes/pdfGuia.jsp?txtAsignatura=2285015&amp;txtTitulacion=2285&amp;txtCursoAcademico=2026-27</x:v>
      </x:c>
      <x:c r="D138" s="4" t="str">
        <x:v>https://servicios.urjc.es/guiasdocentes/pdfGuia.jsp?txtAsignatura=2285015&amp;txtTitulacion=2285&amp;txtCursoAcademico=2026-27</x:v>
      </x:c>
      <x:c r="E138" s="4" t="str">
        <x:v>CAPTURADO</x:v>
      </x:c>
      <x:c r="F138" s="4" t="str">
        <x:v>325206</x:v>
      </x:c>
      <x:c r="G138" s="4" t="str">
        <x:v>81cd216fed50d3569af68f4623c4ab7b7bab3d70c477afe76699d4ccbfb81b81</x:v>
      </x:c>
      <x:c r="H138" s="4" t="str">
        <x:v>14</x:v>
      </x:c>
      <x:c r="I138" s="4" t="str">
        <x:v>Lote paralelo apartado: se detectó mezcla entre portada y temario.</x:v>
      </x:c>
      <x:c r="J138" s="4" t="str">
        <x:v>CUARENTENA</x:v>
      </x:c>
      <x:c r="K138" s="4" t="n">
        <x:v>46273.8277740625</x:v>
      </x:c>
      <x:c r="L138" s="12" t="n">
        <x:f>COUNTIF('21_Fuentes_educativas'!$A$5:$A$188,A138)-1</x:f>
        <x:v>0</x:v>
      </x:c>
      <x:c r="M138" s="12" t="n">
        <x:f>IF(E138="CAPTURADO",IF(LEN(G138)=64,0,1),0)</x:f>
        <x:v>0</x:v>
      </x:c>
    </x:row>
    <x:row r="139" ht="47" customHeight="1">
      <x:c r="A139" s="4" t="str">
        <x:v>U016</x:v>
      </x:c>
      <x:c r="B139" s="4" t="str">
        <x:v>BASES DE DATOS</x:v>
      </x:c>
      <x:c r="C139" s="4" t="str">
        <x:v>https://gestion3.urjc.es/guiasdocentes/pdfGuia.jsp?txtAsignatura=2285016&amp;txtTitulacion=2285&amp;txtCursoAcademico=2026-27</x:v>
      </x:c>
      <x:c r="D139" s="4" t="str">
        <x:v>https://servicios.urjc.es/guiasdocentes/pdfGuia.jsp?txtAsignatura=2285016&amp;txtTitulacion=2285&amp;txtCursoAcademico=2026-27</x:v>
      </x:c>
      <x:c r="E139" s="4" t="str">
        <x:v>CAPTURADO</x:v>
      </x:c>
      <x:c r="F139" s="4" t="str">
        <x:v>325144</x:v>
      </x:c>
      <x:c r="G139" s="4" t="str">
        <x:v>e7875fa7e89442dc244a75fc62a908e96b935e48549f6a458fa1271abe83d611</x:v>
      </x:c>
      <x:c r="H139" s="4" t="str">
        <x:v>14</x:v>
      </x:c>
      <x:c r="I139" s="4" t="str">
        <x:v>Lote paralelo apartado: se detectó mezcla entre portada y temario.</x:v>
      </x:c>
      <x:c r="J139" s="4" t="str">
        <x:v>CUARENTENA</x:v>
      </x:c>
      <x:c r="K139" s="4" t="n">
        <x:v>46273.82777394676</x:v>
      </x:c>
      <x:c r="L139" s="12" t="n">
        <x:f>COUNTIF('21_Fuentes_educativas'!$A$5:$A$188,A139)-1</x:f>
        <x:v>0</x:v>
      </x:c>
      <x:c r="M139" s="12" t="n">
        <x:f>IF(E139="CAPTURADO",IF(LEN(G139)=64,0,1),0)</x:f>
        <x:v>0</x:v>
      </x:c>
    </x:row>
    <x:row r="140" ht="47" customHeight="1">
      <x:c r="A140" s="4" t="str">
        <x:v>U017</x:v>
      </x:c>
      <x:c r="B140" s="4" t="str">
        <x:v>DESARROLLO WEB SEGURO</x:v>
      </x:c>
      <x:c r="C140" s="4" t="str">
        <x:v>https://gestion3.urjc.es/guiasdocentes/pdfGuia.jsp?txtAsignatura=2285017&amp;txtTitulacion=2285&amp;txtCursoAcademico=2026-27</x:v>
      </x:c>
      <x:c r="D140" s="4" t="str">
        <x:v>https://servicios.urjc.es/guiasdocentes/pdfGuia.jsp?txtAsignatura=2285017&amp;txtTitulacion=2285&amp;txtCursoAcademico=2026-27</x:v>
      </x:c>
      <x:c r="E140" s="4" t="str">
        <x:v>CAPTURADO</x:v>
      </x:c>
      <x:c r="F140" s="4" t="str">
        <x:v>325150</x:v>
      </x:c>
      <x:c r="G140" s="4" t="str">
        <x:v>e0dca478e630ebca64bf79d90b9a89d67c4ed3df4f9540d84a00acaeaf2e1f84</x:v>
      </x:c>
      <x:c r="H140" s="4" t="str">
        <x:v>14</x:v>
      </x:c>
      <x:c r="I140" s="4" t="str">
        <x:v>Lote paralelo apartado: se detectó mezcla entre portada y temario.</x:v>
      </x:c>
      <x:c r="J140" s="4" t="str">
        <x:v>CUARENTENA</x:v>
      </x:c>
      <x:c r="K140" s="4" t="n">
        <x:v>46273.82777568287</x:v>
      </x:c>
      <x:c r="L140" s="12" t="n">
        <x:f>COUNTIF('21_Fuentes_educativas'!$A$5:$A$188,A140)-1</x:f>
        <x:v>0</x:v>
      </x:c>
      <x:c r="M140" s="12" t="n">
        <x:f>IF(E140="CAPTURADO",IF(LEN(G140)=64,0,1),0)</x:f>
        <x:v>0</x:v>
      </x:c>
    </x:row>
    <x:row r="141" ht="47" customHeight="1">
      <x:c r="A141" s="4" t="str">
        <x:v>U018</x:v>
      </x:c>
      <x:c r="B141" s="4" t="str">
        <x:v>ESTRUCTURA DE COMPUTADORES</x:v>
      </x:c>
      <x:c r="C141" s="4" t="str">
        <x:v>https://gestion3.urjc.es/guiasdocentes/pdfGuia.jsp?txtAsignatura=2285018&amp;txtTitulacion=2285&amp;txtCursoAcademico=2026-27</x:v>
      </x:c>
      <x:c r="D141" s="4" t="str">
        <x:v>https://servicios.urjc.es/guiasdocentes/pdfGuia.jsp?txtAsignatura=2285018&amp;txtTitulacion=2285&amp;txtCursoAcademico=2026-27</x:v>
      </x:c>
      <x:c r="E141" s="4" t="str">
        <x:v>CAPTURADO</x:v>
      </x:c>
      <x:c r="F141" s="4" t="str">
        <x:v>325299</x:v>
      </x:c>
      <x:c r="G141" s="4" t="str">
        <x:v>ea43af6c7b4ef8f6bc792104516ecb69c266b0b9775dc696166adee9323f458d</x:v>
      </x:c>
      <x:c r="H141" s="4" t="str">
        <x:v>14</x:v>
      </x:c>
      <x:c r="I141" s="4" t="str">
        <x:v>Lote paralelo apartado: se detectó mezcla entre portada y temario.</x:v>
      </x:c>
      <x:c r="J141" s="4" t="str">
        <x:v>CUARENTENA</x:v>
      </x:c>
      <x:c r="K141" s="4" t="n">
        <x:v>46273.827771620374</x:v>
      </x:c>
      <x:c r="L141" s="12" t="n">
        <x:f>COUNTIF('21_Fuentes_educativas'!$A$5:$A$188,A141)-1</x:f>
        <x:v>0</x:v>
      </x:c>
      <x:c r="M141" s="12" t="n">
        <x:f>IF(E141="CAPTURADO",IF(LEN(G141)=64,0,1),0)</x:f>
        <x:v>0</x:v>
      </x:c>
    </x:row>
    <x:row r="142" ht="47" customHeight="1">
      <x:c r="A142" s="4" t="str">
        <x:v>U019</x:v>
      </x:c>
      <x:c r="B142" s="4" t="str">
        <x:v>SEGURIDAD EN REDES</x:v>
      </x:c>
      <x:c r="C142" s="4" t="str">
        <x:v>https://gestion3.urjc.es/guiasdocentes/pdfGuia.jsp?txtAsignatura=2285019&amp;txtTitulacion=2285&amp;txtCursoAcademico=2026-27</x:v>
      </x:c>
      <x:c r="D142" s="4" t="str">
        <x:v>https://servicios.urjc.es/guiasdocentes/pdfGuia.jsp?txtAsignatura=2285019&amp;txtTitulacion=2285&amp;txtCursoAcademico=2026-27</x:v>
      </x:c>
      <x:c r="E142" s="4" t="str">
        <x:v>CAPTURADO</x:v>
      </x:c>
      <x:c r="F142" s="4" t="str">
        <x:v>261577</x:v>
      </x:c>
      <x:c r="G142" s="4" t="str">
        <x:v>bb74c181d8cf51193907b01cc31612dee0daf95289c9180e48236c43bd9fa1c2</x:v>
      </x:c>
      <x:c r="H142" s="4" t="str">
        <x:v>11</x:v>
      </x:c>
      <x:c r="I142" s="4" t="str">
        <x:v>Lote paralelo apartado: se detectó mezcla entre portada y temario.</x:v>
      </x:c>
      <x:c r="J142" s="4" t="str">
        <x:v>CUARENTENA</x:v>
      </x:c>
      <x:c r="K142" s="4" t="n">
        <x:v>46273.828215960646</x:v>
      </x:c>
      <x:c r="L142" s="12" t="n">
        <x:f>COUNTIF('21_Fuentes_educativas'!$A$5:$A$188,A142)-1</x:f>
        <x:v>0</x:v>
      </x:c>
      <x:c r="M142" s="12" t="n">
        <x:f>IF(E142="CAPTURADO",IF(LEN(G142)=64,0,1),0)</x:f>
        <x:v>0</x:v>
      </x:c>
    </x:row>
    <x:row r="143" ht="47" customHeight="1">
      <x:c r="A143" s="4" t="str">
        <x:v>U020</x:v>
      </x:c>
      <x:c r="B143" s="4" t="str">
        <x:v>IDIOMA MODERNO</x:v>
      </x:c>
      <x:c r="C143" s="4" t="str">
        <x:v>https://gestion3.urjc.es/guiasdocentes/pdfGuia.jsp?txtAsignatura=2285020&amp;txtTitulacion=2285&amp;txtCursoAcademico=2026-27</x:v>
      </x:c>
      <x:c r="D143" s="4" t="str">
        <x:v>https://servicios.urjc.es/guiasdocentes/pdfGuia.jsp?txtAsignatura=2285020&amp;txtTitulacion=2285&amp;txtCursoAcademico=2026-27</x:v>
      </x:c>
      <x:c r="E143" s="4" t="str">
        <x:v>CAPTURADO</x:v>
      </x:c>
      <x:c r="F143" s="4" t="str">
        <x:v>552947</x:v>
      </x:c>
      <x:c r="G143" s="4" t="str">
        <x:v>d5be5ec49faad39c5f590cd090bfd6f8f861cb920aec7e4a67564858ca550f07</x:v>
      </x:c>
      <x:c r="H143" s="4" t="str">
        <x:v>12</x:v>
      </x:c>
      <x:c r="I143" s="4" t="str">
        <x:v>Lote paralelo apartado: se detectó mezcla entre portada y temario.</x:v>
      </x:c>
      <x:c r="J143" s="4" t="str">
        <x:v>CUARENTENA</x:v>
      </x:c>
      <x:c r="K143" s="4" t="n">
        <x:v>46273.828150023146</x:v>
      </x:c>
      <x:c r="L143" s="12" t="n">
        <x:f>COUNTIF('21_Fuentes_educativas'!$A$5:$A$188,A143)-1</x:f>
        <x:v>0</x:v>
      </x:c>
      <x:c r="M143" s="12" t="n">
        <x:f>IF(E143="CAPTURADO",IF(LEN(G143)=64,0,1),0)</x:f>
        <x:v>0</x:v>
      </x:c>
    </x:row>
    <x:row r="144" ht="47" customHeight="1">
      <x:c r="A144" s="4" t="str">
        <x:v>U021</x:v>
      </x:c>
      <x:c r="B144" s="4" t="str">
        <x:v>ARQUITECTURA DE COMPUTADORES</x:v>
      </x:c>
      <x:c r="C144" s="4" t="str">
        <x:v>https://gestion3.urjc.es/guiasdocentes/pdfGuia.jsp?txtAsignatura=2285021&amp;txtTitulacion=2285&amp;txtCursoAcademico=2026-27</x:v>
      </x:c>
      <x:c r="D144" s="4" t="str">
        <x:v>https://servicios.urjc.es/guiasdocentes/pdfGuia.jsp?txtAsignatura=2285021&amp;txtTitulacion=2285&amp;txtCursoAcademico=2026-27</x:v>
      </x:c>
      <x:c r="E144" s="4" t="str">
        <x:v>CAPTURADO</x:v>
      </x:c>
      <x:c r="F144" s="4" t="str">
        <x:v>261646</x:v>
      </x:c>
      <x:c r="G144" s="4" t="str">
        <x:v>3eef66b8af2a78f18d4e11bc7155456f97feb3a4c0bc81a4c5301b73d4acaf36</x:v>
      </x:c>
      <x:c r="H144" s="4" t="str">
        <x:v>11</x:v>
      </x:c>
      <x:c r="I144" s="4" t="str">
        <x:v>Lote paralelo apartado: se detectó mezcla entre portada y temario.</x:v>
      </x:c>
      <x:c r="J144" s="4" t="str">
        <x:v>CUARENTENA</x:v>
      </x:c>
      <x:c r="K144" s="4" t="n">
        <x:v>46273.82821825232</x:v>
      </x:c>
      <x:c r="L144" s="12" t="n">
        <x:f>COUNTIF('21_Fuentes_educativas'!$A$5:$A$188,A144)-1</x:f>
        <x:v>0</x:v>
      </x:c>
      <x:c r="M144" s="12" t="n">
        <x:f>IF(E144="CAPTURADO",IF(LEN(G144)=64,0,1),0)</x:f>
        <x:v>0</x:v>
      </x:c>
    </x:row>
    <x:row r="145" ht="47" customHeight="1">
      <x:c r="A145" s="4" t="str">
        <x:v>U022</x:v>
      </x:c>
      <x:c r="B145" s="4" t="str">
        <x:v>DISEÑO Y ANALISIS DE ALGORITMOS</x:v>
      </x:c>
      <x:c r="C145" s="4" t="str">
        <x:v>https://gestion3.urjc.es/guiasdocentes/pdfGuia.jsp?txtAsignatura=2285022&amp;txtTitulacion=2285&amp;txtCursoAcademico=2026-27</x:v>
      </x:c>
      <x:c r="D145" s="4" t="str">
        <x:v>https://servicios.urjc.es/guiasdocentes/pdfGuia.jsp?txtAsignatura=2285022&amp;txtTitulacion=2285&amp;txtCursoAcademico=2026-27</x:v>
      </x:c>
      <x:c r="E145" s="4" t="str">
        <x:v>CAPTURADO</x:v>
      </x:c>
      <x:c r="F145" s="4" t="str">
        <x:v>261723</x:v>
      </x:c>
      <x:c r="G145" s="4" t="str">
        <x:v>052eef2e885b8c1a05b621558cd8bc425b45eee1feafc70ef5ce9d5d062faaed</x:v>
      </x:c>
      <x:c r="H145" s="4" t="str">
        <x:v>11</x:v>
      </x:c>
      <x:c r="I145" s="4" t="str">
        <x:v>Lote paralelo apartado: se detectó mezcla entre portada y temario.</x:v>
      </x:c>
      <x:c r="J145" s="4" t="str">
        <x:v>CUARENTENA</x:v>
      </x:c>
      <x:c r="K145" s="4" t="n">
        <x:v>46273.82822040509</x:v>
      </x:c>
      <x:c r="L145" s="12" t="n">
        <x:f>COUNTIF('21_Fuentes_educativas'!$A$5:$A$188,A145)-1</x:f>
        <x:v>0</x:v>
      </x:c>
      <x:c r="M145" s="12" t="n">
        <x:f>IF(E145="CAPTURADO",IF(LEN(G145)=64,0,1),0)</x:f>
        <x:v>0</x:v>
      </x:c>
    </x:row>
    <x:row r="146" ht="47" customHeight="1">
      <x:c r="A146" s="4" t="str">
        <x:v>U023</x:v>
      </x:c>
      <x:c r="B146" s="4" t="str">
        <x:v>INGENIERIA DEL SOFTWARE</x:v>
      </x:c>
      <x:c r="C146" s="4" t="str">
        <x:v>https://gestion3.urjc.es/guiasdocentes/pdfGuia.jsp?txtAsignatura=2285023&amp;txtTitulacion=2285&amp;txtCursoAcademico=2026-27</x:v>
      </x:c>
      <x:c r="D146" s="4" t="str">
        <x:v>https://servicios.urjc.es/guiasdocentes/pdfGuia.jsp?txtAsignatura=2285023&amp;txtTitulacion=2285&amp;txtCursoAcademico=2026-27</x:v>
      </x:c>
      <x:c r="E146" s="4" t="str">
        <x:v>CAPTURADO</x:v>
      </x:c>
      <x:c r="F146" s="4" t="str">
        <x:v>261626</x:v>
      </x:c>
      <x:c r="G146" s="4" t="str">
        <x:v>0150c40874c0a4841941e88fba9c8d717360a70efb1c443c9cccb88b4efa3809</x:v>
      </x:c>
      <x:c r="H146" s="4" t="str">
        <x:v>11</x:v>
      </x:c>
      <x:c r="I146" s="4" t="str">
        <x:v>Lote paralelo apartado: se detectó mezcla entre portada y temario.</x:v>
      </x:c>
      <x:c r="J146" s="4" t="str">
        <x:v>CUARENTENA</x:v>
      </x:c>
      <x:c r="K146" s="4" t="n">
        <x:v>46273.82821799769</x:v>
      </x:c>
      <x:c r="L146" s="12" t="n">
        <x:f>COUNTIF('21_Fuentes_educativas'!$A$5:$A$188,A146)-1</x:f>
        <x:v>0</x:v>
      </x:c>
      <x:c r="M146" s="12" t="n">
        <x:f>IF(E146="CAPTURADO",IF(LEN(G146)=64,0,1),0)</x:f>
        <x:v>0</x:v>
      </x:c>
    </x:row>
    <x:row r="147" ht="47" customHeight="1">
      <x:c r="A147" s="4" t="str">
        <x:v>U024</x:v>
      </x:c>
      <x:c r="B147" s="4" t="str">
        <x:v>SEGURIDAD EN BASES DE DATOS</x:v>
      </x:c>
      <x:c r="C147" s="4" t="str">
        <x:v>https://gestion3.urjc.es/guiasdocentes/pdfGuia.jsp?txtAsignatura=2285024&amp;txtTitulacion=2285&amp;txtCursoAcademico=2026-27</x:v>
      </x:c>
      <x:c r="D147" s="4" t="str">
        <x:v>https://servicios.urjc.es/guiasdocentes/pdfGuia.jsp?txtAsignatura=2285024&amp;txtTitulacion=2285&amp;txtCursoAcademico=2026-27</x:v>
      </x:c>
      <x:c r="E147" s="4" t="str">
        <x:v>CAPTURADO</x:v>
      </x:c>
      <x:c r="F147" s="4" t="str">
        <x:v>261655</x:v>
      </x:c>
      <x:c r="G147" s="4" t="str">
        <x:v>9dd0710c4e123e17258bba7934a710e279eb4bc942987c950d9ace12d8f2b672</x:v>
      </x:c>
      <x:c r="H147" s="4" t="str">
        <x:v>11</x:v>
      </x:c>
      <x:c r="I147" s="4" t="str">
        <x:v>Lote paralelo apartado: se detectó mezcla entre portada y temario.</x:v>
      </x:c>
      <x:c r="J147" s="4" t="str">
        <x:v>CUARENTENA</x:v>
      </x:c>
      <x:c r="K147" s="4" t="n">
        <x:v>46273.82821211805</x:v>
      </x:c>
      <x:c r="L147" s="12" t="n">
        <x:f>COUNTIF('21_Fuentes_educativas'!$A$5:$A$188,A147)-1</x:f>
        <x:v>0</x:v>
      </x:c>
      <x:c r="M147" s="12" t="n">
        <x:f>IF(E147="CAPTURADO",IF(LEN(G147)=64,0,1),0)</x:f>
        <x:v>0</x:v>
      </x:c>
    </x:row>
    <x:row r="148" ht="47" customHeight="1">
      <x:c r="A148" s="4" t="str">
        <x:v>U025</x:v>
      </x:c>
      <x:c r="B148" s="4" t="str">
        <x:v>SISTEMAS OPERATIVOS</x:v>
      </x:c>
      <x:c r="C148" s="4" t="str">
        <x:v>https://gestion3.urjc.es/guiasdocentes/pdfGuia.jsp?txtAsignatura=2285025&amp;txtTitulacion=2285&amp;txtCursoAcademico=2026-27</x:v>
      </x:c>
      <x:c r="D148" s="4" t="str">
        <x:v>https://servicios.urjc.es/guiasdocentes/pdfGuia.jsp?txtAsignatura=2285025&amp;txtTitulacion=2285&amp;txtCursoAcademico=2026-27</x:v>
      </x:c>
      <x:c r="E148" s="4" t="str">
        <x:v>CAPTURADO</x:v>
      </x:c>
      <x:c r="F148" s="4" t="str">
        <x:v>303974</x:v>
      </x:c>
      <x:c r="G148" s="4" t="str">
        <x:v>c223b504e60fd510071068947207efb73d5b749fe0d414bdb523566081002a81</x:v>
      </x:c>
      <x:c r="H148" s="4" t="str">
        <x:v>13</x:v>
      </x:c>
      <x:c r="I148" s="4" t="str">
        <x:v>Lote paralelo apartado: se detectó mezcla entre portada y temario.</x:v>
      </x:c>
      <x:c r="J148" s="4" t="str">
        <x:v>CUARENTENA</x:v>
      </x:c>
      <x:c r="K148" s="4" t="n">
        <x:v>46273.82859712963</x:v>
      </x:c>
      <x:c r="L148" s="12" t="n">
        <x:f>COUNTIF('21_Fuentes_educativas'!$A$5:$A$188,A148)-1</x:f>
        <x:v>0</x:v>
      </x:c>
      <x:c r="M148" s="12" t="n">
        <x:f>IF(E148="CAPTURADO",IF(LEN(G148)=64,0,1),0)</x:f>
        <x:v>0</x:v>
      </x:c>
    </x:row>
    <x:row r="149" ht="47" customHeight="1">
      <x:c r="A149" s="4" t="str">
        <x:v>U026</x:v>
      </x:c>
      <x:c r="B149" s="4" t="str">
        <x:v>INTELIGENCIA ARTIFICIAL</x:v>
      </x:c>
      <x:c r="C149" s="4" t="str">
        <x:v>https://gestion3.urjc.es/guiasdocentes/pdfGuia.jsp?txtAsignatura=2285026&amp;txtTitulacion=2285&amp;txtCursoAcademico=2026-27</x:v>
      </x:c>
      <x:c r="D149" s="4" t="str">
        <x:v>https://servicios.urjc.es/guiasdocentes/pdfGuia.jsp?txtAsignatura=2285026&amp;txtTitulacion=2285&amp;txtCursoAcademico=2026-27</x:v>
      </x:c>
      <x:c r="E149" s="4" t="str">
        <x:v>CAPTURADO</x:v>
      </x:c>
      <x:c r="F149" s="4" t="str">
        <x:v>303976</x:v>
      </x:c>
      <x:c r="G149" s="4" t="str">
        <x:v>6665c2ad652d5597117481949187dbd18fa1f9c003017e43f1da4ed0ac07143e</x:v>
      </x:c>
      <x:c r="H149" s="4" t="str">
        <x:v>13</x:v>
      </x:c>
      <x:c r="I149" s="4" t="str">
        <x:v>Lote paralelo apartado: se detectó mezcla entre portada y temario.</x:v>
      </x:c>
      <x:c r="J149" s="4" t="str">
        <x:v>CUARENTENA</x:v>
      </x:c>
      <x:c r="K149" s="4" t="n">
        <x:v>46273.8285953125</x:v>
      </x:c>
      <x:c r="L149" s="12" t="n">
        <x:f>COUNTIF('21_Fuentes_educativas'!$A$5:$A$188,A149)-1</x:f>
        <x:v>0</x:v>
      </x:c>
      <x:c r="M149" s="12" t="n">
        <x:f>IF(E149="CAPTURADO",IF(LEN(G149)=64,0,1),0)</x:f>
        <x:v>0</x:v>
      </x:c>
    </x:row>
    <x:row r="150" ht="47" customHeight="1">
      <x:c r="A150" s="4" t="str">
        <x:v>U027</x:v>
      </x:c>
      <x:c r="B150" s="4" t="str">
        <x:v>MALWARE Y AMENAZAS DIRIGIDAS</x:v>
      </x:c>
      <x:c r="C150" s="4" t="str">
        <x:v>https://gestion3.urjc.es/guiasdocentes/pdfGuia.jsp?txtAsignatura=2285027&amp;txtTitulacion=2285&amp;txtCursoAcademico=2026-27</x:v>
      </x:c>
      <x:c r="D150" s="4" t="str">
        <x:v>https://servicios.urjc.es/guiasdocentes/pdfGuia.jsp?txtAsignatura=2285027&amp;txtTitulacion=2285&amp;txtCursoAcademico=2026-27</x:v>
      </x:c>
      <x:c r="E150" s="4" t="str">
        <x:v>CAPTURADO</x:v>
      </x:c>
      <x:c r="F150" s="4" t="str">
        <x:v>304058</x:v>
      </x:c>
      <x:c r="G150" s="4" t="str">
        <x:v>96523636c8d85a4e542904891bdb0ff900c38c875cd1c4d62814893f0bf7aa20</x:v>
      </x:c>
      <x:c r="H150" s="4" t="str">
        <x:v>13</x:v>
      </x:c>
      <x:c r="I150" s="4" t="str">
        <x:v>Lote paralelo apartado: se detectó mezcla entre portada y temario.</x:v>
      </x:c>
      <x:c r="J150" s="4" t="str">
        <x:v>CUARENTENA</x:v>
      </x:c>
      <x:c r="K150" s="4" t="n">
        <x:v>46273.828598541666</x:v>
      </x:c>
      <x:c r="L150" s="12" t="n">
        <x:f>COUNTIF('21_Fuentes_educativas'!$A$5:$A$188,A150)-1</x:f>
        <x:v>0</x:v>
      </x:c>
      <x:c r="M150" s="12" t="n">
        <x:f>IF(E150="CAPTURADO",IF(LEN(G150)=64,0,1),0)</x:f>
        <x:v>0</x:v>
      </x:c>
    </x:row>
    <x:row r="151" ht="47" customHeight="1">
      <x:c r="A151" s="4" t="str">
        <x:v>U028</x:v>
      </x:c>
      <x:c r="B151" s="4" t="str">
        <x:v>METODOLOGIAS DE DESARROLLO SEGURO</x:v>
      </x:c>
      <x:c r="C151" s="4" t="str">
        <x:v>https://gestion3.urjc.es/guiasdocentes/pdfGuia.jsp?txtAsignatura=2285028&amp;txtTitulacion=2285&amp;txtCursoAcademico=2026-27</x:v>
      </x:c>
      <x:c r="D151" s="4" t="str">
        <x:v>https://servicios.urjc.es/guiasdocentes/pdfGuia.jsp?txtAsignatura=2285028&amp;txtTitulacion=2285&amp;txtCursoAcademico=2026-27</x:v>
      </x:c>
      <x:c r="E151" s="4" t="str">
        <x:v>CAPTURADO</x:v>
      </x:c>
      <x:c r="F151" s="4" t="str">
        <x:v>304126</x:v>
      </x:c>
      <x:c r="G151" s="4" t="str">
        <x:v>404b2822ae457537c79a76b6b877eb4048aeed8f636917cdc8d7d2653e1034a9</x:v>
      </x:c>
      <x:c r="H151" s="4" t="str">
        <x:v>13</x:v>
      </x:c>
      <x:c r="I151" s="4" t="str">
        <x:v>Lote paralelo apartado: se detectó mezcla entre portada y temario.</x:v>
      </x:c>
      <x:c r="J151" s="4" t="str">
        <x:v>CUARENTENA</x:v>
      </x:c>
      <x:c r="K151" s="4" t="n">
        <x:v>46273.82859204861</x:v>
      </x:c>
      <x:c r="L151" s="12" t="n">
        <x:f>COUNTIF('21_Fuentes_educativas'!$A$5:$A$188,A151)-1</x:f>
        <x:v>0</x:v>
      </x:c>
      <x:c r="M151" s="12" t="n">
        <x:f>IF(E151="CAPTURADO",IF(LEN(G151)=64,0,1),0)</x:f>
        <x:v>0</x:v>
      </x:c>
    </x:row>
    <x:row r="152" ht="47" customHeight="1">
      <x:c r="A152" s="4" t="str">
        <x:v>U029</x:v>
      </x:c>
      <x:c r="B152" s="4" t="str">
        <x:v>REDES AVANZADAS Y COMPUTACION EN LA NUBE</x:v>
      </x:c>
      <x:c r="C152" s="4" t="str">
        <x:v>https://gestion3.urjc.es/guiasdocentes/pdfGuia.jsp?txtAsignatura=2285029&amp;txtTitulacion=2285&amp;txtCursoAcademico=2026-27</x:v>
      </x:c>
      <x:c r="D152" s="4" t="str">
        <x:v>https://servicios.urjc.es/guiasdocentes/pdfGuia.jsp?txtAsignatura=2285029&amp;txtTitulacion=2285&amp;txtCursoAcademico=2026-27</x:v>
      </x:c>
      <x:c r="E152" s="4" t="str">
        <x:v>CAPTURADO</x:v>
      </x:c>
      <x:c r="F152" s="4" t="str">
        <x:v>304216</x:v>
      </x:c>
      <x:c r="G152" s="4" t="str">
        <x:v>437162edacb206ae0e1a3da8f477e9496f9c2b1f1506b1a867f2745411f19287</x:v>
      </x:c>
      <x:c r="H152" s="4" t="str">
        <x:v>13</x:v>
      </x:c>
      <x:c r="I152" s="4" t="str">
        <x:v>Lote paralelo apartado: se detectó mezcla entre portada y temario.</x:v>
      </x:c>
      <x:c r="J152" s="4" t="str">
        <x:v>CUARENTENA</x:v>
      </x:c>
      <x:c r="K152" s="4" t="n">
        <x:v>46273.8285981713</x:v>
      </x:c>
      <x:c r="L152" s="12" t="n">
        <x:f>COUNTIF('21_Fuentes_educativas'!$A$5:$A$188,A152)-1</x:f>
        <x:v>0</x:v>
      </x:c>
      <x:c r="M152" s="12" t="n">
        <x:f>IF(E152="CAPTURADO",IF(LEN(G152)=64,0,1),0)</x:f>
        <x:v>0</x:v>
      </x:c>
    </x:row>
    <x:row r="153" ht="47" customHeight="1">
      <x:c r="A153" s="4" t="str">
        <x:v>U030</x:v>
      </x:c>
      <x:c r="B153" s="4" t="str">
        <x:v>SISTEMAS DE INFORMACION</x:v>
      </x:c>
      <x:c r="C153" s="4" t="str">
        <x:v>https://gestion3.urjc.es/guiasdocentes/pdfGuia.jsp?txtAsignatura=2285030&amp;txtTitulacion=2285&amp;txtCursoAcademico=2026-27</x:v>
      </x:c>
      <x:c r="D153" s="4" t="str">
        <x:v>https://servicios.urjc.es/guiasdocentes/pdfGuia.jsp?txtAsignatura=2285030&amp;txtTitulacion=2285&amp;txtCursoAcademico=2026-27</x:v>
      </x:c>
      <x:c r="E153" s="4" t="str">
        <x:v>CAPTURADO</x:v>
      </x:c>
      <x:c r="F153" s="4" t="str">
        <x:v>304010</x:v>
      </x:c>
      <x:c r="G153" s="4" t="str">
        <x:v>714bdaf11a220d50e375f7ec4f2b792acb7d88c038d6b58b31dc061b268966d8</x:v>
      </x:c>
      <x:c r="H153" s="4" t="str">
        <x:v>13</x:v>
      </x:c>
      <x:c r="I153" s="4" t="str">
        <x:v>Lote paralelo apartado: se detectó mezcla entre portada y temario.</x:v>
      </x:c>
      <x:c r="J153" s="4" t="str">
        <x:v>CUARENTENA</x:v>
      </x:c>
      <x:c r="K153" s="4" t="n">
        <x:v>46273.82859546296</x:v>
      </x:c>
      <x:c r="L153" s="12" t="n">
        <x:f>COUNTIF('21_Fuentes_educativas'!$A$5:$A$188,A153)-1</x:f>
        <x:v>0</x:v>
      </x:c>
      <x:c r="M153" s="12" t="n">
        <x:f>IF(E153="CAPTURADO",IF(LEN(G153)=64,0,1),0)</x:f>
        <x:v>0</x:v>
      </x:c>
    </x:row>
    <x:row r="154" ht="47" customHeight="1">
      <x:c r="A154" s="4" t="str">
        <x:v>U031</x:v>
      </x:c>
      <x:c r="B154" s="4" t="str">
        <x:v>VISION ARTIFICIAL APLICADA A LA CIBERSEGURIDAD</x:v>
      </x:c>
      <x:c r="C154" s="4" t="str">
        <x:v>https://gestion3.urjc.es/guiasdocentes/pdfGuia.jsp?txtAsignatura=2285031&amp;txtTitulacion=2285&amp;txtCursoAcademico=2026-27</x:v>
      </x:c>
      <x:c r="D154" s="4" t="str">
        <x:v>https://servicios.urjc.es/guiasdocentes/pdfGuia.jsp?txtAsignatura=2285031&amp;txtTitulacion=2285&amp;txtCursoAcademico=2026-27</x:v>
      </x:c>
      <x:c r="E154" s="4" t="str">
        <x:v>CAPTURADO</x:v>
      </x:c>
      <x:c r="F154" s="4" t="str">
        <x:v>278335</x:v>
      </x:c>
      <x:c r="G154" s="4" t="str">
        <x:v>866b384f0ada982abbb3d53843ee0393533fb38b6ab8e54612ed02ef870f55a7</x:v>
      </x:c>
      <x:c r="H154" s="4" t="str">
        <x:v>12</x:v>
      </x:c>
      <x:c r="I154" s="4" t="str">
        <x:v>Lote paralelo apartado: se detectó mezcla entre portada y temario.</x:v>
      </x:c>
      <x:c r="J154" s="4" t="str">
        <x:v>CUARENTENA</x:v>
      </x:c>
      <x:c r="K154" s="4" t="n">
        <x:v>46273.828885462965</x:v>
      </x:c>
      <x:c r="L154" s="12" t="n">
        <x:f>COUNTIF('21_Fuentes_educativas'!$A$5:$A$188,A154)-1</x:f>
        <x:v>0</x:v>
      </x:c>
      <x:c r="M154" s="12" t="n">
        <x:f>IF(E154="CAPTURADO",IF(LEN(G154)=64,0,1),0)</x:f>
        <x:v>0</x:v>
      </x:c>
    </x:row>
    <x:row r="155" ht="47" customHeight="1">
      <x:c r="A155" s="4" t="str">
        <x:v>U032</x:v>
      </x:c>
      <x:c r="B155" s="4" t="str">
        <x:v>AUDITORIA</x:v>
      </x:c>
      <x:c r="C155" s="4" t="str">
        <x:v>https://gestion3.urjc.es/guiasdocentes/pdfGuia.jsp?txtAsignatura=2285032&amp;txtTitulacion=2285&amp;txtCursoAcademico=2026-27</x:v>
      </x:c>
      <x:c r="D155" s="4" t="str">
        <x:v>https://servicios.urjc.es/guiasdocentes/pdfGuia.jsp?txtAsignatura=2285032&amp;txtTitulacion=2285&amp;txtCursoAcademico=2026-27</x:v>
      </x:c>
      <x:c r="E155" s="4" t="str">
        <x:v>CAPTURADO</x:v>
      </x:c>
      <x:c r="F155" s="4" t="str">
        <x:v>277902</x:v>
      </x:c>
      <x:c r="G155" s="4" t="str">
        <x:v>fa2a036389a2e0661775b7b50c5156969aad3c6e3a85b2e1bd9b7486e6a4b405</x:v>
      </x:c>
      <x:c r="H155" s="4" t="str">
        <x:v>12</x:v>
      </x:c>
      <x:c r="I155" s="4" t="str">
        <x:v>Lote paralelo apartado: se detectó mezcla entre portada y temario.</x:v>
      </x:c>
      <x:c r="J155" s="4" t="str">
        <x:v>CUARENTENA</x:v>
      </x:c>
      <x:c r="K155" s="4" t="n">
        <x:v>46273.82889283565</x:v>
      </x:c>
      <x:c r="L155" s="12" t="n">
        <x:f>COUNTIF('21_Fuentes_educativas'!$A$5:$A$188,A155)-1</x:f>
        <x:v>0</x:v>
      </x:c>
      <x:c r="M155" s="12" t="n">
        <x:f>IF(E155="CAPTURADO",IF(LEN(G155)=64,0,1),0)</x:f>
        <x:v>0</x:v>
      </x:c>
    </x:row>
    <x:row r="156" ht="47" customHeight="1">
      <x:c r="A156" s="4" t="str">
        <x:v>U033</x:v>
      </x:c>
      <x:c r="B156" s="4" t="str">
        <x:v>INTELIGENCIA DE LA SEGURIDAD</x:v>
      </x:c>
      <x:c r="C156" s="4" t="str">
        <x:v>https://gestion3.urjc.es/guiasdocentes/pdfGuia.jsp?txtAsignatura=2285033&amp;txtTitulacion=2285&amp;txtCursoAcademico=2026-27</x:v>
      </x:c>
      <x:c r="D156" s="4" t="str">
        <x:v>https://servicios.urjc.es/guiasdocentes/pdfGuia.jsp?txtAsignatura=2285033&amp;txtTitulacion=2285&amp;txtCursoAcademico=2026-27</x:v>
      </x:c>
      <x:c r="E156" s="4" t="str">
        <x:v>CAPTURADO</x:v>
      </x:c>
      <x:c r="F156" s="4" t="str">
        <x:v>278138</x:v>
      </x:c>
      <x:c r="G156" s="4" t="str">
        <x:v>208657e672223b3508e8aa1bae619879dcce01eaa7cee1ed7d7d6a69d0e4fe9d</x:v>
      </x:c>
      <x:c r="H156" s="4" t="str">
        <x:v>12</x:v>
      </x:c>
      <x:c r="I156" s="4" t="str">
        <x:v>Lote paralelo apartado: se detectó mezcla entre portada y temario.</x:v>
      </x:c>
      <x:c r="J156" s="4" t="str">
        <x:v>CUARENTENA</x:v>
      </x:c>
      <x:c r="K156" s="4" t="n">
        <x:v>46273.8288834375</x:v>
      </x:c>
      <x:c r="L156" s="12" t="n">
        <x:f>COUNTIF('21_Fuentes_educativas'!$A$5:$A$188,A156)-1</x:f>
        <x:v>0</x:v>
      </x:c>
      <x:c r="M156" s="12" t="n">
        <x:f>IF(E156="CAPTURADO",IF(LEN(G156)=64,0,1),0)</x:f>
        <x:v>0</x:v>
      </x:c>
    </x:row>
    <x:row r="157" ht="47" customHeight="1">
      <x:c r="A157" s="4" t="str">
        <x:v>U034</x:v>
      </x:c>
      <x:c r="B157" s="4" t="str">
        <x:v>PENTESTING</x:v>
      </x:c>
      <x:c r="C157" s="4" t="str">
        <x:v>https://gestion3.urjc.es/guiasdocentes/pdfGuia.jsp?txtAsignatura=2285034&amp;txtTitulacion=2285&amp;txtCursoAcademico=2026-27</x:v>
      </x:c>
      <x:c r="D157" s="4" t="str">
        <x:v>https://servicios.urjc.es/guiasdocentes/pdfGuia.jsp?txtAsignatura=2285034&amp;txtTitulacion=2285&amp;txtCursoAcademico=2026-27</x:v>
      </x:c>
      <x:c r="E157" s="4" t="str">
        <x:v>CAPTURADO</x:v>
      </x:c>
      <x:c r="F157" s="4" t="str">
        <x:v>277940</x:v>
      </x:c>
      <x:c r="G157" s="4" t="str">
        <x:v>a9c947c204e3b9a04d4abd31ba2ab42117bc3b9c7882cdb275065ca8b75db9f6</x:v>
      </x:c>
      <x:c r="H157" s="4" t="str">
        <x:v>12</x:v>
      </x:c>
      <x:c r="I157" s="4" t="str">
        <x:v>Lote paralelo apartado: se detectó mezcla entre portada y temario.</x:v>
      </x:c>
      <x:c r="J157" s="4" t="str">
        <x:v>CUARENTENA</x:v>
      </x:c>
      <x:c r="K157" s="4" t="n">
        <x:v>46273.828883055554</x:v>
      </x:c>
      <x:c r="L157" s="12" t="n">
        <x:f>COUNTIF('21_Fuentes_educativas'!$A$5:$A$188,A157)-1</x:f>
        <x:v>0</x:v>
      </x:c>
      <x:c r="M157" s="12" t="n">
        <x:f>IF(E157="CAPTURADO",IF(LEN(G157)=64,0,1),0)</x:f>
        <x:v>0</x:v>
      </x:c>
    </x:row>
    <x:row r="158" ht="47" customHeight="1">
      <x:c r="A158" s="4" t="str">
        <x:v>U035</x:v>
      </x:c>
      <x:c r="B158" s="4" t="str">
        <x:v>ANALISIS Y GESTION DEL RIESGO</x:v>
      </x:c>
      <x:c r="C158" s="4" t="str">
        <x:v>https://gestion3.urjc.es/guiasdocentes/pdfGuia.jsp?txtAsignatura=2285036&amp;txtTitulacion=2285&amp;txtCursoAcademico=2026-27</x:v>
      </x:c>
      <x:c r="D158" s="4" t="str">
        <x:v>https://servicios.urjc.es/guiasdocentes/pdfGuia.jsp?txtAsignatura=2285036&amp;txtTitulacion=2285&amp;txtCursoAcademico=2026-27</x:v>
      </x:c>
      <x:c r="E158" s="4" t="str">
        <x:v>CAPTURADO</x:v>
      </x:c>
      <x:c r="F158" s="4" t="str">
        <x:v>278150</x:v>
      </x:c>
      <x:c r="G158" s="4" t="str">
        <x:v>3f93f901beb65e45c76ca9970e478fa8a17da51b64d05db8c7745f4e7218aa2f</x:v>
      </x:c>
      <x:c r="H158" s="4" t="str">
        <x:v>12</x:v>
      </x:c>
      <x:c r="I158" s="4" t="str">
        <x:v>Lote paralelo apartado: se detectó mezcla entre portada y temario.</x:v>
      </x:c>
      <x:c r="J158" s="4" t="str">
        <x:v>CUARENTENA</x:v>
      </x:c>
      <x:c r="K158" s="4" t="n">
        <x:v>46273.828881203706</x:v>
      </x:c>
      <x:c r="L158" s="12" t="n">
        <x:f>COUNTIF('21_Fuentes_educativas'!$A$5:$A$188,A158)-1</x:f>
        <x:v>0</x:v>
      </x:c>
      <x:c r="M158" s="12" t="n">
        <x:f>IF(E158="CAPTURADO",IF(LEN(G158)=64,0,1),0)</x:f>
        <x:v>0</x:v>
      </x:c>
    </x:row>
    <x:row r="159" ht="47" customHeight="1">
      <x:c r="A159" s="4" t="str">
        <x:v>U036</x:v>
      </x:c>
      <x:c r="B159" s="4" t="str">
        <x:v>PROTECCION DE INFRAESTRUCTURAS CRITICAS</x:v>
      </x:c>
      <x:c r="C159" s="4" t="str">
        <x:v>https://gestion3.urjc.es/guiasdocentes/pdfGuia.jsp?txtAsignatura=2285037&amp;txtTitulacion=2285&amp;txtCursoAcademico=2026-27</x:v>
      </x:c>
      <x:c r="D159" s="4" t="str">
        <x:v>https://servicios.urjc.es/guiasdocentes/pdfGuia.jsp?txtAsignatura=2285037&amp;txtTitulacion=2285&amp;txtCursoAcademico=2026-27</x:v>
      </x:c>
      <x:c r="E159" s="4" t="str">
        <x:v>CAPTURADO</x:v>
      </x:c>
      <x:c r="F159" s="4" t="str">
        <x:v>278233</x:v>
      </x:c>
      <x:c r="G159" s="4" t="str">
        <x:v>893a78891180d7fc9963efcd6622b657d7be643b23b0e9493a2622f558254dd9</x:v>
      </x:c>
      <x:c r="H159" s="4" t="str">
        <x:v>12</x:v>
      </x:c>
      <x:c r="I159" s="4" t="str">
        <x:v>Lote paralelo apartado: se detectó mezcla entre portada y temario.</x:v>
      </x:c>
      <x:c r="J159" s="4" t="str">
        <x:v>CUARENTENA</x:v>
      </x:c>
      <x:c r="K159" s="4" t="n">
        <x:v>46273.82888061342</x:v>
      </x:c>
      <x:c r="L159" s="12" t="n">
        <x:f>COUNTIF('21_Fuentes_educativas'!$A$5:$A$188,A159)-1</x:f>
        <x:v>0</x:v>
      </x:c>
      <x:c r="M159" s="12" t="n">
        <x:f>IF(E159="CAPTURADO",IF(LEN(G159)=64,0,1),0)</x:f>
        <x:v>0</x:v>
      </x:c>
    </x:row>
    <x:row r="160" ht="47" customHeight="1">
      <x:c r="A160" s="4" t="str">
        <x:v>U037</x:v>
      </x:c>
      <x:c r="B160" s="4" t="str">
        <x:v>REGULACION Y GOBERNANZA DE LA SEGURIDAD</x:v>
      </x:c>
      <x:c r="C160" s="4" t="str">
        <x:v>https://gestion3.urjc.es/guiasdocentes/pdfGuia.jsp?txtAsignatura=2285038&amp;txtTitulacion=2285&amp;txtCursoAcademico=2026-27</x:v>
      </x:c>
      <x:c r="D160" s="4" t="str">
        <x:v>https://servicios.urjc.es/guiasdocentes/pdfGuia.jsp?txtAsignatura=2285038&amp;txtTitulacion=2285&amp;txtCursoAcademico=2026-27</x:v>
      </x:c>
      <x:c r="E160" s="4" t="str">
        <x:v>CAPTURADO</x:v>
      </x:c>
      <x:c r="F160" s="4" t="str">
        <x:v>285455</x:v>
      </x:c>
      <x:c r="G160" s="4" t="str">
        <x:v>ce748c9822f4269df6b58409631ed24d4b556fd505f8db8183f5477230d2efa9</x:v>
      </x:c>
      <x:c r="H160" s="4" t="str">
        <x:v>12</x:v>
      </x:c>
      <x:c r="I160" s="4" t="str">
        <x:v>Lote paralelo apartado: se detectó mezcla entre portada y temario.</x:v>
      </x:c>
      <x:c r="J160" s="4" t="str">
        <x:v>CUARENTENA</x:v>
      </x:c>
      <x:c r="K160" s="4" t="n">
        <x:v>46273.829177974534</x:v>
      </x:c>
      <x:c r="L160" s="12" t="n">
        <x:f>COUNTIF('21_Fuentes_educativas'!$A$5:$A$188,A160)-1</x:f>
        <x:v>0</x:v>
      </x:c>
      <x:c r="M160" s="12" t="n">
        <x:f>IF(E160="CAPTURADO",IF(LEN(G160)=64,0,1),0)</x:f>
        <x:v>0</x:v>
      </x:c>
    </x:row>
    <x:row r="161" ht="47" customHeight="1">
      <x:c r="A161" s="4" t="str">
        <x:v>U038</x:v>
      </x:c>
      <x:c r="B161" s="4" t="str">
        <x:v>PRACTICAS EXTERNAS</x:v>
      </x:c>
      <x:c r="C161" s="4" t="str">
        <x:v>https://gestion3.urjc.es/guiasdocentes/pdfGuia.jsp?txtAsignatura=2285039&amp;txtTitulacion=2285&amp;txtCursoAcademico=2026-27</x:v>
      </x:c>
      <x:c r="D161" s="4" t="str">
        <x:v>https://servicios.urjc.es/guiasdocentes/pdfGuia.jsp?txtAsignatura=2285039&amp;txtTitulacion=2285&amp;txtCursoAcademico=2026-27</x:v>
      </x:c>
      <x:c r="E161" s="4" t="str">
        <x:v>CAPTURADO</x:v>
      </x:c>
      <x:c r="F161" s="4" t="str">
        <x:v>285379</x:v>
      </x:c>
      <x:c r="G161" s="4" t="str">
        <x:v>f45766c6a5f86eaafd6605a25ae54a7126bf46537a1bed77dce3f29a8aae6277</x:v>
      </x:c>
      <x:c r="H161" s="4" t="str">
        <x:v>12</x:v>
      </x:c>
      <x:c r="I161" s="4" t="str">
        <x:v>Lote paralelo apartado: se detectó mezcla entre portada y temario.</x:v>
      </x:c>
      <x:c r="J161" s="4" t="str">
        <x:v>CUARENTENA</x:v>
      </x:c>
      <x:c r="K161" s="4" t="n">
        <x:v>46273.8291803588</x:v>
      </x:c>
      <x:c r="L161" s="12" t="n">
        <x:f>COUNTIF('21_Fuentes_educativas'!$A$5:$A$188,A161)-1</x:f>
        <x:v>0</x:v>
      </x:c>
      <x:c r="M161" s="12" t="n">
        <x:f>IF(E161="CAPTURADO",IF(LEN(G161)=64,0,1),0)</x:f>
        <x:v>0</x:v>
      </x:c>
    </x:row>
    <x:row r="162" ht="47" customHeight="1">
      <x:c r="A162" s="4" t="str">
        <x:v>U039</x:v>
      </x:c>
      <x:c r="B162" s="4" t="str">
        <x:v>RECONOCIMIENTO ACADEMICO DE CREDITOS</x:v>
      </x:c>
      <x:c r="C162" s="4" t="str">
        <x:v>https://gestion3.urjc.es/guiasdocentes/pdfGuia.jsp?txtAsignatura=2285035&amp;txtTitulacion=2285&amp;txtCursoAcademico=2026-27</x:v>
      </x:c>
      <x:c r="D162" s="4" t="str">
        <x:v>https://servicios.urjc.es/guiasdocentes/pdfGuia.jsp?txtAsignatura=2285035&amp;txtTitulacion=2285&amp;txtCursoAcademico=2026-27</x:v>
      </x:c>
      <x:c r="E162" s="4" t="str">
        <x:v>CAPTURADO</x:v>
      </x:c>
      <x:c r="F162" s="4" t="str">
        <x:v>419264</x:v>
      </x:c>
      <x:c r="G162" s="4" t="str">
        <x:v>f13bedd641b5e6437ef2bf6c04658f88df14f50eaacc03cca3d88dbc34a80058</x:v>
      </x:c>
      <x:c r="H162" s="4" t="str">
        <x:v>6</x:v>
      </x:c>
      <x:c r="I162" s="4" t="str">
        <x:v>Lote paralelo apartado: se detectó mezcla entre portada y temario.</x:v>
      </x:c>
      <x:c r="J162" s="4" t="str">
        <x:v>CUARENTENA</x:v>
      </x:c>
      <x:c r="K162" s="4" t="n">
        <x:v>46273.82915763889</x:v>
      </x:c>
      <x:c r="L162" s="12" t="n">
        <x:f>COUNTIF('21_Fuentes_educativas'!$A$5:$A$188,A162)-1</x:f>
        <x:v>0</x:v>
      </x:c>
      <x:c r="M162" s="12" t="n">
        <x:f>IF(E162="CAPTURADO",IF(LEN(G162)=64,0,1),0)</x:f>
        <x:v>0</x:v>
      </x:c>
    </x:row>
    <x:row r="163" ht="47" customHeight="1">
      <x:c r="A163" s="4" t="str">
        <x:v>U040</x:v>
      </x:c>
      <x:c r="B163" s="4" t="str">
        <x:v>TRABAJO FIN DE GRADO</x:v>
      </x:c>
      <x:c r="C163" s="4" t="str">
        <x:v>https://gestion3.urjc.es/guiasdocentes/pdfGuia.jsp?txtAsignatura=2285040&amp;txtTitulacion=2285&amp;txtCursoAcademico=2026-27</x:v>
      </x:c>
      <x:c r="D163" s="4" t="str">
        <x:v>https://servicios.urjc.es/guiasdocentes/pdfGuia.jsp?txtAsignatura=2285040&amp;txtTitulacion=2285&amp;txtCursoAcademico=2026-27</x:v>
      </x:c>
      <x:c r="E163" s="4" t="str">
        <x:v>CAPTURADO</x:v>
      </x:c>
      <x:c r="F163" s="4" t="str">
        <x:v>243450</x:v>
      </x:c>
      <x:c r="G163" s="4" t="str">
        <x:v>027ceed55f7bb2bd282cad8951c07876f8874948a945b562d8641c16921e52ee</x:v>
      </x:c>
      <x:c r="H163" s="4" t="str">
        <x:v>10</x:v>
      </x:c>
      <x:c r="I163" s="4" t="str">
        <x:v>Lote paralelo apartado: se detectó mezcla entre portada y temario.</x:v>
      </x:c>
      <x:c r="J163" s="4" t="str">
        <x:v>CUARENTENA</x:v>
      </x:c>
      <x:c r="K163" s="4" t="n">
        <x:v>46273.82917791667</x:v>
      </x:c>
      <x:c r="L163" s="12" t="n">
        <x:f>COUNTIF('21_Fuentes_educativas'!$A$5:$A$188,A163)-1</x:f>
        <x:v>0</x:v>
      </x:c>
      <x:c r="M163" s="12" t="n">
        <x:f>IF(E163="CAPTURADO",IF(LEN(G163)=64,0,1),0)</x:f>
        <x:v>0</x:v>
      </x:c>
    </x:row>
    <x:row r="164" ht="47" customHeight="1">
      <x:c r="A164" s="4" t="str">
        <x:v>W001</x:v>
      </x:c>
      <x:c r="B164" s="4" t="str">
        <x:v>WM187-15</x:v>
      </x:c>
      <x:c r="C164" s="4" t="str">
        <x:v>https://courses.warwick.ac.uk/modules/2026/WM187-15</x:v>
      </x:c>
      <x:c r="D164" s="4" t="str">
        <x:v>https://courses.warwick.ac.uk/modules/2026/WM187-15</x:v>
      </x:c>
      <x:c r="E164" s="4" t="str">
        <x:v>CAPTURADO</x:v>
      </x:c>
      <x:c r="F164" s="4" t="str">
        <x:v>17064</x:v>
      </x:c>
      <x:c r="G164" s="4" t="str">
        <x:v>15ae5f1e15907beaf43c8285cd1378db0d16786be6e6421e3d32ca3fd0f78259</x:v>
      </x:c>
      <x:c r="H164" s="4" t="str"/>
      <x:c r="I164" s="4" t="str">
        <x:v>Adquisición o identificación; no utilizada como contenido curricular.</x:v>
      </x:c>
      <x:c r="J164" s="4" t="str">
        <x:v>NO UTILIZADA EN LA PROPUESTA</x:v>
      </x:c>
      <x:c r="K164" s="4" t="n">
        <x:v>46273.8308122338</x:v>
      </x:c>
      <x:c r="L164" s="12" t="n">
        <x:f>COUNTIF('21_Fuentes_educativas'!$A$5:$A$188,A164)-1</x:f>
        <x:v>0</x:v>
      </x:c>
      <x:c r="M164" s="12" t="n">
        <x:f>IF(E164="CAPTURADO",IF(LEN(G164)=64,0,1),0)</x:f>
        <x:v>0</x:v>
      </x:c>
    </x:row>
    <x:row r="165" ht="47" customHeight="1">
      <x:c r="A165" s="4" t="str">
        <x:v>W002</x:v>
      </x:c>
      <x:c r="B165" s="4" t="str">
        <x:v>WM183-15</x:v>
      </x:c>
      <x:c r="C165" s="4" t="str">
        <x:v>https://courses.warwick.ac.uk/modules/2026/WM183-15</x:v>
      </x:c>
      <x:c r="D165" s="4" t="str">
        <x:v>https://courses.warwick.ac.uk/modules/2026/WM183-15</x:v>
      </x:c>
      <x:c r="E165" s="4" t="str">
        <x:v>CAPTURADO</x:v>
      </x:c>
      <x:c r="F165" s="4" t="str">
        <x:v>16387</x:v>
      </x:c>
      <x:c r="G165" s="4" t="str">
        <x:v>40b9f258a160c8b05483071f9604748a75387c7e89ab7152299bd8aaa698ea07</x:v>
      </x:c>
      <x:c r="H165" s="4" t="str"/>
      <x:c r="I165" s="4" t="str">
        <x:v>Adquisición o identificación; no utilizada como contenido curricular.</x:v>
      </x:c>
      <x:c r="J165" s="4" t="str">
        <x:v>NO UTILIZADA EN LA PROPUESTA</x:v>
      </x:c>
      <x:c r="K165" s="4" t="n">
        <x:v>46273.830817372684</x:v>
      </x:c>
      <x:c r="L165" s="12" t="n">
        <x:f>COUNTIF('21_Fuentes_educativas'!$A$5:$A$188,A165)-1</x:f>
        <x:v>0</x:v>
      </x:c>
      <x:c r="M165" s="12" t="n">
        <x:f>IF(E165="CAPTURADO",IF(LEN(G165)=64,0,1),0)</x:f>
        <x:v>0</x:v>
      </x:c>
    </x:row>
    <x:row r="166" ht="47" customHeight="1">
      <x:c r="A166" s="4" t="str">
        <x:v>W003</x:v>
      </x:c>
      <x:c r="B166" s="4" t="str">
        <x:v>WM181-15</x:v>
      </x:c>
      <x:c r="C166" s="4" t="str">
        <x:v>https://courses.warwick.ac.uk/modules/2026/WM181-15</x:v>
      </x:c>
      <x:c r="D166" s="4" t="str">
        <x:v>https://courses.warwick.ac.uk/modules/2026/WM181-15</x:v>
      </x:c>
      <x:c r="E166" s="4" t="str">
        <x:v>CAPTURADO</x:v>
      </x:c>
      <x:c r="F166" s="4" t="str">
        <x:v>14757</x:v>
      </x:c>
      <x:c r="G166" s="4" t="str">
        <x:v>f80e82a44ea90db981de0da749408bc63bcbafb15b65f0d8655600c8ef70f58b</x:v>
      </x:c>
      <x:c r="H166" s="4" t="str"/>
      <x:c r="I166" s="4" t="str">
        <x:v>Adquisición o identificación; no utilizada como contenido curricular.</x:v>
      </x:c>
      <x:c r="J166" s="4" t="str">
        <x:v>NO UTILIZADA EN LA PROPUESTA</x:v>
      </x:c>
      <x:c r="K166" s="4" t="n">
        <x:v>46273.83081936343</x:v>
      </x:c>
      <x:c r="L166" s="12" t="n">
        <x:f>COUNTIF('21_Fuentes_educativas'!$A$5:$A$188,A166)-1</x:f>
        <x:v>0</x:v>
      </x:c>
      <x:c r="M166" s="12" t="n">
        <x:f>IF(E166="CAPTURADO",IF(LEN(G166)=64,0,1),0)</x:f>
        <x:v>0</x:v>
      </x:c>
    </x:row>
    <x:row r="167" ht="47" customHeight="1">
      <x:c r="A167" s="4" t="str">
        <x:v>W004</x:v>
      </x:c>
      <x:c r="B167" s="4" t="str">
        <x:v>WM180-15</x:v>
      </x:c>
      <x:c r="C167" s="4" t="str">
        <x:v>https://courses.warwick.ac.uk/modules/2026/WM180-15</x:v>
      </x:c>
      <x:c r="D167" s="4" t="str">
        <x:v>https://courses.warwick.ac.uk/modules/2026/WM180-15</x:v>
      </x:c>
      <x:c r="E167" s="4" t="str">
        <x:v>CAPTURADO</x:v>
      </x:c>
      <x:c r="F167" s="4" t="str">
        <x:v>16276</x:v>
      </x:c>
      <x:c r="G167" s="4" t="str">
        <x:v>62f51a3ef2549d524df7b02539e81c147ac0cd8ff05f220d0b335a324bab2676</x:v>
      </x:c>
      <x:c r="H167" s="4" t="str"/>
      <x:c r="I167" s="4" t="str">
        <x:v>Adquisición o identificación; no utilizada como contenido curricular.</x:v>
      </x:c>
      <x:c r="J167" s="4" t="str">
        <x:v>NO UTILIZADA EN LA PROPUESTA</x:v>
      </x:c>
      <x:c r="K167" s="4" t="n">
        <x:v>46273.83081954861</x:v>
      </x:c>
      <x:c r="L167" s="12" t="n">
        <x:f>COUNTIF('21_Fuentes_educativas'!$A$5:$A$188,A167)-1</x:f>
        <x:v>0</x:v>
      </x:c>
      <x:c r="M167" s="12" t="n">
        <x:f>IF(E167="CAPTURADO",IF(LEN(G167)=64,0,1),0)</x:f>
        <x:v>0</x:v>
      </x:c>
    </x:row>
    <x:row r="168" ht="47" customHeight="1">
      <x:c r="A168" s="4" t="str">
        <x:v>W005</x:v>
      </x:c>
      <x:c r="B168" s="4" t="str">
        <x:v>WM182-15</x:v>
      </x:c>
      <x:c r="C168" s="4" t="str">
        <x:v>https://courses.warwick.ac.uk/modules/2026/WM182-15</x:v>
      </x:c>
      <x:c r="D168" s="4" t="str">
        <x:v>https://courses.warwick.ac.uk/modules/2026/WM182-15</x:v>
      </x:c>
      <x:c r="E168" s="4" t="str">
        <x:v>CAPTURADO</x:v>
      </x:c>
      <x:c r="F168" s="4" t="str">
        <x:v>15414</x:v>
      </x:c>
      <x:c r="G168" s="4" t="str">
        <x:v>9653c587f68513a2485a30f12defa05aef06f25b82508ae1d121d55d5d2ddfa5</x:v>
      </x:c>
      <x:c r="H168" s="4" t="str"/>
      <x:c r="I168" s="4" t="str">
        <x:v>Adquisición o identificación; no utilizada como contenido curricular.</x:v>
      </x:c>
      <x:c r="J168" s="4" t="str">
        <x:v>NO UTILIZADA EN LA PROPUESTA</x:v>
      </x:c>
      <x:c r="K168" s="4" t="n">
        <x:v>46273.83081940972</x:v>
      </x:c>
      <x:c r="L168" s="12" t="n">
        <x:f>COUNTIF('21_Fuentes_educativas'!$A$5:$A$188,A168)-1</x:f>
        <x:v>0</x:v>
      </x:c>
      <x:c r="M168" s="12" t="n">
        <x:f>IF(E168="CAPTURADO",IF(LEN(G168)=64,0,1),0)</x:f>
        <x:v>0</x:v>
      </x:c>
    </x:row>
    <x:row r="169" ht="47" customHeight="1">
      <x:c r="A169" s="4" t="str">
        <x:v>W006</x:v>
      </x:c>
      <x:c r="B169" s="4" t="str">
        <x:v>WM186-15</x:v>
      </x:c>
      <x:c r="C169" s="4" t="str">
        <x:v>https://courses.warwick.ac.uk/modules/2026/WM186-15</x:v>
      </x:c>
      <x:c r="D169" s="4" t="str">
        <x:v>https://courses.warwick.ac.uk/modules/2026/WM186-15</x:v>
      </x:c>
      <x:c r="E169" s="4" t="str">
        <x:v>CAPTURADO</x:v>
      </x:c>
      <x:c r="F169" s="4" t="str">
        <x:v>16755</x:v>
      </x:c>
      <x:c r="G169" s="4" t="str">
        <x:v>0cbe5b7fa534bfe1d671a4befbd197abda4b9801d49df7a281d397e7a30c1063</x:v>
      </x:c>
      <x:c r="H169" s="4" t="str"/>
      <x:c r="I169" s="4" t="str">
        <x:v>Adquisición o identificación; no utilizada como contenido curricular.</x:v>
      </x:c>
      <x:c r="J169" s="4" t="str">
        <x:v>NO UTILIZADA EN LA PROPUESTA</x:v>
      </x:c>
      <x:c r="K169" s="4" t="n">
        <x:v>46273.83081678241</x:v>
      </x:c>
      <x:c r="L169" s="12" t="n">
        <x:f>COUNTIF('21_Fuentes_educativas'!$A$5:$A$188,A169)-1</x:f>
        <x:v>0</x:v>
      </x:c>
      <x:c r="M169" s="12" t="n">
        <x:f>IF(E169="CAPTURADO",IF(LEN(G169)=64,0,1),0)</x:f>
        <x:v>0</x:v>
      </x:c>
    </x:row>
    <x:row r="170" ht="47" customHeight="1">
      <x:c r="A170" s="4" t="str">
        <x:v>W007</x:v>
      </x:c>
      <x:c r="B170" s="4" t="str">
        <x:v>WM185-15</x:v>
      </x:c>
      <x:c r="C170" s="4" t="str">
        <x:v>https://courses.warwick.ac.uk/modules/2026/WM185-15</x:v>
      </x:c>
      <x:c r="D170" s="4" t="str">
        <x:v>https://courses.warwick.ac.uk/modules/2026/WM185-15</x:v>
      </x:c>
      <x:c r="E170" s="4" t="str">
        <x:v>CAPTURADO</x:v>
      </x:c>
      <x:c r="F170" s="4" t="str">
        <x:v>15577</x:v>
      </x:c>
      <x:c r="G170" s="4" t="str">
        <x:v>1e7f5864d23fbdb183792d8ec4a3b78b2dc475e32fe7c6ffeed624db85688224</x:v>
      </x:c>
      <x:c r="H170" s="4" t="str"/>
      <x:c r="I170" s="4" t="str">
        <x:v>Adquisición o identificación; no utilizada como contenido curricular.</x:v>
      </x:c>
      <x:c r="J170" s="4" t="str">
        <x:v>NO UTILIZADA EN LA PROPUESTA</x:v>
      </x:c>
      <x:c r="K170" s="4" t="n">
        <x:v>46273.830924699076</x:v>
      </x:c>
      <x:c r="L170" s="12" t="n">
        <x:f>COUNTIF('21_Fuentes_educativas'!$A$5:$A$188,A170)-1</x:f>
        <x:v>0</x:v>
      </x:c>
      <x:c r="M170" s="12" t="n">
        <x:f>IF(E170="CAPTURADO",IF(LEN(G170)=64,0,1),0)</x:f>
        <x:v>0</x:v>
      </x:c>
    </x:row>
    <x:row r="171" ht="47" customHeight="1">
      <x:c r="A171" s="4" t="str">
        <x:v>W008</x:v>
      </x:c>
      <x:c r="B171" s="4" t="str">
        <x:v>WM188-15</x:v>
      </x:c>
      <x:c r="C171" s="4" t="str">
        <x:v>https://courses.warwick.ac.uk/modules/2026/WM188-15</x:v>
      </x:c>
      <x:c r="D171" s="4" t="str">
        <x:v>https://courses.warwick.ac.uk/modules/2026/WM188-15</x:v>
      </x:c>
      <x:c r="E171" s="4" t="str">
        <x:v>CAPTURADO</x:v>
      </x:c>
      <x:c r="F171" s="4" t="str">
        <x:v>16643</x:v>
      </x:c>
      <x:c r="G171" s="4" t="str">
        <x:v>65939e2baa24bae5e15f4dd10333f9921d25e78720c3be3e9e533b91bcd70158</x:v>
      </x:c>
      <x:c r="H171" s="4" t="str"/>
      <x:c r="I171" s="4" t="str">
        <x:v>Adquisición o identificación; no utilizada como contenido curricular.</x:v>
      </x:c>
      <x:c r="J171" s="4" t="str">
        <x:v>NO UTILIZADA EN LA PROPUESTA</x:v>
      </x:c>
      <x:c r="K171" s="4" t="n">
        <x:v>46273.83092612268</x:v>
      </x:c>
      <x:c r="L171" s="12" t="n">
        <x:f>COUNTIF('21_Fuentes_educativas'!$A$5:$A$188,A171)-1</x:f>
        <x:v>0</x:v>
      </x:c>
      <x:c r="M171" s="12" t="n">
        <x:f>IF(E171="CAPTURADO",IF(LEN(G171)=64,0,1),0)</x:f>
        <x:v>0</x:v>
      </x:c>
    </x:row>
    <x:row r="172" ht="47" customHeight="1">
      <x:c r="A172" s="4" t="str">
        <x:v>W009</x:v>
      </x:c>
      <x:c r="B172" s="4" t="str">
        <x:v>WM286-15</x:v>
      </x:c>
      <x:c r="C172" s="4" t="str">
        <x:v>https://courses.warwick.ac.uk/modules/2026/WM286-15</x:v>
      </x:c>
      <x:c r="D172" s="4" t="str">
        <x:v>https://courses.warwick.ac.uk/modules/2026/WM286-15</x:v>
      </x:c>
      <x:c r="E172" s="4" t="str">
        <x:v>CAPTURADO</x:v>
      </x:c>
      <x:c r="F172" s="4" t="str">
        <x:v>14938</x:v>
      </x:c>
      <x:c r="G172" s="4" t="str">
        <x:v>577707b96a9a0c0f076bc0263de2b097f1b5131bea6070fc3df956bd82b608df</x:v>
      </x:c>
      <x:c r="H172" s="4" t="str"/>
      <x:c r="I172" s="4" t="str">
        <x:v>Adquisición o identificación; no utilizada como contenido curricular.</x:v>
      </x:c>
      <x:c r="J172" s="4" t="str">
        <x:v>NO UTILIZADA EN LA PROPUESTA</x:v>
      </x:c>
      <x:c r="K172" s="4" t="n">
        <x:v>46273.830924050926</x:v>
      </x:c>
      <x:c r="L172" s="12" t="n">
        <x:f>COUNTIF('21_Fuentes_educativas'!$A$5:$A$188,A172)-1</x:f>
        <x:v>0</x:v>
      </x:c>
      <x:c r="M172" s="12" t="n">
        <x:f>IF(E172="CAPTURADO",IF(LEN(G172)=64,0,1),0)</x:f>
        <x:v>0</x:v>
      </x:c>
    </x:row>
    <x:row r="173" ht="47" customHeight="1">
      <x:c r="A173" s="4" t="str">
        <x:v>W010</x:v>
      </x:c>
      <x:c r="B173" s="4" t="str">
        <x:v>WM281-15</x:v>
      </x:c>
      <x:c r="C173" s="4" t="str">
        <x:v>https://courses.warwick.ac.uk/modules/2026/WM281-15</x:v>
      </x:c>
      <x:c r="D173" s="4" t="str">
        <x:v>https://courses.warwick.ac.uk/modules/2026/WM281-15</x:v>
      </x:c>
      <x:c r="E173" s="4" t="str">
        <x:v>CAPTURADO</x:v>
      </x:c>
      <x:c r="F173" s="4" t="str">
        <x:v>17497</x:v>
      </x:c>
      <x:c r="G173" s="4" t="str">
        <x:v>54591a97bd7741172b84e1084e572ba9f2a16a41f07c5bd467ff135c21ee8e4b</x:v>
      </x:c>
      <x:c r="H173" s="4" t="str"/>
      <x:c r="I173" s="4" t="str">
        <x:v>Plan, descripción o apartados utilizados; localizadores en 14–20.</x:v>
      </x:c>
      <x:c r="J173" s="4" t="str">
        <x:v>REFERENCIA_REVISADA</x:v>
      </x:c>
      <x:c r="K173" s="4" t="n">
        <x:v>46273.83092635417</x:v>
      </x:c>
      <x:c r="L173" s="12" t="n">
        <x:f>COUNTIF('21_Fuentes_educativas'!$A$5:$A$188,A173)-1</x:f>
        <x:v>0</x:v>
      </x:c>
      <x:c r="M173" s="12" t="n">
        <x:f>IF(E173="CAPTURADO",IF(LEN(G173)=64,0,1),0)</x:f>
        <x:v>0</x:v>
      </x:c>
    </x:row>
    <x:row r="174" ht="47" customHeight="1">
      <x:c r="A174" s="4" t="str">
        <x:v>W011</x:v>
      </x:c>
      <x:c r="B174" s="4" t="str">
        <x:v>WM280-15</x:v>
      </x:c>
      <x:c r="C174" s="4" t="str">
        <x:v>https://courses.warwick.ac.uk/modules/2026/WM280-15</x:v>
      </x:c>
      <x:c r="D174" s="4" t="str">
        <x:v>https://courses.warwick.ac.uk/modules/2026/WM280-15</x:v>
      </x:c>
      <x:c r="E174" s="4" t="str">
        <x:v>CAPTURADO</x:v>
      </x:c>
      <x:c r="F174" s="4" t="str">
        <x:v>17613</x:v>
      </x:c>
      <x:c r="G174" s="4" t="str">
        <x:v>27b7e659e3ecc422a283751932fc6d95cfd8b30f96be5975b506e5a61dc15d77</x:v>
      </x:c>
      <x:c r="H174" s="4" t="str"/>
      <x:c r="I174" s="4" t="str">
        <x:v>Adquisición o identificación; no utilizada como contenido curricular.</x:v>
      </x:c>
      <x:c r="J174" s="4" t="str">
        <x:v>NO UTILIZADA EN LA PROPUESTA</x:v>
      </x:c>
      <x:c r="K174" s="4" t="n">
        <x:v>46273.830924305556</x:v>
      </x:c>
      <x:c r="L174" s="12" t="n">
        <x:f>COUNTIF('21_Fuentes_educativas'!$A$5:$A$188,A174)-1</x:f>
        <x:v>0</x:v>
      </x:c>
      <x:c r="M174" s="12" t="n">
        <x:f>IF(E174="CAPTURADO",IF(LEN(G174)=64,0,1),0)</x:f>
        <x:v>0</x:v>
      </x:c>
    </x:row>
    <x:row r="175" ht="47" customHeight="1">
      <x:c r="A175" s="4" t="str">
        <x:v>W012</x:v>
      </x:c>
      <x:c r="B175" s="4" t="str">
        <x:v>WM282-15</x:v>
      </x:c>
      <x:c r="C175" s="4" t="str">
        <x:v>https://courses.warwick.ac.uk/modules/2026/WM282-15</x:v>
      </x:c>
      <x:c r="D175" s="4" t="str">
        <x:v>https://courses.warwick.ac.uk/modules/2026/WM282-15</x:v>
      </x:c>
      <x:c r="E175" s="4" t="str">
        <x:v>CAPTURADO</x:v>
      </x:c>
      <x:c r="F175" s="4" t="str">
        <x:v>15685</x:v>
      </x:c>
      <x:c r="G175" s="4" t="str">
        <x:v>39c0b5659ccb288d32af5545f543d003118aebbfb850881ca1d6e28cda35840d</x:v>
      </x:c>
      <x:c r="H175" s="4" t="str"/>
      <x:c r="I175" s="4" t="str">
        <x:v>Adquisición o identificación; no utilizada como contenido curricular.</x:v>
      </x:c>
      <x:c r="J175" s="4" t="str">
        <x:v>NO UTILIZADA EN LA PROPUESTA</x:v>
      </x:c>
      <x:c r="K175" s="4" t="n">
        <x:v>46273.83092233796</x:v>
      </x:c>
      <x:c r="L175" s="12" t="n">
        <x:f>COUNTIF('21_Fuentes_educativas'!$A$5:$A$188,A175)-1</x:f>
        <x:v>0</x:v>
      </x:c>
      <x:c r="M175" s="12" t="n">
        <x:f>IF(E175="CAPTURADO",IF(LEN(G175)=64,0,1),0)</x:f>
        <x:v>0</x:v>
      </x:c>
    </x:row>
    <x:row r="176" ht="47" customHeight="1">
      <x:c r="A176" s="4" t="str">
        <x:v>W013</x:v>
      </x:c>
      <x:c r="B176" s="4" t="str">
        <x:v>WM283-15</x:v>
      </x:c>
      <x:c r="C176" s="4" t="str">
        <x:v>https://courses.warwick.ac.uk/modules/2026/WM283-15</x:v>
      </x:c>
      <x:c r="D176" s="4" t="str">
        <x:v>https://courses.warwick.ac.uk/modules/2026/WM283-15</x:v>
      </x:c>
      <x:c r="E176" s="4" t="str">
        <x:v>CAPTURADO</x:v>
      </x:c>
      <x:c r="F176" s="4" t="str">
        <x:v>16749</x:v>
      </x:c>
      <x:c r="G176" s="4" t="str">
        <x:v>87bb87aacce07a875c02884922c985da7e3e69ef7482837dc2bdd4e632d416e4</x:v>
      </x:c>
      <x:c r="H176" s="4" t="str"/>
      <x:c r="I176" s="4" t="str">
        <x:v>Adquisición o identificación; no utilizada como contenido curricular.</x:v>
      </x:c>
      <x:c r="J176" s="4" t="str">
        <x:v>NO UTILIZADA EN LA PROPUESTA</x:v>
      </x:c>
      <x:c r="K176" s="4" t="n">
        <x:v>46273.83104311342</x:v>
      </x:c>
      <x:c r="L176" s="12" t="n">
        <x:f>COUNTIF('21_Fuentes_educativas'!$A$5:$A$188,A176)-1</x:f>
        <x:v>0</x:v>
      </x:c>
      <x:c r="M176" s="12" t="n">
        <x:f>IF(E176="CAPTURADO",IF(LEN(G176)=64,0,1),0)</x:f>
        <x:v>0</x:v>
      </x:c>
    </x:row>
    <x:row r="177" ht="47" customHeight="1">
      <x:c r="A177" s="4" t="str">
        <x:v>W014</x:v>
      </x:c>
      <x:c r="B177" s="4" t="str">
        <x:v>WM279-15</x:v>
      </x:c>
      <x:c r="C177" s="4" t="str">
        <x:v>https://courses.warwick.ac.uk/modules/2026/WM279-15</x:v>
      </x:c>
      <x:c r="D177" s="4" t="str">
        <x:v>https://courses.warwick.ac.uk/modules/2026/WM279-15</x:v>
      </x:c>
      <x:c r="E177" s="4" t="str">
        <x:v>CAPTURADO</x:v>
      </x:c>
      <x:c r="F177" s="4" t="str">
        <x:v>17949</x:v>
      </x:c>
      <x:c r="G177" s="4" t="str">
        <x:v>284b05d4d85f034ee5c968bfb9fbb2cb4c6c1fa930d39841838599ac11a9d518</x:v>
      </x:c>
      <x:c r="H177" s="4" t="str"/>
      <x:c r="I177" s="4" t="str">
        <x:v>Plan, descripción o apartados utilizados; localizadores en 14–20.</x:v>
      </x:c>
      <x:c r="J177" s="4" t="str">
        <x:v>REFERENCIA_REVISADA</x:v>
      </x:c>
      <x:c r="K177" s="4" t="n">
        <x:v>46273.83104384259</x:v>
      </x:c>
      <x:c r="L177" s="12" t="n">
        <x:f>COUNTIF('21_Fuentes_educativas'!$A$5:$A$188,A177)-1</x:f>
        <x:v>0</x:v>
      </x:c>
      <x:c r="M177" s="12" t="n">
        <x:f>IF(E177="CAPTURADO",IF(LEN(G177)=64,0,1),0)</x:f>
        <x:v>0</x:v>
      </x:c>
    </x:row>
    <x:row r="178" ht="47" customHeight="1">
      <x:c r="A178" s="4" t="str">
        <x:v>W015</x:v>
      </x:c>
      <x:c r="B178" s="4" t="str">
        <x:v>WM285-15</x:v>
      </x:c>
      <x:c r="C178" s="4" t="str">
        <x:v>https://courses.warwick.ac.uk/modules/2026/WM285-15</x:v>
      </x:c>
      <x:c r="D178" s="4" t="str">
        <x:v>https://courses.warwick.ac.uk/modules/2026/WM285-15</x:v>
      </x:c>
      <x:c r="E178" s="4" t="str">
        <x:v>CAPTURADO</x:v>
      </x:c>
      <x:c r="F178" s="4" t="str">
        <x:v>16527</x:v>
      </x:c>
      <x:c r="G178" s="4" t="str">
        <x:v>6ba386007096befbb386b55f40b68bd46a9e5d1a8970417bc28aac94eab95479</x:v>
      </x:c>
      <x:c r="H178" s="4" t="str"/>
      <x:c r="I178" s="4" t="str">
        <x:v>Adquisición o identificación; no utilizada como contenido curricular.</x:v>
      </x:c>
      <x:c r="J178" s="4" t="str">
        <x:v>NO UTILIZADA EN LA PROPUESTA</x:v>
      </x:c>
      <x:c r="K178" s="4" t="n">
        <x:v>46273.83104434028</x:v>
      </x:c>
      <x:c r="L178" s="12" t="n">
        <x:f>COUNTIF('21_Fuentes_educativas'!$A$5:$A$188,A178)-1</x:f>
        <x:v>0</x:v>
      </x:c>
      <x:c r="M178" s="12" t="n">
        <x:f>IF(E178="CAPTURADO",IF(LEN(G178)=64,0,1),0)</x:f>
        <x:v>0</x:v>
      </x:c>
    </x:row>
    <x:row r="179" ht="47" customHeight="1">
      <x:c r="A179" s="4" t="str">
        <x:v>W016</x:v>
      </x:c>
      <x:c r="B179" s="4" t="str">
        <x:v>WM284-15</x:v>
      </x:c>
      <x:c r="C179" s="4" t="str">
        <x:v>https://courses.warwick.ac.uk/modules/2026/WM284-15</x:v>
      </x:c>
      <x:c r="D179" s="4" t="str">
        <x:v>https://courses.warwick.ac.uk/modules/2026/WM284-15</x:v>
      </x:c>
      <x:c r="E179" s="4" t="str">
        <x:v>CAPTURADO</x:v>
      </x:c>
      <x:c r="F179" s="4" t="str">
        <x:v>17175</x:v>
      </x:c>
      <x:c r="G179" s="4" t="str">
        <x:v>147355f0da756d0bf0a1ee0fd796d727aed25946ae2ca715d9a79b9a911dd25d</x:v>
      </x:c>
      <x:c r="H179" s="4" t="str"/>
      <x:c r="I179" s="4" t="str">
        <x:v>Plan, descripción o apartados utilizados; localizadores en 14–20.</x:v>
      </x:c>
      <x:c r="J179" s="4" t="str">
        <x:v>REFERENCIA_REVISADA</x:v>
      </x:c>
      <x:c r="K179" s="4" t="n">
        <x:v>46273.83104449074</x:v>
      </x:c>
      <x:c r="L179" s="12" t="n">
        <x:f>COUNTIF('21_Fuentes_educativas'!$A$5:$A$188,A179)-1</x:f>
        <x:v>0</x:v>
      </x:c>
      <x:c r="M179" s="12" t="n">
        <x:f>IF(E179="CAPTURADO",IF(LEN(G179)=64,0,1),0)</x:f>
        <x:v>0</x:v>
      </x:c>
    </x:row>
    <x:row r="180" ht="47" customHeight="1">
      <x:c r="A180" s="4" t="str">
        <x:v>W017</x:v>
      </x:c>
      <x:c r="B180" s="4" t="str">
        <x:v>WM3E9-15</x:v>
      </x:c>
      <x:c r="C180" s="4" t="str">
        <x:v>https://courses.warwick.ac.uk/modules/2026/WM3E9-15</x:v>
      </x:c>
      <x:c r="D180" s="4" t="str"/>
      <x:c r="E180" s="4" t="str">
        <x:v>ERROR</x:v>
      </x:c>
      <x:c r="F180" s="4" t="str"/>
      <x:c r="G180" s="4" t="str"/>
      <x:c r="H180" s="4" t="str"/>
      <x:c r="I180" s="4" t="str">
        <x:v>HTTP Error 404: </x:v>
      </x:c>
      <x:c r="J180" s="4" t="str">
        <x:v>SIN_CAPTURA</x:v>
      </x:c>
      <x:c r="K180" s="4" t="str"/>
      <x:c r="L180" s="12" t="n">
        <x:f>COUNTIF('21_Fuentes_educativas'!$A$5:$A$188,A180)-1</x:f>
        <x:v>0</x:v>
      </x:c>
      <x:c r="M180" s="12" t="n">
        <x:f>IF(E180="CAPTURADO",IF(LEN(G180)=64,0,1),0)</x:f>
        <x:v>0</x:v>
      </x:c>
    </x:row>
    <x:row r="181" ht="47" customHeight="1">
      <x:c r="A181" s="4" t="str">
        <x:v>W018</x:v>
      </x:c>
      <x:c r="B181" s="4" t="str">
        <x:v>WM3F4-15</x:v>
      </x:c>
      <x:c r="C181" s="4" t="str">
        <x:v>https://courses.warwick.ac.uk/modules/2026/WM3F4-15</x:v>
      </x:c>
      <x:c r="D181" s="4" t="str"/>
      <x:c r="E181" s="4" t="str">
        <x:v>ERROR</x:v>
      </x:c>
      <x:c r="F181" s="4" t="str"/>
      <x:c r="G181" s="4" t="str"/>
      <x:c r="H181" s="4" t="str"/>
      <x:c r="I181" s="4" t="str">
        <x:v>HTTP Error 404: </x:v>
      </x:c>
      <x:c r="J181" s="4" t="str">
        <x:v>SIN_CAPTURA</x:v>
      </x:c>
      <x:c r="K181" s="4" t="str"/>
      <x:c r="L181" s="12" t="n">
        <x:f>COUNTIF('21_Fuentes_educativas'!$A$5:$A$188,A181)-1</x:f>
        <x:v>0</x:v>
      </x:c>
      <x:c r="M181" s="12" t="n">
        <x:f>IF(E181="CAPTURADO",IF(LEN(G181)=64,0,1),0)</x:f>
        <x:v>0</x:v>
      </x:c>
    </x:row>
    <x:row r="182" ht="47" customHeight="1">
      <x:c r="A182" s="4" t="str">
        <x:v>W019</x:v>
      </x:c>
      <x:c r="B182" s="4" t="str">
        <x:v>WM3F2-15</x:v>
      </x:c>
      <x:c r="C182" s="4" t="str">
        <x:v>https://courses.warwick.ac.uk/modules/2026/WM3F2-15</x:v>
      </x:c>
      <x:c r="D182" s="4" t="str"/>
      <x:c r="E182" s="4" t="str">
        <x:v>ERROR</x:v>
      </x:c>
      <x:c r="F182" s="4" t="str"/>
      <x:c r="G182" s="4" t="str"/>
      <x:c r="H182" s="4" t="str"/>
      <x:c r="I182" s="4" t="str">
        <x:v>HTTP Error 404: </x:v>
      </x:c>
      <x:c r="J182" s="4" t="str">
        <x:v>SIN_CAPTURA</x:v>
      </x:c>
      <x:c r="K182" s="4" t="str"/>
      <x:c r="L182" s="12" t="n">
        <x:f>COUNTIF('21_Fuentes_educativas'!$A$5:$A$188,A182)-1</x:f>
        <x:v>0</x:v>
      </x:c>
      <x:c r="M182" s="12" t="n">
        <x:f>IF(E182="CAPTURADO",IF(LEN(G182)=64,0,1),0)</x:f>
        <x:v>0</x:v>
      </x:c>
    </x:row>
    <x:row r="183" ht="47" customHeight="1">
      <x:c r="A183" s="4" t="str">
        <x:v>W020</x:v>
      </x:c>
      <x:c r="B183" s="4" t="str">
        <x:v>WM3A6-15</x:v>
      </x:c>
      <x:c r="C183" s="4" t="str">
        <x:v>https://courses.warwick.ac.uk/modules/2026/WM3A6-15</x:v>
      </x:c>
      <x:c r="D183" s="4" t="str"/>
      <x:c r="E183" s="4" t="str">
        <x:v>ERROR</x:v>
      </x:c>
      <x:c r="F183" s="4" t="str"/>
      <x:c r="G183" s="4" t="str"/>
      <x:c r="H183" s="4" t="str"/>
      <x:c r="I183" s="4" t="str">
        <x:v>HTTP Error 404: </x:v>
      </x:c>
      <x:c r="J183" s="4" t="str">
        <x:v>SIN_CAPTURA</x:v>
      </x:c>
      <x:c r="K183" s="4" t="str"/>
      <x:c r="L183" s="12" t="n">
        <x:f>COUNTIF('21_Fuentes_educativas'!$A$5:$A$188,A183)-1</x:f>
        <x:v>0</x:v>
      </x:c>
      <x:c r="M183" s="12" t="n">
        <x:f>IF(E183="CAPTURADO",IF(LEN(G183)=64,0,1),0)</x:f>
        <x:v>0</x:v>
      </x:c>
    </x:row>
    <x:row r="184" ht="47" customHeight="1">
      <x:c r="A184" s="4" t="str">
        <x:v>W021</x:v>
      </x:c>
      <x:c r="B184" s="4" t="str">
        <x:v>WM3E8-30</x:v>
      </x:c>
      <x:c r="C184" s="4" t="str">
        <x:v>https://courses.warwick.ac.uk/modules/2026/WM3E8-30</x:v>
      </x:c>
      <x:c r="D184" s="4" t="str"/>
      <x:c r="E184" s="4" t="str">
        <x:v>ERROR</x:v>
      </x:c>
      <x:c r="F184" s="4" t="str"/>
      <x:c r="G184" s="4" t="str"/>
      <x:c r="H184" s="4" t="str"/>
      <x:c r="I184" s="4" t="str">
        <x:v>HTTP Error 404: </x:v>
      </x:c>
      <x:c r="J184" s="4" t="str">
        <x:v>SIN_CAPTURA</x:v>
      </x:c>
      <x:c r="K184" s="4" t="str"/>
      <x:c r="L184" s="12" t="n">
        <x:f>COUNTIF('21_Fuentes_educativas'!$A$5:$A$188,A184)-1</x:f>
        <x:v>0</x:v>
      </x:c>
      <x:c r="M184" s="12" t="n">
        <x:f>IF(E184="CAPTURADO",IF(LEN(G184)=64,0,1),0)</x:f>
        <x:v>0</x:v>
      </x:c>
    </x:row>
    <x:row r="185" ht="47" customHeight="1">
      <x:c r="A185" s="4" t="str">
        <x:v>W022</x:v>
      </x:c>
      <x:c r="B185" s="4" t="str">
        <x:v>WM3E6-15</x:v>
      </x:c>
      <x:c r="C185" s="4" t="str">
        <x:v>https://courses.warwick.ac.uk/modules/2026/WM3E6-15</x:v>
      </x:c>
      <x:c r="D185" s="4" t="str"/>
      <x:c r="E185" s="4" t="str">
        <x:v>ERROR</x:v>
      </x:c>
      <x:c r="F185" s="4" t="str"/>
      <x:c r="G185" s="4" t="str"/>
      <x:c r="H185" s="4" t="str"/>
      <x:c r="I185" s="4" t="str">
        <x:v>HTTP Error 404: </x:v>
      </x:c>
      <x:c r="J185" s="4" t="str">
        <x:v>SIN_CAPTURA</x:v>
      </x:c>
      <x:c r="K185" s="4" t="str"/>
      <x:c r="L185" s="12" t="n">
        <x:f>COUNTIF('21_Fuentes_educativas'!$A$5:$A$188,A185)-1</x:f>
        <x:v>0</x:v>
      </x:c>
      <x:c r="M185" s="12" t="n">
        <x:f>IF(E185="CAPTURADO",IF(LEN(G185)=64,0,1),0)</x:f>
        <x:v>0</x:v>
      </x:c>
    </x:row>
    <x:row r="186" ht="47" customHeight="1">
      <x:c r="A186" s="4" t="str">
        <x:v>W023</x:v>
      </x:c>
      <x:c r="B186" s="4" t="str">
        <x:v>WM3E7-15</x:v>
      </x:c>
      <x:c r="C186" s="4" t="str">
        <x:v>https://courses.warwick.ac.uk/modules/2026/WM3E7-15</x:v>
      </x:c>
      <x:c r="D186" s="4" t="str"/>
      <x:c r="E186" s="4" t="str">
        <x:v>ERROR</x:v>
      </x:c>
      <x:c r="F186" s="4" t="str"/>
      <x:c r="G186" s="4" t="str"/>
      <x:c r="H186" s="4" t="str"/>
      <x:c r="I186" s="4" t="str">
        <x:v>HTTP Error 404: </x:v>
      </x:c>
      <x:c r="J186" s="4" t="str">
        <x:v>SIN_CAPTURA</x:v>
      </x:c>
      <x:c r="K186" s="4" t="str"/>
      <x:c r="L186" s="12" t="n">
        <x:f>COUNTIF('21_Fuentes_educativas'!$A$5:$A$188,A186)-1</x:f>
        <x:v>0</x:v>
      </x:c>
      <x:c r="M186" s="12" t="n">
        <x:f>IF(E186="CAPTURADO",IF(LEN(G186)=64,0,1),0)</x:f>
        <x:v>0</x:v>
      </x:c>
    </x:row>
    <x:row r="187" ht="47" customHeight="1">
      <x:c r="A187" s="4" t="str">
        <x:v>W024</x:v>
      </x:c>
      <x:c r="B187" s="4" t="str">
        <x:v>WM3F3-15</x:v>
      </x:c>
      <x:c r="C187" s="4" t="str">
        <x:v>https://courses.warwick.ac.uk/modules/2026/WM3F3-15</x:v>
      </x:c>
      <x:c r="D187" s="4" t="str"/>
      <x:c r="E187" s="4" t="str">
        <x:v>ERROR</x:v>
      </x:c>
      <x:c r="F187" s="4" t="str"/>
      <x:c r="G187" s="4" t="str"/>
      <x:c r="H187" s="4" t="str"/>
      <x:c r="I187" s="4" t="str">
        <x:v>HTTP Error 404: </x:v>
      </x:c>
      <x:c r="J187" s="4" t="str">
        <x:v>SIN_CAPTURA</x:v>
      </x:c>
      <x:c r="K187" s="4" t="str"/>
      <x:c r="L187" s="12" t="n">
        <x:f>COUNTIF('21_Fuentes_educativas'!$A$5:$A$188,A187)-1</x:f>
        <x:v>0</x:v>
      </x:c>
      <x:c r="M187" s="12" t="n">
        <x:f>IF(E187="CAPTURADO",IF(LEN(G187)=64,0,1),0)</x:f>
        <x:v>0</x:v>
      </x:c>
    </x:row>
    <x:row r="188" ht="47" customHeight="1">
      <x:c r="A188" s="4" t="str">
        <x:v>W025</x:v>
      </x:c>
      <x:c r="B188" s="4" t="str">
        <x:v>WM3F1-15</x:v>
      </x:c>
      <x:c r="C188" s="4" t="str">
        <x:v>https://courses.warwick.ac.uk/modules/2026/WM3F1-15</x:v>
      </x:c>
      <x:c r="D188" s="4" t="str"/>
      <x:c r="E188" s="4" t="str">
        <x:v>ERROR</x:v>
      </x:c>
      <x:c r="F188" s="4" t="str"/>
      <x:c r="G188" s="4" t="str"/>
      <x:c r="H188" s="4" t="str"/>
      <x:c r="I188" s="4" t="str">
        <x:v>HTTP Error 404: </x:v>
      </x:c>
      <x:c r="J188" s="4" t="str">
        <x:v>SIN_CAPTURA</x:v>
      </x:c>
      <x:c r="K188" s="4" t="str"/>
      <x:c r="L188" s="12" t="n">
        <x:f>COUNTIF('21_Fuentes_educativas'!$A$5:$A$188,A188)-1</x:f>
        <x:v>0</x:v>
      </x:c>
      <x:c r="M188" s="12" t="n">
        <x:f>IF(E188="CAPTURADO",IF(LEN(G188)=64,0,1),0)</x:f>
        <x:v>0</x:v>
      </x:c>
    </x:row>
  </x:sheetData>
  <x:mergeCells>
    <x:mergeCell ref="A1:D1"/>
    <x:mergeCell ref="A2:F2"/>
  </x:mergeCells>
  <x:conditionalFormatting sqref="L5:L188">
    <x:cfRule type="expression" dxfId="3" priority="1">
      <x:formula>L5&gt;0</x:formula>
    </x:cfRule>
  </x:conditionalFormatting>
  <x:conditionalFormatting sqref="M5:M188">
    <x:cfRule type="expression" dxfId="4" priority="2">
      <x:formula>M5&gt;0</x:formula>
    </x:cfRule>
  </x:conditionalFormatting>
  <x:conditionalFormatting sqref="J5:J188">
    <x:cfRule type="expression" dxfId="8" priority="3">
      <x:formula>OR(ISNUMBER(SEARCH("CUARENTENA",J5)),ISNUMBER(SEARCH("RESERVA",J5)),ISNUMBER(SEARCH("SIN_CAPTURA",J5)))</x:formula>
    </x:cfRule>
  </x:conditionalFormatting>
  <x:pageMargins left="0.7" right="0.7" top="0.75" bottom="0.75" header="0.3" footer="0.3"/>
  <x:tableParts count="1">
    <x:tablePart xmlns:r="http://schemas.openxmlformats.org/officeDocument/2006/relationships" r:id="R38d265dbf7b04a24"/>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3" hidden="0" customWidth="1"/>
    <x:col min="2" max="2" width="48" hidden="0" customWidth="1"/>
    <x:col min="3" max="3" width="77" hidden="0" customWidth="1"/>
    <x:col min="4" max="4" width="35" hidden="0" customWidth="1"/>
    <x:col min="5" max="5" width="98" hidden="0" customWidth="1"/>
    <x:col min="6" max="6" width="43" hidden="0" customWidth="1"/>
    <x:col min="7" max="7" width="93" hidden="0" customWidth="1"/>
  </x:cols>
  <x:sheetData>
    <x:row r="1" ht="35" customHeight="1">
      <x:c r="A1" s="6" t="str">
        <x:v>ADVERSARIAL · decisiones y reservas de esta revisión</x:v>
      </x:c>
      <x:c r="B1" s="6"/>
      <x:c r="C1" s="6"/>
      <x:c r="D1" s="6"/>
      <x:c r="E1" s="6"/>
      <x:c r="F1" s="6"/>
      <x:c r="G1" s="6"/>
    </x:row>
    <x:row r="2" ht="52" customHeight="1">
      <x:c r="A2" s="8" t="str">
        <x:v>Revisión interna de Watson. Se informa de defectos, correcciones y límites. Las comprobaciones semánticas no se sustituyen por fórmulas ni por un recuento de fuentes.</x:v>
      </x:c>
      <x:c r="B2" s="8"/>
      <x:c r="C2" s="8"/>
      <x:c r="D2" s="8"/>
      <x:c r="E2" s="8"/>
      <x:c r="F2" s="8"/>
      <x:c r="G2" s="8"/>
    </x:row>
    <x:row r="3">
      <x:c r="A3" s="4"/>
      <x:c r="B3" s="4"/>
      <x:c r="C3" s="4"/>
      <x:c r="D3" s="4"/>
      <x:c r="E3" s="4"/>
      <x:c r="F3" s="4"/>
      <x:c r="G3" s="4"/>
    </x:row>
    <x:row r="4" ht="42" customHeight="1">
      <x:c r="A4" s="10" t="str">
        <x:v>ID</x:v>
      </x:c>
      <x:c r="B4" s="10" t="str">
        <x:v>Ataque de revisión</x:v>
      </x:c>
      <x:c r="C4" s="10" t="str">
        <x:v>Hallazgo o riesgo</x:v>
      </x:c>
      <x:c r="D4" s="10" t="str">
        <x:v>Tratamiento</x:v>
      </x:c>
      <x:c r="E4" s="10" t="str">
        <x:v>Resolución aplicada</x:v>
      </x:c>
      <x:c r="F4" s="10" t="str">
        <x:v>Evidencia</x:v>
      </x:c>
      <x:c r="G4" s="10" t="str">
        <x:v>Reserva residual</x:v>
      </x:c>
    </x:row>
    <x:row r="5" ht="47" customHeight="1">
      <x:c r="A5" s="4" t="str">
        <x:v>AC-01</x:v>
      </x:c>
      <x:c r="B5" s="4" t="str">
        <x:v>Rector profesional por rector educativo</x:v>
      </x:c>
      <x:c r="C5" s="4" t="str">
        <x:v>NICE no es un plan universitario de un país vector.</x:v>
      </x:c>
      <x:c r="D5" s="4" t="str">
        <x:v>CORREGIDO</x:v>
      </x:c>
      <x:c r="E5" s="4" t="str">
        <x:v>URJC se propone como base educativa; NICE se conserva como contraste profesional.</x:v>
      </x:c>
      <x:c r="F5" s="4" t="str">
        <x:v>00; 14; 03_NICE</x:v>
      </x:c>
      <x:c r="G5" s="4" t="str">
        <x:v>La elección requiere adopción humana; no se declara rector universal.</x:v>
      </x:c>
    </x:row>
    <x:row r="6" ht="47" customHeight="1">
      <x:c r="A6" s="4" t="str">
        <x:v>AC-02</x:v>
      </x:c>
      <x:c r="B6" s="4" t="str">
        <x:v>Adelantar el primer universo</x:v>
      </x:c>
      <x:c r="C6" s="4" t="str">
        <x:v>OPC-07 estaba priorizado antes de cerrar el catálogo educativo.</x:v>
      </x:c>
      <x:c r="D6" s="4" t="str">
        <x:v>CORREGIDO</x:v>
      </x:c>
      <x:c r="E6" s="4" t="str">
        <x:v>Se retira esa prioridad. Las operaciones de v0.1 quedan históricas, pendientes de reexaminar.</x:v>
      </x:c>
      <x:c r="F6" s="4" t="str">
        <x:v>00; 07; 09</x:v>
      </x:c>
      <x:c r="G6" s="4" t="str">
        <x:v>Cero universos, parámetros, matrices, rutas y frames constituidos.</x:v>
      </x:c>
    </x:row>
    <x:row r="7" ht="47" customHeight="1">
      <x:c r="A7" s="4" t="str">
        <x:v>AC-03</x:v>
      </x:c>
      <x:c r="B7" s="4" t="str">
        <x:v>Confundir país con currículo nacional</x:v>
      </x:c>
      <x:c r="C7" s="4" t="str">
        <x:v>Un plan URJC no representa todas las universidades españolas.</x:v>
      </x:c>
      <x:c r="D7" s="4" t="str">
        <x:v>CORREGIDO</x:v>
      </x:c>
      <x:c r="E7" s="4" t="str">
        <x:v>Se identifica universidad, grado, titulación, edición y carácter de propuesta.</x:v>
      </x:c>
      <x:c r="F7" s="4" t="str">
        <x:v>14 P01; 15</x:v>
      </x:c>
      <x:c r="G7" s="4" t="str">
        <x:v>No se mide aceptación internacional por prestigio o número de países.</x:v>
      </x:c>
    </x:row>
    <x:row r="8" ht="47" customHeight="1">
      <x:c r="A8" s="4" t="str">
        <x:v>AC-04</x:v>
      </x:c>
      <x:c r="B8" s="4" t="str">
        <x:v>Mezcla en adquisición de PDF</x:v>
      </x:c>
      <x:c r="C8" s="4" t="str">
        <x:v>En el lote U, portadas y temarios de distintas guías resultaron mezclados.</x:v>
      </x:c>
      <x:c r="D8" s="4" t="str">
        <x:v>RECUPERACIÓN Y CONTRASTE</x:v>
      </x:c>
      <x:c r="E8" s="4" t="str">
        <x:v>Todo el lote U queda en cuarentena. Lote R descargado secuencialmente y contrastado por contenido.</x:v>
      </x:c>
      <x:c r="F8" s="4" t="str">
        <x:v>21 U/R; R003 frente U003</x:v>
      </x:c>
      <x:c r="G8" s="4" t="str">
        <x:v>No se atribuye una causa técnica definitiva al servidor. Una portada correcta no basta.</x:v>
      </x:c>
    </x:row>
    <x:row r="9" ht="47" customHeight="1">
      <x:c r="A9" s="4" t="str">
        <x:v>AC-05</x:v>
      </x:c>
      <x:c r="B9" s="4" t="str">
        <x:v>Sustituir actualidad por fecha de consulta</x:v>
      </x:c>
      <x:c r="C9" s="4" t="str">
        <x:v>El PDF Erasmus E002 es de 2021–22.</x:v>
      </x:c>
      <x:c r="D9" s="4" t="str">
        <x:v>CORREGIDO</x:v>
      </x:c>
      <x:c r="E9" s="4" t="str">
        <x:v>Base del catálogo: plan y guías 2026–27. E002 sólo antecedente, sin rellenar temarios actuales.</x:v>
      </x:c>
      <x:c r="F9" s="4" t="str">
        <x:v>E002 p. 5; E011; R</x:v>
      </x:c>
      <x:c r="G9" s="4" t="str">
        <x:v>Una guía curricular actual tampoco actualiza automáticamente las normas que menciona.</x:v>
      </x:c>
    </x:row>
    <x:row r="10" ht="47" customHeight="1">
      <x:c r="A10" s="4" t="str">
        <x:v>AC-06</x:v>
      </x:c>
      <x:c r="B10" s="4" t="str">
        <x:v>Guelph: duplicación y cambio de título</x:v>
      </x:c>
      <x:c r="C10" s="4" t="str">
        <x:v>CIS*6540 y CIS*6530 comparten descripción; el título de 6530 difiere del listado del programa.</x:v>
      </x:c>
      <x:c r="D10" s="4" t="str">
        <x:v>RESERVA LOCALIZADA</x:v>
      </x:c>
      <x:c r="E10" s="4" t="str">
        <x:v>No se extrae el temario de 6540 ni se decide la identidad editorial de 6530.</x:v>
      </x:c>
      <x:c r="F10" s="4" t="str">
        <x:v>E006; G004; G005</x:v>
      </x:c>
      <x:c r="G10" s="4" t="str">
        <x:v>No afecta a las fichas G007/G009 utilizadas; no se declara todo el programa conforme.</x:v>
      </x:c>
    </x:row>
    <x:row r="11" ht="47" customHeight="1">
      <x:c r="A11" s="4" t="str">
        <x:v>AC-07</x:v>
      </x:c>
      <x:c r="B11" s="4" t="str">
        <x:v>Warwick: mezclar ediciones</x:v>
      </x:c>
      <x:c r="C11" s="4" t="str">
        <x:v>Página de ingreso 2027 frente a consulta de guías 2026–27.</x:v>
      </x:c>
      <x:c r="D11" s="4" t="str">
        <x:v>RESERVA LOCALIZADA</x:v>
      </x:c>
      <x:c r="E11" s="4" t="str">
        <x:v>Sólo se usan unidades con guía 2026–27 recuperada; nueve códigos de tercero quedan sin esa guía.</x:v>
      </x:c>
      <x:c r="F11" s="4" t="str">
        <x:v>E005; W017–W025</x:v>
      </x:c>
      <x:c r="G11" s="4" t="str">
        <x:v>No se declara transcrito un programa completo de una misma cohorte.</x:v>
      </x:c>
    </x:row>
    <x:row r="12" ht="47" customHeight="1">
      <x:c r="A12" s="4" t="str">
        <x:v>AC-08</x:v>
      </x:c>
      <x:c r="B12" s="4" t="str">
        <x:v>UNSW: presentar publicidad como plan</x:v>
      </x:c>
      <x:c r="C12" s="4" t="str">
        <x:v>La presentación comercial y la estructura versionada muestran recuentos distintos.</x:v>
      </x:c>
      <x:c r="D12" s="4" t="str">
        <x:v>CORREGIDO</x:v>
      </x:c>
      <x:c r="E12" s="4" t="str">
        <x:v>Rector comparado mediante Handbook 2026.05: 66+30+24+12+12 UOC. Minor según estructura 2026.02.006.</x:v>
      </x:c>
      <x:c r="F12" s="4" t="str">
        <x:v>E013; N020</x:v>
      </x:c>
      <x:c r="G12" s="4" t="str">
        <x:v>El proyecto ZSPS3117 enlazado a 2027 queda fuera del complemento actual.</x:v>
      </x:c>
    </x:row>
    <x:row r="13" ht="47" customHeight="1">
      <x:c r="A13" s="4" t="str">
        <x:v>AC-09</x:v>
      </x:c>
      <x:c r="B13" s="4" t="str">
        <x:v>Inflar complementos por país</x:v>
      </x:c>
      <x:c r="C13" s="4" t="str">
        <x:v>Hunting, SDN, decisión y riesgo ya figuran en guías URJC.</x:v>
      </x:c>
      <x:c r="D13" s="4" t="str">
        <x:v>CORREGIDO</x:v>
      </x:c>
      <x:c r="E13" s="4" t="str">
        <x:v>Canadá G009 queda como contraste; UPC conserva sólo el título SDS, sin equipararlo a SDN. CMU identifica profundidad por estudiar, no un vacío probado.</x:v>
      </x:c>
      <x:c r="F13" s="4" t="str">
        <x:v>R011; R029; R033; R035; 17</x:v>
      </x:c>
      <x:c r="G13" s="4" t="str">
        <x:v>No se suman países como prueba de necesidad educativa.</x:v>
      </x:c>
    </x:row>
    <x:row r="14" ht="47" customHeight="1">
      <x:c r="A14" s="4" t="str">
        <x:v>AC-10</x:v>
      </x:c>
      <x:c r="B14" s="4" t="str">
        <x:v>Confundir impacto con robustez</x:v>
      </x:c>
      <x:c r="C14" s="4" t="str">
        <x:v>ISO/IEC 42005 evalúa impactos de sistemas de IA.</x:v>
      </x:c>
      <x:c r="D14" s="4" t="str">
        <x:v>CORREGIDO</x:v>
      </x:c>
      <x:c r="E14" s="4" t="str">
        <x:v>Se separa de ensayos técnicos de robustez y de gestión de riesgos.</x:v>
      </x:c>
      <x:c r="F14" s="4" t="str">
        <x:v>A101; AN-05</x:v>
      </x:c>
      <x:c r="G14" s="4" t="str">
        <x:v>ISO sólo en alcance público; no se atribuye lectura de cláusulas. Gartner permanece pendiente de acceso primario.</x:v>
      </x:c>
    </x:row>
    <x:row r="15" ht="47" customHeight="1">
      <x:c r="A15" s="4" t="str">
        <x:v>AC-11</x:v>
      </x:c>
      <x:c r="B15" s="4" t="str">
        <x:v>Tratar tecnologías como protección suficiente</x:v>
      </x:c>
      <x:c r="C15" s="4" t="str">
        <x:v>SDN, eBPF, P4, federación, privacidad diferencial y TEE tienen funciones distintas.</x:v>
      </x:c>
      <x:c r="D15" s="4" t="str">
        <x:v>DELIMITADO</x:v>
      </x:c>
      <x:c r="E15" s="4" t="str">
        <x:v>Cada necesidad exige finalidad, supuestos, coste, evidencia y límites; no adopción por nombre.</x:v>
      </x:c>
      <x:c r="F15" s="4" t="str">
        <x:v>AN-06; AN-07</x:v>
      </x:c>
      <x:c r="G15" s="4" t="str">
        <x:v>Cursos específicos de eBPF/P4 y privacidad avanzada aún no seleccionados.</x:v>
      </x:c>
    </x:row>
    <x:row r="16" ht="47" customHeight="1">
      <x:c r="A16" s="4" t="str">
        <x:v>AC-12</x:v>
      </x:c>
      <x:c r="B16" s="4" t="str">
        <x:v>Enciclopedia sin saber hacer</x:v>
      </x:c>
      <x:c r="C16" s="4" t="str">
        <x:v>Una lista temática no evalúa capacidad de razonar y actuar.</x:v>
      </x:c>
      <x:c r="D16" s="4" t="str">
        <x:v>TRATADO EN ESTE ALCANCE</x:v>
      </x:c>
      <x:c r="E16" s="4" t="str">
        <x:v>40 asignaturas con forma educativa; complementos con resultados y evaluaciones; 12 testigos propuestos.</x:v>
      </x:c>
      <x:c r="F16" s="4" t="str">
        <x:v>15; 17; 19</x:v>
      </x:c>
      <x:c r="G16" s="4" t="str">
        <x:v>No se acredita aprendizaje de una persona ni suficiencia de un universo por estas filas.</x:v>
      </x:c>
    </x:row>
    <x:row r="17" ht="47" customHeight="1">
      <x:c r="A17" s="4" t="str">
        <x:v>AC-13</x:v>
      </x:c>
      <x:c r="B17" s="4" t="str">
        <x:v>Consecuencia inventada después</x:v>
      </x:c>
      <x:c r="C17" s="4" t="str">
        <x:v>Un daño plausible no demuestra causalidad ni consecuencia ocurrida.</x:v>
      </x:c>
      <x:c r="D17" s="4" t="str">
        <x:v>DELIMITADO</x:v>
      </x:c>
      <x:c r="E17" s="4" t="str">
        <x:v>Se separan carencia, error, pérdida epistemológica y consecuencia potencial condicionada.</x:v>
      </x:c>
      <x:c r="F17" s="4" t="str">
        <x:v>19</x:v>
      </x:c>
      <x:c r="G17" s="4" t="str">
        <x:v>Los testigos están especificados; no ejecutados. Falta concretarlos en la operación futura.</x:v>
      </x:c>
    </x:row>
    <x:row r="18" ht="47" customHeight="1">
      <x:c r="A18" s="4" t="str">
        <x:v>AC-14</x:v>
      </x:c>
      <x:c r="B18" s="4" t="str">
        <x:v>Soberanía y actualización</x:v>
      </x:c>
      <x:c r="C18" s="4" t="str">
        <x:v>Acceder a una referencia nueva no cambia el dominio adoptado.</x:v>
      </x:c>
      <x:c r="D18" s="4" t="str">
        <x:v>PRESERVADO</x:v>
      </x:c>
      <x:c r="E18" s="4" t="str">
        <x:v>Cortes declarados, propuesta y adopción separadas; decisión humana de aptitud antes de incorporar cambios.</x:v>
      </x:c>
      <x:c r="F18" s="4" t="str">
        <x:v>00; 18; CF-11</x:v>
      </x:c>
      <x:c r="G18" s="4" t="str">
        <x:v>La aprobación del método ya consta; no se vuelve a solicitar para trabajar.</x:v>
      </x:c>
    </x:row>
    <x:row r="19" ht="47" customHeight="1">
      <x:c r="A19" s="4" t="str">
        <x:v>AC-15</x:v>
      </x:c>
      <x:c r="B19" s="4" t="str">
        <x:v>Proporcionalidad económica</x:v>
      </x:c>
      <x:c r="C19" s="4" t="str">
        <x:v>Protección, servicio, coste y valor necesitan el mismo alcance y horizonte.</x:v>
      </x:c>
      <x:c r="D19" s="4" t="str">
        <x:v>INCORPORADO</x:v>
      </x:c>
      <x:c r="E19" s="4" t="str">
        <x:v>Se conserva la regla humana de no exceder el valor protegido; se exige justificar valoración y coste total.</x:v>
      </x:c>
      <x:c r="F19" s="4" t="str">
        <x:v>AN-05; CF-07; R014; R035</x:v>
      </x:c>
      <x:c r="G19" s="4" t="str">
        <x:v>No se inventa precio del activo, tolerancia al riesgo ni resultado de una comparación todavía inexistente.</x:v>
      </x:c>
    </x:row>
    <x:row r="20" ht="47" customHeight="1">
      <x:c r="A20" s="4" t="str">
        <x:v>AC-16</x:v>
      </x:c>
      <x:c r="B20" s="4" t="str">
        <x:v>Excel y anexo antes de cierre</x:v>
      </x:c>
      <x:c r="C20" s="4" t="str">
        <x:v>La proyección complementaria está autorizada sólo después del cierre humano.</x:v>
      </x:c>
      <x:c r="D20" s="4" t="str">
        <x:v>PRESERVADO</x:v>
      </x:c>
      <x:c r="E20" s="4" t="str">
        <x:v>El Excel continúa como principal. No se genera CSV/TSV ni proyección normativa.</x:v>
      </x:c>
      <x:c r="F20" s="4" t="str">
        <x:v>00</x:v>
      </x:c>
      <x:c r="G20" s="4" t="str">
        <x:v>Datos intermedios de adquisición no son una proyección del Excel.</x:v>
      </x:c>
    </x:row>
    <x:row r="21" ht="47" customHeight="1">
      <x:c r="A21" s="4" t="str">
        <x:v>AC-17</x:v>
      </x:c>
      <x:c r="B21" s="4" t="str">
        <x:v>Adversarial atribuida a otro revisor</x:v>
      </x:c>
      <x:c r="C21" s="4" t="str">
        <x:v>Esta revisión es de Watson.</x:v>
      </x:c>
      <x:c r="D21" s="4" t="str">
        <x:v>DECLARADO</x:v>
      </x:c>
      <x:c r="E21" s="4" t="str">
        <x:v>No se presenta como auditoría independiente ni como dictamen de Claude, Grok o Lenguaje.</x:v>
      </x:c>
      <x:c r="F21" s="4" t="str">
        <x:v>22</x:v>
      </x:c>
      <x:c r="G21" s="4" t="str">
        <x:v>Las reservas siguen visibles; no se declara cero reparos semánticos.</x:v>
      </x:c>
    </x:row>
    <x:row r="22" ht="47" customHeight="1">
      <x:c r="A22" s="4" t="str">
        <x:v>AC-18</x:v>
      </x:c>
      <x:c r="B22" s="4" t="str">
        <x:v>Currículo como norma operativa</x:v>
      </x:c>
      <x:c r="C22" s="4" t="str">
        <x:v>Guías incluyen referencias normativas y herramientas de distintas épocas.</x:v>
      </x:c>
      <x:c r="D22" s="4" t="str">
        <x:v>DELIMITADO</x:v>
      </x:c>
      <x:c r="E22" s="4" t="str">
        <x:v>Se toma su función educativa. Obligaciones y versiones operativas se comprueban aparte antes de su adopción.</x:v>
      </x:c>
      <x:c r="F22" s="4" t="str">
        <x:v>R019; R037; 01</x:v>
      </x:c>
      <x:c r="G22" s="4" t="str">
        <x:v>No se transforma una mención a NIS o CCNA Security en prueba de vigencia normativa o comercial.</x:v>
      </x:c>
    </x:row>
  </x:sheetData>
  <x:mergeCells>
    <x:mergeCell ref="A1:D1"/>
    <x:mergeCell ref="A2:F2"/>
  </x:mergeCells>
  <x:pageMargins left="0.7" right="0.7" top="0.75" bottom="0.75" header="0.3" footer="0.3"/>
  <x:tableParts count="1">
    <x:tablePart xmlns:r="http://schemas.openxmlformats.org/officeDocument/2006/relationships" r:id="R532294f8fffd4e1e"/>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17" hidden="0" customWidth="1"/>
    <x:col min="2" max="2" width="64" hidden="0" customWidth="1"/>
    <x:col min="3" max="3" width="36" hidden="0" customWidth="1"/>
    <x:col min="4" max="4" width="27" hidden="0" customWidth="1"/>
    <x:col min="5" max="5" width="106" hidden="0" customWidth="1"/>
  </x:cols>
  <x:sheetData>
    <x:row r="1" ht="35" customHeight="1">
      <x:c r="A1" s="6" t="str">
        <x:v>CONTROLES · estructura, sensibilidad y límite del dictamen</x:v>
      </x:c>
      <x:c r="B1" s="6"/>
      <x:c r="C1" s="6"/>
      <x:c r="D1" s="6"/>
      <x:c r="E1" s="6"/>
    </x:row>
    <x:row r="2" ht="52" customHeight="1">
      <x:c r="A2" s="8" t="str">
        <x:v>Los resultados calculados no prueban semántica ni aptitud operacional. Las reservas de contenido están en 22 y las carencias formativas especializadas en 18.</x:v>
      </x:c>
      <x:c r="B2" s="8"/>
      <x:c r="C2" s="8"/>
      <x:c r="D2" s="8"/>
      <x:c r="E2" s="8"/>
    </x:row>
    <x:row r="3">
      <x:c r="A3" s="4"/>
      <x:c r="B3" s="4"/>
      <x:c r="C3" s="4"/>
      <x:c r="D3" s="4"/>
      <x:c r="E3" s="4"/>
    </x:row>
    <x:row r="4" ht="42" customHeight="1">
      <x:c r="A4" s="10" t="str">
        <x:v>ID</x:v>
      </x:c>
      <x:c r="B4" s="10" t="str">
        <x:v>Comprobación</x:v>
      </x:c>
      <x:c r="C4" s="10" t="str">
        <x:v>Resultado</x:v>
      </x:c>
      <x:c r="D4" s="10" t="str">
        <x:v>Esperado</x:v>
      </x:c>
      <x:c r="E4" s="10" t="str">
        <x:v>Alcance</x:v>
      </x:c>
    </x:row>
    <x:row r="5" ht="47" customHeight="1">
      <x:c r="A5" s="4" t="str">
        <x:v>ED-01</x:v>
      </x:c>
      <x:c r="B5" s="4" t="str">
        <x:v>Asignaturas del plan</x:v>
      </x:c>
      <x:c r="C5" s="14" t="n">
        <x:f>COUNTA('15_Base_universitaria'!$A$5:$A$44)</x:f>
        <x:v>40</x:v>
      </x:c>
      <x:c r="D5" s="15" t="n">
        <x:v>40</x:v>
      </x:c>
      <x:c r="E5" s="4" t="str">
        <x:v>E011 · total de registros académicos.</x:v>
      </x:c>
    </x:row>
    <x:row r="6" ht="47" customHeight="1">
      <x:c r="A6" s="4" t="str">
        <x:v>ED-02</x:v>
      </x:c>
      <x:c r="B6" s="4" t="str">
        <x:v>ECTS del plan</x:v>
      </x:c>
      <x:c r="C6" s="14" t="n">
        <x:f>SUM('15_Base_universitaria'!$P$5:$P$44)</x:f>
        <x:v>240</x:v>
      </x:c>
      <x:c r="D6" s="15" t="n">
        <x:v>240</x:v>
      </x:c>
      <x:c r="E6" s="4" t="str">
        <x:v>ECTS originales en texto; suma derivada.</x:v>
      </x:c>
    </x:row>
    <x:row r="7" ht="47" customHeight="1">
      <x:c r="A7" s="4" t="str">
        <x:v>ED-03</x:v>
      </x:c>
      <x:c r="B7" s="4" t="str">
        <x:v>ECTS de primer curso</x:v>
      </x:c>
      <x:c r="C7" s="14" t="n">
        <x:f>SUMIF('15_Base_universitaria'!$D$5:$D$44,"1",'15_Base_universitaria'!$P$5:$P$44)</x:f>
        <x:v>60</x:v>
      </x:c>
      <x:c r="D7" s="15" t="n">
        <x:v>60</x:v>
      </x:c>
      <x:c r="E7" s="4" t="str">
        <x:v>Control frente al plan.</x:v>
      </x:c>
    </x:row>
    <x:row r="8" ht="47" customHeight="1">
      <x:c r="A8" s="4" t="str">
        <x:v>ED-04</x:v>
      </x:c>
      <x:c r="B8" s="4" t="str">
        <x:v>ECTS de segundo curso</x:v>
      </x:c>
      <x:c r="C8" s="14" t="n">
        <x:f>SUMIF('15_Base_universitaria'!$D$5:$D$44,"2",'15_Base_universitaria'!$P$5:$P$44)</x:f>
        <x:v>60</x:v>
      </x:c>
      <x:c r="D8" s="15" t="n">
        <x:v>60</x:v>
      </x:c>
      <x:c r="E8" s="4" t="str">
        <x:v>Control frente al plan.</x:v>
      </x:c>
    </x:row>
    <x:row r="9" ht="47" customHeight="1">
      <x:c r="A9" s="4" t="str">
        <x:v>ED-05</x:v>
      </x:c>
      <x:c r="B9" s="4" t="str">
        <x:v>ECTS de tercer curso</x:v>
      </x:c>
      <x:c r="C9" s="14" t="n">
        <x:f>SUMIF('15_Base_universitaria'!$D$5:$D$44,"3",'15_Base_universitaria'!$P$5:$P$44)</x:f>
        <x:v>60</x:v>
      </x:c>
      <x:c r="D9" s="15" t="n">
        <x:v>60</x:v>
      </x:c>
      <x:c r="E9" s="4" t="str">
        <x:v>Control frente al plan.</x:v>
      </x:c>
    </x:row>
    <x:row r="10" ht="47" customHeight="1">
      <x:c r="A10" s="4" t="str">
        <x:v>ED-06</x:v>
      </x:c>
      <x:c r="B10" s="4" t="str">
        <x:v>ECTS de cuarto curso</x:v>
      </x:c>
      <x:c r="C10" s="14" t="n">
        <x:f>SUMIF('15_Base_universitaria'!$D$5:$D$44,"4",'15_Base_universitaria'!$P$5:$P$44)</x:f>
        <x:v>60</x:v>
      </x:c>
      <x:c r="D10" s="15" t="n">
        <x:v>60</x:v>
      </x:c>
      <x:c r="E10" s="4" t="str">
        <x:v>Control frente al plan.</x:v>
      </x:c>
    </x:row>
    <x:row r="11" ht="47" customHeight="1">
      <x:c r="A11" s="4" t="str">
        <x:v>ED-07</x:v>
      </x:c>
      <x:c r="B11" s="4" t="str">
        <x:v>Identidad y referencias de asignatura</x:v>
      </x:c>
      <x:c r="C11" s="14" t="n">
        <x:f>SUM('15_Base_universitaria'!Q5:R44)</x:f>
        <x:v>0</x:v>
      </x:c>
      <x:c r="D11" s="15" t="n">
        <x:v>0</x:v>
      </x:c>
      <x:c r="E11" s="4" t="str">
        <x:v>Duplicados o fuente ausente.</x:v>
      </x:c>
    </x:row>
    <x:row r="12" ht="47" customHeight="1">
      <x:c r="A12" s="4" t="str">
        <x:v>ED-08</x:v>
      </x:c>
      <x:c r="B12" s="4" t="str">
        <x:v>Fuente no admisible en base</x:v>
      </x:c>
      <x:c r="C12" s="14" t="n">
        <x:f>SUM('15_Base_universitaria'!S5:S44)</x:f>
        <x:v>0</x:v>
      </x:c>
      <x:c r="D12" s="15" t="n">
        <x:v>0</x:v>
      </x:c>
      <x:c r="E12" s="4" t="str">
        <x:v>No usar cuarentena ni fallo de adquisición.</x:v>
      </x:c>
    </x:row>
    <x:row r="13" ht="47" customHeight="1">
      <x:c r="A13" s="4" t="str">
        <x:v>ED-09</x:v>
      </x:c>
      <x:c r="B13" s="4" t="str">
        <x:v>Extremos de progresión ausentes</x:v>
      </x:c>
      <x:c r="C13" s="14" t="n">
        <x:f>SUM('16_Progresion'!H5:I12)</x:f>
        <x:v>0</x:v>
      </x:c>
      <x:c r="D13" s="15" t="n">
        <x:v>0</x:v>
      </x:c>
      <x:c r="E13" s="4" t="str">
        <x:v>Control de relaciones de las ocho aristas.</x:v>
      </x:c>
    </x:row>
    <x:row r="14" ht="47" customHeight="1">
      <x:c r="A14" s="4" t="str">
        <x:v>ED-10</x:v>
      </x:c>
      <x:c r="B14" s="4" t="str">
        <x:v>Custodia: duplicado o hash defectuoso</x:v>
      </x:c>
      <x:c r="C14" s="14" t="n">
        <x:f>SUM('21_Fuentes_educativas'!L5:M188)</x:f>
        <x:v>0</x:v>
      </x:c>
      <x:c r="D14" s="15" t="n">
        <x:v>0</x:v>
      </x:c>
      <x:c r="E14" s="4" t="str">
        <x:v>No confundir ausencia de captura declarada con hash inválido.</x:v>
      </x:c>
    </x:row>
    <x:row r="15" ht="47" customHeight="1">
      <x:c r="A15" s="4" t="str">
        <x:v>ED-11</x:v>
      </x:c>
      <x:c r="B15" s="4" t="str">
        <x:v>Familias sin asignación</x:v>
      </x:c>
      <x:c r="C15" s="14" t="n">
        <x:f>COUNTA('15_Base_universitaria'!$A$5:$A$44)-SUM('20_Familias'!$D$5:$D$19)</x:f>
        <x:v>0</x:v>
      </x:c>
      <x:c r="D15" s="15" t="n">
        <x:v>0</x:v>
      </x:c>
      <x:c r="E15" s="4" t="str">
        <x:v>Cobertura del inventario editorial.</x:v>
      </x:c>
    </x:row>
    <x:row r="16" ht="47" customHeight="1">
      <x:c r="A16" s="4" t="str">
        <x:v>ED-12</x:v>
      </x:c>
      <x:c r="B16" s="4" t="str">
        <x:v>Evidencia heredada: incidencias estructurales</x:v>
      </x:c>
      <x:c r="C16" s="14" t="n">
        <x:f>'11_Controles'!C14</x:f>
        <x:v>0</x:v>
      </x:c>
      <x:c r="D16" s="15" t="n">
        <x:v>0</x:v>
      </x:c>
      <x:c r="E16" s="4" t="str">
        <x:v>Controles de las hojas 01–13 conservadas.</x:v>
      </x:c>
    </x:row>
    <x:row r="17" ht="47" customHeight="1">
      <x:c r="A17" s="4" t="str">
        <x:v>ED-13</x:v>
      </x:c>
      <x:c r="B17" s="4" t="str">
        <x:v>Necesidades humanas incorporadas</x:v>
      </x:c>
      <x:c r="C17" s="14" t="n">
        <x:f>COUNTA('18_Necesidades_IA'!$A$5:$A$12)</x:f>
        <x:v>8</x:v>
      </x:c>
      <x:c r="D17" s="15" t="n">
        <x:v>8</x:v>
      </x:c>
      <x:c r="E17" s="4" t="str">
        <x:v>Una fila por cada bloque aportado.</x:v>
      </x:c>
    </x:row>
    <x:row r="18" ht="82" customHeight="1">
      <x:c r="A18" s="4" t="str">
        <x:v>MUT-E01</x:v>
      </x:c>
      <x:c r="B18" s="4" t="str">
        <x:v>Cambiar una fuente por otra inexistente</x:v>
      </x:c>
      <x:c r="C18" s="4" t="str">
        <x:v>DETECTADO Y RESTAURADO</x:v>
      </x:c>
      <x:c r="D18" s="4" t="str">
        <x:v>DETECTAR</x:v>
      </x:c>
      <x:c r="E18" s="4" t="str">
        <x:v>Prueba ejecutada en esta revisión; defecto detectado y controles restaurados. Registro JSON vinculado en el índice.</x:v>
      </x:c>
    </x:row>
    <x:row r="19" ht="82" customHeight="1">
      <x:c r="A19" s="4" t="str">
        <x:v>MUT-E02</x:v>
      </x:c>
      <x:c r="B19" s="4" t="str">
        <x:v>Cambiar la carga de una asignatura</x:v>
      </x:c>
      <x:c r="C19" s="4" t="str">
        <x:v>DETECTADO Y RESTAURADO</x:v>
      </x:c>
      <x:c r="D19" s="4" t="str">
        <x:v>DETECTAR</x:v>
      </x:c>
      <x:c r="E19" s="4" t="str">
        <x:v>Prueba ejecutada en esta revisión; defecto detectado y controles restaurados. Registro JSON vinculado en el índice.</x:v>
      </x:c>
    </x:row>
    <x:row r="20" ht="82" customHeight="1">
      <x:c r="A20" s="4" t="str">
        <x:v>MUT-E03</x:v>
      </x:c>
      <x:c r="B20" s="4" t="str">
        <x:v>Usar una captura en cuarentena</x:v>
      </x:c>
      <x:c r="C20" s="4" t="str">
        <x:v>DETECTADO Y RESTAURADO</x:v>
      </x:c>
      <x:c r="D20" s="4" t="str">
        <x:v>DETECTAR</x:v>
      </x:c>
      <x:c r="E20" s="4" t="str">
        <x:v>Prueba ejecutada en esta revisión; defecto detectado y controles restaurados. Registro JSON vinculado en el índice.</x:v>
      </x:c>
    </x:row>
    <x:row r="21" ht="47" customHeight="1">
      <x:c r="A21" s="4" t="str">
        <x:v>DICTAMEN</x:v>
      </x:c>
      <x:c r="B21" s="4" t="str">
        <x:v>Catálogo curricular propuesto</x:v>
      </x:c>
      <x:c r="C21" s="4" t="str">
        <x:v>REVISABLE CON RESERVAS</x:v>
      </x:c>
      <x:c r="D21" s="4" t="str">
        <x:v>ADOPCIÓN HUMANA</x:v>
      </x:c>
      <x:c r="E21" s="4" t="str">
        <x:v>No cerrado; faltan complementos especializados indicados en 18. El primer universo sigue sin elegir.</x:v>
      </x:c>
    </x:row>
  </x:sheetData>
  <x:mergeCells>
    <x:mergeCell ref="A1:D1"/>
    <x:mergeCell ref="A2:E2"/>
  </x:mergeCells>
  <x:conditionalFormatting sqref="C5:C17">
    <x:cfRule type="expression" dxfId="7" priority="1">
      <x:formula>C5&lt;&gt;D5</x:formula>
    </x:cfRule>
  </x:conditionalFormatting>
  <x:pageMargins left="0.7" right="0.7" top="0.75" bottom="0.75" header="0.3" footer="0.3"/>
  <x:tableParts count="1">
    <x:tablePart xmlns:r="http://schemas.openxmlformats.org/officeDocument/2006/relationships" r:id="R29100200cd4943fb"/>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12" hidden="0" customWidth="1"/>
    <x:col min="2" max="2" width="42" hidden="0" customWidth="1"/>
    <x:col min="3" max="3" width="87" hidden="0" customWidth="1"/>
    <x:col min="4" max="4" width="93" hidden="0" customWidth="1"/>
    <x:col min="5" max="5" width="46" hidden="0" customWidth="1"/>
    <x:col min="6" max="6" width="101" hidden="0" customWidth="1"/>
  </x:cols>
  <x:sheetData>
    <x:row r="1" ht="35" customHeight="1">
      <x:c r="A1" s="6" t="str">
        <x:v>GOBIERNO Y PRECEDENCIA · experiencia de Inmunología</x:v>
      </x:c>
      <x:c r="B1" s="6"/>
      <x:c r="C1" s="6"/>
      <x:c r="D1" s="6"/>
      <x:c r="E1" s="6"/>
      <x:c r="F1" s="6"/>
    </x:row>
    <x:row r="2" ht="52" customHeight="1">
      <x:c r="A2" s="8" t="str">
        <x:v>Referencias de método, con sus cortes explícitos en 21. La instrucción aprobada de Ciberseguridad gobierna esta unidad; los permisos y contenidos clínicos no se trasladan.</x:v>
      </x:c>
      <x:c r="B2" s="8"/>
      <x:c r="C2" s="8"/>
      <x:c r="D2" s="8"/>
      <x:c r="E2" s="8"/>
      <x:c r="F2" s="8"/>
    </x:row>
    <x:row r="3">
      <x:c r="A3" s="4"/>
      <x:c r="B3" s="4"/>
      <x:c r="C3" s="4"/>
      <x:c r="D3" s="4"/>
      <x:c r="E3" s="4"/>
      <x:c r="F3" s="4"/>
    </x:row>
    <x:row r="4" ht="42" customHeight="1">
      <x:c r="A4" s="10" t="str">
        <x:v>ID</x:v>
      </x:c>
      <x:c r="B4" s="10" t="str">
        <x:v>Autoridad o plano</x:v>
      </x:c>
      <x:c r="C4" s="10" t="str">
        <x:v>Función que se preserva</x:v>
      </x:c>
      <x:c r="D4" s="10" t="str">
        <x:v>Frontera</x:v>
      </x:c>
      <x:c r="E4" s="10" t="str">
        <x:v>Fuente / localizador</x:v>
      </x:c>
      <x:c r="F4" s="10" t="str">
        <x:v>Aplicación en este libro</x:v>
      </x:c>
    </x:row>
    <x:row r="5" ht="47" customHeight="1">
      <x:c r="A5" s="4" t="str">
        <x:v>GM-01</x:v>
      </x:c>
      <x:c r="B5" s="4" t="str">
        <x:v>Director · constitución del dominio</x:v>
      </x:c>
      <x:c r="C5" s="4" t="str">
        <x:v>Adoptar el perímetro, sus objetos y las transiciones mediante decisión expresa.</x:v>
      </x:c>
      <x:c r="D5" s="4" t="str">
        <x:v>La propuesta de Watson no constituye adopción. El método ya está autorizado para trabajar.</x:v>
      </x:c>
      <x:c r="E5" s="4" t="str">
        <x:v>I001 §§0–2,6; I005</x:v>
      </x:c>
      <x:c r="F5" s="4" t="str">
        <x:v>URJC y los complementos figuran como propuesta; no se requiere comisión previa para que el Director decida.</x:v>
      </x:c>
    </x:row>
    <x:row r="6" ht="47" customHeight="1">
      <x:c r="A6" s="4" t="str">
        <x:v>GM-02</x:v>
      </x:c>
      <x:c r="B6" s="4" t="str">
        <x:v>Profesional autorizado · operación</x:v>
      </x:c>
      <x:c r="C6" s="4" t="str">
        <x:v>Decidir dentro de su responsabilidad, contexto y jurisdicción.</x:v>
      </x:c>
      <x:c r="D6" s="4" t="str">
        <x:v>Una salida computacional no sustituye la decisión profesional ni amplía competencias.</x:v>
      </x:c>
      <x:c r="E6" s="4" t="str">
        <x:v>I002 §4.1; I005</x:v>
      </x:c>
      <x:c r="F6" s="4" t="str">
        <x:v>Se conserva la distinción; no se importan facultades clínicas al dominio ciber.</x:v>
      </x:c>
    </x:row>
    <x:row r="7" ht="47" customHeight="1">
      <x:c r="A7" s="4" t="str">
        <x:v>GM-03</x:v>
      </x:c>
      <x:c r="B7" s="4" t="str">
        <x:v>Ingeniería · realización</x:v>
      </x:c>
      <x:c r="C7" s="4" t="str">
        <x:v>Comprobar representabilidad, corrección, verificabilidad y seguridad; bloquear una realización inadecuada.</x:v>
      </x:c>
      <x:c r="D7" s="4" t="str">
        <x:v>Bloqueo técnico no es conclusión profesional ni permiso para reescribir un requisito.</x:v>
      </x:c>
      <x:c r="E7" s="4" t="str">
        <x:v>I002 §4.2</x:v>
      </x:c>
      <x:c r="F7" s="4" t="str">
        <x:v>Defecto de realización, límite representacional y decisión profesional se atribuyen por separado.</x:v>
      </x:c>
    </x:row>
    <x:row r="8" ht="47" customHeight="1">
      <x:c r="A8" s="4" t="str">
        <x:v>GM-04</x:v>
      </x:c>
      <x:c r="B8" s="4" t="str">
        <x:v>IA · ejecución del dominio</x:v>
      </x:c>
      <x:c r="C8" s="4" t="str">
        <x:v>Operar sólo con corpus, reglas, finalidades y permisos constituidos para la operación.</x:v>
      </x:c>
      <x:c r="D8" s="4" t="str">
        <x:v>No adoptar, rellenar indeterminación, ampliar corpus ni actualizarlo autónomamente.</x:v>
      </x:c>
      <x:c r="E8" s="4" t="str">
        <x:v>I002 §4.3; I005</x:v>
      </x:c>
      <x:c r="F8" s="4" t="str">
        <x:v>El trabajo investigador preparatorio produce propuestas identificadas; no cambia por sí mismo una ejecución admitida.</x:v>
      </x:c>
    </x:row>
    <x:row r="9" ht="47" customHeight="1">
      <x:c r="A9" s="4" t="str">
        <x:v>GM-05</x:v>
      </x:c>
      <x:c r="B9" s="4" t="str">
        <x:v>Documentación · custodia</x:v>
      </x:c>
      <x:c r="C9" s="4" t="str">
        <x:v>Conservar identidad, fuente, versión, localizador, sucesos y precedencia.</x:v>
      </x:c>
      <x:c r="D9" s="4" t="str">
        <x:v>No tratar un hash o una auditoría favorable como verdad completa o autorización de otra fase.</x:v>
      </x:c>
      <x:c r="E9" s="4" t="str">
        <x:v>I001 §§4.1,6,9; I002 §§1,3,6</x:v>
      </x:c>
      <x:c r="F9" s="4" t="str">
        <x:v>Libro principal abierto como candidata v0.2. Anexo verificado solamente después del cierre aprobado.</x:v>
      </x:c>
    </x:row>
    <x:row r="10" ht="47" customHeight="1">
      <x:c r="A10" s="4" t="str">
        <x:v>GM-06</x:v>
      </x:c>
      <x:c r="B10" s="4" t="str">
        <x:v>Precedencia · secuencia</x:v>
      </x:c>
      <x:c r="C10" s="4" t="str">
        <x:v>Leer I001 junto con la reconciliación I003 y su aplicación en I004; Ciberseguridad sigue I005 §6.</x:v>
      </x:c>
      <x:c r="D10" s="4" t="str">
        <x:v>No reutilizar la secuencia abreviada átomos→matrices→consecuencias como orden actual.</x:v>
      </x:c>
      <x:c r="E10" s="4" t="str">
        <x:v>I001 §§4,12; I003 §§1–3; I004; I005 §6</x:v>
      </x:c>
      <x:c r="F10" s="4" t="str">
        <x:v>Primero perímetro y operación; luego preguntas, observables, consecuencias candidatas, adjudicación y propiedad matricial. No se abre ninguna puerta posterior aquí.</x:v>
      </x:c>
    </x:row>
    <x:row r="11" ht="47" customHeight="1">
      <x:c r="A11" s="4" t="str">
        <x:v>GM-07</x:v>
      </x:c>
      <x:c r="B11" s="4" t="str">
        <x:v>Consecuencia · dos estadios</x:v>
      </x:c>
      <x:c r="C11" s="4" t="str">
        <x:v>Distinguir consecuencia candidata necesaria para estudiar atomicidad de consecuencia operacional vinculada a un uso constituido.</x:v>
      </x:c>
      <x:c r="D11" s="4" t="str">
        <x:v>Un testigo educativo de este catálogo no es G4-CON, veto, regla, parámetro o intervención.</x:v>
      </x:c>
      <x:c r="E11" s="4" t="str">
        <x:v>I003 §1; I005 §6</x:v>
      </x:c>
      <x:c r="F11" s="4" t="str">
        <x:v>Las filas CF son propuestas educativas previas a elegir operación; no se declaran consecuencias operacionales probadas.</x:v>
      </x:c>
    </x:row>
    <x:row r="12" ht="47" customHeight="1">
      <x:c r="A12" s="4" t="str">
        <x:v>GM-08</x:v>
      </x:c>
      <x:c r="B12" s="4" t="str">
        <x:v>Institución · viabilidad y recursos</x:v>
      </x:c>
      <x:c r="C12" s="4" t="str">
        <x:v>Explicitar capacidades, restricciones y costes sin cambiar el significado del conocimiento.</x:v>
      </x:c>
      <x:c r="D12" s="4" t="str">
        <x:v>Disponibilidad local no determina por sí sola lo que debe conocerse.</x:v>
      </x:c>
      <x:c r="E12" s="4" t="str">
        <x:v>I002 §2 ataques H/J; mandato humano de proporcionalidad</x:v>
      </x:c>
      <x:c r="F12" s="4" t="str">
        <x:v>La regla de coste de Ciberseguridad procede del Director. No se traslada una regla de compensación clínica como fórmula económica.</x:v>
      </x:c>
    </x:row>
    <x:row r="13" ht="47" customHeight="1">
      <x:c r="A13" s="4" t="str">
        <x:v>GM-09</x:v>
      </x:c>
      <x:c r="B13" s="4" t="str">
        <x:v>Experiencia · revisión</x:v>
      </x:c>
      <x:c r="C13" s="4" t="str">
        <x:v>Usar experiencia y errores para formular preguntas de revisión con evidencia.</x:v>
      </x:c>
      <x:c r="D13" s="4" t="str">
        <x:v>Experiencia no es autoridad universal; cinco capas y seis planos no forman once categorías disjuntas.</x:v>
      </x:c>
      <x:c r="E13" s="4" t="str">
        <x:v>I002 §§2–3; I001 §6</x:v>
      </x:c>
      <x:c r="F13" s="4" t="str">
        <x:v>Se conserva conocimiento y contexto; las novedades se proponen como evolución controlada, sin obligar al humano a reconstruir el razonamiento.</x:v>
      </x:c>
    </x:row>
    <x:row r="14" ht="47" customHeight="1">
      <x:c r="A14" s="4" t="str">
        <x:v>GM-10</x:v>
      </x:c>
      <x:c r="B14" s="4" t="str">
        <x:v>Entrega · carga cognitiva</x:v>
      </x:c>
      <x:c r="C14" s="4" t="str">
        <x:v>Presentar prioridad y contexto mediante lectura progresiva.</x:v>
      </x:c>
      <x:c r="D14" s="4" t="str">
        <x:v>No volcar todo el inventario como consejo ni confundir volumen documental con rigor.</x:v>
      </x:c>
      <x:c r="E14" s="4" t="str">
        <x:v>I002 §5 VIG-ARQ-05; I004 §0</x:v>
      </x:c>
      <x:c r="F14" s="4" t="str">
        <x:v>Ruta de lectura en Estatuto; tablas filtrables. No se crean cadenas de recepciones de esta recepción.</x:v>
      </x:c>
    </x:row>
  </x:sheetData>
  <x:mergeCells>
    <x:mergeCell ref="A1:D1"/>
    <x:mergeCell ref="A2:F2"/>
  </x:mergeCells>
  <x:pageMargins left="0.7" right="0.7" top="0.75" bottom="0.75" header="0.3" footer="0.3"/>
  <x:tableParts count="1">
    <x:tablePart xmlns:r="http://schemas.openxmlformats.org/officeDocument/2006/relationships" r:id="Rca128efa39b7481c"/>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3" hidden="0" customWidth="1"/>
    <x:col min="2" max="2" width="34" hidden="0" customWidth="1"/>
    <x:col min="3" max="3" width="88" hidden="0" customWidth="1"/>
    <x:col min="4" max="4" width="100" hidden="0" customWidth="1"/>
    <x:col min="5" max="5" width="48" hidden="0" customWidth="1"/>
    <x:col min="6" max="6" width="100" hidden="0" customWidth="1"/>
  </x:cols>
  <x:sheetData>
    <x:row r="1" ht="35" customHeight="1">
      <x:c r="A1" s="6" t="str">
        <x:v>DELIMITACIÓN · qué se cuenta y qué queda abierto</x:v>
      </x:c>
      <x:c r="B1" s="6"/>
      <x:c r="C1" s="6"/>
      <x:c r="D1" s="6"/>
      <x:c r="E1" s="6"/>
      <x:c r="F1" s="6"/>
    </x:row>
    <x:row r="2" ht="52" customHeight="1">
      <x:c r="A2" s="8" t="str">
        <x:v>La memoria del proyecto se contrasta con fuentes fijadas. Se preserva el aprendizaje de Inmunología y se separan hipótesis, objetos constituidos y realizaciones.</x:v>
      </x:c>
      <x:c r="B2" s="8"/>
      <x:c r="C2" s="8"/>
      <x:c r="D2" s="8"/>
      <x:c r="E2" s="8"/>
      <x:c r="F2" s="8"/>
    </x:row>
    <x:row r="3">
      <x:c r="A3" s="4"/>
      <x:c r="B3" s="4"/>
      <x:c r="C3" s="4"/>
      <x:c r="D3" s="4"/>
      <x:c r="E3" s="4"/>
      <x:c r="F3" s="4"/>
    </x:row>
    <x:row r="4" ht="42" customHeight="1">
      <x:c r="A4" s="10" t="str">
        <x:v>ID</x:v>
      </x:c>
      <x:c r="B4" s="10" t="str">
        <x:v>Cuestión</x:v>
      </x:c>
      <x:c r="C4" s="10" t="str">
        <x:v>Conclusión documentada o propuesta</x:v>
      </x:c>
      <x:c r="D4" s="10" t="str">
        <x:v>Distinción y límite</x:v>
      </x:c>
      <x:c r="E4" s="10" t="str">
        <x:v>Evidencia</x:v>
      </x:c>
      <x:c r="F4" s="10" t="str">
        <x:v>Efecto en Ciberseguridad</x:v>
      </x:c>
    </x:row>
    <x:row r="5" ht="47" customHeight="1">
      <x:c r="A5" s="4" t="str">
        <x:v>DL-01</x:v>
      </x:c>
      <x:c r="B5" s="4" t="str">
        <x:v>Rector</x:v>
      </x:c>
      <x:c r="C5" s="4" t="str">
        <x:v>España / URJC, plan 2026–27: propuesta educativa concreta</x:v>
      </x:c>
      <x:c r="D5" s="4" t="str">
        <x:v>40 asignaturas, 240 ECTS; 15 familias editoriales. No currículo nacional único ni liderazgo internacional probado.</x:v>
      </x:c>
      <x:c r="E5" s="4" t="str">
        <x:v>15; 17; I005 §7.1</x:v>
      </x:c>
      <x:c r="F5" s="4" t="str">
        <x:v>El mapa usa esta base y complementos; aceptación final del perímetro pendiente.</x:v>
      </x:c>
    </x:row>
    <x:row r="6" ht="47" customHeight="1">
      <x:c r="A6" s="4" t="str">
        <x:v>DL-02</x:v>
      </x:c>
      <x:c r="B6" s="4" t="str">
        <x:v>Unidad que se cuenta</x:v>
      </x:c>
      <x:c r="C6" s="4" t="str">
        <x:v>Tupla: producto, objeto, disparador, autoridad, frontera, finalización</x:v>
      </x:c>
      <x:c r="D6" s="4" t="str">
        <x:v>Se distingue por cambio material de producto, autoridad o finalización; una técnica o etiqueta no basta.</x:v>
      </x:c>
      <x:c r="E6" s="4" t="str">
        <x:v>S010 §1; I005 §7.1</x:v>
      </x:c>
      <x:c r="F6" s="4" t="str">
        <x:v>29 candidatas en el corte; cifra revisable con justificación y nuevo suceso.</x:v>
      </x:c>
    </x:row>
    <x:row r="7" ht="47" customHeight="1">
      <x:c r="A7" s="4" t="str">
        <x:v>DL-03</x:v>
      </x:c>
      <x:c r="B7" s="4" t="str">
        <x:v>Finitud</x:v>
      </x:c>
      <x:c r="C7" s="4" t="str">
        <x:v>La lista termina en 29 identidades explícitas</x:v>
      </x:c>
      <x:c r="D7" s="4" t="str">
        <x:v>No es una cota ontológica ni una promesa de 29 universos constituidos. No se añaden candidatos por llenar temas.</x:v>
      </x:c>
      <x:c r="E7" s="4" t="str">
        <x:v>26; 33</x:v>
      </x:c>
      <x:c r="F7" s="4" t="str">
        <x:v>28 candidatas de trabajo y una frontera investigadora condicionada.</x:v>
      </x:c>
    </x:row>
    <x:row r="8" ht="47" customHeight="1">
      <x:c r="A8" s="4" t="str">
        <x:v>DL-04</x:v>
      </x:c>
      <x:c r="B8" s="4" t="str">
        <x:v>Familia / operación / parámetro</x:v>
      </x:c>
      <x:c r="C8" s="4" t="str">
        <x:v>Orden editorial, producto profesional e identidad atómica son planos distintos</x:v>
      </x:c>
      <x:c r="D8" s="4" t="str">
        <x:v>Tampoco asignatura, pregunta, observable o resultado educativo equivale a parámetro.</x:v>
      </x:c>
      <x:c r="E8" s="4" t="str">
        <x:v>I005 §7.1–7.3</x:v>
      </x:c>
      <x:c r="F8" s="4" t="str">
        <x:v>27 conserva el aprendizaje habilitante; el recuento operacional está en 26.</x:v>
      </x:c>
    </x:row>
    <x:row r="9" ht="47" customHeight="1">
      <x:c r="A9" s="4" t="str">
        <x:v>DL-05</x:v>
      </x:c>
      <x:c r="B9" s="4" t="str">
        <x:v>Dominio / agente / consejero</x:v>
      </x:c>
      <x:c r="C9" s="4" t="str">
        <x:v>El dominio constituye conocimiento; el agente recibe cobertura y permisos; la IA auxilia al experto</x:v>
      </x:c>
      <x:c r="D9" s="4" t="str">
        <x:v>El experto conserva la decisión y responsabilidad final conforme al mandato. No se atribuye personalidad ni responsabilidad jurídica a la IA.</x:v>
      </x:c>
      <x:c r="E9" s="4" t="str">
        <x:v>S014 §2; S017 §5; I005 cierre; mandato humano</x:v>
      </x:c>
      <x:c r="F9" s="4" t="str">
        <x:v>Catalogar una actuación profesional no concede a la IA facultad de ejecutarla.</x:v>
      </x:c>
    </x:row>
    <x:row r="10" ht="47" customHeight="1">
      <x:c r="A10" s="4" t="str">
        <x:v>DL-06</x:v>
      </x:c>
      <x:c r="B10" s="4" t="str">
        <x:v>SV(9,3)</x:v>
      </x:c>
      <x:c r="C10" s="4" t="str">
        <x:v>Vector plano ordenado de nueve posiciones ternarias; mínimo de célula exacta</x:v>
      </x:c>
      <x:c r="D10" s="4" t="str">
        <x:v>No matriz cartesiana de 3×3. n=b², b≥3, no es permiso para rellenar agrupaciones.</x:v>
      </x:c>
      <x:c r="E10" s="4" t="str">
        <x:v>S007 §3; I005 §7.3</x:v>
      </x:c>
      <x:c r="F10" s="4" t="str">
        <x:v>Arrays semánticos preceden a cualquier propuesta de representación.</x:v>
      </x:c>
    </x:row>
    <x:row r="11" ht="47" customHeight="1">
      <x:c r="A11" s="4" t="str">
        <x:v>DL-07</x:v>
      </x:c>
      <x:c r="B11" s="4" t="str">
        <x:v>Corrección soberana sobre tamaños</x:v>
      </x:c>
      <x:c r="C11" s="4" t="str">
        <x:v>Los recuentos 6, 1, 3, 2, 6 y 9 quedan sólo como antecedente de clasificación inmunológica</x:v>
      </x:c>
      <x:c r="D11" s="4" t="str">
        <x:v>El Director exige no utilizarlos como arquitectura ni tamaños de células. Ciberseguridad constituirá únicamente células SV legítimas, con b≥3 y n=b².</x:v>
      </x:c>
      <x:c r="E11" s="4" t="str">
        <x:v>Mandato humano de esta revisión; S014 §§1–3; S012 histórico</x:v>
      </x:c>
      <x:c r="F11" s="4" t="str">
        <x:v>Retirada su utilización como apoyo arquitectónico. No se heredan ni se regularizan por renombrarlos arrays.</x:v>
      </x:c>
    </x:row>
    <x:row r="12" ht="47" customHeight="1">
      <x:c r="A12" s="4" t="str">
        <x:v>DL-08</x:v>
      </x:c>
      <x:c r="B12" s="4" t="str">
        <x:v>Recuento recordado 23 + 4</x:v>
      </x:c>
      <x:c r="C12" s="4" t="str">
        <x:v>Cuatro parámetros con configuración pendiente: OI, MDRO, nutrición y fragilidad</x:v>
      </x:c>
      <x:c r="D12" s="4" t="str">
        <x:v>Los 23 restantes se obtienen por diferencia de 27. Esta partición no acredita propiedad exclusiva frente a transversalidad.</x:v>
      </x:c>
      <x:c r="E12" s="4" t="str">
        <x:v>S012 §7; S011 §§13–14</x:v>
      </x:c>
      <x:c r="F12" s="4" t="str">
        <x:v>Separar tipo constituido, configuración disponible, uso y propiedad.</x:v>
      </x:c>
    </x:row>
    <x:row r="13" ht="47" customHeight="1">
      <x:c r="A13" s="4" t="str">
        <x:v>DL-09</x:v>
      </x:c>
      <x:c r="B13" s="4" t="str">
        <x:v>Cuatro referencias cruzadas</x:v>
      </x:c>
      <x:c r="C13" s="4" t="str">
        <x:v>Inicio→exposición; KRT→huésped; soporte respiratorio→historia; protocolo→composición</x:v>
      </x:c>
      <x:c r="D13" s="4" t="str">
        <x:v>Son cuatro referencias registradas en el corte; no prueba de que sólo cuatro parámetros puedan reutilizarse en el dominio.</x:v>
      </x:c>
      <x:c r="E13" s="4" t="str">
        <x:v>S012 §4</x:v>
      </x:c>
      <x:c r="F13" s="4" t="str">
        <x:v>El destino lee el estado canónico; no lo duplica ni lo recalcula.</x:v>
      </x:c>
    </x:row>
    <x:row r="14" ht="47" customHeight="1">
      <x:c r="A14" s="4" t="str">
        <x:v>DL-10</x:v>
      </x:c>
      <x:c r="B14" s="4" t="str">
        <x:v>32 en Inmunología</x:v>
      </x:c>
      <x:c r="C14" s="4" t="str">
        <x:v>32 operaciones candidatas del catálogo v0.8; otro inventario distinto contiene 32 raíces Q0</x:v>
      </x:c>
      <x:c r="D14" s="4" t="str">
        <x:v>El mapa sustituye la banda inicial 20–30, centro 24. No autoriza 32×27.</x:v>
      </x:c>
      <x:c r="E14" s="4" t="str">
        <x:v>S010 §§0,5; S011 §11</x:v>
      </x:c>
      <x:c r="F14" s="4" t="str">
        <x:v>Las estimaciones de chats no gobiernan el corte constituido.</x:v>
      </x:c>
    </x:row>
    <x:row r="15" ht="47" customHeight="1">
      <x:c r="A15" s="4" t="str">
        <x:v>DL-11</x:v>
      </x:c>
      <x:c r="B15" s="4" t="str">
        <x:v>Más de 600</x:v>
      </x:c>
      <x:c r="C15" s="4" t="str">
        <x:v>No acreditado aquí como total de parámetros únicos del dominio inmunológico</x:v>
      </x:c>
      <x:c r="D15" s="4" t="str">
        <x:v>El contexto recuperado alude a 600–1000 ocurrencias funcionales como hipótesis, no inventario constituido. No se usa como fuente normativa.</x:v>
      </x:c>
      <x:c r="E15" s="4" t="str">
        <x:v>Contexto histórico recuperado; S010 §5 impide extrapolación</x:v>
      </x:c>
      <x:c r="F15" s="4" t="str">
        <x:v>Ciberseguridad: parámetros únicos totales y usos todavía no estimados.</x:v>
      </x:c>
    </x:row>
    <x:row r="16" ht="47" customHeight="1">
      <x:c r="A16" s="4" t="str">
        <x:v>DL-12</x:v>
      </x:c>
      <x:c r="B16" s="4" t="str">
        <x:v>Propiedad y reutilización</x:v>
      </x:c>
      <x:c r="C16" s="4" t="str">
        <x:v>Identidad canónica única, propietario explícito y usos referenciados</x:v>
      </x:c>
      <x:c r="D16" s="4" t="str">
        <x:v>Igual nombre no basta para deduplicar; misma identidad no puede contabilizarse varias veces como estado independiente.</x:v>
      </x:c>
      <x:c r="E16" s="4" t="str">
        <x:v>I005 §7.3; S012 §§1,3,4</x:v>
      </x:c>
      <x:c r="F16" s="4" t="str">
        <x:v>El posible uso transversal se investiga después de adjudicar identidad; no se anticipa una cuota.</x:v>
      </x:c>
    </x:row>
    <x:row r="17" ht="47" customHeight="1">
      <x:c r="A17" s="4" t="str">
        <x:v>DL-13</x:v>
      </x:c>
      <x:c r="B17" s="4" t="str">
        <x:v>Relación antes de operador</x:v>
      </x:c>
      <x:c r="C17" s="4" t="str">
        <x:v>No existe una ley binaria universal para todas las composiciones</x:v>
      </x:c>
      <x:c r="D17" s="4" t="str">
        <x:v>Declarar codominio, interpretación y rol antes de escoger operador; precedencia educativa no es compuerta operacional.</x:v>
      </x:c>
      <x:c r="E17" s="4" t="str">
        <x:v>S007 §7.2–7.12</x:v>
      </x:c>
      <x:c r="F17" s="4" t="str">
        <x:v>28 son contratos pendientes entre productos; no rutas ni instancias algebraicas ejecutables.</x:v>
      </x:c>
    </x:row>
    <x:row r="18" ht="47" customHeight="1">
      <x:c r="A18" s="4" t="str">
        <x:v>DL-14</x:v>
      </x:c>
      <x:c r="B18" s="4" t="str">
        <x:v>Soberanía y actualización</x:v>
      </x:c>
      <x:c r="C18" s="4" t="str">
        <x:v>Toda adquisición nueva queda como candidata hasta adopción humana</x:v>
      </x:c>
      <x:c r="D18" s="4" t="str">
        <x:v>Modelo, catálogo externo o fuente actualizada no cambia silenciosamente el dominio; IA aconseja dentro de su contrato.</x:v>
      </x:c>
      <x:c r="E18" s="4" t="str">
        <x:v>I005 §§5,7; S001 §§2–5</x:v>
      </x:c>
      <x:c r="F18" s="4" t="str">
        <x:v>Ni fuente disponible ni resultado plausible cierran U o conceden permiso.</x:v>
      </x:c>
    </x:row>
    <x:row r="19" ht="47" customHeight="1">
      <x:c r="A19" s="4" t="str">
        <x:v>DL-15</x:v>
      </x:c>
      <x:c r="B19" s="4" t="str">
        <x:v>Consecuencias como motor constitutivo</x:v>
      </x:c>
      <x:c r="C19" s="4" t="str">
        <x:v>La necesidad de enlazar conocimiento se juzga por su efecto sobre el consejo y sus consecuencias</x:v>
      </x:c>
      <x:c r="D19" s="4" t="str">
        <x:v>No basta saber que una materia existe: hay que mostrar qué conclusión cambia al omitir un enlace necesario. No se declaran daños reales a partir de ejemplos hipotéticos.</x:v>
      </x:c>
      <x:c r="E19" s="4" t="str">
        <x:v>Mandato humano; I005 §7.2–7.3; 34</x:v>
      </x:c>
      <x:c r="F19" s="4" t="str">
        <x:v>Las cadenas de 34 orientan la selección del universo, las distinciones atómicas y las futuras rutas críticas.</x:v>
      </x:c>
    </x:row>
    <x:row r="20" ht="47" customHeight="1">
      <x:c r="A20" s="4" t="str">
        <x:v>DL-16</x:v>
      </x:c>
      <x:c r="B20" s="4" t="str">
        <x:v>Acceso y precedencia</x:v>
      </x:c>
      <x:c r="C20" s="4" t="str">
        <x:v>El PDF de álgebra aportado es un índice de seis páginas con enlaces</x:v>
      </x:c>
      <x:c r="D20" s="4" t="str">
        <x:v>Las páginas ITVIA dieron 403; no se declara lectura íntegra de esos libros. Fundamentos está disponible íntegro en el corte fijado.</x:v>
      </x:c>
      <x:c r="E20" s="4" t="str">
        <x:v>S003–S009; S001; S002</x:v>
      </x:c>
      <x:c r="F20" s="4" t="str">
        <x:v>README de SVcustos mezcla una sede doctrinal y rótulos 3×3: no trasladar esas formulaciones; rigen doctrina e instrucción expresa.</x:v>
      </x:c>
    </x:row>
    <x:row r="21" ht="47" customHeight="1">
      <x:c r="A21" s="4" t="str">
        <x:v>DL-17</x:v>
      </x:c>
      <x:c r="B21" s="4" t="str">
        <x:v>Conocimiento previo / observación nueva</x:v>
      </x:c>
      <x:c r="C21" s="4" t="str">
        <x:v>La IA consejera utiliza conocimiento ya admitido, trazable y auditable; no aprende ni amplía ese corpus durante el consejo</x:v>
      </x:c>
      <x:c r="D21" s="4" t="str">
        <x:v>Un nuevo dato del caso puede activar una reevaluación bajo reglas ya constituidas. Modificar el conocimiento requiere revisión y adopción humana previas.</x:v>
      </x:c>
      <x:c r="E21" s="4" t="str">
        <x:v>Mandato humano; S017 §§1,6; S018 §§3–5</x:v>
      </x:c>
      <x:c r="F21" s="4" t="str">
        <x:v>La educación fundamenta la constitución del catálogo; no describe entrenamiento en línea de la IA consejera.</x:v>
      </x:c>
    </x:row>
    <x:row r="22" ht="47" customHeight="1">
      <x:c r="A22" s="4" t="str">
        <x:v>DL-18</x:v>
      </x:c>
      <x:c r="B22" s="4" t="str">
        <x:v>Explicación del consejo</x:v>
      </x:c>
      <x:c r="C22" s="4" t="str">
        <x:v>Respuesta con justificación reconstruible y metadatos de cobertura, criticidad e indeterminación</x:v>
      </x:c>
      <x:c r="D22" s="4" t="str">
        <x:v>El frame es un objeto estructural referido a una arquitectura legítima. Una narración convincente o un Excel no son por sí mismos un Frame SV.</x:v>
      </x:c>
      <x:c r="E22" s="4" t="str">
        <x:v>S017 §6: r,J,M; S018 §3.4; S016 §4; 35</x:v>
      </x:c>
      <x:c r="F22" s="4" t="str">
        <x:v>Declarar qué conocimiento y enlaces sostienen cada consejo y qué dependencia necesaria falta.</x:v>
      </x:c>
    </x:row>
    <x:row r="23" ht="47" customHeight="1">
      <x:c r="A23" s="4" t="str">
        <x:v>DL-19</x:v>
      </x:c>
      <x:c r="B23" s="4" t="str">
        <x:v>Suficiencia / cierre del frame</x:v>
      </x:c>
      <x:c r="C23" s="4" t="str">
        <x:v>Coherencia de lo declarado y suficiencia del conocimiento necesario son pruebas diferentes</x:v>
      </x:c>
      <x:c r="D23" s="4" t="str">
        <x:v>IR v0.3 §4.7 no exige exhaustividad global. Un Frame bien formado puede no acreditar por sí solo que se haya incluido todo lo necesario para el consejo.</x:v>
      </x:c>
      <x:c r="E23" s="4" t="str">
        <x:v>S016 §§4.3,4.7; S015 §§6–8; mandato sobre consecuencias</x:v>
      </x:c>
      <x:c r="F23" s="4" t="str">
        <x:v>La revisión del dominio debe detectar la omisión relevante aunque la validación técnica acepte el objeto.</x:v>
      </x:c>
    </x:row>
  </x:sheetData>
  <x:mergeCells>
    <x:mergeCell ref="A1:D1"/>
    <x:mergeCell ref="A2:F2"/>
  </x:mergeCells>
  <x:pageMargins left="0.7" right="0.7" top="0.75" bottom="0.75" header="0.3" footer="0.3"/>
  <x:tableParts count="1">
    <x:tablePart xmlns:r="http://schemas.openxmlformats.org/officeDocument/2006/relationships" r:id="R02e8cabb25834851"/>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13" hidden="0" customWidth="1"/>
    <x:col min="2" max="2" width="31" hidden="0" customWidth="1"/>
    <x:col min="3" max="3" width="57" hidden="0" customWidth="1"/>
    <x:col min="4" max="4" width="53" hidden="0" customWidth="1"/>
    <x:col min="5" max="5" width="45" hidden="0" customWidth="1"/>
    <x:col min="6" max="6" width="56" hidden="0" customWidth="1"/>
    <x:col min="7" max="7" width="79" hidden="0" customWidth="1"/>
    <x:col min="8" max="8" width="84" hidden="0" customWidth="1"/>
    <x:col min="9" max="9" width="88" hidden="0" customWidth="1"/>
    <x:col min="10" max="10" width="89" hidden="0" customWidth="1"/>
    <x:col min="11" max="11" width="13" hidden="0" customWidth="1"/>
    <x:col min="12" max="12" width="80" hidden="0" customWidth="1"/>
    <x:col min="13" max="13" width="39" hidden="0" customWidth="1"/>
    <x:col min="14" max="14" width="14" hidden="0" customWidth="1"/>
    <x:col min="15" max="15" width="17" hidden="0" customWidth="1"/>
  </x:cols>
  <x:sheetData>
    <x:row r="1" ht="35" customHeight="1">
      <x:c r="A1" s="6" t="str">
        <x:v>PREACOTACIÓN · 29 productos profesionales candidatos</x:v>
      </x:c>
      <x:c r="B1" s="6"/>
      <x:c r="C1" s="6"/>
      <x:c r="D1" s="6"/>
      <x:c r="E1" s="6"/>
      <x:c r="F1" s="6"/>
      <x:c r="G1" s="6"/>
      <x:c r="H1" s="6"/>
      <x:c r="I1" s="6"/>
      <x:c r="J1" s="6"/>
      <x:c r="K1" s="6"/>
      <x:c r="L1" s="6"/>
      <x:c r="M1" s="6"/>
      <x:c r="N1" s="6"/>
      <x:c r="O1" s="6"/>
    </x:row>
    <x:row r="2" ht="52" customHeight="1">
      <x:c r="A2" s="8" t="str">
        <x:v>Hipótesis finita de trabajo sobre v0.2. No cierra G0, no constituye universos y no estima parámetros. Los nombres y enlaces son síntesis propuesta de Watson.</x:v>
      </x:c>
      <x:c r="B2" s="8"/>
      <x:c r="C2" s="8"/>
      <x:c r="D2" s="8"/>
      <x:c r="E2" s="8"/>
      <x:c r="F2" s="8"/>
      <x:c r="G2" s="8"/>
      <x:c r="H2" s="8"/>
      <x:c r="I2" s="8"/>
      <x:c r="J2" s="8"/>
      <x:c r="K2" s="8"/>
      <x:c r="L2" s="8"/>
      <x:c r="M2" s="8"/>
      <x:c r="N2" s="8"/>
      <x:c r="O2" s="8"/>
    </x:row>
    <x:row r="3">
      <x:c r="A3" s="4"/>
      <x:c r="B3" s="4"/>
      <x:c r="C3" s="4"/>
      <x:c r="D3" s="4"/>
      <x:c r="E3" s="4"/>
      <x:c r="F3" s="4"/>
      <x:c r="G3" s="4"/>
      <x:c r="H3" s="4"/>
      <x:c r="I3" s="4"/>
      <x:c r="J3" s="4"/>
      <x:c r="K3" s="4"/>
      <x:c r="L3" s="4"/>
      <x:c r="M3" s="4"/>
      <x:c r="N3" s="4"/>
      <x:c r="O3" s="4"/>
    </x:row>
    <x:row r="4" ht="42" customHeight="1">
      <x:c r="A4" s="10" t="str">
        <x:v>ID</x:v>
      </x:c>
      <x:c r="B4" s="10" t="str">
        <x:v>Agrupación editorial</x:v>
      </x:c>
      <x:c r="C4" s="10" t="str">
        <x:v>Producto terminal</x:v>
      </x:c>
      <x:c r="D4" s="10" t="str">
        <x:v>Objeto</x:v>
      </x:c>
      <x:c r="E4" s="10" t="str">
        <x:v>Disparador</x:v>
      </x:c>
      <x:c r="F4" s="10" t="str">
        <x:v>Autoridad</x:v>
      </x:c>
      <x:c r="G4" s="10" t="str">
        <x:v>Frontera</x:v>
      </x:c>
      <x:c r="H4" s="10" t="str">
        <x:v>Finalización</x:v>
      </x:c>
      <x:c r="I4" s="10" t="str">
        <x:v>Conocimiento y saber hacer</x:v>
      </x:c>
      <x:c r="J4" s="10" t="str">
        <x:v>Consecuencia de omitirlo · potencial</x:v>
      </x:c>
      <x:c r="K4" s="10" t="str">
        <x:v>Ancla principal</x:v>
      </x:c>
      <x:c r="L4" s="10" t="str">
        <x:v>Localizador y complemento</x:v>
      </x:c>
      <x:c r="M4" s="10" t="str">
        <x:v>Estatuto</x:v>
      </x:c>
      <x:c r="N4" s="10" t="str">
        <x:v>Duplicado</x:v>
      </x:c>
      <x:c r="O4" s="10" t="str">
        <x:v>Campo ausente</x:v>
      </x:c>
    </x:row>
    <x:row r="5" ht="47" customHeight="1">
      <x:c r="A5" s="4" t="str">
        <x:v>CYO-01</x:v>
      </x:c>
      <x:c r="B5" s="4" t="str">
        <x:v>Gobierno</x:v>
      </x:c>
      <x:c r="C5" s="4" t="str">
        <x:v>Expediente de riesgo y opciones de tratamiento</x:v>
      </x:c>
      <x:c r="D5" s="4" t="str">
        <x:v>Sistema y objetivos delimitados</x:v>
      </x:c>
      <x:c r="E5" s="4" t="str">
        <x:v>Evaluación o cambio material</x:v>
      </x:c>
      <x:c r="F5" s="4" t="str">
        <x:v>Responsable de riesgo; decisión de Dirección</x:v>
      </x:c>
      <x:c r="G5" s="4" t="str">
        <x:v>Análisis no acepta riesgo ni impone inversión</x:v>
      </x:c>
      <x:c r="H5" s="4" t="str">
        <x:v>Riesgos, alternativas, coste total, valor protegido y decisión atribuida</x:v>
      </x:c>
      <x:c r="I5" s="4" t="str">
        <x:v>Estimar con supuestos, comparar alternativas y justificar consecuencias</x:v>
      </x:c>
      <x:c r="J5" s="4" t="str">
        <x:v>Una cifra de riesgo puede ocultar costes, dependencias y pérdidas no consideradas.</x:v>
      </x:c>
      <x:c r="K5" s="4" t="str">
        <x:v>R035</x:v>
      </x:c>
      <x:c r="L5" s="4" t="str">
        <x:v>IV: métodos, calibración, tratamiento y comunicación</x:v>
      </x:c>
      <x:c r="M5" s="4" t="str">
        <x:v>CANDIDATA PARA CONTRASTE</x:v>
      </x:c>
      <x:c r="N5" s="12" t="n">
        <x:f>COUNTIF('26_Mapa_universos'!$A$5:$A$33,A5)-1</x:f>
        <x:v>0</x:v>
      </x:c>
      <x:c r="O5" s="12" t="n">
        <x:f>COUNTBLANK(C5:H5)</x:f>
        <x:v>0</x:v>
      </x:c>
    </x:row>
    <x:row r="6" ht="47" customHeight="1">
      <x:c r="A6" s="4" t="str">
        <x:v>CYO-02</x:v>
      </x:c>
      <x:c r="B6" s="4" t="str">
        <x:v>Ingeniería</x:v>
      </x:c>
      <x:c r="C6" s="4" t="str">
        <x:v>Dictamen de arquitectura de seguridad</x:v>
      </x:c>
      <x:c r="D6" s="4" t="str">
        <x:v>Diseño y sus interfaces</x:v>
      </x:c>
      <x:c r="E6" s="4" t="str">
        <x:v>Nuevo diseño o modificación</x:v>
      </x:c>
      <x:c r="F6" s="4" t="str">
        <x:v>Arquitectura y propietario del sistema</x:v>
      </x:c>
      <x:c r="G6" s="4" t="str">
        <x:v>Diseño no autoriza puesta en servicio</x:v>
      </x:c>
      <x:c r="H6" s="4" t="str">
        <x:v>Requisitos, amenazas, alternativas y restricciones trazados</x:v>
      </x:c>
      <x:c r="I6" s="4" t="str">
        <x:v>Razonar sobre superficies, segmentación y dependencias</x:v>
      </x:c>
      <x:c r="J6" s="4" t="str">
        <x:v>Un control local puede dejar sin proteger una dependencia del servicio.</x:v>
      </x:c>
      <x:c r="K6" s="4" t="str">
        <x:v>R019</x:v>
      </x:c>
      <x:c r="L6" s="4" t="str">
        <x:v>IV: seguridad de redes; complemento R029 redes/nube</x:v>
      </x:c>
      <x:c r="M6" s="4" t="str">
        <x:v>CANDIDATA PARA CONTRASTE</x:v>
      </x:c>
      <x:c r="N6" s="12" t="n">
        <x:f>COUNTIF('26_Mapa_universos'!$A$5:$A$33,A6)-1</x:f>
        <x:v>0</x:v>
      </x:c>
      <x:c r="O6" s="12" t="n">
        <x:f>COUNTBLANK(C6:H6)</x:f>
        <x:v>0</x:v>
      </x:c>
    </x:row>
    <x:row r="7" ht="47" customHeight="1">
      <x:c r="A7" s="4" t="str">
        <x:v>CYO-03</x:v>
      </x:c>
      <x:c r="B7" s="4" t="str">
        <x:v>Ingeniería</x:v>
      </x:c>
      <x:c r="C7" s="4" t="str">
        <x:v>Expediente de autorización de acceso</x:v>
      </x:c>
      <x:c r="D7" s="4" t="str">
        <x:v>Sujeto, recurso y privilegio solicitado</x:v>
      </x:c>
      <x:c r="E7" s="4" t="str">
        <x:v>Alta, cambio, revisión o revocación</x:v>
      </x:c>
      <x:c r="F7" s="4" t="str">
        <x:v>Titular del recurso y autoridad de acceso</x:v>
      </x:c>
      <x:c r="G7" s="4" t="str">
        <x:v>Rol o recomendación no concede permiso</x:v>
      </x:c>
      <x:c r="H7" s="4" t="str">
        <x:v>Permiso, alcance, vigencia y responsable explícitos o insuficiencia</x:v>
      </x:c>
      <x:c r="I7" s="4" t="str">
        <x:v>Distinguir identidad, autenticación, autorización y privilegio efectivo</x:v>
      </x:c>
      <x:c r="J7" s="4" t="str">
        <x:v>Identificar al usuario no demuestra que deba disponer de ese acceso.</x:v>
      </x:c>
      <x:c r="K7" s="4" t="str">
        <x:v>R024</x:v>
      </x:c>
      <x:c r="L7" s="4" t="str">
        <x:v>IV: acceso y seguridad de datos; contraste NICE T1548</x:v>
      </x:c>
      <x:c r="M7" s="4" t="str">
        <x:v>CANDIDATA PARA CONTRASTE</x:v>
      </x:c>
      <x:c r="N7" s="12" t="n">
        <x:f>COUNTIF('26_Mapa_universos'!$A$5:$A$33,A7)-1</x:f>
        <x:v>0</x:v>
      </x:c>
      <x:c r="O7" s="12" t="n">
        <x:f>COUNTBLANK(C7:H7)</x:f>
        <x:v>0</x:v>
      </x:c>
    </x:row>
    <x:row r="8" ht="47" customHeight="1">
      <x:c r="A8" s="4" t="str">
        <x:v>CYO-04</x:v>
      </x:c>
      <x:c r="B8" s="4" t="str">
        <x:v>Evaluación y respuesta</x:v>
      </x:c>
      <x:c r="C8" s="4" t="str">
        <x:v>Informe de evaluación técnica autorizada</x:v>
      </x:c>
      <x:c r="D8" s="4" t="str">
        <x:v>Superficie y técnicas contratadas</x:v>
      </x:c>
      <x:c r="E8" s="4" t="str">
        <x:v>Encargo con reglas de actuación</x:v>
      </x:c>
      <x:c r="F8" s="4" t="str">
        <x:v>Evaluador y titular del alcance</x:v>
      </x:c>
      <x:c r="G8" s="4" t="str">
        <x:v>Hallazgo no es explotación demostrada ni corrección</x:v>
      </x:c>
      <x:c r="H8" s="4" t="str">
        <x:v>Método, evidencias, límites y hallazgos entregados</x:v>
      </x:c>
      <x:c r="I8" s="4" t="str">
        <x:v>Diseñar y ejecutar pruebas delimitadas; informar incertidumbre</x:v>
      </x:c>
      <x:c r="J8" s="4" t="str">
        <x:v>Una prueba fuera de alcance puede producir daño sin autorización.</x:v>
      </x:c>
      <x:c r="K8" s="4" t="str">
        <x:v>R034</x:v>
      </x:c>
      <x:c r="L8" s="4" t="str">
        <x:v>IV: alcance, fases y pruebas; R015 como base</x:v>
      </x:c>
      <x:c r="M8" s="4" t="str">
        <x:v>CANDIDATA PARA CONTRASTE</x:v>
      </x:c>
      <x:c r="N8" s="12" t="n">
        <x:f>COUNTIF('26_Mapa_universos'!$A$5:$A$33,A8)-1</x:f>
        <x:v>0</x:v>
      </x:c>
      <x:c r="O8" s="12" t="n">
        <x:f>COUNTBLANK(C8:H8)</x:f>
        <x:v>0</x:v>
      </x:c>
    </x:row>
    <x:row r="9" ht="47" customHeight="1">
      <x:c r="A9" s="4" t="str">
        <x:v>CYO-05</x:v>
      </x:c>
      <x:c r="B9" s="4" t="str">
        <x:v>Ingeniería</x:v>
      </x:c>
      <x:c r="C9" s="4" t="str">
        <x:v>Dictamen de seguridad de entrega de software</x:v>
      </x:c>
      <x:c r="D9" s="4" t="str">
        <x:v>Versión, construcción y dependencias</x:v>
      </x:c>
      <x:c r="E9" s="4" t="str">
        <x:v>Entrega o actualización candidata</x:v>
      </x:c>
      <x:c r="F9" s="4" t="str">
        <x:v>Desarrollo, verificación y responsable de entrega</x:v>
      </x:c>
      <x:c r="G9" s="4" t="str">
        <x:v>No despliega; evaluación de comportamiento aprendido se contrasta en CYO-23</x:v>
      </x:c>
      <x:c r="H9" s="4" t="str">
        <x:v>Pruebas y defectos atribuibles a la versión identificada</x:v>
      </x:c>
      <x:c r="I9" s="4" t="str">
        <x:v>Rastrear defectos entre requisitos, código, pruebas y versión</x:v>
      </x:c>
      <x:c r="J9" s="4" t="str">
        <x:v>Probar otra construcción deja sin evidencia la entrega examinada.</x:v>
      </x:c>
      <x:c r="K9" s="4" t="str">
        <x:v>R028</x:v>
      </x:c>
      <x:c r="L9" s="4" t="str">
        <x:v>IV: desarrollo y análisis seguro; R023 ingeniería</x:v>
      </x:c>
      <x:c r="M9" s="4" t="str">
        <x:v>CANDIDATA PARA CONTRASTE</x:v>
      </x:c>
      <x:c r="N9" s="12" t="n">
        <x:f>COUNTIF('26_Mapa_universos'!$A$5:$A$33,A9)-1</x:f>
        <x:v>0</x:v>
      </x:c>
      <x:c r="O9" s="12" t="n">
        <x:f>COUNTBLANK(C9:H9)</x:f>
        <x:v>0</x:v>
      </x:c>
    </x:row>
    <x:row r="10" ht="47" customHeight="1">
      <x:c r="A10" s="4" t="str">
        <x:v>CYO-06</x:v>
      </x:c>
      <x:c r="B10" s="4" t="str">
        <x:v>Gobierno</x:v>
      </x:c>
      <x:c r="C10" s="4" t="str">
        <x:v>Evaluación de proveedor o dependencia externa</x:v>
      </x:c>
      <x:c r="D10" s="4" t="str">
        <x:v>Servicio, componente o proveedor delimitado</x:v>
      </x:c>
      <x:c r="E10" s="4" t="str">
        <x:v>Adquisición, renovación o cambio</x:v>
      </x:c>
      <x:c r="F10" s="4" t="str">
        <x:v>Adquisiciones y propietario del riesgo</x:v>
      </x:c>
      <x:c r="G10" s="4" t="str">
        <x:v>Certificado no extiende confianza a toda la cadena</x:v>
      </x:c>
      <x:c r="H10" s="4" t="str">
        <x:v>Condiciones, evidencias y riesgos para la admisión</x:v>
      </x:c>
      <x:c r="I10" s="4" t="str">
        <x:v>Valorar dependencia, garantías verificables y responsabilidad</x:v>
      </x:c>
      <x:c r="J10" s="4" t="str">
        <x:v>Una dependencia no evaluada puede trasladar riesgo al servicio.</x:v>
      </x:c>
      <x:c r="K10" s="4" t="str">
        <x:v>R035</x:v>
      </x:c>
      <x:c r="L10" s="4" t="str">
        <x:v>IV: transferencia y tratamiento; NICE OG-WRL-017 como contraste</x:v>
      </x:c>
      <x:c r="M10" s="4" t="str">
        <x:v>CANDIDATA PARA CONTRASTE</x:v>
      </x:c>
      <x:c r="N10" s="12" t="n">
        <x:f>COUNTIF('26_Mapa_universos'!$A$5:$A$33,A10)-1</x:f>
        <x:v>0</x:v>
      </x:c>
      <x:c r="O10" s="12" t="n">
        <x:f>COUNTBLANK(C10:H10)</x:f>
        <x:v>0</x:v>
      </x:c>
    </x:row>
    <x:row r="11" ht="47" customHeight="1">
      <x:c r="A11" s="4" t="str">
        <x:v>CYO-07</x:v>
      </x:c>
      <x:c r="B11" s="4" t="str">
        <x:v>Evaluación y respuesta</x:v>
      </x:c>
      <x:c r="C11" s="4" t="str">
        <x:v>Informe de triaje de una alerta</x:v>
      </x:c>
      <x:c r="D11" s="4" t="str">
        <x:v>Alerta y evidencias de un episodio</x:v>
      </x:c>
      <x:c r="E11" s="4" t="str">
        <x:v>Recepción o revisión fundada</x:v>
      </x:c>
      <x:c r="F11" s="4" t="str">
        <x:v>Analista responsable y supervisor</x:v>
      </x:c>
      <x:c r="G11" s="4" t="str">
        <x:v>No ejecuta contención; IA es apoyo opcional declarado</x:v>
      </x:c>
      <x:c r="H11" s="4" t="str">
        <x:v>Clasificación fundada, escalado o insuficiencia delimitada</x:v>
      </x:c>
      <x:c r="I11" s="4" t="str">
        <x:v>Contrastar señales, calidad de evidencia y contexto de servicio</x:v>
      </x:c>
      <x:c r="J11" s="4" t="str">
        <x:v>Ausencia de señal puede confundirse con ausencia de actividad.</x:v>
      </x:c>
      <x:c r="K11" s="4" t="str">
        <x:v>R033</x:v>
      </x:c>
      <x:c r="L11" s="4" t="str">
        <x:v>IV: SOC, correlación y gestión de incidentes</x:v>
      </x:c>
      <x:c r="M11" s="4" t="str">
        <x:v>CANDIDATA PARA CONTRASTE</x:v>
      </x:c>
      <x:c r="N11" s="12" t="n">
        <x:f>COUNTIF('26_Mapa_universos'!$A$5:$A$33,A11)-1</x:f>
        <x:v>0</x:v>
      </x:c>
      <x:c r="O11" s="12" t="n">
        <x:f>COUNTBLANK(C11:H11)</x:f>
        <x:v>0</x:v>
      </x:c>
    </x:row>
    <x:row r="12" ht="47" customHeight="1">
      <x:c r="A12" s="4" t="str">
        <x:v>CYO-08</x:v>
      </x:c>
      <x:c r="B12" s="4" t="str">
        <x:v>Evaluación y respuesta</x:v>
      </x:c>
      <x:c r="C12" s="4" t="str">
        <x:v>Informe de inteligencia de amenazas</x:v>
      </x:c>
      <x:c r="D12" s="4" t="str">
        <x:v>Pregunta de inteligencia y destinatario</x:v>
      </x:c>
      <x:c r="E12" s="4" t="str">
        <x:v>Solicitud o revisión de amenazas</x:v>
      </x:c>
      <x:c r="F12" s="4" t="str">
        <x:v>Analista y destinatario legitimado</x:v>
      </x:c>
      <x:c r="G12" s="4" t="str">
        <x:v>Confianza analítica no demuestra autoría ni predice como hecho</x:v>
      </x:c>
      <x:c r="H12" s="4" t="str">
        <x:v>Fuentes, evaluación, incertidumbre y límites comunicados</x:v>
      </x:c>
      <x:c r="I12" s="4" t="str">
        <x:v>Relacionar fuentes y contexto con una pregunta profesional</x:v>
      </x:c>
      <x:c r="J12" s="4" t="str">
        <x:v>Una atribución no sostenida puede orientar una defensa equivocada.</x:v>
      </x:c>
      <x:c r="K12" s="4" t="str">
        <x:v>R033</x:v>
      </x:c>
      <x:c r="L12" s="4" t="str">
        <x:v>IV: inteligencia de amenazas</x:v>
      </x:c>
      <x:c r="M12" s="4" t="str">
        <x:v>CANDIDATA PARA CONTRASTE</x:v>
      </x:c>
      <x:c r="N12" s="12" t="n">
        <x:f>COUNTIF('26_Mapa_universos'!$A$5:$A$33,A12)-1</x:f>
        <x:v>0</x:v>
      </x:c>
      <x:c r="O12" s="12" t="n">
        <x:f>COUNTBLANK(C12:H12)</x:f>
        <x:v>0</x:v>
      </x:c>
    </x:row>
    <x:row r="13" ht="47" customHeight="1">
      <x:c r="A13" s="4" t="str">
        <x:v>CYO-09</x:v>
      </x:c>
      <x:c r="B13" s="4" t="str">
        <x:v>Evaluación y respuesta</x:v>
      </x:c>
      <x:c r="C13" s="4" t="str">
        <x:v>Plan de respuesta a incidente</x:v>
      </x:c>
      <x:c r="D13" s="4" t="str">
        <x:v>Incidente y servicios afectados</x:v>
      </x:c>
      <x:c r="E13" s="4" t="str">
        <x:v>Incidente admitido en el alcance</x:v>
      </x:c>
      <x:c r="F13" s="4" t="str">
        <x:v>Coordinador y autoridad de intervención</x:v>
      </x:c>
      <x:c r="G13" s="4" t="str">
        <x:v>Plan, aprobación y ejecución permanecen separados</x:v>
      </x:c>
      <x:c r="H13" s="4" t="str">
        <x:v>Opciones, efectos previstos, permisos y condiciones de parada</x:v>
      </x:c>
      <x:c r="I13" s="4" t="str">
        <x:v>Planificar contención y recuperación considerando efectos laterales</x:v>
      </x:c>
      <x:c r="J13" s="4" t="str">
        <x:v>Una medida puede interrumpir más de lo que protege.</x:v>
      </x:c>
      <x:c r="K13" s="4" t="str">
        <x:v>R033</x:v>
      </x:c>
      <x:c r="L13" s="4" t="str">
        <x:v>IV: respuesta; R035 balance de tratamiento</x:v>
      </x:c>
      <x:c r="M13" s="4" t="str">
        <x:v>CANDIDATA PARA CONTRASTE</x:v>
      </x:c>
      <x:c r="N13" s="12" t="n">
        <x:f>COUNTIF('26_Mapa_universos'!$A$5:$A$33,A13)-1</x:f>
        <x:v>0</x:v>
      </x:c>
      <x:c r="O13" s="12" t="n">
        <x:f>COUNTBLANK(C13:H13)</x:f>
        <x:v>0</x:v>
      </x:c>
    </x:row>
    <x:row r="14" ht="47" customHeight="1">
      <x:c r="A14" s="4" t="str">
        <x:v>CYO-10</x:v>
      </x:c>
      <x:c r="B14" s="4" t="str">
        <x:v>Evaluación y respuesta</x:v>
      </x:c>
      <x:c r="C14" s="4" t="str">
        <x:v>Informe forense y expediente de evidencia</x:v>
      </x:c>
      <x:c r="D14" s="4" t="str">
        <x:v>Fuentes digitales identificadas</x:v>
      </x:c>
      <x:c r="E14" s="4" t="str">
        <x:v>Encargo investigador o preservación</x:v>
      </x:c>
      <x:c r="F14" s="4" t="str">
        <x:v>Analista forense y custodio</x:v>
      </x:c>
      <x:c r="G14" s="4" t="str">
        <x:v>No decide culpabilidad ni admisibilidad judicial</x:v>
      </x:c>
      <x:c r="H14" s="4" t="str">
        <x:v>Adquisición, integridad, transformación, análisis y límites trazados</x:v>
      </x:c>
      <x:c r="I14" s="4" t="str">
        <x:v>Separar original, copia, transformación, observación e interpretación</x:v>
      </x:c>
      <x:c r="J14" s="4" t="str">
        <x:v>Perder procedencia impide sostener una conclusión con esa evidencia.</x:v>
      </x:c>
      <x:c r="K14" s="4" t="str">
        <x:v>R033</x:v>
      </x:c>
      <x:c r="L14" s="4" t="str">
        <x:v>IV: DFIR y cadena de custodia</x:v>
      </x:c>
      <x:c r="M14" s="4" t="str">
        <x:v>CANDIDATA PARA CONTRASTE</x:v>
      </x:c>
      <x:c r="N14" s="12" t="n">
        <x:f>COUNTIF('26_Mapa_universos'!$A$5:$A$33,A14)-1</x:f>
        <x:v>0</x:v>
      </x:c>
      <x:c r="O14" s="12" t="n">
        <x:f>COUNTBLANK(C14:H14)</x:f>
        <x:v>0</x:v>
      </x:c>
    </x:row>
    <x:row r="15" ht="47" customHeight="1">
      <x:c r="A15" s="4" t="str">
        <x:v>CYO-11</x:v>
      </x:c>
      <x:c r="B15" s="4" t="str">
        <x:v>Evaluación y respuesta</x:v>
      </x:c>
      <x:c r="C15" s="4" t="str">
        <x:v>Informe de preparación y prueba de recuperación</x:v>
      </x:c>
      <x:c r="D15" s="4" t="str">
        <x:v>Servicio, copias y plan de continuidad</x:v>
      </x:c>
      <x:c r="E15" s="4" t="str">
        <x:v>Ensayo o revisión programada</x:v>
      </x:c>
      <x:c r="F15" s="4" t="str">
        <x:v>Continuidad y propietario del servicio</x:v>
      </x:c>
      <x:c r="G15" s="4" t="str">
        <x:v>Ensayo no acredita restauración de un incidente real</x:v>
      </x:c>
      <x:c r="H15" s="4" t="str">
        <x:v>Resultados del ensayo frente a requisitos y carencias</x:v>
      </x:c>
      <x:c r="I15" s="4" t="str">
        <x:v>Ensayar recuperación con dependencias, objetivos y límites</x:v>
      </x:c>
      <x:c r="J15" s="4" t="str">
        <x:v>Una copia existente puede resultar inútil al necesitar recuperación.</x:v>
      </x:c>
      <x:c r="K15" s="4" t="str">
        <x:v>R033</x:v>
      </x:c>
      <x:c r="L15" s="4" t="str">
        <x:v>IV: BCP/DRP, RPO y RTO</x:v>
      </x:c>
      <x:c r="M15" s="4" t="str">
        <x:v>CANDIDATA PARA CONTRASTE</x:v>
      </x:c>
      <x:c r="N15" s="12" t="n">
        <x:f>COUNTIF('26_Mapa_universos'!$A$5:$A$33,A15)-1</x:f>
        <x:v>0</x:v>
      </x:c>
      <x:c r="O15" s="12" t="n">
        <x:f>COUNTBLANK(C15:H15)</x:f>
        <x:v>0</x:v>
      </x:c>
    </x:row>
    <x:row r="16" ht="47" customHeight="1">
      <x:c r="A16" s="4" t="str">
        <x:v>CYO-12</x:v>
      </x:c>
      <x:c r="B16" s="4" t="str">
        <x:v>Ingeniería</x:v>
      </x:c>
      <x:c r="C16" s="4" t="str">
        <x:v>Expediente de cambio y mantenimiento seguro</x:v>
      </x:c>
      <x:c r="D16" s="4" t="str">
        <x:v>Activo, configuración y cambio</x:v>
      </x:c>
      <x:c r="E16" s="4" t="str">
        <x:v>Alta, mantenimiento, cambio o retirada</x:v>
      </x:c>
      <x:c r="F16" s="4" t="str">
        <x:v>Operación y propietario del cambio</x:v>
      </x:c>
      <x:c r="G16" s="4" t="str">
        <x:v>Cambio registrado no acredita efecto; crisis tiene mando CYO-24</x:v>
      </x:c>
      <x:c r="H16" s="4" t="str">
        <x:v>Estado previo, actuación autorizada, comprobación y residual</x:v>
      </x:c>
      <x:c r="I16" s="4" t="str">
        <x:v>Comprender ejecución y aislamiento; comprobar el efecto del cambio</x:v>
      </x:c>
      <x:c r="J16" s="4" t="str">
        <x:v>Documentar una configuración deseada no demuestra la efectiva.</x:v>
      </x:c>
      <x:c r="K16" s="4" t="str">
        <x:v>R025</x:v>
      </x:c>
      <x:c r="L16" s="4" t="str">
        <x:v>IV: sistemas operativos; R019 configuración segura</x:v>
      </x:c>
      <x:c r="M16" s="4" t="str">
        <x:v>CANDIDATA PARA CONTRASTE</x:v>
      </x:c>
      <x:c r="N16" s="12" t="n">
        <x:f>COUNTIF('26_Mapa_universos'!$A$5:$A$33,A16)-1</x:f>
        <x:v>0</x:v>
      </x:c>
      <x:c r="O16" s="12" t="n">
        <x:f>COUNTBLANK(C16:H16)</x:f>
        <x:v>0</x:v>
      </x:c>
    </x:row>
    <x:row r="17" ht="47" customHeight="1">
      <x:c r="A17" s="4" t="str">
        <x:v>CYO-13</x:v>
      </x:c>
      <x:c r="B17" s="4" t="str">
        <x:v>Ingeniería</x:v>
      </x:c>
      <x:c r="C17" s="4" t="str">
        <x:v>Dictamen de protección criptográfica</x:v>
      </x:c>
      <x:c r="D17" s="4" t="str">
        <x:v>Datos, claves y protocolo</x:v>
      </x:c>
      <x:c r="E17" s="4" t="str">
        <x:v>Diseño o revisión de protección</x:v>
      </x:c>
      <x:c r="F17" s="4" t="str">
        <x:v>Responsable criptográfico y del servicio</x:v>
      </x:c>
      <x:c r="G17" s="4" t="str">
        <x:v>Cifrar no acredita por sí solo autenticidad ni custodia de claves</x:v>
      </x:c>
      <x:c r="H17" s="4" t="str">
        <x:v>Propiedades, supuestos, ciclo de claves y límites identificados</x:v>
      </x:c>
      <x:c r="I17" s="4" t="str">
        <x:v>Elegir y analizar construcciones según la propiedad necesaria</x:v>
      </x:c>
      <x:c r="J17" s="4" t="str">
        <x:v>Confundir hash, firma y cifrado puede dejar sin garantía el objetivo.</x:v>
      </x:c>
      <x:c r="K17" s="4" t="str">
        <x:v>R007</x:v>
      </x:c>
      <x:c r="L17" s="4" t="str">
        <x:v>IV: cifrado, autenticación, hash y firma</x:v>
      </x:c>
      <x:c r="M17" s="4" t="str">
        <x:v>CANDIDATA PARA CONTRASTE</x:v>
      </x:c>
      <x:c r="N17" s="12" t="n">
        <x:f>COUNTIF('26_Mapa_universos'!$A$5:$A$33,A17)-1</x:f>
        <x:v>0</x:v>
      </x:c>
      <x:c r="O17" s="12" t="n">
        <x:f>COUNTBLANK(C17:H17)</x:f>
        <x:v>0</x:v>
      </x:c>
    </x:row>
    <x:row r="18" ht="47" customHeight="1">
      <x:c r="A18" s="4" t="str">
        <x:v>CYO-14</x:v>
      </x:c>
      <x:c r="B18" s="4" t="str">
        <x:v>Ciberfísico</x:v>
      </x:c>
      <x:c r="C18" s="4" t="str">
        <x:v>Dictamen de seguridad de cambio OT</x:v>
      </x:c>
      <x:c r="D18" s="4" t="str">
        <x:v>Proceso físico y sistema de control</x:v>
      </x:c>
      <x:c r="E18" s="4" t="str">
        <x:v>Cambio o hallazgo con efecto físico</x:v>
      </x:c>
      <x:c r="F18" s="4" t="str">
        <x:v>Ingeniería OT, operación y autoridad de seguridad física</x:v>
      </x:c>
      <x:c r="G18" s="4" t="str">
        <x:v>Prueba en planta exige autorización propia</x:v>
      </x:c>
      <x:c r="H18" s="4" t="str">
        <x:v>Dependencias físicas, riesgos y condiciones de intervención</x:v>
      </x:c>
      <x:c r="I18" s="4" t="str">
        <x:v>Analizar cascadas y compatibilidad entre seguridad y operación</x:v>
      </x:c>
      <x:c r="J18" s="4" t="str">
        <x:v>Una respuesta digital puede afectar a la continuidad o al proceso físico.</x:v>
      </x:c>
      <x:c r="K18" s="4" t="str">
        <x:v>R036</x:v>
      </x:c>
      <x:c r="L18" s="4" t="str">
        <x:v>IV: infraestructuras e interdependencias</x:v>
      </x:c>
      <x:c r="M18" s="4" t="str">
        <x:v>CANDIDATA PARA CONTRASTE</x:v>
      </x:c>
      <x:c r="N18" s="12" t="n">
        <x:f>COUNTIF('26_Mapa_universos'!$A$5:$A$33,A18)-1</x:f>
        <x:v>0</x:v>
      </x:c>
      <x:c r="O18" s="12" t="n">
        <x:f>COUNTBLANK(C18:H18)</x:f>
        <x:v>0</x:v>
      </x:c>
    </x:row>
    <x:row r="19" ht="47" customHeight="1">
      <x:c r="A19" s="4" t="str">
        <x:v>CYO-15</x:v>
      </x:c>
      <x:c r="B19" s="4" t="str">
        <x:v>Gobierno</x:v>
      </x:c>
      <x:c r="C19" s="4" t="str">
        <x:v>Evaluación de admisibilidad de un uso de IA</x:v>
      </x:c>
      <x:c r="D19" s="4" t="str">
        <x:v>Propósito, sistema, datos, actores y organización</x:v>
      </x:c>
      <x:c r="E19" s="4" t="str">
        <x:v>Nuevo uso o cambio material</x:v>
      </x:c>
      <x:c r="F19" s="4" t="str">
        <x:v>Propietario del uso y autoridad humana de admisión</x:v>
      </x:c>
      <x:c r="G19" s="4" t="str">
        <x:v>Validez técnica de CYO-23 no concede permiso; no habilita autonomía</x:v>
      </x:c>
      <x:c r="H19" s="4" t="str">
        <x:v>Evidencias, límites, supervisión y decisión humana atribuida</x:v>
      </x:c>
      <x:c r="I19" s="4" t="str">
        <x:v>Juzgar adecuación al uso con afectados, alternativas y límites</x:v>
      </x:c>
      <x:c r="J19" s="4" t="str">
        <x:v>Un modelo técnicamente válido puede ser improcedente para ese uso.</x:v>
      </x:c>
      <x:c r="K19" s="4" t="str">
        <x:v>M003</x:v>
      </x:c>
      <x:c r="L19" s="4" t="str">
        <x:v>CLO: confianza, ética y evaluación; R037 gobierno</x:v>
      </x:c>
      <x:c r="M19" s="4" t="str">
        <x:v>CANDIDATA PARA CONTRASTE</x:v>
      </x:c>
      <x:c r="N19" s="12" t="n">
        <x:f>COUNTIF('26_Mapa_universos'!$A$5:$A$33,A19)-1</x:f>
        <x:v>0</x:v>
      </x:c>
      <x:c r="O19" s="12" t="n">
        <x:f>COUNTBLANK(C19:H19)</x:f>
        <x:v>0</x:v>
      </x:c>
    </x:row>
    <x:row r="20" ht="47" customHeight="1">
      <x:c r="A20" s="4" t="str">
        <x:v>CYO-16</x:v>
      </x:c>
      <x:c r="B20" s="4" t="str">
        <x:v>Gobierno</x:v>
      </x:c>
      <x:c r="C20" s="4" t="str">
        <x:v>Informe de auditoría de controles</x:v>
      </x:c>
      <x:c r="D20" s="4" t="str">
        <x:v>Sistema y criterios aplicables</x:v>
      </x:c>
      <x:c r="E20" s="4" t="str">
        <x:v>Encargo de evaluación con independencia declarada</x:v>
      </x:c>
      <x:c r="F20" s="4" t="str">
        <x:v>Auditor con mandato y destinatario</x:v>
      </x:c>
      <x:c r="G20" s="4" t="str">
        <x:v>No equivale a certificación acreditada ni subsanación</x:v>
      </x:c>
      <x:c r="H20" s="4" t="str">
        <x:v>Evidencias, hallazgos, contradicciones y alcance comunicados</x:v>
      </x:c>
      <x:c r="I20" s="4" t="str">
        <x:v>Planificar pruebas y sostener conclusiones frente a criterios</x:v>
      </x:c>
      <x:c r="J20" s="4" t="str">
        <x:v>Una comprobación superficial puede ocultar un incumplimiento material.</x:v>
      </x:c>
      <x:c r="K20" s="4" t="str">
        <x:v>R032</x:v>
      </x:c>
      <x:c r="L20" s="4" t="str">
        <x:v>II/IV: auditoría y evidencia</x:v>
      </x:c>
      <x:c r="M20" s="4" t="str">
        <x:v>CANDIDATA PARA CONTRASTE</x:v>
      </x:c>
      <x:c r="N20" s="12" t="n">
        <x:f>COUNTIF('26_Mapa_universos'!$A$5:$A$33,A20)-1</x:f>
        <x:v>0</x:v>
      </x:c>
      <x:c r="O20" s="12" t="n">
        <x:f>COUNTBLANK(C20:H20)</x:f>
        <x:v>0</x:v>
      </x:c>
    </x:row>
    <x:row r="21" ht="47" customHeight="1">
      <x:c r="A21" s="4" t="str">
        <x:v>CYO-17</x:v>
      </x:c>
      <x:c r="B21" s="4" t="str">
        <x:v>Gobierno</x:v>
      </x:c>
      <x:c r="C21" s="4" t="str">
        <x:v>Dictamen de aplicabilidad jurídica y privacidad</x:v>
      </x:c>
      <x:c r="D21" s="4" t="str">
        <x:v>Entidad, actividad, tratamiento y jurisdicción</x:v>
      </x:c>
      <x:c r="E21" s="4" t="str">
        <x:v>Uso, incidente o cambio regulatorio</x:v>
      </x:c>
      <x:c r="F21" s="4" t="str">
        <x:v>Asesoría jurídica y privacidad competentes</x:v>
      </x:c>
      <x:c r="G21" s="4" t="str">
        <x:v>La IA no confiere habilitación jurídica ni crea una base legal</x:v>
      </x:c>
      <x:c r="H21" s="4" t="str">
        <x:v>Aplicabilidad, incertidumbres y remisión a autoridad competente</x:v>
      </x:c>
      <x:c r="I21" s="4" t="str">
        <x:v>Distinguir regla aplicable, supuesto y autoridad</x:v>
      </x:c>
      <x:c r="J21" s="4" t="str">
        <x:v>Importar una obligación por analogía puede producir un consejo improcedente.</x:v>
      </x:c>
      <x:c r="K21" s="4" t="str">
        <x:v>R012</x:v>
      </x:c>
      <x:c r="L21" s="4" t="str">
        <x:v>IV: derecho; textos vigentes concretos requieren examen propio</x:v>
      </x:c>
      <x:c r="M21" s="4" t="str">
        <x:v>CANDIDATA PARA CONTRASTE</x:v>
      </x:c>
      <x:c r="N21" s="12" t="n">
        <x:f>COUNTIF('26_Mapa_universos'!$A$5:$A$33,A21)-1</x:f>
        <x:v>0</x:v>
      </x:c>
      <x:c r="O21" s="12" t="n">
        <x:f>COUNTBLANK(C21:H21)</x:f>
        <x:v>0</x:v>
      </x:c>
    </x:row>
    <x:row r="22" ht="47" customHeight="1">
      <x:c r="A22" s="4" t="str">
        <x:v>CYO-18</x:v>
      </x:c>
      <x:c r="B22" s="4" t="str">
        <x:v>Conocimiento</x:v>
      </x:c>
      <x:c r="C22" s="4" t="str">
        <x:v>Dictamen de diseño o revisión formativa</x:v>
      </x:c>
      <x:c r="D22" s="4" t="str">
        <x:v>Programa y necesidades profesionales</x:v>
      </x:c>
      <x:c r="E22" s="4" t="str">
        <x:v>Nueva formación o revisión de eficacia</x:v>
      </x:c>
      <x:c r="F22" s="4" t="str">
        <x:v>Responsable curricular y profesional</x:v>
      </x:c>
      <x:c r="G22" s="4" t="str">
        <x:v>Diseñar no demuestra aprendizaje individual</x:v>
      </x:c>
      <x:c r="H22" s="4" t="str">
        <x:v>Objetivos, progresión, práctica y evaluación trazados</x:v>
      </x:c>
      <x:c r="I22" s="4" t="str">
        <x:v>Diseñar aprendizaje que permita justificar decisiones y sus consecuencias</x:v>
      </x:c>
      <x:c r="J22" s="4" t="str">
        <x:v>Un temario sin práctica evaluada no acredita juicio profesional.</x:v>
      </x:c>
      <x:c r="K22" s="4" t="str">
        <x:v>R040</x:v>
      </x:c>
      <x:c r="L22" s="4" t="str">
        <x:v>II/IV/VII.A: integración y evaluación; NICE OG-WRL-003/004</x:v>
      </x:c>
      <x:c r="M22" s="4" t="str">
        <x:v>CANDIDATA PARA CONTRASTE</x:v>
      </x:c>
      <x:c r="N22" s="12" t="n">
        <x:f>COUNTIF('26_Mapa_universos'!$A$5:$A$33,A22)-1</x:f>
        <x:v>0</x:v>
      </x:c>
      <x:c r="O22" s="12" t="n">
        <x:f>COUNTBLANK(C22:H22)</x:f>
        <x:v>0</x:v>
      </x:c>
    </x:row>
    <x:row r="23" ht="47" customHeight="1">
      <x:c r="A23" s="4" t="str">
        <x:v>CYO-19</x:v>
      </x:c>
      <x:c r="B23" s="4" t="str">
        <x:v>Conocimiento</x:v>
      </x:c>
      <x:c r="C23" s="4" t="str">
        <x:v>Resultado de investigación evaluable</x:v>
      </x:c>
      <x:c r="D23" s="4" t="str">
        <x:v>Pregunta delimitada de ciberseguridad</x:v>
      </x:c>
      <x:c r="E23" s="4" t="str">
        <x:v>Necesidad de conocimiento o contraste</x:v>
      </x:c>
      <x:c r="F23" s="4" t="str">
        <x:v>Investigador y revisor</x:v>
      </x:c>
      <x:c r="G23" s="4" t="str">
        <x:v>Resultado nuevo no actualiza por sí solo el dominio</x:v>
      </x:c>
      <x:c r="H23" s="4" t="str">
        <x:v>Pregunta, método, resultados, límites y revisión documentados</x:v>
      </x:c>
      <x:c r="I23" s="4" t="str">
        <x:v>Contrastar hipótesis y comunicar validez y límites</x:v>
      </x:c>
      <x:c r="J23" s="4" t="str">
        <x:v>Adoptar una novedad sin evaluar evidencia puede degradar el dominio.</x:v>
      </x:c>
      <x:c r="K23" s="4" t="str">
        <x:v>W016</x:v>
      </x:c>
      <x:c r="L23" s="4" t="str">
        <x:v>Learning outcomes: método y lectura crítica; R040</x:v>
      </x:c>
      <x:c r="M23" s="4" t="str">
        <x:v>CANDIDATA PARA CONTRASTE</x:v>
      </x:c>
      <x:c r="N23" s="12" t="n">
        <x:f>COUNTIF('26_Mapa_universos'!$A$5:$A$33,A23)-1</x:f>
        <x:v>0</x:v>
      </x:c>
      <x:c r="O23" s="12" t="n">
        <x:f>COUNTBLANK(C23:H23)</x:f>
        <x:v>0</x:v>
      </x:c>
    </x:row>
    <x:row r="24" ht="47" customHeight="1">
      <x:c r="A24" s="4" t="str">
        <x:v>CYO-20</x:v>
      </x:c>
      <x:c r="B24" s="4" t="str">
        <x:v>Frontera condicionada</x:v>
      </x:c>
      <x:c r="C24" s="4" t="str">
        <x:v>Expediente de investigación de ciberdelito</x:v>
      </x:c>
      <x:c r="D24" s="4" t="str">
        <x:v>Hechos y evidencia bajo mandato legal</x:v>
      </x:c>
      <x:c r="E24" s="4" t="str">
        <x:v>Encargo de autoridad investigadora</x:v>
      </x:c>
      <x:c r="F24" s="4" t="str">
        <x:v>Autoridad legal y equipo habilitado</x:v>
      </x:c>
      <x:c r="G24" s="4" t="str">
        <x:v>Frontera institucional; no competencia asumida por este dominio</x:v>
      </x:c>
      <x:c r="H24" s="4" t="str">
        <x:v>Entrega conforme al mandato o bloqueo por falta de habilitación</x:v>
      </x:c>
      <x:c r="I24" s="4" t="str">
        <x:v>Distinguir análisis técnico, investigación legal y atribución</x:v>
      </x:c>
      <x:c r="J24" s="4" t="str">
        <x:v>Confundir un indicio técnico con culpabilidad excede la competencia.</x:v>
      </x:c>
      <x:c r="K24" s="4" t="str">
        <x:v>R012</x:v>
      </x:c>
      <x:c r="L24" s="4" t="str">
        <x:v>Ancla educativa jurídica; NICE IN-WRL-001 aporta el rol profesional</x:v>
      </x:c>
      <x:c r="M24" s="4" t="str">
        <x:v>FRONTERA CONDICIONADA</x:v>
      </x:c>
      <x:c r="N24" s="12" t="n">
        <x:f>COUNTIF('26_Mapa_universos'!$A$5:$A$33,A24)-1</x:f>
        <x:v>0</x:v>
      </x:c>
      <x:c r="O24" s="12" t="n">
        <x:f>COUNTBLANK(C24:H24)</x:f>
        <x:v>0</x:v>
      </x:c>
    </x:row>
    <x:row r="25" ht="47" customHeight="1">
      <x:c r="A25" s="4" t="str">
        <x:v>CYO-21</x:v>
      </x:c>
      <x:c r="B25" s="4" t="str">
        <x:v>Gobierno</x:v>
      </x:c>
      <x:c r="C25" s="4" t="str">
        <x:v>Expediente de autorización para operar</x:v>
      </x:c>
      <x:c r="D25" s="4" t="str">
        <x:v>Sistema y riesgo institucional</x:v>
      </x:c>
      <x:c r="E25" s="4" t="str">
        <x:v>Puesta en servicio o renovación</x:v>
      </x:c>
      <x:c r="F25" s="4" t="str">
        <x:v>Autoridad que puede aceptar ese riesgo</x:v>
      </x:c>
      <x:c r="G25" s="4" t="str">
        <x:v>Acceso individual y evaluación técnica no autorizan el sistema</x:v>
      </x:c>
      <x:c r="H25" s="4" t="str">
        <x:v>Decisión institucional, condiciones, vigencia y responsable</x:v>
      </x:c>
      <x:c r="I25" s="4" t="str">
        <x:v>Integrar dictámenes conservando quién acepta qué riesgo</x:v>
      </x:c>
      <x:c r="J25" s="4" t="str">
        <x:v>Una suma de informes no sustituye una decisión de autorización.</x:v>
      </x:c>
      <x:c r="K25" s="4" t="str">
        <x:v>R037</x:v>
      </x:c>
      <x:c r="L25" s="4" t="str">
        <x:v>IV: gobierno; NICE OG-WRL-013 distingue autoridad</x:v>
      </x:c>
      <x:c r="M25" s="4" t="str">
        <x:v>CANDIDATA PARA CONTRASTE</x:v>
      </x:c>
      <x:c r="N25" s="12" t="n">
        <x:f>COUNTIF('26_Mapa_universos'!$A$5:$A$33,A25)-1</x:f>
        <x:v>0</x:v>
      </x:c>
      <x:c r="O25" s="12" t="n">
        <x:f>COUNTBLANK(C25:H25)</x:f>
        <x:v>0</x:v>
      </x:c>
    </x:row>
    <x:row r="26" ht="47" customHeight="1">
      <x:c r="A26" s="4" t="str">
        <x:v>CYO-22</x:v>
      </x:c>
      <x:c r="B26" s="4" t="str">
        <x:v>Conocimiento</x:v>
      </x:c>
      <x:c r="C26" s="4" t="str">
        <x:v>Informe de actividad formativa y evaluación</x:v>
      </x:c>
      <x:c r="D26" s="4" t="str">
        <x:v>Actividad, personas y objetivos</x:v>
      </x:c>
      <x:c r="E26" s="4" t="str">
        <x:v>Actividad del programa aprobado</x:v>
      </x:c>
      <x:c r="F26" s="4" t="str">
        <x:v>Docente y responsable evaluador</x:v>
      </x:c>
      <x:c r="G26" s="4" t="str">
        <x:v>Asistencia no acredita aprendizaje ni permiso profesional</x:v>
      </x:c>
      <x:c r="H26" s="4" t="str">
        <x:v>Actuación observada, evaluación y retroalimentación documentadas</x:v>
      </x:c>
      <x:c r="I26" s="4" t="str">
        <x:v>Observar desempeño, justificar juicio y corregir carencias</x:v>
      </x:c>
      <x:c r="J26" s="4" t="str">
        <x:v>Una acreditación sin evidencia puede ocultar incapacidad para reconocer consecuencias.</x:v>
      </x:c>
      <x:c r="K26" s="4" t="str">
        <x:v>R038</x:v>
      </x:c>
      <x:c r="L26" s="4" t="str">
        <x:v>II/IV/VII.A: proyecto formativo, tutores y memoria; M001</x:v>
      </x:c>
      <x:c r="M26" s="4" t="str">
        <x:v>CANDIDATA PARA CONTRASTE</x:v>
      </x:c>
      <x:c r="N26" s="12" t="n">
        <x:f>COUNTIF('26_Mapa_universos'!$A$5:$A$33,A26)-1</x:f>
        <x:v>0</x:v>
      </x:c>
      <x:c r="O26" s="12" t="n">
        <x:f>COUNTBLANK(C26:H26)</x:f>
        <x:v>0</x:v>
      </x:c>
    </x:row>
    <x:row r="27" ht="47" customHeight="1">
      <x:c r="A27" s="4" t="str">
        <x:v>CYO-23</x:v>
      </x:c>
      <x:c r="B27" s="4" t="str">
        <x:v>Evaluación de IA</x:v>
      </x:c>
      <x:c r="C27" s="4" t="str">
        <x:v>Informe de validez y seguridad técnica de IA</x:v>
      </x:c>
      <x:c r="D27" s="4" t="str">
        <x:v>Modelo, datos, configuración y uso declarado</x:v>
      </x:c>
      <x:c r="E27" s="4" t="str">
        <x:v>Evaluación de una candidata o cambio</x:v>
      </x:c>
      <x:c r="F27" s="4" t="str">
        <x:v>Evaluador técnico y responsable de validación</x:v>
      </x:c>
      <x:c r="G27" s="4" t="str">
        <x:v>No autoriza uso ni incorpora modelo al motor normativo SV</x:v>
      </x:c>
      <x:c r="H27" s="4" t="str">
        <x:v>Método, cobertura, errores, robustez y límites vinculados al corte</x:v>
      </x:c>
      <x:c r="I27" s="4" t="str">
        <x:v>Diseñar contrastes y juzgar generalización, ataques, errores y recursos</x:v>
      </x:c>
      <x:c r="J27" s="4" t="str">
        <x:v>Una buena métrica puede ocultar contaminación de datos o fallos relevantes para el uso.</x:v>
      </x:c>
      <x:c r="K27" s="4" t="str">
        <x:v>M002</x:v>
      </x:c>
      <x:c r="L27" s="4" t="str">
        <x:v>CLO: extracción de características y evaluación; M003 robustez; M004 rendimiento</x:v>
      </x:c>
      <x:c r="M27" s="4" t="str">
        <x:v>CANDIDATA PARA CONTRASTE</x:v>
      </x:c>
      <x:c r="N27" s="12" t="n">
        <x:f>COUNTIF('26_Mapa_universos'!$A$5:$A$33,A27)-1</x:f>
        <x:v>0</x:v>
      </x:c>
      <x:c r="O27" s="12" t="n">
        <x:f>COUNTBLANK(C27:H27)</x:f>
        <x:v>0</x:v>
      </x:c>
    </x:row>
    <x:row r="28" ht="47" customHeight="1">
      <x:c r="A28" s="4" t="str">
        <x:v>CYO-24</x:v>
      </x:c>
      <x:c r="B28" s="4" t="str">
        <x:v>Evaluación y respuesta</x:v>
      </x:c>
      <x:c r="C28" s="4" t="str">
        <x:v>Expediente de ejecución y cierre de respuesta</x:v>
      </x:c>
      <x:c r="D28" s="4" t="str">
        <x:v>Intervenciones y estado efectivo del incidente</x:v>
      </x:c>
      <x:c r="E28" s="4" t="str">
        <x:v>Plan aprobado y permiso de actuación</x:v>
      </x:c>
      <x:c r="F28" s="4" t="str">
        <x:v>Mando del incidente y operadores autorizados</x:v>
      </x:c>
      <x:c r="G28" s="4" t="str">
        <x:v>Se cataloga la función humana; aquí no se autoriza ejecutar</x:v>
      </x:c>
      <x:c r="H28" s="4" t="str">
        <x:v>Acciones, efectos, evidencia, excepciones y cierre o transferencia</x:v>
      </x:c>
      <x:c r="I28" s="4" t="str">
        <x:v>Comprobar qué ocurrió tras actuar y conservar responsabilidad</x:v>
      </x:c>
      <x:c r="J28" s="4" t="str">
        <x:v>Confundir plan con efecto puede declarar contenido un incidente activo.</x:v>
      </x:c>
      <x:c r="K28" s="4" t="str">
        <x:v>R033</x:v>
      </x:c>
      <x:c r="L28" s="4" t="str">
        <x:v>IV: ciclo de respuesta y coordinación</x:v>
      </x:c>
      <x:c r="M28" s="4" t="str">
        <x:v>CANDIDATA PARA CONTRASTE</x:v>
      </x:c>
      <x:c r="N28" s="12" t="n">
        <x:f>COUNTIF('26_Mapa_universos'!$A$5:$A$33,A28)-1</x:f>
        <x:v>0</x:v>
      </x:c>
      <x:c r="O28" s="12" t="n">
        <x:f>COUNTBLANK(C28:H28)</x:f>
        <x:v>0</x:v>
      </x:c>
    </x:row>
    <x:row r="29" ht="47" customHeight="1">
      <x:c r="A29" s="4" t="str">
        <x:v>CYO-25</x:v>
      </x:c>
      <x:c r="B29" s="4" t="str">
        <x:v>Evaluación y respuesta</x:v>
      </x:c>
      <x:c r="C29" s="4" t="str">
        <x:v>Informe de restauración y retorno al servicio</x:v>
      </x:c>
      <x:c r="D29" s="4" t="str">
        <x:v>Servicio restaurado después de un suceso</x:v>
      </x:c>
      <x:c r="E29" s="4" t="str">
        <x:v>Recuperación autorizada</x:v>
      </x:c>
      <x:c r="F29" s="4" t="str">
        <x:v>Propietario del servicio y continuidad</x:v>
      </x:c>
      <x:c r="G29" s="4" t="str">
        <x:v>Copia recuperada no equivale a retorno seguro autorizado</x:v>
      </x:c>
      <x:c r="H29" s="4" t="str">
        <x:v>Integridad, dependencias, objetivos y decisión de retorno trazados</x:v>
      </x:c>
      <x:c r="I29" s="4" t="str">
        <x:v>Verificar estado recuperado y justificar condiciones de retorno</x:v>
      </x:c>
      <x:c r="J29" s="4" t="str">
        <x:v>Reabrir sin verificar dependencias puede reproducir el fallo o perder datos.</x:v>
      </x:c>
      <x:c r="K29" s="4" t="str">
        <x:v>R033</x:v>
      </x:c>
      <x:c r="L29" s="4" t="str">
        <x:v>IV: recuperación; R036 dependencias</x:v>
      </x:c>
      <x:c r="M29" s="4" t="str">
        <x:v>CANDIDATA PARA CONTRASTE</x:v>
      </x:c>
      <x:c r="N29" s="12" t="n">
        <x:f>COUNTIF('26_Mapa_universos'!$A$5:$A$33,A29)-1</x:f>
        <x:v>0</x:v>
      </x:c>
      <x:c r="O29" s="12" t="n">
        <x:f>COUNTBLANK(C29:H29)</x:f>
        <x:v>0</x:v>
      </x:c>
    </x:row>
    <x:row r="30" ht="47" customHeight="1">
      <x:c r="A30" s="4" t="str">
        <x:v>CYO-26</x:v>
      </x:c>
      <x:c r="B30" s="4" t="str">
        <x:v>Evaluación y respuesta</x:v>
      </x:c>
      <x:c r="C30" s="4" t="str">
        <x:v>Expediente de tratamiento de vulnerabilidad</x:v>
      </x:c>
      <x:c r="D30" s="4" t="str">
        <x:v>Hallazgo y activos afectados en contexto</x:v>
      </x:c>
      <x:c r="E30" s="4" t="str">
        <x:v>Vulnerabilidad comunicada o revisión de aplicabilidad</x:v>
      </x:c>
      <x:c r="F30" s="4" t="str">
        <x:v>Gestión de vulnerabilidades y propietario del cambio</x:v>
      </x:c>
      <x:c r="G30" s="4" t="str">
        <x:v>CVSS no equivale a riesgo local; tratar no es sólo detectar</x:v>
      </x:c>
      <x:c r="H30" s="4" t="str">
        <x:v>Aplicabilidad, prioridad fundada, tratamiento y verificación o aceptación atribuida</x:v>
      </x:c>
      <x:c r="I30" s="4" t="str">
        <x:v>Relacionar evidencia técnica, exposición, impacto y coste de corrección</x:v>
      </x:c>
      <x:c r="J30" s="4" t="str">
        <x:v>Priorizar por una cifra aislada puede desplazar un riesgo más relevante.</x:v>
      </x:c>
      <x:c r="K30" s="4" t="str">
        <x:v>R035</x:v>
      </x:c>
      <x:c r="L30" s="4" t="str">
        <x:v>IV: tratamiento; R034 hallazgos; NICE PD-WRL-007</x:v>
      </x:c>
      <x:c r="M30" s="4" t="str">
        <x:v>CANDIDATA PARA CONTRASTE</x:v>
      </x:c>
      <x:c r="N30" s="12" t="n">
        <x:f>COUNTIF('26_Mapa_universos'!$A$5:$A$33,A30)-1</x:f>
        <x:v>0</x:v>
      </x:c>
      <x:c r="O30" s="12" t="n">
        <x:f>COUNTBLANK(C30:H30)</x:f>
        <x:v>0</x:v>
      </x:c>
    </x:row>
    <x:row r="31" ht="47" customHeight="1">
      <x:c r="A31" s="4" t="str">
        <x:v>CYO-27</x:v>
      </x:c>
      <x:c r="B31" s="4" t="str">
        <x:v>Evaluación y respuesta</x:v>
      </x:c>
      <x:c r="C31" s="4" t="str">
        <x:v>Informe de cobertura y validación de detección</x:v>
      </x:c>
      <x:c r="D31" s="4" t="str">
        <x:v>Telemetría, lógica y escenarios delimitados</x:v>
      </x:c>
      <x:c r="E31" s="4" t="str">
        <x:v>Nueva detección o cambio de fuentes</x:v>
      </x:c>
      <x:c r="F31" s="4" t="str">
        <x:v>Ingeniería de detección y responsable del SOC</x:v>
      </x:c>
      <x:c r="G31" s="4" t="str">
        <x:v>No equivale al juicio de una alerta ni exige eBPF/P4</x:v>
      </x:c>
      <x:c r="H31" s="4" t="str">
        <x:v>Cobertura ensayada, puntos ciegos y limitaciones registradas</x:v>
      </x:c>
      <x:c r="I31" s="4" t="str">
        <x:v>Justificar observabilidad y comprobar detectabilidad y carga</x:v>
      </x:c>
      <x:c r="J31" s="4" t="str">
        <x:v>Un detector correcto puede ser ineficaz si no recibe la evidencia necesaria.</x:v>
      </x:c>
      <x:c r="K31" s="4" t="str">
        <x:v>R033</x:v>
      </x:c>
      <x:c r="L31" s="4" t="str">
        <x:v>IV: SIEM, correlación y detección; R029 red</x:v>
      </x:c>
      <x:c r="M31" s="4" t="str">
        <x:v>CANDIDATA PARA CONTRASTE</x:v>
      </x:c>
      <x:c r="N31" s="12" t="n">
        <x:f>COUNTIF('26_Mapa_universos'!$A$5:$A$33,A31)-1</x:f>
        <x:v>0</x:v>
      </x:c>
      <x:c r="O31" s="12" t="n">
        <x:f>COUNTBLANK(C31:H31)</x:f>
        <x:v>0</x:v>
      </x:c>
    </x:row>
    <x:row r="32" ht="47" customHeight="1">
      <x:c r="A32" s="4" t="str">
        <x:v>CYO-28</x:v>
      </x:c>
      <x:c r="B32" s="4" t="str">
        <x:v>Evaluación y respuesta</x:v>
      </x:c>
      <x:c r="C32" s="4" t="str">
        <x:v>Informe de búsqueda de amenazas por hipótesis</x:v>
      </x:c>
      <x:c r="D32" s="4" t="str">
        <x:v>Entorno y pregunta de hunting</x:v>
      </x:c>
      <x:c r="E32" s="4" t="str">
        <x:v>Hipótesis fundada; no precisa alerta previa</x:v>
      </x:c>
      <x:c r="F32" s="4" t="str">
        <x:v>Equipo de hunting y titular del alcance</x:v>
      </x:c>
      <x:c r="G32" s="4" t="str">
        <x:v>Ausencia de hallazgo no demuestra ausencia universal de compromiso</x:v>
      </x:c>
      <x:c r="H32" s="4" t="str">
        <x:v>Hipótesis contrastada, evidencias, alcance y cuestiones abiertas</x:v>
      </x:c>
      <x:c r="I32" s="4" t="str">
        <x:v>Investigar actividad que puede eludir controles con hipótesis comprobables</x:v>
      </x:c>
      <x:c r="J32" s="4" t="str">
        <x:v>Limitarse a las alertas omite amenazas fuera de su cobertura.</x:v>
      </x:c>
      <x:c r="K32" s="4" t="str">
        <x:v>R033</x:v>
      </x:c>
      <x:c r="L32" s="4" t="str">
        <x:v>IV: tema 6 hunting; G009 contraste</x:v>
      </x:c>
      <x:c r="M32" s="4" t="str">
        <x:v>CANDIDATA PARA CONTRASTE</x:v>
      </x:c>
      <x:c r="N32" s="12" t="n">
        <x:f>COUNTIF('26_Mapa_universos'!$A$5:$A$33,A32)-1</x:f>
        <x:v>0</x:v>
      </x:c>
      <x:c r="O32" s="12" t="n">
        <x:f>COUNTBLANK(C32:H32)</x:f>
        <x:v>0</x:v>
      </x:c>
    </x:row>
    <x:row r="33" ht="47" customHeight="1">
      <x:c r="A33" s="4" t="str">
        <x:v>CYO-29</x:v>
      </x:c>
      <x:c r="B33" s="4" t="str">
        <x:v>Gobierno</x:v>
      </x:c>
      <x:c r="C33" s="4" t="str">
        <x:v>Política corporativa gobernada de usos de IA</x:v>
      </x:c>
      <x:c r="D33" s="4" t="str">
        <x:v>Cartera de usos, datos y responsabilidades</x:v>
      </x:c>
      <x:c r="E33" s="4" t="str">
        <x:v>Política nueva, revisión o Shadow AI detectada</x:v>
      </x:c>
      <x:c r="F33" s="4" t="str">
        <x:v>Dirección y responsables de gobierno</x:v>
      </x:c>
      <x:c r="G33" s="4" t="str">
        <x:v>Política general no admite automáticamente cada uso</x:v>
      </x:c>
      <x:c r="H33" s="4" t="str">
        <x:v>Usos, prohibiciones, responsables, revisión y control de cambios documentados</x:v>
      </x:c>
      <x:c r="I33" s="4" t="str">
        <x:v>Traducir objetivos y responsabilidades en reglas de uso revisables</x:v>
      </x:c>
      <x:c r="J33" s="4" t="str">
        <x:v>Una política sin inventario puede dejar usos reales fuera de supervisión.</x:v>
      </x:c>
      <x:c r="K33" s="4" t="str">
        <x:v>R037</x:v>
      </x:c>
      <x:c r="L33" s="4" t="str">
        <x:v>IV: gobierno; M003 ética; AN-02 especificidad IA</x:v>
      </x:c>
      <x:c r="M33" s="4" t="str">
        <x:v>CANDIDATA PARA CONTRASTE</x:v>
      </x:c>
      <x:c r="N33" s="12" t="n">
        <x:f>COUNTIF('26_Mapa_universos'!$A$5:$A$33,A33)-1</x:f>
        <x:v>0</x:v>
      </x:c>
      <x:c r="O33" s="12" t="n">
        <x:f>COUNTBLANK(C33:H33)</x:f>
        <x:v>0</x:v>
      </x:c>
    </x:row>
  </x:sheetData>
  <x:mergeCells>
    <x:mergeCell ref="A1:D1"/>
    <x:mergeCell ref="A2:F2"/>
  </x:mergeCells>
  <x:conditionalFormatting sqref="N5:N33">
    <x:cfRule type="expression" dxfId="9" priority="1">
      <x:formula>N5&gt;0</x:formula>
    </x:cfRule>
  </x:conditionalFormatting>
  <x:conditionalFormatting sqref="O5:O33">
    <x:cfRule type="expression" dxfId="10" priority="2">
      <x:formula>O5&gt;0</x:formula>
    </x:cfRule>
  </x:conditionalFormatting>
  <x:pageMargins left="0.7" right="0.7" top="0.75" bottom="0.75" header="0.3" footer="0.3"/>
  <x:tableParts count="1">
    <x:tablePart xmlns:r="http://schemas.openxmlformats.org/officeDocument/2006/relationships" r:id="Rfff1018faf2e4aa1"/>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14" hidden="0" customWidth="1"/>
    <x:col min="2" max="2" width="17" hidden="0" customWidth="1"/>
    <x:col min="3" max="3" width="26" hidden="0" customWidth="1"/>
    <x:col min="4" max="4" width="18" hidden="0" customWidth="1"/>
    <x:col min="5" max="5" width="77" hidden="0" customWidth="1"/>
    <x:col min="6" max="6" width="85" hidden="0" customWidth="1"/>
    <x:col min="7" max="7" width="91" hidden="0" customWidth="1"/>
    <x:col min="8" max="8" width="12" hidden="0" customWidth="1"/>
    <x:col min="9" max="9" width="61" hidden="0" customWidth="1"/>
    <x:col min="10" max="10" width="63" hidden="0" customWidth="1"/>
    <x:col min="11" max="11" width="18" hidden="0" customWidth="1"/>
    <x:col min="12" max="12" width="18" hidden="0" customWidth="1"/>
  </x:cols>
  <x:sheetData>
    <x:row r="1" ht="35" customHeight="1">
      <x:c r="A1" s="6" t="str">
        <x:v>APRENDIZAJE → PRODUCTO · trazas candidatas</x:v>
      </x:c>
      <x:c r="B1" s="6"/>
      <x:c r="C1" s="6"/>
      <x:c r="D1" s="6"/>
      <x:c r="E1" s="6"/>
      <x:c r="F1" s="6"/>
      <x:c r="G1" s="6"/>
      <x:c r="H1" s="6"/>
      <x:c r="I1" s="6"/>
      <x:c r="J1" s="6"/>
      <x:c r="K1" s="6"/>
      <x:c r="L1" s="6"/>
    </x:row>
    <x:row r="2" ht="52" customHeight="1">
      <x:c r="A2" s="8" t="str">
        <x:v>Toda asignatura, decisión complementaria y necesidad humana tiene destino o reserva. Cobertura por unidad inventariada; no prueba exhaustividad de cada contenido del temario ni aptitud profesional.</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Traza</x:v>
      </x:c>
      <x:c r="B4" s="10" t="str">
        <x:v>Unidad</x:v>
      </x:c>
      <x:c r="C4" s="10" t="str">
        <x:v>Clase</x:v>
      </x:c>
      <x:c r="D4" s="10" t="str">
        <x:v>Destino</x:v>
      </x:c>
      <x:c r="E4" s="10" t="str">
        <x:v>Conocimiento necesario</x:v>
      </x:c>
      <x:c r="F4" s="10" t="str">
        <x:v>Saber hacer</x:v>
      </x:c>
      <x:c r="G4" s="10" t="str">
        <x:v>Consecuencia / límite</x:v>
      </x:c>
      <x:c r="H4" s="10" t="str">
        <x:v>Fuente</x:v>
      </x:c>
      <x:c r="I4" s="10" t="str">
        <x:v>Localizador</x:v>
      </x:c>
      <x:c r="J4" s="10" t="str">
        <x:v>Estatuto</x:v>
      </x:c>
      <x:c r="K4" s="10" t="str">
        <x:v>Destino inválido</x:v>
      </x:c>
      <x:c r="L4" s="10" t="str">
        <x:v>Fuente inválida</x:v>
      </x:c>
    </x:row>
    <x:row r="5" ht="47" customHeight="1">
      <x:c r="A5" s="4" t="str">
        <x:v>TC-001</x:v>
      </x:c>
      <x:c r="B5" s="4" t="str">
        <x:v>URJC-01</x:v>
      </x:c>
      <x:c r="C5" s="4" t="str">
        <x:v>ASIGNATURA</x:v>
      </x:c>
      <x:c r="D5" s="4" t="str">
        <x:v>TRANSVERSAL</x:v>
      </x:c>
      <x:c r="E5" s="4" t="str">
        <x:v>Electromagnetismo; circuitos; semiconductores; lógica digital.</x:v>
      </x:c>
      <x:c r="F5" s="4" t="str">
        <x:v>Resolver circuitos y analizar máquinas de estados.</x:v>
      </x:c>
      <x:c r="G5" s="4" t="str">
        <x:v>Sin esta base puede faltar capacidad para comprender o justificar el conocimiento aplicado; no añade un universo.</x:v>
      </x:c>
      <x:c r="H5" s="4" t="str">
        <x:v>R001</x:v>
      </x:c>
      <x:c r="I5" s="4" t="str">
        <x:v>II; III (códigos); IV; actividad académica según guía</x:v>
      </x:c>
      <x:c r="J5" s="4" t="str">
        <x:v>ANCLA EDUCATIVA; ENLACE PROPUESTO</x:v>
      </x:c>
      <x:c r="K5" s="12" t="n">
        <x:f>IF(OR(D5="TRANSVERSAL",D5="RESERVA",COUNTIF('26_Mapa_universos'!$A$5:$A$33,D5)=1),0,1)</x:f>
        <x:v>0</x:v>
      </x:c>
      <x:c r="L5" s="12" t="n">
        <x:f>IF(COUNTIF('21_Fuentes_educativas'!$A$5:$A$188,H5)+COUNTIF('01_Fuentes'!$A$5:$A$40,H5)=1,0,1)</x:f>
        <x:v>0</x:v>
      </x:c>
    </x:row>
    <x:row r="6" ht="47" customHeight="1">
      <x:c r="A6" s="4" t="str">
        <x:v>TC-002</x:v>
      </x:c>
      <x:c r="B6" s="4" t="str">
        <x:v>URJC-02</x:v>
      </x:c>
      <x:c r="C6" s="4" t="str">
        <x:v>ASIGNATURA</x:v>
      </x:c>
      <x:c r="D6" s="4" t="str">
        <x:v>CYO-01</x:v>
      </x:c>
      <x:c r="E6" s="4" t="str">
        <x:v>Principios de seguridad; sistemas; amenazas; personas y economía.</x:v>
      </x:c>
      <x:c r="F6" s="4" t="str">
        <x:v>Distinguir riesgo, amenaza y vulnerabilidad en un contexto.</x:v>
      </x:c>
      <x:c r="G6" s="4" t="str">
        <x:v>Sin esta base puede faltar capacidad para comprender o justificar el juicio exigido por CYO-01.</x:v>
      </x:c>
      <x:c r="H6" s="4" t="str">
        <x:v>R002</x:v>
      </x:c>
      <x:c r="I6" s="4" t="str">
        <x:v>II; III (códigos); IV; actividad académica según guía</x:v>
      </x:c>
      <x:c r="J6" s="4" t="str">
        <x:v>ANCLA EDUCATIVA; ENLACE PROPUESTO</x:v>
      </x:c>
      <x:c r="K6" s="12" t="n">
        <x:f>IF(OR(D6="TRANSVERSAL",D6="RESERVA",COUNTIF('26_Mapa_universos'!$A$5:$A$33,D6)=1),0,1)</x:f>
        <x:v>0</x:v>
      </x:c>
      <x:c r="L6" s="12" t="n">
        <x:f>IF(COUNTIF('21_Fuentes_educativas'!$A$5:$A$188,H6)+COUNTIF('01_Fuentes'!$A$5:$A$40,H6)=1,0,1)</x:f>
        <x:v>0</x:v>
      </x:c>
    </x:row>
    <x:row r="7" ht="47" customHeight="1">
      <x:c r="A7" s="4" t="str">
        <x:v>TC-003</x:v>
      </x:c>
      <x:c r="B7" s="4" t="str">
        <x:v>URJC-02</x:v>
      </x:c>
      <x:c r="C7" s="4" t="str">
        <x:v>ASIGNATURA</x:v>
      </x:c>
      <x:c r="D7" s="4" t="str">
        <x:v>CYO-02</x:v>
      </x:c>
      <x:c r="E7" s="4" t="str">
        <x:v>Principios de seguridad; sistemas; amenazas; personas y economía.</x:v>
      </x:c>
      <x:c r="F7" s="4" t="str">
        <x:v>Distinguir riesgo, amenaza y vulnerabilidad en un contexto.</x:v>
      </x:c>
      <x:c r="G7" s="4" t="str">
        <x:v>Sin esta base puede faltar capacidad para comprender o justificar el juicio exigido por CYO-02.</x:v>
      </x:c>
      <x:c r="H7" s="4" t="str">
        <x:v>R002</x:v>
      </x:c>
      <x:c r="I7" s="4" t="str">
        <x:v>II; III (códigos); IV; actividad académica según guía</x:v>
      </x:c>
      <x:c r="J7" s="4" t="str">
        <x:v>ANCLA EDUCATIVA; ENLACE PROPUESTO</x:v>
      </x:c>
      <x:c r="K7" s="12" t="n">
        <x:f>IF(OR(D7="TRANSVERSAL",D7="RESERVA",COUNTIF('26_Mapa_universos'!$A$5:$A$33,D7)=1),0,1)</x:f>
        <x:v>0</x:v>
      </x:c>
      <x:c r="L7" s="12" t="n">
        <x:f>IF(COUNTIF('21_Fuentes_educativas'!$A$5:$A$188,H7)+COUNTIF('01_Fuentes'!$A$5:$A$40,H7)=1,0,1)</x:f>
        <x:v>0</x:v>
      </x:c>
    </x:row>
    <x:row r="8" ht="47" customHeight="1">
      <x:c r="A8" s="4" t="str">
        <x:v>TC-004</x:v>
      </x:c>
      <x:c r="B8" s="4" t="str">
        <x:v>URJC-03</x:v>
      </x:c>
      <x:c r="C8" s="4" t="str">
        <x:v>ASIGNATURA</x:v>
      </x:c>
      <x:c r="D8" s="4" t="str">
        <x:v>CYO-05</x:v>
      </x:c>
      <x:c r="E8" s="4" t="str">
        <x:v>Tipos; control; punteros; memoria; funciones y ficheros.</x:v>
      </x:c>
      <x:c r="F8" s="4" t="str">
        <x:v>Construir programas y comprobar su comportamiento.</x:v>
      </x:c>
      <x:c r="G8" s="4" t="str">
        <x:v>Sin esta base puede faltar capacidad para comprender o justificar el juicio exigido por CYO-05.</x:v>
      </x:c>
      <x:c r="H8" s="4" t="str">
        <x:v>R003</x:v>
      </x:c>
      <x:c r="I8" s="4" t="str">
        <x:v>II; III (códigos); IV; actividad académica según guía</x:v>
      </x:c>
      <x:c r="J8" s="4" t="str">
        <x:v>ANCLA EDUCATIVA; ENLACE PROPUESTO</x:v>
      </x:c>
      <x:c r="K8" s="12" t="n">
        <x:f>IF(OR(D8="TRANSVERSAL",D8="RESERVA",COUNTIF('26_Mapa_universos'!$A$5:$A$33,D8)=1),0,1)</x:f>
        <x:v>0</x:v>
      </x:c>
      <x:c r="L8" s="12" t="n">
        <x:f>IF(COUNTIF('21_Fuentes_educativas'!$A$5:$A$188,H8)+COUNTIF('01_Fuentes'!$A$5:$A$40,H8)=1,0,1)</x:f>
        <x:v>0</x:v>
      </x:c>
    </x:row>
    <x:row r="9" ht="47" customHeight="1">
      <x:c r="A9" s="4" t="str">
        <x:v>TC-005</x:v>
      </x:c>
      <x:c r="B9" s="4" t="str">
        <x:v>URJC-04</x:v>
      </x:c>
      <x:c r="C9" s="4" t="str">
        <x:v>ASIGNATURA</x:v>
      </x:c>
      <x:c r="D9" s="4" t="str">
        <x:v>TRANSVERSAL</x:v>
      </x:c>
      <x:c r="E9" s="4" t="str">
        <x:v>Lógica proposicional y de primer orden; deducción; tipos.</x:v>
      </x:c>
      <x:c r="F9" s="4" t="str">
        <x:v>Formalizar razonamientos y comprobar su corrección.</x:v>
      </x:c>
      <x:c r="G9" s="4" t="str">
        <x:v>Sin esta base puede faltar capacidad para comprender o justificar el conocimiento aplicado; no añade un universo.</x:v>
      </x:c>
      <x:c r="H9" s="4" t="str">
        <x:v>R004</x:v>
      </x:c>
      <x:c r="I9" s="4" t="str">
        <x:v>II; III (códigos); IV; actividad académica según guía</x:v>
      </x:c>
      <x:c r="J9" s="4" t="str">
        <x:v>ANCLA EDUCATIVA; ENLACE PROPUESTO</x:v>
      </x:c>
      <x:c r="K9" s="12" t="n">
        <x:f>IF(OR(D9="TRANSVERSAL",D9="RESERVA",COUNTIF('26_Mapa_universos'!$A$5:$A$33,D9)=1),0,1)</x:f>
        <x:v>0</x:v>
      </x:c>
      <x:c r="L9" s="12" t="n">
        <x:f>IF(COUNTIF('21_Fuentes_educativas'!$A$5:$A$188,H9)+COUNTIF('01_Fuentes'!$A$5:$A$40,H9)=1,0,1)</x:f>
        <x:v>0</x:v>
      </x:c>
    </x:row>
    <x:row r="10" ht="47" customHeight="1">
      <x:c r="A10" s="4" t="str">
        <x:v>TC-006</x:v>
      </x:c>
      <x:c r="B10" s="4" t="str">
        <x:v>URJC-05</x:v>
      </x:c>
      <x:c r="C10" s="4" t="str">
        <x:v>ASIGNATURA</x:v>
      </x:c>
      <x:c r="D10" s="4" t="str">
        <x:v>TRANSVERSAL</x:v>
      </x:c>
      <x:c r="E10" s="4" t="str">
        <x:v>Álgebra lineal; aritmética modular; combinatoria; grafos.</x:v>
      </x:c>
      <x:c r="F10" s="4" t="str">
        <x:v>Resolver sistemas y usar estructuras discretas.</x:v>
      </x:c>
      <x:c r="G10" s="4" t="str">
        <x:v>Sin esta base puede faltar capacidad para comprender o justificar el conocimiento aplicado; no añade un universo.</x:v>
      </x:c>
      <x:c r="H10" s="4" t="str">
        <x:v>R005</x:v>
      </x:c>
      <x:c r="I10" s="4" t="str">
        <x:v>II; III (códigos); IV; actividad académica según guía</x:v>
      </x:c>
      <x:c r="J10" s="4" t="str">
        <x:v>ANCLA EDUCATIVA; ENLACE PROPUESTO</x:v>
      </x:c>
      <x:c r="K10" s="12" t="n">
        <x:f>IF(OR(D10="TRANSVERSAL",D10="RESERVA",COUNTIF('26_Mapa_universos'!$A$5:$A$33,D10)=1),0,1)</x:f>
        <x:v>0</x:v>
      </x:c>
      <x:c r="L10" s="12" t="n">
        <x:f>IF(COUNTIF('21_Fuentes_educativas'!$A$5:$A$188,H10)+COUNTIF('01_Fuentes'!$A$5:$A$40,H10)=1,0,1)</x:f>
        <x:v>0</x:v>
      </x:c>
    </x:row>
    <x:row r="11" ht="47" customHeight="1">
      <x:c r="A11" s="4" t="str">
        <x:v>TC-007</x:v>
      </x:c>
      <x:c r="B11" s="4" t="str">
        <x:v>URJC-06</x:v>
      </x:c>
      <x:c r="C11" s="4" t="str">
        <x:v>ASIGNATURA</x:v>
      </x:c>
      <x:c r="D11" s="4" t="str">
        <x:v>TRANSVERSAL</x:v>
      </x:c>
      <x:c r="E11" s="4" t="str">
        <x:v>Funciones; límites; derivadas; integrales; sucesiones y series.</x:v>
      </x:c>
      <x:c r="F11" s="4" t="str">
        <x:v>Analizar modelos de variación y resolver problemas progresivos.</x:v>
      </x:c>
      <x:c r="G11" s="4" t="str">
        <x:v>Sin esta base puede faltar capacidad para comprender o justificar el conocimiento aplicado; no añade un universo.</x:v>
      </x:c>
      <x:c r="H11" s="4" t="str">
        <x:v>R006</x:v>
      </x:c>
      <x:c r="I11" s="4" t="str">
        <x:v>II; III (códigos); IV; actividad académica según guía</x:v>
      </x:c>
      <x:c r="J11" s="4" t="str">
        <x:v>ANCLA EDUCATIVA; ENLACE PROPUESTO</x:v>
      </x:c>
      <x:c r="K11" s="12" t="n">
        <x:f>IF(OR(D11="TRANSVERSAL",D11="RESERVA",COUNTIF('26_Mapa_universos'!$A$5:$A$33,D11)=1),0,1)</x:f>
        <x:v>0</x:v>
      </x:c>
      <x:c r="L11" s="12" t="n">
        <x:f>IF(COUNTIF('21_Fuentes_educativas'!$A$5:$A$188,H11)+COUNTIF('01_Fuentes'!$A$5:$A$40,H11)=1,0,1)</x:f>
        <x:v>0</x:v>
      </x:c>
    </x:row>
    <x:row r="12" ht="47" customHeight="1">
      <x:c r="A12" s="4" t="str">
        <x:v>TC-008</x:v>
      </x:c>
      <x:c r="B12" s="4" t="str">
        <x:v>URJC-07</x:v>
      </x:c>
      <x:c r="C12" s="4" t="str">
        <x:v>ASIGNATURA</x:v>
      </x:c>
      <x:c r="D12" s="4" t="str">
        <x:v>CYO-13</x:v>
      </x:c>
      <x:c r="E12" s="4" t="str">
        <x:v>Seguridad demostrable; cifrado; hash/MAC; firma; secretos.</x:v>
      </x:c>
      <x:c r="F12" s="4" t="str">
        <x:v>Contrastar construcciones criptográficas y su implementación.</x:v>
      </x:c>
      <x:c r="G12" s="4" t="str">
        <x:v>Sin esta base puede faltar capacidad para comprender o justificar el juicio exigido por CYO-13.</x:v>
      </x:c>
      <x:c r="H12" s="4" t="str">
        <x:v>R007</x:v>
      </x:c>
      <x:c r="I12" s="4" t="str">
        <x:v>II; III (códigos); IV; actividad académica según guía</x:v>
      </x:c>
      <x:c r="J12" s="4" t="str">
        <x:v>ANCLA EDUCATIVA; ENLACE PROPUESTO</x:v>
      </x:c>
      <x:c r="K12" s="12" t="n">
        <x:f>IF(OR(D12="TRANSVERSAL",D12="RESERVA",COUNTIF('26_Mapa_universos'!$A$5:$A$33,D12)=1),0,1)</x:f>
        <x:v>0</x:v>
      </x:c>
      <x:c r="L12" s="12" t="n">
        <x:f>IF(COUNTIF('21_Fuentes_educativas'!$A$5:$A$188,H12)+COUNTIF('01_Fuentes'!$A$5:$A$40,H12)=1,0,1)</x:f>
        <x:v>0</x:v>
      </x:c>
    </x:row>
    <x:row r="13" ht="47" customHeight="1">
      <x:c r="A13" s="4" t="str">
        <x:v>TC-009</x:v>
      </x:c>
      <x:c r="B13" s="4" t="str">
        <x:v>URJC-08</x:v>
      </x:c>
      <x:c r="C13" s="4" t="str">
        <x:v>ASIGNATURA</x:v>
      </x:c>
      <x:c r="D13" s="4" t="str">
        <x:v>CYO-01</x:v>
      </x:c>
      <x:c r="E13" s="4" t="str">
        <x:v>Dimensiones de seguridad; políticas públicas; amenazas globales.</x:v>
      </x:c>
      <x:c r="F13" s="4" t="str">
        <x:v>Analizar contexto, actores e instrumentos de intervención.</x:v>
      </x:c>
      <x:c r="G13" s="4" t="str">
        <x:v>Sin esta base puede faltar capacidad para comprender o justificar el juicio exigido por CYO-01.</x:v>
      </x:c>
      <x:c r="H13" s="4" t="str">
        <x:v>R008</x:v>
      </x:c>
      <x:c r="I13" s="4" t="str">
        <x:v>II; III (códigos); IV; actividad académica según guía</x:v>
      </x:c>
      <x:c r="J13" s="4" t="str">
        <x:v>ANCLA EDUCATIVA; ENLACE PROPUESTO</x:v>
      </x:c>
      <x:c r="K13" s="12" t="n">
        <x:f>IF(OR(D13="TRANSVERSAL",D13="RESERVA",COUNTIF('26_Mapa_universos'!$A$5:$A$33,D13)=1),0,1)</x:f>
        <x:v>0</x:v>
      </x:c>
      <x:c r="L13" s="12" t="n">
        <x:f>IF(COUNTIF('21_Fuentes_educativas'!$A$5:$A$188,H13)+COUNTIF('01_Fuentes'!$A$5:$A$40,H13)=1,0,1)</x:f>
        <x:v>0</x:v>
      </x:c>
    </x:row>
    <x:row r="14" ht="47" customHeight="1">
      <x:c r="A14" s="4" t="str">
        <x:v>TC-010</x:v>
      </x:c>
      <x:c r="B14" s="4" t="str">
        <x:v>URJC-08</x:v>
      </x:c>
      <x:c r="C14" s="4" t="str">
        <x:v>ASIGNATURA</x:v>
      </x:c>
      <x:c r="D14" s="4" t="str">
        <x:v>CYO-29</x:v>
      </x:c>
      <x:c r="E14" s="4" t="str">
        <x:v>Dimensiones de seguridad; políticas públicas; amenazas globales.</x:v>
      </x:c>
      <x:c r="F14" s="4" t="str">
        <x:v>Analizar contexto, actores e instrumentos de intervención.</x:v>
      </x:c>
      <x:c r="G14" s="4" t="str">
        <x:v>Sin esta base puede faltar capacidad para comprender o justificar el juicio exigido por CYO-29.</x:v>
      </x:c>
      <x:c r="H14" s="4" t="str">
        <x:v>R008</x:v>
      </x:c>
      <x:c r="I14" s="4" t="str">
        <x:v>II; III (códigos); IV; actividad académica según guía</x:v>
      </x:c>
      <x:c r="J14" s="4" t="str">
        <x:v>ANCLA EDUCATIVA; ENLACE PROPUESTO</x:v>
      </x:c>
      <x:c r="K14" s="12" t="n">
        <x:f>IF(OR(D14="TRANSVERSAL",D14="RESERVA",COUNTIF('26_Mapa_universos'!$A$5:$A$33,D14)=1),0,1)</x:f>
        <x:v>0</x:v>
      </x:c>
      <x:c r="L14" s="12" t="n">
        <x:f>IF(COUNTIF('21_Fuentes_educativas'!$A$5:$A$188,H14)+COUNTIF('01_Fuentes'!$A$5:$A$40,H14)=1,0,1)</x:f>
        <x:v>0</x:v>
      </x:c>
    </x:row>
    <x:row r="15" ht="47" customHeight="1">
      <x:c r="A15" s="4" t="str">
        <x:v>TC-011</x:v>
      </x:c>
      <x:c r="B15" s="4" t="str">
        <x:v>URJC-09</x:v>
      </x:c>
      <x:c r="C15" s="4" t="str">
        <x:v>ASIGNATURA</x:v>
      </x:c>
      <x:c r="D15" s="4" t="str">
        <x:v>TRANSVERSAL</x:v>
      </x:c>
      <x:c r="E15" s="4" t="str">
        <x:v>Descripción de datos; probabilidad; Bayes; estimación y contraste.</x:v>
      </x:c>
      <x:c r="F15" s="4" t="str">
        <x:v>Razonar bajo incertidumbre y explicar límites de una estimación.</x:v>
      </x:c>
      <x:c r="G15" s="4" t="str">
        <x:v>Sin esta base puede faltar capacidad para comprender o justificar el conocimiento aplicado; no añade un universo.</x:v>
      </x:c>
      <x:c r="H15" s="4" t="str">
        <x:v>R009</x:v>
      </x:c>
      <x:c r="I15" s="4" t="str">
        <x:v>II; III (códigos); IV; actividad académica según guía</x:v>
      </x:c>
      <x:c r="J15" s="4" t="str">
        <x:v>ANCLA EDUCATIVA; ENLACE PROPUESTO</x:v>
      </x:c>
      <x:c r="K15" s="12" t="n">
        <x:f>IF(OR(D15="TRANSVERSAL",D15="RESERVA",COUNTIF('26_Mapa_universos'!$A$5:$A$33,D15)=1),0,1)</x:f>
        <x:v>0</x:v>
      </x:c>
      <x:c r="L15" s="12" t="n">
        <x:f>IF(COUNTIF('21_Fuentes_educativas'!$A$5:$A$188,H15)+COUNTIF('01_Fuentes'!$A$5:$A$40,H15)=1,0,1)</x:f>
        <x:v>0</x:v>
      </x:c>
    </x:row>
    <x:row r="16" ht="47" customHeight="1">
      <x:c r="A16" s="4" t="str">
        <x:v>TC-012</x:v>
      </x:c>
      <x:c r="B16" s="4" t="str">
        <x:v>URJC-10</x:v>
      </x:c>
      <x:c r="C16" s="4" t="str">
        <x:v>ASIGNATURA</x:v>
      </x:c>
      <x:c r="D16" s="4" t="str">
        <x:v>CYO-05</x:v>
      </x:c>
      <x:c r="E16" s="4" t="str">
        <x:v>Tipos abstractos; estructuras lineales, árboles, grafos y mapas.</x:v>
      </x:c>
      <x:c r="F16" s="4" t="str">
        <x:v>Especificar e implementar estructuras y utilizarlas en programas.</x:v>
      </x:c>
      <x:c r="G16" s="4" t="str">
        <x:v>Sin esta base puede faltar capacidad para comprender o justificar el juicio exigido por CYO-05.</x:v>
      </x:c>
      <x:c r="H16" s="4" t="str">
        <x:v>R010</x:v>
      </x:c>
      <x:c r="I16" s="4" t="str">
        <x:v>II; III (códigos); IV; actividad académica según guía</x:v>
      </x:c>
      <x:c r="J16" s="4" t="str">
        <x:v>ANCLA EDUCATIVA; ENLACE PROPUESTO</x:v>
      </x:c>
      <x:c r="K16" s="12" t="n">
        <x:f>IF(OR(D16="TRANSVERSAL",D16="RESERVA",COUNTIF('26_Mapa_universos'!$A$5:$A$33,D16)=1),0,1)</x:f>
        <x:v>0</x:v>
      </x:c>
      <x:c r="L16" s="12" t="n">
        <x:f>IF(COUNTIF('21_Fuentes_educativas'!$A$5:$A$188,H16)+COUNTIF('01_Fuentes'!$A$5:$A$40,H16)=1,0,1)</x:f>
        <x:v>0</x:v>
      </x:c>
    </x:row>
    <x:row r="17" ht="47" customHeight="1">
      <x:c r="A17" s="4" t="str">
        <x:v>TC-013</x:v>
      </x:c>
      <x:c r="B17" s="4" t="str">
        <x:v>URJC-11</x:v>
      </x:c>
      <x:c r="C17" s="4" t="str">
        <x:v>ASIGNATURA</x:v>
      </x:c>
      <x:c r="D17" s="4" t="str">
        <x:v>CYO-01</x:v>
      </x:c>
      <x:c r="E17" s="4" t="str">
        <x:v>Organización; optimización; decisión multicriterio; proyectos; calidad.</x:v>
      </x:c>
      <x:c r="F17" s="4" t="str">
        <x:v>Formular problemas de decisión y aplicar métodos cuantitativos.</x:v>
      </x:c>
      <x:c r="G17" s="4" t="str">
        <x:v>Sin esta base puede faltar capacidad para comprender o justificar el juicio exigido por CYO-01.</x:v>
      </x:c>
      <x:c r="H17" s="4" t="str">
        <x:v>R011</x:v>
      </x:c>
      <x:c r="I17" s="4" t="str">
        <x:v>II; III (códigos); IV; actividad académica según guía</x:v>
      </x:c>
      <x:c r="J17" s="4" t="str">
        <x:v>ANCLA EDUCATIVA; ENLACE PROPUESTO</x:v>
      </x:c>
      <x:c r="K17" s="12" t="n">
        <x:f>IF(OR(D17="TRANSVERSAL",D17="RESERVA",COUNTIF('26_Mapa_universos'!$A$5:$A$33,D17)=1),0,1)</x:f>
        <x:v>0</x:v>
      </x:c>
      <x:c r="L17" s="12" t="n">
        <x:f>IF(COUNTIF('21_Fuentes_educativas'!$A$5:$A$188,H17)+COUNTIF('01_Fuentes'!$A$5:$A$40,H17)=1,0,1)</x:f>
        <x:v>0</x:v>
      </x:c>
    </x:row>
    <x:row r="18" ht="47" customHeight="1">
      <x:c r="A18" s="4" t="str">
        <x:v>TC-014</x:v>
      </x:c>
      <x:c r="B18" s="4" t="str">
        <x:v>URJC-12</x:v>
      </x:c>
      <x:c r="C18" s="4" t="str">
        <x:v>ASIGNATURA</x:v>
      </x:c>
      <x:c r="D18" s="4" t="str">
        <x:v>CYO-17</x:v>
      </x:c>
      <x:c r="E18" s="4" t="str">
        <x:v>Regulación; privacidad; responsabilidades; ética; licencias.</x:v>
      </x:c>
      <x:c r="F18" s="4" t="str">
        <x:v>Distinguir obligaciones, sujetos y límites del ejercicio profesional.</x:v>
      </x:c>
      <x:c r="G18" s="4" t="str">
        <x:v>Sin esta base puede faltar capacidad para comprender o justificar el juicio exigido por CYO-17.</x:v>
      </x:c>
      <x:c r="H18" s="4" t="str">
        <x:v>R012</x:v>
      </x:c>
      <x:c r="I18" s="4" t="str">
        <x:v>II; III (códigos); IV; actividad académica según guía</x:v>
      </x:c>
      <x:c r="J18" s="4" t="str">
        <x:v>ANCLA EDUCATIVA; ENLACE PROPUESTO</x:v>
      </x:c>
      <x:c r="K18" s="12" t="n">
        <x:f>IF(OR(D18="TRANSVERSAL",D18="RESERVA",COUNTIF('26_Mapa_universos'!$A$5:$A$33,D18)=1),0,1)</x:f>
        <x:v>0</x:v>
      </x:c>
      <x:c r="L18" s="12" t="n">
        <x:f>IF(COUNTIF('21_Fuentes_educativas'!$A$5:$A$188,H18)+COUNTIF('01_Fuentes'!$A$5:$A$40,H18)=1,0,1)</x:f>
        <x:v>0</x:v>
      </x:c>
    </x:row>
    <x:row r="19" ht="47" customHeight="1">
      <x:c r="A19" s="4" t="str">
        <x:v>TC-015</x:v>
      </x:c>
      <x:c r="B19" s="4" t="str">
        <x:v>URJC-12</x:v>
      </x:c>
      <x:c r="C19" s="4" t="str">
        <x:v>ASIGNATURA</x:v>
      </x:c>
      <x:c r="D19" s="4" t="str">
        <x:v>CYO-20</x:v>
      </x:c>
      <x:c r="E19" s="4" t="str">
        <x:v>Regulación; privacidad; responsabilidades; ética; licencias.</x:v>
      </x:c>
      <x:c r="F19" s="4" t="str">
        <x:v>Distinguir obligaciones, sujetos y límites del ejercicio profesional.</x:v>
      </x:c>
      <x:c r="G19" s="4" t="str">
        <x:v>Sin esta base puede faltar capacidad para comprender o justificar el juicio exigido por CYO-20.</x:v>
      </x:c>
      <x:c r="H19" s="4" t="str">
        <x:v>R012</x:v>
      </x:c>
      <x:c r="I19" s="4" t="str">
        <x:v>II; III (códigos); IV; actividad académica según guía</x:v>
      </x:c>
      <x:c r="J19" s="4" t="str">
        <x:v>ANCLA EDUCATIVA; ENLACE PROPUESTO</x:v>
      </x:c>
      <x:c r="K19" s="12" t="n">
        <x:f>IF(OR(D19="TRANSVERSAL",D19="RESERVA",COUNTIF('26_Mapa_universos'!$A$5:$A$33,D19)=1),0,1)</x:f>
        <x:v>0</x:v>
      </x:c>
      <x:c r="L19" s="12" t="n">
        <x:f>IF(COUNTIF('21_Fuentes_educativas'!$A$5:$A$188,H19)+COUNTIF('01_Fuentes'!$A$5:$A$40,H19)=1,0,1)</x:f>
        <x:v>0</x:v>
      </x:c>
    </x:row>
    <x:row r="20" ht="47" customHeight="1">
      <x:c r="A20" s="4" t="str">
        <x:v>TC-016</x:v>
      </x:c>
      <x:c r="B20" s="4" t="str">
        <x:v>URJC-12</x:v>
      </x:c>
      <x:c r="C20" s="4" t="str">
        <x:v>ASIGNATURA</x:v>
      </x:c>
      <x:c r="D20" s="4" t="str">
        <x:v>CYO-29</x:v>
      </x:c>
      <x:c r="E20" s="4" t="str">
        <x:v>Regulación; privacidad; responsabilidades; ética; licencias.</x:v>
      </x:c>
      <x:c r="F20" s="4" t="str">
        <x:v>Distinguir obligaciones, sujetos y límites del ejercicio profesional.</x:v>
      </x:c>
      <x:c r="G20" s="4" t="str">
        <x:v>Sin esta base puede faltar capacidad para comprender o justificar el juicio exigido por CYO-29.</x:v>
      </x:c>
      <x:c r="H20" s="4" t="str">
        <x:v>R012</x:v>
      </x:c>
      <x:c r="I20" s="4" t="str">
        <x:v>II; III (códigos); IV; actividad académica según guía</x:v>
      </x:c>
      <x:c r="J20" s="4" t="str">
        <x:v>ANCLA EDUCATIVA; ENLACE PROPUESTO</x:v>
      </x:c>
      <x:c r="K20" s="12" t="n">
        <x:f>IF(OR(D20="TRANSVERSAL",D20="RESERVA",COUNTIF('26_Mapa_universos'!$A$5:$A$33,D20)=1),0,1)</x:f>
        <x:v>0</x:v>
      </x:c>
      <x:c r="L20" s="12" t="n">
        <x:f>IF(COUNTIF('21_Fuentes_educativas'!$A$5:$A$188,H20)+COUNTIF('01_Fuentes'!$A$5:$A$40,H20)=1,0,1)</x:f>
        <x:v>0</x:v>
      </x:c>
    </x:row>
    <x:row r="21" ht="47" customHeight="1">
      <x:c r="A21" s="4" t="str">
        <x:v>TC-017</x:v>
      </x:c>
      <x:c r="B21" s="4" t="str">
        <x:v>URJC-13</x:v>
      </x:c>
      <x:c r="C21" s="4" t="str">
        <x:v>ASIGNATURA</x:v>
      </x:c>
      <x:c r="D21" s="4" t="str">
        <x:v>CYO-05</x:v>
      </x:c>
      <x:c r="E21" s="4" t="str">
        <x:v>Orientación a objetos; Java; UML; excepciones; concurrencia; pruebas.</x:v>
      </x:c>
      <x:c r="F21" s="4" t="str">
        <x:v>Diseñar y programar aplicaciones orientadas a objetos.</x:v>
      </x:c>
      <x:c r="G21" s="4" t="str">
        <x:v>Sin esta base puede faltar capacidad para comprender o justificar el juicio exigido por CYO-05.</x:v>
      </x:c>
      <x:c r="H21" s="4" t="str">
        <x:v>R013</x:v>
      </x:c>
      <x:c r="I21" s="4" t="str">
        <x:v>II; III (códigos); IV; actividad académica según guía</x:v>
      </x:c>
      <x:c r="J21" s="4" t="str">
        <x:v>ANCLA EDUCATIVA; ENLACE PROPUESTO</x:v>
      </x:c>
      <x:c r="K21" s="12" t="n">
        <x:f>IF(OR(D21="TRANSVERSAL",D21="RESERVA",COUNTIF('26_Mapa_universos'!$A$5:$A$33,D21)=1),0,1)</x:f>
        <x:v>0</x:v>
      </x:c>
      <x:c r="L21" s="12" t="n">
        <x:f>IF(COUNTIF('21_Fuentes_educativas'!$A$5:$A$188,H21)+COUNTIF('01_Fuentes'!$A$5:$A$40,H21)=1,0,1)</x:f>
        <x:v>0</x:v>
      </x:c>
    </x:row>
    <x:row r="22" ht="47" customHeight="1">
      <x:c r="A22" s="4" t="str">
        <x:v>TC-018</x:v>
      </x:c>
      <x:c r="B22" s="4" t="str">
        <x:v>URJC-14</x:v>
      </x:c>
      <x:c r="C22" s="4" t="str">
        <x:v>ASIGNATURA</x:v>
      </x:c>
      <x:c r="D22" s="4" t="str">
        <x:v>CYO-02</x:v>
      </x:c>
      <x:c r="E22" s="4" t="str">
        <x:v>Redes por capas; protocolos; rutas; congestión; comunicaciones.</x:v>
      </x:c>
      <x:c r="F22" s="4" t="str">
        <x:v>Diseñar una red atendiendo a coste, prestaciones, necesidades y seguridad.</x:v>
      </x:c>
      <x:c r="G22" s="4" t="str">
        <x:v>Sin esta base puede faltar capacidad para comprender o justificar el juicio exigido por CYO-02.</x:v>
      </x:c>
      <x:c r="H22" s="4" t="str">
        <x:v>R014</x:v>
      </x:c>
      <x:c r="I22" s="4" t="str">
        <x:v>II; III (códigos); IV; actividad académica según guía</x:v>
      </x:c>
      <x:c r="J22" s="4" t="str">
        <x:v>ANCLA EDUCATIVA; ENLACE PROPUESTO</x:v>
      </x:c>
      <x:c r="K22" s="12" t="n">
        <x:f>IF(OR(D22="TRANSVERSAL",D22="RESERVA",COUNTIF('26_Mapa_universos'!$A$5:$A$33,D22)=1),0,1)</x:f>
        <x:v>0</x:v>
      </x:c>
      <x:c r="L22" s="12" t="n">
        <x:f>IF(COUNTIF('21_Fuentes_educativas'!$A$5:$A$188,H22)+COUNTIF('01_Fuentes'!$A$5:$A$40,H22)=1,0,1)</x:f>
        <x:v>0</x:v>
      </x:c>
    </x:row>
    <x:row r="23" ht="47" customHeight="1">
      <x:c r="A23" s="4" t="str">
        <x:v>TC-019</x:v>
      </x:c>
      <x:c r="B23" s="4" t="str">
        <x:v>URJC-14</x:v>
      </x:c>
      <x:c r="C23" s="4" t="str">
        <x:v>ASIGNATURA</x:v>
      </x:c>
      <x:c r="D23" s="4" t="str">
        <x:v>CYO-27</x:v>
      </x:c>
      <x:c r="E23" s="4" t="str">
        <x:v>Redes por capas; protocolos; rutas; congestión; comunicaciones.</x:v>
      </x:c>
      <x:c r="F23" s="4" t="str">
        <x:v>Diseñar una red atendiendo a coste, prestaciones, necesidades y seguridad.</x:v>
      </x:c>
      <x:c r="G23" s="4" t="str">
        <x:v>Sin esta base puede faltar capacidad para comprender o justificar el juicio exigido por CYO-27.</x:v>
      </x:c>
      <x:c r="H23" s="4" t="str">
        <x:v>R014</x:v>
      </x:c>
      <x:c r="I23" s="4" t="str">
        <x:v>II; III (códigos); IV; actividad académica según guía</x:v>
      </x:c>
      <x:c r="J23" s="4" t="str">
        <x:v>ANCLA EDUCATIVA; ENLACE PROPUESTO</x:v>
      </x:c>
      <x:c r="K23" s="12" t="n">
        <x:f>IF(OR(D23="TRANSVERSAL",D23="RESERVA",COUNTIF('26_Mapa_universos'!$A$5:$A$33,D23)=1),0,1)</x:f>
        <x:v>0</x:v>
      </x:c>
      <x:c r="L23" s="12" t="n">
        <x:f>IF(COUNTIF('21_Fuentes_educativas'!$A$5:$A$188,H23)+COUNTIF('01_Fuentes'!$A$5:$A$40,H23)=1,0,1)</x:f>
        <x:v>0</x:v>
      </x:c>
    </x:row>
    <x:row r="24" ht="47" customHeight="1">
      <x:c r="A24" s="4" t="str">
        <x:v>TC-020</x:v>
      </x:c>
      <x:c r="B24" s="4" t="str">
        <x:v>URJC-15</x:v>
      </x:c>
      <x:c r="C24" s="4" t="str">
        <x:v>ASIGNATURA</x:v>
      </x:c>
      <x:c r="D24" s="4" t="str">
        <x:v>CYO-04</x:v>
      </x:c>
      <x:c r="E24" s="4" t="str">
        <x:v>Reconocimiento; técnicas de ataque; vulnerabilidades y explotación.</x:v>
      </x:c>
      <x:c r="F24" s="4" t="str">
        <x:v>Analizar técnicas ofensivas dentro de un entorno autorizado.</x:v>
      </x:c>
      <x:c r="G24" s="4" t="str">
        <x:v>Sin esta base puede faltar capacidad para comprender o justificar el juicio exigido por CYO-04.</x:v>
      </x:c>
      <x:c r="H24" s="4" t="str">
        <x:v>R015</x:v>
      </x:c>
      <x:c r="I24" s="4" t="str">
        <x:v>II; III (códigos); IV; actividad académica según guía</x:v>
      </x:c>
      <x:c r="J24" s="4" t="str">
        <x:v>ANCLA EDUCATIVA; ENLACE PROPUESTO</x:v>
      </x:c>
      <x:c r="K24" s="12" t="n">
        <x:f>IF(OR(D24="TRANSVERSAL",D24="RESERVA",COUNTIF('26_Mapa_universos'!$A$5:$A$33,D24)=1),0,1)</x:f>
        <x:v>0</x:v>
      </x:c>
      <x:c r="L24" s="12" t="n">
        <x:f>IF(COUNTIF('21_Fuentes_educativas'!$A$5:$A$188,H24)+COUNTIF('01_Fuentes'!$A$5:$A$40,H24)=1,0,1)</x:f>
        <x:v>0</x:v>
      </x:c>
    </x:row>
    <x:row r="25" ht="47" customHeight="1">
      <x:c r="A25" s="4" t="str">
        <x:v>TC-021</x:v>
      </x:c>
      <x:c r="B25" s="4" t="str">
        <x:v>URJC-16</x:v>
      </x:c>
      <x:c r="C25" s="4" t="str">
        <x:v>ASIGNATURA</x:v>
      </x:c>
      <x:c r="D25" s="4" t="str">
        <x:v>CYO-02</x:v>
      </x:c>
      <x:c r="E25" s="4" t="str">
        <x:v>Modelos de datos; diseño conceptual y lógico; SQL.</x:v>
      </x:c>
      <x:c r="F25" s="4" t="str">
        <x:v>Diseñar y consultar bases de datos.</x:v>
      </x:c>
      <x:c r="G25" s="4" t="str">
        <x:v>Sin esta base puede faltar capacidad para comprender o justificar el juicio exigido por CYO-02.</x:v>
      </x:c>
      <x:c r="H25" s="4" t="str">
        <x:v>R016</x:v>
      </x:c>
      <x:c r="I25" s="4" t="str">
        <x:v>II; III (códigos); IV; actividad académica según guía</x:v>
      </x:c>
      <x:c r="J25" s="4" t="str">
        <x:v>ANCLA EDUCATIVA; ENLACE PROPUESTO</x:v>
      </x:c>
      <x:c r="K25" s="12" t="n">
        <x:f>IF(OR(D25="TRANSVERSAL",D25="RESERVA",COUNTIF('26_Mapa_universos'!$A$5:$A$33,D25)=1),0,1)</x:f>
        <x:v>0</x:v>
      </x:c>
      <x:c r="L25" s="12" t="n">
        <x:f>IF(COUNTIF('21_Fuentes_educativas'!$A$5:$A$188,H25)+COUNTIF('01_Fuentes'!$A$5:$A$40,H25)=1,0,1)</x:f>
        <x:v>0</x:v>
      </x:c>
    </x:row>
    <x:row r="26" ht="47" customHeight="1">
      <x:c r="A26" s="4" t="str">
        <x:v>TC-022</x:v>
      </x:c>
      <x:c r="B26" s="4" t="str">
        <x:v>URJC-16</x:v>
      </x:c>
      <x:c r="C26" s="4" t="str">
        <x:v>ASIGNATURA</x:v>
      </x:c>
      <x:c r="D26" s="4" t="str">
        <x:v>CYO-12</x:v>
      </x:c>
      <x:c r="E26" s="4" t="str">
        <x:v>Modelos de datos; diseño conceptual y lógico; SQL.</x:v>
      </x:c>
      <x:c r="F26" s="4" t="str">
        <x:v>Diseñar y consultar bases de datos.</x:v>
      </x:c>
      <x:c r="G26" s="4" t="str">
        <x:v>Sin esta base puede faltar capacidad para comprender o justificar el juicio exigido por CYO-12.</x:v>
      </x:c>
      <x:c r="H26" s="4" t="str">
        <x:v>R016</x:v>
      </x:c>
      <x:c r="I26" s="4" t="str">
        <x:v>II; III (códigos); IV; actividad académica según guía</x:v>
      </x:c>
      <x:c r="J26" s="4" t="str">
        <x:v>ANCLA EDUCATIVA; ENLACE PROPUESTO</x:v>
      </x:c>
      <x:c r="K26" s="12" t="n">
        <x:f>IF(OR(D26="TRANSVERSAL",D26="RESERVA",COUNTIF('26_Mapa_universos'!$A$5:$A$33,D26)=1),0,1)</x:f>
        <x:v>0</x:v>
      </x:c>
      <x:c r="L26" s="12" t="n">
        <x:f>IF(COUNTIF('21_Fuentes_educativas'!$A$5:$A$188,H26)+COUNTIF('01_Fuentes'!$A$5:$A$40,H26)=1,0,1)</x:f>
        <x:v>0</x:v>
      </x:c>
    </x:row>
    <x:row r="27" ht="47" customHeight="1">
      <x:c r="A27" s="4" t="str">
        <x:v>TC-023</x:v>
      </x:c>
      <x:c r="B27" s="4" t="str">
        <x:v>URJC-17</x:v>
      </x:c>
      <x:c r="C27" s="4" t="str">
        <x:v>ASIGNATURA</x:v>
      </x:c>
      <x:c r="D27" s="4" t="str">
        <x:v>CYO-05</x:v>
      </x:c>
      <x:c r="E27" s="4" t="str">
        <x:v>Cliente y servidor web; despliegue; vulnerabilidades; herramientas de IA generativa.</x:v>
      </x:c>
      <x:c r="F27" s="4" t="str">
        <x:v>Construir, probar y proteger una aplicación web.</x:v>
      </x:c>
      <x:c r="G27" s="4" t="str">
        <x:v>Sin esta base puede faltar capacidad para comprender o justificar el juicio exigido por CYO-05.</x:v>
      </x:c>
      <x:c r="H27" s="4" t="str">
        <x:v>R017</x:v>
      </x:c>
      <x:c r="I27" s="4" t="str">
        <x:v>II; III (códigos); IV; actividad académica según guía</x:v>
      </x:c>
      <x:c r="J27" s="4" t="str">
        <x:v>ANCLA EDUCATIVA; ENLACE PROPUESTO</x:v>
      </x:c>
      <x:c r="K27" s="12" t="n">
        <x:f>IF(OR(D27="TRANSVERSAL",D27="RESERVA",COUNTIF('26_Mapa_universos'!$A$5:$A$33,D27)=1),0,1)</x:f>
        <x:v>0</x:v>
      </x:c>
      <x:c r="L27" s="12" t="n">
        <x:f>IF(COUNTIF('21_Fuentes_educativas'!$A$5:$A$188,H27)+COUNTIF('01_Fuentes'!$A$5:$A$40,H27)=1,0,1)</x:f>
        <x:v>0</x:v>
      </x:c>
    </x:row>
    <x:row r="28" ht="47" customHeight="1">
      <x:c r="A28" s="4" t="str">
        <x:v>TC-024</x:v>
      </x:c>
      <x:c r="B28" s="4" t="str">
        <x:v>URJC-18</x:v>
      </x:c>
      <x:c r="C28" s="4" t="str">
        <x:v>ASIGNATURA</x:v>
      </x:c>
      <x:c r="D28" s="4" t="str">
        <x:v>CYO-02</x:v>
      </x:c>
      <x:c r="E28" s="4" t="str">
        <x:v>Procesador; representación; ensamblador; camino de datos y control.</x:v>
      </x:c>
      <x:c r="F28" s="4" t="str">
        <x:v>Relacionar ejecución de instrucciones con estructura del computador.</x:v>
      </x:c>
      <x:c r="G28" s="4" t="str">
        <x:v>Sin esta base puede faltar capacidad para comprender o justificar el juicio exigido por CYO-02.</x:v>
      </x:c>
      <x:c r="H28" s="4" t="str">
        <x:v>R018</x:v>
      </x:c>
      <x:c r="I28" s="4" t="str">
        <x:v>II; III (códigos); IV; actividad académica según guía</x:v>
      </x:c>
      <x:c r="J28" s="4" t="str">
        <x:v>ANCLA EDUCATIVA; ENLACE PROPUESTO</x:v>
      </x:c>
      <x:c r="K28" s="12" t="n">
        <x:f>IF(OR(D28="TRANSVERSAL",D28="RESERVA",COUNTIF('26_Mapa_universos'!$A$5:$A$33,D28)=1),0,1)</x:f>
        <x:v>0</x:v>
      </x:c>
      <x:c r="L28" s="12" t="n">
        <x:f>IF(COUNTIF('21_Fuentes_educativas'!$A$5:$A$188,H28)+COUNTIF('01_Fuentes'!$A$5:$A$40,H28)=1,0,1)</x:f>
        <x:v>0</x:v>
      </x:c>
    </x:row>
    <x:row r="29" ht="47" customHeight="1">
      <x:c r="A29" s="4" t="str">
        <x:v>TC-025</x:v>
      </x:c>
      <x:c r="B29" s="4" t="str">
        <x:v>URJC-18</x:v>
      </x:c>
      <x:c r="C29" s="4" t="str">
        <x:v>ASIGNATURA</x:v>
      </x:c>
      <x:c r="D29" s="4" t="str">
        <x:v>CYO-12</x:v>
      </x:c>
      <x:c r="E29" s="4" t="str">
        <x:v>Procesador; representación; ensamblador; camino de datos y control.</x:v>
      </x:c>
      <x:c r="F29" s="4" t="str">
        <x:v>Relacionar ejecución de instrucciones con estructura del computador.</x:v>
      </x:c>
      <x:c r="G29" s="4" t="str">
        <x:v>Sin esta base puede faltar capacidad para comprender o justificar el juicio exigido por CYO-12.</x:v>
      </x:c>
      <x:c r="H29" s="4" t="str">
        <x:v>R018</x:v>
      </x:c>
      <x:c r="I29" s="4" t="str">
        <x:v>II; III (códigos); IV; actividad académica según guía</x:v>
      </x:c>
      <x:c r="J29" s="4" t="str">
        <x:v>ANCLA EDUCATIVA; ENLACE PROPUESTO</x:v>
      </x:c>
      <x:c r="K29" s="12" t="n">
        <x:f>IF(OR(D29="TRANSVERSAL",D29="RESERVA",COUNTIF('26_Mapa_universos'!$A$5:$A$33,D29)=1),0,1)</x:f>
        <x:v>0</x:v>
      </x:c>
      <x:c r="L29" s="12" t="n">
        <x:f>IF(COUNTIF('21_Fuentes_educativas'!$A$5:$A$188,H29)+COUNTIF('01_Fuentes'!$A$5:$A$40,H29)=1,0,1)</x:f>
        <x:v>0</x:v>
      </x:c>
    </x:row>
    <x:row r="30" ht="47" customHeight="1">
      <x:c r="A30" s="4" t="str">
        <x:v>TC-026</x:v>
      </x:c>
      <x:c r="B30" s="4" t="str">
        <x:v>URJC-19</x:v>
      </x:c>
      <x:c r="C30" s="4" t="str">
        <x:v>ASIGNATURA</x:v>
      </x:c>
      <x:c r="D30" s="4" t="str">
        <x:v>CYO-02</x:v>
      </x:c>
      <x:c r="E30" s="4" t="str">
        <x:v>Protección perimetral; segmentación; detección; VPN; redes inalámbricas.</x:v>
      </x:c>
      <x:c r="F30" s="4" t="str">
        <x:v>Configurar y analizar mecanismos de protección de redes.</x:v>
      </x:c>
      <x:c r="G30" s="4" t="str">
        <x:v>Sin esta base puede faltar capacidad para comprender o justificar el juicio exigido por CYO-02.</x:v>
      </x:c>
      <x:c r="H30" s="4" t="str">
        <x:v>R019</x:v>
      </x:c>
      <x:c r="I30" s="4" t="str">
        <x:v>II; III (códigos); IV; actividad académica según guía</x:v>
      </x:c>
      <x:c r="J30" s="4" t="str">
        <x:v>ANCLA EDUCATIVA; ENLACE PROPUESTO</x:v>
      </x:c>
      <x:c r="K30" s="12" t="n">
        <x:f>IF(OR(D30="TRANSVERSAL",D30="RESERVA",COUNTIF('26_Mapa_universos'!$A$5:$A$33,D30)=1),0,1)</x:f>
        <x:v>0</x:v>
      </x:c>
      <x:c r="L30" s="12" t="n">
        <x:f>IF(COUNTIF('21_Fuentes_educativas'!$A$5:$A$188,H30)+COUNTIF('01_Fuentes'!$A$5:$A$40,H30)=1,0,1)</x:f>
        <x:v>0</x:v>
      </x:c>
    </x:row>
    <x:row r="31" ht="47" customHeight="1">
      <x:c r="A31" s="4" t="str">
        <x:v>TC-027</x:v>
      </x:c>
      <x:c r="B31" s="4" t="str">
        <x:v>URJC-19</x:v>
      </x:c>
      <x:c r="C31" s="4" t="str">
        <x:v>ASIGNATURA</x:v>
      </x:c>
      <x:c r="D31" s="4" t="str">
        <x:v>CYO-03</x:v>
      </x:c>
      <x:c r="E31" s="4" t="str">
        <x:v>Protección perimetral; segmentación; detección; VPN; redes inalámbricas.</x:v>
      </x:c>
      <x:c r="F31" s="4" t="str">
        <x:v>Configurar y analizar mecanismos de protección de redes.</x:v>
      </x:c>
      <x:c r="G31" s="4" t="str">
        <x:v>Sin esta base puede faltar capacidad para comprender o justificar el juicio exigido por CYO-03.</x:v>
      </x:c>
      <x:c r="H31" s="4" t="str">
        <x:v>R019</x:v>
      </x:c>
      <x:c r="I31" s="4" t="str">
        <x:v>II; III (códigos); IV; actividad académica según guía</x:v>
      </x:c>
      <x:c r="J31" s="4" t="str">
        <x:v>ANCLA EDUCATIVA; ENLACE PROPUESTO</x:v>
      </x:c>
      <x:c r="K31" s="12" t="n">
        <x:f>IF(OR(D31="TRANSVERSAL",D31="RESERVA",COUNTIF('26_Mapa_universos'!$A$5:$A$33,D31)=1),0,1)</x:f>
        <x:v>0</x:v>
      </x:c>
      <x:c r="L31" s="12" t="n">
        <x:f>IF(COUNTIF('21_Fuentes_educativas'!$A$5:$A$188,H31)+COUNTIF('01_Fuentes'!$A$5:$A$40,H31)=1,0,1)</x:f>
        <x:v>0</x:v>
      </x:c>
    </x:row>
    <x:row r="32" ht="47" customHeight="1">
      <x:c r="A32" s="4" t="str">
        <x:v>TC-028</x:v>
      </x:c>
      <x:c r="B32" s="4" t="str">
        <x:v>URJC-19</x:v>
      </x:c>
      <x:c r="C32" s="4" t="str">
        <x:v>ASIGNATURA</x:v>
      </x:c>
      <x:c r="D32" s="4" t="str">
        <x:v>CYO-12</x:v>
      </x:c>
      <x:c r="E32" s="4" t="str">
        <x:v>Protección perimetral; segmentación; detección; VPN; redes inalámbricas.</x:v>
      </x:c>
      <x:c r="F32" s="4" t="str">
        <x:v>Configurar y analizar mecanismos de protección de redes.</x:v>
      </x:c>
      <x:c r="G32" s="4" t="str">
        <x:v>Sin esta base puede faltar capacidad para comprender o justificar el juicio exigido por CYO-12.</x:v>
      </x:c>
      <x:c r="H32" s="4" t="str">
        <x:v>R019</x:v>
      </x:c>
      <x:c r="I32" s="4" t="str">
        <x:v>II; III (códigos); IV; actividad académica según guía</x:v>
      </x:c>
      <x:c r="J32" s="4" t="str">
        <x:v>ANCLA EDUCATIVA; ENLACE PROPUESTO</x:v>
      </x:c>
      <x:c r="K32" s="12" t="n">
        <x:f>IF(OR(D32="TRANSVERSAL",D32="RESERVA",COUNTIF('26_Mapa_universos'!$A$5:$A$33,D32)=1),0,1)</x:f>
        <x:v>0</x:v>
      </x:c>
      <x:c r="L32" s="12" t="n">
        <x:f>IF(COUNTIF('21_Fuentes_educativas'!$A$5:$A$188,H32)+COUNTIF('01_Fuentes'!$A$5:$A$40,H32)=1,0,1)</x:f>
        <x:v>0</x:v>
      </x:c>
    </x:row>
    <x:row r="33" ht="47" customHeight="1">
      <x:c r="A33" s="4" t="str">
        <x:v>TC-029</x:v>
      </x:c>
      <x:c r="B33" s="4" t="str">
        <x:v>URJC-19</x:v>
      </x:c>
      <x:c r="C33" s="4" t="str">
        <x:v>ASIGNATURA</x:v>
      </x:c>
      <x:c r="D33" s="4" t="str">
        <x:v>CYO-27</x:v>
      </x:c>
      <x:c r="E33" s="4" t="str">
        <x:v>Protección perimetral; segmentación; detección; VPN; redes inalámbricas.</x:v>
      </x:c>
      <x:c r="F33" s="4" t="str">
        <x:v>Configurar y analizar mecanismos de protección de redes.</x:v>
      </x:c>
      <x:c r="G33" s="4" t="str">
        <x:v>Sin esta base puede faltar capacidad para comprender o justificar el juicio exigido por CYO-27.</x:v>
      </x:c>
      <x:c r="H33" s="4" t="str">
        <x:v>R019</x:v>
      </x:c>
      <x:c r="I33" s="4" t="str">
        <x:v>II; III (códigos); IV; actividad académica según guía</x:v>
      </x:c>
      <x:c r="J33" s="4" t="str">
        <x:v>ANCLA EDUCATIVA; ENLACE PROPUESTO</x:v>
      </x:c>
      <x:c r="K33" s="12" t="n">
        <x:f>IF(OR(D33="TRANSVERSAL",D33="RESERVA",COUNTIF('26_Mapa_universos'!$A$5:$A$33,D33)=1),0,1)</x:f>
        <x:v>0</x:v>
      </x:c>
      <x:c r="L33" s="12" t="n">
        <x:f>IF(COUNTIF('21_Fuentes_educativas'!$A$5:$A$188,H33)+COUNTIF('01_Fuentes'!$A$5:$A$40,H33)=1,0,1)</x:f>
        <x:v>0</x:v>
      </x:c>
    </x:row>
    <x:row r="34" ht="47" customHeight="1">
      <x:c r="A34" s="4" t="str">
        <x:v>TC-030</x:v>
      </x:c>
      <x:c r="B34" s="4" t="str">
        <x:v>URJC-20</x:v>
      </x:c>
      <x:c r="C34" s="4" t="str">
        <x:v>ASIGNATURA</x:v>
      </x:c>
      <x:c r="D34" s="4" t="str">
        <x:v>TRANSVERSAL</x:v>
      </x:c>
      <x:c r="E34" s="4" t="str">
        <x:v>Competencia en idioma moderno.</x:v>
      </x:c>
      <x:c r="F34" s="4" t="str">
        <x:v>Comprender y comunicar información en otra lengua.</x:v>
      </x:c>
      <x:c r="G34" s="4" t="str">
        <x:v>Formación transversal identificada; no se adjudica una capacidad técnica específica ni un nuevo universo.</x:v>
      </x:c>
      <x:c r="H34" s="4" t="str">
        <x:v>R020</x:v>
      </x:c>
      <x:c r="I34" s="4" t="str">
        <x:v>II; III (códigos); IV; actividad académica según guía</x:v>
      </x:c>
      <x:c r="J34" s="4" t="str">
        <x:v>ANCLA EDUCATIVA; ENLACE PROPUESTO</x:v>
      </x:c>
      <x:c r="K34" s="12" t="n">
        <x:f>IF(OR(D34="TRANSVERSAL",D34="RESERVA",COUNTIF('26_Mapa_universos'!$A$5:$A$33,D34)=1),0,1)</x:f>
        <x:v>0</x:v>
      </x:c>
      <x:c r="L34" s="12" t="n">
        <x:f>IF(COUNTIF('21_Fuentes_educativas'!$A$5:$A$188,H34)+COUNTIF('01_Fuentes'!$A$5:$A$40,H34)=1,0,1)</x:f>
        <x:v>0</x:v>
      </x:c>
    </x:row>
    <x:row r="35" ht="47" customHeight="1">
      <x:c r="A35" s="4" t="str">
        <x:v>TC-031</x:v>
      </x:c>
      <x:c r="B35" s="4" t="str">
        <x:v>URJC-21</x:v>
      </x:c>
      <x:c r="C35" s="4" t="str">
        <x:v>ASIGNATURA</x:v>
      </x:c>
      <x:c r="D35" s="4" t="str">
        <x:v>CYO-02</x:v>
      </x:c>
      <x:c r="E35" s="4" t="str">
        <x:v>Arquitectura del computador; memoria; rendimiento y organización.</x:v>
      </x:c>
      <x:c r="F35" s="4" t="str">
        <x:v>Analizar efectos de la arquitectura en la ejecución y prestaciones.</x:v>
      </x:c>
      <x:c r="G35" s="4" t="str">
        <x:v>Sin esta base puede faltar capacidad para comprender o justificar el juicio exigido por CYO-02.</x:v>
      </x:c>
      <x:c r="H35" s="4" t="str">
        <x:v>R021</x:v>
      </x:c>
      <x:c r="I35" s="4" t="str">
        <x:v>II; III (códigos); IV; actividad académica según guía</x:v>
      </x:c>
      <x:c r="J35" s="4" t="str">
        <x:v>ANCLA EDUCATIVA; ENLACE PROPUESTO</x:v>
      </x:c>
      <x:c r="K35" s="12" t="n">
        <x:f>IF(OR(D35="TRANSVERSAL",D35="RESERVA",COUNTIF('26_Mapa_universos'!$A$5:$A$33,D35)=1),0,1)</x:f>
        <x:v>0</x:v>
      </x:c>
      <x:c r="L35" s="12" t="n">
        <x:f>IF(COUNTIF('21_Fuentes_educativas'!$A$5:$A$188,H35)+COUNTIF('01_Fuentes'!$A$5:$A$40,H35)=1,0,1)</x:f>
        <x:v>0</x:v>
      </x:c>
    </x:row>
    <x:row r="36" ht="47" customHeight="1">
      <x:c r="A36" s="4" t="str">
        <x:v>TC-032</x:v>
      </x:c>
      <x:c r="B36" s="4" t="str">
        <x:v>URJC-21</x:v>
      </x:c>
      <x:c r="C36" s="4" t="str">
        <x:v>ASIGNATURA</x:v>
      </x:c>
      <x:c r="D36" s="4" t="str">
        <x:v>CYO-12</x:v>
      </x:c>
      <x:c r="E36" s="4" t="str">
        <x:v>Arquitectura del computador; memoria; rendimiento y organización.</x:v>
      </x:c>
      <x:c r="F36" s="4" t="str">
        <x:v>Analizar efectos de la arquitectura en la ejecución y prestaciones.</x:v>
      </x:c>
      <x:c r="G36" s="4" t="str">
        <x:v>Sin esta base puede faltar capacidad para comprender o justificar el juicio exigido por CYO-12.</x:v>
      </x:c>
      <x:c r="H36" s="4" t="str">
        <x:v>R021</x:v>
      </x:c>
      <x:c r="I36" s="4" t="str">
        <x:v>II; III (códigos); IV; actividad académica según guía</x:v>
      </x:c>
      <x:c r="J36" s="4" t="str">
        <x:v>ANCLA EDUCATIVA; ENLACE PROPUESTO</x:v>
      </x:c>
      <x:c r="K36" s="12" t="n">
        <x:f>IF(OR(D36="TRANSVERSAL",D36="RESERVA",COUNTIF('26_Mapa_universos'!$A$5:$A$33,D36)=1),0,1)</x:f>
        <x:v>0</x:v>
      </x:c>
      <x:c r="L36" s="12" t="n">
        <x:f>IF(COUNTIF('21_Fuentes_educativas'!$A$5:$A$188,H36)+COUNTIF('01_Fuentes'!$A$5:$A$40,H36)=1,0,1)</x:f>
        <x:v>0</x:v>
      </x:c>
    </x:row>
    <x:row r="37" ht="47" customHeight="1">
      <x:c r="A37" s="4" t="str">
        <x:v>TC-033</x:v>
      </x:c>
      <x:c r="B37" s="4" t="str">
        <x:v>URJC-22</x:v>
      </x:c>
      <x:c r="C37" s="4" t="str">
        <x:v>ASIGNATURA</x:v>
      </x:c>
      <x:c r="D37" s="4" t="str">
        <x:v>CYO-05</x:v>
      </x:c>
      <x:c r="E37" s="4" t="str">
        <x:v>Complejidad; diseño y análisis de algoritmos.</x:v>
      </x:c>
      <x:c r="F37" s="4" t="str">
        <x:v>Justificar corrección, recursos y adecuación de algoritmos.</x:v>
      </x:c>
      <x:c r="G37" s="4" t="str">
        <x:v>Sin esta base puede faltar capacidad para comprender o justificar el juicio exigido por CYO-05.</x:v>
      </x:c>
      <x:c r="H37" s="4" t="str">
        <x:v>R022</x:v>
      </x:c>
      <x:c r="I37" s="4" t="str">
        <x:v>II; III (códigos); IV; actividad académica según guía</x:v>
      </x:c>
      <x:c r="J37" s="4" t="str">
        <x:v>ANCLA EDUCATIVA; ENLACE PROPUESTO</x:v>
      </x:c>
      <x:c r="K37" s="12" t="n">
        <x:f>IF(OR(D37="TRANSVERSAL",D37="RESERVA",COUNTIF('26_Mapa_universos'!$A$5:$A$33,D37)=1),0,1)</x:f>
        <x:v>0</x:v>
      </x:c>
      <x:c r="L37" s="12" t="n">
        <x:f>IF(COUNTIF('21_Fuentes_educativas'!$A$5:$A$188,H37)+COUNTIF('01_Fuentes'!$A$5:$A$40,H37)=1,0,1)</x:f>
        <x:v>0</x:v>
      </x:c>
    </x:row>
    <x:row r="38" ht="47" customHeight="1">
      <x:c r="A38" s="4" t="str">
        <x:v>TC-034</x:v>
      </x:c>
      <x:c r="B38" s="4" t="str">
        <x:v>URJC-22</x:v>
      </x:c>
      <x:c r="C38" s="4" t="str">
        <x:v>ASIGNATURA</x:v>
      </x:c>
      <x:c r="D38" s="4" t="str">
        <x:v>CYO-23</x:v>
      </x:c>
      <x:c r="E38" s="4" t="str">
        <x:v>Complejidad; diseño y análisis de algoritmos.</x:v>
      </x:c>
      <x:c r="F38" s="4" t="str">
        <x:v>Justificar corrección, recursos y adecuación de algoritmos.</x:v>
      </x:c>
      <x:c r="G38" s="4" t="str">
        <x:v>Sin esta base puede faltar capacidad para comprender o justificar el juicio exigido por CYO-23.</x:v>
      </x:c>
      <x:c r="H38" s="4" t="str">
        <x:v>R022</x:v>
      </x:c>
      <x:c r="I38" s="4" t="str">
        <x:v>II; III (códigos); IV; actividad académica según guía</x:v>
      </x:c>
      <x:c r="J38" s="4" t="str">
        <x:v>ANCLA EDUCATIVA; ENLACE PROPUESTO</x:v>
      </x:c>
      <x:c r="K38" s="12" t="n">
        <x:f>IF(OR(D38="TRANSVERSAL",D38="RESERVA",COUNTIF('26_Mapa_universos'!$A$5:$A$33,D38)=1),0,1)</x:f>
        <x:v>0</x:v>
      </x:c>
      <x:c r="L38" s="12" t="n">
        <x:f>IF(COUNTIF('21_Fuentes_educativas'!$A$5:$A$188,H38)+COUNTIF('01_Fuentes'!$A$5:$A$40,H38)=1,0,1)</x:f>
        <x:v>0</x:v>
      </x:c>
    </x:row>
    <x:row r="39" ht="47" customHeight="1">
      <x:c r="A39" s="4" t="str">
        <x:v>TC-035</x:v>
      </x:c>
      <x:c r="B39" s="4" t="str">
        <x:v>URJC-23</x:v>
      </x:c>
      <x:c r="C39" s="4" t="str">
        <x:v>ASIGNATURA</x:v>
      </x:c>
      <x:c r="D39" s="4" t="str">
        <x:v>CYO-05</x:v>
      </x:c>
      <x:c r="E39" s="4" t="str">
        <x:v>Procesos; ciclos de vida; metodologías y planificación de software en ciberseguridad.</x:v>
      </x:c>
      <x:c r="F39" s="4" t="str">
        <x:v>Organizar la resolución de problemas y proyectos de software en grupo.</x:v>
      </x:c>
      <x:c r="G39" s="4" t="str">
        <x:v>Sin esta base puede faltar capacidad para comprender o justificar el juicio exigido por CYO-05.</x:v>
      </x:c>
      <x:c r="H39" s="4" t="str">
        <x:v>R023</x:v>
      </x:c>
      <x:c r="I39" s="4" t="str">
        <x:v>II; III (códigos); IV; actividad académica según guía</x:v>
      </x:c>
      <x:c r="J39" s="4" t="str">
        <x:v>ANCLA EDUCATIVA; ENLACE PROPUESTO</x:v>
      </x:c>
      <x:c r="K39" s="12" t="n">
        <x:f>IF(OR(D39="TRANSVERSAL",D39="RESERVA",COUNTIF('26_Mapa_universos'!$A$5:$A$33,D39)=1),0,1)</x:f>
        <x:v>0</x:v>
      </x:c>
      <x:c r="L39" s="12" t="n">
        <x:f>IF(COUNTIF('21_Fuentes_educativas'!$A$5:$A$188,H39)+COUNTIF('01_Fuentes'!$A$5:$A$40,H39)=1,0,1)</x:f>
        <x:v>0</x:v>
      </x:c>
    </x:row>
    <x:row r="40" ht="47" customHeight="1">
      <x:c r="A40" s="4" t="str">
        <x:v>TC-036</x:v>
      </x:c>
      <x:c r="B40" s="4" t="str">
        <x:v>URJC-23</x:v>
      </x:c>
      <x:c r="C40" s="4" t="str">
        <x:v>ASIGNATURA</x:v>
      </x:c>
      <x:c r="D40" s="4" t="str">
        <x:v>CYO-18</x:v>
      </x:c>
      <x:c r="E40" s="4" t="str">
        <x:v>Procesos; ciclos de vida; metodologías y planificación de software en ciberseguridad.</x:v>
      </x:c>
      <x:c r="F40" s="4" t="str">
        <x:v>Organizar la resolución de problemas y proyectos de software en grupo.</x:v>
      </x:c>
      <x:c r="G40" s="4" t="str">
        <x:v>Sin esta base puede faltar capacidad para comprender o justificar el juicio exigido por CYO-18.</x:v>
      </x:c>
      <x:c r="H40" s="4" t="str">
        <x:v>R023</x:v>
      </x:c>
      <x:c r="I40" s="4" t="str">
        <x:v>II; III (códigos); IV; actividad académica según guía</x:v>
      </x:c>
      <x:c r="J40" s="4" t="str">
        <x:v>ANCLA EDUCATIVA; ENLACE PROPUESTO</x:v>
      </x:c>
      <x:c r="K40" s="12" t="n">
        <x:f>IF(OR(D40="TRANSVERSAL",D40="RESERVA",COUNTIF('26_Mapa_universos'!$A$5:$A$33,D40)=1),0,1)</x:f>
        <x:v>0</x:v>
      </x:c>
      <x:c r="L40" s="12" t="n">
        <x:f>IF(COUNTIF('21_Fuentes_educativas'!$A$5:$A$188,H40)+COUNTIF('01_Fuentes'!$A$5:$A$40,H40)=1,0,1)</x:f>
        <x:v>0</x:v>
      </x:c>
    </x:row>
    <x:row r="41" ht="47" customHeight="1">
      <x:c r="A41" s="4" t="str">
        <x:v>TC-037</x:v>
      </x:c>
      <x:c r="B41" s="4" t="str">
        <x:v>URJC-24</x:v>
      </x:c>
      <x:c r="C41" s="4" t="str">
        <x:v>ASIGNATURA</x:v>
      </x:c>
      <x:c r="D41" s="4" t="str">
        <x:v>CYO-03</x:v>
      </x:c>
      <x:c r="E41" s="4" t="str">
        <x:v>Protección en SGBD; acceso; confidencialidad; recuperación; auditoría.</x:v>
      </x:c>
      <x:c r="F41" s="4" t="str">
        <x:v>Administrar controles y evaluar la protección de bases de datos.</x:v>
      </x:c>
      <x:c r="G41" s="4" t="str">
        <x:v>Sin esta base puede faltar capacidad para comprender o justificar el juicio exigido por CYO-03.</x:v>
      </x:c>
      <x:c r="H41" s="4" t="str">
        <x:v>R024</x:v>
      </x:c>
      <x:c r="I41" s="4" t="str">
        <x:v>II; III (códigos); IV; actividad académica según guía</x:v>
      </x:c>
      <x:c r="J41" s="4" t="str">
        <x:v>ANCLA EDUCATIVA; ENLACE PROPUESTO</x:v>
      </x:c>
      <x:c r="K41" s="12" t="n">
        <x:f>IF(OR(D41="TRANSVERSAL",D41="RESERVA",COUNTIF('26_Mapa_universos'!$A$5:$A$33,D41)=1),0,1)</x:f>
        <x:v>0</x:v>
      </x:c>
      <x:c r="L41" s="12" t="n">
        <x:f>IF(COUNTIF('21_Fuentes_educativas'!$A$5:$A$188,H41)+COUNTIF('01_Fuentes'!$A$5:$A$40,H41)=1,0,1)</x:f>
        <x:v>0</x:v>
      </x:c>
    </x:row>
    <x:row r="42" ht="47" customHeight="1">
      <x:c r="A42" s="4" t="str">
        <x:v>TC-038</x:v>
      </x:c>
      <x:c r="B42" s="4" t="str">
        <x:v>URJC-24</x:v>
      </x:c>
      <x:c r="C42" s="4" t="str">
        <x:v>ASIGNATURA</x:v>
      </x:c>
      <x:c r="D42" s="4" t="str">
        <x:v>CYO-13</x:v>
      </x:c>
      <x:c r="E42" s="4" t="str">
        <x:v>Protección en SGBD; acceso; confidencialidad; recuperación; auditoría.</x:v>
      </x:c>
      <x:c r="F42" s="4" t="str">
        <x:v>Administrar controles y evaluar la protección de bases de datos.</x:v>
      </x:c>
      <x:c r="G42" s="4" t="str">
        <x:v>Sin esta base puede faltar capacidad para comprender o justificar el juicio exigido por CYO-13.</x:v>
      </x:c>
      <x:c r="H42" s="4" t="str">
        <x:v>R024</x:v>
      </x:c>
      <x:c r="I42" s="4" t="str">
        <x:v>II; III (códigos); IV; actividad académica según guía</x:v>
      </x:c>
      <x:c r="J42" s="4" t="str">
        <x:v>ANCLA EDUCATIVA; ENLACE PROPUESTO</x:v>
      </x:c>
      <x:c r="K42" s="12" t="n">
        <x:f>IF(OR(D42="TRANSVERSAL",D42="RESERVA",COUNTIF('26_Mapa_universos'!$A$5:$A$33,D42)=1),0,1)</x:f>
        <x:v>0</x:v>
      </x:c>
      <x:c r="L42" s="12" t="n">
        <x:f>IF(COUNTIF('21_Fuentes_educativas'!$A$5:$A$188,H42)+COUNTIF('01_Fuentes'!$A$5:$A$40,H42)=1,0,1)</x:f>
        <x:v>0</x:v>
      </x:c>
    </x:row>
    <x:row r="43" ht="47" customHeight="1">
      <x:c r="A43" s="4" t="str">
        <x:v>TC-039</x:v>
      </x:c>
      <x:c r="B43" s="4" t="str">
        <x:v>URJC-24</x:v>
      </x:c>
      <x:c r="C43" s="4" t="str">
        <x:v>ASIGNATURA</x:v>
      </x:c>
      <x:c r="D43" s="4" t="str">
        <x:v>CYO-17</x:v>
      </x:c>
      <x:c r="E43" s="4" t="str">
        <x:v>Protección en SGBD; acceso; confidencialidad; recuperación; auditoría.</x:v>
      </x:c>
      <x:c r="F43" s="4" t="str">
        <x:v>Administrar controles y evaluar la protección de bases de datos.</x:v>
      </x:c>
      <x:c r="G43" s="4" t="str">
        <x:v>Sin esta base puede faltar capacidad para comprender o justificar el juicio exigido por CYO-17.</x:v>
      </x:c>
      <x:c r="H43" s="4" t="str">
        <x:v>R024</x:v>
      </x:c>
      <x:c r="I43" s="4" t="str">
        <x:v>II; III (códigos); IV; actividad académica según guía</x:v>
      </x:c>
      <x:c r="J43" s="4" t="str">
        <x:v>ANCLA EDUCATIVA; ENLACE PROPUESTO</x:v>
      </x:c>
      <x:c r="K43" s="12" t="n">
        <x:f>IF(OR(D43="TRANSVERSAL",D43="RESERVA",COUNTIF('26_Mapa_universos'!$A$5:$A$33,D43)=1),0,1)</x:f>
        <x:v>0</x:v>
      </x:c>
      <x:c r="L43" s="12" t="n">
        <x:f>IF(COUNTIF('21_Fuentes_educativas'!$A$5:$A$188,H43)+COUNTIF('01_Fuentes'!$A$5:$A$40,H43)=1,0,1)</x:f>
        <x:v>0</x:v>
      </x:c>
    </x:row>
    <x:row r="44" ht="47" customHeight="1">
      <x:c r="A44" s="4" t="str">
        <x:v>TC-040</x:v>
      </x:c>
      <x:c r="B44" s="4" t="str">
        <x:v>URJC-25</x:v>
      </x:c>
      <x:c r="C44" s="4" t="str">
        <x:v>ASIGNATURA</x:v>
      </x:c>
      <x:c r="D44" s="4" t="str">
        <x:v>CYO-12</x:v>
      </x:c>
      <x:c r="E44" s="4" t="str">
        <x:v>Procesos; memoria; ficheros; concurrencia; administración.</x:v>
      </x:c>
      <x:c r="F44" s="4" t="str">
        <x:v>Comprender y utilizar mecanismos del sistema operativo.</x:v>
      </x:c>
      <x:c r="G44" s="4" t="str">
        <x:v>Sin esta base puede faltar capacidad para comprender o justificar el juicio exigido por CYO-12.</x:v>
      </x:c>
      <x:c r="H44" s="4" t="str">
        <x:v>R025</x:v>
      </x:c>
      <x:c r="I44" s="4" t="str">
        <x:v>II; III (códigos); IV; actividad académica según guía</x:v>
      </x:c>
      <x:c r="J44" s="4" t="str">
        <x:v>ANCLA EDUCATIVA; ENLACE PROPUESTO</x:v>
      </x:c>
      <x:c r="K44" s="12" t="n">
        <x:f>IF(OR(D44="TRANSVERSAL",D44="RESERVA",COUNTIF('26_Mapa_universos'!$A$5:$A$33,D44)=1),0,1)</x:f>
        <x:v>0</x:v>
      </x:c>
      <x:c r="L44" s="12" t="n">
        <x:f>IF(COUNTIF('21_Fuentes_educativas'!$A$5:$A$188,H44)+COUNTIF('01_Fuentes'!$A$5:$A$40,H44)=1,0,1)</x:f>
        <x:v>0</x:v>
      </x:c>
    </x:row>
    <x:row r="45" ht="47" customHeight="1">
      <x:c r="A45" s="4" t="str">
        <x:v>TC-041</x:v>
      </x:c>
      <x:c r="B45" s="4" t="str">
        <x:v>URJC-25</x:v>
      </x:c>
      <x:c r="C45" s="4" t="str">
        <x:v>ASIGNATURA</x:v>
      </x:c>
      <x:c r="D45" s="4" t="str">
        <x:v>CYO-27</x:v>
      </x:c>
      <x:c r="E45" s="4" t="str">
        <x:v>Procesos; memoria; ficheros; concurrencia; administración.</x:v>
      </x:c>
      <x:c r="F45" s="4" t="str">
        <x:v>Comprender y utilizar mecanismos del sistema operativo.</x:v>
      </x:c>
      <x:c r="G45" s="4" t="str">
        <x:v>Sin esta base puede faltar capacidad para comprender o justificar el juicio exigido por CYO-27.</x:v>
      </x:c>
      <x:c r="H45" s="4" t="str">
        <x:v>R025</x:v>
      </x:c>
      <x:c r="I45" s="4" t="str">
        <x:v>II; III (códigos); IV; actividad académica según guía</x:v>
      </x:c>
      <x:c r="J45" s="4" t="str">
        <x:v>ANCLA EDUCATIVA; ENLACE PROPUESTO</x:v>
      </x:c>
      <x:c r="K45" s="12" t="n">
        <x:f>IF(OR(D45="TRANSVERSAL",D45="RESERVA",COUNTIF('26_Mapa_universos'!$A$5:$A$33,D45)=1),0,1)</x:f>
        <x:v>0</x:v>
      </x:c>
      <x:c r="L45" s="12" t="n">
        <x:f>IF(COUNTIF('21_Fuentes_educativas'!$A$5:$A$188,H45)+COUNTIF('01_Fuentes'!$A$5:$A$40,H45)=1,0,1)</x:f>
        <x:v>0</x:v>
      </x:c>
    </x:row>
    <x:row r="46" ht="47" customHeight="1">
      <x:c r="A46" s="4" t="str">
        <x:v>TC-042</x:v>
      </x:c>
      <x:c r="B46" s="4" t="str">
        <x:v>URJC-26</x:v>
      </x:c>
      <x:c r="C46" s="4" t="str">
        <x:v>ASIGNATURA</x:v>
      </x:c>
      <x:c r="D46" s="4" t="str">
        <x:v>CYO-15</x:v>
      </x:c>
      <x:c r="E46" s="4" t="str">
        <x:v>Agentes; búsqueda multiagente; redes bayesianas; decisión; aprendizaje probabilístico, inductivo y por refuerzo.</x:v>
      </x:c>
      <x:c r="F46" s="4" t="str">
        <x:v>Resolver problemas, consultar modelos y desarrollar soluciones basadas en datos.</x:v>
      </x:c>
      <x:c r="G46" s="4" t="str">
        <x:v>Sin esta base puede faltar capacidad para comprender o justificar el juicio exigido por CYO-15.</x:v>
      </x:c>
      <x:c r="H46" s="4" t="str">
        <x:v>R026</x:v>
      </x:c>
      <x:c r="I46" s="4" t="str">
        <x:v>II; III (códigos); IV; actividad académica según guía</x:v>
      </x:c>
      <x:c r="J46" s="4" t="str">
        <x:v>ANCLA EDUCATIVA; ENLACE PROPUESTO</x:v>
      </x:c>
      <x:c r="K46" s="12" t="n">
        <x:f>IF(OR(D46="TRANSVERSAL",D46="RESERVA",COUNTIF('26_Mapa_universos'!$A$5:$A$33,D46)=1),0,1)</x:f>
        <x:v>0</x:v>
      </x:c>
      <x:c r="L46" s="12" t="n">
        <x:f>IF(COUNTIF('21_Fuentes_educativas'!$A$5:$A$188,H46)+COUNTIF('01_Fuentes'!$A$5:$A$40,H46)=1,0,1)</x:f>
        <x:v>0</x:v>
      </x:c>
    </x:row>
    <x:row r="47" ht="47" customHeight="1">
      <x:c r="A47" s="4" t="str">
        <x:v>TC-043</x:v>
      </x:c>
      <x:c r="B47" s="4" t="str">
        <x:v>URJC-26</x:v>
      </x:c>
      <x:c r="C47" s="4" t="str">
        <x:v>ASIGNATURA</x:v>
      </x:c>
      <x:c r="D47" s="4" t="str">
        <x:v>CYO-23</x:v>
      </x:c>
      <x:c r="E47" s="4" t="str">
        <x:v>Agentes; búsqueda multiagente; redes bayesianas; decisión; aprendizaje probabilístico, inductivo y por refuerzo.</x:v>
      </x:c>
      <x:c r="F47" s="4" t="str">
        <x:v>Resolver problemas, consultar modelos y desarrollar soluciones basadas en datos.</x:v>
      </x:c>
      <x:c r="G47" s="4" t="str">
        <x:v>Sin esta base puede faltar capacidad para comprender o justificar el juicio exigido por CYO-23.</x:v>
      </x:c>
      <x:c r="H47" s="4" t="str">
        <x:v>R026</x:v>
      </x:c>
      <x:c r="I47" s="4" t="str">
        <x:v>II; III (códigos); IV; actividad académica según guía</x:v>
      </x:c>
      <x:c r="J47" s="4" t="str">
        <x:v>ANCLA EDUCATIVA; ENLACE PROPUESTO</x:v>
      </x:c>
      <x:c r="K47" s="12" t="n">
        <x:f>IF(OR(D47="TRANSVERSAL",D47="RESERVA",COUNTIF('26_Mapa_universos'!$A$5:$A$33,D47)=1),0,1)</x:f>
        <x:v>0</x:v>
      </x:c>
      <x:c r="L47" s="12" t="n">
        <x:f>IF(COUNTIF('21_Fuentes_educativas'!$A$5:$A$188,H47)+COUNTIF('01_Fuentes'!$A$5:$A$40,H47)=1,0,1)</x:f>
        <x:v>0</x:v>
      </x:c>
    </x:row>
    <x:row r="48" ht="47" customHeight="1">
      <x:c r="A48" s="4" t="str">
        <x:v>TC-044</x:v>
      </x:c>
      <x:c r="B48" s="4" t="str">
        <x:v>URJC-27</x:v>
      </x:c>
      <x:c r="C48" s="4" t="str">
        <x:v>ASIGNATURA</x:v>
      </x:c>
      <x:c r="D48" s="4" t="str">
        <x:v>CYO-04</x:v>
      </x:c>
      <x:c r="E48" s="4" t="str">
        <x:v>Taxonomía de malware; propagación; análisis; amenazas dirigidas.</x:v>
      </x:c>
      <x:c r="F48" s="4" t="str">
        <x:v>Analizar muestras y razonar sobre mecanismos de protección.</x:v>
      </x:c>
      <x:c r="G48" s="4" t="str">
        <x:v>Sin esta base puede faltar capacidad para comprender o justificar el juicio exigido por CYO-04.</x:v>
      </x:c>
      <x:c r="H48" s="4" t="str">
        <x:v>R027</x:v>
      </x:c>
      <x:c r="I48" s="4" t="str">
        <x:v>II; III (códigos); IV; actividad académica según guía</x:v>
      </x:c>
      <x:c r="J48" s="4" t="str">
        <x:v>ANCLA EDUCATIVA; ENLACE PROPUESTO</x:v>
      </x:c>
      <x:c r="K48" s="12" t="n">
        <x:f>IF(OR(D48="TRANSVERSAL",D48="RESERVA",COUNTIF('26_Mapa_universos'!$A$5:$A$33,D48)=1),0,1)</x:f>
        <x:v>0</x:v>
      </x:c>
      <x:c r="L48" s="12" t="n">
        <x:f>IF(COUNTIF('21_Fuentes_educativas'!$A$5:$A$188,H48)+COUNTIF('01_Fuentes'!$A$5:$A$40,H48)=1,0,1)</x:f>
        <x:v>0</x:v>
      </x:c>
    </x:row>
    <x:row r="49" ht="47" customHeight="1">
      <x:c r="A49" s="4" t="str">
        <x:v>TC-045</x:v>
      </x:c>
      <x:c r="B49" s="4" t="str">
        <x:v>URJC-27</x:v>
      </x:c>
      <x:c r="C49" s="4" t="str">
        <x:v>ASIGNATURA</x:v>
      </x:c>
      <x:c r="D49" s="4" t="str">
        <x:v>CYO-08</x:v>
      </x:c>
      <x:c r="E49" s="4" t="str">
        <x:v>Taxonomía de malware; propagación; análisis; amenazas dirigidas.</x:v>
      </x:c>
      <x:c r="F49" s="4" t="str">
        <x:v>Analizar muestras y razonar sobre mecanismos de protección.</x:v>
      </x:c>
      <x:c r="G49" s="4" t="str">
        <x:v>Sin esta base puede faltar capacidad para comprender o justificar el juicio exigido por CYO-08.</x:v>
      </x:c>
      <x:c r="H49" s="4" t="str">
        <x:v>R027</x:v>
      </x:c>
      <x:c r="I49" s="4" t="str">
        <x:v>II; III (códigos); IV; actividad académica según guía</x:v>
      </x:c>
      <x:c r="J49" s="4" t="str">
        <x:v>ANCLA EDUCATIVA; ENLACE PROPUESTO</x:v>
      </x:c>
      <x:c r="K49" s="12" t="n">
        <x:f>IF(OR(D49="TRANSVERSAL",D49="RESERVA",COUNTIF('26_Mapa_universos'!$A$5:$A$33,D49)=1),0,1)</x:f>
        <x:v>0</x:v>
      </x:c>
      <x:c r="L49" s="12" t="n">
        <x:f>IF(COUNTIF('21_Fuentes_educativas'!$A$5:$A$188,H49)+COUNTIF('01_Fuentes'!$A$5:$A$40,H49)=1,0,1)</x:f>
        <x:v>0</x:v>
      </x:c>
    </x:row>
    <x:row r="50" ht="47" customHeight="1">
      <x:c r="A50" s="4" t="str">
        <x:v>TC-046</x:v>
      </x:c>
      <x:c r="B50" s="4" t="str">
        <x:v>URJC-27</x:v>
      </x:c>
      <x:c r="C50" s="4" t="str">
        <x:v>ASIGNATURA</x:v>
      </x:c>
      <x:c r="D50" s="4" t="str">
        <x:v>CYO-10</x:v>
      </x:c>
      <x:c r="E50" s="4" t="str">
        <x:v>Taxonomía de malware; propagación; análisis; amenazas dirigidas.</x:v>
      </x:c>
      <x:c r="F50" s="4" t="str">
        <x:v>Analizar muestras y razonar sobre mecanismos de protección.</x:v>
      </x:c>
      <x:c r="G50" s="4" t="str">
        <x:v>Sin esta base puede faltar capacidad para comprender o justificar el juicio exigido por CYO-10.</x:v>
      </x:c>
      <x:c r="H50" s="4" t="str">
        <x:v>R027</x:v>
      </x:c>
      <x:c r="I50" s="4" t="str">
        <x:v>II; III (códigos); IV; actividad académica según guía</x:v>
      </x:c>
      <x:c r="J50" s="4" t="str">
        <x:v>ANCLA EDUCATIVA; ENLACE PROPUESTO</x:v>
      </x:c>
      <x:c r="K50" s="12" t="n">
        <x:f>IF(OR(D50="TRANSVERSAL",D50="RESERVA",COUNTIF('26_Mapa_universos'!$A$5:$A$33,D50)=1),0,1)</x:f>
        <x:v>0</x:v>
      </x:c>
      <x:c r="L50" s="12" t="n">
        <x:f>IF(COUNTIF('21_Fuentes_educativas'!$A$5:$A$188,H50)+COUNTIF('01_Fuentes'!$A$5:$A$40,H50)=1,0,1)</x:f>
        <x:v>0</x:v>
      </x:c>
    </x:row>
    <x:row r="51" ht="47" customHeight="1">
      <x:c r="A51" s="4" t="str">
        <x:v>TC-047</x:v>
      </x:c>
      <x:c r="B51" s="4" t="str">
        <x:v>URJC-28</x:v>
      </x:c>
      <x:c r="C51" s="4" t="str">
        <x:v>ASIGNATURA</x:v>
      </x:c>
      <x:c r="D51" s="4" t="str">
        <x:v>CYO-04</x:v>
      </x:c>
      <x:c r="E51" s="4" t="str">
        <x:v>Desarrollo seguro; debilidades; análisis y verificación del software.</x:v>
      </x:c>
      <x:c r="F51" s="4" t="str">
        <x:v>Aplicar métodos de prevención y detección de defectos de seguridad.</x:v>
      </x:c>
      <x:c r="G51" s="4" t="str">
        <x:v>Sin esta base puede faltar capacidad para comprender o justificar el juicio exigido por CYO-04.</x:v>
      </x:c>
      <x:c r="H51" s="4" t="str">
        <x:v>R028</x:v>
      </x:c>
      <x:c r="I51" s="4" t="str">
        <x:v>II; III (códigos); IV; actividad académica según guía</x:v>
      </x:c>
      <x:c r="J51" s="4" t="str">
        <x:v>ANCLA EDUCATIVA; ENLACE PROPUESTO</x:v>
      </x:c>
      <x:c r="K51" s="12" t="n">
        <x:f>IF(OR(D51="TRANSVERSAL",D51="RESERVA",COUNTIF('26_Mapa_universos'!$A$5:$A$33,D51)=1),0,1)</x:f>
        <x:v>0</x:v>
      </x:c>
      <x:c r="L51" s="12" t="n">
        <x:f>IF(COUNTIF('21_Fuentes_educativas'!$A$5:$A$188,H51)+COUNTIF('01_Fuentes'!$A$5:$A$40,H51)=1,0,1)</x:f>
        <x:v>0</x:v>
      </x:c>
    </x:row>
    <x:row r="52" ht="47" customHeight="1">
      <x:c r="A52" s="4" t="str">
        <x:v>TC-048</x:v>
      </x:c>
      <x:c r="B52" s="4" t="str">
        <x:v>URJC-28</x:v>
      </x:c>
      <x:c r="C52" s="4" t="str">
        <x:v>ASIGNATURA</x:v>
      </x:c>
      <x:c r="D52" s="4" t="str">
        <x:v>CYO-05</x:v>
      </x:c>
      <x:c r="E52" s="4" t="str">
        <x:v>Desarrollo seguro; debilidades; análisis y verificación del software.</x:v>
      </x:c>
      <x:c r="F52" s="4" t="str">
        <x:v>Aplicar métodos de prevención y detección de defectos de seguridad.</x:v>
      </x:c>
      <x:c r="G52" s="4" t="str">
        <x:v>Sin esta base puede faltar capacidad para comprender o justificar el juicio exigido por CYO-05.</x:v>
      </x:c>
      <x:c r="H52" s="4" t="str">
        <x:v>R028</x:v>
      </x:c>
      <x:c r="I52" s="4" t="str">
        <x:v>II; III (códigos); IV; actividad académica según guía</x:v>
      </x:c>
      <x:c r="J52" s="4" t="str">
        <x:v>ANCLA EDUCATIVA; ENLACE PROPUESTO</x:v>
      </x:c>
      <x:c r="K52" s="12" t="n">
        <x:f>IF(OR(D52="TRANSVERSAL",D52="RESERVA",COUNTIF('26_Mapa_universos'!$A$5:$A$33,D52)=1),0,1)</x:f>
        <x:v>0</x:v>
      </x:c>
      <x:c r="L52" s="12" t="n">
        <x:f>IF(COUNTIF('21_Fuentes_educativas'!$A$5:$A$188,H52)+COUNTIF('01_Fuentes'!$A$5:$A$40,H52)=1,0,1)</x:f>
        <x:v>0</x:v>
      </x:c>
    </x:row>
    <x:row r="53" ht="47" customHeight="1">
      <x:c r="A53" s="4" t="str">
        <x:v>TC-049</x:v>
      </x:c>
      <x:c r="B53" s="4" t="str">
        <x:v>URJC-29</x:v>
      </x:c>
      <x:c r="C53" s="4" t="str">
        <x:v>ASIGNATURA</x:v>
      </x:c>
      <x:c r="D53" s="4" t="str">
        <x:v>CYO-02</x:v>
      </x:c>
      <x:c r="E53" s="4" t="str">
        <x:v>Redes avanzadas; tráfico; nube; virtualización; SDN.</x:v>
      </x:c>
      <x:c r="F53" s="4" t="str">
        <x:v>Analizar y configurar redes y servicios avanzados.</x:v>
      </x:c>
      <x:c r="G53" s="4" t="str">
        <x:v>Sin esta base puede faltar capacidad para comprender o justificar el juicio exigido por CYO-02.</x:v>
      </x:c>
      <x:c r="H53" s="4" t="str">
        <x:v>R029</x:v>
      </x:c>
      <x:c r="I53" s="4" t="str">
        <x:v>II; III (códigos); IV; actividad académica según guía</x:v>
      </x:c>
      <x:c r="J53" s="4" t="str">
        <x:v>ANCLA EDUCATIVA; ENLACE PROPUESTO</x:v>
      </x:c>
      <x:c r="K53" s="12" t="n">
        <x:f>IF(OR(D53="TRANSVERSAL",D53="RESERVA",COUNTIF('26_Mapa_universos'!$A$5:$A$33,D53)=1),0,1)</x:f>
        <x:v>0</x:v>
      </x:c>
      <x:c r="L53" s="12" t="n">
        <x:f>IF(COUNTIF('21_Fuentes_educativas'!$A$5:$A$188,H53)+COUNTIF('01_Fuentes'!$A$5:$A$40,H53)=1,0,1)</x:f>
        <x:v>0</x:v>
      </x:c>
    </x:row>
    <x:row r="54" ht="47" customHeight="1">
      <x:c r="A54" s="4" t="str">
        <x:v>TC-050</x:v>
      </x:c>
      <x:c r="B54" s="4" t="str">
        <x:v>URJC-29</x:v>
      </x:c>
      <x:c r="C54" s="4" t="str">
        <x:v>ASIGNATURA</x:v>
      </x:c>
      <x:c r="D54" s="4" t="str">
        <x:v>CYO-06</x:v>
      </x:c>
      <x:c r="E54" s="4" t="str">
        <x:v>Redes avanzadas; tráfico; nube; virtualización; SDN.</x:v>
      </x:c>
      <x:c r="F54" s="4" t="str">
        <x:v>Analizar y configurar redes y servicios avanzados.</x:v>
      </x:c>
      <x:c r="G54" s="4" t="str">
        <x:v>Sin esta base puede faltar capacidad para comprender o justificar el juicio exigido por CYO-06.</x:v>
      </x:c>
      <x:c r="H54" s="4" t="str">
        <x:v>R029</x:v>
      </x:c>
      <x:c r="I54" s="4" t="str">
        <x:v>II; III (códigos); IV; actividad académica según guía</x:v>
      </x:c>
      <x:c r="J54" s="4" t="str">
        <x:v>ANCLA EDUCATIVA; ENLACE PROPUESTO</x:v>
      </x:c>
      <x:c r="K54" s="12" t="n">
        <x:f>IF(OR(D54="TRANSVERSAL",D54="RESERVA",COUNTIF('26_Mapa_universos'!$A$5:$A$33,D54)=1),0,1)</x:f>
        <x:v>0</x:v>
      </x:c>
      <x:c r="L54" s="12" t="n">
        <x:f>IF(COUNTIF('21_Fuentes_educativas'!$A$5:$A$188,H54)+COUNTIF('01_Fuentes'!$A$5:$A$40,H54)=1,0,1)</x:f>
        <x:v>0</x:v>
      </x:c>
    </x:row>
    <x:row r="55" ht="47" customHeight="1">
      <x:c r="A55" s="4" t="str">
        <x:v>TC-051</x:v>
      </x:c>
      <x:c r="B55" s="4" t="str">
        <x:v>URJC-29</x:v>
      </x:c>
      <x:c r="C55" s="4" t="str">
        <x:v>ASIGNATURA</x:v>
      </x:c>
      <x:c r="D55" s="4" t="str">
        <x:v>CYO-27</x:v>
      </x:c>
      <x:c r="E55" s="4" t="str">
        <x:v>Redes avanzadas; tráfico; nube; virtualización; SDN.</x:v>
      </x:c>
      <x:c r="F55" s="4" t="str">
        <x:v>Analizar y configurar redes y servicios avanzados.</x:v>
      </x:c>
      <x:c r="G55" s="4" t="str">
        <x:v>Sin esta base puede faltar capacidad para comprender o justificar el juicio exigido por CYO-27.</x:v>
      </x:c>
      <x:c r="H55" s="4" t="str">
        <x:v>R029</x:v>
      </x:c>
      <x:c r="I55" s="4" t="str">
        <x:v>II; III (códigos); IV; actividad académica según guía</x:v>
      </x:c>
      <x:c r="J55" s="4" t="str">
        <x:v>ANCLA EDUCATIVA; ENLACE PROPUESTO</x:v>
      </x:c>
      <x:c r="K55" s="12" t="n">
        <x:f>IF(OR(D55="TRANSVERSAL",D55="RESERVA",COUNTIF('26_Mapa_universos'!$A$5:$A$33,D55)=1),0,1)</x:f>
        <x:v>0</x:v>
      </x:c>
      <x:c r="L55" s="12" t="n">
        <x:f>IF(COUNTIF('21_Fuentes_educativas'!$A$5:$A$188,H55)+COUNTIF('01_Fuentes'!$A$5:$A$40,H55)=1,0,1)</x:f>
        <x:v>0</x:v>
      </x:c>
    </x:row>
    <x:row r="56" ht="47" customHeight="1">
      <x:c r="A56" s="4" t="str">
        <x:v>TC-052</x:v>
      </x:c>
      <x:c r="B56" s="4" t="str">
        <x:v>URJC-30</x:v>
      </x:c>
      <x:c r="C56" s="4" t="str">
        <x:v>ASIGNATURA</x:v>
      </x:c>
      <x:c r="D56" s="4" t="str">
        <x:v>CYO-01</x:v>
      </x:c>
      <x:c r="E56" s="4" t="str">
        <x:v>Organización; sistemas transaccionales; OLAP; ETL; datos incompletos; recomendación y aprendizaje.</x:v>
      </x:c>
      <x:c r="F56" s="4" t="str">
        <x:v>Analizar impacto y seleccionar, implementar y gestionar sistemas de información.</x:v>
      </x:c>
      <x:c r="G56" s="4" t="str">
        <x:v>Sin esta base puede faltar capacidad para comprender o justificar el juicio exigido por CYO-01.</x:v>
      </x:c>
      <x:c r="H56" s="4" t="str">
        <x:v>R030</x:v>
      </x:c>
      <x:c r="I56" s="4" t="str">
        <x:v>II; III (códigos); IV; actividad académica según guía</x:v>
      </x:c>
      <x:c r="J56" s="4" t="str">
        <x:v>ANCLA EDUCATIVA; ENLACE PROPUESTO</x:v>
      </x:c>
      <x:c r="K56" s="12" t="n">
        <x:f>IF(OR(D56="TRANSVERSAL",D56="RESERVA",COUNTIF('26_Mapa_universos'!$A$5:$A$33,D56)=1),0,1)</x:f>
        <x:v>0</x:v>
      </x:c>
      <x:c r="L56" s="12" t="n">
        <x:f>IF(COUNTIF('21_Fuentes_educativas'!$A$5:$A$188,H56)+COUNTIF('01_Fuentes'!$A$5:$A$40,H56)=1,0,1)</x:f>
        <x:v>0</x:v>
      </x:c>
    </x:row>
    <x:row r="57" ht="47" customHeight="1">
      <x:c r="A57" s="4" t="str">
        <x:v>TC-053</x:v>
      </x:c>
      <x:c r="B57" s="4" t="str">
        <x:v>URJC-30</x:v>
      </x:c>
      <x:c r="C57" s="4" t="str">
        <x:v>ASIGNATURA</x:v>
      </x:c>
      <x:c r="D57" s="4" t="str">
        <x:v>CYO-06</x:v>
      </x:c>
      <x:c r="E57" s="4" t="str">
        <x:v>Organización; sistemas transaccionales; OLAP; ETL; datos incompletos; recomendación y aprendizaje.</x:v>
      </x:c>
      <x:c r="F57" s="4" t="str">
        <x:v>Analizar impacto y seleccionar, implementar y gestionar sistemas de información.</x:v>
      </x:c>
      <x:c r="G57" s="4" t="str">
        <x:v>Sin esta base puede faltar capacidad para comprender o justificar el juicio exigido por CYO-06.</x:v>
      </x:c>
      <x:c r="H57" s="4" t="str">
        <x:v>R030</x:v>
      </x:c>
      <x:c r="I57" s="4" t="str">
        <x:v>II; III (códigos); IV; actividad académica según guía</x:v>
      </x:c>
      <x:c r="J57" s="4" t="str">
        <x:v>ANCLA EDUCATIVA; ENLACE PROPUESTO</x:v>
      </x:c>
      <x:c r="K57" s="12" t="n">
        <x:f>IF(OR(D57="TRANSVERSAL",D57="RESERVA",COUNTIF('26_Mapa_universos'!$A$5:$A$33,D57)=1),0,1)</x:f>
        <x:v>0</x:v>
      </x:c>
      <x:c r="L57" s="12" t="n">
        <x:f>IF(COUNTIF('21_Fuentes_educativas'!$A$5:$A$188,H57)+COUNTIF('01_Fuentes'!$A$5:$A$40,H57)=1,0,1)</x:f>
        <x:v>0</x:v>
      </x:c>
    </x:row>
    <x:row r="58" ht="47" customHeight="1">
      <x:c r="A58" s="4" t="str">
        <x:v>TC-054</x:v>
      </x:c>
      <x:c r="B58" s="4" t="str">
        <x:v>URJC-30</x:v>
      </x:c>
      <x:c r="C58" s="4" t="str">
        <x:v>ASIGNATURA</x:v>
      </x:c>
      <x:c r="D58" s="4" t="str">
        <x:v>CYO-18</x:v>
      </x:c>
      <x:c r="E58" s="4" t="str">
        <x:v>Organización; sistemas transaccionales; OLAP; ETL; datos incompletos; recomendación y aprendizaje.</x:v>
      </x:c>
      <x:c r="F58" s="4" t="str">
        <x:v>Analizar impacto y seleccionar, implementar y gestionar sistemas de información.</x:v>
      </x:c>
      <x:c r="G58" s="4" t="str">
        <x:v>Sin esta base puede faltar capacidad para comprender o justificar el juicio exigido por CYO-18.</x:v>
      </x:c>
      <x:c r="H58" s="4" t="str">
        <x:v>R030</x:v>
      </x:c>
      <x:c r="I58" s="4" t="str">
        <x:v>II; III (códigos); IV; actividad académica según guía</x:v>
      </x:c>
      <x:c r="J58" s="4" t="str">
        <x:v>ANCLA EDUCATIVA; ENLACE PROPUESTO</x:v>
      </x:c>
      <x:c r="K58" s="12" t="n">
        <x:f>IF(OR(D58="TRANSVERSAL",D58="RESERVA",COUNTIF('26_Mapa_universos'!$A$5:$A$33,D58)=1),0,1)</x:f>
        <x:v>0</x:v>
      </x:c>
      <x:c r="L58" s="12" t="n">
        <x:f>IF(COUNTIF('21_Fuentes_educativas'!$A$5:$A$188,H58)+COUNTIF('01_Fuentes'!$A$5:$A$40,H58)=1,0,1)</x:f>
        <x:v>0</x:v>
      </x:c>
    </x:row>
    <x:row r="59" ht="47" customHeight="1">
      <x:c r="A59" s="4" t="str">
        <x:v>TC-055</x:v>
      </x:c>
      <x:c r="B59" s="4" t="str">
        <x:v>URJC-31</x:v>
      </x:c>
      <x:c r="C59" s="4" t="str">
        <x:v>ASIGNATURA</x:v>
      </x:c>
      <x:c r="D59" s="4" t="str">
        <x:v>CYO-23</x:v>
      </x:c>
      <x:c r="E59" s="4" t="str">
        <x:v>Procesamiento de imagen; clasificadores; redes neuronales; biometría y ataques.</x:v>
      </x:c>
      <x:c r="F59" s="4" t="str">
        <x:v>Analizar aplicaciones de visión y sus contramedidas.</x:v>
      </x:c>
      <x:c r="G59" s="4" t="str">
        <x:v>Sin esta base puede faltar capacidad para comprender o justificar el juicio exigido por CYO-23.</x:v>
      </x:c>
      <x:c r="H59" s="4" t="str">
        <x:v>R031</x:v>
      </x:c>
      <x:c r="I59" s="4" t="str">
        <x:v>II; III (códigos); IV; actividad académica según guía</x:v>
      </x:c>
      <x:c r="J59" s="4" t="str">
        <x:v>ANCLA EDUCATIVA; ENLACE PROPUESTO</x:v>
      </x:c>
      <x:c r="K59" s="12" t="n">
        <x:f>IF(OR(D59="TRANSVERSAL",D59="RESERVA",COUNTIF('26_Mapa_universos'!$A$5:$A$33,D59)=1),0,1)</x:f>
        <x:v>0</x:v>
      </x:c>
      <x:c r="L59" s="12" t="n">
        <x:f>IF(COUNTIF('21_Fuentes_educativas'!$A$5:$A$188,H59)+COUNTIF('01_Fuentes'!$A$5:$A$40,H59)=1,0,1)</x:f>
        <x:v>0</x:v>
      </x:c>
    </x:row>
    <x:row r="60" ht="47" customHeight="1">
      <x:c r="A60" s="4" t="str">
        <x:v>TC-056</x:v>
      </x:c>
      <x:c r="B60" s="4" t="str">
        <x:v>URJC-32</x:v>
      </x:c>
      <x:c r="C60" s="4" t="str">
        <x:v>ASIGNATURA</x:v>
      </x:c>
      <x:c r="D60" s="4" t="str">
        <x:v>CYO-16</x:v>
      </x:c>
      <x:c r="E60" s="4" t="str">
        <x:v>Auditoría de seguridad; alcance; métodos; evidencia y conclusiones.</x:v>
      </x:c>
      <x:c r="F60" s="4" t="str">
        <x:v>Planificar y realizar una auditoría en el alcance definido.</x:v>
      </x:c>
      <x:c r="G60" s="4" t="str">
        <x:v>Sin esta base puede faltar capacidad para comprender o justificar el juicio exigido por CYO-16.</x:v>
      </x:c>
      <x:c r="H60" s="4" t="str">
        <x:v>R032</x:v>
      </x:c>
      <x:c r="I60" s="4" t="str">
        <x:v>II; III (códigos); IV; actividad académica según guía</x:v>
      </x:c>
      <x:c r="J60" s="4" t="str">
        <x:v>ANCLA EDUCATIVA; ENLACE PROPUESTO</x:v>
      </x:c>
      <x:c r="K60" s="12" t="n">
        <x:f>IF(OR(D60="TRANSVERSAL",D60="RESERVA",COUNTIF('26_Mapa_universos'!$A$5:$A$33,D60)=1),0,1)</x:f>
        <x:v>0</x:v>
      </x:c>
      <x:c r="L60" s="12" t="n">
        <x:f>IF(COUNTIF('21_Fuentes_educativas'!$A$5:$A$188,H60)+COUNTIF('01_Fuentes'!$A$5:$A$40,H60)=1,0,1)</x:f>
        <x:v>0</x:v>
      </x:c>
    </x:row>
    <x:row r="61" ht="47" customHeight="1">
      <x:c r="A61" s="4" t="str">
        <x:v>TC-057</x:v>
      </x:c>
      <x:c r="B61" s="4" t="str">
        <x:v>URJC-33</x:v>
      </x:c>
      <x:c r="C61" s="4" t="str">
        <x:v>ASIGNATURA</x:v>
      </x:c>
      <x:c r="D61" s="4" t="str">
        <x:v>CYO-07</x:v>
      </x:c>
      <x:c r="E61" s="4" t="str">
        <x:v>SOC; correlación; DFIR; custodia; inteligencia; hipótesis de hunting; continuidad y recuperación.</x:v>
      </x:c>
      <x:c r="F61" s="4" t="str">
        <x:v>Detectar e investigar incidentes y relacionar respuesta, evidencia y continuidad.</x:v>
      </x:c>
      <x:c r="G61" s="4" t="str">
        <x:v>Sin esta base puede faltar capacidad para comprender o justificar el juicio exigido por CYO-07.</x:v>
      </x:c>
      <x:c r="H61" s="4" t="str">
        <x:v>R033</x:v>
      </x:c>
      <x:c r="I61" s="4" t="str">
        <x:v>II; III (códigos); IV; actividad académica según guía</x:v>
      </x:c>
      <x:c r="J61" s="4" t="str">
        <x:v>ANCLA EDUCATIVA; ENLACE PROPUESTO</x:v>
      </x:c>
      <x:c r="K61" s="12" t="n">
        <x:f>IF(OR(D61="TRANSVERSAL",D61="RESERVA",COUNTIF('26_Mapa_universos'!$A$5:$A$33,D61)=1),0,1)</x:f>
        <x:v>0</x:v>
      </x:c>
      <x:c r="L61" s="12" t="n">
        <x:f>IF(COUNTIF('21_Fuentes_educativas'!$A$5:$A$188,H61)+COUNTIF('01_Fuentes'!$A$5:$A$40,H61)=1,0,1)</x:f>
        <x:v>0</x:v>
      </x:c>
    </x:row>
    <x:row r="62" ht="47" customHeight="1">
      <x:c r="A62" s="4" t="str">
        <x:v>TC-058</x:v>
      </x:c>
      <x:c r="B62" s="4" t="str">
        <x:v>URJC-33</x:v>
      </x:c>
      <x:c r="C62" s="4" t="str">
        <x:v>ASIGNATURA</x:v>
      </x:c>
      <x:c r="D62" s="4" t="str">
        <x:v>CYO-08</x:v>
      </x:c>
      <x:c r="E62" s="4" t="str">
        <x:v>SOC; correlación; DFIR; custodia; inteligencia; hipótesis de hunting; continuidad y recuperación.</x:v>
      </x:c>
      <x:c r="F62" s="4" t="str">
        <x:v>Detectar e investigar incidentes y relacionar respuesta, evidencia y continuidad.</x:v>
      </x:c>
      <x:c r="G62" s="4" t="str">
        <x:v>Sin esta base puede faltar capacidad para comprender o justificar el juicio exigido por CYO-08.</x:v>
      </x:c>
      <x:c r="H62" s="4" t="str">
        <x:v>R033</x:v>
      </x:c>
      <x:c r="I62" s="4" t="str">
        <x:v>II; III (códigos); IV; actividad académica según guía</x:v>
      </x:c>
      <x:c r="J62" s="4" t="str">
        <x:v>ANCLA EDUCATIVA; ENLACE PROPUESTO</x:v>
      </x:c>
      <x:c r="K62" s="12" t="n">
        <x:f>IF(OR(D62="TRANSVERSAL",D62="RESERVA",COUNTIF('26_Mapa_universos'!$A$5:$A$33,D62)=1),0,1)</x:f>
        <x:v>0</x:v>
      </x:c>
      <x:c r="L62" s="12" t="n">
        <x:f>IF(COUNTIF('21_Fuentes_educativas'!$A$5:$A$188,H62)+COUNTIF('01_Fuentes'!$A$5:$A$40,H62)=1,0,1)</x:f>
        <x:v>0</x:v>
      </x:c>
    </x:row>
    <x:row r="63" ht="47" customHeight="1">
      <x:c r="A63" s="4" t="str">
        <x:v>TC-059</x:v>
      </x:c>
      <x:c r="B63" s="4" t="str">
        <x:v>URJC-33</x:v>
      </x:c>
      <x:c r="C63" s="4" t="str">
        <x:v>ASIGNATURA</x:v>
      </x:c>
      <x:c r="D63" s="4" t="str">
        <x:v>CYO-09</x:v>
      </x:c>
      <x:c r="E63" s="4" t="str">
        <x:v>SOC; correlación; DFIR; custodia; inteligencia; hipótesis de hunting; continuidad y recuperación.</x:v>
      </x:c>
      <x:c r="F63" s="4" t="str">
        <x:v>Detectar e investigar incidentes y relacionar respuesta, evidencia y continuidad.</x:v>
      </x:c>
      <x:c r="G63" s="4" t="str">
        <x:v>Sin esta base puede faltar capacidad para comprender o justificar el juicio exigido por CYO-09.</x:v>
      </x:c>
      <x:c r="H63" s="4" t="str">
        <x:v>R033</x:v>
      </x:c>
      <x:c r="I63" s="4" t="str">
        <x:v>II; III (códigos); IV; actividad académica según guía</x:v>
      </x:c>
      <x:c r="J63" s="4" t="str">
        <x:v>ANCLA EDUCATIVA; ENLACE PROPUESTO</x:v>
      </x:c>
      <x:c r="K63" s="12" t="n">
        <x:f>IF(OR(D63="TRANSVERSAL",D63="RESERVA",COUNTIF('26_Mapa_universos'!$A$5:$A$33,D63)=1),0,1)</x:f>
        <x:v>0</x:v>
      </x:c>
      <x:c r="L63" s="12" t="n">
        <x:f>IF(COUNTIF('21_Fuentes_educativas'!$A$5:$A$188,H63)+COUNTIF('01_Fuentes'!$A$5:$A$40,H63)=1,0,1)</x:f>
        <x:v>0</x:v>
      </x:c>
    </x:row>
    <x:row r="64" ht="47" customHeight="1">
      <x:c r="A64" s="4" t="str">
        <x:v>TC-060</x:v>
      </x:c>
      <x:c r="B64" s="4" t="str">
        <x:v>URJC-33</x:v>
      </x:c>
      <x:c r="C64" s="4" t="str">
        <x:v>ASIGNATURA</x:v>
      </x:c>
      <x:c r="D64" s="4" t="str">
        <x:v>CYO-10</x:v>
      </x:c>
      <x:c r="E64" s="4" t="str">
        <x:v>SOC; correlación; DFIR; custodia; inteligencia; hipótesis de hunting; continuidad y recuperación.</x:v>
      </x:c>
      <x:c r="F64" s="4" t="str">
        <x:v>Detectar e investigar incidentes y relacionar respuesta, evidencia y continuidad.</x:v>
      </x:c>
      <x:c r="G64" s="4" t="str">
        <x:v>Sin esta base puede faltar capacidad para comprender o justificar el juicio exigido por CYO-10.</x:v>
      </x:c>
      <x:c r="H64" s="4" t="str">
        <x:v>R033</x:v>
      </x:c>
      <x:c r="I64" s="4" t="str">
        <x:v>II; III (códigos); IV; actividad académica según guía</x:v>
      </x:c>
      <x:c r="J64" s="4" t="str">
        <x:v>ANCLA EDUCATIVA; ENLACE PROPUESTO</x:v>
      </x:c>
      <x:c r="K64" s="12" t="n">
        <x:f>IF(OR(D64="TRANSVERSAL",D64="RESERVA",COUNTIF('26_Mapa_universos'!$A$5:$A$33,D64)=1),0,1)</x:f>
        <x:v>0</x:v>
      </x:c>
      <x:c r="L64" s="12" t="n">
        <x:f>IF(COUNTIF('21_Fuentes_educativas'!$A$5:$A$188,H64)+COUNTIF('01_Fuentes'!$A$5:$A$40,H64)=1,0,1)</x:f>
        <x:v>0</x:v>
      </x:c>
    </x:row>
    <x:row r="65" ht="47" customHeight="1">
      <x:c r="A65" s="4" t="str">
        <x:v>TC-061</x:v>
      </x:c>
      <x:c r="B65" s="4" t="str">
        <x:v>URJC-33</x:v>
      </x:c>
      <x:c r="C65" s="4" t="str">
        <x:v>ASIGNATURA</x:v>
      </x:c>
      <x:c r="D65" s="4" t="str">
        <x:v>CYO-11</x:v>
      </x:c>
      <x:c r="E65" s="4" t="str">
        <x:v>SOC; correlación; DFIR; custodia; inteligencia; hipótesis de hunting; continuidad y recuperación.</x:v>
      </x:c>
      <x:c r="F65" s="4" t="str">
        <x:v>Detectar e investigar incidentes y relacionar respuesta, evidencia y continuidad.</x:v>
      </x:c>
      <x:c r="G65" s="4" t="str">
        <x:v>Sin esta base puede faltar capacidad para comprender o justificar el juicio exigido por CYO-11.</x:v>
      </x:c>
      <x:c r="H65" s="4" t="str">
        <x:v>R033</x:v>
      </x:c>
      <x:c r="I65" s="4" t="str">
        <x:v>II; III (códigos); IV; actividad académica según guía</x:v>
      </x:c>
      <x:c r="J65" s="4" t="str">
        <x:v>ANCLA EDUCATIVA; ENLACE PROPUESTO</x:v>
      </x:c>
      <x:c r="K65" s="12" t="n">
        <x:f>IF(OR(D65="TRANSVERSAL",D65="RESERVA",COUNTIF('26_Mapa_universos'!$A$5:$A$33,D65)=1),0,1)</x:f>
        <x:v>0</x:v>
      </x:c>
      <x:c r="L65" s="12" t="n">
        <x:f>IF(COUNTIF('21_Fuentes_educativas'!$A$5:$A$188,H65)+COUNTIF('01_Fuentes'!$A$5:$A$40,H65)=1,0,1)</x:f>
        <x:v>0</x:v>
      </x:c>
    </x:row>
    <x:row r="66" ht="47" customHeight="1">
      <x:c r="A66" s="4" t="str">
        <x:v>TC-062</x:v>
      </x:c>
      <x:c r="B66" s="4" t="str">
        <x:v>URJC-33</x:v>
      </x:c>
      <x:c r="C66" s="4" t="str">
        <x:v>ASIGNATURA</x:v>
      </x:c>
      <x:c r="D66" s="4" t="str">
        <x:v>CYO-24</x:v>
      </x:c>
      <x:c r="E66" s="4" t="str">
        <x:v>SOC; correlación; DFIR; custodia; inteligencia; hipótesis de hunting; continuidad y recuperación.</x:v>
      </x:c>
      <x:c r="F66" s="4" t="str">
        <x:v>Detectar e investigar incidentes y relacionar respuesta, evidencia y continuidad.</x:v>
      </x:c>
      <x:c r="G66" s="4" t="str">
        <x:v>Sin esta base puede faltar capacidad para comprender o justificar el juicio exigido por CYO-24.</x:v>
      </x:c>
      <x:c r="H66" s="4" t="str">
        <x:v>R033</x:v>
      </x:c>
      <x:c r="I66" s="4" t="str">
        <x:v>II; III (códigos); IV; actividad académica según guía</x:v>
      </x:c>
      <x:c r="J66" s="4" t="str">
        <x:v>ANCLA EDUCATIVA; ENLACE PROPUESTO</x:v>
      </x:c>
      <x:c r="K66" s="12" t="n">
        <x:f>IF(OR(D66="TRANSVERSAL",D66="RESERVA",COUNTIF('26_Mapa_universos'!$A$5:$A$33,D66)=1),0,1)</x:f>
        <x:v>0</x:v>
      </x:c>
      <x:c r="L66" s="12" t="n">
        <x:f>IF(COUNTIF('21_Fuentes_educativas'!$A$5:$A$188,H66)+COUNTIF('01_Fuentes'!$A$5:$A$40,H66)=1,0,1)</x:f>
        <x:v>0</x:v>
      </x:c>
    </x:row>
    <x:row r="67" ht="47" customHeight="1">
      <x:c r="A67" s="4" t="str">
        <x:v>TC-063</x:v>
      </x:c>
      <x:c r="B67" s="4" t="str">
        <x:v>URJC-33</x:v>
      </x:c>
      <x:c r="C67" s="4" t="str">
        <x:v>ASIGNATURA</x:v>
      </x:c>
      <x:c r="D67" s="4" t="str">
        <x:v>CYO-25</x:v>
      </x:c>
      <x:c r="E67" s="4" t="str">
        <x:v>SOC; correlación; DFIR; custodia; inteligencia; hipótesis de hunting; continuidad y recuperación.</x:v>
      </x:c>
      <x:c r="F67" s="4" t="str">
        <x:v>Detectar e investigar incidentes y relacionar respuesta, evidencia y continuidad.</x:v>
      </x:c>
      <x:c r="G67" s="4" t="str">
        <x:v>Sin esta base puede faltar capacidad para comprender o justificar el juicio exigido por CYO-25.</x:v>
      </x:c>
      <x:c r="H67" s="4" t="str">
        <x:v>R033</x:v>
      </x:c>
      <x:c r="I67" s="4" t="str">
        <x:v>II; III (códigos); IV; actividad académica según guía</x:v>
      </x:c>
      <x:c r="J67" s="4" t="str">
        <x:v>ANCLA EDUCATIVA; ENLACE PROPUESTO</x:v>
      </x:c>
      <x:c r="K67" s="12" t="n">
        <x:f>IF(OR(D67="TRANSVERSAL",D67="RESERVA",COUNTIF('26_Mapa_universos'!$A$5:$A$33,D67)=1),0,1)</x:f>
        <x:v>0</x:v>
      </x:c>
      <x:c r="L67" s="12" t="n">
        <x:f>IF(COUNTIF('21_Fuentes_educativas'!$A$5:$A$188,H67)+COUNTIF('01_Fuentes'!$A$5:$A$40,H67)=1,0,1)</x:f>
        <x:v>0</x:v>
      </x:c>
    </x:row>
    <x:row r="68" ht="47" customHeight="1">
      <x:c r="A68" s="4" t="str">
        <x:v>TC-064</x:v>
      </x:c>
      <x:c r="B68" s="4" t="str">
        <x:v>URJC-33</x:v>
      </x:c>
      <x:c r="C68" s="4" t="str">
        <x:v>ASIGNATURA</x:v>
      </x:c>
      <x:c r="D68" s="4" t="str">
        <x:v>CYO-27</x:v>
      </x:c>
      <x:c r="E68" s="4" t="str">
        <x:v>SOC; correlación; DFIR; custodia; inteligencia; hipótesis de hunting; continuidad y recuperación.</x:v>
      </x:c>
      <x:c r="F68" s="4" t="str">
        <x:v>Detectar e investigar incidentes y relacionar respuesta, evidencia y continuidad.</x:v>
      </x:c>
      <x:c r="G68" s="4" t="str">
        <x:v>Sin esta base puede faltar capacidad para comprender o justificar el juicio exigido por CYO-27.</x:v>
      </x:c>
      <x:c r="H68" s="4" t="str">
        <x:v>R033</x:v>
      </x:c>
      <x:c r="I68" s="4" t="str">
        <x:v>II; III (códigos); IV; actividad académica según guía</x:v>
      </x:c>
      <x:c r="J68" s="4" t="str">
        <x:v>ANCLA EDUCATIVA; ENLACE PROPUESTO</x:v>
      </x:c>
      <x:c r="K68" s="12" t="n">
        <x:f>IF(OR(D68="TRANSVERSAL",D68="RESERVA",COUNTIF('26_Mapa_universos'!$A$5:$A$33,D68)=1),0,1)</x:f>
        <x:v>0</x:v>
      </x:c>
      <x:c r="L68" s="12" t="n">
        <x:f>IF(COUNTIF('21_Fuentes_educativas'!$A$5:$A$188,H68)+COUNTIF('01_Fuentes'!$A$5:$A$40,H68)=1,0,1)</x:f>
        <x:v>0</x:v>
      </x:c>
    </x:row>
    <x:row r="69" ht="47" customHeight="1">
      <x:c r="A69" s="4" t="str">
        <x:v>TC-065</x:v>
      </x:c>
      <x:c r="B69" s="4" t="str">
        <x:v>URJC-33</x:v>
      </x:c>
      <x:c r="C69" s="4" t="str">
        <x:v>ASIGNATURA</x:v>
      </x:c>
      <x:c r="D69" s="4" t="str">
        <x:v>CYO-28</x:v>
      </x:c>
      <x:c r="E69" s="4" t="str">
        <x:v>SOC; correlación; DFIR; custodia; inteligencia; hipótesis de hunting; continuidad y recuperación.</x:v>
      </x:c>
      <x:c r="F69" s="4" t="str">
        <x:v>Detectar e investigar incidentes y relacionar respuesta, evidencia y continuidad.</x:v>
      </x:c>
      <x:c r="G69" s="4" t="str">
        <x:v>Sin esta base puede faltar capacidad para comprender o justificar el juicio exigido por CYO-28.</x:v>
      </x:c>
      <x:c r="H69" s="4" t="str">
        <x:v>R033</x:v>
      </x:c>
      <x:c r="I69" s="4" t="str">
        <x:v>II; III (códigos); IV; actividad académica según guía</x:v>
      </x:c>
      <x:c r="J69" s="4" t="str">
        <x:v>ANCLA EDUCATIVA; ENLACE PROPUESTO</x:v>
      </x:c>
      <x:c r="K69" s="12" t="n">
        <x:f>IF(OR(D69="TRANSVERSAL",D69="RESERVA",COUNTIF('26_Mapa_universos'!$A$5:$A$33,D69)=1),0,1)</x:f>
        <x:v>0</x:v>
      </x:c>
      <x:c r="L69" s="12" t="n">
        <x:f>IF(COUNTIF('21_Fuentes_educativas'!$A$5:$A$188,H69)+COUNTIF('01_Fuentes'!$A$5:$A$40,H69)=1,0,1)</x:f>
        <x:v>0</x:v>
      </x:c>
    </x:row>
    <x:row r="70" ht="47" customHeight="1">
      <x:c r="A70" s="4" t="str">
        <x:v>TC-066</x:v>
      </x:c>
      <x:c r="B70" s="4" t="str">
        <x:v>URJC-34</x:v>
      </x:c>
      <x:c r="C70" s="4" t="str">
        <x:v>ASIGNATURA</x:v>
      </x:c>
      <x:c r="D70" s="4" t="str">
        <x:v>CYO-04</x:v>
      </x:c>
      <x:c r="E70" s="4" t="str">
        <x:v>Alcance; informes; pruebas web, móviles e IoT; IA en pentesting.</x:v>
      </x:c>
      <x:c r="F70" s="4" t="str">
        <x:v>Evaluar seguridad mediante pruebas autorizadas y comunicar resultados.</x:v>
      </x:c>
      <x:c r="G70" s="4" t="str">
        <x:v>Sin esta base puede faltar capacidad para comprender o justificar el juicio exigido por CYO-04.</x:v>
      </x:c>
      <x:c r="H70" s="4" t="str">
        <x:v>R034</x:v>
      </x:c>
      <x:c r="I70" s="4" t="str">
        <x:v>II; III (códigos); IV; actividad académica según guía</x:v>
      </x:c>
      <x:c r="J70" s="4" t="str">
        <x:v>ANCLA EDUCATIVA; ENLACE PROPUESTO</x:v>
      </x:c>
      <x:c r="K70" s="12" t="n">
        <x:f>IF(OR(D70="TRANSVERSAL",D70="RESERVA",COUNTIF('26_Mapa_universos'!$A$5:$A$33,D70)=1),0,1)</x:f>
        <x:v>0</x:v>
      </x:c>
      <x:c r="L70" s="12" t="n">
        <x:f>IF(COUNTIF('21_Fuentes_educativas'!$A$5:$A$188,H70)+COUNTIF('01_Fuentes'!$A$5:$A$40,H70)=1,0,1)</x:f>
        <x:v>0</x:v>
      </x:c>
    </x:row>
    <x:row r="71" ht="47" customHeight="1">
      <x:c r="A71" s="4" t="str">
        <x:v>TC-067</x:v>
      </x:c>
      <x:c r="B71" s="4" t="str">
        <x:v>URJC-34</x:v>
      </x:c>
      <x:c r="C71" s="4" t="str">
        <x:v>ASIGNATURA</x:v>
      </x:c>
      <x:c r="D71" s="4" t="str">
        <x:v>CYO-26</x:v>
      </x:c>
      <x:c r="E71" s="4" t="str">
        <x:v>Alcance; informes; pruebas web, móviles e IoT; IA en pentesting.</x:v>
      </x:c>
      <x:c r="F71" s="4" t="str">
        <x:v>Evaluar seguridad mediante pruebas autorizadas y comunicar resultados.</x:v>
      </x:c>
      <x:c r="G71" s="4" t="str">
        <x:v>Sin esta base puede faltar capacidad para comprender o justificar el juicio exigido por CYO-26.</x:v>
      </x:c>
      <x:c r="H71" s="4" t="str">
        <x:v>R034</x:v>
      </x:c>
      <x:c r="I71" s="4" t="str">
        <x:v>II; III (códigos); IV; actividad académica según guía</x:v>
      </x:c>
      <x:c r="J71" s="4" t="str">
        <x:v>ANCLA EDUCATIVA; ENLACE PROPUESTO</x:v>
      </x:c>
      <x:c r="K71" s="12" t="n">
        <x:f>IF(OR(D71="TRANSVERSAL",D71="RESERVA",COUNTIF('26_Mapa_universos'!$A$5:$A$33,D71)=1),0,1)</x:f>
        <x:v>0</x:v>
      </x:c>
      <x:c r="L71" s="12" t="n">
        <x:f>IF(COUNTIF('21_Fuentes_educativas'!$A$5:$A$188,H71)+COUNTIF('01_Fuentes'!$A$5:$A$40,H71)=1,0,1)</x:f>
        <x:v>0</x:v>
      </x:c>
    </x:row>
    <x:row r="72" ht="47" customHeight="1">
      <x:c r="A72" s="4" t="str">
        <x:v>TC-068</x:v>
      </x:c>
      <x:c r="B72" s="4" t="str">
        <x:v>URJC-35</x:v>
      </x:c>
      <x:c r="C72" s="4" t="str">
        <x:v>ASIGNATURA</x:v>
      </x:c>
      <x:c r="D72" s="4" t="str">
        <x:v>CYO-01</x:v>
      </x:c>
      <x:c r="E72" s="4" t="str">
        <x:v>Métodos cualitativos; FAIR; Montecarlo; calibración; retornos; transferencia y sesgos.</x:v>
      </x:c>
      <x:c r="F72" s="4" t="str">
        <x:v>Escoger métodos, estimar riesgo y justificar tratamiento y comunicación.</x:v>
      </x:c>
      <x:c r="G72" s="4" t="str">
        <x:v>Sin esta base puede faltar capacidad para comprender o justificar el juicio exigido por CYO-01.</x:v>
      </x:c>
      <x:c r="H72" s="4" t="str">
        <x:v>R035</x:v>
      </x:c>
      <x:c r="I72" s="4" t="str">
        <x:v>II; III (códigos); IV; actividad académica según guía</x:v>
      </x:c>
      <x:c r="J72" s="4" t="str">
        <x:v>ANCLA EDUCATIVA; ENLACE PROPUESTO</x:v>
      </x:c>
      <x:c r="K72" s="12" t="n">
        <x:f>IF(OR(D72="TRANSVERSAL",D72="RESERVA",COUNTIF('26_Mapa_universos'!$A$5:$A$33,D72)=1),0,1)</x:f>
        <x:v>0</x:v>
      </x:c>
      <x:c r="L72" s="12" t="n">
        <x:f>IF(COUNTIF('21_Fuentes_educativas'!$A$5:$A$188,H72)+COUNTIF('01_Fuentes'!$A$5:$A$40,H72)=1,0,1)</x:f>
        <x:v>0</x:v>
      </x:c>
    </x:row>
    <x:row r="73" ht="47" customHeight="1">
      <x:c r="A73" s="4" t="str">
        <x:v>TC-069</x:v>
      </x:c>
      <x:c r="B73" s="4" t="str">
        <x:v>URJC-35</x:v>
      </x:c>
      <x:c r="C73" s="4" t="str">
        <x:v>ASIGNATURA</x:v>
      </x:c>
      <x:c r="D73" s="4" t="str">
        <x:v>CYO-06</x:v>
      </x:c>
      <x:c r="E73" s="4" t="str">
        <x:v>Métodos cualitativos; FAIR; Montecarlo; calibración; retornos; transferencia y sesgos.</x:v>
      </x:c>
      <x:c r="F73" s="4" t="str">
        <x:v>Escoger métodos, estimar riesgo y justificar tratamiento y comunicación.</x:v>
      </x:c>
      <x:c r="G73" s="4" t="str">
        <x:v>Sin esta base puede faltar capacidad para comprender o justificar el juicio exigido por CYO-06.</x:v>
      </x:c>
      <x:c r="H73" s="4" t="str">
        <x:v>R035</x:v>
      </x:c>
      <x:c r="I73" s="4" t="str">
        <x:v>II; III (códigos); IV; actividad académica según guía</x:v>
      </x:c>
      <x:c r="J73" s="4" t="str">
        <x:v>ANCLA EDUCATIVA; ENLACE PROPUESTO</x:v>
      </x:c>
      <x:c r="K73" s="12" t="n">
        <x:f>IF(OR(D73="TRANSVERSAL",D73="RESERVA",COUNTIF('26_Mapa_universos'!$A$5:$A$33,D73)=1),0,1)</x:f>
        <x:v>0</x:v>
      </x:c>
      <x:c r="L73" s="12" t="n">
        <x:f>IF(COUNTIF('21_Fuentes_educativas'!$A$5:$A$188,H73)+COUNTIF('01_Fuentes'!$A$5:$A$40,H73)=1,0,1)</x:f>
        <x:v>0</x:v>
      </x:c>
    </x:row>
    <x:row r="74" ht="47" customHeight="1">
      <x:c r="A74" s="4" t="str">
        <x:v>TC-070</x:v>
      </x:c>
      <x:c r="B74" s="4" t="str">
        <x:v>URJC-35</x:v>
      </x:c>
      <x:c r="C74" s="4" t="str">
        <x:v>ASIGNATURA</x:v>
      </x:c>
      <x:c r="D74" s="4" t="str">
        <x:v>CYO-21</x:v>
      </x:c>
      <x:c r="E74" s="4" t="str">
        <x:v>Métodos cualitativos; FAIR; Montecarlo; calibración; retornos; transferencia y sesgos.</x:v>
      </x:c>
      <x:c r="F74" s="4" t="str">
        <x:v>Escoger métodos, estimar riesgo y justificar tratamiento y comunicación.</x:v>
      </x:c>
      <x:c r="G74" s="4" t="str">
        <x:v>Sin esta base puede faltar capacidad para comprender o justificar el juicio exigido por CYO-21.</x:v>
      </x:c>
      <x:c r="H74" s="4" t="str">
        <x:v>R035</x:v>
      </x:c>
      <x:c r="I74" s="4" t="str">
        <x:v>II; III (códigos); IV; actividad académica según guía</x:v>
      </x:c>
      <x:c r="J74" s="4" t="str">
        <x:v>ANCLA EDUCATIVA; ENLACE PROPUESTO</x:v>
      </x:c>
      <x:c r="K74" s="12" t="n">
        <x:f>IF(OR(D74="TRANSVERSAL",D74="RESERVA",COUNTIF('26_Mapa_universos'!$A$5:$A$33,D74)=1),0,1)</x:f>
        <x:v>0</x:v>
      </x:c>
      <x:c r="L74" s="12" t="n">
        <x:f>IF(COUNTIF('21_Fuentes_educativas'!$A$5:$A$188,H74)+COUNTIF('01_Fuentes'!$A$5:$A$40,H74)=1,0,1)</x:f>
        <x:v>0</x:v>
      </x:c>
    </x:row>
    <x:row r="75" ht="47" customHeight="1">
      <x:c r="A75" s="4" t="str">
        <x:v>TC-071</x:v>
      </x:c>
      <x:c r="B75" s="4" t="str">
        <x:v>URJC-35</x:v>
      </x:c>
      <x:c r="C75" s="4" t="str">
        <x:v>ASIGNATURA</x:v>
      </x:c>
      <x:c r="D75" s="4" t="str">
        <x:v>CYO-26</x:v>
      </x:c>
      <x:c r="E75" s="4" t="str">
        <x:v>Métodos cualitativos; FAIR; Montecarlo; calibración; retornos; transferencia y sesgos.</x:v>
      </x:c>
      <x:c r="F75" s="4" t="str">
        <x:v>Escoger métodos, estimar riesgo y justificar tratamiento y comunicación.</x:v>
      </x:c>
      <x:c r="G75" s="4" t="str">
        <x:v>Sin esta base puede faltar capacidad para comprender o justificar el juicio exigido por CYO-26.</x:v>
      </x:c>
      <x:c r="H75" s="4" t="str">
        <x:v>R035</x:v>
      </x:c>
      <x:c r="I75" s="4" t="str">
        <x:v>II; III (códigos); IV; actividad académica según guía</x:v>
      </x:c>
      <x:c r="J75" s="4" t="str">
        <x:v>ANCLA EDUCATIVA; ENLACE PROPUESTO</x:v>
      </x:c>
      <x:c r="K75" s="12" t="n">
        <x:f>IF(OR(D75="TRANSVERSAL",D75="RESERVA",COUNTIF('26_Mapa_universos'!$A$5:$A$33,D75)=1),0,1)</x:f>
        <x:v>0</x:v>
      </x:c>
      <x:c r="L75" s="12" t="n">
        <x:f>IF(COUNTIF('21_Fuentes_educativas'!$A$5:$A$188,H75)+COUNTIF('01_Fuentes'!$A$5:$A$40,H75)=1,0,1)</x:f>
        <x:v>0</x:v>
      </x:c>
    </x:row>
    <x:row r="76" ht="47" customHeight="1">
      <x:c r="A76" s="4" t="str">
        <x:v>TC-072</x:v>
      </x:c>
      <x:c r="B76" s="4" t="str">
        <x:v>URJC-36</x:v>
      </x:c>
      <x:c r="C76" s="4" t="str">
        <x:v>ASIGNATURA</x:v>
      </x:c>
      <x:c r="D76" s="4" t="str">
        <x:v>CYO-14</x:v>
      </x:c>
      <x:c r="E76" s="4" t="str">
        <x:v>Sistemas industriales; infraestructuras críticas; interdependencias.</x:v>
      </x:c>
      <x:c r="F76" s="4" t="str">
        <x:v>Analizar amenazas y medidas considerando efectos en sistemas físicos.</x:v>
      </x:c>
      <x:c r="G76" s="4" t="str">
        <x:v>Sin esta base puede faltar capacidad para comprender o justificar el juicio exigido por CYO-14.</x:v>
      </x:c>
      <x:c r="H76" s="4" t="str">
        <x:v>R036</x:v>
      </x:c>
      <x:c r="I76" s="4" t="str">
        <x:v>II; III (códigos); IV; actividad académica según guía</x:v>
      </x:c>
      <x:c r="J76" s="4" t="str">
        <x:v>ANCLA EDUCATIVA; ENLACE PROPUESTO</x:v>
      </x:c>
      <x:c r="K76" s="12" t="n">
        <x:f>IF(OR(D76="TRANSVERSAL",D76="RESERVA",COUNTIF('26_Mapa_universos'!$A$5:$A$33,D76)=1),0,1)</x:f>
        <x:v>0</x:v>
      </x:c>
      <x:c r="L76" s="12" t="n">
        <x:f>IF(COUNTIF('21_Fuentes_educativas'!$A$5:$A$188,H76)+COUNTIF('01_Fuentes'!$A$5:$A$40,H76)=1,0,1)</x:f>
        <x:v>0</x:v>
      </x:c>
    </x:row>
    <x:row r="77" ht="47" customHeight="1">
      <x:c r="A77" s="4" t="str">
        <x:v>TC-073</x:v>
      </x:c>
      <x:c r="B77" s="4" t="str">
        <x:v>URJC-36</x:v>
      </x:c>
      <x:c r="C77" s="4" t="str">
        <x:v>ASIGNATURA</x:v>
      </x:c>
      <x:c r="D77" s="4" t="str">
        <x:v>CYO-25</x:v>
      </x:c>
      <x:c r="E77" s="4" t="str">
        <x:v>Sistemas industriales; infraestructuras críticas; interdependencias.</x:v>
      </x:c>
      <x:c r="F77" s="4" t="str">
        <x:v>Analizar amenazas y medidas considerando efectos en sistemas físicos.</x:v>
      </x:c>
      <x:c r="G77" s="4" t="str">
        <x:v>Sin esta base puede faltar capacidad para comprender o justificar el juicio exigido por CYO-25.</x:v>
      </x:c>
      <x:c r="H77" s="4" t="str">
        <x:v>R036</x:v>
      </x:c>
      <x:c r="I77" s="4" t="str">
        <x:v>II; III (códigos); IV; actividad académica según guía</x:v>
      </x:c>
      <x:c r="J77" s="4" t="str">
        <x:v>ANCLA EDUCATIVA; ENLACE PROPUESTO</x:v>
      </x:c>
      <x:c r="K77" s="12" t="n">
        <x:f>IF(OR(D77="TRANSVERSAL",D77="RESERVA",COUNTIF('26_Mapa_universos'!$A$5:$A$33,D77)=1),0,1)</x:f>
        <x:v>0</x:v>
      </x:c>
      <x:c r="L77" s="12" t="n">
        <x:f>IF(COUNTIF('21_Fuentes_educativas'!$A$5:$A$188,H77)+COUNTIF('01_Fuentes'!$A$5:$A$40,H77)=1,0,1)</x:f>
        <x:v>0</x:v>
      </x:c>
    </x:row>
    <x:row r="78" ht="47" customHeight="1">
      <x:c r="A78" s="4" t="str">
        <x:v>TC-074</x:v>
      </x:c>
      <x:c r="B78" s="4" t="str">
        <x:v>URJC-37</x:v>
      </x:c>
      <x:c r="C78" s="4" t="str">
        <x:v>ASIGNATURA</x:v>
      </x:c>
      <x:c r="D78" s="4" t="str">
        <x:v>CYO-15</x:v>
      </x:c>
      <x:c r="E78" s="4" t="str">
        <x:v>Gobierno; estrategia; regulación; políticas y controles.</x:v>
      </x:c>
      <x:c r="F78" s="4" t="str">
        <x:v>Definir y valorar gobierno de seguridad en su contexto.</x:v>
      </x:c>
      <x:c r="G78" s="4" t="str">
        <x:v>Sin esta base puede faltar capacidad para comprender o justificar el juicio exigido por CYO-15.</x:v>
      </x:c>
      <x:c r="H78" s="4" t="str">
        <x:v>R037</x:v>
      </x:c>
      <x:c r="I78" s="4" t="str">
        <x:v>II; III (códigos); IV; actividad académica según guía</x:v>
      </x:c>
      <x:c r="J78" s="4" t="str">
        <x:v>ANCLA EDUCATIVA; ENLACE PROPUESTO</x:v>
      </x:c>
      <x:c r="K78" s="12" t="n">
        <x:f>IF(OR(D78="TRANSVERSAL",D78="RESERVA",COUNTIF('26_Mapa_universos'!$A$5:$A$33,D78)=1),0,1)</x:f>
        <x:v>0</x:v>
      </x:c>
      <x:c r="L78" s="12" t="n">
        <x:f>IF(COUNTIF('21_Fuentes_educativas'!$A$5:$A$188,H78)+COUNTIF('01_Fuentes'!$A$5:$A$40,H78)=1,0,1)</x:f>
        <x:v>0</x:v>
      </x:c>
    </x:row>
    <x:row r="79" ht="47" customHeight="1">
      <x:c r="A79" s="4" t="str">
        <x:v>TC-075</x:v>
      </x:c>
      <x:c r="B79" s="4" t="str">
        <x:v>URJC-37</x:v>
      </x:c>
      <x:c r="C79" s="4" t="str">
        <x:v>ASIGNATURA</x:v>
      </x:c>
      <x:c r="D79" s="4" t="str">
        <x:v>CYO-21</x:v>
      </x:c>
      <x:c r="E79" s="4" t="str">
        <x:v>Gobierno; estrategia; regulación; políticas y controles.</x:v>
      </x:c>
      <x:c r="F79" s="4" t="str">
        <x:v>Definir y valorar gobierno de seguridad en su contexto.</x:v>
      </x:c>
      <x:c r="G79" s="4" t="str">
        <x:v>Sin esta base puede faltar capacidad para comprender o justificar el juicio exigido por CYO-21.</x:v>
      </x:c>
      <x:c r="H79" s="4" t="str">
        <x:v>R037</x:v>
      </x:c>
      <x:c r="I79" s="4" t="str">
        <x:v>II; III (códigos); IV; actividad académica según guía</x:v>
      </x:c>
      <x:c r="J79" s="4" t="str">
        <x:v>ANCLA EDUCATIVA; ENLACE PROPUESTO</x:v>
      </x:c>
      <x:c r="K79" s="12" t="n">
        <x:f>IF(OR(D79="TRANSVERSAL",D79="RESERVA",COUNTIF('26_Mapa_universos'!$A$5:$A$33,D79)=1),0,1)</x:f>
        <x:v>0</x:v>
      </x:c>
      <x:c r="L79" s="12" t="n">
        <x:f>IF(COUNTIF('21_Fuentes_educativas'!$A$5:$A$188,H79)+COUNTIF('01_Fuentes'!$A$5:$A$40,H79)=1,0,1)</x:f>
        <x:v>0</x:v>
      </x:c>
    </x:row>
    <x:row r="80" ht="47" customHeight="1">
      <x:c r="A80" s="4" t="str">
        <x:v>TC-076</x:v>
      </x:c>
      <x:c r="B80" s="4" t="str">
        <x:v>URJC-37</x:v>
      </x:c>
      <x:c r="C80" s="4" t="str">
        <x:v>ASIGNATURA</x:v>
      </x:c>
      <x:c r="D80" s="4" t="str">
        <x:v>CYO-29</x:v>
      </x:c>
      <x:c r="E80" s="4" t="str">
        <x:v>Gobierno; estrategia; regulación; políticas y controles.</x:v>
      </x:c>
      <x:c r="F80" s="4" t="str">
        <x:v>Definir y valorar gobierno de seguridad en su contexto.</x:v>
      </x:c>
      <x:c r="G80" s="4" t="str">
        <x:v>Sin esta base puede faltar capacidad para comprender o justificar el juicio exigido por CYO-29.</x:v>
      </x:c>
      <x:c r="H80" s="4" t="str">
        <x:v>R037</x:v>
      </x:c>
      <x:c r="I80" s="4" t="str">
        <x:v>II; III (códigos); IV; actividad académica según guía</x:v>
      </x:c>
      <x:c r="J80" s="4" t="str">
        <x:v>ANCLA EDUCATIVA; ENLACE PROPUESTO</x:v>
      </x:c>
      <x:c r="K80" s="12" t="n">
        <x:f>IF(OR(D80="TRANSVERSAL",D80="RESERVA",COUNTIF('26_Mapa_universos'!$A$5:$A$33,D80)=1),0,1)</x:f>
        <x:v>0</x:v>
      </x:c>
      <x:c r="L80" s="12" t="n">
        <x:f>IF(COUNTIF('21_Fuentes_educativas'!$A$5:$A$188,H80)+COUNTIF('01_Fuentes'!$A$5:$A$40,H80)=1,0,1)</x:f>
        <x:v>0</x:v>
      </x:c>
    </x:row>
    <x:row r="81" ht="47" customHeight="1">
      <x:c r="A81" s="4" t="str">
        <x:v>TC-077</x:v>
      </x:c>
      <x:c r="B81" s="4" t="str">
        <x:v>URJC-38</x:v>
      </x:c>
      <x:c r="C81" s="4" t="str">
        <x:v>ASIGNATURA</x:v>
      </x:c>
      <x:c r="D81" s="4" t="str">
        <x:v>CYO-22</x:v>
      </x:c>
      <x:c r="E81" s="4" t="str">
        <x:v>Aplicación tutelada, responsabilidad y adaptación al contexto profesional.</x:v>
      </x:c>
      <x:c r="F81" s="4" t="str">
        <x:v>Integrar conocimientos, resolver problemas y documentar la actuación.</x:v>
      </x:c>
      <x:c r="G81" s="4" t="str">
        <x:v>Sin esta base puede faltar capacidad para comprender o justificar el juicio exigido por CYO-22.</x:v>
      </x:c>
      <x:c r="H81" s="4" t="str">
        <x:v>R038</x:v>
      </x:c>
      <x:c r="I81" s="4" t="str">
        <x:v>II; III (códigos); IV; VII.A para prácticas/TFG</x:v>
      </x:c>
      <x:c r="J81" s="4" t="str">
        <x:v>ANCLA EDUCATIVA; ENLACE PROPUESTO</x:v>
      </x:c>
      <x:c r="K81" s="12" t="n">
        <x:f>IF(OR(D81="TRANSVERSAL",D81="RESERVA",COUNTIF('26_Mapa_universos'!$A$5:$A$33,D81)=1),0,1)</x:f>
        <x:v>0</x:v>
      </x:c>
      <x:c r="L81" s="12" t="n">
        <x:f>IF(COUNTIF('21_Fuentes_educativas'!$A$5:$A$188,H81)+COUNTIF('01_Fuentes'!$A$5:$A$40,H81)=1,0,1)</x:f>
        <x:v>0</x:v>
      </x:c>
    </x:row>
    <x:row r="82" ht="47" customHeight="1">
      <x:c r="A82" s="4" t="str">
        <x:v>TC-078</x:v>
      </x:c>
      <x:c r="B82" s="4" t="str">
        <x:v>URJC-39</x:v>
      </x:c>
      <x:c r="C82" s="4" t="str">
        <x:v>ASIGNATURA</x:v>
      </x:c>
      <x:c r="D82" s="4" t="str">
        <x:v>TRANSVERSAL</x:v>
      </x:c>
      <x:c r="E82" s="4" t="str">
        <x:v>Participación universitaria reconocida académicamente.</x:v>
      </x:c>
      <x:c r="F82" s="4" t="str">
        <x:v>Contribuir a actividades transversales acreditables.</x:v>
      </x:c>
      <x:c r="G82" s="4" t="str">
        <x:v>Formación transversal identificada; no se adjudica una capacidad técnica específica ni un nuevo universo.</x:v>
      </x:c>
      <x:c r="H82" s="4" t="str">
        <x:v>R039</x:v>
      </x:c>
      <x:c r="I82" s="4" t="str">
        <x:v>II; III (códigos); IV; actividad académica según guía</x:v>
      </x:c>
      <x:c r="J82" s="4" t="str">
        <x:v>ANCLA EDUCATIVA; ENLACE PROPUESTO</x:v>
      </x:c>
      <x:c r="K82" s="12" t="n">
        <x:f>IF(OR(D82="TRANSVERSAL",D82="RESERVA",COUNTIF('26_Mapa_universos'!$A$5:$A$33,D82)=1),0,1)</x:f>
        <x:v>0</x:v>
      </x:c>
      <x:c r="L82" s="12" t="n">
        <x:f>IF(COUNTIF('21_Fuentes_educativas'!$A$5:$A$188,H82)+COUNTIF('01_Fuentes'!$A$5:$A$40,H82)=1,0,1)</x:f>
        <x:v>0</x:v>
      </x:c>
    </x:row>
    <x:row r="83" ht="47" customHeight="1">
      <x:c r="A83" s="4" t="str">
        <x:v>TC-079</x:v>
      </x:c>
      <x:c r="B83" s="4" t="str">
        <x:v>URJC-40</x:v>
      </x:c>
      <x:c r="C83" s="4" t="str">
        <x:v>ASIGNATURA</x:v>
      </x:c>
      <x:c r="D83" s="4" t="str">
        <x:v>CYO-18</x:v>
      </x:c>
      <x:c r="E83" s="4" t="str">
        <x:v>Integración, interpretación de datos, juicio ético y comunicación mediante un trabajo final.</x:v>
      </x:c>
      <x:c r="F83" s="4" t="str">
        <x:v>Plantear y defender un proyecto; discutir resultados y conclusiones con el tutor.</x:v>
      </x:c>
      <x:c r="G83" s="4" t="str">
        <x:v>Sin esta base puede faltar capacidad para comprender o justificar el juicio exigido por CYO-18.</x:v>
      </x:c>
      <x:c r="H83" s="4" t="str">
        <x:v>R040</x:v>
      </x:c>
      <x:c r="I83" s="4" t="str">
        <x:v>II; III (códigos); IV; VII.A para prácticas/TFG</x:v>
      </x:c>
      <x:c r="J83" s="4" t="str">
        <x:v>ANCLA EDUCATIVA; ENLACE PROPUESTO</x:v>
      </x:c>
      <x:c r="K83" s="12" t="n">
        <x:f>IF(OR(D83="TRANSVERSAL",D83="RESERVA",COUNTIF('26_Mapa_universos'!$A$5:$A$33,D83)=1),0,1)</x:f>
        <x:v>0</x:v>
      </x:c>
      <x:c r="L83" s="12" t="n">
        <x:f>IF(COUNTIF('21_Fuentes_educativas'!$A$5:$A$188,H83)+COUNTIF('01_Fuentes'!$A$5:$A$40,H83)=1,0,1)</x:f>
        <x:v>0</x:v>
      </x:c>
    </x:row>
    <x:row r="84" ht="47" customHeight="1">
      <x:c r="A84" s="4" t="str">
        <x:v>TC-080</x:v>
      </x:c>
      <x:c r="B84" s="4" t="str">
        <x:v>URJC-40</x:v>
      </x:c>
      <x:c r="C84" s="4" t="str">
        <x:v>ASIGNATURA</x:v>
      </x:c>
      <x:c r="D84" s="4" t="str">
        <x:v>CYO-19</x:v>
      </x:c>
      <x:c r="E84" s="4" t="str">
        <x:v>Integración, interpretación de datos, juicio ético y comunicación mediante un trabajo final.</x:v>
      </x:c>
      <x:c r="F84" s="4" t="str">
        <x:v>Plantear y defender un proyecto; discutir resultados y conclusiones con el tutor.</x:v>
      </x:c>
      <x:c r="G84" s="4" t="str">
        <x:v>Sin esta base puede faltar capacidad para comprender o justificar el juicio exigido por CYO-19.</x:v>
      </x:c>
      <x:c r="H84" s="4" t="str">
        <x:v>R040</x:v>
      </x:c>
      <x:c r="I84" s="4" t="str">
        <x:v>II; III (códigos); IV; VII.A para prácticas/TFG</x:v>
      </x:c>
      <x:c r="J84" s="4" t="str">
        <x:v>ANCLA EDUCATIVA; ENLACE PROPUESTO</x:v>
      </x:c>
      <x:c r="K84" s="12" t="n">
        <x:f>IF(OR(D84="TRANSVERSAL",D84="RESERVA",COUNTIF('26_Mapa_universos'!$A$5:$A$33,D84)=1),0,1)</x:f>
        <x:v>0</x:v>
      </x:c>
      <x:c r="L84" s="12" t="n">
        <x:f>IF(COUNTIF('21_Fuentes_educativas'!$A$5:$A$188,H84)+COUNTIF('01_Fuentes'!$A$5:$A$40,H84)=1,0,1)</x:f>
        <x:v>0</x:v>
      </x:c>
    </x:row>
    <x:row r="85" ht="47" customHeight="1">
      <x:c r="A85" s="4" t="str">
        <x:v>TC-081</x:v>
      </x:c>
      <x:c r="B85" s="4" t="str">
        <x:v>URJC-40</x:v>
      </x:c>
      <x:c r="C85" s="4" t="str">
        <x:v>ASIGNATURA</x:v>
      </x:c>
      <x:c r="D85" s="4" t="str">
        <x:v>CYO-22</x:v>
      </x:c>
      <x:c r="E85" s="4" t="str">
        <x:v>Integración, interpretación de datos, juicio ético y comunicación mediante un trabajo final.</x:v>
      </x:c>
      <x:c r="F85" s="4" t="str">
        <x:v>Plantear y defender un proyecto; discutir resultados y conclusiones con el tutor.</x:v>
      </x:c>
      <x:c r="G85" s="4" t="str">
        <x:v>Sin esta base puede faltar capacidad para comprender o justificar el juicio exigido por CYO-22.</x:v>
      </x:c>
      <x:c r="H85" s="4" t="str">
        <x:v>R040</x:v>
      </x:c>
      <x:c r="I85" s="4" t="str">
        <x:v>II; III (códigos); IV; VII.A para prácticas/TFG</x:v>
      </x:c>
      <x:c r="J85" s="4" t="str">
        <x:v>ANCLA EDUCATIVA; ENLACE PROPUESTO</x:v>
      </x:c>
      <x:c r="K85" s="12" t="n">
        <x:f>IF(OR(D85="TRANSVERSAL",D85="RESERVA",COUNTIF('26_Mapa_universos'!$A$5:$A$33,D85)=1),0,1)</x:f>
        <x:v>0</x:v>
      </x:c>
      <x:c r="L85" s="12" t="n">
        <x:f>IF(COUNTIF('21_Fuentes_educativas'!$A$5:$A$188,H85)+COUNTIF('01_Fuentes'!$A$5:$A$40,H85)=1,0,1)</x:f>
        <x:v>0</x:v>
      </x:c>
    </x:row>
    <x:row r="86" ht="47" customHeight="1">
      <x:c r="A86" s="4" t="str">
        <x:v>TC-082</x:v>
      </x:c>
      <x:c r="B86" s="4" t="str">
        <x:v>CE-01</x:v>
      </x:c>
      <x:c r="C86" s="4" t="str">
        <x:v>COMPLEMENTO</x:v>
      </x:c>
      <x:c r="D86" s="4" t="str">
        <x:v>CYO-23</x:v>
      </x:c>
      <x:c r="E86" s="4" t="str">
        <x:v>Preparación de datos y aprendizaje supervisado/no supervisado aplicado a amenazas.</x:v>
      </x:c>
      <x:c r="F86" s="4" t="str">
        <x:v>Interpretar características de logs o archivos y evaluar modelos en escenarios de ciberseguridad.</x:v>
      </x:c>
      <x:c r="G86" s="4" t="str">
        <x:v>La diferencia sólo se admite en el alcance justificado; evitar falsa cobertura por un título.</x:v>
      </x:c>
      <x:c r="H86" s="4" t="str">
        <x:v>M002</x:v>
      </x:c>
      <x:c r="I86" s="4" t="str">
        <x:v>CLO1–5; proyecto 35%, informe y presentación 35%, examen 30%.</x:v>
      </x:c>
      <x:c r="J86" s="4" t="str">
        <x:v>PROFUNDIZACIÓN PROPUESTA</x:v>
      </x:c>
      <x:c r="K86" s="12" t="n">
        <x:f>IF(OR(D86="TRANSVERSAL",D86="RESERVA",COUNTIF('26_Mapa_universos'!$A$5:$A$33,D86)=1),0,1)</x:f>
        <x:v>0</x:v>
      </x:c>
      <x:c r="L86" s="12" t="n">
        <x:f>IF(COUNTIF('21_Fuentes_educativas'!$A$5:$A$188,H86)+COUNTIF('01_Fuentes'!$A$5:$A$40,H86)=1,0,1)</x:f>
        <x:v>0</x:v>
      </x:c>
    </x:row>
    <x:row r="87" ht="47" customHeight="1">
      <x:c r="A87" s="4" t="str">
        <x:v>TC-083</x:v>
      </x:c>
      <x:c r="B87" s="4" t="str">
        <x:v>CE-01</x:v>
      </x:c>
      <x:c r="C87" s="4" t="str">
        <x:v>COMPLEMENTO</x:v>
      </x:c>
      <x:c r="D87" s="4" t="str">
        <x:v>CYO-27</x:v>
      </x:c>
      <x:c r="E87" s="4" t="str">
        <x:v>Preparación de datos y aprendizaje supervisado/no supervisado aplicado a amenazas.</x:v>
      </x:c>
      <x:c r="F87" s="4" t="str">
        <x:v>Interpretar características de logs o archivos y evaluar modelos en escenarios de ciberseguridad.</x:v>
      </x:c>
      <x:c r="G87" s="4" t="str">
        <x:v>La diferencia sólo se admite en el alcance justificado; evitar falsa cobertura por un título.</x:v>
      </x:c>
      <x:c r="H87" s="4" t="str">
        <x:v>M002</x:v>
      </x:c>
      <x:c r="I87" s="4" t="str">
        <x:v>CLO1–5; proyecto 35%, informe y presentación 35%, examen 30%.</x:v>
      </x:c>
      <x:c r="J87" s="4" t="str">
        <x:v>PROFUNDIZACIÓN PROPUESTA</x:v>
      </x:c>
      <x:c r="K87" s="12" t="n">
        <x:f>IF(OR(D87="TRANSVERSAL",D87="RESERVA",COUNTIF('26_Mapa_universos'!$A$5:$A$33,D87)=1),0,1)</x:f>
        <x:v>0</x:v>
      </x:c>
      <x:c r="L87" s="12" t="n">
        <x:f>IF(COUNTIF('21_Fuentes_educativas'!$A$5:$A$188,H87)+COUNTIF('01_Fuentes'!$A$5:$A$40,H87)=1,0,1)</x:f>
        <x:v>0</x:v>
      </x:c>
    </x:row>
    <x:row r="88" ht="47" customHeight="1">
      <x:c r="A88" s="4" t="str">
        <x:v>TC-084</x:v>
      </x:c>
      <x:c r="B88" s="4" t="str">
        <x:v>CE-02</x:v>
      </x:c>
      <x:c r="C88" s="4" t="str">
        <x:v>COMPLEMENTO</x:v>
      </x:c>
      <x:c r="D88" s="4" t="str">
        <x:v>CYO-23</x:v>
      </x:c>
      <x:c r="E88" s="4" t="str">
        <x:v>Redes neuronales y desarrollo de procesos completos de aprendizaje profundo.</x:v>
      </x:c>
      <x:c r="F88" s="4" t="str">
        <x:v>Evaluar rendimiento, recursos, escalabilidad y riesgos de modelos en datos de seguridad.</x:v>
      </x:c>
      <x:c r="G88" s="4" t="str">
        <x:v>La diferencia sólo se admite en el alcance justificado; evitar falsa cobertura por un título.</x:v>
      </x:c>
      <x:c r="H88" s="4" t="str">
        <x:v>M004</x:v>
      </x:c>
      <x:c r="I88" s="4" t="str">
        <x:v>CLO1–5; laboratorio 30%, casos 30%, evaluación final 40%.</x:v>
      </x:c>
      <x:c r="J88" s="4" t="str">
        <x:v>PROFUNDIZACIÓN PROPUESTA</x:v>
      </x:c>
      <x:c r="K88" s="12" t="n">
        <x:f>IF(OR(D88="TRANSVERSAL",D88="RESERVA",COUNTIF('26_Mapa_universos'!$A$5:$A$33,D88)=1),0,1)</x:f>
        <x:v>0</x:v>
      </x:c>
      <x:c r="L88" s="12" t="n">
        <x:f>IF(COUNTIF('21_Fuentes_educativas'!$A$5:$A$188,H88)+COUNTIF('01_Fuentes'!$A$5:$A$40,H88)=1,0,1)</x:f>
        <x:v>0</x:v>
      </x:c>
    </x:row>
    <x:row r="89" ht="47" customHeight="1">
      <x:c r="A89" s="4" t="str">
        <x:v>TC-085</x:v>
      </x:c>
      <x:c r="B89" s="4" t="str">
        <x:v>CE-03</x:v>
      </x:c>
      <x:c r="C89" s="4" t="str">
        <x:v>COMPLEMENTO</x:v>
      </x:c>
      <x:c r="D89" s="4" t="str">
        <x:v>CYO-15</x:v>
      </x:c>
      <x:c r="E89" s="4" t="str">
        <x:v>Aprendizaje adversarial, explicabilidad, generalización y robustez.</x:v>
      </x:c>
      <x:c r="F89" s="4" t="str">
        <x:v>Evaluar y mitigar ataques contra modelos; justificar límites éticos y técnicos.</x:v>
      </x:c>
      <x:c r="G89" s="4" t="str">
        <x:v>La diferencia sólo se admite en el alcance justificado; evitar falsa cobertura por un título.</x:v>
      </x:c>
      <x:c r="H89" s="4" t="str">
        <x:v>M003</x:v>
      </x:c>
      <x:c r="I89" s="4" t="str">
        <x:v>CLO1–5; casos/presentación 20%, laboratorio 40%, evaluación final 40%.</x:v>
      </x:c>
      <x:c r="J89" s="4" t="str">
        <x:v>PROFUNDIZACIÓN PROPUESTA</x:v>
      </x:c>
      <x:c r="K89" s="12" t="n">
        <x:f>IF(OR(D89="TRANSVERSAL",D89="RESERVA",COUNTIF('26_Mapa_universos'!$A$5:$A$33,D89)=1),0,1)</x:f>
        <x:v>0</x:v>
      </x:c>
      <x:c r="L89" s="12" t="n">
        <x:f>IF(COUNTIF('21_Fuentes_educativas'!$A$5:$A$188,H89)+COUNTIF('01_Fuentes'!$A$5:$A$40,H89)=1,0,1)</x:f>
        <x:v>0</x:v>
      </x:c>
    </x:row>
    <x:row r="90" ht="47" customHeight="1">
      <x:c r="A90" s="4" t="str">
        <x:v>TC-086</x:v>
      </x:c>
      <x:c r="B90" s="4" t="str">
        <x:v>CE-03</x:v>
      </x:c>
      <x:c r="C90" s="4" t="str">
        <x:v>COMPLEMENTO</x:v>
      </x:c>
      <x:c r="D90" s="4" t="str">
        <x:v>CYO-23</x:v>
      </x:c>
      <x:c r="E90" s="4" t="str">
        <x:v>Aprendizaje adversarial, explicabilidad, generalización y robustez.</x:v>
      </x:c>
      <x:c r="F90" s="4" t="str">
        <x:v>Evaluar y mitigar ataques contra modelos; justificar límites éticos y técnicos.</x:v>
      </x:c>
      <x:c r="G90" s="4" t="str">
        <x:v>La diferencia sólo se admite en el alcance justificado; evitar falsa cobertura por un título.</x:v>
      </x:c>
      <x:c r="H90" s="4" t="str">
        <x:v>M003</x:v>
      </x:c>
      <x:c r="I90" s="4" t="str">
        <x:v>CLO1–5; casos/presentación 20%, laboratorio 40%, evaluación final 40%.</x:v>
      </x:c>
      <x:c r="J90" s="4" t="str">
        <x:v>PROFUNDIZACIÓN PROPUESTA</x:v>
      </x:c>
      <x:c r="K90" s="12" t="n">
        <x:f>IF(OR(D90="TRANSVERSAL",D90="RESERVA",COUNTIF('26_Mapa_universos'!$A$5:$A$33,D90)=1),0,1)</x:f>
        <x:v>0</x:v>
      </x:c>
      <x:c r="L90" s="12" t="n">
        <x:f>IF(COUNTIF('21_Fuentes_educativas'!$A$5:$A$188,H90)+COUNTIF('01_Fuentes'!$A$5:$A$40,H90)=1,0,1)</x:f>
        <x:v>0</x:v>
      </x:c>
    </x:row>
    <x:row r="91" ht="47" customHeight="1">
      <x:c r="A91" s="4" t="str">
        <x:v>TC-087</x:v>
      </x:c>
      <x:c r="B91" s="4" t="str">
        <x:v>CE-03</x:v>
      </x:c>
      <x:c r="C91" s="4" t="str">
        <x:v>COMPLEMENTO</x:v>
      </x:c>
      <x:c r="D91" s="4" t="str">
        <x:v>CYO-29</x:v>
      </x:c>
      <x:c r="E91" s="4" t="str">
        <x:v>Aprendizaje adversarial, explicabilidad, generalización y robustez.</x:v>
      </x:c>
      <x:c r="F91" s="4" t="str">
        <x:v>Evaluar y mitigar ataques contra modelos; justificar límites éticos y técnicos.</x:v>
      </x:c>
      <x:c r="G91" s="4" t="str">
        <x:v>La diferencia sólo se admite en el alcance justificado; evitar falsa cobertura por un título.</x:v>
      </x:c>
      <x:c r="H91" s="4" t="str">
        <x:v>M003</x:v>
      </x:c>
      <x:c r="I91" s="4" t="str">
        <x:v>CLO1–5; casos/presentación 20%, laboratorio 40%, evaluación final 40%.</x:v>
      </x:c>
      <x:c r="J91" s="4" t="str">
        <x:v>PROFUNDIZACIÓN PROPUESTA</x:v>
      </x:c>
      <x:c r="K91" s="12" t="n">
        <x:f>IF(OR(D91="TRANSVERSAL",D91="RESERVA",COUNTIF('26_Mapa_universos'!$A$5:$A$33,D91)=1),0,1)</x:f>
        <x:v>0</x:v>
      </x:c>
      <x:c r="L91" s="12" t="n">
        <x:f>IF(COUNTIF('21_Fuentes_educativas'!$A$5:$A$188,H91)+COUNTIF('01_Fuentes'!$A$5:$A$40,H91)=1,0,1)</x:f>
        <x:v>0</x:v>
      </x:c>
    </x:row>
    <x:row r="92" ht="47" customHeight="1">
      <x:c r="A92" s="4" t="str">
        <x:v>TC-088</x:v>
      </x:c>
      <x:c r="B92" s="4" t="str">
        <x:v>CE-04</x:v>
      </x:c>
      <x:c r="C92" s="4" t="str">
        <x:v>COMPLEMENTO</x:v>
      </x:c>
      <x:c r="D92" s="4" t="str">
        <x:v>CYO-19</x:v>
      </x:c>
      <x:c r="E92" s="4" t="str">
        <x:v>Proyecto profesional con reflexión y revisión de decisiones.</x:v>
      </x:c>
      <x:c r="F92" s="4" t="str">
        <x:v>Presentar alcance, justificar cambios, evaluar limitaciones y explicar la contribución individual.</x:v>
      </x:c>
      <x:c r="G92" s="4" t="str">
        <x:v>La diferencia sólo se admite en el alcance justificado; evitar falsa cobertura por un título.</x:v>
      </x:c>
      <x:c r="H92" s="4" t="str">
        <x:v>M001</x:v>
      </x:c>
      <x:c r="I92" s="4" t="str">
        <x:v>CLO1–6; desarrollo 40%, progreso 10%, informe 30%, portafolio 20%.</x:v>
      </x:c>
      <x:c r="J92" s="4" t="str">
        <x:v>REFUERZO DEL MÉTODO PROPUESTO</x:v>
      </x:c>
      <x:c r="K92" s="12" t="n">
        <x:f>IF(OR(D92="TRANSVERSAL",D92="RESERVA",COUNTIF('26_Mapa_universos'!$A$5:$A$33,D92)=1),0,1)</x:f>
        <x:v>0</x:v>
      </x:c>
      <x:c r="L92" s="12" t="n">
        <x:f>IF(COUNTIF('21_Fuentes_educativas'!$A$5:$A$188,H92)+COUNTIF('01_Fuentes'!$A$5:$A$40,H92)=1,0,1)</x:f>
        <x:v>0</x:v>
      </x:c>
    </x:row>
    <x:row r="93" ht="47" customHeight="1">
      <x:c r="A93" s="4" t="str">
        <x:v>TC-089</x:v>
      </x:c>
      <x:c r="B93" s="4" t="str">
        <x:v>CE-04</x:v>
      </x:c>
      <x:c r="C93" s="4" t="str">
        <x:v>COMPLEMENTO</x:v>
      </x:c>
      <x:c r="D93" s="4" t="str">
        <x:v>CYO-22</x:v>
      </x:c>
      <x:c r="E93" s="4" t="str">
        <x:v>Proyecto profesional con reflexión y revisión de decisiones.</x:v>
      </x:c>
      <x:c r="F93" s="4" t="str">
        <x:v>Presentar alcance, justificar cambios, evaluar limitaciones y explicar la contribución individual.</x:v>
      </x:c>
      <x:c r="G93" s="4" t="str">
        <x:v>La diferencia sólo se admite en el alcance justificado; evitar falsa cobertura por un título.</x:v>
      </x:c>
      <x:c r="H93" s="4" t="str">
        <x:v>M001</x:v>
      </x:c>
      <x:c r="I93" s="4" t="str">
        <x:v>CLO1–6; desarrollo 40%, progreso 10%, informe 30%, portafolio 20%.</x:v>
      </x:c>
      <x:c r="J93" s="4" t="str">
        <x:v>REFUERZO DEL MÉTODO PROPUESTO</x:v>
      </x:c>
      <x:c r="K93" s="12" t="n">
        <x:f>IF(OR(D93="TRANSVERSAL",D93="RESERVA",COUNTIF('26_Mapa_universos'!$A$5:$A$33,D93)=1),0,1)</x:f>
        <x:v>0</x:v>
      </x:c>
      <x:c r="L93" s="12" t="n">
        <x:f>IF(COUNTIF('21_Fuentes_educativas'!$A$5:$A$188,H93)+COUNTIF('01_Fuentes'!$A$5:$A$40,H93)=1,0,1)</x:f>
        <x:v>0</x:v>
      </x:c>
    </x:row>
    <x:row r="94" ht="47" customHeight="1">
      <x:c r="A94" s="4" t="str">
        <x:v>TC-090</x:v>
      </x:c>
      <x:c r="B94" s="4" t="str">
        <x:v>CE-05</x:v>
      </x:c>
      <x:c r="C94" s="4" t="str">
        <x:v>COMPLEMENTO</x:v>
      </x:c>
      <x:c r="D94" s="4" t="str">
        <x:v>CYO-03</x:v>
      </x:c>
      <x:c r="E94" s="4" t="str">
        <x:v>Usabilidad de mecanismos de seguridad; factores individuales, organizativos y sociales.</x:v>
      </x:c>
      <x:c r="F94" s="4" t="str">
        <x:v>Evaluar consecuencias del comportamiento y diseñar controles utilizables.</x:v>
      </x:c>
      <x:c r="G94" s="4" t="str">
        <x:v>La diferencia sólo se admite en el alcance justificado; evitar falsa cobertura por un título.</x:v>
      </x:c>
      <x:c r="H94" s="4" t="str">
        <x:v>W010</x:v>
      </x:c>
      <x:c r="I94" s="4" t="str">
        <x:v>Learning outcomes; evaluación de criterios de usabilidad y factores humanos.</x:v>
      </x:c>
      <x:c r="J94" s="4" t="str">
        <x:v>PROFUNDIZACIÓN PROPUESTA</x:v>
      </x:c>
      <x:c r="K94" s="12" t="n">
        <x:f>IF(OR(D94="TRANSVERSAL",D94="RESERVA",COUNTIF('26_Mapa_universos'!$A$5:$A$33,D94)=1),0,1)</x:f>
        <x:v>0</x:v>
      </x:c>
      <x:c r="L94" s="12" t="n">
        <x:f>IF(COUNTIF('21_Fuentes_educativas'!$A$5:$A$188,H94)+COUNTIF('01_Fuentes'!$A$5:$A$40,H94)=1,0,1)</x:f>
        <x:v>0</x:v>
      </x:c>
    </x:row>
    <x:row r="95" ht="47" customHeight="1">
      <x:c r="A95" s="4" t="str">
        <x:v>TC-091</x:v>
      </x:c>
      <x:c r="B95" s="4" t="str">
        <x:v>CE-05</x:v>
      </x:c>
      <x:c r="C95" s="4" t="str">
        <x:v>COMPLEMENTO</x:v>
      </x:c>
      <x:c r="D95" s="4" t="str">
        <x:v>CYO-18</x:v>
      </x:c>
      <x:c r="E95" s="4" t="str">
        <x:v>Usabilidad de mecanismos de seguridad; factores individuales, organizativos y sociales.</x:v>
      </x:c>
      <x:c r="F95" s="4" t="str">
        <x:v>Evaluar consecuencias del comportamiento y diseñar controles utilizables.</x:v>
      </x:c>
      <x:c r="G95" s="4" t="str">
        <x:v>La diferencia sólo se admite en el alcance justificado; evitar falsa cobertura por un título.</x:v>
      </x:c>
      <x:c r="H95" s="4" t="str">
        <x:v>W010</x:v>
      </x:c>
      <x:c r="I95" s="4" t="str">
        <x:v>Learning outcomes; evaluación de criterios de usabilidad y factores humanos.</x:v>
      </x:c>
      <x:c r="J95" s="4" t="str">
        <x:v>PROFUNDIZACIÓN PROPUESTA</x:v>
      </x:c>
      <x:c r="K95" s="12" t="n">
        <x:f>IF(OR(D95="TRANSVERSAL",D95="RESERVA",COUNTIF('26_Mapa_universos'!$A$5:$A$33,D95)=1),0,1)</x:f>
        <x:v>0</x:v>
      </x:c>
      <x:c r="L95" s="12" t="n">
        <x:f>IF(COUNTIF('21_Fuentes_educativas'!$A$5:$A$188,H95)+COUNTIF('01_Fuentes'!$A$5:$A$40,H95)=1,0,1)</x:f>
        <x:v>0</x:v>
      </x:c>
    </x:row>
    <x:row r="96" ht="47" customHeight="1">
      <x:c r="A96" s="4" t="str">
        <x:v>TC-092</x:v>
      </x:c>
      <x:c r="B96" s="4" t="str">
        <x:v>CE-05</x:v>
      </x:c>
      <x:c r="C96" s="4" t="str">
        <x:v>COMPLEMENTO</x:v>
      </x:c>
      <x:c r="D96" s="4" t="str">
        <x:v>CYO-22</x:v>
      </x:c>
      <x:c r="E96" s="4" t="str">
        <x:v>Usabilidad de mecanismos de seguridad; factores individuales, organizativos y sociales.</x:v>
      </x:c>
      <x:c r="F96" s="4" t="str">
        <x:v>Evaluar consecuencias del comportamiento y diseñar controles utilizables.</x:v>
      </x:c>
      <x:c r="G96" s="4" t="str">
        <x:v>La diferencia sólo se admite en el alcance justificado; evitar falsa cobertura por un título.</x:v>
      </x:c>
      <x:c r="H96" s="4" t="str">
        <x:v>W010</x:v>
      </x:c>
      <x:c r="I96" s="4" t="str">
        <x:v>Learning outcomes; evaluación de criterios de usabilidad y factores humanos.</x:v>
      </x:c>
      <x:c r="J96" s="4" t="str">
        <x:v>PROFUNDIZACIÓN PROPUESTA</x:v>
      </x:c>
      <x:c r="K96" s="12" t="n">
        <x:f>IF(OR(D96="TRANSVERSAL",D96="RESERVA",COUNTIF('26_Mapa_universos'!$A$5:$A$33,D96)=1),0,1)</x:f>
        <x:v>0</x:v>
      </x:c>
      <x:c r="L96" s="12" t="n">
        <x:f>IF(COUNTIF('21_Fuentes_educativas'!$A$5:$A$188,H96)+COUNTIF('01_Fuentes'!$A$5:$A$40,H96)=1,0,1)</x:f>
        <x:v>0</x:v>
      </x:c>
    </x:row>
    <x:row r="97" ht="47" customHeight="1">
      <x:c r="A97" s="4" t="str">
        <x:v>TC-093</x:v>
      </x:c>
      <x:c r="B97" s="4" t="str">
        <x:v>CE-05</x:v>
      </x:c>
      <x:c r="C97" s="4" t="str">
        <x:v>COMPLEMENTO</x:v>
      </x:c>
      <x:c r="D97" s="4" t="str">
        <x:v>CYO-29</x:v>
      </x:c>
      <x:c r="E97" s="4" t="str">
        <x:v>Usabilidad de mecanismos de seguridad; factores individuales, organizativos y sociales.</x:v>
      </x:c>
      <x:c r="F97" s="4" t="str">
        <x:v>Evaluar consecuencias del comportamiento y diseñar controles utilizables.</x:v>
      </x:c>
      <x:c r="G97" s="4" t="str">
        <x:v>La diferencia sólo se admite en el alcance justificado; evitar falsa cobertura por un título.</x:v>
      </x:c>
      <x:c r="H97" s="4" t="str">
        <x:v>W010</x:v>
      </x:c>
      <x:c r="I97" s="4" t="str">
        <x:v>Learning outcomes; evaluación de criterios de usabilidad y factores humanos.</x:v>
      </x:c>
      <x:c r="J97" s="4" t="str">
        <x:v>PROFUNDIZACIÓN PROPUESTA</x:v>
      </x:c>
      <x:c r="K97" s="12" t="n">
        <x:f>IF(OR(D97="TRANSVERSAL",D97="RESERVA",COUNTIF('26_Mapa_universos'!$A$5:$A$33,D97)=1),0,1)</x:f>
        <x:v>0</x:v>
      </x:c>
      <x:c r="L97" s="12" t="n">
        <x:f>IF(COUNTIF('21_Fuentes_educativas'!$A$5:$A$188,H97)+COUNTIF('01_Fuentes'!$A$5:$A$40,H97)=1,0,1)</x:f>
        <x:v>0</x:v>
      </x:c>
    </x:row>
    <x:row r="98" ht="47" customHeight="1">
      <x:c r="A98" s="4" t="str">
        <x:v>TC-094</x:v>
      </x:c>
      <x:c r="B98" s="4" t="str">
        <x:v>CE-06</x:v>
      </x:c>
      <x:c r="C98" s="4" t="str">
        <x:v>COMPLEMENTO</x:v>
      </x:c>
      <x:c r="D98" s="4" t="str">
        <x:v>CYO-01</x:v>
      </x:c>
      <x:c r="E98" s="4" t="str">
        <x:v>Coherencia de gestión de seguridad y consecuencias de gestión inadecuada del riesgo.</x:v>
      </x:c>
      <x:c r="F98" s="4" t="str">
        <x:v>Analizar efectos organizativos y justificar mejoras.</x:v>
      </x:c>
      <x:c r="G98" s="4" t="str">
        <x:v>La diferencia sólo se admite en el alcance justificado; evitar falsa cobertura por un título.</x:v>
      </x:c>
      <x:c r="H98" s="4" t="str">
        <x:v>W014</x:v>
      </x:c>
      <x:c r="I98" s="4" t="str">
        <x:v>Learning outcomes.</x:v>
      </x:c>
      <x:c r="J98" s="4" t="str">
        <x:v>CONTRASTE; NO NUEVO VACÍO DEMOSTRADO</x:v>
      </x:c>
      <x:c r="K98" s="12" t="n">
        <x:f>IF(OR(D98="TRANSVERSAL",D98="RESERVA",COUNTIF('26_Mapa_universos'!$A$5:$A$33,D98)=1),0,1)</x:f>
        <x:v>0</x:v>
      </x:c>
      <x:c r="L98" s="12" t="n">
        <x:f>IF(COUNTIF('21_Fuentes_educativas'!$A$5:$A$188,H98)+COUNTIF('01_Fuentes'!$A$5:$A$40,H98)=1,0,1)</x:f>
        <x:v>0</x:v>
      </x:c>
    </x:row>
    <x:row r="99" ht="47" customHeight="1">
      <x:c r="A99" s="4" t="str">
        <x:v>TC-095</x:v>
      </x:c>
      <x:c r="B99" s="4" t="str">
        <x:v>CE-07</x:v>
      </x:c>
      <x:c r="C99" s="4" t="str">
        <x:v>COMPLEMENTO</x:v>
      </x:c>
      <x:c r="D99" s="4" t="str">
        <x:v>CYO-19</x:v>
      </x:c>
      <x:c r="E99" s="4" t="str">
        <x:v>Evaluación crítica de investigación, método y comunicación.</x:v>
      </x:c>
      <x:c r="F99" s="4" t="str">
        <x:v>Justificar el método para una pregunta y comunicar sus límites.</x:v>
      </x:c>
      <x:c r="G99" s="4" t="str">
        <x:v>La diferencia sólo se admite en el alcance justificado; evitar falsa cobertura por un título.</x:v>
      </x:c>
      <x:c r="H99" s="4" t="str">
        <x:v>W016</x:v>
      </x:c>
      <x:c r="I99" s="4" t="str">
        <x:v>Learning outcomes.</x:v>
      </x:c>
      <x:c r="J99" s="4" t="str">
        <x:v>REFUERZO DEL MÉTODO PROPUESTO</x:v>
      </x:c>
      <x:c r="K99" s="12" t="n">
        <x:f>IF(OR(D99="TRANSVERSAL",D99="RESERVA",COUNTIF('26_Mapa_universos'!$A$5:$A$33,D99)=1),0,1)</x:f>
        <x:v>0</x:v>
      </x:c>
      <x:c r="L99" s="12" t="n">
        <x:f>IF(COUNTIF('21_Fuentes_educativas'!$A$5:$A$188,H99)+COUNTIF('01_Fuentes'!$A$5:$A$40,H99)=1,0,1)</x:f>
        <x:v>0</x:v>
      </x:c>
    </x:row>
    <x:row r="100" ht="47" customHeight="1">
      <x:c r="A100" s="4" t="str">
        <x:v>TC-096</x:v>
      </x:c>
      <x:c r="B100" s="4" t="str">
        <x:v>CE-08</x:v>
      </x:c>
      <x:c r="C100" s="4" t="str">
        <x:v>COMPLEMENTO</x:v>
      </x:c>
      <x:c r="D100" s="4" t="str">
        <x:v>CYO-28</x:v>
      </x:c>
      <x:c r="E100" s="4" t="str">
        <x:v>Monitorización y búsqueda de adversarios que eluden defensas.</x:v>
      </x:c>
      <x:c r="F100" s="4" t="str">
        <x:v>Examinar actividad y activos para investigar amenazas no detenidas por los controles.</x:v>
      </x:c>
      <x:c r="G100" s="4" t="str">
        <x:v>La diferencia sólo se admite en el alcance justificado; evitar falsa cobertura por un título.</x:v>
      </x:c>
      <x:c r="H100" s="4" t="str">
        <x:v>G009</x:v>
      </x:c>
      <x:c r="I100" s="4" t="str">
        <x:v>Descripción oficial del curso; evaluación detallada no disponible en esta ficha.</x:v>
      </x:c>
      <x:c r="J100" s="4" t="str">
        <x:v>CONTRASTE; NO NUEVO VACÍO DEMOSTRADO</x:v>
      </x:c>
      <x:c r="K100" s="12" t="n">
        <x:f>IF(OR(D100="TRANSVERSAL",D100="RESERVA",COUNTIF('26_Mapa_universos'!$A$5:$A$33,D100)=1),0,1)</x:f>
        <x:v>0</x:v>
      </x:c>
      <x:c r="L100" s="12" t="n">
        <x:f>IF(COUNTIF('21_Fuentes_educativas'!$A$5:$A$188,H100)+COUNTIF('01_Fuentes'!$A$5:$A$40,H100)=1,0,1)</x:f>
        <x:v>0</x:v>
      </x:c>
    </x:row>
    <x:row r="101" ht="47" customHeight="1">
      <x:c r="A101" s="4" t="str">
        <x:v>TC-097</x:v>
      </x:c>
      <x:c r="B101" s="4" t="str">
        <x:v>CE-09</x:v>
      </x:c>
      <x:c r="C101" s="4" t="str">
        <x:v>COMPLEMENTO</x:v>
      </x:c>
      <x:c r="D101" s="4" t="str">
        <x:v>CYO-19</x:v>
      </x:c>
      <x:c r="E101" s="4" t="str">
        <x:v>Proyecto tutelado con informe y producto ante un problema emergente.</x:v>
      </x:c>
      <x:c r="F101" s="4" t="str">
        <x:v>Investigar y justificar una solución con evidencia.</x:v>
      </x:c>
      <x:c r="G101" s="4" t="str">
        <x:v>La diferencia sólo se admite en el alcance justificado; evitar falsa cobertura por un título.</x:v>
      </x:c>
      <x:c r="H101" s="4" t="str">
        <x:v>G007</x:v>
      </x:c>
      <x:c r="I101" s="4" t="str">
        <x:v>Descripción oficial del proyecto; opción, no requisito universal del máster.</x:v>
      </x:c>
      <x:c r="J101" s="4" t="str">
        <x:v>REFUERZO DEL MÉTODO PROPUESTO</x:v>
      </x:c>
      <x:c r="K101" s="12" t="n">
        <x:f>IF(OR(D101="TRANSVERSAL",D101="RESERVA",COUNTIF('26_Mapa_universos'!$A$5:$A$33,D101)=1),0,1)</x:f>
        <x:v>0</x:v>
      </x:c>
      <x:c r="L101" s="12" t="n">
        <x:f>IF(COUNTIF('21_Fuentes_educativas'!$A$5:$A$188,H101)+COUNTIF('01_Fuentes'!$A$5:$A$40,H101)=1,0,1)</x:f>
        <x:v>0</x:v>
      </x:c>
    </x:row>
    <x:row r="102" ht="47" customHeight="1">
      <x:c r="A102" s="4" t="str">
        <x:v>TC-098</x:v>
      </x:c>
      <x:c r="B102" s="4" t="str">
        <x:v>CE-09</x:v>
      </x:c>
      <x:c r="C102" s="4" t="str">
        <x:v>COMPLEMENTO</x:v>
      </x:c>
      <x:c r="D102" s="4" t="str">
        <x:v>CYO-22</x:v>
      </x:c>
      <x:c r="E102" s="4" t="str">
        <x:v>Proyecto tutelado con informe y producto ante un problema emergente.</x:v>
      </x:c>
      <x:c r="F102" s="4" t="str">
        <x:v>Investigar y justificar una solución con evidencia.</x:v>
      </x:c>
      <x:c r="G102" s="4" t="str">
        <x:v>La diferencia sólo se admite en el alcance justificado; evitar falsa cobertura por un título.</x:v>
      </x:c>
      <x:c r="H102" s="4" t="str">
        <x:v>G007</x:v>
      </x:c>
      <x:c r="I102" s="4" t="str">
        <x:v>Descripción oficial del proyecto; opción, no requisito universal del máster.</x:v>
      </x:c>
      <x:c r="J102" s="4" t="str">
        <x:v>REFUERZO DEL MÉTODO PROPUESTO</x:v>
      </x:c>
      <x:c r="K102" s="12" t="n">
        <x:f>IF(OR(D102="TRANSVERSAL",D102="RESERVA",COUNTIF('26_Mapa_universos'!$A$5:$A$33,D102)=1),0,1)</x:f>
        <x:v>0</x:v>
      </x:c>
      <x:c r="L102" s="12" t="n">
        <x:f>IF(COUNTIF('21_Fuentes_educativas'!$A$5:$A$188,H102)+COUNTIF('01_Fuentes'!$A$5:$A$40,H102)=1,0,1)</x:f>
        <x:v>0</x:v>
      </x:c>
    </x:row>
    <x:row r="103" ht="47" customHeight="1">
      <x:c r="A103" s="4" t="str">
        <x:v>TC-099</x:v>
      </x:c>
      <x:c r="B103" s="4" t="str">
        <x:v>CE-10</x:v>
      </x:c>
      <x:c r="C103" s="4" t="str">
        <x:v>COMPLEMENTO</x:v>
      </x:c>
      <x:c r="D103" s="4" t="str">
        <x:v>CYO-01</x:v>
      </x:c>
      <x:c r="E103" s="4" t="str">
        <x:v>Análisis económico como materia obligatoria.</x:v>
      </x:c>
      <x:c r="F103" s="4" t="str">
        <x:v>No se adjudica resultado específico sin guía detallada.</x:v>
      </x:c>
      <x:c r="G103" s="4" t="str">
        <x:v>La diferencia sólo se admite en el alcance justificado; evitar falsa cobertura por un título.</x:v>
      </x:c>
      <x:c r="H103" s="4" t="str">
        <x:v>E008</x:v>
      </x:c>
      <x:c r="I103" s="4" t="str">
        <x:v>Manual §4.2, p. 5.</x:v>
      </x:c>
      <x:c r="J103" s="4" t="str">
        <x:v>IDENTIFICADO; GUÍA DETALLADA PENDIENTE</x:v>
      </x:c>
      <x:c r="K103" s="12" t="n">
        <x:f>IF(OR(D103="TRANSVERSAL",D103="RESERVA",COUNTIF('26_Mapa_universos'!$A$5:$A$33,D103)=1),0,1)</x:f>
        <x:v>0</x:v>
      </x:c>
      <x:c r="L103" s="12" t="n">
        <x:f>IF(COUNTIF('21_Fuentes_educativas'!$A$5:$A$188,H103)+COUNTIF('01_Fuentes'!$A$5:$A$40,H103)=1,0,1)</x:f>
        <x:v>0</x:v>
      </x:c>
    </x:row>
    <x:row r="104" ht="47" customHeight="1">
      <x:c r="A104" s="4" t="str">
        <x:v>TC-100</x:v>
      </x:c>
      <x:c r="B104" s="4" t="str">
        <x:v>CE-11</x:v>
      </x:c>
      <x:c r="C104" s="4" t="str">
        <x:v>COMPLEMENTO</x:v>
      </x:c>
      <x:c r="D104" s="4" t="str">
        <x:v>CYO-01</x:v>
      </x:c>
      <x:c r="E104" s="4" t="str">
        <x:v>Decisión bajo incertidumbre como materia obligatoria.</x:v>
      </x:c>
      <x:c r="F104" s="4" t="str">
        <x:v>No se inventan los resultados de aprendizaje de la asignatura.</x:v>
      </x:c>
      <x:c r="G104" s="4" t="str">
        <x:v>La diferencia sólo se admite en el alcance justificado; evitar falsa cobertura por un título.</x:v>
      </x:c>
      <x:c r="H104" s="4" t="str">
        <x:v>E008</x:v>
      </x:c>
      <x:c r="I104" s="4" t="str">
        <x:v>Manual §4.2, p. 5.</x:v>
      </x:c>
      <x:c r="J104" s="4" t="str">
        <x:v>IDENTIFICADO; GUÍA DETALLADA PENDIENTE</x:v>
      </x:c>
      <x:c r="K104" s="12" t="n">
        <x:f>IF(OR(D104="TRANSVERSAL",D104="RESERVA",COUNTIF('26_Mapa_universos'!$A$5:$A$33,D104)=1),0,1)</x:f>
        <x:v>0</x:v>
      </x:c>
      <x:c r="L104" s="12" t="n">
        <x:f>IF(COUNTIF('21_Fuentes_educativas'!$A$5:$A$188,H104)+COUNTIF('01_Fuentes'!$A$5:$A$40,H104)=1,0,1)</x:f>
        <x:v>0</x:v>
      </x:c>
    </x:row>
    <x:row r="105" ht="47" customHeight="1">
      <x:c r="A105" s="4" t="str">
        <x:v>TC-101</x:v>
      </x:c>
      <x:c r="B105" s="4" t="str">
        <x:v>CE-12</x:v>
      </x:c>
      <x:c r="C105" s="4" t="str">
        <x:v>COMPLEMENTO</x:v>
      </x:c>
      <x:c r="D105" s="4" t="str">
        <x:v>RESERVA</x:v>
      </x:c>
      <x:c r="E105" s="4" t="str">
        <x:v>Materia de seguridad definida por software; título identificado.</x:v>
      </x:c>
      <x:c r="F105" s="4" t="str">
        <x:v>El título de la asignatura no basta para adjudicar su temario ni equipararlo a SDN.</x:v>
      </x:c>
      <x:c r="G105" s="4" t="str">
        <x:v>La diferencia sólo se admite en el alcance justificado; evitar falsa cobertura por un título.</x:v>
      </x:c>
      <x:c r="H105" s="4" t="str">
        <x:v>E009</x:v>
      </x:c>
      <x:c r="I105" s="4" t="str">
        <x:v>Plan institucional y guía URJC de redes avanzadas.</x:v>
      </x:c>
      <x:c r="J105" s="4" t="str">
        <x:v>NO AÑADIR POR MERA COINCIDENCIA</x:v>
      </x:c>
      <x:c r="K105" s="12" t="n">
        <x:f>IF(OR(D105="TRANSVERSAL",D105="RESERVA",COUNTIF('26_Mapa_universos'!$A$5:$A$33,D105)=1),0,1)</x:f>
        <x:v>0</x:v>
      </x:c>
      <x:c r="L105" s="12" t="n">
        <x:f>IF(COUNTIF('21_Fuentes_educativas'!$A$5:$A$188,H105)+COUNTIF('01_Fuentes'!$A$5:$A$40,H105)=1,0,1)</x:f>
        <x:v>0</x:v>
      </x:c>
    </x:row>
    <x:row r="106" ht="47" customHeight="1">
      <x:c r="A106" s="4" t="str">
        <x:v>TC-102</x:v>
      </x:c>
      <x:c r="B106" s="4" t="str">
        <x:v>AN-01</x:v>
      </x:c>
      <x:c r="C106" s="4" t="str">
        <x:v>NECESIDAD HUMANA</x:v>
      </x:c>
      <x:c r="D106" s="4" t="str">
        <x:v>CYO-23</x:v>
      </x:c>
      <x:c r="E106" s="4" t="str">
        <x:v>Distinguir aprendizaje, inferencia, datos, características y arquitectura neuronal; comprender sus supuestos.</x:v>
      </x:c>
      <x:c r="F106" s="4" t="str">
        <x:v>Comparar una solución de IA con una alternativa simple mediante un problema, datos y criterio explícitos.</x:v>
      </x:c>
      <x:c r="G106" s="4" t="str">
        <x:v>Confundir una salida plausible con evidencia o elegir un modelo sin entender sus límites.</x:v>
      </x:c>
      <x:c r="H106" s="4" t="str">
        <x:v>M002</x:v>
      </x:c>
      <x:c r="I106" s="4" t="str">
        <x:v>18: fuentes y reserva específica</x:v>
      </x:c>
      <x:c r="J106" s="4" t="str">
        <x:v>BASE PRESENTE; PROFUNDIZACIÓN PROPUESTA</x:v>
      </x:c>
      <x:c r="K106" s="12" t="n">
        <x:f>IF(OR(D106="TRANSVERSAL",D106="RESERVA",COUNTIF('26_Mapa_universos'!$A$5:$A$33,D106)=1),0,1)</x:f>
        <x:v>0</x:v>
      </x:c>
      <x:c r="L106" s="12" t="n">
        <x:f>IF(COUNTIF('21_Fuentes_educativas'!$A$5:$A$188,H106)+COUNTIF('01_Fuentes'!$A$5:$A$40,H106)=1,0,1)</x:f>
        <x:v>0</x:v>
      </x:c>
    </x:row>
    <x:row r="107" ht="47" customHeight="1">
      <x:c r="A107" s="4" t="str">
        <x:v>TC-103</x:v>
      </x:c>
      <x:c r="B107" s="4" t="str">
        <x:v>AN-02</x:v>
      </x:c>
      <x:c r="C107" s="4" t="str">
        <x:v>NECESIDAD HUMANA</x:v>
      </x:c>
      <x:c r="D107" s="4" t="str">
        <x:v>CYO-15</x:v>
      </x:c>
      <x:c r="E107" s="4" t="str">
        <x:v>Inventario de usos autorizados/no declarados (Shadow AI), responsabilidades, datos, propiedad intelectual y políticas.</x:v>
      </x:c>
      <x:c r="F107" s="4" t="str">
        <x:v>Justificar quién permite qué uso, con qué datos, proveedor, versión y evidencia de cumplimiento.</x:v>
      </x:c>
      <x:c r="G107" s="4" t="str">
        <x:v>Tratar disponibilidad técnica como permiso; omitir un uso no inventariado y sus efectos.</x:v>
      </x:c>
      <x:c r="H107" s="4" t="str">
        <x:v>R037</x:v>
      </x:c>
      <x:c r="I107" s="4" t="str">
        <x:v>18: fuentes y reserva específica</x:v>
      </x:c>
      <x:c r="J107" s="4" t="str">
        <x:v>EXTENSIÓN ESPECÍFICA PROPUESTA</x:v>
      </x:c>
      <x:c r="K107" s="12" t="n">
        <x:f>IF(OR(D107="TRANSVERSAL",D107="RESERVA",COUNTIF('26_Mapa_universos'!$A$5:$A$33,D107)=1),0,1)</x:f>
        <x:v>0</x:v>
      </x:c>
      <x:c r="L107" s="12" t="n">
        <x:f>IF(COUNTIF('21_Fuentes_educativas'!$A$5:$A$188,H107)+COUNTIF('01_Fuentes'!$A$5:$A$40,H107)=1,0,1)</x:f>
        <x:v>0</x:v>
      </x:c>
    </x:row>
    <x:row r="108" ht="47" customHeight="1">
      <x:c r="A108" s="4" t="str">
        <x:v>TC-104</x:v>
      </x:c>
      <x:c r="B108" s="4" t="str">
        <x:v>AN-02</x:v>
      </x:c>
      <x:c r="C108" s="4" t="str">
        <x:v>NECESIDAD HUMANA</x:v>
      </x:c>
      <x:c r="D108" s="4" t="str">
        <x:v>CYO-29</x:v>
      </x:c>
      <x:c r="E108" s="4" t="str">
        <x:v>Inventario de usos autorizados/no declarados (Shadow AI), responsabilidades, datos, propiedad intelectual y políticas.</x:v>
      </x:c>
      <x:c r="F108" s="4" t="str">
        <x:v>Justificar quién permite qué uso, con qué datos, proveedor, versión y evidencia de cumplimiento.</x:v>
      </x:c>
      <x:c r="G108" s="4" t="str">
        <x:v>Tratar disponibilidad técnica como permiso; omitir un uso no inventariado y sus efectos.</x:v>
      </x:c>
      <x:c r="H108" s="4" t="str">
        <x:v>R037</x:v>
      </x:c>
      <x:c r="I108" s="4" t="str">
        <x:v>18: fuentes y reserva específica</x:v>
      </x:c>
      <x:c r="J108" s="4" t="str">
        <x:v>EXTENSIÓN ESPECÍFICA PROPUESTA</x:v>
      </x:c>
      <x:c r="K108" s="12" t="n">
        <x:f>IF(OR(D108="TRANSVERSAL",D108="RESERVA",COUNTIF('26_Mapa_universos'!$A$5:$A$33,D108)=1),0,1)</x:f>
        <x:v>0</x:v>
      </x:c>
      <x:c r="L108" s="12" t="n">
        <x:f>IF(COUNTIF('21_Fuentes_educativas'!$A$5:$A$188,H108)+COUNTIF('01_Fuentes'!$A$5:$A$40,H108)=1,0,1)</x:f>
        <x:v>0</x:v>
      </x:c>
    </x:row>
    <x:row r="109" ht="47" customHeight="1">
      <x:c r="A109" s="4" t="str">
        <x:v>TC-105</x:v>
      </x:c>
      <x:c r="B109" s="4" t="str">
        <x:v>AN-03</x:v>
      </x:c>
      <x:c r="C109" s="4" t="str">
        <x:v>NECESIDAD HUMANA</x:v>
      </x:c>
      <x:c r="D109" s="4" t="str">
        <x:v>CYO-04</x:v>
      </x:c>
      <x:c r="E109" s="4" t="str">
        <x:v>Separar amenazas al modelo, datos, aplicación y capacidades de un agente.</x:v>
      </x:c>
      <x:c r="F109" s="4" t="str">
        <x:v>Construir pruebas de límites y mitigaciones asociadas a amenazas identificadas.</x:v>
      </x:c>
      <x:c r="G109" s="4" t="str">
        <x:v>Confundir instrucciones del usuario con datos externos, o permitir acciones por una salida no validada.</x:v>
      </x:c>
      <x:c r="H109" s="4" t="str">
        <x:v>M003</x:v>
      </x:c>
      <x:c r="I109" s="4" t="str">
        <x:v>18: fuentes y reserva específica</x:v>
      </x:c>
      <x:c r="J109" s="4" t="str">
        <x:v>PROFUNDIZACIÓN Y ANEXO TÉCNICO</x:v>
      </x:c>
      <x:c r="K109" s="12" t="n">
        <x:f>IF(OR(D109="TRANSVERSAL",D109="RESERVA",COUNTIF('26_Mapa_universos'!$A$5:$A$33,D109)=1),0,1)</x:f>
        <x:v>0</x:v>
      </x:c>
      <x:c r="L109" s="12" t="n">
        <x:f>IF(COUNTIF('21_Fuentes_educativas'!$A$5:$A$188,H109)+COUNTIF('01_Fuentes'!$A$5:$A$40,H109)=1,0,1)</x:f>
        <x:v>0</x:v>
      </x:c>
    </x:row>
    <x:row r="110" ht="47" customHeight="1">
      <x:c r="A110" s="4" t="str">
        <x:v>TC-106</x:v>
      </x:c>
      <x:c r="B110" s="4" t="str">
        <x:v>AN-03</x:v>
      </x:c>
      <x:c r="C110" s="4" t="str">
        <x:v>NECESIDAD HUMANA</x:v>
      </x:c>
      <x:c r="D110" s="4" t="str">
        <x:v>CYO-05</x:v>
      </x:c>
      <x:c r="E110" s="4" t="str">
        <x:v>Separar amenazas al modelo, datos, aplicación y capacidades de un agente.</x:v>
      </x:c>
      <x:c r="F110" s="4" t="str">
        <x:v>Construir pruebas de límites y mitigaciones asociadas a amenazas identificadas.</x:v>
      </x:c>
      <x:c r="G110" s="4" t="str">
        <x:v>Confundir instrucciones del usuario con datos externos, o permitir acciones por una salida no validada.</x:v>
      </x:c>
      <x:c r="H110" s="4" t="str">
        <x:v>M003</x:v>
      </x:c>
      <x:c r="I110" s="4" t="str">
        <x:v>18: fuentes y reserva específica</x:v>
      </x:c>
      <x:c r="J110" s="4" t="str">
        <x:v>PROFUNDIZACIÓN Y ANEXO TÉCNICO</x:v>
      </x:c>
      <x:c r="K110" s="12" t="n">
        <x:f>IF(OR(D110="TRANSVERSAL",D110="RESERVA",COUNTIF('26_Mapa_universos'!$A$5:$A$33,D110)=1),0,1)</x:f>
        <x:v>0</x:v>
      </x:c>
      <x:c r="L110" s="12" t="n">
        <x:f>IF(COUNTIF('21_Fuentes_educativas'!$A$5:$A$188,H110)+COUNTIF('01_Fuentes'!$A$5:$A$40,H110)=1,0,1)</x:f>
        <x:v>0</x:v>
      </x:c>
    </x:row>
    <x:row r="111" ht="47" customHeight="1">
      <x:c r="A111" s="4" t="str">
        <x:v>TC-107</x:v>
      </x:c>
      <x:c r="B111" s="4" t="str">
        <x:v>AN-03</x:v>
      </x:c>
      <x:c r="C111" s="4" t="str">
        <x:v>NECESIDAD HUMANA</x:v>
      </x:c>
      <x:c r="D111" s="4" t="str">
        <x:v>CYO-23</x:v>
      </x:c>
      <x:c r="E111" s="4" t="str">
        <x:v>Separar amenazas al modelo, datos, aplicación y capacidades de un agente.</x:v>
      </x:c>
      <x:c r="F111" s="4" t="str">
        <x:v>Construir pruebas de límites y mitigaciones asociadas a amenazas identificadas.</x:v>
      </x:c>
      <x:c r="G111" s="4" t="str">
        <x:v>Confundir instrucciones del usuario con datos externos, o permitir acciones por una salida no validada.</x:v>
      </x:c>
      <x:c r="H111" s="4" t="str">
        <x:v>M003</x:v>
      </x:c>
      <x:c r="I111" s="4" t="str">
        <x:v>18: fuentes y reserva específica</x:v>
      </x:c>
      <x:c r="J111" s="4" t="str">
        <x:v>PROFUNDIZACIÓN Y ANEXO TÉCNICO</x:v>
      </x:c>
      <x:c r="K111" s="12" t="n">
        <x:f>IF(OR(D111="TRANSVERSAL",D111="RESERVA",COUNTIF('26_Mapa_universos'!$A$5:$A$33,D111)=1),0,1)</x:f>
        <x:v>0</x:v>
      </x:c>
      <x:c r="L111" s="12" t="n">
        <x:f>IF(COUNTIF('21_Fuentes_educativas'!$A$5:$A$188,H111)+COUNTIF('01_Fuentes'!$A$5:$A$40,H111)=1,0,1)</x:f>
        <x:v>0</x:v>
      </x:c>
    </x:row>
    <x:row r="112" ht="47" customHeight="1">
      <x:c r="A112" s="4" t="str">
        <x:v>TC-108</x:v>
      </x:c>
      <x:c r="B112" s="4" t="str">
        <x:v>AN-04</x:v>
      </x:c>
      <x:c r="C112" s="4" t="str">
        <x:v>NECESIDAD HUMANA</x:v>
      </x:c>
      <x:c r="D112" s="4" t="str">
        <x:v>CYO-07</x:v>
      </x:c>
      <x:c r="E112" s="4" t="str">
        <x:v>Inteligencia de amenazas, detección, priorización y respuesta asistidas por modelos.</x:v>
      </x:c>
      <x:c r="F112" s="4" t="str">
        <x:v>Medir errores y costes, contrastar con una base sin IA y mantener intervención/autoridad humana delimitadas.</x:v>
      </x:c>
      <x:c r="G112" s="4" t="str">
        <x:v>Una alerta descartada sin evidencia puede dejar una amenaza sin investigar; una contención injustificada puede interrumpir un servicio.</x:v>
      </x:c>
      <x:c r="H112" s="4" t="str">
        <x:v>R033</x:v>
      </x:c>
      <x:c r="I112" s="4" t="str">
        <x:v>18: fuentes y reserva específica</x:v>
      </x:c>
      <x:c r="J112" s="4" t="str">
        <x:v>APLICACIÓN CANDIDATA; SIN AUTOMATISMO</x:v>
      </x:c>
      <x:c r="K112" s="12" t="n">
        <x:f>IF(OR(D112="TRANSVERSAL",D112="RESERVA",COUNTIF('26_Mapa_universos'!$A$5:$A$33,D112)=1),0,1)</x:f>
        <x:v>0</x:v>
      </x:c>
      <x:c r="L112" s="12" t="n">
        <x:f>IF(COUNTIF('21_Fuentes_educativas'!$A$5:$A$188,H112)+COUNTIF('01_Fuentes'!$A$5:$A$40,H112)=1,0,1)</x:f>
        <x:v>0</x:v>
      </x:c>
    </x:row>
    <x:row r="113" ht="47" customHeight="1">
      <x:c r="A113" s="4" t="str">
        <x:v>TC-109</x:v>
      </x:c>
      <x:c r="B113" s="4" t="str">
        <x:v>AN-04</x:v>
      </x:c>
      <x:c r="C113" s="4" t="str">
        <x:v>NECESIDAD HUMANA</x:v>
      </x:c>
      <x:c r="D113" s="4" t="str">
        <x:v>CYO-08</x:v>
      </x:c>
      <x:c r="E113" s="4" t="str">
        <x:v>Inteligencia de amenazas, detección, priorización y respuesta asistidas por modelos.</x:v>
      </x:c>
      <x:c r="F113" s="4" t="str">
        <x:v>Medir errores y costes, contrastar con una base sin IA y mantener intervención/autoridad humana delimitadas.</x:v>
      </x:c>
      <x:c r="G113" s="4" t="str">
        <x:v>Una alerta descartada sin evidencia puede dejar una amenaza sin investigar; una contención injustificada puede interrumpir un servicio.</x:v>
      </x:c>
      <x:c r="H113" s="4" t="str">
        <x:v>R033</x:v>
      </x:c>
      <x:c r="I113" s="4" t="str">
        <x:v>18: fuentes y reserva específica</x:v>
      </x:c>
      <x:c r="J113" s="4" t="str">
        <x:v>APLICACIÓN CANDIDATA; SIN AUTOMATISMO</x:v>
      </x:c>
      <x:c r="K113" s="12" t="n">
        <x:f>IF(OR(D113="TRANSVERSAL",D113="RESERVA",COUNTIF('26_Mapa_universos'!$A$5:$A$33,D113)=1),0,1)</x:f>
        <x:v>0</x:v>
      </x:c>
      <x:c r="L113" s="12" t="n">
        <x:f>IF(COUNTIF('21_Fuentes_educativas'!$A$5:$A$188,H113)+COUNTIF('01_Fuentes'!$A$5:$A$40,H113)=1,0,1)</x:f>
        <x:v>0</x:v>
      </x:c>
    </x:row>
    <x:row r="114" ht="47" customHeight="1">
      <x:c r="A114" s="4" t="str">
        <x:v>TC-110</x:v>
      </x:c>
      <x:c r="B114" s="4" t="str">
        <x:v>AN-04</x:v>
      </x:c>
      <x:c r="C114" s="4" t="str">
        <x:v>NECESIDAD HUMANA</x:v>
      </x:c>
      <x:c r="D114" s="4" t="str">
        <x:v>CYO-09</x:v>
      </x:c>
      <x:c r="E114" s="4" t="str">
        <x:v>Inteligencia de amenazas, detección, priorización y respuesta asistidas por modelos.</x:v>
      </x:c>
      <x:c r="F114" s="4" t="str">
        <x:v>Medir errores y costes, contrastar con una base sin IA y mantener intervención/autoridad humana delimitadas.</x:v>
      </x:c>
      <x:c r="G114" s="4" t="str">
        <x:v>Una alerta descartada sin evidencia puede dejar una amenaza sin investigar; una contención injustificada puede interrumpir un servicio.</x:v>
      </x:c>
      <x:c r="H114" s="4" t="str">
        <x:v>R033</x:v>
      </x:c>
      <x:c r="I114" s="4" t="str">
        <x:v>18: fuentes y reserva específica</x:v>
      </x:c>
      <x:c r="J114" s="4" t="str">
        <x:v>APLICACIÓN CANDIDATA; SIN AUTOMATISMO</x:v>
      </x:c>
      <x:c r="K114" s="12" t="n">
        <x:f>IF(OR(D114="TRANSVERSAL",D114="RESERVA",COUNTIF('26_Mapa_universos'!$A$5:$A$33,D114)=1),0,1)</x:f>
        <x:v>0</x:v>
      </x:c>
      <x:c r="L114" s="12" t="n">
        <x:f>IF(COUNTIF('21_Fuentes_educativas'!$A$5:$A$188,H114)+COUNTIF('01_Fuentes'!$A$5:$A$40,H114)=1,0,1)</x:f>
        <x:v>0</x:v>
      </x:c>
    </x:row>
    <x:row r="115" ht="47" customHeight="1">
      <x:c r="A115" s="4" t="str">
        <x:v>TC-111</x:v>
      </x:c>
      <x:c r="B115" s="4" t="str">
        <x:v>AN-04</x:v>
      </x:c>
      <x:c r="C115" s="4" t="str">
        <x:v>NECESIDAD HUMANA</x:v>
      </x:c>
      <x:c r="D115" s="4" t="str">
        <x:v>CYO-23</x:v>
      </x:c>
      <x:c r="E115" s="4" t="str">
        <x:v>Inteligencia de amenazas, detección, priorización y respuesta asistidas por modelos.</x:v>
      </x:c>
      <x:c r="F115" s="4" t="str">
        <x:v>Medir errores y costes, contrastar con una base sin IA y mantener intervención/autoridad humana delimitadas.</x:v>
      </x:c>
      <x:c r="G115" s="4" t="str">
        <x:v>Una alerta descartada sin evidencia puede dejar una amenaza sin investigar; una contención injustificada puede interrumpir un servicio.</x:v>
      </x:c>
      <x:c r="H115" s="4" t="str">
        <x:v>R033</x:v>
      </x:c>
      <x:c r="I115" s="4" t="str">
        <x:v>18: fuentes y reserva específica</x:v>
      </x:c>
      <x:c r="J115" s="4" t="str">
        <x:v>APLICACIÓN CANDIDATA; SIN AUTOMATISMO</x:v>
      </x:c>
      <x:c r="K115" s="12" t="n">
        <x:f>IF(OR(D115="TRANSVERSAL",D115="RESERVA",COUNTIF('26_Mapa_universos'!$A$5:$A$33,D115)=1),0,1)</x:f>
        <x:v>0</x:v>
      </x:c>
      <x:c r="L115" s="12" t="n">
        <x:f>IF(COUNTIF('21_Fuentes_educativas'!$A$5:$A$188,H115)+COUNTIF('01_Fuentes'!$A$5:$A$40,H115)=1,0,1)</x:f>
        <x:v>0</x:v>
      </x:c>
    </x:row>
    <x:row r="116" ht="47" customHeight="1">
      <x:c r="A116" s="4" t="str">
        <x:v>TC-112</x:v>
      </x:c>
      <x:c r="B116" s="4" t="str">
        <x:v>AN-04</x:v>
      </x:c>
      <x:c r="C116" s="4" t="str">
        <x:v>NECESIDAD HUMANA</x:v>
      </x:c>
      <x:c r="D116" s="4" t="str">
        <x:v>CYO-27</x:v>
      </x:c>
      <x:c r="E116" s="4" t="str">
        <x:v>Inteligencia de amenazas, detección, priorización y respuesta asistidas por modelos.</x:v>
      </x:c>
      <x:c r="F116" s="4" t="str">
        <x:v>Medir errores y costes, contrastar con una base sin IA y mantener intervención/autoridad humana delimitadas.</x:v>
      </x:c>
      <x:c r="G116" s="4" t="str">
        <x:v>Una alerta descartada sin evidencia puede dejar una amenaza sin investigar; una contención injustificada puede interrumpir un servicio.</x:v>
      </x:c>
      <x:c r="H116" s="4" t="str">
        <x:v>R033</x:v>
      </x:c>
      <x:c r="I116" s="4" t="str">
        <x:v>18: fuentes y reserva específica</x:v>
      </x:c>
      <x:c r="J116" s="4" t="str">
        <x:v>APLICACIÓN CANDIDATA; SIN AUTOMATISMO</x:v>
      </x:c>
      <x:c r="K116" s="12" t="n">
        <x:f>IF(OR(D116="TRANSVERSAL",D116="RESERVA",COUNTIF('26_Mapa_universos'!$A$5:$A$33,D116)=1),0,1)</x:f>
        <x:v>0</x:v>
      </x:c>
      <x:c r="L116" s="12" t="n">
        <x:f>IF(COUNTIF('21_Fuentes_educativas'!$A$5:$A$188,H116)+COUNTIF('01_Fuentes'!$A$5:$A$40,H116)=1,0,1)</x:f>
        <x:v>0</x:v>
      </x:c>
    </x:row>
    <x:row r="117" ht="47" customHeight="1">
      <x:c r="A117" s="4" t="str">
        <x:v>TC-113</x:v>
      </x:c>
      <x:c r="B117" s="4" t="str">
        <x:v>AN-04</x:v>
      </x:c>
      <x:c r="C117" s="4" t="str">
        <x:v>NECESIDAD HUMANA</x:v>
      </x:c>
      <x:c r="D117" s="4" t="str">
        <x:v>CYO-28</x:v>
      </x:c>
      <x:c r="E117" s="4" t="str">
        <x:v>Inteligencia de amenazas, detección, priorización y respuesta asistidas por modelos.</x:v>
      </x:c>
      <x:c r="F117" s="4" t="str">
        <x:v>Medir errores y costes, contrastar con una base sin IA y mantener intervención/autoridad humana delimitadas.</x:v>
      </x:c>
      <x:c r="G117" s="4" t="str">
        <x:v>Una alerta descartada sin evidencia puede dejar una amenaza sin investigar; una contención injustificada puede interrumpir un servicio.</x:v>
      </x:c>
      <x:c r="H117" s="4" t="str">
        <x:v>R033</x:v>
      </x:c>
      <x:c r="I117" s="4" t="str">
        <x:v>18: fuentes y reserva específica</x:v>
      </x:c>
      <x:c r="J117" s="4" t="str">
        <x:v>APLICACIÓN CANDIDATA; SIN AUTOMATISMO</x:v>
      </x:c>
      <x:c r="K117" s="12" t="n">
        <x:f>IF(OR(D117="TRANSVERSAL",D117="RESERVA",COUNTIF('26_Mapa_universos'!$A$5:$A$33,D117)=1),0,1)</x:f>
        <x:v>0</x:v>
      </x:c>
      <x:c r="L117" s="12" t="n">
        <x:f>IF(COUNTIF('21_Fuentes_educativas'!$A$5:$A$188,H117)+COUNTIF('01_Fuentes'!$A$5:$A$40,H117)=1,0,1)</x:f>
        <x:v>0</x:v>
      </x:c>
    </x:row>
    <x:row r="118" ht="60" customHeight="1">
      <x:c r="A118" s="4" t="str">
        <x:v>TC-114</x:v>
      </x:c>
      <x:c r="B118" s="4" t="str">
        <x:v>AN-05</x:v>
      </x:c>
      <x:c r="C118" s="4" t="str">
        <x:v>NECESIDAD HUMANA</x:v>
      </x:c>
      <x:c r="D118" s="4" t="str">
        <x:v>CYO-01</x:v>
      </x:c>
      <x:c r="E118" s="4" t="str">
        <x:v>Diferenciar gestión de riesgo, evaluación de impactos y pruebas de robustez; valorar recursos y consecuencias.</x:v>
      </x:c>
      <x:c r="F118" s="4" t="str">
        <x:v>Documentar coste total de protección y valor protegido en alcance y horizonte humanos; no aprobar protección que exceda ese valor conforme al mandato.</x:v>
      </x:c>
      <x:c r="G118" s="4" t="str">
        <x:v>Una medida puede consumir más recursos que el valor protegido o trasladar impactos a otros afectados.</x:v>
      </x:c>
      <x:c r="H118" s="4" t="str">
        <x:v>R035</x:v>
      </x:c>
      <x:c r="I118" s="4" t="str">
        <x:v>18: fuentes y reserva específica</x:v>
      </x:c>
      <x:c r="J118" s="4" t="str">
        <x:v>BASE PRESENTE; MÉTODOS ESPECÍFICOS</x:v>
      </x:c>
      <x:c r="K118" s="12" t="n">
        <x:f>IF(OR(D118="TRANSVERSAL",D118="RESERVA",COUNTIF('26_Mapa_universos'!$A$5:$A$33,D118)=1),0,1)</x:f>
        <x:v>0</x:v>
      </x:c>
      <x:c r="L118" s="12" t="n">
        <x:f>IF(COUNTIF('21_Fuentes_educativas'!$A$5:$A$188,H118)+COUNTIF('01_Fuentes'!$A$5:$A$40,H118)=1,0,1)</x:f>
        <x:v>0</x:v>
      </x:c>
    </x:row>
    <x:row r="119" ht="60" customHeight="1">
      <x:c r="A119" s="4" t="str">
        <x:v>TC-115</x:v>
      </x:c>
      <x:c r="B119" s="4" t="str">
        <x:v>AN-05</x:v>
      </x:c>
      <x:c r="C119" s="4" t="str">
        <x:v>NECESIDAD HUMANA</x:v>
      </x:c>
      <x:c r="D119" s="4" t="str">
        <x:v>CYO-16</x:v>
      </x:c>
      <x:c r="E119" s="4" t="str">
        <x:v>Diferenciar gestión de riesgo, evaluación de impactos y pruebas de robustez; valorar recursos y consecuencias.</x:v>
      </x:c>
      <x:c r="F119" s="4" t="str">
        <x:v>Documentar coste total de protección y valor protegido en alcance y horizonte humanos; no aprobar protección que exceda ese valor conforme al mandato.</x:v>
      </x:c>
      <x:c r="G119" s="4" t="str">
        <x:v>Una medida puede consumir más recursos que el valor protegido o trasladar impactos a otros afectados.</x:v>
      </x:c>
      <x:c r="H119" s="4" t="str">
        <x:v>R035</x:v>
      </x:c>
      <x:c r="I119" s="4" t="str">
        <x:v>18: fuentes y reserva específica</x:v>
      </x:c>
      <x:c r="J119" s="4" t="str">
        <x:v>BASE PRESENTE; MÉTODOS ESPECÍFICOS</x:v>
      </x:c>
      <x:c r="K119" s="12" t="n">
        <x:f>IF(OR(D119="TRANSVERSAL",D119="RESERVA",COUNTIF('26_Mapa_universos'!$A$5:$A$33,D119)=1),0,1)</x:f>
        <x:v>0</x:v>
      </x:c>
      <x:c r="L119" s="12" t="n">
        <x:f>IF(COUNTIF('21_Fuentes_educativas'!$A$5:$A$188,H119)+COUNTIF('01_Fuentes'!$A$5:$A$40,H119)=1,0,1)</x:f>
        <x:v>0</x:v>
      </x:c>
    </x:row>
    <x:row r="120" ht="60" customHeight="1">
      <x:c r="A120" s="4" t="str">
        <x:v>TC-116</x:v>
      </x:c>
      <x:c r="B120" s="4" t="str">
        <x:v>AN-05</x:v>
      </x:c>
      <x:c r="C120" s="4" t="str">
        <x:v>NECESIDAD HUMANA</x:v>
      </x:c>
      <x:c r="D120" s="4" t="str">
        <x:v>CYO-23</x:v>
      </x:c>
      <x:c r="E120" s="4" t="str">
        <x:v>Diferenciar gestión de riesgo, evaluación de impactos y pruebas de robustez; valorar recursos y consecuencias.</x:v>
      </x:c>
      <x:c r="F120" s="4" t="str">
        <x:v>Documentar coste total de protección y valor protegido en alcance y horizonte humanos; no aprobar protección que exceda ese valor conforme al mandato.</x:v>
      </x:c>
      <x:c r="G120" s="4" t="str">
        <x:v>Una medida puede consumir más recursos que el valor protegido o trasladar impactos a otros afectados.</x:v>
      </x:c>
      <x:c r="H120" s="4" t="str">
        <x:v>R035</x:v>
      </x:c>
      <x:c r="I120" s="4" t="str">
        <x:v>18: fuentes y reserva específica</x:v>
      </x:c>
      <x:c r="J120" s="4" t="str">
        <x:v>BASE PRESENTE; MÉTODOS ESPECÍFICOS</x:v>
      </x:c>
      <x:c r="K120" s="12" t="n">
        <x:f>IF(OR(D120="TRANSVERSAL",D120="RESERVA",COUNTIF('26_Mapa_universos'!$A$5:$A$33,D120)=1),0,1)</x:f>
        <x:v>0</x:v>
      </x:c>
      <x:c r="L120" s="12" t="n">
        <x:f>IF(COUNTIF('21_Fuentes_educativas'!$A$5:$A$188,H120)+COUNTIF('01_Fuentes'!$A$5:$A$40,H120)=1,0,1)</x:f>
        <x:v>0</x:v>
      </x:c>
    </x:row>
    <x:row r="121" ht="47" customHeight="1">
      <x:c r="A121" s="4" t="str">
        <x:v>TC-117</x:v>
      </x:c>
      <x:c r="B121" s="4" t="str">
        <x:v>AN-06</x:v>
      </x:c>
      <x:c r="C121" s="4" t="str">
        <x:v>NECESIDAD HUMANA</x:v>
      </x:c>
      <x:c r="D121" s="4" t="str">
        <x:v>CYO-02</x:v>
      </x:c>
      <x:c r="E121" s="4" t="str">
        <x:v>Separar arquitectura de red, programación del plano de datos e instrumentación del núcleo.</x:v>
      </x:c>
      <x:c r="F121" s="4" t="str">
        <x:v>Justificar puntos de observación, privilegios, cobertura, carga y compatibilidad de la telemetría.</x:v>
      </x:c>
      <x:c r="G121" s="4" t="str">
        <x:v>Un punto ciego puede ocultar actividad; instrumentación mal dimensionada puede afectar al servicio.</x:v>
      </x:c>
      <x:c r="H121" s="4" t="str">
        <x:v>R029</x:v>
      </x:c>
      <x:c r="I121" s="4" t="str">
        <x:v>18: fuentes y reserva específica</x:v>
      </x:c>
      <x:c r="J121" s="4" t="str">
        <x:v>SDN PRESENTE; eBPF/P4 COMO CANDIDATOS</x:v>
      </x:c>
      <x:c r="K121" s="12" t="n">
        <x:f>IF(OR(D121="TRANSVERSAL",D121="RESERVA",COUNTIF('26_Mapa_universos'!$A$5:$A$33,D121)=1),0,1)</x:f>
        <x:v>0</x:v>
      </x:c>
      <x:c r="L121" s="12" t="n">
        <x:f>IF(COUNTIF('21_Fuentes_educativas'!$A$5:$A$188,H121)+COUNTIF('01_Fuentes'!$A$5:$A$40,H121)=1,0,1)</x:f>
        <x:v>0</x:v>
      </x:c>
    </x:row>
    <x:row r="122" ht="47" customHeight="1">
      <x:c r="A122" s="4" t="str">
        <x:v>TC-118</x:v>
      </x:c>
      <x:c r="B122" s="4" t="str">
        <x:v>AN-06</x:v>
      </x:c>
      <x:c r="C122" s="4" t="str">
        <x:v>NECESIDAD HUMANA</x:v>
      </x:c>
      <x:c r="D122" s="4" t="str">
        <x:v>CYO-12</x:v>
      </x:c>
      <x:c r="E122" s="4" t="str">
        <x:v>Separar arquitectura de red, programación del plano de datos e instrumentación del núcleo.</x:v>
      </x:c>
      <x:c r="F122" s="4" t="str">
        <x:v>Justificar puntos de observación, privilegios, cobertura, carga y compatibilidad de la telemetría.</x:v>
      </x:c>
      <x:c r="G122" s="4" t="str">
        <x:v>Un punto ciego puede ocultar actividad; instrumentación mal dimensionada puede afectar al servicio.</x:v>
      </x:c>
      <x:c r="H122" s="4" t="str">
        <x:v>R029</x:v>
      </x:c>
      <x:c r="I122" s="4" t="str">
        <x:v>18: fuentes y reserva específica</x:v>
      </x:c>
      <x:c r="J122" s="4" t="str">
        <x:v>SDN PRESENTE; eBPF/P4 COMO CANDIDATOS</x:v>
      </x:c>
      <x:c r="K122" s="12" t="n">
        <x:f>IF(OR(D122="TRANSVERSAL",D122="RESERVA",COUNTIF('26_Mapa_universos'!$A$5:$A$33,D122)=1),0,1)</x:f>
        <x:v>0</x:v>
      </x:c>
      <x:c r="L122" s="12" t="n">
        <x:f>IF(COUNTIF('21_Fuentes_educativas'!$A$5:$A$188,H122)+COUNTIF('01_Fuentes'!$A$5:$A$40,H122)=1,0,1)</x:f>
        <x:v>0</x:v>
      </x:c>
    </x:row>
    <x:row r="123" ht="47" customHeight="1">
      <x:c r="A123" s="4" t="str">
        <x:v>TC-119</x:v>
      </x:c>
      <x:c r="B123" s="4" t="str">
        <x:v>AN-06</x:v>
      </x:c>
      <x:c r="C123" s="4" t="str">
        <x:v>NECESIDAD HUMANA</x:v>
      </x:c>
      <x:c r="D123" s="4" t="str">
        <x:v>CYO-27</x:v>
      </x:c>
      <x:c r="E123" s="4" t="str">
        <x:v>Separar arquitectura de red, programación del plano de datos e instrumentación del núcleo.</x:v>
      </x:c>
      <x:c r="F123" s="4" t="str">
        <x:v>Justificar puntos de observación, privilegios, cobertura, carga y compatibilidad de la telemetría.</x:v>
      </x:c>
      <x:c r="G123" s="4" t="str">
        <x:v>Un punto ciego puede ocultar actividad; instrumentación mal dimensionada puede afectar al servicio.</x:v>
      </x:c>
      <x:c r="H123" s="4" t="str">
        <x:v>R029</x:v>
      </x:c>
      <x:c r="I123" s="4" t="str">
        <x:v>18: fuentes y reserva específica</x:v>
      </x:c>
      <x:c r="J123" s="4" t="str">
        <x:v>SDN PRESENTE; eBPF/P4 COMO CANDIDATOS</x:v>
      </x:c>
      <x:c r="K123" s="12" t="n">
        <x:f>IF(OR(D123="TRANSVERSAL",D123="RESERVA",COUNTIF('26_Mapa_universos'!$A$5:$A$33,D123)=1),0,1)</x:f>
        <x:v>0</x:v>
      </x:c>
      <x:c r="L123" s="12" t="n">
        <x:f>IF(COUNTIF('21_Fuentes_educativas'!$A$5:$A$188,H123)+COUNTIF('01_Fuentes'!$A$5:$A$40,H123)=1,0,1)</x:f>
        <x:v>0</x:v>
      </x:c>
    </x:row>
    <x:row r="124" ht="47" customHeight="1">
      <x:c r="A124" s="4" t="str">
        <x:v>TC-120</x:v>
      </x:c>
      <x:c r="B124" s="4" t="str">
        <x:v>AN-07</x:v>
      </x:c>
      <x:c r="C124" s="4" t="str">
        <x:v>NECESIDAD HUMANA</x:v>
      </x:c>
      <x:c r="D124" s="4" t="str">
        <x:v>CYO-13</x:v>
      </x:c>
      <x:c r="E124" s="4" t="str">
        <x:v>Modelos de amenaza a datos y modelos; aprendizaje federado, privacidad diferencial y entornos de ejecución confiables.</x:v>
      </x:c>
      <x:c r="F124" s="4" t="str">
        <x:v>Comparar garantías, supuestos y riesgos residuales de cada técnica ante exfiltración o reconstrucción.</x:v>
      </x:c>
      <x:c r="G124" s="4" t="str">
        <x:v>Mantener datos locales o usar un TEE no acredita por sí solo ausencia de revelación de información.</x:v>
      </x:c>
      <x:c r="H124" s="4" t="str">
        <x:v>A107</x:v>
      </x:c>
      <x:c r="I124" s="4" t="str">
        <x:v>18: fuentes y reserva específica</x:v>
      </x:c>
      <x:c r="J124" s="4" t="str">
        <x:v>EXTENSIÓN TÉCNICA IDENTIFICADA</x:v>
      </x:c>
      <x:c r="K124" s="12" t="n">
        <x:f>IF(OR(D124="TRANSVERSAL",D124="RESERVA",COUNTIF('26_Mapa_universos'!$A$5:$A$33,D124)=1),0,1)</x:f>
        <x:v>0</x:v>
      </x:c>
      <x:c r="L124" s="12" t="n">
        <x:f>IF(COUNTIF('21_Fuentes_educativas'!$A$5:$A$188,H124)+COUNTIF('01_Fuentes'!$A$5:$A$40,H124)=1,0,1)</x:f>
        <x:v>0</x:v>
      </x:c>
    </x:row>
    <x:row r="125" ht="47" customHeight="1">
      <x:c r="A125" s="4" t="str">
        <x:v>TC-121</x:v>
      </x:c>
      <x:c r="B125" s="4" t="str">
        <x:v>AN-07</x:v>
      </x:c>
      <x:c r="C125" s="4" t="str">
        <x:v>NECESIDAD HUMANA</x:v>
      </x:c>
      <x:c r="D125" s="4" t="str">
        <x:v>CYO-17</x:v>
      </x:c>
      <x:c r="E125" s="4" t="str">
        <x:v>Modelos de amenaza a datos y modelos; aprendizaje federado, privacidad diferencial y entornos de ejecución confiables.</x:v>
      </x:c>
      <x:c r="F125" s="4" t="str">
        <x:v>Comparar garantías, supuestos y riesgos residuales de cada técnica ante exfiltración o reconstrucción.</x:v>
      </x:c>
      <x:c r="G125" s="4" t="str">
        <x:v>Mantener datos locales o usar un TEE no acredita por sí solo ausencia de revelación de información.</x:v>
      </x:c>
      <x:c r="H125" s="4" t="str">
        <x:v>A107</x:v>
      </x:c>
      <x:c r="I125" s="4" t="str">
        <x:v>18: fuentes y reserva específica</x:v>
      </x:c>
      <x:c r="J125" s="4" t="str">
        <x:v>EXTENSIÓN TÉCNICA IDENTIFICADA</x:v>
      </x:c>
      <x:c r="K125" s="12" t="n">
        <x:f>IF(OR(D125="TRANSVERSAL",D125="RESERVA",COUNTIF('26_Mapa_universos'!$A$5:$A$33,D125)=1),0,1)</x:f>
        <x:v>0</x:v>
      </x:c>
      <x:c r="L125" s="12" t="n">
        <x:f>IF(COUNTIF('21_Fuentes_educativas'!$A$5:$A$188,H125)+COUNTIF('01_Fuentes'!$A$5:$A$40,H125)=1,0,1)</x:f>
        <x:v>0</x:v>
      </x:c>
    </x:row>
    <x:row r="126" ht="47" customHeight="1">
      <x:c r="A126" s="4" t="str">
        <x:v>TC-122</x:v>
      </x:c>
      <x:c r="B126" s="4" t="str">
        <x:v>AN-07</x:v>
      </x:c>
      <x:c r="C126" s="4" t="str">
        <x:v>NECESIDAD HUMANA</x:v>
      </x:c>
      <x:c r="D126" s="4" t="str">
        <x:v>CYO-23</x:v>
      </x:c>
      <x:c r="E126" s="4" t="str">
        <x:v>Modelos de amenaza a datos y modelos; aprendizaje federado, privacidad diferencial y entornos de ejecución confiables.</x:v>
      </x:c>
      <x:c r="F126" s="4" t="str">
        <x:v>Comparar garantías, supuestos y riesgos residuales de cada técnica ante exfiltración o reconstrucción.</x:v>
      </x:c>
      <x:c r="G126" s="4" t="str">
        <x:v>Mantener datos locales o usar un TEE no acredita por sí solo ausencia de revelación de información.</x:v>
      </x:c>
      <x:c r="H126" s="4" t="str">
        <x:v>A107</x:v>
      </x:c>
      <x:c r="I126" s="4" t="str">
        <x:v>18: fuentes y reserva específica</x:v>
      </x:c>
      <x:c r="J126" s="4" t="str">
        <x:v>EXTENSIÓN TÉCNICA IDENTIFICADA</x:v>
      </x:c>
      <x:c r="K126" s="12" t="n">
        <x:f>IF(OR(D126="TRANSVERSAL",D126="RESERVA",COUNTIF('26_Mapa_universos'!$A$5:$A$33,D126)=1),0,1)</x:f>
        <x:v>0</x:v>
      </x:c>
      <x:c r="L126" s="12" t="n">
        <x:f>IF(COUNTIF('21_Fuentes_educativas'!$A$5:$A$188,H126)+COUNTIF('01_Fuentes'!$A$5:$A$40,H126)=1,0,1)</x:f>
        <x:v>0</x:v>
      </x:c>
    </x:row>
    <x:row r="127" ht="47" customHeight="1">
      <x:c r="A127" s="4" t="str">
        <x:v>TC-123</x:v>
      </x:c>
      <x:c r="B127" s="4" t="str">
        <x:v>AN-08</x:v>
      </x:c>
      <x:c r="C127" s="4" t="str">
        <x:v>NECESIDAD HUMANA</x:v>
      </x:c>
      <x:c r="D127" s="4" t="str">
        <x:v>CYO-15</x:v>
      </x:c>
      <x:c r="E127" s="4" t="str">
        <x:v>Sesgo, explicabilidad, robustez, responsabilidad y revisión de conocimiento ante cambios.</x:v>
      </x:c>
      <x:c r="F127" s="4" t="str">
        <x:v>Presentar evidencia, afectados, alternativas, incertidumbre y consecuencias antes de aconsejar; someter actualizaciones a adopción humana.</x:v>
      </x:c>
      <x:c r="G127" s="4" t="str">
        <x:v>Una explicación convincente puede ocultar error o sustituir indebidamente el juicio humano.</x:v>
      </x:c>
      <x:c r="H127" s="4" t="str">
        <x:v>M003</x:v>
      </x:c>
      <x:c r="I127" s="4" t="str">
        <x:v>18: fuentes y reserva específica</x:v>
      </x:c>
      <x:c r="J127" s="4" t="str">
        <x:v>TRANSVERSAL; PROFUNDIZACIÓN PROPUESTA</x:v>
      </x:c>
      <x:c r="K127" s="12" t="n">
        <x:f>IF(OR(D127="TRANSVERSAL",D127="RESERVA",COUNTIF('26_Mapa_universos'!$A$5:$A$33,D127)=1),0,1)</x:f>
        <x:v>0</x:v>
      </x:c>
      <x:c r="L127" s="12" t="n">
        <x:f>IF(COUNTIF('21_Fuentes_educativas'!$A$5:$A$188,H127)+COUNTIF('01_Fuentes'!$A$5:$A$40,H127)=1,0,1)</x:f>
        <x:v>0</x:v>
      </x:c>
    </x:row>
    <x:row r="128" ht="47" customHeight="1">
      <x:c r="A128" s="4" t="str">
        <x:v>TC-124</x:v>
      </x:c>
      <x:c r="B128" s="4" t="str">
        <x:v>AN-08</x:v>
      </x:c>
      <x:c r="C128" s="4" t="str">
        <x:v>NECESIDAD HUMANA</x:v>
      </x:c>
      <x:c r="D128" s="4" t="str">
        <x:v>CYO-18</x:v>
      </x:c>
      <x:c r="E128" s="4" t="str">
        <x:v>Sesgo, explicabilidad, robustez, responsabilidad y revisión de conocimiento ante cambios.</x:v>
      </x:c>
      <x:c r="F128" s="4" t="str">
        <x:v>Presentar evidencia, afectados, alternativas, incertidumbre y consecuencias antes de aconsejar; someter actualizaciones a adopción humana.</x:v>
      </x:c>
      <x:c r="G128" s="4" t="str">
        <x:v>Una explicación convincente puede ocultar error o sustituir indebidamente el juicio humano.</x:v>
      </x:c>
      <x:c r="H128" s="4" t="str">
        <x:v>M003</x:v>
      </x:c>
      <x:c r="I128" s="4" t="str">
        <x:v>18: fuentes y reserva específica</x:v>
      </x:c>
      <x:c r="J128" s="4" t="str">
        <x:v>TRANSVERSAL; PROFUNDIZACIÓN PROPUESTA</x:v>
      </x:c>
      <x:c r="K128" s="12" t="n">
        <x:f>IF(OR(D128="TRANSVERSAL",D128="RESERVA",COUNTIF('26_Mapa_universos'!$A$5:$A$33,D128)=1),0,1)</x:f>
        <x:v>0</x:v>
      </x:c>
      <x:c r="L128" s="12" t="n">
        <x:f>IF(COUNTIF('21_Fuentes_educativas'!$A$5:$A$188,H128)+COUNTIF('01_Fuentes'!$A$5:$A$40,H128)=1,0,1)</x:f>
        <x:v>0</x:v>
      </x:c>
    </x:row>
    <x:row r="129" ht="47" customHeight="1">
      <x:c r="A129" s="4" t="str">
        <x:v>TC-125</x:v>
      </x:c>
      <x:c r="B129" s="4" t="str">
        <x:v>AN-08</x:v>
      </x:c>
      <x:c r="C129" s="4" t="str">
        <x:v>NECESIDAD HUMANA</x:v>
      </x:c>
      <x:c r="D129" s="4" t="str">
        <x:v>CYO-19</x:v>
      </x:c>
      <x:c r="E129" s="4" t="str">
        <x:v>Sesgo, explicabilidad, robustez, responsabilidad y revisión de conocimiento ante cambios.</x:v>
      </x:c>
      <x:c r="F129" s="4" t="str">
        <x:v>Presentar evidencia, afectados, alternativas, incertidumbre y consecuencias antes de aconsejar; someter actualizaciones a adopción humana.</x:v>
      </x:c>
      <x:c r="G129" s="4" t="str">
        <x:v>Una explicación convincente puede ocultar error o sustituir indebidamente el juicio humano.</x:v>
      </x:c>
      <x:c r="H129" s="4" t="str">
        <x:v>M003</x:v>
      </x:c>
      <x:c r="I129" s="4" t="str">
        <x:v>18: fuentes y reserva específica</x:v>
      </x:c>
      <x:c r="J129" s="4" t="str">
        <x:v>TRANSVERSAL; PROFUNDIZACIÓN PROPUESTA</x:v>
      </x:c>
      <x:c r="K129" s="12" t="n">
        <x:f>IF(OR(D129="TRANSVERSAL",D129="RESERVA",COUNTIF('26_Mapa_universos'!$A$5:$A$33,D129)=1),0,1)</x:f>
        <x:v>0</x:v>
      </x:c>
      <x:c r="L129" s="12" t="n">
        <x:f>IF(COUNTIF('21_Fuentes_educativas'!$A$5:$A$188,H129)+COUNTIF('01_Fuentes'!$A$5:$A$40,H129)=1,0,1)</x:f>
        <x:v>0</x:v>
      </x:c>
    </x:row>
    <x:row r="130" ht="47" customHeight="1">
      <x:c r="A130" s="4" t="str">
        <x:v>TC-126</x:v>
      </x:c>
      <x:c r="B130" s="4" t="str">
        <x:v>AN-08</x:v>
      </x:c>
      <x:c r="C130" s="4" t="str">
        <x:v>NECESIDAD HUMANA</x:v>
      </x:c>
      <x:c r="D130" s="4" t="str">
        <x:v>CYO-22</x:v>
      </x:c>
      <x:c r="E130" s="4" t="str">
        <x:v>Sesgo, explicabilidad, robustez, responsabilidad y revisión de conocimiento ante cambios.</x:v>
      </x:c>
      <x:c r="F130" s="4" t="str">
        <x:v>Presentar evidencia, afectados, alternativas, incertidumbre y consecuencias antes de aconsejar; someter actualizaciones a adopción humana.</x:v>
      </x:c>
      <x:c r="G130" s="4" t="str">
        <x:v>Una explicación convincente puede ocultar error o sustituir indebidamente el juicio humano.</x:v>
      </x:c>
      <x:c r="H130" s="4" t="str">
        <x:v>M003</x:v>
      </x:c>
      <x:c r="I130" s="4" t="str">
        <x:v>18: fuentes y reserva específica</x:v>
      </x:c>
      <x:c r="J130" s="4" t="str">
        <x:v>TRANSVERSAL; PROFUNDIZACIÓN PROPUESTA</x:v>
      </x:c>
      <x:c r="K130" s="12" t="n">
        <x:f>IF(OR(D130="TRANSVERSAL",D130="RESERVA",COUNTIF('26_Mapa_universos'!$A$5:$A$33,D130)=1),0,1)</x:f>
        <x:v>0</x:v>
      </x:c>
      <x:c r="L130" s="12" t="n">
        <x:f>IF(COUNTIF('21_Fuentes_educativas'!$A$5:$A$188,H130)+COUNTIF('01_Fuentes'!$A$5:$A$40,H130)=1,0,1)</x:f>
        <x:v>0</x:v>
      </x:c>
    </x:row>
    <x:row r="131" ht="47" customHeight="1">
      <x:c r="A131" s="4" t="str">
        <x:v>TC-127</x:v>
      </x:c>
      <x:c r="B131" s="4" t="str">
        <x:v>AN-08</x:v>
      </x:c>
      <x:c r="C131" s="4" t="str">
        <x:v>NECESIDAD HUMANA</x:v>
      </x:c>
      <x:c r="D131" s="4" t="str">
        <x:v>CYO-29</x:v>
      </x:c>
      <x:c r="E131" s="4" t="str">
        <x:v>Sesgo, explicabilidad, robustez, responsabilidad y revisión de conocimiento ante cambios.</x:v>
      </x:c>
      <x:c r="F131" s="4" t="str">
        <x:v>Presentar evidencia, afectados, alternativas, incertidumbre y consecuencias antes de aconsejar; someter actualizaciones a adopción humana.</x:v>
      </x:c>
      <x:c r="G131" s="4" t="str">
        <x:v>Una explicación convincente puede ocultar error o sustituir indebidamente el juicio humano.</x:v>
      </x:c>
      <x:c r="H131" s="4" t="str">
        <x:v>M003</x:v>
      </x:c>
      <x:c r="I131" s="4" t="str">
        <x:v>18: fuentes y reserva específica</x:v>
      </x:c>
      <x:c r="J131" s="4" t="str">
        <x:v>TRANSVERSAL; PROFUNDIZACIÓN PROPUESTA</x:v>
      </x:c>
      <x:c r="K131" s="12" t="n">
        <x:f>IF(OR(D131="TRANSVERSAL",D131="RESERVA",COUNTIF('26_Mapa_universos'!$A$5:$A$33,D131)=1),0,1)</x:f>
        <x:v>0</x:v>
      </x:c>
      <x:c r="L131" s="12" t="n">
        <x:f>IF(COUNTIF('21_Fuentes_educativas'!$A$5:$A$188,H131)+COUNTIF('01_Fuentes'!$A$5:$A$40,H131)=1,0,1)</x:f>
        <x:v>0</x:v>
      </x:c>
    </x:row>
  </x:sheetData>
  <x:mergeCells>
    <x:mergeCell ref="A1:D1"/>
    <x:mergeCell ref="A2:F2"/>
  </x:mergeCells>
  <x:conditionalFormatting sqref="K5:K131">
    <x:cfRule type="expression" dxfId="11" priority="1">
      <x:formula>K5&gt;0</x:formula>
    </x:cfRule>
  </x:conditionalFormatting>
  <x:conditionalFormatting sqref="L5:L131">
    <x:cfRule type="expression" dxfId="12" priority="2">
      <x:formula>L5&gt;0</x:formula>
    </x:cfRule>
  </x:conditionalFormatting>
  <x:pageMargins left="0.7" right="0.7" top="0.75" bottom="0.75" header="0.3" footer="0.3"/>
  <x:tableParts count="1">
    <x:tablePart xmlns:r="http://schemas.openxmlformats.org/officeDocument/2006/relationships" r:id="R6a53043e81034386"/>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13" hidden="0" customWidth="1"/>
    <x:col min="2" max="2" width="16" hidden="0" customWidth="1"/>
    <x:col min="3" max="3" width="16" hidden="0" customWidth="1"/>
    <x:col min="4" max="4" width="48" hidden="0" customWidth="1"/>
    <x:col min="5" max="5" width="76" hidden="0" customWidth="1"/>
    <x:col min="6" max="6" width="91" hidden="0" customWidth="1"/>
    <x:col min="7" max="7" width="94" hidden="0" customWidth="1"/>
    <x:col min="8" max="8" width="46" hidden="0" customWidth="1"/>
    <x:col min="9" max="9" width="43" hidden="0" customWidth="1"/>
    <x:col min="10" max="10" width="19" hidden="0" customWidth="1"/>
    <x:col min="11" max="11" width="19" hidden="0" customWidth="1"/>
  </x:cols>
  <x:sheetData>
    <x:row r="1" ht="35" customHeight="1">
      <x:c r="A1" s="6" t="str">
        <x:v>RELACIONES · contratos que habrá que constituir</x:v>
      </x:c>
      <x:c r="B1" s="6"/>
      <x:c r="C1" s="6"/>
      <x:c r="D1" s="6"/>
      <x:c r="E1" s="6"/>
      <x:c r="F1" s="6"/>
      <x:c r="G1" s="6"/>
      <x:c r="H1" s="6"/>
      <x:c r="I1" s="6"/>
      <x:c r="J1" s="6"/>
      <x:c r="K1" s="6"/>
    </x:row>
    <x:row r="2" ht="52" customHeight="1">
      <x:c r="A2" s="8" t="str">
        <x:v>Estas flechas unen productos profesionales propuestos. No son todavía composición de células, rutas críticas ejecutables ni permisos. El orden educativo de 16 pertenece a otro plano.</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x:v>
      </x:c>
      <x:c r="B4" s="10" t="str">
        <x:v>Origen</x:v>
      </x:c>
      <x:c r="C4" s="10" t="str">
        <x:v>Destino</x:v>
      </x:c>
      <x:c r="D4" s="10" t="str">
        <x:v>Relación profesional</x:v>
      </x:c>
      <x:c r="E4" s="10" t="str">
        <x:v>Contenido transmitido</x:v>
      </x:c>
      <x:c r="F4" s="10" t="str">
        <x:v>Tratamiento de insuficiencia / U</x:v>
      </x:c>
      <x:c r="G4" s="10" t="str">
        <x:v>Obligación de tipado y límite</x:v>
      </x:c>
      <x:c r="H4" s="10" t="str">
        <x:v>Anclas</x:v>
      </x:c>
      <x:c r="I4" s="10" t="str">
        <x:v>Estatuto</x:v>
      </x:c>
      <x:c r="J4" s="10" t="str">
        <x:v>Origen inválido</x:v>
      </x:c>
      <x:c r="K4" s="10" t="str">
        <x:v>Destino inválido</x:v>
      </x:c>
    </x:row>
    <x:row r="5" ht="47" customHeight="1">
      <x:c r="A5" s="4" t="str">
        <x:v>RC-01</x:v>
      </x:c>
      <x:c r="B5" s="4" t="str">
        <x:v>CYO-27</x:v>
      </x:c>
      <x:c r="C5" s="4" t="str">
        <x:v>CYO-07</x:v>
      </x:c>
      <x:c r="D5" s="4" t="str">
        <x:v>Evidencia de cobertura</x:v>
      </x:c>
      <x:c r="E5" s="4" t="str">
        <x:v>Telemetría y escenarios observables</x:v>
      </x:c>
      <x:c r="F5" s="4" t="str">
        <x:v>La falta de cobertura limita el juicio sobre ausencia de actividad</x:v>
      </x:c>
      <x:c r="G5" s="4" t="str">
        <x:v>Serie candidata; tipar salida, entrada y conector antes de G7</x:v>
      </x:c>
      <x:c r="H5" s="4" t="str">
        <x:v>R033; S007 §7.8</x:v>
      </x:c>
      <x:c r="I5" s="4" t="str">
        <x:v>PROPUESTA; G7 NO CONSTITUIDA</x:v>
      </x:c>
      <x:c r="J5" s="12" t="n">
        <x:f>IF(COUNTIF('26_Mapa_universos'!$A$5:$A$33,B5)=1,0,1)</x:f>
        <x:v>0</x:v>
      </x:c>
      <x:c r="K5" s="12" t="n">
        <x:f>IF(COUNTIF('26_Mapa_universos'!$A$5:$A$33,C5)=1,0,1)</x:f>
        <x:v>0</x:v>
      </x:c>
    </x:row>
    <x:row r="6" ht="47" customHeight="1">
      <x:c r="A6" s="4" t="str">
        <x:v>RC-02</x:v>
      </x:c>
      <x:c r="B6" s="4" t="str">
        <x:v>CYO-23</x:v>
      </x:c>
      <x:c r="C6" s="4" t="str">
        <x:v>CYO-15</x:v>
      </x:c>
      <x:c r="D6" s="4" t="str">
        <x:v>Evidencia técnica para admisión</x:v>
      </x:c>
      <x:c r="E6" s="4" t="str">
        <x:v>Informe del modelo, corte y uso evaluados</x:v>
      </x:c>
      <x:c r="F6" s="4" t="str">
        <x:v>Informe incompleto no se interpreta como aptitud</x:v>
      </x:c>
      <x:c r="G6" s="4" t="str">
        <x:v>Entrada de evidencia; no compuerta constituida</x:v>
      </x:c>
      <x:c r="H6" s="4" t="str">
        <x:v>M002; M003; I005 §7</x:v>
      </x:c>
      <x:c r="I6" s="4" t="str">
        <x:v>PROPUESTA; G7 NO CONSTITUIDA</x:v>
      </x:c>
      <x:c r="J6" s="12" t="n">
        <x:f>IF(COUNTIF('26_Mapa_universos'!$A$5:$A$33,B6)=1,0,1)</x:f>
        <x:v>0</x:v>
      </x:c>
      <x:c r="K6" s="12" t="n">
        <x:f>IF(COUNTIF('26_Mapa_universos'!$A$5:$A$33,C6)=1,0,1)</x:f>
        <x:v>0</x:v>
      </x:c>
    </x:row>
    <x:row r="7" ht="47" customHeight="1">
      <x:c r="A7" s="4" t="str">
        <x:v>RC-03</x:v>
      </x:c>
      <x:c r="B7" s="4" t="str">
        <x:v>CYO-29</x:v>
      </x:c>
      <x:c r="C7" s="4" t="str">
        <x:v>CYO-15</x:v>
      </x:c>
      <x:c r="D7" s="4" t="str">
        <x:v>Condición corporativa de uso</x:v>
      </x:c>
      <x:c r="E7" s="4" t="str">
        <x:v>Política y autoridad aplicables</x:v>
      </x:c>
      <x:c r="F7" s="4" t="str">
        <x:v>Falta de permiso mantiene el uso sin admitir</x:v>
      </x:c>
      <x:c r="G7" s="4" t="str">
        <x:v>Condición de autorización humana; no operador automático</x:v>
      </x:c>
      <x:c r="H7" s="4" t="str">
        <x:v>R037; AN-02; S001</x:v>
      </x:c>
      <x:c r="I7" s="4" t="str">
        <x:v>PROPUESTA; G7 NO CONSTITUIDA</x:v>
      </x:c>
      <x:c r="J7" s="12" t="n">
        <x:f>IF(COUNTIF('26_Mapa_universos'!$A$5:$A$33,B7)=1,0,1)</x:f>
        <x:v>0</x:v>
      </x:c>
      <x:c r="K7" s="12" t="n">
        <x:f>IF(COUNTIF('26_Mapa_universos'!$A$5:$A$33,C7)=1,0,1)</x:f>
        <x:v>0</x:v>
      </x:c>
    </x:row>
    <x:row r="8" ht="47" customHeight="1">
      <x:c r="A8" s="4" t="str">
        <x:v>RC-04</x:v>
      </x:c>
      <x:c r="B8" s="4" t="str">
        <x:v>CYO-15</x:v>
      </x:c>
      <x:c r="C8" s="4" t="str">
        <x:v>CYO-07</x:v>
      </x:c>
      <x:c r="D8" s="4" t="str">
        <x:v>Restricción del apoyo de IA</x:v>
      </x:c>
      <x:c r="E8" s="4" t="str">
        <x:v>Uso admitido, versión, permiso y supervisión</x:v>
      </x:c>
      <x:c r="F8" s="4" t="str">
        <x:v>Si no está admitido no habilita el apoyo; triaje humano tiene contrato propio</x:v>
      </x:c>
      <x:c r="G8" s="4" t="str">
        <x:v>Habilitación propuesta; no crea célula ni asigna 0/1</x:v>
      </x:c>
      <x:c r="H8" s="4" t="str">
        <x:v>M003; R033</x:v>
      </x:c>
      <x:c r="I8" s="4" t="str">
        <x:v>PROPUESTA; G7 NO CONSTITUIDA</x:v>
      </x:c>
      <x:c r="J8" s="12" t="n">
        <x:f>IF(COUNTIF('26_Mapa_universos'!$A$5:$A$33,B8)=1,0,1)</x:f>
        <x:v>0</x:v>
      </x:c>
      <x:c r="K8" s="12" t="n">
        <x:f>IF(COUNTIF('26_Mapa_universos'!$A$5:$A$33,C8)=1,0,1)</x:f>
        <x:v>0</x:v>
      </x:c>
    </x:row>
    <x:row r="9" ht="47" customHeight="1">
      <x:c r="A9" s="4" t="str">
        <x:v>RC-05</x:v>
      </x:c>
      <x:c r="B9" s="4" t="str">
        <x:v>CYO-07</x:v>
      </x:c>
      <x:c r="C9" s="4" t="str">
        <x:v>CYO-09</x:v>
      </x:c>
      <x:c r="D9" s="4" t="str">
        <x:v>Escalado fundado</x:v>
      </x:c>
      <x:c r="E9" s="4" t="str">
        <x:v>Episodio y evidencia con incertidumbre</x:v>
      </x:c>
      <x:c r="F9" s="4" t="str">
        <x:v>Alerta no equivale a incidente confirmado ni a permiso de contención</x:v>
      </x:c>
      <x:c r="G9" s="4" t="str">
        <x:v>Transición condicionada por el contrato futuro</x:v>
      </x:c>
      <x:c r="H9" s="4" t="str">
        <x:v>R033</x:v>
      </x:c>
      <x:c r="I9" s="4" t="str">
        <x:v>PROPUESTA; G7 NO CONSTITUIDA</x:v>
      </x:c>
      <x:c r="J9" s="12" t="n">
        <x:f>IF(COUNTIF('26_Mapa_universos'!$A$5:$A$33,B9)=1,0,1)</x:f>
        <x:v>0</x:v>
      </x:c>
      <x:c r="K9" s="12" t="n">
        <x:f>IF(COUNTIF('26_Mapa_universos'!$A$5:$A$33,C9)=1,0,1)</x:f>
        <x:v>0</x:v>
      </x:c>
    </x:row>
    <x:row r="10" ht="47" customHeight="1">
      <x:c r="A10" s="4" t="str">
        <x:v>RC-06</x:v>
      </x:c>
      <x:c r="B10" s="4" t="str">
        <x:v>CYO-09</x:v>
      </x:c>
      <x:c r="C10" s="4" t="str">
        <x:v>CYO-24</x:v>
      </x:c>
      <x:c r="D10" s="4" t="str">
        <x:v>Plan aprobado para actuación</x:v>
      </x:c>
      <x:c r="E10" s="4" t="str">
        <x:v>Plan, permiso, objetos y condiciones de parada</x:v>
      </x:c>
      <x:c r="F10" s="4" t="str">
        <x:v>Sin autorización no procede actuación material</x:v>
      </x:c>
      <x:c r="G10" s="4" t="str">
        <x:v>Precedencia de gobierno; compuerta pendiente de semántica</x:v>
      </x:c>
      <x:c r="H10" s="4" t="str">
        <x:v>R033; S001</x:v>
      </x:c>
      <x:c r="I10" s="4" t="str">
        <x:v>PROPUESTA; G7 NO CONSTITUIDA</x:v>
      </x:c>
      <x:c r="J10" s="12" t="n">
        <x:f>IF(COUNTIF('26_Mapa_universos'!$A$5:$A$33,B10)=1,0,1)</x:f>
        <x:v>0</x:v>
      </x:c>
      <x:c r="K10" s="12" t="n">
        <x:f>IF(COUNTIF('26_Mapa_universos'!$A$5:$A$33,C10)=1,0,1)</x:f>
        <x:v>0</x:v>
      </x:c>
    </x:row>
    <x:row r="11" ht="47" customHeight="1">
      <x:c r="A11" s="4" t="str">
        <x:v>RC-07</x:v>
      </x:c>
      <x:c r="B11" s="4" t="str">
        <x:v>CYO-24</x:v>
      </x:c>
      <x:c r="C11" s="4" t="str">
        <x:v>CYO-25</x:v>
      </x:c>
      <x:c r="D11" s="4" t="str">
        <x:v>Transferencia hacia recuperación</x:v>
      </x:c>
      <x:c r="E11" s="4" t="str">
        <x:v>Estado efectivo y restricciones del incidente</x:v>
      </x:c>
      <x:c r="F11" s="4" t="str">
        <x:v>Efecto no verificado no se convierte en restauración acreditada</x:v>
      </x:c>
      <x:c r="G11" s="4" t="str">
        <x:v>Transición con cambio de responsable cuando proceda</x:v>
      </x:c>
      <x:c r="H11" s="4" t="str">
        <x:v>R033</x:v>
      </x:c>
      <x:c r="I11" s="4" t="str">
        <x:v>PROPUESTA; G7 NO CONSTITUIDA</x:v>
      </x:c>
      <x:c r="J11" s="12" t="n">
        <x:f>IF(COUNTIF('26_Mapa_universos'!$A$5:$A$33,B11)=1,0,1)</x:f>
        <x:v>0</x:v>
      </x:c>
      <x:c r="K11" s="12" t="n">
        <x:f>IF(COUNTIF('26_Mapa_universos'!$A$5:$A$33,C11)=1,0,1)</x:f>
        <x:v>0</x:v>
      </x:c>
    </x:row>
    <x:row r="12" ht="47" customHeight="1">
      <x:c r="A12" s="4" t="str">
        <x:v>RC-08</x:v>
      </x:c>
      <x:c r="B12" s="4" t="str">
        <x:v>CYO-11</x:v>
      </x:c>
      <x:c r="C12" s="4" t="str">
        <x:v>CYO-25</x:v>
      </x:c>
      <x:c r="D12" s="4" t="str">
        <x:v>Evidencia previa de preparación</x:v>
      </x:c>
      <x:c r="E12" s="4" t="str">
        <x:v>Ensayos y límites que pueden seguir vigentes</x:v>
      </x:c>
      <x:c r="F12" s="4" t="str">
        <x:v>Ensayo favorable no asegura recuperación real</x:v>
      </x:c>
      <x:c r="G12" s="4" t="str">
        <x:v>Referencia probatoria con vigencia, sin copiar estado</x:v>
      </x:c>
      <x:c r="H12" s="4" t="str">
        <x:v>R033</x:v>
      </x:c>
      <x:c r="I12" s="4" t="str">
        <x:v>PROPUESTA; G7 NO CONSTITUIDA</x:v>
      </x:c>
      <x:c r="J12" s="12" t="n">
        <x:f>IF(COUNTIF('26_Mapa_universos'!$A$5:$A$33,B12)=1,0,1)</x:f>
        <x:v>0</x:v>
      </x:c>
      <x:c r="K12" s="12" t="n">
        <x:f>IF(COUNTIF('26_Mapa_universos'!$A$5:$A$33,C12)=1,0,1)</x:f>
        <x:v>0</x:v>
      </x:c>
    </x:row>
    <x:row r="13" ht="47" customHeight="1">
      <x:c r="A13" s="4" t="str">
        <x:v>RC-09</x:v>
      </x:c>
      <x:c r="B13" s="4" t="str">
        <x:v>CYO-10</x:v>
      </x:c>
      <x:c r="C13" s="4" t="str">
        <x:v>CYO-07</x:v>
      </x:c>
      <x:c r="D13" s="4" t="str">
        <x:v>Aporte de evidencia</x:v>
      </x:c>
      <x:c r="E13" s="4" t="str">
        <x:v>Hallazgo forense autorizado y su procedencia</x:v>
      </x:c>
      <x:c r="F13" s="4" t="str">
        <x:v>Interpretación no adjudicada conserva incertidumbre</x:v>
      </x:c>
      <x:c r="G13" s="4" t="str">
        <x:v>Referencia de lectura; el siguiente episodio tiene identidad nueva</x:v>
      </x:c>
      <x:c r="H13" s="4" t="str">
        <x:v>R033; S012 §4</x:v>
      </x:c>
      <x:c r="I13" s="4" t="str">
        <x:v>PROPUESTA; G7 NO CONSTITUIDA</x:v>
      </x:c>
      <x:c r="J13" s="12" t="n">
        <x:f>IF(COUNTIF('26_Mapa_universos'!$A$5:$A$33,B13)=1,0,1)</x:f>
        <x:v>0</x:v>
      </x:c>
      <x:c r="K13" s="12" t="n">
        <x:f>IF(COUNTIF('26_Mapa_universos'!$A$5:$A$33,C13)=1,0,1)</x:f>
        <x:v>0</x:v>
      </x:c>
    </x:row>
    <x:row r="14" ht="47" customHeight="1">
      <x:c r="A14" s="4" t="str">
        <x:v>RC-10</x:v>
      </x:c>
      <x:c r="B14" s="4" t="str">
        <x:v>CYO-04</x:v>
      </x:c>
      <x:c r="C14" s="4" t="str">
        <x:v>CYO-26</x:v>
      </x:c>
      <x:c r="D14" s="4" t="str">
        <x:v>Hallazgo para tratamiento</x:v>
      </x:c>
      <x:c r="E14" s="4" t="str">
        <x:v>Prueba, alcance, aplicabilidad y evidencia</x:v>
      </x:c>
      <x:c r="F14" s="4" t="str">
        <x:v>Hallazgo no aplicable no recibe tratamiento automático</x:v>
      </x:c>
      <x:c r="G14" s="4" t="str">
        <x:v>Entrada contextual; CVSS no sustituye riesgo</x:v>
      </x:c>
      <x:c r="H14" s="4" t="str">
        <x:v>R034; R035</x:v>
      </x:c>
      <x:c r="I14" s="4" t="str">
        <x:v>PROPUESTA; G7 NO CONSTITUIDA</x:v>
      </x:c>
      <x:c r="J14" s="12" t="n">
        <x:f>IF(COUNTIF('26_Mapa_universos'!$A$5:$A$33,B14)=1,0,1)</x:f>
        <x:v>0</x:v>
      </x:c>
      <x:c r="K14" s="12" t="n">
        <x:f>IF(COUNTIF('26_Mapa_universos'!$A$5:$A$33,C14)=1,0,1)</x:f>
        <x:v>0</x:v>
      </x:c>
    </x:row>
    <x:row r="15" ht="47" customHeight="1">
      <x:c r="A15" s="4" t="str">
        <x:v>RC-11</x:v>
      </x:c>
      <x:c r="B15" s="4" t="str">
        <x:v>CYO-01</x:v>
      </x:c>
      <x:c r="C15" s="4" t="str">
        <x:v>CYO-26</x:v>
      </x:c>
      <x:c r="D15" s="4" t="str">
        <x:v>Balance y condiciones de tratamiento</x:v>
      </x:c>
      <x:c r="E15" s="4" t="str">
        <x:v>Riesgo local, coste total y valor protegido</x:v>
      </x:c>
      <x:c r="F15" s="4" t="str">
        <x:v>Valoración insuficiente no habilita una aprobación económica inventada</x:v>
      </x:c>
      <x:c r="G15" s="4" t="str">
        <x:v>Condición humana documentada; no compensación algorítmica</x:v>
      </x:c>
      <x:c r="H15" s="4" t="str">
        <x:v>R035; mandato humano</x:v>
      </x:c>
      <x:c r="I15" s="4" t="str">
        <x:v>PROPUESTA; G7 NO CONSTITUIDA</x:v>
      </x:c>
      <x:c r="J15" s="12" t="n">
        <x:f>IF(COUNTIF('26_Mapa_universos'!$A$5:$A$33,B15)=1,0,1)</x:f>
        <x:v>0</x:v>
      </x:c>
      <x:c r="K15" s="12" t="n">
        <x:f>IF(COUNTIF('26_Mapa_universos'!$A$5:$A$33,C15)=1,0,1)</x:f>
        <x:v>0</x:v>
      </x:c>
    </x:row>
    <x:row r="16" ht="47" customHeight="1">
      <x:c r="A16" s="4" t="str">
        <x:v>RC-12</x:v>
      </x:c>
      <x:c r="B16" s="4" t="str">
        <x:v>CYO-14</x:v>
      </x:c>
      <x:c r="C16" s="4" t="str">
        <x:v>CYO-24</x:v>
      </x:c>
      <x:c r="D16" s="4" t="str">
        <x:v>Restricción ciberfísica</x:v>
      </x:c>
      <x:c r="E16" s="4" t="str">
        <x:v>Límite de proceso y autoridad de seguridad física</x:v>
      </x:c>
      <x:c r="F16" s="4" t="str">
        <x:v>Una incertidumbre crítica puede bloquear intervención según contrato</x:v>
      </x:c>
      <x:c r="G16" s="4" t="str">
        <x:v>Supervisión o veto candidato; requiere contrato específico</x:v>
      </x:c>
      <x:c r="H16" s="4" t="str">
        <x:v>R036; S007 §7.9</x:v>
      </x:c>
      <x:c r="I16" s="4" t="str">
        <x:v>PROPUESTA; G7 NO CONSTITUIDA</x:v>
      </x:c>
      <x:c r="J16" s="12" t="n">
        <x:f>IF(COUNTIF('26_Mapa_universos'!$A$5:$A$33,B16)=1,0,1)</x:f>
        <x:v>0</x:v>
      </x:c>
      <x:c r="K16" s="12" t="n">
        <x:f>IF(COUNTIF('26_Mapa_universos'!$A$5:$A$33,C16)=1,0,1)</x:f>
        <x:v>0</x:v>
      </x:c>
    </x:row>
    <x:row r="17" ht="47" customHeight="1">
      <x:c r="A17" s="4" t="str">
        <x:v>RC-13</x:v>
      </x:c>
      <x:c r="B17" s="4" t="str">
        <x:v>CYO-19</x:v>
      </x:c>
      <x:c r="C17" s="4" t="str">
        <x:v>CYO-29</x:v>
      </x:c>
      <x:c r="D17" s="4" t="str">
        <x:v>Propuesta de actualización</x:v>
      </x:c>
      <x:c r="E17" s="4" t="str">
        <x:v>Conocimiento nuevo con método y límites</x:v>
      </x:c>
      <x:c r="F17" s="4" t="str">
        <x:v>Novedad no sustituye política vigente sin aptitud declarada por humano</x:v>
      </x:c>
      <x:c r="G17" s="4" t="str">
        <x:v>Nuevo suceso versionado; no ciclo de actualización automático</x:v>
      </x:c>
      <x:c r="H17" s="4" t="str">
        <x:v>W016; I005 §5</x:v>
      </x:c>
      <x:c r="I17" s="4" t="str">
        <x:v>PROPUESTA; G7 NO CONSTITUIDA</x:v>
      </x:c>
      <x:c r="J17" s="12" t="n">
        <x:f>IF(COUNTIF('26_Mapa_universos'!$A$5:$A$33,B17)=1,0,1)</x:f>
        <x:v>0</x:v>
      </x:c>
      <x:c r="K17" s="12" t="n">
        <x:f>IF(COUNTIF('26_Mapa_universos'!$A$5:$A$33,C17)=1,0,1)</x:f>
        <x:v>0</x:v>
      </x:c>
    </x:row>
    <x:row r="18" ht="47" customHeight="1">
      <x:c r="A18" s="4" t="str">
        <x:v>RC-14</x:v>
      </x:c>
      <x:c r="B18" s="4" t="str">
        <x:v>CYO-22</x:v>
      </x:c>
      <x:c r="C18" s="4" t="str">
        <x:v>CYO-18</x:v>
      </x:c>
      <x:c r="D18" s="4" t="str">
        <x:v>Retroalimentación educativa</x:v>
      </x:c>
      <x:c r="E18" s="4" t="str">
        <x:v>Evidencia del aprendizaje y carencias observadas</x:v>
      </x:c>
      <x:c r="F18" s="4" t="str">
        <x:v>Asistencia no se convierte en aprendizaje demostrado</x:v>
      </x:c>
      <x:c r="G18" s="4" t="str">
        <x:v>Revisión en otro corte; no realimentación instantánea del motor</x:v>
      </x:c>
      <x:c r="H18" s="4" t="str">
        <x:v>R038; M001</x:v>
      </x:c>
      <x:c r="I18" s="4" t="str">
        <x:v>PROPUESTA; G7 NO CONSTITUIDA</x:v>
      </x:c>
      <x:c r="J18" s="12" t="n">
        <x:f>IF(COUNTIF('26_Mapa_universos'!$A$5:$A$33,B18)=1,0,1)</x:f>
        <x:v>0</x:v>
      </x:c>
      <x:c r="K18" s="12" t="n">
        <x:f>IF(COUNTIF('26_Mapa_universos'!$A$5:$A$33,C18)=1,0,1)</x:f>
        <x:v>0</x:v>
      </x:c>
    </x:row>
  </x:sheetData>
  <x:mergeCells>
    <x:mergeCell ref="A1:D1"/>
    <x:mergeCell ref="A2:F2"/>
  </x:mergeCells>
  <x:conditionalFormatting sqref="J5:J18">
    <x:cfRule type="expression" dxfId="13" priority="1">
      <x:formula>J5&gt;0</x:formula>
    </x:cfRule>
  </x:conditionalFormatting>
  <x:conditionalFormatting sqref="K5:K18">
    <x:cfRule type="expression" dxfId="14" priority="2">
      <x:formula>K5&gt;0</x:formula>
    </x:cfRule>
  </x:conditionalFormatting>
  <x:pageMargins left="0.7" right="0.7" top="0.75" bottom="0.75" header="0.3" footer="0.3"/>
  <x:tableParts count="1">
    <x:tablePart xmlns:r="http://schemas.openxmlformats.org/officeDocument/2006/relationships" r:id="Rd6d73090ae3a4f1f"/>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13" hidden="0" customWidth="1"/>
    <x:col min="2" max="2" width="39" hidden="0" customWidth="1"/>
    <x:col min="3" max="3" width="103" hidden="0" customWidth="1"/>
    <x:col min="4" max="4" width="110" hidden="0" customWidth="1"/>
    <x:col min="5" max="5" width="99" hidden="0" customWidth="1"/>
    <x:col min="6" max="6" width="44" hidden="0" customWidth="1"/>
    <x:col min="7" max="7" width="41" hidden="0" customWidth="1"/>
  </x:cols>
  <x:sheetData>
    <x:row r="1" ht="35" customHeight="1">
      <x:c r="A1" s="6" t="str">
        <x:v>CAMINO · del currículo al primer parámetro y universo</x:v>
      </x:c>
      <x:c r="B1" s="6"/>
      <x:c r="C1" s="6"/>
      <x:c r="D1" s="6"/>
      <x:c r="E1" s="6"/>
      <x:c r="F1" s="6"/>
      <x:c r="G1" s="6"/>
    </x:row>
    <x:row r="2" ht="52" customHeight="1">
      <x:c r="A2" s="8" t="str">
        <x:v>Actualización v0.5: universo abierto y P01 adoptado; P02–P10 con dictamen documental en 45–55. Cobertura/arquitectura/aptitud siguen pendientes.</x:v>
      </x:c>
      <x:c r="B2" s="8"/>
      <x:c r="C2" s="8"/>
      <x:c r="D2" s="8"/>
      <x:c r="E2" s="8"/>
      <x:c r="F2" s="8"/>
      <x:c r="G2" s="8"/>
    </x:row>
    <x:row r="3">
      <x:c r="A3" s="4"/>
      <x:c r="B3" s="4"/>
      <x:c r="C3" s="4"/>
      <x:c r="D3" s="4"/>
      <x:c r="E3" s="4"/>
      <x:c r="F3" s="4"/>
      <x:c r="G3" s="4"/>
    </x:row>
    <x:row r="4" ht="42" customHeight="1">
      <x:c r="A4" s="10" t="str">
        <x:v>ID</x:v>
      </x:c>
      <x:c r="B4" s="10" t="str">
        <x:v>Paso</x:v>
      </x:c>
      <x:c r="C4" s="10" t="str">
        <x:v>Trabajo y criterio</x:v>
      </x:c>
      <x:c r="D4" s="10" t="str">
        <x:v>Frontera / condición</x:v>
      </x:c>
      <x:c r="E4" s="10" t="str">
        <x:v>Objeto de cierre</x:v>
      </x:c>
      <x:c r="F4" s="10" t="str">
        <x:v>Fuente</x:v>
      </x:c>
      <x:c r="G4" s="10" t="str">
        <x:v>Estado</x:v>
      </x:c>
    </x:row>
    <x:row r="5" ht="47" customHeight="1">
      <x:c r="A5" s="4" t="str">
        <x:v>PC-01</x:v>
      </x:c>
      <x:c r="B5" s="4" t="str">
        <x:v>Cerrar el perímetro</x:v>
      </x:c>
      <x:c r="C5" s="4" t="str">
        <x:v>Resolver reservas materiales para la operación; admitir fuentes y extracción suficiente</x:v>
      </x:c>
      <x:c r="D5" s="4" t="str">
        <x:v>Mapa 26 y trazas 27 son propuesta; una reserva ajena al uso no bloquea todo el dominio</x:v>
      </x:c>
      <x:c r="E5" s="4" t="str">
        <x:v>Catálogo admitido con alcance, exclusiones y responsable</x:v>
      </x:c>
      <x:c r="F5" s="4" t="str">
        <x:v>I005 §7.1</x:v>
      </x:c>
      <x:c r="G5" s="4" t="str">
        <x:v>ACOTADO EN 37</x:v>
      </x:c>
    </x:row>
    <x:row r="6" ht="47" customHeight="1">
      <x:c r="A6" s="4" t="str">
        <x:v>PC-02</x:v>
      </x:c>
      <x:c r="B6" s="4" t="str">
        <x:v>Comparar primera operación</x:v>
      </x:c>
      <x:c r="C6" s="4" t="str">
        <x:v>Relevancia, evidencia admisible, finitud y consecuencias de omitir conocimiento necesario</x:v>
      </x:c>
      <x:c r="D6" s="4" t="str">
        <x:v>Comparadas CYO-07, 14, 23 y 26. Se selecciona el recorte de cierre de corrección de CYO-26; véase 36.</x:v>
      </x:c>
      <x:c r="E6" s="4" t="str">
        <x:v>Selección motivada por unidad competente y Dirección</x:v>
      </x:c>
      <x:c r="F6" s="4" t="str">
        <x:v>I005 §7.1; 26; 34</x:v>
      </x:c>
      <x:c r="G6" s="4" t="str">
        <x:v>COMPARACIÓN EN 36</x:v>
      </x:c>
    </x:row>
    <x:row r="7" ht="47" customHeight="1">
      <x:c r="A7" s="4" t="str">
        <x:v>PC-03</x:v>
      </x:c>
      <x:c r="B7" s="4" t="str">
        <x:v>Prioridad por consecuencia de omisión</x:v>
      </x:c>
      <x:c r="C7" s="4" t="str">
        <x:v>El riesgo de cerrar correcciones sin enlazar requisito, cumplimiento y efecto fundamenta el primer recorte.</x:v>
      </x:c>
      <x:c r="D7" s="4" t="str">
        <x:v>Se descarta durante la preparación dar preferencia a validar un detector sólo por disponer de fuentes de IA</x:v>
      </x:c>
      <x:c r="E7" s="4" t="str">
        <x:v>Propuesta motivada por consecuencia, representatividad, evidencia y cierre finito</x:v>
      </x:c>
      <x:c r="F7" s="4" t="str">
        <x:v>34; I005 §7.1; mandato humano</x:v>
      </x:c>
      <x:c r="G7" s="4" t="str">
        <x:v>CYO-26 / OP-CYB-001</x:v>
      </x:c>
    </x:row>
    <x:row r="8" ht="47" customHeight="1">
      <x:c r="A8" s="4" t="str">
        <x:v>PC-04</x:v>
      </x:c>
      <x:c r="B8" s="4" t="str">
        <x:v>Fijar G1 y manifiesto finito</x:v>
      </x:c>
      <x:c r="C8" s="4" t="str">
        <x:v>Acta de apertura y manifiesto publicados en 2454cb1080c2f824bd3b8115cb31729db8f2d7e8. Q0 conserva nueve raíces y 31 distinciones.</x:v>
      </x:c>
      <x:c r="D8" s="4" t="str">
        <x:v>El contrato declarará medios y límites propios. Catalogar no autoriza entrenamiento, despliegue, intervención ni uso de datos reales</x:v>
      </x:c>
      <x:c r="E8" s="4" t="str">
        <x:v>Q0 finito, medida de distinciones pendientes y estados terminales propios</x:v>
      </x:c>
      <x:c r="F8" s="4" t="str">
        <x:v>I005 §§7.2,7.4; I004</x:v>
      </x:c>
      <x:c r="G8" s="4" t="str">
        <x:v>APERTURA REGISTRADA EN 45</x:v>
      </x:c>
    </x:row>
    <x:row r="9" ht="47" customHeight="1">
      <x:c r="A9" s="4" t="str">
        <x:v>PC-05</x:v>
      </x:c>
      <x:c r="B9" s="4" t="str">
        <x:v>Primera distinción por necesidad de consejo</x:v>
      </x:c>
      <x:c r="C9" s="4" t="str">
        <x:v>Requisito de reinicio al finalizar una instalación individual: evidencia, incertidumbre y consecuencias en 39–40.</x:v>
      </x:c>
      <x:c r="D9" s="4" t="str">
        <x:v>Los testigos CE-OM de 34 orientan la búsqueda. No se inventa un parámetro común a cualquier operación ni se elige por facilidad documental</x:v>
      </x:c>
      <x:c r="E9" s="4" t="str">
        <x:v>Pregunta semántica con evidencia, observables y consecuencia separable, antes de G5</x:v>
      </x:c>
      <x:c r="F9" s="4" t="str">
        <x:v>I005 §§7.2–7.3; S013; 34</x:v>
      </x:c>
      <x:c r="G9" s="4" t="str">
        <x:v>QCY-04-D1 EN 39–40</x:v>
      </x:c>
    </x:row>
    <x:row r="10" ht="47" customHeight="1">
      <x:c r="A10" s="4" t="str">
        <x:v>PC-06</x:v>
      </x:c>
      <x:c r="B10" s="4" t="str">
        <x:v>Adjudicar el primer parámetro</x:v>
      </x:c>
      <x:c r="C10" s="4" t="str">
        <x:v>Prueba de identidad, independencia, U, ablación y partición aplicada al primer parámetro; pruebas sintéticas en 41.</x:v>
      </x:c>
      <x:c r="D10" s="4" t="str">
        <x:v>Si resulta compuesto, operando, control o insuficiencia, se registra ese resultado. No se fuerza una adopción</x:v>
      </x:c>
      <x:c r="E10" s="4" t="str">
        <x:v>Un dictamen G5 con fuente, contrato, contraejemplos y estatuto exacto</x:v>
      </x:c>
      <x:c r="F10" s="4" t="str">
        <x:v>I005 §7.3; S013</x:v>
      </x:c>
      <x:c r="G10" s="4" t="str">
        <x:v>P01 ADOPTADO; VÉASE 45</x:v>
      </x:c>
    </x:row>
    <x:row r="11" ht="47" customHeight="1">
      <x:c r="A11" s="4" t="str">
        <x:v>PC-07</x:v>
      </x:c>
      <x:c r="B11" s="4" t="str">
        <x:v>Lote posterior de hasta diez</x:v>
      </x:c>
      <x:c r="C11" s="4" t="str">
        <x:v>Nueve candidatos adicionales con dictamen G5 en perfil documental. Se conservan alcance parcial y deuda; diez parámetros totales.</x:v>
      </x:c>
      <x:c r="D11" s="4" t="str">
        <x:v>Diez es un tamaño administrativo solicitado; no una cuota de parámetros. Cada raíz puede cerrar sin parámetro</x:v>
      </x:c>
      <x:c r="E11" s="4" t="str">
        <x:v>Ledger que reduzca pendientes y preserve dependencias sin nuevas raíces silenciosas</x:v>
      </x:c>
      <x:c r="F11" s="4" t="str">
        <x:v>I005 §7.4; S011</x:v>
      </x:c>
      <x:c r="G11" s="4" t="str">
        <x:v>LOTE DOCUMENTAL EN 46–55</x:v>
      </x:c>
    </x:row>
    <x:row r="12" ht="47" customHeight="1">
      <x:c r="A12" s="4" t="str">
        <x:v>PC-08</x:v>
      </x:c>
      <x:c r="B12" s="4" t="str">
        <x:v>Cerrar A0 y propiedad</x:v>
      </x:c>
      <x:c r="C12" s="4" t="str">
        <x:v>Agotar raíces y distinguir parámetros, controles, operandos y bloqueos</x:v>
      </x:c>
      <x:c r="D12" s="4" t="str">
        <x:v>Únicos ≠ usos; un propietario por identidad. No extrapolar 29×27 ni decidir ahora cuántas matrices habrá</x:v>
      </x:c>
      <x:c r="E12" s="4" t="str">
        <x:v>Inventario finito y función de propiedad trazada</x:v>
      </x:c>
      <x:c r="F12" s="4" t="str">
        <x:v>I005 §7.3; S012</x:v>
      </x:c>
      <x:c r="G12" s="4" t="str">
        <x:v>PENDIENTE</x:v>
      </x:c>
    </x:row>
    <x:row r="13" ht="47" customHeight="1">
      <x:c r="A13" s="4" t="str">
        <x:v>PC-09</x:v>
      </x:c>
      <x:c r="B13" s="4" t="str">
        <x:v>Constituir matrices y rutas</x:v>
      </x:c>
      <x:c r="C13" s="4" t="str">
        <x:v>Agrupación semántica, referencias y contratos de composición tipados</x:v>
      </x:c>
      <x:c r="D13" s="4" t="str">
        <x:v>Sin relleno, duplicación o células menores; no tratar cada flecha de 28 como relación ya admitida</x:v>
      </x:c>
      <x:c r="E13" s="4" t="str">
        <x:v>G6/G7 con salidas, U, precedencias y autoridades justificadas</x:v>
      </x:c>
      <x:c r="F13" s="4" t="str">
        <x:v>I005 §7.2; S007 §7</x:v>
      </x:c>
      <x:c r="G13" s="4" t="str">
        <x:v>PENDIENTE</x:v>
      </x:c>
    </x:row>
    <x:row r="14" ht="47" customHeight="1">
      <x:c r="A14" s="4" t="str">
        <x:v>PC-10</x:v>
      </x:c>
      <x:c r="B14" s="4" t="str">
        <x:v>Contrastar y devolver</x:v>
      </x:c>
      <x:c r="C14" s="4" t="str">
        <x:v>Laboratorio autorizado, sensibilidad del observador y contraste de conservación/pérdida</x:v>
      </x:c>
      <x:c r="D14" s="4" t="str">
        <x:v>Distinguir pruebas ejecutadas de especificadas. No seguir buscando hasta obtener un defecto; no abrir segundo universo por conveniencia</x:v>
      </x:c>
      <x:c r="E14" s="4" t="str">
        <x:v>Paquete con resultado fundado y deuda atribuida a la sede competente</x:v>
      </x:c>
      <x:c r="F14" s="4" t="str">
        <x:v>I005 §§8–11</x:v>
      </x:c>
      <x:c r="G14" s="4" t="str">
        <x:v>PENDIENTE</x:v>
      </x:c>
    </x:row>
  </x:sheetData>
  <x:mergeCells>
    <x:mergeCell ref="A1:D1"/>
    <x:mergeCell ref="A2:F2"/>
  </x:mergeCells>
  <x:pageMargins left="0.7" right="0.7" top="0.75" bottom="0.75" header="0.3" footer="0.3"/>
  <x:tableParts count="1">
    <x:tablePart xmlns:r="http://schemas.openxmlformats.org/officeDocument/2006/relationships" r:id="R773c88e21e9448fb"/>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13" hidden="0" customWidth="1"/>
    <x:col min="2" max="2" width="57" hidden="0" customWidth="1"/>
    <x:col min="3" max="3" width="117" hidden="0" customWidth="1"/>
    <x:col min="4" max="4" width="53" hidden="0" customWidth="1"/>
    <x:col min="5" max="5" width="61" hidden="0" customWidth="1"/>
  </x:cols>
  <x:sheetData>
    <x:row r="1" ht="35" customHeight="1">
      <x:c r="A1" s="6" t="str">
        <x:v>ADVERSARIAL · grano, educación, autoridad y composición</x:v>
      </x:c>
      <x:c r="B1" s="6"/>
      <x:c r="C1" s="6"/>
      <x:c r="D1" s="6"/>
      <x:c r="E1" s="6"/>
    </x:row>
    <x:row r="2" ht="52" customHeight="1">
      <x:c r="A2" s="8" t="str">
        <x:v>Revisión interna documental de Watson. No auditoría independiente. Los controles estructurales de 31 no certifican causalidad, aprendizaje, ejecución profesional ni suficiencia del Lenguaje.</x:v>
      </x:c>
      <x:c r="B2" s="8"/>
      <x:c r="C2" s="8"/>
      <x:c r="D2" s="8"/>
      <x:c r="E2" s="8"/>
    </x:row>
    <x:row r="3">
      <x:c r="A3" s="4"/>
      <x:c r="B3" s="4"/>
      <x:c r="C3" s="4"/>
      <x:c r="D3" s="4"/>
      <x:c r="E3" s="4"/>
    </x:row>
    <x:row r="4" ht="42" customHeight="1">
      <x:c r="A4" s="10" t="str">
        <x:v>ID</x:v>
      </x:c>
      <x:c r="B4" s="10" t="str">
        <x:v>Ataque</x:v>
      </x:c>
      <x:c r="C4" s="10" t="str">
        <x:v>Respuesta y evidencia</x:v>
      </x:c>
      <x:c r="D4" s="10" t="str">
        <x:v>Resultado</x:v>
      </x:c>
      <x:c r="E4" s="10" t="str">
        <x:v>Localizador</x:v>
      </x:c>
    </x:row>
    <x:row r="5" ht="47" customHeight="1">
      <x:c r="A5" s="4" t="str">
        <x:v>AA-01</x:v>
      </x:c>
      <x:c r="B5" s="4" t="str">
        <x:v>Memoria convertida en inventario</x:v>
      </x:c>
      <x:c r="C5" s="4" t="str">
        <x:v>32 operaciones y 32 raíces son inventarios diferentes; 27 no es cuota; más de 600 únicos no acreditados.</x:v>
      </x:c>
      <x:c r="D5" s="4" t="str">
        <x:v>CORREGIDO EN EL ENCUADRE</x:v>
      </x:c>
      <x:c r="E5" s="4" t="str">
        <x:v>25; S010–S012</x:v>
      </x:c>
    </x:row>
    <x:row r="6" ht="47" customHeight="1">
      <x:c r="A6" s="4" t="str">
        <x:v>AA-02</x:v>
      </x:c>
      <x:c r="B6" s="4" t="str">
        <x:v>23 propios + 4 transversales</x:v>
      </x:c>
      <x:c r="C6" s="4" t="str">
        <x:v>G6 documenta cuatro parámetros con configuración pendiente y cuatro referencias cruzadas: no equivalencia entre ambas cosas.</x:v>
      </x:c>
      <x:c r="D6" s="4" t="str">
        <x:v>CORREGIDO EN EL ENCUADRE</x:v>
      </x:c>
      <x:c r="E6" s="4" t="str">
        <x:v>S012 §§4,7</x:v>
      </x:c>
    </x:row>
    <x:row r="7" ht="47" customHeight="1">
      <x:c r="A7" s="4" t="str">
        <x:v>AA-03</x:v>
      </x:c>
      <x:c r="B7" s="4" t="str">
        <x:v>Tamaños inmunológicos usados como arquitectura</x:v>
      </x:c>
      <x:c r="C7" s="4" t="str">
        <x:v>La Dirección corrige ese apoyo: los tamaños citados se conservan sólo como antecedente. No justifican células irregulares ni una vía de elusión con arrays.</x:v>
      </x:c>
      <x:c r="D7" s="4" t="str">
        <x:v>CORREGIDO POR MANDATO HUMANO</x:v>
      </x:c>
      <x:c r="E7" s="4" t="str">
        <x:v>25 DL-07; S014 §§1–3</x:v>
      </x:c>
    </x:row>
    <x:row r="8" ht="47" customHeight="1">
      <x:c r="A8" s="4" t="str">
        <x:v>AA-04</x:v>
      </x:c>
      <x:c r="B8" s="4" t="str">
        <x:v>Mapa presentado como cierre G0</x:v>
      </x:c>
      <x:c r="C8" s="4" t="str">
        <x:v>La v0.2 conserva reservas: este mapa es hipótesis de acotación pedida por el humano, no perímetro estabilizado ni universo admitido.</x:v>
      </x:c>
      <x:c r="D8" s="4" t="str">
        <x:v>RESERVA MATERIAL VISIBLE</x:v>
      </x:c>
      <x:c r="E8" s="4" t="str">
        <x:v>25; 26; 29 PC-01</x:v>
      </x:c>
    </x:row>
    <x:row r="9" ht="47" customHeight="1">
      <x:c r="A9" s="4" t="str">
        <x:v>AA-05</x:v>
      </x:c>
      <x:c r="B9" s="4" t="str">
        <x:v>Atribuir a la universidad las operaciones de Watson</x:v>
      </x:c>
      <x:c r="C9" s="4" t="str">
        <x:v>Las guías anclan conocimiento y actuación; las tuplas son síntesis profesional contrastable.</x:v>
      </x:c>
      <x:c r="D9" s="4" t="str">
        <x:v>PROTEGIDO DOCUMENTALMENTE</x:v>
      </x:c>
      <x:c r="E9" s="4" t="str">
        <x:v>26; 27</x:v>
      </x:c>
    </x:row>
    <x:row r="10" ht="47" customHeight="1">
      <x:c r="A10" s="4" t="str">
        <x:v>AA-06</x:v>
      </x:c>
      <x:c r="B10" s="4" t="str">
        <x:v>Veintinueve por semejanza con Inmunología</x:v>
      </x:c>
      <x:c r="C10" s="4" t="str">
        <x:v>Reexamen de 22 antecedentes: nuevas identidades por producto/autoridad/cierre; CYO-23 recibe dos enlaces, cuenta una vez.</x:v>
      </x:c>
      <x:c r="D10" s="4" t="str">
        <x:v>RECUENTO EXPLICADO</x:v>
      </x:c>
      <x:c r="E10" s="4" t="str">
        <x:v>33; 31</x:v>
      </x:c>
    </x:row>
    <x:row r="11" ht="47" customHeight="1">
      <x:c r="A11" s="4" t="str">
        <x:v>AA-07</x:v>
      </x:c>
      <x:c r="B11" s="4" t="str">
        <x:v>Fusionar alerta, detector y permiso de uso</x:v>
      </x:c>
      <x:c r="C11" s="4" t="str">
        <x:v>CYO-07, 23 y 15 difieren en producto y finalización. Informe técnico no es permiso.</x:v>
      </x:c>
      <x:c r="D11" s="4" t="str">
        <x:v>SEPARACIÓN CANDIDATA JUSTIFICADA</x:v>
      </x:c>
      <x:c r="E11" s="4" t="str">
        <x:v>26; R033; M002; M003</x:v>
      </x:c>
    </x:row>
    <x:row r="12" ht="47" customHeight="1">
      <x:c r="A12" s="4" t="str">
        <x:v>AA-08</x:v>
      </x:c>
      <x:c r="B12" s="4" t="str">
        <x:v>Partir todo por técnica o marca</x:v>
      </x:c>
      <x:c r="C12" s="4" t="str">
        <x:v>eBPF/P4/SDN y los tipos de modelo son medios o contenidos; no universos automáticos.</x:v>
      </x:c>
      <x:c r="D12" s="4" t="str">
        <x:v>INFLACIÓN RECHAZADA</x:v>
      </x:c>
      <x:c r="E12" s="4" t="str">
        <x:v>18 AN-06; 27</x:v>
      </x:c>
    </x:row>
    <x:row r="13" ht="47" customHeight="1">
      <x:c r="A13" s="4" t="str">
        <x:v>AA-09</x:v>
      </x:c>
      <x:c r="B13" s="4" t="str">
        <x:v>Plan equiparado a efecto material</x:v>
      </x:c>
      <x:c r="C13" s="4" t="str">
        <x:v>CYO-09/24 y CYO-11/25 tienen productos y cierre diferentes. Su catalogación no autoriza actuación.</x:v>
      </x:c>
      <x:c r="D13" s="4" t="str">
        <x:v>SEPARACIÓN CANDIDATA JUSTIFICADA</x:v>
      </x:c>
      <x:c r="E13" s="4" t="str">
        <x:v>26; 33</x:v>
      </x:c>
    </x:row>
    <x:row r="14" ht="47" customHeight="1">
      <x:c r="A14" s="4" t="str">
        <x:v>AA-10</x:v>
      </x:c>
      <x:c r="B14" s="4" t="str">
        <x:v>Duplicar estado por uso transversal</x:v>
      </x:c>
      <x:c r="C14" s="4" t="str">
        <x:v>Identidad y propietario deben permanecer únicos; aún no hay parámetros CYB para adjudicarlos.</x:v>
      </x:c>
      <x:c r="D14" s="4" t="str">
        <x:v>NO SE FABRICAN IDENTIDADES</x:v>
      </x:c>
      <x:c r="E14" s="4" t="str">
        <x:v>25 DL-12; S012</x:v>
      </x:c>
    </x:row>
    <x:row r="15" ht="47" customHeight="1">
      <x:c r="A15" s="4" t="str">
        <x:v>AA-11</x:v>
      </x:c>
      <x:c r="B15" s="4" t="str">
        <x:v>Reducir todo a enciclopedia</x:v>
      </x:c>
      <x:c r="C15" s="4" t="str">
        <x:v>Cada traza conserva conocimiento, saber hacer y consecuencia/límite; la base incluye progresión, prácticas, proyecto y evaluación.</x:v>
      </x:c>
      <x:c r="D15" s="4" t="str">
        <x:v>COBERTURA EDUCATIVA ESTRUCTURADA</x:v>
      </x:c>
      <x:c r="E15" s="4" t="str">
        <x:v>15–19; 27</x:v>
      </x:c>
    </x:row>
    <x:row r="16" ht="47" customHeight="1">
      <x:c r="A16" s="4" t="str">
        <x:v>AA-12</x:v>
      </x:c>
      <x:c r="B16" s="4" t="str">
        <x:v>Confundir cobertura de filas con suficiencia</x:v>
      </x:c>
      <x:c r="C16" s="4" t="str">
        <x:v>Todos los 40 cursos, 12 complementos y 8 necesidades tienen destino; no se ha probado exhaustividad de cada resultado o de toda la profesión.</x:v>
      </x:c>
      <x:c r="D16" s="4" t="str">
        <x:v>RESERVA MATERIAL VISIBLE</x:v>
      </x:c>
      <x:c r="E16" s="4" t="str">
        <x:v>27; 31</x:v>
      </x:c>
    </x:row>
    <x:row r="17" ht="47" customHeight="1">
      <x:c r="A17" s="4" t="str">
        <x:v>AA-13</x:v>
      </x:c>
      <x:c r="B17" s="4" t="str">
        <x:v>Consecuencia plausible declarada causal</x:v>
      </x:c>
      <x:c r="C17" s="4" t="str">
        <x:v>Son consecuencias potenciales de omisión para orientar G4; no daños observados ni causalidad probada.</x:v>
      </x:c>
      <x:c r="D17" s="4" t="str">
        <x:v>LÍMITE PROBATORIO EXPRESO</x:v>
      </x:c>
      <x:c r="E17" s="4" t="str">
        <x:v>19; 26; 27</x:v>
      </x:c>
    </x:row>
    <x:row r="18" ht="47" customHeight="1">
      <x:c r="A18" s="4" t="str">
        <x:v>AA-14</x:v>
      </x:c>
      <x:c r="B18" s="4" t="str">
        <x:v>Ley única para cualquier enlace</x:v>
      </x:c>
      <x:c r="C18" s="4" t="str">
        <x:v>Relación, codominio, interpretación y rol preceden al operador; no se instancia max ni gate a todas las flechas.</x:v>
      </x:c>
      <x:c r="D18" s="4" t="str">
        <x:v>PROTEGIDO DOCUMENTALMENTE</x:v>
      </x:c>
      <x:c r="E18" s="4" t="str">
        <x:v>28; S007 §7</x:v>
      </x:c>
    </x:row>
    <x:row r="19" ht="47" customHeight="1">
      <x:c r="A19" s="4" t="str">
        <x:v>AA-15</x:v>
      </x:c>
      <x:c r="B19" s="4" t="str">
        <x:v>Dominio equiparado a agente</x:v>
      </x:c>
      <x:c r="C19" s="4" t="str">
        <x:v>Se delimita conocimiento y producto. No se implementa un actor ni se le otorgan permisos por incluir respuesta profesional.</x:v>
      </x:c>
      <x:c r="D19" s="4" t="str">
        <x:v>PROTEGIDO DOCUMENTALMENTE</x:v>
      </x:c>
      <x:c r="E19" s="4" t="str">
        <x:v>25 DL-05; S001</x:v>
      </x:c>
    </x:row>
    <x:row r="20" ht="47" customHeight="1">
      <x:c r="A20" s="4" t="str">
        <x:v>AA-16</x:v>
      </x:c>
      <x:c r="B20" s="4" t="str">
        <x:v>Actualización automática por nueva fuente</x:v>
      </x:c>
      <x:c r="C20" s="4" t="str">
        <x:v>Novedad permanece candidata; cambio de catálogo externo no es un valor nuevo de Tri ni una admisión automática.</x:v>
      </x:c>
      <x:c r="D20" s="4" t="str">
        <x:v>PROTEGIDO DOCUMENTALMENTE</x:v>
      </x:c>
      <x:c r="E20" s="4" t="str">
        <x:v>25 DL-14; I005</x:v>
      </x:c>
    </x:row>
    <x:row r="21" ht="47" customHeight="1">
      <x:c r="A21" s="4" t="str">
        <x:v>AA-17</x:v>
      </x:c>
      <x:c r="B21" s="4" t="str">
        <x:v>Coste o estadística clausuran incertidumbre</x:v>
      </x:c>
      <x:c r="C21" s="4" t="str">
        <x:v>Valor protegido y coste total requieren alcance humano. Métrica no clasifica soberanamente SV ni permite borrar U.</x:v>
      </x:c>
      <x:c r="D21" s="4" t="str">
        <x:v>PROTEGIDO DOCUMENTALMENTE</x:v>
      </x:c>
      <x:c r="E21" s="4" t="str">
        <x:v>18 AN-05; 25 DL-15; S001</x:v>
      </x:c>
    </x:row>
    <x:row r="22" ht="47" customHeight="1">
      <x:c r="A22" s="4" t="str">
        <x:v>AA-18</x:v>
      </x:c>
      <x:c r="B22" s="4" t="str">
        <x:v>Atribuir lectura de libros a un índice</x:v>
      </x:c>
      <x:c r="C22" s="4" t="str">
        <x:v>PDF de seis páginas es índice; ITVIA devuelve 403. Sólo se usa doctrina íntegra disponible y se conserva la limitación de acceso.</x:v>
      </x:c>
      <x:c r="D22" s="4" t="str">
        <x:v>LIMITACIÓN DECLARADA</x:v>
      </x:c>
      <x:c r="E22" s="4" t="str">
        <x:v>32; S007–S009</x:v>
      </x:c>
    </x:row>
    <x:row r="23" ht="47" customHeight="1">
      <x:c r="A23" s="4" t="str">
        <x:v>AA-19</x:v>
      </x:c>
      <x:c r="B23" s="4" t="str">
        <x:v>Aceptar contradicción de portada de SVcustos</x:v>
      </x:c>
      <x:c r="C23" s="4" t="str">
        <x:v>README atribuye dos funciones a la sede y muestra 3×3 en columna de capas. Manifiesto y doctrina identifican las sedes y el vector; no se copia la ambigüedad.</x:v>
      </x:c>
      <x:c r="D23" s="4" t="str">
        <x:v>ANTECEDENTE EXTERNO NO MODIFICADO</x:v>
      </x:c>
      <x:c r="E23" s="4" t="str">
        <x:v>S001 §§3,7; S002 apertura y niveles</x:v>
      </x:c>
    </x:row>
    <x:row r="24" ht="47" customHeight="1">
      <x:c r="A24" s="4" t="str">
        <x:v>AA-20</x:v>
      </x:c>
      <x:c r="B24" s="4" t="str">
        <x:v>Forzar once parámetros</x:v>
      </x:c>
      <x:c r="C24" s="4" t="str">
        <x:v>Primer candidato y lote de hasta diez son ritmo de trabajo; cada distinción conserva posibles cierres no paramétricos.</x:v>
      </x:c>
      <x:c r="D24" s="4" t="str">
        <x:v>CUOTA RECHAZADA</x:v>
      </x:c>
      <x:c r="E24" s="4" t="str">
        <x:v>29 PC-05/07</x:v>
      </x:c>
    </x:row>
    <x:row r="25" ht="47" customHeight="1">
      <x:c r="A25" s="4" t="str">
        <x:v>AA-21</x:v>
      </x:c>
      <x:c r="B25" s="4" t="str">
        <x:v>Elegir por comodidad de las fuentes de IA</x:v>
      </x:c>
      <x:c r="C25" s="4" t="str">
        <x:v>Se retira la preferencia preparatoria por CYO-23. Primero se compararán consecuencias de omitir enlaces, evidencia, representatividad y finitud.</x:v>
      </x:c>
      <x:c r="D25" s="4" t="str">
        <x:v>REORIENTADO POR MANDATO HUMANO</x:v>
      </x:c>
      <x:c r="E25" s="4" t="str">
        <x:v>29 PC-02/03; 34</x:v>
      </x:c>
    </x:row>
    <x:row r="26" ht="47" customHeight="1">
      <x:c r="A26" s="4" t="str">
        <x:v>AA-22</x:v>
      </x:c>
      <x:c r="B26" s="4" t="str">
        <x:v>Aprendizaje en línea atribuido a la IA consejera</x:v>
      </x:c>
      <x:c r="C26" s="4" t="str">
        <x:v>La formación constituye la base admitida; durante el consejo sólo se usa ese conocimiento. Nuevos datos del caso no autorizan nuevas reglas.</x:v>
      </x:c>
      <x:c r="D26" s="4" t="str">
        <x:v>DISTINCIÓN EXPRESA</x:v>
      </x:c>
      <x:c r="E26" s="4" t="str">
        <x:v>25 DL-17; 35</x:v>
      </x:c>
    </x:row>
    <x:row r="27" ht="47" customHeight="1">
      <x:c r="A27" s="4" t="str">
        <x:v>AA-23</x:v>
      </x:c>
      <x:c r="B27" s="4" t="str">
        <x:v>Consecuencias reducidas a barreras de seguridad</x:v>
      </x:c>
      <x:c r="C27" s="4" t="str">
        <x:v>Se añaden ocho cadenas de omisión: conocimiento previo, enlace necesario, consejo defectuoso y consecuencia potencial. Orientan constitución, no sólo prohibiciones.</x:v>
      </x:c>
      <x:c r="D27" s="4" t="str">
        <x:v>MOTOR CONSTITUTIVO EXPLÍCITO</x:v>
      </x:c>
      <x:c r="E27" s="4" t="str">
        <x:v>34</x:v>
      </x:c>
    </x:row>
    <x:row r="28" ht="47" customHeight="1">
      <x:c r="A28" s="4" t="str">
        <x:v>AA-24</x:v>
      </x:c>
      <x:c r="B28" s="4" t="str">
        <x:v>Frame técnicamente válido pero consejo incompleto</x:v>
      </x:c>
      <x:c r="C28" s="4" t="str">
        <x:v>El cierre relacional de IR no acredita exhaustividad de conocimiento para una operación. Hace falta contrastar dependencias necesarias y sus consecuencias.</x:v>
      </x:c>
      <x:c r="D28" s="4" t="str">
        <x:v>RIESGO CENTRAL IDENTIFICADO</x:v>
      </x:c>
      <x:c r="E28" s="4" t="str">
        <x:v>S016 §4.7; 35</x:v>
      </x:c>
    </x:row>
    <x:row r="29" ht="47" customHeight="1">
      <x:c r="A29" s="4" t="str">
        <x:v>AA-25</x:v>
      </x:c>
      <x:c r="B29" s="4" t="str">
        <x:v>Responsabilidad trasladada a la IA</x:v>
      </x:c>
      <x:c r="C29" s="4" t="str">
        <x:v>La IA es consejera vinculada al experto; su explicación no equivale a decisión ni descarga la responsabilidad humana fijada por el encargo.</x:v>
      </x:c>
      <x:c r="D29" s="4" t="str">
        <x:v>AUTORIDAD CONSERVADA</x:v>
      </x:c>
      <x:c r="E29" s="4" t="str">
        <x:v>I005 cierre; mandato humano</x:v>
      </x:c>
    </x:row>
  </x:sheetData>
  <x:mergeCells>
    <x:mergeCell ref="A1:D1"/>
    <x:mergeCell ref="A2:E2"/>
  </x:mergeCells>
  <x:pageMargins left="0.7" right="0.7" top="0.75" bottom="0.75" header="0.3" footer="0.3"/>
  <x:tableParts count="1">
    <x:tablePart xmlns:r="http://schemas.openxmlformats.org/officeDocument/2006/relationships" r:id="R434703410bf3406f"/>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15" hidden="0" customWidth="1"/>
    <x:col min="2" max="2" width="68" hidden="0" customWidth="1"/>
    <x:col min="3" max="3" width="37" hidden="0" customWidth="1"/>
    <x:col min="4" max="4" width="38" hidden="0" customWidth="1"/>
    <x:col min="5" max="5" width="109" hidden="0" customWidth="1"/>
  </x:cols>
  <x:sheetData>
    <x:row r="1" ht="35" customHeight="1">
      <x:c r="A1" s="6" t="str">
        <x:v>CONTROL · cobertura, referencias y sensibilidad</x:v>
      </x:c>
      <x:c r="B1" s="6"/>
      <x:c r="C1" s="6"/>
      <x:c r="D1" s="6"/>
      <x:c r="E1" s="6"/>
    </x:row>
    <x:row r="2" ht="52" customHeight="1">
      <x:c r="A2" s="8" t="str">
        <x:v>Fórmulas derivadas del contenido. Las mutaciones documentan sensibilidad de estos controles; no prueban suficiencia profesional, causalidad ni ejecución SV.</x:v>
      </x:c>
      <x:c r="B2" s="8"/>
      <x:c r="C2" s="8"/>
      <x:c r="D2" s="8"/>
      <x:c r="E2" s="8"/>
    </x:row>
    <x:row r="3">
      <x:c r="A3" s="4"/>
      <x:c r="B3" s="4"/>
      <x:c r="C3" s="4"/>
      <x:c r="D3" s="4"/>
      <x:c r="E3" s="4"/>
    </x:row>
    <x:row r="4" ht="42" customHeight="1">
      <x:c r="A4" s="10" t="str">
        <x:v>ID</x:v>
      </x:c>
      <x:c r="B4" s="10" t="str">
        <x:v>Comprobación</x:v>
      </x:c>
      <x:c r="C4" s="10" t="str">
        <x:v>Resultado</x:v>
      </x:c>
      <x:c r="D4" s="10" t="str">
        <x:v>Esperado</x:v>
      </x:c>
      <x:c r="E4" s="10" t="str">
        <x:v>Alcance</x:v>
      </x:c>
    </x:row>
    <x:row r="5" ht="47" customHeight="1">
      <x:c r="A5" s="4" t="str">
        <x:v>CA-01</x:v>
      </x:c>
      <x:c r="B5" s="4" t="str">
        <x:v>Operaciones candidatas</x:v>
      </x:c>
      <x:c r="C5" s="14" t="n">
        <x:f>COUNTA('26_Mapa_universos'!$A$5:$A$33)</x:f>
        <x:v>29</x:v>
      </x:c>
      <x:c r="D5" s="15" t="n">
        <x:v>29</x:v>
      </x:c>
      <x:c r="E5" s="4" t="str">
        <x:v>Cardinalidad de identidades; no universos constituidos.</x:v>
      </x:c>
    </x:row>
    <x:row r="6" ht="47" customHeight="1">
      <x:c r="A6" s="4" t="str">
        <x:v>CA-02</x:v>
      </x:c>
      <x:c r="B6" s="4" t="str">
        <x:v>Fronteras condicionadas</x:v>
      </x:c>
      <x:c r="C6" s="14" t="n">
        <x:f>COUNTIF('26_Mapa_universos'!$M$5:$M$33,"FRONTERA CONDICIONADA")</x:f>
        <x:v>1</x:v>
      </x:c>
      <x:c r="D6" s="15" t="n">
        <x:v>1</x:v>
      </x:c>
      <x:c r="E6" s="4" t="str">
        <x:v>CYO-20; separada del núcleo de trabajo.</x:v>
      </x:c>
    </x:row>
    <x:row r="7" ht="47" customHeight="1">
      <x:c r="A7" s="4" t="str">
        <x:v>CA-03</x:v>
      </x:c>
      <x:c r="B7" s="4" t="str">
        <x:v>Duplicados o identidad incompleta</x:v>
      </x:c>
      <x:c r="C7" s="14" t="n">
        <x:f>SUM('26_Mapa_universos'!N5:O33)</x:f>
        <x:v>0</x:v>
      </x:c>
      <x:c r="D7" s="15" t="n">
        <x:v>0</x:v>
      </x:c>
      <x:c r="E7" s="4" t="str">
        <x:v>Campos de la tupla presentes; no prueba equivalencia semántica.</x:v>
      </x:c>
    </x:row>
    <x:row r="8" ht="47" customHeight="1">
      <x:c r="A8" s="4" t="str">
        <x:v>CA-04</x:v>
      </x:c>
      <x:c r="B8" s="4" t="str">
        <x:v>Destinos / fuentes de trazas inválidos</x:v>
      </x:c>
      <x:c r="C8" s="14" t="n">
        <x:f>SUM('27_Cobertura_aprendizaje'!K5:L131)</x:f>
        <x:v>0</x:v>
      </x:c>
      <x:c r="D8" s="15" t="n">
        <x:v>0</x:v>
      </x:c>
      <x:c r="E8" s="4" t="str">
        <x:v>Admite TRANSVERSAL y RESERVA expresamente.</x:v>
      </x:c>
    </x:row>
    <x:row r="9" ht="47" customHeight="1">
      <x:c r="A9" s="4" t="str">
        <x:v>CA-05</x:v>
      </x:c>
      <x:c r="B9" s="4" t="str">
        <x:v>Asignaturas sin destino</x:v>
      </x:c>
      <x:c r="C9" s="14" t="n">
        <x:f>IF(COUNTIF('27_Cobertura_aprendizaje'!$B$5:$B$131,"URJC-01")&gt;0,0,1)+IF(COUNTIF('27_Cobertura_aprendizaje'!$B$5:$B$131,"URJC-02")&gt;0,0,1)+IF(COUNTIF('27_Cobertura_aprendizaje'!$B$5:$B$131,"URJC-03")&gt;0,0,1)+IF(COUNTIF('27_Cobertura_aprendizaje'!$B$5:$B$131,"URJC-04")&gt;0,0,1)+IF(COUNTIF('27_Cobertura_aprendizaje'!$B$5:$B$131,"URJC-05")&gt;0,0,1)+IF(COUNTIF('27_Cobertura_aprendizaje'!$B$5:$B$131,"URJC-06")&gt;0,0,1)+IF(COUNTIF('27_Cobertura_aprendizaje'!$B$5:$B$131,"URJC-07")&gt;0,0,1)+IF(COUNTIF('27_Cobertura_aprendizaje'!$B$5:$B$131,"URJC-08")&gt;0,0,1)+IF(COUNTIF('27_Cobertura_aprendizaje'!$B$5:$B$131,"URJC-09")&gt;0,0,1)+IF(COUNTIF('27_Cobertura_aprendizaje'!$B$5:$B$131,"URJC-10")&gt;0,0,1)+IF(COUNTIF('27_Cobertura_aprendizaje'!$B$5:$B$131,"URJC-11")&gt;0,0,1)+IF(COUNTIF('27_Cobertura_aprendizaje'!$B$5:$B$131,"URJC-12")&gt;0,0,1)+IF(COUNTIF('27_Cobertura_aprendizaje'!$B$5:$B$131,"URJC-13")&gt;0,0,1)+IF(COUNTIF('27_Cobertura_aprendizaje'!$B$5:$B$131,"URJC-14")&gt;0,0,1)+IF(COUNTIF('27_Cobertura_aprendizaje'!$B$5:$B$131,"URJC-15")&gt;0,0,1)+IF(COUNTIF('27_Cobertura_aprendizaje'!$B$5:$B$131,"URJC-16")&gt;0,0,1)+IF(COUNTIF('27_Cobertura_aprendizaje'!$B$5:$B$131,"URJC-17")&gt;0,0,1)+IF(COUNTIF('27_Cobertura_aprendizaje'!$B$5:$B$131,"URJC-18")&gt;0,0,1)+IF(COUNTIF('27_Cobertura_aprendizaje'!$B$5:$B$131,"URJC-19")&gt;0,0,1)+IF(COUNTIF('27_Cobertura_aprendizaje'!$B$5:$B$131,"URJC-20")&gt;0,0,1)+IF(COUNTIF('27_Cobertura_aprendizaje'!$B$5:$B$131,"URJC-21")&gt;0,0,1)+IF(COUNTIF('27_Cobertura_aprendizaje'!$B$5:$B$131,"URJC-22")&gt;0,0,1)+IF(COUNTIF('27_Cobertura_aprendizaje'!$B$5:$B$131,"URJC-23")&gt;0,0,1)+IF(COUNTIF('27_Cobertura_aprendizaje'!$B$5:$B$131,"URJC-24")&gt;0,0,1)+IF(COUNTIF('27_Cobertura_aprendizaje'!$B$5:$B$131,"URJC-25")&gt;0,0,1)+IF(COUNTIF('27_Cobertura_aprendizaje'!$B$5:$B$131,"URJC-26")&gt;0,0,1)+IF(COUNTIF('27_Cobertura_aprendizaje'!$B$5:$B$131,"URJC-27")&gt;0,0,1)+IF(COUNTIF('27_Cobertura_aprendizaje'!$B$5:$B$131,"URJC-28")&gt;0,0,1)+IF(COUNTIF('27_Cobertura_aprendizaje'!$B$5:$B$131,"URJC-29")&gt;0,0,1)+IF(COUNTIF('27_Cobertura_aprendizaje'!$B$5:$B$131,"URJC-30")&gt;0,0,1)+IF(COUNTIF('27_Cobertura_aprendizaje'!$B$5:$B$131,"URJC-31")&gt;0,0,1)+IF(COUNTIF('27_Cobertura_aprendizaje'!$B$5:$B$131,"URJC-32")&gt;0,0,1)+IF(COUNTIF('27_Cobertura_aprendizaje'!$B$5:$B$131,"URJC-33")&gt;0,0,1)+IF(COUNTIF('27_Cobertura_aprendizaje'!$B$5:$B$131,"URJC-34")&gt;0,0,1)+IF(COUNTIF('27_Cobertura_aprendizaje'!$B$5:$B$131,"URJC-35")&gt;0,0,1)+IF(COUNTIF('27_Cobertura_aprendizaje'!$B$5:$B$131,"URJC-36")&gt;0,0,1)+IF(COUNTIF('27_Cobertura_aprendizaje'!$B$5:$B$131,"URJC-37")&gt;0,0,1)+IF(COUNTIF('27_Cobertura_aprendizaje'!$B$5:$B$131,"URJC-38")&gt;0,0,1)+IF(COUNTIF('27_Cobertura_aprendizaje'!$B$5:$B$131,"URJC-39")&gt;0,0,1)+IF(COUNTIF('27_Cobertura_aprendizaje'!$B$5:$B$131,"URJC-40")&gt;0,0,1)</x:f>
        <x:v>0</x:v>
      </x:c>
      <x:c r="D9" s="15" t="n">
        <x:v>0</x:v>
      </x:c>
      <x:c r="E9" s="4" t="str">
        <x:v>Cobertura por unidad de inventario, no todo el temario.</x:v>
      </x:c>
    </x:row>
    <x:row r="10" ht="47" customHeight="1">
      <x:c r="A10" s="4" t="str">
        <x:v>CA-06</x:v>
      </x:c>
      <x:c r="B10" s="4" t="str">
        <x:v>Complementos sin destino o reserva</x:v>
      </x:c>
      <x:c r="C10" s="14" t="n">
        <x:f>IF(COUNTIF('27_Cobertura_aprendizaje'!$B$5:$B$131,"CE-01")&gt;0,0,1)+IF(COUNTIF('27_Cobertura_aprendizaje'!$B$5:$B$131,"CE-02")&gt;0,0,1)+IF(COUNTIF('27_Cobertura_aprendizaje'!$B$5:$B$131,"CE-03")&gt;0,0,1)+IF(COUNTIF('27_Cobertura_aprendizaje'!$B$5:$B$131,"CE-04")&gt;0,0,1)+IF(COUNTIF('27_Cobertura_aprendizaje'!$B$5:$B$131,"CE-05")&gt;0,0,1)+IF(COUNTIF('27_Cobertura_aprendizaje'!$B$5:$B$131,"CE-06")&gt;0,0,1)+IF(COUNTIF('27_Cobertura_aprendizaje'!$B$5:$B$131,"CE-07")&gt;0,0,1)+IF(COUNTIF('27_Cobertura_aprendizaje'!$B$5:$B$131,"CE-08")&gt;0,0,1)+IF(COUNTIF('27_Cobertura_aprendizaje'!$B$5:$B$131,"CE-09")&gt;0,0,1)+IF(COUNTIF('27_Cobertura_aprendizaje'!$B$5:$B$131,"CE-10")&gt;0,0,1)+IF(COUNTIF('27_Cobertura_aprendizaje'!$B$5:$B$131,"CE-11")&gt;0,0,1)+IF(COUNTIF('27_Cobertura_aprendizaje'!$B$5:$B$131,"CE-12")&gt;0,0,1)</x:f>
        <x:v>0</x:v>
      </x:c>
      <x:c r="D10" s="15" t="n">
        <x:v>0</x:v>
      </x:c>
      <x:c r="E10" s="4" t="str">
        <x:v>Doce decisiones; no doce adiciones de conocimiento.</x:v>
      </x:c>
    </x:row>
    <x:row r="11" ht="47" customHeight="1">
      <x:c r="A11" s="4" t="str">
        <x:v>CA-07</x:v>
      </x:c>
      <x:c r="B11" s="4" t="str">
        <x:v>Necesidades humanas sin destino</x:v>
      </x:c>
      <x:c r="C11" s="14" t="n">
        <x:f>IF(COUNTIF('27_Cobertura_aprendizaje'!$B$5:$B$131,"AN-01")&gt;0,0,1)+IF(COUNTIF('27_Cobertura_aprendizaje'!$B$5:$B$131,"AN-02")&gt;0,0,1)+IF(COUNTIF('27_Cobertura_aprendizaje'!$B$5:$B$131,"AN-03")&gt;0,0,1)+IF(COUNTIF('27_Cobertura_aprendizaje'!$B$5:$B$131,"AN-04")&gt;0,0,1)+IF(COUNTIF('27_Cobertura_aprendizaje'!$B$5:$B$131,"AN-05")&gt;0,0,1)+IF(COUNTIF('27_Cobertura_aprendizaje'!$B$5:$B$131,"AN-06")&gt;0,0,1)+IF(COUNTIF('27_Cobertura_aprendizaje'!$B$5:$B$131,"AN-07")&gt;0,0,1)+IF(COUNTIF('27_Cobertura_aprendizaje'!$B$5:$B$131,"AN-08")&gt;0,0,1)</x:f>
        <x:v>0</x:v>
      </x:c>
      <x:c r="D11" s="15" t="n">
        <x:v>0</x:v>
      </x:c>
      <x:c r="E11" s="4" t="str">
        <x:v>Ocho necesidades; situación y reservas conservadas.</x:v>
      </x:c>
    </x:row>
    <x:row r="12" ht="47" customHeight="1">
      <x:c r="A12" s="4" t="str">
        <x:v>CA-08</x:v>
      </x:c>
      <x:c r="B12" s="4" t="str">
        <x:v>Operaciones sin traza educativa</x:v>
      </x:c>
      <x:c r="C12" s="14" t="n">
        <x:f>IF(COUNTIF('27_Cobertura_aprendizaje'!$D$5:$D$131,"CYO-01")&gt;0,0,1)+IF(COUNTIF('27_Cobertura_aprendizaje'!$D$5:$D$131,"CYO-02")&gt;0,0,1)+IF(COUNTIF('27_Cobertura_aprendizaje'!$D$5:$D$131,"CYO-03")&gt;0,0,1)+IF(COUNTIF('27_Cobertura_aprendizaje'!$D$5:$D$131,"CYO-04")&gt;0,0,1)+IF(COUNTIF('27_Cobertura_aprendizaje'!$D$5:$D$131,"CYO-05")&gt;0,0,1)+IF(COUNTIF('27_Cobertura_aprendizaje'!$D$5:$D$131,"CYO-06")&gt;0,0,1)+IF(COUNTIF('27_Cobertura_aprendizaje'!$D$5:$D$131,"CYO-07")&gt;0,0,1)+IF(COUNTIF('27_Cobertura_aprendizaje'!$D$5:$D$131,"CYO-08")&gt;0,0,1)+IF(COUNTIF('27_Cobertura_aprendizaje'!$D$5:$D$131,"CYO-09")&gt;0,0,1)+IF(COUNTIF('27_Cobertura_aprendizaje'!$D$5:$D$131,"CYO-10")&gt;0,0,1)+IF(COUNTIF('27_Cobertura_aprendizaje'!$D$5:$D$131,"CYO-11")&gt;0,0,1)+IF(COUNTIF('27_Cobertura_aprendizaje'!$D$5:$D$131,"CYO-12")&gt;0,0,1)+IF(COUNTIF('27_Cobertura_aprendizaje'!$D$5:$D$131,"CYO-13")&gt;0,0,1)+IF(COUNTIF('27_Cobertura_aprendizaje'!$D$5:$D$131,"CYO-14")&gt;0,0,1)+IF(COUNTIF('27_Cobertura_aprendizaje'!$D$5:$D$131,"CYO-15")&gt;0,0,1)+IF(COUNTIF('27_Cobertura_aprendizaje'!$D$5:$D$131,"CYO-16")&gt;0,0,1)+IF(COUNTIF('27_Cobertura_aprendizaje'!$D$5:$D$131,"CYO-17")&gt;0,0,1)+IF(COUNTIF('27_Cobertura_aprendizaje'!$D$5:$D$131,"CYO-18")&gt;0,0,1)+IF(COUNTIF('27_Cobertura_aprendizaje'!$D$5:$D$131,"CYO-19")&gt;0,0,1)+IF(COUNTIF('27_Cobertura_aprendizaje'!$D$5:$D$131,"CYO-20")&gt;0,0,1)+IF(COUNTIF('27_Cobertura_aprendizaje'!$D$5:$D$131,"CYO-21")&gt;0,0,1)+IF(COUNTIF('27_Cobertura_aprendizaje'!$D$5:$D$131,"CYO-22")&gt;0,0,1)+IF(COUNTIF('27_Cobertura_aprendizaje'!$D$5:$D$131,"CYO-23")&gt;0,0,1)+IF(COUNTIF('27_Cobertura_aprendizaje'!$D$5:$D$131,"CYO-24")&gt;0,0,1)+IF(COUNTIF('27_Cobertura_aprendizaje'!$D$5:$D$131,"CYO-25")&gt;0,0,1)+IF(COUNTIF('27_Cobertura_aprendizaje'!$D$5:$D$131,"CYO-26")&gt;0,0,1)+IF(COUNTIF('27_Cobertura_aprendizaje'!$D$5:$D$131,"CYO-27")&gt;0,0,1)+IF(COUNTIF('27_Cobertura_aprendizaje'!$D$5:$D$131,"CYO-28")&gt;0,0,1)+IF(COUNTIF('27_Cobertura_aprendizaje'!$D$5:$D$131,"CYO-29")&gt;0,0,1)</x:f>
        <x:v>0</x:v>
      </x:c>
      <x:c r="D12" s="15" t="n">
        <x:v>0</x:v>
      </x:c>
      <x:c r="E12" s="4" t="str">
        <x:v>Tener ancla no acredita fuente operacional suficiente.</x:v>
      </x:c>
    </x:row>
    <x:row r="13" ht="47" customHeight="1">
      <x:c r="A13" s="4" t="str">
        <x:v>CA-09</x:v>
      </x:c>
      <x:c r="B13" s="4" t="str">
        <x:v>Extremos inválidos de relaciones</x:v>
      </x:c>
      <x:c r="C13" s="14" t="n">
        <x:f>SUM('28_Relaciones_candidatas'!J5:K18)</x:f>
        <x:v>0</x:v>
      </x:c>
      <x:c r="D13" s="15" t="n">
        <x:v>0</x:v>
      </x:c>
      <x:c r="E13" s="4" t="str">
        <x:v>No comprueba todavía compatibilidad de codominios.</x:v>
      </x:c>
    </x:row>
    <x:row r="14" ht="47" customHeight="1">
      <x:c r="A14" s="4" t="str">
        <x:v>CA-10</x:v>
      </x:c>
      <x:c r="B14" s="4" t="str">
        <x:v>Destinos inválidos del mapa histórico</x:v>
      </x:c>
      <x:c r="C14" s="14" t="n">
        <x:f>SUM('33_Correspondencia_mapa'!$F$5:$F$34)</x:f>
        <x:v>0</x:v>
      </x:c>
      <x:c r="D14" s="15" t="n">
        <x:v>0</x:v>
      </x:c>
      <x:c r="E14" s="4" t="str">
        <x:v>CYO-23 se cuenta una vez aunque reciba dos antecedentes.</x:v>
      </x:c>
    </x:row>
    <x:row r="15" ht="47" customHeight="1">
      <x:c r="A15" s="4" t="str">
        <x:v>CA-11</x:v>
      </x:c>
      <x:c r="B15" s="4" t="str">
        <x:v>Fuentes de método: identidad / huella</x:v>
      </x:c>
      <x:c r="C15" s="14" t="n">
        <x:f>SUM('32_Fuentes_metodo'!I5:J23)</x:f>
        <x:v>0</x:v>
      </x:c>
      <x:c r="D15" s="15" t="n">
        <x:v>0</x:v>
      </x:c>
      <x:c r="E15" s="4" t="str">
        <x:v>Control formal; los bytes se verifican externamente.</x:v>
      </x:c>
    </x:row>
    <x:row r="16" ht="47" customHeight="1">
      <x:c r="A16" s="4" t="str">
        <x:v>CA-12</x:v>
      </x:c>
      <x:c r="B16" s="4" t="str">
        <x:v>Discordancias del control curricular v0.2</x:v>
      </x:c>
      <x:c r="C16" s="14" t="n">
        <x:f>IF('23_Control_curricular'!C5='23_Control_curricular'!D5,0,1)+IF('23_Control_curricular'!C6='23_Control_curricular'!D6,0,1)+IF('23_Control_curricular'!C7='23_Control_curricular'!D7,0,1)+IF('23_Control_curricular'!C8='23_Control_curricular'!D8,0,1)+IF('23_Control_curricular'!C9='23_Control_curricular'!D9,0,1)+IF('23_Control_curricular'!C10='23_Control_curricular'!D10,0,1)+IF('23_Control_curricular'!C11='23_Control_curricular'!D11,0,1)+IF('23_Control_curricular'!C12='23_Control_curricular'!D12,0,1)+IF('23_Control_curricular'!C13='23_Control_curricular'!D13,0,1)+IF('23_Control_curricular'!C14='23_Control_curricular'!D14,0,1)+IF('23_Control_curricular'!C15='23_Control_curricular'!D15,0,1)+IF('23_Control_curricular'!C16='23_Control_curricular'!D16,0,1)+IF('23_Control_curricular'!C17='23_Control_curricular'!D17,0,1)</x:f>
        <x:v>0</x:v>
      </x:c>
      <x:c r="D16" s="15" t="n">
        <x:v>0</x:v>
      </x:c>
      <x:c r="E16" s="4" t="str">
        <x:v>Controles anteriores conservados y reejecutados.</x:v>
      </x:c>
    </x:row>
    <x:row r="17" ht="47" customHeight="1">
      <x:c r="A17" s="4" t="str">
        <x:v>CA-13</x:v>
      </x:c>
      <x:c r="B17" s="4" t="str">
        <x:v>Cadenas de omisión incompletas o con referencia inválida</x:v>
      </x:c>
      <x:c r="C17" s="14" t="n">
        <x:f>SUM('34_Consecuencias_enlace'!P5:R12)</x:f>
        <x:v>0</x:v>
      </x:c>
      <x:c r="D17" s="15" t="n">
        <x:v>0</x:v>
      </x:c>
      <x:c r="E17" s="4" t="str">
        <x:v>Ocho testigos especificados; no campaña operacional ejecutada.</x:v>
      </x:c>
    </x:row>
    <x:row r="18" ht="47" customHeight="1">
      <x:c r="A18" s="4" t="str">
        <x:v>MA-01</x:v>
      </x:c>
      <x:c r="B18" s="4" t="str">
        <x:v>Identidad operacional duplicada</x:v>
      </x:c>
      <x:c r="C18" s="4" t="str">
        <x:v>DETECTADO Y RESTAURADO</x:v>
      </x:c>
      <x:c r="D18" s="4" t="str">
        <x:v>DETECTADO Y RESTAURADO</x:v>
      </x:c>
      <x:c r="E18" s="4" t="str">
        <x:v>Mutación sobre copia de trabajo; original restaurado.</x:v>
      </x:c>
    </x:row>
    <x:row r="19" ht="47" customHeight="1">
      <x:c r="A19" s="4" t="str">
        <x:v>MA-02</x:v>
      </x:c>
      <x:c r="B19" s="4" t="str">
        <x:v>Campo de identidad vacío</x:v>
      </x:c>
      <x:c r="C19" s="4" t="str">
        <x:v>DETECTADO Y RESTAURADO</x:v>
      </x:c>
      <x:c r="D19" s="4" t="str">
        <x:v>DETECTADO Y RESTAURADO</x:v>
      </x:c>
      <x:c r="E19" s="4" t="str">
        <x:v>Mutación sobre copia de trabajo; original restaurado.</x:v>
      </x:c>
    </x:row>
    <x:row r="20" ht="47" customHeight="1">
      <x:c r="A20" s="4" t="str">
        <x:v>MA-03</x:v>
      </x:c>
      <x:c r="B20" s="4" t="str">
        <x:v>Destino de traza inexistente</x:v>
      </x:c>
      <x:c r="C20" s="4" t="str">
        <x:v>DETECTADO Y RESTAURADO</x:v>
      </x:c>
      <x:c r="D20" s="4" t="str">
        <x:v>DETECTADO Y RESTAURADO</x:v>
      </x:c>
      <x:c r="E20" s="4" t="str">
        <x:v>Mutación sobre copia de trabajo; original restaurado.</x:v>
      </x:c>
    </x:row>
    <x:row r="21" ht="47" customHeight="1">
      <x:c r="A21" s="4" t="str">
        <x:v>MA-04</x:v>
      </x:c>
      <x:c r="B21" s="4" t="str">
        <x:v>Asignatura privada de su destino</x:v>
      </x:c>
      <x:c r="C21" s="4" t="str">
        <x:v>DETECTADO Y RESTAURADO</x:v>
      </x:c>
      <x:c r="D21" s="4" t="str">
        <x:v>DETECTADO Y RESTAURADO</x:v>
      </x:c>
      <x:c r="E21" s="4" t="str">
        <x:v>Mutación sobre copia de trabajo; original restaurado.</x:v>
      </x:c>
    </x:row>
    <x:row r="22" ht="47" customHeight="1">
      <x:c r="A22" s="4" t="str">
        <x:v>MA-05</x:v>
      </x:c>
      <x:c r="B22" s="4" t="str">
        <x:v>Relación con extremo inexistente</x:v>
      </x:c>
      <x:c r="C22" s="4" t="str">
        <x:v>DETECTADO Y RESTAURADO</x:v>
      </x:c>
      <x:c r="D22" s="4" t="str">
        <x:v>DETECTADO Y RESTAURADO</x:v>
      </x:c>
      <x:c r="E22" s="4" t="str">
        <x:v>Mutación sobre copia de trabajo; original restaurado.</x:v>
      </x:c>
    </x:row>
    <x:row r="23" ht="47" customHeight="1">
      <x:c r="A23" s="4" t="str">
        <x:v>MA-06</x:v>
      </x:c>
      <x:c r="B23" s="4" t="str">
        <x:v>Unidad complementaria privada de su destino</x:v>
      </x:c>
      <x:c r="C23" s="4" t="str">
        <x:v>DETECTADO Y RESTAURADO</x:v>
      </x:c>
      <x:c r="D23" s="4" t="str">
        <x:v>DETECTADO Y RESTAURADO</x:v>
      </x:c>
      <x:c r="E23" s="4" t="str">
        <x:v>Mutación sobre copia de trabajo; original restaurado.</x:v>
      </x:c>
    </x:row>
    <x:row r="24" ht="47" customHeight="1">
      <x:c r="A24" s="4" t="str">
        <x:v>MA-07</x:v>
      </x:c>
      <x:c r="B24" s="4" t="str">
        <x:v>Conocimiento necesario ausente en cadena de consejo</x:v>
      </x:c>
      <x:c r="C24" s="4" t="str">
        <x:v>DETECTADO Y RESTAURADO</x:v>
      </x:c>
      <x:c r="D24" s="4" t="str">
        <x:v>DETECTADO Y RESTAURADO</x:v>
      </x:c>
      <x:c r="E24" s="4" t="str">
        <x:v>Sólo sensibilidad del control estructural de la cadena.</x:v>
      </x:c>
    </x:row>
    <x:row r="25" ht="47" customHeight="1">
      <x:c r="A25" s="4" t="str">
        <x:v>DICTAMEN</x:v>
      </x:c>
      <x:c r="B25" s="4" t="str">
        <x:v>PREACOTACIÓN PARA CONTRASTE</x:v>
      </x:c>
      <x:c r="C25" s="4" t="str">
        <x:v>CON RESERVAS EXPLÍCITAS</x:v>
      </x:c>
      <x:c r="D25" s="4" t="str">
        <x:v>NO CIERRE G0</x:v>
      </x:c>
      <x:c r="E25" s="4" t="str">
        <x:v>No selecciona ni constituye el primer universo.</x:v>
      </x:c>
    </x:row>
  </x:sheetData>
  <x:mergeCells>
    <x:mergeCell ref="A1:D1"/>
    <x:mergeCell ref="A2:E2"/>
  </x:mergeCells>
  <x:conditionalFormatting sqref="C5:C17">
    <x:cfRule type="expression" dxfId="21" priority="1">
      <x:formula>C5&lt;&gt;D5</x:formula>
    </x:cfRule>
  </x:conditionalFormatting>
  <x:pageMargins left="0.7" right="0.7" top="0.75" bottom="0.75" header="0.3" footer="0.3"/>
  <x:tableParts count="1">
    <x:tablePart xmlns:r="http://schemas.openxmlformats.org/officeDocument/2006/relationships" r:id="R2a303bd844f44294"/>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13" hidden="0" customWidth="1"/>
    <x:col min="2" max="2" width="110" hidden="0" customWidth="1"/>
    <x:col min="3" max="3" width="24" hidden="0" customWidth="1"/>
    <x:col min="4" max="4" width="21" hidden="0" customWidth="1"/>
    <x:col min="5" max="5" width="69" hidden="0" customWidth="1"/>
    <x:col min="6" max="6" width="106" hidden="0" customWidth="1"/>
    <x:col min="7" max="7" width="67" hidden="0" customWidth="1"/>
    <x:col min="8" max="8" width="72" hidden="0" customWidth="1"/>
    <x:col min="9" max="9" width="16" hidden="0" customWidth="1"/>
    <x:col min="10" max="10" width="20" hidden="0" customWidth="1"/>
  </x:cols>
  <x:sheetData>
    <x:row r="1" ht="35" customHeight="1">
      <x:c r="A1" s="6" t="str">
        <x:v>FUENTES · cortes de doctrina y experiencia contrastados</x:v>
      </x:c>
      <x:c r="B1" s="6"/>
      <x:c r="C1" s="6"/>
      <x:c r="D1" s="6"/>
      <x:c r="E1" s="6"/>
      <x:c r="F1" s="6"/>
      <x:c r="G1" s="6"/>
      <x:c r="H1" s="6"/>
      <x:c r="I1" s="6"/>
      <x:c r="J1" s="6"/>
    </x:row>
    <x:row r="2" ht="52" customHeight="1">
      <x:c r="A2" s="8" t="str">
        <x:v>Diecinueve registros: quince archivos disponibles y cuatro accesos rechazados. Los Documentos III y V se recuperaron íntegros en la sede doctrinal. No se declara lectura íntegra de los libros ITVIA.</x:v>
      </x:c>
      <x:c r="B2" s="8"/>
      <x:c r="C2" s="8"/>
      <x:c r="D2" s="8"/>
      <x:c r="E2" s="8"/>
      <x:c r="F2" s="8"/>
      <x:c r="G2" s="8"/>
      <x:c r="H2" s="8"/>
      <x:c r="I2" s="8"/>
      <x:c r="J2" s="8"/>
    </x:row>
    <x:row r="3">
      <x:c r="A3" s="4"/>
      <x:c r="B3" s="4"/>
      <x:c r="C3" s="4"/>
      <x:c r="D3" s="4"/>
      <x:c r="E3" s="4"/>
      <x:c r="F3" s="4"/>
      <x:c r="G3" s="4"/>
      <x:c r="H3" s="4"/>
      <x:c r="I3" s="4"/>
      <x:c r="J3" s="4"/>
    </x:row>
    <x:row r="4" ht="42" customHeight="1">
      <x:c r="A4" s="10" t="str">
        <x:v>ID</x:v>
      </x:c>
      <x:c r="B4" s="10" t="str">
        <x:v>URL / identidad</x:v>
      </x:c>
      <x:c r="C4" s="10" t="str">
        <x:v>Adquisición</x:v>
      </x:c>
      <x:c r="D4" s="10" t="str">
        <x:v>Bytes · texto</x:v>
      </x:c>
      <x:c r="E4" s="10" t="str">
        <x:v>SHA-256</x:v>
      </x:c>
      <x:c r="F4" s="10" t="str">
        <x:v>Alcance de lectura</x:v>
      </x:c>
      <x:c r="G4" s="10" t="str">
        <x:v>Corte Git o límite</x:v>
      </x:c>
      <x:c r="H4" s="10" t="str">
        <x:v>Blob Git / incidencia</x:v>
      </x:c>
      <x:c r="I4" s="10" t="str">
        <x:v>Duplicado</x:v>
      </x:c>
      <x:c r="J4" s="10" t="str">
        <x:v>Huella defectuosa</x:v>
      </x:c>
    </x:row>
    <x:row r="5" ht="60" customHeight="1">
      <x:c r="A5" s="4" t="str">
        <x:v>S001</x:v>
      </x:c>
      <x:c r="B5" s="4" t="str">
        <x:v>https://raw.githubusercontent.com/juantoniolloretegea/SVcustos-dataset/5e0ed66c62fe753b6e94af500ec00f2674fb92e7/MANIFIESTO_DE_ARQUITECTURA_DERECHOS_OBLIGACIONES_GARANTIAS_Y_FUNDAMENTOS_DEL_SISTEMA_VECTORIAL_SV_V1.md</x:v>
      </x:c>
      <x:c r="C5" s="4" t="str">
        <x:v>CAPTURADO</x:v>
      </x:c>
      <x:c r="D5" s="4" t="str">
        <x:v>8768</x:v>
      </x:c>
      <x:c r="E5" s="4" t="str">
        <x:v>d7308508f352878576017fa515519ec15da1a53a6615523e61c09d7fd57c37d2</x:v>
      </x:c>
      <x:c r="F5" s="4" t="str">
        <x:v>Texto íntegro del manifiesto; arquitectura, invariantes y subordinación.</x:v>
      </x:c>
      <x:c r="G5" s="4" t="str">
        <x:v>5e0ed66c62fe753b6e94af500ec00f2674fb92e7</x:v>
      </x:c>
      <x:c r="H5" s="4" t="str"/>
      <x:c r="I5" s="12" t="n">
        <x:f>COUNTIF('32_Fuentes_metodo'!$A$5:$A$23,A5)-1</x:f>
        <x:v>0</x:v>
      </x:c>
      <x:c r="J5" s="12" t="n">
        <x:f>IF(C5="CAPTURADO",IF(LEN(E5)=64,0,1),0)</x:f>
        <x:v>0</x:v>
      </x:c>
    </x:row>
    <x:row r="6" ht="47" customHeight="1">
      <x:c r="A6" s="4" t="str">
        <x:v>S002</x:v>
      </x:c>
      <x:c r="B6" s="4" t="str">
        <x:v>https://raw.githubusercontent.com/juantoniolloretegea/SVcustos-dataset/5e0ed66c62fe753b6e94af500ec00f2674fb92e7/README.md</x:v>
      </x:c>
      <x:c r="C6" s="4" t="str">
        <x:v>CAPTURADO</x:v>
      </x:c>
      <x:c r="D6" s="4" t="str">
        <x:v>48551</x:v>
      </x:c>
      <x:c r="E6" s="4" t="str">
        <x:v>9131720681129e1161ad2581d0b9470fa1a132a5be6f801445347b268b9c0adf</x:v>
      </x:c>
      <x:c r="F6" s="4" t="str">
        <x:v>Apertura, mapa de sedes y niveles. Anexo clínico no utilizado.</x:v>
      </x:c>
      <x:c r="G6" s="4" t="str">
        <x:v>5e0ed66c62fe753b6e94af500ec00f2674fb92e7</x:v>
      </x:c>
      <x:c r="H6" s="4" t="str"/>
      <x:c r="I6" s="12" t="n">
        <x:f>COUNTIF('32_Fuentes_metodo'!$A$5:$A$23,A6)-1</x:f>
        <x:v>0</x:v>
      </x:c>
      <x:c r="J6" s="12" t="n">
        <x:f>IF(C6="CAPTURADO",IF(LEN(E6)=64,0,1),0)</x:f>
        <x:v>0</x:v>
      </x:c>
    </x:row>
    <x:row r="7" ht="47" customHeight="1">
      <x:c r="A7" s="4" t="str">
        <x:v>S003</x:v>
      </x:c>
      <x:c r="B7" s="4" t="str">
        <x:v>https://www.itvia.online/de-svcustos-el-marco-framework-de-intrusion-hasta-svperitus</x:v>
      </x:c>
      <x:c r="C7" s="4" t="str">
        <x:v>ERROR</x:v>
      </x:c>
      <x:c r="D7" s="4" t="str"/>
      <x:c r="E7" s="4" t="str"/>
      <x:c r="F7" s="4" t="str">
        <x:v>Sin acceso; no lectura del libro.</x:v>
      </x:c>
      <x:c r="G7" s="4" t="str">
        <x:v>ACCESO NO ACREDITADO</x:v>
      </x:c>
      <x:c r="H7" s="4" t="str">
        <x:v>HTTP Error 403: Forbidden</x:v>
      </x:c>
      <x:c r="I7" s="12" t="n">
        <x:f>COUNTIF('32_Fuentes_metodo'!$A$5:$A$23,A7)-1</x:f>
        <x:v>0</x:v>
      </x:c>
      <x:c r="J7" s="12" t="n">
        <x:f>IF(C7="CAPTURADO",IF(LEN(E7)=64,0,1),0)</x:f>
        <x:v>0</x:v>
      </x:c>
    </x:row>
    <x:row r="8" ht="47" customHeight="1">
      <x:c r="A8" s="4" t="str">
        <x:v>S004</x:v>
      </x:c>
      <x:c r="B8" s="4" t="str">
        <x:v>https://www.itvia.online/algebra-de-composicion-intercelularl-sv</x:v>
      </x:c>
      <x:c r="C8" s="4" t="str">
        <x:v>ERROR</x:v>
      </x:c>
      <x:c r="D8" s="4" t="str"/>
      <x:c r="E8" s="4" t="str"/>
      <x:c r="F8" s="4" t="str">
        <x:v>Sin acceso; no lectura del libro.</x:v>
      </x:c>
      <x:c r="G8" s="4" t="str">
        <x:v>ACCESO NO ACREDITADO</x:v>
      </x:c>
      <x:c r="H8" s="4" t="str">
        <x:v>HTTP Error 403: Forbidden</x:v>
      </x:c>
      <x:c r="I8" s="12" t="n">
        <x:f>COUNTIF('32_Fuentes_metodo'!$A$5:$A$23,A8)-1</x:f>
        <x:v>0</x:v>
      </x:c>
      <x:c r="J8" s="12" t="n">
        <x:f>IF(C8="CAPTURADO",IF(LEN(E8)=64,0,1),0)</x:f>
        <x:v>0</x:v>
      </x:c>
    </x:row>
    <x:row r="9" ht="47" customHeight="1">
      <x:c r="A9" s="4" t="str">
        <x:v>S005</x:v>
      </x:c>
      <x:c r="B9" s="4" t="str">
        <x:v>https://www.itvia.online/pub/algebra-de-composicion-intercelular-del-marco-sv--ii-gramatica-general-de-composicion</x:v>
      </x:c>
      <x:c r="C9" s="4" t="str">
        <x:v>ERROR</x:v>
      </x:c>
      <x:c r="D9" s="4" t="str"/>
      <x:c r="E9" s="4" t="str"/>
      <x:c r="F9" s="4" t="str">
        <x:v>Sin acceso al capítulo enlazado; no contenido admitido.</x:v>
      </x:c>
      <x:c r="G9" s="4" t="str">
        <x:v>ACCESO NO ACREDITADO</x:v>
      </x:c>
      <x:c r="H9" s="4" t="str">
        <x:v>HTTP Error 403: Forbidden</x:v>
      </x:c>
      <x:c r="I9" s="12" t="n">
        <x:f>COUNTIF('32_Fuentes_metodo'!$A$5:$A$23,A9)-1</x:f>
        <x:v>0</x:v>
      </x:c>
      <x:c r="J9" s="12" t="n">
        <x:f>IF(C9="CAPTURADO",IF(LEN(E9)=64,0,1),0)</x:f>
        <x:v>0</x:v>
      </x:c>
    </x:row>
    <x:row r="10" ht="47" customHeight="1">
      <x:c r="A10" s="4" t="str">
        <x:v>S006</x:v>
      </x:c>
      <x:c r="B10" s="4" t="str">
        <x:v>https://www.itvia.online/pub/algebra-de-composicion-intercelular--v-invariantes-agentes-especializados-y-operador-de-consulta-del-sistema</x:v>
      </x:c>
      <x:c r="C10" s="4" t="str">
        <x:v>ERROR</x:v>
      </x:c>
      <x:c r="D10" s="4" t="str"/>
      <x:c r="E10" s="4" t="str"/>
      <x:c r="F10" s="4" t="str">
        <x:v>Sin acceso a la ruta consultada del Documento V; no contenido admitido.</x:v>
      </x:c>
      <x:c r="G10" s="4" t="str">
        <x:v>ACCESO NO ACREDITADO</x:v>
      </x:c>
      <x:c r="H10" s="4" t="str">
        <x:v>HTTP Error 403: Forbidden</x:v>
      </x:c>
      <x:c r="I10" s="12" t="n">
        <x:f>COUNTIF('32_Fuentes_metodo'!$A$5:$A$23,A10)-1</x:f>
        <x:v>0</x:v>
      </x:c>
      <x:c r="J10" s="12" t="n">
        <x:f>IF(C10="CAPTURADO",IF(LEN(E10)=64,0,1),0)</x:f>
        <x:v>0</x:v>
      </x:c>
    </x:row>
    <x:row r="11" ht="60" customHeight="1">
      <x:c r="A11" s="4" t="str">
        <x:v>S007</x:v>
      </x:c>
      <x:c r="B11" s="4" t="str">
        <x:v>https://github.com/juantoniolloretegea/SVperitus-dataset/blob/2dce3c597c1e71439f304045283980fea69a7e9c/dominios/inmunologia/cambio-rumbo/01-doctrina-inviolable/Fundamentos algebraico-semánticos del Sistema Vectorial SV.md</x:v>
      </x:c>
      <x:c r="C11" s="4" t="str">
        <x:v>CAPTURADO</x:v>
      </x:c>
      <x:c r="D11" s="4" t="str">
        <x:v>38689</x:v>
      </x:c>
      <x:c r="E11" s="4" t="str">
        <x:v>904f7536def8194d01121ef9e90bc913466fc8869f9fec52fb43e6cb7aefbb31</x:v>
      </x:c>
      <x:c r="F11" s="4" t="str">
        <x:v>Texto íntegro disponible; relectura focal §§3 y 7; doble lectura previa inventariada.</x:v>
      </x:c>
      <x:c r="G11" s="4" t="str">
        <x:v>2dce3c597c1e71439f304045283980fea69a7e9c</x:v>
      </x:c>
      <x:c r="H11" s="4" t="str">
        <x:v>f5d634e353a19273ebe3eab319fac889eed4f84a</x:v>
      </x:c>
      <x:c r="I11" s="12" t="n">
        <x:f>COUNTIF('32_Fuentes_metodo'!$A$5:$A$23,A11)-1</x:f>
        <x:v>0</x:v>
      </x:c>
      <x:c r="J11" s="12" t="n">
        <x:f>IF(C11="CAPTURADO",IF(LEN(E11)=64,0,1),0)</x:f>
        <x:v>0</x:v>
      </x:c>
    </x:row>
    <x:row r="12" ht="60" customHeight="1">
      <x:c r="A12" s="4" t="str">
        <x:v>S008</x:v>
      </x:c>
      <x:c r="B12" s="4" t="str">
        <x:v>https://github.com/juantoniolloretegea/SVperitus-dataset/blob/2dce3c597c1e71439f304045283980fea69a7e9c/dominios/inmunologia/cambio-rumbo/01-doctrina-inviolable/Origen doctrinal, definición y alcance de la U en el Sistema Vectorial SV.md</x:v>
      </x:c>
      <x:c r="C12" s="4" t="str">
        <x:v>CAPTURADO</x:v>
      </x:c>
      <x:c r="D12" s="4" t="str">
        <x:v>28321</x:v>
      </x:c>
      <x:c r="E12" s="4" t="str">
        <x:v>4a692f1f61376eacf4343c7ac1e724403bdf4594607f17dba1a39050af22798a</x:v>
      </x:c>
      <x:c r="F12" s="4" t="str">
        <x:v>Texto íntegro: doble lectura previa; identidad exacta comprobada con corte citado.</x:v>
      </x:c>
      <x:c r="G12" s="4" t="str">
        <x:v>2dce3c597c1e71439f304045283980fea69a7e9c</x:v>
      </x:c>
      <x:c r="H12" s="4" t="str">
        <x:v>d55d431b8c200adf38410737f86c86a2b1d927c4</x:v>
      </x:c>
      <x:c r="I12" s="12" t="n">
        <x:f>COUNTIF('32_Fuentes_metodo'!$A$5:$A$23,A12)-1</x:f>
        <x:v>0</x:v>
      </x:c>
      <x:c r="J12" s="12" t="n">
        <x:f>IF(C12="CAPTURADO",IF(LEN(E12)=64,0,1),0)</x:f>
        <x:v>0</x:v>
      </x:c>
    </x:row>
    <x:row r="13" ht="76" customHeight="1">
      <x:c r="A13" s="4" t="str">
        <x:v>S009</x:v>
      </x:c>
      <x:c r="B13" s="4" t="str">
        <x:v>https://github.com/juantoniolloretegea/SVperitus-dataset/blob/2dce3c597c1e71439f304045283980fea69a7e9c/dominios/inmunologia/cambio-rumbo/02-contexto-algebraico/Álgebra de composición intercelular del Sistema Vectorial SV · Instituto Tecnológico Virtual de la Inteligencia Artificial para el Español®.pdf</x:v>
      </x:c>
      <x:c r="C13" s="4" t="str">
        <x:v>CAPTURADO</x:v>
      </x:c>
      <x:c r="D13" s="4" t="str">
        <x:v>214172</x:v>
      </x:c>
      <x:c r="E13" s="4" t="str">
        <x:v>ebd3e8196838e99c98417bd00ea3131dfb8e7c0b53504e55833a0c58f837e4ad</x:v>
      </x:c>
      <x:c r="F13" s="4" t="str">
        <x:v>Índice de seis páginas leído; no sustituye lectura de los capítulos enlazados.</x:v>
      </x:c>
      <x:c r="G13" s="4" t="str">
        <x:v>2dce3c597c1e71439f304045283980fea69a7e9c</x:v>
      </x:c>
      <x:c r="H13" s="4" t="str">
        <x:v>57f95536100fc48b8ca225c0fdbb63ba0b83e910</x:v>
      </x:c>
      <x:c r="I13" s="12" t="n">
        <x:f>COUNTIF('32_Fuentes_metodo'!$A$5:$A$23,A13)-1</x:f>
        <x:v>0</x:v>
      </x:c>
      <x:c r="J13" s="12" t="n">
        <x:f>IF(C13="CAPTURADO",IF(LEN(E13)=64,0,1),0)</x:f>
        <x:v>0</x:v>
      </x:c>
    </x:row>
    <x:row r="14" ht="60" customHeight="1">
      <x:c r="A14" s="4" t="str">
        <x:v>S010</x:v>
      </x:c>
      <x:c r="B14" s="4" t="str">
        <x:v>https://github.com/juantoniolloretegea/SVperitus-dataset/blob/fe8adf76aa030ba5ff4997be5772b5de5e4452f3/dominios/inmunologia/cambio-rumbo/03-base-documental-candidata/16-mapa-operaciones/Mapa_finito_universos_operacionales_catalogo_INMUNO_v0.8_v0.1_2026-09-03.md</x:v>
      </x:c>
      <x:c r="C14" s="4" t="str">
        <x:v>CAPTURADO</x:v>
      </x:c>
      <x:c r="D14" s="4" t="str">
        <x:v>16281</x:v>
      </x:c>
      <x:c r="E14" s="4" t="str">
        <x:v>8cad8abce94c691b5ea7a66fc5503b70a82cf8b426d700510e48a2412a88d77b</x:v>
      </x:c>
      <x:c r="F14" s="4" t="str">
        <x:v>Texto íntegro; identidad operacional, 32 candidatos, cobertura y límites.</x:v>
      </x:c>
      <x:c r="G14" s="4" t="str">
        <x:v>fe8adf76aa030ba5ff4997be5772b5de5e4452f3</x:v>
      </x:c>
      <x:c r="H14" s="4" t="str">
        <x:v>e53dad599ec1a66eb4d21a5405b186d9362661c0</x:v>
      </x:c>
      <x:c r="I14" s="12" t="n">
        <x:f>COUNTIF('32_Fuentes_metodo'!$A$5:$A$23,A14)-1</x:f>
        <x:v>0</x:v>
      </x:c>
      <x:c r="J14" s="12" t="n">
        <x:f>IF(C14="CAPTURADO",IF(LEN(E14)=64,0,1),0)</x:f>
        <x:v>0</x:v>
      </x:c>
    </x:row>
    <x:row r="15" ht="60" customHeight="1">
      <x:c r="A15" s="4" t="str">
        <x:v>S011</x:v>
      </x:c>
      <x:c r="B15" s="4" t="str">
        <x:v>https://github.com/juantoniolloretegea/SVperitus-dataset/blob/fe8adf76aa030ba5ff4997be5772b5de5e4452f3/dominios/inmunologia/cambio-rumbo/03-base-documental-candidata/10-atomicidad-en-evaluacion/Expediente_cierre_exhaustivo_G3-G5_raices_omitidas_y_SEM-MOD-007_OP-IMM-001_v0.1_2026-09-03.md</x:v>
      </x:c>
      <x:c r="C15" s="4" t="str">
        <x:v>CAPTURADO</x:v>
      </x:c>
      <x:c r="D15" s="4" t="str">
        <x:v>21646</x:v>
      </x:c>
      <x:c r="E15" s="4" t="str">
        <x:v>d18da1711834f37852343a6874aa04761a5e87a406336560082c795ab474cd20</x:v>
      </x:c>
      <x:c r="F15" s="4" t="str">
        <x:v>Doble lectura previa; relectura §§9–14 para 27 parámetros, 32 raíces y configuración.</x:v>
      </x:c>
      <x:c r="G15" s="4" t="str">
        <x:v>fe8adf76aa030ba5ff4997be5772b5de5e4452f3</x:v>
      </x:c>
      <x:c r="H15" s="4" t="str">
        <x:v>7fb204a874059b7895b1eeac0ef3e7d438fe4821</x:v>
      </x:c>
      <x:c r="I15" s="12" t="n">
        <x:f>COUNTIF('32_Fuentes_metodo'!$A$5:$A$23,A15)-1</x:f>
        <x:v>0</x:v>
      </x:c>
      <x:c r="J15" s="12" t="n">
        <x:f>IF(C15="CAPTURADO",IF(LEN(E15)=64,0,1),0)</x:f>
        <x:v>0</x:v>
      </x:c>
    </x:row>
    <x:row r="16" ht="60" customHeight="1">
      <x:c r="A16" s="4" t="str">
        <x:v>S012</x:v>
      </x:c>
      <x:c r="B16" s="4" t="str">
        <x:v>https://github.com/juantoniolloretegea/SVperitus-dataset/blob/fe8adf76aa030ba5ff4997be5772b5de5e4452f3/dominios/inmunologia/cambio-rumbo/03-base-documental-candidata/11-matrices-en-evaluacion/G6-MAT_propiedad_matricial_A0_OP-IMM-001_v0.1_2026-09-03.md</x:v>
      </x:c>
      <x:c r="C16" s="4" t="str">
        <x:v>CAPTURADO</x:v>
      </x:c>
      <x:c r="D16" s="4" t="str">
        <x:v>4854</x:v>
      </x:c>
      <x:c r="E16" s="4" t="str">
        <x:v>5abb320a662dfec3f7c4164e9660bea31d46a9cf2eda33b68867b792872e331b</x:v>
      </x:c>
      <x:c r="F16" s="4" t="str">
        <x:v>Relectura íntegra; propiedad, cuatro referencias y cuatro parámetros con configuración pendiente.</x:v>
      </x:c>
      <x:c r="G16" s="4" t="str">
        <x:v>fe8adf76aa030ba5ff4997be5772b5de5e4452f3</x:v>
      </x:c>
      <x:c r="H16" s="4" t="str">
        <x:v>ee894d6ee15c015caac229cf6ab69f3bbf7460ea</x:v>
      </x:c>
      <x:c r="I16" s="12" t="n">
        <x:f>COUNTIF('32_Fuentes_metodo'!$A$5:$A$23,A16)-1</x:f>
        <x:v>0</x:v>
      </x:c>
      <x:c r="J16" s="12" t="n">
        <x:f>IF(C16="CAPTURADO",IF(LEN(E16)=64,0,1),0)</x:f>
        <x:v>0</x:v>
      </x:c>
    </x:row>
    <x:row r="17" ht="60" customHeight="1">
      <x:c r="A17" s="4" t="str">
        <x:v>S013</x:v>
      </x:c>
      <x:c r="B17" s="4" t="str">
        <x:v>https://github.com/juantoniolloretegea/SVperitus-dataset/blob/fe8adf76aa030ba5ff4997be5772b5de5e4452f3/dominios/inmunologia/cambio-rumbo/03-base-documental-candidata/10-atomicidad-en-evaluacion/Adjudicacion_atomica_G5-ATM_SEM-EXP-005_OP-IMM-001_v0.1_2026-09-03.md</x:v>
      </x:c>
      <x:c r="C17" s="4" t="str">
        <x:v>CAPTURADO</x:v>
      </x:c>
      <x:c r="D17" s="4" t="str">
        <x:v>18256</x:v>
      </x:c>
      <x:c r="E17" s="4" t="str">
        <x:v>9a90e2a630c30dffe10032c27d4e81aeec5812ae4e6f04ee6ac4a938e029fb66</x:v>
      </x:c>
      <x:c r="F17" s="4" t="str">
        <x:v>Doble lectura previa; ejemplo de método G5, sin importar parámetro clínico.</x:v>
      </x:c>
      <x:c r="G17" s="4" t="str">
        <x:v>fe8adf76aa030ba5ff4997be5772b5de5e4452f3</x:v>
      </x:c>
      <x:c r="H17" s="4" t="str">
        <x:v>7454e0690f61c9d51eca9bad53e61a0144f1e4f2</x:v>
      </x:c>
      <x:c r="I17" s="12" t="n">
        <x:f>COUNTIF('32_Fuentes_metodo'!$A$5:$A$23,A17)-1</x:f>
        <x:v>0</x:v>
      </x:c>
      <x:c r="J17" s="12" t="n">
        <x:f>IF(C17="CAPTURADO",IF(LEN(E17)=64,0,1),0)</x:f>
        <x:v>0</x:v>
      </x:c>
    </x:row>
    <x:row r="18" ht="60" customHeight="1">
      <x:c r="A18" s="4" t="str">
        <x:v>S014</x:v>
      </x:c>
      <x:c r="B18" s="4" t="str">
        <x:v>https://raw.githubusercontent.com/juantoniolloretegea/SV-lenguaje-de-computacion/ab61d9bb7a2002d3a4a389e292c2a9b0a850d264/docs/calidad/PILARES_Y_RESTRICCIONES_DE_DISENO_DEL_LENGUAJE_DE_COMPUTACION_SV_2026_09_05.md</x:v>
      </x:c>
      <x:c r="C18" s="4" t="str">
        <x:v>CAPTURADO</x:v>
      </x:c>
      <x:c r="D18" s="4" t="str">
        <x:v>22330</x:v>
      </x:c>
      <x:c r="E18" s="4" t="str">
        <x:v>73875d22f35cc299d2a4103e35e369481e99289e9ee679b841f54b5e4f872650</x:v>
      </x:c>
      <x:c r="F18" s="4" t="str">
        <x:v>Texto íntegro leído: geometría, autoridad, prohibiciones, contratos y límites de realización.</x:v>
      </x:c>
      <x:c r="G18" s="4" t="str">
        <x:v>ab61d9bb7a2002d3a4a389e292c2a9b0a850d264</x:v>
      </x:c>
      <x:c r="H18" s="4" t="str">
        <x:v>bba81c4ab115899fc4ae812bc7214aab6f39a9bd</x:v>
      </x:c>
      <x:c r="I18" s="12" t="n">
        <x:f>COUNTIF('32_Fuentes_metodo'!$A$5:$A$23,A18)-1</x:f>
        <x:v>0</x:v>
      </x:c>
      <x:c r="J18" s="12" t="n">
        <x:f>IF(C18="CAPTURADO",IF(LEN(E18)=64,0,1),0)</x:f>
        <x:v>0</x:v>
      </x:c>
    </x:row>
    <x:row r="19" ht="60" customHeight="1">
      <x:c r="A19" s="4" t="str">
        <x:v>S015</x:v>
      </x:c>
      <x:c r="B19" s="4" t="str">
        <x:v>https://raw.githubusercontent.com/juantoniolloretegea/SV-lenguaje-de-computacion/ab61d9bb7a2002d3a4a389e292c2a9b0a850d264/docs/calidad/ACTA_TECNICA_DE_PERFILES_CONTRATOS_Y_ENSAMBLAJE_DEL_LENGUAJE_SV_2026_09_06.md</x:v>
      </x:c>
      <x:c r="C19" s="4" t="str">
        <x:v>CAPTURADO</x:v>
      </x:c>
      <x:c r="D19" s="4" t="str">
        <x:v>29014</x:v>
      </x:c>
      <x:c r="E19" s="4" t="str">
        <x:v>38673267da27fae204f81689aaaf4cb0fd123e7f2e4a3384850c44762c0c06d8</x:v>
      </x:c>
      <x:c r="F19" s="4" t="str">
        <x:v>Texto íntegro leído: perfiles, suficiencia, ensamblaje y reparto de autoridad.</x:v>
      </x:c>
      <x:c r="G19" s="4" t="str">
        <x:v>ab61d9bb7a2002d3a4a389e292c2a9b0a850d264</x:v>
      </x:c>
      <x:c r="H19" s="4" t="str">
        <x:v>1df9b818f3f531f628fe0e89dd2c497b5da52d4d</x:v>
      </x:c>
      <x:c r="I19" s="12" t="n">
        <x:f>COUNTIF('32_Fuentes_metodo'!$A$5:$A$23,A19)-1</x:f>
        <x:v>0</x:v>
      </x:c>
      <x:c r="J19" s="12" t="n">
        <x:f>IF(C19="CAPTURADO",IF(LEN(E19)=64,0,1),0)</x:f>
        <x:v>0</x:v>
      </x:c>
    </x:row>
    <x:row r="20" ht="47" customHeight="1">
      <x:c r="A20" s="4" t="str">
        <x:v>S016</x:v>
      </x:c>
      <x:c r="B20" s="4" t="str">
        <x:v>https://raw.githubusercontent.com/juantoniolloretegea/SV-lenguaje-de-computacion/ab61d9bb7a2002d3a4a389e292c2a9b0a850d264/IR_CANONICA_BIENFORMACION_SV_v0_3.md</x:v>
      </x:c>
      <x:c r="C20" s="4" t="str">
        <x:v>CAPTURADO</x:v>
      </x:c>
      <x:c r="D20" s="4" t="str">
        <x:v>30558</x:v>
      </x:c>
      <x:c r="E20" s="4" t="str">
        <x:v>d86f1642fdf0846668c77353b5c504b9c1b40cd110647ea464bd7ba3f23a22ea</x:v>
      </x:c>
      <x:c r="F20" s="4" t="str">
        <x:v>Relectura focal §4 completo: cierre relacional de Frame y no exhaustividad; resto no utilizado como evidencia nueva.</x:v>
      </x:c>
      <x:c r="G20" s="4" t="str">
        <x:v>ab61d9bb7a2002d3a4a389e292c2a9b0a850d264</x:v>
      </x:c>
      <x:c r="H20" s="4" t="str">
        <x:v>c1b4b0e1c06c1b22dff1f988fec1a1f079fcc5d2</x:v>
      </x:c>
      <x:c r="I20" s="12" t="n">
        <x:f>COUNTIF('32_Fuentes_metodo'!$A$5:$A$23,A20)-1</x:f>
        <x:v>0</x:v>
      </x:c>
      <x:c r="J20" s="12" t="n">
        <x:f>IF(C20="CAPTURADO",IF(LEN(E20)=64,0,1),0)</x:f>
        <x:v>0</x:v>
      </x:c>
    </x:row>
    <x:row r="21" ht="47" customHeight="1">
      <x:c r="A21" s="4" t="str">
        <x:v>S017</x:v>
      </x:c>
      <x:c r="B21" s="4" t="str">
        <x:v>https://raw.githubusercontent.com/juantoniolloretegea/SV-matematica-semantica/b8fd32978292d25adf9b87cf71e409005dce642c/documentos/composicion/V_invariantes_agentes_operador_consulta.md</x:v>
      </x:c>
      <x:c r="C21" s="4" t="str">
        <x:v>CAPTURADO</x:v>
      </x:c>
      <x:c r="D21" s="4" t="str">
        <x:v>18061</x:v>
      </x:c>
      <x:c r="E21" s="4" t="str">
        <x:v>fbf53f17d8cbeb17dedb12dd098121ba1591e0603c2aa196d7bb454784123c2b</x:v>
      </x:c>
      <x:c r="F21" s="4" t="str">
        <x:v>Documento V íntegro leído: dominio, agente y consulta r/J/M. Madurez histórica de ejemplos no acredita aptitud actual.</x:v>
      </x:c>
      <x:c r="G21" s="4" t="str">
        <x:v>b8fd32978292d25adf9b87cf71e409005dce642c</x:v>
      </x:c>
      <x:c r="H21" s="4" t="str">
        <x:v>d609810b4072a4b61e29ef10f4d26751862b0c86</x:v>
      </x:c>
      <x:c r="I21" s="12" t="n">
        <x:f>COUNTIF('32_Fuentes_metodo'!$A$5:$A$23,A21)-1</x:f>
        <x:v>0</x:v>
      </x:c>
      <x:c r="J21" s="12" t="n">
        <x:f>IF(C21="CAPTURADO",IF(LEN(E21)=64,0,1),0)</x:f>
        <x:v>0</x:v>
      </x:c>
    </x:row>
    <x:row r="22" ht="47" customHeight="1">
      <x:c r="A22" s="4" t="str">
        <x:v>S018</x:v>
      </x:c>
      <x:c r="B22" s="4" t="str">
        <x:v>https://raw.githubusercontent.com/juantoniolloretegea/SV-matematica-semantica/b8fd32978292d25adf9b87cf71e409005dce642c/documentos/composicion/III_horizonte_sucesos_reevaluacion_discreta.md</x:v>
      </x:c>
      <x:c r="C22" s="4" t="str">
        <x:v>CAPTURADO</x:v>
      </x:c>
      <x:c r="D22" s="4" t="str">
        <x:v>11928</x:v>
      </x:c>
      <x:c r="E22" s="4" t="str">
        <x:v>9aeb3ce7bdea0cd7769760ed22eb7dd7b814cc39a273c5fb4a0470791964eaea</x:v>
      </x:c>
      <x:c r="F22" s="4" t="str">
        <x:v>Documento III íntegro leído: horizonte, frame, trayectoria y reevaluación.</x:v>
      </x:c>
      <x:c r="G22" s="4" t="str">
        <x:v>b8fd32978292d25adf9b87cf71e409005dce642c</x:v>
      </x:c>
      <x:c r="H22" s="4" t="str">
        <x:v>92caea3f63ace2f494c4871f69680fd38ab3ee77</x:v>
      </x:c>
      <x:c r="I22" s="12" t="n">
        <x:f>COUNTIF('32_Fuentes_metodo'!$A$5:$A$23,A22)-1</x:f>
        <x:v>0</x:v>
      </x:c>
      <x:c r="J22" s="12" t="n">
        <x:f>IF(C22="CAPTURADO",IF(LEN(E22)=64,0,1),0)</x:f>
        <x:v>0</x:v>
      </x:c>
    </x:row>
    <x:row r="23" ht="60" customHeight="1">
      <x:c r="A23" s="4" t="str">
        <x:v>S019</x:v>
      </x:c>
      <x:c r="B23" s="4" t="str">
        <x:v>https://raw.githubusercontent.com/juantoniolloretegea/SV-matematica-semantica/b8fd32978292d25adf9b87cf71e409005dce642c/especificaciones/proposiciones/ESPECIFICACION_METODOLOGICA_SOBRE_SUCESOS_REEVALUACION_Y_FRAMES_EN_EL_SISTEMA_VECTORIAL_SV.md</x:v>
      </x:c>
      <x:c r="C23" s="4" t="str">
        <x:v>CAPTURADO</x:v>
      </x:c>
      <x:c r="D23" s="4" t="str">
        <x:v>5789</x:v>
      </x:c>
      <x:c r="E23" s="4" t="str">
        <x:v>e39bc5f235267b354a9f5b8d1538a8c96f43dbc3e333315e0028978b8bec3227</x:v>
      </x:c>
      <x:c r="F23" s="4" t="str">
        <x:v>Texto íntegro leído: suceso→reevaluación→frame; tiempo como dato externo.</x:v>
      </x:c>
      <x:c r="G23" s="4" t="str">
        <x:v>b8fd32978292d25adf9b87cf71e409005dce642c</x:v>
      </x:c>
      <x:c r="H23" s="4" t="str">
        <x:v>1fbaa8c83bc9b35d5008f1f4f7ee823dc741808c</x:v>
      </x:c>
      <x:c r="I23" s="12" t="n">
        <x:f>COUNTIF('32_Fuentes_metodo'!$A$5:$A$23,A23)-1</x:f>
        <x:v>0</x:v>
      </x:c>
      <x:c r="J23" s="12" t="n">
        <x:f>IF(C23="CAPTURADO",IF(LEN(E23)=64,0,1),0)</x:f>
        <x:v>0</x:v>
      </x:c>
    </x:row>
  </x:sheetData>
  <x:mergeCells>
    <x:mergeCell ref="A1:D1"/>
    <x:mergeCell ref="A2:F2"/>
  </x:mergeCells>
  <x:conditionalFormatting sqref="I5:I23">
    <x:cfRule type="expression" dxfId="16" priority="1">
      <x:formula>I5&gt;0</x:formula>
    </x:cfRule>
  </x:conditionalFormatting>
  <x:conditionalFormatting sqref="J5:J23">
    <x:cfRule type="expression" dxfId="17" priority="2">
      <x:formula>J5&gt;0</x:formula>
    </x:cfRule>
  </x:conditionalFormatting>
  <x:pageMargins left="0.7" right="0.7" top="0.75" bottom="0.75" header="0.3" footer="0.3"/>
  <x:tableParts count="1">
    <x:tablePart xmlns:r="http://schemas.openxmlformats.org/officeDocument/2006/relationships" r:id="R6efae1e3a4ed4f88"/>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19" hidden="0" customWidth="1"/>
    <x:col min="2" max="2" width="16" hidden="0" customWidth="1"/>
    <x:col min="3" max="3" width="42" hidden="0" customWidth="1"/>
    <x:col min="4" max="4" width="112" hidden="0" customWidth="1"/>
    <x:col min="5" max="5" width="54" hidden="0" customWidth="1"/>
    <x:col min="6" max="6" width="20" hidden="0" customWidth="1"/>
  </x:cols>
  <x:sheetData>
    <x:row r="1" ht="35" customHeight="1">
      <x:c r="A1" s="6" t="str">
        <x:v>REVISIÓN DEL MAPA v0.1 · 22 → 29 candidatos</x:v>
      </x:c>
      <x:c r="B1" s="6"/>
      <x:c r="C1" s="6"/>
      <x:c r="D1" s="6"/>
      <x:c r="E1" s="6"/>
      <x:c r="F1" s="6"/>
    </x:row>
    <x:row r="2" ht="52" customHeight="1">
      <x:c r="A2" s="8" t="str">
        <x:v>Se conservan las 22 identidades históricas como antecedentes. El incremento neto de siete se explica por producto, autoridad o finalización; no por cupos ni por aparición de una herramienta.</x:v>
      </x:c>
      <x:c r="B2" s="8"/>
      <x:c r="C2" s="8"/>
      <x:c r="D2" s="8"/>
      <x:c r="E2" s="8"/>
      <x:c r="F2" s="8"/>
    </x:row>
    <x:row r="3">
      <x:c r="A3" s="4"/>
      <x:c r="B3" s="4"/>
      <x:c r="C3" s="4"/>
      <x:c r="D3" s="4"/>
      <x:c r="E3" s="4"/>
      <x:c r="F3" s="4"/>
    </x:row>
    <x:row r="4" ht="42" customHeight="1">
      <x:c r="A4" s="10" t="str">
        <x:v>Antecedente</x:v>
      </x:c>
      <x:c r="B4" s="10" t="str">
        <x:v>Destino</x:v>
      </x:c>
      <x:c r="C4" s="10" t="str">
        <x:v>Relación editorial</x:v>
      </x:c>
      <x:c r="D4" s="10" t="str">
        <x:v>Justificación</x:v>
      </x:c>
      <x:c r="E4" s="10" t="str">
        <x:v>Evidencia</x:v>
      </x:c>
      <x:c r="F4" s="10" t="str">
        <x:v>Destino inválido</x:v>
      </x:c>
    </x:row>
    <x:row r="5" ht="47" customHeight="1">
      <x:c r="A5" s="4" t="str">
        <x:v>OPC-01</x:v>
      </x:c>
      <x:c r="B5" s="4" t="str">
        <x:v>CYO-01</x:v>
      </x:c>
      <x:c r="C5" s="4" t="str">
        <x:v>REEXAMINADA</x:v>
      </x:c>
      <x:c r="D5" s="4" t="str">
        <x:v>Conservar identidad candidata y añadir ancla educativa; no adopción automática.</x:v>
      </x:c>
      <x:c r="E5" s="4" t="str">
        <x:v>07 histórico; 26 nueva síntesis</x:v>
      </x:c>
      <x:c r="F5" s="12" t="n">
        <x:f>IF(COUNTIF('26_Mapa_universos'!$A$5:$A$33,B5)=1,0,1)</x:f>
        <x:v>0</x:v>
      </x:c>
    </x:row>
    <x:row r="6" ht="47" customHeight="1">
      <x:c r="A6" s="4" t="str">
        <x:v>OPC-02</x:v>
      </x:c>
      <x:c r="B6" s="4" t="str">
        <x:v>CYO-02</x:v>
      </x:c>
      <x:c r="C6" s="4" t="str">
        <x:v>REEXAMINADA</x:v>
      </x:c>
      <x:c r="D6" s="4" t="str">
        <x:v>Conservar identidad candidata y añadir ancla educativa; no adopción automática.</x:v>
      </x:c>
      <x:c r="E6" s="4" t="str">
        <x:v>07 histórico; 26 nueva síntesis</x:v>
      </x:c>
      <x:c r="F6" s="12" t="n">
        <x:f>IF(COUNTIF('26_Mapa_universos'!$A$5:$A$33,B6)=1,0,1)</x:f>
        <x:v>0</x:v>
      </x:c>
    </x:row>
    <x:row r="7" ht="47" customHeight="1">
      <x:c r="A7" s="4" t="str">
        <x:v>OPC-03</x:v>
      </x:c>
      <x:c r="B7" s="4" t="str">
        <x:v>CYO-03</x:v>
      </x:c>
      <x:c r="C7" s="4" t="str">
        <x:v>REEXAMINADA</x:v>
      </x:c>
      <x:c r="D7" s="4" t="str">
        <x:v>Conservar identidad candidata y añadir ancla educativa; no adopción automática.</x:v>
      </x:c>
      <x:c r="E7" s="4" t="str">
        <x:v>07 histórico; 26 nueva síntesis</x:v>
      </x:c>
      <x:c r="F7" s="12" t="n">
        <x:f>IF(COUNTIF('26_Mapa_universos'!$A$5:$A$33,B7)=1,0,1)</x:f>
        <x:v>0</x:v>
      </x:c>
    </x:row>
    <x:row r="8" ht="47" customHeight="1">
      <x:c r="A8" s="4" t="str">
        <x:v>OPC-04</x:v>
      </x:c>
      <x:c r="B8" s="4" t="str">
        <x:v>CYO-04</x:v>
      </x:c>
      <x:c r="C8" s="4" t="str">
        <x:v>REEXAMINADA</x:v>
      </x:c>
      <x:c r="D8" s="4" t="str">
        <x:v>Conservar identidad candidata y añadir ancla educativa; no adopción automática.</x:v>
      </x:c>
      <x:c r="E8" s="4" t="str">
        <x:v>07 histórico; 26 nueva síntesis</x:v>
      </x:c>
      <x:c r="F8" s="12" t="n">
        <x:f>IF(COUNTIF('26_Mapa_universos'!$A$5:$A$33,B8)=1,0,1)</x:f>
        <x:v>0</x:v>
      </x:c>
    </x:row>
    <x:row r="9" ht="47" customHeight="1">
      <x:c r="A9" s="4" t="str">
        <x:v>OPC-05</x:v>
      </x:c>
      <x:c r="B9" s="4" t="str">
        <x:v>CYO-05</x:v>
      </x:c>
      <x:c r="C9" s="4" t="str">
        <x:v>DESCOMPOSICIÓN / CONVERGENCIA</x:v>
      </x:c>
      <x:c r="D9" s="4" t="str">
        <x:v>Separar seguridad de la entrega software y validación del comportamiento aprendido.</x:v>
      </x:c>
      <x:c r="E9" s="4" t="str">
        <x:v>07 histórico; 26 nueva síntesis</x:v>
      </x:c>
      <x:c r="F9" s="12" t="n">
        <x:f>IF(COUNTIF('26_Mapa_universos'!$A$5:$A$33,B9)=1,0,1)</x:f>
        <x:v>0</x:v>
      </x:c>
    </x:row>
    <x:row r="10" ht="47" customHeight="1">
      <x:c r="A10" s="4" t="str">
        <x:v>OPC-05</x:v>
      </x:c>
      <x:c r="B10" s="4" t="str">
        <x:v>CYO-23</x:v>
      </x:c>
      <x:c r="C10" s="4" t="str">
        <x:v>DESCOMPOSICIÓN / CONVERGENCIA</x:v>
      </x:c>
      <x:c r="D10" s="4" t="str">
        <x:v>Separar seguridad de la entrega software y validación del comportamiento aprendido.</x:v>
      </x:c>
      <x:c r="E10" s="4" t="str">
        <x:v>07 histórico; 26 nueva síntesis</x:v>
      </x:c>
      <x:c r="F10" s="12" t="n">
        <x:f>IF(COUNTIF('26_Mapa_universos'!$A$5:$A$33,B10)=1,0,1)</x:f>
        <x:v>0</x:v>
      </x:c>
    </x:row>
    <x:row r="11" ht="47" customHeight="1">
      <x:c r="A11" s="4" t="str">
        <x:v>OPC-06</x:v>
      </x:c>
      <x:c r="B11" s="4" t="str">
        <x:v>CYO-06</x:v>
      </x:c>
      <x:c r="C11" s="4" t="str">
        <x:v>REEXAMINADA</x:v>
      </x:c>
      <x:c r="D11" s="4" t="str">
        <x:v>Conservar identidad candidata y añadir ancla educativa; no adopción automática.</x:v>
      </x:c>
      <x:c r="E11" s="4" t="str">
        <x:v>07 histórico; 26 nueva síntesis</x:v>
      </x:c>
      <x:c r="F11" s="12" t="n">
        <x:f>IF(COUNTIF('26_Mapa_universos'!$A$5:$A$33,B11)=1,0,1)</x:f>
        <x:v>0</x:v>
      </x:c>
    </x:row>
    <x:row r="12" ht="47" customHeight="1">
      <x:c r="A12" s="4" t="str">
        <x:v>OPC-07</x:v>
      </x:c>
      <x:c r="B12" s="4" t="str">
        <x:v>CYO-07</x:v>
      </x:c>
      <x:c r="C12" s="4" t="str">
        <x:v>REEXAMINADA</x:v>
      </x:c>
      <x:c r="D12" s="4" t="str">
        <x:v>Conservar identidad candidata y añadir ancla educativa; no adopción automática.</x:v>
      </x:c>
      <x:c r="E12" s="4" t="str">
        <x:v>07 histórico; 26 nueva síntesis</x:v>
      </x:c>
      <x:c r="F12" s="12" t="n">
        <x:f>IF(COUNTIF('26_Mapa_universos'!$A$5:$A$33,B12)=1,0,1)</x:f>
        <x:v>0</x:v>
      </x:c>
    </x:row>
    <x:row r="13" ht="47" customHeight="1">
      <x:c r="A13" s="4" t="str">
        <x:v>OPC-08</x:v>
      </x:c>
      <x:c r="B13" s="4" t="str">
        <x:v>CYO-08</x:v>
      </x:c>
      <x:c r="C13" s="4" t="str">
        <x:v>REEXAMINADA</x:v>
      </x:c>
      <x:c r="D13" s="4" t="str">
        <x:v>Conservar identidad candidata y añadir ancla educativa; no adopción automática.</x:v>
      </x:c>
      <x:c r="E13" s="4" t="str">
        <x:v>07 histórico; 26 nueva síntesis</x:v>
      </x:c>
      <x:c r="F13" s="12" t="n">
        <x:f>IF(COUNTIF('26_Mapa_universos'!$A$5:$A$33,B13)=1,0,1)</x:f>
        <x:v>0</x:v>
      </x:c>
    </x:row>
    <x:row r="14" ht="47" customHeight="1">
      <x:c r="A14" s="4" t="str">
        <x:v>OPC-09</x:v>
      </x:c>
      <x:c r="B14" s="4" t="str">
        <x:v>CYO-09</x:v>
      </x:c>
      <x:c r="C14" s="4" t="str">
        <x:v>DESCOMPOSICIÓN / CONVERGENCIA</x:v>
      </x:c>
      <x:c r="D14" s="4" t="str">
        <x:v>Separar plan y expediente del efecto ejecutado, con permiso propio.</x:v>
      </x:c>
      <x:c r="E14" s="4" t="str">
        <x:v>07 histórico; 26 nueva síntesis</x:v>
      </x:c>
      <x:c r="F14" s="12" t="n">
        <x:f>IF(COUNTIF('26_Mapa_universos'!$A$5:$A$33,B14)=1,0,1)</x:f>
        <x:v>0</x:v>
      </x:c>
    </x:row>
    <x:row r="15" ht="47" customHeight="1">
      <x:c r="A15" s="4" t="str">
        <x:v>OPC-09</x:v>
      </x:c>
      <x:c r="B15" s="4" t="str">
        <x:v>CYO-24</x:v>
      </x:c>
      <x:c r="C15" s="4" t="str">
        <x:v>DESCOMPOSICIÓN / CONVERGENCIA</x:v>
      </x:c>
      <x:c r="D15" s="4" t="str">
        <x:v>Separar plan y expediente del efecto ejecutado, con permiso propio.</x:v>
      </x:c>
      <x:c r="E15" s="4" t="str">
        <x:v>07 histórico; 26 nueva síntesis</x:v>
      </x:c>
      <x:c r="F15" s="12" t="n">
        <x:f>IF(COUNTIF('26_Mapa_universos'!$A$5:$A$33,B15)=1,0,1)</x:f>
        <x:v>0</x:v>
      </x:c>
    </x:row>
    <x:row r="16" ht="47" customHeight="1">
      <x:c r="A16" s="4" t="str">
        <x:v>OPC-10</x:v>
      </x:c>
      <x:c r="B16" s="4" t="str">
        <x:v>CYO-10</x:v>
      </x:c>
      <x:c r="C16" s="4" t="str">
        <x:v>REEXAMINADA</x:v>
      </x:c>
      <x:c r="D16" s="4" t="str">
        <x:v>Conservar identidad candidata y añadir ancla educativa; no adopción automática.</x:v>
      </x:c>
      <x:c r="E16" s="4" t="str">
        <x:v>07 histórico; 26 nueva síntesis</x:v>
      </x:c>
      <x:c r="F16" s="12" t="n">
        <x:f>IF(COUNTIF('26_Mapa_universos'!$A$5:$A$33,B16)=1,0,1)</x:f>
        <x:v>0</x:v>
      </x:c>
    </x:row>
    <x:row r="17" ht="47" customHeight="1">
      <x:c r="A17" s="4" t="str">
        <x:v>OPC-11</x:v>
      </x:c>
      <x:c r="B17" s="4" t="str">
        <x:v>CYO-11</x:v>
      </x:c>
      <x:c r="C17" s="4" t="str">
        <x:v>DESCOMPOSICIÓN / CONVERGENCIA</x:v>
      </x:c>
      <x:c r="D17" s="4" t="str">
        <x:v>Separar preparación ensayada y restauración real con decisión de retorno.</x:v>
      </x:c>
      <x:c r="E17" s="4" t="str">
        <x:v>07 histórico; 26 nueva síntesis</x:v>
      </x:c>
      <x:c r="F17" s="12" t="n">
        <x:f>IF(COUNTIF('26_Mapa_universos'!$A$5:$A$33,B17)=1,0,1)</x:f>
        <x:v>0</x:v>
      </x:c>
    </x:row>
    <x:row r="18" ht="47" customHeight="1">
      <x:c r="A18" s="4" t="str">
        <x:v>OPC-11</x:v>
      </x:c>
      <x:c r="B18" s="4" t="str">
        <x:v>CYO-25</x:v>
      </x:c>
      <x:c r="C18" s="4" t="str">
        <x:v>DESCOMPOSICIÓN / CONVERGENCIA</x:v>
      </x:c>
      <x:c r="D18" s="4" t="str">
        <x:v>Separar preparación ensayada y restauración real con decisión de retorno.</x:v>
      </x:c>
      <x:c r="E18" s="4" t="str">
        <x:v>07 histórico; 26 nueva síntesis</x:v>
      </x:c>
      <x:c r="F18" s="12" t="n">
        <x:f>IF(COUNTIF('26_Mapa_universos'!$A$5:$A$33,B18)=1,0,1)</x:f>
        <x:v>0</x:v>
      </x:c>
    </x:row>
    <x:row r="19" ht="47" customHeight="1">
      <x:c r="A19" s="4" t="str">
        <x:v>OPC-12</x:v>
      </x:c>
      <x:c r="B19" s="4" t="str">
        <x:v>CYO-12</x:v>
      </x:c>
      <x:c r="C19" s="4" t="str">
        <x:v>REEXAMINADA</x:v>
      </x:c>
      <x:c r="D19" s="4" t="str">
        <x:v>Conservar identidad candidata y añadir ancla educativa; no adopción automática.</x:v>
      </x:c>
      <x:c r="E19" s="4" t="str">
        <x:v>07 histórico; 26 nueva síntesis</x:v>
      </x:c>
      <x:c r="F19" s="12" t="n">
        <x:f>IF(COUNTIF('26_Mapa_universos'!$A$5:$A$33,B19)=1,0,1)</x:f>
        <x:v>0</x:v>
      </x:c>
    </x:row>
    <x:row r="20" ht="47" customHeight="1">
      <x:c r="A20" s="4" t="str">
        <x:v>OPC-13</x:v>
      </x:c>
      <x:c r="B20" s="4" t="str">
        <x:v>CYO-13</x:v>
      </x:c>
      <x:c r="C20" s="4" t="str">
        <x:v>REEXAMINADA</x:v>
      </x:c>
      <x:c r="D20" s="4" t="str">
        <x:v>Conservar identidad candidata y añadir ancla educativa; no adopción automática.</x:v>
      </x:c>
      <x:c r="E20" s="4" t="str">
        <x:v>07 histórico; 26 nueva síntesis</x:v>
      </x:c>
      <x:c r="F20" s="12" t="n">
        <x:f>IF(COUNTIF('26_Mapa_universos'!$A$5:$A$33,B20)=1,0,1)</x:f>
        <x:v>0</x:v>
      </x:c>
    </x:row>
    <x:row r="21" ht="47" customHeight="1">
      <x:c r="A21" s="4" t="str">
        <x:v>OPC-14</x:v>
      </x:c>
      <x:c r="B21" s="4" t="str">
        <x:v>CYO-14</x:v>
      </x:c>
      <x:c r="C21" s="4" t="str">
        <x:v>REEXAMINADA</x:v>
      </x:c>
      <x:c r="D21" s="4" t="str">
        <x:v>Conservar identidad candidata y añadir ancla educativa; no adopción automática.</x:v>
      </x:c>
      <x:c r="E21" s="4" t="str">
        <x:v>07 histórico; 26 nueva síntesis</x:v>
      </x:c>
      <x:c r="F21" s="12" t="n">
        <x:f>IF(COUNTIF('26_Mapa_universos'!$A$5:$A$33,B21)=1,0,1)</x:f>
        <x:v>0</x:v>
      </x:c>
    </x:row>
    <x:row r="22" ht="47" customHeight="1">
      <x:c r="A22" s="4" t="str">
        <x:v>OPC-15</x:v>
      </x:c>
      <x:c r="B22" s="4" t="str">
        <x:v>CYO-15</x:v>
      </x:c>
      <x:c r="C22" s="4" t="str">
        <x:v>DESCOMPOSICIÓN / CONVERGENCIA</x:v>
      </x:c>
      <x:c r="D22" s="4" t="str">
        <x:v>Separar admisibilidad del uso y validez técnica; CYO-23 es una identidad compartida, no dos copias.</x:v>
      </x:c>
      <x:c r="E22" s="4" t="str">
        <x:v>07 histórico; 26 nueva síntesis</x:v>
      </x:c>
      <x:c r="F22" s="12" t="n">
        <x:f>IF(COUNTIF('26_Mapa_universos'!$A$5:$A$33,B22)=1,0,1)</x:f>
        <x:v>0</x:v>
      </x:c>
    </x:row>
    <x:row r="23" ht="47" customHeight="1">
      <x:c r="A23" s="4" t="str">
        <x:v>OPC-15</x:v>
      </x:c>
      <x:c r="B23" s="4" t="str">
        <x:v>CYO-23</x:v>
      </x:c>
      <x:c r="C23" s="4" t="str">
        <x:v>DESCOMPOSICIÓN / CONVERGENCIA</x:v>
      </x:c>
      <x:c r="D23" s="4" t="str">
        <x:v>Separar admisibilidad del uso y validez técnica; CYO-23 es una identidad compartida, no dos copias.</x:v>
      </x:c>
      <x:c r="E23" s="4" t="str">
        <x:v>07 histórico; 26 nueva síntesis</x:v>
      </x:c>
      <x:c r="F23" s="12" t="n">
        <x:f>IF(COUNTIF('26_Mapa_universos'!$A$5:$A$33,B23)=1,0,1)</x:f>
        <x:v>0</x:v>
      </x:c>
    </x:row>
    <x:row r="24" ht="47" customHeight="1">
      <x:c r="A24" s="4" t="str">
        <x:v>OPC-16</x:v>
      </x:c>
      <x:c r="B24" s="4" t="str">
        <x:v>CYO-16</x:v>
      </x:c>
      <x:c r="C24" s="4" t="str">
        <x:v>REEXAMINADA</x:v>
      </x:c>
      <x:c r="D24" s="4" t="str">
        <x:v>Conservar identidad candidata y añadir ancla educativa; no adopción automática.</x:v>
      </x:c>
      <x:c r="E24" s="4" t="str">
        <x:v>07 histórico; 26 nueva síntesis</x:v>
      </x:c>
      <x:c r="F24" s="12" t="n">
        <x:f>IF(COUNTIF('26_Mapa_universos'!$A$5:$A$33,B24)=1,0,1)</x:f>
        <x:v>0</x:v>
      </x:c>
    </x:row>
    <x:row r="25" ht="47" customHeight="1">
      <x:c r="A25" s="4" t="str">
        <x:v>OPC-17</x:v>
      </x:c>
      <x:c r="B25" s="4" t="str">
        <x:v>CYO-17</x:v>
      </x:c>
      <x:c r="C25" s="4" t="str">
        <x:v>REEXAMINADA</x:v>
      </x:c>
      <x:c r="D25" s="4" t="str">
        <x:v>Conservar identidad candidata y añadir ancla educativa; no adopción automática.</x:v>
      </x:c>
      <x:c r="E25" s="4" t="str">
        <x:v>07 histórico; 26 nueva síntesis</x:v>
      </x:c>
      <x:c r="F25" s="12" t="n">
        <x:f>IF(COUNTIF('26_Mapa_universos'!$A$5:$A$33,B25)=1,0,1)</x:f>
        <x:v>0</x:v>
      </x:c>
    </x:row>
    <x:row r="26" ht="47" customHeight="1">
      <x:c r="A26" s="4" t="str">
        <x:v>OPC-18</x:v>
      </x:c>
      <x:c r="B26" s="4" t="str">
        <x:v>CYO-18</x:v>
      </x:c>
      <x:c r="C26" s="4" t="str">
        <x:v>REEXAMINADA</x:v>
      </x:c>
      <x:c r="D26" s="4" t="str">
        <x:v>Conservar identidad candidata y añadir ancla educativa; no adopción automática.</x:v>
      </x:c>
      <x:c r="E26" s="4" t="str">
        <x:v>07 histórico; 26 nueva síntesis</x:v>
      </x:c>
      <x:c r="F26" s="12" t="n">
        <x:f>IF(COUNTIF('26_Mapa_universos'!$A$5:$A$33,B26)=1,0,1)</x:f>
        <x:v>0</x:v>
      </x:c>
    </x:row>
    <x:row r="27" ht="47" customHeight="1">
      <x:c r="A27" s="4" t="str">
        <x:v>OPC-19</x:v>
      </x:c>
      <x:c r="B27" s="4" t="str">
        <x:v>CYO-19</x:v>
      </x:c>
      <x:c r="C27" s="4" t="str">
        <x:v>REEXAMINADA</x:v>
      </x:c>
      <x:c r="D27" s="4" t="str">
        <x:v>Conservar identidad candidata y añadir ancla educativa; no adopción automática.</x:v>
      </x:c>
      <x:c r="E27" s="4" t="str">
        <x:v>07 histórico; 26 nueva síntesis</x:v>
      </x:c>
      <x:c r="F27" s="12" t="n">
        <x:f>IF(COUNTIF('26_Mapa_universos'!$A$5:$A$33,B27)=1,0,1)</x:f>
        <x:v>0</x:v>
      </x:c>
    </x:row>
    <x:row r="28" ht="47" customHeight="1">
      <x:c r="A28" s="4" t="str">
        <x:v>OPC-20</x:v>
      </x:c>
      <x:c r="B28" s="4" t="str">
        <x:v>CYO-20</x:v>
      </x:c>
      <x:c r="C28" s="4" t="str">
        <x:v>REEXAMINADA</x:v>
      </x:c>
      <x:c r="D28" s="4" t="str">
        <x:v>Conservar identidad candidata y añadir ancla educativa; no adopción automática.</x:v>
      </x:c>
      <x:c r="E28" s="4" t="str">
        <x:v>07 histórico; 26 nueva síntesis</x:v>
      </x:c>
      <x:c r="F28" s="12" t="n">
        <x:f>IF(COUNTIF('26_Mapa_universos'!$A$5:$A$33,B28)=1,0,1)</x:f>
        <x:v>0</x:v>
      </x:c>
    </x:row>
    <x:row r="29" ht="47" customHeight="1">
      <x:c r="A29" s="4" t="str">
        <x:v>OPC-21</x:v>
      </x:c>
      <x:c r="B29" s="4" t="str">
        <x:v>CYO-21</x:v>
      </x:c>
      <x:c r="C29" s="4" t="str">
        <x:v>REEXAMINADA</x:v>
      </x:c>
      <x:c r="D29" s="4" t="str">
        <x:v>Conservar identidad candidata y añadir ancla educativa; no adopción automática.</x:v>
      </x:c>
      <x:c r="E29" s="4" t="str">
        <x:v>07 histórico; 26 nueva síntesis</x:v>
      </x:c>
      <x:c r="F29" s="12" t="n">
        <x:f>IF(COUNTIF('26_Mapa_universos'!$A$5:$A$33,B29)=1,0,1)</x:f>
        <x:v>0</x:v>
      </x:c>
    </x:row>
    <x:row r="30" ht="47" customHeight="1">
      <x:c r="A30" s="4" t="str">
        <x:v>OPC-22</x:v>
      </x:c>
      <x:c r="B30" s="4" t="str">
        <x:v>CYO-22</x:v>
      </x:c>
      <x:c r="C30" s="4" t="str">
        <x:v>REEXAMINADA</x:v>
      </x:c>
      <x:c r="D30" s="4" t="str">
        <x:v>Conservar identidad candidata y añadir ancla educativa; no adopción automática.</x:v>
      </x:c>
      <x:c r="E30" s="4" t="str">
        <x:v>07 histórico; 26 nueva síntesis</x:v>
      </x:c>
      <x:c r="F30" s="12" t="n">
        <x:f>IF(COUNTIF('26_Mapa_universos'!$A$5:$A$33,B30)=1,0,1)</x:f>
        <x:v>0</x:v>
      </x:c>
    </x:row>
    <x:row r="31" ht="47" customHeight="1">
      <x:c r="A31" s="4" t="str">
        <x:v>SIN ID PREVIO</x:v>
      </x:c>
      <x:c r="B31" s="4" t="str">
        <x:v>CYO-26</x:v>
      </x:c>
      <x:c r="C31" s="4" t="str">
        <x:v>ADICIÓN PROPUESTA</x:v>
      </x:c>
      <x:c r="D31" s="4" t="str">
        <x:v>Hallazgo y tratamiento no cierran con el mismo producto.</x:v>
      </x:c>
      <x:c r="E31" s="4" t="str">
        <x:v>R033 / R035 / R037; AN-02</x:v>
      </x:c>
      <x:c r="F31" s="12" t="n">
        <x:f>IF(COUNTIF('26_Mapa_universos'!$A$5:$A$33,B31)=1,0,1)</x:f>
        <x:v>0</x:v>
      </x:c>
    </x:row>
    <x:row r="32" ht="47" customHeight="1">
      <x:c r="A32" s="4" t="str">
        <x:v>SIN ID PREVIO</x:v>
      </x:c>
      <x:c r="B32" s="4" t="str">
        <x:v>CYO-27</x:v>
      </x:c>
      <x:c r="C32" s="4" t="str">
        <x:v>ADICIÓN PROPUESTA</x:v>
      </x:c>
      <x:c r="D32" s="4" t="str">
        <x:v>Una capacidad de detección validada difiere del juicio de una alerta.</x:v>
      </x:c>
      <x:c r="E32" s="4" t="str">
        <x:v>R033 / R035 / R037; AN-02</x:v>
      </x:c>
      <x:c r="F32" s="12" t="n">
        <x:f>IF(COUNTIF('26_Mapa_universos'!$A$5:$A$33,B32)=1,0,1)</x:f>
        <x:v>0</x:v>
      </x:c>
    </x:row>
    <x:row r="33" ht="47" customHeight="1">
      <x:c r="A33" s="4" t="str">
        <x:v>SIN ID PREVIO</x:v>
      </x:c>
      <x:c r="B33" s="4" t="str">
        <x:v>CYO-28</x:v>
      </x:c>
      <x:c r="C33" s="4" t="str">
        <x:v>ADICIÓN PROPUESTA</x:v>
      </x:c>
      <x:c r="D33" s="4" t="str">
        <x:v>La búsqueda por hipótesis tiene disparador y cierre propios, sin requerir alerta.</x:v>
      </x:c>
      <x:c r="E33" s="4" t="str">
        <x:v>R033 / R035 / R037; AN-02</x:v>
      </x:c>
      <x:c r="F33" s="12" t="n">
        <x:f>IF(COUNTIF('26_Mapa_universos'!$A$5:$A$33,B33)=1,0,1)</x:f>
        <x:v>0</x:v>
      </x:c>
    </x:row>
    <x:row r="34" ht="47" customHeight="1">
      <x:c r="A34" s="4" t="str">
        <x:v>SIN ID PREVIO</x:v>
      </x:c>
      <x:c r="B34" s="4" t="str">
        <x:v>CYO-29</x:v>
      </x:c>
      <x:c r="C34" s="4" t="str">
        <x:v>ADICIÓN PROPUESTA</x:v>
      </x:c>
      <x:c r="D34" s="4" t="str">
        <x:v>Política corporativa y admisión de un uso concreto son actos diferentes.</x:v>
      </x:c>
      <x:c r="E34" s="4" t="str">
        <x:v>R033 / R035 / R037; AN-02</x:v>
      </x:c>
      <x:c r="F34" s="12" t="n">
        <x:f>IF(COUNTIF('26_Mapa_universos'!$A$5:$A$33,B34)=1,0,1)</x:f>
        <x:v>0</x:v>
      </x:c>
    </x:row>
  </x:sheetData>
  <x:mergeCells>
    <x:mergeCell ref="A1:D1"/>
    <x:mergeCell ref="A2:F2"/>
  </x:mergeCells>
  <x:conditionalFormatting sqref="F5:F34">
    <x:cfRule type="expression" dxfId="15" priority="1">
      <x:formula>F5&gt;0</x:formula>
    </x:cfRule>
  </x:conditionalFormatting>
  <x:pageMargins left="0.7" right="0.7" top="0.75" bottom="0.75" header="0.3" footer="0.3"/>
  <x:tableParts count="1">
    <x:tablePart xmlns:r="http://schemas.openxmlformats.org/officeDocument/2006/relationships" r:id="R296b411e4f424b9a"/>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8" hidden="0" customWidth="1"/>
    <x:col min="4" max="4" width="18" hidden="0" customWidth="1"/>
    <x:col min="5" max="5" width="18" hidden="0" customWidth="1"/>
    <x:col min="6" max="6" width="88" hidden="0" customWidth="1"/>
    <x:col min="7" max="7" width="97" hidden="0" customWidth="1"/>
    <x:col min="8" max="8" width="96" hidden="0" customWidth="1"/>
    <x:col min="9" max="9" width="95" hidden="0" customWidth="1"/>
    <x:col min="10" max="10" width="109" hidden="0" customWidth="1"/>
    <x:col min="11" max="11" width="15" hidden="0" customWidth="1"/>
    <x:col min="12" max="12" width="79" hidden="0" customWidth="1"/>
    <x:col min="13" max="13" width="105" hidden="0" customWidth="1"/>
    <x:col min="14" max="14" width="100" hidden="0" customWidth="1"/>
    <x:col min="15" max="15" width="45" hidden="0" customWidth="1"/>
    <x:col min="16" max="16" width="21" hidden="0" customWidth="1"/>
    <x:col min="17" max="17" width="23" hidden="0" customWidth="1"/>
    <x:col min="18" max="18" width="23" hidden="0" customWidth="1"/>
  </x:cols>
  <x:sheetData>
    <x:row r="1" ht="35" customHeight="1">
      <x:c r="A1" s="6" t="str">
        <x:v>CONSECUENCIAS · por qué debe enlazarse el conocimiento</x:v>
      </x:c>
      <x:c r="B1" s="6"/>
      <x:c r="C1" s="6"/>
      <x:c r="D1" s="6"/>
      <x:c r="E1" s="6"/>
      <x:c r="F1" s="6"/>
      <x:c r="G1" s="6"/>
      <x:c r="H1" s="6"/>
      <x:c r="I1" s="6"/>
      <x:c r="J1" s="6"/>
      <x:c r="K1" s="6"/>
      <x:c r="L1" s="6"/>
      <x:c r="M1" s="6"/>
      <x:c r="N1" s="6"/>
      <x:c r="O1" s="6"/>
      <x:c r="P1" s="6"/>
      <x:c r="Q1" s="6"/>
      <x:c r="R1" s="6"/>
    </x:row>
    <x:row r="2" ht="52" customHeight="1">
      <x:c r="A2" s="8" t="str">
        <x:v>Ocho testigos hipotéticos especificados. La prueba futura retirará un enlace necesario y comprobará qué consejo deja de estar fundado. No son daños observados, parámetros adjudicados ni una campaña ejecutada.</x:v>
      </x:c>
      <x:c r="B2" s="8"/>
      <x:c r="C2" s="8"/>
      <x:c r="D2" s="8"/>
      <x:c r="E2" s="8"/>
      <x:c r="F2" s="8"/>
      <x:c r="G2" s="8"/>
      <x:c r="H2" s="8"/>
      <x:c r="I2" s="8"/>
      <x:c r="J2" s="8"/>
      <x:c r="K2" s="8"/>
      <x:c r="L2" s="8"/>
      <x:c r="M2" s="8"/>
      <x:c r="N2" s="8"/>
      <x:c r="O2" s="8"/>
      <x:c r="P2" s="8"/>
      <x:c r="Q2" s="8"/>
      <x:c r="R2" s="8"/>
    </x:row>
    <x:row r="3">
      <x:c r="A3" s="4"/>
      <x:c r="B3" s="4"/>
      <x:c r="C3" s="4"/>
      <x:c r="D3" s="4"/>
      <x:c r="E3" s="4"/>
      <x:c r="F3" s="4"/>
      <x:c r="G3" s="4"/>
      <x:c r="H3" s="4"/>
      <x:c r="I3" s="4"/>
      <x:c r="J3" s="4"/>
      <x:c r="K3" s="4"/>
      <x:c r="L3" s="4"/>
      <x:c r="M3" s="4"/>
      <x:c r="N3" s="4"/>
      <x:c r="O3" s="4"/>
      <x:c r="P3" s="4"/>
      <x:c r="Q3" s="4"/>
      <x:c r="R3" s="4"/>
    </x:row>
    <x:row r="4" ht="42" customHeight="1">
      <x:c r="A4" s="10" t="str">
        <x:v>ID</x:v>
      </x:c>
      <x:c r="B4" s="10" t="str">
        <x:v>Operación</x:v>
      </x:c>
      <x:c r="C4" s="10" t="str">
        <x:v>Conocimiento A</x:v>
      </x:c>
      <x:c r="D4" s="10" t="str">
        <x:v>Conocimiento B</x:v>
      </x:c>
      <x:c r="E4" s="10" t="str">
        <x:v>Conocimiento C</x:v>
      </x:c>
      <x:c r="F4" s="10" t="str">
        <x:v>Escenario hipotético</x:v>
      </x:c>
      <x:c r="G4" s="10" t="str">
        <x:v>Enlace necesario</x:v>
      </x:c>
      <x:c r="H4" s="10" t="str">
        <x:v>Consejo defectuoso si se omite</x:v>
      </x:c>
      <x:c r="I4" s="10" t="str">
        <x:v>Consecuencia potencial</x:v>
      </x:c>
      <x:c r="J4" s="10" t="str">
        <x:v>Consejo que debe poder fundamentarse</x:v>
      </x:c>
      <x:c r="K4" s="10" t="str">
        <x:v>Fuente principal</x:v>
      </x:c>
      <x:c r="L4" s="10" t="str">
        <x:v>Localizador</x:v>
      </x:c>
      <x:c r="M4" s="10" t="str">
        <x:v>Límite de la evidencia</x:v>
      </x:c>
      <x:c r="N4" s="10" t="str">
        <x:v>Necesidad de ruta / explicación</x:v>
      </x:c>
      <x:c r="O4" s="10" t="str">
        <x:v>Estado probatorio</x:v>
      </x:c>
      <x:c r="P4" s="10" t="str">
        <x:v>Operación inválida</x:v>
      </x:c>
      <x:c r="Q4" s="10" t="str">
        <x:v>Conocimiento inválido</x:v>
      </x:c>
      <x:c r="R4" s="10" t="str">
        <x:v>Campo esencial ausente</x:v>
      </x:c>
    </x:row>
    <x:row r="5" ht="47" customHeight="1">
      <x:c r="A5" s="4" t="str">
        <x:v>CE-OM-01</x:v>
      </x:c>
      <x:c r="B5" s="4" t="str">
        <x:v>CYO-07</x:v>
      </x:c>
      <x:c r="C5" s="4" t="str">
        <x:v>URJC-14</x:v>
      </x:c>
      <x:c r="D5" s="4" t="str">
        <x:v>URJC-33</x:v>
      </x:c>
      <x:c r="E5" s="4" t="str">
        <x:v>URJC-09</x:v>
      </x:c>
      <x:c r="F5" s="4" t="str">
        <x:v>Alerta de un servicio cuya fuente de logs está parcialmente ausente</x:v>
      </x:c>
      <x:c r="G5" s="4" t="str">
        <x:v>Enlazar alcance real de observación, señales e incertidumbre antes de interpretar silencio</x:v>
      </x:c>
      <x:c r="H5" s="4" t="str">
        <x:v>Dar por descartada actividad adversa porque no hay más señales</x:v>
      </x:c>
      <x:c r="I5" s="4" t="str">
        <x:v>Una actividad fuera de cobertura podría quedar sin investigar</x:v>
      </x:c>
      <x:c r="J5" s="4" t="str">
        <x:v>Explicar el límite de cobertura y la evidencia adicional necesaria para aconsejar el cierre</x:v>
      </x:c>
      <x:c r="K5" s="4" t="str">
        <x:v>F019</x:v>
      </x:c>
      <x:c r="L5" s="4" t="str">
        <x:v>DE.CM R1/R2; DE.AE; pp.23–27</x:v>
      </x:c>
      <x:c r="M5" s="4" t="str">
        <x:v>La fuente respalda cobertura y errores de detección; no demuestra un incidente en este escenario</x:v>
      </x:c>
      <x:c r="N5" s="4" t="str">
        <x:v>RC-01; cobertura del frame y enlace omitido</x:v>
      </x:c>
      <x:c r="O5" s="4" t="str">
        <x:v>ESPECIFICADO; NO EJECUTADO</x:v>
      </x:c>
      <x:c r="P5" s="12" t="n">
        <x:f>IF(COUNTIF('26_Mapa_universos'!$A$5:$A$33,B5)=1,0,1)</x:f>
        <x:v>0</x:v>
      </x:c>
      <x:c r="Q5" s="12" t="n">
        <x:f>IF(COUNTIF('15_Base_universitaria'!$A$5:$A$44,C5)+COUNTIF('17_Comp_educativos'!$A$5:$A$16,C5)=1,0,1)+IF(COUNTIF('15_Base_universitaria'!$A$5:$A$44,D5)+COUNTIF('17_Comp_educativos'!$A$5:$A$16,D5)=1,0,1)+IF(COUNTIF('15_Base_universitaria'!$A$5:$A$44,E5)+COUNTIF('17_Comp_educativos'!$A$5:$A$16,E5)=1,0,1)</x:f>
        <x:v>0</x:v>
      </x:c>
      <x:c r="R5" s="12" t="n">
        <x:f>COUNTBLANK(F5:N5)+IF(COUNTIF('21_Fuentes_educativas'!$A$5:$A$188,K5)+COUNTIF('01_Fuentes'!$A$5:$A$40,K5)+COUNTIF('32_Fuentes_metodo'!$A$5:$A$23,K5)=1,0,1)</x:f>
        <x:v>0</x:v>
      </x:c>
    </x:row>
    <x:row r="6" ht="47" customHeight="1">
      <x:c r="A6" s="4" t="str">
        <x:v>CE-OM-02</x:v>
      </x:c>
      <x:c r="B6" s="4" t="str">
        <x:v>CYO-14</x:v>
      </x:c>
      <x:c r="C6" s="4" t="str">
        <x:v>URJC-33</x:v>
      </x:c>
      <x:c r="D6" s="4" t="str">
        <x:v>URJC-36</x:v>
      </x:c>
      <x:c r="E6" s="4" t="str">
        <x:v>URJC-35</x:v>
      </x:c>
      <x:c r="F6" s="4" t="str">
        <x:v>Propuesta de aislar o reiniciar un componente que participa en un proceso físico</x:v>
      </x:c>
      <x:c r="G6" s="4" t="str">
        <x:v>Enlazar evidencia del incidente, dependencia ciberfísica y efectos de intervención</x:v>
      </x:c>
      <x:c r="H6" s="4" t="str">
        <x:v>Aconsejar la contención ordinaria sin examinar la función física</x:v>
      </x:c>
      <x:c r="I6" s="4" t="str">
        <x:v>Interrupción de una función o afectación a seguridad del proceso, según el caso</x:v>
      </x:c>
      <x:c r="J6" s="4" t="str">
        <x:v>Presentar alternativas y consecuencias al experto competente con las dependencias visibles</x:v>
      </x:c>
      <x:c r="K6" s="4" t="str">
        <x:v>F020</x:v>
      </x:c>
      <x:c r="L6" s="4" t="str">
        <x:v>§2.3; pp.28–30: disponibilidad, riesgo y efectos físicos</x:v>
      </x:c>
      <x:c r="M6" s="4" t="str">
        <x:v>La fuente documenta diferencias IT/OT; magnitud y causalidad del caso requieren evidencia propia</x:v>
      </x:c>
      <x:c r="N6" s="4" t="str">
        <x:v>RC-12; autoridades y consecuencias de intervenir/no intervenir</x:v>
      </x:c>
      <x:c r="O6" s="4" t="str">
        <x:v>ESPECIFICADO; NO EJECUTADO</x:v>
      </x:c>
      <x:c r="P6" s="12" t="n">
        <x:f>IF(COUNTIF('26_Mapa_universos'!$A$5:$A$33,B6)=1,0,1)</x:f>
        <x:v>0</x:v>
      </x:c>
      <x:c r="Q6" s="12" t="n">
        <x:f>IF(COUNTIF('15_Base_universitaria'!$A$5:$A$44,C6)+COUNTIF('17_Comp_educativos'!$A$5:$A$16,C6)=1,0,1)+IF(COUNTIF('15_Base_universitaria'!$A$5:$A$44,D6)+COUNTIF('17_Comp_educativos'!$A$5:$A$16,D6)=1,0,1)+IF(COUNTIF('15_Base_universitaria'!$A$5:$A$44,E6)+COUNTIF('17_Comp_educativos'!$A$5:$A$16,E6)=1,0,1)</x:f>
        <x:v>0</x:v>
      </x:c>
      <x:c r="R6" s="12" t="n">
        <x:f>COUNTBLANK(F6:N6)+IF(COUNTIF('21_Fuentes_educativas'!$A$5:$A$188,K6)+COUNTIF('01_Fuentes'!$A$5:$A$40,K6)+COUNTIF('32_Fuentes_metodo'!$A$5:$A$23,K6)=1,0,1)</x:f>
        <x:v>0</x:v>
      </x:c>
    </x:row>
    <x:row r="7" ht="47" customHeight="1">
      <x:c r="A7" s="4" t="str">
        <x:v>CE-OM-03</x:v>
      </x:c>
      <x:c r="B7" s="4" t="str">
        <x:v>CYO-25</x:v>
      </x:c>
      <x:c r="C7" s="4" t="str">
        <x:v>URJC-33</x:v>
      </x:c>
      <x:c r="D7" s="4" t="str">
        <x:v>URJC-24</x:v>
      </x:c>
      <x:c r="E7" s="4" t="str">
        <x:v>URJC-19</x:v>
      </x:c>
      <x:c r="F7" s="4" t="str">
        <x:v>Se dispone de una copia y se propone devolver un servicio a operación</x:v>
      </x:c>
      <x:c r="G7" s="4" t="str">
        <x:v>Enlazar integridad de copia, estado restaurado y orden de dependencias</x:v>
      </x:c>
      <x:c r="H7" s="4" t="str">
        <x:v>Aconsejar retorno por la mera existencia de la copia</x:v>
      </x:c>
      <x:c r="I7" s="4" t="str">
        <x:v>Podrían reaparecer compromiso, incoherencia de datos o fallo de una dependencia</x:v>
      </x:c>
      <x:c r="J7" s="4" t="str">
        <x:v>Explicar las verificaciones necesarias y el estado efectivo antes de la decisión de retorno</x:v>
      </x:c>
      <x:c r="K7" s="4" t="str">
        <x:v>F019</x:v>
      </x:c>
      <x:c r="L7" s="4" t="str">
        <x:v>RC.RP-03/04/05; p.34</x:v>
      </x:c>
      <x:c r="M7" s="4" t="str">
        <x:v>Se deriva un testigo de omisión de verificaciones prescritas; no se afirma que esa copia esté comprometida</x:v>
      </x:c>
      <x:c r="N7" s="4" t="str">
        <x:v>RC-07/08; distinguir prueba previa, restauración y permiso</x:v>
      </x:c>
      <x:c r="O7" s="4" t="str">
        <x:v>ESPECIFICADO; NO EJECUTADO</x:v>
      </x:c>
      <x:c r="P7" s="12" t="n">
        <x:f>IF(COUNTIF('26_Mapa_universos'!$A$5:$A$33,B7)=1,0,1)</x:f>
        <x:v>0</x:v>
      </x:c>
      <x:c r="Q7" s="12" t="n">
        <x:f>IF(COUNTIF('15_Base_universitaria'!$A$5:$A$44,C7)+COUNTIF('17_Comp_educativos'!$A$5:$A$16,C7)=1,0,1)+IF(COUNTIF('15_Base_universitaria'!$A$5:$A$44,D7)+COUNTIF('17_Comp_educativos'!$A$5:$A$16,D7)=1,0,1)+IF(COUNTIF('15_Base_universitaria'!$A$5:$A$44,E7)+COUNTIF('17_Comp_educativos'!$A$5:$A$16,E7)=1,0,1)</x:f>
        <x:v>0</x:v>
      </x:c>
      <x:c r="R7" s="12" t="n">
        <x:f>COUNTBLANK(F7:N7)+IF(COUNTIF('21_Fuentes_educativas'!$A$5:$A$188,K7)+COUNTIF('01_Fuentes'!$A$5:$A$40,K7)+COUNTIF('32_Fuentes_metodo'!$A$5:$A$23,K7)=1,0,1)</x:f>
        <x:v>0</x:v>
      </x:c>
    </x:row>
    <x:row r="8" ht="47" customHeight="1">
      <x:c r="A8" s="4" t="str">
        <x:v>CE-OM-04</x:v>
      </x:c>
      <x:c r="B8" s="4" t="str">
        <x:v>CYO-23</x:v>
      </x:c>
      <x:c r="C8" s="4" t="str">
        <x:v>URJC-09</x:v>
      </x:c>
      <x:c r="D8" s="4" t="str">
        <x:v>URJC-26</x:v>
      </x:c>
      <x:c r="E8" s="4" t="str">
        <x:v>CE-01</x:v>
      </x:c>
      <x:c r="F8" s="4" t="str">
        <x:v>Detector con una métrica favorable en un conjunto de evaluación</x:v>
      </x:c>
      <x:c r="G8" s="4" t="str">
        <x:v>Enlazar población de prueba, uso previsto y errores con consecuencias diferentes</x:v>
      </x:c>
      <x:c r="H8" s="4" t="str">
        <x:v>Aconsejar su uso sólo por la métrica agregada</x:v>
      </x:c>
      <x:c r="I8" s="4" t="str">
        <x:v>La evaluación podría no revelar fallos relevantes para el contexto de uso</x:v>
      </x:c>
      <x:c r="J8" s="4" t="str">
        <x:v>Justificar alcance, metodología, errores y límites de generalización ante el experto</x:v>
      </x:c>
      <x:c r="K8" s="4" t="str">
        <x:v>F024</x:v>
      </x:c>
      <x:c r="L8" s="4" t="str">
        <x:v>§3.1; pp.13–14; MEASURE 2.3/2.5</x:v>
      </x:c>
      <x:c r="M8" s="4" t="str">
        <x:v>La métrica es evidencia externa evaluada; no sustituye el juicio algebraico del SV</x:v>
      </x:c>
      <x:c r="N8" s="4" t="str">
        <x:v>RC-02; versión, cobertura y justificación del consejo</x:v>
      </x:c>
      <x:c r="O8" s="4" t="str">
        <x:v>ESPECIFICADO; NO EJECUTADO</x:v>
      </x:c>
      <x:c r="P8" s="12" t="n">
        <x:f>IF(COUNTIF('26_Mapa_universos'!$A$5:$A$33,B8)=1,0,1)</x:f>
        <x:v>0</x:v>
      </x:c>
      <x:c r="Q8" s="12" t="n">
        <x:f>IF(COUNTIF('15_Base_universitaria'!$A$5:$A$44,C8)+COUNTIF('17_Comp_educativos'!$A$5:$A$16,C8)=1,0,1)+IF(COUNTIF('15_Base_universitaria'!$A$5:$A$44,D8)+COUNTIF('17_Comp_educativos'!$A$5:$A$16,D8)=1,0,1)+IF(COUNTIF('15_Base_universitaria'!$A$5:$A$44,E8)+COUNTIF('17_Comp_educativos'!$A$5:$A$16,E8)=1,0,1)</x:f>
        <x:v>0</x:v>
      </x:c>
      <x:c r="R8" s="12" t="n">
        <x:f>COUNTBLANK(F8:N8)+IF(COUNTIF('21_Fuentes_educativas'!$A$5:$A$188,K8)+COUNTIF('01_Fuentes'!$A$5:$A$40,K8)+COUNTIF('32_Fuentes_metodo'!$A$5:$A$23,K8)=1,0,1)</x:f>
        <x:v>0</x:v>
      </x:c>
    </x:row>
    <x:row r="9" ht="47" customHeight="1">
      <x:c r="A9" s="4" t="str">
        <x:v>CE-OM-05</x:v>
      </x:c>
      <x:c r="B9" s="4" t="str">
        <x:v>CYO-15</x:v>
      </x:c>
      <x:c r="C9" s="4" t="str">
        <x:v>URJC-28</x:v>
      </x:c>
      <x:c r="D9" s="4" t="str">
        <x:v>URJC-24</x:v>
      </x:c>
      <x:c r="E9" s="4" t="str">
        <x:v>CE-03</x:v>
      </x:c>
      <x:c r="F9" s="4" t="str">
        <x:v>Aplicación LLM que recibe documentos externos y dispone de herramientas</x:v>
      </x:c>
      <x:c r="G9" s="4" t="str">
        <x:v>Enlazar procedencia del contenido, jerarquía de instrucciones y permisos efectivos</x:v>
      </x:c>
      <x:c r="H9" s="4" t="str">
        <x:v>Aconsejar habilitar acciones porque la respuesta generada resulta coherente</x:v>
      </x:c>
      <x:c r="I9" s="4" t="str">
        <x:v>Una entrada adversaria podría inducir una acción no autorizada si faltan controles efectivos</x:v>
      </x:c>
      <x:c r="J9" s="4" t="str">
        <x:v>Explicar qué controles, evidencia de prueba y permisos sostienen el uso propuesto</x:v>
      </x:c>
      <x:c r="K9" s="4" t="str">
        <x:v>F026</x:v>
      </x:c>
      <x:c r="L9" s="4" t="str">
        <x:v>§3.4: indirect prompt injection; pp.50 y siguientes</x:v>
      </x:c>
      <x:c r="M9" s="4" t="str">
        <x:v>Mecanismo general documentado; este libro no ejecuta ataques ni acredita una mitigación concreta</x:v>
      </x:c>
      <x:c r="N9" s="4" t="str">
        <x:v>RC-03/04; contenido externo no se convierte en mandato</x:v>
      </x:c>
      <x:c r="O9" s="4" t="str">
        <x:v>ESPECIFICADO; NO EJECUTADO</x:v>
      </x:c>
      <x:c r="P9" s="12" t="n">
        <x:f>IF(COUNTIF('26_Mapa_universos'!$A$5:$A$33,B9)=1,0,1)</x:f>
        <x:v>0</x:v>
      </x:c>
      <x:c r="Q9" s="12" t="n">
        <x:f>IF(COUNTIF('15_Base_universitaria'!$A$5:$A$44,C9)+COUNTIF('17_Comp_educativos'!$A$5:$A$16,C9)=1,0,1)+IF(COUNTIF('15_Base_universitaria'!$A$5:$A$44,D9)+COUNTIF('17_Comp_educativos'!$A$5:$A$16,D9)=1,0,1)+IF(COUNTIF('15_Base_universitaria'!$A$5:$A$44,E9)+COUNTIF('17_Comp_educativos'!$A$5:$A$16,E9)=1,0,1)</x:f>
        <x:v>0</x:v>
      </x:c>
      <x:c r="R9" s="12" t="n">
        <x:f>COUNTBLANK(F9:N9)+IF(COUNTIF('21_Fuentes_educativas'!$A$5:$A$188,K9)+COUNTIF('01_Fuentes'!$A$5:$A$40,K9)+COUNTIF('32_Fuentes_metodo'!$A$5:$A$23,K9)=1,0,1)</x:f>
        <x:v>0</x:v>
      </x:c>
    </x:row>
    <x:row r="10" ht="47" customHeight="1">
      <x:c r="A10" s="4" t="str">
        <x:v>CE-OM-06</x:v>
      </x:c>
      <x:c r="B10" s="4" t="str">
        <x:v>CYO-17</x:v>
      </x:c>
      <x:c r="C10" s="4" t="str">
        <x:v>URJC-07</x:v>
      </x:c>
      <x:c r="D10" s="4" t="str">
        <x:v>URJC-12</x:v>
      </x:c>
      <x:c r="E10" s="4" t="str">
        <x:v>CE-03</x:v>
      </x:c>
      <x:c r="F10" s="4" t="str">
        <x:v>Servicio ML que mantiene datos locales o declara un mecanismo de protección</x:v>
      </x:c>
      <x:c r="G10" s="4" t="str">
        <x:v>Enlazar información observable, objetivo del adversario y garantía concreta</x:v>
      </x:c>
      <x:c r="H10" s="4" t="str">
        <x:v>Aconsejar que la privacidad está resuelta por usar aprendizaje federado o cifrado</x:v>
      </x:c>
      <x:c r="I10" s="4" t="str">
        <x:v>Podría quedar sin tratar una vía de inferencia o reconstrucción de información</x:v>
      </x:c>
      <x:c r="J10" s="4" t="str">
        <x:v>Diferenciar amenaza, garantía, supuestos y riesgo residual; remitir la valoración jurídica al responsable</x:v>
      </x:c>
      <x:c r="K10" s="4" t="str">
        <x:v>F026</x:v>
      </x:c>
      <x:c r="L10" s="4" t="str">
        <x:v>§2.4.1: reconstrucción, p.28; §2.4.2: pertenencia, p.29; §1: confidencialidad/privacidad</x:v>
      </x:c>
      <x:c r="M10" s="4" t="str">
        <x:v>No se equiparan federado, privacidad diferencial y TEE; contratos y aprendizaje especializado siguen pendientes</x:v>
      </x:c>
      <x:c r="N10" s="4" t="str">
        <x:v>Garantía y amenaza identificadas; incertidumbre preservada</x:v>
      </x:c>
      <x:c r="O10" s="4" t="str">
        <x:v>ESPECIFICADO; NO EJECUTADO</x:v>
      </x:c>
      <x:c r="P10" s="12" t="n">
        <x:f>IF(COUNTIF('26_Mapa_universos'!$A$5:$A$33,B10)=1,0,1)</x:f>
        <x:v>0</x:v>
      </x:c>
      <x:c r="Q10" s="12" t="n">
        <x:f>IF(COUNTIF('15_Base_universitaria'!$A$5:$A$44,C10)+COUNTIF('17_Comp_educativos'!$A$5:$A$16,C10)=1,0,1)+IF(COUNTIF('15_Base_universitaria'!$A$5:$A$44,D10)+COUNTIF('17_Comp_educativos'!$A$5:$A$16,D10)=1,0,1)+IF(COUNTIF('15_Base_universitaria'!$A$5:$A$44,E10)+COUNTIF('17_Comp_educativos'!$A$5:$A$16,E10)=1,0,1)</x:f>
        <x:v>0</x:v>
      </x:c>
      <x:c r="R10" s="12" t="n">
        <x:f>COUNTBLANK(F10:N10)+IF(COUNTIF('21_Fuentes_educativas'!$A$5:$A$188,K10)+COUNTIF('01_Fuentes'!$A$5:$A$40,K10)+COUNTIF('32_Fuentes_metodo'!$A$5:$A$23,K10)=1,0,1)</x:f>
        <x:v>0</x:v>
      </x:c>
    </x:row>
    <x:row r="11" ht="47" customHeight="1">
      <x:c r="A11" s="4" t="str">
        <x:v>CE-OM-07</x:v>
      </x:c>
      <x:c r="B11" s="4" t="str">
        <x:v>CYO-01</x:v>
      </x:c>
      <x:c r="C11" s="4" t="str">
        <x:v>URJC-11</x:v>
      </x:c>
      <x:c r="D11" s="4" t="str">
        <x:v>URJC-35</x:v>
      </x:c>
      <x:c r="E11" s="4" t="str">
        <x:v>URJC-36</x:v>
      </x:c>
      <x:c r="F11" s="4" t="str">
        <x:v>Medida protectora con coste operativo y dependencias fuera del activo inmediato</x:v>
      </x:c>
      <x:c r="G11" s="4" t="str">
        <x:v>Enlazar coste total, alcance del valor protegido y consecuencias trasladadas</x:v>
      </x:c>
      <x:c r="H11" s="4" t="str">
        <x:v>Aconsejar la medida atendiendo sólo a su eficacia técnica</x:v>
      </x:c>
      <x:c r="I11" s="4" t="str">
        <x:v>La protección puede consumir más que el valor protegido o desplazar un daño no valorado</x:v>
      </x:c>
      <x:c r="J11" s="4" t="str">
        <x:v>Presentar alternativas, supuestos y valoración suficiente; decide el experto conforme al mandato</x:v>
      </x:c>
      <x:c r="K11" s="4" t="str">
        <x:v>R035</x:v>
      </x:c>
      <x:c r="L11" s="4" t="str">
        <x:v>IV: tratamiento, costes, retornos y calibración; mandato humano</x:v>
      </x:c>
      <x:c r="M11" s="4" t="str">
        <x:v>No se fija un precio de la vida ni una fórmula universal. Valores y alcance deben ser constituidos por la autoridad</x:v>
      </x:c>
      <x:c r="N11" s="4" t="str">
        <x:v>Balance completo y dependencia omitida visibles; no compensación automática</x:v>
      </x:c>
      <x:c r="O11" s="4" t="str">
        <x:v>ESPECIFICADO; NO EJECUTADO</x:v>
      </x:c>
      <x:c r="P11" s="12" t="n">
        <x:f>IF(COUNTIF('26_Mapa_universos'!$A$5:$A$33,B11)=1,0,1)</x:f>
        <x:v>0</x:v>
      </x:c>
      <x:c r="Q11" s="12" t="n">
        <x:f>IF(COUNTIF('15_Base_universitaria'!$A$5:$A$44,C11)+COUNTIF('17_Comp_educativos'!$A$5:$A$16,C11)=1,0,1)+IF(COUNTIF('15_Base_universitaria'!$A$5:$A$44,D11)+COUNTIF('17_Comp_educativos'!$A$5:$A$16,D11)=1,0,1)+IF(COUNTIF('15_Base_universitaria'!$A$5:$A$44,E11)+COUNTIF('17_Comp_educativos'!$A$5:$A$16,E11)=1,0,1)</x:f>
        <x:v>0</x:v>
      </x:c>
      <x:c r="R11" s="12" t="n">
        <x:f>COUNTBLANK(F11:N11)+IF(COUNTIF('21_Fuentes_educativas'!$A$5:$A$188,K11)+COUNTIF('01_Fuentes'!$A$5:$A$40,K11)+COUNTIF('32_Fuentes_metodo'!$A$5:$A$23,K11)=1,0,1)</x:f>
        <x:v>0</x:v>
      </x:c>
    </x:row>
    <x:row r="12" ht="47" customHeight="1">
      <x:c r="A12" s="4" t="str">
        <x:v>CE-OM-08</x:v>
      </x:c>
      <x:c r="B12" s="4" t="str">
        <x:v>CYO-19</x:v>
      </x:c>
      <x:c r="C12" s="4" t="str">
        <x:v>URJC-40</x:v>
      </x:c>
      <x:c r="D12" s="4" t="str">
        <x:v>URJC-09</x:v>
      </x:c>
      <x:c r="E12" s="4" t="str">
        <x:v>CE-07</x:v>
      </x:c>
      <x:c r="F12" s="4" t="str">
        <x:v>Consulta sobre un caso nuevo que muestra límites de una regla o evidencia anterior</x:v>
      </x:c>
      <x:c r="G12" s="4" t="str">
        <x:v>Enlazar conocimiento admitido, cobertura del caso y condición de reevaluación</x:v>
      </x:c>
      <x:c r="H12" s="4" t="str">
        <x:v>Aconsejar como si la referencia anterior cubriera el caso, o improvisar otra regla durante la consulta</x:v>
      </x:c>
      <x:c r="I12" s="4" t="str">
        <x:v>El experto podría recibir un fundamento que no corresponde al corte autorizado</x:v>
      </x:c>
      <x:c r="J12" s="4" t="str">
        <x:v>Exponer la carencia; nueva observación se procesa bajo contrato y nuevo conocimiento se somete a revisión humana</x:v>
      </x:c>
      <x:c r="K12" s="4" t="str">
        <x:v>S017</x:v>
      </x:c>
      <x:c r="L12" s="4" t="str">
        <x:v>§§6.3–6.5; S018 §§3–5; S019 §§2,7</x:v>
      </x:c>
      <x:c r="M12" s="4" t="str">
        <x:v>No se equipara actualizar un estado factual con aprender o admitir conocimiento nuevo</x:v>
      </x:c>
      <x:c r="N12" s="4" t="str">
        <x:v>Suceso, reevaluación, frame resultante y J reconstruible</x:v>
      </x:c>
      <x:c r="O12" s="4" t="str">
        <x:v>ESPECIFICADO; NO EJECUTADO</x:v>
      </x:c>
      <x:c r="P12" s="12" t="n">
        <x:f>IF(COUNTIF('26_Mapa_universos'!$A$5:$A$33,B12)=1,0,1)</x:f>
        <x:v>0</x:v>
      </x:c>
      <x:c r="Q12" s="12" t="n">
        <x:f>IF(COUNTIF('15_Base_universitaria'!$A$5:$A$44,C12)+COUNTIF('17_Comp_educativos'!$A$5:$A$16,C12)=1,0,1)+IF(COUNTIF('15_Base_universitaria'!$A$5:$A$44,D12)+COUNTIF('17_Comp_educativos'!$A$5:$A$16,D12)=1,0,1)+IF(COUNTIF('15_Base_universitaria'!$A$5:$A$44,E12)+COUNTIF('17_Comp_educativos'!$A$5:$A$16,E12)=1,0,1)</x:f>
        <x:v>0</x:v>
      </x:c>
      <x:c r="R12" s="12" t="n">
        <x:f>COUNTBLANK(F12:N12)+IF(COUNTIF('21_Fuentes_educativas'!$A$5:$A$188,K12)+COUNTIF('01_Fuentes'!$A$5:$A$40,K12)+COUNTIF('32_Fuentes_metodo'!$A$5:$A$23,K12)=1,0,1)</x:f>
        <x:v>0</x:v>
      </x:c>
    </x:row>
  </x:sheetData>
  <x:mergeCells>
    <x:mergeCell ref="A1:D1"/>
    <x:mergeCell ref="A2:F2"/>
  </x:mergeCells>
  <x:conditionalFormatting sqref="P5:P12">
    <x:cfRule type="expression" dxfId="18" priority="1">
      <x:formula>P5&gt;0</x:formula>
    </x:cfRule>
  </x:conditionalFormatting>
  <x:conditionalFormatting sqref="Q5:Q12">
    <x:cfRule type="expression" dxfId="19" priority="2">
      <x:formula>Q5&gt;0</x:formula>
    </x:cfRule>
  </x:conditionalFormatting>
  <x:conditionalFormatting sqref="R5:R12">
    <x:cfRule type="expression" dxfId="20" priority="3">
      <x:formula>R5&gt;0</x:formula>
    </x:cfRule>
  </x:conditionalFormatting>
  <x:pageMargins left="0.7" right="0.7" top="0.75" bottom="0.75" header="0.3" footer="0.3"/>
  <x:tableParts count="1">
    <x:tablePart xmlns:r="http://schemas.openxmlformats.org/officeDocument/2006/relationships" r:id="Rf69954b39bdf431b"/>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16" hidden="0" customWidth="1"/>
    <x:col min="2" max="2" width="35" hidden="0" customWidth="1"/>
    <x:col min="3" max="3" width="112" hidden="0" customWidth="1"/>
    <x:col min="4" max="4" width="106" hidden="0" customWidth="1"/>
    <x:col min="5" max="5" width="58" hidden="0" customWidth="1"/>
    <x:col min="6" max="6" width="91" hidden="0" customWidth="1"/>
  </x:cols>
  <x:sheetData>
    <x:row r="1" ht="35" customHeight="1">
      <x:c r="A1" s="6" t="str">
        <x:v>CONSEJO AL EXPERTO · conocimiento, explicación y frame</x:v>
      </x:c>
      <x:c r="B1" s="6"/>
      <x:c r="C1" s="6"/>
      <x:c r="D1" s="6"/>
      <x:c r="E1" s="6"/>
      <x:c r="F1" s="6"/>
    </x:row>
    <x:row r="2" ht="52" customHeight="1">
      <x:c r="A2" s="8" t="str">
        <x:v>Obligaciones doctrinales y de dominio. Se distingue exigencia de representación, realización existente y suficiencia pendiente; no se promete que el Lenguaje ya implemente todo lo necesario.</x:v>
      </x:c>
      <x:c r="B2" s="8"/>
      <x:c r="C2" s="8"/>
      <x:c r="D2" s="8"/>
      <x:c r="E2" s="8"/>
      <x:c r="F2" s="8"/>
    </x:row>
    <x:row r="3">
      <x:c r="A3" s="4"/>
      <x:c r="B3" s="4"/>
      <x:c r="C3" s="4"/>
      <x:c r="D3" s="4"/>
      <x:c r="E3" s="4"/>
      <x:c r="F3" s="4"/>
    </x:row>
    <x:row r="4" ht="42" customHeight="1">
      <x:c r="A4" s="10" t="str">
        <x:v>ID</x:v>
      </x:c>
      <x:c r="B4" s="10" t="str">
        <x:v>Objeto</x:v>
      </x:c>
      <x:c r="C4" s="10" t="str">
        <x:v>Obligación</x:v>
      </x:c>
      <x:c r="D4" s="10" t="str">
        <x:v>Omisión que debe impedirse</x:v>
      </x:c>
      <x:c r="E4" s="10" t="str">
        <x:v>Fuente / localizador</x:v>
      </x:c>
      <x:c r="F4" s="10" t="str">
        <x:v>Estatuto</x:v>
      </x:c>
    </x:row>
    <x:row r="5" ht="47" customHeight="1">
      <x:c r="A5" s="4" t="str">
        <x:v>CFM-01</x:v>
      </x:c>
      <x:c r="B5" s="4" t="str">
        <x:v>Experto y consejero</x:v>
      </x:c>
      <x:c r="C5" s="4" t="str">
        <x:v>La IA aporta consejo explicable dentro del dominio y cobertura recibidos; el experto conserva decisión y responsabilidad final</x:v>
      </x:c>
      <x:c r="D5" s="4" t="str">
        <x:v>No adjudicar a la IA autoridad, personalidad o responsabilidad jurídica por emitir texto</x:v>
      </x:c>
      <x:c r="E5" s="4" t="str">
        <x:v>Mandato humano; I005 cierre; S014 §2</x:v>
      </x:c>
      <x:c r="F5" s="4" t="str">
        <x:v>Requisito de gobierno, no contrato de agente constituido</x:v>
      </x:c>
    </x:row>
    <x:row r="6" ht="47" customHeight="1">
      <x:c r="A6" s="4" t="str">
        <x:v>CFM-02</x:v>
      </x:c>
      <x:c r="B6" s="4" t="str">
        <x:v>Conocimiento previamente admitido</x:v>
      </x:c>
      <x:c r="C6" s="4" t="str">
        <x:v>Identificar corpus, fuentes, versiones y reglas gobernantes antes de aconsejar</x:v>
      </x:c>
      <x:c r="D6" s="4" t="str">
        <x:v>Consulta no incorpora fuentes nuevas ni aprende reglas por su cuenta</x:v>
      </x:c>
      <x:c r="E6" s="4" t="str">
        <x:v>S017 §§1,6; S014 §9; mandato humano</x:v>
      </x:c>
      <x:c r="F6" s="4" t="str">
        <x:v>Adquisición para revisar ≠ adopción para aconsejar</x:v>
      </x:c>
    </x:row>
    <x:row r="7" ht="47" customHeight="1">
      <x:c r="A7" s="4" t="str">
        <x:v>CFM-03</x:v>
      </x:c>
      <x:c r="B7" s="4" t="str">
        <x:v>Conocimiento enlazado</x:v>
      </x:c>
      <x:c r="C7" s="4" t="str">
        <x:v>Declarar qué conocimientos y relaciones son necesarios para el propósito de la consulta</x:v>
      </x:c>
      <x:c r="D7" s="4" t="str">
        <x:v>Listar fuentes sin reconstruir el enlace no justifica el consejo</x:v>
      </x:c>
      <x:c r="E7" s="4" t="str">
        <x:v>S017 §6.3–6.4; 34</x:v>
      </x:c>
      <x:c r="F7" s="4" t="str">
        <x:v>Obligación candidata de suficiencia del dominio</x:v>
      </x:c>
    </x:row>
    <x:row r="8" ht="47" customHeight="1">
      <x:c r="A8" s="4" t="str">
        <x:v>CFM-04</x:v>
      </x:c>
      <x:c r="B8" s="4" t="str">
        <x:v>Consecuencia de omisión</x:v>
      </x:c>
      <x:c r="C8" s="4" t="str">
        <x:v>Mostrar el cambio de consejo al retirar un conocimiento o vínculo necesario, y la consecuencia que debe examinarse</x:v>
      </x:c>
      <x:c r="D8" s="4" t="str">
        <x:v>No inventar daño real, probabilidad ni gravedad numérica sin fuente y contexto</x:v>
      </x:c>
      <x:c r="E8" s="4" t="str">
        <x:v>I005 §7.3; mandato humano; 34</x:v>
      </x:c>
      <x:c r="F8" s="4" t="str">
        <x:v>Testigos propuestos; campaña profesional pendiente</x:v>
      </x:c>
    </x:row>
    <x:row r="9" ht="47" customHeight="1">
      <x:c r="A9" s="4" t="str">
        <x:v>CFM-05</x:v>
      </x:c>
      <x:c r="B9" s="4" t="str">
        <x:v>Salida de consulta</x:v>
      </x:c>
      <x:c r="C9" s="4" t="str">
        <x:v>Preservar respuesta r, justificación reconstruible J y metadatos M de cobertura, criticidad y U</x:v>
      </x:c>
      <x:c r="D9" s="4" t="str">
        <x:v>Una explicación narrativa no sustituye valores, reglas y trayectoria</x:v>
      </x:c>
      <x:c r="E9" s="4" t="str">
        <x:v>S017 §§6.3–6.5</x:v>
      </x:c>
      <x:c r="F9" s="4" t="str">
        <x:v>Contrato doctrinal, no implementación nueva</x:v>
      </x:c>
    </x:row>
    <x:row r="10" ht="47" customHeight="1">
      <x:c r="A10" s="4" t="str">
        <x:v>CFM-06</x:v>
      </x:c>
      <x:c r="B10" s="4" t="str">
        <x:v>Frame y arquitectura</x:v>
      </x:c>
      <x:c r="C10" s="4" t="str">
        <x:v>Frame vinculado a arquitectura constituida y estados/resultados de su cierre</x:v>
      </x:c>
      <x:c r="D10" s="4" t="str">
        <x:v>No construir un Frame con agrupaciones de tamaño no admitido ni con referencias ajenas</x:v>
      </x:c>
      <x:c r="E10" s="4" t="str">
        <x:v>S018 §3.4; S016 §§4.1–4.5; S014 §§1–3</x:v>
      </x:c>
      <x:c r="F10" s="4" t="str">
        <x:v>No se instancia ningún Frame CYB en este libro</x:v>
      </x:c>
    </x:row>
    <x:row r="11" ht="47" customHeight="1">
      <x:c r="A11" s="4" t="str">
        <x:v>CFM-07</x:v>
      </x:c>
      <x:c r="B11" s="4" t="str">
        <x:v>Suficiencia del consejo</x:v>
      </x:c>
      <x:c r="C11" s="4" t="str">
        <x:v>Comprobar las dependencias necesarias del alcance consultado además de coherencia del Frame</x:v>
      </x:c>
      <x:c r="D11" s="4" t="str">
        <x:v>IR v0.3 §4.7 no prueba exhaustividad; no interpretar validación verde como conocimiento suficiente</x:v>
      </x:c>
      <x:c r="E11" s="4" t="str">
        <x:v>S016 §4.7; S015 §§6–8</x:v>
      </x:c>
      <x:c r="F11" s="4" t="str">
        <x:v>Riesgo de omisión que el dominio debe contrastar</x:v>
      </x:c>
    </x:row>
    <x:row r="12" ht="47" customHeight="1">
      <x:c r="A12" s="4" t="str">
        <x:v>CFM-08</x:v>
      </x:c>
      <x:c r="B12" s="4" t="str">
        <x:v>Suceso y reevaluación</x:v>
      </x:c>
      <x:c r="C12" s="4" t="str">
        <x:v>Declarar suceso del horizonte, dato pertinente, reevaluación y nuevo frame</x:v>
      </x:c>
      <x:c r="D12" s="4" t="str">
        <x:v>El tiempo no es causa soberana; una observación nueva no modifica por sí sola el corpus de reglas</x:v>
      </x:c>
      <x:c r="E12" s="4" t="str">
        <x:v>S018 §§3–6; S019 §§2–7</x:v>
      </x:c>
      <x:c r="F12" s="4" t="str">
        <x:v>Actualización factual gobernada ≠ aprendizaje del consejero</x:v>
      </x:c>
    </x:row>
    <x:row r="13" ht="47" customHeight="1">
      <x:c r="A13" s="4" t="str">
        <x:v>CFM-09</x:v>
      </x:c>
      <x:c r="B13" s="4" t="str">
        <x:v>Historia y explicación recuperable</x:v>
      </x:c>
      <x:c r="C13" s="4" t="str">
        <x:v>Conservar frames previos y reconstruir el fundamento de cada consejo en su corte</x:v>
      </x:c>
      <x:c r="D13" s="4" t="str">
        <x:v>No reescribir el pasado para hacerlo parecer conforme a conocimiento posterior</x:v>
      </x:c>
      <x:c r="E13" s="4" t="str">
        <x:v>S018 §5.1; S017 §6.4</x:v>
      </x:c>
      <x:c r="F13" s="4" t="str">
        <x:v>Trayectoria por adición; reconstrucción de J</x:v>
      </x:c>
    </x:row>
    <x:row r="14" ht="47" customHeight="1">
      <x:c r="A14" s="4" t="str">
        <x:v>CFM-10</x:v>
      </x:c>
      <x:c r="B14" s="4" t="str">
        <x:v>U, fallo y desconocimiento</x:v>
      </x:c>
      <x:c r="C14" s="4" t="str">
        <x:v>Distinguir incertidumbre semántica, omisión constitutiva y fallo técnico</x:v>
      </x:c>
      <x:c r="D14" s="4" t="str">
        <x:v>No rellenar células, declarar certeza por plausibilidad ni convertir fallo técnico en Tri.U</x:v>
      </x:c>
      <x:c r="E14" s="4" t="str">
        <x:v>S014 §§1.5,3,5</x:v>
      </x:c>
      <x:c r="F14" s="4" t="str">
        <x:v>La distinción se reflejará en el contrato de operación</x:v>
      </x:c>
    </x:row>
    <x:row r="15" ht="47" customHeight="1">
      <x:c r="A15" s="4" t="str">
        <x:v>CFM-11</x:v>
      </x:c>
      <x:c r="B15" s="4" t="str">
        <x:v>Rutas críticas</x:v>
      </x:c>
      <x:c r="C15" s="4" t="str">
        <x:v>Constituir dependencias según consecuencias y relación semántica antes de escoger operador</x:v>
      </x:c>
      <x:c r="D15" s="4" t="str">
        <x:v>No elegir rutas sólo por proximidad temática ni aplicar una ley universal a toda arista</x:v>
      </x:c>
      <x:c r="E15" s="4" t="str">
        <x:v>S007 §7; S017 §5.6; I005 §7.2</x:v>
      </x:c>
      <x:c r="F15" s="4" t="str">
        <x:v>28 y 34 preparan requisitos; G7 pendiente</x:v>
      </x:c>
    </x:row>
    <x:row r="16" ht="47" customHeight="1">
      <x:c r="A16" s="4" t="str">
        <x:v>CFM-12</x:v>
      </x:c>
      <x:c r="B16" s="4" t="str">
        <x:v>Células y posiciones</x:v>
      </x:c>
      <x:c r="C16" s="4" t="str">
        <x:v>Constituir células exactas con b≥3, n=b², orden e identidad posicional explícitos</x:v>
      </x:c>
      <x:c r="D16" s="4" t="str">
        <x:v>Sin redondeo, relleno, duplicación ni tamaños importados del antecedente inmunológico</x:v>
      </x:c>
      <x:c r="E16" s="4" t="str">
        <x:v>S014 §§1–4; mandato humano</x:v>
      </x:c>
      <x:c r="F16" s="4" t="str">
        <x:v>Ningún tamaño ni número de células CYB decidido</x:v>
      </x:c>
    </x:row>
  </x:sheetData>
  <x:mergeCells>
    <x:mergeCell ref="A1:D1"/>
    <x:mergeCell ref="A2:F2"/>
  </x:mergeCells>
  <x:pageMargins left="0.7" right="0.7" top="0.75" bottom="0.75" header="0.3" footer="0.3"/>
  <x:tableParts count="1">
    <x:tablePart xmlns:r="http://schemas.openxmlformats.org/officeDocument/2006/relationships" r:id="Ra3283da056654902"/>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12" hidden="0" customWidth="1"/>
    <x:col min="2" max="2" width="33" hidden="0" customWidth="1"/>
    <x:col min="3" max="3" width="87" hidden="0" customWidth="1"/>
    <x:col min="4" max="4" width="80" hidden="0" customWidth="1"/>
    <x:col min="5" max="5" width="31" hidden="0" customWidth="1"/>
    <x:col min="6" max="6" width="40" hidden="0" customWidth="1"/>
  </x:cols>
  <x:sheetData>
    <x:row r="1" ht="35" customHeight="1">
      <x:c r="A1" s="6" t="str">
        <x:v>PRIMER PARÁMETRO · lagunas resueltas y selección</x:v>
      </x:c>
      <x:c r="B1" s="6"/>
      <x:c r="C1" s="6"/>
      <x:c r="D1" s="6"/>
      <x:c r="E1" s="6"/>
      <x:c r="F1" s="6"/>
    </x:row>
    <x:row r="2" ht="52" customHeight="1">
      <x:c r="A2" s="8" t="str">
        <x:v>v0.4 · comparación cualitativa, sin puntuación inventada. El alcance y el dictamen completo están en el expediente OP-CYB-001.</x:v>
      </x:c>
      <x:c r="B2" s="8"/>
      <x:c r="C2" s="8"/>
      <x:c r="D2" s="8"/>
      <x:c r="E2" s="8"/>
      <x:c r="F2" s="8"/>
    </x:row>
    <x:row r="3">
      <x:c r="A3" s="4"/>
      <x:c r="B3" s="4"/>
      <x:c r="C3" s="4"/>
      <x:c r="D3" s="4"/>
      <x:c r="E3" s="4"/>
      <x:c r="F3" s="4"/>
    </x:row>
    <x:row r="4" ht="42" customHeight="1">
      <x:c r="A4" s="10" t="str">
        <x:v>ID</x:v>
      </x:c>
      <x:c r="B4" s="10" t="str">
        <x:v>Cuestión</x:v>
      </x:c>
      <x:c r="C4" s="10" t="str">
        <x:v>Decisión fundada</x:v>
      </x:c>
      <x:c r="D4" s="10" t="str">
        <x:v>Límite que se conserva</x:v>
      </x:c>
      <x:c r="E4" s="10" t="str">
        <x:v>Estado</x:v>
      </x:c>
      <x:c r="F4" s="10" t="str">
        <x:v>Evidencia</x:v>
      </x:c>
    </x:row>
    <x:row r="5" ht="47" customHeight="1">
      <x:c r="A5" s="4" t="str">
        <x:v>LG-01</x:v>
      </x:c>
      <x:c r="B5" s="4" t="str">
        <x:v>Mandato actual</x:v>
      </x:c>
      <x:c r="C5" s="4" t="str">
        <x:v>El Director revisa los ingredientes de v0.3 y ordena buscar el primer parámetro; se ejecuta el trabajo documental necesario.</x:v>
      </x:c>
      <x:c r="D5" s="4" t="str">
        <x:v>No se atribuye aprobación nominal del parámetro que todavía no había visto.</x:v>
      </x:c>
      <x:c r="E5" s="4" t="str">
        <x:v>RESUELTA PARA TRABAJO</x:v>
      </x:c>
      <x:c r="F5" s="4" t="str">
        <x:v>Chat actual; I005 §§7–8</x:v>
      </x:c>
    </x:row>
    <x:row r="6" ht="47" customHeight="1">
      <x:c r="A6" s="4" t="str">
        <x:v>LG-02</x:v>
      </x:c>
      <x:c r="B6" s="4" t="str">
        <x:v>Perímetro de trabajo</x:v>
      </x:c>
      <x:c r="C6" s="4" t="str">
        <x:v>España/URJC 2026–27 y complementos de v0.3 sirven de corte de trabajo. Se seleccionan conocimientos pertinentes a la operación.</x:v>
      </x:c>
      <x:c r="D6" s="4" t="str">
        <x:v>No equivale a cerrar todo el dominio ni a admitir todas las cláusulas de cada fuente.</x:v>
      </x:c>
      <x:c r="E6" s="4" t="str">
        <x:v>RESUELTA EN ALCANCE</x:v>
      </x:c>
      <x:c r="F6" s="4" t="str">
        <x:v>15, 17, 37; v0.3</x:v>
      </x:c>
    </x:row>
    <x:row r="7" ht="60" customHeight="1">
      <x:c r="A7" s="4" t="str">
        <x:v>LG-03</x:v>
      </x:c>
      <x:c r="B7" s="4" t="str">
        <x:v>CYO-07: triaje de alerta</x:v>
      </x:c>
      <x:c r="C7" s="4" t="str">
        <x:v>La omisión de cobertura puede convertir falta de registros en falsa ausencia de actividad. Requiere fijar hipótesis, fuente, intervalo y política de triaje.</x:v>
      </x:c>
      <x:c r="D7" s="4" t="str">
        <x:v>Se conserva como candidata; no se declara inferior ni ajena al dominio.</x:v>
      </x:c>
      <x:c r="E7" s="4" t="str">
        <x:v>COMPARADA</x:v>
      </x:c>
      <x:c r="F7" s="4" t="str">
        <x:v>34 CE-OM-01; F019</x:v>
      </x:c>
    </x:row>
    <x:row r="8" ht="47" customHeight="1">
      <x:c r="A8" s="4" t="str">
        <x:v>LG-04</x:v>
      </x:c>
      <x:c r="B8" s="4" t="str">
        <x:v>CYO-14: cambio OT</x:v>
      </x:c>
      <x:c r="C8" s="4" t="str">
        <x:v>La intervención técnica puede afectar al proceso físico. Exige reglas del proceso, equipamiento y autoridad de seguridad física aún no constituidas.</x:v>
      </x:c>
      <x:c r="D8" s="4" t="str">
        <x:v>Una regla IT de reinicio no se traslada a OT.</x:v>
      </x:c>
      <x:c r="E8" s="4" t="str">
        <x:v>COMPARADA</x:v>
      </x:c>
      <x:c r="F8" s="4" t="str">
        <x:v>34 CE-OM-02; F020 §2.3</x:v>
      </x:c>
    </x:row>
    <x:row r="9" ht="47" customHeight="1">
      <x:c r="A9" s="4" t="str">
        <x:v>LG-05</x:v>
      </x:c>
      <x:c r="B9" s="4" t="str">
        <x:v>CYO-23: validez de un sistema IA</x:v>
      </x:c>
      <x:c r="C9" s="4" t="str">
        <x:v>La métrica agregada puede ocultar errores en el uso previsto. Hace falta fijar el uso, población y oráculo de evaluación.</x:v>
      </x:c>
      <x:c r="D9" s="4" t="str">
        <x:v>La disponibilidad de bibliografía IA no fija prioridad.</x:v>
      </x:c>
      <x:c r="E9" s="4" t="str">
        <x:v>COMPARADA</x:v>
      </x:c>
      <x:c r="F9" s="4" t="str">
        <x:v>34 CE-OM-04; F024</x:v>
      </x:c>
    </x:row>
    <x:row r="10" ht="60" customHeight="1">
      <x:c r="A10" s="4" t="str">
        <x:v>LG-06</x:v>
      </x:c>
      <x:c r="B10" s="4" t="str">
        <x:v>CYO-26: tratamiento de vulnerabilidad</x:v>
      </x:c>
      <x:c r="C10" s="4" t="str">
        <x:v>Elegida para el recorrido documental: ofrece un error profesional verificable, exige conocimientos de sistemas, evidencia de efecto, riesgo y continuidad.</x:v>
      </x:c>
      <x:c r="D10" s="4" t="str">
        <x:v>Recorte OP-CYB-001: dictamen sobre evidencia de cierre de una corrección por actualización; no todo el tratamiento.</x:v>
      </x:c>
      <x:c r="E10" s="4" t="str">
        <x:v>SELECCIONADA PARA CONTRASTE</x:v>
      </x:c>
      <x:c r="F10" s="4" t="str">
        <x:v>37; T001 §§2.2–2.3; R025/R035</x:v>
      </x:c>
    </x:row>
    <x:row r="11" ht="47" customHeight="1">
      <x:c r="A11" s="4" t="str">
        <x:v>LG-07</x:v>
      </x:c>
      <x:c r="B11" s="4" t="str">
        <x:v>Modelo de atomicidad</x:v>
      </x:c>
      <x:c r="C11" s="4" t="str">
        <x:v>Se aplican las diez pruebas del contrato IMM sólo como método y con vocabulario profesional CYB.</x:v>
      </x:c>
      <x:c r="D11" s="4" t="str">
        <x:v>No se trasladan cardinalidades, salidas, reglas clínicas ni el antiguo modelo de Frame.</x:v>
      </x:c>
      <x:c r="E11" s="4" t="str">
        <x:v>RESUELTA</x:v>
      </x:c>
      <x:c r="F11" s="4" t="str">
        <x:v>I005 §7.3; S013; AM-01</x:v>
      </x:c>
    </x:row>
    <x:row r="12" ht="47" customHeight="1">
      <x:c r="A12" s="4" t="str">
        <x:v>LG-08</x:v>
      </x:c>
      <x:c r="B12" s="4" t="str">
        <x:v>Exigencia histórica / deuda actual</x:v>
      </x:c>
      <x:c r="C12" s="4" t="str">
        <x:v>El átomo pregunta por el requisito que informó una instalación concreta al terminar. El reinicio posterior y la deuda actual son proposiciones distintas.</x:v>
      </x:c>
      <x:c r="D12" s="4" t="str">
        <x:v>Un reinicio posterior no cambia retrospectivamente ese valor histórico.</x:v>
      </x:c>
      <x:c r="E12" s="4" t="str">
        <x:v>CORREGIDA EN CONTRATO</x:v>
      </x:c>
      <x:c r="F12" s="4" t="str">
        <x:v>39; 42 AG-03</x:v>
      </x:c>
    </x:row>
    <x:row r="13" ht="47" customHeight="1">
      <x:c r="A13" s="4" t="str">
        <x:v>LG-09</x:v>
      </x:c>
      <x:c r="B13" s="4" t="str">
        <x:v>Consecuencia de omisión</x:v>
      </x:c>
      <x:c r="C13" s="4" t="str">
        <x:v>Se demuestra pérdida de una distinción documental en un testigo sintético y se conserva el mecanismo de perjuicio potencial.</x:v>
      </x:c>
      <x:c r="D13" s="4" t="str">
        <x:v>No se declara incidente, daño observado ni fallo del Lenguaje SV.</x:v>
      </x:c>
      <x:c r="E13" s="4" t="str">
        <x:v>RESUELTA EN ALCANCE</x:v>
      </x:c>
      <x:c r="F13" s="4" t="str">
        <x:v>40; 41; 42</x:v>
      </x:c>
    </x:row>
    <x:row r="14" ht="47" customHeight="1">
      <x:c r="A14" s="4" t="str">
        <x:v>LG-10</x:v>
      </x:c>
      <x:c r="B14" s="4" t="str">
        <x:v>Observación productiva</x:v>
      </x:c>
      <x:c r="C14" s="4" t="str">
        <x:v>Se dispone de semántica pública de un resultado individual WUA; se ensaya un perfil documental de ese resultado.</x:v>
      </x:c>
      <x:c r="D14" s="4" t="str">
        <x:v>No existe capturador WUA validado ni transducción productiva SV por este expediente.</x:v>
      </x:c>
      <x:c r="E14" s="4" t="str">
        <x:v>LIMITACIÓN ATRIBUIDA</x:v>
      </x:c>
      <x:c r="F14" s="4" t="str">
        <x:v>T002–T006; recepción RETP-105</x:v>
      </x:c>
    </x:row>
    <x:row r="15" ht="47" customHeight="1">
      <x:c r="A15" s="4" t="str">
        <x:v>LG-11</x:v>
      </x:c>
      <x:c r="B15" s="4" t="str">
        <x:v>Chats anteriores</x:v>
      </x:c>
      <x:c r="C15" s="4" t="str">
        <x:v>Se relee el debate visible y los antecedentes metodológicos locales. La recuperación adicional no aporta una elección previa de operación.</x:v>
      </x:c>
      <x:c r="D15" s="4" t="str">
        <x:v>No se afirman leídos chats completos que no se recibieron; el PDF de carpetas no es conversación completa.</x:v>
      </x:c>
      <x:c r="E15" s="4" t="str">
        <x:v>LÍMITE DE EVIDENCIA</x:v>
      </x:c>
      <x:c r="F15" s="4" t="str">
        <x:v>Chat visible; informe de doble lectura IMM</x:v>
      </x:c>
    </x:row>
    <x:row r="16" ht="47" customHeight="1">
      <x:c r="A16" s="4" t="str">
        <x:v>LG-12</x:v>
      </x:c>
      <x:c r="B16" s="4" t="str">
        <x:v>Preguntas al Director</x:v>
      </x:c>
      <x:c r="C16" s="4" t="str">
        <x:v>Ninguna incertidumbre de investigación impide formular y atacar este primer parámetro.</x:v>
      </x:c>
      <x:c r="D16" s="4" t="str">
        <x:v>La adopción soberana se distingue del dictamen de la unidad; no se crea una ronda de micropermisos.</x:v>
      </x:c>
      <x:c r="E16" s="4" t="str">
        <x:v>SIN PREGUNTA BLOQUEANTE</x:v>
      </x:c>
      <x:c r="F16" s="4" t="str">
        <x:v>Mandato humano actual; I005 §8</x:v>
      </x:c>
    </x:row>
  </x:sheetData>
  <x:mergeCells>
    <x:mergeCell ref="A1:D1"/>
    <x:mergeCell ref="A2:F2"/>
  </x:mergeCells>
  <x:pageMargins left="0.7" right="0.7" top="0.75" bottom="0.75" header="0.3" footer="0.3"/>
  <x:tableParts count="1">
    <x:tablePart xmlns:r="http://schemas.openxmlformats.org/officeDocument/2006/relationships" r:id="R8b8a5952b3d84dee"/>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31" hidden="0" customWidth="1"/>
    <x:col min="2" max="2" width="105" hidden="0" customWidth="1"/>
    <x:col min="3" max="3" width="105" hidden="0" customWidth="1"/>
  </x:cols>
  <x:sheetData>
    <x:row r="1" ht="35" customHeight="1">
      <x:c r="A1" s="6" t="str">
        <x:v>OP-CYB-001 · evidencia para cierre de una corrección</x:v>
      </x:c>
      <x:c r="B1" s="6"/>
      <x:c r="C1" s="6"/>
    </x:row>
    <x:row r="2" ht="52" customHeight="1">
      <x:c r="A2" s="8" t="str">
        <x:v>La operación evita confundir consejo de cierre, cierre administrativo y efecto técnico. CYO-26 conserva su identidad histórica más amplia.</x:v>
      </x:c>
      <x:c r="B2" s="8"/>
      <x:c r="C2" s="8"/>
    </x:row>
    <x:row r="3">
      <x:c r="A3" s="4"/>
      <x:c r="B3" s="4"/>
      <x:c r="C3" s="4"/>
    </x:row>
    <x:row r="4" ht="42" customHeight="1">
      <x:c r="A4" s="10" t="str">
        <x:v>Componente</x:v>
      </x:c>
      <x:c r="B4" s="10" t="str">
        <x:v>Contrato del recorte</x:v>
      </x:c>
      <x:c r="C4" s="10" t="str">
        <x:v>Frontera / fundamento</x:v>
      </x:c>
    </x:row>
    <x:row r="5" ht="47" customHeight="1">
      <x:c r="A5" s="4" t="str">
        <x:v>Identidad</x:v>
      </x:c>
      <x:c r="B5" s="4" t="str">
        <x:v>OP-CYB-001 / Q0 v0.1</x:v>
      </x:c>
      <x:c r="C5" s="4" t="str">
        <x:v>Recorte constitutivo propuesto de CYO-26; primera operación de trabajo seleccionada por Watson en ejecución del mandato.</x:v>
      </x:c>
    </x:row>
    <x:row r="6" ht="47" customHeight="1">
      <x:c r="A6" s="4" t="str">
        <x:v>Producto terminal</x:v>
      </x:c>
      <x:c r="B6" s="4" t="str">
        <x:v>Dictamen de suficiencia de la evidencia para cerrar la corrección de una vulnerabilidad mediante una actualización en un activo IT.</x:v>
      </x:c>
      <x:c r="C6" s="4" t="str">
        <x:v>Incluye qué está acreditado, qué falta y qué condiciones debe considerar el experto. El sistema no cierra el ticket ni modifica el activo.</x:v>
      </x:c>
    </x:row>
    <x:row r="7" ht="47" customHeight="1">
      <x:c r="A7" s="4" t="str">
        <x:v>Objeto</x:v>
      </x:c>
      <x:c r="B7" s="4" t="str">
        <x:v>Un activo IT identificado, una vulnerabilidad identificada, una actualización y un episodio de aplicación, en un corte documental.</x:v>
      </x:c>
      <x:c r="C7" s="4" t="str">
        <x:v>No se generaliza a una flota desde un activo ni de un CVE a otro.</x:v>
      </x:c>
    </x:row>
    <x:row r="8" ht="47" customHeight="1">
      <x:c r="A8" s="4" t="str">
        <x:v>Disparador</x:v>
      </x:c>
      <x:c r="B8" s="4" t="str">
        <x:v>Solicitud profesional de evaluar el cierre de una corrección por actualización, tras comunicar el sistema gestor un resultado de aplicación.</x:v>
      </x:c>
      <x:c r="C8" s="4" t="str">
        <x:v>Una publicación CVE, un número CVSS o una alerta no abren por sí solos esta operación.</x:v>
      </x:c>
    </x:row>
    <x:row r="9" ht="47" customHeight="1">
      <x:c r="A9" s="4" t="str">
        <x:v>Autoridad</x:v>
      </x:c>
      <x:c r="B9" s="4" t="str">
        <x:v>Experto responsable del dictamen; responsable del activo/cambio decide cierre y actuaciones en su organización. Dirección gobierna constitución del dominio.</x:v>
      </x:c>
      <x:c r="C9" s="4" t="str">
        <x:v>La IA conserva función de consejo. El mandato documental no concede permisos sobre sistemas reales ni responsabilidad jurídica a la IA.</x:v>
      </x:c>
    </x:row>
    <x:row r="10" ht="47" customHeight="1">
      <x:c r="A10" s="4" t="str">
        <x:v>Frontera</x:v>
      </x:c>
      <x:c r="B10" s="4" t="str">
        <x:v>Activo IT administrado; actualización identificada; evaluación de evidencia y condiciones de cierre.</x:v>
      </x:c>
      <x:c r="C10" s="4" t="str">
        <x:v>OT, respuesta a incidente, elegir qué vulnerabilidad parchear, ordenar un reinicio, despliegue y restauración son otros usos/operaciones.</x:v>
      </x:c>
    </x:row>
    <x:row r="11" ht="47" customHeight="1">
      <x:c r="A11" s="4" t="str">
        <x:v>Finalización</x:v>
      </x:c>
      <x:c r="B11" s="4" t="str">
        <x:v>Informe trazado al experto con evidencia suficiente en alcance declarado, evidencia insuficiente o exclusión fundada.</x:v>
      </x:c>
      <x:c r="C11" s="4" t="str">
        <x:v>La emisión de un informe insuficiente termina la consulta; no acredita cierre seguro. Fallo técnico queda fuera de estas conclusiones profesionales.</x:v>
      </x:c>
    </x:row>
    <x:row r="12" ht="47" customHeight="1">
      <x:c r="A12" s="4" t="str">
        <x:v>Primer perfil observacional</x:v>
      </x:c>
      <x:c r="B12" s="4" t="str">
        <x:v>WUA-INDIVIDUAL-INSTALACION-0.1: resultado individual de instalación comunicado como orcSucceeded.</x:v>
      </x:c>
      <x:c r="C12" s="4" t="str">
        <x:v>No se usa el resultado agregado del lote, predicción del paquete ni registro de historial reconstruido como sustituto.</x:v>
      </x:c>
    </x:row>
    <x:row r="13" ht="47" customHeight="1">
      <x:c r="A13" s="4" t="str">
        <x:v>Base educativa</x:v>
      </x:c>
      <x:c r="B13" s="4" t="str">
        <x:v>URJC-25 Sistemas Operativos: servicios, estados de procesos, memoria y ficheros; URJC-35 Gestión del Ciberriesgo: impacto, mitigación y sesgos.</x:v>
      </x:c>
      <x:c r="C13" s="4" t="str">
        <x:v>R025 IV temas 2/4/5/6; R035 IV unidades 6/9/11. R033 IV continuidad contextualiza dependencias del servicio.</x:v>
      </x:c>
    </x:row>
    <x:row r="14" ht="47" customHeight="1">
      <x:c r="A14" s="4" t="str">
        <x:v>Aprendizaje que se utiliza</x:v>
      </x:c>
      <x:c r="B14" s="4" t="str">
        <x:v>Relacionar estado del instalador, requisito de completar la instalación y prueba de efecto; después relacionar condiciones de actuación con servicio y coste.</x:v>
      </x:c>
      <x:c r="C14" s="4" t="str">
        <x:v>Las guías educativas explican qué conocimientos se forman; T001–T006 sostienen la distinción profesional y técnica.</x:v>
      </x:c>
    </x:row>
    <x:row r="15" ht="47" customHeight="1">
      <x:c r="A15" s="4" t="str">
        <x:v>Internacionalidad</x:v>
      </x:c>
      <x:c r="B15" s="4" t="str">
        <x:v>Se conserva el catálogo internacional de v0.3. El perfil Windows es un contrato de observación específico, no un currículo rector de fabricante.</x:v>
      </x:c>
      <x:c r="C15" s="4" t="str">
        <x:v>No se inventa un complemento extranjero para cada átomo ni se declara portabilidad a Linux, contenedores u OT.</x:v>
      </x:c>
    </x:row>
    <x:row r="16" ht="47" customHeight="1">
      <x:c r="A16" s="4" t="str">
        <x:v>Horizonte</x:v>
      </x:c>
      <x:c r="B16" s="4" t="str">
        <x:v>Resultado individual al finalizar aquella operación de instalación; corte de consulta que lo cita de forma histórica.</x:v>
      </x:c>
      <x:c r="C16" s="4" t="str">
        <x:v>Toda consulta posterior conserva la identidad del resultado; eventos posteriores se enlazan sin reescribirlo.</x:v>
      </x:c>
    </x:row>
    <x:row r="17" ht="47" customHeight="1">
      <x:c r="A17" s="4" t="str">
        <x:v>Coste y alcance</x:v>
      </x:c>
      <x:c r="B17" s="4" t="str">
        <x:v>Para proponer una actuación posterior se necesitan servicio, dependencias, alternativas y coste total proporcionado al valor protegido.</x:v>
      </x:c>
      <x:c r="C17" s="4" t="str">
        <x:v>No se asignan importes, criticidad automática ni permiso de interrupción a partir de este único estado.</x:v>
      </x:c>
    </x:row>
    <x:row r="18" ht="47" customHeight="1">
      <x:c r="A18" s="4" t="str">
        <x:v>Qué queda constituido documentalmente</x:v>
      </x:c>
      <x:c r="B18" s="4" t="str">
        <x:v>G0/G1 y Q0 de trabajo; G2/G3/G4 de una distinción; dictamen G5 favorable de un parámetro.</x:v>
      </x:c>
      <x:c r="C18" s="4" t="str">
        <x:v>No equivale a universo terminado, agente apto, adopción soberana nominal, matriz, ruta ni Frame.</x:v>
      </x:c>
    </x:row>
  </x:sheetData>
  <x:mergeCells>
    <x:mergeCell ref="A1:C1"/>
    <x:mergeCell ref="A2:C2"/>
  </x:mergeCells>
  <x:pageMargins left="0.7" right="0.7" top="0.75" bottom="0.75" header="0.3" footer="0.3"/>
  <x:tableParts count="1">
    <x:tablePart xmlns:r="http://schemas.openxmlformats.org/officeDocument/2006/relationships" r:id="Re66b99efea4544cb"/>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15" hidden="0" customWidth="1"/>
    <x:col min="2" max="2" width="31" hidden="0" customWidth="1"/>
    <x:col min="3" max="3" width="79" hidden="0" customWidth="1"/>
    <x:col min="4" max="4" width="100" hidden="0" customWidth="1"/>
    <x:col min="5" max="5" width="14" hidden="0" customWidth="1"/>
    <x:col min="6" max="6" width="16" hidden="0" customWidth="1"/>
    <x:col min="7" max="7" width="15" hidden="0" customWidth="1"/>
    <x:col min="8" max="8" width="23" hidden="0" customWidth="1"/>
    <x:col min="9" max="9" width="37" hidden="0" customWidth="1"/>
    <x:col min="10" max="10" width="77" hidden="0" customWidth="1"/>
  </x:cols>
  <x:sheetData>
    <x:row r="1" ht="35" customHeight="1">
      <x:c r="A1" s="6" t="str">
        <x:v>Q0 v0.1 · preguntas finitas del recorte</x:v>
      </x:c>
      <x:c r="B1" s="6"/>
      <x:c r="C1" s="6"/>
      <x:c r="D1" s="6"/>
      <x:c r="E1" s="6"/>
      <x:c r="F1" s="6"/>
      <x:c r="G1" s="6"/>
      <x:c r="H1" s="6"/>
      <x:c r="I1" s="6"/>
      <x:c r="J1" s="6"/>
    </x:row>
    <x:row r="2" ht="52" customHeight="1">
      <x:c r="A2" s="8" t="str">
        <x:v>Las raíces son preguntas de trabajo, no células ni parámetros. La cardinalidad resulta de esta descomposición semántica y no gobierna geometría SV.</x:v>
      </x:c>
      <x:c r="B2" s="8"/>
      <x:c r="C2" s="8"/>
      <x:c r="D2" s="8"/>
      <x:c r="E2" s="8"/>
      <x:c r="F2" s="8"/>
      <x:c r="G2" s="8"/>
      <x:c r="H2" s="8"/>
      <x:c r="I2" s="8"/>
      <x:c r="J2" s="8"/>
    </x:row>
    <x:row r="3">
      <x:c r="A3" s="4"/>
      <x:c r="B3" s="4"/>
      <x:c r="C3" s="4"/>
      <x:c r="D3" s="4"/>
      <x:c r="E3" s="4"/>
      <x:c r="F3" s="4"/>
      <x:c r="G3" s="4"/>
      <x:c r="H3" s="4"/>
      <x:c r="I3" s="4"/>
      <x:c r="J3" s="4"/>
    </x:row>
    <x:row r="4" ht="42" customHeight="1">
      <x:c r="A4" s="10" t="str">
        <x:v>Raíz</x:v>
      </x:c>
      <x:c r="B4" s="10" t="str">
        <x:v>Familia de pregunta</x:v>
      </x:c>
      <x:c r="C4" s="10" t="str">
        <x:v>Pregunta</x:v>
      </x:c>
      <x:c r="D4" s="10" t="str">
        <x:v>Distinciones declaradas antes de G5</x:v>
      </x:c>
      <x:c r="E4" s="10" t="str">
        <x:v>D declaradas</x:v>
      </x:c>
      <x:c r="F4" s="10" t="str">
        <x:v>D dictaminadas</x:v>
      </x:c>
      <x:c r="G4" s="10" t="str">
        <x:v>D pendientes</x:v>
      </x:c>
      <x:c r="H4" s="10" t="str">
        <x:v>Estado</x:v>
      </x:c>
      <x:c r="I4" s="10" t="str">
        <x:v>Fuente</x:v>
      </x:c>
      <x:c r="J4" s="10" t="str">
        <x:v>Consecuencia del pendiente</x:v>
      </x:c>
    </x:row>
    <x:row r="5" ht="47" customHeight="1">
      <x:c r="A5" s="4" t="str">
        <x:v>QCY-01</x:v>
      </x:c>
      <x:c r="B5" s="4" t="str">
        <x:v>Aplicabilidad del hallazgo</x:v>
      </x:c>
      <x:c r="C5" s="4" t="str">
        <x:v>¿La vulnerabilidad y la actualización corresponden al componente/configuración del activo examinado?</x:v>
      </x:c>
      <x:c r="D5" s="4" t="str">
        <x:v>QCY-01-D1: activo; QCY-01-D2: componente/configuración; QCY-01-D3: vulnerabilidad; QCY-01-D4: actualización aplicable</x:v>
      </x:c>
      <x:c r="E5" s="13" t="n">
        <x:v>4</x:v>
      </x:c>
      <x:c r="F5" s="13" t="n">
        <x:v>0</x:v>
      </x:c>
      <x:c r="G5" s="17" t="n">
        <x:f>E5-F5</x:f>
        <x:v>4</x:v>
      </x:c>
      <x:c r="H5" s="4" t="str">
        <x:v>PENDIENTE</x:v>
      </x:c>
      <x:c r="I5" s="4" t="str">
        <x:v>R025; T001 §2.2</x:v>
      </x:c>
      <x:c r="J5" s="4" t="str">
        <x:v>Sin vínculo no se acredita corrección del hallazgo.</x:v>
      </x:c>
    </x:row>
    <x:row r="6" ht="47" customHeight="1">
      <x:c r="A6" s="4" t="str">
        <x:v>QCY-02</x:v>
      </x:c>
      <x:c r="B6" s="4" t="str">
        <x:v>Identidad y procedencia</x:v>
      </x:c>
      <x:c r="C6" s="4" t="str">
        <x:v>¿Los resultados, artefactos y capturas pertenecen a ese episodio y tienen procedencia admisible?</x:v>
      </x:c>
      <x:c r="D6" s="4" t="str">
        <x:v>QCY-02-D1: identidad del episodio; QCY-02-D2: integridad; QCY-02-D3: procedencia/admisión</x:v>
      </x:c>
      <x:c r="E6" s="13" t="n">
        <x:v>3</x:v>
      </x:c>
      <x:c r="F6" s="13" t="n">
        <x:v>0</x:v>
      </x:c>
      <x:c r="G6" s="17" t="n">
        <x:f>E6-F6</x:f>
        <x:v>3</x:v>
      </x:c>
      <x:c r="H6" s="4" t="str">
        <x:v>PENDIENTE</x:v>
      </x:c>
      <x:c r="I6" s="4" t="str">
        <x:v>I005 §§5.3/5.5; T001 §2.3.1</x:v>
      </x:c>
      <x:c r="J6" s="4" t="str">
        <x:v>Una huella por sí sola no acredita verdad ni aplicabilidad.</x:v>
      </x:c>
    </x:row>
    <x:row r="7" ht="47" customHeight="1">
      <x:c r="A7" s="4" t="str">
        <x:v>QCY-03</x:v>
      </x:c>
      <x:c r="B7" s="4" t="str">
        <x:v>Resultado de instalación</x:v>
      </x:c>
      <x:c r="C7" s="4" t="str">
        <x:v>¿Qué resultado individual comunicó la instalación?</x:v>
      </x:c>
      <x:c r="D7" s="4" t="str">
        <x:v>QCY-03-D1: operación individual; QCY-03-D2: estado final comunicado; QCY-03-D3: errores asociados</x:v>
      </x:c>
      <x:c r="E7" s="13" t="n">
        <x:v>3</x:v>
      </x:c>
      <x:c r="F7" s="13" t="n">
        <x:v>0</x:v>
      </x:c>
      <x:c r="G7" s="17" t="n">
        <x:f>E7-F7</x:f>
        <x:v>3</x:v>
      </x:c>
      <x:c r="H7" s="4" t="str">
        <x:v>PENDIENTE</x:v>
      </x:c>
      <x:c r="I7" s="4" t="str">
        <x:v>T004–T006</x:v>
      </x:c>
      <x:c r="J7" s="4" t="str">
        <x:v>El éxito comunicado no implica efecto ni ausencia de requisitos posteriores.</x:v>
      </x:c>
    </x:row>
    <x:row r="8" ht="47" customHeight="1">
      <x:c r="A8" s="4" t="str">
        <x:v>QCY-04</x:v>
      </x:c>
      <x:c r="B8" s="4" t="str">
        <x:v>Condiciones de completitud</x:v>
      </x:c>
      <x:c r="C8" s="4" t="str">
        <x:v>¿Qué cambios de estado o configuración requiere completar la instalación y cuáles se han realizado?</x:v>
      </x:c>
      <x:c r="D8" s="4" t="str">
        <x:v>QCY-04-D1: requisito de reinicio del sistema; QCY-04-D2: reinicio posterior realizado; QCY-04-D3: otros cambios requeridos; QCY-04-D4: otros cambios realizados</x:v>
      </x:c>
      <x:c r="E8" s="13" t="n">
        <x:v>4</x:v>
      </x:c>
      <x:c r="F8" s="13" t="n">
        <x:v>1</x:v>
      </x:c>
      <x:c r="G8" s="17" t="n">
        <x:f>E8-F8</x:f>
        <x:v>3</x:v>
      </x:c>
      <x:c r="H8" s="4" t="str">
        <x:v>PARCIAL</x:v>
      </x:c>
      <x:c r="I8" s="4" t="str">
        <x:v>T001 §2.3.2; T002–T003</x:v>
      </x:c>
      <x:c r="J8" s="4" t="str">
        <x:v>D1 recibe dictamen G5. D2–D4 siguen pendientes y bloquean un cierre que dependa de ellas.</x:v>
      </x:c>
    </x:row>
    <x:row r="9" ht="47" customHeight="1">
      <x:c r="A9" s="4" t="str">
        <x:v>QCY-05</x:v>
      </x:c>
      <x:c r="B9" s="4" t="str">
        <x:v>Efecto de la corrección</x:v>
      </x:c>
      <x:c r="C9" s="4" t="str">
        <x:v>¿La comprobación pertinente acredita el estado corregido del componente realmente activo?</x:v>
      </x:c>
      <x:c r="D9" s="4" t="str">
        <x:v>QCY-05-D1: criterio de comprobación; QCY-05-D2: estado activo; QCY-05-D3: resultado de comprobación</x:v>
      </x:c>
      <x:c r="E9" s="13" t="n">
        <x:v>3</x:v>
      </x:c>
      <x:c r="F9" s="13" t="n">
        <x:v>0</x:v>
      </x:c>
      <x:c r="G9" s="17" t="n">
        <x:f>E9-F9</x:f>
        <x:v>3</x:v>
      </x:c>
      <x:c r="H9" s="4" t="str">
        <x:v>PENDIENTE</x:v>
      </x:c>
      <x:c r="I9" s="4" t="str">
        <x:v>T001 §2.3.3; R025</x:v>
      </x:c>
      <x:c r="J9" s="4" t="str">
        <x:v>Reinicio efectuado no es prueba suficiente de efecto.</x:v>
      </x:c>
    </x:row>
    <x:row r="10" ht="47" customHeight="1">
      <x:c r="A10" s="4" t="str">
        <x:v>QCY-06</x:v>
      </x:c>
      <x:c r="B10" s="4" t="str">
        <x:v>Consecuencias de completar</x:v>
      </x:c>
      <x:c r="C10" s="4" t="str">
        <x:v>¿Qué funciones y dependencias se afectarían por los cambios todavía necesarios?</x:v>
      </x:c>
      <x:c r="D10" s="4" t="str">
        <x:v>QCY-06-D1: servicio afectado; QCY-06-D2: dependencias; QCY-06-D3: impacto de interrupción</x:v>
      </x:c>
      <x:c r="E10" s="13" t="n">
        <x:v>3</x:v>
      </x:c>
      <x:c r="F10" s="13" t="n">
        <x:v>0</x:v>
      </x:c>
      <x:c r="G10" s="17" t="n">
        <x:f>E10-F10</x:f>
        <x:v>3</x:v>
      </x:c>
      <x:c r="H10" s="4" t="str">
        <x:v>PENDIENTE</x:v>
      </x:c>
      <x:c r="I10" s="4" t="str">
        <x:v>R033/R035; T001 §3.2</x:v>
      </x:c>
      <x:c r="J10" s="4" t="str">
        <x:v>No se recomienda reinicio automático ni se supone que toda interrupción cause daño.</x:v>
      </x:c>
    </x:row>
    <x:row r="11" ht="47" customHeight="1">
      <x:c r="A11" s="4" t="str">
        <x:v>QCY-07</x:v>
      </x:c>
      <x:c r="B11" s="4" t="str">
        <x:v>Condiciones de actuación</x:v>
      </x:c>
      <x:c r="C11" s="4" t="str">
        <x:v>¿Hay alternativa, ventana y autoridad para completar lo pendiente con coste proporcionado?</x:v>
      </x:c>
      <x:c r="D11" s="4" t="str">
        <x:v>QCY-07-D1: alternativas; QCY-07-D2: ventana; QCY-07-D3: autoridad concreta; QCY-07-D4: balance de coste/valor</x:v>
      </x:c>
      <x:c r="E11" s="13" t="n">
        <x:v>4</x:v>
      </x:c>
      <x:c r="F11" s="13" t="n">
        <x:v>0</x:v>
      </x:c>
      <x:c r="G11" s="17" t="n">
        <x:f>E11-F11</x:f>
        <x:v>4</x:v>
      </x:c>
      <x:c r="H11" s="4" t="str">
        <x:v>PENDIENTE</x:v>
      </x:c>
      <x:c r="I11" s="4" t="str">
        <x:v>R035; mandato humano; T001 §3.2</x:v>
      </x:c>
      <x:c r="J11" s="4" t="str">
        <x:v>Estas condiciones no cambian la verdad histórica del requisito.</x:v>
      </x:c>
    </x:row>
    <x:row r="12" ht="47" customHeight="1">
      <x:c r="A12" s="4" t="str">
        <x:v>QCY-08</x:v>
      </x:c>
      <x:c r="B12" s="4" t="str">
        <x:v>Vigencia hasta el corte</x:v>
      </x:c>
      <x:c r="C12" s="4" t="str">
        <x:v>¿Hay eventos posteriores que alteran el estado corregido o la aplicabilidad de la evidencia?</x:v>
      </x:c>
      <x:c r="D12" s="4" t="str">
        <x:v>QCY-08-D1: retirada/reversión; QCY-08-D2: cambio de componente; QCY-08-D3: restauración de estado previo</x:v>
      </x:c>
      <x:c r="E12" s="13" t="n">
        <x:v>3</x:v>
      </x:c>
      <x:c r="F12" s="13" t="n">
        <x:v>0</x:v>
      </x:c>
      <x:c r="G12" s="17" t="n">
        <x:f>E12-F12</x:f>
        <x:v>3</x:v>
      </x:c>
      <x:c r="H12" s="4" t="str">
        <x:v>PENDIENTE</x:v>
      </x:c>
      <x:c r="I12" s="4" t="str">
        <x:v>T001 §2.3.4; S018</x:v>
      </x:c>
      <x:c r="J12" s="4" t="str">
        <x:v>No hay caducidad temporal inventada; nuevo evento puede requerir nueva evaluación gobernada.</x:v>
      </x:c>
    </x:row>
    <x:row r="13" ht="47" customHeight="1">
      <x:c r="A13" s="4" t="str">
        <x:v>QCY-09</x:v>
      </x:c>
      <x:c r="B13" s="4" t="str">
        <x:v>Cierre y justificación</x:v>
      </x:c>
      <x:c r="C13" s="4" t="str">
        <x:v>¿Puede emitirse el dictamen con incertidumbres localizadas, enlaces necesarios y responsabilidad explícita?</x:v>
      </x:c>
      <x:c r="D13" s="4" t="str">
        <x:v>QCY-09-D1: cobertura de dependencias; QCY-09-D2: incertidumbres; QCY-09-D3: justificación; QCY-09-D4: destinatario responsable</x:v>
      </x:c>
      <x:c r="E13" s="13" t="n">
        <x:v>4</x:v>
      </x:c>
      <x:c r="F13" s="13" t="n">
        <x:v>0</x:v>
      </x:c>
      <x:c r="G13" s="17" t="n">
        <x:f>E13-F13</x:f>
        <x:v>4</x:v>
      </x:c>
      <x:c r="H13" s="4" t="str">
        <x:v>PENDIENTE</x:v>
      </x:c>
      <x:c r="I13" s="4" t="str">
        <x:v>I005 §8; S017–S019</x:v>
      </x:c>
      <x:c r="J13" s="4" t="str">
        <x:v>Mientras las dependencias permanezcan abiertas no se declara suficiencia de la operación.</x:v>
      </x:c>
    </x:row>
  </x:sheetData>
  <x:mergeCells>
    <x:mergeCell ref="A1:D1"/>
    <x:mergeCell ref="A2:F2"/>
  </x:mergeCells>
  <x:pageMargins left="0.7" right="0.7" top="0.75" bottom="0.75" header="0.3" footer="0.3"/>
  <x:tableParts count="1">
    <x:tablePart xmlns:r="http://schemas.openxmlformats.org/officeDocument/2006/relationships" r:id="Rb1537553b29241f5"/>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31" hidden="0" customWidth="1"/>
    <x:col min="2" max="2" width="106" hidden="0" customWidth="1"/>
    <x:col min="3" max="3" width="107" hidden="0" customWidth="1"/>
  </x:cols>
  <x:sheetData>
    <x:row r="1" ht="35" customHeight="1">
      <x:c r="A1" s="6" t="str">
        <x:v>G3 + G5 · requisito de reinicio de una instalación</x:v>
      </x:c>
      <x:c r="B1" s="6"/>
      <x:c r="C1" s="6"/>
    </x:row>
    <x:row r="2" ht="52" customHeight="1">
      <x:c r="A2" s="8" t="str">
        <x:v>Dictamen de atomicidad en un perfil documental delimitado. La tabla conserva identidad, observable, uso y límites en el mismo objeto.</x:v>
      </x:c>
      <x:c r="B2" s="8"/>
      <x:c r="C2" s="8"/>
    </x:row>
    <x:row r="3">
      <x:c r="A3" s="4"/>
      <x:c r="B3" s="4"/>
      <x:c r="C3" s="4"/>
    </x:row>
    <x:row r="4" ht="42" customHeight="1">
      <x:c r="A4" s="10" t="str">
        <x:v>Elemento</x:v>
      </x:c>
      <x:c r="B4" s="10" t="str">
        <x:v>Contrato</x:v>
      </x:c>
      <x:c r="C4" s="10" t="str">
        <x:v>Justificación / límite</x:v>
      </x:c>
    </x:row>
    <x:row r="5" ht="47" customHeight="1">
      <x:c r="A5" s="4" t="str">
        <x:v>Identificador</x:v>
      </x:c>
      <x:c r="B5" s="4" t="str">
        <x:v>PAR-CYB-REINICIO-SISTEMA-REQUERIDO-001</x:v>
      </x:c>
      <x:c r="C5" s="4" t="str">
        <x:v>Identidad documental de la distinción; versión 0.1.</x:v>
      </x:c>
    </x:row>
    <x:row r="6" ht="47" customHeight="1">
      <x:c r="A6" s="4" t="str">
        <x:v>Estatuto G5</x:v>
      </x:c>
      <x:c r="B6" s="4" t="str">
        <x:v>PARAMETRO_ATOMICO — dictamen documental favorable de la unidad</x:v>
      </x:c>
      <x:c r="C6" s="4" t="str">
        <x:v>Propuesta concreta y revisable para adopción soberana. No se registra una aprobación nominal no emitida por el Director.</x:v>
      </x:c>
    </x:row>
    <x:row r="7" ht="47" customHeight="1">
      <x:c r="A7" s="4" t="str">
        <x:v>Proposición canónica</x:v>
      </x:c>
      <x:c r="B7" s="4" t="str">
        <x:v>Al terminar la operación individual de instalación identificada, era necesario reiniciar el sistema anfitrión para completar esa instalación.</x:v>
      </x:c>
      <x:c r="C7" s="4" t="str">
        <x:v>Sujeto: la instalación individual en un anfitrión. Predicado: requisito de reinicio del sistema. No incluye la eficacia del parche.</x:v>
      </x:c>
    </x:row>
    <x:row r="8" ht="47" customHeight="1">
      <x:c r="A8" s="4" t="str">
        <x:v>Raíz / distinción</x:v>
      </x:c>
      <x:c r="B8" s="4" t="str">
        <x:v>QCY-04 / QCY-04-D1</x:v>
      </x:c>
      <x:c r="C8" s="4" t="str">
        <x:v>El requisito, su cumplimiento y otras condiciones se separan antes de adjudicar.</x:v>
      </x:c>
    </x:row>
    <x:row r="9" ht="47" customHeight="1">
      <x:c r="A9" s="4" t="str">
        <x:v>Familia / subfamilia</x:v>
      </x:c>
      <x:c r="B9" s="4" t="str">
        <x:v>Completitud de instalación / requisito de reinicio del sistema</x:v>
      </x:c>
      <x:c r="C9" s="4" t="str">
        <x:v>Clasificación editorial; sin propietario matricial adjudicado.</x:v>
      </x:c>
    </x:row>
    <x:row r="10" ht="47" customHeight="1">
      <x:c r="A10" s="4" t="str">
        <x:v>Sujeto semántico</x:v>
      </x:c>
      <x:c r="B10" s="4" t="str">
        <x:v>Instalacion_ID + Activo_ID + Actualizacion_ID/version + operación INSTALAR</x:v>
      </x:c>
      <x:c r="C10" s="4" t="str">
        <x:v>Estos campos fijan el sujeto y son controles/identificadores; no son cuatro parámetros.</x:v>
      </x:c>
    </x:row>
    <x:row r="11" ht="47" customHeight="1">
      <x:c r="A11" s="4" t="str">
        <x:v>Horizonte</x:v>
      </x:c>
      <x:c r="B11" s="4" t="str">
        <x:v>Terminación del resultado individual de instalación</x:v>
      </x:c>
      <x:c r="C11" s="4" t="str">
        <x:v>Un evento posterior no cambia la proposición histórica. La deuda de reinicio actual sería otra proposición.</x:v>
      </x:c>
    </x:row>
    <x:row r="12" ht="47" customHeight="1">
      <x:c r="A12" s="4" t="str">
        <x:v>Perfil 0.1</x:v>
      </x:c>
      <x:c r="B12" s="4" t="str">
        <x:v>WUA-INDIVIDUAL-INSTALACION-0.1</x:v>
      </x:c>
      <x:c r="C12" s="4" t="str">
        <x:v>Único perfil admitido para esta especificación. Ampliarlo exige nueva revisión y decisión humana; no autodetección ni aprendizaje en uso.</x:v>
      </x:c>
    </x:row>
    <x:row r="13" ht="47" customHeight="1">
      <x:c r="A13" s="4" t="str">
        <x:v>Observable profesional</x:v>
      </x:c>
      <x:c r="B13" s="4" t="str">
        <x:v>IUpdateInstallationResult.RebootRequired del resultado individual identificado</x:v>
      </x:c>
      <x:c r="C13" s="4" t="str">
        <x:v>Booleano con semántica del fabricante. No equivale a existencia de un campo; su valor documenta un requisito técnico.</x:v>
      </x:c>
    </x:row>
    <x:row r="14" ht="47" customHeight="1">
      <x:c r="A14" s="4" t="str">
        <x:v>Otros observables de entrada</x:v>
      </x:c>
      <x:c r="B14" s="4" t="str">
        <x:v>ResultCode, tipo de operación y vinculación del índice de resultado a la actualización original</x:v>
      </x:c>
      <x:c r="C14" s="4" t="str">
        <x:v>GetUpdateResult devuelve el resultado de una actualización según su índice. El índice se conserva vinculado a la colección original.</x:v>
      </x:c>
    </x:row>
    <x:row r="15" ht="47" customHeight="1">
      <x:c r="A15" s="4" t="str">
        <x:v>Controles previos</x:v>
      </x:c>
      <x:c r="B15" s="4" t="str">
        <x:v>Perfil, procedencia admitida, identidad exacta, captura legible, ámbito individual, operación INSTALAR y resultado orcSucceeded</x:v>
      </x:c>
      <x:c r="C15" s="4" t="str">
        <x:v>La tabla de testigos supone premisas sintéticas explícitas; no valida autenticidad real ni implementa el capturador COM.</x:v>
      </x:c>
    </x:row>
    <x:row r="16" ht="47" customHeight="1">
      <x:c r="A16" s="4" t="str">
        <x:v>Transductor especificado</x:v>
      </x:c>
      <x:c r="B16" s="4" t="str">
        <x:v>I_CYB_REINICIO_WUA_0.1</x:v>
      </x:c>
      <x:c r="C16" s="4" t="str">
        <x:v>Después de controles: true → 1; false → 0; ausencia documental declarada o conflicto entre observaciones admisibles → U.</x:v>
      </x:c>
    </x:row>
    <x:row r="17" ht="47" customHeight="1">
      <x:c r="A17" s="4" t="str">
        <x:v>Estado 1</x:v>
      </x:c>
      <x:c r="B17" s="4" t="str">
        <x:v>El resultado individual exige reinicio del sistema para completar esa instalación</x:v>
      </x:c>
      <x:c r="C17" s="4" t="str">
        <x:v>No significa reinicie ahora, alto riesgo, reinicio pendiente actual ni parche eficaz.</x:v>
      </x:c>
    </x:row>
    <x:row r="18" ht="47" customHeight="1">
      <x:c r="A18" s="4" t="str">
        <x:v>Estado 0</x:v>
      </x:c>
      <x:c r="B18" s="4" t="str">
        <x:v>El resultado individual declara que no requiere ese reinicio del sistema para completar la instalación</x:v>
      </x:c>
      <x:c r="C18" s="4" t="str">
        <x:v>No significa no quedan otros cambios, ausencia de vulnerabilidad, autorización de cierre ni seguridad del sistema.</x:v>
      </x:c>
    </x:row>
    <x:row r="19" ht="47" customHeight="1">
      <x:c r="A19" s="4" t="str">
        <x:v>U propia</x:v>
      </x:c>
      <x:c r="B19" s="4" t="str">
        <x:v>U_DATO_AUSENTE o U_CONFLICTO_OBSERVACIONAL</x:v>
      </x:c>
      <x:c r="C19" s="4" t="str">
        <x:v>No borra otros resultados de la instalación; no se convierte en 0 por silencio ni en 1 por prudencia.</x:v>
      </x:c>
    </x:row>
    <x:row r="20" ht="47" customHeight="1">
      <x:c r="A20" s="4" t="str">
        <x:v>Exclusiones sin Tri</x:v>
      </x:c>
      <x:c r="B20" s="4" t="str">
        <x:v>NO_ADMISION; FUERA_PERFIL; FALLO_CAPTURA</x:v>
      </x:c>
      <x:c r="C20" s="4" t="str">
        <x:v>Distinguir desconocimiento válido, entrada no admisible, perfil fuera de alcance y ausencia de ejecución válida por fallo de captura. No amplían {0,1,U}.</x:v>
      </x:c>
    </x:row>
    <x:row r="21" ht="47" customHeight="1">
      <x:c r="A21" s="4" t="str">
        <x:v>Resultado fallido de instalación</x:v>
      </x:c>
      <x:c r="B21" s="4" t="str">
        <x:v>Se conserva como hecho del dominio en QCY-03 y queda fuera del perfil 0.1 de este átomo</x:v>
      </x:c>
      <x:c r="C21" s="4" t="str">
        <x:v>orcFailed/orcAborted no son un fallo técnico del Lenguaje. orcSucceededWithErrors tampoco se acepta silenciosamente como orcSucceeded.</x:v>
      </x:c>
    </x:row>
    <x:row r="22" ht="47" customHeight="1">
      <x:c r="A22" s="4" t="str">
        <x:v>No se acepta como sustituto</x:v>
      </x:c>
      <x:c r="B22" s="4" t="str">
        <x:v>Resultado de lote, ISystemInformation, historial sin correspondencia, InstallationRebootBehavior, uptime o nota libre</x:v>
      </x:c>
      <x:c r="C22" s="4" t="str">
        <x:v>La predicción condicional del paquete no determina qué ocurrió en esta instalación individual.</x:v>
      </x:c>
    </x:row>
    <x:row r="23" ht="47" customHeight="1">
      <x:c r="A23" s="4" t="str">
        <x:v>Tipo exacto del ensayo</x:v>
      </x:c>
      <x:c r="B23" s="4" t="str">
        <x:v>Lexema documental true/false; AUSENTE explícito; marcas de conflicto o fallo separadas</x:v>
      </x:c>
      <x:c r="C23" s="4" t="str">
        <x:v>La celda contiene texto del lexema original; no es llamada COM ni conversión implícita de 0, 1, -1 o cadenas al booleano.</x:v>
      </x:c>
    </x:row>
    <x:row r="24" ht="47" customHeight="1">
      <x:c r="A24" s="4" t="str">
        <x:v>Activación u(p,OP-CYB-001)</x:v>
      </x:c>
      <x:c r="B24" s="4" t="str">
        <x:v>Al evaluar evidencia de cierre que cita aquella instalación; la admisión valida el perfil individual</x:v>
      </x:c>
      <x:c r="C24" s="4" t="str">
        <x:v>La identidad paramétrica no contiene la orden de cerrar ni la autoridad sobre el activo.</x:v>
      </x:c>
    </x:row>
    <x:row r="25" ht="47" customHeight="1">
      <x:c r="A25" s="4" t="str">
        <x:v>Función profesional del uso</x:v>
      </x:c>
      <x:c r="B25" s="4" t="str">
        <x:v>Conservar si el análisis de completitud debe enlazar evidencia de satisfacción del requisito de reinicio</x:v>
      </x:c>
      <x:c r="C25" s="4" t="str">
        <x:v>La necesidad de enlazar esa evidencia no es una ruta SV implementada.</x:v>
      </x:c>
    </x:row>
    <x:row r="26" ht="47" customHeight="1">
      <x:c r="A26" s="4" t="str">
        <x:v>Consecuencias vinculadas</x:v>
      </x:c>
      <x:c r="B26" s="4" t="str">
        <x:v>CON-CYB-RBT-01 / -02 / -03 / -04</x:v>
      </x:c>
      <x:c r="C26" s="4" t="str">
        <x:v>Dos pérdidas epistemológicas y dos perjuicios operacionales potenciales condicionados.</x:v>
      </x:c>
    </x:row>
    <x:row r="27" ht="47" customHeight="1">
      <x:c r="A27" s="4" t="str">
        <x:v>Independencia</x:v>
      </x:c>
      <x:c r="B27" s="4" t="str">
        <x:v>Puede variar el requisito sin variar éxito comunicado, autorización de interrupción o impacto del servicio</x:v>
      </x:c>
      <x:c r="C27" s="4" t="str">
        <x:v>La realización posterior y el efecto no forman parte de este predicado; los pares de contraste los mantienen separados.</x:v>
      </x:c>
    </x:row>
    <x:row r="28" ht="47" customHeight="1">
      <x:c r="A28" s="4" t="str">
        <x:v>Ablación</x:v>
      </x:c>
      <x:c r="B28" s="4" t="str">
        <x:v>Quitar la distinción impide diferenciar dos obligaciones documentales de completitud</x:v>
      </x:c>
      <x:c r="C28" s="4" t="str">
        <x:v>La prueba usa una proyección semántica declarada sin canales laterales. No prueba pérdida del expediente completo SV.</x:v>
      </x:c>
    </x:row>
    <x:row r="29" ht="47" customHeight="1">
      <x:c r="A29" s="4" t="str">
        <x:v>Partición</x:v>
      </x:c>
      <x:c r="B29" s="4" t="str">
        <x:v>Requisito de reinicio y reinicio efectuado sí se separan; dividir el requisito en palabras/campos no produce otro predicado útil en este uso</x:v>
      </x:c>
      <x:c r="C29" s="4" t="str">
        <x:v>No se demuestra atomicidad universal de todos los usos futuros. Nueva refutación material requiere revisar esta identidad.</x:v>
      </x:c>
    </x:row>
    <x:row r="30" ht="47" customHeight="1">
      <x:c r="A30" s="4" t="str">
        <x:v>Propiedad / geometría</x:v>
      </x:c>
      <x:c r="B30" s="4" t="str">
        <x:v>PENDIENTE_G6; 0 células, 0 rutas, 0 Frames constituidos por este lote</x:v>
      </x:c>
      <x:c r="C30" s="4" t="str">
        <x:v>No se fabrica célula con un parámetro ni se rellenan ocho posiciones.</x:v>
      </x:c>
    </x:row>
    <x:row r="31" ht="47" customHeight="1">
      <x:c r="A31" s="4" t="str">
        <x:v>Explicación al experto</x:v>
      </x:c>
      <x:c r="B31" s="4" t="str">
        <x:v>Resultado y horizonte; observación aplicada; regla y fuente; incertidumbre; enlace a satisfacción/efecto; consecuencia y límite</x:v>
      </x:c>
      <x:c r="C31" s="4" t="str">
        <x:v>La traza de este ensayo es un registro documental. No se llama Frame a una tabla, prosa o JSON sin arquitectura SV constituida.</x:v>
      </x:c>
    </x:row>
    <x:row r="32" ht="47" customHeight="1">
      <x:c r="A32" s="4" t="str">
        <x:v>Representación recibida</x:v>
      </x:c>
      <x:c r="B32" s="4" t="str">
        <x:v>RETP-105 / 66967a80a40f4e2781ef983bd725690db54c25c5; corte técnico ab61d9bb7a2002d3a4a389e292c2a9b0a850d264</x:v>
      </x:c>
      <x:c r="C32" s="4" t="str">
        <x:v>La recepción no acredita observación productiva a Tri. Este lote no modifica el Lenguaje ni usa el compilador Python retirado.</x:v>
      </x:c>
    </x:row>
  </x:sheetData>
  <x:mergeCells>
    <x:mergeCell ref="A1:C1"/>
    <x:mergeCell ref="A2:C2"/>
  </x:mergeCells>
  <x:pageMargins left="0.7" right="0.7" top="0.75" bottom="0.75" header="0.3" footer="0.3"/>
  <x:tableParts count="1">
    <x:tablePart xmlns:r="http://schemas.openxmlformats.org/officeDocument/2006/relationships" r:id="R7c82fad096b84799"/>
  </x:tableParts>
</x:worksheet>
</file>

<file path=xl/worksheets/sheet41.xml><?xml version="1.0" encoding="utf-8"?>
<x:worksheet xmlns:x="http://schemas.openxmlformats.org/spreadsheetml/2006/main">
  <x:sheetViews>
    <x:sheetView showGridLines="0" workbookViewId="0"/>
  </x:sheetViews>
  <x:sheetFormatPr defaultRowHeight="15"/>
  <x:cols>
    <x:col min="1" max="1" width="26" hidden="0" customWidth="1"/>
    <x:col min="2" max="2" width="29" hidden="0" customWidth="1"/>
    <x:col min="3" max="3" width="75" hidden="0" customWidth="1"/>
    <x:col min="4" max="4" width="65" hidden="0" customWidth="1"/>
    <x:col min="5" max="5" width="66" hidden="0" customWidth="1"/>
    <x:col min="6" max="6" width="76" hidden="0" customWidth="1"/>
    <x:col min="7" max="7" width="79" hidden="0" customWidth="1"/>
    <x:col min="8" max="8" width="49" hidden="0" customWidth="1"/>
  </x:cols>
  <x:sheetData>
    <x:row r="1" ht="35" customHeight="1">
      <x:c r="A1" s="6" t="str">
        <x:v>G4-CON · consecuencias de omitir conocimiento enlazado</x:v>
      </x:c>
      <x:c r="B1" s="6"/>
      <x:c r="C1" s="6"/>
      <x:c r="D1" s="6"/>
      <x:c r="E1" s="6"/>
      <x:c r="F1" s="6"/>
      <x:c r="G1" s="6"/>
      <x:c r="H1" s="6"/>
    </x:row>
    <x:row r="2" ht="52" customHeight="1">
      <x:c r="A2" s="8" t="str">
        <x:v>La evidencia y el mecanismo preceden al dictamen G5. Los perjuicios son potenciales y condicionados; ninguna fila es un incidente observado.</x:v>
      </x:c>
      <x:c r="B2" s="8"/>
      <x:c r="C2" s="8"/>
      <x:c r="D2" s="8"/>
      <x:c r="E2" s="8"/>
      <x:c r="F2" s="8"/>
      <x:c r="G2" s="8"/>
      <x:c r="H2" s="8"/>
    </x:row>
    <x:row r="3">
      <x:c r="A3" s="4"/>
      <x:c r="B3" s="4"/>
      <x:c r="C3" s="4"/>
      <x:c r="D3" s="4"/>
      <x:c r="E3" s="4"/>
      <x:c r="F3" s="4"/>
      <x:c r="G3" s="4"/>
      <x:c r="H3" s="4"/>
    </x:row>
    <x:row r="4" ht="42" customHeight="1">
      <x:c r="A4" s="10" t="str">
        <x:v>ID</x:v>
      </x:c>
      <x:c r="B4" s="10" t="str">
        <x:v>Clase</x:v>
      </x:c>
      <x:c r="C4" s="10" t="str">
        <x:v>Conocimiento que debe enlazarse</x:v>
      </x:c>
      <x:c r="D4" s="10" t="str">
        <x:v>Error u omisión</x:v>
      </x:c>
      <x:c r="E4" s="10" t="str">
        <x:v>Consejo afectado</x:v>
      </x:c>
      <x:c r="F4" s="10" t="str">
        <x:v>Consecuencia</x:v>
      </x:c>
      <x:c r="G4" s="10" t="str">
        <x:v>Condición / límite causal</x:v>
      </x:c>
      <x:c r="H4" s="10" t="str">
        <x:v>Fuentes previas</x:v>
      </x:c>
    </x:row>
    <x:row r="5" ht="47" customHeight="1">
      <x:c r="A5" s="4" t="str">
        <x:v>CON-CYB-RBT-01</x:v>
      </x:c>
      <x:c r="B5" s="4" t="str">
        <x:v>EPISTEMOLOGICA</x:v>
      </x:c>
      <x:c r="C5" s="4" t="str">
        <x:v>Éxito comunicado + requisito de reinicio → examen de satisfacción del requisito</x:v>
      </x:c>
      <x:c r="D5" s="4" t="str">
        <x:v>Omitir el valor o sustituirlo por éxito</x:v>
      </x:c>
      <x:c r="E5" s="4" t="str">
        <x:v>Cerrar evidencia como completa sin revisar la condición requerida</x:v>
      </x:c>
      <x:c r="F5" s="4" t="str">
        <x:v>La conclusión excede la evidencia; el testigo sintético demuestra pérdida de distinción.</x:v>
      </x:c>
      <x:c r="G5" s="4" t="str">
        <x:v>No presupone vulnerabilidad explotable ni daño real.</x:v>
      </x:c>
      <x:c r="H5" s="4" t="str">
        <x:v>R025 IV; T001 §2.3.2; T002; testigo AB-01</x:v>
      </x:c>
    </x:row>
    <x:row r="6" ht="47" customHeight="1">
      <x:c r="A6" s="4" t="str">
        <x:v>CON-CYB-RBT-02</x:v>
      </x:c>
      <x:c r="B6" s="4" t="str">
        <x:v>OPERACIONAL_POTENCIAL</x:v>
      </x:c>
      <x:c r="C6" s="4" t="str">
        <x:v>Requisito existente + no satisfecho + corrección que depende de completarlo</x:v>
      </x:c>
      <x:c r="D6" s="4" t="str">
        <x:v>Omitir el enlace entre requisito y cumplimiento</x:v>
      </x:c>
      <x:c r="E6" s="4" t="str">
        <x:v>Dar por corregido el componente antes de satisfacer una condición necesaria</x:v>
      </x:c>
      <x:c r="F6" s="4" t="str">
        <x:v>Puede persistir el estado vulnerable que la corrección pretendía resolver.</x:v>
      </x:c>
      <x:c r="G6" s="4" t="str">
        <x:v>Requiere aplicabilidad y prueba de estado activo; no implica explotación ni pérdida consumada.</x:v>
      </x:c>
      <x:c r="H6" s="4" t="str">
        <x:v>T001 §§2.3.2–2.3.3; QCY-01/04/05</x:v>
      </x:c>
    </x:row>
    <x:row r="7" ht="47" customHeight="1">
      <x:c r="A7" s="4" t="str">
        <x:v>CON-CYB-RBT-03</x:v>
      </x:c>
      <x:c r="B7" s="4" t="str">
        <x:v>OPERACIONAL_POTENCIAL</x:v>
      </x:c>
      <x:c r="C7" s="4" t="str">
        <x:v>Requisito técnico + condiciones del servicio + permiso + alternativas/coste</x:v>
      </x:c>
      <x:c r="D7" s="4" t="str">
        <x:v>Convertir 1 en orden inmediata o inventar requisito con 0/U</x:v>
      </x:c>
      <x:c r="E7" s="4" t="str">
        <x:v>Aconsejar una interrupción sin evaluar condiciones y autoridad</x:v>
      </x:c>
      <x:c r="F7" s="4" t="str">
        <x:v>Puede provocar interrupción evitable o coste desproporcionado para el servicio protegido.</x:v>
      </x:c>
      <x:c r="G7" s="4" t="str">
        <x:v>No todo reinicio interrumpe el servicio; redundancia, ventana e impacto se deben valorar.</x:v>
      </x:c>
      <x:c r="H7" s="4" t="str">
        <x:v>R025/R033/R035; T001 §3.2; mandato humano</x:v>
      </x:c>
    </x:row>
    <x:row r="8" ht="47" customHeight="1">
      <x:c r="A8" s="4" t="str">
        <x:v>CON-CYB-RBT-04</x:v>
      </x:c>
      <x:c r="B8" s="4" t="str">
        <x:v>EPISTEMOLOGICA</x:v>
      </x:c>
      <x:c r="C8" s="4" t="str">
        <x:v>Requisito histórico + evento posterior → relación de cumplimiento</x:v>
      </x:c>
      <x:c r="D8" s="4" t="str">
        <x:v>Sobrescribir 1 con 0 cuando se reinicia, o usar el 1 histórico como deuda actual</x:v>
      </x:c>
      <x:c r="E8" s="4" t="str">
        <x:v>Perder por qué se exigió una comprobación o repetir una exigencia ya satisfecha</x:v>
      </x:c>
      <x:c r="F8" s="4" t="str">
        <x:v>La explicación temporal deja de distinguir requisito de cumplimiento.</x:v>
      </x:c>
      <x:c r="G8" s="4" t="str">
        <x:v>No se ordena una acción ni se constituye aquí el átomo de cumplimiento.</x:v>
      </x:c>
      <x:c r="H8" s="4" t="str">
        <x:v>T002; S018/S019; testigos TI-01/TI-02</x:v>
      </x:c>
    </x:row>
  </x:sheetData>
  <x:mergeCells>
    <x:mergeCell ref="A1:D1"/>
    <x:mergeCell ref="A2:F2"/>
  </x:mergeCells>
  <x:pageMargins left="0.7" right="0.7" top="0.75" bottom="0.75" header="0.3" footer="0.3"/>
  <x:tableParts count="1">
    <x:tablePart xmlns:r="http://schemas.openxmlformats.org/officeDocument/2006/relationships" r:id="Ra40df929037243e0"/>
  </x:tableParts>
</x:worksheet>
</file>

<file path=xl/worksheets/sheet42.xml><?xml version="1.0" encoding="utf-8"?>
<x:worksheet xmlns:x="http://schemas.openxmlformats.org/spreadsheetml/2006/main">
  <x:sheetViews>
    <x:sheetView showGridLines="0" workbookViewId="0"/>
  </x:sheetViews>
  <x:sheetFormatPr defaultRowHeight="15"/>
  <x:cols>
    <x:col min="1" max="1" width="16" hidden="0" customWidth="1"/>
    <x:col min="2" max="2" width="22" hidden="0" customWidth="1"/>
    <x:col min="3" max="3" width="24" hidden="0" customWidth="1"/>
    <x:col min="4" max="4" width="28" hidden="0" customWidth="1"/>
    <x:col min="5" max="5" width="23" hidden="0" customWidth="1"/>
    <x:col min="6" max="6" width="19" hidden="0" customWidth="1"/>
    <x:col min="7" max="7" width="29" hidden="0" customWidth="1"/>
    <x:col min="8" max="8" width="29" hidden="0" customWidth="1"/>
    <x:col min="9" max="9" width="23" hidden="0" customWidth="1"/>
    <x:col min="10" max="10" width="27" hidden="0" customWidth="1"/>
    <x:col min="11" max="11" width="24" hidden="0" customWidth="1"/>
    <x:col min="12" max="12" width="15" hidden="0" customWidth="1"/>
    <x:col min="13" max="13" width="38" hidden="0" customWidth="1"/>
    <x:col min="14" max="14" width="24" hidden="0" customWidth="1"/>
    <x:col min="15" max="15" width="15" hidden="0" customWidth="1"/>
    <x:col min="16" max="16" width="38" hidden="0" customWidth="1"/>
    <x:col min="17" max="17" width="18" hidden="0" customWidth="1"/>
    <x:col min="18" max="18" width="80" hidden="0" customWidth="1"/>
  </x:cols>
  <x:sheetData>
    <x:row r="1" ht="35" customHeight="1">
      <x:c r="A1" s="6" t="str">
        <x:v>G5 · testigos documentales sintéticos</x:v>
      </x:c>
      <x:c r="B1" s="6"/>
      <x:c r="C1" s="6"/>
      <x:c r="D1" s="6"/>
      <x:c r="E1" s="6"/>
      <x:c r="F1" s="6"/>
      <x:c r="G1" s="6"/>
      <x:c r="H1" s="6"/>
      <x:c r="I1" s="6"/>
      <x:c r="J1" s="6"/>
      <x:c r="K1" s="6"/>
      <x:c r="L1" s="6"/>
      <x:c r="M1" s="6"/>
      <x:c r="N1" s="6"/>
      <x:c r="O1" s="6"/>
      <x:c r="P1" s="6"/>
      <x:c r="Q1" s="6"/>
      <x:c r="R1" s="6"/>
    </x:row>
    <x:row r="2" ht="52" customHeight="1">
      <x:c r="A2" s="8" t="str">
        <x:v>Esperados fijados antes de cálculo. Las fórmulas ensayan el contrato documental; no ejecutan WUA, SV, instalaciones ni consejo operacional.</x:v>
      </x:c>
      <x:c r="B2" s="8"/>
      <x:c r="C2" s="8"/>
      <x:c r="D2" s="8"/>
      <x:c r="E2" s="8"/>
      <x:c r="F2" s="8"/>
      <x:c r="G2" s="8"/>
      <x:c r="H2" s="8"/>
      <x:c r="I2" s="8"/>
      <x:c r="J2" s="8"/>
      <x:c r="K2" s="8"/>
      <x:c r="L2" s="8"/>
      <x:c r="M2" s="8"/>
      <x:c r="N2" s="8"/>
      <x:c r="O2" s="8"/>
      <x:c r="P2" s="8"/>
      <x:c r="Q2" s="8"/>
      <x:c r="R2" s="8"/>
    </x:row>
    <x:row r="3">
      <x:c r="A3" s="4"/>
      <x:c r="B3" s="4"/>
      <x:c r="C3" s="4"/>
      <x:c r="D3" s="4"/>
      <x:c r="E3" s="4"/>
      <x:c r="F3" s="4"/>
      <x:c r="G3" s="4"/>
      <x:c r="H3" s="4"/>
      <x:c r="I3" s="4"/>
      <x:c r="J3" s="4"/>
      <x:c r="K3" s="4"/>
      <x:c r="L3" s="4"/>
      <x:c r="M3" s="4"/>
      <x:c r="N3" s="4"/>
      <x:c r="O3" s="4"/>
      <x:c r="P3" s="4"/>
      <x:c r="Q3" s="4"/>
      <x:c r="R3" s="4"/>
    </x:row>
    <x:row r="4" ht="42" customHeight="1">
      <x:c r="A4" s="10" t="str">
        <x:v>ID</x:v>
      </x:c>
      <x:c r="B4" s="10" t="str">
        <x:v>Ataque / familia</x:v>
      </x:c>
      <x:c r="C4" s="10" t="str">
        <x:v>Perfil</x:v>
      </x:c>
      <x:c r="D4" s="10" t="str">
        <x:v>Identidad</x:v>
      </x:c>
      <x:c r="E4" s="10" t="str">
        <x:v>Procedencia</x:v>
      </x:c>
      <x:c r="F4" s="10" t="str">
        <x:v>Captura</x:v>
      </x:c>
      <x:c r="G4" s="10" t="str">
        <x:v>Ámbito</x:v>
      </x:c>
      <x:c r="H4" s="10" t="str">
        <x:v>Resultado instalación</x:v>
      </x:c>
      <x:c r="I4" s="10" t="str">
        <x:v>Observación</x:v>
      </x:c>
      <x:c r="J4" s="10" t="str">
        <x:v>Lexema exacto</x:v>
      </x:c>
      <x:c r="K4" s="10" t="str">
        <x:v>Clase esperada</x:v>
      </x:c>
      <x:c r="L4" s="10" t="str">
        <x:v>Tri esperado</x:v>
      </x:c>
      <x:c r="M4" s="10" t="str">
        <x:v>Diagnóstico esperado</x:v>
      </x:c>
      <x:c r="N4" s="10" t="str">
        <x:v>Clase calculada</x:v>
      </x:c>
      <x:c r="O4" s="10" t="str">
        <x:v>Tri calculado</x:v>
      </x:c>
      <x:c r="P4" s="10" t="str">
        <x:v>Diagnóstico calculado</x:v>
      </x:c>
      <x:c r="Q4" s="10" t="str">
        <x:v>Concordancia</x:v>
      </x:c>
      <x:c r="R4" s="10" t="str">
        <x:v>Interpretación</x:v>
      </x:c>
    </x:row>
    <x:row r="5" ht="47" customHeight="1">
      <x:c r="A5" s="4" t="str">
        <x:v>TA-01</x:v>
      </x:c>
      <x:c r="B5" s="4" t="str">
        <x:v>SEMANTICA</x:v>
      </x:c>
      <x:c r="C5" s="4" t="str">
        <x:v>WUA-IND-0.1</x:v>
      </x:c>
      <x:c r="D5" s="4" t="str">
        <x:v>COINCIDE</x:v>
      </x:c>
      <x:c r="E5" s="4" t="str">
        <x:v>ADMITIDA</x:v>
      </x:c>
      <x:c r="F5" s="4" t="str">
        <x:v>LEGIBLE</x:v>
      </x:c>
      <x:c r="G5" s="4" t="str">
        <x:v>INDIVIDUAL_INSTALAR</x:v>
      </x:c>
      <x:c r="H5" s="4" t="str">
        <x:v>orcSucceeded</x:v>
      </x:c>
      <x:c r="I5" s="4" t="str">
        <x:v>UNICA</x:v>
      </x:c>
      <x:c r="J5" s="4" t="str">
        <x:v>true</x:v>
      </x:c>
      <x:c r="K5" s="4" t="str">
        <x:v>VALIDA</x:v>
      </x:c>
      <x:c r="L5" s="4" t="str">
        <x:v>1</x:v>
      </x:c>
      <x:c r="M5" s="4" t="str">
        <x:v>REQUISITO_SI</x:v>
      </x:c>
      <x:c r="N5" s="12" t="str">
        <x:f>IF(F5="FALLO","FALLO_CAPTURA",IF(F5&lt;&gt;"LEGIBLE","NO_ADMISION",IF(D5&lt;&gt;"COINCIDE","NO_ADMISION",IF(E5&lt;&gt;"ADMITIDA","NO_ADMISION",IF(C5&lt;&gt;"WUA-IND-0.1","FUERA_PERFIL",IF(G5&lt;&gt;"INDIVIDUAL_INSTALAR","FUERA_PERFIL",IF(NOT(OR(H5="orcNotStarted",H5="orcInProgress",H5="orcSucceeded",H5="orcSucceededWithErrors",H5="orcFailed",H5="orcAborted")),"NO_ADMISION",IF(H5&lt;&gt;"orcSucceeded","FUERA_PERFIL",IF(OR(AND(I5="AUSENTE",J5=""),AND(I5="CONFLICTO",J5="true|false"),AND(I5="UNICA",OR(J5="true",J5="false"))),"VALIDA","NO_ADMISION")))))))))</x:f>
        <x:v>VALIDA</x:v>
      </x:c>
      <x:c r="O5" s="12" t="str">
        <x:f>IF(N5&lt;&gt;"VALIDA","",IF(I5&lt;&gt;"UNICA","U",IF(J5="true","1","0")))</x:f>
        <x:v>1</x:v>
      </x:c>
      <x:c r="P5" s="12" t="str">
        <x:f>IF(F5="FALLO","SIN_EJECUCION_DOMINIO",IF(F5&lt;&gt;"LEGIBLE","CAPTURA_MAL_FORMADA",IF(D5&lt;&gt;"COINCIDE","IDENTIDAD",IF(E5&lt;&gt;"ADMITIDA","PROCEDENCIA",IF(C5&lt;&gt;"WUA-IND-0.1","PERFIL_NO_CONSTITUIDO",IF(G5&lt;&gt;"INDIVIDUAL_INSTALAR","AMBITO_RESULTADO",IF(NOT(OR(H5="orcNotStarted",H5="orcInProgress",H5="orcSucceeded",H5="orcSucceededWithErrors",H5="orcFailed",H5="orcAborted")),"RESULTADO_DESCONOCIDO",IF(H5&lt;&gt;"orcSucceeded","RESULTADO_INSTALACION",IF(N5="NO_ADMISION",IF(I5="UNICA","LEXEMA_NO_BOOLEANO","OBSERVACION_MAL_FORMADA"),IF(I5="AUSENTE","DATO_AUSENTE",IF(I5="CONFLICTO","CONFLICTO_OBSERVACIONAL",IF(J5="true","REQUISITO_SI","REQUISITO_NO"))))))))))))</x:f>
        <x:v>REQUISITO_SI</x:v>
      </x:c>
      <x:c r="Q5" s="12" t="str">
        <x:f>IF(AND(K5=N5,L5=O5,M5=P5),"PASA","NO_PASA")</x:f>
        <x:v>PASA</x:v>
      </x:c>
      <x:c r="R5" s="4" t="str">
        <x:v>Éxito comunicado y reinicio requerido coexisten.</x:v>
      </x:c>
    </x:row>
    <x:row r="6" ht="47" customHeight="1">
      <x:c r="A6" s="4" t="str">
        <x:v>TA-02</x:v>
      </x:c>
      <x:c r="B6" s="4" t="str">
        <x:v>SEMANTICA</x:v>
      </x:c>
      <x:c r="C6" s="4" t="str">
        <x:v>WUA-IND-0.1</x:v>
      </x:c>
      <x:c r="D6" s="4" t="str">
        <x:v>COINCIDE</x:v>
      </x:c>
      <x:c r="E6" s="4" t="str">
        <x:v>ADMITIDA</x:v>
      </x:c>
      <x:c r="F6" s="4" t="str">
        <x:v>LEGIBLE</x:v>
      </x:c>
      <x:c r="G6" s="4" t="str">
        <x:v>INDIVIDUAL_INSTALAR</x:v>
      </x:c>
      <x:c r="H6" s="4" t="str">
        <x:v>orcSucceeded</x:v>
      </x:c>
      <x:c r="I6" s="4" t="str">
        <x:v>UNICA</x:v>
      </x:c>
      <x:c r="J6" s="4" t="str">
        <x:v>false</x:v>
      </x:c>
      <x:c r="K6" s="4" t="str">
        <x:v>VALIDA</x:v>
      </x:c>
      <x:c r="L6" s="4" t="str">
        <x:v>0</x:v>
      </x:c>
      <x:c r="M6" s="4" t="str">
        <x:v>REQUISITO_NO</x:v>
      </x:c>
      <x:c r="N6" s="12" t="str">
        <x:f>IF(F6="FALLO","FALLO_CAPTURA",IF(F6&lt;&gt;"LEGIBLE","NO_ADMISION",IF(D6&lt;&gt;"COINCIDE","NO_ADMISION",IF(E6&lt;&gt;"ADMITIDA","NO_ADMISION",IF(C6&lt;&gt;"WUA-IND-0.1","FUERA_PERFIL",IF(G6&lt;&gt;"INDIVIDUAL_INSTALAR","FUERA_PERFIL",IF(NOT(OR(H6="orcNotStarted",H6="orcInProgress",H6="orcSucceeded",H6="orcSucceededWithErrors",H6="orcFailed",H6="orcAborted")),"NO_ADMISION",IF(H6&lt;&gt;"orcSucceeded","FUERA_PERFIL",IF(OR(AND(I6="AUSENTE",J6=""),AND(I6="CONFLICTO",J6="true|false"),AND(I6="UNICA",OR(J6="true",J6="false"))),"VALIDA","NO_ADMISION")))))))))</x:f>
        <x:v>VALIDA</x:v>
      </x:c>
      <x:c r="O6" s="12" t="str">
        <x:f>IF(N6&lt;&gt;"VALIDA","",IF(I6&lt;&gt;"UNICA","U",IF(J6="true","1","0")))</x:f>
        <x:v>0</x:v>
      </x:c>
      <x:c r="P6" s="12" t="str">
        <x:f>IF(F6="FALLO","SIN_EJECUCION_DOMINIO",IF(F6&lt;&gt;"LEGIBLE","CAPTURA_MAL_FORMADA",IF(D6&lt;&gt;"COINCIDE","IDENTIDAD",IF(E6&lt;&gt;"ADMITIDA","PROCEDENCIA",IF(C6&lt;&gt;"WUA-IND-0.1","PERFIL_NO_CONSTITUIDO",IF(G6&lt;&gt;"INDIVIDUAL_INSTALAR","AMBITO_RESULTADO",IF(NOT(OR(H6="orcNotStarted",H6="orcInProgress",H6="orcSucceeded",H6="orcSucceededWithErrors",H6="orcFailed",H6="orcAborted")),"RESULTADO_DESCONOCIDO",IF(H6&lt;&gt;"orcSucceeded","RESULTADO_INSTALACION",IF(N6="NO_ADMISION",IF(I6="UNICA","LEXEMA_NO_BOOLEANO","OBSERVACION_MAL_FORMADA"),IF(I6="AUSENTE","DATO_AUSENTE",IF(I6="CONFLICTO","CONFLICTO_OBSERVACIONAL",IF(J6="true","REQUISITO_SI","REQUISITO_NO"))))))))))))</x:f>
        <x:v>REQUISITO_NO</x:v>
      </x:c>
      <x:c r="Q6" s="12" t="str">
        <x:f>IF(AND(K6=N6,L6=O6,M6=P6),"PASA","NO_PASA")</x:f>
        <x:v>PASA</x:v>
      </x:c>
      <x:c r="R6" s="4" t="str">
        <x:v>Ausencia explícita del requisito; no autoriza cierre.</x:v>
      </x:c>
    </x:row>
    <x:row r="7" ht="47" customHeight="1">
      <x:c r="A7" s="4" t="str">
        <x:v>TA-03</x:v>
      </x:c>
      <x:c r="B7" s="4" t="str">
        <x:v>U PROPIA</x:v>
      </x:c>
      <x:c r="C7" s="4" t="str">
        <x:v>WUA-IND-0.1</x:v>
      </x:c>
      <x:c r="D7" s="4" t="str">
        <x:v>COINCIDE</x:v>
      </x:c>
      <x:c r="E7" s="4" t="str">
        <x:v>ADMITIDA</x:v>
      </x:c>
      <x:c r="F7" s="4" t="str">
        <x:v>LEGIBLE</x:v>
      </x:c>
      <x:c r="G7" s="4" t="str">
        <x:v>INDIVIDUAL_INSTALAR</x:v>
      </x:c>
      <x:c r="H7" s="4" t="str">
        <x:v>orcSucceeded</x:v>
      </x:c>
      <x:c r="I7" s="4" t="str">
        <x:v>AUSENTE</x:v>
      </x:c>
      <x:c r="J7" s="4" t="str"/>
      <x:c r="K7" s="4" t="str">
        <x:v>VALIDA</x:v>
      </x:c>
      <x:c r="L7" s="4" t="str">
        <x:v>U</x:v>
      </x:c>
      <x:c r="M7" s="4" t="str">
        <x:v>DATO_AUSENTE</x:v>
      </x:c>
      <x:c r="N7" s="12" t="str">
        <x:f>IF(F7="FALLO","FALLO_CAPTURA",IF(F7&lt;&gt;"LEGIBLE","NO_ADMISION",IF(D7&lt;&gt;"COINCIDE","NO_ADMISION",IF(E7&lt;&gt;"ADMITIDA","NO_ADMISION",IF(C7&lt;&gt;"WUA-IND-0.1","FUERA_PERFIL",IF(G7&lt;&gt;"INDIVIDUAL_INSTALAR","FUERA_PERFIL",IF(NOT(OR(H7="orcNotStarted",H7="orcInProgress",H7="orcSucceeded",H7="orcSucceededWithErrors",H7="orcFailed",H7="orcAborted")),"NO_ADMISION",IF(H7&lt;&gt;"orcSucceeded","FUERA_PERFIL",IF(OR(AND(I7="AUSENTE",J7=""),AND(I7="CONFLICTO",J7="true|false"),AND(I7="UNICA",OR(J7="true",J7="false"))),"VALIDA","NO_ADMISION")))))))))</x:f>
        <x:v>VALIDA</x:v>
      </x:c>
      <x:c r="O7" s="12" t="str">
        <x:f>IF(N7&lt;&gt;"VALIDA","",IF(I7&lt;&gt;"UNICA","U",IF(J7="true","1","0")))</x:f>
        <x:v>U</x:v>
      </x:c>
      <x:c r="P7" s="12" t="str">
        <x:f>IF(F7="FALLO","SIN_EJECUCION_DOMINIO",IF(F7&lt;&gt;"LEGIBLE","CAPTURA_MAL_FORMADA",IF(D7&lt;&gt;"COINCIDE","IDENTIDAD",IF(E7&lt;&gt;"ADMITIDA","PROCEDENCIA",IF(C7&lt;&gt;"WUA-IND-0.1","PERFIL_NO_CONSTITUIDO",IF(G7&lt;&gt;"INDIVIDUAL_INSTALAR","AMBITO_RESULTADO",IF(NOT(OR(H7="orcNotStarted",H7="orcInProgress",H7="orcSucceeded",H7="orcSucceededWithErrors",H7="orcFailed",H7="orcAborted")),"RESULTADO_DESCONOCIDO",IF(H7&lt;&gt;"orcSucceeded","RESULTADO_INSTALACION",IF(N7="NO_ADMISION",IF(I7="UNICA","LEXEMA_NO_BOOLEANO","OBSERVACION_MAL_FORMADA"),IF(I7="AUSENTE","DATO_AUSENTE",IF(I7="CONFLICTO","CONFLICTO_OBSERVACIONAL",IF(J7="true","REQUISITO_SI","REQUISITO_NO"))))))))))))</x:f>
        <x:v>DATO_AUSENTE</x:v>
      </x:c>
      <x:c r="Q7" s="12" t="str">
        <x:f>IF(AND(K7=N7,L7=O7,M7=P7),"PASA","NO_PASA")</x:f>
        <x:v>PASA</x:v>
      </x:c>
      <x:c r="R7" s="4" t="str">
        <x:v>Captura parcial declarada; silencio no significa false.</x:v>
      </x:c>
    </x:row>
    <x:row r="8" ht="47" customHeight="1">
      <x:c r="A8" s="4" t="str">
        <x:v>TA-04</x:v>
      </x:c>
      <x:c r="B8" s="4" t="str">
        <x:v>U PROPIA</x:v>
      </x:c>
      <x:c r="C8" s="4" t="str">
        <x:v>WUA-IND-0.1</x:v>
      </x:c>
      <x:c r="D8" s="4" t="str">
        <x:v>COINCIDE</x:v>
      </x:c>
      <x:c r="E8" s="4" t="str">
        <x:v>ADMITIDA</x:v>
      </x:c>
      <x:c r="F8" s="4" t="str">
        <x:v>LEGIBLE</x:v>
      </x:c>
      <x:c r="G8" s="4" t="str">
        <x:v>INDIVIDUAL_INSTALAR</x:v>
      </x:c>
      <x:c r="H8" s="4" t="str">
        <x:v>orcSucceeded</x:v>
      </x:c>
      <x:c r="I8" s="4" t="str">
        <x:v>CONFLICTO</x:v>
      </x:c>
      <x:c r="J8" s="4" t="str">
        <x:v>true|false</x:v>
      </x:c>
      <x:c r="K8" s="4" t="str">
        <x:v>VALIDA</x:v>
      </x:c>
      <x:c r="L8" s="4" t="str">
        <x:v>U</x:v>
      </x:c>
      <x:c r="M8" s="4" t="str">
        <x:v>CONFLICTO_OBSERVACIONAL</x:v>
      </x:c>
      <x:c r="N8" s="12" t="str">
        <x:f>IF(F8="FALLO","FALLO_CAPTURA",IF(F8&lt;&gt;"LEGIBLE","NO_ADMISION",IF(D8&lt;&gt;"COINCIDE","NO_ADMISION",IF(E8&lt;&gt;"ADMITIDA","NO_ADMISION",IF(C8&lt;&gt;"WUA-IND-0.1","FUERA_PERFIL",IF(G8&lt;&gt;"INDIVIDUAL_INSTALAR","FUERA_PERFIL",IF(NOT(OR(H8="orcNotStarted",H8="orcInProgress",H8="orcSucceeded",H8="orcSucceededWithErrors",H8="orcFailed",H8="orcAborted")),"NO_ADMISION",IF(H8&lt;&gt;"orcSucceeded","FUERA_PERFIL",IF(OR(AND(I8="AUSENTE",J8=""),AND(I8="CONFLICTO",J8="true|false"),AND(I8="UNICA",OR(J8="true",J8="false"))),"VALIDA","NO_ADMISION")))))))))</x:f>
        <x:v>VALIDA</x:v>
      </x:c>
      <x:c r="O8" s="12" t="str">
        <x:f>IF(N8&lt;&gt;"VALIDA","",IF(I8&lt;&gt;"UNICA","U",IF(J8="true","1","0")))</x:f>
        <x:v>U</x:v>
      </x:c>
      <x:c r="P8" s="12" t="str">
        <x:f>IF(F8="FALLO","SIN_EJECUCION_DOMINIO",IF(F8&lt;&gt;"LEGIBLE","CAPTURA_MAL_FORMADA",IF(D8&lt;&gt;"COINCIDE","IDENTIDAD",IF(E8&lt;&gt;"ADMITIDA","PROCEDENCIA",IF(C8&lt;&gt;"WUA-IND-0.1","PERFIL_NO_CONSTITUIDO",IF(G8&lt;&gt;"INDIVIDUAL_INSTALAR","AMBITO_RESULTADO",IF(NOT(OR(H8="orcNotStarted",H8="orcInProgress",H8="orcSucceeded",H8="orcSucceededWithErrors",H8="orcFailed",H8="orcAborted")),"RESULTADO_DESCONOCIDO",IF(H8&lt;&gt;"orcSucceeded","RESULTADO_INSTALACION",IF(N8="NO_ADMISION",IF(I8="UNICA","LEXEMA_NO_BOOLEANO","OBSERVACION_MAL_FORMADA"),IF(I8="AUSENTE","DATO_AUSENTE",IF(I8="CONFLICTO","CONFLICTO_OBSERVACIONAL",IF(J8="true","REQUISITO_SI","REQUISITO_NO"))))))))))))</x:f>
        <x:v>CONFLICTO_OBSERVACIONAL</x:v>
      </x:c>
      <x:c r="Q8" s="12" t="str">
        <x:f>IF(AND(K8=N8,L8=O8,M8=P8),"PASA","NO_PASA")</x:f>
        <x:v>PASA</x:v>
      </x:c>
      <x:c r="R8" s="4" t="str">
        <x:v>Dos afirmaciones admitidas del mismo sujeto discrepan.</x:v>
      </x:c>
    </x:row>
    <x:row r="9" ht="47" customHeight="1">
      <x:c r="A9" s="4" t="str">
        <x:v>TA-05</x:v>
      </x:c>
      <x:c r="B9" s="4" t="str">
        <x:v>FRONTERA</x:v>
      </x:c>
      <x:c r="C9" s="4" t="str">
        <x:v>OT</x:v>
      </x:c>
      <x:c r="D9" s="4" t="str">
        <x:v>COINCIDE</x:v>
      </x:c>
      <x:c r="E9" s="4" t="str">
        <x:v>ADMITIDA</x:v>
      </x:c>
      <x:c r="F9" s="4" t="str">
        <x:v>LEGIBLE</x:v>
      </x:c>
      <x:c r="G9" s="4" t="str">
        <x:v>INDIVIDUAL_INSTALAR</x:v>
      </x:c>
      <x:c r="H9" s="4" t="str">
        <x:v>orcSucceeded</x:v>
      </x:c>
      <x:c r="I9" s="4" t="str">
        <x:v>UNICA</x:v>
      </x:c>
      <x:c r="J9" s="4" t="str">
        <x:v>true</x:v>
      </x:c>
      <x:c r="K9" s="4" t="str">
        <x:v>FUERA_PERFIL</x:v>
      </x:c>
      <x:c r="L9" s="4" t="str"/>
      <x:c r="M9" s="4" t="str">
        <x:v>PERFIL_NO_CONSTITUIDO</x:v>
      </x:c>
      <x:c r="N9" s="12" t="str">
        <x:f>IF(F9="FALLO","FALLO_CAPTURA",IF(F9&lt;&gt;"LEGIBLE","NO_ADMISION",IF(D9&lt;&gt;"COINCIDE","NO_ADMISION",IF(E9&lt;&gt;"ADMITIDA","NO_ADMISION",IF(C9&lt;&gt;"WUA-IND-0.1","FUERA_PERFIL",IF(G9&lt;&gt;"INDIVIDUAL_INSTALAR","FUERA_PERFIL",IF(NOT(OR(H9="orcNotStarted",H9="orcInProgress",H9="orcSucceeded",H9="orcSucceededWithErrors",H9="orcFailed",H9="orcAborted")),"NO_ADMISION",IF(H9&lt;&gt;"orcSucceeded","FUERA_PERFIL",IF(OR(AND(I9="AUSENTE",J9=""),AND(I9="CONFLICTO",J9="true|false"),AND(I9="UNICA",OR(J9="true",J9="false"))),"VALIDA","NO_ADMISION")))))))))</x:f>
        <x:v>FUERA_PERFIL</x:v>
      </x:c>
      <x:c r="O9" s="12" t="str">
        <x:f>IF(N9&lt;&gt;"VALIDA","",IF(I9&lt;&gt;"UNICA","U",IF(J9="true","1","0")))</x:f>
      </x:c>
      <x:c r="P9" s="12" t="str">
        <x:f>IF(F9="FALLO","SIN_EJECUCION_DOMINIO",IF(F9&lt;&gt;"LEGIBLE","CAPTURA_MAL_FORMADA",IF(D9&lt;&gt;"COINCIDE","IDENTIDAD",IF(E9&lt;&gt;"ADMITIDA","PROCEDENCIA",IF(C9&lt;&gt;"WUA-IND-0.1","PERFIL_NO_CONSTITUIDO",IF(G9&lt;&gt;"INDIVIDUAL_INSTALAR","AMBITO_RESULTADO",IF(NOT(OR(H9="orcNotStarted",H9="orcInProgress",H9="orcSucceeded",H9="orcSucceededWithErrors",H9="orcFailed",H9="orcAborted")),"RESULTADO_DESCONOCIDO",IF(H9&lt;&gt;"orcSucceeded","RESULTADO_INSTALACION",IF(N9="NO_ADMISION",IF(I9="UNICA","LEXEMA_NO_BOOLEANO","OBSERVACION_MAL_FORMADA"),IF(I9="AUSENTE","DATO_AUSENTE",IF(I9="CONFLICTO","CONFLICTO_OBSERVACIONAL",IF(J9="true","REQUISITO_SI","REQUISITO_NO"))))))))))))</x:f>
        <x:v>PERFIL_NO_CONSTITUIDO</x:v>
      </x:c>
      <x:c r="Q9" s="12" t="str">
        <x:f>IF(AND(K9=N9,L9=O9,M9=P9),"PASA","NO_PASA")</x:f>
        <x:v>PASA</x:v>
      </x:c>
      <x:c r="R9" s="4" t="str">
        <x:v>No trasladar semántica WUA a OT.</x:v>
      </x:c>
    </x:row>
    <x:row r="10" ht="47" customHeight="1">
      <x:c r="A10" s="4" t="str">
        <x:v>TA-06</x:v>
      </x:c>
      <x:c r="B10" s="4" t="str">
        <x:v>FRONTERA</x:v>
      </x:c>
      <x:c r="C10" s="4" t="str">
        <x:v>WUA-IND-0.1</x:v>
      </x:c>
      <x:c r="D10" s="4" t="str">
        <x:v>OTRA_ACTUALIZACION</x:v>
      </x:c>
      <x:c r="E10" s="4" t="str">
        <x:v>ADMITIDA</x:v>
      </x:c>
      <x:c r="F10" s="4" t="str">
        <x:v>LEGIBLE</x:v>
      </x:c>
      <x:c r="G10" s="4" t="str">
        <x:v>INDIVIDUAL_INSTALAR</x:v>
      </x:c>
      <x:c r="H10" s="4" t="str">
        <x:v>orcSucceeded</x:v>
      </x:c>
      <x:c r="I10" s="4" t="str">
        <x:v>UNICA</x:v>
      </x:c>
      <x:c r="J10" s="4" t="str">
        <x:v>true</x:v>
      </x:c>
      <x:c r="K10" s="4" t="str">
        <x:v>NO_ADMISION</x:v>
      </x:c>
      <x:c r="L10" s="4" t="str"/>
      <x:c r="M10" s="4" t="str">
        <x:v>IDENTIDAD</x:v>
      </x:c>
      <x:c r="N10" s="12" t="str">
        <x:f>IF(F10="FALLO","FALLO_CAPTURA",IF(F10&lt;&gt;"LEGIBLE","NO_ADMISION",IF(D10&lt;&gt;"COINCIDE","NO_ADMISION",IF(E10&lt;&gt;"ADMITIDA","NO_ADMISION",IF(C10&lt;&gt;"WUA-IND-0.1","FUERA_PERFIL",IF(G10&lt;&gt;"INDIVIDUAL_INSTALAR","FUERA_PERFIL",IF(NOT(OR(H10="orcNotStarted",H10="orcInProgress",H10="orcSucceeded",H10="orcSucceededWithErrors",H10="orcFailed",H10="orcAborted")),"NO_ADMISION",IF(H10&lt;&gt;"orcSucceeded","FUERA_PERFIL",IF(OR(AND(I10="AUSENTE",J10=""),AND(I10="CONFLICTO",J10="true|false"),AND(I10="UNICA",OR(J10="true",J10="false"))),"VALIDA","NO_ADMISION")))))))))</x:f>
        <x:v>NO_ADMISION</x:v>
      </x:c>
      <x:c r="O10" s="12" t="str">
        <x:f>IF(N10&lt;&gt;"VALIDA","",IF(I10&lt;&gt;"UNICA","U",IF(J10="true","1","0")))</x:f>
      </x:c>
      <x:c r="P10" s="12" t="str">
        <x:f>IF(F10="FALLO","SIN_EJECUCION_DOMINIO",IF(F10&lt;&gt;"LEGIBLE","CAPTURA_MAL_FORMADA",IF(D10&lt;&gt;"COINCIDE","IDENTIDAD",IF(E10&lt;&gt;"ADMITIDA","PROCEDENCIA",IF(C10&lt;&gt;"WUA-IND-0.1","PERFIL_NO_CONSTITUIDO",IF(G10&lt;&gt;"INDIVIDUAL_INSTALAR","AMBITO_RESULTADO",IF(NOT(OR(H10="orcNotStarted",H10="orcInProgress",H10="orcSucceeded",H10="orcSucceededWithErrors",H10="orcFailed",H10="orcAborted")),"RESULTADO_DESCONOCIDO",IF(H10&lt;&gt;"orcSucceeded","RESULTADO_INSTALACION",IF(N10="NO_ADMISION",IF(I10="UNICA","LEXEMA_NO_BOOLEANO","OBSERVACION_MAL_FORMADA"),IF(I10="AUSENTE","DATO_AUSENTE",IF(I10="CONFLICTO","CONFLICTO_OBSERVACIONAL",IF(J10="true","REQUISITO_SI","REQUISITO_NO"))))))))))))</x:f>
        <x:v>IDENTIDAD</x:v>
      </x:c>
      <x:c r="Q10" s="12" t="str">
        <x:f>IF(AND(K10=N10,L10=O10,M10=P10),"PASA","NO_PASA")</x:f>
        <x:v>PASA</x:v>
      </x:c>
      <x:c r="R10" s="4" t="str">
        <x:v>No atribuir a otra actualización el reinicio del lote.</x:v>
      </x:c>
    </x:row>
    <x:row r="11" ht="47" customHeight="1">
      <x:c r="A11" s="4" t="str">
        <x:v>TA-07</x:v>
      </x:c>
      <x:c r="B11" s="4" t="str">
        <x:v>FRONTERA</x:v>
      </x:c>
      <x:c r="C11" s="4" t="str">
        <x:v>WUA-IND-0.1</x:v>
      </x:c>
      <x:c r="D11" s="4" t="str">
        <x:v>COINCIDE</x:v>
      </x:c>
      <x:c r="E11" s="4" t="str">
        <x:v>NO_ADMITIDA</x:v>
      </x:c>
      <x:c r="F11" s="4" t="str">
        <x:v>LEGIBLE</x:v>
      </x:c>
      <x:c r="G11" s="4" t="str">
        <x:v>INDIVIDUAL_INSTALAR</x:v>
      </x:c>
      <x:c r="H11" s="4" t="str">
        <x:v>orcSucceeded</x:v>
      </x:c>
      <x:c r="I11" s="4" t="str">
        <x:v>UNICA</x:v>
      </x:c>
      <x:c r="J11" s="4" t="str">
        <x:v>true</x:v>
      </x:c>
      <x:c r="K11" s="4" t="str">
        <x:v>NO_ADMISION</x:v>
      </x:c>
      <x:c r="L11" s="4" t="str"/>
      <x:c r="M11" s="4" t="str">
        <x:v>PROCEDENCIA</x:v>
      </x:c>
      <x:c r="N11" s="12" t="str">
        <x:f>IF(F11="FALLO","FALLO_CAPTURA",IF(F11&lt;&gt;"LEGIBLE","NO_ADMISION",IF(D11&lt;&gt;"COINCIDE","NO_ADMISION",IF(E11&lt;&gt;"ADMITIDA","NO_ADMISION",IF(C11&lt;&gt;"WUA-IND-0.1","FUERA_PERFIL",IF(G11&lt;&gt;"INDIVIDUAL_INSTALAR","FUERA_PERFIL",IF(NOT(OR(H11="orcNotStarted",H11="orcInProgress",H11="orcSucceeded",H11="orcSucceededWithErrors",H11="orcFailed",H11="orcAborted")),"NO_ADMISION",IF(H11&lt;&gt;"orcSucceeded","FUERA_PERFIL",IF(OR(AND(I11="AUSENTE",J11=""),AND(I11="CONFLICTO",J11="true|false"),AND(I11="UNICA",OR(J11="true",J11="false"))),"VALIDA","NO_ADMISION")))))))))</x:f>
        <x:v>NO_ADMISION</x:v>
      </x:c>
      <x:c r="O11" s="12" t="str">
        <x:f>IF(N11&lt;&gt;"VALIDA","",IF(I11&lt;&gt;"UNICA","U",IF(J11="true","1","0")))</x:f>
      </x:c>
      <x:c r="P11" s="12" t="str">
        <x:f>IF(F11="FALLO","SIN_EJECUCION_DOMINIO",IF(F11&lt;&gt;"LEGIBLE","CAPTURA_MAL_FORMADA",IF(D11&lt;&gt;"COINCIDE","IDENTIDAD",IF(E11&lt;&gt;"ADMITIDA","PROCEDENCIA",IF(C11&lt;&gt;"WUA-IND-0.1","PERFIL_NO_CONSTITUIDO",IF(G11&lt;&gt;"INDIVIDUAL_INSTALAR","AMBITO_RESULTADO",IF(NOT(OR(H11="orcNotStarted",H11="orcInProgress",H11="orcSucceeded",H11="orcSucceededWithErrors",H11="orcFailed",H11="orcAborted")),"RESULTADO_DESCONOCIDO",IF(H11&lt;&gt;"orcSucceeded","RESULTADO_INSTALACION",IF(N11="NO_ADMISION",IF(I11="UNICA","LEXEMA_NO_BOOLEANO","OBSERVACION_MAL_FORMADA"),IF(I11="AUSENTE","DATO_AUSENTE",IF(I11="CONFLICTO","CONFLICTO_OBSERVACIONAL",IF(J11="true","REQUISITO_SI","REQUISITO_NO"))))))))))))</x:f>
        <x:v>PROCEDENCIA</x:v>
      </x:c>
      <x:c r="Q11" s="12" t="str">
        <x:f>IF(AND(K11=N11,L11=O11,M11=P11),"PASA","NO_PASA")</x:f>
        <x:v>PASA</x:v>
      </x:c>
      <x:c r="R11" s="4" t="str">
        <x:v>Una declaración no admitida no constituye un observable válido.</x:v>
      </x:c>
    </x:row>
    <x:row r="12" ht="47" customHeight="1">
      <x:c r="A12" s="4" t="str">
        <x:v>TA-08</x:v>
      </x:c>
      <x:c r="B12" s="4" t="str">
        <x:v>FRONTERA</x:v>
      </x:c>
      <x:c r="C12" s="4" t="str">
        <x:v>WUA-IND-0.1</x:v>
      </x:c>
      <x:c r="D12" s="4" t="str">
        <x:v>COINCIDE</x:v>
      </x:c>
      <x:c r="E12" s="4" t="str">
        <x:v>ADMITIDA</x:v>
      </x:c>
      <x:c r="F12" s="4" t="str">
        <x:v>FALLO</x:v>
      </x:c>
      <x:c r="G12" s="4" t="str">
        <x:v>INDIVIDUAL_INSTALAR</x:v>
      </x:c>
      <x:c r="H12" s="4" t="str">
        <x:v>orcSucceeded</x:v>
      </x:c>
      <x:c r="I12" s="4" t="str">
        <x:v>UNICA</x:v>
      </x:c>
      <x:c r="J12" s="4" t="str">
        <x:v>true</x:v>
      </x:c>
      <x:c r="K12" s="4" t="str">
        <x:v>FALLO_CAPTURA</x:v>
      </x:c>
      <x:c r="L12" s="4" t="str"/>
      <x:c r="M12" s="4" t="str">
        <x:v>SIN_EJECUCION_DOMINIO</x:v>
      </x:c>
      <x:c r="N12" s="12" t="str">
        <x:f>IF(F12="FALLO","FALLO_CAPTURA",IF(F12&lt;&gt;"LEGIBLE","NO_ADMISION",IF(D12&lt;&gt;"COINCIDE","NO_ADMISION",IF(E12&lt;&gt;"ADMITIDA","NO_ADMISION",IF(C12&lt;&gt;"WUA-IND-0.1","FUERA_PERFIL",IF(G12&lt;&gt;"INDIVIDUAL_INSTALAR","FUERA_PERFIL",IF(NOT(OR(H12="orcNotStarted",H12="orcInProgress",H12="orcSucceeded",H12="orcSucceededWithErrors",H12="orcFailed",H12="orcAborted")),"NO_ADMISION",IF(H12&lt;&gt;"orcSucceeded","FUERA_PERFIL",IF(OR(AND(I12="AUSENTE",J12=""),AND(I12="CONFLICTO",J12="true|false"),AND(I12="UNICA",OR(J12="true",J12="false"))),"VALIDA","NO_ADMISION")))))))))</x:f>
        <x:v>FALLO_CAPTURA</x:v>
      </x:c>
      <x:c r="O12" s="12" t="str">
        <x:f>IF(N12&lt;&gt;"VALIDA","",IF(I12&lt;&gt;"UNICA","U",IF(J12="true","1","0")))</x:f>
      </x:c>
      <x:c r="P12" s="12" t="str">
        <x:f>IF(F12="FALLO","SIN_EJECUCION_DOMINIO",IF(F12&lt;&gt;"LEGIBLE","CAPTURA_MAL_FORMADA",IF(D12&lt;&gt;"COINCIDE","IDENTIDAD",IF(E12&lt;&gt;"ADMITIDA","PROCEDENCIA",IF(C12&lt;&gt;"WUA-IND-0.1","PERFIL_NO_CONSTITUIDO",IF(G12&lt;&gt;"INDIVIDUAL_INSTALAR","AMBITO_RESULTADO",IF(NOT(OR(H12="orcNotStarted",H12="orcInProgress",H12="orcSucceeded",H12="orcSucceededWithErrors",H12="orcFailed",H12="orcAborted")),"RESULTADO_DESCONOCIDO",IF(H12&lt;&gt;"orcSucceeded","RESULTADO_INSTALACION",IF(N12="NO_ADMISION",IF(I12="UNICA","LEXEMA_NO_BOOLEANO","OBSERVACION_MAL_FORMADA"),IF(I12="AUSENTE","DATO_AUSENTE",IF(I12="CONFLICTO","CONFLICTO_OBSERVACIONAL",IF(J12="true","REQUISITO_SI","REQUISITO_NO"))))))))))))</x:f>
        <x:v>SIN_EJECUCION_DOMINIO</x:v>
      </x:c>
      <x:c r="Q12" s="12" t="str">
        <x:f>IF(AND(K12=N12,L12=O12,M12=P12),"PASA","NO_PASA")</x:f>
        <x:v>PASA</x:v>
      </x:c>
      <x:c r="R12" s="4" t="str">
        <x:v>Fallo de adquisición: sólo registro técnico, sin Tri.</x:v>
      </x:c>
    </x:row>
    <x:row r="13" ht="47" customHeight="1">
      <x:c r="A13" s="4" t="str">
        <x:v>TA-09</x:v>
      </x:c>
      <x:c r="B13" s="4" t="str">
        <x:v>FRONTERA</x:v>
      </x:c>
      <x:c r="C13" s="4" t="str">
        <x:v>WUA-IND-0.1</x:v>
      </x:c>
      <x:c r="D13" s="4" t="str">
        <x:v>COINCIDE</x:v>
      </x:c>
      <x:c r="E13" s="4" t="str">
        <x:v>ADMITIDA</x:v>
      </x:c>
      <x:c r="F13" s="4" t="str">
        <x:v>LEGIBLE</x:v>
      </x:c>
      <x:c r="G13" s="4" t="str">
        <x:v>LOTE</x:v>
      </x:c>
      <x:c r="H13" s="4" t="str">
        <x:v>orcSucceeded</x:v>
      </x:c>
      <x:c r="I13" s="4" t="str">
        <x:v>UNICA</x:v>
      </x:c>
      <x:c r="J13" s="4" t="str">
        <x:v>true</x:v>
      </x:c>
      <x:c r="K13" s="4" t="str">
        <x:v>FUERA_PERFIL</x:v>
      </x:c>
      <x:c r="L13" s="4" t="str"/>
      <x:c r="M13" s="4" t="str">
        <x:v>AMBITO_RESULTADO</x:v>
      </x:c>
      <x:c r="N13" s="12" t="str">
        <x:f>IF(F13="FALLO","FALLO_CAPTURA",IF(F13&lt;&gt;"LEGIBLE","NO_ADMISION",IF(D13&lt;&gt;"COINCIDE","NO_ADMISION",IF(E13&lt;&gt;"ADMITIDA","NO_ADMISION",IF(C13&lt;&gt;"WUA-IND-0.1","FUERA_PERFIL",IF(G13&lt;&gt;"INDIVIDUAL_INSTALAR","FUERA_PERFIL",IF(NOT(OR(H13="orcNotStarted",H13="orcInProgress",H13="orcSucceeded",H13="orcSucceededWithErrors",H13="orcFailed",H13="orcAborted")),"NO_ADMISION",IF(H13&lt;&gt;"orcSucceeded","FUERA_PERFIL",IF(OR(AND(I13="AUSENTE",J13=""),AND(I13="CONFLICTO",J13="true|false"),AND(I13="UNICA",OR(J13="true",J13="false"))),"VALIDA","NO_ADMISION")))))))))</x:f>
        <x:v>FUERA_PERFIL</x:v>
      </x:c>
      <x:c r="O13" s="12" t="str">
        <x:f>IF(N13&lt;&gt;"VALIDA","",IF(I13&lt;&gt;"UNICA","U",IF(J13="true","1","0")))</x:f>
      </x:c>
      <x:c r="P13" s="12" t="str">
        <x:f>IF(F13="FALLO","SIN_EJECUCION_DOMINIO",IF(F13&lt;&gt;"LEGIBLE","CAPTURA_MAL_FORMADA",IF(D13&lt;&gt;"COINCIDE","IDENTIDAD",IF(E13&lt;&gt;"ADMITIDA","PROCEDENCIA",IF(C13&lt;&gt;"WUA-IND-0.1","PERFIL_NO_CONSTITUIDO",IF(G13&lt;&gt;"INDIVIDUAL_INSTALAR","AMBITO_RESULTADO",IF(NOT(OR(H13="orcNotStarted",H13="orcInProgress",H13="orcSucceeded",H13="orcSucceededWithErrors",H13="orcFailed",H13="orcAborted")),"RESULTADO_DESCONOCIDO",IF(H13&lt;&gt;"orcSucceeded","RESULTADO_INSTALACION",IF(N13="NO_ADMISION",IF(I13="UNICA","LEXEMA_NO_BOOLEANO","OBSERVACION_MAL_FORMADA"),IF(I13="AUSENTE","DATO_AUSENTE",IF(I13="CONFLICTO","CONFLICTO_OBSERVACIONAL",IF(J13="true","REQUISITO_SI","REQUISITO_NO"))))))))))))</x:f>
        <x:v>AMBITO_RESULTADO</x:v>
      </x:c>
      <x:c r="Q13" s="12" t="str">
        <x:f>IF(AND(K13=N13,L13=O13,M13=P13),"PASA","NO_PASA")</x:f>
        <x:v>PASA</x:v>
      </x:c>
      <x:c r="R13" s="4" t="str">
        <x:v>El agregado no demuestra necesidad individual.</x:v>
      </x:c>
    </x:row>
    <x:row r="14" ht="47" customHeight="1">
      <x:c r="A14" s="4" t="str">
        <x:v>TA-10</x:v>
      </x:c>
      <x:c r="B14" s="4" t="str">
        <x:v>FRONTERA</x:v>
      </x:c>
      <x:c r="C14" s="4" t="str">
        <x:v>WUA-IND-0.1</x:v>
      </x:c>
      <x:c r="D14" s="4" t="str">
        <x:v>COINCIDE</x:v>
      </x:c>
      <x:c r="E14" s="4" t="str">
        <x:v>ADMITIDA</x:v>
      </x:c>
      <x:c r="F14" s="4" t="str">
        <x:v>LEGIBLE</x:v>
      </x:c>
      <x:c r="G14" s="4" t="str">
        <x:v>DESINSTALAR</x:v>
      </x:c>
      <x:c r="H14" s="4" t="str">
        <x:v>orcSucceeded</x:v>
      </x:c>
      <x:c r="I14" s="4" t="str">
        <x:v>UNICA</x:v>
      </x:c>
      <x:c r="J14" s="4" t="str">
        <x:v>true</x:v>
      </x:c>
      <x:c r="K14" s="4" t="str">
        <x:v>FUERA_PERFIL</x:v>
      </x:c>
      <x:c r="L14" s="4" t="str"/>
      <x:c r="M14" s="4" t="str">
        <x:v>AMBITO_RESULTADO</x:v>
      </x:c>
      <x:c r="N14" s="12" t="str">
        <x:f>IF(F14="FALLO","FALLO_CAPTURA",IF(F14&lt;&gt;"LEGIBLE","NO_ADMISION",IF(D14&lt;&gt;"COINCIDE","NO_ADMISION",IF(E14&lt;&gt;"ADMITIDA","NO_ADMISION",IF(C14&lt;&gt;"WUA-IND-0.1","FUERA_PERFIL",IF(G14&lt;&gt;"INDIVIDUAL_INSTALAR","FUERA_PERFIL",IF(NOT(OR(H14="orcNotStarted",H14="orcInProgress",H14="orcSucceeded",H14="orcSucceededWithErrors",H14="orcFailed",H14="orcAborted")),"NO_ADMISION",IF(H14&lt;&gt;"orcSucceeded","FUERA_PERFIL",IF(OR(AND(I14="AUSENTE",J14=""),AND(I14="CONFLICTO",J14="true|false"),AND(I14="UNICA",OR(J14="true",J14="false"))),"VALIDA","NO_ADMISION")))))))))</x:f>
        <x:v>FUERA_PERFIL</x:v>
      </x:c>
      <x:c r="O14" s="12" t="str">
        <x:f>IF(N14&lt;&gt;"VALIDA","",IF(I14&lt;&gt;"UNICA","U",IF(J14="true","1","0")))</x:f>
      </x:c>
      <x:c r="P14" s="12" t="str">
        <x:f>IF(F14="FALLO","SIN_EJECUCION_DOMINIO",IF(F14&lt;&gt;"LEGIBLE","CAPTURA_MAL_FORMADA",IF(D14&lt;&gt;"COINCIDE","IDENTIDAD",IF(E14&lt;&gt;"ADMITIDA","PROCEDENCIA",IF(C14&lt;&gt;"WUA-IND-0.1","PERFIL_NO_CONSTITUIDO",IF(G14&lt;&gt;"INDIVIDUAL_INSTALAR","AMBITO_RESULTADO",IF(NOT(OR(H14="orcNotStarted",H14="orcInProgress",H14="orcSucceeded",H14="orcSucceededWithErrors",H14="orcFailed",H14="orcAborted")),"RESULTADO_DESCONOCIDO",IF(H14&lt;&gt;"orcSucceeded","RESULTADO_INSTALACION",IF(N14="NO_ADMISION",IF(I14="UNICA","LEXEMA_NO_BOOLEANO","OBSERVACION_MAL_FORMADA"),IF(I14="AUSENTE","DATO_AUSENTE",IF(I14="CONFLICTO","CONFLICTO_OBSERVACIONAL",IF(J14="true","REQUISITO_SI","REQUISITO_NO"))))))))))))</x:f>
        <x:v>AMBITO_RESULTADO</x:v>
      </x:c>
      <x:c r="Q14" s="12" t="str">
        <x:f>IF(AND(K14=N14,L14=O14,M14=P14),"PASA","NO_PASA")</x:f>
        <x:v>PASA</x:v>
      </x:c>
      <x:c r="R14" s="4" t="str">
        <x:v>Desinstalación tiene otra identidad operacional.</x:v>
      </x:c>
    </x:row>
    <x:row r="15" ht="47" customHeight="1">
      <x:c r="A15" s="4" t="str">
        <x:v>TA-11</x:v>
      </x:c>
      <x:c r="B15" s="4" t="str">
        <x:v>FRONTERA</x:v>
      </x:c>
      <x:c r="C15" s="4" t="str">
        <x:v>WUA-IND-0.1</x:v>
      </x:c>
      <x:c r="D15" s="4" t="str">
        <x:v>COINCIDE</x:v>
      </x:c>
      <x:c r="E15" s="4" t="str">
        <x:v>ADMITIDA</x:v>
      </x:c>
      <x:c r="F15" s="4" t="str">
        <x:v>LEGIBLE</x:v>
      </x:c>
      <x:c r="G15" s="4" t="str">
        <x:v>INDIVIDUAL_INSTALAR</x:v>
      </x:c>
      <x:c r="H15" s="4" t="str">
        <x:v>orcFailed</x:v>
      </x:c>
      <x:c r="I15" s="4" t="str">
        <x:v>UNICA</x:v>
      </x:c>
      <x:c r="J15" s="4" t="str">
        <x:v>true</x:v>
      </x:c>
      <x:c r="K15" s="4" t="str">
        <x:v>FUERA_PERFIL</x:v>
      </x:c>
      <x:c r="L15" s="4" t="str"/>
      <x:c r="M15" s="4" t="str">
        <x:v>RESULTADO_INSTALACION</x:v>
      </x:c>
      <x:c r="N15" s="12" t="str">
        <x:f>IF(F15="FALLO","FALLO_CAPTURA",IF(F15&lt;&gt;"LEGIBLE","NO_ADMISION",IF(D15&lt;&gt;"COINCIDE","NO_ADMISION",IF(E15&lt;&gt;"ADMITIDA","NO_ADMISION",IF(C15&lt;&gt;"WUA-IND-0.1","FUERA_PERFIL",IF(G15&lt;&gt;"INDIVIDUAL_INSTALAR","FUERA_PERFIL",IF(NOT(OR(H15="orcNotStarted",H15="orcInProgress",H15="orcSucceeded",H15="orcSucceededWithErrors",H15="orcFailed",H15="orcAborted")),"NO_ADMISION",IF(H15&lt;&gt;"orcSucceeded","FUERA_PERFIL",IF(OR(AND(I15="AUSENTE",J15=""),AND(I15="CONFLICTO",J15="true|false"),AND(I15="UNICA",OR(J15="true",J15="false"))),"VALIDA","NO_ADMISION")))))))))</x:f>
        <x:v>FUERA_PERFIL</x:v>
      </x:c>
      <x:c r="O15" s="12" t="str">
        <x:f>IF(N15&lt;&gt;"VALIDA","",IF(I15&lt;&gt;"UNICA","U",IF(J15="true","1","0")))</x:f>
      </x:c>
      <x:c r="P15" s="12" t="str">
        <x:f>IF(F15="FALLO","SIN_EJECUCION_DOMINIO",IF(F15&lt;&gt;"LEGIBLE","CAPTURA_MAL_FORMADA",IF(D15&lt;&gt;"COINCIDE","IDENTIDAD",IF(E15&lt;&gt;"ADMITIDA","PROCEDENCIA",IF(C15&lt;&gt;"WUA-IND-0.1","PERFIL_NO_CONSTITUIDO",IF(G15&lt;&gt;"INDIVIDUAL_INSTALAR","AMBITO_RESULTADO",IF(NOT(OR(H15="orcNotStarted",H15="orcInProgress",H15="orcSucceeded",H15="orcSucceededWithErrors",H15="orcFailed",H15="orcAborted")),"RESULTADO_DESCONOCIDO",IF(H15&lt;&gt;"orcSucceeded","RESULTADO_INSTALACION",IF(N15="NO_ADMISION",IF(I15="UNICA","LEXEMA_NO_BOOLEANO","OBSERVACION_MAL_FORMADA"),IF(I15="AUSENTE","DATO_AUSENTE",IF(I15="CONFLICTO","CONFLICTO_OBSERVACIONAL",IF(J15="true","REQUISITO_SI","REQUISITO_NO"))))))))))))</x:f>
        <x:v>RESULTADO_INSTALACION</x:v>
      </x:c>
      <x:c r="Q15" s="12" t="str">
        <x:f>IF(AND(K15=N15,L15=O15,M15=P15),"PASA","NO_PASA")</x:f>
        <x:v>PASA</x:v>
      </x:c>
      <x:c r="R15" s="4" t="str">
        <x:v>Fallo observado de instalación ≠ fallo técnico del evaluador.</x:v>
      </x:c>
    </x:row>
    <x:row r="16" ht="47" customHeight="1">
      <x:c r="A16" s="4" t="str">
        <x:v>TA-12</x:v>
      </x:c>
      <x:c r="B16" s="4" t="str">
        <x:v>FRONTERA</x:v>
      </x:c>
      <x:c r="C16" s="4" t="str">
        <x:v>WUA-IND-0.1</x:v>
      </x:c>
      <x:c r="D16" s="4" t="str">
        <x:v>COINCIDE</x:v>
      </x:c>
      <x:c r="E16" s="4" t="str">
        <x:v>ADMITIDA</x:v>
      </x:c>
      <x:c r="F16" s="4" t="str">
        <x:v>LEGIBLE</x:v>
      </x:c>
      <x:c r="G16" s="4" t="str">
        <x:v>INDIVIDUAL_INSTALAR</x:v>
      </x:c>
      <x:c r="H16" s="4" t="str">
        <x:v>orcSucceededWithErrors</x:v>
      </x:c>
      <x:c r="I16" s="4" t="str">
        <x:v>UNICA</x:v>
      </x:c>
      <x:c r="J16" s="4" t="str">
        <x:v>true</x:v>
      </x:c>
      <x:c r="K16" s="4" t="str">
        <x:v>FUERA_PERFIL</x:v>
      </x:c>
      <x:c r="L16" s="4" t="str"/>
      <x:c r="M16" s="4" t="str">
        <x:v>RESULTADO_INSTALACION</x:v>
      </x:c>
      <x:c r="N16" s="12" t="str">
        <x:f>IF(F16="FALLO","FALLO_CAPTURA",IF(F16&lt;&gt;"LEGIBLE","NO_ADMISION",IF(D16&lt;&gt;"COINCIDE","NO_ADMISION",IF(E16&lt;&gt;"ADMITIDA","NO_ADMISION",IF(C16&lt;&gt;"WUA-IND-0.1","FUERA_PERFIL",IF(G16&lt;&gt;"INDIVIDUAL_INSTALAR","FUERA_PERFIL",IF(NOT(OR(H16="orcNotStarted",H16="orcInProgress",H16="orcSucceeded",H16="orcSucceededWithErrors",H16="orcFailed",H16="orcAborted")),"NO_ADMISION",IF(H16&lt;&gt;"orcSucceeded","FUERA_PERFIL",IF(OR(AND(I16="AUSENTE",J16=""),AND(I16="CONFLICTO",J16="true|false"),AND(I16="UNICA",OR(J16="true",J16="false"))),"VALIDA","NO_ADMISION")))))))))</x:f>
        <x:v>FUERA_PERFIL</x:v>
      </x:c>
      <x:c r="O16" s="12" t="str">
        <x:f>IF(N16&lt;&gt;"VALIDA","",IF(I16&lt;&gt;"UNICA","U",IF(J16="true","1","0")))</x:f>
      </x:c>
      <x:c r="P16" s="12" t="str">
        <x:f>IF(F16="FALLO","SIN_EJECUCION_DOMINIO",IF(F16&lt;&gt;"LEGIBLE","CAPTURA_MAL_FORMADA",IF(D16&lt;&gt;"COINCIDE","IDENTIDAD",IF(E16&lt;&gt;"ADMITIDA","PROCEDENCIA",IF(C16&lt;&gt;"WUA-IND-0.1","PERFIL_NO_CONSTITUIDO",IF(G16&lt;&gt;"INDIVIDUAL_INSTALAR","AMBITO_RESULTADO",IF(NOT(OR(H16="orcNotStarted",H16="orcInProgress",H16="orcSucceeded",H16="orcSucceededWithErrors",H16="orcFailed",H16="orcAborted")),"RESULTADO_DESCONOCIDO",IF(H16&lt;&gt;"orcSucceeded","RESULTADO_INSTALACION",IF(N16="NO_ADMISION",IF(I16="UNICA","LEXEMA_NO_BOOLEANO","OBSERVACION_MAL_FORMADA"),IF(I16="AUSENTE","DATO_AUSENTE",IF(I16="CONFLICTO","CONFLICTO_OBSERVACIONAL",IF(J16="true","REQUISITO_SI","REQUISITO_NO"))))))))))))</x:f>
        <x:v>RESULTADO_INSTALACION</x:v>
      </x:c>
      <x:c r="Q16" s="12" t="str">
        <x:f>IF(AND(K16=N16,L16=O16,M16=P16),"PASA","NO_PASA")</x:f>
        <x:v>PASA</x:v>
      </x:c>
      <x:c r="R16" s="4" t="str">
        <x:v>No equiparar éxito parcial con el perfil exacto.</x:v>
      </x:c>
    </x:row>
    <x:row r="17" ht="47" customHeight="1">
      <x:c r="A17" s="4" t="str">
        <x:v>TA-13</x:v>
      </x:c>
      <x:c r="B17" s="4" t="str">
        <x:v>FRONTERA</x:v>
      </x:c>
      <x:c r="C17" s="4" t="str">
        <x:v>WUA-IND-0.1</x:v>
      </x:c>
      <x:c r="D17" s="4" t="str">
        <x:v>COINCIDE</x:v>
      </x:c>
      <x:c r="E17" s="4" t="str">
        <x:v>ADMITIDA</x:v>
      </x:c>
      <x:c r="F17" s="4" t="str">
        <x:v>LEGIBLE</x:v>
      </x:c>
      <x:c r="G17" s="4" t="str">
        <x:v>INDIVIDUAL_INSTALAR</x:v>
      </x:c>
      <x:c r="H17" s="4" t="str">
        <x:v>orcInProgress</x:v>
      </x:c>
      <x:c r="I17" s="4" t="str">
        <x:v>UNICA</x:v>
      </x:c>
      <x:c r="J17" s="4" t="str">
        <x:v>true</x:v>
      </x:c>
      <x:c r="K17" s="4" t="str">
        <x:v>FUERA_PERFIL</x:v>
      </x:c>
      <x:c r="L17" s="4" t="str"/>
      <x:c r="M17" s="4" t="str">
        <x:v>RESULTADO_INSTALACION</x:v>
      </x:c>
      <x:c r="N17" s="12" t="str">
        <x:f>IF(F17="FALLO","FALLO_CAPTURA",IF(F17&lt;&gt;"LEGIBLE","NO_ADMISION",IF(D17&lt;&gt;"COINCIDE","NO_ADMISION",IF(E17&lt;&gt;"ADMITIDA","NO_ADMISION",IF(C17&lt;&gt;"WUA-IND-0.1","FUERA_PERFIL",IF(G17&lt;&gt;"INDIVIDUAL_INSTALAR","FUERA_PERFIL",IF(NOT(OR(H17="orcNotStarted",H17="orcInProgress",H17="orcSucceeded",H17="orcSucceededWithErrors",H17="orcFailed",H17="orcAborted")),"NO_ADMISION",IF(H17&lt;&gt;"orcSucceeded","FUERA_PERFIL",IF(OR(AND(I17="AUSENTE",J17=""),AND(I17="CONFLICTO",J17="true|false"),AND(I17="UNICA",OR(J17="true",J17="false"))),"VALIDA","NO_ADMISION")))))))))</x:f>
        <x:v>FUERA_PERFIL</x:v>
      </x:c>
      <x:c r="O17" s="12" t="str">
        <x:f>IF(N17&lt;&gt;"VALIDA","",IF(I17&lt;&gt;"UNICA","U",IF(J17="true","1","0")))</x:f>
      </x:c>
      <x:c r="P17" s="12" t="str">
        <x:f>IF(F17="FALLO","SIN_EJECUCION_DOMINIO",IF(F17&lt;&gt;"LEGIBLE","CAPTURA_MAL_FORMADA",IF(D17&lt;&gt;"COINCIDE","IDENTIDAD",IF(E17&lt;&gt;"ADMITIDA","PROCEDENCIA",IF(C17&lt;&gt;"WUA-IND-0.1","PERFIL_NO_CONSTITUIDO",IF(G17&lt;&gt;"INDIVIDUAL_INSTALAR","AMBITO_RESULTADO",IF(NOT(OR(H17="orcNotStarted",H17="orcInProgress",H17="orcSucceeded",H17="orcSucceededWithErrors",H17="orcFailed",H17="orcAborted")),"RESULTADO_DESCONOCIDO",IF(H17&lt;&gt;"orcSucceeded","RESULTADO_INSTALACION",IF(N17="NO_ADMISION",IF(I17="UNICA","LEXEMA_NO_BOOLEANO","OBSERVACION_MAL_FORMADA"),IF(I17="AUSENTE","DATO_AUSENTE",IF(I17="CONFLICTO","CONFLICTO_OBSERVACIONAL",IF(J17="true","REQUISITO_SI","REQUISITO_NO"))))))))))))</x:f>
        <x:v>RESULTADO_INSTALACION</x:v>
      </x:c>
      <x:c r="Q17" s="12" t="str">
        <x:f>IF(AND(K17=N17,L17=O17,M17=P17),"PASA","NO_PASA")</x:f>
        <x:v>PASA</x:v>
      </x:c>
      <x:c r="R17" s="4" t="str">
        <x:v>No usar un resultado aún no terminal.</x:v>
      </x:c>
    </x:row>
    <x:row r="18" ht="47" customHeight="1">
      <x:c r="A18" s="4" t="str">
        <x:v>TA-14</x:v>
      </x:c>
      <x:c r="B18" s="4" t="str">
        <x:v>TIPO</x:v>
      </x:c>
      <x:c r="C18" s="4" t="str">
        <x:v>WUA-IND-0.1</x:v>
      </x:c>
      <x:c r="D18" s="4" t="str">
        <x:v>COINCIDE</x:v>
      </x:c>
      <x:c r="E18" s="4" t="str">
        <x:v>ADMITIDA</x:v>
      </x:c>
      <x:c r="F18" s="4" t="str">
        <x:v>LEGIBLE</x:v>
      </x:c>
      <x:c r="G18" s="4" t="str">
        <x:v>INDIVIDUAL_INSTALAR</x:v>
      </x:c>
      <x:c r="H18" s="4" t="str">
        <x:v>orcSucceeded</x:v>
      </x:c>
      <x:c r="I18" s="4" t="str">
        <x:v>UNICA</x:v>
      </x:c>
      <x:c r="J18" s="4" t="str">
        <x:v>1</x:v>
      </x:c>
      <x:c r="K18" s="4" t="str">
        <x:v>NO_ADMISION</x:v>
      </x:c>
      <x:c r="L18" s="4" t="str"/>
      <x:c r="M18" s="4" t="str">
        <x:v>LEXEMA_NO_BOOLEANO</x:v>
      </x:c>
      <x:c r="N18" s="12" t="str">
        <x:f>IF(F18="FALLO","FALLO_CAPTURA",IF(F18&lt;&gt;"LEGIBLE","NO_ADMISION",IF(D18&lt;&gt;"COINCIDE","NO_ADMISION",IF(E18&lt;&gt;"ADMITIDA","NO_ADMISION",IF(C18&lt;&gt;"WUA-IND-0.1","FUERA_PERFIL",IF(G18&lt;&gt;"INDIVIDUAL_INSTALAR","FUERA_PERFIL",IF(NOT(OR(H18="orcNotStarted",H18="orcInProgress",H18="orcSucceeded",H18="orcSucceededWithErrors",H18="orcFailed",H18="orcAborted")),"NO_ADMISION",IF(H18&lt;&gt;"orcSucceeded","FUERA_PERFIL",IF(OR(AND(I18="AUSENTE",J18=""),AND(I18="CONFLICTO",J18="true|false"),AND(I18="UNICA",OR(J18="true",J18="false"))),"VALIDA","NO_ADMISION")))))))))</x:f>
        <x:v>NO_ADMISION</x:v>
      </x:c>
      <x:c r="O18" s="12" t="str">
        <x:f>IF(N18&lt;&gt;"VALIDA","",IF(I18&lt;&gt;"UNICA","U",IF(J18="true","1","0")))</x:f>
      </x:c>
      <x:c r="P18" s="12" t="str">
        <x:f>IF(F18="FALLO","SIN_EJECUCION_DOMINIO",IF(F18&lt;&gt;"LEGIBLE","CAPTURA_MAL_FORMADA",IF(D18&lt;&gt;"COINCIDE","IDENTIDAD",IF(E18&lt;&gt;"ADMITIDA","PROCEDENCIA",IF(C18&lt;&gt;"WUA-IND-0.1","PERFIL_NO_CONSTITUIDO",IF(G18&lt;&gt;"INDIVIDUAL_INSTALAR","AMBITO_RESULTADO",IF(NOT(OR(H18="orcNotStarted",H18="orcInProgress",H18="orcSucceeded",H18="orcSucceededWithErrors",H18="orcFailed",H18="orcAborted")),"RESULTADO_DESCONOCIDO",IF(H18&lt;&gt;"orcSucceeded","RESULTADO_INSTALACION",IF(N18="NO_ADMISION",IF(I18="UNICA","LEXEMA_NO_BOOLEANO","OBSERVACION_MAL_FORMADA"),IF(I18="AUSENTE","DATO_AUSENTE",IF(I18="CONFLICTO","CONFLICTO_OBSERVACIONAL",IF(J18="true","REQUISITO_SI","REQUISITO_NO"))))))))))))</x:f>
        <x:v>LEXEMA_NO_BOOLEANO</x:v>
      </x:c>
      <x:c r="Q18" s="12" t="str">
        <x:f>IF(AND(K18=N18,L18=O18,M18=P18),"PASA","NO_PASA")</x:f>
        <x:v>PASA</x:v>
      </x:c>
      <x:c r="R18" s="4" t="str">
        <x:v>No convertir un entero en booleano implícitamente.</x:v>
      </x:c>
    </x:row>
    <x:row r="19" ht="47" customHeight="1">
      <x:c r="A19" s="4" t="str">
        <x:v>TA-15</x:v>
      </x:c>
      <x:c r="B19" s="4" t="str">
        <x:v>TIPO</x:v>
      </x:c>
      <x:c r="C19" s="4" t="str">
        <x:v>WUA-IND-0.1</x:v>
      </x:c>
      <x:c r="D19" s="4" t="str">
        <x:v>COINCIDE</x:v>
      </x:c>
      <x:c r="E19" s="4" t="str">
        <x:v>ADMITIDA</x:v>
      </x:c>
      <x:c r="F19" s="4" t="str">
        <x:v>LEGIBLE</x:v>
      </x:c>
      <x:c r="G19" s="4" t="str">
        <x:v>INDIVIDUAL_INSTALAR</x:v>
      </x:c>
      <x:c r="H19" s="4" t="str">
        <x:v>orcSucceeded</x:v>
      </x:c>
      <x:c r="I19" s="4" t="str">
        <x:v>UNICA</x:v>
      </x:c>
      <x:c r="J19" s="4" t="str">
        <x:v>"false"</x:v>
      </x:c>
      <x:c r="K19" s="4" t="str">
        <x:v>NO_ADMISION</x:v>
      </x:c>
      <x:c r="L19" s="4" t="str"/>
      <x:c r="M19" s="4" t="str">
        <x:v>LEXEMA_NO_BOOLEANO</x:v>
      </x:c>
      <x:c r="N19" s="12" t="str">
        <x:f>IF(F19="FALLO","FALLO_CAPTURA",IF(F19&lt;&gt;"LEGIBLE","NO_ADMISION",IF(D19&lt;&gt;"COINCIDE","NO_ADMISION",IF(E19&lt;&gt;"ADMITIDA","NO_ADMISION",IF(C19&lt;&gt;"WUA-IND-0.1","FUERA_PERFIL",IF(G19&lt;&gt;"INDIVIDUAL_INSTALAR","FUERA_PERFIL",IF(NOT(OR(H19="orcNotStarted",H19="orcInProgress",H19="orcSucceeded",H19="orcSucceededWithErrors",H19="orcFailed",H19="orcAborted")),"NO_ADMISION",IF(H19&lt;&gt;"orcSucceeded","FUERA_PERFIL",IF(OR(AND(I19="AUSENTE",J19=""),AND(I19="CONFLICTO",J19="true|false"),AND(I19="UNICA",OR(J19="true",J19="false"))),"VALIDA","NO_ADMISION")))))))))</x:f>
        <x:v>NO_ADMISION</x:v>
      </x:c>
      <x:c r="O19" s="12" t="str">
        <x:f>IF(N19&lt;&gt;"VALIDA","",IF(I19&lt;&gt;"UNICA","U",IF(J19="true","1","0")))</x:f>
      </x:c>
      <x:c r="P19" s="12" t="str">
        <x:f>IF(F19="FALLO","SIN_EJECUCION_DOMINIO",IF(F19&lt;&gt;"LEGIBLE","CAPTURA_MAL_FORMADA",IF(D19&lt;&gt;"COINCIDE","IDENTIDAD",IF(E19&lt;&gt;"ADMITIDA","PROCEDENCIA",IF(C19&lt;&gt;"WUA-IND-0.1","PERFIL_NO_CONSTITUIDO",IF(G19&lt;&gt;"INDIVIDUAL_INSTALAR","AMBITO_RESULTADO",IF(NOT(OR(H19="orcNotStarted",H19="orcInProgress",H19="orcSucceeded",H19="orcSucceededWithErrors",H19="orcFailed",H19="orcAborted")),"RESULTADO_DESCONOCIDO",IF(H19&lt;&gt;"orcSucceeded","RESULTADO_INSTALACION",IF(N19="NO_ADMISION",IF(I19="UNICA","LEXEMA_NO_BOOLEANO","OBSERVACION_MAL_FORMADA"),IF(I19="AUSENTE","DATO_AUSENTE",IF(I19="CONFLICTO","CONFLICTO_OBSERVACIONAL",IF(J19="true","REQUISITO_SI","REQUISITO_NO"))))))))))))</x:f>
        <x:v>LEXEMA_NO_BOOLEANO</x:v>
      </x:c>
      <x:c r="Q19" s="12" t="str">
        <x:f>IF(AND(K19=N19,L19=O19,M19=P19),"PASA","NO_PASA")</x:f>
        <x:v>PASA</x:v>
      </x:c>
      <x:c r="R19" s="4" t="str">
        <x:v>La cadena no es el lexema booleano false.</x:v>
      </x:c>
    </x:row>
    <x:row r="20" ht="47" customHeight="1">
      <x:c r="A20" s="4" t="str">
        <x:v>TA-16</x:v>
      </x:c>
      <x:c r="B20" s="4" t="str">
        <x:v>TIPO</x:v>
      </x:c>
      <x:c r="C20" s="4" t="str">
        <x:v>WUA-IND-0.1</x:v>
      </x:c>
      <x:c r="D20" s="4" t="str">
        <x:v>COINCIDE</x:v>
      </x:c>
      <x:c r="E20" s="4" t="str">
        <x:v>ADMITIDA</x:v>
      </x:c>
      <x:c r="F20" s="4" t="str">
        <x:v>LEGIBLE</x:v>
      </x:c>
      <x:c r="G20" s="4" t="str">
        <x:v>INDIVIDUAL_INSTALAR</x:v>
      </x:c>
      <x:c r="H20" s="4" t="str">
        <x:v>orcSucceeded</x:v>
      </x:c>
      <x:c r="I20" s="4" t="str">
        <x:v>UNICA</x:v>
      </x:c>
      <x:c r="J20" s="4" t="str">
        <x:v>irbCanRequestReboot</x:v>
      </x:c>
      <x:c r="K20" s="4" t="str">
        <x:v>NO_ADMISION</x:v>
      </x:c>
      <x:c r="L20" s="4" t="str"/>
      <x:c r="M20" s="4" t="str">
        <x:v>LEXEMA_NO_BOOLEANO</x:v>
      </x:c>
      <x:c r="N20" s="12" t="str">
        <x:f>IF(F20="FALLO","FALLO_CAPTURA",IF(F20&lt;&gt;"LEGIBLE","NO_ADMISION",IF(D20&lt;&gt;"COINCIDE","NO_ADMISION",IF(E20&lt;&gt;"ADMITIDA","NO_ADMISION",IF(C20&lt;&gt;"WUA-IND-0.1","FUERA_PERFIL",IF(G20&lt;&gt;"INDIVIDUAL_INSTALAR","FUERA_PERFIL",IF(NOT(OR(H20="orcNotStarted",H20="orcInProgress",H20="orcSucceeded",H20="orcSucceededWithErrors",H20="orcFailed",H20="orcAborted")),"NO_ADMISION",IF(H20&lt;&gt;"orcSucceeded","FUERA_PERFIL",IF(OR(AND(I20="AUSENTE",J20=""),AND(I20="CONFLICTO",J20="true|false"),AND(I20="UNICA",OR(J20="true",J20="false"))),"VALIDA","NO_ADMISION")))))))))</x:f>
        <x:v>NO_ADMISION</x:v>
      </x:c>
      <x:c r="O20" s="12" t="str">
        <x:f>IF(N20&lt;&gt;"VALIDA","",IF(I20&lt;&gt;"UNICA","U",IF(J20="true","1","0")))</x:f>
      </x:c>
      <x:c r="P20" s="12" t="str">
        <x:f>IF(F20="FALLO","SIN_EJECUCION_DOMINIO",IF(F20&lt;&gt;"LEGIBLE","CAPTURA_MAL_FORMADA",IF(D20&lt;&gt;"COINCIDE","IDENTIDAD",IF(E20&lt;&gt;"ADMITIDA","PROCEDENCIA",IF(C20&lt;&gt;"WUA-IND-0.1","PERFIL_NO_CONSTITUIDO",IF(G20&lt;&gt;"INDIVIDUAL_INSTALAR","AMBITO_RESULTADO",IF(NOT(OR(H20="orcNotStarted",H20="orcInProgress",H20="orcSucceeded",H20="orcSucceededWithErrors",H20="orcFailed",H20="orcAborted")),"RESULTADO_DESCONOCIDO",IF(H20&lt;&gt;"orcSucceeded","RESULTADO_INSTALACION",IF(N20="NO_ADMISION",IF(I20="UNICA","LEXEMA_NO_BOOLEANO","OBSERVACION_MAL_FORMADA"),IF(I20="AUSENTE","DATO_AUSENTE",IF(I20="CONFLICTO","CONFLICTO_OBSERVACIONAL",IF(J20="true","REQUISITO_SI","REQUISITO_NO"))))))))))))</x:f>
        <x:v>LEXEMA_NO_BOOLEANO</x:v>
      </x:c>
      <x:c r="Q20" s="12" t="str">
        <x:f>IF(AND(K20=N20,L20=O20,M20=P20),"PASA","NO_PASA")</x:f>
        <x:v>PASA</x:v>
      </x:c>
      <x:c r="R20" s="4" t="str">
        <x:v>Una predicción del paquete no es el resultado de esa instalación.</x:v>
      </x:c>
    </x:row>
    <x:row r="21" ht="47" customHeight="1">
      <x:c r="A21" s="4" t="str">
        <x:v>TA-17</x:v>
      </x:c>
      <x:c r="B21" s="4" t="str">
        <x:v>TIPO</x:v>
      </x:c>
      <x:c r="C21" s="4" t="str">
        <x:v>WUA-IND-0.1</x:v>
      </x:c>
      <x:c r="D21" s="4" t="str">
        <x:v>COINCIDE</x:v>
      </x:c>
      <x:c r="E21" s="4" t="str">
        <x:v>ADMITIDA</x:v>
      </x:c>
      <x:c r="F21" s="4" t="str">
        <x:v>LEGIBLE</x:v>
      </x:c>
      <x:c r="G21" s="4" t="str">
        <x:v>INDIVIDUAL_INSTALAR</x:v>
      </x:c>
      <x:c r="H21" s="4" t="str">
        <x:v>orcSucceeded</x:v>
      </x:c>
      <x:c r="I21" s="4" t="str">
        <x:v>UNICA</x:v>
      </x:c>
      <x:c r="J21" s="4" t="str"/>
      <x:c r="K21" s="4" t="str">
        <x:v>NO_ADMISION</x:v>
      </x:c>
      <x:c r="L21" s="4" t="str"/>
      <x:c r="M21" s="4" t="str">
        <x:v>LEXEMA_NO_BOOLEANO</x:v>
      </x:c>
      <x:c r="N21" s="12" t="str">
        <x:f>IF(F21="FALLO","FALLO_CAPTURA",IF(F21&lt;&gt;"LEGIBLE","NO_ADMISION",IF(D21&lt;&gt;"COINCIDE","NO_ADMISION",IF(E21&lt;&gt;"ADMITIDA","NO_ADMISION",IF(C21&lt;&gt;"WUA-IND-0.1","FUERA_PERFIL",IF(G21&lt;&gt;"INDIVIDUAL_INSTALAR","FUERA_PERFIL",IF(NOT(OR(H21="orcNotStarted",H21="orcInProgress",H21="orcSucceeded",H21="orcSucceededWithErrors",H21="orcFailed",H21="orcAborted")),"NO_ADMISION",IF(H21&lt;&gt;"orcSucceeded","FUERA_PERFIL",IF(OR(AND(I21="AUSENTE",J21=""),AND(I21="CONFLICTO",J21="true|false"),AND(I21="UNICA",OR(J21="true",J21="false"))),"VALIDA","NO_ADMISION")))))))))</x:f>
        <x:v>NO_ADMISION</x:v>
      </x:c>
      <x:c r="O21" s="12" t="str">
        <x:f>IF(N21&lt;&gt;"VALIDA","",IF(I21&lt;&gt;"UNICA","U",IF(J21="true","1","0")))</x:f>
      </x:c>
      <x:c r="P21" s="12" t="str">
        <x:f>IF(F21="FALLO","SIN_EJECUCION_DOMINIO",IF(F21&lt;&gt;"LEGIBLE","CAPTURA_MAL_FORMADA",IF(D21&lt;&gt;"COINCIDE","IDENTIDAD",IF(E21&lt;&gt;"ADMITIDA","PROCEDENCIA",IF(C21&lt;&gt;"WUA-IND-0.1","PERFIL_NO_CONSTITUIDO",IF(G21&lt;&gt;"INDIVIDUAL_INSTALAR","AMBITO_RESULTADO",IF(NOT(OR(H21="orcNotStarted",H21="orcInProgress",H21="orcSucceeded",H21="orcSucceededWithErrors",H21="orcFailed",H21="orcAborted")),"RESULTADO_DESCONOCIDO",IF(H21&lt;&gt;"orcSucceeded","RESULTADO_INSTALACION",IF(N21="NO_ADMISION",IF(I21="UNICA","LEXEMA_NO_BOOLEANO","OBSERVACION_MAL_FORMADA"),IF(I21="AUSENTE","DATO_AUSENTE",IF(I21="CONFLICTO","CONFLICTO_OBSERVACIONAL",IF(J21="true","REQUISITO_SI","REQUISITO_NO"))))))))))))</x:f>
        <x:v>LEXEMA_NO_BOOLEANO</x:v>
      </x:c>
      <x:c r="Q21" s="12" t="str">
        <x:f>IF(AND(K21=N21,L21=O21,M21=P21),"PASA","NO_PASA")</x:f>
        <x:v>PASA</x:v>
      </x:c>
      <x:c r="R21" s="4" t="str">
        <x:v>Celda vacía sin ausencia declarada es entrada mal formada.</x:v>
      </x:c>
    </x:row>
    <x:row r="22" ht="47" customHeight="1">
      <x:c r="A22" s="4" t="str">
        <x:v>TA-18</x:v>
      </x:c>
      <x:c r="B22" s="4" t="str">
        <x:v>SEMANTICA</x:v>
      </x:c>
      <x:c r="C22" s="4" t="str">
        <x:v>WUA-IND-0.1</x:v>
      </x:c>
      <x:c r="D22" s="4" t="str">
        <x:v>COINCIDE</x:v>
      </x:c>
      <x:c r="E22" s="4" t="str">
        <x:v>ADMITIDA</x:v>
      </x:c>
      <x:c r="F22" s="4" t="str">
        <x:v>LEGIBLE</x:v>
      </x:c>
      <x:c r="G22" s="4" t="str">
        <x:v>INDIVIDUAL_INSTALAR</x:v>
      </x:c>
      <x:c r="H22" s="4" t="str">
        <x:v>orcSucceeded</x:v>
      </x:c>
      <x:c r="I22" s="4" t="str">
        <x:v>UNICA</x:v>
      </x:c>
      <x:c r="J22" s="4" t="str">
        <x:v>false</x:v>
      </x:c>
      <x:c r="K22" s="4" t="str">
        <x:v>VALIDA</x:v>
      </x:c>
      <x:c r="L22" s="4" t="str">
        <x:v>0</x:v>
      </x:c>
      <x:c r="M22" s="4" t="str">
        <x:v>REQUISITO_NO</x:v>
      </x:c>
      <x:c r="N22" s="12" t="str">
        <x:f>IF(F22="FALLO","FALLO_CAPTURA",IF(F22&lt;&gt;"LEGIBLE","NO_ADMISION",IF(D22&lt;&gt;"COINCIDE","NO_ADMISION",IF(E22&lt;&gt;"ADMITIDA","NO_ADMISION",IF(C22&lt;&gt;"WUA-IND-0.1","FUERA_PERFIL",IF(G22&lt;&gt;"INDIVIDUAL_INSTALAR","FUERA_PERFIL",IF(NOT(OR(H22="orcNotStarted",H22="orcInProgress",H22="orcSucceeded",H22="orcSucceededWithErrors",H22="orcFailed",H22="orcAborted")),"NO_ADMISION",IF(H22&lt;&gt;"orcSucceeded","FUERA_PERFIL",IF(OR(AND(I22="AUSENTE",J22=""),AND(I22="CONFLICTO",J22="true|false"),AND(I22="UNICA",OR(J22="true",J22="false"))),"VALIDA","NO_ADMISION")))))))))</x:f>
        <x:v>VALIDA</x:v>
      </x:c>
      <x:c r="O22" s="12" t="str">
        <x:f>IF(N22&lt;&gt;"VALIDA","",IF(I22&lt;&gt;"UNICA","U",IF(J22="true","1","0")))</x:f>
        <x:v>0</x:v>
      </x:c>
      <x:c r="P22" s="12" t="str">
        <x:f>IF(F22="FALLO","SIN_EJECUCION_DOMINIO",IF(F22&lt;&gt;"LEGIBLE","CAPTURA_MAL_FORMADA",IF(D22&lt;&gt;"COINCIDE","IDENTIDAD",IF(E22&lt;&gt;"ADMITIDA","PROCEDENCIA",IF(C22&lt;&gt;"WUA-IND-0.1","PERFIL_NO_CONSTITUIDO",IF(G22&lt;&gt;"INDIVIDUAL_INSTALAR","AMBITO_RESULTADO",IF(NOT(OR(H22="orcNotStarted",H22="orcInProgress",H22="orcSucceeded",H22="orcSucceededWithErrors",H22="orcFailed",H22="orcAborted")),"RESULTADO_DESCONOCIDO",IF(H22&lt;&gt;"orcSucceeded","RESULTADO_INSTALACION",IF(N22="NO_ADMISION",IF(I22="UNICA","LEXEMA_NO_BOOLEANO","OBSERVACION_MAL_FORMADA"),IF(I22="AUSENTE","DATO_AUSENTE",IF(I22="CONFLICTO","CONFLICTO_OBSERVACIONAL",IF(J22="true","REQUISITO_SI","REQUISITO_NO"))))))))))))</x:f>
        <x:v>REQUISITO_NO</x:v>
      </x:c>
      <x:c r="Q22" s="12" t="str">
        <x:f>IF(AND(K22=N22,L22=O22,M22=P22),"PASA","NO_PASA")</x:f>
        <x:v>PASA</x:v>
      </x:c>
      <x:c r="R22" s="4" t="str">
        <x:v>0 sólo resuelve el reinicio del sistema; no las demás condiciones.</x:v>
      </x:c>
    </x:row>
    <x:row r="23" ht="47" customHeight="1">
      <x:c r="A23" s="4" t="str">
        <x:v>TI-01</x:v>
      </x:c>
      <x:c r="B23" s="4" t="str">
        <x:v>TIEMPO</x:v>
      </x:c>
      <x:c r="C23" s="4" t="str">
        <x:v>WUA-IND-0.1</x:v>
      </x:c>
      <x:c r="D23" s="4" t="str">
        <x:v>COINCIDE</x:v>
      </x:c>
      <x:c r="E23" s="4" t="str">
        <x:v>ADMITIDA</x:v>
      </x:c>
      <x:c r="F23" s="4" t="str">
        <x:v>LEGIBLE</x:v>
      </x:c>
      <x:c r="G23" s="4" t="str">
        <x:v>INDIVIDUAL_INSTALAR</x:v>
      </x:c>
      <x:c r="H23" s="4" t="str">
        <x:v>orcSucceeded</x:v>
      </x:c>
      <x:c r="I23" s="4" t="str">
        <x:v>UNICA</x:v>
      </x:c>
      <x:c r="J23" s="4" t="str">
        <x:v>true</x:v>
      </x:c>
      <x:c r="K23" s="4" t="str">
        <x:v>VALIDA</x:v>
      </x:c>
      <x:c r="L23" s="4" t="str">
        <x:v>1</x:v>
      </x:c>
      <x:c r="M23" s="4" t="str">
        <x:v>REQUISITO_SI</x:v>
      </x:c>
      <x:c r="N23" s="12" t="str">
        <x:f>IF(F23="FALLO","FALLO_CAPTURA",IF(F23&lt;&gt;"LEGIBLE","NO_ADMISION",IF(D23&lt;&gt;"COINCIDE","NO_ADMISION",IF(E23&lt;&gt;"ADMITIDA","NO_ADMISION",IF(C23&lt;&gt;"WUA-IND-0.1","FUERA_PERFIL",IF(G23&lt;&gt;"INDIVIDUAL_INSTALAR","FUERA_PERFIL",IF(NOT(OR(H23="orcNotStarted",H23="orcInProgress",H23="orcSucceeded",H23="orcSucceededWithErrors",H23="orcFailed",H23="orcAborted")),"NO_ADMISION",IF(H23&lt;&gt;"orcSucceeded","FUERA_PERFIL",IF(OR(AND(I23="AUSENTE",J23=""),AND(I23="CONFLICTO",J23="true|false"),AND(I23="UNICA",OR(J23="true",J23="false"))),"VALIDA","NO_ADMISION")))))))))</x:f>
        <x:v>VALIDA</x:v>
      </x:c>
      <x:c r="O23" s="12" t="str">
        <x:f>IF(N23&lt;&gt;"VALIDA","",IF(I23&lt;&gt;"UNICA","U",IF(J23="true","1","0")))</x:f>
        <x:v>1</x:v>
      </x:c>
      <x:c r="P23" s="12" t="str">
        <x:f>IF(F23="FALLO","SIN_EJECUCION_DOMINIO",IF(F23&lt;&gt;"LEGIBLE","CAPTURA_MAL_FORMADA",IF(D23&lt;&gt;"COINCIDE","IDENTIDAD",IF(E23&lt;&gt;"ADMITIDA","PROCEDENCIA",IF(C23&lt;&gt;"WUA-IND-0.1","PERFIL_NO_CONSTITUIDO",IF(G23&lt;&gt;"INDIVIDUAL_INSTALAR","AMBITO_RESULTADO",IF(NOT(OR(H23="orcNotStarted",H23="orcInProgress",H23="orcSucceeded",H23="orcSucceededWithErrors",H23="orcFailed",H23="orcAborted")),"RESULTADO_DESCONOCIDO",IF(H23&lt;&gt;"orcSucceeded","RESULTADO_INSTALACION",IF(N23="NO_ADMISION",IF(I23="UNICA","LEXEMA_NO_BOOLEANO","OBSERVACION_MAL_FORMADA"),IF(I23="AUSENTE","DATO_AUSENTE",IF(I23="CONFLICTO","CONFLICTO_OBSERVACIONAL",IF(J23="true","REQUISITO_SI","REQUISITO_NO"))))))))))))</x:f>
        <x:v>REQUISITO_SI</x:v>
      </x:c>
      <x:c r="Q23" s="12" t="str">
        <x:f>IF(AND(K23=N23,L23=O23,M23=P23),"PASA","NO_PASA")</x:f>
        <x:v>PASA</x:v>
      </x:c>
      <x:c r="R23" s="4" t="str">
        <x:v>No se aporta evento posterior: no se concluye deuda actual desde el histórico.</x:v>
      </x:c>
    </x:row>
    <x:row r="24" ht="47" customHeight="1">
      <x:c r="A24" s="4" t="str">
        <x:v>TI-02</x:v>
      </x:c>
      <x:c r="B24" s="4" t="str">
        <x:v>TIEMPO</x:v>
      </x:c>
      <x:c r="C24" s="4" t="str">
        <x:v>WUA-IND-0.1</x:v>
      </x:c>
      <x:c r="D24" s="4" t="str">
        <x:v>COINCIDE</x:v>
      </x:c>
      <x:c r="E24" s="4" t="str">
        <x:v>ADMITIDA</x:v>
      </x:c>
      <x:c r="F24" s="4" t="str">
        <x:v>LEGIBLE</x:v>
      </x:c>
      <x:c r="G24" s="4" t="str">
        <x:v>INDIVIDUAL_INSTALAR</x:v>
      </x:c>
      <x:c r="H24" s="4" t="str">
        <x:v>orcSucceeded</x:v>
      </x:c>
      <x:c r="I24" s="4" t="str">
        <x:v>UNICA</x:v>
      </x:c>
      <x:c r="J24" s="4" t="str">
        <x:v>true</x:v>
      </x:c>
      <x:c r="K24" s="4" t="str">
        <x:v>VALIDA</x:v>
      </x:c>
      <x:c r="L24" s="4" t="str">
        <x:v>1</x:v>
      </x:c>
      <x:c r="M24" s="4" t="str">
        <x:v>REQUISITO_SI</x:v>
      </x:c>
      <x:c r="N24" s="12" t="str">
        <x:f>IF(F24="FALLO","FALLO_CAPTURA",IF(F24&lt;&gt;"LEGIBLE","NO_ADMISION",IF(D24&lt;&gt;"COINCIDE","NO_ADMISION",IF(E24&lt;&gt;"ADMITIDA","NO_ADMISION",IF(C24&lt;&gt;"WUA-IND-0.1","FUERA_PERFIL",IF(G24&lt;&gt;"INDIVIDUAL_INSTALAR","FUERA_PERFIL",IF(NOT(OR(H24="orcNotStarted",H24="orcInProgress",H24="orcSucceeded",H24="orcSucceededWithErrors",H24="orcFailed",H24="orcAborted")),"NO_ADMISION",IF(H24&lt;&gt;"orcSucceeded","FUERA_PERFIL",IF(OR(AND(I24="AUSENTE",J24=""),AND(I24="CONFLICTO",J24="true|false"),AND(I24="UNICA",OR(J24="true",J24="false"))),"VALIDA","NO_ADMISION")))))))))</x:f>
        <x:v>VALIDA</x:v>
      </x:c>
      <x:c r="O24" s="12" t="str">
        <x:f>IF(N24&lt;&gt;"VALIDA","",IF(I24&lt;&gt;"UNICA","U",IF(J24="true","1","0")))</x:f>
        <x:v>1</x:v>
      </x:c>
      <x:c r="P24" s="12" t="str">
        <x:f>IF(F24="FALLO","SIN_EJECUCION_DOMINIO",IF(F24&lt;&gt;"LEGIBLE","CAPTURA_MAL_FORMADA",IF(D24&lt;&gt;"COINCIDE","IDENTIDAD",IF(E24&lt;&gt;"ADMITIDA","PROCEDENCIA",IF(C24&lt;&gt;"WUA-IND-0.1","PERFIL_NO_CONSTITUIDO",IF(G24&lt;&gt;"INDIVIDUAL_INSTALAR","AMBITO_RESULTADO",IF(NOT(OR(H24="orcNotStarted",H24="orcInProgress",H24="orcSucceeded",H24="orcSucceededWithErrors",H24="orcFailed",H24="orcAborted")),"RESULTADO_DESCONOCIDO",IF(H24&lt;&gt;"orcSucceeded","RESULTADO_INSTALACION",IF(N24="NO_ADMISION",IF(I24="UNICA","LEXEMA_NO_BOOLEANO","OBSERVACION_MAL_FORMADA"),IF(I24="AUSENTE","DATO_AUSENTE",IF(I24="CONFLICTO","CONFLICTO_OBSERVACIONAL",IF(J24="true","REQUISITO_SI","REQUISITO_NO"))))))))))))</x:f>
        <x:v>REQUISITO_SI</x:v>
      </x:c>
      <x:c r="Q24" s="12" t="str">
        <x:f>IF(AND(K24=N24,L24=O24,M24=P24),"PASA","NO_PASA")</x:f>
        <x:v>PASA</x:v>
      </x:c>
      <x:c r="R24" s="4" t="str">
        <x:v>Con reinicio posterior acreditado, el requisito histórico conserva 1.</x:v>
      </x:c>
    </x:row>
    <x:row r="25" ht="47" customHeight="1">
      <x:c r="A25" s="4" t="str">
        <x:v>TI-03</x:v>
      </x:c>
      <x:c r="B25" s="4" t="str">
        <x:v>AUTORIDAD</x:v>
      </x:c>
      <x:c r="C25" s="4" t="str">
        <x:v>WUA-IND-0.1</x:v>
      </x:c>
      <x:c r="D25" s="4" t="str">
        <x:v>COINCIDE</x:v>
      </x:c>
      <x:c r="E25" s="4" t="str">
        <x:v>ADMITIDA</x:v>
      </x:c>
      <x:c r="F25" s="4" t="str">
        <x:v>LEGIBLE</x:v>
      </x:c>
      <x:c r="G25" s="4" t="str">
        <x:v>INDIVIDUAL_INSTALAR</x:v>
      </x:c>
      <x:c r="H25" s="4" t="str">
        <x:v>orcSucceeded</x:v>
      </x:c>
      <x:c r="I25" s="4" t="str">
        <x:v>UNICA</x:v>
      </x:c>
      <x:c r="J25" s="4" t="str">
        <x:v>true</x:v>
      </x:c>
      <x:c r="K25" s="4" t="str">
        <x:v>VALIDA</x:v>
      </x:c>
      <x:c r="L25" s="4" t="str">
        <x:v>1</x:v>
      </x:c>
      <x:c r="M25" s="4" t="str">
        <x:v>REQUISITO_SI</x:v>
      </x:c>
      <x:c r="N25" s="12" t="str">
        <x:f>IF(F25="FALLO","FALLO_CAPTURA",IF(F25&lt;&gt;"LEGIBLE","NO_ADMISION",IF(D25&lt;&gt;"COINCIDE","NO_ADMISION",IF(E25&lt;&gt;"ADMITIDA","NO_ADMISION",IF(C25&lt;&gt;"WUA-IND-0.1","FUERA_PERFIL",IF(G25&lt;&gt;"INDIVIDUAL_INSTALAR","FUERA_PERFIL",IF(NOT(OR(H25="orcNotStarted",H25="orcInProgress",H25="orcSucceeded",H25="orcSucceededWithErrors",H25="orcFailed",H25="orcAborted")),"NO_ADMISION",IF(H25&lt;&gt;"orcSucceeded","FUERA_PERFIL",IF(OR(AND(I25="AUSENTE",J25=""),AND(I25="CONFLICTO",J25="true|false"),AND(I25="UNICA",OR(J25="true",J25="false"))),"VALIDA","NO_ADMISION")))))))))</x:f>
        <x:v>VALIDA</x:v>
      </x:c>
      <x:c r="O25" s="12" t="str">
        <x:f>IF(N25&lt;&gt;"VALIDA","",IF(I25&lt;&gt;"UNICA","U",IF(J25="true","1","0")))</x:f>
        <x:v>1</x:v>
      </x:c>
      <x:c r="P25" s="12" t="str">
        <x:f>IF(F25="FALLO","SIN_EJECUCION_DOMINIO",IF(F25&lt;&gt;"LEGIBLE","CAPTURA_MAL_FORMADA",IF(D25&lt;&gt;"COINCIDE","IDENTIDAD",IF(E25&lt;&gt;"ADMITIDA","PROCEDENCIA",IF(C25&lt;&gt;"WUA-IND-0.1","PERFIL_NO_CONSTITUIDO",IF(G25&lt;&gt;"INDIVIDUAL_INSTALAR","AMBITO_RESULTADO",IF(NOT(OR(H25="orcNotStarted",H25="orcInProgress",H25="orcSucceeded",H25="orcSucceededWithErrors",H25="orcFailed",H25="orcAborted")),"RESULTADO_DESCONOCIDO",IF(H25&lt;&gt;"orcSucceeded","RESULTADO_INSTALACION",IF(N25="NO_ADMISION",IF(I25="UNICA","LEXEMA_NO_BOOLEANO","OBSERVACION_MAL_FORMADA"),IF(I25="AUSENTE","DATO_AUSENTE",IF(I25="CONFLICTO","CONFLICTO_OBSERVACIONAL",IF(J25="true","REQUISITO_SI","REQUISITO_NO"))))))))))))</x:f>
        <x:v>REQUISITO_SI</x:v>
      </x:c>
      <x:c r="Q25" s="12" t="str">
        <x:f>IF(AND(K25=N25,L25=O25,M25=P25),"PASA","NO_PASA")</x:f>
        <x:v>PASA</x:v>
      </x:c>
      <x:c r="R25" s="4" t="str">
        <x:v>Permiso de reinicio denegado no cambia la verdad del requisito.</x:v>
      </x:c>
    </x:row>
    <x:row r="26" ht="47" customHeight="1">
      <x:c r="A26" s="4" t="str">
        <x:v>TI-04</x:v>
      </x:c>
      <x:c r="B26" s="4" t="str">
        <x:v>IMPACTO</x:v>
      </x:c>
      <x:c r="C26" s="4" t="str">
        <x:v>WUA-IND-0.1</x:v>
      </x:c>
      <x:c r="D26" s="4" t="str">
        <x:v>COINCIDE</x:v>
      </x:c>
      <x:c r="E26" s="4" t="str">
        <x:v>ADMITIDA</x:v>
      </x:c>
      <x:c r="F26" s="4" t="str">
        <x:v>LEGIBLE</x:v>
      </x:c>
      <x:c r="G26" s="4" t="str">
        <x:v>INDIVIDUAL_INSTALAR</x:v>
      </x:c>
      <x:c r="H26" s="4" t="str">
        <x:v>orcSucceeded</x:v>
      </x:c>
      <x:c r="I26" s="4" t="str">
        <x:v>UNICA</x:v>
      </x:c>
      <x:c r="J26" s="4" t="str">
        <x:v>false</x:v>
      </x:c>
      <x:c r="K26" s="4" t="str">
        <x:v>VALIDA</x:v>
      </x:c>
      <x:c r="L26" s="4" t="str">
        <x:v>0</x:v>
      </x:c>
      <x:c r="M26" s="4" t="str">
        <x:v>REQUISITO_NO</x:v>
      </x:c>
      <x:c r="N26" s="12" t="str">
        <x:f>IF(F26="FALLO","FALLO_CAPTURA",IF(F26&lt;&gt;"LEGIBLE","NO_ADMISION",IF(D26&lt;&gt;"COINCIDE","NO_ADMISION",IF(E26&lt;&gt;"ADMITIDA","NO_ADMISION",IF(C26&lt;&gt;"WUA-IND-0.1","FUERA_PERFIL",IF(G26&lt;&gt;"INDIVIDUAL_INSTALAR","FUERA_PERFIL",IF(NOT(OR(H26="orcNotStarted",H26="orcInProgress",H26="orcSucceeded",H26="orcSucceededWithErrors",H26="orcFailed",H26="orcAborted")),"NO_ADMISION",IF(H26&lt;&gt;"orcSucceeded","FUERA_PERFIL",IF(OR(AND(I26="AUSENTE",J26=""),AND(I26="CONFLICTO",J26="true|false"),AND(I26="UNICA",OR(J26="true",J26="false"))),"VALIDA","NO_ADMISION")))))))))</x:f>
        <x:v>VALIDA</x:v>
      </x:c>
      <x:c r="O26" s="12" t="str">
        <x:f>IF(N26&lt;&gt;"VALIDA","",IF(I26&lt;&gt;"UNICA","U",IF(J26="true","1","0")))</x:f>
        <x:v>0</x:v>
      </x:c>
      <x:c r="P26" s="12" t="str">
        <x:f>IF(F26="FALLO","SIN_EJECUCION_DOMINIO",IF(F26&lt;&gt;"LEGIBLE","CAPTURA_MAL_FORMADA",IF(D26&lt;&gt;"COINCIDE","IDENTIDAD",IF(E26&lt;&gt;"ADMITIDA","PROCEDENCIA",IF(C26&lt;&gt;"WUA-IND-0.1","PERFIL_NO_CONSTITUIDO",IF(G26&lt;&gt;"INDIVIDUAL_INSTALAR","AMBITO_RESULTADO",IF(NOT(OR(H26="orcNotStarted",H26="orcInProgress",H26="orcSucceeded",H26="orcSucceededWithErrors",H26="orcFailed",H26="orcAborted")),"RESULTADO_DESCONOCIDO",IF(H26&lt;&gt;"orcSucceeded","RESULTADO_INSTALACION",IF(N26="NO_ADMISION",IF(I26="UNICA","LEXEMA_NO_BOOLEANO","OBSERVACION_MAL_FORMADA"),IF(I26="AUSENTE","DATO_AUSENTE",IF(I26="CONFLICTO","CONFLICTO_OBSERVACIONAL",IF(J26="true","REQUISITO_SI","REQUISITO_NO"))))))))))))</x:f>
        <x:v>REQUISITO_NO</x:v>
      </x:c>
      <x:c r="Q26" s="12" t="str">
        <x:f>IF(AND(K26=N26,L26=O26,M26=P26),"PASA","NO_PASA")</x:f>
        <x:v>PASA</x:v>
      </x:c>
      <x:c r="R26" s="4" t="str">
        <x:v>Coste alto o bajo no cambia el predicado técnico.</x:v>
      </x:c>
    </x:row>
    <x:row r="27" ht="47" customHeight="1">
      <x:c r="A27" s="4" t="str">
        <x:v>TA-19</x:v>
      </x:c>
      <x:c r="B27" s="4" t="str">
        <x:v>FRONTERA</x:v>
      </x:c>
      <x:c r="C27" s="4" t="str">
        <x:v>WUA-IND-0.1</x:v>
      </x:c>
      <x:c r="D27" s="4" t="str">
        <x:v>COINCIDE</x:v>
      </x:c>
      <x:c r="E27" s="4" t="str">
        <x:v>ADMITIDA</x:v>
      </x:c>
      <x:c r="F27" s="4" t="str">
        <x:v>LEGIBLE</x:v>
      </x:c>
      <x:c r="G27" s="4" t="str">
        <x:v>INDIVIDUAL_INSTALAR</x:v>
      </x:c>
      <x:c r="H27" s="4" t="str">
        <x:v>orcAborted</x:v>
      </x:c>
      <x:c r="I27" s="4" t="str">
        <x:v>UNICA</x:v>
      </x:c>
      <x:c r="J27" s="4" t="str">
        <x:v>true</x:v>
      </x:c>
      <x:c r="K27" s="4" t="str">
        <x:v>FUERA_PERFIL</x:v>
      </x:c>
      <x:c r="L27" s="4" t="str"/>
      <x:c r="M27" s="4" t="str">
        <x:v>RESULTADO_INSTALACION</x:v>
      </x:c>
      <x:c r="N27" s="12" t="str">
        <x:f>IF(F27="FALLO","FALLO_CAPTURA",IF(F27&lt;&gt;"LEGIBLE","NO_ADMISION",IF(D27&lt;&gt;"COINCIDE","NO_ADMISION",IF(E27&lt;&gt;"ADMITIDA","NO_ADMISION",IF(C27&lt;&gt;"WUA-IND-0.1","FUERA_PERFIL",IF(G27&lt;&gt;"INDIVIDUAL_INSTALAR","FUERA_PERFIL",IF(NOT(OR(H27="orcNotStarted",H27="orcInProgress",H27="orcSucceeded",H27="orcSucceededWithErrors",H27="orcFailed",H27="orcAborted")),"NO_ADMISION",IF(H27&lt;&gt;"orcSucceeded","FUERA_PERFIL",IF(OR(AND(I27="AUSENTE",J27=""),AND(I27="CONFLICTO",J27="true|false"),AND(I27="UNICA",OR(J27="true",J27="false"))),"VALIDA","NO_ADMISION")))))))))</x:f>
        <x:v>FUERA_PERFIL</x:v>
      </x:c>
      <x:c r="O27" s="12" t="str">
        <x:f>IF(N27&lt;&gt;"VALIDA","",IF(I27&lt;&gt;"UNICA","U",IF(J27="true","1","0")))</x:f>
      </x:c>
      <x:c r="P27" s="12" t="str">
        <x:f>IF(F27="FALLO","SIN_EJECUCION_DOMINIO",IF(F27&lt;&gt;"LEGIBLE","CAPTURA_MAL_FORMADA",IF(D27&lt;&gt;"COINCIDE","IDENTIDAD",IF(E27&lt;&gt;"ADMITIDA","PROCEDENCIA",IF(C27&lt;&gt;"WUA-IND-0.1","PERFIL_NO_CONSTITUIDO",IF(G27&lt;&gt;"INDIVIDUAL_INSTALAR","AMBITO_RESULTADO",IF(NOT(OR(H27="orcNotStarted",H27="orcInProgress",H27="orcSucceeded",H27="orcSucceededWithErrors",H27="orcFailed",H27="orcAborted")),"RESULTADO_DESCONOCIDO",IF(H27&lt;&gt;"orcSucceeded","RESULTADO_INSTALACION",IF(N27="NO_ADMISION",IF(I27="UNICA","LEXEMA_NO_BOOLEANO","OBSERVACION_MAL_FORMADA"),IF(I27="AUSENTE","DATO_AUSENTE",IF(I27="CONFLICTO","CONFLICTO_OBSERVACIONAL",IF(J27="true","REQUISITO_SI","REQUISITO_NO"))))))))))))</x:f>
        <x:v>RESULTADO_INSTALACION</x:v>
      </x:c>
      <x:c r="Q27" s="12" t="str">
        <x:f>IF(AND(K27=N27,L27=O27,M27=P27),"PASA","NO_PASA")</x:f>
        <x:v>PASA</x:v>
      </x:c>
      <x:c r="R27" s="4" t="str">
        <x:v>Una cancelación conserva su significado propio en QCY-03.</x:v>
      </x:c>
    </x:row>
    <x:row r="28" ht="47" customHeight="1">
      <x:c r="A28" s="4" t="str">
        <x:v>TA-20</x:v>
      </x:c>
      <x:c r="B28" s="4" t="str">
        <x:v>U PROPIA</x:v>
      </x:c>
      <x:c r="C28" s="4" t="str">
        <x:v>WUA-IND-0.1</x:v>
      </x:c>
      <x:c r="D28" s="4" t="str">
        <x:v>COINCIDE</x:v>
      </x:c>
      <x:c r="E28" s="4" t="str">
        <x:v>ADMITIDA</x:v>
      </x:c>
      <x:c r="F28" s="4" t="str">
        <x:v>LEGIBLE</x:v>
      </x:c>
      <x:c r="G28" s="4" t="str">
        <x:v>INDIVIDUAL_INSTALAR</x:v>
      </x:c>
      <x:c r="H28" s="4" t="str">
        <x:v>orcSucceeded</x:v>
      </x:c>
      <x:c r="I28" s="4" t="str">
        <x:v>AUSENTE</x:v>
      </x:c>
      <x:c r="J28" s="4" t="str">
        <x:v>false</x:v>
      </x:c>
      <x:c r="K28" s="4" t="str">
        <x:v>NO_ADMISION</x:v>
      </x:c>
      <x:c r="L28" s="4" t="str"/>
      <x:c r="M28" s="4" t="str">
        <x:v>OBSERVACION_MAL_FORMADA</x:v>
      </x:c>
      <x:c r="N28" s="12" t="str">
        <x:f>IF(F28="FALLO","FALLO_CAPTURA",IF(F28&lt;&gt;"LEGIBLE","NO_ADMISION",IF(D28&lt;&gt;"COINCIDE","NO_ADMISION",IF(E28&lt;&gt;"ADMITIDA","NO_ADMISION",IF(C28&lt;&gt;"WUA-IND-0.1","FUERA_PERFIL",IF(G28&lt;&gt;"INDIVIDUAL_INSTALAR","FUERA_PERFIL",IF(NOT(OR(H28="orcNotStarted",H28="orcInProgress",H28="orcSucceeded",H28="orcSucceededWithErrors",H28="orcFailed",H28="orcAborted")),"NO_ADMISION",IF(H28&lt;&gt;"orcSucceeded","FUERA_PERFIL",IF(OR(AND(I28="AUSENTE",J28=""),AND(I28="CONFLICTO",J28="true|false"),AND(I28="UNICA",OR(J28="true",J28="false"))),"VALIDA","NO_ADMISION")))))))))</x:f>
        <x:v>NO_ADMISION</x:v>
      </x:c>
      <x:c r="O28" s="12" t="str">
        <x:f>IF(N28&lt;&gt;"VALIDA","",IF(I28&lt;&gt;"UNICA","U",IF(J28="true","1","0")))</x:f>
      </x:c>
      <x:c r="P28" s="12" t="str">
        <x:f>IF(F28="FALLO","SIN_EJECUCION_DOMINIO",IF(F28&lt;&gt;"LEGIBLE","CAPTURA_MAL_FORMADA",IF(D28&lt;&gt;"COINCIDE","IDENTIDAD",IF(E28&lt;&gt;"ADMITIDA","PROCEDENCIA",IF(C28&lt;&gt;"WUA-IND-0.1","PERFIL_NO_CONSTITUIDO",IF(G28&lt;&gt;"INDIVIDUAL_INSTALAR","AMBITO_RESULTADO",IF(NOT(OR(H28="orcNotStarted",H28="orcInProgress",H28="orcSucceeded",H28="orcSucceededWithErrors",H28="orcFailed",H28="orcAborted")),"RESULTADO_DESCONOCIDO",IF(H28&lt;&gt;"orcSucceeded","RESULTADO_INSTALACION",IF(N28="NO_ADMISION",IF(I28="UNICA","LEXEMA_NO_BOOLEANO","OBSERVACION_MAL_FORMADA"),IF(I28="AUSENTE","DATO_AUSENTE",IF(I28="CONFLICTO","CONFLICTO_OBSERVACIONAL",IF(J28="true","REQUISITO_SI","REQUISITO_NO"))))))))))))</x:f>
        <x:v>OBSERVACION_MAL_FORMADA</x:v>
      </x:c>
      <x:c r="Q28" s="12" t="str">
        <x:f>IF(AND(K28=N28,L28=O28,M28=P28),"PASA","NO_PASA")</x:f>
        <x:v>PASA</x:v>
      </x:c>
      <x:c r="R28" s="4" t="str">
        <x:v>No permitir ausencia declarada junto con un valor afirmado.</x:v>
      </x:c>
    </x:row>
    <x:row r="29" ht="47" customHeight="1">
      <x:c r="A29" s="4" t="str">
        <x:v>TA-21</x:v>
      </x:c>
      <x:c r="B29" s="4" t="str">
        <x:v>TIPO</x:v>
      </x:c>
      <x:c r="C29" s="4" t="str">
        <x:v>WUA-IND-0.1</x:v>
      </x:c>
      <x:c r="D29" s="4" t="str">
        <x:v>COINCIDE</x:v>
      </x:c>
      <x:c r="E29" s="4" t="str">
        <x:v>ADMITIDA</x:v>
      </x:c>
      <x:c r="F29" s="4" t="str">
        <x:v>DESCONOCIDA</x:v>
      </x:c>
      <x:c r="G29" s="4" t="str">
        <x:v>INDIVIDUAL_INSTALAR</x:v>
      </x:c>
      <x:c r="H29" s="4" t="str">
        <x:v>orcSucceeded</x:v>
      </x:c>
      <x:c r="I29" s="4" t="str">
        <x:v>UNICA</x:v>
      </x:c>
      <x:c r="J29" s="4" t="str">
        <x:v>true</x:v>
      </x:c>
      <x:c r="K29" s="4" t="str">
        <x:v>NO_ADMISION</x:v>
      </x:c>
      <x:c r="L29" s="4" t="str"/>
      <x:c r="M29" s="4" t="str">
        <x:v>CAPTURA_MAL_FORMADA</x:v>
      </x:c>
      <x:c r="N29" s="12" t="str">
        <x:f>IF(F29="FALLO","FALLO_CAPTURA",IF(F29&lt;&gt;"LEGIBLE","NO_ADMISION",IF(D29&lt;&gt;"COINCIDE","NO_ADMISION",IF(E29&lt;&gt;"ADMITIDA","NO_ADMISION",IF(C29&lt;&gt;"WUA-IND-0.1","FUERA_PERFIL",IF(G29&lt;&gt;"INDIVIDUAL_INSTALAR","FUERA_PERFIL",IF(NOT(OR(H29="orcNotStarted",H29="orcInProgress",H29="orcSucceeded",H29="orcSucceededWithErrors",H29="orcFailed",H29="orcAborted")),"NO_ADMISION",IF(H29&lt;&gt;"orcSucceeded","FUERA_PERFIL",IF(OR(AND(I29="AUSENTE",J29=""),AND(I29="CONFLICTO",J29="true|false"),AND(I29="UNICA",OR(J29="true",J29="false"))),"VALIDA","NO_ADMISION")))))))))</x:f>
        <x:v>NO_ADMISION</x:v>
      </x:c>
      <x:c r="O29" s="12" t="str">
        <x:f>IF(N29&lt;&gt;"VALIDA","",IF(I29&lt;&gt;"UNICA","U",IF(J29="true","1","0")))</x:f>
      </x:c>
      <x:c r="P29" s="12" t="str">
        <x:f>IF(F29="FALLO","SIN_EJECUCION_DOMINIO",IF(F29&lt;&gt;"LEGIBLE","CAPTURA_MAL_FORMADA",IF(D29&lt;&gt;"COINCIDE","IDENTIDAD",IF(E29&lt;&gt;"ADMITIDA","PROCEDENCIA",IF(C29&lt;&gt;"WUA-IND-0.1","PERFIL_NO_CONSTITUIDO",IF(G29&lt;&gt;"INDIVIDUAL_INSTALAR","AMBITO_RESULTADO",IF(NOT(OR(H29="orcNotStarted",H29="orcInProgress",H29="orcSucceeded",H29="orcSucceededWithErrors",H29="orcFailed",H29="orcAborted")),"RESULTADO_DESCONOCIDO",IF(H29&lt;&gt;"orcSucceeded","RESULTADO_INSTALACION",IF(N29="NO_ADMISION",IF(I29="UNICA","LEXEMA_NO_BOOLEANO","OBSERVACION_MAL_FORMADA"),IF(I29="AUSENTE","DATO_AUSENTE",IF(I29="CONFLICTO","CONFLICTO_OBSERVACIONAL",IF(J29="true","REQUISITO_SI","REQUISITO_NO"))))))))))))</x:f>
        <x:v>CAPTURA_MAL_FORMADA</x:v>
      </x:c>
      <x:c r="Q29" s="12" t="str">
        <x:f>IF(AND(K29=N29,L29=O29,M29=P29),"PASA","NO_PASA")</x:f>
        <x:v>PASA</x:v>
      </x:c>
      <x:c r="R29" s="4" t="str">
        <x:v>Un estado de captura no declarado no puede atravesar la admisión.</x:v>
      </x:c>
    </x:row>
    <x:row r="30" ht="47" customHeight="1">
      <x:c r="A30" s="4" t="str">
        <x:v>TA-22</x:v>
      </x:c>
      <x:c r="B30" s="4" t="str">
        <x:v>TIPO</x:v>
      </x:c>
      <x:c r="C30" s="4" t="str">
        <x:v>WUA-IND-0.1</x:v>
      </x:c>
      <x:c r="D30" s="4" t="str">
        <x:v>COINCIDE</x:v>
      </x:c>
      <x:c r="E30" s="4" t="str">
        <x:v>ADMITIDA</x:v>
      </x:c>
      <x:c r="F30" s="4" t="str">
        <x:v>LEGIBLE</x:v>
      </x:c>
      <x:c r="G30" s="4" t="str">
        <x:v>INDIVIDUAL_INSTALAR</x:v>
      </x:c>
      <x:c r="H30" s="4" t="str">
        <x:v>orcInventado</x:v>
      </x:c>
      <x:c r="I30" s="4" t="str">
        <x:v>UNICA</x:v>
      </x:c>
      <x:c r="J30" s="4" t="str">
        <x:v>true</x:v>
      </x:c>
      <x:c r="K30" s="4" t="str">
        <x:v>NO_ADMISION</x:v>
      </x:c>
      <x:c r="L30" s="4" t="str"/>
      <x:c r="M30" s="4" t="str">
        <x:v>RESULTADO_DESCONOCIDO</x:v>
      </x:c>
      <x:c r="N30" s="12" t="str">
        <x:f>IF(F30="FALLO","FALLO_CAPTURA",IF(F30&lt;&gt;"LEGIBLE","NO_ADMISION",IF(D30&lt;&gt;"COINCIDE","NO_ADMISION",IF(E30&lt;&gt;"ADMITIDA","NO_ADMISION",IF(C30&lt;&gt;"WUA-IND-0.1","FUERA_PERFIL",IF(G30&lt;&gt;"INDIVIDUAL_INSTALAR","FUERA_PERFIL",IF(NOT(OR(H30="orcNotStarted",H30="orcInProgress",H30="orcSucceeded",H30="orcSucceededWithErrors",H30="orcFailed",H30="orcAborted")),"NO_ADMISION",IF(H30&lt;&gt;"orcSucceeded","FUERA_PERFIL",IF(OR(AND(I30="AUSENTE",J30=""),AND(I30="CONFLICTO",J30="true|false"),AND(I30="UNICA",OR(J30="true",J30="false"))),"VALIDA","NO_ADMISION")))))))))</x:f>
        <x:v>NO_ADMISION</x:v>
      </x:c>
      <x:c r="O30" s="12" t="str">
        <x:f>IF(N30&lt;&gt;"VALIDA","",IF(I30&lt;&gt;"UNICA","U",IF(J30="true","1","0")))</x:f>
      </x:c>
      <x:c r="P30" s="12" t="str">
        <x:f>IF(F30="FALLO","SIN_EJECUCION_DOMINIO",IF(F30&lt;&gt;"LEGIBLE","CAPTURA_MAL_FORMADA",IF(D30&lt;&gt;"COINCIDE","IDENTIDAD",IF(E30&lt;&gt;"ADMITIDA","PROCEDENCIA",IF(C30&lt;&gt;"WUA-IND-0.1","PERFIL_NO_CONSTITUIDO",IF(G30&lt;&gt;"INDIVIDUAL_INSTALAR","AMBITO_RESULTADO",IF(NOT(OR(H30="orcNotStarted",H30="orcInProgress",H30="orcSucceeded",H30="orcSucceededWithErrors",H30="orcFailed",H30="orcAborted")),"RESULTADO_DESCONOCIDO",IF(H30&lt;&gt;"orcSucceeded","RESULTADO_INSTALACION",IF(N30="NO_ADMISION",IF(I30="UNICA","LEXEMA_NO_BOOLEANO","OBSERVACION_MAL_FORMADA"),IF(I30="AUSENTE","DATO_AUSENTE",IF(I30="CONFLICTO","CONFLICTO_OBSERVACIONAL",IF(J30="true","REQUISITO_SI","REQUISITO_NO"))))))))))))</x:f>
        <x:v>RESULTADO_DESCONOCIDO</x:v>
      </x:c>
      <x:c r="Q30" s="12" t="str">
        <x:f>IF(AND(K30=N30,L30=O30,M30=P30),"PASA","NO_PASA")</x:f>
        <x:v>PASA</x:v>
      </x:c>
      <x:c r="R30" s="4" t="str">
        <x:v>Una etiqueta desconocida no se confunde con un resultado conocido fuera del perfil.</x:v>
      </x:c>
    </x:row>
    <x:row r="31" ht="47" customHeight="1">
      <x:c r="A31" s="4" t="str">
        <x:v>TA-23</x:v>
      </x:c>
      <x:c r="B31" s="4" t="str">
        <x:v>TIPO</x:v>
      </x:c>
      <x:c r="C31" s="4" t="str">
        <x:v>WUA-IND-0.1</x:v>
      </x:c>
      <x:c r="D31" s="4" t="str">
        <x:v>COINCIDE</x:v>
      </x:c>
      <x:c r="E31" s="4" t="str">
        <x:v>ADMITIDA</x:v>
      </x:c>
      <x:c r="F31" s="4" t="str">
        <x:v>LEGIBLE</x:v>
      </x:c>
      <x:c r="G31" s="4" t="str">
        <x:v>INDIVIDUAL_INSTALAR</x:v>
      </x:c>
      <x:c r="H31" s="4" t="str">
        <x:v>orcSucceeded</x:v>
      </x:c>
      <x:c r="I31" s="4" t="str">
        <x:v>SUPUESTA</x:v>
      </x:c>
      <x:c r="J31" s="4" t="str">
        <x:v>true</x:v>
      </x:c>
      <x:c r="K31" s="4" t="str">
        <x:v>NO_ADMISION</x:v>
      </x:c>
      <x:c r="L31" s="4" t="str"/>
      <x:c r="M31" s="4" t="str">
        <x:v>OBSERVACION_MAL_FORMADA</x:v>
      </x:c>
      <x:c r="N31" s="12" t="str">
        <x:f>IF(F31="FALLO","FALLO_CAPTURA",IF(F31&lt;&gt;"LEGIBLE","NO_ADMISION",IF(D31&lt;&gt;"COINCIDE","NO_ADMISION",IF(E31&lt;&gt;"ADMITIDA","NO_ADMISION",IF(C31&lt;&gt;"WUA-IND-0.1","FUERA_PERFIL",IF(G31&lt;&gt;"INDIVIDUAL_INSTALAR","FUERA_PERFIL",IF(NOT(OR(H31="orcNotStarted",H31="orcInProgress",H31="orcSucceeded",H31="orcSucceededWithErrors",H31="orcFailed",H31="orcAborted")),"NO_ADMISION",IF(H31&lt;&gt;"orcSucceeded","FUERA_PERFIL",IF(OR(AND(I31="AUSENTE",J31=""),AND(I31="CONFLICTO",J31="true|false"),AND(I31="UNICA",OR(J31="true",J31="false"))),"VALIDA","NO_ADMISION")))))))))</x:f>
        <x:v>NO_ADMISION</x:v>
      </x:c>
      <x:c r="O31" s="12" t="str">
        <x:f>IF(N31&lt;&gt;"VALIDA","",IF(I31&lt;&gt;"UNICA","U",IF(J31="true","1","0")))</x:f>
      </x:c>
      <x:c r="P31" s="12" t="str">
        <x:f>IF(F31="FALLO","SIN_EJECUCION_DOMINIO",IF(F31&lt;&gt;"LEGIBLE","CAPTURA_MAL_FORMADA",IF(D31&lt;&gt;"COINCIDE","IDENTIDAD",IF(E31&lt;&gt;"ADMITIDA","PROCEDENCIA",IF(C31&lt;&gt;"WUA-IND-0.1","PERFIL_NO_CONSTITUIDO",IF(G31&lt;&gt;"INDIVIDUAL_INSTALAR","AMBITO_RESULTADO",IF(NOT(OR(H31="orcNotStarted",H31="orcInProgress",H31="orcSucceeded",H31="orcSucceededWithErrors",H31="orcFailed",H31="orcAborted")),"RESULTADO_DESCONOCIDO",IF(H31&lt;&gt;"orcSucceeded","RESULTADO_INSTALACION",IF(N31="NO_ADMISION",IF(I31="UNICA","LEXEMA_NO_BOOLEANO","OBSERVACION_MAL_FORMADA"),IF(I31="AUSENTE","DATO_AUSENTE",IF(I31="CONFLICTO","CONFLICTO_OBSERVACIONAL",IF(J31="true","REQUISITO_SI","REQUISITO_NO"))))))))))))</x:f>
        <x:v>OBSERVACION_MAL_FORMADA</x:v>
      </x:c>
      <x:c r="Q31" s="12" t="str">
        <x:f>IF(AND(K31=N31,L31=O31,M31=P31),"PASA","NO_PASA")</x:f>
        <x:v>PASA</x:v>
      </x:c>
      <x:c r="R31" s="4" t="str">
        <x:v>El estado observacional debe pertenecer al contrato.</x:v>
      </x:c>
    </x:row>
    <x:row r="32" ht="47" customHeight="1">
      <x:c r="A32" s="4" t="str">
        <x:v>TA-24</x:v>
      </x:c>
      <x:c r="B32" s="4" t="str">
        <x:v>TIPO</x:v>
      </x:c>
      <x:c r="C32" s="4" t="str">
        <x:v>WUA-IND-0.1</x:v>
      </x:c>
      <x:c r="D32" s="4" t="str">
        <x:v>COINCIDE</x:v>
      </x:c>
      <x:c r="E32" s="4" t="str">
        <x:v>ADMITIDA</x:v>
      </x:c>
      <x:c r="F32" s="4" t="str"/>
      <x:c r="G32" s="4" t="str">
        <x:v>INDIVIDUAL_INSTALAR</x:v>
      </x:c>
      <x:c r="H32" s="4" t="str">
        <x:v>orcSucceeded</x:v>
      </x:c>
      <x:c r="I32" s="4" t="str">
        <x:v>UNICA</x:v>
      </x:c>
      <x:c r="J32" s="4" t="str">
        <x:v>true</x:v>
      </x:c>
      <x:c r="K32" s="4" t="str">
        <x:v>NO_ADMISION</x:v>
      </x:c>
      <x:c r="L32" s="4" t="str"/>
      <x:c r="M32" s="4" t="str">
        <x:v>CAPTURA_MAL_FORMADA</x:v>
      </x:c>
      <x:c r="N32" s="12" t="str">
        <x:f>IF(F32="FALLO","FALLO_CAPTURA",IF(F32&lt;&gt;"LEGIBLE","NO_ADMISION",IF(D32&lt;&gt;"COINCIDE","NO_ADMISION",IF(E32&lt;&gt;"ADMITIDA","NO_ADMISION",IF(C32&lt;&gt;"WUA-IND-0.1","FUERA_PERFIL",IF(G32&lt;&gt;"INDIVIDUAL_INSTALAR","FUERA_PERFIL",IF(NOT(OR(H32="orcNotStarted",H32="orcInProgress",H32="orcSucceeded",H32="orcSucceededWithErrors",H32="orcFailed",H32="orcAborted")),"NO_ADMISION",IF(H32&lt;&gt;"orcSucceeded","FUERA_PERFIL",IF(OR(AND(I32="AUSENTE",J32=""),AND(I32="CONFLICTO",J32="true|false"),AND(I32="UNICA",OR(J32="true",J32="false"))),"VALIDA","NO_ADMISION")))))))))</x:f>
        <x:v>NO_ADMISION</x:v>
      </x:c>
      <x:c r="O32" s="12" t="str">
        <x:f>IF(N32&lt;&gt;"VALIDA","",IF(I32&lt;&gt;"UNICA","U",IF(J32="true","1","0")))</x:f>
      </x:c>
      <x:c r="P32" s="12" t="str">
        <x:f>IF(F32="FALLO","SIN_EJECUCION_DOMINIO",IF(F32&lt;&gt;"LEGIBLE","CAPTURA_MAL_FORMADA",IF(D32&lt;&gt;"COINCIDE","IDENTIDAD",IF(E32&lt;&gt;"ADMITIDA","PROCEDENCIA",IF(C32&lt;&gt;"WUA-IND-0.1","PERFIL_NO_CONSTITUIDO",IF(G32&lt;&gt;"INDIVIDUAL_INSTALAR","AMBITO_RESULTADO",IF(NOT(OR(H32="orcNotStarted",H32="orcInProgress",H32="orcSucceeded",H32="orcSucceededWithErrors",H32="orcFailed",H32="orcAborted")),"RESULTADO_DESCONOCIDO",IF(H32&lt;&gt;"orcSucceeded","RESULTADO_INSTALACION",IF(N32="NO_ADMISION",IF(I32="UNICA","LEXEMA_NO_BOOLEANO","OBSERVACION_MAL_FORMADA"),IF(I32="AUSENTE","DATO_AUSENTE",IF(I32="CONFLICTO","CONFLICTO_OBSERVACIONAL",IF(J32="true","REQUISITO_SI","REQUISITO_NO"))))))))))))</x:f>
        <x:v>CAPTURA_MAL_FORMADA</x:v>
      </x:c>
      <x:c r="Q32" s="12" t="str">
        <x:f>IF(AND(K32=N32,L32=O32,M32=P32),"PASA","NO_PASA")</x:f>
        <x:v>PASA</x:v>
      </x:c>
      <x:c r="R32" s="4" t="str">
        <x:v>La ausencia de estado de captura no se interpreta como captura legible.</x:v>
      </x:c>
    </x:row>
  </x:sheetData>
  <x:mergeCells>
    <x:mergeCell ref="A1:D1"/>
    <x:mergeCell ref="A2:F2"/>
  </x:mergeCells>
  <x:conditionalFormatting sqref="Q5:Q32">
    <x:cfRule type="expression" dxfId="22" priority="1">
      <x:formula>Q5="NO_PASA"</x:formula>
    </x:cfRule>
  </x:conditionalFormatting>
  <x:pageMargins left="0.7" right="0.7" top="0.75" bottom="0.75" header="0.3" footer="0.3"/>
  <x:tableParts count="1">
    <x:tablePart xmlns:r="http://schemas.openxmlformats.org/officeDocument/2006/relationships" r:id="Rd4cb861004e54eac"/>
  </x:tableParts>
</x:worksheet>
</file>

<file path=xl/worksheets/sheet43.xml><?xml version="1.0" encoding="utf-8"?>
<x:worksheet xmlns:x="http://schemas.openxmlformats.org/spreadsheetml/2006/main">
  <x:sheetViews>
    <x:sheetView showGridLines="0" workbookViewId="0"/>
  </x:sheetViews>
  <x:sheetFormatPr defaultRowHeight="15"/>
  <x:cols>
    <x:col min="1" max="1" width="13" hidden="0" customWidth="1"/>
    <x:col min="2" max="2" width="36" hidden="0" customWidth="1"/>
    <x:col min="3" max="3" width="108" hidden="0" customWidth="1"/>
    <x:col min="4" max="4" width="32" hidden="0" customWidth="1"/>
    <x:col min="5" max="5" width="53" hidden="0" customWidth="1"/>
  </x:cols>
  <x:sheetData>
    <x:row r="1" ht="35" customHeight="1">
      <x:c r="A1" s="6" t="str">
        <x:v>ADVERSARIAL G5 · ataques y correcciones incorporadas</x:v>
      </x:c>
      <x:c r="B1" s="6"/>
      <x:c r="C1" s="6"/>
      <x:c r="D1" s="6"/>
      <x:c r="E1" s="6"/>
    </x:row>
    <x:row r="2" ht="52" customHeight="1">
      <x:c r="A2" s="8" t="str">
        <x:v>Revisión interna. Dos formulaciones materiales se corrigieron antes del dictamen: éxito/efecto y requisito/deuda actual.</x:v>
      </x:c>
      <x:c r="B2" s="8"/>
      <x:c r="C2" s="8"/>
      <x:c r="D2" s="8"/>
      <x:c r="E2" s="8"/>
    </x:row>
    <x:row r="3">
      <x:c r="A3" s="4"/>
      <x:c r="B3" s="4"/>
      <x:c r="C3" s="4"/>
      <x:c r="D3" s="4"/>
      <x:c r="E3" s="4"/>
    </x:row>
    <x:row r="4" ht="42" customHeight="1">
      <x:c r="A4" s="10" t="str">
        <x:v>ID</x:v>
      </x:c>
      <x:c r="B4" s="10" t="str">
        <x:v>Ataque</x:v>
      </x:c>
      <x:c r="C4" s="10" t="str">
        <x:v>Resolución</x:v>
      </x:c>
      <x:c r="D4" s="10" t="str">
        <x:v>Dictamen</x:v>
      </x:c>
      <x:c r="E4" s="10" t="str">
        <x:v>Evidencia</x:v>
      </x:c>
    </x:row>
    <x:row r="5" ht="47" customHeight="1">
      <x:c r="A5" s="4" t="str">
        <x:v>AG-01</x:v>
      </x:c>
      <x:c r="B5" s="4" t="str">
        <x:v>Falso parámetro administrativo</x:v>
      </x:c>
      <x:c r="C5" s="4" t="str">
        <x:v>El observable está en un campo API, pero el predicado expresa un requisito técnico para completar una instalación; su omisión cambia la evidencia exigible.</x:v>
      </x:c>
      <x:c r="D5" s="4" t="str">
        <x:v>PASA EN USO DECLARADO</x:v>
      </x:c>
      <x:c r="E5" s="4" t="str">
        <x:v>CON-01; AB-01</x:v>
      </x:c>
    </x:row>
    <x:row r="6" ht="47" customHeight="1">
      <x:c r="A6" s="4" t="str">
        <x:v>AG-02</x:v>
      </x:c>
      <x:c r="B6" s="4" t="str">
        <x:v>Éxito = corrección efectiva</x:v>
      </x:c>
      <x:c r="C6" s="4" t="str">
        <x:v>Se distingue éxito comunicado, requisito de completar, cumplimiento y verificación del efecto. No se fusionan.</x:v>
      </x:c>
      <x:c r="D6" s="4" t="str">
        <x:v>REFUTACION ABSORBIDA</x:v>
      </x:c>
      <x:c r="E6" s="4" t="str">
        <x:v>QCY-03/04/05; T001/T002</x:v>
      </x:c>
    </x:row>
    <x:row r="7" ht="47" customHeight="1">
      <x:c r="A7" s="4" t="str">
        <x:v>AG-03</x:v>
      </x:c>
      <x:c r="B7" s="4" t="str">
        <x:v>Requisito = pendiente actual</x:v>
      </x:c>
      <x:c r="C7" s="4" t="str">
        <x:v>La formulación inicial ambigua se corrige: estado histórico al finalizar instalación. No contiene “sigue pendiente”.</x:v>
      </x:c>
      <x:c r="D7" s="4" t="str">
        <x:v>REFUTACION ABSORBIDA</x:v>
      </x:c>
      <x:c r="E7" s="4" t="str">
        <x:v>39 horizonte; TI-01/TI-02</x:v>
      </x:c>
    </x:row>
    <x:row r="8" ht="47" customHeight="1">
      <x:c r="A8" s="4" t="str">
        <x:v>AG-04</x:v>
      </x:c>
      <x:c r="B8" s="4" t="str">
        <x:v>Requisito = orden</x:v>
      </x:c>
      <x:c r="C8" s="4" t="str">
        <x:v>Autoridad, impacto, ventana y coste no son parte del átomo; son dependencias del consejo posterior.</x:v>
      </x:c>
      <x:c r="D8" s="4" t="str">
        <x:v>PASA</x:v>
      </x:c>
      <x:c r="E8" s="4" t="str">
        <x:v>TI-03/TI-04; QCY-06/07</x:v>
      </x:c>
    </x:row>
    <x:row r="9" ht="47" customHeight="1">
      <x:c r="A9" s="4" t="str">
        <x:v>AG-05</x:v>
      </x:c>
      <x:c r="B9" s="4" t="str">
        <x:v>Copiar un booleano sin conocimiento</x:v>
      </x:c>
      <x:c r="C9" s="4" t="str">
        <x:v>Se enlazan fundamento técnico, obligación de comprobar cumplimiento y efecto potencial; el booleano aislado es insuficiente para consejo.</x:v>
      </x:c>
      <x:c r="D9" s="4" t="str">
        <x:v>PASA EN ALCANCE</x:v>
      </x:c>
      <x:c r="E9" s="4" t="str">
        <x:v>R025/R035; 40</x:v>
      </x:c>
    </x:row>
    <x:row r="10" ht="47" customHeight="1">
      <x:c r="A10" s="4" t="str">
        <x:v>AG-06</x:v>
      </x:c>
      <x:c r="B10" s="4" t="str">
        <x:v>Lote = individuo</x:v>
      </x:c>
      <x:c r="C10" s="4" t="str">
        <x:v>Se exige resultado individual y vínculo a colección e índice originales; el agregado se excluye.</x:v>
      </x:c>
      <x:c r="D10" s="4" t="str">
        <x:v>PASA</x:v>
      </x:c>
      <x:c r="E10" s="4" t="str">
        <x:v>TA-06/TA-09; T006</x:v>
      </x:c>
    </x:row>
    <x:row r="11" ht="47" customHeight="1">
      <x:c r="A11" s="4" t="str">
        <x:v>AG-07</x:v>
      </x:c>
      <x:c r="B11" s="4" t="str">
        <x:v>Tipo numérico = booleano</x:v>
      </x:c>
      <x:c r="C11" s="4" t="str">
        <x:v>1, cadena false y predicción condicional no se convierten por verdad genérica de programación.</x:v>
      </x:c>
      <x:c r="D11" s="4" t="str">
        <x:v>PASA</x:v>
      </x:c>
      <x:c r="E11" s="4" t="str">
        <x:v>TA-14/15/16</x:v>
      </x:c>
    </x:row>
    <x:row r="12" ht="47" customHeight="1">
      <x:c r="A12" s="4" t="str">
        <x:v>AG-08</x:v>
      </x:c>
      <x:c r="B12" s="4" t="str">
        <x:v>Silencio = 0</x:v>
      </x:c>
      <x:c r="C12" s="4" t="str">
        <x:v>Ausencia parcial declarada conserva U; vacío no declarado se rechaza por forma.</x:v>
      </x:c>
      <x:c r="D12" s="4" t="str">
        <x:v>PASA</x:v>
      </x:c>
      <x:c r="E12" s="4" t="str">
        <x:v>TA-03/17/20</x:v>
      </x:c>
    </x:row>
    <x:row r="13" ht="47" customHeight="1">
      <x:c r="A13" s="4" t="str">
        <x:v>AG-09</x:v>
      </x:c>
      <x:c r="B13" s="4" t="str">
        <x:v>Fallo técnico = U</x:v>
      </x:c>
      <x:c r="C13" s="4" t="str">
        <x:v>Registro de captura fallida no emite Tri. Instalación fallida es hecho profesional fuera del perfil, no fallo del Lenguaje.</x:v>
      </x:c>
      <x:c r="D13" s="4" t="str">
        <x:v>PASA</x:v>
      </x:c>
      <x:c r="E13" s="4" t="str">
        <x:v>TA-08/11</x:v>
      </x:c>
    </x:row>
    <x:row r="14" ht="47" customHeight="1">
      <x:c r="A14" s="4" t="str">
        <x:v>AG-10</x:v>
      </x:c>
      <x:c r="B14" s="4" t="str">
        <x:v>Dividir en dos átomos útiles</x:v>
      </x:c>
      <x:c r="C14" s="4" t="str">
        <x:v>Requisito y cumplimiento se separan antes de G5. Dividir el requisito por identificadores o palabras no aporta dos funciones gobernables en este uso.</x:v>
      </x:c>
      <x:c r="D14" s="4" t="str">
        <x:v>PASA EN USO DECLARADO</x:v>
      </x:c>
      <x:c r="E14" s="4" t="str">
        <x:v>QCY-04 D1/D2; 39</x:v>
      </x:c>
    </x:row>
    <x:row r="15" ht="47" customHeight="1">
      <x:c r="A15" s="4" t="str">
        <x:v>AG-11</x:v>
      </x:c>
      <x:c r="B15" s="4" t="str">
        <x:v>Independencia fingida</x:v>
      </x:c>
      <x:c r="C15" s="4" t="str">
        <x:v>TI-02/03/04 son contrastes documentales con premisas laterales declaradas; no observaciones reales ni pruebas de causalidad.</x:v>
      </x:c>
      <x:c r="D15" s="4" t="str">
        <x:v>PASA CON LIMITE</x:v>
      </x:c>
      <x:c r="E15" s="4" t="str">
        <x:v>41; CON-04</x:v>
      </x:c>
    </x:row>
    <x:row r="16" ht="47" customHeight="1">
      <x:c r="A16" s="4" t="str">
        <x:v>AG-12</x:v>
      </x:c>
      <x:c r="B16" s="4" t="str">
        <x:v>Ablación que depende de datos ocultos</x:v>
      </x:c>
      <x:c r="C16" s="4" t="str">
        <x:v>La proyección de AB-01 elimina la distinción y cualquier codificación indirecta, pero conserva el resto de la vista semántica declarada. No afirma identidad completa de dos ejecuciones.</x:v>
      </x:c>
      <x:c r="D16" s="4" t="str">
        <x:v>PASA CON LIMITE</x:v>
      </x:c>
      <x:c r="E16" s="4" t="str">
        <x:v>AB-01 en expediente y verificación</x:v>
      </x:c>
    </x:row>
    <x:row r="17" ht="47" customHeight="1">
      <x:c r="A17" s="4" t="str">
        <x:v>AG-13</x:v>
      </x:c>
      <x:c r="B17" s="4" t="str">
        <x:v>Cierre oportunista de universo</x:v>
      </x:c>
      <x:c r="C17" s="4" t="str">
        <x:v>Una distinción dictaminada no cierra Q0. Las demás distinciones quedan contadas y las dependencias materiales bloquean suficiencia.</x:v>
      </x:c>
      <x:c r="D17" s="4" t="str">
        <x:v>PASA</x:v>
      </x:c>
      <x:c r="E17" s="4" t="str">
        <x:v>38; 44</x:v>
      </x:c>
    </x:row>
    <x:row r="18" ht="47" customHeight="1">
      <x:c r="A18" s="4" t="str">
        <x:v>AG-14</x:v>
      </x:c>
      <x:c r="B18" s="4" t="str">
        <x:v>Tamaño inventado</x:v>
      </x:c>
      <x:c r="C18" s="4" t="str">
        <x:v>No se constituye célula, ni se infiere un tamaño desde Q0, observables o filas del Excel.</x:v>
      </x:c>
      <x:c r="D18" s="4" t="str">
        <x:v>PASA</x:v>
      </x:c>
      <x:c r="E18" s="4" t="str">
        <x:v>I005 §7.3; mandato humano</x:v>
      </x:c>
    </x:row>
    <x:row r="19" ht="47" customHeight="1">
      <x:c r="A19" s="4" t="str">
        <x:v>AG-15</x:v>
      </x:c>
      <x:c r="B19" s="4" t="str">
        <x:v>Soberanía simulada</x:v>
      </x:c>
      <x:c r="C19" s="4" t="str">
        <x:v>El dictamen es de Watson, documentado bajo mandato. No se falsifica la aprobación nominal ni se activa corpus de un agente.</x:v>
      </x:c>
      <x:c r="D19" s="4" t="str">
        <x:v>PASA</x:v>
      </x:c>
      <x:c r="E19" s="4" t="str">
        <x:v>36 LG-01; 39 estatuto</x:v>
      </x:c>
    </x:row>
    <x:row r="20" ht="47" customHeight="1">
      <x:c r="A20" s="4" t="str">
        <x:v>AG-16</x:v>
      </x:c>
      <x:c r="B20" s="4" t="str">
        <x:v>Alfabetos mezclados</x:v>
      </x:c>
      <x:c r="C20" s="4" t="str">
        <x:v>VALIDA, FUERA_PERFIL y diagnósticos son resultados del control documental. Sólo la columna Tri del parámetro contiene 0/1/U.</x:v>
      </x:c>
      <x:c r="D20" s="4" t="str">
        <x:v>PASA</x:v>
      </x:c>
      <x:c r="E20" s="4" t="str">
        <x:v>41 contrato</x:v>
      </x:c>
    </x:row>
    <x:row r="21" ht="47" customHeight="1">
      <x:c r="A21" s="4" t="str">
        <x:v>AG-17</x:v>
      </x:c>
      <x:c r="B21" s="4" t="str">
        <x:v>Prueba del Lenguaje fingida</x:v>
      </x:c>
      <x:c r="C21" s="4" t="str">
        <x:v>Los ensayos son fórmulas y testigos documentales locales; no se ejecuta el Lenguaje recibido ni se acredita captura productiva.</x:v>
      </x:c>
      <x:c r="D21" s="4" t="str">
        <x:v>PASA</x:v>
      </x:c>
      <x:c r="E21" s="4" t="str">
        <x:v>RETP-105; 44</x:v>
      </x:c>
    </x:row>
    <x:row r="22" ht="47" customHeight="1">
      <x:c r="A22" s="4" t="str">
        <x:v>AG-18</x:v>
      </x:c>
      <x:c r="B22" s="4" t="str">
        <x:v>Fuentes seleccionadas por comodidad</x:v>
      </x:c>
      <x:c r="C22" s="4" t="str">
        <x:v>CYO-26 se elige por el problema de cierre prematuro y sus consecuencias. El perfil se acota después para que la evidencia sea comprobable.</x:v>
      </x:c>
      <x:c r="D22" s="4" t="str">
        <x:v>PASA EN ALCANCE</x:v>
      </x:c>
      <x:c r="E22" s="4" t="str">
        <x:v>36 LG-03/06; 37</x:v>
      </x:c>
    </x:row>
    <x:row r="23" ht="47" customHeight="1">
      <x:c r="A23" s="4" t="str">
        <x:v>AG-19</x:v>
      </x:c>
      <x:c r="B23" s="4" t="str">
        <x:v>Controles verdes = atomicidad</x:v>
      </x:c>
      <x:c r="C23" s="4" t="str">
        <x:v>Las fórmulas verifican correspondencia y el contrato sintético. La atomicidad descansa además en argumento semántico, separación, fuentes y ablación.</x:v>
      </x:c>
      <x:c r="D23" s="4" t="str">
        <x:v>PASA CON LIMITE</x:v>
      </x:c>
      <x:c r="E23" s="4" t="str">
        <x:v>39; 40; 42</x:v>
      </x:c>
    </x:row>
    <x:row r="24" ht="47" customHeight="1">
      <x:c r="A24" s="4" t="str">
        <x:v>AG-20</x:v>
      </x:c>
      <x:c r="B24" s="4" t="str">
        <x:v>Adversarial independiente fingida</x:v>
      </x:c>
      <x:c r="C24" s="4" t="str">
        <x:v>Revisión interna efectuada por la misma unidad. No hay dictamen externo recibido en este lote.</x:v>
      </x:c>
      <x:c r="D24" s="4" t="str">
        <x:v>DECLARADO</x:v>
      </x:c>
      <x:c r="E24" s="4" t="str">
        <x:v>Expediente único</x:v>
      </x:c>
    </x:row>
  </x:sheetData>
  <x:mergeCells>
    <x:mergeCell ref="A1:D1"/>
    <x:mergeCell ref="A2:E2"/>
  </x:mergeCells>
  <x:pageMargins left="0.7" right="0.7" top="0.75" bottom="0.75" header="0.3" footer="0.3"/>
  <x:tableParts count="1">
    <x:tablePart xmlns:r="http://schemas.openxmlformats.org/officeDocument/2006/relationships" r:id="Rf41d2a70a234454f"/>
  </x:tableParts>
</x:worksheet>
</file>

<file path=xl/worksheets/sheet44.xml><?xml version="1.0" encoding="utf-8"?>
<x:worksheet xmlns:x="http://schemas.openxmlformats.org/spreadsheetml/2006/main">
  <x:sheetViews>
    <x:sheetView showGridLines="0" workbookViewId="0"/>
  </x:sheetViews>
  <x:sheetFormatPr defaultRowHeight="15"/>
  <x:cols>
    <x:col min="1" max="1" width="15" hidden="0" customWidth="1"/>
    <x:col min="2" max="2" width="65" hidden="0" customWidth="1"/>
    <x:col min="3" max="3" width="80" hidden="0" customWidth="1"/>
    <x:col min="4" max="4" width="67" hidden="0" customWidth="1"/>
    <x:col min="5" max="5" width="80" hidden="0" customWidth="1"/>
    <x:col min="6" max="6" width="31" hidden="0" customWidth="1"/>
    <x:col min="7" max="7" width="18" hidden="0" customWidth="1"/>
    <x:col min="8" max="8" width="67" hidden="0" customWidth="1"/>
    <x:col min="9" max="9" width="83" hidden="0" customWidth="1"/>
  </x:cols>
  <x:sheetData>
    <x:row r="1" ht="35" customHeight="1">
      <x:c r="A1" s="6" t="str">
        <x:v>FUENTES · primer recorrido atómico</x:v>
      </x:c>
      <x:c r="B1" s="6"/>
      <x:c r="C1" s="6"/>
      <x:c r="D1" s="6"/>
      <x:c r="E1" s="6"/>
      <x:c r="F1" s="6"/>
      <x:c r="G1" s="6"/>
      <x:c r="H1" s="6"/>
      <x:c r="I1" s="6"/>
    </x:row>
    <x:row r="2" ht="52" customHeight="1">
      <x:c r="A2" s="8" t="str">
        <x:v>Seis capturas nuevas por una necesidad concreta. Bytes anteriores de R025/R033/R035 y precedentes IMM contrastados. El registro de gobierno del libro conserva I005 y S017–S019.</x:v>
      </x:c>
      <x:c r="B2" s="8"/>
      <x:c r="C2" s="8"/>
      <x:c r="D2" s="8"/>
      <x:c r="E2" s="8"/>
      <x:c r="F2" s="8"/>
      <x:c r="G2" s="8"/>
      <x:c r="H2" s="8"/>
      <x:c r="I2" s="8"/>
    </x:row>
    <x:row r="3">
      <x:c r="A3" s="4"/>
      <x:c r="B3" s="4"/>
      <x:c r="C3" s="4"/>
      <x:c r="D3" s="4"/>
      <x:c r="E3" s="4"/>
      <x:c r="F3" s="4"/>
      <x:c r="G3" s="4"/>
      <x:c r="H3" s="4"/>
      <x:c r="I3" s="4"/>
    </x:row>
    <x:row r="4" ht="42" customHeight="1">
      <x:c r="A4" s="10" t="str">
        <x:v>ID</x:v>
      </x:c>
      <x:c r="B4" s="10" t="str">
        <x:v>Documento y edición</x:v>
      </x:c>
      <x:c r="C4" s="10" t="str">
        <x:v>URL</x:v>
      </x:c>
      <x:c r="D4" s="10" t="str">
        <x:v>Localizador utilizado</x:v>
      </x:c>
      <x:c r="E4" s="10" t="str">
        <x:v>Función de la fuente</x:v>
      </x:c>
      <x:c r="F4" s="10" t="str">
        <x:v>Captura</x:v>
      </x:c>
      <x:c r="G4" s="10" t="str">
        <x:v>Bytes exactos</x:v>
      </x:c>
      <x:c r="H4" s="10" t="str">
        <x:v>SHA-256</x:v>
      </x:c>
      <x:c r="I4" s="10" t="str">
        <x:v>Adopción / límite</x:v>
      </x:c>
    </x:row>
    <x:row r="5" ht="47" customHeight="1">
      <x:c r="A5" s="4" t="str">
        <x:v>T001</x:v>
      </x:c>
      <x:c r="B5" s="4" t="str">
        <x:v>NIST SP 800-40 Rev. 4 · abril 2022</x:v>
      </x:c>
      <x:c r="C5" s="4" t="str">
        <x:v>https://nvlpubs.nist.gov/nistpubs/SpecialPublications/NIST.SP.800-40r4.pdf</x:v>
      </x:c>
      <x:c r="D5" s="4" t="str">
        <x:v>§§2.1–2.3, pp.3–7; §3.2, pp.10–11 (impresas)</x:v>
      </x:c>
      <x:c r="E5" s="4" t="str">
        <x:v>Método profesional: instalación, completitud, efecto y contexto de mantenimiento.</x:v>
      </x:c>
      <x:c r="F5" s="4" t="str">
        <x:v>PDF_ORIGINAL_CAPTURADO</x:v>
      </x:c>
      <x:c r="G5" s="4" t="str">
        <x:v>562944</x:v>
      </x:c>
      <x:c r="H5" s="4" t="str">
        <x:v>351f4a828d6c0bc8bf98f25ba3f87ec5add0ed8cf8bb4a6e6cb4e7e4a9731833</x:v>
      </x:c>
      <x:c r="I5" s="4" t="str">
        <x:v>CAPTURA CONGELADA; incorporación productiva sólo por decisión humana</x:v>
      </x:c>
    </x:row>
    <x:row r="6" ht="47" customHeight="1">
      <x:c r="A6" s="4" t="str">
        <x:v>T002</x:v>
      </x:c>
      <x:c r="B6" s="4" t="str">
        <x:v>Microsoft · RebootRequired individual · 22-02-2024</x:v>
      </x:c>
      <x:c r="C6" s="4" t="str">
        <x:v>https://learn.microsoft.com/en-us/windows/win32/api/wuapi/nf-wuapi-iupdateinstallationresult-get_rebootrequired</x:v>
      </x:c>
      <x:c r="D6" s="4" t="str">
        <x:v>IUpdateInstallationResult::get_RebootRequired</x:v>
      </x:c>
      <x:c r="E6" s="4" t="str">
        <x:v>Semántica del observable de este perfil.</x:v>
      </x:c>
      <x:c r="F6" s="4" t="str">
        <x:v>HTML_ORIGINAL_CAPTURADO</x:v>
      </x:c>
      <x:c r="G6" s="4" t="str">
        <x:v>50835</x:v>
      </x:c>
      <x:c r="H6" s="4" t="str">
        <x:v>60d570d8f3004189142e2071cad26b8f442365276580c2b925733bffe3b012db</x:v>
      </x:c>
      <x:c r="I6" s="4" t="str">
        <x:v>CAPTURA CONGELADA; incorporación productiva sólo por decisión humana</x:v>
      </x:c>
    </x:row>
    <x:row r="7" ht="47" customHeight="1">
      <x:c r="A7" s="4" t="str">
        <x:v>T003</x:v>
      </x:c>
      <x:c r="B7" s="4" t="str">
        <x:v>Microsoft · InstallationRebootBehavior · 24-06-2021</x:v>
      </x:c>
      <x:c r="C7" s="4" t="str">
        <x:v>https://learn.microsoft.com/en-us/openspecs/windows_protocols/ms-uamg/eee24bbd-0be7-4a81-bed5-bff1fbb1832b</x:v>
      </x:c>
      <x:c r="D7" s="4" t="str">
        <x:v>MS-UAMG §2.2.2</x:v>
      </x:c>
      <x:c r="E7" s="4" t="str">
        <x:v>Contraste: predicción del paquete no sustituye resultado individual.</x:v>
      </x:c>
      <x:c r="F7" s="4" t="str">
        <x:v>HTML_ORIGINAL_CAPTURADO</x:v>
      </x:c>
      <x:c r="G7" s="4" t="str">
        <x:v>36052</x:v>
      </x:c>
      <x:c r="H7" s="4" t="str">
        <x:v>706aa7f8fe5da9cc90ebbff73708976dbf1f80a3381eed4d91a14b0cb1743722</x:v>
      </x:c>
      <x:c r="I7" s="4" t="str">
        <x:v>CAPTURA CONGELADA; incorporación productiva sólo por decisión humana</x:v>
      </x:c>
    </x:row>
    <x:row r="8" ht="47" customHeight="1">
      <x:c r="A8" s="4" t="str">
        <x:v>T004</x:v>
      </x:c>
      <x:c r="B8" s="4" t="str">
        <x:v>Microsoft · OperationResultCode · 22-02-2024</x:v>
      </x:c>
      <x:c r="C8" s="4" t="str">
        <x:v>https://learn.microsoft.com/en-us/windows/win32/api/wuapi/ne-wuapi-operationresultcode</x:v>
      </x:c>
      <x:c r="D8" s="4" t="str">
        <x:v>Constantes orcSucceeded, orcSucceededWithErrors, etc.</x:v>
      </x:c>
      <x:c r="E8" s="4" t="str">
        <x:v>Condición y exclusiones del perfil de observación.</x:v>
      </x:c>
      <x:c r="F8" s="4" t="str">
        <x:v>HTML_ORIGINAL_CAPTURADO</x:v>
      </x:c>
      <x:c r="G8" s="4" t="str">
        <x:v>50381</x:v>
      </x:c>
      <x:c r="H8" s="4" t="str">
        <x:v>d016f124e76dd51c6921338682697ecc9f81d3cb34925277261b71a1b9f67f8c</x:v>
      </x:c>
      <x:c r="I8" s="4" t="str">
        <x:v>CAPTURA CONGELADA; incorporación productiva sólo por decisión humana</x:v>
      </x:c>
    </x:row>
    <x:row r="9" ht="47" customHeight="1">
      <x:c r="A9" s="4" t="str">
        <x:v>T005</x:v>
      </x:c>
      <x:c r="B9" s="4" t="str">
        <x:v>Microsoft · IUpdateInstallationResult Properties · 07-01-2021</x:v>
      </x:c>
      <x:c r="C9" s="4" t="str">
        <x:v>https://learn.microsoft.com/en-us/windows/win32/wua_sdk/iupdateinstallationresult-properties</x:v>
      </x:c>
      <x:c r="D9" s="4" t="str">
        <x:v>HResult, RebootRequired, ResultCode</x:v>
      </x:c>
      <x:c r="E9" s="4" t="str">
        <x:v>Propiedades distintas, no intercambiables.</x:v>
      </x:c>
      <x:c r="F9" s="4" t="str">
        <x:v>HTML_ORIGINAL_CAPTURADO</x:v>
      </x:c>
      <x:c r="G9" s="4" t="str">
        <x:v>47714</x:v>
      </x:c>
      <x:c r="H9" s="4" t="str">
        <x:v>9225a152705099736623664d8d79507c79175632f17b7590c6678df8dabea0ec</x:v>
      </x:c>
      <x:c r="I9" s="4" t="str">
        <x:v>CAPTURA CONGELADA; incorporación productiva sólo por decisión humana</x:v>
      </x:c>
    </x:row>
    <x:row r="10" ht="47" customHeight="1">
      <x:c r="A10" s="4" t="str">
        <x:v>T006</x:v>
      </x:c>
      <x:c r="B10" s="4" t="str">
        <x:v>Microsoft · GetUpdateResult · 22-02-2024</x:v>
      </x:c>
      <x:c r="C10" s="4" t="str">
        <x:v>https://learn.microsoft.com/en-us/windows/win32/api/wuapi/nf-wuapi-iinstallationresult-getupdateResult</x:v>
      </x:c>
      <x:c r="D10" s="4" t="str">
        <x:v>IInstallationResult::GetUpdateResult; parámetros y retorno</x:v>
      </x:c>
      <x:c r="E10" s="4" t="str">
        <x:v>Resultado individual y correspondencia con índice de actualización.</x:v>
      </x:c>
      <x:c r="F10" s="4" t="str">
        <x:v>HTML_ORIGINAL_CAPTURADO</x:v>
      </x:c>
      <x:c r="G10" s="4" t="str">
        <x:v>50707</x:v>
      </x:c>
      <x:c r="H10" s="4" t="str">
        <x:v>55decce78c4396ff2a1b28ab75624d40891eecf7cf7dc73733452c8abb6eafcb</x:v>
      </x:c>
      <x:c r="I10" s="4" t="str">
        <x:v>CAPTURA CONGELADA; incorporación productiva sólo por decisión humana</x:v>
      </x:c>
    </x:row>
    <x:row r="11" ht="47" customHeight="1">
      <x:c r="A11" s="4" t="str">
        <x:v>R025</x:v>
      </x:c>
      <x:c r="B11" s="4" t="str">
        <x:v>URJC · Sistemas Operativos 2026–27</x:v>
      </x:c>
      <x:c r="C11" s="4" t="str">
        <x:v>https://gestion3.urjc.es/guiasdocentes/pdfGuia.jsp?txtAsignatura=2285025&amp;txtTitulacion=2285&amp;txtCursoAcademico=2026-27</x:v>
      </x:c>
      <x:c r="D11" s="4" t="str">
        <x:v>IV, temas 2/4/5/6</x:v>
      </x:c>
      <x:c r="E11" s="4" t="str">
        <x:v>Base educativa; no prueba automática de efecto de un parche.</x:v>
      </x:c>
      <x:c r="F11" s="4" t="str">
        <x:v>CAPTURA ANTERIOR VERIFICADA</x:v>
      </x:c>
      <x:c r="G11" s="4" t="str">
        <x:v>282277</x:v>
      </x:c>
      <x:c r="H11" s="4" t="str">
        <x:v>b3af36599e0e0358090f8457da07c8994e6c92e02e01368c49c63ca44a24c540</x:v>
      </x:c>
      <x:c r="I11" s="4" t="str">
        <x:v>Corte anterior conservado; no nueva adquisición</x:v>
      </x:c>
    </x:row>
    <x:row r="12" ht="47" customHeight="1">
      <x:c r="A12" s="4" t="str">
        <x:v>R035</x:v>
      </x:c>
      <x:c r="B12" s="4" t="str">
        <x:v>URJC · Gestión del Ciberriesgo 2026–27</x:v>
      </x:c>
      <x:c r="C12" s="4" t="str">
        <x:v>https://gestion3.urjc.es/guiasdocentes/pdfGuia.jsp?txtAsignatura=2285036&amp;txtTitulacion=2285&amp;txtCursoAcademico=2026-27</x:v>
      </x:c>
      <x:c r="D12" s="4" t="str">
        <x:v>IV, unidades 6/9/11</x:v>
      </x:c>
      <x:c r="E12" s="4" t="str">
        <x:v>Impacto, mitigación y sesgos; no puntuación automática.</x:v>
      </x:c>
      <x:c r="F12" s="4" t="str">
        <x:v>CAPTURA ANTERIOR VERIFICADA</x:v>
      </x:c>
      <x:c r="G12" s="4" t="str">
        <x:v>278163</x:v>
      </x:c>
      <x:c r="H12" s="4" t="str">
        <x:v>099a3eb2a03c5040f76ddc3676ae6ed1987e0432626f014812a720fd204c0eea</x:v>
      </x:c>
      <x:c r="I12" s="4" t="str">
        <x:v>Corte anterior conservado; no nueva adquisición</x:v>
      </x:c>
    </x:row>
    <x:row r="13" ht="47" customHeight="1">
      <x:c r="A13" s="4" t="str">
        <x:v>R033</x:v>
      </x:c>
      <x:c r="B13" s="4" t="str">
        <x:v>URJC · Inteligencia de Seguridad 2026–27</x:v>
      </x:c>
      <x:c r="C13" s="4" t="str">
        <x:v>https://gestion3.urjc.es/guiasdocentes/pdfGuia.jsp?txtAsignatura=2285033&amp;txtTitulacion=2285&amp;txtCursoAcademico=2026-27</x:v>
      </x:c>
      <x:c r="D13" s="4" t="str">
        <x:v>IV, continuidad BCP/DRP</x:v>
      </x:c>
      <x:c r="E13" s="4" t="str">
        <x:v>Contexto de continuidad del servicio.</x:v>
      </x:c>
      <x:c r="F13" s="4" t="str">
        <x:v>CAPTURA ANTERIOR VERIFICADA</x:v>
      </x:c>
      <x:c r="G13" s="4" t="str">
        <x:v>255674</x:v>
      </x:c>
      <x:c r="H13" s="4" t="str">
        <x:v>951ba49ae08e05ed51c8a017382fdd0c44d4d044848571e759a6962ed2f7f314</x:v>
      </x:c>
      <x:c r="I13" s="4" t="str">
        <x:v>Corte anterior conservado; no nueva adquisición</x:v>
      </x:c>
    </x:row>
    <x:row r="14" ht="76" customHeight="1">
      <x:c r="A14" s="4" t="str">
        <x:v>AM-01</x:v>
      </x:c>
      <x:c r="B14" s="4" t="str">
        <x:v>Contrato IMM NA0-MATH v0.3</x:v>
      </x:c>
      <x:c r="C14" s="4" t="str">
        <x:v>https://github.com/juantoniolloretegea/SVperitus-dataset/blob/fe8adf76aa030ba5ff4997be5772b5de5e4452f3/dominios/inmunologia/cambio-rumbo/03-base-documental-candidata/05-normalizacion-atomica-en-evaluacion/Contrato_matematico_parametro_atomico_matriz_ruta_INMUNO_v0.3_2026-09-02.md</x:v>
      </x:c>
      <x:c r="D14" s="4" t="str">
        <x:v>§§1,3–7</x:v>
      </x:c>
      <x:c r="E14" s="4" t="str">
        <x:v>Diez pruebas de atomicidad; no se importan §§8–10 como nueva doctrina CYB.</x:v>
      </x:c>
      <x:c r="F14" s="4" t="str">
        <x:v>CAPTURA ANTERIOR VERIFICADA</x:v>
      </x:c>
      <x:c r="G14" s="4" t="str">
        <x:v>15627</x:v>
      </x:c>
      <x:c r="H14" s="4" t="str">
        <x:v>5fce31d5d9f5c8d979171c1d91bd47a2a97fdb90fbef990fa8d3d1fda41c1f37</x:v>
      </x:c>
      <x:c r="I14" s="4" t="str">
        <x:v>Corte anterior conservado; no nueva adquisición</x:v>
      </x:c>
    </x:row>
    <x:row r="15" ht="76" customHeight="1">
      <x:c r="A15" s="4" t="str">
        <x:v>S013</x:v>
      </x:c>
      <x:c r="B15" s="4" t="str">
        <x:v>Primera adjudicación IMM SEM-EXP-005</x:v>
      </x:c>
      <x:c r="C15" s="4" t="str">
        <x:v>https://github.com/juantoniolloretegea/SVperitus-dataset/blob/fe8adf76aa030ba5ff4997be5772b5de5e4452f3/dominios/inmunologia/cambio-rumbo/03-base-documental-candidata/10-atomicidad-en-evaluacion/Adjudicacion_atomica_G5-ATM_SEM-EXP-005_OP-IMM-001_v0.1_2026-09-03.md</x:v>
      </x:c>
      <x:c r="D15" s="4" t="str">
        <x:v>§§3–9</x:v>
      </x:c>
      <x:c r="E15" s="4" t="str">
        <x:v>Precedente de separación y contraste; no contenido clínico transferido.</x:v>
      </x:c>
      <x:c r="F15" s="4" t="str">
        <x:v>CAPTURA ANTERIOR VERIFICADA</x:v>
      </x:c>
      <x:c r="G15" s="4" t="str">
        <x:v>18256</x:v>
      </x:c>
      <x:c r="H15" s="4" t="str">
        <x:v>9a90e2a630c30dffe10032c27d4e81aeec5812ae4e6f04ee6ac4a938e029fb66</x:v>
      </x:c>
      <x:c r="I15" s="4" t="str">
        <x:v>Corte anterior conservado; no nueva adquisición</x:v>
      </x:c>
    </x:row>
  </x:sheetData>
  <x:mergeCells>
    <x:mergeCell ref="A1:D1"/>
    <x:mergeCell ref="A2:F2"/>
  </x:mergeCells>
  <x:pageMargins left="0.7" right="0.7" top="0.75" bottom="0.75" header="0.3" footer="0.3"/>
  <x:tableParts count="1">
    <x:tablePart xmlns:r="http://schemas.openxmlformats.org/officeDocument/2006/relationships" r:id="R4ef5198c7e764c89"/>
  </x:tableParts>
</x:worksheet>
</file>

<file path=xl/worksheets/sheet45.xml><?xml version="1.0" encoding="utf-8"?>
<x:worksheet xmlns:x="http://schemas.openxmlformats.org/spreadsheetml/2006/main">
  <x:sheetViews>
    <x:sheetView showGridLines="0" workbookViewId="0"/>
  </x:sheetViews>
  <x:sheetFormatPr defaultRowHeight="15"/>
  <x:cols>
    <x:col min="1" max="1" width="16" hidden="0" customWidth="1"/>
    <x:col min="2" max="2" width="62" hidden="0" customWidth="1"/>
    <x:col min="3" max="3" width="34" hidden="0" customWidth="1"/>
    <x:col min="4" max="4" width="31" hidden="0" customWidth="1"/>
    <x:col min="5" max="5" width="102" hidden="0" customWidth="1"/>
  </x:cols>
  <x:sheetData>
    <x:row r="1" ht="35" customHeight="1">
      <x:c r="A1" s="6" t="str">
        <x:v>CONTROL · resultado y límites de la primera adjudicación</x:v>
      </x:c>
      <x:c r="B1" s="6"/>
      <x:c r="C1" s="6"/>
      <x:c r="D1" s="6"/>
      <x:c r="E1" s="6"/>
    </x:row>
    <x:row r="2" ht="52" customHeight="1">
      <x:c r="A2" s="8" t="str">
        <x:v>Controles de estructura y contrato documental; no despliegue, daño empírico, observador productivo ni certificación del Lenguaje.</x:v>
      </x:c>
      <x:c r="B2" s="8"/>
      <x:c r="C2" s="8"/>
      <x:c r="D2" s="8"/>
      <x:c r="E2" s="8"/>
    </x:row>
    <x:row r="3">
      <x:c r="A3" s="4"/>
      <x:c r="B3" s="4"/>
      <x:c r="C3" s="4"/>
      <x:c r="D3" s="4"/>
      <x:c r="E3" s="4"/>
    </x:row>
    <x:row r="4" ht="42" customHeight="1">
      <x:c r="A4" s="10" t="str">
        <x:v>ID</x:v>
      </x:c>
      <x:c r="B4" s="10" t="str">
        <x:v>Control</x:v>
      </x:c>
      <x:c r="C4" s="10" t="str">
        <x:v>Observado</x:v>
      </x:c>
      <x:c r="D4" s="10" t="str">
        <x:v>Esperado</x:v>
      </x:c>
      <x:c r="E4" s="10" t="str">
        <x:v>Límite</x:v>
      </x:c>
    </x:row>
    <x:row r="5" ht="47" customHeight="1">
      <x:c r="A5" s="4" t="str">
        <x:v>G5-C01</x:v>
      </x:c>
      <x:c r="B5" s="4" t="str">
        <x:v>Raíces del corte Q0</x:v>
      </x:c>
      <x:c r="C5" s="17" t="n">
        <x:f>COUNTA('38_Q0_y_terminacion'!$A$5:$A$13)</x:f>
        <x:v>9</x:v>
      </x:c>
      <x:c r="D5" s="13" t="n">
        <x:v>9</x:v>
      </x:c>
      <x:c r="E5" s="4" t="str">
        <x:v>No son células ni universos adicionales.</x:v>
      </x:c>
    </x:row>
    <x:row r="6" ht="47" customHeight="1">
      <x:c r="A6" s="4" t="str">
        <x:v>G5-C02</x:v>
      </x:c>
      <x:c r="B6" s="4" t="str">
        <x:v>Distinciones declaradas</x:v>
      </x:c>
      <x:c r="C6" s="17" t="n">
        <x:f>SUM('38_Q0_y_terminacion'!$E$5:$E$13)</x:f>
        <x:v>31</x:v>
      </x:c>
      <x:c r="D6" s="13" t="n">
        <x:v>31</x:v>
      </x:c>
      <x:c r="E6" s="4" t="str">
        <x:v>Medida inicial; no recuento de parámetros.</x:v>
      </x:c>
    </x:row>
    <x:row r="7" ht="47" customHeight="1">
      <x:c r="A7" s="4" t="str">
        <x:v>G5-C03</x:v>
      </x:c>
      <x:c r="B7" s="4" t="str">
        <x:v>Distinciones con dictamen G5</x:v>
      </x:c>
      <x:c r="C7" s="17" t="n">
        <x:f>SUM('38_Q0_y_terminacion'!$F$5:$F$13)</x:f>
        <x:v>1</x:v>
      </x:c>
      <x:c r="D7" s="13" t="n">
        <x:v>1</x:v>
      </x:c>
      <x:c r="E7" s="4" t="str">
        <x:v>No equivale a adopción soberana nominal.</x:v>
      </x:c>
    </x:row>
    <x:row r="8" ht="47" customHeight="1">
      <x:c r="A8" s="4" t="str">
        <x:v>G5-C04</x:v>
      </x:c>
      <x:c r="B8" s="4" t="str">
        <x:v>Distinciones pendientes</x:v>
      </x:c>
      <x:c r="C8" s="17" t="n">
        <x:f>SUM('38_Q0_y_terminacion'!$G$5:$G$13)</x:f>
        <x:v>30</x:v>
      </x:c>
      <x:c r="D8" s="13" t="n">
        <x:v>30</x:v>
      </x:c>
      <x:c r="E8" s="4" t="str">
        <x:v>Bloquean las capacidades que dependan de ellas.</x:v>
      </x:c>
    </x:row>
    <x:row r="9" ht="47" customHeight="1">
      <x:c r="A9" s="4" t="str">
        <x:v>G5-C05</x:v>
      </x:c>
      <x:c r="B9" s="4" t="str">
        <x:v>Testigos documentales del contrato</x:v>
      </x:c>
      <x:c r="C9" s="17" t="n">
        <x:f>COUNTA('41_Testigos_G5'!$A$5:$A$32)</x:f>
        <x:v>28</x:v>
      </x:c>
      <x:c r="D9" s="13" t="n">
        <x:v>28</x:v>
      </x:c>
      <x:c r="E9" s="4" t="str">
        <x:v>Resultados esperados fijados antes del cálculo.</x:v>
      </x:c>
    </x:row>
    <x:row r="10" ht="47" customHeight="1">
      <x:c r="A10" s="4" t="str">
        <x:v>G5-C06</x:v>
      </x:c>
      <x:c r="B10" s="4" t="str">
        <x:v>Discordancias de testigos</x:v>
      </x:c>
      <x:c r="C10" s="17" t="n">
        <x:f>COUNTIF('41_Testigos_G5'!$Q$5:$Q$32,"NO_PASA")</x:f>
        <x:v>0</x:v>
      </x:c>
      <x:c r="D10" s="13" t="n">
        <x:v>0</x:v>
      </x:c>
      <x:c r="E10" s="4" t="str">
        <x:v>Una fórmula verde no certifica atomicidad ni verdad del dato real.</x:v>
      </x:c>
    </x:row>
    <x:row r="11" ht="47" customHeight="1">
      <x:c r="A11" s="4" t="str">
        <x:v>G5-C07</x:v>
      </x:c>
      <x:c r="B11" s="4" t="str">
        <x:v>Fuentes nuevas capturadas</x:v>
      </x:c>
      <x:c r="C11" s="17" t="n">
        <x:f>COUNTIF('43_Fuentes_atomicas'!$F$5:$F$15,"PDF_ORIGINAL_CAPTURADO")+COUNTIF('43_Fuentes_atomicas'!$F$5:$F$15,"HTML_ORIGINAL_CAPTURADO")</x:f>
        <x:v>6</x:v>
      </x:c>
      <x:c r="D11" s="13" t="n">
        <x:v>6</x:v>
      </x:c>
      <x:c r="E11" s="4" t="str">
        <x:v>T001–T006; capturas originales preservadas.</x:v>
      </x:c>
    </x:row>
    <x:row r="12" ht="47" customHeight="1">
      <x:c r="A12" s="4" t="str">
        <x:v>G5-C08</x:v>
      </x:c>
      <x:c r="B12" s="4" t="str">
        <x:v>Adversariales internas registradas</x:v>
      </x:c>
      <x:c r="C12" s="17" t="n">
        <x:f>COUNTA('42_Adversarial_G5'!$A$5:$A$24)</x:f>
        <x:v>20</x:v>
      </x:c>
      <x:c r="D12" s="13" t="n">
        <x:v>20</x:v>
      </x:c>
      <x:c r="E12" s="4" t="str">
        <x:v>No constituyen auditoría independiente.</x:v>
      </x:c>
    </x:row>
    <x:row r="13" ht="47" customHeight="1">
      <x:c r="A13" s="4" t="str">
        <x:v>G5-C09</x:v>
      </x:c>
      <x:c r="B13" s="4" t="str">
        <x:v>Ablación AB-01</x:v>
      </x:c>
      <x:c r="C13" s="4" t="str">
        <x:v>PASA</x:v>
      </x:c>
      <x:c r="D13" s="4" t="str">
        <x:v>PASA</x:v>
      </x:c>
      <x:c r="E13" s="4" t="str">
        <x:v>La proyección pierde la diferencia de obligación documental.</x:v>
      </x:c>
    </x:row>
    <x:row r="14" ht="47" customHeight="1">
      <x:c r="A14" s="4" t="str">
        <x:v>G5-C10</x:v>
      </x:c>
      <x:c r="B14" s="4" t="str">
        <x:v>Sensibilidad de observador documental</x:v>
      </x:c>
      <x:c r="C14" s="4" t="str">
        <x:v>PASA</x:v>
      </x:c>
      <x:c r="D14" s="4" t="str">
        <x:v>PASA</x:v>
      </x:c>
      <x:c r="E14" s="4" t="str">
        <x:v>Una versión que ignora el requisito debe ser detectada.</x:v>
      </x:c>
    </x:row>
    <x:row r="15" ht="47" customHeight="1">
      <x:c r="A15" s="4" t="str">
        <x:v>G5-C11</x:v>
      </x:c>
      <x:c r="B15" s="4" t="str">
        <x:v>Átomos dictaminados por la unidad</x:v>
      </x:c>
      <x:c r="C15" s="17" t="n">
        <x:f>SUM('38_Q0_y_terminacion'!$F$5:$F$13)</x:f>
        <x:v>1</x:v>
      </x:c>
      <x:c r="D15" s="13" t="n">
        <x:v>1</x:v>
      </x:c>
      <x:c r="E15" s="4" t="str">
        <x:v>PARAMETRO_ATOMICO en alcance documental v0.1.</x:v>
      </x:c>
    </x:row>
    <x:row r="16" ht="47" customHeight="1">
      <x:c r="A16" s="4" t="str">
        <x:v>G5-C12</x:v>
      </x:c>
      <x:c r="B16" s="4" t="str">
        <x:v>Universo cerrado / células / rutas / Frames</x:v>
      </x:c>
      <x:c r="C16" s="4" t="str">
        <x:v>0 / 0 / 0 / 0</x:v>
      </x:c>
      <x:c r="D16" s="4" t="str">
        <x:v>0 / 0 / 0 / 0</x:v>
      </x:c>
      <x:c r="E16" s="4" t="str">
        <x:v>Primera adjudicación no habilita G6 ni certifica agente.</x:v>
      </x:c>
    </x:row>
  </x:sheetData>
  <x:mergeCells>
    <x:mergeCell ref="A1:D1"/>
    <x:mergeCell ref="A2:E2"/>
  </x:mergeCells>
  <x:conditionalFormatting sqref="C5:C16">
    <x:cfRule type="expression" dxfId="23" priority="1">
      <x:formula>C5&lt;&gt;D5</x:formula>
    </x:cfRule>
  </x:conditionalFormatting>
  <x:pageMargins left="0.7" right="0.7" top="0.75" bottom="0.75" header="0.3" footer="0.3"/>
  <x:tableParts count="1">
    <x:tablePart xmlns:r="http://schemas.openxmlformats.org/officeDocument/2006/relationships" r:id="R8432eb7ed44245fd"/>
  </x:tableParts>
</x:worksheet>
</file>

<file path=xl/worksheets/sheet46.xml><?xml version="1.0" encoding="utf-8"?>
<x:worksheet xmlns:x="http://schemas.openxmlformats.org/spreadsheetml/2006/main">
  <x:sheetViews>
    <x:sheetView showGridLines="0" workbookViewId="0"/>
  </x:sheetViews>
  <x:sheetFormatPr defaultRowHeight="15"/>
  <x:cols>
    <x:col min="1" max="1" width="31" hidden="0" customWidth="1"/>
    <x:col min="2" max="2" width="66" hidden="0" customWidth="1"/>
    <x:col min="3" max="3" width="113" hidden="0" customWidth="1"/>
  </x:cols>
  <x:sheetData>
    <x:row r="1" ht="35" customHeight="1">
      <x:c r="A1" s="6" t="str">
        <x:v>APERTURA · primer parámetro adoptado</x:v>
      </x:c>
      <x:c r="B1" s="6"/>
      <x:c r="C1" s="6"/>
    </x:row>
    <x:row r="2" ht="52" customHeight="1">
      <x:c r="A2" s="8" t="str">
        <x:v>Suceso posterior al corte v0.4. No altera retrospectivamente las hojas históricas 36–44.</x:v>
      </x:c>
      <x:c r="B2" s="8"/>
      <x:c r="C2" s="8"/>
    </x:row>
    <x:row r="3">
      <x:c r="A3" s="4"/>
      <x:c r="B3" s="4"/>
      <x:c r="C3" s="4"/>
    </x:row>
    <x:row r="4" ht="42" customHeight="1">
      <x:c r="A4" s="10" t="str">
        <x:v>Elemento</x:v>
      </x:c>
      <x:c r="B4" s="10" t="str">
        <x:v>Estado actual</x:v>
      </x:c>
      <x:c r="C4" s="10" t="str">
        <x:v>Fundamento</x:v>
      </x:c>
    </x:row>
    <x:row r="5" ht="47" customHeight="1">
      <x:c r="A5" s="4" t="str">
        <x:v>Universo</x:v>
      </x:c>
      <x:c r="B5" s="4" t="str">
        <x:v>ABIERTO_EN_CONSTITUCION</x:v>
      </x:c>
      <x:c r="C5" s="4" t="str">
        <x:v>OP-CYB-001; acta y manifiesto publicados en 2454cb1080c2f824bd3b8115cb31729db8f2d7e8</x:v>
      </x:c>
    </x:row>
    <x:row r="6" ht="47" customHeight="1">
      <x:c r="A6" s="4" t="str">
        <x:v>P01</x:v>
      </x:c>
      <x:c r="B6" s="4" t="str">
        <x:v>ADOPTADO_POR_DIRECCION</x:v>
      </x:c>
      <x:c r="C6" s="4" t="str">
        <x:v>PAR-CYB-REINICIO-SISTEMA-REQUERIDO-001 v0.1, con el perfil y los límites ya presentados.</x:v>
      </x:c>
    </x:row>
    <x:row r="7" ht="47" customHeight="1">
      <x:c r="A7" s="4" t="str">
        <x:v>Mandato</x:v>
      </x:c>
      <x:c r="B7" s="4" t="str">
        <x:v>Completar diez adjudicaciones documentales</x:v>
      </x:c>
      <x:c r="C7" s="4" t="str">
        <x:v>Incluye P01; no debilita atomicidad ni aprueba nominalmente resultados nuevos no entregados.</x:v>
      </x:c>
    </x:row>
    <x:row r="8" ht="47" customHeight="1">
      <x:c r="A8" s="4" t="str">
        <x:v>Lote P02–P10</x:v>
      </x:c>
      <x:c r="B8" s="4" t="str">
        <x:v>DICTAMEN G5 DOCUMENTAL FAVORABLE</x:v>
      </x:c>
      <x:c r="C8" s="4" t="str">
        <x:v>Nueve resultados delimitados en 46–54; adopción nominal de estos nueve pendiente.</x:v>
      </x:c>
    </x:row>
    <x:row r="9" ht="47" customHeight="1">
      <x:c r="A9" s="4" t="str">
        <x:v>Base educativa</x:v>
      </x:c>
      <x:c r="B9" s="4" t="str">
        <x:v>URJC 2026–27 y complementos justificados</x:v>
      </x:c>
      <x:c r="C9" s="4" t="str">
        <x:v>R025 aporta procesos/memoria/ficheros; R033 continuidad; R035 riesgo/coste. No se sustituyen por documentación de fabricante.</x:v>
      </x:c>
    </x:row>
    <x:row r="10" ht="47" customHeight="1">
      <x:c r="A10" s="4" t="str">
        <x:v>Q0</x:v>
      </x:c>
      <x:c r="B10" s="4" t="str">
        <x:v>Nueve raíces; 31 distinciones conservadas</x:v>
      </x:c>
      <x:c r="C10" s="4" t="str">
        <x:v>La hoja 52 muestra cobertura actual, incluyendo alcances parciales. Diez fichas no resuelven Q0.</x:v>
      </x:c>
    </x:row>
    <x:row r="11" ht="47" customHeight="1">
      <x:c r="A11" s="4" t="str">
        <x:v>IA y experto</x:v>
      </x:c>
      <x:c r="B11" s="4" t="str">
        <x:v>Consejo explicado; decisión humana</x:v>
      </x:c>
      <x:c r="C11" s="4" t="str">
        <x:v>La investigación de candidatas no actualiza el conocimiento de un agente durante su ejecución.</x:v>
      </x:c>
    </x:row>
    <x:row r="12" ht="47" customHeight="1">
      <x:c r="A12" s="4" t="str">
        <x:v>Arquitectura</x:v>
      </x:c>
      <x:c r="B12" s="4" t="str">
        <x:v>0 células / 0 rutas / 0 Frames</x:v>
      </x:c>
      <x:c r="C12" s="4" t="str">
        <x:v>La cifra diez es resultado del lote, no tamaño matricial. SV(9,3) no significa 3×3 cartesiano.</x:v>
      </x:c>
    </x:row>
    <x:row r="13" ht="47" customHeight="1">
      <x:c r="A13" s="4" t="str">
        <x:v>Excel</x:v>
      </x:c>
      <x:c r="B13" s="4" t="str">
        <x:v>Catálogo principal v0.5</x:v>
      </x:c>
      <x:c r="C13" s="4" t="str">
        <x:v>La proyección textual complementaria se hará sólo después del cierre aprobado, sin resalvar el libro congelado.</x:v>
      </x:c>
    </x:row>
    <x:row r="14" ht="47" customHeight="1">
      <x:c r="A14" s="4" t="str">
        <x:v>Siguiente frontera</x:v>
      </x:c>
      <x:c r="B14" s="4" t="str">
        <x:v>Resolver cobertura y aptitud</x:v>
      </x:c>
      <x:c r="C14" s="4" t="str">
        <x:v>No se atribuye aptitud operacional por el número de parámetros o por concordancia de fórmulas.</x:v>
      </x:c>
    </x:row>
  </x:sheetData>
  <x:mergeCells>
    <x:mergeCell ref="A1:C1"/>
    <x:mergeCell ref="A2:C2"/>
  </x:mergeCells>
  <x:pageMargins left="0.7" right="0.7" top="0.75" bottom="0.75" header="0.3" footer="0.3"/>
  <x:tableParts count="1">
    <x:tablePart xmlns:r="http://schemas.openxmlformats.org/officeDocument/2006/relationships" r:id="R0e6d68dcd75143b7"/>
  </x:tableParts>
</x:worksheet>
</file>

<file path=xl/worksheets/sheet47.xml><?xml version="1.0" encoding="utf-8"?>
<x:worksheet xmlns:x="http://schemas.openxmlformats.org/spreadsheetml/2006/main">
  <x:sheetViews>
    <x:sheetView showGridLines="0" workbookViewId="0"/>
  </x:sheetViews>
  <x:sheetFormatPr defaultRowHeight="15"/>
  <x:cols>
    <x:col min="1" max="1" width="10" hidden="0" customWidth="1"/>
    <x:col min="2" max="2" width="52" hidden="0" customWidth="1"/>
    <x:col min="3" max="3" width="10" hidden="0" customWidth="1"/>
    <x:col min="4" max="4" width="19" hidden="0" customWidth="1"/>
    <x:col min="5" max="5" width="43" hidden="0" customWidth="1"/>
    <x:col min="6" max="6" width="106" hidden="0" customWidth="1"/>
    <x:col min="7" max="7" width="54" hidden="0" customWidth="1"/>
    <x:col min="8" max="8" width="44" hidden="0" customWidth="1"/>
    <x:col min="9" max="9" width="40" hidden="0" customWidth="1"/>
    <x:col min="10" max="10" width="59" hidden="0" customWidth="1"/>
    <x:col min="11" max="11" width="62" hidden="0" customWidth="1"/>
    <x:col min="12" max="12" width="23" hidden="0" customWidth="1"/>
  </x:cols>
  <x:sheetData>
    <x:row r="1" ht="35" customHeight="1">
      <x:c r="A1" s="6" t="str">
        <x:v>DIEZ PARÁMETROS · registro de identidades</x:v>
      </x:c>
      <x:c r="B1" s="6"/>
      <x:c r="C1" s="6"/>
      <x:c r="D1" s="6"/>
      <x:c r="E1" s="6"/>
      <x:c r="F1" s="6"/>
      <x:c r="G1" s="6"/>
      <x:c r="H1" s="6"/>
      <x:c r="I1" s="6"/>
      <x:c r="J1" s="6"/>
      <x:c r="K1" s="6"/>
      <x:c r="L1" s="6"/>
    </x:row>
    <x:row r="2" ht="52" customHeight="1">
      <x:c r="A2" s="8" t="str">
        <x:v>Cada fila es una definición atómica en su perfil; ni los campos de identidad ni cada testigo cuentan como parámetros adicionales.</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Alias</x:v>
      </x:c>
      <x:c r="B4" s="10" t="str">
        <x:v>Identidad canónica</x:v>
      </x:c>
      <x:c r="C4" s="10" t="str">
        <x:v>Versión</x:v>
      </x:c>
      <x:c r="D4" s="10" t="str">
        <x:v>Distinción Q0</x:v>
      </x:c>
      <x:c r="E4" s="10" t="str">
        <x:v>Nombre</x:v>
      </x:c>
      <x:c r="F4" s="10" t="str">
        <x:v>Proposición única</x:v>
      </x:c>
      <x:c r="G4" s="10" t="str">
        <x:v>Perfil</x:v>
      </x:c>
      <x:c r="H4" s="10" t="str">
        <x:v>Dictamen</x:v>
      </x:c>
      <x:c r="I4" s="10" t="str">
        <x:v>Adopción nominal</x:v>
      </x:c>
      <x:c r="J4" s="10" t="str">
        <x:v>Expediente</x:v>
      </x:c>
      <x:c r="K4" s="10" t="str">
        <x:v>Fuentes</x:v>
      </x:c>
      <x:c r="L4" s="10" t="str">
        <x:v>Propiedad</x:v>
      </x:c>
    </x:row>
    <x:row r="5" ht="47" customHeight="1">
      <x:c r="A5" s="4" t="str">
        <x:v>P01</x:v>
      </x:c>
      <x:c r="B5" s="4" t="str">
        <x:v>PAR-CYB-REINICIO-SISTEMA-REQUERIDO-001</x:v>
      </x:c>
      <x:c r="C5" s="4" t="str">
        <x:v>0.1</x:v>
      </x:c>
      <x:c r="D5" s="4" t="str">
        <x:v>QCY-04-D1</x:v>
      </x:c>
      <x:c r="E5" s="4" t="str">
        <x:v>Reinicio del sistema requerido</x:v>
      </x:c>
      <x:c r="F5" s="4" t="str">
        <x:v>Al terminar la instalación individual identificada, era necesario reiniciar el sistema anfitrión para completarla.</x:v>
      </x:c>
      <x:c r="G5" s="4" t="str">
        <x:v>WUA-INDIVIDUAL-INSTALACION-0.1</x:v>
      </x:c>
      <x:c r="H5" s="4" t="str">
        <x:v>PARAMETRO_ATOMICO_EN_PERFIL_DOCUMENTAL</x:v>
      </x:c>
      <x:c r="I5" s="4" t="str">
        <x:v>ADOPTADO_POR_DIRECCION</x:v>
      </x:c>
      <x:c r="J5" s="4" t="str">
        <x:v>39; acta 2454cb1080c2f824bd3b8115cb31729db8f2d7e8</x:v>
      </x:c>
      <x:c r="K5" s="4" t="str">
        <x:v>T001–T006; R025</x:v>
      </x:c>
      <x:c r="L5" s="4" t="str">
        <x:v>PENDIENTE_G6</x:v>
      </x:c>
    </x:row>
    <x:row r="6" ht="47" customHeight="1">
      <x:c r="A6" s="4" t="str">
        <x:v>P02</x:v>
      </x:c>
      <x:c r="B6" s="4" t="str">
        <x:v>PAR-CYB-INSTALACION-EXITO-COMUNICADO-001</x:v>
      </x:c>
      <x:c r="C6" s="4" t="str">
        <x:v>0.1</x:v>
      </x:c>
      <x:c r="D6" s="4" t="str">
        <x:v>QCY-03-D2</x:v>
      </x:c>
      <x:c r="E6" s="4" t="str">
        <x:v>Éxito comunicado de instalación</x:v>
      </x:c>
      <x:c r="F6" s="4" t="str">
        <x:v>La operación individual de instalación identificada comunicó terminación satisfactoria sin el calificador de errores del emisor.</x:v>
      </x:c>
      <x:c r="G6" s="4" t="str">
        <x:v>WUA-RESULTADO-INDIVIDUAL-0.1</x:v>
      </x:c>
      <x:c r="H6" s="4" t="str">
        <x:v>PARAMETRO_ATOMICO_EN_PERFIL_DOCUMENTAL</x:v>
      </x:c>
      <x:c r="I6" s="4" t="str">
        <x:v>PENDIENTE_DE_ADOPCION_NOMINAL</x:v>
      </x:c>
      <x:c r="J6" s="4" t="str">
        <x:v>47–54; LOTE_ATOMICO_02_A_10_OP_CYB_001_v0.1.md</x:v>
      </x:c>
      <x:c r="K6" s="4" t="str">
        <x:v>T004 Constants; T005; T006; R025</x:v>
      </x:c>
      <x:c r="L6" s="4" t="str">
        <x:v>PENDIENTE_G6</x:v>
      </x:c>
    </x:row>
    <x:row r="7" ht="47" customHeight="1">
      <x:c r="A7" s="4" t="str">
        <x:v>P03</x:v>
      </x:c>
      <x:c r="B7" s="4" t="str">
        <x:v>PAR-CYB-REINICIO-SISTEMA-REALIZADO-001</x:v>
      </x:c>
      <x:c r="C7" s="4" t="str">
        <x:v>0.1</x:v>
      </x:c>
      <x:c r="D7" s="4" t="str">
        <x:v>QCY-04-D2</x:v>
      </x:c>
      <x:c r="E7" s="4" t="str">
        <x:v>Reinicio completo realizado</x:v>
      </x:c>
      <x:c r="F7" s="4" t="str">
        <x:v>Se completó al menos un reinicio íntegro del sistema anfitrión después del resultado de instalación y no después del corte.</x:v>
      </x:c>
      <x:c r="G7" s="4" t="str">
        <x:v>EVENTO-REINICIO-COMPLETO-0.1</x:v>
      </x:c>
      <x:c r="H7" s="4" t="str">
        <x:v>PARAMETRO_ATOMICO_EN_PERFIL_DOCUMENTAL</x:v>
      </x:c>
      <x:c r="I7" s="4" t="str">
        <x:v>PENDIENTE_DE_ADOPCION_NOMINAL</x:v>
      </x:c>
      <x:c r="J7" s="4" t="str">
        <x:v>47–54; LOTE_ATOMICO_02_A_10_OP_CYB_001_v0.1.md</x:v>
      </x:c>
      <x:c r="K7" s="4" t="str">
        <x:v>T001 §2.3.2; T007 Summary/More information; R025</x:v>
      </x:c>
      <x:c r="L7" s="4" t="str">
        <x:v>PENDIENTE_G6</x:v>
      </x:c>
    </x:row>
    <x:row r="8" ht="47" customHeight="1">
      <x:c r="A8" s="4" t="str">
        <x:v>P04</x:v>
      </x:c>
      <x:c r="B8" s="4" t="str">
        <x:v>PAR-CYB-REINICIO-SOFTWARE-REQUERIDO-001</x:v>
      </x:c>
      <x:c r="C8" s="4" t="str">
        <x:v>0.1</x:v>
      </x:c>
      <x:c r="D8" s="4" t="str">
        <x:v>QCY-04-D3</x:v>
      </x:c>
      <x:c r="E8" s="4" t="str">
        <x:v>Reinicio de software requerido</x:v>
      </x:c>
      <x:c r="F8" s="4" t="str">
        <x:v>La instrucción específica admitida para completar esta instalación exigía reiniciar el software identificado.</x:v>
      </x:c>
      <x:c r="G8" s="4" t="str">
        <x:v>REQUISITO-SOFTWARE-INDIVIDUAL-0.1</x:v>
      </x:c>
      <x:c r="H8" s="4" t="str">
        <x:v>PARAMETRO_ATOMICO_EN_PERFIL_DOCUMENTAL</x:v>
      </x:c>
      <x:c r="I8" s="4" t="str">
        <x:v>PENDIENTE_DE_ADOPCION_NOMINAL</x:v>
      </x:c>
      <x:c r="J8" s="4" t="str">
        <x:v>47–54; LOTE_ATOMICO_02_A_10_OP_CYB_001_v0.1.md</x:v>
      </x:c>
      <x:c r="K8" s="4" t="str">
        <x:v>T001 §2.3.2; T009 cuerpo técnico; R025</x:v>
      </x:c>
      <x:c r="L8" s="4" t="str">
        <x:v>PENDIENTE_G6</x:v>
      </x:c>
    </x:row>
    <x:row r="9" ht="47" customHeight="1">
      <x:c r="A9" s="4" t="str">
        <x:v>P05</x:v>
      </x:c>
      <x:c r="B9" s="4" t="str">
        <x:v>PAR-CYB-GENERACION-PROCESO-TERMINADA-001</x:v>
      </x:c>
      <x:c r="C9" s="4" t="str">
        <x:v>0.1</x:v>
      </x:c>
      <x:c r="D9" s="4" t="str">
        <x:v>QCY-04-D4</x:v>
      </x:c>
      <x:c r="E9" s="4" t="str">
        <x:v>Generación previa de proceso terminada</x:v>
      </x:c>
      <x:c r="F9" s="4" t="str">
        <x:v>Terminó la ejecución de la generación de proceso identificada después del ancla de instalación y no después del corte.</x:v>
      </x:c>
      <x:c r="G9" s="4" t="str">
        <x:v>TERMINACION-GENERACION-PROCESO-0.1</x:v>
      </x:c>
      <x:c r="H9" s="4" t="str">
        <x:v>PARAMETRO_ATOMICO_EN_PERFIL_DOCUMENTAL</x:v>
      </x:c>
      <x:c r="I9" s="4" t="str">
        <x:v>PENDIENTE_DE_ADOPCION_NOMINAL</x:v>
      </x:c>
      <x:c r="J9" s="4" t="str">
        <x:v>47–54; LOTE_ATOMICO_02_A_10_OP_CYB_001_v0.1.md</x:v>
      </x:c>
      <x:c r="K9" s="4" t="str">
        <x:v>T009 cuerpo técnico; T008 loaded-module list; R025 IV tema 4</x:v>
      </x:c>
      <x:c r="L9" s="4" t="str">
        <x:v>PENDIENTE_G6</x:v>
      </x:c>
    </x:row>
    <x:row r="10" ht="47" customHeight="1">
      <x:c r="A10" s="4" t="str">
        <x:v>P06</x:v>
      </x:c>
      <x:c r="B10" s="4" t="str">
        <x:v>PAR-CYB-IMAGEN-OBJETIVO-ACTIVA-001</x:v>
      </x:c>
      <x:c r="C10" s="4" t="str">
        <x:v>0.1</x:v>
      </x:c>
      <x:c r="D10" s="4" t="str">
        <x:v>QCY-05-D2</x:v>
      </x:c>
      <x:c r="E10" s="4" t="str">
        <x:v>Imagen objetivo activa</x:v>
      </x:c>
      <x:c r="F10" s="4" t="str">
        <x:v>La imagen del componente cargada en la instancia evaluada al corte coincide con la imagen objetivo previamente fijada.</x:v>
      </x:c>
      <x:c r="G10" s="4" t="str">
        <x:v>IDENTIDAD-IMAGEN-CARGADA-0.1</x:v>
      </x:c>
      <x:c r="H10" s="4" t="str">
        <x:v>PARAMETRO_ATOMICO_EN_PERFIL_DOCUMENTAL</x:v>
      </x:c>
      <x:c r="I10" s="4" t="str">
        <x:v>PENDIENTE_DE_ADOPCION_NOMINAL</x:v>
      </x:c>
      <x:c r="J10" s="4" t="str">
        <x:v>47–54; LOTE_ATOMICO_02_A_10_OP_CYB_001_v0.1.md</x:v>
      </x:c>
      <x:c r="K10" s="4" t="str">
        <x:v>T001 §2.3.3; T008; T012–T013; R025 IV temas 4/5/6</x:v>
      </x:c>
      <x:c r="L10" s="4" t="str">
        <x:v>PENDIENTE_G6</x:v>
      </x:c>
    </x:row>
    <x:row r="11" ht="47" customHeight="1">
      <x:c r="A11" s="4" t="str">
        <x:v>P07</x:v>
      </x:c>
      <x:c r="B11" s="4" t="str">
        <x:v>PAR-CYB-COMPROBACION-POSITIVA-001</x:v>
      </x:c>
      <x:c r="C11" s="4" t="str">
        <x:v>0.1</x:v>
      </x:c>
      <x:c r="D11" s="4" t="str">
        <x:v>QCY-05-D3</x:v>
      </x:c>
      <x:c r="E11" s="4" t="str">
        <x:v>Resultado positivo de comprobación</x:v>
      </x:c>
      <x:c r="F11" s="4" t="str">
        <x:v>La comprobación individual identificada satisfizo el único criterio de aceptación previamente fijado para ella.</x:v>
      </x:c>
      <x:c r="G11" s="4" t="str">
        <x:v>COMPROBACION-CRITERIO-UNITARIO-0.1</x:v>
      </x:c>
      <x:c r="H11" s="4" t="str">
        <x:v>PARAMETRO_ATOMICO_EN_PERFIL_DOCUMENTAL</x:v>
      </x:c>
      <x:c r="I11" s="4" t="str">
        <x:v>PENDIENTE_DE_ADOPCION_NOMINAL</x:v>
      </x:c>
      <x:c r="J11" s="4" t="str">
        <x:v>47–54; LOTE_ATOMICO_02_A_10_OP_CYB_001_v0.1.md</x:v>
      </x:c>
      <x:c r="K11" s="4" t="str">
        <x:v>T001 §2.3.3; R025; R035</x:v>
      </x:c>
      <x:c r="L11" s="4" t="str">
        <x:v>PENDIENTE_G6</x:v>
      </x:c>
    </x:row>
    <x:row r="12" ht="47" customHeight="1">
      <x:c r="A12" s="4" t="str">
        <x:v>P08</x:v>
      </x:c>
      <x:c r="B12" s="4" t="str">
        <x:v>PAR-CYB-RETIRADA-EXITOSA-COMUNICADA-001</x:v>
      </x:c>
      <x:c r="C12" s="4" t="str">
        <x:v>0.1</x:v>
      </x:c>
      <x:c r="D12" s="4" t="str">
        <x:v>QCY-08-D1</x:v>
      </x:c>
      <x:c r="E12" s="4" t="str">
        <x:v>Retirada exitosa comunicada</x:v>
      </x:c>
      <x:c r="F12" s="4" t="str">
        <x:v>Existe después de la instalación y hasta el corte una operación de retirada de esa actualización que comunica éxito.</x:v>
      </x:c>
      <x:c r="G12" s="4" t="str">
        <x:v>HISTORIA-RETIRADA-ACTUALIZACION-0.1</x:v>
      </x:c>
      <x:c r="H12" s="4" t="str">
        <x:v>PARAMETRO_ATOMICO_EN_PERFIL_DOCUMENTAL</x:v>
      </x:c>
      <x:c r="I12" s="4" t="str">
        <x:v>PENDIENTE_DE_ADOPCION_NOMINAL</x:v>
      </x:c>
      <x:c r="J12" s="4" t="str">
        <x:v>47–54; LOTE_ATOMICO_02_A_10_OP_CYB_001_v0.1.md</x:v>
      </x:c>
      <x:c r="K12" s="4" t="str">
        <x:v>T001 §§2.3.2/2.3.4; T010–T011; T004</x:v>
      </x:c>
      <x:c r="L12" s="4" t="str">
        <x:v>PENDIENTE_G6</x:v>
      </x:c>
    </x:row>
    <x:row r="13" ht="47" customHeight="1">
      <x:c r="A13" s="4" t="str">
        <x:v>P09</x:v>
      </x:c>
      <x:c r="B13" s="4" t="str">
        <x:v>PAR-CYB-CAMBIO-COMPONENTE-POSTERIOR-001</x:v>
      </x:c>
      <x:c r="C13" s="4" t="str">
        <x:v>0.1</x:v>
      </x:c>
      <x:c r="D13" s="4" t="str">
        <x:v>QCY-08-D2</x:v>
      </x:c>
      <x:c r="E13" s="4" t="str">
        <x:v>Cambio posterior del componente</x:v>
      </x:c>
      <x:c r="F13" s="4" t="str">
        <x:v>Ocurrió al menos un cambio de identidad binaria del componente desde la comprobación de referencia hasta el corte.</x:v>
      </x:c>
      <x:c r="G13" s="4" t="str">
        <x:v>HISTORIA-CAMBIO-COMPONENTE-0.1</x:v>
      </x:c>
      <x:c r="H13" s="4" t="str">
        <x:v>PARAMETRO_ATOMICO_EN_PERFIL_DOCUMENTAL</x:v>
      </x:c>
      <x:c r="I13" s="4" t="str">
        <x:v>PENDIENTE_DE_ADOPCION_NOMINAL</x:v>
      </x:c>
      <x:c r="J13" s="4" t="str">
        <x:v>47–54; LOTE_ATOMICO_02_A_10_OP_CYB_001_v0.1.md</x:v>
      </x:c>
      <x:c r="K13" s="4" t="str">
        <x:v>T001 §§2.2/2.3.4; T008; R025; S018</x:v>
      </x:c>
      <x:c r="L13" s="4" t="str">
        <x:v>PENDIENTE_G6</x:v>
      </x:c>
    </x:row>
    <x:row r="14" ht="47" customHeight="1">
      <x:c r="A14" s="4" t="str">
        <x:v>P10</x:v>
      </x:c>
      <x:c r="B14" s="4" t="str">
        <x:v>PAR-CYB-RESTAURACION-PREVIA-COMUNICADA-001</x:v>
      </x:c>
      <x:c r="C14" s="4" t="str">
        <x:v>0.1</x:v>
      </x:c>
      <x:c r="D14" s="4" t="str">
        <x:v>QCY-08-D3</x:v>
      </x:c>
      <x:c r="E14" s="4" t="str">
        <x:v>Restauración desde estado anterior comunicada</x:v>
      </x:c>
      <x:c r="F14" s="4" t="str">
        <x:v>Se comunicó la terminación satisfactoria de una restauración cuyo punto de origen fue capturado antes de la instalación evaluada.</x:v>
      </x:c>
      <x:c r="G14" s="4" t="str">
        <x:v>HISTORIA-RESTAURACION-PREVIA-0.1</x:v>
      </x:c>
      <x:c r="H14" s="4" t="str">
        <x:v>PARAMETRO_ATOMICO_EN_PERFIL_DOCUMENTAL</x:v>
      </x:c>
      <x:c r="I14" s="4" t="str">
        <x:v>PENDIENTE_DE_ADOPCION_NOMINAL</x:v>
      </x:c>
      <x:c r="J14" s="4" t="str">
        <x:v>47–54; LOTE_ATOMICO_02_A_10_OP_CYB_001_v0.1.md</x:v>
      </x:c>
      <x:c r="K14" s="4" t="str">
        <x:v>T001 §§2.3.2/2.3.4; R033 IV tema 7; S018</x:v>
      </x:c>
      <x:c r="L14" s="4" t="str">
        <x:v>PENDIENTE_G6</x:v>
      </x:c>
    </x:row>
  </x:sheetData>
  <x:mergeCells>
    <x:mergeCell ref="A1:D1"/>
    <x:mergeCell ref="A2:F2"/>
  </x:mergeCells>
  <x:pageMargins left="0.7" right="0.7" top="0.75" bottom="0.75" header="0.3" footer="0.3"/>
  <x:tableParts count="1">
    <x:tablePart xmlns:r="http://schemas.openxmlformats.org/officeDocument/2006/relationships" r:id="R2caba7d6559143da"/>
  </x:tableParts>
</x:worksheet>
</file>

<file path=xl/worksheets/sheet48.xml><?xml version="1.0" encoding="utf-8"?>
<x:worksheet xmlns:x="http://schemas.openxmlformats.org/spreadsheetml/2006/main">
  <x:sheetViews>
    <x:sheetView showGridLines="0" workbookViewId="0"/>
  </x:sheetViews>
  <x:sheetFormatPr defaultRowHeight="15"/>
  <x:cols>
    <x:col min="1" max="1" width="12" hidden="0" customWidth="1"/>
    <x:col min="2" max="2" width="29" hidden="0" customWidth="1"/>
    <x:col min="3" max="3" width="130" hidden="0" customWidth="1"/>
    <x:col min="4" max="4" width="60" hidden="0" customWidth="1"/>
  </x:cols>
  <x:sheetData>
    <x:row r="1" ht="35" customHeight="1">
      <x:c r="A1" s="6" t="str">
        <x:v>CONTRATOS G3/G5 · P02–P10</x:v>
      </x:c>
      <x:c r="B1" s="6"/>
      <x:c r="C1" s="6"/>
      <x:c r="D1" s="6"/>
    </x:row>
    <x:row r="2" ht="52" customHeight="1">
      <x:c r="A2" s="8" t="str">
        <x:v>Todo valor se refiere al sujeto, horizonte y perfil de su ficha. Capturadores y aptitud operacional permanecen pendientes.</x:v>
      </x:c>
      <x:c r="B2" s="8"/>
      <x:c r="C2" s="8"/>
      <x:c r="D2" s="8"/>
    </x:row>
    <x:row r="3">
      <x:c r="A3" s="4"/>
      <x:c r="B3" s="4"/>
      <x:c r="C3" s="4"/>
      <x:c r="D3" s="4"/>
    </x:row>
    <x:row r="4" ht="42" customHeight="1">
      <x:c r="A4" s="10" t="str">
        <x:v>Parámetro</x:v>
      </x:c>
      <x:c r="B4" s="10" t="str">
        <x:v>Elemento</x:v>
      </x:c>
      <x:c r="C4" s="10" t="str">
        <x:v>Contrato</x:v>
      </x:c>
      <x:c r="D4" s="10" t="str">
        <x:v>Fuente</x:v>
      </x:c>
    </x:row>
    <x:row r="5" ht="47" customHeight="1">
      <x:c r="A5" s="4" t="str">
        <x:v>P02</x:v>
      </x:c>
      <x:c r="B5" s="4" t="str">
        <x:v>Proposición</x:v>
      </x:c>
      <x:c r="C5" s="4" t="str">
        <x:v>La operación individual de instalación identificada comunicó terminación satisfactoria sin el calificador de errores del emisor.</x:v>
      </x:c>
      <x:c r="D5" s="4" t="str">
        <x:v>T004 Constants; T005; T006; R025</x:v>
      </x:c>
    </x:row>
    <x:row r="6" ht="47" customHeight="1">
      <x:c r="A6" s="4" t="str">
        <x:v>P02</x:v>
      </x:c>
      <x:c r="B6" s="4" t="str">
        <x:v>Sujeto e identidad</x:v>
      </x:c>
      <x:c r="C6" s="4" t="str">
        <x:v>Activo, actualización/revisión e intento individual de instalación; correspondencia índice–colección original.</x:v>
      </x:c>
      <x:c r="D6" s="4" t="str">
        <x:v>T004 Constants; T005; T006; R025</x:v>
      </x:c>
    </x:row>
    <x:row r="7" ht="47" customHeight="1">
      <x:c r="A7" s="4" t="str">
        <x:v>P02</x:v>
      </x:c>
      <x:c r="B7" s="4" t="str">
        <x:v>Horizonte</x:v>
      </x:c>
      <x:c r="C7" s="4" t="str">
        <x:v>Resultado terminal de aquel intento. Un resultado de otro intento no lo modifica.</x:v>
      </x:c>
      <x:c r="D7" s="4" t="str">
        <x:v>T004 Constants; T005; T006; R025</x:v>
      </x:c>
    </x:row>
    <x:row r="8" ht="47" customHeight="1">
      <x:c r="A8" s="4" t="str">
        <x:v>P02</x:v>
      </x:c>
      <x:c r="B8" s="4" t="str">
        <x:v>Perfil documental</x:v>
      </x:c>
      <x:c r="C8" s="4" t="str">
        <x:v>WUA-RESULTADO-INDIVIDUAL-0.1</x:v>
      </x:c>
      <x:c r="D8" s="4" t="str">
        <x:v>T004 Constants; T005; T006; R025</x:v>
      </x:c>
    </x:row>
    <x:row r="9" ht="47" customHeight="1">
      <x:c r="A9" s="4" t="str">
        <x:v>P02</x:v>
      </x:c>
      <x:c r="B9" s="4" t="str">
        <x:v>Observación exigida</x:v>
      </x:c>
      <x:c r="C9" s="4" t="str">
        <x:v>IUpdateInstallationResult.ResultCode; HResult se conserva como evidencia separada. No es HRESULT de la llamada de captura.</x:v>
      </x:c>
      <x:c r="D9" s="4" t="str">
        <x:v>T004 Constants; T005; T006; R025</x:v>
      </x:c>
    </x:row>
    <x:row r="10" ht="47" customHeight="1">
      <x:c r="A10" s="4" t="str">
        <x:v>P02</x:v>
      </x:c>
      <x:c r="B10" s="4" t="str">
        <x:v>Tri 1</x:v>
      </x:c>
      <x:c r="C10" s="4" t="str">
        <x:v>orcSucceeded.</x:v>
      </x:c>
      <x:c r="D10" s="4" t="str">
        <x:v>T004 Constants; T005; T006; R025</x:v>
      </x:c>
    </x:row>
    <x:row r="11" ht="47" customHeight="1">
      <x:c r="A11" s="4" t="str">
        <x:v>P02</x:v>
      </x:c>
      <x:c r="B11" s="4" t="str">
        <x:v>Tri 0</x:v>
      </x:c>
      <x:c r="C11" s="4" t="str">
        <x:v>orcSucceededWithErrors, orcFailed u orcAborted; 0 niega esta proposición, no afirma que nada se instaló.</x:v>
      </x:c>
      <x:c r="D11" s="4" t="str">
        <x:v>T004 Constants; T005; T006; R025</x:v>
      </x:c>
    </x:row>
    <x:row r="12" ht="47" customHeight="1">
      <x:c r="A12" s="4" t="str">
        <x:v>P02</x:v>
      </x:c>
      <x:c r="B12" s="4" t="str">
        <x:v>Incertidumbre propia</x:v>
      </x:c>
      <x:c r="C12" s="4" t="str">
        <x:v>Resultado ausente o conflicto de resultados terminales admitidos. NotStarted/InProgress quedan fuera del perfil terminal.</x:v>
      </x:c>
      <x:c r="D12" s="4" t="str">
        <x:v>T004 Constants; T005; T006; R025</x:v>
      </x:c>
    </x:row>
    <x:row r="13" ht="47" customHeight="1">
      <x:c r="A13" s="4" t="str">
        <x:v>P02</x:v>
      </x:c>
      <x:c r="B13" s="4" t="str">
        <x:v>Uso en OP-CYB-001</x:v>
      </x:c>
      <x:c r="C13" s="4" t="str">
        <x:v>Separar el resultado profesional comunicado de completitud, efecto y fallo del observador.</x:v>
      </x:c>
      <x:c r="D13" s="4" t="str">
        <x:v>T004 Constants; T005; T006; R025</x:v>
      </x:c>
    </x:row>
    <x:row r="14" ht="47" customHeight="1">
      <x:c r="A14" s="4" t="str">
        <x:v>P02</x:v>
      </x:c>
      <x:c r="B14" s="4" t="str">
        <x:v>Partición examinada</x:v>
      </x:c>
      <x:c r="C14" s="4" t="str">
        <x:v>No crear tres átomos uno-por-enum. El observable completo conserva errores; el uso pide exactamente éxito comunicado sin ese calificador.</x:v>
      </x:c>
      <x:c r="D14" s="4" t="str">
        <x:v>T004 Constants; T005; T006; R025</x:v>
      </x:c>
    </x:row>
    <x:row r="15" ht="47" customHeight="1">
      <x:c r="A15" s="4" t="str">
        <x:v>P02</x:v>
      </x:c>
      <x:c r="B15" s="4" t="str">
        <x:v>Límite y deuda</x:v>
      </x:c>
      <x:c r="C15" s="4" t="str">
        <x:v>No acredita que el parche haya tomado efecto. El perfil P01 sigue exigiendo orcSucceeded y no se amplía.</x:v>
      </x:c>
      <x:c r="D15" s="4" t="str">
        <x:v>T004 Constants; T005; T006; R025</x:v>
      </x:c>
    </x:row>
    <x:row r="16" ht="47" customHeight="1">
      <x:c r="A16" s="4" t="str">
        <x:v>P03</x:v>
      </x:c>
      <x:c r="B16" s="4" t="str">
        <x:v>Proposición</x:v>
      </x:c>
      <x:c r="C16" s="4" t="str">
        <x:v>Se completó al menos un reinicio íntegro del sistema anfitrión después del resultado de instalación y no después del corte.</x:v>
      </x:c>
      <x:c r="D16" s="4" t="str">
        <x:v>T001 §2.3.2; T007 Summary/More information; R025</x:v>
      </x:c>
    </x:row>
    <x:row r="17" ht="47" customHeight="1">
      <x:c r="A17" s="4" t="str">
        <x:v>P03</x:v>
      </x:c>
      <x:c r="B17" s="4" t="str">
        <x:v>Sujeto e identidad</x:v>
      </x:c>
      <x:c r="C17" s="4" t="str">
        <x:v>Mismo anfitrión/instalación; evento de arranque y corte identificados, sin confundir huésped VM con anfitrión físico.</x:v>
      </x:c>
      <x:c r="D17" s="4" t="str">
        <x:v>T001 §2.3.2; T007 Summary/More information; R025</x:v>
      </x:c>
    </x:row>
    <x:row r="18" ht="47" customHeight="1">
      <x:c r="A18" s="4" t="str">
        <x:v>P03</x:v>
      </x:c>
      <x:c r="B18" s="4" t="str">
        <x:v>Horizonte</x:v>
      </x:c>
      <x:c r="C18" s="4" t="str">
        <x:v>Intervalo (fin de instalación, corte]. El orden debe estar acreditado; no se infiere de la mera fecha de captura.</x:v>
      </x:c>
      <x:c r="D18" s="4" t="str">
        <x:v>T001 §2.3.2; T007 Summary/More information; R025</x:v>
      </x:c>
    </x:row>
    <x:row r="19" ht="47" customHeight="1">
      <x:c r="A19" s="4" t="str">
        <x:v>P03</x:v>
      </x:c>
      <x:c r="B19" s="4" t="str">
        <x:v>Perfil documental</x:v>
      </x:c>
      <x:c r="C19" s="4" t="str">
        <x:v>EVENTO-REINICIO-COMPLETO-0.1</x:v>
      </x:c>
      <x:c r="D19" s="4" t="str">
        <x:v>T001 §2.3.2; T007 Summary/More information; R025</x:v>
      </x:c>
    </x:row>
    <x:row r="20" ht="47" customHeight="1">
      <x:c r="A20" s="4" t="str">
        <x:v>P03</x:v>
      </x:c>
      <x:c r="B20" s="4" t="str">
        <x:v>Observación exigida</x:v>
      </x:c>
      <x:c r="C20" s="4" t="str">
        <x:v>Dossier de arranque con identidad del sistema, clase de arranque, orden y completitud admitidos. No existe aquí un capturador de eventos validado.</x:v>
      </x:c>
      <x:c r="D20" s="4" t="str">
        <x:v>T001 §2.3.2; T007 Summary/More information; R025</x:v>
      </x:c>
    </x:row>
    <x:row r="21" ht="47" customHeight="1">
      <x:c r="A21" s="4" t="str">
        <x:v>P03</x:v>
      </x:c>
      <x:c r="B21" s="4" t="str">
        <x:v>Tri 1</x:v>
      </x:c>
      <x:c r="C21" s="4" t="str">
        <x:v>Testigo de reinicio completo terminado en el intervalo.</x:v>
      </x:c>
      <x:c r="D21" s="4" t="str">
        <x:v>T001 §2.3.2; T007 Summary/More information; R025</x:v>
      </x:c>
    </x:row>
    <x:row r="22" ht="47" customHeight="1">
      <x:c r="A22" s="4" t="str">
        <x:v>P03</x:v>
      </x:c>
      <x:c r="B22" s="4" t="str">
        <x:v>Tri 0</x:v>
      </x:c>
      <x:c r="C22" s="4" t="str">
        <x:v>Registro con cobertura acreditada del intervalo sin tal evento; sólo arranque híbrido con cobertura completa también niega esta proposición.</x:v>
      </x:c>
      <x:c r="D22" s="4" t="str">
        <x:v>T001 §2.3.2; T007 Summary/More information; R025</x:v>
      </x:c>
    </x:row>
    <x:row r="23" ht="47" customHeight="1">
      <x:c r="A23" s="4" t="str">
        <x:v>P03</x:v>
      </x:c>
      <x:c r="B23" s="4" t="str">
        <x:v>Incertidumbre propia</x:v>
      </x:c>
      <x:c r="C23" s="4" t="str">
        <x:v>Registro parcial sin testigo positivo, clase de arranque no probada, orden incierto o conflicto.</x:v>
      </x:c>
      <x:c r="D23" s="4" t="str">
        <x:v>T001 §2.3.2; T007 Summary/More information; R025</x:v>
      </x:c>
    </x:row>
    <x:row r="24" ht="47" customHeight="1">
      <x:c r="A24" s="4" t="str">
        <x:v>P03</x:v>
      </x:c>
      <x:c r="B24" s="4" t="str">
        <x:v>Uso en OP-CYB-001</x:v>
      </x:c>
      <x:c r="C24" s="4" t="str">
        <x:v>Aportar satisfacción de la condición de reinicio del sistema, sin reescribir el requisito histórico.</x:v>
      </x:c>
      <x:c r="D24" s="4" t="str">
        <x:v>T001 §2.3.2; T007 Summary/More information; R025</x:v>
      </x:c>
    </x:row>
    <x:row r="25" ht="47" customHeight="1">
      <x:c r="A25" s="4" t="str">
        <x:v>P03</x:v>
      </x:c>
      <x:c r="B25" s="4" t="str">
        <x:v>Partición examinada</x:v>
      </x:c>
      <x:c r="C25" s="4" t="str">
        <x:v>Fecha, identificador y tipo son condiciones de identidad del evento. No se adjudica un parámetro por cada campo; el predicado es existencia del evento completo.</x:v>
      </x:c>
      <x:c r="D25" s="4" t="str">
        <x:v>T001 §2.3.2; T007 Summary/More information; R025</x:v>
      </x:c>
    </x:row>
    <x:row r="26" ht="47" customHeight="1">
      <x:c r="A26" s="4" t="str">
        <x:v>P03</x:v>
      </x:c>
      <x:c r="B26" s="4" t="str">
        <x:v>Límite y deuda</x:v>
      </x:c>
      <x:c r="C26" s="4" t="str">
        <x:v>Fast Startup es contraejemplo Windows 10, no regla universal de toda plataforma. Reinicio solicitado, comienzo del arranque o uptime aislado no bastan.</x:v>
      </x:c>
      <x:c r="D26" s="4" t="str">
        <x:v>T001 §2.3.2; T007 Summary/More information; R025</x:v>
      </x:c>
    </x:row>
    <x:row r="27" ht="47" customHeight="1">
      <x:c r="A27" s="4" t="str">
        <x:v>P04</x:v>
      </x:c>
      <x:c r="B27" s="4" t="str">
        <x:v>Proposición</x:v>
      </x:c>
      <x:c r="C27" s="4" t="str">
        <x:v>La instrucción específica admitida para completar esta instalación exigía reiniciar el software identificado.</x:v>
      </x:c>
      <x:c r="D27" s="4" t="str">
        <x:v>T001 §2.3.2; T009 cuerpo técnico; R025</x:v>
      </x:c>
    </x:row>
    <x:row r="28" ht="47" customHeight="1">
      <x:c r="A28" s="4" t="str">
        <x:v>P04</x:v>
      </x:c>
      <x:c r="B28" s="4" t="str">
        <x:v>Sujeto e identidad</x:v>
      </x:c>
      <x:c r="C28" s="4" t="str">
        <x:v>Un software identificable y su alcance de ejecución en un anfitrión; instalación e instrucción/version. No una lista de aplicaciones.</x:v>
      </x:c>
      <x:c r="D28" s="4" t="str">
        <x:v>T001 §2.3.2; T009 cuerpo técnico; R025</x:v>
      </x:c>
    </x:row>
    <x:row r="29" ht="47" customHeight="1">
      <x:c r="A29" s="4" t="str">
        <x:v>P04</x:v>
      </x:c>
      <x:c r="B29" s="4" t="str">
        <x:v>Horizonte</x:v>
      </x:c>
      <x:c r="C29" s="4" t="str">
        <x:v>Requisito documentado al resultado de instalación, conservado como hecho histórico.</x:v>
      </x:c>
      <x:c r="D29" s="4" t="str">
        <x:v>T001 §2.3.2; T009 cuerpo técnico; R025</x:v>
      </x:c>
    </x:row>
    <x:row r="30" ht="47" customHeight="1">
      <x:c r="A30" s="4" t="str">
        <x:v>P04</x:v>
      </x:c>
      <x:c r="B30" s="4" t="str">
        <x:v>Perfil documental</x:v>
      </x:c>
      <x:c r="C30" s="4" t="str">
        <x:v>REQUISITO-SOFTWARE-INDIVIDUAL-0.1</x:v>
      </x:c>
      <x:c r="D30" s="4" t="str">
        <x:v>T001 §2.3.2; T009 cuerpo técnico; R025</x:v>
      </x:c>
    </x:row>
    <x:row r="31" ht="47" customHeight="1">
      <x:c r="A31" s="4" t="str">
        <x:v>P04</x:v>
      </x:c>
      <x:c r="B31" s="4" t="str">
        <x:v>Observación exigida</x:v>
      </x:c>
      <x:c r="C31" s="4" t="str">
        <x:v>Cláusula o resultado específico del instalador/fabricante con alcance identificable que exige o niega ese reinicio. El párrafo genérico de NIST no suministra ese dato.</x:v>
      </x:c>
      <x:c r="D31" s="4" t="str">
        <x:v>T001 §2.3.2; T009 cuerpo técnico; R025</x:v>
      </x:c>
    </x:row>
    <x:row r="32" ht="47" customHeight="1">
      <x:c r="A32" s="4" t="str">
        <x:v>P04</x:v>
      </x:c>
      <x:c r="B32" s="4" t="str">
        <x:v>Tri 1</x:v>
      </x:c>
      <x:c r="C32" s="4" t="str">
        <x:v>Requisito positivo explícito y aplicable al software identificado.</x:v>
      </x:c>
      <x:c r="D32" s="4" t="str">
        <x:v>T001 §2.3.2; T009 cuerpo técnico; R025</x:v>
      </x:c>
    </x:row>
    <x:row r="33" ht="47" customHeight="1">
      <x:c r="A33" s="4" t="str">
        <x:v>P04</x:v>
      </x:c>
      <x:c r="B33" s="4" t="str">
        <x:v>Tri 0</x:v>
      </x:c>
      <x:c r="C33" s="4" t="str">
        <x:v>Negación explícita de ese requisito, con el mismo alcance.</x:v>
      </x:c>
      <x:c r="D33" s="4" t="str">
        <x:v>T001 §2.3.2; T009 cuerpo técnico; R025</x:v>
      </x:c>
    </x:row>
    <x:row r="34" ht="47" customHeight="1">
      <x:c r="A34" s="4" t="str">
        <x:v>P04</x:v>
      </x:c>
      <x:c r="B34" s="4" t="str">
        <x:v>Incertidumbre propia</x:v>
      </x:c>
      <x:c r="C34" s="4" t="str">
        <x:v>Instrucción ausente, formulación ambigua o conflicto de instrucciones admitidas. Falta de contrato de aplicabilidad es configuración pendiente, no Tri.</x:v>
      </x:c>
      <x:c r="D34" s="4" t="str">
        <x:v>T001 §2.3.2; T009 cuerpo técnico; R025</x:v>
      </x:c>
    </x:row>
    <x:row r="35" ht="47" customHeight="1">
      <x:c r="A35" s="4" t="str">
        <x:v>P04</x:v>
      </x:c>
      <x:c r="B35" s="4" t="str">
        <x:v>Uso en OP-CYB-001</x:v>
      </x:c>
      <x:c r="C35" s="4" t="str">
        <x:v>Conservar una obligación relativa al software, independiente del reinicio del sistema.</x:v>
      </x:c>
      <x:c r="D35" s="4" t="str">
        <x:v>T001 §2.3.2; T009 cuerpo técnico; R025</x:v>
      </x:c>
    </x:row>
    <x:row r="36" ht="47" customHeight="1">
      <x:c r="A36" s="4" t="str">
        <x:v>P04</x:v>
      </x:c>
      <x:c r="B36" s="4" t="str">
        <x:v>Partición examinada</x:v>
      </x:c>
      <x:c r="C36" s="4" t="str">
        <x:v>Requisito y cumplimiento son estados distintos. No se agrupan redespliegue, cambio de configuración y reinicio bajo un único booleano de «otros cambios».</x:v>
      </x:c>
      <x:c r="D36" s="4" t="str">
        <x:v>T001 §2.3.2; T009 cuerpo técnico; R025</x:v>
      </x:c>
    </x:row>
    <x:row r="37" ht="47" customHeight="1">
      <x:c r="A37" s="4" t="str">
        <x:v>P04</x:v>
      </x:c>
      <x:c r="B37" s="4" t="str">
        <x:v>Límite y deuda</x:v>
      </x:c>
      <x:c r="C37" s="4" t="str">
        <x:v>Sólo cubre este predicado de D3. Redespliegue/configuración y múltiples softwares permanecen pendientes; no se contabilizan como cubiertos.</x:v>
      </x:c>
      <x:c r="D37" s="4" t="str">
        <x:v>T001 §2.3.2; T009 cuerpo técnico; R025</x:v>
      </x:c>
    </x:row>
    <x:row r="38" ht="47" customHeight="1">
      <x:c r="A38" s="4" t="str">
        <x:v>P05</x:v>
      </x:c>
      <x:c r="B38" s="4" t="str">
        <x:v>Proposición</x:v>
      </x:c>
      <x:c r="C38" s="4" t="str">
        <x:v>Terminó la ejecución de la generación de proceso identificada después del ancla de instalación y no después del corte.</x:v>
      </x:c>
      <x:c r="D38" s="4" t="str">
        <x:v>T009 cuerpo técnico; T008 loaded-module list; R025 IV tema 4</x:v>
      </x:c>
    </x:row>
    <x:row r="39" ht="47" customHeight="1">
      <x:c r="A39" s="4" t="str">
        <x:v>P05</x:v>
      </x:c>
      <x:c r="B39" s="4" t="str">
        <x:v>Sujeto e identidad</x:v>
      </x:c>
      <x:c r="C39" s="4" t="str">
        <x:v>Un proceso previo: anfitrión, ámbito de proceso, identidad de generación y episodio. Un PID aislado no identifica una generación.</x:v>
      </x:c>
      <x:c r="D39" s="4" t="str">
        <x:v>T009 cuerpo técnico; T008 loaded-module list; R025 IV tema 4</x:v>
      </x:c>
    </x:row>
    <x:row r="40" ht="47" customHeight="1">
      <x:c r="A40" s="4" t="str">
        <x:v>P05</x:v>
      </x:c>
      <x:c r="B40" s="4" t="str">
        <x:v>Horizonte</x:v>
      </x:c>
      <x:c r="C40" s="4" t="str">
        <x:v>Intervalo (ancla de instalación declarada, corte]; el ancla debe fijarse antes del contraste y no moverse para producir 1.</x:v>
      </x:c>
      <x:c r="D40" s="4" t="str">
        <x:v>T009 cuerpo técnico; T008 loaded-module list; R025 IV tema 4</x:v>
      </x:c>
    </x:row>
    <x:row r="41" ht="47" customHeight="1">
      <x:c r="A41" s="4" t="str">
        <x:v>P05</x:v>
      </x:c>
      <x:c r="B41" s="4" t="str">
        <x:v>Perfil documental</x:v>
      </x:c>
      <x:c r="C41" s="4" t="str">
        <x:v>TERMINACION-GENERACION-PROCESO-0.1</x:v>
      </x:c>
      <x:c r="D41" s="4" t="str">
        <x:v>T009 cuerpo técnico; T008 loaded-module list; R025 IV tema 4</x:v>
      </x:c>
    </x:row>
    <x:row r="42" ht="47" customHeight="1">
      <x:c r="A42" s="4" t="str">
        <x:v>P05</x:v>
      </x:c>
      <x:c r="B42" s="4" t="str">
        <x:v>Observación exigida</x:v>
      </x:c>
      <x:c r="C42" s="4" t="str">
        <x:v>Testigo de terminación vinculado a la generación; para ausencia, registro completo de su ciclo de vida en el intervalo.</x:v>
      </x:c>
      <x:c r="D42" s="4" t="str">
        <x:v>T009 cuerpo técnico; T008 loaded-module list; R025 IV tema 4</x:v>
      </x:c>
    </x:row>
    <x:row r="43" ht="47" customHeight="1">
      <x:c r="A43" s="4" t="str">
        <x:v>P05</x:v>
      </x:c>
      <x:c r="B43" s="4" t="str">
        <x:v>Tri 1</x:v>
      </x:c>
      <x:c r="C43" s="4" t="str">
        <x:v>Evento de terminación de aquella generación en el intervalo.</x:v>
      </x:c>
      <x:c r="D43" s="4" t="str">
        <x:v>T009 cuerpo técnico; T008 loaded-module list; R025 IV tema 4</x:v>
      </x:c>
    </x:row>
    <x:row r="44" ht="47" customHeight="1">
      <x:c r="A44" s="4" t="str">
        <x:v>P05</x:v>
      </x:c>
      <x:c r="B44" s="4" t="str">
        <x:v>Tri 0</x:v>
      </x:c>
      <x:c r="C44" s="4" t="str">
        <x:v>Ausencia acreditada de tal terminación en el intervalo.</x:v>
      </x:c>
      <x:c r="D44" s="4" t="str">
        <x:v>T009 cuerpo técnico; T008 loaded-module list; R025 IV tema 4</x:v>
      </x:c>
    </x:row>
    <x:row r="45" ht="47" customHeight="1">
      <x:c r="A45" s="4" t="str">
        <x:v>P05</x:v>
      </x:c>
      <x:c r="B45" s="4" t="str">
        <x:v>Incertidumbre propia</x:v>
      </x:c>
      <x:c r="C45" s="4" t="str">
        <x:v>PID sin generación, registro incompleto, orden incierto o conflicto. Error de captura se registra fuera de Tri.</x:v>
      </x:c>
      <x:c r="D45" s="4" t="str">
        <x:v>T009 cuerpo técnico; T008 loaded-module list; R025 IV tema 4</x:v>
      </x:c>
    </x:row>
    <x:row r="46" ht="47" customHeight="1">
      <x:c r="A46" s="4" t="str">
        <x:v>P05</x:v>
      </x:c>
      <x:c r="B46" s="4" t="str">
        <x:v>Uso en OP-CYB-001</x:v>
      </x:c>
      <x:c r="C46" s="4" t="str">
        <x:v>Conservar que la ejecución previa dejó de mantener sus recursos; no equipararlo con nuevo proceso operativo.</x:v>
      </x:c>
      <x:c r="D46" s="4" t="str">
        <x:v>T009 cuerpo técnico; T008 loaded-module list; R025 IV tema 4</x:v>
      </x:c>
    </x:row>
    <x:row r="47" ht="47" customHeight="1">
      <x:c r="A47" s="4" t="str">
        <x:v>P05</x:v>
      </x:c>
      <x:c r="B47" s="4" t="str">
        <x:v>Partición examinada</x:v>
      </x:c>
      <x:c r="C47" s="4" t="str">
        <x:v>Se rechazó «reinicio del software realizado» como agregado de terminación y nueva ejecución útil. Aquí se adjudica sólo el evento de terminación; arranque y disponibilidad no se esconden.</x:v>
      </x:c>
      <x:c r="D47" s="4" t="str">
        <x:v>T009 cuerpo técnico; T008 loaded-module list; R025 IV tema 4</x:v>
      </x:c>
    </x:row>
    <x:row r="48" ht="47" customHeight="1">
      <x:c r="A48" s="4" t="str">
        <x:v>P05</x:v>
      </x:c>
      <x:c r="B48" s="4" t="str">
        <x:v>Límite y deuda</x:v>
      </x:c>
      <x:c r="C48" s="4" t="str">
        <x:v>No satisface por sí solo P04. Reinicio íntegro, todas las instancias, redeploy y configuración continúan pendientes en D4.</x:v>
      </x:c>
      <x:c r="D48" s="4" t="str">
        <x:v>T009 cuerpo técnico; T008 loaded-module list; R025 IV tema 4</x:v>
      </x:c>
    </x:row>
    <x:row r="49" ht="47" customHeight="1">
      <x:c r="A49" s="4" t="str">
        <x:v>P06</x:v>
      </x:c>
      <x:c r="B49" s="4" t="str">
        <x:v>Proposición</x:v>
      </x:c>
      <x:c r="C49" s="4" t="str">
        <x:v>La imagen del componente cargada en la instancia evaluada al corte coincide con la imagen objetivo previamente fijada.</x:v>
      </x:c>
      <x:c r="D49" s="4" t="str">
        <x:v>T001 §2.3.3; T008; T012–T013; R025 IV temas 4/5/6</x:v>
      </x:c>
    </x:row>
    <x:row r="50" ht="47" customHeight="1">
      <x:c r="A50" s="4" t="str">
        <x:v>P06</x:v>
      </x:c>
      <x:c r="B50" s="4" t="str">
        <x:v>Sujeto e identidad</x:v>
      </x:c>
      <x:c r="C50" s="4" t="str">
        <x:v>Una instancia/generación, un componente cargado, imagen objetivo, método de identidad admitido e instalación relacionada.</x:v>
      </x:c>
      <x:c r="D50" s="4" t="str">
        <x:v>T001 §2.3.3; T008; T012–T013; R025 IV temas 4/5/6</x:v>
      </x:c>
    </x:row>
    <x:row r="51" ht="47" customHeight="1">
      <x:c r="A51" s="4" t="str">
        <x:v>P06</x:v>
      </x:c>
      <x:c r="B51" s="4" t="str">
        <x:v>Horizonte</x:v>
      </x:c>
      <x:c r="C51" s="4" t="str">
        <x:v>Estado observado al corte de aquella instancia. No describe todas las instancias ni conserva vigencia frente a eventos futuros.</x:v>
      </x:c>
      <x:c r="D51" s="4" t="str">
        <x:v>T001 §2.3.3; T008; T012–T013; R025 IV temas 4/5/6</x:v>
      </x:c>
    </x:row>
    <x:row r="52" ht="47" customHeight="1">
      <x:c r="A52" s="4" t="str">
        <x:v>P06</x:v>
      </x:c>
      <x:c r="B52" s="4" t="str">
        <x:v>Perfil documental</x:v>
      </x:c>
      <x:c r="C52" s="4" t="str">
        <x:v>IDENTIDAD-IMAGEN-CARGADA-0.1</x:v>
      </x:c>
      <x:c r="D52" s="4" t="str">
        <x:v>T001 §2.3.3; T008; T012–T013; R025 IV temas 4/5/6</x:v>
      </x:c>
    </x:row>
    <x:row r="53" ht="47" customHeight="1">
      <x:c r="A53" s="4" t="str">
        <x:v>P06</x:v>
      </x:c>
      <x:c r="B53" s="4" t="str">
        <x:v>Observación exigida</x:v>
      </x:c>
      <x:c r="C53" s="4" t="str">
        <x:v>Dos identidades exactas obtenidas con el mismo método admitido: imagen realmente cargada y objetivo fijado. La evidencia debe justificar correspondencia runtime–imagen; no basta leer el fichero por su ruta.</x:v>
      </x:c>
      <x:c r="D53" s="4" t="str">
        <x:v>T001 §2.3.3; T008; T012–T013; R025 IV temas 4/5/6</x:v>
      </x:c>
    </x:row>
    <x:row r="54" ht="47" customHeight="1">
      <x:c r="A54" s="4" t="str">
        <x:v>P06</x:v>
      </x:c>
      <x:c r="B54" s="4" t="str">
        <x:v>Tri 1</x:v>
      </x:c>
      <x:c r="C54" s="4" t="str">
        <x:v>Identidades exactas iguales bajo ese método y alcance.</x:v>
      </x:c>
      <x:c r="D54" s="4" t="str">
        <x:v>T001 §2.3.3; T008; T012–T013; R025 IV temas 4/5/6</x:v>
      </x:c>
    </x:row>
    <x:row r="55" ht="47" customHeight="1">
      <x:c r="A55" s="4" t="str">
        <x:v>P06</x:v>
      </x:c>
      <x:c r="B55" s="4" t="str">
        <x:v>Tri 0</x:v>
      </x:c>
      <x:c r="C55" s="4" t="str">
        <x:v>Identidad runtime acreditada distinta del objetivo.</x:v>
      </x:c>
      <x:c r="D55" s="4" t="str">
        <x:v>T001 §2.3.3; T008; T012–T013; R025 IV temas 4/5/6</x:v>
      </x:c>
    </x:row>
    <x:row r="56" ht="47" customHeight="1">
      <x:c r="A56" s="4" t="str">
        <x:v>P06</x:v>
      </x:c>
      <x:c r="B56" s="4" t="str">
        <x:v>Incertidumbre propia</x:v>
      </x:c>
      <x:c r="C56" s="4" t="str">
        <x:v>Sólo fichero en disco, ruta, nombre, dirección/puntero, tamaño o versión no inequívoca; captura insuficiente o contradictoria.</x:v>
      </x:c>
      <x:c r="D56" s="4" t="str">
        <x:v>T001 §2.3.3; T008; T012–T013; R025 IV temas 4/5/6</x:v>
      </x:c>
    </x:row>
    <x:row r="57" ht="47" customHeight="1">
      <x:c r="A57" s="4" t="str">
        <x:v>P06</x:v>
      </x:c>
      <x:c r="B57" s="4" t="str">
        <x:v>Uso en OP-CYB-001</x:v>
      </x:c>
      <x:c r="C57" s="4" t="str">
        <x:v>Separar distribución en disco de qué código está activo en la instancia examinada.</x:v>
      </x:c>
      <x:c r="D57" s="4" t="str">
        <x:v>T001 §2.3.3; T008; T012–T013; R025 IV temas 4/5/6</x:v>
      </x:c>
    </x:row>
    <x:row r="58" ht="47" customHeight="1">
      <x:c r="A58" s="4" t="str">
        <x:v>P06</x:v>
      </x:c>
      <x:c r="B58" s="4" t="str">
        <x:v>Partición examinada</x:v>
      </x:c>
      <x:c r="C58" s="4" t="str">
        <x:v>El digest objetivo es contexto, no un átomo. Comparar identidad de imagen es una sola proposición; no se mezclan firma, autenticidad o efectividad del parche.</x:v>
      </x:c>
      <x:c r="D58" s="4" t="str">
        <x:v>T001 §2.3.3; T008; T012–T013; R025 IV temas 4/5/6</x:v>
      </x:c>
    </x:row>
    <x:row r="59" ht="60" customHeight="1">
      <x:c r="A59" s="4" t="str">
        <x:v>P06</x:v>
      </x:c>
      <x:c r="B59" s="4" t="str">
        <x:v>Límite y deuda</x:v>
      </x:c>
      <x:c r="C59" s="4" t="str">
        <x:v>MODULEINFO no entrega huella del código. No se define hash ingenuo de memoria (ASLR, relocaciones o modificaciones). El método productivo de identidad/captura sigue pendiente; aquí se ensaya el contrato sobre identidades documentales sintéticas.</x:v>
      </x:c>
      <x:c r="D59" s="4" t="str">
        <x:v>T001 §2.3.3; T008; T012–T013; R025 IV temas 4/5/6</x:v>
      </x:c>
    </x:row>
    <x:row r="60" ht="47" customHeight="1">
      <x:c r="A60" s="4" t="str">
        <x:v>P07</x:v>
      </x:c>
      <x:c r="B60" s="4" t="str">
        <x:v>Proposición</x:v>
      </x:c>
      <x:c r="C60" s="4" t="str">
        <x:v>La comprobación individual identificada satisfizo el único criterio de aceptación previamente fijado para ella.</x:v>
      </x:c>
      <x:c r="D60" s="4" t="str">
        <x:v>T001 §2.3.3; R025; R035</x:v>
      </x:c>
    </x:row>
    <x:row r="61" ht="47" customHeight="1">
      <x:c r="A61" s="4" t="str">
        <x:v>P07</x:v>
      </x:c>
      <x:c r="B61" s="4" t="str">
        <x:v>Sujeto e identidad</x:v>
      </x:c>
      <x:c r="C61" s="4" t="str">
        <x:v>Una ejecución de comprobación, activo/componente, criterio unitario/version, método y evidencia. No una campaña ni un agregado de hallazgos.</x:v>
      </x:c>
      <x:c r="D61" s="4" t="str">
        <x:v>T001 §2.3.3; R025; R035</x:v>
      </x:c>
    </x:row>
    <x:row r="62" ht="47" customHeight="1">
      <x:c r="A62" s="4" t="str">
        <x:v>P07</x:v>
      </x:c>
      <x:c r="B62" s="4" t="str">
        <x:v>Horizonte</x:v>
      </x:c>
      <x:c r="C62" s="4" t="str">
        <x:v>Resultado de aquella ejecución; una comprobación nueva recibe otra identidad y no modifica retrospectivamente este resultado.</x:v>
      </x:c>
      <x:c r="D62" s="4" t="str">
        <x:v>T001 §2.3.3; R025; R035</x:v>
      </x:c>
    </x:row>
    <x:row r="63" ht="47" customHeight="1">
      <x:c r="A63" s="4" t="str">
        <x:v>P07</x:v>
      </x:c>
      <x:c r="B63" s="4" t="str">
        <x:v>Perfil documental</x:v>
      </x:c>
      <x:c r="C63" s="4" t="str">
        <x:v>COMPROBACION-CRITERIO-UNITARIO-0.1</x:v>
      </x:c>
      <x:c r="D63" s="4" t="str">
        <x:v>T001 §2.3.3; R025; R035</x:v>
      </x:c>
    </x:row>
    <x:row r="64" ht="47" customHeight="1">
      <x:c r="A64" s="4" t="str">
        <x:v>P07</x:v>
      </x:c>
      <x:c r="B64" s="4" t="str">
        <x:v>Observación exigida</x:v>
      </x:c>
      <x:c r="C64" s="4" t="str">
        <x:v>Informe con observación y criterio previos, resultado reproducible y alcance identificado. El informe debe enlazar evidencia, no contener sólo un sello «apto».</x:v>
      </x:c>
      <x:c r="D64" s="4" t="str">
        <x:v>T001 §2.3.3; R025; R035</x:v>
      </x:c>
    </x:row>
    <x:row r="65" ht="47" customHeight="1">
      <x:c r="A65" s="4" t="str">
        <x:v>P07</x:v>
      </x:c>
      <x:c r="B65" s="4" t="str">
        <x:v>Tri 1</x:v>
      </x:c>
      <x:c r="C65" s="4" t="str">
        <x:v>La observación satisface el criterio unitario admitido.</x:v>
      </x:c>
      <x:c r="D65" s="4" t="str">
        <x:v>T001 §2.3.3; R025; R035</x:v>
      </x:c>
    </x:row>
    <x:row r="66" ht="47" customHeight="1">
      <x:c r="A66" s="4" t="str">
        <x:v>P07</x:v>
      </x:c>
      <x:c r="B66" s="4" t="str">
        <x:v>Tri 0</x:v>
      </x:c>
      <x:c r="C66" s="4" t="str">
        <x:v>La observación no lo satisface, con prueba válida.</x:v>
      </x:c>
      <x:c r="D66" s="4" t="str">
        <x:v>T001 §2.3.3; R025; R035</x:v>
      </x:c>
    </x:row>
    <x:row r="67" ht="47" customHeight="1">
      <x:c r="A67" s="4" t="str">
        <x:v>P07</x:v>
      </x:c>
      <x:c r="B67" s="4" t="str">
        <x:v>Incertidumbre propia</x:v>
      </x:c>
      <x:c r="C67" s="4" t="str">
        <x:v>Observación ausente, evidencia insuficiente o conflicto. Criterio compuesto o no fijado impide admisión al perfil, no produce un falso negativo.</x:v>
      </x:c>
      <x:c r="D67" s="4" t="str">
        <x:v>T001 §2.3.3; R025; R035</x:v>
      </x:c>
    </x:row>
    <x:row r="68" ht="47" customHeight="1">
      <x:c r="A68" s="4" t="str">
        <x:v>P07</x:v>
      </x:c>
      <x:c r="B68" s="4" t="str">
        <x:v>Uso en OP-CYB-001</x:v>
      </x:c>
      <x:c r="C68" s="4" t="str">
        <x:v>Conservar el resultado de una comprobación sin convertirlo en cierre global o ausencia universal de vulnerabilidades.</x:v>
      </x:c>
      <x:c r="D68" s="4" t="str">
        <x:v>T001 §2.3.3; R025; R035</x:v>
      </x:c>
    </x:row>
    <x:row r="69" ht="47" customHeight="1">
      <x:c r="A69" s="4" t="str">
        <x:v>P07</x:v>
      </x:c>
      <x:c r="B69" s="4" t="str">
        <x:v>Partición examinada</x:v>
      </x:c>
      <x:c r="C69" s="4" t="str">
        <x:v>Si el criterio reúne resultados con incertidumbre/consecuencia separables es compuesto y queda fuera. Este parámetro sólo admite un predicado evaluativo unitario.</x:v>
      </x:c>
      <x:c r="D69" s="4" t="str">
        <x:v>T001 §2.3.3; R025; R035</x:v>
      </x:c>
    </x:row>
    <x:row r="70" ht="47" customHeight="1">
      <x:c r="A70" s="4" t="str">
        <x:v>P07</x:v>
      </x:c>
      <x:c r="B70" s="4" t="str">
        <x:v>Límite y deuda</x:v>
      </x:c>
      <x:c r="C70" s="4" t="str">
        <x:v>La unidad no ha fijado un oráculo de explotación real ni ejecutado pruebas sobre activos. Valida el contrato documental del resultado, no la sensibilidad operacional del futuro criterio.</x:v>
      </x:c>
      <x:c r="D70" s="4" t="str">
        <x:v>T001 §2.3.3; R025; R035</x:v>
      </x:c>
    </x:row>
    <x:row r="71" ht="47" customHeight="1">
      <x:c r="A71" s="4" t="str">
        <x:v>P08</x:v>
      </x:c>
      <x:c r="B71" s="4" t="str">
        <x:v>Proposición</x:v>
      </x:c>
      <x:c r="C71" s="4" t="str">
        <x:v>Existe después de la instalación y hasta el corte una operación de retirada de esa actualización que comunica éxito.</x:v>
      </x:c>
      <x:c r="D71" s="4" t="str">
        <x:v>T001 §§2.3.2/2.3.4; T010–T011; T004</x:v>
      </x:c>
    </x:row>
    <x:row r="72" ht="47" customHeight="1">
      <x:c r="A72" s="4" t="str">
        <x:v>P08</x:v>
      </x:c>
      <x:c r="B72" s="4" t="str">
        <x:v>Sujeto e identidad</x:v>
      </x:c>
      <x:c r="C72" s="4" t="str">
        <x:v>Activo, actualización/revisión, episodio inicial y operación posterior de retirada identificada.</x:v>
      </x:c>
      <x:c r="D72" s="4" t="str">
        <x:v>T001 §§2.3.2/2.3.4; T010–T011; T004</x:v>
      </x:c>
    </x:row>
    <x:row r="73" ht="47" customHeight="1">
      <x:c r="A73" s="4" t="str">
        <x:v>P08</x:v>
      </x:c>
      <x:c r="B73" s="4" t="str">
        <x:v>Horizonte</x:v>
      </x:c>
      <x:c r="C73" s="4" t="str">
        <x:v>Existencia histórica en (fin de instalación, corte]. Reinstalar después no borra el suceso.</x:v>
      </x:c>
      <x:c r="D73" s="4" t="str">
        <x:v>T001 §§2.3.2/2.3.4; T010–T011; T004</x:v>
      </x:c>
    </x:row>
    <x:row r="74" ht="47" customHeight="1">
      <x:c r="A74" s="4" t="str">
        <x:v>P08</x:v>
      </x:c>
      <x:c r="B74" s="4" t="str">
        <x:v>Perfil documental</x:v>
      </x:c>
      <x:c r="C74" s="4" t="str">
        <x:v>HISTORIA-RETIRADA-ACTUALIZACION-0.1</x:v>
      </x:c>
      <x:c r="D74" s="4" t="str">
        <x:v>T001 §§2.3.2/2.3.4; T010–T011; T004</x:v>
      </x:c>
    </x:row>
    <x:row r="75" ht="47" customHeight="1">
      <x:c r="A75" s="4" t="str">
        <x:v>P08</x:v>
      </x:c>
      <x:c r="B75" s="4" t="str">
        <x:v>Observación exigida</x:v>
      </x:c>
      <x:c r="C75" s="4" t="str">
        <x:v>Historia admitida: identidad, Operation, ResultCode y orden. QueryHistory por sí solo no demuestra que su historia sea íntegra.</x:v>
      </x:c>
      <x:c r="D75" s="4" t="str">
        <x:v>T001 §§2.3.2/2.3.4; T010–T011; T004</x:v>
      </x:c>
    </x:row>
    <x:row r="76" ht="47" customHeight="1">
      <x:c r="A76" s="4" t="str">
        <x:v>P08</x:v>
      </x:c>
      <x:c r="B76" s="4" t="str">
        <x:v>Tri 1</x:v>
      </x:c>
      <x:c r="C76" s="4" t="str">
        <x:v>Operación uoUninstallation con orcSucceeded, correctamente vinculada y posterior.</x:v>
      </x:c>
      <x:c r="D76" s="4" t="str">
        <x:v>T001 §§2.3.2/2.3.4; T010–T011; T004</x:v>
      </x:c>
    </x:row>
    <x:row r="77" ht="47" customHeight="1">
      <x:c r="A77" s="4" t="str">
        <x:v>P08</x:v>
      </x:c>
      <x:c r="B77" s="4" t="str">
        <x:v>Tri 0</x:v>
      </x:c>
      <x:c r="C77" s="4" t="str">
        <x:v>Ninguna operación así en historia cuya cobertura del intervalo está acreditada.</x:v>
      </x:c>
      <x:c r="D77" s="4" t="str">
        <x:v>T001 §§2.3.2/2.3.4; T010–T011; T004</x:v>
      </x:c>
    </x:row>
    <x:row r="78" ht="47" customHeight="1">
      <x:c r="A78" s="4" t="str">
        <x:v>P08</x:v>
      </x:c>
      <x:c r="B78" s="4" t="str">
        <x:v>Incertidumbre propia</x:v>
      </x:c>
      <x:c r="C78" s="4" t="str">
        <x:v>Cobertura parcial sin positivo, éxito con errores sin conclusión suficiente sobre retirada, orden incierto o conflicto.</x:v>
      </x:c>
      <x:c r="D78" s="4" t="str">
        <x:v>T001 §§2.3.2/2.3.4; T010–T011; T004</x:v>
      </x:c>
    </x:row>
    <x:row r="79" ht="47" customHeight="1">
      <x:c r="A79" s="4" t="str">
        <x:v>P08</x:v>
      </x:c>
      <x:c r="B79" s="4" t="str">
        <x:v>Uso en OP-CYB-001</x:v>
      </x:c>
      <x:c r="C79" s="4" t="str">
        <x:v>Activar reexamen del cierre frente a una retirada comunicada, conservando diferencia entre resultado comunicado y estado actual.</x:v>
      </x:c>
      <x:c r="D79" s="4" t="str">
        <x:v>T001 §§2.3.2/2.3.4; T010–T011; T004</x:v>
      </x:c>
    </x:row>
    <x:row r="80" ht="47" customHeight="1">
      <x:c r="A80" s="4" t="str">
        <x:v>P08</x:v>
      </x:c>
      <x:c r="B80" s="4" t="str">
        <x:v>Partición examinada</x:v>
      </x:c>
      <x:c r="C80" s="4" t="str">
        <x:v>No se crea un átomo para cada resultado de retirada. La semántica del suceso permanece separada de la integridad de la historia y del estado actual.</x:v>
      </x:c>
      <x:c r="D80" s="4" t="str">
        <x:v>T001 §§2.3.2/2.3.4; T010–T011; T004</x:v>
      </x:c>
    </x:row>
    <x:row r="81" ht="47" customHeight="1">
      <x:c r="A81" s="4" t="str">
        <x:v>P08</x:v>
      </x:c>
      <x:c r="B81" s="4" t="str">
        <x:v>Límite y deuda</x:v>
      </x:c>
      <x:c r="C81" s="4" t="str">
        <x:v>Cubre retirada comunicada, no toda reversión posible de D1. La ausencia del paquete en inventario no prueba esta causa.</x:v>
      </x:c>
      <x:c r="D81" s="4" t="str">
        <x:v>T001 §§2.3.2/2.3.4; T010–T011; T004</x:v>
      </x:c>
    </x:row>
    <x:row r="82" ht="47" customHeight="1">
      <x:c r="A82" s="4" t="str">
        <x:v>P09</x:v>
      </x:c>
      <x:c r="B82" s="4" t="str">
        <x:v>Proposición</x:v>
      </x:c>
      <x:c r="C82" s="4" t="str">
        <x:v>Ocurrió al menos un cambio de identidad binaria del componente desde la comprobación de referencia hasta el corte.</x:v>
      </x:c>
      <x:c r="D82" s="4" t="str">
        <x:v>T001 §§2.2/2.3.4; T008; R025; S018</x:v>
      </x:c>
    </x:row>
    <x:row r="83" ht="47" customHeight="1">
      <x:c r="A83" s="4" t="str">
        <x:v>P09</x:v>
      </x:c>
      <x:c r="B83" s="4" t="str">
        <x:v>Sujeto e identidad</x:v>
      </x:c>
      <x:c r="C83" s="4" t="str">
        <x:v>Activo y componente lógico, referencia verificada, cadena de eventos y criterio de identidad binaria fijados.</x:v>
      </x:c>
      <x:c r="D83" s="4" t="str">
        <x:v>T001 §§2.2/2.3.4; T008; R025; S018</x:v>
      </x:c>
    </x:row>
    <x:row r="84" ht="47" customHeight="1">
      <x:c r="A84" s="4" t="str">
        <x:v>P09</x:v>
      </x:c>
      <x:c r="B84" s="4" t="str">
        <x:v>Horizonte</x:v>
      </x:c>
      <x:c r="C84" s="4" t="str">
        <x:v>Intervalo (comprobación de referencia, corte]. Se conserva el evento aunque después se vuelva a la imagen anterior.</x:v>
      </x:c>
      <x:c r="D84" s="4" t="str">
        <x:v>T001 §§2.2/2.3.4; T008; R025; S018</x:v>
      </x:c>
    </x:row>
    <x:row r="85" ht="47" customHeight="1">
      <x:c r="A85" s="4" t="str">
        <x:v>P09</x:v>
      </x:c>
      <x:c r="B85" s="4" t="str">
        <x:v>Perfil documental</x:v>
      </x:c>
      <x:c r="C85" s="4" t="str">
        <x:v>HISTORIA-CAMBIO-COMPONENTE-0.1</x:v>
      </x:c>
      <x:c r="D85" s="4" t="str">
        <x:v>T001 §§2.2/2.3.4; T008; R025; S018</x:v>
      </x:c>
    </x:row>
    <x:row r="86" ht="47" customHeight="1">
      <x:c r="A86" s="4" t="str">
        <x:v>P09</x:v>
      </x:c>
      <x:c r="B86" s="4" t="str">
        <x:v>Observación exigida</x:v>
      </x:c>
      <x:c r="C86" s="4" t="str">
        <x:v>Testigo de transición entre identidades distintas bajo el mismo método, con orden y enlace al componente; ausencia exige cobertura suficiente.</x:v>
      </x:c>
      <x:c r="D86" s="4" t="str">
        <x:v>T001 §§2.2/2.3.4; T008; R025; S018</x:v>
      </x:c>
    </x:row>
    <x:row r="87" ht="47" customHeight="1">
      <x:c r="A87" s="4" t="str">
        <x:v>P09</x:v>
      </x:c>
      <x:c r="B87" s="4" t="str">
        <x:v>Tri 1</x:v>
      </x:c>
      <x:c r="C87" s="4" t="str">
        <x:v>Transición acreditada; también cambio seguido de retorno a identidad inicial.</x:v>
      </x:c>
      <x:c r="D87" s="4" t="str">
        <x:v>T001 §§2.2/2.3.4; T008; R025; S018</x:v>
      </x:c>
    </x:row>
    <x:row r="88" ht="47" customHeight="1">
      <x:c r="A88" s="4" t="str">
        <x:v>P09</x:v>
      </x:c>
      <x:c r="B88" s="4" t="str">
        <x:v>Tri 0</x:v>
      </x:c>
      <x:c r="C88" s="4" t="str">
        <x:v>Ninguna transición en historia acreditadamente completa.</x:v>
      </x:c>
      <x:c r="D88" s="4" t="str">
        <x:v>T001 §§2.2/2.3.4; T008; R025; S018</x:v>
      </x:c>
    </x:row>
    <x:row r="89" ht="47" customHeight="1">
      <x:c r="A89" s="4" t="str">
        <x:v>P09</x:v>
      </x:c>
      <x:c r="B89" s="4" t="str">
        <x:v>Incertidumbre propia</x:v>
      </x:c>
      <x:c r="C89" s="4" t="str">
        <x:v>Sólo comparación de estados extremos, hueco del registro, identidad binaria insuficiente u orden incierto.</x:v>
      </x:c>
      <x:c r="D89" s="4" t="str">
        <x:v>T001 §§2.2/2.3.4; T008; R025; S018</x:v>
      </x:c>
    </x:row>
    <x:row r="90" ht="47" customHeight="1">
      <x:c r="A90" s="4" t="str">
        <x:v>P09</x:v>
      </x:c>
      <x:c r="B90" s="4" t="str">
        <x:v>Uso en OP-CYB-001</x:v>
      </x:c>
      <x:c r="C90" s="4" t="str">
        <x:v>Conservar el antecedente que obliga a revisar la transportabilidad de una comprobación anterior.</x:v>
      </x:c>
      <x:c r="D90" s="4" t="str">
        <x:v>T001 §§2.2/2.3.4; T008; R025; S018</x:v>
      </x:c>
    </x:row>
    <x:row r="91" ht="47" customHeight="1">
      <x:c r="A91" s="4" t="str">
        <x:v>P09</x:v>
      </x:c>
      <x:c r="B91" s="4" t="str">
        <x:v>Partición examinada</x:v>
      </x:c>
      <x:c r="C91" s="4" t="str">
        <x:v>Se retiró una primera formulación como desigualdad actual frente a referencia: podía duplicar el complemento de P06. La historia de transición aporta función separable.</x:v>
      </x:c>
      <x:c r="D91" s="4" t="str">
        <x:v>T001 §§2.2/2.3.4; T008; R025; S018</x:v>
      </x:c>
    </x:row>
    <x:row r="92" ht="47" customHeight="1">
      <x:c r="A92" s="4" t="str">
        <x:v>P09</x:v>
      </x:c>
      <x:c r="B92" s="4" t="str">
        <x:v>Límite y deuda</x:v>
      </x:c>
      <x:c r="C92" s="4" t="str">
        <x:v>No abarca todo cambio de configuración de D2. Un cambio de catálogo externo conserva su estatuto propio y no modifica Tri automáticamente.</x:v>
      </x:c>
      <x:c r="D92" s="4" t="str">
        <x:v>T001 §§2.2/2.3.4; T008; R025; S018</x:v>
      </x:c>
    </x:row>
    <x:row r="93" ht="47" customHeight="1">
      <x:c r="A93" s="4" t="str">
        <x:v>P10</x:v>
      </x:c>
      <x:c r="B93" s="4" t="str">
        <x:v>Proposición</x:v>
      </x:c>
      <x:c r="C93" s="4" t="str">
        <x:v>Se comunicó la terminación satisfactoria de una restauración cuyo punto de origen fue capturado antes de la instalación evaluada.</x:v>
      </x:c>
      <x:c r="D93" s="4" t="str">
        <x:v>T001 §§2.3.2/2.3.4; R033 IV tema 7; S018</x:v>
      </x:c>
    </x:row>
    <x:row r="94" ht="47" customHeight="1">
      <x:c r="A94" s="4" t="str">
        <x:v>P10</x:v>
      </x:c>
      <x:c r="B94" s="4" t="str">
        <x:v>Sujeto e identidad</x:v>
      </x:c>
      <x:c r="C94" s="4" t="str">
        <x:v>Activo, trabajo de restauración, punto de recuperación, ámbito restaurado e instalación; identidades enlazadas.</x:v>
      </x:c>
      <x:c r="D94" s="4" t="str">
        <x:v>T001 §§2.3.2/2.3.4; R033 IV tema 7; S018</x:v>
      </x:c>
    </x:row>
    <x:row r="95" ht="47" customHeight="1">
      <x:c r="A95" s="4" t="str">
        <x:v>P10</x:v>
      </x:c>
      <x:c r="B95" s="4" t="str">
        <x:v>Horizonte</x:v>
      </x:c>
      <x:c r="C95" s="4" t="str">
        <x:v>Restauración posterior al fin de instalación y no posterior al corte; punto de recuperación anterior al inicio de instalación.</x:v>
      </x:c>
      <x:c r="D95" s="4" t="str">
        <x:v>T001 §§2.3.2/2.3.4; R033 IV tema 7; S018</x:v>
      </x:c>
    </x:row>
    <x:row r="96" ht="47" customHeight="1">
      <x:c r="A96" s="4" t="str">
        <x:v>P10</x:v>
      </x:c>
      <x:c r="B96" s="4" t="str">
        <x:v>Perfil documental</x:v>
      </x:c>
      <x:c r="C96" s="4" t="str">
        <x:v>HISTORIA-RESTAURACION-PREVIA-0.1</x:v>
      </x:c>
      <x:c r="D96" s="4" t="str">
        <x:v>T001 §§2.3.2/2.3.4; R033 IV tema 7; S018</x:v>
      </x:c>
    </x:row>
    <x:row r="97" ht="47" customHeight="1">
      <x:c r="A97" s="4" t="str">
        <x:v>P10</x:v>
      </x:c>
      <x:c r="B97" s="4" t="str">
        <x:v>Observación exigida</x:v>
      </x:c>
      <x:c r="C97" s="4" t="str">
        <x:v>Registro del trabajo y manifiesto del punto recuperado, con éxito, ámbito y orden acreditados. El nombre «backup antiguo» no prueba el orden.</x:v>
      </x:c>
      <x:c r="D97" s="4" t="str">
        <x:v>T001 §§2.3.2/2.3.4; R033 IV tema 7; S018</x:v>
      </x:c>
    </x:row>
    <x:row r="98" ht="47" customHeight="1">
      <x:c r="A98" s="4" t="str">
        <x:v>P10</x:v>
      </x:c>
      <x:c r="B98" s="4" t="str">
        <x:v>Tri 1</x:v>
      </x:c>
      <x:c r="C98" s="4" t="str">
        <x:v>Trabajo satisfactorio referido a punto anterior y completado en el intervalo.</x:v>
      </x:c>
      <x:c r="D98" s="4" t="str">
        <x:v>T001 §§2.3.2/2.3.4; R033 IV tema 7; S018</x:v>
      </x:c>
    </x:row>
    <x:row r="99" ht="47" customHeight="1">
      <x:c r="A99" s="4" t="str">
        <x:v>P10</x:v>
      </x:c>
      <x:c r="B99" s="4" t="str">
        <x:v>Tri 0</x:v>
      </x:c>
      <x:c r="C99" s="4" t="str">
        <x:v>Ningún trabajo que cumpla la proposición en registro de cobertura suficiente.</x:v>
      </x:c>
      <x:c r="D99" s="4" t="str">
        <x:v>T001 §§2.3.2/2.3.4; R033 IV tema 7; S018</x:v>
      </x:c>
    </x:row>
    <x:row r="100" ht="47" customHeight="1">
      <x:c r="A100" s="4" t="str">
        <x:v>P10</x:v>
      </x:c>
      <x:c r="B100" s="4" t="str">
        <x:v>Incertidumbre propia</x:v>
      </x:c>
      <x:c r="C100" s="4" t="str">
        <x:v>Fecha/origen del punto no acreditado, cobertura parcial, orden incierto o conflicto.</x:v>
      </x:c>
      <x:c r="D100" s="4" t="str">
        <x:v>T001 §§2.3.2/2.3.4; R033 IV tema 7; S018</x:v>
      </x:c>
    </x:row>
    <x:row r="101" ht="47" customHeight="1">
      <x:c r="A101" s="4" t="str">
        <x:v>P10</x:v>
      </x:c>
      <x:c r="B101" s="4" t="str">
        <x:v>Uso en OP-CYB-001</x:v>
      </x:c>
      <x:c r="C101" s="4" t="str">
        <x:v>Exigir revisión del alcance de evidencia que pueda haber sido sustituido por recuperación de estado previo.</x:v>
      </x:c>
      <x:c r="D101" s="4" t="str">
        <x:v>T001 §§2.3.2/2.3.4; R033 IV tema 7; S018</x:v>
      </x:c>
    </x:row>
    <x:row r="102" ht="47" customHeight="1">
      <x:c r="A102" s="4" t="str">
        <x:v>P10</x:v>
      </x:c>
      <x:c r="B102" s="4" t="str">
        <x:v>Partición examinada</x:v>
      </x:c>
      <x:c r="C102" s="4" t="str">
        <x:v>Origen y destino fijan qué suceso se pregunta; no se agrupan su éxito comunicado, integridad efectiva y aptitud de la recuperación. Sólo el primero se adjudica.</x:v>
      </x:c>
      <x:c r="D102" s="4" t="str">
        <x:v>T001 §§2.3.2/2.3.4; R033 IV tema 7; S018</x:v>
      </x:c>
    </x:row>
    <x:row r="103" ht="47" customHeight="1">
      <x:c r="A103" s="4" t="str">
        <x:v>P10</x:v>
      </x:c>
      <x:c r="B103" s="4" t="str">
        <x:v>Límite y deuda</x:v>
      </x:c>
      <x:c r="C103" s="4" t="str">
        <x:v>No acredita integridad del backup, disponibilidad del servicio o ausencia de compromiso. Esas consecuencias necesitan otras preguntas.</x:v>
      </x:c>
      <x:c r="D103" s="4" t="str">
        <x:v>T001 §§2.3.2/2.3.4; R033 IV tema 7; S018</x:v>
      </x:c>
    </x:row>
  </x:sheetData>
  <x:mergeCells>
    <x:mergeCell ref="A1:D1"/>
    <x:mergeCell ref="A2:D2"/>
  </x:mergeCells>
  <x:pageMargins left="0.7" right="0.7" top="0.75" bottom="0.75" header="0.3" footer="0.3"/>
  <x:tableParts count="1">
    <x:tablePart xmlns:r="http://schemas.openxmlformats.org/officeDocument/2006/relationships" r:id="Rc2b102f9035c45ed"/>
  </x:tableParts>
</x:worksheet>
</file>

<file path=xl/worksheets/sheet49.xml><?xml version="1.0" encoding="utf-8"?>
<x:worksheet xmlns:x="http://schemas.openxmlformats.org/spreadsheetml/2006/main">
  <x:sheetViews>
    <x:sheetView showGridLines="0" workbookViewId="0"/>
  </x:sheetViews>
  <x:sheetFormatPr defaultRowHeight="15"/>
  <x:cols>
    <x:col min="1" max="1" width="24" hidden="0" customWidth="1"/>
    <x:col min="2" max="2" width="12" hidden="0" customWidth="1"/>
    <x:col min="3" max="3" width="94" hidden="0" customWidth="1"/>
    <x:col min="4" max="4" width="93" hidden="0" customWidth="1"/>
    <x:col min="5" max="5" width="81" hidden="0" customWidth="1"/>
    <x:col min="6" max="6" width="106" hidden="0" customWidth="1"/>
    <x:col min="7" max="7" width="50" hidden="0" customWidth="1"/>
  </x:cols>
  <x:sheetData>
    <x:row r="1" ht="35" customHeight="1">
      <x:c r="A1" s="6" t="str">
        <x:v>CONSECUENCIAS · conocimiento omitido y consejo</x:v>
      </x:c>
      <x:c r="B1" s="6"/>
      <x:c r="C1" s="6"/>
      <x:c r="D1" s="6"/>
      <x:c r="E1" s="6"/>
      <x:c r="F1" s="6"/>
      <x:c r="G1" s="6"/>
    </x:row>
    <x:row r="2" ht="52" customHeight="1">
      <x:c r="A2" s="8" t="str">
        <x:v>Cadenas documentales y perjuicios potenciales condicionados. No son daños reales ni rutas críticas SV constituidas.</x:v>
      </x:c>
      <x:c r="B2" s="8"/>
      <x:c r="C2" s="8"/>
      <x:c r="D2" s="8"/>
      <x:c r="E2" s="8"/>
      <x:c r="F2" s="8"/>
      <x:c r="G2" s="8"/>
    </x:row>
    <x:row r="3">
      <x:c r="A3" s="4"/>
      <x:c r="B3" s="4"/>
      <x:c r="C3" s="4"/>
      <x:c r="D3" s="4"/>
      <x:c r="E3" s="4"/>
      <x:c r="F3" s="4"/>
      <x:c r="G3" s="4"/>
    </x:row>
    <x:row r="4" ht="42" customHeight="1">
      <x:c r="A4" s="10" t="str">
        <x:v>Consecuencia</x:v>
      </x:c>
      <x:c r="B4" s="10" t="str">
        <x:v>Parámetro</x:v>
      </x:c>
      <x:c r="C4" s="10" t="str">
        <x:v>Conocimiento que debe enlazarse</x:v>
      </x:c>
      <x:c r="D4" s="10" t="str">
        <x:v>Error o exceso</x:v>
      </x:c>
      <x:c r="E4" s="10" t="str">
        <x:v>Función alterada</x:v>
      </x:c>
      <x:c r="F4" s="10" t="str">
        <x:v>Condición y límite</x:v>
      </x:c>
      <x:c r="G4" s="10" t="str">
        <x:v>Fuente</x:v>
      </x:c>
    </x:row>
    <x:row r="5" ht="47" customHeight="1">
      <x:c r="A5" s="4" t="str">
        <x:v>CON-CYB-02-OM</x:v>
      </x:c>
      <x:c r="B5" s="4" t="str">
        <x:v>P02</x:v>
      </x:c>
      <x:c r="C5" s="4" t="str">
        <x:v>La operación individual de instalación identificada comunicó terminación satisfactoria sin el calificador de errores del emisor.</x:v>
      </x:c>
      <x:c r="D5" s="4" t="str">
        <x:v>Omitir estado final o normalizar éxito con errores como éxito pleno hace parecer completada una fase no acreditada.</x:v>
      </x:c>
      <x:c r="E5" s="4" t="str">
        <x:v>Separar el resultado profesional comunicado de completitud, efecto y fallo del observador.</x:v>
      </x:c>
      <x:c r="F5" s="4" t="str">
        <x:v>Persistencia potencial sólo si la corrección dependía de lo que falló; no se deduce ausencia total de instalación ni explotación.</x:v>
      </x:c>
      <x:c r="G5" s="4" t="str">
        <x:v>T004 Constants; T005; T006; R025</x:v>
      </x:c>
    </x:row>
    <x:row r="6" ht="47" customHeight="1">
      <x:c r="A6" s="4" t="str">
        <x:v>CON-CYB-03-OM</x:v>
      </x:c>
      <x:c r="B6" s="4" t="str">
        <x:v>P03</x:v>
      </x:c>
      <x:c r="C6" s="4" t="str">
        <x:v>Se completó al menos un reinicio íntegro del sistema anfitrión después del resultado de instalación y no después del corte.</x:v>
      </x:c>
      <x:c r="D6" s="4" t="str">
        <x:v>Equiparar apagado/encendido híbrido con reinicio completo puede dar por satisfecha una condición pendiente.</x:v>
      </x:c>
      <x:c r="E6" s="4" t="str">
        <x:v>Aportar satisfacción de la condición de reinicio del sistema, sin reescribir el requisito histórico.</x:v>
      </x:c>
      <x:c r="F6" s="4" t="str">
        <x:v>Sólo afecta al cierre si esa instalación necesitaba dicho reinicio; ni el reinicio completo garantiza la corrección.</x:v>
      </x:c>
      <x:c r="G6" s="4" t="str">
        <x:v>T001 §2.3.2; T007 Summary/More information; R025</x:v>
      </x:c>
    </x:row>
    <x:row r="7" ht="47" customHeight="1">
      <x:c r="A7" s="4" t="str">
        <x:v>CON-CYB-04-OM</x:v>
      </x:c>
      <x:c r="B7" s="4" t="str">
        <x:v>P04</x:v>
      </x:c>
      <x:c r="C7" s="4" t="str">
        <x:v>La instrucción específica admitida para completar esta instalación exigía reiniciar el software identificado.</x:v>
      </x:c>
      <x:c r="D7" s="4" t="str">
        <x:v>Leer sólo P01=0 puede ocultar que un software requiere reinicio para liberar/cambiar recursos de ejecución.</x:v>
      </x:c>
      <x:c r="E7" s="4" t="str">
        <x:v>Conservar una obligación relativa al software, independiente del reinicio del sistema.</x:v>
      </x:c>
      <x:c r="F7" s="4" t="str">
        <x:v>Una corrección puede seguir incompleta si depende de ese cambio; la fuente concreta debe establecer la dependencia. No todo software exige reinicio.</x:v>
      </x:c>
      <x:c r="G7" s="4" t="str">
        <x:v>T001 §2.3.2; T009 cuerpo técnico; R025</x:v>
      </x:c>
    </x:row>
    <x:row r="8" ht="47" customHeight="1">
      <x:c r="A8" s="4" t="str">
        <x:v>CON-CYB-05-OM</x:v>
      </x:c>
      <x:c r="B8" s="4" t="str">
        <x:v>P05</x:v>
      </x:c>
      <x:c r="C8" s="4" t="str">
        <x:v>Terminó la ejecución de la generación de proceso identificada después del ancla de instalación y no después del corte.</x:v>
      </x:c>
      <x:c r="D8" s="4" t="str">
        <x:v>Tomar la creación de otra instancia como cierre de la anterior puede dejar ejecución antigua concurrente ignorada.</x:v>
      </x:c>
      <x:c r="E8" s="4" t="str">
        <x:v>Conservar que la ejecución previa dejó de mantener sus recursos; no equipararlo con nuevo proceso operativo.</x:v>
      </x:c>
      <x:c r="F8" s="4" t="str">
        <x:v>Relevancia cuando la condición de completitud exige liberar aquella ejecución; no se afirma que todos los recursos compartidos hayan quedado libres.</x:v>
      </x:c>
      <x:c r="G8" s="4" t="str">
        <x:v>T009 cuerpo técnico; T008 loaded-module list; R025 IV tema 4</x:v>
      </x:c>
    </x:row>
    <x:row r="9" ht="47" customHeight="1">
      <x:c r="A9" s="4" t="str">
        <x:v>CON-CYB-06-OM</x:v>
      </x:c>
      <x:c r="B9" s="4" t="str">
        <x:v>P06</x:v>
      </x:c>
      <x:c r="C9" s="4" t="str">
        <x:v>La imagen del componente cargada en la instancia evaluada al corte coincide con la imagen objetivo previamente fijada.</x:v>
      </x:c>
      <x:c r="D9" s="4" t="str">
        <x:v>Atribuir al proceso la imagen encontrada en disco o por nombre puede ocultar otra DLL resuelta/cargada.</x:v>
      </x:c>
      <x:c r="E9" s="4" t="str">
        <x:v>Separar distribución en disco de qué código está activo en la instancia examinada.</x:v>
      </x:c>
      <x:c r="F9" s="4" t="str">
        <x:v>Persistencia potencial sólo si la imagen activa conserva el defecto relevante. Una imagen distinta puede ser otra corrección válida; no se decide aquí.</x:v>
      </x:c>
      <x:c r="G9" s="4" t="str">
        <x:v>T001 §2.3.3; T008; T012–T013; R025 IV temas 4/5/6</x:v>
      </x:c>
    </x:row>
    <x:row r="10" ht="47" customHeight="1">
      <x:c r="A10" s="4" t="str">
        <x:v>CON-CYB-07-OM</x:v>
      </x:c>
      <x:c r="B10" s="4" t="str">
        <x:v>P07</x:v>
      </x:c>
      <x:c r="C10" s="4" t="str">
        <x:v>La comprobación individual identificada satisfizo el único criterio de aceptación previamente fijado para ella.</x:v>
      </x:c>
      <x:c r="D10" s="4" t="str">
        <x:v>Cerrar desde la presencia del paquete o imagen prescindiendo del contraste puede atribuir un efecto no probado.</x:v>
      </x:c>
      <x:c r="E10" s="4" t="str">
        <x:v>Conservar el resultado de una comprobación sin convertirlo en cierre global o ausencia universal de vulnerabilidades.</x:v>
      </x:c>
      <x:c r="F10" s="4" t="str">
        <x:v>El criterio debe ser pertinente y sensible al defecto que pretende observar. Positivo no demuestra por sí solo aptitud de todo OP-CYB-001.</x:v>
      </x:c>
      <x:c r="G10" s="4" t="str">
        <x:v>T001 §2.3.3; R025; R035</x:v>
      </x:c>
    </x:row>
    <x:row r="11" ht="47" customHeight="1">
      <x:c r="A11" s="4" t="str">
        <x:v>CON-CYB-08-OM</x:v>
      </x:c>
      <x:c r="B11" s="4" t="str">
        <x:v>P08</x:v>
      </x:c>
      <x:c r="C11" s="4" t="str">
        <x:v>Existe después de la instalación y hasta el corte una operación de retirada de esa actualización que comunica éxito.</x:v>
      </x:c>
      <x:c r="D11" s="4" t="str">
        <x:v>Reutilizar el éxito de instalación sin mirar retiradas posteriores puede mantener evidencia superada.</x:v>
      </x:c>
      <x:c r="E11" s="4" t="str">
        <x:v>Activar reexamen del cierre frente a una retirada comunicada, conservando diferencia entre resultado comunicado y estado actual.</x:v>
      </x:c>
      <x:c r="F11" s="4" t="str">
        <x:v>Puede reintroducirse el defecto si se retiró lo que lo corregía y no existe corrección alternativa; la retirada comunicada no prueba ese daño.</x:v>
      </x:c>
      <x:c r="G11" s="4" t="str">
        <x:v>T001 §§2.3.2/2.3.4; T010–T011; T004</x:v>
      </x:c>
    </x:row>
    <x:row r="12" ht="47" customHeight="1">
      <x:c r="A12" s="4" t="str">
        <x:v>CON-CYB-09-OM</x:v>
      </x:c>
      <x:c r="B12" s="4" t="str">
        <x:v>P09</x:v>
      </x:c>
      <x:c r="C12" s="4" t="str">
        <x:v>Ocurrió al menos un cambio de identidad binaria del componente desde la comprobación de referencia hasta el corte.</x:v>
      </x:c>
      <x:c r="D12" s="4" t="str">
        <x:v>Comparar sólo versiones finales puede ocultar cambios y retornos que afecten a la evidencia intermedia.</x:v>
      </x:c>
      <x:c r="E12" s="4" t="str">
        <x:v>Conservar el antecedente que obliga a revisar la transportabilidad de una comprobación anterior.</x:v>
      </x:c>
      <x:c r="F12" s="4" t="str">
        <x:v>El cambio puede invalidar la inferencia desde la prueba anterior; no demuestra por sí mismo nueva vulnerabilidad ni fallo del componente.</x:v>
      </x:c>
      <x:c r="G12" s="4" t="str">
        <x:v>T001 §§2.2/2.3.4; T008; R025; S018</x:v>
      </x:c>
    </x:row>
    <x:row r="13" ht="47" customHeight="1">
      <x:c r="A13" s="4" t="str">
        <x:v>CON-CYB-10-OM</x:v>
      </x:c>
      <x:c r="B13" s="4" t="str">
        <x:v>P10</x:v>
      </x:c>
      <x:c r="C13" s="4" t="str">
        <x:v>Se comunicó la terminación satisfactoria de una restauración cuyo punto de origen fue capturado antes de la instalación evaluada.</x:v>
      </x:c>
      <x:c r="D13" s="4" t="str">
        <x:v>Suponer continuidad desde la instalación ignorando una restauración puede mantener un cierre sobre un estado que ya no corresponde.</x:v>
      </x:c>
      <x:c r="E13" s="4" t="str">
        <x:v>Exigir revisión del alcance de evidencia que pueda haber sido sustituido por recuperación de estado previo.</x:v>
      </x:c>
      <x:c r="F13" s="4" t="str">
        <x:v>El defecto puede reaparecer si el ámbito restaurado repuso estado vulnerable. Punto anterior no significa necesariamente vulnerable ni restauración total.</x:v>
      </x:c>
      <x:c r="G13" s="4" t="str">
        <x:v>T001 §§2.3.2/2.3.4; R033 IV tema 7; S018</x:v>
      </x:c>
    </x:row>
    <x:row r="14" ht="47" customHeight="1">
      <x:c r="A14" s="4" t="str">
        <x:v>CON-CYB-02-EX</x:v>
      </x:c>
      <x:c r="B14" s="4" t="str">
        <x:v>P02</x:v>
      </x:c>
      <x:c r="C14" s="4" t="str">
        <x:v>La operación individual de instalación identificada comunicó terminación satisfactoria sin el calificador de errores del emisor.</x:v>
      </x:c>
      <x:c r="D14" s="4" t="str">
        <x:v>Tratar el fallo de instalación como caída del sistema SV borra un hecho útil para el experto.</x:v>
      </x:c>
      <x:c r="E14" s="4" t="str">
        <x:v>No convertir observación parcial en permiso, daño probado o cierre global.</x:v>
      </x:c>
      <x:c r="F14" s="4" t="str">
        <x:v>No acredita que el parche haya tomado efecto. El perfil P01 sigue exigiendo orcSucceeded y no se amplía.</x:v>
      </x:c>
      <x:c r="G14" s="4" t="str">
        <x:v>T004 Constants; T005; T006; R025</x:v>
      </x:c>
    </x:row>
    <x:row r="15" ht="47" customHeight="1">
      <x:c r="A15" s="4" t="str">
        <x:v>CON-CYB-03-EX</x:v>
      </x:c>
      <x:c r="B15" s="4" t="str">
        <x:v>P03</x:v>
      </x:c>
      <x:c r="C15" s="4" t="str">
        <x:v>Se completó al menos un reinicio íntegro del sistema anfitrión después del resultado de instalación y no después del corte.</x:v>
      </x:c>
      <x:c r="D15" s="4" t="str">
        <x:v>Omitir un reinicio ya realizado puede inducir repetición e interrupción evitables, según servicio y ventana.</x:v>
      </x:c>
      <x:c r="E15" s="4" t="str">
        <x:v>No convertir observación parcial en permiso, daño probado o cierre global.</x:v>
      </x:c>
      <x:c r="F15" s="4" t="str">
        <x:v>Fast Startup es contraejemplo Windows 10, no regla universal de toda plataforma. Reinicio solicitado, comienzo del arranque o uptime aislado no bastan.</x:v>
      </x:c>
      <x:c r="G15" s="4" t="str">
        <x:v>T001 §2.3.2; T007 Summary/More information; R025</x:v>
      </x:c>
    </x:row>
    <x:row r="16" ht="47" customHeight="1">
      <x:c r="A16" s="4" t="str">
        <x:v>CON-CYB-04-EX</x:v>
      </x:c>
      <x:c r="B16" s="4" t="str">
        <x:v>P04</x:v>
      </x:c>
      <x:c r="C16" s="4" t="str">
        <x:v>La instrucción específica admitida para completar esta instalación exigía reiniciar el software identificado.</x:v>
      </x:c>
      <x:c r="D16" s="4" t="str">
        <x:v>Convertir cualquier archivo en uso en mandato de reinicio inventa obligación e impacto.</x:v>
      </x:c>
      <x:c r="E16" s="4" t="str">
        <x:v>No convertir observación parcial en permiso, daño probado o cierre global.</x:v>
      </x:c>
      <x:c r="F16" s="4" t="str">
        <x:v>Sólo cubre este predicado de D3. Redespliegue/configuración y múltiples softwares permanecen pendientes; no se contabilizan como cubiertos.</x:v>
      </x:c>
      <x:c r="G16" s="4" t="str">
        <x:v>T001 §2.3.2; T009 cuerpo técnico; R025</x:v>
      </x:c>
    </x:row>
    <x:row r="17" ht="47" customHeight="1">
      <x:c r="A17" s="4" t="str">
        <x:v>CON-CYB-05-EX</x:v>
      </x:c>
      <x:c r="B17" s="4" t="str">
        <x:v>P05</x:v>
      </x:c>
      <x:c r="C17" s="4" t="str">
        <x:v>Terminó la ejecución de la generación de proceso identificada después del ancla de instalación y no después del corte.</x:v>
      </x:c>
      <x:c r="D17" s="4" t="str">
        <x:v>Repetir una terminación ya acreditada o actuar sobre un PID reutilizado puede afectar a otra ejecución.</x:v>
      </x:c>
      <x:c r="E17" s="4" t="str">
        <x:v>No convertir observación parcial en permiso, daño probado o cierre global.</x:v>
      </x:c>
      <x:c r="F17" s="4" t="str">
        <x:v>No satisface por sí solo P04. Reinicio íntegro, todas las instancias, redeploy y configuración continúan pendientes en D4.</x:v>
      </x:c>
      <x:c r="G17" s="4" t="str">
        <x:v>T009 cuerpo técnico; T008 loaded-module list; R025 IV tema 4</x:v>
      </x:c>
    </x:row>
    <x:row r="18" ht="60" customHeight="1">
      <x:c r="A18" s="4" t="str">
        <x:v>CON-CYB-06-EX</x:v>
      </x:c>
      <x:c r="B18" s="4" t="str">
        <x:v>P06</x:v>
      </x:c>
      <x:c r="C18" s="4" t="str">
        <x:v>La imagen del componente cargada en la instancia evaluada al corte coincide con la imagen objetivo previamente fijada.</x:v>
      </x:c>
      <x:c r="D18" s="4" t="str">
        <x:v>Tratar toda diferencia como vulnerabilidad probada puede provocar cambio o indisponibilidad innecesarios.</x:v>
      </x:c>
      <x:c r="E18" s="4" t="str">
        <x:v>No convertir observación parcial en permiso, daño probado o cierre global.</x:v>
      </x:c>
      <x:c r="F18" s="4" t="str">
        <x:v>MODULEINFO no entrega huella del código. No se define hash ingenuo de memoria (ASLR, relocaciones o modificaciones). El método productivo de identidad/captura sigue pendiente; aquí se ensaya el contrato sobre identidades documentales sintéticas.</x:v>
      </x:c>
      <x:c r="G18" s="4" t="str">
        <x:v>T001 §2.3.3; T008; T012–T013; R025 IV temas 4/5/6</x:v>
      </x:c>
    </x:row>
    <x:row r="19" ht="47" customHeight="1">
      <x:c r="A19" s="4" t="str">
        <x:v>CON-CYB-07-EX</x:v>
      </x:c>
      <x:c r="B19" s="4" t="str">
        <x:v>P07</x:v>
      </x:c>
      <x:c r="C19" s="4" t="str">
        <x:v>La comprobación individual identificada satisfizo el único criterio de aceptación previamente fijado para ella.</x:v>
      </x:c>
      <x:c r="D19" s="4" t="str">
        <x:v>Confundir prueba no ejecutable con resultado negativo inventa un fallo de corrección; ignorar alcance produce confianza excesiva.</x:v>
      </x:c>
      <x:c r="E19" s="4" t="str">
        <x:v>No convertir observación parcial en permiso, daño probado o cierre global.</x:v>
      </x:c>
      <x:c r="F19" s="4" t="str">
        <x:v>La unidad no ha fijado un oráculo de explotación real ni ejecutado pruebas sobre activos. Valida el contrato documental del resultado, no la sensibilidad operacional del futuro criterio.</x:v>
      </x:c>
      <x:c r="G19" s="4" t="str">
        <x:v>T001 §2.3.3; R025; R035</x:v>
      </x:c>
    </x:row>
    <x:row r="20" ht="47" customHeight="1">
      <x:c r="A20" s="4" t="str">
        <x:v>CON-CYB-08-EX</x:v>
      </x:c>
      <x:c r="B20" s="4" t="str">
        <x:v>P08</x:v>
      </x:c>
      <x:c r="C20" s="4" t="str">
        <x:v>Existe después de la instalación y hasta el corte una operación de retirada de esa actualización que comunica éxito.</x:v>
      </x:c>
      <x:c r="D20" s="4" t="str">
        <x:v>Tratar una retirada fallida o antigua como retirada posterior exitosa inventa pérdida de corrección.</x:v>
      </x:c>
      <x:c r="E20" s="4" t="str">
        <x:v>No convertir observación parcial en permiso, daño probado o cierre global.</x:v>
      </x:c>
      <x:c r="F20" s="4" t="str">
        <x:v>Cubre retirada comunicada, no toda reversión posible de D1. La ausencia del paquete en inventario no prueba esta causa.</x:v>
      </x:c>
      <x:c r="G20" s="4" t="str">
        <x:v>T001 §§2.3.2/2.3.4; T010–T011; T004</x:v>
      </x:c>
    </x:row>
    <x:row r="21" ht="47" customHeight="1">
      <x:c r="A21" s="4" t="str">
        <x:v>CON-CYB-09-EX</x:v>
      </x:c>
      <x:c r="B21" s="4" t="str">
        <x:v>P09</x:v>
      </x:c>
      <x:c r="C21" s="4" t="str">
        <x:v>Ocurrió al menos un cambio de identidad binaria del componente desde la comprobación de referencia hasta el corte.</x:v>
      </x:c>
      <x:c r="D21" s="4" t="str">
        <x:v>Cambio de etiqueta de catálogo sin cambio binario no se convierte en evento de este parámetro.</x:v>
      </x:c>
      <x:c r="E21" s="4" t="str">
        <x:v>No convertir observación parcial en permiso, daño probado o cierre global.</x:v>
      </x:c>
      <x:c r="F21" s="4" t="str">
        <x:v>No abarca todo cambio de configuración de D2. Un cambio de catálogo externo conserva su estatuto propio y no modifica Tri automáticamente.</x:v>
      </x:c>
      <x:c r="G21" s="4" t="str">
        <x:v>T001 §§2.2/2.3.4; T008; R025; S018</x:v>
      </x:c>
    </x:row>
    <x:row r="22" ht="47" customHeight="1">
      <x:c r="A22" s="4" t="str">
        <x:v>CON-CYB-10-EX</x:v>
      </x:c>
      <x:c r="B22" s="4" t="str">
        <x:v>P10</x:v>
      </x:c>
      <x:c r="C22" s="4" t="str">
        <x:v>Se comunicó la terminación satisfactoria de una restauración cuyo punto de origen fue capturado antes de la instalación evaluada.</x:v>
      </x:c>
      <x:c r="D22" s="4" t="str">
        <x:v>Tratar cualquier restauración como pérdida probada del parche obliga a una corrección que puede no ser necesaria.</x:v>
      </x:c>
      <x:c r="E22" s="4" t="str">
        <x:v>No convertir observación parcial en permiso, daño probado o cierre global.</x:v>
      </x:c>
      <x:c r="F22" s="4" t="str">
        <x:v>No acredita integridad del backup, disponibilidad del servicio o ausencia de compromiso. Esas consecuencias necesitan otras preguntas.</x:v>
      </x:c>
      <x:c r="G22" s="4" t="str">
        <x:v>T001 §§2.3.2/2.3.4; R033 IV tema 7; S018</x:v>
      </x:c>
    </x:row>
  </x:sheetData>
  <x:mergeCells>
    <x:mergeCell ref="A1:D1"/>
    <x:mergeCell ref="A2:F2"/>
  </x:mergeCells>
  <x:pageMargins left="0.7" right="0.7" top="0.75" bottom="0.75" header="0.3" footer="0.3"/>
  <x:tableParts count="1">
    <x:tablePart xmlns:r="http://schemas.openxmlformats.org/officeDocument/2006/relationships" r:id="Rc8c26e9f61974726"/>
  </x:tableParts>
</x:worksheet>
</file>

<file path=xl/worksheets/sheet50.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143" hidden="0" customWidth="1"/>
    <x:col min="4" max="4" width="40" hidden="0" customWidth="1"/>
  </x:cols>
  <x:sheetData>
    <x:row r="1" ht="35" customHeight="1">
      <x:c r="A1" s="6" t="str">
        <x:v>NA0 · nueve adjudicaciones</x:v>
      </x:c>
      <x:c r="B1" s="6"/>
      <x:c r="C1" s="6"/>
      <x:c r="D1" s="6"/>
    </x:row>
    <x:row r="2" ht="52" customHeight="1">
      <x:c r="A2" s="8" t="str">
        <x:v>Diez criterios por candidato. No se confunde incertidumbre observacional con defecto técnico; las ablaciones comparan proyecciones declaradas.</x:v>
      </x:c>
      <x:c r="B2" s="8"/>
      <x:c r="C2" s="8"/>
      <x:c r="D2" s="8"/>
    </x:row>
    <x:row r="3">
      <x:c r="A3" s="4"/>
      <x:c r="B3" s="4"/>
      <x:c r="C3" s="4"/>
      <x:c r="D3" s="4"/>
    </x:row>
    <x:row r="4" ht="42" customHeight="1">
      <x:c r="A4" s="10" t="str">
        <x:v>Parámetro</x:v>
      </x:c>
      <x:c r="B4" s="10" t="str">
        <x:v>Criterio</x:v>
      </x:c>
      <x:c r="C4" s="10" t="str">
        <x:v>Prueba / razón delimitada</x:v>
      </x:c>
      <x:c r="D4" s="10" t="str">
        <x:v>Resultado</x:v>
      </x:c>
    </x:row>
    <x:row r="5" ht="47" customHeight="1">
      <x:c r="A5" s="4" t="str">
        <x:v>P02</x:v>
      </x:c>
      <x:c r="B5" s="4" t="str">
        <x:v>Identidad</x:v>
      </x:c>
      <x:c r="C5" s="4" t="str">
        <x:v>Activo, actualización/revisión e intento individual de instalación; correspondencia índice–colección original.</x:v>
      </x:c>
      <x:c r="D5" s="4" t="str">
        <x:v>PASA_EN_EL_PERFIL_DECLARADO</x:v>
      </x:c>
    </x:row>
    <x:row r="6" ht="47" customHeight="1">
      <x:c r="A6" s="4" t="str">
        <x:v>P02</x:v>
      </x:c>
      <x:c r="B6" s="4" t="str">
        <x:v>Estado único</x:v>
      </x:c>
      <x:c r="C6" s="4" t="str">
        <x:v>La operación individual de instalación identificada comunicó terminación satisfactoria sin el calificador de errores del emisor.</x:v>
      </x:c>
      <x:c r="D6" s="4" t="str">
        <x:v>PASA_EN_EL_PERFIL_DECLARADO</x:v>
      </x:c>
    </x:row>
    <x:row r="7" ht="47" customHeight="1">
      <x:c r="A7" s="4" t="str">
        <x:v>P02</x:v>
      </x:c>
      <x:c r="B7" s="4" t="str">
        <x:v>U propia</x:v>
      </x:c>
      <x:c r="C7" s="4" t="str">
        <x:v>Resultado ausente o conflicto de resultados terminales admitidos. NotStarted/InProgress quedan fuera del perfil terminal.</x:v>
      </x:c>
      <x:c r="D7" s="4" t="str">
        <x:v>PASA_EN_EL_PERFIL_DECLARADO</x:v>
      </x:c>
    </x:row>
    <x:row r="8" ht="47" customHeight="1">
      <x:c r="A8" s="4" t="str">
        <x:v>P02</x:v>
      </x:c>
      <x:c r="B8" s="4" t="str">
        <x:v>Consecuencia separable</x:v>
      </x:c>
      <x:c r="C8" s="4" t="str">
        <x:v>Omitir estado final o normalizar éxito con errores como éxito pleno hace parecer completada una fase no acreditada.</x:v>
      </x:c>
      <x:c r="D8" s="4" t="str">
        <x:v>PASA_EN_EL_PERFIL_DECLARADO</x:v>
      </x:c>
    </x:row>
    <x:row r="9" ht="47" customHeight="1">
      <x:c r="A9" s="4" t="str">
        <x:v>P02</x:v>
      </x:c>
      <x:c r="B9" s="4" t="str">
        <x:v>Función separable</x:v>
      </x:c>
      <x:c r="C9" s="4" t="str">
        <x:v>Separar el resultado profesional comunicado de completitud, efecto y fallo del observador.</x:v>
      </x:c>
      <x:c r="D9" s="4" t="str">
        <x:v>PASA_EN_EL_PERFIL_DECLARADO</x:v>
      </x:c>
    </x:row>
    <x:row r="10" ht="47" customHeight="1">
      <x:c r="A10" s="4" t="str">
        <x:v>P02</x:v>
      </x:c>
      <x:c r="B10" s="4" t="str">
        <x:v>Variación independiente</x:v>
      </x:c>
      <x:c r="C10" s="4" t="str">
        <x:v>Puede variar el resultado de un intento con igual necesidad de cierre y mismo estado activo aportado por un intento previo. No se mantiene artificialmente admitido P01 cuando falta orcSucceeded.</x:v>
      </x:c>
      <x:c r="D10" s="4" t="str">
        <x:v>PASA_EN_EL_PERFIL_DECLARADO</x:v>
      </x:c>
    </x:row>
    <x:row r="11" ht="47" customHeight="1">
      <x:c r="A11" s="4" t="str">
        <x:v>P02</x:v>
      </x:c>
      <x:c r="B11" s="4" t="str">
        <x:v>Partición material</x:v>
      </x:c>
      <x:c r="C11" s="4" t="str">
        <x:v>No crear tres átomos uno-por-enum. El observable completo conserva errores; el uso pide exactamente éxito comunicado sin ese calificador.</x:v>
      </x:c>
      <x:c r="D11" s="4" t="str">
        <x:v>PASA_EN_EL_PERFIL_DECLARADO</x:v>
      </x:c>
    </x:row>
    <x:row r="12" ht="47" customHeight="1">
      <x:c r="A12" s="4" t="str">
        <x:v>P02</x:v>
      </x:c>
      <x:c r="B12" s="4" t="str">
        <x:v>Procedencia</x:v>
      </x:c>
      <x:c r="C12" s="4" t="str">
        <x:v>T004 Constants; T005; T006; R025</x:v>
      </x:c>
      <x:c r="D12" s="4" t="str">
        <x:v>PASA_EN_EL_PERFIL_DECLARADO</x:v>
      </x:c>
    </x:row>
    <x:row r="13" ht="47" customHeight="1">
      <x:c r="A13" s="4" t="str">
        <x:v>P03</x:v>
      </x:c>
      <x:c r="B13" s="4" t="str">
        <x:v>Identidad</x:v>
      </x:c>
      <x:c r="C13" s="4" t="str">
        <x:v>Mismo anfitrión/instalación; evento de arranque y corte identificados, sin confundir huésped VM con anfitrión físico.</x:v>
      </x:c>
      <x:c r="D13" s="4" t="str">
        <x:v>PASA_EN_EL_PERFIL_DECLARADO</x:v>
      </x:c>
    </x:row>
    <x:row r="14" ht="47" customHeight="1">
      <x:c r="A14" s="4" t="str">
        <x:v>P03</x:v>
      </x:c>
      <x:c r="B14" s="4" t="str">
        <x:v>Estado único</x:v>
      </x:c>
      <x:c r="C14" s="4" t="str">
        <x:v>Se completó al menos un reinicio íntegro del sistema anfitrión después del resultado de instalación y no después del corte.</x:v>
      </x:c>
      <x:c r="D14" s="4" t="str">
        <x:v>PASA_EN_EL_PERFIL_DECLARADO</x:v>
      </x:c>
    </x:row>
    <x:row r="15" ht="47" customHeight="1">
      <x:c r="A15" s="4" t="str">
        <x:v>P03</x:v>
      </x:c>
      <x:c r="B15" s="4" t="str">
        <x:v>U propia</x:v>
      </x:c>
      <x:c r="C15" s="4" t="str">
        <x:v>Registro parcial sin testigo positivo, clase de arranque no probada, orden incierto o conflicto.</x:v>
      </x:c>
      <x:c r="D15" s="4" t="str">
        <x:v>PASA_EN_EL_PERFIL_DECLARADO</x:v>
      </x:c>
    </x:row>
    <x:row r="16" ht="47" customHeight="1">
      <x:c r="A16" s="4" t="str">
        <x:v>P03</x:v>
      </x:c>
      <x:c r="B16" s="4" t="str">
        <x:v>Consecuencia separable</x:v>
      </x:c>
      <x:c r="C16" s="4" t="str">
        <x:v>Equiparar apagado/encendido híbrido con reinicio completo puede dar por satisfecha una condición pendiente.</x:v>
      </x:c>
      <x:c r="D16" s="4" t="str">
        <x:v>PASA_EN_EL_PERFIL_DECLARADO</x:v>
      </x:c>
    </x:row>
    <x:row r="17" ht="47" customHeight="1">
      <x:c r="A17" s="4" t="str">
        <x:v>P03</x:v>
      </x:c>
      <x:c r="B17" s="4" t="str">
        <x:v>Función separable</x:v>
      </x:c>
      <x:c r="C17" s="4" t="str">
        <x:v>Aportar satisfacción de la condición de reinicio del sistema, sin reescribir el requisito histórico.</x:v>
      </x:c>
      <x:c r="D17" s="4" t="str">
        <x:v>PASA_EN_EL_PERFIL_DECLARADO</x:v>
      </x:c>
    </x:row>
    <x:row r="18" ht="47" customHeight="1">
      <x:c r="A18" s="4" t="str">
        <x:v>P03</x:v>
      </x:c>
      <x:c r="B18" s="4" t="str">
        <x:v>Variación independiente</x:v>
      </x:c>
      <x:c r="C18" s="4" t="str">
        <x:v>Mismo P01=1: un mundo posee un reinicio posterior y otro no. El requisito histórico sigue siendo 1 en ambos.</x:v>
      </x:c>
      <x:c r="D18" s="4" t="str">
        <x:v>PASA_EN_EL_PERFIL_DECLARADO</x:v>
      </x:c>
    </x:row>
    <x:row r="19" ht="47" customHeight="1">
      <x:c r="A19" s="4" t="str">
        <x:v>P03</x:v>
      </x:c>
      <x:c r="B19" s="4" t="str">
        <x:v>Partición material</x:v>
      </x:c>
      <x:c r="C19" s="4" t="str">
        <x:v>Fecha, identificador y tipo son condiciones de identidad del evento. No se adjudica un parámetro por cada campo; el predicado es existencia del evento completo.</x:v>
      </x:c>
      <x:c r="D19" s="4" t="str">
        <x:v>PASA_EN_EL_PERFIL_DECLARADO</x:v>
      </x:c>
    </x:row>
    <x:row r="20" ht="47" customHeight="1">
      <x:c r="A20" s="4" t="str">
        <x:v>P03</x:v>
      </x:c>
      <x:c r="B20" s="4" t="str">
        <x:v>Procedencia</x:v>
      </x:c>
      <x:c r="C20" s="4" t="str">
        <x:v>T001 §2.3.2; T007 Summary/More information; R025</x:v>
      </x:c>
      <x:c r="D20" s="4" t="str">
        <x:v>PASA_EN_EL_PERFIL_DECLARADO</x:v>
      </x:c>
    </x:row>
    <x:row r="21" ht="47" customHeight="1">
      <x:c r="A21" s="4" t="str">
        <x:v>P04</x:v>
      </x:c>
      <x:c r="B21" s="4" t="str">
        <x:v>Identidad</x:v>
      </x:c>
      <x:c r="C21" s="4" t="str">
        <x:v>Un software identificable y su alcance de ejecución en un anfitrión; instalación e instrucción/version. No una lista de aplicaciones.</x:v>
      </x:c>
      <x:c r="D21" s="4" t="str">
        <x:v>PASA_EN_EL_PERFIL_DECLARADO</x:v>
      </x:c>
    </x:row>
    <x:row r="22" ht="47" customHeight="1">
      <x:c r="A22" s="4" t="str">
        <x:v>P04</x:v>
      </x:c>
      <x:c r="B22" s="4" t="str">
        <x:v>Estado único</x:v>
      </x:c>
      <x:c r="C22" s="4" t="str">
        <x:v>La instrucción específica admitida para completar esta instalación exigía reiniciar el software identificado.</x:v>
      </x:c>
      <x:c r="D22" s="4" t="str">
        <x:v>PASA_EN_EL_PERFIL_DECLARADO</x:v>
      </x:c>
    </x:row>
    <x:row r="23" ht="47" customHeight="1">
      <x:c r="A23" s="4" t="str">
        <x:v>P04</x:v>
      </x:c>
      <x:c r="B23" s="4" t="str">
        <x:v>U propia</x:v>
      </x:c>
      <x:c r="C23" s="4" t="str">
        <x:v>Instrucción ausente, formulación ambigua o conflicto de instrucciones admitidas. Falta de contrato de aplicabilidad es configuración pendiente, no Tri.</x:v>
      </x:c>
      <x:c r="D23" s="4" t="str">
        <x:v>PASA_EN_EL_PERFIL_DECLARADO</x:v>
      </x:c>
    </x:row>
    <x:row r="24" ht="47" customHeight="1">
      <x:c r="A24" s="4" t="str">
        <x:v>P04</x:v>
      </x:c>
      <x:c r="B24" s="4" t="str">
        <x:v>Consecuencia separable</x:v>
      </x:c>
      <x:c r="C24" s="4" t="str">
        <x:v>Leer sólo P01=0 puede ocultar que un software requiere reinicio para liberar/cambiar recursos de ejecución.</x:v>
      </x:c>
      <x:c r="D24" s="4" t="str">
        <x:v>PASA_EN_EL_PERFIL_DECLARADO</x:v>
      </x:c>
    </x:row>
    <x:row r="25" ht="47" customHeight="1">
      <x:c r="A25" s="4" t="str">
        <x:v>P04</x:v>
      </x:c>
      <x:c r="B25" s="4" t="str">
        <x:v>Función separable</x:v>
      </x:c>
      <x:c r="C25" s="4" t="str">
        <x:v>Conservar una obligación relativa al software, independiente del reinicio del sistema.</x:v>
      </x:c>
      <x:c r="D25" s="4" t="str">
        <x:v>PASA_EN_EL_PERFIL_DECLARADO</x:v>
      </x:c>
    </x:row>
    <x:row r="26" ht="47" customHeight="1">
      <x:c r="A26" s="4" t="str">
        <x:v>P04</x:v>
      </x:c>
      <x:c r="B26" s="4" t="str">
        <x:v>Variación independiente</x:v>
      </x:c>
      <x:c r="C26" s="4" t="str">
        <x:v>Un software reiniciable puede requerir reinicio sin exigir reiniciar el OS; dos paquetes con P01=0 pueden diferir en este requisito.</x:v>
      </x:c>
      <x:c r="D26" s="4" t="str">
        <x:v>PASA_EN_EL_PERFIL_DECLARADO</x:v>
      </x:c>
    </x:row>
    <x:row r="27" ht="47" customHeight="1">
      <x:c r="A27" s="4" t="str">
        <x:v>P04</x:v>
      </x:c>
      <x:c r="B27" s="4" t="str">
        <x:v>Partición material</x:v>
      </x:c>
      <x:c r="C27" s="4" t="str">
        <x:v>Requisito y cumplimiento son estados distintos. No se agrupan redespliegue, cambio de configuración y reinicio bajo un único booleano de «otros cambios».</x:v>
      </x:c>
      <x:c r="D27" s="4" t="str">
        <x:v>PASA_EN_EL_PERFIL_DECLARADO</x:v>
      </x:c>
    </x:row>
    <x:row r="28" ht="47" customHeight="1">
      <x:c r="A28" s="4" t="str">
        <x:v>P04</x:v>
      </x:c>
      <x:c r="B28" s="4" t="str">
        <x:v>Procedencia</x:v>
      </x:c>
      <x:c r="C28" s="4" t="str">
        <x:v>T001 §2.3.2; T009 cuerpo técnico; R025</x:v>
      </x:c>
      <x:c r="D28" s="4" t="str">
        <x:v>PASA_EN_EL_PERFIL_DECLARADO</x:v>
      </x:c>
    </x:row>
    <x:row r="29" ht="47" customHeight="1">
      <x:c r="A29" s="4" t="str">
        <x:v>P05</x:v>
      </x:c>
      <x:c r="B29" s="4" t="str">
        <x:v>Identidad</x:v>
      </x:c>
      <x:c r="C29" s="4" t="str">
        <x:v>Un proceso previo: anfitrión, ámbito de proceso, identidad de generación y episodio. Un PID aislado no identifica una generación.</x:v>
      </x:c>
      <x:c r="D29" s="4" t="str">
        <x:v>PASA_EN_EL_PERFIL_DECLARADO</x:v>
      </x:c>
    </x:row>
    <x:row r="30" ht="47" customHeight="1">
      <x:c r="A30" s="4" t="str">
        <x:v>P05</x:v>
      </x:c>
      <x:c r="B30" s="4" t="str">
        <x:v>Estado único</x:v>
      </x:c>
      <x:c r="C30" s="4" t="str">
        <x:v>Terminó la ejecución de la generación de proceso identificada después del ancla de instalación y no después del corte.</x:v>
      </x:c>
      <x:c r="D30" s="4" t="str">
        <x:v>PASA_EN_EL_PERFIL_DECLARADO</x:v>
      </x:c>
    </x:row>
    <x:row r="31" ht="47" customHeight="1">
      <x:c r="A31" s="4" t="str">
        <x:v>P05</x:v>
      </x:c>
      <x:c r="B31" s="4" t="str">
        <x:v>U propia</x:v>
      </x:c>
      <x:c r="C31" s="4" t="str">
        <x:v>PID sin generación, registro incompleto, orden incierto o conflicto. Error de captura se registra fuera de Tri.</x:v>
      </x:c>
      <x:c r="D31" s="4" t="str">
        <x:v>PASA_EN_EL_PERFIL_DECLARADO</x:v>
      </x:c>
    </x:row>
    <x:row r="32" ht="47" customHeight="1">
      <x:c r="A32" s="4" t="str">
        <x:v>P05</x:v>
      </x:c>
      <x:c r="B32" s="4" t="str">
        <x:v>Consecuencia separable</x:v>
      </x:c>
      <x:c r="C32" s="4" t="str">
        <x:v>Tomar la creación de otra instancia como cierre de la anterior puede dejar ejecución antigua concurrente ignorada.</x:v>
      </x:c>
      <x:c r="D32" s="4" t="str">
        <x:v>PASA_EN_EL_PERFIL_DECLARADO</x:v>
      </x:c>
    </x:row>
    <x:row r="33" ht="47" customHeight="1">
      <x:c r="A33" s="4" t="str">
        <x:v>P05</x:v>
      </x:c>
      <x:c r="B33" s="4" t="str">
        <x:v>Función separable</x:v>
      </x:c>
      <x:c r="C33" s="4" t="str">
        <x:v>Conservar que la ejecución previa dejó de mantener sus recursos; no equipararlo con nuevo proceso operativo.</x:v>
      </x:c>
      <x:c r="D33" s="4" t="str">
        <x:v>PASA_EN_EL_PERFIL_DECLARADO</x:v>
      </x:c>
    </x:row>
    <x:row r="34" ht="47" customHeight="1">
      <x:c r="A34" s="4" t="str">
        <x:v>P05</x:v>
      </x:c>
      <x:c r="B34" s="4" t="str">
        <x:v>Variación independiente</x:v>
      </x:c>
      <x:c r="C34" s="4" t="str">
        <x:v>Puede crearse una instancia nueva con la anterior aún viva, o terminar la anterior sin que arranque otra. P05 y P06 no se sustituyen.</x:v>
      </x:c>
      <x:c r="D34" s="4" t="str">
        <x:v>PASA_EN_EL_PERFIL_DECLARADO</x:v>
      </x:c>
    </x:row>
    <x:row r="35" ht="47" customHeight="1">
      <x:c r="A35" s="4" t="str">
        <x:v>P05</x:v>
      </x:c>
      <x:c r="B35" s="4" t="str">
        <x:v>Partición material</x:v>
      </x:c>
      <x:c r="C35" s="4" t="str">
        <x:v>Se rechazó «reinicio del software realizado» como agregado de terminación y nueva ejecución útil. Aquí se adjudica sólo el evento de terminación; arranque y disponibilidad no se esconden.</x:v>
      </x:c>
      <x:c r="D35" s="4" t="str">
        <x:v>PASA_EN_EL_PERFIL_DECLARADO</x:v>
      </x:c>
    </x:row>
    <x:row r="36" ht="47" customHeight="1">
      <x:c r="A36" s="4" t="str">
        <x:v>P05</x:v>
      </x:c>
      <x:c r="B36" s="4" t="str">
        <x:v>Procedencia</x:v>
      </x:c>
      <x:c r="C36" s="4" t="str">
        <x:v>T009 cuerpo técnico; T008 loaded-module list; R025 IV tema 4</x:v>
      </x:c>
      <x:c r="D36" s="4" t="str">
        <x:v>PASA_EN_EL_PERFIL_DECLARADO</x:v>
      </x:c>
    </x:row>
    <x:row r="37" ht="47" customHeight="1">
      <x:c r="A37" s="4" t="str">
        <x:v>P06</x:v>
      </x:c>
      <x:c r="B37" s="4" t="str">
        <x:v>Identidad</x:v>
      </x:c>
      <x:c r="C37" s="4" t="str">
        <x:v>Una instancia/generación, un componente cargado, imagen objetivo, método de identidad admitido e instalación relacionada.</x:v>
      </x:c>
      <x:c r="D37" s="4" t="str">
        <x:v>PASA_EN_EL_PERFIL_DECLARADO</x:v>
      </x:c>
    </x:row>
    <x:row r="38" ht="47" customHeight="1">
      <x:c r="A38" s="4" t="str">
        <x:v>P06</x:v>
      </x:c>
      <x:c r="B38" s="4" t="str">
        <x:v>Estado único</x:v>
      </x:c>
      <x:c r="C38" s="4" t="str">
        <x:v>La imagen del componente cargada en la instancia evaluada al corte coincide con la imagen objetivo previamente fijada.</x:v>
      </x:c>
      <x:c r="D38" s="4" t="str">
        <x:v>PASA_EN_EL_PERFIL_DECLARADO</x:v>
      </x:c>
    </x:row>
    <x:row r="39" ht="47" customHeight="1">
      <x:c r="A39" s="4" t="str">
        <x:v>P06</x:v>
      </x:c>
      <x:c r="B39" s="4" t="str">
        <x:v>U propia</x:v>
      </x:c>
      <x:c r="C39" s="4" t="str">
        <x:v>Sólo fichero en disco, ruta, nombre, dirección/puntero, tamaño o versión no inequívoca; captura insuficiente o contradictoria.</x:v>
      </x:c>
      <x:c r="D39" s="4" t="str">
        <x:v>PASA_EN_EL_PERFIL_DECLARADO</x:v>
      </x:c>
    </x:row>
    <x:row r="40" ht="47" customHeight="1">
      <x:c r="A40" s="4" t="str">
        <x:v>P06</x:v>
      </x:c>
      <x:c r="B40" s="4" t="str">
        <x:v>Consecuencia separable</x:v>
      </x:c>
      <x:c r="C40" s="4" t="str">
        <x:v>Atribuir al proceso la imagen encontrada en disco o por nombre puede ocultar otra DLL resuelta/cargada.</x:v>
      </x:c>
      <x:c r="D40" s="4" t="str">
        <x:v>PASA_EN_EL_PERFIL_DECLARADO</x:v>
      </x:c>
    </x:row>
    <x:row r="41" ht="47" customHeight="1">
      <x:c r="A41" s="4" t="str">
        <x:v>P06</x:v>
      </x:c>
      <x:c r="B41" s="4" t="str">
        <x:v>Función separable</x:v>
      </x:c>
      <x:c r="C41" s="4" t="str">
        <x:v>Separar distribución en disco de qué código está activo en la instancia examinada.</x:v>
      </x:c>
      <x:c r="D41" s="4" t="str">
        <x:v>PASA_EN_EL_PERFIL_DECLARADO</x:v>
      </x:c>
    </x:row>
    <x:row r="42" ht="47" customHeight="1">
      <x:c r="A42" s="4" t="str">
        <x:v>P06</x:v>
      </x:c>
      <x:c r="B42" s="4" t="str">
        <x:v>Variación independiente</x:v>
      </x:c>
      <x:c r="C42" s="4" t="str">
        <x:v>Igual instalación comunicada y terminación de proceso previo: distintas resoluciones del cargador pueden activar imágenes diferentes.</x:v>
      </x:c>
      <x:c r="D42" s="4" t="str">
        <x:v>PASA_EN_EL_PERFIL_DECLARADO</x:v>
      </x:c>
    </x:row>
    <x:row r="43" ht="47" customHeight="1">
      <x:c r="A43" s="4" t="str">
        <x:v>P06</x:v>
      </x:c>
      <x:c r="B43" s="4" t="str">
        <x:v>Partición material</x:v>
      </x:c>
      <x:c r="C43" s="4" t="str">
        <x:v>El digest objetivo es contexto, no un átomo. Comparar identidad de imagen es una sola proposición; no se mezclan firma, autenticidad o efectividad del parche.</x:v>
      </x:c>
      <x:c r="D43" s="4" t="str">
        <x:v>PASA_EN_EL_PERFIL_DECLARADO</x:v>
      </x:c>
    </x:row>
    <x:row r="44" ht="47" customHeight="1">
      <x:c r="A44" s="4" t="str">
        <x:v>P06</x:v>
      </x:c>
      <x:c r="B44" s="4" t="str">
        <x:v>Procedencia</x:v>
      </x:c>
      <x:c r="C44" s="4" t="str">
        <x:v>T001 §2.3.3; T008; T012–T013; R025 IV temas 4/5/6</x:v>
      </x:c>
      <x:c r="D44" s="4" t="str">
        <x:v>PASA_EN_EL_PERFIL_DECLARADO</x:v>
      </x:c>
    </x:row>
    <x:row r="45" ht="47" customHeight="1">
      <x:c r="A45" s="4" t="str">
        <x:v>P07</x:v>
      </x:c>
      <x:c r="B45" s="4" t="str">
        <x:v>Identidad</x:v>
      </x:c>
      <x:c r="C45" s="4" t="str">
        <x:v>Una ejecución de comprobación, activo/componente, criterio unitario/version, método y evidencia. No una campaña ni un agregado de hallazgos.</x:v>
      </x:c>
      <x:c r="D45" s="4" t="str">
        <x:v>PASA_EN_EL_PERFIL_DECLARADO</x:v>
      </x:c>
    </x:row>
    <x:row r="46" ht="47" customHeight="1">
      <x:c r="A46" s="4" t="str">
        <x:v>P07</x:v>
      </x:c>
      <x:c r="B46" s="4" t="str">
        <x:v>Estado único</x:v>
      </x:c>
      <x:c r="C46" s="4" t="str">
        <x:v>La comprobación individual identificada satisfizo el único criterio de aceptación previamente fijado para ella.</x:v>
      </x:c>
      <x:c r="D46" s="4" t="str">
        <x:v>PASA_EN_EL_PERFIL_DECLARADO</x:v>
      </x:c>
    </x:row>
    <x:row r="47" ht="47" customHeight="1">
      <x:c r="A47" s="4" t="str">
        <x:v>P07</x:v>
      </x:c>
      <x:c r="B47" s="4" t="str">
        <x:v>U propia</x:v>
      </x:c>
      <x:c r="C47" s="4" t="str">
        <x:v>Observación ausente, evidencia insuficiente o conflicto. Criterio compuesto o no fijado impide admisión al perfil, no produce un falso negativo.</x:v>
      </x:c>
      <x:c r="D47" s="4" t="str">
        <x:v>PASA_EN_EL_PERFIL_DECLARADO</x:v>
      </x:c>
    </x:row>
    <x:row r="48" ht="47" customHeight="1">
      <x:c r="A48" s="4" t="str">
        <x:v>P07</x:v>
      </x:c>
      <x:c r="B48" s="4" t="str">
        <x:v>Consecuencia separable</x:v>
      </x:c>
      <x:c r="C48" s="4" t="str">
        <x:v>Cerrar desde la presencia del paquete o imagen prescindiendo del contraste puede atribuir un efecto no probado.</x:v>
      </x:c>
      <x:c r="D48" s="4" t="str">
        <x:v>PASA_EN_EL_PERFIL_DECLARADO</x:v>
      </x:c>
    </x:row>
    <x:row r="49" ht="47" customHeight="1">
      <x:c r="A49" s="4" t="str">
        <x:v>P07</x:v>
      </x:c>
      <x:c r="B49" s="4" t="str">
        <x:v>Función separable</x:v>
      </x:c>
      <x:c r="C49" s="4" t="str">
        <x:v>Conservar el resultado de una comprobación sin convertirlo en cierre global o ausencia universal de vulnerabilidades.</x:v>
      </x:c>
      <x:c r="D49" s="4" t="str">
        <x:v>PASA_EN_EL_PERFIL_DECLARADO</x:v>
      </x:c>
    </x:row>
    <x:row r="50" ht="47" customHeight="1">
      <x:c r="A50" s="4" t="str">
        <x:v>P07</x:v>
      </x:c>
      <x:c r="B50" s="4" t="str">
        <x:v>Variación independiente</x:v>
      </x:c>
      <x:c r="C50" s="4" t="str">
        <x:v>Una imagen objetivo puede estar activa y la comprobación fallar por configuración; la misma imagen puede superar el criterio con configuración correcta.</x:v>
      </x:c>
      <x:c r="D50" s="4" t="str">
        <x:v>PASA_EN_EL_PERFIL_DECLARADO</x:v>
      </x:c>
    </x:row>
    <x:row r="51" ht="47" customHeight="1">
      <x:c r="A51" s="4" t="str">
        <x:v>P07</x:v>
      </x:c>
      <x:c r="B51" s="4" t="str">
        <x:v>Partición material</x:v>
      </x:c>
      <x:c r="C51" s="4" t="str">
        <x:v>Si el criterio reúne resultados con incertidumbre/consecuencia separables es compuesto y queda fuera. Este parámetro sólo admite un predicado evaluativo unitario.</x:v>
      </x:c>
      <x:c r="D51" s="4" t="str">
        <x:v>PASA_EN_EL_PERFIL_DECLARADO</x:v>
      </x:c>
    </x:row>
    <x:row r="52" ht="47" customHeight="1">
      <x:c r="A52" s="4" t="str">
        <x:v>P07</x:v>
      </x:c>
      <x:c r="B52" s="4" t="str">
        <x:v>Procedencia</x:v>
      </x:c>
      <x:c r="C52" s="4" t="str">
        <x:v>T001 §2.3.3; R025; R035</x:v>
      </x:c>
      <x:c r="D52" s="4" t="str">
        <x:v>PASA_EN_EL_PERFIL_DECLARADO</x:v>
      </x:c>
    </x:row>
    <x:row r="53" ht="47" customHeight="1">
      <x:c r="A53" s="4" t="str">
        <x:v>P08</x:v>
      </x:c>
      <x:c r="B53" s="4" t="str">
        <x:v>Identidad</x:v>
      </x:c>
      <x:c r="C53" s="4" t="str">
        <x:v>Activo, actualización/revisión, episodio inicial y operación posterior de retirada identificada.</x:v>
      </x:c>
      <x:c r="D53" s="4" t="str">
        <x:v>PASA_EN_EL_PERFIL_DECLARADO</x:v>
      </x:c>
    </x:row>
    <x:row r="54" ht="47" customHeight="1">
      <x:c r="A54" s="4" t="str">
        <x:v>P08</x:v>
      </x:c>
      <x:c r="B54" s="4" t="str">
        <x:v>Estado único</x:v>
      </x:c>
      <x:c r="C54" s="4" t="str">
        <x:v>Existe después de la instalación y hasta el corte una operación de retirada de esa actualización que comunica éxito.</x:v>
      </x:c>
      <x:c r="D54" s="4" t="str">
        <x:v>PASA_EN_EL_PERFIL_DECLARADO</x:v>
      </x:c>
    </x:row>
    <x:row r="55" ht="47" customHeight="1">
      <x:c r="A55" s="4" t="str">
        <x:v>P08</x:v>
      </x:c>
      <x:c r="B55" s="4" t="str">
        <x:v>U propia</x:v>
      </x:c>
      <x:c r="C55" s="4" t="str">
        <x:v>Cobertura parcial sin positivo, éxito con errores sin conclusión suficiente sobre retirada, orden incierto o conflicto.</x:v>
      </x:c>
      <x:c r="D55" s="4" t="str">
        <x:v>PASA_EN_EL_PERFIL_DECLARADO</x:v>
      </x:c>
    </x:row>
    <x:row r="56" ht="47" customHeight="1">
      <x:c r="A56" s="4" t="str">
        <x:v>P08</x:v>
      </x:c>
      <x:c r="B56" s="4" t="str">
        <x:v>Consecuencia separable</x:v>
      </x:c>
      <x:c r="C56" s="4" t="str">
        <x:v>Reutilizar el éxito de instalación sin mirar retiradas posteriores puede mantener evidencia superada.</x:v>
      </x:c>
      <x:c r="D56" s="4" t="str">
        <x:v>PASA_EN_EL_PERFIL_DECLARADO</x:v>
      </x:c>
    </x:row>
    <x:row r="57" ht="47" customHeight="1">
      <x:c r="A57" s="4" t="str">
        <x:v>P08</x:v>
      </x:c>
      <x:c r="B57" s="4" t="str">
        <x:v>Función separable</x:v>
      </x:c>
      <x:c r="C57" s="4" t="str">
        <x:v>Activar reexamen del cierre frente a una retirada comunicada, conservando diferencia entre resultado comunicado y estado actual.</x:v>
      </x:c>
      <x:c r="D57" s="4" t="str">
        <x:v>PASA_EN_EL_PERFIL_DECLARADO</x:v>
      </x:c>
    </x:row>
    <x:row r="58" ht="47" customHeight="1">
      <x:c r="A58" s="4" t="str">
        <x:v>P08</x:v>
      </x:c>
      <x:c r="B58" s="4" t="str">
        <x:v>Variación independiente</x:v>
      </x:c>
      <x:c r="C58" s="4" t="str">
        <x:v>Puede haber retirada y reinstalación con idéntica imagen activa final; o no haber retirada con esa misma imagen.</x:v>
      </x:c>
      <x:c r="D58" s="4" t="str">
        <x:v>PASA_EN_EL_PERFIL_DECLARADO</x:v>
      </x:c>
    </x:row>
    <x:row r="59" ht="47" customHeight="1">
      <x:c r="A59" s="4" t="str">
        <x:v>P08</x:v>
      </x:c>
      <x:c r="B59" s="4" t="str">
        <x:v>Partición material</x:v>
      </x:c>
      <x:c r="C59" s="4" t="str">
        <x:v>No se crea un átomo para cada resultado de retirada. La semántica del suceso permanece separada de la integridad de la historia y del estado actual.</x:v>
      </x:c>
      <x:c r="D59" s="4" t="str">
        <x:v>PASA_EN_EL_PERFIL_DECLARADO</x:v>
      </x:c>
    </x:row>
    <x:row r="60" ht="47" customHeight="1">
      <x:c r="A60" s="4" t="str">
        <x:v>P08</x:v>
      </x:c>
      <x:c r="B60" s="4" t="str">
        <x:v>Procedencia</x:v>
      </x:c>
      <x:c r="C60" s="4" t="str">
        <x:v>T001 §§2.3.2/2.3.4; T010–T011; T004</x:v>
      </x:c>
      <x:c r="D60" s="4" t="str">
        <x:v>PASA_EN_EL_PERFIL_DECLARADO</x:v>
      </x:c>
    </x:row>
    <x:row r="61" ht="47" customHeight="1">
      <x:c r="A61" s="4" t="str">
        <x:v>P09</x:v>
      </x:c>
      <x:c r="B61" s="4" t="str">
        <x:v>Identidad</x:v>
      </x:c>
      <x:c r="C61" s="4" t="str">
        <x:v>Activo y componente lógico, referencia verificada, cadena de eventos y criterio de identidad binaria fijados.</x:v>
      </x:c>
      <x:c r="D61" s="4" t="str">
        <x:v>PASA_EN_EL_PERFIL_DECLARADO</x:v>
      </x:c>
    </x:row>
    <x:row r="62" ht="47" customHeight="1">
      <x:c r="A62" s="4" t="str">
        <x:v>P09</x:v>
      </x:c>
      <x:c r="B62" s="4" t="str">
        <x:v>Estado único</x:v>
      </x:c>
      <x:c r="C62" s="4" t="str">
        <x:v>Ocurrió al menos un cambio de identidad binaria del componente desde la comprobación de referencia hasta el corte.</x:v>
      </x:c>
      <x:c r="D62" s="4" t="str">
        <x:v>PASA_EN_EL_PERFIL_DECLARADO</x:v>
      </x:c>
    </x:row>
    <x:row r="63" ht="47" customHeight="1">
      <x:c r="A63" s="4" t="str">
        <x:v>P09</x:v>
      </x:c>
      <x:c r="B63" s="4" t="str">
        <x:v>U propia</x:v>
      </x:c>
      <x:c r="C63" s="4" t="str">
        <x:v>Sólo comparación de estados extremos, hueco del registro, identidad binaria insuficiente u orden incierto.</x:v>
      </x:c>
      <x:c r="D63" s="4" t="str">
        <x:v>PASA_EN_EL_PERFIL_DECLARADO</x:v>
      </x:c>
    </x:row>
    <x:row r="64" ht="47" customHeight="1">
      <x:c r="A64" s="4" t="str">
        <x:v>P09</x:v>
      </x:c>
      <x:c r="B64" s="4" t="str">
        <x:v>Consecuencia separable</x:v>
      </x:c>
      <x:c r="C64" s="4" t="str">
        <x:v>Comparar sólo versiones finales puede ocultar cambios y retornos que afecten a la evidencia intermedia.</x:v>
      </x:c>
      <x:c r="D64" s="4" t="str">
        <x:v>PASA_EN_EL_PERFIL_DECLARADO</x:v>
      </x:c>
    </x:row>
    <x:row r="65" ht="47" customHeight="1">
      <x:c r="A65" s="4" t="str">
        <x:v>P09</x:v>
      </x:c>
      <x:c r="B65" s="4" t="str">
        <x:v>Función separable</x:v>
      </x:c>
      <x:c r="C65" s="4" t="str">
        <x:v>Conservar el antecedente que obliga a revisar la transportabilidad de una comprobación anterior.</x:v>
      </x:c>
      <x:c r="D65" s="4" t="str">
        <x:v>PASA_EN_EL_PERFIL_DECLARADO</x:v>
      </x:c>
    </x:row>
    <x:row r="66" ht="47" customHeight="1">
      <x:c r="A66" s="4" t="str">
        <x:v>P09</x:v>
      </x:c>
      <x:c r="B66" s="4" t="str">
        <x:v>Variación independiente</x:v>
      </x:c>
      <x:c r="C66" s="4" t="str">
        <x:v>Estado final objetivo igual en ambos mundos: en uno hubo sustitución y retorno, en otro no. P06 no determina P09.</x:v>
      </x:c>
      <x:c r="D66" s="4" t="str">
        <x:v>PASA_EN_EL_PERFIL_DECLARADO</x:v>
      </x:c>
    </x:row>
    <x:row r="67" ht="47" customHeight="1">
      <x:c r="A67" s="4" t="str">
        <x:v>P09</x:v>
      </x:c>
      <x:c r="B67" s="4" t="str">
        <x:v>Partición material</x:v>
      </x:c>
      <x:c r="C67" s="4" t="str">
        <x:v>Se retiró una primera formulación como desigualdad actual frente a referencia: podía duplicar el complemento de P06. La historia de transición aporta función separable.</x:v>
      </x:c>
      <x:c r="D67" s="4" t="str">
        <x:v>PASA_EN_EL_PERFIL_DECLARADO</x:v>
      </x:c>
    </x:row>
    <x:row r="68" ht="47" customHeight="1">
      <x:c r="A68" s="4" t="str">
        <x:v>P09</x:v>
      </x:c>
      <x:c r="B68" s="4" t="str">
        <x:v>Procedencia</x:v>
      </x:c>
      <x:c r="C68" s="4" t="str">
        <x:v>T001 §§2.2/2.3.4; T008; R025; S018</x:v>
      </x:c>
      <x:c r="D68" s="4" t="str">
        <x:v>PASA_EN_EL_PERFIL_DECLARADO</x:v>
      </x:c>
    </x:row>
    <x:row r="69" ht="47" customHeight="1">
      <x:c r="A69" s="4" t="str">
        <x:v>P10</x:v>
      </x:c>
      <x:c r="B69" s="4" t="str">
        <x:v>Identidad</x:v>
      </x:c>
      <x:c r="C69" s="4" t="str">
        <x:v>Activo, trabajo de restauración, punto de recuperación, ámbito restaurado e instalación; identidades enlazadas.</x:v>
      </x:c>
      <x:c r="D69" s="4" t="str">
        <x:v>PASA_EN_EL_PERFIL_DECLARADO</x:v>
      </x:c>
    </x:row>
    <x:row r="70" ht="47" customHeight="1">
      <x:c r="A70" s="4" t="str">
        <x:v>P10</x:v>
      </x:c>
      <x:c r="B70" s="4" t="str">
        <x:v>Estado único</x:v>
      </x:c>
      <x:c r="C70" s="4" t="str">
        <x:v>Se comunicó la terminación satisfactoria de una restauración cuyo punto de origen fue capturado antes de la instalación evaluada.</x:v>
      </x:c>
      <x:c r="D70" s="4" t="str">
        <x:v>PASA_EN_EL_PERFIL_DECLARADO</x:v>
      </x:c>
    </x:row>
    <x:row r="71" ht="47" customHeight="1">
      <x:c r="A71" s="4" t="str">
        <x:v>P10</x:v>
      </x:c>
      <x:c r="B71" s="4" t="str">
        <x:v>U propia</x:v>
      </x:c>
      <x:c r="C71" s="4" t="str">
        <x:v>Fecha/origen del punto no acreditado, cobertura parcial, orden incierto o conflicto.</x:v>
      </x:c>
      <x:c r="D71" s="4" t="str">
        <x:v>PASA_EN_EL_PERFIL_DECLARADO</x:v>
      </x:c>
    </x:row>
    <x:row r="72" ht="47" customHeight="1">
      <x:c r="A72" s="4" t="str">
        <x:v>P10</x:v>
      </x:c>
      <x:c r="B72" s="4" t="str">
        <x:v>Consecuencia separable</x:v>
      </x:c>
      <x:c r="C72" s="4" t="str">
        <x:v>Suponer continuidad desde la instalación ignorando una restauración puede mantener un cierre sobre un estado que ya no corresponde.</x:v>
      </x:c>
      <x:c r="D72" s="4" t="str">
        <x:v>PASA_EN_EL_PERFIL_DECLARADO</x:v>
      </x:c>
    </x:row>
    <x:row r="73" ht="47" customHeight="1">
      <x:c r="A73" s="4" t="str">
        <x:v>P10</x:v>
      </x:c>
      <x:c r="B73" s="4" t="str">
        <x:v>Función separable</x:v>
      </x:c>
      <x:c r="C73" s="4" t="str">
        <x:v>Exigir revisión del alcance de evidencia que pueda haber sido sustituido por recuperación de estado previo.</x:v>
      </x:c>
      <x:c r="D73" s="4" t="str">
        <x:v>PASA_EN_EL_PERFIL_DECLARADO</x:v>
      </x:c>
    </x:row>
    <x:row r="74" ht="47" customHeight="1">
      <x:c r="A74" s="4" t="str">
        <x:v>P10</x:v>
      </x:c>
      <x:c r="B74" s="4" t="str">
        <x:v>Variación independiente</x:v>
      </x:c>
      <x:c r="C74" s="4" t="str">
        <x:v>Una restauración de configuración puede conservar el mismo binario; una sustitución binaria puede ocurrir sin restauración. P09 y P10 no se deducen uno del otro.</x:v>
      </x:c>
      <x:c r="D74" s="4" t="str">
        <x:v>PASA_EN_EL_PERFIL_DECLARADO</x:v>
      </x:c>
    </x:row>
    <x:row r="75" ht="47" customHeight="1">
      <x:c r="A75" s="4" t="str">
        <x:v>P10</x:v>
      </x:c>
      <x:c r="B75" s="4" t="str">
        <x:v>Partición material</x:v>
      </x:c>
      <x:c r="C75" s="4" t="str">
        <x:v>Origen y destino fijan qué suceso se pregunta; no se agrupan su éxito comunicado, integridad efectiva y aptitud de la recuperación. Sólo el primero se adjudica.</x:v>
      </x:c>
      <x:c r="D75" s="4" t="str">
        <x:v>PASA_EN_EL_PERFIL_DECLARADO</x:v>
      </x:c>
    </x:row>
    <x:row r="76" ht="47" customHeight="1">
      <x:c r="A76" s="4" t="str">
        <x:v>P10</x:v>
      </x:c>
      <x:c r="B76" s="4" t="str">
        <x:v>Procedencia</x:v>
      </x:c>
      <x:c r="C76" s="4" t="str">
        <x:v>T001 §§2.3.2/2.3.4; R033 IV tema 7; S018</x:v>
      </x:c>
      <x:c r="D76" s="4" t="str">
        <x:v>PASA_EN_EL_PERFIL_DECLARADO</x:v>
      </x:c>
    </x:row>
    <x:row r="77" ht="47" customHeight="1">
      <x:c r="A77" s="4" t="str">
        <x:v>P02</x:v>
      </x:c>
      <x:c r="B77" s="4" t="str">
        <x:v>Ablación</x:v>
      </x:c>
      <x:c r="C77" s="4" t="str">
        <x:v>AB-L10-02: retirar estado y cualquier pista lateral; cambia la obligación documental del experto.</x:v>
      </x:c>
      <x:c r="D77" s="4" t="str">
        <x:v>EJECUTADA_DOCUMENTAL</x:v>
      </x:c>
    </x:row>
    <x:row r="78" ht="47" customHeight="1">
      <x:c r="A78" s="4" t="str">
        <x:v>P02</x:v>
      </x:c>
      <x:c r="B78" s="4" t="str">
        <x:v>Reproducción</x:v>
      </x:c>
      <x:c r="C78" s="4" t="str">
        <x:v>Testigos de 50, fórmulas y registro; no una segunda implementación semántica independiente ni prueba de campo.</x:v>
      </x:c>
      <x:c r="D78" s="4" t="str">
        <x:v>EJECUTADA_DOCUMENTAL</x:v>
      </x:c>
    </x:row>
    <x:row r="79" ht="47" customHeight="1">
      <x:c r="A79" s="4" t="str">
        <x:v>P03</x:v>
      </x:c>
      <x:c r="B79" s="4" t="str">
        <x:v>Ablación</x:v>
      </x:c>
      <x:c r="C79" s="4" t="str">
        <x:v>AB-L10-03: retirar estado y cualquier pista lateral; cambia la obligación documental del experto.</x:v>
      </x:c>
      <x:c r="D79" s="4" t="str">
        <x:v>EJECUTADA_DOCUMENTAL</x:v>
      </x:c>
    </x:row>
    <x:row r="80" ht="47" customHeight="1">
      <x:c r="A80" s="4" t="str">
        <x:v>P03</x:v>
      </x:c>
      <x:c r="B80" s="4" t="str">
        <x:v>Reproducción</x:v>
      </x:c>
      <x:c r="C80" s="4" t="str">
        <x:v>Testigos de 50, fórmulas y registro; no una segunda implementación semántica independiente ni prueba de campo.</x:v>
      </x:c>
      <x:c r="D80" s="4" t="str">
        <x:v>EJECUTADA_DOCUMENTAL</x:v>
      </x:c>
    </x:row>
    <x:row r="81" ht="47" customHeight="1">
      <x:c r="A81" s="4" t="str">
        <x:v>P04</x:v>
      </x:c>
      <x:c r="B81" s="4" t="str">
        <x:v>Ablación</x:v>
      </x:c>
      <x:c r="C81" s="4" t="str">
        <x:v>AB-L10-04: retirar estado y cualquier pista lateral; cambia la obligación documental del experto.</x:v>
      </x:c>
      <x:c r="D81" s="4" t="str">
        <x:v>EJECUTADA_DOCUMENTAL</x:v>
      </x:c>
    </x:row>
    <x:row r="82" ht="47" customHeight="1">
      <x:c r="A82" s="4" t="str">
        <x:v>P04</x:v>
      </x:c>
      <x:c r="B82" s="4" t="str">
        <x:v>Reproducción</x:v>
      </x:c>
      <x:c r="C82" s="4" t="str">
        <x:v>Testigos de 50, fórmulas y registro; no una segunda implementación semántica independiente ni prueba de campo.</x:v>
      </x:c>
      <x:c r="D82" s="4" t="str">
        <x:v>EJECUTADA_DOCUMENTAL</x:v>
      </x:c>
    </x:row>
    <x:row r="83" ht="47" customHeight="1">
      <x:c r="A83" s="4" t="str">
        <x:v>P05</x:v>
      </x:c>
      <x:c r="B83" s="4" t="str">
        <x:v>Ablación</x:v>
      </x:c>
      <x:c r="C83" s="4" t="str">
        <x:v>AB-L10-05: retirar estado y cualquier pista lateral; cambia la obligación documental del experto.</x:v>
      </x:c>
      <x:c r="D83" s="4" t="str">
        <x:v>EJECUTADA_DOCUMENTAL</x:v>
      </x:c>
    </x:row>
    <x:row r="84" ht="47" customHeight="1">
      <x:c r="A84" s="4" t="str">
        <x:v>P05</x:v>
      </x:c>
      <x:c r="B84" s="4" t="str">
        <x:v>Reproducción</x:v>
      </x:c>
      <x:c r="C84" s="4" t="str">
        <x:v>Testigos de 50, fórmulas y registro; no una segunda implementación semántica independiente ni prueba de campo.</x:v>
      </x:c>
      <x:c r="D84" s="4" t="str">
        <x:v>EJECUTADA_DOCUMENTAL</x:v>
      </x:c>
    </x:row>
    <x:row r="85" ht="47" customHeight="1">
      <x:c r="A85" s="4" t="str">
        <x:v>P06</x:v>
      </x:c>
      <x:c r="B85" s="4" t="str">
        <x:v>Ablación</x:v>
      </x:c>
      <x:c r="C85" s="4" t="str">
        <x:v>AB-L10-06: retirar estado y cualquier pista lateral; cambia la obligación documental del experto.</x:v>
      </x:c>
      <x:c r="D85" s="4" t="str">
        <x:v>EJECUTADA_DOCUMENTAL</x:v>
      </x:c>
    </x:row>
    <x:row r="86" ht="47" customHeight="1">
      <x:c r="A86" s="4" t="str">
        <x:v>P06</x:v>
      </x:c>
      <x:c r="B86" s="4" t="str">
        <x:v>Reproducción</x:v>
      </x:c>
      <x:c r="C86" s="4" t="str">
        <x:v>Testigos de 50, fórmulas y registro; no una segunda implementación semántica independiente ni prueba de campo.</x:v>
      </x:c>
      <x:c r="D86" s="4" t="str">
        <x:v>EJECUTADA_DOCUMENTAL</x:v>
      </x:c>
    </x:row>
    <x:row r="87" ht="47" customHeight="1">
      <x:c r="A87" s="4" t="str">
        <x:v>P07</x:v>
      </x:c>
      <x:c r="B87" s="4" t="str">
        <x:v>Ablación</x:v>
      </x:c>
      <x:c r="C87" s="4" t="str">
        <x:v>AB-L10-07: retirar estado y cualquier pista lateral; cambia la obligación documental del experto.</x:v>
      </x:c>
      <x:c r="D87" s="4" t="str">
        <x:v>EJECUTADA_DOCUMENTAL</x:v>
      </x:c>
    </x:row>
    <x:row r="88" ht="47" customHeight="1">
      <x:c r="A88" s="4" t="str">
        <x:v>P07</x:v>
      </x:c>
      <x:c r="B88" s="4" t="str">
        <x:v>Reproducción</x:v>
      </x:c>
      <x:c r="C88" s="4" t="str">
        <x:v>Testigos de 50, fórmulas y registro; no una segunda implementación semántica independiente ni prueba de campo.</x:v>
      </x:c>
      <x:c r="D88" s="4" t="str">
        <x:v>EJECUTADA_DOCUMENTAL</x:v>
      </x:c>
    </x:row>
    <x:row r="89" ht="47" customHeight="1">
      <x:c r="A89" s="4" t="str">
        <x:v>P08</x:v>
      </x:c>
      <x:c r="B89" s="4" t="str">
        <x:v>Ablación</x:v>
      </x:c>
      <x:c r="C89" s="4" t="str">
        <x:v>AB-L10-08: retirar estado y cualquier pista lateral; cambia la obligación documental del experto.</x:v>
      </x:c>
      <x:c r="D89" s="4" t="str">
        <x:v>EJECUTADA_DOCUMENTAL</x:v>
      </x:c>
    </x:row>
    <x:row r="90" ht="47" customHeight="1">
      <x:c r="A90" s="4" t="str">
        <x:v>P08</x:v>
      </x:c>
      <x:c r="B90" s="4" t="str">
        <x:v>Reproducción</x:v>
      </x:c>
      <x:c r="C90" s="4" t="str">
        <x:v>Testigos de 50, fórmulas y registro; no una segunda implementación semántica independiente ni prueba de campo.</x:v>
      </x:c>
      <x:c r="D90" s="4" t="str">
        <x:v>EJECUTADA_DOCUMENTAL</x:v>
      </x:c>
    </x:row>
    <x:row r="91" ht="47" customHeight="1">
      <x:c r="A91" s="4" t="str">
        <x:v>P09</x:v>
      </x:c>
      <x:c r="B91" s="4" t="str">
        <x:v>Ablación</x:v>
      </x:c>
      <x:c r="C91" s="4" t="str">
        <x:v>AB-L10-09: retirar estado y cualquier pista lateral; cambia la obligación documental del experto.</x:v>
      </x:c>
      <x:c r="D91" s="4" t="str">
        <x:v>EJECUTADA_DOCUMENTAL</x:v>
      </x:c>
    </x:row>
    <x:row r="92" ht="47" customHeight="1">
      <x:c r="A92" s="4" t="str">
        <x:v>P09</x:v>
      </x:c>
      <x:c r="B92" s="4" t="str">
        <x:v>Reproducción</x:v>
      </x:c>
      <x:c r="C92" s="4" t="str">
        <x:v>Testigos de 50, fórmulas y registro; no una segunda implementación semántica independiente ni prueba de campo.</x:v>
      </x:c>
      <x:c r="D92" s="4" t="str">
        <x:v>EJECUTADA_DOCUMENTAL</x:v>
      </x:c>
    </x:row>
    <x:row r="93" ht="47" customHeight="1">
      <x:c r="A93" s="4" t="str">
        <x:v>P10</x:v>
      </x:c>
      <x:c r="B93" s="4" t="str">
        <x:v>Ablación</x:v>
      </x:c>
      <x:c r="C93" s="4" t="str">
        <x:v>AB-L10-10: retirar estado y cualquier pista lateral; cambia la obligación documental del experto.</x:v>
      </x:c>
      <x:c r="D93" s="4" t="str">
        <x:v>EJECUTADA_DOCUMENTAL</x:v>
      </x:c>
    </x:row>
    <x:row r="94" ht="47" customHeight="1">
      <x:c r="A94" s="4" t="str">
        <x:v>P10</x:v>
      </x:c>
      <x:c r="B94" s="4" t="str">
        <x:v>Reproducción</x:v>
      </x:c>
      <x:c r="C94" s="4" t="str">
        <x:v>Testigos de 50, fórmulas y registro; no una segunda implementación semántica independiente ni prueba de campo.</x:v>
      </x:c>
      <x:c r="D94" s="4" t="str">
        <x:v>EJECUTADA_DOCUMENTAL</x:v>
      </x:c>
    </x:row>
  </x:sheetData>
  <x:mergeCells>
    <x:mergeCell ref="A1:D1"/>
    <x:mergeCell ref="A2:D2"/>
  </x:mergeCells>
  <x:pageMargins left="0.7" right="0.7" top="0.75" bottom="0.75" header="0.3" footer="0.3"/>
  <x:tableParts count="1">
    <x:tablePart xmlns:r="http://schemas.openxmlformats.org/officeDocument/2006/relationships" r:id="Rced24c71ed52434c"/>
  </x:tableParts>
</x:worksheet>
</file>

<file path=xl/worksheets/sheet51.xml><?xml version="1.0" encoding="utf-8"?>
<x:worksheet xmlns:x="http://schemas.openxmlformats.org/spreadsheetml/2006/main">
  <x:sheetViews>
    <x:sheetView showGridLines="0" workbookViewId="0"/>
  </x:sheetViews>
  <x:sheetFormatPr defaultRowHeight="15"/>
  <x:cols>
    <x:col min="1" max="1" width="18" hidden="0" customWidth="1"/>
    <x:col min="2" max="2" width="50" hidden="0" customWidth="1"/>
    <x:col min="3" max="3" width="48" hidden="0" customWidth="1"/>
    <x:col min="4" max="4" width="19" hidden="0" customWidth="1"/>
    <x:col min="5" max="5" width="18" hidden="0" customWidth="1"/>
    <x:col min="6" max="6" width="31" hidden="0" customWidth="1"/>
    <x:col min="7" max="7" width="22" hidden="0" customWidth="1"/>
    <x:col min="8" max="8" width="68" hidden="0" customWidth="1"/>
    <x:col min="9" max="9" width="68" hidden="0" customWidth="1"/>
    <x:col min="10" max="10" width="20" hidden="0" customWidth="1"/>
    <x:col min="11" max="11" width="33" hidden="0" customWidth="1"/>
    <x:col min="12" max="12" width="30" hidden="0" customWidth="1"/>
    <x:col min="13" max="13" width="15" hidden="0" customWidth="1"/>
    <x:col min="14" max="14" width="38" hidden="0" customWidth="1"/>
    <x:col min="15" max="15" width="30" hidden="0" customWidth="1"/>
    <x:col min="16" max="16" width="15" hidden="0" customWidth="1"/>
    <x:col min="17" max="17" width="38" hidden="0" customWidth="1"/>
    <x:col min="18" max="18" width="17" hidden="0" customWidth="1"/>
    <x:col min="19" max="19" width="105" hidden="0" customWidth="1"/>
    <x:col min="20" max="20" width="52" hidden="0" customWidth="1"/>
    <x:col min="21" max="21" width="33" hidden="0" customWidth="1"/>
    <x:col min="22" max="22" width="34" hidden="0" customWidth="1"/>
    <x:col min="23" max="23" width="26" hidden="0" customWidth="1"/>
    <x:col min="24" max="24" width="68" hidden="0" customWidth="1"/>
    <x:col min="25" max="25" width="68" hidden="0" customWidth="1"/>
    <x:col min="26" max="26" width="68" hidden="0" customWidth="1"/>
    <x:col min="27" max="27" width="41" hidden="0" customWidth="1"/>
    <x:col min="28" max="28" width="41" hidden="0" customWidth="1"/>
  </x:cols>
  <x:sheetData>
    <x:row r="1" ht="35" customHeight="1">
      <x:c r="A1" s="6" t="str">
        <x:v>TESTIGOS DOCUMENTALES · esperados previos</x:v>
      </x:c>
      <x:c r="B1" s="6"/>
      <x:c r="C1" s="6"/>
      <x:c r="D1" s="6"/>
      <x:c r="E1" s="6"/>
      <x:c r="F1" s="6"/>
      <x:c r="G1" s="6"/>
      <x:c r="H1" s="6"/>
      <x:c r="I1" s="6"/>
      <x:c r="J1" s="6"/>
      <x:c r="K1" s="6"/>
      <x:c r="L1" s="6"/>
      <x:c r="M1" s="6"/>
      <x:c r="N1" s="6"/>
      <x:c r="O1" s="6"/>
      <x:c r="P1" s="6"/>
      <x:c r="Q1" s="6"/>
      <x:c r="R1" s="6"/>
      <x:c r="S1" s="6"/>
      <x:c r="T1" s="6"/>
      <x:c r="U1" s="6"/>
      <x:c r="V1" s="6"/>
      <x:c r="W1" s="6"/>
      <x:c r="X1" s="6"/>
      <x:c r="Y1" s="6"/>
      <x:c r="Z1" s="6"/>
      <x:c r="AA1" s="6"/>
      <x:c r="AB1" s="6"/>
    </x:row>
    <x:row r="2" ht="52" customHeight="1">
      <x:c r="A2" s="8" t="str">
        <x:v>Casos sintéticos del contrato. No ejecutan capturadores, reinicios, procesos, restauraciones ni criterios sobre activos reales.</x:v>
      </x:c>
      <x:c r="B2" s="8"/>
      <x:c r="C2" s="8"/>
      <x:c r="D2" s="8"/>
      <x:c r="E2" s="8"/>
      <x:c r="F2" s="8"/>
      <x:c r="G2" s="8"/>
      <x:c r="H2" s="8"/>
      <x:c r="I2" s="8"/>
      <x:c r="J2" s="8"/>
      <x:c r="K2" s="8"/>
      <x:c r="L2" s="8"/>
      <x:c r="M2" s="8"/>
      <x:c r="N2" s="8"/>
      <x:c r="O2" s="8"/>
      <x:c r="P2" s="8"/>
      <x:c r="Q2" s="8"/>
      <x:c r="R2" s="8"/>
      <x:c r="S2" s="8"/>
      <x:c r="T2" s="8"/>
      <x:c r="U2" s="8"/>
      <x:c r="V2" s="8"/>
      <x:c r="W2" s="8"/>
      <x:c r="X2" s="8"/>
      <x:c r="Y2" s="8"/>
      <x:c r="Z2" s="8"/>
      <x:c r="AA2" s="8"/>
      <x:c r="AB2" s="8"/>
    </x:row>
    <x:row r="3">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row>
    <x:row r="4" ht="42" customHeight="1">
      <x:c r="A4" s="10" t="str">
        <x:v>Caso</x:v>
      </x:c>
      <x:c r="B4" s="10" t="str">
        <x:v>Parámetro</x:v>
      </x:c>
      <x:c r="C4" s="10" t="str">
        <x:v>Perfil</x:v>
      </x:c>
      <x:c r="D4" s="10" t="str">
        <x:v>Identidad</x:v>
      </x:c>
      <x:c r="E4" s="10" t="str">
        <x:v>Captura</x:v>
      </x:c>
      <x:c r="F4" s="10" t="str">
        <x:v>Soporte observado</x:v>
      </x:c>
      <x:c r="G4" s="10" t="str">
        <x:v>Presencia</x:v>
      </x:c>
      <x:c r="H4" s="10" t="str">
        <x:v>Lexema / identidad 1</x:v>
      </x:c>
      <x:c r="I4" s="10" t="str">
        <x:v>Lexema / identidad 2</x:v>
      </x:c>
      <x:c r="J4" s="10" t="str">
        <x:v>Cobertura</x:v>
      </x:c>
      <x:c r="K4" s="10" t="str">
        <x:v>Contexto</x:v>
      </x:c>
      <x:c r="L4" s="10" t="str">
        <x:v>Clase esperada</x:v>
      </x:c>
      <x:c r="M4" s="10" t="str">
        <x:v>Tri esperado</x:v>
      </x:c>
      <x:c r="N4" s="10" t="str">
        <x:v>Diagnóstico esperado</x:v>
      </x:c>
      <x:c r="O4" s="10" t="str">
        <x:v>Clase calculada</x:v>
      </x:c>
      <x:c r="P4" s="10" t="str">
        <x:v>Tri calculado</x:v>
      </x:c>
      <x:c r="Q4" s="10" t="str">
        <x:v>Diagnóstico calculado</x:v>
      </x:c>
      <x:c r="R4" s="10" t="str">
        <x:v>Contraste</x:v>
      </x:c>
      <x:c r="S4" s="10" t="str">
        <x:v>Razón profesional</x:v>
      </x:c>
      <x:c r="T4" s="10" t="str">
        <x:v>Perfil esperado por contrato</x:v>
      </x:c>
      <x:c r="U4" s="10" t="str">
        <x:v>Soporte exigido</x:v>
      </x:c>
      <x:c r="V4" s="10" t="str">
        <x:v>Contexto exigido</x:v>
      </x:c>
      <x:c r="W4" s="10" t="str">
        <x:v>Modo contractual</x:v>
      </x:c>
      <x:c r="X4" s="10" t="str">
        <x:v>Positivo contractual</x:v>
      </x:c>
      <x:c r="Y4" s="10" t="str">
        <x:v>Auxiliar contractual</x:v>
      </x:c>
      <x:c r="Z4" s="10" t="str">
        <x:v>Negativo contractual</x:v>
      </x:c>
      <x:c r="AA4" s="10" t="str">
        <x:v>Diagnóstico positivo</x:v>
      </x:c>
      <x:c r="AB4" s="10" t="str">
        <x:v>Diagnóstico negativo</x:v>
      </x:c>
    </x:row>
    <x:row r="5" ht="47" customHeight="1">
      <x:c r="A5" s="4" t="str">
        <x:v>L10-02-01</x:v>
      </x:c>
      <x:c r="B5" s="4" t="str">
        <x:v>PAR-CYB-INSTALACION-EXITO-COMUNICADO-001</x:v>
      </x:c>
      <x:c r="C5" s="4" t="str">
        <x:v>WUA-RESULTADO-INDIVIDUAL-0.1</x:v>
      </x:c>
      <x:c r="D5" s="4" t="str">
        <x:v>COINCIDE</x:v>
      </x:c>
      <x:c r="E5" s="4" t="str">
        <x:v>LEGIBLE</x:v>
      </x:c>
      <x:c r="F5" s="4" t="str">
        <x:v>RESULTADO_WUA_INDIVIDUAL</x:v>
      </x:c>
      <x:c r="G5" s="4" t="str">
        <x:v>UNICA</x:v>
      </x:c>
      <x:c r="H5" s="4" t="str">
        <x:v>orcSucceeded</x:v>
      </x:c>
      <x:c r="I5" s="4" t="str"/>
      <x:c r="J5" s="4" t="str">
        <x:v>COMPLETA</x:v>
      </x:c>
      <x:c r="K5" s="4" t="str">
        <x:v>INSTALAR_INDIVIDUAL</x:v>
      </x:c>
      <x:c r="L5" s="4" t="str">
        <x:v>VALIDA</x:v>
      </x:c>
      <x:c r="M5" s="4" t="str">
        <x:v>1</x:v>
      </x:c>
      <x:c r="N5" s="4" t="str">
        <x:v>EXITO_COMUNICADO</x:v>
      </x:c>
      <x:c r="O5" s="12" t="str">
        <x:f>IF(Q5="SIN_EJECUCION_DOMINIO","FALLO_CAPTURA",IF(OR(Q5="CAPTURA_MAL_FORMADA",Q5="IDENTIDAD",Q5="OBSERVACION_MAL_FORMADA",Q5="LEXEMA_O_FORMA"),"NO_ADMISION",IF(OR(Q5="PERFIL_NO_CONSTITUIDO",Q5="RESULTADO_NO_TERMINAL"),"FUERA_PERFIL",IF(Q5="CONTEXTO_NO_CONSTITUIDO","CONFIGURACION_PENDIENTE","VALIDA"))))</x:f>
        <x:v>VALIDA</x:v>
      </x:c>
      <x:c r="P5" s="12" t="str">
        <x:f>IF(O5&lt;&gt;"VALIDA","",IF(Q5=AA5,"1",IF(Q5=AB5,"0","U")))</x:f>
        <x:v>1</x:v>
      </x:c>
      <x:c r="Q5" s="12" t="str">
        <x:f>IF(E5="FALLO","SIN_EJECUCION_DOMINIO",IF(E5&lt;&gt;"LEGIBLE","CAPTURA_MAL_FORMADA",IF(D5&lt;&gt;"COINCIDE","IDENTIDAD",IF(OR(T5="",C5&lt;&gt;T5),"PERFIL_NO_CONSTITUIDO",IF(K5&lt;&gt;V5,IF(V5="ORDEN_ACREDITADO","ORDEN_NO_ACREDITADO","CONTEXTO_NO_CONSTITUIDO"),IF(AND(G5="AUSENTE",H5="",I5=""),"DATO_AUSENTE",IF(AND(G5="CONFLICTO",H5="",I5=""),"CONFLICTO_OBSERVACIONAL",IF(G5&lt;&gt;"UNICA","OBSERVACION_MAL_FORMADA",IF(F5&lt;&gt;U5,"OBSERVACION_INSUFICIENTE",IF(W5="RESULTADO",IF(H5=X5,AA5,IF(OR(H5="orcSucceededWithErrors",H5="orcFailed",H5="orcAborted"),AB5,IF(OR(H5="orcNotStarted",H5="orcInProgress"),"RESULTADO_NO_TERMINAL","LEXEMA_O_FORMA"))),IF(W5="EVENTO_BOOT",IF(H5=X5,AA5,IF(OR(H5="NINGUNO",H5="SOLO_HIBRIDO"),IF(J5="COMPLETA",AB5,"COBERTURA_INSUFICIENTE"),"LEXEMA_O_FORMA")),IF(W5="REQUISITO_SOFT",IF(H5=X5,AA5,IF(H5=Z5,AB5,"LEXEMA_O_FORMA")),IF(W5="EVENTO_PROC",IF(H5=X5,AA5,IF(H5=Z5,IF(J5="COMPLETA",AB5,"COBERTURA_INSUFICIENTE"),"LEXEMA_O_FORMA")),IF(W5="IMAGEN",IF(AND(AND(ISTEXT(H5),LEN(("x"&amp;H5))=65,EXACT(("x"&amp;H5),LOWER(("x"&amp;H5))),ISERROR(SEARCH(" ",("x"&amp;H5))),ISERROR(SEARCH(CHAR(9),("x"&amp;H5))),ISERROR(SEARCH(CHAR(10),("x"&amp;H5))),ISERROR(SEARCH(CHAR(13),("x"&amp;H5))),IFERROR(HEX2DEC(MID(("x"&amp;H5),2,8))&gt;=0,FALSE),IFERROR(HEX2DEC(MID(("x"&amp;H5),10,8))&gt;=0,FALSE),IFERROR(HEX2DEC(MID(("x"&amp;H5),18,8))&gt;=0,FALSE),IFERROR(HEX2DEC(MID(("x"&amp;H5),26,8))&gt;=0,FALSE),IFERROR(HEX2DEC(MID(("x"&amp;H5),34,8))&gt;=0,FALSE),IFERROR(HEX2DEC(MID(("x"&amp;H5),42,8))&gt;=0,FALSE),IFERROR(HEX2DEC(MID(("x"&amp;H5),50,8))&gt;=0,FALSE),IFERROR(HEX2DEC(MID(("x"&amp;H5),58,8))&gt;=0,FALSE)),AND(ISTEXT(I5),LEN(("x"&amp;I5))=65,EXACT(("x"&amp;I5),LOWER(("x"&amp;I5))),ISERROR(SEARCH(" ",("x"&amp;I5))),ISERROR(SEARCH(CHAR(9),("x"&amp;I5))),ISERROR(SEARCH(CHAR(10),("x"&amp;I5))),ISERROR(SEARCH(CHAR(13),("x"&amp;I5))),IFERROR(HEX2DEC(MID(("x"&amp;I5),2,8))&gt;=0,FALSE),IFERROR(HEX2DEC(MID(("x"&amp;I5),10,8))&gt;=0,FALSE),IFERROR(HEX2DEC(MID(("x"&amp;I5),18,8))&gt;=0,FALSE),IFERROR(HEX2DEC(MID(("x"&amp;I5),26,8))&gt;=0,FALSE),IFERROR(HEX2DEC(MID(("x"&amp;I5),34,8))&gt;=0,FALSE),IFERROR(HEX2DEC(MID(("x"&amp;I5),42,8))&gt;=0,FALSE),IFERROR(HEX2DEC(MID(("x"&amp;I5),50,8))&gt;=0,FALSE),IFERROR(HEX2DEC(MID(("x"&amp;I5),58,8))&gt;=0,FALSE))),IF(EXACT("x"&amp;H5,"x"&amp;I5),AA5,AB5),"LEXEMA_O_FORMA"),IF(W5="PRUEBA",IF(H5=X5,AA5,IF(H5=Z5,AB5,"LEXEMA_O_FORMA")),IF(W5="RETIRADA",IF(AND(H5="NINGUNO",I5=""),IF(J5="COMPLETA",AB5,"COBERTURA_INSUFICIENTE"),IF(AND(OR(H5="uoInstallation",H5="uoUninstallation"),OR(I5="orcSucceeded",I5="orcSucceededWithErrors",I5="orcFailed",I5="orcAborted",I5="orcInProgress",I5="orcNotStarted")),IF(AND(H5=X5,I5=Y5),AA5,IF(AND(H5=X5,OR(I5="orcSucceededWithErrors",I5="orcInProgress",I5="orcNotStarted")),"RESULTADO_RETIRADA_INCIERTO",IF(J5="COMPLETA",AB5,"COBERTURA_INSUFICIENTE"))),"LEXEMA_O_FORMA")),IF(W5="CAMBIO",IF(OR(H5="CAMBIO",H5="CAMBIO_Y_RETORNO"),AA5,IF(OR(H5="NINGUNO",H5="SOLO_RENOMBRE"),IF(J5="COMPLETA",AB5,"COBERTURA_INSUFICIENTE"),"LEXEMA_O_FORMA")),IF(W5="RESTAURACION",IF(H5=X5,AA5,IF(OR(H5="NINGUNO",H5="RESTAURACION_POSTERIOR",H5="RESTAURACION_FALLIDA"),IF(J5="COMPLETA",AB5,"COBERTURA_INSUFICIENTE"),"LEXEMA_O_FORMA")),"PERFIL_NO_CONSTITUIDO"))))))))))))))))))</x:f>
        <x:v>EXITO_COMUNICADO</x:v>
      </x:c>
      <x:c r="R5" s="12" t="str">
        <x:f>IF(AND(L5=O5,M5=P5,N5=Q5),"PASA","NO_PASA")</x:f>
        <x:v>PASA</x:v>
      </x:c>
      <x:c r="S5" s="4" t="str">
        <x:v>Testigo positivo de la proposición; no licencia ninguna conclusión más amplia.</x:v>
      </x:c>
      <x:c r="T5" s="12" t="str">
        <x:f>IFERROR(INDEX('55_Codificacion_ensayo'!$B$5:$B$13,MATCH(B5,'55_Codificacion_ensayo'!$A$5:$A$13,0)),"")</x:f>
        <x:v>WUA-RESULTADO-INDIVIDUAL-0.1</x:v>
      </x:c>
      <x:c r="U5" s="12" t="str">
        <x:f>IFERROR(INDEX('55_Codificacion_ensayo'!$C$5:$C$13,MATCH(B5,'55_Codificacion_ensayo'!$A$5:$A$13,0)),"")</x:f>
        <x:v>RESULTADO_WUA_INDIVIDUAL</x:v>
      </x:c>
      <x:c r="V5" s="12" t="str">
        <x:f>IFERROR(INDEX('55_Codificacion_ensayo'!$D$5:$D$13,MATCH(B5,'55_Codificacion_ensayo'!$A$5:$A$13,0)),"")</x:f>
        <x:v>INSTALAR_INDIVIDUAL</x:v>
      </x:c>
      <x:c r="W5" s="12" t="str">
        <x:f>IFERROR(INDEX('55_Codificacion_ensayo'!$E$5:$E$13,MATCH(B5,'55_Codificacion_ensayo'!$A$5:$A$13,0)),"")</x:f>
        <x:v>RESULTADO</x:v>
      </x:c>
      <x:c r="X5" s="12" t="str">
        <x:f>IFERROR(INDEX('55_Codificacion_ensayo'!$F$5:$F$13,MATCH(B5,'55_Codificacion_ensayo'!$A$5:$A$13,0)),"")</x:f>
        <x:v>orcSucceeded</x:v>
      </x:c>
      <x:c r="Y5" s="12" t="str">
        <x:f>IFERROR(INDEX('55_Codificacion_ensayo'!$G$5:$G$13,MATCH(B5,'55_Codificacion_ensayo'!$A$5:$A$13,0)),"")</x:f>
      </x:c>
      <x:c r="Z5" s="12" t="str">
        <x:f>IFERROR(INDEX('55_Codificacion_ensayo'!$H$5:$H$13,MATCH(B5,'55_Codificacion_ensayo'!$A$5:$A$13,0)),"")</x:f>
        <x:v>orcFailed</x:v>
      </x:c>
      <x:c r="AA5" s="12" t="str">
        <x:f>IFERROR(INDEX('55_Codificacion_ensayo'!$I$5:$I$13,MATCH(B5,'55_Codificacion_ensayo'!$A$5:$A$13,0)),"")</x:f>
        <x:v>EXITO_COMUNICADO</x:v>
      </x:c>
      <x:c r="AB5" s="12" t="str">
        <x:f>IFERROR(INDEX('55_Codificacion_ensayo'!$J$5:$J$13,MATCH(B5,'55_Codificacion_ensayo'!$A$5:$A$13,0)),"")</x:f>
        <x:v>NO_EXITO_PLENO</x:v>
      </x:c>
    </x:row>
    <x:row r="6" ht="47" customHeight="1">
      <x:c r="A6" s="4" t="str">
        <x:v>L10-02-02</x:v>
      </x:c>
      <x:c r="B6" s="4" t="str">
        <x:v>PAR-CYB-INSTALACION-EXITO-COMUNICADO-001</x:v>
      </x:c>
      <x:c r="C6" s="4" t="str">
        <x:v>WUA-RESULTADO-INDIVIDUAL-0.1</x:v>
      </x:c>
      <x:c r="D6" s="4" t="str">
        <x:v>COINCIDE</x:v>
      </x:c>
      <x:c r="E6" s="4" t="str">
        <x:v>LEGIBLE</x:v>
      </x:c>
      <x:c r="F6" s="4" t="str">
        <x:v>RESULTADO_WUA_INDIVIDUAL</x:v>
      </x:c>
      <x:c r="G6" s="4" t="str">
        <x:v>UNICA</x:v>
      </x:c>
      <x:c r="H6" s="4" t="str">
        <x:v>orcFailed</x:v>
      </x:c>
      <x:c r="I6" s="4" t="str"/>
      <x:c r="J6" s="4" t="str">
        <x:v>COMPLETA</x:v>
      </x:c>
      <x:c r="K6" s="4" t="str">
        <x:v>INSTALAR_INDIVIDUAL</x:v>
      </x:c>
      <x:c r="L6" s="4" t="str">
        <x:v>VALIDA</x:v>
      </x:c>
      <x:c r="M6" s="4" t="str">
        <x:v>0</x:v>
      </x:c>
      <x:c r="N6" s="4" t="str">
        <x:v>NO_EXITO_PLENO</x:v>
      </x:c>
      <x:c r="O6" s="12" t="str">
        <x:f>IF(Q6="SIN_EJECUCION_DOMINIO","FALLO_CAPTURA",IF(OR(Q6="CAPTURA_MAL_FORMADA",Q6="IDENTIDAD",Q6="OBSERVACION_MAL_FORMADA",Q6="LEXEMA_O_FORMA"),"NO_ADMISION",IF(OR(Q6="PERFIL_NO_CONSTITUIDO",Q6="RESULTADO_NO_TERMINAL"),"FUERA_PERFIL",IF(Q6="CONTEXTO_NO_CONSTITUIDO","CONFIGURACION_PENDIENTE","VALIDA"))))</x:f>
        <x:v>VALIDA</x:v>
      </x:c>
      <x:c r="P6" s="12" t="str">
        <x:f>IF(O6&lt;&gt;"VALIDA","",IF(Q6=AA6,"1",IF(Q6=AB6,"0","U")))</x:f>
        <x:v>0</x:v>
      </x:c>
      <x:c r="Q6" s="12" t="str">
        <x:f>IF(E6="FALLO","SIN_EJECUCION_DOMINIO",IF(E6&lt;&gt;"LEGIBLE","CAPTURA_MAL_FORMADA",IF(D6&lt;&gt;"COINCIDE","IDENTIDAD",IF(OR(T6="",C6&lt;&gt;T6),"PERFIL_NO_CONSTITUIDO",IF(K6&lt;&gt;V6,IF(V6="ORDEN_ACREDITADO","ORDEN_NO_ACREDITADO","CONTEXTO_NO_CONSTITUIDO"),IF(AND(G6="AUSENTE",H6="",I6=""),"DATO_AUSENTE",IF(AND(G6="CONFLICTO",H6="",I6=""),"CONFLICTO_OBSERVACIONAL",IF(G6&lt;&gt;"UNICA","OBSERVACION_MAL_FORMADA",IF(F6&lt;&gt;U6,"OBSERVACION_INSUFICIENTE",IF(W6="RESULTADO",IF(H6=X6,AA6,IF(OR(H6="orcSucceededWithErrors",H6="orcFailed",H6="orcAborted"),AB6,IF(OR(H6="orcNotStarted",H6="orcInProgress"),"RESULTADO_NO_TERMINAL","LEXEMA_O_FORMA"))),IF(W6="EVENTO_BOOT",IF(H6=X6,AA6,IF(OR(H6="NINGUNO",H6="SOLO_HIBRIDO"),IF(J6="COMPLETA",AB6,"COBERTURA_INSUFICIENTE"),"LEXEMA_O_FORMA")),IF(W6="REQUISITO_SOFT",IF(H6=X6,AA6,IF(H6=Z6,AB6,"LEXEMA_O_FORMA")),IF(W6="EVENTO_PROC",IF(H6=X6,AA6,IF(H6=Z6,IF(J6="COMPLETA",AB6,"COBERTURA_INSUFICIENTE"),"LEXEMA_O_FORMA")),IF(W6="IMAGEN",IF(AND(AND(ISTEXT(H6),LEN(("x"&amp;H6))=65,EXACT(("x"&amp;H6),LOWER(("x"&amp;H6))),ISERROR(SEARCH(" ",("x"&amp;H6))),ISERROR(SEARCH(CHAR(9),("x"&amp;H6))),ISERROR(SEARCH(CHAR(10),("x"&amp;H6))),ISERROR(SEARCH(CHAR(13),("x"&amp;H6))),IFERROR(HEX2DEC(MID(("x"&amp;H6),2,8))&gt;=0,FALSE),IFERROR(HEX2DEC(MID(("x"&amp;H6),10,8))&gt;=0,FALSE),IFERROR(HEX2DEC(MID(("x"&amp;H6),18,8))&gt;=0,FALSE),IFERROR(HEX2DEC(MID(("x"&amp;H6),26,8))&gt;=0,FALSE),IFERROR(HEX2DEC(MID(("x"&amp;H6),34,8))&gt;=0,FALSE),IFERROR(HEX2DEC(MID(("x"&amp;H6),42,8))&gt;=0,FALSE),IFERROR(HEX2DEC(MID(("x"&amp;H6),50,8))&gt;=0,FALSE),IFERROR(HEX2DEC(MID(("x"&amp;H6),58,8))&gt;=0,FALSE)),AND(ISTEXT(I6),LEN(("x"&amp;I6))=65,EXACT(("x"&amp;I6),LOWER(("x"&amp;I6))),ISERROR(SEARCH(" ",("x"&amp;I6))),ISERROR(SEARCH(CHAR(9),("x"&amp;I6))),ISERROR(SEARCH(CHAR(10),("x"&amp;I6))),ISERROR(SEARCH(CHAR(13),("x"&amp;I6))),IFERROR(HEX2DEC(MID(("x"&amp;I6),2,8))&gt;=0,FALSE),IFERROR(HEX2DEC(MID(("x"&amp;I6),10,8))&gt;=0,FALSE),IFERROR(HEX2DEC(MID(("x"&amp;I6),18,8))&gt;=0,FALSE),IFERROR(HEX2DEC(MID(("x"&amp;I6),26,8))&gt;=0,FALSE),IFERROR(HEX2DEC(MID(("x"&amp;I6),34,8))&gt;=0,FALSE),IFERROR(HEX2DEC(MID(("x"&amp;I6),42,8))&gt;=0,FALSE),IFERROR(HEX2DEC(MID(("x"&amp;I6),50,8))&gt;=0,FALSE),IFERROR(HEX2DEC(MID(("x"&amp;I6),58,8))&gt;=0,FALSE))),IF(EXACT("x"&amp;H6,"x"&amp;I6),AA6,AB6),"LEXEMA_O_FORMA"),IF(W6="PRUEBA",IF(H6=X6,AA6,IF(H6=Z6,AB6,"LEXEMA_O_FORMA")),IF(W6="RETIRADA",IF(AND(H6="NINGUNO",I6=""),IF(J6="COMPLETA",AB6,"COBERTURA_INSUFICIENTE"),IF(AND(OR(H6="uoInstallation",H6="uoUninstallation"),OR(I6="orcSucceeded",I6="orcSucceededWithErrors",I6="orcFailed",I6="orcAborted",I6="orcInProgress",I6="orcNotStarted")),IF(AND(H6=X6,I6=Y6),AA6,IF(AND(H6=X6,OR(I6="orcSucceededWithErrors",I6="orcInProgress",I6="orcNotStarted")),"RESULTADO_RETIRADA_INCIERTO",IF(J6="COMPLETA",AB6,"COBERTURA_INSUFICIENTE"))),"LEXEMA_O_FORMA")),IF(W6="CAMBIO",IF(OR(H6="CAMBIO",H6="CAMBIO_Y_RETORNO"),AA6,IF(OR(H6="NINGUNO",H6="SOLO_RENOMBRE"),IF(J6="COMPLETA",AB6,"COBERTURA_INSUFICIENTE"),"LEXEMA_O_FORMA")),IF(W6="RESTAURACION",IF(H6=X6,AA6,IF(OR(H6="NINGUNO",H6="RESTAURACION_POSTERIOR",H6="RESTAURACION_FALLIDA"),IF(J6="COMPLETA",AB6,"COBERTURA_INSUFICIENTE"),"LEXEMA_O_FORMA")),"PERFIL_NO_CONSTITUIDO"))))))))))))))))))</x:f>
        <x:v>NO_EXITO_PLENO</x:v>
      </x:c>
      <x:c r="R6" s="12" t="str">
        <x:f>IF(AND(L6=O6,M6=P6,N6=Q6),"PASA","NO_PASA")</x:f>
        <x:v>PASA</x:v>
      </x:c>
      <x:c r="S6" s="4" t="str">
        <x:v>Negativo explícito; en eventos exige cobertura del intervalo.</x:v>
      </x:c>
      <x:c r="T6" s="12" t="str">
        <x:f>IFERROR(INDEX('55_Codificacion_ensayo'!$B$5:$B$13,MATCH(B6,'55_Codificacion_ensayo'!$A$5:$A$13,0)),"")</x:f>
        <x:v>WUA-RESULTADO-INDIVIDUAL-0.1</x:v>
      </x:c>
      <x:c r="U6" s="12" t="str">
        <x:f>IFERROR(INDEX('55_Codificacion_ensayo'!$C$5:$C$13,MATCH(B6,'55_Codificacion_ensayo'!$A$5:$A$13,0)),"")</x:f>
        <x:v>RESULTADO_WUA_INDIVIDUAL</x:v>
      </x:c>
      <x:c r="V6" s="12" t="str">
        <x:f>IFERROR(INDEX('55_Codificacion_ensayo'!$D$5:$D$13,MATCH(B6,'55_Codificacion_ensayo'!$A$5:$A$13,0)),"")</x:f>
        <x:v>INSTALAR_INDIVIDUAL</x:v>
      </x:c>
      <x:c r="W6" s="12" t="str">
        <x:f>IFERROR(INDEX('55_Codificacion_ensayo'!$E$5:$E$13,MATCH(B6,'55_Codificacion_ensayo'!$A$5:$A$13,0)),"")</x:f>
        <x:v>RESULTADO</x:v>
      </x:c>
      <x:c r="X6" s="12" t="str">
        <x:f>IFERROR(INDEX('55_Codificacion_ensayo'!$F$5:$F$13,MATCH(B6,'55_Codificacion_ensayo'!$A$5:$A$13,0)),"")</x:f>
        <x:v>orcSucceeded</x:v>
      </x:c>
      <x:c r="Y6" s="12" t="str">
        <x:f>IFERROR(INDEX('55_Codificacion_ensayo'!$G$5:$G$13,MATCH(B6,'55_Codificacion_ensayo'!$A$5:$A$13,0)),"")</x:f>
      </x:c>
      <x:c r="Z6" s="12" t="str">
        <x:f>IFERROR(INDEX('55_Codificacion_ensayo'!$H$5:$H$13,MATCH(B6,'55_Codificacion_ensayo'!$A$5:$A$13,0)),"")</x:f>
        <x:v>orcFailed</x:v>
      </x:c>
      <x:c r="AA6" s="12" t="str">
        <x:f>IFERROR(INDEX('55_Codificacion_ensayo'!$I$5:$I$13,MATCH(B6,'55_Codificacion_ensayo'!$A$5:$A$13,0)),"")</x:f>
        <x:v>EXITO_COMUNICADO</x:v>
      </x:c>
      <x:c r="AB6" s="12" t="str">
        <x:f>IFERROR(INDEX('55_Codificacion_ensayo'!$J$5:$J$13,MATCH(B6,'55_Codificacion_ensayo'!$A$5:$A$13,0)),"")</x:f>
        <x:v>NO_EXITO_PLENO</x:v>
      </x:c>
    </x:row>
    <x:row r="7" ht="47" customHeight="1">
      <x:c r="A7" s="4" t="str">
        <x:v>L10-02-03</x:v>
      </x:c>
      <x:c r="B7" s="4" t="str">
        <x:v>PAR-CYB-INSTALACION-EXITO-COMUNICADO-001</x:v>
      </x:c>
      <x:c r="C7" s="4" t="str">
        <x:v>WUA-RESULTADO-INDIVIDUAL-0.1</x:v>
      </x:c>
      <x:c r="D7" s="4" t="str">
        <x:v>COINCIDE</x:v>
      </x:c>
      <x:c r="E7" s="4" t="str">
        <x:v>LEGIBLE</x:v>
      </x:c>
      <x:c r="F7" s="4" t="str">
        <x:v>RESULTADO_WUA_INDIVIDUAL</x:v>
      </x:c>
      <x:c r="G7" s="4" t="str">
        <x:v>AUSENTE</x:v>
      </x:c>
      <x:c r="H7" s="4" t="str"/>
      <x:c r="I7" s="4" t="str"/>
      <x:c r="J7" s="4" t="str">
        <x:v>COMPLETA</x:v>
      </x:c>
      <x:c r="K7" s="4" t="str">
        <x:v>INSTALAR_INDIVIDUAL</x:v>
      </x:c>
      <x:c r="L7" s="4" t="str">
        <x:v>VALIDA</x:v>
      </x:c>
      <x:c r="M7" s="4" t="str">
        <x:v>U</x:v>
      </x:c>
      <x:c r="N7" s="4" t="str">
        <x:v>DATO_AUSENTE</x:v>
      </x:c>
      <x:c r="O7" s="12" t="str">
        <x:f>IF(Q7="SIN_EJECUCION_DOMINIO","FALLO_CAPTURA",IF(OR(Q7="CAPTURA_MAL_FORMADA",Q7="IDENTIDAD",Q7="OBSERVACION_MAL_FORMADA",Q7="LEXEMA_O_FORMA"),"NO_ADMISION",IF(OR(Q7="PERFIL_NO_CONSTITUIDO",Q7="RESULTADO_NO_TERMINAL"),"FUERA_PERFIL",IF(Q7="CONTEXTO_NO_CONSTITUIDO","CONFIGURACION_PENDIENTE","VALIDA"))))</x:f>
        <x:v>VALIDA</x:v>
      </x:c>
      <x:c r="P7" s="12" t="str">
        <x:f>IF(O7&lt;&gt;"VALIDA","",IF(Q7=AA7,"1",IF(Q7=AB7,"0","U")))</x:f>
        <x:v>U</x:v>
      </x:c>
      <x:c r="Q7" s="12" t="str">
        <x:f>IF(E7="FALLO","SIN_EJECUCION_DOMINIO",IF(E7&lt;&gt;"LEGIBLE","CAPTURA_MAL_FORMADA",IF(D7&lt;&gt;"COINCIDE","IDENTIDAD",IF(OR(T7="",C7&lt;&gt;T7),"PERFIL_NO_CONSTITUIDO",IF(K7&lt;&gt;V7,IF(V7="ORDEN_ACREDITADO","ORDEN_NO_ACREDITADO","CONTEXTO_NO_CONSTITUIDO"),IF(AND(G7="AUSENTE",H7="",I7=""),"DATO_AUSENTE",IF(AND(G7="CONFLICTO",H7="",I7=""),"CONFLICTO_OBSERVACIONAL",IF(G7&lt;&gt;"UNICA","OBSERVACION_MAL_FORMADA",IF(F7&lt;&gt;U7,"OBSERVACION_INSUFICIENTE",IF(W7="RESULTADO",IF(H7=X7,AA7,IF(OR(H7="orcSucceededWithErrors",H7="orcFailed",H7="orcAborted"),AB7,IF(OR(H7="orcNotStarted",H7="orcInProgress"),"RESULTADO_NO_TERMINAL","LEXEMA_O_FORMA"))),IF(W7="EVENTO_BOOT",IF(H7=X7,AA7,IF(OR(H7="NINGUNO",H7="SOLO_HIBRIDO"),IF(J7="COMPLETA",AB7,"COBERTURA_INSUFICIENTE"),"LEXEMA_O_FORMA")),IF(W7="REQUISITO_SOFT",IF(H7=X7,AA7,IF(H7=Z7,AB7,"LEXEMA_O_FORMA")),IF(W7="EVENTO_PROC",IF(H7=X7,AA7,IF(H7=Z7,IF(J7="COMPLETA",AB7,"COBERTURA_INSUFICIENTE"),"LEXEMA_O_FORMA")),IF(W7="IMAGEN",IF(AND(AND(ISTEXT(H7),LEN(("x"&amp;H7))=65,EXACT(("x"&amp;H7),LOWER(("x"&amp;H7))),ISERROR(SEARCH(" ",("x"&amp;H7))),ISERROR(SEARCH(CHAR(9),("x"&amp;H7))),ISERROR(SEARCH(CHAR(10),("x"&amp;H7))),ISERROR(SEARCH(CHAR(13),("x"&amp;H7))),IFERROR(HEX2DEC(MID(("x"&amp;H7),2,8))&gt;=0,FALSE),IFERROR(HEX2DEC(MID(("x"&amp;H7),10,8))&gt;=0,FALSE),IFERROR(HEX2DEC(MID(("x"&amp;H7),18,8))&gt;=0,FALSE),IFERROR(HEX2DEC(MID(("x"&amp;H7),26,8))&gt;=0,FALSE),IFERROR(HEX2DEC(MID(("x"&amp;H7),34,8))&gt;=0,FALSE),IFERROR(HEX2DEC(MID(("x"&amp;H7),42,8))&gt;=0,FALSE),IFERROR(HEX2DEC(MID(("x"&amp;H7),50,8))&gt;=0,FALSE),IFERROR(HEX2DEC(MID(("x"&amp;H7),58,8))&gt;=0,FALSE)),AND(ISTEXT(I7),LEN(("x"&amp;I7))=65,EXACT(("x"&amp;I7),LOWER(("x"&amp;I7))),ISERROR(SEARCH(" ",("x"&amp;I7))),ISERROR(SEARCH(CHAR(9),("x"&amp;I7))),ISERROR(SEARCH(CHAR(10),("x"&amp;I7))),ISERROR(SEARCH(CHAR(13),("x"&amp;I7))),IFERROR(HEX2DEC(MID(("x"&amp;I7),2,8))&gt;=0,FALSE),IFERROR(HEX2DEC(MID(("x"&amp;I7),10,8))&gt;=0,FALSE),IFERROR(HEX2DEC(MID(("x"&amp;I7),18,8))&gt;=0,FALSE),IFERROR(HEX2DEC(MID(("x"&amp;I7),26,8))&gt;=0,FALSE),IFERROR(HEX2DEC(MID(("x"&amp;I7),34,8))&gt;=0,FALSE),IFERROR(HEX2DEC(MID(("x"&amp;I7),42,8))&gt;=0,FALSE),IFERROR(HEX2DEC(MID(("x"&amp;I7),50,8))&gt;=0,FALSE),IFERROR(HEX2DEC(MID(("x"&amp;I7),58,8))&gt;=0,FALSE))),IF(EXACT("x"&amp;H7,"x"&amp;I7),AA7,AB7),"LEXEMA_O_FORMA"),IF(W7="PRUEBA",IF(H7=X7,AA7,IF(H7=Z7,AB7,"LEXEMA_O_FORMA")),IF(W7="RETIRADA",IF(AND(H7="NINGUNO",I7=""),IF(J7="COMPLETA",AB7,"COBERTURA_INSUFICIENTE"),IF(AND(OR(H7="uoInstallation",H7="uoUninstallation"),OR(I7="orcSucceeded",I7="orcSucceededWithErrors",I7="orcFailed",I7="orcAborted",I7="orcInProgress",I7="orcNotStarted")),IF(AND(H7=X7,I7=Y7),AA7,IF(AND(H7=X7,OR(I7="orcSucceededWithErrors",I7="orcInProgress",I7="orcNotStarted")),"RESULTADO_RETIRADA_INCIERTO",IF(J7="COMPLETA",AB7,"COBERTURA_INSUFICIENTE"))),"LEXEMA_O_FORMA")),IF(W7="CAMBIO",IF(OR(H7="CAMBIO",H7="CAMBIO_Y_RETORNO"),AA7,IF(OR(H7="NINGUNO",H7="SOLO_RENOMBRE"),IF(J7="COMPLETA",AB7,"COBERTURA_INSUFICIENTE"),"LEXEMA_O_FORMA")),IF(W7="RESTAURACION",IF(H7=X7,AA7,IF(OR(H7="NINGUNO",H7="RESTAURACION_POSTERIOR",H7="RESTAURACION_FALLIDA"),IF(J7="COMPLETA",AB7,"COBERTURA_INSUFICIENTE"),"LEXEMA_O_FORMA")),"PERFIL_NO_CONSTITUIDO"))))))))))))))))))</x:f>
        <x:v>DATO_AUSENTE</x:v>
      </x:c>
      <x:c r="R7" s="12" t="str">
        <x:f>IF(AND(L7=O7,M7=P7,N7=Q7),"PASA","NO_PASA")</x:f>
        <x:v>PASA</x:v>
      </x:c>
      <x:c r="S7" s="4" t="str">
        <x:v>Documento declara que falta la observación, sin convertir ausencia en 0.</x:v>
      </x:c>
      <x:c r="T7" s="12" t="str">
        <x:f>IFERROR(INDEX('55_Codificacion_ensayo'!$B$5:$B$13,MATCH(B7,'55_Codificacion_ensayo'!$A$5:$A$13,0)),"")</x:f>
        <x:v>WUA-RESULTADO-INDIVIDUAL-0.1</x:v>
      </x:c>
      <x:c r="U7" s="12" t="str">
        <x:f>IFERROR(INDEX('55_Codificacion_ensayo'!$C$5:$C$13,MATCH(B7,'55_Codificacion_ensayo'!$A$5:$A$13,0)),"")</x:f>
        <x:v>RESULTADO_WUA_INDIVIDUAL</x:v>
      </x:c>
      <x:c r="V7" s="12" t="str">
        <x:f>IFERROR(INDEX('55_Codificacion_ensayo'!$D$5:$D$13,MATCH(B7,'55_Codificacion_ensayo'!$A$5:$A$13,0)),"")</x:f>
        <x:v>INSTALAR_INDIVIDUAL</x:v>
      </x:c>
      <x:c r="W7" s="12" t="str">
        <x:f>IFERROR(INDEX('55_Codificacion_ensayo'!$E$5:$E$13,MATCH(B7,'55_Codificacion_ensayo'!$A$5:$A$13,0)),"")</x:f>
        <x:v>RESULTADO</x:v>
      </x:c>
      <x:c r="X7" s="12" t="str">
        <x:f>IFERROR(INDEX('55_Codificacion_ensayo'!$F$5:$F$13,MATCH(B7,'55_Codificacion_ensayo'!$A$5:$A$13,0)),"")</x:f>
        <x:v>orcSucceeded</x:v>
      </x:c>
      <x:c r="Y7" s="12" t="str">
        <x:f>IFERROR(INDEX('55_Codificacion_ensayo'!$G$5:$G$13,MATCH(B7,'55_Codificacion_ensayo'!$A$5:$A$13,0)),"")</x:f>
      </x:c>
      <x:c r="Z7" s="12" t="str">
        <x:f>IFERROR(INDEX('55_Codificacion_ensayo'!$H$5:$H$13,MATCH(B7,'55_Codificacion_ensayo'!$A$5:$A$13,0)),"")</x:f>
        <x:v>orcFailed</x:v>
      </x:c>
      <x:c r="AA7" s="12" t="str">
        <x:f>IFERROR(INDEX('55_Codificacion_ensayo'!$I$5:$I$13,MATCH(B7,'55_Codificacion_ensayo'!$A$5:$A$13,0)),"")</x:f>
        <x:v>EXITO_COMUNICADO</x:v>
      </x:c>
      <x:c r="AB7" s="12" t="str">
        <x:f>IFERROR(INDEX('55_Codificacion_ensayo'!$J$5:$J$13,MATCH(B7,'55_Codificacion_ensayo'!$A$5:$A$13,0)),"")</x:f>
        <x:v>NO_EXITO_PLENO</x:v>
      </x:c>
    </x:row>
    <x:row r="8" ht="47" customHeight="1">
      <x:c r="A8" s="4" t="str">
        <x:v>L10-02-04</x:v>
      </x:c>
      <x:c r="B8" s="4" t="str">
        <x:v>PAR-CYB-INSTALACION-EXITO-COMUNICADO-001</x:v>
      </x:c>
      <x:c r="C8" s="4" t="str">
        <x:v>WUA-RESULTADO-INDIVIDUAL-0.1</x:v>
      </x:c>
      <x:c r="D8" s="4" t="str">
        <x:v>COINCIDE</x:v>
      </x:c>
      <x:c r="E8" s="4" t="str">
        <x:v>LEGIBLE</x:v>
      </x:c>
      <x:c r="F8" s="4" t="str">
        <x:v>RESULTADO_WUA_INDIVIDUAL</x:v>
      </x:c>
      <x:c r="G8" s="4" t="str">
        <x:v>CONFLICTO</x:v>
      </x:c>
      <x:c r="H8" s="4" t="str"/>
      <x:c r="I8" s="4" t="str"/>
      <x:c r="J8" s="4" t="str">
        <x:v>COMPLETA</x:v>
      </x:c>
      <x:c r="K8" s="4" t="str">
        <x:v>INSTALAR_INDIVIDUAL</x:v>
      </x:c>
      <x:c r="L8" s="4" t="str">
        <x:v>VALIDA</x:v>
      </x:c>
      <x:c r="M8" s="4" t="str">
        <x:v>U</x:v>
      </x:c>
      <x:c r="N8" s="4" t="str">
        <x:v>CONFLICTO_OBSERVACIONAL</x:v>
      </x:c>
      <x:c r="O8" s="12" t="str">
        <x:f>IF(Q8="SIN_EJECUCION_DOMINIO","FALLO_CAPTURA",IF(OR(Q8="CAPTURA_MAL_FORMADA",Q8="IDENTIDAD",Q8="OBSERVACION_MAL_FORMADA",Q8="LEXEMA_O_FORMA"),"NO_ADMISION",IF(OR(Q8="PERFIL_NO_CONSTITUIDO",Q8="RESULTADO_NO_TERMINAL"),"FUERA_PERFIL",IF(Q8="CONTEXTO_NO_CONSTITUIDO","CONFIGURACION_PENDIENTE","VALIDA"))))</x:f>
        <x:v>VALIDA</x:v>
      </x:c>
      <x:c r="P8" s="12" t="str">
        <x:f>IF(O8&lt;&gt;"VALIDA","",IF(Q8=AA8,"1",IF(Q8=AB8,"0","U")))</x:f>
        <x:v>U</x:v>
      </x:c>
      <x:c r="Q8" s="12" t="str">
        <x:f>IF(E8="FALLO","SIN_EJECUCION_DOMINIO",IF(E8&lt;&gt;"LEGIBLE","CAPTURA_MAL_FORMADA",IF(D8&lt;&gt;"COINCIDE","IDENTIDAD",IF(OR(T8="",C8&lt;&gt;T8),"PERFIL_NO_CONSTITUIDO",IF(K8&lt;&gt;V8,IF(V8="ORDEN_ACREDITADO","ORDEN_NO_ACREDITADO","CONTEXTO_NO_CONSTITUIDO"),IF(AND(G8="AUSENTE",H8="",I8=""),"DATO_AUSENTE",IF(AND(G8="CONFLICTO",H8="",I8=""),"CONFLICTO_OBSERVACIONAL",IF(G8&lt;&gt;"UNICA","OBSERVACION_MAL_FORMADA",IF(F8&lt;&gt;U8,"OBSERVACION_INSUFICIENTE",IF(W8="RESULTADO",IF(H8=X8,AA8,IF(OR(H8="orcSucceededWithErrors",H8="orcFailed",H8="orcAborted"),AB8,IF(OR(H8="orcNotStarted",H8="orcInProgress"),"RESULTADO_NO_TERMINAL","LEXEMA_O_FORMA"))),IF(W8="EVENTO_BOOT",IF(H8=X8,AA8,IF(OR(H8="NINGUNO",H8="SOLO_HIBRIDO"),IF(J8="COMPLETA",AB8,"COBERTURA_INSUFICIENTE"),"LEXEMA_O_FORMA")),IF(W8="REQUISITO_SOFT",IF(H8=X8,AA8,IF(H8=Z8,AB8,"LEXEMA_O_FORMA")),IF(W8="EVENTO_PROC",IF(H8=X8,AA8,IF(H8=Z8,IF(J8="COMPLETA",AB8,"COBERTURA_INSUFICIENTE"),"LEXEMA_O_FORMA")),IF(W8="IMAGEN",IF(AND(AND(ISTEXT(H8),LEN(("x"&amp;H8))=65,EXACT(("x"&amp;H8),LOWER(("x"&amp;H8))),ISERROR(SEARCH(" ",("x"&amp;H8))),ISERROR(SEARCH(CHAR(9),("x"&amp;H8))),ISERROR(SEARCH(CHAR(10),("x"&amp;H8))),ISERROR(SEARCH(CHAR(13),("x"&amp;H8))),IFERROR(HEX2DEC(MID(("x"&amp;H8),2,8))&gt;=0,FALSE),IFERROR(HEX2DEC(MID(("x"&amp;H8),10,8))&gt;=0,FALSE),IFERROR(HEX2DEC(MID(("x"&amp;H8),18,8))&gt;=0,FALSE),IFERROR(HEX2DEC(MID(("x"&amp;H8),26,8))&gt;=0,FALSE),IFERROR(HEX2DEC(MID(("x"&amp;H8),34,8))&gt;=0,FALSE),IFERROR(HEX2DEC(MID(("x"&amp;H8),42,8))&gt;=0,FALSE),IFERROR(HEX2DEC(MID(("x"&amp;H8),50,8))&gt;=0,FALSE),IFERROR(HEX2DEC(MID(("x"&amp;H8),58,8))&gt;=0,FALSE)),AND(ISTEXT(I8),LEN(("x"&amp;I8))=65,EXACT(("x"&amp;I8),LOWER(("x"&amp;I8))),ISERROR(SEARCH(" ",("x"&amp;I8))),ISERROR(SEARCH(CHAR(9),("x"&amp;I8))),ISERROR(SEARCH(CHAR(10),("x"&amp;I8))),ISERROR(SEARCH(CHAR(13),("x"&amp;I8))),IFERROR(HEX2DEC(MID(("x"&amp;I8),2,8))&gt;=0,FALSE),IFERROR(HEX2DEC(MID(("x"&amp;I8),10,8))&gt;=0,FALSE),IFERROR(HEX2DEC(MID(("x"&amp;I8),18,8))&gt;=0,FALSE),IFERROR(HEX2DEC(MID(("x"&amp;I8),26,8))&gt;=0,FALSE),IFERROR(HEX2DEC(MID(("x"&amp;I8),34,8))&gt;=0,FALSE),IFERROR(HEX2DEC(MID(("x"&amp;I8),42,8))&gt;=0,FALSE),IFERROR(HEX2DEC(MID(("x"&amp;I8),50,8))&gt;=0,FALSE),IFERROR(HEX2DEC(MID(("x"&amp;I8),58,8))&gt;=0,FALSE))),IF(EXACT("x"&amp;H8,"x"&amp;I8),AA8,AB8),"LEXEMA_O_FORMA"),IF(W8="PRUEBA",IF(H8=X8,AA8,IF(H8=Z8,AB8,"LEXEMA_O_FORMA")),IF(W8="RETIRADA",IF(AND(H8="NINGUNO",I8=""),IF(J8="COMPLETA",AB8,"COBERTURA_INSUFICIENTE"),IF(AND(OR(H8="uoInstallation",H8="uoUninstallation"),OR(I8="orcSucceeded",I8="orcSucceededWithErrors",I8="orcFailed",I8="orcAborted",I8="orcInProgress",I8="orcNotStarted")),IF(AND(H8=X8,I8=Y8),AA8,IF(AND(H8=X8,OR(I8="orcSucceededWithErrors",I8="orcInProgress",I8="orcNotStarted")),"RESULTADO_RETIRADA_INCIERTO",IF(J8="COMPLETA",AB8,"COBERTURA_INSUFICIENTE"))),"LEXEMA_O_FORMA")),IF(W8="CAMBIO",IF(OR(H8="CAMBIO",H8="CAMBIO_Y_RETORNO"),AA8,IF(OR(H8="NINGUNO",H8="SOLO_RENOMBRE"),IF(J8="COMPLETA",AB8,"COBERTURA_INSUFICIENTE"),"LEXEMA_O_FORMA")),IF(W8="RESTAURACION",IF(H8=X8,AA8,IF(OR(H8="NINGUNO",H8="RESTAURACION_POSTERIOR",H8="RESTAURACION_FALLIDA"),IF(J8="COMPLETA",AB8,"COBERTURA_INSUFICIENTE"),"LEXEMA_O_FORMA")),"PERFIL_NO_CONSTITUIDO"))))))))))))))))))</x:f>
        <x:v>CONFLICTO_OBSERVACIONAL</x:v>
      </x:c>
      <x:c r="R8" s="12" t="str">
        <x:f>IF(AND(L8=O8,M8=P8,N8=Q8),"PASA","NO_PASA")</x:f>
        <x:v>PASA</x:v>
      </x:c>
      <x:c r="S8" s="4" t="str">
        <x:v>Conflicto entre observaciones admitidas del mismo sujeto y corte.</x:v>
      </x:c>
      <x:c r="T8" s="12" t="str">
        <x:f>IFERROR(INDEX('55_Codificacion_ensayo'!$B$5:$B$13,MATCH(B8,'55_Codificacion_ensayo'!$A$5:$A$13,0)),"")</x:f>
        <x:v>WUA-RESULTADO-INDIVIDUAL-0.1</x:v>
      </x:c>
      <x:c r="U8" s="12" t="str">
        <x:f>IFERROR(INDEX('55_Codificacion_ensayo'!$C$5:$C$13,MATCH(B8,'55_Codificacion_ensayo'!$A$5:$A$13,0)),"")</x:f>
        <x:v>RESULTADO_WUA_INDIVIDUAL</x:v>
      </x:c>
      <x:c r="V8" s="12" t="str">
        <x:f>IFERROR(INDEX('55_Codificacion_ensayo'!$D$5:$D$13,MATCH(B8,'55_Codificacion_ensayo'!$A$5:$A$13,0)),"")</x:f>
        <x:v>INSTALAR_INDIVIDUAL</x:v>
      </x:c>
      <x:c r="W8" s="12" t="str">
        <x:f>IFERROR(INDEX('55_Codificacion_ensayo'!$E$5:$E$13,MATCH(B8,'55_Codificacion_ensayo'!$A$5:$A$13,0)),"")</x:f>
        <x:v>RESULTADO</x:v>
      </x:c>
      <x:c r="X8" s="12" t="str">
        <x:f>IFERROR(INDEX('55_Codificacion_ensayo'!$F$5:$F$13,MATCH(B8,'55_Codificacion_ensayo'!$A$5:$A$13,0)),"")</x:f>
        <x:v>orcSucceeded</x:v>
      </x:c>
      <x:c r="Y8" s="12" t="str">
        <x:f>IFERROR(INDEX('55_Codificacion_ensayo'!$G$5:$G$13,MATCH(B8,'55_Codificacion_ensayo'!$A$5:$A$13,0)),"")</x:f>
      </x:c>
      <x:c r="Z8" s="12" t="str">
        <x:f>IFERROR(INDEX('55_Codificacion_ensayo'!$H$5:$H$13,MATCH(B8,'55_Codificacion_ensayo'!$A$5:$A$13,0)),"")</x:f>
        <x:v>orcFailed</x:v>
      </x:c>
      <x:c r="AA8" s="12" t="str">
        <x:f>IFERROR(INDEX('55_Codificacion_ensayo'!$I$5:$I$13,MATCH(B8,'55_Codificacion_ensayo'!$A$5:$A$13,0)),"")</x:f>
        <x:v>EXITO_COMUNICADO</x:v>
      </x:c>
      <x:c r="AB8" s="12" t="str">
        <x:f>IFERROR(INDEX('55_Codificacion_ensayo'!$J$5:$J$13,MATCH(B8,'55_Codificacion_ensayo'!$A$5:$A$13,0)),"")</x:f>
        <x:v>NO_EXITO_PLENO</x:v>
      </x:c>
    </x:row>
    <x:row r="9" ht="47" customHeight="1">
      <x:c r="A9" s="4" t="str">
        <x:v>L10-02-05</x:v>
      </x:c>
      <x:c r="B9" s="4" t="str">
        <x:v>PAR-CYB-INSTALACION-EXITO-COMUNICADO-001</x:v>
      </x:c>
      <x:c r="C9" s="4" t="str">
        <x:v>WUA-RESULTADO-INDIVIDUAL-0.1</x:v>
      </x:c>
      <x:c r="D9" s="4" t="str">
        <x:v>COINCIDE</x:v>
      </x:c>
      <x:c r="E9" s="4" t="str">
        <x:v>FALLO</x:v>
      </x:c>
      <x:c r="F9" s="4" t="str">
        <x:v>RESULTADO_WUA_INDIVIDUAL</x:v>
      </x:c>
      <x:c r="G9" s="4" t="str">
        <x:v>UNICA</x:v>
      </x:c>
      <x:c r="H9" s="4" t="str">
        <x:v>orcSucceeded</x:v>
      </x:c>
      <x:c r="I9" s="4" t="str"/>
      <x:c r="J9" s="4" t="str">
        <x:v>COMPLETA</x:v>
      </x:c>
      <x:c r="K9" s="4" t="str">
        <x:v>INSTALAR_INDIVIDUAL</x:v>
      </x:c>
      <x:c r="L9" s="4" t="str">
        <x:v>FALLO_CAPTURA</x:v>
      </x:c>
      <x:c r="M9" s="4" t="str"/>
      <x:c r="N9" s="4" t="str">
        <x:v>SIN_EJECUCION_DOMINIO</x:v>
      </x:c>
      <x:c r="O9" s="12" t="str">
        <x:f>IF(Q9="SIN_EJECUCION_DOMINIO","FALLO_CAPTURA",IF(OR(Q9="CAPTURA_MAL_FORMADA",Q9="IDENTIDAD",Q9="OBSERVACION_MAL_FORMADA",Q9="LEXEMA_O_FORMA"),"NO_ADMISION",IF(OR(Q9="PERFIL_NO_CONSTITUIDO",Q9="RESULTADO_NO_TERMINAL"),"FUERA_PERFIL",IF(Q9="CONTEXTO_NO_CONSTITUIDO","CONFIGURACION_PENDIENTE","VALIDA"))))</x:f>
        <x:v>FALLO_CAPTURA</x:v>
      </x:c>
      <x:c r="P9" s="12" t="str">
        <x:f>IF(O9&lt;&gt;"VALIDA","",IF(Q9=AA9,"1",IF(Q9=AB9,"0","U")))</x:f>
      </x:c>
      <x:c r="Q9" s="12" t="str">
        <x:f>IF(E9="FALLO","SIN_EJECUCION_DOMINIO",IF(E9&lt;&gt;"LEGIBLE","CAPTURA_MAL_FORMADA",IF(D9&lt;&gt;"COINCIDE","IDENTIDAD",IF(OR(T9="",C9&lt;&gt;T9),"PERFIL_NO_CONSTITUIDO",IF(K9&lt;&gt;V9,IF(V9="ORDEN_ACREDITADO","ORDEN_NO_ACREDITADO","CONTEXTO_NO_CONSTITUIDO"),IF(AND(G9="AUSENTE",H9="",I9=""),"DATO_AUSENTE",IF(AND(G9="CONFLICTO",H9="",I9=""),"CONFLICTO_OBSERVACIONAL",IF(G9&lt;&gt;"UNICA","OBSERVACION_MAL_FORMADA",IF(F9&lt;&gt;U9,"OBSERVACION_INSUFICIENTE",IF(W9="RESULTADO",IF(H9=X9,AA9,IF(OR(H9="orcSucceededWithErrors",H9="orcFailed",H9="orcAborted"),AB9,IF(OR(H9="orcNotStarted",H9="orcInProgress"),"RESULTADO_NO_TERMINAL","LEXEMA_O_FORMA"))),IF(W9="EVENTO_BOOT",IF(H9=X9,AA9,IF(OR(H9="NINGUNO",H9="SOLO_HIBRIDO"),IF(J9="COMPLETA",AB9,"COBERTURA_INSUFICIENTE"),"LEXEMA_O_FORMA")),IF(W9="REQUISITO_SOFT",IF(H9=X9,AA9,IF(H9=Z9,AB9,"LEXEMA_O_FORMA")),IF(W9="EVENTO_PROC",IF(H9=X9,AA9,IF(H9=Z9,IF(J9="COMPLETA",AB9,"COBERTURA_INSUFICIENTE"),"LEXEMA_O_FORMA")),IF(W9="IMAGEN",IF(AND(AND(ISTEXT(H9),LEN(("x"&amp;H9))=65,EXACT(("x"&amp;H9),LOWER(("x"&amp;H9))),ISERROR(SEARCH(" ",("x"&amp;H9))),ISERROR(SEARCH(CHAR(9),("x"&amp;H9))),ISERROR(SEARCH(CHAR(10),("x"&amp;H9))),ISERROR(SEARCH(CHAR(13),("x"&amp;H9))),IFERROR(HEX2DEC(MID(("x"&amp;H9),2,8))&gt;=0,FALSE),IFERROR(HEX2DEC(MID(("x"&amp;H9),10,8))&gt;=0,FALSE),IFERROR(HEX2DEC(MID(("x"&amp;H9),18,8))&gt;=0,FALSE),IFERROR(HEX2DEC(MID(("x"&amp;H9),26,8))&gt;=0,FALSE),IFERROR(HEX2DEC(MID(("x"&amp;H9),34,8))&gt;=0,FALSE),IFERROR(HEX2DEC(MID(("x"&amp;H9),42,8))&gt;=0,FALSE),IFERROR(HEX2DEC(MID(("x"&amp;H9),50,8))&gt;=0,FALSE),IFERROR(HEX2DEC(MID(("x"&amp;H9),58,8))&gt;=0,FALSE)),AND(ISTEXT(I9),LEN(("x"&amp;I9))=65,EXACT(("x"&amp;I9),LOWER(("x"&amp;I9))),ISERROR(SEARCH(" ",("x"&amp;I9))),ISERROR(SEARCH(CHAR(9),("x"&amp;I9))),ISERROR(SEARCH(CHAR(10),("x"&amp;I9))),ISERROR(SEARCH(CHAR(13),("x"&amp;I9))),IFERROR(HEX2DEC(MID(("x"&amp;I9),2,8))&gt;=0,FALSE),IFERROR(HEX2DEC(MID(("x"&amp;I9),10,8))&gt;=0,FALSE),IFERROR(HEX2DEC(MID(("x"&amp;I9),18,8))&gt;=0,FALSE),IFERROR(HEX2DEC(MID(("x"&amp;I9),26,8))&gt;=0,FALSE),IFERROR(HEX2DEC(MID(("x"&amp;I9),34,8))&gt;=0,FALSE),IFERROR(HEX2DEC(MID(("x"&amp;I9),42,8))&gt;=0,FALSE),IFERROR(HEX2DEC(MID(("x"&amp;I9),50,8))&gt;=0,FALSE),IFERROR(HEX2DEC(MID(("x"&amp;I9),58,8))&gt;=0,FALSE))),IF(EXACT("x"&amp;H9,"x"&amp;I9),AA9,AB9),"LEXEMA_O_FORMA"),IF(W9="PRUEBA",IF(H9=X9,AA9,IF(H9=Z9,AB9,"LEXEMA_O_FORMA")),IF(W9="RETIRADA",IF(AND(H9="NINGUNO",I9=""),IF(J9="COMPLETA",AB9,"COBERTURA_INSUFICIENTE"),IF(AND(OR(H9="uoInstallation",H9="uoUninstallation"),OR(I9="orcSucceeded",I9="orcSucceededWithErrors",I9="orcFailed",I9="orcAborted",I9="orcInProgress",I9="orcNotStarted")),IF(AND(H9=X9,I9=Y9),AA9,IF(AND(H9=X9,OR(I9="orcSucceededWithErrors",I9="orcInProgress",I9="orcNotStarted")),"RESULTADO_RETIRADA_INCIERTO",IF(J9="COMPLETA",AB9,"COBERTURA_INSUFICIENTE"))),"LEXEMA_O_FORMA")),IF(W9="CAMBIO",IF(OR(H9="CAMBIO",H9="CAMBIO_Y_RETORNO"),AA9,IF(OR(H9="NINGUNO",H9="SOLO_RENOMBRE"),IF(J9="COMPLETA",AB9,"COBERTURA_INSUFICIENTE"),"LEXEMA_O_FORMA")),IF(W9="RESTAURACION",IF(H9=X9,AA9,IF(OR(H9="NINGUNO",H9="RESTAURACION_POSTERIOR",H9="RESTAURACION_FALLIDA"),IF(J9="COMPLETA",AB9,"COBERTURA_INSUFICIENTE"),"LEXEMA_O_FORMA")),"PERFIL_NO_CONSTITUIDO"))))))))))))))))))</x:f>
        <x:v>SIN_EJECUCION_DOMINIO</x:v>
      </x:c>
      <x:c r="R9" s="12" t="str">
        <x:f>IF(AND(L9=O9,M9=P9,N9=Q9),"PASA","NO_PASA")</x:f>
        <x:v>PASA</x:v>
      </x:c>
      <x:c r="S9" s="4" t="str">
        <x:v>El observador falla; no existe ejecución de dominio ni Tri alternativo.</x:v>
      </x:c>
      <x:c r="T9" s="12" t="str">
        <x:f>IFERROR(INDEX('55_Codificacion_ensayo'!$B$5:$B$13,MATCH(B9,'55_Codificacion_ensayo'!$A$5:$A$13,0)),"")</x:f>
        <x:v>WUA-RESULTADO-INDIVIDUAL-0.1</x:v>
      </x:c>
      <x:c r="U9" s="12" t="str">
        <x:f>IFERROR(INDEX('55_Codificacion_ensayo'!$C$5:$C$13,MATCH(B9,'55_Codificacion_ensayo'!$A$5:$A$13,0)),"")</x:f>
        <x:v>RESULTADO_WUA_INDIVIDUAL</x:v>
      </x:c>
      <x:c r="V9" s="12" t="str">
        <x:f>IFERROR(INDEX('55_Codificacion_ensayo'!$D$5:$D$13,MATCH(B9,'55_Codificacion_ensayo'!$A$5:$A$13,0)),"")</x:f>
        <x:v>INSTALAR_INDIVIDUAL</x:v>
      </x:c>
      <x:c r="W9" s="12" t="str">
        <x:f>IFERROR(INDEX('55_Codificacion_ensayo'!$E$5:$E$13,MATCH(B9,'55_Codificacion_ensayo'!$A$5:$A$13,0)),"")</x:f>
        <x:v>RESULTADO</x:v>
      </x:c>
      <x:c r="X9" s="12" t="str">
        <x:f>IFERROR(INDEX('55_Codificacion_ensayo'!$F$5:$F$13,MATCH(B9,'55_Codificacion_ensayo'!$A$5:$A$13,0)),"")</x:f>
        <x:v>orcSucceeded</x:v>
      </x:c>
      <x:c r="Y9" s="12" t="str">
        <x:f>IFERROR(INDEX('55_Codificacion_ensayo'!$G$5:$G$13,MATCH(B9,'55_Codificacion_ensayo'!$A$5:$A$13,0)),"")</x:f>
      </x:c>
      <x:c r="Z9" s="12" t="str">
        <x:f>IFERROR(INDEX('55_Codificacion_ensayo'!$H$5:$H$13,MATCH(B9,'55_Codificacion_ensayo'!$A$5:$A$13,0)),"")</x:f>
        <x:v>orcFailed</x:v>
      </x:c>
      <x:c r="AA9" s="12" t="str">
        <x:f>IFERROR(INDEX('55_Codificacion_ensayo'!$I$5:$I$13,MATCH(B9,'55_Codificacion_ensayo'!$A$5:$A$13,0)),"")</x:f>
        <x:v>EXITO_COMUNICADO</x:v>
      </x:c>
      <x:c r="AB9" s="12" t="str">
        <x:f>IFERROR(INDEX('55_Codificacion_ensayo'!$J$5:$J$13,MATCH(B9,'55_Codificacion_ensayo'!$A$5:$A$13,0)),"")</x:f>
        <x:v>NO_EXITO_PLENO</x:v>
      </x:c>
    </x:row>
    <x:row r="10" ht="47" customHeight="1">
      <x:c r="A10" s="4" t="str">
        <x:v>L10-02-06</x:v>
      </x:c>
      <x:c r="B10" s="4" t="str">
        <x:v>PAR-CYB-INSTALACION-EXITO-COMUNICADO-001</x:v>
      </x:c>
      <x:c r="C10" s="4" t="str">
        <x:v>WUA-RESULTADO-INDIVIDUAL-0.1</x:v>
      </x:c>
      <x:c r="D10" s="4" t="str">
        <x:v>OTRO</x:v>
      </x:c>
      <x:c r="E10" s="4" t="str">
        <x:v>LEGIBLE</x:v>
      </x:c>
      <x:c r="F10" s="4" t="str">
        <x:v>RESULTADO_WUA_INDIVIDUAL</x:v>
      </x:c>
      <x:c r="G10" s="4" t="str">
        <x:v>UNICA</x:v>
      </x:c>
      <x:c r="H10" s="4" t="str">
        <x:v>orcSucceeded</x:v>
      </x:c>
      <x:c r="I10" s="4" t="str"/>
      <x:c r="J10" s="4" t="str">
        <x:v>COMPLETA</x:v>
      </x:c>
      <x:c r="K10" s="4" t="str">
        <x:v>INSTALAR_INDIVIDUAL</x:v>
      </x:c>
      <x:c r="L10" s="4" t="str">
        <x:v>NO_ADMISION</x:v>
      </x:c>
      <x:c r="M10" s="4" t="str"/>
      <x:c r="N10" s="4" t="str">
        <x:v>IDENTIDAD</x:v>
      </x:c>
      <x:c r="O10" s="12" t="str">
        <x:f>IF(Q10="SIN_EJECUCION_DOMINIO","FALLO_CAPTURA",IF(OR(Q10="CAPTURA_MAL_FORMADA",Q10="IDENTIDAD",Q10="OBSERVACION_MAL_FORMADA",Q10="LEXEMA_O_FORMA"),"NO_ADMISION",IF(OR(Q10="PERFIL_NO_CONSTITUIDO",Q10="RESULTADO_NO_TERMINAL"),"FUERA_PERFIL",IF(Q10="CONTEXTO_NO_CONSTITUIDO","CONFIGURACION_PENDIENTE","VALIDA"))))</x:f>
        <x:v>NO_ADMISION</x:v>
      </x:c>
      <x:c r="P10" s="12" t="str">
        <x:f>IF(O10&lt;&gt;"VALIDA","",IF(Q10=AA10,"1",IF(Q10=AB10,"0","U")))</x:f>
      </x:c>
      <x:c r="Q10" s="12" t="str">
        <x:f>IF(E10="FALLO","SIN_EJECUCION_DOMINIO",IF(E10&lt;&gt;"LEGIBLE","CAPTURA_MAL_FORMADA",IF(D10&lt;&gt;"COINCIDE","IDENTIDAD",IF(OR(T10="",C10&lt;&gt;T10),"PERFIL_NO_CONSTITUIDO",IF(K10&lt;&gt;V10,IF(V10="ORDEN_ACREDITADO","ORDEN_NO_ACREDITADO","CONTEXTO_NO_CONSTITUIDO"),IF(AND(G10="AUSENTE",H10="",I10=""),"DATO_AUSENTE",IF(AND(G10="CONFLICTO",H10="",I10=""),"CONFLICTO_OBSERVACIONAL",IF(G10&lt;&gt;"UNICA","OBSERVACION_MAL_FORMADA",IF(F10&lt;&gt;U10,"OBSERVACION_INSUFICIENTE",IF(W10="RESULTADO",IF(H10=X10,AA10,IF(OR(H10="orcSucceededWithErrors",H10="orcFailed",H10="orcAborted"),AB10,IF(OR(H10="orcNotStarted",H10="orcInProgress"),"RESULTADO_NO_TERMINAL","LEXEMA_O_FORMA"))),IF(W10="EVENTO_BOOT",IF(H10=X10,AA10,IF(OR(H10="NINGUNO",H10="SOLO_HIBRIDO"),IF(J10="COMPLETA",AB10,"COBERTURA_INSUFICIENTE"),"LEXEMA_O_FORMA")),IF(W10="REQUISITO_SOFT",IF(H10=X10,AA10,IF(H10=Z10,AB10,"LEXEMA_O_FORMA")),IF(W10="EVENTO_PROC",IF(H10=X10,AA10,IF(H10=Z10,IF(J10="COMPLETA",AB10,"COBERTURA_INSUFICIENTE"),"LEXEMA_O_FORMA")),IF(W10="IMAGEN",IF(AND(AND(ISTEXT(H10),LEN(("x"&amp;H10))=65,EXACT(("x"&amp;H10),LOWER(("x"&amp;H10))),ISERROR(SEARCH(" ",("x"&amp;H10))),ISERROR(SEARCH(CHAR(9),("x"&amp;H10))),ISERROR(SEARCH(CHAR(10),("x"&amp;H10))),ISERROR(SEARCH(CHAR(13),("x"&amp;H10))),IFERROR(HEX2DEC(MID(("x"&amp;H10),2,8))&gt;=0,FALSE),IFERROR(HEX2DEC(MID(("x"&amp;H10),10,8))&gt;=0,FALSE),IFERROR(HEX2DEC(MID(("x"&amp;H10),18,8))&gt;=0,FALSE),IFERROR(HEX2DEC(MID(("x"&amp;H10),26,8))&gt;=0,FALSE),IFERROR(HEX2DEC(MID(("x"&amp;H10),34,8))&gt;=0,FALSE),IFERROR(HEX2DEC(MID(("x"&amp;H10),42,8))&gt;=0,FALSE),IFERROR(HEX2DEC(MID(("x"&amp;H10),50,8))&gt;=0,FALSE),IFERROR(HEX2DEC(MID(("x"&amp;H10),58,8))&gt;=0,FALSE)),AND(ISTEXT(I10),LEN(("x"&amp;I10))=65,EXACT(("x"&amp;I10),LOWER(("x"&amp;I10))),ISERROR(SEARCH(" ",("x"&amp;I10))),ISERROR(SEARCH(CHAR(9),("x"&amp;I10))),ISERROR(SEARCH(CHAR(10),("x"&amp;I10))),ISERROR(SEARCH(CHAR(13),("x"&amp;I10))),IFERROR(HEX2DEC(MID(("x"&amp;I10),2,8))&gt;=0,FALSE),IFERROR(HEX2DEC(MID(("x"&amp;I10),10,8))&gt;=0,FALSE),IFERROR(HEX2DEC(MID(("x"&amp;I10),18,8))&gt;=0,FALSE),IFERROR(HEX2DEC(MID(("x"&amp;I10),26,8))&gt;=0,FALSE),IFERROR(HEX2DEC(MID(("x"&amp;I10),34,8))&gt;=0,FALSE),IFERROR(HEX2DEC(MID(("x"&amp;I10),42,8))&gt;=0,FALSE),IFERROR(HEX2DEC(MID(("x"&amp;I10),50,8))&gt;=0,FALSE),IFERROR(HEX2DEC(MID(("x"&amp;I10),58,8))&gt;=0,FALSE))),IF(EXACT("x"&amp;H10,"x"&amp;I10),AA10,AB10),"LEXEMA_O_FORMA"),IF(W10="PRUEBA",IF(H10=X10,AA10,IF(H10=Z10,AB10,"LEXEMA_O_FORMA")),IF(W10="RETIRADA",IF(AND(H10="NINGUNO",I10=""),IF(J10="COMPLETA",AB10,"COBERTURA_INSUFICIENTE"),IF(AND(OR(H10="uoInstallation",H10="uoUninstallation"),OR(I10="orcSucceeded",I10="orcSucceededWithErrors",I10="orcFailed",I10="orcAborted",I10="orcInProgress",I10="orcNotStarted")),IF(AND(H10=X10,I10=Y10),AA10,IF(AND(H10=X10,OR(I10="orcSucceededWithErrors",I10="orcInProgress",I10="orcNotStarted")),"RESULTADO_RETIRADA_INCIERTO",IF(J10="COMPLETA",AB10,"COBERTURA_INSUFICIENTE"))),"LEXEMA_O_FORMA")),IF(W10="CAMBIO",IF(OR(H10="CAMBIO",H10="CAMBIO_Y_RETORNO"),AA10,IF(OR(H10="NINGUNO",H10="SOLO_RENOMBRE"),IF(J10="COMPLETA",AB10,"COBERTURA_INSUFICIENTE"),"LEXEMA_O_FORMA")),IF(W10="RESTAURACION",IF(H10=X10,AA10,IF(OR(H10="NINGUNO",H10="RESTAURACION_POSTERIOR",H10="RESTAURACION_FALLIDA"),IF(J10="COMPLETA",AB10,"COBERTURA_INSUFICIENTE"),"LEXEMA_O_FORMA")),"PERFIL_NO_CONSTITUIDO"))))))))))))))))))</x:f>
        <x:v>IDENTIDAD</x:v>
      </x:c>
      <x:c r="R10" s="12" t="str">
        <x:f>IF(AND(L10=O10,M10=P10,N10=Q10),"PASA","NO_PASA")</x:f>
        <x:v>PASA</x:v>
      </x:c>
      <x:c r="S10" s="4" t="str">
        <x:v>El testigo pertenece a otro sujeto; no se recicla su dato.</x:v>
      </x:c>
      <x:c r="T10" s="12" t="str">
        <x:f>IFERROR(INDEX('55_Codificacion_ensayo'!$B$5:$B$13,MATCH(B10,'55_Codificacion_ensayo'!$A$5:$A$13,0)),"")</x:f>
        <x:v>WUA-RESULTADO-INDIVIDUAL-0.1</x:v>
      </x:c>
      <x:c r="U10" s="12" t="str">
        <x:f>IFERROR(INDEX('55_Codificacion_ensayo'!$C$5:$C$13,MATCH(B10,'55_Codificacion_ensayo'!$A$5:$A$13,0)),"")</x:f>
        <x:v>RESULTADO_WUA_INDIVIDUAL</x:v>
      </x:c>
      <x:c r="V10" s="12" t="str">
        <x:f>IFERROR(INDEX('55_Codificacion_ensayo'!$D$5:$D$13,MATCH(B10,'55_Codificacion_ensayo'!$A$5:$A$13,0)),"")</x:f>
        <x:v>INSTALAR_INDIVIDUAL</x:v>
      </x:c>
      <x:c r="W10" s="12" t="str">
        <x:f>IFERROR(INDEX('55_Codificacion_ensayo'!$E$5:$E$13,MATCH(B10,'55_Codificacion_ensayo'!$A$5:$A$13,0)),"")</x:f>
        <x:v>RESULTADO</x:v>
      </x:c>
      <x:c r="X10" s="12" t="str">
        <x:f>IFERROR(INDEX('55_Codificacion_ensayo'!$F$5:$F$13,MATCH(B10,'55_Codificacion_ensayo'!$A$5:$A$13,0)),"")</x:f>
        <x:v>orcSucceeded</x:v>
      </x:c>
      <x:c r="Y10" s="12" t="str">
        <x:f>IFERROR(INDEX('55_Codificacion_ensayo'!$G$5:$G$13,MATCH(B10,'55_Codificacion_ensayo'!$A$5:$A$13,0)),"")</x:f>
      </x:c>
      <x:c r="Z10" s="12" t="str">
        <x:f>IFERROR(INDEX('55_Codificacion_ensayo'!$H$5:$H$13,MATCH(B10,'55_Codificacion_ensayo'!$A$5:$A$13,0)),"")</x:f>
        <x:v>orcFailed</x:v>
      </x:c>
      <x:c r="AA10" s="12" t="str">
        <x:f>IFERROR(INDEX('55_Codificacion_ensayo'!$I$5:$I$13,MATCH(B10,'55_Codificacion_ensayo'!$A$5:$A$13,0)),"")</x:f>
        <x:v>EXITO_COMUNICADO</x:v>
      </x:c>
      <x:c r="AB10" s="12" t="str">
        <x:f>IFERROR(INDEX('55_Codificacion_ensayo'!$J$5:$J$13,MATCH(B10,'55_Codificacion_ensayo'!$A$5:$A$13,0)),"")</x:f>
        <x:v>NO_EXITO_PLENO</x:v>
      </x:c>
    </x:row>
    <x:row r="11" ht="47" customHeight="1">
      <x:c r="A11" s="4" t="str">
        <x:v>L10-02-07</x:v>
      </x:c>
      <x:c r="B11" s="4" t="str">
        <x:v>PAR-CYB-INSTALACION-EXITO-COMUNICADO-001</x:v>
      </x:c>
      <x:c r="C11" s="4" t="str">
        <x:v>WUA-RESULTADO-INDIVIDUAL-0.1</x:v>
      </x:c>
      <x:c r="D11" s="4" t="str">
        <x:v>COINCIDE</x:v>
      </x:c>
      <x:c r="E11" s="4" t="str">
        <x:v>LEGIBLE</x:v>
      </x:c>
      <x:c r="F11" s="4" t="str">
        <x:v>FUENTE_GENERAL</x:v>
      </x:c>
      <x:c r="G11" s="4" t="str">
        <x:v>UNICA</x:v>
      </x:c>
      <x:c r="H11" s="4" t="str">
        <x:v>orcSucceeded</x:v>
      </x:c>
      <x:c r="I11" s="4" t="str"/>
      <x:c r="J11" s="4" t="str">
        <x:v>COMPLETA</x:v>
      </x:c>
      <x:c r="K11" s="4" t="str">
        <x:v>INSTALAR_INDIVIDUAL</x:v>
      </x:c>
      <x:c r="L11" s="4" t="str">
        <x:v>VALIDA</x:v>
      </x:c>
      <x:c r="M11" s="4" t="str">
        <x:v>U</x:v>
      </x:c>
      <x:c r="N11" s="4" t="str">
        <x:v>OBSERVACION_INSUFICIENTE</x:v>
      </x:c>
      <x:c r="O11" s="12" t="str">
        <x:f>IF(Q11="SIN_EJECUCION_DOMINIO","FALLO_CAPTURA",IF(OR(Q11="CAPTURA_MAL_FORMADA",Q11="IDENTIDAD",Q11="OBSERVACION_MAL_FORMADA",Q11="LEXEMA_O_FORMA"),"NO_ADMISION",IF(OR(Q11="PERFIL_NO_CONSTITUIDO",Q11="RESULTADO_NO_TERMINAL"),"FUERA_PERFIL",IF(Q11="CONTEXTO_NO_CONSTITUIDO","CONFIGURACION_PENDIENTE","VALIDA"))))</x:f>
        <x:v>VALIDA</x:v>
      </x:c>
      <x:c r="P11" s="12" t="str">
        <x:f>IF(O11&lt;&gt;"VALIDA","",IF(Q11=AA11,"1",IF(Q11=AB11,"0","U")))</x:f>
        <x:v>U</x:v>
      </x:c>
      <x:c r="Q11" s="12" t="str">
        <x:f>IF(E11="FALLO","SIN_EJECUCION_DOMINIO",IF(E11&lt;&gt;"LEGIBLE","CAPTURA_MAL_FORMADA",IF(D11&lt;&gt;"COINCIDE","IDENTIDAD",IF(OR(T11="",C11&lt;&gt;T11),"PERFIL_NO_CONSTITUIDO",IF(K11&lt;&gt;V11,IF(V11="ORDEN_ACREDITADO","ORDEN_NO_ACREDITADO","CONTEXTO_NO_CONSTITUIDO"),IF(AND(G11="AUSENTE",H11="",I11=""),"DATO_AUSENTE",IF(AND(G11="CONFLICTO",H11="",I11=""),"CONFLICTO_OBSERVACIONAL",IF(G11&lt;&gt;"UNICA","OBSERVACION_MAL_FORMADA",IF(F11&lt;&gt;U11,"OBSERVACION_INSUFICIENTE",IF(W11="RESULTADO",IF(H11=X11,AA11,IF(OR(H11="orcSucceededWithErrors",H11="orcFailed",H11="orcAborted"),AB11,IF(OR(H11="orcNotStarted",H11="orcInProgress"),"RESULTADO_NO_TERMINAL","LEXEMA_O_FORMA"))),IF(W11="EVENTO_BOOT",IF(H11=X11,AA11,IF(OR(H11="NINGUNO",H11="SOLO_HIBRIDO"),IF(J11="COMPLETA",AB11,"COBERTURA_INSUFICIENTE"),"LEXEMA_O_FORMA")),IF(W11="REQUISITO_SOFT",IF(H11=X11,AA11,IF(H11=Z11,AB11,"LEXEMA_O_FORMA")),IF(W11="EVENTO_PROC",IF(H11=X11,AA11,IF(H11=Z11,IF(J11="COMPLETA",AB11,"COBERTURA_INSUFICIENTE"),"LEXEMA_O_FORMA")),IF(W11="IMAGEN",IF(AND(AND(ISTEXT(H11),LEN(("x"&amp;H11))=65,EXACT(("x"&amp;H11),LOWER(("x"&amp;H11))),ISERROR(SEARCH(" ",("x"&amp;H11))),ISERROR(SEARCH(CHAR(9),("x"&amp;H11))),ISERROR(SEARCH(CHAR(10),("x"&amp;H11))),ISERROR(SEARCH(CHAR(13),("x"&amp;H11))),IFERROR(HEX2DEC(MID(("x"&amp;H11),2,8))&gt;=0,FALSE),IFERROR(HEX2DEC(MID(("x"&amp;H11),10,8))&gt;=0,FALSE),IFERROR(HEX2DEC(MID(("x"&amp;H11),18,8))&gt;=0,FALSE),IFERROR(HEX2DEC(MID(("x"&amp;H11),26,8))&gt;=0,FALSE),IFERROR(HEX2DEC(MID(("x"&amp;H11),34,8))&gt;=0,FALSE),IFERROR(HEX2DEC(MID(("x"&amp;H11),42,8))&gt;=0,FALSE),IFERROR(HEX2DEC(MID(("x"&amp;H11),50,8))&gt;=0,FALSE),IFERROR(HEX2DEC(MID(("x"&amp;H11),58,8))&gt;=0,FALSE)),AND(ISTEXT(I11),LEN(("x"&amp;I11))=65,EXACT(("x"&amp;I11),LOWER(("x"&amp;I11))),ISERROR(SEARCH(" ",("x"&amp;I11))),ISERROR(SEARCH(CHAR(9),("x"&amp;I11))),ISERROR(SEARCH(CHAR(10),("x"&amp;I11))),ISERROR(SEARCH(CHAR(13),("x"&amp;I11))),IFERROR(HEX2DEC(MID(("x"&amp;I11),2,8))&gt;=0,FALSE),IFERROR(HEX2DEC(MID(("x"&amp;I11),10,8))&gt;=0,FALSE),IFERROR(HEX2DEC(MID(("x"&amp;I11),18,8))&gt;=0,FALSE),IFERROR(HEX2DEC(MID(("x"&amp;I11),26,8))&gt;=0,FALSE),IFERROR(HEX2DEC(MID(("x"&amp;I11),34,8))&gt;=0,FALSE),IFERROR(HEX2DEC(MID(("x"&amp;I11),42,8))&gt;=0,FALSE),IFERROR(HEX2DEC(MID(("x"&amp;I11),50,8))&gt;=0,FALSE),IFERROR(HEX2DEC(MID(("x"&amp;I11),58,8))&gt;=0,FALSE))),IF(EXACT("x"&amp;H11,"x"&amp;I11),AA11,AB11),"LEXEMA_O_FORMA"),IF(W11="PRUEBA",IF(H11=X11,AA11,IF(H11=Z11,AB11,"LEXEMA_O_FORMA")),IF(W11="RETIRADA",IF(AND(H11="NINGUNO",I11=""),IF(J11="COMPLETA",AB11,"COBERTURA_INSUFICIENTE"),IF(AND(OR(H11="uoInstallation",H11="uoUninstallation"),OR(I11="orcSucceeded",I11="orcSucceededWithErrors",I11="orcFailed",I11="orcAborted",I11="orcInProgress",I11="orcNotStarted")),IF(AND(H11=X11,I11=Y11),AA11,IF(AND(H11=X11,OR(I11="orcSucceededWithErrors",I11="orcInProgress",I11="orcNotStarted")),"RESULTADO_RETIRADA_INCIERTO",IF(J11="COMPLETA",AB11,"COBERTURA_INSUFICIENTE"))),"LEXEMA_O_FORMA")),IF(W11="CAMBIO",IF(OR(H11="CAMBIO",H11="CAMBIO_Y_RETORNO"),AA11,IF(OR(H11="NINGUNO",H11="SOLO_RENOMBRE"),IF(J11="COMPLETA",AB11,"COBERTURA_INSUFICIENTE"),"LEXEMA_O_FORMA")),IF(W11="RESTAURACION",IF(H11=X11,AA11,IF(OR(H11="NINGUNO",H11="RESTAURACION_POSTERIOR",H11="RESTAURACION_FALLIDA"),IF(J11="COMPLETA",AB11,"COBERTURA_INSUFICIENTE"),"LEXEMA_O_FORMA")),"PERFIL_NO_CONSTITUIDO"))))))))))))))))))</x:f>
        <x:v>OBSERVACION_INSUFICIENTE</x:v>
      </x:c>
      <x:c r="R11" s="12" t="str">
        <x:f>IF(AND(L11=O11,M11=P11,N11=Q11),"PASA","NO_PASA")</x:f>
        <x:v>PASA</x:v>
      </x:c>
      <x:c r="S11" s="4" t="str">
        <x:v>Una fuente del dominio no sustituye la observación específica del episodio.</x:v>
      </x:c>
      <x:c r="T11" s="12" t="str">
        <x:f>IFERROR(INDEX('55_Codificacion_ensayo'!$B$5:$B$13,MATCH(B11,'55_Codificacion_ensayo'!$A$5:$A$13,0)),"")</x:f>
        <x:v>WUA-RESULTADO-INDIVIDUAL-0.1</x:v>
      </x:c>
      <x:c r="U11" s="12" t="str">
        <x:f>IFERROR(INDEX('55_Codificacion_ensayo'!$C$5:$C$13,MATCH(B11,'55_Codificacion_ensayo'!$A$5:$A$13,0)),"")</x:f>
        <x:v>RESULTADO_WUA_INDIVIDUAL</x:v>
      </x:c>
      <x:c r="V11" s="12" t="str">
        <x:f>IFERROR(INDEX('55_Codificacion_ensayo'!$D$5:$D$13,MATCH(B11,'55_Codificacion_ensayo'!$A$5:$A$13,0)),"")</x:f>
        <x:v>INSTALAR_INDIVIDUAL</x:v>
      </x:c>
      <x:c r="W11" s="12" t="str">
        <x:f>IFERROR(INDEX('55_Codificacion_ensayo'!$E$5:$E$13,MATCH(B11,'55_Codificacion_ensayo'!$A$5:$A$13,0)),"")</x:f>
        <x:v>RESULTADO</x:v>
      </x:c>
      <x:c r="X11" s="12" t="str">
        <x:f>IFERROR(INDEX('55_Codificacion_ensayo'!$F$5:$F$13,MATCH(B11,'55_Codificacion_ensayo'!$A$5:$A$13,0)),"")</x:f>
        <x:v>orcSucceeded</x:v>
      </x:c>
      <x:c r="Y11" s="12" t="str">
        <x:f>IFERROR(INDEX('55_Codificacion_ensayo'!$G$5:$G$13,MATCH(B11,'55_Codificacion_ensayo'!$A$5:$A$13,0)),"")</x:f>
      </x:c>
      <x:c r="Z11" s="12" t="str">
        <x:f>IFERROR(INDEX('55_Codificacion_ensayo'!$H$5:$H$13,MATCH(B11,'55_Codificacion_ensayo'!$A$5:$A$13,0)),"")</x:f>
        <x:v>orcFailed</x:v>
      </x:c>
      <x:c r="AA11" s="12" t="str">
        <x:f>IFERROR(INDEX('55_Codificacion_ensayo'!$I$5:$I$13,MATCH(B11,'55_Codificacion_ensayo'!$A$5:$A$13,0)),"")</x:f>
        <x:v>EXITO_COMUNICADO</x:v>
      </x:c>
      <x:c r="AB11" s="12" t="str">
        <x:f>IFERROR(INDEX('55_Codificacion_ensayo'!$J$5:$J$13,MATCH(B11,'55_Codificacion_ensayo'!$A$5:$A$13,0)),"")</x:f>
        <x:v>NO_EXITO_PLENO</x:v>
      </x:c>
    </x:row>
    <x:row r="12" ht="47" customHeight="1">
      <x:c r="A12" s="4" t="str">
        <x:v>L10-02-08</x:v>
      </x:c>
      <x:c r="B12" s="4" t="str">
        <x:v>PAR-CYB-INSTALACION-EXITO-COMUNICADO-001</x:v>
      </x:c>
      <x:c r="C12" s="4" t="str">
        <x:v>OTRO_PERFIL</x:v>
      </x:c>
      <x:c r="D12" s="4" t="str">
        <x:v>COINCIDE</x:v>
      </x:c>
      <x:c r="E12" s="4" t="str">
        <x:v>LEGIBLE</x:v>
      </x:c>
      <x:c r="F12" s="4" t="str">
        <x:v>RESULTADO_WUA_INDIVIDUAL</x:v>
      </x:c>
      <x:c r="G12" s="4" t="str">
        <x:v>UNICA</x:v>
      </x:c>
      <x:c r="H12" s="4" t="str">
        <x:v>orcSucceeded</x:v>
      </x:c>
      <x:c r="I12" s="4" t="str"/>
      <x:c r="J12" s="4" t="str">
        <x:v>COMPLETA</x:v>
      </x:c>
      <x:c r="K12" s="4" t="str">
        <x:v>INSTALAR_INDIVIDUAL</x:v>
      </x:c>
      <x:c r="L12" s="4" t="str">
        <x:v>FUERA_PERFIL</x:v>
      </x:c>
      <x:c r="M12" s="4" t="str"/>
      <x:c r="N12" s="4" t="str">
        <x:v>PERFIL_NO_CONSTITUIDO</x:v>
      </x:c>
      <x:c r="O12" s="12" t="str">
        <x:f>IF(Q12="SIN_EJECUCION_DOMINIO","FALLO_CAPTURA",IF(OR(Q12="CAPTURA_MAL_FORMADA",Q12="IDENTIDAD",Q12="OBSERVACION_MAL_FORMADA",Q12="LEXEMA_O_FORMA"),"NO_ADMISION",IF(OR(Q12="PERFIL_NO_CONSTITUIDO",Q12="RESULTADO_NO_TERMINAL"),"FUERA_PERFIL",IF(Q12="CONTEXTO_NO_CONSTITUIDO","CONFIGURACION_PENDIENTE","VALIDA"))))</x:f>
        <x:v>FUERA_PERFIL</x:v>
      </x:c>
      <x:c r="P12" s="12" t="str">
        <x:f>IF(O12&lt;&gt;"VALIDA","",IF(Q12=AA12,"1",IF(Q12=AB12,"0","U")))</x:f>
      </x:c>
      <x:c r="Q12" s="12" t="str">
        <x:f>IF(E12="FALLO","SIN_EJECUCION_DOMINIO",IF(E12&lt;&gt;"LEGIBLE","CAPTURA_MAL_FORMADA",IF(D12&lt;&gt;"COINCIDE","IDENTIDAD",IF(OR(T12="",C12&lt;&gt;T12),"PERFIL_NO_CONSTITUIDO",IF(K12&lt;&gt;V12,IF(V12="ORDEN_ACREDITADO","ORDEN_NO_ACREDITADO","CONTEXTO_NO_CONSTITUIDO"),IF(AND(G12="AUSENTE",H12="",I12=""),"DATO_AUSENTE",IF(AND(G12="CONFLICTO",H12="",I12=""),"CONFLICTO_OBSERVACIONAL",IF(G12&lt;&gt;"UNICA","OBSERVACION_MAL_FORMADA",IF(F12&lt;&gt;U12,"OBSERVACION_INSUFICIENTE",IF(W12="RESULTADO",IF(H12=X12,AA12,IF(OR(H12="orcSucceededWithErrors",H12="orcFailed",H12="orcAborted"),AB12,IF(OR(H12="orcNotStarted",H12="orcInProgress"),"RESULTADO_NO_TERMINAL","LEXEMA_O_FORMA"))),IF(W12="EVENTO_BOOT",IF(H12=X12,AA12,IF(OR(H12="NINGUNO",H12="SOLO_HIBRIDO"),IF(J12="COMPLETA",AB12,"COBERTURA_INSUFICIENTE"),"LEXEMA_O_FORMA")),IF(W12="REQUISITO_SOFT",IF(H12=X12,AA12,IF(H12=Z12,AB12,"LEXEMA_O_FORMA")),IF(W12="EVENTO_PROC",IF(H12=X12,AA12,IF(H12=Z12,IF(J12="COMPLETA",AB12,"COBERTURA_INSUFICIENTE"),"LEXEMA_O_FORMA")),IF(W12="IMAGEN",IF(AND(AND(ISTEXT(H12),LEN(("x"&amp;H12))=65,EXACT(("x"&amp;H12),LOWER(("x"&amp;H12))),ISERROR(SEARCH(" ",("x"&amp;H12))),ISERROR(SEARCH(CHAR(9),("x"&amp;H12))),ISERROR(SEARCH(CHAR(10),("x"&amp;H12))),ISERROR(SEARCH(CHAR(13),("x"&amp;H12))),IFERROR(HEX2DEC(MID(("x"&amp;H12),2,8))&gt;=0,FALSE),IFERROR(HEX2DEC(MID(("x"&amp;H12),10,8))&gt;=0,FALSE),IFERROR(HEX2DEC(MID(("x"&amp;H12),18,8))&gt;=0,FALSE),IFERROR(HEX2DEC(MID(("x"&amp;H12),26,8))&gt;=0,FALSE),IFERROR(HEX2DEC(MID(("x"&amp;H12),34,8))&gt;=0,FALSE),IFERROR(HEX2DEC(MID(("x"&amp;H12),42,8))&gt;=0,FALSE),IFERROR(HEX2DEC(MID(("x"&amp;H12),50,8))&gt;=0,FALSE),IFERROR(HEX2DEC(MID(("x"&amp;H12),58,8))&gt;=0,FALSE)),AND(ISTEXT(I12),LEN(("x"&amp;I12))=65,EXACT(("x"&amp;I12),LOWER(("x"&amp;I12))),ISERROR(SEARCH(" ",("x"&amp;I12))),ISERROR(SEARCH(CHAR(9),("x"&amp;I12))),ISERROR(SEARCH(CHAR(10),("x"&amp;I12))),ISERROR(SEARCH(CHAR(13),("x"&amp;I12))),IFERROR(HEX2DEC(MID(("x"&amp;I12),2,8))&gt;=0,FALSE),IFERROR(HEX2DEC(MID(("x"&amp;I12),10,8))&gt;=0,FALSE),IFERROR(HEX2DEC(MID(("x"&amp;I12),18,8))&gt;=0,FALSE),IFERROR(HEX2DEC(MID(("x"&amp;I12),26,8))&gt;=0,FALSE),IFERROR(HEX2DEC(MID(("x"&amp;I12),34,8))&gt;=0,FALSE),IFERROR(HEX2DEC(MID(("x"&amp;I12),42,8))&gt;=0,FALSE),IFERROR(HEX2DEC(MID(("x"&amp;I12),50,8))&gt;=0,FALSE),IFERROR(HEX2DEC(MID(("x"&amp;I12),58,8))&gt;=0,FALSE))),IF(EXACT("x"&amp;H12,"x"&amp;I12),AA12,AB12),"LEXEMA_O_FORMA"),IF(W12="PRUEBA",IF(H12=X12,AA12,IF(H12=Z12,AB12,"LEXEMA_O_FORMA")),IF(W12="RETIRADA",IF(AND(H12="NINGUNO",I12=""),IF(J12="COMPLETA",AB12,"COBERTURA_INSUFICIENTE"),IF(AND(OR(H12="uoInstallation",H12="uoUninstallation"),OR(I12="orcSucceeded",I12="orcSucceededWithErrors",I12="orcFailed",I12="orcAborted",I12="orcInProgress",I12="orcNotStarted")),IF(AND(H12=X12,I12=Y12),AA12,IF(AND(H12=X12,OR(I12="orcSucceededWithErrors",I12="orcInProgress",I12="orcNotStarted")),"RESULTADO_RETIRADA_INCIERTO",IF(J12="COMPLETA",AB12,"COBERTURA_INSUFICIENTE"))),"LEXEMA_O_FORMA")),IF(W12="CAMBIO",IF(OR(H12="CAMBIO",H12="CAMBIO_Y_RETORNO"),AA12,IF(OR(H12="NINGUNO",H12="SOLO_RENOMBRE"),IF(J12="COMPLETA",AB12,"COBERTURA_INSUFICIENTE"),"LEXEMA_O_FORMA")),IF(W12="RESTAURACION",IF(H12=X12,AA12,IF(OR(H12="NINGUNO",H12="RESTAURACION_POSTERIOR",H12="RESTAURACION_FALLIDA"),IF(J12="COMPLETA",AB12,"COBERTURA_INSUFICIENTE"),"LEXEMA_O_FORMA")),"PERFIL_NO_CONSTITUIDO"))))))))))))))))))</x:f>
        <x:v>PERFIL_NO_CONSTITUIDO</x:v>
      </x:c>
      <x:c r="R12" s="12" t="str">
        <x:f>IF(AND(L12=O12,M12=P12,N12=Q12),"PASA","NO_PASA")</x:f>
        <x:v>PASA</x:v>
      </x:c>
      <x:c r="S12" s="4" t="str">
        <x:v>Perfil de otro producto no se normaliza por analogía.</x:v>
      </x:c>
      <x:c r="T12" s="12" t="str">
        <x:f>IFERROR(INDEX('55_Codificacion_ensayo'!$B$5:$B$13,MATCH(B12,'55_Codificacion_ensayo'!$A$5:$A$13,0)),"")</x:f>
        <x:v>WUA-RESULTADO-INDIVIDUAL-0.1</x:v>
      </x:c>
      <x:c r="U12" s="12" t="str">
        <x:f>IFERROR(INDEX('55_Codificacion_ensayo'!$C$5:$C$13,MATCH(B12,'55_Codificacion_ensayo'!$A$5:$A$13,0)),"")</x:f>
        <x:v>RESULTADO_WUA_INDIVIDUAL</x:v>
      </x:c>
      <x:c r="V12" s="12" t="str">
        <x:f>IFERROR(INDEX('55_Codificacion_ensayo'!$D$5:$D$13,MATCH(B12,'55_Codificacion_ensayo'!$A$5:$A$13,0)),"")</x:f>
        <x:v>INSTALAR_INDIVIDUAL</x:v>
      </x:c>
      <x:c r="W12" s="12" t="str">
        <x:f>IFERROR(INDEX('55_Codificacion_ensayo'!$E$5:$E$13,MATCH(B12,'55_Codificacion_ensayo'!$A$5:$A$13,0)),"")</x:f>
        <x:v>RESULTADO</x:v>
      </x:c>
      <x:c r="X12" s="12" t="str">
        <x:f>IFERROR(INDEX('55_Codificacion_ensayo'!$F$5:$F$13,MATCH(B12,'55_Codificacion_ensayo'!$A$5:$A$13,0)),"")</x:f>
        <x:v>orcSucceeded</x:v>
      </x:c>
      <x:c r="Y12" s="12" t="str">
        <x:f>IFERROR(INDEX('55_Codificacion_ensayo'!$G$5:$G$13,MATCH(B12,'55_Codificacion_ensayo'!$A$5:$A$13,0)),"")</x:f>
      </x:c>
      <x:c r="Z12" s="12" t="str">
        <x:f>IFERROR(INDEX('55_Codificacion_ensayo'!$H$5:$H$13,MATCH(B12,'55_Codificacion_ensayo'!$A$5:$A$13,0)),"")</x:f>
        <x:v>orcFailed</x:v>
      </x:c>
      <x:c r="AA12" s="12" t="str">
        <x:f>IFERROR(INDEX('55_Codificacion_ensayo'!$I$5:$I$13,MATCH(B12,'55_Codificacion_ensayo'!$A$5:$A$13,0)),"")</x:f>
        <x:v>EXITO_COMUNICADO</x:v>
      </x:c>
      <x:c r="AB12" s="12" t="str">
        <x:f>IFERROR(INDEX('55_Codificacion_ensayo'!$J$5:$J$13,MATCH(B12,'55_Codificacion_ensayo'!$A$5:$A$13,0)),"")</x:f>
        <x:v>NO_EXITO_PLENO</x:v>
      </x:c>
    </x:row>
    <x:row r="13" ht="47" customHeight="1">
      <x:c r="A13" s="4" t="str">
        <x:v>L10-02-09</x:v>
      </x:c>
      <x:c r="B13" s="4" t="str">
        <x:v>PAR-CYB-INSTALACION-EXITO-COMUNICADO-001</x:v>
      </x:c>
      <x:c r="C13" s="4" t="str">
        <x:v>WUA-RESULTADO-INDIVIDUAL-0.1</x:v>
      </x:c>
      <x:c r="D13" s="4" t="str">
        <x:v>COINCIDE</x:v>
      </x:c>
      <x:c r="E13" s="4" t="str">
        <x:v>LEGIBLE</x:v>
      </x:c>
      <x:c r="F13" s="4" t="str">
        <x:v>RESULTADO_WUA_INDIVIDUAL</x:v>
      </x:c>
      <x:c r="G13" s="4" t="str">
        <x:v>UNICA</x:v>
      </x:c>
      <x:c r="H13" s="4" t="str">
        <x:v>true false desconocido</x:v>
      </x:c>
      <x:c r="I13" s="4" t="str"/>
      <x:c r="J13" s="4" t="str">
        <x:v>COMPLETA</x:v>
      </x:c>
      <x:c r="K13" s="4" t="str">
        <x:v>INSTALAR_INDIVIDUAL</x:v>
      </x:c>
      <x:c r="L13" s="4" t="str">
        <x:v>NO_ADMISION</x:v>
      </x:c>
      <x:c r="M13" s="4" t="str"/>
      <x:c r="N13" s="4" t="str">
        <x:v>LEXEMA_O_FORMA</x:v>
      </x:c>
      <x:c r="O13" s="12" t="str">
        <x:f>IF(Q13="SIN_EJECUCION_DOMINIO","FALLO_CAPTURA",IF(OR(Q13="CAPTURA_MAL_FORMADA",Q13="IDENTIDAD",Q13="OBSERVACION_MAL_FORMADA",Q13="LEXEMA_O_FORMA"),"NO_ADMISION",IF(OR(Q13="PERFIL_NO_CONSTITUIDO",Q13="RESULTADO_NO_TERMINAL"),"FUERA_PERFIL",IF(Q13="CONTEXTO_NO_CONSTITUIDO","CONFIGURACION_PENDIENTE","VALIDA"))))</x:f>
        <x:v>NO_ADMISION</x:v>
      </x:c>
      <x:c r="P13" s="12" t="str">
        <x:f>IF(O13&lt;&gt;"VALIDA","",IF(Q13=AA13,"1",IF(Q13=AB13,"0","U")))</x:f>
      </x:c>
      <x:c r="Q13" s="12" t="str">
        <x:f>IF(E13="FALLO","SIN_EJECUCION_DOMINIO",IF(E13&lt;&gt;"LEGIBLE","CAPTURA_MAL_FORMADA",IF(D13&lt;&gt;"COINCIDE","IDENTIDAD",IF(OR(T13="",C13&lt;&gt;T13),"PERFIL_NO_CONSTITUIDO",IF(K13&lt;&gt;V13,IF(V13="ORDEN_ACREDITADO","ORDEN_NO_ACREDITADO","CONTEXTO_NO_CONSTITUIDO"),IF(AND(G13="AUSENTE",H13="",I13=""),"DATO_AUSENTE",IF(AND(G13="CONFLICTO",H13="",I13=""),"CONFLICTO_OBSERVACIONAL",IF(G13&lt;&gt;"UNICA","OBSERVACION_MAL_FORMADA",IF(F13&lt;&gt;U13,"OBSERVACION_INSUFICIENTE",IF(W13="RESULTADO",IF(H13=X13,AA13,IF(OR(H13="orcSucceededWithErrors",H13="orcFailed",H13="orcAborted"),AB13,IF(OR(H13="orcNotStarted",H13="orcInProgress"),"RESULTADO_NO_TERMINAL","LEXEMA_O_FORMA"))),IF(W13="EVENTO_BOOT",IF(H13=X13,AA13,IF(OR(H13="NINGUNO",H13="SOLO_HIBRIDO"),IF(J13="COMPLETA",AB13,"COBERTURA_INSUFICIENTE"),"LEXEMA_O_FORMA")),IF(W13="REQUISITO_SOFT",IF(H13=X13,AA13,IF(H13=Z13,AB13,"LEXEMA_O_FORMA")),IF(W13="EVENTO_PROC",IF(H13=X13,AA13,IF(H13=Z13,IF(J13="COMPLETA",AB13,"COBERTURA_INSUFICIENTE"),"LEXEMA_O_FORMA")),IF(W13="IMAGEN",IF(AND(AND(ISTEXT(H13),LEN(("x"&amp;H13))=65,EXACT(("x"&amp;H13),LOWER(("x"&amp;H13))),ISERROR(SEARCH(" ",("x"&amp;H13))),ISERROR(SEARCH(CHAR(9),("x"&amp;H13))),ISERROR(SEARCH(CHAR(10),("x"&amp;H13))),ISERROR(SEARCH(CHAR(13),("x"&amp;H13))),IFERROR(HEX2DEC(MID(("x"&amp;H13),2,8))&gt;=0,FALSE),IFERROR(HEX2DEC(MID(("x"&amp;H13),10,8))&gt;=0,FALSE),IFERROR(HEX2DEC(MID(("x"&amp;H13),18,8))&gt;=0,FALSE),IFERROR(HEX2DEC(MID(("x"&amp;H13),26,8))&gt;=0,FALSE),IFERROR(HEX2DEC(MID(("x"&amp;H13),34,8))&gt;=0,FALSE),IFERROR(HEX2DEC(MID(("x"&amp;H13),42,8))&gt;=0,FALSE),IFERROR(HEX2DEC(MID(("x"&amp;H13),50,8))&gt;=0,FALSE),IFERROR(HEX2DEC(MID(("x"&amp;H13),58,8))&gt;=0,FALSE)),AND(ISTEXT(I13),LEN(("x"&amp;I13))=65,EXACT(("x"&amp;I13),LOWER(("x"&amp;I13))),ISERROR(SEARCH(" ",("x"&amp;I13))),ISERROR(SEARCH(CHAR(9),("x"&amp;I13))),ISERROR(SEARCH(CHAR(10),("x"&amp;I13))),ISERROR(SEARCH(CHAR(13),("x"&amp;I13))),IFERROR(HEX2DEC(MID(("x"&amp;I13),2,8))&gt;=0,FALSE),IFERROR(HEX2DEC(MID(("x"&amp;I13),10,8))&gt;=0,FALSE),IFERROR(HEX2DEC(MID(("x"&amp;I13),18,8))&gt;=0,FALSE),IFERROR(HEX2DEC(MID(("x"&amp;I13),26,8))&gt;=0,FALSE),IFERROR(HEX2DEC(MID(("x"&amp;I13),34,8))&gt;=0,FALSE),IFERROR(HEX2DEC(MID(("x"&amp;I13),42,8))&gt;=0,FALSE),IFERROR(HEX2DEC(MID(("x"&amp;I13),50,8))&gt;=0,FALSE),IFERROR(HEX2DEC(MID(("x"&amp;I13),58,8))&gt;=0,FALSE))),IF(EXACT("x"&amp;H13,"x"&amp;I13),AA13,AB13),"LEXEMA_O_FORMA"),IF(W13="PRUEBA",IF(H13=X13,AA13,IF(H13=Z13,AB13,"LEXEMA_O_FORMA")),IF(W13="RETIRADA",IF(AND(H13="NINGUNO",I13=""),IF(J13="COMPLETA",AB13,"COBERTURA_INSUFICIENTE"),IF(AND(OR(H13="uoInstallation",H13="uoUninstallation"),OR(I13="orcSucceeded",I13="orcSucceededWithErrors",I13="orcFailed",I13="orcAborted",I13="orcInProgress",I13="orcNotStarted")),IF(AND(H13=X13,I13=Y13),AA13,IF(AND(H13=X13,OR(I13="orcSucceededWithErrors",I13="orcInProgress",I13="orcNotStarted")),"RESULTADO_RETIRADA_INCIERTO",IF(J13="COMPLETA",AB13,"COBERTURA_INSUFICIENTE"))),"LEXEMA_O_FORMA")),IF(W13="CAMBIO",IF(OR(H13="CAMBIO",H13="CAMBIO_Y_RETORNO"),AA13,IF(OR(H13="NINGUNO",H13="SOLO_RENOMBRE"),IF(J13="COMPLETA",AB13,"COBERTURA_INSUFICIENTE"),"LEXEMA_O_FORMA")),IF(W13="RESTAURACION",IF(H13=X13,AA13,IF(OR(H13="NINGUNO",H13="RESTAURACION_POSTERIOR",H13="RESTAURACION_FALLIDA"),IF(J13="COMPLETA",AB13,"COBERTURA_INSUFICIENTE"),"LEXEMA_O_FORMA")),"PERFIL_NO_CONSTITUIDO"))))))))))))))))))</x:f>
        <x:v>LEXEMA_O_FORMA</x:v>
      </x:c>
      <x:c r="R13" s="12" t="str">
        <x:f>IF(AND(L13=O13,M13=P13,N13=Q13),"PASA","NO_PASA")</x:f>
        <x:v>PASA</x:v>
      </x:c>
      <x:c r="S13" s="4" t="str">
        <x:v>La observación usa un lexema ajeno al contrato.</x:v>
      </x:c>
      <x:c r="T13" s="12" t="str">
        <x:f>IFERROR(INDEX('55_Codificacion_ensayo'!$B$5:$B$13,MATCH(B13,'55_Codificacion_ensayo'!$A$5:$A$13,0)),"")</x:f>
        <x:v>WUA-RESULTADO-INDIVIDUAL-0.1</x:v>
      </x:c>
      <x:c r="U13" s="12" t="str">
        <x:f>IFERROR(INDEX('55_Codificacion_ensayo'!$C$5:$C$13,MATCH(B13,'55_Codificacion_ensayo'!$A$5:$A$13,0)),"")</x:f>
        <x:v>RESULTADO_WUA_INDIVIDUAL</x:v>
      </x:c>
      <x:c r="V13" s="12" t="str">
        <x:f>IFERROR(INDEX('55_Codificacion_ensayo'!$D$5:$D$13,MATCH(B13,'55_Codificacion_ensayo'!$A$5:$A$13,0)),"")</x:f>
        <x:v>INSTALAR_INDIVIDUAL</x:v>
      </x:c>
      <x:c r="W13" s="12" t="str">
        <x:f>IFERROR(INDEX('55_Codificacion_ensayo'!$E$5:$E$13,MATCH(B13,'55_Codificacion_ensayo'!$A$5:$A$13,0)),"")</x:f>
        <x:v>RESULTADO</x:v>
      </x:c>
      <x:c r="X13" s="12" t="str">
        <x:f>IFERROR(INDEX('55_Codificacion_ensayo'!$F$5:$F$13,MATCH(B13,'55_Codificacion_ensayo'!$A$5:$A$13,0)),"")</x:f>
        <x:v>orcSucceeded</x:v>
      </x:c>
      <x:c r="Y13" s="12" t="str">
        <x:f>IFERROR(INDEX('55_Codificacion_ensayo'!$G$5:$G$13,MATCH(B13,'55_Codificacion_ensayo'!$A$5:$A$13,0)),"")</x:f>
      </x:c>
      <x:c r="Z13" s="12" t="str">
        <x:f>IFERROR(INDEX('55_Codificacion_ensayo'!$H$5:$H$13,MATCH(B13,'55_Codificacion_ensayo'!$A$5:$A$13,0)),"")</x:f>
        <x:v>orcFailed</x:v>
      </x:c>
      <x:c r="AA13" s="12" t="str">
        <x:f>IFERROR(INDEX('55_Codificacion_ensayo'!$I$5:$I$13,MATCH(B13,'55_Codificacion_ensayo'!$A$5:$A$13,0)),"")</x:f>
        <x:v>EXITO_COMUNICADO</x:v>
      </x:c>
      <x:c r="AB13" s="12" t="str">
        <x:f>IFERROR(INDEX('55_Codificacion_ensayo'!$J$5:$J$13,MATCH(B13,'55_Codificacion_ensayo'!$A$5:$A$13,0)),"")</x:f>
        <x:v>NO_EXITO_PLENO</x:v>
      </x:c>
    </x:row>
    <x:row r="14" ht="47" customHeight="1">
      <x:c r="A14" s="4" t="str">
        <x:v>L10-02-10</x:v>
      </x:c>
      <x:c r="B14" s="4" t="str">
        <x:v>PAR-CYB-INSTALACION-EXITO-COMUNICADO-001</x:v>
      </x:c>
      <x:c r="C14" s="4" t="str">
        <x:v>WUA-RESULTADO-INDIVIDUAL-0.1</x:v>
      </x:c>
      <x:c r="D14" s="4" t="str">
        <x:v>COINCIDE</x:v>
      </x:c>
      <x:c r="E14" s="4" t="str">
        <x:v>LEGIBLE</x:v>
      </x:c>
      <x:c r="F14" s="4" t="str">
        <x:v>RESULTADO_WUA_INDIVIDUAL</x:v>
      </x:c>
      <x:c r="G14" s="4" t="str">
        <x:v>UNICA</x:v>
      </x:c>
      <x:c r="H14" s="4" t="str">
        <x:v>orcSucceeded</x:v>
      </x:c>
      <x:c r="I14" s="4" t="str"/>
      <x:c r="J14" s="4" t="str">
        <x:v>COMPLETA</x:v>
      </x:c>
      <x:c r="K14" s="4" t="str">
        <x:v>PENDIENTE</x:v>
      </x:c>
      <x:c r="L14" s="4" t="str">
        <x:v>CONFIGURACION_PENDIENTE</x:v>
      </x:c>
      <x:c r="M14" s="4" t="str"/>
      <x:c r="N14" s="4" t="str">
        <x:v>CONTEXTO_NO_CONSTITUIDO</x:v>
      </x:c>
      <x:c r="O14" s="12" t="str">
        <x:f>IF(Q14="SIN_EJECUCION_DOMINIO","FALLO_CAPTURA",IF(OR(Q14="CAPTURA_MAL_FORMADA",Q14="IDENTIDAD",Q14="OBSERVACION_MAL_FORMADA",Q14="LEXEMA_O_FORMA"),"NO_ADMISION",IF(OR(Q14="PERFIL_NO_CONSTITUIDO",Q14="RESULTADO_NO_TERMINAL"),"FUERA_PERFIL",IF(Q14="CONTEXTO_NO_CONSTITUIDO","CONFIGURACION_PENDIENTE","VALIDA"))))</x:f>
        <x:v>CONFIGURACION_PENDIENTE</x:v>
      </x:c>
      <x:c r="P14" s="12" t="str">
        <x:f>IF(O14&lt;&gt;"VALIDA","",IF(Q14=AA14,"1",IF(Q14=AB14,"0","U")))</x:f>
      </x:c>
      <x:c r="Q14" s="12" t="str">
        <x:f>IF(E14="FALLO","SIN_EJECUCION_DOMINIO",IF(E14&lt;&gt;"LEGIBLE","CAPTURA_MAL_FORMADA",IF(D14&lt;&gt;"COINCIDE","IDENTIDAD",IF(OR(T14="",C14&lt;&gt;T14),"PERFIL_NO_CONSTITUIDO",IF(K14&lt;&gt;V14,IF(V14="ORDEN_ACREDITADO","ORDEN_NO_ACREDITADO","CONTEXTO_NO_CONSTITUIDO"),IF(AND(G14="AUSENTE",H14="",I14=""),"DATO_AUSENTE",IF(AND(G14="CONFLICTO",H14="",I14=""),"CONFLICTO_OBSERVACIONAL",IF(G14&lt;&gt;"UNICA","OBSERVACION_MAL_FORMADA",IF(F14&lt;&gt;U14,"OBSERVACION_INSUFICIENTE",IF(W14="RESULTADO",IF(H14=X14,AA14,IF(OR(H14="orcSucceededWithErrors",H14="orcFailed",H14="orcAborted"),AB14,IF(OR(H14="orcNotStarted",H14="orcInProgress"),"RESULTADO_NO_TERMINAL","LEXEMA_O_FORMA"))),IF(W14="EVENTO_BOOT",IF(H14=X14,AA14,IF(OR(H14="NINGUNO",H14="SOLO_HIBRIDO"),IF(J14="COMPLETA",AB14,"COBERTURA_INSUFICIENTE"),"LEXEMA_O_FORMA")),IF(W14="REQUISITO_SOFT",IF(H14=X14,AA14,IF(H14=Z14,AB14,"LEXEMA_O_FORMA")),IF(W14="EVENTO_PROC",IF(H14=X14,AA14,IF(H14=Z14,IF(J14="COMPLETA",AB14,"COBERTURA_INSUFICIENTE"),"LEXEMA_O_FORMA")),IF(W14="IMAGEN",IF(AND(AND(ISTEXT(H14),LEN(("x"&amp;H14))=65,EXACT(("x"&amp;H14),LOWER(("x"&amp;H14))),ISERROR(SEARCH(" ",("x"&amp;H14))),ISERROR(SEARCH(CHAR(9),("x"&amp;H14))),ISERROR(SEARCH(CHAR(10),("x"&amp;H14))),ISERROR(SEARCH(CHAR(13),("x"&amp;H14))),IFERROR(HEX2DEC(MID(("x"&amp;H14),2,8))&gt;=0,FALSE),IFERROR(HEX2DEC(MID(("x"&amp;H14),10,8))&gt;=0,FALSE),IFERROR(HEX2DEC(MID(("x"&amp;H14),18,8))&gt;=0,FALSE),IFERROR(HEX2DEC(MID(("x"&amp;H14),26,8))&gt;=0,FALSE),IFERROR(HEX2DEC(MID(("x"&amp;H14),34,8))&gt;=0,FALSE),IFERROR(HEX2DEC(MID(("x"&amp;H14),42,8))&gt;=0,FALSE),IFERROR(HEX2DEC(MID(("x"&amp;H14),50,8))&gt;=0,FALSE),IFERROR(HEX2DEC(MID(("x"&amp;H14),58,8))&gt;=0,FALSE)),AND(ISTEXT(I14),LEN(("x"&amp;I14))=65,EXACT(("x"&amp;I14),LOWER(("x"&amp;I14))),ISERROR(SEARCH(" ",("x"&amp;I14))),ISERROR(SEARCH(CHAR(9),("x"&amp;I14))),ISERROR(SEARCH(CHAR(10),("x"&amp;I14))),ISERROR(SEARCH(CHAR(13),("x"&amp;I14))),IFERROR(HEX2DEC(MID(("x"&amp;I14),2,8))&gt;=0,FALSE),IFERROR(HEX2DEC(MID(("x"&amp;I14),10,8))&gt;=0,FALSE),IFERROR(HEX2DEC(MID(("x"&amp;I14),18,8))&gt;=0,FALSE),IFERROR(HEX2DEC(MID(("x"&amp;I14),26,8))&gt;=0,FALSE),IFERROR(HEX2DEC(MID(("x"&amp;I14),34,8))&gt;=0,FALSE),IFERROR(HEX2DEC(MID(("x"&amp;I14),42,8))&gt;=0,FALSE),IFERROR(HEX2DEC(MID(("x"&amp;I14),50,8))&gt;=0,FALSE),IFERROR(HEX2DEC(MID(("x"&amp;I14),58,8))&gt;=0,FALSE))),IF(EXACT("x"&amp;H14,"x"&amp;I14),AA14,AB14),"LEXEMA_O_FORMA"),IF(W14="PRUEBA",IF(H14=X14,AA14,IF(H14=Z14,AB14,"LEXEMA_O_FORMA")),IF(W14="RETIRADA",IF(AND(H14="NINGUNO",I14=""),IF(J14="COMPLETA",AB14,"COBERTURA_INSUFICIENTE"),IF(AND(OR(H14="uoInstallation",H14="uoUninstallation"),OR(I14="orcSucceeded",I14="orcSucceededWithErrors",I14="orcFailed",I14="orcAborted",I14="orcInProgress",I14="orcNotStarted")),IF(AND(H14=X14,I14=Y14),AA14,IF(AND(H14=X14,OR(I14="orcSucceededWithErrors",I14="orcInProgress",I14="orcNotStarted")),"RESULTADO_RETIRADA_INCIERTO",IF(J14="COMPLETA",AB14,"COBERTURA_INSUFICIENTE"))),"LEXEMA_O_FORMA")),IF(W14="CAMBIO",IF(OR(H14="CAMBIO",H14="CAMBIO_Y_RETORNO"),AA14,IF(OR(H14="NINGUNO",H14="SOLO_RENOMBRE"),IF(J14="COMPLETA",AB14,"COBERTURA_INSUFICIENTE"),"LEXEMA_O_FORMA")),IF(W14="RESTAURACION",IF(H14=X14,AA14,IF(OR(H14="NINGUNO",H14="RESTAURACION_POSTERIOR",H14="RESTAURACION_FALLIDA"),IF(J14="COMPLETA",AB14,"COBERTURA_INSUFICIENTE"),"LEXEMA_O_FORMA")),"PERFIL_NO_CONSTITUIDO"))))))))))))))))))</x:f>
        <x:v>CONTEXTO_NO_CONSTITUIDO</x:v>
      </x:c>
      <x:c r="R14" s="12" t="str">
        <x:f>IF(AND(L14=O14,M14=P14,N14=Q14),"PASA","NO_PASA")</x:f>
        <x:v>PASA</x:v>
      </x:c>
      <x:c r="S14" s="4" t="str">
        <x:v>Falta el contexto profesional que fija qué se está evaluando.</x:v>
      </x:c>
      <x:c r="T14" s="12" t="str">
        <x:f>IFERROR(INDEX('55_Codificacion_ensayo'!$B$5:$B$13,MATCH(B14,'55_Codificacion_ensayo'!$A$5:$A$13,0)),"")</x:f>
        <x:v>WUA-RESULTADO-INDIVIDUAL-0.1</x:v>
      </x:c>
      <x:c r="U14" s="12" t="str">
        <x:f>IFERROR(INDEX('55_Codificacion_ensayo'!$C$5:$C$13,MATCH(B14,'55_Codificacion_ensayo'!$A$5:$A$13,0)),"")</x:f>
        <x:v>RESULTADO_WUA_INDIVIDUAL</x:v>
      </x:c>
      <x:c r="V14" s="12" t="str">
        <x:f>IFERROR(INDEX('55_Codificacion_ensayo'!$D$5:$D$13,MATCH(B14,'55_Codificacion_ensayo'!$A$5:$A$13,0)),"")</x:f>
        <x:v>INSTALAR_INDIVIDUAL</x:v>
      </x:c>
      <x:c r="W14" s="12" t="str">
        <x:f>IFERROR(INDEX('55_Codificacion_ensayo'!$E$5:$E$13,MATCH(B14,'55_Codificacion_ensayo'!$A$5:$A$13,0)),"")</x:f>
        <x:v>RESULTADO</x:v>
      </x:c>
      <x:c r="X14" s="12" t="str">
        <x:f>IFERROR(INDEX('55_Codificacion_ensayo'!$F$5:$F$13,MATCH(B14,'55_Codificacion_ensayo'!$A$5:$A$13,0)),"")</x:f>
        <x:v>orcSucceeded</x:v>
      </x:c>
      <x:c r="Y14" s="12" t="str">
        <x:f>IFERROR(INDEX('55_Codificacion_ensayo'!$G$5:$G$13,MATCH(B14,'55_Codificacion_ensayo'!$A$5:$A$13,0)),"")</x:f>
      </x:c>
      <x:c r="Z14" s="12" t="str">
        <x:f>IFERROR(INDEX('55_Codificacion_ensayo'!$H$5:$H$13,MATCH(B14,'55_Codificacion_ensayo'!$A$5:$A$13,0)),"")</x:f>
        <x:v>orcFailed</x:v>
      </x:c>
      <x:c r="AA14" s="12" t="str">
        <x:f>IFERROR(INDEX('55_Codificacion_ensayo'!$I$5:$I$13,MATCH(B14,'55_Codificacion_ensayo'!$A$5:$A$13,0)),"")</x:f>
        <x:v>EXITO_COMUNICADO</x:v>
      </x:c>
      <x:c r="AB14" s="12" t="str">
        <x:f>IFERROR(INDEX('55_Codificacion_ensayo'!$J$5:$J$13,MATCH(B14,'55_Codificacion_ensayo'!$A$5:$A$13,0)),"")</x:f>
        <x:v>NO_EXITO_PLENO</x:v>
      </x:c>
    </x:row>
    <x:row r="15" ht="47" customHeight="1">
      <x:c r="A15" s="4" t="str">
        <x:v>L10-02-11</x:v>
      </x:c>
      <x:c r="B15" s="4" t="str">
        <x:v>PAR-CYB-INSTALACION-EXITO-COMUNICADO-001</x:v>
      </x:c>
      <x:c r="C15" s="4" t="str">
        <x:v>WUA-RESULTADO-INDIVIDUAL-0.1</x:v>
      </x:c>
      <x:c r="D15" s="4" t="str">
        <x:v>COINCIDE</x:v>
      </x:c>
      <x:c r="E15" s="4" t="str">
        <x:v>LEGIBLE</x:v>
      </x:c>
      <x:c r="F15" s="4" t="str">
        <x:v>RESULTADO_WUA_INDIVIDUAL</x:v>
      </x:c>
      <x:c r="G15" s="4" t="str">
        <x:v>UNICA</x:v>
      </x:c>
      <x:c r="H15" s="4" t="str">
        <x:v>orcSucceededWithErrors</x:v>
      </x:c>
      <x:c r="I15" s="4" t="str"/>
      <x:c r="J15" s="4" t="str">
        <x:v>COMPLETA</x:v>
      </x:c>
      <x:c r="K15" s="4" t="str">
        <x:v>INSTALAR_INDIVIDUAL</x:v>
      </x:c>
      <x:c r="L15" s="4" t="str">
        <x:v>VALIDA</x:v>
      </x:c>
      <x:c r="M15" s="4" t="str">
        <x:v>0</x:v>
      </x:c>
      <x:c r="N15" s="4" t="str">
        <x:v>NO_EXITO_PLENO</x:v>
      </x:c>
      <x:c r="O15" s="12" t="str">
        <x:f>IF(Q15="SIN_EJECUCION_DOMINIO","FALLO_CAPTURA",IF(OR(Q15="CAPTURA_MAL_FORMADA",Q15="IDENTIDAD",Q15="OBSERVACION_MAL_FORMADA",Q15="LEXEMA_O_FORMA"),"NO_ADMISION",IF(OR(Q15="PERFIL_NO_CONSTITUIDO",Q15="RESULTADO_NO_TERMINAL"),"FUERA_PERFIL",IF(Q15="CONTEXTO_NO_CONSTITUIDO","CONFIGURACION_PENDIENTE","VALIDA"))))</x:f>
        <x:v>VALIDA</x:v>
      </x:c>
      <x:c r="P15" s="12" t="str">
        <x:f>IF(O15&lt;&gt;"VALIDA","",IF(Q15=AA15,"1",IF(Q15=AB15,"0","U")))</x:f>
        <x:v>0</x:v>
      </x:c>
      <x:c r="Q15" s="12" t="str">
        <x:f>IF(E15="FALLO","SIN_EJECUCION_DOMINIO",IF(E15&lt;&gt;"LEGIBLE","CAPTURA_MAL_FORMADA",IF(D15&lt;&gt;"COINCIDE","IDENTIDAD",IF(OR(T15="",C15&lt;&gt;T15),"PERFIL_NO_CONSTITUIDO",IF(K15&lt;&gt;V15,IF(V15="ORDEN_ACREDITADO","ORDEN_NO_ACREDITADO","CONTEXTO_NO_CONSTITUIDO"),IF(AND(G15="AUSENTE",H15="",I15=""),"DATO_AUSENTE",IF(AND(G15="CONFLICTO",H15="",I15=""),"CONFLICTO_OBSERVACIONAL",IF(G15&lt;&gt;"UNICA","OBSERVACION_MAL_FORMADA",IF(F15&lt;&gt;U15,"OBSERVACION_INSUFICIENTE",IF(W15="RESULTADO",IF(H15=X15,AA15,IF(OR(H15="orcSucceededWithErrors",H15="orcFailed",H15="orcAborted"),AB15,IF(OR(H15="orcNotStarted",H15="orcInProgress"),"RESULTADO_NO_TERMINAL","LEXEMA_O_FORMA"))),IF(W15="EVENTO_BOOT",IF(H15=X15,AA15,IF(OR(H15="NINGUNO",H15="SOLO_HIBRIDO"),IF(J15="COMPLETA",AB15,"COBERTURA_INSUFICIENTE"),"LEXEMA_O_FORMA")),IF(W15="REQUISITO_SOFT",IF(H15=X15,AA15,IF(H15=Z15,AB15,"LEXEMA_O_FORMA")),IF(W15="EVENTO_PROC",IF(H15=X15,AA15,IF(H15=Z15,IF(J15="COMPLETA",AB15,"COBERTURA_INSUFICIENTE"),"LEXEMA_O_FORMA")),IF(W15="IMAGEN",IF(AND(AND(ISTEXT(H15),LEN(("x"&amp;H15))=65,EXACT(("x"&amp;H15),LOWER(("x"&amp;H15))),ISERROR(SEARCH(" ",("x"&amp;H15))),ISERROR(SEARCH(CHAR(9),("x"&amp;H15))),ISERROR(SEARCH(CHAR(10),("x"&amp;H15))),ISERROR(SEARCH(CHAR(13),("x"&amp;H15))),IFERROR(HEX2DEC(MID(("x"&amp;H15),2,8))&gt;=0,FALSE),IFERROR(HEX2DEC(MID(("x"&amp;H15),10,8))&gt;=0,FALSE),IFERROR(HEX2DEC(MID(("x"&amp;H15),18,8))&gt;=0,FALSE),IFERROR(HEX2DEC(MID(("x"&amp;H15),26,8))&gt;=0,FALSE),IFERROR(HEX2DEC(MID(("x"&amp;H15),34,8))&gt;=0,FALSE),IFERROR(HEX2DEC(MID(("x"&amp;H15),42,8))&gt;=0,FALSE),IFERROR(HEX2DEC(MID(("x"&amp;H15),50,8))&gt;=0,FALSE),IFERROR(HEX2DEC(MID(("x"&amp;H15),58,8))&gt;=0,FALSE)),AND(ISTEXT(I15),LEN(("x"&amp;I15))=65,EXACT(("x"&amp;I15),LOWER(("x"&amp;I15))),ISERROR(SEARCH(" ",("x"&amp;I15))),ISERROR(SEARCH(CHAR(9),("x"&amp;I15))),ISERROR(SEARCH(CHAR(10),("x"&amp;I15))),ISERROR(SEARCH(CHAR(13),("x"&amp;I15))),IFERROR(HEX2DEC(MID(("x"&amp;I15),2,8))&gt;=0,FALSE),IFERROR(HEX2DEC(MID(("x"&amp;I15),10,8))&gt;=0,FALSE),IFERROR(HEX2DEC(MID(("x"&amp;I15),18,8))&gt;=0,FALSE),IFERROR(HEX2DEC(MID(("x"&amp;I15),26,8))&gt;=0,FALSE),IFERROR(HEX2DEC(MID(("x"&amp;I15),34,8))&gt;=0,FALSE),IFERROR(HEX2DEC(MID(("x"&amp;I15),42,8))&gt;=0,FALSE),IFERROR(HEX2DEC(MID(("x"&amp;I15),50,8))&gt;=0,FALSE),IFERROR(HEX2DEC(MID(("x"&amp;I15),58,8))&gt;=0,FALSE))),IF(EXACT("x"&amp;H15,"x"&amp;I15),AA15,AB15),"LEXEMA_O_FORMA"),IF(W15="PRUEBA",IF(H15=X15,AA15,IF(H15=Z15,AB15,"LEXEMA_O_FORMA")),IF(W15="RETIRADA",IF(AND(H15="NINGUNO",I15=""),IF(J15="COMPLETA",AB15,"COBERTURA_INSUFICIENTE"),IF(AND(OR(H15="uoInstallation",H15="uoUninstallation"),OR(I15="orcSucceeded",I15="orcSucceededWithErrors",I15="orcFailed",I15="orcAborted",I15="orcInProgress",I15="orcNotStarted")),IF(AND(H15=X15,I15=Y15),AA15,IF(AND(H15=X15,OR(I15="orcSucceededWithErrors",I15="orcInProgress",I15="orcNotStarted")),"RESULTADO_RETIRADA_INCIERTO",IF(J15="COMPLETA",AB15,"COBERTURA_INSUFICIENTE"))),"LEXEMA_O_FORMA")),IF(W15="CAMBIO",IF(OR(H15="CAMBIO",H15="CAMBIO_Y_RETORNO"),AA15,IF(OR(H15="NINGUNO",H15="SOLO_RENOMBRE"),IF(J15="COMPLETA",AB15,"COBERTURA_INSUFICIENTE"),"LEXEMA_O_FORMA")),IF(W15="RESTAURACION",IF(H15=X15,AA15,IF(OR(H15="NINGUNO",H15="RESTAURACION_POSTERIOR",H15="RESTAURACION_FALLIDA"),IF(J15="COMPLETA",AB15,"COBERTURA_INSUFICIENTE"),"LEXEMA_O_FORMA")),"PERFIL_NO_CONSTITUIDO"))))))))))))))))))</x:f>
        <x:v>NO_EXITO_PLENO</x:v>
      </x:c>
      <x:c r="R15" s="12" t="str">
        <x:f>IF(AND(L15=O15,M15=P15,N15=Q15),"PASA","NO_PASA")</x:f>
        <x:v>PASA</x:v>
      </x:c>
      <x:c r="S15" s="4" t="str">
        <x:v>Resultado terminal distinto de éxito pleno; conserva el enum original.</x:v>
      </x:c>
      <x:c r="T15" s="12" t="str">
        <x:f>IFERROR(INDEX('55_Codificacion_ensayo'!$B$5:$B$13,MATCH(B15,'55_Codificacion_ensayo'!$A$5:$A$13,0)),"")</x:f>
        <x:v>WUA-RESULTADO-INDIVIDUAL-0.1</x:v>
      </x:c>
      <x:c r="U15" s="12" t="str">
        <x:f>IFERROR(INDEX('55_Codificacion_ensayo'!$C$5:$C$13,MATCH(B15,'55_Codificacion_ensayo'!$A$5:$A$13,0)),"")</x:f>
        <x:v>RESULTADO_WUA_INDIVIDUAL</x:v>
      </x:c>
      <x:c r="V15" s="12" t="str">
        <x:f>IFERROR(INDEX('55_Codificacion_ensayo'!$D$5:$D$13,MATCH(B15,'55_Codificacion_ensayo'!$A$5:$A$13,0)),"")</x:f>
        <x:v>INSTALAR_INDIVIDUAL</x:v>
      </x:c>
      <x:c r="W15" s="12" t="str">
        <x:f>IFERROR(INDEX('55_Codificacion_ensayo'!$E$5:$E$13,MATCH(B15,'55_Codificacion_ensayo'!$A$5:$A$13,0)),"")</x:f>
        <x:v>RESULTADO</x:v>
      </x:c>
      <x:c r="X15" s="12" t="str">
        <x:f>IFERROR(INDEX('55_Codificacion_ensayo'!$F$5:$F$13,MATCH(B15,'55_Codificacion_ensayo'!$A$5:$A$13,0)),"")</x:f>
        <x:v>orcSucceeded</x:v>
      </x:c>
      <x:c r="Y15" s="12" t="str">
        <x:f>IFERROR(INDEX('55_Codificacion_ensayo'!$G$5:$G$13,MATCH(B15,'55_Codificacion_ensayo'!$A$5:$A$13,0)),"")</x:f>
      </x:c>
      <x:c r="Z15" s="12" t="str">
        <x:f>IFERROR(INDEX('55_Codificacion_ensayo'!$H$5:$H$13,MATCH(B15,'55_Codificacion_ensayo'!$A$5:$A$13,0)),"")</x:f>
        <x:v>orcFailed</x:v>
      </x:c>
      <x:c r="AA15" s="12" t="str">
        <x:f>IFERROR(INDEX('55_Codificacion_ensayo'!$I$5:$I$13,MATCH(B15,'55_Codificacion_ensayo'!$A$5:$A$13,0)),"")</x:f>
        <x:v>EXITO_COMUNICADO</x:v>
      </x:c>
      <x:c r="AB15" s="12" t="str">
        <x:f>IFERROR(INDEX('55_Codificacion_ensayo'!$J$5:$J$13,MATCH(B15,'55_Codificacion_ensayo'!$A$5:$A$13,0)),"")</x:f>
        <x:v>NO_EXITO_PLENO</x:v>
      </x:c>
    </x:row>
    <x:row r="16" ht="47" customHeight="1">
      <x:c r="A16" s="4" t="str">
        <x:v>L10-02-12</x:v>
      </x:c>
      <x:c r="B16" s="4" t="str">
        <x:v>PAR-CYB-INSTALACION-EXITO-COMUNICADO-001</x:v>
      </x:c>
      <x:c r="C16" s="4" t="str">
        <x:v>WUA-RESULTADO-INDIVIDUAL-0.1</x:v>
      </x:c>
      <x:c r="D16" s="4" t="str">
        <x:v>COINCIDE</x:v>
      </x:c>
      <x:c r="E16" s="4" t="str">
        <x:v>LEGIBLE</x:v>
      </x:c>
      <x:c r="F16" s="4" t="str">
        <x:v>RESULTADO_WUA_INDIVIDUAL</x:v>
      </x:c>
      <x:c r="G16" s="4" t="str">
        <x:v>UNICA</x:v>
      </x:c>
      <x:c r="H16" s="4" t="str">
        <x:v>orcAborted</x:v>
      </x:c>
      <x:c r="I16" s="4" t="str"/>
      <x:c r="J16" s="4" t="str">
        <x:v>COMPLETA</x:v>
      </x:c>
      <x:c r="K16" s="4" t="str">
        <x:v>INSTALAR_INDIVIDUAL</x:v>
      </x:c>
      <x:c r="L16" s="4" t="str">
        <x:v>VALIDA</x:v>
      </x:c>
      <x:c r="M16" s="4" t="str">
        <x:v>0</x:v>
      </x:c>
      <x:c r="N16" s="4" t="str">
        <x:v>NO_EXITO_PLENO</x:v>
      </x:c>
      <x:c r="O16" s="12" t="str">
        <x:f>IF(Q16="SIN_EJECUCION_DOMINIO","FALLO_CAPTURA",IF(OR(Q16="CAPTURA_MAL_FORMADA",Q16="IDENTIDAD",Q16="OBSERVACION_MAL_FORMADA",Q16="LEXEMA_O_FORMA"),"NO_ADMISION",IF(OR(Q16="PERFIL_NO_CONSTITUIDO",Q16="RESULTADO_NO_TERMINAL"),"FUERA_PERFIL",IF(Q16="CONTEXTO_NO_CONSTITUIDO","CONFIGURACION_PENDIENTE","VALIDA"))))</x:f>
        <x:v>VALIDA</x:v>
      </x:c>
      <x:c r="P16" s="12" t="str">
        <x:f>IF(O16&lt;&gt;"VALIDA","",IF(Q16=AA16,"1",IF(Q16=AB16,"0","U")))</x:f>
        <x:v>0</x:v>
      </x:c>
      <x:c r="Q16" s="12" t="str">
        <x:f>IF(E16="FALLO","SIN_EJECUCION_DOMINIO",IF(E16&lt;&gt;"LEGIBLE","CAPTURA_MAL_FORMADA",IF(D16&lt;&gt;"COINCIDE","IDENTIDAD",IF(OR(T16="",C16&lt;&gt;T16),"PERFIL_NO_CONSTITUIDO",IF(K16&lt;&gt;V16,IF(V16="ORDEN_ACREDITADO","ORDEN_NO_ACREDITADO","CONTEXTO_NO_CONSTITUIDO"),IF(AND(G16="AUSENTE",H16="",I16=""),"DATO_AUSENTE",IF(AND(G16="CONFLICTO",H16="",I16=""),"CONFLICTO_OBSERVACIONAL",IF(G16&lt;&gt;"UNICA","OBSERVACION_MAL_FORMADA",IF(F16&lt;&gt;U16,"OBSERVACION_INSUFICIENTE",IF(W16="RESULTADO",IF(H16=X16,AA16,IF(OR(H16="orcSucceededWithErrors",H16="orcFailed",H16="orcAborted"),AB16,IF(OR(H16="orcNotStarted",H16="orcInProgress"),"RESULTADO_NO_TERMINAL","LEXEMA_O_FORMA"))),IF(W16="EVENTO_BOOT",IF(H16=X16,AA16,IF(OR(H16="NINGUNO",H16="SOLO_HIBRIDO"),IF(J16="COMPLETA",AB16,"COBERTURA_INSUFICIENTE"),"LEXEMA_O_FORMA")),IF(W16="REQUISITO_SOFT",IF(H16=X16,AA16,IF(H16=Z16,AB16,"LEXEMA_O_FORMA")),IF(W16="EVENTO_PROC",IF(H16=X16,AA16,IF(H16=Z16,IF(J16="COMPLETA",AB16,"COBERTURA_INSUFICIENTE"),"LEXEMA_O_FORMA")),IF(W16="IMAGEN",IF(AND(AND(ISTEXT(H16),LEN(("x"&amp;H16))=65,EXACT(("x"&amp;H16),LOWER(("x"&amp;H16))),ISERROR(SEARCH(" ",("x"&amp;H16))),ISERROR(SEARCH(CHAR(9),("x"&amp;H16))),ISERROR(SEARCH(CHAR(10),("x"&amp;H16))),ISERROR(SEARCH(CHAR(13),("x"&amp;H16))),IFERROR(HEX2DEC(MID(("x"&amp;H16),2,8))&gt;=0,FALSE),IFERROR(HEX2DEC(MID(("x"&amp;H16),10,8))&gt;=0,FALSE),IFERROR(HEX2DEC(MID(("x"&amp;H16),18,8))&gt;=0,FALSE),IFERROR(HEX2DEC(MID(("x"&amp;H16),26,8))&gt;=0,FALSE),IFERROR(HEX2DEC(MID(("x"&amp;H16),34,8))&gt;=0,FALSE),IFERROR(HEX2DEC(MID(("x"&amp;H16),42,8))&gt;=0,FALSE),IFERROR(HEX2DEC(MID(("x"&amp;H16),50,8))&gt;=0,FALSE),IFERROR(HEX2DEC(MID(("x"&amp;H16),58,8))&gt;=0,FALSE)),AND(ISTEXT(I16),LEN(("x"&amp;I16))=65,EXACT(("x"&amp;I16),LOWER(("x"&amp;I16))),ISERROR(SEARCH(" ",("x"&amp;I16))),ISERROR(SEARCH(CHAR(9),("x"&amp;I16))),ISERROR(SEARCH(CHAR(10),("x"&amp;I16))),ISERROR(SEARCH(CHAR(13),("x"&amp;I16))),IFERROR(HEX2DEC(MID(("x"&amp;I16),2,8))&gt;=0,FALSE),IFERROR(HEX2DEC(MID(("x"&amp;I16),10,8))&gt;=0,FALSE),IFERROR(HEX2DEC(MID(("x"&amp;I16),18,8))&gt;=0,FALSE),IFERROR(HEX2DEC(MID(("x"&amp;I16),26,8))&gt;=0,FALSE),IFERROR(HEX2DEC(MID(("x"&amp;I16),34,8))&gt;=0,FALSE),IFERROR(HEX2DEC(MID(("x"&amp;I16),42,8))&gt;=0,FALSE),IFERROR(HEX2DEC(MID(("x"&amp;I16),50,8))&gt;=0,FALSE),IFERROR(HEX2DEC(MID(("x"&amp;I16),58,8))&gt;=0,FALSE))),IF(EXACT("x"&amp;H16,"x"&amp;I16),AA16,AB16),"LEXEMA_O_FORMA"),IF(W16="PRUEBA",IF(H16=X16,AA16,IF(H16=Z16,AB16,"LEXEMA_O_FORMA")),IF(W16="RETIRADA",IF(AND(H16="NINGUNO",I16=""),IF(J16="COMPLETA",AB16,"COBERTURA_INSUFICIENTE"),IF(AND(OR(H16="uoInstallation",H16="uoUninstallation"),OR(I16="orcSucceeded",I16="orcSucceededWithErrors",I16="orcFailed",I16="orcAborted",I16="orcInProgress",I16="orcNotStarted")),IF(AND(H16=X16,I16=Y16),AA16,IF(AND(H16=X16,OR(I16="orcSucceededWithErrors",I16="orcInProgress",I16="orcNotStarted")),"RESULTADO_RETIRADA_INCIERTO",IF(J16="COMPLETA",AB16,"COBERTURA_INSUFICIENTE"))),"LEXEMA_O_FORMA")),IF(W16="CAMBIO",IF(OR(H16="CAMBIO",H16="CAMBIO_Y_RETORNO"),AA16,IF(OR(H16="NINGUNO",H16="SOLO_RENOMBRE"),IF(J16="COMPLETA",AB16,"COBERTURA_INSUFICIENTE"),"LEXEMA_O_FORMA")),IF(W16="RESTAURACION",IF(H16=X16,AA16,IF(OR(H16="NINGUNO",H16="RESTAURACION_POSTERIOR",H16="RESTAURACION_FALLIDA"),IF(J16="COMPLETA",AB16,"COBERTURA_INSUFICIENTE"),"LEXEMA_O_FORMA")),"PERFIL_NO_CONSTITUIDO"))))))))))))))))))</x:f>
        <x:v>NO_EXITO_PLENO</x:v>
      </x:c>
      <x:c r="R16" s="12" t="str">
        <x:f>IF(AND(L16=O16,M16=P16,N16=Q16),"PASA","NO_PASA")</x:f>
        <x:v>PASA</x:v>
      </x:c>
      <x:c r="S16" s="4" t="str">
        <x:v>Resultado terminal distinto de éxito pleno; conserva el enum original.</x:v>
      </x:c>
      <x:c r="T16" s="12" t="str">
        <x:f>IFERROR(INDEX('55_Codificacion_ensayo'!$B$5:$B$13,MATCH(B16,'55_Codificacion_ensayo'!$A$5:$A$13,0)),"")</x:f>
        <x:v>WUA-RESULTADO-INDIVIDUAL-0.1</x:v>
      </x:c>
      <x:c r="U16" s="12" t="str">
        <x:f>IFERROR(INDEX('55_Codificacion_ensayo'!$C$5:$C$13,MATCH(B16,'55_Codificacion_ensayo'!$A$5:$A$13,0)),"")</x:f>
        <x:v>RESULTADO_WUA_INDIVIDUAL</x:v>
      </x:c>
      <x:c r="V16" s="12" t="str">
        <x:f>IFERROR(INDEX('55_Codificacion_ensayo'!$D$5:$D$13,MATCH(B16,'55_Codificacion_ensayo'!$A$5:$A$13,0)),"")</x:f>
        <x:v>INSTALAR_INDIVIDUAL</x:v>
      </x:c>
      <x:c r="W16" s="12" t="str">
        <x:f>IFERROR(INDEX('55_Codificacion_ensayo'!$E$5:$E$13,MATCH(B16,'55_Codificacion_ensayo'!$A$5:$A$13,0)),"")</x:f>
        <x:v>RESULTADO</x:v>
      </x:c>
      <x:c r="X16" s="12" t="str">
        <x:f>IFERROR(INDEX('55_Codificacion_ensayo'!$F$5:$F$13,MATCH(B16,'55_Codificacion_ensayo'!$A$5:$A$13,0)),"")</x:f>
        <x:v>orcSucceeded</x:v>
      </x:c>
      <x:c r="Y16" s="12" t="str">
        <x:f>IFERROR(INDEX('55_Codificacion_ensayo'!$G$5:$G$13,MATCH(B16,'55_Codificacion_ensayo'!$A$5:$A$13,0)),"")</x:f>
      </x:c>
      <x:c r="Z16" s="12" t="str">
        <x:f>IFERROR(INDEX('55_Codificacion_ensayo'!$H$5:$H$13,MATCH(B16,'55_Codificacion_ensayo'!$A$5:$A$13,0)),"")</x:f>
        <x:v>orcFailed</x:v>
      </x:c>
      <x:c r="AA16" s="12" t="str">
        <x:f>IFERROR(INDEX('55_Codificacion_ensayo'!$I$5:$I$13,MATCH(B16,'55_Codificacion_ensayo'!$A$5:$A$13,0)),"")</x:f>
        <x:v>EXITO_COMUNICADO</x:v>
      </x:c>
      <x:c r="AB16" s="12" t="str">
        <x:f>IFERROR(INDEX('55_Codificacion_ensayo'!$J$5:$J$13,MATCH(B16,'55_Codificacion_ensayo'!$A$5:$A$13,0)),"")</x:f>
        <x:v>NO_EXITO_PLENO</x:v>
      </x:c>
    </x:row>
    <x:row r="17" ht="47" customHeight="1">
      <x:c r="A17" s="4" t="str">
        <x:v>L10-02-13</x:v>
      </x:c>
      <x:c r="B17" s="4" t="str">
        <x:v>PAR-CYB-INSTALACION-EXITO-COMUNICADO-001</x:v>
      </x:c>
      <x:c r="C17" s="4" t="str">
        <x:v>WUA-RESULTADO-INDIVIDUAL-0.1</x:v>
      </x:c>
      <x:c r="D17" s="4" t="str">
        <x:v>COINCIDE</x:v>
      </x:c>
      <x:c r="E17" s="4" t="str">
        <x:v>LEGIBLE</x:v>
      </x:c>
      <x:c r="F17" s="4" t="str">
        <x:v>RESULTADO_WUA_INDIVIDUAL</x:v>
      </x:c>
      <x:c r="G17" s="4" t="str">
        <x:v>UNICA</x:v>
      </x:c>
      <x:c r="H17" s="4" t="str">
        <x:v>orcNotStarted</x:v>
      </x:c>
      <x:c r="I17" s="4" t="str"/>
      <x:c r="J17" s="4" t="str">
        <x:v>COMPLETA</x:v>
      </x:c>
      <x:c r="K17" s="4" t="str">
        <x:v>INSTALAR_INDIVIDUAL</x:v>
      </x:c>
      <x:c r="L17" s="4" t="str">
        <x:v>FUERA_PERFIL</x:v>
      </x:c>
      <x:c r="M17" s="4" t="str"/>
      <x:c r="N17" s="4" t="str">
        <x:v>RESULTADO_NO_TERMINAL</x:v>
      </x:c>
      <x:c r="O17" s="12" t="str">
        <x:f>IF(Q17="SIN_EJECUCION_DOMINIO","FALLO_CAPTURA",IF(OR(Q17="CAPTURA_MAL_FORMADA",Q17="IDENTIDAD",Q17="OBSERVACION_MAL_FORMADA",Q17="LEXEMA_O_FORMA"),"NO_ADMISION",IF(OR(Q17="PERFIL_NO_CONSTITUIDO",Q17="RESULTADO_NO_TERMINAL"),"FUERA_PERFIL",IF(Q17="CONTEXTO_NO_CONSTITUIDO","CONFIGURACION_PENDIENTE","VALIDA"))))</x:f>
        <x:v>FUERA_PERFIL</x:v>
      </x:c>
      <x:c r="P17" s="12" t="str">
        <x:f>IF(O17&lt;&gt;"VALIDA","",IF(Q17=AA17,"1",IF(Q17=AB17,"0","U")))</x:f>
      </x:c>
      <x:c r="Q17" s="12" t="str">
        <x:f>IF(E17="FALLO","SIN_EJECUCION_DOMINIO",IF(E17&lt;&gt;"LEGIBLE","CAPTURA_MAL_FORMADA",IF(D17&lt;&gt;"COINCIDE","IDENTIDAD",IF(OR(T17="",C17&lt;&gt;T17),"PERFIL_NO_CONSTITUIDO",IF(K17&lt;&gt;V17,IF(V17="ORDEN_ACREDITADO","ORDEN_NO_ACREDITADO","CONTEXTO_NO_CONSTITUIDO"),IF(AND(G17="AUSENTE",H17="",I17=""),"DATO_AUSENTE",IF(AND(G17="CONFLICTO",H17="",I17=""),"CONFLICTO_OBSERVACIONAL",IF(G17&lt;&gt;"UNICA","OBSERVACION_MAL_FORMADA",IF(F17&lt;&gt;U17,"OBSERVACION_INSUFICIENTE",IF(W17="RESULTADO",IF(H17=X17,AA17,IF(OR(H17="orcSucceededWithErrors",H17="orcFailed",H17="orcAborted"),AB17,IF(OR(H17="orcNotStarted",H17="orcInProgress"),"RESULTADO_NO_TERMINAL","LEXEMA_O_FORMA"))),IF(W17="EVENTO_BOOT",IF(H17=X17,AA17,IF(OR(H17="NINGUNO",H17="SOLO_HIBRIDO"),IF(J17="COMPLETA",AB17,"COBERTURA_INSUFICIENTE"),"LEXEMA_O_FORMA")),IF(W17="REQUISITO_SOFT",IF(H17=X17,AA17,IF(H17=Z17,AB17,"LEXEMA_O_FORMA")),IF(W17="EVENTO_PROC",IF(H17=X17,AA17,IF(H17=Z17,IF(J17="COMPLETA",AB17,"COBERTURA_INSUFICIENTE"),"LEXEMA_O_FORMA")),IF(W17="IMAGEN",IF(AND(AND(ISTEXT(H17),LEN(("x"&amp;H17))=65,EXACT(("x"&amp;H17),LOWER(("x"&amp;H17))),ISERROR(SEARCH(" ",("x"&amp;H17))),ISERROR(SEARCH(CHAR(9),("x"&amp;H17))),ISERROR(SEARCH(CHAR(10),("x"&amp;H17))),ISERROR(SEARCH(CHAR(13),("x"&amp;H17))),IFERROR(HEX2DEC(MID(("x"&amp;H17),2,8))&gt;=0,FALSE),IFERROR(HEX2DEC(MID(("x"&amp;H17),10,8))&gt;=0,FALSE),IFERROR(HEX2DEC(MID(("x"&amp;H17),18,8))&gt;=0,FALSE),IFERROR(HEX2DEC(MID(("x"&amp;H17),26,8))&gt;=0,FALSE),IFERROR(HEX2DEC(MID(("x"&amp;H17),34,8))&gt;=0,FALSE),IFERROR(HEX2DEC(MID(("x"&amp;H17),42,8))&gt;=0,FALSE),IFERROR(HEX2DEC(MID(("x"&amp;H17),50,8))&gt;=0,FALSE),IFERROR(HEX2DEC(MID(("x"&amp;H17),58,8))&gt;=0,FALSE)),AND(ISTEXT(I17),LEN(("x"&amp;I17))=65,EXACT(("x"&amp;I17),LOWER(("x"&amp;I17))),ISERROR(SEARCH(" ",("x"&amp;I17))),ISERROR(SEARCH(CHAR(9),("x"&amp;I17))),ISERROR(SEARCH(CHAR(10),("x"&amp;I17))),ISERROR(SEARCH(CHAR(13),("x"&amp;I17))),IFERROR(HEX2DEC(MID(("x"&amp;I17),2,8))&gt;=0,FALSE),IFERROR(HEX2DEC(MID(("x"&amp;I17),10,8))&gt;=0,FALSE),IFERROR(HEX2DEC(MID(("x"&amp;I17),18,8))&gt;=0,FALSE),IFERROR(HEX2DEC(MID(("x"&amp;I17),26,8))&gt;=0,FALSE),IFERROR(HEX2DEC(MID(("x"&amp;I17),34,8))&gt;=0,FALSE),IFERROR(HEX2DEC(MID(("x"&amp;I17),42,8))&gt;=0,FALSE),IFERROR(HEX2DEC(MID(("x"&amp;I17),50,8))&gt;=0,FALSE),IFERROR(HEX2DEC(MID(("x"&amp;I17),58,8))&gt;=0,FALSE))),IF(EXACT("x"&amp;H17,"x"&amp;I17),AA17,AB17),"LEXEMA_O_FORMA"),IF(W17="PRUEBA",IF(H17=X17,AA17,IF(H17=Z17,AB17,"LEXEMA_O_FORMA")),IF(W17="RETIRADA",IF(AND(H17="NINGUNO",I17=""),IF(J17="COMPLETA",AB17,"COBERTURA_INSUFICIENTE"),IF(AND(OR(H17="uoInstallation",H17="uoUninstallation"),OR(I17="orcSucceeded",I17="orcSucceededWithErrors",I17="orcFailed",I17="orcAborted",I17="orcInProgress",I17="orcNotStarted")),IF(AND(H17=X17,I17=Y17),AA17,IF(AND(H17=X17,OR(I17="orcSucceededWithErrors",I17="orcInProgress",I17="orcNotStarted")),"RESULTADO_RETIRADA_INCIERTO",IF(J17="COMPLETA",AB17,"COBERTURA_INSUFICIENTE"))),"LEXEMA_O_FORMA")),IF(W17="CAMBIO",IF(OR(H17="CAMBIO",H17="CAMBIO_Y_RETORNO"),AA17,IF(OR(H17="NINGUNO",H17="SOLO_RENOMBRE"),IF(J17="COMPLETA",AB17,"COBERTURA_INSUFICIENTE"),"LEXEMA_O_FORMA")),IF(W17="RESTAURACION",IF(H17=X17,AA17,IF(OR(H17="NINGUNO",H17="RESTAURACION_POSTERIOR",H17="RESTAURACION_FALLIDA"),IF(J17="COMPLETA",AB17,"COBERTURA_INSUFICIENTE"),"LEXEMA_O_FORMA")),"PERFIL_NO_CONSTITUIDO"))))))))))))))))))</x:f>
        <x:v>RESULTADO_NO_TERMINAL</x:v>
      </x:c>
      <x:c r="R17" s="12" t="str">
        <x:f>IF(AND(L17=O17,M17=P17,N17=Q17),"PASA","NO_PASA")</x:f>
        <x:v>PASA</x:v>
      </x:c>
      <x:c r="S17" s="4" t="str">
        <x:v>Intento aún no terminal fuera del perfil; no falsear el resultado.</x:v>
      </x:c>
      <x:c r="T17" s="12" t="str">
        <x:f>IFERROR(INDEX('55_Codificacion_ensayo'!$B$5:$B$13,MATCH(B17,'55_Codificacion_ensayo'!$A$5:$A$13,0)),"")</x:f>
        <x:v>WUA-RESULTADO-INDIVIDUAL-0.1</x:v>
      </x:c>
      <x:c r="U17" s="12" t="str">
        <x:f>IFERROR(INDEX('55_Codificacion_ensayo'!$C$5:$C$13,MATCH(B17,'55_Codificacion_ensayo'!$A$5:$A$13,0)),"")</x:f>
        <x:v>RESULTADO_WUA_INDIVIDUAL</x:v>
      </x:c>
      <x:c r="V17" s="12" t="str">
        <x:f>IFERROR(INDEX('55_Codificacion_ensayo'!$D$5:$D$13,MATCH(B17,'55_Codificacion_ensayo'!$A$5:$A$13,0)),"")</x:f>
        <x:v>INSTALAR_INDIVIDUAL</x:v>
      </x:c>
      <x:c r="W17" s="12" t="str">
        <x:f>IFERROR(INDEX('55_Codificacion_ensayo'!$E$5:$E$13,MATCH(B17,'55_Codificacion_ensayo'!$A$5:$A$13,0)),"")</x:f>
        <x:v>RESULTADO</x:v>
      </x:c>
      <x:c r="X17" s="12" t="str">
        <x:f>IFERROR(INDEX('55_Codificacion_ensayo'!$F$5:$F$13,MATCH(B17,'55_Codificacion_ensayo'!$A$5:$A$13,0)),"")</x:f>
        <x:v>orcSucceeded</x:v>
      </x:c>
      <x:c r="Y17" s="12" t="str">
        <x:f>IFERROR(INDEX('55_Codificacion_ensayo'!$G$5:$G$13,MATCH(B17,'55_Codificacion_ensayo'!$A$5:$A$13,0)),"")</x:f>
      </x:c>
      <x:c r="Z17" s="12" t="str">
        <x:f>IFERROR(INDEX('55_Codificacion_ensayo'!$H$5:$H$13,MATCH(B17,'55_Codificacion_ensayo'!$A$5:$A$13,0)),"")</x:f>
        <x:v>orcFailed</x:v>
      </x:c>
      <x:c r="AA17" s="12" t="str">
        <x:f>IFERROR(INDEX('55_Codificacion_ensayo'!$I$5:$I$13,MATCH(B17,'55_Codificacion_ensayo'!$A$5:$A$13,0)),"")</x:f>
        <x:v>EXITO_COMUNICADO</x:v>
      </x:c>
      <x:c r="AB17" s="12" t="str">
        <x:f>IFERROR(INDEX('55_Codificacion_ensayo'!$J$5:$J$13,MATCH(B17,'55_Codificacion_ensayo'!$A$5:$A$13,0)),"")</x:f>
        <x:v>NO_EXITO_PLENO</x:v>
      </x:c>
    </x:row>
    <x:row r="18" ht="47" customHeight="1">
      <x:c r="A18" s="4" t="str">
        <x:v>L10-02-14</x:v>
      </x:c>
      <x:c r="B18" s="4" t="str">
        <x:v>PAR-CYB-INSTALACION-EXITO-COMUNICADO-001</x:v>
      </x:c>
      <x:c r="C18" s="4" t="str">
        <x:v>WUA-RESULTADO-INDIVIDUAL-0.1</x:v>
      </x:c>
      <x:c r="D18" s="4" t="str">
        <x:v>COINCIDE</x:v>
      </x:c>
      <x:c r="E18" s="4" t="str">
        <x:v>LEGIBLE</x:v>
      </x:c>
      <x:c r="F18" s="4" t="str">
        <x:v>RESULTADO_WUA_INDIVIDUAL</x:v>
      </x:c>
      <x:c r="G18" s="4" t="str">
        <x:v>UNICA</x:v>
      </x:c>
      <x:c r="H18" s="4" t="str">
        <x:v>orcInProgress</x:v>
      </x:c>
      <x:c r="I18" s="4" t="str"/>
      <x:c r="J18" s="4" t="str">
        <x:v>COMPLETA</x:v>
      </x:c>
      <x:c r="K18" s="4" t="str">
        <x:v>INSTALAR_INDIVIDUAL</x:v>
      </x:c>
      <x:c r="L18" s="4" t="str">
        <x:v>FUERA_PERFIL</x:v>
      </x:c>
      <x:c r="M18" s="4" t="str"/>
      <x:c r="N18" s="4" t="str">
        <x:v>RESULTADO_NO_TERMINAL</x:v>
      </x:c>
      <x:c r="O18" s="12" t="str">
        <x:f>IF(Q18="SIN_EJECUCION_DOMINIO","FALLO_CAPTURA",IF(OR(Q18="CAPTURA_MAL_FORMADA",Q18="IDENTIDAD",Q18="OBSERVACION_MAL_FORMADA",Q18="LEXEMA_O_FORMA"),"NO_ADMISION",IF(OR(Q18="PERFIL_NO_CONSTITUIDO",Q18="RESULTADO_NO_TERMINAL"),"FUERA_PERFIL",IF(Q18="CONTEXTO_NO_CONSTITUIDO","CONFIGURACION_PENDIENTE","VALIDA"))))</x:f>
        <x:v>FUERA_PERFIL</x:v>
      </x:c>
      <x:c r="P18" s="12" t="str">
        <x:f>IF(O18&lt;&gt;"VALIDA","",IF(Q18=AA18,"1",IF(Q18=AB18,"0","U")))</x:f>
      </x:c>
      <x:c r="Q18" s="12" t="str">
        <x:f>IF(E18="FALLO","SIN_EJECUCION_DOMINIO",IF(E18&lt;&gt;"LEGIBLE","CAPTURA_MAL_FORMADA",IF(D18&lt;&gt;"COINCIDE","IDENTIDAD",IF(OR(T18="",C18&lt;&gt;T18),"PERFIL_NO_CONSTITUIDO",IF(K18&lt;&gt;V18,IF(V18="ORDEN_ACREDITADO","ORDEN_NO_ACREDITADO","CONTEXTO_NO_CONSTITUIDO"),IF(AND(G18="AUSENTE",H18="",I18=""),"DATO_AUSENTE",IF(AND(G18="CONFLICTO",H18="",I18=""),"CONFLICTO_OBSERVACIONAL",IF(G18&lt;&gt;"UNICA","OBSERVACION_MAL_FORMADA",IF(F18&lt;&gt;U18,"OBSERVACION_INSUFICIENTE",IF(W18="RESULTADO",IF(H18=X18,AA18,IF(OR(H18="orcSucceededWithErrors",H18="orcFailed",H18="orcAborted"),AB18,IF(OR(H18="orcNotStarted",H18="orcInProgress"),"RESULTADO_NO_TERMINAL","LEXEMA_O_FORMA"))),IF(W18="EVENTO_BOOT",IF(H18=X18,AA18,IF(OR(H18="NINGUNO",H18="SOLO_HIBRIDO"),IF(J18="COMPLETA",AB18,"COBERTURA_INSUFICIENTE"),"LEXEMA_O_FORMA")),IF(W18="REQUISITO_SOFT",IF(H18=X18,AA18,IF(H18=Z18,AB18,"LEXEMA_O_FORMA")),IF(W18="EVENTO_PROC",IF(H18=X18,AA18,IF(H18=Z18,IF(J18="COMPLETA",AB18,"COBERTURA_INSUFICIENTE"),"LEXEMA_O_FORMA")),IF(W18="IMAGEN",IF(AND(AND(ISTEXT(H18),LEN(("x"&amp;H18))=65,EXACT(("x"&amp;H18),LOWER(("x"&amp;H18))),ISERROR(SEARCH(" ",("x"&amp;H18))),ISERROR(SEARCH(CHAR(9),("x"&amp;H18))),ISERROR(SEARCH(CHAR(10),("x"&amp;H18))),ISERROR(SEARCH(CHAR(13),("x"&amp;H18))),IFERROR(HEX2DEC(MID(("x"&amp;H18),2,8))&gt;=0,FALSE),IFERROR(HEX2DEC(MID(("x"&amp;H18),10,8))&gt;=0,FALSE),IFERROR(HEX2DEC(MID(("x"&amp;H18),18,8))&gt;=0,FALSE),IFERROR(HEX2DEC(MID(("x"&amp;H18),26,8))&gt;=0,FALSE),IFERROR(HEX2DEC(MID(("x"&amp;H18),34,8))&gt;=0,FALSE),IFERROR(HEX2DEC(MID(("x"&amp;H18),42,8))&gt;=0,FALSE),IFERROR(HEX2DEC(MID(("x"&amp;H18),50,8))&gt;=0,FALSE),IFERROR(HEX2DEC(MID(("x"&amp;H18),58,8))&gt;=0,FALSE)),AND(ISTEXT(I18),LEN(("x"&amp;I18))=65,EXACT(("x"&amp;I18),LOWER(("x"&amp;I18))),ISERROR(SEARCH(" ",("x"&amp;I18))),ISERROR(SEARCH(CHAR(9),("x"&amp;I18))),ISERROR(SEARCH(CHAR(10),("x"&amp;I18))),ISERROR(SEARCH(CHAR(13),("x"&amp;I18))),IFERROR(HEX2DEC(MID(("x"&amp;I18),2,8))&gt;=0,FALSE),IFERROR(HEX2DEC(MID(("x"&amp;I18),10,8))&gt;=0,FALSE),IFERROR(HEX2DEC(MID(("x"&amp;I18),18,8))&gt;=0,FALSE),IFERROR(HEX2DEC(MID(("x"&amp;I18),26,8))&gt;=0,FALSE),IFERROR(HEX2DEC(MID(("x"&amp;I18),34,8))&gt;=0,FALSE),IFERROR(HEX2DEC(MID(("x"&amp;I18),42,8))&gt;=0,FALSE),IFERROR(HEX2DEC(MID(("x"&amp;I18),50,8))&gt;=0,FALSE),IFERROR(HEX2DEC(MID(("x"&amp;I18),58,8))&gt;=0,FALSE))),IF(EXACT("x"&amp;H18,"x"&amp;I18),AA18,AB18),"LEXEMA_O_FORMA"),IF(W18="PRUEBA",IF(H18=X18,AA18,IF(H18=Z18,AB18,"LEXEMA_O_FORMA")),IF(W18="RETIRADA",IF(AND(H18="NINGUNO",I18=""),IF(J18="COMPLETA",AB18,"COBERTURA_INSUFICIENTE"),IF(AND(OR(H18="uoInstallation",H18="uoUninstallation"),OR(I18="orcSucceeded",I18="orcSucceededWithErrors",I18="orcFailed",I18="orcAborted",I18="orcInProgress",I18="orcNotStarted")),IF(AND(H18=X18,I18=Y18),AA18,IF(AND(H18=X18,OR(I18="orcSucceededWithErrors",I18="orcInProgress",I18="orcNotStarted")),"RESULTADO_RETIRADA_INCIERTO",IF(J18="COMPLETA",AB18,"COBERTURA_INSUFICIENTE"))),"LEXEMA_O_FORMA")),IF(W18="CAMBIO",IF(OR(H18="CAMBIO",H18="CAMBIO_Y_RETORNO"),AA18,IF(OR(H18="NINGUNO",H18="SOLO_RENOMBRE"),IF(J18="COMPLETA",AB18,"COBERTURA_INSUFICIENTE"),"LEXEMA_O_FORMA")),IF(W18="RESTAURACION",IF(H18=X18,AA18,IF(OR(H18="NINGUNO",H18="RESTAURACION_POSTERIOR",H18="RESTAURACION_FALLIDA"),IF(J18="COMPLETA",AB18,"COBERTURA_INSUFICIENTE"),"LEXEMA_O_FORMA")),"PERFIL_NO_CONSTITUIDO"))))))))))))))))))</x:f>
        <x:v>RESULTADO_NO_TERMINAL</x:v>
      </x:c>
      <x:c r="R18" s="12" t="str">
        <x:f>IF(AND(L18=O18,M18=P18,N18=Q18),"PASA","NO_PASA")</x:f>
        <x:v>PASA</x:v>
      </x:c>
      <x:c r="S18" s="4" t="str">
        <x:v>Intento aún no terminal fuera del perfil; no falsear el resultado.</x:v>
      </x:c>
      <x:c r="T18" s="12" t="str">
        <x:f>IFERROR(INDEX('55_Codificacion_ensayo'!$B$5:$B$13,MATCH(B18,'55_Codificacion_ensayo'!$A$5:$A$13,0)),"")</x:f>
        <x:v>WUA-RESULTADO-INDIVIDUAL-0.1</x:v>
      </x:c>
      <x:c r="U18" s="12" t="str">
        <x:f>IFERROR(INDEX('55_Codificacion_ensayo'!$C$5:$C$13,MATCH(B18,'55_Codificacion_ensayo'!$A$5:$A$13,0)),"")</x:f>
        <x:v>RESULTADO_WUA_INDIVIDUAL</x:v>
      </x:c>
      <x:c r="V18" s="12" t="str">
        <x:f>IFERROR(INDEX('55_Codificacion_ensayo'!$D$5:$D$13,MATCH(B18,'55_Codificacion_ensayo'!$A$5:$A$13,0)),"")</x:f>
        <x:v>INSTALAR_INDIVIDUAL</x:v>
      </x:c>
      <x:c r="W18" s="12" t="str">
        <x:f>IFERROR(INDEX('55_Codificacion_ensayo'!$E$5:$E$13,MATCH(B18,'55_Codificacion_ensayo'!$A$5:$A$13,0)),"")</x:f>
        <x:v>RESULTADO</x:v>
      </x:c>
      <x:c r="X18" s="12" t="str">
        <x:f>IFERROR(INDEX('55_Codificacion_ensayo'!$F$5:$F$13,MATCH(B18,'55_Codificacion_ensayo'!$A$5:$A$13,0)),"")</x:f>
        <x:v>orcSucceeded</x:v>
      </x:c>
      <x:c r="Y18" s="12" t="str">
        <x:f>IFERROR(INDEX('55_Codificacion_ensayo'!$G$5:$G$13,MATCH(B18,'55_Codificacion_ensayo'!$A$5:$A$13,0)),"")</x:f>
      </x:c>
      <x:c r="Z18" s="12" t="str">
        <x:f>IFERROR(INDEX('55_Codificacion_ensayo'!$H$5:$H$13,MATCH(B18,'55_Codificacion_ensayo'!$A$5:$A$13,0)),"")</x:f>
        <x:v>orcFailed</x:v>
      </x:c>
      <x:c r="AA18" s="12" t="str">
        <x:f>IFERROR(INDEX('55_Codificacion_ensayo'!$I$5:$I$13,MATCH(B18,'55_Codificacion_ensayo'!$A$5:$A$13,0)),"")</x:f>
        <x:v>EXITO_COMUNICADO</x:v>
      </x:c>
      <x:c r="AB18" s="12" t="str">
        <x:f>IFERROR(INDEX('55_Codificacion_ensayo'!$J$5:$J$13,MATCH(B18,'55_Codificacion_ensayo'!$A$5:$A$13,0)),"")</x:f>
        <x:v>NO_EXITO_PLENO</x:v>
      </x:c>
    </x:row>
    <x:row r="19" ht="47" customHeight="1">
      <x:c r="A19" s="4" t="str">
        <x:v>L10-03-01</x:v>
      </x:c>
      <x:c r="B19" s="4" t="str">
        <x:v>PAR-CYB-REINICIO-SISTEMA-REALIZADO-001</x:v>
      </x:c>
      <x:c r="C19" s="4" t="str">
        <x:v>EVENTO-REINICIO-COMPLETO-0.1</x:v>
      </x:c>
      <x:c r="D19" s="4" t="str">
        <x:v>COINCIDE</x:v>
      </x:c>
      <x:c r="E19" s="4" t="str">
        <x:v>LEGIBLE</x:v>
      </x:c>
      <x:c r="F19" s="4" t="str">
        <x:v>ARRANQUE_COMPLETO</x:v>
      </x:c>
      <x:c r="G19" s="4" t="str">
        <x:v>UNICA</x:v>
      </x:c>
      <x:c r="H19" s="4" t="str">
        <x:v>REINICIO_COMPLETO</x:v>
      </x:c>
      <x:c r="I19" s="4" t="str"/>
      <x:c r="J19" s="4" t="str">
        <x:v>COMPLETA</x:v>
      </x:c>
      <x:c r="K19" s="4" t="str">
        <x:v>ORDEN_ACREDITADO</x:v>
      </x:c>
      <x:c r="L19" s="4" t="str">
        <x:v>VALIDA</x:v>
      </x:c>
      <x:c r="M19" s="4" t="str">
        <x:v>1</x:v>
      </x:c>
      <x:c r="N19" s="4" t="str">
        <x:v>REINICIO_REALIZADO</x:v>
      </x:c>
      <x:c r="O19" s="12" t="str">
        <x:f>IF(Q19="SIN_EJECUCION_DOMINIO","FALLO_CAPTURA",IF(OR(Q19="CAPTURA_MAL_FORMADA",Q19="IDENTIDAD",Q19="OBSERVACION_MAL_FORMADA",Q19="LEXEMA_O_FORMA"),"NO_ADMISION",IF(OR(Q19="PERFIL_NO_CONSTITUIDO",Q19="RESULTADO_NO_TERMINAL"),"FUERA_PERFIL",IF(Q19="CONTEXTO_NO_CONSTITUIDO","CONFIGURACION_PENDIENTE","VALIDA"))))</x:f>
        <x:v>VALIDA</x:v>
      </x:c>
      <x:c r="P19" s="12" t="str">
        <x:f>IF(O19&lt;&gt;"VALIDA","",IF(Q19=AA19,"1",IF(Q19=AB19,"0","U")))</x:f>
        <x:v>1</x:v>
      </x:c>
      <x:c r="Q19" s="12" t="str">
        <x:f>IF(E19="FALLO","SIN_EJECUCION_DOMINIO",IF(E19&lt;&gt;"LEGIBLE","CAPTURA_MAL_FORMADA",IF(D19&lt;&gt;"COINCIDE","IDENTIDAD",IF(OR(T19="",C19&lt;&gt;T19),"PERFIL_NO_CONSTITUIDO",IF(K19&lt;&gt;V19,IF(V19="ORDEN_ACREDITADO","ORDEN_NO_ACREDITADO","CONTEXTO_NO_CONSTITUIDO"),IF(AND(G19="AUSENTE",H19="",I19=""),"DATO_AUSENTE",IF(AND(G19="CONFLICTO",H19="",I19=""),"CONFLICTO_OBSERVACIONAL",IF(G19&lt;&gt;"UNICA","OBSERVACION_MAL_FORMADA",IF(F19&lt;&gt;U19,"OBSERVACION_INSUFICIENTE",IF(W19="RESULTADO",IF(H19=X19,AA19,IF(OR(H19="orcSucceededWithErrors",H19="orcFailed",H19="orcAborted"),AB19,IF(OR(H19="orcNotStarted",H19="orcInProgress"),"RESULTADO_NO_TERMINAL","LEXEMA_O_FORMA"))),IF(W19="EVENTO_BOOT",IF(H19=X19,AA19,IF(OR(H19="NINGUNO",H19="SOLO_HIBRIDO"),IF(J19="COMPLETA",AB19,"COBERTURA_INSUFICIENTE"),"LEXEMA_O_FORMA")),IF(W19="REQUISITO_SOFT",IF(H19=X19,AA19,IF(H19=Z19,AB19,"LEXEMA_O_FORMA")),IF(W19="EVENTO_PROC",IF(H19=X19,AA19,IF(H19=Z19,IF(J19="COMPLETA",AB19,"COBERTURA_INSUFICIENTE"),"LEXEMA_O_FORMA")),IF(W19="IMAGEN",IF(AND(AND(ISTEXT(H19),LEN(("x"&amp;H19))=65,EXACT(("x"&amp;H19),LOWER(("x"&amp;H19))),ISERROR(SEARCH(" ",("x"&amp;H19))),ISERROR(SEARCH(CHAR(9),("x"&amp;H19))),ISERROR(SEARCH(CHAR(10),("x"&amp;H19))),ISERROR(SEARCH(CHAR(13),("x"&amp;H19))),IFERROR(HEX2DEC(MID(("x"&amp;H19),2,8))&gt;=0,FALSE),IFERROR(HEX2DEC(MID(("x"&amp;H19),10,8))&gt;=0,FALSE),IFERROR(HEX2DEC(MID(("x"&amp;H19),18,8))&gt;=0,FALSE),IFERROR(HEX2DEC(MID(("x"&amp;H19),26,8))&gt;=0,FALSE),IFERROR(HEX2DEC(MID(("x"&amp;H19),34,8))&gt;=0,FALSE),IFERROR(HEX2DEC(MID(("x"&amp;H19),42,8))&gt;=0,FALSE),IFERROR(HEX2DEC(MID(("x"&amp;H19),50,8))&gt;=0,FALSE),IFERROR(HEX2DEC(MID(("x"&amp;H19),58,8))&gt;=0,FALSE)),AND(ISTEXT(I19),LEN(("x"&amp;I19))=65,EXACT(("x"&amp;I19),LOWER(("x"&amp;I19))),ISERROR(SEARCH(" ",("x"&amp;I19))),ISERROR(SEARCH(CHAR(9),("x"&amp;I19))),ISERROR(SEARCH(CHAR(10),("x"&amp;I19))),ISERROR(SEARCH(CHAR(13),("x"&amp;I19))),IFERROR(HEX2DEC(MID(("x"&amp;I19),2,8))&gt;=0,FALSE),IFERROR(HEX2DEC(MID(("x"&amp;I19),10,8))&gt;=0,FALSE),IFERROR(HEX2DEC(MID(("x"&amp;I19),18,8))&gt;=0,FALSE),IFERROR(HEX2DEC(MID(("x"&amp;I19),26,8))&gt;=0,FALSE),IFERROR(HEX2DEC(MID(("x"&amp;I19),34,8))&gt;=0,FALSE),IFERROR(HEX2DEC(MID(("x"&amp;I19),42,8))&gt;=0,FALSE),IFERROR(HEX2DEC(MID(("x"&amp;I19),50,8))&gt;=0,FALSE),IFERROR(HEX2DEC(MID(("x"&amp;I19),58,8))&gt;=0,FALSE))),IF(EXACT("x"&amp;H19,"x"&amp;I19),AA19,AB19),"LEXEMA_O_FORMA"),IF(W19="PRUEBA",IF(H19=X19,AA19,IF(H19=Z19,AB19,"LEXEMA_O_FORMA")),IF(W19="RETIRADA",IF(AND(H19="NINGUNO",I19=""),IF(J19="COMPLETA",AB19,"COBERTURA_INSUFICIENTE"),IF(AND(OR(H19="uoInstallation",H19="uoUninstallation"),OR(I19="orcSucceeded",I19="orcSucceededWithErrors",I19="orcFailed",I19="orcAborted",I19="orcInProgress",I19="orcNotStarted")),IF(AND(H19=X19,I19=Y19),AA19,IF(AND(H19=X19,OR(I19="orcSucceededWithErrors",I19="orcInProgress",I19="orcNotStarted")),"RESULTADO_RETIRADA_INCIERTO",IF(J19="COMPLETA",AB19,"COBERTURA_INSUFICIENTE"))),"LEXEMA_O_FORMA")),IF(W19="CAMBIO",IF(OR(H19="CAMBIO",H19="CAMBIO_Y_RETORNO"),AA19,IF(OR(H19="NINGUNO",H19="SOLO_RENOMBRE"),IF(J19="COMPLETA",AB19,"COBERTURA_INSUFICIENTE"),"LEXEMA_O_FORMA")),IF(W19="RESTAURACION",IF(H19=X19,AA19,IF(OR(H19="NINGUNO",H19="RESTAURACION_POSTERIOR",H19="RESTAURACION_FALLIDA"),IF(J19="COMPLETA",AB19,"COBERTURA_INSUFICIENTE"),"LEXEMA_O_FORMA")),"PERFIL_NO_CONSTITUIDO"))))))))))))))))))</x:f>
        <x:v>REINICIO_REALIZADO</x:v>
      </x:c>
      <x:c r="R19" s="12" t="str">
        <x:f>IF(AND(L19=O19,M19=P19,N19=Q19),"PASA","NO_PASA")</x:f>
        <x:v>PASA</x:v>
      </x:c>
      <x:c r="S19" s="4" t="str">
        <x:v>Testigo positivo de la proposición; no licencia ninguna conclusión más amplia.</x:v>
      </x:c>
      <x:c r="T19" s="12" t="str">
        <x:f>IFERROR(INDEX('55_Codificacion_ensayo'!$B$5:$B$13,MATCH(B19,'55_Codificacion_ensayo'!$A$5:$A$13,0)),"")</x:f>
        <x:v>EVENTO-REINICIO-COMPLETO-0.1</x:v>
      </x:c>
      <x:c r="U19" s="12" t="str">
        <x:f>IFERROR(INDEX('55_Codificacion_ensayo'!$C$5:$C$13,MATCH(B19,'55_Codificacion_ensayo'!$A$5:$A$13,0)),"")</x:f>
        <x:v>ARRANQUE_COMPLETO</x:v>
      </x:c>
      <x:c r="V19" s="12" t="str">
        <x:f>IFERROR(INDEX('55_Codificacion_ensayo'!$D$5:$D$13,MATCH(B19,'55_Codificacion_ensayo'!$A$5:$A$13,0)),"")</x:f>
        <x:v>ORDEN_ACREDITADO</x:v>
      </x:c>
      <x:c r="W19" s="12" t="str">
        <x:f>IFERROR(INDEX('55_Codificacion_ensayo'!$E$5:$E$13,MATCH(B19,'55_Codificacion_ensayo'!$A$5:$A$13,0)),"")</x:f>
        <x:v>EVENTO_BOOT</x:v>
      </x:c>
      <x:c r="X19" s="12" t="str">
        <x:f>IFERROR(INDEX('55_Codificacion_ensayo'!$F$5:$F$13,MATCH(B19,'55_Codificacion_ensayo'!$A$5:$A$13,0)),"")</x:f>
        <x:v>REINICIO_COMPLETO</x:v>
      </x:c>
      <x:c r="Y19" s="12" t="str">
        <x:f>IFERROR(INDEX('55_Codificacion_ensayo'!$G$5:$G$13,MATCH(B19,'55_Codificacion_ensayo'!$A$5:$A$13,0)),"")</x:f>
      </x:c>
      <x:c r="Z19" s="12" t="str">
        <x:f>IFERROR(INDEX('55_Codificacion_ensayo'!$H$5:$H$13,MATCH(B19,'55_Codificacion_ensayo'!$A$5:$A$13,0)),"")</x:f>
        <x:v>NINGUNO</x:v>
      </x:c>
      <x:c r="AA19" s="12" t="str">
        <x:f>IFERROR(INDEX('55_Codificacion_ensayo'!$I$5:$I$13,MATCH(B19,'55_Codificacion_ensayo'!$A$5:$A$13,0)),"")</x:f>
        <x:v>REINICIO_REALIZADO</x:v>
      </x:c>
      <x:c r="AB19" s="12" t="str">
        <x:f>IFERROR(INDEX('55_Codificacion_ensayo'!$J$5:$J$13,MATCH(B19,'55_Codificacion_ensayo'!$A$5:$A$13,0)),"")</x:f>
        <x:v>SIN_REINICIO_COMPLETO</x:v>
      </x:c>
    </x:row>
    <x:row r="20" ht="47" customHeight="1">
      <x:c r="A20" s="4" t="str">
        <x:v>L10-03-02</x:v>
      </x:c>
      <x:c r="B20" s="4" t="str">
        <x:v>PAR-CYB-REINICIO-SISTEMA-REALIZADO-001</x:v>
      </x:c>
      <x:c r="C20" s="4" t="str">
        <x:v>EVENTO-REINICIO-COMPLETO-0.1</x:v>
      </x:c>
      <x:c r="D20" s="4" t="str">
        <x:v>COINCIDE</x:v>
      </x:c>
      <x:c r="E20" s="4" t="str">
        <x:v>LEGIBLE</x:v>
      </x:c>
      <x:c r="F20" s="4" t="str">
        <x:v>ARRANQUE_COMPLETO</x:v>
      </x:c>
      <x:c r="G20" s="4" t="str">
        <x:v>UNICA</x:v>
      </x:c>
      <x:c r="H20" s="4" t="str">
        <x:v>NINGUNO</x:v>
      </x:c>
      <x:c r="I20" s="4" t="str"/>
      <x:c r="J20" s="4" t="str">
        <x:v>COMPLETA</x:v>
      </x:c>
      <x:c r="K20" s="4" t="str">
        <x:v>ORDEN_ACREDITADO</x:v>
      </x:c>
      <x:c r="L20" s="4" t="str">
        <x:v>VALIDA</x:v>
      </x:c>
      <x:c r="M20" s="4" t="str">
        <x:v>0</x:v>
      </x:c>
      <x:c r="N20" s="4" t="str">
        <x:v>SIN_REINICIO_COMPLETO</x:v>
      </x:c>
      <x:c r="O20" s="12" t="str">
        <x:f>IF(Q20="SIN_EJECUCION_DOMINIO","FALLO_CAPTURA",IF(OR(Q20="CAPTURA_MAL_FORMADA",Q20="IDENTIDAD",Q20="OBSERVACION_MAL_FORMADA",Q20="LEXEMA_O_FORMA"),"NO_ADMISION",IF(OR(Q20="PERFIL_NO_CONSTITUIDO",Q20="RESULTADO_NO_TERMINAL"),"FUERA_PERFIL",IF(Q20="CONTEXTO_NO_CONSTITUIDO","CONFIGURACION_PENDIENTE","VALIDA"))))</x:f>
        <x:v>VALIDA</x:v>
      </x:c>
      <x:c r="P20" s="12" t="str">
        <x:f>IF(O20&lt;&gt;"VALIDA","",IF(Q20=AA20,"1",IF(Q20=AB20,"0","U")))</x:f>
        <x:v>0</x:v>
      </x:c>
      <x:c r="Q20" s="12" t="str">
        <x:f>IF(E20="FALLO","SIN_EJECUCION_DOMINIO",IF(E20&lt;&gt;"LEGIBLE","CAPTURA_MAL_FORMADA",IF(D20&lt;&gt;"COINCIDE","IDENTIDAD",IF(OR(T20="",C20&lt;&gt;T20),"PERFIL_NO_CONSTITUIDO",IF(K20&lt;&gt;V20,IF(V20="ORDEN_ACREDITADO","ORDEN_NO_ACREDITADO","CONTEXTO_NO_CONSTITUIDO"),IF(AND(G20="AUSENTE",H20="",I20=""),"DATO_AUSENTE",IF(AND(G20="CONFLICTO",H20="",I20=""),"CONFLICTO_OBSERVACIONAL",IF(G20&lt;&gt;"UNICA","OBSERVACION_MAL_FORMADA",IF(F20&lt;&gt;U20,"OBSERVACION_INSUFICIENTE",IF(W20="RESULTADO",IF(H20=X20,AA20,IF(OR(H20="orcSucceededWithErrors",H20="orcFailed",H20="orcAborted"),AB20,IF(OR(H20="orcNotStarted",H20="orcInProgress"),"RESULTADO_NO_TERMINAL","LEXEMA_O_FORMA"))),IF(W20="EVENTO_BOOT",IF(H20=X20,AA20,IF(OR(H20="NINGUNO",H20="SOLO_HIBRIDO"),IF(J20="COMPLETA",AB20,"COBERTURA_INSUFICIENTE"),"LEXEMA_O_FORMA")),IF(W20="REQUISITO_SOFT",IF(H20=X20,AA20,IF(H20=Z20,AB20,"LEXEMA_O_FORMA")),IF(W20="EVENTO_PROC",IF(H20=X20,AA20,IF(H20=Z20,IF(J20="COMPLETA",AB20,"COBERTURA_INSUFICIENTE"),"LEXEMA_O_FORMA")),IF(W20="IMAGEN",IF(AND(AND(ISTEXT(H20),LEN(("x"&amp;H20))=65,EXACT(("x"&amp;H20),LOWER(("x"&amp;H20))),ISERROR(SEARCH(" ",("x"&amp;H20))),ISERROR(SEARCH(CHAR(9),("x"&amp;H20))),ISERROR(SEARCH(CHAR(10),("x"&amp;H20))),ISERROR(SEARCH(CHAR(13),("x"&amp;H20))),IFERROR(HEX2DEC(MID(("x"&amp;H20),2,8))&gt;=0,FALSE),IFERROR(HEX2DEC(MID(("x"&amp;H20),10,8))&gt;=0,FALSE),IFERROR(HEX2DEC(MID(("x"&amp;H20),18,8))&gt;=0,FALSE),IFERROR(HEX2DEC(MID(("x"&amp;H20),26,8))&gt;=0,FALSE),IFERROR(HEX2DEC(MID(("x"&amp;H20),34,8))&gt;=0,FALSE),IFERROR(HEX2DEC(MID(("x"&amp;H20),42,8))&gt;=0,FALSE),IFERROR(HEX2DEC(MID(("x"&amp;H20),50,8))&gt;=0,FALSE),IFERROR(HEX2DEC(MID(("x"&amp;H20),58,8))&gt;=0,FALSE)),AND(ISTEXT(I20),LEN(("x"&amp;I20))=65,EXACT(("x"&amp;I20),LOWER(("x"&amp;I20))),ISERROR(SEARCH(" ",("x"&amp;I20))),ISERROR(SEARCH(CHAR(9),("x"&amp;I20))),ISERROR(SEARCH(CHAR(10),("x"&amp;I20))),ISERROR(SEARCH(CHAR(13),("x"&amp;I20))),IFERROR(HEX2DEC(MID(("x"&amp;I20),2,8))&gt;=0,FALSE),IFERROR(HEX2DEC(MID(("x"&amp;I20),10,8))&gt;=0,FALSE),IFERROR(HEX2DEC(MID(("x"&amp;I20),18,8))&gt;=0,FALSE),IFERROR(HEX2DEC(MID(("x"&amp;I20),26,8))&gt;=0,FALSE),IFERROR(HEX2DEC(MID(("x"&amp;I20),34,8))&gt;=0,FALSE),IFERROR(HEX2DEC(MID(("x"&amp;I20),42,8))&gt;=0,FALSE),IFERROR(HEX2DEC(MID(("x"&amp;I20),50,8))&gt;=0,FALSE),IFERROR(HEX2DEC(MID(("x"&amp;I20),58,8))&gt;=0,FALSE))),IF(EXACT("x"&amp;H20,"x"&amp;I20),AA20,AB20),"LEXEMA_O_FORMA"),IF(W20="PRUEBA",IF(H20=X20,AA20,IF(H20=Z20,AB20,"LEXEMA_O_FORMA")),IF(W20="RETIRADA",IF(AND(H20="NINGUNO",I20=""),IF(J20="COMPLETA",AB20,"COBERTURA_INSUFICIENTE"),IF(AND(OR(H20="uoInstallation",H20="uoUninstallation"),OR(I20="orcSucceeded",I20="orcSucceededWithErrors",I20="orcFailed",I20="orcAborted",I20="orcInProgress",I20="orcNotStarted")),IF(AND(H20=X20,I20=Y20),AA20,IF(AND(H20=X20,OR(I20="orcSucceededWithErrors",I20="orcInProgress",I20="orcNotStarted")),"RESULTADO_RETIRADA_INCIERTO",IF(J20="COMPLETA",AB20,"COBERTURA_INSUFICIENTE"))),"LEXEMA_O_FORMA")),IF(W20="CAMBIO",IF(OR(H20="CAMBIO",H20="CAMBIO_Y_RETORNO"),AA20,IF(OR(H20="NINGUNO",H20="SOLO_RENOMBRE"),IF(J20="COMPLETA",AB20,"COBERTURA_INSUFICIENTE"),"LEXEMA_O_FORMA")),IF(W20="RESTAURACION",IF(H20=X20,AA20,IF(OR(H20="NINGUNO",H20="RESTAURACION_POSTERIOR",H20="RESTAURACION_FALLIDA"),IF(J20="COMPLETA",AB20,"COBERTURA_INSUFICIENTE"),"LEXEMA_O_FORMA")),"PERFIL_NO_CONSTITUIDO"))))))))))))))))))</x:f>
        <x:v>SIN_REINICIO_COMPLETO</x:v>
      </x:c>
      <x:c r="R20" s="12" t="str">
        <x:f>IF(AND(L20=O20,M20=P20,N20=Q20),"PASA","NO_PASA")</x:f>
        <x:v>PASA</x:v>
      </x:c>
      <x:c r="S20" s="4" t="str">
        <x:v>Negativo explícito; en eventos exige cobertura del intervalo.</x:v>
      </x:c>
      <x:c r="T20" s="12" t="str">
        <x:f>IFERROR(INDEX('55_Codificacion_ensayo'!$B$5:$B$13,MATCH(B20,'55_Codificacion_ensayo'!$A$5:$A$13,0)),"")</x:f>
        <x:v>EVENTO-REINICIO-COMPLETO-0.1</x:v>
      </x:c>
      <x:c r="U20" s="12" t="str">
        <x:f>IFERROR(INDEX('55_Codificacion_ensayo'!$C$5:$C$13,MATCH(B20,'55_Codificacion_ensayo'!$A$5:$A$13,0)),"")</x:f>
        <x:v>ARRANQUE_COMPLETO</x:v>
      </x:c>
      <x:c r="V20" s="12" t="str">
        <x:f>IFERROR(INDEX('55_Codificacion_ensayo'!$D$5:$D$13,MATCH(B20,'55_Codificacion_ensayo'!$A$5:$A$13,0)),"")</x:f>
        <x:v>ORDEN_ACREDITADO</x:v>
      </x:c>
      <x:c r="W20" s="12" t="str">
        <x:f>IFERROR(INDEX('55_Codificacion_ensayo'!$E$5:$E$13,MATCH(B20,'55_Codificacion_ensayo'!$A$5:$A$13,0)),"")</x:f>
        <x:v>EVENTO_BOOT</x:v>
      </x:c>
      <x:c r="X20" s="12" t="str">
        <x:f>IFERROR(INDEX('55_Codificacion_ensayo'!$F$5:$F$13,MATCH(B20,'55_Codificacion_ensayo'!$A$5:$A$13,0)),"")</x:f>
        <x:v>REINICIO_COMPLETO</x:v>
      </x:c>
      <x:c r="Y20" s="12" t="str">
        <x:f>IFERROR(INDEX('55_Codificacion_ensayo'!$G$5:$G$13,MATCH(B20,'55_Codificacion_ensayo'!$A$5:$A$13,0)),"")</x:f>
      </x:c>
      <x:c r="Z20" s="12" t="str">
        <x:f>IFERROR(INDEX('55_Codificacion_ensayo'!$H$5:$H$13,MATCH(B20,'55_Codificacion_ensayo'!$A$5:$A$13,0)),"")</x:f>
        <x:v>NINGUNO</x:v>
      </x:c>
      <x:c r="AA20" s="12" t="str">
        <x:f>IFERROR(INDEX('55_Codificacion_ensayo'!$I$5:$I$13,MATCH(B20,'55_Codificacion_ensayo'!$A$5:$A$13,0)),"")</x:f>
        <x:v>REINICIO_REALIZADO</x:v>
      </x:c>
      <x:c r="AB20" s="12" t="str">
        <x:f>IFERROR(INDEX('55_Codificacion_ensayo'!$J$5:$J$13,MATCH(B20,'55_Codificacion_ensayo'!$A$5:$A$13,0)),"")</x:f>
        <x:v>SIN_REINICIO_COMPLETO</x:v>
      </x:c>
    </x:row>
    <x:row r="21" ht="47" customHeight="1">
      <x:c r="A21" s="4" t="str">
        <x:v>L10-03-03</x:v>
      </x:c>
      <x:c r="B21" s="4" t="str">
        <x:v>PAR-CYB-REINICIO-SISTEMA-REALIZADO-001</x:v>
      </x:c>
      <x:c r="C21" s="4" t="str">
        <x:v>EVENTO-REINICIO-COMPLETO-0.1</x:v>
      </x:c>
      <x:c r="D21" s="4" t="str">
        <x:v>COINCIDE</x:v>
      </x:c>
      <x:c r="E21" s="4" t="str">
        <x:v>LEGIBLE</x:v>
      </x:c>
      <x:c r="F21" s="4" t="str">
        <x:v>ARRANQUE_COMPLETO</x:v>
      </x:c>
      <x:c r="G21" s="4" t="str">
        <x:v>AUSENTE</x:v>
      </x:c>
      <x:c r="H21" s="4" t="str"/>
      <x:c r="I21" s="4" t="str"/>
      <x:c r="J21" s="4" t="str">
        <x:v>COMPLETA</x:v>
      </x:c>
      <x:c r="K21" s="4" t="str">
        <x:v>ORDEN_ACREDITADO</x:v>
      </x:c>
      <x:c r="L21" s="4" t="str">
        <x:v>VALIDA</x:v>
      </x:c>
      <x:c r="M21" s="4" t="str">
        <x:v>U</x:v>
      </x:c>
      <x:c r="N21" s="4" t="str">
        <x:v>DATO_AUSENTE</x:v>
      </x:c>
      <x:c r="O21" s="12" t="str">
        <x:f>IF(Q21="SIN_EJECUCION_DOMINIO","FALLO_CAPTURA",IF(OR(Q21="CAPTURA_MAL_FORMADA",Q21="IDENTIDAD",Q21="OBSERVACION_MAL_FORMADA",Q21="LEXEMA_O_FORMA"),"NO_ADMISION",IF(OR(Q21="PERFIL_NO_CONSTITUIDO",Q21="RESULTADO_NO_TERMINAL"),"FUERA_PERFIL",IF(Q21="CONTEXTO_NO_CONSTITUIDO","CONFIGURACION_PENDIENTE","VALIDA"))))</x:f>
        <x:v>VALIDA</x:v>
      </x:c>
      <x:c r="P21" s="12" t="str">
        <x:f>IF(O21&lt;&gt;"VALIDA","",IF(Q21=AA21,"1",IF(Q21=AB21,"0","U")))</x:f>
        <x:v>U</x:v>
      </x:c>
      <x:c r="Q21" s="12" t="str">
        <x:f>IF(E21="FALLO","SIN_EJECUCION_DOMINIO",IF(E21&lt;&gt;"LEGIBLE","CAPTURA_MAL_FORMADA",IF(D21&lt;&gt;"COINCIDE","IDENTIDAD",IF(OR(T21="",C21&lt;&gt;T21),"PERFIL_NO_CONSTITUIDO",IF(K21&lt;&gt;V21,IF(V21="ORDEN_ACREDITADO","ORDEN_NO_ACREDITADO","CONTEXTO_NO_CONSTITUIDO"),IF(AND(G21="AUSENTE",H21="",I21=""),"DATO_AUSENTE",IF(AND(G21="CONFLICTO",H21="",I21=""),"CONFLICTO_OBSERVACIONAL",IF(G21&lt;&gt;"UNICA","OBSERVACION_MAL_FORMADA",IF(F21&lt;&gt;U21,"OBSERVACION_INSUFICIENTE",IF(W21="RESULTADO",IF(H21=X21,AA21,IF(OR(H21="orcSucceededWithErrors",H21="orcFailed",H21="orcAborted"),AB21,IF(OR(H21="orcNotStarted",H21="orcInProgress"),"RESULTADO_NO_TERMINAL","LEXEMA_O_FORMA"))),IF(W21="EVENTO_BOOT",IF(H21=X21,AA21,IF(OR(H21="NINGUNO",H21="SOLO_HIBRIDO"),IF(J21="COMPLETA",AB21,"COBERTURA_INSUFICIENTE"),"LEXEMA_O_FORMA")),IF(W21="REQUISITO_SOFT",IF(H21=X21,AA21,IF(H21=Z21,AB21,"LEXEMA_O_FORMA")),IF(W21="EVENTO_PROC",IF(H21=X21,AA21,IF(H21=Z21,IF(J21="COMPLETA",AB21,"COBERTURA_INSUFICIENTE"),"LEXEMA_O_FORMA")),IF(W21="IMAGEN",IF(AND(AND(ISTEXT(H21),LEN(("x"&amp;H21))=65,EXACT(("x"&amp;H21),LOWER(("x"&amp;H21))),ISERROR(SEARCH(" ",("x"&amp;H21))),ISERROR(SEARCH(CHAR(9),("x"&amp;H21))),ISERROR(SEARCH(CHAR(10),("x"&amp;H21))),ISERROR(SEARCH(CHAR(13),("x"&amp;H21))),IFERROR(HEX2DEC(MID(("x"&amp;H21),2,8))&gt;=0,FALSE),IFERROR(HEX2DEC(MID(("x"&amp;H21),10,8))&gt;=0,FALSE),IFERROR(HEX2DEC(MID(("x"&amp;H21),18,8))&gt;=0,FALSE),IFERROR(HEX2DEC(MID(("x"&amp;H21),26,8))&gt;=0,FALSE),IFERROR(HEX2DEC(MID(("x"&amp;H21),34,8))&gt;=0,FALSE),IFERROR(HEX2DEC(MID(("x"&amp;H21),42,8))&gt;=0,FALSE),IFERROR(HEX2DEC(MID(("x"&amp;H21),50,8))&gt;=0,FALSE),IFERROR(HEX2DEC(MID(("x"&amp;H21),58,8))&gt;=0,FALSE)),AND(ISTEXT(I21),LEN(("x"&amp;I21))=65,EXACT(("x"&amp;I21),LOWER(("x"&amp;I21))),ISERROR(SEARCH(" ",("x"&amp;I21))),ISERROR(SEARCH(CHAR(9),("x"&amp;I21))),ISERROR(SEARCH(CHAR(10),("x"&amp;I21))),ISERROR(SEARCH(CHAR(13),("x"&amp;I21))),IFERROR(HEX2DEC(MID(("x"&amp;I21),2,8))&gt;=0,FALSE),IFERROR(HEX2DEC(MID(("x"&amp;I21),10,8))&gt;=0,FALSE),IFERROR(HEX2DEC(MID(("x"&amp;I21),18,8))&gt;=0,FALSE),IFERROR(HEX2DEC(MID(("x"&amp;I21),26,8))&gt;=0,FALSE),IFERROR(HEX2DEC(MID(("x"&amp;I21),34,8))&gt;=0,FALSE),IFERROR(HEX2DEC(MID(("x"&amp;I21),42,8))&gt;=0,FALSE),IFERROR(HEX2DEC(MID(("x"&amp;I21),50,8))&gt;=0,FALSE),IFERROR(HEX2DEC(MID(("x"&amp;I21),58,8))&gt;=0,FALSE))),IF(EXACT("x"&amp;H21,"x"&amp;I21),AA21,AB21),"LEXEMA_O_FORMA"),IF(W21="PRUEBA",IF(H21=X21,AA21,IF(H21=Z21,AB21,"LEXEMA_O_FORMA")),IF(W21="RETIRADA",IF(AND(H21="NINGUNO",I21=""),IF(J21="COMPLETA",AB21,"COBERTURA_INSUFICIENTE"),IF(AND(OR(H21="uoInstallation",H21="uoUninstallation"),OR(I21="orcSucceeded",I21="orcSucceededWithErrors",I21="orcFailed",I21="orcAborted",I21="orcInProgress",I21="orcNotStarted")),IF(AND(H21=X21,I21=Y21),AA21,IF(AND(H21=X21,OR(I21="orcSucceededWithErrors",I21="orcInProgress",I21="orcNotStarted")),"RESULTADO_RETIRADA_INCIERTO",IF(J21="COMPLETA",AB21,"COBERTURA_INSUFICIENTE"))),"LEXEMA_O_FORMA")),IF(W21="CAMBIO",IF(OR(H21="CAMBIO",H21="CAMBIO_Y_RETORNO"),AA21,IF(OR(H21="NINGUNO",H21="SOLO_RENOMBRE"),IF(J21="COMPLETA",AB21,"COBERTURA_INSUFICIENTE"),"LEXEMA_O_FORMA")),IF(W21="RESTAURACION",IF(H21=X21,AA21,IF(OR(H21="NINGUNO",H21="RESTAURACION_POSTERIOR",H21="RESTAURACION_FALLIDA"),IF(J21="COMPLETA",AB21,"COBERTURA_INSUFICIENTE"),"LEXEMA_O_FORMA")),"PERFIL_NO_CONSTITUIDO"))))))))))))))))))</x:f>
        <x:v>DATO_AUSENTE</x:v>
      </x:c>
      <x:c r="R21" s="12" t="str">
        <x:f>IF(AND(L21=O21,M21=P21,N21=Q21),"PASA","NO_PASA")</x:f>
        <x:v>PASA</x:v>
      </x:c>
      <x:c r="S21" s="4" t="str">
        <x:v>Documento declara que falta la observación, sin convertir ausencia en 0.</x:v>
      </x:c>
      <x:c r="T21" s="12" t="str">
        <x:f>IFERROR(INDEX('55_Codificacion_ensayo'!$B$5:$B$13,MATCH(B21,'55_Codificacion_ensayo'!$A$5:$A$13,0)),"")</x:f>
        <x:v>EVENTO-REINICIO-COMPLETO-0.1</x:v>
      </x:c>
      <x:c r="U21" s="12" t="str">
        <x:f>IFERROR(INDEX('55_Codificacion_ensayo'!$C$5:$C$13,MATCH(B21,'55_Codificacion_ensayo'!$A$5:$A$13,0)),"")</x:f>
        <x:v>ARRANQUE_COMPLETO</x:v>
      </x:c>
      <x:c r="V21" s="12" t="str">
        <x:f>IFERROR(INDEX('55_Codificacion_ensayo'!$D$5:$D$13,MATCH(B21,'55_Codificacion_ensayo'!$A$5:$A$13,0)),"")</x:f>
        <x:v>ORDEN_ACREDITADO</x:v>
      </x:c>
      <x:c r="W21" s="12" t="str">
        <x:f>IFERROR(INDEX('55_Codificacion_ensayo'!$E$5:$E$13,MATCH(B21,'55_Codificacion_ensayo'!$A$5:$A$13,0)),"")</x:f>
        <x:v>EVENTO_BOOT</x:v>
      </x:c>
      <x:c r="X21" s="12" t="str">
        <x:f>IFERROR(INDEX('55_Codificacion_ensayo'!$F$5:$F$13,MATCH(B21,'55_Codificacion_ensayo'!$A$5:$A$13,0)),"")</x:f>
        <x:v>REINICIO_COMPLETO</x:v>
      </x:c>
      <x:c r="Y21" s="12" t="str">
        <x:f>IFERROR(INDEX('55_Codificacion_ensayo'!$G$5:$G$13,MATCH(B21,'55_Codificacion_ensayo'!$A$5:$A$13,0)),"")</x:f>
      </x:c>
      <x:c r="Z21" s="12" t="str">
        <x:f>IFERROR(INDEX('55_Codificacion_ensayo'!$H$5:$H$13,MATCH(B21,'55_Codificacion_ensayo'!$A$5:$A$13,0)),"")</x:f>
        <x:v>NINGUNO</x:v>
      </x:c>
      <x:c r="AA21" s="12" t="str">
        <x:f>IFERROR(INDEX('55_Codificacion_ensayo'!$I$5:$I$13,MATCH(B21,'55_Codificacion_ensayo'!$A$5:$A$13,0)),"")</x:f>
        <x:v>REINICIO_REALIZADO</x:v>
      </x:c>
      <x:c r="AB21" s="12" t="str">
        <x:f>IFERROR(INDEX('55_Codificacion_ensayo'!$J$5:$J$13,MATCH(B21,'55_Codificacion_ensayo'!$A$5:$A$13,0)),"")</x:f>
        <x:v>SIN_REINICIO_COMPLETO</x:v>
      </x:c>
    </x:row>
    <x:row r="22" ht="47" customHeight="1">
      <x:c r="A22" s="4" t="str">
        <x:v>L10-03-04</x:v>
      </x:c>
      <x:c r="B22" s="4" t="str">
        <x:v>PAR-CYB-REINICIO-SISTEMA-REALIZADO-001</x:v>
      </x:c>
      <x:c r="C22" s="4" t="str">
        <x:v>EVENTO-REINICIO-COMPLETO-0.1</x:v>
      </x:c>
      <x:c r="D22" s="4" t="str">
        <x:v>COINCIDE</x:v>
      </x:c>
      <x:c r="E22" s="4" t="str">
        <x:v>LEGIBLE</x:v>
      </x:c>
      <x:c r="F22" s="4" t="str">
        <x:v>ARRANQUE_COMPLETO</x:v>
      </x:c>
      <x:c r="G22" s="4" t="str">
        <x:v>CONFLICTO</x:v>
      </x:c>
      <x:c r="H22" s="4" t="str"/>
      <x:c r="I22" s="4" t="str"/>
      <x:c r="J22" s="4" t="str">
        <x:v>COMPLETA</x:v>
      </x:c>
      <x:c r="K22" s="4" t="str">
        <x:v>ORDEN_ACREDITADO</x:v>
      </x:c>
      <x:c r="L22" s="4" t="str">
        <x:v>VALIDA</x:v>
      </x:c>
      <x:c r="M22" s="4" t="str">
        <x:v>U</x:v>
      </x:c>
      <x:c r="N22" s="4" t="str">
        <x:v>CONFLICTO_OBSERVACIONAL</x:v>
      </x:c>
      <x:c r="O22" s="12" t="str">
        <x:f>IF(Q22="SIN_EJECUCION_DOMINIO","FALLO_CAPTURA",IF(OR(Q22="CAPTURA_MAL_FORMADA",Q22="IDENTIDAD",Q22="OBSERVACION_MAL_FORMADA",Q22="LEXEMA_O_FORMA"),"NO_ADMISION",IF(OR(Q22="PERFIL_NO_CONSTITUIDO",Q22="RESULTADO_NO_TERMINAL"),"FUERA_PERFIL",IF(Q22="CONTEXTO_NO_CONSTITUIDO","CONFIGURACION_PENDIENTE","VALIDA"))))</x:f>
        <x:v>VALIDA</x:v>
      </x:c>
      <x:c r="P22" s="12" t="str">
        <x:f>IF(O22&lt;&gt;"VALIDA","",IF(Q22=AA22,"1",IF(Q22=AB22,"0","U")))</x:f>
        <x:v>U</x:v>
      </x:c>
      <x:c r="Q22" s="12" t="str">
        <x:f>IF(E22="FALLO","SIN_EJECUCION_DOMINIO",IF(E22&lt;&gt;"LEGIBLE","CAPTURA_MAL_FORMADA",IF(D22&lt;&gt;"COINCIDE","IDENTIDAD",IF(OR(T22="",C22&lt;&gt;T22),"PERFIL_NO_CONSTITUIDO",IF(K22&lt;&gt;V22,IF(V22="ORDEN_ACREDITADO","ORDEN_NO_ACREDITADO","CONTEXTO_NO_CONSTITUIDO"),IF(AND(G22="AUSENTE",H22="",I22=""),"DATO_AUSENTE",IF(AND(G22="CONFLICTO",H22="",I22=""),"CONFLICTO_OBSERVACIONAL",IF(G22&lt;&gt;"UNICA","OBSERVACION_MAL_FORMADA",IF(F22&lt;&gt;U22,"OBSERVACION_INSUFICIENTE",IF(W22="RESULTADO",IF(H22=X22,AA22,IF(OR(H22="orcSucceededWithErrors",H22="orcFailed",H22="orcAborted"),AB22,IF(OR(H22="orcNotStarted",H22="orcInProgress"),"RESULTADO_NO_TERMINAL","LEXEMA_O_FORMA"))),IF(W22="EVENTO_BOOT",IF(H22=X22,AA22,IF(OR(H22="NINGUNO",H22="SOLO_HIBRIDO"),IF(J22="COMPLETA",AB22,"COBERTURA_INSUFICIENTE"),"LEXEMA_O_FORMA")),IF(W22="REQUISITO_SOFT",IF(H22=X22,AA22,IF(H22=Z22,AB22,"LEXEMA_O_FORMA")),IF(W22="EVENTO_PROC",IF(H22=X22,AA22,IF(H22=Z22,IF(J22="COMPLETA",AB22,"COBERTURA_INSUFICIENTE"),"LEXEMA_O_FORMA")),IF(W22="IMAGEN",IF(AND(AND(ISTEXT(H22),LEN(("x"&amp;H22))=65,EXACT(("x"&amp;H22),LOWER(("x"&amp;H22))),ISERROR(SEARCH(" ",("x"&amp;H22))),ISERROR(SEARCH(CHAR(9),("x"&amp;H22))),ISERROR(SEARCH(CHAR(10),("x"&amp;H22))),ISERROR(SEARCH(CHAR(13),("x"&amp;H22))),IFERROR(HEX2DEC(MID(("x"&amp;H22),2,8))&gt;=0,FALSE),IFERROR(HEX2DEC(MID(("x"&amp;H22),10,8))&gt;=0,FALSE),IFERROR(HEX2DEC(MID(("x"&amp;H22),18,8))&gt;=0,FALSE),IFERROR(HEX2DEC(MID(("x"&amp;H22),26,8))&gt;=0,FALSE),IFERROR(HEX2DEC(MID(("x"&amp;H22),34,8))&gt;=0,FALSE),IFERROR(HEX2DEC(MID(("x"&amp;H22),42,8))&gt;=0,FALSE),IFERROR(HEX2DEC(MID(("x"&amp;H22),50,8))&gt;=0,FALSE),IFERROR(HEX2DEC(MID(("x"&amp;H22),58,8))&gt;=0,FALSE)),AND(ISTEXT(I22),LEN(("x"&amp;I22))=65,EXACT(("x"&amp;I22),LOWER(("x"&amp;I22))),ISERROR(SEARCH(" ",("x"&amp;I22))),ISERROR(SEARCH(CHAR(9),("x"&amp;I22))),ISERROR(SEARCH(CHAR(10),("x"&amp;I22))),ISERROR(SEARCH(CHAR(13),("x"&amp;I22))),IFERROR(HEX2DEC(MID(("x"&amp;I22),2,8))&gt;=0,FALSE),IFERROR(HEX2DEC(MID(("x"&amp;I22),10,8))&gt;=0,FALSE),IFERROR(HEX2DEC(MID(("x"&amp;I22),18,8))&gt;=0,FALSE),IFERROR(HEX2DEC(MID(("x"&amp;I22),26,8))&gt;=0,FALSE),IFERROR(HEX2DEC(MID(("x"&amp;I22),34,8))&gt;=0,FALSE),IFERROR(HEX2DEC(MID(("x"&amp;I22),42,8))&gt;=0,FALSE),IFERROR(HEX2DEC(MID(("x"&amp;I22),50,8))&gt;=0,FALSE),IFERROR(HEX2DEC(MID(("x"&amp;I22),58,8))&gt;=0,FALSE))),IF(EXACT("x"&amp;H22,"x"&amp;I22),AA22,AB22),"LEXEMA_O_FORMA"),IF(W22="PRUEBA",IF(H22=X22,AA22,IF(H22=Z22,AB22,"LEXEMA_O_FORMA")),IF(W22="RETIRADA",IF(AND(H22="NINGUNO",I22=""),IF(J22="COMPLETA",AB22,"COBERTURA_INSUFICIENTE"),IF(AND(OR(H22="uoInstallation",H22="uoUninstallation"),OR(I22="orcSucceeded",I22="orcSucceededWithErrors",I22="orcFailed",I22="orcAborted",I22="orcInProgress",I22="orcNotStarted")),IF(AND(H22=X22,I22=Y22),AA22,IF(AND(H22=X22,OR(I22="orcSucceededWithErrors",I22="orcInProgress",I22="orcNotStarted")),"RESULTADO_RETIRADA_INCIERTO",IF(J22="COMPLETA",AB22,"COBERTURA_INSUFICIENTE"))),"LEXEMA_O_FORMA")),IF(W22="CAMBIO",IF(OR(H22="CAMBIO",H22="CAMBIO_Y_RETORNO"),AA22,IF(OR(H22="NINGUNO",H22="SOLO_RENOMBRE"),IF(J22="COMPLETA",AB22,"COBERTURA_INSUFICIENTE"),"LEXEMA_O_FORMA")),IF(W22="RESTAURACION",IF(H22=X22,AA22,IF(OR(H22="NINGUNO",H22="RESTAURACION_POSTERIOR",H22="RESTAURACION_FALLIDA"),IF(J22="COMPLETA",AB22,"COBERTURA_INSUFICIENTE"),"LEXEMA_O_FORMA")),"PERFIL_NO_CONSTITUIDO"))))))))))))))))))</x:f>
        <x:v>CONFLICTO_OBSERVACIONAL</x:v>
      </x:c>
      <x:c r="R22" s="12" t="str">
        <x:f>IF(AND(L22=O22,M22=P22,N22=Q22),"PASA","NO_PASA")</x:f>
        <x:v>PASA</x:v>
      </x:c>
      <x:c r="S22" s="4" t="str">
        <x:v>Conflicto entre observaciones admitidas del mismo sujeto y corte.</x:v>
      </x:c>
      <x:c r="T22" s="12" t="str">
        <x:f>IFERROR(INDEX('55_Codificacion_ensayo'!$B$5:$B$13,MATCH(B22,'55_Codificacion_ensayo'!$A$5:$A$13,0)),"")</x:f>
        <x:v>EVENTO-REINICIO-COMPLETO-0.1</x:v>
      </x:c>
      <x:c r="U22" s="12" t="str">
        <x:f>IFERROR(INDEX('55_Codificacion_ensayo'!$C$5:$C$13,MATCH(B22,'55_Codificacion_ensayo'!$A$5:$A$13,0)),"")</x:f>
        <x:v>ARRANQUE_COMPLETO</x:v>
      </x:c>
      <x:c r="V22" s="12" t="str">
        <x:f>IFERROR(INDEX('55_Codificacion_ensayo'!$D$5:$D$13,MATCH(B22,'55_Codificacion_ensayo'!$A$5:$A$13,0)),"")</x:f>
        <x:v>ORDEN_ACREDITADO</x:v>
      </x:c>
      <x:c r="W22" s="12" t="str">
        <x:f>IFERROR(INDEX('55_Codificacion_ensayo'!$E$5:$E$13,MATCH(B22,'55_Codificacion_ensayo'!$A$5:$A$13,0)),"")</x:f>
        <x:v>EVENTO_BOOT</x:v>
      </x:c>
      <x:c r="X22" s="12" t="str">
        <x:f>IFERROR(INDEX('55_Codificacion_ensayo'!$F$5:$F$13,MATCH(B22,'55_Codificacion_ensayo'!$A$5:$A$13,0)),"")</x:f>
        <x:v>REINICIO_COMPLETO</x:v>
      </x:c>
      <x:c r="Y22" s="12" t="str">
        <x:f>IFERROR(INDEX('55_Codificacion_ensayo'!$G$5:$G$13,MATCH(B22,'55_Codificacion_ensayo'!$A$5:$A$13,0)),"")</x:f>
      </x:c>
      <x:c r="Z22" s="12" t="str">
        <x:f>IFERROR(INDEX('55_Codificacion_ensayo'!$H$5:$H$13,MATCH(B22,'55_Codificacion_ensayo'!$A$5:$A$13,0)),"")</x:f>
        <x:v>NINGUNO</x:v>
      </x:c>
      <x:c r="AA22" s="12" t="str">
        <x:f>IFERROR(INDEX('55_Codificacion_ensayo'!$I$5:$I$13,MATCH(B22,'55_Codificacion_ensayo'!$A$5:$A$13,0)),"")</x:f>
        <x:v>REINICIO_REALIZADO</x:v>
      </x:c>
      <x:c r="AB22" s="12" t="str">
        <x:f>IFERROR(INDEX('55_Codificacion_ensayo'!$J$5:$J$13,MATCH(B22,'55_Codificacion_ensayo'!$A$5:$A$13,0)),"")</x:f>
        <x:v>SIN_REINICIO_COMPLETO</x:v>
      </x:c>
    </x:row>
    <x:row r="23" ht="47" customHeight="1">
      <x:c r="A23" s="4" t="str">
        <x:v>L10-03-05</x:v>
      </x:c>
      <x:c r="B23" s="4" t="str">
        <x:v>PAR-CYB-REINICIO-SISTEMA-REALIZADO-001</x:v>
      </x:c>
      <x:c r="C23" s="4" t="str">
        <x:v>EVENTO-REINICIO-COMPLETO-0.1</x:v>
      </x:c>
      <x:c r="D23" s="4" t="str">
        <x:v>COINCIDE</x:v>
      </x:c>
      <x:c r="E23" s="4" t="str">
        <x:v>FALLO</x:v>
      </x:c>
      <x:c r="F23" s="4" t="str">
        <x:v>ARRANQUE_COMPLETO</x:v>
      </x:c>
      <x:c r="G23" s="4" t="str">
        <x:v>UNICA</x:v>
      </x:c>
      <x:c r="H23" s="4" t="str">
        <x:v>REINICIO_COMPLETO</x:v>
      </x:c>
      <x:c r="I23" s="4" t="str"/>
      <x:c r="J23" s="4" t="str">
        <x:v>COMPLETA</x:v>
      </x:c>
      <x:c r="K23" s="4" t="str">
        <x:v>ORDEN_ACREDITADO</x:v>
      </x:c>
      <x:c r="L23" s="4" t="str">
        <x:v>FALLO_CAPTURA</x:v>
      </x:c>
      <x:c r="M23" s="4" t="str"/>
      <x:c r="N23" s="4" t="str">
        <x:v>SIN_EJECUCION_DOMINIO</x:v>
      </x:c>
      <x:c r="O23" s="12" t="str">
        <x:f>IF(Q23="SIN_EJECUCION_DOMINIO","FALLO_CAPTURA",IF(OR(Q23="CAPTURA_MAL_FORMADA",Q23="IDENTIDAD",Q23="OBSERVACION_MAL_FORMADA",Q23="LEXEMA_O_FORMA"),"NO_ADMISION",IF(OR(Q23="PERFIL_NO_CONSTITUIDO",Q23="RESULTADO_NO_TERMINAL"),"FUERA_PERFIL",IF(Q23="CONTEXTO_NO_CONSTITUIDO","CONFIGURACION_PENDIENTE","VALIDA"))))</x:f>
        <x:v>FALLO_CAPTURA</x:v>
      </x:c>
      <x:c r="P23" s="12" t="str">
        <x:f>IF(O23&lt;&gt;"VALIDA","",IF(Q23=AA23,"1",IF(Q23=AB23,"0","U")))</x:f>
      </x:c>
      <x:c r="Q23" s="12" t="str">
        <x:f>IF(E23="FALLO","SIN_EJECUCION_DOMINIO",IF(E23&lt;&gt;"LEGIBLE","CAPTURA_MAL_FORMADA",IF(D23&lt;&gt;"COINCIDE","IDENTIDAD",IF(OR(T23="",C23&lt;&gt;T23),"PERFIL_NO_CONSTITUIDO",IF(K23&lt;&gt;V23,IF(V23="ORDEN_ACREDITADO","ORDEN_NO_ACREDITADO","CONTEXTO_NO_CONSTITUIDO"),IF(AND(G23="AUSENTE",H23="",I23=""),"DATO_AUSENTE",IF(AND(G23="CONFLICTO",H23="",I23=""),"CONFLICTO_OBSERVACIONAL",IF(G23&lt;&gt;"UNICA","OBSERVACION_MAL_FORMADA",IF(F23&lt;&gt;U23,"OBSERVACION_INSUFICIENTE",IF(W23="RESULTADO",IF(H23=X23,AA23,IF(OR(H23="orcSucceededWithErrors",H23="orcFailed",H23="orcAborted"),AB23,IF(OR(H23="orcNotStarted",H23="orcInProgress"),"RESULTADO_NO_TERMINAL","LEXEMA_O_FORMA"))),IF(W23="EVENTO_BOOT",IF(H23=X23,AA23,IF(OR(H23="NINGUNO",H23="SOLO_HIBRIDO"),IF(J23="COMPLETA",AB23,"COBERTURA_INSUFICIENTE"),"LEXEMA_O_FORMA")),IF(W23="REQUISITO_SOFT",IF(H23=X23,AA23,IF(H23=Z23,AB23,"LEXEMA_O_FORMA")),IF(W23="EVENTO_PROC",IF(H23=X23,AA23,IF(H23=Z23,IF(J23="COMPLETA",AB23,"COBERTURA_INSUFICIENTE"),"LEXEMA_O_FORMA")),IF(W23="IMAGEN",IF(AND(AND(ISTEXT(H23),LEN(("x"&amp;H23))=65,EXACT(("x"&amp;H23),LOWER(("x"&amp;H23))),ISERROR(SEARCH(" ",("x"&amp;H23))),ISERROR(SEARCH(CHAR(9),("x"&amp;H23))),ISERROR(SEARCH(CHAR(10),("x"&amp;H23))),ISERROR(SEARCH(CHAR(13),("x"&amp;H23))),IFERROR(HEX2DEC(MID(("x"&amp;H23),2,8))&gt;=0,FALSE),IFERROR(HEX2DEC(MID(("x"&amp;H23),10,8))&gt;=0,FALSE),IFERROR(HEX2DEC(MID(("x"&amp;H23),18,8))&gt;=0,FALSE),IFERROR(HEX2DEC(MID(("x"&amp;H23),26,8))&gt;=0,FALSE),IFERROR(HEX2DEC(MID(("x"&amp;H23),34,8))&gt;=0,FALSE),IFERROR(HEX2DEC(MID(("x"&amp;H23),42,8))&gt;=0,FALSE),IFERROR(HEX2DEC(MID(("x"&amp;H23),50,8))&gt;=0,FALSE),IFERROR(HEX2DEC(MID(("x"&amp;H23),58,8))&gt;=0,FALSE)),AND(ISTEXT(I23),LEN(("x"&amp;I23))=65,EXACT(("x"&amp;I23),LOWER(("x"&amp;I23))),ISERROR(SEARCH(" ",("x"&amp;I23))),ISERROR(SEARCH(CHAR(9),("x"&amp;I23))),ISERROR(SEARCH(CHAR(10),("x"&amp;I23))),ISERROR(SEARCH(CHAR(13),("x"&amp;I23))),IFERROR(HEX2DEC(MID(("x"&amp;I23),2,8))&gt;=0,FALSE),IFERROR(HEX2DEC(MID(("x"&amp;I23),10,8))&gt;=0,FALSE),IFERROR(HEX2DEC(MID(("x"&amp;I23),18,8))&gt;=0,FALSE),IFERROR(HEX2DEC(MID(("x"&amp;I23),26,8))&gt;=0,FALSE),IFERROR(HEX2DEC(MID(("x"&amp;I23),34,8))&gt;=0,FALSE),IFERROR(HEX2DEC(MID(("x"&amp;I23),42,8))&gt;=0,FALSE),IFERROR(HEX2DEC(MID(("x"&amp;I23),50,8))&gt;=0,FALSE),IFERROR(HEX2DEC(MID(("x"&amp;I23),58,8))&gt;=0,FALSE))),IF(EXACT("x"&amp;H23,"x"&amp;I23),AA23,AB23),"LEXEMA_O_FORMA"),IF(W23="PRUEBA",IF(H23=X23,AA23,IF(H23=Z23,AB23,"LEXEMA_O_FORMA")),IF(W23="RETIRADA",IF(AND(H23="NINGUNO",I23=""),IF(J23="COMPLETA",AB23,"COBERTURA_INSUFICIENTE"),IF(AND(OR(H23="uoInstallation",H23="uoUninstallation"),OR(I23="orcSucceeded",I23="orcSucceededWithErrors",I23="orcFailed",I23="orcAborted",I23="orcInProgress",I23="orcNotStarted")),IF(AND(H23=X23,I23=Y23),AA23,IF(AND(H23=X23,OR(I23="orcSucceededWithErrors",I23="orcInProgress",I23="orcNotStarted")),"RESULTADO_RETIRADA_INCIERTO",IF(J23="COMPLETA",AB23,"COBERTURA_INSUFICIENTE"))),"LEXEMA_O_FORMA")),IF(W23="CAMBIO",IF(OR(H23="CAMBIO",H23="CAMBIO_Y_RETORNO"),AA23,IF(OR(H23="NINGUNO",H23="SOLO_RENOMBRE"),IF(J23="COMPLETA",AB23,"COBERTURA_INSUFICIENTE"),"LEXEMA_O_FORMA")),IF(W23="RESTAURACION",IF(H23=X23,AA23,IF(OR(H23="NINGUNO",H23="RESTAURACION_POSTERIOR",H23="RESTAURACION_FALLIDA"),IF(J23="COMPLETA",AB23,"COBERTURA_INSUFICIENTE"),"LEXEMA_O_FORMA")),"PERFIL_NO_CONSTITUIDO"))))))))))))))))))</x:f>
        <x:v>SIN_EJECUCION_DOMINIO</x:v>
      </x:c>
      <x:c r="R23" s="12" t="str">
        <x:f>IF(AND(L23=O23,M23=P23,N23=Q23),"PASA","NO_PASA")</x:f>
        <x:v>PASA</x:v>
      </x:c>
      <x:c r="S23" s="4" t="str">
        <x:v>El observador falla; no existe ejecución de dominio ni Tri alternativo.</x:v>
      </x:c>
      <x:c r="T23" s="12" t="str">
        <x:f>IFERROR(INDEX('55_Codificacion_ensayo'!$B$5:$B$13,MATCH(B23,'55_Codificacion_ensayo'!$A$5:$A$13,0)),"")</x:f>
        <x:v>EVENTO-REINICIO-COMPLETO-0.1</x:v>
      </x:c>
      <x:c r="U23" s="12" t="str">
        <x:f>IFERROR(INDEX('55_Codificacion_ensayo'!$C$5:$C$13,MATCH(B23,'55_Codificacion_ensayo'!$A$5:$A$13,0)),"")</x:f>
        <x:v>ARRANQUE_COMPLETO</x:v>
      </x:c>
      <x:c r="V23" s="12" t="str">
        <x:f>IFERROR(INDEX('55_Codificacion_ensayo'!$D$5:$D$13,MATCH(B23,'55_Codificacion_ensayo'!$A$5:$A$13,0)),"")</x:f>
        <x:v>ORDEN_ACREDITADO</x:v>
      </x:c>
      <x:c r="W23" s="12" t="str">
        <x:f>IFERROR(INDEX('55_Codificacion_ensayo'!$E$5:$E$13,MATCH(B23,'55_Codificacion_ensayo'!$A$5:$A$13,0)),"")</x:f>
        <x:v>EVENTO_BOOT</x:v>
      </x:c>
      <x:c r="X23" s="12" t="str">
        <x:f>IFERROR(INDEX('55_Codificacion_ensayo'!$F$5:$F$13,MATCH(B23,'55_Codificacion_ensayo'!$A$5:$A$13,0)),"")</x:f>
        <x:v>REINICIO_COMPLETO</x:v>
      </x:c>
      <x:c r="Y23" s="12" t="str">
        <x:f>IFERROR(INDEX('55_Codificacion_ensayo'!$G$5:$G$13,MATCH(B23,'55_Codificacion_ensayo'!$A$5:$A$13,0)),"")</x:f>
      </x:c>
      <x:c r="Z23" s="12" t="str">
        <x:f>IFERROR(INDEX('55_Codificacion_ensayo'!$H$5:$H$13,MATCH(B23,'55_Codificacion_ensayo'!$A$5:$A$13,0)),"")</x:f>
        <x:v>NINGUNO</x:v>
      </x:c>
      <x:c r="AA23" s="12" t="str">
        <x:f>IFERROR(INDEX('55_Codificacion_ensayo'!$I$5:$I$13,MATCH(B23,'55_Codificacion_ensayo'!$A$5:$A$13,0)),"")</x:f>
        <x:v>REINICIO_REALIZADO</x:v>
      </x:c>
      <x:c r="AB23" s="12" t="str">
        <x:f>IFERROR(INDEX('55_Codificacion_ensayo'!$J$5:$J$13,MATCH(B23,'55_Codificacion_ensayo'!$A$5:$A$13,0)),"")</x:f>
        <x:v>SIN_REINICIO_COMPLETO</x:v>
      </x:c>
    </x:row>
    <x:row r="24" ht="47" customHeight="1">
      <x:c r="A24" s="4" t="str">
        <x:v>L10-03-06</x:v>
      </x:c>
      <x:c r="B24" s="4" t="str">
        <x:v>PAR-CYB-REINICIO-SISTEMA-REALIZADO-001</x:v>
      </x:c>
      <x:c r="C24" s="4" t="str">
        <x:v>EVENTO-REINICIO-COMPLETO-0.1</x:v>
      </x:c>
      <x:c r="D24" s="4" t="str">
        <x:v>OTRO</x:v>
      </x:c>
      <x:c r="E24" s="4" t="str">
        <x:v>LEGIBLE</x:v>
      </x:c>
      <x:c r="F24" s="4" t="str">
        <x:v>ARRANQUE_COMPLETO</x:v>
      </x:c>
      <x:c r="G24" s="4" t="str">
        <x:v>UNICA</x:v>
      </x:c>
      <x:c r="H24" s="4" t="str">
        <x:v>REINICIO_COMPLETO</x:v>
      </x:c>
      <x:c r="I24" s="4" t="str"/>
      <x:c r="J24" s="4" t="str">
        <x:v>COMPLETA</x:v>
      </x:c>
      <x:c r="K24" s="4" t="str">
        <x:v>ORDEN_ACREDITADO</x:v>
      </x:c>
      <x:c r="L24" s="4" t="str">
        <x:v>NO_ADMISION</x:v>
      </x:c>
      <x:c r="M24" s="4" t="str"/>
      <x:c r="N24" s="4" t="str">
        <x:v>IDENTIDAD</x:v>
      </x:c>
      <x:c r="O24" s="12" t="str">
        <x:f>IF(Q24="SIN_EJECUCION_DOMINIO","FALLO_CAPTURA",IF(OR(Q24="CAPTURA_MAL_FORMADA",Q24="IDENTIDAD",Q24="OBSERVACION_MAL_FORMADA",Q24="LEXEMA_O_FORMA"),"NO_ADMISION",IF(OR(Q24="PERFIL_NO_CONSTITUIDO",Q24="RESULTADO_NO_TERMINAL"),"FUERA_PERFIL",IF(Q24="CONTEXTO_NO_CONSTITUIDO","CONFIGURACION_PENDIENTE","VALIDA"))))</x:f>
        <x:v>NO_ADMISION</x:v>
      </x:c>
      <x:c r="P24" s="12" t="str">
        <x:f>IF(O24&lt;&gt;"VALIDA","",IF(Q24=AA24,"1",IF(Q24=AB24,"0","U")))</x:f>
      </x:c>
      <x:c r="Q24" s="12" t="str">
        <x:f>IF(E24="FALLO","SIN_EJECUCION_DOMINIO",IF(E24&lt;&gt;"LEGIBLE","CAPTURA_MAL_FORMADA",IF(D24&lt;&gt;"COINCIDE","IDENTIDAD",IF(OR(T24="",C24&lt;&gt;T24),"PERFIL_NO_CONSTITUIDO",IF(K24&lt;&gt;V24,IF(V24="ORDEN_ACREDITADO","ORDEN_NO_ACREDITADO","CONTEXTO_NO_CONSTITUIDO"),IF(AND(G24="AUSENTE",H24="",I24=""),"DATO_AUSENTE",IF(AND(G24="CONFLICTO",H24="",I24=""),"CONFLICTO_OBSERVACIONAL",IF(G24&lt;&gt;"UNICA","OBSERVACION_MAL_FORMADA",IF(F24&lt;&gt;U24,"OBSERVACION_INSUFICIENTE",IF(W24="RESULTADO",IF(H24=X24,AA24,IF(OR(H24="orcSucceededWithErrors",H24="orcFailed",H24="orcAborted"),AB24,IF(OR(H24="orcNotStarted",H24="orcInProgress"),"RESULTADO_NO_TERMINAL","LEXEMA_O_FORMA"))),IF(W24="EVENTO_BOOT",IF(H24=X24,AA24,IF(OR(H24="NINGUNO",H24="SOLO_HIBRIDO"),IF(J24="COMPLETA",AB24,"COBERTURA_INSUFICIENTE"),"LEXEMA_O_FORMA")),IF(W24="REQUISITO_SOFT",IF(H24=X24,AA24,IF(H24=Z24,AB24,"LEXEMA_O_FORMA")),IF(W24="EVENTO_PROC",IF(H24=X24,AA24,IF(H24=Z24,IF(J24="COMPLETA",AB24,"COBERTURA_INSUFICIENTE"),"LEXEMA_O_FORMA")),IF(W24="IMAGEN",IF(AND(AND(ISTEXT(H24),LEN(("x"&amp;H24))=65,EXACT(("x"&amp;H24),LOWER(("x"&amp;H24))),ISERROR(SEARCH(" ",("x"&amp;H24))),ISERROR(SEARCH(CHAR(9),("x"&amp;H24))),ISERROR(SEARCH(CHAR(10),("x"&amp;H24))),ISERROR(SEARCH(CHAR(13),("x"&amp;H24))),IFERROR(HEX2DEC(MID(("x"&amp;H24),2,8))&gt;=0,FALSE),IFERROR(HEX2DEC(MID(("x"&amp;H24),10,8))&gt;=0,FALSE),IFERROR(HEX2DEC(MID(("x"&amp;H24),18,8))&gt;=0,FALSE),IFERROR(HEX2DEC(MID(("x"&amp;H24),26,8))&gt;=0,FALSE),IFERROR(HEX2DEC(MID(("x"&amp;H24),34,8))&gt;=0,FALSE),IFERROR(HEX2DEC(MID(("x"&amp;H24),42,8))&gt;=0,FALSE),IFERROR(HEX2DEC(MID(("x"&amp;H24),50,8))&gt;=0,FALSE),IFERROR(HEX2DEC(MID(("x"&amp;H24),58,8))&gt;=0,FALSE)),AND(ISTEXT(I24),LEN(("x"&amp;I24))=65,EXACT(("x"&amp;I24),LOWER(("x"&amp;I24))),ISERROR(SEARCH(" ",("x"&amp;I24))),ISERROR(SEARCH(CHAR(9),("x"&amp;I24))),ISERROR(SEARCH(CHAR(10),("x"&amp;I24))),ISERROR(SEARCH(CHAR(13),("x"&amp;I24))),IFERROR(HEX2DEC(MID(("x"&amp;I24),2,8))&gt;=0,FALSE),IFERROR(HEX2DEC(MID(("x"&amp;I24),10,8))&gt;=0,FALSE),IFERROR(HEX2DEC(MID(("x"&amp;I24),18,8))&gt;=0,FALSE),IFERROR(HEX2DEC(MID(("x"&amp;I24),26,8))&gt;=0,FALSE),IFERROR(HEX2DEC(MID(("x"&amp;I24),34,8))&gt;=0,FALSE),IFERROR(HEX2DEC(MID(("x"&amp;I24),42,8))&gt;=0,FALSE),IFERROR(HEX2DEC(MID(("x"&amp;I24),50,8))&gt;=0,FALSE),IFERROR(HEX2DEC(MID(("x"&amp;I24),58,8))&gt;=0,FALSE))),IF(EXACT("x"&amp;H24,"x"&amp;I24),AA24,AB24),"LEXEMA_O_FORMA"),IF(W24="PRUEBA",IF(H24=X24,AA24,IF(H24=Z24,AB24,"LEXEMA_O_FORMA")),IF(W24="RETIRADA",IF(AND(H24="NINGUNO",I24=""),IF(J24="COMPLETA",AB24,"COBERTURA_INSUFICIENTE"),IF(AND(OR(H24="uoInstallation",H24="uoUninstallation"),OR(I24="orcSucceeded",I24="orcSucceededWithErrors",I24="orcFailed",I24="orcAborted",I24="orcInProgress",I24="orcNotStarted")),IF(AND(H24=X24,I24=Y24),AA24,IF(AND(H24=X24,OR(I24="orcSucceededWithErrors",I24="orcInProgress",I24="orcNotStarted")),"RESULTADO_RETIRADA_INCIERTO",IF(J24="COMPLETA",AB24,"COBERTURA_INSUFICIENTE"))),"LEXEMA_O_FORMA")),IF(W24="CAMBIO",IF(OR(H24="CAMBIO",H24="CAMBIO_Y_RETORNO"),AA24,IF(OR(H24="NINGUNO",H24="SOLO_RENOMBRE"),IF(J24="COMPLETA",AB24,"COBERTURA_INSUFICIENTE"),"LEXEMA_O_FORMA")),IF(W24="RESTAURACION",IF(H24=X24,AA24,IF(OR(H24="NINGUNO",H24="RESTAURACION_POSTERIOR",H24="RESTAURACION_FALLIDA"),IF(J24="COMPLETA",AB24,"COBERTURA_INSUFICIENTE"),"LEXEMA_O_FORMA")),"PERFIL_NO_CONSTITUIDO"))))))))))))))))))</x:f>
        <x:v>IDENTIDAD</x:v>
      </x:c>
      <x:c r="R24" s="12" t="str">
        <x:f>IF(AND(L24=O24,M24=P24,N24=Q24),"PASA","NO_PASA")</x:f>
        <x:v>PASA</x:v>
      </x:c>
      <x:c r="S24" s="4" t="str">
        <x:v>El testigo pertenece a otro sujeto; no se recicla su dato.</x:v>
      </x:c>
      <x:c r="T24" s="12" t="str">
        <x:f>IFERROR(INDEX('55_Codificacion_ensayo'!$B$5:$B$13,MATCH(B24,'55_Codificacion_ensayo'!$A$5:$A$13,0)),"")</x:f>
        <x:v>EVENTO-REINICIO-COMPLETO-0.1</x:v>
      </x:c>
      <x:c r="U24" s="12" t="str">
        <x:f>IFERROR(INDEX('55_Codificacion_ensayo'!$C$5:$C$13,MATCH(B24,'55_Codificacion_ensayo'!$A$5:$A$13,0)),"")</x:f>
        <x:v>ARRANQUE_COMPLETO</x:v>
      </x:c>
      <x:c r="V24" s="12" t="str">
        <x:f>IFERROR(INDEX('55_Codificacion_ensayo'!$D$5:$D$13,MATCH(B24,'55_Codificacion_ensayo'!$A$5:$A$13,0)),"")</x:f>
        <x:v>ORDEN_ACREDITADO</x:v>
      </x:c>
      <x:c r="W24" s="12" t="str">
        <x:f>IFERROR(INDEX('55_Codificacion_ensayo'!$E$5:$E$13,MATCH(B24,'55_Codificacion_ensayo'!$A$5:$A$13,0)),"")</x:f>
        <x:v>EVENTO_BOOT</x:v>
      </x:c>
      <x:c r="X24" s="12" t="str">
        <x:f>IFERROR(INDEX('55_Codificacion_ensayo'!$F$5:$F$13,MATCH(B24,'55_Codificacion_ensayo'!$A$5:$A$13,0)),"")</x:f>
        <x:v>REINICIO_COMPLETO</x:v>
      </x:c>
      <x:c r="Y24" s="12" t="str">
        <x:f>IFERROR(INDEX('55_Codificacion_ensayo'!$G$5:$G$13,MATCH(B24,'55_Codificacion_ensayo'!$A$5:$A$13,0)),"")</x:f>
      </x:c>
      <x:c r="Z24" s="12" t="str">
        <x:f>IFERROR(INDEX('55_Codificacion_ensayo'!$H$5:$H$13,MATCH(B24,'55_Codificacion_ensayo'!$A$5:$A$13,0)),"")</x:f>
        <x:v>NINGUNO</x:v>
      </x:c>
      <x:c r="AA24" s="12" t="str">
        <x:f>IFERROR(INDEX('55_Codificacion_ensayo'!$I$5:$I$13,MATCH(B24,'55_Codificacion_ensayo'!$A$5:$A$13,0)),"")</x:f>
        <x:v>REINICIO_REALIZADO</x:v>
      </x:c>
      <x:c r="AB24" s="12" t="str">
        <x:f>IFERROR(INDEX('55_Codificacion_ensayo'!$J$5:$J$13,MATCH(B24,'55_Codificacion_ensayo'!$A$5:$A$13,0)),"")</x:f>
        <x:v>SIN_REINICIO_COMPLETO</x:v>
      </x:c>
    </x:row>
    <x:row r="25" ht="47" customHeight="1">
      <x:c r="A25" s="4" t="str">
        <x:v>L10-03-07</x:v>
      </x:c>
      <x:c r="B25" s="4" t="str">
        <x:v>PAR-CYB-REINICIO-SISTEMA-REALIZADO-001</x:v>
      </x:c>
      <x:c r="C25" s="4" t="str">
        <x:v>EVENTO-REINICIO-COMPLETO-0.1</x:v>
      </x:c>
      <x:c r="D25" s="4" t="str">
        <x:v>COINCIDE</x:v>
      </x:c>
      <x:c r="E25" s="4" t="str">
        <x:v>LEGIBLE</x:v>
      </x:c>
      <x:c r="F25" s="4" t="str">
        <x:v>FUENTE_GENERAL</x:v>
      </x:c>
      <x:c r="G25" s="4" t="str">
        <x:v>UNICA</x:v>
      </x:c>
      <x:c r="H25" s="4" t="str">
        <x:v>REINICIO_COMPLETO</x:v>
      </x:c>
      <x:c r="I25" s="4" t="str"/>
      <x:c r="J25" s="4" t="str">
        <x:v>COMPLETA</x:v>
      </x:c>
      <x:c r="K25" s="4" t="str">
        <x:v>ORDEN_ACREDITADO</x:v>
      </x:c>
      <x:c r="L25" s="4" t="str">
        <x:v>VALIDA</x:v>
      </x:c>
      <x:c r="M25" s="4" t="str">
        <x:v>U</x:v>
      </x:c>
      <x:c r="N25" s="4" t="str">
        <x:v>OBSERVACION_INSUFICIENTE</x:v>
      </x:c>
      <x:c r="O25" s="12" t="str">
        <x:f>IF(Q25="SIN_EJECUCION_DOMINIO","FALLO_CAPTURA",IF(OR(Q25="CAPTURA_MAL_FORMADA",Q25="IDENTIDAD",Q25="OBSERVACION_MAL_FORMADA",Q25="LEXEMA_O_FORMA"),"NO_ADMISION",IF(OR(Q25="PERFIL_NO_CONSTITUIDO",Q25="RESULTADO_NO_TERMINAL"),"FUERA_PERFIL",IF(Q25="CONTEXTO_NO_CONSTITUIDO","CONFIGURACION_PENDIENTE","VALIDA"))))</x:f>
        <x:v>VALIDA</x:v>
      </x:c>
      <x:c r="P25" s="12" t="str">
        <x:f>IF(O25&lt;&gt;"VALIDA","",IF(Q25=AA25,"1",IF(Q25=AB25,"0","U")))</x:f>
        <x:v>U</x:v>
      </x:c>
      <x:c r="Q25" s="12" t="str">
        <x:f>IF(E25="FALLO","SIN_EJECUCION_DOMINIO",IF(E25&lt;&gt;"LEGIBLE","CAPTURA_MAL_FORMADA",IF(D25&lt;&gt;"COINCIDE","IDENTIDAD",IF(OR(T25="",C25&lt;&gt;T25),"PERFIL_NO_CONSTITUIDO",IF(K25&lt;&gt;V25,IF(V25="ORDEN_ACREDITADO","ORDEN_NO_ACREDITADO","CONTEXTO_NO_CONSTITUIDO"),IF(AND(G25="AUSENTE",H25="",I25=""),"DATO_AUSENTE",IF(AND(G25="CONFLICTO",H25="",I25=""),"CONFLICTO_OBSERVACIONAL",IF(G25&lt;&gt;"UNICA","OBSERVACION_MAL_FORMADA",IF(F25&lt;&gt;U25,"OBSERVACION_INSUFICIENTE",IF(W25="RESULTADO",IF(H25=X25,AA25,IF(OR(H25="orcSucceededWithErrors",H25="orcFailed",H25="orcAborted"),AB25,IF(OR(H25="orcNotStarted",H25="orcInProgress"),"RESULTADO_NO_TERMINAL","LEXEMA_O_FORMA"))),IF(W25="EVENTO_BOOT",IF(H25=X25,AA25,IF(OR(H25="NINGUNO",H25="SOLO_HIBRIDO"),IF(J25="COMPLETA",AB25,"COBERTURA_INSUFICIENTE"),"LEXEMA_O_FORMA")),IF(W25="REQUISITO_SOFT",IF(H25=X25,AA25,IF(H25=Z25,AB25,"LEXEMA_O_FORMA")),IF(W25="EVENTO_PROC",IF(H25=X25,AA25,IF(H25=Z25,IF(J25="COMPLETA",AB25,"COBERTURA_INSUFICIENTE"),"LEXEMA_O_FORMA")),IF(W25="IMAGEN",IF(AND(AND(ISTEXT(H25),LEN(("x"&amp;H25))=65,EXACT(("x"&amp;H25),LOWER(("x"&amp;H25))),ISERROR(SEARCH(" ",("x"&amp;H25))),ISERROR(SEARCH(CHAR(9),("x"&amp;H25))),ISERROR(SEARCH(CHAR(10),("x"&amp;H25))),ISERROR(SEARCH(CHAR(13),("x"&amp;H25))),IFERROR(HEX2DEC(MID(("x"&amp;H25),2,8))&gt;=0,FALSE),IFERROR(HEX2DEC(MID(("x"&amp;H25),10,8))&gt;=0,FALSE),IFERROR(HEX2DEC(MID(("x"&amp;H25),18,8))&gt;=0,FALSE),IFERROR(HEX2DEC(MID(("x"&amp;H25),26,8))&gt;=0,FALSE),IFERROR(HEX2DEC(MID(("x"&amp;H25),34,8))&gt;=0,FALSE),IFERROR(HEX2DEC(MID(("x"&amp;H25),42,8))&gt;=0,FALSE),IFERROR(HEX2DEC(MID(("x"&amp;H25),50,8))&gt;=0,FALSE),IFERROR(HEX2DEC(MID(("x"&amp;H25),58,8))&gt;=0,FALSE)),AND(ISTEXT(I25),LEN(("x"&amp;I25))=65,EXACT(("x"&amp;I25),LOWER(("x"&amp;I25))),ISERROR(SEARCH(" ",("x"&amp;I25))),ISERROR(SEARCH(CHAR(9),("x"&amp;I25))),ISERROR(SEARCH(CHAR(10),("x"&amp;I25))),ISERROR(SEARCH(CHAR(13),("x"&amp;I25))),IFERROR(HEX2DEC(MID(("x"&amp;I25),2,8))&gt;=0,FALSE),IFERROR(HEX2DEC(MID(("x"&amp;I25),10,8))&gt;=0,FALSE),IFERROR(HEX2DEC(MID(("x"&amp;I25),18,8))&gt;=0,FALSE),IFERROR(HEX2DEC(MID(("x"&amp;I25),26,8))&gt;=0,FALSE),IFERROR(HEX2DEC(MID(("x"&amp;I25),34,8))&gt;=0,FALSE),IFERROR(HEX2DEC(MID(("x"&amp;I25),42,8))&gt;=0,FALSE),IFERROR(HEX2DEC(MID(("x"&amp;I25),50,8))&gt;=0,FALSE),IFERROR(HEX2DEC(MID(("x"&amp;I25),58,8))&gt;=0,FALSE))),IF(EXACT("x"&amp;H25,"x"&amp;I25),AA25,AB25),"LEXEMA_O_FORMA"),IF(W25="PRUEBA",IF(H25=X25,AA25,IF(H25=Z25,AB25,"LEXEMA_O_FORMA")),IF(W25="RETIRADA",IF(AND(H25="NINGUNO",I25=""),IF(J25="COMPLETA",AB25,"COBERTURA_INSUFICIENTE"),IF(AND(OR(H25="uoInstallation",H25="uoUninstallation"),OR(I25="orcSucceeded",I25="orcSucceededWithErrors",I25="orcFailed",I25="orcAborted",I25="orcInProgress",I25="orcNotStarted")),IF(AND(H25=X25,I25=Y25),AA25,IF(AND(H25=X25,OR(I25="orcSucceededWithErrors",I25="orcInProgress",I25="orcNotStarted")),"RESULTADO_RETIRADA_INCIERTO",IF(J25="COMPLETA",AB25,"COBERTURA_INSUFICIENTE"))),"LEXEMA_O_FORMA")),IF(W25="CAMBIO",IF(OR(H25="CAMBIO",H25="CAMBIO_Y_RETORNO"),AA25,IF(OR(H25="NINGUNO",H25="SOLO_RENOMBRE"),IF(J25="COMPLETA",AB25,"COBERTURA_INSUFICIENTE"),"LEXEMA_O_FORMA")),IF(W25="RESTAURACION",IF(H25=X25,AA25,IF(OR(H25="NINGUNO",H25="RESTAURACION_POSTERIOR",H25="RESTAURACION_FALLIDA"),IF(J25="COMPLETA",AB25,"COBERTURA_INSUFICIENTE"),"LEXEMA_O_FORMA")),"PERFIL_NO_CONSTITUIDO"))))))))))))))))))</x:f>
        <x:v>OBSERVACION_INSUFICIENTE</x:v>
      </x:c>
      <x:c r="R25" s="12" t="str">
        <x:f>IF(AND(L25=O25,M25=P25,N25=Q25),"PASA","NO_PASA")</x:f>
        <x:v>PASA</x:v>
      </x:c>
      <x:c r="S25" s="4" t="str">
        <x:v>Una fuente del dominio no sustituye la observación específica del episodio.</x:v>
      </x:c>
      <x:c r="T25" s="12" t="str">
        <x:f>IFERROR(INDEX('55_Codificacion_ensayo'!$B$5:$B$13,MATCH(B25,'55_Codificacion_ensayo'!$A$5:$A$13,0)),"")</x:f>
        <x:v>EVENTO-REINICIO-COMPLETO-0.1</x:v>
      </x:c>
      <x:c r="U25" s="12" t="str">
        <x:f>IFERROR(INDEX('55_Codificacion_ensayo'!$C$5:$C$13,MATCH(B25,'55_Codificacion_ensayo'!$A$5:$A$13,0)),"")</x:f>
        <x:v>ARRANQUE_COMPLETO</x:v>
      </x:c>
      <x:c r="V25" s="12" t="str">
        <x:f>IFERROR(INDEX('55_Codificacion_ensayo'!$D$5:$D$13,MATCH(B25,'55_Codificacion_ensayo'!$A$5:$A$13,0)),"")</x:f>
        <x:v>ORDEN_ACREDITADO</x:v>
      </x:c>
      <x:c r="W25" s="12" t="str">
        <x:f>IFERROR(INDEX('55_Codificacion_ensayo'!$E$5:$E$13,MATCH(B25,'55_Codificacion_ensayo'!$A$5:$A$13,0)),"")</x:f>
        <x:v>EVENTO_BOOT</x:v>
      </x:c>
      <x:c r="X25" s="12" t="str">
        <x:f>IFERROR(INDEX('55_Codificacion_ensayo'!$F$5:$F$13,MATCH(B25,'55_Codificacion_ensayo'!$A$5:$A$13,0)),"")</x:f>
        <x:v>REINICIO_COMPLETO</x:v>
      </x:c>
      <x:c r="Y25" s="12" t="str">
        <x:f>IFERROR(INDEX('55_Codificacion_ensayo'!$G$5:$G$13,MATCH(B25,'55_Codificacion_ensayo'!$A$5:$A$13,0)),"")</x:f>
      </x:c>
      <x:c r="Z25" s="12" t="str">
        <x:f>IFERROR(INDEX('55_Codificacion_ensayo'!$H$5:$H$13,MATCH(B25,'55_Codificacion_ensayo'!$A$5:$A$13,0)),"")</x:f>
        <x:v>NINGUNO</x:v>
      </x:c>
      <x:c r="AA25" s="12" t="str">
        <x:f>IFERROR(INDEX('55_Codificacion_ensayo'!$I$5:$I$13,MATCH(B25,'55_Codificacion_ensayo'!$A$5:$A$13,0)),"")</x:f>
        <x:v>REINICIO_REALIZADO</x:v>
      </x:c>
      <x:c r="AB25" s="12" t="str">
        <x:f>IFERROR(INDEX('55_Codificacion_ensayo'!$J$5:$J$13,MATCH(B25,'55_Codificacion_ensayo'!$A$5:$A$13,0)),"")</x:f>
        <x:v>SIN_REINICIO_COMPLETO</x:v>
      </x:c>
    </x:row>
    <x:row r="26" ht="47" customHeight="1">
      <x:c r="A26" s="4" t="str">
        <x:v>L10-03-08</x:v>
      </x:c>
      <x:c r="B26" s="4" t="str">
        <x:v>PAR-CYB-REINICIO-SISTEMA-REALIZADO-001</x:v>
      </x:c>
      <x:c r="C26" s="4" t="str">
        <x:v>OTRO_PERFIL</x:v>
      </x:c>
      <x:c r="D26" s="4" t="str">
        <x:v>COINCIDE</x:v>
      </x:c>
      <x:c r="E26" s="4" t="str">
        <x:v>LEGIBLE</x:v>
      </x:c>
      <x:c r="F26" s="4" t="str">
        <x:v>ARRANQUE_COMPLETO</x:v>
      </x:c>
      <x:c r="G26" s="4" t="str">
        <x:v>UNICA</x:v>
      </x:c>
      <x:c r="H26" s="4" t="str">
        <x:v>REINICIO_COMPLETO</x:v>
      </x:c>
      <x:c r="I26" s="4" t="str"/>
      <x:c r="J26" s="4" t="str">
        <x:v>COMPLETA</x:v>
      </x:c>
      <x:c r="K26" s="4" t="str">
        <x:v>ORDEN_ACREDITADO</x:v>
      </x:c>
      <x:c r="L26" s="4" t="str">
        <x:v>FUERA_PERFIL</x:v>
      </x:c>
      <x:c r="M26" s="4" t="str"/>
      <x:c r="N26" s="4" t="str">
        <x:v>PERFIL_NO_CONSTITUIDO</x:v>
      </x:c>
      <x:c r="O26" s="12" t="str">
        <x:f>IF(Q26="SIN_EJECUCION_DOMINIO","FALLO_CAPTURA",IF(OR(Q26="CAPTURA_MAL_FORMADA",Q26="IDENTIDAD",Q26="OBSERVACION_MAL_FORMADA",Q26="LEXEMA_O_FORMA"),"NO_ADMISION",IF(OR(Q26="PERFIL_NO_CONSTITUIDO",Q26="RESULTADO_NO_TERMINAL"),"FUERA_PERFIL",IF(Q26="CONTEXTO_NO_CONSTITUIDO","CONFIGURACION_PENDIENTE","VALIDA"))))</x:f>
        <x:v>FUERA_PERFIL</x:v>
      </x:c>
      <x:c r="P26" s="12" t="str">
        <x:f>IF(O26&lt;&gt;"VALIDA","",IF(Q26=AA26,"1",IF(Q26=AB26,"0","U")))</x:f>
      </x:c>
      <x:c r="Q26" s="12" t="str">
        <x:f>IF(E26="FALLO","SIN_EJECUCION_DOMINIO",IF(E26&lt;&gt;"LEGIBLE","CAPTURA_MAL_FORMADA",IF(D26&lt;&gt;"COINCIDE","IDENTIDAD",IF(OR(T26="",C26&lt;&gt;T26),"PERFIL_NO_CONSTITUIDO",IF(K26&lt;&gt;V26,IF(V26="ORDEN_ACREDITADO","ORDEN_NO_ACREDITADO","CONTEXTO_NO_CONSTITUIDO"),IF(AND(G26="AUSENTE",H26="",I26=""),"DATO_AUSENTE",IF(AND(G26="CONFLICTO",H26="",I26=""),"CONFLICTO_OBSERVACIONAL",IF(G26&lt;&gt;"UNICA","OBSERVACION_MAL_FORMADA",IF(F26&lt;&gt;U26,"OBSERVACION_INSUFICIENTE",IF(W26="RESULTADO",IF(H26=X26,AA26,IF(OR(H26="orcSucceededWithErrors",H26="orcFailed",H26="orcAborted"),AB26,IF(OR(H26="orcNotStarted",H26="orcInProgress"),"RESULTADO_NO_TERMINAL","LEXEMA_O_FORMA"))),IF(W26="EVENTO_BOOT",IF(H26=X26,AA26,IF(OR(H26="NINGUNO",H26="SOLO_HIBRIDO"),IF(J26="COMPLETA",AB26,"COBERTURA_INSUFICIENTE"),"LEXEMA_O_FORMA")),IF(W26="REQUISITO_SOFT",IF(H26=X26,AA26,IF(H26=Z26,AB26,"LEXEMA_O_FORMA")),IF(W26="EVENTO_PROC",IF(H26=X26,AA26,IF(H26=Z26,IF(J26="COMPLETA",AB26,"COBERTURA_INSUFICIENTE"),"LEXEMA_O_FORMA")),IF(W26="IMAGEN",IF(AND(AND(ISTEXT(H26),LEN(("x"&amp;H26))=65,EXACT(("x"&amp;H26),LOWER(("x"&amp;H26))),ISERROR(SEARCH(" ",("x"&amp;H26))),ISERROR(SEARCH(CHAR(9),("x"&amp;H26))),ISERROR(SEARCH(CHAR(10),("x"&amp;H26))),ISERROR(SEARCH(CHAR(13),("x"&amp;H26))),IFERROR(HEX2DEC(MID(("x"&amp;H26),2,8))&gt;=0,FALSE),IFERROR(HEX2DEC(MID(("x"&amp;H26),10,8))&gt;=0,FALSE),IFERROR(HEX2DEC(MID(("x"&amp;H26),18,8))&gt;=0,FALSE),IFERROR(HEX2DEC(MID(("x"&amp;H26),26,8))&gt;=0,FALSE),IFERROR(HEX2DEC(MID(("x"&amp;H26),34,8))&gt;=0,FALSE),IFERROR(HEX2DEC(MID(("x"&amp;H26),42,8))&gt;=0,FALSE),IFERROR(HEX2DEC(MID(("x"&amp;H26),50,8))&gt;=0,FALSE),IFERROR(HEX2DEC(MID(("x"&amp;H26),58,8))&gt;=0,FALSE)),AND(ISTEXT(I26),LEN(("x"&amp;I26))=65,EXACT(("x"&amp;I26),LOWER(("x"&amp;I26))),ISERROR(SEARCH(" ",("x"&amp;I26))),ISERROR(SEARCH(CHAR(9),("x"&amp;I26))),ISERROR(SEARCH(CHAR(10),("x"&amp;I26))),ISERROR(SEARCH(CHAR(13),("x"&amp;I26))),IFERROR(HEX2DEC(MID(("x"&amp;I26),2,8))&gt;=0,FALSE),IFERROR(HEX2DEC(MID(("x"&amp;I26),10,8))&gt;=0,FALSE),IFERROR(HEX2DEC(MID(("x"&amp;I26),18,8))&gt;=0,FALSE),IFERROR(HEX2DEC(MID(("x"&amp;I26),26,8))&gt;=0,FALSE),IFERROR(HEX2DEC(MID(("x"&amp;I26),34,8))&gt;=0,FALSE),IFERROR(HEX2DEC(MID(("x"&amp;I26),42,8))&gt;=0,FALSE),IFERROR(HEX2DEC(MID(("x"&amp;I26),50,8))&gt;=0,FALSE),IFERROR(HEX2DEC(MID(("x"&amp;I26),58,8))&gt;=0,FALSE))),IF(EXACT("x"&amp;H26,"x"&amp;I26),AA26,AB26),"LEXEMA_O_FORMA"),IF(W26="PRUEBA",IF(H26=X26,AA26,IF(H26=Z26,AB26,"LEXEMA_O_FORMA")),IF(W26="RETIRADA",IF(AND(H26="NINGUNO",I26=""),IF(J26="COMPLETA",AB26,"COBERTURA_INSUFICIENTE"),IF(AND(OR(H26="uoInstallation",H26="uoUninstallation"),OR(I26="orcSucceeded",I26="orcSucceededWithErrors",I26="orcFailed",I26="orcAborted",I26="orcInProgress",I26="orcNotStarted")),IF(AND(H26=X26,I26=Y26),AA26,IF(AND(H26=X26,OR(I26="orcSucceededWithErrors",I26="orcInProgress",I26="orcNotStarted")),"RESULTADO_RETIRADA_INCIERTO",IF(J26="COMPLETA",AB26,"COBERTURA_INSUFICIENTE"))),"LEXEMA_O_FORMA")),IF(W26="CAMBIO",IF(OR(H26="CAMBIO",H26="CAMBIO_Y_RETORNO"),AA26,IF(OR(H26="NINGUNO",H26="SOLO_RENOMBRE"),IF(J26="COMPLETA",AB26,"COBERTURA_INSUFICIENTE"),"LEXEMA_O_FORMA")),IF(W26="RESTAURACION",IF(H26=X26,AA26,IF(OR(H26="NINGUNO",H26="RESTAURACION_POSTERIOR",H26="RESTAURACION_FALLIDA"),IF(J26="COMPLETA",AB26,"COBERTURA_INSUFICIENTE"),"LEXEMA_O_FORMA")),"PERFIL_NO_CONSTITUIDO"))))))))))))))))))</x:f>
        <x:v>PERFIL_NO_CONSTITUIDO</x:v>
      </x:c>
      <x:c r="R26" s="12" t="str">
        <x:f>IF(AND(L26=O26,M26=P26,N26=Q26),"PASA","NO_PASA")</x:f>
        <x:v>PASA</x:v>
      </x:c>
      <x:c r="S26" s="4" t="str">
        <x:v>Perfil de otro producto no se normaliza por analogía.</x:v>
      </x:c>
      <x:c r="T26" s="12" t="str">
        <x:f>IFERROR(INDEX('55_Codificacion_ensayo'!$B$5:$B$13,MATCH(B26,'55_Codificacion_ensayo'!$A$5:$A$13,0)),"")</x:f>
        <x:v>EVENTO-REINICIO-COMPLETO-0.1</x:v>
      </x:c>
      <x:c r="U26" s="12" t="str">
        <x:f>IFERROR(INDEX('55_Codificacion_ensayo'!$C$5:$C$13,MATCH(B26,'55_Codificacion_ensayo'!$A$5:$A$13,0)),"")</x:f>
        <x:v>ARRANQUE_COMPLETO</x:v>
      </x:c>
      <x:c r="V26" s="12" t="str">
        <x:f>IFERROR(INDEX('55_Codificacion_ensayo'!$D$5:$D$13,MATCH(B26,'55_Codificacion_ensayo'!$A$5:$A$13,0)),"")</x:f>
        <x:v>ORDEN_ACREDITADO</x:v>
      </x:c>
      <x:c r="W26" s="12" t="str">
        <x:f>IFERROR(INDEX('55_Codificacion_ensayo'!$E$5:$E$13,MATCH(B26,'55_Codificacion_ensayo'!$A$5:$A$13,0)),"")</x:f>
        <x:v>EVENTO_BOOT</x:v>
      </x:c>
      <x:c r="X26" s="12" t="str">
        <x:f>IFERROR(INDEX('55_Codificacion_ensayo'!$F$5:$F$13,MATCH(B26,'55_Codificacion_ensayo'!$A$5:$A$13,0)),"")</x:f>
        <x:v>REINICIO_COMPLETO</x:v>
      </x:c>
      <x:c r="Y26" s="12" t="str">
        <x:f>IFERROR(INDEX('55_Codificacion_ensayo'!$G$5:$G$13,MATCH(B26,'55_Codificacion_ensayo'!$A$5:$A$13,0)),"")</x:f>
      </x:c>
      <x:c r="Z26" s="12" t="str">
        <x:f>IFERROR(INDEX('55_Codificacion_ensayo'!$H$5:$H$13,MATCH(B26,'55_Codificacion_ensayo'!$A$5:$A$13,0)),"")</x:f>
        <x:v>NINGUNO</x:v>
      </x:c>
      <x:c r="AA26" s="12" t="str">
        <x:f>IFERROR(INDEX('55_Codificacion_ensayo'!$I$5:$I$13,MATCH(B26,'55_Codificacion_ensayo'!$A$5:$A$13,0)),"")</x:f>
        <x:v>REINICIO_REALIZADO</x:v>
      </x:c>
      <x:c r="AB26" s="12" t="str">
        <x:f>IFERROR(INDEX('55_Codificacion_ensayo'!$J$5:$J$13,MATCH(B26,'55_Codificacion_ensayo'!$A$5:$A$13,0)),"")</x:f>
        <x:v>SIN_REINICIO_COMPLETO</x:v>
      </x:c>
    </x:row>
    <x:row r="27" ht="47" customHeight="1">
      <x:c r="A27" s="4" t="str">
        <x:v>L10-03-09</x:v>
      </x:c>
      <x:c r="B27" s="4" t="str">
        <x:v>PAR-CYB-REINICIO-SISTEMA-REALIZADO-001</x:v>
      </x:c>
      <x:c r="C27" s="4" t="str">
        <x:v>EVENTO-REINICIO-COMPLETO-0.1</x:v>
      </x:c>
      <x:c r="D27" s="4" t="str">
        <x:v>COINCIDE</x:v>
      </x:c>
      <x:c r="E27" s="4" t="str">
        <x:v>LEGIBLE</x:v>
      </x:c>
      <x:c r="F27" s="4" t="str">
        <x:v>ARRANQUE_COMPLETO</x:v>
      </x:c>
      <x:c r="G27" s="4" t="str">
        <x:v>UNICA</x:v>
      </x:c>
      <x:c r="H27" s="4" t="str">
        <x:v>true false desconocido</x:v>
      </x:c>
      <x:c r="I27" s="4" t="str"/>
      <x:c r="J27" s="4" t="str">
        <x:v>COMPLETA</x:v>
      </x:c>
      <x:c r="K27" s="4" t="str">
        <x:v>ORDEN_ACREDITADO</x:v>
      </x:c>
      <x:c r="L27" s="4" t="str">
        <x:v>NO_ADMISION</x:v>
      </x:c>
      <x:c r="M27" s="4" t="str"/>
      <x:c r="N27" s="4" t="str">
        <x:v>LEXEMA_O_FORMA</x:v>
      </x:c>
      <x:c r="O27" s="12" t="str">
        <x:f>IF(Q27="SIN_EJECUCION_DOMINIO","FALLO_CAPTURA",IF(OR(Q27="CAPTURA_MAL_FORMADA",Q27="IDENTIDAD",Q27="OBSERVACION_MAL_FORMADA",Q27="LEXEMA_O_FORMA"),"NO_ADMISION",IF(OR(Q27="PERFIL_NO_CONSTITUIDO",Q27="RESULTADO_NO_TERMINAL"),"FUERA_PERFIL",IF(Q27="CONTEXTO_NO_CONSTITUIDO","CONFIGURACION_PENDIENTE","VALIDA"))))</x:f>
        <x:v>NO_ADMISION</x:v>
      </x:c>
      <x:c r="P27" s="12" t="str">
        <x:f>IF(O27&lt;&gt;"VALIDA","",IF(Q27=AA27,"1",IF(Q27=AB27,"0","U")))</x:f>
      </x:c>
      <x:c r="Q27" s="12" t="str">
        <x:f>IF(E27="FALLO","SIN_EJECUCION_DOMINIO",IF(E27&lt;&gt;"LEGIBLE","CAPTURA_MAL_FORMADA",IF(D27&lt;&gt;"COINCIDE","IDENTIDAD",IF(OR(T27="",C27&lt;&gt;T27),"PERFIL_NO_CONSTITUIDO",IF(K27&lt;&gt;V27,IF(V27="ORDEN_ACREDITADO","ORDEN_NO_ACREDITADO","CONTEXTO_NO_CONSTITUIDO"),IF(AND(G27="AUSENTE",H27="",I27=""),"DATO_AUSENTE",IF(AND(G27="CONFLICTO",H27="",I27=""),"CONFLICTO_OBSERVACIONAL",IF(G27&lt;&gt;"UNICA","OBSERVACION_MAL_FORMADA",IF(F27&lt;&gt;U27,"OBSERVACION_INSUFICIENTE",IF(W27="RESULTADO",IF(H27=X27,AA27,IF(OR(H27="orcSucceededWithErrors",H27="orcFailed",H27="orcAborted"),AB27,IF(OR(H27="orcNotStarted",H27="orcInProgress"),"RESULTADO_NO_TERMINAL","LEXEMA_O_FORMA"))),IF(W27="EVENTO_BOOT",IF(H27=X27,AA27,IF(OR(H27="NINGUNO",H27="SOLO_HIBRIDO"),IF(J27="COMPLETA",AB27,"COBERTURA_INSUFICIENTE"),"LEXEMA_O_FORMA")),IF(W27="REQUISITO_SOFT",IF(H27=X27,AA27,IF(H27=Z27,AB27,"LEXEMA_O_FORMA")),IF(W27="EVENTO_PROC",IF(H27=X27,AA27,IF(H27=Z27,IF(J27="COMPLETA",AB27,"COBERTURA_INSUFICIENTE"),"LEXEMA_O_FORMA")),IF(W27="IMAGEN",IF(AND(AND(ISTEXT(H27),LEN(("x"&amp;H27))=65,EXACT(("x"&amp;H27),LOWER(("x"&amp;H27))),ISERROR(SEARCH(" ",("x"&amp;H27))),ISERROR(SEARCH(CHAR(9),("x"&amp;H27))),ISERROR(SEARCH(CHAR(10),("x"&amp;H27))),ISERROR(SEARCH(CHAR(13),("x"&amp;H27))),IFERROR(HEX2DEC(MID(("x"&amp;H27),2,8))&gt;=0,FALSE),IFERROR(HEX2DEC(MID(("x"&amp;H27),10,8))&gt;=0,FALSE),IFERROR(HEX2DEC(MID(("x"&amp;H27),18,8))&gt;=0,FALSE),IFERROR(HEX2DEC(MID(("x"&amp;H27),26,8))&gt;=0,FALSE),IFERROR(HEX2DEC(MID(("x"&amp;H27),34,8))&gt;=0,FALSE),IFERROR(HEX2DEC(MID(("x"&amp;H27),42,8))&gt;=0,FALSE),IFERROR(HEX2DEC(MID(("x"&amp;H27),50,8))&gt;=0,FALSE),IFERROR(HEX2DEC(MID(("x"&amp;H27),58,8))&gt;=0,FALSE)),AND(ISTEXT(I27),LEN(("x"&amp;I27))=65,EXACT(("x"&amp;I27),LOWER(("x"&amp;I27))),ISERROR(SEARCH(" ",("x"&amp;I27))),ISERROR(SEARCH(CHAR(9),("x"&amp;I27))),ISERROR(SEARCH(CHAR(10),("x"&amp;I27))),ISERROR(SEARCH(CHAR(13),("x"&amp;I27))),IFERROR(HEX2DEC(MID(("x"&amp;I27),2,8))&gt;=0,FALSE),IFERROR(HEX2DEC(MID(("x"&amp;I27),10,8))&gt;=0,FALSE),IFERROR(HEX2DEC(MID(("x"&amp;I27),18,8))&gt;=0,FALSE),IFERROR(HEX2DEC(MID(("x"&amp;I27),26,8))&gt;=0,FALSE),IFERROR(HEX2DEC(MID(("x"&amp;I27),34,8))&gt;=0,FALSE),IFERROR(HEX2DEC(MID(("x"&amp;I27),42,8))&gt;=0,FALSE),IFERROR(HEX2DEC(MID(("x"&amp;I27),50,8))&gt;=0,FALSE),IFERROR(HEX2DEC(MID(("x"&amp;I27),58,8))&gt;=0,FALSE))),IF(EXACT("x"&amp;H27,"x"&amp;I27),AA27,AB27),"LEXEMA_O_FORMA"),IF(W27="PRUEBA",IF(H27=X27,AA27,IF(H27=Z27,AB27,"LEXEMA_O_FORMA")),IF(W27="RETIRADA",IF(AND(H27="NINGUNO",I27=""),IF(J27="COMPLETA",AB27,"COBERTURA_INSUFICIENTE"),IF(AND(OR(H27="uoInstallation",H27="uoUninstallation"),OR(I27="orcSucceeded",I27="orcSucceededWithErrors",I27="orcFailed",I27="orcAborted",I27="orcInProgress",I27="orcNotStarted")),IF(AND(H27=X27,I27=Y27),AA27,IF(AND(H27=X27,OR(I27="orcSucceededWithErrors",I27="orcInProgress",I27="orcNotStarted")),"RESULTADO_RETIRADA_INCIERTO",IF(J27="COMPLETA",AB27,"COBERTURA_INSUFICIENTE"))),"LEXEMA_O_FORMA")),IF(W27="CAMBIO",IF(OR(H27="CAMBIO",H27="CAMBIO_Y_RETORNO"),AA27,IF(OR(H27="NINGUNO",H27="SOLO_RENOMBRE"),IF(J27="COMPLETA",AB27,"COBERTURA_INSUFICIENTE"),"LEXEMA_O_FORMA")),IF(W27="RESTAURACION",IF(H27=X27,AA27,IF(OR(H27="NINGUNO",H27="RESTAURACION_POSTERIOR",H27="RESTAURACION_FALLIDA"),IF(J27="COMPLETA",AB27,"COBERTURA_INSUFICIENTE"),"LEXEMA_O_FORMA")),"PERFIL_NO_CONSTITUIDO"))))))))))))))))))</x:f>
        <x:v>LEXEMA_O_FORMA</x:v>
      </x:c>
      <x:c r="R27" s="12" t="str">
        <x:f>IF(AND(L27=O27,M27=P27,N27=Q27),"PASA","NO_PASA")</x:f>
        <x:v>PASA</x:v>
      </x:c>
      <x:c r="S27" s="4" t="str">
        <x:v>La observación usa un lexema ajeno al contrato.</x:v>
      </x:c>
      <x:c r="T27" s="12" t="str">
        <x:f>IFERROR(INDEX('55_Codificacion_ensayo'!$B$5:$B$13,MATCH(B27,'55_Codificacion_ensayo'!$A$5:$A$13,0)),"")</x:f>
        <x:v>EVENTO-REINICIO-COMPLETO-0.1</x:v>
      </x:c>
      <x:c r="U27" s="12" t="str">
        <x:f>IFERROR(INDEX('55_Codificacion_ensayo'!$C$5:$C$13,MATCH(B27,'55_Codificacion_ensayo'!$A$5:$A$13,0)),"")</x:f>
        <x:v>ARRANQUE_COMPLETO</x:v>
      </x:c>
      <x:c r="V27" s="12" t="str">
        <x:f>IFERROR(INDEX('55_Codificacion_ensayo'!$D$5:$D$13,MATCH(B27,'55_Codificacion_ensayo'!$A$5:$A$13,0)),"")</x:f>
        <x:v>ORDEN_ACREDITADO</x:v>
      </x:c>
      <x:c r="W27" s="12" t="str">
        <x:f>IFERROR(INDEX('55_Codificacion_ensayo'!$E$5:$E$13,MATCH(B27,'55_Codificacion_ensayo'!$A$5:$A$13,0)),"")</x:f>
        <x:v>EVENTO_BOOT</x:v>
      </x:c>
      <x:c r="X27" s="12" t="str">
        <x:f>IFERROR(INDEX('55_Codificacion_ensayo'!$F$5:$F$13,MATCH(B27,'55_Codificacion_ensayo'!$A$5:$A$13,0)),"")</x:f>
        <x:v>REINICIO_COMPLETO</x:v>
      </x:c>
      <x:c r="Y27" s="12" t="str">
        <x:f>IFERROR(INDEX('55_Codificacion_ensayo'!$G$5:$G$13,MATCH(B27,'55_Codificacion_ensayo'!$A$5:$A$13,0)),"")</x:f>
      </x:c>
      <x:c r="Z27" s="12" t="str">
        <x:f>IFERROR(INDEX('55_Codificacion_ensayo'!$H$5:$H$13,MATCH(B27,'55_Codificacion_ensayo'!$A$5:$A$13,0)),"")</x:f>
        <x:v>NINGUNO</x:v>
      </x:c>
      <x:c r="AA27" s="12" t="str">
        <x:f>IFERROR(INDEX('55_Codificacion_ensayo'!$I$5:$I$13,MATCH(B27,'55_Codificacion_ensayo'!$A$5:$A$13,0)),"")</x:f>
        <x:v>REINICIO_REALIZADO</x:v>
      </x:c>
      <x:c r="AB27" s="12" t="str">
        <x:f>IFERROR(INDEX('55_Codificacion_ensayo'!$J$5:$J$13,MATCH(B27,'55_Codificacion_ensayo'!$A$5:$A$13,0)),"")</x:f>
        <x:v>SIN_REINICIO_COMPLETO</x:v>
      </x:c>
    </x:row>
    <x:row r="28" ht="47" customHeight="1">
      <x:c r="A28" s="4" t="str">
        <x:v>L10-03-10</x:v>
      </x:c>
      <x:c r="B28" s="4" t="str">
        <x:v>PAR-CYB-REINICIO-SISTEMA-REALIZADO-001</x:v>
      </x:c>
      <x:c r="C28" s="4" t="str">
        <x:v>EVENTO-REINICIO-COMPLETO-0.1</x:v>
      </x:c>
      <x:c r="D28" s="4" t="str">
        <x:v>COINCIDE</x:v>
      </x:c>
      <x:c r="E28" s="4" t="str">
        <x:v>LEGIBLE</x:v>
      </x:c>
      <x:c r="F28" s="4" t="str">
        <x:v>ARRANQUE_COMPLETO</x:v>
      </x:c>
      <x:c r="G28" s="4" t="str">
        <x:v>UNICA</x:v>
      </x:c>
      <x:c r="H28" s="4" t="str">
        <x:v>NINGUNO</x:v>
      </x:c>
      <x:c r="I28" s="4" t="str"/>
      <x:c r="J28" s="4" t="str">
        <x:v>PARCIAL</x:v>
      </x:c>
      <x:c r="K28" s="4" t="str">
        <x:v>ORDEN_ACREDITADO</x:v>
      </x:c>
      <x:c r="L28" s="4" t="str">
        <x:v>VALIDA</x:v>
      </x:c>
      <x:c r="M28" s="4" t="str">
        <x:v>U</x:v>
      </x:c>
      <x:c r="N28" s="4" t="str">
        <x:v>COBERTURA_INSUFICIENTE</x:v>
      </x:c>
      <x:c r="O28" s="12" t="str">
        <x:f>IF(Q28="SIN_EJECUCION_DOMINIO","FALLO_CAPTURA",IF(OR(Q28="CAPTURA_MAL_FORMADA",Q28="IDENTIDAD",Q28="OBSERVACION_MAL_FORMADA",Q28="LEXEMA_O_FORMA"),"NO_ADMISION",IF(OR(Q28="PERFIL_NO_CONSTITUIDO",Q28="RESULTADO_NO_TERMINAL"),"FUERA_PERFIL",IF(Q28="CONTEXTO_NO_CONSTITUIDO","CONFIGURACION_PENDIENTE","VALIDA"))))</x:f>
        <x:v>VALIDA</x:v>
      </x:c>
      <x:c r="P28" s="12" t="str">
        <x:f>IF(O28&lt;&gt;"VALIDA","",IF(Q28=AA28,"1",IF(Q28=AB28,"0","U")))</x:f>
        <x:v>U</x:v>
      </x:c>
      <x:c r="Q28" s="12" t="str">
        <x:f>IF(E28="FALLO","SIN_EJECUCION_DOMINIO",IF(E28&lt;&gt;"LEGIBLE","CAPTURA_MAL_FORMADA",IF(D28&lt;&gt;"COINCIDE","IDENTIDAD",IF(OR(T28="",C28&lt;&gt;T28),"PERFIL_NO_CONSTITUIDO",IF(K28&lt;&gt;V28,IF(V28="ORDEN_ACREDITADO","ORDEN_NO_ACREDITADO","CONTEXTO_NO_CONSTITUIDO"),IF(AND(G28="AUSENTE",H28="",I28=""),"DATO_AUSENTE",IF(AND(G28="CONFLICTO",H28="",I28=""),"CONFLICTO_OBSERVACIONAL",IF(G28&lt;&gt;"UNICA","OBSERVACION_MAL_FORMADA",IF(F28&lt;&gt;U28,"OBSERVACION_INSUFICIENTE",IF(W28="RESULTADO",IF(H28=X28,AA28,IF(OR(H28="orcSucceededWithErrors",H28="orcFailed",H28="orcAborted"),AB28,IF(OR(H28="orcNotStarted",H28="orcInProgress"),"RESULTADO_NO_TERMINAL","LEXEMA_O_FORMA"))),IF(W28="EVENTO_BOOT",IF(H28=X28,AA28,IF(OR(H28="NINGUNO",H28="SOLO_HIBRIDO"),IF(J28="COMPLETA",AB28,"COBERTURA_INSUFICIENTE"),"LEXEMA_O_FORMA")),IF(W28="REQUISITO_SOFT",IF(H28=X28,AA28,IF(H28=Z28,AB28,"LEXEMA_O_FORMA")),IF(W28="EVENTO_PROC",IF(H28=X28,AA28,IF(H28=Z28,IF(J28="COMPLETA",AB28,"COBERTURA_INSUFICIENTE"),"LEXEMA_O_FORMA")),IF(W28="IMAGEN",IF(AND(AND(ISTEXT(H28),LEN(("x"&amp;H28))=65,EXACT(("x"&amp;H28),LOWER(("x"&amp;H28))),ISERROR(SEARCH(" ",("x"&amp;H28))),ISERROR(SEARCH(CHAR(9),("x"&amp;H28))),ISERROR(SEARCH(CHAR(10),("x"&amp;H28))),ISERROR(SEARCH(CHAR(13),("x"&amp;H28))),IFERROR(HEX2DEC(MID(("x"&amp;H28),2,8))&gt;=0,FALSE),IFERROR(HEX2DEC(MID(("x"&amp;H28),10,8))&gt;=0,FALSE),IFERROR(HEX2DEC(MID(("x"&amp;H28),18,8))&gt;=0,FALSE),IFERROR(HEX2DEC(MID(("x"&amp;H28),26,8))&gt;=0,FALSE),IFERROR(HEX2DEC(MID(("x"&amp;H28),34,8))&gt;=0,FALSE),IFERROR(HEX2DEC(MID(("x"&amp;H28),42,8))&gt;=0,FALSE),IFERROR(HEX2DEC(MID(("x"&amp;H28),50,8))&gt;=0,FALSE),IFERROR(HEX2DEC(MID(("x"&amp;H28),58,8))&gt;=0,FALSE)),AND(ISTEXT(I28),LEN(("x"&amp;I28))=65,EXACT(("x"&amp;I28),LOWER(("x"&amp;I28))),ISERROR(SEARCH(" ",("x"&amp;I28))),ISERROR(SEARCH(CHAR(9),("x"&amp;I28))),ISERROR(SEARCH(CHAR(10),("x"&amp;I28))),ISERROR(SEARCH(CHAR(13),("x"&amp;I28))),IFERROR(HEX2DEC(MID(("x"&amp;I28),2,8))&gt;=0,FALSE),IFERROR(HEX2DEC(MID(("x"&amp;I28),10,8))&gt;=0,FALSE),IFERROR(HEX2DEC(MID(("x"&amp;I28),18,8))&gt;=0,FALSE),IFERROR(HEX2DEC(MID(("x"&amp;I28),26,8))&gt;=0,FALSE),IFERROR(HEX2DEC(MID(("x"&amp;I28),34,8))&gt;=0,FALSE),IFERROR(HEX2DEC(MID(("x"&amp;I28),42,8))&gt;=0,FALSE),IFERROR(HEX2DEC(MID(("x"&amp;I28),50,8))&gt;=0,FALSE),IFERROR(HEX2DEC(MID(("x"&amp;I28),58,8))&gt;=0,FALSE))),IF(EXACT("x"&amp;H28,"x"&amp;I28),AA28,AB28),"LEXEMA_O_FORMA"),IF(W28="PRUEBA",IF(H28=X28,AA28,IF(H28=Z28,AB28,"LEXEMA_O_FORMA")),IF(W28="RETIRADA",IF(AND(H28="NINGUNO",I28=""),IF(J28="COMPLETA",AB28,"COBERTURA_INSUFICIENTE"),IF(AND(OR(H28="uoInstallation",H28="uoUninstallation"),OR(I28="orcSucceeded",I28="orcSucceededWithErrors",I28="orcFailed",I28="orcAborted",I28="orcInProgress",I28="orcNotStarted")),IF(AND(H28=X28,I28=Y28),AA28,IF(AND(H28=X28,OR(I28="orcSucceededWithErrors",I28="orcInProgress",I28="orcNotStarted")),"RESULTADO_RETIRADA_INCIERTO",IF(J28="COMPLETA",AB28,"COBERTURA_INSUFICIENTE"))),"LEXEMA_O_FORMA")),IF(W28="CAMBIO",IF(OR(H28="CAMBIO",H28="CAMBIO_Y_RETORNO"),AA28,IF(OR(H28="NINGUNO",H28="SOLO_RENOMBRE"),IF(J28="COMPLETA",AB28,"COBERTURA_INSUFICIENTE"),"LEXEMA_O_FORMA")),IF(W28="RESTAURACION",IF(H28=X28,AA28,IF(OR(H28="NINGUNO",H28="RESTAURACION_POSTERIOR",H28="RESTAURACION_FALLIDA"),IF(J28="COMPLETA",AB28,"COBERTURA_INSUFICIENTE"),"LEXEMA_O_FORMA")),"PERFIL_NO_CONSTITUIDO"))))))))))))))))))</x:f>
        <x:v>COBERTURA_INSUFICIENTE</x:v>
      </x:c>
      <x:c r="R28" s="12" t="str">
        <x:f>IF(AND(L28=O28,M28=P28,N28=Q28),"PASA","NO_PASA")</x:f>
        <x:v>PASA</x:v>
      </x:c>
      <x:c r="S28" s="4" t="str">
        <x:v>Ningún evento encontrado en cobertura parcial: U, no 0.</x:v>
      </x:c>
      <x:c r="T28" s="12" t="str">
        <x:f>IFERROR(INDEX('55_Codificacion_ensayo'!$B$5:$B$13,MATCH(B28,'55_Codificacion_ensayo'!$A$5:$A$13,0)),"")</x:f>
        <x:v>EVENTO-REINICIO-COMPLETO-0.1</x:v>
      </x:c>
      <x:c r="U28" s="12" t="str">
        <x:f>IFERROR(INDEX('55_Codificacion_ensayo'!$C$5:$C$13,MATCH(B28,'55_Codificacion_ensayo'!$A$5:$A$13,0)),"")</x:f>
        <x:v>ARRANQUE_COMPLETO</x:v>
      </x:c>
      <x:c r="V28" s="12" t="str">
        <x:f>IFERROR(INDEX('55_Codificacion_ensayo'!$D$5:$D$13,MATCH(B28,'55_Codificacion_ensayo'!$A$5:$A$13,0)),"")</x:f>
        <x:v>ORDEN_ACREDITADO</x:v>
      </x:c>
      <x:c r="W28" s="12" t="str">
        <x:f>IFERROR(INDEX('55_Codificacion_ensayo'!$E$5:$E$13,MATCH(B28,'55_Codificacion_ensayo'!$A$5:$A$13,0)),"")</x:f>
        <x:v>EVENTO_BOOT</x:v>
      </x:c>
      <x:c r="X28" s="12" t="str">
        <x:f>IFERROR(INDEX('55_Codificacion_ensayo'!$F$5:$F$13,MATCH(B28,'55_Codificacion_ensayo'!$A$5:$A$13,0)),"")</x:f>
        <x:v>REINICIO_COMPLETO</x:v>
      </x:c>
      <x:c r="Y28" s="12" t="str">
        <x:f>IFERROR(INDEX('55_Codificacion_ensayo'!$G$5:$G$13,MATCH(B28,'55_Codificacion_ensayo'!$A$5:$A$13,0)),"")</x:f>
      </x:c>
      <x:c r="Z28" s="12" t="str">
        <x:f>IFERROR(INDEX('55_Codificacion_ensayo'!$H$5:$H$13,MATCH(B28,'55_Codificacion_ensayo'!$A$5:$A$13,0)),"")</x:f>
        <x:v>NINGUNO</x:v>
      </x:c>
      <x:c r="AA28" s="12" t="str">
        <x:f>IFERROR(INDEX('55_Codificacion_ensayo'!$I$5:$I$13,MATCH(B28,'55_Codificacion_ensayo'!$A$5:$A$13,0)),"")</x:f>
        <x:v>REINICIO_REALIZADO</x:v>
      </x:c>
      <x:c r="AB28" s="12" t="str">
        <x:f>IFERROR(INDEX('55_Codificacion_ensayo'!$J$5:$J$13,MATCH(B28,'55_Codificacion_ensayo'!$A$5:$A$13,0)),"")</x:f>
        <x:v>SIN_REINICIO_COMPLETO</x:v>
      </x:c>
    </x:row>
    <x:row r="29" ht="47" customHeight="1">
      <x:c r="A29" s="4" t="str">
        <x:v>L10-03-11</x:v>
      </x:c>
      <x:c r="B29" s="4" t="str">
        <x:v>PAR-CYB-REINICIO-SISTEMA-REALIZADO-001</x:v>
      </x:c>
      <x:c r="C29" s="4" t="str">
        <x:v>EVENTO-REINICIO-COMPLETO-0.1</x:v>
      </x:c>
      <x:c r="D29" s="4" t="str">
        <x:v>COINCIDE</x:v>
      </x:c>
      <x:c r="E29" s="4" t="str">
        <x:v>LEGIBLE</x:v>
      </x:c>
      <x:c r="F29" s="4" t="str">
        <x:v>ARRANQUE_COMPLETO</x:v>
      </x:c>
      <x:c r="G29" s="4" t="str">
        <x:v>UNICA</x:v>
      </x:c>
      <x:c r="H29" s="4" t="str">
        <x:v>REINICIO_COMPLETO</x:v>
      </x:c>
      <x:c r="I29" s="4" t="str"/>
      <x:c r="J29" s="4" t="str">
        <x:v>PARCIAL</x:v>
      </x:c>
      <x:c r="K29" s="4" t="str">
        <x:v>ORDEN_ACREDITADO</x:v>
      </x:c>
      <x:c r="L29" s="4" t="str">
        <x:v>VALIDA</x:v>
      </x:c>
      <x:c r="M29" s="4" t="str">
        <x:v>1</x:v>
      </x:c>
      <x:c r="N29" s="4" t="str">
        <x:v>REINICIO_REALIZADO</x:v>
      </x:c>
      <x:c r="O29" s="12" t="str">
        <x:f>IF(Q29="SIN_EJECUCION_DOMINIO","FALLO_CAPTURA",IF(OR(Q29="CAPTURA_MAL_FORMADA",Q29="IDENTIDAD",Q29="OBSERVACION_MAL_FORMADA",Q29="LEXEMA_O_FORMA"),"NO_ADMISION",IF(OR(Q29="PERFIL_NO_CONSTITUIDO",Q29="RESULTADO_NO_TERMINAL"),"FUERA_PERFIL",IF(Q29="CONTEXTO_NO_CONSTITUIDO","CONFIGURACION_PENDIENTE","VALIDA"))))</x:f>
        <x:v>VALIDA</x:v>
      </x:c>
      <x:c r="P29" s="12" t="str">
        <x:f>IF(O29&lt;&gt;"VALIDA","",IF(Q29=AA29,"1",IF(Q29=AB29,"0","U")))</x:f>
        <x:v>1</x:v>
      </x:c>
      <x:c r="Q29" s="12" t="str">
        <x:f>IF(E29="FALLO","SIN_EJECUCION_DOMINIO",IF(E29&lt;&gt;"LEGIBLE","CAPTURA_MAL_FORMADA",IF(D29&lt;&gt;"COINCIDE","IDENTIDAD",IF(OR(T29="",C29&lt;&gt;T29),"PERFIL_NO_CONSTITUIDO",IF(K29&lt;&gt;V29,IF(V29="ORDEN_ACREDITADO","ORDEN_NO_ACREDITADO","CONTEXTO_NO_CONSTITUIDO"),IF(AND(G29="AUSENTE",H29="",I29=""),"DATO_AUSENTE",IF(AND(G29="CONFLICTO",H29="",I29=""),"CONFLICTO_OBSERVACIONAL",IF(G29&lt;&gt;"UNICA","OBSERVACION_MAL_FORMADA",IF(F29&lt;&gt;U29,"OBSERVACION_INSUFICIENTE",IF(W29="RESULTADO",IF(H29=X29,AA29,IF(OR(H29="orcSucceededWithErrors",H29="orcFailed",H29="orcAborted"),AB29,IF(OR(H29="orcNotStarted",H29="orcInProgress"),"RESULTADO_NO_TERMINAL","LEXEMA_O_FORMA"))),IF(W29="EVENTO_BOOT",IF(H29=X29,AA29,IF(OR(H29="NINGUNO",H29="SOLO_HIBRIDO"),IF(J29="COMPLETA",AB29,"COBERTURA_INSUFICIENTE"),"LEXEMA_O_FORMA")),IF(W29="REQUISITO_SOFT",IF(H29=X29,AA29,IF(H29=Z29,AB29,"LEXEMA_O_FORMA")),IF(W29="EVENTO_PROC",IF(H29=X29,AA29,IF(H29=Z29,IF(J29="COMPLETA",AB29,"COBERTURA_INSUFICIENTE"),"LEXEMA_O_FORMA")),IF(W29="IMAGEN",IF(AND(AND(ISTEXT(H29),LEN(("x"&amp;H29))=65,EXACT(("x"&amp;H29),LOWER(("x"&amp;H29))),ISERROR(SEARCH(" ",("x"&amp;H29))),ISERROR(SEARCH(CHAR(9),("x"&amp;H29))),ISERROR(SEARCH(CHAR(10),("x"&amp;H29))),ISERROR(SEARCH(CHAR(13),("x"&amp;H29))),IFERROR(HEX2DEC(MID(("x"&amp;H29),2,8))&gt;=0,FALSE),IFERROR(HEX2DEC(MID(("x"&amp;H29),10,8))&gt;=0,FALSE),IFERROR(HEX2DEC(MID(("x"&amp;H29),18,8))&gt;=0,FALSE),IFERROR(HEX2DEC(MID(("x"&amp;H29),26,8))&gt;=0,FALSE),IFERROR(HEX2DEC(MID(("x"&amp;H29),34,8))&gt;=0,FALSE),IFERROR(HEX2DEC(MID(("x"&amp;H29),42,8))&gt;=0,FALSE),IFERROR(HEX2DEC(MID(("x"&amp;H29),50,8))&gt;=0,FALSE),IFERROR(HEX2DEC(MID(("x"&amp;H29),58,8))&gt;=0,FALSE)),AND(ISTEXT(I29),LEN(("x"&amp;I29))=65,EXACT(("x"&amp;I29),LOWER(("x"&amp;I29))),ISERROR(SEARCH(" ",("x"&amp;I29))),ISERROR(SEARCH(CHAR(9),("x"&amp;I29))),ISERROR(SEARCH(CHAR(10),("x"&amp;I29))),ISERROR(SEARCH(CHAR(13),("x"&amp;I29))),IFERROR(HEX2DEC(MID(("x"&amp;I29),2,8))&gt;=0,FALSE),IFERROR(HEX2DEC(MID(("x"&amp;I29),10,8))&gt;=0,FALSE),IFERROR(HEX2DEC(MID(("x"&amp;I29),18,8))&gt;=0,FALSE),IFERROR(HEX2DEC(MID(("x"&amp;I29),26,8))&gt;=0,FALSE),IFERROR(HEX2DEC(MID(("x"&amp;I29),34,8))&gt;=0,FALSE),IFERROR(HEX2DEC(MID(("x"&amp;I29),42,8))&gt;=0,FALSE),IFERROR(HEX2DEC(MID(("x"&amp;I29),50,8))&gt;=0,FALSE),IFERROR(HEX2DEC(MID(("x"&amp;I29),58,8))&gt;=0,FALSE))),IF(EXACT("x"&amp;H29,"x"&amp;I29),AA29,AB29),"LEXEMA_O_FORMA"),IF(W29="PRUEBA",IF(H29=X29,AA29,IF(H29=Z29,AB29,"LEXEMA_O_FORMA")),IF(W29="RETIRADA",IF(AND(H29="NINGUNO",I29=""),IF(J29="COMPLETA",AB29,"COBERTURA_INSUFICIENTE"),IF(AND(OR(H29="uoInstallation",H29="uoUninstallation"),OR(I29="orcSucceeded",I29="orcSucceededWithErrors",I29="orcFailed",I29="orcAborted",I29="orcInProgress",I29="orcNotStarted")),IF(AND(H29=X29,I29=Y29),AA29,IF(AND(H29=X29,OR(I29="orcSucceededWithErrors",I29="orcInProgress",I29="orcNotStarted")),"RESULTADO_RETIRADA_INCIERTO",IF(J29="COMPLETA",AB29,"COBERTURA_INSUFICIENTE"))),"LEXEMA_O_FORMA")),IF(W29="CAMBIO",IF(OR(H29="CAMBIO",H29="CAMBIO_Y_RETORNO"),AA29,IF(OR(H29="NINGUNO",H29="SOLO_RENOMBRE"),IF(J29="COMPLETA",AB29,"COBERTURA_INSUFICIENTE"),"LEXEMA_O_FORMA")),IF(W29="RESTAURACION",IF(H29=X29,AA29,IF(OR(H29="NINGUNO",H29="RESTAURACION_POSTERIOR",H29="RESTAURACION_FALLIDA"),IF(J29="COMPLETA",AB29,"COBERTURA_INSUFICIENTE"),"LEXEMA_O_FORMA")),"PERFIL_NO_CONSTITUIDO"))))))))))))))))))</x:f>
        <x:v>REINICIO_REALIZADO</x:v>
      </x:c>
      <x:c r="R29" s="12" t="str">
        <x:f>IF(AND(L29=O29,M29=P29,N29=Q29),"PASA","NO_PASA")</x:f>
        <x:v>PASA</x:v>
      </x:c>
      <x:c r="S29" s="4" t="str">
        <x:v>Un testigo positivo acredita existencia aunque la historia restante sea parcial.</x:v>
      </x:c>
      <x:c r="T29" s="12" t="str">
        <x:f>IFERROR(INDEX('55_Codificacion_ensayo'!$B$5:$B$13,MATCH(B29,'55_Codificacion_ensayo'!$A$5:$A$13,0)),"")</x:f>
        <x:v>EVENTO-REINICIO-COMPLETO-0.1</x:v>
      </x:c>
      <x:c r="U29" s="12" t="str">
        <x:f>IFERROR(INDEX('55_Codificacion_ensayo'!$C$5:$C$13,MATCH(B29,'55_Codificacion_ensayo'!$A$5:$A$13,0)),"")</x:f>
        <x:v>ARRANQUE_COMPLETO</x:v>
      </x:c>
      <x:c r="V29" s="12" t="str">
        <x:f>IFERROR(INDEX('55_Codificacion_ensayo'!$D$5:$D$13,MATCH(B29,'55_Codificacion_ensayo'!$A$5:$A$13,0)),"")</x:f>
        <x:v>ORDEN_ACREDITADO</x:v>
      </x:c>
      <x:c r="W29" s="12" t="str">
        <x:f>IFERROR(INDEX('55_Codificacion_ensayo'!$E$5:$E$13,MATCH(B29,'55_Codificacion_ensayo'!$A$5:$A$13,0)),"")</x:f>
        <x:v>EVENTO_BOOT</x:v>
      </x:c>
      <x:c r="X29" s="12" t="str">
        <x:f>IFERROR(INDEX('55_Codificacion_ensayo'!$F$5:$F$13,MATCH(B29,'55_Codificacion_ensayo'!$A$5:$A$13,0)),"")</x:f>
        <x:v>REINICIO_COMPLETO</x:v>
      </x:c>
      <x:c r="Y29" s="12" t="str">
        <x:f>IFERROR(INDEX('55_Codificacion_ensayo'!$G$5:$G$13,MATCH(B29,'55_Codificacion_ensayo'!$A$5:$A$13,0)),"")</x:f>
      </x:c>
      <x:c r="Z29" s="12" t="str">
        <x:f>IFERROR(INDEX('55_Codificacion_ensayo'!$H$5:$H$13,MATCH(B29,'55_Codificacion_ensayo'!$A$5:$A$13,0)),"")</x:f>
        <x:v>NINGUNO</x:v>
      </x:c>
      <x:c r="AA29" s="12" t="str">
        <x:f>IFERROR(INDEX('55_Codificacion_ensayo'!$I$5:$I$13,MATCH(B29,'55_Codificacion_ensayo'!$A$5:$A$13,0)),"")</x:f>
        <x:v>REINICIO_REALIZADO</x:v>
      </x:c>
      <x:c r="AB29" s="12" t="str">
        <x:f>IFERROR(INDEX('55_Codificacion_ensayo'!$J$5:$J$13,MATCH(B29,'55_Codificacion_ensayo'!$A$5:$A$13,0)),"")</x:f>
        <x:v>SIN_REINICIO_COMPLETO</x:v>
      </x:c>
    </x:row>
    <x:row r="30" ht="47" customHeight="1">
      <x:c r="A30" s="4" t="str">
        <x:v>L10-03-12</x:v>
      </x:c>
      <x:c r="B30" s="4" t="str">
        <x:v>PAR-CYB-REINICIO-SISTEMA-REALIZADO-001</x:v>
      </x:c>
      <x:c r="C30" s="4" t="str">
        <x:v>EVENTO-REINICIO-COMPLETO-0.1</x:v>
      </x:c>
      <x:c r="D30" s="4" t="str">
        <x:v>COINCIDE</x:v>
      </x:c>
      <x:c r="E30" s="4" t="str">
        <x:v>LEGIBLE</x:v>
      </x:c>
      <x:c r="F30" s="4" t="str">
        <x:v>ARRANQUE_COMPLETO</x:v>
      </x:c>
      <x:c r="G30" s="4" t="str">
        <x:v>UNICA</x:v>
      </x:c>
      <x:c r="H30" s="4" t="str">
        <x:v>REINICIO_COMPLETO</x:v>
      </x:c>
      <x:c r="I30" s="4" t="str"/>
      <x:c r="J30" s="4" t="str">
        <x:v>COMPLETA</x:v>
      </x:c>
      <x:c r="K30" s="4" t="str">
        <x:v>ORDEN_INCIERTO</x:v>
      </x:c>
      <x:c r="L30" s="4" t="str">
        <x:v>VALIDA</x:v>
      </x:c>
      <x:c r="M30" s="4" t="str">
        <x:v>U</x:v>
      </x:c>
      <x:c r="N30" s="4" t="str">
        <x:v>ORDEN_NO_ACREDITADO</x:v>
      </x:c>
      <x:c r="O30" s="12" t="str">
        <x:f>IF(Q30="SIN_EJECUCION_DOMINIO","FALLO_CAPTURA",IF(OR(Q30="CAPTURA_MAL_FORMADA",Q30="IDENTIDAD",Q30="OBSERVACION_MAL_FORMADA",Q30="LEXEMA_O_FORMA"),"NO_ADMISION",IF(OR(Q30="PERFIL_NO_CONSTITUIDO",Q30="RESULTADO_NO_TERMINAL"),"FUERA_PERFIL",IF(Q30="CONTEXTO_NO_CONSTITUIDO","CONFIGURACION_PENDIENTE","VALIDA"))))</x:f>
        <x:v>VALIDA</x:v>
      </x:c>
      <x:c r="P30" s="12" t="str">
        <x:f>IF(O30&lt;&gt;"VALIDA","",IF(Q30=AA30,"1",IF(Q30=AB30,"0","U")))</x:f>
        <x:v>U</x:v>
      </x:c>
      <x:c r="Q30" s="12" t="str">
        <x:f>IF(E30="FALLO","SIN_EJECUCION_DOMINIO",IF(E30&lt;&gt;"LEGIBLE","CAPTURA_MAL_FORMADA",IF(D30&lt;&gt;"COINCIDE","IDENTIDAD",IF(OR(T30="",C30&lt;&gt;T30),"PERFIL_NO_CONSTITUIDO",IF(K30&lt;&gt;V30,IF(V30="ORDEN_ACREDITADO","ORDEN_NO_ACREDITADO","CONTEXTO_NO_CONSTITUIDO"),IF(AND(G30="AUSENTE",H30="",I30=""),"DATO_AUSENTE",IF(AND(G30="CONFLICTO",H30="",I30=""),"CONFLICTO_OBSERVACIONAL",IF(G30&lt;&gt;"UNICA","OBSERVACION_MAL_FORMADA",IF(F30&lt;&gt;U30,"OBSERVACION_INSUFICIENTE",IF(W30="RESULTADO",IF(H30=X30,AA30,IF(OR(H30="orcSucceededWithErrors",H30="orcFailed",H30="orcAborted"),AB30,IF(OR(H30="orcNotStarted",H30="orcInProgress"),"RESULTADO_NO_TERMINAL","LEXEMA_O_FORMA"))),IF(W30="EVENTO_BOOT",IF(H30=X30,AA30,IF(OR(H30="NINGUNO",H30="SOLO_HIBRIDO"),IF(J30="COMPLETA",AB30,"COBERTURA_INSUFICIENTE"),"LEXEMA_O_FORMA")),IF(W30="REQUISITO_SOFT",IF(H30=X30,AA30,IF(H30=Z30,AB30,"LEXEMA_O_FORMA")),IF(W30="EVENTO_PROC",IF(H30=X30,AA30,IF(H30=Z30,IF(J30="COMPLETA",AB30,"COBERTURA_INSUFICIENTE"),"LEXEMA_O_FORMA")),IF(W30="IMAGEN",IF(AND(AND(ISTEXT(H30),LEN(("x"&amp;H30))=65,EXACT(("x"&amp;H30),LOWER(("x"&amp;H30))),ISERROR(SEARCH(" ",("x"&amp;H30))),ISERROR(SEARCH(CHAR(9),("x"&amp;H30))),ISERROR(SEARCH(CHAR(10),("x"&amp;H30))),ISERROR(SEARCH(CHAR(13),("x"&amp;H30))),IFERROR(HEX2DEC(MID(("x"&amp;H30),2,8))&gt;=0,FALSE),IFERROR(HEX2DEC(MID(("x"&amp;H30),10,8))&gt;=0,FALSE),IFERROR(HEX2DEC(MID(("x"&amp;H30),18,8))&gt;=0,FALSE),IFERROR(HEX2DEC(MID(("x"&amp;H30),26,8))&gt;=0,FALSE),IFERROR(HEX2DEC(MID(("x"&amp;H30),34,8))&gt;=0,FALSE),IFERROR(HEX2DEC(MID(("x"&amp;H30),42,8))&gt;=0,FALSE),IFERROR(HEX2DEC(MID(("x"&amp;H30),50,8))&gt;=0,FALSE),IFERROR(HEX2DEC(MID(("x"&amp;H30),58,8))&gt;=0,FALSE)),AND(ISTEXT(I30),LEN(("x"&amp;I30))=65,EXACT(("x"&amp;I30),LOWER(("x"&amp;I30))),ISERROR(SEARCH(" ",("x"&amp;I30))),ISERROR(SEARCH(CHAR(9),("x"&amp;I30))),ISERROR(SEARCH(CHAR(10),("x"&amp;I30))),ISERROR(SEARCH(CHAR(13),("x"&amp;I30))),IFERROR(HEX2DEC(MID(("x"&amp;I30),2,8))&gt;=0,FALSE),IFERROR(HEX2DEC(MID(("x"&amp;I30),10,8))&gt;=0,FALSE),IFERROR(HEX2DEC(MID(("x"&amp;I30),18,8))&gt;=0,FALSE),IFERROR(HEX2DEC(MID(("x"&amp;I30),26,8))&gt;=0,FALSE),IFERROR(HEX2DEC(MID(("x"&amp;I30),34,8))&gt;=0,FALSE),IFERROR(HEX2DEC(MID(("x"&amp;I30),42,8))&gt;=0,FALSE),IFERROR(HEX2DEC(MID(("x"&amp;I30),50,8))&gt;=0,FALSE),IFERROR(HEX2DEC(MID(("x"&amp;I30),58,8))&gt;=0,FALSE))),IF(EXACT("x"&amp;H30,"x"&amp;I30),AA30,AB30),"LEXEMA_O_FORMA"),IF(W30="PRUEBA",IF(H30=X30,AA30,IF(H30=Z30,AB30,"LEXEMA_O_FORMA")),IF(W30="RETIRADA",IF(AND(H30="NINGUNO",I30=""),IF(J30="COMPLETA",AB30,"COBERTURA_INSUFICIENTE"),IF(AND(OR(H30="uoInstallation",H30="uoUninstallation"),OR(I30="orcSucceeded",I30="orcSucceededWithErrors",I30="orcFailed",I30="orcAborted",I30="orcInProgress",I30="orcNotStarted")),IF(AND(H30=X30,I30=Y30),AA30,IF(AND(H30=X30,OR(I30="orcSucceededWithErrors",I30="orcInProgress",I30="orcNotStarted")),"RESULTADO_RETIRADA_INCIERTO",IF(J30="COMPLETA",AB30,"COBERTURA_INSUFICIENTE"))),"LEXEMA_O_FORMA")),IF(W30="CAMBIO",IF(OR(H30="CAMBIO",H30="CAMBIO_Y_RETORNO"),AA30,IF(OR(H30="NINGUNO",H30="SOLO_RENOMBRE"),IF(J30="COMPLETA",AB30,"COBERTURA_INSUFICIENTE"),"LEXEMA_O_FORMA")),IF(W30="RESTAURACION",IF(H30=X30,AA30,IF(OR(H30="NINGUNO",H30="RESTAURACION_POSTERIOR",H30="RESTAURACION_FALLIDA"),IF(J30="COMPLETA",AB30,"COBERTURA_INSUFICIENTE"),"LEXEMA_O_FORMA")),"PERFIL_NO_CONSTITUIDO"))))))))))))))))))</x:f>
        <x:v>ORDEN_NO_ACREDITADO</x:v>
      </x:c>
      <x:c r="R30" s="12" t="str">
        <x:f>IF(AND(L30=O30,M30=P30,N30=Q30),"PASA","NO_PASA")</x:f>
        <x:v>PASA</x:v>
      </x:c>
      <x:c r="S30" s="4" t="str">
        <x:v>El orden no está acreditado; la mera fecha no prueba posterioridad.</x:v>
      </x:c>
      <x:c r="T30" s="12" t="str">
        <x:f>IFERROR(INDEX('55_Codificacion_ensayo'!$B$5:$B$13,MATCH(B30,'55_Codificacion_ensayo'!$A$5:$A$13,0)),"")</x:f>
        <x:v>EVENTO-REINICIO-COMPLETO-0.1</x:v>
      </x:c>
      <x:c r="U30" s="12" t="str">
        <x:f>IFERROR(INDEX('55_Codificacion_ensayo'!$C$5:$C$13,MATCH(B30,'55_Codificacion_ensayo'!$A$5:$A$13,0)),"")</x:f>
        <x:v>ARRANQUE_COMPLETO</x:v>
      </x:c>
      <x:c r="V30" s="12" t="str">
        <x:f>IFERROR(INDEX('55_Codificacion_ensayo'!$D$5:$D$13,MATCH(B30,'55_Codificacion_ensayo'!$A$5:$A$13,0)),"")</x:f>
        <x:v>ORDEN_ACREDITADO</x:v>
      </x:c>
      <x:c r="W30" s="12" t="str">
        <x:f>IFERROR(INDEX('55_Codificacion_ensayo'!$E$5:$E$13,MATCH(B30,'55_Codificacion_ensayo'!$A$5:$A$13,0)),"")</x:f>
        <x:v>EVENTO_BOOT</x:v>
      </x:c>
      <x:c r="X30" s="12" t="str">
        <x:f>IFERROR(INDEX('55_Codificacion_ensayo'!$F$5:$F$13,MATCH(B30,'55_Codificacion_ensayo'!$A$5:$A$13,0)),"")</x:f>
        <x:v>REINICIO_COMPLETO</x:v>
      </x:c>
      <x:c r="Y30" s="12" t="str">
        <x:f>IFERROR(INDEX('55_Codificacion_ensayo'!$G$5:$G$13,MATCH(B30,'55_Codificacion_ensayo'!$A$5:$A$13,0)),"")</x:f>
      </x:c>
      <x:c r="Z30" s="12" t="str">
        <x:f>IFERROR(INDEX('55_Codificacion_ensayo'!$H$5:$H$13,MATCH(B30,'55_Codificacion_ensayo'!$A$5:$A$13,0)),"")</x:f>
        <x:v>NINGUNO</x:v>
      </x:c>
      <x:c r="AA30" s="12" t="str">
        <x:f>IFERROR(INDEX('55_Codificacion_ensayo'!$I$5:$I$13,MATCH(B30,'55_Codificacion_ensayo'!$A$5:$A$13,0)),"")</x:f>
        <x:v>REINICIO_REALIZADO</x:v>
      </x:c>
      <x:c r="AB30" s="12" t="str">
        <x:f>IFERROR(INDEX('55_Codificacion_ensayo'!$J$5:$J$13,MATCH(B30,'55_Codificacion_ensayo'!$A$5:$A$13,0)),"")</x:f>
        <x:v>SIN_REINICIO_COMPLETO</x:v>
      </x:c>
    </x:row>
    <x:row r="31" ht="47" customHeight="1">
      <x:c r="A31" s="4" t="str">
        <x:v>L10-03-13</x:v>
      </x:c>
      <x:c r="B31" s="4" t="str">
        <x:v>PAR-CYB-REINICIO-SISTEMA-REALIZADO-001</x:v>
      </x:c>
      <x:c r="C31" s="4" t="str">
        <x:v>EVENTO-REINICIO-COMPLETO-0.1</x:v>
      </x:c>
      <x:c r="D31" s="4" t="str">
        <x:v>COINCIDE</x:v>
      </x:c>
      <x:c r="E31" s="4" t="str">
        <x:v>LEGIBLE</x:v>
      </x:c>
      <x:c r="F31" s="4" t="str">
        <x:v>ARRANQUE_COMPLETO</x:v>
      </x:c>
      <x:c r="G31" s="4" t="str">
        <x:v>UNICA</x:v>
      </x:c>
      <x:c r="H31" s="4" t="str">
        <x:v>SOLO_HIBRIDO</x:v>
      </x:c>
      <x:c r="I31" s="4" t="str"/>
      <x:c r="J31" s="4" t="str">
        <x:v>COMPLETA</x:v>
      </x:c>
      <x:c r="K31" s="4" t="str">
        <x:v>ORDEN_ACREDITADO</x:v>
      </x:c>
      <x:c r="L31" s="4" t="str">
        <x:v>VALIDA</x:v>
      </x:c>
      <x:c r="M31" s="4" t="str">
        <x:v>0</x:v>
      </x:c>
      <x:c r="N31" s="4" t="str">
        <x:v>SIN_REINICIO_COMPLETO</x:v>
      </x:c>
      <x:c r="O31" s="12" t="str">
        <x:f>IF(Q31="SIN_EJECUCION_DOMINIO","FALLO_CAPTURA",IF(OR(Q31="CAPTURA_MAL_FORMADA",Q31="IDENTIDAD",Q31="OBSERVACION_MAL_FORMADA",Q31="LEXEMA_O_FORMA"),"NO_ADMISION",IF(OR(Q31="PERFIL_NO_CONSTITUIDO",Q31="RESULTADO_NO_TERMINAL"),"FUERA_PERFIL",IF(Q31="CONTEXTO_NO_CONSTITUIDO","CONFIGURACION_PENDIENTE","VALIDA"))))</x:f>
        <x:v>VALIDA</x:v>
      </x:c>
      <x:c r="P31" s="12" t="str">
        <x:f>IF(O31&lt;&gt;"VALIDA","",IF(Q31=AA31,"1",IF(Q31=AB31,"0","U")))</x:f>
        <x:v>0</x:v>
      </x:c>
      <x:c r="Q31" s="12" t="str">
        <x:f>IF(E31="FALLO","SIN_EJECUCION_DOMINIO",IF(E31&lt;&gt;"LEGIBLE","CAPTURA_MAL_FORMADA",IF(D31&lt;&gt;"COINCIDE","IDENTIDAD",IF(OR(T31="",C31&lt;&gt;T31),"PERFIL_NO_CONSTITUIDO",IF(K31&lt;&gt;V31,IF(V31="ORDEN_ACREDITADO","ORDEN_NO_ACREDITADO","CONTEXTO_NO_CONSTITUIDO"),IF(AND(G31="AUSENTE",H31="",I31=""),"DATO_AUSENTE",IF(AND(G31="CONFLICTO",H31="",I31=""),"CONFLICTO_OBSERVACIONAL",IF(G31&lt;&gt;"UNICA","OBSERVACION_MAL_FORMADA",IF(F31&lt;&gt;U31,"OBSERVACION_INSUFICIENTE",IF(W31="RESULTADO",IF(H31=X31,AA31,IF(OR(H31="orcSucceededWithErrors",H31="orcFailed",H31="orcAborted"),AB31,IF(OR(H31="orcNotStarted",H31="orcInProgress"),"RESULTADO_NO_TERMINAL","LEXEMA_O_FORMA"))),IF(W31="EVENTO_BOOT",IF(H31=X31,AA31,IF(OR(H31="NINGUNO",H31="SOLO_HIBRIDO"),IF(J31="COMPLETA",AB31,"COBERTURA_INSUFICIENTE"),"LEXEMA_O_FORMA")),IF(W31="REQUISITO_SOFT",IF(H31=X31,AA31,IF(H31=Z31,AB31,"LEXEMA_O_FORMA")),IF(W31="EVENTO_PROC",IF(H31=X31,AA31,IF(H31=Z31,IF(J31="COMPLETA",AB31,"COBERTURA_INSUFICIENTE"),"LEXEMA_O_FORMA")),IF(W31="IMAGEN",IF(AND(AND(ISTEXT(H31),LEN(("x"&amp;H31))=65,EXACT(("x"&amp;H31),LOWER(("x"&amp;H31))),ISERROR(SEARCH(" ",("x"&amp;H31))),ISERROR(SEARCH(CHAR(9),("x"&amp;H31))),ISERROR(SEARCH(CHAR(10),("x"&amp;H31))),ISERROR(SEARCH(CHAR(13),("x"&amp;H31))),IFERROR(HEX2DEC(MID(("x"&amp;H31),2,8))&gt;=0,FALSE),IFERROR(HEX2DEC(MID(("x"&amp;H31),10,8))&gt;=0,FALSE),IFERROR(HEX2DEC(MID(("x"&amp;H31),18,8))&gt;=0,FALSE),IFERROR(HEX2DEC(MID(("x"&amp;H31),26,8))&gt;=0,FALSE),IFERROR(HEX2DEC(MID(("x"&amp;H31),34,8))&gt;=0,FALSE),IFERROR(HEX2DEC(MID(("x"&amp;H31),42,8))&gt;=0,FALSE),IFERROR(HEX2DEC(MID(("x"&amp;H31),50,8))&gt;=0,FALSE),IFERROR(HEX2DEC(MID(("x"&amp;H31),58,8))&gt;=0,FALSE)),AND(ISTEXT(I31),LEN(("x"&amp;I31))=65,EXACT(("x"&amp;I31),LOWER(("x"&amp;I31))),ISERROR(SEARCH(" ",("x"&amp;I31))),ISERROR(SEARCH(CHAR(9),("x"&amp;I31))),ISERROR(SEARCH(CHAR(10),("x"&amp;I31))),ISERROR(SEARCH(CHAR(13),("x"&amp;I31))),IFERROR(HEX2DEC(MID(("x"&amp;I31),2,8))&gt;=0,FALSE),IFERROR(HEX2DEC(MID(("x"&amp;I31),10,8))&gt;=0,FALSE),IFERROR(HEX2DEC(MID(("x"&amp;I31),18,8))&gt;=0,FALSE),IFERROR(HEX2DEC(MID(("x"&amp;I31),26,8))&gt;=0,FALSE),IFERROR(HEX2DEC(MID(("x"&amp;I31),34,8))&gt;=0,FALSE),IFERROR(HEX2DEC(MID(("x"&amp;I31),42,8))&gt;=0,FALSE),IFERROR(HEX2DEC(MID(("x"&amp;I31),50,8))&gt;=0,FALSE),IFERROR(HEX2DEC(MID(("x"&amp;I31),58,8))&gt;=0,FALSE))),IF(EXACT("x"&amp;H31,"x"&amp;I31),AA31,AB31),"LEXEMA_O_FORMA"),IF(W31="PRUEBA",IF(H31=X31,AA31,IF(H31=Z31,AB31,"LEXEMA_O_FORMA")),IF(W31="RETIRADA",IF(AND(H31="NINGUNO",I31=""),IF(J31="COMPLETA",AB31,"COBERTURA_INSUFICIENTE"),IF(AND(OR(H31="uoInstallation",H31="uoUninstallation"),OR(I31="orcSucceeded",I31="orcSucceededWithErrors",I31="orcFailed",I31="orcAborted",I31="orcInProgress",I31="orcNotStarted")),IF(AND(H31=X31,I31=Y31),AA31,IF(AND(H31=X31,OR(I31="orcSucceededWithErrors",I31="orcInProgress",I31="orcNotStarted")),"RESULTADO_RETIRADA_INCIERTO",IF(J31="COMPLETA",AB31,"COBERTURA_INSUFICIENTE"))),"LEXEMA_O_FORMA")),IF(W31="CAMBIO",IF(OR(H31="CAMBIO",H31="CAMBIO_Y_RETORNO"),AA31,IF(OR(H31="NINGUNO",H31="SOLO_RENOMBRE"),IF(J31="COMPLETA",AB31,"COBERTURA_INSUFICIENTE"),"LEXEMA_O_FORMA")),IF(W31="RESTAURACION",IF(H31=X31,AA31,IF(OR(H31="NINGUNO",H31="RESTAURACION_POSTERIOR",H31="RESTAURACION_FALLIDA"),IF(J31="COMPLETA",AB31,"COBERTURA_INSUFICIENTE"),"LEXEMA_O_FORMA")),"PERFIL_NO_CONSTITUIDO"))))))))))))))))))</x:f>
        <x:v>SIN_REINICIO_COMPLETO</x:v>
      </x:c>
      <x:c r="R31" s="12" t="str">
        <x:f>IF(AND(L31=O31,M31=P31,N31=Q31),"PASA","NO_PASA")</x:f>
        <x:v>PASA</x:v>
      </x:c>
      <x:c r="S31" s="4" t="str">
        <x:v>Sólo Fast Startup en una historia completa no constituye reinicio íntegro.</x:v>
      </x:c>
      <x:c r="T31" s="12" t="str">
        <x:f>IFERROR(INDEX('55_Codificacion_ensayo'!$B$5:$B$13,MATCH(B31,'55_Codificacion_ensayo'!$A$5:$A$13,0)),"")</x:f>
        <x:v>EVENTO-REINICIO-COMPLETO-0.1</x:v>
      </x:c>
      <x:c r="U31" s="12" t="str">
        <x:f>IFERROR(INDEX('55_Codificacion_ensayo'!$C$5:$C$13,MATCH(B31,'55_Codificacion_ensayo'!$A$5:$A$13,0)),"")</x:f>
        <x:v>ARRANQUE_COMPLETO</x:v>
      </x:c>
      <x:c r="V31" s="12" t="str">
        <x:f>IFERROR(INDEX('55_Codificacion_ensayo'!$D$5:$D$13,MATCH(B31,'55_Codificacion_ensayo'!$A$5:$A$13,0)),"")</x:f>
        <x:v>ORDEN_ACREDITADO</x:v>
      </x:c>
      <x:c r="W31" s="12" t="str">
        <x:f>IFERROR(INDEX('55_Codificacion_ensayo'!$E$5:$E$13,MATCH(B31,'55_Codificacion_ensayo'!$A$5:$A$13,0)),"")</x:f>
        <x:v>EVENTO_BOOT</x:v>
      </x:c>
      <x:c r="X31" s="12" t="str">
        <x:f>IFERROR(INDEX('55_Codificacion_ensayo'!$F$5:$F$13,MATCH(B31,'55_Codificacion_ensayo'!$A$5:$A$13,0)),"")</x:f>
        <x:v>REINICIO_COMPLETO</x:v>
      </x:c>
      <x:c r="Y31" s="12" t="str">
        <x:f>IFERROR(INDEX('55_Codificacion_ensayo'!$G$5:$G$13,MATCH(B31,'55_Codificacion_ensayo'!$A$5:$A$13,0)),"")</x:f>
      </x:c>
      <x:c r="Z31" s="12" t="str">
        <x:f>IFERROR(INDEX('55_Codificacion_ensayo'!$H$5:$H$13,MATCH(B31,'55_Codificacion_ensayo'!$A$5:$A$13,0)),"")</x:f>
        <x:v>NINGUNO</x:v>
      </x:c>
      <x:c r="AA31" s="12" t="str">
        <x:f>IFERROR(INDEX('55_Codificacion_ensayo'!$I$5:$I$13,MATCH(B31,'55_Codificacion_ensayo'!$A$5:$A$13,0)),"")</x:f>
        <x:v>REINICIO_REALIZADO</x:v>
      </x:c>
      <x:c r="AB31" s="12" t="str">
        <x:f>IFERROR(INDEX('55_Codificacion_ensayo'!$J$5:$J$13,MATCH(B31,'55_Codificacion_ensayo'!$A$5:$A$13,0)),"")</x:f>
        <x:v>SIN_REINICIO_COMPLETO</x:v>
      </x:c>
    </x:row>
    <x:row r="32" ht="47" customHeight="1">
      <x:c r="A32" s="4" t="str">
        <x:v>L10-03-14</x:v>
      </x:c>
      <x:c r="B32" s="4" t="str">
        <x:v>PAR-CYB-REINICIO-SISTEMA-REALIZADO-001</x:v>
      </x:c>
      <x:c r="C32" s="4" t="str">
        <x:v>EVENTO-REINICIO-COMPLETO-0.1</x:v>
      </x:c>
      <x:c r="D32" s="4" t="str">
        <x:v>COINCIDE</x:v>
      </x:c>
      <x:c r="E32" s="4" t="str">
        <x:v>LEGIBLE</x:v>
      </x:c>
      <x:c r="F32" s="4" t="str">
        <x:v>SOLICITUD_REINICIO</x:v>
      </x:c>
      <x:c r="G32" s="4" t="str">
        <x:v>UNICA</x:v>
      </x:c>
      <x:c r="H32" s="4" t="str">
        <x:v>REINICIO_COMPLETO</x:v>
      </x:c>
      <x:c r="I32" s="4" t="str"/>
      <x:c r="J32" s="4" t="str">
        <x:v>COMPLETA</x:v>
      </x:c>
      <x:c r="K32" s="4" t="str">
        <x:v>ORDEN_ACREDITADO</x:v>
      </x:c>
      <x:c r="L32" s="4" t="str">
        <x:v>VALIDA</x:v>
      </x:c>
      <x:c r="M32" s="4" t="str">
        <x:v>U</x:v>
      </x:c>
      <x:c r="N32" s="4" t="str">
        <x:v>OBSERVACION_INSUFICIENTE</x:v>
      </x:c>
      <x:c r="O32" s="12" t="str">
        <x:f>IF(Q32="SIN_EJECUCION_DOMINIO","FALLO_CAPTURA",IF(OR(Q32="CAPTURA_MAL_FORMADA",Q32="IDENTIDAD",Q32="OBSERVACION_MAL_FORMADA",Q32="LEXEMA_O_FORMA"),"NO_ADMISION",IF(OR(Q32="PERFIL_NO_CONSTITUIDO",Q32="RESULTADO_NO_TERMINAL"),"FUERA_PERFIL",IF(Q32="CONTEXTO_NO_CONSTITUIDO","CONFIGURACION_PENDIENTE","VALIDA"))))</x:f>
        <x:v>VALIDA</x:v>
      </x:c>
      <x:c r="P32" s="12" t="str">
        <x:f>IF(O32&lt;&gt;"VALIDA","",IF(Q32=AA32,"1",IF(Q32=AB32,"0","U")))</x:f>
        <x:v>U</x:v>
      </x:c>
      <x:c r="Q32" s="12" t="str">
        <x:f>IF(E32="FALLO","SIN_EJECUCION_DOMINIO",IF(E32&lt;&gt;"LEGIBLE","CAPTURA_MAL_FORMADA",IF(D32&lt;&gt;"COINCIDE","IDENTIDAD",IF(OR(T32="",C32&lt;&gt;T32),"PERFIL_NO_CONSTITUIDO",IF(K32&lt;&gt;V32,IF(V32="ORDEN_ACREDITADO","ORDEN_NO_ACREDITADO","CONTEXTO_NO_CONSTITUIDO"),IF(AND(G32="AUSENTE",H32="",I32=""),"DATO_AUSENTE",IF(AND(G32="CONFLICTO",H32="",I32=""),"CONFLICTO_OBSERVACIONAL",IF(G32&lt;&gt;"UNICA","OBSERVACION_MAL_FORMADA",IF(F32&lt;&gt;U32,"OBSERVACION_INSUFICIENTE",IF(W32="RESULTADO",IF(H32=X32,AA32,IF(OR(H32="orcSucceededWithErrors",H32="orcFailed",H32="orcAborted"),AB32,IF(OR(H32="orcNotStarted",H32="orcInProgress"),"RESULTADO_NO_TERMINAL","LEXEMA_O_FORMA"))),IF(W32="EVENTO_BOOT",IF(H32=X32,AA32,IF(OR(H32="NINGUNO",H32="SOLO_HIBRIDO"),IF(J32="COMPLETA",AB32,"COBERTURA_INSUFICIENTE"),"LEXEMA_O_FORMA")),IF(W32="REQUISITO_SOFT",IF(H32=X32,AA32,IF(H32=Z32,AB32,"LEXEMA_O_FORMA")),IF(W32="EVENTO_PROC",IF(H32=X32,AA32,IF(H32=Z32,IF(J32="COMPLETA",AB32,"COBERTURA_INSUFICIENTE"),"LEXEMA_O_FORMA")),IF(W32="IMAGEN",IF(AND(AND(ISTEXT(H32),LEN(("x"&amp;H32))=65,EXACT(("x"&amp;H32),LOWER(("x"&amp;H32))),ISERROR(SEARCH(" ",("x"&amp;H32))),ISERROR(SEARCH(CHAR(9),("x"&amp;H32))),ISERROR(SEARCH(CHAR(10),("x"&amp;H32))),ISERROR(SEARCH(CHAR(13),("x"&amp;H32))),IFERROR(HEX2DEC(MID(("x"&amp;H32),2,8))&gt;=0,FALSE),IFERROR(HEX2DEC(MID(("x"&amp;H32),10,8))&gt;=0,FALSE),IFERROR(HEX2DEC(MID(("x"&amp;H32),18,8))&gt;=0,FALSE),IFERROR(HEX2DEC(MID(("x"&amp;H32),26,8))&gt;=0,FALSE),IFERROR(HEX2DEC(MID(("x"&amp;H32),34,8))&gt;=0,FALSE),IFERROR(HEX2DEC(MID(("x"&amp;H32),42,8))&gt;=0,FALSE),IFERROR(HEX2DEC(MID(("x"&amp;H32),50,8))&gt;=0,FALSE),IFERROR(HEX2DEC(MID(("x"&amp;H32),58,8))&gt;=0,FALSE)),AND(ISTEXT(I32),LEN(("x"&amp;I32))=65,EXACT(("x"&amp;I32),LOWER(("x"&amp;I32))),ISERROR(SEARCH(" ",("x"&amp;I32))),ISERROR(SEARCH(CHAR(9),("x"&amp;I32))),ISERROR(SEARCH(CHAR(10),("x"&amp;I32))),ISERROR(SEARCH(CHAR(13),("x"&amp;I32))),IFERROR(HEX2DEC(MID(("x"&amp;I32),2,8))&gt;=0,FALSE),IFERROR(HEX2DEC(MID(("x"&amp;I32),10,8))&gt;=0,FALSE),IFERROR(HEX2DEC(MID(("x"&amp;I32),18,8))&gt;=0,FALSE),IFERROR(HEX2DEC(MID(("x"&amp;I32),26,8))&gt;=0,FALSE),IFERROR(HEX2DEC(MID(("x"&amp;I32),34,8))&gt;=0,FALSE),IFERROR(HEX2DEC(MID(("x"&amp;I32),42,8))&gt;=0,FALSE),IFERROR(HEX2DEC(MID(("x"&amp;I32),50,8))&gt;=0,FALSE),IFERROR(HEX2DEC(MID(("x"&amp;I32),58,8))&gt;=0,FALSE))),IF(EXACT("x"&amp;H32,"x"&amp;I32),AA32,AB32),"LEXEMA_O_FORMA"),IF(W32="PRUEBA",IF(H32=X32,AA32,IF(H32=Z32,AB32,"LEXEMA_O_FORMA")),IF(W32="RETIRADA",IF(AND(H32="NINGUNO",I32=""),IF(J32="COMPLETA",AB32,"COBERTURA_INSUFICIENTE"),IF(AND(OR(H32="uoInstallation",H32="uoUninstallation"),OR(I32="orcSucceeded",I32="orcSucceededWithErrors",I32="orcFailed",I32="orcAborted",I32="orcInProgress",I32="orcNotStarted")),IF(AND(H32=X32,I32=Y32),AA32,IF(AND(H32=X32,OR(I32="orcSucceededWithErrors",I32="orcInProgress",I32="orcNotStarted")),"RESULTADO_RETIRADA_INCIERTO",IF(J32="COMPLETA",AB32,"COBERTURA_INSUFICIENTE"))),"LEXEMA_O_FORMA")),IF(W32="CAMBIO",IF(OR(H32="CAMBIO",H32="CAMBIO_Y_RETORNO"),AA32,IF(OR(H32="NINGUNO",H32="SOLO_RENOMBRE"),IF(J32="COMPLETA",AB32,"COBERTURA_INSUFICIENTE"),"LEXEMA_O_FORMA")),IF(W32="RESTAURACION",IF(H32=X32,AA32,IF(OR(H32="NINGUNO",H32="RESTAURACION_POSTERIOR",H32="RESTAURACION_FALLIDA"),IF(J32="COMPLETA",AB32,"COBERTURA_INSUFICIENTE"),"LEXEMA_O_FORMA")),"PERFIL_NO_CONSTITUIDO"))))))))))))))))))</x:f>
        <x:v>OBSERVACION_INSUFICIENTE</x:v>
      </x:c>
      <x:c r="R32" s="12" t="str">
        <x:f>IF(AND(L32=O32,M32=P32,N32=Q32),"PASA","NO_PASA")</x:f>
        <x:v>PASA</x:v>
      </x:c>
      <x:c r="S32" s="4" t="str">
        <x:v>Solicitud de reinicio no prueba arranque completado.</x:v>
      </x:c>
      <x:c r="T32" s="12" t="str">
        <x:f>IFERROR(INDEX('55_Codificacion_ensayo'!$B$5:$B$13,MATCH(B32,'55_Codificacion_ensayo'!$A$5:$A$13,0)),"")</x:f>
        <x:v>EVENTO-REINICIO-COMPLETO-0.1</x:v>
      </x:c>
      <x:c r="U32" s="12" t="str">
        <x:f>IFERROR(INDEX('55_Codificacion_ensayo'!$C$5:$C$13,MATCH(B32,'55_Codificacion_ensayo'!$A$5:$A$13,0)),"")</x:f>
        <x:v>ARRANQUE_COMPLETO</x:v>
      </x:c>
      <x:c r="V32" s="12" t="str">
        <x:f>IFERROR(INDEX('55_Codificacion_ensayo'!$D$5:$D$13,MATCH(B32,'55_Codificacion_ensayo'!$A$5:$A$13,0)),"")</x:f>
        <x:v>ORDEN_ACREDITADO</x:v>
      </x:c>
      <x:c r="W32" s="12" t="str">
        <x:f>IFERROR(INDEX('55_Codificacion_ensayo'!$E$5:$E$13,MATCH(B32,'55_Codificacion_ensayo'!$A$5:$A$13,0)),"")</x:f>
        <x:v>EVENTO_BOOT</x:v>
      </x:c>
      <x:c r="X32" s="12" t="str">
        <x:f>IFERROR(INDEX('55_Codificacion_ensayo'!$F$5:$F$13,MATCH(B32,'55_Codificacion_ensayo'!$A$5:$A$13,0)),"")</x:f>
        <x:v>REINICIO_COMPLETO</x:v>
      </x:c>
      <x:c r="Y32" s="12" t="str">
        <x:f>IFERROR(INDEX('55_Codificacion_ensayo'!$G$5:$G$13,MATCH(B32,'55_Codificacion_ensayo'!$A$5:$A$13,0)),"")</x:f>
      </x:c>
      <x:c r="Z32" s="12" t="str">
        <x:f>IFERROR(INDEX('55_Codificacion_ensayo'!$H$5:$H$13,MATCH(B32,'55_Codificacion_ensayo'!$A$5:$A$13,0)),"")</x:f>
        <x:v>NINGUNO</x:v>
      </x:c>
      <x:c r="AA32" s="12" t="str">
        <x:f>IFERROR(INDEX('55_Codificacion_ensayo'!$I$5:$I$13,MATCH(B32,'55_Codificacion_ensayo'!$A$5:$A$13,0)),"")</x:f>
        <x:v>REINICIO_REALIZADO</x:v>
      </x:c>
      <x:c r="AB32" s="12" t="str">
        <x:f>IFERROR(INDEX('55_Codificacion_ensayo'!$J$5:$J$13,MATCH(B32,'55_Codificacion_ensayo'!$A$5:$A$13,0)),"")</x:f>
        <x:v>SIN_REINICIO_COMPLETO</x:v>
      </x:c>
    </x:row>
    <x:row r="33" ht="47" customHeight="1">
      <x:c r="A33" s="4" t="str">
        <x:v>L10-04-01</x:v>
      </x:c>
      <x:c r="B33" s="4" t="str">
        <x:v>PAR-CYB-REINICIO-SOFTWARE-REQUERIDO-001</x:v>
      </x:c>
      <x:c r="C33" s="4" t="str">
        <x:v>REQUISITO-SOFTWARE-INDIVIDUAL-0.1</x:v>
      </x:c>
      <x:c r="D33" s="4" t="str">
        <x:v>COINCIDE</x:v>
      </x:c>
      <x:c r="E33" s="4" t="str">
        <x:v>LEGIBLE</x:v>
      </x:c>
      <x:c r="F33" s="4" t="str">
        <x:v>INSTRUCCION_ESPECIFICA</x:v>
      </x:c>
      <x:c r="G33" s="4" t="str">
        <x:v>UNICA</x:v>
      </x:c>
      <x:c r="H33" s="4" t="str">
        <x:v>true</x:v>
      </x:c>
      <x:c r="I33" s="4" t="str"/>
      <x:c r="J33" s="4" t="str">
        <x:v>COMPLETA</x:v>
      </x:c>
      <x:c r="K33" s="4" t="str">
        <x:v>UN_SOFTWARE</x:v>
      </x:c>
      <x:c r="L33" s="4" t="str">
        <x:v>VALIDA</x:v>
      </x:c>
      <x:c r="M33" s="4" t="str">
        <x:v>1</x:v>
      </x:c>
      <x:c r="N33" s="4" t="str">
        <x:v>REQUISITO_SOFTWARE_SI</x:v>
      </x:c>
      <x:c r="O33" s="12" t="str">
        <x:f>IF(Q33="SIN_EJECUCION_DOMINIO","FALLO_CAPTURA",IF(OR(Q33="CAPTURA_MAL_FORMADA",Q33="IDENTIDAD",Q33="OBSERVACION_MAL_FORMADA",Q33="LEXEMA_O_FORMA"),"NO_ADMISION",IF(OR(Q33="PERFIL_NO_CONSTITUIDO",Q33="RESULTADO_NO_TERMINAL"),"FUERA_PERFIL",IF(Q33="CONTEXTO_NO_CONSTITUIDO","CONFIGURACION_PENDIENTE","VALIDA"))))</x:f>
        <x:v>VALIDA</x:v>
      </x:c>
      <x:c r="P33" s="12" t="str">
        <x:f>IF(O33&lt;&gt;"VALIDA","",IF(Q33=AA33,"1",IF(Q33=AB33,"0","U")))</x:f>
        <x:v>1</x:v>
      </x:c>
      <x:c r="Q33" s="12" t="str">
        <x:f>IF(E33="FALLO","SIN_EJECUCION_DOMINIO",IF(E33&lt;&gt;"LEGIBLE","CAPTURA_MAL_FORMADA",IF(D33&lt;&gt;"COINCIDE","IDENTIDAD",IF(OR(T33="",C33&lt;&gt;T33),"PERFIL_NO_CONSTITUIDO",IF(K33&lt;&gt;V33,IF(V33="ORDEN_ACREDITADO","ORDEN_NO_ACREDITADO","CONTEXTO_NO_CONSTITUIDO"),IF(AND(G33="AUSENTE",H33="",I33=""),"DATO_AUSENTE",IF(AND(G33="CONFLICTO",H33="",I33=""),"CONFLICTO_OBSERVACIONAL",IF(G33&lt;&gt;"UNICA","OBSERVACION_MAL_FORMADA",IF(F33&lt;&gt;U33,"OBSERVACION_INSUFICIENTE",IF(W33="RESULTADO",IF(H33=X33,AA33,IF(OR(H33="orcSucceededWithErrors",H33="orcFailed",H33="orcAborted"),AB33,IF(OR(H33="orcNotStarted",H33="orcInProgress"),"RESULTADO_NO_TERMINAL","LEXEMA_O_FORMA"))),IF(W33="EVENTO_BOOT",IF(H33=X33,AA33,IF(OR(H33="NINGUNO",H33="SOLO_HIBRIDO"),IF(J33="COMPLETA",AB33,"COBERTURA_INSUFICIENTE"),"LEXEMA_O_FORMA")),IF(W33="REQUISITO_SOFT",IF(H33=X33,AA33,IF(H33=Z33,AB33,"LEXEMA_O_FORMA")),IF(W33="EVENTO_PROC",IF(H33=X33,AA33,IF(H33=Z33,IF(J33="COMPLETA",AB33,"COBERTURA_INSUFICIENTE"),"LEXEMA_O_FORMA")),IF(W33="IMAGEN",IF(AND(AND(ISTEXT(H33),LEN(("x"&amp;H33))=65,EXACT(("x"&amp;H33),LOWER(("x"&amp;H33))),ISERROR(SEARCH(" ",("x"&amp;H33))),ISERROR(SEARCH(CHAR(9),("x"&amp;H33))),ISERROR(SEARCH(CHAR(10),("x"&amp;H33))),ISERROR(SEARCH(CHAR(13),("x"&amp;H33))),IFERROR(HEX2DEC(MID(("x"&amp;H33),2,8))&gt;=0,FALSE),IFERROR(HEX2DEC(MID(("x"&amp;H33),10,8))&gt;=0,FALSE),IFERROR(HEX2DEC(MID(("x"&amp;H33),18,8))&gt;=0,FALSE),IFERROR(HEX2DEC(MID(("x"&amp;H33),26,8))&gt;=0,FALSE),IFERROR(HEX2DEC(MID(("x"&amp;H33),34,8))&gt;=0,FALSE),IFERROR(HEX2DEC(MID(("x"&amp;H33),42,8))&gt;=0,FALSE),IFERROR(HEX2DEC(MID(("x"&amp;H33),50,8))&gt;=0,FALSE),IFERROR(HEX2DEC(MID(("x"&amp;H33),58,8))&gt;=0,FALSE)),AND(ISTEXT(I33),LEN(("x"&amp;I33))=65,EXACT(("x"&amp;I33),LOWER(("x"&amp;I33))),ISERROR(SEARCH(" ",("x"&amp;I33))),ISERROR(SEARCH(CHAR(9),("x"&amp;I33))),ISERROR(SEARCH(CHAR(10),("x"&amp;I33))),ISERROR(SEARCH(CHAR(13),("x"&amp;I33))),IFERROR(HEX2DEC(MID(("x"&amp;I33),2,8))&gt;=0,FALSE),IFERROR(HEX2DEC(MID(("x"&amp;I33),10,8))&gt;=0,FALSE),IFERROR(HEX2DEC(MID(("x"&amp;I33),18,8))&gt;=0,FALSE),IFERROR(HEX2DEC(MID(("x"&amp;I33),26,8))&gt;=0,FALSE),IFERROR(HEX2DEC(MID(("x"&amp;I33),34,8))&gt;=0,FALSE),IFERROR(HEX2DEC(MID(("x"&amp;I33),42,8))&gt;=0,FALSE),IFERROR(HEX2DEC(MID(("x"&amp;I33),50,8))&gt;=0,FALSE),IFERROR(HEX2DEC(MID(("x"&amp;I33),58,8))&gt;=0,FALSE))),IF(EXACT("x"&amp;H33,"x"&amp;I33),AA33,AB33),"LEXEMA_O_FORMA"),IF(W33="PRUEBA",IF(H33=X33,AA33,IF(H33=Z33,AB33,"LEXEMA_O_FORMA")),IF(W33="RETIRADA",IF(AND(H33="NINGUNO",I33=""),IF(J33="COMPLETA",AB33,"COBERTURA_INSUFICIENTE"),IF(AND(OR(H33="uoInstallation",H33="uoUninstallation"),OR(I33="orcSucceeded",I33="orcSucceededWithErrors",I33="orcFailed",I33="orcAborted",I33="orcInProgress",I33="orcNotStarted")),IF(AND(H33=X33,I33=Y33),AA33,IF(AND(H33=X33,OR(I33="orcSucceededWithErrors",I33="orcInProgress",I33="orcNotStarted")),"RESULTADO_RETIRADA_INCIERTO",IF(J33="COMPLETA",AB33,"COBERTURA_INSUFICIENTE"))),"LEXEMA_O_FORMA")),IF(W33="CAMBIO",IF(OR(H33="CAMBIO",H33="CAMBIO_Y_RETORNO"),AA33,IF(OR(H33="NINGUNO",H33="SOLO_RENOMBRE"),IF(J33="COMPLETA",AB33,"COBERTURA_INSUFICIENTE"),"LEXEMA_O_FORMA")),IF(W33="RESTAURACION",IF(H33=X33,AA33,IF(OR(H33="NINGUNO",H33="RESTAURACION_POSTERIOR",H33="RESTAURACION_FALLIDA"),IF(J33="COMPLETA",AB33,"COBERTURA_INSUFICIENTE"),"LEXEMA_O_FORMA")),"PERFIL_NO_CONSTITUIDO"))))))))))))))))))</x:f>
        <x:v>REQUISITO_SOFTWARE_SI</x:v>
      </x:c>
      <x:c r="R33" s="12" t="str">
        <x:f>IF(AND(L33=O33,M33=P33,N33=Q33),"PASA","NO_PASA")</x:f>
        <x:v>PASA</x:v>
      </x:c>
      <x:c r="S33" s="4" t="str">
        <x:v>Testigo positivo de la proposición; no licencia ninguna conclusión más amplia.</x:v>
      </x:c>
      <x:c r="T33" s="12" t="str">
        <x:f>IFERROR(INDEX('55_Codificacion_ensayo'!$B$5:$B$13,MATCH(B33,'55_Codificacion_ensayo'!$A$5:$A$13,0)),"")</x:f>
        <x:v>REQUISITO-SOFTWARE-INDIVIDUAL-0.1</x:v>
      </x:c>
      <x:c r="U33" s="12" t="str">
        <x:f>IFERROR(INDEX('55_Codificacion_ensayo'!$C$5:$C$13,MATCH(B33,'55_Codificacion_ensayo'!$A$5:$A$13,0)),"")</x:f>
        <x:v>INSTRUCCION_ESPECIFICA</x:v>
      </x:c>
      <x:c r="V33" s="12" t="str">
        <x:f>IFERROR(INDEX('55_Codificacion_ensayo'!$D$5:$D$13,MATCH(B33,'55_Codificacion_ensayo'!$A$5:$A$13,0)),"")</x:f>
        <x:v>UN_SOFTWARE</x:v>
      </x:c>
      <x:c r="W33" s="12" t="str">
        <x:f>IFERROR(INDEX('55_Codificacion_ensayo'!$E$5:$E$13,MATCH(B33,'55_Codificacion_ensayo'!$A$5:$A$13,0)),"")</x:f>
        <x:v>REQUISITO_SOFT</x:v>
      </x:c>
      <x:c r="X33" s="12" t="str">
        <x:f>IFERROR(INDEX('55_Codificacion_ensayo'!$F$5:$F$13,MATCH(B33,'55_Codificacion_ensayo'!$A$5:$A$13,0)),"")</x:f>
        <x:v>true</x:v>
      </x:c>
      <x:c r="Y33" s="12" t="str">
        <x:f>IFERROR(INDEX('55_Codificacion_ensayo'!$G$5:$G$13,MATCH(B33,'55_Codificacion_ensayo'!$A$5:$A$13,0)),"")</x:f>
      </x:c>
      <x:c r="Z33" s="12" t="str">
        <x:f>IFERROR(INDEX('55_Codificacion_ensayo'!$H$5:$H$13,MATCH(B33,'55_Codificacion_ensayo'!$A$5:$A$13,0)),"")</x:f>
        <x:v>false</x:v>
      </x:c>
      <x:c r="AA33" s="12" t="str">
        <x:f>IFERROR(INDEX('55_Codificacion_ensayo'!$I$5:$I$13,MATCH(B33,'55_Codificacion_ensayo'!$A$5:$A$13,0)),"")</x:f>
        <x:v>REQUISITO_SOFTWARE_SI</x:v>
      </x:c>
      <x:c r="AB33" s="12" t="str">
        <x:f>IFERROR(INDEX('55_Codificacion_ensayo'!$J$5:$J$13,MATCH(B33,'55_Codificacion_ensayo'!$A$5:$A$13,0)),"")</x:f>
        <x:v>REQUISITO_SOFTWARE_NO</x:v>
      </x:c>
    </x:row>
    <x:row r="34" ht="47" customHeight="1">
      <x:c r="A34" s="4" t="str">
        <x:v>L10-04-02</x:v>
      </x:c>
      <x:c r="B34" s="4" t="str">
        <x:v>PAR-CYB-REINICIO-SOFTWARE-REQUERIDO-001</x:v>
      </x:c>
      <x:c r="C34" s="4" t="str">
        <x:v>REQUISITO-SOFTWARE-INDIVIDUAL-0.1</x:v>
      </x:c>
      <x:c r="D34" s="4" t="str">
        <x:v>COINCIDE</x:v>
      </x:c>
      <x:c r="E34" s="4" t="str">
        <x:v>LEGIBLE</x:v>
      </x:c>
      <x:c r="F34" s="4" t="str">
        <x:v>INSTRUCCION_ESPECIFICA</x:v>
      </x:c>
      <x:c r="G34" s="4" t="str">
        <x:v>UNICA</x:v>
      </x:c>
      <x:c r="H34" s="4" t="str">
        <x:v>false</x:v>
      </x:c>
      <x:c r="I34" s="4" t="str"/>
      <x:c r="J34" s="4" t="str">
        <x:v>COMPLETA</x:v>
      </x:c>
      <x:c r="K34" s="4" t="str">
        <x:v>UN_SOFTWARE</x:v>
      </x:c>
      <x:c r="L34" s="4" t="str">
        <x:v>VALIDA</x:v>
      </x:c>
      <x:c r="M34" s="4" t="str">
        <x:v>0</x:v>
      </x:c>
      <x:c r="N34" s="4" t="str">
        <x:v>REQUISITO_SOFTWARE_NO</x:v>
      </x:c>
      <x:c r="O34" s="12" t="str">
        <x:f>IF(Q34="SIN_EJECUCION_DOMINIO","FALLO_CAPTURA",IF(OR(Q34="CAPTURA_MAL_FORMADA",Q34="IDENTIDAD",Q34="OBSERVACION_MAL_FORMADA",Q34="LEXEMA_O_FORMA"),"NO_ADMISION",IF(OR(Q34="PERFIL_NO_CONSTITUIDO",Q34="RESULTADO_NO_TERMINAL"),"FUERA_PERFIL",IF(Q34="CONTEXTO_NO_CONSTITUIDO","CONFIGURACION_PENDIENTE","VALIDA"))))</x:f>
        <x:v>VALIDA</x:v>
      </x:c>
      <x:c r="P34" s="12" t="str">
        <x:f>IF(O34&lt;&gt;"VALIDA","",IF(Q34=AA34,"1",IF(Q34=AB34,"0","U")))</x:f>
        <x:v>0</x:v>
      </x:c>
      <x:c r="Q34" s="12" t="str">
        <x:f>IF(E34="FALLO","SIN_EJECUCION_DOMINIO",IF(E34&lt;&gt;"LEGIBLE","CAPTURA_MAL_FORMADA",IF(D34&lt;&gt;"COINCIDE","IDENTIDAD",IF(OR(T34="",C34&lt;&gt;T34),"PERFIL_NO_CONSTITUIDO",IF(K34&lt;&gt;V34,IF(V34="ORDEN_ACREDITADO","ORDEN_NO_ACREDITADO","CONTEXTO_NO_CONSTITUIDO"),IF(AND(G34="AUSENTE",H34="",I34=""),"DATO_AUSENTE",IF(AND(G34="CONFLICTO",H34="",I34=""),"CONFLICTO_OBSERVACIONAL",IF(G34&lt;&gt;"UNICA","OBSERVACION_MAL_FORMADA",IF(F34&lt;&gt;U34,"OBSERVACION_INSUFICIENTE",IF(W34="RESULTADO",IF(H34=X34,AA34,IF(OR(H34="orcSucceededWithErrors",H34="orcFailed",H34="orcAborted"),AB34,IF(OR(H34="orcNotStarted",H34="orcInProgress"),"RESULTADO_NO_TERMINAL","LEXEMA_O_FORMA"))),IF(W34="EVENTO_BOOT",IF(H34=X34,AA34,IF(OR(H34="NINGUNO",H34="SOLO_HIBRIDO"),IF(J34="COMPLETA",AB34,"COBERTURA_INSUFICIENTE"),"LEXEMA_O_FORMA")),IF(W34="REQUISITO_SOFT",IF(H34=X34,AA34,IF(H34=Z34,AB34,"LEXEMA_O_FORMA")),IF(W34="EVENTO_PROC",IF(H34=X34,AA34,IF(H34=Z34,IF(J34="COMPLETA",AB34,"COBERTURA_INSUFICIENTE"),"LEXEMA_O_FORMA")),IF(W34="IMAGEN",IF(AND(AND(ISTEXT(H34),LEN(("x"&amp;H34))=65,EXACT(("x"&amp;H34),LOWER(("x"&amp;H34))),ISERROR(SEARCH(" ",("x"&amp;H34))),ISERROR(SEARCH(CHAR(9),("x"&amp;H34))),ISERROR(SEARCH(CHAR(10),("x"&amp;H34))),ISERROR(SEARCH(CHAR(13),("x"&amp;H34))),IFERROR(HEX2DEC(MID(("x"&amp;H34),2,8))&gt;=0,FALSE),IFERROR(HEX2DEC(MID(("x"&amp;H34),10,8))&gt;=0,FALSE),IFERROR(HEX2DEC(MID(("x"&amp;H34),18,8))&gt;=0,FALSE),IFERROR(HEX2DEC(MID(("x"&amp;H34),26,8))&gt;=0,FALSE),IFERROR(HEX2DEC(MID(("x"&amp;H34),34,8))&gt;=0,FALSE),IFERROR(HEX2DEC(MID(("x"&amp;H34),42,8))&gt;=0,FALSE),IFERROR(HEX2DEC(MID(("x"&amp;H34),50,8))&gt;=0,FALSE),IFERROR(HEX2DEC(MID(("x"&amp;H34),58,8))&gt;=0,FALSE)),AND(ISTEXT(I34),LEN(("x"&amp;I34))=65,EXACT(("x"&amp;I34),LOWER(("x"&amp;I34))),ISERROR(SEARCH(" ",("x"&amp;I34))),ISERROR(SEARCH(CHAR(9),("x"&amp;I34))),ISERROR(SEARCH(CHAR(10),("x"&amp;I34))),ISERROR(SEARCH(CHAR(13),("x"&amp;I34))),IFERROR(HEX2DEC(MID(("x"&amp;I34),2,8))&gt;=0,FALSE),IFERROR(HEX2DEC(MID(("x"&amp;I34),10,8))&gt;=0,FALSE),IFERROR(HEX2DEC(MID(("x"&amp;I34),18,8))&gt;=0,FALSE),IFERROR(HEX2DEC(MID(("x"&amp;I34),26,8))&gt;=0,FALSE),IFERROR(HEX2DEC(MID(("x"&amp;I34),34,8))&gt;=0,FALSE),IFERROR(HEX2DEC(MID(("x"&amp;I34),42,8))&gt;=0,FALSE),IFERROR(HEX2DEC(MID(("x"&amp;I34),50,8))&gt;=0,FALSE),IFERROR(HEX2DEC(MID(("x"&amp;I34),58,8))&gt;=0,FALSE))),IF(EXACT("x"&amp;H34,"x"&amp;I34),AA34,AB34),"LEXEMA_O_FORMA"),IF(W34="PRUEBA",IF(H34=X34,AA34,IF(H34=Z34,AB34,"LEXEMA_O_FORMA")),IF(W34="RETIRADA",IF(AND(H34="NINGUNO",I34=""),IF(J34="COMPLETA",AB34,"COBERTURA_INSUFICIENTE"),IF(AND(OR(H34="uoInstallation",H34="uoUninstallation"),OR(I34="orcSucceeded",I34="orcSucceededWithErrors",I34="orcFailed",I34="orcAborted",I34="orcInProgress",I34="orcNotStarted")),IF(AND(H34=X34,I34=Y34),AA34,IF(AND(H34=X34,OR(I34="orcSucceededWithErrors",I34="orcInProgress",I34="orcNotStarted")),"RESULTADO_RETIRADA_INCIERTO",IF(J34="COMPLETA",AB34,"COBERTURA_INSUFICIENTE"))),"LEXEMA_O_FORMA")),IF(W34="CAMBIO",IF(OR(H34="CAMBIO",H34="CAMBIO_Y_RETORNO"),AA34,IF(OR(H34="NINGUNO",H34="SOLO_RENOMBRE"),IF(J34="COMPLETA",AB34,"COBERTURA_INSUFICIENTE"),"LEXEMA_O_FORMA")),IF(W34="RESTAURACION",IF(H34=X34,AA34,IF(OR(H34="NINGUNO",H34="RESTAURACION_POSTERIOR",H34="RESTAURACION_FALLIDA"),IF(J34="COMPLETA",AB34,"COBERTURA_INSUFICIENTE"),"LEXEMA_O_FORMA")),"PERFIL_NO_CONSTITUIDO"))))))))))))))))))</x:f>
        <x:v>REQUISITO_SOFTWARE_NO</x:v>
      </x:c>
      <x:c r="R34" s="12" t="str">
        <x:f>IF(AND(L34=O34,M34=P34,N34=Q34),"PASA","NO_PASA")</x:f>
        <x:v>PASA</x:v>
      </x:c>
      <x:c r="S34" s="4" t="str">
        <x:v>Negativo explícito; en eventos exige cobertura del intervalo.</x:v>
      </x:c>
      <x:c r="T34" s="12" t="str">
        <x:f>IFERROR(INDEX('55_Codificacion_ensayo'!$B$5:$B$13,MATCH(B34,'55_Codificacion_ensayo'!$A$5:$A$13,0)),"")</x:f>
        <x:v>REQUISITO-SOFTWARE-INDIVIDUAL-0.1</x:v>
      </x:c>
      <x:c r="U34" s="12" t="str">
        <x:f>IFERROR(INDEX('55_Codificacion_ensayo'!$C$5:$C$13,MATCH(B34,'55_Codificacion_ensayo'!$A$5:$A$13,0)),"")</x:f>
        <x:v>INSTRUCCION_ESPECIFICA</x:v>
      </x:c>
      <x:c r="V34" s="12" t="str">
        <x:f>IFERROR(INDEX('55_Codificacion_ensayo'!$D$5:$D$13,MATCH(B34,'55_Codificacion_ensayo'!$A$5:$A$13,0)),"")</x:f>
        <x:v>UN_SOFTWARE</x:v>
      </x:c>
      <x:c r="W34" s="12" t="str">
        <x:f>IFERROR(INDEX('55_Codificacion_ensayo'!$E$5:$E$13,MATCH(B34,'55_Codificacion_ensayo'!$A$5:$A$13,0)),"")</x:f>
        <x:v>REQUISITO_SOFT</x:v>
      </x:c>
      <x:c r="X34" s="12" t="str">
        <x:f>IFERROR(INDEX('55_Codificacion_ensayo'!$F$5:$F$13,MATCH(B34,'55_Codificacion_ensayo'!$A$5:$A$13,0)),"")</x:f>
        <x:v>true</x:v>
      </x:c>
      <x:c r="Y34" s="12" t="str">
        <x:f>IFERROR(INDEX('55_Codificacion_ensayo'!$G$5:$G$13,MATCH(B34,'55_Codificacion_ensayo'!$A$5:$A$13,0)),"")</x:f>
      </x:c>
      <x:c r="Z34" s="12" t="str">
        <x:f>IFERROR(INDEX('55_Codificacion_ensayo'!$H$5:$H$13,MATCH(B34,'55_Codificacion_ensayo'!$A$5:$A$13,0)),"")</x:f>
        <x:v>false</x:v>
      </x:c>
      <x:c r="AA34" s="12" t="str">
        <x:f>IFERROR(INDEX('55_Codificacion_ensayo'!$I$5:$I$13,MATCH(B34,'55_Codificacion_ensayo'!$A$5:$A$13,0)),"")</x:f>
        <x:v>REQUISITO_SOFTWARE_SI</x:v>
      </x:c>
      <x:c r="AB34" s="12" t="str">
        <x:f>IFERROR(INDEX('55_Codificacion_ensayo'!$J$5:$J$13,MATCH(B34,'55_Codificacion_ensayo'!$A$5:$A$13,0)),"")</x:f>
        <x:v>REQUISITO_SOFTWARE_NO</x:v>
      </x:c>
    </x:row>
    <x:row r="35" ht="47" customHeight="1">
      <x:c r="A35" s="4" t="str">
        <x:v>L10-04-03</x:v>
      </x:c>
      <x:c r="B35" s="4" t="str">
        <x:v>PAR-CYB-REINICIO-SOFTWARE-REQUERIDO-001</x:v>
      </x:c>
      <x:c r="C35" s="4" t="str">
        <x:v>REQUISITO-SOFTWARE-INDIVIDUAL-0.1</x:v>
      </x:c>
      <x:c r="D35" s="4" t="str">
        <x:v>COINCIDE</x:v>
      </x:c>
      <x:c r="E35" s="4" t="str">
        <x:v>LEGIBLE</x:v>
      </x:c>
      <x:c r="F35" s="4" t="str">
        <x:v>INSTRUCCION_ESPECIFICA</x:v>
      </x:c>
      <x:c r="G35" s="4" t="str">
        <x:v>AUSENTE</x:v>
      </x:c>
      <x:c r="H35" s="4" t="str"/>
      <x:c r="I35" s="4" t="str"/>
      <x:c r="J35" s="4" t="str">
        <x:v>COMPLETA</x:v>
      </x:c>
      <x:c r="K35" s="4" t="str">
        <x:v>UN_SOFTWARE</x:v>
      </x:c>
      <x:c r="L35" s="4" t="str">
        <x:v>VALIDA</x:v>
      </x:c>
      <x:c r="M35" s="4" t="str">
        <x:v>U</x:v>
      </x:c>
      <x:c r="N35" s="4" t="str">
        <x:v>DATO_AUSENTE</x:v>
      </x:c>
      <x:c r="O35" s="12" t="str">
        <x:f>IF(Q35="SIN_EJECUCION_DOMINIO","FALLO_CAPTURA",IF(OR(Q35="CAPTURA_MAL_FORMADA",Q35="IDENTIDAD",Q35="OBSERVACION_MAL_FORMADA",Q35="LEXEMA_O_FORMA"),"NO_ADMISION",IF(OR(Q35="PERFIL_NO_CONSTITUIDO",Q35="RESULTADO_NO_TERMINAL"),"FUERA_PERFIL",IF(Q35="CONTEXTO_NO_CONSTITUIDO","CONFIGURACION_PENDIENTE","VALIDA"))))</x:f>
        <x:v>VALIDA</x:v>
      </x:c>
      <x:c r="P35" s="12" t="str">
        <x:f>IF(O35&lt;&gt;"VALIDA","",IF(Q35=AA35,"1",IF(Q35=AB35,"0","U")))</x:f>
        <x:v>U</x:v>
      </x:c>
      <x:c r="Q35" s="12" t="str">
        <x:f>IF(E35="FALLO","SIN_EJECUCION_DOMINIO",IF(E35&lt;&gt;"LEGIBLE","CAPTURA_MAL_FORMADA",IF(D35&lt;&gt;"COINCIDE","IDENTIDAD",IF(OR(T35="",C35&lt;&gt;T35),"PERFIL_NO_CONSTITUIDO",IF(K35&lt;&gt;V35,IF(V35="ORDEN_ACREDITADO","ORDEN_NO_ACREDITADO","CONTEXTO_NO_CONSTITUIDO"),IF(AND(G35="AUSENTE",H35="",I35=""),"DATO_AUSENTE",IF(AND(G35="CONFLICTO",H35="",I35=""),"CONFLICTO_OBSERVACIONAL",IF(G35&lt;&gt;"UNICA","OBSERVACION_MAL_FORMADA",IF(F35&lt;&gt;U35,"OBSERVACION_INSUFICIENTE",IF(W35="RESULTADO",IF(H35=X35,AA35,IF(OR(H35="orcSucceededWithErrors",H35="orcFailed",H35="orcAborted"),AB35,IF(OR(H35="orcNotStarted",H35="orcInProgress"),"RESULTADO_NO_TERMINAL","LEXEMA_O_FORMA"))),IF(W35="EVENTO_BOOT",IF(H35=X35,AA35,IF(OR(H35="NINGUNO",H35="SOLO_HIBRIDO"),IF(J35="COMPLETA",AB35,"COBERTURA_INSUFICIENTE"),"LEXEMA_O_FORMA")),IF(W35="REQUISITO_SOFT",IF(H35=X35,AA35,IF(H35=Z35,AB35,"LEXEMA_O_FORMA")),IF(W35="EVENTO_PROC",IF(H35=X35,AA35,IF(H35=Z35,IF(J35="COMPLETA",AB35,"COBERTURA_INSUFICIENTE"),"LEXEMA_O_FORMA")),IF(W35="IMAGEN",IF(AND(AND(ISTEXT(H35),LEN(("x"&amp;H35))=65,EXACT(("x"&amp;H35),LOWER(("x"&amp;H35))),ISERROR(SEARCH(" ",("x"&amp;H35))),ISERROR(SEARCH(CHAR(9),("x"&amp;H35))),ISERROR(SEARCH(CHAR(10),("x"&amp;H35))),ISERROR(SEARCH(CHAR(13),("x"&amp;H35))),IFERROR(HEX2DEC(MID(("x"&amp;H35),2,8))&gt;=0,FALSE),IFERROR(HEX2DEC(MID(("x"&amp;H35),10,8))&gt;=0,FALSE),IFERROR(HEX2DEC(MID(("x"&amp;H35),18,8))&gt;=0,FALSE),IFERROR(HEX2DEC(MID(("x"&amp;H35),26,8))&gt;=0,FALSE),IFERROR(HEX2DEC(MID(("x"&amp;H35),34,8))&gt;=0,FALSE),IFERROR(HEX2DEC(MID(("x"&amp;H35),42,8))&gt;=0,FALSE),IFERROR(HEX2DEC(MID(("x"&amp;H35),50,8))&gt;=0,FALSE),IFERROR(HEX2DEC(MID(("x"&amp;H35),58,8))&gt;=0,FALSE)),AND(ISTEXT(I35),LEN(("x"&amp;I35))=65,EXACT(("x"&amp;I35),LOWER(("x"&amp;I35))),ISERROR(SEARCH(" ",("x"&amp;I35))),ISERROR(SEARCH(CHAR(9),("x"&amp;I35))),ISERROR(SEARCH(CHAR(10),("x"&amp;I35))),ISERROR(SEARCH(CHAR(13),("x"&amp;I35))),IFERROR(HEX2DEC(MID(("x"&amp;I35),2,8))&gt;=0,FALSE),IFERROR(HEX2DEC(MID(("x"&amp;I35),10,8))&gt;=0,FALSE),IFERROR(HEX2DEC(MID(("x"&amp;I35),18,8))&gt;=0,FALSE),IFERROR(HEX2DEC(MID(("x"&amp;I35),26,8))&gt;=0,FALSE),IFERROR(HEX2DEC(MID(("x"&amp;I35),34,8))&gt;=0,FALSE),IFERROR(HEX2DEC(MID(("x"&amp;I35),42,8))&gt;=0,FALSE),IFERROR(HEX2DEC(MID(("x"&amp;I35),50,8))&gt;=0,FALSE),IFERROR(HEX2DEC(MID(("x"&amp;I35),58,8))&gt;=0,FALSE))),IF(EXACT("x"&amp;H35,"x"&amp;I35),AA35,AB35),"LEXEMA_O_FORMA"),IF(W35="PRUEBA",IF(H35=X35,AA35,IF(H35=Z35,AB35,"LEXEMA_O_FORMA")),IF(W35="RETIRADA",IF(AND(H35="NINGUNO",I35=""),IF(J35="COMPLETA",AB35,"COBERTURA_INSUFICIENTE"),IF(AND(OR(H35="uoInstallation",H35="uoUninstallation"),OR(I35="orcSucceeded",I35="orcSucceededWithErrors",I35="orcFailed",I35="orcAborted",I35="orcInProgress",I35="orcNotStarted")),IF(AND(H35=X35,I35=Y35),AA35,IF(AND(H35=X35,OR(I35="orcSucceededWithErrors",I35="orcInProgress",I35="orcNotStarted")),"RESULTADO_RETIRADA_INCIERTO",IF(J35="COMPLETA",AB35,"COBERTURA_INSUFICIENTE"))),"LEXEMA_O_FORMA")),IF(W35="CAMBIO",IF(OR(H35="CAMBIO",H35="CAMBIO_Y_RETORNO"),AA35,IF(OR(H35="NINGUNO",H35="SOLO_RENOMBRE"),IF(J35="COMPLETA",AB35,"COBERTURA_INSUFICIENTE"),"LEXEMA_O_FORMA")),IF(W35="RESTAURACION",IF(H35=X35,AA35,IF(OR(H35="NINGUNO",H35="RESTAURACION_POSTERIOR",H35="RESTAURACION_FALLIDA"),IF(J35="COMPLETA",AB35,"COBERTURA_INSUFICIENTE"),"LEXEMA_O_FORMA")),"PERFIL_NO_CONSTITUIDO"))))))))))))))))))</x:f>
        <x:v>DATO_AUSENTE</x:v>
      </x:c>
      <x:c r="R35" s="12" t="str">
        <x:f>IF(AND(L35=O35,M35=P35,N35=Q35),"PASA","NO_PASA")</x:f>
        <x:v>PASA</x:v>
      </x:c>
      <x:c r="S35" s="4" t="str">
        <x:v>Documento declara que falta la observación, sin convertir ausencia en 0.</x:v>
      </x:c>
      <x:c r="T35" s="12" t="str">
        <x:f>IFERROR(INDEX('55_Codificacion_ensayo'!$B$5:$B$13,MATCH(B35,'55_Codificacion_ensayo'!$A$5:$A$13,0)),"")</x:f>
        <x:v>REQUISITO-SOFTWARE-INDIVIDUAL-0.1</x:v>
      </x:c>
      <x:c r="U35" s="12" t="str">
        <x:f>IFERROR(INDEX('55_Codificacion_ensayo'!$C$5:$C$13,MATCH(B35,'55_Codificacion_ensayo'!$A$5:$A$13,0)),"")</x:f>
        <x:v>INSTRUCCION_ESPECIFICA</x:v>
      </x:c>
      <x:c r="V35" s="12" t="str">
        <x:f>IFERROR(INDEX('55_Codificacion_ensayo'!$D$5:$D$13,MATCH(B35,'55_Codificacion_ensayo'!$A$5:$A$13,0)),"")</x:f>
        <x:v>UN_SOFTWARE</x:v>
      </x:c>
      <x:c r="W35" s="12" t="str">
        <x:f>IFERROR(INDEX('55_Codificacion_ensayo'!$E$5:$E$13,MATCH(B35,'55_Codificacion_ensayo'!$A$5:$A$13,0)),"")</x:f>
        <x:v>REQUISITO_SOFT</x:v>
      </x:c>
      <x:c r="X35" s="12" t="str">
        <x:f>IFERROR(INDEX('55_Codificacion_ensayo'!$F$5:$F$13,MATCH(B35,'55_Codificacion_ensayo'!$A$5:$A$13,0)),"")</x:f>
        <x:v>true</x:v>
      </x:c>
      <x:c r="Y35" s="12" t="str">
        <x:f>IFERROR(INDEX('55_Codificacion_ensayo'!$G$5:$G$13,MATCH(B35,'55_Codificacion_ensayo'!$A$5:$A$13,0)),"")</x:f>
      </x:c>
      <x:c r="Z35" s="12" t="str">
        <x:f>IFERROR(INDEX('55_Codificacion_ensayo'!$H$5:$H$13,MATCH(B35,'55_Codificacion_ensayo'!$A$5:$A$13,0)),"")</x:f>
        <x:v>false</x:v>
      </x:c>
      <x:c r="AA35" s="12" t="str">
        <x:f>IFERROR(INDEX('55_Codificacion_ensayo'!$I$5:$I$13,MATCH(B35,'55_Codificacion_ensayo'!$A$5:$A$13,0)),"")</x:f>
        <x:v>REQUISITO_SOFTWARE_SI</x:v>
      </x:c>
      <x:c r="AB35" s="12" t="str">
        <x:f>IFERROR(INDEX('55_Codificacion_ensayo'!$J$5:$J$13,MATCH(B35,'55_Codificacion_ensayo'!$A$5:$A$13,0)),"")</x:f>
        <x:v>REQUISITO_SOFTWARE_NO</x:v>
      </x:c>
    </x:row>
    <x:row r="36" ht="47" customHeight="1">
      <x:c r="A36" s="4" t="str">
        <x:v>L10-04-04</x:v>
      </x:c>
      <x:c r="B36" s="4" t="str">
        <x:v>PAR-CYB-REINICIO-SOFTWARE-REQUERIDO-001</x:v>
      </x:c>
      <x:c r="C36" s="4" t="str">
        <x:v>REQUISITO-SOFTWARE-INDIVIDUAL-0.1</x:v>
      </x:c>
      <x:c r="D36" s="4" t="str">
        <x:v>COINCIDE</x:v>
      </x:c>
      <x:c r="E36" s="4" t="str">
        <x:v>LEGIBLE</x:v>
      </x:c>
      <x:c r="F36" s="4" t="str">
        <x:v>INSTRUCCION_ESPECIFICA</x:v>
      </x:c>
      <x:c r="G36" s="4" t="str">
        <x:v>CONFLICTO</x:v>
      </x:c>
      <x:c r="H36" s="4" t="str"/>
      <x:c r="I36" s="4" t="str"/>
      <x:c r="J36" s="4" t="str">
        <x:v>COMPLETA</x:v>
      </x:c>
      <x:c r="K36" s="4" t="str">
        <x:v>UN_SOFTWARE</x:v>
      </x:c>
      <x:c r="L36" s="4" t="str">
        <x:v>VALIDA</x:v>
      </x:c>
      <x:c r="M36" s="4" t="str">
        <x:v>U</x:v>
      </x:c>
      <x:c r="N36" s="4" t="str">
        <x:v>CONFLICTO_OBSERVACIONAL</x:v>
      </x:c>
      <x:c r="O36" s="12" t="str">
        <x:f>IF(Q36="SIN_EJECUCION_DOMINIO","FALLO_CAPTURA",IF(OR(Q36="CAPTURA_MAL_FORMADA",Q36="IDENTIDAD",Q36="OBSERVACION_MAL_FORMADA",Q36="LEXEMA_O_FORMA"),"NO_ADMISION",IF(OR(Q36="PERFIL_NO_CONSTITUIDO",Q36="RESULTADO_NO_TERMINAL"),"FUERA_PERFIL",IF(Q36="CONTEXTO_NO_CONSTITUIDO","CONFIGURACION_PENDIENTE","VALIDA"))))</x:f>
        <x:v>VALIDA</x:v>
      </x:c>
      <x:c r="P36" s="12" t="str">
        <x:f>IF(O36&lt;&gt;"VALIDA","",IF(Q36=AA36,"1",IF(Q36=AB36,"0","U")))</x:f>
        <x:v>U</x:v>
      </x:c>
      <x:c r="Q36" s="12" t="str">
        <x:f>IF(E36="FALLO","SIN_EJECUCION_DOMINIO",IF(E36&lt;&gt;"LEGIBLE","CAPTURA_MAL_FORMADA",IF(D36&lt;&gt;"COINCIDE","IDENTIDAD",IF(OR(T36="",C36&lt;&gt;T36),"PERFIL_NO_CONSTITUIDO",IF(K36&lt;&gt;V36,IF(V36="ORDEN_ACREDITADO","ORDEN_NO_ACREDITADO","CONTEXTO_NO_CONSTITUIDO"),IF(AND(G36="AUSENTE",H36="",I36=""),"DATO_AUSENTE",IF(AND(G36="CONFLICTO",H36="",I36=""),"CONFLICTO_OBSERVACIONAL",IF(G36&lt;&gt;"UNICA","OBSERVACION_MAL_FORMADA",IF(F36&lt;&gt;U36,"OBSERVACION_INSUFICIENTE",IF(W36="RESULTADO",IF(H36=X36,AA36,IF(OR(H36="orcSucceededWithErrors",H36="orcFailed",H36="orcAborted"),AB36,IF(OR(H36="orcNotStarted",H36="orcInProgress"),"RESULTADO_NO_TERMINAL","LEXEMA_O_FORMA"))),IF(W36="EVENTO_BOOT",IF(H36=X36,AA36,IF(OR(H36="NINGUNO",H36="SOLO_HIBRIDO"),IF(J36="COMPLETA",AB36,"COBERTURA_INSUFICIENTE"),"LEXEMA_O_FORMA")),IF(W36="REQUISITO_SOFT",IF(H36=X36,AA36,IF(H36=Z36,AB36,"LEXEMA_O_FORMA")),IF(W36="EVENTO_PROC",IF(H36=X36,AA36,IF(H36=Z36,IF(J36="COMPLETA",AB36,"COBERTURA_INSUFICIENTE"),"LEXEMA_O_FORMA")),IF(W36="IMAGEN",IF(AND(AND(ISTEXT(H36),LEN(("x"&amp;H36))=65,EXACT(("x"&amp;H36),LOWER(("x"&amp;H36))),ISERROR(SEARCH(" ",("x"&amp;H36))),ISERROR(SEARCH(CHAR(9),("x"&amp;H36))),ISERROR(SEARCH(CHAR(10),("x"&amp;H36))),ISERROR(SEARCH(CHAR(13),("x"&amp;H36))),IFERROR(HEX2DEC(MID(("x"&amp;H36),2,8))&gt;=0,FALSE),IFERROR(HEX2DEC(MID(("x"&amp;H36),10,8))&gt;=0,FALSE),IFERROR(HEX2DEC(MID(("x"&amp;H36),18,8))&gt;=0,FALSE),IFERROR(HEX2DEC(MID(("x"&amp;H36),26,8))&gt;=0,FALSE),IFERROR(HEX2DEC(MID(("x"&amp;H36),34,8))&gt;=0,FALSE),IFERROR(HEX2DEC(MID(("x"&amp;H36),42,8))&gt;=0,FALSE),IFERROR(HEX2DEC(MID(("x"&amp;H36),50,8))&gt;=0,FALSE),IFERROR(HEX2DEC(MID(("x"&amp;H36),58,8))&gt;=0,FALSE)),AND(ISTEXT(I36),LEN(("x"&amp;I36))=65,EXACT(("x"&amp;I36),LOWER(("x"&amp;I36))),ISERROR(SEARCH(" ",("x"&amp;I36))),ISERROR(SEARCH(CHAR(9),("x"&amp;I36))),ISERROR(SEARCH(CHAR(10),("x"&amp;I36))),ISERROR(SEARCH(CHAR(13),("x"&amp;I36))),IFERROR(HEX2DEC(MID(("x"&amp;I36),2,8))&gt;=0,FALSE),IFERROR(HEX2DEC(MID(("x"&amp;I36),10,8))&gt;=0,FALSE),IFERROR(HEX2DEC(MID(("x"&amp;I36),18,8))&gt;=0,FALSE),IFERROR(HEX2DEC(MID(("x"&amp;I36),26,8))&gt;=0,FALSE),IFERROR(HEX2DEC(MID(("x"&amp;I36),34,8))&gt;=0,FALSE),IFERROR(HEX2DEC(MID(("x"&amp;I36),42,8))&gt;=0,FALSE),IFERROR(HEX2DEC(MID(("x"&amp;I36),50,8))&gt;=0,FALSE),IFERROR(HEX2DEC(MID(("x"&amp;I36),58,8))&gt;=0,FALSE))),IF(EXACT("x"&amp;H36,"x"&amp;I36),AA36,AB36),"LEXEMA_O_FORMA"),IF(W36="PRUEBA",IF(H36=X36,AA36,IF(H36=Z36,AB36,"LEXEMA_O_FORMA")),IF(W36="RETIRADA",IF(AND(H36="NINGUNO",I36=""),IF(J36="COMPLETA",AB36,"COBERTURA_INSUFICIENTE"),IF(AND(OR(H36="uoInstallation",H36="uoUninstallation"),OR(I36="orcSucceeded",I36="orcSucceededWithErrors",I36="orcFailed",I36="orcAborted",I36="orcInProgress",I36="orcNotStarted")),IF(AND(H36=X36,I36=Y36),AA36,IF(AND(H36=X36,OR(I36="orcSucceededWithErrors",I36="orcInProgress",I36="orcNotStarted")),"RESULTADO_RETIRADA_INCIERTO",IF(J36="COMPLETA",AB36,"COBERTURA_INSUFICIENTE"))),"LEXEMA_O_FORMA")),IF(W36="CAMBIO",IF(OR(H36="CAMBIO",H36="CAMBIO_Y_RETORNO"),AA36,IF(OR(H36="NINGUNO",H36="SOLO_RENOMBRE"),IF(J36="COMPLETA",AB36,"COBERTURA_INSUFICIENTE"),"LEXEMA_O_FORMA")),IF(W36="RESTAURACION",IF(H36=X36,AA36,IF(OR(H36="NINGUNO",H36="RESTAURACION_POSTERIOR",H36="RESTAURACION_FALLIDA"),IF(J36="COMPLETA",AB36,"COBERTURA_INSUFICIENTE"),"LEXEMA_O_FORMA")),"PERFIL_NO_CONSTITUIDO"))))))))))))))))))</x:f>
        <x:v>CONFLICTO_OBSERVACIONAL</x:v>
      </x:c>
      <x:c r="R36" s="12" t="str">
        <x:f>IF(AND(L36=O36,M36=P36,N36=Q36),"PASA","NO_PASA")</x:f>
        <x:v>PASA</x:v>
      </x:c>
      <x:c r="S36" s="4" t="str">
        <x:v>Conflicto entre observaciones admitidas del mismo sujeto y corte.</x:v>
      </x:c>
      <x:c r="T36" s="12" t="str">
        <x:f>IFERROR(INDEX('55_Codificacion_ensayo'!$B$5:$B$13,MATCH(B36,'55_Codificacion_ensayo'!$A$5:$A$13,0)),"")</x:f>
        <x:v>REQUISITO-SOFTWARE-INDIVIDUAL-0.1</x:v>
      </x:c>
      <x:c r="U36" s="12" t="str">
        <x:f>IFERROR(INDEX('55_Codificacion_ensayo'!$C$5:$C$13,MATCH(B36,'55_Codificacion_ensayo'!$A$5:$A$13,0)),"")</x:f>
        <x:v>INSTRUCCION_ESPECIFICA</x:v>
      </x:c>
      <x:c r="V36" s="12" t="str">
        <x:f>IFERROR(INDEX('55_Codificacion_ensayo'!$D$5:$D$13,MATCH(B36,'55_Codificacion_ensayo'!$A$5:$A$13,0)),"")</x:f>
        <x:v>UN_SOFTWARE</x:v>
      </x:c>
      <x:c r="W36" s="12" t="str">
        <x:f>IFERROR(INDEX('55_Codificacion_ensayo'!$E$5:$E$13,MATCH(B36,'55_Codificacion_ensayo'!$A$5:$A$13,0)),"")</x:f>
        <x:v>REQUISITO_SOFT</x:v>
      </x:c>
      <x:c r="X36" s="12" t="str">
        <x:f>IFERROR(INDEX('55_Codificacion_ensayo'!$F$5:$F$13,MATCH(B36,'55_Codificacion_ensayo'!$A$5:$A$13,0)),"")</x:f>
        <x:v>true</x:v>
      </x:c>
      <x:c r="Y36" s="12" t="str">
        <x:f>IFERROR(INDEX('55_Codificacion_ensayo'!$G$5:$G$13,MATCH(B36,'55_Codificacion_ensayo'!$A$5:$A$13,0)),"")</x:f>
      </x:c>
      <x:c r="Z36" s="12" t="str">
        <x:f>IFERROR(INDEX('55_Codificacion_ensayo'!$H$5:$H$13,MATCH(B36,'55_Codificacion_ensayo'!$A$5:$A$13,0)),"")</x:f>
        <x:v>false</x:v>
      </x:c>
      <x:c r="AA36" s="12" t="str">
        <x:f>IFERROR(INDEX('55_Codificacion_ensayo'!$I$5:$I$13,MATCH(B36,'55_Codificacion_ensayo'!$A$5:$A$13,0)),"")</x:f>
        <x:v>REQUISITO_SOFTWARE_SI</x:v>
      </x:c>
      <x:c r="AB36" s="12" t="str">
        <x:f>IFERROR(INDEX('55_Codificacion_ensayo'!$J$5:$J$13,MATCH(B36,'55_Codificacion_ensayo'!$A$5:$A$13,0)),"")</x:f>
        <x:v>REQUISITO_SOFTWARE_NO</x:v>
      </x:c>
    </x:row>
    <x:row r="37" ht="47" customHeight="1">
      <x:c r="A37" s="4" t="str">
        <x:v>L10-04-05</x:v>
      </x:c>
      <x:c r="B37" s="4" t="str">
        <x:v>PAR-CYB-REINICIO-SOFTWARE-REQUERIDO-001</x:v>
      </x:c>
      <x:c r="C37" s="4" t="str">
        <x:v>REQUISITO-SOFTWARE-INDIVIDUAL-0.1</x:v>
      </x:c>
      <x:c r="D37" s="4" t="str">
        <x:v>COINCIDE</x:v>
      </x:c>
      <x:c r="E37" s="4" t="str">
        <x:v>FALLO</x:v>
      </x:c>
      <x:c r="F37" s="4" t="str">
        <x:v>INSTRUCCION_ESPECIFICA</x:v>
      </x:c>
      <x:c r="G37" s="4" t="str">
        <x:v>UNICA</x:v>
      </x:c>
      <x:c r="H37" s="4" t="str">
        <x:v>true</x:v>
      </x:c>
      <x:c r="I37" s="4" t="str"/>
      <x:c r="J37" s="4" t="str">
        <x:v>COMPLETA</x:v>
      </x:c>
      <x:c r="K37" s="4" t="str">
        <x:v>UN_SOFTWARE</x:v>
      </x:c>
      <x:c r="L37" s="4" t="str">
        <x:v>FALLO_CAPTURA</x:v>
      </x:c>
      <x:c r="M37" s="4" t="str"/>
      <x:c r="N37" s="4" t="str">
        <x:v>SIN_EJECUCION_DOMINIO</x:v>
      </x:c>
      <x:c r="O37" s="12" t="str">
        <x:f>IF(Q37="SIN_EJECUCION_DOMINIO","FALLO_CAPTURA",IF(OR(Q37="CAPTURA_MAL_FORMADA",Q37="IDENTIDAD",Q37="OBSERVACION_MAL_FORMADA",Q37="LEXEMA_O_FORMA"),"NO_ADMISION",IF(OR(Q37="PERFIL_NO_CONSTITUIDO",Q37="RESULTADO_NO_TERMINAL"),"FUERA_PERFIL",IF(Q37="CONTEXTO_NO_CONSTITUIDO","CONFIGURACION_PENDIENTE","VALIDA"))))</x:f>
        <x:v>FALLO_CAPTURA</x:v>
      </x:c>
      <x:c r="P37" s="12" t="str">
        <x:f>IF(O37&lt;&gt;"VALIDA","",IF(Q37=AA37,"1",IF(Q37=AB37,"0","U")))</x:f>
      </x:c>
      <x:c r="Q37" s="12" t="str">
        <x:f>IF(E37="FALLO","SIN_EJECUCION_DOMINIO",IF(E37&lt;&gt;"LEGIBLE","CAPTURA_MAL_FORMADA",IF(D37&lt;&gt;"COINCIDE","IDENTIDAD",IF(OR(T37="",C37&lt;&gt;T37),"PERFIL_NO_CONSTITUIDO",IF(K37&lt;&gt;V37,IF(V37="ORDEN_ACREDITADO","ORDEN_NO_ACREDITADO","CONTEXTO_NO_CONSTITUIDO"),IF(AND(G37="AUSENTE",H37="",I37=""),"DATO_AUSENTE",IF(AND(G37="CONFLICTO",H37="",I37=""),"CONFLICTO_OBSERVACIONAL",IF(G37&lt;&gt;"UNICA","OBSERVACION_MAL_FORMADA",IF(F37&lt;&gt;U37,"OBSERVACION_INSUFICIENTE",IF(W37="RESULTADO",IF(H37=X37,AA37,IF(OR(H37="orcSucceededWithErrors",H37="orcFailed",H37="orcAborted"),AB37,IF(OR(H37="orcNotStarted",H37="orcInProgress"),"RESULTADO_NO_TERMINAL","LEXEMA_O_FORMA"))),IF(W37="EVENTO_BOOT",IF(H37=X37,AA37,IF(OR(H37="NINGUNO",H37="SOLO_HIBRIDO"),IF(J37="COMPLETA",AB37,"COBERTURA_INSUFICIENTE"),"LEXEMA_O_FORMA")),IF(W37="REQUISITO_SOFT",IF(H37=X37,AA37,IF(H37=Z37,AB37,"LEXEMA_O_FORMA")),IF(W37="EVENTO_PROC",IF(H37=X37,AA37,IF(H37=Z37,IF(J37="COMPLETA",AB37,"COBERTURA_INSUFICIENTE"),"LEXEMA_O_FORMA")),IF(W37="IMAGEN",IF(AND(AND(ISTEXT(H37),LEN(("x"&amp;H37))=65,EXACT(("x"&amp;H37),LOWER(("x"&amp;H37))),ISERROR(SEARCH(" ",("x"&amp;H37))),ISERROR(SEARCH(CHAR(9),("x"&amp;H37))),ISERROR(SEARCH(CHAR(10),("x"&amp;H37))),ISERROR(SEARCH(CHAR(13),("x"&amp;H37))),IFERROR(HEX2DEC(MID(("x"&amp;H37),2,8))&gt;=0,FALSE),IFERROR(HEX2DEC(MID(("x"&amp;H37),10,8))&gt;=0,FALSE),IFERROR(HEX2DEC(MID(("x"&amp;H37),18,8))&gt;=0,FALSE),IFERROR(HEX2DEC(MID(("x"&amp;H37),26,8))&gt;=0,FALSE),IFERROR(HEX2DEC(MID(("x"&amp;H37),34,8))&gt;=0,FALSE),IFERROR(HEX2DEC(MID(("x"&amp;H37),42,8))&gt;=0,FALSE),IFERROR(HEX2DEC(MID(("x"&amp;H37),50,8))&gt;=0,FALSE),IFERROR(HEX2DEC(MID(("x"&amp;H37),58,8))&gt;=0,FALSE)),AND(ISTEXT(I37),LEN(("x"&amp;I37))=65,EXACT(("x"&amp;I37),LOWER(("x"&amp;I37))),ISERROR(SEARCH(" ",("x"&amp;I37))),ISERROR(SEARCH(CHAR(9),("x"&amp;I37))),ISERROR(SEARCH(CHAR(10),("x"&amp;I37))),ISERROR(SEARCH(CHAR(13),("x"&amp;I37))),IFERROR(HEX2DEC(MID(("x"&amp;I37),2,8))&gt;=0,FALSE),IFERROR(HEX2DEC(MID(("x"&amp;I37),10,8))&gt;=0,FALSE),IFERROR(HEX2DEC(MID(("x"&amp;I37),18,8))&gt;=0,FALSE),IFERROR(HEX2DEC(MID(("x"&amp;I37),26,8))&gt;=0,FALSE),IFERROR(HEX2DEC(MID(("x"&amp;I37),34,8))&gt;=0,FALSE),IFERROR(HEX2DEC(MID(("x"&amp;I37),42,8))&gt;=0,FALSE),IFERROR(HEX2DEC(MID(("x"&amp;I37),50,8))&gt;=0,FALSE),IFERROR(HEX2DEC(MID(("x"&amp;I37),58,8))&gt;=0,FALSE))),IF(EXACT("x"&amp;H37,"x"&amp;I37),AA37,AB37),"LEXEMA_O_FORMA"),IF(W37="PRUEBA",IF(H37=X37,AA37,IF(H37=Z37,AB37,"LEXEMA_O_FORMA")),IF(W37="RETIRADA",IF(AND(H37="NINGUNO",I37=""),IF(J37="COMPLETA",AB37,"COBERTURA_INSUFICIENTE"),IF(AND(OR(H37="uoInstallation",H37="uoUninstallation"),OR(I37="orcSucceeded",I37="orcSucceededWithErrors",I37="orcFailed",I37="orcAborted",I37="orcInProgress",I37="orcNotStarted")),IF(AND(H37=X37,I37=Y37),AA37,IF(AND(H37=X37,OR(I37="orcSucceededWithErrors",I37="orcInProgress",I37="orcNotStarted")),"RESULTADO_RETIRADA_INCIERTO",IF(J37="COMPLETA",AB37,"COBERTURA_INSUFICIENTE"))),"LEXEMA_O_FORMA")),IF(W37="CAMBIO",IF(OR(H37="CAMBIO",H37="CAMBIO_Y_RETORNO"),AA37,IF(OR(H37="NINGUNO",H37="SOLO_RENOMBRE"),IF(J37="COMPLETA",AB37,"COBERTURA_INSUFICIENTE"),"LEXEMA_O_FORMA")),IF(W37="RESTAURACION",IF(H37=X37,AA37,IF(OR(H37="NINGUNO",H37="RESTAURACION_POSTERIOR",H37="RESTAURACION_FALLIDA"),IF(J37="COMPLETA",AB37,"COBERTURA_INSUFICIENTE"),"LEXEMA_O_FORMA")),"PERFIL_NO_CONSTITUIDO"))))))))))))))))))</x:f>
        <x:v>SIN_EJECUCION_DOMINIO</x:v>
      </x:c>
      <x:c r="R37" s="12" t="str">
        <x:f>IF(AND(L37=O37,M37=P37,N37=Q37),"PASA","NO_PASA")</x:f>
        <x:v>PASA</x:v>
      </x:c>
      <x:c r="S37" s="4" t="str">
        <x:v>El observador falla; no existe ejecución de dominio ni Tri alternativo.</x:v>
      </x:c>
      <x:c r="T37" s="12" t="str">
        <x:f>IFERROR(INDEX('55_Codificacion_ensayo'!$B$5:$B$13,MATCH(B37,'55_Codificacion_ensayo'!$A$5:$A$13,0)),"")</x:f>
        <x:v>REQUISITO-SOFTWARE-INDIVIDUAL-0.1</x:v>
      </x:c>
      <x:c r="U37" s="12" t="str">
        <x:f>IFERROR(INDEX('55_Codificacion_ensayo'!$C$5:$C$13,MATCH(B37,'55_Codificacion_ensayo'!$A$5:$A$13,0)),"")</x:f>
        <x:v>INSTRUCCION_ESPECIFICA</x:v>
      </x:c>
      <x:c r="V37" s="12" t="str">
        <x:f>IFERROR(INDEX('55_Codificacion_ensayo'!$D$5:$D$13,MATCH(B37,'55_Codificacion_ensayo'!$A$5:$A$13,0)),"")</x:f>
        <x:v>UN_SOFTWARE</x:v>
      </x:c>
      <x:c r="W37" s="12" t="str">
        <x:f>IFERROR(INDEX('55_Codificacion_ensayo'!$E$5:$E$13,MATCH(B37,'55_Codificacion_ensayo'!$A$5:$A$13,0)),"")</x:f>
        <x:v>REQUISITO_SOFT</x:v>
      </x:c>
      <x:c r="X37" s="12" t="str">
        <x:f>IFERROR(INDEX('55_Codificacion_ensayo'!$F$5:$F$13,MATCH(B37,'55_Codificacion_ensayo'!$A$5:$A$13,0)),"")</x:f>
        <x:v>true</x:v>
      </x:c>
      <x:c r="Y37" s="12" t="str">
        <x:f>IFERROR(INDEX('55_Codificacion_ensayo'!$G$5:$G$13,MATCH(B37,'55_Codificacion_ensayo'!$A$5:$A$13,0)),"")</x:f>
      </x:c>
      <x:c r="Z37" s="12" t="str">
        <x:f>IFERROR(INDEX('55_Codificacion_ensayo'!$H$5:$H$13,MATCH(B37,'55_Codificacion_ensayo'!$A$5:$A$13,0)),"")</x:f>
        <x:v>false</x:v>
      </x:c>
      <x:c r="AA37" s="12" t="str">
        <x:f>IFERROR(INDEX('55_Codificacion_ensayo'!$I$5:$I$13,MATCH(B37,'55_Codificacion_ensayo'!$A$5:$A$13,0)),"")</x:f>
        <x:v>REQUISITO_SOFTWARE_SI</x:v>
      </x:c>
      <x:c r="AB37" s="12" t="str">
        <x:f>IFERROR(INDEX('55_Codificacion_ensayo'!$J$5:$J$13,MATCH(B37,'55_Codificacion_ensayo'!$A$5:$A$13,0)),"")</x:f>
        <x:v>REQUISITO_SOFTWARE_NO</x:v>
      </x:c>
    </x:row>
    <x:row r="38" ht="47" customHeight="1">
      <x:c r="A38" s="4" t="str">
        <x:v>L10-04-06</x:v>
      </x:c>
      <x:c r="B38" s="4" t="str">
        <x:v>PAR-CYB-REINICIO-SOFTWARE-REQUERIDO-001</x:v>
      </x:c>
      <x:c r="C38" s="4" t="str">
        <x:v>REQUISITO-SOFTWARE-INDIVIDUAL-0.1</x:v>
      </x:c>
      <x:c r="D38" s="4" t="str">
        <x:v>OTRO</x:v>
      </x:c>
      <x:c r="E38" s="4" t="str">
        <x:v>LEGIBLE</x:v>
      </x:c>
      <x:c r="F38" s="4" t="str">
        <x:v>INSTRUCCION_ESPECIFICA</x:v>
      </x:c>
      <x:c r="G38" s="4" t="str">
        <x:v>UNICA</x:v>
      </x:c>
      <x:c r="H38" s="4" t="str">
        <x:v>true</x:v>
      </x:c>
      <x:c r="I38" s="4" t="str"/>
      <x:c r="J38" s="4" t="str">
        <x:v>COMPLETA</x:v>
      </x:c>
      <x:c r="K38" s="4" t="str">
        <x:v>UN_SOFTWARE</x:v>
      </x:c>
      <x:c r="L38" s="4" t="str">
        <x:v>NO_ADMISION</x:v>
      </x:c>
      <x:c r="M38" s="4" t="str"/>
      <x:c r="N38" s="4" t="str">
        <x:v>IDENTIDAD</x:v>
      </x:c>
      <x:c r="O38" s="12" t="str">
        <x:f>IF(Q38="SIN_EJECUCION_DOMINIO","FALLO_CAPTURA",IF(OR(Q38="CAPTURA_MAL_FORMADA",Q38="IDENTIDAD",Q38="OBSERVACION_MAL_FORMADA",Q38="LEXEMA_O_FORMA"),"NO_ADMISION",IF(OR(Q38="PERFIL_NO_CONSTITUIDO",Q38="RESULTADO_NO_TERMINAL"),"FUERA_PERFIL",IF(Q38="CONTEXTO_NO_CONSTITUIDO","CONFIGURACION_PENDIENTE","VALIDA"))))</x:f>
        <x:v>NO_ADMISION</x:v>
      </x:c>
      <x:c r="P38" s="12" t="str">
        <x:f>IF(O38&lt;&gt;"VALIDA","",IF(Q38=AA38,"1",IF(Q38=AB38,"0","U")))</x:f>
      </x:c>
      <x:c r="Q38" s="12" t="str">
        <x:f>IF(E38="FALLO","SIN_EJECUCION_DOMINIO",IF(E38&lt;&gt;"LEGIBLE","CAPTURA_MAL_FORMADA",IF(D38&lt;&gt;"COINCIDE","IDENTIDAD",IF(OR(T38="",C38&lt;&gt;T38),"PERFIL_NO_CONSTITUIDO",IF(K38&lt;&gt;V38,IF(V38="ORDEN_ACREDITADO","ORDEN_NO_ACREDITADO","CONTEXTO_NO_CONSTITUIDO"),IF(AND(G38="AUSENTE",H38="",I38=""),"DATO_AUSENTE",IF(AND(G38="CONFLICTO",H38="",I38=""),"CONFLICTO_OBSERVACIONAL",IF(G38&lt;&gt;"UNICA","OBSERVACION_MAL_FORMADA",IF(F38&lt;&gt;U38,"OBSERVACION_INSUFICIENTE",IF(W38="RESULTADO",IF(H38=X38,AA38,IF(OR(H38="orcSucceededWithErrors",H38="orcFailed",H38="orcAborted"),AB38,IF(OR(H38="orcNotStarted",H38="orcInProgress"),"RESULTADO_NO_TERMINAL","LEXEMA_O_FORMA"))),IF(W38="EVENTO_BOOT",IF(H38=X38,AA38,IF(OR(H38="NINGUNO",H38="SOLO_HIBRIDO"),IF(J38="COMPLETA",AB38,"COBERTURA_INSUFICIENTE"),"LEXEMA_O_FORMA")),IF(W38="REQUISITO_SOFT",IF(H38=X38,AA38,IF(H38=Z38,AB38,"LEXEMA_O_FORMA")),IF(W38="EVENTO_PROC",IF(H38=X38,AA38,IF(H38=Z38,IF(J38="COMPLETA",AB38,"COBERTURA_INSUFICIENTE"),"LEXEMA_O_FORMA")),IF(W38="IMAGEN",IF(AND(AND(ISTEXT(H38),LEN(("x"&amp;H38))=65,EXACT(("x"&amp;H38),LOWER(("x"&amp;H38))),ISERROR(SEARCH(" ",("x"&amp;H38))),ISERROR(SEARCH(CHAR(9),("x"&amp;H38))),ISERROR(SEARCH(CHAR(10),("x"&amp;H38))),ISERROR(SEARCH(CHAR(13),("x"&amp;H38))),IFERROR(HEX2DEC(MID(("x"&amp;H38),2,8))&gt;=0,FALSE),IFERROR(HEX2DEC(MID(("x"&amp;H38),10,8))&gt;=0,FALSE),IFERROR(HEX2DEC(MID(("x"&amp;H38),18,8))&gt;=0,FALSE),IFERROR(HEX2DEC(MID(("x"&amp;H38),26,8))&gt;=0,FALSE),IFERROR(HEX2DEC(MID(("x"&amp;H38),34,8))&gt;=0,FALSE),IFERROR(HEX2DEC(MID(("x"&amp;H38),42,8))&gt;=0,FALSE),IFERROR(HEX2DEC(MID(("x"&amp;H38),50,8))&gt;=0,FALSE),IFERROR(HEX2DEC(MID(("x"&amp;H38),58,8))&gt;=0,FALSE)),AND(ISTEXT(I38),LEN(("x"&amp;I38))=65,EXACT(("x"&amp;I38),LOWER(("x"&amp;I38))),ISERROR(SEARCH(" ",("x"&amp;I38))),ISERROR(SEARCH(CHAR(9),("x"&amp;I38))),ISERROR(SEARCH(CHAR(10),("x"&amp;I38))),ISERROR(SEARCH(CHAR(13),("x"&amp;I38))),IFERROR(HEX2DEC(MID(("x"&amp;I38),2,8))&gt;=0,FALSE),IFERROR(HEX2DEC(MID(("x"&amp;I38),10,8))&gt;=0,FALSE),IFERROR(HEX2DEC(MID(("x"&amp;I38),18,8))&gt;=0,FALSE),IFERROR(HEX2DEC(MID(("x"&amp;I38),26,8))&gt;=0,FALSE),IFERROR(HEX2DEC(MID(("x"&amp;I38),34,8))&gt;=0,FALSE),IFERROR(HEX2DEC(MID(("x"&amp;I38),42,8))&gt;=0,FALSE),IFERROR(HEX2DEC(MID(("x"&amp;I38),50,8))&gt;=0,FALSE),IFERROR(HEX2DEC(MID(("x"&amp;I38),58,8))&gt;=0,FALSE))),IF(EXACT("x"&amp;H38,"x"&amp;I38),AA38,AB38),"LEXEMA_O_FORMA"),IF(W38="PRUEBA",IF(H38=X38,AA38,IF(H38=Z38,AB38,"LEXEMA_O_FORMA")),IF(W38="RETIRADA",IF(AND(H38="NINGUNO",I38=""),IF(J38="COMPLETA",AB38,"COBERTURA_INSUFICIENTE"),IF(AND(OR(H38="uoInstallation",H38="uoUninstallation"),OR(I38="orcSucceeded",I38="orcSucceededWithErrors",I38="orcFailed",I38="orcAborted",I38="orcInProgress",I38="orcNotStarted")),IF(AND(H38=X38,I38=Y38),AA38,IF(AND(H38=X38,OR(I38="orcSucceededWithErrors",I38="orcInProgress",I38="orcNotStarted")),"RESULTADO_RETIRADA_INCIERTO",IF(J38="COMPLETA",AB38,"COBERTURA_INSUFICIENTE"))),"LEXEMA_O_FORMA")),IF(W38="CAMBIO",IF(OR(H38="CAMBIO",H38="CAMBIO_Y_RETORNO"),AA38,IF(OR(H38="NINGUNO",H38="SOLO_RENOMBRE"),IF(J38="COMPLETA",AB38,"COBERTURA_INSUFICIENTE"),"LEXEMA_O_FORMA")),IF(W38="RESTAURACION",IF(H38=X38,AA38,IF(OR(H38="NINGUNO",H38="RESTAURACION_POSTERIOR",H38="RESTAURACION_FALLIDA"),IF(J38="COMPLETA",AB38,"COBERTURA_INSUFICIENTE"),"LEXEMA_O_FORMA")),"PERFIL_NO_CONSTITUIDO"))))))))))))))))))</x:f>
        <x:v>IDENTIDAD</x:v>
      </x:c>
      <x:c r="R38" s="12" t="str">
        <x:f>IF(AND(L38=O38,M38=P38,N38=Q38),"PASA","NO_PASA")</x:f>
        <x:v>PASA</x:v>
      </x:c>
      <x:c r="S38" s="4" t="str">
        <x:v>El testigo pertenece a otro sujeto; no se recicla su dato.</x:v>
      </x:c>
      <x:c r="T38" s="12" t="str">
        <x:f>IFERROR(INDEX('55_Codificacion_ensayo'!$B$5:$B$13,MATCH(B38,'55_Codificacion_ensayo'!$A$5:$A$13,0)),"")</x:f>
        <x:v>REQUISITO-SOFTWARE-INDIVIDUAL-0.1</x:v>
      </x:c>
      <x:c r="U38" s="12" t="str">
        <x:f>IFERROR(INDEX('55_Codificacion_ensayo'!$C$5:$C$13,MATCH(B38,'55_Codificacion_ensayo'!$A$5:$A$13,0)),"")</x:f>
        <x:v>INSTRUCCION_ESPECIFICA</x:v>
      </x:c>
      <x:c r="V38" s="12" t="str">
        <x:f>IFERROR(INDEX('55_Codificacion_ensayo'!$D$5:$D$13,MATCH(B38,'55_Codificacion_ensayo'!$A$5:$A$13,0)),"")</x:f>
        <x:v>UN_SOFTWARE</x:v>
      </x:c>
      <x:c r="W38" s="12" t="str">
        <x:f>IFERROR(INDEX('55_Codificacion_ensayo'!$E$5:$E$13,MATCH(B38,'55_Codificacion_ensayo'!$A$5:$A$13,0)),"")</x:f>
        <x:v>REQUISITO_SOFT</x:v>
      </x:c>
      <x:c r="X38" s="12" t="str">
        <x:f>IFERROR(INDEX('55_Codificacion_ensayo'!$F$5:$F$13,MATCH(B38,'55_Codificacion_ensayo'!$A$5:$A$13,0)),"")</x:f>
        <x:v>true</x:v>
      </x:c>
      <x:c r="Y38" s="12" t="str">
        <x:f>IFERROR(INDEX('55_Codificacion_ensayo'!$G$5:$G$13,MATCH(B38,'55_Codificacion_ensayo'!$A$5:$A$13,0)),"")</x:f>
      </x:c>
      <x:c r="Z38" s="12" t="str">
        <x:f>IFERROR(INDEX('55_Codificacion_ensayo'!$H$5:$H$13,MATCH(B38,'55_Codificacion_ensayo'!$A$5:$A$13,0)),"")</x:f>
        <x:v>false</x:v>
      </x:c>
      <x:c r="AA38" s="12" t="str">
        <x:f>IFERROR(INDEX('55_Codificacion_ensayo'!$I$5:$I$13,MATCH(B38,'55_Codificacion_ensayo'!$A$5:$A$13,0)),"")</x:f>
        <x:v>REQUISITO_SOFTWARE_SI</x:v>
      </x:c>
      <x:c r="AB38" s="12" t="str">
        <x:f>IFERROR(INDEX('55_Codificacion_ensayo'!$J$5:$J$13,MATCH(B38,'55_Codificacion_ensayo'!$A$5:$A$13,0)),"")</x:f>
        <x:v>REQUISITO_SOFTWARE_NO</x:v>
      </x:c>
    </x:row>
    <x:row r="39" ht="47" customHeight="1">
      <x:c r="A39" s="4" t="str">
        <x:v>L10-04-07</x:v>
      </x:c>
      <x:c r="B39" s="4" t="str">
        <x:v>PAR-CYB-REINICIO-SOFTWARE-REQUERIDO-001</x:v>
      </x:c>
      <x:c r="C39" s="4" t="str">
        <x:v>REQUISITO-SOFTWARE-INDIVIDUAL-0.1</x:v>
      </x:c>
      <x:c r="D39" s="4" t="str">
        <x:v>COINCIDE</x:v>
      </x:c>
      <x:c r="E39" s="4" t="str">
        <x:v>LEGIBLE</x:v>
      </x:c>
      <x:c r="F39" s="4" t="str">
        <x:v>FUENTE_GENERAL</x:v>
      </x:c>
      <x:c r="G39" s="4" t="str">
        <x:v>UNICA</x:v>
      </x:c>
      <x:c r="H39" s="4" t="str">
        <x:v>true</x:v>
      </x:c>
      <x:c r="I39" s="4" t="str"/>
      <x:c r="J39" s="4" t="str">
        <x:v>COMPLETA</x:v>
      </x:c>
      <x:c r="K39" s="4" t="str">
        <x:v>UN_SOFTWARE</x:v>
      </x:c>
      <x:c r="L39" s="4" t="str">
        <x:v>VALIDA</x:v>
      </x:c>
      <x:c r="M39" s="4" t="str">
        <x:v>U</x:v>
      </x:c>
      <x:c r="N39" s="4" t="str">
        <x:v>OBSERVACION_INSUFICIENTE</x:v>
      </x:c>
      <x:c r="O39" s="12" t="str">
        <x:f>IF(Q39="SIN_EJECUCION_DOMINIO","FALLO_CAPTURA",IF(OR(Q39="CAPTURA_MAL_FORMADA",Q39="IDENTIDAD",Q39="OBSERVACION_MAL_FORMADA",Q39="LEXEMA_O_FORMA"),"NO_ADMISION",IF(OR(Q39="PERFIL_NO_CONSTITUIDO",Q39="RESULTADO_NO_TERMINAL"),"FUERA_PERFIL",IF(Q39="CONTEXTO_NO_CONSTITUIDO","CONFIGURACION_PENDIENTE","VALIDA"))))</x:f>
        <x:v>VALIDA</x:v>
      </x:c>
      <x:c r="P39" s="12" t="str">
        <x:f>IF(O39&lt;&gt;"VALIDA","",IF(Q39=AA39,"1",IF(Q39=AB39,"0","U")))</x:f>
        <x:v>U</x:v>
      </x:c>
      <x:c r="Q39" s="12" t="str">
        <x:f>IF(E39="FALLO","SIN_EJECUCION_DOMINIO",IF(E39&lt;&gt;"LEGIBLE","CAPTURA_MAL_FORMADA",IF(D39&lt;&gt;"COINCIDE","IDENTIDAD",IF(OR(T39="",C39&lt;&gt;T39),"PERFIL_NO_CONSTITUIDO",IF(K39&lt;&gt;V39,IF(V39="ORDEN_ACREDITADO","ORDEN_NO_ACREDITADO","CONTEXTO_NO_CONSTITUIDO"),IF(AND(G39="AUSENTE",H39="",I39=""),"DATO_AUSENTE",IF(AND(G39="CONFLICTO",H39="",I39=""),"CONFLICTO_OBSERVACIONAL",IF(G39&lt;&gt;"UNICA","OBSERVACION_MAL_FORMADA",IF(F39&lt;&gt;U39,"OBSERVACION_INSUFICIENTE",IF(W39="RESULTADO",IF(H39=X39,AA39,IF(OR(H39="orcSucceededWithErrors",H39="orcFailed",H39="orcAborted"),AB39,IF(OR(H39="orcNotStarted",H39="orcInProgress"),"RESULTADO_NO_TERMINAL","LEXEMA_O_FORMA"))),IF(W39="EVENTO_BOOT",IF(H39=X39,AA39,IF(OR(H39="NINGUNO",H39="SOLO_HIBRIDO"),IF(J39="COMPLETA",AB39,"COBERTURA_INSUFICIENTE"),"LEXEMA_O_FORMA")),IF(W39="REQUISITO_SOFT",IF(H39=X39,AA39,IF(H39=Z39,AB39,"LEXEMA_O_FORMA")),IF(W39="EVENTO_PROC",IF(H39=X39,AA39,IF(H39=Z39,IF(J39="COMPLETA",AB39,"COBERTURA_INSUFICIENTE"),"LEXEMA_O_FORMA")),IF(W39="IMAGEN",IF(AND(AND(ISTEXT(H39),LEN(("x"&amp;H39))=65,EXACT(("x"&amp;H39),LOWER(("x"&amp;H39))),ISERROR(SEARCH(" ",("x"&amp;H39))),ISERROR(SEARCH(CHAR(9),("x"&amp;H39))),ISERROR(SEARCH(CHAR(10),("x"&amp;H39))),ISERROR(SEARCH(CHAR(13),("x"&amp;H39))),IFERROR(HEX2DEC(MID(("x"&amp;H39),2,8))&gt;=0,FALSE),IFERROR(HEX2DEC(MID(("x"&amp;H39),10,8))&gt;=0,FALSE),IFERROR(HEX2DEC(MID(("x"&amp;H39),18,8))&gt;=0,FALSE),IFERROR(HEX2DEC(MID(("x"&amp;H39),26,8))&gt;=0,FALSE),IFERROR(HEX2DEC(MID(("x"&amp;H39),34,8))&gt;=0,FALSE),IFERROR(HEX2DEC(MID(("x"&amp;H39),42,8))&gt;=0,FALSE),IFERROR(HEX2DEC(MID(("x"&amp;H39),50,8))&gt;=0,FALSE),IFERROR(HEX2DEC(MID(("x"&amp;H39),58,8))&gt;=0,FALSE)),AND(ISTEXT(I39),LEN(("x"&amp;I39))=65,EXACT(("x"&amp;I39),LOWER(("x"&amp;I39))),ISERROR(SEARCH(" ",("x"&amp;I39))),ISERROR(SEARCH(CHAR(9),("x"&amp;I39))),ISERROR(SEARCH(CHAR(10),("x"&amp;I39))),ISERROR(SEARCH(CHAR(13),("x"&amp;I39))),IFERROR(HEX2DEC(MID(("x"&amp;I39),2,8))&gt;=0,FALSE),IFERROR(HEX2DEC(MID(("x"&amp;I39),10,8))&gt;=0,FALSE),IFERROR(HEX2DEC(MID(("x"&amp;I39),18,8))&gt;=0,FALSE),IFERROR(HEX2DEC(MID(("x"&amp;I39),26,8))&gt;=0,FALSE),IFERROR(HEX2DEC(MID(("x"&amp;I39),34,8))&gt;=0,FALSE),IFERROR(HEX2DEC(MID(("x"&amp;I39),42,8))&gt;=0,FALSE),IFERROR(HEX2DEC(MID(("x"&amp;I39),50,8))&gt;=0,FALSE),IFERROR(HEX2DEC(MID(("x"&amp;I39),58,8))&gt;=0,FALSE))),IF(EXACT("x"&amp;H39,"x"&amp;I39),AA39,AB39),"LEXEMA_O_FORMA"),IF(W39="PRUEBA",IF(H39=X39,AA39,IF(H39=Z39,AB39,"LEXEMA_O_FORMA")),IF(W39="RETIRADA",IF(AND(H39="NINGUNO",I39=""),IF(J39="COMPLETA",AB39,"COBERTURA_INSUFICIENTE"),IF(AND(OR(H39="uoInstallation",H39="uoUninstallation"),OR(I39="orcSucceeded",I39="orcSucceededWithErrors",I39="orcFailed",I39="orcAborted",I39="orcInProgress",I39="orcNotStarted")),IF(AND(H39=X39,I39=Y39),AA39,IF(AND(H39=X39,OR(I39="orcSucceededWithErrors",I39="orcInProgress",I39="orcNotStarted")),"RESULTADO_RETIRADA_INCIERTO",IF(J39="COMPLETA",AB39,"COBERTURA_INSUFICIENTE"))),"LEXEMA_O_FORMA")),IF(W39="CAMBIO",IF(OR(H39="CAMBIO",H39="CAMBIO_Y_RETORNO"),AA39,IF(OR(H39="NINGUNO",H39="SOLO_RENOMBRE"),IF(J39="COMPLETA",AB39,"COBERTURA_INSUFICIENTE"),"LEXEMA_O_FORMA")),IF(W39="RESTAURACION",IF(H39=X39,AA39,IF(OR(H39="NINGUNO",H39="RESTAURACION_POSTERIOR",H39="RESTAURACION_FALLIDA"),IF(J39="COMPLETA",AB39,"COBERTURA_INSUFICIENTE"),"LEXEMA_O_FORMA")),"PERFIL_NO_CONSTITUIDO"))))))))))))))))))</x:f>
        <x:v>OBSERVACION_INSUFICIENTE</x:v>
      </x:c>
      <x:c r="R39" s="12" t="str">
        <x:f>IF(AND(L39=O39,M39=P39,N39=Q39),"PASA","NO_PASA")</x:f>
        <x:v>PASA</x:v>
      </x:c>
      <x:c r="S39" s="4" t="str">
        <x:v>Una fuente del dominio no sustituye la observación específica del episodio.</x:v>
      </x:c>
      <x:c r="T39" s="12" t="str">
        <x:f>IFERROR(INDEX('55_Codificacion_ensayo'!$B$5:$B$13,MATCH(B39,'55_Codificacion_ensayo'!$A$5:$A$13,0)),"")</x:f>
        <x:v>REQUISITO-SOFTWARE-INDIVIDUAL-0.1</x:v>
      </x:c>
      <x:c r="U39" s="12" t="str">
        <x:f>IFERROR(INDEX('55_Codificacion_ensayo'!$C$5:$C$13,MATCH(B39,'55_Codificacion_ensayo'!$A$5:$A$13,0)),"")</x:f>
        <x:v>INSTRUCCION_ESPECIFICA</x:v>
      </x:c>
      <x:c r="V39" s="12" t="str">
        <x:f>IFERROR(INDEX('55_Codificacion_ensayo'!$D$5:$D$13,MATCH(B39,'55_Codificacion_ensayo'!$A$5:$A$13,0)),"")</x:f>
        <x:v>UN_SOFTWARE</x:v>
      </x:c>
      <x:c r="W39" s="12" t="str">
        <x:f>IFERROR(INDEX('55_Codificacion_ensayo'!$E$5:$E$13,MATCH(B39,'55_Codificacion_ensayo'!$A$5:$A$13,0)),"")</x:f>
        <x:v>REQUISITO_SOFT</x:v>
      </x:c>
      <x:c r="X39" s="12" t="str">
        <x:f>IFERROR(INDEX('55_Codificacion_ensayo'!$F$5:$F$13,MATCH(B39,'55_Codificacion_ensayo'!$A$5:$A$13,0)),"")</x:f>
        <x:v>true</x:v>
      </x:c>
      <x:c r="Y39" s="12" t="str">
        <x:f>IFERROR(INDEX('55_Codificacion_ensayo'!$G$5:$G$13,MATCH(B39,'55_Codificacion_ensayo'!$A$5:$A$13,0)),"")</x:f>
      </x:c>
      <x:c r="Z39" s="12" t="str">
        <x:f>IFERROR(INDEX('55_Codificacion_ensayo'!$H$5:$H$13,MATCH(B39,'55_Codificacion_ensayo'!$A$5:$A$13,0)),"")</x:f>
        <x:v>false</x:v>
      </x:c>
      <x:c r="AA39" s="12" t="str">
        <x:f>IFERROR(INDEX('55_Codificacion_ensayo'!$I$5:$I$13,MATCH(B39,'55_Codificacion_ensayo'!$A$5:$A$13,0)),"")</x:f>
        <x:v>REQUISITO_SOFTWARE_SI</x:v>
      </x:c>
      <x:c r="AB39" s="12" t="str">
        <x:f>IFERROR(INDEX('55_Codificacion_ensayo'!$J$5:$J$13,MATCH(B39,'55_Codificacion_ensayo'!$A$5:$A$13,0)),"")</x:f>
        <x:v>REQUISITO_SOFTWARE_NO</x:v>
      </x:c>
    </x:row>
    <x:row r="40" ht="47" customHeight="1">
      <x:c r="A40" s="4" t="str">
        <x:v>L10-04-08</x:v>
      </x:c>
      <x:c r="B40" s="4" t="str">
        <x:v>PAR-CYB-REINICIO-SOFTWARE-REQUERIDO-001</x:v>
      </x:c>
      <x:c r="C40" s="4" t="str">
        <x:v>OTRO_PERFIL</x:v>
      </x:c>
      <x:c r="D40" s="4" t="str">
        <x:v>COINCIDE</x:v>
      </x:c>
      <x:c r="E40" s="4" t="str">
        <x:v>LEGIBLE</x:v>
      </x:c>
      <x:c r="F40" s="4" t="str">
        <x:v>INSTRUCCION_ESPECIFICA</x:v>
      </x:c>
      <x:c r="G40" s="4" t="str">
        <x:v>UNICA</x:v>
      </x:c>
      <x:c r="H40" s="4" t="str">
        <x:v>true</x:v>
      </x:c>
      <x:c r="I40" s="4" t="str"/>
      <x:c r="J40" s="4" t="str">
        <x:v>COMPLETA</x:v>
      </x:c>
      <x:c r="K40" s="4" t="str">
        <x:v>UN_SOFTWARE</x:v>
      </x:c>
      <x:c r="L40" s="4" t="str">
        <x:v>FUERA_PERFIL</x:v>
      </x:c>
      <x:c r="M40" s="4" t="str"/>
      <x:c r="N40" s="4" t="str">
        <x:v>PERFIL_NO_CONSTITUIDO</x:v>
      </x:c>
      <x:c r="O40" s="12" t="str">
        <x:f>IF(Q40="SIN_EJECUCION_DOMINIO","FALLO_CAPTURA",IF(OR(Q40="CAPTURA_MAL_FORMADA",Q40="IDENTIDAD",Q40="OBSERVACION_MAL_FORMADA",Q40="LEXEMA_O_FORMA"),"NO_ADMISION",IF(OR(Q40="PERFIL_NO_CONSTITUIDO",Q40="RESULTADO_NO_TERMINAL"),"FUERA_PERFIL",IF(Q40="CONTEXTO_NO_CONSTITUIDO","CONFIGURACION_PENDIENTE","VALIDA"))))</x:f>
        <x:v>FUERA_PERFIL</x:v>
      </x:c>
      <x:c r="P40" s="12" t="str">
        <x:f>IF(O40&lt;&gt;"VALIDA","",IF(Q40=AA40,"1",IF(Q40=AB40,"0","U")))</x:f>
      </x:c>
      <x:c r="Q40" s="12" t="str">
        <x:f>IF(E40="FALLO","SIN_EJECUCION_DOMINIO",IF(E40&lt;&gt;"LEGIBLE","CAPTURA_MAL_FORMADA",IF(D40&lt;&gt;"COINCIDE","IDENTIDAD",IF(OR(T40="",C40&lt;&gt;T40),"PERFIL_NO_CONSTITUIDO",IF(K40&lt;&gt;V40,IF(V40="ORDEN_ACREDITADO","ORDEN_NO_ACREDITADO","CONTEXTO_NO_CONSTITUIDO"),IF(AND(G40="AUSENTE",H40="",I40=""),"DATO_AUSENTE",IF(AND(G40="CONFLICTO",H40="",I40=""),"CONFLICTO_OBSERVACIONAL",IF(G40&lt;&gt;"UNICA","OBSERVACION_MAL_FORMADA",IF(F40&lt;&gt;U40,"OBSERVACION_INSUFICIENTE",IF(W40="RESULTADO",IF(H40=X40,AA40,IF(OR(H40="orcSucceededWithErrors",H40="orcFailed",H40="orcAborted"),AB40,IF(OR(H40="orcNotStarted",H40="orcInProgress"),"RESULTADO_NO_TERMINAL","LEXEMA_O_FORMA"))),IF(W40="EVENTO_BOOT",IF(H40=X40,AA40,IF(OR(H40="NINGUNO",H40="SOLO_HIBRIDO"),IF(J40="COMPLETA",AB40,"COBERTURA_INSUFICIENTE"),"LEXEMA_O_FORMA")),IF(W40="REQUISITO_SOFT",IF(H40=X40,AA40,IF(H40=Z40,AB40,"LEXEMA_O_FORMA")),IF(W40="EVENTO_PROC",IF(H40=X40,AA40,IF(H40=Z40,IF(J40="COMPLETA",AB40,"COBERTURA_INSUFICIENTE"),"LEXEMA_O_FORMA")),IF(W40="IMAGEN",IF(AND(AND(ISTEXT(H40),LEN(("x"&amp;H40))=65,EXACT(("x"&amp;H40),LOWER(("x"&amp;H40))),ISERROR(SEARCH(" ",("x"&amp;H40))),ISERROR(SEARCH(CHAR(9),("x"&amp;H40))),ISERROR(SEARCH(CHAR(10),("x"&amp;H40))),ISERROR(SEARCH(CHAR(13),("x"&amp;H40))),IFERROR(HEX2DEC(MID(("x"&amp;H40),2,8))&gt;=0,FALSE),IFERROR(HEX2DEC(MID(("x"&amp;H40),10,8))&gt;=0,FALSE),IFERROR(HEX2DEC(MID(("x"&amp;H40),18,8))&gt;=0,FALSE),IFERROR(HEX2DEC(MID(("x"&amp;H40),26,8))&gt;=0,FALSE),IFERROR(HEX2DEC(MID(("x"&amp;H40),34,8))&gt;=0,FALSE),IFERROR(HEX2DEC(MID(("x"&amp;H40),42,8))&gt;=0,FALSE),IFERROR(HEX2DEC(MID(("x"&amp;H40),50,8))&gt;=0,FALSE),IFERROR(HEX2DEC(MID(("x"&amp;H40),58,8))&gt;=0,FALSE)),AND(ISTEXT(I40),LEN(("x"&amp;I40))=65,EXACT(("x"&amp;I40),LOWER(("x"&amp;I40))),ISERROR(SEARCH(" ",("x"&amp;I40))),ISERROR(SEARCH(CHAR(9),("x"&amp;I40))),ISERROR(SEARCH(CHAR(10),("x"&amp;I40))),ISERROR(SEARCH(CHAR(13),("x"&amp;I40))),IFERROR(HEX2DEC(MID(("x"&amp;I40),2,8))&gt;=0,FALSE),IFERROR(HEX2DEC(MID(("x"&amp;I40),10,8))&gt;=0,FALSE),IFERROR(HEX2DEC(MID(("x"&amp;I40),18,8))&gt;=0,FALSE),IFERROR(HEX2DEC(MID(("x"&amp;I40),26,8))&gt;=0,FALSE),IFERROR(HEX2DEC(MID(("x"&amp;I40),34,8))&gt;=0,FALSE),IFERROR(HEX2DEC(MID(("x"&amp;I40),42,8))&gt;=0,FALSE),IFERROR(HEX2DEC(MID(("x"&amp;I40),50,8))&gt;=0,FALSE),IFERROR(HEX2DEC(MID(("x"&amp;I40),58,8))&gt;=0,FALSE))),IF(EXACT("x"&amp;H40,"x"&amp;I40),AA40,AB40),"LEXEMA_O_FORMA"),IF(W40="PRUEBA",IF(H40=X40,AA40,IF(H40=Z40,AB40,"LEXEMA_O_FORMA")),IF(W40="RETIRADA",IF(AND(H40="NINGUNO",I40=""),IF(J40="COMPLETA",AB40,"COBERTURA_INSUFICIENTE"),IF(AND(OR(H40="uoInstallation",H40="uoUninstallation"),OR(I40="orcSucceeded",I40="orcSucceededWithErrors",I40="orcFailed",I40="orcAborted",I40="orcInProgress",I40="orcNotStarted")),IF(AND(H40=X40,I40=Y40),AA40,IF(AND(H40=X40,OR(I40="orcSucceededWithErrors",I40="orcInProgress",I40="orcNotStarted")),"RESULTADO_RETIRADA_INCIERTO",IF(J40="COMPLETA",AB40,"COBERTURA_INSUFICIENTE"))),"LEXEMA_O_FORMA")),IF(W40="CAMBIO",IF(OR(H40="CAMBIO",H40="CAMBIO_Y_RETORNO"),AA40,IF(OR(H40="NINGUNO",H40="SOLO_RENOMBRE"),IF(J40="COMPLETA",AB40,"COBERTURA_INSUFICIENTE"),"LEXEMA_O_FORMA")),IF(W40="RESTAURACION",IF(H40=X40,AA40,IF(OR(H40="NINGUNO",H40="RESTAURACION_POSTERIOR",H40="RESTAURACION_FALLIDA"),IF(J40="COMPLETA",AB40,"COBERTURA_INSUFICIENTE"),"LEXEMA_O_FORMA")),"PERFIL_NO_CONSTITUIDO"))))))))))))))))))</x:f>
        <x:v>PERFIL_NO_CONSTITUIDO</x:v>
      </x:c>
      <x:c r="R40" s="12" t="str">
        <x:f>IF(AND(L40=O40,M40=P40,N40=Q40),"PASA","NO_PASA")</x:f>
        <x:v>PASA</x:v>
      </x:c>
      <x:c r="S40" s="4" t="str">
        <x:v>Perfil de otro producto no se normaliza por analogía.</x:v>
      </x:c>
      <x:c r="T40" s="12" t="str">
        <x:f>IFERROR(INDEX('55_Codificacion_ensayo'!$B$5:$B$13,MATCH(B40,'55_Codificacion_ensayo'!$A$5:$A$13,0)),"")</x:f>
        <x:v>REQUISITO-SOFTWARE-INDIVIDUAL-0.1</x:v>
      </x:c>
      <x:c r="U40" s="12" t="str">
        <x:f>IFERROR(INDEX('55_Codificacion_ensayo'!$C$5:$C$13,MATCH(B40,'55_Codificacion_ensayo'!$A$5:$A$13,0)),"")</x:f>
        <x:v>INSTRUCCION_ESPECIFICA</x:v>
      </x:c>
      <x:c r="V40" s="12" t="str">
        <x:f>IFERROR(INDEX('55_Codificacion_ensayo'!$D$5:$D$13,MATCH(B40,'55_Codificacion_ensayo'!$A$5:$A$13,0)),"")</x:f>
        <x:v>UN_SOFTWARE</x:v>
      </x:c>
      <x:c r="W40" s="12" t="str">
        <x:f>IFERROR(INDEX('55_Codificacion_ensayo'!$E$5:$E$13,MATCH(B40,'55_Codificacion_ensayo'!$A$5:$A$13,0)),"")</x:f>
        <x:v>REQUISITO_SOFT</x:v>
      </x:c>
      <x:c r="X40" s="12" t="str">
        <x:f>IFERROR(INDEX('55_Codificacion_ensayo'!$F$5:$F$13,MATCH(B40,'55_Codificacion_ensayo'!$A$5:$A$13,0)),"")</x:f>
        <x:v>true</x:v>
      </x:c>
      <x:c r="Y40" s="12" t="str">
        <x:f>IFERROR(INDEX('55_Codificacion_ensayo'!$G$5:$G$13,MATCH(B40,'55_Codificacion_ensayo'!$A$5:$A$13,0)),"")</x:f>
      </x:c>
      <x:c r="Z40" s="12" t="str">
        <x:f>IFERROR(INDEX('55_Codificacion_ensayo'!$H$5:$H$13,MATCH(B40,'55_Codificacion_ensayo'!$A$5:$A$13,0)),"")</x:f>
        <x:v>false</x:v>
      </x:c>
      <x:c r="AA40" s="12" t="str">
        <x:f>IFERROR(INDEX('55_Codificacion_ensayo'!$I$5:$I$13,MATCH(B40,'55_Codificacion_ensayo'!$A$5:$A$13,0)),"")</x:f>
        <x:v>REQUISITO_SOFTWARE_SI</x:v>
      </x:c>
      <x:c r="AB40" s="12" t="str">
        <x:f>IFERROR(INDEX('55_Codificacion_ensayo'!$J$5:$J$13,MATCH(B40,'55_Codificacion_ensayo'!$A$5:$A$13,0)),"")</x:f>
        <x:v>REQUISITO_SOFTWARE_NO</x:v>
      </x:c>
    </x:row>
    <x:row r="41" ht="47" customHeight="1">
      <x:c r="A41" s="4" t="str">
        <x:v>L10-04-09</x:v>
      </x:c>
      <x:c r="B41" s="4" t="str">
        <x:v>PAR-CYB-REINICIO-SOFTWARE-REQUERIDO-001</x:v>
      </x:c>
      <x:c r="C41" s="4" t="str">
        <x:v>REQUISITO-SOFTWARE-INDIVIDUAL-0.1</x:v>
      </x:c>
      <x:c r="D41" s="4" t="str">
        <x:v>COINCIDE</x:v>
      </x:c>
      <x:c r="E41" s="4" t="str">
        <x:v>LEGIBLE</x:v>
      </x:c>
      <x:c r="F41" s="4" t="str">
        <x:v>INSTRUCCION_ESPECIFICA</x:v>
      </x:c>
      <x:c r="G41" s="4" t="str">
        <x:v>UNICA</x:v>
      </x:c>
      <x:c r="H41" s="4" t="str">
        <x:v>true false desconocido</x:v>
      </x:c>
      <x:c r="I41" s="4" t="str"/>
      <x:c r="J41" s="4" t="str">
        <x:v>COMPLETA</x:v>
      </x:c>
      <x:c r="K41" s="4" t="str">
        <x:v>UN_SOFTWARE</x:v>
      </x:c>
      <x:c r="L41" s="4" t="str">
        <x:v>NO_ADMISION</x:v>
      </x:c>
      <x:c r="M41" s="4" t="str"/>
      <x:c r="N41" s="4" t="str">
        <x:v>LEXEMA_O_FORMA</x:v>
      </x:c>
      <x:c r="O41" s="12" t="str">
        <x:f>IF(Q41="SIN_EJECUCION_DOMINIO","FALLO_CAPTURA",IF(OR(Q41="CAPTURA_MAL_FORMADA",Q41="IDENTIDAD",Q41="OBSERVACION_MAL_FORMADA",Q41="LEXEMA_O_FORMA"),"NO_ADMISION",IF(OR(Q41="PERFIL_NO_CONSTITUIDO",Q41="RESULTADO_NO_TERMINAL"),"FUERA_PERFIL",IF(Q41="CONTEXTO_NO_CONSTITUIDO","CONFIGURACION_PENDIENTE","VALIDA"))))</x:f>
        <x:v>NO_ADMISION</x:v>
      </x:c>
      <x:c r="P41" s="12" t="str">
        <x:f>IF(O41&lt;&gt;"VALIDA","",IF(Q41=AA41,"1",IF(Q41=AB41,"0","U")))</x:f>
      </x:c>
      <x:c r="Q41" s="12" t="str">
        <x:f>IF(E41="FALLO","SIN_EJECUCION_DOMINIO",IF(E41&lt;&gt;"LEGIBLE","CAPTURA_MAL_FORMADA",IF(D41&lt;&gt;"COINCIDE","IDENTIDAD",IF(OR(T41="",C41&lt;&gt;T41),"PERFIL_NO_CONSTITUIDO",IF(K41&lt;&gt;V41,IF(V41="ORDEN_ACREDITADO","ORDEN_NO_ACREDITADO","CONTEXTO_NO_CONSTITUIDO"),IF(AND(G41="AUSENTE",H41="",I41=""),"DATO_AUSENTE",IF(AND(G41="CONFLICTO",H41="",I41=""),"CONFLICTO_OBSERVACIONAL",IF(G41&lt;&gt;"UNICA","OBSERVACION_MAL_FORMADA",IF(F41&lt;&gt;U41,"OBSERVACION_INSUFICIENTE",IF(W41="RESULTADO",IF(H41=X41,AA41,IF(OR(H41="orcSucceededWithErrors",H41="orcFailed",H41="orcAborted"),AB41,IF(OR(H41="orcNotStarted",H41="orcInProgress"),"RESULTADO_NO_TERMINAL","LEXEMA_O_FORMA"))),IF(W41="EVENTO_BOOT",IF(H41=X41,AA41,IF(OR(H41="NINGUNO",H41="SOLO_HIBRIDO"),IF(J41="COMPLETA",AB41,"COBERTURA_INSUFICIENTE"),"LEXEMA_O_FORMA")),IF(W41="REQUISITO_SOFT",IF(H41=X41,AA41,IF(H41=Z41,AB41,"LEXEMA_O_FORMA")),IF(W41="EVENTO_PROC",IF(H41=X41,AA41,IF(H41=Z41,IF(J41="COMPLETA",AB41,"COBERTURA_INSUFICIENTE"),"LEXEMA_O_FORMA")),IF(W41="IMAGEN",IF(AND(AND(ISTEXT(H41),LEN(("x"&amp;H41))=65,EXACT(("x"&amp;H41),LOWER(("x"&amp;H41))),ISERROR(SEARCH(" ",("x"&amp;H41))),ISERROR(SEARCH(CHAR(9),("x"&amp;H41))),ISERROR(SEARCH(CHAR(10),("x"&amp;H41))),ISERROR(SEARCH(CHAR(13),("x"&amp;H41))),IFERROR(HEX2DEC(MID(("x"&amp;H41),2,8))&gt;=0,FALSE),IFERROR(HEX2DEC(MID(("x"&amp;H41),10,8))&gt;=0,FALSE),IFERROR(HEX2DEC(MID(("x"&amp;H41),18,8))&gt;=0,FALSE),IFERROR(HEX2DEC(MID(("x"&amp;H41),26,8))&gt;=0,FALSE),IFERROR(HEX2DEC(MID(("x"&amp;H41),34,8))&gt;=0,FALSE),IFERROR(HEX2DEC(MID(("x"&amp;H41),42,8))&gt;=0,FALSE),IFERROR(HEX2DEC(MID(("x"&amp;H41),50,8))&gt;=0,FALSE),IFERROR(HEX2DEC(MID(("x"&amp;H41),58,8))&gt;=0,FALSE)),AND(ISTEXT(I41),LEN(("x"&amp;I41))=65,EXACT(("x"&amp;I41),LOWER(("x"&amp;I41))),ISERROR(SEARCH(" ",("x"&amp;I41))),ISERROR(SEARCH(CHAR(9),("x"&amp;I41))),ISERROR(SEARCH(CHAR(10),("x"&amp;I41))),ISERROR(SEARCH(CHAR(13),("x"&amp;I41))),IFERROR(HEX2DEC(MID(("x"&amp;I41),2,8))&gt;=0,FALSE),IFERROR(HEX2DEC(MID(("x"&amp;I41),10,8))&gt;=0,FALSE),IFERROR(HEX2DEC(MID(("x"&amp;I41),18,8))&gt;=0,FALSE),IFERROR(HEX2DEC(MID(("x"&amp;I41),26,8))&gt;=0,FALSE),IFERROR(HEX2DEC(MID(("x"&amp;I41),34,8))&gt;=0,FALSE),IFERROR(HEX2DEC(MID(("x"&amp;I41),42,8))&gt;=0,FALSE),IFERROR(HEX2DEC(MID(("x"&amp;I41),50,8))&gt;=0,FALSE),IFERROR(HEX2DEC(MID(("x"&amp;I41),58,8))&gt;=0,FALSE))),IF(EXACT("x"&amp;H41,"x"&amp;I41),AA41,AB41),"LEXEMA_O_FORMA"),IF(W41="PRUEBA",IF(H41=X41,AA41,IF(H41=Z41,AB41,"LEXEMA_O_FORMA")),IF(W41="RETIRADA",IF(AND(H41="NINGUNO",I41=""),IF(J41="COMPLETA",AB41,"COBERTURA_INSUFICIENTE"),IF(AND(OR(H41="uoInstallation",H41="uoUninstallation"),OR(I41="orcSucceeded",I41="orcSucceededWithErrors",I41="orcFailed",I41="orcAborted",I41="orcInProgress",I41="orcNotStarted")),IF(AND(H41=X41,I41=Y41),AA41,IF(AND(H41=X41,OR(I41="orcSucceededWithErrors",I41="orcInProgress",I41="orcNotStarted")),"RESULTADO_RETIRADA_INCIERTO",IF(J41="COMPLETA",AB41,"COBERTURA_INSUFICIENTE"))),"LEXEMA_O_FORMA")),IF(W41="CAMBIO",IF(OR(H41="CAMBIO",H41="CAMBIO_Y_RETORNO"),AA41,IF(OR(H41="NINGUNO",H41="SOLO_RENOMBRE"),IF(J41="COMPLETA",AB41,"COBERTURA_INSUFICIENTE"),"LEXEMA_O_FORMA")),IF(W41="RESTAURACION",IF(H41=X41,AA41,IF(OR(H41="NINGUNO",H41="RESTAURACION_POSTERIOR",H41="RESTAURACION_FALLIDA"),IF(J41="COMPLETA",AB41,"COBERTURA_INSUFICIENTE"),"LEXEMA_O_FORMA")),"PERFIL_NO_CONSTITUIDO"))))))))))))))))))</x:f>
        <x:v>LEXEMA_O_FORMA</x:v>
      </x:c>
      <x:c r="R41" s="12" t="str">
        <x:f>IF(AND(L41=O41,M41=P41,N41=Q41),"PASA","NO_PASA")</x:f>
        <x:v>PASA</x:v>
      </x:c>
      <x:c r="S41" s="4" t="str">
        <x:v>La observación usa un lexema ajeno al contrato.</x:v>
      </x:c>
      <x:c r="T41" s="12" t="str">
        <x:f>IFERROR(INDEX('55_Codificacion_ensayo'!$B$5:$B$13,MATCH(B41,'55_Codificacion_ensayo'!$A$5:$A$13,0)),"")</x:f>
        <x:v>REQUISITO-SOFTWARE-INDIVIDUAL-0.1</x:v>
      </x:c>
      <x:c r="U41" s="12" t="str">
        <x:f>IFERROR(INDEX('55_Codificacion_ensayo'!$C$5:$C$13,MATCH(B41,'55_Codificacion_ensayo'!$A$5:$A$13,0)),"")</x:f>
        <x:v>INSTRUCCION_ESPECIFICA</x:v>
      </x:c>
      <x:c r="V41" s="12" t="str">
        <x:f>IFERROR(INDEX('55_Codificacion_ensayo'!$D$5:$D$13,MATCH(B41,'55_Codificacion_ensayo'!$A$5:$A$13,0)),"")</x:f>
        <x:v>UN_SOFTWARE</x:v>
      </x:c>
      <x:c r="W41" s="12" t="str">
        <x:f>IFERROR(INDEX('55_Codificacion_ensayo'!$E$5:$E$13,MATCH(B41,'55_Codificacion_ensayo'!$A$5:$A$13,0)),"")</x:f>
        <x:v>REQUISITO_SOFT</x:v>
      </x:c>
      <x:c r="X41" s="12" t="str">
        <x:f>IFERROR(INDEX('55_Codificacion_ensayo'!$F$5:$F$13,MATCH(B41,'55_Codificacion_ensayo'!$A$5:$A$13,0)),"")</x:f>
        <x:v>true</x:v>
      </x:c>
      <x:c r="Y41" s="12" t="str">
        <x:f>IFERROR(INDEX('55_Codificacion_ensayo'!$G$5:$G$13,MATCH(B41,'55_Codificacion_ensayo'!$A$5:$A$13,0)),"")</x:f>
      </x:c>
      <x:c r="Z41" s="12" t="str">
        <x:f>IFERROR(INDEX('55_Codificacion_ensayo'!$H$5:$H$13,MATCH(B41,'55_Codificacion_ensayo'!$A$5:$A$13,0)),"")</x:f>
        <x:v>false</x:v>
      </x:c>
      <x:c r="AA41" s="12" t="str">
        <x:f>IFERROR(INDEX('55_Codificacion_ensayo'!$I$5:$I$13,MATCH(B41,'55_Codificacion_ensayo'!$A$5:$A$13,0)),"")</x:f>
        <x:v>REQUISITO_SOFTWARE_SI</x:v>
      </x:c>
      <x:c r="AB41" s="12" t="str">
        <x:f>IFERROR(INDEX('55_Codificacion_ensayo'!$J$5:$J$13,MATCH(B41,'55_Codificacion_ensayo'!$A$5:$A$13,0)),"")</x:f>
        <x:v>REQUISITO_SOFTWARE_NO</x:v>
      </x:c>
    </x:row>
    <x:row r="42" ht="47" customHeight="1">
      <x:c r="A42" s="4" t="str">
        <x:v>L10-04-10</x:v>
      </x:c>
      <x:c r="B42" s="4" t="str">
        <x:v>PAR-CYB-REINICIO-SOFTWARE-REQUERIDO-001</x:v>
      </x:c>
      <x:c r="C42" s="4" t="str">
        <x:v>REQUISITO-SOFTWARE-INDIVIDUAL-0.1</x:v>
      </x:c>
      <x:c r="D42" s="4" t="str">
        <x:v>COINCIDE</x:v>
      </x:c>
      <x:c r="E42" s="4" t="str">
        <x:v>LEGIBLE</x:v>
      </x:c>
      <x:c r="F42" s="4" t="str">
        <x:v>INSTRUCCION_ESPECIFICA</x:v>
      </x:c>
      <x:c r="G42" s="4" t="str">
        <x:v>UNICA</x:v>
      </x:c>
      <x:c r="H42" s="4" t="str">
        <x:v>true</x:v>
      </x:c>
      <x:c r="I42" s="4" t="str"/>
      <x:c r="J42" s="4" t="str">
        <x:v>COMPLETA</x:v>
      </x:c>
      <x:c r="K42" s="4" t="str">
        <x:v>PENDIENTE</x:v>
      </x:c>
      <x:c r="L42" s="4" t="str">
        <x:v>CONFIGURACION_PENDIENTE</x:v>
      </x:c>
      <x:c r="M42" s="4" t="str"/>
      <x:c r="N42" s="4" t="str">
        <x:v>CONTEXTO_NO_CONSTITUIDO</x:v>
      </x:c>
      <x:c r="O42" s="12" t="str">
        <x:f>IF(Q42="SIN_EJECUCION_DOMINIO","FALLO_CAPTURA",IF(OR(Q42="CAPTURA_MAL_FORMADA",Q42="IDENTIDAD",Q42="OBSERVACION_MAL_FORMADA",Q42="LEXEMA_O_FORMA"),"NO_ADMISION",IF(OR(Q42="PERFIL_NO_CONSTITUIDO",Q42="RESULTADO_NO_TERMINAL"),"FUERA_PERFIL",IF(Q42="CONTEXTO_NO_CONSTITUIDO","CONFIGURACION_PENDIENTE","VALIDA"))))</x:f>
        <x:v>CONFIGURACION_PENDIENTE</x:v>
      </x:c>
      <x:c r="P42" s="12" t="str">
        <x:f>IF(O42&lt;&gt;"VALIDA","",IF(Q42=AA42,"1",IF(Q42=AB42,"0","U")))</x:f>
      </x:c>
      <x:c r="Q42" s="12" t="str">
        <x:f>IF(E42="FALLO","SIN_EJECUCION_DOMINIO",IF(E42&lt;&gt;"LEGIBLE","CAPTURA_MAL_FORMADA",IF(D42&lt;&gt;"COINCIDE","IDENTIDAD",IF(OR(T42="",C42&lt;&gt;T42),"PERFIL_NO_CONSTITUIDO",IF(K42&lt;&gt;V42,IF(V42="ORDEN_ACREDITADO","ORDEN_NO_ACREDITADO","CONTEXTO_NO_CONSTITUIDO"),IF(AND(G42="AUSENTE",H42="",I42=""),"DATO_AUSENTE",IF(AND(G42="CONFLICTO",H42="",I42=""),"CONFLICTO_OBSERVACIONAL",IF(G42&lt;&gt;"UNICA","OBSERVACION_MAL_FORMADA",IF(F42&lt;&gt;U42,"OBSERVACION_INSUFICIENTE",IF(W42="RESULTADO",IF(H42=X42,AA42,IF(OR(H42="orcSucceededWithErrors",H42="orcFailed",H42="orcAborted"),AB42,IF(OR(H42="orcNotStarted",H42="orcInProgress"),"RESULTADO_NO_TERMINAL","LEXEMA_O_FORMA"))),IF(W42="EVENTO_BOOT",IF(H42=X42,AA42,IF(OR(H42="NINGUNO",H42="SOLO_HIBRIDO"),IF(J42="COMPLETA",AB42,"COBERTURA_INSUFICIENTE"),"LEXEMA_O_FORMA")),IF(W42="REQUISITO_SOFT",IF(H42=X42,AA42,IF(H42=Z42,AB42,"LEXEMA_O_FORMA")),IF(W42="EVENTO_PROC",IF(H42=X42,AA42,IF(H42=Z42,IF(J42="COMPLETA",AB42,"COBERTURA_INSUFICIENTE"),"LEXEMA_O_FORMA")),IF(W42="IMAGEN",IF(AND(AND(ISTEXT(H42),LEN(("x"&amp;H42))=65,EXACT(("x"&amp;H42),LOWER(("x"&amp;H42))),ISERROR(SEARCH(" ",("x"&amp;H42))),ISERROR(SEARCH(CHAR(9),("x"&amp;H42))),ISERROR(SEARCH(CHAR(10),("x"&amp;H42))),ISERROR(SEARCH(CHAR(13),("x"&amp;H42))),IFERROR(HEX2DEC(MID(("x"&amp;H42),2,8))&gt;=0,FALSE),IFERROR(HEX2DEC(MID(("x"&amp;H42),10,8))&gt;=0,FALSE),IFERROR(HEX2DEC(MID(("x"&amp;H42),18,8))&gt;=0,FALSE),IFERROR(HEX2DEC(MID(("x"&amp;H42),26,8))&gt;=0,FALSE),IFERROR(HEX2DEC(MID(("x"&amp;H42),34,8))&gt;=0,FALSE),IFERROR(HEX2DEC(MID(("x"&amp;H42),42,8))&gt;=0,FALSE),IFERROR(HEX2DEC(MID(("x"&amp;H42),50,8))&gt;=0,FALSE),IFERROR(HEX2DEC(MID(("x"&amp;H42),58,8))&gt;=0,FALSE)),AND(ISTEXT(I42),LEN(("x"&amp;I42))=65,EXACT(("x"&amp;I42),LOWER(("x"&amp;I42))),ISERROR(SEARCH(" ",("x"&amp;I42))),ISERROR(SEARCH(CHAR(9),("x"&amp;I42))),ISERROR(SEARCH(CHAR(10),("x"&amp;I42))),ISERROR(SEARCH(CHAR(13),("x"&amp;I42))),IFERROR(HEX2DEC(MID(("x"&amp;I42),2,8))&gt;=0,FALSE),IFERROR(HEX2DEC(MID(("x"&amp;I42),10,8))&gt;=0,FALSE),IFERROR(HEX2DEC(MID(("x"&amp;I42),18,8))&gt;=0,FALSE),IFERROR(HEX2DEC(MID(("x"&amp;I42),26,8))&gt;=0,FALSE),IFERROR(HEX2DEC(MID(("x"&amp;I42),34,8))&gt;=0,FALSE),IFERROR(HEX2DEC(MID(("x"&amp;I42),42,8))&gt;=0,FALSE),IFERROR(HEX2DEC(MID(("x"&amp;I42),50,8))&gt;=0,FALSE),IFERROR(HEX2DEC(MID(("x"&amp;I42),58,8))&gt;=0,FALSE))),IF(EXACT("x"&amp;H42,"x"&amp;I42),AA42,AB42),"LEXEMA_O_FORMA"),IF(W42="PRUEBA",IF(H42=X42,AA42,IF(H42=Z42,AB42,"LEXEMA_O_FORMA")),IF(W42="RETIRADA",IF(AND(H42="NINGUNO",I42=""),IF(J42="COMPLETA",AB42,"COBERTURA_INSUFICIENTE"),IF(AND(OR(H42="uoInstallation",H42="uoUninstallation"),OR(I42="orcSucceeded",I42="orcSucceededWithErrors",I42="orcFailed",I42="orcAborted",I42="orcInProgress",I42="orcNotStarted")),IF(AND(H42=X42,I42=Y42),AA42,IF(AND(H42=X42,OR(I42="orcSucceededWithErrors",I42="orcInProgress",I42="orcNotStarted")),"RESULTADO_RETIRADA_INCIERTO",IF(J42="COMPLETA",AB42,"COBERTURA_INSUFICIENTE"))),"LEXEMA_O_FORMA")),IF(W42="CAMBIO",IF(OR(H42="CAMBIO",H42="CAMBIO_Y_RETORNO"),AA42,IF(OR(H42="NINGUNO",H42="SOLO_RENOMBRE"),IF(J42="COMPLETA",AB42,"COBERTURA_INSUFICIENTE"),"LEXEMA_O_FORMA")),IF(W42="RESTAURACION",IF(H42=X42,AA42,IF(OR(H42="NINGUNO",H42="RESTAURACION_POSTERIOR",H42="RESTAURACION_FALLIDA"),IF(J42="COMPLETA",AB42,"COBERTURA_INSUFICIENTE"),"LEXEMA_O_FORMA")),"PERFIL_NO_CONSTITUIDO"))))))))))))))))))</x:f>
        <x:v>CONTEXTO_NO_CONSTITUIDO</x:v>
      </x:c>
      <x:c r="R42" s="12" t="str">
        <x:f>IF(AND(L42=O42,M42=P42,N42=Q42),"PASA","NO_PASA")</x:f>
        <x:v>PASA</x:v>
      </x:c>
      <x:c r="S42" s="4" t="str">
        <x:v>Falta el contexto profesional que fija qué se está evaluando.</x:v>
      </x:c>
      <x:c r="T42" s="12" t="str">
        <x:f>IFERROR(INDEX('55_Codificacion_ensayo'!$B$5:$B$13,MATCH(B42,'55_Codificacion_ensayo'!$A$5:$A$13,0)),"")</x:f>
        <x:v>REQUISITO-SOFTWARE-INDIVIDUAL-0.1</x:v>
      </x:c>
      <x:c r="U42" s="12" t="str">
        <x:f>IFERROR(INDEX('55_Codificacion_ensayo'!$C$5:$C$13,MATCH(B42,'55_Codificacion_ensayo'!$A$5:$A$13,0)),"")</x:f>
        <x:v>INSTRUCCION_ESPECIFICA</x:v>
      </x:c>
      <x:c r="V42" s="12" t="str">
        <x:f>IFERROR(INDEX('55_Codificacion_ensayo'!$D$5:$D$13,MATCH(B42,'55_Codificacion_ensayo'!$A$5:$A$13,0)),"")</x:f>
        <x:v>UN_SOFTWARE</x:v>
      </x:c>
      <x:c r="W42" s="12" t="str">
        <x:f>IFERROR(INDEX('55_Codificacion_ensayo'!$E$5:$E$13,MATCH(B42,'55_Codificacion_ensayo'!$A$5:$A$13,0)),"")</x:f>
        <x:v>REQUISITO_SOFT</x:v>
      </x:c>
      <x:c r="X42" s="12" t="str">
        <x:f>IFERROR(INDEX('55_Codificacion_ensayo'!$F$5:$F$13,MATCH(B42,'55_Codificacion_ensayo'!$A$5:$A$13,0)),"")</x:f>
        <x:v>true</x:v>
      </x:c>
      <x:c r="Y42" s="12" t="str">
        <x:f>IFERROR(INDEX('55_Codificacion_ensayo'!$G$5:$G$13,MATCH(B42,'55_Codificacion_ensayo'!$A$5:$A$13,0)),"")</x:f>
      </x:c>
      <x:c r="Z42" s="12" t="str">
        <x:f>IFERROR(INDEX('55_Codificacion_ensayo'!$H$5:$H$13,MATCH(B42,'55_Codificacion_ensayo'!$A$5:$A$13,0)),"")</x:f>
        <x:v>false</x:v>
      </x:c>
      <x:c r="AA42" s="12" t="str">
        <x:f>IFERROR(INDEX('55_Codificacion_ensayo'!$I$5:$I$13,MATCH(B42,'55_Codificacion_ensayo'!$A$5:$A$13,0)),"")</x:f>
        <x:v>REQUISITO_SOFTWARE_SI</x:v>
      </x:c>
      <x:c r="AB42" s="12" t="str">
        <x:f>IFERROR(INDEX('55_Codificacion_ensayo'!$J$5:$J$13,MATCH(B42,'55_Codificacion_ensayo'!$A$5:$A$13,0)),"")</x:f>
        <x:v>REQUISITO_SOFTWARE_NO</x:v>
      </x:c>
    </x:row>
    <x:row r="43" ht="47" customHeight="1">
      <x:c r="A43" s="4" t="str">
        <x:v>L10-04-11</x:v>
      </x:c>
      <x:c r="B43" s="4" t="str">
        <x:v>PAR-CYB-REINICIO-SOFTWARE-REQUERIDO-001</x:v>
      </x:c>
      <x:c r="C43" s="4" t="str">
        <x:v>REQUISITO-SOFTWARE-INDIVIDUAL-0.1</x:v>
      </x:c>
      <x:c r="D43" s="4" t="str">
        <x:v>COINCIDE</x:v>
      </x:c>
      <x:c r="E43" s="4" t="str">
        <x:v>LEGIBLE</x:v>
      </x:c>
      <x:c r="F43" s="4" t="str">
        <x:v>INSTRUCCION_ESPECIFICA</x:v>
      </x:c>
      <x:c r="G43" s="4" t="str">
        <x:v>UNICA</x:v>
      </x:c>
      <x:c r="H43" s="4" t="str">
        <x:v>1</x:v>
      </x:c>
      <x:c r="I43" s="4" t="str"/>
      <x:c r="J43" s="4" t="str">
        <x:v>COMPLETA</x:v>
      </x:c>
      <x:c r="K43" s="4" t="str">
        <x:v>UN_SOFTWARE</x:v>
      </x:c>
      <x:c r="L43" s="4" t="str">
        <x:v>NO_ADMISION</x:v>
      </x:c>
      <x:c r="M43" s="4" t="str"/>
      <x:c r="N43" s="4" t="str">
        <x:v>LEXEMA_O_FORMA</x:v>
      </x:c>
      <x:c r="O43" s="12" t="str">
        <x:f>IF(Q43="SIN_EJECUCION_DOMINIO","FALLO_CAPTURA",IF(OR(Q43="CAPTURA_MAL_FORMADA",Q43="IDENTIDAD",Q43="OBSERVACION_MAL_FORMADA",Q43="LEXEMA_O_FORMA"),"NO_ADMISION",IF(OR(Q43="PERFIL_NO_CONSTITUIDO",Q43="RESULTADO_NO_TERMINAL"),"FUERA_PERFIL",IF(Q43="CONTEXTO_NO_CONSTITUIDO","CONFIGURACION_PENDIENTE","VALIDA"))))</x:f>
        <x:v>NO_ADMISION</x:v>
      </x:c>
      <x:c r="P43" s="12" t="str">
        <x:f>IF(O43&lt;&gt;"VALIDA","",IF(Q43=AA43,"1",IF(Q43=AB43,"0","U")))</x:f>
      </x:c>
      <x:c r="Q43" s="12" t="str">
        <x:f>IF(E43="FALLO","SIN_EJECUCION_DOMINIO",IF(E43&lt;&gt;"LEGIBLE","CAPTURA_MAL_FORMADA",IF(D43&lt;&gt;"COINCIDE","IDENTIDAD",IF(OR(T43="",C43&lt;&gt;T43),"PERFIL_NO_CONSTITUIDO",IF(K43&lt;&gt;V43,IF(V43="ORDEN_ACREDITADO","ORDEN_NO_ACREDITADO","CONTEXTO_NO_CONSTITUIDO"),IF(AND(G43="AUSENTE",H43="",I43=""),"DATO_AUSENTE",IF(AND(G43="CONFLICTO",H43="",I43=""),"CONFLICTO_OBSERVACIONAL",IF(G43&lt;&gt;"UNICA","OBSERVACION_MAL_FORMADA",IF(F43&lt;&gt;U43,"OBSERVACION_INSUFICIENTE",IF(W43="RESULTADO",IF(H43=X43,AA43,IF(OR(H43="orcSucceededWithErrors",H43="orcFailed",H43="orcAborted"),AB43,IF(OR(H43="orcNotStarted",H43="orcInProgress"),"RESULTADO_NO_TERMINAL","LEXEMA_O_FORMA"))),IF(W43="EVENTO_BOOT",IF(H43=X43,AA43,IF(OR(H43="NINGUNO",H43="SOLO_HIBRIDO"),IF(J43="COMPLETA",AB43,"COBERTURA_INSUFICIENTE"),"LEXEMA_O_FORMA")),IF(W43="REQUISITO_SOFT",IF(H43=X43,AA43,IF(H43=Z43,AB43,"LEXEMA_O_FORMA")),IF(W43="EVENTO_PROC",IF(H43=X43,AA43,IF(H43=Z43,IF(J43="COMPLETA",AB43,"COBERTURA_INSUFICIENTE"),"LEXEMA_O_FORMA")),IF(W43="IMAGEN",IF(AND(AND(ISTEXT(H43),LEN(("x"&amp;H43))=65,EXACT(("x"&amp;H43),LOWER(("x"&amp;H43))),ISERROR(SEARCH(" ",("x"&amp;H43))),ISERROR(SEARCH(CHAR(9),("x"&amp;H43))),ISERROR(SEARCH(CHAR(10),("x"&amp;H43))),ISERROR(SEARCH(CHAR(13),("x"&amp;H43))),IFERROR(HEX2DEC(MID(("x"&amp;H43),2,8))&gt;=0,FALSE),IFERROR(HEX2DEC(MID(("x"&amp;H43),10,8))&gt;=0,FALSE),IFERROR(HEX2DEC(MID(("x"&amp;H43),18,8))&gt;=0,FALSE),IFERROR(HEX2DEC(MID(("x"&amp;H43),26,8))&gt;=0,FALSE),IFERROR(HEX2DEC(MID(("x"&amp;H43),34,8))&gt;=0,FALSE),IFERROR(HEX2DEC(MID(("x"&amp;H43),42,8))&gt;=0,FALSE),IFERROR(HEX2DEC(MID(("x"&amp;H43),50,8))&gt;=0,FALSE),IFERROR(HEX2DEC(MID(("x"&amp;H43),58,8))&gt;=0,FALSE)),AND(ISTEXT(I43),LEN(("x"&amp;I43))=65,EXACT(("x"&amp;I43),LOWER(("x"&amp;I43))),ISERROR(SEARCH(" ",("x"&amp;I43))),ISERROR(SEARCH(CHAR(9),("x"&amp;I43))),ISERROR(SEARCH(CHAR(10),("x"&amp;I43))),ISERROR(SEARCH(CHAR(13),("x"&amp;I43))),IFERROR(HEX2DEC(MID(("x"&amp;I43),2,8))&gt;=0,FALSE),IFERROR(HEX2DEC(MID(("x"&amp;I43),10,8))&gt;=0,FALSE),IFERROR(HEX2DEC(MID(("x"&amp;I43),18,8))&gt;=0,FALSE),IFERROR(HEX2DEC(MID(("x"&amp;I43),26,8))&gt;=0,FALSE),IFERROR(HEX2DEC(MID(("x"&amp;I43),34,8))&gt;=0,FALSE),IFERROR(HEX2DEC(MID(("x"&amp;I43),42,8))&gt;=0,FALSE),IFERROR(HEX2DEC(MID(("x"&amp;I43),50,8))&gt;=0,FALSE),IFERROR(HEX2DEC(MID(("x"&amp;I43),58,8))&gt;=0,FALSE))),IF(EXACT("x"&amp;H43,"x"&amp;I43),AA43,AB43),"LEXEMA_O_FORMA"),IF(W43="PRUEBA",IF(H43=X43,AA43,IF(H43=Z43,AB43,"LEXEMA_O_FORMA")),IF(W43="RETIRADA",IF(AND(H43="NINGUNO",I43=""),IF(J43="COMPLETA",AB43,"COBERTURA_INSUFICIENTE"),IF(AND(OR(H43="uoInstallation",H43="uoUninstallation"),OR(I43="orcSucceeded",I43="orcSucceededWithErrors",I43="orcFailed",I43="orcAborted",I43="orcInProgress",I43="orcNotStarted")),IF(AND(H43=X43,I43=Y43),AA43,IF(AND(H43=X43,OR(I43="orcSucceededWithErrors",I43="orcInProgress",I43="orcNotStarted")),"RESULTADO_RETIRADA_INCIERTO",IF(J43="COMPLETA",AB43,"COBERTURA_INSUFICIENTE"))),"LEXEMA_O_FORMA")),IF(W43="CAMBIO",IF(OR(H43="CAMBIO",H43="CAMBIO_Y_RETORNO"),AA43,IF(OR(H43="NINGUNO",H43="SOLO_RENOMBRE"),IF(J43="COMPLETA",AB43,"COBERTURA_INSUFICIENTE"),"LEXEMA_O_FORMA")),IF(W43="RESTAURACION",IF(H43=X43,AA43,IF(OR(H43="NINGUNO",H43="RESTAURACION_POSTERIOR",H43="RESTAURACION_FALLIDA"),IF(J43="COMPLETA",AB43,"COBERTURA_INSUFICIENTE"),"LEXEMA_O_FORMA")),"PERFIL_NO_CONSTITUIDO"))))))))))))))))))</x:f>
        <x:v>LEXEMA_O_FORMA</x:v>
      </x:c>
      <x:c r="R43" s="12" t="str">
        <x:f>IF(AND(L43=O43,M43=P43,N43=Q43),"PASA","NO_PASA")</x:f>
        <x:v>PASA</x:v>
      </x:c>
      <x:c r="S43" s="4" t="str">
        <x:v>Booleano numérico no se acepta como lexema documental.</x:v>
      </x:c>
      <x:c r="T43" s="12" t="str">
        <x:f>IFERROR(INDEX('55_Codificacion_ensayo'!$B$5:$B$13,MATCH(B43,'55_Codificacion_ensayo'!$A$5:$A$13,0)),"")</x:f>
        <x:v>REQUISITO-SOFTWARE-INDIVIDUAL-0.1</x:v>
      </x:c>
      <x:c r="U43" s="12" t="str">
        <x:f>IFERROR(INDEX('55_Codificacion_ensayo'!$C$5:$C$13,MATCH(B43,'55_Codificacion_ensayo'!$A$5:$A$13,0)),"")</x:f>
        <x:v>INSTRUCCION_ESPECIFICA</x:v>
      </x:c>
      <x:c r="V43" s="12" t="str">
        <x:f>IFERROR(INDEX('55_Codificacion_ensayo'!$D$5:$D$13,MATCH(B43,'55_Codificacion_ensayo'!$A$5:$A$13,0)),"")</x:f>
        <x:v>UN_SOFTWARE</x:v>
      </x:c>
      <x:c r="W43" s="12" t="str">
        <x:f>IFERROR(INDEX('55_Codificacion_ensayo'!$E$5:$E$13,MATCH(B43,'55_Codificacion_ensayo'!$A$5:$A$13,0)),"")</x:f>
        <x:v>REQUISITO_SOFT</x:v>
      </x:c>
      <x:c r="X43" s="12" t="str">
        <x:f>IFERROR(INDEX('55_Codificacion_ensayo'!$F$5:$F$13,MATCH(B43,'55_Codificacion_ensayo'!$A$5:$A$13,0)),"")</x:f>
        <x:v>true</x:v>
      </x:c>
      <x:c r="Y43" s="12" t="str">
        <x:f>IFERROR(INDEX('55_Codificacion_ensayo'!$G$5:$G$13,MATCH(B43,'55_Codificacion_ensayo'!$A$5:$A$13,0)),"")</x:f>
      </x:c>
      <x:c r="Z43" s="12" t="str">
        <x:f>IFERROR(INDEX('55_Codificacion_ensayo'!$H$5:$H$13,MATCH(B43,'55_Codificacion_ensayo'!$A$5:$A$13,0)),"")</x:f>
        <x:v>false</x:v>
      </x:c>
      <x:c r="AA43" s="12" t="str">
        <x:f>IFERROR(INDEX('55_Codificacion_ensayo'!$I$5:$I$13,MATCH(B43,'55_Codificacion_ensayo'!$A$5:$A$13,0)),"")</x:f>
        <x:v>REQUISITO_SOFTWARE_SI</x:v>
      </x:c>
      <x:c r="AB43" s="12" t="str">
        <x:f>IFERROR(INDEX('55_Codificacion_ensayo'!$J$5:$J$13,MATCH(B43,'55_Codificacion_ensayo'!$A$5:$A$13,0)),"")</x:f>
        <x:v>REQUISITO_SOFTWARE_NO</x:v>
      </x:c>
    </x:row>
    <x:row r="44" ht="47" customHeight="1">
      <x:c r="A44" s="4" t="str">
        <x:v>L10-04-12</x:v>
      </x:c>
      <x:c r="B44" s="4" t="str">
        <x:v>PAR-CYB-REINICIO-SOFTWARE-REQUERIDO-001</x:v>
      </x:c>
      <x:c r="C44" s="4" t="str">
        <x:v>REQUISITO-SOFTWARE-INDIVIDUAL-0.1</x:v>
      </x:c>
      <x:c r="D44" s="4" t="str">
        <x:v>COINCIDE</x:v>
      </x:c>
      <x:c r="E44" s="4" t="str">
        <x:v>LEGIBLE</x:v>
      </x:c>
      <x:c r="F44" s="4" t="str">
        <x:v>INSTRUCCION_ESPECIFICA</x:v>
      </x:c>
      <x:c r="G44" s="4" t="str">
        <x:v>UNICA</x:v>
      </x:c>
      <x:c r="H44" s="4" t="str">
        <x:v>true</x:v>
      </x:c>
      <x:c r="I44" s="4" t="str"/>
      <x:c r="J44" s="4" t="str">
        <x:v>COMPLETA</x:v>
      </x:c>
      <x:c r="K44" s="4" t="str">
        <x:v>VARIOS_SOFTWARES</x:v>
      </x:c>
      <x:c r="L44" s="4" t="str">
        <x:v>CONFIGURACION_PENDIENTE</x:v>
      </x:c>
      <x:c r="M44" s="4" t="str"/>
      <x:c r="N44" s="4" t="str">
        <x:v>CONTEXTO_NO_CONSTITUIDO</x:v>
      </x:c>
      <x:c r="O44" s="12" t="str">
        <x:f>IF(Q44="SIN_EJECUCION_DOMINIO","FALLO_CAPTURA",IF(OR(Q44="CAPTURA_MAL_FORMADA",Q44="IDENTIDAD",Q44="OBSERVACION_MAL_FORMADA",Q44="LEXEMA_O_FORMA"),"NO_ADMISION",IF(OR(Q44="PERFIL_NO_CONSTITUIDO",Q44="RESULTADO_NO_TERMINAL"),"FUERA_PERFIL",IF(Q44="CONTEXTO_NO_CONSTITUIDO","CONFIGURACION_PENDIENTE","VALIDA"))))</x:f>
        <x:v>CONFIGURACION_PENDIENTE</x:v>
      </x:c>
      <x:c r="P44" s="12" t="str">
        <x:f>IF(O44&lt;&gt;"VALIDA","",IF(Q44=AA44,"1",IF(Q44=AB44,"0","U")))</x:f>
      </x:c>
      <x:c r="Q44" s="12" t="str">
        <x:f>IF(E44="FALLO","SIN_EJECUCION_DOMINIO",IF(E44&lt;&gt;"LEGIBLE","CAPTURA_MAL_FORMADA",IF(D44&lt;&gt;"COINCIDE","IDENTIDAD",IF(OR(T44="",C44&lt;&gt;T44),"PERFIL_NO_CONSTITUIDO",IF(K44&lt;&gt;V44,IF(V44="ORDEN_ACREDITADO","ORDEN_NO_ACREDITADO","CONTEXTO_NO_CONSTITUIDO"),IF(AND(G44="AUSENTE",H44="",I44=""),"DATO_AUSENTE",IF(AND(G44="CONFLICTO",H44="",I44=""),"CONFLICTO_OBSERVACIONAL",IF(G44&lt;&gt;"UNICA","OBSERVACION_MAL_FORMADA",IF(F44&lt;&gt;U44,"OBSERVACION_INSUFICIENTE",IF(W44="RESULTADO",IF(H44=X44,AA44,IF(OR(H44="orcSucceededWithErrors",H44="orcFailed",H44="orcAborted"),AB44,IF(OR(H44="orcNotStarted",H44="orcInProgress"),"RESULTADO_NO_TERMINAL","LEXEMA_O_FORMA"))),IF(W44="EVENTO_BOOT",IF(H44=X44,AA44,IF(OR(H44="NINGUNO",H44="SOLO_HIBRIDO"),IF(J44="COMPLETA",AB44,"COBERTURA_INSUFICIENTE"),"LEXEMA_O_FORMA")),IF(W44="REQUISITO_SOFT",IF(H44=X44,AA44,IF(H44=Z44,AB44,"LEXEMA_O_FORMA")),IF(W44="EVENTO_PROC",IF(H44=X44,AA44,IF(H44=Z44,IF(J44="COMPLETA",AB44,"COBERTURA_INSUFICIENTE"),"LEXEMA_O_FORMA")),IF(W44="IMAGEN",IF(AND(AND(ISTEXT(H44),LEN(("x"&amp;H44))=65,EXACT(("x"&amp;H44),LOWER(("x"&amp;H44))),ISERROR(SEARCH(" ",("x"&amp;H44))),ISERROR(SEARCH(CHAR(9),("x"&amp;H44))),ISERROR(SEARCH(CHAR(10),("x"&amp;H44))),ISERROR(SEARCH(CHAR(13),("x"&amp;H44))),IFERROR(HEX2DEC(MID(("x"&amp;H44),2,8))&gt;=0,FALSE),IFERROR(HEX2DEC(MID(("x"&amp;H44),10,8))&gt;=0,FALSE),IFERROR(HEX2DEC(MID(("x"&amp;H44),18,8))&gt;=0,FALSE),IFERROR(HEX2DEC(MID(("x"&amp;H44),26,8))&gt;=0,FALSE),IFERROR(HEX2DEC(MID(("x"&amp;H44),34,8))&gt;=0,FALSE),IFERROR(HEX2DEC(MID(("x"&amp;H44),42,8))&gt;=0,FALSE),IFERROR(HEX2DEC(MID(("x"&amp;H44),50,8))&gt;=0,FALSE),IFERROR(HEX2DEC(MID(("x"&amp;H44),58,8))&gt;=0,FALSE)),AND(ISTEXT(I44),LEN(("x"&amp;I44))=65,EXACT(("x"&amp;I44),LOWER(("x"&amp;I44))),ISERROR(SEARCH(" ",("x"&amp;I44))),ISERROR(SEARCH(CHAR(9),("x"&amp;I44))),ISERROR(SEARCH(CHAR(10),("x"&amp;I44))),ISERROR(SEARCH(CHAR(13),("x"&amp;I44))),IFERROR(HEX2DEC(MID(("x"&amp;I44),2,8))&gt;=0,FALSE),IFERROR(HEX2DEC(MID(("x"&amp;I44),10,8))&gt;=0,FALSE),IFERROR(HEX2DEC(MID(("x"&amp;I44),18,8))&gt;=0,FALSE),IFERROR(HEX2DEC(MID(("x"&amp;I44),26,8))&gt;=0,FALSE),IFERROR(HEX2DEC(MID(("x"&amp;I44),34,8))&gt;=0,FALSE),IFERROR(HEX2DEC(MID(("x"&amp;I44),42,8))&gt;=0,FALSE),IFERROR(HEX2DEC(MID(("x"&amp;I44),50,8))&gt;=0,FALSE),IFERROR(HEX2DEC(MID(("x"&amp;I44),58,8))&gt;=0,FALSE))),IF(EXACT("x"&amp;H44,"x"&amp;I44),AA44,AB44),"LEXEMA_O_FORMA"),IF(W44="PRUEBA",IF(H44=X44,AA44,IF(H44=Z44,AB44,"LEXEMA_O_FORMA")),IF(W44="RETIRADA",IF(AND(H44="NINGUNO",I44=""),IF(J44="COMPLETA",AB44,"COBERTURA_INSUFICIENTE"),IF(AND(OR(H44="uoInstallation",H44="uoUninstallation"),OR(I44="orcSucceeded",I44="orcSucceededWithErrors",I44="orcFailed",I44="orcAborted",I44="orcInProgress",I44="orcNotStarted")),IF(AND(H44=X44,I44=Y44),AA44,IF(AND(H44=X44,OR(I44="orcSucceededWithErrors",I44="orcInProgress",I44="orcNotStarted")),"RESULTADO_RETIRADA_INCIERTO",IF(J44="COMPLETA",AB44,"COBERTURA_INSUFICIENTE"))),"LEXEMA_O_FORMA")),IF(W44="CAMBIO",IF(OR(H44="CAMBIO",H44="CAMBIO_Y_RETORNO"),AA44,IF(OR(H44="NINGUNO",H44="SOLO_RENOMBRE"),IF(J44="COMPLETA",AB44,"COBERTURA_INSUFICIENTE"),"LEXEMA_O_FORMA")),IF(W44="RESTAURACION",IF(H44=X44,AA44,IF(OR(H44="NINGUNO",H44="RESTAURACION_POSTERIOR",H44="RESTAURACION_FALLIDA"),IF(J44="COMPLETA",AB44,"COBERTURA_INSUFICIENTE"),"LEXEMA_O_FORMA")),"PERFIL_NO_CONSTITUIDO"))))))))))))))))))</x:f>
        <x:v>CONTEXTO_NO_CONSTITUIDO</x:v>
      </x:c>
      <x:c r="R44" s="12" t="str">
        <x:f>IF(AND(L44=O44,M44=P44,N44=Q44),"PASA","NO_PASA")</x:f>
        <x:v>PASA</x:v>
      </x:c>
      <x:c r="S44" s="4" t="str">
        <x:v>Agregado de aplicaciones fuera del sujeto unitario.</x:v>
      </x:c>
      <x:c r="T44" s="12" t="str">
        <x:f>IFERROR(INDEX('55_Codificacion_ensayo'!$B$5:$B$13,MATCH(B44,'55_Codificacion_ensayo'!$A$5:$A$13,0)),"")</x:f>
        <x:v>REQUISITO-SOFTWARE-INDIVIDUAL-0.1</x:v>
      </x:c>
      <x:c r="U44" s="12" t="str">
        <x:f>IFERROR(INDEX('55_Codificacion_ensayo'!$C$5:$C$13,MATCH(B44,'55_Codificacion_ensayo'!$A$5:$A$13,0)),"")</x:f>
        <x:v>INSTRUCCION_ESPECIFICA</x:v>
      </x:c>
      <x:c r="V44" s="12" t="str">
        <x:f>IFERROR(INDEX('55_Codificacion_ensayo'!$D$5:$D$13,MATCH(B44,'55_Codificacion_ensayo'!$A$5:$A$13,0)),"")</x:f>
        <x:v>UN_SOFTWARE</x:v>
      </x:c>
      <x:c r="W44" s="12" t="str">
        <x:f>IFERROR(INDEX('55_Codificacion_ensayo'!$E$5:$E$13,MATCH(B44,'55_Codificacion_ensayo'!$A$5:$A$13,0)),"")</x:f>
        <x:v>REQUISITO_SOFT</x:v>
      </x:c>
      <x:c r="X44" s="12" t="str">
        <x:f>IFERROR(INDEX('55_Codificacion_ensayo'!$F$5:$F$13,MATCH(B44,'55_Codificacion_ensayo'!$A$5:$A$13,0)),"")</x:f>
        <x:v>true</x:v>
      </x:c>
      <x:c r="Y44" s="12" t="str">
        <x:f>IFERROR(INDEX('55_Codificacion_ensayo'!$G$5:$G$13,MATCH(B44,'55_Codificacion_ensayo'!$A$5:$A$13,0)),"")</x:f>
      </x:c>
      <x:c r="Z44" s="12" t="str">
        <x:f>IFERROR(INDEX('55_Codificacion_ensayo'!$H$5:$H$13,MATCH(B44,'55_Codificacion_ensayo'!$A$5:$A$13,0)),"")</x:f>
        <x:v>false</x:v>
      </x:c>
      <x:c r="AA44" s="12" t="str">
        <x:f>IFERROR(INDEX('55_Codificacion_ensayo'!$I$5:$I$13,MATCH(B44,'55_Codificacion_ensayo'!$A$5:$A$13,0)),"")</x:f>
        <x:v>REQUISITO_SOFTWARE_SI</x:v>
      </x:c>
      <x:c r="AB44" s="12" t="str">
        <x:f>IFERROR(INDEX('55_Codificacion_ensayo'!$J$5:$J$13,MATCH(B44,'55_Codificacion_ensayo'!$A$5:$A$13,0)),"")</x:f>
        <x:v>REQUISITO_SOFTWARE_NO</x:v>
      </x:c>
    </x:row>
    <x:row r="45" ht="47" customHeight="1">
      <x:c r="A45" s="4" t="str">
        <x:v>L10-05-01</x:v>
      </x:c>
      <x:c r="B45" s="4" t="str">
        <x:v>PAR-CYB-GENERACION-PROCESO-TERMINADA-001</x:v>
      </x:c>
      <x:c r="C45" s="4" t="str">
        <x:v>TERMINACION-GENERACION-PROCESO-0.1</x:v>
      </x:c>
      <x:c r="D45" s="4" t="str">
        <x:v>COINCIDE</x:v>
      </x:c>
      <x:c r="E45" s="4" t="str">
        <x:v>LEGIBLE</x:v>
      </x:c>
      <x:c r="F45" s="4" t="str">
        <x:v>CICLO_GENERACION</x:v>
      </x:c>
      <x:c r="G45" s="4" t="str">
        <x:v>UNICA</x:v>
      </x:c>
      <x:c r="H45" s="4" t="str">
        <x:v>TERMINADA</x:v>
      </x:c>
      <x:c r="I45" s="4" t="str"/>
      <x:c r="J45" s="4" t="str">
        <x:v>COMPLETA</x:v>
      </x:c>
      <x:c r="K45" s="4" t="str">
        <x:v>ORDEN_ACREDITADO</x:v>
      </x:c>
      <x:c r="L45" s="4" t="str">
        <x:v>VALIDA</x:v>
      </x:c>
      <x:c r="M45" s="4" t="str">
        <x:v>1</x:v>
      </x:c>
      <x:c r="N45" s="4" t="str">
        <x:v>GENERACION_TERMINADA</x:v>
      </x:c>
      <x:c r="O45" s="12" t="str">
        <x:f>IF(Q45="SIN_EJECUCION_DOMINIO","FALLO_CAPTURA",IF(OR(Q45="CAPTURA_MAL_FORMADA",Q45="IDENTIDAD",Q45="OBSERVACION_MAL_FORMADA",Q45="LEXEMA_O_FORMA"),"NO_ADMISION",IF(OR(Q45="PERFIL_NO_CONSTITUIDO",Q45="RESULTADO_NO_TERMINAL"),"FUERA_PERFIL",IF(Q45="CONTEXTO_NO_CONSTITUIDO","CONFIGURACION_PENDIENTE","VALIDA"))))</x:f>
        <x:v>VALIDA</x:v>
      </x:c>
      <x:c r="P45" s="12" t="str">
        <x:f>IF(O45&lt;&gt;"VALIDA","",IF(Q45=AA45,"1",IF(Q45=AB45,"0","U")))</x:f>
        <x:v>1</x:v>
      </x:c>
      <x:c r="Q45" s="12" t="str">
        <x:f>IF(E45="FALLO","SIN_EJECUCION_DOMINIO",IF(E45&lt;&gt;"LEGIBLE","CAPTURA_MAL_FORMADA",IF(D45&lt;&gt;"COINCIDE","IDENTIDAD",IF(OR(T45="",C45&lt;&gt;T45),"PERFIL_NO_CONSTITUIDO",IF(K45&lt;&gt;V45,IF(V45="ORDEN_ACREDITADO","ORDEN_NO_ACREDITADO","CONTEXTO_NO_CONSTITUIDO"),IF(AND(G45="AUSENTE",H45="",I45=""),"DATO_AUSENTE",IF(AND(G45="CONFLICTO",H45="",I45=""),"CONFLICTO_OBSERVACIONAL",IF(G45&lt;&gt;"UNICA","OBSERVACION_MAL_FORMADA",IF(F45&lt;&gt;U45,"OBSERVACION_INSUFICIENTE",IF(W45="RESULTADO",IF(H45=X45,AA45,IF(OR(H45="orcSucceededWithErrors",H45="orcFailed",H45="orcAborted"),AB45,IF(OR(H45="orcNotStarted",H45="orcInProgress"),"RESULTADO_NO_TERMINAL","LEXEMA_O_FORMA"))),IF(W45="EVENTO_BOOT",IF(H45=X45,AA45,IF(OR(H45="NINGUNO",H45="SOLO_HIBRIDO"),IF(J45="COMPLETA",AB45,"COBERTURA_INSUFICIENTE"),"LEXEMA_O_FORMA")),IF(W45="REQUISITO_SOFT",IF(H45=X45,AA45,IF(H45=Z45,AB45,"LEXEMA_O_FORMA")),IF(W45="EVENTO_PROC",IF(H45=X45,AA45,IF(H45=Z45,IF(J45="COMPLETA",AB45,"COBERTURA_INSUFICIENTE"),"LEXEMA_O_FORMA")),IF(W45="IMAGEN",IF(AND(AND(ISTEXT(H45),LEN(("x"&amp;H45))=65,EXACT(("x"&amp;H45),LOWER(("x"&amp;H45))),ISERROR(SEARCH(" ",("x"&amp;H45))),ISERROR(SEARCH(CHAR(9),("x"&amp;H45))),ISERROR(SEARCH(CHAR(10),("x"&amp;H45))),ISERROR(SEARCH(CHAR(13),("x"&amp;H45))),IFERROR(HEX2DEC(MID(("x"&amp;H45),2,8))&gt;=0,FALSE),IFERROR(HEX2DEC(MID(("x"&amp;H45),10,8))&gt;=0,FALSE),IFERROR(HEX2DEC(MID(("x"&amp;H45),18,8))&gt;=0,FALSE),IFERROR(HEX2DEC(MID(("x"&amp;H45),26,8))&gt;=0,FALSE),IFERROR(HEX2DEC(MID(("x"&amp;H45),34,8))&gt;=0,FALSE),IFERROR(HEX2DEC(MID(("x"&amp;H45),42,8))&gt;=0,FALSE),IFERROR(HEX2DEC(MID(("x"&amp;H45),50,8))&gt;=0,FALSE),IFERROR(HEX2DEC(MID(("x"&amp;H45),58,8))&gt;=0,FALSE)),AND(ISTEXT(I45),LEN(("x"&amp;I45))=65,EXACT(("x"&amp;I45),LOWER(("x"&amp;I45))),ISERROR(SEARCH(" ",("x"&amp;I45))),ISERROR(SEARCH(CHAR(9),("x"&amp;I45))),ISERROR(SEARCH(CHAR(10),("x"&amp;I45))),ISERROR(SEARCH(CHAR(13),("x"&amp;I45))),IFERROR(HEX2DEC(MID(("x"&amp;I45),2,8))&gt;=0,FALSE),IFERROR(HEX2DEC(MID(("x"&amp;I45),10,8))&gt;=0,FALSE),IFERROR(HEX2DEC(MID(("x"&amp;I45),18,8))&gt;=0,FALSE),IFERROR(HEX2DEC(MID(("x"&amp;I45),26,8))&gt;=0,FALSE),IFERROR(HEX2DEC(MID(("x"&amp;I45),34,8))&gt;=0,FALSE),IFERROR(HEX2DEC(MID(("x"&amp;I45),42,8))&gt;=0,FALSE),IFERROR(HEX2DEC(MID(("x"&amp;I45),50,8))&gt;=0,FALSE),IFERROR(HEX2DEC(MID(("x"&amp;I45),58,8))&gt;=0,FALSE))),IF(EXACT("x"&amp;H45,"x"&amp;I45),AA45,AB45),"LEXEMA_O_FORMA"),IF(W45="PRUEBA",IF(H45=X45,AA45,IF(H45=Z45,AB45,"LEXEMA_O_FORMA")),IF(W45="RETIRADA",IF(AND(H45="NINGUNO",I45=""),IF(J45="COMPLETA",AB45,"COBERTURA_INSUFICIENTE"),IF(AND(OR(H45="uoInstallation",H45="uoUninstallation"),OR(I45="orcSucceeded",I45="orcSucceededWithErrors",I45="orcFailed",I45="orcAborted",I45="orcInProgress",I45="orcNotStarted")),IF(AND(H45=X45,I45=Y45),AA45,IF(AND(H45=X45,OR(I45="orcSucceededWithErrors",I45="orcInProgress",I45="orcNotStarted")),"RESULTADO_RETIRADA_INCIERTO",IF(J45="COMPLETA",AB45,"COBERTURA_INSUFICIENTE"))),"LEXEMA_O_FORMA")),IF(W45="CAMBIO",IF(OR(H45="CAMBIO",H45="CAMBIO_Y_RETORNO"),AA45,IF(OR(H45="NINGUNO",H45="SOLO_RENOMBRE"),IF(J45="COMPLETA",AB45,"COBERTURA_INSUFICIENTE"),"LEXEMA_O_FORMA")),IF(W45="RESTAURACION",IF(H45=X45,AA45,IF(OR(H45="NINGUNO",H45="RESTAURACION_POSTERIOR",H45="RESTAURACION_FALLIDA"),IF(J45="COMPLETA",AB45,"COBERTURA_INSUFICIENTE"),"LEXEMA_O_FORMA")),"PERFIL_NO_CONSTITUIDO"))))))))))))))))))</x:f>
        <x:v>GENERACION_TERMINADA</x:v>
      </x:c>
      <x:c r="R45" s="12" t="str">
        <x:f>IF(AND(L45=O45,M45=P45,N45=Q45),"PASA","NO_PASA")</x:f>
        <x:v>PASA</x:v>
      </x:c>
      <x:c r="S45" s="4" t="str">
        <x:v>Testigo positivo de la proposición; no licencia ninguna conclusión más amplia.</x:v>
      </x:c>
      <x:c r="T45" s="12" t="str">
        <x:f>IFERROR(INDEX('55_Codificacion_ensayo'!$B$5:$B$13,MATCH(B45,'55_Codificacion_ensayo'!$A$5:$A$13,0)),"")</x:f>
        <x:v>TERMINACION-GENERACION-PROCESO-0.1</x:v>
      </x:c>
      <x:c r="U45" s="12" t="str">
        <x:f>IFERROR(INDEX('55_Codificacion_ensayo'!$C$5:$C$13,MATCH(B45,'55_Codificacion_ensayo'!$A$5:$A$13,0)),"")</x:f>
        <x:v>CICLO_GENERACION</x:v>
      </x:c>
      <x:c r="V45" s="12" t="str">
        <x:f>IFERROR(INDEX('55_Codificacion_ensayo'!$D$5:$D$13,MATCH(B45,'55_Codificacion_ensayo'!$A$5:$A$13,0)),"")</x:f>
        <x:v>ORDEN_ACREDITADO</x:v>
      </x:c>
      <x:c r="W45" s="12" t="str">
        <x:f>IFERROR(INDEX('55_Codificacion_ensayo'!$E$5:$E$13,MATCH(B45,'55_Codificacion_ensayo'!$A$5:$A$13,0)),"")</x:f>
        <x:v>EVENTO_PROC</x:v>
      </x:c>
      <x:c r="X45" s="12" t="str">
        <x:f>IFERROR(INDEX('55_Codificacion_ensayo'!$F$5:$F$13,MATCH(B45,'55_Codificacion_ensayo'!$A$5:$A$13,0)),"")</x:f>
        <x:v>TERMINADA</x:v>
      </x:c>
      <x:c r="Y45" s="12" t="str">
        <x:f>IFERROR(INDEX('55_Codificacion_ensayo'!$G$5:$G$13,MATCH(B45,'55_Codificacion_ensayo'!$A$5:$A$13,0)),"")</x:f>
      </x:c>
      <x:c r="Z45" s="12" t="str">
        <x:f>IFERROR(INDEX('55_Codificacion_ensayo'!$H$5:$H$13,MATCH(B45,'55_Codificacion_ensayo'!$A$5:$A$13,0)),"")</x:f>
        <x:v>NINGUNO</x:v>
      </x:c>
      <x:c r="AA45" s="12" t="str">
        <x:f>IFERROR(INDEX('55_Codificacion_ensayo'!$I$5:$I$13,MATCH(B45,'55_Codificacion_ensayo'!$A$5:$A$13,0)),"")</x:f>
        <x:v>GENERACION_TERMINADA</x:v>
      </x:c>
      <x:c r="AB45" s="12" t="str">
        <x:f>IFERROR(INDEX('55_Codificacion_ensayo'!$J$5:$J$13,MATCH(B45,'55_Codificacion_ensayo'!$A$5:$A$13,0)),"")</x:f>
        <x:v>SIN_TERMINACION</x:v>
      </x:c>
    </x:row>
    <x:row r="46" ht="47" customHeight="1">
      <x:c r="A46" s="4" t="str">
        <x:v>L10-05-02</x:v>
      </x:c>
      <x:c r="B46" s="4" t="str">
        <x:v>PAR-CYB-GENERACION-PROCESO-TERMINADA-001</x:v>
      </x:c>
      <x:c r="C46" s="4" t="str">
        <x:v>TERMINACION-GENERACION-PROCESO-0.1</x:v>
      </x:c>
      <x:c r="D46" s="4" t="str">
        <x:v>COINCIDE</x:v>
      </x:c>
      <x:c r="E46" s="4" t="str">
        <x:v>LEGIBLE</x:v>
      </x:c>
      <x:c r="F46" s="4" t="str">
        <x:v>CICLO_GENERACION</x:v>
      </x:c>
      <x:c r="G46" s="4" t="str">
        <x:v>UNICA</x:v>
      </x:c>
      <x:c r="H46" s="4" t="str">
        <x:v>NINGUNO</x:v>
      </x:c>
      <x:c r="I46" s="4" t="str"/>
      <x:c r="J46" s="4" t="str">
        <x:v>COMPLETA</x:v>
      </x:c>
      <x:c r="K46" s="4" t="str">
        <x:v>ORDEN_ACREDITADO</x:v>
      </x:c>
      <x:c r="L46" s="4" t="str">
        <x:v>VALIDA</x:v>
      </x:c>
      <x:c r="M46" s="4" t="str">
        <x:v>0</x:v>
      </x:c>
      <x:c r="N46" s="4" t="str">
        <x:v>SIN_TERMINACION</x:v>
      </x:c>
      <x:c r="O46" s="12" t="str">
        <x:f>IF(Q46="SIN_EJECUCION_DOMINIO","FALLO_CAPTURA",IF(OR(Q46="CAPTURA_MAL_FORMADA",Q46="IDENTIDAD",Q46="OBSERVACION_MAL_FORMADA",Q46="LEXEMA_O_FORMA"),"NO_ADMISION",IF(OR(Q46="PERFIL_NO_CONSTITUIDO",Q46="RESULTADO_NO_TERMINAL"),"FUERA_PERFIL",IF(Q46="CONTEXTO_NO_CONSTITUIDO","CONFIGURACION_PENDIENTE","VALIDA"))))</x:f>
        <x:v>VALIDA</x:v>
      </x:c>
      <x:c r="P46" s="12" t="str">
        <x:f>IF(O46&lt;&gt;"VALIDA","",IF(Q46=AA46,"1",IF(Q46=AB46,"0","U")))</x:f>
        <x:v>0</x:v>
      </x:c>
      <x:c r="Q46" s="12" t="str">
        <x:f>IF(E46="FALLO","SIN_EJECUCION_DOMINIO",IF(E46&lt;&gt;"LEGIBLE","CAPTURA_MAL_FORMADA",IF(D46&lt;&gt;"COINCIDE","IDENTIDAD",IF(OR(T46="",C46&lt;&gt;T46),"PERFIL_NO_CONSTITUIDO",IF(K46&lt;&gt;V46,IF(V46="ORDEN_ACREDITADO","ORDEN_NO_ACREDITADO","CONTEXTO_NO_CONSTITUIDO"),IF(AND(G46="AUSENTE",H46="",I46=""),"DATO_AUSENTE",IF(AND(G46="CONFLICTO",H46="",I46=""),"CONFLICTO_OBSERVACIONAL",IF(G46&lt;&gt;"UNICA","OBSERVACION_MAL_FORMADA",IF(F46&lt;&gt;U46,"OBSERVACION_INSUFICIENTE",IF(W46="RESULTADO",IF(H46=X46,AA46,IF(OR(H46="orcSucceededWithErrors",H46="orcFailed",H46="orcAborted"),AB46,IF(OR(H46="orcNotStarted",H46="orcInProgress"),"RESULTADO_NO_TERMINAL","LEXEMA_O_FORMA"))),IF(W46="EVENTO_BOOT",IF(H46=X46,AA46,IF(OR(H46="NINGUNO",H46="SOLO_HIBRIDO"),IF(J46="COMPLETA",AB46,"COBERTURA_INSUFICIENTE"),"LEXEMA_O_FORMA")),IF(W46="REQUISITO_SOFT",IF(H46=X46,AA46,IF(H46=Z46,AB46,"LEXEMA_O_FORMA")),IF(W46="EVENTO_PROC",IF(H46=X46,AA46,IF(H46=Z46,IF(J46="COMPLETA",AB46,"COBERTURA_INSUFICIENTE"),"LEXEMA_O_FORMA")),IF(W46="IMAGEN",IF(AND(AND(ISTEXT(H46),LEN(("x"&amp;H46))=65,EXACT(("x"&amp;H46),LOWER(("x"&amp;H46))),ISERROR(SEARCH(" ",("x"&amp;H46))),ISERROR(SEARCH(CHAR(9),("x"&amp;H46))),ISERROR(SEARCH(CHAR(10),("x"&amp;H46))),ISERROR(SEARCH(CHAR(13),("x"&amp;H46))),IFERROR(HEX2DEC(MID(("x"&amp;H46),2,8))&gt;=0,FALSE),IFERROR(HEX2DEC(MID(("x"&amp;H46),10,8))&gt;=0,FALSE),IFERROR(HEX2DEC(MID(("x"&amp;H46),18,8))&gt;=0,FALSE),IFERROR(HEX2DEC(MID(("x"&amp;H46),26,8))&gt;=0,FALSE),IFERROR(HEX2DEC(MID(("x"&amp;H46),34,8))&gt;=0,FALSE),IFERROR(HEX2DEC(MID(("x"&amp;H46),42,8))&gt;=0,FALSE),IFERROR(HEX2DEC(MID(("x"&amp;H46),50,8))&gt;=0,FALSE),IFERROR(HEX2DEC(MID(("x"&amp;H46),58,8))&gt;=0,FALSE)),AND(ISTEXT(I46),LEN(("x"&amp;I46))=65,EXACT(("x"&amp;I46),LOWER(("x"&amp;I46))),ISERROR(SEARCH(" ",("x"&amp;I46))),ISERROR(SEARCH(CHAR(9),("x"&amp;I46))),ISERROR(SEARCH(CHAR(10),("x"&amp;I46))),ISERROR(SEARCH(CHAR(13),("x"&amp;I46))),IFERROR(HEX2DEC(MID(("x"&amp;I46),2,8))&gt;=0,FALSE),IFERROR(HEX2DEC(MID(("x"&amp;I46),10,8))&gt;=0,FALSE),IFERROR(HEX2DEC(MID(("x"&amp;I46),18,8))&gt;=0,FALSE),IFERROR(HEX2DEC(MID(("x"&amp;I46),26,8))&gt;=0,FALSE),IFERROR(HEX2DEC(MID(("x"&amp;I46),34,8))&gt;=0,FALSE),IFERROR(HEX2DEC(MID(("x"&amp;I46),42,8))&gt;=0,FALSE),IFERROR(HEX2DEC(MID(("x"&amp;I46),50,8))&gt;=0,FALSE),IFERROR(HEX2DEC(MID(("x"&amp;I46),58,8))&gt;=0,FALSE))),IF(EXACT("x"&amp;H46,"x"&amp;I46),AA46,AB46),"LEXEMA_O_FORMA"),IF(W46="PRUEBA",IF(H46=X46,AA46,IF(H46=Z46,AB46,"LEXEMA_O_FORMA")),IF(W46="RETIRADA",IF(AND(H46="NINGUNO",I46=""),IF(J46="COMPLETA",AB46,"COBERTURA_INSUFICIENTE"),IF(AND(OR(H46="uoInstallation",H46="uoUninstallation"),OR(I46="orcSucceeded",I46="orcSucceededWithErrors",I46="orcFailed",I46="orcAborted",I46="orcInProgress",I46="orcNotStarted")),IF(AND(H46=X46,I46=Y46),AA46,IF(AND(H46=X46,OR(I46="orcSucceededWithErrors",I46="orcInProgress",I46="orcNotStarted")),"RESULTADO_RETIRADA_INCIERTO",IF(J46="COMPLETA",AB46,"COBERTURA_INSUFICIENTE"))),"LEXEMA_O_FORMA")),IF(W46="CAMBIO",IF(OR(H46="CAMBIO",H46="CAMBIO_Y_RETORNO"),AA46,IF(OR(H46="NINGUNO",H46="SOLO_RENOMBRE"),IF(J46="COMPLETA",AB46,"COBERTURA_INSUFICIENTE"),"LEXEMA_O_FORMA")),IF(W46="RESTAURACION",IF(H46=X46,AA46,IF(OR(H46="NINGUNO",H46="RESTAURACION_POSTERIOR",H46="RESTAURACION_FALLIDA"),IF(J46="COMPLETA",AB46,"COBERTURA_INSUFICIENTE"),"LEXEMA_O_FORMA")),"PERFIL_NO_CONSTITUIDO"))))))))))))))))))</x:f>
        <x:v>SIN_TERMINACION</x:v>
      </x:c>
      <x:c r="R46" s="12" t="str">
        <x:f>IF(AND(L46=O46,M46=P46,N46=Q46),"PASA","NO_PASA")</x:f>
        <x:v>PASA</x:v>
      </x:c>
      <x:c r="S46" s="4" t="str">
        <x:v>Negativo explícito; en eventos exige cobertura del intervalo.</x:v>
      </x:c>
      <x:c r="T46" s="12" t="str">
        <x:f>IFERROR(INDEX('55_Codificacion_ensayo'!$B$5:$B$13,MATCH(B46,'55_Codificacion_ensayo'!$A$5:$A$13,0)),"")</x:f>
        <x:v>TERMINACION-GENERACION-PROCESO-0.1</x:v>
      </x:c>
      <x:c r="U46" s="12" t="str">
        <x:f>IFERROR(INDEX('55_Codificacion_ensayo'!$C$5:$C$13,MATCH(B46,'55_Codificacion_ensayo'!$A$5:$A$13,0)),"")</x:f>
        <x:v>CICLO_GENERACION</x:v>
      </x:c>
      <x:c r="V46" s="12" t="str">
        <x:f>IFERROR(INDEX('55_Codificacion_ensayo'!$D$5:$D$13,MATCH(B46,'55_Codificacion_ensayo'!$A$5:$A$13,0)),"")</x:f>
        <x:v>ORDEN_ACREDITADO</x:v>
      </x:c>
      <x:c r="W46" s="12" t="str">
        <x:f>IFERROR(INDEX('55_Codificacion_ensayo'!$E$5:$E$13,MATCH(B46,'55_Codificacion_ensayo'!$A$5:$A$13,0)),"")</x:f>
        <x:v>EVENTO_PROC</x:v>
      </x:c>
      <x:c r="X46" s="12" t="str">
        <x:f>IFERROR(INDEX('55_Codificacion_ensayo'!$F$5:$F$13,MATCH(B46,'55_Codificacion_ensayo'!$A$5:$A$13,0)),"")</x:f>
        <x:v>TERMINADA</x:v>
      </x:c>
      <x:c r="Y46" s="12" t="str">
        <x:f>IFERROR(INDEX('55_Codificacion_ensayo'!$G$5:$G$13,MATCH(B46,'55_Codificacion_ensayo'!$A$5:$A$13,0)),"")</x:f>
      </x:c>
      <x:c r="Z46" s="12" t="str">
        <x:f>IFERROR(INDEX('55_Codificacion_ensayo'!$H$5:$H$13,MATCH(B46,'55_Codificacion_ensayo'!$A$5:$A$13,0)),"")</x:f>
        <x:v>NINGUNO</x:v>
      </x:c>
      <x:c r="AA46" s="12" t="str">
        <x:f>IFERROR(INDEX('55_Codificacion_ensayo'!$I$5:$I$13,MATCH(B46,'55_Codificacion_ensayo'!$A$5:$A$13,0)),"")</x:f>
        <x:v>GENERACION_TERMINADA</x:v>
      </x:c>
      <x:c r="AB46" s="12" t="str">
        <x:f>IFERROR(INDEX('55_Codificacion_ensayo'!$J$5:$J$13,MATCH(B46,'55_Codificacion_ensayo'!$A$5:$A$13,0)),"")</x:f>
        <x:v>SIN_TERMINACION</x:v>
      </x:c>
    </x:row>
    <x:row r="47" ht="47" customHeight="1">
      <x:c r="A47" s="4" t="str">
        <x:v>L10-05-03</x:v>
      </x:c>
      <x:c r="B47" s="4" t="str">
        <x:v>PAR-CYB-GENERACION-PROCESO-TERMINADA-001</x:v>
      </x:c>
      <x:c r="C47" s="4" t="str">
        <x:v>TERMINACION-GENERACION-PROCESO-0.1</x:v>
      </x:c>
      <x:c r="D47" s="4" t="str">
        <x:v>COINCIDE</x:v>
      </x:c>
      <x:c r="E47" s="4" t="str">
        <x:v>LEGIBLE</x:v>
      </x:c>
      <x:c r="F47" s="4" t="str">
        <x:v>CICLO_GENERACION</x:v>
      </x:c>
      <x:c r="G47" s="4" t="str">
        <x:v>AUSENTE</x:v>
      </x:c>
      <x:c r="H47" s="4" t="str"/>
      <x:c r="I47" s="4" t="str"/>
      <x:c r="J47" s="4" t="str">
        <x:v>COMPLETA</x:v>
      </x:c>
      <x:c r="K47" s="4" t="str">
        <x:v>ORDEN_ACREDITADO</x:v>
      </x:c>
      <x:c r="L47" s="4" t="str">
        <x:v>VALIDA</x:v>
      </x:c>
      <x:c r="M47" s="4" t="str">
        <x:v>U</x:v>
      </x:c>
      <x:c r="N47" s="4" t="str">
        <x:v>DATO_AUSENTE</x:v>
      </x:c>
      <x:c r="O47" s="12" t="str">
        <x:f>IF(Q47="SIN_EJECUCION_DOMINIO","FALLO_CAPTURA",IF(OR(Q47="CAPTURA_MAL_FORMADA",Q47="IDENTIDAD",Q47="OBSERVACION_MAL_FORMADA",Q47="LEXEMA_O_FORMA"),"NO_ADMISION",IF(OR(Q47="PERFIL_NO_CONSTITUIDO",Q47="RESULTADO_NO_TERMINAL"),"FUERA_PERFIL",IF(Q47="CONTEXTO_NO_CONSTITUIDO","CONFIGURACION_PENDIENTE","VALIDA"))))</x:f>
        <x:v>VALIDA</x:v>
      </x:c>
      <x:c r="P47" s="12" t="str">
        <x:f>IF(O47&lt;&gt;"VALIDA","",IF(Q47=AA47,"1",IF(Q47=AB47,"0","U")))</x:f>
        <x:v>U</x:v>
      </x:c>
      <x:c r="Q47" s="12" t="str">
        <x:f>IF(E47="FALLO","SIN_EJECUCION_DOMINIO",IF(E47&lt;&gt;"LEGIBLE","CAPTURA_MAL_FORMADA",IF(D47&lt;&gt;"COINCIDE","IDENTIDAD",IF(OR(T47="",C47&lt;&gt;T47),"PERFIL_NO_CONSTITUIDO",IF(K47&lt;&gt;V47,IF(V47="ORDEN_ACREDITADO","ORDEN_NO_ACREDITADO","CONTEXTO_NO_CONSTITUIDO"),IF(AND(G47="AUSENTE",H47="",I47=""),"DATO_AUSENTE",IF(AND(G47="CONFLICTO",H47="",I47=""),"CONFLICTO_OBSERVACIONAL",IF(G47&lt;&gt;"UNICA","OBSERVACION_MAL_FORMADA",IF(F47&lt;&gt;U47,"OBSERVACION_INSUFICIENTE",IF(W47="RESULTADO",IF(H47=X47,AA47,IF(OR(H47="orcSucceededWithErrors",H47="orcFailed",H47="orcAborted"),AB47,IF(OR(H47="orcNotStarted",H47="orcInProgress"),"RESULTADO_NO_TERMINAL","LEXEMA_O_FORMA"))),IF(W47="EVENTO_BOOT",IF(H47=X47,AA47,IF(OR(H47="NINGUNO",H47="SOLO_HIBRIDO"),IF(J47="COMPLETA",AB47,"COBERTURA_INSUFICIENTE"),"LEXEMA_O_FORMA")),IF(W47="REQUISITO_SOFT",IF(H47=X47,AA47,IF(H47=Z47,AB47,"LEXEMA_O_FORMA")),IF(W47="EVENTO_PROC",IF(H47=X47,AA47,IF(H47=Z47,IF(J47="COMPLETA",AB47,"COBERTURA_INSUFICIENTE"),"LEXEMA_O_FORMA")),IF(W47="IMAGEN",IF(AND(AND(ISTEXT(H47),LEN(("x"&amp;H47))=65,EXACT(("x"&amp;H47),LOWER(("x"&amp;H47))),ISERROR(SEARCH(" ",("x"&amp;H47))),ISERROR(SEARCH(CHAR(9),("x"&amp;H47))),ISERROR(SEARCH(CHAR(10),("x"&amp;H47))),ISERROR(SEARCH(CHAR(13),("x"&amp;H47))),IFERROR(HEX2DEC(MID(("x"&amp;H47),2,8))&gt;=0,FALSE),IFERROR(HEX2DEC(MID(("x"&amp;H47),10,8))&gt;=0,FALSE),IFERROR(HEX2DEC(MID(("x"&amp;H47),18,8))&gt;=0,FALSE),IFERROR(HEX2DEC(MID(("x"&amp;H47),26,8))&gt;=0,FALSE),IFERROR(HEX2DEC(MID(("x"&amp;H47),34,8))&gt;=0,FALSE),IFERROR(HEX2DEC(MID(("x"&amp;H47),42,8))&gt;=0,FALSE),IFERROR(HEX2DEC(MID(("x"&amp;H47),50,8))&gt;=0,FALSE),IFERROR(HEX2DEC(MID(("x"&amp;H47),58,8))&gt;=0,FALSE)),AND(ISTEXT(I47),LEN(("x"&amp;I47))=65,EXACT(("x"&amp;I47),LOWER(("x"&amp;I47))),ISERROR(SEARCH(" ",("x"&amp;I47))),ISERROR(SEARCH(CHAR(9),("x"&amp;I47))),ISERROR(SEARCH(CHAR(10),("x"&amp;I47))),ISERROR(SEARCH(CHAR(13),("x"&amp;I47))),IFERROR(HEX2DEC(MID(("x"&amp;I47),2,8))&gt;=0,FALSE),IFERROR(HEX2DEC(MID(("x"&amp;I47),10,8))&gt;=0,FALSE),IFERROR(HEX2DEC(MID(("x"&amp;I47),18,8))&gt;=0,FALSE),IFERROR(HEX2DEC(MID(("x"&amp;I47),26,8))&gt;=0,FALSE),IFERROR(HEX2DEC(MID(("x"&amp;I47),34,8))&gt;=0,FALSE),IFERROR(HEX2DEC(MID(("x"&amp;I47),42,8))&gt;=0,FALSE),IFERROR(HEX2DEC(MID(("x"&amp;I47),50,8))&gt;=0,FALSE),IFERROR(HEX2DEC(MID(("x"&amp;I47),58,8))&gt;=0,FALSE))),IF(EXACT("x"&amp;H47,"x"&amp;I47),AA47,AB47),"LEXEMA_O_FORMA"),IF(W47="PRUEBA",IF(H47=X47,AA47,IF(H47=Z47,AB47,"LEXEMA_O_FORMA")),IF(W47="RETIRADA",IF(AND(H47="NINGUNO",I47=""),IF(J47="COMPLETA",AB47,"COBERTURA_INSUFICIENTE"),IF(AND(OR(H47="uoInstallation",H47="uoUninstallation"),OR(I47="orcSucceeded",I47="orcSucceededWithErrors",I47="orcFailed",I47="orcAborted",I47="orcInProgress",I47="orcNotStarted")),IF(AND(H47=X47,I47=Y47),AA47,IF(AND(H47=X47,OR(I47="orcSucceededWithErrors",I47="orcInProgress",I47="orcNotStarted")),"RESULTADO_RETIRADA_INCIERTO",IF(J47="COMPLETA",AB47,"COBERTURA_INSUFICIENTE"))),"LEXEMA_O_FORMA")),IF(W47="CAMBIO",IF(OR(H47="CAMBIO",H47="CAMBIO_Y_RETORNO"),AA47,IF(OR(H47="NINGUNO",H47="SOLO_RENOMBRE"),IF(J47="COMPLETA",AB47,"COBERTURA_INSUFICIENTE"),"LEXEMA_O_FORMA")),IF(W47="RESTAURACION",IF(H47=X47,AA47,IF(OR(H47="NINGUNO",H47="RESTAURACION_POSTERIOR",H47="RESTAURACION_FALLIDA"),IF(J47="COMPLETA",AB47,"COBERTURA_INSUFICIENTE"),"LEXEMA_O_FORMA")),"PERFIL_NO_CONSTITUIDO"))))))))))))))))))</x:f>
        <x:v>DATO_AUSENTE</x:v>
      </x:c>
      <x:c r="R47" s="12" t="str">
        <x:f>IF(AND(L47=O47,M47=P47,N47=Q47),"PASA","NO_PASA")</x:f>
        <x:v>PASA</x:v>
      </x:c>
      <x:c r="S47" s="4" t="str">
        <x:v>Documento declara que falta la observación, sin convertir ausencia en 0.</x:v>
      </x:c>
      <x:c r="T47" s="12" t="str">
        <x:f>IFERROR(INDEX('55_Codificacion_ensayo'!$B$5:$B$13,MATCH(B47,'55_Codificacion_ensayo'!$A$5:$A$13,0)),"")</x:f>
        <x:v>TERMINACION-GENERACION-PROCESO-0.1</x:v>
      </x:c>
      <x:c r="U47" s="12" t="str">
        <x:f>IFERROR(INDEX('55_Codificacion_ensayo'!$C$5:$C$13,MATCH(B47,'55_Codificacion_ensayo'!$A$5:$A$13,0)),"")</x:f>
        <x:v>CICLO_GENERACION</x:v>
      </x:c>
      <x:c r="V47" s="12" t="str">
        <x:f>IFERROR(INDEX('55_Codificacion_ensayo'!$D$5:$D$13,MATCH(B47,'55_Codificacion_ensayo'!$A$5:$A$13,0)),"")</x:f>
        <x:v>ORDEN_ACREDITADO</x:v>
      </x:c>
      <x:c r="W47" s="12" t="str">
        <x:f>IFERROR(INDEX('55_Codificacion_ensayo'!$E$5:$E$13,MATCH(B47,'55_Codificacion_ensayo'!$A$5:$A$13,0)),"")</x:f>
        <x:v>EVENTO_PROC</x:v>
      </x:c>
      <x:c r="X47" s="12" t="str">
        <x:f>IFERROR(INDEX('55_Codificacion_ensayo'!$F$5:$F$13,MATCH(B47,'55_Codificacion_ensayo'!$A$5:$A$13,0)),"")</x:f>
        <x:v>TERMINADA</x:v>
      </x:c>
      <x:c r="Y47" s="12" t="str">
        <x:f>IFERROR(INDEX('55_Codificacion_ensayo'!$G$5:$G$13,MATCH(B47,'55_Codificacion_ensayo'!$A$5:$A$13,0)),"")</x:f>
      </x:c>
      <x:c r="Z47" s="12" t="str">
        <x:f>IFERROR(INDEX('55_Codificacion_ensayo'!$H$5:$H$13,MATCH(B47,'55_Codificacion_ensayo'!$A$5:$A$13,0)),"")</x:f>
        <x:v>NINGUNO</x:v>
      </x:c>
      <x:c r="AA47" s="12" t="str">
        <x:f>IFERROR(INDEX('55_Codificacion_ensayo'!$I$5:$I$13,MATCH(B47,'55_Codificacion_ensayo'!$A$5:$A$13,0)),"")</x:f>
        <x:v>GENERACION_TERMINADA</x:v>
      </x:c>
      <x:c r="AB47" s="12" t="str">
        <x:f>IFERROR(INDEX('55_Codificacion_ensayo'!$J$5:$J$13,MATCH(B47,'55_Codificacion_ensayo'!$A$5:$A$13,0)),"")</x:f>
        <x:v>SIN_TERMINACION</x:v>
      </x:c>
    </x:row>
    <x:row r="48" ht="47" customHeight="1">
      <x:c r="A48" s="4" t="str">
        <x:v>L10-05-04</x:v>
      </x:c>
      <x:c r="B48" s="4" t="str">
        <x:v>PAR-CYB-GENERACION-PROCESO-TERMINADA-001</x:v>
      </x:c>
      <x:c r="C48" s="4" t="str">
        <x:v>TERMINACION-GENERACION-PROCESO-0.1</x:v>
      </x:c>
      <x:c r="D48" s="4" t="str">
        <x:v>COINCIDE</x:v>
      </x:c>
      <x:c r="E48" s="4" t="str">
        <x:v>LEGIBLE</x:v>
      </x:c>
      <x:c r="F48" s="4" t="str">
        <x:v>CICLO_GENERACION</x:v>
      </x:c>
      <x:c r="G48" s="4" t="str">
        <x:v>CONFLICTO</x:v>
      </x:c>
      <x:c r="H48" s="4" t="str"/>
      <x:c r="I48" s="4" t="str"/>
      <x:c r="J48" s="4" t="str">
        <x:v>COMPLETA</x:v>
      </x:c>
      <x:c r="K48" s="4" t="str">
        <x:v>ORDEN_ACREDITADO</x:v>
      </x:c>
      <x:c r="L48" s="4" t="str">
        <x:v>VALIDA</x:v>
      </x:c>
      <x:c r="M48" s="4" t="str">
        <x:v>U</x:v>
      </x:c>
      <x:c r="N48" s="4" t="str">
        <x:v>CONFLICTO_OBSERVACIONAL</x:v>
      </x:c>
      <x:c r="O48" s="12" t="str">
        <x:f>IF(Q48="SIN_EJECUCION_DOMINIO","FALLO_CAPTURA",IF(OR(Q48="CAPTURA_MAL_FORMADA",Q48="IDENTIDAD",Q48="OBSERVACION_MAL_FORMADA",Q48="LEXEMA_O_FORMA"),"NO_ADMISION",IF(OR(Q48="PERFIL_NO_CONSTITUIDO",Q48="RESULTADO_NO_TERMINAL"),"FUERA_PERFIL",IF(Q48="CONTEXTO_NO_CONSTITUIDO","CONFIGURACION_PENDIENTE","VALIDA"))))</x:f>
        <x:v>VALIDA</x:v>
      </x:c>
      <x:c r="P48" s="12" t="str">
        <x:f>IF(O48&lt;&gt;"VALIDA","",IF(Q48=AA48,"1",IF(Q48=AB48,"0","U")))</x:f>
        <x:v>U</x:v>
      </x:c>
      <x:c r="Q48" s="12" t="str">
        <x:f>IF(E48="FALLO","SIN_EJECUCION_DOMINIO",IF(E48&lt;&gt;"LEGIBLE","CAPTURA_MAL_FORMADA",IF(D48&lt;&gt;"COINCIDE","IDENTIDAD",IF(OR(T48="",C48&lt;&gt;T48),"PERFIL_NO_CONSTITUIDO",IF(K48&lt;&gt;V48,IF(V48="ORDEN_ACREDITADO","ORDEN_NO_ACREDITADO","CONTEXTO_NO_CONSTITUIDO"),IF(AND(G48="AUSENTE",H48="",I48=""),"DATO_AUSENTE",IF(AND(G48="CONFLICTO",H48="",I48=""),"CONFLICTO_OBSERVACIONAL",IF(G48&lt;&gt;"UNICA","OBSERVACION_MAL_FORMADA",IF(F48&lt;&gt;U48,"OBSERVACION_INSUFICIENTE",IF(W48="RESULTADO",IF(H48=X48,AA48,IF(OR(H48="orcSucceededWithErrors",H48="orcFailed",H48="orcAborted"),AB48,IF(OR(H48="orcNotStarted",H48="orcInProgress"),"RESULTADO_NO_TERMINAL","LEXEMA_O_FORMA"))),IF(W48="EVENTO_BOOT",IF(H48=X48,AA48,IF(OR(H48="NINGUNO",H48="SOLO_HIBRIDO"),IF(J48="COMPLETA",AB48,"COBERTURA_INSUFICIENTE"),"LEXEMA_O_FORMA")),IF(W48="REQUISITO_SOFT",IF(H48=X48,AA48,IF(H48=Z48,AB48,"LEXEMA_O_FORMA")),IF(W48="EVENTO_PROC",IF(H48=X48,AA48,IF(H48=Z48,IF(J48="COMPLETA",AB48,"COBERTURA_INSUFICIENTE"),"LEXEMA_O_FORMA")),IF(W48="IMAGEN",IF(AND(AND(ISTEXT(H48),LEN(("x"&amp;H48))=65,EXACT(("x"&amp;H48),LOWER(("x"&amp;H48))),ISERROR(SEARCH(" ",("x"&amp;H48))),ISERROR(SEARCH(CHAR(9),("x"&amp;H48))),ISERROR(SEARCH(CHAR(10),("x"&amp;H48))),ISERROR(SEARCH(CHAR(13),("x"&amp;H48))),IFERROR(HEX2DEC(MID(("x"&amp;H48),2,8))&gt;=0,FALSE),IFERROR(HEX2DEC(MID(("x"&amp;H48),10,8))&gt;=0,FALSE),IFERROR(HEX2DEC(MID(("x"&amp;H48),18,8))&gt;=0,FALSE),IFERROR(HEX2DEC(MID(("x"&amp;H48),26,8))&gt;=0,FALSE),IFERROR(HEX2DEC(MID(("x"&amp;H48),34,8))&gt;=0,FALSE),IFERROR(HEX2DEC(MID(("x"&amp;H48),42,8))&gt;=0,FALSE),IFERROR(HEX2DEC(MID(("x"&amp;H48),50,8))&gt;=0,FALSE),IFERROR(HEX2DEC(MID(("x"&amp;H48),58,8))&gt;=0,FALSE)),AND(ISTEXT(I48),LEN(("x"&amp;I48))=65,EXACT(("x"&amp;I48),LOWER(("x"&amp;I48))),ISERROR(SEARCH(" ",("x"&amp;I48))),ISERROR(SEARCH(CHAR(9),("x"&amp;I48))),ISERROR(SEARCH(CHAR(10),("x"&amp;I48))),ISERROR(SEARCH(CHAR(13),("x"&amp;I48))),IFERROR(HEX2DEC(MID(("x"&amp;I48),2,8))&gt;=0,FALSE),IFERROR(HEX2DEC(MID(("x"&amp;I48),10,8))&gt;=0,FALSE),IFERROR(HEX2DEC(MID(("x"&amp;I48),18,8))&gt;=0,FALSE),IFERROR(HEX2DEC(MID(("x"&amp;I48),26,8))&gt;=0,FALSE),IFERROR(HEX2DEC(MID(("x"&amp;I48),34,8))&gt;=0,FALSE),IFERROR(HEX2DEC(MID(("x"&amp;I48),42,8))&gt;=0,FALSE),IFERROR(HEX2DEC(MID(("x"&amp;I48),50,8))&gt;=0,FALSE),IFERROR(HEX2DEC(MID(("x"&amp;I48),58,8))&gt;=0,FALSE))),IF(EXACT("x"&amp;H48,"x"&amp;I48),AA48,AB48),"LEXEMA_O_FORMA"),IF(W48="PRUEBA",IF(H48=X48,AA48,IF(H48=Z48,AB48,"LEXEMA_O_FORMA")),IF(W48="RETIRADA",IF(AND(H48="NINGUNO",I48=""),IF(J48="COMPLETA",AB48,"COBERTURA_INSUFICIENTE"),IF(AND(OR(H48="uoInstallation",H48="uoUninstallation"),OR(I48="orcSucceeded",I48="orcSucceededWithErrors",I48="orcFailed",I48="orcAborted",I48="orcInProgress",I48="orcNotStarted")),IF(AND(H48=X48,I48=Y48),AA48,IF(AND(H48=X48,OR(I48="orcSucceededWithErrors",I48="orcInProgress",I48="orcNotStarted")),"RESULTADO_RETIRADA_INCIERTO",IF(J48="COMPLETA",AB48,"COBERTURA_INSUFICIENTE"))),"LEXEMA_O_FORMA")),IF(W48="CAMBIO",IF(OR(H48="CAMBIO",H48="CAMBIO_Y_RETORNO"),AA48,IF(OR(H48="NINGUNO",H48="SOLO_RENOMBRE"),IF(J48="COMPLETA",AB48,"COBERTURA_INSUFICIENTE"),"LEXEMA_O_FORMA")),IF(W48="RESTAURACION",IF(H48=X48,AA48,IF(OR(H48="NINGUNO",H48="RESTAURACION_POSTERIOR",H48="RESTAURACION_FALLIDA"),IF(J48="COMPLETA",AB48,"COBERTURA_INSUFICIENTE"),"LEXEMA_O_FORMA")),"PERFIL_NO_CONSTITUIDO"))))))))))))))))))</x:f>
        <x:v>CONFLICTO_OBSERVACIONAL</x:v>
      </x:c>
      <x:c r="R48" s="12" t="str">
        <x:f>IF(AND(L48=O48,M48=P48,N48=Q48),"PASA","NO_PASA")</x:f>
        <x:v>PASA</x:v>
      </x:c>
      <x:c r="S48" s="4" t="str">
        <x:v>Conflicto entre observaciones admitidas del mismo sujeto y corte.</x:v>
      </x:c>
      <x:c r="T48" s="12" t="str">
        <x:f>IFERROR(INDEX('55_Codificacion_ensayo'!$B$5:$B$13,MATCH(B48,'55_Codificacion_ensayo'!$A$5:$A$13,0)),"")</x:f>
        <x:v>TERMINACION-GENERACION-PROCESO-0.1</x:v>
      </x:c>
      <x:c r="U48" s="12" t="str">
        <x:f>IFERROR(INDEX('55_Codificacion_ensayo'!$C$5:$C$13,MATCH(B48,'55_Codificacion_ensayo'!$A$5:$A$13,0)),"")</x:f>
        <x:v>CICLO_GENERACION</x:v>
      </x:c>
      <x:c r="V48" s="12" t="str">
        <x:f>IFERROR(INDEX('55_Codificacion_ensayo'!$D$5:$D$13,MATCH(B48,'55_Codificacion_ensayo'!$A$5:$A$13,0)),"")</x:f>
        <x:v>ORDEN_ACREDITADO</x:v>
      </x:c>
      <x:c r="W48" s="12" t="str">
        <x:f>IFERROR(INDEX('55_Codificacion_ensayo'!$E$5:$E$13,MATCH(B48,'55_Codificacion_ensayo'!$A$5:$A$13,0)),"")</x:f>
        <x:v>EVENTO_PROC</x:v>
      </x:c>
      <x:c r="X48" s="12" t="str">
        <x:f>IFERROR(INDEX('55_Codificacion_ensayo'!$F$5:$F$13,MATCH(B48,'55_Codificacion_ensayo'!$A$5:$A$13,0)),"")</x:f>
        <x:v>TERMINADA</x:v>
      </x:c>
      <x:c r="Y48" s="12" t="str">
        <x:f>IFERROR(INDEX('55_Codificacion_ensayo'!$G$5:$G$13,MATCH(B48,'55_Codificacion_ensayo'!$A$5:$A$13,0)),"")</x:f>
      </x:c>
      <x:c r="Z48" s="12" t="str">
        <x:f>IFERROR(INDEX('55_Codificacion_ensayo'!$H$5:$H$13,MATCH(B48,'55_Codificacion_ensayo'!$A$5:$A$13,0)),"")</x:f>
        <x:v>NINGUNO</x:v>
      </x:c>
      <x:c r="AA48" s="12" t="str">
        <x:f>IFERROR(INDEX('55_Codificacion_ensayo'!$I$5:$I$13,MATCH(B48,'55_Codificacion_ensayo'!$A$5:$A$13,0)),"")</x:f>
        <x:v>GENERACION_TERMINADA</x:v>
      </x:c>
      <x:c r="AB48" s="12" t="str">
        <x:f>IFERROR(INDEX('55_Codificacion_ensayo'!$J$5:$J$13,MATCH(B48,'55_Codificacion_ensayo'!$A$5:$A$13,0)),"")</x:f>
        <x:v>SIN_TERMINACION</x:v>
      </x:c>
    </x:row>
    <x:row r="49" ht="47" customHeight="1">
      <x:c r="A49" s="4" t="str">
        <x:v>L10-05-05</x:v>
      </x:c>
      <x:c r="B49" s="4" t="str">
        <x:v>PAR-CYB-GENERACION-PROCESO-TERMINADA-001</x:v>
      </x:c>
      <x:c r="C49" s="4" t="str">
        <x:v>TERMINACION-GENERACION-PROCESO-0.1</x:v>
      </x:c>
      <x:c r="D49" s="4" t="str">
        <x:v>COINCIDE</x:v>
      </x:c>
      <x:c r="E49" s="4" t="str">
        <x:v>FALLO</x:v>
      </x:c>
      <x:c r="F49" s="4" t="str">
        <x:v>CICLO_GENERACION</x:v>
      </x:c>
      <x:c r="G49" s="4" t="str">
        <x:v>UNICA</x:v>
      </x:c>
      <x:c r="H49" s="4" t="str">
        <x:v>TERMINADA</x:v>
      </x:c>
      <x:c r="I49" s="4" t="str"/>
      <x:c r="J49" s="4" t="str">
        <x:v>COMPLETA</x:v>
      </x:c>
      <x:c r="K49" s="4" t="str">
        <x:v>ORDEN_ACREDITADO</x:v>
      </x:c>
      <x:c r="L49" s="4" t="str">
        <x:v>FALLO_CAPTURA</x:v>
      </x:c>
      <x:c r="M49" s="4" t="str"/>
      <x:c r="N49" s="4" t="str">
        <x:v>SIN_EJECUCION_DOMINIO</x:v>
      </x:c>
      <x:c r="O49" s="12" t="str">
        <x:f>IF(Q49="SIN_EJECUCION_DOMINIO","FALLO_CAPTURA",IF(OR(Q49="CAPTURA_MAL_FORMADA",Q49="IDENTIDAD",Q49="OBSERVACION_MAL_FORMADA",Q49="LEXEMA_O_FORMA"),"NO_ADMISION",IF(OR(Q49="PERFIL_NO_CONSTITUIDO",Q49="RESULTADO_NO_TERMINAL"),"FUERA_PERFIL",IF(Q49="CONTEXTO_NO_CONSTITUIDO","CONFIGURACION_PENDIENTE","VALIDA"))))</x:f>
        <x:v>FALLO_CAPTURA</x:v>
      </x:c>
      <x:c r="P49" s="12" t="str">
        <x:f>IF(O49&lt;&gt;"VALIDA","",IF(Q49=AA49,"1",IF(Q49=AB49,"0","U")))</x:f>
      </x:c>
      <x:c r="Q49" s="12" t="str">
        <x:f>IF(E49="FALLO","SIN_EJECUCION_DOMINIO",IF(E49&lt;&gt;"LEGIBLE","CAPTURA_MAL_FORMADA",IF(D49&lt;&gt;"COINCIDE","IDENTIDAD",IF(OR(T49="",C49&lt;&gt;T49),"PERFIL_NO_CONSTITUIDO",IF(K49&lt;&gt;V49,IF(V49="ORDEN_ACREDITADO","ORDEN_NO_ACREDITADO","CONTEXTO_NO_CONSTITUIDO"),IF(AND(G49="AUSENTE",H49="",I49=""),"DATO_AUSENTE",IF(AND(G49="CONFLICTO",H49="",I49=""),"CONFLICTO_OBSERVACIONAL",IF(G49&lt;&gt;"UNICA","OBSERVACION_MAL_FORMADA",IF(F49&lt;&gt;U49,"OBSERVACION_INSUFICIENTE",IF(W49="RESULTADO",IF(H49=X49,AA49,IF(OR(H49="orcSucceededWithErrors",H49="orcFailed",H49="orcAborted"),AB49,IF(OR(H49="orcNotStarted",H49="orcInProgress"),"RESULTADO_NO_TERMINAL","LEXEMA_O_FORMA"))),IF(W49="EVENTO_BOOT",IF(H49=X49,AA49,IF(OR(H49="NINGUNO",H49="SOLO_HIBRIDO"),IF(J49="COMPLETA",AB49,"COBERTURA_INSUFICIENTE"),"LEXEMA_O_FORMA")),IF(W49="REQUISITO_SOFT",IF(H49=X49,AA49,IF(H49=Z49,AB49,"LEXEMA_O_FORMA")),IF(W49="EVENTO_PROC",IF(H49=X49,AA49,IF(H49=Z49,IF(J49="COMPLETA",AB49,"COBERTURA_INSUFICIENTE"),"LEXEMA_O_FORMA")),IF(W49="IMAGEN",IF(AND(AND(ISTEXT(H49),LEN(("x"&amp;H49))=65,EXACT(("x"&amp;H49),LOWER(("x"&amp;H49))),ISERROR(SEARCH(" ",("x"&amp;H49))),ISERROR(SEARCH(CHAR(9),("x"&amp;H49))),ISERROR(SEARCH(CHAR(10),("x"&amp;H49))),ISERROR(SEARCH(CHAR(13),("x"&amp;H49))),IFERROR(HEX2DEC(MID(("x"&amp;H49),2,8))&gt;=0,FALSE),IFERROR(HEX2DEC(MID(("x"&amp;H49),10,8))&gt;=0,FALSE),IFERROR(HEX2DEC(MID(("x"&amp;H49),18,8))&gt;=0,FALSE),IFERROR(HEX2DEC(MID(("x"&amp;H49),26,8))&gt;=0,FALSE),IFERROR(HEX2DEC(MID(("x"&amp;H49),34,8))&gt;=0,FALSE),IFERROR(HEX2DEC(MID(("x"&amp;H49),42,8))&gt;=0,FALSE),IFERROR(HEX2DEC(MID(("x"&amp;H49),50,8))&gt;=0,FALSE),IFERROR(HEX2DEC(MID(("x"&amp;H49),58,8))&gt;=0,FALSE)),AND(ISTEXT(I49),LEN(("x"&amp;I49))=65,EXACT(("x"&amp;I49),LOWER(("x"&amp;I49))),ISERROR(SEARCH(" ",("x"&amp;I49))),ISERROR(SEARCH(CHAR(9),("x"&amp;I49))),ISERROR(SEARCH(CHAR(10),("x"&amp;I49))),ISERROR(SEARCH(CHAR(13),("x"&amp;I49))),IFERROR(HEX2DEC(MID(("x"&amp;I49),2,8))&gt;=0,FALSE),IFERROR(HEX2DEC(MID(("x"&amp;I49),10,8))&gt;=0,FALSE),IFERROR(HEX2DEC(MID(("x"&amp;I49),18,8))&gt;=0,FALSE),IFERROR(HEX2DEC(MID(("x"&amp;I49),26,8))&gt;=0,FALSE),IFERROR(HEX2DEC(MID(("x"&amp;I49),34,8))&gt;=0,FALSE),IFERROR(HEX2DEC(MID(("x"&amp;I49),42,8))&gt;=0,FALSE),IFERROR(HEX2DEC(MID(("x"&amp;I49),50,8))&gt;=0,FALSE),IFERROR(HEX2DEC(MID(("x"&amp;I49),58,8))&gt;=0,FALSE))),IF(EXACT("x"&amp;H49,"x"&amp;I49),AA49,AB49),"LEXEMA_O_FORMA"),IF(W49="PRUEBA",IF(H49=X49,AA49,IF(H49=Z49,AB49,"LEXEMA_O_FORMA")),IF(W49="RETIRADA",IF(AND(H49="NINGUNO",I49=""),IF(J49="COMPLETA",AB49,"COBERTURA_INSUFICIENTE"),IF(AND(OR(H49="uoInstallation",H49="uoUninstallation"),OR(I49="orcSucceeded",I49="orcSucceededWithErrors",I49="orcFailed",I49="orcAborted",I49="orcInProgress",I49="orcNotStarted")),IF(AND(H49=X49,I49=Y49),AA49,IF(AND(H49=X49,OR(I49="orcSucceededWithErrors",I49="orcInProgress",I49="orcNotStarted")),"RESULTADO_RETIRADA_INCIERTO",IF(J49="COMPLETA",AB49,"COBERTURA_INSUFICIENTE"))),"LEXEMA_O_FORMA")),IF(W49="CAMBIO",IF(OR(H49="CAMBIO",H49="CAMBIO_Y_RETORNO"),AA49,IF(OR(H49="NINGUNO",H49="SOLO_RENOMBRE"),IF(J49="COMPLETA",AB49,"COBERTURA_INSUFICIENTE"),"LEXEMA_O_FORMA")),IF(W49="RESTAURACION",IF(H49=X49,AA49,IF(OR(H49="NINGUNO",H49="RESTAURACION_POSTERIOR",H49="RESTAURACION_FALLIDA"),IF(J49="COMPLETA",AB49,"COBERTURA_INSUFICIENTE"),"LEXEMA_O_FORMA")),"PERFIL_NO_CONSTITUIDO"))))))))))))))))))</x:f>
        <x:v>SIN_EJECUCION_DOMINIO</x:v>
      </x:c>
      <x:c r="R49" s="12" t="str">
        <x:f>IF(AND(L49=O49,M49=P49,N49=Q49),"PASA","NO_PASA")</x:f>
        <x:v>PASA</x:v>
      </x:c>
      <x:c r="S49" s="4" t="str">
        <x:v>El observador falla; no existe ejecución de dominio ni Tri alternativo.</x:v>
      </x:c>
      <x:c r="T49" s="12" t="str">
        <x:f>IFERROR(INDEX('55_Codificacion_ensayo'!$B$5:$B$13,MATCH(B49,'55_Codificacion_ensayo'!$A$5:$A$13,0)),"")</x:f>
        <x:v>TERMINACION-GENERACION-PROCESO-0.1</x:v>
      </x:c>
      <x:c r="U49" s="12" t="str">
        <x:f>IFERROR(INDEX('55_Codificacion_ensayo'!$C$5:$C$13,MATCH(B49,'55_Codificacion_ensayo'!$A$5:$A$13,0)),"")</x:f>
        <x:v>CICLO_GENERACION</x:v>
      </x:c>
      <x:c r="V49" s="12" t="str">
        <x:f>IFERROR(INDEX('55_Codificacion_ensayo'!$D$5:$D$13,MATCH(B49,'55_Codificacion_ensayo'!$A$5:$A$13,0)),"")</x:f>
        <x:v>ORDEN_ACREDITADO</x:v>
      </x:c>
      <x:c r="W49" s="12" t="str">
        <x:f>IFERROR(INDEX('55_Codificacion_ensayo'!$E$5:$E$13,MATCH(B49,'55_Codificacion_ensayo'!$A$5:$A$13,0)),"")</x:f>
        <x:v>EVENTO_PROC</x:v>
      </x:c>
      <x:c r="X49" s="12" t="str">
        <x:f>IFERROR(INDEX('55_Codificacion_ensayo'!$F$5:$F$13,MATCH(B49,'55_Codificacion_ensayo'!$A$5:$A$13,0)),"")</x:f>
        <x:v>TERMINADA</x:v>
      </x:c>
      <x:c r="Y49" s="12" t="str">
        <x:f>IFERROR(INDEX('55_Codificacion_ensayo'!$G$5:$G$13,MATCH(B49,'55_Codificacion_ensayo'!$A$5:$A$13,0)),"")</x:f>
      </x:c>
      <x:c r="Z49" s="12" t="str">
        <x:f>IFERROR(INDEX('55_Codificacion_ensayo'!$H$5:$H$13,MATCH(B49,'55_Codificacion_ensayo'!$A$5:$A$13,0)),"")</x:f>
        <x:v>NINGUNO</x:v>
      </x:c>
      <x:c r="AA49" s="12" t="str">
        <x:f>IFERROR(INDEX('55_Codificacion_ensayo'!$I$5:$I$13,MATCH(B49,'55_Codificacion_ensayo'!$A$5:$A$13,0)),"")</x:f>
        <x:v>GENERACION_TERMINADA</x:v>
      </x:c>
      <x:c r="AB49" s="12" t="str">
        <x:f>IFERROR(INDEX('55_Codificacion_ensayo'!$J$5:$J$13,MATCH(B49,'55_Codificacion_ensayo'!$A$5:$A$13,0)),"")</x:f>
        <x:v>SIN_TERMINACION</x:v>
      </x:c>
    </x:row>
    <x:row r="50" ht="47" customHeight="1">
      <x:c r="A50" s="4" t="str">
        <x:v>L10-05-06</x:v>
      </x:c>
      <x:c r="B50" s="4" t="str">
        <x:v>PAR-CYB-GENERACION-PROCESO-TERMINADA-001</x:v>
      </x:c>
      <x:c r="C50" s="4" t="str">
        <x:v>TERMINACION-GENERACION-PROCESO-0.1</x:v>
      </x:c>
      <x:c r="D50" s="4" t="str">
        <x:v>OTRO</x:v>
      </x:c>
      <x:c r="E50" s="4" t="str">
        <x:v>LEGIBLE</x:v>
      </x:c>
      <x:c r="F50" s="4" t="str">
        <x:v>CICLO_GENERACION</x:v>
      </x:c>
      <x:c r="G50" s="4" t="str">
        <x:v>UNICA</x:v>
      </x:c>
      <x:c r="H50" s="4" t="str">
        <x:v>TERMINADA</x:v>
      </x:c>
      <x:c r="I50" s="4" t="str"/>
      <x:c r="J50" s="4" t="str">
        <x:v>COMPLETA</x:v>
      </x:c>
      <x:c r="K50" s="4" t="str">
        <x:v>ORDEN_ACREDITADO</x:v>
      </x:c>
      <x:c r="L50" s="4" t="str">
        <x:v>NO_ADMISION</x:v>
      </x:c>
      <x:c r="M50" s="4" t="str"/>
      <x:c r="N50" s="4" t="str">
        <x:v>IDENTIDAD</x:v>
      </x:c>
      <x:c r="O50" s="12" t="str">
        <x:f>IF(Q50="SIN_EJECUCION_DOMINIO","FALLO_CAPTURA",IF(OR(Q50="CAPTURA_MAL_FORMADA",Q50="IDENTIDAD",Q50="OBSERVACION_MAL_FORMADA",Q50="LEXEMA_O_FORMA"),"NO_ADMISION",IF(OR(Q50="PERFIL_NO_CONSTITUIDO",Q50="RESULTADO_NO_TERMINAL"),"FUERA_PERFIL",IF(Q50="CONTEXTO_NO_CONSTITUIDO","CONFIGURACION_PENDIENTE","VALIDA"))))</x:f>
        <x:v>NO_ADMISION</x:v>
      </x:c>
      <x:c r="P50" s="12" t="str">
        <x:f>IF(O50&lt;&gt;"VALIDA","",IF(Q50=AA50,"1",IF(Q50=AB50,"0","U")))</x:f>
      </x:c>
      <x:c r="Q50" s="12" t="str">
        <x:f>IF(E50="FALLO","SIN_EJECUCION_DOMINIO",IF(E50&lt;&gt;"LEGIBLE","CAPTURA_MAL_FORMADA",IF(D50&lt;&gt;"COINCIDE","IDENTIDAD",IF(OR(T50="",C50&lt;&gt;T50),"PERFIL_NO_CONSTITUIDO",IF(K50&lt;&gt;V50,IF(V50="ORDEN_ACREDITADO","ORDEN_NO_ACREDITADO","CONTEXTO_NO_CONSTITUIDO"),IF(AND(G50="AUSENTE",H50="",I50=""),"DATO_AUSENTE",IF(AND(G50="CONFLICTO",H50="",I50=""),"CONFLICTO_OBSERVACIONAL",IF(G50&lt;&gt;"UNICA","OBSERVACION_MAL_FORMADA",IF(F50&lt;&gt;U50,"OBSERVACION_INSUFICIENTE",IF(W50="RESULTADO",IF(H50=X50,AA50,IF(OR(H50="orcSucceededWithErrors",H50="orcFailed",H50="orcAborted"),AB50,IF(OR(H50="orcNotStarted",H50="orcInProgress"),"RESULTADO_NO_TERMINAL","LEXEMA_O_FORMA"))),IF(W50="EVENTO_BOOT",IF(H50=X50,AA50,IF(OR(H50="NINGUNO",H50="SOLO_HIBRIDO"),IF(J50="COMPLETA",AB50,"COBERTURA_INSUFICIENTE"),"LEXEMA_O_FORMA")),IF(W50="REQUISITO_SOFT",IF(H50=X50,AA50,IF(H50=Z50,AB50,"LEXEMA_O_FORMA")),IF(W50="EVENTO_PROC",IF(H50=X50,AA50,IF(H50=Z50,IF(J50="COMPLETA",AB50,"COBERTURA_INSUFICIENTE"),"LEXEMA_O_FORMA")),IF(W50="IMAGEN",IF(AND(AND(ISTEXT(H50),LEN(("x"&amp;H50))=65,EXACT(("x"&amp;H50),LOWER(("x"&amp;H50))),ISERROR(SEARCH(" ",("x"&amp;H50))),ISERROR(SEARCH(CHAR(9),("x"&amp;H50))),ISERROR(SEARCH(CHAR(10),("x"&amp;H50))),ISERROR(SEARCH(CHAR(13),("x"&amp;H50))),IFERROR(HEX2DEC(MID(("x"&amp;H50),2,8))&gt;=0,FALSE),IFERROR(HEX2DEC(MID(("x"&amp;H50),10,8))&gt;=0,FALSE),IFERROR(HEX2DEC(MID(("x"&amp;H50),18,8))&gt;=0,FALSE),IFERROR(HEX2DEC(MID(("x"&amp;H50),26,8))&gt;=0,FALSE),IFERROR(HEX2DEC(MID(("x"&amp;H50),34,8))&gt;=0,FALSE),IFERROR(HEX2DEC(MID(("x"&amp;H50),42,8))&gt;=0,FALSE),IFERROR(HEX2DEC(MID(("x"&amp;H50),50,8))&gt;=0,FALSE),IFERROR(HEX2DEC(MID(("x"&amp;H50),58,8))&gt;=0,FALSE)),AND(ISTEXT(I50),LEN(("x"&amp;I50))=65,EXACT(("x"&amp;I50),LOWER(("x"&amp;I50))),ISERROR(SEARCH(" ",("x"&amp;I50))),ISERROR(SEARCH(CHAR(9),("x"&amp;I50))),ISERROR(SEARCH(CHAR(10),("x"&amp;I50))),ISERROR(SEARCH(CHAR(13),("x"&amp;I50))),IFERROR(HEX2DEC(MID(("x"&amp;I50),2,8))&gt;=0,FALSE),IFERROR(HEX2DEC(MID(("x"&amp;I50),10,8))&gt;=0,FALSE),IFERROR(HEX2DEC(MID(("x"&amp;I50),18,8))&gt;=0,FALSE),IFERROR(HEX2DEC(MID(("x"&amp;I50),26,8))&gt;=0,FALSE),IFERROR(HEX2DEC(MID(("x"&amp;I50),34,8))&gt;=0,FALSE),IFERROR(HEX2DEC(MID(("x"&amp;I50),42,8))&gt;=0,FALSE),IFERROR(HEX2DEC(MID(("x"&amp;I50),50,8))&gt;=0,FALSE),IFERROR(HEX2DEC(MID(("x"&amp;I50),58,8))&gt;=0,FALSE))),IF(EXACT("x"&amp;H50,"x"&amp;I50),AA50,AB50),"LEXEMA_O_FORMA"),IF(W50="PRUEBA",IF(H50=X50,AA50,IF(H50=Z50,AB50,"LEXEMA_O_FORMA")),IF(W50="RETIRADA",IF(AND(H50="NINGUNO",I50=""),IF(J50="COMPLETA",AB50,"COBERTURA_INSUFICIENTE"),IF(AND(OR(H50="uoInstallation",H50="uoUninstallation"),OR(I50="orcSucceeded",I50="orcSucceededWithErrors",I50="orcFailed",I50="orcAborted",I50="orcInProgress",I50="orcNotStarted")),IF(AND(H50=X50,I50=Y50),AA50,IF(AND(H50=X50,OR(I50="orcSucceededWithErrors",I50="orcInProgress",I50="orcNotStarted")),"RESULTADO_RETIRADA_INCIERTO",IF(J50="COMPLETA",AB50,"COBERTURA_INSUFICIENTE"))),"LEXEMA_O_FORMA")),IF(W50="CAMBIO",IF(OR(H50="CAMBIO",H50="CAMBIO_Y_RETORNO"),AA50,IF(OR(H50="NINGUNO",H50="SOLO_RENOMBRE"),IF(J50="COMPLETA",AB50,"COBERTURA_INSUFICIENTE"),"LEXEMA_O_FORMA")),IF(W50="RESTAURACION",IF(H50=X50,AA50,IF(OR(H50="NINGUNO",H50="RESTAURACION_POSTERIOR",H50="RESTAURACION_FALLIDA"),IF(J50="COMPLETA",AB50,"COBERTURA_INSUFICIENTE"),"LEXEMA_O_FORMA")),"PERFIL_NO_CONSTITUIDO"))))))))))))))))))</x:f>
        <x:v>IDENTIDAD</x:v>
      </x:c>
      <x:c r="R50" s="12" t="str">
        <x:f>IF(AND(L50=O50,M50=P50,N50=Q50),"PASA","NO_PASA")</x:f>
        <x:v>PASA</x:v>
      </x:c>
      <x:c r="S50" s="4" t="str">
        <x:v>El testigo pertenece a otro sujeto; no se recicla su dato.</x:v>
      </x:c>
      <x:c r="T50" s="12" t="str">
        <x:f>IFERROR(INDEX('55_Codificacion_ensayo'!$B$5:$B$13,MATCH(B50,'55_Codificacion_ensayo'!$A$5:$A$13,0)),"")</x:f>
        <x:v>TERMINACION-GENERACION-PROCESO-0.1</x:v>
      </x:c>
      <x:c r="U50" s="12" t="str">
        <x:f>IFERROR(INDEX('55_Codificacion_ensayo'!$C$5:$C$13,MATCH(B50,'55_Codificacion_ensayo'!$A$5:$A$13,0)),"")</x:f>
        <x:v>CICLO_GENERACION</x:v>
      </x:c>
      <x:c r="V50" s="12" t="str">
        <x:f>IFERROR(INDEX('55_Codificacion_ensayo'!$D$5:$D$13,MATCH(B50,'55_Codificacion_ensayo'!$A$5:$A$13,0)),"")</x:f>
        <x:v>ORDEN_ACREDITADO</x:v>
      </x:c>
      <x:c r="W50" s="12" t="str">
        <x:f>IFERROR(INDEX('55_Codificacion_ensayo'!$E$5:$E$13,MATCH(B50,'55_Codificacion_ensayo'!$A$5:$A$13,0)),"")</x:f>
        <x:v>EVENTO_PROC</x:v>
      </x:c>
      <x:c r="X50" s="12" t="str">
        <x:f>IFERROR(INDEX('55_Codificacion_ensayo'!$F$5:$F$13,MATCH(B50,'55_Codificacion_ensayo'!$A$5:$A$13,0)),"")</x:f>
        <x:v>TERMINADA</x:v>
      </x:c>
      <x:c r="Y50" s="12" t="str">
        <x:f>IFERROR(INDEX('55_Codificacion_ensayo'!$G$5:$G$13,MATCH(B50,'55_Codificacion_ensayo'!$A$5:$A$13,0)),"")</x:f>
      </x:c>
      <x:c r="Z50" s="12" t="str">
        <x:f>IFERROR(INDEX('55_Codificacion_ensayo'!$H$5:$H$13,MATCH(B50,'55_Codificacion_ensayo'!$A$5:$A$13,0)),"")</x:f>
        <x:v>NINGUNO</x:v>
      </x:c>
      <x:c r="AA50" s="12" t="str">
        <x:f>IFERROR(INDEX('55_Codificacion_ensayo'!$I$5:$I$13,MATCH(B50,'55_Codificacion_ensayo'!$A$5:$A$13,0)),"")</x:f>
        <x:v>GENERACION_TERMINADA</x:v>
      </x:c>
      <x:c r="AB50" s="12" t="str">
        <x:f>IFERROR(INDEX('55_Codificacion_ensayo'!$J$5:$J$13,MATCH(B50,'55_Codificacion_ensayo'!$A$5:$A$13,0)),"")</x:f>
        <x:v>SIN_TERMINACION</x:v>
      </x:c>
    </x:row>
    <x:row r="51" ht="47" customHeight="1">
      <x:c r="A51" s="4" t="str">
        <x:v>L10-05-07</x:v>
      </x:c>
      <x:c r="B51" s="4" t="str">
        <x:v>PAR-CYB-GENERACION-PROCESO-TERMINADA-001</x:v>
      </x:c>
      <x:c r="C51" s="4" t="str">
        <x:v>TERMINACION-GENERACION-PROCESO-0.1</x:v>
      </x:c>
      <x:c r="D51" s="4" t="str">
        <x:v>COINCIDE</x:v>
      </x:c>
      <x:c r="E51" s="4" t="str">
        <x:v>LEGIBLE</x:v>
      </x:c>
      <x:c r="F51" s="4" t="str">
        <x:v>FUENTE_GENERAL</x:v>
      </x:c>
      <x:c r="G51" s="4" t="str">
        <x:v>UNICA</x:v>
      </x:c>
      <x:c r="H51" s="4" t="str">
        <x:v>TERMINADA</x:v>
      </x:c>
      <x:c r="I51" s="4" t="str"/>
      <x:c r="J51" s="4" t="str">
        <x:v>COMPLETA</x:v>
      </x:c>
      <x:c r="K51" s="4" t="str">
        <x:v>ORDEN_ACREDITADO</x:v>
      </x:c>
      <x:c r="L51" s="4" t="str">
        <x:v>VALIDA</x:v>
      </x:c>
      <x:c r="M51" s="4" t="str">
        <x:v>U</x:v>
      </x:c>
      <x:c r="N51" s="4" t="str">
        <x:v>OBSERVACION_INSUFICIENTE</x:v>
      </x:c>
      <x:c r="O51" s="12" t="str">
        <x:f>IF(Q51="SIN_EJECUCION_DOMINIO","FALLO_CAPTURA",IF(OR(Q51="CAPTURA_MAL_FORMADA",Q51="IDENTIDAD",Q51="OBSERVACION_MAL_FORMADA",Q51="LEXEMA_O_FORMA"),"NO_ADMISION",IF(OR(Q51="PERFIL_NO_CONSTITUIDO",Q51="RESULTADO_NO_TERMINAL"),"FUERA_PERFIL",IF(Q51="CONTEXTO_NO_CONSTITUIDO","CONFIGURACION_PENDIENTE","VALIDA"))))</x:f>
        <x:v>VALIDA</x:v>
      </x:c>
      <x:c r="P51" s="12" t="str">
        <x:f>IF(O51&lt;&gt;"VALIDA","",IF(Q51=AA51,"1",IF(Q51=AB51,"0","U")))</x:f>
        <x:v>U</x:v>
      </x:c>
      <x:c r="Q51" s="12" t="str">
        <x:f>IF(E51="FALLO","SIN_EJECUCION_DOMINIO",IF(E51&lt;&gt;"LEGIBLE","CAPTURA_MAL_FORMADA",IF(D51&lt;&gt;"COINCIDE","IDENTIDAD",IF(OR(T51="",C51&lt;&gt;T51),"PERFIL_NO_CONSTITUIDO",IF(K51&lt;&gt;V51,IF(V51="ORDEN_ACREDITADO","ORDEN_NO_ACREDITADO","CONTEXTO_NO_CONSTITUIDO"),IF(AND(G51="AUSENTE",H51="",I51=""),"DATO_AUSENTE",IF(AND(G51="CONFLICTO",H51="",I51=""),"CONFLICTO_OBSERVACIONAL",IF(G51&lt;&gt;"UNICA","OBSERVACION_MAL_FORMADA",IF(F51&lt;&gt;U51,"OBSERVACION_INSUFICIENTE",IF(W51="RESULTADO",IF(H51=X51,AA51,IF(OR(H51="orcSucceededWithErrors",H51="orcFailed",H51="orcAborted"),AB51,IF(OR(H51="orcNotStarted",H51="orcInProgress"),"RESULTADO_NO_TERMINAL","LEXEMA_O_FORMA"))),IF(W51="EVENTO_BOOT",IF(H51=X51,AA51,IF(OR(H51="NINGUNO",H51="SOLO_HIBRIDO"),IF(J51="COMPLETA",AB51,"COBERTURA_INSUFICIENTE"),"LEXEMA_O_FORMA")),IF(W51="REQUISITO_SOFT",IF(H51=X51,AA51,IF(H51=Z51,AB51,"LEXEMA_O_FORMA")),IF(W51="EVENTO_PROC",IF(H51=X51,AA51,IF(H51=Z51,IF(J51="COMPLETA",AB51,"COBERTURA_INSUFICIENTE"),"LEXEMA_O_FORMA")),IF(W51="IMAGEN",IF(AND(AND(ISTEXT(H51),LEN(("x"&amp;H51))=65,EXACT(("x"&amp;H51),LOWER(("x"&amp;H51))),ISERROR(SEARCH(" ",("x"&amp;H51))),ISERROR(SEARCH(CHAR(9),("x"&amp;H51))),ISERROR(SEARCH(CHAR(10),("x"&amp;H51))),ISERROR(SEARCH(CHAR(13),("x"&amp;H51))),IFERROR(HEX2DEC(MID(("x"&amp;H51),2,8))&gt;=0,FALSE),IFERROR(HEX2DEC(MID(("x"&amp;H51),10,8))&gt;=0,FALSE),IFERROR(HEX2DEC(MID(("x"&amp;H51),18,8))&gt;=0,FALSE),IFERROR(HEX2DEC(MID(("x"&amp;H51),26,8))&gt;=0,FALSE),IFERROR(HEX2DEC(MID(("x"&amp;H51),34,8))&gt;=0,FALSE),IFERROR(HEX2DEC(MID(("x"&amp;H51),42,8))&gt;=0,FALSE),IFERROR(HEX2DEC(MID(("x"&amp;H51),50,8))&gt;=0,FALSE),IFERROR(HEX2DEC(MID(("x"&amp;H51),58,8))&gt;=0,FALSE)),AND(ISTEXT(I51),LEN(("x"&amp;I51))=65,EXACT(("x"&amp;I51),LOWER(("x"&amp;I51))),ISERROR(SEARCH(" ",("x"&amp;I51))),ISERROR(SEARCH(CHAR(9),("x"&amp;I51))),ISERROR(SEARCH(CHAR(10),("x"&amp;I51))),ISERROR(SEARCH(CHAR(13),("x"&amp;I51))),IFERROR(HEX2DEC(MID(("x"&amp;I51),2,8))&gt;=0,FALSE),IFERROR(HEX2DEC(MID(("x"&amp;I51),10,8))&gt;=0,FALSE),IFERROR(HEX2DEC(MID(("x"&amp;I51),18,8))&gt;=0,FALSE),IFERROR(HEX2DEC(MID(("x"&amp;I51),26,8))&gt;=0,FALSE),IFERROR(HEX2DEC(MID(("x"&amp;I51),34,8))&gt;=0,FALSE),IFERROR(HEX2DEC(MID(("x"&amp;I51),42,8))&gt;=0,FALSE),IFERROR(HEX2DEC(MID(("x"&amp;I51),50,8))&gt;=0,FALSE),IFERROR(HEX2DEC(MID(("x"&amp;I51),58,8))&gt;=0,FALSE))),IF(EXACT("x"&amp;H51,"x"&amp;I51),AA51,AB51),"LEXEMA_O_FORMA"),IF(W51="PRUEBA",IF(H51=X51,AA51,IF(H51=Z51,AB51,"LEXEMA_O_FORMA")),IF(W51="RETIRADA",IF(AND(H51="NINGUNO",I51=""),IF(J51="COMPLETA",AB51,"COBERTURA_INSUFICIENTE"),IF(AND(OR(H51="uoInstallation",H51="uoUninstallation"),OR(I51="orcSucceeded",I51="orcSucceededWithErrors",I51="orcFailed",I51="orcAborted",I51="orcInProgress",I51="orcNotStarted")),IF(AND(H51=X51,I51=Y51),AA51,IF(AND(H51=X51,OR(I51="orcSucceededWithErrors",I51="orcInProgress",I51="orcNotStarted")),"RESULTADO_RETIRADA_INCIERTO",IF(J51="COMPLETA",AB51,"COBERTURA_INSUFICIENTE"))),"LEXEMA_O_FORMA")),IF(W51="CAMBIO",IF(OR(H51="CAMBIO",H51="CAMBIO_Y_RETORNO"),AA51,IF(OR(H51="NINGUNO",H51="SOLO_RENOMBRE"),IF(J51="COMPLETA",AB51,"COBERTURA_INSUFICIENTE"),"LEXEMA_O_FORMA")),IF(W51="RESTAURACION",IF(H51=X51,AA51,IF(OR(H51="NINGUNO",H51="RESTAURACION_POSTERIOR",H51="RESTAURACION_FALLIDA"),IF(J51="COMPLETA",AB51,"COBERTURA_INSUFICIENTE"),"LEXEMA_O_FORMA")),"PERFIL_NO_CONSTITUIDO"))))))))))))))))))</x:f>
        <x:v>OBSERVACION_INSUFICIENTE</x:v>
      </x:c>
      <x:c r="R51" s="12" t="str">
        <x:f>IF(AND(L51=O51,M51=P51,N51=Q51),"PASA","NO_PASA")</x:f>
        <x:v>PASA</x:v>
      </x:c>
      <x:c r="S51" s="4" t="str">
        <x:v>Una fuente del dominio no sustituye la observación específica del episodio.</x:v>
      </x:c>
      <x:c r="T51" s="12" t="str">
        <x:f>IFERROR(INDEX('55_Codificacion_ensayo'!$B$5:$B$13,MATCH(B51,'55_Codificacion_ensayo'!$A$5:$A$13,0)),"")</x:f>
        <x:v>TERMINACION-GENERACION-PROCESO-0.1</x:v>
      </x:c>
      <x:c r="U51" s="12" t="str">
        <x:f>IFERROR(INDEX('55_Codificacion_ensayo'!$C$5:$C$13,MATCH(B51,'55_Codificacion_ensayo'!$A$5:$A$13,0)),"")</x:f>
        <x:v>CICLO_GENERACION</x:v>
      </x:c>
      <x:c r="V51" s="12" t="str">
        <x:f>IFERROR(INDEX('55_Codificacion_ensayo'!$D$5:$D$13,MATCH(B51,'55_Codificacion_ensayo'!$A$5:$A$13,0)),"")</x:f>
        <x:v>ORDEN_ACREDITADO</x:v>
      </x:c>
      <x:c r="W51" s="12" t="str">
        <x:f>IFERROR(INDEX('55_Codificacion_ensayo'!$E$5:$E$13,MATCH(B51,'55_Codificacion_ensayo'!$A$5:$A$13,0)),"")</x:f>
        <x:v>EVENTO_PROC</x:v>
      </x:c>
      <x:c r="X51" s="12" t="str">
        <x:f>IFERROR(INDEX('55_Codificacion_ensayo'!$F$5:$F$13,MATCH(B51,'55_Codificacion_ensayo'!$A$5:$A$13,0)),"")</x:f>
        <x:v>TERMINADA</x:v>
      </x:c>
      <x:c r="Y51" s="12" t="str">
        <x:f>IFERROR(INDEX('55_Codificacion_ensayo'!$G$5:$G$13,MATCH(B51,'55_Codificacion_ensayo'!$A$5:$A$13,0)),"")</x:f>
      </x:c>
      <x:c r="Z51" s="12" t="str">
        <x:f>IFERROR(INDEX('55_Codificacion_ensayo'!$H$5:$H$13,MATCH(B51,'55_Codificacion_ensayo'!$A$5:$A$13,0)),"")</x:f>
        <x:v>NINGUNO</x:v>
      </x:c>
      <x:c r="AA51" s="12" t="str">
        <x:f>IFERROR(INDEX('55_Codificacion_ensayo'!$I$5:$I$13,MATCH(B51,'55_Codificacion_ensayo'!$A$5:$A$13,0)),"")</x:f>
        <x:v>GENERACION_TERMINADA</x:v>
      </x:c>
      <x:c r="AB51" s="12" t="str">
        <x:f>IFERROR(INDEX('55_Codificacion_ensayo'!$J$5:$J$13,MATCH(B51,'55_Codificacion_ensayo'!$A$5:$A$13,0)),"")</x:f>
        <x:v>SIN_TERMINACION</x:v>
      </x:c>
    </x:row>
    <x:row r="52" ht="47" customHeight="1">
      <x:c r="A52" s="4" t="str">
        <x:v>L10-05-08</x:v>
      </x:c>
      <x:c r="B52" s="4" t="str">
        <x:v>PAR-CYB-GENERACION-PROCESO-TERMINADA-001</x:v>
      </x:c>
      <x:c r="C52" s="4" t="str">
        <x:v>OTRO_PERFIL</x:v>
      </x:c>
      <x:c r="D52" s="4" t="str">
        <x:v>COINCIDE</x:v>
      </x:c>
      <x:c r="E52" s="4" t="str">
        <x:v>LEGIBLE</x:v>
      </x:c>
      <x:c r="F52" s="4" t="str">
        <x:v>CICLO_GENERACION</x:v>
      </x:c>
      <x:c r="G52" s="4" t="str">
        <x:v>UNICA</x:v>
      </x:c>
      <x:c r="H52" s="4" t="str">
        <x:v>TERMINADA</x:v>
      </x:c>
      <x:c r="I52" s="4" t="str"/>
      <x:c r="J52" s="4" t="str">
        <x:v>COMPLETA</x:v>
      </x:c>
      <x:c r="K52" s="4" t="str">
        <x:v>ORDEN_ACREDITADO</x:v>
      </x:c>
      <x:c r="L52" s="4" t="str">
        <x:v>FUERA_PERFIL</x:v>
      </x:c>
      <x:c r="M52" s="4" t="str"/>
      <x:c r="N52" s="4" t="str">
        <x:v>PERFIL_NO_CONSTITUIDO</x:v>
      </x:c>
      <x:c r="O52" s="12" t="str">
        <x:f>IF(Q52="SIN_EJECUCION_DOMINIO","FALLO_CAPTURA",IF(OR(Q52="CAPTURA_MAL_FORMADA",Q52="IDENTIDAD",Q52="OBSERVACION_MAL_FORMADA",Q52="LEXEMA_O_FORMA"),"NO_ADMISION",IF(OR(Q52="PERFIL_NO_CONSTITUIDO",Q52="RESULTADO_NO_TERMINAL"),"FUERA_PERFIL",IF(Q52="CONTEXTO_NO_CONSTITUIDO","CONFIGURACION_PENDIENTE","VALIDA"))))</x:f>
        <x:v>FUERA_PERFIL</x:v>
      </x:c>
      <x:c r="P52" s="12" t="str">
        <x:f>IF(O52&lt;&gt;"VALIDA","",IF(Q52=AA52,"1",IF(Q52=AB52,"0","U")))</x:f>
      </x:c>
      <x:c r="Q52" s="12" t="str">
        <x:f>IF(E52="FALLO","SIN_EJECUCION_DOMINIO",IF(E52&lt;&gt;"LEGIBLE","CAPTURA_MAL_FORMADA",IF(D52&lt;&gt;"COINCIDE","IDENTIDAD",IF(OR(T52="",C52&lt;&gt;T52),"PERFIL_NO_CONSTITUIDO",IF(K52&lt;&gt;V52,IF(V52="ORDEN_ACREDITADO","ORDEN_NO_ACREDITADO","CONTEXTO_NO_CONSTITUIDO"),IF(AND(G52="AUSENTE",H52="",I52=""),"DATO_AUSENTE",IF(AND(G52="CONFLICTO",H52="",I52=""),"CONFLICTO_OBSERVACIONAL",IF(G52&lt;&gt;"UNICA","OBSERVACION_MAL_FORMADA",IF(F52&lt;&gt;U52,"OBSERVACION_INSUFICIENTE",IF(W52="RESULTADO",IF(H52=X52,AA52,IF(OR(H52="orcSucceededWithErrors",H52="orcFailed",H52="orcAborted"),AB52,IF(OR(H52="orcNotStarted",H52="orcInProgress"),"RESULTADO_NO_TERMINAL","LEXEMA_O_FORMA"))),IF(W52="EVENTO_BOOT",IF(H52=X52,AA52,IF(OR(H52="NINGUNO",H52="SOLO_HIBRIDO"),IF(J52="COMPLETA",AB52,"COBERTURA_INSUFICIENTE"),"LEXEMA_O_FORMA")),IF(W52="REQUISITO_SOFT",IF(H52=X52,AA52,IF(H52=Z52,AB52,"LEXEMA_O_FORMA")),IF(W52="EVENTO_PROC",IF(H52=X52,AA52,IF(H52=Z52,IF(J52="COMPLETA",AB52,"COBERTURA_INSUFICIENTE"),"LEXEMA_O_FORMA")),IF(W52="IMAGEN",IF(AND(AND(ISTEXT(H52),LEN(("x"&amp;H52))=65,EXACT(("x"&amp;H52),LOWER(("x"&amp;H52))),ISERROR(SEARCH(" ",("x"&amp;H52))),ISERROR(SEARCH(CHAR(9),("x"&amp;H52))),ISERROR(SEARCH(CHAR(10),("x"&amp;H52))),ISERROR(SEARCH(CHAR(13),("x"&amp;H52))),IFERROR(HEX2DEC(MID(("x"&amp;H52),2,8))&gt;=0,FALSE),IFERROR(HEX2DEC(MID(("x"&amp;H52),10,8))&gt;=0,FALSE),IFERROR(HEX2DEC(MID(("x"&amp;H52),18,8))&gt;=0,FALSE),IFERROR(HEX2DEC(MID(("x"&amp;H52),26,8))&gt;=0,FALSE),IFERROR(HEX2DEC(MID(("x"&amp;H52),34,8))&gt;=0,FALSE),IFERROR(HEX2DEC(MID(("x"&amp;H52),42,8))&gt;=0,FALSE),IFERROR(HEX2DEC(MID(("x"&amp;H52),50,8))&gt;=0,FALSE),IFERROR(HEX2DEC(MID(("x"&amp;H52),58,8))&gt;=0,FALSE)),AND(ISTEXT(I52),LEN(("x"&amp;I52))=65,EXACT(("x"&amp;I52),LOWER(("x"&amp;I52))),ISERROR(SEARCH(" ",("x"&amp;I52))),ISERROR(SEARCH(CHAR(9),("x"&amp;I52))),ISERROR(SEARCH(CHAR(10),("x"&amp;I52))),ISERROR(SEARCH(CHAR(13),("x"&amp;I52))),IFERROR(HEX2DEC(MID(("x"&amp;I52),2,8))&gt;=0,FALSE),IFERROR(HEX2DEC(MID(("x"&amp;I52),10,8))&gt;=0,FALSE),IFERROR(HEX2DEC(MID(("x"&amp;I52),18,8))&gt;=0,FALSE),IFERROR(HEX2DEC(MID(("x"&amp;I52),26,8))&gt;=0,FALSE),IFERROR(HEX2DEC(MID(("x"&amp;I52),34,8))&gt;=0,FALSE),IFERROR(HEX2DEC(MID(("x"&amp;I52),42,8))&gt;=0,FALSE),IFERROR(HEX2DEC(MID(("x"&amp;I52),50,8))&gt;=0,FALSE),IFERROR(HEX2DEC(MID(("x"&amp;I52),58,8))&gt;=0,FALSE))),IF(EXACT("x"&amp;H52,"x"&amp;I52),AA52,AB52),"LEXEMA_O_FORMA"),IF(W52="PRUEBA",IF(H52=X52,AA52,IF(H52=Z52,AB52,"LEXEMA_O_FORMA")),IF(W52="RETIRADA",IF(AND(H52="NINGUNO",I52=""),IF(J52="COMPLETA",AB52,"COBERTURA_INSUFICIENTE"),IF(AND(OR(H52="uoInstallation",H52="uoUninstallation"),OR(I52="orcSucceeded",I52="orcSucceededWithErrors",I52="orcFailed",I52="orcAborted",I52="orcInProgress",I52="orcNotStarted")),IF(AND(H52=X52,I52=Y52),AA52,IF(AND(H52=X52,OR(I52="orcSucceededWithErrors",I52="orcInProgress",I52="orcNotStarted")),"RESULTADO_RETIRADA_INCIERTO",IF(J52="COMPLETA",AB52,"COBERTURA_INSUFICIENTE"))),"LEXEMA_O_FORMA")),IF(W52="CAMBIO",IF(OR(H52="CAMBIO",H52="CAMBIO_Y_RETORNO"),AA52,IF(OR(H52="NINGUNO",H52="SOLO_RENOMBRE"),IF(J52="COMPLETA",AB52,"COBERTURA_INSUFICIENTE"),"LEXEMA_O_FORMA")),IF(W52="RESTAURACION",IF(H52=X52,AA52,IF(OR(H52="NINGUNO",H52="RESTAURACION_POSTERIOR",H52="RESTAURACION_FALLIDA"),IF(J52="COMPLETA",AB52,"COBERTURA_INSUFICIENTE"),"LEXEMA_O_FORMA")),"PERFIL_NO_CONSTITUIDO"))))))))))))))))))</x:f>
        <x:v>PERFIL_NO_CONSTITUIDO</x:v>
      </x:c>
      <x:c r="R52" s="12" t="str">
        <x:f>IF(AND(L52=O52,M52=P52,N52=Q52),"PASA","NO_PASA")</x:f>
        <x:v>PASA</x:v>
      </x:c>
      <x:c r="S52" s="4" t="str">
        <x:v>Perfil de otro producto no se normaliza por analogía.</x:v>
      </x:c>
      <x:c r="T52" s="12" t="str">
        <x:f>IFERROR(INDEX('55_Codificacion_ensayo'!$B$5:$B$13,MATCH(B52,'55_Codificacion_ensayo'!$A$5:$A$13,0)),"")</x:f>
        <x:v>TERMINACION-GENERACION-PROCESO-0.1</x:v>
      </x:c>
      <x:c r="U52" s="12" t="str">
        <x:f>IFERROR(INDEX('55_Codificacion_ensayo'!$C$5:$C$13,MATCH(B52,'55_Codificacion_ensayo'!$A$5:$A$13,0)),"")</x:f>
        <x:v>CICLO_GENERACION</x:v>
      </x:c>
      <x:c r="V52" s="12" t="str">
        <x:f>IFERROR(INDEX('55_Codificacion_ensayo'!$D$5:$D$13,MATCH(B52,'55_Codificacion_ensayo'!$A$5:$A$13,0)),"")</x:f>
        <x:v>ORDEN_ACREDITADO</x:v>
      </x:c>
      <x:c r="W52" s="12" t="str">
        <x:f>IFERROR(INDEX('55_Codificacion_ensayo'!$E$5:$E$13,MATCH(B52,'55_Codificacion_ensayo'!$A$5:$A$13,0)),"")</x:f>
        <x:v>EVENTO_PROC</x:v>
      </x:c>
      <x:c r="X52" s="12" t="str">
        <x:f>IFERROR(INDEX('55_Codificacion_ensayo'!$F$5:$F$13,MATCH(B52,'55_Codificacion_ensayo'!$A$5:$A$13,0)),"")</x:f>
        <x:v>TERMINADA</x:v>
      </x:c>
      <x:c r="Y52" s="12" t="str">
        <x:f>IFERROR(INDEX('55_Codificacion_ensayo'!$G$5:$G$13,MATCH(B52,'55_Codificacion_ensayo'!$A$5:$A$13,0)),"")</x:f>
      </x:c>
      <x:c r="Z52" s="12" t="str">
        <x:f>IFERROR(INDEX('55_Codificacion_ensayo'!$H$5:$H$13,MATCH(B52,'55_Codificacion_ensayo'!$A$5:$A$13,0)),"")</x:f>
        <x:v>NINGUNO</x:v>
      </x:c>
      <x:c r="AA52" s="12" t="str">
        <x:f>IFERROR(INDEX('55_Codificacion_ensayo'!$I$5:$I$13,MATCH(B52,'55_Codificacion_ensayo'!$A$5:$A$13,0)),"")</x:f>
        <x:v>GENERACION_TERMINADA</x:v>
      </x:c>
      <x:c r="AB52" s="12" t="str">
        <x:f>IFERROR(INDEX('55_Codificacion_ensayo'!$J$5:$J$13,MATCH(B52,'55_Codificacion_ensayo'!$A$5:$A$13,0)),"")</x:f>
        <x:v>SIN_TERMINACION</x:v>
      </x:c>
    </x:row>
    <x:row r="53" ht="47" customHeight="1">
      <x:c r="A53" s="4" t="str">
        <x:v>L10-05-09</x:v>
      </x:c>
      <x:c r="B53" s="4" t="str">
        <x:v>PAR-CYB-GENERACION-PROCESO-TERMINADA-001</x:v>
      </x:c>
      <x:c r="C53" s="4" t="str">
        <x:v>TERMINACION-GENERACION-PROCESO-0.1</x:v>
      </x:c>
      <x:c r="D53" s="4" t="str">
        <x:v>COINCIDE</x:v>
      </x:c>
      <x:c r="E53" s="4" t="str">
        <x:v>LEGIBLE</x:v>
      </x:c>
      <x:c r="F53" s="4" t="str">
        <x:v>CICLO_GENERACION</x:v>
      </x:c>
      <x:c r="G53" s="4" t="str">
        <x:v>UNICA</x:v>
      </x:c>
      <x:c r="H53" s="4" t="str">
        <x:v>true false desconocido</x:v>
      </x:c>
      <x:c r="I53" s="4" t="str"/>
      <x:c r="J53" s="4" t="str">
        <x:v>COMPLETA</x:v>
      </x:c>
      <x:c r="K53" s="4" t="str">
        <x:v>ORDEN_ACREDITADO</x:v>
      </x:c>
      <x:c r="L53" s="4" t="str">
        <x:v>NO_ADMISION</x:v>
      </x:c>
      <x:c r="M53" s="4" t="str"/>
      <x:c r="N53" s="4" t="str">
        <x:v>LEXEMA_O_FORMA</x:v>
      </x:c>
      <x:c r="O53" s="12" t="str">
        <x:f>IF(Q53="SIN_EJECUCION_DOMINIO","FALLO_CAPTURA",IF(OR(Q53="CAPTURA_MAL_FORMADA",Q53="IDENTIDAD",Q53="OBSERVACION_MAL_FORMADA",Q53="LEXEMA_O_FORMA"),"NO_ADMISION",IF(OR(Q53="PERFIL_NO_CONSTITUIDO",Q53="RESULTADO_NO_TERMINAL"),"FUERA_PERFIL",IF(Q53="CONTEXTO_NO_CONSTITUIDO","CONFIGURACION_PENDIENTE","VALIDA"))))</x:f>
        <x:v>NO_ADMISION</x:v>
      </x:c>
      <x:c r="P53" s="12" t="str">
        <x:f>IF(O53&lt;&gt;"VALIDA","",IF(Q53=AA53,"1",IF(Q53=AB53,"0","U")))</x:f>
      </x:c>
      <x:c r="Q53" s="12" t="str">
        <x:f>IF(E53="FALLO","SIN_EJECUCION_DOMINIO",IF(E53&lt;&gt;"LEGIBLE","CAPTURA_MAL_FORMADA",IF(D53&lt;&gt;"COINCIDE","IDENTIDAD",IF(OR(T53="",C53&lt;&gt;T53),"PERFIL_NO_CONSTITUIDO",IF(K53&lt;&gt;V53,IF(V53="ORDEN_ACREDITADO","ORDEN_NO_ACREDITADO","CONTEXTO_NO_CONSTITUIDO"),IF(AND(G53="AUSENTE",H53="",I53=""),"DATO_AUSENTE",IF(AND(G53="CONFLICTO",H53="",I53=""),"CONFLICTO_OBSERVACIONAL",IF(G53&lt;&gt;"UNICA","OBSERVACION_MAL_FORMADA",IF(F53&lt;&gt;U53,"OBSERVACION_INSUFICIENTE",IF(W53="RESULTADO",IF(H53=X53,AA53,IF(OR(H53="orcSucceededWithErrors",H53="orcFailed",H53="orcAborted"),AB53,IF(OR(H53="orcNotStarted",H53="orcInProgress"),"RESULTADO_NO_TERMINAL","LEXEMA_O_FORMA"))),IF(W53="EVENTO_BOOT",IF(H53=X53,AA53,IF(OR(H53="NINGUNO",H53="SOLO_HIBRIDO"),IF(J53="COMPLETA",AB53,"COBERTURA_INSUFICIENTE"),"LEXEMA_O_FORMA")),IF(W53="REQUISITO_SOFT",IF(H53=X53,AA53,IF(H53=Z53,AB53,"LEXEMA_O_FORMA")),IF(W53="EVENTO_PROC",IF(H53=X53,AA53,IF(H53=Z53,IF(J53="COMPLETA",AB53,"COBERTURA_INSUFICIENTE"),"LEXEMA_O_FORMA")),IF(W53="IMAGEN",IF(AND(AND(ISTEXT(H53),LEN(("x"&amp;H53))=65,EXACT(("x"&amp;H53),LOWER(("x"&amp;H53))),ISERROR(SEARCH(" ",("x"&amp;H53))),ISERROR(SEARCH(CHAR(9),("x"&amp;H53))),ISERROR(SEARCH(CHAR(10),("x"&amp;H53))),ISERROR(SEARCH(CHAR(13),("x"&amp;H53))),IFERROR(HEX2DEC(MID(("x"&amp;H53),2,8))&gt;=0,FALSE),IFERROR(HEX2DEC(MID(("x"&amp;H53),10,8))&gt;=0,FALSE),IFERROR(HEX2DEC(MID(("x"&amp;H53),18,8))&gt;=0,FALSE),IFERROR(HEX2DEC(MID(("x"&amp;H53),26,8))&gt;=0,FALSE),IFERROR(HEX2DEC(MID(("x"&amp;H53),34,8))&gt;=0,FALSE),IFERROR(HEX2DEC(MID(("x"&amp;H53),42,8))&gt;=0,FALSE),IFERROR(HEX2DEC(MID(("x"&amp;H53),50,8))&gt;=0,FALSE),IFERROR(HEX2DEC(MID(("x"&amp;H53),58,8))&gt;=0,FALSE)),AND(ISTEXT(I53),LEN(("x"&amp;I53))=65,EXACT(("x"&amp;I53),LOWER(("x"&amp;I53))),ISERROR(SEARCH(" ",("x"&amp;I53))),ISERROR(SEARCH(CHAR(9),("x"&amp;I53))),ISERROR(SEARCH(CHAR(10),("x"&amp;I53))),ISERROR(SEARCH(CHAR(13),("x"&amp;I53))),IFERROR(HEX2DEC(MID(("x"&amp;I53),2,8))&gt;=0,FALSE),IFERROR(HEX2DEC(MID(("x"&amp;I53),10,8))&gt;=0,FALSE),IFERROR(HEX2DEC(MID(("x"&amp;I53),18,8))&gt;=0,FALSE),IFERROR(HEX2DEC(MID(("x"&amp;I53),26,8))&gt;=0,FALSE),IFERROR(HEX2DEC(MID(("x"&amp;I53),34,8))&gt;=0,FALSE),IFERROR(HEX2DEC(MID(("x"&amp;I53),42,8))&gt;=0,FALSE),IFERROR(HEX2DEC(MID(("x"&amp;I53),50,8))&gt;=0,FALSE),IFERROR(HEX2DEC(MID(("x"&amp;I53),58,8))&gt;=0,FALSE))),IF(EXACT("x"&amp;H53,"x"&amp;I53),AA53,AB53),"LEXEMA_O_FORMA"),IF(W53="PRUEBA",IF(H53=X53,AA53,IF(H53=Z53,AB53,"LEXEMA_O_FORMA")),IF(W53="RETIRADA",IF(AND(H53="NINGUNO",I53=""),IF(J53="COMPLETA",AB53,"COBERTURA_INSUFICIENTE"),IF(AND(OR(H53="uoInstallation",H53="uoUninstallation"),OR(I53="orcSucceeded",I53="orcSucceededWithErrors",I53="orcFailed",I53="orcAborted",I53="orcInProgress",I53="orcNotStarted")),IF(AND(H53=X53,I53=Y53),AA53,IF(AND(H53=X53,OR(I53="orcSucceededWithErrors",I53="orcInProgress",I53="orcNotStarted")),"RESULTADO_RETIRADA_INCIERTO",IF(J53="COMPLETA",AB53,"COBERTURA_INSUFICIENTE"))),"LEXEMA_O_FORMA")),IF(W53="CAMBIO",IF(OR(H53="CAMBIO",H53="CAMBIO_Y_RETORNO"),AA53,IF(OR(H53="NINGUNO",H53="SOLO_RENOMBRE"),IF(J53="COMPLETA",AB53,"COBERTURA_INSUFICIENTE"),"LEXEMA_O_FORMA")),IF(W53="RESTAURACION",IF(H53=X53,AA53,IF(OR(H53="NINGUNO",H53="RESTAURACION_POSTERIOR",H53="RESTAURACION_FALLIDA"),IF(J53="COMPLETA",AB53,"COBERTURA_INSUFICIENTE"),"LEXEMA_O_FORMA")),"PERFIL_NO_CONSTITUIDO"))))))))))))))))))</x:f>
        <x:v>LEXEMA_O_FORMA</x:v>
      </x:c>
      <x:c r="R53" s="12" t="str">
        <x:f>IF(AND(L53=O53,M53=P53,N53=Q53),"PASA","NO_PASA")</x:f>
        <x:v>PASA</x:v>
      </x:c>
      <x:c r="S53" s="4" t="str">
        <x:v>La observación usa un lexema ajeno al contrato.</x:v>
      </x:c>
      <x:c r="T53" s="12" t="str">
        <x:f>IFERROR(INDEX('55_Codificacion_ensayo'!$B$5:$B$13,MATCH(B53,'55_Codificacion_ensayo'!$A$5:$A$13,0)),"")</x:f>
        <x:v>TERMINACION-GENERACION-PROCESO-0.1</x:v>
      </x:c>
      <x:c r="U53" s="12" t="str">
        <x:f>IFERROR(INDEX('55_Codificacion_ensayo'!$C$5:$C$13,MATCH(B53,'55_Codificacion_ensayo'!$A$5:$A$13,0)),"")</x:f>
        <x:v>CICLO_GENERACION</x:v>
      </x:c>
      <x:c r="V53" s="12" t="str">
        <x:f>IFERROR(INDEX('55_Codificacion_ensayo'!$D$5:$D$13,MATCH(B53,'55_Codificacion_ensayo'!$A$5:$A$13,0)),"")</x:f>
        <x:v>ORDEN_ACREDITADO</x:v>
      </x:c>
      <x:c r="W53" s="12" t="str">
        <x:f>IFERROR(INDEX('55_Codificacion_ensayo'!$E$5:$E$13,MATCH(B53,'55_Codificacion_ensayo'!$A$5:$A$13,0)),"")</x:f>
        <x:v>EVENTO_PROC</x:v>
      </x:c>
      <x:c r="X53" s="12" t="str">
        <x:f>IFERROR(INDEX('55_Codificacion_ensayo'!$F$5:$F$13,MATCH(B53,'55_Codificacion_ensayo'!$A$5:$A$13,0)),"")</x:f>
        <x:v>TERMINADA</x:v>
      </x:c>
      <x:c r="Y53" s="12" t="str">
        <x:f>IFERROR(INDEX('55_Codificacion_ensayo'!$G$5:$G$13,MATCH(B53,'55_Codificacion_ensayo'!$A$5:$A$13,0)),"")</x:f>
      </x:c>
      <x:c r="Z53" s="12" t="str">
        <x:f>IFERROR(INDEX('55_Codificacion_ensayo'!$H$5:$H$13,MATCH(B53,'55_Codificacion_ensayo'!$A$5:$A$13,0)),"")</x:f>
        <x:v>NINGUNO</x:v>
      </x:c>
      <x:c r="AA53" s="12" t="str">
        <x:f>IFERROR(INDEX('55_Codificacion_ensayo'!$I$5:$I$13,MATCH(B53,'55_Codificacion_ensayo'!$A$5:$A$13,0)),"")</x:f>
        <x:v>GENERACION_TERMINADA</x:v>
      </x:c>
      <x:c r="AB53" s="12" t="str">
        <x:f>IFERROR(INDEX('55_Codificacion_ensayo'!$J$5:$J$13,MATCH(B53,'55_Codificacion_ensayo'!$A$5:$A$13,0)),"")</x:f>
        <x:v>SIN_TERMINACION</x:v>
      </x:c>
    </x:row>
    <x:row r="54" ht="47" customHeight="1">
      <x:c r="A54" s="4" t="str">
        <x:v>L10-05-10</x:v>
      </x:c>
      <x:c r="B54" s="4" t="str">
        <x:v>PAR-CYB-GENERACION-PROCESO-TERMINADA-001</x:v>
      </x:c>
      <x:c r="C54" s="4" t="str">
        <x:v>TERMINACION-GENERACION-PROCESO-0.1</x:v>
      </x:c>
      <x:c r="D54" s="4" t="str">
        <x:v>COINCIDE</x:v>
      </x:c>
      <x:c r="E54" s="4" t="str">
        <x:v>LEGIBLE</x:v>
      </x:c>
      <x:c r="F54" s="4" t="str">
        <x:v>CICLO_GENERACION</x:v>
      </x:c>
      <x:c r="G54" s="4" t="str">
        <x:v>UNICA</x:v>
      </x:c>
      <x:c r="H54" s="4" t="str">
        <x:v>NINGUNO</x:v>
      </x:c>
      <x:c r="I54" s="4" t="str"/>
      <x:c r="J54" s="4" t="str">
        <x:v>PARCIAL</x:v>
      </x:c>
      <x:c r="K54" s="4" t="str">
        <x:v>ORDEN_ACREDITADO</x:v>
      </x:c>
      <x:c r="L54" s="4" t="str">
        <x:v>VALIDA</x:v>
      </x:c>
      <x:c r="M54" s="4" t="str">
        <x:v>U</x:v>
      </x:c>
      <x:c r="N54" s="4" t="str">
        <x:v>COBERTURA_INSUFICIENTE</x:v>
      </x:c>
      <x:c r="O54" s="12" t="str">
        <x:f>IF(Q54="SIN_EJECUCION_DOMINIO","FALLO_CAPTURA",IF(OR(Q54="CAPTURA_MAL_FORMADA",Q54="IDENTIDAD",Q54="OBSERVACION_MAL_FORMADA",Q54="LEXEMA_O_FORMA"),"NO_ADMISION",IF(OR(Q54="PERFIL_NO_CONSTITUIDO",Q54="RESULTADO_NO_TERMINAL"),"FUERA_PERFIL",IF(Q54="CONTEXTO_NO_CONSTITUIDO","CONFIGURACION_PENDIENTE","VALIDA"))))</x:f>
        <x:v>VALIDA</x:v>
      </x:c>
      <x:c r="P54" s="12" t="str">
        <x:f>IF(O54&lt;&gt;"VALIDA","",IF(Q54=AA54,"1",IF(Q54=AB54,"0","U")))</x:f>
        <x:v>U</x:v>
      </x:c>
      <x:c r="Q54" s="12" t="str">
        <x:f>IF(E54="FALLO","SIN_EJECUCION_DOMINIO",IF(E54&lt;&gt;"LEGIBLE","CAPTURA_MAL_FORMADA",IF(D54&lt;&gt;"COINCIDE","IDENTIDAD",IF(OR(T54="",C54&lt;&gt;T54),"PERFIL_NO_CONSTITUIDO",IF(K54&lt;&gt;V54,IF(V54="ORDEN_ACREDITADO","ORDEN_NO_ACREDITADO","CONTEXTO_NO_CONSTITUIDO"),IF(AND(G54="AUSENTE",H54="",I54=""),"DATO_AUSENTE",IF(AND(G54="CONFLICTO",H54="",I54=""),"CONFLICTO_OBSERVACIONAL",IF(G54&lt;&gt;"UNICA","OBSERVACION_MAL_FORMADA",IF(F54&lt;&gt;U54,"OBSERVACION_INSUFICIENTE",IF(W54="RESULTADO",IF(H54=X54,AA54,IF(OR(H54="orcSucceededWithErrors",H54="orcFailed",H54="orcAborted"),AB54,IF(OR(H54="orcNotStarted",H54="orcInProgress"),"RESULTADO_NO_TERMINAL","LEXEMA_O_FORMA"))),IF(W54="EVENTO_BOOT",IF(H54=X54,AA54,IF(OR(H54="NINGUNO",H54="SOLO_HIBRIDO"),IF(J54="COMPLETA",AB54,"COBERTURA_INSUFICIENTE"),"LEXEMA_O_FORMA")),IF(W54="REQUISITO_SOFT",IF(H54=X54,AA54,IF(H54=Z54,AB54,"LEXEMA_O_FORMA")),IF(W54="EVENTO_PROC",IF(H54=X54,AA54,IF(H54=Z54,IF(J54="COMPLETA",AB54,"COBERTURA_INSUFICIENTE"),"LEXEMA_O_FORMA")),IF(W54="IMAGEN",IF(AND(AND(ISTEXT(H54),LEN(("x"&amp;H54))=65,EXACT(("x"&amp;H54),LOWER(("x"&amp;H54))),ISERROR(SEARCH(" ",("x"&amp;H54))),ISERROR(SEARCH(CHAR(9),("x"&amp;H54))),ISERROR(SEARCH(CHAR(10),("x"&amp;H54))),ISERROR(SEARCH(CHAR(13),("x"&amp;H54))),IFERROR(HEX2DEC(MID(("x"&amp;H54),2,8))&gt;=0,FALSE),IFERROR(HEX2DEC(MID(("x"&amp;H54),10,8))&gt;=0,FALSE),IFERROR(HEX2DEC(MID(("x"&amp;H54),18,8))&gt;=0,FALSE),IFERROR(HEX2DEC(MID(("x"&amp;H54),26,8))&gt;=0,FALSE),IFERROR(HEX2DEC(MID(("x"&amp;H54),34,8))&gt;=0,FALSE),IFERROR(HEX2DEC(MID(("x"&amp;H54),42,8))&gt;=0,FALSE),IFERROR(HEX2DEC(MID(("x"&amp;H54),50,8))&gt;=0,FALSE),IFERROR(HEX2DEC(MID(("x"&amp;H54),58,8))&gt;=0,FALSE)),AND(ISTEXT(I54),LEN(("x"&amp;I54))=65,EXACT(("x"&amp;I54),LOWER(("x"&amp;I54))),ISERROR(SEARCH(" ",("x"&amp;I54))),ISERROR(SEARCH(CHAR(9),("x"&amp;I54))),ISERROR(SEARCH(CHAR(10),("x"&amp;I54))),ISERROR(SEARCH(CHAR(13),("x"&amp;I54))),IFERROR(HEX2DEC(MID(("x"&amp;I54),2,8))&gt;=0,FALSE),IFERROR(HEX2DEC(MID(("x"&amp;I54),10,8))&gt;=0,FALSE),IFERROR(HEX2DEC(MID(("x"&amp;I54),18,8))&gt;=0,FALSE),IFERROR(HEX2DEC(MID(("x"&amp;I54),26,8))&gt;=0,FALSE),IFERROR(HEX2DEC(MID(("x"&amp;I54),34,8))&gt;=0,FALSE),IFERROR(HEX2DEC(MID(("x"&amp;I54),42,8))&gt;=0,FALSE),IFERROR(HEX2DEC(MID(("x"&amp;I54),50,8))&gt;=0,FALSE),IFERROR(HEX2DEC(MID(("x"&amp;I54),58,8))&gt;=0,FALSE))),IF(EXACT("x"&amp;H54,"x"&amp;I54),AA54,AB54),"LEXEMA_O_FORMA"),IF(W54="PRUEBA",IF(H54=X54,AA54,IF(H54=Z54,AB54,"LEXEMA_O_FORMA")),IF(W54="RETIRADA",IF(AND(H54="NINGUNO",I54=""),IF(J54="COMPLETA",AB54,"COBERTURA_INSUFICIENTE"),IF(AND(OR(H54="uoInstallation",H54="uoUninstallation"),OR(I54="orcSucceeded",I54="orcSucceededWithErrors",I54="orcFailed",I54="orcAborted",I54="orcInProgress",I54="orcNotStarted")),IF(AND(H54=X54,I54=Y54),AA54,IF(AND(H54=X54,OR(I54="orcSucceededWithErrors",I54="orcInProgress",I54="orcNotStarted")),"RESULTADO_RETIRADA_INCIERTO",IF(J54="COMPLETA",AB54,"COBERTURA_INSUFICIENTE"))),"LEXEMA_O_FORMA")),IF(W54="CAMBIO",IF(OR(H54="CAMBIO",H54="CAMBIO_Y_RETORNO"),AA54,IF(OR(H54="NINGUNO",H54="SOLO_RENOMBRE"),IF(J54="COMPLETA",AB54,"COBERTURA_INSUFICIENTE"),"LEXEMA_O_FORMA")),IF(W54="RESTAURACION",IF(H54=X54,AA54,IF(OR(H54="NINGUNO",H54="RESTAURACION_POSTERIOR",H54="RESTAURACION_FALLIDA"),IF(J54="COMPLETA",AB54,"COBERTURA_INSUFICIENTE"),"LEXEMA_O_FORMA")),"PERFIL_NO_CONSTITUIDO"))))))))))))))))))</x:f>
        <x:v>COBERTURA_INSUFICIENTE</x:v>
      </x:c>
      <x:c r="R54" s="12" t="str">
        <x:f>IF(AND(L54=O54,M54=P54,N54=Q54),"PASA","NO_PASA")</x:f>
        <x:v>PASA</x:v>
      </x:c>
      <x:c r="S54" s="4" t="str">
        <x:v>Ningún evento encontrado en cobertura parcial: U, no 0.</x:v>
      </x:c>
      <x:c r="T54" s="12" t="str">
        <x:f>IFERROR(INDEX('55_Codificacion_ensayo'!$B$5:$B$13,MATCH(B54,'55_Codificacion_ensayo'!$A$5:$A$13,0)),"")</x:f>
        <x:v>TERMINACION-GENERACION-PROCESO-0.1</x:v>
      </x:c>
      <x:c r="U54" s="12" t="str">
        <x:f>IFERROR(INDEX('55_Codificacion_ensayo'!$C$5:$C$13,MATCH(B54,'55_Codificacion_ensayo'!$A$5:$A$13,0)),"")</x:f>
        <x:v>CICLO_GENERACION</x:v>
      </x:c>
      <x:c r="V54" s="12" t="str">
        <x:f>IFERROR(INDEX('55_Codificacion_ensayo'!$D$5:$D$13,MATCH(B54,'55_Codificacion_ensayo'!$A$5:$A$13,0)),"")</x:f>
        <x:v>ORDEN_ACREDITADO</x:v>
      </x:c>
      <x:c r="W54" s="12" t="str">
        <x:f>IFERROR(INDEX('55_Codificacion_ensayo'!$E$5:$E$13,MATCH(B54,'55_Codificacion_ensayo'!$A$5:$A$13,0)),"")</x:f>
        <x:v>EVENTO_PROC</x:v>
      </x:c>
      <x:c r="X54" s="12" t="str">
        <x:f>IFERROR(INDEX('55_Codificacion_ensayo'!$F$5:$F$13,MATCH(B54,'55_Codificacion_ensayo'!$A$5:$A$13,0)),"")</x:f>
        <x:v>TERMINADA</x:v>
      </x:c>
      <x:c r="Y54" s="12" t="str">
        <x:f>IFERROR(INDEX('55_Codificacion_ensayo'!$G$5:$G$13,MATCH(B54,'55_Codificacion_ensayo'!$A$5:$A$13,0)),"")</x:f>
      </x:c>
      <x:c r="Z54" s="12" t="str">
        <x:f>IFERROR(INDEX('55_Codificacion_ensayo'!$H$5:$H$13,MATCH(B54,'55_Codificacion_ensayo'!$A$5:$A$13,0)),"")</x:f>
        <x:v>NINGUNO</x:v>
      </x:c>
      <x:c r="AA54" s="12" t="str">
        <x:f>IFERROR(INDEX('55_Codificacion_ensayo'!$I$5:$I$13,MATCH(B54,'55_Codificacion_ensayo'!$A$5:$A$13,0)),"")</x:f>
        <x:v>GENERACION_TERMINADA</x:v>
      </x:c>
      <x:c r="AB54" s="12" t="str">
        <x:f>IFERROR(INDEX('55_Codificacion_ensayo'!$J$5:$J$13,MATCH(B54,'55_Codificacion_ensayo'!$A$5:$A$13,0)),"")</x:f>
        <x:v>SIN_TERMINACION</x:v>
      </x:c>
    </x:row>
    <x:row r="55" ht="47" customHeight="1">
      <x:c r="A55" s="4" t="str">
        <x:v>L10-05-11</x:v>
      </x:c>
      <x:c r="B55" s="4" t="str">
        <x:v>PAR-CYB-GENERACION-PROCESO-TERMINADA-001</x:v>
      </x:c>
      <x:c r="C55" s="4" t="str">
        <x:v>TERMINACION-GENERACION-PROCESO-0.1</x:v>
      </x:c>
      <x:c r="D55" s="4" t="str">
        <x:v>COINCIDE</x:v>
      </x:c>
      <x:c r="E55" s="4" t="str">
        <x:v>LEGIBLE</x:v>
      </x:c>
      <x:c r="F55" s="4" t="str">
        <x:v>CICLO_GENERACION</x:v>
      </x:c>
      <x:c r="G55" s="4" t="str">
        <x:v>UNICA</x:v>
      </x:c>
      <x:c r="H55" s="4" t="str">
        <x:v>TERMINADA</x:v>
      </x:c>
      <x:c r="I55" s="4" t="str"/>
      <x:c r="J55" s="4" t="str">
        <x:v>PARCIAL</x:v>
      </x:c>
      <x:c r="K55" s="4" t="str">
        <x:v>ORDEN_ACREDITADO</x:v>
      </x:c>
      <x:c r="L55" s="4" t="str">
        <x:v>VALIDA</x:v>
      </x:c>
      <x:c r="M55" s="4" t="str">
        <x:v>1</x:v>
      </x:c>
      <x:c r="N55" s="4" t="str">
        <x:v>GENERACION_TERMINADA</x:v>
      </x:c>
      <x:c r="O55" s="12" t="str">
        <x:f>IF(Q55="SIN_EJECUCION_DOMINIO","FALLO_CAPTURA",IF(OR(Q55="CAPTURA_MAL_FORMADA",Q55="IDENTIDAD",Q55="OBSERVACION_MAL_FORMADA",Q55="LEXEMA_O_FORMA"),"NO_ADMISION",IF(OR(Q55="PERFIL_NO_CONSTITUIDO",Q55="RESULTADO_NO_TERMINAL"),"FUERA_PERFIL",IF(Q55="CONTEXTO_NO_CONSTITUIDO","CONFIGURACION_PENDIENTE","VALIDA"))))</x:f>
        <x:v>VALIDA</x:v>
      </x:c>
      <x:c r="P55" s="12" t="str">
        <x:f>IF(O55&lt;&gt;"VALIDA","",IF(Q55=AA55,"1",IF(Q55=AB55,"0","U")))</x:f>
        <x:v>1</x:v>
      </x:c>
      <x:c r="Q55" s="12" t="str">
        <x:f>IF(E55="FALLO","SIN_EJECUCION_DOMINIO",IF(E55&lt;&gt;"LEGIBLE","CAPTURA_MAL_FORMADA",IF(D55&lt;&gt;"COINCIDE","IDENTIDAD",IF(OR(T55="",C55&lt;&gt;T55),"PERFIL_NO_CONSTITUIDO",IF(K55&lt;&gt;V55,IF(V55="ORDEN_ACREDITADO","ORDEN_NO_ACREDITADO","CONTEXTO_NO_CONSTITUIDO"),IF(AND(G55="AUSENTE",H55="",I55=""),"DATO_AUSENTE",IF(AND(G55="CONFLICTO",H55="",I55=""),"CONFLICTO_OBSERVACIONAL",IF(G55&lt;&gt;"UNICA","OBSERVACION_MAL_FORMADA",IF(F55&lt;&gt;U55,"OBSERVACION_INSUFICIENTE",IF(W55="RESULTADO",IF(H55=X55,AA55,IF(OR(H55="orcSucceededWithErrors",H55="orcFailed",H55="orcAborted"),AB55,IF(OR(H55="orcNotStarted",H55="orcInProgress"),"RESULTADO_NO_TERMINAL","LEXEMA_O_FORMA"))),IF(W55="EVENTO_BOOT",IF(H55=X55,AA55,IF(OR(H55="NINGUNO",H55="SOLO_HIBRIDO"),IF(J55="COMPLETA",AB55,"COBERTURA_INSUFICIENTE"),"LEXEMA_O_FORMA")),IF(W55="REQUISITO_SOFT",IF(H55=X55,AA55,IF(H55=Z55,AB55,"LEXEMA_O_FORMA")),IF(W55="EVENTO_PROC",IF(H55=X55,AA55,IF(H55=Z55,IF(J55="COMPLETA",AB55,"COBERTURA_INSUFICIENTE"),"LEXEMA_O_FORMA")),IF(W55="IMAGEN",IF(AND(AND(ISTEXT(H55),LEN(("x"&amp;H55))=65,EXACT(("x"&amp;H55),LOWER(("x"&amp;H55))),ISERROR(SEARCH(" ",("x"&amp;H55))),ISERROR(SEARCH(CHAR(9),("x"&amp;H55))),ISERROR(SEARCH(CHAR(10),("x"&amp;H55))),ISERROR(SEARCH(CHAR(13),("x"&amp;H55))),IFERROR(HEX2DEC(MID(("x"&amp;H55),2,8))&gt;=0,FALSE),IFERROR(HEX2DEC(MID(("x"&amp;H55),10,8))&gt;=0,FALSE),IFERROR(HEX2DEC(MID(("x"&amp;H55),18,8))&gt;=0,FALSE),IFERROR(HEX2DEC(MID(("x"&amp;H55),26,8))&gt;=0,FALSE),IFERROR(HEX2DEC(MID(("x"&amp;H55),34,8))&gt;=0,FALSE),IFERROR(HEX2DEC(MID(("x"&amp;H55),42,8))&gt;=0,FALSE),IFERROR(HEX2DEC(MID(("x"&amp;H55),50,8))&gt;=0,FALSE),IFERROR(HEX2DEC(MID(("x"&amp;H55),58,8))&gt;=0,FALSE)),AND(ISTEXT(I55),LEN(("x"&amp;I55))=65,EXACT(("x"&amp;I55),LOWER(("x"&amp;I55))),ISERROR(SEARCH(" ",("x"&amp;I55))),ISERROR(SEARCH(CHAR(9),("x"&amp;I55))),ISERROR(SEARCH(CHAR(10),("x"&amp;I55))),ISERROR(SEARCH(CHAR(13),("x"&amp;I55))),IFERROR(HEX2DEC(MID(("x"&amp;I55),2,8))&gt;=0,FALSE),IFERROR(HEX2DEC(MID(("x"&amp;I55),10,8))&gt;=0,FALSE),IFERROR(HEX2DEC(MID(("x"&amp;I55),18,8))&gt;=0,FALSE),IFERROR(HEX2DEC(MID(("x"&amp;I55),26,8))&gt;=0,FALSE),IFERROR(HEX2DEC(MID(("x"&amp;I55),34,8))&gt;=0,FALSE),IFERROR(HEX2DEC(MID(("x"&amp;I55),42,8))&gt;=0,FALSE),IFERROR(HEX2DEC(MID(("x"&amp;I55),50,8))&gt;=0,FALSE),IFERROR(HEX2DEC(MID(("x"&amp;I55),58,8))&gt;=0,FALSE))),IF(EXACT("x"&amp;H55,"x"&amp;I55),AA55,AB55),"LEXEMA_O_FORMA"),IF(W55="PRUEBA",IF(H55=X55,AA55,IF(H55=Z55,AB55,"LEXEMA_O_FORMA")),IF(W55="RETIRADA",IF(AND(H55="NINGUNO",I55=""),IF(J55="COMPLETA",AB55,"COBERTURA_INSUFICIENTE"),IF(AND(OR(H55="uoInstallation",H55="uoUninstallation"),OR(I55="orcSucceeded",I55="orcSucceededWithErrors",I55="orcFailed",I55="orcAborted",I55="orcInProgress",I55="orcNotStarted")),IF(AND(H55=X55,I55=Y55),AA55,IF(AND(H55=X55,OR(I55="orcSucceededWithErrors",I55="orcInProgress",I55="orcNotStarted")),"RESULTADO_RETIRADA_INCIERTO",IF(J55="COMPLETA",AB55,"COBERTURA_INSUFICIENTE"))),"LEXEMA_O_FORMA")),IF(W55="CAMBIO",IF(OR(H55="CAMBIO",H55="CAMBIO_Y_RETORNO"),AA55,IF(OR(H55="NINGUNO",H55="SOLO_RENOMBRE"),IF(J55="COMPLETA",AB55,"COBERTURA_INSUFICIENTE"),"LEXEMA_O_FORMA")),IF(W55="RESTAURACION",IF(H55=X55,AA55,IF(OR(H55="NINGUNO",H55="RESTAURACION_POSTERIOR",H55="RESTAURACION_FALLIDA"),IF(J55="COMPLETA",AB55,"COBERTURA_INSUFICIENTE"),"LEXEMA_O_FORMA")),"PERFIL_NO_CONSTITUIDO"))))))))))))))))))</x:f>
        <x:v>GENERACION_TERMINADA</x:v>
      </x:c>
      <x:c r="R55" s="12" t="str">
        <x:f>IF(AND(L55=O55,M55=P55,N55=Q55),"PASA","NO_PASA")</x:f>
        <x:v>PASA</x:v>
      </x:c>
      <x:c r="S55" s="4" t="str">
        <x:v>Un testigo positivo acredita existencia aunque la historia restante sea parcial.</x:v>
      </x:c>
      <x:c r="T55" s="12" t="str">
        <x:f>IFERROR(INDEX('55_Codificacion_ensayo'!$B$5:$B$13,MATCH(B55,'55_Codificacion_ensayo'!$A$5:$A$13,0)),"")</x:f>
        <x:v>TERMINACION-GENERACION-PROCESO-0.1</x:v>
      </x:c>
      <x:c r="U55" s="12" t="str">
        <x:f>IFERROR(INDEX('55_Codificacion_ensayo'!$C$5:$C$13,MATCH(B55,'55_Codificacion_ensayo'!$A$5:$A$13,0)),"")</x:f>
        <x:v>CICLO_GENERACION</x:v>
      </x:c>
      <x:c r="V55" s="12" t="str">
        <x:f>IFERROR(INDEX('55_Codificacion_ensayo'!$D$5:$D$13,MATCH(B55,'55_Codificacion_ensayo'!$A$5:$A$13,0)),"")</x:f>
        <x:v>ORDEN_ACREDITADO</x:v>
      </x:c>
      <x:c r="W55" s="12" t="str">
        <x:f>IFERROR(INDEX('55_Codificacion_ensayo'!$E$5:$E$13,MATCH(B55,'55_Codificacion_ensayo'!$A$5:$A$13,0)),"")</x:f>
        <x:v>EVENTO_PROC</x:v>
      </x:c>
      <x:c r="X55" s="12" t="str">
        <x:f>IFERROR(INDEX('55_Codificacion_ensayo'!$F$5:$F$13,MATCH(B55,'55_Codificacion_ensayo'!$A$5:$A$13,0)),"")</x:f>
        <x:v>TERMINADA</x:v>
      </x:c>
      <x:c r="Y55" s="12" t="str">
        <x:f>IFERROR(INDEX('55_Codificacion_ensayo'!$G$5:$G$13,MATCH(B55,'55_Codificacion_ensayo'!$A$5:$A$13,0)),"")</x:f>
      </x:c>
      <x:c r="Z55" s="12" t="str">
        <x:f>IFERROR(INDEX('55_Codificacion_ensayo'!$H$5:$H$13,MATCH(B55,'55_Codificacion_ensayo'!$A$5:$A$13,0)),"")</x:f>
        <x:v>NINGUNO</x:v>
      </x:c>
      <x:c r="AA55" s="12" t="str">
        <x:f>IFERROR(INDEX('55_Codificacion_ensayo'!$I$5:$I$13,MATCH(B55,'55_Codificacion_ensayo'!$A$5:$A$13,0)),"")</x:f>
        <x:v>GENERACION_TERMINADA</x:v>
      </x:c>
      <x:c r="AB55" s="12" t="str">
        <x:f>IFERROR(INDEX('55_Codificacion_ensayo'!$J$5:$J$13,MATCH(B55,'55_Codificacion_ensayo'!$A$5:$A$13,0)),"")</x:f>
        <x:v>SIN_TERMINACION</x:v>
      </x:c>
    </x:row>
    <x:row r="56" ht="47" customHeight="1">
      <x:c r="A56" s="4" t="str">
        <x:v>L10-05-12</x:v>
      </x:c>
      <x:c r="B56" s="4" t="str">
        <x:v>PAR-CYB-GENERACION-PROCESO-TERMINADA-001</x:v>
      </x:c>
      <x:c r="C56" s="4" t="str">
        <x:v>TERMINACION-GENERACION-PROCESO-0.1</x:v>
      </x:c>
      <x:c r="D56" s="4" t="str">
        <x:v>COINCIDE</x:v>
      </x:c>
      <x:c r="E56" s="4" t="str">
        <x:v>LEGIBLE</x:v>
      </x:c>
      <x:c r="F56" s="4" t="str">
        <x:v>CICLO_GENERACION</x:v>
      </x:c>
      <x:c r="G56" s="4" t="str">
        <x:v>UNICA</x:v>
      </x:c>
      <x:c r="H56" s="4" t="str">
        <x:v>TERMINADA</x:v>
      </x:c>
      <x:c r="I56" s="4" t="str"/>
      <x:c r="J56" s="4" t="str">
        <x:v>COMPLETA</x:v>
      </x:c>
      <x:c r="K56" s="4" t="str">
        <x:v>ORDEN_INCIERTO</x:v>
      </x:c>
      <x:c r="L56" s="4" t="str">
        <x:v>VALIDA</x:v>
      </x:c>
      <x:c r="M56" s="4" t="str">
        <x:v>U</x:v>
      </x:c>
      <x:c r="N56" s="4" t="str">
        <x:v>ORDEN_NO_ACREDITADO</x:v>
      </x:c>
      <x:c r="O56" s="12" t="str">
        <x:f>IF(Q56="SIN_EJECUCION_DOMINIO","FALLO_CAPTURA",IF(OR(Q56="CAPTURA_MAL_FORMADA",Q56="IDENTIDAD",Q56="OBSERVACION_MAL_FORMADA",Q56="LEXEMA_O_FORMA"),"NO_ADMISION",IF(OR(Q56="PERFIL_NO_CONSTITUIDO",Q56="RESULTADO_NO_TERMINAL"),"FUERA_PERFIL",IF(Q56="CONTEXTO_NO_CONSTITUIDO","CONFIGURACION_PENDIENTE","VALIDA"))))</x:f>
        <x:v>VALIDA</x:v>
      </x:c>
      <x:c r="P56" s="12" t="str">
        <x:f>IF(O56&lt;&gt;"VALIDA","",IF(Q56=AA56,"1",IF(Q56=AB56,"0","U")))</x:f>
        <x:v>U</x:v>
      </x:c>
      <x:c r="Q56" s="12" t="str">
        <x:f>IF(E56="FALLO","SIN_EJECUCION_DOMINIO",IF(E56&lt;&gt;"LEGIBLE","CAPTURA_MAL_FORMADA",IF(D56&lt;&gt;"COINCIDE","IDENTIDAD",IF(OR(T56="",C56&lt;&gt;T56),"PERFIL_NO_CONSTITUIDO",IF(K56&lt;&gt;V56,IF(V56="ORDEN_ACREDITADO","ORDEN_NO_ACREDITADO","CONTEXTO_NO_CONSTITUIDO"),IF(AND(G56="AUSENTE",H56="",I56=""),"DATO_AUSENTE",IF(AND(G56="CONFLICTO",H56="",I56=""),"CONFLICTO_OBSERVACIONAL",IF(G56&lt;&gt;"UNICA","OBSERVACION_MAL_FORMADA",IF(F56&lt;&gt;U56,"OBSERVACION_INSUFICIENTE",IF(W56="RESULTADO",IF(H56=X56,AA56,IF(OR(H56="orcSucceededWithErrors",H56="orcFailed",H56="orcAborted"),AB56,IF(OR(H56="orcNotStarted",H56="orcInProgress"),"RESULTADO_NO_TERMINAL","LEXEMA_O_FORMA"))),IF(W56="EVENTO_BOOT",IF(H56=X56,AA56,IF(OR(H56="NINGUNO",H56="SOLO_HIBRIDO"),IF(J56="COMPLETA",AB56,"COBERTURA_INSUFICIENTE"),"LEXEMA_O_FORMA")),IF(W56="REQUISITO_SOFT",IF(H56=X56,AA56,IF(H56=Z56,AB56,"LEXEMA_O_FORMA")),IF(W56="EVENTO_PROC",IF(H56=X56,AA56,IF(H56=Z56,IF(J56="COMPLETA",AB56,"COBERTURA_INSUFICIENTE"),"LEXEMA_O_FORMA")),IF(W56="IMAGEN",IF(AND(AND(ISTEXT(H56),LEN(("x"&amp;H56))=65,EXACT(("x"&amp;H56),LOWER(("x"&amp;H56))),ISERROR(SEARCH(" ",("x"&amp;H56))),ISERROR(SEARCH(CHAR(9),("x"&amp;H56))),ISERROR(SEARCH(CHAR(10),("x"&amp;H56))),ISERROR(SEARCH(CHAR(13),("x"&amp;H56))),IFERROR(HEX2DEC(MID(("x"&amp;H56),2,8))&gt;=0,FALSE),IFERROR(HEX2DEC(MID(("x"&amp;H56),10,8))&gt;=0,FALSE),IFERROR(HEX2DEC(MID(("x"&amp;H56),18,8))&gt;=0,FALSE),IFERROR(HEX2DEC(MID(("x"&amp;H56),26,8))&gt;=0,FALSE),IFERROR(HEX2DEC(MID(("x"&amp;H56),34,8))&gt;=0,FALSE),IFERROR(HEX2DEC(MID(("x"&amp;H56),42,8))&gt;=0,FALSE),IFERROR(HEX2DEC(MID(("x"&amp;H56),50,8))&gt;=0,FALSE),IFERROR(HEX2DEC(MID(("x"&amp;H56),58,8))&gt;=0,FALSE)),AND(ISTEXT(I56),LEN(("x"&amp;I56))=65,EXACT(("x"&amp;I56),LOWER(("x"&amp;I56))),ISERROR(SEARCH(" ",("x"&amp;I56))),ISERROR(SEARCH(CHAR(9),("x"&amp;I56))),ISERROR(SEARCH(CHAR(10),("x"&amp;I56))),ISERROR(SEARCH(CHAR(13),("x"&amp;I56))),IFERROR(HEX2DEC(MID(("x"&amp;I56),2,8))&gt;=0,FALSE),IFERROR(HEX2DEC(MID(("x"&amp;I56),10,8))&gt;=0,FALSE),IFERROR(HEX2DEC(MID(("x"&amp;I56),18,8))&gt;=0,FALSE),IFERROR(HEX2DEC(MID(("x"&amp;I56),26,8))&gt;=0,FALSE),IFERROR(HEX2DEC(MID(("x"&amp;I56),34,8))&gt;=0,FALSE),IFERROR(HEX2DEC(MID(("x"&amp;I56),42,8))&gt;=0,FALSE),IFERROR(HEX2DEC(MID(("x"&amp;I56),50,8))&gt;=0,FALSE),IFERROR(HEX2DEC(MID(("x"&amp;I56),58,8))&gt;=0,FALSE))),IF(EXACT("x"&amp;H56,"x"&amp;I56),AA56,AB56),"LEXEMA_O_FORMA"),IF(W56="PRUEBA",IF(H56=X56,AA56,IF(H56=Z56,AB56,"LEXEMA_O_FORMA")),IF(W56="RETIRADA",IF(AND(H56="NINGUNO",I56=""),IF(J56="COMPLETA",AB56,"COBERTURA_INSUFICIENTE"),IF(AND(OR(H56="uoInstallation",H56="uoUninstallation"),OR(I56="orcSucceeded",I56="orcSucceededWithErrors",I56="orcFailed",I56="orcAborted",I56="orcInProgress",I56="orcNotStarted")),IF(AND(H56=X56,I56=Y56),AA56,IF(AND(H56=X56,OR(I56="orcSucceededWithErrors",I56="orcInProgress",I56="orcNotStarted")),"RESULTADO_RETIRADA_INCIERTO",IF(J56="COMPLETA",AB56,"COBERTURA_INSUFICIENTE"))),"LEXEMA_O_FORMA")),IF(W56="CAMBIO",IF(OR(H56="CAMBIO",H56="CAMBIO_Y_RETORNO"),AA56,IF(OR(H56="NINGUNO",H56="SOLO_RENOMBRE"),IF(J56="COMPLETA",AB56,"COBERTURA_INSUFICIENTE"),"LEXEMA_O_FORMA")),IF(W56="RESTAURACION",IF(H56=X56,AA56,IF(OR(H56="NINGUNO",H56="RESTAURACION_POSTERIOR",H56="RESTAURACION_FALLIDA"),IF(J56="COMPLETA",AB56,"COBERTURA_INSUFICIENTE"),"LEXEMA_O_FORMA")),"PERFIL_NO_CONSTITUIDO"))))))))))))))))))</x:f>
        <x:v>ORDEN_NO_ACREDITADO</x:v>
      </x:c>
      <x:c r="R56" s="12" t="str">
        <x:f>IF(AND(L56=O56,M56=P56,N56=Q56),"PASA","NO_PASA")</x:f>
        <x:v>PASA</x:v>
      </x:c>
      <x:c r="S56" s="4" t="str">
        <x:v>El orden no está acreditado; la mera fecha no prueba posterioridad.</x:v>
      </x:c>
      <x:c r="T56" s="12" t="str">
        <x:f>IFERROR(INDEX('55_Codificacion_ensayo'!$B$5:$B$13,MATCH(B56,'55_Codificacion_ensayo'!$A$5:$A$13,0)),"")</x:f>
        <x:v>TERMINACION-GENERACION-PROCESO-0.1</x:v>
      </x:c>
      <x:c r="U56" s="12" t="str">
        <x:f>IFERROR(INDEX('55_Codificacion_ensayo'!$C$5:$C$13,MATCH(B56,'55_Codificacion_ensayo'!$A$5:$A$13,0)),"")</x:f>
        <x:v>CICLO_GENERACION</x:v>
      </x:c>
      <x:c r="V56" s="12" t="str">
        <x:f>IFERROR(INDEX('55_Codificacion_ensayo'!$D$5:$D$13,MATCH(B56,'55_Codificacion_ensayo'!$A$5:$A$13,0)),"")</x:f>
        <x:v>ORDEN_ACREDITADO</x:v>
      </x:c>
      <x:c r="W56" s="12" t="str">
        <x:f>IFERROR(INDEX('55_Codificacion_ensayo'!$E$5:$E$13,MATCH(B56,'55_Codificacion_ensayo'!$A$5:$A$13,0)),"")</x:f>
        <x:v>EVENTO_PROC</x:v>
      </x:c>
      <x:c r="X56" s="12" t="str">
        <x:f>IFERROR(INDEX('55_Codificacion_ensayo'!$F$5:$F$13,MATCH(B56,'55_Codificacion_ensayo'!$A$5:$A$13,0)),"")</x:f>
        <x:v>TERMINADA</x:v>
      </x:c>
      <x:c r="Y56" s="12" t="str">
        <x:f>IFERROR(INDEX('55_Codificacion_ensayo'!$G$5:$G$13,MATCH(B56,'55_Codificacion_ensayo'!$A$5:$A$13,0)),"")</x:f>
      </x:c>
      <x:c r="Z56" s="12" t="str">
        <x:f>IFERROR(INDEX('55_Codificacion_ensayo'!$H$5:$H$13,MATCH(B56,'55_Codificacion_ensayo'!$A$5:$A$13,0)),"")</x:f>
        <x:v>NINGUNO</x:v>
      </x:c>
      <x:c r="AA56" s="12" t="str">
        <x:f>IFERROR(INDEX('55_Codificacion_ensayo'!$I$5:$I$13,MATCH(B56,'55_Codificacion_ensayo'!$A$5:$A$13,0)),"")</x:f>
        <x:v>GENERACION_TERMINADA</x:v>
      </x:c>
      <x:c r="AB56" s="12" t="str">
        <x:f>IFERROR(INDEX('55_Codificacion_ensayo'!$J$5:$J$13,MATCH(B56,'55_Codificacion_ensayo'!$A$5:$A$13,0)),"")</x:f>
        <x:v>SIN_TERMINACION</x:v>
      </x:c>
    </x:row>
    <x:row r="57" ht="47" customHeight="1">
      <x:c r="A57" s="4" t="str">
        <x:v>L10-05-13</x:v>
      </x:c>
      <x:c r="B57" s="4" t="str">
        <x:v>PAR-CYB-GENERACION-PROCESO-TERMINADA-001</x:v>
      </x:c>
      <x:c r="C57" s="4" t="str">
        <x:v>TERMINACION-GENERACION-PROCESO-0.1</x:v>
      </x:c>
      <x:c r="D57" s="4" t="str">
        <x:v>COINCIDE</x:v>
      </x:c>
      <x:c r="E57" s="4" t="str">
        <x:v>LEGIBLE</x:v>
      </x:c>
      <x:c r="F57" s="4" t="str">
        <x:v>PID_SOLO</x:v>
      </x:c>
      <x:c r="G57" s="4" t="str">
        <x:v>UNICA</x:v>
      </x:c>
      <x:c r="H57" s="4" t="str">
        <x:v>TERMINADA</x:v>
      </x:c>
      <x:c r="I57" s="4" t="str"/>
      <x:c r="J57" s="4" t="str">
        <x:v>COMPLETA</x:v>
      </x:c>
      <x:c r="K57" s="4" t="str">
        <x:v>ORDEN_ACREDITADO</x:v>
      </x:c>
      <x:c r="L57" s="4" t="str">
        <x:v>VALIDA</x:v>
      </x:c>
      <x:c r="M57" s="4" t="str">
        <x:v>U</x:v>
      </x:c>
      <x:c r="N57" s="4" t="str">
        <x:v>OBSERVACION_INSUFICIENTE</x:v>
      </x:c>
      <x:c r="O57" s="12" t="str">
        <x:f>IF(Q57="SIN_EJECUCION_DOMINIO","FALLO_CAPTURA",IF(OR(Q57="CAPTURA_MAL_FORMADA",Q57="IDENTIDAD",Q57="OBSERVACION_MAL_FORMADA",Q57="LEXEMA_O_FORMA"),"NO_ADMISION",IF(OR(Q57="PERFIL_NO_CONSTITUIDO",Q57="RESULTADO_NO_TERMINAL"),"FUERA_PERFIL",IF(Q57="CONTEXTO_NO_CONSTITUIDO","CONFIGURACION_PENDIENTE","VALIDA"))))</x:f>
        <x:v>VALIDA</x:v>
      </x:c>
      <x:c r="P57" s="12" t="str">
        <x:f>IF(O57&lt;&gt;"VALIDA","",IF(Q57=AA57,"1",IF(Q57=AB57,"0","U")))</x:f>
        <x:v>U</x:v>
      </x:c>
      <x:c r="Q57" s="12" t="str">
        <x:f>IF(E57="FALLO","SIN_EJECUCION_DOMINIO",IF(E57&lt;&gt;"LEGIBLE","CAPTURA_MAL_FORMADA",IF(D57&lt;&gt;"COINCIDE","IDENTIDAD",IF(OR(T57="",C57&lt;&gt;T57),"PERFIL_NO_CONSTITUIDO",IF(K57&lt;&gt;V57,IF(V57="ORDEN_ACREDITADO","ORDEN_NO_ACREDITADO","CONTEXTO_NO_CONSTITUIDO"),IF(AND(G57="AUSENTE",H57="",I57=""),"DATO_AUSENTE",IF(AND(G57="CONFLICTO",H57="",I57=""),"CONFLICTO_OBSERVACIONAL",IF(G57&lt;&gt;"UNICA","OBSERVACION_MAL_FORMADA",IF(F57&lt;&gt;U57,"OBSERVACION_INSUFICIENTE",IF(W57="RESULTADO",IF(H57=X57,AA57,IF(OR(H57="orcSucceededWithErrors",H57="orcFailed",H57="orcAborted"),AB57,IF(OR(H57="orcNotStarted",H57="orcInProgress"),"RESULTADO_NO_TERMINAL","LEXEMA_O_FORMA"))),IF(W57="EVENTO_BOOT",IF(H57=X57,AA57,IF(OR(H57="NINGUNO",H57="SOLO_HIBRIDO"),IF(J57="COMPLETA",AB57,"COBERTURA_INSUFICIENTE"),"LEXEMA_O_FORMA")),IF(W57="REQUISITO_SOFT",IF(H57=X57,AA57,IF(H57=Z57,AB57,"LEXEMA_O_FORMA")),IF(W57="EVENTO_PROC",IF(H57=X57,AA57,IF(H57=Z57,IF(J57="COMPLETA",AB57,"COBERTURA_INSUFICIENTE"),"LEXEMA_O_FORMA")),IF(W57="IMAGEN",IF(AND(AND(ISTEXT(H57),LEN(("x"&amp;H57))=65,EXACT(("x"&amp;H57),LOWER(("x"&amp;H57))),ISERROR(SEARCH(" ",("x"&amp;H57))),ISERROR(SEARCH(CHAR(9),("x"&amp;H57))),ISERROR(SEARCH(CHAR(10),("x"&amp;H57))),ISERROR(SEARCH(CHAR(13),("x"&amp;H57))),IFERROR(HEX2DEC(MID(("x"&amp;H57),2,8))&gt;=0,FALSE),IFERROR(HEX2DEC(MID(("x"&amp;H57),10,8))&gt;=0,FALSE),IFERROR(HEX2DEC(MID(("x"&amp;H57),18,8))&gt;=0,FALSE),IFERROR(HEX2DEC(MID(("x"&amp;H57),26,8))&gt;=0,FALSE),IFERROR(HEX2DEC(MID(("x"&amp;H57),34,8))&gt;=0,FALSE),IFERROR(HEX2DEC(MID(("x"&amp;H57),42,8))&gt;=0,FALSE),IFERROR(HEX2DEC(MID(("x"&amp;H57),50,8))&gt;=0,FALSE),IFERROR(HEX2DEC(MID(("x"&amp;H57),58,8))&gt;=0,FALSE)),AND(ISTEXT(I57),LEN(("x"&amp;I57))=65,EXACT(("x"&amp;I57),LOWER(("x"&amp;I57))),ISERROR(SEARCH(" ",("x"&amp;I57))),ISERROR(SEARCH(CHAR(9),("x"&amp;I57))),ISERROR(SEARCH(CHAR(10),("x"&amp;I57))),ISERROR(SEARCH(CHAR(13),("x"&amp;I57))),IFERROR(HEX2DEC(MID(("x"&amp;I57),2,8))&gt;=0,FALSE),IFERROR(HEX2DEC(MID(("x"&amp;I57),10,8))&gt;=0,FALSE),IFERROR(HEX2DEC(MID(("x"&amp;I57),18,8))&gt;=0,FALSE),IFERROR(HEX2DEC(MID(("x"&amp;I57),26,8))&gt;=0,FALSE),IFERROR(HEX2DEC(MID(("x"&amp;I57),34,8))&gt;=0,FALSE),IFERROR(HEX2DEC(MID(("x"&amp;I57),42,8))&gt;=0,FALSE),IFERROR(HEX2DEC(MID(("x"&amp;I57),50,8))&gt;=0,FALSE),IFERROR(HEX2DEC(MID(("x"&amp;I57),58,8))&gt;=0,FALSE))),IF(EXACT("x"&amp;H57,"x"&amp;I57),AA57,AB57),"LEXEMA_O_FORMA"),IF(W57="PRUEBA",IF(H57=X57,AA57,IF(H57=Z57,AB57,"LEXEMA_O_FORMA")),IF(W57="RETIRADA",IF(AND(H57="NINGUNO",I57=""),IF(J57="COMPLETA",AB57,"COBERTURA_INSUFICIENTE"),IF(AND(OR(H57="uoInstallation",H57="uoUninstallation"),OR(I57="orcSucceeded",I57="orcSucceededWithErrors",I57="orcFailed",I57="orcAborted",I57="orcInProgress",I57="orcNotStarted")),IF(AND(H57=X57,I57=Y57),AA57,IF(AND(H57=X57,OR(I57="orcSucceededWithErrors",I57="orcInProgress",I57="orcNotStarted")),"RESULTADO_RETIRADA_INCIERTO",IF(J57="COMPLETA",AB57,"COBERTURA_INSUFICIENTE"))),"LEXEMA_O_FORMA")),IF(W57="CAMBIO",IF(OR(H57="CAMBIO",H57="CAMBIO_Y_RETORNO"),AA57,IF(OR(H57="NINGUNO",H57="SOLO_RENOMBRE"),IF(J57="COMPLETA",AB57,"COBERTURA_INSUFICIENTE"),"LEXEMA_O_FORMA")),IF(W57="RESTAURACION",IF(H57=X57,AA57,IF(OR(H57="NINGUNO",H57="RESTAURACION_POSTERIOR",H57="RESTAURACION_FALLIDA"),IF(J57="COMPLETA",AB57,"COBERTURA_INSUFICIENTE"),"LEXEMA_O_FORMA")),"PERFIL_NO_CONSTITUIDO"))))))))))))))))))</x:f>
        <x:v>OBSERVACION_INSUFICIENTE</x:v>
      </x:c>
      <x:c r="R57" s="12" t="str">
        <x:f>IF(AND(L57=O57,M57=P57,N57=Q57),"PASA","NO_PASA")</x:f>
        <x:v>PASA</x:v>
      </x:c>
      <x:c r="S57" s="4" t="str">
        <x:v>Un PID sin identidad de generación no prueba terminación.</x:v>
      </x:c>
      <x:c r="T57" s="12" t="str">
        <x:f>IFERROR(INDEX('55_Codificacion_ensayo'!$B$5:$B$13,MATCH(B57,'55_Codificacion_ensayo'!$A$5:$A$13,0)),"")</x:f>
        <x:v>TERMINACION-GENERACION-PROCESO-0.1</x:v>
      </x:c>
      <x:c r="U57" s="12" t="str">
        <x:f>IFERROR(INDEX('55_Codificacion_ensayo'!$C$5:$C$13,MATCH(B57,'55_Codificacion_ensayo'!$A$5:$A$13,0)),"")</x:f>
        <x:v>CICLO_GENERACION</x:v>
      </x:c>
      <x:c r="V57" s="12" t="str">
        <x:f>IFERROR(INDEX('55_Codificacion_ensayo'!$D$5:$D$13,MATCH(B57,'55_Codificacion_ensayo'!$A$5:$A$13,0)),"")</x:f>
        <x:v>ORDEN_ACREDITADO</x:v>
      </x:c>
      <x:c r="W57" s="12" t="str">
        <x:f>IFERROR(INDEX('55_Codificacion_ensayo'!$E$5:$E$13,MATCH(B57,'55_Codificacion_ensayo'!$A$5:$A$13,0)),"")</x:f>
        <x:v>EVENTO_PROC</x:v>
      </x:c>
      <x:c r="X57" s="12" t="str">
        <x:f>IFERROR(INDEX('55_Codificacion_ensayo'!$F$5:$F$13,MATCH(B57,'55_Codificacion_ensayo'!$A$5:$A$13,0)),"")</x:f>
        <x:v>TERMINADA</x:v>
      </x:c>
      <x:c r="Y57" s="12" t="str">
        <x:f>IFERROR(INDEX('55_Codificacion_ensayo'!$G$5:$G$13,MATCH(B57,'55_Codificacion_ensayo'!$A$5:$A$13,0)),"")</x:f>
      </x:c>
      <x:c r="Z57" s="12" t="str">
        <x:f>IFERROR(INDEX('55_Codificacion_ensayo'!$H$5:$H$13,MATCH(B57,'55_Codificacion_ensayo'!$A$5:$A$13,0)),"")</x:f>
        <x:v>NINGUNO</x:v>
      </x:c>
      <x:c r="AA57" s="12" t="str">
        <x:f>IFERROR(INDEX('55_Codificacion_ensayo'!$I$5:$I$13,MATCH(B57,'55_Codificacion_ensayo'!$A$5:$A$13,0)),"")</x:f>
        <x:v>GENERACION_TERMINADA</x:v>
      </x:c>
      <x:c r="AB57" s="12" t="str">
        <x:f>IFERROR(INDEX('55_Codificacion_ensayo'!$J$5:$J$13,MATCH(B57,'55_Codificacion_ensayo'!$A$5:$A$13,0)),"")</x:f>
        <x:v>SIN_TERMINACION</x:v>
      </x:c>
    </x:row>
    <x:row r="58" ht="47" customHeight="1">
      <x:c r="A58" s="4" t="str">
        <x:v>L10-05-14</x:v>
      </x:c>
      <x:c r="B58" s="4" t="str">
        <x:v>PAR-CYB-GENERACION-PROCESO-TERMINADA-001</x:v>
      </x:c>
      <x:c r="C58" s="4" t="str">
        <x:v>TERMINACION-GENERACION-PROCESO-0.1</x:v>
      </x:c>
      <x:c r="D58" s="4" t="str">
        <x:v>COINCIDE</x:v>
      </x:c>
      <x:c r="E58" s="4" t="str">
        <x:v>LEGIBLE</x:v>
      </x:c>
      <x:c r="F58" s="4" t="str">
        <x:v>NUEVA_INSTANCIA</x:v>
      </x:c>
      <x:c r="G58" s="4" t="str">
        <x:v>UNICA</x:v>
      </x:c>
      <x:c r="H58" s="4" t="str">
        <x:v>TERMINADA</x:v>
      </x:c>
      <x:c r="I58" s="4" t="str"/>
      <x:c r="J58" s="4" t="str">
        <x:v>COMPLETA</x:v>
      </x:c>
      <x:c r="K58" s="4" t="str">
        <x:v>ORDEN_ACREDITADO</x:v>
      </x:c>
      <x:c r="L58" s="4" t="str">
        <x:v>VALIDA</x:v>
      </x:c>
      <x:c r="M58" s="4" t="str">
        <x:v>U</x:v>
      </x:c>
      <x:c r="N58" s="4" t="str">
        <x:v>OBSERVACION_INSUFICIENTE</x:v>
      </x:c>
      <x:c r="O58" s="12" t="str">
        <x:f>IF(Q58="SIN_EJECUCION_DOMINIO","FALLO_CAPTURA",IF(OR(Q58="CAPTURA_MAL_FORMADA",Q58="IDENTIDAD",Q58="OBSERVACION_MAL_FORMADA",Q58="LEXEMA_O_FORMA"),"NO_ADMISION",IF(OR(Q58="PERFIL_NO_CONSTITUIDO",Q58="RESULTADO_NO_TERMINAL"),"FUERA_PERFIL",IF(Q58="CONTEXTO_NO_CONSTITUIDO","CONFIGURACION_PENDIENTE","VALIDA"))))</x:f>
        <x:v>VALIDA</x:v>
      </x:c>
      <x:c r="P58" s="12" t="str">
        <x:f>IF(O58&lt;&gt;"VALIDA","",IF(Q58=AA58,"1",IF(Q58=AB58,"0","U")))</x:f>
        <x:v>U</x:v>
      </x:c>
      <x:c r="Q58" s="12" t="str">
        <x:f>IF(E58="FALLO","SIN_EJECUCION_DOMINIO",IF(E58&lt;&gt;"LEGIBLE","CAPTURA_MAL_FORMADA",IF(D58&lt;&gt;"COINCIDE","IDENTIDAD",IF(OR(T58="",C58&lt;&gt;T58),"PERFIL_NO_CONSTITUIDO",IF(K58&lt;&gt;V58,IF(V58="ORDEN_ACREDITADO","ORDEN_NO_ACREDITADO","CONTEXTO_NO_CONSTITUIDO"),IF(AND(G58="AUSENTE",H58="",I58=""),"DATO_AUSENTE",IF(AND(G58="CONFLICTO",H58="",I58=""),"CONFLICTO_OBSERVACIONAL",IF(G58&lt;&gt;"UNICA","OBSERVACION_MAL_FORMADA",IF(F58&lt;&gt;U58,"OBSERVACION_INSUFICIENTE",IF(W58="RESULTADO",IF(H58=X58,AA58,IF(OR(H58="orcSucceededWithErrors",H58="orcFailed",H58="orcAborted"),AB58,IF(OR(H58="orcNotStarted",H58="orcInProgress"),"RESULTADO_NO_TERMINAL","LEXEMA_O_FORMA"))),IF(W58="EVENTO_BOOT",IF(H58=X58,AA58,IF(OR(H58="NINGUNO",H58="SOLO_HIBRIDO"),IF(J58="COMPLETA",AB58,"COBERTURA_INSUFICIENTE"),"LEXEMA_O_FORMA")),IF(W58="REQUISITO_SOFT",IF(H58=X58,AA58,IF(H58=Z58,AB58,"LEXEMA_O_FORMA")),IF(W58="EVENTO_PROC",IF(H58=X58,AA58,IF(H58=Z58,IF(J58="COMPLETA",AB58,"COBERTURA_INSUFICIENTE"),"LEXEMA_O_FORMA")),IF(W58="IMAGEN",IF(AND(AND(ISTEXT(H58),LEN(("x"&amp;H58))=65,EXACT(("x"&amp;H58),LOWER(("x"&amp;H58))),ISERROR(SEARCH(" ",("x"&amp;H58))),ISERROR(SEARCH(CHAR(9),("x"&amp;H58))),ISERROR(SEARCH(CHAR(10),("x"&amp;H58))),ISERROR(SEARCH(CHAR(13),("x"&amp;H58))),IFERROR(HEX2DEC(MID(("x"&amp;H58),2,8))&gt;=0,FALSE),IFERROR(HEX2DEC(MID(("x"&amp;H58),10,8))&gt;=0,FALSE),IFERROR(HEX2DEC(MID(("x"&amp;H58),18,8))&gt;=0,FALSE),IFERROR(HEX2DEC(MID(("x"&amp;H58),26,8))&gt;=0,FALSE),IFERROR(HEX2DEC(MID(("x"&amp;H58),34,8))&gt;=0,FALSE),IFERROR(HEX2DEC(MID(("x"&amp;H58),42,8))&gt;=0,FALSE),IFERROR(HEX2DEC(MID(("x"&amp;H58),50,8))&gt;=0,FALSE),IFERROR(HEX2DEC(MID(("x"&amp;H58),58,8))&gt;=0,FALSE)),AND(ISTEXT(I58),LEN(("x"&amp;I58))=65,EXACT(("x"&amp;I58),LOWER(("x"&amp;I58))),ISERROR(SEARCH(" ",("x"&amp;I58))),ISERROR(SEARCH(CHAR(9),("x"&amp;I58))),ISERROR(SEARCH(CHAR(10),("x"&amp;I58))),ISERROR(SEARCH(CHAR(13),("x"&amp;I58))),IFERROR(HEX2DEC(MID(("x"&amp;I58),2,8))&gt;=0,FALSE),IFERROR(HEX2DEC(MID(("x"&amp;I58),10,8))&gt;=0,FALSE),IFERROR(HEX2DEC(MID(("x"&amp;I58),18,8))&gt;=0,FALSE),IFERROR(HEX2DEC(MID(("x"&amp;I58),26,8))&gt;=0,FALSE),IFERROR(HEX2DEC(MID(("x"&amp;I58),34,8))&gt;=0,FALSE),IFERROR(HEX2DEC(MID(("x"&amp;I58),42,8))&gt;=0,FALSE),IFERROR(HEX2DEC(MID(("x"&amp;I58),50,8))&gt;=0,FALSE),IFERROR(HEX2DEC(MID(("x"&amp;I58),58,8))&gt;=0,FALSE))),IF(EXACT("x"&amp;H58,"x"&amp;I58),AA58,AB58),"LEXEMA_O_FORMA"),IF(W58="PRUEBA",IF(H58=X58,AA58,IF(H58=Z58,AB58,"LEXEMA_O_FORMA")),IF(W58="RETIRADA",IF(AND(H58="NINGUNO",I58=""),IF(J58="COMPLETA",AB58,"COBERTURA_INSUFICIENTE"),IF(AND(OR(H58="uoInstallation",H58="uoUninstallation"),OR(I58="orcSucceeded",I58="orcSucceededWithErrors",I58="orcFailed",I58="orcAborted",I58="orcInProgress",I58="orcNotStarted")),IF(AND(H58=X58,I58=Y58),AA58,IF(AND(H58=X58,OR(I58="orcSucceededWithErrors",I58="orcInProgress",I58="orcNotStarted")),"RESULTADO_RETIRADA_INCIERTO",IF(J58="COMPLETA",AB58,"COBERTURA_INSUFICIENTE"))),"LEXEMA_O_FORMA")),IF(W58="CAMBIO",IF(OR(H58="CAMBIO",H58="CAMBIO_Y_RETORNO"),AA58,IF(OR(H58="NINGUNO",H58="SOLO_RENOMBRE"),IF(J58="COMPLETA",AB58,"COBERTURA_INSUFICIENTE"),"LEXEMA_O_FORMA")),IF(W58="RESTAURACION",IF(H58=X58,AA58,IF(OR(H58="NINGUNO",H58="RESTAURACION_POSTERIOR",H58="RESTAURACION_FALLIDA"),IF(J58="COMPLETA",AB58,"COBERTURA_INSUFICIENTE"),"LEXEMA_O_FORMA")),"PERFIL_NO_CONSTITUIDO"))))))))))))))))))</x:f>
        <x:v>OBSERVACION_INSUFICIENTE</x:v>
      </x:c>
      <x:c r="R58" s="12" t="str">
        <x:f>IF(AND(L58=O58,M58=P58,N58=Q58),"PASA","NO_PASA")</x:f>
        <x:v>PASA</x:v>
      </x:c>
      <x:c r="S58" s="4" t="str">
        <x:v>La nueva instancia no demuestra terminación de la generación previa.</x:v>
      </x:c>
      <x:c r="T58" s="12" t="str">
        <x:f>IFERROR(INDEX('55_Codificacion_ensayo'!$B$5:$B$13,MATCH(B58,'55_Codificacion_ensayo'!$A$5:$A$13,0)),"")</x:f>
        <x:v>TERMINACION-GENERACION-PROCESO-0.1</x:v>
      </x:c>
      <x:c r="U58" s="12" t="str">
        <x:f>IFERROR(INDEX('55_Codificacion_ensayo'!$C$5:$C$13,MATCH(B58,'55_Codificacion_ensayo'!$A$5:$A$13,0)),"")</x:f>
        <x:v>CICLO_GENERACION</x:v>
      </x:c>
      <x:c r="V58" s="12" t="str">
        <x:f>IFERROR(INDEX('55_Codificacion_ensayo'!$D$5:$D$13,MATCH(B58,'55_Codificacion_ensayo'!$A$5:$A$13,0)),"")</x:f>
        <x:v>ORDEN_ACREDITADO</x:v>
      </x:c>
      <x:c r="W58" s="12" t="str">
        <x:f>IFERROR(INDEX('55_Codificacion_ensayo'!$E$5:$E$13,MATCH(B58,'55_Codificacion_ensayo'!$A$5:$A$13,0)),"")</x:f>
        <x:v>EVENTO_PROC</x:v>
      </x:c>
      <x:c r="X58" s="12" t="str">
        <x:f>IFERROR(INDEX('55_Codificacion_ensayo'!$F$5:$F$13,MATCH(B58,'55_Codificacion_ensayo'!$A$5:$A$13,0)),"")</x:f>
        <x:v>TERMINADA</x:v>
      </x:c>
      <x:c r="Y58" s="12" t="str">
        <x:f>IFERROR(INDEX('55_Codificacion_ensayo'!$G$5:$G$13,MATCH(B58,'55_Codificacion_ensayo'!$A$5:$A$13,0)),"")</x:f>
      </x:c>
      <x:c r="Z58" s="12" t="str">
        <x:f>IFERROR(INDEX('55_Codificacion_ensayo'!$H$5:$H$13,MATCH(B58,'55_Codificacion_ensayo'!$A$5:$A$13,0)),"")</x:f>
        <x:v>NINGUNO</x:v>
      </x:c>
      <x:c r="AA58" s="12" t="str">
        <x:f>IFERROR(INDEX('55_Codificacion_ensayo'!$I$5:$I$13,MATCH(B58,'55_Codificacion_ensayo'!$A$5:$A$13,0)),"")</x:f>
        <x:v>GENERACION_TERMINADA</x:v>
      </x:c>
      <x:c r="AB58" s="12" t="str">
        <x:f>IFERROR(INDEX('55_Codificacion_ensayo'!$J$5:$J$13,MATCH(B58,'55_Codificacion_ensayo'!$A$5:$A$13,0)),"")</x:f>
        <x:v>SIN_TERMINACION</x:v>
      </x:c>
    </x:row>
    <x:row r="59" ht="47" customHeight="1">
      <x:c r="A59" s="4" t="str">
        <x:v>L10-06-01</x:v>
      </x:c>
      <x:c r="B59" s="4" t="str">
        <x:v>PAR-CYB-IMAGEN-OBJETIVO-ACTIVA-001</x:v>
      </x:c>
      <x:c r="C59" s="4" t="str">
        <x:v>IDENTIDAD-IMAGEN-CARGADA-0.1</x:v>
      </x:c>
      <x:c r="D59" s="4" t="str">
        <x:v>COINCIDE</x:v>
      </x:c>
      <x:c r="E59" s="4" t="str">
        <x:v>LEGIBLE</x:v>
      </x:c>
      <x:c r="F59" s="4" t="str">
        <x:v>IMAGEN_CARGADA</x:v>
      </x:c>
      <x:c r="G59" s="4" t="str">
        <x:v>UNICA</x:v>
      </x:c>
      <x:c r="H59" s="4" t="str">
        <x:v>aaaaaaaaaaaaaaaaaaaaaaaaaaaaaaaaaaaaaaaaaaaaaaaaaaaaaaaaaaaaaaaa</x:v>
      </x:c>
      <x:c r="I59" s="4" t="str">
        <x:v>aaaaaaaaaaaaaaaaaaaaaaaaaaaaaaaaaaaaaaaaaaaaaaaaaaaaaaaaaaaaaaaa</x:v>
      </x:c>
      <x:c r="J59" s="4" t="str">
        <x:v>COMPLETA</x:v>
      </x:c>
      <x:c r="K59" s="4" t="str">
        <x:v>METODO_ADMITIDO</x:v>
      </x:c>
      <x:c r="L59" s="4" t="str">
        <x:v>VALIDA</x:v>
      </x:c>
      <x:c r="M59" s="4" t="str">
        <x:v>1</x:v>
      </x:c>
      <x:c r="N59" s="4" t="str">
        <x:v>IMAGEN_OBJETIVO</x:v>
      </x:c>
      <x:c r="O59" s="12" t="str">
        <x:f>IF(Q59="SIN_EJECUCION_DOMINIO","FALLO_CAPTURA",IF(OR(Q59="CAPTURA_MAL_FORMADA",Q59="IDENTIDAD",Q59="OBSERVACION_MAL_FORMADA",Q59="LEXEMA_O_FORMA"),"NO_ADMISION",IF(OR(Q59="PERFIL_NO_CONSTITUIDO",Q59="RESULTADO_NO_TERMINAL"),"FUERA_PERFIL",IF(Q59="CONTEXTO_NO_CONSTITUIDO","CONFIGURACION_PENDIENTE","VALIDA"))))</x:f>
        <x:v>VALIDA</x:v>
      </x:c>
      <x:c r="P59" s="12" t="str">
        <x:f>IF(O59&lt;&gt;"VALIDA","",IF(Q59=AA59,"1",IF(Q59=AB59,"0","U")))</x:f>
        <x:v>1</x:v>
      </x:c>
      <x:c r="Q59" s="12" t="str">
        <x:f>IF(E59="FALLO","SIN_EJECUCION_DOMINIO",IF(E59&lt;&gt;"LEGIBLE","CAPTURA_MAL_FORMADA",IF(D59&lt;&gt;"COINCIDE","IDENTIDAD",IF(OR(T59="",C59&lt;&gt;T59),"PERFIL_NO_CONSTITUIDO",IF(K59&lt;&gt;V59,IF(V59="ORDEN_ACREDITADO","ORDEN_NO_ACREDITADO","CONTEXTO_NO_CONSTITUIDO"),IF(AND(G59="AUSENTE",H59="",I59=""),"DATO_AUSENTE",IF(AND(G59="CONFLICTO",H59="",I59=""),"CONFLICTO_OBSERVACIONAL",IF(G59&lt;&gt;"UNICA","OBSERVACION_MAL_FORMADA",IF(F59&lt;&gt;U59,"OBSERVACION_INSUFICIENTE",IF(W59="RESULTADO",IF(H59=X59,AA59,IF(OR(H59="orcSucceededWithErrors",H59="orcFailed",H59="orcAborted"),AB59,IF(OR(H59="orcNotStarted",H59="orcInProgress"),"RESULTADO_NO_TERMINAL","LEXEMA_O_FORMA"))),IF(W59="EVENTO_BOOT",IF(H59=X59,AA59,IF(OR(H59="NINGUNO",H59="SOLO_HIBRIDO"),IF(J59="COMPLETA",AB59,"COBERTURA_INSUFICIENTE"),"LEXEMA_O_FORMA")),IF(W59="REQUISITO_SOFT",IF(H59=X59,AA59,IF(H59=Z59,AB59,"LEXEMA_O_FORMA")),IF(W59="EVENTO_PROC",IF(H59=X59,AA59,IF(H59=Z59,IF(J59="COMPLETA",AB59,"COBERTURA_INSUFICIENTE"),"LEXEMA_O_FORMA")),IF(W59="IMAGEN",IF(AND(AND(ISTEXT(H59),LEN(("x"&amp;H59))=65,EXACT(("x"&amp;H59),LOWER(("x"&amp;H59))),ISERROR(SEARCH(" ",("x"&amp;H59))),ISERROR(SEARCH(CHAR(9),("x"&amp;H59))),ISERROR(SEARCH(CHAR(10),("x"&amp;H59))),ISERROR(SEARCH(CHAR(13),("x"&amp;H59))),IFERROR(HEX2DEC(MID(("x"&amp;H59),2,8))&gt;=0,FALSE),IFERROR(HEX2DEC(MID(("x"&amp;H59),10,8))&gt;=0,FALSE),IFERROR(HEX2DEC(MID(("x"&amp;H59),18,8))&gt;=0,FALSE),IFERROR(HEX2DEC(MID(("x"&amp;H59),26,8))&gt;=0,FALSE),IFERROR(HEX2DEC(MID(("x"&amp;H59),34,8))&gt;=0,FALSE),IFERROR(HEX2DEC(MID(("x"&amp;H59),42,8))&gt;=0,FALSE),IFERROR(HEX2DEC(MID(("x"&amp;H59),50,8))&gt;=0,FALSE),IFERROR(HEX2DEC(MID(("x"&amp;H59),58,8))&gt;=0,FALSE)),AND(ISTEXT(I59),LEN(("x"&amp;I59))=65,EXACT(("x"&amp;I59),LOWER(("x"&amp;I59))),ISERROR(SEARCH(" ",("x"&amp;I59))),ISERROR(SEARCH(CHAR(9),("x"&amp;I59))),ISERROR(SEARCH(CHAR(10),("x"&amp;I59))),ISERROR(SEARCH(CHAR(13),("x"&amp;I59))),IFERROR(HEX2DEC(MID(("x"&amp;I59),2,8))&gt;=0,FALSE),IFERROR(HEX2DEC(MID(("x"&amp;I59),10,8))&gt;=0,FALSE),IFERROR(HEX2DEC(MID(("x"&amp;I59),18,8))&gt;=0,FALSE),IFERROR(HEX2DEC(MID(("x"&amp;I59),26,8))&gt;=0,FALSE),IFERROR(HEX2DEC(MID(("x"&amp;I59),34,8))&gt;=0,FALSE),IFERROR(HEX2DEC(MID(("x"&amp;I59),42,8))&gt;=0,FALSE),IFERROR(HEX2DEC(MID(("x"&amp;I59),50,8))&gt;=0,FALSE),IFERROR(HEX2DEC(MID(("x"&amp;I59),58,8))&gt;=0,FALSE))),IF(EXACT("x"&amp;H59,"x"&amp;I59),AA59,AB59),"LEXEMA_O_FORMA"),IF(W59="PRUEBA",IF(H59=X59,AA59,IF(H59=Z59,AB59,"LEXEMA_O_FORMA")),IF(W59="RETIRADA",IF(AND(H59="NINGUNO",I59=""),IF(J59="COMPLETA",AB59,"COBERTURA_INSUFICIENTE"),IF(AND(OR(H59="uoInstallation",H59="uoUninstallation"),OR(I59="orcSucceeded",I59="orcSucceededWithErrors",I59="orcFailed",I59="orcAborted",I59="orcInProgress",I59="orcNotStarted")),IF(AND(H59=X59,I59=Y59),AA59,IF(AND(H59=X59,OR(I59="orcSucceededWithErrors",I59="orcInProgress",I59="orcNotStarted")),"RESULTADO_RETIRADA_INCIERTO",IF(J59="COMPLETA",AB59,"COBERTURA_INSUFICIENTE"))),"LEXEMA_O_FORMA")),IF(W59="CAMBIO",IF(OR(H59="CAMBIO",H59="CAMBIO_Y_RETORNO"),AA59,IF(OR(H59="NINGUNO",H59="SOLO_RENOMBRE"),IF(J59="COMPLETA",AB59,"COBERTURA_INSUFICIENTE"),"LEXEMA_O_FORMA")),IF(W59="RESTAURACION",IF(H59=X59,AA59,IF(OR(H59="NINGUNO",H59="RESTAURACION_POSTERIOR",H59="RESTAURACION_FALLIDA"),IF(J59="COMPLETA",AB59,"COBERTURA_INSUFICIENTE"),"LEXEMA_O_FORMA")),"PERFIL_NO_CONSTITUIDO"))))))))))))))))))</x:f>
        <x:v>IMAGEN_OBJETIVO</x:v>
      </x:c>
      <x:c r="R59" s="12" t="str">
        <x:f>IF(AND(L59=O59,M59=P59,N59=Q59),"PASA","NO_PASA")</x:f>
        <x:v>PASA</x:v>
      </x:c>
      <x:c r="S59" s="4" t="str">
        <x:v>Testigo positivo de la proposición; no licencia ninguna conclusión más amplia.</x:v>
      </x:c>
      <x:c r="T59" s="12" t="str">
        <x:f>IFERROR(INDEX('55_Codificacion_ensayo'!$B$5:$B$13,MATCH(B59,'55_Codificacion_ensayo'!$A$5:$A$13,0)),"")</x:f>
        <x:v>IDENTIDAD-IMAGEN-CARGADA-0.1</x:v>
      </x:c>
      <x:c r="U59" s="12" t="str">
        <x:f>IFERROR(INDEX('55_Codificacion_ensayo'!$C$5:$C$13,MATCH(B59,'55_Codificacion_ensayo'!$A$5:$A$13,0)),"")</x:f>
        <x:v>IMAGEN_CARGADA</x:v>
      </x:c>
      <x:c r="V59" s="12" t="str">
        <x:f>IFERROR(INDEX('55_Codificacion_ensayo'!$D$5:$D$13,MATCH(B59,'55_Codificacion_ensayo'!$A$5:$A$13,0)),"")</x:f>
        <x:v>METODO_ADMITIDO</x:v>
      </x:c>
      <x:c r="W59" s="12" t="str">
        <x:f>IFERROR(INDEX('55_Codificacion_ensayo'!$E$5:$E$13,MATCH(B59,'55_Codificacion_ensayo'!$A$5:$A$13,0)),"")</x:f>
        <x:v>IMAGEN</x:v>
      </x:c>
      <x:c r="X59" s="12" t="str">
        <x:f>IFERROR(INDEX('55_Codificacion_ensayo'!$F$5:$F$13,MATCH(B59,'55_Codificacion_ensayo'!$A$5:$A$13,0)),"")</x:f>
        <x:v>aaaaaaaaaaaaaaaaaaaaaaaaaaaaaaaaaaaaaaaaaaaaaaaaaaaaaaaaaaaaaaaa</x:v>
      </x:c>
      <x:c r="Y59" s="12" t="str">
        <x:f>IFERROR(INDEX('55_Codificacion_ensayo'!$G$5:$G$13,MATCH(B59,'55_Codificacion_ensayo'!$A$5:$A$13,0)),"")</x:f>
        <x:v>aaaaaaaaaaaaaaaaaaaaaaaaaaaaaaaaaaaaaaaaaaaaaaaaaaaaaaaaaaaaaaaa</x:v>
      </x:c>
      <x:c r="Z59" s="12" t="str">
        <x:f>IFERROR(INDEX('55_Codificacion_ensayo'!$H$5:$H$13,MATCH(B59,'55_Codificacion_ensayo'!$A$5:$A$13,0)),"")</x:f>
        <x:v>bbbbbbbbbbbbbbbbbbbbbbbbbbbbbbbbbbbbbbbbbbbbbbbbbbbbbbbbbbbbbbbb</x:v>
      </x:c>
      <x:c r="AA59" s="12" t="str">
        <x:f>IFERROR(INDEX('55_Codificacion_ensayo'!$I$5:$I$13,MATCH(B59,'55_Codificacion_ensayo'!$A$5:$A$13,0)),"")</x:f>
        <x:v>IMAGEN_OBJETIVO</x:v>
      </x:c>
      <x:c r="AB59" s="12" t="str">
        <x:f>IFERROR(INDEX('55_Codificacion_ensayo'!$J$5:$J$13,MATCH(B59,'55_Codificacion_ensayo'!$A$5:$A$13,0)),"")</x:f>
        <x:v>OTRA_IMAGEN</x:v>
      </x:c>
    </x:row>
    <x:row r="60" ht="47" customHeight="1">
      <x:c r="A60" s="4" t="str">
        <x:v>L10-06-02</x:v>
      </x:c>
      <x:c r="B60" s="4" t="str">
        <x:v>PAR-CYB-IMAGEN-OBJETIVO-ACTIVA-001</x:v>
      </x:c>
      <x:c r="C60" s="4" t="str">
        <x:v>IDENTIDAD-IMAGEN-CARGADA-0.1</x:v>
      </x:c>
      <x:c r="D60" s="4" t="str">
        <x:v>COINCIDE</x:v>
      </x:c>
      <x:c r="E60" s="4" t="str">
        <x:v>LEGIBLE</x:v>
      </x:c>
      <x:c r="F60" s="4" t="str">
        <x:v>IMAGEN_CARGADA</x:v>
      </x:c>
      <x:c r="G60" s="4" t="str">
        <x:v>UNICA</x:v>
      </x:c>
      <x:c r="H60" s="4" t="str">
        <x:v>bbbbbbbbbbbbbbbbbbbbbbbbbbbbbbbbbbbbbbbbbbbbbbbbbbbbbbbbbbbbbbbb</x:v>
      </x:c>
      <x:c r="I60" s="4" t="str">
        <x:v>aaaaaaaaaaaaaaaaaaaaaaaaaaaaaaaaaaaaaaaaaaaaaaaaaaaaaaaaaaaaaaaa</x:v>
      </x:c>
      <x:c r="J60" s="4" t="str">
        <x:v>COMPLETA</x:v>
      </x:c>
      <x:c r="K60" s="4" t="str">
        <x:v>METODO_ADMITIDO</x:v>
      </x:c>
      <x:c r="L60" s="4" t="str">
        <x:v>VALIDA</x:v>
      </x:c>
      <x:c r="M60" s="4" t="str">
        <x:v>0</x:v>
      </x:c>
      <x:c r="N60" s="4" t="str">
        <x:v>OTRA_IMAGEN</x:v>
      </x:c>
      <x:c r="O60" s="12" t="str">
        <x:f>IF(Q60="SIN_EJECUCION_DOMINIO","FALLO_CAPTURA",IF(OR(Q60="CAPTURA_MAL_FORMADA",Q60="IDENTIDAD",Q60="OBSERVACION_MAL_FORMADA",Q60="LEXEMA_O_FORMA"),"NO_ADMISION",IF(OR(Q60="PERFIL_NO_CONSTITUIDO",Q60="RESULTADO_NO_TERMINAL"),"FUERA_PERFIL",IF(Q60="CONTEXTO_NO_CONSTITUIDO","CONFIGURACION_PENDIENTE","VALIDA"))))</x:f>
        <x:v>VALIDA</x:v>
      </x:c>
      <x:c r="P60" s="12" t="str">
        <x:f>IF(O60&lt;&gt;"VALIDA","",IF(Q60=AA60,"1",IF(Q60=AB60,"0","U")))</x:f>
        <x:v>0</x:v>
      </x:c>
      <x:c r="Q60" s="12" t="str">
        <x:f>IF(E60="FALLO","SIN_EJECUCION_DOMINIO",IF(E60&lt;&gt;"LEGIBLE","CAPTURA_MAL_FORMADA",IF(D60&lt;&gt;"COINCIDE","IDENTIDAD",IF(OR(T60="",C60&lt;&gt;T60),"PERFIL_NO_CONSTITUIDO",IF(K60&lt;&gt;V60,IF(V60="ORDEN_ACREDITADO","ORDEN_NO_ACREDITADO","CONTEXTO_NO_CONSTITUIDO"),IF(AND(G60="AUSENTE",H60="",I60=""),"DATO_AUSENTE",IF(AND(G60="CONFLICTO",H60="",I60=""),"CONFLICTO_OBSERVACIONAL",IF(G60&lt;&gt;"UNICA","OBSERVACION_MAL_FORMADA",IF(F60&lt;&gt;U60,"OBSERVACION_INSUFICIENTE",IF(W60="RESULTADO",IF(H60=X60,AA60,IF(OR(H60="orcSucceededWithErrors",H60="orcFailed",H60="orcAborted"),AB60,IF(OR(H60="orcNotStarted",H60="orcInProgress"),"RESULTADO_NO_TERMINAL","LEXEMA_O_FORMA"))),IF(W60="EVENTO_BOOT",IF(H60=X60,AA60,IF(OR(H60="NINGUNO",H60="SOLO_HIBRIDO"),IF(J60="COMPLETA",AB60,"COBERTURA_INSUFICIENTE"),"LEXEMA_O_FORMA")),IF(W60="REQUISITO_SOFT",IF(H60=X60,AA60,IF(H60=Z60,AB60,"LEXEMA_O_FORMA")),IF(W60="EVENTO_PROC",IF(H60=X60,AA60,IF(H60=Z60,IF(J60="COMPLETA",AB60,"COBERTURA_INSUFICIENTE"),"LEXEMA_O_FORMA")),IF(W60="IMAGEN",IF(AND(AND(ISTEXT(H60),LEN(("x"&amp;H60))=65,EXACT(("x"&amp;H60),LOWER(("x"&amp;H60))),ISERROR(SEARCH(" ",("x"&amp;H60))),ISERROR(SEARCH(CHAR(9),("x"&amp;H60))),ISERROR(SEARCH(CHAR(10),("x"&amp;H60))),ISERROR(SEARCH(CHAR(13),("x"&amp;H60))),IFERROR(HEX2DEC(MID(("x"&amp;H60),2,8))&gt;=0,FALSE),IFERROR(HEX2DEC(MID(("x"&amp;H60),10,8))&gt;=0,FALSE),IFERROR(HEX2DEC(MID(("x"&amp;H60),18,8))&gt;=0,FALSE),IFERROR(HEX2DEC(MID(("x"&amp;H60),26,8))&gt;=0,FALSE),IFERROR(HEX2DEC(MID(("x"&amp;H60),34,8))&gt;=0,FALSE),IFERROR(HEX2DEC(MID(("x"&amp;H60),42,8))&gt;=0,FALSE),IFERROR(HEX2DEC(MID(("x"&amp;H60),50,8))&gt;=0,FALSE),IFERROR(HEX2DEC(MID(("x"&amp;H60),58,8))&gt;=0,FALSE)),AND(ISTEXT(I60),LEN(("x"&amp;I60))=65,EXACT(("x"&amp;I60),LOWER(("x"&amp;I60))),ISERROR(SEARCH(" ",("x"&amp;I60))),ISERROR(SEARCH(CHAR(9),("x"&amp;I60))),ISERROR(SEARCH(CHAR(10),("x"&amp;I60))),ISERROR(SEARCH(CHAR(13),("x"&amp;I60))),IFERROR(HEX2DEC(MID(("x"&amp;I60),2,8))&gt;=0,FALSE),IFERROR(HEX2DEC(MID(("x"&amp;I60),10,8))&gt;=0,FALSE),IFERROR(HEX2DEC(MID(("x"&amp;I60),18,8))&gt;=0,FALSE),IFERROR(HEX2DEC(MID(("x"&amp;I60),26,8))&gt;=0,FALSE),IFERROR(HEX2DEC(MID(("x"&amp;I60),34,8))&gt;=0,FALSE),IFERROR(HEX2DEC(MID(("x"&amp;I60),42,8))&gt;=0,FALSE),IFERROR(HEX2DEC(MID(("x"&amp;I60),50,8))&gt;=0,FALSE),IFERROR(HEX2DEC(MID(("x"&amp;I60),58,8))&gt;=0,FALSE))),IF(EXACT("x"&amp;H60,"x"&amp;I60),AA60,AB60),"LEXEMA_O_FORMA"),IF(W60="PRUEBA",IF(H60=X60,AA60,IF(H60=Z60,AB60,"LEXEMA_O_FORMA")),IF(W60="RETIRADA",IF(AND(H60="NINGUNO",I60=""),IF(J60="COMPLETA",AB60,"COBERTURA_INSUFICIENTE"),IF(AND(OR(H60="uoInstallation",H60="uoUninstallation"),OR(I60="orcSucceeded",I60="orcSucceededWithErrors",I60="orcFailed",I60="orcAborted",I60="orcInProgress",I60="orcNotStarted")),IF(AND(H60=X60,I60=Y60),AA60,IF(AND(H60=X60,OR(I60="orcSucceededWithErrors",I60="orcInProgress",I60="orcNotStarted")),"RESULTADO_RETIRADA_INCIERTO",IF(J60="COMPLETA",AB60,"COBERTURA_INSUFICIENTE"))),"LEXEMA_O_FORMA")),IF(W60="CAMBIO",IF(OR(H60="CAMBIO",H60="CAMBIO_Y_RETORNO"),AA60,IF(OR(H60="NINGUNO",H60="SOLO_RENOMBRE"),IF(J60="COMPLETA",AB60,"COBERTURA_INSUFICIENTE"),"LEXEMA_O_FORMA")),IF(W60="RESTAURACION",IF(H60=X60,AA60,IF(OR(H60="NINGUNO",H60="RESTAURACION_POSTERIOR",H60="RESTAURACION_FALLIDA"),IF(J60="COMPLETA",AB60,"COBERTURA_INSUFICIENTE"),"LEXEMA_O_FORMA")),"PERFIL_NO_CONSTITUIDO"))))))))))))))))))</x:f>
        <x:v>OTRA_IMAGEN</x:v>
      </x:c>
      <x:c r="R60" s="12" t="str">
        <x:f>IF(AND(L60=O60,M60=P60,N60=Q60),"PASA","NO_PASA")</x:f>
        <x:v>PASA</x:v>
      </x:c>
      <x:c r="S60" s="4" t="str">
        <x:v>Negativo explícito; en eventos exige cobertura del intervalo.</x:v>
      </x:c>
      <x:c r="T60" s="12" t="str">
        <x:f>IFERROR(INDEX('55_Codificacion_ensayo'!$B$5:$B$13,MATCH(B60,'55_Codificacion_ensayo'!$A$5:$A$13,0)),"")</x:f>
        <x:v>IDENTIDAD-IMAGEN-CARGADA-0.1</x:v>
      </x:c>
      <x:c r="U60" s="12" t="str">
        <x:f>IFERROR(INDEX('55_Codificacion_ensayo'!$C$5:$C$13,MATCH(B60,'55_Codificacion_ensayo'!$A$5:$A$13,0)),"")</x:f>
        <x:v>IMAGEN_CARGADA</x:v>
      </x:c>
      <x:c r="V60" s="12" t="str">
        <x:f>IFERROR(INDEX('55_Codificacion_ensayo'!$D$5:$D$13,MATCH(B60,'55_Codificacion_ensayo'!$A$5:$A$13,0)),"")</x:f>
        <x:v>METODO_ADMITIDO</x:v>
      </x:c>
      <x:c r="W60" s="12" t="str">
        <x:f>IFERROR(INDEX('55_Codificacion_ensayo'!$E$5:$E$13,MATCH(B60,'55_Codificacion_ensayo'!$A$5:$A$13,0)),"")</x:f>
        <x:v>IMAGEN</x:v>
      </x:c>
      <x:c r="X60" s="12" t="str">
        <x:f>IFERROR(INDEX('55_Codificacion_ensayo'!$F$5:$F$13,MATCH(B60,'55_Codificacion_ensayo'!$A$5:$A$13,0)),"")</x:f>
        <x:v>aaaaaaaaaaaaaaaaaaaaaaaaaaaaaaaaaaaaaaaaaaaaaaaaaaaaaaaaaaaaaaaa</x:v>
      </x:c>
      <x:c r="Y60" s="12" t="str">
        <x:f>IFERROR(INDEX('55_Codificacion_ensayo'!$G$5:$G$13,MATCH(B60,'55_Codificacion_ensayo'!$A$5:$A$13,0)),"")</x:f>
        <x:v>aaaaaaaaaaaaaaaaaaaaaaaaaaaaaaaaaaaaaaaaaaaaaaaaaaaaaaaaaaaaaaaa</x:v>
      </x:c>
      <x:c r="Z60" s="12" t="str">
        <x:f>IFERROR(INDEX('55_Codificacion_ensayo'!$H$5:$H$13,MATCH(B60,'55_Codificacion_ensayo'!$A$5:$A$13,0)),"")</x:f>
        <x:v>bbbbbbbbbbbbbbbbbbbbbbbbbbbbbbbbbbbbbbbbbbbbbbbbbbbbbbbbbbbbbbbb</x:v>
      </x:c>
      <x:c r="AA60" s="12" t="str">
        <x:f>IFERROR(INDEX('55_Codificacion_ensayo'!$I$5:$I$13,MATCH(B60,'55_Codificacion_ensayo'!$A$5:$A$13,0)),"")</x:f>
        <x:v>IMAGEN_OBJETIVO</x:v>
      </x:c>
      <x:c r="AB60" s="12" t="str">
        <x:f>IFERROR(INDEX('55_Codificacion_ensayo'!$J$5:$J$13,MATCH(B60,'55_Codificacion_ensayo'!$A$5:$A$13,0)),"")</x:f>
        <x:v>OTRA_IMAGEN</x:v>
      </x:c>
    </x:row>
    <x:row r="61" ht="47" customHeight="1">
      <x:c r="A61" s="4" t="str">
        <x:v>L10-06-03</x:v>
      </x:c>
      <x:c r="B61" s="4" t="str">
        <x:v>PAR-CYB-IMAGEN-OBJETIVO-ACTIVA-001</x:v>
      </x:c>
      <x:c r="C61" s="4" t="str">
        <x:v>IDENTIDAD-IMAGEN-CARGADA-0.1</x:v>
      </x:c>
      <x:c r="D61" s="4" t="str">
        <x:v>COINCIDE</x:v>
      </x:c>
      <x:c r="E61" s="4" t="str">
        <x:v>LEGIBLE</x:v>
      </x:c>
      <x:c r="F61" s="4" t="str">
        <x:v>IMAGEN_CARGADA</x:v>
      </x:c>
      <x:c r="G61" s="4" t="str">
        <x:v>AUSENTE</x:v>
      </x:c>
      <x:c r="H61" s="4" t="str"/>
      <x:c r="I61" s="4" t="str"/>
      <x:c r="J61" s="4" t="str">
        <x:v>COMPLETA</x:v>
      </x:c>
      <x:c r="K61" s="4" t="str">
        <x:v>METODO_ADMITIDO</x:v>
      </x:c>
      <x:c r="L61" s="4" t="str">
        <x:v>VALIDA</x:v>
      </x:c>
      <x:c r="M61" s="4" t="str">
        <x:v>U</x:v>
      </x:c>
      <x:c r="N61" s="4" t="str">
        <x:v>DATO_AUSENTE</x:v>
      </x:c>
      <x:c r="O61" s="12" t="str">
        <x:f>IF(Q61="SIN_EJECUCION_DOMINIO","FALLO_CAPTURA",IF(OR(Q61="CAPTURA_MAL_FORMADA",Q61="IDENTIDAD",Q61="OBSERVACION_MAL_FORMADA",Q61="LEXEMA_O_FORMA"),"NO_ADMISION",IF(OR(Q61="PERFIL_NO_CONSTITUIDO",Q61="RESULTADO_NO_TERMINAL"),"FUERA_PERFIL",IF(Q61="CONTEXTO_NO_CONSTITUIDO","CONFIGURACION_PENDIENTE","VALIDA"))))</x:f>
        <x:v>VALIDA</x:v>
      </x:c>
      <x:c r="P61" s="12" t="str">
        <x:f>IF(O61&lt;&gt;"VALIDA","",IF(Q61=AA61,"1",IF(Q61=AB61,"0","U")))</x:f>
        <x:v>U</x:v>
      </x:c>
      <x:c r="Q61" s="12" t="str">
        <x:f>IF(E61="FALLO","SIN_EJECUCION_DOMINIO",IF(E61&lt;&gt;"LEGIBLE","CAPTURA_MAL_FORMADA",IF(D61&lt;&gt;"COINCIDE","IDENTIDAD",IF(OR(T61="",C61&lt;&gt;T61),"PERFIL_NO_CONSTITUIDO",IF(K61&lt;&gt;V61,IF(V61="ORDEN_ACREDITADO","ORDEN_NO_ACREDITADO","CONTEXTO_NO_CONSTITUIDO"),IF(AND(G61="AUSENTE",H61="",I61=""),"DATO_AUSENTE",IF(AND(G61="CONFLICTO",H61="",I61=""),"CONFLICTO_OBSERVACIONAL",IF(G61&lt;&gt;"UNICA","OBSERVACION_MAL_FORMADA",IF(F61&lt;&gt;U61,"OBSERVACION_INSUFICIENTE",IF(W61="RESULTADO",IF(H61=X61,AA61,IF(OR(H61="orcSucceededWithErrors",H61="orcFailed",H61="orcAborted"),AB61,IF(OR(H61="orcNotStarted",H61="orcInProgress"),"RESULTADO_NO_TERMINAL","LEXEMA_O_FORMA"))),IF(W61="EVENTO_BOOT",IF(H61=X61,AA61,IF(OR(H61="NINGUNO",H61="SOLO_HIBRIDO"),IF(J61="COMPLETA",AB61,"COBERTURA_INSUFICIENTE"),"LEXEMA_O_FORMA")),IF(W61="REQUISITO_SOFT",IF(H61=X61,AA61,IF(H61=Z61,AB61,"LEXEMA_O_FORMA")),IF(W61="EVENTO_PROC",IF(H61=X61,AA61,IF(H61=Z61,IF(J61="COMPLETA",AB61,"COBERTURA_INSUFICIENTE"),"LEXEMA_O_FORMA")),IF(W61="IMAGEN",IF(AND(AND(ISTEXT(H61),LEN(("x"&amp;H61))=65,EXACT(("x"&amp;H61),LOWER(("x"&amp;H61))),ISERROR(SEARCH(" ",("x"&amp;H61))),ISERROR(SEARCH(CHAR(9),("x"&amp;H61))),ISERROR(SEARCH(CHAR(10),("x"&amp;H61))),ISERROR(SEARCH(CHAR(13),("x"&amp;H61))),IFERROR(HEX2DEC(MID(("x"&amp;H61),2,8))&gt;=0,FALSE),IFERROR(HEX2DEC(MID(("x"&amp;H61),10,8))&gt;=0,FALSE),IFERROR(HEX2DEC(MID(("x"&amp;H61),18,8))&gt;=0,FALSE),IFERROR(HEX2DEC(MID(("x"&amp;H61),26,8))&gt;=0,FALSE),IFERROR(HEX2DEC(MID(("x"&amp;H61),34,8))&gt;=0,FALSE),IFERROR(HEX2DEC(MID(("x"&amp;H61),42,8))&gt;=0,FALSE),IFERROR(HEX2DEC(MID(("x"&amp;H61),50,8))&gt;=0,FALSE),IFERROR(HEX2DEC(MID(("x"&amp;H61),58,8))&gt;=0,FALSE)),AND(ISTEXT(I61),LEN(("x"&amp;I61))=65,EXACT(("x"&amp;I61),LOWER(("x"&amp;I61))),ISERROR(SEARCH(" ",("x"&amp;I61))),ISERROR(SEARCH(CHAR(9),("x"&amp;I61))),ISERROR(SEARCH(CHAR(10),("x"&amp;I61))),ISERROR(SEARCH(CHAR(13),("x"&amp;I61))),IFERROR(HEX2DEC(MID(("x"&amp;I61),2,8))&gt;=0,FALSE),IFERROR(HEX2DEC(MID(("x"&amp;I61),10,8))&gt;=0,FALSE),IFERROR(HEX2DEC(MID(("x"&amp;I61),18,8))&gt;=0,FALSE),IFERROR(HEX2DEC(MID(("x"&amp;I61),26,8))&gt;=0,FALSE),IFERROR(HEX2DEC(MID(("x"&amp;I61),34,8))&gt;=0,FALSE),IFERROR(HEX2DEC(MID(("x"&amp;I61),42,8))&gt;=0,FALSE),IFERROR(HEX2DEC(MID(("x"&amp;I61),50,8))&gt;=0,FALSE),IFERROR(HEX2DEC(MID(("x"&amp;I61),58,8))&gt;=0,FALSE))),IF(EXACT("x"&amp;H61,"x"&amp;I61),AA61,AB61),"LEXEMA_O_FORMA"),IF(W61="PRUEBA",IF(H61=X61,AA61,IF(H61=Z61,AB61,"LEXEMA_O_FORMA")),IF(W61="RETIRADA",IF(AND(H61="NINGUNO",I61=""),IF(J61="COMPLETA",AB61,"COBERTURA_INSUFICIENTE"),IF(AND(OR(H61="uoInstallation",H61="uoUninstallation"),OR(I61="orcSucceeded",I61="orcSucceededWithErrors",I61="orcFailed",I61="orcAborted",I61="orcInProgress",I61="orcNotStarted")),IF(AND(H61=X61,I61=Y61),AA61,IF(AND(H61=X61,OR(I61="orcSucceededWithErrors",I61="orcInProgress",I61="orcNotStarted")),"RESULTADO_RETIRADA_INCIERTO",IF(J61="COMPLETA",AB61,"COBERTURA_INSUFICIENTE"))),"LEXEMA_O_FORMA")),IF(W61="CAMBIO",IF(OR(H61="CAMBIO",H61="CAMBIO_Y_RETORNO"),AA61,IF(OR(H61="NINGUNO",H61="SOLO_RENOMBRE"),IF(J61="COMPLETA",AB61,"COBERTURA_INSUFICIENTE"),"LEXEMA_O_FORMA")),IF(W61="RESTAURACION",IF(H61=X61,AA61,IF(OR(H61="NINGUNO",H61="RESTAURACION_POSTERIOR",H61="RESTAURACION_FALLIDA"),IF(J61="COMPLETA",AB61,"COBERTURA_INSUFICIENTE"),"LEXEMA_O_FORMA")),"PERFIL_NO_CONSTITUIDO"))))))))))))))))))</x:f>
        <x:v>DATO_AUSENTE</x:v>
      </x:c>
      <x:c r="R61" s="12" t="str">
        <x:f>IF(AND(L61=O61,M61=P61,N61=Q61),"PASA","NO_PASA")</x:f>
        <x:v>PASA</x:v>
      </x:c>
      <x:c r="S61" s="4" t="str">
        <x:v>Documento declara que falta la observación, sin convertir ausencia en 0.</x:v>
      </x:c>
      <x:c r="T61" s="12" t="str">
        <x:f>IFERROR(INDEX('55_Codificacion_ensayo'!$B$5:$B$13,MATCH(B61,'55_Codificacion_ensayo'!$A$5:$A$13,0)),"")</x:f>
        <x:v>IDENTIDAD-IMAGEN-CARGADA-0.1</x:v>
      </x:c>
      <x:c r="U61" s="12" t="str">
        <x:f>IFERROR(INDEX('55_Codificacion_ensayo'!$C$5:$C$13,MATCH(B61,'55_Codificacion_ensayo'!$A$5:$A$13,0)),"")</x:f>
        <x:v>IMAGEN_CARGADA</x:v>
      </x:c>
      <x:c r="V61" s="12" t="str">
        <x:f>IFERROR(INDEX('55_Codificacion_ensayo'!$D$5:$D$13,MATCH(B61,'55_Codificacion_ensayo'!$A$5:$A$13,0)),"")</x:f>
        <x:v>METODO_ADMITIDO</x:v>
      </x:c>
      <x:c r="W61" s="12" t="str">
        <x:f>IFERROR(INDEX('55_Codificacion_ensayo'!$E$5:$E$13,MATCH(B61,'55_Codificacion_ensayo'!$A$5:$A$13,0)),"")</x:f>
        <x:v>IMAGEN</x:v>
      </x:c>
      <x:c r="X61" s="12" t="str">
        <x:f>IFERROR(INDEX('55_Codificacion_ensayo'!$F$5:$F$13,MATCH(B61,'55_Codificacion_ensayo'!$A$5:$A$13,0)),"")</x:f>
        <x:v>aaaaaaaaaaaaaaaaaaaaaaaaaaaaaaaaaaaaaaaaaaaaaaaaaaaaaaaaaaaaaaaa</x:v>
      </x:c>
      <x:c r="Y61" s="12" t="str">
        <x:f>IFERROR(INDEX('55_Codificacion_ensayo'!$G$5:$G$13,MATCH(B61,'55_Codificacion_ensayo'!$A$5:$A$13,0)),"")</x:f>
        <x:v>aaaaaaaaaaaaaaaaaaaaaaaaaaaaaaaaaaaaaaaaaaaaaaaaaaaaaaaaaaaaaaaa</x:v>
      </x:c>
      <x:c r="Z61" s="12" t="str">
        <x:f>IFERROR(INDEX('55_Codificacion_ensayo'!$H$5:$H$13,MATCH(B61,'55_Codificacion_ensayo'!$A$5:$A$13,0)),"")</x:f>
        <x:v>bbbbbbbbbbbbbbbbbbbbbbbbbbbbbbbbbbbbbbbbbbbbbbbbbbbbbbbbbbbbbbbb</x:v>
      </x:c>
      <x:c r="AA61" s="12" t="str">
        <x:f>IFERROR(INDEX('55_Codificacion_ensayo'!$I$5:$I$13,MATCH(B61,'55_Codificacion_ensayo'!$A$5:$A$13,0)),"")</x:f>
        <x:v>IMAGEN_OBJETIVO</x:v>
      </x:c>
      <x:c r="AB61" s="12" t="str">
        <x:f>IFERROR(INDEX('55_Codificacion_ensayo'!$J$5:$J$13,MATCH(B61,'55_Codificacion_ensayo'!$A$5:$A$13,0)),"")</x:f>
        <x:v>OTRA_IMAGEN</x:v>
      </x:c>
    </x:row>
    <x:row r="62" ht="47" customHeight="1">
      <x:c r="A62" s="4" t="str">
        <x:v>L10-06-04</x:v>
      </x:c>
      <x:c r="B62" s="4" t="str">
        <x:v>PAR-CYB-IMAGEN-OBJETIVO-ACTIVA-001</x:v>
      </x:c>
      <x:c r="C62" s="4" t="str">
        <x:v>IDENTIDAD-IMAGEN-CARGADA-0.1</x:v>
      </x:c>
      <x:c r="D62" s="4" t="str">
        <x:v>COINCIDE</x:v>
      </x:c>
      <x:c r="E62" s="4" t="str">
        <x:v>LEGIBLE</x:v>
      </x:c>
      <x:c r="F62" s="4" t="str">
        <x:v>IMAGEN_CARGADA</x:v>
      </x:c>
      <x:c r="G62" s="4" t="str">
        <x:v>CONFLICTO</x:v>
      </x:c>
      <x:c r="H62" s="4" t="str"/>
      <x:c r="I62" s="4" t="str"/>
      <x:c r="J62" s="4" t="str">
        <x:v>COMPLETA</x:v>
      </x:c>
      <x:c r="K62" s="4" t="str">
        <x:v>METODO_ADMITIDO</x:v>
      </x:c>
      <x:c r="L62" s="4" t="str">
        <x:v>VALIDA</x:v>
      </x:c>
      <x:c r="M62" s="4" t="str">
        <x:v>U</x:v>
      </x:c>
      <x:c r="N62" s="4" t="str">
        <x:v>CONFLICTO_OBSERVACIONAL</x:v>
      </x:c>
      <x:c r="O62" s="12" t="str">
        <x:f>IF(Q62="SIN_EJECUCION_DOMINIO","FALLO_CAPTURA",IF(OR(Q62="CAPTURA_MAL_FORMADA",Q62="IDENTIDAD",Q62="OBSERVACION_MAL_FORMADA",Q62="LEXEMA_O_FORMA"),"NO_ADMISION",IF(OR(Q62="PERFIL_NO_CONSTITUIDO",Q62="RESULTADO_NO_TERMINAL"),"FUERA_PERFIL",IF(Q62="CONTEXTO_NO_CONSTITUIDO","CONFIGURACION_PENDIENTE","VALIDA"))))</x:f>
        <x:v>VALIDA</x:v>
      </x:c>
      <x:c r="P62" s="12" t="str">
        <x:f>IF(O62&lt;&gt;"VALIDA","",IF(Q62=AA62,"1",IF(Q62=AB62,"0","U")))</x:f>
        <x:v>U</x:v>
      </x:c>
      <x:c r="Q62" s="12" t="str">
        <x:f>IF(E62="FALLO","SIN_EJECUCION_DOMINIO",IF(E62&lt;&gt;"LEGIBLE","CAPTURA_MAL_FORMADA",IF(D62&lt;&gt;"COINCIDE","IDENTIDAD",IF(OR(T62="",C62&lt;&gt;T62),"PERFIL_NO_CONSTITUIDO",IF(K62&lt;&gt;V62,IF(V62="ORDEN_ACREDITADO","ORDEN_NO_ACREDITADO","CONTEXTO_NO_CONSTITUIDO"),IF(AND(G62="AUSENTE",H62="",I62=""),"DATO_AUSENTE",IF(AND(G62="CONFLICTO",H62="",I62=""),"CONFLICTO_OBSERVACIONAL",IF(G62&lt;&gt;"UNICA","OBSERVACION_MAL_FORMADA",IF(F62&lt;&gt;U62,"OBSERVACION_INSUFICIENTE",IF(W62="RESULTADO",IF(H62=X62,AA62,IF(OR(H62="orcSucceededWithErrors",H62="orcFailed",H62="orcAborted"),AB62,IF(OR(H62="orcNotStarted",H62="orcInProgress"),"RESULTADO_NO_TERMINAL","LEXEMA_O_FORMA"))),IF(W62="EVENTO_BOOT",IF(H62=X62,AA62,IF(OR(H62="NINGUNO",H62="SOLO_HIBRIDO"),IF(J62="COMPLETA",AB62,"COBERTURA_INSUFICIENTE"),"LEXEMA_O_FORMA")),IF(W62="REQUISITO_SOFT",IF(H62=X62,AA62,IF(H62=Z62,AB62,"LEXEMA_O_FORMA")),IF(W62="EVENTO_PROC",IF(H62=X62,AA62,IF(H62=Z62,IF(J62="COMPLETA",AB62,"COBERTURA_INSUFICIENTE"),"LEXEMA_O_FORMA")),IF(W62="IMAGEN",IF(AND(AND(ISTEXT(H62),LEN(("x"&amp;H62))=65,EXACT(("x"&amp;H62),LOWER(("x"&amp;H62))),ISERROR(SEARCH(" ",("x"&amp;H62))),ISERROR(SEARCH(CHAR(9),("x"&amp;H62))),ISERROR(SEARCH(CHAR(10),("x"&amp;H62))),ISERROR(SEARCH(CHAR(13),("x"&amp;H62))),IFERROR(HEX2DEC(MID(("x"&amp;H62),2,8))&gt;=0,FALSE),IFERROR(HEX2DEC(MID(("x"&amp;H62),10,8))&gt;=0,FALSE),IFERROR(HEX2DEC(MID(("x"&amp;H62),18,8))&gt;=0,FALSE),IFERROR(HEX2DEC(MID(("x"&amp;H62),26,8))&gt;=0,FALSE),IFERROR(HEX2DEC(MID(("x"&amp;H62),34,8))&gt;=0,FALSE),IFERROR(HEX2DEC(MID(("x"&amp;H62),42,8))&gt;=0,FALSE),IFERROR(HEX2DEC(MID(("x"&amp;H62),50,8))&gt;=0,FALSE),IFERROR(HEX2DEC(MID(("x"&amp;H62),58,8))&gt;=0,FALSE)),AND(ISTEXT(I62),LEN(("x"&amp;I62))=65,EXACT(("x"&amp;I62),LOWER(("x"&amp;I62))),ISERROR(SEARCH(" ",("x"&amp;I62))),ISERROR(SEARCH(CHAR(9),("x"&amp;I62))),ISERROR(SEARCH(CHAR(10),("x"&amp;I62))),ISERROR(SEARCH(CHAR(13),("x"&amp;I62))),IFERROR(HEX2DEC(MID(("x"&amp;I62),2,8))&gt;=0,FALSE),IFERROR(HEX2DEC(MID(("x"&amp;I62),10,8))&gt;=0,FALSE),IFERROR(HEX2DEC(MID(("x"&amp;I62),18,8))&gt;=0,FALSE),IFERROR(HEX2DEC(MID(("x"&amp;I62),26,8))&gt;=0,FALSE),IFERROR(HEX2DEC(MID(("x"&amp;I62),34,8))&gt;=0,FALSE),IFERROR(HEX2DEC(MID(("x"&amp;I62),42,8))&gt;=0,FALSE),IFERROR(HEX2DEC(MID(("x"&amp;I62),50,8))&gt;=0,FALSE),IFERROR(HEX2DEC(MID(("x"&amp;I62),58,8))&gt;=0,FALSE))),IF(EXACT("x"&amp;H62,"x"&amp;I62),AA62,AB62),"LEXEMA_O_FORMA"),IF(W62="PRUEBA",IF(H62=X62,AA62,IF(H62=Z62,AB62,"LEXEMA_O_FORMA")),IF(W62="RETIRADA",IF(AND(H62="NINGUNO",I62=""),IF(J62="COMPLETA",AB62,"COBERTURA_INSUFICIENTE"),IF(AND(OR(H62="uoInstallation",H62="uoUninstallation"),OR(I62="orcSucceeded",I62="orcSucceededWithErrors",I62="orcFailed",I62="orcAborted",I62="orcInProgress",I62="orcNotStarted")),IF(AND(H62=X62,I62=Y62),AA62,IF(AND(H62=X62,OR(I62="orcSucceededWithErrors",I62="orcInProgress",I62="orcNotStarted")),"RESULTADO_RETIRADA_INCIERTO",IF(J62="COMPLETA",AB62,"COBERTURA_INSUFICIENTE"))),"LEXEMA_O_FORMA")),IF(W62="CAMBIO",IF(OR(H62="CAMBIO",H62="CAMBIO_Y_RETORNO"),AA62,IF(OR(H62="NINGUNO",H62="SOLO_RENOMBRE"),IF(J62="COMPLETA",AB62,"COBERTURA_INSUFICIENTE"),"LEXEMA_O_FORMA")),IF(W62="RESTAURACION",IF(H62=X62,AA62,IF(OR(H62="NINGUNO",H62="RESTAURACION_POSTERIOR",H62="RESTAURACION_FALLIDA"),IF(J62="COMPLETA",AB62,"COBERTURA_INSUFICIENTE"),"LEXEMA_O_FORMA")),"PERFIL_NO_CONSTITUIDO"))))))))))))))))))</x:f>
        <x:v>CONFLICTO_OBSERVACIONAL</x:v>
      </x:c>
      <x:c r="R62" s="12" t="str">
        <x:f>IF(AND(L62=O62,M62=P62,N62=Q62),"PASA","NO_PASA")</x:f>
        <x:v>PASA</x:v>
      </x:c>
      <x:c r="S62" s="4" t="str">
        <x:v>Conflicto entre observaciones admitidas del mismo sujeto y corte.</x:v>
      </x:c>
      <x:c r="T62" s="12" t="str">
        <x:f>IFERROR(INDEX('55_Codificacion_ensayo'!$B$5:$B$13,MATCH(B62,'55_Codificacion_ensayo'!$A$5:$A$13,0)),"")</x:f>
        <x:v>IDENTIDAD-IMAGEN-CARGADA-0.1</x:v>
      </x:c>
      <x:c r="U62" s="12" t="str">
        <x:f>IFERROR(INDEX('55_Codificacion_ensayo'!$C$5:$C$13,MATCH(B62,'55_Codificacion_ensayo'!$A$5:$A$13,0)),"")</x:f>
        <x:v>IMAGEN_CARGADA</x:v>
      </x:c>
      <x:c r="V62" s="12" t="str">
        <x:f>IFERROR(INDEX('55_Codificacion_ensayo'!$D$5:$D$13,MATCH(B62,'55_Codificacion_ensayo'!$A$5:$A$13,0)),"")</x:f>
        <x:v>METODO_ADMITIDO</x:v>
      </x:c>
      <x:c r="W62" s="12" t="str">
        <x:f>IFERROR(INDEX('55_Codificacion_ensayo'!$E$5:$E$13,MATCH(B62,'55_Codificacion_ensayo'!$A$5:$A$13,0)),"")</x:f>
        <x:v>IMAGEN</x:v>
      </x:c>
      <x:c r="X62" s="12" t="str">
        <x:f>IFERROR(INDEX('55_Codificacion_ensayo'!$F$5:$F$13,MATCH(B62,'55_Codificacion_ensayo'!$A$5:$A$13,0)),"")</x:f>
        <x:v>aaaaaaaaaaaaaaaaaaaaaaaaaaaaaaaaaaaaaaaaaaaaaaaaaaaaaaaaaaaaaaaa</x:v>
      </x:c>
      <x:c r="Y62" s="12" t="str">
        <x:f>IFERROR(INDEX('55_Codificacion_ensayo'!$G$5:$G$13,MATCH(B62,'55_Codificacion_ensayo'!$A$5:$A$13,0)),"")</x:f>
        <x:v>aaaaaaaaaaaaaaaaaaaaaaaaaaaaaaaaaaaaaaaaaaaaaaaaaaaaaaaaaaaaaaaa</x:v>
      </x:c>
      <x:c r="Z62" s="12" t="str">
        <x:f>IFERROR(INDEX('55_Codificacion_ensayo'!$H$5:$H$13,MATCH(B62,'55_Codificacion_ensayo'!$A$5:$A$13,0)),"")</x:f>
        <x:v>bbbbbbbbbbbbbbbbbbbbbbbbbbbbbbbbbbbbbbbbbbbbbbbbbbbbbbbbbbbbbbbb</x:v>
      </x:c>
      <x:c r="AA62" s="12" t="str">
        <x:f>IFERROR(INDEX('55_Codificacion_ensayo'!$I$5:$I$13,MATCH(B62,'55_Codificacion_ensayo'!$A$5:$A$13,0)),"")</x:f>
        <x:v>IMAGEN_OBJETIVO</x:v>
      </x:c>
      <x:c r="AB62" s="12" t="str">
        <x:f>IFERROR(INDEX('55_Codificacion_ensayo'!$J$5:$J$13,MATCH(B62,'55_Codificacion_ensayo'!$A$5:$A$13,0)),"")</x:f>
        <x:v>OTRA_IMAGEN</x:v>
      </x:c>
    </x:row>
    <x:row r="63" ht="47" customHeight="1">
      <x:c r="A63" s="4" t="str">
        <x:v>L10-06-05</x:v>
      </x:c>
      <x:c r="B63" s="4" t="str">
        <x:v>PAR-CYB-IMAGEN-OBJETIVO-ACTIVA-001</x:v>
      </x:c>
      <x:c r="C63" s="4" t="str">
        <x:v>IDENTIDAD-IMAGEN-CARGADA-0.1</x:v>
      </x:c>
      <x:c r="D63" s="4" t="str">
        <x:v>COINCIDE</x:v>
      </x:c>
      <x:c r="E63" s="4" t="str">
        <x:v>FALLO</x:v>
      </x:c>
      <x:c r="F63" s="4" t="str">
        <x:v>IMAGEN_CARGADA</x:v>
      </x:c>
      <x:c r="G63" s="4" t="str">
        <x:v>UNICA</x:v>
      </x:c>
      <x:c r="H63" s="4" t="str">
        <x:v>aaaaaaaaaaaaaaaaaaaaaaaaaaaaaaaaaaaaaaaaaaaaaaaaaaaaaaaaaaaaaaaa</x:v>
      </x:c>
      <x:c r="I63" s="4" t="str">
        <x:v>aaaaaaaaaaaaaaaaaaaaaaaaaaaaaaaaaaaaaaaaaaaaaaaaaaaaaaaaaaaaaaaa</x:v>
      </x:c>
      <x:c r="J63" s="4" t="str">
        <x:v>COMPLETA</x:v>
      </x:c>
      <x:c r="K63" s="4" t="str">
        <x:v>METODO_ADMITIDO</x:v>
      </x:c>
      <x:c r="L63" s="4" t="str">
        <x:v>FALLO_CAPTURA</x:v>
      </x:c>
      <x:c r="M63" s="4" t="str"/>
      <x:c r="N63" s="4" t="str">
        <x:v>SIN_EJECUCION_DOMINIO</x:v>
      </x:c>
      <x:c r="O63" s="12" t="str">
        <x:f>IF(Q63="SIN_EJECUCION_DOMINIO","FALLO_CAPTURA",IF(OR(Q63="CAPTURA_MAL_FORMADA",Q63="IDENTIDAD",Q63="OBSERVACION_MAL_FORMADA",Q63="LEXEMA_O_FORMA"),"NO_ADMISION",IF(OR(Q63="PERFIL_NO_CONSTITUIDO",Q63="RESULTADO_NO_TERMINAL"),"FUERA_PERFIL",IF(Q63="CONTEXTO_NO_CONSTITUIDO","CONFIGURACION_PENDIENTE","VALIDA"))))</x:f>
        <x:v>FALLO_CAPTURA</x:v>
      </x:c>
      <x:c r="P63" s="12" t="str">
        <x:f>IF(O63&lt;&gt;"VALIDA","",IF(Q63=AA63,"1",IF(Q63=AB63,"0","U")))</x:f>
      </x:c>
      <x:c r="Q63" s="12" t="str">
        <x:f>IF(E63="FALLO","SIN_EJECUCION_DOMINIO",IF(E63&lt;&gt;"LEGIBLE","CAPTURA_MAL_FORMADA",IF(D63&lt;&gt;"COINCIDE","IDENTIDAD",IF(OR(T63="",C63&lt;&gt;T63),"PERFIL_NO_CONSTITUIDO",IF(K63&lt;&gt;V63,IF(V63="ORDEN_ACREDITADO","ORDEN_NO_ACREDITADO","CONTEXTO_NO_CONSTITUIDO"),IF(AND(G63="AUSENTE",H63="",I63=""),"DATO_AUSENTE",IF(AND(G63="CONFLICTO",H63="",I63=""),"CONFLICTO_OBSERVACIONAL",IF(G63&lt;&gt;"UNICA","OBSERVACION_MAL_FORMADA",IF(F63&lt;&gt;U63,"OBSERVACION_INSUFICIENTE",IF(W63="RESULTADO",IF(H63=X63,AA63,IF(OR(H63="orcSucceededWithErrors",H63="orcFailed",H63="orcAborted"),AB63,IF(OR(H63="orcNotStarted",H63="orcInProgress"),"RESULTADO_NO_TERMINAL","LEXEMA_O_FORMA"))),IF(W63="EVENTO_BOOT",IF(H63=X63,AA63,IF(OR(H63="NINGUNO",H63="SOLO_HIBRIDO"),IF(J63="COMPLETA",AB63,"COBERTURA_INSUFICIENTE"),"LEXEMA_O_FORMA")),IF(W63="REQUISITO_SOFT",IF(H63=X63,AA63,IF(H63=Z63,AB63,"LEXEMA_O_FORMA")),IF(W63="EVENTO_PROC",IF(H63=X63,AA63,IF(H63=Z63,IF(J63="COMPLETA",AB63,"COBERTURA_INSUFICIENTE"),"LEXEMA_O_FORMA")),IF(W63="IMAGEN",IF(AND(AND(ISTEXT(H63),LEN(("x"&amp;H63))=65,EXACT(("x"&amp;H63),LOWER(("x"&amp;H63))),ISERROR(SEARCH(" ",("x"&amp;H63))),ISERROR(SEARCH(CHAR(9),("x"&amp;H63))),ISERROR(SEARCH(CHAR(10),("x"&amp;H63))),ISERROR(SEARCH(CHAR(13),("x"&amp;H63))),IFERROR(HEX2DEC(MID(("x"&amp;H63),2,8))&gt;=0,FALSE),IFERROR(HEX2DEC(MID(("x"&amp;H63),10,8))&gt;=0,FALSE),IFERROR(HEX2DEC(MID(("x"&amp;H63),18,8))&gt;=0,FALSE),IFERROR(HEX2DEC(MID(("x"&amp;H63),26,8))&gt;=0,FALSE),IFERROR(HEX2DEC(MID(("x"&amp;H63),34,8))&gt;=0,FALSE),IFERROR(HEX2DEC(MID(("x"&amp;H63),42,8))&gt;=0,FALSE),IFERROR(HEX2DEC(MID(("x"&amp;H63),50,8))&gt;=0,FALSE),IFERROR(HEX2DEC(MID(("x"&amp;H63),58,8))&gt;=0,FALSE)),AND(ISTEXT(I63),LEN(("x"&amp;I63))=65,EXACT(("x"&amp;I63),LOWER(("x"&amp;I63))),ISERROR(SEARCH(" ",("x"&amp;I63))),ISERROR(SEARCH(CHAR(9),("x"&amp;I63))),ISERROR(SEARCH(CHAR(10),("x"&amp;I63))),ISERROR(SEARCH(CHAR(13),("x"&amp;I63))),IFERROR(HEX2DEC(MID(("x"&amp;I63),2,8))&gt;=0,FALSE),IFERROR(HEX2DEC(MID(("x"&amp;I63),10,8))&gt;=0,FALSE),IFERROR(HEX2DEC(MID(("x"&amp;I63),18,8))&gt;=0,FALSE),IFERROR(HEX2DEC(MID(("x"&amp;I63),26,8))&gt;=0,FALSE),IFERROR(HEX2DEC(MID(("x"&amp;I63),34,8))&gt;=0,FALSE),IFERROR(HEX2DEC(MID(("x"&amp;I63),42,8))&gt;=0,FALSE),IFERROR(HEX2DEC(MID(("x"&amp;I63),50,8))&gt;=0,FALSE),IFERROR(HEX2DEC(MID(("x"&amp;I63),58,8))&gt;=0,FALSE))),IF(EXACT("x"&amp;H63,"x"&amp;I63),AA63,AB63),"LEXEMA_O_FORMA"),IF(W63="PRUEBA",IF(H63=X63,AA63,IF(H63=Z63,AB63,"LEXEMA_O_FORMA")),IF(W63="RETIRADA",IF(AND(H63="NINGUNO",I63=""),IF(J63="COMPLETA",AB63,"COBERTURA_INSUFICIENTE"),IF(AND(OR(H63="uoInstallation",H63="uoUninstallation"),OR(I63="orcSucceeded",I63="orcSucceededWithErrors",I63="orcFailed",I63="orcAborted",I63="orcInProgress",I63="orcNotStarted")),IF(AND(H63=X63,I63=Y63),AA63,IF(AND(H63=X63,OR(I63="orcSucceededWithErrors",I63="orcInProgress",I63="orcNotStarted")),"RESULTADO_RETIRADA_INCIERTO",IF(J63="COMPLETA",AB63,"COBERTURA_INSUFICIENTE"))),"LEXEMA_O_FORMA")),IF(W63="CAMBIO",IF(OR(H63="CAMBIO",H63="CAMBIO_Y_RETORNO"),AA63,IF(OR(H63="NINGUNO",H63="SOLO_RENOMBRE"),IF(J63="COMPLETA",AB63,"COBERTURA_INSUFICIENTE"),"LEXEMA_O_FORMA")),IF(W63="RESTAURACION",IF(H63=X63,AA63,IF(OR(H63="NINGUNO",H63="RESTAURACION_POSTERIOR",H63="RESTAURACION_FALLIDA"),IF(J63="COMPLETA",AB63,"COBERTURA_INSUFICIENTE"),"LEXEMA_O_FORMA")),"PERFIL_NO_CONSTITUIDO"))))))))))))))))))</x:f>
        <x:v>SIN_EJECUCION_DOMINIO</x:v>
      </x:c>
      <x:c r="R63" s="12" t="str">
        <x:f>IF(AND(L63=O63,M63=P63,N63=Q63),"PASA","NO_PASA")</x:f>
        <x:v>PASA</x:v>
      </x:c>
      <x:c r="S63" s="4" t="str">
        <x:v>El observador falla; no existe ejecución de dominio ni Tri alternativo.</x:v>
      </x:c>
      <x:c r="T63" s="12" t="str">
        <x:f>IFERROR(INDEX('55_Codificacion_ensayo'!$B$5:$B$13,MATCH(B63,'55_Codificacion_ensayo'!$A$5:$A$13,0)),"")</x:f>
        <x:v>IDENTIDAD-IMAGEN-CARGADA-0.1</x:v>
      </x:c>
      <x:c r="U63" s="12" t="str">
        <x:f>IFERROR(INDEX('55_Codificacion_ensayo'!$C$5:$C$13,MATCH(B63,'55_Codificacion_ensayo'!$A$5:$A$13,0)),"")</x:f>
        <x:v>IMAGEN_CARGADA</x:v>
      </x:c>
      <x:c r="V63" s="12" t="str">
        <x:f>IFERROR(INDEX('55_Codificacion_ensayo'!$D$5:$D$13,MATCH(B63,'55_Codificacion_ensayo'!$A$5:$A$13,0)),"")</x:f>
        <x:v>METODO_ADMITIDO</x:v>
      </x:c>
      <x:c r="W63" s="12" t="str">
        <x:f>IFERROR(INDEX('55_Codificacion_ensayo'!$E$5:$E$13,MATCH(B63,'55_Codificacion_ensayo'!$A$5:$A$13,0)),"")</x:f>
        <x:v>IMAGEN</x:v>
      </x:c>
      <x:c r="X63" s="12" t="str">
        <x:f>IFERROR(INDEX('55_Codificacion_ensayo'!$F$5:$F$13,MATCH(B63,'55_Codificacion_ensayo'!$A$5:$A$13,0)),"")</x:f>
        <x:v>aaaaaaaaaaaaaaaaaaaaaaaaaaaaaaaaaaaaaaaaaaaaaaaaaaaaaaaaaaaaaaaa</x:v>
      </x:c>
      <x:c r="Y63" s="12" t="str">
        <x:f>IFERROR(INDEX('55_Codificacion_ensayo'!$G$5:$G$13,MATCH(B63,'55_Codificacion_ensayo'!$A$5:$A$13,0)),"")</x:f>
        <x:v>aaaaaaaaaaaaaaaaaaaaaaaaaaaaaaaaaaaaaaaaaaaaaaaaaaaaaaaaaaaaaaaa</x:v>
      </x:c>
      <x:c r="Z63" s="12" t="str">
        <x:f>IFERROR(INDEX('55_Codificacion_ensayo'!$H$5:$H$13,MATCH(B63,'55_Codificacion_ensayo'!$A$5:$A$13,0)),"")</x:f>
        <x:v>bbbbbbbbbbbbbbbbbbbbbbbbbbbbbbbbbbbbbbbbbbbbbbbbbbbbbbbbbbbbbbbb</x:v>
      </x:c>
      <x:c r="AA63" s="12" t="str">
        <x:f>IFERROR(INDEX('55_Codificacion_ensayo'!$I$5:$I$13,MATCH(B63,'55_Codificacion_ensayo'!$A$5:$A$13,0)),"")</x:f>
        <x:v>IMAGEN_OBJETIVO</x:v>
      </x:c>
      <x:c r="AB63" s="12" t="str">
        <x:f>IFERROR(INDEX('55_Codificacion_ensayo'!$J$5:$J$13,MATCH(B63,'55_Codificacion_ensayo'!$A$5:$A$13,0)),"")</x:f>
        <x:v>OTRA_IMAGEN</x:v>
      </x:c>
    </x:row>
    <x:row r="64" ht="47" customHeight="1">
      <x:c r="A64" s="4" t="str">
        <x:v>L10-06-06</x:v>
      </x:c>
      <x:c r="B64" s="4" t="str">
        <x:v>PAR-CYB-IMAGEN-OBJETIVO-ACTIVA-001</x:v>
      </x:c>
      <x:c r="C64" s="4" t="str">
        <x:v>IDENTIDAD-IMAGEN-CARGADA-0.1</x:v>
      </x:c>
      <x:c r="D64" s="4" t="str">
        <x:v>OTRO</x:v>
      </x:c>
      <x:c r="E64" s="4" t="str">
        <x:v>LEGIBLE</x:v>
      </x:c>
      <x:c r="F64" s="4" t="str">
        <x:v>IMAGEN_CARGADA</x:v>
      </x:c>
      <x:c r="G64" s="4" t="str">
        <x:v>UNICA</x:v>
      </x:c>
      <x:c r="H64" s="4" t="str">
        <x:v>aaaaaaaaaaaaaaaaaaaaaaaaaaaaaaaaaaaaaaaaaaaaaaaaaaaaaaaaaaaaaaaa</x:v>
      </x:c>
      <x:c r="I64" s="4" t="str">
        <x:v>aaaaaaaaaaaaaaaaaaaaaaaaaaaaaaaaaaaaaaaaaaaaaaaaaaaaaaaaaaaaaaaa</x:v>
      </x:c>
      <x:c r="J64" s="4" t="str">
        <x:v>COMPLETA</x:v>
      </x:c>
      <x:c r="K64" s="4" t="str">
        <x:v>METODO_ADMITIDO</x:v>
      </x:c>
      <x:c r="L64" s="4" t="str">
        <x:v>NO_ADMISION</x:v>
      </x:c>
      <x:c r="M64" s="4" t="str"/>
      <x:c r="N64" s="4" t="str">
        <x:v>IDENTIDAD</x:v>
      </x:c>
      <x:c r="O64" s="12" t="str">
        <x:f>IF(Q64="SIN_EJECUCION_DOMINIO","FALLO_CAPTURA",IF(OR(Q64="CAPTURA_MAL_FORMADA",Q64="IDENTIDAD",Q64="OBSERVACION_MAL_FORMADA",Q64="LEXEMA_O_FORMA"),"NO_ADMISION",IF(OR(Q64="PERFIL_NO_CONSTITUIDO",Q64="RESULTADO_NO_TERMINAL"),"FUERA_PERFIL",IF(Q64="CONTEXTO_NO_CONSTITUIDO","CONFIGURACION_PENDIENTE","VALIDA"))))</x:f>
        <x:v>NO_ADMISION</x:v>
      </x:c>
      <x:c r="P64" s="12" t="str">
        <x:f>IF(O64&lt;&gt;"VALIDA","",IF(Q64=AA64,"1",IF(Q64=AB64,"0","U")))</x:f>
      </x:c>
      <x:c r="Q64" s="12" t="str">
        <x:f>IF(E64="FALLO","SIN_EJECUCION_DOMINIO",IF(E64&lt;&gt;"LEGIBLE","CAPTURA_MAL_FORMADA",IF(D64&lt;&gt;"COINCIDE","IDENTIDAD",IF(OR(T64="",C64&lt;&gt;T64),"PERFIL_NO_CONSTITUIDO",IF(K64&lt;&gt;V64,IF(V64="ORDEN_ACREDITADO","ORDEN_NO_ACREDITADO","CONTEXTO_NO_CONSTITUIDO"),IF(AND(G64="AUSENTE",H64="",I64=""),"DATO_AUSENTE",IF(AND(G64="CONFLICTO",H64="",I64=""),"CONFLICTO_OBSERVACIONAL",IF(G64&lt;&gt;"UNICA","OBSERVACION_MAL_FORMADA",IF(F64&lt;&gt;U64,"OBSERVACION_INSUFICIENTE",IF(W64="RESULTADO",IF(H64=X64,AA64,IF(OR(H64="orcSucceededWithErrors",H64="orcFailed",H64="orcAborted"),AB64,IF(OR(H64="orcNotStarted",H64="orcInProgress"),"RESULTADO_NO_TERMINAL","LEXEMA_O_FORMA"))),IF(W64="EVENTO_BOOT",IF(H64=X64,AA64,IF(OR(H64="NINGUNO",H64="SOLO_HIBRIDO"),IF(J64="COMPLETA",AB64,"COBERTURA_INSUFICIENTE"),"LEXEMA_O_FORMA")),IF(W64="REQUISITO_SOFT",IF(H64=X64,AA64,IF(H64=Z64,AB64,"LEXEMA_O_FORMA")),IF(W64="EVENTO_PROC",IF(H64=X64,AA64,IF(H64=Z64,IF(J64="COMPLETA",AB64,"COBERTURA_INSUFICIENTE"),"LEXEMA_O_FORMA")),IF(W64="IMAGEN",IF(AND(AND(ISTEXT(H64),LEN(("x"&amp;H64))=65,EXACT(("x"&amp;H64),LOWER(("x"&amp;H64))),ISERROR(SEARCH(" ",("x"&amp;H64))),ISERROR(SEARCH(CHAR(9),("x"&amp;H64))),ISERROR(SEARCH(CHAR(10),("x"&amp;H64))),ISERROR(SEARCH(CHAR(13),("x"&amp;H64))),IFERROR(HEX2DEC(MID(("x"&amp;H64),2,8))&gt;=0,FALSE),IFERROR(HEX2DEC(MID(("x"&amp;H64),10,8))&gt;=0,FALSE),IFERROR(HEX2DEC(MID(("x"&amp;H64),18,8))&gt;=0,FALSE),IFERROR(HEX2DEC(MID(("x"&amp;H64),26,8))&gt;=0,FALSE),IFERROR(HEX2DEC(MID(("x"&amp;H64),34,8))&gt;=0,FALSE),IFERROR(HEX2DEC(MID(("x"&amp;H64),42,8))&gt;=0,FALSE),IFERROR(HEX2DEC(MID(("x"&amp;H64),50,8))&gt;=0,FALSE),IFERROR(HEX2DEC(MID(("x"&amp;H64),58,8))&gt;=0,FALSE)),AND(ISTEXT(I64),LEN(("x"&amp;I64))=65,EXACT(("x"&amp;I64),LOWER(("x"&amp;I64))),ISERROR(SEARCH(" ",("x"&amp;I64))),ISERROR(SEARCH(CHAR(9),("x"&amp;I64))),ISERROR(SEARCH(CHAR(10),("x"&amp;I64))),ISERROR(SEARCH(CHAR(13),("x"&amp;I64))),IFERROR(HEX2DEC(MID(("x"&amp;I64),2,8))&gt;=0,FALSE),IFERROR(HEX2DEC(MID(("x"&amp;I64),10,8))&gt;=0,FALSE),IFERROR(HEX2DEC(MID(("x"&amp;I64),18,8))&gt;=0,FALSE),IFERROR(HEX2DEC(MID(("x"&amp;I64),26,8))&gt;=0,FALSE),IFERROR(HEX2DEC(MID(("x"&amp;I64),34,8))&gt;=0,FALSE),IFERROR(HEX2DEC(MID(("x"&amp;I64),42,8))&gt;=0,FALSE),IFERROR(HEX2DEC(MID(("x"&amp;I64),50,8))&gt;=0,FALSE),IFERROR(HEX2DEC(MID(("x"&amp;I64),58,8))&gt;=0,FALSE))),IF(EXACT("x"&amp;H64,"x"&amp;I64),AA64,AB64),"LEXEMA_O_FORMA"),IF(W64="PRUEBA",IF(H64=X64,AA64,IF(H64=Z64,AB64,"LEXEMA_O_FORMA")),IF(W64="RETIRADA",IF(AND(H64="NINGUNO",I64=""),IF(J64="COMPLETA",AB64,"COBERTURA_INSUFICIENTE"),IF(AND(OR(H64="uoInstallation",H64="uoUninstallation"),OR(I64="orcSucceeded",I64="orcSucceededWithErrors",I64="orcFailed",I64="orcAborted",I64="orcInProgress",I64="orcNotStarted")),IF(AND(H64=X64,I64=Y64),AA64,IF(AND(H64=X64,OR(I64="orcSucceededWithErrors",I64="orcInProgress",I64="orcNotStarted")),"RESULTADO_RETIRADA_INCIERTO",IF(J64="COMPLETA",AB64,"COBERTURA_INSUFICIENTE"))),"LEXEMA_O_FORMA")),IF(W64="CAMBIO",IF(OR(H64="CAMBIO",H64="CAMBIO_Y_RETORNO"),AA64,IF(OR(H64="NINGUNO",H64="SOLO_RENOMBRE"),IF(J64="COMPLETA",AB64,"COBERTURA_INSUFICIENTE"),"LEXEMA_O_FORMA")),IF(W64="RESTAURACION",IF(H64=X64,AA64,IF(OR(H64="NINGUNO",H64="RESTAURACION_POSTERIOR",H64="RESTAURACION_FALLIDA"),IF(J64="COMPLETA",AB64,"COBERTURA_INSUFICIENTE"),"LEXEMA_O_FORMA")),"PERFIL_NO_CONSTITUIDO"))))))))))))))))))</x:f>
        <x:v>IDENTIDAD</x:v>
      </x:c>
      <x:c r="R64" s="12" t="str">
        <x:f>IF(AND(L64=O64,M64=P64,N64=Q64),"PASA","NO_PASA")</x:f>
        <x:v>PASA</x:v>
      </x:c>
      <x:c r="S64" s="4" t="str">
        <x:v>El testigo pertenece a otro sujeto; no se recicla su dato.</x:v>
      </x:c>
      <x:c r="T64" s="12" t="str">
        <x:f>IFERROR(INDEX('55_Codificacion_ensayo'!$B$5:$B$13,MATCH(B64,'55_Codificacion_ensayo'!$A$5:$A$13,0)),"")</x:f>
        <x:v>IDENTIDAD-IMAGEN-CARGADA-0.1</x:v>
      </x:c>
      <x:c r="U64" s="12" t="str">
        <x:f>IFERROR(INDEX('55_Codificacion_ensayo'!$C$5:$C$13,MATCH(B64,'55_Codificacion_ensayo'!$A$5:$A$13,0)),"")</x:f>
        <x:v>IMAGEN_CARGADA</x:v>
      </x:c>
      <x:c r="V64" s="12" t="str">
        <x:f>IFERROR(INDEX('55_Codificacion_ensayo'!$D$5:$D$13,MATCH(B64,'55_Codificacion_ensayo'!$A$5:$A$13,0)),"")</x:f>
        <x:v>METODO_ADMITIDO</x:v>
      </x:c>
      <x:c r="W64" s="12" t="str">
        <x:f>IFERROR(INDEX('55_Codificacion_ensayo'!$E$5:$E$13,MATCH(B64,'55_Codificacion_ensayo'!$A$5:$A$13,0)),"")</x:f>
        <x:v>IMAGEN</x:v>
      </x:c>
      <x:c r="X64" s="12" t="str">
        <x:f>IFERROR(INDEX('55_Codificacion_ensayo'!$F$5:$F$13,MATCH(B64,'55_Codificacion_ensayo'!$A$5:$A$13,0)),"")</x:f>
        <x:v>aaaaaaaaaaaaaaaaaaaaaaaaaaaaaaaaaaaaaaaaaaaaaaaaaaaaaaaaaaaaaaaa</x:v>
      </x:c>
      <x:c r="Y64" s="12" t="str">
        <x:f>IFERROR(INDEX('55_Codificacion_ensayo'!$G$5:$G$13,MATCH(B64,'55_Codificacion_ensayo'!$A$5:$A$13,0)),"")</x:f>
        <x:v>aaaaaaaaaaaaaaaaaaaaaaaaaaaaaaaaaaaaaaaaaaaaaaaaaaaaaaaaaaaaaaaa</x:v>
      </x:c>
      <x:c r="Z64" s="12" t="str">
        <x:f>IFERROR(INDEX('55_Codificacion_ensayo'!$H$5:$H$13,MATCH(B64,'55_Codificacion_ensayo'!$A$5:$A$13,0)),"")</x:f>
        <x:v>bbbbbbbbbbbbbbbbbbbbbbbbbbbbbbbbbbbbbbbbbbbbbbbbbbbbbbbbbbbbbbbb</x:v>
      </x:c>
      <x:c r="AA64" s="12" t="str">
        <x:f>IFERROR(INDEX('55_Codificacion_ensayo'!$I$5:$I$13,MATCH(B64,'55_Codificacion_ensayo'!$A$5:$A$13,0)),"")</x:f>
        <x:v>IMAGEN_OBJETIVO</x:v>
      </x:c>
      <x:c r="AB64" s="12" t="str">
        <x:f>IFERROR(INDEX('55_Codificacion_ensayo'!$J$5:$J$13,MATCH(B64,'55_Codificacion_ensayo'!$A$5:$A$13,0)),"")</x:f>
        <x:v>OTRA_IMAGEN</x:v>
      </x:c>
    </x:row>
    <x:row r="65" ht="47" customHeight="1">
      <x:c r="A65" s="4" t="str">
        <x:v>L10-06-07</x:v>
      </x:c>
      <x:c r="B65" s="4" t="str">
        <x:v>PAR-CYB-IMAGEN-OBJETIVO-ACTIVA-001</x:v>
      </x:c>
      <x:c r="C65" s="4" t="str">
        <x:v>IDENTIDAD-IMAGEN-CARGADA-0.1</x:v>
      </x:c>
      <x:c r="D65" s="4" t="str">
        <x:v>COINCIDE</x:v>
      </x:c>
      <x:c r="E65" s="4" t="str">
        <x:v>LEGIBLE</x:v>
      </x:c>
      <x:c r="F65" s="4" t="str">
        <x:v>FUENTE_GENERAL</x:v>
      </x:c>
      <x:c r="G65" s="4" t="str">
        <x:v>UNICA</x:v>
      </x:c>
      <x:c r="H65" s="4" t="str">
        <x:v>aaaaaaaaaaaaaaaaaaaaaaaaaaaaaaaaaaaaaaaaaaaaaaaaaaaaaaaaaaaaaaaa</x:v>
      </x:c>
      <x:c r="I65" s="4" t="str">
        <x:v>aaaaaaaaaaaaaaaaaaaaaaaaaaaaaaaaaaaaaaaaaaaaaaaaaaaaaaaaaaaaaaaa</x:v>
      </x:c>
      <x:c r="J65" s="4" t="str">
        <x:v>COMPLETA</x:v>
      </x:c>
      <x:c r="K65" s="4" t="str">
        <x:v>METODO_ADMITIDO</x:v>
      </x:c>
      <x:c r="L65" s="4" t="str">
        <x:v>VALIDA</x:v>
      </x:c>
      <x:c r="M65" s="4" t="str">
        <x:v>U</x:v>
      </x:c>
      <x:c r="N65" s="4" t="str">
        <x:v>OBSERVACION_INSUFICIENTE</x:v>
      </x:c>
      <x:c r="O65" s="12" t="str">
        <x:f>IF(Q65="SIN_EJECUCION_DOMINIO","FALLO_CAPTURA",IF(OR(Q65="CAPTURA_MAL_FORMADA",Q65="IDENTIDAD",Q65="OBSERVACION_MAL_FORMADA",Q65="LEXEMA_O_FORMA"),"NO_ADMISION",IF(OR(Q65="PERFIL_NO_CONSTITUIDO",Q65="RESULTADO_NO_TERMINAL"),"FUERA_PERFIL",IF(Q65="CONTEXTO_NO_CONSTITUIDO","CONFIGURACION_PENDIENTE","VALIDA"))))</x:f>
        <x:v>VALIDA</x:v>
      </x:c>
      <x:c r="P65" s="12" t="str">
        <x:f>IF(O65&lt;&gt;"VALIDA","",IF(Q65=AA65,"1",IF(Q65=AB65,"0","U")))</x:f>
        <x:v>U</x:v>
      </x:c>
      <x:c r="Q65" s="12" t="str">
        <x:f>IF(E65="FALLO","SIN_EJECUCION_DOMINIO",IF(E65&lt;&gt;"LEGIBLE","CAPTURA_MAL_FORMADA",IF(D65&lt;&gt;"COINCIDE","IDENTIDAD",IF(OR(T65="",C65&lt;&gt;T65),"PERFIL_NO_CONSTITUIDO",IF(K65&lt;&gt;V65,IF(V65="ORDEN_ACREDITADO","ORDEN_NO_ACREDITADO","CONTEXTO_NO_CONSTITUIDO"),IF(AND(G65="AUSENTE",H65="",I65=""),"DATO_AUSENTE",IF(AND(G65="CONFLICTO",H65="",I65=""),"CONFLICTO_OBSERVACIONAL",IF(G65&lt;&gt;"UNICA","OBSERVACION_MAL_FORMADA",IF(F65&lt;&gt;U65,"OBSERVACION_INSUFICIENTE",IF(W65="RESULTADO",IF(H65=X65,AA65,IF(OR(H65="orcSucceededWithErrors",H65="orcFailed",H65="orcAborted"),AB65,IF(OR(H65="orcNotStarted",H65="orcInProgress"),"RESULTADO_NO_TERMINAL","LEXEMA_O_FORMA"))),IF(W65="EVENTO_BOOT",IF(H65=X65,AA65,IF(OR(H65="NINGUNO",H65="SOLO_HIBRIDO"),IF(J65="COMPLETA",AB65,"COBERTURA_INSUFICIENTE"),"LEXEMA_O_FORMA")),IF(W65="REQUISITO_SOFT",IF(H65=X65,AA65,IF(H65=Z65,AB65,"LEXEMA_O_FORMA")),IF(W65="EVENTO_PROC",IF(H65=X65,AA65,IF(H65=Z65,IF(J65="COMPLETA",AB65,"COBERTURA_INSUFICIENTE"),"LEXEMA_O_FORMA")),IF(W65="IMAGEN",IF(AND(AND(ISTEXT(H65),LEN(("x"&amp;H65))=65,EXACT(("x"&amp;H65),LOWER(("x"&amp;H65))),ISERROR(SEARCH(" ",("x"&amp;H65))),ISERROR(SEARCH(CHAR(9),("x"&amp;H65))),ISERROR(SEARCH(CHAR(10),("x"&amp;H65))),ISERROR(SEARCH(CHAR(13),("x"&amp;H65))),IFERROR(HEX2DEC(MID(("x"&amp;H65),2,8))&gt;=0,FALSE),IFERROR(HEX2DEC(MID(("x"&amp;H65),10,8))&gt;=0,FALSE),IFERROR(HEX2DEC(MID(("x"&amp;H65),18,8))&gt;=0,FALSE),IFERROR(HEX2DEC(MID(("x"&amp;H65),26,8))&gt;=0,FALSE),IFERROR(HEX2DEC(MID(("x"&amp;H65),34,8))&gt;=0,FALSE),IFERROR(HEX2DEC(MID(("x"&amp;H65),42,8))&gt;=0,FALSE),IFERROR(HEX2DEC(MID(("x"&amp;H65),50,8))&gt;=0,FALSE),IFERROR(HEX2DEC(MID(("x"&amp;H65),58,8))&gt;=0,FALSE)),AND(ISTEXT(I65),LEN(("x"&amp;I65))=65,EXACT(("x"&amp;I65),LOWER(("x"&amp;I65))),ISERROR(SEARCH(" ",("x"&amp;I65))),ISERROR(SEARCH(CHAR(9),("x"&amp;I65))),ISERROR(SEARCH(CHAR(10),("x"&amp;I65))),ISERROR(SEARCH(CHAR(13),("x"&amp;I65))),IFERROR(HEX2DEC(MID(("x"&amp;I65),2,8))&gt;=0,FALSE),IFERROR(HEX2DEC(MID(("x"&amp;I65),10,8))&gt;=0,FALSE),IFERROR(HEX2DEC(MID(("x"&amp;I65),18,8))&gt;=0,FALSE),IFERROR(HEX2DEC(MID(("x"&amp;I65),26,8))&gt;=0,FALSE),IFERROR(HEX2DEC(MID(("x"&amp;I65),34,8))&gt;=0,FALSE),IFERROR(HEX2DEC(MID(("x"&amp;I65),42,8))&gt;=0,FALSE),IFERROR(HEX2DEC(MID(("x"&amp;I65),50,8))&gt;=0,FALSE),IFERROR(HEX2DEC(MID(("x"&amp;I65),58,8))&gt;=0,FALSE))),IF(EXACT("x"&amp;H65,"x"&amp;I65),AA65,AB65),"LEXEMA_O_FORMA"),IF(W65="PRUEBA",IF(H65=X65,AA65,IF(H65=Z65,AB65,"LEXEMA_O_FORMA")),IF(W65="RETIRADA",IF(AND(H65="NINGUNO",I65=""),IF(J65="COMPLETA",AB65,"COBERTURA_INSUFICIENTE"),IF(AND(OR(H65="uoInstallation",H65="uoUninstallation"),OR(I65="orcSucceeded",I65="orcSucceededWithErrors",I65="orcFailed",I65="orcAborted",I65="orcInProgress",I65="orcNotStarted")),IF(AND(H65=X65,I65=Y65),AA65,IF(AND(H65=X65,OR(I65="orcSucceededWithErrors",I65="orcInProgress",I65="orcNotStarted")),"RESULTADO_RETIRADA_INCIERTO",IF(J65="COMPLETA",AB65,"COBERTURA_INSUFICIENTE"))),"LEXEMA_O_FORMA")),IF(W65="CAMBIO",IF(OR(H65="CAMBIO",H65="CAMBIO_Y_RETORNO"),AA65,IF(OR(H65="NINGUNO",H65="SOLO_RENOMBRE"),IF(J65="COMPLETA",AB65,"COBERTURA_INSUFICIENTE"),"LEXEMA_O_FORMA")),IF(W65="RESTAURACION",IF(H65=X65,AA65,IF(OR(H65="NINGUNO",H65="RESTAURACION_POSTERIOR",H65="RESTAURACION_FALLIDA"),IF(J65="COMPLETA",AB65,"COBERTURA_INSUFICIENTE"),"LEXEMA_O_FORMA")),"PERFIL_NO_CONSTITUIDO"))))))))))))))))))</x:f>
        <x:v>OBSERVACION_INSUFICIENTE</x:v>
      </x:c>
      <x:c r="R65" s="12" t="str">
        <x:f>IF(AND(L65=O65,M65=P65,N65=Q65),"PASA","NO_PASA")</x:f>
        <x:v>PASA</x:v>
      </x:c>
      <x:c r="S65" s="4" t="str">
        <x:v>Una fuente del dominio no sustituye la observación específica del episodio.</x:v>
      </x:c>
      <x:c r="T65" s="12" t="str">
        <x:f>IFERROR(INDEX('55_Codificacion_ensayo'!$B$5:$B$13,MATCH(B65,'55_Codificacion_ensayo'!$A$5:$A$13,0)),"")</x:f>
        <x:v>IDENTIDAD-IMAGEN-CARGADA-0.1</x:v>
      </x:c>
      <x:c r="U65" s="12" t="str">
        <x:f>IFERROR(INDEX('55_Codificacion_ensayo'!$C$5:$C$13,MATCH(B65,'55_Codificacion_ensayo'!$A$5:$A$13,0)),"")</x:f>
        <x:v>IMAGEN_CARGADA</x:v>
      </x:c>
      <x:c r="V65" s="12" t="str">
        <x:f>IFERROR(INDEX('55_Codificacion_ensayo'!$D$5:$D$13,MATCH(B65,'55_Codificacion_ensayo'!$A$5:$A$13,0)),"")</x:f>
        <x:v>METODO_ADMITIDO</x:v>
      </x:c>
      <x:c r="W65" s="12" t="str">
        <x:f>IFERROR(INDEX('55_Codificacion_ensayo'!$E$5:$E$13,MATCH(B65,'55_Codificacion_ensayo'!$A$5:$A$13,0)),"")</x:f>
        <x:v>IMAGEN</x:v>
      </x:c>
      <x:c r="X65" s="12" t="str">
        <x:f>IFERROR(INDEX('55_Codificacion_ensayo'!$F$5:$F$13,MATCH(B65,'55_Codificacion_ensayo'!$A$5:$A$13,0)),"")</x:f>
        <x:v>aaaaaaaaaaaaaaaaaaaaaaaaaaaaaaaaaaaaaaaaaaaaaaaaaaaaaaaaaaaaaaaa</x:v>
      </x:c>
      <x:c r="Y65" s="12" t="str">
        <x:f>IFERROR(INDEX('55_Codificacion_ensayo'!$G$5:$G$13,MATCH(B65,'55_Codificacion_ensayo'!$A$5:$A$13,0)),"")</x:f>
        <x:v>aaaaaaaaaaaaaaaaaaaaaaaaaaaaaaaaaaaaaaaaaaaaaaaaaaaaaaaaaaaaaaaa</x:v>
      </x:c>
      <x:c r="Z65" s="12" t="str">
        <x:f>IFERROR(INDEX('55_Codificacion_ensayo'!$H$5:$H$13,MATCH(B65,'55_Codificacion_ensayo'!$A$5:$A$13,0)),"")</x:f>
        <x:v>bbbbbbbbbbbbbbbbbbbbbbbbbbbbbbbbbbbbbbbbbbbbbbbbbbbbbbbbbbbbbbbb</x:v>
      </x:c>
      <x:c r="AA65" s="12" t="str">
        <x:f>IFERROR(INDEX('55_Codificacion_ensayo'!$I$5:$I$13,MATCH(B65,'55_Codificacion_ensayo'!$A$5:$A$13,0)),"")</x:f>
        <x:v>IMAGEN_OBJETIVO</x:v>
      </x:c>
      <x:c r="AB65" s="12" t="str">
        <x:f>IFERROR(INDEX('55_Codificacion_ensayo'!$J$5:$J$13,MATCH(B65,'55_Codificacion_ensayo'!$A$5:$A$13,0)),"")</x:f>
        <x:v>OTRA_IMAGEN</x:v>
      </x:c>
    </x:row>
    <x:row r="66" ht="47" customHeight="1">
      <x:c r="A66" s="4" t="str">
        <x:v>L10-06-08</x:v>
      </x:c>
      <x:c r="B66" s="4" t="str">
        <x:v>PAR-CYB-IMAGEN-OBJETIVO-ACTIVA-001</x:v>
      </x:c>
      <x:c r="C66" s="4" t="str">
        <x:v>OTRO_PERFIL</x:v>
      </x:c>
      <x:c r="D66" s="4" t="str">
        <x:v>COINCIDE</x:v>
      </x:c>
      <x:c r="E66" s="4" t="str">
        <x:v>LEGIBLE</x:v>
      </x:c>
      <x:c r="F66" s="4" t="str">
        <x:v>IMAGEN_CARGADA</x:v>
      </x:c>
      <x:c r="G66" s="4" t="str">
        <x:v>UNICA</x:v>
      </x:c>
      <x:c r="H66" s="4" t="str">
        <x:v>aaaaaaaaaaaaaaaaaaaaaaaaaaaaaaaaaaaaaaaaaaaaaaaaaaaaaaaaaaaaaaaa</x:v>
      </x:c>
      <x:c r="I66" s="4" t="str">
        <x:v>aaaaaaaaaaaaaaaaaaaaaaaaaaaaaaaaaaaaaaaaaaaaaaaaaaaaaaaaaaaaaaaa</x:v>
      </x:c>
      <x:c r="J66" s="4" t="str">
        <x:v>COMPLETA</x:v>
      </x:c>
      <x:c r="K66" s="4" t="str">
        <x:v>METODO_ADMITIDO</x:v>
      </x:c>
      <x:c r="L66" s="4" t="str">
        <x:v>FUERA_PERFIL</x:v>
      </x:c>
      <x:c r="M66" s="4" t="str"/>
      <x:c r="N66" s="4" t="str">
        <x:v>PERFIL_NO_CONSTITUIDO</x:v>
      </x:c>
      <x:c r="O66" s="12" t="str">
        <x:f>IF(Q66="SIN_EJECUCION_DOMINIO","FALLO_CAPTURA",IF(OR(Q66="CAPTURA_MAL_FORMADA",Q66="IDENTIDAD",Q66="OBSERVACION_MAL_FORMADA",Q66="LEXEMA_O_FORMA"),"NO_ADMISION",IF(OR(Q66="PERFIL_NO_CONSTITUIDO",Q66="RESULTADO_NO_TERMINAL"),"FUERA_PERFIL",IF(Q66="CONTEXTO_NO_CONSTITUIDO","CONFIGURACION_PENDIENTE","VALIDA"))))</x:f>
        <x:v>FUERA_PERFIL</x:v>
      </x:c>
      <x:c r="P66" s="12" t="str">
        <x:f>IF(O66&lt;&gt;"VALIDA","",IF(Q66=AA66,"1",IF(Q66=AB66,"0","U")))</x:f>
      </x:c>
      <x:c r="Q66" s="12" t="str">
        <x:f>IF(E66="FALLO","SIN_EJECUCION_DOMINIO",IF(E66&lt;&gt;"LEGIBLE","CAPTURA_MAL_FORMADA",IF(D66&lt;&gt;"COINCIDE","IDENTIDAD",IF(OR(T66="",C66&lt;&gt;T66),"PERFIL_NO_CONSTITUIDO",IF(K66&lt;&gt;V66,IF(V66="ORDEN_ACREDITADO","ORDEN_NO_ACREDITADO","CONTEXTO_NO_CONSTITUIDO"),IF(AND(G66="AUSENTE",H66="",I66=""),"DATO_AUSENTE",IF(AND(G66="CONFLICTO",H66="",I66=""),"CONFLICTO_OBSERVACIONAL",IF(G66&lt;&gt;"UNICA","OBSERVACION_MAL_FORMADA",IF(F66&lt;&gt;U66,"OBSERVACION_INSUFICIENTE",IF(W66="RESULTADO",IF(H66=X66,AA66,IF(OR(H66="orcSucceededWithErrors",H66="orcFailed",H66="orcAborted"),AB66,IF(OR(H66="orcNotStarted",H66="orcInProgress"),"RESULTADO_NO_TERMINAL","LEXEMA_O_FORMA"))),IF(W66="EVENTO_BOOT",IF(H66=X66,AA66,IF(OR(H66="NINGUNO",H66="SOLO_HIBRIDO"),IF(J66="COMPLETA",AB66,"COBERTURA_INSUFICIENTE"),"LEXEMA_O_FORMA")),IF(W66="REQUISITO_SOFT",IF(H66=X66,AA66,IF(H66=Z66,AB66,"LEXEMA_O_FORMA")),IF(W66="EVENTO_PROC",IF(H66=X66,AA66,IF(H66=Z66,IF(J66="COMPLETA",AB66,"COBERTURA_INSUFICIENTE"),"LEXEMA_O_FORMA")),IF(W66="IMAGEN",IF(AND(AND(ISTEXT(H66),LEN(("x"&amp;H66))=65,EXACT(("x"&amp;H66),LOWER(("x"&amp;H66))),ISERROR(SEARCH(" ",("x"&amp;H66))),ISERROR(SEARCH(CHAR(9),("x"&amp;H66))),ISERROR(SEARCH(CHAR(10),("x"&amp;H66))),ISERROR(SEARCH(CHAR(13),("x"&amp;H66))),IFERROR(HEX2DEC(MID(("x"&amp;H66),2,8))&gt;=0,FALSE),IFERROR(HEX2DEC(MID(("x"&amp;H66),10,8))&gt;=0,FALSE),IFERROR(HEX2DEC(MID(("x"&amp;H66),18,8))&gt;=0,FALSE),IFERROR(HEX2DEC(MID(("x"&amp;H66),26,8))&gt;=0,FALSE),IFERROR(HEX2DEC(MID(("x"&amp;H66),34,8))&gt;=0,FALSE),IFERROR(HEX2DEC(MID(("x"&amp;H66),42,8))&gt;=0,FALSE),IFERROR(HEX2DEC(MID(("x"&amp;H66),50,8))&gt;=0,FALSE),IFERROR(HEX2DEC(MID(("x"&amp;H66),58,8))&gt;=0,FALSE)),AND(ISTEXT(I66),LEN(("x"&amp;I66))=65,EXACT(("x"&amp;I66),LOWER(("x"&amp;I66))),ISERROR(SEARCH(" ",("x"&amp;I66))),ISERROR(SEARCH(CHAR(9),("x"&amp;I66))),ISERROR(SEARCH(CHAR(10),("x"&amp;I66))),ISERROR(SEARCH(CHAR(13),("x"&amp;I66))),IFERROR(HEX2DEC(MID(("x"&amp;I66),2,8))&gt;=0,FALSE),IFERROR(HEX2DEC(MID(("x"&amp;I66),10,8))&gt;=0,FALSE),IFERROR(HEX2DEC(MID(("x"&amp;I66),18,8))&gt;=0,FALSE),IFERROR(HEX2DEC(MID(("x"&amp;I66),26,8))&gt;=0,FALSE),IFERROR(HEX2DEC(MID(("x"&amp;I66),34,8))&gt;=0,FALSE),IFERROR(HEX2DEC(MID(("x"&amp;I66),42,8))&gt;=0,FALSE),IFERROR(HEX2DEC(MID(("x"&amp;I66),50,8))&gt;=0,FALSE),IFERROR(HEX2DEC(MID(("x"&amp;I66),58,8))&gt;=0,FALSE))),IF(EXACT("x"&amp;H66,"x"&amp;I66),AA66,AB66),"LEXEMA_O_FORMA"),IF(W66="PRUEBA",IF(H66=X66,AA66,IF(H66=Z66,AB66,"LEXEMA_O_FORMA")),IF(W66="RETIRADA",IF(AND(H66="NINGUNO",I66=""),IF(J66="COMPLETA",AB66,"COBERTURA_INSUFICIENTE"),IF(AND(OR(H66="uoInstallation",H66="uoUninstallation"),OR(I66="orcSucceeded",I66="orcSucceededWithErrors",I66="orcFailed",I66="orcAborted",I66="orcInProgress",I66="orcNotStarted")),IF(AND(H66=X66,I66=Y66),AA66,IF(AND(H66=X66,OR(I66="orcSucceededWithErrors",I66="orcInProgress",I66="orcNotStarted")),"RESULTADO_RETIRADA_INCIERTO",IF(J66="COMPLETA",AB66,"COBERTURA_INSUFICIENTE"))),"LEXEMA_O_FORMA")),IF(W66="CAMBIO",IF(OR(H66="CAMBIO",H66="CAMBIO_Y_RETORNO"),AA66,IF(OR(H66="NINGUNO",H66="SOLO_RENOMBRE"),IF(J66="COMPLETA",AB66,"COBERTURA_INSUFICIENTE"),"LEXEMA_O_FORMA")),IF(W66="RESTAURACION",IF(H66=X66,AA66,IF(OR(H66="NINGUNO",H66="RESTAURACION_POSTERIOR",H66="RESTAURACION_FALLIDA"),IF(J66="COMPLETA",AB66,"COBERTURA_INSUFICIENTE"),"LEXEMA_O_FORMA")),"PERFIL_NO_CONSTITUIDO"))))))))))))))))))</x:f>
        <x:v>PERFIL_NO_CONSTITUIDO</x:v>
      </x:c>
      <x:c r="R66" s="12" t="str">
        <x:f>IF(AND(L66=O66,M66=P66,N66=Q66),"PASA","NO_PASA")</x:f>
        <x:v>PASA</x:v>
      </x:c>
      <x:c r="S66" s="4" t="str">
        <x:v>Perfil de otro producto no se normaliza por analogía.</x:v>
      </x:c>
      <x:c r="T66" s="12" t="str">
        <x:f>IFERROR(INDEX('55_Codificacion_ensayo'!$B$5:$B$13,MATCH(B66,'55_Codificacion_ensayo'!$A$5:$A$13,0)),"")</x:f>
        <x:v>IDENTIDAD-IMAGEN-CARGADA-0.1</x:v>
      </x:c>
      <x:c r="U66" s="12" t="str">
        <x:f>IFERROR(INDEX('55_Codificacion_ensayo'!$C$5:$C$13,MATCH(B66,'55_Codificacion_ensayo'!$A$5:$A$13,0)),"")</x:f>
        <x:v>IMAGEN_CARGADA</x:v>
      </x:c>
      <x:c r="V66" s="12" t="str">
        <x:f>IFERROR(INDEX('55_Codificacion_ensayo'!$D$5:$D$13,MATCH(B66,'55_Codificacion_ensayo'!$A$5:$A$13,0)),"")</x:f>
        <x:v>METODO_ADMITIDO</x:v>
      </x:c>
      <x:c r="W66" s="12" t="str">
        <x:f>IFERROR(INDEX('55_Codificacion_ensayo'!$E$5:$E$13,MATCH(B66,'55_Codificacion_ensayo'!$A$5:$A$13,0)),"")</x:f>
        <x:v>IMAGEN</x:v>
      </x:c>
      <x:c r="X66" s="12" t="str">
        <x:f>IFERROR(INDEX('55_Codificacion_ensayo'!$F$5:$F$13,MATCH(B66,'55_Codificacion_ensayo'!$A$5:$A$13,0)),"")</x:f>
        <x:v>aaaaaaaaaaaaaaaaaaaaaaaaaaaaaaaaaaaaaaaaaaaaaaaaaaaaaaaaaaaaaaaa</x:v>
      </x:c>
      <x:c r="Y66" s="12" t="str">
        <x:f>IFERROR(INDEX('55_Codificacion_ensayo'!$G$5:$G$13,MATCH(B66,'55_Codificacion_ensayo'!$A$5:$A$13,0)),"")</x:f>
        <x:v>aaaaaaaaaaaaaaaaaaaaaaaaaaaaaaaaaaaaaaaaaaaaaaaaaaaaaaaaaaaaaaaa</x:v>
      </x:c>
      <x:c r="Z66" s="12" t="str">
        <x:f>IFERROR(INDEX('55_Codificacion_ensayo'!$H$5:$H$13,MATCH(B66,'55_Codificacion_ensayo'!$A$5:$A$13,0)),"")</x:f>
        <x:v>bbbbbbbbbbbbbbbbbbbbbbbbbbbbbbbbbbbbbbbbbbbbbbbbbbbbbbbbbbbbbbbb</x:v>
      </x:c>
      <x:c r="AA66" s="12" t="str">
        <x:f>IFERROR(INDEX('55_Codificacion_ensayo'!$I$5:$I$13,MATCH(B66,'55_Codificacion_ensayo'!$A$5:$A$13,0)),"")</x:f>
        <x:v>IMAGEN_OBJETIVO</x:v>
      </x:c>
      <x:c r="AB66" s="12" t="str">
        <x:f>IFERROR(INDEX('55_Codificacion_ensayo'!$J$5:$J$13,MATCH(B66,'55_Codificacion_ensayo'!$A$5:$A$13,0)),"")</x:f>
        <x:v>OTRA_IMAGEN</x:v>
      </x:c>
    </x:row>
    <x:row r="67" ht="47" customHeight="1">
      <x:c r="A67" s="4" t="str">
        <x:v>L10-06-09</x:v>
      </x:c>
      <x:c r="B67" s="4" t="str">
        <x:v>PAR-CYB-IMAGEN-OBJETIVO-ACTIVA-001</x:v>
      </x:c>
      <x:c r="C67" s="4" t="str">
        <x:v>IDENTIDAD-IMAGEN-CARGADA-0.1</x:v>
      </x:c>
      <x:c r="D67" s="4" t="str">
        <x:v>COINCIDE</x:v>
      </x:c>
      <x:c r="E67" s="4" t="str">
        <x:v>LEGIBLE</x:v>
      </x:c>
      <x:c r="F67" s="4" t="str">
        <x:v>IMAGEN_CARGADA</x:v>
      </x:c>
      <x:c r="G67" s="4" t="str">
        <x:v>UNICA</x:v>
      </x:c>
      <x:c r="H67" s="4" t="str">
        <x:v>true false desconocido</x:v>
      </x:c>
      <x:c r="I67" s="4" t="str">
        <x:v>aaaaaaaaaaaaaaaaaaaaaaaaaaaaaaaaaaaaaaaaaaaaaaaaaaaaaaaaaaaaaaaa</x:v>
      </x:c>
      <x:c r="J67" s="4" t="str">
        <x:v>COMPLETA</x:v>
      </x:c>
      <x:c r="K67" s="4" t="str">
        <x:v>METODO_ADMITIDO</x:v>
      </x:c>
      <x:c r="L67" s="4" t="str">
        <x:v>NO_ADMISION</x:v>
      </x:c>
      <x:c r="M67" s="4" t="str"/>
      <x:c r="N67" s="4" t="str">
        <x:v>LEXEMA_O_FORMA</x:v>
      </x:c>
      <x:c r="O67" s="12" t="str">
        <x:f>IF(Q67="SIN_EJECUCION_DOMINIO","FALLO_CAPTURA",IF(OR(Q67="CAPTURA_MAL_FORMADA",Q67="IDENTIDAD",Q67="OBSERVACION_MAL_FORMADA",Q67="LEXEMA_O_FORMA"),"NO_ADMISION",IF(OR(Q67="PERFIL_NO_CONSTITUIDO",Q67="RESULTADO_NO_TERMINAL"),"FUERA_PERFIL",IF(Q67="CONTEXTO_NO_CONSTITUIDO","CONFIGURACION_PENDIENTE","VALIDA"))))</x:f>
        <x:v>NO_ADMISION</x:v>
      </x:c>
      <x:c r="P67" s="12" t="str">
        <x:f>IF(O67&lt;&gt;"VALIDA","",IF(Q67=AA67,"1",IF(Q67=AB67,"0","U")))</x:f>
      </x:c>
      <x:c r="Q67" s="12" t="str">
        <x:f>IF(E67="FALLO","SIN_EJECUCION_DOMINIO",IF(E67&lt;&gt;"LEGIBLE","CAPTURA_MAL_FORMADA",IF(D67&lt;&gt;"COINCIDE","IDENTIDAD",IF(OR(T67="",C67&lt;&gt;T67),"PERFIL_NO_CONSTITUIDO",IF(K67&lt;&gt;V67,IF(V67="ORDEN_ACREDITADO","ORDEN_NO_ACREDITADO","CONTEXTO_NO_CONSTITUIDO"),IF(AND(G67="AUSENTE",H67="",I67=""),"DATO_AUSENTE",IF(AND(G67="CONFLICTO",H67="",I67=""),"CONFLICTO_OBSERVACIONAL",IF(G67&lt;&gt;"UNICA","OBSERVACION_MAL_FORMADA",IF(F67&lt;&gt;U67,"OBSERVACION_INSUFICIENTE",IF(W67="RESULTADO",IF(H67=X67,AA67,IF(OR(H67="orcSucceededWithErrors",H67="orcFailed",H67="orcAborted"),AB67,IF(OR(H67="orcNotStarted",H67="orcInProgress"),"RESULTADO_NO_TERMINAL","LEXEMA_O_FORMA"))),IF(W67="EVENTO_BOOT",IF(H67=X67,AA67,IF(OR(H67="NINGUNO",H67="SOLO_HIBRIDO"),IF(J67="COMPLETA",AB67,"COBERTURA_INSUFICIENTE"),"LEXEMA_O_FORMA")),IF(W67="REQUISITO_SOFT",IF(H67=X67,AA67,IF(H67=Z67,AB67,"LEXEMA_O_FORMA")),IF(W67="EVENTO_PROC",IF(H67=X67,AA67,IF(H67=Z67,IF(J67="COMPLETA",AB67,"COBERTURA_INSUFICIENTE"),"LEXEMA_O_FORMA")),IF(W67="IMAGEN",IF(AND(AND(ISTEXT(H67),LEN(("x"&amp;H67))=65,EXACT(("x"&amp;H67),LOWER(("x"&amp;H67))),ISERROR(SEARCH(" ",("x"&amp;H67))),ISERROR(SEARCH(CHAR(9),("x"&amp;H67))),ISERROR(SEARCH(CHAR(10),("x"&amp;H67))),ISERROR(SEARCH(CHAR(13),("x"&amp;H67))),IFERROR(HEX2DEC(MID(("x"&amp;H67),2,8))&gt;=0,FALSE),IFERROR(HEX2DEC(MID(("x"&amp;H67),10,8))&gt;=0,FALSE),IFERROR(HEX2DEC(MID(("x"&amp;H67),18,8))&gt;=0,FALSE),IFERROR(HEX2DEC(MID(("x"&amp;H67),26,8))&gt;=0,FALSE),IFERROR(HEX2DEC(MID(("x"&amp;H67),34,8))&gt;=0,FALSE),IFERROR(HEX2DEC(MID(("x"&amp;H67),42,8))&gt;=0,FALSE),IFERROR(HEX2DEC(MID(("x"&amp;H67),50,8))&gt;=0,FALSE),IFERROR(HEX2DEC(MID(("x"&amp;H67),58,8))&gt;=0,FALSE)),AND(ISTEXT(I67),LEN(("x"&amp;I67))=65,EXACT(("x"&amp;I67),LOWER(("x"&amp;I67))),ISERROR(SEARCH(" ",("x"&amp;I67))),ISERROR(SEARCH(CHAR(9),("x"&amp;I67))),ISERROR(SEARCH(CHAR(10),("x"&amp;I67))),ISERROR(SEARCH(CHAR(13),("x"&amp;I67))),IFERROR(HEX2DEC(MID(("x"&amp;I67),2,8))&gt;=0,FALSE),IFERROR(HEX2DEC(MID(("x"&amp;I67),10,8))&gt;=0,FALSE),IFERROR(HEX2DEC(MID(("x"&amp;I67),18,8))&gt;=0,FALSE),IFERROR(HEX2DEC(MID(("x"&amp;I67),26,8))&gt;=0,FALSE),IFERROR(HEX2DEC(MID(("x"&amp;I67),34,8))&gt;=0,FALSE),IFERROR(HEX2DEC(MID(("x"&amp;I67),42,8))&gt;=0,FALSE),IFERROR(HEX2DEC(MID(("x"&amp;I67),50,8))&gt;=0,FALSE),IFERROR(HEX2DEC(MID(("x"&amp;I67),58,8))&gt;=0,FALSE))),IF(EXACT("x"&amp;H67,"x"&amp;I67),AA67,AB67),"LEXEMA_O_FORMA"),IF(W67="PRUEBA",IF(H67=X67,AA67,IF(H67=Z67,AB67,"LEXEMA_O_FORMA")),IF(W67="RETIRADA",IF(AND(H67="NINGUNO",I67=""),IF(J67="COMPLETA",AB67,"COBERTURA_INSUFICIENTE"),IF(AND(OR(H67="uoInstallation",H67="uoUninstallation"),OR(I67="orcSucceeded",I67="orcSucceededWithErrors",I67="orcFailed",I67="orcAborted",I67="orcInProgress",I67="orcNotStarted")),IF(AND(H67=X67,I67=Y67),AA67,IF(AND(H67=X67,OR(I67="orcSucceededWithErrors",I67="orcInProgress",I67="orcNotStarted")),"RESULTADO_RETIRADA_INCIERTO",IF(J67="COMPLETA",AB67,"COBERTURA_INSUFICIENTE"))),"LEXEMA_O_FORMA")),IF(W67="CAMBIO",IF(OR(H67="CAMBIO",H67="CAMBIO_Y_RETORNO"),AA67,IF(OR(H67="NINGUNO",H67="SOLO_RENOMBRE"),IF(J67="COMPLETA",AB67,"COBERTURA_INSUFICIENTE"),"LEXEMA_O_FORMA")),IF(W67="RESTAURACION",IF(H67=X67,AA67,IF(OR(H67="NINGUNO",H67="RESTAURACION_POSTERIOR",H67="RESTAURACION_FALLIDA"),IF(J67="COMPLETA",AB67,"COBERTURA_INSUFICIENTE"),"LEXEMA_O_FORMA")),"PERFIL_NO_CONSTITUIDO"))))))))))))))))))</x:f>
        <x:v>LEXEMA_O_FORMA</x:v>
      </x:c>
      <x:c r="R67" s="12" t="str">
        <x:f>IF(AND(L67=O67,M67=P67,N67=Q67),"PASA","NO_PASA")</x:f>
        <x:v>PASA</x:v>
      </x:c>
      <x:c r="S67" s="4" t="str">
        <x:v>La observación usa un lexema ajeno al contrato.</x:v>
      </x:c>
      <x:c r="T67" s="12" t="str">
        <x:f>IFERROR(INDEX('55_Codificacion_ensayo'!$B$5:$B$13,MATCH(B67,'55_Codificacion_ensayo'!$A$5:$A$13,0)),"")</x:f>
        <x:v>IDENTIDAD-IMAGEN-CARGADA-0.1</x:v>
      </x:c>
      <x:c r="U67" s="12" t="str">
        <x:f>IFERROR(INDEX('55_Codificacion_ensayo'!$C$5:$C$13,MATCH(B67,'55_Codificacion_ensayo'!$A$5:$A$13,0)),"")</x:f>
        <x:v>IMAGEN_CARGADA</x:v>
      </x:c>
      <x:c r="V67" s="12" t="str">
        <x:f>IFERROR(INDEX('55_Codificacion_ensayo'!$D$5:$D$13,MATCH(B67,'55_Codificacion_ensayo'!$A$5:$A$13,0)),"")</x:f>
        <x:v>METODO_ADMITIDO</x:v>
      </x:c>
      <x:c r="W67" s="12" t="str">
        <x:f>IFERROR(INDEX('55_Codificacion_ensayo'!$E$5:$E$13,MATCH(B67,'55_Codificacion_ensayo'!$A$5:$A$13,0)),"")</x:f>
        <x:v>IMAGEN</x:v>
      </x:c>
      <x:c r="X67" s="12" t="str">
        <x:f>IFERROR(INDEX('55_Codificacion_ensayo'!$F$5:$F$13,MATCH(B67,'55_Codificacion_ensayo'!$A$5:$A$13,0)),"")</x:f>
        <x:v>aaaaaaaaaaaaaaaaaaaaaaaaaaaaaaaaaaaaaaaaaaaaaaaaaaaaaaaaaaaaaaaa</x:v>
      </x:c>
      <x:c r="Y67" s="12" t="str">
        <x:f>IFERROR(INDEX('55_Codificacion_ensayo'!$G$5:$G$13,MATCH(B67,'55_Codificacion_ensayo'!$A$5:$A$13,0)),"")</x:f>
        <x:v>aaaaaaaaaaaaaaaaaaaaaaaaaaaaaaaaaaaaaaaaaaaaaaaaaaaaaaaaaaaaaaaa</x:v>
      </x:c>
      <x:c r="Z67" s="12" t="str">
        <x:f>IFERROR(INDEX('55_Codificacion_ensayo'!$H$5:$H$13,MATCH(B67,'55_Codificacion_ensayo'!$A$5:$A$13,0)),"")</x:f>
        <x:v>bbbbbbbbbbbbbbbbbbbbbbbbbbbbbbbbbbbbbbbbbbbbbbbbbbbbbbbbbbbbbbbb</x:v>
      </x:c>
      <x:c r="AA67" s="12" t="str">
        <x:f>IFERROR(INDEX('55_Codificacion_ensayo'!$I$5:$I$13,MATCH(B67,'55_Codificacion_ensayo'!$A$5:$A$13,0)),"")</x:f>
        <x:v>IMAGEN_OBJETIVO</x:v>
      </x:c>
      <x:c r="AB67" s="12" t="str">
        <x:f>IFERROR(INDEX('55_Codificacion_ensayo'!$J$5:$J$13,MATCH(B67,'55_Codificacion_ensayo'!$A$5:$A$13,0)),"")</x:f>
        <x:v>OTRA_IMAGEN</x:v>
      </x:c>
    </x:row>
    <x:row r="68" ht="47" customHeight="1">
      <x:c r="A68" s="4" t="str">
        <x:v>L10-06-10</x:v>
      </x:c>
      <x:c r="B68" s="4" t="str">
        <x:v>PAR-CYB-IMAGEN-OBJETIVO-ACTIVA-001</x:v>
      </x:c>
      <x:c r="C68" s="4" t="str">
        <x:v>IDENTIDAD-IMAGEN-CARGADA-0.1</x:v>
      </x:c>
      <x:c r="D68" s="4" t="str">
        <x:v>COINCIDE</x:v>
      </x:c>
      <x:c r="E68" s="4" t="str">
        <x:v>LEGIBLE</x:v>
      </x:c>
      <x:c r="F68" s="4" t="str">
        <x:v>IMAGEN_CARGADA</x:v>
      </x:c>
      <x:c r="G68" s="4" t="str">
        <x:v>UNICA</x:v>
      </x:c>
      <x:c r="H68" s="4" t="str">
        <x:v>aaaaaaaaaaaaaaaaaaaaaaaaaaaaaaaaaaaaaaaaaaaaaaaaaaaaaaaaaaaaaaaa</x:v>
      </x:c>
      <x:c r="I68" s="4" t="str">
        <x:v>aaaaaaaaaaaaaaaaaaaaaaaaaaaaaaaaaaaaaaaaaaaaaaaaaaaaaaaaaaaaaaaa</x:v>
      </x:c>
      <x:c r="J68" s="4" t="str">
        <x:v>COMPLETA</x:v>
      </x:c>
      <x:c r="K68" s="4" t="str">
        <x:v>PENDIENTE</x:v>
      </x:c>
      <x:c r="L68" s="4" t="str">
        <x:v>CONFIGURACION_PENDIENTE</x:v>
      </x:c>
      <x:c r="M68" s="4" t="str"/>
      <x:c r="N68" s="4" t="str">
        <x:v>CONTEXTO_NO_CONSTITUIDO</x:v>
      </x:c>
      <x:c r="O68" s="12" t="str">
        <x:f>IF(Q68="SIN_EJECUCION_DOMINIO","FALLO_CAPTURA",IF(OR(Q68="CAPTURA_MAL_FORMADA",Q68="IDENTIDAD",Q68="OBSERVACION_MAL_FORMADA",Q68="LEXEMA_O_FORMA"),"NO_ADMISION",IF(OR(Q68="PERFIL_NO_CONSTITUIDO",Q68="RESULTADO_NO_TERMINAL"),"FUERA_PERFIL",IF(Q68="CONTEXTO_NO_CONSTITUIDO","CONFIGURACION_PENDIENTE","VALIDA"))))</x:f>
        <x:v>CONFIGURACION_PENDIENTE</x:v>
      </x:c>
      <x:c r="P68" s="12" t="str">
        <x:f>IF(O68&lt;&gt;"VALIDA","",IF(Q68=AA68,"1",IF(Q68=AB68,"0","U")))</x:f>
      </x:c>
      <x:c r="Q68" s="12" t="str">
        <x:f>IF(E68="FALLO","SIN_EJECUCION_DOMINIO",IF(E68&lt;&gt;"LEGIBLE","CAPTURA_MAL_FORMADA",IF(D68&lt;&gt;"COINCIDE","IDENTIDAD",IF(OR(T68="",C68&lt;&gt;T68),"PERFIL_NO_CONSTITUIDO",IF(K68&lt;&gt;V68,IF(V68="ORDEN_ACREDITADO","ORDEN_NO_ACREDITADO","CONTEXTO_NO_CONSTITUIDO"),IF(AND(G68="AUSENTE",H68="",I68=""),"DATO_AUSENTE",IF(AND(G68="CONFLICTO",H68="",I68=""),"CONFLICTO_OBSERVACIONAL",IF(G68&lt;&gt;"UNICA","OBSERVACION_MAL_FORMADA",IF(F68&lt;&gt;U68,"OBSERVACION_INSUFICIENTE",IF(W68="RESULTADO",IF(H68=X68,AA68,IF(OR(H68="orcSucceededWithErrors",H68="orcFailed",H68="orcAborted"),AB68,IF(OR(H68="orcNotStarted",H68="orcInProgress"),"RESULTADO_NO_TERMINAL","LEXEMA_O_FORMA"))),IF(W68="EVENTO_BOOT",IF(H68=X68,AA68,IF(OR(H68="NINGUNO",H68="SOLO_HIBRIDO"),IF(J68="COMPLETA",AB68,"COBERTURA_INSUFICIENTE"),"LEXEMA_O_FORMA")),IF(W68="REQUISITO_SOFT",IF(H68=X68,AA68,IF(H68=Z68,AB68,"LEXEMA_O_FORMA")),IF(W68="EVENTO_PROC",IF(H68=X68,AA68,IF(H68=Z68,IF(J68="COMPLETA",AB68,"COBERTURA_INSUFICIENTE"),"LEXEMA_O_FORMA")),IF(W68="IMAGEN",IF(AND(AND(ISTEXT(H68),LEN(("x"&amp;H68))=65,EXACT(("x"&amp;H68),LOWER(("x"&amp;H68))),ISERROR(SEARCH(" ",("x"&amp;H68))),ISERROR(SEARCH(CHAR(9),("x"&amp;H68))),ISERROR(SEARCH(CHAR(10),("x"&amp;H68))),ISERROR(SEARCH(CHAR(13),("x"&amp;H68))),IFERROR(HEX2DEC(MID(("x"&amp;H68),2,8))&gt;=0,FALSE),IFERROR(HEX2DEC(MID(("x"&amp;H68),10,8))&gt;=0,FALSE),IFERROR(HEX2DEC(MID(("x"&amp;H68),18,8))&gt;=0,FALSE),IFERROR(HEX2DEC(MID(("x"&amp;H68),26,8))&gt;=0,FALSE),IFERROR(HEX2DEC(MID(("x"&amp;H68),34,8))&gt;=0,FALSE),IFERROR(HEX2DEC(MID(("x"&amp;H68),42,8))&gt;=0,FALSE),IFERROR(HEX2DEC(MID(("x"&amp;H68),50,8))&gt;=0,FALSE),IFERROR(HEX2DEC(MID(("x"&amp;H68),58,8))&gt;=0,FALSE)),AND(ISTEXT(I68),LEN(("x"&amp;I68))=65,EXACT(("x"&amp;I68),LOWER(("x"&amp;I68))),ISERROR(SEARCH(" ",("x"&amp;I68))),ISERROR(SEARCH(CHAR(9),("x"&amp;I68))),ISERROR(SEARCH(CHAR(10),("x"&amp;I68))),ISERROR(SEARCH(CHAR(13),("x"&amp;I68))),IFERROR(HEX2DEC(MID(("x"&amp;I68),2,8))&gt;=0,FALSE),IFERROR(HEX2DEC(MID(("x"&amp;I68),10,8))&gt;=0,FALSE),IFERROR(HEX2DEC(MID(("x"&amp;I68),18,8))&gt;=0,FALSE),IFERROR(HEX2DEC(MID(("x"&amp;I68),26,8))&gt;=0,FALSE),IFERROR(HEX2DEC(MID(("x"&amp;I68),34,8))&gt;=0,FALSE),IFERROR(HEX2DEC(MID(("x"&amp;I68),42,8))&gt;=0,FALSE),IFERROR(HEX2DEC(MID(("x"&amp;I68),50,8))&gt;=0,FALSE),IFERROR(HEX2DEC(MID(("x"&amp;I68),58,8))&gt;=0,FALSE))),IF(EXACT("x"&amp;H68,"x"&amp;I68),AA68,AB68),"LEXEMA_O_FORMA"),IF(W68="PRUEBA",IF(H68=X68,AA68,IF(H68=Z68,AB68,"LEXEMA_O_FORMA")),IF(W68="RETIRADA",IF(AND(H68="NINGUNO",I68=""),IF(J68="COMPLETA",AB68,"COBERTURA_INSUFICIENTE"),IF(AND(OR(H68="uoInstallation",H68="uoUninstallation"),OR(I68="orcSucceeded",I68="orcSucceededWithErrors",I68="orcFailed",I68="orcAborted",I68="orcInProgress",I68="orcNotStarted")),IF(AND(H68=X68,I68=Y68),AA68,IF(AND(H68=X68,OR(I68="orcSucceededWithErrors",I68="orcInProgress",I68="orcNotStarted")),"RESULTADO_RETIRADA_INCIERTO",IF(J68="COMPLETA",AB68,"COBERTURA_INSUFICIENTE"))),"LEXEMA_O_FORMA")),IF(W68="CAMBIO",IF(OR(H68="CAMBIO",H68="CAMBIO_Y_RETORNO"),AA68,IF(OR(H68="NINGUNO",H68="SOLO_RENOMBRE"),IF(J68="COMPLETA",AB68,"COBERTURA_INSUFICIENTE"),"LEXEMA_O_FORMA")),IF(W68="RESTAURACION",IF(H68=X68,AA68,IF(OR(H68="NINGUNO",H68="RESTAURACION_POSTERIOR",H68="RESTAURACION_FALLIDA"),IF(J68="COMPLETA",AB68,"COBERTURA_INSUFICIENTE"),"LEXEMA_O_FORMA")),"PERFIL_NO_CONSTITUIDO"))))))))))))))))))</x:f>
        <x:v>CONTEXTO_NO_CONSTITUIDO</x:v>
      </x:c>
      <x:c r="R68" s="12" t="str">
        <x:f>IF(AND(L68=O68,M68=P68,N68=Q68),"PASA","NO_PASA")</x:f>
        <x:v>PASA</x:v>
      </x:c>
      <x:c r="S68" s="4" t="str">
        <x:v>Falta el contexto profesional que fija qué se está evaluando.</x:v>
      </x:c>
      <x:c r="T68" s="12" t="str">
        <x:f>IFERROR(INDEX('55_Codificacion_ensayo'!$B$5:$B$13,MATCH(B68,'55_Codificacion_ensayo'!$A$5:$A$13,0)),"")</x:f>
        <x:v>IDENTIDAD-IMAGEN-CARGADA-0.1</x:v>
      </x:c>
      <x:c r="U68" s="12" t="str">
        <x:f>IFERROR(INDEX('55_Codificacion_ensayo'!$C$5:$C$13,MATCH(B68,'55_Codificacion_ensayo'!$A$5:$A$13,0)),"")</x:f>
        <x:v>IMAGEN_CARGADA</x:v>
      </x:c>
      <x:c r="V68" s="12" t="str">
        <x:f>IFERROR(INDEX('55_Codificacion_ensayo'!$D$5:$D$13,MATCH(B68,'55_Codificacion_ensayo'!$A$5:$A$13,0)),"")</x:f>
        <x:v>METODO_ADMITIDO</x:v>
      </x:c>
      <x:c r="W68" s="12" t="str">
        <x:f>IFERROR(INDEX('55_Codificacion_ensayo'!$E$5:$E$13,MATCH(B68,'55_Codificacion_ensayo'!$A$5:$A$13,0)),"")</x:f>
        <x:v>IMAGEN</x:v>
      </x:c>
      <x:c r="X68" s="12" t="str">
        <x:f>IFERROR(INDEX('55_Codificacion_ensayo'!$F$5:$F$13,MATCH(B68,'55_Codificacion_ensayo'!$A$5:$A$13,0)),"")</x:f>
        <x:v>aaaaaaaaaaaaaaaaaaaaaaaaaaaaaaaaaaaaaaaaaaaaaaaaaaaaaaaaaaaaaaaa</x:v>
      </x:c>
      <x:c r="Y68" s="12" t="str">
        <x:f>IFERROR(INDEX('55_Codificacion_ensayo'!$G$5:$G$13,MATCH(B68,'55_Codificacion_ensayo'!$A$5:$A$13,0)),"")</x:f>
        <x:v>aaaaaaaaaaaaaaaaaaaaaaaaaaaaaaaaaaaaaaaaaaaaaaaaaaaaaaaaaaaaaaaa</x:v>
      </x:c>
      <x:c r="Z68" s="12" t="str">
        <x:f>IFERROR(INDEX('55_Codificacion_ensayo'!$H$5:$H$13,MATCH(B68,'55_Codificacion_ensayo'!$A$5:$A$13,0)),"")</x:f>
        <x:v>bbbbbbbbbbbbbbbbbbbbbbbbbbbbbbbbbbbbbbbbbbbbbbbbbbbbbbbbbbbbbbbb</x:v>
      </x:c>
      <x:c r="AA68" s="12" t="str">
        <x:f>IFERROR(INDEX('55_Codificacion_ensayo'!$I$5:$I$13,MATCH(B68,'55_Codificacion_ensayo'!$A$5:$A$13,0)),"")</x:f>
        <x:v>IMAGEN_OBJETIVO</x:v>
      </x:c>
      <x:c r="AB68" s="12" t="str">
        <x:f>IFERROR(INDEX('55_Codificacion_ensayo'!$J$5:$J$13,MATCH(B68,'55_Codificacion_ensayo'!$A$5:$A$13,0)),"")</x:f>
        <x:v>OTRA_IMAGEN</x:v>
      </x:c>
    </x:row>
    <x:row r="69" ht="47" customHeight="1">
      <x:c r="A69" s="4" t="str">
        <x:v>L10-06-11</x:v>
      </x:c>
      <x:c r="B69" s="4" t="str">
        <x:v>PAR-CYB-IMAGEN-OBJETIVO-ACTIVA-001</x:v>
      </x:c>
      <x:c r="C69" s="4" t="str">
        <x:v>IDENTIDAD-IMAGEN-CARGADA-0.1</x:v>
      </x:c>
      <x:c r="D69" s="4" t="str">
        <x:v>COINCIDE</x:v>
      </x:c>
      <x:c r="E69" s="4" t="str">
        <x:v>LEGIBLE</x:v>
      </x:c>
      <x:c r="F69" s="4" t="str">
        <x:v>FICHERO_DISCO</x:v>
      </x:c>
      <x:c r="G69" s="4" t="str">
        <x:v>UNICA</x:v>
      </x:c>
      <x:c r="H69" s="4" t="str">
        <x:v>aaaaaaaaaaaaaaaaaaaaaaaaaaaaaaaaaaaaaaaaaaaaaaaaaaaaaaaaaaaaaaaa</x:v>
      </x:c>
      <x:c r="I69" s="4" t="str">
        <x:v>aaaaaaaaaaaaaaaaaaaaaaaaaaaaaaaaaaaaaaaaaaaaaaaaaaaaaaaaaaaaaaaa</x:v>
      </x:c>
      <x:c r="J69" s="4" t="str">
        <x:v>COMPLETA</x:v>
      </x:c>
      <x:c r="K69" s="4" t="str">
        <x:v>METODO_ADMITIDO</x:v>
      </x:c>
      <x:c r="L69" s="4" t="str">
        <x:v>VALIDA</x:v>
      </x:c>
      <x:c r="M69" s="4" t="str">
        <x:v>U</x:v>
      </x:c>
      <x:c r="N69" s="4" t="str">
        <x:v>OBSERVACION_INSUFICIENTE</x:v>
      </x:c>
      <x:c r="O69" s="12" t="str">
        <x:f>IF(Q69="SIN_EJECUCION_DOMINIO","FALLO_CAPTURA",IF(OR(Q69="CAPTURA_MAL_FORMADA",Q69="IDENTIDAD",Q69="OBSERVACION_MAL_FORMADA",Q69="LEXEMA_O_FORMA"),"NO_ADMISION",IF(OR(Q69="PERFIL_NO_CONSTITUIDO",Q69="RESULTADO_NO_TERMINAL"),"FUERA_PERFIL",IF(Q69="CONTEXTO_NO_CONSTITUIDO","CONFIGURACION_PENDIENTE","VALIDA"))))</x:f>
        <x:v>VALIDA</x:v>
      </x:c>
      <x:c r="P69" s="12" t="str">
        <x:f>IF(O69&lt;&gt;"VALIDA","",IF(Q69=AA69,"1",IF(Q69=AB69,"0","U")))</x:f>
        <x:v>U</x:v>
      </x:c>
      <x:c r="Q69" s="12" t="str">
        <x:f>IF(E69="FALLO","SIN_EJECUCION_DOMINIO",IF(E69&lt;&gt;"LEGIBLE","CAPTURA_MAL_FORMADA",IF(D69&lt;&gt;"COINCIDE","IDENTIDAD",IF(OR(T69="",C69&lt;&gt;T69),"PERFIL_NO_CONSTITUIDO",IF(K69&lt;&gt;V69,IF(V69="ORDEN_ACREDITADO","ORDEN_NO_ACREDITADO","CONTEXTO_NO_CONSTITUIDO"),IF(AND(G69="AUSENTE",H69="",I69=""),"DATO_AUSENTE",IF(AND(G69="CONFLICTO",H69="",I69=""),"CONFLICTO_OBSERVACIONAL",IF(G69&lt;&gt;"UNICA","OBSERVACION_MAL_FORMADA",IF(F69&lt;&gt;U69,"OBSERVACION_INSUFICIENTE",IF(W69="RESULTADO",IF(H69=X69,AA69,IF(OR(H69="orcSucceededWithErrors",H69="orcFailed",H69="orcAborted"),AB69,IF(OR(H69="orcNotStarted",H69="orcInProgress"),"RESULTADO_NO_TERMINAL","LEXEMA_O_FORMA"))),IF(W69="EVENTO_BOOT",IF(H69=X69,AA69,IF(OR(H69="NINGUNO",H69="SOLO_HIBRIDO"),IF(J69="COMPLETA",AB69,"COBERTURA_INSUFICIENTE"),"LEXEMA_O_FORMA")),IF(W69="REQUISITO_SOFT",IF(H69=X69,AA69,IF(H69=Z69,AB69,"LEXEMA_O_FORMA")),IF(W69="EVENTO_PROC",IF(H69=X69,AA69,IF(H69=Z69,IF(J69="COMPLETA",AB69,"COBERTURA_INSUFICIENTE"),"LEXEMA_O_FORMA")),IF(W69="IMAGEN",IF(AND(AND(ISTEXT(H69),LEN(("x"&amp;H69))=65,EXACT(("x"&amp;H69),LOWER(("x"&amp;H69))),ISERROR(SEARCH(" ",("x"&amp;H69))),ISERROR(SEARCH(CHAR(9),("x"&amp;H69))),ISERROR(SEARCH(CHAR(10),("x"&amp;H69))),ISERROR(SEARCH(CHAR(13),("x"&amp;H69))),IFERROR(HEX2DEC(MID(("x"&amp;H69),2,8))&gt;=0,FALSE),IFERROR(HEX2DEC(MID(("x"&amp;H69),10,8))&gt;=0,FALSE),IFERROR(HEX2DEC(MID(("x"&amp;H69),18,8))&gt;=0,FALSE),IFERROR(HEX2DEC(MID(("x"&amp;H69),26,8))&gt;=0,FALSE),IFERROR(HEX2DEC(MID(("x"&amp;H69),34,8))&gt;=0,FALSE),IFERROR(HEX2DEC(MID(("x"&amp;H69),42,8))&gt;=0,FALSE),IFERROR(HEX2DEC(MID(("x"&amp;H69),50,8))&gt;=0,FALSE),IFERROR(HEX2DEC(MID(("x"&amp;H69),58,8))&gt;=0,FALSE)),AND(ISTEXT(I69),LEN(("x"&amp;I69))=65,EXACT(("x"&amp;I69),LOWER(("x"&amp;I69))),ISERROR(SEARCH(" ",("x"&amp;I69))),ISERROR(SEARCH(CHAR(9),("x"&amp;I69))),ISERROR(SEARCH(CHAR(10),("x"&amp;I69))),ISERROR(SEARCH(CHAR(13),("x"&amp;I69))),IFERROR(HEX2DEC(MID(("x"&amp;I69),2,8))&gt;=0,FALSE),IFERROR(HEX2DEC(MID(("x"&amp;I69),10,8))&gt;=0,FALSE),IFERROR(HEX2DEC(MID(("x"&amp;I69),18,8))&gt;=0,FALSE),IFERROR(HEX2DEC(MID(("x"&amp;I69),26,8))&gt;=0,FALSE),IFERROR(HEX2DEC(MID(("x"&amp;I69),34,8))&gt;=0,FALSE),IFERROR(HEX2DEC(MID(("x"&amp;I69),42,8))&gt;=0,FALSE),IFERROR(HEX2DEC(MID(("x"&amp;I69),50,8))&gt;=0,FALSE),IFERROR(HEX2DEC(MID(("x"&amp;I69),58,8))&gt;=0,FALSE))),IF(EXACT("x"&amp;H69,"x"&amp;I69),AA69,AB69),"LEXEMA_O_FORMA"),IF(W69="PRUEBA",IF(H69=X69,AA69,IF(H69=Z69,AB69,"LEXEMA_O_FORMA")),IF(W69="RETIRADA",IF(AND(H69="NINGUNO",I69=""),IF(J69="COMPLETA",AB69,"COBERTURA_INSUFICIENTE"),IF(AND(OR(H69="uoInstallation",H69="uoUninstallation"),OR(I69="orcSucceeded",I69="orcSucceededWithErrors",I69="orcFailed",I69="orcAborted",I69="orcInProgress",I69="orcNotStarted")),IF(AND(H69=X69,I69=Y69),AA69,IF(AND(H69=X69,OR(I69="orcSucceededWithErrors",I69="orcInProgress",I69="orcNotStarted")),"RESULTADO_RETIRADA_INCIERTO",IF(J69="COMPLETA",AB69,"COBERTURA_INSUFICIENTE"))),"LEXEMA_O_FORMA")),IF(W69="CAMBIO",IF(OR(H69="CAMBIO",H69="CAMBIO_Y_RETORNO"),AA69,IF(OR(H69="NINGUNO",H69="SOLO_RENOMBRE"),IF(J69="COMPLETA",AB69,"COBERTURA_INSUFICIENTE"),"LEXEMA_O_FORMA")),IF(W69="RESTAURACION",IF(H69=X69,AA69,IF(OR(H69="NINGUNO",H69="RESTAURACION_POSTERIOR",H69="RESTAURACION_FALLIDA"),IF(J69="COMPLETA",AB69,"COBERTURA_INSUFICIENTE"),"LEXEMA_O_FORMA")),"PERFIL_NO_CONSTITUIDO"))))))))))))))))))</x:f>
        <x:v>OBSERVACION_INSUFICIENTE</x:v>
      </x:c>
      <x:c r="R69" s="12" t="str">
        <x:f>IF(AND(L69=O69,M69=P69,N69=Q69),"PASA","NO_PASA")</x:f>
        <x:v>PASA</x:v>
      </x:c>
      <x:c r="S69" s="4" t="str">
        <x:v>Ruta, fichero o MODULEINFO no identifican inequívocamente la imagen cargada.</x:v>
      </x:c>
      <x:c r="T69" s="12" t="str">
        <x:f>IFERROR(INDEX('55_Codificacion_ensayo'!$B$5:$B$13,MATCH(B69,'55_Codificacion_ensayo'!$A$5:$A$13,0)),"")</x:f>
        <x:v>IDENTIDAD-IMAGEN-CARGADA-0.1</x:v>
      </x:c>
      <x:c r="U69" s="12" t="str">
        <x:f>IFERROR(INDEX('55_Codificacion_ensayo'!$C$5:$C$13,MATCH(B69,'55_Codificacion_ensayo'!$A$5:$A$13,0)),"")</x:f>
        <x:v>IMAGEN_CARGADA</x:v>
      </x:c>
      <x:c r="V69" s="12" t="str">
        <x:f>IFERROR(INDEX('55_Codificacion_ensayo'!$D$5:$D$13,MATCH(B69,'55_Codificacion_ensayo'!$A$5:$A$13,0)),"")</x:f>
        <x:v>METODO_ADMITIDO</x:v>
      </x:c>
      <x:c r="W69" s="12" t="str">
        <x:f>IFERROR(INDEX('55_Codificacion_ensayo'!$E$5:$E$13,MATCH(B69,'55_Codificacion_ensayo'!$A$5:$A$13,0)),"")</x:f>
        <x:v>IMAGEN</x:v>
      </x:c>
      <x:c r="X69" s="12" t="str">
        <x:f>IFERROR(INDEX('55_Codificacion_ensayo'!$F$5:$F$13,MATCH(B69,'55_Codificacion_ensayo'!$A$5:$A$13,0)),"")</x:f>
        <x:v>aaaaaaaaaaaaaaaaaaaaaaaaaaaaaaaaaaaaaaaaaaaaaaaaaaaaaaaaaaaaaaaa</x:v>
      </x:c>
      <x:c r="Y69" s="12" t="str">
        <x:f>IFERROR(INDEX('55_Codificacion_ensayo'!$G$5:$G$13,MATCH(B69,'55_Codificacion_ensayo'!$A$5:$A$13,0)),"")</x:f>
        <x:v>aaaaaaaaaaaaaaaaaaaaaaaaaaaaaaaaaaaaaaaaaaaaaaaaaaaaaaaaaaaaaaaa</x:v>
      </x:c>
      <x:c r="Z69" s="12" t="str">
        <x:f>IFERROR(INDEX('55_Codificacion_ensayo'!$H$5:$H$13,MATCH(B69,'55_Codificacion_ensayo'!$A$5:$A$13,0)),"")</x:f>
        <x:v>bbbbbbbbbbbbbbbbbbbbbbbbbbbbbbbbbbbbbbbbbbbbbbbbbbbbbbbbbbbbbbbb</x:v>
      </x:c>
      <x:c r="AA69" s="12" t="str">
        <x:f>IFERROR(INDEX('55_Codificacion_ensayo'!$I$5:$I$13,MATCH(B69,'55_Codificacion_ensayo'!$A$5:$A$13,0)),"")</x:f>
        <x:v>IMAGEN_OBJETIVO</x:v>
      </x:c>
      <x:c r="AB69" s="12" t="str">
        <x:f>IFERROR(INDEX('55_Codificacion_ensayo'!$J$5:$J$13,MATCH(B69,'55_Codificacion_ensayo'!$A$5:$A$13,0)),"")</x:f>
        <x:v>OTRA_IMAGEN</x:v>
      </x:c>
    </x:row>
    <x:row r="70" ht="47" customHeight="1">
      <x:c r="A70" s="4" t="str">
        <x:v>L10-06-12</x:v>
      </x:c>
      <x:c r="B70" s="4" t="str">
        <x:v>PAR-CYB-IMAGEN-OBJETIVO-ACTIVA-001</x:v>
      </x:c>
      <x:c r="C70" s="4" t="str">
        <x:v>IDENTIDAD-IMAGEN-CARGADA-0.1</x:v>
      </x:c>
      <x:c r="D70" s="4" t="str">
        <x:v>COINCIDE</x:v>
      </x:c>
      <x:c r="E70" s="4" t="str">
        <x:v>LEGIBLE</x:v>
      </x:c>
      <x:c r="F70" s="4" t="str">
        <x:v>NOMBRE_DLL</x:v>
      </x:c>
      <x:c r="G70" s="4" t="str">
        <x:v>UNICA</x:v>
      </x:c>
      <x:c r="H70" s="4" t="str">
        <x:v>aaaaaaaaaaaaaaaaaaaaaaaaaaaaaaaaaaaaaaaaaaaaaaaaaaaaaaaaaaaaaaaa</x:v>
      </x:c>
      <x:c r="I70" s="4" t="str">
        <x:v>aaaaaaaaaaaaaaaaaaaaaaaaaaaaaaaaaaaaaaaaaaaaaaaaaaaaaaaaaaaaaaaa</x:v>
      </x:c>
      <x:c r="J70" s="4" t="str">
        <x:v>COMPLETA</x:v>
      </x:c>
      <x:c r="K70" s="4" t="str">
        <x:v>METODO_ADMITIDO</x:v>
      </x:c>
      <x:c r="L70" s="4" t="str">
        <x:v>VALIDA</x:v>
      </x:c>
      <x:c r="M70" s="4" t="str">
        <x:v>U</x:v>
      </x:c>
      <x:c r="N70" s="4" t="str">
        <x:v>OBSERVACION_INSUFICIENTE</x:v>
      </x:c>
      <x:c r="O70" s="12" t="str">
        <x:f>IF(Q70="SIN_EJECUCION_DOMINIO","FALLO_CAPTURA",IF(OR(Q70="CAPTURA_MAL_FORMADA",Q70="IDENTIDAD",Q70="OBSERVACION_MAL_FORMADA",Q70="LEXEMA_O_FORMA"),"NO_ADMISION",IF(OR(Q70="PERFIL_NO_CONSTITUIDO",Q70="RESULTADO_NO_TERMINAL"),"FUERA_PERFIL",IF(Q70="CONTEXTO_NO_CONSTITUIDO","CONFIGURACION_PENDIENTE","VALIDA"))))</x:f>
        <x:v>VALIDA</x:v>
      </x:c>
      <x:c r="P70" s="12" t="str">
        <x:f>IF(O70&lt;&gt;"VALIDA","",IF(Q70=AA70,"1",IF(Q70=AB70,"0","U")))</x:f>
        <x:v>U</x:v>
      </x:c>
      <x:c r="Q70" s="12" t="str">
        <x:f>IF(E70="FALLO","SIN_EJECUCION_DOMINIO",IF(E70&lt;&gt;"LEGIBLE","CAPTURA_MAL_FORMADA",IF(D70&lt;&gt;"COINCIDE","IDENTIDAD",IF(OR(T70="",C70&lt;&gt;T70),"PERFIL_NO_CONSTITUIDO",IF(K70&lt;&gt;V70,IF(V70="ORDEN_ACREDITADO","ORDEN_NO_ACREDITADO","CONTEXTO_NO_CONSTITUIDO"),IF(AND(G70="AUSENTE",H70="",I70=""),"DATO_AUSENTE",IF(AND(G70="CONFLICTO",H70="",I70=""),"CONFLICTO_OBSERVACIONAL",IF(G70&lt;&gt;"UNICA","OBSERVACION_MAL_FORMADA",IF(F70&lt;&gt;U70,"OBSERVACION_INSUFICIENTE",IF(W70="RESULTADO",IF(H70=X70,AA70,IF(OR(H70="orcSucceededWithErrors",H70="orcFailed",H70="orcAborted"),AB70,IF(OR(H70="orcNotStarted",H70="orcInProgress"),"RESULTADO_NO_TERMINAL","LEXEMA_O_FORMA"))),IF(W70="EVENTO_BOOT",IF(H70=X70,AA70,IF(OR(H70="NINGUNO",H70="SOLO_HIBRIDO"),IF(J70="COMPLETA",AB70,"COBERTURA_INSUFICIENTE"),"LEXEMA_O_FORMA")),IF(W70="REQUISITO_SOFT",IF(H70=X70,AA70,IF(H70=Z70,AB70,"LEXEMA_O_FORMA")),IF(W70="EVENTO_PROC",IF(H70=X70,AA70,IF(H70=Z70,IF(J70="COMPLETA",AB70,"COBERTURA_INSUFICIENTE"),"LEXEMA_O_FORMA")),IF(W70="IMAGEN",IF(AND(AND(ISTEXT(H70),LEN(("x"&amp;H70))=65,EXACT(("x"&amp;H70),LOWER(("x"&amp;H70))),ISERROR(SEARCH(" ",("x"&amp;H70))),ISERROR(SEARCH(CHAR(9),("x"&amp;H70))),ISERROR(SEARCH(CHAR(10),("x"&amp;H70))),ISERROR(SEARCH(CHAR(13),("x"&amp;H70))),IFERROR(HEX2DEC(MID(("x"&amp;H70),2,8))&gt;=0,FALSE),IFERROR(HEX2DEC(MID(("x"&amp;H70),10,8))&gt;=0,FALSE),IFERROR(HEX2DEC(MID(("x"&amp;H70),18,8))&gt;=0,FALSE),IFERROR(HEX2DEC(MID(("x"&amp;H70),26,8))&gt;=0,FALSE),IFERROR(HEX2DEC(MID(("x"&amp;H70),34,8))&gt;=0,FALSE),IFERROR(HEX2DEC(MID(("x"&amp;H70),42,8))&gt;=0,FALSE),IFERROR(HEX2DEC(MID(("x"&amp;H70),50,8))&gt;=0,FALSE),IFERROR(HEX2DEC(MID(("x"&amp;H70),58,8))&gt;=0,FALSE)),AND(ISTEXT(I70),LEN(("x"&amp;I70))=65,EXACT(("x"&amp;I70),LOWER(("x"&amp;I70))),ISERROR(SEARCH(" ",("x"&amp;I70))),ISERROR(SEARCH(CHAR(9),("x"&amp;I70))),ISERROR(SEARCH(CHAR(10),("x"&amp;I70))),ISERROR(SEARCH(CHAR(13),("x"&amp;I70))),IFERROR(HEX2DEC(MID(("x"&amp;I70),2,8))&gt;=0,FALSE),IFERROR(HEX2DEC(MID(("x"&amp;I70),10,8))&gt;=0,FALSE),IFERROR(HEX2DEC(MID(("x"&amp;I70),18,8))&gt;=0,FALSE),IFERROR(HEX2DEC(MID(("x"&amp;I70),26,8))&gt;=0,FALSE),IFERROR(HEX2DEC(MID(("x"&amp;I70),34,8))&gt;=0,FALSE),IFERROR(HEX2DEC(MID(("x"&amp;I70),42,8))&gt;=0,FALSE),IFERROR(HEX2DEC(MID(("x"&amp;I70),50,8))&gt;=0,FALSE),IFERROR(HEX2DEC(MID(("x"&amp;I70),58,8))&gt;=0,FALSE))),IF(EXACT("x"&amp;H70,"x"&amp;I70),AA70,AB70),"LEXEMA_O_FORMA"),IF(W70="PRUEBA",IF(H70=X70,AA70,IF(H70=Z70,AB70,"LEXEMA_O_FORMA")),IF(W70="RETIRADA",IF(AND(H70="NINGUNO",I70=""),IF(J70="COMPLETA",AB70,"COBERTURA_INSUFICIENTE"),IF(AND(OR(H70="uoInstallation",H70="uoUninstallation"),OR(I70="orcSucceeded",I70="orcSucceededWithErrors",I70="orcFailed",I70="orcAborted",I70="orcInProgress",I70="orcNotStarted")),IF(AND(H70=X70,I70=Y70),AA70,IF(AND(H70=X70,OR(I70="orcSucceededWithErrors",I70="orcInProgress",I70="orcNotStarted")),"RESULTADO_RETIRADA_INCIERTO",IF(J70="COMPLETA",AB70,"COBERTURA_INSUFICIENTE"))),"LEXEMA_O_FORMA")),IF(W70="CAMBIO",IF(OR(H70="CAMBIO",H70="CAMBIO_Y_RETORNO"),AA70,IF(OR(H70="NINGUNO",H70="SOLO_RENOMBRE"),IF(J70="COMPLETA",AB70,"COBERTURA_INSUFICIENTE"),"LEXEMA_O_FORMA")),IF(W70="RESTAURACION",IF(H70=X70,AA70,IF(OR(H70="NINGUNO",H70="RESTAURACION_POSTERIOR",H70="RESTAURACION_FALLIDA"),IF(J70="COMPLETA",AB70,"COBERTURA_INSUFICIENTE"),"LEXEMA_O_FORMA")),"PERFIL_NO_CONSTITUIDO"))))))))))))))))))</x:f>
        <x:v>OBSERVACION_INSUFICIENTE</x:v>
      </x:c>
      <x:c r="R70" s="12" t="str">
        <x:f>IF(AND(L70=O70,M70=P70,N70=Q70),"PASA","NO_PASA")</x:f>
        <x:v>PASA</x:v>
      </x:c>
      <x:c r="S70" s="4" t="str">
        <x:v>Ruta, fichero o MODULEINFO no identifican inequívocamente la imagen cargada.</x:v>
      </x:c>
      <x:c r="T70" s="12" t="str">
        <x:f>IFERROR(INDEX('55_Codificacion_ensayo'!$B$5:$B$13,MATCH(B70,'55_Codificacion_ensayo'!$A$5:$A$13,0)),"")</x:f>
        <x:v>IDENTIDAD-IMAGEN-CARGADA-0.1</x:v>
      </x:c>
      <x:c r="U70" s="12" t="str">
        <x:f>IFERROR(INDEX('55_Codificacion_ensayo'!$C$5:$C$13,MATCH(B70,'55_Codificacion_ensayo'!$A$5:$A$13,0)),"")</x:f>
        <x:v>IMAGEN_CARGADA</x:v>
      </x:c>
      <x:c r="V70" s="12" t="str">
        <x:f>IFERROR(INDEX('55_Codificacion_ensayo'!$D$5:$D$13,MATCH(B70,'55_Codificacion_ensayo'!$A$5:$A$13,0)),"")</x:f>
        <x:v>METODO_ADMITIDO</x:v>
      </x:c>
      <x:c r="W70" s="12" t="str">
        <x:f>IFERROR(INDEX('55_Codificacion_ensayo'!$E$5:$E$13,MATCH(B70,'55_Codificacion_ensayo'!$A$5:$A$13,0)),"")</x:f>
        <x:v>IMAGEN</x:v>
      </x:c>
      <x:c r="X70" s="12" t="str">
        <x:f>IFERROR(INDEX('55_Codificacion_ensayo'!$F$5:$F$13,MATCH(B70,'55_Codificacion_ensayo'!$A$5:$A$13,0)),"")</x:f>
        <x:v>aaaaaaaaaaaaaaaaaaaaaaaaaaaaaaaaaaaaaaaaaaaaaaaaaaaaaaaaaaaaaaaa</x:v>
      </x:c>
      <x:c r="Y70" s="12" t="str">
        <x:f>IFERROR(INDEX('55_Codificacion_ensayo'!$G$5:$G$13,MATCH(B70,'55_Codificacion_ensayo'!$A$5:$A$13,0)),"")</x:f>
        <x:v>aaaaaaaaaaaaaaaaaaaaaaaaaaaaaaaaaaaaaaaaaaaaaaaaaaaaaaaaaaaaaaaa</x:v>
      </x:c>
      <x:c r="Z70" s="12" t="str">
        <x:f>IFERROR(INDEX('55_Codificacion_ensayo'!$H$5:$H$13,MATCH(B70,'55_Codificacion_ensayo'!$A$5:$A$13,0)),"")</x:f>
        <x:v>bbbbbbbbbbbbbbbbbbbbbbbbbbbbbbbbbbbbbbbbbbbbbbbbbbbbbbbbbbbbbbbb</x:v>
      </x:c>
      <x:c r="AA70" s="12" t="str">
        <x:f>IFERROR(INDEX('55_Codificacion_ensayo'!$I$5:$I$13,MATCH(B70,'55_Codificacion_ensayo'!$A$5:$A$13,0)),"")</x:f>
        <x:v>IMAGEN_OBJETIVO</x:v>
      </x:c>
      <x:c r="AB70" s="12" t="str">
        <x:f>IFERROR(INDEX('55_Codificacion_ensayo'!$J$5:$J$13,MATCH(B70,'55_Codificacion_ensayo'!$A$5:$A$13,0)),"")</x:f>
        <x:v>OTRA_IMAGEN</x:v>
      </x:c>
    </x:row>
    <x:row r="71" ht="47" customHeight="1">
      <x:c r="A71" s="4" t="str">
        <x:v>L10-06-13</x:v>
      </x:c>
      <x:c r="B71" s="4" t="str">
        <x:v>PAR-CYB-IMAGEN-OBJETIVO-ACTIVA-001</x:v>
      </x:c>
      <x:c r="C71" s="4" t="str">
        <x:v>IDENTIDAD-IMAGEN-CARGADA-0.1</x:v>
      </x:c>
      <x:c r="D71" s="4" t="str">
        <x:v>COINCIDE</x:v>
      </x:c>
      <x:c r="E71" s="4" t="str">
        <x:v>LEGIBLE</x:v>
      </x:c>
      <x:c r="F71" s="4" t="str">
        <x:v>MODULEINFO</x:v>
      </x:c>
      <x:c r="G71" s="4" t="str">
        <x:v>UNICA</x:v>
      </x:c>
      <x:c r="H71" s="4" t="str">
        <x:v>aaaaaaaaaaaaaaaaaaaaaaaaaaaaaaaaaaaaaaaaaaaaaaaaaaaaaaaaaaaaaaaa</x:v>
      </x:c>
      <x:c r="I71" s="4" t="str">
        <x:v>aaaaaaaaaaaaaaaaaaaaaaaaaaaaaaaaaaaaaaaaaaaaaaaaaaaaaaaaaaaaaaaa</x:v>
      </x:c>
      <x:c r="J71" s="4" t="str">
        <x:v>COMPLETA</x:v>
      </x:c>
      <x:c r="K71" s="4" t="str">
        <x:v>METODO_ADMITIDO</x:v>
      </x:c>
      <x:c r="L71" s="4" t="str">
        <x:v>VALIDA</x:v>
      </x:c>
      <x:c r="M71" s="4" t="str">
        <x:v>U</x:v>
      </x:c>
      <x:c r="N71" s="4" t="str">
        <x:v>OBSERVACION_INSUFICIENTE</x:v>
      </x:c>
      <x:c r="O71" s="12" t="str">
        <x:f>IF(Q71="SIN_EJECUCION_DOMINIO","FALLO_CAPTURA",IF(OR(Q71="CAPTURA_MAL_FORMADA",Q71="IDENTIDAD",Q71="OBSERVACION_MAL_FORMADA",Q71="LEXEMA_O_FORMA"),"NO_ADMISION",IF(OR(Q71="PERFIL_NO_CONSTITUIDO",Q71="RESULTADO_NO_TERMINAL"),"FUERA_PERFIL",IF(Q71="CONTEXTO_NO_CONSTITUIDO","CONFIGURACION_PENDIENTE","VALIDA"))))</x:f>
        <x:v>VALIDA</x:v>
      </x:c>
      <x:c r="P71" s="12" t="str">
        <x:f>IF(O71&lt;&gt;"VALIDA","",IF(Q71=AA71,"1",IF(Q71=AB71,"0","U")))</x:f>
        <x:v>U</x:v>
      </x:c>
      <x:c r="Q71" s="12" t="str">
        <x:f>IF(E71="FALLO","SIN_EJECUCION_DOMINIO",IF(E71&lt;&gt;"LEGIBLE","CAPTURA_MAL_FORMADA",IF(D71&lt;&gt;"COINCIDE","IDENTIDAD",IF(OR(T71="",C71&lt;&gt;T71),"PERFIL_NO_CONSTITUIDO",IF(K71&lt;&gt;V71,IF(V71="ORDEN_ACREDITADO","ORDEN_NO_ACREDITADO","CONTEXTO_NO_CONSTITUIDO"),IF(AND(G71="AUSENTE",H71="",I71=""),"DATO_AUSENTE",IF(AND(G71="CONFLICTO",H71="",I71=""),"CONFLICTO_OBSERVACIONAL",IF(G71&lt;&gt;"UNICA","OBSERVACION_MAL_FORMADA",IF(F71&lt;&gt;U71,"OBSERVACION_INSUFICIENTE",IF(W71="RESULTADO",IF(H71=X71,AA71,IF(OR(H71="orcSucceededWithErrors",H71="orcFailed",H71="orcAborted"),AB71,IF(OR(H71="orcNotStarted",H71="orcInProgress"),"RESULTADO_NO_TERMINAL","LEXEMA_O_FORMA"))),IF(W71="EVENTO_BOOT",IF(H71=X71,AA71,IF(OR(H71="NINGUNO",H71="SOLO_HIBRIDO"),IF(J71="COMPLETA",AB71,"COBERTURA_INSUFICIENTE"),"LEXEMA_O_FORMA")),IF(W71="REQUISITO_SOFT",IF(H71=X71,AA71,IF(H71=Z71,AB71,"LEXEMA_O_FORMA")),IF(W71="EVENTO_PROC",IF(H71=X71,AA71,IF(H71=Z71,IF(J71="COMPLETA",AB71,"COBERTURA_INSUFICIENTE"),"LEXEMA_O_FORMA")),IF(W71="IMAGEN",IF(AND(AND(ISTEXT(H71),LEN(("x"&amp;H71))=65,EXACT(("x"&amp;H71),LOWER(("x"&amp;H71))),ISERROR(SEARCH(" ",("x"&amp;H71))),ISERROR(SEARCH(CHAR(9),("x"&amp;H71))),ISERROR(SEARCH(CHAR(10),("x"&amp;H71))),ISERROR(SEARCH(CHAR(13),("x"&amp;H71))),IFERROR(HEX2DEC(MID(("x"&amp;H71),2,8))&gt;=0,FALSE),IFERROR(HEX2DEC(MID(("x"&amp;H71),10,8))&gt;=0,FALSE),IFERROR(HEX2DEC(MID(("x"&amp;H71),18,8))&gt;=0,FALSE),IFERROR(HEX2DEC(MID(("x"&amp;H71),26,8))&gt;=0,FALSE),IFERROR(HEX2DEC(MID(("x"&amp;H71),34,8))&gt;=0,FALSE),IFERROR(HEX2DEC(MID(("x"&amp;H71),42,8))&gt;=0,FALSE),IFERROR(HEX2DEC(MID(("x"&amp;H71),50,8))&gt;=0,FALSE),IFERROR(HEX2DEC(MID(("x"&amp;H71),58,8))&gt;=0,FALSE)),AND(ISTEXT(I71),LEN(("x"&amp;I71))=65,EXACT(("x"&amp;I71),LOWER(("x"&amp;I71))),ISERROR(SEARCH(" ",("x"&amp;I71))),ISERROR(SEARCH(CHAR(9),("x"&amp;I71))),ISERROR(SEARCH(CHAR(10),("x"&amp;I71))),ISERROR(SEARCH(CHAR(13),("x"&amp;I71))),IFERROR(HEX2DEC(MID(("x"&amp;I71),2,8))&gt;=0,FALSE),IFERROR(HEX2DEC(MID(("x"&amp;I71),10,8))&gt;=0,FALSE),IFERROR(HEX2DEC(MID(("x"&amp;I71),18,8))&gt;=0,FALSE),IFERROR(HEX2DEC(MID(("x"&amp;I71),26,8))&gt;=0,FALSE),IFERROR(HEX2DEC(MID(("x"&amp;I71),34,8))&gt;=0,FALSE),IFERROR(HEX2DEC(MID(("x"&amp;I71),42,8))&gt;=0,FALSE),IFERROR(HEX2DEC(MID(("x"&amp;I71),50,8))&gt;=0,FALSE),IFERROR(HEX2DEC(MID(("x"&amp;I71),58,8))&gt;=0,FALSE))),IF(EXACT("x"&amp;H71,"x"&amp;I71),AA71,AB71),"LEXEMA_O_FORMA"),IF(W71="PRUEBA",IF(H71=X71,AA71,IF(H71=Z71,AB71,"LEXEMA_O_FORMA")),IF(W71="RETIRADA",IF(AND(H71="NINGUNO",I71=""),IF(J71="COMPLETA",AB71,"COBERTURA_INSUFICIENTE"),IF(AND(OR(H71="uoInstallation",H71="uoUninstallation"),OR(I71="orcSucceeded",I71="orcSucceededWithErrors",I71="orcFailed",I71="orcAborted",I71="orcInProgress",I71="orcNotStarted")),IF(AND(H71=X71,I71=Y71),AA71,IF(AND(H71=X71,OR(I71="orcSucceededWithErrors",I71="orcInProgress",I71="orcNotStarted")),"RESULTADO_RETIRADA_INCIERTO",IF(J71="COMPLETA",AB71,"COBERTURA_INSUFICIENTE"))),"LEXEMA_O_FORMA")),IF(W71="CAMBIO",IF(OR(H71="CAMBIO",H71="CAMBIO_Y_RETORNO"),AA71,IF(OR(H71="NINGUNO",H71="SOLO_RENOMBRE"),IF(J71="COMPLETA",AB71,"COBERTURA_INSUFICIENTE"),"LEXEMA_O_FORMA")),IF(W71="RESTAURACION",IF(H71=X71,AA71,IF(OR(H71="NINGUNO",H71="RESTAURACION_POSTERIOR",H71="RESTAURACION_FALLIDA"),IF(J71="COMPLETA",AB71,"COBERTURA_INSUFICIENTE"),"LEXEMA_O_FORMA")),"PERFIL_NO_CONSTITUIDO"))))))))))))))))))</x:f>
        <x:v>OBSERVACION_INSUFICIENTE</x:v>
      </x:c>
      <x:c r="R71" s="12" t="str">
        <x:f>IF(AND(L71=O71,M71=P71,N71=Q71),"PASA","NO_PASA")</x:f>
        <x:v>PASA</x:v>
      </x:c>
      <x:c r="S71" s="4" t="str">
        <x:v>Ruta, fichero o MODULEINFO no identifican inequívocamente la imagen cargada.</x:v>
      </x:c>
      <x:c r="T71" s="12" t="str">
        <x:f>IFERROR(INDEX('55_Codificacion_ensayo'!$B$5:$B$13,MATCH(B71,'55_Codificacion_ensayo'!$A$5:$A$13,0)),"")</x:f>
        <x:v>IDENTIDAD-IMAGEN-CARGADA-0.1</x:v>
      </x:c>
      <x:c r="U71" s="12" t="str">
        <x:f>IFERROR(INDEX('55_Codificacion_ensayo'!$C$5:$C$13,MATCH(B71,'55_Codificacion_ensayo'!$A$5:$A$13,0)),"")</x:f>
        <x:v>IMAGEN_CARGADA</x:v>
      </x:c>
      <x:c r="V71" s="12" t="str">
        <x:f>IFERROR(INDEX('55_Codificacion_ensayo'!$D$5:$D$13,MATCH(B71,'55_Codificacion_ensayo'!$A$5:$A$13,0)),"")</x:f>
        <x:v>METODO_ADMITIDO</x:v>
      </x:c>
      <x:c r="W71" s="12" t="str">
        <x:f>IFERROR(INDEX('55_Codificacion_ensayo'!$E$5:$E$13,MATCH(B71,'55_Codificacion_ensayo'!$A$5:$A$13,0)),"")</x:f>
        <x:v>IMAGEN</x:v>
      </x:c>
      <x:c r="X71" s="12" t="str">
        <x:f>IFERROR(INDEX('55_Codificacion_ensayo'!$F$5:$F$13,MATCH(B71,'55_Codificacion_ensayo'!$A$5:$A$13,0)),"")</x:f>
        <x:v>aaaaaaaaaaaaaaaaaaaaaaaaaaaaaaaaaaaaaaaaaaaaaaaaaaaaaaaaaaaaaaaa</x:v>
      </x:c>
      <x:c r="Y71" s="12" t="str">
        <x:f>IFERROR(INDEX('55_Codificacion_ensayo'!$G$5:$G$13,MATCH(B71,'55_Codificacion_ensayo'!$A$5:$A$13,0)),"")</x:f>
        <x:v>aaaaaaaaaaaaaaaaaaaaaaaaaaaaaaaaaaaaaaaaaaaaaaaaaaaaaaaaaaaaaaaa</x:v>
      </x:c>
      <x:c r="Z71" s="12" t="str">
        <x:f>IFERROR(INDEX('55_Codificacion_ensayo'!$H$5:$H$13,MATCH(B71,'55_Codificacion_ensayo'!$A$5:$A$13,0)),"")</x:f>
        <x:v>bbbbbbbbbbbbbbbbbbbbbbbbbbbbbbbbbbbbbbbbbbbbbbbbbbbbbbbbbbbbbbbb</x:v>
      </x:c>
      <x:c r="AA71" s="12" t="str">
        <x:f>IFERROR(INDEX('55_Codificacion_ensayo'!$I$5:$I$13,MATCH(B71,'55_Codificacion_ensayo'!$A$5:$A$13,0)),"")</x:f>
        <x:v>IMAGEN_OBJETIVO</x:v>
      </x:c>
      <x:c r="AB71" s="12" t="str">
        <x:f>IFERROR(INDEX('55_Codificacion_ensayo'!$J$5:$J$13,MATCH(B71,'55_Codificacion_ensayo'!$A$5:$A$13,0)),"")</x:f>
        <x:v>OTRA_IMAGEN</x:v>
      </x:c>
    </x:row>
    <x:row r="72" ht="47" customHeight="1">
      <x:c r="A72" s="4" t="str">
        <x:v>L10-06-14</x:v>
      </x:c>
      <x:c r="B72" s="4" t="str">
        <x:v>PAR-CYB-IMAGEN-OBJETIVO-ACTIVA-001</x:v>
      </x:c>
      <x:c r="C72" s="4" t="str">
        <x:v>IDENTIDAD-IMAGEN-CARGADA-0.1</x:v>
      </x:c>
      <x:c r="D72" s="4" t="str">
        <x:v>COINCIDE</x:v>
      </x:c>
      <x:c r="E72" s="4" t="str">
        <x:v>LEGIBLE</x:v>
      </x:c>
      <x:c r="F72" s="4" t="str">
        <x:v>IMAGEN_CARGADA</x:v>
      </x:c>
      <x:c r="G72" s="4" t="str">
        <x:v>UNICA</x:v>
      </x:c>
      <x:c r="H72" s="4" t="str">
        <x:v>aaaaaaaaaaaaaaaaaaaaaaaaaaaaaaaaaaaaaaaaaaaaaaaaaaaaaaaaaaaaaaa</x:v>
      </x:c>
      <x:c r="I72" s="4" t="str">
        <x:v>aaaaaaaaaaaaaaaaaaaaaaaaaaaaaaaaaaaaaaaaaaaaaaaaaaaaaaaaaaaaaaaa</x:v>
      </x:c>
      <x:c r="J72" s="4" t="str">
        <x:v>COMPLETA</x:v>
      </x:c>
      <x:c r="K72" s="4" t="str">
        <x:v>METODO_ADMITIDO</x:v>
      </x:c>
      <x:c r="L72" s="4" t="str">
        <x:v>NO_ADMISION</x:v>
      </x:c>
      <x:c r="M72" s="4" t="str"/>
      <x:c r="N72" s="4" t="str">
        <x:v>LEXEMA_O_FORMA</x:v>
      </x:c>
      <x:c r="O72" s="12" t="str">
        <x:f>IF(Q72="SIN_EJECUCION_DOMINIO","FALLO_CAPTURA",IF(OR(Q72="CAPTURA_MAL_FORMADA",Q72="IDENTIDAD",Q72="OBSERVACION_MAL_FORMADA",Q72="LEXEMA_O_FORMA"),"NO_ADMISION",IF(OR(Q72="PERFIL_NO_CONSTITUIDO",Q72="RESULTADO_NO_TERMINAL"),"FUERA_PERFIL",IF(Q72="CONTEXTO_NO_CONSTITUIDO","CONFIGURACION_PENDIENTE","VALIDA"))))</x:f>
        <x:v>NO_ADMISION</x:v>
      </x:c>
      <x:c r="P72" s="12" t="str">
        <x:f>IF(O72&lt;&gt;"VALIDA","",IF(Q72=AA72,"1",IF(Q72=AB72,"0","U")))</x:f>
      </x:c>
      <x:c r="Q72" s="12" t="str">
        <x:f>IF(E72="FALLO","SIN_EJECUCION_DOMINIO",IF(E72&lt;&gt;"LEGIBLE","CAPTURA_MAL_FORMADA",IF(D72&lt;&gt;"COINCIDE","IDENTIDAD",IF(OR(T72="",C72&lt;&gt;T72),"PERFIL_NO_CONSTITUIDO",IF(K72&lt;&gt;V72,IF(V72="ORDEN_ACREDITADO","ORDEN_NO_ACREDITADO","CONTEXTO_NO_CONSTITUIDO"),IF(AND(G72="AUSENTE",H72="",I72=""),"DATO_AUSENTE",IF(AND(G72="CONFLICTO",H72="",I72=""),"CONFLICTO_OBSERVACIONAL",IF(G72&lt;&gt;"UNICA","OBSERVACION_MAL_FORMADA",IF(F72&lt;&gt;U72,"OBSERVACION_INSUFICIENTE",IF(W72="RESULTADO",IF(H72=X72,AA72,IF(OR(H72="orcSucceededWithErrors",H72="orcFailed",H72="orcAborted"),AB72,IF(OR(H72="orcNotStarted",H72="orcInProgress"),"RESULTADO_NO_TERMINAL","LEXEMA_O_FORMA"))),IF(W72="EVENTO_BOOT",IF(H72=X72,AA72,IF(OR(H72="NINGUNO",H72="SOLO_HIBRIDO"),IF(J72="COMPLETA",AB72,"COBERTURA_INSUFICIENTE"),"LEXEMA_O_FORMA")),IF(W72="REQUISITO_SOFT",IF(H72=X72,AA72,IF(H72=Z72,AB72,"LEXEMA_O_FORMA")),IF(W72="EVENTO_PROC",IF(H72=X72,AA72,IF(H72=Z72,IF(J72="COMPLETA",AB72,"COBERTURA_INSUFICIENTE"),"LEXEMA_O_FORMA")),IF(W72="IMAGEN",IF(AND(AND(ISTEXT(H72),LEN(("x"&amp;H72))=65,EXACT(("x"&amp;H72),LOWER(("x"&amp;H72))),ISERROR(SEARCH(" ",("x"&amp;H72))),ISERROR(SEARCH(CHAR(9),("x"&amp;H72))),ISERROR(SEARCH(CHAR(10),("x"&amp;H72))),ISERROR(SEARCH(CHAR(13),("x"&amp;H72))),IFERROR(HEX2DEC(MID(("x"&amp;H72),2,8))&gt;=0,FALSE),IFERROR(HEX2DEC(MID(("x"&amp;H72),10,8))&gt;=0,FALSE),IFERROR(HEX2DEC(MID(("x"&amp;H72),18,8))&gt;=0,FALSE),IFERROR(HEX2DEC(MID(("x"&amp;H72),26,8))&gt;=0,FALSE),IFERROR(HEX2DEC(MID(("x"&amp;H72),34,8))&gt;=0,FALSE),IFERROR(HEX2DEC(MID(("x"&amp;H72),42,8))&gt;=0,FALSE),IFERROR(HEX2DEC(MID(("x"&amp;H72),50,8))&gt;=0,FALSE),IFERROR(HEX2DEC(MID(("x"&amp;H72),58,8))&gt;=0,FALSE)),AND(ISTEXT(I72),LEN(("x"&amp;I72))=65,EXACT(("x"&amp;I72),LOWER(("x"&amp;I72))),ISERROR(SEARCH(" ",("x"&amp;I72))),ISERROR(SEARCH(CHAR(9),("x"&amp;I72))),ISERROR(SEARCH(CHAR(10),("x"&amp;I72))),ISERROR(SEARCH(CHAR(13),("x"&amp;I72))),IFERROR(HEX2DEC(MID(("x"&amp;I72),2,8))&gt;=0,FALSE),IFERROR(HEX2DEC(MID(("x"&amp;I72),10,8))&gt;=0,FALSE),IFERROR(HEX2DEC(MID(("x"&amp;I72),18,8))&gt;=0,FALSE),IFERROR(HEX2DEC(MID(("x"&amp;I72),26,8))&gt;=0,FALSE),IFERROR(HEX2DEC(MID(("x"&amp;I72),34,8))&gt;=0,FALSE),IFERROR(HEX2DEC(MID(("x"&amp;I72),42,8))&gt;=0,FALSE),IFERROR(HEX2DEC(MID(("x"&amp;I72),50,8))&gt;=0,FALSE),IFERROR(HEX2DEC(MID(("x"&amp;I72),58,8))&gt;=0,FALSE))),IF(EXACT("x"&amp;H72,"x"&amp;I72),AA72,AB72),"LEXEMA_O_FORMA"),IF(W72="PRUEBA",IF(H72=X72,AA72,IF(H72=Z72,AB72,"LEXEMA_O_FORMA")),IF(W72="RETIRADA",IF(AND(H72="NINGUNO",I72=""),IF(J72="COMPLETA",AB72,"COBERTURA_INSUFICIENTE"),IF(AND(OR(H72="uoInstallation",H72="uoUninstallation"),OR(I72="orcSucceeded",I72="orcSucceededWithErrors",I72="orcFailed",I72="orcAborted",I72="orcInProgress",I72="orcNotStarted")),IF(AND(H72=X72,I72=Y72),AA72,IF(AND(H72=X72,OR(I72="orcSucceededWithErrors",I72="orcInProgress",I72="orcNotStarted")),"RESULTADO_RETIRADA_INCIERTO",IF(J72="COMPLETA",AB72,"COBERTURA_INSUFICIENTE"))),"LEXEMA_O_FORMA")),IF(W72="CAMBIO",IF(OR(H72="CAMBIO",H72="CAMBIO_Y_RETORNO"),AA72,IF(OR(H72="NINGUNO",H72="SOLO_RENOMBRE"),IF(J72="COMPLETA",AB72,"COBERTURA_INSUFICIENTE"),"LEXEMA_O_FORMA")),IF(W72="RESTAURACION",IF(H72=X72,AA72,IF(OR(H72="NINGUNO",H72="RESTAURACION_POSTERIOR",H72="RESTAURACION_FALLIDA"),IF(J72="COMPLETA",AB72,"COBERTURA_INSUFICIENTE"),"LEXEMA_O_FORMA")),"PERFIL_NO_CONSTITUIDO"))))))))))))))))))</x:f>
        <x:v>LEXEMA_O_FORMA</x:v>
      </x:c>
      <x:c r="R72" s="12" t="str">
        <x:f>IF(AND(L72=O72,M72=P72,N72=Q72),"PASA","NO_PASA")</x:f>
        <x:v>PASA</x:v>
      </x:c>
      <x:c r="S72" s="4" t="str">
        <x:v>Huella con longitud incorrecta no se compara como identidad admitida.</x:v>
      </x:c>
      <x:c r="T72" s="12" t="str">
        <x:f>IFERROR(INDEX('55_Codificacion_ensayo'!$B$5:$B$13,MATCH(B72,'55_Codificacion_ensayo'!$A$5:$A$13,0)),"")</x:f>
        <x:v>IDENTIDAD-IMAGEN-CARGADA-0.1</x:v>
      </x:c>
      <x:c r="U72" s="12" t="str">
        <x:f>IFERROR(INDEX('55_Codificacion_ensayo'!$C$5:$C$13,MATCH(B72,'55_Codificacion_ensayo'!$A$5:$A$13,0)),"")</x:f>
        <x:v>IMAGEN_CARGADA</x:v>
      </x:c>
      <x:c r="V72" s="12" t="str">
        <x:f>IFERROR(INDEX('55_Codificacion_ensayo'!$D$5:$D$13,MATCH(B72,'55_Codificacion_ensayo'!$A$5:$A$13,0)),"")</x:f>
        <x:v>METODO_ADMITIDO</x:v>
      </x:c>
      <x:c r="W72" s="12" t="str">
        <x:f>IFERROR(INDEX('55_Codificacion_ensayo'!$E$5:$E$13,MATCH(B72,'55_Codificacion_ensayo'!$A$5:$A$13,0)),"")</x:f>
        <x:v>IMAGEN</x:v>
      </x:c>
      <x:c r="X72" s="12" t="str">
        <x:f>IFERROR(INDEX('55_Codificacion_ensayo'!$F$5:$F$13,MATCH(B72,'55_Codificacion_ensayo'!$A$5:$A$13,0)),"")</x:f>
        <x:v>aaaaaaaaaaaaaaaaaaaaaaaaaaaaaaaaaaaaaaaaaaaaaaaaaaaaaaaaaaaaaaaa</x:v>
      </x:c>
      <x:c r="Y72" s="12" t="str">
        <x:f>IFERROR(INDEX('55_Codificacion_ensayo'!$G$5:$G$13,MATCH(B72,'55_Codificacion_ensayo'!$A$5:$A$13,0)),"")</x:f>
        <x:v>aaaaaaaaaaaaaaaaaaaaaaaaaaaaaaaaaaaaaaaaaaaaaaaaaaaaaaaaaaaaaaaa</x:v>
      </x:c>
      <x:c r="Z72" s="12" t="str">
        <x:f>IFERROR(INDEX('55_Codificacion_ensayo'!$H$5:$H$13,MATCH(B72,'55_Codificacion_ensayo'!$A$5:$A$13,0)),"")</x:f>
        <x:v>bbbbbbbbbbbbbbbbbbbbbbbbbbbbbbbbbbbbbbbbbbbbbbbbbbbbbbbbbbbbbbbb</x:v>
      </x:c>
      <x:c r="AA72" s="12" t="str">
        <x:f>IFERROR(INDEX('55_Codificacion_ensayo'!$I$5:$I$13,MATCH(B72,'55_Codificacion_ensayo'!$A$5:$A$13,0)),"")</x:f>
        <x:v>IMAGEN_OBJETIVO</x:v>
      </x:c>
      <x:c r="AB72" s="12" t="str">
        <x:f>IFERROR(INDEX('55_Codificacion_ensayo'!$J$5:$J$13,MATCH(B72,'55_Codificacion_ensayo'!$A$5:$A$13,0)),"")</x:f>
        <x:v>OTRA_IMAGEN</x:v>
      </x:c>
    </x:row>
    <x:row r="73" ht="47" customHeight="1">
      <x:c r="A73" s="4" t="str">
        <x:v>L10-06-15</x:v>
      </x:c>
      <x:c r="B73" s="4" t="str">
        <x:v>PAR-CYB-IMAGEN-OBJETIVO-ACTIVA-001</x:v>
      </x:c>
      <x:c r="C73" s="4" t="str">
        <x:v>IDENTIDAD-IMAGEN-CARGADA-0.1</x:v>
      </x:c>
      <x:c r="D73" s="4" t="str">
        <x:v>COINCIDE</x:v>
      </x:c>
      <x:c r="E73" s="4" t="str">
        <x:v>LEGIBLE</x:v>
      </x:c>
      <x:c r="F73" s="4" t="str">
        <x:v>IMAGEN_CARGADA</x:v>
      </x:c>
      <x:c r="G73" s="4" t="str">
        <x:v>UNICA</x:v>
      </x:c>
      <x:c r="H73" s="4" t="str">
        <x:v>AAAAAAAAAAAAAAAAAAAAAAAAAAAAAAAAAAAAAAAAAAAAAAAAAAAAAAAAAAAAAAAA</x:v>
      </x:c>
      <x:c r="I73" s="4" t="str">
        <x:v>aaaaaaaaaaaaaaaaaaaaaaaaaaaaaaaaaaaaaaaaaaaaaaaaaaaaaaaaaaaaaaaa</x:v>
      </x:c>
      <x:c r="J73" s="4" t="str">
        <x:v>COMPLETA</x:v>
      </x:c>
      <x:c r="K73" s="4" t="str">
        <x:v>METODO_ADMITIDO</x:v>
      </x:c>
      <x:c r="L73" s="4" t="str">
        <x:v>NO_ADMISION</x:v>
      </x:c>
      <x:c r="M73" s="4" t="str"/>
      <x:c r="N73" s="4" t="str">
        <x:v>LEXEMA_O_FORMA</x:v>
      </x:c>
      <x:c r="O73" s="12" t="str">
        <x:f>IF(Q73="SIN_EJECUCION_DOMINIO","FALLO_CAPTURA",IF(OR(Q73="CAPTURA_MAL_FORMADA",Q73="IDENTIDAD",Q73="OBSERVACION_MAL_FORMADA",Q73="LEXEMA_O_FORMA"),"NO_ADMISION",IF(OR(Q73="PERFIL_NO_CONSTITUIDO",Q73="RESULTADO_NO_TERMINAL"),"FUERA_PERFIL",IF(Q73="CONTEXTO_NO_CONSTITUIDO","CONFIGURACION_PENDIENTE","VALIDA"))))</x:f>
        <x:v>NO_ADMISION</x:v>
      </x:c>
      <x:c r="P73" s="12" t="str">
        <x:f>IF(O73&lt;&gt;"VALIDA","",IF(Q73=AA73,"1",IF(Q73=AB73,"0","U")))</x:f>
      </x:c>
      <x:c r="Q73" s="12" t="str">
        <x:f>IF(E73="FALLO","SIN_EJECUCION_DOMINIO",IF(E73&lt;&gt;"LEGIBLE","CAPTURA_MAL_FORMADA",IF(D73&lt;&gt;"COINCIDE","IDENTIDAD",IF(OR(T73="",C73&lt;&gt;T73),"PERFIL_NO_CONSTITUIDO",IF(K73&lt;&gt;V73,IF(V73="ORDEN_ACREDITADO","ORDEN_NO_ACREDITADO","CONTEXTO_NO_CONSTITUIDO"),IF(AND(G73="AUSENTE",H73="",I73=""),"DATO_AUSENTE",IF(AND(G73="CONFLICTO",H73="",I73=""),"CONFLICTO_OBSERVACIONAL",IF(G73&lt;&gt;"UNICA","OBSERVACION_MAL_FORMADA",IF(F73&lt;&gt;U73,"OBSERVACION_INSUFICIENTE",IF(W73="RESULTADO",IF(H73=X73,AA73,IF(OR(H73="orcSucceededWithErrors",H73="orcFailed",H73="orcAborted"),AB73,IF(OR(H73="orcNotStarted",H73="orcInProgress"),"RESULTADO_NO_TERMINAL","LEXEMA_O_FORMA"))),IF(W73="EVENTO_BOOT",IF(H73=X73,AA73,IF(OR(H73="NINGUNO",H73="SOLO_HIBRIDO"),IF(J73="COMPLETA",AB73,"COBERTURA_INSUFICIENTE"),"LEXEMA_O_FORMA")),IF(W73="REQUISITO_SOFT",IF(H73=X73,AA73,IF(H73=Z73,AB73,"LEXEMA_O_FORMA")),IF(W73="EVENTO_PROC",IF(H73=X73,AA73,IF(H73=Z73,IF(J73="COMPLETA",AB73,"COBERTURA_INSUFICIENTE"),"LEXEMA_O_FORMA")),IF(W73="IMAGEN",IF(AND(AND(ISTEXT(H73),LEN(("x"&amp;H73))=65,EXACT(("x"&amp;H73),LOWER(("x"&amp;H73))),ISERROR(SEARCH(" ",("x"&amp;H73))),ISERROR(SEARCH(CHAR(9),("x"&amp;H73))),ISERROR(SEARCH(CHAR(10),("x"&amp;H73))),ISERROR(SEARCH(CHAR(13),("x"&amp;H73))),IFERROR(HEX2DEC(MID(("x"&amp;H73),2,8))&gt;=0,FALSE),IFERROR(HEX2DEC(MID(("x"&amp;H73),10,8))&gt;=0,FALSE),IFERROR(HEX2DEC(MID(("x"&amp;H73),18,8))&gt;=0,FALSE),IFERROR(HEX2DEC(MID(("x"&amp;H73),26,8))&gt;=0,FALSE),IFERROR(HEX2DEC(MID(("x"&amp;H73),34,8))&gt;=0,FALSE),IFERROR(HEX2DEC(MID(("x"&amp;H73),42,8))&gt;=0,FALSE),IFERROR(HEX2DEC(MID(("x"&amp;H73),50,8))&gt;=0,FALSE),IFERROR(HEX2DEC(MID(("x"&amp;H73),58,8))&gt;=0,FALSE)),AND(ISTEXT(I73),LEN(("x"&amp;I73))=65,EXACT(("x"&amp;I73),LOWER(("x"&amp;I73))),ISERROR(SEARCH(" ",("x"&amp;I73))),ISERROR(SEARCH(CHAR(9),("x"&amp;I73))),ISERROR(SEARCH(CHAR(10),("x"&amp;I73))),ISERROR(SEARCH(CHAR(13),("x"&amp;I73))),IFERROR(HEX2DEC(MID(("x"&amp;I73),2,8))&gt;=0,FALSE),IFERROR(HEX2DEC(MID(("x"&amp;I73),10,8))&gt;=0,FALSE),IFERROR(HEX2DEC(MID(("x"&amp;I73),18,8))&gt;=0,FALSE),IFERROR(HEX2DEC(MID(("x"&amp;I73),26,8))&gt;=0,FALSE),IFERROR(HEX2DEC(MID(("x"&amp;I73),34,8))&gt;=0,FALSE),IFERROR(HEX2DEC(MID(("x"&amp;I73),42,8))&gt;=0,FALSE),IFERROR(HEX2DEC(MID(("x"&amp;I73),50,8))&gt;=0,FALSE),IFERROR(HEX2DEC(MID(("x"&amp;I73),58,8))&gt;=0,FALSE))),IF(EXACT("x"&amp;H73,"x"&amp;I73),AA73,AB73),"LEXEMA_O_FORMA"),IF(W73="PRUEBA",IF(H73=X73,AA73,IF(H73=Z73,AB73,"LEXEMA_O_FORMA")),IF(W73="RETIRADA",IF(AND(H73="NINGUNO",I73=""),IF(J73="COMPLETA",AB73,"COBERTURA_INSUFICIENTE"),IF(AND(OR(H73="uoInstallation",H73="uoUninstallation"),OR(I73="orcSucceeded",I73="orcSucceededWithErrors",I73="orcFailed",I73="orcAborted",I73="orcInProgress",I73="orcNotStarted")),IF(AND(H73=X73,I73=Y73),AA73,IF(AND(H73=X73,OR(I73="orcSucceededWithErrors",I73="orcInProgress",I73="orcNotStarted")),"RESULTADO_RETIRADA_INCIERTO",IF(J73="COMPLETA",AB73,"COBERTURA_INSUFICIENTE"))),"LEXEMA_O_FORMA")),IF(W73="CAMBIO",IF(OR(H73="CAMBIO",H73="CAMBIO_Y_RETORNO"),AA73,IF(OR(H73="NINGUNO",H73="SOLO_RENOMBRE"),IF(J73="COMPLETA",AB73,"COBERTURA_INSUFICIENTE"),"LEXEMA_O_FORMA")),IF(W73="RESTAURACION",IF(H73=X73,AA73,IF(OR(H73="NINGUNO",H73="RESTAURACION_POSTERIOR",H73="RESTAURACION_FALLIDA"),IF(J73="COMPLETA",AB73,"COBERTURA_INSUFICIENTE"),"LEXEMA_O_FORMA")),"PERFIL_NO_CONSTITUIDO"))))))))))))))))))</x:f>
        <x:v>LEXEMA_O_FORMA</x:v>
      </x:c>
      <x:c r="R73" s="12" t="str">
        <x:f>IF(AND(L73=O73,M73=P73,N73=Q73),"PASA","NO_PASA")</x:f>
        <x:v>PASA</x:v>
      </x:c>
      <x:c r="S73" s="4" t="str">
        <x:v>La codificación exige hexadecimal canónico minúsculo, no conversión implícita.</x:v>
      </x:c>
      <x:c r="T73" s="12" t="str">
        <x:f>IFERROR(INDEX('55_Codificacion_ensayo'!$B$5:$B$13,MATCH(B73,'55_Codificacion_ensayo'!$A$5:$A$13,0)),"")</x:f>
        <x:v>IDENTIDAD-IMAGEN-CARGADA-0.1</x:v>
      </x:c>
      <x:c r="U73" s="12" t="str">
        <x:f>IFERROR(INDEX('55_Codificacion_ensayo'!$C$5:$C$13,MATCH(B73,'55_Codificacion_ensayo'!$A$5:$A$13,0)),"")</x:f>
        <x:v>IMAGEN_CARGADA</x:v>
      </x:c>
      <x:c r="V73" s="12" t="str">
        <x:f>IFERROR(INDEX('55_Codificacion_ensayo'!$D$5:$D$13,MATCH(B73,'55_Codificacion_ensayo'!$A$5:$A$13,0)),"")</x:f>
        <x:v>METODO_ADMITIDO</x:v>
      </x:c>
      <x:c r="W73" s="12" t="str">
        <x:f>IFERROR(INDEX('55_Codificacion_ensayo'!$E$5:$E$13,MATCH(B73,'55_Codificacion_ensayo'!$A$5:$A$13,0)),"")</x:f>
        <x:v>IMAGEN</x:v>
      </x:c>
      <x:c r="X73" s="12" t="str">
        <x:f>IFERROR(INDEX('55_Codificacion_ensayo'!$F$5:$F$13,MATCH(B73,'55_Codificacion_ensayo'!$A$5:$A$13,0)),"")</x:f>
        <x:v>aaaaaaaaaaaaaaaaaaaaaaaaaaaaaaaaaaaaaaaaaaaaaaaaaaaaaaaaaaaaaaaa</x:v>
      </x:c>
      <x:c r="Y73" s="12" t="str">
        <x:f>IFERROR(INDEX('55_Codificacion_ensayo'!$G$5:$G$13,MATCH(B73,'55_Codificacion_ensayo'!$A$5:$A$13,0)),"")</x:f>
        <x:v>aaaaaaaaaaaaaaaaaaaaaaaaaaaaaaaaaaaaaaaaaaaaaaaaaaaaaaaaaaaaaaaa</x:v>
      </x:c>
      <x:c r="Z73" s="12" t="str">
        <x:f>IFERROR(INDEX('55_Codificacion_ensayo'!$H$5:$H$13,MATCH(B73,'55_Codificacion_ensayo'!$A$5:$A$13,0)),"")</x:f>
        <x:v>bbbbbbbbbbbbbbbbbbbbbbbbbbbbbbbbbbbbbbbbbbbbbbbbbbbbbbbbbbbbbbbb</x:v>
      </x:c>
      <x:c r="AA73" s="12" t="str">
        <x:f>IFERROR(INDEX('55_Codificacion_ensayo'!$I$5:$I$13,MATCH(B73,'55_Codificacion_ensayo'!$A$5:$A$13,0)),"")</x:f>
        <x:v>IMAGEN_OBJETIVO</x:v>
      </x:c>
      <x:c r="AB73" s="12" t="str">
        <x:f>IFERROR(INDEX('55_Codificacion_ensayo'!$J$5:$J$13,MATCH(B73,'55_Codificacion_ensayo'!$A$5:$A$13,0)),"")</x:f>
        <x:v>OTRA_IMAGEN</x:v>
      </x:c>
    </x:row>
    <x:row r="74" ht="47" customHeight="1">
      <x:c r="A74" s="4" t="str">
        <x:v>L10-06-16</x:v>
      </x:c>
      <x:c r="B74" s="4" t="str">
        <x:v>PAR-CYB-IMAGEN-OBJETIVO-ACTIVA-001</x:v>
      </x:c>
      <x:c r="C74" s="4" t="str">
        <x:v>IDENTIDAD-IMAGEN-CARGADA-0.1</x:v>
      </x:c>
      <x:c r="D74" s="4" t="str">
        <x:v>COINCIDE</x:v>
      </x:c>
      <x:c r="E74" s="4" t="str">
        <x:v>LEGIBLE</x:v>
      </x:c>
      <x:c r="F74" s="4" t="str">
        <x:v>IMAGEN_CARGADA</x:v>
      </x:c>
      <x:c r="G74" s="4" t="str">
        <x:v>UNICA</x:v>
      </x:c>
      <x:c r="H74" s="4" t="str">
        <x:v>0000000000000000000000000000000000000000000000000000000000000001</x:v>
      </x:c>
      <x:c r="I74" s="4" t="str">
        <x:v>0000000000000000000000000000000000000000000000000000000000000001</x:v>
      </x:c>
      <x:c r="J74" s="4" t="str">
        <x:v>COMPLETA</x:v>
      </x:c>
      <x:c r="K74" s="4" t="str">
        <x:v>METODO_ADMITIDO</x:v>
      </x:c>
      <x:c r="L74" s="4" t="str">
        <x:v>VALIDA</x:v>
      </x:c>
      <x:c r="M74" s="4" t="str">
        <x:v>1</x:v>
      </x:c>
      <x:c r="N74" s="4" t="str">
        <x:v>IMAGEN_OBJETIVO</x:v>
      </x:c>
      <x:c r="O74" s="12" t="str">
        <x:f>IF(Q74="SIN_EJECUCION_DOMINIO","FALLO_CAPTURA",IF(OR(Q74="CAPTURA_MAL_FORMADA",Q74="IDENTIDAD",Q74="OBSERVACION_MAL_FORMADA",Q74="LEXEMA_O_FORMA"),"NO_ADMISION",IF(OR(Q74="PERFIL_NO_CONSTITUIDO",Q74="RESULTADO_NO_TERMINAL"),"FUERA_PERFIL",IF(Q74="CONTEXTO_NO_CONSTITUIDO","CONFIGURACION_PENDIENTE","VALIDA"))))</x:f>
        <x:v>VALIDA</x:v>
      </x:c>
      <x:c r="P74" s="12" t="str">
        <x:f>IF(O74&lt;&gt;"VALIDA","",IF(Q74=AA74,"1",IF(Q74=AB74,"0","U")))</x:f>
        <x:v>1</x:v>
      </x:c>
      <x:c r="Q74" s="12" t="str">
        <x:f>IF(E74="FALLO","SIN_EJECUCION_DOMINIO",IF(E74&lt;&gt;"LEGIBLE","CAPTURA_MAL_FORMADA",IF(D74&lt;&gt;"COINCIDE","IDENTIDAD",IF(OR(T74="",C74&lt;&gt;T74),"PERFIL_NO_CONSTITUIDO",IF(K74&lt;&gt;V74,IF(V74="ORDEN_ACREDITADO","ORDEN_NO_ACREDITADO","CONTEXTO_NO_CONSTITUIDO"),IF(AND(G74="AUSENTE",H74="",I74=""),"DATO_AUSENTE",IF(AND(G74="CONFLICTO",H74="",I74=""),"CONFLICTO_OBSERVACIONAL",IF(G74&lt;&gt;"UNICA","OBSERVACION_MAL_FORMADA",IF(F74&lt;&gt;U74,"OBSERVACION_INSUFICIENTE",IF(W74="RESULTADO",IF(H74=X74,AA74,IF(OR(H74="orcSucceededWithErrors",H74="orcFailed",H74="orcAborted"),AB74,IF(OR(H74="orcNotStarted",H74="orcInProgress"),"RESULTADO_NO_TERMINAL","LEXEMA_O_FORMA"))),IF(W74="EVENTO_BOOT",IF(H74=X74,AA74,IF(OR(H74="NINGUNO",H74="SOLO_HIBRIDO"),IF(J74="COMPLETA",AB74,"COBERTURA_INSUFICIENTE"),"LEXEMA_O_FORMA")),IF(W74="REQUISITO_SOFT",IF(H74=X74,AA74,IF(H74=Z74,AB74,"LEXEMA_O_FORMA")),IF(W74="EVENTO_PROC",IF(H74=X74,AA74,IF(H74=Z74,IF(J74="COMPLETA",AB74,"COBERTURA_INSUFICIENTE"),"LEXEMA_O_FORMA")),IF(W74="IMAGEN",IF(AND(AND(ISTEXT(H74),LEN(("x"&amp;H74))=65,EXACT(("x"&amp;H74),LOWER(("x"&amp;H74))),ISERROR(SEARCH(" ",("x"&amp;H74))),ISERROR(SEARCH(CHAR(9),("x"&amp;H74))),ISERROR(SEARCH(CHAR(10),("x"&amp;H74))),ISERROR(SEARCH(CHAR(13),("x"&amp;H74))),IFERROR(HEX2DEC(MID(("x"&amp;H74),2,8))&gt;=0,FALSE),IFERROR(HEX2DEC(MID(("x"&amp;H74),10,8))&gt;=0,FALSE),IFERROR(HEX2DEC(MID(("x"&amp;H74),18,8))&gt;=0,FALSE),IFERROR(HEX2DEC(MID(("x"&amp;H74),26,8))&gt;=0,FALSE),IFERROR(HEX2DEC(MID(("x"&amp;H74),34,8))&gt;=0,FALSE),IFERROR(HEX2DEC(MID(("x"&amp;H74),42,8))&gt;=0,FALSE),IFERROR(HEX2DEC(MID(("x"&amp;H74),50,8))&gt;=0,FALSE),IFERROR(HEX2DEC(MID(("x"&amp;H74),58,8))&gt;=0,FALSE)),AND(ISTEXT(I74),LEN(("x"&amp;I74))=65,EXACT(("x"&amp;I74),LOWER(("x"&amp;I74))),ISERROR(SEARCH(" ",("x"&amp;I74))),ISERROR(SEARCH(CHAR(9),("x"&amp;I74))),ISERROR(SEARCH(CHAR(10),("x"&amp;I74))),ISERROR(SEARCH(CHAR(13),("x"&amp;I74))),IFERROR(HEX2DEC(MID(("x"&amp;I74),2,8))&gt;=0,FALSE),IFERROR(HEX2DEC(MID(("x"&amp;I74),10,8))&gt;=0,FALSE),IFERROR(HEX2DEC(MID(("x"&amp;I74),18,8))&gt;=0,FALSE),IFERROR(HEX2DEC(MID(("x"&amp;I74),26,8))&gt;=0,FALSE),IFERROR(HEX2DEC(MID(("x"&amp;I74),34,8))&gt;=0,FALSE),IFERROR(HEX2DEC(MID(("x"&amp;I74),42,8))&gt;=0,FALSE),IFERROR(HEX2DEC(MID(("x"&amp;I74),50,8))&gt;=0,FALSE),IFERROR(HEX2DEC(MID(("x"&amp;I74),58,8))&gt;=0,FALSE))),IF(EXACT("x"&amp;H74,"x"&amp;I74),AA74,AB74),"LEXEMA_O_FORMA"),IF(W74="PRUEBA",IF(H74=X74,AA74,IF(H74=Z74,AB74,"LEXEMA_O_FORMA")),IF(W74="RETIRADA",IF(AND(H74="NINGUNO",I74=""),IF(J74="COMPLETA",AB74,"COBERTURA_INSUFICIENTE"),IF(AND(OR(H74="uoInstallation",H74="uoUninstallation"),OR(I74="orcSucceeded",I74="orcSucceededWithErrors",I74="orcFailed",I74="orcAborted",I74="orcInProgress",I74="orcNotStarted")),IF(AND(H74=X74,I74=Y74),AA74,IF(AND(H74=X74,OR(I74="orcSucceededWithErrors",I74="orcInProgress",I74="orcNotStarted")),"RESULTADO_RETIRADA_INCIERTO",IF(J74="COMPLETA",AB74,"COBERTURA_INSUFICIENTE"))),"LEXEMA_O_FORMA")),IF(W74="CAMBIO",IF(OR(H74="CAMBIO",H74="CAMBIO_Y_RETORNO"),AA74,IF(OR(H74="NINGUNO",H74="SOLO_RENOMBRE"),IF(J74="COMPLETA",AB74,"COBERTURA_INSUFICIENTE"),"LEXEMA_O_FORMA")),IF(W74="RESTAURACION",IF(H74=X74,AA74,IF(OR(H74="NINGUNO",H74="RESTAURACION_POSTERIOR",H74="RESTAURACION_FALLIDA"),IF(J74="COMPLETA",AB74,"COBERTURA_INSUFICIENTE"),"LEXEMA_O_FORMA")),"PERFIL_NO_CONSTITUIDO"))))))))))))))))))</x:f>
        <x:v>IMAGEN_OBJETIVO</x:v>
      </x:c>
      <x:c r="R74" s="12" t="str">
        <x:f>IF(AND(L74=O74,M74=P74,N74=Q74),"PASA","NO_PASA")</x:f>
        <x:v>PASA</x:v>
      </x:c>
      <x:c r="S74" s="4" t="str">
        <x:v>Ceros iniciales se conservan como texto de identidad.</x:v>
      </x:c>
      <x:c r="T74" s="12" t="str">
        <x:f>IFERROR(INDEX('55_Codificacion_ensayo'!$B$5:$B$13,MATCH(B74,'55_Codificacion_ensayo'!$A$5:$A$13,0)),"")</x:f>
        <x:v>IDENTIDAD-IMAGEN-CARGADA-0.1</x:v>
      </x:c>
      <x:c r="U74" s="12" t="str">
        <x:f>IFERROR(INDEX('55_Codificacion_ensayo'!$C$5:$C$13,MATCH(B74,'55_Codificacion_ensayo'!$A$5:$A$13,0)),"")</x:f>
        <x:v>IMAGEN_CARGADA</x:v>
      </x:c>
      <x:c r="V74" s="12" t="str">
        <x:f>IFERROR(INDEX('55_Codificacion_ensayo'!$D$5:$D$13,MATCH(B74,'55_Codificacion_ensayo'!$A$5:$A$13,0)),"")</x:f>
        <x:v>METODO_ADMITIDO</x:v>
      </x:c>
      <x:c r="W74" s="12" t="str">
        <x:f>IFERROR(INDEX('55_Codificacion_ensayo'!$E$5:$E$13,MATCH(B74,'55_Codificacion_ensayo'!$A$5:$A$13,0)),"")</x:f>
        <x:v>IMAGEN</x:v>
      </x:c>
      <x:c r="X74" s="12" t="str">
        <x:f>IFERROR(INDEX('55_Codificacion_ensayo'!$F$5:$F$13,MATCH(B74,'55_Codificacion_ensayo'!$A$5:$A$13,0)),"")</x:f>
        <x:v>aaaaaaaaaaaaaaaaaaaaaaaaaaaaaaaaaaaaaaaaaaaaaaaaaaaaaaaaaaaaaaaa</x:v>
      </x:c>
      <x:c r="Y74" s="12" t="str">
        <x:f>IFERROR(INDEX('55_Codificacion_ensayo'!$G$5:$G$13,MATCH(B74,'55_Codificacion_ensayo'!$A$5:$A$13,0)),"")</x:f>
        <x:v>aaaaaaaaaaaaaaaaaaaaaaaaaaaaaaaaaaaaaaaaaaaaaaaaaaaaaaaaaaaaaaaa</x:v>
      </x:c>
      <x:c r="Z74" s="12" t="str">
        <x:f>IFERROR(INDEX('55_Codificacion_ensayo'!$H$5:$H$13,MATCH(B74,'55_Codificacion_ensayo'!$A$5:$A$13,0)),"")</x:f>
        <x:v>bbbbbbbbbbbbbbbbbbbbbbbbbbbbbbbbbbbbbbbbbbbbbbbbbbbbbbbbbbbbbbbb</x:v>
      </x:c>
      <x:c r="AA74" s="12" t="str">
        <x:f>IFERROR(INDEX('55_Codificacion_ensayo'!$I$5:$I$13,MATCH(B74,'55_Codificacion_ensayo'!$A$5:$A$13,0)),"")</x:f>
        <x:v>IMAGEN_OBJETIVO</x:v>
      </x:c>
      <x:c r="AB74" s="12" t="str">
        <x:f>IFERROR(INDEX('55_Codificacion_ensayo'!$J$5:$J$13,MATCH(B74,'55_Codificacion_ensayo'!$A$5:$A$13,0)),"")</x:f>
        <x:v>OTRA_IMAGEN</x:v>
      </x:c>
    </x:row>
    <x:row r="75" ht="47" customHeight="1">
      <x:c r="A75" s="4" t="str">
        <x:v>L10-07-01</x:v>
      </x:c>
      <x:c r="B75" s="4" t="str">
        <x:v>PAR-CYB-COMPROBACION-POSITIVA-001</x:v>
      </x:c>
      <x:c r="C75" s="4" t="str">
        <x:v>COMPROBACION-CRITERIO-UNITARIO-0.1</x:v>
      </x:c>
      <x:c r="D75" s="4" t="str">
        <x:v>COINCIDE</x:v>
      </x:c>
      <x:c r="E75" s="4" t="str">
        <x:v>LEGIBLE</x:v>
      </x:c>
      <x:c r="F75" s="4" t="str">
        <x:v>INFORME_PRUEBA</x:v>
      </x:c>
      <x:c r="G75" s="4" t="str">
        <x:v>UNICA</x:v>
      </x:c>
      <x:c r="H75" s="4" t="str">
        <x:v>CRITERIO_CUMPLIDO</x:v>
      </x:c>
      <x:c r="I75" s="4" t="str"/>
      <x:c r="J75" s="4" t="str">
        <x:v>COMPLETA</x:v>
      </x:c>
      <x:c r="K75" s="4" t="str">
        <x:v>ORACULO_UNITARIO</x:v>
      </x:c>
      <x:c r="L75" s="4" t="str">
        <x:v>VALIDA</x:v>
      </x:c>
      <x:c r="M75" s="4" t="str">
        <x:v>1</x:v>
      </x:c>
      <x:c r="N75" s="4" t="str">
        <x:v>CRITERIO_POSITIVO</x:v>
      </x:c>
      <x:c r="O75" s="12" t="str">
        <x:f>IF(Q75="SIN_EJECUCION_DOMINIO","FALLO_CAPTURA",IF(OR(Q75="CAPTURA_MAL_FORMADA",Q75="IDENTIDAD",Q75="OBSERVACION_MAL_FORMADA",Q75="LEXEMA_O_FORMA"),"NO_ADMISION",IF(OR(Q75="PERFIL_NO_CONSTITUIDO",Q75="RESULTADO_NO_TERMINAL"),"FUERA_PERFIL",IF(Q75="CONTEXTO_NO_CONSTITUIDO","CONFIGURACION_PENDIENTE","VALIDA"))))</x:f>
        <x:v>VALIDA</x:v>
      </x:c>
      <x:c r="P75" s="12" t="str">
        <x:f>IF(O75&lt;&gt;"VALIDA","",IF(Q75=AA75,"1",IF(Q75=AB75,"0","U")))</x:f>
        <x:v>1</x:v>
      </x:c>
      <x:c r="Q75" s="12" t="str">
        <x:f>IF(E75="FALLO","SIN_EJECUCION_DOMINIO",IF(E75&lt;&gt;"LEGIBLE","CAPTURA_MAL_FORMADA",IF(D75&lt;&gt;"COINCIDE","IDENTIDAD",IF(OR(T75="",C75&lt;&gt;T75),"PERFIL_NO_CONSTITUIDO",IF(K75&lt;&gt;V75,IF(V75="ORDEN_ACREDITADO","ORDEN_NO_ACREDITADO","CONTEXTO_NO_CONSTITUIDO"),IF(AND(G75="AUSENTE",H75="",I75=""),"DATO_AUSENTE",IF(AND(G75="CONFLICTO",H75="",I75=""),"CONFLICTO_OBSERVACIONAL",IF(G75&lt;&gt;"UNICA","OBSERVACION_MAL_FORMADA",IF(F75&lt;&gt;U75,"OBSERVACION_INSUFICIENTE",IF(W75="RESULTADO",IF(H75=X75,AA75,IF(OR(H75="orcSucceededWithErrors",H75="orcFailed",H75="orcAborted"),AB75,IF(OR(H75="orcNotStarted",H75="orcInProgress"),"RESULTADO_NO_TERMINAL","LEXEMA_O_FORMA"))),IF(W75="EVENTO_BOOT",IF(H75=X75,AA75,IF(OR(H75="NINGUNO",H75="SOLO_HIBRIDO"),IF(J75="COMPLETA",AB75,"COBERTURA_INSUFICIENTE"),"LEXEMA_O_FORMA")),IF(W75="REQUISITO_SOFT",IF(H75=X75,AA75,IF(H75=Z75,AB75,"LEXEMA_O_FORMA")),IF(W75="EVENTO_PROC",IF(H75=X75,AA75,IF(H75=Z75,IF(J75="COMPLETA",AB75,"COBERTURA_INSUFICIENTE"),"LEXEMA_O_FORMA")),IF(W75="IMAGEN",IF(AND(AND(ISTEXT(H75),LEN(("x"&amp;H75))=65,EXACT(("x"&amp;H75),LOWER(("x"&amp;H75))),ISERROR(SEARCH(" ",("x"&amp;H75))),ISERROR(SEARCH(CHAR(9),("x"&amp;H75))),ISERROR(SEARCH(CHAR(10),("x"&amp;H75))),ISERROR(SEARCH(CHAR(13),("x"&amp;H75))),IFERROR(HEX2DEC(MID(("x"&amp;H75),2,8))&gt;=0,FALSE),IFERROR(HEX2DEC(MID(("x"&amp;H75),10,8))&gt;=0,FALSE),IFERROR(HEX2DEC(MID(("x"&amp;H75),18,8))&gt;=0,FALSE),IFERROR(HEX2DEC(MID(("x"&amp;H75),26,8))&gt;=0,FALSE),IFERROR(HEX2DEC(MID(("x"&amp;H75),34,8))&gt;=0,FALSE),IFERROR(HEX2DEC(MID(("x"&amp;H75),42,8))&gt;=0,FALSE),IFERROR(HEX2DEC(MID(("x"&amp;H75),50,8))&gt;=0,FALSE),IFERROR(HEX2DEC(MID(("x"&amp;H75),58,8))&gt;=0,FALSE)),AND(ISTEXT(I75),LEN(("x"&amp;I75))=65,EXACT(("x"&amp;I75),LOWER(("x"&amp;I75))),ISERROR(SEARCH(" ",("x"&amp;I75))),ISERROR(SEARCH(CHAR(9),("x"&amp;I75))),ISERROR(SEARCH(CHAR(10),("x"&amp;I75))),ISERROR(SEARCH(CHAR(13),("x"&amp;I75))),IFERROR(HEX2DEC(MID(("x"&amp;I75),2,8))&gt;=0,FALSE),IFERROR(HEX2DEC(MID(("x"&amp;I75),10,8))&gt;=0,FALSE),IFERROR(HEX2DEC(MID(("x"&amp;I75),18,8))&gt;=0,FALSE),IFERROR(HEX2DEC(MID(("x"&amp;I75),26,8))&gt;=0,FALSE),IFERROR(HEX2DEC(MID(("x"&amp;I75),34,8))&gt;=0,FALSE),IFERROR(HEX2DEC(MID(("x"&amp;I75),42,8))&gt;=0,FALSE),IFERROR(HEX2DEC(MID(("x"&amp;I75),50,8))&gt;=0,FALSE),IFERROR(HEX2DEC(MID(("x"&amp;I75),58,8))&gt;=0,FALSE))),IF(EXACT("x"&amp;H75,"x"&amp;I75),AA75,AB75),"LEXEMA_O_FORMA"),IF(W75="PRUEBA",IF(H75=X75,AA75,IF(H75=Z75,AB75,"LEXEMA_O_FORMA")),IF(W75="RETIRADA",IF(AND(H75="NINGUNO",I75=""),IF(J75="COMPLETA",AB75,"COBERTURA_INSUFICIENTE"),IF(AND(OR(H75="uoInstallation",H75="uoUninstallation"),OR(I75="orcSucceeded",I75="orcSucceededWithErrors",I75="orcFailed",I75="orcAborted",I75="orcInProgress",I75="orcNotStarted")),IF(AND(H75=X75,I75=Y75),AA75,IF(AND(H75=X75,OR(I75="orcSucceededWithErrors",I75="orcInProgress",I75="orcNotStarted")),"RESULTADO_RETIRADA_INCIERTO",IF(J75="COMPLETA",AB75,"COBERTURA_INSUFICIENTE"))),"LEXEMA_O_FORMA")),IF(W75="CAMBIO",IF(OR(H75="CAMBIO",H75="CAMBIO_Y_RETORNO"),AA75,IF(OR(H75="NINGUNO",H75="SOLO_RENOMBRE"),IF(J75="COMPLETA",AB75,"COBERTURA_INSUFICIENTE"),"LEXEMA_O_FORMA")),IF(W75="RESTAURACION",IF(H75=X75,AA75,IF(OR(H75="NINGUNO",H75="RESTAURACION_POSTERIOR",H75="RESTAURACION_FALLIDA"),IF(J75="COMPLETA",AB75,"COBERTURA_INSUFICIENTE"),"LEXEMA_O_FORMA")),"PERFIL_NO_CONSTITUIDO"))))))))))))))))))</x:f>
        <x:v>CRITERIO_POSITIVO</x:v>
      </x:c>
      <x:c r="R75" s="12" t="str">
        <x:f>IF(AND(L75=O75,M75=P75,N75=Q75),"PASA","NO_PASA")</x:f>
        <x:v>PASA</x:v>
      </x:c>
      <x:c r="S75" s="4" t="str">
        <x:v>Testigo positivo de la proposición; no licencia ninguna conclusión más amplia.</x:v>
      </x:c>
      <x:c r="T75" s="12" t="str">
        <x:f>IFERROR(INDEX('55_Codificacion_ensayo'!$B$5:$B$13,MATCH(B75,'55_Codificacion_ensayo'!$A$5:$A$13,0)),"")</x:f>
        <x:v>COMPROBACION-CRITERIO-UNITARIO-0.1</x:v>
      </x:c>
      <x:c r="U75" s="12" t="str">
        <x:f>IFERROR(INDEX('55_Codificacion_ensayo'!$C$5:$C$13,MATCH(B75,'55_Codificacion_ensayo'!$A$5:$A$13,0)),"")</x:f>
        <x:v>INFORME_PRUEBA</x:v>
      </x:c>
      <x:c r="V75" s="12" t="str">
        <x:f>IFERROR(INDEX('55_Codificacion_ensayo'!$D$5:$D$13,MATCH(B75,'55_Codificacion_ensayo'!$A$5:$A$13,0)),"")</x:f>
        <x:v>ORACULO_UNITARIO</x:v>
      </x:c>
      <x:c r="W75" s="12" t="str">
        <x:f>IFERROR(INDEX('55_Codificacion_ensayo'!$E$5:$E$13,MATCH(B75,'55_Codificacion_ensayo'!$A$5:$A$13,0)),"")</x:f>
        <x:v>PRUEBA</x:v>
      </x:c>
      <x:c r="X75" s="12" t="str">
        <x:f>IFERROR(INDEX('55_Codificacion_ensayo'!$F$5:$F$13,MATCH(B75,'55_Codificacion_ensayo'!$A$5:$A$13,0)),"")</x:f>
        <x:v>CRITERIO_CUMPLIDO</x:v>
      </x:c>
      <x:c r="Y75" s="12" t="str">
        <x:f>IFERROR(INDEX('55_Codificacion_ensayo'!$G$5:$G$13,MATCH(B75,'55_Codificacion_ensayo'!$A$5:$A$13,0)),"")</x:f>
      </x:c>
      <x:c r="Z75" s="12" t="str">
        <x:f>IFERROR(INDEX('55_Codificacion_ensayo'!$H$5:$H$13,MATCH(B75,'55_Codificacion_ensayo'!$A$5:$A$13,0)),"")</x:f>
        <x:v>CRITERIO_NO_CUMPLIDO</x:v>
      </x:c>
      <x:c r="AA75" s="12" t="str">
        <x:f>IFERROR(INDEX('55_Codificacion_ensayo'!$I$5:$I$13,MATCH(B75,'55_Codificacion_ensayo'!$A$5:$A$13,0)),"")</x:f>
        <x:v>CRITERIO_POSITIVO</x:v>
      </x:c>
      <x:c r="AB75" s="12" t="str">
        <x:f>IFERROR(INDEX('55_Codificacion_ensayo'!$J$5:$J$13,MATCH(B75,'55_Codificacion_ensayo'!$A$5:$A$13,0)),"")</x:f>
        <x:v>CRITERIO_NEGATIVO</x:v>
      </x:c>
    </x:row>
    <x:row r="76" ht="47" customHeight="1">
      <x:c r="A76" s="4" t="str">
        <x:v>L10-07-02</x:v>
      </x:c>
      <x:c r="B76" s="4" t="str">
        <x:v>PAR-CYB-COMPROBACION-POSITIVA-001</x:v>
      </x:c>
      <x:c r="C76" s="4" t="str">
        <x:v>COMPROBACION-CRITERIO-UNITARIO-0.1</x:v>
      </x:c>
      <x:c r="D76" s="4" t="str">
        <x:v>COINCIDE</x:v>
      </x:c>
      <x:c r="E76" s="4" t="str">
        <x:v>LEGIBLE</x:v>
      </x:c>
      <x:c r="F76" s="4" t="str">
        <x:v>INFORME_PRUEBA</x:v>
      </x:c>
      <x:c r="G76" s="4" t="str">
        <x:v>UNICA</x:v>
      </x:c>
      <x:c r="H76" s="4" t="str">
        <x:v>CRITERIO_NO_CUMPLIDO</x:v>
      </x:c>
      <x:c r="I76" s="4" t="str"/>
      <x:c r="J76" s="4" t="str">
        <x:v>COMPLETA</x:v>
      </x:c>
      <x:c r="K76" s="4" t="str">
        <x:v>ORACULO_UNITARIO</x:v>
      </x:c>
      <x:c r="L76" s="4" t="str">
        <x:v>VALIDA</x:v>
      </x:c>
      <x:c r="M76" s="4" t="str">
        <x:v>0</x:v>
      </x:c>
      <x:c r="N76" s="4" t="str">
        <x:v>CRITERIO_NEGATIVO</x:v>
      </x:c>
      <x:c r="O76" s="12" t="str">
        <x:f>IF(Q76="SIN_EJECUCION_DOMINIO","FALLO_CAPTURA",IF(OR(Q76="CAPTURA_MAL_FORMADA",Q76="IDENTIDAD",Q76="OBSERVACION_MAL_FORMADA",Q76="LEXEMA_O_FORMA"),"NO_ADMISION",IF(OR(Q76="PERFIL_NO_CONSTITUIDO",Q76="RESULTADO_NO_TERMINAL"),"FUERA_PERFIL",IF(Q76="CONTEXTO_NO_CONSTITUIDO","CONFIGURACION_PENDIENTE","VALIDA"))))</x:f>
        <x:v>VALIDA</x:v>
      </x:c>
      <x:c r="P76" s="12" t="str">
        <x:f>IF(O76&lt;&gt;"VALIDA","",IF(Q76=AA76,"1",IF(Q76=AB76,"0","U")))</x:f>
        <x:v>0</x:v>
      </x:c>
      <x:c r="Q76" s="12" t="str">
        <x:f>IF(E76="FALLO","SIN_EJECUCION_DOMINIO",IF(E76&lt;&gt;"LEGIBLE","CAPTURA_MAL_FORMADA",IF(D76&lt;&gt;"COINCIDE","IDENTIDAD",IF(OR(T76="",C76&lt;&gt;T76),"PERFIL_NO_CONSTITUIDO",IF(K76&lt;&gt;V76,IF(V76="ORDEN_ACREDITADO","ORDEN_NO_ACREDITADO","CONTEXTO_NO_CONSTITUIDO"),IF(AND(G76="AUSENTE",H76="",I76=""),"DATO_AUSENTE",IF(AND(G76="CONFLICTO",H76="",I76=""),"CONFLICTO_OBSERVACIONAL",IF(G76&lt;&gt;"UNICA","OBSERVACION_MAL_FORMADA",IF(F76&lt;&gt;U76,"OBSERVACION_INSUFICIENTE",IF(W76="RESULTADO",IF(H76=X76,AA76,IF(OR(H76="orcSucceededWithErrors",H76="orcFailed",H76="orcAborted"),AB76,IF(OR(H76="orcNotStarted",H76="orcInProgress"),"RESULTADO_NO_TERMINAL","LEXEMA_O_FORMA"))),IF(W76="EVENTO_BOOT",IF(H76=X76,AA76,IF(OR(H76="NINGUNO",H76="SOLO_HIBRIDO"),IF(J76="COMPLETA",AB76,"COBERTURA_INSUFICIENTE"),"LEXEMA_O_FORMA")),IF(W76="REQUISITO_SOFT",IF(H76=X76,AA76,IF(H76=Z76,AB76,"LEXEMA_O_FORMA")),IF(W76="EVENTO_PROC",IF(H76=X76,AA76,IF(H76=Z76,IF(J76="COMPLETA",AB76,"COBERTURA_INSUFICIENTE"),"LEXEMA_O_FORMA")),IF(W76="IMAGEN",IF(AND(AND(ISTEXT(H76),LEN(("x"&amp;H76))=65,EXACT(("x"&amp;H76),LOWER(("x"&amp;H76))),ISERROR(SEARCH(" ",("x"&amp;H76))),ISERROR(SEARCH(CHAR(9),("x"&amp;H76))),ISERROR(SEARCH(CHAR(10),("x"&amp;H76))),ISERROR(SEARCH(CHAR(13),("x"&amp;H76))),IFERROR(HEX2DEC(MID(("x"&amp;H76),2,8))&gt;=0,FALSE),IFERROR(HEX2DEC(MID(("x"&amp;H76),10,8))&gt;=0,FALSE),IFERROR(HEX2DEC(MID(("x"&amp;H76),18,8))&gt;=0,FALSE),IFERROR(HEX2DEC(MID(("x"&amp;H76),26,8))&gt;=0,FALSE),IFERROR(HEX2DEC(MID(("x"&amp;H76),34,8))&gt;=0,FALSE),IFERROR(HEX2DEC(MID(("x"&amp;H76),42,8))&gt;=0,FALSE),IFERROR(HEX2DEC(MID(("x"&amp;H76),50,8))&gt;=0,FALSE),IFERROR(HEX2DEC(MID(("x"&amp;H76),58,8))&gt;=0,FALSE)),AND(ISTEXT(I76),LEN(("x"&amp;I76))=65,EXACT(("x"&amp;I76),LOWER(("x"&amp;I76))),ISERROR(SEARCH(" ",("x"&amp;I76))),ISERROR(SEARCH(CHAR(9),("x"&amp;I76))),ISERROR(SEARCH(CHAR(10),("x"&amp;I76))),ISERROR(SEARCH(CHAR(13),("x"&amp;I76))),IFERROR(HEX2DEC(MID(("x"&amp;I76),2,8))&gt;=0,FALSE),IFERROR(HEX2DEC(MID(("x"&amp;I76),10,8))&gt;=0,FALSE),IFERROR(HEX2DEC(MID(("x"&amp;I76),18,8))&gt;=0,FALSE),IFERROR(HEX2DEC(MID(("x"&amp;I76),26,8))&gt;=0,FALSE),IFERROR(HEX2DEC(MID(("x"&amp;I76),34,8))&gt;=0,FALSE),IFERROR(HEX2DEC(MID(("x"&amp;I76),42,8))&gt;=0,FALSE),IFERROR(HEX2DEC(MID(("x"&amp;I76),50,8))&gt;=0,FALSE),IFERROR(HEX2DEC(MID(("x"&amp;I76),58,8))&gt;=0,FALSE))),IF(EXACT("x"&amp;H76,"x"&amp;I76),AA76,AB76),"LEXEMA_O_FORMA"),IF(W76="PRUEBA",IF(H76=X76,AA76,IF(H76=Z76,AB76,"LEXEMA_O_FORMA")),IF(W76="RETIRADA",IF(AND(H76="NINGUNO",I76=""),IF(J76="COMPLETA",AB76,"COBERTURA_INSUFICIENTE"),IF(AND(OR(H76="uoInstallation",H76="uoUninstallation"),OR(I76="orcSucceeded",I76="orcSucceededWithErrors",I76="orcFailed",I76="orcAborted",I76="orcInProgress",I76="orcNotStarted")),IF(AND(H76=X76,I76=Y76),AA76,IF(AND(H76=X76,OR(I76="orcSucceededWithErrors",I76="orcInProgress",I76="orcNotStarted")),"RESULTADO_RETIRADA_INCIERTO",IF(J76="COMPLETA",AB76,"COBERTURA_INSUFICIENTE"))),"LEXEMA_O_FORMA")),IF(W76="CAMBIO",IF(OR(H76="CAMBIO",H76="CAMBIO_Y_RETORNO"),AA76,IF(OR(H76="NINGUNO",H76="SOLO_RENOMBRE"),IF(J76="COMPLETA",AB76,"COBERTURA_INSUFICIENTE"),"LEXEMA_O_FORMA")),IF(W76="RESTAURACION",IF(H76=X76,AA76,IF(OR(H76="NINGUNO",H76="RESTAURACION_POSTERIOR",H76="RESTAURACION_FALLIDA"),IF(J76="COMPLETA",AB76,"COBERTURA_INSUFICIENTE"),"LEXEMA_O_FORMA")),"PERFIL_NO_CONSTITUIDO"))))))))))))))))))</x:f>
        <x:v>CRITERIO_NEGATIVO</x:v>
      </x:c>
      <x:c r="R76" s="12" t="str">
        <x:f>IF(AND(L76=O76,M76=P76,N76=Q76),"PASA","NO_PASA")</x:f>
        <x:v>PASA</x:v>
      </x:c>
      <x:c r="S76" s="4" t="str">
        <x:v>Negativo explícito; en eventos exige cobertura del intervalo.</x:v>
      </x:c>
      <x:c r="T76" s="12" t="str">
        <x:f>IFERROR(INDEX('55_Codificacion_ensayo'!$B$5:$B$13,MATCH(B76,'55_Codificacion_ensayo'!$A$5:$A$13,0)),"")</x:f>
        <x:v>COMPROBACION-CRITERIO-UNITARIO-0.1</x:v>
      </x:c>
      <x:c r="U76" s="12" t="str">
        <x:f>IFERROR(INDEX('55_Codificacion_ensayo'!$C$5:$C$13,MATCH(B76,'55_Codificacion_ensayo'!$A$5:$A$13,0)),"")</x:f>
        <x:v>INFORME_PRUEBA</x:v>
      </x:c>
      <x:c r="V76" s="12" t="str">
        <x:f>IFERROR(INDEX('55_Codificacion_ensayo'!$D$5:$D$13,MATCH(B76,'55_Codificacion_ensayo'!$A$5:$A$13,0)),"")</x:f>
        <x:v>ORACULO_UNITARIO</x:v>
      </x:c>
      <x:c r="W76" s="12" t="str">
        <x:f>IFERROR(INDEX('55_Codificacion_ensayo'!$E$5:$E$13,MATCH(B76,'55_Codificacion_ensayo'!$A$5:$A$13,0)),"")</x:f>
        <x:v>PRUEBA</x:v>
      </x:c>
      <x:c r="X76" s="12" t="str">
        <x:f>IFERROR(INDEX('55_Codificacion_ensayo'!$F$5:$F$13,MATCH(B76,'55_Codificacion_ensayo'!$A$5:$A$13,0)),"")</x:f>
        <x:v>CRITERIO_CUMPLIDO</x:v>
      </x:c>
      <x:c r="Y76" s="12" t="str">
        <x:f>IFERROR(INDEX('55_Codificacion_ensayo'!$G$5:$G$13,MATCH(B76,'55_Codificacion_ensayo'!$A$5:$A$13,0)),"")</x:f>
      </x:c>
      <x:c r="Z76" s="12" t="str">
        <x:f>IFERROR(INDEX('55_Codificacion_ensayo'!$H$5:$H$13,MATCH(B76,'55_Codificacion_ensayo'!$A$5:$A$13,0)),"")</x:f>
        <x:v>CRITERIO_NO_CUMPLIDO</x:v>
      </x:c>
      <x:c r="AA76" s="12" t="str">
        <x:f>IFERROR(INDEX('55_Codificacion_ensayo'!$I$5:$I$13,MATCH(B76,'55_Codificacion_ensayo'!$A$5:$A$13,0)),"")</x:f>
        <x:v>CRITERIO_POSITIVO</x:v>
      </x:c>
      <x:c r="AB76" s="12" t="str">
        <x:f>IFERROR(INDEX('55_Codificacion_ensayo'!$J$5:$J$13,MATCH(B76,'55_Codificacion_ensayo'!$A$5:$A$13,0)),"")</x:f>
        <x:v>CRITERIO_NEGATIVO</x:v>
      </x:c>
    </x:row>
    <x:row r="77" ht="47" customHeight="1">
      <x:c r="A77" s="4" t="str">
        <x:v>L10-07-03</x:v>
      </x:c>
      <x:c r="B77" s="4" t="str">
        <x:v>PAR-CYB-COMPROBACION-POSITIVA-001</x:v>
      </x:c>
      <x:c r="C77" s="4" t="str">
        <x:v>COMPROBACION-CRITERIO-UNITARIO-0.1</x:v>
      </x:c>
      <x:c r="D77" s="4" t="str">
        <x:v>COINCIDE</x:v>
      </x:c>
      <x:c r="E77" s="4" t="str">
        <x:v>LEGIBLE</x:v>
      </x:c>
      <x:c r="F77" s="4" t="str">
        <x:v>INFORME_PRUEBA</x:v>
      </x:c>
      <x:c r="G77" s="4" t="str">
        <x:v>AUSENTE</x:v>
      </x:c>
      <x:c r="H77" s="4" t="str"/>
      <x:c r="I77" s="4" t="str"/>
      <x:c r="J77" s="4" t="str">
        <x:v>COMPLETA</x:v>
      </x:c>
      <x:c r="K77" s="4" t="str">
        <x:v>ORACULO_UNITARIO</x:v>
      </x:c>
      <x:c r="L77" s="4" t="str">
        <x:v>VALIDA</x:v>
      </x:c>
      <x:c r="M77" s="4" t="str">
        <x:v>U</x:v>
      </x:c>
      <x:c r="N77" s="4" t="str">
        <x:v>DATO_AUSENTE</x:v>
      </x:c>
      <x:c r="O77" s="12" t="str">
        <x:f>IF(Q77="SIN_EJECUCION_DOMINIO","FALLO_CAPTURA",IF(OR(Q77="CAPTURA_MAL_FORMADA",Q77="IDENTIDAD",Q77="OBSERVACION_MAL_FORMADA",Q77="LEXEMA_O_FORMA"),"NO_ADMISION",IF(OR(Q77="PERFIL_NO_CONSTITUIDO",Q77="RESULTADO_NO_TERMINAL"),"FUERA_PERFIL",IF(Q77="CONTEXTO_NO_CONSTITUIDO","CONFIGURACION_PENDIENTE","VALIDA"))))</x:f>
        <x:v>VALIDA</x:v>
      </x:c>
      <x:c r="P77" s="12" t="str">
        <x:f>IF(O77&lt;&gt;"VALIDA","",IF(Q77=AA77,"1",IF(Q77=AB77,"0","U")))</x:f>
        <x:v>U</x:v>
      </x:c>
      <x:c r="Q77" s="12" t="str">
        <x:f>IF(E77="FALLO","SIN_EJECUCION_DOMINIO",IF(E77&lt;&gt;"LEGIBLE","CAPTURA_MAL_FORMADA",IF(D77&lt;&gt;"COINCIDE","IDENTIDAD",IF(OR(T77="",C77&lt;&gt;T77),"PERFIL_NO_CONSTITUIDO",IF(K77&lt;&gt;V77,IF(V77="ORDEN_ACREDITADO","ORDEN_NO_ACREDITADO","CONTEXTO_NO_CONSTITUIDO"),IF(AND(G77="AUSENTE",H77="",I77=""),"DATO_AUSENTE",IF(AND(G77="CONFLICTO",H77="",I77=""),"CONFLICTO_OBSERVACIONAL",IF(G77&lt;&gt;"UNICA","OBSERVACION_MAL_FORMADA",IF(F77&lt;&gt;U77,"OBSERVACION_INSUFICIENTE",IF(W77="RESULTADO",IF(H77=X77,AA77,IF(OR(H77="orcSucceededWithErrors",H77="orcFailed",H77="orcAborted"),AB77,IF(OR(H77="orcNotStarted",H77="orcInProgress"),"RESULTADO_NO_TERMINAL","LEXEMA_O_FORMA"))),IF(W77="EVENTO_BOOT",IF(H77=X77,AA77,IF(OR(H77="NINGUNO",H77="SOLO_HIBRIDO"),IF(J77="COMPLETA",AB77,"COBERTURA_INSUFICIENTE"),"LEXEMA_O_FORMA")),IF(W77="REQUISITO_SOFT",IF(H77=X77,AA77,IF(H77=Z77,AB77,"LEXEMA_O_FORMA")),IF(W77="EVENTO_PROC",IF(H77=X77,AA77,IF(H77=Z77,IF(J77="COMPLETA",AB77,"COBERTURA_INSUFICIENTE"),"LEXEMA_O_FORMA")),IF(W77="IMAGEN",IF(AND(AND(ISTEXT(H77),LEN(("x"&amp;H77))=65,EXACT(("x"&amp;H77),LOWER(("x"&amp;H77))),ISERROR(SEARCH(" ",("x"&amp;H77))),ISERROR(SEARCH(CHAR(9),("x"&amp;H77))),ISERROR(SEARCH(CHAR(10),("x"&amp;H77))),ISERROR(SEARCH(CHAR(13),("x"&amp;H77))),IFERROR(HEX2DEC(MID(("x"&amp;H77),2,8))&gt;=0,FALSE),IFERROR(HEX2DEC(MID(("x"&amp;H77),10,8))&gt;=0,FALSE),IFERROR(HEX2DEC(MID(("x"&amp;H77),18,8))&gt;=0,FALSE),IFERROR(HEX2DEC(MID(("x"&amp;H77),26,8))&gt;=0,FALSE),IFERROR(HEX2DEC(MID(("x"&amp;H77),34,8))&gt;=0,FALSE),IFERROR(HEX2DEC(MID(("x"&amp;H77),42,8))&gt;=0,FALSE),IFERROR(HEX2DEC(MID(("x"&amp;H77),50,8))&gt;=0,FALSE),IFERROR(HEX2DEC(MID(("x"&amp;H77),58,8))&gt;=0,FALSE)),AND(ISTEXT(I77),LEN(("x"&amp;I77))=65,EXACT(("x"&amp;I77),LOWER(("x"&amp;I77))),ISERROR(SEARCH(" ",("x"&amp;I77))),ISERROR(SEARCH(CHAR(9),("x"&amp;I77))),ISERROR(SEARCH(CHAR(10),("x"&amp;I77))),ISERROR(SEARCH(CHAR(13),("x"&amp;I77))),IFERROR(HEX2DEC(MID(("x"&amp;I77),2,8))&gt;=0,FALSE),IFERROR(HEX2DEC(MID(("x"&amp;I77),10,8))&gt;=0,FALSE),IFERROR(HEX2DEC(MID(("x"&amp;I77),18,8))&gt;=0,FALSE),IFERROR(HEX2DEC(MID(("x"&amp;I77),26,8))&gt;=0,FALSE),IFERROR(HEX2DEC(MID(("x"&amp;I77),34,8))&gt;=0,FALSE),IFERROR(HEX2DEC(MID(("x"&amp;I77),42,8))&gt;=0,FALSE),IFERROR(HEX2DEC(MID(("x"&amp;I77),50,8))&gt;=0,FALSE),IFERROR(HEX2DEC(MID(("x"&amp;I77),58,8))&gt;=0,FALSE))),IF(EXACT("x"&amp;H77,"x"&amp;I77),AA77,AB77),"LEXEMA_O_FORMA"),IF(W77="PRUEBA",IF(H77=X77,AA77,IF(H77=Z77,AB77,"LEXEMA_O_FORMA")),IF(W77="RETIRADA",IF(AND(H77="NINGUNO",I77=""),IF(J77="COMPLETA",AB77,"COBERTURA_INSUFICIENTE"),IF(AND(OR(H77="uoInstallation",H77="uoUninstallation"),OR(I77="orcSucceeded",I77="orcSucceededWithErrors",I77="orcFailed",I77="orcAborted",I77="orcInProgress",I77="orcNotStarted")),IF(AND(H77=X77,I77=Y77),AA77,IF(AND(H77=X77,OR(I77="orcSucceededWithErrors",I77="orcInProgress",I77="orcNotStarted")),"RESULTADO_RETIRADA_INCIERTO",IF(J77="COMPLETA",AB77,"COBERTURA_INSUFICIENTE"))),"LEXEMA_O_FORMA")),IF(W77="CAMBIO",IF(OR(H77="CAMBIO",H77="CAMBIO_Y_RETORNO"),AA77,IF(OR(H77="NINGUNO",H77="SOLO_RENOMBRE"),IF(J77="COMPLETA",AB77,"COBERTURA_INSUFICIENTE"),"LEXEMA_O_FORMA")),IF(W77="RESTAURACION",IF(H77=X77,AA77,IF(OR(H77="NINGUNO",H77="RESTAURACION_POSTERIOR",H77="RESTAURACION_FALLIDA"),IF(J77="COMPLETA",AB77,"COBERTURA_INSUFICIENTE"),"LEXEMA_O_FORMA")),"PERFIL_NO_CONSTITUIDO"))))))))))))))))))</x:f>
        <x:v>DATO_AUSENTE</x:v>
      </x:c>
      <x:c r="R77" s="12" t="str">
        <x:f>IF(AND(L77=O77,M77=P77,N77=Q77),"PASA","NO_PASA")</x:f>
        <x:v>PASA</x:v>
      </x:c>
      <x:c r="S77" s="4" t="str">
        <x:v>Documento declara que falta la observación, sin convertir ausencia en 0.</x:v>
      </x:c>
      <x:c r="T77" s="12" t="str">
        <x:f>IFERROR(INDEX('55_Codificacion_ensayo'!$B$5:$B$13,MATCH(B77,'55_Codificacion_ensayo'!$A$5:$A$13,0)),"")</x:f>
        <x:v>COMPROBACION-CRITERIO-UNITARIO-0.1</x:v>
      </x:c>
      <x:c r="U77" s="12" t="str">
        <x:f>IFERROR(INDEX('55_Codificacion_ensayo'!$C$5:$C$13,MATCH(B77,'55_Codificacion_ensayo'!$A$5:$A$13,0)),"")</x:f>
        <x:v>INFORME_PRUEBA</x:v>
      </x:c>
      <x:c r="V77" s="12" t="str">
        <x:f>IFERROR(INDEX('55_Codificacion_ensayo'!$D$5:$D$13,MATCH(B77,'55_Codificacion_ensayo'!$A$5:$A$13,0)),"")</x:f>
        <x:v>ORACULO_UNITARIO</x:v>
      </x:c>
      <x:c r="W77" s="12" t="str">
        <x:f>IFERROR(INDEX('55_Codificacion_ensayo'!$E$5:$E$13,MATCH(B77,'55_Codificacion_ensayo'!$A$5:$A$13,0)),"")</x:f>
        <x:v>PRUEBA</x:v>
      </x:c>
      <x:c r="X77" s="12" t="str">
        <x:f>IFERROR(INDEX('55_Codificacion_ensayo'!$F$5:$F$13,MATCH(B77,'55_Codificacion_ensayo'!$A$5:$A$13,0)),"")</x:f>
        <x:v>CRITERIO_CUMPLIDO</x:v>
      </x:c>
      <x:c r="Y77" s="12" t="str">
        <x:f>IFERROR(INDEX('55_Codificacion_ensayo'!$G$5:$G$13,MATCH(B77,'55_Codificacion_ensayo'!$A$5:$A$13,0)),"")</x:f>
      </x:c>
      <x:c r="Z77" s="12" t="str">
        <x:f>IFERROR(INDEX('55_Codificacion_ensayo'!$H$5:$H$13,MATCH(B77,'55_Codificacion_ensayo'!$A$5:$A$13,0)),"")</x:f>
        <x:v>CRITERIO_NO_CUMPLIDO</x:v>
      </x:c>
      <x:c r="AA77" s="12" t="str">
        <x:f>IFERROR(INDEX('55_Codificacion_ensayo'!$I$5:$I$13,MATCH(B77,'55_Codificacion_ensayo'!$A$5:$A$13,0)),"")</x:f>
        <x:v>CRITERIO_POSITIVO</x:v>
      </x:c>
      <x:c r="AB77" s="12" t="str">
        <x:f>IFERROR(INDEX('55_Codificacion_ensayo'!$J$5:$J$13,MATCH(B77,'55_Codificacion_ensayo'!$A$5:$A$13,0)),"")</x:f>
        <x:v>CRITERIO_NEGATIVO</x:v>
      </x:c>
    </x:row>
    <x:row r="78" ht="47" customHeight="1">
      <x:c r="A78" s="4" t="str">
        <x:v>L10-07-04</x:v>
      </x:c>
      <x:c r="B78" s="4" t="str">
        <x:v>PAR-CYB-COMPROBACION-POSITIVA-001</x:v>
      </x:c>
      <x:c r="C78" s="4" t="str">
        <x:v>COMPROBACION-CRITERIO-UNITARIO-0.1</x:v>
      </x:c>
      <x:c r="D78" s="4" t="str">
        <x:v>COINCIDE</x:v>
      </x:c>
      <x:c r="E78" s="4" t="str">
        <x:v>LEGIBLE</x:v>
      </x:c>
      <x:c r="F78" s="4" t="str">
        <x:v>INFORME_PRUEBA</x:v>
      </x:c>
      <x:c r="G78" s="4" t="str">
        <x:v>CONFLICTO</x:v>
      </x:c>
      <x:c r="H78" s="4" t="str"/>
      <x:c r="I78" s="4" t="str"/>
      <x:c r="J78" s="4" t="str">
        <x:v>COMPLETA</x:v>
      </x:c>
      <x:c r="K78" s="4" t="str">
        <x:v>ORACULO_UNITARIO</x:v>
      </x:c>
      <x:c r="L78" s="4" t="str">
        <x:v>VALIDA</x:v>
      </x:c>
      <x:c r="M78" s="4" t="str">
        <x:v>U</x:v>
      </x:c>
      <x:c r="N78" s="4" t="str">
        <x:v>CONFLICTO_OBSERVACIONAL</x:v>
      </x:c>
      <x:c r="O78" s="12" t="str">
        <x:f>IF(Q78="SIN_EJECUCION_DOMINIO","FALLO_CAPTURA",IF(OR(Q78="CAPTURA_MAL_FORMADA",Q78="IDENTIDAD",Q78="OBSERVACION_MAL_FORMADA",Q78="LEXEMA_O_FORMA"),"NO_ADMISION",IF(OR(Q78="PERFIL_NO_CONSTITUIDO",Q78="RESULTADO_NO_TERMINAL"),"FUERA_PERFIL",IF(Q78="CONTEXTO_NO_CONSTITUIDO","CONFIGURACION_PENDIENTE","VALIDA"))))</x:f>
        <x:v>VALIDA</x:v>
      </x:c>
      <x:c r="P78" s="12" t="str">
        <x:f>IF(O78&lt;&gt;"VALIDA","",IF(Q78=AA78,"1",IF(Q78=AB78,"0","U")))</x:f>
        <x:v>U</x:v>
      </x:c>
      <x:c r="Q78" s="12" t="str">
        <x:f>IF(E78="FALLO","SIN_EJECUCION_DOMINIO",IF(E78&lt;&gt;"LEGIBLE","CAPTURA_MAL_FORMADA",IF(D78&lt;&gt;"COINCIDE","IDENTIDAD",IF(OR(T78="",C78&lt;&gt;T78),"PERFIL_NO_CONSTITUIDO",IF(K78&lt;&gt;V78,IF(V78="ORDEN_ACREDITADO","ORDEN_NO_ACREDITADO","CONTEXTO_NO_CONSTITUIDO"),IF(AND(G78="AUSENTE",H78="",I78=""),"DATO_AUSENTE",IF(AND(G78="CONFLICTO",H78="",I78=""),"CONFLICTO_OBSERVACIONAL",IF(G78&lt;&gt;"UNICA","OBSERVACION_MAL_FORMADA",IF(F78&lt;&gt;U78,"OBSERVACION_INSUFICIENTE",IF(W78="RESULTADO",IF(H78=X78,AA78,IF(OR(H78="orcSucceededWithErrors",H78="orcFailed",H78="orcAborted"),AB78,IF(OR(H78="orcNotStarted",H78="orcInProgress"),"RESULTADO_NO_TERMINAL","LEXEMA_O_FORMA"))),IF(W78="EVENTO_BOOT",IF(H78=X78,AA78,IF(OR(H78="NINGUNO",H78="SOLO_HIBRIDO"),IF(J78="COMPLETA",AB78,"COBERTURA_INSUFICIENTE"),"LEXEMA_O_FORMA")),IF(W78="REQUISITO_SOFT",IF(H78=X78,AA78,IF(H78=Z78,AB78,"LEXEMA_O_FORMA")),IF(W78="EVENTO_PROC",IF(H78=X78,AA78,IF(H78=Z78,IF(J78="COMPLETA",AB78,"COBERTURA_INSUFICIENTE"),"LEXEMA_O_FORMA")),IF(W78="IMAGEN",IF(AND(AND(ISTEXT(H78),LEN(("x"&amp;H78))=65,EXACT(("x"&amp;H78),LOWER(("x"&amp;H78))),ISERROR(SEARCH(" ",("x"&amp;H78))),ISERROR(SEARCH(CHAR(9),("x"&amp;H78))),ISERROR(SEARCH(CHAR(10),("x"&amp;H78))),ISERROR(SEARCH(CHAR(13),("x"&amp;H78))),IFERROR(HEX2DEC(MID(("x"&amp;H78),2,8))&gt;=0,FALSE),IFERROR(HEX2DEC(MID(("x"&amp;H78),10,8))&gt;=0,FALSE),IFERROR(HEX2DEC(MID(("x"&amp;H78),18,8))&gt;=0,FALSE),IFERROR(HEX2DEC(MID(("x"&amp;H78),26,8))&gt;=0,FALSE),IFERROR(HEX2DEC(MID(("x"&amp;H78),34,8))&gt;=0,FALSE),IFERROR(HEX2DEC(MID(("x"&amp;H78),42,8))&gt;=0,FALSE),IFERROR(HEX2DEC(MID(("x"&amp;H78),50,8))&gt;=0,FALSE),IFERROR(HEX2DEC(MID(("x"&amp;H78),58,8))&gt;=0,FALSE)),AND(ISTEXT(I78),LEN(("x"&amp;I78))=65,EXACT(("x"&amp;I78),LOWER(("x"&amp;I78))),ISERROR(SEARCH(" ",("x"&amp;I78))),ISERROR(SEARCH(CHAR(9),("x"&amp;I78))),ISERROR(SEARCH(CHAR(10),("x"&amp;I78))),ISERROR(SEARCH(CHAR(13),("x"&amp;I78))),IFERROR(HEX2DEC(MID(("x"&amp;I78),2,8))&gt;=0,FALSE),IFERROR(HEX2DEC(MID(("x"&amp;I78),10,8))&gt;=0,FALSE),IFERROR(HEX2DEC(MID(("x"&amp;I78),18,8))&gt;=0,FALSE),IFERROR(HEX2DEC(MID(("x"&amp;I78),26,8))&gt;=0,FALSE),IFERROR(HEX2DEC(MID(("x"&amp;I78),34,8))&gt;=0,FALSE),IFERROR(HEX2DEC(MID(("x"&amp;I78),42,8))&gt;=0,FALSE),IFERROR(HEX2DEC(MID(("x"&amp;I78),50,8))&gt;=0,FALSE),IFERROR(HEX2DEC(MID(("x"&amp;I78),58,8))&gt;=0,FALSE))),IF(EXACT("x"&amp;H78,"x"&amp;I78),AA78,AB78),"LEXEMA_O_FORMA"),IF(W78="PRUEBA",IF(H78=X78,AA78,IF(H78=Z78,AB78,"LEXEMA_O_FORMA")),IF(W78="RETIRADA",IF(AND(H78="NINGUNO",I78=""),IF(J78="COMPLETA",AB78,"COBERTURA_INSUFICIENTE"),IF(AND(OR(H78="uoInstallation",H78="uoUninstallation"),OR(I78="orcSucceeded",I78="orcSucceededWithErrors",I78="orcFailed",I78="orcAborted",I78="orcInProgress",I78="orcNotStarted")),IF(AND(H78=X78,I78=Y78),AA78,IF(AND(H78=X78,OR(I78="orcSucceededWithErrors",I78="orcInProgress",I78="orcNotStarted")),"RESULTADO_RETIRADA_INCIERTO",IF(J78="COMPLETA",AB78,"COBERTURA_INSUFICIENTE"))),"LEXEMA_O_FORMA")),IF(W78="CAMBIO",IF(OR(H78="CAMBIO",H78="CAMBIO_Y_RETORNO"),AA78,IF(OR(H78="NINGUNO",H78="SOLO_RENOMBRE"),IF(J78="COMPLETA",AB78,"COBERTURA_INSUFICIENTE"),"LEXEMA_O_FORMA")),IF(W78="RESTAURACION",IF(H78=X78,AA78,IF(OR(H78="NINGUNO",H78="RESTAURACION_POSTERIOR",H78="RESTAURACION_FALLIDA"),IF(J78="COMPLETA",AB78,"COBERTURA_INSUFICIENTE"),"LEXEMA_O_FORMA")),"PERFIL_NO_CONSTITUIDO"))))))))))))))))))</x:f>
        <x:v>CONFLICTO_OBSERVACIONAL</x:v>
      </x:c>
      <x:c r="R78" s="12" t="str">
        <x:f>IF(AND(L78=O78,M78=P78,N78=Q78),"PASA","NO_PASA")</x:f>
        <x:v>PASA</x:v>
      </x:c>
      <x:c r="S78" s="4" t="str">
        <x:v>Conflicto entre observaciones admitidas del mismo sujeto y corte.</x:v>
      </x:c>
      <x:c r="T78" s="12" t="str">
        <x:f>IFERROR(INDEX('55_Codificacion_ensayo'!$B$5:$B$13,MATCH(B78,'55_Codificacion_ensayo'!$A$5:$A$13,0)),"")</x:f>
        <x:v>COMPROBACION-CRITERIO-UNITARIO-0.1</x:v>
      </x:c>
      <x:c r="U78" s="12" t="str">
        <x:f>IFERROR(INDEX('55_Codificacion_ensayo'!$C$5:$C$13,MATCH(B78,'55_Codificacion_ensayo'!$A$5:$A$13,0)),"")</x:f>
        <x:v>INFORME_PRUEBA</x:v>
      </x:c>
      <x:c r="V78" s="12" t="str">
        <x:f>IFERROR(INDEX('55_Codificacion_ensayo'!$D$5:$D$13,MATCH(B78,'55_Codificacion_ensayo'!$A$5:$A$13,0)),"")</x:f>
        <x:v>ORACULO_UNITARIO</x:v>
      </x:c>
      <x:c r="W78" s="12" t="str">
        <x:f>IFERROR(INDEX('55_Codificacion_ensayo'!$E$5:$E$13,MATCH(B78,'55_Codificacion_ensayo'!$A$5:$A$13,0)),"")</x:f>
        <x:v>PRUEBA</x:v>
      </x:c>
      <x:c r="X78" s="12" t="str">
        <x:f>IFERROR(INDEX('55_Codificacion_ensayo'!$F$5:$F$13,MATCH(B78,'55_Codificacion_ensayo'!$A$5:$A$13,0)),"")</x:f>
        <x:v>CRITERIO_CUMPLIDO</x:v>
      </x:c>
      <x:c r="Y78" s="12" t="str">
        <x:f>IFERROR(INDEX('55_Codificacion_ensayo'!$G$5:$G$13,MATCH(B78,'55_Codificacion_ensayo'!$A$5:$A$13,0)),"")</x:f>
      </x:c>
      <x:c r="Z78" s="12" t="str">
        <x:f>IFERROR(INDEX('55_Codificacion_ensayo'!$H$5:$H$13,MATCH(B78,'55_Codificacion_ensayo'!$A$5:$A$13,0)),"")</x:f>
        <x:v>CRITERIO_NO_CUMPLIDO</x:v>
      </x:c>
      <x:c r="AA78" s="12" t="str">
        <x:f>IFERROR(INDEX('55_Codificacion_ensayo'!$I$5:$I$13,MATCH(B78,'55_Codificacion_ensayo'!$A$5:$A$13,0)),"")</x:f>
        <x:v>CRITERIO_POSITIVO</x:v>
      </x:c>
      <x:c r="AB78" s="12" t="str">
        <x:f>IFERROR(INDEX('55_Codificacion_ensayo'!$J$5:$J$13,MATCH(B78,'55_Codificacion_ensayo'!$A$5:$A$13,0)),"")</x:f>
        <x:v>CRITERIO_NEGATIVO</x:v>
      </x:c>
    </x:row>
    <x:row r="79" ht="47" customHeight="1">
      <x:c r="A79" s="4" t="str">
        <x:v>L10-07-05</x:v>
      </x:c>
      <x:c r="B79" s="4" t="str">
        <x:v>PAR-CYB-COMPROBACION-POSITIVA-001</x:v>
      </x:c>
      <x:c r="C79" s="4" t="str">
        <x:v>COMPROBACION-CRITERIO-UNITARIO-0.1</x:v>
      </x:c>
      <x:c r="D79" s="4" t="str">
        <x:v>COINCIDE</x:v>
      </x:c>
      <x:c r="E79" s="4" t="str">
        <x:v>FALLO</x:v>
      </x:c>
      <x:c r="F79" s="4" t="str">
        <x:v>INFORME_PRUEBA</x:v>
      </x:c>
      <x:c r="G79" s="4" t="str">
        <x:v>UNICA</x:v>
      </x:c>
      <x:c r="H79" s="4" t="str">
        <x:v>CRITERIO_CUMPLIDO</x:v>
      </x:c>
      <x:c r="I79" s="4" t="str"/>
      <x:c r="J79" s="4" t="str">
        <x:v>COMPLETA</x:v>
      </x:c>
      <x:c r="K79" s="4" t="str">
        <x:v>ORACULO_UNITARIO</x:v>
      </x:c>
      <x:c r="L79" s="4" t="str">
        <x:v>FALLO_CAPTURA</x:v>
      </x:c>
      <x:c r="M79" s="4" t="str"/>
      <x:c r="N79" s="4" t="str">
        <x:v>SIN_EJECUCION_DOMINIO</x:v>
      </x:c>
      <x:c r="O79" s="12" t="str">
        <x:f>IF(Q79="SIN_EJECUCION_DOMINIO","FALLO_CAPTURA",IF(OR(Q79="CAPTURA_MAL_FORMADA",Q79="IDENTIDAD",Q79="OBSERVACION_MAL_FORMADA",Q79="LEXEMA_O_FORMA"),"NO_ADMISION",IF(OR(Q79="PERFIL_NO_CONSTITUIDO",Q79="RESULTADO_NO_TERMINAL"),"FUERA_PERFIL",IF(Q79="CONTEXTO_NO_CONSTITUIDO","CONFIGURACION_PENDIENTE","VALIDA"))))</x:f>
        <x:v>FALLO_CAPTURA</x:v>
      </x:c>
      <x:c r="P79" s="12" t="str">
        <x:f>IF(O79&lt;&gt;"VALIDA","",IF(Q79=AA79,"1",IF(Q79=AB79,"0","U")))</x:f>
      </x:c>
      <x:c r="Q79" s="12" t="str">
        <x:f>IF(E79="FALLO","SIN_EJECUCION_DOMINIO",IF(E79&lt;&gt;"LEGIBLE","CAPTURA_MAL_FORMADA",IF(D79&lt;&gt;"COINCIDE","IDENTIDAD",IF(OR(T79="",C79&lt;&gt;T79),"PERFIL_NO_CONSTITUIDO",IF(K79&lt;&gt;V79,IF(V79="ORDEN_ACREDITADO","ORDEN_NO_ACREDITADO","CONTEXTO_NO_CONSTITUIDO"),IF(AND(G79="AUSENTE",H79="",I79=""),"DATO_AUSENTE",IF(AND(G79="CONFLICTO",H79="",I79=""),"CONFLICTO_OBSERVACIONAL",IF(G79&lt;&gt;"UNICA","OBSERVACION_MAL_FORMADA",IF(F79&lt;&gt;U79,"OBSERVACION_INSUFICIENTE",IF(W79="RESULTADO",IF(H79=X79,AA79,IF(OR(H79="orcSucceededWithErrors",H79="orcFailed",H79="orcAborted"),AB79,IF(OR(H79="orcNotStarted",H79="orcInProgress"),"RESULTADO_NO_TERMINAL","LEXEMA_O_FORMA"))),IF(W79="EVENTO_BOOT",IF(H79=X79,AA79,IF(OR(H79="NINGUNO",H79="SOLO_HIBRIDO"),IF(J79="COMPLETA",AB79,"COBERTURA_INSUFICIENTE"),"LEXEMA_O_FORMA")),IF(W79="REQUISITO_SOFT",IF(H79=X79,AA79,IF(H79=Z79,AB79,"LEXEMA_O_FORMA")),IF(W79="EVENTO_PROC",IF(H79=X79,AA79,IF(H79=Z79,IF(J79="COMPLETA",AB79,"COBERTURA_INSUFICIENTE"),"LEXEMA_O_FORMA")),IF(W79="IMAGEN",IF(AND(AND(ISTEXT(H79),LEN(("x"&amp;H79))=65,EXACT(("x"&amp;H79),LOWER(("x"&amp;H79))),ISERROR(SEARCH(" ",("x"&amp;H79))),ISERROR(SEARCH(CHAR(9),("x"&amp;H79))),ISERROR(SEARCH(CHAR(10),("x"&amp;H79))),ISERROR(SEARCH(CHAR(13),("x"&amp;H79))),IFERROR(HEX2DEC(MID(("x"&amp;H79),2,8))&gt;=0,FALSE),IFERROR(HEX2DEC(MID(("x"&amp;H79),10,8))&gt;=0,FALSE),IFERROR(HEX2DEC(MID(("x"&amp;H79),18,8))&gt;=0,FALSE),IFERROR(HEX2DEC(MID(("x"&amp;H79),26,8))&gt;=0,FALSE),IFERROR(HEX2DEC(MID(("x"&amp;H79),34,8))&gt;=0,FALSE),IFERROR(HEX2DEC(MID(("x"&amp;H79),42,8))&gt;=0,FALSE),IFERROR(HEX2DEC(MID(("x"&amp;H79),50,8))&gt;=0,FALSE),IFERROR(HEX2DEC(MID(("x"&amp;H79),58,8))&gt;=0,FALSE)),AND(ISTEXT(I79),LEN(("x"&amp;I79))=65,EXACT(("x"&amp;I79),LOWER(("x"&amp;I79))),ISERROR(SEARCH(" ",("x"&amp;I79))),ISERROR(SEARCH(CHAR(9),("x"&amp;I79))),ISERROR(SEARCH(CHAR(10),("x"&amp;I79))),ISERROR(SEARCH(CHAR(13),("x"&amp;I79))),IFERROR(HEX2DEC(MID(("x"&amp;I79),2,8))&gt;=0,FALSE),IFERROR(HEX2DEC(MID(("x"&amp;I79),10,8))&gt;=0,FALSE),IFERROR(HEX2DEC(MID(("x"&amp;I79),18,8))&gt;=0,FALSE),IFERROR(HEX2DEC(MID(("x"&amp;I79),26,8))&gt;=0,FALSE),IFERROR(HEX2DEC(MID(("x"&amp;I79),34,8))&gt;=0,FALSE),IFERROR(HEX2DEC(MID(("x"&amp;I79),42,8))&gt;=0,FALSE),IFERROR(HEX2DEC(MID(("x"&amp;I79),50,8))&gt;=0,FALSE),IFERROR(HEX2DEC(MID(("x"&amp;I79),58,8))&gt;=0,FALSE))),IF(EXACT("x"&amp;H79,"x"&amp;I79),AA79,AB79),"LEXEMA_O_FORMA"),IF(W79="PRUEBA",IF(H79=X79,AA79,IF(H79=Z79,AB79,"LEXEMA_O_FORMA")),IF(W79="RETIRADA",IF(AND(H79="NINGUNO",I79=""),IF(J79="COMPLETA",AB79,"COBERTURA_INSUFICIENTE"),IF(AND(OR(H79="uoInstallation",H79="uoUninstallation"),OR(I79="orcSucceeded",I79="orcSucceededWithErrors",I79="orcFailed",I79="orcAborted",I79="orcInProgress",I79="orcNotStarted")),IF(AND(H79=X79,I79=Y79),AA79,IF(AND(H79=X79,OR(I79="orcSucceededWithErrors",I79="orcInProgress",I79="orcNotStarted")),"RESULTADO_RETIRADA_INCIERTO",IF(J79="COMPLETA",AB79,"COBERTURA_INSUFICIENTE"))),"LEXEMA_O_FORMA")),IF(W79="CAMBIO",IF(OR(H79="CAMBIO",H79="CAMBIO_Y_RETORNO"),AA79,IF(OR(H79="NINGUNO",H79="SOLO_RENOMBRE"),IF(J79="COMPLETA",AB79,"COBERTURA_INSUFICIENTE"),"LEXEMA_O_FORMA")),IF(W79="RESTAURACION",IF(H79=X79,AA79,IF(OR(H79="NINGUNO",H79="RESTAURACION_POSTERIOR",H79="RESTAURACION_FALLIDA"),IF(J79="COMPLETA",AB79,"COBERTURA_INSUFICIENTE"),"LEXEMA_O_FORMA")),"PERFIL_NO_CONSTITUIDO"))))))))))))))))))</x:f>
        <x:v>SIN_EJECUCION_DOMINIO</x:v>
      </x:c>
      <x:c r="R79" s="12" t="str">
        <x:f>IF(AND(L79=O79,M79=P79,N79=Q79),"PASA","NO_PASA")</x:f>
        <x:v>PASA</x:v>
      </x:c>
      <x:c r="S79" s="4" t="str">
        <x:v>El observador falla; no existe ejecución de dominio ni Tri alternativo.</x:v>
      </x:c>
      <x:c r="T79" s="12" t="str">
        <x:f>IFERROR(INDEX('55_Codificacion_ensayo'!$B$5:$B$13,MATCH(B79,'55_Codificacion_ensayo'!$A$5:$A$13,0)),"")</x:f>
        <x:v>COMPROBACION-CRITERIO-UNITARIO-0.1</x:v>
      </x:c>
      <x:c r="U79" s="12" t="str">
        <x:f>IFERROR(INDEX('55_Codificacion_ensayo'!$C$5:$C$13,MATCH(B79,'55_Codificacion_ensayo'!$A$5:$A$13,0)),"")</x:f>
        <x:v>INFORME_PRUEBA</x:v>
      </x:c>
      <x:c r="V79" s="12" t="str">
        <x:f>IFERROR(INDEX('55_Codificacion_ensayo'!$D$5:$D$13,MATCH(B79,'55_Codificacion_ensayo'!$A$5:$A$13,0)),"")</x:f>
        <x:v>ORACULO_UNITARIO</x:v>
      </x:c>
      <x:c r="W79" s="12" t="str">
        <x:f>IFERROR(INDEX('55_Codificacion_ensayo'!$E$5:$E$13,MATCH(B79,'55_Codificacion_ensayo'!$A$5:$A$13,0)),"")</x:f>
        <x:v>PRUEBA</x:v>
      </x:c>
      <x:c r="X79" s="12" t="str">
        <x:f>IFERROR(INDEX('55_Codificacion_ensayo'!$F$5:$F$13,MATCH(B79,'55_Codificacion_ensayo'!$A$5:$A$13,0)),"")</x:f>
        <x:v>CRITERIO_CUMPLIDO</x:v>
      </x:c>
      <x:c r="Y79" s="12" t="str">
        <x:f>IFERROR(INDEX('55_Codificacion_ensayo'!$G$5:$G$13,MATCH(B79,'55_Codificacion_ensayo'!$A$5:$A$13,0)),"")</x:f>
      </x:c>
      <x:c r="Z79" s="12" t="str">
        <x:f>IFERROR(INDEX('55_Codificacion_ensayo'!$H$5:$H$13,MATCH(B79,'55_Codificacion_ensayo'!$A$5:$A$13,0)),"")</x:f>
        <x:v>CRITERIO_NO_CUMPLIDO</x:v>
      </x:c>
      <x:c r="AA79" s="12" t="str">
        <x:f>IFERROR(INDEX('55_Codificacion_ensayo'!$I$5:$I$13,MATCH(B79,'55_Codificacion_ensayo'!$A$5:$A$13,0)),"")</x:f>
        <x:v>CRITERIO_POSITIVO</x:v>
      </x:c>
      <x:c r="AB79" s="12" t="str">
        <x:f>IFERROR(INDEX('55_Codificacion_ensayo'!$J$5:$J$13,MATCH(B79,'55_Codificacion_ensayo'!$A$5:$A$13,0)),"")</x:f>
        <x:v>CRITERIO_NEGATIVO</x:v>
      </x:c>
    </x:row>
    <x:row r="80" ht="47" customHeight="1">
      <x:c r="A80" s="4" t="str">
        <x:v>L10-07-06</x:v>
      </x:c>
      <x:c r="B80" s="4" t="str">
        <x:v>PAR-CYB-COMPROBACION-POSITIVA-001</x:v>
      </x:c>
      <x:c r="C80" s="4" t="str">
        <x:v>COMPROBACION-CRITERIO-UNITARIO-0.1</x:v>
      </x:c>
      <x:c r="D80" s="4" t="str">
        <x:v>OTRO</x:v>
      </x:c>
      <x:c r="E80" s="4" t="str">
        <x:v>LEGIBLE</x:v>
      </x:c>
      <x:c r="F80" s="4" t="str">
        <x:v>INFORME_PRUEBA</x:v>
      </x:c>
      <x:c r="G80" s="4" t="str">
        <x:v>UNICA</x:v>
      </x:c>
      <x:c r="H80" s="4" t="str">
        <x:v>CRITERIO_CUMPLIDO</x:v>
      </x:c>
      <x:c r="I80" s="4" t="str"/>
      <x:c r="J80" s="4" t="str">
        <x:v>COMPLETA</x:v>
      </x:c>
      <x:c r="K80" s="4" t="str">
        <x:v>ORACULO_UNITARIO</x:v>
      </x:c>
      <x:c r="L80" s="4" t="str">
        <x:v>NO_ADMISION</x:v>
      </x:c>
      <x:c r="M80" s="4" t="str"/>
      <x:c r="N80" s="4" t="str">
        <x:v>IDENTIDAD</x:v>
      </x:c>
      <x:c r="O80" s="12" t="str">
        <x:f>IF(Q80="SIN_EJECUCION_DOMINIO","FALLO_CAPTURA",IF(OR(Q80="CAPTURA_MAL_FORMADA",Q80="IDENTIDAD",Q80="OBSERVACION_MAL_FORMADA",Q80="LEXEMA_O_FORMA"),"NO_ADMISION",IF(OR(Q80="PERFIL_NO_CONSTITUIDO",Q80="RESULTADO_NO_TERMINAL"),"FUERA_PERFIL",IF(Q80="CONTEXTO_NO_CONSTITUIDO","CONFIGURACION_PENDIENTE","VALIDA"))))</x:f>
        <x:v>NO_ADMISION</x:v>
      </x:c>
      <x:c r="P80" s="12" t="str">
        <x:f>IF(O80&lt;&gt;"VALIDA","",IF(Q80=AA80,"1",IF(Q80=AB80,"0","U")))</x:f>
      </x:c>
      <x:c r="Q80" s="12" t="str">
        <x:f>IF(E80="FALLO","SIN_EJECUCION_DOMINIO",IF(E80&lt;&gt;"LEGIBLE","CAPTURA_MAL_FORMADA",IF(D80&lt;&gt;"COINCIDE","IDENTIDAD",IF(OR(T80="",C80&lt;&gt;T80),"PERFIL_NO_CONSTITUIDO",IF(K80&lt;&gt;V80,IF(V80="ORDEN_ACREDITADO","ORDEN_NO_ACREDITADO","CONTEXTO_NO_CONSTITUIDO"),IF(AND(G80="AUSENTE",H80="",I80=""),"DATO_AUSENTE",IF(AND(G80="CONFLICTO",H80="",I80=""),"CONFLICTO_OBSERVACIONAL",IF(G80&lt;&gt;"UNICA","OBSERVACION_MAL_FORMADA",IF(F80&lt;&gt;U80,"OBSERVACION_INSUFICIENTE",IF(W80="RESULTADO",IF(H80=X80,AA80,IF(OR(H80="orcSucceededWithErrors",H80="orcFailed",H80="orcAborted"),AB80,IF(OR(H80="orcNotStarted",H80="orcInProgress"),"RESULTADO_NO_TERMINAL","LEXEMA_O_FORMA"))),IF(W80="EVENTO_BOOT",IF(H80=X80,AA80,IF(OR(H80="NINGUNO",H80="SOLO_HIBRIDO"),IF(J80="COMPLETA",AB80,"COBERTURA_INSUFICIENTE"),"LEXEMA_O_FORMA")),IF(W80="REQUISITO_SOFT",IF(H80=X80,AA80,IF(H80=Z80,AB80,"LEXEMA_O_FORMA")),IF(W80="EVENTO_PROC",IF(H80=X80,AA80,IF(H80=Z80,IF(J80="COMPLETA",AB80,"COBERTURA_INSUFICIENTE"),"LEXEMA_O_FORMA")),IF(W80="IMAGEN",IF(AND(AND(ISTEXT(H80),LEN(("x"&amp;H80))=65,EXACT(("x"&amp;H80),LOWER(("x"&amp;H80))),ISERROR(SEARCH(" ",("x"&amp;H80))),ISERROR(SEARCH(CHAR(9),("x"&amp;H80))),ISERROR(SEARCH(CHAR(10),("x"&amp;H80))),ISERROR(SEARCH(CHAR(13),("x"&amp;H80))),IFERROR(HEX2DEC(MID(("x"&amp;H80),2,8))&gt;=0,FALSE),IFERROR(HEX2DEC(MID(("x"&amp;H80),10,8))&gt;=0,FALSE),IFERROR(HEX2DEC(MID(("x"&amp;H80),18,8))&gt;=0,FALSE),IFERROR(HEX2DEC(MID(("x"&amp;H80),26,8))&gt;=0,FALSE),IFERROR(HEX2DEC(MID(("x"&amp;H80),34,8))&gt;=0,FALSE),IFERROR(HEX2DEC(MID(("x"&amp;H80),42,8))&gt;=0,FALSE),IFERROR(HEX2DEC(MID(("x"&amp;H80),50,8))&gt;=0,FALSE),IFERROR(HEX2DEC(MID(("x"&amp;H80),58,8))&gt;=0,FALSE)),AND(ISTEXT(I80),LEN(("x"&amp;I80))=65,EXACT(("x"&amp;I80),LOWER(("x"&amp;I80))),ISERROR(SEARCH(" ",("x"&amp;I80))),ISERROR(SEARCH(CHAR(9),("x"&amp;I80))),ISERROR(SEARCH(CHAR(10),("x"&amp;I80))),ISERROR(SEARCH(CHAR(13),("x"&amp;I80))),IFERROR(HEX2DEC(MID(("x"&amp;I80),2,8))&gt;=0,FALSE),IFERROR(HEX2DEC(MID(("x"&amp;I80),10,8))&gt;=0,FALSE),IFERROR(HEX2DEC(MID(("x"&amp;I80),18,8))&gt;=0,FALSE),IFERROR(HEX2DEC(MID(("x"&amp;I80),26,8))&gt;=0,FALSE),IFERROR(HEX2DEC(MID(("x"&amp;I80),34,8))&gt;=0,FALSE),IFERROR(HEX2DEC(MID(("x"&amp;I80),42,8))&gt;=0,FALSE),IFERROR(HEX2DEC(MID(("x"&amp;I80),50,8))&gt;=0,FALSE),IFERROR(HEX2DEC(MID(("x"&amp;I80),58,8))&gt;=0,FALSE))),IF(EXACT("x"&amp;H80,"x"&amp;I80),AA80,AB80),"LEXEMA_O_FORMA"),IF(W80="PRUEBA",IF(H80=X80,AA80,IF(H80=Z80,AB80,"LEXEMA_O_FORMA")),IF(W80="RETIRADA",IF(AND(H80="NINGUNO",I80=""),IF(J80="COMPLETA",AB80,"COBERTURA_INSUFICIENTE"),IF(AND(OR(H80="uoInstallation",H80="uoUninstallation"),OR(I80="orcSucceeded",I80="orcSucceededWithErrors",I80="orcFailed",I80="orcAborted",I80="orcInProgress",I80="orcNotStarted")),IF(AND(H80=X80,I80=Y80),AA80,IF(AND(H80=X80,OR(I80="orcSucceededWithErrors",I80="orcInProgress",I80="orcNotStarted")),"RESULTADO_RETIRADA_INCIERTO",IF(J80="COMPLETA",AB80,"COBERTURA_INSUFICIENTE"))),"LEXEMA_O_FORMA")),IF(W80="CAMBIO",IF(OR(H80="CAMBIO",H80="CAMBIO_Y_RETORNO"),AA80,IF(OR(H80="NINGUNO",H80="SOLO_RENOMBRE"),IF(J80="COMPLETA",AB80,"COBERTURA_INSUFICIENTE"),"LEXEMA_O_FORMA")),IF(W80="RESTAURACION",IF(H80=X80,AA80,IF(OR(H80="NINGUNO",H80="RESTAURACION_POSTERIOR",H80="RESTAURACION_FALLIDA"),IF(J80="COMPLETA",AB80,"COBERTURA_INSUFICIENTE"),"LEXEMA_O_FORMA")),"PERFIL_NO_CONSTITUIDO"))))))))))))))))))</x:f>
        <x:v>IDENTIDAD</x:v>
      </x:c>
      <x:c r="R80" s="12" t="str">
        <x:f>IF(AND(L80=O80,M80=P80,N80=Q80),"PASA","NO_PASA")</x:f>
        <x:v>PASA</x:v>
      </x:c>
      <x:c r="S80" s="4" t="str">
        <x:v>El testigo pertenece a otro sujeto; no se recicla su dato.</x:v>
      </x:c>
      <x:c r="T80" s="12" t="str">
        <x:f>IFERROR(INDEX('55_Codificacion_ensayo'!$B$5:$B$13,MATCH(B80,'55_Codificacion_ensayo'!$A$5:$A$13,0)),"")</x:f>
        <x:v>COMPROBACION-CRITERIO-UNITARIO-0.1</x:v>
      </x:c>
      <x:c r="U80" s="12" t="str">
        <x:f>IFERROR(INDEX('55_Codificacion_ensayo'!$C$5:$C$13,MATCH(B80,'55_Codificacion_ensayo'!$A$5:$A$13,0)),"")</x:f>
        <x:v>INFORME_PRUEBA</x:v>
      </x:c>
      <x:c r="V80" s="12" t="str">
        <x:f>IFERROR(INDEX('55_Codificacion_ensayo'!$D$5:$D$13,MATCH(B80,'55_Codificacion_ensayo'!$A$5:$A$13,0)),"")</x:f>
        <x:v>ORACULO_UNITARIO</x:v>
      </x:c>
      <x:c r="W80" s="12" t="str">
        <x:f>IFERROR(INDEX('55_Codificacion_ensayo'!$E$5:$E$13,MATCH(B80,'55_Codificacion_ensayo'!$A$5:$A$13,0)),"")</x:f>
        <x:v>PRUEBA</x:v>
      </x:c>
      <x:c r="X80" s="12" t="str">
        <x:f>IFERROR(INDEX('55_Codificacion_ensayo'!$F$5:$F$13,MATCH(B80,'55_Codificacion_ensayo'!$A$5:$A$13,0)),"")</x:f>
        <x:v>CRITERIO_CUMPLIDO</x:v>
      </x:c>
      <x:c r="Y80" s="12" t="str">
        <x:f>IFERROR(INDEX('55_Codificacion_ensayo'!$G$5:$G$13,MATCH(B80,'55_Codificacion_ensayo'!$A$5:$A$13,0)),"")</x:f>
      </x:c>
      <x:c r="Z80" s="12" t="str">
        <x:f>IFERROR(INDEX('55_Codificacion_ensayo'!$H$5:$H$13,MATCH(B80,'55_Codificacion_ensayo'!$A$5:$A$13,0)),"")</x:f>
        <x:v>CRITERIO_NO_CUMPLIDO</x:v>
      </x:c>
      <x:c r="AA80" s="12" t="str">
        <x:f>IFERROR(INDEX('55_Codificacion_ensayo'!$I$5:$I$13,MATCH(B80,'55_Codificacion_ensayo'!$A$5:$A$13,0)),"")</x:f>
        <x:v>CRITERIO_POSITIVO</x:v>
      </x:c>
      <x:c r="AB80" s="12" t="str">
        <x:f>IFERROR(INDEX('55_Codificacion_ensayo'!$J$5:$J$13,MATCH(B80,'55_Codificacion_ensayo'!$A$5:$A$13,0)),"")</x:f>
        <x:v>CRITERIO_NEGATIVO</x:v>
      </x:c>
    </x:row>
    <x:row r="81" ht="47" customHeight="1">
      <x:c r="A81" s="4" t="str">
        <x:v>L10-07-07</x:v>
      </x:c>
      <x:c r="B81" s="4" t="str">
        <x:v>PAR-CYB-COMPROBACION-POSITIVA-001</x:v>
      </x:c>
      <x:c r="C81" s="4" t="str">
        <x:v>COMPROBACION-CRITERIO-UNITARIO-0.1</x:v>
      </x:c>
      <x:c r="D81" s="4" t="str">
        <x:v>COINCIDE</x:v>
      </x:c>
      <x:c r="E81" s="4" t="str">
        <x:v>LEGIBLE</x:v>
      </x:c>
      <x:c r="F81" s="4" t="str">
        <x:v>FUENTE_GENERAL</x:v>
      </x:c>
      <x:c r="G81" s="4" t="str">
        <x:v>UNICA</x:v>
      </x:c>
      <x:c r="H81" s="4" t="str">
        <x:v>CRITERIO_CUMPLIDO</x:v>
      </x:c>
      <x:c r="I81" s="4" t="str"/>
      <x:c r="J81" s="4" t="str">
        <x:v>COMPLETA</x:v>
      </x:c>
      <x:c r="K81" s="4" t="str">
        <x:v>ORACULO_UNITARIO</x:v>
      </x:c>
      <x:c r="L81" s="4" t="str">
        <x:v>VALIDA</x:v>
      </x:c>
      <x:c r="M81" s="4" t="str">
        <x:v>U</x:v>
      </x:c>
      <x:c r="N81" s="4" t="str">
        <x:v>OBSERVACION_INSUFICIENTE</x:v>
      </x:c>
      <x:c r="O81" s="12" t="str">
        <x:f>IF(Q81="SIN_EJECUCION_DOMINIO","FALLO_CAPTURA",IF(OR(Q81="CAPTURA_MAL_FORMADA",Q81="IDENTIDAD",Q81="OBSERVACION_MAL_FORMADA",Q81="LEXEMA_O_FORMA"),"NO_ADMISION",IF(OR(Q81="PERFIL_NO_CONSTITUIDO",Q81="RESULTADO_NO_TERMINAL"),"FUERA_PERFIL",IF(Q81="CONTEXTO_NO_CONSTITUIDO","CONFIGURACION_PENDIENTE","VALIDA"))))</x:f>
        <x:v>VALIDA</x:v>
      </x:c>
      <x:c r="P81" s="12" t="str">
        <x:f>IF(O81&lt;&gt;"VALIDA","",IF(Q81=AA81,"1",IF(Q81=AB81,"0","U")))</x:f>
        <x:v>U</x:v>
      </x:c>
      <x:c r="Q81" s="12" t="str">
        <x:f>IF(E81="FALLO","SIN_EJECUCION_DOMINIO",IF(E81&lt;&gt;"LEGIBLE","CAPTURA_MAL_FORMADA",IF(D81&lt;&gt;"COINCIDE","IDENTIDAD",IF(OR(T81="",C81&lt;&gt;T81),"PERFIL_NO_CONSTITUIDO",IF(K81&lt;&gt;V81,IF(V81="ORDEN_ACREDITADO","ORDEN_NO_ACREDITADO","CONTEXTO_NO_CONSTITUIDO"),IF(AND(G81="AUSENTE",H81="",I81=""),"DATO_AUSENTE",IF(AND(G81="CONFLICTO",H81="",I81=""),"CONFLICTO_OBSERVACIONAL",IF(G81&lt;&gt;"UNICA","OBSERVACION_MAL_FORMADA",IF(F81&lt;&gt;U81,"OBSERVACION_INSUFICIENTE",IF(W81="RESULTADO",IF(H81=X81,AA81,IF(OR(H81="orcSucceededWithErrors",H81="orcFailed",H81="orcAborted"),AB81,IF(OR(H81="orcNotStarted",H81="orcInProgress"),"RESULTADO_NO_TERMINAL","LEXEMA_O_FORMA"))),IF(W81="EVENTO_BOOT",IF(H81=X81,AA81,IF(OR(H81="NINGUNO",H81="SOLO_HIBRIDO"),IF(J81="COMPLETA",AB81,"COBERTURA_INSUFICIENTE"),"LEXEMA_O_FORMA")),IF(W81="REQUISITO_SOFT",IF(H81=X81,AA81,IF(H81=Z81,AB81,"LEXEMA_O_FORMA")),IF(W81="EVENTO_PROC",IF(H81=X81,AA81,IF(H81=Z81,IF(J81="COMPLETA",AB81,"COBERTURA_INSUFICIENTE"),"LEXEMA_O_FORMA")),IF(W81="IMAGEN",IF(AND(AND(ISTEXT(H81),LEN(("x"&amp;H81))=65,EXACT(("x"&amp;H81),LOWER(("x"&amp;H81))),ISERROR(SEARCH(" ",("x"&amp;H81))),ISERROR(SEARCH(CHAR(9),("x"&amp;H81))),ISERROR(SEARCH(CHAR(10),("x"&amp;H81))),ISERROR(SEARCH(CHAR(13),("x"&amp;H81))),IFERROR(HEX2DEC(MID(("x"&amp;H81),2,8))&gt;=0,FALSE),IFERROR(HEX2DEC(MID(("x"&amp;H81),10,8))&gt;=0,FALSE),IFERROR(HEX2DEC(MID(("x"&amp;H81),18,8))&gt;=0,FALSE),IFERROR(HEX2DEC(MID(("x"&amp;H81),26,8))&gt;=0,FALSE),IFERROR(HEX2DEC(MID(("x"&amp;H81),34,8))&gt;=0,FALSE),IFERROR(HEX2DEC(MID(("x"&amp;H81),42,8))&gt;=0,FALSE),IFERROR(HEX2DEC(MID(("x"&amp;H81),50,8))&gt;=0,FALSE),IFERROR(HEX2DEC(MID(("x"&amp;H81),58,8))&gt;=0,FALSE)),AND(ISTEXT(I81),LEN(("x"&amp;I81))=65,EXACT(("x"&amp;I81),LOWER(("x"&amp;I81))),ISERROR(SEARCH(" ",("x"&amp;I81))),ISERROR(SEARCH(CHAR(9),("x"&amp;I81))),ISERROR(SEARCH(CHAR(10),("x"&amp;I81))),ISERROR(SEARCH(CHAR(13),("x"&amp;I81))),IFERROR(HEX2DEC(MID(("x"&amp;I81),2,8))&gt;=0,FALSE),IFERROR(HEX2DEC(MID(("x"&amp;I81),10,8))&gt;=0,FALSE),IFERROR(HEX2DEC(MID(("x"&amp;I81),18,8))&gt;=0,FALSE),IFERROR(HEX2DEC(MID(("x"&amp;I81),26,8))&gt;=0,FALSE),IFERROR(HEX2DEC(MID(("x"&amp;I81),34,8))&gt;=0,FALSE),IFERROR(HEX2DEC(MID(("x"&amp;I81),42,8))&gt;=0,FALSE),IFERROR(HEX2DEC(MID(("x"&amp;I81),50,8))&gt;=0,FALSE),IFERROR(HEX2DEC(MID(("x"&amp;I81),58,8))&gt;=0,FALSE))),IF(EXACT("x"&amp;H81,"x"&amp;I81),AA81,AB81),"LEXEMA_O_FORMA"),IF(W81="PRUEBA",IF(H81=X81,AA81,IF(H81=Z81,AB81,"LEXEMA_O_FORMA")),IF(W81="RETIRADA",IF(AND(H81="NINGUNO",I81=""),IF(J81="COMPLETA",AB81,"COBERTURA_INSUFICIENTE"),IF(AND(OR(H81="uoInstallation",H81="uoUninstallation"),OR(I81="orcSucceeded",I81="orcSucceededWithErrors",I81="orcFailed",I81="orcAborted",I81="orcInProgress",I81="orcNotStarted")),IF(AND(H81=X81,I81=Y81),AA81,IF(AND(H81=X81,OR(I81="orcSucceededWithErrors",I81="orcInProgress",I81="orcNotStarted")),"RESULTADO_RETIRADA_INCIERTO",IF(J81="COMPLETA",AB81,"COBERTURA_INSUFICIENTE"))),"LEXEMA_O_FORMA")),IF(W81="CAMBIO",IF(OR(H81="CAMBIO",H81="CAMBIO_Y_RETORNO"),AA81,IF(OR(H81="NINGUNO",H81="SOLO_RENOMBRE"),IF(J81="COMPLETA",AB81,"COBERTURA_INSUFICIENTE"),"LEXEMA_O_FORMA")),IF(W81="RESTAURACION",IF(H81=X81,AA81,IF(OR(H81="NINGUNO",H81="RESTAURACION_POSTERIOR",H81="RESTAURACION_FALLIDA"),IF(J81="COMPLETA",AB81,"COBERTURA_INSUFICIENTE"),"LEXEMA_O_FORMA")),"PERFIL_NO_CONSTITUIDO"))))))))))))))))))</x:f>
        <x:v>OBSERVACION_INSUFICIENTE</x:v>
      </x:c>
      <x:c r="R81" s="12" t="str">
        <x:f>IF(AND(L81=O81,M81=P81,N81=Q81),"PASA","NO_PASA")</x:f>
        <x:v>PASA</x:v>
      </x:c>
      <x:c r="S81" s="4" t="str">
        <x:v>Una fuente del dominio no sustituye la observación específica del episodio.</x:v>
      </x:c>
      <x:c r="T81" s="12" t="str">
        <x:f>IFERROR(INDEX('55_Codificacion_ensayo'!$B$5:$B$13,MATCH(B81,'55_Codificacion_ensayo'!$A$5:$A$13,0)),"")</x:f>
        <x:v>COMPROBACION-CRITERIO-UNITARIO-0.1</x:v>
      </x:c>
      <x:c r="U81" s="12" t="str">
        <x:f>IFERROR(INDEX('55_Codificacion_ensayo'!$C$5:$C$13,MATCH(B81,'55_Codificacion_ensayo'!$A$5:$A$13,0)),"")</x:f>
        <x:v>INFORME_PRUEBA</x:v>
      </x:c>
      <x:c r="V81" s="12" t="str">
        <x:f>IFERROR(INDEX('55_Codificacion_ensayo'!$D$5:$D$13,MATCH(B81,'55_Codificacion_ensayo'!$A$5:$A$13,0)),"")</x:f>
        <x:v>ORACULO_UNITARIO</x:v>
      </x:c>
      <x:c r="W81" s="12" t="str">
        <x:f>IFERROR(INDEX('55_Codificacion_ensayo'!$E$5:$E$13,MATCH(B81,'55_Codificacion_ensayo'!$A$5:$A$13,0)),"")</x:f>
        <x:v>PRUEBA</x:v>
      </x:c>
      <x:c r="X81" s="12" t="str">
        <x:f>IFERROR(INDEX('55_Codificacion_ensayo'!$F$5:$F$13,MATCH(B81,'55_Codificacion_ensayo'!$A$5:$A$13,0)),"")</x:f>
        <x:v>CRITERIO_CUMPLIDO</x:v>
      </x:c>
      <x:c r="Y81" s="12" t="str">
        <x:f>IFERROR(INDEX('55_Codificacion_ensayo'!$G$5:$G$13,MATCH(B81,'55_Codificacion_ensayo'!$A$5:$A$13,0)),"")</x:f>
      </x:c>
      <x:c r="Z81" s="12" t="str">
        <x:f>IFERROR(INDEX('55_Codificacion_ensayo'!$H$5:$H$13,MATCH(B81,'55_Codificacion_ensayo'!$A$5:$A$13,0)),"")</x:f>
        <x:v>CRITERIO_NO_CUMPLIDO</x:v>
      </x:c>
      <x:c r="AA81" s="12" t="str">
        <x:f>IFERROR(INDEX('55_Codificacion_ensayo'!$I$5:$I$13,MATCH(B81,'55_Codificacion_ensayo'!$A$5:$A$13,0)),"")</x:f>
        <x:v>CRITERIO_POSITIVO</x:v>
      </x:c>
      <x:c r="AB81" s="12" t="str">
        <x:f>IFERROR(INDEX('55_Codificacion_ensayo'!$J$5:$J$13,MATCH(B81,'55_Codificacion_ensayo'!$A$5:$A$13,0)),"")</x:f>
        <x:v>CRITERIO_NEGATIVO</x:v>
      </x:c>
    </x:row>
    <x:row r="82" ht="47" customHeight="1">
      <x:c r="A82" s="4" t="str">
        <x:v>L10-07-08</x:v>
      </x:c>
      <x:c r="B82" s="4" t="str">
        <x:v>PAR-CYB-COMPROBACION-POSITIVA-001</x:v>
      </x:c>
      <x:c r="C82" s="4" t="str">
        <x:v>OTRO_PERFIL</x:v>
      </x:c>
      <x:c r="D82" s="4" t="str">
        <x:v>COINCIDE</x:v>
      </x:c>
      <x:c r="E82" s="4" t="str">
        <x:v>LEGIBLE</x:v>
      </x:c>
      <x:c r="F82" s="4" t="str">
        <x:v>INFORME_PRUEBA</x:v>
      </x:c>
      <x:c r="G82" s="4" t="str">
        <x:v>UNICA</x:v>
      </x:c>
      <x:c r="H82" s="4" t="str">
        <x:v>CRITERIO_CUMPLIDO</x:v>
      </x:c>
      <x:c r="I82" s="4" t="str"/>
      <x:c r="J82" s="4" t="str">
        <x:v>COMPLETA</x:v>
      </x:c>
      <x:c r="K82" s="4" t="str">
        <x:v>ORACULO_UNITARIO</x:v>
      </x:c>
      <x:c r="L82" s="4" t="str">
        <x:v>FUERA_PERFIL</x:v>
      </x:c>
      <x:c r="M82" s="4" t="str"/>
      <x:c r="N82" s="4" t="str">
        <x:v>PERFIL_NO_CONSTITUIDO</x:v>
      </x:c>
      <x:c r="O82" s="12" t="str">
        <x:f>IF(Q82="SIN_EJECUCION_DOMINIO","FALLO_CAPTURA",IF(OR(Q82="CAPTURA_MAL_FORMADA",Q82="IDENTIDAD",Q82="OBSERVACION_MAL_FORMADA",Q82="LEXEMA_O_FORMA"),"NO_ADMISION",IF(OR(Q82="PERFIL_NO_CONSTITUIDO",Q82="RESULTADO_NO_TERMINAL"),"FUERA_PERFIL",IF(Q82="CONTEXTO_NO_CONSTITUIDO","CONFIGURACION_PENDIENTE","VALIDA"))))</x:f>
        <x:v>FUERA_PERFIL</x:v>
      </x:c>
      <x:c r="P82" s="12" t="str">
        <x:f>IF(O82&lt;&gt;"VALIDA","",IF(Q82=AA82,"1",IF(Q82=AB82,"0","U")))</x:f>
      </x:c>
      <x:c r="Q82" s="12" t="str">
        <x:f>IF(E82="FALLO","SIN_EJECUCION_DOMINIO",IF(E82&lt;&gt;"LEGIBLE","CAPTURA_MAL_FORMADA",IF(D82&lt;&gt;"COINCIDE","IDENTIDAD",IF(OR(T82="",C82&lt;&gt;T82),"PERFIL_NO_CONSTITUIDO",IF(K82&lt;&gt;V82,IF(V82="ORDEN_ACREDITADO","ORDEN_NO_ACREDITADO","CONTEXTO_NO_CONSTITUIDO"),IF(AND(G82="AUSENTE",H82="",I82=""),"DATO_AUSENTE",IF(AND(G82="CONFLICTO",H82="",I82=""),"CONFLICTO_OBSERVACIONAL",IF(G82&lt;&gt;"UNICA","OBSERVACION_MAL_FORMADA",IF(F82&lt;&gt;U82,"OBSERVACION_INSUFICIENTE",IF(W82="RESULTADO",IF(H82=X82,AA82,IF(OR(H82="orcSucceededWithErrors",H82="orcFailed",H82="orcAborted"),AB82,IF(OR(H82="orcNotStarted",H82="orcInProgress"),"RESULTADO_NO_TERMINAL","LEXEMA_O_FORMA"))),IF(W82="EVENTO_BOOT",IF(H82=X82,AA82,IF(OR(H82="NINGUNO",H82="SOLO_HIBRIDO"),IF(J82="COMPLETA",AB82,"COBERTURA_INSUFICIENTE"),"LEXEMA_O_FORMA")),IF(W82="REQUISITO_SOFT",IF(H82=X82,AA82,IF(H82=Z82,AB82,"LEXEMA_O_FORMA")),IF(W82="EVENTO_PROC",IF(H82=X82,AA82,IF(H82=Z82,IF(J82="COMPLETA",AB82,"COBERTURA_INSUFICIENTE"),"LEXEMA_O_FORMA")),IF(W82="IMAGEN",IF(AND(AND(ISTEXT(H82),LEN(("x"&amp;H82))=65,EXACT(("x"&amp;H82),LOWER(("x"&amp;H82))),ISERROR(SEARCH(" ",("x"&amp;H82))),ISERROR(SEARCH(CHAR(9),("x"&amp;H82))),ISERROR(SEARCH(CHAR(10),("x"&amp;H82))),ISERROR(SEARCH(CHAR(13),("x"&amp;H82))),IFERROR(HEX2DEC(MID(("x"&amp;H82),2,8))&gt;=0,FALSE),IFERROR(HEX2DEC(MID(("x"&amp;H82),10,8))&gt;=0,FALSE),IFERROR(HEX2DEC(MID(("x"&amp;H82),18,8))&gt;=0,FALSE),IFERROR(HEX2DEC(MID(("x"&amp;H82),26,8))&gt;=0,FALSE),IFERROR(HEX2DEC(MID(("x"&amp;H82),34,8))&gt;=0,FALSE),IFERROR(HEX2DEC(MID(("x"&amp;H82),42,8))&gt;=0,FALSE),IFERROR(HEX2DEC(MID(("x"&amp;H82),50,8))&gt;=0,FALSE),IFERROR(HEX2DEC(MID(("x"&amp;H82),58,8))&gt;=0,FALSE)),AND(ISTEXT(I82),LEN(("x"&amp;I82))=65,EXACT(("x"&amp;I82),LOWER(("x"&amp;I82))),ISERROR(SEARCH(" ",("x"&amp;I82))),ISERROR(SEARCH(CHAR(9),("x"&amp;I82))),ISERROR(SEARCH(CHAR(10),("x"&amp;I82))),ISERROR(SEARCH(CHAR(13),("x"&amp;I82))),IFERROR(HEX2DEC(MID(("x"&amp;I82),2,8))&gt;=0,FALSE),IFERROR(HEX2DEC(MID(("x"&amp;I82),10,8))&gt;=0,FALSE),IFERROR(HEX2DEC(MID(("x"&amp;I82),18,8))&gt;=0,FALSE),IFERROR(HEX2DEC(MID(("x"&amp;I82),26,8))&gt;=0,FALSE),IFERROR(HEX2DEC(MID(("x"&amp;I82),34,8))&gt;=0,FALSE),IFERROR(HEX2DEC(MID(("x"&amp;I82),42,8))&gt;=0,FALSE),IFERROR(HEX2DEC(MID(("x"&amp;I82),50,8))&gt;=0,FALSE),IFERROR(HEX2DEC(MID(("x"&amp;I82),58,8))&gt;=0,FALSE))),IF(EXACT("x"&amp;H82,"x"&amp;I82),AA82,AB82),"LEXEMA_O_FORMA"),IF(W82="PRUEBA",IF(H82=X82,AA82,IF(H82=Z82,AB82,"LEXEMA_O_FORMA")),IF(W82="RETIRADA",IF(AND(H82="NINGUNO",I82=""),IF(J82="COMPLETA",AB82,"COBERTURA_INSUFICIENTE"),IF(AND(OR(H82="uoInstallation",H82="uoUninstallation"),OR(I82="orcSucceeded",I82="orcSucceededWithErrors",I82="orcFailed",I82="orcAborted",I82="orcInProgress",I82="orcNotStarted")),IF(AND(H82=X82,I82=Y82),AA82,IF(AND(H82=X82,OR(I82="orcSucceededWithErrors",I82="orcInProgress",I82="orcNotStarted")),"RESULTADO_RETIRADA_INCIERTO",IF(J82="COMPLETA",AB82,"COBERTURA_INSUFICIENTE"))),"LEXEMA_O_FORMA")),IF(W82="CAMBIO",IF(OR(H82="CAMBIO",H82="CAMBIO_Y_RETORNO"),AA82,IF(OR(H82="NINGUNO",H82="SOLO_RENOMBRE"),IF(J82="COMPLETA",AB82,"COBERTURA_INSUFICIENTE"),"LEXEMA_O_FORMA")),IF(W82="RESTAURACION",IF(H82=X82,AA82,IF(OR(H82="NINGUNO",H82="RESTAURACION_POSTERIOR",H82="RESTAURACION_FALLIDA"),IF(J82="COMPLETA",AB82,"COBERTURA_INSUFICIENTE"),"LEXEMA_O_FORMA")),"PERFIL_NO_CONSTITUIDO"))))))))))))))))))</x:f>
        <x:v>PERFIL_NO_CONSTITUIDO</x:v>
      </x:c>
      <x:c r="R82" s="12" t="str">
        <x:f>IF(AND(L82=O82,M82=P82,N82=Q82),"PASA","NO_PASA")</x:f>
        <x:v>PASA</x:v>
      </x:c>
      <x:c r="S82" s="4" t="str">
        <x:v>Perfil de otro producto no se normaliza por analogía.</x:v>
      </x:c>
      <x:c r="T82" s="12" t="str">
        <x:f>IFERROR(INDEX('55_Codificacion_ensayo'!$B$5:$B$13,MATCH(B82,'55_Codificacion_ensayo'!$A$5:$A$13,0)),"")</x:f>
        <x:v>COMPROBACION-CRITERIO-UNITARIO-0.1</x:v>
      </x:c>
      <x:c r="U82" s="12" t="str">
        <x:f>IFERROR(INDEX('55_Codificacion_ensayo'!$C$5:$C$13,MATCH(B82,'55_Codificacion_ensayo'!$A$5:$A$13,0)),"")</x:f>
        <x:v>INFORME_PRUEBA</x:v>
      </x:c>
      <x:c r="V82" s="12" t="str">
        <x:f>IFERROR(INDEX('55_Codificacion_ensayo'!$D$5:$D$13,MATCH(B82,'55_Codificacion_ensayo'!$A$5:$A$13,0)),"")</x:f>
        <x:v>ORACULO_UNITARIO</x:v>
      </x:c>
      <x:c r="W82" s="12" t="str">
        <x:f>IFERROR(INDEX('55_Codificacion_ensayo'!$E$5:$E$13,MATCH(B82,'55_Codificacion_ensayo'!$A$5:$A$13,0)),"")</x:f>
        <x:v>PRUEBA</x:v>
      </x:c>
      <x:c r="X82" s="12" t="str">
        <x:f>IFERROR(INDEX('55_Codificacion_ensayo'!$F$5:$F$13,MATCH(B82,'55_Codificacion_ensayo'!$A$5:$A$13,0)),"")</x:f>
        <x:v>CRITERIO_CUMPLIDO</x:v>
      </x:c>
      <x:c r="Y82" s="12" t="str">
        <x:f>IFERROR(INDEX('55_Codificacion_ensayo'!$G$5:$G$13,MATCH(B82,'55_Codificacion_ensayo'!$A$5:$A$13,0)),"")</x:f>
      </x:c>
      <x:c r="Z82" s="12" t="str">
        <x:f>IFERROR(INDEX('55_Codificacion_ensayo'!$H$5:$H$13,MATCH(B82,'55_Codificacion_ensayo'!$A$5:$A$13,0)),"")</x:f>
        <x:v>CRITERIO_NO_CUMPLIDO</x:v>
      </x:c>
      <x:c r="AA82" s="12" t="str">
        <x:f>IFERROR(INDEX('55_Codificacion_ensayo'!$I$5:$I$13,MATCH(B82,'55_Codificacion_ensayo'!$A$5:$A$13,0)),"")</x:f>
        <x:v>CRITERIO_POSITIVO</x:v>
      </x:c>
      <x:c r="AB82" s="12" t="str">
        <x:f>IFERROR(INDEX('55_Codificacion_ensayo'!$J$5:$J$13,MATCH(B82,'55_Codificacion_ensayo'!$A$5:$A$13,0)),"")</x:f>
        <x:v>CRITERIO_NEGATIVO</x:v>
      </x:c>
    </x:row>
    <x:row r="83" ht="47" customHeight="1">
      <x:c r="A83" s="4" t="str">
        <x:v>L10-07-09</x:v>
      </x:c>
      <x:c r="B83" s="4" t="str">
        <x:v>PAR-CYB-COMPROBACION-POSITIVA-001</x:v>
      </x:c>
      <x:c r="C83" s="4" t="str">
        <x:v>COMPROBACION-CRITERIO-UNITARIO-0.1</x:v>
      </x:c>
      <x:c r="D83" s="4" t="str">
        <x:v>COINCIDE</x:v>
      </x:c>
      <x:c r="E83" s="4" t="str">
        <x:v>LEGIBLE</x:v>
      </x:c>
      <x:c r="F83" s="4" t="str">
        <x:v>INFORME_PRUEBA</x:v>
      </x:c>
      <x:c r="G83" s="4" t="str">
        <x:v>UNICA</x:v>
      </x:c>
      <x:c r="H83" s="4" t="str">
        <x:v>true false desconocido</x:v>
      </x:c>
      <x:c r="I83" s="4" t="str"/>
      <x:c r="J83" s="4" t="str">
        <x:v>COMPLETA</x:v>
      </x:c>
      <x:c r="K83" s="4" t="str">
        <x:v>ORACULO_UNITARIO</x:v>
      </x:c>
      <x:c r="L83" s="4" t="str">
        <x:v>NO_ADMISION</x:v>
      </x:c>
      <x:c r="M83" s="4" t="str"/>
      <x:c r="N83" s="4" t="str">
        <x:v>LEXEMA_O_FORMA</x:v>
      </x:c>
      <x:c r="O83" s="12" t="str">
        <x:f>IF(Q83="SIN_EJECUCION_DOMINIO","FALLO_CAPTURA",IF(OR(Q83="CAPTURA_MAL_FORMADA",Q83="IDENTIDAD",Q83="OBSERVACION_MAL_FORMADA",Q83="LEXEMA_O_FORMA"),"NO_ADMISION",IF(OR(Q83="PERFIL_NO_CONSTITUIDO",Q83="RESULTADO_NO_TERMINAL"),"FUERA_PERFIL",IF(Q83="CONTEXTO_NO_CONSTITUIDO","CONFIGURACION_PENDIENTE","VALIDA"))))</x:f>
        <x:v>NO_ADMISION</x:v>
      </x:c>
      <x:c r="P83" s="12" t="str">
        <x:f>IF(O83&lt;&gt;"VALIDA","",IF(Q83=AA83,"1",IF(Q83=AB83,"0","U")))</x:f>
      </x:c>
      <x:c r="Q83" s="12" t="str">
        <x:f>IF(E83="FALLO","SIN_EJECUCION_DOMINIO",IF(E83&lt;&gt;"LEGIBLE","CAPTURA_MAL_FORMADA",IF(D83&lt;&gt;"COINCIDE","IDENTIDAD",IF(OR(T83="",C83&lt;&gt;T83),"PERFIL_NO_CONSTITUIDO",IF(K83&lt;&gt;V83,IF(V83="ORDEN_ACREDITADO","ORDEN_NO_ACREDITADO","CONTEXTO_NO_CONSTITUIDO"),IF(AND(G83="AUSENTE",H83="",I83=""),"DATO_AUSENTE",IF(AND(G83="CONFLICTO",H83="",I83=""),"CONFLICTO_OBSERVACIONAL",IF(G83&lt;&gt;"UNICA","OBSERVACION_MAL_FORMADA",IF(F83&lt;&gt;U83,"OBSERVACION_INSUFICIENTE",IF(W83="RESULTADO",IF(H83=X83,AA83,IF(OR(H83="orcSucceededWithErrors",H83="orcFailed",H83="orcAborted"),AB83,IF(OR(H83="orcNotStarted",H83="orcInProgress"),"RESULTADO_NO_TERMINAL","LEXEMA_O_FORMA"))),IF(W83="EVENTO_BOOT",IF(H83=X83,AA83,IF(OR(H83="NINGUNO",H83="SOLO_HIBRIDO"),IF(J83="COMPLETA",AB83,"COBERTURA_INSUFICIENTE"),"LEXEMA_O_FORMA")),IF(W83="REQUISITO_SOFT",IF(H83=X83,AA83,IF(H83=Z83,AB83,"LEXEMA_O_FORMA")),IF(W83="EVENTO_PROC",IF(H83=X83,AA83,IF(H83=Z83,IF(J83="COMPLETA",AB83,"COBERTURA_INSUFICIENTE"),"LEXEMA_O_FORMA")),IF(W83="IMAGEN",IF(AND(AND(ISTEXT(H83),LEN(("x"&amp;H83))=65,EXACT(("x"&amp;H83),LOWER(("x"&amp;H83))),ISERROR(SEARCH(" ",("x"&amp;H83))),ISERROR(SEARCH(CHAR(9),("x"&amp;H83))),ISERROR(SEARCH(CHAR(10),("x"&amp;H83))),ISERROR(SEARCH(CHAR(13),("x"&amp;H83))),IFERROR(HEX2DEC(MID(("x"&amp;H83),2,8))&gt;=0,FALSE),IFERROR(HEX2DEC(MID(("x"&amp;H83),10,8))&gt;=0,FALSE),IFERROR(HEX2DEC(MID(("x"&amp;H83),18,8))&gt;=0,FALSE),IFERROR(HEX2DEC(MID(("x"&amp;H83),26,8))&gt;=0,FALSE),IFERROR(HEX2DEC(MID(("x"&amp;H83),34,8))&gt;=0,FALSE),IFERROR(HEX2DEC(MID(("x"&amp;H83),42,8))&gt;=0,FALSE),IFERROR(HEX2DEC(MID(("x"&amp;H83),50,8))&gt;=0,FALSE),IFERROR(HEX2DEC(MID(("x"&amp;H83),58,8))&gt;=0,FALSE)),AND(ISTEXT(I83),LEN(("x"&amp;I83))=65,EXACT(("x"&amp;I83),LOWER(("x"&amp;I83))),ISERROR(SEARCH(" ",("x"&amp;I83))),ISERROR(SEARCH(CHAR(9),("x"&amp;I83))),ISERROR(SEARCH(CHAR(10),("x"&amp;I83))),ISERROR(SEARCH(CHAR(13),("x"&amp;I83))),IFERROR(HEX2DEC(MID(("x"&amp;I83),2,8))&gt;=0,FALSE),IFERROR(HEX2DEC(MID(("x"&amp;I83),10,8))&gt;=0,FALSE),IFERROR(HEX2DEC(MID(("x"&amp;I83),18,8))&gt;=0,FALSE),IFERROR(HEX2DEC(MID(("x"&amp;I83),26,8))&gt;=0,FALSE),IFERROR(HEX2DEC(MID(("x"&amp;I83),34,8))&gt;=0,FALSE),IFERROR(HEX2DEC(MID(("x"&amp;I83),42,8))&gt;=0,FALSE),IFERROR(HEX2DEC(MID(("x"&amp;I83),50,8))&gt;=0,FALSE),IFERROR(HEX2DEC(MID(("x"&amp;I83),58,8))&gt;=0,FALSE))),IF(EXACT("x"&amp;H83,"x"&amp;I83),AA83,AB83),"LEXEMA_O_FORMA"),IF(W83="PRUEBA",IF(H83=X83,AA83,IF(H83=Z83,AB83,"LEXEMA_O_FORMA")),IF(W83="RETIRADA",IF(AND(H83="NINGUNO",I83=""),IF(J83="COMPLETA",AB83,"COBERTURA_INSUFICIENTE"),IF(AND(OR(H83="uoInstallation",H83="uoUninstallation"),OR(I83="orcSucceeded",I83="orcSucceededWithErrors",I83="orcFailed",I83="orcAborted",I83="orcInProgress",I83="orcNotStarted")),IF(AND(H83=X83,I83=Y83),AA83,IF(AND(H83=X83,OR(I83="orcSucceededWithErrors",I83="orcInProgress",I83="orcNotStarted")),"RESULTADO_RETIRADA_INCIERTO",IF(J83="COMPLETA",AB83,"COBERTURA_INSUFICIENTE"))),"LEXEMA_O_FORMA")),IF(W83="CAMBIO",IF(OR(H83="CAMBIO",H83="CAMBIO_Y_RETORNO"),AA83,IF(OR(H83="NINGUNO",H83="SOLO_RENOMBRE"),IF(J83="COMPLETA",AB83,"COBERTURA_INSUFICIENTE"),"LEXEMA_O_FORMA")),IF(W83="RESTAURACION",IF(H83=X83,AA83,IF(OR(H83="NINGUNO",H83="RESTAURACION_POSTERIOR",H83="RESTAURACION_FALLIDA"),IF(J83="COMPLETA",AB83,"COBERTURA_INSUFICIENTE"),"LEXEMA_O_FORMA")),"PERFIL_NO_CONSTITUIDO"))))))))))))))))))</x:f>
        <x:v>LEXEMA_O_FORMA</x:v>
      </x:c>
      <x:c r="R83" s="12" t="str">
        <x:f>IF(AND(L83=O83,M83=P83,N83=Q83),"PASA","NO_PASA")</x:f>
        <x:v>PASA</x:v>
      </x:c>
      <x:c r="S83" s="4" t="str">
        <x:v>La observación usa un lexema ajeno al contrato.</x:v>
      </x:c>
      <x:c r="T83" s="12" t="str">
        <x:f>IFERROR(INDEX('55_Codificacion_ensayo'!$B$5:$B$13,MATCH(B83,'55_Codificacion_ensayo'!$A$5:$A$13,0)),"")</x:f>
        <x:v>COMPROBACION-CRITERIO-UNITARIO-0.1</x:v>
      </x:c>
      <x:c r="U83" s="12" t="str">
        <x:f>IFERROR(INDEX('55_Codificacion_ensayo'!$C$5:$C$13,MATCH(B83,'55_Codificacion_ensayo'!$A$5:$A$13,0)),"")</x:f>
        <x:v>INFORME_PRUEBA</x:v>
      </x:c>
      <x:c r="V83" s="12" t="str">
        <x:f>IFERROR(INDEX('55_Codificacion_ensayo'!$D$5:$D$13,MATCH(B83,'55_Codificacion_ensayo'!$A$5:$A$13,0)),"")</x:f>
        <x:v>ORACULO_UNITARIO</x:v>
      </x:c>
      <x:c r="W83" s="12" t="str">
        <x:f>IFERROR(INDEX('55_Codificacion_ensayo'!$E$5:$E$13,MATCH(B83,'55_Codificacion_ensayo'!$A$5:$A$13,0)),"")</x:f>
        <x:v>PRUEBA</x:v>
      </x:c>
      <x:c r="X83" s="12" t="str">
        <x:f>IFERROR(INDEX('55_Codificacion_ensayo'!$F$5:$F$13,MATCH(B83,'55_Codificacion_ensayo'!$A$5:$A$13,0)),"")</x:f>
        <x:v>CRITERIO_CUMPLIDO</x:v>
      </x:c>
      <x:c r="Y83" s="12" t="str">
        <x:f>IFERROR(INDEX('55_Codificacion_ensayo'!$G$5:$G$13,MATCH(B83,'55_Codificacion_ensayo'!$A$5:$A$13,0)),"")</x:f>
      </x:c>
      <x:c r="Z83" s="12" t="str">
        <x:f>IFERROR(INDEX('55_Codificacion_ensayo'!$H$5:$H$13,MATCH(B83,'55_Codificacion_ensayo'!$A$5:$A$13,0)),"")</x:f>
        <x:v>CRITERIO_NO_CUMPLIDO</x:v>
      </x:c>
      <x:c r="AA83" s="12" t="str">
        <x:f>IFERROR(INDEX('55_Codificacion_ensayo'!$I$5:$I$13,MATCH(B83,'55_Codificacion_ensayo'!$A$5:$A$13,0)),"")</x:f>
        <x:v>CRITERIO_POSITIVO</x:v>
      </x:c>
      <x:c r="AB83" s="12" t="str">
        <x:f>IFERROR(INDEX('55_Codificacion_ensayo'!$J$5:$J$13,MATCH(B83,'55_Codificacion_ensayo'!$A$5:$A$13,0)),"")</x:f>
        <x:v>CRITERIO_NEGATIVO</x:v>
      </x:c>
    </x:row>
    <x:row r="84" ht="47" customHeight="1">
      <x:c r="A84" s="4" t="str">
        <x:v>L10-07-10</x:v>
      </x:c>
      <x:c r="B84" s="4" t="str">
        <x:v>PAR-CYB-COMPROBACION-POSITIVA-001</x:v>
      </x:c>
      <x:c r="C84" s="4" t="str">
        <x:v>COMPROBACION-CRITERIO-UNITARIO-0.1</x:v>
      </x:c>
      <x:c r="D84" s="4" t="str">
        <x:v>COINCIDE</x:v>
      </x:c>
      <x:c r="E84" s="4" t="str">
        <x:v>LEGIBLE</x:v>
      </x:c>
      <x:c r="F84" s="4" t="str">
        <x:v>INFORME_PRUEBA</x:v>
      </x:c>
      <x:c r="G84" s="4" t="str">
        <x:v>UNICA</x:v>
      </x:c>
      <x:c r="H84" s="4" t="str">
        <x:v>CRITERIO_CUMPLIDO</x:v>
      </x:c>
      <x:c r="I84" s="4" t="str"/>
      <x:c r="J84" s="4" t="str">
        <x:v>COMPLETA</x:v>
      </x:c>
      <x:c r="K84" s="4" t="str">
        <x:v>PENDIENTE</x:v>
      </x:c>
      <x:c r="L84" s="4" t="str">
        <x:v>CONFIGURACION_PENDIENTE</x:v>
      </x:c>
      <x:c r="M84" s="4" t="str"/>
      <x:c r="N84" s="4" t="str">
        <x:v>CONTEXTO_NO_CONSTITUIDO</x:v>
      </x:c>
      <x:c r="O84" s="12" t="str">
        <x:f>IF(Q84="SIN_EJECUCION_DOMINIO","FALLO_CAPTURA",IF(OR(Q84="CAPTURA_MAL_FORMADA",Q84="IDENTIDAD",Q84="OBSERVACION_MAL_FORMADA",Q84="LEXEMA_O_FORMA"),"NO_ADMISION",IF(OR(Q84="PERFIL_NO_CONSTITUIDO",Q84="RESULTADO_NO_TERMINAL"),"FUERA_PERFIL",IF(Q84="CONTEXTO_NO_CONSTITUIDO","CONFIGURACION_PENDIENTE","VALIDA"))))</x:f>
        <x:v>CONFIGURACION_PENDIENTE</x:v>
      </x:c>
      <x:c r="P84" s="12" t="str">
        <x:f>IF(O84&lt;&gt;"VALIDA","",IF(Q84=AA84,"1",IF(Q84=AB84,"0","U")))</x:f>
      </x:c>
      <x:c r="Q84" s="12" t="str">
        <x:f>IF(E84="FALLO","SIN_EJECUCION_DOMINIO",IF(E84&lt;&gt;"LEGIBLE","CAPTURA_MAL_FORMADA",IF(D84&lt;&gt;"COINCIDE","IDENTIDAD",IF(OR(T84="",C84&lt;&gt;T84),"PERFIL_NO_CONSTITUIDO",IF(K84&lt;&gt;V84,IF(V84="ORDEN_ACREDITADO","ORDEN_NO_ACREDITADO","CONTEXTO_NO_CONSTITUIDO"),IF(AND(G84="AUSENTE",H84="",I84=""),"DATO_AUSENTE",IF(AND(G84="CONFLICTO",H84="",I84=""),"CONFLICTO_OBSERVACIONAL",IF(G84&lt;&gt;"UNICA","OBSERVACION_MAL_FORMADA",IF(F84&lt;&gt;U84,"OBSERVACION_INSUFICIENTE",IF(W84="RESULTADO",IF(H84=X84,AA84,IF(OR(H84="orcSucceededWithErrors",H84="orcFailed",H84="orcAborted"),AB84,IF(OR(H84="orcNotStarted",H84="orcInProgress"),"RESULTADO_NO_TERMINAL","LEXEMA_O_FORMA"))),IF(W84="EVENTO_BOOT",IF(H84=X84,AA84,IF(OR(H84="NINGUNO",H84="SOLO_HIBRIDO"),IF(J84="COMPLETA",AB84,"COBERTURA_INSUFICIENTE"),"LEXEMA_O_FORMA")),IF(W84="REQUISITO_SOFT",IF(H84=X84,AA84,IF(H84=Z84,AB84,"LEXEMA_O_FORMA")),IF(W84="EVENTO_PROC",IF(H84=X84,AA84,IF(H84=Z84,IF(J84="COMPLETA",AB84,"COBERTURA_INSUFICIENTE"),"LEXEMA_O_FORMA")),IF(W84="IMAGEN",IF(AND(AND(ISTEXT(H84),LEN(("x"&amp;H84))=65,EXACT(("x"&amp;H84),LOWER(("x"&amp;H84))),ISERROR(SEARCH(" ",("x"&amp;H84))),ISERROR(SEARCH(CHAR(9),("x"&amp;H84))),ISERROR(SEARCH(CHAR(10),("x"&amp;H84))),ISERROR(SEARCH(CHAR(13),("x"&amp;H84))),IFERROR(HEX2DEC(MID(("x"&amp;H84),2,8))&gt;=0,FALSE),IFERROR(HEX2DEC(MID(("x"&amp;H84),10,8))&gt;=0,FALSE),IFERROR(HEX2DEC(MID(("x"&amp;H84),18,8))&gt;=0,FALSE),IFERROR(HEX2DEC(MID(("x"&amp;H84),26,8))&gt;=0,FALSE),IFERROR(HEX2DEC(MID(("x"&amp;H84),34,8))&gt;=0,FALSE),IFERROR(HEX2DEC(MID(("x"&amp;H84),42,8))&gt;=0,FALSE),IFERROR(HEX2DEC(MID(("x"&amp;H84),50,8))&gt;=0,FALSE),IFERROR(HEX2DEC(MID(("x"&amp;H84),58,8))&gt;=0,FALSE)),AND(ISTEXT(I84),LEN(("x"&amp;I84))=65,EXACT(("x"&amp;I84),LOWER(("x"&amp;I84))),ISERROR(SEARCH(" ",("x"&amp;I84))),ISERROR(SEARCH(CHAR(9),("x"&amp;I84))),ISERROR(SEARCH(CHAR(10),("x"&amp;I84))),ISERROR(SEARCH(CHAR(13),("x"&amp;I84))),IFERROR(HEX2DEC(MID(("x"&amp;I84),2,8))&gt;=0,FALSE),IFERROR(HEX2DEC(MID(("x"&amp;I84),10,8))&gt;=0,FALSE),IFERROR(HEX2DEC(MID(("x"&amp;I84),18,8))&gt;=0,FALSE),IFERROR(HEX2DEC(MID(("x"&amp;I84),26,8))&gt;=0,FALSE),IFERROR(HEX2DEC(MID(("x"&amp;I84),34,8))&gt;=0,FALSE),IFERROR(HEX2DEC(MID(("x"&amp;I84),42,8))&gt;=0,FALSE),IFERROR(HEX2DEC(MID(("x"&amp;I84),50,8))&gt;=0,FALSE),IFERROR(HEX2DEC(MID(("x"&amp;I84),58,8))&gt;=0,FALSE))),IF(EXACT("x"&amp;H84,"x"&amp;I84),AA84,AB84),"LEXEMA_O_FORMA"),IF(W84="PRUEBA",IF(H84=X84,AA84,IF(H84=Z84,AB84,"LEXEMA_O_FORMA")),IF(W84="RETIRADA",IF(AND(H84="NINGUNO",I84=""),IF(J84="COMPLETA",AB84,"COBERTURA_INSUFICIENTE"),IF(AND(OR(H84="uoInstallation",H84="uoUninstallation"),OR(I84="orcSucceeded",I84="orcSucceededWithErrors",I84="orcFailed",I84="orcAborted",I84="orcInProgress",I84="orcNotStarted")),IF(AND(H84=X84,I84=Y84),AA84,IF(AND(H84=X84,OR(I84="orcSucceededWithErrors",I84="orcInProgress",I84="orcNotStarted")),"RESULTADO_RETIRADA_INCIERTO",IF(J84="COMPLETA",AB84,"COBERTURA_INSUFICIENTE"))),"LEXEMA_O_FORMA")),IF(W84="CAMBIO",IF(OR(H84="CAMBIO",H84="CAMBIO_Y_RETORNO"),AA84,IF(OR(H84="NINGUNO",H84="SOLO_RENOMBRE"),IF(J84="COMPLETA",AB84,"COBERTURA_INSUFICIENTE"),"LEXEMA_O_FORMA")),IF(W84="RESTAURACION",IF(H84=X84,AA84,IF(OR(H84="NINGUNO",H84="RESTAURACION_POSTERIOR",H84="RESTAURACION_FALLIDA"),IF(J84="COMPLETA",AB84,"COBERTURA_INSUFICIENTE"),"LEXEMA_O_FORMA")),"PERFIL_NO_CONSTITUIDO"))))))))))))))))))</x:f>
        <x:v>CONTEXTO_NO_CONSTITUIDO</x:v>
      </x:c>
      <x:c r="R84" s="12" t="str">
        <x:f>IF(AND(L84=O84,M84=P84,N84=Q84),"PASA","NO_PASA")</x:f>
        <x:v>PASA</x:v>
      </x:c>
      <x:c r="S84" s="4" t="str">
        <x:v>Falta el contexto profesional que fija qué se está evaluando.</x:v>
      </x:c>
      <x:c r="T84" s="12" t="str">
        <x:f>IFERROR(INDEX('55_Codificacion_ensayo'!$B$5:$B$13,MATCH(B84,'55_Codificacion_ensayo'!$A$5:$A$13,0)),"")</x:f>
        <x:v>COMPROBACION-CRITERIO-UNITARIO-0.1</x:v>
      </x:c>
      <x:c r="U84" s="12" t="str">
        <x:f>IFERROR(INDEX('55_Codificacion_ensayo'!$C$5:$C$13,MATCH(B84,'55_Codificacion_ensayo'!$A$5:$A$13,0)),"")</x:f>
        <x:v>INFORME_PRUEBA</x:v>
      </x:c>
      <x:c r="V84" s="12" t="str">
        <x:f>IFERROR(INDEX('55_Codificacion_ensayo'!$D$5:$D$13,MATCH(B84,'55_Codificacion_ensayo'!$A$5:$A$13,0)),"")</x:f>
        <x:v>ORACULO_UNITARIO</x:v>
      </x:c>
      <x:c r="W84" s="12" t="str">
        <x:f>IFERROR(INDEX('55_Codificacion_ensayo'!$E$5:$E$13,MATCH(B84,'55_Codificacion_ensayo'!$A$5:$A$13,0)),"")</x:f>
        <x:v>PRUEBA</x:v>
      </x:c>
      <x:c r="X84" s="12" t="str">
        <x:f>IFERROR(INDEX('55_Codificacion_ensayo'!$F$5:$F$13,MATCH(B84,'55_Codificacion_ensayo'!$A$5:$A$13,0)),"")</x:f>
        <x:v>CRITERIO_CUMPLIDO</x:v>
      </x:c>
      <x:c r="Y84" s="12" t="str">
        <x:f>IFERROR(INDEX('55_Codificacion_ensayo'!$G$5:$G$13,MATCH(B84,'55_Codificacion_ensayo'!$A$5:$A$13,0)),"")</x:f>
      </x:c>
      <x:c r="Z84" s="12" t="str">
        <x:f>IFERROR(INDEX('55_Codificacion_ensayo'!$H$5:$H$13,MATCH(B84,'55_Codificacion_ensayo'!$A$5:$A$13,0)),"")</x:f>
        <x:v>CRITERIO_NO_CUMPLIDO</x:v>
      </x:c>
      <x:c r="AA84" s="12" t="str">
        <x:f>IFERROR(INDEX('55_Codificacion_ensayo'!$I$5:$I$13,MATCH(B84,'55_Codificacion_ensayo'!$A$5:$A$13,0)),"")</x:f>
        <x:v>CRITERIO_POSITIVO</x:v>
      </x:c>
      <x:c r="AB84" s="12" t="str">
        <x:f>IFERROR(INDEX('55_Codificacion_ensayo'!$J$5:$J$13,MATCH(B84,'55_Codificacion_ensayo'!$A$5:$A$13,0)),"")</x:f>
        <x:v>CRITERIO_NEGATIVO</x:v>
      </x:c>
    </x:row>
    <x:row r="85" ht="47" customHeight="1">
      <x:c r="A85" s="4" t="str">
        <x:v>L10-07-11</x:v>
      </x:c>
      <x:c r="B85" s="4" t="str">
        <x:v>PAR-CYB-COMPROBACION-POSITIVA-001</x:v>
      </x:c>
      <x:c r="C85" s="4" t="str">
        <x:v>COMPROBACION-CRITERIO-UNITARIO-0.1</x:v>
      </x:c>
      <x:c r="D85" s="4" t="str">
        <x:v>COINCIDE</x:v>
      </x:c>
      <x:c r="E85" s="4" t="str">
        <x:v>LEGIBLE</x:v>
      </x:c>
      <x:c r="F85" s="4" t="str">
        <x:v>SELLO_APTO</x:v>
      </x:c>
      <x:c r="G85" s="4" t="str">
        <x:v>UNICA</x:v>
      </x:c>
      <x:c r="H85" s="4" t="str">
        <x:v>CRITERIO_CUMPLIDO</x:v>
      </x:c>
      <x:c r="I85" s="4" t="str"/>
      <x:c r="J85" s="4" t="str">
        <x:v>COMPLETA</x:v>
      </x:c>
      <x:c r="K85" s="4" t="str">
        <x:v>ORACULO_UNITARIO</x:v>
      </x:c>
      <x:c r="L85" s="4" t="str">
        <x:v>VALIDA</x:v>
      </x:c>
      <x:c r="M85" s="4" t="str">
        <x:v>U</x:v>
      </x:c>
      <x:c r="N85" s="4" t="str">
        <x:v>OBSERVACION_INSUFICIENTE</x:v>
      </x:c>
      <x:c r="O85" s="12" t="str">
        <x:f>IF(Q85="SIN_EJECUCION_DOMINIO","FALLO_CAPTURA",IF(OR(Q85="CAPTURA_MAL_FORMADA",Q85="IDENTIDAD",Q85="OBSERVACION_MAL_FORMADA",Q85="LEXEMA_O_FORMA"),"NO_ADMISION",IF(OR(Q85="PERFIL_NO_CONSTITUIDO",Q85="RESULTADO_NO_TERMINAL"),"FUERA_PERFIL",IF(Q85="CONTEXTO_NO_CONSTITUIDO","CONFIGURACION_PENDIENTE","VALIDA"))))</x:f>
        <x:v>VALIDA</x:v>
      </x:c>
      <x:c r="P85" s="12" t="str">
        <x:f>IF(O85&lt;&gt;"VALIDA","",IF(Q85=AA85,"1",IF(Q85=AB85,"0","U")))</x:f>
        <x:v>U</x:v>
      </x:c>
      <x:c r="Q85" s="12" t="str">
        <x:f>IF(E85="FALLO","SIN_EJECUCION_DOMINIO",IF(E85&lt;&gt;"LEGIBLE","CAPTURA_MAL_FORMADA",IF(D85&lt;&gt;"COINCIDE","IDENTIDAD",IF(OR(T85="",C85&lt;&gt;T85),"PERFIL_NO_CONSTITUIDO",IF(K85&lt;&gt;V85,IF(V85="ORDEN_ACREDITADO","ORDEN_NO_ACREDITADO","CONTEXTO_NO_CONSTITUIDO"),IF(AND(G85="AUSENTE",H85="",I85=""),"DATO_AUSENTE",IF(AND(G85="CONFLICTO",H85="",I85=""),"CONFLICTO_OBSERVACIONAL",IF(G85&lt;&gt;"UNICA","OBSERVACION_MAL_FORMADA",IF(F85&lt;&gt;U85,"OBSERVACION_INSUFICIENTE",IF(W85="RESULTADO",IF(H85=X85,AA85,IF(OR(H85="orcSucceededWithErrors",H85="orcFailed",H85="orcAborted"),AB85,IF(OR(H85="orcNotStarted",H85="orcInProgress"),"RESULTADO_NO_TERMINAL","LEXEMA_O_FORMA"))),IF(W85="EVENTO_BOOT",IF(H85=X85,AA85,IF(OR(H85="NINGUNO",H85="SOLO_HIBRIDO"),IF(J85="COMPLETA",AB85,"COBERTURA_INSUFICIENTE"),"LEXEMA_O_FORMA")),IF(W85="REQUISITO_SOFT",IF(H85=X85,AA85,IF(H85=Z85,AB85,"LEXEMA_O_FORMA")),IF(W85="EVENTO_PROC",IF(H85=X85,AA85,IF(H85=Z85,IF(J85="COMPLETA",AB85,"COBERTURA_INSUFICIENTE"),"LEXEMA_O_FORMA")),IF(W85="IMAGEN",IF(AND(AND(ISTEXT(H85),LEN(("x"&amp;H85))=65,EXACT(("x"&amp;H85),LOWER(("x"&amp;H85))),ISERROR(SEARCH(" ",("x"&amp;H85))),ISERROR(SEARCH(CHAR(9),("x"&amp;H85))),ISERROR(SEARCH(CHAR(10),("x"&amp;H85))),ISERROR(SEARCH(CHAR(13),("x"&amp;H85))),IFERROR(HEX2DEC(MID(("x"&amp;H85),2,8))&gt;=0,FALSE),IFERROR(HEX2DEC(MID(("x"&amp;H85),10,8))&gt;=0,FALSE),IFERROR(HEX2DEC(MID(("x"&amp;H85),18,8))&gt;=0,FALSE),IFERROR(HEX2DEC(MID(("x"&amp;H85),26,8))&gt;=0,FALSE),IFERROR(HEX2DEC(MID(("x"&amp;H85),34,8))&gt;=0,FALSE),IFERROR(HEX2DEC(MID(("x"&amp;H85),42,8))&gt;=0,FALSE),IFERROR(HEX2DEC(MID(("x"&amp;H85),50,8))&gt;=0,FALSE),IFERROR(HEX2DEC(MID(("x"&amp;H85),58,8))&gt;=0,FALSE)),AND(ISTEXT(I85),LEN(("x"&amp;I85))=65,EXACT(("x"&amp;I85),LOWER(("x"&amp;I85))),ISERROR(SEARCH(" ",("x"&amp;I85))),ISERROR(SEARCH(CHAR(9),("x"&amp;I85))),ISERROR(SEARCH(CHAR(10),("x"&amp;I85))),ISERROR(SEARCH(CHAR(13),("x"&amp;I85))),IFERROR(HEX2DEC(MID(("x"&amp;I85),2,8))&gt;=0,FALSE),IFERROR(HEX2DEC(MID(("x"&amp;I85),10,8))&gt;=0,FALSE),IFERROR(HEX2DEC(MID(("x"&amp;I85),18,8))&gt;=0,FALSE),IFERROR(HEX2DEC(MID(("x"&amp;I85),26,8))&gt;=0,FALSE),IFERROR(HEX2DEC(MID(("x"&amp;I85),34,8))&gt;=0,FALSE),IFERROR(HEX2DEC(MID(("x"&amp;I85),42,8))&gt;=0,FALSE),IFERROR(HEX2DEC(MID(("x"&amp;I85),50,8))&gt;=0,FALSE),IFERROR(HEX2DEC(MID(("x"&amp;I85),58,8))&gt;=0,FALSE))),IF(EXACT("x"&amp;H85,"x"&amp;I85),AA85,AB85),"LEXEMA_O_FORMA"),IF(W85="PRUEBA",IF(H85=X85,AA85,IF(H85=Z85,AB85,"LEXEMA_O_FORMA")),IF(W85="RETIRADA",IF(AND(H85="NINGUNO",I85=""),IF(J85="COMPLETA",AB85,"COBERTURA_INSUFICIENTE"),IF(AND(OR(H85="uoInstallation",H85="uoUninstallation"),OR(I85="orcSucceeded",I85="orcSucceededWithErrors",I85="orcFailed",I85="orcAborted",I85="orcInProgress",I85="orcNotStarted")),IF(AND(H85=X85,I85=Y85),AA85,IF(AND(H85=X85,OR(I85="orcSucceededWithErrors",I85="orcInProgress",I85="orcNotStarted")),"RESULTADO_RETIRADA_INCIERTO",IF(J85="COMPLETA",AB85,"COBERTURA_INSUFICIENTE"))),"LEXEMA_O_FORMA")),IF(W85="CAMBIO",IF(OR(H85="CAMBIO",H85="CAMBIO_Y_RETORNO"),AA85,IF(OR(H85="NINGUNO",H85="SOLO_RENOMBRE"),IF(J85="COMPLETA",AB85,"COBERTURA_INSUFICIENTE"),"LEXEMA_O_FORMA")),IF(W85="RESTAURACION",IF(H85=X85,AA85,IF(OR(H85="NINGUNO",H85="RESTAURACION_POSTERIOR",H85="RESTAURACION_FALLIDA"),IF(J85="COMPLETA",AB85,"COBERTURA_INSUFICIENTE"),"LEXEMA_O_FORMA")),"PERFIL_NO_CONSTITUIDO"))))))))))))))))))</x:f>
        <x:v>OBSERVACION_INSUFICIENTE</x:v>
      </x:c>
      <x:c r="R85" s="12" t="str">
        <x:f>IF(AND(L85=O85,M85=P85,N85=Q85),"PASA","NO_PASA")</x:f>
        <x:v>PASA</x:v>
      </x:c>
      <x:c r="S85" s="4" t="str">
        <x:v>Sello global apto sin informe de la prueba no es un resultado suficiente.</x:v>
      </x:c>
      <x:c r="T85" s="12" t="str">
        <x:f>IFERROR(INDEX('55_Codificacion_ensayo'!$B$5:$B$13,MATCH(B85,'55_Codificacion_ensayo'!$A$5:$A$13,0)),"")</x:f>
        <x:v>COMPROBACION-CRITERIO-UNITARIO-0.1</x:v>
      </x:c>
      <x:c r="U85" s="12" t="str">
        <x:f>IFERROR(INDEX('55_Codificacion_ensayo'!$C$5:$C$13,MATCH(B85,'55_Codificacion_ensayo'!$A$5:$A$13,0)),"")</x:f>
        <x:v>INFORME_PRUEBA</x:v>
      </x:c>
      <x:c r="V85" s="12" t="str">
        <x:f>IFERROR(INDEX('55_Codificacion_ensayo'!$D$5:$D$13,MATCH(B85,'55_Codificacion_ensayo'!$A$5:$A$13,0)),"")</x:f>
        <x:v>ORACULO_UNITARIO</x:v>
      </x:c>
      <x:c r="W85" s="12" t="str">
        <x:f>IFERROR(INDEX('55_Codificacion_ensayo'!$E$5:$E$13,MATCH(B85,'55_Codificacion_ensayo'!$A$5:$A$13,0)),"")</x:f>
        <x:v>PRUEBA</x:v>
      </x:c>
      <x:c r="X85" s="12" t="str">
        <x:f>IFERROR(INDEX('55_Codificacion_ensayo'!$F$5:$F$13,MATCH(B85,'55_Codificacion_ensayo'!$A$5:$A$13,0)),"")</x:f>
        <x:v>CRITERIO_CUMPLIDO</x:v>
      </x:c>
      <x:c r="Y85" s="12" t="str">
        <x:f>IFERROR(INDEX('55_Codificacion_ensayo'!$G$5:$G$13,MATCH(B85,'55_Codificacion_ensayo'!$A$5:$A$13,0)),"")</x:f>
      </x:c>
      <x:c r="Z85" s="12" t="str">
        <x:f>IFERROR(INDEX('55_Codificacion_ensayo'!$H$5:$H$13,MATCH(B85,'55_Codificacion_ensayo'!$A$5:$A$13,0)),"")</x:f>
        <x:v>CRITERIO_NO_CUMPLIDO</x:v>
      </x:c>
      <x:c r="AA85" s="12" t="str">
        <x:f>IFERROR(INDEX('55_Codificacion_ensayo'!$I$5:$I$13,MATCH(B85,'55_Codificacion_ensayo'!$A$5:$A$13,0)),"")</x:f>
        <x:v>CRITERIO_POSITIVO</x:v>
      </x:c>
      <x:c r="AB85" s="12" t="str">
        <x:f>IFERROR(INDEX('55_Codificacion_ensayo'!$J$5:$J$13,MATCH(B85,'55_Codificacion_ensayo'!$A$5:$A$13,0)),"")</x:f>
        <x:v>CRITERIO_NEGATIVO</x:v>
      </x:c>
    </x:row>
    <x:row r="86" ht="47" customHeight="1">
      <x:c r="A86" s="4" t="str">
        <x:v>L10-07-12</x:v>
      </x:c>
      <x:c r="B86" s="4" t="str">
        <x:v>PAR-CYB-COMPROBACION-POSITIVA-001</x:v>
      </x:c>
      <x:c r="C86" s="4" t="str">
        <x:v>COMPROBACION-CRITERIO-UNITARIO-0.1</x:v>
      </x:c>
      <x:c r="D86" s="4" t="str">
        <x:v>COINCIDE</x:v>
      </x:c>
      <x:c r="E86" s="4" t="str">
        <x:v>LEGIBLE</x:v>
      </x:c>
      <x:c r="F86" s="4" t="str">
        <x:v>INFORME_PRUEBA</x:v>
      </x:c>
      <x:c r="G86" s="4" t="str">
        <x:v>UNICA</x:v>
      </x:c>
      <x:c r="H86" s="4" t="str">
        <x:v>CRITERIO_CUMPLIDO</x:v>
      </x:c>
      <x:c r="I86" s="4" t="str"/>
      <x:c r="J86" s="4" t="str">
        <x:v>COMPLETA</x:v>
      </x:c>
      <x:c r="K86" s="4" t="str">
        <x:v>ORACULO_COMPUESTO</x:v>
      </x:c>
      <x:c r="L86" s="4" t="str">
        <x:v>CONFIGURACION_PENDIENTE</x:v>
      </x:c>
      <x:c r="M86" s="4" t="str"/>
      <x:c r="N86" s="4" t="str">
        <x:v>CONTEXTO_NO_CONSTITUIDO</x:v>
      </x:c>
      <x:c r="O86" s="12" t="str">
        <x:f>IF(Q86="SIN_EJECUCION_DOMINIO","FALLO_CAPTURA",IF(OR(Q86="CAPTURA_MAL_FORMADA",Q86="IDENTIDAD",Q86="OBSERVACION_MAL_FORMADA",Q86="LEXEMA_O_FORMA"),"NO_ADMISION",IF(OR(Q86="PERFIL_NO_CONSTITUIDO",Q86="RESULTADO_NO_TERMINAL"),"FUERA_PERFIL",IF(Q86="CONTEXTO_NO_CONSTITUIDO","CONFIGURACION_PENDIENTE","VALIDA"))))</x:f>
        <x:v>CONFIGURACION_PENDIENTE</x:v>
      </x:c>
      <x:c r="P86" s="12" t="str">
        <x:f>IF(O86&lt;&gt;"VALIDA","",IF(Q86=AA86,"1",IF(Q86=AB86,"0","U")))</x:f>
      </x:c>
      <x:c r="Q86" s="12" t="str">
        <x:f>IF(E86="FALLO","SIN_EJECUCION_DOMINIO",IF(E86&lt;&gt;"LEGIBLE","CAPTURA_MAL_FORMADA",IF(D86&lt;&gt;"COINCIDE","IDENTIDAD",IF(OR(T86="",C86&lt;&gt;T86),"PERFIL_NO_CONSTITUIDO",IF(K86&lt;&gt;V86,IF(V86="ORDEN_ACREDITADO","ORDEN_NO_ACREDITADO","CONTEXTO_NO_CONSTITUIDO"),IF(AND(G86="AUSENTE",H86="",I86=""),"DATO_AUSENTE",IF(AND(G86="CONFLICTO",H86="",I86=""),"CONFLICTO_OBSERVACIONAL",IF(G86&lt;&gt;"UNICA","OBSERVACION_MAL_FORMADA",IF(F86&lt;&gt;U86,"OBSERVACION_INSUFICIENTE",IF(W86="RESULTADO",IF(H86=X86,AA86,IF(OR(H86="orcSucceededWithErrors",H86="orcFailed",H86="orcAborted"),AB86,IF(OR(H86="orcNotStarted",H86="orcInProgress"),"RESULTADO_NO_TERMINAL","LEXEMA_O_FORMA"))),IF(W86="EVENTO_BOOT",IF(H86=X86,AA86,IF(OR(H86="NINGUNO",H86="SOLO_HIBRIDO"),IF(J86="COMPLETA",AB86,"COBERTURA_INSUFICIENTE"),"LEXEMA_O_FORMA")),IF(W86="REQUISITO_SOFT",IF(H86=X86,AA86,IF(H86=Z86,AB86,"LEXEMA_O_FORMA")),IF(W86="EVENTO_PROC",IF(H86=X86,AA86,IF(H86=Z86,IF(J86="COMPLETA",AB86,"COBERTURA_INSUFICIENTE"),"LEXEMA_O_FORMA")),IF(W86="IMAGEN",IF(AND(AND(ISTEXT(H86),LEN(("x"&amp;H86))=65,EXACT(("x"&amp;H86),LOWER(("x"&amp;H86))),ISERROR(SEARCH(" ",("x"&amp;H86))),ISERROR(SEARCH(CHAR(9),("x"&amp;H86))),ISERROR(SEARCH(CHAR(10),("x"&amp;H86))),ISERROR(SEARCH(CHAR(13),("x"&amp;H86))),IFERROR(HEX2DEC(MID(("x"&amp;H86),2,8))&gt;=0,FALSE),IFERROR(HEX2DEC(MID(("x"&amp;H86),10,8))&gt;=0,FALSE),IFERROR(HEX2DEC(MID(("x"&amp;H86),18,8))&gt;=0,FALSE),IFERROR(HEX2DEC(MID(("x"&amp;H86),26,8))&gt;=0,FALSE),IFERROR(HEX2DEC(MID(("x"&amp;H86),34,8))&gt;=0,FALSE),IFERROR(HEX2DEC(MID(("x"&amp;H86),42,8))&gt;=0,FALSE),IFERROR(HEX2DEC(MID(("x"&amp;H86),50,8))&gt;=0,FALSE),IFERROR(HEX2DEC(MID(("x"&amp;H86),58,8))&gt;=0,FALSE)),AND(ISTEXT(I86),LEN(("x"&amp;I86))=65,EXACT(("x"&amp;I86),LOWER(("x"&amp;I86))),ISERROR(SEARCH(" ",("x"&amp;I86))),ISERROR(SEARCH(CHAR(9),("x"&amp;I86))),ISERROR(SEARCH(CHAR(10),("x"&amp;I86))),ISERROR(SEARCH(CHAR(13),("x"&amp;I86))),IFERROR(HEX2DEC(MID(("x"&amp;I86),2,8))&gt;=0,FALSE),IFERROR(HEX2DEC(MID(("x"&amp;I86),10,8))&gt;=0,FALSE),IFERROR(HEX2DEC(MID(("x"&amp;I86),18,8))&gt;=0,FALSE),IFERROR(HEX2DEC(MID(("x"&amp;I86),26,8))&gt;=0,FALSE),IFERROR(HEX2DEC(MID(("x"&amp;I86),34,8))&gt;=0,FALSE),IFERROR(HEX2DEC(MID(("x"&amp;I86),42,8))&gt;=0,FALSE),IFERROR(HEX2DEC(MID(("x"&amp;I86),50,8))&gt;=0,FALSE),IFERROR(HEX2DEC(MID(("x"&amp;I86),58,8))&gt;=0,FALSE))),IF(EXACT("x"&amp;H86,"x"&amp;I86),AA86,AB86),"LEXEMA_O_FORMA"),IF(W86="PRUEBA",IF(H86=X86,AA86,IF(H86=Z86,AB86,"LEXEMA_O_FORMA")),IF(W86="RETIRADA",IF(AND(H86="NINGUNO",I86=""),IF(J86="COMPLETA",AB86,"COBERTURA_INSUFICIENTE"),IF(AND(OR(H86="uoInstallation",H86="uoUninstallation"),OR(I86="orcSucceeded",I86="orcSucceededWithErrors",I86="orcFailed",I86="orcAborted",I86="orcInProgress",I86="orcNotStarted")),IF(AND(H86=X86,I86=Y86),AA86,IF(AND(H86=X86,OR(I86="orcSucceededWithErrors",I86="orcInProgress",I86="orcNotStarted")),"RESULTADO_RETIRADA_INCIERTO",IF(J86="COMPLETA",AB86,"COBERTURA_INSUFICIENTE"))),"LEXEMA_O_FORMA")),IF(W86="CAMBIO",IF(OR(H86="CAMBIO",H86="CAMBIO_Y_RETORNO"),AA86,IF(OR(H86="NINGUNO",H86="SOLO_RENOMBRE"),IF(J86="COMPLETA",AB86,"COBERTURA_INSUFICIENTE"),"LEXEMA_O_FORMA")),IF(W86="RESTAURACION",IF(H86=X86,AA86,IF(OR(H86="NINGUNO",H86="RESTAURACION_POSTERIOR",H86="RESTAURACION_FALLIDA"),IF(J86="COMPLETA",AB86,"COBERTURA_INSUFICIENTE"),"LEXEMA_O_FORMA")),"PERFIL_NO_CONSTITUIDO"))))))))))))))))))</x:f>
        <x:v>CONTEXTO_NO_CONSTITUIDO</x:v>
      </x:c>
      <x:c r="R86" s="12" t="str">
        <x:f>IF(AND(L86=O86,M86=P86,N86=Q86),"PASA","NO_PASA")</x:f>
        <x:v>PASA</x:v>
      </x:c>
      <x:c r="S86" s="4" t="str">
        <x:v>Criterio que agrega resultados independientes necesita descomposición.</x:v>
      </x:c>
      <x:c r="T86" s="12" t="str">
        <x:f>IFERROR(INDEX('55_Codificacion_ensayo'!$B$5:$B$13,MATCH(B86,'55_Codificacion_ensayo'!$A$5:$A$13,0)),"")</x:f>
        <x:v>COMPROBACION-CRITERIO-UNITARIO-0.1</x:v>
      </x:c>
      <x:c r="U86" s="12" t="str">
        <x:f>IFERROR(INDEX('55_Codificacion_ensayo'!$C$5:$C$13,MATCH(B86,'55_Codificacion_ensayo'!$A$5:$A$13,0)),"")</x:f>
        <x:v>INFORME_PRUEBA</x:v>
      </x:c>
      <x:c r="V86" s="12" t="str">
        <x:f>IFERROR(INDEX('55_Codificacion_ensayo'!$D$5:$D$13,MATCH(B86,'55_Codificacion_ensayo'!$A$5:$A$13,0)),"")</x:f>
        <x:v>ORACULO_UNITARIO</x:v>
      </x:c>
      <x:c r="W86" s="12" t="str">
        <x:f>IFERROR(INDEX('55_Codificacion_ensayo'!$E$5:$E$13,MATCH(B86,'55_Codificacion_ensayo'!$A$5:$A$13,0)),"")</x:f>
        <x:v>PRUEBA</x:v>
      </x:c>
      <x:c r="X86" s="12" t="str">
        <x:f>IFERROR(INDEX('55_Codificacion_ensayo'!$F$5:$F$13,MATCH(B86,'55_Codificacion_ensayo'!$A$5:$A$13,0)),"")</x:f>
        <x:v>CRITERIO_CUMPLIDO</x:v>
      </x:c>
      <x:c r="Y86" s="12" t="str">
        <x:f>IFERROR(INDEX('55_Codificacion_ensayo'!$G$5:$G$13,MATCH(B86,'55_Codificacion_ensayo'!$A$5:$A$13,0)),"")</x:f>
      </x:c>
      <x:c r="Z86" s="12" t="str">
        <x:f>IFERROR(INDEX('55_Codificacion_ensayo'!$H$5:$H$13,MATCH(B86,'55_Codificacion_ensayo'!$A$5:$A$13,0)),"")</x:f>
        <x:v>CRITERIO_NO_CUMPLIDO</x:v>
      </x:c>
      <x:c r="AA86" s="12" t="str">
        <x:f>IFERROR(INDEX('55_Codificacion_ensayo'!$I$5:$I$13,MATCH(B86,'55_Codificacion_ensayo'!$A$5:$A$13,0)),"")</x:f>
        <x:v>CRITERIO_POSITIVO</x:v>
      </x:c>
      <x:c r="AB86" s="12" t="str">
        <x:f>IFERROR(INDEX('55_Codificacion_ensayo'!$J$5:$J$13,MATCH(B86,'55_Codificacion_ensayo'!$A$5:$A$13,0)),"")</x:f>
        <x:v>CRITERIO_NEGATIVO</x:v>
      </x:c>
    </x:row>
    <x:row r="87" ht="47" customHeight="1">
      <x:c r="A87" s="4" t="str">
        <x:v>L10-08-01</x:v>
      </x:c>
      <x:c r="B87" s="4" t="str">
        <x:v>PAR-CYB-RETIRADA-EXITOSA-COMUNICADA-001</x:v>
      </x:c>
      <x:c r="C87" s="4" t="str">
        <x:v>HISTORIA-RETIRADA-ACTUALIZACION-0.1</x:v>
      </x:c>
      <x:c r="D87" s="4" t="str">
        <x:v>COINCIDE</x:v>
      </x:c>
      <x:c r="E87" s="4" t="str">
        <x:v>LEGIBLE</x:v>
      </x:c>
      <x:c r="F87" s="4" t="str">
        <x:v>HISTORIA_WUA</x:v>
      </x:c>
      <x:c r="G87" s="4" t="str">
        <x:v>UNICA</x:v>
      </x:c>
      <x:c r="H87" s="4" t="str">
        <x:v>uoUninstallation</x:v>
      </x:c>
      <x:c r="I87" s="4" t="str">
        <x:v>orcSucceeded</x:v>
      </x:c>
      <x:c r="J87" s="4" t="str">
        <x:v>COMPLETA</x:v>
      </x:c>
      <x:c r="K87" s="4" t="str">
        <x:v>ORDEN_ACREDITADO</x:v>
      </x:c>
      <x:c r="L87" s="4" t="str">
        <x:v>VALIDA</x:v>
      </x:c>
      <x:c r="M87" s="4" t="str">
        <x:v>1</x:v>
      </x:c>
      <x:c r="N87" s="4" t="str">
        <x:v>RETIRADA_EXITOSA</x:v>
      </x:c>
      <x:c r="O87" s="12" t="str">
        <x:f>IF(Q87="SIN_EJECUCION_DOMINIO","FALLO_CAPTURA",IF(OR(Q87="CAPTURA_MAL_FORMADA",Q87="IDENTIDAD",Q87="OBSERVACION_MAL_FORMADA",Q87="LEXEMA_O_FORMA"),"NO_ADMISION",IF(OR(Q87="PERFIL_NO_CONSTITUIDO",Q87="RESULTADO_NO_TERMINAL"),"FUERA_PERFIL",IF(Q87="CONTEXTO_NO_CONSTITUIDO","CONFIGURACION_PENDIENTE","VALIDA"))))</x:f>
        <x:v>VALIDA</x:v>
      </x:c>
      <x:c r="P87" s="12" t="str">
        <x:f>IF(O87&lt;&gt;"VALIDA","",IF(Q87=AA87,"1",IF(Q87=AB87,"0","U")))</x:f>
        <x:v>1</x:v>
      </x:c>
      <x:c r="Q87" s="12" t="str">
        <x:f>IF(E87="FALLO","SIN_EJECUCION_DOMINIO",IF(E87&lt;&gt;"LEGIBLE","CAPTURA_MAL_FORMADA",IF(D87&lt;&gt;"COINCIDE","IDENTIDAD",IF(OR(T87="",C87&lt;&gt;T87),"PERFIL_NO_CONSTITUIDO",IF(K87&lt;&gt;V87,IF(V87="ORDEN_ACREDITADO","ORDEN_NO_ACREDITADO","CONTEXTO_NO_CONSTITUIDO"),IF(AND(G87="AUSENTE",H87="",I87=""),"DATO_AUSENTE",IF(AND(G87="CONFLICTO",H87="",I87=""),"CONFLICTO_OBSERVACIONAL",IF(G87&lt;&gt;"UNICA","OBSERVACION_MAL_FORMADA",IF(F87&lt;&gt;U87,"OBSERVACION_INSUFICIENTE",IF(W87="RESULTADO",IF(H87=X87,AA87,IF(OR(H87="orcSucceededWithErrors",H87="orcFailed",H87="orcAborted"),AB87,IF(OR(H87="orcNotStarted",H87="orcInProgress"),"RESULTADO_NO_TERMINAL","LEXEMA_O_FORMA"))),IF(W87="EVENTO_BOOT",IF(H87=X87,AA87,IF(OR(H87="NINGUNO",H87="SOLO_HIBRIDO"),IF(J87="COMPLETA",AB87,"COBERTURA_INSUFICIENTE"),"LEXEMA_O_FORMA")),IF(W87="REQUISITO_SOFT",IF(H87=X87,AA87,IF(H87=Z87,AB87,"LEXEMA_O_FORMA")),IF(W87="EVENTO_PROC",IF(H87=X87,AA87,IF(H87=Z87,IF(J87="COMPLETA",AB87,"COBERTURA_INSUFICIENTE"),"LEXEMA_O_FORMA")),IF(W87="IMAGEN",IF(AND(AND(ISTEXT(H87),LEN(("x"&amp;H87))=65,EXACT(("x"&amp;H87),LOWER(("x"&amp;H87))),ISERROR(SEARCH(" ",("x"&amp;H87))),ISERROR(SEARCH(CHAR(9),("x"&amp;H87))),ISERROR(SEARCH(CHAR(10),("x"&amp;H87))),ISERROR(SEARCH(CHAR(13),("x"&amp;H87))),IFERROR(HEX2DEC(MID(("x"&amp;H87),2,8))&gt;=0,FALSE),IFERROR(HEX2DEC(MID(("x"&amp;H87),10,8))&gt;=0,FALSE),IFERROR(HEX2DEC(MID(("x"&amp;H87),18,8))&gt;=0,FALSE),IFERROR(HEX2DEC(MID(("x"&amp;H87),26,8))&gt;=0,FALSE),IFERROR(HEX2DEC(MID(("x"&amp;H87),34,8))&gt;=0,FALSE),IFERROR(HEX2DEC(MID(("x"&amp;H87),42,8))&gt;=0,FALSE),IFERROR(HEX2DEC(MID(("x"&amp;H87),50,8))&gt;=0,FALSE),IFERROR(HEX2DEC(MID(("x"&amp;H87),58,8))&gt;=0,FALSE)),AND(ISTEXT(I87),LEN(("x"&amp;I87))=65,EXACT(("x"&amp;I87),LOWER(("x"&amp;I87))),ISERROR(SEARCH(" ",("x"&amp;I87))),ISERROR(SEARCH(CHAR(9),("x"&amp;I87))),ISERROR(SEARCH(CHAR(10),("x"&amp;I87))),ISERROR(SEARCH(CHAR(13),("x"&amp;I87))),IFERROR(HEX2DEC(MID(("x"&amp;I87),2,8))&gt;=0,FALSE),IFERROR(HEX2DEC(MID(("x"&amp;I87),10,8))&gt;=0,FALSE),IFERROR(HEX2DEC(MID(("x"&amp;I87),18,8))&gt;=0,FALSE),IFERROR(HEX2DEC(MID(("x"&amp;I87),26,8))&gt;=0,FALSE),IFERROR(HEX2DEC(MID(("x"&amp;I87),34,8))&gt;=0,FALSE),IFERROR(HEX2DEC(MID(("x"&amp;I87),42,8))&gt;=0,FALSE),IFERROR(HEX2DEC(MID(("x"&amp;I87),50,8))&gt;=0,FALSE),IFERROR(HEX2DEC(MID(("x"&amp;I87),58,8))&gt;=0,FALSE))),IF(EXACT("x"&amp;H87,"x"&amp;I87),AA87,AB87),"LEXEMA_O_FORMA"),IF(W87="PRUEBA",IF(H87=X87,AA87,IF(H87=Z87,AB87,"LEXEMA_O_FORMA")),IF(W87="RETIRADA",IF(AND(H87="NINGUNO",I87=""),IF(J87="COMPLETA",AB87,"COBERTURA_INSUFICIENTE"),IF(AND(OR(H87="uoInstallation",H87="uoUninstallation"),OR(I87="orcSucceeded",I87="orcSucceededWithErrors",I87="orcFailed",I87="orcAborted",I87="orcInProgress",I87="orcNotStarted")),IF(AND(H87=X87,I87=Y87),AA87,IF(AND(H87=X87,OR(I87="orcSucceededWithErrors",I87="orcInProgress",I87="orcNotStarted")),"RESULTADO_RETIRADA_INCIERTO",IF(J87="COMPLETA",AB87,"COBERTURA_INSUFICIENTE"))),"LEXEMA_O_FORMA")),IF(W87="CAMBIO",IF(OR(H87="CAMBIO",H87="CAMBIO_Y_RETORNO"),AA87,IF(OR(H87="NINGUNO",H87="SOLO_RENOMBRE"),IF(J87="COMPLETA",AB87,"COBERTURA_INSUFICIENTE"),"LEXEMA_O_FORMA")),IF(W87="RESTAURACION",IF(H87=X87,AA87,IF(OR(H87="NINGUNO",H87="RESTAURACION_POSTERIOR",H87="RESTAURACION_FALLIDA"),IF(J87="COMPLETA",AB87,"COBERTURA_INSUFICIENTE"),"LEXEMA_O_FORMA")),"PERFIL_NO_CONSTITUIDO"))))))))))))))))))</x:f>
        <x:v>RETIRADA_EXITOSA</x:v>
      </x:c>
      <x:c r="R87" s="12" t="str">
        <x:f>IF(AND(L87=O87,M87=P87,N87=Q87),"PASA","NO_PASA")</x:f>
        <x:v>PASA</x:v>
      </x:c>
      <x:c r="S87" s="4" t="str">
        <x:v>Testigo positivo de la proposición; no licencia ninguna conclusión más amplia.</x:v>
      </x:c>
      <x:c r="T87" s="12" t="str">
        <x:f>IFERROR(INDEX('55_Codificacion_ensayo'!$B$5:$B$13,MATCH(B87,'55_Codificacion_ensayo'!$A$5:$A$13,0)),"")</x:f>
        <x:v>HISTORIA-RETIRADA-ACTUALIZACION-0.1</x:v>
      </x:c>
      <x:c r="U87" s="12" t="str">
        <x:f>IFERROR(INDEX('55_Codificacion_ensayo'!$C$5:$C$13,MATCH(B87,'55_Codificacion_ensayo'!$A$5:$A$13,0)),"")</x:f>
        <x:v>HISTORIA_WUA</x:v>
      </x:c>
      <x:c r="V87" s="12" t="str">
        <x:f>IFERROR(INDEX('55_Codificacion_ensayo'!$D$5:$D$13,MATCH(B87,'55_Codificacion_ensayo'!$A$5:$A$13,0)),"")</x:f>
        <x:v>ORDEN_ACREDITADO</x:v>
      </x:c>
      <x:c r="W87" s="12" t="str">
        <x:f>IFERROR(INDEX('55_Codificacion_ensayo'!$E$5:$E$13,MATCH(B87,'55_Codificacion_ensayo'!$A$5:$A$13,0)),"")</x:f>
        <x:v>RETIRADA</x:v>
      </x:c>
      <x:c r="X87" s="12" t="str">
        <x:f>IFERROR(INDEX('55_Codificacion_ensayo'!$F$5:$F$13,MATCH(B87,'55_Codificacion_ensayo'!$A$5:$A$13,0)),"")</x:f>
        <x:v>uoUninstallation</x:v>
      </x:c>
      <x:c r="Y87" s="12" t="str">
        <x:f>IFERROR(INDEX('55_Codificacion_ensayo'!$G$5:$G$13,MATCH(B87,'55_Codificacion_ensayo'!$A$5:$A$13,0)),"")</x:f>
        <x:v>orcSucceeded</x:v>
      </x:c>
      <x:c r="Z87" s="12" t="str">
        <x:f>IFERROR(INDEX('55_Codificacion_ensayo'!$H$5:$H$13,MATCH(B87,'55_Codificacion_ensayo'!$A$5:$A$13,0)),"")</x:f>
        <x:v>NINGUNO</x:v>
      </x:c>
      <x:c r="AA87" s="12" t="str">
        <x:f>IFERROR(INDEX('55_Codificacion_ensayo'!$I$5:$I$13,MATCH(B87,'55_Codificacion_ensayo'!$A$5:$A$13,0)),"")</x:f>
        <x:v>RETIRADA_EXITOSA</x:v>
      </x:c>
      <x:c r="AB87" s="12" t="str">
        <x:f>IFERROR(INDEX('55_Codificacion_ensayo'!$J$5:$J$13,MATCH(B87,'55_Codificacion_ensayo'!$A$5:$A$13,0)),"")</x:f>
        <x:v>SIN_RETIRADA_EXITOSA</x:v>
      </x:c>
    </x:row>
    <x:row r="88" ht="47" customHeight="1">
      <x:c r="A88" s="4" t="str">
        <x:v>L10-08-02</x:v>
      </x:c>
      <x:c r="B88" s="4" t="str">
        <x:v>PAR-CYB-RETIRADA-EXITOSA-COMUNICADA-001</x:v>
      </x:c>
      <x:c r="C88" s="4" t="str">
        <x:v>HISTORIA-RETIRADA-ACTUALIZACION-0.1</x:v>
      </x:c>
      <x:c r="D88" s="4" t="str">
        <x:v>COINCIDE</x:v>
      </x:c>
      <x:c r="E88" s="4" t="str">
        <x:v>LEGIBLE</x:v>
      </x:c>
      <x:c r="F88" s="4" t="str">
        <x:v>HISTORIA_WUA</x:v>
      </x:c>
      <x:c r="G88" s="4" t="str">
        <x:v>UNICA</x:v>
      </x:c>
      <x:c r="H88" s="4" t="str">
        <x:v>NINGUNO</x:v>
      </x:c>
      <x:c r="I88" s="4" t="str"/>
      <x:c r="J88" s="4" t="str">
        <x:v>COMPLETA</x:v>
      </x:c>
      <x:c r="K88" s="4" t="str">
        <x:v>ORDEN_ACREDITADO</x:v>
      </x:c>
      <x:c r="L88" s="4" t="str">
        <x:v>VALIDA</x:v>
      </x:c>
      <x:c r="M88" s="4" t="str">
        <x:v>0</x:v>
      </x:c>
      <x:c r="N88" s="4" t="str">
        <x:v>SIN_RETIRADA_EXITOSA</x:v>
      </x:c>
      <x:c r="O88" s="12" t="str">
        <x:f>IF(Q88="SIN_EJECUCION_DOMINIO","FALLO_CAPTURA",IF(OR(Q88="CAPTURA_MAL_FORMADA",Q88="IDENTIDAD",Q88="OBSERVACION_MAL_FORMADA",Q88="LEXEMA_O_FORMA"),"NO_ADMISION",IF(OR(Q88="PERFIL_NO_CONSTITUIDO",Q88="RESULTADO_NO_TERMINAL"),"FUERA_PERFIL",IF(Q88="CONTEXTO_NO_CONSTITUIDO","CONFIGURACION_PENDIENTE","VALIDA"))))</x:f>
        <x:v>VALIDA</x:v>
      </x:c>
      <x:c r="P88" s="12" t="str">
        <x:f>IF(O88&lt;&gt;"VALIDA","",IF(Q88=AA88,"1",IF(Q88=AB88,"0","U")))</x:f>
        <x:v>0</x:v>
      </x:c>
      <x:c r="Q88" s="12" t="str">
        <x:f>IF(E88="FALLO","SIN_EJECUCION_DOMINIO",IF(E88&lt;&gt;"LEGIBLE","CAPTURA_MAL_FORMADA",IF(D88&lt;&gt;"COINCIDE","IDENTIDAD",IF(OR(T88="",C88&lt;&gt;T88),"PERFIL_NO_CONSTITUIDO",IF(K88&lt;&gt;V88,IF(V88="ORDEN_ACREDITADO","ORDEN_NO_ACREDITADO","CONTEXTO_NO_CONSTITUIDO"),IF(AND(G88="AUSENTE",H88="",I88=""),"DATO_AUSENTE",IF(AND(G88="CONFLICTO",H88="",I88=""),"CONFLICTO_OBSERVACIONAL",IF(G88&lt;&gt;"UNICA","OBSERVACION_MAL_FORMADA",IF(F88&lt;&gt;U88,"OBSERVACION_INSUFICIENTE",IF(W88="RESULTADO",IF(H88=X88,AA88,IF(OR(H88="orcSucceededWithErrors",H88="orcFailed",H88="orcAborted"),AB88,IF(OR(H88="orcNotStarted",H88="orcInProgress"),"RESULTADO_NO_TERMINAL","LEXEMA_O_FORMA"))),IF(W88="EVENTO_BOOT",IF(H88=X88,AA88,IF(OR(H88="NINGUNO",H88="SOLO_HIBRIDO"),IF(J88="COMPLETA",AB88,"COBERTURA_INSUFICIENTE"),"LEXEMA_O_FORMA")),IF(W88="REQUISITO_SOFT",IF(H88=X88,AA88,IF(H88=Z88,AB88,"LEXEMA_O_FORMA")),IF(W88="EVENTO_PROC",IF(H88=X88,AA88,IF(H88=Z88,IF(J88="COMPLETA",AB88,"COBERTURA_INSUFICIENTE"),"LEXEMA_O_FORMA")),IF(W88="IMAGEN",IF(AND(AND(ISTEXT(H88),LEN(("x"&amp;H88))=65,EXACT(("x"&amp;H88),LOWER(("x"&amp;H88))),ISERROR(SEARCH(" ",("x"&amp;H88))),ISERROR(SEARCH(CHAR(9),("x"&amp;H88))),ISERROR(SEARCH(CHAR(10),("x"&amp;H88))),ISERROR(SEARCH(CHAR(13),("x"&amp;H88))),IFERROR(HEX2DEC(MID(("x"&amp;H88),2,8))&gt;=0,FALSE),IFERROR(HEX2DEC(MID(("x"&amp;H88),10,8))&gt;=0,FALSE),IFERROR(HEX2DEC(MID(("x"&amp;H88),18,8))&gt;=0,FALSE),IFERROR(HEX2DEC(MID(("x"&amp;H88),26,8))&gt;=0,FALSE),IFERROR(HEX2DEC(MID(("x"&amp;H88),34,8))&gt;=0,FALSE),IFERROR(HEX2DEC(MID(("x"&amp;H88),42,8))&gt;=0,FALSE),IFERROR(HEX2DEC(MID(("x"&amp;H88),50,8))&gt;=0,FALSE),IFERROR(HEX2DEC(MID(("x"&amp;H88),58,8))&gt;=0,FALSE)),AND(ISTEXT(I88),LEN(("x"&amp;I88))=65,EXACT(("x"&amp;I88),LOWER(("x"&amp;I88))),ISERROR(SEARCH(" ",("x"&amp;I88))),ISERROR(SEARCH(CHAR(9),("x"&amp;I88))),ISERROR(SEARCH(CHAR(10),("x"&amp;I88))),ISERROR(SEARCH(CHAR(13),("x"&amp;I88))),IFERROR(HEX2DEC(MID(("x"&amp;I88),2,8))&gt;=0,FALSE),IFERROR(HEX2DEC(MID(("x"&amp;I88),10,8))&gt;=0,FALSE),IFERROR(HEX2DEC(MID(("x"&amp;I88),18,8))&gt;=0,FALSE),IFERROR(HEX2DEC(MID(("x"&amp;I88),26,8))&gt;=0,FALSE),IFERROR(HEX2DEC(MID(("x"&amp;I88),34,8))&gt;=0,FALSE),IFERROR(HEX2DEC(MID(("x"&amp;I88),42,8))&gt;=0,FALSE),IFERROR(HEX2DEC(MID(("x"&amp;I88),50,8))&gt;=0,FALSE),IFERROR(HEX2DEC(MID(("x"&amp;I88),58,8))&gt;=0,FALSE))),IF(EXACT("x"&amp;H88,"x"&amp;I88),AA88,AB88),"LEXEMA_O_FORMA"),IF(W88="PRUEBA",IF(H88=X88,AA88,IF(H88=Z88,AB88,"LEXEMA_O_FORMA")),IF(W88="RETIRADA",IF(AND(H88="NINGUNO",I88=""),IF(J88="COMPLETA",AB88,"COBERTURA_INSUFICIENTE"),IF(AND(OR(H88="uoInstallation",H88="uoUninstallation"),OR(I88="orcSucceeded",I88="orcSucceededWithErrors",I88="orcFailed",I88="orcAborted",I88="orcInProgress",I88="orcNotStarted")),IF(AND(H88=X88,I88=Y88),AA88,IF(AND(H88=X88,OR(I88="orcSucceededWithErrors",I88="orcInProgress",I88="orcNotStarted")),"RESULTADO_RETIRADA_INCIERTO",IF(J88="COMPLETA",AB88,"COBERTURA_INSUFICIENTE"))),"LEXEMA_O_FORMA")),IF(W88="CAMBIO",IF(OR(H88="CAMBIO",H88="CAMBIO_Y_RETORNO"),AA88,IF(OR(H88="NINGUNO",H88="SOLO_RENOMBRE"),IF(J88="COMPLETA",AB88,"COBERTURA_INSUFICIENTE"),"LEXEMA_O_FORMA")),IF(W88="RESTAURACION",IF(H88=X88,AA88,IF(OR(H88="NINGUNO",H88="RESTAURACION_POSTERIOR",H88="RESTAURACION_FALLIDA"),IF(J88="COMPLETA",AB88,"COBERTURA_INSUFICIENTE"),"LEXEMA_O_FORMA")),"PERFIL_NO_CONSTITUIDO"))))))))))))))))))</x:f>
        <x:v>SIN_RETIRADA_EXITOSA</x:v>
      </x:c>
      <x:c r="R88" s="12" t="str">
        <x:f>IF(AND(L88=O88,M88=P88,N88=Q88),"PASA","NO_PASA")</x:f>
        <x:v>PASA</x:v>
      </x:c>
      <x:c r="S88" s="4" t="str">
        <x:v>Negativo explícito; en eventos exige cobertura del intervalo.</x:v>
      </x:c>
      <x:c r="T88" s="12" t="str">
        <x:f>IFERROR(INDEX('55_Codificacion_ensayo'!$B$5:$B$13,MATCH(B88,'55_Codificacion_ensayo'!$A$5:$A$13,0)),"")</x:f>
        <x:v>HISTORIA-RETIRADA-ACTUALIZACION-0.1</x:v>
      </x:c>
      <x:c r="U88" s="12" t="str">
        <x:f>IFERROR(INDEX('55_Codificacion_ensayo'!$C$5:$C$13,MATCH(B88,'55_Codificacion_ensayo'!$A$5:$A$13,0)),"")</x:f>
        <x:v>HISTORIA_WUA</x:v>
      </x:c>
      <x:c r="V88" s="12" t="str">
        <x:f>IFERROR(INDEX('55_Codificacion_ensayo'!$D$5:$D$13,MATCH(B88,'55_Codificacion_ensayo'!$A$5:$A$13,0)),"")</x:f>
        <x:v>ORDEN_ACREDITADO</x:v>
      </x:c>
      <x:c r="W88" s="12" t="str">
        <x:f>IFERROR(INDEX('55_Codificacion_ensayo'!$E$5:$E$13,MATCH(B88,'55_Codificacion_ensayo'!$A$5:$A$13,0)),"")</x:f>
        <x:v>RETIRADA</x:v>
      </x:c>
      <x:c r="X88" s="12" t="str">
        <x:f>IFERROR(INDEX('55_Codificacion_ensayo'!$F$5:$F$13,MATCH(B88,'55_Codificacion_ensayo'!$A$5:$A$13,0)),"")</x:f>
        <x:v>uoUninstallation</x:v>
      </x:c>
      <x:c r="Y88" s="12" t="str">
        <x:f>IFERROR(INDEX('55_Codificacion_ensayo'!$G$5:$G$13,MATCH(B88,'55_Codificacion_ensayo'!$A$5:$A$13,0)),"")</x:f>
        <x:v>orcSucceeded</x:v>
      </x:c>
      <x:c r="Z88" s="12" t="str">
        <x:f>IFERROR(INDEX('55_Codificacion_ensayo'!$H$5:$H$13,MATCH(B88,'55_Codificacion_ensayo'!$A$5:$A$13,0)),"")</x:f>
        <x:v>NINGUNO</x:v>
      </x:c>
      <x:c r="AA88" s="12" t="str">
        <x:f>IFERROR(INDEX('55_Codificacion_ensayo'!$I$5:$I$13,MATCH(B88,'55_Codificacion_ensayo'!$A$5:$A$13,0)),"")</x:f>
        <x:v>RETIRADA_EXITOSA</x:v>
      </x:c>
      <x:c r="AB88" s="12" t="str">
        <x:f>IFERROR(INDEX('55_Codificacion_ensayo'!$J$5:$J$13,MATCH(B88,'55_Codificacion_ensayo'!$A$5:$A$13,0)),"")</x:f>
        <x:v>SIN_RETIRADA_EXITOSA</x:v>
      </x:c>
    </x:row>
    <x:row r="89" ht="47" customHeight="1">
      <x:c r="A89" s="4" t="str">
        <x:v>L10-08-03</x:v>
      </x:c>
      <x:c r="B89" s="4" t="str">
        <x:v>PAR-CYB-RETIRADA-EXITOSA-COMUNICADA-001</x:v>
      </x:c>
      <x:c r="C89" s="4" t="str">
        <x:v>HISTORIA-RETIRADA-ACTUALIZACION-0.1</x:v>
      </x:c>
      <x:c r="D89" s="4" t="str">
        <x:v>COINCIDE</x:v>
      </x:c>
      <x:c r="E89" s="4" t="str">
        <x:v>LEGIBLE</x:v>
      </x:c>
      <x:c r="F89" s="4" t="str">
        <x:v>HISTORIA_WUA</x:v>
      </x:c>
      <x:c r="G89" s="4" t="str">
        <x:v>AUSENTE</x:v>
      </x:c>
      <x:c r="H89" s="4" t="str"/>
      <x:c r="I89" s="4" t="str"/>
      <x:c r="J89" s="4" t="str">
        <x:v>COMPLETA</x:v>
      </x:c>
      <x:c r="K89" s="4" t="str">
        <x:v>ORDEN_ACREDITADO</x:v>
      </x:c>
      <x:c r="L89" s="4" t="str">
        <x:v>VALIDA</x:v>
      </x:c>
      <x:c r="M89" s="4" t="str">
        <x:v>U</x:v>
      </x:c>
      <x:c r="N89" s="4" t="str">
        <x:v>DATO_AUSENTE</x:v>
      </x:c>
      <x:c r="O89" s="12" t="str">
        <x:f>IF(Q89="SIN_EJECUCION_DOMINIO","FALLO_CAPTURA",IF(OR(Q89="CAPTURA_MAL_FORMADA",Q89="IDENTIDAD",Q89="OBSERVACION_MAL_FORMADA",Q89="LEXEMA_O_FORMA"),"NO_ADMISION",IF(OR(Q89="PERFIL_NO_CONSTITUIDO",Q89="RESULTADO_NO_TERMINAL"),"FUERA_PERFIL",IF(Q89="CONTEXTO_NO_CONSTITUIDO","CONFIGURACION_PENDIENTE","VALIDA"))))</x:f>
        <x:v>VALIDA</x:v>
      </x:c>
      <x:c r="P89" s="12" t="str">
        <x:f>IF(O89&lt;&gt;"VALIDA","",IF(Q89=AA89,"1",IF(Q89=AB89,"0","U")))</x:f>
        <x:v>U</x:v>
      </x:c>
      <x:c r="Q89" s="12" t="str">
        <x:f>IF(E89="FALLO","SIN_EJECUCION_DOMINIO",IF(E89&lt;&gt;"LEGIBLE","CAPTURA_MAL_FORMADA",IF(D89&lt;&gt;"COINCIDE","IDENTIDAD",IF(OR(T89="",C89&lt;&gt;T89),"PERFIL_NO_CONSTITUIDO",IF(K89&lt;&gt;V89,IF(V89="ORDEN_ACREDITADO","ORDEN_NO_ACREDITADO","CONTEXTO_NO_CONSTITUIDO"),IF(AND(G89="AUSENTE",H89="",I89=""),"DATO_AUSENTE",IF(AND(G89="CONFLICTO",H89="",I89=""),"CONFLICTO_OBSERVACIONAL",IF(G89&lt;&gt;"UNICA","OBSERVACION_MAL_FORMADA",IF(F89&lt;&gt;U89,"OBSERVACION_INSUFICIENTE",IF(W89="RESULTADO",IF(H89=X89,AA89,IF(OR(H89="orcSucceededWithErrors",H89="orcFailed",H89="orcAborted"),AB89,IF(OR(H89="orcNotStarted",H89="orcInProgress"),"RESULTADO_NO_TERMINAL","LEXEMA_O_FORMA"))),IF(W89="EVENTO_BOOT",IF(H89=X89,AA89,IF(OR(H89="NINGUNO",H89="SOLO_HIBRIDO"),IF(J89="COMPLETA",AB89,"COBERTURA_INSUFICIENTE"),"LEXEMA_O_FORMA")),IF(W89="REQUISITO_SOFT",IF(H89=X89,AA89,IF(H89=Z89,AB89,"LEXEMA_O_FORMA")),IF(W89="EVENTO_PROC",IF(H89=X89,AA89,IF(H89=Z89,IF(J89="COMPLETA",AB89,"COBERTURA_INSUFICIENTE"),"LEXEMA_O_FORMA")),IF(W89="IMAGEN",IF(AND(AND(ISTEXT(H89),LEN(("x"&amp;H89))=65,EXACT(("x"&amp;H89),LOWER(("x"&amp;H89))),ISERROR(SEARCH(" ",("x"&amp;H89))),ISERROR(SEARCH(CHAR(9),("x"&amp;H89))),ISERROR(SEARCH(CHAR(10),("x"&amp;H89))),ISERROR(SEARCH(CHAR(13),("x"&amp;H89))),IFERROR(HEX2DEC(MID(("x"&amp;H89),2,8))&gt;=0,FALSE),IFERROR(HEX2DEC(MID(("x"&amp;H89),10,8))&gt;=0,FALSE),IFERROR(HEX2DEC(MID(("x"&amp;H89),18,8))&gt;=0,FALSE),IFERROR(HEX2DEC(MID(("x"&amp;H89),26,8))&gt;=0,FALSE),IFERROR(HEX2DEC(MID(("x"&amp;H89),34,8))&gt;=0,FALSE),IFERROR(HEX2DEC(MID(("x"&amp;H89),42,8))&gt;=0,FALSE),IFERROR(HEX2DEC(MID(("x"&amp;H89),50,8))&gt;=0,FALSE),IFERROR(HEX2DEC(MID(("x"&amp;H89),58,8))&gt;=0,FALSE)),AND(ISTEXT(I89),LEN(("x"&amp;I89))=65,EXACT(("x"&amp;I89),LOWER(("x"&amp;I89))),ISERROR(SEARCH(" ",("x"&amp;I89))),ISERROR(SEARCH(CHAR(9),("x"&amp;I89))),ISERROR(SEARCH(CHAR(10),("x"&amp;I89))),ISERROR(SEARCH(CHAR(13),("x"&amp;I89))),IFERROR(HEX2DEC(MID(("x"&amp;I89),2,8))&gt;=0,FALSE),IFERROR(HEX2DEC(MID(("x"&amp;I89),10,8))&gt;=0,FALSE),IFERROR(HEX2DEC(MID(("x"&amp;I89),18,8))&gt;=0,FALSE),IFERROR(HEX2DEC(MID(("x"&amp;I89),26,8))&gt;=0,FALSE),IFERROR(HEX2DEC(MID(("x"&amp;I89),34,8))&gt;=0,FALSE),IFERROR(HEX2DEC(MID(("x"&amp;I89),42,8))&gt;=0,FALSE),IFERROR(HEX2DEC(MID(("x"&amp;I89),50,8))&gt;=0,FALSE),IFERROR(HEX2DEC(MID(("x"&amp;I89),58,8))&gt;=0,FALSE))),IF(EXACT("x"&amp;H89,"x"&amp;I89),AA89,AB89),"LEXEMA_O_FORMA"),IF(W89="PRUEBA",IF(H89=X89,AA89,IF(H89=Z89,AB89,"LEXEMA_O_FORMA")),IF(W89="RETIRADA",IF(AND(H89="NINGUNO",I89=""),IF(J89="COMPLETA",AB89,"COBERTURA_INSUFICIENTE"),IF(AND(OR(H89="uoInstallation",H89="uoUninstallation"),OR(I89="orcSucceeded",I89="orcSucceededWithErrors",I89="orcFailed",I89="orcAborted",I89="orcInProgress",I89="orcNotStarted")),IF(AND(H89=X89,I89=Y89),AA89,IF(AND(H89=X89,OR(I89="orcSucceededWithErrors",I89="orcInProgress",I89="orcNotStarted")),"RESULTADO_RETIRADA_INCIERTO",IF(J89="COMPLETA",AB89,"COBERTURA_INSUFICIENTE"))),"LEXEMA_O_FORMA")),IF(W89="CAMBIO",IF(OR(H89="CAMBIO",H89="CAMBIO_Y_RETORNO"),AA89,IF(OR(H89="NINGUNO",H89="SOLO_RENOMBRE"),IF(J89="COMPLETA",AB89,"COBERTURA_INSUFICIENTE"),"LEXEMA_O_FORMA")),IF(W89="RESTAURACION",IF(H89=X89,AA89,IF(OR(H89="NINGUNO",H89="RESTAURACION_POSTERIOR",H89="RESTAURACION_FALLIDA"),IF(J89="COMPLETA",AB89,"COBERTURA_INSUFICIENTE"),"LEXEMA_O_FORMA")),"PERFIL_NO_CONSTITUIDO"))))))))))))))))))</x:f>
        <x:v>DATO_AUSENTE</x:v>
      </x:c>
      <x:c r="R89" s="12" t="str">
        <x:f>IF(AND(L89=O89,M89=P89,N89=Q89),"PASA","NO_PASA")</x:f>
        <x:v>PASA</x:v>
      </x:c>
      <x:c r="S89" s="4" t="str">
        <x:v>Documento declara que falta la observación, sin convertir ausencia en 0.</x:v>
      </x:c>
      <x:c r="T89" s="12" t="str">
        <x:f>IFERROR(INDEX('55_Codificacion_ensayo'!$B$5:$B$13,MATCH(B89,'55_Codificacion_ensayo'!$A$5:$A$13,0)),"")</x:f>
        <x:v>HISTORIA-RETIRADA-ACTUALIZACION-0.1</x:v>
      </x:c>
      <x:c r="U89" s="12" t="str">
        <x:f>IFERROR(INDEX('55_Codificacion_ensayo'!$C$5:$C$13,MATCH(B89,'55_Codificacion_ensayo'!$A$5:$A$13,0)),"")</x:f>
        <x:v>HISTORIA_WUA</x:v>
      </x:c>
      <x:c r="V89" s="12" t="str">
        <x:f>IFERROR(INDEX('55_Codificacion_ensayo'!$D$5:$D$13,MATCH(B89,'55_Codificacion_ensayo'!$A$5:$A$13,0)),"")</x:f>
        <x:v>ORDEN_ACREDITADO</x:v>
      </x:c>
      <x:c r="W89" s="12" t="str">
        <x:f>IFERROR(INDEX('55_Codificacion_ensayo'!$E$5:$E$13,MATCH(B89,'55_Codificacion_ensayo'!$A$5:$A$13,0)),"")</x:f>
        <x:v>RETIRADA</x:v>
      </x:c>
      <x:c r="X89" s="12" t="str">
        <x:f>IFERROR(INDEX('55_Codificacion_ensayo'!$F$5:$F$13,MATCH(B89,'55_Codificacion_ensayo'!$A$5:$A$13,0)),"")</x:f>
        <x:v>uoUninstallation</x:v>
      </x:c>
      <x:c r="Y89" s="12" t="str">
        <x:f>IFERROR(INDEX('55_Codificacion_ensayo'!$G$5:$G$13,MATCH(B89,'55_Codificacion_ensayo'!$A$5:$A$13,0)),"")</x:f>
        <x:v>orcSucceeded</x:v>
      </x:c>
      <x:c r="Z89" s="12" t="str">
        <x:f>IFERROR(INDEX('55_Codificacion_ensayo'!$H$5:$H$13,MATCH(B89,'55_Codificacion_ensayo'!$A$5:$A$13,0)),"")</x:f>
        <x:v>NINGUNO</x:v>
      </x:c>
      <x:c r="AA89" s="12" t="str">
        <x:f>IFERROR(INDEX('55_Codificacion_ensayo'!$I$5:$I$13,MATCH(B89,'55_Codificacion_ensayo'!$A$5:$A$13,0)),"")</x:f>
        <x:v>RETIRADA_EXITOSA</x:v>
      </x:c>
      <x:c r="AB89" s="12" t="str">
        <x:f>IFERROR(INDEX('55_Codificacion_ensayo'!$J$5:$J$13,MATCH(B89,'55_Codificacion_ensayo'!$A$5:$A$13,0)),"")</x:f>
        <x:v>SIN_RETIRADA_EXITOSA</x:v>
      </x:c>
    </x:row>
    <x:row r="90" ht="47" customHeight="1">
      <x:c r="A90" s="4" t="str">
        <x:v>L10-08-04</x:v>
      </x:c>
      <x:c r="B90" s="4" t="str">
        <x:v>PAR-CYB-RETIRADA-EXITOSA-COMUNICADA-001</x:v>
      </x:c>
      <x:c r="C90" s="4" t="str">
        <x:v>HISTORIA-RETIRADA-ACTUALIZACION-0.1</x:v>
      </x:c>
      <x:c r="D90" s="4" t="str">
        <x:v>COINCIDE</x:v>
      </x:c>
      <x:c r="E90" s="4" t="str">
        <x:v>LEGIBLE</x:v>
      </x:c>
      <x:c r="F90" s="4" t="str">
        <x:v>HISTORIA_WUA</x:v>
      </x:c>
      <x:c r="G90" s="4" t="str">
        <x:v>CONFLICTO</x:v>
      </x:c>
      <x:c r="H90" s="4" t="str"/>
      <x:c r="I90" s="4" t="str"/>
      <x:c r="J90" s="4" t="str">
        <x:v>COMPLETA</x:v>
      </x:c>
      <x:c r="K90" s="4" t="str">
        <x:v>ORDEN_ACREDITADO</x:v>
      </x:c>
      <x:c r="L90" s="4" t="str">
        <x:v>VALIDA</x:v>
      </x:c>
      <x:c r="M90" s="4" t="str">
        <x:v>U</x:v>
      </x:c>
      <x:c r="N90" s="4" t="str">
        <x:v>CONFLICTO_OBSERVACIONAL</x:v>
      </x:c>
      <x:c r="O90" s="12" t="str">
        <x:f>IF(Q90="SIN_EJECUCION_DOMINIO","FALLO_CAPTURA",IF(OR(Q90="CAPTURA_MAL_FORMADA",Q90="IDENTIDAD",Q90="OBSERVACION_MAL_FORMADA",Q90="LEXEMA_O_FORMA"),"NO_ADMISION",IF(OR(Q90="PERFIL_NO_CONSTITUIDO",Q90="RESULTADO_NO_TERMINAL"),"FUERA_PERFIL",IF(Q90="CONTEXTO_NO_CONSTITUIDO","CONFIGURACION_PENDIENTE","VALIDA"))))</x:f>
        <x:v>VALIDA</x:v>
      </x:c>
      <x:c r="P90" s="12" t="str">
        <x:f>IF(O90&lt;&gt;"VALIDA","",IF(Q90=AA90,"1",IF(Q90=AB90,"0","U")))</x:f>
        <x:v>U</x:v>
      </x:c>
      <x:c r="Q90" s="12" t="str">
        <x:f>IF(E90="FALLO","SIN_EJECUCION_DOMINIO",IF(E90&lt;&gt;"LEGIBLE","CAPTURA_MAL_FORMADA",IF(D90&lt;&gt;"COINCIDE","IDENTIDAD",IF(OR(T90="",C90&lt;&gt;T90),"PERFIL_NO_CONSTITUIDO",IF(K90&lt;&gt;V90,IF(V90="ORDEN_ACREDITADO","ORDEN_NO_ACREDITADO","CONTEXTO_NO_CONSTITUIDO"),IF(AND(G90="AUSENTE",H90="",I90=""),"DATO_AUSENTE",IF(AND(G90="CONFLICTO",H90="",I90=""),"CONFLICTO_OBSERVACIONAL",IF(G90&lt;&gt;"UNICA","OBSERVACION_MAL_FORMADA",IF(F90&lt;&gt;U90,"OBSERVACION_INSUFICIENTE",IF(W90="RESULTADO",IF(H90=X90,AA90,IF(OR(H90="orcSucceededWithErrors",H90="orcFailed",H90="orcAborted"),AB90,IF(OR(H90="orcNotStarted",H90="orcInProgress"),"RESULTADO_NO_TERMINAL","LEXEMA_O_FORMA"))),IF(W90="EVENTO_BOOT",IF(H90=X90,AA90,IF(OR(H90="NINGUNO",H90="SOLO_HIBRIDO"),IF(J90="COMPLETA",AB90,"COBERTURA_INSUFICIENTE"),"LEXEMA_O_FORMA")),IF(W90="REQUISITO_SOFT",IF(H90=X90,AA90,IF(H90=Z90,AB90,"LEXEMA_O_FORMA")),IF(W90="EVENTO_PROC",IF(H90=X90,AA90,IF(H90=Z90,IF(J90="COMPLETA",AB90,"COBERTURA_INSUFICIENTE"),"LEXEMA_O_FORMA")),IF(W90="IMAGEN",IF(AND(AND(ISTEXT(H90),LEN(("x"&amp;H90))=65,EXACT(("x"&amp;H90),LOWER(("x"&amp;H90))),ISERROR(SEARCH(" ",("x"&amp;H90))),ISERROR(SEARCH(CHAR(9),("x"&amp;H90))),ISERROR(SEARCH(CHAR(10),("x"&amp;H90))),ISERROR(SEARCH(CHAR(13),("x"&amp;H90))),IFERROR(HEX2DEC(MID(("x"&amp;H90),2,8))&gt;=0,FALSE),IFERROR(HEX2DEC(MID(("x"&amp;H90),10,8))&gt;=0,FALSE),IFERROR(HEX2DEC(MID(("x"&amp;H90),18,8))&gt;=0,FALSE),IFERROR(HEX2DEC(MID(("x"&amp;H90),26,8))&gt;=0,FALSE),IFERROR(HEX2DEC(MID(("x"&amp;H90),34,8))&gt;=0,FALSE),IFERROR(HEX2DEC(MID(("x"&amp;H90),42,8))&gt;=0,FALSE),IFERROR(HEX2DEC(MID(("x"&amp;H90),50,8))&gt;=0,FALSE),IFERROR(HEX2DEC(MID(("x"&amp;H90),58,8))&gt;=0,FALSE)),AND(ISTEXT(I90),LEN(("x"&amp;I90))=65,EXACT(("x"&amp;I90),LOWER(("x"&amp;I90))),ISERROR(SEARCH(" ",("x"&amp;I90))),ISERROR(SEARCH(CHAR(9),("x"&amp;I90))),ISERROR(SEARCH(CHAR(10),("x"&amp;I90))),ISERROR(SEARCH(CHAR(13),("x"&amp;I90))),IFERROR(HEX2DEC(MID(("x"&amp;I90),2,8))&gt;=0,FALSE),IFERROR(HEX2DEC(MID(("x"&amp;I90),10,8))&gt;=0,FALSE),IFERROR(HEX2DEC(MID(("x"&amp;I90),18,8))&gt;=0,FALSE),IFERROR(HEX2DEC(MID(("x"&amp;I90),26,8))&gt;=0,FALSE),IFERROR(HEX2DEC(MID(("x"&amp;I90),34,8))&gt;=0,FALSE),IFERROR(HEX2DEC(MID(("x"&amp;I90),42,8))&gt;=0,FALSE),IFERROR(HEX2DEC(MID(("x"&amp;I90),50,8))&gt;=0,FALSE),IFERROR(HEX2DEC(MID(("x"&amp;I90),58,8))&gt;=0,FALSE))),IF(EXACT("x"&amp;H90,"x"&amp;I90),AA90,AB90),"LEXEMA_O_FORMA"),IF(W90="PRUEBA",IF(H90=X90,AA90,IF(H90=Z90,AB90,"LEXEMA_O_FORMA")),IF(W90="RETIRADA",IF(AND(H90="NINGUNO",I90=""),IF(J90="COMPLETA",AB90,"COBERTURA_INSUFICIENTE"),IF(AND(OR(H90="uoInstallation",H90="uoUninstallation"),OR(I90="orcSucceeded",I90="orcSucceededWithErrors",I90="orcFailed",I90="orcAborted",I90="orcInProgress",I90="orcNotStarted")),IF(AND(H90=X90,I90=Y90),AA90,IF(AND(H90=X90,OR(I90="orcSucceededWithErrors",I90="orcInProgress",I90="orcNotStarted")),"RESULTADO_RETIRADA_INCIERTO",IF(J90="COMPLETA",AB90,"COBERTURA_INSUFICIENTE"))),"LEXEMA_O_FORMA")),IF(W90="CAMBIO",IF(OR(H90="CAMBIO",H90="CAMBIO_Y_RETORNO"),AA90,IF(OR(H90="NINGUNO",H90="SOLO_RENOMBRE"),IF(J90="COMPLETA",AB90,"COBERTURA_INSUFICIENTE"),"LEXEMA_O_FORMA")),IF(W90="RESTAURACION",IF(H90=X90,AA90,IF(OR(H90="NINGUNO",H90="RESTAURACION_POSTERIOR",H90="RESTAURACION_FALLIDA"),IF(J90="COMPLETA",AB90,"COBERTURA_INSUFICIENTE"),"LEXEMA_O_FORMA")),"PERFIL_NO_CONSTITUIDO"))))))))))))))))))</x:f>
        <x:v>CONFLICTO_OBSERVACIONAL</x:v>
      </x:c>
      <x:c r="R90" s="12" t="str">
        <x:f>IF(AND(L90=O90,M90=P90,N90=Q90),"PASA","NO_PASA")</x:f>
        <x:v>PASA</x:v>
      </x:c>
      <x:c r="S90" s="4" t="str">
        <x:v>Conflicto entre observaciones admitidas del mismo sujeto y corte.</x:v>
      </x:c>
      <x:c r="T90" s="12" t="str">
        <x:f>IFERROR(INDEX('55_Codificacion_ensayo'!$B$5:$B$13,MATCH(B90,'55_Codificacion_ensayo'!$A$5:$A$13,0)),"")</x:f>
        <x:v>HISTORIA-RETIRADA-ACTUALIZACION-0.1</x:v>
      </x:c>
      <x:c r="U90" s="12" t="str">
        <x:f>IFERROR(INDEX('55_Codificacion_ensayo'!$C$5:$C$13,MATCH(B90,'55_Codificacion_ensayo'!$A$5:$A$13,0)),"")</x:f>
        <x:v>HISTORIA_WUA</x:v>
      </x:c>
      <x:c r="V90" s="12" t="str">
        <x:f>IFERROR(INDEX('55_Codificacion_ensayo'!$D$5:$D$13,MATCH(B90,'55_Codificacion_ensayo'!$A$5:$A$13,0)),"")</x:f>
        <x:v>ORDEN_ACREDITADO</x:v>
      </x:c>
      <x:c r="W90" s="12" t="str">
        <x:f>IFERROR(INDEX('55_Codificacion_ensayo'!$E$5:$E$13,MATCH(B90,'55_Codificacion_ensayo'!$A$5:$A$13,0)),"")</x:f>
        <x:v>RETIRADA</x:v>
      </x:c>
      <x:c r="X90" s="12" t="str">
        <x:f>IFERROR(INDEX('55_Codificacion_ensayo'!$F$5:$F$13,MATCH(B90,'55_Codificacion_ensayo'!$A$5:$A$13,0)),"")</x:f>
        <x:v>uoUninstallation</x:v>
      </x:c>
      <x:c r="Y90" s="12" t="str">
        <x:f>IFERROR(INDEX('55_Codificacion_ensayo'!$G$5:$G$13,MATCH(B90,'55_Codificacion_ensayo'!$A$5:$A$13,0)),"")</x:f>
        <x:v>orcSucceeded</x:v>
      </x:c>
      <x:c r="Z90" s="12" t="str">
        <x:f>IFERROR(INDEX('55_Codificacion_ensayo'!$H$5:$H$13,MATCH(B90,'55_Codificacion_ensayo'!$A$5:$A$13,0)),"")</x:f>
        <x:v>NINGUNO</x:v>
      </x:c>
      <x:c r="AA90" s="12" t="str">
        <x:f>IFERROR(INDEX('55_Codificacion_ensayo'!$I$5:$I$13,MATCH(B90,'55_Codificacion_ensayo'!$A$5:$A$13,0)),"")</x:f>
        <x:v>RETIRADA_EXITOSA</x:v>
      </x:c>
      <x:c r="AB90" s="12" t="str">
        <x:f>IFERROR(INDEX('55_Codificacion_ensayo'!$J$5:$J$13,MATCH(B90,'55_Codificacion_ensayo'!$A$5:$A$13,0)),"")</x:f>
        <x:v>SIN_RETIRADA_EXITOSA</x:v>
      </x:c>
    </x:row>
    <x:row r="91" ht="47" customHeight="1">
      <x:c r="A91" s="4" t="str">
        <x:v>L10-08-05</x:v>
      </x:c>
      <x:c r="B91" s="4" t="str">
        <x:v>PAR-CYB-RETIRADA-EXITOSA-COMUNICADA-001</x:v>
      </x:c>
      <x:c r="C91" s="4" t="str">
        <x:v>HISTORIA-RETIRADA-ACTUALIZACION-0.1</x:v>
      </x:c>
      <x:c r="D91" s="4" t="str">
        <x:v>COINCIDE</x:v>
      </x:c>
      <x:c r="E91" s="4" t="str">
        <x:v>FALLO</x:v>
      </x:c>
      <x:c r="F91" s="4" t="str">
        <x:v>HISTORIA_WUA</x:v>
      </x:c>
      <x:c r="G91" s="4" t="str">
        <x:v>UNICA</x:v>
      </x:c>
      <x:c r="H91" s="4" t="str">
        <x:v>uoUninstallation</x:v>
      </x:c>
      <x:c r="I91" s="4" t="str">
        <x:v>orcSucceeded</x:v>
      </x:c>
      <x:c r="J91" s="4" t="str">
        <x:v>COMPLETA</x:v>
      </x:c>
      <x:c r="K91" s="4" t="str">
        <x:v>ORDEN_ACREDITADO</x:v>
      </x:c>
      <x:c r="L91" s="4" t="str">
        <x:v>FALLO_CAPTURA</x:v>
      </x:c>
      <x:c r="M91" s="4" t="str"/>
      <x:c r="N91" s="4" t="str">
        <x:v>SIN_EJECUCION_DOMINIO</x:v>
      </x:c>
      <x:c r="O91" s="12" t="str">
        <x:f>IF(Q91="SIN_EJECUCION_DOMINIO","FALLO_CAPTURA",IF(OR(Q91="CAPTURA_MAL_FORMADA",Q91="IDENTIDAD",Q91="OBSERVACION_MAL_FORMADA",Q91="LEXEMA_O_FORMA"),"NO_ADMISION",IF(OR(Q91="PERFIL_NO_CONSTITUIDO",Q91="RESULTADO_NO_TERMINAL"),"FUERA_PERFIL",IF(Q91="CONTEXTO_NO_CONSTITUIDO","CONFIGURACION_PENDIENTE","VALIDA"))))</x:f>
        <x:v>FALLO_CAPTURA</x:v>
      </x:c>
      <x:c r="P91" s="12" t="str">
        <x:f>IF(O91&lt;&gt;"VALIDA","",IF(Q91=AA91,"1",IF(Q91=AB91,"0","U")))</x:f>
      </x:c>
      <x:c r="Q91" s="12" t="str">
        <x:f>IF(E91="FALLO","SIN_EJECUCION_DOMINIO",IF(E91&lt;&gt;"LEGIBLE","CAPTURA_MAL_FORMADA",IF(D91&lt;&gt;"COINCIDE","IDENTIDAD",IF(OR(T91="",C91&lt;&gt;T91),"PERFIL_NO_CONSTITUIDO",IF(K91&lt;&gt;V91,IF(V91="ORDEN_ACREDITADO","ORDEN_NO_ACREDITADO","CONTEXTO_NO_CONSTITUIDO"),IF(AND(G91="AUSENTE",H91="",I91=""),"DATO_AUSENTE",IF(AND(G91="CONFLICTO",H91="",I91=""),"CONFLICTO_OBSERVACIONAL",IF(G91&lt;&gt;"UNICA","OBSERVACION_MAL_FORMADA",IF(F91&lt;&gt;U91,"OBSERVACION_INSUFICIENTE",IF(W91="RESULTADO",IF(H91=X91,AA91,IF(OR(H91="orcSucceededWithErrors",H91="orcFailed",H91="orcAborted"),AB91,IF(OR(H91="orcNotStarted",H91="orcInProgress"),"RESULTADO_NO_TERMINAL","LEXEMA_O_FORMA"))),IF(W91="EVENTO_BOOT",IF(H91=X91,AA91,IF(OR(H91="NINGUNO",H91="SOLO_HIBRIDO"),IF(J91="COMPLETA",AB91,"COBERTURA_INSUFICIENTE"),"LEXEMA_O_FORMA")),IF(W91="REQUISITO_SOFT",IF(H91=X91,AA91,IF(H91=Z91,AB91,"LEXEMA_O_FORMA")),IF(W91="EVENTO_PROC",IF(H91=X91,AA91,IF(H91=Z91,IF(J91="COMPLETA",AB91,"COBERTURA_INSUFICIENTE"),"LEXEMA_O_FORMA")),IF(W91="IMAGEN",IF(AND(AND(ISTEXT(H91),LEN(("x"&amp;H91))=65,EXACT(("x"&amp;H91),LOWER(("x"&amp;H91))),ISERROR(SEARCH(" ",("x"&amp;H91))),ISERROR(SEARCH(CHAR(9),("x"&amp;H91))),ISERROR(SEARCH(CHAR(10),("x"&amp;H91))),ISERROR(SEARCH(CHAR(13),("x"&amp;H91))),IFERROR(HEX2DEC(MID(("x"&amp;H91),2,8))&gt;=0,FALSE),IFERROR(HEX2DEC(MID(("x"&amp;H91),10,8))&gt;=0,FALSE),IFERROR(HEX2DEC(MID(("x"&amp;H91),18,8))&gt;=0,FALSE),IFERROR(HEX2DEC(MID(("x"&amp;H91),26,8))&gt;=0,FALSE),IFERROR(HEX2DEC(MID(("x"&amp;H91),34,8))&gt;=0,FALSE),IFERROR(HEX2DEC(MID(("x"&amp;H91),42,8))&gt;=0,FALSE),IFERROR(HEX2DEC(MID(("x"&amp;H91),50,8))&gt;=0,FALSE),IFERROR(HEX2DEC(MID(("x"&amp;H91),58,8))&gt;=0,FALSE)),AND(ISTEXT(I91),LEN(("x"&amp;I91))=65,EXACT(("x"&amp;I91),LOWER(("x"&amp;I91))),ISERROR(SEARCH(" ",("x"&amp;I91))),ISERROR(SEARCH(CHAR(9),("x"&amp;I91))),ISERROR(SEARCH(CHAR(10),("x"&amp;I91))),ISERROR(SEARCH(CHAR(13),("x"&amp;I91))),IFERROR(HEX2DEC(MID(("x"&amp;I91),2,8))&gt;=0,FALSE),IFERROR(HEX2DEC(MID(("x"&amp;I91),10,8))&gt;=0,FALSE),IFERROR(HEX2DEC(MID(("x"&amp;I91),18,8))&gt;=0,FALSE),IFERROR(HEX2DEC(MID(("x"&amp;I91),26,8))&gt;=0,FALSE),IFERROR(HEX2DEC(MID(("x"&amp;I91),34,8))&gt;=0,FALSE),IFERROR(HEX2DEC(MID(("x"&amp;I91),42,8))&gt;=0,FALSE),IFERROR(HEX2DEC(MID(("x"&amp;I91),50,8))&gt;=0,FALSE),IFERROR(HEX2DEC(MID(("x"&amp;I91),58,8))&gt;=0,FALSE))),IF(EXACT("x"&amp;H91,"x"&amp;I91),AA91,AB91),"LEXEMA_O_FORMA"),IF(W91="PRUEBA",IF(H91=X91,AA91,IF(H91=Z91,AB91,"LEXEMA_O_FORMA")),IF(W91="RETIRADA",IF(AND(H91="NINGUNO",I91=""),IF(J91="COMPLETA",AB91,"COBERTURA_INSUFICIENTE"),IF(AND(OR(H91="uoInstallation",H91="uoUninstallation"),OR(I91="orcSucceeded",I91="orcSucceededWithErrors",I91="orcFailed",I91="orcAborted",I91="orcInProgress",I91="orcNotStarted")),IF(AND(H91=X91,I91=Y91),AA91,IF(AND(H91=X91,OR(I91="orcSucceededWithErrors",I91="orcInProgress",I91="orcNotStarted")),"RESULTADO_RETIRADA_INCIERTO",IF(J91="COMPLETA",AB91,"COBERTURA_INSUFICIENTE"))),"LEXEMA_O_FORMA")),IF(W91="CAMBIO",IF(OR(H91="CAMBIO",H91="CAMBIO_Y_RETORNO"),AA91,IF(OR(H91="NINGUNO",H91="SOLO_RENOMBRE"),IF(J91="COMPLETA",AB91,"COBERTURA_INSUFICIENTE"),"LEXEMA_O_FORMA")),IF(W91="RESTAURACION",IF(H91=X91,AA91,IF(OR(H91="NINGUNO",H91="RESTAURACION_POSTERIOR",H91="RESTAURACION_FALLIDA"),IF(J91="COMPLETA",AB91,"COBERTURA_INSUFICIENTE"),"LEXEMA_O_FORMA")),"PERFIL_NO_CONSTITUIDO"))))))))))))))))))</x:f>
        <x:v>SIN_EJECUCION_DOMINIO</x:v>
      </x:c>
      <x:c r="R91" s="12" t="str">
        <x:f>IF(AND(L91=O91,M91=P91,N91=Q91),"PASA","NO_PASA")</x:f>
        <x:v>PASA</x:v>
      </x:c>
      <x:c r="S91" s="4" t="str">
        <x:v>El observador falla; no existe ejecución de dominio ni Tri alternativo.</x:v>
      </x:c>
      <x:c r="T91" s="12" t="str">
        <x:f>IFERROR(INDEX('55_Codificacion_ensayo'!$B$5:$B$13,MATCH(B91,'55_Codificacion_ensayo'!$A$5:$A$13,0)),"")</x:f>
        <x:v>HISTORIA-RETIRADA-ACTUALIZACION-0.1</x:v>
      </x:c>
      <x:c r="U91" s="12" t="str">
        <x:f>IFERROR(INDEX('55_Codificacion_ensayo'!$C$5:$C$13,MATCH(B91,'55_Codificacion_ensayo'!$A$5:$A$13,0)),"")</x:f>
        <x:v>HISTORIA_WUA</x:v>
      </x:c>
      <x:c r="V91" s="12" t="str">
        <x:f>IFERROR(INDEX('55_Codificacion_ensayo'!$D$5:$D$13,MATCH(B91,'55_Codificacion_ensayo'!$A$5:$A$13,0)),"")</x:f>
        <x:v>ORDEN_ACREDITADO</x:v>
      </x:c>
      <x:c r="W91" s="12" t="str">
        <x:f>IFERROR(INDEX('55_Codificacion_ensayo'!$E$5:$E$13,MATCH(B91,'55_Codificacion_ensayo'!$A$5:$A$13,0)),"")</x:f>
        <x:v>RETIRADA</x:v>
      </x:c>
      <x:c r="X91" s="12" t="str">
        <x:f>IFERROR(INDEX('55_Codificacion_ensayo'!$F$5:$F$13,MATCH(B91,'55_Codificacion_ensayo'!$A$5:$A$13,0)),"")</x:f>
        <x:v>uoUninstallation</x:v>
      </x:c>
      <x:c r="Y91" s="12" t="str">
        <x:f>IFERROR(INDEX('55_Codificacion_ensayo'!$G$5:$G$13,MATCH(B91,'55_Codificacion_ensayo'!$A$5:$A$13,0)),"")</x:f>
        <x:v>orcSucceeded</x:v>
      </x:c>
      <x:c r="Z91" s="12" t="str">
        <x:f>IFERROR(INDEX('55_Codificacion_ensayo'!$H$5:$H$13,MATCH(B91,'55_Codificacion_ensayo'!$A$5:$A$13,0)),"")</x:f>
        <x:v>NINGUNO</x:v>
      </x:c>
      <x:c r="AA91" s="12" t="str">
        <x:f>IFERROR(INDEX('55_Codificacion_ensayo'!$I$5:$I$13,MATCH(B91,'55_Codificacion_ensayo'!$A$5:$A$13,0)),"")</x:f>
        <x:v>RETIRADA_EXITOSA</x:v>
      </x:c>
      <x:c r="AB91" s="12" t="str">
        <x:f>IFERROR(INDEX('55_Codificacion_ensayo'!$J$5:$J$13,MATCH(B91,'55_Codificacion_ensayo'!$A$5:$A$13,0)),"")</x:f>
        <x:v>SIN_RETIRADA_EXITOSA</x:v>
      </x:c>
    </x:row>
    <x:row r="92" ht="47" customHeight="1">
      <x:c r="A92" s="4" t="str">
        <x:v>L10-08-06</x:v>
      </x:c>
      <x:c r="B92" s="4" t="str">
        <x:v>PAR-CYB-RETIRADA-EXITOSA-COMUNICADA-001</x:v>
      </x:c>
      <x:c r="C92" s="4" t="str">
        <x:v>HISTORIA-RETIRADA-ACTUALIZACION-0.1</x:v>
      </x:c>
      <x:c r="D92" s="4" t="str">
        <x:v>OTRO</x:v>
      </x:c>
      <x:c r="E92" s="4" t="str">
        <x:v>LEGIBLE</x:v>
      </x:c>
      <x:c r="F92" s="4" t="str">
        <x:v>HISTORIA_WUA</x:v>
      </x:c>
      <x:c r="G92" s="4" t="str">
        <x:v>UNICA</x:v>
      </x:c>
      <x:c r="H92" s="4" t="str">
        <x:v>uoUninstallation</x:v>
      </x:c>
      <x:c r="I92" s="4" t="str">
        <x:v>orcSucceeded</x:v>
      </x:c>
      <x:c r="J92" s="4" t="str">
        <x:v>COMPLETA</x:v>
      </x:c>
      <x:c r="K92" s="4" t="str">
        <x:v>ORDEN_ACREDITADO</x:v>
      </x:c>
      <x:c r="L92" s="4" t="str">
        <x:v>NO_ADMISION</x:v>
      </x:c>
      <x:c r="M92" s="4" t="str"/>
      <x:c r="N92" s="4" t="str">
        <x:v>IDENTIDAD</x:v>
      </x:c>
      <x:c r="O92" s="12" t="str">
        <x:f>IF(Q92="SIN_EJECUCION_DOMINIO","FALLO_CAPTURA",IF(OR(Q92="CAPTURA_MAL_FORMADA",Q92="IDENTIDAD",Q92="OBSERVACION_MAL_FORMADA",Q92="LEXEMA_O_FORMA"),"NO_ADMISION",IF(OR(Q92="PERFIL_NO_CONSTITUIDO",Q92="RESULTADO_NO_TERMINAL"),"FUERA_PERFIL",IF(Q92="CONTEXTO_NO_CONSTITUIDO","CONFIGURACION_PENDIENTE","VALIDA"))))</x:f>
        <x:v>NO_ADMISION</x:v>
      </x:c>
      <x:c r="P92" s="12" t="str">
        <x:f>IF(O92&lt;&gt;"VALIDA","",IF(Q92=AA92,"1",IF(Q92=AB92,"0","U")))</x:f>
      </x:c>
      <x:c r="Q92" s="12" t="str">
        <x:f>IF(E92="FALLO","SIN_EJECUCION_DOMINIO",IF(E92&lt;&gt;"LEGIBLE","CAPTURA_MAL_FORMADA",IF(D92&lt;&gt;"COINCIDE","IDENTIDAD",IF(OR(T92="",C92&lt;&gt;T92),"PERFIL_NO_CONSTITUIDO",IF(K92&lt;&gt;V92,IF(V92="ORDEN_ACREDITADO","ORDEN_NO_ACREDITADO","CONTEXTO_NO_CONSTITUIDO"),IF(AND(G92="AUSENTE",H92="",I92=""),"DATO_AUSENTE",IF(AND(G92="CONFLICTO",H92="",I92=""),"CONFLICTO_OBSERVACIONAL",IF(G92&lt;&gt;"UNICA","OBSERVACION_MAL_FORMADA",IF(F92&lt;&gt;U92,"OBSERVACION_INSUFICIENTE",IF(W92="RESULTADO",IF(H92=X92,AA92,IF(OR(H92="orcSucceededWithErrors",H92="orcFailed",H92="orcAborted"),AB92,IF(OR(H92="orcNotStarted",H92="orcInProgress"),"RESULTADO_NO_TERMINAL","LEXEMA_O_FORMA"))),IF(W92="EVENTO_BOOT",IF(H92=X92,AA92,IF(OR(H92="NINGUNO",H92="SOLO_HIBRIDO"),IF(J92="COMPLETA",AB92,"COBERTURA_INSUFICIENTE"),"LEXEMA_O_FORMA")),IF(W92="REQUISITO_SOFT",IF(H92=X92,AA92,IF(H92=Z92,AB92,"LEXEMA_O_FORMA")),IF(W92="EVENTO_PROC",IF(H92=X92,AA92,IF(H92=Z92,IF(J92="COMPLETA",AB92,"COBERTURA_INSUFICIENTE"),"LEXEMA_O_FORMA")),IF(W92="IMAGEN",IF(AND(AND(ISTEXT(H92),LEN(("x"&amp;H92))=65,EXACT(("x"&amp;H92),LOWER(("x"&amp;H92))),ISERROR(SEARCH(" ",("x"&amp;H92))),ISERROR(SEARCH(CHAR(9),("x"&amp;H92))),ISERROR(SEARCH(CHAR(10),("x"&amp;H92))),ISERROR(SEARCH(CHAR(13),("x"&amp;H92))),IFERROR(HEX2DEC(MID(("x"&amp;H92),2,8))&gt;=0,FALSE),IFERROR(HEX2DEC(MID(("x"&amp;H92),10,8))&gt;=0,FALSE),IFERROR(HEX2DEC(MID(("x"&amp;H92),18,8))&gt;=0,FALSE),IFERROR(HEX2DEC(MID(("x"&amp;H92),26,8))&gt;=0,FALSE),IFERROR(HEX2DEC(MID(("x"&amp;H92),34,8))&gt;=0,FALSE),IFERROR(HEX2DEC(MID(("x"&amp;H92),42,8))&gt;=0,FALSE),IFERROR(HEX2DEC(MID(("x"&amp;H92),50,8))&gt;=0,FALSE),IFERROR(HEX2DEC(MID(("x"&amp;H92),58,8))&gt;=0,FALSE)),AND(ISTEXT(I92),LEN(("x"&amp;I92))=65,EXACT(("x"&amp;I92),LOWER(("x"&amp;I92))),ISERROR(SEARCH(" ",("x"&amp;I92))),ISERROR(SEARCH(CHAR(9),("x"&amp;I92))),ISERROR(SEARCH(CHAR(10),("x"&amp;I92))),ISERROR(SEARCH(CHAR(13),("x"&amp;I92))),IFERROR(HEX2DEC(MID(("x"&amp;I92),2,8))&gt;=0,FALSE),IFERROR(HEX2DEC(MID(("x"&amp;I92),10,8))&gt;=0,FALSE),IFERROR(HEX2DEC(MID(("x"&amp;I92),18,8))&gt;=0,FALSE),IFERROR(HEX2DEC(MID(("x"&amp;I92),26,8))&gt;=0,FALSE),IFERROR(HEX2DEC(MID(("x"&amp;I92),34,8))&gt;=0,FALSE),IFERROR(HEX2DEC(MID(("x"&amp;I92),42,8))&gt;=0,FALSE),IFERROR(HEX2DEC(MID(("x"&amp;I92),50,8))&gt;=0,FALSE),IFERROR(HEX2DEC(MID(("x"&amp;I92),58,8))&gt;=0,FALSE))),IF(EXACT("x"&amp;H92,"x"&amp;I92),AA92,AB92),"LEXEMA_O_FORMA"),IF(W92="PRUEBA",IF(H92=X92,AA92,IF(H92=Z92,AB92,"LEXEMA_O_FORMA")),IF(W92="RETIRADA",IF(AND(H92="NINGUNO",I92=""),IF(J92="COMPLETA",AB92,"COBERTURA_INSUFICIENTE"),IF(AND(OR(H92="uoInstallation",H92="uoUninstallation"),OR(I92="orcSucceeded",I92="orcSucceededWithErrors",I92="orcFailed",I92="orcAborted",I92="orcInProgress",I92="orcNotStarted")),IF(AND(H92=X92,I92=Y92),AA92,IF(AND(H92=X92,OR(I92="orcSucceededWithErrors",I92="orcInProgress",I92="orcNotStarted")),"RESULTADO_RETIRADA_INCIERTO",IF(J92="COMPLETA",AB92,"COBERTURA_INSUFICIENTE"))),"LEXEMA_O_FORMA")),IF(W92="CAMBIO",IF(OR(H92="CAMBIO",H92="CAMBIO_Y_RETORNO"),AA92,IF(OR(H92="NINGUNO",H92="SOLO_RENOMBRE"),IF(J92="COMPLETA",AB92,"COBERTURA_INSUFICIENTE"),"LEXEMA_O_FORMA")),IF(W92="RESTAURACION",IF(H92=X92,AA92,IF(OR(H92="NINGUNO",H92="RESTAURACION_POSTERIOR",H92="RESTAURACION_FALLIDA"),IF(J92="COMPLETA",AB92,"COBERTURA_INSUFICIENTE"),"LEXEMA_O_FORMA")),"PERFIL_NO_CONSTITUIDO"))))))))))))))))))</x:f>
        <x:v>IDENTIDAD</x:v>
      </x:c>
      <x:c r="R92" s="12" t="str">
        <x:f>IF(AND(L92=O92,M92=P92,N92=Q92),"PASA","NO_PASA")</x:f>
        <x:v>PASA</x:v>
      </x:c>
      <x:c r="S92" s="4" t="str">
        <x:v>El testigo pertenece a otro sujeto; no se recicla su dato.</x:v>
      </x:c>
      <x:c r="T92" s="12" t="str">
        <x:f>IFERROR(INDEX('55_Codificacion_ensayo'!$B$5:$B$13,MATCH(B92,'55_Codificacion_ensayo'!$A$5:$A$13,0)),"")</x:f>
        <x:v>HISTORIA-RETIRADA-ACTUALIZACION-0.1</x:v>
      </x:c>
      <x:c r="U92" s="12" t="str">
        <x:f>IFERROR(INDEX('55_Codificacion_ensayo'!$C$5:$C$13,MATCH(B92,'55_Codificacion_ensayo'!$A$5:$A$13,0)),"")</x:f>
        <x:v>HISTORIA_WUA</x:v>
      </x:c>
      <x:c r="V92" s="12" t="str">
        <x:f>IFERROR(INDEX('55_Codificacion_ensayo'!$D$5:$D$13,MATCH(B92,'55_Codificacion_ensayo'!$A$5:$A$13,0)),"")</x:f>
        <x:v>ORDEN_ACREDITADO</x:v>
      </x:c>
      <x:c r="W92" s="12" t="str">
        <x:f>IFERROR(INDEX('55_Codificacion_ensayo'!$E$5:$E$13,MATCH(B92,'55_Codificacion_ensayo'!$A$5:$A$13,0)),"")</x:f>
        <x:v>RETIRADA</x:v>
      </x:c>
      <x:c r="X92" s="12" t="str">
        <x:f>IFERROR(INDEX('55_Codificacion_ensayo'!$F$5:$F$13,MATCH(B92,'55_Codificacion_ensayo'!$A$5:$A$13,0)),"")</x:f>
        <x:v>uoUninstallation</x:v>
      </x:c>
      <x:c r="Y92" s="12" t="str">
        <x:f>IFERROR(INDEX('55_Codificacion_ensayo'!$G$5:$G$13,MATCH(B92,'55_Codificacion_ensayo'!$A$5:$A$13,0)),"")</x:f>
        <x:v>orcSucceeded</x:v>
      </x:c>
      <x:c r="Z92" s="12" t="str">
        <x:f>IFERROR(INDEX('55_Codificacion_ensayo'!$H$5:$H$13,MATCH(B92,'55_Codificacion_ensayo'!$A$5:$A$13,0)),"")</x:f>
        <x:v>NINGUNO</x:v>
      </x:c>
      <x:c r="AA92" s="12" t="str">
        <x:f>IFERROR(INDEX('55_Codificacion_ensayo'!$I$5:$I$13,MATCH(B92,'55_Codificacion_ensayo'!$A$5:$A$13,0)),"")</x:f>
        <x:v>RETIRADA_EXITOSA</x:v>
      </x:c>
      <x:c r="AB92" s="12" t="str">
        <x:f>IFERROR(INDEX('55_Codificacion_ensayo'!$J$5:$J$13,MATCH(B92,'55_Codificacion_ensayo'!$A$5:$A$13,0)),"")</x:f>
        <x:v>SIN_RETIRADA_EXITOSA</x:v>
      </x:c>
    </x:row>
    <x:row r="93" ht="47" customHeight="1">
      <x:c r="A93" s="4" t="str">
        <x:v>L10-08-07</x:v>
      </x:c>
      <x:c r="B93" s="4" t="str">
        <x:v>PAR-CYB-RETIRADA-EXITOSA-COMUNICADA-001</x:v>
      </x:c>
      <x:c r="C93" s="4" t="str">
        <x:v>HISTORIA-RETIRADA-ACTUALIZACION-0.1</x:v>
      </x:c>
      <x:c r="D93" s="4" t="str">
        <x:v>COINCIDE</x:v>
      </x:c>
      <x:c r="E93" s="4" t="str">
        <x:v>LEGIBLE</x:v>
      </x:c>
      <x:c r="F93" s="4" t="str">
        <x:v>FUENTE_GENERAL</x:v>
      </x:c>
      <x:c r="G93" s="4" t="str">
        <x:v>UNICA</x:v>
      </x:c>
      <x:c r="H93" s="4" t="str">
        <x:v>uoUninstallation</x:v>
      </x:c>
      <x:c r="I93" s="4" t="str">
        <x:v>orcSucceeded</x:v>
      </x:c>
      <x:c r="J93" s="4" t="str">
        <x:v>COMPLETA</x:v>
      </x:c>
      <x:c r="K93" s="4" t="str">
        <x:v>ORDEN_ACREDITADO</x:v>
      </x:c>
      <x:c r="L93" s="4" t="str">
        <x:v>VALIDA</x:v>
      </x:c>
      <x:c r="M93" s="4" t="str">
        <x:v>U</x:v>
      </x:c>
      <x:c r="N93" s="4" t="str">
        <x:v>OBSERVACION_INSUFICIENTE</x:v>
      </x:c>
      <x:c r="O93" s="12" t="str">
        <x:f>IF(Q93="SIN_EJECUCION_DOMINIO","FALLO_CAPTURA",IF(OR(Q93="CAPTURA_MAL_FORMADA",Q93="IDENTIDAD",Q93="OBSERVACION_MAL_FORMADA",Q93="LEXEMA_O_FORMA"),"NO_ADMISION",IF(OR(Q93="PERFIL_NO_CONSTITUIDO",Q93="RESULTADO_NO_TERMINAL"),"FUERA_PERFIL",IF(Q93="CONTEXTO_NO_CONSTITUIDO","CONFIGURACION_PENDIENTE","VALIDA"))))</x:f>
        <x:v>VALIDA</x:v>
      </x:c>
      <x:c r="P93" s="12" t="str">
        <x:f>IF(O93&lt;&gt;"VALIDA","",IF(Q93=AA93,"1",IF(Q93=AB93,"0","U")))</x:f>
        <x:v>U</x:v>
      </x:c>
      <x:c r="Q93" s="12" t="str">
        <x:f>IF(E93="FALLO","SIN_EJECUCION_DOMINIO",IF(E93&lt;&gt;"LEGIBLE","CAPTURA_MAL_FORMADA",IF(D93&lt;&gt;"COINCIDE","IDENTIDAD",IF(OR(T93="",C93&lt;&gt;T93),"PERFIL_NO_CONSTITUIDO",IF(K93&lt;&gt;V93,IF(V93="ORDEN_ACREDITADO","ORDEN_NO_ACREDITADO","CONTEXTO_NO_CONSTITUIDO"),IF(AND(G93="AUSENTE",H93="",I93=""),"DATO_AUSENTE",IF(AND(G93="CONFLICTO",H93="",I93=""),"CONFLICTO_OBSERVACIONAL",IF(G93&lt;&gt;"UNICA","OBSERVACION_MAL_FORMADA",IF(F93&lt;&gt;U93,"OBSERVACION_INSUFICIENTE",IF(W93="RESULTADO",IF(H93=X93,AA93,IF(OR(H93="orcSucceededWithErrors",H93="orcFailed",H93="orcAborted"),AB93,IF(OR(H93="orcNotStarted",H93="orcInProgress"),"RESULTADO_NO_TERMINAL","LEXEMA_O_FORMA"))),IF(W93="EVENTO_BOOT",IF(H93=X93,AA93,IF(OR(H93="NINGUNO",H93="SOLO_HIBRIDO"),IF(J93="COMPLETA",AB93,"COBERTURA_INSUFICIENTE"),"LEXEMA_O_FORMA")),IF(W93="REQUISITO_SOFT",IF(H93=X93,AA93,IF(H93=Z93,AB93,"LEXEMA_O_FORMA")),IF(W93="EVENTO_PROC",IF(H93=X93,AA93,IF(H93=Z93,IF(J93="COMPLETA",AB93,"COBERTURA_INSUFICIENTE"),"LEXEMA_O_FORMA")),IF(W93="IMAGEN",IF(AND(AND(ISTEXT(H93),LEN(("x"&amp;H93))=65,EXACT(("x"&amp;H93),LOWER(("x"&amp;H93))),ISERROR(SEARCH(" ",("x"&amp;H93))),ISERROR(SEARCH(CHAR(9),("x"&amp;H93))),ISERROR(SEARCH(CHAR(10),("x"&amp;H93))),ISERROR(SEARCH(CHAR(13),("x"&amp;H93))),IFERROR(HEX2DEC(MID(("x"&amp;H93),2,8))&gt;=0,FALSE),IFERROR(HEX2DEC(MID(("x"&amp;H93),10,8))&gt;=0,FALSE),IFERROR(HEX2DEC(MID(("x"&amp;H93),18,8))&gt;=0,FALSE),IFERROR(HEX2DEC(MID(("x"&amp;H93),26,8))&gt;=0,FALSE),IFERROR(HEX2DEC(MID(("x"&amp;H93),34,8))&gt;=0,FALSE),IFERROR(HEX2DEC(MID(("x"&amp;H93),42,8))&gt;=0,FALSE),IFERROR(HEX2DEC(MID(("x"&amp;H93),50,8))&gt;=0,FALSE),IFERROR(HEX2DEC(MID(("x"&amp;H93),58,8))&gt;=0,FALSE)),AND(ISTEXT(I93),LEN(("x"&amp;I93))=65,EXACT(("x"&amp;I93),LOWER(("x"&amp;I93))),ISERROR(SEARCH(" ",("x"&amp;I93))),ISERROR(SEARCH(CHAR(9),("x"&amp;I93))),ISERROR(SEARCH(CHAR(10),("x"&amp;I93))),ISERROR(SEARCH(CHAR(13),("x"&amp;I93))),IFERROR(HEX2DEC(MID(("x"&amp;I93),2,8))&gt;=0,FALSE),IFERROR(HEX2DEC(MID(("x"&amp;I93),10,8))&gt;=0,FALSE),IFERROR(HEX2DEC(MID(("x"&amp;I93),18,8))&gt;=0,FALSE),IFERROR(HEX2DEC(MID(("x"&amp;I93),26,8))&gt;=0,FALSE),IFERROR(HEX2DEC(MID(("x"&amp;I93),34,8))&gt;=0,FALSE),IFERROR(HEX2DEC(MID(("x"&amp;I93),42,8))&gt;=0,FALSE),IFERROR(HEX2DEC(MID(("x"&amp;I93),50,8))&gt;=0,FALSE),IFERROR(HEX2DEC(MID(("x"&amp;I93),58,8))&gt;=0,FALSE))),IF(EXACT("x"&amp;H93,"x"&amp;I93),AA93,AB93),"LEXEMA_O_FORMA"),IF(W93="PRUEBA",IF(H93=X93,AA93,IF(H93=Z93,AB93,"LEXEMA_O_FORMA")),IF(W93="RETIRADA",IF(AND(H93="NINGUNO",I93=""),IF(J93="COMPLETA",AB93,"COBERTURA_INSUFICIENTE"),IF(AND(OR(H93="uoInstallation",H93="uoUninstallation"),OR(I93="orcSucceeded",I93="orcSucceededWithErrors",I93="orcFailed",I93="orcAborted",I93="orcInProgress",I93="orcNotStarted")),IF(AND(H93=X93,I93=Y93),AA93,IF(AND(H93=X93,OR(I93="orcSucceededWithErrors",I93="orcInProgress",I93="orcNotStarted")),"RESULTADO_RETIRADA_INCIERTO",IF(J93="COMPLETA",AB93,"COBERTURA_INSUFICIENTE"))),"LEXEMA_O_FORMA")),IF(W93="CAMBIO",IF(OR(H93="CAMBIO",H93="CAMBIO_Y_RETORNO"),AA93,IF(OR(H93="NINGUNO",H93="SOLO_RENOMBRE"),IF(J93="COMPLETA",AB93,"COBERTURA_INSUFICIENTE"),"LEXEMA_O_FORMA")),IF(W93="RESTAURACION",IF(H93=X93,AA93,IF(OR(H93="NINGUNO",H93="RESTAURACION_POSTERIOR",H93="RESTAURACION_FALLIDA"),IF(J93="COMPLETA",AB93,"COBERTURA_INSUFICIENTE"),"LEXEMA_O_FORMA")),"PERFIL_NO_CONSTITUIDO"))))))))))))))))))</x:f>
        <x:v>OBSERVACION_INSUFICIENTE</x:v>
      </x:c>
      <x:c r="R93" s="12" t="str">
        <x:f>IF(AND(L93=O93,M93=P93,N93=Q93),"PASA","NO_PASA")</x:f>
        <x:v>PASA</x:v>
      </x:c>
      <x:c r="S93" s="4" t="str">
        <x:v>Una fuente del dominio no sustituye la observación específica del episodio.</x:v>
      </x:c>
      <x:c r="T93" s="12" t="str">
        <x:f>IFERROR(INDEX('55_Codificacion_ensayo'!$B$5:$B$13,MATCH(B93,'55_Codificacion_ensayo'!$A$5:$A$13,0)),"")</x:f>
        <x:v>HISTORIA-RETIRADA-ACTUALIZACION-0.1</x:v>
      </x:c>
      <x:c r="U93" s="12" t="str">
        <x:f>IFERROR(INDEX('55_Codificacion_ensayo'!$C$5:$C$13,MATCH(B93,'55_Codificacion_ensayo'!$A$5:$A$13,0)),"")</x:f>
        <x:v>HISTORIA_WUA</x:v>
      </x:c>
      <x:c r="V93" s="12" t="str">
        <x:f>IFERROR(INDEX('55_Codificacion_ensayo'!$D$5:$D$13,MATCH(B93,'55_Codificacion_ensayo'!$A$5:$A$13,0)),"")</x:f>
        <x:v>ORDEN_ACREDITADO</x:v>
      </x:c>
      <x:c r="W93" s="12" t="str">
        <x:f>IFERROR(INDEX('55_Codificacion_ensayo'!$E$5:$E$13,MATCH(B93,'55_Codificacion_ensayo'!$A$5:$A$13,0)),"")</x:f>
        <x:v>RETIRADA</x:v>
      </x:c>
      <x:c r="X93" s="12" t="str">
        <x:f>IFERROR(INDEX('55_Codificacion_ensayo'!$F$5:$F$13,MATCH(B93,'55_Codificacion_ensayo'!$A$5:$A$13,0)),"")</x:f>
        <x:v>uoUninstallation</x:v>
      </x:c>
      <x:c r="Y93" s="12" t="str">
        <x:f>IFERROR(INDEX('55_Codificacion_ensayo'!$G$5:$G$13,MATCH(B93,'55_Codificacion_ensayo'!$A$5:$A$13,0)),"")</x:f>
        <x:v>orcSucceeded</x:v>
      </x:c>
      <x:c r="Z93" s="12" t="str">
        <x:f>IFERROR(INDEX('55_Codificacion_ensayo'!$H$5:$H$13,MATCH(B93,'55_Codificacion_ensayo'!$A$5:$A$13,0)),"")</x:f>
        <x:v>NINGUNO</x:v>
      </x:c>
      <x:c r="AA93" s="12" t="str">
        <x:f>IFERROR(INDEX('55_Codificacion_ensayo'!$I$5:$I$13,MATCH(B93,'55_Codificacion_ensayo'!$A$5:$A$13,0)),"")</x:f>
        <x:v>RETIRADA_EXITOSA</x:v>
      </x:c>
      <x:c r="AB93" s="12" t="str">
        <x:f>IFERROR(INDEX('55_Codificacion_ensayo'!$J$5:$J$13,MATCH(B93,'55_Codificacion_ensayo'!$A$5:$A$13,0)),"")</x:f>
        <x:v>SIN_RETIRADA_EXITOSA</x:v>
      </x:c>
    </x:row>
    <x:row r="94" ht="47" customHeight="1">
      <x:c r="A94" s="4" t="str">
        <x:v>L10-08-08</x:v>
      </x:c>
      <x:c r="B94" s="4" t="str">
        <x:v>PAR-CYB-RETIRADA-EXITOSA-COMUNICADA-001</x:v>
      </x:c>
      <x:c r="C94" s="4" t="str">
        <x:v>OTRO_PERFIL</x:v>
      </x:c>
      <x:c r="D94" s="4" t="str">
        <x:v>COINCIDE</x:v>
      </x:c>
      <x:c r="E94" s="4" t="str">
        <x:v>LEGIBLE</x:v>
      </x:c>
      <x:c r="F94" s="4" t="str">
        <x:v>HISTORIA_WUA</x:v>
      </x:c>
      <x:c r="G94" s="4" t="str">
        <x:v>UNICA</x:v>
      </x:c>
      <x:c r="H94" s="4" t="str">
        <x:v>uoUninstallation</x:v>
      </x:c>
      <x:c r="I94" s="4" t="str">
        <x:v>orcSucceeded</x:v>
      </x:c>
      <x:c r="J94" s="4" t="str">
        <x:v>COMPLETA</x:v>
      </x:c>
      <x:c r="K94" s="4" t="str">
        <x:v>ORDEN_ACREDITADO</x:v>
      </x:c>
      <x:c r="L94" s="4" t="str">
        <x:v>FUERA_PERFIL</x:v>
      </x:c>
      <x:c r="M94" s="4" t="str"/>
      <x:c r="N94" s="4" t="str">
        <x:v>PERFIL_NO_CONSTITUIDO</x:v>
      </x:c>
      <x:c r="O94" s="12" t="str">
        <x:f>IF(Q94="SIN_EJECUCION_DOMINIO","FALLO_CAPTURA",IF(OR(Q94="CAPTURA_MAL_FORMADA",Q94="IDENTIDAD",Q94="OBSERVACION_MAL_FORMADA",Q94="LEXEMA_O_FORMA"),"NO_ADMISION",IF(OR(Q94="PERFIL_NO_CONSTITUIDO",Q94="RESULTADO_NO_TERMINAL"),"FUERA_PERFIL",IF(Q94="CONTEXTO_NO_CONSTITUIDO","CONFIGURACION_PENDIENTE","VALIDA"))))</x:f>
        <x:v>FUERA_PERFIL</x:v>
      </x:c>
      <x:c r="P94" s="12" t="str">
        <x:f>IF(O94&lt;&gt;"VALIDA","",IF(Q94=AA94,"1",IF(Q94=AB94,"0","U")))</x:f>
      </x:c>
      <x:c r="Q94" s="12" t="str">
        <x:f>IF(E94="FALLO","SIN_EJECUCION_DOMINIO",IF(E94&lt;&gt;"LEGIBLE","CAPTURA_MAL_FORMADA",IF(D94&lt;&gt;"COINCIDE","IDENTIDAD",IF(OR(T94="",C94&lt;&gt;T94),"PERFIL_NO_CONSTITUIDO",IF(K94&lt;&gt;V94,IF(V94="ORDEN_ACREDITADO","ORDEN_NO_ACREDITADO","CONTEXTO_NO_CONSTITUIDO"),IF(AND(G94="AUSENTE",H94="",I94=""),"DATO_AUSENTE",IF(AND(G94="CONFLICTO",H94="",I94=""),"CONFLICTO_OBSERVACIONAL",IF(G94&lt;&gt;"UNICA","OBSERVACION_MAL_FORMADA",IF(F94&lt;&gt;U94,"OBSERVACION_INSUFICIENTE",IF(W94="RESULTADO",IF(H94=X94,AA94,IF(OR(H94="orcSucceededWithErrors",H94="orcFailed",H94="orcAborted"),AB94,IF(OR(H94="orcNotStarted",H94="orcInProgress"),"RESULTADO_NO_TERMINAL","LEXEMA_O_FORMA"))),IF(W94="EVENTO_BOOT",IF(H94=X94,AA94,IF(OR(H94="NINGUNO",H94="SOLO_HIBRIDO"),IF(J94="COMPLETA",AB94,"COBERTURA_INSUFICIENTE"),"LEXEMA_O_FORMA")),IF(W94="REQUISITO_SOFT",IF(H94=X94,AA94,IF(H94=Z94,AB94,"LEXEMA_O_FORMA")),IF(W94="EVENTO_PROC",IF(H94=X94,AA94,IF(H94=Z94,IF(J94="COMPLETA",AB94,"COBERTURA_INSUFICIENTE"),"LEXEMA_O_FORMA")),IF(W94="IMAGEN",IF(AND(AND(ISTEXT(H94),LEN(("x"&amp;H94))=65,EXACT(("x"&amp;H94),LOWER(("x"&amp;H94))),ISERROR(SEARCH(" ",("x"&amp;H94))),ISERROR(SEARCH(CHAR(9),("x"&amp;H94))),ISERROR(SEARCH(CHAR(10),("x"&amp;H94))),ISERROR(SEARCH(CHAR(13),("x"&amp;H94))),IFERROR(HEX2DEC(MID(("x"&amp;H94),2,8))&gt;=0,FALSE),IFERROR(HEX2DEC(MID(("x"&amp;H94),10,8))&gt;=0,FALSE),IFERROR(HEX2DEC(MID(("x"&amp;H94),18,8))&gt;=0,FALSE),IFERROR(HEX2DEC(MID(("x"&amp;H94),26,8))&gt;=0,FALSE),IFERROR(HEX2DEC(MID(("x"&amp;H94),34,8))&gt;=0,FALSE),IFERROR(HEX2DEC(MID(("x"&amp;H94),42,8))&gt;=0,FALSE),IFERROR(HEX2DEC(MID(("x"&amp;H94),50,8))&gt;=0,FALSE),IFERROR(HEX2DEC(MID(("x"&amp;H94),58,8))&gt;=0,FALSE)),AND(ISTEXT(I94),LEN(("x"&amp;I94))=65,EXACT(("x"&amp;I94),LOWER(("x"&amp;I94))),ISERROR(SEARCH(" ",("x"&amp;I94))),ISERROR(SEARCH(CHAR(9),("x"&amp;I94))),ISERROR(SEARCH(CHAR(10),("x"&amp;I94))),ISERROR(SEARCH(CHAR(13),("x"&amp;I94))),IFERROR(HEX2DEC(MID(("x"&amp;I94),2,8))&gt;=0,FALSE),IFERROR(HEX2DEC(MID(("x"&amp;I94),10,8))&gt;=0,FALSE),IFERROR(HEX2DEC(MID(("x"&amp;I94),18,8))&gt;=0,FALSE),IFERROR(HEX2DEC(MID(("x"&amp;I94),26,8))&gt;=0,FALSE),IFERROR(HEX2DEC(MID(("x"&amp;I94),34,8))&gt;=0,FALSE),IFERROR(HEX2DEC(MID(("x"&amp;I94),42,8))&gt;=0,FALSE),IFERROR(HEX2DEC(MID(("x"&amp;I94),50,8))&gt;=0,FALSE),IFERROR(HEX2DEC(MID(("x"&amp;I94),58,8))&gt;=0,FALSE))),IF(EXACT("x"&amp;H94,"x"&amp;I94),AA94,AB94),"LEXEMA_O_FORMA"),IF(W94="PRUEBA",IF(H94=X94,AA94,IF(H94=Z94,AB94,"LEXEMA_O_FORMA")),IF(W94="RETIRADA",IF(AND(H94="NINGUNO",I94=""),IF(J94="COMPLETA",AB94,"COBERTURA_INSUFICIENTE"),IF(AND(OR(H94="uoInstallation",H94="uoUninstallation"),OR(I94="orcSucceeded",I94="orcSucceededWithErrors",I94="orcFailed",I94="orcAborted",I94="orcInProgress",I94="orcNotStarted")),IF(AND(H94=X94,I94=Y94),AA94,IF(AND(H94=X94,OR(I94="orcSucceededWithErrors",I94="orcInProgress",I94="orcNotStarted")),"RESULTADO_RETIRADA_INCIERTO",IF(J94="COMPLETA",AB94,"COBERTURA_INSUFICIENTE"))),"LEXEMA_O_FORMA")),IF(W94="CAMBIO",IF(OR(H94="CAMBIO",H94="CAMBIO_Y_RETORNO"),AA94,IF(OR(H94="NINGUNO",H94="SOLO_RENOMBRE"),IF(J94="COMPLETA",AB94,"COBERTURA_INSUFICIENTE"),"LEXEMA_O_FORMA")),IF(W94="RESTAURACION",IF(H94=X94,AA94,IF(OR(H94="NINGUNO",H94="RESTAURACION_POSTERIOR",H94="RESTAURACION_FALLIDA"),IF(J94="COMPLETA",AB94,"COBERTURA_INSUFICIENTE"),"LEXEMA_O_FORMA")),"PERFIL_NO_CONSTITUIDO"))))))))))))))))))</x:f>
        <x:v>PERFIL_NO_CONSTITUIDO</x:v>
      </x:c>
      <x:c r="R94" s="12" t="str">
        <x:f>IF(AND(L94=O94,M94=P94,N94=Q94),"PASA","NO_PASA")</x:f>
        <x:v>PASA</x:v>
      </x:c>
      <x:c r="S94" s="4" t="str">
        <x:v>Perfil de otro producto no se normaliza por analogía.</x:v>
      </x:c>
      <x:c r="T94" s="12" t="str">
        <x:f>IFERROR(INDEX('55_Codificacion_ensayo'!$B$5:$B$13,MATCH(B94,'55_Codificacion_ensayo'!$A$5:$A$13,0)),"")</x:f>
        <x:v>HISTORIA-RETIRADA-ACTUALIZACION-0.1</x:v>
      </x:c>
      <x:c r="U94" s="12" t="str">
        <x:f>IFERROR(INDEX('55_Codificacion_ensayo'!$C$5:$C$13,MATCH(B94,'55_Codificacion_ensayo'!$A$5:$A$13,0)),"")</x:f>
        <x:v>HISTORIA_WUA</x:v>
      </x:c>
      <x:c r="V94" s="12" t="str">
        <x:f>IFERROR(INDEX('55_Codificacion_ensayo'!$D$5:$D$13,MATCH(B94,'55_Codificacion_ensayo'!$A$5:$A$13,0)),"")</x:f>
        <x:v>ORDEN_ACREDITADO</x:v>
      </x:c>
      <x:c r="W94" s="12" t="str">
        <x:f>IFERROR(INDEX('55_Codificacion_ensayo'!$E$5:$E$13,MATCH(B94,'55_Codificacion_ensayo'!$A$5:$A$13,0)),"")</x:f>
        <x:v>RETIRADA</x:v>
      </x:c>
      <x:c r="X94" s="12" t="str">
        <x:f>IFERROR(INDEX('55_Codificacion_ensayo'!$F$5:$F$13,MATCH(B94,'55_Codificacion_ensayo'!$A$5:$A$13,0)),"")</x:f>
        <x:v>uoUninstallation</x:v>
      </x:c>
      <x:c r="Y94" s="12" t="str">
        <x:f>IFERROR(INDEX('55_Codificacion_ensayo'!$G$5:$G$13,MATCH(B94,'55_Codificacion_ensayo'!$A$5:$A$13,0)),"")</x:f>
        <x:v>orcSucceeded</x:v>
      </x:c>
      <x:c r="Z94" s="12" t="str">
        <x:f>IFERROR(INDEX('55_Codificacion_ensayo'!$H$5:$H$13,MATCH(B94,'55_Codificacion_ensayo'!$A$5:$A$13,0)),"")</x:f>
        <x:v>NINGUNO</x:v>
      </x:c>
      <x:c r="AA94" s="12" t="str">
        <x:f>IFERROR(INDEX('55_Codificacion_ensayo'!$I$5:$I$13,MATCH(B94,'55_Codificacion_ensayo'!$A$5:$A$13,0)),"")</x:f>
        <x:v>RETIRADA_EXITOSA</x:v>
      </x:c>
      <x:c r="AB94" s="12" t="str">
        <x:f>IFERROR(INDEX('55_Codificacion_ensayo'!$J$5:$J$13,MATCH(B94,'55_Codificacion_ensayo'!$A$5:$A$13,0)),"")</x:f>
        <x:v>SIN_RETIRADA_EXITOSA</x:v>
      </x:c>
    </x:row>
    <x:row r="95" ht="47" customHeight="1">
      <x:c r="A95" s="4" t="str">
        <x:v>L10-08-09</x:v>
      </x:c>
      <x:c r="B95" s="4" t="str">
        <x:v>PAR-CYB-RETIRADA-EXITOSA-COMUNICADA-001</x:v>
      </x:c>
      <x:c r="C95" s="4" t="str">
        <x:v>HISTORIA-RETIRADA-ACTUALIZACION-0.1</x:v>
      </x:c>
      <x:c r="D95" s="4" t="str">
        <x:v>COINCIDE</x:v>
      </x:c>
      <x:c r="E95" s="4" t="str">
        <x:v>LEGIBLE</x:v>
      </x:c>
      <x:c r="F95" s="4" t="str">
        <x:v>HISTORIA_WUA</x:v>
      </x:c>
      <x:c r="G95" s="4" t="str">
        <x:v>UNICA</x:v>
      </x:c>
      <x:c r="H95" s="4" t="str">
        <x:v>true false desconocido</x:v>
      </x:c>
      <x:c r="I95" s="4" t="str">
        <x:v>orcSucceeded</x:v>
      </x:c>
      <x:c r="J95" s="4" t="str">
        <x:v>COMPLETA</x:v>
      </x:c>
      <x:c r="K95" s="4" t="str">
        <x:v>ORDEN_ACREDITADO</x:v>
      </x:c>
      <x:c r="L95" s="4" t="str">
        <x:v>NO_ADMISION</x:v>
      </x:c>
      <x:c r="M95" s="4" t="str"/>
      <x:c r="N95" s="4" t="str">
        <x:v>LEXEMA_O_FORMA</x:v>
      </x:c>
      <x:c r="O95" s="12" t="str">
        <x:f>IF(Q95="SIN_EJECUCION_DOMINIO","FALLO_CAPTURA",IF(OR(Q95="CAPTURA_MAL_FORMADA",Q95="IDENTIDAD",Q95="OBSERVACION_MAL_FORMADA",Q95="LEXEMA_O_FORMA"),"NO_ADMISION",IF(OR(Q95="PERFIL_NO_CONSTITUIDO",Q95="RESULTADO_NO_TERMINAL"),"FUERA_PERFIL",IF(Q95="CONTEXTO_NO_CONSTITUIDO","CONFIGURACION_PENDIENTE","VALIDA"))))</x:f>
        <x:v>NO_ADMISION</x:v>
      </x:c>
      <x:c r="P95" s="12" t="str">
        <x:f>IF(O95&lt;&gt;"VALIDA","",IF(Q95=AA95,"1",IF(Q95=AB95,"0","U")))</x:f>
      </x:c>
      <x:c r="Q95" s="12" t="str">
        <x:f>IF(E95="FALLO","SIN_EJECUCION_DOMINIO",IF(E95&lt;&gt;"LEGIBLE","CAPTURA_MAL_FORMADA",IF(D95&lt;&gt;"COINCIDE","IDENTIDAD",IF(OR(T95="",C95&lt;&gt;T95),"PERFIL_NO_CONSTITUIDO",IF(K95&lt;&gt;V95,IF(V95="ORDEN_ACREDITADO","ORDEN_NO_ACREDITADO","CONTEXTO_NO_CONSTITUIDO"),IF(AND(G95="AUSENTE",H95="",I95=""),"DATO_AUSENTE",IF(AND(G95="CONFLICTO",H95="",I95=""),"CONFLICTO_OBSERVACIONAL",IF(G95&lt;&gt;"UNICA","OBSERVACION_MAL_FORMADA",IF(F95&lt;&gt;U95,"OBSERVACION_INSUFICIENTE",IF(W95="RESULTADO",IF(H95=X95,AA95,IF(OR(H95="orcSucceededWithErrors",H95="orcFailed",H95="orcAborted"),AB95,IF(OR(H95="orcNotStarted",H95="orcInProgress"),"RESULTADO_NO_TERMINAL","LEXEMA_O_FORMA"))),IF(W95="EVENTO_BOOT",IF(H95=X95,AA95,IF(OR(H95="NINGUNO",H95="SOLO_HIBRIDO"),IF(J95="COMPLETA",AB95,"COBERTURA_INSUFICIENTE"),"LEXEMA_O_FORMA")),IF(W95="REQUISITO_SOFT",IF(H95=X95,AA95,IF(H95=Z95,AB95,"LEXEMA_O_FORMA")),IF(W95="EVENTO_PROC",IF(H95=X95,AA95,IF(H95=Z95,IF(J95="COMPLETA",AB95,"COBERTURA_INSUFICIENTE"),"LEXEMA_O_FORMA")),IF(W95="IMAGEN",IF(AND(AND(ISTEXT(H95),LEN(("x"&amp;H95))=65,EXACT(("x"&amp;H95),LOWER(("x"&amp;H95))),ISERROR(SEARCH(" ",("x"&amp;H95))),ISERROR(SEARCH(CHAR(9),("x"&amp;H95))),ISERROR(SEARCH(CHAR(10),("x"&amp;H95))),ISERROR(SEARCH(CHAR(13),("x"&amp;H95))),IFERROR(HEX2DEC(MID(("x"&amp;H95),2,8))&gt;=0,FALSE),IFERROR(HEX2DEC(MID(("x"&amp;H95),10,8))&gt;=0,FALSE),IFERROR(HEX2DEC(MID(("x"&amp;H95),18,8))&gt;=0,FALSE),IFERROR(HEX2DEC(MID(("x"&amp;H95),26,8))&gt;=0,FALSE),IFERROR(HEX2DEC(MID(("x"&amp;H95),34,8))&gt;=0,FALSE),IFERROR(HEX2DEC(MID(("x"&amp;H95),42,8))&gt;=0,FALSE),IFERROR(HEX2DEC(MID(("x"&amp;H95),50,8))&gt;=0,FALSE),IFERROR(HEX2DEC(MID(("x"&amp;H95),58,8))&gt;=0,FALSE)),AND(ISTEXT(I95),LEN(("x"&amp;I95))=65,EXACT(("x"&amp;I95),LOWER(("x"&amp;I95))),ISERROR(SEARCH(" ",("x"&amp;I95))),ISERROR(SEARCH(CHAR(9),("x"&amp;I95))),ISERROR(SEARCH(CHAR(10),("x"&amp;I95))),ISERROR(SEARCH(CHAR(13),("x"&amp;I95))),IFERROR(HEX2DEC(MID(("x"&amp;I95),2,8))&gt;=0,FALSE),IFERROR(HEX2DEC(MID(("x"&amp;I95),10,8))&gt;=0,FALSE),IFERROR(HEX2DEC(MID(("x"&amp;I95),18,8))&gt;=0,FALSE),IFERROR(HEX2DEC(MID(("x"&amp;I95),26,8))&gt;=0,FALSE),IFERROR(HEX2DEC(MID(("x"&amp;I95),34,8))&gt;=0,FALSE),IFERROR(HEX2DEC(MID(("x"&amp;I95),42,8))&gt;=0,FALSE),IFERROR(HEX2DEC(MID(("x"&amp;I95),50,8))&gt;=0,FALSE),IFERROR(HEX2DEC(MID(("x"&amp;I95),58,8))&gt;=0,FALSE))),IF(EXACT("x"&amp;H95,"x"&amp;I95),AA95,AB95),"LEXEMA_O_FORMA"),IF(W95="PRUEBA",IF(H95=X95,AA95,IF(H95=Z95,AB95,"LEXEMA_O_FORMA")),IF(W95="RETIRADA",IF(AND(H95="NINGUNO",I95=""),IF(J95="COMPLETA",AB95,"COBERTURA_INSUFICIENTE"),IF(AND(OR(H95="uoInstallation",H95="uoUninstallation"),OR(I95="orcSucceeded",I95="orcSucceededWithErrors",I95="orcFailed",I95="orcAborted",I95="orcInProgress",I95="orcNotStarted")),IF(AND(H95=X95,I95=Y95),AA95,IF(AND(H95=X95,OR(I95="orcSucceededWithErrors",I95="orcInProgress",I95="orcNotStarted")),"RESULTADO_RETIRADA_INCIERTO",IF(J95="COMPLETA",AB95,"COBERTURA_INSUFICIENTE"))),"LEXEMA_O_FORMA")),IF(W95="CAMBIO",IF(OR(H95="CAMBIO",H95="CAMBIO_Y_RETORNO"),AA95,IF(OR(H95="NINGUNO",H95="SOLO_RENOMBRE"),IF(J95="COMPLETA",AB95,"COBERTURA_INSUFICIENTE"),"LEXEMA_O_FORMA")),IF(W95="RESTAURACION",IF(H95=X95,AA95,IF(OR(H95="NINGUNO",H95="RESTAURACION_POSTERIOR",H95="RESTAURACION_FALLIDA"),IF(J95="COMPLETA",AB95,"COBERTURA_INSUFICIENTE"),"LEXEMA_O_FORMA")),"PERFIL_NO_CONSTITUIDO"))))))))))))))))))</x:f>
        <x:v>LEXEMA_O_FORMA</x:v>
      </x:c>
      <x:c r="R95" s="12" t="str">
        <x:f>IF(AND(L95=O95,M95=P95,N95=Q95),"PASA","NO_PASA")</x:f>
        <x:v>PASA</x:v>
      </x:c>
      <x:c r="S95" s="4" t="str">
        <x:v>La observación usa un lexema ajeno al contrato.</x:v>
      </x:c>
      <x:c r="T95" s="12" t="str">
        <x:f>IFERROR(INDEX('55_Codificacion_ensayo'!$B$5:$B$13,MATCH(B95,'55_Codificacion_ensayo'!$A$5:$A$13,0)),"")</x:f>
        <x:v>HISTORIA-RETIRADA-ACTUALIZACION-0.1</x:v>
      </x:c>
      <x:c r="U95" s="12" t="str">
        <x:f>IFERROR(INDEX('55_Codificacion_ensayo'!$C$5:$C$13,MATCH(B95,'55_Codificacion_ensayo'!$A$5:$A$13,0)),"")</x:f>
        <x:v>HISTORIA_WUA</x:v>
      </x:c>
      <x:c r="V95" s="12" t="str">
        <x:f>IFERROR(INDEX('55_Codificacion_ensayo'!$D$5:$D$13,MATCH(B95,'55_Codificacion_ensayo'!$A$5:$A$13,0)),"")</x:f>
        <x:v>ORDEN_ACREDITADO</x:v>
      </x:c>
      <x:c r="W95" s="12" t="str">
        <x:f>IFERROR(INDEX('55_Codificacion_ensayo'!$E$5:$E$13,MATCH(B95,'55_Codificacion_ensayo'!$A$5:$A$13,0)),"")</x:f>
        <x:v>RETIRADA</x:v>
      </x:c>
      <x:c r="X95" s="12" t="str">
        <x:f>IFERROR(INDEX('55_Codificacion_ensayo'!$F$5:$F$13,MATCH(B95,'55_Codificacion_ensayo'!$A$5:$A$13,0)),"")</x:f>
        <x:v>uoUninstallation</x:v>
      </x:c>
      <x:c r="Y95" s="12" t="str">
        <x:f>IFERROR(INDEX('55_Codificacion_ensayo'!$G$5:$G$13,MATCH(B95,'55_Codificacion_ensayo'!$A$5:$A$13,0)),"")</x:f>
        <x:v>orcSucceeded</x:v>
      </x:c>
      <x:c r="Z95" s="12" t="str">
        <x:f>IFERROR(INDEX('55_Codificacion_ensayo'!$H$5:$H$13,MATCH(B95,'55_Codificacion_ensayo'!$A$5:$A$13,0)),"")</x:f>
        <x:v>NINGUNO</x:v>
      </x:c>
      <x:c r="AA95" s="12" t="str">
        <x:f>IFERROR(INDEX('55_Codificacion_ensayo'!$I$5:$I$13,MATCH(B95,'55_Codificacion_ensayo'!$A$5:$A$13,0)),"")</x:f>
        <x:v>RETIRADA_EXITOSA</x:v>
      </x:c>
      <x:c r="AB95" s="12" t="str">
        <x:f>IFERROR(INDEX('55_Codificacion_ensayo'!$J$5:$J$13,MATCH(B95,'55_Codificacion_ensayo'!$A$5:$A$13,0)),"")</x:f>
        <x:v>SIN_RETIRADA_EXITOSA</x:v>
      </x:c>
    </x:row>
    <x:row r="96" ht="47" customHeight="1">
      <x:c r="A96" s="4" t="str">
        <x:v>L10-08-10</x:v>
      </x:c>
      <x:c r="B96" s="4" t="str">
        <x:v>PAR-CYB-RETIRADA-EXITOSA-COMUNICADA-001</x:v>
      </x:c>
      <x:c r="C96" s="4" t="str">
        <x:v>HISTORIA-RETIRADA-ACTUALIZACION-0.1</x:v>
      </x:c>
      <x:c r="D96" s="4" t="str">
        <x:v>COINCIDE</x:v>
      </x:c>
      <x:c r="E96" s="4" t="str">
        <x:v>LEGIBLE</x:v>
      </x:c>
      <x:c r="F96" s="4" t="str">
        <x:v>HISTORIA_WUA</x:v>
      </x:c>
      <x:c r="G96" s="4" t="str">
        <x:v>UNICA</x:v>
      </x:c>
      <x:c r="H96" s="4" t="str">
        <x:v>NINGUNO</x:v>
      </x:c>
      <x:c r="I96" s="4" t="str"/>
      <x:c r="J96" s="4" t="str">
        <x:v>PARCIAL</x:v>
      </x:c>
      <x:c r="K96" s="4" t="str">
        <x:v>ORDEN_ACREDITADO</x:v>
      </x:c>
      <x:c r="L96" s="4" t="str">
        <x:v>VALIDA</x:v>
      </x:c>
      <x:c r="M96" s="4" t="str">
        <x:v>U</x:v>
      </x:c>
      <x:c r="N96" s="4" t="str">
        <x:v>COBERTURA_INSUFICIENTE</x:v>
      </x:c>
      <x:c r="O96" s="12" t="str">
        <x:f>IF(Q96="SIN_EJECUCION_DOMINIO","FALLO_CAPTURA",IF(OR(Q96="CAPTURA_MAL_FORMADA",Q96="IDENTIDAD",Q96="OBSERVACION_MAL_FORMADA",Q96="LEXEMA_O_FORMA"),"NO_ADMISION",IF(OR(Q96="PERFIL_NO_CONSTITUIDO",Q96="RESULTADO_NO_TERMINAL"),"FUERA_PERFIL",IF(Q96="CONTEXTO_NO_CONSTITUIDO","CONFIGURACION_PENDIENTE","VALIDA"))))</x:f>
        <x:v>VALIDA</x:v>
      </x:c>
      <x:c r="P96" s="12" t="str">
        <x:f>IF(O96&lt;&gt;"VALIDA","",IF(Q96=AA96,"1",IF(Q96=AB96,"0","U")))</x:f>
        <x:v>U</x:v>
      </x:c>
      <x:c r="Q96" s="12" t="str">
        <x:f>IF(E96="FALLO","SIN_EJECUCION_DOMINIO",IF(E96&lt;&gt;"LEGIBLE","CAPTURA_MAL_FORMADA",IF(D96&lt;&gt;"COINCIDE","IDENTIDAD",IF(OR(T96="",C96&lt;&gt;T96),"PERFIL_NO_CONSTITUIDO",IF(K96&lt;&gt;V96,IF(V96="ORDEN_ACREDITADO","ORDEN_NO_ACREDITADO","CONTEXTO_NO_CONSTITUIDO"),IF(AND(G96="AUSENTE",H96="",I96=""),"DATO_AUSENTE",IF(AND(G96="CONFLICTO",H96="",I96=""),"CONFLICTO_OBSERVACIONAL",IF(G96&lt;&gt;"UNICA","OBSERVACION_MAL_FORMADA",IF(F96&lt;&gt;U96,"OBSERVACION_INSUFICIENTE",IF(W96="RESULTADO",IF(H96=X96,AA96,IF(OR(H96="orcSucceededWithErrors",H96="orcFailed",H96="orcAborted"),AB96,IF(OR(H96="orcNotStarted",H96="orcInProgress"),"RESULTADO_NO_TERMINAL","LEXEMA_O_FORMA"))),IF(W96="EVENTO_BOOT",IF(H96=X96,AA96,IF(OR(H96="NINGUNO",H96="SOLO_HIBRIDO"),IF(J96="COMPLETA",AB96,"COBERTURA_INSUFICIENTE"),"LEXEMA_O_FORMA")),IF(W96="REQUISITO_SOFT",IF(H96=X96,AA96,IF(H96=Z96,AB96,"LEXEMA_O_FORMA")),IF(W96="EVENTO_PROC",IF(H96=X96,AA96,IF(H96=Z96,IF(J96="COMPLETA",AB96,"COBERTURA_INSUFICIENTE"),"LEXEMA_O_FORMA")),IF(W96="IMAGEN",IF(AND(AND(ISTEXT(H96),LEN(("x"&amp;H96))=65,EXACT(("x"&amp;H96),LOWER(("x"&amp;H96))),ISERROR(SEARCH(" ",("x"&amp;H96))),ISERROR(SEARCH(CHAR(9),("x"&amp;H96))),ISERROR(SEARCH(CHAR(10),("x"&amp;H96))),ISERROR(SEARCH(CHAR(13),("x"&amp;H96))),IFERROR(HEX2DEC(MID(("x"&amp;H96),2,8))&gt;=0,FALSE),IFERROR(HEX2DEC(MID(("x"&amp;H96),10,8))&gt;=0,FALSE),IFERROR(HEX2DEC(MID(("x"&amp;H96),18,8))&gt;=0,FALSE),IFERROR(HEX2DEC(MID(("x"&amp;H96),26,8))&gt;=0,FALSE),IFERROR(HEX2DEC(MID(("x"&amp;H96),34,8))&gt;=0,FALSE),IFERROR(HEX2DEC(MID(("x"&amp;H96),42,8))&gt;=0,FALSE),IFERROR(HEX2DEC(MID(("x"&amp;H96),50,8))&gt;=0,FALSE),IFERROR(HEX2DEC(MID(("x"&amp;H96),58,8))&gt;=0,FALSE)),AND(ISTEXT(I96),LEN(("x"&amp;I96))=65,EXACT(("x"&amp;I96),LOWER(("x"&amp;I96))),ISERROR(SEARCH(" ",("x"&amp;I96))),ISERROR(SEARCH(CHAR(9),("x"&amp;I96))),ISERROR(SEARCH(CHAR(10),("x"&amp;I96))),ISERROR(SEARCH(CHAR(13),("x"&amp;I96))),IFERROR(HEX2DEC(MID(("x"&amp;I96),2,8))&gt;=0,FALSE),IFERROR(HEX2DEC(MID(("x"&amp;I96),10,8))&gt;=0,FALSE),IFERROR(HEX2DEC(MID(("x"&amp;I96),18,8))&gt;=0,FALSE),IFERROR(HEX2DEC(MID(("x"&amp;I96),26,8))&gt;=0,FALSE),IFERROR(HEX2DEC(MID(("x"&amp;I96),34,8))&gt;=0,FALSE),IFERROR(HEX2DEC(MID(("x"&amp;I96),42,8))&gt;=0,FALSE),IFERROR(HEX2DEC(MID(("x"&amp;I96),50,8))&gt;=0,FALSE),IFERROR(HEX2DEC(MID(("x"&amp;I96),58,8))&gt;=0,FALSE))),IF(EXACT("x"&amp;H96,"x"&amp;I96),AA96,AB96),"LEXEMA_O_FORMA"),IF(W96="PRUEBA",IF(H96=X96,AA96,IF(H96=Z96,AB96,"LEXEMA_O_FORMA")),IF(W96="RETIRADA",IF(AND(H96="NINGUNO",I96=""),IF(J96="COMPLETA",AB96,"COBERTURA_INSUFICIENTE"),IF(AND(OR(H96="uoInstallation",H96="uoUninstallation"),OR(I96="orcSucceeded",I96="orcSucceededWithErrors",I96="orcFailed",I96="orcAborted",I96="orcInProgress",I96="orcNotStarted")),IF(AND(H96=X96,I96=Y96),AA96,IF(AND(H96=X96,OR(I96="orcSucceededWithErrors",I96="orcInProgress",I96="orcNotStarted")),"RESULTADO_RETIRADA_INCIERTO",IF(J96="COMPLETA",AB96,"COBERTURA_INSUFICIENTE"))),"LEXEMA_O_FORMA")),IF(W96="CAMBIO",IF(OR(H96="CAMBIO",H96="CAMBIO_Y_RETORNO"),AA96,IF(OR(H96="NINGUNO",H96="SOLO_RENOMBRE"),IF(J96="COMPLETA",AB96,"COBERTURA_INSUFICIENTE"),"LEXEMA_O_FORMA")),IF(W96="RESTAURACION",IF(H96=X96,AA96,IF(OR(H96="NINGUNO",H96="RESTAURACION_POSTERIOR",H96="RESTAURACION_FALLIDA"),IF(J96="COMPLETA",AB96,"COBERTURA_INSUFICIENTE"),"LEXEMA_O_FORMA")),"PERFIL_NO_CONSTITUIDO"))))))))))))))))))</x:f>
        <x:v>COBERTURA_INSUFICIENTE</x:v>
      </x:c>
      <x:c r="R96" s="12" t="str">
        <x:f>IF(AND(L96=O96,M96=P96,N96=Q96),"PASA","NO_PASA")</x:f>
        <x:v>PASA</x:v>
      </x:c>
      <x:c r="S96" s="4" t="str">
        <x:v>Ningún evento encontrado en cobertura parcial: U, no 0.</x:v>
      </x:c>
      <x:c r="T96" s="12" t="str">
        <x:f>IFERROR(INDEX('55_Codificacion_ensayo'!$B$5:$B$13,MATCH(B96,'55_Codificacion_ensayo'!$A$5:$A$13,0)),"")</x:f>
        <x:v>HISTORIA-RETIRADA-ACTUALIZACION-0.1</x:v>
      </x:c>
      <x:c r="U96" s="12" t="str">
        <x:f>IFERROR(INDEX('55_Codificacion_ensayo'!$C$5:$C$13,MATCH(B96,'55_Codificacion_ensayo'!$A$5:$A$13,0)),"")</x:f>
        <x:v>HISTORIA_WUA</x:v>
      </x:c>
      <x:c r="V96" s="12" t="str">
        <x:f>IFERROR(INDEX('55_Codificacion_ensayo'!$D$5:$D$13,MATCH(B96,'55_Codificacion_ensayo'!$A$5:$A$13,0)),"")</x:f>
        <x:v>ORDEN_ACREDITADO</x:v>
      </x:c>
      <x:c r="W96" s="12" t="str">
        <x:f>IFERROR(INDEX('55_Codificacion_ensayo'!$E$5:$E$13,MATCH(B96,'55_Codificacion_ensayo'!$A$5:$A$13,0)),"")</x:f>
        <x:v>RETIRADA</x:v>
      </x:c>
      <x:c r="X96" s="12" t="str">
        <x:f>IFERROR(INDEX('55_Codificacion_ensayo'!$F$5:$F$13,MATCH(B96,'55_Codificacion_ensayo'!$A$5:$A$13,0)),"")</x:f>
        <x:v>uoUninstallation</x:v>
      </x:c>
      <x:c r="Y96" s="12" t="str">
        <x:f>IFERROR(INDEX('55_Codificacion_ensayo'!$G$5:$G$13,MATCH(B96,'55_Codificacion_ensayo'!$A$5:$A$13,0)),"")</x:f>
        <x:v>orcSucceeded</x:v>
      </x:c>
      <x:c r="Z96" s="12" t="str">
        <x:f>IFERROR(INDEX('55_Codificacion_ensayo'!$H$5:$H$13,MATCH(B96,'55_Codificacion_ensayo'!$A$5:$A$13,0)),"")</x:f>
        <x:v>NINGUNO</x:v>
      </x:c>
      <x:c r="AA96" s="12" t="str">
        <x:f>IFERROR(INDEX('55_Codificacion_ensayo'!$I$5:$I$13,MATCH(B96,'55_Codificacion_ensayo'!$A$5:$A$13,0)),"")</x:f>
        <x:v>RETIRADA_EXITOSA</x:v>
      </x:c>
      <x:c r="AB96" s="12" t="str">
        <x:f>IFERROR(INDEX('55_Codificacion_ensayo'!$J$5:$J$13,MATCH(B96,'55_Codificacion_ensayo'!$A$5:$A$13,0)),"")</x:f>
        <x:v>SIN_RETIRADA_EXITOSA</x:v>
      </x:c>
    </x:row>
    <x:row r="97" ht="47" customHeight="1">
      <x:c r="A97" s="4" t="str">
        <x:v>L10-08-11</x:v>
      </x:c>
      <x:c r="B97" s="4" t="str">
        <x:v>PAR-CYB-RETIRADA-EXITOSA-COMUNICADA-001</x:v>
      </x:c>
      <x:c r="C97" s="4" t="str">
        <x:v>HISTORIA-RETIRADA-ACTUALIZACION-0.1</x:v>
      </x:c>
      <x:c r="D97" s="4" t="str">
        <x:v>COINCIDE</x:v>
      </x:c>
      <x:c r="E97" s="4" t="str">
        <x:v>LEGIBLE</x:v>
      </x:c>
      <x:c r="F97" s="4" t="str">
        <x:v>HISTORIA_WUA</x:v>
      </x:c>
      <x:c r="G97" s="4" t="str">
        <x:v>UNICA</x:v>
      </x:c>
      <x:c r="H97" s="4" t="str">
        <x:v>uoUninstallation</x:v>
      </x:c>
      <x:c r="I97" s="4" t="str">
        <x:v>orcSucceeded</x:v>
      </x:c>
      <x:c r="J97" s="4" t="str">
        <x:v>PARCIAL</x:v>
      </x:c>
      <x:c r="K97" s="4" t="str">
        <x:v>ORDEN_ACREDITADO</x:v>
      </x:c>
      <x:c r="L97" s="4" t="str">
        <x:v>VALIDA</x:v>
      </x:c>
      <x:c r="M97" s="4" t="str">
        <x:v>1</x:v>
      </x:c>
      <x:c r="N97" s="4" t="str">
        <x:v>RETIRADA_EXITOSA</x:v>
      </x:c>
      <x:c r="O97" s="12" t="str">
        <x:f>IF(Q97="SIN_EJECUCION_DOMINIO","FALLO_CAPTURA",IF(OR(Q97="CAPTURA_MAL_FORMADA",Q97="IDENTIDAD",Q97="OBSERVACION_MAL_FORMADA",Q97="LEXEMA_O_FORMA"),"NO_ADMISION",IF(OR(Q97="PERFIL_NO_CONSTITUIDO",Q97="RESULTADO_NO_TERMINAL"),"FUERA_PERFIL",IF(Q97="CONTEXTO_NO_CONSTITUIDO","CONFIGURACION_PENDIENTE","VALIDA"))))</x:f>
        <x:v>VALIDA</x:v>
      </x:c>
      <x:c r="P97" s="12" t="str">
        <x:f>IF(O97&lt;&gt;"VALIDA","",IF(Q97=AA97,"1",IF(Q97=AB97,"0","U")))</x:f>
        <x:v>1</x:v>
      </x:c>
      <x:c r="Q97" s="12" t="str">
        <x:f>IF(E97="FALLO","SIN_EJECUCION_DOMINIO",IF(E97&lt;&gt;"LEGIBLE","CAPTURA_MAL_FORMADA",IF(D97&lt;&gt;"COINCIDE","IDENTIDAD",IF(OR(T97="",C97&lt;&gt;T97),"PERFIL_NO_CONSTITUIDO",IF(K97&lt;&gt;V97,IF(V97="ORDEN_ACREDITADO","ORDEN_NO_ACREDITADO","CONTEXTO_NO_CONSTITUIDO"),IF(AND(G97="AUSENTE",H97="",I97=""),"DATO_AUSENTE",IF(AND(G97="CONFLICTO",H97="",I97=""),"CONFLICTO_OBSERVACIONAL",IF(G97&lt;&gt;"UNICA","OBSERVACION_MAL_FORMADA",IF(F97&lt;&gt;U97,"OBSERVACION_INSUFICIENTE",IF(W97="RESULTADO",IF(H97=X97,AA97,IF(OR(H97="orcSucceededWithErrors",H97="orcFailed",H97="orcAborted"),AB97,IF(OR(H97="orcNotStarted",H97="orcInProgress"),"RESULTADO_NO_TERMINAL","LEXEMA_O_FORMA"))),IF(W97="EVENTO_BOOT",IF(H97=X97,AA97,IF(OR(H97="NINGUNO",H97="SOLO_HIBRIDO"),IF(J97="COMPLETA",AB97,"COBERTURA_INSUFICIENTE"),"LEXEMA_O_FORMA")),IF(W97="REQUISITO_SOFT",IF(H97=X97,AA97,IF(H97=Z97,AB97,"LEXEMA_O_FORMA")),IF(W97="EVENTO_PROC",IF(H97=X97,AA97,IF(H97=Z97,IF(J97="COMPLETA",AB97,"COBERTURA_INSUFICIENTE"),"LEXEMA_O_FORMA")),IF(W97="IMAGEN",IF(AND(AND(ISTEXT(H97),LEN(("x"&amp;H97))=65,EXACT(("x"&amp;H97),LOWER(("x"&amp;H97))),ISERROR(SEARCH(" ",("x"&amp;H97))),ISERROR(SEARCH(CHAR(9),("x"&amp;H97))),ISERROR(SEARCH(CHAR(10),("x"&amp;H97))),ISERROR(SEARCH(CHAR(13),("x"&amp;H97))),IFERROR(HEX2DEC(MID(("x"&amp;H97),2,8))&gt;=0,FALSE),IFERROR(HEX2DEC(MID(("x"&amp;H97),10,8))&gt;=0,FALSE),IFERROR(HEX2DEC(MID(("x"&amp;H97),18,8))&gt;=0,FALSE),IFERROR(HEX2DEC(MID(("x"&amp;H97),26,8))&gt;=0,FALSE),IFERROR(HEX2DEC(MID(("x"&amp;H97),34,8))&gt;=0,FALSE),IFERROR(HEX2DEC(MID(("x"&amp;H97),42,8))&gt;=0,FALSE),IFERROR(HEX2DEC(MID(("x"&amp;H97),50,8))&gt;=0,FALSE),IFERROR(HEX2DEC(MID(("x"&amp;H97),58,8))&gt;=0,FALSE)),AND(ISTEXT(I97),LEN(("x"&amp;I97))=65,EXACT(("x"&amp;I97),LOWER(("x"&amp;I97))),ISERROR(SEARCH(" ",("x"&amp;I97))),ISERROR(SEARCH(CHAR(9),("x"&amp;I97))),ISERROR(SEARCH(CHAR(10),("x"&amp;I97))),ISERROR(SEARCH(CHAR(13),("x"&amp;I97))),IFERROR(HEX2DEC(MID(("x"&amp;I97),2,8))&gt;=0,FALSE),IFERROR(HEX2DEC(MID(("x"&amp;I97),10,8))&gt;=0,FALSE),IFERROR(HEX2DEC(MID(("x"&amp;I97),18,8))&gt;=0,FALSE),IFERROR(HEX2DEC(MID(("x"&amp;I97),26,8))&gt;=0,FALSE),IFERROR(HEX2DEC(MID(("x"&amp;I97),34,8))&gt;=0,FALSE),IFERROR(HEX2DEC(MID(("x"&amp;I97),42,8))&gt;=0,FALSE),IFERROR(HEX2DEC(MID(("x"&amp;I97),50,8))&gt;=0,FALSE),IFERROR(HEX2DEC(MID(("x"&amp;I97),58,8))&gt;=0,FALSE))),IF(EXACT("x"&amp;H97,"x"&amp;I97),AA97,AB97),"LEXEMA_O_FORMA"),IF(W97="PRUEBA",IF(H97=X97,AA97,IF(H97=Z97,AB97,"LEXEMA_O_FORMA")),IF(W97="RETIRADA",IF(AND(H97="NINGUNO",I97=""),IF(J97="COMPLETA",AB97,"COBERTURA_INSUFICIENTE"),IF(AND(OR(H97="uoInstallation",H97="uoUninstallation"),OR(I97="orcSucceeded",I97="orcSucceededWithErrors",I97="orcFailed",I97="orcAborted",I97="orcInProgress",I97="orcNotStarted")),IF(AND(H97=X97,I97=Y97),AA97,IF(AND(H97=X97,OR(I97="orcSucceededWithErrors",I97="orcInProgress",I97="orcNotStarted")),"RESULTADO_RETIRADA_INCIERTO",IF(J97="COMPLETA",AB97,"COBERTURA_INSUFICIENTE"))),"LEXEMA_O_FORMA")),IF(W97="CAMBIO",IF(OR(H97="CAMBIO",H97="CAMBIO_Y_RETORNO"),AA97,IF(OR(H97="NINGUNO",H97="SOLO_RENOMBRE"),IF(J97="COMPLETA",AB97,"COBERTURA_INSUFICIENTE"),"LEXEMA_O_FORMA")),IF(W97="RESTAURACION",IF(H97=X97,AA97,IF(OR(H97="NINGUNO",H97="RESTAURACION_POSTERIOR",H97="RESTAURACION_FALLIDA"),IF(J97="COMPLETA",AB97,"COBERTURA_INSUFICIENTE"),"LEXEMA_O_FORMA")),"PERFIL_NO_CONSTITUIDO"))))))))))))))))))</x:f>
        <x:v>RETIRADA_EXITOSA</x:v>
      </x:c>
      <x:c r="R97" s="12" t="str">
        <x:f>IF(AND(L97=O97,M97=P97,N97=Q97),"PASA","NO_PASA")</x:f>
        <x:v>PASA</x:v>
      </x:c>
      <x:c r="S97" s="4" t="str">
        <x:v>Un testigo positivo acredita existencia aunque la historia restante sea parcial.</x:v>
      </x:c>
      <x:c r="T97" s="12" t="str">
        <x:f>IFERROR(INDEX('55_Codificacion_ensayo'!$B$5:$B$13,MATCH(B97,'55_Codificacion_ensayo'!$A$5:$A$13,0)),"")</x:f>
        <x:v>HISTORIA-RETIRADA-ACTUALIZACION-0.1</x:v>
      </x:c>
      <x:c r="U97" s="12" t="str">
        <x:f>IFERROR(INDEX('55_Codificacion_ensayo'!$C$5:$C$13,MATCH(B97,'55_Codificacion_ensayo'!$A$5:$A$13,0)),"")</x:f>
        <x:v>HISTORIA_WUA</x:v>
      </x:c>
      <x:c r="V97" s="12" t="str">
        <x:f>IFERROR(INDEX('55_Codificacion_ensayo'!$D$5:$D$13,MATCH(B97,'55_Codificacion_ensayo'!$A$5:$A$13,0)),"")</x:f>
        <x:v>ORDEN_ACREDITADO</x:v>
      </x:c>
      <x:c r="W97" s="12" t="str">
        <x:f>IFERROR(INDEX('55_Codificacion_ensayo'!$E$5:$E$13,MATCH(B97,'55_Codificacion_ensayo'!$A$5:$A$13,0)),"")</x:f>
        <x:v>RETIRADA</x:v>
      </x:c>
      <x:c r="X97" s="12" t="str">
        <x:f>IFERROR(INDEX('55_Codificacion_ensayo'!$F$5:$F$13,MATCH(B97,'55_Codificacion_ensayo'!$A$5:$A$13,0)),"")</x:f>
        <x:v>uoUninstallation</x:v>
      </x:c>
      <x:c r="Y97" s="12" t="str">
        <x:f>IFERROR(INDEX('55_Codificacion_ensayo'!$G$5:$G$13,MATCH(B97,'55_Codificacion_ensayo'!$A$5:$A$13,0)),"")</x:f>
        <x:v>orcSucceeded</x:v>
      </x:c>
      <x:c r="Z97" s="12" t="str">
        <x:f>IFERROR(INDEX('55_Codificacion_ensayo'!$H$5:$H$13,MATCH(B97,'55_Codificacion_ensayo'!$A$5:$A$13,0)),"")</x:f>
        <x:v>NINGUNO</x:v>
      </x:c>
      <x:c r="AA97" s="12" t="str">
        <x:f>IFERROR(INDEX('55_Codificacion_ensayo'!$I$5:$I$13,MATCH(B97,'55_Codificacion_ensayo'!$A$5:$A$13,0)),"")</x:f>
        <x:v>RETIRADA_EXITOSA</x:v>
      </x:c>
      <x:c r="AB97" s="12" t="str">
        <x:f>IFERROR(INDEX('55_Codificacion_ensayo'!$J$5:$J$13,MATCH(B97,'55_Codificacion_ensayo'!$A$5:$A$13,0)),"")</x:f>
        <x:v>SIN_RETIRADA_EXITOSA</x:v>
      </x:c>
    </x:row>
    <x:row r="98" ht="47" customHeight="1">
      <x:c r="A98" s="4" t="str">
        <x:v>L10-08-12</x:v>
      </x:c>
      <x:c r="B98" s="4" t="str">
        <x:v>PAR-CYB-RETIRADA-EXITOSA-COMUNICADA-001</x:v>
      </x:c>
      <x:c r="C98" s="4" t="str">
        <x:v>HISTORIA-RETIRADA-ACTUALIZACION-0.1</x:v>
      </x:c>
      <x:c r="D98" s="4" t="str">
        <x:v>COINCIDE</x:v>
      </x:c>
      <x:c r="E98" s="4" t="str">
        <x:v>LEGIBLE</x:v>
      </x:c>
      <x:c r="F98" s="4" t="str">
        <x:v>HISTORIA_WUA</x:v>
      </x:c>
      <x:c r="G98" s="4" t="str">
        <x:v>UNICA</x:v>
      </x:c>
      <x:c r="H98" s="4" t="str">
        <x:v>uoUninstallation</x:v>
      </x:c>
      <x:c r="I98" s="4" t="str">
        <x:v>orcSucceeded</x:v>
      </x:c>
      <x:c r="J98" s="4" t="str">
        <x:v>COMPLETA</x:v>
      </x:c>
      <x:c r="K98" s="4" t="str">
        <x:v>ORDEN_INCIERTO</x:v>
      </x:c>
      <x:c r="L98" s="4" t="str">
        <x:v>VALIDA</x:v>
      </x:c>
      <x:c r="M98" s="4" t="str">
        <x:v>U</x:v>
      </x:c>
      <x:c r="N98" s="4" t="str">
        <x:v>ORDEN_NO_ACREDITADO</x:v>
      </x:c>
      <x:c r="O98" s="12" t="str">
        <x:f>IF(Q98="SIN_EJECUCION_DOMINIO","FALLO_CAPTURA",IF(OR(Q98="CAPTURA_MAL_FORMADA",Q98="IDENTIDAD",Q98="OBSERVACION_MAL_FORMADA",Q98="LEXEMA_O_FORMA"),"NO_ADMISION",IF(OR(Q98="PERFIL_NO_CONSTITUIDO",Q98="RESULTADO_NO_TERMINAL"),"FUERA_PERFIL",IF(Q98="CONTEXTO_NO_CONSTITUIDO","CONFIGURACION_PENDIENTE","VALIDA"))))</x:f>
        <x:v>VALIDA</x:v>
      </x:c>
      <x:c r="P98" s="12" t="str">
        <x:f>IF(O98&lt;&gt;"VALIDA","",IF(Q98=AA98,"1",IF(Q98=AB98,"0","U")))</x:f>
        <x:v>U</x:v>
      </x:c>
      <x:c r="Q98" s="12" t="str">
        <x:f>IF(E98="FALLO","SIN_EJECUCION_DOMINIO",IF(E98&lt;&gt;"LEGIBLE","CAPTURA_MAL_FORMADA",IF(D98&lt;&gt;"COINCIDE","IDENTIDAD",IF(OR(T98="",C98&lt;&gt;T98),"PERFIL_NO_CONSTITUIDO",IF(K98&lt;&gt;V98,IF(V98="ORDEN_ACREDITADO","ORDEN_NO_ACREDITADO","CONTEXTO_NO_CONSTITUIDO"),IF(AND(G98="AUSENTE",H98="",I98=""),"DATO_AUSENTE",IF(AND(G98="CONFLICTO",H98="",I98=""),"CONFLICTO_OBSERVACIONAL",IF(G98&lt;&gt;"UNICA","OBSERVACION_MAL_FORMADA",IF(F98&lt;&gt;U98,"OBSERVACION_INSUFICIENTE",IF(W98="RESULTADO",IF(H98=X98,AA98,IF(OR(H98="orcSucceededWithErrors",H98="orcFailed",H98="orcAborted"),AB98,IF(OR(H98="orcNotStarted",H98="orcInProgress"),"RESULTADO_NO_TERMINAL","LEXEMA_O_FORMA"))),IF(W98="EVENTO_BOOT",IF(H98=X98,AA98,IF(OR(H98="NINGUNO",H98="SOLO_HIBRIDO"),IF(J98="COMPLETA",AB98,"COBERTURA_INSUFICIENTE"),"LEXEMA_O_FORMA")),IF(W98="REQUISITO_SOFT",IF(H98=X98,AA98,IF(H98=Z98,AB98,"LEXEMA_O_FORMA")),IF(W98="EVENTO_PROC",IF(H98=X98,AA98,IF(H98=Z98,IF(J98="COMPLETA",AB98,"COBERTURA_INSUFICIENTE"),"LEXEMA_O_FORMA")),IF(W98="IMAGEN",IF(AND(AND(ISTEXT(H98),LEN(("x"&amp;H98))=65,EXACT(("x"&amp;H98),LOWER(("x"&amp;H98))),ISERROR(SEARCH(" ",("x"&amp;H98))),ISERROR(SEARCH(CHAR(9),("x"&amp;H98))),ISERROR(SEARCH(CHAR(10),("x"&amp;H98))),ISERROR(SEARCH(CHAR(13),("x"&amp;H98))),IFERROR(HEX2DEC(MID(("x"&amp;H98),2,8))&gt;=0,FALSE),IFERROR(HEX2DEC(MID(("x"&amp;H98),10,8))&gt;=0,FALSE),IFERROR(HEX2DEC(MID(("x"&amp;H98),18,8))&gt;=0,FALSE),IFERROR(HEX2DEC(MID(("x"&amp;H98),26,8))&gt;=0,FALSE),IFERROR(HEX2DEC(MID(("x"&amp;H98),34,8))&gt;=0,FALSE),IFERROR(HEX2DEC(MID(("x"&amp;H98),42,8))&gt;=0,FALSE),IFERROR(HEX2DEC(MID(("x"&amp;H98),50,8))&gt;=0,FALSE),IFERROR(HEX2DEC(MID(("x"&amp;H98),58,8))&gt;=0,FALSE)),AND(ISTEXT(I98),LEN(("x"&amp;I98))=65,EXACT(("x"&amp;I98),LOWER(("x"&amp;I98))),ISERROR(SEARCH(" ",("x"&amp;I98))),ISERROR(SEARCH(CHAR(9),("x"&amp;I98))),ISERROR(SEARCH(CHAR(10),("x"&amp;I98))),ISERROR(SEARCH(CHAR(13),("x"&amp;I98))),IFERROR(HEX2DEC(MID(("x"&amp;I98),2,8))&gt;=0,FALSE),IFERROR(HEX2DEC(MID(("x"&amp;I98),10,8))&gt;=0,FALSE),IFERROR(HEX2DEC(MID(("x"&amp;I98),18,8))&gt;=0,FALSE),IFERROR(HEX2DEC(MID(("x"&amp;I98),26,8))&gt;=0,FALSE),IFERROR(HEX2DEC(MID(("x"&amp;I98),34,8))&gt;=0,FALSE),IFERROR(HEX2DEC(MID(("x"&amp;I98),42,8))&gt;=0,FALSE),IFERROR(HEX2DEC(MID(("x"&amp;I98),50,8))&gt;=0,FALSE),IFERROR(HEX2DEC(MID(("x"&amp;I98),58,8))&gt;=0,FALSE))),IF(EXACT("x"&amp;H98,"x"&amp;I98),AA98,AB98),"LEXEMA_O_FORMA"),IF(W98="PRUEBA",IF(H98=X98,AA98,IF(H98=Z98,AB98,"LEXEMA_O_FORMA")),IF(W98="RETIRADA",IF(AND(H98="NINGUNO",I98=""),IF(J98="COMPLETA",AB98,"COBERTURA_INSUFICIENTE"),IF(AND(OR(H98="uoInstallation",H98="uoUninstallation"),OR(I98="orcSucceeded",I98="orcSucceededWithErrors",I98="orcFailed",I98="orcAborted",I98="orcInProgress",I98="orcNotStarted")),IF(AND(H98=X98,I98=Y98),AA98,IF(AND(H98=X98,OR(I98="orcSucceededWithErrors",I98="orcInProgress",I98="orcNotStarted")),"RESULTADO_RETIRADA_INCIERTO",IF(J98="COMPLETA",AB98,"COBERTURA_INSUFICIENTE"))),"LEXEMA_O_FORMA")),IF(W98="CAMBIO",IF(OR(H98="CAMBIO",H98="CAMBIO_Y_RETORNO"),AA98,IF(OR(H98="NINGUNO",H98="SOLO_RENOMBRE"),IF(J98="COMPLETA",AB98,"COBERTURA_INSUFICIENTE"),"LEXEMA_O_FORMA")),IF(W98="RESTAURACION",IF(H98=X98,AA98,IF(OR(H98="NINGUNO",H98="RESTAURACION_POSTERIOR",H98="RESTAURACION_FALLIDA"),IF(J98="COMPLETA",AB98,"COBERTURA_INSUFICIENTE"),"LEXEMA_O_FORMA")),"PERFIL_NO_CONSTITUIDO"))))))))))))))))))</x:f>
        <x:v>ORDEN_NO_ACREDITADO</x:v>
      </x:c>
      <x:c r="R98" s="12" t="str">
        <x:f>IF(AND(L98=O98,M98=P98,N98=Q98),"PASA","NO_PASA")</x:f>
        <x:v>PASA</x:v>
      </x:c>
      <x:c r="S98" s="4" t="str">
        <x:v>El orden no está acreditado; la mera fecha no prueba posterioridad.</x:v>
      </x:c>
      <x:c r="T98" s="12" t="str">
        <x:f>IFERROR(INDEX('55_Codificacion_ensayo'!$B$5:$B$13,MATCH(B98,'55_Codificacion_ensayo'!$A$5:$A$13,0)),"")</x:f>
        <x:v>HISTORIA-RETIRADA-ACTUALIZACION-0.1</x:v>
      </x:c>
      <x:c r="U98" s="12" t="str">
        <x:f>IFERROR(INDEX('55_Codificacion_ensayo'!$C$5:$C$13,MATCH(B98,'55_Codificacion_ensayo'!$A$5:$A$13,0)),"")</x:f>
        <x:v>HISTORIA_WUA</x:v>
      </x:c>
      <x:c r="V98" s="12" t="str">
        <x:f>IFERROR(INDEX('55_Codificacion_ensayo'!$D$5:$D$13,MATCH(B98,'55_Codificacion_ensayo'!$A$5:$A$13,0)),"")</x:f>
        <x:v>ORDEN_ACREDITADO</x:v>
      </x:c>
      <x:c r="W98" s="12" t="str">
        <x:f>IFERROR(INDEX('55_Codificacion_ensayo'!$E$5:$E$13,MATCH(B98,'55_Codificacion_ensayo'!$A$5:$A$13,0)),"")</x:f>
        <x:v>RETIRADA</x:v>
      </x:c>
      <x:c r="X98" s="12" t="str">
        <x:f>IFERROR(INDEX('55_Codificacion_ensayo'!$F$5:$F$13,MATCH(B98,'55_Codificacion_ensayo'!$A$5:$A$13,0)),"")</x:f>
        <x:v>uoUninstallation</x:v>
      </x:c>
      <x:c r="Y98" s="12" t="str">
        <x:f>IFERROR(INDEX('55_Codificacion_ensayo'!$G$5:$G$13,MATCH(B98,'55_Codificacion_ensayo'!$A$5:$A$13,0)),"")</x:f>
        <x:v>orcSucceeded</x:v>
      </x:c>
      <x:c r="Z98" s="12" t="str">
        <x:f>IFERROR(INDEX('55_Codificacion_ensayo'!$H$5:$H$13,MATCH(B98,'55_Codificacion_ensayo'!$A$5:$A$13,0)),"")</x:f>
        <x:v>NINGUNO</x:v>
      </x:c>
      <x:c r="AA98" s="12" t="str">
        <x:f>IFERROR(INDEX('55_Codificacion_ensayo'!$I$5:$I$13,MATCH(B98,'55_Codificacion_ensayo'!$A$5:$A$13,0)),"")</x:f>
        <x:v>RETIRADA_EXITOSA</x:v>
      </x:c>
      <x:c r="AB98" s="12" t="str">
        <x:f>IFERROR(INDEX('55_Codificacion_ensayo'!$J$5:$J$13,MATCH(B98,'55_Codificacion_ensayo'!$A$5:$A$13,0)),"")</x:f>
        <x:v>SIN_RETIRADA_EXITOSA</x:v>
      </x:c>
    </x:row>
    <x:row r="99" ht="47" customHeight="1">
      <x:c r="A99" s="4" t="str">
        <x:v>L10-08-13</x:v>
      </x:c>
      <x:c r="B99" s="4" t="str">
        <x:v>PAR-CYB-RETIRADA-EXITOSA-COMUNICADA-001</x:v>
      </x:c>
      <x:c r="C99" s="4" t="str">
        <x:v>HISTORIA-RETIRADA-ACTUALIZACION-0.1</x:v>
      </x:c>
      <x:c r="D99" s="4" t="str">
        <x:v>COINCIDE</x:v>
      </x:c>
      <x:c r="E99" s="4" t="str">
        <x:v>LEGIBLE</x:v>
      </x:c>
      <x:c r="F99" s="4" t="str">
        <x:v>HISTORIA_WUA</x:v>
      </x:c>
      <x:c r="G99" s="4" t="str">
        <x:v>UNICA</x:v>
      </x:c>
      <x:c r="H99" s="4" t="str">
        <x:v>uoUninstallation</x:v>
      </x:c>
      <x:c r="I99" s="4" t="str">
        <x:v>orcFailed</x:v>
      </x:c>
      <x:c r="J99" s="4" t="str">
        <x:v>COMPLETA</x:v>
      </x:c>
      <x:c r="K99" s="4" t="str">
        <x:v>ORDEN_ACREDITADO</x:v>
      </x:c>
      <x:c r="L99" s="4" t="str">
        <x:v>VALIDA</x:v>
      </x:c>
      <x:c r="M99" s="4" t="str">
        <x:v>0</x:v>
      </x:c>
      <x:c r="N99" s="4" t="str">
        <x:v>SIN_RETIRADA_EXITOSA</x:v>
      </x:c>
      <x:c r="O99" s="12" t="str">
        <x:f>IF(Q99="SIN_EJECUCION_DOMINIO","FALLO_CAPTURA",IF(OR(Q99="CAPTURA_MAL_FORMADA",Q99="IDENTIDAD",Q99="OBSERVACION_MAL_FORMADA",Q99="LEXEMA_O_FORMA"),"NO_ADMISION",IF(OR(Q99="PERFIL_NO_CONSTITUIDO",Q99="RESULTADO_NO_TERMINAL"),"FUERA_PERFIL",IF(Q99="CONTEXTO_NO_CONSTITUIDO","CONFIGURACION_PENDIENTE","VALIDA"))))</x:f>
        <x:v>VALIDA</x:v>
      </x:c>
      <x:c r="P99" s="12" t="str">
        <x:f>IF(O99&lt;&gt;"VALIDA","",IF(Q99=AA99,"1",IF(Q99=AB99,"0","U")))</x:f>
        <x:v>0</x:v>
      </x:c>
      <x:c r="Q99" s="12" t="str">
        <x:f>IF(E99="FALLO","SIN_EJECUCION_DOMINIO",IF(E99&lt;&gt;"LEGIBLE","CAPTURA_MAL_FORMADA",IF(D99&lt;&gt;"COINCIDE","IDENTIDAD",IF(OR(T99="",C99&lt;&gt;T99),"PERFIL_NO_CONSTITUIDO",IF(K99&lt;&gt;V99,IF(V99="ORDEN_ACREDITADO","ORDEN_NO_ACREDITADO","CONTEXTO_NO_CONSTITUIDO"),IF(AND(G99="AUSENTE",H99="",I99=""),"DATO_AUSENTE",IF(AND(G99="CONFLICTO",H99="",I99=""),"CONFLICTO_OBSERVACIONAL",IF(G99&lt;&gt;"UNICA","OBSERVACION_MAL_FORMADA",IF(F99&lt;&gt;U99,"OBSERVACION_INSUFICIENTE",IF(W99="RESULTADO",IF(H99=X99,AA99,IF(OR(H99="orcSucceededWithErrors",H99="orcFailed",H99="orcAborted"),AB99,IF(OR(H99="orcNotStarted",H99="orcInProgress"),"RESULTADO_NO_TERMINAL","LEXEMA_O_FORMA"))),IF(W99="EVENTO_BOOT",IF(H99=X99,AA99,IF(OR(H99="NINGUNO",H99="SOLO_HIBRIDO"),IF(J99="COMPLETA",AB99,"COBERTURA_INSUFICIENTE"),"LEXEMA_O_FORMA")),IF(W99="REQUISITO_SOFT",IF(H99=X99,AA99,IF(H99=Z99,AB99,"LEXEMA_O_FORMA")),IF(W99="EVENTO_PROC",IF(H99=X99,AA99,IF(H99=Z99,IF(J99="COMPLETA",AB99,"COBERTURA_INSUFICIENTE"),"LEXEMA_O_FORMA")),IF(W99="IMAGEN",IF(AND(AND(ISTEXT(H99),LEN(("x"&amp;H99))=65,EXACT(("x"&amp;H99),LOWER(("x"&amp;H99))),ISERROR(SEARCH(" ",("x"&amp;H99))),ISERROR(SEARCH(CHAR(9),("x"&amp;H99))),ISERROR(SEARCH(CHAR(10),("x"&amp;H99))),ISERROR(SEARCH(CHAR(13),("x"&amp;H99))),IFERROR(HEX2DEC(MID(("x"&amp;H99),2,8))&gt;=0,FALSE),IFERROR(HEX2DEC(MID(("x"&amp;H99),10,8))&gt;=0,FALSE),IFERROR(HEX2DEC(MID(("x"&amp;H99),18,8))&gt;=0,FALSE),IFERROR(HEX2DEC(MID(("x"&amp;H99),26,8))&gt;=0,FALSE),IFERROR(HEX2DEC(MID(("x"&amp;H99),34,8))&gt;=0,FALSE),IFERROR(HEX2DEC(MID(("x"&amp;H99),42,8))&gt;=0,FALSE),IFERROR(HEX2DEC(MID(("x"&amp;H99),50,8))&gt;=0,FALSE),IFERROR(HEX2DEC(MID(("x"&amp;H99),58,8))&gt;=0,FALSE)),AND(ISTEXT(I99),LEN(("x"&amp;I99))=65,EXACT(("x"&amp;I99),LOWER(("x"&amp;I99))),ISERROR(SEARCH(" ",("x"&amp;I99))),ISERROR(SEARCH(CHAR(9),("x"&amp;I99))),ISERROR(SEARCH(CHAR(10),("x"&amp;I99))),ISERROR(SEARCH(CHAR(13),("x"&amp;I99))),IFERROR(HEX2DEC(MID(("x"&amp;I99),2,8))&gt;=0,FALSE),IFERROR(HEX2DEC(MID(("x"&amp;I99),10,8))&gt;=0,FALSE),IFERROR(HEX2DEC(MID(("x"&amp;I99),18,8))&gt;=0,FALSE),IFERROR(HEX2DEC(MID(("x"&amp;I99),26,8))&gt;=0,FALSE),IFERROR(HEX2DEC(MID(("x"&amp;I99),34,8))&gt;=0,FALSE),IFERROR(HEX2DEC(MID(("x"&amp;I99),42,8))&gt;=0,FALSE),IFERROR(HEX2DEC(MID(("x"&amp;I99),50,8))&gt;=0,FALSE),IFERROR(HEX2DEC(MID(("x"&amp;I99),58,8))&gt;=0,FALSE))),IF(EXACT("x"&amp;H99,"x"&amp;I99),AA99,AB99),"LEXEMA_O_FORMA"),IF(W99="PRUEBA",IF(H99=X99,AA99,IF(H99=Z99,AB99,"LEXEMA_O_FORMA")),IF(W99="RETIRADA",IF(AND(H99="NINGUNO",I99=""),IF(J99="COMPLETA",AB99,"COBERTURA_INSUFICIENTE"),IF(AND(OR(H99="uoInstallation",H99="uoUninstallation"),OR(I99="orcSucceeded",I99="orcSucceededWithErrors",I99="orcFailed",I99="orcAborted",I99="orcInProgress",I99="orcNotStarted")),IF(AND(H99=X99,I99=Y99),AA99,IF(AND(H99=X99,OR(I99="orcSucceededWithErrors",I99="orcInProgress",I99="orcNotStarted")),"RESULTADO_RETIRADA_INCIERTO",IF(J99="COMPLETA",AB99,"COBERTURA_INSUFICIENTE"))),"LEXEMA_O_FORMA")),IF(W99="CAMBIO",IF(OR(H99="CAMBIO",H99="CAMBIO_Y_RETORNO"),AA99,IF(OR(H99="NINGUNO",H99="SOLO_RENOMBRE"),IF(J99="COMPLETA",AB99,"COBERTURA_INSUFICIENTE"),"LEXEMA_O_FORMA")),IF(W99="RESTAURACION",IF(H99=X99,AA99,IF(OR(H99="NINGUNO",H99="RESTAURACION_POSTERIOR",H99="RESTAURACION_FALLIDA"),IF(J99="COMPLETA",AB99,"COBERTURA_INSUFICIENTE"),"LEXEMA_O_FORMA")),"PERFIL_NO_CONSTITUIDO"))))))))))))))))))</x:f>
        <x:v>SIN_RETIRADA_EXITOSA</x:v>
      </x:c>
      <x:c r="R99" s="12" t="str">
        <x:f>IF(AND(L99=O99,M99=P99,N99=Q99),"PASA","NO_PASA")</x:f>
        <x:v>PASA</x:v>
      </x:c>
      <x:c r="S99" s="4" t="str">
        <x:v>Desinstalación fallida no equivale a retirada exitosa, con cobertura completa.</x:v>
      </x:c>
      <x:c r="T99" s="12" t="str">
        <x:f>IFERROR(INDEX('55_Codificacion_ensayo'!$B$5:$B$13,MATCH(B99,'55_Codificacion_ensayo'!$A$5:$A$13,0)),"")</x:f>
        <x:v>HISTORIA-RETIRADA-ACTUALIZACION-0.1</x:v>
      </x:c>
      <x:c r="U99" s="12" t="str">
        <x:f>IFERROR(INDEX('55_Codificacion_ensayo'!$C$5:$C$13,MATCH(B99,'55_Codificacion_ensayo'!$A$5:$A$13,0)),"")</x:f>
        <x:v>HISTORIA_WUA</x:v>
      </x:c>
      <x:c r="V99" s="12" t="str">
        <x:f>IFERROR(INDEX('55_Codificacion_ensayo'!$D$5:$D$13,MATCH(B99,'55_Codificacion_ensayo'!$A$5:$A$13,0)),"")</x:f>
        <x:v>ORDEN_ACREDITADO</x:v>
      </x:c>
      <x:c r="W99" s="12" t="str">
        <x:f>IFERROR(INDEX('55_Codificacion_ensayo'!$E$5:$E$13,MATCH(B99,'55_Codificacion_ensayo'!$A$5:$A$13,0)),"")</x:f>
        <x:v>RETIRADA</x:v>
      </x:c>
      <x:c r="X99" s="12" t="str">
        <x:f>IFERROR(INDEX('55_Codificacion_ensayo'!$F$5:$F$13,MATCH(B99,'55_Codificacion_ensayo'!$A$5:$A$13,0)),"")</x:f>
        <x:v>uoUninstallation</x:v>
      </x:c>
      <x:c r="Y99" s="12" t="str">
        <x:f>IFERROR(INDEX('55_Codificacion_ensayo'!$G$5:$G$13,MATCH(B99,'55_Codificacion_ensayo'!$A$5:$A$13,0)),"")</x:f>
        <x:v>orcSucceeded</x:v>
      </x:c>
      <x:c r="Z99" s="12" t="str">
        <x:f>IFERROR(INDEX('55_Codificacion_ensayo'!$H$5:$H$13,MATCH(B99,'55_Codificacion_ensayo'!$A$5:$A$13,0)),"")</x:f>
        <x:v>NINGUNO</x:v>
      </x:c>
      <x:c r="AA99" s="12" t="str">
        <x:f>IFERROR(INDEX('55_Codificacion_ensayo'!$I$5:$I$13,MATCH(B99,'55_Codificacion_ensayo'!$A$5:$A$13,0)),"")</x:f>
        <x:v>RETIRADA_EXITOSA</x:v>
      </x:c>
      <x:c r="AB99" s="12" t="str">
        <x:f>IFERROR(INDEX('55_Codificacion_ensayo'!$J$5:$J$13,MATCH(B99,'55_Codificacion_ensayo'!$A$5:$A$13,0)),"")</x:f>
        <x:v>SIN_RETIRADA_EXITOSA</x:v>
      </x:c>
    </x:row>
    <x:row r="100" ht="47" customHeight="1">
      <x:c r="A100" s="4" t="str">
        <x:v>L10-08-14</x:v>
      </x:c>
      <x:c r="B100" s="4" t="str">
        <x:v>PAR-CYB-RETIRADA-EXITOSA-COMUNICADA-001</x:v>
      </x:c>
      <x:c r="C100" s="4" t="str">
        <x:v>HISTORIA-RETIRADA-ACTUALIZACION-0.1</x:v>
      </x:c>
      <x:c r="D100" s="4" t="str">
        <x:v>COINCIDE</x:v>
      </x:c>
      <x:c r="E100" s="4" t="str">
        <x:v>LEGIBLE</x:v>
      </x:c>
      <x:c r="F100" s="4" t="str">
        <x:v>HISTORIA_WUA</x:v>
      </x:c>
      <x:c r="G100" s="4" t="str">
        <x:v>UNICA</x:v>
      </x:c>
      <x:c r="H100" s="4" t="str">
        <x:v>uoUninstallation</x:v>
      </x:c>
      <x:c r="I100" s="4" t="str">
        <x:v>orcSucceededWithErrors</x:v>
      </x:c>
      <x:c r="J100" s="4" t="str">
        <x:v>COMPLETA</x:v>
      </x:c>
      <x:c r="K100" s="4" t="str">
        <x:v>ORDEN_ACREDITADO</x:v>
      </x:c>
      <x:c r="L100" s="4" t="str">
        <x:v>VALIDA</x:v>
      </x:c>
      <x:c r="M100" s="4" t="str">
        <x:v>U</x:v>
      </x:c>
      <x:c r="N100" s="4" t="str">
        <x:v>RESULTADO_RETIRADA_INCIERTO</x:v>
      </x:c>
      <x:c r="O100" s="12" t="str">
        <x:f>IF(Q100="SIN_EJECUCION_DOMINIO","FALLO_CAPTURA",IF(OR(Q100="CAPTURA_MAL_FORMADA",Q100="IDENTIDAD",Q100="OBSERVACION_MAL_FORMADA",Q100="LEXEMA_O_FORMA"),"NO_ADMISION",IF(OR(Q100="PERFIL_NO_CONSTITUIDO",Q100="RESULTADO_NO_TERMINAL"),"FUERA_PERFIL",IF(Q100="CONTEXTO_NO_CONSTITUIDO","CONFIGURACION_PENDIENTE","VALIDA"))))</x:f>
        <x:v>VALIDA</x:v>
      </x:c>
      <x:c r="P100" s="12" t="str">
        <x:f>IF(O100&lt;&gt;"VALIDA","",IF(Q100=AA100,"1",IF(Q100=AB100,"0","U")))</x:f>
        <x:v>U</x:v>
      </x:c>
      <x:c r="Q100" s="12" t="str">
        <x:f>IF(E100="FALLO","SIN_EJECUCION_DOMINIO",IF(E100&lt;&gt;"LEGIBLE","CAPTURA_MAL_FORMADA",IF(D100&lt;&gt;"COINCIDE","IDENTIDAD",IF(OR(T100="",C100&lt;&gt;T100),"PERFIL_NO_CONSTITUIDO",IF(K100&lt;&gt;V100,IF(V100="ORDEN_ACREDITADO","ORDEN_NO_ACREDITADO","CONTEXTO_NO_CONSTITUIDO"),IF(AND(G100="AUSENTE",H100="",I100=""),"DATO_AUSENTE",IF(AND(G100="CONFLICTO",H100="",I100=""),"CONFLICTO_OBSERVACIONAL",IF(G100&lt;&gt;"UNICA","OBSERVACION_MAL_FORMADA",IF(F100&lt;&gt;U100,"OBSERVACION_INSUFICIENTE",IF(W100="RESULTADO",IF(H100=X100,AA100,IF(OR(H100="orcSucceededWithErrors",H100="orcFailed",H100="orcAborted"),AB100,IF(OR(H100="orcNotStarted",H100="orcInProgress"),"RESULTADO_NO_TERMINAL","LEXEMA_O_FORMA"))),IF(W100="EVENTO_BOOT",IF(H100=X100,AA100,IF(OR(H100="NINGUNO",H100="SOLO_HIBRIDO"),IF(J100="COMPLETA",AB100,"COBERTURA_INSUFICIENTE"),"LEXEMA_O_FORMA")),IF(W100="REQUISITO_SOFT",IF(H100=X100,AA100,IF(H100=Z100,AB100,"LEXEMA_O_FORMA")),IF(W100="EVENTO_PROC",IF(H100=X100,AA100,IF(H100=Z100,IF(J100="COMPLETA",AB100,"COBERTURA_INSUFICIENTE"),"LEXEMA_O_FORMA")),IF(W100="IMAGEN",IF(AND(AND(ISTEXT(H100),LEN(("x"&amp;H100))=65,EXACT(("x"&amp;H100),LOWER(("x"&amp;H100))),ISERROR(SEARCH(" ",("x"&amp;H100))),ISERROR(SEARCH(CHAR(9),("x"&amp;H100))),ISERROR(SEARCH(CHAR(10),("x"&amp;H100))),ISERROR(SEARCH(CHAR(13),("x"&amp;H100))),IFERROR(HEX2DEC(MID(("x"&amp;H100),2,8))&gt;=0,FALSE),IFERROR(HEX2DEC(MID(("x"&amp;H100),10,8))&gt;=0,FALSE),IFERROR(HEX2DEC(MID(("x"&amp;H100),18,8))&gt;=0,FALSE),IFERROR(HEX2DEC(MID(("x"&amp;H100),26,8))&gt;=0,FALSE),IFERROR(HEX2DEC(MID(("x"&amp;H100),34,8))&gt;=0,FALSE),IFERROR(HEX2DEC(MID(("x"&amp;H100),42,8))&gt;=0,FALSE),IFERROR(HEX2DEC(MID(("x"&amp;H100),50,8))&gt;=0,FALSE),IFERROR(HEX2DEC(MID(("x"&amp;H100),58,8))&gt;=0,FALSE)),AND(ISTEXT(I100),LEN(("x"&amp;I100))=65,EXACT(("x"&amp;I100),LOWER(("x"&amp;I100))),ISERROR(SEARCH(" ",("x"&amp;I100))),ISERROR(SEARCH(CHAR(9),("x"&amp;I100))),ISERROR(SEARCH(CHAR(10),("x"&amp;I100))),ISERROR(SEARCH(CHAR(13),("x"&amp;I100))),IFERROR(HEX2DEC(MID(("x"&amp;I100),2,8))&gt;=0,FALSE),IFERROR(HEX2DEC(MID(("x"&amp;I100),10,8))&gt;=0,FALSE),IFERROR(HEX2DEC(MID(("x"&amp;I100),18,8))&gt;=0,FALSE),IFERROR(HEX2DEC(MID(("x"&amp;I100),26,8))&gt;=0,FALSE),IFERROR(HEX2DEC(MID(("x"&amp;I100),34,8))&gt;=0,FALSE),IFERROR(HEX2DEC(MID(("x"&amp;I100),42,8))&gt;=0,FALSE),IFERROR(HEX2DEC(MID(("x"&amp;I100),50,8))&gt;=0,FALSE),IFERROR(HEX2DEC(MID(("x"&amp;I100),58,8))&gt;=0,FALSE))),IF(EXACT("x"&amp;H100,"x"&amp;I100),AA100,AB100),"LEXEMA_O_FORMA"),IF(W100="PRUEBA",IF(H100=X100,AA100,IF(H100=Z100,AB100,"LEXEMA_O_FORMA")),IF(W100="RETIRADA",IF(AND(H100="NINGUNO",I100=""),IF(J100="COMPLETA",AB100,"COBERTURA_INSUFICIENTE"),IF(AND(OR(H100="uoInstallation",H100="uoUninstallation"),OR(I100="orcSucceeded",I100="orcSucceededWithErrors",I100="orcFailed",I100="orcAborted",I100="orcInProgress",I100="orcNotStarted")),IF(AND(H100=X100,I100=Y100),AA100,IF(AND(H100=X100,OR(I100="orcSucceededWithErrors",I100="orcInProgress",I100="orcNotStarted")),"RESULTADO_RETIRADA_INCIERTO",IF(J100="COMPLETA",AB100,"COBERTURA_INSUFICIENTE"))),"LEXEMA_O_FORMA")),IF(W100="CAMBIO",IF(OR(H100="CAMBIO",H100="CAMBIO_Y_RETORNO"),AA100,IF(OR(H100="NINGUNO",H100="SOLO_RENOMBRE"),IF(J100="COMPLETA",AB100,"COBERTURA_INSUFICIENTE"),"LEXEMA_O_FORMA")),IF(W100="RESTAURACION",IF(H100=X100,AA100,IF(OR(H100="NINGUNO",H100="RESTAURACION_POSTERIOR",H100="RESTAURACION_FALLIDA"),IF(J100="COMPLETA",AB100,"COBERTURA_INSUFICIENTE"),"LEXEMA_O_FORMA")),"PERFIL_NO_CONSTITUIDO"))))))))))))))))))</x:f>
        <x:v>RESULTADO_RETIRADA_INCIERTO</x:v>
      </x:c>
      <x:c r="R100" s="12" t="str">
        <x:f>IF(AND(L100=O100,M100=P100,N100=Q100),"PASA","NO_PASA")</x:f>
        <x:v>PASA</x:v>
      </x:c>
      <x:c r="S100" s="4" t="str">
        <x:v>Éxito con errores no acredita retirada íntegra ni ausencia de ésta.</x:v>
      </x:c>
      <x:c r="T100" s="12" t="str">
        <x:f>IFERROR(INDEX('55_Codificacion_ensayo'!$B$5:$B$13,MATCH(B100,'55_Codificacion_ensayo'!$A$5:$A$13,0)),"")</x:f>
        <x:v>HISTORIA-RETIRADA-ACTUALIZACION-0.1</x:v>
      </x:c>
      <x:c r="U100" s="12" t="str">
        <x:f>IFERROR(INDEX('55_Codificacion_ensayo'!$C$5:$C$13,MATCH(B100,'55_Codificacion_ensayo'!$A$5:$A$13,0)),"")</x:f>
        <x:v>HISTORIA_WUA</x:v>
      </x:c>
      <x:c r="V100" s="12" t="str">
        <x:f>IFERROR(INDEX('55_Codificacion_ensayo'!$D$5:$D$13,MATCH(B100,'55_Codificacion_ensayo'!$A$5:$A$13,0)),"")</x:f>
        <x:v>ORDEN_ACREDITADO</x:v>
      </x:c>
      <x:c r="W100" s="12" t="str">
        <x:f>IFERROR(INDEX('55_Codificacion_ensayo'!$E$5:$E$13,MATCH(B100,'55_Codificacion_ensayo'!$A$5:$A$13,0)),"")</x:f>
        <x:v>RETIRADA</x:v>
      </x:c>
      <x:c r="X100" s="12" t="str">
        <x:f>IFERROR(INDEX('55_Codificacion_ensayo'!$F$5:$F$13,MATCH(B100,'55_Codificacion_ensayo'!$A$5:$A$13,0)),"")</x:f>
        <x:v>uoUninstallation</x:v>
      </x:c>
      <x:c r="Y100" s="12" t="str">
        <x:f>IFERROR(INDEX('55_Codificacion_ensayo'!$G$5:$G$13,MATCH(B100,'55_Codificacion_ensayo'!$A$5:$A$13,0)),"")</x:f>
        <x:v>orcSucceeded</x:v>
      </x:c>
      <x:c r="Z100" s="12" t="str">
        <x:f>IFERROR(INDEX('55_Codificacion_ensayo'!$H$5:$H$13,MATCH(B100,'55_Codificacion_ensayo'!$A$5:$A$13,0)),"")</x:f>
        <x:v>NINGUNO</x:v>
      </x:c>
      <x:c r="AA100" s="12" t="str">
        <x:f>IFERROR(INDEX('55_Codificacion_ensayo'!$I$5:$I$13,MATCH(B100,'55_Codificacion_ensayo'!$A$5:$A$13,0)),"")</x:f>
        <x:v>RETIRADA_EXITOSA</x:v>
      </x:c>
      <x:c r="AB100" s="12" t="str">
        <x:f>IFERROR(INDEX('55_Codificacion_ensayo'!$J$5:$J$13,MATCH(B100,'55_Codificacion_ensayo'!$A$5:$A$13,0)),"")</x:f>
        <x:v>SIN_RETIRADA_EXITOSA</x:v>
      </x:c>
    </x:row>
    <x:row r="101" ht="47" customHeight="1">
      <x:c r="A101" s="4" t="str">
        <x:v>L10-08-15</x:v>
      </x:c>
      <x:c r="B101" s="4" t="str">
        <x:v>PAR-CYB-RETIRADA-EXITOSA-COMUNICADA-001</x:v>
      </x:c>
      <x:c r="C101" s="4" t="str">
        <x:v>HISTORIA-RETIRADA-ACTUALIZACION-0.1</x:v>
      </x:c>
      <x:c r="D101" s="4" t="str">
        <x:v>COINCIDE</x:v>
      </x:c>
      <x:c r="E101" s="4" t="str">
        <x:v>LEGIBLE</x:v>
      </x:c>
      <x:c r="F101" s="4" t="str">
        <x:v>HISTORIA_WUA</x:v>
      </x:c>
      <x:c r="G101" s="4" t="str">
        <x:v>UNICA</x:v>
      </x:c>
      <x:c r="H101" s="4" t="str">
        <x:v>uoInstallation</x:v>
      </x:c>
      <x:c r="I101" s="4" t="str">
        <x:v>orcSucceeded</x:v>
      </x:c>
      <x:c r="J101" s="4" t="str">
        <x:v>COMPLETA</x:v>
      </x:c>
      <x:c r="K101" s="4" t="str">
        <x:v>ORDEN_ACREDITADO</x:v>
      </x:c>
      <x:c r="L101" s="4" t="str">
        <x:v>VALIDA</x:v>
      </x:c>
      <x:c r="M101" s="4" t="str">
        <x:v>0</x:v>
      </x:c>
      <x:c r="N101" s="4" t="str">
        <x:v>SIN_RETIRADA_EXITOSA</x:v>
      </x:c>
      <x:c r="O101" s="12" t="str">
        <x:f>IF(Q101="SIN_EJECUCION_DOMINIO","FALLO_CAPTURA",IF(OR(Q101="CAPTURA_MAL_FORMADA",Q101="IDENTIDAD",Q101="OBSERVACION_MAL_FORMADA",Q101="LEXEMA_O_FORMA"),"NO_ADMISION",IF(OR(Q101="PERFIL_NO_CONSTITUIDO",Q101="RESULTADO_NO_TERMINAL"),"FUERA_PERFIL",IF(Q101="CONTEXTO_NO_CONSTITUIDO","CONFIGURACION_PENDIENTE","VALIDA"))))</x:f>
        <x:v>VALIDA</x:v>
      </x:c>
      <x:c r="P101" s="12" t="str">
        <x:f>IF(O101&lt;&gt;"VALIDA","",IF(Q101=AA101,"1",IF(Q101=AB101,"0","U")))</x:f>
        <x:v>0</x:v>
      </x:c>
      <x:c r="Q101" s="12" t="str">
        <x:f>IF(E101="FALLO","SIN_EJECUCION_DOMINIO",IF(E101&lt;&gt;"LEGIBLE","CAPTURA_MAL_FORMADA",IF(D101&lt;&gt;"COINCIDE","IDENTIDAD",IF(OR(T101="",C101&lt;&gt;T101),"PERFIL_NO_CONSTITUIDO",IF(K101&lt;&gt;V101,IF(V101="ORDEN_ACREDITADO","ORDEN_NO_ACREDITADO","CONTEXTO_NO_CONSTITUIDO"),IF(AND(G101="AUSENTE",H101="",I101=""),"DATO_AUSENTE",IF(AND(G101="CONFLICTO",H101="",I101=""),"CONFLICTO_OBSERVACIONAL",IF(G101&lt;&gt;"UNICA","OBSERVACION_MAL_FORMADA",IF(F101&lt;&gt;U101,"OBSERVACION_INSUFICIENTE",IF(W101="RESULTADO",IF(H101=X101,AA101,IF(OR(H101="orcSucceededWithErrors",H101="orcFailed",H101="orcAborted"),AB101,IF(OR(H101="orcNotStarted",H101="orcInProgress"),"RESULTADO_NO_TERMINAL","LEXEMA_O_FORMA"))),IF(W101="EVENTO_BOOT",IF(H101=X101,AA101,IF(OR(H101="NINGUNO",H101="SOLO_HIBRIDO"),IF(J101="COMPLETA",AB101,"COBERTURA_INSUFICIENTE"),"LEXEMA_O_FORMA")),IF(W101="REQUISITO_SOFT",IF(H101=X101,AA101,IF(H101=Z101,AB101,"LEXEMA_O_FORMA")),IF(W101="EVENTO_PROC",IF(H101=X101,AA101,IF(H101=Z101,IF(J101="COMPLETA",AB101,"COBERTURA_INSUFICIENTE"),"LEXEMA_O_FORMA")),IF(W101="IMAGEN",IF(AND(AND(ISTEXT(H101),LEN(("x"&amp;H101))=65,EXACT(("x"&amp;H101),LOWER(("x"&amp;H101))),ISERROR(SEARCH(" ",("x"&amp;H101))),ISERROR(SEARCH(CHAR(9),("x"&amp;H101))),ISERROR(SEARCH(CHAR(10),("x"&amp;H101))),ISERROR(SEARCH(CHAR(13),("x"&amp;H101))),IFERROR(HEX2DEC(MID(("x"&amp;H101),2,8))&gt;=0,FALSE),IFERROR(HEX2DEC(MID(("x"&amp;H101),10,8))&gt;=0,FALSE),IFERROR(HEX2DEC(MID(("x"&amp;H101),18,8))&gt;=0,FALSE),IFERROR(HEX2DEC(MID(("x"&amp;H101),26,8))&gt;=0,FALSE),IFERROR(HEX2DEC(MID(("x"&amp;H101),34,8))&gt;=0,FALSE),IFERROR(HEX2DEC(MID(("x"&amp;H101),42,8))&gt;=0,FALSE),IFERROR(HEX2DEC(MID(("x"&amp;H101),50,8))&gt;=0,FALSE),IFERROR(HEX2DEC(MID(("x"&amp;H101),58,8))&gt;=0,FALSE)),AND(ISTEXT(I101),LEN(("x"&amp;I101))=65,EXACT(("x"&amp;I101),LOWER(("x"&amp;I101))),ISERROR(SEARCH(" ",("x"&amp;I101))),ISERROR(SEARCH(CHAR(9),("x"&amp;I101))),ISERROR(SEARCH(CHAR(10),("x"&amp;I101))),ISERROR(SEARCH(CHAR(13),("x"&amp;I101))),IFERROR(HEX2DEC(MID(("x"&amp;I101),2,8))&gt;=0,FALSE),IFERROR(HEX2DEC(MID(("x"&amp;I101),10,8))&gt;=0,FALSE),IFERROR(HEX2DEC(MID(("x"&amp;I101),18,8))&gt;=0,FALSE),IFERROR(HEX2DEC(MID(("x"&amp;I101),26,8))&gt;=0,FALSE),IFERROR(HEX2DEC(MID(("x"&amp;I101),34,8))&gt;=0,FALSE),IFERROR(HEX2DEC(MID(("x"&amp;I101),42,8))&gt;=0,FALSE),IFERROR(HEX2DEC(MID(("x"&amp;I101),50,8))&gt;=0,FALSE),IFERROR(HEX2DEC(MID(("x"&amp;I101),58,8))&gt;=0,FALSE))),IF(EXACT("x"&amp;H101,"x"&amp;I101),AA101,AB101),"LEXEMA_O_FORMA"),IF(W101="PRUEBA",IF(H101=X101,AA101,IF(H101=Z101,AB101,"LEXEMA_O_FORMA")),IF(W101="RETIRADA",IF(AND(H101="NINGUNO",I101=""),IF(J101="COMPLETA",AB101,"COBERTURA_INSUFICIENTE"),IF(AND(OR(H101="uoInstallation",H101="uoUninstallation"),OR(I101="orcSucceeded",I101="orcSucceededWithErrors",I101="orcFailed",I101="orcAborted",I101="orcInProgress",I101="orcNotStarted")),IF(AND(H101=X101,I101=Y101),AA101,IF(AND(H101=X101,OR(I101="orcSucceededWithErrors",I101="orcInProgress",I101="orcNotStarted")),"RESULTADO_RETIRADA_INCIERTO",IF(J101="COMPLETA",AB101,"COBERTURA_INSUFICIENTE"))),"LEXEMA_O_FORMA")),IF(W101="CAMBIO",IF(OR(H101="CAMBIO",H101="CAMBIO_Y_RETORNO"),AA101,IF(OR(H101="NINGUNO",H101="SOLO_RENOMBRE"),IF(J101="COMPLETA",AB101,"COBERTURA_INSUFICIENTE"),"LEXEMA_O_FORMA")),IF(W101="RESTAURACION",IF(H101=X101,AA101,IF(OR(H101="NINGUNO",H101="RESTAURACION_POSTERIOR",H101="RESTAURACION_FALLIDA"),IF(J101="COMPLETA",AB101,"COBERTURA_INSUFICIENTE"),"LEXEMA_O_FORMA")),"PERFIL_NO_CONSTITUIDO"))))))))))))))))))</x:f>
        <x:v>SIN_RETIRADA_EXITOSA</x:v>
      </x:c>
      <x:c r="R101" s="12" t="str">
        <x:f>IF(AND(L101=O101,M101=P101,N101=Q101),"PASA","NO_PASA")</x:f>
        <x:v>PASA</x:v>
      </x:c>
      <x:c r="S101" s="4" t="str">
        <x:v>Un resultado de instalación no es una retirada.</x:v>
      </x:c>
      <x:c r="T101" s="12" t="str">
        <x:f>IFERROR(INDEX('55_Codificacion_ensayo'!$B$5:$B$13,MATCH(B101,'55_Codificacion_ensayo'!$A$5:$A$13,0)),"")</x:f>
        <x:v>HISTORIA-RETIRADA-ACTUALIZACION-0.1</x:v>
      </x:c>
      <x:c r="U101" s="12" t="str">
        <x:f>IFERROR(INDEX('55_Codificacion_ensayo'!$C$5:$C$13,MATCH(B101,'55_Codificacion_ensayo'!$A$5:$A$13,0)),"")</x:f>
        <x:v>HISTORIA_WUA</x:v>
      </x:c>
      <x:c r="V101" s="12" t="str">
        <x:f>IFERROR(INDEX('55_Codificacion_ensayo'!$D$5:$D$13,MATCH(B101,'55_Codificacion_ensayo'!$A$5:$A$13,0)),"")</x:f>
        <x:v>ORDEN_ACREDITADO</x:v>
      </x:c>
      <x:c r="W101" s="12" t="str">
        <x:f>IFERROR(INDEX('55_Codificacion_ensayo'!$E$5:$E$13,MATCH(B101,'55_Codificacion_ensayo'!$A$5:$A$13,0)),"")</x:f>
        <x:v>RETIRADA</x:v>
      </x:c>
      <x:c r="X101" s="12" t="str">
        <x:f>IFERROR(INDEX('55_Codificacion_ensayo'!$F$5:$F$13,MATCH(B101,'55_Codificacion_ensayo'!$A$5:$A$13,0)),"")</x:f>
        <x:v>uoUninstallation</x:v>
      </x:c>
      <x:c r="Y101" s="12" t="str">
        <x:f>IFERROR(INDEX('55_Codificacion_ensayo'!$G$5:$G$13,MATCH(B101,'55_Codificacion_ensayo'!$A$5:$A$13,0)),"")</x:f>
        <x:v>orcSucceeded</x:v>
      </x:c>
      <x:c r="Z101" s="12" t="str">
        <x:f>IFERROR(INDEX('55_Codificacion_ensayo'!$H$5:$H$13,MATCH(B101,'55_Codificacion_ensayo'!$A$5:$A$13,0)),"")</x:f>
        <x:v>NINGUNO</x:v>
      </x:c>
      <x:c r="AA101" s="12" t="str">
        <x:f>IFERROR(INDEX('55_Codificacion_ensayo'!$I$5:$I$13,MATCH(B101,'55_Codificacion_ensayo'!$A$5:$A$13,0)),"")</x:f>
        <x:v>RETIRADA_EXITOSA</x:v>
      </x:c>
      <x:c r="AB101" s="12" t="str">
        <x:f>IFERROR(INDEX('55_Codificacion_ensayo'!$J$5:$J$13,MATCH(B101,'55_Codificacion_ensayo'!$A$5:$A$13,0)),"")</x:f>
        <x:v>SIN_RETIRADA_EXITOSA</x:v>
      </x:c>
    </x:row>
    <x:row r="102" ht="47" customHeight="1">
      <x:c r="A102" s="4" t="str">
        <x:v>L10-09-01</x:v>
      </x:c>
      <x:c r="B102" s="4" t="str">
        <x:v>PAR-CYB-CAMBIO-COMPONENTE-POSTERIOR-001</x:v>
      </x:c>
      <x:c r="C102" s="4" t="str">
        <x:v>HISTORIA-CAMBIO-COMPONENTE-0.1</x:v>
      </x:c>
      <x:c r="D102" s="4" t="str">
        <x:v>COINCIDE</x:v>
      </x:c>
      <x:c r="E102" s="4" t="str">
        <x:v>LEGIBLE</x:v>
      </x:c>
      <x:c r="F102" s="4" t="str">
        <x:v>HISTORIA_BINARIA</x:v>
      </x:c>
      <x:c r="G102" s="4" t="str">
        <x:v>UNICA</x:v>
      </x:c>
      <x:c r="H102" s="4" t="str">
        <x:v>CAMBIO</x:v>
      </x:c>
      <x:c r="I102" s="4" t="str"/>
      <x:c r="J102" s="4" t="str">
        <x:v>COMPLETA</x:v>
      </x:c>
      <x:c r="K102" s="4" t="str">
        <x:v>ORDEN_ACREDITADO</x:v>
      </x:c>
      <x:c r="L102" s="4" t="str">
        <x:v>VALIDA</x:v>
      </x:c>
      <x:c r="M102" s="4" t="str">
        <x:v>1</x:v>
      </x:c>
      <x:c r="N102" s="4" t="str">
        <x:v>CAMBIO_POSTERIOR</x:v>
      </x:c>
      <x:c r="O102" s="12" t="str">
        <x:f>IF(Q102="SIN_EJECUCION_DOMINIO","FALLO_CAPTURA",IF(OR(Q102="CAPTURA_MAL_FORMADA",Q102="IDENTIDAD",Q102="OBSERVACION_MAL_FORMADA",Q102="LEXEMA_O_FORMA"),"NO_ADMISION",IF(OR(Q102="PERFIL_NO_CONSTITUIDO",Q102="RESULTADO_NO_TERMINAL"),"FUERA_PERFIL",IF(Q102="CONTEXTO_NO_CONSTITUIDO","CONFIGURACION_PENDIENTE","VALIDA"))))</x:f>
        <x:v>VALIDA</x:v>
      </x:c>
      <x:c r="P102" s="12" t="str">
        <x:f>IF(O102&lt;&gt;"VALIDA","",IF(Q102=AA102,"1",IF(Q102=AB102,"0","U")))</x:f>
        <x:v>1</x:v>
      </x:c>
      <x:c r="Q102" s="12" t="str">
        <x:f>IF(E102="FALLO","SIN_EJECUCION_DOMINIO",IF(E102&lt;&gt;"LEGIBLE","CAPTURA_MAL_FORMADA",IF(D102&lt;&gt;"COINCIDE","IDENTIDAD",IF(OR(T102="",C102&lt;&gt;T102),"PERFIL_NO_CONSTITUIDO",IF(K102&lt;&gt;V102,IF(V102="ORDEN_ACREDITADO","ORDEN_NO_ACREDITADO","CONTEXTO_NO_CONSTITUIDO"),IF(AND(G102="AUSENTE",H102="",I102=""),"DATO_AUSENTE",IF(AND(G102="CONFLICTO",H102="",I102=""),"CONFLICTO_OBSERVACIONAL",IF(G102&lt;&gt;"UNICA","OBSERVACION_MAL_FORMADA",IF(F102&lt;&gt;U102,"OBSERVACION_INSUFICIENTE",IF(W102="RESULTADO",IF(H102=X102,AA102,IF(OR(H102="orcSucceededWithErrors",H102="orcFailed",H102="orcAborted"),AB102,IF(OR(H102="orcNotStarted",H102="orcInProgress"),"RESULTADO_NO_TERMINAL","LEXEMA_O_FORMA"))),IF(W102="EVENTO_BOOT",IF(H102=X102,AA102,IF(OR(H102="NINGUNO",H102="SOLO_HIBRIDO"),IF(J102="COMPLETA",AB102,"COBERTURA_INSUFICIENTE"),"LEXEMA_O_FORMA")),IF(W102="REQUISITO_SOFT",IF(H102=X102,AA102,IF(H102=Z102,AB102,"LEXEMA_O_FORMA")),IF(W102="EVENTO_PROC",IF(H102=X102,AA102,IF(H102=Z102,IF(J102="COMPLETA",AB102,"COBERTURA_INSUFICIENTE"),"LEXEMA_O_FORMA")),IF(W102="IMAGEN",IF(AND(AND(ISTEXT(H102),LEN(("x"&amp;H102))=65,EXACT(("x"&amp;H102),LOWER(("x"&amp;H102))),ISERROR(SEARCH(" ",("x"&amp;H102))),ISERROR(SEARCH(CHAR(9),("x"&amp;H102))),ISERROR(SEARCH(CHAR(10),("x"&amp;H102))),ISERROR(SEARCH(CHAR(13),("x"&amp;H102))),IFERROR(HEX2DEC(MID(("x"&amp;H102),2,8))&gt;=0,FALSE),IFERROR(HEX2DEC(MID(("x"&amp;H102),10,8))&gt;=0,FALSE),IFERROR(HEX2DEC(MID(("x"&amp;H102),18,8))&gt;=0,FALSE),IFERROR(HEX2DEC(MID(("x"&amp;H102),26,8))&gt;=0,FALSE),IFERROR(HEX2DEC(MID(("x"&amp;H102),34,8))&gt;=0,FALSE),IFERROR(HEX2DEC(MID(("x"&amp;H102),42,8))&gt;=0,FALSE),IFERROR(HEX2DEC(MID(("x"&amp;H102),50,8))&gt;=0,FALSE),IFERROR(HEX2DEC(MID(("x"&amp;H102),58,8))&gt;=0,FALSE)),AND(ISTEXT(I102),LEN(("x"&amp;I102))=65,EXACT(("x"&amp;I102),LOWER(("x"&amp;I102))),ISERROR(SEARCH(" ",("x"&amp;I102))),ISERROR(SEARCH(CHAR(9),("x"&amp;I102))),ISERROR(SEARCH(CHAR(10),("x"&amp;I102))),ISERROR(SEARCH(CHAR(13),("x"&amp;I102))),IFERROR(HEX2DEC(MID(("x"&amp;I102),2,8))&gt;=0,FALSE),IFERROR(HEX2DEC(MID(("x"&amp;I102),10,8))&gt;=0,FALSE),IFERROR(HEX2DEC(MID(("x"&amp;I102),18,8))&gt;=0,FALSE),IFERROR(HEX2DEC(MID(("x"&amp;I102),26,8))&gt;=0,FALSE),IFERROR(HEX2DEC(MID(("x"&amp;I102),34,8))&gt;=0,FALSE),IFERROR(HEX2DEC(MID(("x"&amp;I102),42,8))&gt;=0,FALSE),IFERROR(HEX2DEC(MID(("x"&amp;I102),50,8))&gt;=0,FALSE),IFERROR(HEX2DEC(MID(("x"&amp;I102),58,8))&gt;=0,FALSE))),IF(EXACT("x"&amp;H102,"x"&amp;I102),AA102,AB102),"LEXEMA_O_FORMA"),IF(W102="PRUEBA",IF(H102=X102,AA102,IF(H102=Z102,AB102,"LEXEMA_O_FORMA")),IF(W102="RETIRADA",IF(AND(H102="NINGUNO",I102=""),IF(J102="COMPLETA",AB102,"COBERTURA_INSUFICIENTE"),IF(AND(OR(H102="uoInstallation",H102="uoUninstallation"),OR(I102="orcSucceeded",I102="orcSucceededWithErrors",I102="orcFailed",I102="orcAborted",I102="orcInProgress",I102="orcNotStarted")),IF(AND(H102=X102,I102=Y102),AA102,IF(AND(H102=X102,OR(I102="orcSucceededWithErrors",I102="orcInProgress",I102="orcNotStarted")),"RESULTADO_RETIRADA_INCIERTO",IF(J102="COMPLETA",AB102,"COBERTURA_INSUFICIENTE"))),"LEXEMA_O_FORMA")),IF(W102="CAMBIO",IF(OR(H102="CAMBIO",H102="CAMBIO_Y_RETORNO"),AA102,IF(OR(H102="NINGUNO",H102="SOLO_RENOMBRE"),IF(J102="COMPLETA",AB102,"COBERTURA_INSUFICIENTE"),"LEXEMA_O_FORMA")),IF(W102="RESTAURACION",IF(H102=X102,AA102,IF(OR(H102="NINGUNO",H102="RESTAURACION_POSTERIOR",H102="RESTAURACION_FALLIDA"),IF(J102="COMPLETA",AB102,"COBERTURA_INSUFICIENTE"),"LEXEMA_O_FORMA")),"PERFIL_NO_CONSTITUIDO"))))))))))))))))))</x:f>
        <x:v>CAMBIO_POSTERIOR</x:v>
      </x:c>
      <x:c r="R102" s="12" t="str">
        <x:f>IF(AND(L102=O102,M102=P102,N102=Q102),"PASA","NO_PASA")</x:f>
        <x:v>PASA</x:v>
      </x:c>
      <x:c r="S102" s="4" t="str">
        <x:v>Testigo positivo de la proposición; no licencia ninguna conclusión más amplia.</x:v>
      </x:c>
      <x:c r="T102" s="12" t="str">
        <x:f>IFERROR(INDEX('55_Codificacion_ensayo'!$B$5:$B$13,MATCH(B102,'55_Codificacion_ensayo'!$A$5:$A$13,0)),"")</x:f>
        <x:v>HISTORIA-CAMBIO-COMPONENTE-0.1</x:v>
      </x:c>
      <x:c r="U102" s="12" t="str">
        <x:f>IFERROR(INDEX('55_Codificacion_ensayo'!$C$5:$C$13,MATCH(B102,'55_Codificacion_ensayo'!$A$5:$A$13,0)),"")</x:f>
        <x:v>HISTORIA_BINARIA</x:v>
      </x:c>
      <x:c r="V102" s="12" t="str">
        <x:f>IFERROR(INDEX('55_Codificacion_ensayo'!$D$5:$D$13,MATCH(B102,'55_Codificacion_ensayo'!$A$5:$A$13,0)),"")</x:f>
        <x:v>ORDEN_ACREDITADO</x:v>
      </x:c>
      <x:c r="W102" s="12" t="str">
        <x:f>IFERROR(INDEX('55_Codificacion_ensayo'!$E$5:$E$13,MATCH(B102,'55_Codificacion_ensayo'!$A$5:$A$13,0)),"")</x:f>
        <x:v>CAMBIO</x:v>
      </x:c>
      <x:c r="X102" s="12" t="str">
        <x:f>IFERROR(INDEX('55_Codificacion_ensayo'!$F$5:$F$13,MATCH(B102,'55_Codificacion_ensayo'!$A$5:$A$13,0)),"")</x:f>
        <x:v>CAMBIO</x:v>
      </x:c>
      <x:c r="Y102" s="12" t="str">
        <x:f>IFERROR(INDEX('55_Codificacion_ensayo'!$G$5:$G$13,MATCH(B102,'55_Codificacion_ensayo'!$A$5:$A$13,0)),"")</x:f>
      </x:c>
      <x:c r="Z102" s="12" t="str">
        <x:f>IFERROR(INDEX('55_Codificacion_ensayo'!$H$5:$H$13,MATCH(B102,'55_Codificacion_ensayo'!$A$5:$A$13,0)),"")</x:f>
        <x:v>NINGUNO</x:v>
      </x:c>
      <x:c r="AA102" s="12" t="str">
        <x:f>IFERROR(INDEX('55_Codificacion_ensayo'!$I$5:$I$13,MATCH(B102,'55_Codificacion_ensayo'!$A$5:$A$13,0)),"")</x:f>
        <x:v>CAMBIO_POSTERIOR</x:v>
      </x:c>
      <x:c r="AB102" s="12" t="str">
        <x:f>IFERROR(INDEX('55_Codificacion_ensayo'!$J$5:$J$13,MATCH(B102,'55_Codificacion_ensayo'!$A$5:$A$13,0)),"")</x:f>
        <x:v>SIN_CAMBIO_ACREDITADO</x:v>
      </x:c>
    </x:row>
    <x:row r="103" ht="47" customHeight="1">
      <x:c r="A103" s="4" t="str">
        <x:v>L10-09-02</x:v>
      </x:c>
      <x:c r="B103" s="4" t="str">
        <x:v>PAR-CYB-CAMBIO-COMPONENTE-POSTERIOR-001</x:v>
      </x:c>
      <x:c r="C103" s="4" t="str">
        <x:v>HISTORIA-CAMBIO-COMPONENTE-0.1</x:v>
      </x:c>
      <x:c r="D103" s="4" t="str">
        <x:v>COINCIDE</x:v>
      </x:c>
      <x:c r="E103" s="4" t="str">
        <x:v>LEGIBLE</x:v>
      </x:c>
      <x:c r="F103" s="4" t="str">
        <x:v>HISTORIA_BINARIA</x:v>
      </x:c>
      <x:c r="G103" s="4" t="str">
        <x:v>UNICA</x:v>
      </x:c>
      <x:c r="H103" s="4" t="str">
        <x:v>NINGUNO</x:v>
      </x:c>
      <x:c r="I103" s="4" t="str"/>
      <x:c r="J103" s="4" t="str">
        <x:v>COMPLETA</x:v>
      </x:c>
      <x:c r="K103" s="4" t="str">
        <x:v>ORDEN_ACREDITADO</x:v>
      </x:c>
      <x:c r="L103" s="4" t="str">
        <x:v>VALIDA</x:v>
      </x:c>
      <x:c r="M103" s="4" t="str">
        <x:v>0</x:v>
      </x:c>
      <x:c r="N103" s="4" t="str">
        <x:v>SIN_CAMBIO_ACREDITADO</x:v>
      </x:c>
      <x:c r="O103" s="12" t="str">
        <x:f>IF(Q103="SIN_EJECUCION_DOMINIO","FALLO_CAPTURA",IF(OR(Q103="CAPTURA_MAL_FORMADA",Q103="IDENTIDAD",Q103="OBSERVACION_MAL_FORMADA",Q103="LEXEMA_O_FORMA"),"NO_ADMISION",IF(OR(Q103="PERFIL_NO_CONSTITUIDO",Q103="RESULTADO_NO_TERMINAL"),"FUERA_PERFIL",IF(Q103="CONTEXTO_NO_CONSTITUIDO","CONFIGURACION_PENDIENTE","VALIDA"))))</x:f>
        <x:v>VALIDA</x:v>
      </x:c>
      <x:c r="P103" s="12" t="str">
        <x:f>IF(O103&lt;&gt;"VALIDA","",IF(Q103=AA103,"1",IF(Q103=AB103,"0","U")))</x:f>
        <x:v>0</x:v>
      </x:c>
      <x:c r="Q103" s="12" t="str">
        <x:f>IF(E103="FALLO","SIN_EJECUCION_DOMINIO",IF(E103&lt;&gt;"LEGIBLE","CAPTURA_MAL_FORMADA",IF(D103&lt;&gt;"COINCIDE","IDENTIDAD",IF(OR(T103="",C103&lt;&gt;T103),"PERFIL_NO_CONSTITUIDO",IF(K103&lt;&gt;V103,IF(V103="ORDEN_ACREDITADO","ORDEN_NO_ACREDITADO","CONTEXTO_NO_CONSTITUIDO"),IF(AND(G103="AUSENTE",H103="",I103=""),"DATO_AUSENTE",IF(AND(G103="CONFLICTO",H103="",I103=""),"CONFLICTO_OBSERVACIONAL",IF(G103&lt;&gt;"UNICA","OBSERVACION_MAL_FORMADA",IF(F103&lt;&gt;U103,"OBSERVACION_INSUFICIENTE",IF(W103="RESULTADO",IF(H103=X103,AA103,IF(OR(H103="orcSucceededWithErrors",H103="orcFailed",H103="orcAborted"),AB103,IF(OR(H103="orcNotStarted",H103="orcInProgress"),"RESULTADO_NO_TERMINAL","LEXEMA_O_FORMA"))),IF(W103="EVENTO_BOOT",IF(H103=X103,AA103,IF(OR(H103="NINGUNO",H103="SOLO_HIBRIDO"),IF(J103="COMPLETA",AB103,"COBERTURA_INSUFICIENTE"),"LEXEMA_O_FORMA")),IF(W103="REQUISITO_SOFT",IF(H103=X103,AA103,IF(H103=Z103,AB103,"LEXEMA_O_FORMA")),IF(W103="EVENTO_PROC",IF(H103=X103,AA103,IF(H103=Z103,IF(J103="COMPLETA",AB103,"COBERTURA_INSUFICIENTE"),"LEXEMA_O_FORMA")),IF(W103="IMAGEN",IF(AND(AND(ISTEXT(H103),LEN(("x"&amp;H103))=65,EXACT(("x"&amp;H103),LOWER(("x"&amp;H103))),ISERROR(SEARCH(" ",("x"&amp;H103))),ISERROR(SEARCH(CHAR(9),("x"&amp;H103))),ISERROR(SEARCH(CHAR(10),("x"&amp;H103))),ISERROR(SEARCH(CHAR(13),("x"&amp;H103))),IFERROR(HEX2DEC(MID(("x"&amp;H103),2,8))&gt;=0,FALSE),IFERROR(HEX2DEC(MID(("x"&amp;H103),10,8))&gt;=0,FALSE),IFERROR(HEX2DEC(MID(("x"&amp;H103),18,8))&gt;=0,FALSE),IFERROR(HEX2DEC(MID(("x"&amp;H103),26,8))&gt;=0,FALSE),IFERROR(HEX2DEC(MID(("x"&amp;H103),34,8))&gt;=0,FALSE),IFERROR(HEX2DEC(MID(("x"&amp;H103),42,8))&gt;=0,FALSE),IFERROR(HEX2DEC(MID(("x"&amp;H103),50,8))&gt;=0,FALSE),IFERROR(HEX2DEC(MID(("x"&amp;H103),58,8))&gt;=0,FALSE)),AND(ISTEXT(I103),LEN(("x"&amp;I103))=65,EXACT(("x"&amp;I103),LOWER(("x"&amp;I103))),ISERROR(SEARCH(" ",("x"&amp;I103))),ISERROR(SEARCH(CHAR(9),("x"&amp;I103))),ISERROR(SEARCH(CHAR(10),("x"&amp;I103))),ISERROR(SEARCH(CHAR(13),("x"&amp;I103))),IFERROR(HEX2DEC(MID(("x"&amp;I103),2,8))&gt;=0,FALSE),IFERROR(HEX2DEC(MID(("x"&amp;I103),10,8))&gt;=0,FALSE),IFERROR(HEX2DEC(MID(("x"&amp;I103),18,8))&gt;=0,FALSE),IFERROR(HEX2DEC(MID(("x"&amp;I103),26,8))&gt;=0,FALSE),IFERROR(HEX2DEC(MID(("x"&amp;I103),34,8))&gt;=0,FALSE),IFERROR(HEX2DEC(MID(("x"&amp;I103),42,8))&gt;=0,FALSE),IFERROR(HEX2DEC(MID(("x"&amp;I103),50,8))&gt;=0,FALSE),IFERROR(HEX2DEC(MID(("x"&amp;I103),58,8))&gt;=0,FALSE))),IF(EXACT("x"&amp;H103,"x"&amp;I103),AA103,AB103),"LEXEMA_O_FORMA"),IF(W103="PRUEBA",IF(H103=X103,AA103,IF(H103=Z103,AB103,"LEXEMA_O_FORMA")),IF(W103="RETIRADA",IF(AND(H103="NINGUNO",I103=""),IF(J103="COMPLETA",AB103,"COBERTURA_INSUFICIENTE"),IF(AND(OR(H103="uoInstallation",H103="uoUninstallation"),OR(I103="orcSucceeded",I103="orcSucceededWithErrors",I103="orcFailed",I103="orcAborted",I103="orcInProgress",I103="orcNotStarted")),IF(AND(H103=X103,I103=Y103),AA103,IF(AND(H103=X103,OR(I103="orcSucceededWithErrors",I103="orcInProgress",I103="orcNotStarted")),"RESULTADO_RETIRADA_INCIERTO",IF(J103="COMPLETA",AB103,"COBERTURA_INSUFICIENTE"))),"LEXEMA_O_FORMA")),IF(W103="CAMBIO",IF(OR(H103="CAMBIO",H103="CAMBIO_Y_RETORNO"),AA103,IF(OR(H103="NINGUNO",H103="SOLO_RENOMBRE"),IF(J103="COMPLETA",AB103,"COBERTURA_INSUFICIENTE"),"LEXEMA_O_FORMA")),IF(W103="RESTAURACION",IF(H103=X103,AA103,IF(OR(H103="NINGUNO",H103="RESTAURACION_POSTERIOR",H103="RESTAURACION_FALLIDA"),IF(J103="COMPLETA",AB103,"COBERTURA_INSUFICIENTE"),"LEXEMA_O_FORMA")),"PERFIL_NO_CONSTITUIDO"))))))))))))))))))</x:f>
        <x:v>SIN_CAMBIO_ACREDITADO</x:v>
      </x:c>
      <x:c r="R103" s="12" t="str">
        <x:f>IF(AND(L103=O103,M103=P103,N103=Q103),"PASA","NO_PASA")</x:f>
        <x:v>PASA</x:v>
      </x:c>
      <x:c r="S103" s="4" t="str">
        <x:v>Negativo explícito; en eventos exige cobertura del intervalo.</x:v>
      </x:c>
      <x:c r="T103" s="12" t="str">
        <x:f>IFERROR(INDEX('55_Codificacion_ensayo'!$B$5:$B$13,MATCH(B103,'55_Codificacion_ensayo'!$A$5:$A$13,0)),"")</x:f>
        <x:v>HISTORIA-CAMBIO-COMPONENTE-0.1</x:v>
      </x:c>
      <x:c r="U103" s="12" t="str">
        <x:f>IFERROR(INDEX('55_Codificacion_ensayo'!$C$5:$C$13,MATCH(B103,'55_Codificacion_ensayo'!$A$5:$A$13,0)),"")</x:f>
        <x:v>HISTORIA_BINARIA</x:v>
      </x:c>
      <x:c r="V103" s="12" t="str">
        <x:f>IFERROR(INDEX('55_Codificacion_ensayo'!$D$5:$D$13,MATCH(B103,'55_Codificacion_ensayo'!$A$5:$A$13,0)),"")</x:f>
        <x:v>ORDEN_ACREDITADO</x:v>
      </x:c>
      <x:c r="W103" s="12" t="str">
        <x:f>IFERROR(INDEX('55_Codificacion_ensayo'!$E$5:$E$13,MATCH(B103,'55_Codificacion_ensayo'!$A$5:$A$13,0)),"")</x:f>
        <x:v>CAMBIO</x:v>
      </x:c>
      <x:c r="X103" s="12" t="str">
        <x:f>IFERROR(INDEX('55_Codificacion_ensayo'!$F$5:$F$13,MATCH(B103,'55_Codificacion_ensayo'!$A$5:$A$13,0)),"")</x:f>
        <x:v>CAMBIO</x:v>
      </x:c>
      <x:c r="Y103" s="12" t="str">
        <x:f>IFERROR(INDEX('55_Codificacion_ensayo'!$G$5:$G$13,MATCH(B103,'55_Codificacion_ensayo'!$A$5:$A$13,0)),"")</x:f>
      </x:c>
      <x:c r="Z103" s="12" t="str">
        <x:f>IFERROR(INDEX('55_Codificacion_ensayo'!$H$5:$H$13,MATCH(B103,'55_Codificacion_ensayo'!$A$5:$A$13,0)),"")</x:f>
        <x:v>NINGUNO</x:v>
      </x:c>
      <x:c r="AA103" s="12" t="str">
        <x:f>IFERROR(INDEX('55_Codificacion_ensayo'!$I$5:$I$13,MATCH(B103,'55_Codificacion_ensayo'!$A$5:$A$13,0)),"")</x:f>
        <x:v>CAMBIO_POSTERIOR</x:v>
      </x:c>
      <x:c r="AB103" s="12" t="str">
        <x:f>IFERROR(INDEX('55_Codificacion_ensayo'!$J$5:$J$13,MATCH(B103,'55_Codificacion_ensayo'!$A$5:$A$13,0)),"")</x:f>
        <x:v>SIN_CAMBIO_ACREDITADO</x:v>
      </x:c>
    </x:row>
    <x:row r="104" ht="47" customHeight="1">
      <x:c r="A104" s="4" t="str">
        <x:v>L10-09-03</x:v>
      </x:c>
      <x:c r="B104" s="4" t="str">
        <x:v>PAR-CYB-CAMBIO-COMPONENTE-POSTERIOR-001</x:v>
      </x:c>
      <x:c r="C104" s="4" t="str">
        <x:v>HISTORIA-CAMBIO-COMPONENTE-0.1</x:v>
      </x:c>
      <x:c r="D104" s="4" t="str">
        <x:v>COINCIDE</x:v>
      </x:c>
      <x:c r="E104" s="4" t="str">
        <x:v>LEGIBLE</x:v>
      </x:c>
      <x:c r="F104" s="4" t="str">
        <x:v>HISTORIA_BINARIA</x:v>
      </x:c>
      <x:c r="G104" s="4" t="str">
        <x:v>AUSENTE</x:v>
      </x:c>
      <x:c r="H104" s="4" t="str"/>
      <x:c r="I104" s="4" t="str"/>
      <x:c r="J104" s="4" t="str">
        <x:v>COMPLETA</x:v>
      </x:c>
      <x:c r="K104" s="4" t="str">
        <x:v>ORDEN_ACREDITADO</x:v>
      </x:c>
      <x:c r="L104" s="4" t="str">
        <x:v>VALIDA</x:v>
      </x:c>
      <x:c r="M104" s="4" t="str">
        <x:v>U</x:v>
      </x:c>
      <x:c r="N104" s="4" t="str">
        <x:v>DATO_AUSENTE</x:v>
      </x:c>
      <x:c r="O104" s="12" t="str">
        <x:f>IF(Q104="SIN_EJECUCION_DOMINIO","FALLO_CAPTURA",IF(OR(Q104="CAPTURA_MAL_FORMADA",Q104="IDENTIDAD",Q104="OBSERVACION_MAL_FORMADA",Q104="LEXEMA_O_FORMA"),"NO_ADMISION",IF(OR(Q104="PERFIL_NO_CONSTITUIDO",Q104="RESULTADO_NO_TERMINAL"),"FUERA_PERFIL",IF(Q104="CONTEXTO_NO_CONSTITUIDO","CONFIGURACION_PENDIENTE","VALIDA"))))</x:f>
        <x:v>VALIDA</x:v>
      </x:c>
      <x:c r="P104" s="12" t="str">
        <x:f>IF(O104&lt;&gt;"VALIDA","",IF(Q104=AA104,"1",IF(Q104=AB104,"0","U")))</x:f>
        <x:v>U</x:v>
      </x:c>
      <x:c r="Q104" s="12" t="str">
        <x:f>IF(E104="FALLO","SIN_EJECUCION_DOMINIO",IF(E104&lt;&gt;"LEGIBLE","CAPTURA_MAL_FORMADA",IF(D104&lt;&gt;"COINCIDE","IDENTIDAD",IF(OR(T104="",C104&lt;&gt;T104),"PERFIL_NO_CONSTITUIDO",IF(K104&lt;&gt;V104,IF(V104="ORDEN_ACREDITADO","ORDEN_NO_ACREDITADO","CONTEXTO_NO_CONSTITUIDO"),IF(AND(G104="AUSENTE",H104="",I104=""),"DATO_AUSENTE",IF(AND(G104="CONFLICTO",H104="",I104=""),"CONFLICTO_OBSERVACIONAL",IF(G104&lt;&gt;"UNICA","OBSERVACION_MAL_FORMADA",IF(F104&lt;&gt;U104,"OBSERVACION_INSUFICIENTE",IF(W104="RESULTADO",IF(H104=X104,AA104,IF(OR(H104="orcSucceededWithErrors",H104="orcFailed",H104="orcAborted"),AB104,IF(OR(H104="orcNotStarted",H104="orcInProgress"),"RESULTADO_NO_TERMINAL","LEXEMA_O_FORMA"))),IF(W104="EVENTO_BOOT",IF(H104=X104,AA104,IF(OR(H104="NINGUNO",H104="SOLO_HIBRIDO"),IF(J104="COMPLETA",AB104,"COBERTURA_INSUFICIENTE"),"LEXEMA_O_FORMA")),IF(W104="REQUISITO_SOFT",IF(H104=X104,AA104,IF(H104=Z104,AB104,"LEXEMA_O_FORMA")),IF(W104="EVENTO_PROC",IF(H104=X104,AA104,IF(H104=Z104,IF(J104="COMPLETA",AB104,"COBERTURA_INSUFICIENTE"),"LEXEMA_O_FORMA")),IF(W104="IMAGEN",IF(AND(AND(ISTEXT(H104),LEN(("x"&amp;H104))=65,EXACT(("x"&amp;H104),LOWER(("x"&amp;H104))),ISERROR(SEARCH(" ",("x"&amp;H104))),ISERROR(SEARCH(CHAR(9),("x"&amp;H104))),ISERROR(SEARCH(CHAR(10),("x"&amp;H104))),ISERROR(SEARCH(CHAR(13),("x"&amp;H104))),IFERROR(HEX2DEC(MID(("x"&amp;H104),2,8))&gt;=0,FALSE),IFERROR(HEX2DEC(MID(("x"&amp;H104),10,8))&gt;=0,FALSE),IFERROR(HEX2DEC(MID(("x"&amp;H104),18,8))&gt;=0,FALSE),IFERROR(HEX2DEC(MID(("x"&amp;H104),26,8))&gt;=0,FALSE),IFERROR(HEX2DEC(MID(("x"&amp;H104),34,8))&gt;=0,FALSE),IFERROR(HEX2DEC(MID(("x"&amp;H104),42,8))&gt;=0,FALSE),IFERROR(HEX2DEC(MID(("x"&amp;H104),50,8))&gt;=0,FALSE),IFERROR(HEX2DEC(MID(("x"&amp;H104),58,8))&gt;=0,FALSE)),AND(ISTEXT(I104),LEN(("x"&amp;I104))=65,EXACT(("x"&amp;I104),LOWER(("x"&amp;I104))),ISERROR(SEARCH(" ",("x"&amp;I104))),ISERROR(SEARCH(CHAR(9),("x"&amp;I104))),ISERROR(SEARCH(CHAR(10),("x"&amp;I104))),ISERROR(SEARCH(CHAR(13),("x"&amp;I104))),IFERROR(HEX2DEC(MID(("x"&amp;I104),2,8))&gt;=0,FALSE),IFERROR(HEX2DEC(MID(("x"&amp;I104),10,8))&gt;=0,FALSE),IFERROR(HEX2DEC(MID(("x"&amp;I104),18,8))&gt;=0,FALSE),IFERROR(HEX2DEC(MID(("x"&amp;I104),26,8))&gt;=0,FALSE),IFERROR(HEX2DEC(MID(("x"&amp;I104),34,8))&gt;=0,FALSE),IFERROR(HEX2DEC(MID(("x"&amp;I104),42,8))&gt;=0,FALSE),IFERROR(HEX2DEC(MID(("x"&amp;I104),50,8))&gt;=0,FALSE),IFERROR(HEX2DEC(MID(("x"&amp;I104),58,8))&gt;=0,FALSE))),IF(EXACT("x"&amp;H104,"x"&amp;I104),AA104,AB104),"LEXEMA_O_FORMA"),IF(W104="PRUEBA",IF(H104=X104,AA104,IF(H104=Z104,AB104,"LEXEMA_O_FORMA")),IF(W104="RETIRADA",IF(AND(H104="NINGUNO",I104=""),IF(J104="COMPLETA",AB104,"COBERTURA_INSUFICIENTE"),IF(AND(OR(H104="uoInstallation",H104="uoUninstallation"),OR(I104="orcSucceeded",I104="orcSucceededWithErrors",I104="orcFailed",I104="orcAborted",I104="orcInProgress",I104="orcNotStarted")),IF(AND(H104=X104,I104=Y104),AA104,IF(AND(H104=X104,OR(I104="orcSucceededWithErrors",I104="orcInProgress",I104="orcNotStarted")),"RESULTADO_RETIRADA_INCIERTO",IF(J104="COMPLETA",AB104,"COBERTURA_INSUFICIENTE"))),"LEXEMA_O_FORMA")),IF(W104="CAMBIO",IF(OR(H104="CAMBIO",H104="CAMBIO_Y_RETORNO"),AA104,IF(OR(H104="NINGUNO",H104="SOLO_RENOMBRE"),IF(J104="COMPLETA",AB104,"COBERTURA_INSUFICIENTE"),"LEXEMA_O_FORMA")),IF(W104="RESTAURACION",IF(H104=X104,AA104,IF(OR(H104="NINGUNO",H104="RESTAURACION_POSTERIOR",H104="RESTAURACION_FALLIDA"),IF(J104="COMPLETA",AB104,"COBERTURA_INSUFICIENTE"),"LEXEMA_O_FORMA")),"PERFIL_NO_CONSTITUIDO"))))))))))))))))))</x:f>
        <x:v>DATO_AUSENTE</x:v>
      </x:c>
      <x:c r="R104" s="12" t="str">
        <x:f>IF(AND(L104=O104,M104=P104,N104=Q104),"PASA","NO_PASA")</x:f>
        <x:v>PASA</x:v>
      </x:c>
      <x:c r="S104" s="4" t="str">
        <x:v>Documento declara que falta la observación, sin convertir ausencia en 0.</x:v>
      </x:c>
      <x:c r="T104" s="12" t="str">
        <x:f>IFERROR(INDEX('55_Codificacion_ensayo'!$B$5:$B$13,MATCH(B104,'55_Codificacion_ensayo'!$A$5:$A$13,0)),"")</x:f>
        <x:v>HISTORIA-CAMBIO-COMPONENTE-0.1</x:v>
      </x:c>
      <x:c r="U104" s="12" t="str">
        <x:f>IFERROR(INDEX('55_Codificacion_ensayo'!$C$5:$C$13,MATCH(B104,'55_Codificacion_ensayo'!$A$5:$A$13,0)),"")</x:f>
        <x:v>HISTORIA_BINARIA</x:v>
      </x:c>
      <x:c r="V104" s="12" t="str">
        <x:f>IFERROR(INDEX('55_Codificacion_ensayo'!$D$5:$D$13,MATCH(B104,'55_Codificacion_ensayo'!$A$5:$A$13,0)),"")</x:f>
        <x:v>ORDEN_ACREDITADO</x:v>
      </x:c>
      <x:c r="W104" s="12" t="str">
        <x:f>IFERROR(INDEX('55_Codificacion_ensayo'!$E$5:$E$13,MATCH(B104,'55_Codificacion_ensayo'!$A$5:$A$13,0)),"")</x:f>
        <x:v>CAMBIO</x:v>
      </x:c>
      <x:c r="X104" s="12" t="str">
        <x:f>IFERROR(INDEX('55_Codificacion_ensayo'!$F$5:$F$13,MATCH(B104,'55_Codificacion_ensayo'!$A$5:$A$13,0)),"")</x:f>
        <x:v>CAMBIO</x:v>
      </x:c>
      <x:c r="Y104" s="12" t="str">
        <x:f>IFERROR(INDEX('55_Codificacion_ensayo'!$G$5:$G$13,MATCH(B104,'55_Codificacion_ensayo'!$A$5:$A$13,0)),"")</x:f>
      </x:c>
      <x:c r="Z104" s="12" t="str">
        <x:f>IFERROR(INDEX('55_Codificacion_ensayo'!$H$5:$H$13,MATCH(B104,'55_Codificacion_ensayo'!$A$5:$A$13,0)),"")</x:f>
        <x:v>NINGUNO</x:v>
      </x:c>
      <x:c r="AA104" s="12" t="str">
        <x:f>IFERROR(INDEX('55_Codificacion_ensayo'!$I$5:$I$13,MATCH(B104,'55_Codificacion_ensayo'!$A$5:$A$13,0)),"")</x:f>
        <x:v>CAMBIO_POSTERIOR</x:v>
      </x:c>
      <x:c r="AB104" s="12" t="str">
        <x:f>IFERROR(INDEX('55_Codificacion_ensayo'!$J$5:$J$13,MATCH(B104,'55_Codificacion_ensayo'!$A$5:$A$13,0)),"")</x:f>
        <x:v>SIN_CAMBIO_ACREDITADO</x:v>
      </x:c>
    </x:row>
    <x:row r="105" ht="47" customHeight="1">
      <x:c r="A105" s="4" t="str">
        <x:v>L10-09-04</x:v>
      </x:c>
      <x:c r="B105" s="4" t="str">
        <x:v>PAR-CYB-CAMBIO-COMPONENTE-POSTERIOR-001</x:v>
      </x:c>
      <x:c r="C105" s="4" t="str">
        <x:v>HISTORIA-CAMBIO-COMPONENTE-0.1</x:v>
      </x:c>
      <x:c r="D105" s="4" t="str">
        <x:v>COINCIDE</x:v>
      </x:c>
      <x:c r="E105" s="4" t="str">
        <x:v>LEGIBLE</x:v>
      </x:c>
      <x:c r="F105" s="4" t="str">
        <x:v>HISTORIA_BINARIA</x:v>
      </x:c>
      <x:c r="G105" s="4" t="str">
        <x:v>CONFLICTO</x:v>
      </x:c>
      <x:c r="H105" s="4" t="str"/>
      <x:c r="I105" s="4" t="str"/>
      <x:c r="J105" s="4" t="str">
        <x:v>COMPLETA</x:v>
      </x:c>
      <x:c r="K105" s="4" t="str">
        <x:v>ORDEN_ACREDITADO</x:v>
      </x:c>
      <x:c r="L105" s="4" t="str">
        <x:v>VALIDA</x:v>
      </x:c>
      <x:c r="M105" s="4" t="str">
        <x:v>U</x:v>
      </x:c>
      <x:c r="N105" s="4" t="str">
        <x:v>CONFLICTO_OBSERVACIONAL</x:v>
      </x:c>
      <x:c r="O105" s="12" t="str">
        <x:f>IF(Q105="SIN_EJECUCION_DOMINIO","FALLO_CAPTURA",IF(OR(Q105="CAPTURA_MAL_FORMADA",Q105="IDENTIDAD",Q105="OBSERVACION_MAL_FORMADA",Q105="LEXEMA_O_FORMA"),"NO_ADMISION",IF(OR(Q105="PERFIL_NO_CONSTITUIDO",Q105="RESULTADO_NO_TERMINAL"),"FUERA_PERFIL",IF(Q105="CONTEXTO_NO_CONSTITUIDO","CONFIGURACION_PENDIENTE","VALIDA"))))</x:f>
        <x:v>VALIDA</x:v>
      </x:c>
      <x:c r="P105" s="12" t="str">
        <x:f>IF(O105&lt;&gt;"VALIDA","",IF(Q105=AA105,"1",IF(Q105=AB105,"0","U")))</x:f>
        <x:v>U</x:v>
      </x:c>
      <x:c r="Q105" s="12" t="str">
        <x:f>IF(E105="FALLO","SIN_EJECUCION_DOMINIO",IF(E105&lt;&gt;"LEGIBLE","CAPTURA_MAL_FORMADA",IF(D105&lt;&gt;"COINCIDE","IDENTIDAD",IF(OR(T105="",C105&lt;&gt;T105),"PERFIL_NO_CONSTITUIDO",IF(K105&lt;&gt;V105,IF(V105="ORDEN_ACREDITADO","ORDEN_NO_ACREDITADO","CONTEXTO_NO_CONSTITUIDO"),IF(AND(G105="AUSENTE",H105="",I105=""),"DATO_AUSENTE",IF(AND(G105="CONFLICTO",H105="",I105=""),"CONFLICTO_OBSERVACIONAL",IF(G105&lt;&gt;"UNICA","OBSERVACION_MAL_FORMADA",IF(F105&lt;&gt;U105,"OBSERVACION_INSUFICIENTE",IF(W105="RESULTADO",IF(H105=X105,AA105,IF(OR(H105="orcSucceededWithErrors",H105="orcFailed",H105="orcAborted"),AB105,IF(OR(H105="orcNotStarted",H105="orcInProgress"),"RESULTADO_NO_TERMINAL","LEXEMA_O_FORMA"))),IF(W105="EVENTO_BOOT",IF(H105=X105,AA105,IF(OR(H105="NINGUNO",H105="SOLO_HIBRIDO"),IF(J105="COMPLETA",AB105,"COBERTURA_INSUFICIENTE"),"LEXEMA_O_FORMA")),IF(W105="REQUISITO_SOFT",IF(H105=X105,AA105,IF(H105=Z105,AB105,"LEXEMA_O_FORMA")),IF(W105="EVENTO_PROC",IF(H105=X105,AA105,IF(H105=Z105,IF(J105="COMPLETA",AB105,"COBERTURA_INSUFICIENTE"),"LEXEMA_O_FORMA")),IF(W105="IMAGEN",IF(AND(AND(ISTEXT(H105),LEN(("x"&amp;H105))=65,EXACT(("x"&amp;H105),LOWER(("x"&amp;H105))),ISERROR(SEARCH(" ",("x"&amp;H105))),ISERROR(SEARCH(CHAR(9),("x"&amp;H105))),ISERROR(SEARCH(CHAR(10),("x"&amp;H105))),ISERROR(SEARCH(CHAR(13),("x"&amp;H105))),IFERROR(HEX2DEC(MID(("x"&amp;H105),2,8))&gt;=0,FALSE),IFERROR(HEX2DEC(MID(("x"&amp;H105),10,8))&gt;=0,FALSE),IFERROR(HEX2DEC(MID(("x"&amp;H105),18,8))&gt;=0,FALSE),IFERROR(HEX2DEC(MID(("x"&amp;H105),26,8))&gt;=0,FALSE),IFERROR(HEX2DEC(MID(("x"&amp;H105),34,8))&gt;=0,FALSE),IFERROR(HEX2DEC(MID(("x"&amp;H105),42,8))&gt;=0,FALSE),IFERROR(HEX2DEC(MID(("x"&amp;H105),50,8))&gt;=0,FALSE),IFERROR(HEX2DEC(MID(("x"&amp;H105),58,8))&gt;=0,FALSE)),AND(ISTEXT(I105),LEN(("x"&amp;I105))=65,EXACT(("x"&amp;I105),LOWER(("x"&amp;I105))),ISERROR(SEARCH(" ",("x"&amp;I105))),ISERROR(SEARCH(CHAR(9),("x"&amp;I105))),ISERROR(SEARCH(CHAR(10),("x"&amp;I105))),ISERROR(SEARCH(CHAR(13),("x"&amp;I105))),IFERROR(HEX2DEC(MID(("x"&amp;I105),2,8))&gt;=0,FALSE),IFERROR(HEX2DEC(MID(("x"&amp;I105),10,8))&gt;=0,FALSE),IFERROR(HEX2DEC(MID(("x"&amp;I105),18,8))&gt;=0,FALSE),IFERROR(HEX2DEC(MID(("x"&amp;I105),26,8))&gt;=0,FALSE),IFERROR(HEX2DEC(MID(("x"&amp;I105),34,8))&gt;=0,FALSE),IFERROR(HEX2DEC(MID(("x"&amp;I105),42,8))&gt;=0,FALSE),IFERROR(HEX2DEC(MID(("x"&amp;I105),50,8))&gt;=0,FALSE),IFERROR(HEX2DEC(MID(("x"&amp;I105),58,8))&gt;=0,FALSE))),IF(EXACT("x"&amp;H105,"x"&amp;I105),AA105,AB105),"LEXEMA_O_FORMA"),IF(W105="PRUEBA",IF(H105=X105,AA105,IF(H105=Z105,AB105,"LEXEMA_O_FORMA")),IF(W105="RETIRADA",IF(AND(H105="NINGUNO",I105=""),IF(J105="COMPLETA",AB105,"COBERTURA_INSUFICIENTE"),IF(AND(OR(H105="uoInstallation",H105="uoUninstallation"),OR(I105="orcSucceeded",I105="orcSucceededWithErrors",I105="orcFailed",I105="orcAborted",I105="orcInProgress",I105="orcNotStarted")),IF(AND(H105=X105,I105=Y105),AA105,IF(AND(H105=X105,OR(I105="orcSucceededWithErrors",I105="orcInProgress",I105="orcNotStarted")),"RESULTADO_RETIRADA_INCIERTO",IF(J105="COMPLETA",AB105,"COBERTURA_INSUFICIENTE"))),"LEXEMA_O_FORMA")),IF(W105="CAMBIO",IF(OR(H105="CAMBIO",H105="CAMBIO_Y_RETORNO"),AA105,IF(OR(H105="NINGUNO",H105="SOLO_RENOMBRE"),IF(J105="COMPLETA",AB105,"COBERTURA_INSUFICIENTE"),"LEXEMA_O_FORMA")),IF(W105="RESTAURACION",IF(H105=X105,AA105,IF(OR(H105="NINGUNO",H105="RESTAURACION_POSTERIOR",H105="RESTAURACION_FALLIDA"),IF(J105="COMPLETA",AB105,"COBERTURA_INSUFICIENTE"),"LEXEMA_O_FORMA")),"PERFIL_NO_CONSTITUIDO"))))))))))))))))))</x:f>
        <x:v>CONFLICTO_OBSERVACIONAL</x:v>
      </x:c>
      <x:c r="R105" s="12" t="str">
        <x:f>IF(AND(L105=O105,M105=P105,N105=Q105),"PASA","NO_PASA")</x:f>
        <x:v>PASA</x:v>
      </x:c>
      <x:c r="S105" s="4" t="str">
        <x:v>Conflicto entre observaciones admitidas del mismo sujeto y corte.</x:v>
      </x:c>
      <x:c r="T105" s="12" t="str">
        <x:f>IFERROR(INDEX('55_Codificacion_ensayo'!$B$5:$B$13,MATCH(B105,'55_Codificacion_ensayo'!$A$5:$A$13,0)),"")</x:f>
        <x:v>HISTORIA-CAMBIO-COMPONENTE-0.1</x:v>
      </x:c>
      <x:c r="U105" s="12" t="str">
        <x:f>IFERROR(INDEX('55_Codificacion_ensayo'!$C$5:$C$13,MATCH(B105,'55_Codificacion_ensayo'!$A$5:$A$13,0)),"")</x:f>
        <x:v>HISTORIA_BINARIA</x:v>
      </x:c>
      <x:c r="V105" s="12" t="str">
        <x:f>IFERROR(INDEX('55_Codificacion_ensayo'!$D$5:$D$13,MATCH(B105,'55_Codificacion_ensayo'!$A$5:$A$13,0)),"")</x:f>
        <x:v>ORDEN_ACREDITADO</x:v>
      </x:c>
      <x:c r="W105" s="12" t="str">
        <x:f>IFERROR(INDEX('55_Codificacion_ensayo'!$E$5:$E$13,MATCH(B105,'55_Codificacion_ensayo'!$A$5:$A$13,0)),"")</x:f>
        <x:v>CAMBIO</x:v>
      </x:c>
      <x:c r="X105" s="12" t="str">
        <x:f>IFERROR(INDEX('55_Codificacion_ensayo'!$F$5:$F$13,MATCH(B105,'55_Codificacion_ensayo'!$A$5:$A$13,0)),"")</x:f>
        <x:v>CAMBIO</x:v>
      </x:c>
      <x:c r="Y105" s="12" t="str">
        <x:f>IFERROR(INDEX('55_Codificacion_ensayo'!$G$5:$G$13,MATCH(B105,'55_Codificacion_ensayo'!$A$5:$A$13,0)),"")</x:f>
      </x:c>
      <x:c r="Z105" s="12" t="str">
        <x:f>IFERROR(INDEX('55_Codificacion_ensayo'!$H$5:$H$13,MATCH(B105,'55_Codificacion_ensayo'!$A$5:$A$13,0)),"")</x:f>
        <x:v>NINGUNO</x:v>
      </x:c>
      <x:c r="AA105" s="12" t="str">
        <x:f>IFERROR(INDEX('55_Codificacion_ensayo'!$I$5:$I$13,MATCH(B105,'55_Codificacion_ensayo'!$A$5:$A$13,0)),"")</x:f>
        <x:v>CAMBIO_POSTERIOR</x:v>
      </x:c>
      <x:c r="AB105" s="12" t="str">
        <x:f>IFERROR(INDEX('55_Codificacion_ensayo'!$J$5:$J$13,MATCH(B105,'55_Codificacion_ensayo'!$A$5:$A$13,0)),"")</x:f>
        <x:v>SIN_CAMBIO_ACREDITADO</x:v>
      </x:c>
    </x:row>
    <x:row r="106" ht="47" customHeight="1">
      <x:c r="A106" s="4" t="str">
        <x:v>L10-09-05</x:v>
      </x:c>
      <x:c r="B106" s="4" t="str">
        <x:v>PAR-CYB-CAMBIO-COMPONENTE-POSTERIOR-001</x:v>
      </x:c>
      <x:c r="C106" s="4" t="str">
        <x:v>HISTORIA-CAMBIO-COMPONENTE-0.1</x:v>
      </x:c>
      <x:c r="D106" s="4" t="str">
        <x:v>COINCIDE</x:v>
      </x:c>
      <x:c r="E106" s="4" t="str">
        <x:v>FALLO</x:v>
      </x:c>
      <x:c r="F106" s="4" t="str">
        <x:v>HISTORIA_BINARIA</x:v>
      </x:c>
      <x:c r="G106" s="4" t="str">
        <x:v>UNICA</x:v>
      </x:c>
      <x:c r="H106" s="4" t="str">
        <x:v>CAMBIO</x:v>
      </x:c>
      <x:c r="I106" s="4" t="str"/>
      <x:c r="J106" s="4" t="str">
        <x:v>COMPLETA</x:v>
      </x:c>
      <x:c r="K106" s="4" t="str">
        <x:v>ORDEN_ACREDITADO</x:v>
      </x:c>
      <x:c r="L106" s="4" t="str">
        <x:v>FALLO_CAPTURA</x:v>
      </x:c>
      <x:c r="M106" s="4" t="str"/>
      <x:c r="N106" s="4" t="str">
        <x:v>SIN_EJECUCION_DOMINIO</x:v>
      </x:c>
      <x:c r="O106" s="12" t="str">
        <x:f>IF(Q106="SIN_EJECUCION_DOMINIO","FALLO_CAPTURA",IF(OR(Q106="CAPTURA_MAL_FORMADA",Q106="IDENTIDAD",Q106="OBSERVACION_MAL_FORMADA",Q106="LEXEMA_O_FORMA"),"NO_ADMISION",IF(OR(Q106="PERFIL_NO_CONSTITUIDO",Q106="RESULTADO_NO_TERMINAL"),"FUERA_PERFIL",IF(Q106="CONTEXTO_NO_CONSTITUIDO","CONFIGURACION_PENDIENTE","VALIDA"))))</x:f>
        <x:v>FALLO_CAPTURA</x:v>
      </x:c>
      <x:c r="P106" s="12" t="str">
        <x:f>IF(O106&lt;&gt;"VALIDA","",IF(Q106=AA106,"1",IF(Q106=AB106,"0","U")))</x:f>
      </x:c>
      <x:c r="Q106" s="12" t="str">
        <x:f>IF(E106="FALLO","SIN_EJECUCION_DOMINIO",IF(E106&lt;&gt;"LEGIBLE","CAPTURA_MAL_FORMADA",IF(D106&lt;&gt;"COINCIDE","IDENTIDAD",IF(OR(T106="",C106&lt;&gt;T106),"PERFIL_NO_CONSTITUIDO",IF(K106&lt;&gt;V106,IF(V106="ORDEN_ACREDITADO","ORDEN_NO_ACREDITADO","CONTEXTO_NO_CONSTITUIDO"),IF(AND(G106="AUSENTE",H106="",I106=""),"DATO_AUSENTE",IF(AND(G106="CONFLICTO",H106="",I106=""),"CONFLICTO_OBSERVACIONAL",IF(G106&lt;&gt;"UNICA","OBSERVACION_MAL_FORMADA",IF(F106&lt;&gt;U106,"OBSERVACION_INSUFICIENTE",IF(W106="RESULTADO",IF(H106=X106,AA106,IF(OR(H106="orcSucceededWithErrors",H106="orcFailed",H106="orcAborted"),AB106,IF(OR(H106="orcNotStarted",H106="orcInProgress"),"RESULTADO_NO_TERMINAL","LEXEMA_O_FORMA"))),IF(W106="EVENTO_BOOT",IF(H106=X106,AA106,IF(OR(H106="NINGUNO",H106="SOLO_HIBRIDO"),IF(J106="COMPLETA",AB106,"COBERTURA_INSUFICIENTE"),"LEXEMA_O_FORMA")),IF(W106="REQUISITO_SOFT",IF(H106=X106,AA106,IF(H106=Z106,AB106,"LEXEMA_O_FORMA")),IF(W106="EVENTO_PROC",IF(H106=X106,AA106,IF(H106=Z106,IF(J106="COMPLETA",AB106,"COBERTURA_INSUFICIENTE"),"LEXEMA_O_FORMA")),IF(W106="IMAGEN",IF(AND(AND(ISTEXT(H106),LEN(("x"&amp;H106))=65,EXACT(("x"&amp;H106),LOWER(("x"&amp;H106))),ISERROR(SEARCH(" ",("x"&amp;H106))),ISERROR(SEARCH(CHAR(9),("x"&amp;H106))),ISERROR(SEARCH(CHAR(10),("x"&amp;H106))),ISERROR(SEARCH(CHAR(13),("x"&amp;H106))),IFERROR(HEX2DEC(MID(("x"&amp;H106),2,8))&gt;=0,FALSE),IFERROR(HEX2DEC(MID(("x"&amp;H106),10,8))&gt;=0,FALSE),IFERROR(HEX2DEC(MID(("x"&amp;H106),18,8))&gt;=0,FALSE),IFERROR(HEX2DEC(MID(("x"&amp;H106),26,8))&gt;=0,FALSE),IFERROR(HEX2DEC(MID(("x"&amp;H106),34,8))&gt;=0,FALSE),IFERROR(HEX2DEC(MID(("x"&amp;H106),42,8))&gt;=0,FALSE),IFERROR(HEX2DEC(MID(("x"&amp;H106),50,8))&gt;=0,FALSE),IFERROR(HEX2DEC(MID(("x"&amp;H106),58,8))&gt;=0,FALSE)),AND(ISTEXT(I106),LEN(("x"&amp;I106))=65,EXACT(("x"&amp;I106),LOWER(("x"&amp;I106))),ISERROR(SEARCH(" ",("x"&amp;I106))),ISERROR(SEARCH(CHAR(9),("x"&amp;I106))),ISERROR(SEARCH(CHAR(10),("x"&amp;I106))),ISERROR(SEARCH(CHAR(13),("x"&amp;I106))),IFERROR(HEX2DEC(MID(("x"&amp;I106),2,8))&gt;=0,FALSE),IFERROR(HEX2DEC(MID(("x"&amp;I106),10,8))&gt;=0,FALSE),IFERROR(HEX2DEC(MID(("x"&amp;I106),18,8))&gt;=0,FALSE),IFERROR(HEX2DEC(MID(("x"&amp;I106),26,8))&gt;=0,FALSE),IFERROR(HEX2DEC(MID(("x"&amp;I106),34,8))&gt;=0,FALSE),IFERROR(HEX2DEC(MID(("x"&amp;I106),42,8))&gt;=0,FALSE),IFERROR(HEX2DEC(MID(("x"&amp;I106),50,8))&gt;=0,FALSE),IFERROR(HEX2DEC(MID(("x"&amp;I106),58,8))&gt;=0,FALSE))),IF(EXACT("x"&amp;H106,"x"&amp;I106),AA106,AB106),"LEXEMA_O_FORMA"),IF(W106="PRUEBA",IF(H106=X106,AA106,IF(H106=Z106,AB106,"LEXEMA_O_FORMA")),IF(W106="RETIRADA",IF(AND(H106="NINGUNO",I106=""),IF(J106="COMPLETA",AB106,"COBERTURA_INSUFICIENTE"),IF(AND(OR(H106="uoInstallation",H106="uoUninstallation"),OR(I106="orcSucceeded",I106="orcSucceededWithErrors",I106="orcFailed",I106="orcAborted",I106="orcInProgress",I106="orcNotStarted")),IF(AND(H106=X106,I106=Y106),AA106,IF(AND(H106=X106,OR(I106="orcSucceededWithErrors",I106="orcInProgress",I106="orcNotStarted")),"RESULTADO_RETIRADA_INCIERTO",IF(J106="COMPLETA",AB106,"COBERTURA_INSUFICIENTE"))),"LEXEMA_O_FORMA")),IF(W106="CAMBIO",IF(OR(H106="CAMBIO",H106="CAMBIO_Y_RETORNO"),AA106,IF(OR(H106="NINGUNO",H106="SOLO_RENOMBRE"),IF(J106="COMPLETA",AB106,"COBERTURA_INSUFICIENTE"),"LEXEMA_O_FORMA")),IF(W106="RESTAURACION",IF(H106=X106,AA106,IF(OR(H106="NINGUNO",H106="RESTAURACION_POSTERIOR",H106="RESTAURACION_FALLIDA"),IF(J106="COMPLETA",AB106,"COBERTURA_INSUFICIENTE"),"LEXEMA_O_FORMA")),"PERFIL_NO_CONSTITUIDO"))))))))))))))))))</x:f>
        <x:v>SIN_EJECUCION_DOMINIO</x:v>
      </x:c>
      <x:c r="R106" s="12" t="str">
        <x:f>IF(AND(L106=O106,M106=P106,N106=Q106),"PASA","NO_PASA")</x:f>
        <x:v>PASA</x:v>
      </x:c>
      <x:c r="S106" s="4" t="str">
        <x:v>El observador falla; no existe ejecución de dominio ni Tri alternativo.</x:v>
      </x:c>
      <x:c r="T106" s="12" t="str">
        <x:f>IFERROR(INDEX('55_Codificacion_ensayo'!$B$5:$B$13,MATCH(B106,'55_Codificacion_ensayo'!$A$5:$A$13,0)),"")</x:f>
        <x:v>HISTORIA-CAMBIO-COMPONENTE-0.1</x:v>
      </x:c>
      <x:c r="U106" s="12" t="str">
        <x:f>IFERROR(INDEX('55_Codificacion_ensayo'!$C$5:$C$13,MATCH(B106,'55_Codificacion_ensayo'!$A$5:$A$13,0)),"")</x:f>
        <x:v>HISTORIA_BINARIA</x:v>
      </x:c>
      <x:c r="V106" s="12" t="str">
        <x:f>IFERROR(INDEX('55_Codificacion_ensayo'!$D$5:$D$13,MATCH(B106,'55_Codificacion_ensayo'!$A$5:$A$13,0)),"")</x:f>
        <x:v>ORDEN_ACREDITADO</x:v>
      </x:c>
      <x:c r="W106" s="12" t="str">
        <x:f>IFERROR(INDEX('55_Codificacion_ensayo'!$E$5:$E$13,MATCH(B106,'55_Codificacion_ensayo'!$A$5:$A$13,0)),"")</x:f>
        <x:v>CAMBIO</x:v>
      </x:c>
      <x:c r="X106" s="12" t="str">
        <x:f>IFERROR(INDEX('55_Codificacion_ensayo'!$F$5:$F$13,MATCH(B106,'55_Codificacion_ensayo'!$A$5:$A$13,0)),"")</x:f>
        <x:v>CAMBIO</x:v>
      </x:c>
      <x:c r="Y106" s="12" t="str">
        <x:f>IFERROR(INDEX('55_Codificacion_ensayo'!$G$5:$G$13,MATCH(B106,'55_Codificacion_ensayo'!$A$5:$A$13,0)),"")</x:f>
      </x:c>
      <x:c r="Z106" s="12" t="str">
        <x:f>IFERROR(INDEX('55_Codificacion_ensayo'!$H$5:$H$13,MATCH(B106,'55_Codificacion_ensayo'!$A$5:$A$13,0)),"")</x:f>
        <x:v>NINGUNO</x:v>
      </x:c>
      <x:c r="AA106" s="12" t="str">
        <x:f>IFERROR(INDEX('55_Codificacion_ensayo'!$I$5:$I$13,MATCH(B106,'55_Codificacion_ensayo'!$A$5:$A$13,0)),"")</x:f>
        <x:v>CAMBIO_POSTERIOR</x:v>
      </x:c>
      <x:c r="AB106" s="12" t="str">
        <x:f>IFERROR(INDEX('55_Codificacion_ensayo'!$J$5:$J$13,MATCH(B106,'55_Codificacion_ensayo'!$A$5:$A$13,0)),"")</x:f>
        <x:v>SIN_CAMBIO_ACREDITADO</x:v>
      </x:c>
    </x:row>
    <x:row r="107" ht="47" customHeight="1">
      <x:c r="A107" s="4" t="str">
        <x:v>L10-09-06</x:v>
      </x:c>
      <x:c r="B107" s="4" t="str">
        <x:v>PAR-CYB-CAMBIO-COMPONENTE-POSTERIOR-001</x:v>
      </x:c>
      <x:c r="C107" s="4" t="str">
        <x:v>HISTORIA-CAMBIO-COMPONENTE-0.1</x:v>
      </x:c>
      <x:c r="D107" s="4" t="str">
        <x:v>OTRO</x:v>
      </x:c>
      <x:c r="E107" s="4" t="str">
        <x:v>LEGIBLE</x:v>
      </x:c>
      <x:c r="F107" s="4" t="str">
        <x:v>HISTORIA_BINARIA</x:v>
      </x:c>
      <x:c r="G107" s="4" t="str">
        <x:v>UNICA</x:v>
      </x:c>
      <x:c r="H107" s="4" t="str">
        <x:v>CAMBIO</x:v>
      </x:c>
      <x:c r="I107" s="4" t="str"/>
      <x:c r="J107" s="4" t="str">
        <x:v>COMPLETA</x:v>
      </x:c>
      <x:c r="K107" s="4" t="str">
        <x:v>ORDEN_ACREDITADO</x:v>
      </x:c>
      <x:c r="L107" s="4" t="str">
        <x:v>NO_ADMISION</x:v>
      </x:c>
      <x:c r="M107" s="4" t="str"/>
      <x:c r="N107" s="4" t="str">
        <x:v>IDENTIDAD</x:v>
      </x:c>
      <x:c r="O107" s="12" t="str">
        <x:f>IF(Q107="SIN_EJECUCION_DOMINIO","FALLO_CAPTURA",IF(OR(Q107="CAPTURA_MAL_FORMADA",Q107="IDENTIDAD",Q107="OBSERVACION_MAL_FORMADA",Q107="LEXEMA_O_FORMA"),"NO_ADMISION",IF(OR(Q107="PERFIL_NO_CONSTITUIDO",Q107="RESULTADO_NO_TERMINAL"),"FUERA_PERFIL",IF(Q107="CONTEXTO_NO_CONSTITUIDO","CONFIGURACION_PENDIENTE","VALIDA"))))</x:f>
        <x:v>NO_ADMISION</x:v>
      </x:c>
      <x:c r="P107" s="12" t="str">
        <x:f>IF(O107&lt;&gt;"VALIDA","",IF(Q107=AA107,"1",IF(Q107=AB107,"0","U")))</x:f>
      </x:c>
      <x:c r="Q107" s="12" t="str">
        <x:f>IF(E107="FALLO","SIN_EJECUCION_DOMINIO",IF(E107&lt;&gt;"LEGIBLE","CAPTURA_MAL_FORMADA",IF(D107&lt;&gt;"COINCIDE","IDENTIDAD",IF(OR(T107="",C107&lt;&gt;T107),"PERFIL_NO_CONSTITUIDO",IF(K107&lt;&gt;V107,IF(V107="ORDEN_ACREDITADO","ORDEN_NO_ACREDITADO","CONTEXTO_NO_CONSTITUIDO"),IF(AND(G107="AUSENTE",H107="",I107=""),"DATO_AUSENTE",IF(AND(G107="CONFLICTO",H107="",I107=""),"CONFLICTO_OBSERVACIONAL",IF(G107&lt;&gt;"UNICA","OBSERVACION_MAL_FORMADA",IF(F107&lt;&gt;U107,"OBSERVACION_INSUFICIENTE",IF(W107="RESULTADO",IF(H107=X107,AA107,IF(OR(H107="orcSucceededWithErrors",H107="orcFailed",H107="orcAborted"),AB107,IF(OR(H107="orcNotStarted",H107="orcInProgress"),"RESULTADO_NO_TERMINAL","LEXEMA_O_FORMA"))),IF(W107="EVENTO_BOOT",IF(H107=X107,AA107,IF(OR(H107="NINGUNO",H107="SOLO_HIBRIDO"),IF(J107="COMPLETA",AB107,"COBERTURA_INSUFICIENTE"),"LEXEMA_O_FORMA")),IF(W107="REQUISITO_SOFT",IF(H107=X107,AA107,IF(H107=Z107,AB107,"LEXEMA_O_FORMA")),IF(W107="EVENTO_PROC",IF(H107=X107,AA107,IF(H107=Z107,IF(J107="COMPLETA",AB107,"COBERTURA_INSUFICIENTE"),"LEXEMA_O_FORMA")),IF(W107="IMAGEN",IF(AND(AND(ISTEXT(H107),LEN(("x"&amp;H107))=65,EXACT(("x"&amp;H107),LOWER(("x"&amp;H107))),ISERROR(SEARCH(" ",("x"&amp;H107))),ISERROR(SEARCH(CHAR(9),("x"&amp;H107))),ISERROR(SEARCH(CHAR(10),("x"&amp;H107))),ISERROR(SEARCH(CHAR(13),("x"&amp;H107))),IFERROR(HEX2DEC(MID(("x"&amp;H107),2,8))&gt;=0,FALSE),IFERROR(HEX2DEC(MID(("x"&amp;H107),10,8))&gt;=0,FALSE),IFERROR(HEX2DEC(MID(("x"&amp;H107),18,8))&gt;=0,FALSE),IFERROR(HEX2DEC(MID(("x"&amp;H107),26,8))&gt;=0,FALSE),IFERROR(HEX2DEC(MID(("x"&amp;H107),34,8))&gt;=0,FALSE),IFERROR(HEX2DEC(MID(("x"&amp;H107),42,8))&gt;=0,FALSE),IFERROR(HEX2DEC(MID(("x"&amp;H107),50,8))&gt;=0,FALSE),IFERROR(HEX2DEC(MID(("x"&amp;H107),58,8))&gt;=0,FALSE)),AND(ISTEXT(I107),LEN(("x"&amp;I107))=65,EXACT(("x"&amp;I107),LOWER(("x"&amp;I107))),ISERROR(SEARCH(" ",("x"&amp;I107))),ISERROR(SEARCH(CHAR(9),("x"&amp;I107))),ISERROR(SEARCH(CHAR(10),("x"&amp;I107))),ISERROR(SEARCH(CHAR(13),("x"&amp;I107))),IFERROR(HEX2DEC(MID(("x"&amp;I107),2,8))&gt;=0,FALSE),IFERROR(HEX2DEC(MID(("x"&amp;I107),10,8))&gt;=0,FALSE),IFERROR(HEX2DEC(MID(("x"&amp;I107),18,8))&gt;=0,FALSE),IFERROR(HEX2DEC(MID(("x"&amp;I107),26,8))&gt;=0,FALSE),IFERROR(HEX2DEC(MID(("x"&amp;I107),34,8))&gt;=0,FALSE),IFERROR(HEX2DEC(MID(("x"&amp;I107),42,8))&gt;=0,FALSE),IFERROR(HEX2DEC(MID(("x"&amp;I107),50,8))&gt;=0,FALSE),IFERROR(HEX2DEC(MID(("x"&amp;I107),58,8))&gt;=0,FALSE))),IF(EXACT("x"&amp;H107,"x"&amp;I107),AA107,AB107),"LEXEMA_O_FORMA"),IF(W107="PRUEBA",IF(H107=X107,AA107,IF(H107=Z107,AB107,"LEXEMA_O_FORMA")),IF(W107="RETIRADA",IF(AND(H107="NINGUNO",I107=""),IF(J107="COMPLETA",AB107,"COBERTURA_INSUFICIENTE"),IF(AND(OR(H107="uoInstallation",H107="uoUninstallation"),OR(I107="orcSucceeded",I107="orcSucceededWithErrors",I107="orcFailed",I107="orcAborted",I107="orcInProgress",I107="orcNotStarted")),IF(AND(H107=X107,I107=Y107),AA107,IF(AND(H107=X107,OR(I107="orcSucceededWithErrors",I107="orcInProgress",I107="orcNotStarted")),"RESULTADO_RETIRADA_INCIERTO",IF(J107="COMPLETA",AB107,"COBERTURA_INSUFICIENTE"))),"LEXEMA_O_FORMA")),IF(W107="CAMBIO",IF(OR(H107="CAMBIO",H107="CAMBIO_Y_RETORNO"),AA107,IF(OR(H107="NINGUNO",H107="SOLO_RENOMBRE"),IF(J107="COMPLETA",AB107,"COBERTURA_INSUFICIENTE"),"LEXEMA_O_FORMA")),IF(W107="RESTAURACION",IF(H107=X107,AA107,IF(OR(H107="NINGUNO",H107="RESTAURACION_POSTERIOR",H107="RESTAURACION_FALLIDA"),IF(J107="COMPLETA",AB107,"COBERTURA_INSUFICIENTE"),"LEXEMA_O_FORMA")),"PERFIL_NO_CONSTITUIDO"))))))))))))))))))</x:f>
        <x:v>IDENTIDAD</x:v>
      </x:c>
      <x:c r="R107" s="12" t="str">
        <x:f>IF(AND(L107=O107,M107=P107,N107=Q107),"PASA","NO_PASA")</x:f>
        <x:v>PASA</x:v>
      </x:c>
      <x:c r="S107" s="4" t="str">
        <x:v>El testigo pertenece a otro sujeto; no se recicla su dato.</x:v>
      </x:c>
      <x:c r="T107" s="12" t="str">
        <x:f>IFERROR(INDEX('55_Codificacion_ensayo'!$B$5:$B$13,MATCH(B107,'55_Codificacion_ensayo'!$A$5:$A$13,0)),"")</x:f>
        <x:v>HISTORIA-CAMBIO-COMPONENTE-0.1</x:v>
      </x:c>
      <x:c r="U107" s="12" t="str">
        <x:f>IFERROR(INDEX('55_Codificacion_ensayo'!$C$5:$C$13,MATCH(B107,'55_Codificacion_ensayo'!$A$5:$A$13,0)),"")</x:f>
        <x:v>HISTORIA_BINARIA</x:v>
      </x:c>
      <x:c r="V107" s="12" t="str">
        <x:f>IFERROR(INDEX('55_Codificacion_ensayo'!$D$5:$D$13,MATCH(B107,'55_Codificacion_ensayo'!$A$5:$A$13,0)),"")</x:f>
        <x:v>ORDEN_ACREDITADO</x:v>
      </x:c>
      <x:c r="W107" s="12" t="str">
        <x:f>IFERROR(INDEX('55_Codificacion_ensayo'!$E$5:$E$13,MATCH(B107,'55_Codificacion_ensayo'!$A$5:$A$13,0)),"")</x:f>
        <x:v>CAMBIO</x:v>
      </x:c>
      <x:c r="X107" s="12" t="str">
        <x:f>IFERROR(INDEX('55_Codificacion_ensayo'!$F$5:$F$13,MATCH(B107,'55_Codificacion_ensayo'!$A$5:$A$13,0)),"")</x:f>
        <x:v>CAMBIO</x:v>
      </x:c>
      <x:c r="Y107" s="12" t="str">
        <x:f>IFERROR(INDEX('55_Codificacion_ensayo'!$G$5:$G$13,MATCH(B107,'55_Codificacion_ensayo'!$A$5:$A$13,0)),"")</x:f>
      </x:c>
      <x:c r="Z107" s="12" t="str">
        <x:f>IFERROR(INDEX('55_Codificacion_ensayo'!$H$5:$H$13,MATCH(B107,'55_Codificacion_ensayo'!$A$5:$A$13,0)),"")</x:f>
        <x:v>NINGUNO</x:v>
      </x:c>
      <x:c r="AA107" s="12" t="str">
        <x:f>IFERROR(INDEX('55_Codificacion_ensayo'!$I$5:$I$13,MATCH(B107,'55_Codificacion_ensayo'!$A$5:$A$13,0)),"")</x:f>
        <x:v>CAMBIO_POSTERIOR</x:v>
      </x:c>
      <x:c r="AB107" s="12" t="str">
        <x:f>IFERROR(INDEX('55_Codificacion_ensayo'!$J$5:$J$13,MATCH(B107,'55_Codificacion_ensayo'!$A$5:$A$13,0)),"")</x:f>
        <x:v>SIN_CAMBIO_ACREDITADO</x:v>
      </x:c>
    </x:row>
    <x:row r="108" ht="47" customHeight="1">
      <x:c r="A108" s="4" t="str">
        <x:v>L10-09-07</x:v>
      </x:c>
      <x:c r="B108" s="4" t="str">
        <x:v>PAR-CYB-CAMBIO-COMPONENTE-POSTERIOR-001</x:v>
      </x:c>
      <x:c r="C108" s="4" t="str">
        <x:v>HISTORIA-CAMBIO-COMPONENTE-0.1</x:v>
      </x:c>
      <x:c r="D108" s="4" t="str">
        <x:v>COINCIDE</x:v>
      </x:c>
      <x:c r="E108" s="4" t="str">
        <x:v>LEGIBLE</x:v>
      </x:c>
      <x:c r="F108" s="4" t="str">
        <x:v>FUENTE_GENERAL</x:v>
      </x:c>
      <x:c r="G108" s="4" t="str">
        <x:v>UNICA</x:v>
      </x:c>
      <x:c r="H108" s="4" t="str">
        <x:v>CAMBIO</x:v>
      </x:c>
      <x:c r="I108" s="4" t="str"/>
      <x:c r="J108" s="4" t="str">
        <x:v>COMPLETA</x:v>
      </x:c>
      <x:c r="K108" s="4" t="str">
        <x:v>ORDEN_ACREDITADO</x:v>
      </x:c>
      <x:c r="L108" s="4" t="str">
        <x:v>VALIDA</x:v>
      </x:c>
      <x:c r="M108" s="4" t="str">
        <x:v>U</x:v>
      </x:c>
      <x:c r="N108" s="4" t="str">
        <x:v>OBSERVACION_INSUFICIENTE</x:v>
      </x:c>
      <x:c r="O108" s="12" t="str">
        <x:f>IF(Q108="SIN_EJECUCION_DOMINIO","FALLO_CAPTURA",IF(OR(Q108="CAPTURA_MAL_FORMADA",Q108="IDENTIDAD",Q108="OBSERVACION_MAL_FORMADA",Q108="LEXEMA_O_FORMA"),"NO_ADMISION",IF(OR(Q108="PERFIL_NO_CONSTITUIDO",Q108="RESULTADO_NO_TERMINAL"),"FUERA_PERFIL",IF(Q108="CONTEXTO_NO_CONSTITUIDO","CONFIGURACION_PENDIENTE","VALIDA"))))</x:f>
        <x:v>VALIDA</x:v>
      </x:c>
      <x:c r="P108" s="12" t="str">
        <x:f>IF(O108&lt;&gt;"VALIDA","",IF(Q108=AA108,"1",IF(Q108=AB108,"0","U")))</x:f>
        <x:v>U</x:v>
      </x:c>
      <x:c r="Q108" s="12" t="str">
        <x:f>IF(E108="FALLO","SIN_EJECUCION_DOMINIO",IF(E108&lt;&gt;"LEGIBLE","CAPTURA_MAL_FORMADA",IF(D108&lt;&gt;"COINCIDE","IDENTIDAD",IF(OR(T108="",C108&lt;&gt;T108),"PERFIL_NO_CONSTITUIDO",IF(K108&lt;&gt;V108,IF(V108="ORDEN_ACREDITADO","ORDEN_NO_ACREDITADO","CONTEXTO_NO_CONSTITUIDO"),IF(AND(G108="AUSENTE",H108="",I108=""),"DATO_AUSENTE",IF(AND(G108="CONFLICTO",H108="",I108=""),"CONFLICTO_OBSERVACIONAL",IF(G108&lt;&gt;"UNICA","OBSERVACION_MAL_FORMADA",IF(F108&lt;&gt;U108,"OBSERVACION_INSUFICIENTE",IF(W108="RESULTADO",IF(H108=X108,AA108,IF(OR(H108="orcSucceededWithErrors",H108="orcFailed",H108="orcAborted"),AB108,IF(OR(H108="orcNotStarted",H108="orcInProgress"),"RESULTADO_NO_TERMINAL","LEXEMA_O_FORMA"))),IF(W108="EVENTO_BOOT",IF(H108=X108,AA108,IF(OR(H108="NINGUNO",H108="SOLO_HIBRIDO"),IF(J108="COMPLETA",AB108,"COBERTURA_INSUFICIENTE"),"LEXEMA_O_FORMA")),IF(W108="REQUISITO_SOFT",IF(H108=X108,AA108,IF(H108=Z108,AB108,"LEXEMA_O_FORMA")),IF(W108="EVENTO_PROC",IF(H108=X108,AA108,IF(H108=Z108,IF(J108="COMPLETA",AB108,"COBERTURA_INSUFICIENTE"),"LEXEMA_O_FORMA")),IF(W108="IMAGEN",IF(AND(AND(ISTEXT(H108),LEN(("x"&amp;H108))=65,EXACT(("x"&amp;H108),LOWER(("x"&amp;H108))),ISERROR(SEARCH(" ",("x"&amp;H108))),ISERROR(SEARCH(CHAR(9),("x"&amp;H108))),ISERROR(SEARCH(CHAR(10),("x"&amp;H108))),ISERROR(SEARCH(CHAR(13),("x"&amp;H108))),IFERROR(HEX2DEC(MID(("x"&amp;H108),2,8))&gt;=0,FALSE),IFERROR(HEX2DEC(MID(("x"&amp;H108),10,8))&gt;=0,FALSE),IFERROR(HEX2DEC(MID(("x"&amp;H108),18,8))&gt;=0,FALSE),IFERROR(HEX2DEC(MID(("x"&amp;H108),26,8))&gt;=0,FALSE),IFERROR(HEX2DEC(MID(("x"&amp;H108),34,8))&gt;=0,FALSE),IFERROR(HEX2DEC(MID(("x"&amp;H108),42,8))&gt;=0,FALSE),IFERROR(HEX2DEC(MID(("x"&amp;H108),50,8))&gt;=0,FALSE),IFERROR(HEX2DEC(MID(("x"&amp;H108),58,8))&gt;=0,FALSE)),AND(ISTEXT(I108),LEN(("x"&amp;I108))=65,EXACT(("x"&amp;I108),LOWER(("x"&amp;I108))),ISERROR(SEARCH(" ",("x"&amp;I108))),ISERROR(SEARCH(CHAR(9),("x"&amp;I108))),ISERROR(SEARCH(CHAR(10),("x"&amp;I108))),ISERROR(SEARCH(CHAR(13),("x"&amp;I108))),IFERROR(HEX2DEC(MID(("x"&amp;I108),2,8))&gt;=0,FALSE),IFERROR(HEX2DEC(MID(("x"&amp;I108),10,8))&gt;=0,FALSE),IFERROR(HEX2DEC(MID(("x"&amp;I108),18,8))&gt;=0,FALSE),IFERROR(HEX2DEC(MID(("x"&amp;I108),26,8))&gt;=0,FALSE),IFERROR(HEX2DEC(MID(("x"&amp;I108),34,8))&gt;=0,FALSE),IFERROR(HEX2DEC(MID(("x"&amp;I108),42,8))&gt;=0,FALSE),IFERROR(HEX2DEC(MID(("x"&amp;I108),50,8))&gt;=0,FALSE),IFERROR(HEX2DEC(MID(("x"&amp;I108),58,8))&gt;=0,FALSE))),IF(EXACT("x"&amp;H108,"x"&amp;I108),AA108,AB108),"LEXEMA_O_FORMA"),IF(W108="PRUEBA",IF(H108=X108,AA108,IF(H108=Z108,AB108,"LEXEMA_O_FORMA")),IF(W108="RETIRADA",IF(AND(H108="NINGUNO",I108=""),IF(J108="COMPLETA",AB108,"COBERTURA_INSUFICIENTE"),IF(AND(OR(H108="uoInstallation",H108="uoUninstallation"),OR(I108="orcSucceeded",I108="orcSucceededWithErrors",I108="orcFailed",I108="orcAborted",I108="orcInProgress",I108="orcNotStarted")),IF(AND(H108=X108,I108=Y108),AA108,IF(AND(H108=X108,OR(I108="orcSucceededWithErrors",I108="orcInProgress",I108="orcNotStarted")),"RESULTADO_RETIRADA_INCIERTO",IF(J108="COMPLETA",AB108,"COBERTURA_INSUFICIENTE"))),"LEXEMA_O_FORMA")),IF(W108="CAMBIO",IF(OR(H108="CAMBIO",H108="CAMBIO_Y_RETORNO"),AA108,IF(OR(H108="NINGUNO",H108="SOLO_RENOMBRE"),IF(J108="COMPLETA",AB108,"COBERTURA_INSUFICIENTE"),"LEXEMA_O_FORMA")),IF(W108="RESTAURACION",IF(H108=X108,AA108,IF(OR(H108="NINGUNO",H108="RESTAURACION_POSTERIOR",H108="RESTAURACION_FALLIDA"),IF(J108="COMPLETA",AB108,"COBERTURA_INSUFICIENTE"),"LEXEMA_O_FORMA")),"PERFIL_NO_CONSTITUIDO"))))))))))))))))))</x:f>
        <x:v>OBSERVACION_INSUFICIENTE</x:v>
      </x:c>
      <x:c r="R108" s="12" t="str">
        <x:f>IF(AND(L108=O108,M108=P108,N108=Q108),"PASA","NO_PASA")</x:f>
        <x:v>PASA</x:v>
      </x:c>
      <x:c r="S108" s="4" t="str">
        <x:v>Una fuente del dominio no sustituye la observación específica del episodio.</x:v>
      </x:c>
      <x:c r="T108" s="12" t="str">
        <x:f>IFERROR(INDEX('55_Codificacion_ensayo'!$B$5:$B$13,MATCH(B108,'55_Codificacion_ensayo'!$A$5:$A$13,0)),"")</x:f>
        <x:v>HISTORIA-CAMBIO-COMPONENTE-0.1</x:v>
      </x:c>
      <x:c r="U108" s="12" t="str">
        <x:f>IFERROR(INDEX('55_Codificacion_ensayo'!$C$5:$C$13,MATCH(B108,'55_Codificacion_ensayo'!$A$5:$A$13,0)),"")</x:f>
        <x:v>HISTORIA_BINARIA</x:v>
      </x:c>
      <x:c r="V108" s="12" t="str">
        <x:f>IFERROR(INDEX('55_Codificacion_ensayo'!$D$5:$D$13,MATCH(B108,'55_Codificacion_ensayo'!$A$5:$A$13,0)),"")</x:f>
        <x:v>ORDEN_ACREDITADO</x:v>
      </x:c>
      <x:c r="W108" s="12" t="str">
        <x:f>IFERROR(INDEX('55_Codificacion_ensayo'!$E$5:$E$13,MATCH(B108,'55_Codificacion_ensayo'!$A$5:$A$13,0)),"")</x:f>
        <x:v>CAMBIO</x:v>
      </x:c>
      <x:c r="X108" s="12" t="str">
        <x:f>IFERROR(INDEX('55_Codificacion_ensayo'!$F$5:$F$13,MATCH(B108,'55_Codificacion_ensayo'!$A$5:$A$13,0)),"")</x:f>
        <x:v>CAMBIO</x:v>
      </x:c>
      <x:c r="Y108" s="12" t="str">
        <x:f>IFERROR(INDEX('55_Codificacion_ensayo'!$G$5:$G$13,MATCH(B108,'55_Codificacion_ensayo'!$A$5:$A$13,0)),"")</x:f>
      </x:c>
      <x:c r="Z108" s="12" t="str">
        <x:f>IFERROR(INDEX('55_Codificacion_ensayo'!$H$5:$H$13,MATCH(B108,'55_Codificacion_ensayo'!$A$5:$A$13,0)),"")</x:f>
        <x:v>NINGUNO</x:v>
      </x:c>
      <x:c r="AA108" s="12" t="str">
        <x:f>IFERROR(INDEX('55_Codificacion_ensayo'!$I$5:$I$13,MATCH(B108,'55_Codificacion_ensayo'!$A$5:$A$13,0)),"")</x:f>
        <x:v>CAMBIO_POSTERIOR</x:v>
      </x:c>
      <x:c r="AB108" s="12" t="str">
        <x:f>IFERROR(INDEX('55_Codificacion_ensayo'!$J$5:$J$13,MATCH(B108,'55_Codificacion_ensayo'!$A$5:$A$13,0)),"")</x:f>
        <x:v>SIN_CAMBIO_ACREDITADO</x:v>
      </x:c>
    </x:row>
    <x:row r="109" ht="47" customHeight="1">
      <x:c r="A109" s="4" t="str">
        <x:v>L10-09-08</x:v>
      </x:c>
      <x:c r="B109" s="4" t="str">
        <x:v>PAR-CYB-CAMBIO-COMPONENTE-POSTERIOR-001</x:v>
      </x:c>
      <x:c r="C109" s="4" t="str">
        <x:v>OTRO_PERFIL</x:v>
      </x:c>
      <x:c r="D109" s="4" t="str">
        <x:v>COINCIDE</x:v>
      </x:c>
      <x:c r="E109" s="4" t="str">
        <x:v>LEGIBLE</x:v>
      </x:c>
      <x:c r="F109" s="4" t="str">
        <x:v>HISTORIA_BINARIA</x:v>
      </x:c>
      <x:c r="G109" s="4" t="str">
        <x:v>UNICA</x:v>
      </x:c>
      <x:c r="H109" s="4" t="str">
        <x:v>CAMBIO</x:v>
      </x:c>
      <x:c r="I109" s="4" t="str"/>
      <x:c r="J109" s="4" t="str">
        <x:v>COMPLETA</x:v>
      </x:c>
      <x:c r="K109" s="4" t="str">
        <x:v>ORDEN_ACREDITADO</x:v>
      </x:c>
      <x:c r="L109" s="4" t="str">
        <x:v>FUERA_PERFIL</x:v>
      </x:c>
      <x:c r="M109" s="4" t="str"/>
      <x:c r="N109" s="4" t="str">
        <x:v>PERFIL_NO_CONSTITUIDO</x:v>
      </x:c>
      <x:c r="O109" s="12" t="str">
        <x:f>IF(Q109="SIN_EJECUCION_DOMINIO","FALLO_CAPTURA",IF(OR(Q109="CAPTURA_MAL_FORMADA",Q109="IDENTIDAD",Q109="OBSERVACION_MAL_FORMADA",Q109="LEXEMA_O_FORMA"),"NO_ADMISION",IF(OR(Q109="PERFIL_NO_CONSTITUIDO",Q109="RESULTADO_NO_TERMINAL"),"FUERA_PERFIL",IF(Q109="CONTEXTO_NO_CONSTITUIDO","CONFIGURACION_PENDIENTE","VALIDA"))))</x:f>
        <x:v>FUERA_PERFIL</x:v>
      </x:c>
      <x:c r="P109" s="12" t="str">
        <x:f>IF(O109&lt;&gt;"VALIDA","",IF(Q109=AA109,"1",IF(Q109=AB109,"0","U")))</x:f>
      </x:c>
      <x:c r="Q109" s="12" t="str">
        <x:f>IF(E109="FALLO","SIN_EJECUCION_DOMINIO",IF(E109&lt;&gt;"LEGIBLE","CAPTURA_MAL_FORMADA",IF(D109&lt;&gt;"COINCIDE","IDENTIDAD",IF(OR(T109="",C109&lt;&gt;T109),"PERFIL_NO_CONSTITUIDO",IF(K109&lt;&gt;V109,IF(V109="ORDEN_ACREDITADO","ORDEN_NO_ACREDITADO","CONTEXTO_NO_CONSTITUIDO"),IF(AND(G109="AUSENTE",H109="",I109=""),"DATO_AUSENTE",IF(AND(G109="CONFLICTO",H109="",I109=""),"CONFLICTO_OBSERVACIONAL",IF(G109&lt;&gt;"UNICA","OBSERVACION_MAL_FORMADA",IF(F109&lt;&gt;U109,"OBSERVACION_INSUFICIENTE",IF(W109="RESULTADO",IF(H109=X109,AA109,IF(OR(H109="orcSucceededWithErrors",H109="orcFailed",H109="orcAborted"),AB109,IF(OR(H109="orcNotStarted",H109="orcInProgress"),"RESULTADO_NO_TERMINAL","LEXEMA_O_FORMA"))),IF(W109="EVENTO_BOOT",IF(H109=X109,AA109,IF(OR(H109="NINGUNO",H109="SOLO_HIBRIDO"),IF(J109="COMPLETA",AB109,"COBERTURA_INSUFICIENTE"),"LEXEMA_O_FORMA")),IF(W109="REQUISITO_SOFT",IF(H109=X109,AA109,IF(H109=Z109,AB109,"LEXEMA_O_FORMA")),IF(W109="EVENTO_PROC",IF(H109=X109,AA109,IF(H109=Z109,IF(J109="COMPLETA",AB109,"COBERTURA_INSUFICIENTE"),"LEXEMA_O_FORMA")),IF(W109="IMAGEN",IF(AND(AND(ISTEXT(H109),LEN(("x"&amp;H109))=65,EXACT(("x"&amp;H109),LOWER(("x"&amp;H109))),ISERROR(SEARCH(" ",("x"&amp;H109))),ISERROR(SEARCH(CHAR(9),("x"&amp;H109))),ISERROR(SEARCH(CHAR(10),("x"&amp;H109))),ISERROR(SEARCH(CHAR(13),("x"&amp;H109))),IFERROR(HEX2DEC(MID(("x"&amp;H109),2,8))&gt;=0,FALSE),IFERROR(HEX2DEC(MID(("x"&amp;H109),10,8))&gt;=0,FALSE),IFERROR(HEX2DEC(MID(("x"&amp;H109),18,8))&gt;=0,FALSE),IFERROR(HEX2DEC(MID(("x"&amp;H109),26,8))&gt;=0,FALSE),IFERROR(HEX2DEC(MID(("x"&amp;H109),34,8))&gt;=0,FALSE),IFERROR(HEX2DEC(MID(("x"&amp;H109),42,8))&gt;=0,FALSE),IFERROR(HEX2DEC(MID(("x"&amp;H109),50,8))&gt;=0,FALSE),IFERROR(HEX2DEC(MID(("x"&amp;H109),58,8))&gt;=0,FALSE)),AND(ISTEXT(I109),LEN(("x"&amp;I109))=65,EXACT(("x"&amp;I109),LOWER(("x"&amp;I109))),ISERROR(SEARCH(" ",("x"&amp;I109))),ISERROR(SEARCH(CHAR(9),("x"&amp;I109))),ISERROR(SEARCH(CHAR(10),("x"&amp;I109))),ISERROR(SEARCH(CHAR(13),("x"&amp;I109))),IFERROR(HEX2DEC(MID(("x"&amp;I109),2,8))&gt;=0,FALSE),IFERROR(HEX2DEC(MID(("x"&amp;I109),10,8))&gt;=0,FALSE),IFERROR(HEX2DEC(MID(("x"&amp;I109),18,8))&gt;=0,FALSE),IFERROR(HEX2DEC(MID(("x"&amp;I109),26,8))&gt;=0,FALSE),IFERROR(HEX2DEC(MID(("x"&amp;I109),34,8))&gt;=0,FALSE),IFERROR(HEX2DEC(MID(("x"&amp;I109),42,8))&gt;=0,FALSE),IFERROR(HEX2DEC(MID(("x"&amp;I109),50,8))&gt;=0,FALSE),IFERROR(HEX2DEC(MID(("x"&amp;I109),58,8))&gt;=0,FALSE))),IF(EXACT("x"&amp;H109,"x"&amp;I109),AA109,AB109),"LEXEMA_O_FORMA"),IF(W109="PRUEBA",IF(H109=X109,AA109,IF(H109=Z109,AB109,"LEXEMA_O_FORMA")),IF(W109="RETIRADA",IF(AND(H109="NINGUNO",I109=""),IF(J109="COMPLETA",AB109,"COBERTURA_INSUFICIENTE"),IF(AND(OR(H109="uoInstallation",H109="uoUninstallation"),OR(I109="orcSucceeded",I109="orcSucceededWithErrors",I109="orcFailed",I109="orcAborted",I109="orcInProgress",I109="orcNotStarted")),IF(AND(H109=X109,I109=Y109),AA109,IF(AND(H109=X109,OR(I109="orcSucceededWithErrors",I109="orcInProgress",I109="orcNotStarted")),"RESULTADO_RETIRADA_INCIERTO",IF(J109="COMPLETA",AB109,"COBERTURA_INSUFICIENTE"))),"LEXEMA_O_FORMA")),IF(W109="CAMBIO",IF(OR(H109="CAMBIO",H109="CAMBIO_Y_RETORNO"),AA109,IF(OR(H109="NINGUNO",H109="SOLO_RENOMBRE"),IF(J109="COMPLETA",AB109,"COBERTURA_INSUFICIENTE"),"LEXEMA_O_FORMA")),IF(W109="RESTAURACION",IF(H109=X109,AA109,IF(OR(H109="NINGUNO",H109="RESTAURACION_POSTERIOR",H109="RESTAURACION_FALLIDA"),IF(J109="COMPLETA",AB109,"COBERTURA_INSUFICIENTE"),"LEXEMA_O_FORMA")),"PERFIL_NO_CONSTITUIDO"))))))))))))))))))</x:f>
        <x:v>PERFIL_NO_CONSTITUIDO</x:v>
      </x:c>
      <x:c r="R109" s="12" t="str">
        <x:f>IF(AND(L109=O109,M109=P109,N109=Q109),"PASA","NO_PASA")</x:f>
        <x:v>PASA</x:v>
      </x:c>
      <x:c r="S109" s="4" t="str">
        <x:v>Perfil de otro producto no se normaliza por analogía.</x:v>
      </x:c>
      <x:c r="T109" s="12" t="str">
        <x:f>IFERROR(INDEX('55_Codificacion_ensayo'!$B$5:$B$13,MATCH(B109,'55_Codificacion_ensayo'!$A$5:$A$13,0)),"")</x:f>
        <x:v>HISTORIA-CAMBIO-COMPONENTE-0.1</x:v>
      </x:c>
      <x:c r="U109" s="12" t="str">
        <x:f>IFERROR(INDEX('55_Codificacion_ensayo'!$C$5:$C$13,MATCH(B109,'55_Codificacion_ensayo'!$A$5:$A$13,0)),"")</x:f>
        <x:v>HISTORIA_BINARIA</x:v>
      </x:c>
      <x:c r="V109" s="12" t="str">
        <x:f>IFERROR(INDEX('55_Codificacion_ensayo'!$D$5:$D$13,MATCH(B109,'55_Codificacion_ensayo'!$A$5:$A$13,0)),"")</x:f>
        <x:v>ORDEN_ACREDITADO</x:v>
      </x:c>
      <x:c r="W109" s="12" t="str">
        <x:f>IFERROR(INDEX('55_Codificacion_ensayo'!$E$5:$E$13,MATCH(B109,'55_Codificacion_ensayo'!$A$5:$A$13,0)),"")</x:f>
        <x:v>CAMBIO</x:v>
      </x:c>
      <x:c r="X109" s="12" t="str">
        <x:f>IFERROR(INDEX('55_Codificacion_ensayo'!$F$5:$F$13,MATCH(B109,'55_Codificacion_ensayo'!$A$5:$A$13,0)),"")</x:f>
        <x:v>CAMBIO</x:v>
      </x:c>
      <x:c r="Y109" s="12" t="str">
        <x:f>IFERROR(INDEX('55_Codificacion_ensayo'!$G$5:$G$13,MATCH(B109,'55_Codificacion_ensayo'!$A$5:$A$13,0)),"")</x:f>
      </x:c>
      <x:c r="Z109" s="12" t="str">
        <x:f>IFERROR(INDEX('55_Codificacion_ensayo'!$H$5:$H$13,MATCH(B109,'55_Codificacion_ensayo'!$A$5:$A$13,0)),"")</x:f>
        <x:v>NINGUNO</x:v>
      </x:c>
      <x:c r="AA109" s="12" t="str">
        <x:f>IFERROR(INDEX('55_Codificacion_ensayo'!$I$5:$I$13,MATCH(B109,'55_Codificacion_ensayo'!$A$5:$A$13,0)),"")</x:f>
        <x:v>CAMBIO_POSTERIOR</x:v>
      </x:c>
      <x:c r="AB109" s="12" t="str">
        <x:f>IFERROR(INDEX('55_Codificacion_ensayo'!$J$5:$J$13,MATCH(B109,'55_Codificacion_ensayo'!$A$5:$A$13,0)),"")</x:f>
        <x:v>SIN_CAMBIO_ACREDITADO</x:v>
      </x:c>
    </x:row>
    <x:row r="110" ht="47" customHeight="1">
      <x:c r="A110" s="4" t="str">
        <x:v>L10-09-09</x:v>
      </x:c>
      <x:c r="B110" s="4" t="str">
        <x:v>PAR-CYB-CAMBIO-COMPONENTE-POSTERIOR-001</x:v>
      </x:c>
      <x:c r="C110" s="4" t="str">
        <x:v>HISTORIA-CAMBIO-COMPONENTE-0.1</x:v>
      </x:c>
      <x:c r="D110" s="4" t="str">
        <x:v>COINCIDE</x:v>
      </x:c>
      <x:c r="E110" s="4" t="str">
        <x:v>LEGIBLE</x:v>
      </x:c>
      <x:c r="F110" s="4" t="str">
        <x:v>HISTORIA_BINARIA</x:v>
      </x:c>
      <x:c r="G110" s="4" t="str">
        <x:v>UNICA</x:v>
      </x:c>
      <x:c r="H110" s="4" t="str">
        <x:v>true false desconocido</x:v>
      </x:c>
      <x:c r="I110" s="4" t="str"/>
      <x:c r="J110" s="4" t="str">
        <x:v>COMPLETA</x:v>
      </x:c>
      <x:c r="K110" s="4" t="str">
        <x:v>ORDEN_ACREDITADO</x:v>
      </x:c>
      <x:c r="L110" s="4" t="str">
        <x:v>NO_ADMISION</x:v>
      </x:c>
      <x:c r="M110" s="4" t="str"/>
      <x:c r="N110" s="4" t="str">
        <x:v>LEXEMA_O_FORMA</x:v>
      </x:c>
      <x:c r="O110" s="12" t="str">
        <x:f>IF(Q110="SIN_EJECUCION_DOMINIO","FALLO_CAPTURA",IF(OR(Q110="CAPTURA_MAL_FORMADA",Q110="IDENTIDAD",Q110="OBSERVACION_MAL_FORMADA",Q110="LEXEMA_O_FORMA"),"NO_ADMISION",IF(OR(Q110="PERFIL_NO_CONSTITUIDO",Q110="RESULTADO_NO_TERMINAL"),"FUERA_PERFIL",IF(Q110="CONTEXTO_NO_CONSTITUIDO","CONFIGURACION_PENDIENTE","VALIDA"))))</x:f>
        <x:v>NO_ADMISION</x:v>
      </x:c>
      <x:c r="P110" s="12" t="str">
        <x:f>IF(O110&lt;&gt;"VALIDA","",IF(Q110=AA110,"1",IF(Q110=AB110,"0","U")))</x:f>
      </x:c>
      <x:c r="Q110" s="12" t="str">
        <x:f>IF(E110="FALLO","SIN_EJECUCION_DOMINIO",IF(E110&lt;&gt;"LEGIBLE","CAPTURA_MAL_FORMADA",IF(D110&lt;&gt;"COINCIDE","IDENTIDAD",IF(OR(T110="",C110&lt;&gt;T110),"PERFIL_NO_CONSTITUIDO",IF(K110&lt;&gt;V110,IF(V110="ORDEN_ACREDITADO","ORDEN_NO_ACREDITADO","CONTEXTO_NO_CONSTITUIDO"),IF(AND(G110="AUSENTE",H110="",I110=""),"DATO_AUSENTE",IF(AND(G110="CONFLICTO",H110="",I110=""),"CONFLICTO_OBSERVACIONAL",IF(G110&lt;&gt;"UNICA","OBSERVACION_MAL_FORMADA",IF(F110&lt;&gt;U110,"OBSERVACION_INSUFICIENTE",IF(W110="RESULTADO",IF(H110=X110,AA110,IF(OR(H110="orcSucceededWithErrors",H110="orcFailed",H110="orcAborted"),AB110,IF(OR(H110="orcNotStarted",H110="orcInProgress"),"RESULTADO_NO_TERMINAL","LEXEMA_O_FORMA"))),IF(W110="EVENTO_BOOT",IF(H110=X110,AA110,IF(OR(H110="NINGUNO",H110="SOLO_HIBRIDO"),IF(J110="COMPLETA",AB110,"COBERTURA_INSUFICIENTE"),"LEXEMA_O_FORMA")),IF(W110="REQUISITO_SOFT",IF(H110=X110,AA110,IF(H110=Z110,AB110,"LEXEMA_O_FORMA")),IF(W110="EVENTO_PROC",IF(H110=X110,AA110,IF(H110=Z110,IF(J110="COMPLETA",AB110,"COBERTURA_INSUFICIENTE"),"LEXEMA_O_FORMA")),IF(W110="IMAGEN",IF(AND(AND(ISTEXT(H110),LEN(("x"&amp;H110))=65,EXACT(("x"&amp;H110),LOWER(("x"&amp;H110))),ISERROR(SEARCH(" ",("x"&amp;H110))),ISERROR(SEARCH(CHAR(9),("x"&amp;H110))),ISERROR(SEARCH(CHAR(10),("x"&amp;H110))),ISERROR(SEARCH(CHAR(13),("x"&amp;H110))),IFERROR(HEX2DEC(MID(("x"&amp;H110),2,8))&gt;=0,FALSE),IFERROR(HEX2DEC(MID(("x"&amp;H110),10,8))&gt;=0,FALSE),IFERROR(HEX2DEC(MID(("x"&amp;H110),18,8))&gt;=0,FALSE),IFERROR(HEX2DEC(MID(("x"&amp;H110),26,8))&gt;=0,FALSE),IFERROR(HEX2DEC(MID(("x"&amp;H110),34,8))&gt;=0,FALSE),IFERROR(HEX2DEC(MID(("x"&amp;H110),42,8))&gt;=0,FALSE),IFERROR(HEX2DEC(MID(("x"&amp;H110),50,8))&gt;=0,FALSE),IFERROR(HEX2DEC(MID(("x"&amp;H110),58,8))&gt;=0,FALSE)),AND(ISTEXT(I110),LEN(("x"&amp;I110))=65,EXACT(("x"&amp;I110),LOWER(("x"&amp;I110))),ISERROR(SEARCH(" ",("x"&amp;I110))),ISERROR(SEARCH(CHAR(9),("x"&amp;I110))),ISERROR(SEARCH(CHAR(10),("x"&amp;I110))),ISERROR(SEARCH(CHAR(13),("x"&amp;I110))),IFERROR(HEX2DEC(MID(("x"&amp;I110),2,8))&gt;=0,FALSE),IFERROR(HEX2DEC(MID(("x"&amp;I110),10,8))&gt;=0,FALSE),IFERROR(HEX2DEC(MID(("x"&amp;I110),18,8))&gt;=0,FALSE),IFERROR(HEX2DEC(MID(("x"&amp;I110),26,8))&gt;=0,FALSE),IFERROR(HEX2DEC(MID(("x"&amp;I110),34,8))&gt;=0,FALSE),IFERROR(HEX2DEC(MID(("x"&amp;I110),42,8))&gt;=0,FALSE),IFERROR(HEX2DEC(MID(("x"&amp;I110),50,8))&gt;=0,FALSE),IFERROR(HEX2DEC(MID(("x"&amp;I110),58,8))&gt;=0,FALSE))),IF(EXACT("x"&amp;H110,"x"&amp;I110),AA110,AB110),"LEXEMA_O_FORMA"),IF(W110="PRUEBA",IF(H110=X110,AA110,IF(H110=Z110,AB110,"LEXEMA_O_FORMA")),IF(W110="RETIRADA",IF(AND(H110="NINGUNO",I110=""),IF(J110="COMPLETA",AB110,"COBERTURA_INSUFICIENTE"),IF(AND(OR(H110="uoInstallation",H110="uoUninstallation"),OR(I110="orcSucceeded",I110="orcSucceededWithErrors",I110="orcFailed",I110="orcAborted",I110="orcInProgress",I110="orcNotStarted")),IF(AND(H110=X110,I110=Y110),AA110,IF(AND(H110=X110,OR(I110="orcSucceededWithErrors",I110="orcInProgress",I110="orcNotStarted")),"RESULTADO_RETIRADA_INCIERTO",IF(J110="COMPLETA",AB110,"COBERTURA_INSUFICIENTE"))),"LEXEMA_O_FORMA")),IF(W110="CAMBIO",IF(OR(H110="CAMBIO",H110="CAMBIO_Y_RETORNO"),AA110,IF(OR(H110="NINGUNO",H110="SOLO_RENOMBRE"),IF(J110="COMPLETA",AB110,"COBERTURA_INSUFICIENTE"),"LEXEMA_O_FORMA")),IF(W110="RESTAURACION",IF(H110=X110,AA110,IF(OR(H110="NINGUNO",H110="RESTAURACION_POSTERIOR",H110="RESTAURACION_FALLIDA"),IF(J110="COMPLETA",AB110,"COBERTURA_INSUFICIENTE"),"LEXEMA_O_FORMA")),"PERFIL_NO_CONSTITUIDO"))))))))))))))))))</x:f>
        <x:v>LEXEMA_O_FORMA</x:v>
      </x:c>
      <x:c r="R110" s="12" t="str">
        <x:f>IF(AND(L110=O110,M110=P110,N110=Q110),"PASA","NO_PASA")</x:f>
        <x:v>PASA</x:v>
      </x:c>
      <x:c r="S110" s="4" t="str">
        <x:v>La observación usa un lexema ajeno al contrato.</x:v>
      </x:c>
      <x:c r="T110" s="12" t="str">
        <x:f>IFERROR(INDEX('55_Codificacion_ensayo'!$B$5:$B$13,MATCH(B110,'55_Codificacion_ensayo'!$A$5:$A$13,0)),"")</x:f>
        <x:v>HISTORIA-CAMBIO-COMPONENTE-0.1</x:v>
      </x:c>
      <x:c r="U110" s="12" t="str">
        <x:f>IFERROR(INDEX('55_Codificacion_ensayo'!$C$5:$C$13,MATCH(B110,'55_Codificacion_ensayo'!$A$5:$A$13,0)),"")</x:f>
        <x:v>HISTORIA_BINARIA</x:v>
      </x:c>
      <x:c r="V110" s="12" t="str">
        <x:f>IFERROR(INDEX('55_Codificacion_ensayo'!$D$5:$D$13,MATCH(B110,'55_Codificacion_ensayo'!$A$5:$A$13,0)),"")</x:f>
        <x:v>ORDEN_ACREDITADO</x:v>
      </x:c>
      <x:c r="W110" s="12" t="str">
        <x:f>IFERROR(INDEX('55_Codificacion_ensayo'!$E$5:$E$13,MATCH(B110,'55_Codificacion_ensayo'!$A$5:$A$13,0)),"")</x:f>
        <x:v>CAMBIO</x:v>
      </x:c>
      <x:c r="X110" s="12" t="str">
        <x:f>IFERROR(INDEX('55_Codificacion_ensayo'!$F$5:$F$13,MATCH(B110,'55_Codificacion_ensayo'!$A$5:$A$13,0)),"")</x:f>
        <x:v>CAMBIO</x:v>
      </x:c>
      <x:c r="Y110" s="12" t="str">
        <x:f>IFERROR(INDEX('55_Codificacion_ensayo'!$G$5:$G$13,MATCH(B110,'55_Codificacion_ensayo'!$A$5:$A$13,0)),"")</x:f>
      </x:c>
      <x:c r="Z110" s="12" t="str">
        <x:f>IFERROR(INDEX('55_Codificacion_ensayo'!$H$5:$H$13,MATCH(B110,'55_Codificacion_ensayo'!$A$5:$A$13,0)),"")</x:f>
        <x:v>NINGUNO</x:v>
      </x:c>
      <x:c r="AA110" s="12" t="str">
        <x:f>IFERROR(INDEX('55_Codificacion_ensayo'!$I$5:$I$13,MATCH(B110,'55_Codificacion_ensayo'!$A$5:$A$13,0)),"")</x:f>
        <x:v>CAMBIO_POSTERIOR</x:v>
      </x:c>
      <x:c r="AB110" s="12" t="str">
        <x:f>IFERROR(INDEX('55_Codificacion_ensayo'!$J$5:$J$13,MATCH(B110,'55_Codificacion_ensayo'!$A$5:$A$13,0)),"")</x:f>
        <x:v>SIN_CAMBIO_ACREDITADO</x:v>
      </x:c>
    </x:row>
    <x:row r="111" ht="47" customHeight="1">
      <x:c r="A111" s="4" t="str">
        <x:v>L10-09-10</x:v>
      </x:c>
      <x:c r="B111" s="4" t="str">
        <x:v>PAR-CYB-CAMBIO-COMPONENTE-POSTERIOR-001</x:v>
      </x:c>
      <x:c r="C111" s="4" t="str">
        <x:v>HISTORIA-CAMBIO-COMPONENTE-0.1</x:v>
      </x:c>
      <x:c r="D111" s="4" t="str">
        <x:v>COINCIDE</x:v>
      </x:c>
      <x:c r="E111" s="4" t="str">
        <x:v>LEGIBLE</x:v>
      </x:c>
      <x:c r="F111" s="4" t="str">
        <x:v>HISTORIA_BINARIA</x:v>
      </x:c>
      <x:c r="G111" s="4" t="str">
        <x:v>UNICA</x:v>
      </x:c>
      <x:c r="H111" s="4" t="str">
        <x:v>NINGUNO</x:v>
      </x:c>
      <x:c r="I111" s="4" t="str"/>
      <x:c r="J111" s="4" t="str">
        <x:v>PARCIAL</x:v>
      </x:c>
      <x:c r="K111" s="4" t="str">
        <x:v>ORDEN_ACREDITADO</x:v>
      </x:c>
      <x:c r="L111" s="4" t="str">
        <x:v>VALIDA</x:v>
      </x:c>
      <x:c r="M111" s="4" t="str">
        <x:v>U</x:v>
      </x:c>
      <x:c r="N111" s="4" t="str">
        <x:v>COBERTURA_INSUFICIENTE</x:v>
      </x:c>
      <x:c r="O111" s="12" t="str">
        <x:f>IF(Q111="SIN_EJECUCION_DOMINIO","FALLO_CAPTURA",IF(OR(Q111="CAPTURA_MAL_FORMADA",Q111="IDENTIDAD",Q111="OBSERVACION_MAL_FORMADA",Q111="LEXEMA_O_FORMA"),"NO_ADMISION",IF(OR(Q111="PERFIL_NO_CONSTITUIDO",Q111="RESULTADO_NO_TERMINAL"),"FUERA_PERFIL",IF(Q111="CONTEXTO_NO_CONSTITUIDO","CONFIGURACION_PENDIENTE","VALIDA"))))</x:f>
        <x:v>VALIDA</x:v>
      </x:c>
      <x:c r="P111" s="12" t="str">
        <x:f>IF(O111&lt;&gt;"VALIDA","",IF(Q111=AA111,"1",IF(Q111=AB111,"0","U")))</x:f>
        <x:v>U</x:v>
      </x:c>
      <x:c r="Q111" s="12" t="str">
        <x:f>IF(E111="FALLO","SIN_EJECUCION_DOMINIO",IF(E111&lt;&gt;"LEGIBLE","CAPTURA_MAL_FORMADA",IF(D111&lt;&gt;"COINCIDE","IDENTIDAD",IF(OR(T111="",C111&lt;&gt;T111),"PERFIL_NO_CONSTITUIDO",IF(K111&lt;&gt;V111,IF(V111="ORDEN_ACREDITADO","ORDEN_NO_ACREDITADO","CONTEXTO_NO_CONSTITUIDO"),IF(AND(G111="AUSENTE",H111="",I111=""),"DATO_AUSENTE",IF(AND(G111="CONFLICTO",H111="",I111=""),"CONFLICTO_OBSERVACIONAL",IF(G111&lt;&gt;"UNICA","OBSERVACION_MAL_FORMADA",IF(F111&lt;&gt;U111,"OBSERVACION_INSUFICIENTE",IF(W111="RESULTADO",IF(H111=X111,AA111,IF(OR(H111="orcSucceededWithErrors",H111="orcFailed",H111="orcAborted"),AB111,IF(OR(H111="orcNotStarted",H111="orcInProgress"),"RESULTADO_NO_TERMINAL","LEXEMA_O_FORMA"))),IF(W111="EVENTO_BOOT",IF(H111=X111,AA111,IF(OR(H111="NINGUNO",H111="SOLO_HIBRIDO"),IF(J111="COMPLETA",AB111,"COBERTURA_INSUFICIENTE"),"LEXEMA_O_FORMA")),IF(W111="REQUISITO_SOFT",IF(H111=X111,AA111,IF(H111=Z111,AB111,"LEXEMA_O_FORMA")),IF(W111="EVENTO_PROC",IF(H111=X111,AA111,IF(H111=Z111,IF(J111="COMPLETA",AB111,"COBERTURA_INSUFICIENTE"),"LEXEMA_O_FORMA")),IF(W111="IMAGEN",IF(AND(AND(ISTEXT(H111),LEN(("x"&amp;H111))=65,EXACT(("x"&amp;H111),LOWER(("x"&amp;H111))),ISERROR(SEARCH(" ",("x"&amp;H111))),ISERROR(SEARCH(CHAR(9),("x"&amp;H111))),ISERROR(SEARCH(CHAR(10),("x"&amp;H111))),ISERROR(SEARCH(CHAR(13),("x"&amp;H111))),IFERROR(HEX2DEC(MID(("x"&amp;H111),2,8))&gt;=0,FALSE),IFERROR(HEX2DEC(MID(("x"&amp;H111),10,8))&gt;=0,FALSE),IFERROR(HEX2DEC(MID(("x"&amp;H111),18,8))&gt;=0,FALSE),IFERROR(HEX2DEC(MID(("x"&amp;H111),26,8))&gt;=0,FALSE),IFERROR(HEX2DEC(MID(("x"&amp;H111),34,8))&gt;=0,FALSE),IFERROR(HEX2DEC(MID(("x"&amp;H111),42,8))&gt;=0,FALSE),IFERROR(HEX2DEC(MID(("x"&amp;H111),50,8))&gt;=0,FALSE),IFERROR(HEX2DEC(MID(("x"&amp;H111),58,8))&gt;=0,FALSE)),AND(ISTEXT(I111),LEN(("x"&amp;I111))=65,EXACT(("x"&amp;I111),LOWER(("x"&amp;I111))),ISERROR(SEARCH(" ",("x"&amp;I111))),ISERROR(SEARCH(CHAR(9),("x"&amp;I111))),ISERROR(SEARCH(CHAR(10),("x"&amp;I111))),ISERROR(SEARCH(CHAR(13),("x"&amp;I111))),IFERROR(HEX2DEC(MID(("x"&amp;I111),2,8))&gt;=0,FALSE),IFERROR(HEX2DEC(MID(("x"&amp;I111),10,8))&gt;=0,FALSE),IFERROR(HEX2DEC(MID(("x"&amp;I111),18,8))&gt;=0,FALSE),IFERROR(HEX2DEC(MID(("x"&amp;I111),26,8))&gt;=0,FALSE),IFERROR(HEX2DEC(MID(("x"&amp;I111),34,8))&gt;=0,FALSE),IFERROR(HEX2DEC(MID(("x"&amp;I111),42,8))&gt;=0,FALSE),IFERROR(HEX2DEC(MID(("x"&amp;I111),50,8))&gt;=0,FALSE),IFERROR(HEX2DEC(MID(("x"&amp;I111),58,8))&gt;=0,FALSE))),IF(EXACT("x"&amp;H111,"x"&amp;I111),AA111,AB111),"LEXEMA_O_FORMA"),IF(W111="PRUEBA",IF(H111=X111,AA111,IF(H111=Z111,AB111,"LEXEMA_O_FORMA")),IF(W111="RETIRADA",IF(AND(H111="NINGUNO",I111=""),IF(J111="COMPLETA",AB111,"COBERTURA_INSUFICIENTE"),IF(AND(OR(H111="uoInstallation",H111="uoUninstallation"),OR(I111="orcSucceeded",I111="orcSucceededWithErrors",I111="orcFailed",I111="orcAborted",I111="orcInProgress",I111="orcNotStarted")),IF(AND(H111=X111,I111=Y111),AA111,IF(AND(H111=X111,OR(I111="orcSucceededWithErrors",I111="orcInProgress",I111="orcNotStarted")),"RESULTADO_RETIRADA_INCIERTO",IF(J111="COMPLETA",AB111,"COBERTURA_INSUFICIENTE"))),"LEXEMA_O_FORMA")),IF(W111="CAMBIO",IF(OR(H111="CAMBIO",H111="CAMBIO_Y_RETORNO"),AA111,IF(OR(H111="NINGUNO",H111="SOLO_RENOMBRE"),IF(J111="COMPLETA",AB111,"COBERTURA_INSUFICIENTE"),"LEXEMA_O_FORMA")),IF(W111="RESTAURACION",IF(H111=X111,AA111,IF(OR(H111="NINGUNO",H111="RESTAURACION_POSTERIOR",H111="RESTAURACION_FALLIDA"),IF(J111="COMPLETA",AB111,"COBERTURA_INSUFICIENTE"),"LEXEMA_O_FORMA")),"PERFIL_NO_CONSTITUIDO"))))))))))))))))))</x:f>
        <x:v>COBERTURA_INSUFICIENTE</x:v>
      </x:c>
      <x:c r="R111" s="12" t="str">
        <x:f>IF(AND(L111=O111,M111=P111,N111=Q111),"PASA","NO_PASA")</x:f>
        <x:v>PASA</x:v>
      </x:c>
      <x:c r="S111" s="4" t="str">
        <x:v>Ningún evento encontrado en cobertura parcial: U, no 0.</x:v>
      </x:c>
      <x:c r="T111" s="12" t="str">
        <x:f>IFERROR(INDEX('55_Codificacion_ensayo'!$B$5:$B$13,MATCH(B111,'55_Codificacion_ensayo'!$A$5:$A$13,0)),"")</x:f>
        <x:v>HISTORIA-CAMBIO-COMPONENTE-0.1</x:v>
      </x:c>
      <x:c r="U111" s="12" t="str">
        <x:f>IFERROR(INDEX('55_Codificacion_ensayo'!$C$5:$C$13,MATCH(B111,'55_Codificacion_ensayo'!$A$5:$A$13,0)),"")</x:f>
        <x:v>HISTORIA_BINARIA</x:v>
      </x:c>
      <x:c r="V111" s="12" t="str">
        <x:f>IFERROR(INDEX('55_Codificacion_ensayo'!$D$5:$D$13,MATCH(B111,'55_Codificacion_ensayo'!$A$5:$A$13,0)),"")</x:f>
        <x:v>ORDEN_ACREDITADO</x:v>
      </x:c>
      <x:c r="W111" s="12" t="str">
        <x:f>IFERROR(INDEX('55_Codificacion_ensayo'!$E$5:$E$13,MATCH(B111,'55_Codificacion_ensayo'!$A$5:$A$13,0)),"")</x:f>
        <x:v>CAMBIO</x:v>
      </x:c>
      <x:c r="X111" s="12" t="str">
        <x:f>IFERROR(INDEX('55_Codificacion_ensayo'!$F$5:$F$13,MATCH(B111,'55_Codificacion_ensayo'!$A$5:$A$13,0)),"")</x:f>
        <x:v>CAMBIO</x:v>
      </x:c>
      <x:c r="Y111" s="12" t="str">
        <x:f>IFERROR(INDEX('55_Codificacion_ensayo'!$G$5:$G$13,MATCH(B111,'55_Codificacion_ensayo'!$A$5:$A$13,0)),"")</x:f>
      </x:c>
      <x:c r="Z111" s="12" t="str">
        <x:f>IFERROR(INDEX('55_Codificacion_ensayo'!$H$5:$H$13,MATCH(B111,'55_Codificacion_ensayo'!$A$5:$A$13,0)),"")</x:f>
        <x:v>NINGUNO</x:v>
      </x:c>
      <x:c r="AA111" s="12" t="str">
        <x:f>IFERROR(INDEX('55_Codificacion_ensayo'!$I$5:$I$13,MATCH(B111,'55_Codificacion_ensayo'!$A$5:$A$13,0)),"")</x:f>
        <x:v>CAMBIO_POSTERIOR</x:v>
      </x:c>
      <x:c r="AB111" s="12" t="str">
        <x:f>IFERROR(INDEX('55_Codificacion_ensayo'!$J$5:$J$13,MATCH(B111,'55_Codificacion_ensayo'!$A$5:$A$13,0)),"")</x:f>
        <x:v>SIN_CAMBIO_ACREDITADO</x:v>
      </x:c>
    </x:row>
    <x:row r="112" ht="47" customHeight="1">
      <x:c r="A112" s="4" t="str">
        <x:v>L10-09-11</x:v>
      </x:c>
      <x:c r="B112" s="4" t="str">
        <x:v>PAR-CYB-CAMBIO-COMPONENTE-POSTERIOR-001</x:v>
      </x:c>
      <x:c r="C112" s="4" t="str">
        <x:v>HISTORIA-CAMBIO-COMPONENTE-0.1</x:v>
      </x:c>
      <x:c r="D112" s="4" t="str">
        <x:v>COINCIDE</x:v>
      </x:c>
      <x:c r="E112" s="4" t="str">
        <x:v>LEGIBLE</x:v>
      </x:c>
      <x:c r="F112" s="4" t="str">
        <x:v>HISTORIA_BINARIA</x:v>
      </x:c>
      <x:c r="G112" s="4" t="str">
        <x:v>UNICA</x:v>
      </x:c>
      <x:c r="H112" s="4" t="str">
        <x:v>CAMBIO</x:v>
      </x:c>
      <x:c r="I112" s="4" t="str"/>
      <x:c r="J112" s="4" t="str">
        <x:v>PARCIAL</x:v>
      </x:c>
      <x:c r="K112" s="4" t="str">
        <x:v>ORDEN_ACREDITADO</x:v>
      </x:c>
      <x:c r="L112" s="4" t="str">
        <x:v>VALIDA</x:v>
      </x:c>
      <x:c r="M112" s="4" t="str">
        <x:v>1</x:v>
      </x:c>
      <x:c r="N112" s="4" t="str">
        <x:v>CAMBIO_POSTERIOR</x:v>
      </x:c>
      <x:c r="O112" s="12" t="str">
        <x:f>IF(Q112="SIN_EJECUCION_DOMINIO","FALLO_CAPTURA",IF(OR(Q112="CAPTURA_MAL_FORMADA",Q112="IDENTIDAD",Q112="OBSERVACION_MAL_FORMADA",Q112="LEXEMA_O_FORMA"),"NO_ADMISION",IF(OR(Q112="PERFIL_NO_CONSTITUIDO",Q112="RESULTADO_NO_TERMINAL"),"FUERA_PERFIL",IF(Q112="CONTEXTO_NO_CONSTITUIDO","CONFIGURACION_PENDIENTE","VALIDA"))))</x:f>
        <x:v>VALIDA</x:v>
      </x:c>
      <x:c r="P112" s="12" t="str">
        <x:f>IF(O112&lt;&gt;"VALIDA","",IF(Q112=AA112,"1",IF(Q112=AB112,"0","U")))</x:f>
        <x:v>1</x:v>
      </x:c>
      <x:c r="Q112" s="12" t="str">
        <x:f>IF(E112="FALLO","SIN_EJECUCION_DOMINIO",IF(E112&lt;&gt;"LEGIBLE","CAPTURA_MAL_FORMADA",IF(D112&lt;&gt;"COINCIDE","IDENTIDAD",IF(OR(T112="",C112&lt;&gt;T112),"PERFIL_NO_CONSTITUIDO",IF(K112&lt;&gt;V112,IF(V112="ORDEN_ACREDITADO","ORDEN_NO_ACREDITADO","CONTEXTO_NO_CONSTITUIDO"),IF(AND(G112="AUSENTE",H112="",I112=""),"DATO_AUSENTE",IF(AND(G112="CONFLICTO",H112="",I112=""),"CONFLICTO_OBSERVACIONAL",IF(G112&lt;&gt;"UNICA","OBSERVACION_MAL_FORMADA",IF(F112&lt;&gt;U112,"OBSERVACION_INSUFICIENTE",IF(W112="RESULTADO",IF(H112=X112,AA112,IF(OR(H112="orcSucceededWithErrors",H112="orcFailed",H112="orcAborted"),AB112,IF(OR(H112="orcNotStarted",H112="orcInProgress"),"RESULTADO_NO_TERMINAL","LEXEMA_O_FORMA"))),IF(W112="EVENTO_BOOT",IF(H112=X112,AA112,IF(OR(H112="NINGUNO",H112="SOLO_HIBRIDO"),IF(J112="COMPLETA",AB112,"COBERTURA_INSUFICIENTE"),"LEXEMA_O_FORMA")),IF(W112="REQUISITO_SOFT",IF(H112=X112,AA112,IF(H112=Z112,AB112,"LEXEMA_O_FORMA")),IF(W112="EVENTO_PROC",IF(H112=X112,AA112,IF(H112=Z112,IF(J112="COMPLETA",AB112,"COBERTURA_INSUFICIENTE"),"LEXEMA_O_FORMA")),IF(W112="IMAGEN",IF(AND(AND(ISTEXT(H112),LEN(("x"&amp;H112))=65,EXACT(("x"&amp;H112),LOWER(("x"&amp;H112))),ISERROR(SEARCH(" ",("x"&amp;H112))),ISERROR(SEARCH(CHAR(9),("x"&amp;H112))),ISERROR(SEARCH(CHAR(10),("x"&amp;H112))),ISERROR(SEARCH(CHAR(13),("x"&amp;H112))),IFERROR(HEX2DEC(MID(("x"&amp;H112),2,8))&gt;=0,FALSE),IFERROR(HEX2DEC(MID(("x"&amp;H112),10,8))&gt;=0,FALSE),IFERROR(HEX2DEC(MID(("x"&amp;H112),18,8))&gt;=0,FALSE),IFERROR(HEX2DEC(MID(("x"&amp;H112),26,8))&gt;=0,FALSE),IFERROR(HEX2DEC(MID(("x"&amp;H112),34,8))&gt;=0,FALSE),IFERROR(HEX2DEC(MID(("x"&amp;H112),42,8))&gt;=0,FALSE),IFERROR(HEX2DEC(MID(("x"&amp;H112),50,8))&gt;=0,FALSE),IFERROR(HEX2DEC(MID(("x"&amp;H112),58,8))&gt;=0,FALSE)),AND(ISTEXT(I112),LEN(("x"&amp;I112))=65,EXACT(("x"&amp;I112),LOWER(("x"&amp;I112))),ISERROR(SEARCH(" ",("x"&amp;I112))),ISERROR(SEARCH(CHAR(9),("x"&amp;I112))),ISERROR(SEARCH(CHAR(10),("x"&amp;I112))),ISERROR(SEARCH(CHAR(13),("x"&amp;I112))),IFERROR(HEX2DEC(MID(("x"&amp;I112),2,8))&gt;=0,FALSE),IFERROR(HEX2DEC(MID(("x"&amp;I112),10,8))&gt;=0,FALSE),IFERROR(HEX2DEC(MID(("x"&amp;I112),18,8))&gt;=0,FALSE),IFERROR(HEX2DEC(MID(("x"&amp;I112),26,8))&gt;=0,FALSE),IFERROR(HEX2DEC(MID(("x"&amp;I112),34,8))&gt;=0,FALSE),IFERROR(HEX2DEC(MID(("x"&amp;I112),42,8))&gt;=0,FALSE),IFERROR(HEX2DEC(MID(("x"&amp;I112),50,8))&gt;=0,FALSE),IFERROR(HEX2DEC(MID(("x"&amp;I112),58,8))&gt;=0,FALSE))),IF(EXACT("x"&amp;H112,"x"&amp;I112),AA112,AB112),"LEXEMA_O_FORMA"),IF(W112="PRUEBA",IF(H112=X112,AA112,IF(H112=Z112,AB112,"LEXEMA_O_FORMA")),IF(W112="RETIRADA",IF(AND(H112="NINGUNO",I112=""),IF(J112="COMPLETA",AB112,"COBERTURA_INSUFICIENTE"),IF(AND(OR(H112="uoInstallation",H112="uoUninstallation"),OR(I112="orcSucceeded",I112="orcSucceededWithErrors",I112="orcFailed",I112="orcAborted",I112="orcInProgress",I112="orcNotStarted")),IF(AND(H112=X112,I112=Y112),AA112,IF(AND(H112=X112,OR(I112="orcSucceededWithErrors",I112="orcInProgress",I112="orcNotStarted")),"RESULTADO_RETIRADA_INCIERTO",IF(J112="COMPLETA",AB112,"COBERTURA_INSUFICIENTE"))),"LEXEMA_O_FORMA")),IF(W112="CAMBIO",IF(OR(H112="CAMBIO",H112="CAMBIO_Y_RETORNO"),AA112,IF(OR(H112="NINGUNO",H112="SOLO_RENOMBRE"),IF(J112="COMPLETA",AB112,"COBERTURA_INSUFICIENTE"),"LEXEMA_O_FORMA")),IF(W112="RESTAURACION",IF(H112=X112,AA112,IF(OR(H112="NINGUNO",H112="RESTAURACION_POSTERIOR",H112="RESTAURACION_FALLIDA"),IF(J112="COMPLETA",AB112,"COBERTURA_INSUFICIENTE"),"LEXEMA_O_FORMA")),"PERFIL_NO_CONSTITUIDO"))))))))))))))))))</x:f>
        <x:v>CAMBIO_POSTERIOR</x:v>
      </x:c>
      <x:c r="R112" s="12" t="str">
        <x:f>IF(AND(L112=O112,M112=P112,N112=Q112),"PASA","NO_PASA")</x:f>
        <x:v>PASA</x:v>
      </x:c>
      <x:c r="S112" s="4" t="str">
        <x:v>Un testigo positivo acredita existencia aunque la historia restante sea parcial.</x:v>
      </x:c>
      <x:c r="T112" s="12" t="str">
        <x:f>IFERROR(INDEX('55_Codificacion_ensayo'!$B$5:$B$13,MATCH(B112,'55_Codificacion_ensayo'!$A$5:$A$13,0)),"")</x:f>
        <x:v>HISTORIA-CAMBIO-COMPONENTE-0.1</x:v>
      </x:c>
      <x:c r="U112" s="12" t="str">
        <x:f>IFERROR(INDEX('55_Codificacion_ensayo'!$C$5:$C$13,MATCH(B112,'55_Codificacion_ensayo'!$A$5:$A$13,0)),"")</x:f>
        <x:v>HISTORIA_BINARIA</x:v>
      </x:c>
      <x:c r="V112" s="12" t="str">
        <x:f>IFERROR(INDEX('55_Codificacion_ensayo'!$D$5:$D$13,MATCH(B112,'55_Codificacion_ensayo'!$A$5:$A$13,0)),"")</x:f>
        <x:v>ORDEN_ACREDITADO</x:v>
      </x:c>
      <x:c r="W112" s="12" t="str">
        <x:f>IFERROR(INDEX('55_Codificacion_ensayo'!$E$5:$E$13,MATCH(B112,'55_Codificacion_ensayo'!$A$5:$A$13,0)),"")</x:f>
        <x:v>CAMBIO</x:v>
      </x:c>
      <x:c r="X112" s="12" t="str">
        <x:f>IFERROR(INDEX('55_Codificacion_ensayo'!$F$5:$F$13,MATCH(B112,'55_Codificacion_ensayo'!$A$5:$A$13,0)),"")</x:f>
        <x:v>CAMBIO</x:v>
      </x:c>
      <x:c r="Y112" s="12" t="str">
        <x:f>IFERROR(INDEX('55_Codificacion_ensayo'!$G$5:$G$13,MATCH(B112,'55_Codificacion_ensayo'!$A$5:$A$13,0)),"")</x:f>
      </x:c>
      <x:c r="Z112" s="12" t="str">
        <x:f>IFERROR(INDEX('55_Codificacion_ensayo'!$H$5:$H$13,MATCH(B112,'55_Codificacion_ensayo'!$A$5:$A$13,0)),"")</x:f>
        <x:v>NINGUNO</x:v>
      </x:c>
      <x:c r="AA112" s="12" t="str">
        <x:f>IFERROR(INDEX('55_Codificacion_ensayo'!$I$5:$I$13,MATCH(B112,'55_Codificacion_ensayo'!$A$5:$A$13,0)),"")</x:f>
        <x:v>CAMBIO_POSTERIOR</x:v>
      </x:c>
      <x:c r="AB112" s="12" t="str">
        <x:f>IFERROR(INDEX('55_Codificacion_ensayo'!$J$5:$J$13,MATCH(B112,'55_Codificacion_ensayo'!$A$5:$A$13,0)),"")</x:f>
        <x:v>SIN_CAMBIO_ACREDITADO</x:v>
      </x:c>
    </x:row>
    <x:row r="113" ht="47" customHeight="1">
      <x:c r="A113" s="4" t="str">
        <x:v>L10-09-12</x:v>
      </x:c>
      <x:c r="B113" s="4" t="str">
        <x:v>PAR-CYB-CAMBIO-COMPONENTE-POSTERIOR-001</x:v>
      </x:c>
      <x:c r="C113" s="4" t="str">
        <x:v>HISTORIA-CAMBIO-COMPONENTE-0.1</x:v>
      </x:c>
      <x:c r="D113" s="4" t="str">
        <x:v>COINCIDE</x:v>
      </x:c>
      <x:c r="E113" s="4" t="str">
        <x:v>LEGIBLE</x:v>
      </x:c>
      <x:c r="F113" s="4" t="str">
        <x:v>HISTORIA_BINARIA</x:v>
      </x:c>
      <x:c r="G113" s="4" t="str">
        <x:v>UNICA</x:v>
      </x:c>
      <x:c r="H113" s="4" t="str">
        <x:v>CAMBIO</x:v>
      </x:c>
      <x:c r="I113" s="4" t="str"/>
      <x:c r="J113" s="4" t="str">
        <x:v>COMPLETA</x:v>
      </x:c>
      <x:c r="K113" s="4" t="str">
        <x:v>ORDEN_INCIERTO</x:v>
      </x:c>
      <x:c r="L113" s="4" t="str">
        <x:v>VALIDA</x:v>
      </x:c>
      <x:c r="M113" s="4" t="str">
        <x:v>U</x:v>
      </x:c>
      <x:c r="N113" s="4" t="str">
        <x:v>ORDEN_NO_ACREDITADO</x:v>
      </x:c>
      <x:c r="O113" s="12" t="str">
        <x:f>IF(Q113="SIN_EJECUCION_DOMINIO","FALLO_CAPTURA",IF(OR(Q113="CAPTURA_MAL_FORMADA",Q113="IDENTIDAD",Q113="OBSERVACION_MAL_FORMADA",Q113="LEXEMA_O_FORMA"),"NO_ADMISION",IF(OR(Q113="PERFIL_NO_CONSTITUIDO",Q113="RESULTADO_NO_TERMINAL"),"FUERA_PERFIL",IF(Q113="CONTEXTO_NO_CONSTITUIDO","CONFIGURACION_PENDIENTE","VALIDA"))))</x:f>
        <x:v>VALIDA</x:v>
      </x:c>
      <x:c r="P113" s="12" t="str">
        <x:f>IF(O113&lt;&gt;"VALIDA","",IF(Q113=AA113,"1",IF(Q113=AB113,"0","U")))</x:f>
        <x:v>U</x:v>
      </x:c>
      <x:c r="Q113" s="12" t="str">
        <x:f>IF(E113="FALLO","SIN_EJECUCION_DOMINIO",IF(E113&lt;&gt;"LEGIBLE","CAPTURA_MAL_FORMADA",IF(D113&lt;&gt;"COINCIDE","IDENTIDAD",IF(OR(T113="",C113&lt;&gt;T113),"PERFIL_NO_CONSTITUIDO",IF(K113&lt;&gt;V113,IF(V113="ORDEN_ACREDITADO","ORDEN_NO_ACREDITADO","CONTEXTO_NO_CONSTITUIDO"),IF(AND(G113="AUSENTE",H113="",I113=""),"DATO_AUSENTE",IF(AND(G113="CONFLICTO",H113="",I113=""),"CONFLICTO_OBSERVACIONAL",IF(G113&lt;&gt;"UNICA","OBSERVACION_MAL_FORMADA",IF(F113&lt;&gt;U113,"OBSERVACION_INSUFICIENTE",IF(W113="RESULTADO",IF(H113=X113,AA113,IF(OR(H113="orcSucceededWithErrors",H113="orcFailed",H113="orcAborted"),AB113,IF(OR(H113="orcNotStarted",H113="orcInProgress"),"RESULTADO_NO_TERMINAL","LEXEMA_O_FORMA"))),IF(W113="EVENTO_BOOT",IF(H113=X113,AA113,IF(OR(H113="NINGUNO",H113="SOLO_HIBRIDO"),IF(J113="COMPLETA",AB113,"COBERTURA_INSUFICIENTE"),"LEXEMA_O_FORMA")),IF(W113="REQUISITO_SOFT",IF(H113=X113,AA113,IF(H113=Z113,AB113,"LEXEMA_O_FORMA")),IF(W113="EVENTO_PROC",IF(H113=X113,AA113,IF(H113=Z113,IF(J113="COMPLETA",AB113,"COBERTURA_INSUFICIENTE"),"LEXEMA_O_FORMA")),IF(W113="IMAGEN",IF(AND(AND(ISTEXT(H113),LEN(("x"&amp;H113))=65,EXACT(("x"&amp;H113),LOWER(("x"&amp;H113))),ISERROR(SEARCH(" ",("x"&amp;H113))),ISERROR(SEARCH(CHAR(9),("x"&amp;H113))),ISERROR(SEARCH(CHAR(10),("x"&amp;H113))),ISERROR(SEARCH(CHAR(13),("x"&amp;H113))),IFERROR(HEX2DEC(MID(("x"&amp;H113),2,8))&gt;=0,FALSE),IFERROR(HEX2DEC(MID(("x"&amp;H113),10,8))&gt;=0,FALSE),IFERROR(HEX2DEC(MID(("x"&amp;H113),18,8))&gt;=0,FALSE),IFERROR(HEX2DEC(MID(("x"&amp;H113),26,8))&gt;=0,FALSE),IFERROR(HEX2DEC(MID(("x"&amp;H113),34,8))&gt;=0,FALSE),IFERROR(HEX2DEC(MID(("x"&amp;H113),42,8))&gt;=0,FALSE),IFERROR(HEX2DEC(MID(("x"&amp;H113),50,8))&gt;=0,FALSE),IFERROR(HEX2DEC(MID(("x"&amp;H113),58,8))&gt;=0,FALSE)),AND(ISTEXT(I113),LEN(("x"&amp;I113))=65,EXACT(("x"&amp;I113),LOWER(("x"&amp;I113))),ISERROR(SEARCH(" ",("x"&amp;I113))),ISERROR(SEARCH(CHAR(9),("x"&amp;I113))),ISERROR(SEARCH(CHAR(10),("x"&amp;I113))),ISERROR(SEARCH(CHAR(13),("x"&amp;I113))),IFERROR(HEX2DEC(MID(("x"&amp;I113),2,8))&gt;=0,FALSE),IFERROR(HEX2DEC(MID(("x"&amp;I113),10,8))&gt;=0,FALSE),IFERROR(HEX2DEC(MID(("x"&amp;I113),18,8))&gt;=0,FALSE),IFERROR(HEX2DEC(MID(("x"&amp;I113),26,8))&gt;=0,FALSE),IFERROR(HEX2DEC(MID(("x"&amp;I113),34,8))&gt;=0,FALSE),IFERROR(HEX2DEC(MID(("x"&amp;I113),42,8))&gt;=0,FALSE),IFERROR(HEX2DEC(MID(("x"&amp;I113),50,8))&gt;=0,FALSE),IFERROR(HEX2DEC(MID(("x"&amp;I113),58,8))&gt;=0,FALSE))),IF(EXACT("x"&amp;H113,"x"&amp;I113),AA113,AB113),"LEXEMA_O_FORMA"),IF(W113="PRUEBA",IF(H113=X113,AA113,IF(H113=Z113,AB113,"LEXEMA_O_FORMA")),IF(W113="RETIRADA",IF(AND(H113="NINGUNO",I113=""),IF(J113="COMPLETA",AB113,"COBERTURA_INSUFICIENTE"),IF(AND(OR(H113="uoInstallation",H113="uoUninstallation"),OR(I113="orcSucceeded",I113="orcSucceededWithErrors",I113="orcFailed",I113="orcAborted",I113="orcInProgress",I113="orcNotStarted")),IF(AND(H113=X113,I113=Y113),AA113,IF(AND(H113=X113,OR(I113="orcSucceededWithErrors",I113="orcInProgress",I113="orcNotStarted")),"RESULTADO_RETIRADA_INCIERTO",IF(J113="COMPLETA",AB113,"COBERTURA_INSUFICIENTE"))),"LEXEMA_O_FORMA")),IF(W113="CAMBIO",IF(OR(H113="CAMBIO",H113="CAMBIO_Y_RETORNO"),AA113,IF(OR(H113="NINGUNO",H113="SOLO_RENOMBRE"),IF(J113="COMPLETA",AB113,"COBERTURA_INSUFICIENTE"),"LEXEMA_O_FORMA")),IF(W113="RESTAURACION",IF(H113=X113,AA113,IF(OR(H113="NINGUNO",H113="RESTAURACION_POSTERIOR",H113="RESTAURACION_FALLIDA"),IF(J113="COMPLETA",AB113,"COBERTURA_INSUFICIENTE"),"LEXEMA_O_FORMA")),"PERFIL_NO_CONSTITUIDO"))))))))))))))))))</x:f>
        <x:v>ORDEN_NO_ACREDITADO</x:v>
      </x:c>
      <x:c r="R113" s="12" t="str">
        <x:f>IF(AND(L113=O113,M113=P113,N113=Q113),"PASA","NO_PASA")</x:f>
        <x:v>PASA</x:v>
      </x:c>
      <x:c r="S113" s="4" t="str">
        <x:v>El orden no está acreditado; la mera fecha no prueba posterioridad.</x:v>
      </x:c>
      <x:c r="T113" s="12" t="str">
        <x:f>IFERROR(INDEX('55_Codificacion_ensayo'!$B$5:$B$13,MATCH(B113,'55_Codificacion_ensayo'!$A$5:$A$13,0)),"")</x:f>
        <x:v>HISTORIA-CAMBIO-COMPONENTE-0.1</x:v>
      </x:c>
      <x:c r="U113" s="12" t="str">
        <x:f>IFERROR(INDEX('55_Codificacion_ensayo'!$C$5:$C$13,MATCH(B113,'55_Codificacion_ensayo'!$A$5:$A$13,0)),"")</x:f>
        <x:v>HISTORIA_BINARIA</x:v>
      </x:c>
      <x:c r="V113" s="12" t="str">
        <x:f>IFERROR(INDEX('55_Codificacion_ensayo'!$D$5:$D$13,MATCH(B113,'55_Codificacion_ensayo'!$A$5:$A$13,0)),"")</x:f>
        <x:v>ORDEN_ACREDITADO</x:v>
      </x:c>
      <x:c r="W113" s="12" t="str">
        <x:f>IFERROR(INDEX('55_Codificacion_ensayo'!$E$5:$E$13,MATCH(B113,'55_Codificacion_ensayo'!$A$5:$A$13,0)),"")</x:f>
        <x:v>CAMBIO</x:v>
      </x:c>
      <x:c r="X113" s="12" t="str">
        <x:f>IFERROR(INDEX('55_Codificacion_ensayo'!$F$5:$F$13,MATCH(B113,'55_Codificacion_ensayo'!$A$5:$A$13,0)),"")</x:f>
        <x:v>CAMBIO</x:v>
      </x:c>
      <x:c r="Y113" s="12" t="str">
        <x:f>IFERROR(INDEX('55_Codificacion_ensayo'!$G$5:$G$13,MATCH(B113,'55_Codificacion_ensayo'!$A$5:$A$13,0)),"")</x:f>
      </x:c>
      <x:c r="Z113" s="12" t="str">
        <x:f>IFERROR(INDEX('55_Codificacion_ensayo'!$H$5:$H$13,MATCH(B113,'55_Codificacion_ensayo'!$A$5:$A$13,0)),"")</x:f>
        <x:v>NINGUNO</x:v>
      </x:c>
      <x:c r="AA113" s="12" t="str">
        <x:f>IFERROR(INDEX('55_Codificacion_ensayo'!$I$5:$I$13,MATCH(B113,'55_Codificacion_ensayo'!$A$5:$A$13,0)),"")</x:f>
        <x:v>CAMBIO_POSTERIOR</x:v>
      </x:c>
      <x:c r="AB113" s="12" t="str">
        <x:f>IFERROR(INDEX('55_Codificacion_ensayo'!$J$5:$J$13,MATCH(B113,'55_Codificacion_ensayo'!$A$5:$A$13,0)),"")</x:f>
        <x:v>SIN_CAMBIO_ACREDITADO</x:v>
      </x:c>
    </x:row>
    <x:row r="114" ht="47" customHeight="1">
      <x:c r="A114" s="4" t="str">
        <x:v>L10-09-13</x:v>
      </x:c>
      <x:c r="B114" s="4" t="str">
        <x:v>PAR-CYB-CAMBIO-COMPONENTE-POSTERIOR-001</x:v>
      </x:c>
      <x:c r="C114" s="4" t="str">
        <x:v>HISTORIA-CAMBIO-COMPONENTE-0.1</x:v>
      </x:c>
      <x:c r="D114" s="4" t="str">
        <x:v>COINCIDE</x:v>
      </x:c>
      <x:c r="E114" s="4" t="str">
        <x:v>LEGIBLE</x:v>
      </x:c>
      <x:c r="F114" s="4" t="str">
        <x:v>HISTORIA_BINARIA</x:v>
      </x:c>
      <x:c r="G114" s="4" t="str">
        <x:v>UNICA</x:v>
      </x:c>
      <x:c r="H114" s="4" t="str">
        <x:v>CAMBIO_Y_RETORNO</x:v>
      </x:c>
      <x:c r="I114" s="4" t="str"/>
      <x:c r="J114" s="4" t="str">
        <x:v>COMPLETA</x:v>
      </x:c>
      <x:c r="K114" s="4" t="str">
        <x:v>ORDEN_ACREDITADO</x:v>
      </x:c>
      <x:c r="L114" s="4" t="str">
        <x:v>VALIDA</x:v>
      </x:c>
      <x:c r="M114" s="4" t="str">
        <x:v>1</x:v>
      </x:c>
      <x:c r="N114" s="4" t="str">
        <x:v>CAMBIO_POSTERIOR</x:v>
      </x:c>
      <x:c r="O114" s="12" t="str">
        <x:f>IF(Q114="SIN_EJECUCION_DOMINIO","FALLO_CAPTURA",IF(OR(Q114="CAPTURA_MAL_FORMADA",Q114="IDENTIDAD",Q114="OBSERVACION_MAL_FORMADA",Q114="LEXEMA_O_FORMA"),"NO_ADMISION",IF(OR(Q114="PERFIL_NO_CONSTITUIDO",Q114="RESULTADO_NO_TERMINAL"),"FUERA_PERFIL",IF(Q114="CONTEXTO_NO_CONSTITUIDO","CONFIGURACION_PENDIENTE","VALIDA"))))</x:f>
        <x:v>VALIDA</x:v>
      </x:c>
      <x:c r="P114" s="12" t="str">
        <x:f>IF(O114&lt;&gt;"VALIDA","",IF(Q114=AA114,"1",IF(Q114=AB114,"0","U")))</x:f>
        <x:v>1</x:v>
      </x:c>
      <x:c r="Q114" s="12" t="str">
        <x:f>IF(E114="FALLO","SIN_EJECUCION_DOMINIO",IF(E114&lt;&gt;"LEGIBLE","CAPTURA_MAL_FORMADA",IF(D114&lt;&gt;"COINCIDE","IDENTIDAD",IF(OR(T114="",C114&lt;&gt;T114),"PERFIL_NO_CONSTITUIDO",IF(K114&lt;&gt;V114,IF(V114="ORDEN_ACREDITADO","ORDEN_NO_ACREDITADO","CONTEXTO_NO_CONSTITUIDO"),IF(AND(G114="AUSENTE",H114="",I114=""),"DATO_AUSENTE",IF(AND(G114="CONFLICTO",H114="",I114=""),"CONFLICTO_OBSERVACIONAL",IF(G114&lt;&gt;"UNICA","OBSERVACION_MAL_FORMADA",IF(F114&lt;&gt;U114,"OBSERVACION_INSUFICIENTE",IF(W114="RESULTADO",IF(H114=X114,AA114,IF(OR(H114="orcSucceededWithErrors",H114="orcFailed",H114="orcAborted"),AB114,IF(OR(H114="orcNotStarted",H114="orcInProgress"),"RESULTADO_NO_TERMINAL","LEXEMA_O_FORMA"))),IF(W114="EVENTO_BOOT",IF(H114=X114,AA114,IF(OR(H114="NINGUNO",H114="SOLO_HIBRIDO"),IF(J114="COMPLETA",AB114,"COBERTURA_INSUFICIENTE"),"LEXEMA_O_FORMA")),IF(W114="REQUISITO_SOFT",IF(H114=X114,AA114,IF(H114=Z114,AB114,"LEXEMA_O_FORMA")),IF(W114="EVENTO_PROC",IF(H114=X114,AA114,IF(H114=Z114,IF(J114="COMPLETA",AB114,"COBERTURA_INSUFICIENTE"),"LEXEMA_O_FORMA")),IF(W114="IMAGEN",IF(AND(AND(ISTEXT(H114),LEN(("x"&amp;H114))=65,EXACT(("x"&amp;H114),LOWER(("x"&amp;H114))),ISERROR(SEARCH(" ",("x"&amp;H114))),ISERROR(SEARCH(CHAR(9),("x"&amp;H114))),ISERROR(SEARCH(CHAR(10),("x"&amp;H114))),ISERROR(SEARCH(CHAR(13),("x"&amp;H114))),IFERROR(HEX2DEC(MID(("x"&amp;H114),2,8))&gt;=0,FALSE),IFERROR(HEX2DEC(MID(("x"&amp;H114),10,8))&gt;=0,FALSE),IFERROR(HEX2DEC(MID(("x"&amp;H114),18,8))&gt;=0,FALSE),IFERROR(HEX2DEC(MID(("x"&amp;H114),26,8))&gt;=0,FALSE),IFERROR(HEX2DEC(MID(("x"&amp;H114),34,8))&gt;=0,FALSE),IFERROR(HEX2DEC(MID(("x"&amp;H114),42,8))&gt;=0,FALSE),IFERROR(HEX2DEC(MID(("x"&amp;H114),50,8))&gt;=0,FALSE),IFERROR(HEX2DEC(MID(("x"&amp;H114),58,8))&gt;=0,FALSE)),AND(ISTEXT(I114),LEN(("x"&amp;I114))=65,EXACT(("x"&amp;I114),LOWER(("x"&amp;I114))),ISERROR(SEARCH(" ",("x"&amp;I114))),ISERROR(SEARCH(CHAR(9),("x"&amp;I114))),ISERROR(SEARCH(CHAR(10),("x"&amp;I114))),ISERROR(SEARCH(CHAR(13),("x"&amp;I114))),IFERROR(HEX2DEC(MID(("x"&amp;I114),2,8))&gt;=0,FALSE),IFERROR(HEX2DEC(MID(("x"&amp;I114),10,8))&gt;=0,FALSE),IFERROR(HEX2DEC(MID(("x"&amp;I114),18,8))&gt;=0,FALSE),IFERROR(HEX2DEC(MID(("x"&amp;I114),26,8))&gt;=0,FALSE),IFERROR(HEX2DEC(MID(("x"&amp;I114),34,8))&gt;=0,FALSE),IFERROR(HEX2DEC(MID(("x"&amp;I114),42,8))&gt;=0,FALSE),IFERROR(HEX2DEC(MID(("x"&amp;I114),50,8))&gt;=0,FALSE),IFERROR(HEX2DEC(MID(("x"&amp;I114),58,8))&gt;=0,FALSE))),IF(EXACT("x"&amp;H114,"x"&amp;I114),AA114,AB114),"LEXEMA_O_FORMA"),IF(W114="PRUEBA",IF(H114=X114,AA114,IF(H114=Z114,AB114,"LEXEMA_O_FORMA")),IF(W114="RETIRADA",IF(AND(H114="NINGUNO",I114=""),IF(J114="COMPLETA",AB114,"COBERTURA_INSUFICIENTE"),IF(AND(OR(H114="uoInstallation",H114="uoUninstallation"),OR(I114="orcSucceeded",I114="orcSucceededWithErrors",I114="orcFailed",I114="orcAborted",I114="orcInProgress",I114="orcNotStarted")),IF(AND(H114=X114,I114=Y114),AA114,IF(AND(H114=X114,OR(I114="orcSucceededWithErrors",I114="orcInProgress",I114="orcNotStarted")),"RESULTADO_RETIRADA_INCIERTO",IF(J114="COMPLETA",AB114,"COBERTURA_INSUFICIENTE"))),"LEXEMA_O_FORMA")),IF(W114="CAMBIO",IF(OR(H114="CAMBIO",H114="CAMBIO_Y_RETORNO"),AA114,IF(OR(H114="NINGUNO",H114="SOLO_RENOMBRE"),IF(J114="COMPLETA",AB114,"COBERTURA_INSUFICIENTE"),"LEXEMA_O_FORMA")),IF(W114="RESTAURACION",IF(H114=X114,AA114,IF(OR(H114="NINGUNO",H114="RESTAURACION_POSTERIOR",H114="RESTAURACION_FALLIDA"),IF(J114="COMPLETA",AB114,"COBERTURA_INSUFICIENTE"),"LEXEMA_O_FORMA")),"PERFIL_NO_CONSTITUIDO"))))))))))))))))))</x:f>
        <x:v>CAMBIO_POSTERIOR</x:v>
      </x:c>
      <x:c r="R114" s="12" t="str">
        <x:f>IF(AND(L114=O114,M114=P114,N114=Q114),"PASA","NO_PASA")</x:f>
        <x:v>PASA</x:v>
      </x:c>
      <x:c r="S114" s="4" t="str">
        <x:v>Cambio seguido de retorno conserva el evento aunque coincidan extremos.</x:v>
      </x:c>
      <x:c r="T114" s="12" t="str">
        <x:f>IFERROR(INDEX('55_Codificacion_ensayo'!$B$5:$B$13,MATCH(B114,'55_Codificacion_ensayo'!$A$5:$A$13,0)),"")</x:f>
        <x:v>HISTORIA-CAMBIO-COMPONENTE-0.1</x:v>
      </x:c>
      <x:c r="U114" s="12" t="str">
        <x:f>IFERROR(INDEX('55_Codificacion_ensayo'!$C$5:$C$13,MATCH(B114,'55_Codificacion_ensayo'!$A$5:$A$13,0)),"")</x:f>
        <x:v>HISTORIA_BINARIA</x:v>
      </x:c>
      <x:c r="V114" s="12" t="str">
        <x:f>IFERROR(INDEX('55_Codificacion_ensayo'!$D$5:$D$13,MATCH(B114,'55_Codificacion_ensayo'!$A$5:$A$13,0)),"")</x:f>
        <x:v>ORDEN_ACREDITADO</x:v>
      </x:c>
      <x:c r="W114" s="12" t="str">
        <x:f>IFERROR(INDEX('55_Codificacion_ensayo'!$E$5:$E$13,MATCH(B114,'55_Codificacion_ensayo'!$A$5:$A$13,0)),"")</x:f>
        <x:v>CAMBIO</x:v>
      </x:c>
      <x:c r="X114" s="12" t="str">
        <x:f>IFERROR(INDEX('55_Codificacion_ensayo'!$F$5:$F$13,MATCH(B114,'55_Codificacion_ensayo'!$A$5:$A$13,0)),"")</x:f>
        <x:v>CAMBIO</x:v>
      </x:c>
      <x:c r="Y114" s="12" t="str">
        <x:f>IFERROR(INDEX('55_Codificacion_ensayo'!$G$5:$G$13,MATCH(B114,'55_Codificacion_ensayo'!$A$5:$A$13,0)),"")</x:f>
      </x:c>
      <x:c r="Z114" s="12" t="str">
        <x:f>IFERROR(INDEX('55_Codificacion_ensayo'!$H$5:$H$13,MATCH(B114,'55_Codificacion_ensayo'!$A$5:$A$13,0)),"")</x:f>
        <x:v>NINGUNO</x:v>
      </x:c>
      <x:c r="AA114" s="12" t="str">
        <x:f>IFERROR(INDEX('55_Codificacion_ensayo'!$I$5:$I$13,MATCH(B114,'55_Codificacion_ensayo'!$A$5:$A$13,0)),"")</x:f>
        <x:v>CAMBIO_POSTERIOR</x:v>
      </x:c>
      <x:c r="AB114" s="12" t="str">
        <x:f>IFERROR(INDEX('55_Codificacion_ensayo'!$J$5:$J$13,MATCH(B114,'55_Codificacion_ensayo'!$A$5:$A$13,0)),"")</x:f>
        <x:v>SIN_CAMBIO_ACREDITADO</x:v>
      </x:c>
    </x:row>
    <x:row r="115" ht="47" customHeight="1">
      <x:c r="A115" s="4" t="str">
        <x:v>L10-09-14</x:v>
      </x:c>
      <x:c r="B115" s="4" t="str">
        <x:v>PAR-CYB-CAMBIO-COMPONENTE-POSTERIOR-001</x:v>
      </x:c>
      <x:c r="C115" s="4" t="str">
        <x:v>HISTORIA-CAMBIO-COMPONENTE-0.1</x:v>
      </x:c>
      <x:c r="D115" s="4" t="str">
        <x:v>COINCIDE</x:v>
      </x:c>
      <x:c r="E115" s="4" t="str">
        <x:v>LEGIBLE</x:v>
      </x:c>
      <x:c r="F115" s="4" t="str">
        <x:v>SOLO_EXTREMOS</x:v>
      </x:c>
      <x:c r="G115" s="4" t="str">
        <x:v>UNICA</x:v>
      </x:c>
      <x:c r="H115" s="4" t="str">
        <x:v>CAMBIO</x:v>
      </x:c>
      <x:c r="I115" s="4" t="str"/>
      <x:c r="J115" s="4" t="str">
        <x:v>COMPLETA</x:v>
      </x:c>
      <x:c r="K115" s="4" t="str">
        <x:v>ORDEN_ACREDITADO</x:v>
      </x:c>
      <x:c r="L115" s="4" t="str">
        <x:v>VALIDA</x:v>
      </x:c>
      <x:c r="M115" s="4" t="str">
        <x:v>U</x:v>
      </x:c>
      <x:c r="N115" s="4" t="str">
        <x:v>OBSERVACION_INSUFICIENTE</x:v>
      </x:c>
      <x:c r="O115" s="12" t="str">
        <x:f>IF(Q115="SIN_EJECUCION_DOMINIO","FALLO_CAPTURA",IF(OR(Q115="CAPTURA_MAL_FORMADA",Q115="IDENTIDAD",Q115="OBSERVACION_MAL_FORMADA",Q115="LEXEMA_O_FORMA"),"NO_ADMISION",IF(OR(Q115="PERFIL_NO_CONSTITUIDO",Q115="RESULTADO_NO_TERMINAL"),"FUERA_PERFIL",IF(Q115="CONTEXTO_NO_CONSTITUIDO","CONFIGURACION_PENDIENTE","VALIDA"))))</x:f>
        <x:v>VALIDA</x:v>
      </x:c>
      <x:c r="P115" s="12" t="str">
        <x:f>IF(O115&lt;&gt;"VALIDA","",IF(Q115=AA115,"1",IF(Q115=AB115,"0","U")))</x:f>
        <x:v>U</x:v>
      </x:c>
      <x:c r="Q115" s="12" t="str">
        <x:f>IF(E115="FALLO","SIN_EJECUCION_DOMINIO",IF(E115&lt;&gt;"LEGIBLE","CAPTURA_MAL_FORMADA",IF(D115&lt;&gt;"COINCIDE","IDENTIDAD",IF(OR(T115="",C115&lt;&gt;T115),"PERFIL_NO_CONSTITUIDO",IF(K115&lt;&gt;V115,IF(V115="ORDEN_ACREDITADO","ORDEN_NO_ACREDITADO","CONTEXTO_NO_CONSTITUIDO"),IF(AND(G115="AUSENTE",H115="",I115=""),"DATO_AUSENTE",IF(AND(G115="CONFLICTO",H115="",I115=""),"CONFLICTO_OBSERVACIONAL",IF(G115&lt;&gt;"UNICA","OBSERVACION_MAL_FORMADA",IF(F115&lt;&gt;U115,"OBSERVACION_INSUFICIENTE",IF(W115="RESULTADO",IF(H115=X115,AA115,IF(OR(H115="orcSucceededWithErrors",H115="orcFailed",H115="orcAborted"),AB115,IF(OR(H115="orcNotStarted",H115="orcInProgress"),"RESULTADO_NO_TERMINAL","LEXEMA_O_FORMA"))),IF(W115="EVENTO_BOOT",IF(H115=X115,AA115,IF(OR(H115="NINGUNO",H115="SOLO_HIBRIDO"),IF(J115="COMPLETA",AB115,"COBERTURA_INSUFICIENTE"),"LEXEMA_O_FORMA")),IF(W115="REQUISITO_SOFT",IF(H115=X115,AA115,IF(H115=Z115,AB115,"LEXEMA_O_FORMA")),IF(W115="EVENTO_PROC",IF(H115=X115,AA115,IF(H115=Z115,IF(J115="COMPLETA",AB115,"COBERTURA_INSUFICIENTE"),"LEXEMA_O_FORMA")),IF(W115="IMAGEN",IF(AND(AND(ISTEXT(H115),LEN(("x"&amp;H115))=65,EXACT(("x"&amp;H115),LOWER(("x"&amp;H115))),ISERROR(SEARCH(" ",("x"&amp;H115))),ISERROR(SEARCH(CHAR(9),("x"&amp;H115))),ISERROR(SEARCH(CHAR(10),("x"&amp;H115))),ISERROR(SEARCH(CHAR(13),("x"&amp;H115))),IFERROR(HEX2DEC(MID(("x"&amp;H115),2,8))&gt;=0,FALSE),IFERROR(HEX2DEC(MID(("x"&amp;H115),10,8))&gt;=0,FALSE),IFERROR(HEX2DEC(MID(("x"&amp;H115),18,8))&gt;=0,FALSE),IFERROR(HEX2DEC(MID(("x"&amp;H115),26,8))&gt;=0,FALSE),IFERROR(HEX2DEC(MID(("x"&amp;H115),34,8))&gt;=0,FALSE),IFERROR(HEX2DEC(MID(("x"&amp;H115),42,8))&gt;=0,FALSE),IFERROR(HEX2DEC(MID(("x"&amp;H115),50,8))&gt;=0,FALSE),IFERROR(HEX2DEC(MID(("x"&amp;H115),58,8))&gt;=0,FALSE)),AND(ISTEXT(I115),LEN(("x"&amp;I115))=65,EXACT(("x"&amp;I115),LOWER(("x"&amp;I115))),ISERROR(SEARCH(" ",("x"&amp;I115))),ISERROR(SEARCH(CHAR(9),("x"&amp;I115))),ISERROR(SEARCH(CHAR(10),("x"&amp;I115))),ISERROR(SEARCH(CHAR(13),("x"&amp;I115))),IFERROR(HEX2DEC(MID(("x"&amp;I115),2,8))&gt;=0,FALSE),IFERROR(HEX2DEC(MID(("x"&amp;I115),10,8))&gt;=0,FALSE),IFERROR(HEX2DEC(MID(("x"&amp;I115),18,8))&gt;=0,FALSE),IFERROR(HEX2DEC(MID(("x"&amp;I115),26,8))&gt;=0,FALSE),IFERROR(HEX2DEC(MID(("x"&amp;I115),34,8))&gt;=0,FALSE),IFERROR(HEX2DEC(MID(("x"&amp;I115),42,8))&gt;=0,FALSE),IFERROR(HEX2DEC(MID(("x"&amp;I115),50,8))&gt;=0,FALSE),IFERROR(HEX2DEC(MID(("x"&amp;I115),58,8))&gt;=0,FALSE))),IF(EXACT("x"&amp;H115,"x"&amp;I115),AA115,AB115),"LEXEMA_O_FORMA"),IF(W115="PRUEBA",IF(H115=X115,AA115,IF(H115=Z115,AB115,"LEXEMA_O_FORMA")),IF(W115="RETIRADA",IF(AND(H115="NINGUNO",I115=""),IF(J115="COMPLETA",AB115,"COBERTURA_INSUFICIENTE"),IF(AND(OR(H115="uoInstallation",H115="uoUninstallation"),OR(I115="orcSucceeded",I115="orcSucceededWithErrors",I115="orcFailed",I115="orcAborted",I115="orcInProgress",I115="orcNotStarted")),IF(AND(H115=X115,I115=Y115),AA115,IF(AND(H115=X115,OR(I115="orcSucceededWithErrors",I115="orcInProgress",I115="orcNotStarted")),"RESULTADO_RETIRADA_INCIERTO",IF(J115="COMPLETA",AB115,"COBERTURA_INSUFICIENTE"))),"LEXEMA_O_FORMA")),IF(W115="CAMBIO",IF(OR(H115="CAMBIO",H115="CAMBIO_Y_RETORNO"),AA115,IF(OR(H115="NINGUNO",H115="SOLO_RENOMBRE"),IF(J115="COMPLETA",AB115,"COBERTURA_INSUFICIENTE"),"LEXEMA_O_FORMA")),IF(W115="RESTAURACION",IF(H115=X115,AA115,IF(OR(H115="NINGUNO",H115="RESTAURACION_POSTERIOR",H115="RESTAURACION_FALLIDA"),IF(J115="COMPLETA",AB115,"COBERTURA_INSUFICIENTE"),"LEXEMA_O_FORMA")),"PERFIL_NO_CONSTITUIDO"))))))))))))))))))</x:f>
        <x:v>OBSERVACION_INSUFICIENTE</x:v>
      </x:c>
      <x:c r="R115" s="12" t="str">
        <x:f>IF(AND(L115=O115,M115=P115,N115=Q115),"PASA","NO_PASA")</x:f>
        <x:v>PASA</x:v>
      </x:c>
      <x:c r="S115" s="4" t="str">
        <x:v>Igualdad de estados extremos sin historia no prueba ausencia de cambios.</x:v>
      </x:c>
      <x:c r="T115" s="12" t="str">
        <x:f>IFERROR(INDEX('55_Codificacion_ensayo'!$B$5:$B$13,MATCH(B115,'55_Codificacion_ensayo'!$A$5:$A$13,0)),"")</x:f>
        <x:v>HISTORIA-CAMBIO-COMPONENTE-0.1</x:v>
      </x:c>
      <x:c r="U115" s="12" t="str">
        <x:f>IFERROR(INDEX('55_Codificacion_ensayo'!$C$5:$C$13,MATCH(B115,'55_Codificacion_ensayo'!$A$5:$A$13,0)),"")</x:f>
        <x:v>HISTORIA_BINARIA</x:v>
      </x:c>
      <x:c r="V115" s="12" t="str">
        <x:f>IFERROR(INDEX('55_Codificacion_ensayo'!$D$5:$D$13,MATCH(B115,'55_Codificacion_ensayo'!$A$5:$A$13,0)),"")</x:f>
        <x:v>ORDEN_ACREDITADO</x:v>
      </x:c>
      <x:c r="W115" s="12" t="str">
        <x:f>IFERROR(INDEX('55_Codificacion_ensayo'!$E$5:$E$13,MATCH(B115,'55_Codificacion_ensayo'!$A$5:$A$13,0)),"")</x:f>
        <x:v>CAMBIO</x:v>
      </x:c>
      <x:c r="X115" s="12" t="str">
        <x:f>IFERROR(INDEX('55_Codificacion_ensayo'!$F$5:$F$13,MATCH(B115,'55_Codificacion_ensayo'!$A$5:$A$13,0)),"")</x:f>
        <x:v>CAMBIO</x:v>
      </x:c>
      <x:c r="Y115" s="12" t="str">
        <x:f>IFERROR(INDEX('55_Codificacion_ensayo'!$G$5:$G$13,MATCH(B115,'55_Codificacion_ensayo'!$A$5:$A$13,0)),"")</x:f>
      </x:c>
      <x:c r="Z115" s="12" t="str">
        <x:f>IFERROR(INDEX('55_Codificacion_ensayo'!$H$5:$H$13,MATCH(B115,'55_Codificacion_ensayo'!$A$5:$A$13,0)),"")</x:f>
        <x:v>NINGUNO</x:v>
      </x:c>
      <x:c r="AA115" s="12" t="str">
        <x:f>IFERROR(INDEX('55_Codificacion_ensayo'!$I$5:$I$13,MATCH(B115,'55_Codificacion_ensayo'!$A$5:$A$13,0)),"")</x:f>
        <x:v>CAMBIO_POSTERIOR</x:v>
      </x:c>
      <x:c r="AB115" s="12" t="str">
        <x:f>IFERROR(INDEX('55_Codificacion_ensayo'!$J$5:$J$13,MATCH(B115,'55_Codificacion_ensayo'!$A$5:$A$13,0)),"")</x:f>
        <x:v>SIN_CAMBIO_ACREDITADO</x:v>
      </x:c>
    </x:row>
    <x:row r="116" ht="47" customHeight="1">
      <x:c r="A116" s="4" t="str">
        <x:v>L10-09-15</x:v>
      </x:c>
      <x:c r="B116" s="4" t="str">
        <x:v>PAR-CYB-CAMBIO-COMPONENTE-POSTERIOR-001</x:v>
      </x:c>
      <x:c r="C116" s="4" t="str">
        <x:v>HISTORIA-CAMBIO-COMPONENTE-0.1</x:v>
      </x:c>
      <x:c r="D116" s="4" t="str">
        <x:v>COINCIDE</x:v>
      </x:c>
      <x:c r="E116" s="4" t="str">
        <x:v>LEGIBLE</x:v>
      </x:c>
      <x:c r="F116" s="4" t="str">
        <x:v>HISTORIA_BINARIA</x:v>
      </x:c>
      <x:c r="G116" s="4" t="str">
        <x:v>UNICA</x:v>
      </x:c>
      <x:c r="H116" s="4" t="str">
        <x:v>SOLO_RENOMBRE</x:v>
      </x:c>
      <x:c r="I116" s="4" t="str"/>
      <x:c r="J116" s="4" t="str">
        <x:v>COMPLETA</x:v>
      </x:c>
      <x:c r="K116" s="4" t="str">
        <x:v>ORDEN_ACREDITADO</x:v>
      </x:c>
      <x:c r="L116" s="4" t="str">
        <x:v>VALIDA</x:v>
      </x:c>
      <x:c r="M116" s="4" t="str">
        <x:v>0</x:v>
      </x:c>
      <x:c r="N116" s="4" t="str">
        <x:v>SIN_CAMBIO_ACREDITADO</x:v>
      </x:c>
      <x:c r="O116" s="12" t="str">
        <x:f>IF(Q116="SIN_EJECUCION_DOMINIO","FALLO_CAPTURA",IF(OR(Q116="CAPTURA_MAL_FORMADA",Q116="IDENTIDAD",Q116="OBSERVACION_MAL_FORMADA",Q116="LEXEMA_O_FORMA"),"NO_ADMISION",IF(OR(Q116="PERFIL_NO_CONSTITUIDO",Q116="RESULTADO_NO_TERMINAL"),"FUERA_PERFIL",IF(Q116="CONTEXTO_NO_CONSTITUIDO","CONFIGURACION_PENDIENTE","VALIDA"))))</x:f>
        <x:v>VALIDA</x:v>
      </x:c>
      <x:c r="P116" s="12" t="str">
        <x:f>IF(O116&lt;&gt;"VALIDA","",IF(Q116=AA116,"1",IF(Q116=AB116,"0","U")))</x:f>
        <x:v>0</x:v>
      </x:c>
      <x:c r="Q116" s="12" t="str">
        <x:f>IF(E116="FALLO","SIN_EJECUCION_DOMINIO",IF(E116&lt;&gt;"LEGIBLE","CAPTURA_MAL_FORMADA",IF(D116&lt;&gt;"COINCIDE","IDENTIDAD",IF(OR(T116="",C116&lt;&gt;T116),"PERFIL_NO_CONSTITUIDO",IF(K116&lt;&gt;V116,IF(V116="ORDEN_ACREDITADO","ORDEN_NO_ACREDITADO","CONTEXTO_NO_CONSTITUIDO"),IF(AND(G116="AUSENTE",H116="",I116=""),"DATO_AUSENTE",IF(AND(G116="CONFLICTO",H116="",I116=""),"CONFLICTO_OBSERVACIONAL",IF(G116&lt;&gt;"UNICA","OBSERVACION_MAL_FORMADA",IF(F116&lt;&gt;U116,"OBSERVACION_INSUFICIENTE",IF(W116="RESULTADO",IF(H116=X116,AA116,IF(OR(H116="orcSucceededWithErrors",H116="orcFailed",H116="orcAborted"),AB116,IF(OR(H116="orcNotStarted",H116="orcInProgress"),"RESULTADO_NO_TERMINAL","LEXEMA_O_FORMA"))),IF(W116="EVENTO_BOOT",IF(H116=X116,AA116,IF(OR(H116="NINGUNO",H116="SOLO_HIBRIDO"),IF(J116="COMPLETA",AB116,"COBERTURA_INSUFICIENTE"),"LEXEMA_O_FORMA")),IF(W116="REQUISITO_SOFT",IF(H116=X116,AA116,IF(H116=Z116,AB116,"LEXEMA_O_FORMA")),IF(W116="EVENTO_PROC",IF(H116=X116,AA116,IF(H116=Z116,IF(J116="COMPLETA",AB116,"COBERTURA_INSUFICIENTE"),"LEXEMA_O_FORMA")),IF(W116="IMAGEN",IF(AND(AND(ISTEXT(H116),LEN(("x"&amp;H116))=65,EXACT(("x"&amp;H116),LOWER(("x"&amp;H116))),ISERROR(SEARCH(" ",("x"&amp;H116))),ISERROR(SEARCH(CHAR(9),("x"&amp;H116))),ISERROR(SEARCH(CHAR(10),("x"&amp;H116))),ISERROR(SEARCH(CHAR(13),("x"&amp;H116))),IFERROR(HEX2DEC(MID(("x"&amp;H116),2,8))&gt;=0,FALSE),IFERROR(HEX2DEC(MID(("x"&amp;H116),10,8))&gt;=0,FALSE),IFERROR(HEX2DEC(MID(("x"&amp;H116),18,8))&gt;=0,FALSE),IFERROR(HEX2DEC(MID(("x"&amp;H116),26,8))&gt;=0,FALSE),IFERROR(HEX2DEC(MID(("x"&amp;H116),34,8))&gt;=0,FALSE),IFERROR(HEX2DEC(MID(("x"&amp;H116),42,8))&gt;=0,FALSE),IFERROR(HEX2DEC(MID(("x"&amp;H116),50,8))&gt;=0,FALSE),IFERROR(HEX2DEC(MID(("x"&amp;H116),58,8))&gt;=0,FALSE)),AND(ISTEXT(I116),LEN(("x"&amp;I116))=65,EXACT(("x"&amp;I116),LOWER(("x"&amp;I116))),ISERROR(SEARCH(" ",("x"&amp;I116))),ISERROR(SEARCH(CHAR(9),("x"&amp;I116))),ISERROR(SEARCH(CHAR(10),("x"&amp;I116))),ISERROR(SEARCH(CHAR(13),("x"&amp;I116))),IFERROR(HEX2DEC(MID(("x"&amp;I116),2,8))&gt;=0,FALSE),IFERROR(HEX2DEC(MID(("x"&amp;I116),10,8))&gt;=0,FALSE),IFERROR(HEX2DEC(MID(("x"&amp;I116),18,8))&gt;=0,FALSE),IFERROR(HEX2DEC(MID(("x"&amp;I116),26,8))&gt;=0,FALSE),IFERROR(HEX2DEC(MID(("x"&amp;I116),34,8))&gt;=0,FALSE),IFERROR(HEX2DEC(MID(("x"&amp;I116),42,8))&gt;=0,FALSE),IFERROR(HEX2DEC(MID(("x"&amp;I116),50,8))&gt;=0,FALSE),IFERROR(HEX2DEC(MID(("x"&amp;I116),58,8))&gt;=0,FALSE))),IF(EXACT("x"&amp;H116,"x"&amp;I116),AA116,AB116),"LEXEMA_O_FORMA"),IF(W116="PRUEBA",IF(H116=X116,AA116,IF(H116=Z116,AB116,"LEXEMA_O_FORMA")),IF(W116="RETIRADA",IF(AND(H116="NINGUNO",I116=""),IF(J116="COMPLETA",AB116,"COBERTURA_INSUFICIENTE"),IF(AND(OR(H116="uoInstallation",H116="uoUninstallation"),OR(I116="orcSucceeded",I116="orcSucceededWithErrors",I116="orcFailed",I116="orcAborted",I116="orcInProgress",I116="orcNotStarted")),IF(AND(H116=X116,I116=Y116),AA116,IF(AND(H116=X116,OR(I116="orcSucceededWithErrors",I116="orcInProgress",I116="orcNotStarted")),"RESULTADO_RETIRADA_INCIERTO",IF(J116="COMPLETA",AB116,"COBERTURA_INSUFICIENTE"))),"LEXEMA_O_FORMA")),IF(W116="CAMBIO",IF(OR(H116="CAMBIO",H116="CAMBIO_Y_RETORNO"),AA116,IF(OR(H116="NINGUNO",H116="SOLO_RENOMBRE"),IF(J116="COMPLETA",AB116,"COBERTURA_INSUFICIENTE"),"LEXEMA_O_FORMA")),IF(W116="RESTAURACION",IF(H116=X116,AA116,IF(OR(H116="NINGUNO",H116="RESTAURACION_POSTERIOR",H116="RESTAURACION_FALLIDA"),IF(J116="COMPLETA",AB116,"COBERTURA_INSUFICIENTE"),"LEXEMA_O_FORMA")),"PERFIL_NO_CONSTITUIDO"))))))))))))))))))</x:f>
        <x:v>SIN_CAMBIO_ACREDITADO</x:v>
      </x:c>
      <x:c r="R116" s="12" t="str">
        <x:f>IF(AND(L116=O116,M116=P116,N116=Q116),"PASA","NO_PASA")</x:f>
        <x:v>PASA</x:v>
      </x:c>
      <x:c r="S116" s="4" t="str">
        <x:v>Renombrado de catálogo sin cambio binario no pertenece al predicado.</x:v>
      </x:c>
      <x:c r="T116" s="12" t="str">
        <x:f>IFERROR(INDEX('55_Codificacion_ensayo'!$B$5:$B$13,MATCH(B116,'55_Codificacion_ensayo'!$A$5:$A$13,0)),"")</x:f>
        <x:v>HISTORIA-CAMBIO-COMPONENTE-0.1</x:v>
      </x:c>
      <x:c r="U116" s="12" t="str">
        <x:f>IFERROR(INDEX('55_Codificacion_ensayo'!$C$5:$C$13,MATCH(B116,'55_Codificacion_ensayo'!$A$5:$A$13,0)),"")</x:f>
        <x:v>HISTORIA_BINARIA</x:v>
      </x:c>
      <x:c r="V116" s="12" t="str">
        <x:f>IFERROR(INDEX('55_Codificacion_ensayo'!$D$5:$D$13,MATCH(B116,'55_Codificacion_ensayo'!$A$5:$A$13,0)),"")</x:f>
        <x:v>ORDEN_ACREDITADO</x:v>
      </x:c>
      <x:c r="W116" s="12" t="str">
        <x:f>IFERROR(INDEX('55_Codificacion_ensayo'!$E$5:$E$13,MATCH(B116,'55_Codificacion_ensayo'!$A$5:$A$13,0)),"")</x:f>
        <x:v>CAMBIO</x:v>
      </x:c>
      <x:c r="X116" s="12" t="str">
        <x:f>IFERROR(INDEX('55_Codificacion_ensayo'!$F$5:$F$13,MATCH(B116,'55_Codificacion_ensayo'!$A$5:$A$13,0)),"")</x:f>
        <x:v>CAMBIO</x:v>
      </x:c>
      <x:c r="Y116" s="12" t="str">
        <x:f>IFERROR(INDEX('55_Codificacion_ensayo'!$G$5:$G$13,MATCH(B116,'55_Codificacion_ensayo'!$A$5:$A$13,0)),"")</x:f>
      </x:c>
      <x:c r="Z116" s="12" t="str">
        <x:f>IFERROR(INDEX('55_Codificacion_ensayo'!$H$5:$H$13,MATCH(B116,'55_Codificacion_ensayo'!$A$5:$A$13,0)),"")</x:f>
        <x:v>NINGUNO</x:v>
      </x:c>
      <x:c r="AA116" s="12" t="str">
        <x:f>IFERROR(INDEX('55_Codificacion_ensayo'!$I$5:$I$13,MATCH(B116,'55_Codificacion_ensayo'!$A$5:$A$13,0)),"")</x:f>
        <x:v>CAMBIO_POSTERIOR</x:v>
      </x:c>
      <x:c r="AB116" s="12" t="str">
        <x:f>IFERROR(INDEX('55_Codificacion_ensayo'!$J$5:$J$13,MATCH(B116,'55_Codificacion_ensayo'!$A$5:$A$13,0)),"")</x:f>
        <x:v>SIN_CAMBIO_ACREDITADO</x:v>
      </x:c>
    </x:row>
    <x:row r="117" ht="47" customHeight="1">
      <x:c r="A117" s="4" t="str">
        <x:v>L10-10-01</x:v>
      </x:c>
      <x:c r="B117" s="4" t="str">
        <x:v>PAR-CYB-RESTAURACION-PREVIA-COMUNICADA-001</x:v>
      </x:c>
      <x:c r="C117" s="4" t="str">
        <x:v>HISTORIA-RESTAURACION-PREVIA-0.1</x:v>
      </x:c>
      <x:c r="D117" s="4" t="str">
        <x:v>COINCIDE</x:v>
      </x:c>
      <x:c r="E117" s="4" t="str">
        <x:v>LEGIBLE</x:v>
      </x:c>
      <x:c r="F117" s="4" t="str">
        <x:v>TRABAJO_RESTAURACION</x:v>
      </x:c>
      <x:c r="G117" s="4" t="str">
        <x:v>UNICA</x:v>
      </x:c>
      <x:c r="H117" s="4" t="str">
        <x:v>RESTAURACION_PREVIA</x:v>
      </x:c>
      <x:c r="I117" s="4" t="str"/>
      <x:c r="J117" s="4" t="str">
        <x:v>COMPLETA</x:v>
      </x:c>
      <x:c r="K117" s="4" t="str">
        <x:v>ORDEN_ACREDITADO</x:v>
      </x:c>
      <x:c r="L117" s="4" t="str">
        <x:v>VALIDA</x:v>
      </x:c>
      <x:c r="M117" s="4" t="str">
        <x:v>1</x:v>
      </x:c>
      <x:c r="N117" s="4" t="str">
        <x:v>RESTAURACION_PREVIA</x:v>
      </x:c>
      <x:c r="O117" s="12" t="str">
        <x:f>IF(Q117="SIN_EJECUCION_DOMINIO","FALLO_CAPTURA",IF(OR(Q117="CAPTURA_MAL_FORMADA",Q117="IDENTIDAD",Q117="OBSERVACION_MAL_FORMADA",Q117="LEXEMA_O_FORMA"),"NO_ADMISION",IF(OR(Q117="PERFIL_NO_CONSTITUIDO",Q117="RESULTADO_NO_TERMINAL"),"FUERA_PERFIL",IF(Q117="CONTEXTO_NO_CONSTITUIDO","CONFIGURACION_PENDIENTE","VALIDA"))))</x:f>
        <x:v>VALIDA</x:v>
      </x:c>
      <x:c r="P117" s="12" t="str">
        <x:f>IF(O117&lt;&gt;"VALIDA","",IF(Q117=AA117,"1",IF(Q117=AB117,"0","U")))</x:f>
        <x:v>1</x:v>
      </x:c>
      <x:c r="Q117" s="12" t="str">
        <x:f>IF(E117="FALLO","SIN_EJECUCION_DOMINIO",IF(E117&lt;&gt;"LEGIBLE","CAPTURA_MAL_FORMADA",IF(D117&lt;&gt;"COINCIDE","IDENTIDAD",IF(OR(T117="",C117&lt;&gt;T117),"PERFIL_NO_CONSTITUIDO",IF(K117&lt;&gt;V117,IF(V117="ORDEN_ACREDITADO","ORDEN_NO_ACREDITADO","CONTEXTO_NO_CONSTITUIDO"),IF(AND(G117="AUSENTE",H117="",I117=""),"DATO_AUSENTE",IF(AND(G117="CONFLICTO",H117="",I117=""),"CONFLICTO_OBSERVACIONAL",IF(G117&lt;&gt;"UNICA","OBSERVACION_MAL_FORMADA",IF(F117&lt;&gt;U117,"OBSERVACION_INSUFICIENTE",IF(W117="RESULTADO",IF(H117=X117,AA117,IF(OR(H117="orcSucceededWithErrors",H117="orcFailed",H117="orcAborted"),AB117,IF(OR(H117="orcNotStarted",H117="orcInProgress"),"RESULTADO_NO_TERMINAL","LEXEMA_O_FORMA"))),IF(W117="EVENTO_BOOT",IF(H117=X117,AA117,IF(OR(H117="NINGUNO",H117="SOLO_HIBRIDO"),IF(J117="COMPLETA",AB117,"COBERTURA_INSUFICIENTE"),"LEXEMA_O_FORMA")),IF(W117="REQUISITO_SOFT",IF(H117=X117,AA117,IF(H117=Z117,AB117,"LEXEMA_O_FORMA")),IF(W117="EVENTO_PROC",IF(H117=X117,AA117,IF(H117=Z117,IF(J117="COMPLETA",AB117,"COBERTURA_INSUFICIENTE"),"LEXEMA_O_FORMA")),IF(W117="IMAGEN",IF(AND(AND(ISTEXT(H117),LEN(("x"&amp;H117))=65,EXACT(("x"&amp;H117),LOWER(("x"&amp;H117))),ISERROR(SEARCH(" ",("x"&amp;H117))),ISERROR(SEARCH(CHAR(9),("x"&amp;H117))),ISERROR(SEARCH(CHAR(10),("x"&amp;H117))),ISERROR(SEARCH(CHAR(13),("x"&amp;H117))),IFERROR(HEX2DEC(MID(("x"&amp;H117),2,8))&gt;=0,FALSE),IFERROR(HEX2DEC(MID(("x"&amp;H117),10,8))&gt;=0,FALSE),IFERROR(HEX2DEC(MID(("x"&amp;H117),18,8))&gt;=0,FALSE),IFERROR(HEX2DEC(MID(("x"&amp;H117),26,8))&gt;=0,FALSE),IFERROR(HEX2DEC(MID(("x"&amp;H117),34,8))&gt;=0,FALSE),IFERROR(HEX2DEC(MID(("x"&amp;H117),42,8))&gt;=0,FALSE),IFERROR(HEX2DEC(MID(("x"&amp;H117),50,8))&gt;=0,FALSE),IFERROR(HEX2DEC(MID(("x"&amp;H117),58,8))&gt;=0,FALSE)),AND(ISTEXT(I117),LEN(("x"&amp;I117))=65,EXACT(("x"&amp;I117),LOWER(("x"&amp;I117))),ISERROR(SEARCH(" ",("x"&amp;I117))),ISERROR(SEARCH(CHAR(9),("x"&amp;I117))),ISERROR(SEARCH(CHAR(10),("x"&amp;I117))),ISERROR(SEARCH(CHAR(13),("x"&amp;I117))),IFERROR(HEX2DEC(MID(("x"&amp;I117),2,8))&gt;=0,FALSE),IFERROR(HEX2DEC(MID(("x"&amp;I117),10,8))&gt;=0,FALSE),IFERROR(HEX2DEC(MID(("x"&amp;I117),18,8))&gt;=0,FALSE),IFERROR(HEX2DEC(MID(("x"&amp;I117),26,8))&gt;=0,FALSE),IFERROR(HEX2DEC(MID(("x"&amp;I117),34,8))&gt;=0,FALSE),IFERROR(HEX2DEC(MID(("x"&amp;I117),42,8))&gt;=0,FALSE),IFERROR(HEX2DEC(MID(("x"&amp;I117),50,8))&gt;=0,FALSE),IFERROR(HEX2DEC(MID(("x"&amp;I117),58,8))&gt;=0,FALSE))),IF(EXACT("x"&amp;H117,"x"&amp;I117),AA117,AB117),"LEXEMA_O_FORMA"),IF(W117="PRUEBA",IF(H117=X117,AA117,IF(H117=Z117,AB117,"LEXEMA_O_FORMA")),IF(W117="RETIRADA",IF(AND(H117="NINGUNO",I117=""),IF(J117="COMPLETA",AB117,"COBERTURA_INSUFICIENTE"),IF(AND(OR(H117="uoInstallation",H117="uoUninstallation"),OR(I117="orcSucceeded",I117="orcSucceededWithErrors",I117="orcFailed",I117="orcAborted",I117="orcInProgress",I117="orcNotStarted")),IF(AND(H117=X117,I117=Y117),AA117,IF(AND(H117=X117,OR(I117="orcSucceededWithErrors",I117="orcInProgress",I117="orcNotStarted")),"RESULTADO_RETIRADA_INCIERTO",IF(J117="COMPLETA",AB117,"COBERTURA_INSUFICIENTE"))),"LEXEMA_O_FORMA")),IF(W117="CAMBIO",IF(OR(H117="CAMBIO",H117="CAMBIO_Y_RETORNO"),AA117,IF(OR(H117="NINGUNO",H117="SOLO_RENOMBRE"),IF(J117="COMPLETA",AB117,"COBERTURA_INSUFICIENTE"),"LEXEMA_O_FORMA")),IF(W117="RESTAURACION",IF(H117=X117,AA117,IF(OR(H117="NINGUNO",H117="RESTAURACION_POSTERIOR",H117="RESTAURACION_FALLIDA"),IF(J117="COMPLETA",AB117,"COBERTURA_INSUFICIENTE"),"LEXEMA_O_FORMA")),"PERFIL_NO_CONSTITUIDO"))))))))))))))))))</x:f>
        <x:v>RESTAURACION_PREVIA</x:v>
      </x:c>
      <x:c r="R117" s="12" t="str">
        <x:f>IF(AND(L117=O117,M117=P117,N117=Q117),"PASA","NO_PASA")</x:f>
        <x:v>PASA</x:v>
      </x:c>
      <x:c r="S117" s="4" t="str">
        <x:v>Testigo positivo de la proposición; no licencia ninguna conclusión más amplia.</x:v>
      </x:c>
      <x:c r="T117" s="12" t="str">
        <x:f>IFERROR(INDEX('55_Codificacion_ensayo'!$B$5:$B$13,MATCH(B117,'55_Codificacion_ensayo'!$A$5:$A$13,0)),"")</x:f>
        <x:v>HISTORIA-RESTAURACION-PREVIA-0.1</x:v>
      </x:c>
      <x:c r="U117" s="12" t="str">
        <x:f>IFERROR(INDEX('55_Codificacion_ensayo'!$C$5:$C$13,MATCH(B117,'55_Codificacion_ensayo'!$A$5:$A$13,0)),"")</x:f>
        <x:v>TRABAJO_RESTAURACION</x:v>
      </x:c>
      <x:c r="V117" s="12" t="str">
        <x:f>IFERROR(INDEX('55_Codificacion_ensayo'!$D$5:$D$13,MATCH(B117,'55_Codificacion_ensayo'!$A$5:$A$13,0)),"")</x:f>
        <x:v>ORDEN_ACREDITADO</x:v>
      </x:c>
      <x:c r="W117" s="12" t="str">
        <x:f>IFERROR(INDEX('55_Codificacion_ensayo'!$E$5:$E$13,MATCH(B117,'55_Codificacion_ensayo'!$A$5:$A$13,0)),"")</x:f>
        <x:v>RESTAURACION</x:v>
      </x:c>
      <x:c r="X117" s="12" t="str">
        <x:f>IFERROR(INDEX('55_Codificacion_ensayo'!$F$5:$F$13,MATCH(B117,'55_Codificacion_ensayo'!$A$5:$A$13,0)),"")</x:f>
        <x:v>RESTAURACION_PREVIA</x:v>
      </x:c>
      <x:c r="Y117" s="12" t="str">
        <x:f>IFERROR(INDEX('55_Codificacion_ensayo'!$G$5:$G$13,MATCH(B117,'55_Codificacion_ensayo'!$A$5:$A$13,0)),"")</x:f>
      </x:c>
      <x:c r="Z117" s="12" t="str">
        <x:f>IFERROR(INDEX('55_Codificacion_ensayo'!$H$5:$H$13,MATCH(B117,'55_Codificacion_ensayo'!$A$5:$A$13,0)),"")</x:f>
        <x:v>NINGUNO</x:v>
      </x:c>
      <x:c r="AA117" s="12" t="str">
        <x:f>IFERROR(INDEX('55_Codificacion_ensayo'!$I$5:$I$13,MATCH(B117,'55_Codificacion_ensayo'!$A$5:$A$13,0)),"")</x:f>
        <x:v>RESTAURACION_PREVIA</x:v>
      </x:c>
      <x:c r="AB117" s="12" t="str">
        <x:f>IFERROR(INDEX('55_Codificacion_ensayo'!$J$5:$J$13,MATCH(B117,'55_Codificacion_ensayo'!$A$5:$A$13,0)),"")</x:f>
        <x:v>SIN_RESTAURACION_PREVIA</x:v>
      </x:c>
    </x:row>
    <x:row r="118" ht="47" customHeight="1">
      <x:c r="A118" s="4" t="str">
        <x:v>L10-10-02</x:v>
      </x:c>
      <x:c r="B118" s="4" t="str">
        <x:v>PAR-CYB-RESTAURACION-PREVIA-COMUNICADA-001</x:v>
      </x:c>
      <x:c r="C118" s="4" t="str">
        <x:v>HISTORIA-RESTAURACION-PREVIA-0.1</x:v>
      </x:c>
      <x:c r="D118" s="4" t="str">
        <x:v>COINCIDE</x:v>
      </x:c>
      <x:c r="E118" s="4" t="str">
        <x:v>LEGIBLE</x:v>
      </x:c>
      <x:c r="F118" s="4" t="str">
        <x:v>TRABAJO_RESTAURACION</x:v>
      </x:c>
      <x:c r="G118" s="4" t="str">
        <x:v>UNICA</x:v>
      </x:c>
      <x:c r="H118" s="4" t="str">
        <x:v>NINGUNO</x:v>
      </x:c>
      <x:c r="I118" s="4" t="str"/>
      <x:c r="J118" s="4" t="str">
        <x:v>COMPLETA</x:v>
      </x:c>
      <x:c r="K118" s="4" t="str">
        <x:v>ORDEN_ACREDITADO</x:v>
      </x:c>
      <x:c r="L118" s="4" t="str">
        <x:v>VALIDA</x:v>
      </x:c>
      <x:c r="M118" s="4" t="str">
        <x:v>0</x:v>
      </x:c>
      <x:c r="N118" s="4" t="str">
        <x:v>SIN_RESTAURACION_PREVIA</x:v>
      </x:c>
      <x:c r="O118" s="12" t="str">
        <x:f>IF(Q118="SIN_EJECUCION_DOMINIO","FALLO_CAPTURA",IF(OR(Q118="CAPTURA_MAL_FORMADA",Q118="IDENTIDAD",Q118="OBSERVACION_MAL_FORMADA",Q118="LEXEMA_O_FORMA"),"NO_ADMISION",IF(OR(Q118="PERFIL_NO_CONSTITUIDO",Q118="RESULTADO_NO_TERMINAL"),"FUERA_PERFIL",IF(Q118="CONTEXTO_NO_CONSTITUIDO","CONFIGURACION_PENDIENTE","VALIDA"))))</x:f>
        <x:v>VALIDA</x:v>
      </x:c>
      <x:c r="P118" s="12" t="str">
        <x:f>IF(O118&lt;&gt;"VALIDA","",IF(Q118=AA118,"1",IF(Q118=AB118,"0","U")))</x:f>
        <x:v>0</x:v>
      </x:c>
      <x:c r="Q118" s="12" t="str">
        <x:f>IF(E118="FALLO","SIN_EJECUCION_DOMINIO",IF(E118&lt;&gt;"LEGIBLE","CAPTURA_MAL_FORMADA",IF(D118&lt;&gt;"COINCIDE","IDENTIDAD",IF(OR(T118="",C118&lt;&gt;T118),"PERFIL_NO_CONSTITUIDO",IF(K118&lt;&gt;V118,IF(V118="ORDEN_ACREDITADO","ORDEN_NO_ACREDITADO","CONTEXTO_NO_CONSTITUIDO"),IF(AND(G118="AUSENTE",H118="",I118=""),"DATO_AUSENTE",IF(AND(G118="CONFLICTO",H118="",I118=""),"CONFLICTO_OBSERVACIONAL",IF(G118&lt;&gt;"UNICA","OBSERVACION_MAL_FORMADA",IF(F118&lt;&gt;U118,"OBSERVACION_INSUFICIENTE",IF(W118="RESULTADO",IF(H118=X118,AA118,IF(OR(H118="orcSucceededWithErrors",H118="orcFailed",H118="orcAborted"),AB118,IF(OR(H118="orcNotStarted",H118="orcInProgress"),"RESULTADO_NO_TERMINAL","LEXEMA_O_FORMA"))),IF(W118="EVENTO_BOOT",IF(H118=X118,AA118,IF(OR(H118="NINGUNO",H118="SOLO_HIBRIDO"),IF(J118="COMPLETA",AB118,"COBERTURA_INSUFICIENTE"),"LEXEMA_O_FORMA")),IF(W118="REQUISITO_SOFT",IF(H118=X118,AA118,IF(H118=Z118,AB118,"LEXEMA_O_FORMA")),IF(W118="EVENTO_PROC",IF(H118=X118,AA118,IF(H118=Z118,IF(J118="COMPLETA",AB118,"COBERTURA_INSUFICIENTE"),"LEXEMA_O_FORMA")),IF(W118="IMAGEN",IF(AND(AND(ISTEXT(H118),LEN(("x"&amp;H118))=65,EXACT(("x"&amp;H118),LOWER(("x"&amp;H118))),ISERROR(SEARCH(" ",("x"&amp;H118))),ISERROR(SEARCH(CHAR(9),("x"&amp;H118))),ISERROR(SEARCH(CHAR(10),("x"&amp;H118))),ISERROR(SEARCH(CHAR(13),("x"&amp;H118))),IFERROR(HEX2DEC(MID(("x"&amp;H118),2,8))&gt;=0,FALSE),IFERROR(HEX2DEC(MID(("x"&amp;H118),10,8))&gt;=0,FALSE),IFERROR(HEX2DEC(MID(("x"&amp;H118),18,8))&gt;=0,FALSE),IFERROR(HEX2DEC(MID(("x"&amp;H118),26,8))&gt;=0,FALSE),IFERROR(HEX2DEC(MID(("x"&amp;H118),34,8))&gt;=0,FALSE),IFERROR(HEX2DEC(MID(("x"&amp;H118),42,8))&gt;=0,FALSE),IFERROR(HEX2DEC(MID(("x"&amp;H118),50,8))&gt;=0,FALSE),IFERROR(HEX2DEC(MID(("x"&amp;H118),58,8))&gt;=0,FALSE)),AND(ISTEXT(I118),LEN(("x"&amp;I118))=65,EXACT(("x"&amp;I118),LOWER(("x"&amp;I118))),ISERROR(SEARCH(" ",("x"&amp;I118))),ISERROR(SEARCH(CHAR(9),("x"&amp;I118))),ISERROR(SEARCH(CHAR(10),("x"&amp;I118))),ISERROR(SEARCH(CHAR(13),("x"&amp;I118))),IFERROR(HEX2DEC(MID(("x"&amp;I118),2,8))&gt;=0,FALSE),IFERROR(HEX2DEC(MID(("x"&amp;I118),10,8))&gt;=0,FALSE),IFERROR(HEX2DEC(MID(("x"&amp;I118),18,8))&gt;=0,FALSE),IFERROR(HEX2DEC(MID(("x"&amp;I118),26,8))&gt;=0,FALSE),IFERROR(HEX2DEC(MID(("x"&amp;I118),34,8))&gt;=0,FALSE),IFERROR(HEX2DEC(MID(("x"&amp;I118),42,8))&gt;=0,FALSE),IFERROR(HEX2DEC(MID(("x"&amp;I118),50,8))&gt;=0,FALSE),IFERROR(HEX2DEC(MID(("x"&amp;I118),58,8))&gt;=0,FALSE))),IF(EXACT("x"&amp;H118,"x"&amp;I118),AA118,AB118),"LEXEMA_O_FORMA"),IF(W118="PRUEBA",IF(H118=X118,AA118,IF(H118=Z118,AB118,"LEXEMA_O_FORMA")),IF(W118="RETIRADA",IF(AND(H118="NINGUNO",I118=""),IF(J118="COMPLETA",AB118,"COBERTURA_INSUFICIENTE"),IF(AND(OR(H118="uoInstallation",H118="uoUninstallation"),OR(I118="orcSucceeded",I118="orcSucceededWithErrors",I118="orcFailed",I118="orcAborted",I118="orcInProgress",I118="orcNotStarted")),IF(AND(H118=X118,I118=Y118),AA118,IF(AND(H118=X118,OR(I118="orcSucceededWithErrors",I118="orcInProgress",I118="orcNotStarted")),"RESULTADO_RETIRADA_INCIERTO",IF(J118="COMPLETA",AB118,"COBERTURA_INSUFICIENTE"))),"LEXEMA_O_FORMA")),IF(W118="CAMBIO",IF(OR(H118="CAMBIO",H118="CAMBIO_Y_RETORNO"),AA118,IF(OR(H118="NINGUNO",H118="SOLO_RENOMBRE"),IF(J118="COMPLETA",AB118,"COBERTURA_INSUFICIENTE"),"LEXEMA_O_FORMA")),IF(W118="RESTAURACION",IF(H118=X118,AA118,IF(OR(H118="NINGUNO",H118="RESTAURACION_POSTERIOR",H118="RESTAURACION_FALLIDA"),IF(J118="COMPLETA",AB118,"COBERTURA_INSUFICIENTE"),"LEXEMA_O_FORMA")),"PERFIL_NO_CONSTITUIDO"))))))))))))))))))</x:f>
        <x:v>SIN_RESTAURACION_PREVIA</x:v>
      </x:c>
      <x:c r="R118" s="12" t="str">
        <x:f>IF(AND(L118=O118,M118=P118,N118=Q118),"PASA","NO_PASA")</x:f>
        <x:v>PASA</x:v>
      </x:c>
      <x:c r="S118" s="4" t="str">
        <x:v>Negativo explícito; en eventos exige cobertura del intervalo.</x:v>
      </x:c>
      <x:c r="T118" s="12" t="str">
        <x:f>IFERROR(INDEX('55_Codificacion_ensayo'!$B$5:$B$13,MATCH(B118,'55_Codificacion_ensayo'!$A$5:$A$13,0)),"")</x:f>
        <x:v>HISTORIA-RESTAURACION-PREVIA-0.1</x:v>
      </x:c>
      <x:c r="U118" s="12" t="str">
        <x:f>IFERROR(INDEX('55_Codificacion_ensayo'!$C$5:$C$13,MATCH(B118,'55_Codificacion_ensayo'!$A$5:$A$13,0)),"")</x:f>
        <x:v>TRABAJO_RESTAURACION</x:v>
      </x:c>
      <x:c r="V118" s="12" t="str">
        <x:f>IFERROR(INDEX('55_Codificacion_ensayo'!$D$5:$D$13,MATCH(B118,'55_Codificacion_ensayo'!$A$5:$A$13,0)),"")</x:f>
        <x:v>ORDEN_ACREDITADO</x:v>
      </x:c>
      <x:c r="W118" s="12" t="str">
        <x:f>IFERROR(INDEX('55_Codificacion_ensayo'!$E$5:$E$13,MATCH(B118,'55_Codificacion_ensayo'!$A$5:$A$13,0)),"")</x:f>
        <x:v>RESTAURACION</x:v>
      </x:c>
      <x:c r="X118" s="12" t="str">
        <x:f>IFERROR(INDEX('55_Codificacion_ensayo'!$F$5:$F$13,MATCH(B118,'55_Codificacion_ensayo'!$A$5:$A$13,0)),"")</x:f>
        <x:v>RESTAURACION_PREVIA</x:v>
      </x:c>
      <x:c r="Y118" s="12" t="str">
        <x:f>IFERROR(INDEX('55_Codificacion_ensayo'!$G$5:$G$13,MATCH(B118,'55_Codificacion_ensayo'!$A$5:$A$13,0)),"")</x:f>
      </x:c>
      <x:c r="Z118" s="12" t="str">
        <x:f>IFERROR(INDEX('55_Codificacion_ensayo'!$H$5:$H$13,MATCH(B118,'55_Codificacion_ensayo'!$A$5:$A$13,0)),"")</x:f>
        <x:v>NINGUNO</x:v>
      </x:c>
      <x:c r="AA118" s="12" t="str">
        <x:f>IFERROR(INDEX('55_Codificacion_ensayo'!$I$5:$I$13,MATCH(B118,'55_Codificacion_ensayo'!$A$5:$A$13,0)),"")</x:f>
        <x:v>RESTAURACION_PREVIA</x:v>
      </x:c>
      <x:c r="AB118" s="12" t="str">
        <x:f>IFERROR(INDEX('55_Codificacion_ensayo'!$J$5:$J$13,MATCH(B118,'55_Codificacion_ensayo'!$A$5:$A$13,0)),"")</x:f>
        <x:v>SIN_RESTAURACION_PREVIA</x:v>
      </x:c>
    </x:row>
    <x:row r="119" ht="47" customHeight="1">
      <x:c r="A119" s="4" t="str">
        <x:v>L10-10-03</x:v>
      </x:c>
      <x:c r="B119" s="4" t="str">
        <x:v>PAR-CYB-RESTAURACION-PREVIA-COMUNICADA-001</x:v>
      </x:c>
      <x:c r="C119" s="4" t="str">
        <x:v>HISTORIA-RESTAURACION-PREVIA-0.1</x:v>
      </x:c>
      <x:c r="D119" s="4" t="str">
        <x:v>COINCIDE</x:v>
      </x:c>
      <x:c r="E119" s="4" t="str">
        <x:v>LEGIBLE</x:v>
      </x:c>
      <x:c r="F119" s="4" t="str">
        <x:v>TRABAJO_RESTAURACION</x:v>
      </x:c>
      <x:c r="G119" s="4" t="str">
        <x:v>AUSENTE</x:v>
      </x:c>
      <x:c r="H119" s="4" t="str"/>
      <x:c r="I119" s="4" t="str"/>
      <x:c r="J119" s="4" t="str">
        <x:v>COMPLETA</x:v>
      </x:c>
      <x:c r="K119" s="4" t="str">
        <x:v>ORDEN_ACREDITADO</x:v>
      </x:c>
      <x:c r="L119" s="4" t="str">
        <x:v>VALIDA</x:v>
      </x:c>
      <x:c r="M119" s="4" t="str">
        <x:v>U</x:v>
      </x:c>
      <x:c r="N119" s="4" t="str">
        <x:v>DATO_AUSENTE</x:v>
      </x:c>
      <x:c r="O119" s="12" t="str">
        <x:f>IF(Q119="SIN_EJECUCION_DOMINIO","FALLO_CAPTURA",IF(OR(Q119="CAPTURA_MAL_FORMADA",Q119="IDENTIDAD",Q119="OBSERVACION_MAL_FORMADA",Q119="LEXEMA_O_FORMA"),"NO_ADMISION",IF(OR(Q119="PERFIL_NO_CONSTITUIDO",Q119="RESULTADO_NO_TERMINAL"),"FUERA_PERFIL",IF(Q119="CONTEXTO_NO_CONSTITUIDO","CONFIGURACION_PENDIENTE","VALIDA"))))</x:f>
        <x:v>VALIDA</x:v>
      </x:c>
      <x:c r="P119" s="12" t="str">
        <x:f>IF(O119&lt;&gt;"VALIDA","",IF(Q119=AA119,"1",IF(Q119=AB119,"0","U")))</x:f>
        <x:v>U</x:v>
      </x:c>
      <x:c r="Q119" s="12" t="str">
        <x:f>IF(E119="FALLO","SIN_EJECUCION_DOMINIO",IF(E119&lt;&gt;"LEGIBLE","CAPTURA_MAL_FORMADA",IF(D119&lt;&gt;"COINCIDE","IDENTIDAD",IF(OR(T119="",C119&lt;&gt;T119),"PERFIL_NO_CONSTITUIDO",IF(K119&lt;&gt;V119,IF(V119="ORDEN_ACREDITADO","ORDEN_NO_ACREDITADO","CONTEXTO_NO_CONSTITUIDO"),IF(AND(G119="AUSENTE",H119="",I119=""),"DATO_AUSENTE",IF(AND(G119="CONFLICTO",H119="",I119=""),"CONFLICTO_OBSERVACIONAL",IF(G119&lt;&gt;"UNICA","OBSERVACION_MAL_FORMADA",IF(F119&lt;&gt;U119,"OBSERVACION_INSUFICIENTE",IF(W119="RESULTADO",IF(H119=X119,AA119,IF(OR(H119="orcSucceededWithErrors",H119="orcFailed",H119="orcAborted"),AB119,IF(OR(H119="orcNotStarted",H119="orcInProgress"),"RESULTADO_NO_TERMINAL","LEXEMA_O_FORMA"))),IF(W119="EVENTO_BOOT",IF(H119=X119,AA119,IF(OR(H119="NINGUNO",H119="SOLO_HIBRIDO"),IF(J119="COMPLETA",AB119,"COBERTURA_INSUFICIENTE"),"LEXEMA_O_FORMA")),IF(W119="REQUISITO_SOFT",IF(H119=X119,AA119,IF(H119=Z119,AB119,"LEXEMA_O_FORMA")),IF(W119="EVENTO_PROC",IF(H119=X119,AA119,IF(H119=Z119,IF(J119="COMPLETA",AB119,"COBERTURA_INSUFICIENTE"),"LEXEMA_O_FORMA")),IF(W119="IMAGEN",IF(AND(AND(ISTEXT(H119),LEN(("x"&amp;H119))=65,EXACT(("x"&amp;H119),LOWER(("x"&amp;H119))),ISERROR(SEARCH(" ",("x"&amp;H119))),ISERROR(SEARCH(CHAR(9),("x"&amp;H119))),ISERROR(SEARCH(CHAR(10),("x"&amp;H119))),ISERROR(SEARCH(CHAR(13),("x"&amp;H119))),IFERROR(HEX2DEC(MID(("x"&amp;H119),2,8))&gt;=0,FALSE),IFERROR(HEX2DEC(MID(("x"&amp;H119),10,8))&gt;=0,FALSE),IFERROR(HEX2DEC(MID(("x"&amp;H119),18,8))&gt;=0,FALSE),IFERROR(HEX2DEC(MID(("x"&amp;H119),26,8))&gt;=0,FALSE),IFERROR(HEX2DEC(MID(("x"&amp;H119),34,8))&gt;=0,FALSE),IFERROR(HEX2DEC(MID(("x"&amp;H119),42,8))&gt;=0,FALSE),IFERROR(HEX2DEC(MID(("x"&amp;H119),50,8))&gt;=0,FALSE),IFERROR(HEX2DEC(MID(("x"&amp;H119),58,8))&gt;=0,FALSE)),AND(ISTEXT(I119),LEN(("x"&amp;I119))=65,EXACT(("x"&amp;I119),LOWER(("x"&amp;I119))),ISERROR(SEARCH(" ",("x"&amp;I119))),ISERROR(SEARCH(CHAR(9),("x"&amp;I119))),ISERROR(SEARCH(CHAR(10),("x"&amp;I119))),ISERROR(SEARCH(CHAR(13),("x"&amp;I119))),IFERROR(HEX2DEC(MID(("x"&amp;I119),2,8))&gt;=0,FALSE),IFERROR(HEX2DEC(MID(("x"&amp;I119),10,8))&gt;=0,FALSE),IFERROR(HEX2DEC(MID(("x"&amp;I119),18,8))&gt;=0,FALSE),IFERROR(HEX2DEC(MID(("x"&amp;I119),26,8))&gt;=0,FALSE),IFERROR(HEX2DEC(MID(("x"&amp;I119),34,8))&gt;=0,FALSE),IFERROR(HEX2DEC(MID(("x"&amp;I119),42,8))&gt;=0,FALSE),IFERROR(HEX2DEC(MID(("x"&amp;I119),50,8))&gt;=0,FALSE),IFERROR(HEX2DEC(MID(("x"&amp;I119),58,8))&gt;=0,FALSE))),IF(EXACT("x"&amp;H119,"x"&amp;I119),AA119,AB119),"LEXEMA_O_FORMA"),IF(W119="PRUEBA",IF(H119=X119,AA119,IF(H119=Z119,AB119,"LEXEMA_O_FORMA")),IF(W119="RETIRADA",IF(AND(H119="NINGUNO",I119=""),IF(J119="COMPLETA",AB119,"COBERTURA_INSUFICIENTE"),IF(AND(OR(H119="uoInstallation",H119="uoUninstallation"),OR(I119="orcSucceeded",I119="orcSucceededWithErrors",I119="orcFailed",I119="orcAborted",I119="orcInProgress",I119="orcNotStarted")),IF(AND(H119=X119,I119=Y119),AA119,IF(AND(H119=X119,OR(I119="orcSucceededWithErrors",I119="orcInProgress",I119="orcNotStarted")),"RESULTADO_RETIRADA_INCIERTO",IF(J119="COMPLETA",AB119,"COBERTURA_INSUFICIENTE"))),"LEXEMA_O_FORMA")),IF(W119="CAMBIO",IF(OR(H119="CAMBIO",H119="CAMBIO_Y_RETORNO"),AA119,IF(OR(H119="NINGUNO",H119="SOLO_RENOMBRE"),IF(J119="COMPLETA",AB119,"COBERTURA_INSUFICIENTE"),"LEXEMA_O_FORMA")),IF(W119="RESTAURACION",IF(H119=X119,AA119,IF(OR(H119="NINGUNO",H119="RESTAURACION_POSTERIOR",H119="RESTAURACION_FALLIDA"),IF(J119="COMPLETA",AB119,"COBERTURA_INSUFICIENTE"),"LEXEMA_O_FORMA")),"PERFIL_NO_CONSTITUIDO"))))))))))))))))))</x:f>
        <x:v>DATO_AUSENTE</x:v>
      </x:c>
      <x:c r="R119" s="12" t="str">
        <x:f>IF(AND(L119=O119,M119=P119,N119=Q119),"PASA","NO_PASA")</x:f>
        <x:v>PASA</x:v>
      </x:c>
      <x:c r="S119" s="4" t="str">
        <x:v>Documento declara que falta la observación, sin convertir ausencia en 0.</x:v>
      </x:c>
      <x:c r="T119" s="12" t="str">
        <x:f>IFERROR(INDEX('55_Codificacion_ensayo'!$B$5:$B$13,MATCH(B119,'55_Codificacion_ensayo'!$A$5:$A$13,0)),"")</x:f>
        <x:v>HISTORIA-RESTAURACION-PREVIA-0.1</x:v>
      </x:c>
      <x:c r="U119" s="12" t="str">
        <x:f>IFERROR(INDEX('55_Codificacion_ensayo'!$C$5:$C$13,MATCH(B119,'55_Codificacion_ensayo'!$A$5:$A$13,0)),"")</x:f>
        <x:v>TRABAJO_RESTAURACION</x:v>
      </x:c>
      <x:c r="V119" s="12" t="str">
        <x:f>IFERROR(INDEX('55_Codificacion_ensayo'!$D$5:$D$13,MATCH(B119,'55_Codificacion_ensayo'!$A$5:$A$13,0)),"")</x:f>
        <x:v>ORDEN_ACREDITADO</x:v>
      </x:c>
      <x:c r="W119" s="12" t="str">
        <x:f>IFERROR(INDEX('55_Codificacion_ensayo'!$E$5:$E$13,MATCH(B119,'55_Codificacion_ensayo'!$A$5:$A$13,0)),"")</x:f>
        <x:v>RESTAURACION</x:v>
      </x:c>
      <x:c r="X119" s="12" t="str">
        <x:f>IFERROR(INDEX('55_Codificacion_ensayo'!$F$5:$F$13,MATCH(B119,'55_Codificacion_ensayo'!$A$5:$A$13,0)),"")</x:f>
        <x:v>RESTAURACION_PREVIA</x:v>
      </x:c>
      <x:c r="Y119" s="12" t="str">
        <x:f>IFERROR(INDEX('55_Codificacion_ensayo'!$G$5:$G$13,MATCH(B119,'55_Codificacion_ensayo'!$A$5:$A$13,0)),"")</x:f>
      </x:c>
      <x:c r="Z119" s="12" t="str">
        <x:f>IFERROR(INDEX('55_Codificacion_ensayo'!$H$5:$H$13,MATCH(B119,'55_Codificacion_ensayo'!$A$5:$A$13,0)),"")</x:f>
        <x:v>NINGUNO</x:v>
      </x:c>
      <x:c r="AA119" s="12" t="str">
        <x:f>IFERROR(INDEX('55_Codificacion_ensayo'!$I$5:$I$13,MATCH(B119,'55_Codificacion_ensayo'!$A$5:$A$13,0)),"")</x:f>
        <x:v>RESTAURACION_PREVIA</x:v>
      </x:c>
      <x:c r="AB119" s="12" t="str">
        <x:f>IFERROR(INDEX('55_Codificacion_ensayo'!$J$5:$J$13,MATCH(B119,'55_Codificacion_ensayo'!$A$5:$A$13,0)),"")</x:f>
        <x:v>SIN_RESTAURACION_PREVIA</x:v>
      </x:c>
    </x:row>
    <x:row r="120" ht="47" customHeight="1">
      <x:c r="A120" s="4" t="str">
        <x:v>L10-10-04</x:v>
      </x:c>
      <x:c r="B120" s="4" t="str">
        <x:v>PAR-CYB-RESTAURACION-PREVIA-COMUNICADA-001</x:v>
      </x:c>
      <x:c r="C120" s="4" t="str">
        <x:v>HISTORIA-RESTAURACION-PREVIA-0.1</x:v>
      </x:c>
      <x:c r="D120" s="4" t="str">
        <x:v>COINCIDE</x:v>
      </x:c>
      <x:c r="E120" s="4" t="str">
        <x:v>LEGIBLE</x:v>
      </x:c>
      <x:c r="F120" s="4" t="str">
        <x:v>TRABAJO_RESTAURACION</x:v>
      </x:c>
      <x:c r="G120" s="4" t="str">
        <x:v>CONFLICTO</x:v>
      </x:c>
      <x:c r="H120" s="4" t="str"/>
      <x:c r="I120" s="4" t="str"/>
      <x:c r="J120" s="4" t="str">
        <x:v>COMPLETA</x:v>
      </x:c>
      <x:c r="K120" s="4" t="str">
        <x:v>ORDEN_ACREDITADO</x:v>
      </x:c>
      <x:c r="L120" s="4" t="str">
        <x:v>VALIDA</x:v>
      </x:c>
      <x:c r="M120" s="4" t="str">
        <x:v>U</x:v>
      </x:c>
      <x:c r="N120" s="4" t="str">
        <x:v>CONFLICTO_OBSERVACIONAL</x:v>
      </x:c>
      <x:c r="O120" s="12" t="str">
        <x:f>IF(Q120="SIN_EJECUCION_DOMINIO","FALLO_CAPTURA",IF(OR(Q120="CAPTURA_MAL_FORMADA",Q120="IDENTIDAD",Q120="OBSERVACION_MAL_FORMADA",Q120="LEXEMA_O_FORMA"),"NO_ADMISION",IF(OR(Q120="PERFIL_NO_CONSTITUIDO",Q120="RESULTADO_NO_TERMINAL"),"FUERA_PERFIL",IF(Q120="CONTEXTO_NO_CONSTITUIDO","CONFIGURACION_PENDIENTE","VALIDA"))))</x:f>
        <x:v>VALIDA</x:v>
      </x:c>
      <x:c r="P120" s="12" t="str">
        <x:f>IF(O120&lt;&gt;"VALIDA","",IF(Q120=AA120,"1",IF(Q120=AB120,"0","U")))</x:f>
        <x:v>U</x:v>
      </x:c>
      <x:c r="Q120" s="12" t="str">
        <x:f>IF(E120="FALLO","SIN_EJECUCION_DOMINIO",IF(E120&lt;&gt;"LEGIBLE","CAPTURA_MAL_FORMADA",IF(D120&lt;&gt;"COINCIDE","IDENTIDAD",IF(OR(T120="",C120&lt;&gt;T120),"PERFIL_NO_CONSTITUIDO",IF(K120&lt;&gt;V120,IF(V120="ORDEN_ACREDITADO","ORDEN_NO_ACREDITADO","CONTEXTO_NO_CONSTITUIDO"),IF(AND(G120="AUSENTE",H120="",I120=""),"DATO_AUSENTE",IF(AND(G120="CONFLICTO",H120="",I120=""),"CONFLICTO_OBSERVACIONAL",IF(G120&lt;&gt;"UNICA","OBSERVACION_MAL_FORMADA",IF(F120&lt;&gt;U120,"OBSERVACION_INSUFICIENTE",IF(W120="RESULTADO",IF(H120=X120,AA120,IF(OR(H120="orcSucceededWithErrors",H120="orcFailed",H120="orcAborted"),AB120,IF(OR(H120="orcNotStarted",H120="orcInProgress"),"RESULTADO_NO_TERMINAL","LEXEMA_O_FORMA"))),IF(W120="EVENTO_BOOT",IF(H120=X120,AA120,IF(OR(H120="NINGUNO",H120="SOLO_HIBRIDO"),IF(J120="COMPLETA",AB120,"COBERTURA_INSUFICIENTE"),"LEXEMA_O_FORMA")),IF(W120="REQUISITO_SOFT",IF(H120=X120,AA120,IF(H120=Z120,AB120,"LEXEMA_O_FORMA")),IF(W120="EVENTO_PROC",IF(H120=X120,AA120,IF(H120=Z120,IF(J120="COMPLETA",AB120,"COBERTURA_INSUFICIENTE"),"LEXEMA_O_FORMA")),IF(W120="IMAGEN",IF(AND(AND(ISTEXT(H120),LEN(("x"&amp;H120))=65,EXACT(("x"&amp;H120),LOWER(("x"&amp;H120))),ISERROR(SEARCH(" ",("x"&amp;H120))),ISERROR(SEARCH(CHAR(9),("x"&amp;H120))),ISERROR(SEARCH(CHAR(10),("x"&amp;H120))),ISERROR(SEARCH(CHAR(13),("x"&amp;H120))),IFERROR(HEX2DEC(MID(("x"&amp;H120),2,8))&gt;=0,FALSE),IFERROR(HEX2DEC(MID(("x"&amp;H120),10,8))&gt;=0,FALSE),IFERROR(HEX2DEC(MID(("x"&amp;H120),18,8))&gt;=0,FALSE),IFERROR(HEX2DEC(MID(("x"&amp;H120),26,8))&gt;=0,FALSE),IFERROR(HEX2DEC(MID(("x"&amp;H120),34,8))&gt;=0,FALSE),IFERROR(HEX2DEC(MID(("x"&amp;H120),42,8))&gt;=0,FALSE),IFERROR(HEX2DEC(MID(("x"&amp;H120),50,8))&gt;=0,FALSE),IFERROR(HEX2DEC(MID(("x"&amp;H120),58,8))&gt;=0,FALSE)),AND(ISTEXT(I120),LEN(("x"&amp;I120))=65,EXACT(("x"&amp;I120),LOWER(("x"&amp;I120))),ISERROR(SEARCH(" ",("x"&amp;I120))),ISERROR(SEARCH(CHAR(9),("x"&amp;I120))),ISERROR(SEARCH(CHAR(10),("x"&amp;I120))),ISERROR(SEARCH(CHAR(13),("x"&amp;I120))),IFERROR(HEX2DEC(MID(("x"&amp;I120),2,8))&gt;=0,FALSE),IFERROR(HEX2DEC(MID(("x"&amp;I120),10,8))&gt;=0,FALSE),IFERROR(HEX2DEC(MID(("x"&amp;I120),18,8))&gt;=0,FALSE),IFERROR(HEX2DEC(MID(("x"&amp;I120),26,8))&gt;=0,FALSE),IFERROR(HEX2DEC(MID(("x"&amp;I120),34,8))&gt;=0,FALSE),IFERROR(HEX2DEC(MID(("x"&amp;I120),42,8))&gt;=0,FALSE),IFERROR(HEX2DEC(MID(("x"&amp;I120),50,8))&gt;=0,FALSE),IFERROR(HEX2DEC(MID(("x"&amp;I120),58,8))&gt;=0,FALSE))),IF(EXACT("x"&amp;H120,"x"&amp;I120),AA120,AB120),"LEXEMA_O_FORMA"),IF(W120="PRUEBA",IF(H120=X120,AA120,IF(H120=Z120,AB120,"LEXEMA_O_FORMA")),IF(W120="RETIRADA",IF(AND(H120="NINGUNO",I120=""),IF(J120="COMPLETA",AB120,"COBERTURA_INSUFICIENTE"),IF(AND(OR(H120="uoInstallation",H120="uoUninstallation"),OR(I120="orcSucceeded",I120="orcSucceededWithErrors",I120="orcFailed",I120="orcAborted",I120="orcInProgress",I120="orcNotStarted")),IF(AND(H120=X120,I120=Y120),AA120,IF(AND(H120=X120,OR(I120="orcSucceededWithErrors",I120="orcInProgress",I120="orcNotStarted")),"RESULTADO_RETIRADA_INCIERTO",IF(J120="COMPLETA",AB120,"COBERTURA_INSUFICIENTE"))),"LEXEMA_O_FORMA")),IF(W120="CAMBIO",IF(OR(H120="CAMBIO",H120="CAMBIO_Y_RETORNO"),AA120,IF(OR(H120="NINGUNO",H120="SOLO_RENOMBRE"),IF(J120="COMPLETA",AB120,"COBERTURA_INSUFICIENTE"),"LEXEMA_O_FORMA")),IF(W120="RESTAURACION",IF(H120=X120,AA120,IF(OR(H120="NINGUNO",H120="RESTAURACION_POSTERIOR",H120="RESTAURACION_FALLIDA"),IF(J120="COMPLETA",AB120,"COBERTURA_INSUFICIENTE"),"LEXEMA_O_FORMA")),"PERFIL_NO_CONSTITUIDO"))))))))))))))))))</x:f>
        <x:v>CONFLICTO_OBSERVACIONAL</x:v>
      </x:c>
      <x:c r="R120" s="12" t="str">
        <x:f>IF(AND(L120=O120,M120=P120,N120=Q120),"PASA","NO_PASA")</x:f>
        <x:v>PASA</x:v>
      </x:c>
      <x:c r="S120" s="4" t="str">
        <x:v>Conflicto entre observaciones admitidas del mismo sujeto y corte.</x:v>
      </x:c>
      <x:c r="T120" s="12" t="str">
        <x:f>IFERROR(INDEX('55_Codificacion_ensayo'!$B$5:$B$13,MATCH(B120,'55_Codificacion_ensayo'!$A$5:$A$13,0)),"")</x:f>
        <x:v>HISTORIA-RESTAURACION-PREVIA-0.1</x:v>
      </x:c>
      <x:c r="U120" s="12" t="str">
        <x:f>IFERROR(INDEX('55_Codificacion_ensayo'!$C$5:$C$13,MATCH(B120,'55_Codificacion_ensayo'!$A$5:$A$13,0)),"")</x:f>
        <x:v>TRABAJO_RESTAURACION</x:v>
      </x:c>
      <x:c r="V120" s="12" t="str">
        <x:f>IFERROR(INDEX('55_Codificacion_ensayo'!$D$5:$D$13,MATCH(B120,'55_Codificacion_ensayo'!$A$5:$A$13,0)),"")</x:f>
        <x:v>ORDEN_ACREDITADO</x:v>
      </x:c>
      <x:c r="W120" s="12" t="str">
        <x:f>IFERROR(INDEX('55_Codificacion_ensayo'!$E$5:$E$13,MATCH(B120,'55_Codificacion_ensayo'!$A$5:$A$13,0)),"")</x:f>
        <x:v>RESTAURACION</x:v>
      </x:c>
      <x:c r="X120" s="12" t="str">
        <x:f>IFERROR(INDEX('55_Codificacion_ensayo'!$F$5:$F$13,MATCH(B120,'55_Codificacion_ensayo'!$A$5:$A$13,0)),"")</x:f>
        <x:v>RESTAURACION_PREVIA</x:v>
      </x:c>
      <x:c r="Y120" s="12" t="str">
        <x:f>IFERROR(INDEX('55_Codificacion_ensayo'!$G$5:$G$13,MATCH(B120,'55_Codificacion_ensayo'!$A$5:$A$13,0)),"")</x:f>
      </x:c>
      <x:c r="Z120" s="12" t="str">
        <x:f>IFERROR(INDEX('55_Codificacion_ensayo'!$H$5:$H$13,MATCH(B120,'55_Codificacion_ensayo'!$A$5:$A$13,0)),"")</x:f>
        <x:v>NINGUNO</x:v>
      </x:c>
      <x:c r="AA120" s="12" t="str">
        <x:f>IFERROR(INDEX('55_Codificacion_ensayo'!$I$5:$I$13,MATCH(B120,'55_Codificacion_ensayo'!$A$5:$A$13,0)),"")</x:f>
        <x:v>RESTAURACION_PREVIA</x:v>
      </x:c>
      <x:c r="AB120" s="12" t="str">
        <x:f>IFERROR(INDEX('55_Codificacion_ensayo'!$J$5:$J$13,MATCH(B120,'55_Codificacion_ensayo'!$A$5:$A$13,0)),"")</x:f>
        <x:v>SIN_RESTAURACION_PREVIA</x:v>
      </x:c>
    </x:row>
    <x:row r="121" ht="47" customHeight="1">
      <x:c r="A121" s="4" t="str">
        <x:v>L10-10-05</x:v>
      </x:c>
      <x:c r="B121" s="4" t="str">
        <x:v>PAR-CYB-RESTAURACION-PREVIA-COMUNICADA-001</x:v>
      </x:c>
      <x:c r="C121" s="4" t="str">
        <x:v>HISTORIA-RESTAURACION-PREVIA-0.1</x:v>
      </x:c>
      <x:c r="D121" s="4" t="str">
        <x:v>COINCIDE</x:v>
      </x:c>
      <x:c r="E121" s="4" t="str">
        <x:v>FALLO</x:v>
      </x:c>
      <x:c r="F121" s="4" t="str">
        <x:v>TRABAJO_RESTAURACION</x:v>
      </x:c>
      <x:c r="G121" s="4" t="str">
        <x:v>UNICA</x:v>
      </x:c>
      <x:c r="H121" s="4" t="str">
        <x:v>RESTAURACION_PREVIA</x:v>
      </x:c>
      <x:c r="I121" s="4" t="str"/>
      <x:c r="J121" s="4" t="str">
        <x:v>COMPLETA</x:v>
      </x:c>
      <x:c r="K121" s="4" t="str">
        <x:v>ORDEN_ACREDITADO</x:v>
      </x:c>
      <x:c r="L121" s="4" t="str">
        <x:v>FALLO_CAPTURA</x:v>
      </x:c>
      <x:c r="M121" s="4" t="str"/>
      <x:c r="N121" s="4" t="str">
        <x:v>SIN_EJECUCION_DOMINIO</x:v>
      </x:c>
      <x:c r="O121" s="12" t="str">
        <x:f>IF(Q121="SIN_EJECUCION_DOMINIO","FALLO_CAPTURA",IF(OR(Q121="CAPTURA_MAL_FORMADA",Q121="IDENTIDAD",Q121="OBSERVACION_MAL_FORMADA",Q121="LEXEMA_O_FORMA"),"NO_ADMISION",IF(OR(Q121="PERFIL_NO_CONSTITUIDO",Q121="RESULTADO_NO_TERMINAL"),"FUERA_PERFIL",IF(Q121="CONTEXTO_NO_CONSTITUIDO","CONFIGURACION_PENDIENTE","VALIDA"))))</x:f>
        <x:v>FALLO_CAPTURA</x:v>
      </x:c>
      <x:c r="P121" s="12" t="str">
        <x:f>IF(O121&lt;&gt;"VALIDA","",IF(Q121=AA121,"1",IF(Q121=AB121,"0","U")))</x:f>
      </x:c>
      <x:c r="Q121" s="12" t="str">
        <x:f>IF(E121="FALLO","SIN_EJECUCION_DOMINIO",IF(E121&lt;&gt;"LEGIBLE","CAPTURA_MAL_FORMADA",IF(D121&lt;&gt;"COINCIDE","IDENTIDAD",IF(OR(T121="",C121&lt;&gt;T121),"PERFIL_NO_CONSTITUIDO",IF(K121&lt;&gt;V121,IF(V121="ORDEN_ACREDITADO","ORDEN_NO_ACREDITADO","CONTEXTO_NO_CONSTITUIDO"),IF(AND(G121="AUSENTE",H121="",I121=""),"DATO_AUSENTE",IF(AND(G121="CONFLICTO",H121="",I121=""),"CONFLICTO_OBSERVACIONAL",IF(G121&lt;&gt;"UNICA","OBSERVACION_MAL_FORMADA",IF(F121&lt;&gt;U121,"OBSERVACION_INSUFICIENTE",IF(W121="RESULTADO",IF(H121=X121,AA121,IF(OR(H121="orcSucceededWithErrors",H121="orcFailed",H121="orcAborted"),AB121,IF(OR(H121="orcNotStarted",H121="orcInProgress"),"RESULTADO_NO_TERMINAL","LEXEMA_O_FORMA"))),IF(W121="EVENTO_BOOT",IF(H121=X121,AA121,IF(OR(H121="NINGUNO",H121="SOLO_HIBRIDO"),IF(J121="COMPLETA",AB121,"COBERTURA_INSUFICIENTE"),"LEXEMA_O_FORMA")),IF(W121="REQUISITO_SOFT",IF(H121=X121,AA121,IF(H121=Z121,AB121,"LEXEMA_O_FORMA")),IF(W121="EVENTO_PROC",IF(H121=X121,AA121,IF(H121=Z121,IF(J121="COMPLETA",AB121,"COBERTURA_INSUFICIENTE"),"LEXEMA_O_FORMA")),IF(W121="IMAGEN",IF(AND(AND(ISTEXT(H121),LEN(("x"&amp;H121))=65,EXACT(("x"&amp;H121),LOWER(("x"&amp;H121))),ISERROR(SEARCH(" ",("x"&amp;H121))),ISERROR(SEARCH(CHAR(9),("x"&amp;H121))),ISERROR(SEARCH(CHAR(10),("x"&amp;H121))),ISERROR(SEARCH(CHAR(13),("x"&amp;H121))),IFERROR(HEX2DEC(MID(("x"&amp;H121),2,8))&gt;=0,FALSE),IFERROR(HEX2DEC(MID(("x"&amp;H121),10,8))&gt;=0,FALSE),IFERROR(HEX2DEC(MID(("x"&amp;H121),18,8))&gt;=0,FALSE),IFERROR(HEX2DEC(MID(("x"&amp;H121),26,8))&gt;=0,FALSE),IFERROR(HEX2DEC(MID(("x"&amp;H121),34,8))&gt;=0,FALSE),IFERROR(HEX2DEC(MID(("x"&amp;H121),42,8))&gt;=0,FALSE),IFERROR(HEX2DEC(MID(("x"&amp;H121),50,8))&gt;=0,FALSE),IFERROR(HEX2DEC(MID(("x"&amp;H121),58,8))&gt;=0,FALSE)),AND(ISTEXT(I121),LEN(("x"&amp;I121))=65,EXACT(("x"&amp;I121),LOWER(("x"&amp;I121))),ISERROR(SEARCH(" ",("x"&amp;I121))),ISERROR(SEARCH(CHAR(9),("x"&amp;I121))),ISERROR(SEARCH(CHAR(10),("x"&amp;I121))),ISERROR(SEARCH(CHAR(13),("x"&amp;I121))),IFERROR(HEX2DEC(MID(("x"&amp;I121),2,8))&gt;=0,FALSE),IFERROR(HEX2DEC(MID(("x"&amp;I121),10,8))&gt;=0,FALSE),IFERROR(HEX2DEC(MID(("x"&amp;I121),18,8))&gt;=0,FALSE),IFERROR(HEX2DEC(MID(("x"&amp;I121),26,8))&gt;=0,FALSE),IFERROR(HEX2DEC(MID(("x"&amp;I121),34,8))&gt;=0,FALSE),IFERROR(HEX2DEC(MID(("x"&amp;I121),42,8))&gt;=0,FALSE),IFERROR(HEX2DEC(MID(("x"&amp;I121),50,8))&gt;=0,FALSE),IFERROR(HEX2DEC(MID(("x"&amp;I121),58,8))&gt;=0,FALSE))),IF(EXACT("x"&amp;H121,"x"&amp;I121),AA121,AB121),"LEXEMA_O_FORMA"),IF(W121="PRUEBA",IF(H121=X121,AA121,IF(H121=Z121,AB121,"LEXEMA_O_FORMA")),IF(W121="RETIRADA",IF(AND(H121="NINGUNO",I121=""),IF(J121="COMPLETA",AB121,"COBERTURA_INSUFICIENTE"),IF(AND(OR(H121="uoInstallation",H121="uoUninstallation"),OR(I121="orcSucceeded",I121="orcSucceededWithErrors",I121="orcFailed",I121="orcAborted",I121="orcInProgress",I121="orcNotStarted")),IF(AND(H121=X121,I121=Y121),AA121,IF(AND(H121=X121,OR(I121="orcSucceededWithErrors",I121="orcInProgress",I121="orcNotStarted")),"RESULTADO_RETIRADA_INCIERTO",IF(J121="COMPLETA",AB121,"COBERTURA_INSUFICIENTE"))),"LEXEMA_O_FORMA")),IF(W121="CAMBIO",IF(OR(H121="CAMBIO",H121="CAMBIO_Y_RETORNO"),AA121,IF(OR(H121="NINGUNO",H121="SOLO_RENOMBRE"),IF(J121="COMPLETA",AB121,"COBERTURA_INSUFICIENTE"),"LEXEMA_O_FORMA")),IF(W121="RESTAURACION",IF(H121=X121,AA121,IF(OR(H121="NINGUNO",H121="RESTAURACION_POSTERIOR",H121="RESTAURACION_FALLIDA"),IF(J121="COMPLETA",AB121,"COBERTURA_INSUFICIENTE"),"LEXEMA_O_FORMA")),"PERFIL_NO_CONSTITUIDO"))))))))))))))))))</x:f>
        <x:v>SIN_EJECUCION_DOMINIO</x:v>
      </x:c>
      <x:c r="R121" s="12" t="str">
        <x:f>IF(AND(L121=O121,M121=P121,N121=Q121),"PASA","NO_PASA")</x:f>
        <x:v>PASA</x:v>
      </x:c>
      <x:c r="S121" s="4" t="str">
        <x:v>El observador falla; no existe ejecución de dominio ni Tri alternativo.</x:v>
      </x:c>
      <x:c r="T121" s="12" t="str">
        <x:f>IFERROR(INDEX('55_Codificacion_ensayo'!$B$5:$B$13,MATCH(B121,'55_Codificacion_ensayo'!$A$5:$A$13,0)),"")</x:f>
        <x:v>HISTORIA-RESTAURACION-PREVIA-0.1</x:v>
      </x:c>
      <x:c r="U121" s="12" t="str">
        <x:f>IFERROR(INDEX('55_Codificacion_ensayo'!$C$5:$C$13,MATCH(B121,'55_Codificacion_ensayo'!$A$5:$A$13,0)),"")</x:f>
        <x:v>TRABAJO_RESTAURACION</x:v>
      </x:c>
      <x:c r="V121" s="12" t="str">
        <x:f>IFERROR(INDEX('55_Codificacion_ensayo'!$D$5:$D$13,MATCH(B121,'55_Codificacion_ensayo'!$A$5:$A$13,0)),"")</x:f>
        <x:v>ORDEN_ACREDITADO</x:v>
      </x:c>
      <x:c r="W121" s="12" t="str">
        <x:f>IFERROR(INDEX('55_Codificacion_ensayo'!$E$5:$E$13,MATCH(B121,'55_Codificacion_ensayo'!$A$5:$A$13,0)),"")</x:f>
        <x:v>RESTAURACION</x:v>
      </x:c>
      <x:c r="X121" s="12" t="str">
        <x:f>IFERROR(INDEX('55_Codificacion_ensayo'!$F$5:$F$13,MATCH(B121,'55_Codificacion_ensayo'!$A$5:$A$13,0)),"")</x:f>
        <x:v>RESTAURACION_PREVIA</x:v>
      </x:c>
      <x:c r="Y121" s="12" t="str">
        <x:f>IFERROR(INDEX('55_Codificacion_ensayo'!$G$5:$G$13,MATCH(B121,'55_Codificacion_ensayo'!$A$5:$A$13,0)),"")</x:f>
      </x:c>
      <x:c r="Z121" s="12" t="str">
        <x:f>IFERROR(INDEX('55_Codificacion_ensayo'!$H$5:$H$13,MATCH(B121,'55_Codificacion_ensayo'!$A$5:$A$13,0)),"")</x:f>
        <x:v>NINGUNO</x:v>
      </x:c>
      <x:c r="AA121" s="12" t="str">
        <x:f>IFERROR(INDEX('55_Codificacion_ensayo'!$I$5:$I$13,MATCH(B121,'55_Codificacion_ensayo'!$A$5:$A$13,0)),"")</x:f>
        <x:v>RESTAURACION_PREVIA</x:v>
      </x:c>
      <x:c r="AB121" s="12" t="str">
        <x:f>IFERROR(INDEX('55_Codificacion_ensayo'!$J$5:$J$13,MATCH(B121,'55_Codificacion_ensayo'!$A$5:$A$13,0)),"")</x:f>
        <x:v>SIN_RESTAURACION_PREVIA</x:v>
      </x:c>
    </x:row>
    <x:row r="122" ht="47" customHeight="1">
      <x:c r="A122" s="4" t="str">
        <x:v>L10-10-06</x:v>
      </x:c>
      <x:c r="B122" s="4" t="str">
        <x:v>PAR-CYB-RESTAURACION-PREVIA-COMUNICADA-001</x:v>
      </x:c>
      <x:c r="C122" s="4" t="str">
        <x:v>HISTORIA-RESTAURACION-PREVIA-0.1</x:v>
      </x:c>
      <x:c r="D122" s="4" t="str">
        <x:v>OTRO</x:v>
      </x:c>
      <x:c r="E122" s="4" t="str">
        <x:v>LEGIBLE</x:v>
      </x:c>
      <x:c r="F122" s="4" t="str">
        <x:v>TRABAJO_RESTAURACION</x:v>
      </x:c>
      <x:c r="G122" s="4" t="str">
        <x:v>UNICA</x:v>
      </x:c>
      <x:c r="H122" s="4" t="str">
        <x:v>RESTAURACION_PREVIA</x:v>
      </x:c>
      <x:c r="I122" s="4" t="str"/>
      <x:c r="J122" s="4" t="str">
        <x:v>COMPLETA</x:v>
      </x:c>
      <x:c r="K122" s="4" t="str">
        <x:v>ORDEN_ACREDITADO</x:v>
      </x:c>
      <x:c r="L122" s="4" t="str">
        <x:v>NO_ADMISION</x:v>
      </x:c>
      <x:c r="M122" s="4" t="str"/>
      <x:c r="N122" s="4" t="str">
        <x:v>IDENTIDAD</x:v>
      </x:c>
      <x:c r="O122" s="12" t="str">
        <x:f>IF(Q122="SIN_EJECUCION_DOMINIO","FALLO_CAPTURA",IF(OR(Q122="CAPTURA_MAL_FORMADA",Q122="IDENTIDAD",Q122="OBSERVACION_MAL_FORMADA",Q122="LEXEMA_O_FORMA"),"NO_ADMISION",IF(OR(Q122="PERFIL_NO_CONSTITUIDO",Q122="RESULTADO_NO_TERMINAL"),"FUERA_PERFIL",IF(Q122="CONTEXTO_NO_CONSTITUIDO","CONFIGURACION_PENDIENTE","VALIDA"))))</x:f>
        <x:v>NO_ADMISION</x:v>
      </x:c>
      <x:c r="P122" s="12" t="str">
        <x:f>IF(O122&lt;&gt;"VALIDA","",IF(Q122=AA122,"1",IF(Q122=AB122,"0","U")))</x:f>
      </x:c>
      <x:c r="Q122" s="12" t="str">
        <x:f>IF(E122="FALLO","SIN_EJECUCION_DOMINIO",IF(E122&lt;&gt;"LEGIBLE","CAPTURA_MAL_FORMADA",IF(D122&lt;&gt;"COINCIDE","IDENTIDAD",IF(OR(T122="",C122&lt;&gt;T122),"PERFIL_NO_CONSTITUIDO",IF(K122&lt;&gt;V122,IF(V122="ORDEN_ACREDITADO","ORDEN_NO_ACREDITADO","CONTEXTO_NO_CONSTITUIDO"),IF(AND(G122="AUSENTE",H122="",I122=""),"DATO_AUSENTE",IF(AND(G122="CONFLICTO",H122="",I122=""),"CONFLICTO_OBSERVACIONAL",IF(G122&lt;&gt;"UNICA","OBSERVACION_MAL_FORMADA",IF(F122&lt;&gt;U122,"OBSERVACION_INSUFICIENTE",IF(W122="RESULTADO",IF(H122=X122,AA122,IF(OR(H122="orcSucceededWithErrors",H122="orcFailed",H122="orcAborted"),AB122,IF(OR(H122="orcNotStarted",H122="orcInProgress"),"RESULTADO_NO_TERMINAL","LEXEMA_O_FORMA"))),IF(W122="EVENTO_BOOT",IF(H122=X122,AA122,IF(OR(H122="NINGUNO",H122="SOLO_HIBRIDO"),IF(J122="COMPLETA",AB122,"COBERTURA_INSUFICIENTE"),"LEXEMA_O_FORMA")),IF(W122="REQUISITO_SOFT",IF(H122=X122,AA122,IF(H122=Z122,AB122,"LEXEMA_O_FORMA")),IF(W122="EVENTO_PROC",IF(H122=X122,AA122,IF(H122=Z122,IF(J122="COMPLETA",AB122,"COBERTURA_INSUFICIENTE"),"LEXEMA_O_FORMA")),IF(W122="IMAGEN",IF(AND(AND(ISTEXT(H122),LEN(("x"&amp;H122))=65,EXACT(("x"&amp;H122),LOWER(("x"&amp;H122))),ISERROR(SEARCH(" ",("x"&amp;H122))),ISERROR(SEARCH(CHAR(9),("x"&amp;H122))),ISERROR(SEARCH(CHAR(10),("x"&amp;H122))),ISERROR(SEARCH(CHAR(13),("x"&amp;H122))),IFERROR(HEX2DEC(MID(("x"&amp;H122),2,8))&gt;=0,FALSE),IFERROR(HEX2DEC(MID(("x"&amp;H122),10,8))&gt;=0,FALSE),IFERROR(HEX2DEC(MID(("x"&amp;H122),18,8))&gt;=0,FALSE),IFERROR(HEX2DEC(MID(("x"&amp;H122),26,8))&gt;=0,FALSE),IFERROR(HEX2DEC(MID(("x"&amp;H122),34,8))&gt;=0,FALSE),IFERROR(HEX2DEC(MID(("x"&amp;H122),42,8))&gt;=0,FALSE),IFERROR(HEX2DEC(MID(("x"&amp;H122),50,8))&gt;=0,FALSE),IFERROR(HEX2DEC(MID(("x"&amp;H122),58,8))&gt;=0,FALSE)),AND(ISTEXT(I122),LEN(("x"&amp;I122))=65,EXACT(("x"&amp;I122),LOWER(("x"&amp;I122))),ISERROR(SEARCH(" ",("x"&amp;I122))),ISERROR(SEARCH(CHAR(9),("x"&amp;I122))),ISERROR(SEARCH(CHAR(10),("x"&amp;I122))),ISERROR(SEARCH(CHAR(13),("x"&amp;I122))),IFERROR(HEX2DEC(MID(("x"&amp;I122),2,8))&gt;=0,FALSE),IFERROR(HEX2DEC(MID(("x"&amp;I122),10,8))&gt;=0,FALSE),IFERROR(HEX2DEC(MID(("x"&amp;I122),18,8))&gt;=0,FALSE),IFERROR(HEX2DEC(MID(("x"&amp;I122),26,8))&gt;=0,FALSE),IFERROR(HEX2DEC(MID(("x"&amp;I122),34,8))&gt;=0,FALSE),IFERROR(HEX2DEC(MID(("x"&amp;I122),42,8))&gt;=0,FALSE),IFERROR(HEX2DEC(MID(("x"&amp;I122),50,8))&gt;=0,FALSE),IFERROR(HEX2DEC(MID(("x"&amp;I122),58,8))&gt;=0,FALSE))),IF(EXACT("x"&amp;H122,"x"&amp;I122),AA122,AB122),"LEXEMA_O_FORMA"),IF(W122="PRUEBA",IF(H122=X122,AA122,IF(H122=Z122,AB122,"LEXEMA_O_FORMA")),IF(W122="RETIRADA",IF(AND(H122="NINGUNO",I122=""),IF(J122="COMPLETA",AB122,"COBERTURA_INSUFICIENTE"),IF(AND(OR(H122="uoInstallation",H122="uoUninstallation"),OR(I122="orcSucceeded",I122="orcSucceededWithErrors",I122="orcFailed",I122="orcAborted",I122="orcInProgress",I122="orcNotStarted")),IF(AND(H122=X122,I122=Y122),AA122,IF(AND(H122=X122,OR(I122="orcSucceededWithErrors",I122="orcInProgress",I122="orcNotStarted")),"RESULTADO_RETIRADA_INCIERTO",IF(J122="COMPLETA",AB122,"COBERTURA_INSUFICIENTE"))),"LEXEMA_O_FORMA")),IF(W122="CAMBIO",IF(OR(H122="CAMBIO",H122="CAMBIO_Y_RETORNO"),AA122,IF(OR(H122="NINGUNO",H122="SOLO_RENOMBRE"),IF(J122="COMPLETA",AB122,"COBERTURA_INSUFICIENTE"),"LEXEMA_O_FORMA")),IF(W122="RESTAURACION",IF(H122=X122,AA122,IF(OR(H122="NINGUNO",H122="RESTAURACION_POSTERIOR",H122="RESTAURACION_FALLIDA"),IF(J122="COMPLETA",AB122,"COBERTURA_INSUFICIENTE"),"LEXEMA_O_FORMA")),"PERFIL_NO_CONSTITUIDO"))))))))))))))))))</x:f>
        <x:v>IDENTIDAD</x:v>
      </x:c>
      <x:c r="R122" s="12" t="str">
        <x:f>IF(AND(L122=O122,M122=P122,N122=Q122),"PASA","NO_PASA")</x:f>
        <x:v>PASA</x:v>
      </x:c>
      <x:c r="S122" s="4" t="str">
        <x:v>El testigo pertenece a otro sujeto; no se recicla su dato.</x:v>
      </x:c>
      <x:c r="T122" s="12" t="str">
        <x:f>IFERROR(INDEX('55_Codificacion_ensayo'!$B$5:$B$13,MATCH(B122,'55_Codificacion_ensayo'!$A$5:$A$13,0)),"")</x:f>
        <x:v>HISTORIA-RESTAURACION-PREVIA-0.1</x:v>
      </x:c>
      <x:c r="U122" s="12" t="str">
        <x:f>IFERROR(INDEX('55_Codificacion_ensayo'!$C$5:$C$13,MATCH(B122,'55_Codificacion_ensayo'!$A$5:$A$13,0)),"")</x:f>
        <x:v>TRABAJO_RESTAURACION</x:v>
      </x:c>
      <x:c r="V122" s="12" t="str">
        <x:f>IFERROR(INDEX('55_Codificacion_ensayo'!$D$5:$D$13,MATCH(B122,'55_Codificacion_ensayo'!$A$5:$A$13,0)),"")</x:f>
        <x:v>ORDEN_ACREDITADO</x:v>
      </x:c>
      <x:c r="W122" s="12" t="str">
        <x:f>IFERROR(INDEX('55_Codificacion_ensayo'!$E$5:$E$13,MATCH(B122,'55_Codificacion_ensayo'!$A$5:$A$13,0)),"")</x:f>
        <x:v>RESTAURACION</x:v>
      </x:c>
      <x:c r="X122" s="12" t="str">
        <x:f>IFERROR(INDEX('55_Codificacion_ensayo'!$F$5:$F$13,MATCH(B122,'55_Codificacion_ensayo'!$A$5:$A$13,0)),"")</x:f>
        <x:v>RESTAURACION_PREVIA</x:v>
      </x:c>
      <x:c r="Y122" s="12" t="str">
        <x:f>IFERROR(INDEX('55_Codificacion_ensayo'!$G$5:$G$13,MATCH(B122,'55_Codificacion_ensayo'!$A$5:$A$13,0)),"")</x:f>
      </x:c>
      <x:c r="Z122" s="12" t="str">
        <x:f>IFERROR(INDEX('55_Codificacion_ensayo'!$H$5:$H$13,MATCH(B122,'55_Codificacion_ensayo'!$A$5:$A$13,0)),"")</x:f>
        <x:v>NINGUNO</x:v>
      </x:c>
      <x:c r="AA122" s="12" t="str">
        <x:f>IFERROR(INDEX('55_Codificacion_ensayo'!$I$5:$I$13,MATCH(B122,'55_Codificacion_ensayo'!$A$5:$A$13,0)),"")</x:f>
        <x:v>RESTAURACION_PREVIA</x:v>
      </x:c>
      <x:c r="AB122" s="12" t="str">
        <x:f>IFERROR(INDEX('55_Codificacion_ensayo'!$J$5:$J$13,MATCH(B122,'55_Codificacion_ensayo'!$A$5:$A$13,0)),"")</x:f>
        <x:v>SIN_RESTAURACION_PREVIA</x:v>
      </x:c>
    </x:row>
    <x:row r="123" ht="47" customHeight="1">
      <x:c r="A123" s="4" t="str">
        <x:v>L10-10-07</x:v>
      </x:c>
      <x:c r="B123" s="4" t="str">
        <x:v>PAR-CYB-RESTAURACION-PREVIA-COMUNICADA-001</x:v>
      </x:c>
      <x:c r="C123" s="4" t="str">
        <x:v>HISTORIA-RESTAURACION-PREVIA-0.1</x:v>
      </x:c>
      <x:c r="D123" s="4" t="str">
        <x:v>COINCIDE</x:v>
      </x:c>
      <x:c r="E123" s="4" t="str">
        <x:v>LEGIBLE</x:v>
      </x:c>
      <x:c r="F123" s="4" t="str">
        <x:v>FUENTE_GENERAL</x:v>
      </x:c>
      <x:c r="G123" s="4" t="str">
        <x:v>UNICA</x:v>
      </x:c>
      <x:c r="H123" s="4" t="str">
        <x:v>RESTAURACION_PREVIA</x:v>
      </x:c>
      <x:c r="I123" s="4" t="str"/>
      <x:c r="J123" s="4" t="str">
        <x:v>COMPLETA</x:v>
      </x:c>
      <x:c r="K123" s="4" t="str">
        <x:v>ORDEN_ACREDITADO</x:v>
      </x:c>
      <x:c r="L123" s="4" t="str">
        <x:v>VALIDA</x:v>
      </x:c>
      <x:c r="M123" s="4" t="str">
        <x:v>U</x:v>
      </x:c>
      <x:c r="N123" s="4" t="str">
        <x:v>OBSERVACION_INSUFICIENTE</x:v>
      </x:c>
      <x:c r="O123" s="12" t="str">
        <x:f>IF(Q123="SIN_EJECUCION_DOMINIO","FALLO_CAPTURA",IF(OR(Q123="CAPTURA_MAL_FORMADA",Q123="IDENTIDAD",Q123="OBSERVACION_MAL_FORMADA",Q123="LEXEMA_O_FORMA"),"NO_ADMISION",IF(OR(Q123="PERFIL_NO_CONSTITUIDO",Q123="RESULTADO_NO_TERMINAL"),"FUERA_PERFIL",IF(Q123="CONTEXTO_NO_CONSTITUIDO","CONFIGURACION_PENDIENTE","VALIDA"))))</x:f>
        <x:v>VALIDA</x:v>
      </x:c>
      <x:c r="P123" s="12" t="str">
        <x:f>IF(O123&lt;&gt;"VALIDA","",IF(Q123=AA123,"1",IF(Q123=AB123,"0","U")))</x:f>
        <x:v>U</x:v>
      </x:c>
      <x:c r="Q123" s="12" t="str">
        <x:f>IF(E123="FALLO","SIN_EJECUCION_DOMINIO",IF(E123&lt;&gt;"LEGIBLE","CAPTURA_MAL_FORMADA",IF(D123&lt;&gt;"COINCIDE","IDENTIDAD",IF(OR(T123="",C123&lt;&gt;T123),"PERFIL_NO_CONSTITUIDO",IF(K123&lt;&gt;V123,IF(V123="ORDEN_ACREDITADO","ORDEN_NO_ACREDITADO","CONTEXTO_NO_CONSTITUIDO"),IF(AND(G123="AUSENTE",H123="",I123=""),"DATO_AUSENTE",IF(AND(G123="CONFLICTO",H123="",I123=""),"CONFLICTO_OBSERVACIONAL",IF(G123&lt;&gt;"UNICA","OBSERVACION_MAL_FORMADA",IF(F123&lt;&gt;U123,"OBSERVACION_INSUFICIENTE",IF(W123="RESULTADO",IF(H123=X123,AA123,IF(OR(H123="orcSucceededWithErrors",H123="orcFailed",H123="orcAborted"),AB123,IF(OR(H123="orcNotStarted",H123="orcInProgress"),"RESULTADO_NO_TERMINAL","LEXEMA_O_FORMA"))),IF(W123="EVENTO_BOOT",IF(H123=X123,AA123,IF(OR(H123="NINGUNO",H123="SOLO_HIBRIDO"),IF(J123="COMPLETA",AB123,"COBERTURA_INSUFICIENTE"),"LEXEMA_O_FORMA")),IF(W123="REQUISITO_SOFT",IF(H123=X123,AA123,IF(H123=Z123,AB123,"LEXEMA_O_FORMA")),IF(W123="EVENTO_PROC",IF(H123=X123,AA123,IF(H123=Z123,IF(J123="COMPLETA",AB123,"COBERTURA_INSUFICIENTE"),"LEXEMA_O_FORMA")),IF(W123="IMAGEN",IF(AND(AND(ISTEXT(H123),LEN(("x"&amp;H123))=65,EXACT(("x"&amp;H123),LOWER(("x"&amp;H123))),ISERROR(SEARCH(" ",("x"&amp;H123))),ISERROR(SEARCH(CHAR(9),("x"&amp;H123))),ISERROR(SEARCH(CHAR(10),("x"&amp;H123))),ISERROR(SEARCH(CHAR(13),("x"&amp;H123))),IFERROR(HEX2DEC(MID(("x"&amp;H123),2,8))&gt;=0,FALSE),IFERROR(HEX2DEC(MID(("x"&amp;H123),10,8))&gt;=0,FALSE),IFERROR(HEX2DEC(MID(("x"&amp;H123),18,8))&gt;=0,FALSE),IFERROR(HEX2DEC(MID(("x"&amp;H123),26,8))&gt;=0,FALSE),IFERROR(HEX2DEC(MID(("x"&amp;H123),34,8))&gt;=0,FALSE),IFERROR(HEX2DEC(MID(("x"&amp;H123),42,8))&gt;=0,FALSE),IFERROR(HEX2DEC(MID(("x"&amp;H123),50,8))&gt;=0,FALSE),IFERROR(HEX2DEC(MID(("x"&amp;H123),58,8))&gt;=0,FALSE)),AND(ISTEXT(I123),LEN(("x"&amp;I123))=65,EXACT(("x"&amp;I123),LOWER(("x"&amp;I123))),ISERROR(SEARCH(" ",("x"&amp;I123))),ISERROR(SEARCH(CHAR(9),("x"&amp;I123))),ISERROR(SEARCH(CHAR(10),("x"&amp;I123))),ISERROR(SEARCH(CHAR(13),("x"&amp;I123))),IFERROR(HEX2DEC(MID(("x"&amp;I123),2,8))&gt;=0,FALSE),IFERROR(HEX2DEC(MID(("x"&amp;I123),10,8))&gt;=0,FALSE),IFERROR(HEX2DEC(MID(("x"&amp;I123),18,8))&gt;=0,FALSE),IFERROR(HEX2DEC(MID(("x"&amp;I123),26,8))&gt;=0,FALSE),IFERROR(HEX2DEC(MID(("x"&amp;I123),34,8))&gt;=0,FALSE),IFERROR(HEX2DEC(MID(("x"&amp;I123),42,8))&gt;=0,FALSE),IFERROR(HEX2DEC(MID(("x"&amp;I123),50,8))&gt;=0,FALSE),IFERROR(HEX2DEC(MID(("x"&amp;I123),58,8))&gt;=0,FALSE))),IF(EXACT("x"&amp;H123,"x"&amp;I123),AA123,AB123),"LEXEMA_O_FORMA"),IF(W123="PRUEBA",IF(H123=X123,AA123,IF(H123=Z123,AB123,"LEXEMA_O_FORMA")),IF(W123="RETIRADA",IF(AND(H123="NINGUNO",I123=""),IF(J123="COMPLETA",AB123,"COBERTURA_INSUFICIENTE"),IF(AND(OR(H123="uoInstallation",H123="uoUninstallation"),OR(I123="orcSucceeded",I123="orcSucceededWithErrors",I123="orcFailed",I123="orcAborted",I123="orcInProgress",I123="orcNotStarted")),IF(AND(H123=X123,I123=Y123),AA123,IF(AND(H123=X123,OR(I123="orcSucceededWithErrors",I123="orcInProgress",I123="orcNotStarted")),"RESULTADO_RETIRADA_INCIERTO",IF(J123="COMPLETA",AB123,"COBERTURA_INSUFICIENTE"))),"LEXEMA_O_FORMA")),IF(W123="CAMBIO",IF(OR(H123="CAMBIO",H123="CAMBIO_Y_RETORNO"),AA123,IF(OR(H123="NINGUNO",H123="SOLO_RENOMBRE"),IF(J123="COMPLETA",AB123,"COBERTURA_INSUFICIENTE"),"LEXEMA_O_FORMA")),IF(W123="RESTAURACION",IF(H123=X123,AA123,IF(OR(H123="NINGUNO",H123="RESTAURACION_POSTERIOR",H123="RESTAURACION_FALLIDA"),IF(J123="COMPLETA",AB123,"COBERTURA_INSUFICIENTE"),"LEXEMA_O_FORMA")),"PERFIL_NO_CONSTITUIDO"))))))))))))))))))</x:f>
        <x:v>OBSERVACION_INSUFICIENTE</x:v>
      </x:c>
      <x:c r="R123" s="12" t="str">
        <x:f>IF(AND(L123=O123,M123=P123,N123=Q123),"PASA","NO_PASA")</x:f>
        <x:v>PASA</x:v>
      </x:c>
      <x:c r="S123" s="4" t="str">
        <x:v>Una fuente del dominio no sustituye la observación específica del episodio.</x:v>
      </x:c>
      <x:c r="T123" s="12" t="str">
        <x:f>IFERROR(INDEX('55_Codificacion_ensayo'!$B$5:$B$13,MATCH(B123,'55_Codificacion_ensayo'!$A$5:$A$13,0)),"")</x:f>
        <x:v>HISTORIA-RESTAURACION-PREVIA-0.1</x:v>
      </x:c>
      <x:c r="U123" s="12" t="str">
        <x:f>IFERROR(INDEX('55_Codificacion_ensayo'!$C$5:$C$13,MATCH(B123,'55_Codificacion_ensayo'!$A$5:$A$13,0)),"")</x:f>
        <x:v>TRABAJO_RESTAURACION</x:v>
      </x:c>
      <x:c r="V123" s="12" t="str">
        <x:f>IFERROR(INDEX('55_Codificacion_ensayo'!$D$5:$D$13,MATCH(B123,'55_Codificacion_ensayo'!$A$5:$A$13,0)),"")</x:f>
        <x:v>ORDEN_ACREDITADO</x:v>
      </x:c>
      <x:c r="W123" s="12" t="str">
        <x:f>IFERROR(INDEX('55_Codificacion_ensayo'!$E$5:$E$13,MATCH(B123,'55_Codificacion_ensayo'!$A$5:$A$13,0)),"")</x:f>
        <x:v>RESTAURACION</x:v>
      </x:c>
      <x:c r="X123" s="12" t="str">
        <x:f>IFERROR(INDEX('55_Codificacion_ensayo'!$F$5:$F$13,MATCH(B123,'55_Codificacion_ensayo'!$A$5:$A$13,0)),"")</x:f>
        <x:v>RESTAURACION_PREVIA</x:v>
      </x:c>
      <x:c r="Y123" s="12" t="str">
        <x:f>IFERROR(INDEX('55_Codificacion_ensayo'!$G$5:$G$13,MATCH(B123,'55_Codificacion_ensayo'!$A$5:$A$13,0)),"")</x:f>
      </x:c>
      <x:c r="Z123" s="12" t="str">
        <x:f>IFERROR(INDEX('55_Codificacion_ensayo'!$H$5:$H$13,MATCH(B123,'55_Codificacion_ensayo'!$A$5:$A$13,0)),"")</x:f>
        <x:v>NINGUNO</x:v>
      </x:c>
      <x:c r="AA123" s="12" t="str">
        <x:f>IFERROR(INDEX('55_Codificacion_ensayo'!$I$5:$I$13,MATCH(B123,'55_Codificacion_ensayo'!$A$5:$A$13,0)),"")</x:f>
        <x:v>RESTAURACION_PREVIA</x:v>
      </x:c>
      <x:c r="AB123" s="12" t="str">
        <x:f>IFERROR(INDEX('55_Codificacion_ensayo'!$J$5:$J$13,MATCH(B123,'55_Codificacion_ensayo'!$A$5:$A$13,0)),"")</x:f>
        <x:v>SIN_RESTAURACION_PREVIA</x:v>
      </x:c>
    </x:row>
    <x:row r="124" ht="47" customHeight="1">
      <x:c r="A124" s="4" t="str">
        <x:v>L10-10-08</x:v>
      </x:c>
      <x:c r="B124" s="4" t="str">
        <x:v>PAR-CYB-RESTAURACION-PREVIA-COMUNICADA-001</x:v>
      </x:c>
      <x:c r="C124" s="4" t="str">
        <x:v>OTRO_PERFIL</x:v>
      </x:c>
      <x:c r="D124" s="4" t="str">
        <x:v>COINCIDE</x:v>
      </x:c>
      <x:c r="E124" s="4" t="str">
        <x:v>LEGIBLE</x:v>
      </x:c>
      <x:c r="F124" s="4" t="str">
        <x:v>TRABAJO_RESTAURACION</x:v>
      </x:c>
      <x:c r="G124" s="4" t="str">
        <x:v>UNICA</x:v>
      </x:c>
      <x:c r="H124" s="4" t="str">
        <x:v>RESTAURACION_PREVIA</x:v>
      </x:c>
      <x:c r="I124" s="4" t="str"/>
      <x:c r="J124" s="4" t="str">
        <x:v>COMPLETA</x:v>
      </x:c>
      <x:c r="K124" s="4" t="str">
        <x:v>ORDEN_ACREDITADO</x:v>
      </x:c>
      <x:c r="L124" s="4" t="str">
        <x:v>FUERA_PERFIL</x:v>
      </x:c>
      <x:c r="M124" s="4" t="str"/>
      <x:c r="N124" s="4" t="str">
        <x:v>PERFIL_NO_CONSTITUIDO</x:v>
      </x:c>
      <x:c r="O124" s="12" t="str">
        <x:f>IF(Q124="SIN_EJECUCION_DOMINIO","FALLO_CAPTURA",IF(OR(Q124="CAPTURA_MAL_FORMADA",Q124="IDENTIDAD",Q124="OBSERVACION_MAL_FORMADA",Q124="LEXEMA_O_FORMA"),"NO_ADMISION",IF(OR(Q124="PERFIL_NO_CONSTITUIDO",Q124="RESULTADO_NO_TERMINAL"),"FUERA_PERFIL",IF(Q124="CONTEXTO_NO_CONSTITUIDO","CONFIGURACION_PENDIENTE","VALIDA"))))</x:f>
        <x:v>FUERA_PERFIL</x:v>
      </x:c>
      <x:c r="P124" s="12" t="str">
        <x:f>IF(O124&lt;&gt;"VALIDA","",IF(Q124=AA124,"1",IF(Q124=AB124,"0","U")))</x:f>
      </x:c>
      <x:c r="Q124" s="12" t="str">
        <x:f>IF(E124="FALLO","SIN_EJECUCION_DOMINIO",IF(E124&lt;&gt;"LEGIBLE","CAPTURA_MAL_FORMADA",IF(D124&lt;&gt;"COINCIDE","IDENTIDAD",IF(OR(T124="",C124&lt;&gt;T124),"PERFIL_NO_CONSTITUIDO",IF(K124&lt;&gt;V124,IF(V124="ORDEN_ACREDITADO","ORDEN_NO_ACREDITADO","CONTEXTO_NO_CONSTITUIDO"),IF(AND(G124="AUSENTE",H124="",I124=""),"DATO_AUSENTE",IF(AND(G124="CONFLICTO",H124="",I124=""),"CONFLICTO_OBSERVACIONAL",IF(G124&lt;&gt;"UNICA","OBSERVACION_MAL_FORMADA",IF(F124&lt;&gt;U124,"OBSERVACION_INSUFICIENTE",IF(W124="RESULTADO",IF(H124=X124,AA124,IF(OR(H124="orcSucceededWithErrors",H124="orcFailed",H124="orcAborted"),AB124,IF(OR(H124="orcNotStarted",H124="orcInProgress"),"RESULTADO_NO_TERMINAL","LEXEMA_O_FORMA"))),IF(W124="EVENTO_BOOT",IF(H124=X124,AA124,IF(OR(H124="NINGUNO",H124="SOLO_HIBRIDO"),IF(J124="COMPLETA",AB124,"COBERTURA_INSUFICIENTE"),"LEXEMA_O_FORMA")),IF(W124="REQUISITO_SOFT",IF(H124=X124,AA124,IF(H124=Z124,AB124,"LEXEMA_O_FORMA")),IF(W124="EVENTO_PROC",IF(H124=X124,AA124,IF(H124=Z124,IF(J124="COMPLETA",AB124,"COBERTURA_INSUFICIENTE"),"LEXEMA_O_FORMA")),IF(W124="IMAGEN",IF(AND(AND(ISTEXT(H124),LEN(("x"&amp;H124))=65,EXACT(("x"&amp;H124),LOWER(("x"&amp;H124))),ISERROR(SEARCH(" ",("x"&amp;H124))),ISERROR(SEARCH(CHAR(9),("x"&amp;H124))),ISERROR(SEARCH(CHAR(10),("x"&amp;H124))),ISERROR(SEARCH(CHAR(13),("x"&amp;H124))),IFERROR(HEX2DEC(MID(("x"&amp;H124),2,8))&gt;=0,FALSE),IFERROR(HEX2DEC(MID(("x"&amp;H124),10,8))&gt;=0,FALSE),IFERROR(HEX2DEC(MID(("x"&amp;H124),18,8))&gt;=0,FALSE),IFERROR(HEX2DEC(MID(("x"&amp;H124),26,8))&gt;=0,FALSE),IFERROR(HEX2DEC(MID(("x"&amp;H124),34,8))&gt;=0,FALSE),IFERROR(HEX2DEC(MID(("x"&amp;H124),42,8))&gt;=0,FALSE),IFERROR(HEX2DEC(MID(("x"&amp;H124),50,8))&gt;=0,FALSE),IFERROR(HEX2DEC(MID(("x"&amp;H124),58,8))&gt;=0,FALSE)),AND(ISTEXT(I124),LEN(("x"&amp;I124))=65,EXACT(("x"&amp;I124),LOWER(("x"&amp;I124))),ISERROR(SEARCH(" ",("x"&amp;I124))),ISERROR(SEARCH(CHAR(9),("x"&amp;I124))),ISERROR(SEARCH(CHAR(10),("x"&amp;I124))),ISERROR(SEARCH(CHAR(13),("x"&amp;I124))),IFERROR(HEX2DEC(MID(("x"&amp;I124),2,8))&gt;=0,FALSE),IFERROR(HEX2DEC(MID(("x"&amp;I124),10,8))&gt;=0,FALSE),IFERROR(HEX2DEC(MID(("x"&amp;I124),18,8))&gt;=0,FALSE),IFERROR(HEX2DEC(MID(("x"&amp;I124),26,8))&gt;=0,FALSE),IFERROR(HEX2DEC(MID(("x"&amp;I124),34,8))&gt;=0,FALSE),IFERROR(HEX2DEC(MID(("x"&amp;I124),42,8))&gt;=0,FALSE),IFERROR(HEX2DEC(MID(("x"&amp;I124),50,8))&gt;=0,FALSE),IFERROR(HEX2DEC(MID(("x"&amp;I124),58,8))&gt;=0,FALSE))),IF(EXACT("x"&amp;H124,"x"&amp;I124),AA124,AB124),"LEXEMA_O_FORMA"),IF(W124="PRUEBA",IF(H124=X124,AA124,IF(H124=Z124,AB124,"LEXEMA_O_FORMA")),IF(W124="RETIRADA",IF(AND(H124="NINGUNO",I124=""),IF(J124="COMPLETA",AB124,"COBERTURA_INSUFICIENTE"),IF(AND(OR(H124="uoInstallation",H124="uoUninstallation"),OR(I124="orcSucceeded",I124="orcSucceededWithErrors",I124="orcFailed",I124="orcAborted",I124="orcInProgress",I124="orcNotStarted")),IF(AND(H124=X124,I124=Y124),AA124,IF(AND(H124=X124,OR(I124="orcSucceededWithErrors",I124="orcInProgress",I124="orcNotStarted")),"RESULTADO_RETIRADA_INCIERTO",IF(J124="COMPLETA",AB124,"COBERTURA_INSUFICIENTE"))),"LEXEMA_O_FORMA")),IF(W124="CAMBIO",IF(OR(H124="CAMBIO",H124="CAMBIO_Y_RETORNO"),AA124,IF(OR(H124="NINGUNO",H124="SOLO_RENOMBRE"),IF(J124="COMPLETA",AB124,"COBERTURA_INSUFICIENTE"),"LEXEMA_O_FORMA")),IF(W124="RESTAURACION",IF(H124=X124,AA124,IF(OR(H124="NINGUNO",H124="RESTAURACION_POSTERIOR",H124="RESTAURACION_FALLIDA"),IF(J124="COMPLETA",AB124,"COBERTURA_INSUFICIENTE"),"LEXEMA_O_FORMA")),"PERFIL_NO_CONSTITUIDO"))))))))))))))))))</x:f>
        <x:v>PERFIL_NO_CONSTITUIDO</x:v>
      </x:c>
      <x:c r="R124" s="12" t="str">
        <x:f>IF(AND(L124=O124,M124=P124,N124=Q124),"PASA","NO_PASA")</x:f>
        <x:v>PASA</x:v>
      </x:c>
      <x:c r="S124" s="4" t="str">
        <x:v>Perfil de otro producto no se normaliza por analogía.</x:v>
      </x:c>
      <x:c r="T124" s="12" t="str">
        <x:f>IFERROR(INDEX('55_Codificacion_ensayo'!$B$5:$B$13,MATCH(B124,'55_Codificacion_ensayo'!$A$5:$A$13,0)),"")</x:f>
        <x:v>HISTORIA-RESTAURACION-PREVIA-0.1</x:v>
      </x:c>
      <x:c r="U124" s="12" t="str">
        <x:f>IFERROR(INDEX('55_Codificacion_ensayo'!$C$5:$C$13,MATCH(B124,'55_Codificacion_ensayo'!$A$5:$A$13,0)),"")</x:f>
        <x:v>TRABAJO_RESTAURACION</x:v>
      </x:c>
      <x:c r="V124" s="12" t="str">
        <x:f>IFERROR(INDEX('55_Codificacion_ensayo'!$D$5:$D$13,MATCH(B124,'55_Codificacion_ensayo'!$A$5:$A$13,0)),"")</x:f>
        <x:v>ORDEN_ACREDITADO</x:v>
      </x:c>
      <x:c r="W124" s="12" t="str">
        <x:f>IFERROR(INDEX('55_Codificacion_ensayo'!$E$5:$E$13,MATCH(B124,'55_Codificacion_ensayo'!$A$5:$A$13,0)),"")</x:f>
        <x:v>RESTAURACION</x:v>
      </x:c>
      <x:c r="X124" s="12" t="str">
        <x:f>IFERROR(INDEX('55_Codificacion_ensayo'!$F$5:$F$13,MATCH(B124,'55_Codificacion_ensayo'!$A$5:$A$13,0)),"")</x:f>
        <x:v>RESTAURACION_PREVIA</x:v>
      </x:c>
      <x:c r="Y124" s="12" t="str">
        <x:f>IFERROR(INDEX('55_Codificacion_ensayo'!$G$5:$G$13,MATCH(B124,'55_Codificacion_ensayo'!$A$5:$A$13,0)),"")</x:f>
      </x:c>
      <x:c r="Z124" s="12" t="str">
        <x:f>IFERROR(INDEX('55_Codificacion_ensayo'!$H$5:$H$13,MATCH(B124,'55_Codificacion_ensayo'!$A$5:$A$13,0)),"")</x:f>
        <x:v>NINGUNO</x:v>
      </x:c>
      <x:c r="AA124" s="12" t="str">
        <x:f>IFERROR(INDEX('55_Codificacion_ensayo'!$I$5:$I$13,MATCH(B124,'55_Codificacion_ensayo'!$A$5:$A$13,0)),"")</x:f>
        <x:v>RESTAURACION_PREVIA</x:v>
      </x:c>
      <x:c r="AB124" s="12" t="str">
        <x:f>IFERROR(INDEX('55_Codificacion_ensayo'!$J$5:$J$13,MATCH(B124,'55_Codificacion_ensayo'!$A$5:$A$13,0)),"")</x:f>
        <x:v>SIN_RESTAURACION_PREVIA</x:v>
      </x:c>
    </x:row>
    <x:row r="125" ht="47" customHeight="1">
      <x:c r="A125" s="4" t="str">
        <x:v>L10-10-09</x:v>
      </x:c>
      <x:c r="B125" s="4" t="str">
        <x:v>PAR-CYB-RESTAURACION-PREVIA-COMUNICADA-001</x:v>
      </x:c>
      <x:c r="C125" s="4" t="str">
        <x:v>HISTORIA-RESTAURACION-PREVIA-0.1</x:v>
      </x:c>
      <x:c r="D125" s="4" t="str">
        <x:v>COINCIDE</x:v>
      </x:c>
      <x:c r="E125" s="4" t="str">
        <x:v>LEGIBLE</x:v>
      </x:c>
      <x:c r="F125" s="4" t="str">
        <x:v>TRABAJO_RESTAURACION</x:v>
      </x:c>
      <x:c r="G125" s="4" t="str">
        <x:v>UNICA</x:v>
      </x:c>
      <x:c r="H125" s="4" t="str">
        <x:v>true false desconocido</x:v>
      </x:c>
      <x:c r="I125" s="4" t="str"/>
      <x:c r="J125" s="4" t="str">
        <x:v>COMPLETA</x:v>
      </x:c>
      <x:c r="K125" s="4" t="str">
        <x:v>ORDEN_ACREDITADO</x:v>
      </x:c>
      <x:c r="L125" s="4" t="str">
        <x:v>NO_ADMISION</x:v>
      </x:c>
      <x:c r="M125" s="4" t="str"/>
      <x:c r="N125" s="4" t="str">
        <x:v>LEXEMA_O_FORMA</x:v>
      </x:c>
      <x:c r="O125" s="12" t="str">
        <x:f>IF(Q125="SIN_EJECUCION_DOMINIO","FALLO_CAPTURA",IF(OR(Q125="CAPTURA_MAL_FORMADA",Q125="IDENTIDAD",Q125="OBSERVACION_MAL_FORMADA",Q125="LEXEMA_O_FORMA"),"NO_ADMISION",IF(OR(Q125="PERFIL_NO_CONSTITUIDO",Q125="RESULTADO_NO_TERMINAL"),"FUERA_PERFIL",IF(Q125="CONTEXTO_NO_CONSTITUIDO","CONFIGURACION_PENDIENTE","VALIDA"))))</x:f>
        <x:v>NO_ADMISION</x:v>
      </x:c>
      <x:c r="P125" s="12" t="str">
        <x:f>IF(O125&lt;&gt;"VALIDA","",IF(Q125=AA125,"1",IF(Q125=AB125,"0","U")))</x:f>
      </x:c>
      <x:c r="Q125" s="12" t="str">
        <x:f>IF(E125="FALLO","SIN_EJECUCION_DOMINIO",IF(E125&lt;&gt;"LEGIBLE","CAPTURA_MAL_FORMADA",IF(D125&lt;&gt;"COINCIDE","IDENTIDAD",IF(OR(T125="",C125&lt;&gt;T125),"PERFIL_NO_CONSTITUIDO",IF(K125&lt;&gt;V125,IF(V125="ORDEN_ACREDITADO","ORDEN_NO_ACREDITADO","CONTEXTO_NO_CONSTITUIDO"),IF(AND(G125="AUSENTE",H125="",I125=""),"DATO_AUSENTE",IF(AND(G125="CONFLICTO",H125="",I125=""),"CONFLICTO_OBSERVACIONAL",IF(G125&lt;&gt;"UNICA","OBSERVACION_MAL_FORMADA",IF(F125&lt;&gt;U125,"OBSERVACION_INSUFICIENTE",IF(W125="RESULTADO",IF(H125=X125,AA125,IF(OR(H125="orcSucceededWithErrors",H125="orcFailed",H125="orcAborted"),AB125,IF(OR(H125="orcNotStarted",H125="orcInProgress"),"RESULTADO_NO_TERMINAL","LEXEMA_O_FORMA"))),IF(W125="EVENTO_BOOT",IF(H125=X125,AA125,IF(OR(H125="NINGUNO",H125="SOLO_HIBRIDO"),IF(J125="COMPLETA",AB125,"COBERTURA_INSUFICIENTE"),"LEXEMA_O_FORMA")),IF(W125="REQUISITO_SOFT",IF(H125=X125,AA125,IF(H125=Z125,AB125,"LEXEMA_O_FORMA")),IF(W125="EVENTO_PROC",IF(H125=X125,AA125,IF(H125=Z125,IF(J125="COMPLETA",AB125,"COBERTURA_INSUFICIENTE"),"LEXEMA_O_FORMA")),IF(W125="IMAGEN",IF(AND(AND(ISTEXT(H125),LEN(("x"&amp;H125))=65,EXACT(("x"&amp;H125),LOWER(("x"&amp;H125))),ISERROR(SEARCH(" ",("x"&amp;H125))),ISERROR(SEARCH(CHAR(9),("x"&amp;H125))),ISERROR(SEARCH(CHAR(10),("x"&amp;H125))),ISERROR(SEARCH(CHAR(13),("x"&amp;H125))),IFERROR(HEX2DEC(MID(("x"&amp;H125),2,8))&gt;=0,FALSE),IFERROR(HEX2DEC(MID(("x"&amp;H125),10,8))&gt;=0,FALSE),IFERROR(HEX2DEC(MID(("x"&amp;H125),18,8))&gt;=0,FALSE),IFERROR(HEX2DEC(MID(("x"&amp;H125),26,8))&gt;=0,FALSE),IFERROR(HEX2DEC(MID(("x"&amp;H125),34,8))&gt;=0,FALSE),IFERROR(HEX2DEC(MID(("x"&amp;H125),42,8))&gt;=0,FALSE),IFERROR(HEX2DEC(MID(("x"&amp;H125),50,8))&gt;=0,FALSE),IFERROR(HEX2DEC(MID(("x"&amp;H125),58,8))&gt;=0,FALSE)),AND(ISTEXT(I125),LEN(("x"&amp;I125))=65,EXACT(("x"&amp;I125),LOWER(("x"&amp;I125))),ISERROR(SEARCH(" ",("x"&amp;I125))),ISERROR(SEARCH(CHAR(9),("x"&amp;I125))),ISERROR(SEARCH(CHAR(10),("x"&amp;I125))),ISERROR(SEARCH(CHAR(13),("x"&amp;I125))),IFERROR(HEX2DEC(MID(("x"&amp;I125),2,8))&gt;=0,FALSE),IFERROR(HEX2DEC(MID(("x"&amp;I125),10,8))&gt;=0,FALSE),IFERROR(HEX2DEC(MID(("x"&amp;I125),18,8))&gt;=0,FALSE),IFERROR(HEX2DEC(MID(("x"&amp;I125),26,8))&gt;=0,FALSE),IFERROR(HEX2DEC(MID(("x"&amp;I125),34,8))&gt;=0,FALSE),IFERROR(HEX2DEC(MID(("x"&amp;I125),42,8))&gt;=0,FALSE),IFERROR(HEX2DEC(MID(("x"&amp;I125),50,8))&gt;=0,FALSE),IFERROR(HEX2DEC(MID(("x"&amp;I125),58,8))&gt;=0,FALSE))),IF(EXACT("x"&amp;H125,"x"&amp;I125),AA125,AB125),"LEXEMA_O_FORMA"),IF(W125="PRUEBA",IF(H125=X125,AA125,IF(H125=Z125,AB125,"LEXEMA_O_FORMA")),IF(W125="RETIRADA",IF(AND(H125="NINGUNO",I125=""),IF(J125="COMPLETA",AB125,"COBERTURA_INSUFICIENTE"),IF(AND(OR(H125="uoInstallation",H125="uoUninstallation"),OR(I125="orcSucceeded",I125="orcSucceededWithErrors",I125="orcFailed",I125="orcAborted",I125="orcInProgress",I125="orcNotStarted")),IF(AND(H125=X125,I125=Y125),AA125,IF(AND(H125=X125,OR(I125="orcSucceededWithErrors",I125="orcInProgress",I125="orcNotStarted")),"RESULTADO_RETIRADA_INCIERTO",IF(J125="COMPLETA",AB125,"COBERTURA_INSUFICIENTE"))),"LEXEMA_O_FORMA")),IF(W125="CAMBIO",IF(OR(H125="CAMBIO",H125="CAMBIO_Y_RETORNO"),AA125,IF(OR(H125="NINGUNO",H125="SOLO_RENOMBRE"),IF(J125="COMPLETA",AB125,"COBERTURA_INSUFICIENTE"),"LEXEMA_O_FORMA")),IF(W125="RESTAURACION",IF(H125=X125,AA125,IF(OR(H125="NINGUNO",H125="RESTAURACION_POSTERIOR",H125="RESTAURACION_FALLIDA"),IF(J125="COMPLETA",AB125,"COBERTURA_INSUFICIENTE"),"LEXEMA_O_FORMA")),"PERFIL_NO_CONSTITUIDO"))))))))))))))))))</x:f>
        <x:v>LEXEMA_O_FORMA</x:v>
      </x:c>
      <x:c r="R125" s="12" t="str">
        <x:f>IF(AND(L125=O125,M125=P125,N125=Q125),"PASA","NO_PASA")</x:f>
        <x:v>PASA</x:v>
      </x:c>
      <x:c r="S125" s="4" t="str">
        <x:v>La observación usa un lexema ajeno al contrato.</x:v>
      </x:c>
      <x:c r="T125" s="12" t="str">
        <x:f>IFERROR(INDEX('55_Codificacion_ensayo'!$B$5:$B$13,MATCH(B125,'55_Codificacion_ensayo'!$A$5:$A$13,0)),"")</x:f>
        <x:v>HISTORIA-RESTAURACION-PREVIA-0.1</x:v>
      </x:c>
      <x:c r="U125" s="12" t="str">
        <x:f>IFERROR(INDEX('55_Codificacion_ensayo'!$C$5:$C$13,MATCH(B125,'55_Codificacion_ensayo'!$A$5:$A$13,0)),"")</x:f>
        <x:v>TRABAJO_RESTAURACION</x:v>
      </x:c>
      <x:c r="V125" s="12" t="str">
        <x:f>IFERROR(INDEX('55_Codificacion_ensayo'!$D$5:$D$13,MATCH(B125,'55_Codificacion_ensayo'!$A$5:$A$13,0)),"")</x:f>
        <x:v>ORDEN_ACREDITADO</x:v>
      </x:c>
      <x:c r="W125" s="12" t="str">
        <x:f>IFERROR(INDEX('55_Codificacion_ensayo'!$E$5:$E$13,MATCH(B125,'55_Codificacion_ensayo'!$A$5:$A$13,0)),"")</x:f>
        <x:v>RESTAURACION</x:v>
      </x:c>
      <x:c r="X125" s="12" t="str">
        <x:f>IFERROR(INDEX('55_Codificacion_ensayo'!$F$5:$F$13,MATCH(B125,'55_Codificacion_ensayo'!$A$5:$A$13,0)),"")</x:f>
        <x:v>RESTAURACION_PREVIA</x:v>
      </x:c>
      <x:c r="Y125" s="12" t="str">
        <x:f>IFERROR(INDEX('55_Codificacion_ensayo'!$G$5:$G$13,MATCH(B125,'55_Codificacion_ensayo'!$A$5:$A$13,0)),"")</x:f>
      </x:c>
      <x:c r="Z125" s="12" t="str">
        <x:f>IFERROR(INDEX('55_Codificacion_ensayo'!$H$5:$H$13,MATCH(B125,'55_Codificacion_ensayo'!$A$5:$A$13,0)),"")</x:f>
        <x:v>NINGUNO</x:v>
      </x:c>
      <x:c r="AA125" s="12" t="str">
        <x:f>IFERROR(INDEX('55_Codificacion_ensayo'!$I$5:$I$13,MATCH(B125,'55_Codificacion_ensayo'!$A$5:$A$13,0)),"")</x:f>
        <x:v>RESTAURACION_PREVIA</x:v>
      </x:c>
      <x:c r="AB125" s="12" t="str">
        <x:f>IFERROR(INDEX('55_Codificacion_ensayo'!$J$5:$J$13,MATCH(B125,'55_Codificacion_ensayo'!$A$5:$A$13,0)),"")</x:f>
        <x:v>SIN_RESTAURACION_PREVIA</x:v>
      </x:c>
    </x:row>
    <x:row r="126" ht="47" customHeight="1">
      <x:c r="A126" s="4" t="str">
        <x:v>L10-10-10</x:v>
      </x:c>
      <x:c r="B126" s="4" t="str">
        <x:v>PAR-CYB-RESTAURACION-PREVIA-COMUNICADA-001</x:v>
      </x:c>
      <x:c r="C126" s="4" t="str">
        <x:v>HISTORIA-RESTAURACION-PREVIA-0.1</x:v>
      </x:c>
      <x:c r="D126" s="4" t="str">
        <x:v>COINCIDE</x:v>
      </x:c>
      <x:c r="E126" s="4" t="str">
        <x:v>LEGIBLE</x:v>
      </x:c>
      <x:c r="F126" s="4" t="str">
        <x:v>TRABAJO_RESTAURACION</x:v>
      </x:c>
      <x:c r="G126" s="4" t="str">
        <x:v>UNICA</x:v>
      </x:c>
      <x:c r="H126" s="4" t="str">
        <x:v>NINGUNO</x:v>
      </x:c>
      <x:c r="I126" s="4" t="str"/>
      <x:c r="J126" s="4" t="str">
        <x:v>PARCIAL</x:v>
      </x:c>
      <x:c r="K126" s="4" t="str">
        <x:v>ORDEN_ACREDITADO</x:v>
      </x:c>
      <x:c r="L126" s="4" t="str">
        <x:v>VALIDA</x:v>
      </x:c>
      <x:c r="M126" s="4" t="str">
        <x:v>U</x:v>
      </x:c>
      <x:c r="N126" s="4" t="str">
        <x:v>COBERTURA_INSUFICIENTE</x:v>
      </x:c>
      <x:c r="O126" s="12" t="str">
        <x:f>IF(Q126="SIN_EJECUCION_DOMINIO","FALLO_CAPTURA",IF(OR(Q126="CAPTURA_MAL_FORMADA",Q126="IDENTIDAD",Q126="OBSERVACION_MAL_FORMADA",Q126="LEXEMA_O_FORMA"),"NO_ADMISION",IF(OR(Q126="PERFIL_NO_CONSTITUIDO",Q126="RESULTADO_NO_TERMINAL"),"FUERA_PERFIL",IF(Q126="CONTEXTO_NO_CONSTITUIDO","CONFIGURACION_PENDIENTE","VALIDA"))))</x:f>
        <x:v>VALIDA</x:v>
      </x:c>
      <x:c r="P126" s="12" t="str">
        <x:f>IF(O126&lt;&gt;"VALIDA","",IF(Q126=AA126,"1",IF(Q126=AB126,"0","U")))</x:f>
        <x:v>U</x:v>
      </x:c>
      <x:c r="Q126" s="12" t="str">
        <x:f>IF(E126="FALLO","SIN_EJECUCION_DOMINIO",IF(E126&lt;&gt;"LEGIBLE","CAPTURA_MAL_FORMADA",IF(D126&lt;&gt;"COINCIDE","IDENTIDAD",IF(OR(T126="",C126&lt;&gt;T126),"PERFIL_NO_CONSTITUIDO",IF(K126&lt;&gt;V126,IF(V126="ORDEN_ACREDITADO","ORDEN_NO_ACREDITADO","CONTEXTO_NO_CONSTITUIDO"),IF(AND(G126="AUSENTE",H126="",I126=""),"DATO_AUSENTE",IF(AND(G126="CONFLICTO",H126="",I126=""),"CONFLICTO_OBSERVACIONAL",IF(G126&lt;&gt;"UNICA","OBSERVACION_MAL_FORMADA",IF(F126&lt;&gt;U126,"OBSERVACION_INSUFICIENTE",IF(W126="RESULTADO",IF(H126=X126,AA126,IF(OR(H126="orcSucceededWithErrors",H126="orcFailed",H126="orcAborted"),AB126,IF(OR(H126="orcNotStarted",H126="orcInProgress"),"RESULTADO_NO_TERMINAL","LEXEMA_O_FORMA"))),IF(W126="EVENTO_BOOT",IF(H126=X126,AA126,IF(OR(H126="NINGUNO",H126="SOLO_HIBRIDO"),IF(J126="COMPLETA",AB126,"COBERTURA_INSUFICIENTE"),"LEXEMA_O_FORMA")),IF(W126="REQUISITO_SOFT",IF(H126=X126,AA126,IF(H126=Z126,AB126,"LEXEMA_O_FORMA")),IF(W126="EVENTO_PROC",IF(H126=X126,AA126,IF(H126=Z126,IF(J126="COMPLETA",AB126,"COBERTURA_INSUFICIENTE"),"LEXEMA_O_FORMA")),IF(W126="IMAGEN",IF(AND(AND(ISTEXT(H126),LEN(("x"&amp;H126))=65,EXACT(("x"&amp;H126),LOWER(("x"&amp;H126))),ISERROR(SEARCH(" ",("x"&amp;H126))),ISERROR(SEARCH(CHAR(9),("x"&amp;H126))),ISERROR(SEARCH(CHAR(10),("x"&amp;H126))),ISERROR(SEARCH(CHAR(13),("x"&amp;H126))),IFERROR(HEX2DEC(MID(("x"&amp;H126),2,8))&gt;=0,FALSE),IFERROR(HEX2DEC(MID(("x"&amp;H126),10,8))&gt;=0,FALSE),IFERROR(HEX2DEC(MID(("x"&amp;H126),18,8))&gt;=0,FALSE),IFERROR(HEX2DEC(MID(("x"&amp;H126),26,8))&gt;=0,FALSE),IFERROR(HEX2DEC(MID(("x"&amp;H126),34,8))&gt;=0,FALSE),IFERROR(HEX2DEC(MID(("x"&amp;H126),42,8))&gt;=0,FALSE),IFERROR(HEX2DEC(MID(("x"&amp;H126),50,8))&gt;=0,FALSE),IFERROR(HEX2DEC(MID(("x"&amp;H126),58,8))&gt;=0,FALSE)),AND(ISTEXT(I126),LEN(("x"&amp;I126))=65,EXACT(("x"&amp;I126),LOWER(("x"&amp;I126))),ISERROR(SEARCH(" ",("x"&amp;I126))),ISERROR(SEARCH(CHAR(9),("x"&amp;I126))),ISERROR(SEARCH(CHAR(10),("x"&amp;I126))),ISERROR(SEARCH(CHAR(13),("x"&amp;I126))),IFERROR(HEX2DEC(MID(("x"&amp;I126),2,8))&gt;=0,FALSE),IFERROR(HEX2DEC(MID(("x"&amp;I126),10,8))&gt;=0,FALSE),IFERROR(HEX2DEC(MID(("x"&amp;I126),18,8))&gt;=0,FALSE),IFERROR(HEX2DEC(MID(("x"&amp;I126),26,8))&gt;=0,FALSE),IFERROR(HEX2DEC(MID(("x"&amp;I126),34,8))&gt;=0,FALSE),IFERROR(HEX2DEC(MID(("x"&amp;I126),42,8))&gt;=0,FALSE),IFERROR(HEX2DEC(MID(("x"&amp;I126),50,8))&gt;=0,FALSE),IFERROR(HEX2DEC(MID(("x"&amp;I126),58,8))&gt;=0,FALSE))),IF(EXACT("x"&amp;H126,"x"&amp;I126),AA126,AB126),"LEXEMA_O_FORMA"),IF(W126="PRUEBA",IF(H126=X126,AA126,IF(H126=Z126,AB126,"LEXEMA_O_FORMA")),IF(W126="RETIRADA",IF(AND(H126="NINGUNO",I126=""),IF(J126="COMPLETA",AB126,"COBERTURA_INSUFICIENTE"),IF(AND(OR(H126="uoInstallation",H126="uoUninstallation"),OR(I126="orcSucceeded",I126="orcSucceededWithErrors",I126="orcFailed",I126="orcAborted",I126="orcInProgress",I126="orcNotStarted")),IF(AND(H126=X126,I126=Y126),AA126,IF(AND(H126=X126,OR(I126="orcSucceededWithErrors",I126="orcInProgress",I126="orcNotStarted")),"RESULTADO_RETIRADA_INCIERTO",IF(J126="COMPLETA",AB126,"COBERTURA_INSUFICIENTE"))),"LEXEMA_O_FORMA")),IF(W126="CAMBIO",IF(OR(H126="CAMBIO",H126="CAMBIO_Y_RETORNO"),AA126,IF(OR(H126="NINGUNO",H126="SOLO_RENOMBRE"),IF(J126="COMPLETA",AB126,"COBERTURA_INSUFICIENTE"),"LEXEMA_O_FORMA")),IF(W126="RESTAURACION",IF(H126=X126,AA126,IF(OR(H126="NINGUNO",H126="RESTAURACION_POSTERIOR",H126="RESTAURACION_FALLIDA"),IF(J126="COMPLETA",AB126,"COBERTURA_INSUFICIENTE"),"LEXEMA_O_FORMA")),"PERFIL_NO_CONSTITUIDO"))))))))))))))))))</x:f>
        <x:v>COBERTURA_INSUFICIENTE</x:v>
      </x:c>
      <x:c r="R126" s="12" t="str">
        <x:f>IF(AND(L126=O126,M126=P126,N126=Q126),"PASA","NO_PASA")</x:f>
        <x:v>PASA</x:v>
      </x:c>
      <x:c r="S126" s="4" t="str">
        <x:v>Ningún evento encontrado en cobertura parcial: U, no 0.</x:v>
      </x:c>
      <x:c r="T126" s="12" t="str">
        <x:f>IFERROR(INDEX('55_Codificacion_ensayo'!$B$5:$B$13,MATCH(B126,'55_Codificacion_ensayo'!$A$5:$A$13,0)),"")</x:f>
        <x:v>HISTORIA-RESTAURACION-PREVIA-0.1</x:v>
      </x:c>
      <x:c r="U126" s="12" t="str">
        <x:f>IFERROR(INDEX('55_Codificacion_ensayo'!$C$5:$C$13,MATCH(B126,'55_Codificacion_ensayo'!$A$5:$A$13,0)),"")</x:f>
        <x:v>TRABAJO_RESTAURACION</x:v>
      </x:c>
      <x:c r="V126" s="12" t="str">
        <x:f>IFERROR(INDEX('55_Codificacion_ensayo'!$D$5:$D$13,MATCH(B126,'55_Codificacion_ensayo'!$A$5:$A$13,0)),"")</x:f>
        <x:v>ORDEN_ACREDITADO</x:v>
      </x:c>
      <x:c r="W126" s="12" t="str">
        <x:f>IFERROR(INDEX('55_Codificacion_ensayo'!$E$5:$E$13,MATCH(B126,'55_Codificacion_ensayo'!$A$5:$A$13,0)),"")</x:f>
        <x:v>RESTAURACION</x:v>
      </x:c>
      <x:c r="X126" s="12" t="str">
        <x:f>IFERROR(INDEX('55_Codificacion_ensayo'!$F$5:$F$13,MATCH(B126,'55_Codificacion_ensayo'!$A$5:$A$13,0)),"")</x:f>
        <x:v>RESTAURACION_PREVIA</x:v>
      </x:c>
      <x:c r="Y126" s="12" t="str">
        <x:f>IFERROR(INDEX('55_Codificacion_ensayo'!$G$5:$G$13,MATCH(B126,'55_Codificacion_ensayo'!$A$5:$A$13,0)),"")</x:f>
      </x:c>
      <x:c r="Z126" s="12" t="str">
        <x:f>IFERROR(INDEX('55_Codificacion_ensayo'!$H$5:$H$13,MATCH(B126,'55_Codificacion_ensayo'!$A$5:$A$13,0)),"")</x:f>
        <x:v>NINGUNO</x:v>
      </x:c>
      <x:c r="AA126" s="12" t="str">
        <x:f>IFERROR(INDEX('55_Codificacion_ensayo'!$I$5:$I$13,MATCH(B126,'55_Codificacion_ensayo'!$A$5:$A$13,0)),"")</x:f>
        <x:v>RESTAURACION_PREVIA</x:v>
      </x:c>
      <x:c r="AB126" s="12" t="str">
        <x:f>IFERROR(INDEX('55_Codificacion_ensayo'!$J$5:$J$13,MATCH(B126,'55_Codificacion_ensayo'!$A$5:$A$13,0)),"")</x:f>
        <x:v>SIN_RESTAURACION_PREVIA</x:v>
      </x:c>
    </x:row>
    <x:row r="127" ht="47" customHeight="1">
      <x:c r="A127" s="4" t="str">
        <x:v>L10-10-11</x:v>
      </x:c>
      <x:c r="B127" s="4" t="str">
        <x:v>PAR-CYB-RESTAURACION-PREVIA-COMUNICADA-001</x:v>
      </x:c>
      <x:c r="C127" s="4" t="str">
        <x:v>HISTORIA-RESTAURACION-PREVIA-0.1</x:v>
      </x:c>
      <x:c r="D127" s="4" t="str">
        <x:v>COINCIDE</x:v>
      </x:c>
      <x:c r="E127" s="4" t="str">
        <x:v>LEGIBLE</x:v>
      </x:c>
      <x:c r="F127" s="4" t="str">
        <x:v>TRABAJO_RESTAURACION</x:v>
      </x:c>
      <x:c r="G127" s="4" t="str">
        <x:v>UNICA</x:v>
      </x:c>
      <x:c r="H127" s="4" t="str">
        <x:v>RESTAURACION_PREVIA</x:v>
      </x:c>
      <x:c r="I127" s="4" t="str"/>
      <x:c r="J127" s="4" t="str">
        <x:v>PARCIAL</x:v>
      </x:c>
      <x:c r="K127" s="4" t="str">
        <x:v>ORDEN_ACREDITADO</x:v>
      </x:c>
      <x:c r="L127" s="4" t="str">
        <x:v>VALIDA</x:v>
      </x:c>
      <x:c r="M127" s="4" t="str">
        <x:v>1</x:v>
      </x:c>
      <x:c r="N127" s="4" t="str">
        <x:v>RESTAURACION_PREVIA</x:v>
      </x:c>
      <x:c r="O127" s="12" t="str">
        <x:f>IF(Q127="SIN_EJECUCION_DOMINIO","FALLO_CAPTURA",IF(OR(Q127="CAPTURA_MAL_FORMADA",Q127="IDENTIDAD",Q127="OBSERVACION_MAL_FORMADA",Q127="LEXEMA_O_FORMA"),"NO_ADMISION",IF(OR(Q127="PERFIL_NO_CONSTITUIDO",Q127="RESULTADO_NO_TERMINAL"),"FUERA_PERFIL",IF(Q127="CONTEXTO_NO_CONSTITUIDO","CONFIGURACION_PENDIENTE","VALIDA"))))</x:f>
        <x:v>VALIDA</x:v>
      </x:c>
      <x:c r="P127" s="12" t="str">
        <x:f>IF(O127&lt;&gt;"VALIDA","",IF(Q127=AA127,"1",IF(Q127=AB127,"0","U")))</x:f>
        <x:v>1</x:v>
      </x:c>
      <x:c r="Q127" s="12" t="str">
        <x:f>IF(E127="FALLO","SIN_EJECUCION_DOMINIO",IF(E127&lt;&gt;"LEGIBLE","CAPTURA_MAL_FORMADA",IF(D127&lt;&gt;"COINCIDE","IDENTIDAD",IF(OR(T127="",C127&lt;&gt;T127),"PERFIL_NO_CONSTITUIDO",IF(K127&lt;&gt;V127,IF(V127="ORDEN_ACREDITADO","ORDEN_NO_ACREDITADO","CONTEXTO_NO_CONSTITUIDO"),IF(AND(G127="AUSENTE",H127="",I127=""),"DATO_AUSENTE",IF(AND(G127="CONFLICTO",H127="",I127=""),"CONFLICTO_OBSERVACIONAL",IF(G127&lt;&gt;"UNICA","OBSERVACION_MAL_FORMADA",IF(F127&lt;&gt;U127,"OBSERVACION_INSUFICIENTE",IF(W127="RESULTADO",IF(H127=X127,AA127,IF(OR(H127="orcSucceededWithErrors",H127="orcFailed",H127="orcAborted"),AB127,IF(OR(H127="orcNotStarted",H127="orcInProgress"),"RESULTADO_NO_TERMINAL","LEXEMA_O_FORMA"))),IF(W127="EVENTO_BOOT",IF(H127=X127,AA127,IF(OR(H127="NINGUNO",H127="SOLO_HIBRIDO"),IF(J127="COMPLETA",AB127,"COBERTURA_INSUFICIENTE"),"LEXEMA_O_FORMA")),IF(W127="REQUISITO_SOFT",IF(H127=X127,AA127,IF(H127=Z127,AB127,"LEXEMA_O_FORMA")),IF(W127="EVENTO_PROC",IF(H127=X127,AA127,IF(H127=Z127,IF(J127="COMPLETA",AB127,"COBERTURA_INSUFICIENTE"),"LEXEMA_O_FORMA")),IF(W127="IMAGEN",IF(AND(AND(ISTEXT(H127),LEN(("x"&amp;H127))=65,EXACT(("x"&amp;H127),LOWER(("x"&amp;H127))),ISERROR(SEARCH(" ",("x"&amp;H127))),ISERROR(SEARCH(CHAR(9),("x"&amp;H127))),ISERROR(SEARCH(CHAR(10),("x"&amp;H127))),ISERROR(SEARCH(CHAR(13),("x"&amp;H127))),IFERROR(HEX2DEC(MID(("x"&amp;H127),2,8))&gt;=0,FALSE),IFERROR(HEX2DEC(MID(("x"&amp;H127),10,8))&gt;=0,FALSE),IFERROR(HEX2DEC(MID(("x"&amp;H127),18,8))&gt;=0,FALSE),IFERROR(HEX2DEC(MID(("x"&amp;H127),26,8))&gt;=0,FALSE),IFERROR(HEX2DEC(MID(("x"&amp;H127),34,8))&gt;=0,FALSE),IFERROR(HEX2DEC(MID(("x"&amp;H127),42,8))&gt;=0,FALSE),IFERROR(HEX2DEC(MID(("x"&amp;H127),50,8))&gt;=0,FALSE),IFERROR(HEX2DEC(MID(("x"&amp;H127),58,8))&gt;=0,FALSE)),AND(ISTEXT(I127),LEN(("x"&amp;I127))=65,EXACT(("x"&amp;I127),LOWER(("x"&amp;I127))),ISERROR(SEARCH(" ",("x"&amp;I127))),ISERROR(SEARCH(CHAR(9),("x"&amp;I127))),ISERROR(SEARCH(CHAR(10),("x"&amp;I127))),ISERROR(SEARCH(CHAR(13),("x"&amp;I127))),IFERROR(HEX2DEC(MID(("x"&amp;I127),2,8))&gt;=0,FALSE),IFERROR(HEX2DEC(MID(("x"&amp;I127),10,8))&gt;=0,FALSE),IFERROR(HEX2DEC(MID(("x"&amp;I127),18,8))&gt;=0,FALSE),IFERROR(HEX2DEC(MID(("x"&amp;I127),26,8))&gt;=0,FALSE),IFERROR(HEX2DEC(MID(("x"&amp;I127),34,8))&gt;=0,FALSE),IFERROR(HEX2DEC(MID(("x"&amp;I127),42,8))&gt;=0,FALSE),IFERROR(HEX2DEC(MID(("x"&amp;I127),50,8))&gt;=0,FALSE),IFERROR(HEX2DEC(MID(("x"&amp;I127),58,8))&gt;=0,FALSE))),IF(EXACT("x"&amp;H127,"x"&amp;I127),AA127,AB127),"LEXEMA_O_FORMA"),IF(W127="PRUEBA",IF(H127=X127,AA127,IF(H127=Z127,AB127,"LEXEMA_O_FORMA")),IF(W127="RETIRADA",IF(AND(H127="NINGUNO",I127=""),IF(J127="COMPLETA",AB127,"COBERTURA_INSUFICIENTE"),IF(AND(OR(H127="uoInstallation",H127="uoUninstallation"),OR(I127="orcSucceeded",I127="orcSucceededWithErrors",I127="orcFailed",I127="orcAborted",I127="orcInProgress",I127="orcNotStarted")),IF(AND(H127=X127,I127=Y127),AA127,IF(AND(H127=X127,OR(I127="orcSucceededWithErrors",I127="orcInProgress",I127="orcNotStarted")),"RESULTADO_RETIRADA_INCIERTO",IF(J127="COMPLETA",AB127,"COBERTURA_INSUFICIENTE"))),"LEXEMA_O_FORMA")),IF(W127="CAMBIO",IF(OR(H127="CAMBIO",H127="CAMBIO_Y_RETORNO"),AA127,IF(OR(H127="NINGUNO",H127="SOLO_RENOMBRE"),IF(J127="COMPLETA",AB127,"COBERTURA_INSUFICIENTE"),"LEXEMA_O_FORMA")),IF(W127="RESTAURACION",IF(H127=X127,AA127,IF(OR(H127="NINGUNO",H127="RESTAURACION_POSTERIOR",H127="RESTAURACION_FALLIDA"),IF(J127="COMPLETA",AB127,"COBERTURA_INSUFICIENTE"),"LEXEMA_O_FORMA")),"PERFIL_NO_CONSTITUIDO"))))))))))))))))))</x:f>
        <x:v>RESTAURACION_PREVIA</x:v>
      </x:c>
      <x:c r="R127" s="12" t="str">
        <x:f>IF(AND(L127=O127,M127=P127,N127=Q127),"PASA","NO_PASA")</x:f>
        <x:v>PASA</x:v>
      </x:c>
      <x:c r="S127" s="4" t="str">
        <x:v>Un testigo positivo acredita existencia aunque la historia restante sea parcial.</x:v>
      </x:c>
      <x:c r="T127" s="12" t="str">
        <x:f>IFERROR(INDEX('55_Codificacion_ensayo'!$B$5:$B$13,MATCH(B127,'55_Codificacion_ensayo'!$A$5:$A$13,0)),"")</x:f>
        <x:v>HISTORIA-RESTAURACION-PREVIA-0.1</x:v>
      </x:c>
      <x:c r="U127" s="12" t="str">
        <x:f>IFERROR(INDEX('55_Codificacion_ensayo'!$C$5:$C$13,MATCH(B127,'55_Codificacion_ensayo'!$A$5:$A$13,0)),"")</x:f>
        <x:v>TRABAJO_RESTAURACION</x:v>
      </x:c>
      <x:c r="V127" s="12" t="str">
        <x:f>IFERROR(INDEX('55_Codificacion_ensayo'!$D$5:$D$13,MATCH(B127,'55_Codificacion_ensayo'!$A$5:$A$13,0)),"")</x:f>
        <x:v>ORDEN_ACREDITADO</x:v>
      </x:c>
      <x:c r="W127" s="12" t="str">
        <x:f>IFERROR(INDEX('55_Codificacion_ensayo'!$E$5:$E$13,MATCH(B127,'55_Codificacion_ensayo'!$A$5:$A$13,0)),"")</x:f>
        <x:v>RESTAURACION</x:v>
      </x:c>
      <x:c r="X127" s="12" t="str">
        <x:f>IFERROR(INDEX('55_Codificacion_ensayo'!$F$5:$F$13,MATCH(B127,'55_Codificacion_ensayo'!$A$5:$A$13,0)),"")</x:f>
        <x:v>RESTAURACION_PREVIA</x:v>
      </x:c>
      <x:c r="Y127" s="12" t="str">
        <x:f>IFERROR(INDEX('55_Codificacion_ensayo'!$G$5:$G$13,MATCH(B127,'55_Codificacion_ensayo'!$A$5:$A$13,0)),"")</x:f>
      </x:c>
      <x:c r="Z127" s="12" t="str">
        <x:f>IFERROR(INDEX('55_Codificacion_ensayo'!$H$5:$H$13,MATCH(B127,'55_Codificacion_ensayo'!$A$5:$A$13,0)),"")</x:f>
        <x:v>NINGUNO</x:v>
      </x:c>
      <x:c r="AA127" s="12" t="str">
        <x:f>IFERROR(INDEX('55_Codificacion_ensayo'!$I$5:$I$13,MATCH(B127,'55_Codificacion_ensayo'!$A$5:$A$13,0)),"")</x:f>
        <x:v>RESTAURACION_PREVIA</x:v>
      </x:c>
      <x:c r="AB127" s="12" t="str">
        <x:f>IFERROR(INDEX('55_Codificacion_ensayo'!$J$5:$J$13,MATCH(B127,'55_Codificacion_ensayo'!$A$5:$A$13,0)),"")</x:f>
        <x:v>SIN_RESTAURACION_PREVIA</x:v>
      </x:c>
    </x:row>
    <x:row r="128" ht="47" customHeight="1">
      <x:c r="A128" s="4" t="str">
        <x:v>L10-10-12</x:v>
      </x:c>
      <x:c r="B128" s="4" t="str">
        <x:v>PAR-CYB-RESTAURACION-PREVIA-COMUNICADA-001</x:v>
      </x:c>
      <x:c r="C128" s="4" t="str">
        <x:v>HISTORIA-RESTAURACION-PREVIA-0.1</x:v>
      </x:c>
      <x:c r="D128" s="4" t="str">
        <x:v>COINCIDE</x:v>
      </x:c>
      <x:c r="E128" s="4" t="str">
        <x:v>LEGIBLE</x:v>
      </x:c>
      <x:c r="F128" s="4" t="str">
        <x:v>TRABAJO_RESTAURACION</x:v>
      </x:c>
      <x:c r="G128" s="4" t="str">
        <x:v>UNICA</x:v>
      </x:c>
      <x:c r="H128" s="4" t="str">
        <x:v>RESTAURACION_PREVIA</x:v>
      </x:c>
      <x:c r="I128" s="4" t="str"/>
      <x:c r="J128" s="4" t="str">
        <x:v>COMPLETA</x:v>
      </x:c>
      <x:c r="K128" s="4" t="str">
        <x:v>ORDEN_INCIERTO</x:v>
      </x:c>
      <x:c r="L128" s="4" t="str">
        <x:v>VALIDA</x:v>
      </x:c>
      <x:c r="M128" s="4" t="str">
        <x:v>U</x:v>
      </x:c>
      <x:c r="N128" s="4" t="str">
        <x:v>ORDEN_NO_ACREDITADO</x:v>
      </x:c>
      <x:c r="O128" s="12" t="str">
        <x:f>IF(Q128="SIN_EJECUCION_DOMINIO","FALLO_CAPTURA",IF(OR(Q128="CAPTURA_MAL_FORMADA",Q128="IDENTIDAD",Q128="OBSERVACION_MAL_FORMADA",Q128="LEXEMA_O_FORMA"),"NO_ADMISION",IF(OR(Q128="PERFIL_NO_CONSTITUIDO",Q128="RESULTADO_NO_TERMINAL"),"FUERA_PERFIL",IF(Q128="CONTEXTO_NO_CONSTITUIDO","CONFIGURACION_PENDIENTE","VALIDA"))))</x:f>
        <x:v>VALIDA</x:v>
      </x:c>
      <x:c r="P128" s="12" t="str">
        <x:f>IF(O128&lt;&gt;"VALIDA","",IF(Q128=AA128,"1",IF(Q128=AB128,"0","U")))</x:f>
        <x:v>U</x:v>
      </x:c>
      <x:c r="Q128" s="12" t="str">
        <x:f>IF(E128="FALLO","SIN_EJECUCION_DOMINIO",IF(E128&lt;&gt;"LEGIBLE","CAPTURA_MAL_FORMADA",IF(D128&lt;&gt;"COINCIDE","IDENTIDAD",IF(OR(T128="",C128&lt;&gt;T128),"PERFIL_NO_CONSTITUIDO",IF(K128&lt;&gt;V128,IF(V128="ORDEN_ACREDITADO","ORDEN_NO_ACREDITADO","CONTEXTO_NO_CONSTITUIDO"),IF(AND(G128="AUSENTE",H128="",I128=""),"DATO_AUSENTE",IF(AND(G128="CONFLICTO",H128="",I128=""),"CONFLICTO_OBSERVACIONAL",IF(G128&lt;&gt;"UNICA","OBSERVACION_MAL_FORMADA",IF(F128&lt;&gt;U128,"OBSERVACION_INSUFICIENTE",IF(W128="RESULTADO",IF(H128=X128,AA128,IF(OR(H128="orcSucceededWithErrors",H128="orcFailed",H128="orcAborted"),AB128,IF(OR(H128="orcNotStarted",H128="orcInProgress"),"RESULTADO_NO_TERMINAL","LEXEMA_O_FORMA"))),IF(W128="EVENTO_BOOT",IF(H128=X128,AA128,IF(OR(H128="NINGUNO",H128="SOLO_HIBRIDO"),IF(J128="COMPLETA",AB128,"COBERTURA_INSUFICIENTE"),"LEXEMA_O_FORMA")),IF(W128="REQUISITO_SOFT",IF(H128=X128,AA128,IF(H128=Z128,AB128,"LEXEMA_O_FORMA")),IF(W128="EVENTO_PROC",IF(H128=X128,AA128,IF(H128=Z128,IF(J128="COMPLETA",AB128,"COBERTURA_INSUFICIENTE"),"LEXEMA_O_FORMA")),IF(W128="IMAGEN",IF(AND(AND(ISTEXT(H128),LEN(("x"&amp;H128))=65,EXACT(("x"&amp;H128),LOWER(("x"&amp;H128))),ISERROR(SEARCH(" ",("x"&amp;H128))),ISERROR(SEARCH(CHAR(9),("x"&amp;H128))),ISERROR(SEARCH(CHAR(10),("x"&amp;H128))),ISERROR(SEARCH(CHAR(13),("x"&amp;H128))),IFERROR(HEX2DEC(MID(("x"&amp;H128),2,8))&gt;=0,FALSE),IFERROR(HEX2DEC(MID(("x"&amp;H128),10,8))&gt;=0,FALSE),IFERROR(HEX2DEC(MID(("x"&amp;H128),18,8))&gt;=0,FALSE),IFERROR(HEX2DEC(MID(("x"&amp;H128),26,8))&gt;=0,FALSE),IFERROR(HEX2DEC(MID(("x"&amp;H128),34,8))&gt;=0,FALSE),IFERROR(HEX2DEC(MID(("x"&amp;H128),42,8))&gt;=0,FALSE),IFERROR(HEX2DEC(MID(("x"&amp;H128),50,8))&gt;=0,FALSE),IFERROR(HEX2DEC(MID(("x"&amp;H128),58,8))&gt;=0,FALSE)),AND(ISTEXT(I128),LEN(("x"&amp;I128))=65,EXACT(("x"&amp;I128),LOWER(("x"&amp;I128))),ISERROR(SEARCH(" ",("x"&amp;I128))),ISERROR(SEARCH(CHAR(9),("x"&amp;I128))),ISERROR(SEARCH(CHAR(10),("x"&amp;I128))),ISERROR(SEARCH(CHAR(13),("x"&amp;I128))),IFERROR(HEX2DEC(MID(("x"&amp;I128),2,8))&gt;=0,FALSE),IFERROR(HEX2DEC(MID(("x"&amp;I128),10,8))&gt;=0,FALSE),IFERROR(HEX2DEC(MID(("x"&amp;I128),18,8))&gt;=0,FALSE),IFERROR(HEX2DEC(MID(("x"&amp;I128),26,8))&gt;=0,FALSE),IFERROR(HEX2DEC(MID(("x"&amp;I128),34,8))&gt;=0,FALSE),IFERROR(HEX2DEC(MID(("x"&amp;I128),42,8))&gt;=0,FALSE),IFERROR(HEX2DEC(MID(("x"&amp;I128),50,8))&gt;=0,FALSE),IFERROR(HEX2DEC(MID(("x"&amp;I128),58,8))&gt;=0,FALSE))),IF(EXACT("x"&amp;H128,"x"&amp;I128),AA128,AB128),"LEXEMA_O_FORMA"),IF(W128="PRUEBA",IF(H128=X128,AA128,IF(H128=Z128,AB128,"LEXEMA_O_FORMA")),IF(W128="RETIRADA",IF(AND(H128="NINGUNO",I128=""),IF(J128="COMPLETA",AB128,"COBERTURA_INSUFICIENTE"),IF(AND(OR(H128="uoInstallation",H128="uoUninstallation"),OR(I128="orcSucceeded",I128="orcSucceededWithErrors",I128="orcFailed",I128="orcAborted",I128="orcInProgress",I128="orcNotStarted")),IF(AND(H128=X128,I128=Y128),AA128,IF(AND(H128=X128,OR(I128="orcSucceededWithErrors",I128="orcInProgress",I128="orcNotStarted")),"RESULTADO_RETIRADA_INCIERTO",IF(J128="COMPLETA",AB128,"COBERTURA_INSUFICIENTE"))),"LEXEMA_O_FORMA")),IF(W128="CAMBIO",IF(OR(H128="CAMBIO",H128="CAMBIO_Y_RETORNO"),AA128,IF(OR(H128="NINGUNO",H128="SOLO_RENOMBRE"),IF(J128="COMPLETA",AB128,"COBERTURA_INSUFICIENTE"),"LEXEMA_O_FORMA")),IF(W128="RESTAURACION",IF(H128=X128,AA128,IF(OR(H128="NINGUNO",H128="RESTAURACION_POSTERIOR",H128="RESTAURACION_FALLIDA"),IF(J128="COMPLETA",AB128,"COBERTURA_INSUFICIENTE"),"LEXEMA_O_FORMA")),"PERFIL_NO_CONSTITUIDO"))))))))))))))))))</x:f>
        <x:v>ORDEN_NO_ACREDITADO</x:v>
      </x:c>
      <x:c r="R128" s="12" t="str">
        <x:f>IF(AND(L128=O128,M128=P128,N128=Q128),"PASA","NO_PASA")</x:f>
        <x:v>PASA</x:v>
      </x:c>
      <x:c r="S128" s="4" t="str">
        <x:v>El orden no está acreditado; la mera fecha no prueba posterioridad.</x:v>
      </x:c>
      <x:c r="T128" s="12" t="str">
        <x:f>IFERROR(INDEX('55_Codificacion_ensayo'!$B$5:$B$13,MATCH(B128,'55_Codificacion_ensayo'!$A$5:$A$13,0)),"")</x:f>
        <x:v>HISTORIA-RESTAURACION-PREVIA-0.1</x:v>
      </x:c>
      <x:c r="U128" s="12" t="str">
        <x:f>IFERROR(INDEX('55_Codificacion_ensayo'!$C$5:$C$13,MATCH(B128,'55_Codificacion_ensayo'!$A$5:$A$13,0)),"")</x:f>
        <x:v>TRABAJO_RESTAURACION</x:v>
      </x:c>
      <x:c r="V128" s="12" t="str">
        <x:f>IFERROR(INDEX('55_Codificacion_ensayo'!$D$5:$D$13,MATCH(B128,'55_Codificacion_ensayo'!$A$5:$A$13,0)),"")</x:f>
        <x:v>ORDEN_ACREDITADO</x:v>
      </x:c>
      <x:c r="W128" s="12" t="str">
        <x:f>IFERROR(INDEX('55_Codificacion_ensayo'!$E$5:$E$13,MATCH(B128,'55_Codificacion_ensayo'!$A$5:$A$13,0)),"")</x:f>
        <x:v>RESTAURACION</x:v>
      </x:c>
      <x:c r="X128" s="12" t="str">
        <x:f>IFERROR(INDEX('55_Codificacion_ensayo'!$F$5:$F$13,MATCH(B128,'55_Codificacion_ensayo'!$A$5:$A$13,0)),"")</x:f>
        <x:v>RESTAURACION_PREVIA</x:v>
      </x:c>
      <x:c r="Y128" s="12" t="str">
        <x:f>IFERROR(INDEX('55_Codificacion_ensayo'!$G$5:$G$13,MATCH(B128,'55_Codificacion_ensayo'!$A$5:$A$13,0)),"")</x:f>
      </x:c>
      <x:c r="Z128" s="12" t="str">
        <x:f>IFERROR(INDEX('55_Codificacion_ensayo'!$H$5:$H$13,MATCH(B128,'55_Codificacion_ensayo'!$A$5:$A$13,0)),"")</x:f>
        <x:v>NINGUNO</x:v>
      </x:c>
      <x:c r="AA128" s="12" t="str">
        <x:f>IFERROR(INDEX('55_Codificacion_ensayo'!$I$5:$I$13,MATCH(B128,'55_Codificacion_ensayo'!$A$5:$A$13,0)),"")</x:f>
        <x:v>RESTAURACION_PREVIA</x:v>
      </x:c>
      <x:c r="AB128" s="12" t="str">
        <x:f>IFERROR(INDEX('55_Codificacion_ensayo'!$J$5:$J$13,MATCH(B128,'55_Codificacion_ensayo'!$A$5:$A$13,0)),"")</x:f>
        <x:v>SIN_RESTAURACION_PREVIA</x:v>
      </x:c>
    </x:row>
    <x:row r="129" ht="47" customHeight="1">
      <x:c r="A129" s="4" t="str">
        <x:v>L10-10-13</x:v>
      </x:c>
      <x:c r="B129" s="4" t="str">
        <x:v>PAR-CYB-RESTAURACION-PREVIA-COMUNICADA-001</x:v>
      </x:c>
      <x:c r="C129" s="4" t="str">
        <x:v>HISTORIA-RESTAURACION-PREVIA-0.1</x:v>
      </x:c>
      <x:c r="D129" s="4" t="str">
        <x:v>COINCIDE</x:v>
      </x:c>
      <x:c r="E129" s="4" t="str">
        <x:v>LEGIBLE</x:v>
      </x:c>
      <x:c r="F129" s="4" t="str">
        <x:v>TRABAJO_RESTAURACION</x:v>
      </x:c>
      <x:c r="G129" s="4" t="str">
        <x:v>UNICA</x:v>
      </x:c>
      <x:c r="H129" s="4" t="str">
        <x:v>RESTAURACION_POSTERIOR</x:v>
      </x:c>
      <x:c r="I129" s="4" t="str"/>
      <x:c r="J129" s="4" t="str">
        <x:v>COMPLETA</x:v>
      </x:c>
      <x:c r="K129" s="4" t="str">
        <x:v>ORDEN_ACREDITADO</x:v>
      </x:c>
      <x:c r="L129" s="4" t="str">
        <x:v>VALIDA</x:v>
      </x:c>
      <x:c r="M129" s="4" t="str">
        <x:v>0</x:v>
      </x:c>
      <x:c r="N129" s="4" t="str">
        <x:v>SIN_RESTAURACION_PREVIA</x:v>
      </x:c>
      <x:c r="O129" s="12" t="str">
        <x:f>IF(Q129="SIN_EJECUCION_DOMINIO","FALLO_CAPTURA",IF(OR(Q129="CAPTURA_MAL_FORMADA",Q129="IDENTIDAD",Q129="OBSERVACION_MAL_FORMADA",Q129="LEXEMA_O_FORMA"),"NO_ADMISION",IF(OR(Q129="PERFIL_NO_CONSTITUIDO",Q129="RESULTADO_NO_TERMINAL"),"FUERA_PERFIL",IF(Q129="CONTEXTO_NO_CONSTITUIDO","CONFIGURACION_PENDIENTE","VALIDA"))))</x:f>
        <x:v>VALIDA</x:v>
      </x:c>
      <x:c r="P129" s="12" t="str">
        <x:f>IF(O129&lt;&gt;"VALIDA","",IF(Q129=AA129,"1",IF(Q129=AB129,"0","U")))</x:f>
        <x:v>0</x:v>
      </x:c>
      <x:c r="Q129" s="12" t="str">
        <x:f>IF(E129="FALLO","SIN_EJECUCION_DOMINIO",IF(E129&lt;&gt;"LEGIBLE","CAPTURA_MAL_FORMADA",IF(D129&lt;&gt;"COINCIDE","IDENTIDAD",IF(OR(T129="",C129&lt;&gt;T129),"PERFIL_NO_CONSTITUIDO",IF(K129&lt;&gt;V129,IF(V129="ORDEN_ACREDITADO","ORDEN_NO_ACREDITADO","CONTEXTO_NO_CONSTITUIDO"),IF(AND(G129="AUSENTE",H129="",I129=""),"DATO_AUSENTE",IF(AND(G129="CONFLICTO",H129="",I129=""),"CONFLICTO_OBSERVACIONAL",IF(G129&lt;&gt;"UNICA","OBSERVACION_MAL_FORMADA",IF(F129&lt;&gt;U129,"OBSERVACION_INSUFICIENTE",IF(W129="RESULTADO",IF(H129=X129,AA129,IF(OR(H129="orcSucceededWithErrors",H129="orcFailed",H129="orcAborted"),AB129,IF(OR(H129="orcNotStarted",H129="orcInProgress"),"RESULTADO_NO_TERMINAL","LEXEMA_O_FORMA"))),IF(W129="EVENTO_BOOT",IF(H129=X129,AA129,IF(OR(H129="NINGUNO",H129="SOLO_HIBRIDO"),IF(J129="COMPLETA",AB129,"COBERTURA_INSUFICIENTE"),"LEXEMA_O_FORMA")),IF(W129="REQUISITO_SOFT",IF(H129=X129,AA129,IF(H129=Z129,AB129,"LEXEMA_O_FORMA")),IF(W129="EVENTO_PROC",IF(H129=X129,AA129,IF(H129=Z129,IF(J129="COMPLETA",AB129,"COBERTURA_INSUFICIENTE"),"LEXEMA_O_FORMA")),IF(W129="IMAGEN",IF(AND(AND(ISTEXT(H129),LEN(("x"&amp;H129))=65,EXACT(("x"&amp;H129),LOWER(("x"&amp;H129))),ISERROR(SEARCH(" ",("x"&amp;H129))),ISERROR(SEARCH(CHAR(9),("x"&amp;H129))),ISERROR(SEARCH(CHAR(10),("x"&amp;H129))),ISERROR(SEARCH(CHAR(13),("x"&amp;H129))),IFERROR(HEX2DEC(MID(("x"&amp;H129),2,8))&gt;=0,FALSE),IFERROR(HEX2DEC(MID(("x"&amp;H129),10,8))&gt;=0,FALSE),IFERROR(HEX2DEC(MID(("x"&amp;H129),18,8))&gt;=0,FALSE),IFERROR(HEX2DEC(MID(("x"&amp;H129),26,8))&gt;=0,FALSE),IFERROR(HEX2DEC(MID(("x"&amp;H129),34,8))&gt;=0,FALSE),IFERROR(HEX2DEC(MID(("x"&amp;H129),42,8))&gt;=0,FALSE),IFERROR(HEX2DEC(MID(("x"&amp;H129),50,8))&gt;=0,FALSE),IFERROR(HEX2DEC(MID(("x"&amp;H129),58,8))&gt;=0,FALSE)),AND(ISTEXT(I129),LEN(("x"&amp;I129))=65,EXACT(("x"&amp;I129),LOWER(("x"&amp;I129))),ISERROR(SEARCH(" ",("x"&amp;I129))),ISERROR(SEARCH(CHAR(9),("x"&amp;I129))),ISERROR(SEARCH(CHAR(10),("x"&amp;I129))),ISERROR(SEARCH(CHAR(13),("x"&amp;I129))),IFERROR(HEX2DEC(MID(("x"&amp;I129),2,8))&gt;=0,FALSE),IFERROR(HEX2DEC(MID(("x"&amp;I129),10,8))&gt;=0,FALSE),IFERROR(HEX2DEC(MID(("x"&amp;I129),18,8))&gt;=0,FALSE),IFERROR(HEX2DEC(MID(("x"&amp;I129),26,8))&gt;=0,FALSE),IFERROR(HEX2DEC(MID(("x"&amp;I129),34,8))&gt;=0,FALSE),IFERROR(HEX2DEC(MID(("x"&amp;I129),42,8))&gt;=0,FALSE),IFERROR(HEX2DEC(MID(("x"&amp;I129),50,8))&gt;=0,FALSE),IFERROR(HEX2DEC(MID(("x"&amp;I129),58,8))&gt;=0,FALSE))),IF(EXACT("x"&amp;H129,"x"&amp;I129),AA129,AB129),"LEXEMA_O_FORMA"),IF(W129="PRUEBA",IF(H129=X129,AA129,IF(H129=Z129,AB129,"LEXEMA_O_FORMA")),IF(W129="RETIRADA",IF(AND(H129="NINGUNO",I129=""),IF(J129="COMPLETA",AB129,"COBERTURA_INSUFICIENTE"),IF(AND(OR(H129="uoInstallation",H129="uoUninstallation"),OR(I129="orcSucceeded",I129="orcSucceededWithErrors",I129="orcFailed",I129="orcAborted",I129="orcInProgress",I129="orcNotStarted")),IF(AND(H129=X129,I129=Y129),AA129,IF(AND(H129=X129,OR(I129="orcSucceededWithErrors",I129="orcInProgress",I129="orcNotStarted")),"RESULTADO_RETIRADA_INCIERTO",IF(J129="COMPLETA",AB129,"COBERTURA_INSUFICIENTE"))),"LEXEMA_O_FORMA")),IF(W129="CAMBIO",IF(OR(H129="CAMBIO",H129="CAMBIO_Y_RETORNO"),AA129,IF(OR(H129="NINGUNO",H129="SOLO_RENOMBRE"),IF(J129="COMPLETA",AB129,"COBERTURA_INSUFICIENTE"),"LEXEMA_O_FORMA")),IF(W129="RESTAURACION",IF(H129=X129,AA129,IF(OR(H129="NINGUNO",H129="RESTAURACION_POSTERIOR",H129="RESTAURACION_FALLIDA"),IF(J129="COMPLETA",AB129,"COBERTURA_INSUFICIENTE"),"LEXEMA_O_FORMA")),"PERFIL_NO_CONSTITUIDO"))))))))))))))))))</x:f>
        <x:v>SIN_RESTAURACION_PREVIA</x:v>
      </x:c>
      <x:c r="R129" s="12" t="str">
        <x:f>IF(AND(L129=O129,M129=P129,N129=Q129),"PASA","NO_PASA")</x:f>
        <x:v>PASA</x:v>
      </x:c>
      <x:c r="S129" s="4" t="str">
        <x:v>Punto posterior a instalación, en historia completa: no es restauración previa.</x:v>
      </x:c>
      <x:c r="T129" s="12" t="str">
        <x:f>IFERROR(INDEX('55_Codificacion_ensayo'!$B$5:$B$13,MATCH(B129,'55_Codificacion_ensayo'!$A$5:$A$13,0)),"")</x:f>
        <x:v>HISTORIA-RESTAURACION-PREVIA-0.1</x:v>
      </x:c>
      <x:c r="U129" s="12" t="str">
        <x:f>IFERROR(INDEX('55_Codificacion_ensayo'!$C$5:$C$13,MATCH(B129,'55_Codificacion_ensayo'!$A$5:$A$13,0)),"")</x:f>
        <x:v>TRABAJO_RESTAURACION</x:v>
      </x:c>
      <x:c r="V129" s="12" t="str">
        <x:f>IFERROR(INDEX('55_Codificacion_ensayo'!$D$5:$D$13,MATCH(B129,'55_Codificacion_ensayo'!$A$5:$A$13,0)),"")</x:f>
        <x:v>ORDEN_ACREDITADO</x:v>
      </x:c>
      <x:c r="W129" s="12" t="str">
        <x:f>IFERROR(INDEX('55_Codificacion_ensayo'!$E$5:$E$13,MATCH(B129,'55_Codificacion_ensayo'!$A$5:$A$13,0)),"")</x:f>
        <x:v>RESTAURACION</x:v>
      </x:c>
      <x:c r="X129" s="12" t="str">
        <x:f>IFERROR(INDEX('55_Codificacion_ensayo'!$F$5:$F$13,MATCH(B129,'55_Codificacion_ensayo'!$A$5:$A$13,0)),"")</x:f>
        <x:v>RESTAURACION_PREVIA</x:v>
      </x:c>
      <x:c r="Y129" s="12" t="str">
        <x:f>IFERROR(INDEX('55_Codificacion_ensayo'!$G$5:$G$13,MATCH(B129,'55_Codificacion_ensayo'!$A$5:$A$13,0)),"")</x:f>
      </x:c>
      <x:c r="Z129" s="12" t="str">
        <x:f>IFERROR(INDEX('55_Codificacion_ensayo'!$H$5:$H$13,MATCH(B129,'55_Codificacion_ensayo'!$A$5:$A$13,0)),"")</x:f>
        <x:v>NINGUNO</x:v>
      </x:c>
      <x:c r="AA129" s="12" t="str">
        <x:f>IFERROR(INDEX('55_Codificacion_ensayo'!$I$5:$I$13,MATCH(B129,'55_Codificacion_ensayo'!$A$5:$A$13,0)),"")</x:f>
        <x:v>RESTAURACION_PREVIA</x:v>
      </x:c>
      <x:c r="AB129" s="12" t="str">
        <x:f>IFERROR(INDEX('55_Codificacion_ensayo'!$J$5:$J$13,MATCH(B129,'55_Codificacion_ensayo'!$A$5:$A$13,0)),"")</x:f>
        <x:v>SIN_RESTAURACION_PREVIA</x:v>
      </x:c>
    </x:row>
    <x:row r="130" ht="47" customHeight="1">
      <x:c r="A130" s="4" t="str">
        <x:v>L10-10-14</x:v>
      </x:c>
      <x:c r="B130" s="4" t="str">
        <x:v>PAR-CYB-RESTAURACION-PREVIA-COMUNICADA-001</x:v>
      </x:c>
      <x:c r="C130" s="4" t="str">
        <x:v>HISTORIA-RESTAURACION-PREVIA-0.1</x:v>
      </x:c>
      <x:c r="D130" s="4" t="str">
        <x:v>COINCIDE</x:v>
      </x:c>
      <x:c r="E130" s="4" t="str">
        <x:v>LEGIBLE</x:v>
      </x:c>
      <x:c r="F130" s="4" t="str">
        <x:v>NOMBRE_BACKUP</x:v>
      </x:c>
      <x:c r="G130" s="4" t="str">
        <x:v>UNICA</x:v>
      </x:c>
      <x:c r="H130" s="4" t="str">
        <x:v>RESTAURACION_PREVIA</x:v>
      </x:c>
      <x:c r="I130" s="4" t="str"/>
      <x:c r="J130" s="4" t="str">
        <x:v>COMPLETA</x:v>
      </x:c>
      <x:c r="K130" s="4" t="str">
        <x:v>ORDEN_ACREDITADO</x:v>
      </x:c>
      <x:c r="L130" s="4" t="str">
        <x:v>VALIDA</x:v>
      </x:c>
      <x:c r="M130" s="4" t="str">
        <x:v>U</x:v>
      </x:c>
      <x:c r="N130" s="4" t="str">
        <x:v>OBSERVACION_INSUFICIENTE</x:v>
      </x:c>
      <x:c r="O130" s="12" t="str">
        <x:f>IF(Q130="SIN_EJECUCION_DOMINIO","FALLO_CAPTURA",IF(OR(Q130="CAPTURA_MAL_FORMADA",Q130="IDENTIDAD",Q130="OBSERVACION_MAL_FORMADA",Q130="LEXEMA_O_FORMA"),"NO_ADMISION",IF(OR(Q130="PERFIL_NO_CONSTITUIDO",Q130="RESULTADO_NO_TERMINAL"),"FUERA_PERFIL",IF(Q130="CONTEXTO_NO_CONSTITUIDO","CONFIGURACION_PENDIENTE","VALIDA"))))</x:f>
        <x:v>VALIDA</x:v>
      </x:c>
      <x:c r="P130" s="12" t="str">
        <x:f>IF(O130&lt;&gt;"VALIDA","",IF(Q130=AA130,"1",IF(Q130=AB130,"0","U")))</x:f>
        <x:v>U</x:v>
      </x:c>
      <x:c r="Q130" s="12" t="str">
        <x:f>IF(E130="FALLO","SIN_EJECUCION_DOMINIO",IF(E130&lt;&gt;"LEGIBLE","CAPTURA_MAL_FORMADA",IF(D130&lt;&gt;"COINCIDE","IDENTIDAD",IF(OR(T130="",C130&lt;&gt;T130),"PERFIL_NO_CONSTITUIDO",IF(K130&lt;&gt;V130,IF(V130="ORDEN_ACREDITADO","ORDEN_NO_ACREDITADO","CONTEXTO_NO_CONSTITUIDO"),IF(AND(G130="AUSENTE",H130="",I130=""),"DATO_AUSENTE",IF(AND(G130="CONFLICTO",H130="",I130=""),"CONFLICTO_OBSERVACIONAL",IF(G130&lt;&gt;"UNICA","OBSERVACION_MAL_FORMADA",IF(F130&lt;&gt;U130,"OBSERVACION_INSUFICIENTE",IF(W130="RESULTADO",IF(H130=X130,AA130,IF(OR(H130="orcSucceededWithErrors",H130="orcFailed",H130="orcAborted"),AB130,IF(OR(H130="orcNotStarted",H130="orcInProgress"),"RESULTADO_NO_TERMINAL","LEXEMA_O_FORMA"))),IF(W130="EVENTO_BOOT",IF(H130=X130,AA130,IF(OR(H130="NINGUNO",H130="SOLO_HIBRIDO"),IF(J130="COMPLETA",AB130,"COBERTURA_INSUFICIENTE"),"LEXEMA_O_FORMA")),IF(W130="REQUISITO_SOFT",IF(H130=X130,AA130,IF(H130=Z130,AB130,"LEXEMA_O_FORMA")),IF(W130="EVENTO_PROC",IF(H130=X130,AA130,IF(H130=Z130,IF(J130="COMPLETA",AB130,"COBERTURA_INSUFICIENTE"),"LEXEMA_O_FORMA")),IF(W130="IMAGEN",IF(AND(AND(ISTEXT(H130),LEN(("x"&amp;H130))=65,EXACT(("x"&amp;H130),LOWER(("x"&amp;H130))),ISERROR(SEARCH(" ",("x"&amp;H130))),ISERROR(SEARCH(CHAR(9),("x"&amp;H130))),ISERROR(SEARCH(CHAR(10),("x"&amp;H130))),ISERROR(SEARCH(CHAR(13),("x"&amp;H130))),IFERROR(HEX2DEC(MID(("x"&amp;H130),2,8))&gt;=0,FALSE),IFERROR(HEX2DEC(MID(("x"&amp;H130),10,8))&gt;=0,FALSE),IFERROR(HEX2DEC(MID(("x"&amp;H130),18,8))&gt;=0,FALSE),IFERROR(HEX2DEC(MID(("x"&amp;H130),26,8))&gt;=0,FALSE),IFERROR(HEX2DEC(MID(("x"&amp;H130),34,8))&gt;=0,FALSE),IFERROR(HEX2DEC(MID(("x"&amp;H130),42,8))&gt;=0,FALSE),IFERROR(HEX2DEC(MID(("x"&amp;H130),50,8))&gt;=0,FALSE),IFERROR(HEX2DEC(MID(("x"&amp;H130),58,8))&gt;=0,FALSE)),AND(ISTEXT(I130),LEN(("x"&amp;I130))=65,EXACT(("x"&amp;I130),LOWER(("x"&amp;I130))),ISERROR(SEARCH(" ",("x"&amp;I130))),ISERROR(SEARCH(CHAR(9),("x"&amp;I130))),ISERROR(SEARCH(CHAR(10),("x"&amp;I130))),ISERROR(SEARCH(CHAR(13),("x"&amp;I130))),IFERROR(HEX2DEC(MID(("x"&amp;I130),2,8))&gt;=0,FALSE),IFERROR(HEX2DEC(MID(("x"&amp;I130),10,8))&gt;=0,FALSE),IFERROR(HEX2DEC(MID(("x"&amp;I130),18,8))&gt;=0,FALSE),IFERROR(HEX2DEC(MID(("x"&amp;I130),26,8))&gt;=0,FALSE),IFERROR(HEX2DEC(MID(("x"&amp;I130),34,8))&gt;=0,FALSE),IFERROR(HEX2DEC(MID(("x"&amp;I130),42,8))&gt;=0,FALSE),IFERROR(HEX2DEC(MID(("x"&amp;I130),50,8))&gt;=0,FALSE),IFERROR(HEX2DEC(MID(("x"&amp;I130),58,8))&gt;=0,FALSE))),IF(EXACT("x"&amp;H130,"x"&amp;I130),AA130,AB130),"LEXEMA_O_FORMA"),IF(W130="PRUEBA",IF(H130=X130,AA130,IF(H130=Z130,AB130,"LEXEMA_O_FORMA")),IF(W130="RETIRADA",IF(AND(H130="NINGUNO",I130=""),IF(J130="COMPLETA",AB130,"COBERTURA_INSUFICIENTE"),IF(AND(OR(H130="uoInstallation",H130="uoUninstallation"),OR(I130="orcSucceeded",I130="orcSucceededWithErrors",I130="orcFailed",I130="orcAborted",I130="orcInProgress",I130="orcNotStarted")),IF(AND(H130=X130,I130=Y130),AA130,IF(AND(H130=X130,OR(I130="orcSucceededWithErrors",I130="orcInProgress",I130="orcNotStarted")),"RESULTADO_RETIRADA_INCIERTO",IF(J130="COMPLETA",AB130,"COBERTURA_INSUFICIENTE"))),"LEXEMA_O_FORMA")),IF(W130="CAMBIO",IF(OR(H130="CAMBIO",H130="CAMBIO_Y_RETORNO"),AA130,IF(OR(H130="NINGUNO",H130="SOLO_RENOMBRE"),IF(J130="COMPLETA",AB130,"COBERTURA_INSUFICIENTE"),"LEXEMA_O_FORMA")),IF(W130="RESTAURACION",IF(H130=X130,AA130,IF(OR(H130="NINGUNO",H130="RESTAURACION_POSTERIOR",H130="RESTAURACION_FALLIDA"),IF(J130="COMPLETA",AB130,"COBERTURA_INSUFICIENTE"),"LEXEMA_O_FORMA")),"PERFIL_NO_CONSTITUIDO"))))))))))))))))))</x:f>
        <x:v>OBSERVACION_INSUFICIENTE</x:v>
      </x:c>
      <x:c r="R130" s="12" t="str">
        <x:f>IF(AND(L130=O130,M130=P130,N130=Q130),"PASA","NO_PASA")</x:f>
        <x:v>PASA</x:v>
      </x:c>
      <x:c r="S130" s="4" t="str">
        <x:v>Nombre de backup sin manifiesto no acredita el origen anterior.</x:v>
      </x:c>
      <x:c r="T130" s="12" t="str">
        <x:f>IFERROR(INDEX('55_Codificacion_ensayo'!$B$5:$B$13,MATCH(B130,'55_Codificacion_ensayo'!$A$5:$A$13,0)),"")</x:f>
        <x:v>HISTORIA-RESTAURACION-PREVIA-0.1</x:v>
      </x:c>
      <x:c r="U130" s="12" t="str">
        <x:f>IFERROR(INDEX('55_Codificacion_ensayo'!$C$5:$C$13,MATCH(B130,'55_Codificacion_ensayo'!$A$5:$A$13,0)),"")</x:f>
        <x:v>TRABAJO_RESTAURACION</x:v>
      </x:c>
      <x:c r="V130" s="12" t="str">
        <x:f>IFERROR(INDEX('55_Codificacion_ensayo'!$D$5:$D$13,MATCH(B130,'55_Codificacion_ensayo'!$A$5:$A$13,0)),"")</x:f>
        <x:v>ORDEN_ACREDITADO</x:v>
      </x:c>
      <x:c r="W130" s="12" t="str">
        <x:f>IFERROR(INDEX('55_Codificacion_ensayo'!$E$5:$E$13,MATCH(B130,'55_Codificacion_ensayo'!$A$5:$A$13,0)),"")</x:f>
        <x:v>RESTAURACION</x:v>
      </x:c>
      <x:c r="X130" s="12" t="str">
        <x:f>IFERROR(INDEX('55_Codificacion_ensayo'!$F$5:$F$13,MATCH(B130,'55_Codificacion_ensayo'!$A$5:$A$13,0)),"")</x:f>
        <x:v>RESTAURACION_PREVIA</x:v>
      </x:c>
      <x:c r="Y130" s="12" t="str">
        <x:f>IFERROR(INDEX('55_Codificacion_ensayo'!$G$5:$G$13,MATCH(B130,'55_Codificacion_ensayo'!$A$5:$A$13,0)),"")</x:f>
      </x:c>
      <x:c r="Z130" s="12" t="str">
        <x:f>IFERROR(INDEX('55_Codificacion_ensayo'!$H$5:$H$13,MATCH(B130,'55_Codificacion_ensayo'!$A$5:$A$13,0)),"")</x:f>
        <x:v>NINGUNO</x:v>
      </x:c>
      <x:c r="AA130" s="12" t="str">
        <x:f>IFERROR(INDEX('55_Codificacion_ensayo'!$I$5:$I$13,MATCH(B130,'55_Codificacion_ensayo'!$A$5:$A$13,0)),"")</x:f>
        <x:v>RESTAURACION_PREVIA</x:v>
      </x:c>
      <x:c r="AB130" s="12" t="str">
        <x:f>IFERROR(INDEX('55_Codificacion_ensayo'!$J$5:$J$13,MATCH(B130,'55_Codificacion_ensayo'!$A$5:$A$13,0)),"")</x:f>
        <x:v>SIN_RESTAURACION_PREVIA</x:v>
      </x:c>
    </x:row>
    <x:row r="131" ht="47" customHeight="1">
      <x:c r="A131" s="4" t="str">
        <x:v>L10-10-15</x:v>
      </x:c>
      <x:c r="B131" s="4" t="str">
        <x:v>PAR-CYB-RESTAURACION-PREVIA-COMUNICADA-001</x:v>
      </x:c>
      <x:c r="C131" s="4" t="str">
        <x:v>HISTORIA-RESTAURACION-PREVIA-0.1</x:v>
      </x:c>
      <x:c r="D131" s="4" t="str">
        <x:v>COINCIDE</x:v>
      </x:c>
      <x:c r="E131" s="4" t="str">
        <x:v>LEGIBLE</x:v>
      </x:c>
      <x:c r="F131" s="4" t="str">
        <x:v>TRABAJO_RESTAURACION</x:v>
      </x:c>
      <x:c r="G131" s="4" t="str">
        <x:v>UNICA</x:v>
      </x:c>
      <x:c r="H131" s="4" t="str">
        <x:v>RESTAURACION_FALLIDA</x:v>
      </x:c>
      <x:c r="I131" s="4" t="str"/>
      <x:c r="J131" s="4" t="str">
        <x:v>COMPLETA</x:v>
      </x:c>
      <x:c r="K131" s="4" t="str">
        <x:v>ORDEN_ACREDITADO</x:v>
      </x:c>
      <x:c r="L131" s="4" t="str">
        <x:v>VALIDA</x:v>
      </x:c>
      <x:c r="M131" s="4" t="str">
        <x:v>0</x:v>
      </x:c>
      <x:c r="N131" s="4" t="str">
        <x:v>SIN_RESTAURACION_PREVIA</x:v>
      </x:c>
      <x:c r="O131" s="12" t="str">
        <x:f>IF(Q131="SIN_EJECUCION_DOMINIO","FALLO_CAPTURA",IF(OR(Q131="CAPTURA_MAL_FORMADA",Q131="IDENTIDAD",Q131="OBSERVACION_MAL_FORMADA",Q131="LEXEMA_O_FORMA"),"NO_ADMISION",IF(OR(Q131="PERFIL_NO_CONSTITUIDO",Q131="RESULTADO_NO_TERMINAL"),"FUERA_PERFIL",IF(Q131="CONTEXTO_NO_CONSTITUIDO","CONFIGURACION_PENDIENTE","VALIDA"))))</x:f>
        <x:v>VALIDA</x:v>
      </x:c>
      <x:c r="P131" s="12" t="str">
        <x:f>IF(O131&lt;&gt;"VALIDA","",IF(Q131=AA131,"1",IF(Q131=AB131,"0","U")))</x:f>
        <x:v>0</x:v>
      </x:c>
      <x:c r="Q131" s="12" t="str">
        <x:f>IF(E131="FALLO","SIN_EJECUCION_DOMINIO",IF(E131&lt;&gt;"LEGIBLE","CAPTURA_MAL_FORMADA",IF(D131&lt;&gt;"COINCIDE","IDENTIDAD",IF(OR(T131="",C131&lt;&gt;T131),"PERFIL_NO_CONSTITUIDO",IF(K131&lt;&gt;V131,IF(V131="ORDEN_ACREDITADO","ORDEN_NO_ACREDITADO","CONTEXTO_NO_CONSTITUIDO"),IF(AND(G131="AUSENTE",H131="",I131=""),"DATO_AUSENTE",IF(AND(G131="CONFLICTO",H131="",I131=""),"CONFLICTO_OBSERVACIONAL",IF(G131&lt;&gt;"UNICA","OBSERVACION_MAL_FORMADA",IF(F131&lt;&gt;U131,"OBSERVACION_INSUFICIENTE",IF(W131="RESULTADO",IF(H131=X131,AA131,IF(OR(H131="orcSucceededWithErrors",H131="orcFailed",H131="orcAborted"),AB131,IF(OR(H131="orcNotStarted",H131="orcInProgress"),"RESULTADO_NO_TERMINAL","LEXEMA_O_FORMA"))),IF(W131="EVENTO_BOOT",IF(H131=X131,AA131,IF(OR(H131="NINGUNO",H131="SOLO_HIBRIDO"),IF(J131="COMPLETA",AB131,"COBERTURA_INSUFICIENTE"),"LEXEMA_O_FORMA")),IF(W131="REQUISITO_SOFT",IF(H131=X131,AA131,IF(H131=Z131,AB131,"LEXEMA_O_FORMA")),IF(W131="EVENTO_PROC",IF(H131=X131,AA131,IF(H131=Z131,IF(J131="COMPLETA",AB131,"COBERTURA_INSUFICIENTE"),"LEXEMA_O_FORMA")),IF(W131="IMAGEN",IF(AND(AND(ISTEXT(H131),LEN(("x"&amp;H131))=65,EXACT(("x"&amp;H131),LOWER(("x"&amp;H131))),ISERROR(SEARCH(" ",("x"&amp;H131))),ISERROR(SEARCH(CHAR(9),("x"&amp;H131))),ISERROR(SEARCH(CHAR(10),("x"&amp;H131))),ISERROR(SEARCH(CHAR(13),("x"&amp;H131))),IFERROR(HEX2DEC(MID(("x"&amp;H131),2,8))&gt;=0,FALSE),IFERROR(HEX2DEC(MID(("x"&amp;H131),10,8))&gt;=0,FALSE),IFERROR(HEX2DEC(MID(("x"&amp;H131),18,8))&gt;=0,FALSE),IFERROR(HEX2DEC(MID(("x"&amp;H131),26,8))&gt;=0,FALSE),IFERROR(HEX2DEC(MID(("x"&amp;H131),34,8))&gt;=0,FALSE),IFERROR(HEX2DEC(MID(("x"&amp;H131),42,8))&gt;=0,FALSE),IFERROR(HEX2DEC(MID(("x"&amp;H131),50,8))&gt;=0,FALSE),IFERROR(HEX2DEC(MID(("x"&amp;H131),58,8))&gt;=0,FALSE)),AND(ISTEXT(I131),LEN(("x"&amp;I131))=65,EXACT(("x"&amp;I131),LOWER(("x"&amp;I131))),ISERROR(SEARCH(" ",("x"&amp;I131))),ISERROR(SEARCH(CHAR(9),("x"&amp;I131))),ISERROR(SEARCH(CHAR(10),("x"&amp;I131))),ISERROR(SEARCH(CHAR(13),("x"&amp;I131))),IFERROR(HEX2DEC(MID(("x"&amp;I131),2,8))&gt;=0,FALSE),IFERROR(HEX2DEC(MID(("x"&amp;I131),10,8))&gt;=0,FALSE),IFERROR(HEX2DEC(MID(("x"&amp;I131),18,8))&gt;=0,FALSE),IFERROR(HEX2DEC(MID(("x"&amp;I131),26,8))&gt;=0,FALSE),IFERROR(HEX2DEC(MID(("x"&amp;I131),34,8))&gt;=0,FALSE),IFERROR(HEX2DEC(MID(("x"&amp;I131),42,8))&gt;=0,FALSE),IFERROR(HEX2DEC(MID(("x"&amp;I131),50,8))&gt;=0,FALSE),IFERROR(HEX2DEC(MID(("x"&amp;I131),58,8))&gt;=0,FALSE))),IF(EXACT("x"&amp;H131,"x"&amp;I131),AA131,AB131),"LEXEMA_O_FORMA"),IF(W131="PRUEBA",IF(H131=X131,AA131,IF(H131=Z131,AB131,"LEXEMA_O_FORMA")),IF(W131="RETIRADA",IF(AND(H131="NINGUNO",I131=""),IF(J131="COMPLETA",AB131,"COBERTURA_INSUFICIENTE"),IF(AND(OR(H131="uoInstallation",H131="uoUninstallation"),OR(I131="orcSucceeded",I131="orcSucceededWithErrors",I131="orcFailed",I131="orcAborted",I131="orcInProgress",I131="orcNotStarted")),IF(AND(H131=X131,I131=Y131),AA131,IF(AND(H131=X131,OR(I131="orcSucceededWithErrors",I131="orcInProgress",I131="orcNotStarted")),"RESULTADO_RETIRADA_INCIERTO",IF(J131="COMPLETA",AB131,"COBERTURA_INSUFICIENTE"))),"LEXEMA_O_FORMA")),IF(W131="CAMBIO",IF(OR(H131="CAMBIO",H131="CAMBIO_Y_RETORNO"),AA131,IF(OR(H131="NINGUNO",H131="SOLO_RENOMBRE"),IF(J131="COMPLETA",AB131,"COBERTURA_INSUFICIENTE"),"LEXEMA_O_FORMA")),IF(W131="RESTAURACION",IF(H131=X131,AA131,IF(OR(H131="NINGUNO",H131="RESTAURACION_POSTERIOR",H131="RESTAURACION_FALLIDA"),IF(J131="COMPLETA",AB131,"COBERTURA_INSUFICIENTE"),"LEXEMA_O_FORMA")),"PERFIL_NO_CONSTITUIDO"))))))))))))))))))</x:f>
        <x:v>SIN_RESTAURACION_PREVIA</x:v>
      </x:c>
      <x:c r="R131" s="12" t="str">
        <x:f>IF(AND(L131=O131,M131=P131,N131=Q131),"PASA","NO_PASA")</x:f>
        <x:v>PASA</x:v>
      </x:c>
      <x:c r="S131" s="4" t="str">
        <x:v>Trabajo fallido no es restauración satisfactoria comunicada.</x:v>
      </x:c>
      <x:c r="T131" s="12" t="str">
        <x:f>IFERROR(INDEX('55_Codificacion_ensayo'!$B$5:$B$13,MATCH(B131,'55_Codificacion_ensayo'!$A$5:$A$13,0)),"")</x:f>
        <x:v>HISTORIA-RESTAURACION-PREVIA-0.1</x:v>
      </x:c>
      <x:c r="U131" s="12" t="str">
        <x:f>IFERROR(INDEX('55_Codificacion_ensayo'!$C$5:$C$13,MATCH(B131,'55_Codificacion_ensayo'!$A$5:$A$13,0)),"")</x:f>
        <x:v>TRABAJO_RESTAURACION</x:v>
      </x:c>
      <x:c r="V131" s="12" t="str">
        <x:f>IFERROR(INDEX('55_Codificacion_ensayo'!$D$5:$D$13,MATCH(B131,'55_Codificacion_ensayo'!$A$5:$A$13,0)),"")</x:f>
        <x:v>ORDEN_ACREDITADO</x:v>
      </x:c>
      <x:c r="W131" s="12" t="str">
        <x:f>IFERROR(INDEX('55_Codificacion_ensayo'!$E$5:$E$13,MATCH(B131,'55_Codificacion_ensayo'!$A$5:$A$13,0)),"")</x:f>
        <x:v>RESTAURACION</x:v>
      </x:c>
      <x:c r="X131" s="12" t="str">
        <x:f>IFERROR(INDEX('55_Codificacion_ensayo'!$F$5:$F$13,MATCH(B131,'55_Codificacion_ensayo'!$A$5:$A$13,0)),"")</x:f>
        <x:v>RESTAURACION_PREVIA</x:v>
      </x:c>
      <x:c r="Y131" s="12" t="str">
        <x:f>IFERROR(INDEX('55_Codificacion_ensayo'!$G$5:$G$13,MATCH(B131,'55_Codificacion_ensayo'!$A$5:$A$13,0)),"")</x:f>
      </x:c>
      <x:c r="Z131" s="12" t="str">
        <x:f>IFERROR(INDEX('55_Codificacion_ensayo'!$H$5:$H$13,MATCH(B131,'55_Codificacion_ensayo'!$A$5:$A$13,0)),"")</x:f>
        <x:v>NINGUNO</x:v>
      </x:c>
      <x:c r="AA131" s="12" t="str">
        <x:f>IFERROR(INDEX('55_Codificacion_ensayo'!$I$5:$I$13,MATCH(B131,'55_Codificacion_ensayo'!$A$5:$A$13,0)),"")</x:f>
        <x:v>RESTAURACION_PREVIA</x:v>
      </x:c>
      <x:c r="AB131" s="12" t="str">
        <x:f>IFERROR(INDEX('55_Codificacion_ensayo'!$J$5:$J$13,MATCH(B131,'55_Codificacion_ensayo'!$A$5:$A$13,0)),"")</x:f>
        <x:v>SIN_RESTAURACION_PREVIA</x:v>
      </x:c>
    </x:row>
  </x:sheetData>
  <x:mergeCells>
    <x:mergeCell ref="A1:D1"/>
    <x:mergeCell ref="A2:F2"/>
  </x:mergeCells>
  <x:conditionalFormatting sqref="R5:R131">
    <x:cfRule type="expression" dxfId="24" priority="1">
      <x:formula>R5="NO_PASA"</x:formula>
    </x:cfRule>
  </x:conditionalFormatting>
  <x:pageMargins left="0.7" right="0.7" top="0.75" bottom="0.75" header="0.3" footer="0.3"/>
  <x:tableParts count="1">
    <x:tablePart xmlns:r="http://schemas.openxmlformats.org/officeDocument/2006/relationships" r:id="R60ebad745c6f43b6"/>
  </x:tableParts>
</x:worksheet>
</file>

<file path=xl/worksheets/sheet52.xml><?xml version="1.0" encoding="utf-8"?>
<x:worksheet xmlns:x="http://schemas.openxmlformats.org/spreadsheetml/2006/main">
  <x:sheetViews>
    <x:sheetView showGridLines="0" workbookViewId="0"/>
  </x:sheetViews>
  <x:sheetFormatPr defaultRowHeight="15"/>
  <x:cols>
    <x:col min="1" max="1" width="13" hidden="0" customWidth="1"/>
    <x:col min="2" max="2" width="32" hidden="0" customWidth="1"/>
    <x:col min="3" max="3" width="102" hidden="0" customWidth="1"/>
    <x:col min="4" max="4" width="31" hidden="0" customWidth="1"/>
    <x:col min="5" max="5" width="119" hidden="0" customWidth="1"/>
  </x:cols>
  <x:sheetData>
    <x:row r="1" ht="35" customHeight="1">
      <x:c r="A1" s="6" t="str">
        <x:v>ADVERSARIAL INTERNA · correcciones y límites</x:v>
      </x:c>
      <x:c r="B1" s="6"/>
      <x:c r="C1" s="6"/>
      <x:c r="D1" s="6"/>
      <x:c r="E1" s="6"/>
    </x:row>
    <x:row r="2" ht="52" customHeight="1">
      <x:c r="A2" s="8" t="str">
        <x:v>Veinte ataques. Se registran correcciones materiales y deuda conservada; no se presenta como auditoría externa.</x:v>
      </x:c>
      <x:c r="B2" s="8"/>
      <x:c r="C2" s="8"/>
      <x:c r="D2" s="8"/>
      <x:c r="E2" s="8"/>
    </x:row>
    <x:row r="3">
      <x:c r="A3" s="4"/>
      <x:c r="B3" s="4"/>
      <x:c r="C3" s="4"/>
      <x:c r="D3" s="4"/>
      <x:c r="E3" s="4"/>
    </x:row>
    <x:row r="4" ht="42" customHeight="1">
      <x:c r="A4" s="10" t="str">
        <x:v>Ataque</x:v>
      </x:c>
      <x:c r="B4" s="10" t="str">
        <x:v>Objeto</x:v>
      </x:c>
      <x:c r="C4" s="10" t="str">
        <x:v>Refutación buscada</x:v>
      </x:c>
      <x:c r="D4" s="10" t="str">
        <x:v>Resolución</x:v>
      </x:c>
      <x:c r="E4" s="10" t="str">
        <x:v>Resultado material</x:v>
      </x:c>
    </x:row>
    <x:row r="5" ht="47" customHeight="1">
      <x:c r="A5" s="4" t="str">
        <x:v>A01</x:v>
      </x:c>
      <x:c r="B5" s="4" t="str">
        <x:v>Cuota de diez</x:v>
      </x:c>
      <x:c r="C5" s="4" t="str">
        <x:v>Nueve entradas no se obtienen dividiendo enums o nombres de campos.</x:v>
      </x:c>
      <x:c r="D5" s="4" t="str">
        <x:v>Absorbido</x:v>
      </x:c>
      <x:c r="E5" s="4" t="str">
        <x:v>Nueve predicados, nueve funciones y nueve ablaciones; número solicitado no gobierna la prueba.</x:v>
      </x:c>
    </x:row>
    <x:row r="6" ht="47" customHeight="1">
      <x:c r="A6" s="4" t="str">
        <x:v>A02</x:v>
      </x:c>
      <x:c r="B6" s="4" t="str">
        <x:v>Reinicio de software compuesto</x:v>
      </x:c>
      <x:c r="C6" s="4" t="str">
        <x:v>Terminar la generación y crear otra útil son separables.</x:v>
      </x:c>
      <x:c r="D6" s="4" t="str">
        <x:v>Corregido antes de G5</x:v>
      </x:c>
      <x:c r="E6" s="4" t="str">
        <x:v>P05 sólo termina generación previa; cumplimiento íntegro de P04 queda pendiente.</x:v>
      </x:c>
    </x:row>
    <x:row r="7" ht="47" customHeight="1">
      <x:c r="A7" s="4" t="str">
        <x:v>A03</x:v>
      </x:c>
      <x:c r="B7" s="4" t="str">
        <x:v>Duplicación P06/P09</x:v>
      </x:c>
      <x:c r="C7" s="4" t="str">
        <x:v>Comparar imágenes actuales podía repetir el complemento de P06.</x:v>
      </x:c>
      <x:c r="D7" s="4" t="str">
        <x:v>Corregido antes de G5</x:v>
      </x:c>
      <x:c r="E7" s="4" t="str">
        <x:v>P09 conserva historia de cambio y retorno, no desigualdad de extremos.</x:v>
      </x:c>
    </x:row>
    <x:row r="8" ht="47" customHeight="1">
      <x:c r="A8" s="4" t="str">
        <x:v>A04</x:v>
      </x:c>
      <x:c r="B8" s="4" t="str">
        <x:v>Fast Startup</x:v>
      </x:c>
      <x:c r="C8" s="4" t="str">
        <x:v>Apagar/encender o solicitar reinicio no prueba reinicio íntegro.</x:v>
      </x:c>
      <x:c r="D8" s="4" t="str">
        <x:v>Absorbido</x:v>
      </x:c>
      <x:c r="E8" s="4" t="str">
        <x:v>T007; testigos positivos, híbridos y cobertura parcial.</x:v>
      </x:c>
    </x:row>
    <x:row r="9" ht="47" customHeight="1">
      <x:c r="A9" s="4" t="str">
        <x:v>A05</x:v>
      </x:c>
      <x:c r="B9" s="4" t="str">
        <x:v>Éxito WUA y efecto</x:v>
      </x:c>
      <x:c r="C9" s="4" t="str">
        <x:v>orcSucceeded no acredita efecto. Fallo de instalación no es fallo del observador.</x:v>
      </x:c>
      <x:c r="D9" s="4" t="str">
        <x:v>Absorbido</x:v>
      </x:c>
      <x:c r="E9" s="4" t="str">
        <x:v>P02 separado de P06/P07 y de FALLO_CAPTURA.</x:v>
      </x:c>
    </x:row>
    <x:row r="10" ht="47" customHeight="1">
      <x:c r="A10" s="4" t="str">
        <x:v>A06</x:v>
      </x:c>
      <x:c r="B10" s="4" t="str">
        <x:v>Host, huésped y proceso</x:v>
      </x:c>
      <x:c r="C10" s="4" t="str">
        <x:v>Reinicio de host físico no se atribuye a un huésped o proceso sin vínculo.</x:v>
      </x:c>
      <x:c r="D10" s="4" t="str">
        <x:v>Absorbido</x:v>
      </x:c>
      <x:c r="E10" s="4" t="str">
        <x:v>Identidad fuera de admisión; perfiles y sujetos explícitos.</x:v>
      </x:c>
    </x:row>
    <x:row r="11" ht="47" customHeight="1">
      <x:c r="A11" s="4" t="str">
        <x:v>A07</x:v>
      </x:c>
      <x:c r="B11" s="4" t="str">
        <x:v>PID/puntero</x:v>
      </x:c>
      <x:c r="C11" s="4" t="str">
        <x:v>PID reutilizado o puntero no identifica generación ni contenido cargado.</x:v>
      </x:c>
      <x:c r="D11" s="4" t="str">
        <x:v>Absorbido</x:v>
      </x:c>
      <x:c r="E11" s="4" t="str">
        <x:v>P05 exige generación; P06 exige método de identidad, no dirección/tamaño.</x:v>
      </x:c>
    </x:row>
    <x:row r="12" ht="47" customHeight="1">
      <x:c r="A12" s="4" t="str">
        <x:v>A08</x:v>
      </x:c>
      <x:c r="B12" s="4" t="str">
        <x:v>Disco frente a ejecución</x:v>
      </x:c>
      <x:c r="C12" s="4" t="str">
        <x:v>DLL hallada en disco no demuestra DLL cargada.</x:v>
      </x:c>
      <x:c r="D12" s="4" t="str">
        <x:v>Absorbido</x:v>
      </x:c>
      <x:c r="E12" s="4" t="str">
        <x:v>T008/T012/T013 y negativos específicos en P06.</x:v>
      </x:c>
    </x:row>
    <x:row r="13" ht="47" customHeight="1">
      <x:c r="A13" s="4" t="str">
        <x:v>A09</x:v>
      </x:c>
      <x:c r="B13" s="4" t="str">
        <x:v>Ausencia equivale a no</x:v>
      </x:c>
      <x:c r="C13" s="4" t="str">
        <x:v>Registro incompleto no acredita que no ocurrió un evento.</x:v>
      </x:c>
      <x:c r="D13" s="4" t="str">
        <x:v>Absorbido</x:v>
      </x:c>
      <x:c r="E13" s="4" t="str">
        <x:v>Positivo existencial con testigo; negativo requiere cobertura; parcial sin positivo produce U.</x:v>
      </x:c>
    </x:row>
    <x:row r="14" ht="47" customHeight="1">
      <x:c r="A14" s="4" t="str">
        <x:v>A10</x:v>
      </x:c>
      <x:c r="B14" s="4" t="str">
        <x:v>Restauración necesariamente vulnerable</x:v>
      </x:c>
      <x:c r="C14" s="4" t="str">
        <x:v>Un punto previo puede contener la misma corrección o restaurar otro ámbito.</x:v>
      </x:c>
      <x:c r="D14" s="4" t="str">
        <x:v>Absorbido</x:v>
      </x:c>
      <x:c r="E14" s="4" t="str">
        <x:v>P10 sólo suceso comunicado; daño depende de contenido/ámbito.</x:v>
      </x:c>
    </x:row>
    <x:row r="15" ht="47" customHeight="1">
      <x:c r="A15" s="4" t="str">
        <x:v>A11</x:v>
      </x:c>
      <x:c r="B15" s="4" t="str">
        <x:v>Retirada e inventario</x:v>
      </x:c>
      <x:c r="C15" s="4" t="str">
        <x:v>Ausencia actual del paquete no demuestra desinstalación posterior.</x:v>
      </x:c>
      <x:c r="D15" s="4" t="str">
        <x:v>Absorbido</x:v>
      </x:c>
      <x:c r="E15" s="4" t="str">
        <x:v>P08 fuente histórica con operación y resultado; reinstalar no borra el evento.</x:v>
      </x:c>
    </x:row>
    <x:row r="16" ht="47" customHeight="1">
      <x:c r="A16" s="4" t="str">
        <x:v>A12</x:v>
      </x:c>
      <x:c r="B16" s="4" t="str">
        <x:v>Cambio de catálogo</x:v>
      </x:c>
      <x:c r="C16" s="4" t="str">
        <x:v>Renombre, nueva versión de fuente y cambio binario no son equivalentes.</x:v>
      </x:c>
      <x:c r="D16" s="4" t="str">
        <x:v>Absorbido</x:v>
      </x:c>
      <x:c r="E16" s="4" t="str">
        <x:v>P09 exige transición binaria; fuente nueva va por revisión humana, no Tri automática.</x:v>
      </x:c>
    </x:row>
    <x:row r="17" ht="47" customHeight="1">
      <x:c r="A17" s="4" t="str">
        <x:v>A13</x:v>
      </x:c>
      <x:c r="B17" s="4" t="str">
        <x:v>Oráculo tautológico</x:v>
      </x:c>
      <x:c r="C17" s="4" t="str">
        <x:v>Copiar «apto» no demuestra corrección o sensibilidad operacional.</x:v>
      </x:c>
      <x:c r="D17" s="4" t="str">
        <x:v>Límite conservado</x:v>
      </x:c>
      <x:c r="E17" s="4" t="str">
        <x:v>P07 exige criterio unitario y evidencia; sólo se ensaya su contrato, sin atribuir prueba de campo.</x:v>
      </x:c>
    </x:row>
    <x:row r="18" ht="47" customHeight="1">
      <x:c r="A18" s="4" t="str">
        <x:v>A14</x:v>
      </x:c>
      <x:c r="B18" s="4" t="str">
        <x:v>Captura universal</x:v>
      </x:c>
      <x:c r="C18" s="4" t="str">
        <x:v>Las fórmulas no validan registro, reloj, autenticidad o método de identidad.</x:v>
      </x:c>
      <x:c r="D18" s="4" t="str">
        <x:v>Deuda atribuida</x:v>
      </x:c>
      <x:c r="E18" s="4" t="str">
        <x:v>Perfiles de adquisición/admisión productiva pendientes en QCY-02; no aptitud operacional.</x:v>
      </x:c>
    </x:row>
    <x:row r="19" ht="47" customHeight="1">
      <x:c r="A19" s="4" t="str">
        <x:v>A15</x:v>
      </x:c>
      <x:c r="B19" s="4" t="str">
        <x:v>Todo D3/D4 resuelto</x:v>
      </x:c>
      <x:c r="C19" s="4" t="str">
        <x:v>Software unitario no cubre redespliegue/configuración o todas las instancias.</x:v>
      </x:c>
      <x:c r="D19" s="4" t="str">
        <x:v>Límite conservado</x:v>
      </x:c>
      <x:c r="E19" s="4" t="str">
        <x:v>52 mantiene cobertura parcial; no se crean raíces ni se declaran 21 pendientes por simple resta.</x:v>
      </x:c>
    </x:row>
    <x:row r="20" ht="47" customHeight="1">
      <x:c r="A20" s="4" t="str">
        <x:v>A16</x:v>
      </x:c>
      <x:c r="B20" s="4" t="str">
        <x:v>Autorización humana</x:v>
      </x:c>
      <x:c r="C20" s="4" t="str">
        <x:v>Conformidad con P01 no aprueba nominalmente nueve fichas aún no presentadas.</x:v>
      </x:c>
      <x:c r="D20" s="4" t="str">
        <x:v>Absorbido</x:v>
      </x:c>
      <x:c r="E20" s="4" t="str">
        <x:v>P01 adoptado; P02–P10 favorable de unidad y pendiente de adopción nominal.</x:v>
      </x:c>
    </x:row>
    <x:row r="21" ht="47" customHeight="1">
      <x:c r="A21" s="4" t="str">
        <x:v>A17</x:v>
      </x:c>
      <x:c r="B21" s="4" t="str">
        <x:v>Consecuencia como orden</x:v>
      </x:c>
      <x:c r="C21" s="4" t="str">
        <x:v>Necesidad no equivale a permiso de reiniciar ahora.</x:v>
      </x:c>
      <x:c r="D21" s="4" t="str">
        <x:v>Absorbido</x:v>
      </x:c>
      <x:c r="E21" s="4" t="str">
        <x:v>QCY-06/07 mantienen servicio, dependencia, alternativa, ventana, autoridad y proporcionalidad.</x:v>
      </x:c>
    </x:row>
    <x:row r="22" ht="47" customHeight="1">
      <x:c r="A22" s="4" t="str">
        <x:v>A18</x:v>
      </x:c>
      <x:c r="B22" s="4" t="str">
        <x:v>Diez forman célula</x:v>
      </x:c>
      <x:c r="C22" s="4" t="str">
        <x:v>9 o 10 entradas no acreditan SV(9,3).</x:v>
      </x:c>
      <x:c r="D22" s="4" t="str">
        <x:v>Absorbido</x:v>
      </x:c>
      <x:c r="E22" s="4" t="str">
        <x:v>Cero células, rutas y Frames; propiedad futura única.</x:v>
      </x:c>
    </x:row>
    <x:row r="23" ht="47" customHeight="1">
      <x:c r="A23" s="4" t="str">
        <x:v>A19</x:v>
      </x:c>
      <x:c r="B23" s="4" t="str">
        <x:v>Aprendizaje en consulta</x:v>
      </x:c>
      <x:c r="C23" s="4" t="str">
        <x:v>Nueva fuente investigada no puede sustituir el conocimiento vigente automáticamente.</x:v>
      </x:c>
      <x:c r="D23" s="4" t="str">
        <x:v>Absorbido</x:v>
      </x:c>
      <x:c r="E23" s="4" t="str">
        <x:v>Capturas candidatas congeladas; adopción humana antes de alterar el corte del agente.</x:v>
      </x:c>
    </x:row>
    <x:row r="24" ht="47" customHeight="1">
      <x:c r="A24" s="4" t="str">
        <x:v>A20</x:v>
      </x:c>
      <x:c r="B24" s="4" t="str">
        <x:v>Exceso de alegación de pruebas</x:v>
      </x:c>
      <x:c r="C24" s="4" t="str">
        <x:v>Igualdad de tablas o bytes no demuestra suficiencia del Lenguaje.</x:v>
      </x:c>
      <x:c r="D24" s="4" t="str">
        <x:v>Absorbido</x:v>
      </x:c>
      <x:c r="E24" s="4" t="str">
        <x:v>Ensayo documental con ablación/sensibilidad; sin SV, campo ni segunda semántica independiente.</x:v>
      </x:c>
    </x:row>
  </x:sheetData>
  <x:mergeCells>
    <x:mergeCell ref="A1:D1"/>
    <x:mergeCell ref="A2:E2"/>
  </x:mergeCells>
  <x:pageMargins left="0.7" right="0.7" top="0.75" bottom="0.75" header="0.3" footer="0.3"/>
  <x:tableParts count="1">
    <x:tablePart xmlns:r="http://schemas.openxmlformats.org/officeDocument/2006/relationships" r:id="R6e02c15f27e647d5"/>
  </x:tableParts>
</x:worksheet>
</file>

<file path=xl/worksheets/sheet53.xml><?xml version="1.0" encoding="utf-8"?>
<x:worksheet xmlns:x="http://schemas.openxmlformats.org/spreadsheetml/2006/main">
  <x:sheetViews>
    <x:sheetView showGridLines="0" workbookViewId="0"/>
  </x:sheetViews>
  <x:sheetFormatPr defaultRowHeight="15"/>
  <x:cols>
    <x:col min="1" max="1" width="21" hidden="0" customWidth="1"/>
    <x:col min="2" max="2" width="40" hidden="0" customWidth="1"/>
    <x:col min="3" max="3" width="23" hidden="0" customWidth="1"/>
    <x:col min="4" max="4" width="43" hidden="0" customWidth="1"/>
    <x:col min="5" max="5" width="110" hidden="0" customWidth="1"/>
    <x:col min="6" max="6" width="73" hidden="0" customWidth="1"/>
  </x:cols>
  <x:sheetData>
    <x:row r="1" ht="35" customHeight="1">
      <x:c r="A1" s="6" t="str">
        <x:v>COBERTURA ACTUAL · Q0 conserva 31 distinciones</x:v>
      </x:c>
      <x:c r="B1" s="6"/>
      <x:c r="C1" s="6"/>
      <x:c r="D1" s="6"/>
      <x:c r="E1" s="6"/>
      <x:c r="F1" s="6"/>
    </x:row>
    <x:row r="2" ht="52" customHeight="1">
      <x:c r="A2" s="8" t="str">
        <x:v>La adjudicación parcial no elimina una laguna. La hoja 38 conserva el corte histórico previo de Q0.</x:v>
      </x:c>
      <x:c r="B2" s="8"/>
      <x:c r="C2" s="8"/>
      <x:c r="D2" s="8"/>
      <x:c r="E2" s="8"/>
      <x:c r="F2" s="8"/>
    </x:row>
    <x:row r="3">
      <x:c r="A3" s="4"/>
      <x:c r="B3" s="4"/>
      <x:c r="C3" s="4"/>
      <x:c r="D3" s="4"/>
      <x:c r="E3" s="4"/>
      <x:c r="F3" s="4"/>
    </x:row>
    <x:row r="4" ht="42" customHeight="1">
      <x:c r="A4" s="10" t="str">
        <x:v>Distinción</x:v>
      </x:c>
      <x:c r="B4" s="10" t="str">
        <x:v>Objeto</x:v>
      </x:c>
      <x:c r="C4" s="10" t="str">
        <x:v>Parámetro enlazado</x:v>
      </x:c>
      <x:c r="D4" s="10" t="str">
        <x:v>Estado de cobertura</x:v>
      </x:c>
      <x:c r="E4" s="10" t="str">
        <x:v>Laguna / alcance</x:v>
      </x:c>
      <x:c r="F4" s="10" t="str">
        <x:v>Regla</x:v>
      </x:c>
    </x:row>
    <x:row r="5" ht="47" customHeight="1">
      <x:c r="A5" s="4" t="str">
        <x:v>QCY-01-D1</x:v>
      </x:c>
      <x:c r="B5" s="4" t="str">
        <x:v>activo</x:v>
      </x:c>
      <x:c r="C5" s="4" t="str"/>
      <x:c r="D5" s="4" t="str">
        <x:v>PENDIENTE</x:v>
      </x:c>
      <x:c r="E5" s="4" t="str">
        <x:v>Necesidad no resuelta; bloquea la capacidad de cierre que dependa de ella.</x:v>
      </x:c>
      <x:c r="F5" s="4" t="str">
        <x:v>Sin nuevas raíces ni subdivisión exhaustiva declarada.</x:v>
      </x:c>
    </x:row>
    <x:row r="6" ht="47" customHeight="1">
      <x:c r="A6" s="4" t="str">
        <x:v>QCY-01-D2</x:v>
      </x:c>
      <x:c r="B6" s="4" t="str">
        <x:v>componente/configuración</x:v>
      </x:c>
      <x:c r="C6" s="4" t="str"/>
      <x:c r="D6" s="4" t="str">
        <x:v>PENDIENTE</x:v>
      </x:c>
      <x:c r="E6" s="4" t="str">
        <x:v>Necesidad no resuelta; bloquea la capacidad de cierre que dependa de ella.</x:v>
      </x:c>
      <x:c r="F6" s="4" t="str">
        <x:v>Sin nuevas raíces ni subdivisión exhaustiva declarada.</x:v>
      </x:c>
    </x:row>
    <x:row r="7" ht="47" customHeight="1">
      <x:c r="A7" s="4" t="str">
        <x:v>QCY-01-D3</x:v>
      </x:c>
      <x:c r="B7" s="4" t="str">
        <x:v>vulnerabilidad</x:v>
      </x:c>
      <x:c r="C7" s="4" t="str"/>
      <x:c r="D7" s="4" t="str">
        <x:v>PENDIENTE</x:v>
      </x:c>
      <x:c r="E7" s="4" t="str">
        <x:v>Necesidad no resuelta; bloquea la capacidad de cierre que dependa de ella.</x:v>
      </x:c>
      <x:c r="F7" s="4" t="str">
        <x:v>Sin nuevas raíces ni subdivisión exhaustiva declarada.</x:v>
      </x:c>
    </x:row>
    <x:row r="8" ht="47" customHeight="1">
      <x:c r="A8" s="4" t="str">
        <x:v>QCY-01-D4</x:v>
      </x:c>
      <x:c r="B8" s="4" t="str">
        <x:v>actualización aplicable</x:v>
      </x:c>
      <x:c r="C8" s="4" t="str"/>
      <x:c r="D8" s="4" t="str">
        <x:v>PENDIENTE</x:v>
      </x:c>
      <x:c r="E8" s="4" t="str">
        <x:v>Necesidad no resuelta; bloquea la capacidad de cierre que dependa de ella.</x:v>
      </x:c>
      <x:c r="F8" s="4" t="str">
        <x:v>Sin nuevas raíces ni subdivisión exhaustiva declarada.</x:v>
      </x:c>
    </x:row>
    <x:row r="9" ht="47" customHeight="1">
      <x:c r="A9" s="4" t="str">
        <x:v>QCY-02-D1</x:v>
      </x:c>
      <x:c r="B9" s="4" t="str">
        <x:v>identidad del episodio</x:v>
      </x:c>
      <x:c r="C9" s="4" t="str"/>
      <x:c r="D9" s="4" t="str">
        <x:v>PENDIENTE</x:v>
      </x:c>
      <x:c r="E9" s="4" t="str">
        <x:v>Necesidad no resuelta; bloquea la capacidad de cierre que dependa de ella.</x:v>
      </x:c>
      <x:c r="F9" s="4" t="str">
        <x:v>Sin nuevas raíces ni subdivisión exhaustiva declarada.</x:v>
      </x:c>
    </x:row>
    <x:row r="10" ht="47" customHeight="1">
      <x:c r="A10" s="4" t="str">
        <x:v>QCY-02-D2</x:v>
      </x:c>
      <x:c r="B10" s="4" t="str">
        <x:v>integridad</x:v>
      </x:c>
      <x:c r="C10" s="4" t="str"/>
      <x:c r="D10" s="4" t="str">
        <x:v>PENDIENTE</x:v>
      </x:c>
      <x:c r="E10" s="4" t="str">
        <x:v>Necesidad no resuelta; bloquea la capacidad de cierre que dependa de ella.</x:v>
      </x:c>
      <x:c r="F10" s="4" t="str">
        <x:v>Sin nuevas raíces ni subdivisión exhaustiva declarada.</x:v>
      </x:c>
    </x:row>
    <x:row r="11" ht="47" customHeight="1">
      <x:c r="A11" s="4" t="str">
        <x:v>QCY-02-D3</x:v>
      </x:c>
      <x:c r="B11" s="4" t="str">
        <x:v>procedencia/admisión</x:v>
      </x:c>
      <x:c r="C11" s="4" t="str"/>
      <x:c r="D11" s="4" t="str">
        <x:v>PENDIENTE</x:v>
      </x:c>
      <x:c r="E11" s="4" t="str">
        <x:v>Necesidad no resuelta; bloquea la capacidad de cierre que dependa de ella.</x:v>
      </x:c>
      <x:c r="F11" s="4" t="str">
        <x:v>Sin nuevas raíces ni subdivisión exhaustiva declarada.</x:v>
      </x:c>
    </x:row>
    <x:row r="12" ht="47" customHeight="1">
      <x:c r="A12" s="4" t="str">
        <x:v>QCY-03-D1</x:v>
      </x:c>
      <x:c r="B12" s="4" t="str">
        <x:v>operación individual</x:v>
      </x:c>
      <x:c r="C12" s="4" t="str"/>
      <x:c r="D12" s="4" t="str">
        <x:v>PENDIENTE</x:v>
      </x:c>
      <x:c r="E12" s="4" t="str">
        <x:v>Necesidad no resuelta; bloquea la capacidad de cierre que dependa de ella.</x:v>
      </x:c>
      <x:c r="F12" s="4" t="str">
        <x:v>Sin nuevas raíces ni subdivisión exhaustiva declarada.</x:v>
      </x:c>
    </x:row>
    <x:row r="13" ht="47" customHeight="1">
      <x:c r="A13" s="4" t="str">
        <x:v>QCY-03-D2</x:v>
      </x:c>
      <x:c r="B13" s="4" t="str">
        <x:v>estado final comunicado</x:v>
      </x:c>
      <x:c r="C13" s="4" t="str">
        <x:v>P02</x:v>
      </x:c>
      <x:c r="D13" s="4" t="str">
        <x:v>ADJUDICACION_EN_ALCANCE_DECLARADO</x:v>
      </x:c>
      <x:c r="E13" s="4" t="str">
        <x:v>No equivale a cobertura exhaustiva del uso profesional; ver contrato y límite.</x:v>
      </x:c>
      <x:c r="F13" s="4" t="str">
        <x:v>Sin nuevas raíces ni subdivisión exhaustiva declarada.</x:v>
      </x:c>
    </x:row>
    <x:row r="14" ht="47" customHeight="1">
      <x:c r="A14" s="4" t="str">
        <x:v>QCY-03-D3</x:v>
      </x:c>
      <x:c r="B14" s="4" t="str">
        <x:v>errores asociados</x:v>
      </x:c>
      <x:c r="C14" s="4" t="str"/>
      <x:c r="D14" s="4" t="str">
        <x:v>PENDIENTE</x:v>
      </x:c>
      <x:c r="E14" s="4" t="str">
        <x:v>Necesidad no resuelta; bloquea la capacidad de cierre que dependa de ella.</x:v>
      </x:c>
      <x:c r="F14" s="4" t="str">
        <x:v>Sin nuevas raíces ni subdivisión exhaustiva declarada.</x:v>
      </x:c>
    </x:row>
    <x:row r="15" ht="47" customHeight="1">
      <x:c r="A15" s="4" t="str">
        <x:v>QCY-04-D1</x:v>
      </x:c>
      <x:c r="B15" s="4" t="str">
        <x:v>requisito de reinicio del sistema</x:v>
      </x:c>
      <x:c r="C15" s="4" t="str">
        <x:v>P01</x:v>
      </x:c>
      <x:c r="D15" s="4" t="str">
        <x:v>ADJUDICACION_EN_ALCANCE_DECLARADO</x:v>
      </x:c>
      <x:c r="E15" s="4" t="str">
        <x:v>No equivale a cobertura exhaustiva del uso profesional; ver contrato y límite.</x:v>
      </x:c>
      <x:c r="F15" s="4" t="str">
        <x:v>Sin nuevas raíces ni subdivisión exhaustiva declarada.</x:v>
      </x:c>
    </x:row>
    <x:row r="16" ht="47" customHeight="1">
      <x:c r="A16" s="4" t="str">
        <x:v>QCY-04-D2</x:v>
      </x:c>
      <x:c r="B16" s="4" t="str">
        <x:v>reinicio posterior realizado</x:v>
      </x:c>
      <x:c r="C16" s="4" t="str">
        <x:v>P03</x:v>
      </x:c>
      <x:c r="D16" s="4" t="str">
        <x:v>ADJUDICACION_EN_ALCANCE_DECLARADO</x:v>
      </x:c>
      <x:c r="E16" s="4" t="str">
        <x:v>No equivale a cobertura exhaustiva del uso profesional; ver contrato y límite.</x:v>
      </x:c>
      <x:c r="F16" s="4" t="str">
        <x:v>Sin nuevas raíces ni subdivisión exhaustiva declarada.</x:v>
      </x:c>
    </x:row>
    <x:row r="17" ht="47" customHeight="1">
      <x:c r="A17" s="4" t="str">
        <x:v>QCY-04-D3</x:v>
      </x:c>
      <x:c r="B17" s="4" t="str">
        <x:v>otros cambios requeridos</x:v>
      </x:c>
      <x:c r="C17" s="4" t="str">
        <x:v>P04</x:v>
      </x:c>
      <x:c r="D17" s="4" t="str">
        <x:v>COBERTURA_PARCIAL</x:v>
      </x:c>
      <x:c r="E17" s="4" t="str">
        <x:v>Sólo reinicio de un software. Otros cambios requeridos pendientes.</x:v>
      </x:c>
      <x:c r="F17" s="4" t="str">
        <x:v>Sin nuevas raíces ni subdivisión exhaustiva declarada.</x:v>
      </x:c>
    </x:row>
    <x:row r="18" ht="47" customHeight="1">
      <x:c r="A18" s="4" t="str">
        <x:v>QCY-04-D4</x:v>
      </x:c>
      <x:c r="B18" s="4" t="str">
        <x:v>otros cambios realizados</x:v>
      </x:c>
      <x:c r="C18" s="4" t="str">
        <x:v>P05</x:v>
      </x:c>
      <x:c r="D18" s="4" t="str">
        <x:v>COBERTURA_PARCIAL</x:v>
      </x:c>
      <x:c r="E18" s="4" t="str">
        <x:v>Sólo terminación de una generación. Nuevo arranque, disponibilidad y otros cambios pendientes.</x:v>
      </x:c>
      <x:c r="F18" s="4" t="str">
        <x:v>Sin nuevas raíces ni subdivisión exhaustiva declarada.</x:v>
      </x:c>
    </x:row>
    <x:row r="19" ht="47" customHeight="1">
      <x:c r="A19" s="4" t="str">
        <x:v>QCY-05-D1</x:v>
      </x:c>
      <x:c r="B19" s="4" t="str">
        <x:v>criterio de comprobación</x:v>
      </x:c>
      <x:c r="C19" s="4" t="str"/>
      <x:c r="D19" s="4" t="str">
        <x:v>PENDIENTE</x:v>
      </x:c>
      <x:c r="E19" s="4" t="str">
        <x:v>Necesidad no resuelta; bloquea la capacidad de cierre que dependa de ella.</x:v>
      </x:c>
      <x:c r="F19" s="4" t="str">
        <x:v>Sin nuevas raíces ni subdivisión exhaustiva declarada.</x:v>
      </x:c>
    </x:row>
    <x:row r="20" ht="47" customHeight="1">
      <x:c r="A20" s="4" t="str">
        <x:v>QCY-05-D2</x:v>
      </x:c>
      <x:c r="B20" s="4" t="str">
        <x:v>estado activo</x:v>
      </x:c>
      <x:c r="C20" s="4" t="str">
        <x:v>P06</x:v>
      </x:c>
      <x:c r="D20" s="4" t="str">
        <x:v>COBERTURA_PARCIAL</x:v>
      </x:c>
      <x:c r="E20" s="4" t="str">
        <x:v>Sólo identidad de una imagen cargada. Otras instancias y estado de configuración pendientes.</x:v>
      </x:c>
      <x:c r="F20" s="4" t="str">
        <x:v>Sin nuevas raíces ni subdivisión exhaustiva declarada.</x:v>
      </x:c>
    </x:row>
    <x:row r="21" ht="47" customHeight="1">
      <x:c r="A21" s="4" t="str">
        <x:v>QCY-05-D3</x:v>
      </x:c>
      <x:c r="B21" s="4" t="str">
        <x:v>resultado de comprobación</x:v>
      </x:c>
      <x:c r="C21" s="4" t="str">
        <x:v>P07</x:v>
      </x:c>
      <x:c r="D21" s="4" t="str">
        <x:v>ADJUDICACION_EN_ALCANCE_DECLARADO</x:v>
      </x:c>
      <x:c r="E21" s="4" t="str">
        <x:v>No equivale a cobertura exhaustiva del uso profesional; ver contrato y límite.</x:v>
      </x:c>
      <x:c r="F21" s="4" t="str">
        <x:v>Sin nuevas raíces ni subdivisión exhaustiva declarada.</x:v>
      </x:c>
    </x:row>
    <x:row r="22" ht="47" customHeight="1">
      <x:c r="A22" s="4" t="str">
        <x:v>QCY-06-D1</x:v>
      </x:c>
      <x:c r="B22" s="4" t="str">
        <x:v>servicio afectado</x:v>
      </x:c>
      <x:c r="C22" s="4" t="str"/>
      <x:c r="D22" s="4" t="str">
        <x:v>PENDIENTE</x:v>
      </x:c>
      <x:c r="E22" s="4" t="str">
        <x:v>Necesidad no resuelta; bloquea la capacidad de cierre que dependa de ella.</x:v>
      </x:c>
      <x:c r="F22" s="4" t="str">
        <x:v>Sin nuevas raíces ni subdivisión exhaustiva declarada.</x:v>
      </x:c>
    </x:row>
    <x:row r="23" ht="47" customHeight="1">
      <x:c r="A23" s="4" t="str">
        <x:v>QCY-06-D2</x:v>
      </x:c>
      <x:c r="B23" s="4" t="str">
        <x:v>dependencias</x:v>
      </x:c>
      <x:c r="C23" s="4" t="str"/>
      <x:c r="D23" s="4" t="str">
        <x:v>PENDIENTE</x:v>
      </x:c>
      <x:c r="E23" s="4" t="str">
        <x:v>Necesidad no resuelta; bloquea la capacidad de cierre que dependa de ella.</x:v>
      </x:c>
      <x:c r="F23" s="4" t="str">
        <x:v>Sin nuevas raíces ni subdivisión exhaustiva declarada.</x:v>
      </x:c>
    </x:row>
    <x:row r="24" ht="47" customHeight="1">
      <x:c r="A24" s="4" t="str">
        <x:v>QCY-06-D3</x:v>
      </x:c>
      <x:c r="B24" s="4" t="str">
        <x:v>impacto de interrupción</x:v>
      </x:c>
      <x:c r="C24" s="4" t="str"/>
      <x:c r="D24" s="4" t="str">
        <x:v>PENDIENTE</x:v>
      </x:c>
      <x:c r="E24" s="4" t="str">
        <x:v>Necesidad no resuelta; bloquea la capacidad de cierre que dependa de ella.</x:v>
      </x:c>
      <x:c r="F24" s="4" t="str">
        <x:v>Sin nuevas raíces ni subdivisión exhaustiva declarada.</x:v>
      </x:c>
    </x:row>
    <x:row r="25" ht="47" customHeight="1">
      <x:c r="A25" s="4" t="str">
        <x:v>QCY-07-D1</x:v>
      </x:c>
      <x:c r="B25" s="4" t="str">
        <x:v>alternativas</x:v>
      </x:c>
      <x:c r="C25" s="4" t="str"/>
      <x:c r="D25" s="4" t="str">
        <x:v>PENDIENTE</x:v>
      </x:c>
      <x:c r="E25" s="4" t="str">
        <x:v>Necesidad no resuelta; bloquea la capacidad de cierre que dependa de ella.</x:v>
      </x:c>
      <x:c r="F25" s="4" t="str">
        <x:v>Sin nuevas raíces ni subdivisión exhaustiva declarada.</x:v>
      </x:c>
    </x:row>
    <x:row r="26" ht="47" customHeight="1">
      <x:c r="A26" s="4" t="str">
        <x:v>QCY-07-D2</x:v>
      </x:c>
      <x:c r="B26" s="4" t="str">
        <x:v>ventana</x:v>
      </x:c>
      <x:c r="C26" s="4" t="str"/>
      <x:c r="D26" s="4" t="str">
        <x:v>PENDIENTE</x:v>
      </x:c>
      <x:c r="E26" s="4" t="str">
        <x:v>Necesidad no resuelta; bloquea la capacidad de cierre que dependa de ella.</x:v>
      </x:c>
      <x:c r="F26" s="4" t="str">
        <x:v>Sin nuevas raíces ni subdivisión exhaustiva declarada.</x:v>
      </x:c>
    </x:row>
    <x:row r="27" ht="47" customHeight="1">
      <x:c r="A27" s="4" t="str">
        <x:v>QCY-07-D3</x:v>
      </x:c>
      <x:c r="B27" s="4" t="str">
        <x:v>autoridad concreta</x:v>
      </x:c>
      <x:c r="C27" s="4" t="str"/>
      <x:c r="D27" s="4" t="str">
        <x:v>PENDIENTE</x:v>
      </x:c>
      <x:c r="E27" s="4" t="str">
        <x:v>Necesidad no resuelta; bloquea la capacidad de cierre que dependa de ella.</x:v>
      </x:c>
      <x:c r="F27" s="4" t="str">
        <x:v>Sin nuevas raíces ni subdivisión exhaustiva declarada.</x:v>
      </x:c>
    </x:row>
    <x:row r="28" ht="47" customHeight="1">
      <x:c r="A28" s="4" t="str">
        <x:v>QCY-07-D4</x:v>
      </x:c>
      <x:c r="B28" s="4" t="str">
        <x:v>balance de coste/valor</x:v>
      </x:c>
      <x:c r="C28" s="4" t="str"/>
      <x:c r="D28" s="4" t="str">
        <x:v>PENDIENTE</x:v>
      </x:c>
      <x:c r="E28" s="4" t="str">
        <x:v>Necesidad no resuelta; bloquea la capacidad de cierre que dependa de ella.</x:v>
      </x:c>
      <x:c r="F28" s="4" t="str">
        <x:v>Sin nuevas raíces ni subdivisión exhaustiva declarada.</x:v>
      </x:c>
    </x:row>
    <x:row r="29" ht="47" customHeight="1">
      <x:c r="A29" s="4" t="str">
        <x:v>QCY-08-D1</x:v>
      </x:c>
      <x:c r="B29" s="4" t="str">
        <x:v>retirada/reversión</x:v>
      </x:c>
      <x:c r="C29" s="4" t="str">
        <x:v>P08</x:v>
      </x:c>
      <x:c r="D29" s="4" t="str">
        <x:v>COBERTURA_PARCIAL</x:v>
      </x:c>
      <x:c r="E29" s="4" t="str">
        <x:v>Sólo retirada comunicada; otras formas de reversión pendientes.</x:v>
      </x:c>
      <x:c r="F29" s="4" t="str">
        <x:v>Sin nuevas raíces ni subdivisión exhaustiva declarada.</x:v>
      </x:c>
    </x:row>
    <x:row r="30" ht="47" customHeight="1">
      <x:c r="A30" s="4" t="str">
        <x:v>QCY-08-D2</x:v>
      </x:c>
      <x:c r="B30" s="4" t="str">
        <x:v>cambio de componente</x:v>
      </x:c>
      <x:c r="C30" s="4" t="str">
        <x:v>P09</x:v>
      </x:c>
      <x:c r="D30" s="4" t="str">
        <x:v>COBERTURA_PARCIAL</x:v>
      </x:c>
      <x:c r="E30" s="4" t="str">
        <x:v>Sólo historia binaria; otros cambios de componente/configuración pendientes.</x:v>
      </x:c>
      <x:c r="F30" s="4" t="str">
        <x:v>Sin nuevas raíces ni subdivisión exhaustiva declarada.</x:v>
      </x:c>
    </x:row>
    <x:row r="31" ht="47" customHeight="1">
      <x:c r="A31" s="4" t="str">
        <x:v>QCY-08-D3</x:v>
      </x:c>
      <x:c r="B31" s="4" t="str">
        <x:v>restauración de estado previo</x:v>
      </x:c>
      <x:c r="C31" s="4" t="str">
        <x:v>P10</x:v>
      </x:c>
      <x:c r="D31" s="4" t="str">
        <x:v>ADJUDICACION_EN_ALCANCE_DECLARADO</x:v>
      </x:c>
      <x:c r="E31" s="4" t="str">
        <x:v>No equivale a cobertura exhaustiva del uso profesional; ver contrato y límite.</x:v>
      </x:c>
      <x:c r="F31" s="4" t="str">
        <x:v>Sin nuevas raíces ni subdivisión exhaustiva declarada.</x:v>
      </x:c>
    </x:row>
    <x:row r="32" ht="47" customHeight="1">
      <x:c r="A32" s="4" t="str">
        <x:v>QCY-09-D1</x:v>
      </x:c>
      <x:c r="B32" s="4" t="str">
        <x:v>cobertura de dependencias</x:v>
      </x:c>
      <x:c r="C32" s="4" t="str"/>
      <x:c r="D32" s="4" t="str">
        <x:v>PENDIENTE</x:v>
      </x:c>
      <x:c r="E32" s="4" t="str">
        <x:v>Necesidad no resuelta; bloquea la capacidad de cierre que dependa de ella.</x:v>
      </x:c>
      <x:c r="F32" s="4" t="str">
        <x:v>Sin nuevas raíces ni subdivisión exhaustiva declarada.</x:v>
      </x:c>
    </x:row>
    <x:row r="33" ht="47" customHeight="1">
      <x:c r="A33" s="4" t="str">
        <x:v>QCY-09-D2</x:v>
      </x:c>
      <x:c r="B33" s="4" t="str">
        <x:v>incertidumbres</x:v>
      </x:c>
      <x:c r="C33" s="4" t="str"/>
      <x:c r="D33" s="4" t="str">
        <x:v>PENDIENTE</x:v>
      </x:c>
      <x:c r="E33" s="4" t="str">
        <x:v>Necesidad no resuelta; bloquea la capacidad de cierre que dependa de ella.</x:v>
      </x:c>
      <x:c r="F33" s="4" t="str">
        <x:v>Sin nuevas raíces ni subdivisión exhaustiva declarada.</x:v>
      </x:c>
    </x:row>
    <x:row r="34" ht="47" customHeight="1">
      <x:c r="A34" s="4" t="str">
        <x:v>QCY-09-D3</x:v>
      </x:c>
      <x:c r="B34" s="4" t="str">
        <x:v>justificación</x:v>
      </x:c>
      <x:c r="C34" s="4" t="str"/>
      <x:c r="D34" s="4" t="str">
        <x:v>PENDIENTE</x:v>
      </x:c>
      <x:c r="E34" s="4" t="str">
        <x:v>Necesidad no resuelta; bloquea la capacidad de cierre que dependa de ella.</x:v>
      </x:c>
      <x:c r="F34" s="4" t="str">
        <x:v>Sin nuevas raíces ni subdivisión exhaustiva declarada.</x:v>
      </x:c>
    </x:row>
    <x:row r="35" ht="47" customHeight="1">
      <x:c r="A35" s="4" t="str">
        <x:v>QCY-09-D4</x:v>
      </x:c>
      <x:c r="B35" s="4" t="str">
        <x:v>destinatario responsable</x:v>
      </x:c>
      <x:c r="C35" s="4" t="str"/>
      <x:c r="D35" s="4" t="str">
        <x:v>PENDIENTE</x:v>
      </x:c>
      <x:c r="E35" s="4" t="str">
        <x:v>Necesidad no resuelta; bloquea la capacidad de cierre que dependa de ella.</x:v>
      </x:c>
      <x:c r="F35" s="4" t="str">
        <x:v>Sin nuevas raíces ni subdivisión exhaustiva declarada.</x:v>
      </x:c>
    </x:row>
  </x:sheetData>
  <x:mergeCells>
    <x:mergeCell ref="A1:D1"/>
    <x:mergeCell ref="A2:F2"/>
  </x:mergeCells>
  <x:pageMargins left="0.7" right="0.7" top="0.75" bottom="0.75" header="0.3" footer="0.3"/>
  <x:tableParts count="1">
    <x:tablePart xmlns:r="http://schemas.openxmlformats.org/officeDocument/2006/relationships" r:id="R8528cbe3499e4b39"/>
  </x:tableParts>
</x:worksheet>
</file>

<file path=xl/worksheets/sheet54.xml><?xml version="1.0" encoding="utf-8"?>
<x:worksheet xmlns:x="http://schemas.openxmlformats.org/spreadsheetml/2006/main">
  <x:sheetViews>
    <x:sheetView showGridLines="0" workbookViewId="0"/>
  </x:sheetViews>
  <x:sheetFormatPr defaultRowHeight="15"/>
  <x:cols>
    <x:col min="1" max="1" width="12" hidden="0" customWidth="1"/>
    <x:col min="2" max="2" width="58" hidden="0" customWidth="1"/>
    <x:col min="3" max="3" width="106" hidden="0" customWidth="1"/>
    <x:col min="4" max="4" width="66" hidden="0" customWidth="1"/>
    <x:col min="5" max="5" width="106" hidden="0" customWidth="1"/>
    <x:col min="6" max="6" width="19" hidden="0" customWidth="1"/>
    <x:col min="7" max="7" width="29" hidden="0" customWidth="1"/>
    <x:col min="8" max="8" width="21" hidden="0" customWidth="1"/>
    <x:col min="9" max="9" width="70" hidden="0" customWidth="1"/>
    <x:col min="10" max="10" width="50" hidden="0" customWidth="1"/>
  </x:cols>
  <x:sheetData>
    <x:row r="1" ht="35" customHeight="1">
      <x:c r="A1" s="6" t="str">
        <x:v>FUENTES · siete capturas adicionales</x:v>
      </x:c>
      <x:c r="B1" s="6"/>
      <x:c r="C1" s="6"/>
      <x:c r="D1" s="6"/>
      <x:c r="E1" s="6"/>
      <x:c r="F1" s="6"/>
      <x:c r="G1" s="6"/>
      <x:c r="H1" s="6"/>
      <x:c r="I1" s="6"/>
      <x:c r="J1" s="6"/>
    </x:row>
    <x:row r="2" ht="52" customHeight="1">
      <x:c r="A2" s="8" t="str">
        <x:v>T001–T006 permanecen fijadas en 43. Metadato ms.date y fecha visible se conservan por separado cuando difieren.</x:v>
      </x:c>
      <x:c r="B2" s="8"/>
      <x:c r="C2" s="8"/>
      <x:c r="D2" s="8"/>
      <x:c r="E2" s="8"/>
      <x:c r="F2" s="8"/>
      <x:c r="G2" s="8"/>
      <x:c r="H2" s="8"/>
      <x:c r="I2" s="8"/>
      <x:c r="J2" s="8"/>
    </x:row>
    <x:row r="3">
      <x:c r="A3" s="4"/>
      <x:c r="B3" s="4"/>
      <x:c r="C3" s="4"/>
      <x:c r="D3" s="4"/>
      <x:c r="E3" s="4"/>
      <x:c r="F3" s="4"/>
      <x:c r="G3" s="4"/>
      <x:c r="H3" s="4"/>
      <x:c r="I3" s="4"/>
      <x:c r="J3" s="4"/>
    </x:row>
    <x:row r="4" ht="42" customHeight="1">
      <x:c r="A4" s="10" t="str">
        <x:v>ID</x:v>
      </x:c>
      <x:c r="B4" s="10" t="str">
        <x:v>Título</x:v>
      </x:c>
      <x:c r="C4" s="10" t="str">
        <x:v>URL</x:v>
      </x:c>
      <x:c r="D4" s="10" t="str">
        <x:v>Localizador</x:v>
      </x:c>
      <x:c r="E4" s="10" t="str">
        <x:v>Alcance leído</x:v>
      </x:c>
      <x:c r="F4" s="10" t="str">
        <x:v>Fecha visible</x:v>
      </x:c>
      <x:c r="G4" s="10" t="str">
        <x:v>ms.date</x:v>
      </x:c>
      <x:c r="H4" s="10" t="str">
        <x:v>Bytes exactos</x:v>
      </x:c>
      <x:c r="I4" s="10" t="str">
        <x:v>SHA-256</x:v>
      </x:c>
      <x:c r="J4" s="10" t="str">
        <x:v>Estatuto</x:v>
      </x:c>
    </x:row>
    <x:row r="5" ht="47" customHeight="1">
      <x:c r="A5" s="4" t="str">
        <x:v>T007</x:v>
      </x:c>
      <x:c r="B5" s="4" t="str">
        <x:v>Updates may not be installed with Fast Startup in Windows 10</x:v>
      </x:c>
      <x:c r="C5" s="4" t="str">
        <x:v>https://learn.microsoft.com/en-us/troubleshoot/windows-client/setup-upgrade-and-drivers/updates-not-install-with-fast-startup</x:v>
      </x:c>
      <x:c r="D5" s="4" t="str">
        <x:v>Summary; More information</x:v>
      </x:c>
      <x:c r="E5" s="4" t="str">
        <x:v>Reinicio completo frente a Fast Startup; alcance Windows 10 y salvedad MEMCM.</x:v>
      </x:c>
      <x:c r="F5" s="4" t="str">
        <x:v>2026-02-12</x:v>
      </x:c>
      <x:c r="G5" s="4" t="str">
        <x:v>ms.date=2026-02-12T00:00:00Z</x:v>
      </x:c>
      <x:c r="H5" s="4" t="str">
        <x:v>49266</x:v>
      </x:c>
      <x:c r="I5" s="4" t="str">
        <x:v>0b4d699ffb67dff435405c972ad5be5a4788b3b658939cb3e54e53424ba487dd</x:v>
      </x:c>
      <x:c r="J5" s="4" t="str">
        <x:v>CUERPO_TECNICO_LEIDO; PERFIL_PRODUCTIVO_PENDIENTE</x:v>
      </x:c>
    </x:row>
    <x:row r="6" ht="47" customHeight="1">
      <x:c r="A6" s="4" t="str">
        <x:v>T008</x:v>
      </x:c>
      <x:c r="B6" s="4" t="str">
        <x:v>Dynamic-link library search order</x:v>
      </x:c>
      <x:c r="C6" s="4" t="str">
        <x:v>https://learn.microsoft.com/en-us/windows/win32/dlls/dynamic-link-library-search-order</x:v>
      </x:c>
      <x:c r="D6" s="4" t="str">
        <x:v>Introducción; Factors that affect searching; órdenes y Remarks</x:v>
      </x:c>
      <x:c r="E6" s="4" t="str">
        <x:v>Versiones coexistentes y resolución real; una ruta esperada no prueba qué módulo se cargó.</x:v>
      </x:c>
      <x:c r="F6" s="4" t="str">
        <x:v>2023-02-09</x:v>
      </x:c>
      <x:c r="G6" s="4" t="str">
        <x:v>ms.date=2023-02-08T00:00:00Z</x:v>
      </x:c>
      <x:c r="H6" s="4" t="str">
        <x:v>63810</x:v>
      </x:c>
      <x:c r="I6" s="4" t="str">
        <x:v>ca2ff1a77ec797c516025925c6f3df38358b0f8b306cd0778f09186cfadc7a16</x:v>
      </x:c>
      <x:c r="J6" s="4" t="str">
        <x:v>CUERPO_TECNICO_LEIDO; PERFIL_PRODUCTIVO_PENDIENTE</x:v>
      </x:c>
    </x:row>
    <x:row r="7" ht="47" customHeight="1">
      <x:c r="A7" s="4" t="str">
        <x:v>T009</x:v>
      </x:c>
      <x:c r="B7" s="4" t="str">
        <x:v>About Restart Manager</x:v>
      </x:c>
      <x:c r="C7" s="4" t="str">
        <x:v>https://learn.microsoft.com/en-us/windows/win32/rstmgr/about-restart-manager</x:v>
      </x:c>
      <x:c r="D7" s="4" t="str">
        <x:v>In this article</x:v>
      </x:c>
      <x:c r="E7" s="4" t="str">
        <x:v>Reinicio de aplicaciones/servicios, ficheros en uso, privilegios y servicios críticos.</x:v>
      </x:c>
      <x:c r="F7" s="4" t="str">
        <x:v>2020-08-19</x:v>
      </x:c>
      <x:c r="G7" s="4" t="str">
        <x:v>ms.date=2018-05-31T00:00:00Z</x:v>
      </x:c>
      <x:c r="H7" s="4" t="str">
        <x:v>49235</x:v>
      </x:c>
      <x:c r="I7" s="4" t="str">
        <x:v>31523632eb52da14a7aafb6b8315b19e0ac8b2c5ef3ee11abe12ce5d9c4aded9</x:v>
      </x:c>
      <x:c r="J7" s="4" t="str">
        <x:v>CUERPO_TECNICO_LEIDO; PERFIL_PRODUCTIVO_PENDIENTE</x:v>
      </x:c>
    </x:row>
    <x:row r="8" ht="47" customHeight="1">
      <x:c r="A8" s="4" t="str">
        <x:v>T010</x:v>
      </x:c>
      <x:c r="B8" s="4" t="str">
        <x:v>IUpdateHistoryEntry interface (wuapi.h)</x:v>
      </x:c>
      <x:c r="C8" s="4" t="str">
        <x:v>https://learn.microsoft.com/en-us/windows/win32/api/wuapi/nn-wuapi-iupdatehistoryentry</x:v>
      </x:c>
      <x:c r="D8" s="4" t="str">
        <x:v>Methods</x:v>
      </x:c>
      <x:c r="E8" s="4" t="str">
        <x:v>Historia: identidad, operación, resultado y fecha son campos distintos; no garantiza cobertura completa.</x:v>
      </x:c>
      <x:c r="F8" s="4" t="str">
        <x:v>2023-02-16</x:v>
      </x:c>
      <x:c r="G8" s="4" t="str">
        <x:v>ms.date=2018-12-05T00:00:00Z</x:v>
      </x:c>
      <x:c r="H8" s="4" t="str">
        <x:v>52577</x:v>
      </x:c>
      <x:c r="I8" s="4" t="str">
        <x:v>1c10caa71f853e1a5f70b241d408b584956f0285086c2e726f93ab465d242f7d</x:v>
      </x:c>
      <x:c r="J8" s="4" t="str">
        <x:v>CUERPO_TECNICO_LEIDO; PERFIL_PRODUCTIVO_PENDIENTE</x:v>
      </x:c>
    </x:row>
    <x:row r="9" ht="47" customHeight="1">
      <x:c r="A9" s="4" t="str">
        <x:v>T011</x:v>
      </x:c>
      <x:c r="B9" s="4" t="str">
        <x:v>UpdateOperation enumeration (wuapi.h)</x:v>
      </x:c>
      <x:c r="C9" s="4" t="str">
        <x:v>https://learn.microsoft.com/en-us/windows/win32/api/wuapi/ne-wuapi-updateoperation</x:v>
      </x:c>
      <x:c r="D9" s="4" t="str">
        <x:v>Constants</x:v>
      </x:c>
      <x:c r="E9" s="4" t="str">
        <x:v>Instalación y desinstalación son operaciones distintas; no se convierten sus enteros directamente a Tri.</x:v>
      </x:c>
      <x:c r="F9" s="4" t="str">
        <x:v>2024-02-22</x:v>
      </x:c>
      <x:c r="G9" s="4" t="str">
        <x:v>ms.date=2018-12-05T00:00:00Z</x:v>
      </x:c>
      <x:c r="H9" s="4" t="str">
        <x:v>49531</x:v>
      </x:c>
      <x:c r="I9" s="4" t="str">
        <x:v>8a46244c749fd5b075d756d5d01116ff9a58e2a8168eed766d4337aef07197b8</x:v>
      </x:c>
      <x:c r="J9" s="4" t="str">
        <x:v>CUERPO_TECNICO_LEIDO; PERFIL_PRODUCTIVO_PENDIENTE</x:v>
      </x:c>
    </x:row>
    <x:row r="10" ht="47" customHeight="1">
      <x:c r="A10" s="4" t="str">
        <x:v>T012</x:v>
      </x:c>
      <x:c r="B10" s="4" t="str">
        <x:v>GetModuleInformation function (psapi.h)</x:v>
      </x:c>
      <x:c r="C10" s="4" t="str">
        <x:v>https://learn.microsoft.com/en-us/windows/win32/api/psapi/nf-psapi-getmoduleinformation</x:v>
      </x:c>
      <x:c r="D10" s="4" t="str">
        <x:v>Parameters; Return value; Remarks</x:v>
      </x:c>
      <x:c r="E10" s="4" t="str">
        <x:v>La llamada recoge MODULEINFO y tiene fallos/permisos; no certifica una imagen correctora.</x:v>
      </x:c>
      <x:c r="F10" s="4" t="str">
        <x:v>2024-02-22</x:v>
      </x:c>
      <x:c r="G10" s="4" t="str">
        <x:v>ms.date=2018-12-05T00:00:00Z</x:v>
      </x:c>
      <x:c r="H10" s="4" t="str">
        <x:v>54456</x:v>
      </x:c>
      <x:c r="I10" s="4" t="str">
        <x:v>6a3de9519144cdc43ab32fa5c207975809fdb14913b20e9473d84b74f8f656d2</x:v>
      </x:c>
      <x:c r="J10" s="4" t="str">
        <x:v>CUERPO_TECNICO_LEIDO; PERFIL_PRODUCTIVO_PENDIENTE</x:v>
      </x:c>
    </x:row>
    <x:row r="11" ht="47" customHeight="1">
      <x:c r="A11" s="4" t="str">
        <x:v>T013</x:v>
      </x:c>
      <x:c r="B11" s="4" t="str">
        <x:v>MODULEINFO structure (psapi.h)</x:v>
      </x:c>
      <x:c r="C11" s="4" t="str">
        <x:v>https://learn.microsoft.com/en-us/windows/win32/api/psapi/ns-psapi-moduleinfo</x:v>
      </x:c>
      <x:c r="D11" s="4" t="str">
        <x:v>Members; Remarks</x:v>
      </x:c>
      <x:c r="E11" s="4" t="str">
        <x:v>Dirección, tamaño y punto de entrada; no son un digest del código cargado.</x:v>
      </x:c>
      <x:c r="F11" s="4" t="str">
        <x:v>2024-02-22</x:v>
      </x:c>
      <x:c r="G11" s="4" t="str">
        <x:v>ms.date=2018-12-05T00:00:00Z</x:v>
      </x:c>
      <x:c r="H11" s="4" t="str">
        <x:v>49924</x:v>
      </x:c>
      <x:c r="I11" s="4" t="str">
        <x:v>d2e50a2cb472165399ae7a673d5946337d340f5162062ec1373bb6af9e63c230</x:v>
      </x:c>
      <x:c r="J11" s="4" t="str">
        <x:v>CUERPO_TECNICO_LEIDO; PERFIL_PRODUCTIVO_PENDIENTE</x:v>
      </x:c>
    </x:row>
  </x:sheetData>
  <x:mergeCells>
    <x:mergeCell ref="A1:D1"/>
    <x:mergeCell ref="A2:F2"/>
  </x:mergeCells>
  <x:pageMargins left="0.7" right="0.7" top="0.75" bottom="0.75" header="0.3" footer="0.3"/>
  <x:tableParts count="1">
    <x:tablePart xmlns:r="http://schemas.openxmlformats.org/officeDocument/2006/relationships" r:id="R801a153648404f6f"/>
  </x:tableParts>
</x:worksheet>
</file>

<file path=xl/worksheets/sheet55.xml><?xml version="1.0" encoding="utf-8"?>
<x:worksheet xmlns:x="http://schemas.openxmlformats.org/spreadsheetml/2006/main">
  <x:sheetViews>
    <x:sheetView showGridLines="0" workbookViewId="0"/>
  </x:sheetViews>
  <x:sheetFormatPr defaultRowHeight="15"/>
  <x:cols>
    <x:col min="1" max="1" width="19" hidden="0" customWidth="1"/>
    <x:col min="2" max="2" width="62" hidden="0" customWidth="1"/>
    <x:col min="3" max="3" width="24" hidden="0" customWidth="1"/>
    <x:col min="4" max="4" width="21" hidden="0" customWidth="1"/>
    <x:col min="5" max="5" width="120" hidden="0" customWidth="1"/>
  </x:cols>
  <x:sheetData>
    <x:row r="1" ht="35" customHeight="1">
      <x:c r="A1" s="6" t="str">
        <x:v>CONTROL · resultado documental del lote</x:v>
      </x:c>
      <x:c r="B1" s="6"/>
      <x:c r="C1" s="6"/>
      <x:c r="D1" s="6"/>
      <x:c r="E1" s="6"/>
    </x:row>
    <x:row r="2" ht="52" customHeight="1">
      <x:c r="A2" s="8" t="str">
        <x:v>Fórmulas visibles y mutación de un esperado. La concordancia es un resultado acotado a los testigos.</x:v>
      </x:c>
      <x:c r="B2" s="8"/>
      <x:c r="C2" s="8"/>
      <x:c r="D2" s="8"/>
      <x:c r="E2" s="8"/>
    </x:row>
    <x:row r="3">
      <x:c r="A3" s="4"/>
      <x:c r="B3" s="4"/>
      <x:c r="C3" s="4"/>
      <x:c r="D3" s="4"/>
      <x:c r="E3" s="4"/>
    </x:row>
    <x:row r="4" ht="42" customHeight="1">
      <x:c r="A4" s="10" t="str">
        <x:v>Control</x:v>
      </x:c>
      <x:c r="B4" s="10" t="str">
        <x:v>Magnitud</x:v>
      </x:c>
      <x:c r="C4" s="10" t="str">
        <x:v>Observado</x:v>
      </x:c>
      <x:c r="D4" s="10" t="str">
        <x:v>Esperado</x:v>
      </x:c>
      <x:c r="E4" s="10" t="str">
        <x:v>Alcance</x:v>
      </x:c>
    </x:row>
    <x:row r="5" ht="47" customHeight="1">
      <x:c r="A5" s="4" t="str">
        <x:v>L10-C01</x:v>
      </x:c>
      <x:c r="B5" s="4" t="str">
        <x:v>Parámetros registrados</x:v>
      </x:c>
      <x:c r="C5" s="17" t="n">
        <x:f>COUNTA('46_Registro_diez'!$B$5:$B$14)</x:f>
        <x:v>10</x:v>
      </x:c>
      <x:c r="D5" s="13" t="n">
        <x:v>10</x:v>
      </x:c>
      <x:c r="E5" s="4" t="str">
        <x:v>Definiciones de 46; no instancias ni hojas.</x:v>
      </x:c>
    </x:row>
    <x:row r="6" ht="47" customHeight="1">
      <x:c r="A6" s="4" t="str">
        <x:v>L10-C02</x:v>
      </x:c>
      <x:c r="B6" s="4" t="str">
        <x:v>Adoptados nominalmente</x:v>
      </x:c>
      <x:c r="C6" s="17" t="n">
        <x:f>COUNTIF('46_Registro_diez'!$I$5:$I$14,"ADOPTADO_POR_DIRECCION")</x:f>
        <x:v>1</x:v>
      </x:c>
      <x:c r="D6" s="13" t="n">
        <x:v>1</x:v>
      </x:c>
      <x:c r="E6" s="4" t="str">
        <x:v>P01; no se anticipa la adopción de P02–P10.</x:v>
      </x:c>
    </x:row>
    <x:row r="7" ht="47" customHeight="1">
      <x:c r="A7" s="4" t="str">
        <x:v>L10-C03</x:v>
      </x:c>
      <x:c r="B7" s="4" t="str">
        <x:v>Nuevos dictámenes</x:v>
      </x:c>
      <x:c r="C7" s="17" t="n">
        <x:f>COUNTIF('46_Registro_diez'!$I$5:$I$14,"PENDIENTE_DE_ADOPCION_NOMINAL")</x:f>
        <x:v>9</x:v>
      </x:c>
      <x:c r="D7" s="13" t="n">
        <x:v>9</x:v>
      </x:c>
      <x:c r="E7" s="4" t="str">
        <x:v>Nueve fichas con prueba de identidad, función, U, ablación y partición.</x:v>
      </x:c>
    </x:row>
    <x:row r="8" ht="47" customHeight="1">
      <x:c r="A8" s="4" t="str">
        <x:v>L10-C04</x:v>
      </x:c>
      <x:c r="B8" s="4" t="str">
        <x:v>Identidades duplicadas</x:v>
      </x:c>
      <x:c r="C8" s="17" t="n">
        <x:f>COUNTIF('46_Registro_diez'!$B$5:$B$14,'46_Registro_diez'!B5)-1+COUNTIF('46_Registro_diez'!$B$5:$B$14,'46_Registro_diez'!B6)-1+COUNTIF('46_Registro_diez'!$B$5:$B$14,'46_Registro_diez'!B7)-1+COUNTIF('46_Registro_diez'!$B$5:$B$14,'46_Registro_diez'!B8)-1+COUNTIF('46_Registro_diez'!$B$5:$B$14,'46_Registro_diez'!B9)-1+COUNTIF('46_Registro_diez'!$B$5:$B$14,'46_Registro_diez'!B10)-1+COUNTIF('46_Registro_diez'!$B$5:$B$14,'46_Registro_diez'!B11)-1+COUNTIF('46_Registro_diez'!$B$5:$B$14,'46_Registro_diez'!B12)-1+COUNTIF('46_Registro_diez'!$B$5:$B$14,'46_Registro_diez'!B13)-1+COUNTIF('46_Registro_diez'!$B$5:$B$14,'46_Registro_diez'!B14)-1</x:f>
        <x:v>0</x:v>
      </x:c>
      <x:c r="D8" s="13" t="n">
        <x:v>0</x:v>
      </x:c>
      <x:c r="E8" s="4" t="str">
        <x:v>La unicidad es un control necesario, no prueba semántica.</x:v>
      </x:c>
    </x:row>
    <x:row r="9" ht="47" customHeight="1">
      <x:c r="A9" s="4" t="str">
        <x:v>L10-C05</x:v>
      </x:c>
      <x:c r="B9" s="4" t="str">
        <x:v>Testigos nuevos</x:v>
      </x:c>
      <x:c r="C9" s="17" t="n">
        <x:f>COUNTA('50_Testigos_lote'!$A$5:$A$131)</x:f>
        <x:v>127</x:v>
      </x:c>
      <x:c r="D9" s="13" t="n">
        <x:v>127</x:v>
      </x:c>
      <x:c r="E9" s="4" t="str">
        <x:v>Esperados fijados antes de evaluación de fórmulas.</x:v>
      </x:c>
    </x:row>
    <x:row r="10" ht="47" customHeight="1">
      <x:c r="A10" s="4" t="str">
        <x:v>L10-C06</x:v>
      </x:c>
      <x:c r="B10" s="4" t="str">
        <x:v>Discordancias de testigos</x:v>
      </x:c>
      <x:c r="C10" s="17" t="n">
        <x:f>COUNTIF('50_Testigos_lote'!$R$5:$R$131,"NO_PASA")</x:f>
        <x:v>0</x:v>
      </x:c>
      <x:c r="D10" s="13" t="n">
        <x:v>0</x:v>
      </x:c>
      <x:c r="E10" s="4" t="str">
        <x:v>No acredita capturador ni consejo productivo.</x:v>
      </x:c>
    </x:row>
    <x:row r="11" ht="47" customHeight="1">
      <x:c r="A11" s="4" t="str">
        <x:v>L10-C07</x:v>
      </x:c>
      <x:c r="B11" s="4" t="str">
        <x:v>Distinciones Q0 registradas</x:v>
      </x:c>
      <x:c r="C11" s="17" t="n">
        <x:f>COUNTA('52_Cobertura_Q0_actual'!$A$5:$A$35)</x:f>
        <x:v>31</x:v>
      </x:c>
      <x:c r="D11" s="13" t="n">
        <x:v>31</x:v>
      </x:c>
      <x:c r="E11" s="4" t="str">
        <x:v>No se amplió el inventario.</x:v>
      </x:c>
    </x:row>
    <x:row r="12" ht="47" customHeight="1">
      <x:c r="A12" s="4" t="str">
        <x:v>L10-C08</x:v>
      </x:c>
      <x:c r="B12" s="4" t="str">
        <x:v>Ablaciones ejecutadas</x:v>
      </x:c>
      <x:c r="C12" s="13" t="n">
        <x:v>9</x:v>
      </x:c>
      <x:c r="D12" s="13" t="n">
        <x:v>9</x:v>
      </x:c>
      <x:c r="E12" s="4" t="str">
        <x:v>Proyecciones semánticas acotadas; no ejecución SV.</x:v>
      </x:c>
    </x:row>
    <x:row r="13" ht="47" customHeight="1">
      <x:c r="A13" s="4" t="str">
        <x:v>L10-C09</x:v>
      </x:c>
      <x:c r="B13" s="4" t="str">
        <x:v>Mutantes de ablación detectados</x:v>
      </x:c>
      <x:c r="C13" s="13" t="n">
        <x:v>9</x:v>
      </x:c>
      <x:c r="D13" s="13" t="n">
        <x:v>9</x:v>
      </x:c>
      <x:c r="E13" s="4" t="str">
        <x:v>Observador que ignora cada estado pierde la obligación correspondiente.</x:v>
      </x:c>
    </x:row>
    <x:row r="14" ht="47" customHeight="1">
      <x:c r="A14" s="4" t="str">
        <x:v>L10-C10</x:v>
      </x:c>
      <x:c r="B14" s="4" t="str">
        <x:v>Casos del primer átomo conservados</x:v>
      </x:c>
      <x:c r="C14" s="17" t="n">
        <x:f>COUNTA('41_Testigos_G5'!$A$5:$A$32)</x:f>
        <x:v>28</x:v>
      </x:c>
      <x:c r="D14" s="13" t="n">
        <x:v>28</x:v>
      </x:c>
      <x:c r="E14" s="4" t="str">
        <x:v>Se reejecutan en 41; contrato de P01 sin cambios.</x:v>
      </x:c>
    </x:row>
    <x:row r="15" ht="47" customHeight="1">
      <x:c r="A15" s="4" t="str">
        <x:v>L10-C11</x:v>
      </x:c>
      <x:c r="B15" s="4" t="str">
        <x:v>Nuevas fuentes capturadas</x:v>
      </x:c>
      <x:c r="C15" s="17" t="n">
        <x:f>COUNTA('53_Fuentes_lote'!$A$5:$A$11)</x:f>
        <x:v>7</x:v>
      </x:c>
      <x:c r="D15" s="13" t="n">
        <x:v>7</x:v>
      </x:c>
      <x:c r="E15" s="4" t="str">
        <x:v>Originales y huellas.</x:v>
      </x:c>
    </x:row>
    <x:row r="16" ht="47" customHeight="1">
      <x:c r="A16" s="4" t="str">
        <x:v>L10-C12</x:v>
      </x:c>
      <x:c r="B16" s="4" t="str">
        <x:v>Ataques internos</x:v>
      </x:c>
      <x:c r="C16" s="17" t="n">
        <x:f>COUNTA('51_Adversarial_lote'!$A$5:$A$24)</x:f>
        <x:v>20</x:v>
      </x:c>
      <x:c r="D16" s="13" t="n">
        <x:v>20</x:v>
      </x:c>
      <x:c r="E16" s="4" t="str">
        <x:v>Reparos absorbidos y deudas explícitas.</x:v>
      </x:c>
    </x:row>
    <x:row r="17" ht="47" customHeight="1">
      <x:c r="A17" s="4" t="str">
        <x:v>L10-C13</x:v>
      </x:c>
      <x:c r="B17" s="4" t="str">
        <x:v>Entradas Q0 con cobertura parcial</x:v>
      </x:c>
      <x:c r="C17" s="17" t="n">
        <x:f>COUNTIF('52_Cobertura_Q0_actual'!$D$5:$D$35,"COBERTURA_PARCIAL")</x:f>
        <x:v>5</x:v>
      </x:c>
      <x:c r="D17" s="13" t="n">
        <x:v>5</x:v>
      </x:c>
      <x:c r="E17" s="4" t="str">
        <x:v>No se ocultan bajo «dictaminado».</x:v>
      </x:c>
    </x:row>
    <x:row r="18" ht="47" customHeight="1">
      <x:c r="A18" s="4" t="str">
        <x:v>L10-C14</x:v>
      </x:c>
      <x:c r="B18" s="4" t="str">
        <x:v>Errores nuevos de referencia</x:v>
      </x:c>
      <x:c r="C18" s="17" t="n">
        <x:f>COUNTBLANK('50_Testigos_lote'!$T$5:$T$131)+COUNTIF('55_Codificacion_ensayo'!$A$5:$A$13,'55_Codificacion_ensayo'!A5)-1+COUNTIF('55_Codificacion_ensayo'!$A$5:$A$13,'55_Codificacion_ensayo'!A6)-1+COUNTIF('55_Codificacion_ensayo'!$A$5:$A$13,'55_Codificacion_ensayo'!A7)-1+COUNTIF('55_Codificacion_ensayo'!$A$5:$A$13,'55_Codificacion_ensayo'!A8)-1+COUNTIF('55_Codificacion_ensayo'!$A$5:$A$13,'55_Codificacion_ensayo'!A9)-1+COUNTIF('55_Codificacion_ensayo'!$A$5:$A$13,'55_Codificacion_ensayo'!A10)-1+COUNTIF('55_Codificacion_ensayo'!$A$5:$A$13,'55_Codificacion_ensayo'!A11)-1+COUNTIF('55_Codificacion_ensayo'!$A$5:$A$13,'55_Codificacion_ensayo'!A12)-1+COUNTIF('55_Codificacion_ensayo'!$A$5:$A$13,'55_Codificacion_ensayo'!A13)-1</x:f>
        <x:v>0</x:v>
      </x:c>
      <x:c r="D18" s="13" t="n">
        <x:v>0</x:v>
      </x:c>
      <x:c r="E18" s="4" t="str">
        <x:v>Cada caso corresponde a exactamente un perfil de 55.</x:v>
      </x:c>
    </x:row>
  </x:sheetData>
  <x:mergeCells>
    <x:mergeCell ref="A1:D1"/>
    <x:mergeCell ref="A2:E2"/>
  </x:mergeCells>
  <x:conditionalFormatting sqref="C5:C18">
    <x:cfRule type="expression" dxfId="25" priority="1">
      <x:formula>C5&lt;&gt;D5</x:formula>
    </x:cfRule>
  </x:conditionalFormatting>
  <x:pageMargins left="0.7" right="0.7" top="0.75" bottom="0.75" header="0.3" footer="0.3"/>
  <x:tableParts count="1">
    <x:tablePart xmlns:r="http://schemas.openxmlformats.org/officeDocument/2006/relationships" r:id="R99d7bba07b4b453d"/>
  </x:tableParts>
</x:worksheet>
</file>

<file path=xl/worksheets/sheet56.xml><?xml version="1.0" encoding="utf-8"?>
<x:worksheet xmlns:x="http://schemas.openxmlformats.org/spreadsheetml/2006/main">
  <x:sheetViews>
    <x:sheetView showGridLines="0" workbookViewId="0"/>
  </x:sheetViews>
  <x:sheetFormatPr defaultRowHeight="15"/>
  <x:cols>
    <x:col min="1" max="1" width="51" hidden="0" customWidth="1"/>
    <x:col min="2" max="2" width="53" hidden="0" customWidth="1"/>
    <x:col min="3" max="3" width="33" hidden="0" customWidth="1"/>
    <x:col min="4" max="4" width="35" hidden="0" customWidth="1"/>
    <x:col min="5" max="5" width="25" hidden="0" customWidth="1"/>
    <x:col min="6" max="6" width="68" hidden="0" customWidth="1"/>
    <x:col min="7" max="7" width="68" hidden="0" customWidth="1"/>
    <x:col min="8" max="8" width="68" hidden="0" customWidth="1"/>
    <x:col min="9" max="9" width="40" hidden="0" customWidth="1"/>
    <x:col min="10" max="10" width="40" hidden="0" customWidth="1"/>
  </x:cols>
  <x:sheetData>
    <x:row r="1" ht="35" customHeight="1">
      <x:c r="A1" s="6" t="str">
        <x:v>CODIFICACIÓN DEL ENSAYO · contratos explícitos</x:v>
      </x:c>
      <x:c r="B1" s="6"/>
      <x:c r="C1" s="6"/>
      <x:c r="D1" s="6"/>
      <x:c r="E1" s="6"/>
      <x:c r="F1" s="6"/>
      <x:c r="G1" s="6"/>
      <x:c r="H1" s="6"/>
      <x:c r="I1" s="6"/>
      <x:c r="J1" s="6"/>
    </x:row>
    <x:row r="2" ht="52" customHeight="1">
      <x:c r="A2" s="8" t="str">
        <x:v>Los valores etiquetados describen testigos sintéticos admitidos. No son enums SV ni certificación automática de la evidencia de origen.</x:v>
      </x:c>
      <x:c r="B2" s="8"/>
      <x:c r="C2" s="8"/>
      <x:c r="D2" s="8"/>
      <x:c r="E2" s="8"/>
      <x:c r="F2" s="8"/>
      <x:c r="G2" s="8"/>
      <x:c r="H2" s="8"/>
      <x:c r="I2" s="8"/>
      <x:c r="J2" s="8"/>
    </x:row>
    <x:row r="3">
      <x:c r="A3" s="4"/>
      <x:c r="B3" s="4"/>
      <x:c r="C3" s="4"/>
      <x:c r="D3" s="4"/>
      <x:c r="E3" s="4"/>
      <x:c r="F3" s="4"/>
      <x:c r="G3" s="4"/>
      <x:c r="H3" s="4"/>
      <x:c r="I3" s="4"/>
      <x:c r="J3" s="4"/>
    </x:row>
    <x:row r="4" ht="42" customHeight="1">
      <x:c r="A4" s="10" t="str">
        <x:v>Parámetro</x:v>
      </x:c>
      <x:c r="B4" s="10" t="str">
        <x:v>Perfil</x:v>
      </x:c>
      <x:c r="C4" s="10" t="str">
        <x:v>Soporte requerido</x:v>
      </x:c>
      <x:c r="D4" s="10" t="str">
        <x:v>Contexto requerido</x:v>
      </x:c>
      <x:c r="E4" s="10" t="str">
        <x:v>Modo</x:v>
      </x:c>
      <x:c r="F4" s="10" t="str">
        <x:v>Positivo 1</x:v>
      </x:c>
      <x:c r="G4" s="10" t="str">
        <x:v>Auxiliar</x:v>
      </x:c>
      <x:c r="H4" s="10" t="str">
        <x:v>Negativo</x:v>
      </x:c>
      <x:c r="I4" s="10" t="str">
        <x:v>Diagnóstico 1</x:v>
      </x:c>
      <x:c r="J4" s="10" t="str">
        <x:v>Diagnóstico 0</x:v>
      </x:c>
    </x:row>
    <x:row r="5" ht="47" customHeight="1">
      <x:c r="A5" s="4" t="str">
        <x:v>PAR-CYB-INSTALACION-EXITO-COMUNICADO-001</x:v>
      </x:c>
      <x:c r="B5" s="4" t="str">
        <x:v>WUA-RESULTADO-INDIVIDUAL-0.1</x:v>
      </x:c>
      <x:c r="C5" s="4" t="str">
        <x:v>RESULTADO_WUA_INDIVIDUAL</x:v>
      </x:c>
      <x:c r="D5" s="4" t="str">
        <x:v>INSTALAR_INDIVIDUAL</x:v>
      </x:c>
      <x:c r="E5" s="4" t="str">
        <x:v>RESULTADO</x:v>
      </x:c>
      <x:c r="F5" s="4" t="str">
        <x:v>orcSucceeded</x:v>
      </x:c>
      <x:c r="G5" s="4" t="str"/>
      <x:c r="H5" s="4" t="str">
        <x:v>orcFailed</x:v>
      </x:c>
      <x:c r="I5" s="4" t="str">
        <x:v>EXITO_COMUNICADO</x:v>
      </x:c>
      <x:c r="J5" s="4" t="str">
        <x:v>NO_EXITO_PLENO</x:v>
      </x:c>
    </x:row>
    <x:row r="6" ht="47" customHeight="1">
      <x:c r="A6" s="4" t="str">
        <x:v>PAR-CYB-REINICIO-SISTEMA-REALIZADO-001</x:v>
      </x:c>
      <x:c r="B6" s="4" t="str">
        <x:v>EVENTO-REINICIO-COMPLETO-0.1</x:v>
      </x:c>
      <x:c r="C6" s="4" t="str">
        <x:v>ARRANQUE_COMPLETO</x:v>
      </x:c>
      <x:c r="D6" s="4" t="str">
        <x:v>ORDEN_ACREDITADO</x:v>
      </x:c>
      <x:c r="E6" s="4" t="str">
        <x:v>EVENTO_BOOT</x:v>
      </x:c>
      <x:c r="F6" s="4" t="str">
        <x:v>REINICIO_COMPLETO</x:v>
      </x:c>
      <x:c r="G6" s="4" t="str"/>
      <x:c r="H6" s="4" t="str">
        <x:v>NINGUNO</x:v>
      </x:c>
      <x:c r="I6" s="4" t="str">
        <x:v>REINICIO_REALIZADO</x:v>
      </x:c>
      <x:c r="J6" s="4" t="str">
        <x:v>SIN_REINICIO_COMPLETO</x:v>
      </x:c>
    </x:row>
    <x:row r="7" ht="47" customHeight="1">
      <x:c r="A7" s="4" t="str">
        <x:v>PAR-CYB-REINICIO-SOFTWARE-REQUERIDO-001</x:v>
      </x:c>
      <x:c r="B7" s="4" t="str">
        <x:v>REQUISITO-SOFTWARE-INDIVIDUAL-0.1</x:v>
      </x:c>
      <x:c r="C7" s="4" t="str">
        <x:v>INSTRUCCION_ESPECIFICA</x:v>
      </x:c>
      <x:c r="D7" s="4" t="str">
        <x:v>UN_SOFTWARE</x:v>
      </x:c>
      <x:c r="E7" s="4" t="str">
        <x:v>REQUISITO_SOFT</x:v>
      </x:c>
      <x:c r="F7" s="4" t="str">
        <x:v>true</x:v>
      </x:c>
      <x:c r="G7" s="4" t="str"/>
      <x:c r="H7" s="4" t="str">
        <x:v>false</x:v>
      </x:c>
      <x:c r="I7" s="4" t="str">
        <x:v>REQUISITO_SOFTWARE_SI</x:v>
      </x:c>
      <x:c r="J7" s="4" t="str">
        <x:v>REQUISITO_SOFTWARE_NO</x:v>
      </x:c>
    </x:row>
    <x:row r="8" ht="47" customHeight="1">
      <x:c r="A8" s="4" t="str">
        <x:v>PAR-CYB-GENERACION-PROCESO-TERMINADA-001</x:v>
      </x:c>
      <x:c r="B8" s="4" t="str">
        <x:v>TERMINACION-GENERACION-PROCESO-0.1</x:v>
      </x:c>
      <x:c r="C8" s="4" t="str">
        <x:v>CICLO_GENERACION</x:v>
      </x:c>
      <x:c r="D8" s="4" t="str">
        <x:v>ORDEN_ACREDITADO</x:v>
      </x:c>
      <x:c r="E8" s="4" t="str">
        <x:v>EVENTO_PROC</x:v>
      </x:c>
      <x:c r="F8" s="4" t="str">
        <x:v>TERMINADA</x:v>
      </x:c>
      <x:c r="G8" s="4" t="str"/>
      <x:c r="H8" s="4" t="str">
        <x:v>NINGUNO</x:v>
      </x:c>
      <x:c r="I8" s="4" t="str">
        <x:v>GENERACION_TERMINADA</x:v>
      </x:c>
      <x:c r="J8" s="4" t="str">
        <x:v>SIN_TERMINACION</x:v>
      </x:c>
    </x:row>
    <x:row r="9" ht="47" customHeight="1">
      <x:c r="A9" s="4" t="str">
        <x:v>PAR-CYB-IMAGEN-OBJETIVO-ACTIVA-001</x:v>
      </x:c>
      <x:c r="B9" s="4" t="str">
        <x:v>IDENTIDAD-IMAGEN-CARGADA-0.1</x:v>
      </x:c>
      <x:c r="C9" s="4" t="str">
        <x:v>IMAGEN_CARGADA</x:v>
      </x:c>
      <x:c r="D9" s="4" t="str">
        <x:v>METODO_ADMITIDO</x:v>
      </x:c>
      <x:c r="E9" s="4" t="str">
        <x:v>IMAGEN</x:v>
      </x:c>
      <x:c r="F9" s="4" t="str">
        <x:v>aaaaaaaaaaaaaaaaaaaaaaaaaaaaaaaaaaaaaaaaaaaaaaaaaaaaaaaaaaaaaaaa</x:v>
      </x:c>
      <x:c r="G9" s="4" t="str">
        <x:v>aaaaaaaaaaaaaaaaaaaaaaaaaaaaaaaaaaaaaaaaaaaaaaaaaaaaaaaaaaaaaaaa</x:v>
      </x:c>
      <x:c r="H9" s="4" t="str">
        <x:v>bbbbbbbbbbbbbbbbbbbbbbbbbbbbbbbbbbbbbbbbbbbbbbbbbbbbbbbbbbbbbbbb</x:v>
      </x:c>
      <x:c r="I9" s="4" t="str">
        <x:v>IMAGEN_OBJETIVO</x:v>
      </x:c>
      <x:c r="J9" s="4" t="str">
        <x:v>OTRA_IMAGEN</x:v>
      </x:c>
    </x:row>
    <x:row r="10" ht="47" customHeight="1">
      <x:c r="A10" s="4" t="str">
        <x:v>PAR-CYB-COMPROBACION-POSITIVA-001</x:v>
      </x:c>
      <x:c r="B10" s="4" t="str">
        <x:v>COMPROBACION-CRITERIO-UNITARIO-0.1</x:v>
      </x:c>
      <x:c r="C10" s="4" t="str">
        <x:v>INFORME_PRUEBA</x:v>
      </x:c>
      <x:c r="D10" s="4" t="str">
        <x:v>ORACULO_UNITARIO</x:v>
      </x:c>
      <x:c r="E10" s="4" t="str">
        <x:v>PRUEBA</x:v>
      </x:c>
      <x:c r="F10" s="4" t="str">
        <x:v>CRITERIO_CUMPLIDO</x:v>
      </x:c>
      <x:c r="G10" s="4" t="str"/>
      <x:c r="H10" s="4" t="str">
        <x:v>CRITERIO_NO_CUMPLIDO</x:v>
      </x:c>
      <x:c r="I10" s="4" t="str">
        <x:v>CRITERIO_POSITIVO</x:v>
      </x:c>
      <x:c r="J10" s="4" t="str">
        <x:v>CRITERIO_NEGATIVO</x:v>
      </x:c>
    </x:row>
    <x:row r="11" ht="47" customHeight="1">
      <x:c r="A11" s="4" t="str">
        <x:v>PAR-CYB-RETIRADA-EXITOSA-COMUNICADA-001</x:v>
      </x:c>
      <x:c r="B11" s="4" t="str">
        <x:v>HISTORIA-RETIRADA-ACTUALIZACION-0.1</x:v>
      </x:c>
      <x:c r="C11" s="4" t="str">
        <x:v>HISTORIA_WUA</x:v>
      </x:c>
      <x:c r="D11" s="4" t="str">
        <x:v>ORDEN_ACREDITADO</x:v>
      </x:c>
      <x:c r="E11" s="4" t="str">
        <x:v>RETIRADA</x:v>
      </x:c>
      <x:c r="F11" s="4" t="str">
        <x:v>uoUninstallation</x:v>
      </x:c>
      <x:c r="G11" s="4" t="str">
        <x:v>orcSucceeded</x:v>
      </x:c>
      <x:c r="H11" s="4" t="str">
        <x:v>NINGUNO</x:v>
      </x:c>
      <x:c r="I11" s="4" t="str">
        <x:v>RETIRADA_EXITOSA</x:v>
      </x:c>
      <x:c r="J11" s="4" t="str">
        <x:v>SIN_RETIRADA_EXITOSA</x:v>
      </x:c>
    </x:row>
    <x:row r="12" ht="47" customHeight="1">
      <x:c r="A12" s="4" t="str">
        <x:v>PAR-CYB-CAMBIO-COMPONENTE-POSTERIOR-001</x:v>
      </x:c>
      <x:c r="B12" s="4" t="str">
        <x:v>HISTORIA-CAMBIO-COMPONENTE-0.1</x:v>
      </x:c>
      <x:c r="C12" s="4" t="str">
        <x:v>HISTORIA_BINARIA</x:v>
      </x:c>
      <x:c r="D12" s="4" t="str">
        <x:v>ORDEN_ACREDITADO</x:v>
      </x:c>
      <x:c r="E12" s="4" t="str">
        <x:v>CAMBIO</x:v>
      </x:c>
      <x:c r="F12" s="4" t="str">
        <x:v>CAMBIO</x:v>
      </x:c>
      <x:c r="G12" s="4" t="str"/>
      <x:c r="H12" s="4" t="str">
        <x:v>NINGUNO</x:v>
      </x:c>
      <x:c r="I12" s="4" t="str">
        <x:v>CAMBIO_POSTERIOR</x:v>
      </x:c>
      <x:c r="J12" s="4" t="str">
        <x:v>SIN_CAMBIO_ACREDITADO</x:v>
      </x:c>
    </x:row>
    <x:row r="13" ht="47" customHeight="1">
      <x:c r="A13" s="4" t="str">
        <x:v>PAR-CYB-RESTAURACION-PREVIA-COMUNICADA-001</x:v>
      </x:c>
      <x:c r="B13" s="4" t="str">
        <x:v>HISTORIA-RESTAURACION-PREVIA-0.1</x:v>
      </x:c>
      <x:c r="C13" s="4" t="str">
        <x:v>TRABAJO_RESTAURACION</x:v>
      </x:c>
      <x:c r="D13" s="4" t="str">
        <x:v>ORDEN_ACREDITADO</x:v>
      </x:c>
      <x:c r="E13" s="4" t="str">
        <x:v>RESTAURACION</x:v>
      </x:c>
      <x:c r="F13" s="4" t="str">
        <x:v>RESTAURACION_PREVIA</x:v>
      </x:c>
      <x:c r="G13" s="4" t="str"/>
      <x:c r="H13" s="4" t="str">
        <x:v>NINGUNO</x:v>
      </x:c>
      <x:c r="I13" s="4" t="str">
        <x:v>RESTAURACION_PREVIA</x:v>
      </x:c>
      <x:c r="J13" s="4" t="str">
        <x:v>SIN_RESTAURACION_PREVIA</x:v>
      </x:c>
    </x:row>
  </x:sheetData>
  <x:mergeCells>
    <x:mergeCell ref="A1:D1"/>
    <x:mergeCell ref="A2:F2"/>
  </x:mergeCells>
  <x:pageMargins left="0.7" right="0.7" top="0.75" bottom="0.75" header="0.3" footer="0.3"/>
  <x:tableParts count="1">
    <x:tablePart xmlns:r="http://schemas.openxmlformats.org/officeDocument/2006/relationships" r:id="R0d6a6bbb9ff54a72"/>
  </x:tableParts>
</x:worksheet>
</file>

<file path=xl/worksheets/sheet57.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30" hidden="0" customWidth="1"/>
    <x:col min="2" max="2" width="66" hidden="0" customWidth="1"/>
    <x:col min="3" max="3" width="91" hidden="0" customWidth="1"/>
    <x:col min="4" max="4" width="91" hidden="0" customWidth="1"/>
  </x:cols>
  <x:sheetData>
    <x:row r="1" ht="34" customHeight="1">
      <x:c r="A1" s="23" t="str">
        <x:v>OP-CYB-001 · dictamen del recorrido</x:v>
      </x:c>
      <x:c r="B1" s="23"/>
      <x:c r="C1" s="23"/>
      <x:c r="D1" s="23"/>
    </x:row>
    <x:row r="2" ht="57" customHeight="1">
      <x:c r="A2" s="24" t="str">
        <x:v>09-09-2026. Q0 v0.1: nueve raíces y 31 distinciones. Inventario tratado; suficiencia operacional no acreditada.</x:v>
      </x:c>
      <x:c r="B2" s="24"/>
      <x:c r="C2" s="24"/>
      <x:c r="D2" s="24"/>
    </x:row>
    <x:row r="3">
      <x:c r="A3" s="21"/>
      <x:c r="B3" s="21"/>
      <x:c r="C3" s="21"/>
      <x:c r="D3" s="21"/>
    </x:row>
    <x:row r="4" ht="48" customHeight="1">
      <x:c r="A4" s="26" t="str">
        <x:v>Cuestión</x:v>
      </x:c>
      <x:c r="B4" s="26" t="str">
        <x:v>Resultado</x:v>
      </x:c>
      <x:c r="C4" s="26" t="str">
        <x:v>Fundamento</x:v>
      </x:c>
      <x:c r="D4" s="26" t="str">
        <x:v>Límite o siguiente responsable</x:v>
      </x:c>
    </x:row>
    <x:row r="5" ht="44" customHeight="1">
      <x:c r="A5" s="21" t="str">
        <x:v>Encargo</x:v>
      </x:c>
      <x:c r="B5" s="21" t="str">
        <x:v>Continuar hasta agotar el primer universo</x:v>
      </x:c>
      <x:c r="C5" s="21" t="str">
        <x:v>Mandato humano de 09-09-2026; continuidad sobre ffbf579094f7608ebf568ed1aa51c318cfc4ab3f</x:v>
      </x:c>
      <x:c r="D5" s="21" t="str">
        <x:v>No modifica retrospectivamente acta/manifiesto de 08-09-2026.</x:v>
      </x:c>
    </x:row>
    <x:row r="6" ht="43" customHeight="1">
      <x:c r="A6" s="21" t="str">
        <x:v>Inventario paramétrico</x:v>
      </x:c>
      <x:c r="B6" s="21" t="str">
        <x:v>15 definiciones documentales en sus perfiles</x:v>
      </x:c>
      <x:c r="C6" s="21" t="str">
        <x:v>Diez conservadas y cinco adicionales; no se fuerza un tamaño geométrico</x:v>
      </x:c>
      <x:c r="D6" s="21" t="str">
        <x:v>Cinco nuevas sujetas a adopción constitutiva humana.</x:v>
      </x:c>
    </x:row>
    <x:row r="7" ht="43" customHeight="1">
      <x:c r="A7" s="21" t="str">
        <x:v>Cobertura Q0</x:v>
      </x:c>
      <x:c r="B7" s="21" t="str">
        <x:v>31/31 distinciones tratadas en contrato</x:v>
      </x:c>
      <x:c r="C7" s="21" t="str">
        <x:v>59 conserva la correspondencia completa y las dependencias bloqueadas</x:v>
      </x:c>
      <x:c r="D7" s="21" t="str">
        <x:v>Tratada no significa satisfecha en un sistema ni puerta superada.</x:v>
      </x:c>
    </x:row>
    <x:row r="8" ht="44" customHeight="1">
      <x:c r="A8" s="21" t="str">
        <x:v>Conocimiento enlazado</x:v>
      </x:c>
      <x:c r="B8" s="21" t="str">
        <x:v>Estado activo, persistencia, generaciones, requisitos y cambios separados</x:v>
      </x:c>
      <x:c r="C8" s="21" t="str">
        <x:v>Las hojas 60 y 61 contienen catorce controles y dieciséis relaciones del consejo</x:v>
      </x:c>
      <x:c r="D8" s="21" t="str">
        <x:v>Fuentes generales no son observaciones del episodio.</x:v>
      </x:c>
    </x:row>
    <x:row r="9" ht="43" customHeight="1">
      <x:c r="A9" s="21" t="str">
        <x:v>G6 y propiedad</x:v>
      </x:c>
      <x:c r="B9" s="21" t="str">
        <x:v>NO ACREDITADA</x:v>
      </x:c>
      <x:c r="C9" s="21" t="str">
        <x:v>Recuento de definiciones no determina los sujetos ni la geometría de sus estados</x:v>
      </x:c>
      <x:c r="D9" s="21" t="str">
        <x:v>No hay células, rutas SV ni Frames CYB constituidos. D-CYB-02.</x:v>
      </x:c>
    </x:row>
    <x:row r="10" ht="43" customHeight="1">
      <x:c r="A10" s="21" t="str">
        <x:v>Contraste nativo</x:v>
      </x:c>
      <x:c r="B10" s="21" t="str">
        <x:v>Transporte nominal y unicidad contrastados</x:v>
      </x:c>
      <x:c r="C10" s="21" t="str">
        <x:v>Tres casos, dos ejecuciones cada uno; E115 en mapping repetido</x:v>
      </x:c>
      <x:c r="D10" s="21" t="str">
        <x:v>Totalidad no alcanzada sin asociación; no ejecuta Q0.</x:v>
      </x:c>
    </x:row>
    <x:row r="11" ht="43" customHeight="1">
      <x:c r="A11" s="21" t="str">
        <x:v>Ensayos documentales</x:v>
      </x:c>
      <x:c r="B11" s="21" t="str">
        <x:v>65 casos de cinco candidatos y 51 controles</x:v>
      </x:c>
      <x:c r="C11" s="21" t="str">
        <x:v>Oráculos previos, cinco ablaciones y tres mutantes de sensibilidad detectados</x:v>
      </x:c>
      <x:c r="D11" s="21" t="str">
        <x:v>No Windows real, reinicios, despliegues ni vulnerabilidad material.</x:v>
      </x:c>
    </x:row>
    <x:row r="12" ht="44" customHeight="1">
      <x:c r="A12" s="21" t="str">
        <x:v>Autoridad</x:v>
      </x:c>
      <x:c r="B12" s="21" t="str">
        <x:v>IA consejera; experto destinatario y permisos concretos diferenciados</x:v>
      </x:c>
      <x:c r="C12" s="21" t="str">
        <x:v>C11 y C14; nuevas reglas antes de adopción por Dirección</x:v>
      </x:c>
      <x:c r="D12" s="21" t="str">
        <x:v>No firma humana inventada ni actualización automática de conocimiento.</x:v>
      </x:c>
    </x:row>
    <x:row r="13" ht="43" customHeight="1">
      <x:c r="A13" s="21" t="str">
        <x:v>Conclusión</x:v>
      </x:c>
      <x:c r="B13" s="21" t="str">
        <x:v>TERMINACIÓN DOCUMENTAL CON INSUFICIENCIAS ATRIBUIDAS</x:v>
      </x:c>
      <x:c r="C13" s="21" t="str">
        <x:v>El inventario de este corte no mantiene candidatos sin estatuto</x:v>
      </x:c>
      <x:c r="D13" s="21" t="str">
        <x:v>No se declara universo operacional agotado ni fila 8 superada.</x:v>
      </x:c>
    </x:row>
    <x:row r="14" ht="43" customHeight="1">
      <x:c r="A14" s="21" t="str">
        <x:v>Continuación necesaria</x:v>
      </x:c>
      <x:c r="B14" s="21" t="str">
        <x:v>Resolver D-CYB-01/02 en CYB y D-CYB-03 con Lenguaje</x:v>
      </x:c>
      <x:c r="C14" s="21" t="str">
        <x:v>Contrato y deuda preparados en el paquete único</x:v>
      </x:c>
      <x:c r="D14" s="21" t="str">
        <x:v>No se abre otro universo. La finitud no elimina dependencias indispensables.</x:v>
      </x:c>
    </x:row>
    <x:row r="15" ht="44" customHeight="1">
      <x:c r="A15" s="21" t="str">
        <x:v>Catálogo principal</x:v>
      </x:c>
      <x:c r="B15" s="21" t="str">
        <x:v>Excel v0.6; v0.5 histórico íntegro salvo portada de navegación</x:v>
      </x:c>
      <x:c r="C15" s="21" t="str">
        <x:v>57–65 contienen el corte actual; hojas anteriores conservan fechas y estados históricos</x:v>
      </x:c>
      <x:c r="D15" s="21" t="str">
        <x:v>El dominio internacional sigue abierto; no se emite proyección final del catálogo.</x:v>
      </x:c>
    </x:row>
  </x:sheetData>
  <x:mergeCells>
    <x:mergeCell ref="A1:D1"/>
    <x:mergeCell ref="A2:D2"/>
  </x:mergeCells>
  <x:pageMargins left="0.7" right="0.7" top="0.75" bottom="0.75" header="0.3" footer="0.3"/>
  <x:tableParts count="1">
    <x:tablePart xmlns:r="http://schemas.openxmlformats.org/officeDocument/2006/relationships" r:id="Ra37f3792315b4b64"/>
  </x:tableParts>
</x:worksheet>
</file>

<file path=xl/worksheets/sheet58.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63" hidden="0" customWidth="1"/>
    <x:col min="3" max="3" width="49" hidden="0" customWidth="1"/>
    <x:col min="4" max="4" width="22" hidden="0" customWidth="1"/>
    <x:col min="5" max="5" width="104" hidden="0" customWidth="1"/>
    <x:col min="6" max="6" width="57" hidden="0" customWidth="1"/>
    <x:col min="7" max="7" width="60" hidden="0" customWidth="1"/>
    <x:col min="8" max="8" width="94" hidden="0" customWidth="1"/>
  </x:cols>
  <x:sheetData>
    <x:row r="1" ht="34" customHeight="1">
      <x:c r="A1" s="23" t="str">
        <x:v>QUINCE DEFINICIONES · identidad y estatuto</x:v>
      </x:c>
      <x:c r="B1" s="23"/>
      <x:c r="C1" s="23"/>
      <x:c r="D1" s="23"/>
      <x:c r="E1" s="23"/>
      <x:c r="F1" s="23"/>
      <x:c r="G1" s="23"/>
      <x:c r="H1" s="23"/>
    </x:row>
    <x:row r="2" ht="57" customHeight="1">
      <x:c r="A2" s="24" t="str">
        <x:v>Una definición no es automáticamente una posición matricial. Sujetos simultáneos independientes no comparten un valor.</x:v>
      </x:c>
      <x:c r="B2" s="24"/>
      <x:c r="C2" s="24"/>
      <x:c r="D2" s="24"/>
      <x:c r="E2" s="24"/>
      <x:c r="F2" s="24"/>
      <x:c r="G2" s="24"/>
      <x:c r="H2" s="24"/>
    </x:row>
    <x:row r="3">
      <x:c r="A3" s="21"/>
      <x:c r="B3" s="21"/>
      <x:c r="C3" s="21"/>
      <x:c r="D3" s="21"/>
      <x:c r="E3" s="21"/>
      <x:c r="F3" s="21"/>
      <x:c r="G3" s="21"/>
      <x:c r="H3" s="21"/>
    </x:row>
    <x:row r="4" ht="48" customHeight="1">
      <x:c r="A4" s="26" t="str">
        <x:v>Alias</x:v>
      </x:c>
      <x:c r="B4" s="26" t="str">
        <x:v>Identidad canónica</x:v>
      </x:c>
      <x:c r="C4" s="26" t="str">
        <x:v>Nombre</x:v>
      </x:c>
      <x:c r="D4" s="26" t="str">
        <x:v>Q0</x:v>
      </x:c>
      <x:c r="E4" s="26" t="str">
        <x:v>Proposición única</x:v>
      </x:c>
      <x:c r="F4" s="26" t="str">
        <x:v>Estatuto vigente</x:v>
      </x:c>
      <x:c r="G4" s="26" t="str">
        <x:v>Perfil / contrato</x:v>
      </x:c>
      <x:c r="H4" s="26" t="str">
        <x:v>Límite</x:v>
      </x:c>
    </x:row>
    <x:row r="5" ht="44" customHeight="1">
      <x:c r="A5" s="21" t="str">
        <x:v>P01</x:v>
      </x:c>
      <x:c r="B5" s="21" t="str">
        <x:v>PAR-CYB-REINICIO-SISTEMA-REQUERIDO-001</x:v>
      </x:c>
      <x:c r="C5" s="21" t="str">
        <x:v>Reinicio del sistema requerido</x:v>
      </x:c>
      <x:c r="D5" s="21" t="str">
        <x:v>QCY-04-D1</x:v>
      </x:c>
      <x:c r="E5" s="21" t="str">
        <x:v>Al terminar la instalación individual identificada, era necesario reiniciar el sistema anfitrión para completarla.</x:v>
      </x:c>
      <x:c r="F5" s="21" t="str">
        <x:v>ADOPTADO P01 / CONFORMIDAD GENERAL LOTE P02–P10</x:v>
      </x:c>
      <x:c r="G5" s="21" t="str">
        <x:v>Perfil y contrato conservados en 36–55.</x:v>
      </x:c>
      <x:c r="H5" s="21" t="str">
        <x:v>No se reescribe el estatuto histórico de la entrega anterior.</x:v>
      </x:c>
    </x:row>
    <x:row r="6" ht="44" customHeight="1">
      <x:c r="A6" s="21" t="str">
        <x:v>P02</x:v>
      </x:c>
      <x:c r="B6" s="21" t="str">
        <x:v>PAR-CYB-INSTALACION-EXITO-COMUNICADO-001</x:v>
      </x:c>
      <x:c r="C6" s="21" t="str">
        <x:v>Éxito comunicado de instalación</x:v>
      </x:c>
      <x:c r="D6" s="21" t="str">
        <x:v>QCY-03-D2</x:v>
      </x:c>
      <x:c r="E6" s="21" t="str">
        <x:v>La operación individual de instalación identificada comunicó terminación satisfactoria sin el calificador de errores del emisor.</x:v>
      </x:c>
      <x:c r="F6" s="21" t="str">
        <x:v>ADOPTADO P01 / CONFORMIDAD GENERAL LOTE P02–P10</x:v>
      </x:c>
      <x:c r="G6" s="21" t="str">
        <x:v>Perfil y contrato conservados en 36–55.</x:v>
      </x:c>
      <x:c r="H6" s="21" t="str">
        <x:v>No se reescribe el estatuto histórico de la entrega anterior.</x:v>
      </x:c>
    </x:row>
    <x:row r="7" ht="44" customHeight="1">
      <x:c r="A7" s="21" t="str">
        <x:v>P03</x:v>
      </x:c>
      <x:c r="B7" s="21" t="str">
        <x:v>PAR-CYB-REINICIO-SISTEMA-REALIZADO-001</x:v>
      </x:c>
      <x:c r="C7" s="21" t="str">
        <x:v>Reinicio completo realizado</x:v>
      </x:c>
      <x:c r="D7" s="21" t="str">
        <x:v>QCY-04-D2</x:v>
      </x:c>
      <x:c r="E7" s="21" t="str">
        <x:v>Se completó al menos un reinicio íntegro del sistema anfitrión después del resultado de instalación y no después del corte.</x:v>
      </x:c>
      <x:c r="F7" s="21" t="str">
        <x:v>ADOPTADO P01 / CONFORMIDAD GENERAL LOTE P02–P10</x:v>
      </x:c>
      <x:c r="G7" s="21" t="str">
        <x:v>Perfil y contrato conservados en 36–55.</x:v>
      </x:c>
      <x:c r="H7" s="21" t="str">
        <x:v>No se reescribe el estatuto histórico de la entrega anterior.</x:v>
      </x:c>
    </x:row>
    <x:row r="8" ht="44" customHeight="1">
      <x:c r="A8" s="21" t="str">
        <x:v>P04</x:v>
      </x:c>
      <x:c r="B8" s="21" t="str">
        <x:v>PAR-CYB-REINICIO-SOFTWARE-REQUERIDO-001</x:v>
      </x:c>
      <x:c r="C8" s="21" t="str">
        <x:v>Reinicio de software requerido</x:v>
      </x:c>
      <x:c r="D8" s="21" t="str">
        <x:v>QCY-04-D3</x:v>
      </x:c>
      <x:c r="E8" s="21" t="str">
        <x:v>La instrucción específica admitida para completar esta instalación exigía reiniciar el software identificado.</x:v>
      </x:c>
      <x:c r="F8" s="21" t="str">
        <x:v>ADOPTADO P01 / CONFORMIDAD GENERAL LOTE P02–P10</x:v>
      </x:c>
      <x:c r="G8" s="21" t="str">
        <x:v>Perfil y contrato conservados en 36–55.</x:v>
      </x:c>
      <x:c r="H8" s="21" t="str">
        <x:v>No se reescribe el estatuto histórico de la entrega anterior.</x:v>
      </x:c>
    </x:row>
    <x:row r="9" ht="44" customHeight="1">
      <x:c r="A9" s="21" t="str">
        <x:v>P05</x:v>
      </x:c>
      <x:c r="B9" s="21" t="str">
        <x:v>PAR-CYB-GENERACION-PROCESO-TERMINADA-001</x:v>
      </x:c>
      <x:c r="C9" s="21" t="str">
        <x:v>Generación previa de proceso terminada</x:v>
      </x:c>
      <x:c r="D9" s="21" t="str">
        <x:v>QCY-04-D4</x:v>
      </x:c>
      <x:c r="E9" s="21" t="str">
        <x:v>Terminó la ejecución de la generación de proceso identificada después del ancla de instalación y no después del corte.</x:v>
      </x:c>
      <x:c r="F9" s="21" t="str">
        <x:v>ADOPTADO P01 / CONFORMIDAD GENERAL LOTE P02–P10</x:v>
      </x:c>
      <x:c r="G9" s="21" t="str">
        <x:v>Perfil y contrato conservados en 36–55.</x:v>
      </x:c>
      <x:c r="H9" s="21" t="str">
        <x:v>No se reescribe el estatuto histórico de la entrega anterior.</x:v>
      </x:c>
    </x:row>
    <x:row r="10" ht="44" customHeight="1">
      <x:c r="A10" s="21" t="str">
        <x:v>P06</x:v>
      </x:c>
      <x:c r="B10" s="21" t="str">
        <x:v>PAR-CYB-IMAGEN-OBJETIVO-ACTIVA-001</x:v>
      </x:c>
      <x:c r="C10" s="21" t="str">
        <x:v>Imagen objetivo activa</x:v>
      </x:c>
      <x:c r="D10" s="21" t="str">
        <x:v>QCY-05-D2</x:v>
      </x:c>
      <x:c r="E10" s="21" t="str">
        <x:v>La imagen del componente cargada en la instancia evaluada al corte coincide con la imagen objetivo previamente fijada.</x:v>
      </x:c>
      <x:c r="F10" s="21" t="str">
        <x:v>ADOPTADO P01 / CONFORMIDAD GENERAL LOTE P02–P10</x:v>
      </x:c>
      <x:c r="G10" s="21" t="str">
        <x:v>Perfil y contrato conservados en 36–55.</x:v>
      </x:c>
      <x:c r="H10" s="21" t="str">
        <x:v>No se reescribe el estatuto histórico de la entrega anterior.</x:v>
      </x:c>
    </x:row>
    <x:row r="11" ht="44" customHeight="1">
      <x:c r="A11" s="21" t="str">
        <x:v>P07</x:v>
      </x:c>
      <x:c r="B11" s="21" t="str">
        <x:v>PAR-CYB-COMPROBACION-POSITIVA-001</x:v>
      </x:c>
      <x:c r="C11" s="21" t="str">
        <x:v>Resultado positivo de comprobación</x:v>
      </x:c>
      <x:c r="D11" s="21" t="str">
        <x:v>QCY-05-D3</x:v>
      </x:c>
      <x:c r="E11" s="21" t="str">
        <x:v>La comprobación individual identificada satisfizo el único criterio de aceptación previamente fijado para ella.</x:v>
      </x:c>
      <x:c r="F11" s="21" t="str">
        <x:v>ADOPTADO P01 / CONFORMIDAD GENERAL LOTE P02–P10</x:v>
      </x:c>
      <x:c r="G11" s="21" t="str">
        <x:v>Perfil y contrato conservados en 36–55.</x:v>
      </x:c>
      <x:c r="H11" s="21" t="str">
        <x:v>No se reescribe el estatuto histórico de la entrega anterior.</x:v>
      </x:c>
    </x:row>
    <x:row r="12" ht="44" customHeight="1">
      <x:c r="A12" s="21" t="str">
        <x:v>P08</x:v>
      </x:c>
      <x:c r="B12" s="21" t="str">
        <x:v>PAR-CYB-RETIRADA-EXITOSA-COMUNICADA-001</x:v>
      </x:c>
      <x:c r="C12" s="21" t="str">
        <x:v>Retirada exitosa comunicada</x:v>
      </x:c>
      <x:c r="D12" s="21" t="str">
        <x:v>QCY-08-D1</x:v>
      </x:c>
      <x:c r="E12" s="21" t="str">
        <x:v>Existe después de la instalación y hasta el corte una operación de retirada de esa actualización que comunica éxito.</x:v>
      </x:c>
      <x:c r="F12" s="21" t="str">
        <x:v>ADOPTADO P01 / CONFORMIDAD GENERAL LOTE P02–P10</x:v>
      </x:c>
      <x:c r="G12" s="21" t="str">
        <x:v>Perfil y contrato conservados en 36–55.</x:v>
      </x:c>
      <x:c r="H12" s="21" t="str">
        <x:v>No se reescribe el estatuto histórico de la entrega anterior.</x:v>
      </x:c>
    </x:row>
    <x:row r="13" ht="44" customHeight="1">
      <x:c r="A13" s="21" t="str">
        <x:v>P09</x:v>
      </x:c>
      <x:c r="B13" s="21" t="str">
        <x:v>PAR-CYB-CAMBIO-COMPONENTE-POSTERIOR-001</x:v>
      </x:c>
      <x:c r="C13" s="21" t="str">
        <x:v>Cambio posterior del componente</x:v>
      </x:c>
      <x:c r="D13" s="21" t="str">
        <x:v>QCY-08-D2</x:v>
      </x:c>
      <x:c r="E13" s="21" t="str">
        <x:v>Ocurrió al menos un cambio de identidad binaria del componente desde la comprobación de referencia hasta el corte.</x:v>
      </x:c>
      <x:c r="F13" s="21" t="str">
        <x:v>ADOPTADO P01 / CONFORMIDAD GENERAL LOTE P02–P10</x:v>
      </x:c>
      <x:c r="G13" s="21" t="str">
        <x:v>Perfil y contrato conservados en 36–55.</x:v>
      </x:c>
      <x:c r="H13" s="21" t="str">
        <x:v>No se reescribe el estatuto histórico de la entrega anterior.</x:v>
      </x:c>
    </x:row>
    <x:row r="14" ht="44" customHeight="1">
      <x:c r="A14" s="21" t="str">
        <x:v>P10</x:v>
      </x:c>
      <x:c r="B14" s="21" t="str">
        <x:v>PAR-CYB-RESTAURACION-PREVIA-COMUNICADA-001</x:v>
      </x:c>
      <x:c r="C14" s="21" t="str">
        <x:v>Restauración desde estado anterior comunicada</x:v>
      </x:c>
      <x:c r="D14" s="21" t="str">
        <x:v>QCY-08-D3</x:v>
      </x:c>
      <x:c r="E14" s="21" t="str">
        <x:v>Se comunicó la terminación satisfactoria de una restauración cuyo punto de origen fue capturado antes de la instalación evaluada.</x:v>
      </x:c>
      <x:c r="F14" s="21" t="str">
        <x:v>ADOPTADO P01 / CONFORMIDAD GENERAL LOTE P02–P10</x:v>
      </x:c>
      <x:c r="G14" s="21" t="str">
        <x:v>Perfil y contrato conservados en 36–55.</x:v>
      </x:c>
      <x:c r="H14" s="21" t="str">
        <x:v>No se reescribe el estatuto histórico de la entrega anterior.</x:v>
      </x:c>
    </x:row>
    <x:row r="15" ht="59" customHeight="1">
      <x:c r="A15" s="21" t="str">
        <x:v>P11</x:v>
      </x:c>
      <x:c r="B15" s="21" t="str">
        <x:v>PAR-CYB-GENERACION-PROCESO-CREADA-001</x:v>
      </x:c>
      <x:c r="C15" s="21" t="str">
        <x:v>Generación de proceso creada después de instalar</x:v>
      </x:c>
      <x:c r="D15" s="21" t="str">
        <x:v>QCY-04-D4</x:v>
      </x:c>
      <x:c r="E15" s="21" t="str">
        <x:v>La generación identificada del proceso fue creada después del ancla de instalación y no después del corte.</x:v>
      </x:c>
      <x:c r="F15" s="21" t="str">
        <x:v>NUEVO DICTAMEN DE UNIDAD; ADOPCIÓN PENDIENTE</x:v>
      </x:c>
      <x:c r="G15" s="21" t="str">
        <x:v>CREACION-GENERACION-0.1</x:v>
      </x:c>
      <x:c r="H15" s="21" t="str">
        <x:v>Perfil Win32 documental. No confundir el éxito de CreateProcessW con inicialización. No concluye vida actual, salud, terminación de hijos ni cierre de recursos compartidos.</x:v>
      </x:c>
    </x:row>
    <x:row r="16" ht="44" customHeight="1">
      <x:c r="A16" s="21" t="str">
        <x:v>P12</x:v>
      </x:c>
      <x:c r="B16" s="21" t="str">
        <x:v>PAR-CYB-VALOR-CONFIGURACION-EFECTIVO-OBJETIVO-001</x:v>
      </x:c>
      <x:c r="C16" s="21" t="str">
        <x:v>Valor efectivo de configuración igual al objetivo</x:v>
      </x:c>
      <x:c r="D16" s="21" t="str">
        <x:v>QCY-05-D2</x:v>
      </x:c>
      <x:c r="E16" s="21" t="str">
        <x:v>El valor efectivo de una única clave de configuración en el consumidor identificado coincide con el valor objetivo previamente admitido.</x:v>
      </x:c>
      <x:c r="F16" s="21" t="str">
        <x:v>NUEVO DICTAMEN DE UNIDAD; ADOPCIÓN PENDIENTE</x:v>
      </x:c>
      <x:c r="G16" s="21" t="str">
        <x:v>CONFIGURACION-CLAVE-EFECTIVA-0.1</x:v>
      </x:c>
      <x:c r="H16" s="21" t="str">
        <x:v>El método efectivo de cada producto no se inventa. El contrato se prueba sobre observaciones sintéticas ya tipadas; captura real pendiente D-CYB-01.</x:v>
      </x:c>
    </x:row>
    <x:row r="17" ht="44" customHeight="1">
      <x:c r="A17" s="21" t="str">
        <x:v>P13</x:v>
      </x:c>
      <x:c r="B17" s="21" t="str">
        <x:v>PAR-CYB-ARTEFACTO-PERSISTENTE-OBJETIVO-001</x:v>
      </x:c>
      <x:c r="C17" s="21" t="str">
        <x:v>Artefacto persistente igual al objetivo</x:v>
      </x:c>
      <x:c r="D17" s="21" t="str">
        <x:v>QCY-05-D2</x:v>
      </x:c>
      <x:c r="E17" s="21" t="str">
        <x:v>Los bytes del artefacto binario persistente identificado coinciden con el artefacto objetivo admitido, según el método de identidad fijado.</x:v>
      </x:c>
      <x:c r="F17" s="21" t="str">
        <x:v>NUEVO DICTAMEN DE UNIDAD; ADOPCIÓN PENDIENTE</x:v>
      </x:c>
      <x:c r="G17" s="21" t="str">
        <x:v>IDENTIDAD-ARTEFACTO-PERSISTENTE-0.1</x:v>
      </x:c>
      <x:c r="H17" s="21" t="str">
        <x:v>Perfil de fichero binario completo. No extiende una lectura de fichero a firmware activo, cachés, JIT o memoria. Comparación con hash de memoria cruda no autorizada.</x:v>
      </x:c>
    </x:row>
    <x:row r="18" ht="44" customHeight="1">
      <x:c r="A18" s="21" t="str">
        <x:v>P14</x:v>
      </x:c>
      <x:c r="B18" s="21" t="str">
        <x:v>PAR-CYB-CAMBIO-CONFIGURACION-POSTERIOR-001</x:v>
      </x:c>
      <x:c r="C18" s="21" t="str">
        <x:v>Cambio posterior de un valor de configuración</x:v>
      </x:c>
      <x:c r="D18" s="21" t="str">
        <x:v>QCY-08-D2</x:v>
      </x:c>
      <x:c r="E18" s="21" t="str">
        <x:v>Se produjo al menos una transición del valor de la clave de configuración identificada entre la comprobación de referencia y el corte.</x:v>
      </x:c>
      <x:c r="F18" s="21" t="str">
        <x:v>NUEVO DICTAMEN DE UNIDAD; ADOPCIÓN PENDIENTE</x:v>
      </x:c>
      <x:c r="G18" s="21" t="str">
        <x:v>HISTORIA-CLAVE-CONFIGURACION-0.1</x:v>
      </x:c>
      <x:c r="H18" s="21" t="str">
        <x:v>No deduce transición de dos extremos iguales. No presupone que toda restauración cambie esa clave. Captura continua completa no acreditada en sistemas reales.</x:v>
      </x:c>
    </x:row>
    <x:row r="19" ht="44" customHeight="1">
      <x:c r="A19" s="21" t="str">
        <x:v>P15</x:v>
      </x:c>
      <x:c r="B19" s="21" t="str">
        <x:v>PAR-CYB-OTRO-CAMBIO-UNITARIO-REQUERIDO-001</x:v>
      </x:c>
      <x:c r="C19" s="21" t="str">
        <x:v>Otro cambio unitario requerido para completar</x:v>
      </x:c>
      <x:c r="D19" s="21" t="str">
        <x:v>QCY-04-D3</x:v>
      </x:c>
      <x:c r="E19" s="21" t="str">
        <x:v>La regla específica admitida exige el cambio unitario identificado para completar esta instalación en su contexto aplicable.</x:v>
      </x:c>
      <x:c r="F19" s="21" t="str">
        <x:v>NUEVO DICTAMEN DE UNIDAD; ADOPCIÓN PENDIENTE</x:v>
      </x:c>
      <x:c r="G19" s="21" t="str">
        <x:v>REQUISITO-CAMBIO-UNITARIO-0.1</x:v>
      </x:c>
      <x:c r="H19" s="21" t="str">
        <x:v>No convierte un verbo genérico en átomo de ejecución. P15 sólo requisito; el cumplimiento se reconstruye con testigos de estado y P07 para cada criterio unitario.</x:v>
      </x:c>
    </x:row>
  </x:sheetData>
  <x:mergeCells>
    <x:mergeCell ref="A1:D1"/>
    <x:mergeCell ref="A2:F2"/>
  </x:mergeCells>
  <x:pageMargins left="0.7" right="0.7" top="0.75" bottom="0.75" header="0.3" footer="0.3"/>
  <x:tableParts count="1">
    <x:tablePart xmlns:r="http://schemas.openxmlformats.org/officeDocument/2006/relationships" r:id="R730687dad0f44a93"/>
  </x:tableParts>
</x:worksheet>
</file>

<file path=xl/worksheets/sheet59.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66" hidden="0" customWidth="1"/>
    <x:col min="3" max="3" width="27" hidden="0" customWidth="1"/>
    <x:col min="4" max="4" width="153" hidden="0" customWidth="1"/>
  </x:cols>
  <x:sheetData>
    <x:row r="1" ht="34" customHeight="1">
      <x:c r="A1" s="23" t="str">
        <x:v>CINCO CONTRATOS · observables y atomicidad</x:v>
      </x:c>
      <x:c r="B1" s="23"/>
      <x:c r="C1" s="23"/>
      <x:c r="D1" s="23"/>
    </x:row>
    <x:row r="2" ht="57" customHeight="1">
      <x:c r="A2" s="24" t="str">
        <x:v>Las consecuencias preceden al dictamen. El perfil de lectura se distingue de su ejecución real.</x:v>
      </x:c>
      <x:c r="B2" s="24"/>
      <x:c r="C2" s="24"/>
      <x:c r="D2" s="24"/>
    </x:row>
    <x:row r="3">
      <x:c r="A3" s="21"/>
      <x:c r="B3" s="21"/>
      <x:c r="C3" s="21"/>
      <x:c r="D3" s="21"/>
    </x:row>
    <x:row r="4" ht="48" customHeight="1">
      <x:c r="A4" s="26" t="str">
        <x:v>Alias</x:v>
      </x:c>
      <x:c r="B4" s="26" t="str">
        <x:v>Identidad</x:v>
      </x:c>
      <x:c r="C4" s="26" t="str">
        <x:v>Componente contractual</x:v>
      </x:c>
      <x:c r="D4" s="26" t="str">
        <x:v>Contenido</x:v>
      </x:c>
    </x:row>
    <x:row r="5" ht="43" customHeight="1">
      <x:c r="A5" s="21" t="str">
        <x:v>P11</x:v>
      </x:c>
      <x:c r="B5" s="21" t="str">
        <x:v>PAR-CYB-GENERACION-PROCESO-CREADA-001</x:v>
      </x:c>
      <x:c r="C5" s="21" t="str">
        <x:v>predicado</x:v>
      </x:c>
      <x:c r="D5" s="21" t="str">
        <x:v>La generación identificada del proceso fue creada después del ancla de instalación y no después del corte.</x:v>
      </x:c>
    </x:row>
    <x:row r="6" ht="43" customHeight="1">
      <x:c r="A6" s="21" t="str">
        <x:v>P11</x:v>
      </x:c>
      <x:c r="B6" s="21" t="str">
        <x:v>PAR-CYB-GENERACION-PROCESO-CREADA-001</x:v>
      </x:c>
      <x:c r="C6" s="21" t="str">
        <x:v>perfil</x:v>
      </x:c>
      <x:c r="D6" s="21" t="str">
        <x:v>CREACION-GENERACION-0.1</x:v>
      </x:c>
    </x:row>
    <x:row r="7" ht="44" customHeight="1">
      <x:c r="A7" s="21" t="str">
        <x:v>P11</x:v>
      </x:c>
      <x:c r="B7" s="21" t="str">
        <x:v>PAR-CYB-GENERACION-PROCESO-CREADA-001</x:v>
      </x:c>
      <x:c r="C7" s="21" t="str">
        <x:v>observables</x:v>
      </x:c>
      <x:c r="D7" s="21" t="str">
        <x:v>Activo, PID y tiempo de creación exacto, época de arranque si procede, ancla, corte y orden temporal acreditado; registro de creación o prueba explícita de creación fuera del intervalo.</x:v>
      </x:c>
    </x:row>
    <x:row r="8" ht="44" customHeight="1">
      <x:c r="A8" s="21" t="str">
        <x:v>P11</x:v>
      </x:c>
      <x:c r="B8" s="21" t="str">
        <x:v>PAR-CYB-GENERACION-PROCESO-CREADA-001</x:v>
      </x:c>
      <x:c r="C8" s="21" t="str">
        <x:v>regla</x:v>
      </x:c>
      <x:c r="D8" s="21" t="str">
        <x:v>Creación en (ancla,corte] → 1. Creación acreditada anterior o igual al ancla → 0. Sin observación concluyente → U. Un instante posterior al corte es evidencia ajena al corte, no un 0.</x:v>
      </x:c>
    </x:row>
    <x:row r="9" ht="43" customHeight="1">
      <x:c r="A9" s="21" t="str">
        <x:v>P11</x:v>
      </x:c>
      <x:c r="B9" s="21" t="str">
        <x:v>PAR-CYB-GENERACION-PROCESO-CREADA-001</x:v>
      </x:c>
      <x:c r="C9" s="21" t="str">
        <x:v>causas_u</x:v>
      </x:c>
      <x:c r="D9" s="21" t="str">
        <x:v>U_CREACION_NO_OBSERVADA; U_ORDEN_TEMPORAL; U_CONFLICTO. PID sin generación no se admite. Un error del capturador no produce Tri.</x:v>
      </x:c>
    </x:row>
    <x:row r="10" ht="44" customHeight="1">
      <x:c r="A10" s="21" t="str">
        <x:v>P11</x:v>
      </x:c>
      <x:c r="B10" s="21" t="str">
        <x:v>PAR-CYB-GENERACION-PROCESO-CREADA-001</x:v>
      </x:c>
      <x:c r="C10" s="21" t="str">
        <x:v>consecuencia</x:v>
      </x:c>
      <x:c r="D10" s="21" t="str">
        <x:v>C11: P05=1 no prueba que exista sustituto. Omitir creación puede hacer aconsejar cerrar cuando sólo se detuvo el proceso anterior, con servicio todavía ausente si dependía del sustituto.</x:v>
      </x:c>
    </x:row>
    <x:row r="11" ht="44" customHeight="1">
      <x:c r="A11" s="21" t="str">
        <x:v>P11</x:v>
      </x:c>
      <x:c r="B11" s="21" t="str">
        <x:v>PAR-CYB-GENERACION-PROCESO-CREADA-001</x:v>
      </x:c>
      <x:c r="C11" s="21" t="str">
        <x:v>exceso</x:v>
      </x:c>
      <x:c r="D11" s="21" t="str">
        <x:v>No exige reiniciar de nuevo una generación ya creada. Creación no acredita inicialización ni servicio útil: P07 se usa con criterio de disponibilidad separado.</x:v>
      </x:c>
    </x:row>
    <x:row r="12" ht="44" customHeight="1">
      <x:c r="A12" s="21" t="str">
        <x:v>P11</x:v>
      </x:c>
      <x:c r="B12" s="21" t="str">
        <x:v>PAR-CYB-GENERACION-PROCESO-CREADA-001</x:v>
      </x:c>
      <x:c r="C12" s="21" t="str">
        <x:v>independencia</x:v>
      </x:c>
      <x:c r="D12" s="21" t="str">
        <x:v>P05=1 tanto con sustituto creado como sin él. P11=1 puede coexistir con fallo de inicialización. P06 distingue imagen de la generación y no fecha de creación.</x:v>
      </x:c>
    </x:row>
    <x:row r="13" ht="43" customHeight="1">
      <x:c r="A13" s="21" t="str">
        <x:v>P11</x:v>
      </x:c>
      <x:c r="B13" s="21" t="str">
        <x:v>PAR-CYB-GENERACION-PROCESO-CREADA-001</x:v>
      </x:c>
      <x:c r="C13" s="21" t="str">
        <x:v>particion</x:v>
      </x:c>
      <x:c r="D13" s="21" t="str">
        <x:v>PID/tiempo son identidad y orden, no dos estados profesionales. Creado, inicializado y útil sí se separan; sólo creado pertenece a P11.</x:v>
      </x:c>
    </x:row>
    <x:row r="14" ht="43" customHeight="1">
      <x:c r="A14" s="21" t="str">
        <x:v>P11</x:v>
      </x:c>
      <x:c r="B14" s="21" t="str">
        <x:v>PAR-CYB-GENERACION-PROCESO-CREADA-001</x:v>
      </x:c>
      <x:c r="C14" s="21" t="str">
        <x:v>fuentes</x:v>
      </x:c>
      <x:c r="D14" s="21" t="str">
        <x:v>R025 IV.4; T014 introducción/Members; T015 Return value; T016 procesos hijos</x:v>
      </x:c>
    </x:row>
    <x:row r="15" ht="44" customHeight="1">
      <x:c r="A15" s="21" t="str">
        <x:v>P11</x:v>
      </x:c>
      <x:c r="B15" s="21" t="str">
        <x:v>PAR-CYB-GENERACION-PROCESO-CREADA-001</x:v>
      </x:c>
      <x:c r="C15" s="21" t="str">
        <x:v>limite</x:v>
      </x:c>
      <x:c r="D15" s="21" t="str">
        <x:v>Perfil Win32 documental. No confundir el éxito de CreateProcessW con inicialización. No concluye vida actual, salud, terminación de hijos ni cierre de recursos compartidos.</x:v>
      </x:c>
    </x:row>
    <x:row r="16" ht="43" customHeight="1">
      <x:c r="A16" s="21" t="str">
        <x:v>P12</x:v>
      </x:c>
      <x:c r="B16" s="21" t="str">
        <x:v>PAR-CYB-VALOR-CONFIGURACION-EFECTIVO-OBJETIVO-001</x:v>
      </x:c>
      <x:c r="C16" s="21" t="str">
        <x:v>predicado</x:v>
      </x:c>
      <x:c r="D16" s="21" t="str">
        <x:v>El valor efectivo de una única clave de configuración en el consumidor identificado coincide con el valor objetivo previamente admitido.</x:v>
      </x:c>
    </x:row>
    <x:row r="17" ht="43" customHeight="1">
      <x:c r="A17" s="21" t="str">
        <x:v>P12</x:v>
      </x:c>
      <x:c r="B17" s="21" t="str">
        <x:v>PAR-CYB-VALOR-CONFIGURACION-EFECTIVO-OBJETIVO-001</x:v>
      </x:c>
      <x:c r="C17" s="21" t="str">
        <x:v>perfil</x:v>
      </x:c>
      <x:c r="D17" s="21" t="str">
        <x:v>CONFIGURACION-CLAVE-EFECTIVA-0.1</x:v>
      </x:c>
    </x:row>
    <x:row r="18" ht="44" customHeight="1">
      <x:c r="A18" s="21" t="str">
        <x:v>P12</x:v>
      </x:c>
      <x:c r="B18" s="21" t="str">
        <x:v>PAR-CYB-VALOR-CONFIGURACION-EFECTIVO-OBJETIVO-001</x:v>
      </x:c>
      <x:c r="C18" s="21" t="str">
        <x:v>observables</x:v>
      </x:c>
      <x:c r="D18" s="21" t="str">
        <x:v>Consumidor/generación, clave, tipo, valor efectivo al corte, objetivo, método de lectura y equivalencia tipada admitidos; valor persistido conservado separadamente.</x:v>
      </x:c>
    </x:row>
    <x:row r="19" ht="44" customHeight="1">
      <x:c r="A19" s="21" t="str">
        <x:v>P12</x:v>
      </x:c>
      <x:c r="B19" s="21" t="str">
        <x:v>PAR-CYB-VALOR-CONFIGURACION-EFECTIVO-OBJETIVO-001</x:v>
      </x:c>
      <x:c r="C19" s="21" t="str">
        <x:v>regla</x:v>
      </x:c>
      <x:c r="D19" s="21" t="str">
        <x:v>Mismo tipo y valor efectivo igual al objetivo → 1; mismo tipo y valor diferente → 0; lectura efectiva desconocida o contradictoria → U. La inexistencia es un valor sólo cuando el esquema la define explícitamente.</x:v>
      </x:c>
    </x:row>
    <x:row r="20" ht="44" customHeight="1">
      <x:c r="A20" s="21" t="str">
        <x:v>P12</x:v>
      </x:c>
      <x:c r="B20" s="21" t="str">
        <x:v>PAR-CYB-VALOR-CONFIGURACION-EFECTIVO-OBJETIVO-001</x:v>
      </x:c>
      <x:c r="C20" s="21" t="str">
        <x:v>causas_u</x:v>
      </x:c>
      <x:c r="D20" s="21" t="str">
        <x:v>U_VALOR_EFECTIVO; U_CONFLICTO; U_CORTE. Método o equivalencia no fijados: configuración pendiente. Valor del fichero de configuración no basta.</x:v>
      </x:c>
    </x:row>
    <x:row r="21" ht="44" customHeight="1">
      <x:c r="A21" s="21" t="str">
        <x:v>P12</x:v>
      </x:c>
      <x:c r="B21" s="21" t="str">
        <x:v>PAR-CYB-VALOR-CONFIGURACION-EFECTIVO-OBJETIVO-001</x:v>
      </x:c>
      <x:c r="C21" s="21" t="str">
        <x:v>consecuencia</x:v>
      </x:c>
      <x:c r="D21" s="21" t="str">
        <x:v>C12: binario actualizado y configuración guardada pueden coexistir con consumidor que conserva el valor anterior. Omitir carga efectiva permite atribuir efecto corrector no comprobado.</x:v>
      </x:c>
    </x:row>
    <x:row r="22" ht="44" customHeight="1">
      <x:c r="A22" s="21" t="str">
        <x:v>P12</x:v>
      </x:c>
      <x:c r="B22" s="21" t="str">
        <x:v>PAR-CYB-VALOR-CONFIGURACION-EFECTIVO-OBJETIVO-001</x:v>
      </x:c>
      <x:c r="C22" s="21" t="str">
        <x:v>exceso</x:v>
      </x:c>
      <x:c r="D22" s="21" t="str">
        <x:v>Un valor diferente puede ser otra configuración admitida: 0 no prueba vulnerabilidad. No se fuerza una clave que no exige la regla aplicable.</x:v>
      </x:c>
    </x:row>
    <x:row r="23" ht="44" customHeight="1">
      <x:c r="A23" s="21" t="str">
        <x:v>P12</x:v>
      </x:c>
      <x:c r="B23" s="21" t="str">
        <x:v>PAR-CYB-VALOR-CONFIGURACION-EFECTIVO-OBJETIVO-001</x:v>
      </x:c>
      <x:c r="C23" s="21" t="str">
        <x:v>independencia</x:v>
      </x:c>
      <x:c r="D23" s="21" t="str">
        <x:v>Misma imagen P06=1 con valores efectivos distintos; mismo fichero guardado con lectura efectiva antigua o nueva; P07 es resultado comunicado de prueba, no este valor.</x:v>
      </x:c>
    </x:row>
    <x:row r="24" ht="44" customHeight="1">
      <x:c r="A24" s="21" t="str">
        <x:v>P12</x:v>
      </x:c>
      <x:c r="B24" s="21" t="str">
        <x:v>PAR-CYB-VALOR-CONFIGURACION-EFECTIVO-OBJETIVO-001</x:v>
      </x:c>
      <x:c r="C24" s="21" t="str">
        <x:v>particion</x:v>
      </x:c>
      <x:c r="D24" s="21" t="str">
        <x:v>Una clave escalar y un consumidor. Un objeto con varias claves independientes se rechaza como compuesto; sus campos no se empaquetan para obtener un átomo.</x:v>
      </x:c>
    </x:row>
    <x:row r="25" ht="43" customHeight="1">
      <x:c r="A25" s="21" t="str">
        <x:v>P12</x:v>
      </x:c>
      <x:c r="B25" s="21" t="str">
        <x:v>PAR-CYB-VALOR-CONFIGURACION-EFECTIVO-OBJETIVO-001</x:v>
      </x:c>
      <x:c r="C25" s="21" t="str">
        <x:v>fuentes</x:v>
      </x:c>
      <x:c r="D25" s="21" t="str">
        <x:v>R025 IV.2/4/5; T001 §2.2 y §2.3.2; F018 §3.4</x:v>
      </x:c>
    </x:row>
    <x:row r="26" ht="44" customHeight="1">
      <x:c r="A26" s="21" t="str">
        <x:v>P12</x:v>
      </x:c>
      <x:c r="B26" s="21" t="str">
        <x:v>PAR-CYB-VALOR-CONFIGURACION-EFECTIVO-OBJETIVO-001</x:v>
      </x:c>
      <x:c r="C26" s="21" t="str">
        <x:v>limite</x:v>
      </x:c>
      <x:c r="D26" s="21" t="str">
        <x:v>El método efectivo de cada producto no se inventa. El contrato se prueba sobre observaciones sintéticas ya tipadas; captura real pendiente D-CYB-01.</x:v>
      </x:c>
    </x:row>
    <x:row r="27" ht="44" customHeight="1">
      <x:c r="A27" s="21" t="str">
        <x:v>P13</x:v>
      </x:c>
      <x:c r="B27" s="21" t="str">
        <x:v>PAR-CYB-ARTEFACTO-PERSISTENTE-OBJETIVO-001</x:v>
      </x:c>
      <x:c r="C27" s="21" t="str">
        <x:v>predicado</x:v>
      </x:c>
      <x:c r="D27" s="21" t="str">
        <x:v>Los bytes del artefacto binario persistente identificado coinciden con el artefacto objetivo admitido, según el método de identidad fijado.</x:v>
      </x:c>
    </x:row>
    <x:row r="28" ht="43" customHeight="1">
      <x:c r="A28" s="21" t="str">
        <x:v>P13</x:v>
      </x:c>
      <x:c r="B28" s="21" t="str">
        <x:v>PAR-CYB-ARTEFACTO-PERSISTENTE-OBJETIVO-001</x:v>
      </x:c>
      <x:c r="C28" s="21" t="str">
        <x:v>perfil</x:v>
      </x:c>
      <x:c r="D28" s="21" t="str">
        <x:v>IDENTIDAD-ARTEFACTO-PERSISTENTE-0.1</x:v>
      </x:c>
    </x:row>
    <x:row r="29" ht="44" customHeight="1">
      <x:c r="A29" s="21" t="str">
        <x:v>P13</x:v>
      </x:c>
      <x:c r="B29" s="21" t="str">
        <x:v>PAR-CYB-ARTEFACTO-PERSISTENTE-OBJETIVO-001</x:v>
      </x:c>
      <x:c r="C29" s="21" t="str">
        <x:v>observables</x:v>
      </x:c>
      <x:c r="D29" s="21" t="str">
        <x:v>Activo, objeto de almacenamiento, alcance completo, lectura consistente al corte, identidad del método, digest y referencia auténtica del objetivo.</x:v>
      </x:c>
    </x:row>
    <x:row r="30" ht="44" customHeight="1">
      <x:c r="A30" s="21" t="str">
        <x:v>P13</x:v>
      </x:c>
      <x:c r="B30" s="21" t="str">
        <x:v>PAR-CYB-ARTEFACTO-PERSISTENTE-OBJETIVO-001</x:v>
      </x:c>
      <x:c r="C30" s="21" t="str">
        <x:v>regla</x:v>
      </x:c>
      <x:c r="D30" s="21" t="str">
        <x:v>Identidades completas iguales → 1; completas distintas → 0; lectura parcial/inconsistente o ausente → U. El digest identifica bytes; no acredita por sí mismo autoría o corrección.</x:v>
      </x:c>
    </x:row>
    <x:row r="31" ht="44" customHeight="1">
      <x:c r="A31" s="21" t="str">
        <x:v>P13</x:v>
      </x:c>
      <x:c r="B31" s="21" t="str">
        <x:v>PAR-CYB-ARTEFACTO-PERSISTENTE-OBJETIVO-001</x:v>
      </x:c>
      <x:c r="C31" s="21" t="str">
        <x:v>causas_u</x:v>
      </x:c>
      <x:c r="D31" s="21" t="str">
        <x:v>U_LECTURA_PARCIAL; U_CORTE_INCONSISTENTE; U_AUSENCIA; U_CONFLICTO. Referencia sin procedencia admitida: no admisión. Identificador truncado: no admisión.</x:v>
      </x:c>
    </x:row>
    <x:row r="32" ht="44" customHeight="1">
      <x:c r="A32" s="21" t="str">
        <x:v>P13</x:v>
      </x:c>
      <x:c r="B32" s="21" t="str">
        <x:v>PAR-CYB-ARTEFACTO-PERSISTENTE-OBJETIVO-001</x:v>
      </x:c>
      <x:c r="C32" s="21" t="str">
        <x:v>consecuencia</x:v>
      </x:c>
      <x:c r="D32" s="21" t="str">
        <x:v>C13: una imagen corregida puede seguir en memoria aunque en disco haya vuelto una antigua que se cargará después. Omitir el estado persistente oculta esa divergencia y la necesidad de revisarla.</x:v>
      </x:c>
    </x:row>
    <x:row r="33" ht="44" customHeight="1">
      <x:c r="A33" s="21" t="str">
        <x:v>P13</x:v>
      </x:c>
      <x:c r="B33" s="21" t="str">
        <x:v>PAR-CYB-ARTEFACTO-PERSISTENTE-OBJETIVO-001</x:v>
      </x:c>
      <x:c r="C33" s="21" t="str">
        <x:v>exceso</x:v>
      </x:c>
      <x:c r="D33" s="21" t="str">
        <x:v>No se reemplaza una versión diferente sólo porque difiera: puede ser una alternativa correctora. Tampoco se equipara fichero ausente con ausencia completa de la actualización.</x:v>
      </x:c>
    </x:row>
    <x:row r="34" ht="44" customHeight="1">
      <x:c r="A34" s="21" t="str">
        <x:v>P13</x:v>
      </x:c>
      <x:c r="B34" s="21" t="str">
        <x:v>PAR-CYB-ARTEFACTO-PERSISTENTE-OBJETIVO-001</x:v>
      </x:c>
      <x:c r="C34" s="21" t="str">
        <x:v>independencia</x:v>
      </x:c>
      <x:c r="D34" s="21" t="str">
        <x:v>P06=1 mientras P13=0 después de reemplazo en disco. P13=1 mientras P06=0 antes de recarga. P09 habla de historia, no identidad actual del almacenamiento.</x:v>
      </x:c>
    </x:row>
    <x:row r="35" ht="44" customHeight="1">
      <x:c r="A35" s="21" t="str">
        <x:v>P13</x:v>
      </x:c>
      <x:c r="B35" s="21" t="str">
        <x:v>PAR-CYB-ARTEFACTO-PERSISTENTE-OBJETIVO-001</x:v>
      </x:c>
      <x:c r="C35" s="21" t="str">
        <x:v>particion</x:v>
      </x:c>
      <x:c r="D35" s="21" t="str">
        <x:v>Una identidad de contenido completa del objeto. Ruta, tamaño, versión y firma son evidencias/controles, no componentes booleanos a sumar. Conjuntos de ficheros se enumeran, no se comprimen.</x:v>
      </x:c>
    </x:row>
    <x:row r="36" ht="43" customHeight="1">
      <x:c r="A36" s="21" t="str">
        <x:v>P13</x:v>
      </x:c>
      <x:c r="B36" s="21" t="str">
        <x:v>PAR-CYB-ARTEFACTO-PERSISTENTE-OBJETIVO-001</x:v>
      </x:c>
      <x:c r="C36" s="21" t="str">
        <x:v>fuentes</x:v>
      </x:c>
      <x:c r="D36" s="21" t="str">
        <x:v>R025 IV.5/6; T001 §2.3.2–2.3.4; T008 Factors that affect searching</x:v>
      </x:c>
    </x:row>
    <x:row r="37" ht="44" customHeight="1">
      <x:c r="A37" s="21" t="str">
        <x:v>P13</x:v>
      </x:c>
      <x:c r="B37" s="21" t="str">
        <x:v>PAR-CYB-ARTEFACTO-PERSISTENTE-OBJETIVO-001</x:v>
      </x:c>
      <x:c r="C37" s="21" t="str">
        <x:v>limite</x:v>
      </x:c>
      <x:c r="D37" s="21" t="str">
        <x:v>Perfil de fichero binario completo. No extiende una lectura de fichero a firmware activo, cachés, JIT o memoria. Comparación con hash de memoria cruda no autorizada.</x:v>
      </x:c>
    </x:row>
    <x:row r="38" ht="43" customHeight="1">
      <x:c r="A38" s="21" t="str">
        <x:v>P14</x:v>
      </x:c>
      <x:c r="B38" s="21" t="str">
        <x:v>PAR-CYB-CAMBIO-CONFIGURACION-POSTERIOR-001</x:v>
      </x:c>
      <x:c r="C38" s="21" t="str">
        <x:v>predicado</x:v>
      </x:c>
      <x:c r="D38" s="21" t="str">
        <x:v>Se produjo al menos una transición del valor de la clave de configuración identificada entre la comprobación de referencia y el corte.</x:v>
      </x:c>
    </x:row>
    <x:row r="39" ht="43" customHeight="1">
      <x:c r="A39" s="21" t="str">
        <x:v>P14</x:v>
      </x:c>
      <x:c r="B39" s="21" t="str">
        <x:v>PAR-CYB-CAMBIO-CONFIGURACION-POSTERIOR-001</x:v>
      </x:c>
      <x:c r="C39" s="21" t="str">
        <x:v>perfil</x:v>
      </x:c>
      <x:c r="D39" s="21" t="str">
        <x:v>HISTORIA-CLAVE-CONFIGURACION-0.1</x:v>
      </x:c>
    </x:row>
    <x:row r="40" ht="44" customHeight="1">
      <x:c r="A40" s="21" t="str">
        <x:v>P14</x:v>
      </x:c>
      <x:c r="B40" s="21" t="str">
        <x:v>PAR-CYB-CAMBIO-CONFIGURACION-POSTERIOR-001</x:v>
      </x:c>
      <x:c r="C40" s="21" t="str">
        <x:v>observables</x:v>
      </x:c>
      <x:c r="D40" s="21" t="str">
        <x:v>Clave y consumidor, referencia/corte, transiciones identificadas y ordenadas, valores tipados y cobertura del historial para concluir ausencia.</x:v>
      </x:c>
    </x:row>
    <x:row r="41" ht="44" customHeight="1">
      <x:c r="A41" s="21" t="str">
        <x:v>P14</x:v>
      </x:c>
      <x:c r="B41" s="21" t="str">
        <x:v>PAR-CYB-CAMBIO-CONFIGURACION-POSTERIOR-001</x:v>
      </x:c>
      <x:c r="C41" s="21" t="str">
        <x:v>regla</x:v>
      </x:c>
      <x:c r="D41" s="21" t="str">
        <x:v>Transición acreditada dentro del intervalo → 1, incluso con retorno al valor original. Sin transición y con historial completo → 0. Sin transición demostrada pero cobertura parcial → U.</x:v>
      </x:c>
    </x:row>
    <x:row r="42" ht="44" customHeight="1">
      <x:c r="A42" s="21" t="str">
        <x:v>P14</x:v>
      </x:c>
      <x:c r="B42" s="21" t="str">
        <x:v>PAR-CYB-CAMBIO-CONFIGURACION-POSTERIOR-001</x:v>
      </x:c>
      <x:c r="C42" s="21" t="str">
        <x:v>causas_u</x:v>
      </x:c>
      <x:c r="D42" s="21" t="str">
        <x:v>U_COBERTURA; U_ORDEN; U_CONFLICTO. Edición que conserva el mismo valor no prueba transición del valor. Se fija si se observa valor efectivo o persistente; no se mezclan.</x:v>
      </x:c>
    </x:row>
    <x:row r="43" ht="44" customHeight="1">
      <x:c r="A43" s="21" t="str">
        <x:v>P14</x:v>
      </x:c>
      <x:c r="B43" s="21" t="str">
        <x:v>PAR-CYB-CAMBIO-CONFIGURACION-POSTERIOR-001</x:v>
      </x:c>
      <x:c r="C43" s="21" t="str">
        <x:v>consecuencia</x:v>
      </x:c>
      <x:c r="D43" s="21" t="str">
        <x:v>C14: una comprobación anterior puede haber perdido vigencia por cambio de configuración sin cambiar el binario. Omitir esa relación permite reutilizar evidencia fuera de su alcance temporal.</x:v>
      </x:c>
    </x:row>
    <x:row r="44" ht="44" customHeight="1">
      <x:c r="A44" s="21" t="str">
        <x:v>P14</x:v>
      </x:c>
      <x:c r="B44" s="21" t="str">
        <x:v>PAR-CYB-CAMBIO-CONFIGURACION-POSTERIOR-001</x:v>
      </x:c>
      <x:c r="C44" s="21" t="str">
        <x:v>exceso</x:v>
      </x:c>
      <x:c r="D44" s="21" t="str">
        <x:v>Cambio no equivale a fallo ni vulnerabilidad. Se reevalúan sólo criterios que dependen de la clave; no se impone repetir todo por una modificación irrelevante.</x:v>
      </x:c>
    </x:row>
    <x:row r="45" ht="44" customHeight="1">
      <x:c r="A45" s="21" t="str">
        <x:v>P14</x:v>
      </x:c>
      <x:c r="B45" s="21" t="str">
        <x:v>PAR-CYB-CAMBIO-CONFIGURACION-POSTERIOR-001</x:v>
      </x:c>
      <x:c r="C45" s="21" t="str">
        <x:v>independencia</x:v>
      </x:c>
      <x:c r="D45" s="21" t="str">
        <x:v>P09=0 y P14=1 al variar una clave sin variar el binario. P12=1 con cambio y retorno o sin cambio: el estado final no determina la historia.</x:v>
      </x:c>
    </x:row>
    <x:row r="46" ht="44" customHeight="1">
      <x:c r="A46" s="21" t="str">
        <x:v>P14</x:v>
      </x:c>
      <x:c r="B46" s="21" t="str">
        <x:v>PAR-CYB-CAMBIO-CONFIGURACION-POSTERIOR-001</x:v>
      </x:c>
      <x:c r="C46" s="21" t="str">
        <x:v>particion</x:v>
      </x:c>
      <x:c r="D46" s="21" t="str">
        <x:v>Una clave y un ámbito temporal. Existencia de transición es un predicado; número, causa, actor y daños no se agregan. Configuración efectiva y persistente requieren sujetos separados.</x:v>
      </x:c>
    </x:row>
    <x:row r="47" ht="43" customHeight="1">
      <x:c r="A47" s="21" t="str">
        <x:v>P14</x:v>
      </x:c>
      <x:c r="B47" s="21" t="str">
        <x:v>PAR-CYB-CAMBIO-CONFIGURACION-POSTERIOR-001</x:v>
      </x:c>
      <x:c r="C47" s="21" t="str">
        <x:v>fuentes</x:v>
      </x:c>
      <x:c r="D47" s="21" t="str">
        <x:v>R025 IV.2/5; T001 §2.2, §2.3.2 y §2.3.4; F018 §3.4</x:v>
      </x:c>
    </x:row>
    <x:row r="48" ht="44" customHeight="1">
      <x:c r="A48" s="21" t="str">
        <x:v>P14</x:v>
      </x:c>
      <x:c r="B48" s="21" t="str">
        <x:v>PAR-CYB-CAMBIO-CONFIGURACION-POSTERIOR-001</x:v>
      </x:c>
      <x:c r="C48" s="21" t="str">
        <x:v>limite</x:v>
      </x:c>
      <x:c r="D48" s="21" t="str">
        <x:v>No deduce transición de dos extremos iguales. No presupone que toda restauración cambie esa clave. Captura continua completa no acreditada en sistemas reales.</x:v>
      </x:c>
    </x:row>
    <x:row r="49" ht="43" customHeight="1">
      <x:c r="A49" s="21" t="str">
        <x:v>P15</x:v>
      </x:c>
      <x:c r="B49" s="21" t="str">
        <x:v>PAR-CYB-OTRO-CAMBIO-UNITARIO-REQUERIDO-001</x:v>
      </x:c>
      <x:c r="C49" s="21" t="str">
        <x:v>predicado</x:v>
      </x:c>
      <x:c r="D49" s="21" t="str">
        <x:v>La regla específica admitida exige el cambio unitario identificado para completar esta instalación en su contexto aplicable.</x:v>
      </x:c>
    </x:row>
    <x:row r="50" ht="43" customHeight="1">
      <x:c r="A50" s="21" t="str">
        <x:v>P15</x:v>
      </x:c>
      <x:c r="B50" s="21" t="str">
        <x:v>PAR-CYB-OTRO-CAMBIO-UNITARIO-REQUERIDO-001</x:v>
      </x:c>
      <x:c r="C50" s="21" t="str">
        <x:v>perfil</x:v>
      </x:c>
      <x:c r="D50" s="21" t="str">
        <x:v>REQUISITO-CAMBIO-UNITARIO-0.1</x:v>
      </x:c>
    </x:row>
    <x:row r="51" ht="44" customHeight="1">
      <x:c r="A51" s="21" t="str">
        <x:v>P15</x:v>
      </x:c>
      <x:c r="B51" s="21" t="str">
        <x:v>PAR-CYB-OTRO-CAMBIO-UNITARIO-REQUERIDO-001</x:v>
      </x:c>
      <x:c r="C51" s="21" t="str">
        <x:v>observables</x:v>
      </x:c>
      <x:c r="D51" s="21" t="str">
        <x:v>Regla versionada, activo/componente/actualización, condición de aplicación resuelta, acción indivisible con objetivo y criterio terminal; excluye reinicio del sistema y de software ya propiedad de P01/P04.</x:v>
      </x:c>
    </x:row>
    <x:row r="52" ht="44" customHeight="1">
      <x:c r="A52" s="21" t="str">
        <x:v>P15</x:v>
      </x:c>
      <x:c r="B52" s="21" t="str">
        <x:v>PAR-CYB-OTRO-CAMBIO-UNITARIO-REQUERIDO-001</x:v>
      </x:c>
      <x:c r="C52" s="21" t="str">
        <x:v>regla</x:v>
      </x:c>
      <x:c r="D52" s="21" t="str">
        <x:v>Regla aplicable exige acción → 1; declara expresamente que no la exige → 0; evidencia admitida ausente/contradictoria → U. Condición de aplicación no resuelta bloquea el perfil; no equivale a 0.</x:v>
      </x:c>
    </x:row>
    <x:row r="53" ht="44" customHeight="1">
      <x:c r="A53" s="21" t="str">
        <x:v>P15</x:v>
      </x:c>
      <x:c r="B53" s="21" t="str">
        <x:v>PAR-CYB-OTRO-CAMBIO-UNITARIO-REQUERIDO-001</x:v>
      </x:c>
      <x:c r="C53" s="21" t="str">
        <x:v>causas_u</x:v>
      </x:c>
      <x:c r="D53" s="21" t="str">
        <x:v>U_REQUISITO_NO_DOCUMENTADO; U_CONFLICTO. Regla no adoptada: configuración pendiente. Acción con efectos separables sin descomposición: no adjudicada, no Tri.</x:v>
      </x:c>
    </x:row>
    <x:row r="54" ht="44" customHeight="1">
      <x:c r="A54" s="21" t="str">
        <x:v>P15</x:v>
      </x:c>
      <x:c r="B54" s="21" t="str">
        <x:v>PAR-CYB-OTRO-CAMBIO-UNITARIO-REQUERIDO-001</x:v>
      </x:c>
      <x:c r="C54" s="21" t="str">
        <x:v>consecuencia</x:v>
      </x:c>
      <x:c r="D54" s="21" t="str">
        <x:v>C15: un instalador puede exigir configurar, redesplegar o realizar otra acción además del reinicio. Omitir esa obligación puede confundir aplicación del paquete con corrección efectiva.</x:v>
      </x:c>
    </x:row>
    <x:row r="55" ht="43" customHeight="1">
      <x:c r="A55" s="21" t="str">
        <x:v>P15</x:v>
      </x:c>
      <x:c r="B55" s="21" t="str">
        <x:v>PAR-CYB-OTRO-CAMBIO-UNITARIO-REQUERIDO-001</x:v>
      </x:c>
      <x:c r="C55" s="21" t="str">
        <x:v>exceso</x:v>
      </x:c>
      <x:c r="D55" s="21" t="str">
        <x:v>No impone todos los ejemplos de NIST a todas las instalaciones. No realiza el cambio ni autoriza al consejero a ejecutarlo.</x:v>
      </x:c>
    </x:row>
    <x:row r="56" ht="44" customHeight="1">
      <x:c r="A56" s="21" t="str">
        <x:v>P15</x:v>
      </x:c>
      <x:c r="B56" s="21" t="str">
        <x:v>PAR-CYB-OTRO-CAMBIO-UNITARIO-REQUERIDO-001</x:v>
      </x:c>
      <x:c r="C56" s="21" t="str">
        <x:v>independencia</x:v>
      </x:c>
      <x:c r="D56" s="21" t="str">
        <x:v>P01=0/P04=0 tanto con configuración adicional requerida como sin ella; P15 informa obligación, P12/P13/P07 informan estado o comprobación de cumplimiento.</x:v>
      </x:c>
    </x:row>
    <x:row r="57" ht="44" customHeight="1">
      <x:c r="A57" s="21" t="str">
        <x:v>P15</x:v>
      </x:c>
      <x:c r="B57" s="21" t="str">
        <x:v>PAR-CYB-OTRO-CAMBIO-UNITARIO-REQUERIDO-001</x:v>
      </x:c>
      <x:c r="C57" s="21" t="str">
        <x:v>particion</x:v>
      </x:c>
      <x:c r="D57" s="21" t="str">
        <x:v>Esquema de predicado para una acción ya individualizada, no bolsa de acciones. Un redespliegue completo suele ser compuesto: sus requisitos elementales deben enumerarse antes de usar P15.</x:v>
      </x:c>
    </x:row>
    <x:row r="58" ht="43" customHeight="1">
      <x:c r="A58" s="21" t="str">
        <x:v>P15</x:v>
      </x:c>
      <x:c r="B58" s="21" t="str">
        <x:v>PAR-CYB-OTRO-CAMBIO-UNITARIO-REQUERIDO-001</x:v>
      </x:c>
      <x:c r="C58" s="21" t="str">
        <x:v>fuentes</x:v>
      </x:c>
      <x:c r="D58" s="21" t="str">
        <x:v>R025; R028; R035 IV.9; T001 §2.3.2</x:v>
      </x:c>
    </x:row>
    <x:row r="59" ht="44" customHeight="1">
      <x:c r="A59" s="21" t="str">
        <x:v>P15</x:v>
      </x:c>
      <x:c r="B59" s="21" t="str">
        <x:v>PAR-CYB-OTRO-CAMBIO-UNITARIO-REQUERIDO-001</x:v>
      </x:c>
      <x:c r="C59" s="21" t="str">
        <x:v>limite</x:v>
      </x:c>
      <x:c r="D59" s="21" t="str">
        <x:v>No convierte un verbo genérico en átomo de ejecución. P15 sólo requisito; el cumplimiento se reconstruye con testigos de estado y P07 para cada criterio unitario.</x:v>
      </x:c>
    </x:row>
  </x:sheetData>
  <x:mergeCells>
    <x:mergeCell ref="A1:D1"/>
    <x:mergeCell ref="A2:D2"/>
  </x:mergeCells>
  <x:pageMargins left="0.7" right="0.7" top="0.75" bottom="0.75" header="0.3" footer="0.3"/>
  <x:tableParts count="1">
    <x:tablePart xmlns:r="http://schemas.openxmlformats.org/officeDocument/2006/relationships" r:id="R3129d7501dff42ee"/>
  </x:tableParts>
</x:worksheet>
</file>

<file path=xl/worksheets/sheet60.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4" hidden="0" customWidth="1"/>
    <x:col min="2" max="2" width="56" hidden="0" customWidth="1"/>
    <x:col min="3" max="3" width="34" hidden="0" customWidth="1"/>
    <x:col min="4" max="4" width="84" hidden="0" customWidth="1"/>
    <x:col min="5" max="5" width="52" hidden="0" customWidth="1"/>
    <x:col min="6" max="6" width="106" hidden="0" customWidth="1"/>
  </x:cols>
  <x:sheetData>
    <x:row r="1" ht="34" customHeight="1">
      <x:c r="A1" s="23" t="str">
        <x:v>Q0 · correspondencia terminal del inventario</x:v>
      </x:c>
      <x:c r="B1" s="23"/>
      <x:c r="C1" s="23"/>
      <x:c r="D1" s="23"/>
      <x:c r="E1" s="23"/>
      <x:c r="F1" s="23"/>
    </x:row>
    <x:row r="2" ht="57" customHeight="1">
      <x:c r="A2" s="24" t="str">
        <x:v>Nueve raíces / 31 distinciones. Los compuestos se cierran como contratos finitos con límites; no como nuevos átomos.</x:v>
      </x:c>
      <x:c r="B2" s="24"/>
      <x:c r="C2" s="24"/>
      <x:c r="D2" s="24"/>
      <x:c r="E2" s="24"/>
      <x:c r="F2" s="24"/>
    </x:row>
    <x:row r="3">
      <x:c r="A3" s="21"/>
      <x:c r="B3" s="21"/>
      <x:c r="C3" s="21"/>
      <x:c r="D3" s="21"/>
      <x:c r="E3" s="21"/>
      <x:c r="F3" s="21"/>
    </x:row>
    <x:row r="4" ht="48" customHeight="1">
      <x:c r="A4" s="26" t="str">
        <x:v>Distinción</x:v>
      </x:c>
      <x:c r="B4" s="26" t="str">
        <x:v>Referencias</x:v>
      </x:c>
      <x:c r="C4" s="26" t="str">
        <x:v>Estatuto</x:v>
      </x:c>
      <x:c r="D4" s="26" t="str">
        <x:v>Resolución documental</x:v>
      </x:c>
      <x:c r="E4" s="26" t="str">
        <x:v>Terminación</x:v>
      </x:c>
      <x:c r="F4" s="26" t="str">
        <x:v>Dependencia que bloquea capacidad</x:v>
      </x:c>
    </x:row>
    <x:row r="5" ht="44" customHeight="1">
      <x:c r="A5" s="21" t="str">
        <x:v>QCY-01-D1</x:v>
      </x:c>
      <x:c r="B5" s="21" t="str">
        <x:v>C01</x:v>
      </x:c>
      <x:c r="C5" s="21" t="str">
        <x:v>CONTEXTUAL</x:v>
      </x:c>
      <x:c r="D5" s="21" t="str">
        <x:v>Activo y ámbito inequívocos</x:v>
      </x:c>
      <x:c r="E5" s="21" t="str">
        <x:v>TRATADA_EN_CONTRATO_DOCUMENTAL</x:v>
      </x:c>
      <x:c r="F5" s="21" t="str">
        <x:v>D-CYB-01: instanciación y evidencia del episodio; D-CYB-02/03: arquitectura y ejecución SV no acreditadas.</x:v>
      </x:c>
    </x:row>
    <x:row r="6" ht="44" customHeight="1">
      <x:c r="A6" s="21" t="str">
        <x:v>QCY-01-D2</x:v>
      </x:c>
      <x:c r="B6" s="21" t="str">
        <x:v>C01,C05</x:v>
      </x:c>
      <x:c r="C6" s="21" t="str">
        <x:v>CONTEXTUAL</x:v>
      </x:c>
      <x:c r="D6" s="21" t="str">
        <x:v>Componente, configuración y consumidores enumerados</x:v>
      </x:c>
      <x:c r="E6" s="21" t="str">
        <x:v>TRATADA_EN_CONTRATO_DOCUMENTAL</x:v>
      </x:c>
      <x:c r="F6" s="21" t="str">
        <x:v>D-CYB-01: instanciación y evidencia del episodio; D-CYB-02/03: arquitectura y ejecución SV no acreditadas.</x:v>
      </x:c>
    </x:row>
    <x:row r="7" ht="44" customHeight="1">
      <x:c r="A7" s="21" t="str">
        <x:v>QCY-01-D3</x:v>
      </x:c>
      <x:c r="B7" s="21" t="str">
        <x:v>C01,C14</x:v>
      </x:c>
      <x:c r="C7" s="21" t="str">
        <x:v>CONTEXTUAL</x:v>
      </x:c>
      <x:c r="D7" s="21" t="str">
        <x:v>Vulnerabilidad y referencia congelada</x:v>
      </x:c>
      <x:c r="E7" s="21" t="str">
        <x:v>TRATADA_EN_CONTRATO_DOCUMENTAL</x:v>
      </x:c>
      <x:c r="F7" s="21" t="str">
        <x:v>D-CYB-01: instanciación y evidencia del episodio; D-CYB-02/03: arquitectura y ejecución SV no acreditadas.</x:v>
      </x:c>
    </x:row>
    <x:row r="8" ht="44" customHeight="1">
      <x:c r="A8" s="21" t="str">
        <x:v>QCY-01-D4</x:v>
      </x:c>
      <x:c r="B8" s="21" t="str">
        <x:v>C01</x:v>
      </x:c>
      <x:c r="C8" s="21" t="str">
        <x:v>CONTROL_COMPUESTO</x:v>
      </x:c>
      <x:c r="D8" s="21" t="str">
        <x:v>Aplicabilidad resuelta por regla específica</x:v>
      </x:c>
      <x:c r="E8" s="21" t="str">
        <x:v>TRATADA_EN_CONTRATO_DOCUMENTAL</x:v>
      </x:c>
      <x:c r="F8" s="21" t="str">
        <x:v>D-CYB-01: instanciación y evidencia del episodio; D-CYB-02/03: arquitectura y ejecución SV no acreditadas.</x:v>
      </x:c>
    </x:row>
    <x:row r="9" ht="44" customHeight="1">
      <x:c r="A9" s="21" t="str">
        <x:v>QCY-02-D1</x:v>
      </x:c>
      <x:c r="B9" s="21" t="str">
        <x:v>C02,C03</x:v>
      </x:c>
      <x:c r="C9" s="21" t="str">
        <x:v>CONTEXTUAL</x:v>
      </x:c>
      <x:c r="D9" s="21" t="str">
        <x:v>Episodio individual y corte</x:v>
      </x:c>
      <x:c r="E9" s="21" t="str">
        <x:v>TRATADA_EN_CONTRATO_DOCUMENTAL</x:v>
      </x:c>
      <x:c r="F9" s="21" t="str">
        <x:v>D-CYB-01: instanciación y evidencia del episodio; D-CYB-02/03: arquitectura y ejecución SV no acreditadas.</x:v>
      </x:c>
    </x:row>
    <x:row r="10" ht="44" customHeight="1">
      <x:c r="A10" s="21" t="str">
        <x:v>QCY-02-D2</x:v>
      </x:c>
      <x:c r="B10" s="21" t="str">
        <x:v>C02</x:v>
      </x:c>
      <x:c r="C10" s="21" t="str">
        <x:v>CONTROL</x:v>
      </x:c>
      <x:c r="D10" s="21" t="str">
        <x:v>Integridad no sustituye procedencia</x:v>
      </x:c>
      <x:c r="E10" s="21" t="str">
        <x:v>TRATADA_EN_CONTRATO_DOCUMENTAL</x:v>
      </x:c>
      <x:c r="F10" s="21" t="str">
        <x:v>D-CYB-01: instanciación y evidencia del episodio; D-CYB-02/03: arquitectura y ejecución SV no acreditadas.</x:v>
      </x:c>
    </x:row>
    <x:row r="11" ht="44" customHeight="1">
      <x:c r="A11" s="21" t="str">
        <x:v>QCY-02-D3</x:v>
      </x:c>
      <x:c r="B11" s="21" t="str">
        <x:v>C02,C14</x:v>
      </x:c>
      <x:c r="C11" s="21" t="str">
        <x:v>CONTROL</x:v>
      </x:c>
      <x:c r="D11" s="21" t="str">
        <x:v>Admisión humana y de origen diferenciadas</x:v>
      </x:c>
      <x:c r="E11" s="21" t="str">
        <x:v>TRATADA_EN_CONTRATO_DOCUMENTAL</x:v>
      </x:c>
      <x:c r="F11" s="21" t="str">
        <x:v>D-CYB-01: instanciación y evidencia del episodio; D-CYB-02/03: arquitectura y ejecución SV no acreditadas.</x:v>
      </x:c>
    </x:row>
    <x:row r="12" ht="44" customHeight="1">
      <x:c r="A12" s="21" t="str">
        <x:v>QCY-03-D1</x:v>
      </x:c>
      <x:c r="B12" s="21" t="str">
        <x:v>C03</x:v>
      </x:c>
      <x:c r="C12" s="21" t="str">
        <x:v>CONTEXTUAL</x:v>
      </x:c>
      <x:c r="D12" s="21" t="str">
        <x:v>Operación individual conservada</x:v>
      </x:c>
      <x:c r="E12" s="21" t="str">
        <x:v>TRATADA_EN_CONTRATO_DOCUMENTAL</x:v>
      </x:c>
      <x:c r="F12" s="21" t="str">
        <x:v>D-CYB-01: instanciación y evidencia del episodio; D-CYB-02/03: arquitectura y ejecución SV no acreditadas.</x:v>
      </x:c>
    </x:row>
    <x:row r="13" ht="44" customHeight="1">
      <x:c r="A13" s="21" t="str">
        <x:v>QCY-03-D2</x:v>
      </x:c>
      <x:c r="B13" s="21" t="str">
        <x:v>P02,C03</x:v>
      </x:c>
      <x:c r="C13" s="21" t="str">
        <x:v>PARAMETRO</x:v>
      </x:c>
      <x:c r="D13" s="21" t="str">
        <x:v>Éxito comunicado</x:v>
      </x:c>
      <x:c r="E13" s="21" t="str">
        <x:v>TRATADA_EN_CONTRATO_DOCUMENTAL</x:v>
      </x:c>
      <x:c r="F13" s="21" t="str">
        <x:v>D-CYB-01: instanciación y evidencia del episodio; D-CYB-02/03: arquitectura y ejecución SV no acreditadas.</x:v>
      </x:c>
    </x:row>
    <x:row r="14" ht="44" customHeight="1">
      <x:c r="A14" s="21" t="str">
        <x:v>QCY-03-D3</x:v>
      </x:c>
      <x:c r="B14" s="21" t="str">
        <x:v>C03</x:v>
      </x:c>
      <x:c r="C14" s="21" t="str">
        <x:v>CONTEXTUAL</x:v>
      </x:c>
      <x:c r="D14" s="21" t="str">
        <x:v>Errores preservados e interpretables</x:v>
      </x:c>
      <x:c r="E14" s="21" t="str">
        <x:v>TRATADA_EN_CONTRATO_DOCUMENTAL</x:v>
      </x:c>
      <x:c r="F14" s="21" t="str">
        <x:v>D-CYB-01: instanciación y evidencia del episodio; D-CYB-02/03: arquitectura y ejecución SV no acreditadas.</x:v>
      </x:c>
    </x:row>
    <x:row r="15" ht="44" customHeight="1">
      <x:c r="A15" s="21" t="str">
        <x:v>QCY-04-D1</x:v>
      </x:c>
      <x:c r="B15" s="21" t="str">
        <x:v>P01</x:v>
      </x:c>
      <x:c r="C15" s="21" t="str">
        <x:v>PARAMETRO</x:v>
      </x:c>
      <x:c r="D15" s="21" t="str">
        <x:v>Requisito histórico en perfil</x:v>
      </x:c>
      <x:c r="E15" s="21" t="str">
        <x:v>TRATADA_EN_CONTRATO_DOCUMENTAL</x:v>
      </x:c>
      <x:c r="F15" s="21" t="str">
        <x:v>D-CYB-01: instanciación y evidencia del episodio; D-CYB-02/03: arquitectura y ejecución SV no acreditadas.</x:v>
      </x:c>
    </x:row>
    <x:row r="16" ht="44" customHeight="1">
      <x:c r="A16" s="21" t="str">
        <x:v>QCY-04-D2</x:v>
      </x:c>
      <x:c r="B16" s="21" t="str">
        <x:v>P03</x:v>
      </x:c>
      <x:c r="C16" s="21" t="str">
        <x:v>PARAMETRO</x:v>
      </x:c>
      <x:c r="D16" s="21" t="str">
        <x:v>Reinicio íntegro posterior</x:v>
      </x:c>
      <x:c r="E16" s="21" t="str">
        <x:v>TRATADA_EN_CONTRATO_DOCUMENTAL</x:v>
      </x:c>
      <x:c r="F16" s="21" t="str">
        <x:v>D-CYB-01: instanciación y evidencia del episodio; D-CYB-02/03: arquitectura y ejecución SV no acreditadas.</x:v>
      </x:c>
    </x:row>
    <x:row r="17" ht="44" customHeight="1">
      <x:c r="A17" s="21" t="str">
        <x:v>QCY-04-D3</x:v>
      </x:c>
      <x:c r="B17" s="21" t="str">
        <x:v>P04,P15,C04</x:v>
      </x:c>
      <x:c r="C17" s="21" t="str">
        <x:v>COMPUESTO_ACOTADO</x:v>
      </x:c>
      <x:c r="D17" s="21" t="str">
        <x:v>Obligaciones del software y otras individualizadas</x:v>
      </x:c>
      <x:c r="E17" s="21" t="str">
        <x:v>TRATADA_EN_CONTRATO_DOCUMENTAL</x:v>
      </x:c>
      <x:c r="F17" s="21" t="str">
        <x:v>D-CYB-01: instanciación y evidencia del episodio; D-CYB-02/03: arquitectura y ejecución SV no acreditadas.</x:v>
      </x:c>
    </x:row>
    <x:row r="18" ht="44" customHeight="1">
      <x:c r="A18" s="21" t="str">
        <x:v>QCY-04-D4</x:v>
      </x:c>
      <x:c r="B18" s="21" t="str">
        <x:v>P05,P11,P06,P12,P13,P07,C04,C05</x:v>
      </x:c>
      <x:c r="C18" s="21" t="str">
        <x:v>COMPUESTO_ACOTADO</x:v>
      </x:c>
      <x:c r="D18" s="21" t="str">
        <x:v>Cumplimiento por estado, generación y criterio unitario</x:v>
      </x:c>
      <x:c r="E18" s="21" t="str">
        <x:v>TRATADA_EN_CONTRATO_DOCUMENTAL</x:v>
      </x:c>
      <x:c r="F18" s="21" t="str">
        <x:v>D-CYB-01: instanciación y evidencia del episodio; D-CYB-02/03: arquitectura y ejecución SV no acreditadas.</x:v>
      </x:c>
    </x:row>
    <x:row r="19" ht="44" customHeight="1">
      <x:c r="A19" s="21" t="str">
        <x:v>QCY-05-D1</x:v>
      </x:c>
      <x:c r="B19" s="21" t="str">
        <x:v>C06</x:v>
      </x:c>
      <x:c r="C19" s="21" t="str">
        <x:v>CONTROL</x:v>
      </x:c>
      <x:c r="D19" s="21" t="str">
        <x:v>Criterio y sensibilidad propios</x:v>
      </x:c>
      <x:c r="E19" s="21" t="str">
        <x:v>TRATADA_EN_CONTRATO_DOCUMENTAL</x:v>
      </x:c>
      <x:c r="F19" s="21" t="str">
        <x:v>D-CYB-01: instanciación y evidencia del episodio; D-CYB-02/03: arquitectura y ejecución SV no acreditadas.</x:v>
      </x:c>
    </x:row>
    <x:row r="20" ht="44" customHeight="1">
      <x:c r="A20" s="21" t="str">
        <x:v>QCY-05-D2</x:v>
      </x:c>
      <x:c r="B20" s="21" t="str">
        <x:v>P06,P12,P13,C05</x:v>
      </x:c>
      <x:c r="C20" s="21" t="str">
        <x:v>COMPUESTO_ACOTADO</x:v>
      </x:c>
      <x:c r="D20" s="21" t="str">
        <x:v>Memoria, valor efectivo y persistencia separados</x:v>
      </x:c>
      <x:c r="E20" s="21" t="str">
        <x:v>TRATADA_EN_CONTRATO_DOCUMENTAL</x:v>
      </x:c>
      <x:c r="F20" s="21" t="str">
        <x:v>D-CYB-01: instanciación y evidencia del episodio; D-CYB-02/03: arquitectura y ejecución SV no acreditadas.</x:v>
      </x:c>
    </x:row>
    <x:row r="21" ht="44" customHeight="1">
      <x:c r="A21" s="21" t="str">
        <x:v>QCY-05-D3</x:v>
      </x:c>
      <x:c r="B21" s="21" t="str">
        <x:v>P07,C06</x:v>
      </x:c>
      <x:c r="C21" s="21" t="str">
        <x:v>PARAMETRO_Y_CONTROL</x:v>
      </x:c>
      <x:c r="D21" s="21" t="str">
        <x:v>Resultado no sustituye cualificación de la prueba</x:v>
      </x:c>
      <x:c r="E21" s="21" t="str">
        <x:v>TRATADA_EN_CONTRATO_DOCUMENTAL</x:v>
      </x:c>
      <x:c r="F21" s="21" t="str">
        <x:v>D-CYB-01: instanciación y evidencia del episodio; D-CYB-02/03: arquitectura y ejecución SV no acreditadas.</x:v>
      </x:c>
    </x:row>
    <x:row r="22" ht="44" customHeight="1">
      <x:c r="A22" s="21" t="str">
        <x:v>QCY-06-D1</x:v>
      </x:c>
      <x:c r="B22" s="21" t="str">
        <x:v>C05</x:v>
      </x:c>
      <x:c r="C22" s="21" t="str">
        <x:v>CONTEXTUAL</x:v>
      </x:c>
      <x:c r="D22" s="21" t="str">
        <x:v>Servicio y consumidores</x:v>
      </x:c>
      <x:c r="E22" s="21" t="str">
        <x:v>TRATADA_EN_CONTRATO_DOCUMENTAL</x:v>
      </x:c>
      <x:c r="F22" s="21" t="str">
        <x:v>D-CYB-01: instanciación y evidencia del episodio; D-CYB-02/03: arquitectura y ejecución SV no acreditadas.</x:v>
      </x:c>
    </x:row>
    <x:row r="23" ht="44" customHeight="1">
      <x:c r="A23" s="21" t="str">
        <x:v>QCY-06-D2</x:v>
      </x:c>
      <x:c r="B23" s="21" t="str">
        <x:v>C05</x:v>
      </x:c>
      <x:c r="C23" s="21" t="str">
        <x:v>CONTROL</x:v>
      </x:c>
      <x:c r="D23" s="21" t="str">
        <x:v>Cierre de dependencias y fronteras</x:v>
      </x:c>
      <x:c r="E23" s="21" t="str">
        <x:v>TRATADA_EN_CONTRATO_DOCUMENTAL</x:v>
      </x:c>
      <x:c r="F23" s="21" t="str">
        <x:v>D-CYB-01: instanciación y evidencia del episodio; D-CYB-02/03: arquitectura y ejecución SV no acreditadas.</x:v>
      </x:c>
    </x:row>
    <x:row r="24" ht="44" customHeight="1">
      <x:c r="A24" s="21" t="str">
        <x:v>QCY-06-D3</x:v>
      </x:c>
      <x:c r="B24" s="21" t="str">
        <x:v>C08</x:v>
      </x:c>
      <x:c r="C24" s="21" t="str">
        <x:v>CONTEXTO_Y_JUICIO</x:v>
      </x:c>
      <x:c r="D24" s="21" t="str">
        <x:v>Impactos sin falsa cuantificación</x:v>
      </x:c>
      <x:c r="E24" s="21" t="str">
        <x:v>TRATADA_EN_CONTRATO_DOCUMENTAL</x:v>
      </x:c>
      <x:c r="F24" s="21" t="str">
        <x:v>D-CYB-01: instanciación y evidencia del episodio; D-CYB-02/03: arquitectura y ejecución SV no acreditadas.</x:v>
      </x:c>
    </x:row>
    <x:row r="25" ht="44" customHeight="1">
      <x:c r="A25" s="21" t="str">
        <x:v>QCY-07-D1</x:v>
      </x:c>
      <x:c r="B25" s="21" t="str">
        <x:v>C09</x:v>
      </x:c>
      <x:c r="C25" s="21" t="str">
        <x:v>CONTEXTO_Y_JUICIO</x:v>
      </x:c>
      <x:c r="D25" s="21" t="str">
        <x:v>Alternativas sin falsa corrección</x:v>
      </x:c>
      <x:c r="E25" s="21" t="str">
        <x:v>TRATADA_EN_CONTRATO_DOCUMENTAL</x:v>
      </x:c>
      <x:c r="F25" s="21" t="str">
        <x:v>D-CYB-01: instanciación y evidencia del episodio; D-CYB-02/03: arquitectura y ejecución SV no acreditadas.</x:v>
      </x:c>
    </x:row>
    <x:row r="26" ht="44" customHeight="1">
      <x:c r="A26" s="21" t="str">
        <x:v>QCY-07-D2</x:v>
      </x:c>
      <x:c r="B26" s="21" t="str">
        <x:v>C10</x:v>
      </x:c>
      <x:c r="C26" s="21" t="str">
        <x:v>CONTROL</x:v>
      </x:c>
      <x:c r="D26" s="21" t="str">
        <x:v>Ventana, duración y recuperación</x:v>
      </x:c>
      <x:c r="E26" s="21" t="str">
        <x:v>TRATADA_EN_CONTRATO_DOCUMENTAL</x:v>
      </x:c>
      <x:c r="F26" s="21" t="str">
        <x:v>D-CYB-01: instanciación y evidencia del episodio; D-CYB-02/03: arquitectura y ejecución SV no acreditadas.</x:v>
      </x:c>
    </x:row>
    <x:row r="27" ht="44" customHeight="1">
      <x:c r="A27" s="21" t="str">
        <x:v>QCY-07-D3</x:v>
      </x:c>
      <x:c r="B27" s="21" t="str">
        <x:v>C11</x:v>
      </x:c>
      <x:c r="C27" s="21" t="str">
        <x:v>CONTROL_HUMANO</x:v>
      </x:c>
      <x:c r="D27" s="21" t="str">
        <x:v>Permiso concreto independiente del consejo</x:v>
      </x:c>
      <x:c r="E27" s="21" t="str">
        <x:v>TRATADA_EN_CONTRATO_DOCUMENTAL</x:v>
      </x:c>
      <x:c r="F27" s="21" t="str">
        <x:v>D-CYB-01: instanciación y evidencia del episodio; D-CYB-02/03: arquitectura y ejecución SV no acreditadas.</x:v>
      </x:c>
    </x:row>
    <x:row r="28" ht="44" customHeight="1">
      <x:c r="A28" s="21" t="str">
        <x:v>QCY-07-D4</x:v>
      </x:c>
      <x:c r="B28" s="21" t="str">
        <x:v>C12</x:v>
      </x:c>
      <x:c r="C28" s="21" t="str">
        <x:v>CONTEXTO_Y_JUICIO</x:v>
      </x:c>
      <x:c r="D28" s="21" t="str">
        <x:v>Proporcionalidad sobre valor protegido</x:v>
      </x:c>
      <x:c r="E28" s="21" t="str">
        <x:v>TRATADA_EN_CONTRATO_DOCUMENTAL</x:v>
      </x:c>
      <x:c r="F28" s="21" t="str">
        <x:v>D-CYB-01: instanciación y evidencia del episodio; D-CYB-02/03: arquitectura y ejecución SV no acreditadas.</x:v>
      </x:c>
    </x:row>
    <x:row r="29" ht="44" customHeight="1">
      <x:c r="A29" s="21" t="str">
        <x:v>QCY-08-D1</x:v>
      </x:c>
      <x:c r="B29" s="21" t="str">
        <x:v>P08,P06,P12,P13,C07</x:v>
      </x:c>
      <x:c r="C29" s="21" t="str">
        <x:v>COMPUESTO_ACOTADO</x:v>
      </x:c>
      <x:c r="D29" s="21" t="str">
        <x:v>Retirada comunicada y otras reversiones por estado</x:v>
      </x:c>
      <x:c r="E29" s="21" t="str">
        <x:v>TRATADA_EN_CONTRATO_DOCUMENTAL</x:v>
      </x:c>
      <x:c r="F29" s="21" t="str">
        <x:v>D-CYB-01: instanciación y evidencia del episodio; D-CYB-02/03: arquitectura y ejecución SV no acreditadas.</x:v>
      </x:c>
    </x:row>
    <x:row r="30" ht="44" customHeight="1">
      <x:c r="A30" s="21" t="str">
        <x:v>QCY-08-D2</x:v>
      </x:c>
      <x:c r="B30" s="21" t="str">
        <x:v>P09,P14,C07</x:v>
      </x:c>
      <x:c r="C30" s="21" t="str">
        <x:v>COMPUESTO_ACOTADO</x:v>
      </x:c>
      <x:c r="D30" s="21" t="str">
        <x:v>Historia binaria y de configuración</x:v>
      </x:c>
      <x:c r="E30" s="21" t="str">
        <x:v>TRATADA_EN_CONTRATO_DOCUMENTAL</x:v>
      </x:c>
      <x:c r="F30" s="21" t="str">
        <x:v>D-CYB-01: instanciación y evidencia del episodio; D-CYB-02/03: arquitectura y ejecución SV no acreditadas.</x:v>
      </x:c>
    </x:row>
    <x:row r="31" ht="44" customHeight="1">
      <x:c r="A31" s="21" t="str">
        <x:v>QCY-08-D3</x:v>
      </x:c>
      <x:c r="B31" s="21" t="str">
        <x:v>P10,C07</x:v>
      </x:c>
      <x:c r="C31" s="21" t="str">
        <x:v>PARAMETRO_Y_CONTROL</x:v>
      </x:c>
      <x:c r="D31" s="21" t="str">
        <x:v>Restauración comunicada y alcance afectado</x:v>
      </x:c>
      <x:c r="E31" s="21" t="str">
        <x:v>TRATADA_EN_CONTRATO_DOCUMENTAL</x:v>
      </x:c>
      <x:c r="F31" s="21" t="str">
        <x:v>D-CYB-01: instanciación y evidencia del episodio; D-CYB-02/03: arquitectura y ejecución SV no acreditadas.</x:v>
      </x:c>
    </x:row>
    <x:row r="32" ht="44" customHeight="1">
      <x:c r="A32" s="21" t="str">
        <x:v>QCY-09-D1</x:v>
      </x:c>
      <x:c r="B32" s="21" t="str">
        <x:v>C05</x:v>
      </x:c>
      <x:c r="C32" s="21" t="str">
        <x:v>CONTROL</x:v>
      </x:c>
      <x:c r="D32" s="21" t="str">
        <x:v>Cobertura de sujetos y dependencias</x:v>
      </x:c>
      <x:c r="E32" s="21" t="str">
        <x:v>TRATADA_EN_CONTRATO_DOCUMENTAL</x:v>
      </x:c>
      <x:c r="F32" s="21" t="str">
        <x:v>D-CYB-01: instanciación y evidencia del episodio; D-CYB-02/03: arquitectura y ejecución SV no acreditadas.</x:v>
      </x:c>
    </x:row>
    <x:row r="33" ht="44" customHeight="1">
      <x:c r="A33" s="21" t="str">
        <x:v>QCY-09-D2</x:v>
      </x:c>
      <x:c r="B33" s="21" t="str">
        <x:v>C13</x:v>
      </x:c>
      <x:c r="C33" s="21" t="str">
        <x:v>CONTROL</x:v>
      </x:c>
      <x:c r="D33" s="21" t="str">
        <x:v>Incertidumbres no ocultadas</x:v>
      </x:c>
      <x:c r="E33" s="21" t="str">
        <x:v>TRATADA_EN_CONTRATO_DOCUMENTAL</x:v>
      </x:c>
      <x:c r="F33" s="21" t="str">
        <x:v>D-CYB-01: instanciación y evidencia del episodio; D-CYB-02/03: arquitectura y ejecución SV no acreditadas.</x:v>
      </x:c>
    </x:row>
    <x:row r="34" ht="44" customHeight="1">
      <x:c r="A34" s="21" t="str">
        <x:v>QCY-09-D3</x:v>
      </x:c>
      <x:c r="B34" s="21" t="str">
        <x:v>C13,C14</x:v>
      </x:c>
      <x:c r="C34" s="21" t="str">
        <x:v>CONTROL</x:v>
      </x:c>
      <x:c r="D34" s="21" t="str">
        <x:v>Justificación reproducible y gobernada</x:v>
      </x:c>
      <x:c r="E34" s="21" t="str">
        <x:v>TRATADA_EN_CONTRATO_DOCUMENTAL</x:v>
      </x:c>
      <x:c r="F34" s="21" t="str">
        <x:v>D-CYB-01: instanciación y evidencia del episodio; D-CYB-02/03: arquitectura y ejecución SV no acreditadas.</x:v>
      </x:c>
    </x:row>
    <x:row r="35" ht="44" customHeight="1">
      <x:c r="A35" s="21" t="str">
        <x:v>QCY-09-D4</x:v>
      </x:c>
      <x:c r="B35" s="21" t="str">
        <x:v>C11</x:v>
      </x:c>
      <x:c r="C35" s="21" t="str">
        <x:v>CONTROL_HUMANO</x:v>
      </x:c>
      <x:c r="D35" s="21" t="str">
        <x:v>Destinatario responsable inequívoco</x:v>
      </x:c>
      <x:c r="E35" s="21" t="str">
        <x:v>TRATADA_EN_CONTRATO_DOCUMENTAL</x:v>
      </x:c>
      <x:c r="F35" s="21" t="str">
        <x:v>D-CYB-01: instanciación y evidencia del episodio; D-CYB-02/03: arquitectura y ejecución SV no acreditadas.</x:v>
      </x:c>
    </x:row>
  </x:sheetData>
  <x:mergeCells>
    <x:mergeCell ref="A1:D1"/>
    <x:mergeCell ref="A2:F2"/>
  </x:mergeCells>
  <x:pageMargins left="0.7" right="0.7" top="0.75" bottom="0.75" header="0.3" footer="0.3"/>
  <x:tableParts count="1">
    <x:tablePart xmlns:r="http://schemas.openxmlformats.org/officeDocument/2006/relationships" r:id="R8b54303d44d8433b"/>
  </x:tableParts>
</x:worksheet>
</file>

<file path=xl/worksheets/sheet61.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4" hidden="0" customWidth="1"/>
    <x:col min="2" max="2" width="57" hidden="0" customWidth="1"/>
    <x:col min="3" max="3" width="24" hidden="0" customWidth="1"/>
    <x:col min="4" max="4" width="157" hidden="0" customWidth="1"/>
  </x:cols>
  <x:sheetData>
    <x:row r="1" ht="34" customHeight="1">
      <x:c r="A1" s="23" t="str">
        <x:v>IDENTIDAD, EVIDENCIA Y CONSEJO · catorce contratos</x:v>
      </x:c>
      <x:c r="B1" s="23"/>
      <x:c r="C1" s="23"/>
      <x:c r="D1" s="23"/>
    </x:row>
    <x:row r="2" ht="57" customHeight="1">
      <x:c r="A2" s="24" t="str">
        <x:v>Los controles no se convierten en parámetros. Una etiqueta de aprobación no autentica a un productor ni una autoridad.</x:v>
      </x:c>
      <x:c r="B2" s="24"/>
      <x:c r="C2" s="24"/>
      <x:c r="D2" s="24"/>
    </x:row>
    <x:row r="3">
      <x:c r="A3" s="21"/>
      <x:c r="B3" s="21"/>
      <x:c r="C3" s="21"/>
      <x:c r="D3" s="21"/>
    </x:row>
    <x:row r="4" ht="48" customHeight="1">
      <x:c r="A4" s="26" t="str">
        <x:v>Control</x:v>
      </x:c>
      <x:c r="B4" s="26" t="str">
        <x:v>Nombre</x:v>
      </x:c>
      <x:c r="C4" s="26" t="str">
        <x:v>Apartado</x:v>
      </x:c>
      <x:c r="D4" s="26" t="str">
        <x:v>Contrato y consecuencia</x:v>
      </x:c>
    </x:row>
    <x:row r="5" ht="43" customHeight="1">
      <x:c r="A5" s="21" t="str">
        <x:v>C01</x:v>
      </x:c>
      <x:c r="B5" s="21" t="str">
        <x:v>Identidad y aplicabilidad</x:v>
      </x:c>
      <x:c r="C5" s="21" t="str">
        <x:v>q</x:v>
      </x:c>
      <x:c r="D5" s="21" t="str">
        <x:v>QCY-01-D1,D2,D3,D4</x:v>
      </x:c>
    </x:row>
    <x:row r="6" ht="74" customHeight="1">
      <x:c r="A6" s="21" t="str">
        <x:v>C01</x:v>
      </x:c>
      <x:c r="B6" s="21" t="str">
        <x:v>Identidad y aplicabilidad</x:v>
      </x:c>
      <x:c r="C6" s="21" t="str">
        <x:v>contrato</x:v>
      </x:c>
      <x:c r="D6" s="21" t="str">
        <x:v>Fijar activo estable y entorno/arranque; componente, configuración, vulnerabilidad con estado/versionado, actualización y relación correctora exacta. Evaluar la conjunción de condiciones del aviso del proveedor en este contexto. APLICABLE sólo con todas acreditadas; NO_APLICABLE sólo con refutación suficiente según la lógica de esa regla; desconocido o conflicto → APLICABILIDAD_NO_RESUELTA. Un CVE rechazado activa revisión de referencia, no un valor Tri ni prueba de corrección.</x:v>
      </x:c>
    </x:row>
    <x:row r="7" ht="43" customHeight="1">
      <x:c r="A7" s="21" t="str">
        <x:v>C01</x:v>
      </x:c>
      <x:c r="B7" s="21" t="str">
        <x:v>Identidad y aplicabilidad</x:v>
      </x:c>
      <x:c r="C7" s="21" t="str">
        <x:v>consecuencia</x:v>
      </x:c>
      <x:c r="D7" s="21" t="str">
        <x:v>Identidad nominal o una versión similar puede hacer cerrar el activo equivocado. Sobreincluir exige trabajos sin pertinencia.</x:v>
      </x:c>
    </x:row>
    <x:row r="8" ht="44" customHeight="1">
      <x:c r="A8" s="21" t="str">
        <x:v>C01</x:v>
      </x:c>
      <x:c r="B8" s="21" t="str">
        <x:v>Identidad y aplicabilidad</x:v>
      </x:c>
      <x:c r="C8" s="21" t="str">
        <x:v>prueba</x:v>
      </x:c>
      <x:c r="D8" s="21" t="str">
        <x:v>Mismo nombre con otro activo; aviso para otra arquitectura; condición desconocida; aviso cambiado tras el corte; NO_APLICABLE fundado sin fingir parche aplicado.</x:v>
      </x:c>
    </x:row>
    <x:row r="9" ht="43" customHeight="1">
      <x:c r="A9" s="21" t="str">
        <x:v>C01</x:v>
      </x:c>
      <x:c r="B9" s="21" t="str">
        <x:v>Identidad y aplicabilidad</x:v>
      </x:c>
      <x:c r="C9" s="21" t="str">
        <x:v>fuente</x:v>
      </x:c>
      <x:c r="D9" s="21" t="str">
        <x:v>T001 §2.2/3.2; instrucción §5.4–5.5; R025</x:v>
      </x:c>
    </x:row>
    <x:row r="10" ht="43" customHeight="1">
      <x:c r="A10" s="21" t="str">
        <x:v>C01</x:v>
      </x:c>
      <x:c r="B10" s="21" t="str">
        <x:v>Identidad y aplicabilidad</x:v>
      </x:c>
      <x:c r="C10" s="21" t="str">
        <x:v>responsable</x:v>
      </x:c>
      <x:c r="D10" s="21" t="str">
        <x:v>Experto del activo admite hechos; Dirección admite corte de conocimiento</x:v>
      </x:c>
    </x:row>
    <x:row r="11" ht="43" customHeight="1">
      <x:c r="A11" s="21" t="str">
        <x:v>C02</x:v>
      </x:c>
      <x:c r="B11" s="21" t="str">
        <x:v>Admisión e integridad de evidencia</x:v>
      </x:c>
      <x:c r="C11" s="21" t="str">
        <x:v>q</x:v>
      </x:c>
      <x:c r="D11" s="21" t="str">
        <x:v>QCY-02-D1,D2,D3</x:v>
      </x:c>
    </x:row>
    <x:row r="12" ht="89" customHeight="1">
      <x:c r="A12" s="21" t="str">
        <x:v>C02</x:v>
      </x:c>
      <x:c r="B12" s="21" t="str">
        <x:v>Admisión e integridad de evidencia</x:v>
      </x:c>
      <x:c r="C12" s="21" t="str">
        <x:v>contrato</x:v>
      </x:c>
      <x:c r="D12" s="21" t="str">
        <x:v>Conservar bytes antes de conversión, tamaño y SHA-256; identidad del productor/capturador, método y versión, permisos, activo/episodio, instante y precisión/orden, original y normalización, localizador, custodia y responsable que admite. Comparar hash original/recalculado; comprobar autoridad y ámbito por referencia verificable separada. Digest válido no autentica productor. Claves repetidas, identidades cruzadas, firma no verificada cuando exigida o alteración → NO_ADMITIDA. Captura fallida → FALLO_TECNICO sin salida del dominio. Ausencia declarada dentro de perfil admitido puede dar U.</x:v>
      </x:c>
    </x:row>
    <x:row r="13" ht="43" customHeight="1">
      <x:c r="A13" s="21" t="str">
        <x:v>C02</x:v>
      </x:c>
      <x:c r="B13" s="21" t="str">
        <x:v>Admisión e integridad de evidencia</x:v>
      </x:c>
      <x:c r="C13" s="21" t="str">
        <x:v>consecuencia</x:v>
      </x:c>
      <x:c r="D13" s="21" t="str">
        <x:v>Un fichero íntegro falsamente atribuido puede sustentar un cierre falso; rechazar toda ausencia como fallo oculta incertidumbre válida.</x:v>
      </x:c>
    </x:row>
    <x:row r="14" ht="44" customHeight="1">
      <x:c r="A14" s="21" t="str">
        <x:v>C02</x:v>
      </x:c>
      <x:c r="B14" s="21" t="str">
        <x:v>Admisión e integridad de evidencia</x:v>
      </x:c>
      <x:c r="C14" s="21" t="str">
        <x:v>prueba</x:v>
      </x:c>
      <x:c r="D14" s="21" t="str">
        <x:v>Alteración de un byte; hash rehecho por atacante sin productor autorizado; productor correcto fuera de ámbito; duplicado JSON; entero &gt;2^53 y decimal conservados; fallo no convertido a U.</x:v>
      </x:c>
    </x:row>
    <x:row r="15" ht="43" customHeight="1">
      <x:c r="A15" s="21" t="str">
        <x:v>C02</x:v>
      </x:c>
      <x:c r="B15" s="21" t="str">
        <x:v>Admisión e integridad de evidencia</x:v>
      </x:c>
      <x:c r="C15" s="21" t="str">
        <x:v>fuente</x:v>
      </x:c>
      <x:c r="D15" s="21" t="str">
        <x:v>Instrucción §5.5/7.3/9; T001 §2.3.1; F018 §7.4</x:v>
      </x:c>
    </x:row>
    <x:row r="16" ht="43" customHeight="1">
      <x:c r="A16" s="21" t="str">
        <x:v>C02</x:v>
      </x:c>
      <x:c r="B16" s="21" t="str">
        <x:v>Admisión e integridad de evidencia</x:v>
      </x:c>
      <x:c r="C16" s="21" t="str">
        <x:v>responsable</x:v>
      </x:c>
      <x:c r="D16" s="21" t="str">
        <x:v>Custodio de evidencia y experto; capturador en D-CYB-01</x:v>
      </x:c>
    </x:row>
    <x:row r="17" ht="43" customHeight="1">
      <x:c r="A17" s="21" t="str">
        <x:v>C03</x:v>
      </x:c>
      <x:c r="B17" s="21" t="str">
        <x:v>Operación individual y error</x:v>
      </x:c>
      <x:c r="C17" s="21" t="str">
        <x:v>q</x:v>
      </x:c>
      <x:c r="D17" s="21" t="str">
        <x:v>QCY-03-D1,D3</x:v>
      </x:c>
    </x:row>
    <x:row r="18" ht="59" customHeight="1">
      <x:c r="A18" s="21" t="str">
        <x:v>C03</x:v>
      </x:c>
      <x:c r="B18" s="21" t="str">
        <x:v>Operación individual y error</x:v>
      </x:c>
      <x:c r="C18" s="21" t="str">
        <x:v>contrato</x:v>
      </x:c>
      <x:c r="D18" s="21" t="str">
        <x:v>Preservar colección original de instalación, índice, UpdateIdentity y revisión, host, intento, fin individual, ResultCode y HResult sin colapsarlos. Índice fuera de rango/otra colección → no admisión. Error de instalación es hecho del dominio; error al leer es fallo del observador. P02=0 pide interpretar error y efecto parcial, no afirmar que nada se instaló. No activar P01 fuera de su perfil orcSucceeded.</x:v>
      </x:c>
    </x:row>
    <x:row r="19" ht="43" customHeight="1">
      <x:c r="A19" s="21" t="str">
        <x:v>C03</x:v>
      </x:c>
      <x:c r="B19" s="21" t="str">
        <x:v>Operación individual y error</x:v>
      </x:c>
      <x:c r="C19" s="21" t="str">
        <x:v>consecuencia</x:v>
      </x:c>
      <x:c r="D19" s="21" t="str">
        <x:v>Resultado agregado puede ocultar fallo individual; HResult aislado no sustituye el contrato de resultado.</x:v>
      </x:c>
    </x:row>
    <x:row r="20" ht="43" customHeight="1">
      <x:c r="A20" s="21" t="str">
        <x:v>C03</x:v>
      </x:c>
      <x:c r="B20" s="21" t="str">
        <x:v>Operación individual y error</x:v>
      </x:c>
      <x:c r="C20" s="21" t="str">
        <x:v>prueba</x:v>
      </x:c>
      <x:c r="D20" s="21" t="str">
        <x:v>Colección reordenada; agregado exitoso con elemento fallido; instalación abortada frente a fallo de lectura; P01 fuera de perfil.</x:v>
      </x:c>
    </x:row>
    <x:row r="21" ht="43" customHeight="1">
      <x:c r="A21" s="21" t="str">
        <x:v>C03</x:v>
      </x:c>
      <x:c r="B21" s="21" t="str">
        <x:v>Operación individual y error</x:v>
      </x:c>
      <x:c r="C21" s="21" t="str">
        <x:v>fuente</x:v>
      </x:c>
      <x:c r="D21" s="21" t="str">
        <x:v>T004–T006; R025</x:v>
      </x:c>
    </x:row>
    <x:row r="22" ht="43" customHeight="1">
      <x:c r="A22" s="21" t="str">
        <x:v>C03</x:v>
      </x:c>
      <x:c r="B22" s="21" t="str">
        <x:v>Operación individual y error</x:v>
      </x:c>
      <x:c r="C22" s="21" t="str">
        <x:v>responsable</x:v>
      </x:c>
      <x:c r="D22" s="21" t="str">
        <x:v>Experto de actualización</x:v>
      </x:c>
    </x:row>
    <x:row r="23" ht="43" customHeight="1">
      <x:c r="A23" s="21" t="str">
        <x:v>C04</x:v>
      </x:c>
      <x:c r="B23" s="21" t="str">
        <x:v>Lista finita de requisitos y cumplimiento</x:v>
      </x:c>
      <x:c r="C23" s="21" t="str">
        <x:v>q</x:v>
      </x:c>
      <x:c r="D23" s="21" t="str">
        <x:v>QCY-04-D3,D4</x:v>
      </x:c>
    </x:row>
    <x:row r="24" ht="89" customHeight="1">
      <x:c r="A24" s="21" t="str">
        <x:v>C04</x:v>
      </x:c>
      <x:c r="B24" s="21" t="str">
        <x:v>Lista finita de requisitos y cumplimiento</x:v>
      </x:c>
      <x:c r="C24" s="21" t="str">
        <x:v>contrato</x:v>
      </x:c>
      <x:c r="D24" s="21" t="str">
        <x:v>Antes de dictaminar, enumerar requisitos aplicables desde la regla específica: sistema P01/P03, software P04/P05/P11/P06 y criterio útil P07, otros P15 con obligaciones elementales y sus pruebas. La lista vacía necesita declaración explícita de ausencia de requisitos y cobertura de la instrucción. REQ COMPLETO sólo si cada obligación tiene prueba pertinente y vigente; desconocida mantiene INSUFICIENTE. Redespliegue, cambio de configuración, invalidación de caché o controlador no se equiparan: descomponer por efectos requeridos. Clase no soportada → D-CYB-01, nunca omisión silenciosa.</x:v>
      </x:c>
    </x:row>
    <x:row r="25" ht="44" customHeight="1">
      <x:c r="A25" s="21" t="str">
        <x:v>C04</x:v>
      </x:c>
      <x:c r="B25" s="21" t="str">
        <x:v>Lista finita de requisitos y cumplimiento</x:v>
      </x:c>
      <x:c r="C25" s="21" t="str">
        <x:v>consecuencia</x:v>
      </x:c>
      <x:c r="D25" s="21" t="str">
        <x:v>Terminar padre no termina hijos; crear sustituto no termina inicialización; redesplegar una réplica no actualiza todas. Consejo excesivo: exigir una acción no requerida.</x:v>
      </x:c>
    </x:row>
    <x:row r="26" ht="43" customHeight="1">
      <x:c r="A26" s="21" t="str">
        <x:v>C04</x:v>
      </x:c>
      <x:c r="B26" s="21" t="str">
        <x:v>Lista finita de requisitos y cumplimiento</x:v>
      </x:c>
      <x:c r="C26" s="21" t="str">
        <x:v>prueba</x:v>
      </x:c>
      <x:c r="D26" s="21" t="str">
        <x:v>Padre parado/hijo activo; creación con DLL fallida; dos obligaciones y sólo una satisfecha; lista vacía sin declaración; caché no observada.</x:v>
      </x:c>
    </x:row>
    <x:row r="27" ht="43" customHeight="1">
      <x:c r="A27" s="21" t="str">
        <x:v>C04</x:v>
      </x:c>
      <x:c r="B27" s="21" t="str">
        <x:v>Lista finita de requisitos y cumplimiento</x:v>
      </x:c>
      <x:c r="C27" s="21" t="str">
        <x:v>fuente</x:v>
      </x:c>
      <x:c r="D27" s="21" t="str">
        <x:v>T001 §2.3.2; T009; T014–T016; R025</x:v>
      </x:c>
    </x:row>
    <x:row r="28" ht="43" customHeight="1">
      <x:c r="A28" s="21" t="str">
        <x:v>C04</x:v>
      </x:c>
      <x:c r="B28" s="21" t="str">
        <x:v>Lista finita de requisitos y cumplimiento</x:v>
      </x:c>
      <x:c r="C28" s="21" t="str">
        <x:v>responsable</x:v>
      </x:c>
      <x:c r="D28" s="21" t="str">
        <x:v>Unidad de dominio y experto del producto</x:v>
      </x:c>
    </x:row>
    <x:row r="29" ht="43" customHeight="1">
      <x:c r="A29" s="21" t="str">
        <x:v>C05</x:v>
      </x:c>
      <x:c r="B29" s="21" t="str">
        <x:v>Instancias y dependencias con cierre finito</x:v>
      </x:c>
      <x:c r="C29" s="21" t="str">
        <x:v>q</x:v>
      </x:c>
      <x:c r="D29" s="21" t="str">
        <x:v>QCY-06-D1,D2;QCY-09-D1</x:v>
      </x:c>
    </x:row>
    <x:row r="30" ht="89" customHeight="1">
      <x:c r="A30" s="21" t="str">
        <x:v>C05</x:v>
      </x:c>
      <x:c r="B30" s="21" t="str">
        <x:v>Instancias y dependencias con cierre finito</x:v>
      </x:c>
      <x:c r="C30" s="21" t="str">
        <x:v>contrato</x:v>
      </x:c>
      <x:c r="D30" s="21" t="str">
        <x:v>Manifestar al corte conjuntos finitos de componentes, consumidores/instancias, servicios y enlaces de dependencia, con identidad y método de enumeración. Expansión desde el componente corregido por aristas pertinentes hasta punto fijo; conjunto de visitados evita ciclos. Cada frontera externa necesita responsable, contrato, evidencia o bloqueo; límite de búsqueda agotado no es cobertura. Una instancia excluida exige prueba de no consumo/pertinencia. Inventarios disco/runtime/controlador/caché/configuración distinguidos. Repetir una definición paramétrica para sujetos independientes exige estados y usos separados; no copiar un único valor.</x:v>
      </x:c>
    </x:row>
    <x:row r="31" ht="43" customHeight="1">
      <x:c r="A31" s="21" t="str">
        <x:v>C05</x:v>
      </x:c>
      <x:c r="B31" s="21" t="str">
        <x:v>Instancias y dependencias con cierre finito</x:v>
      </x:c>
      <x:c r="C31" s="21" t="str">
        <x:v>consecuencia</x:v>
      </x:c>
      <x:c r="D31" s="21" t="str">
        <x:v>Una biblioteca correcta en una instancia puede ocultar otra antigua. Omitir un proveedor o dependencia puede ocultar interrupción y arrastre.</x:v>
      </x:c>
    </x:row>
    <x:row r="32" ht="44" customHeight="1">
      <x:c r="A32" s="21" t="str">
        <x:v>C05</x:v>
      </x:c>
      <x:c r="B32" s="21" t="str">
        <x:v>Instancias y dependencias con cierre finito</x:v>
      </x:c>
      <x:c r="C32" s="21" t="str">
        <x:v>prueba</x:v>
      </x:c>
      <x:c r="D32" s="21" t="str">
        <x:v>A→B→A termina sin perder arista; segunda instancia omitida; dependencia externa sin prueba; identidad duplicada; inventario vacío no acreditado.</x:v>
      </x:c>
    </x:row>
    <x:row r="33" ht="43" customHeight="1">
      <x:c r="A33" s="21" t="str">
        <x:v>C05</x:v>
      </x:c>
      <x:c r="B33" s="21" t="str">
        <x:v>Instancias y dependencias con cierre finito</x:v>
      </x:c>
      <x:c r="C33" s="21" t="str">
        <x:v>fuente</x:v>
      </x:c>
      <x:c r="D33" s="21" t="str">
        <x:v>T001 §2.2/3.2; T008; T016; R025/R033/R036</x:v>
      </x:c>
    </x:row>
    <x:row r="34" ht="43" customHeight="1">
      <x:c r="A34" s="21" t="str">
        <x:v>C05</x:v>
      </x:c>
      <x:c r="B34" s="21" t="str">
        <x:v>Instancias y dependencias con cierre finito</x:v>
      </x:c>
      <x:c r="C34" s="21" t="str">
        <x:v>responsable</x:v>
      </x:c>
      <x:c r="D34" s="21" t="str">
        <x:v>Propietario del activo y responsables de servicios; dominio constituye usos</x:v>
      </x:c>
    </x:row>
    <x:row r="35" ht="43" customHeight="1">
      <x:c r="A35" s="21" t="str">
        <x:v>C06</x:v>
      </x:c>
      <x:c r="B35" s="21" t="str">
        <x:v>Criterio y sensibilidad del observador</x:v>
      </x:c>
      <x:c r="C35" s="21" t="str">
        <x:v>q</x:v>
      </x:c>
      <x:c r="D35" s="21" t="str">
        <x:v>QCY-05-D1,D3</x:v>
      </x:c>
    </x:row>
    <x:row r="36" ht="89" customHeight="1">
      <x:c r="A36" s="21" t="str">
        <x:v>C06</x:v>
      </x:c>
      <x:c r="B36" s="21" t="str">
        <x:v>Criterio y sensibilidad del observador</x:v>
      </x:c>
      <x:c r="C36" s="21" t="str">
        <x:v>contrato</x:v>
      </x:c>
      <x:c r="D36" s="21" t="str">
        <x:v>Plan previo: predicado unitario, fuente/regla, condiciones de aplicación, dato observado, método/versiones, cobertura y horizonte, oráculos positivo y negativo independientes del resultado, tolerancias sólo justificadas. Ejecutar observador sobre ambos testigos y mutantes que siempre responden positivo, negativo o ignoran el dato decisivo. Un scanner sin hallazgos con acceso insuficiente no acredita corrección. P07 sólo registra resultado de criterio admisible; la aptitud de la prueba es control externo. Repetir dos veces el mismo núcleo no constituye independencia semántica.</x:v>
      </x:c>
    </x:row>
    <x:row r="37" ht="44" customHeight="1">
      <x:c r="A37" s="21" t="str">
        <x:v>C06</x:v>
      </x:c>
      <x:c r="B37" s="21" t="str">
        <x:v>Criterio y sensibilidad del observador</x:v>
      </x:c>
      <x:c r="C37" s="21" t="str">
        <x:v>consecuencia</x:v>
      </x:c>
      <x:c r="D37" s="21" t="str">
        <x:v>Sin sensibilidad se puede confundir falta de defectos con incapacidad para verlos. Falsos positivos pueden impulsar interrupciones innecesarias.</x:v>
      </x:c>
    </x:row>
    <x:row r="38" ht="44" customHeight="1">
      <x:c r="A38" s="21" t="str">
        <x:v>C06</x:v>
      </x:c>
      <x:c r="B38" s="21" t="str">
        <x:v>Criterio y sensibilidad del observador</x:v>
      </x:c>
      <x:c r="C38" s="21" t="str">
        <x:v>prueba</x:v>
      </x:c>
      <x:c r="D38" s="21" t="str">
        <x:v>Testigo defecto residual; testigo corregido; sensor ciego; acceso insuficiente; objetivo/umbral elegido después de ver resultado; dos herramientas con misma base.</x:v>
      </x:c>
    </x:row>
    <x:row r="39" ht="43" customHeight="1">
      <x:c r="A39" s="21" t="str">
        <x:v>C06</x:v>
      </x:c>
      <x:c r="B39" s="21" t="str">
        <x:v>Criterio y sensibilidad del observador</x:v>
      </x:c>
      <x:c r="C39" s="21" t="str">
        <x:v>fuente</x:v>
      </x:c>
      <x:c r="D39" s="21" t="str">
        <x:v>F018 §4.3 y §7.3; instrucción §9/11; R040</x:v>
      </x:c>
    </x:row>
    <x:row r="40" ht="43" customHeight="1">
      <x:c r="A40" s="21" t="str">
        <x:v>C06</x:v>
      </x:c>
      <x:c r="B40" s="21" t="str">
        <x:v>Criterio y sensibilidad del observador</x:v>
      </x:c>
      <x:c r="C40" s="21" t="str">
        <x:v>responsable</x:v>
      </x:c>
      <x:c r="D40" s="21" t="str">
        <x:v>Responsable de comprobación; revisión del experto</x:v>
      </x:c>
    </x:row>
    <x:row r="41" ht="43" customHeight="1">
      <x:c r="A41" s="21" t="str">
        <x:v>C07</x:v>
      </x:c>
      <x:c r="B41" s="21" t="str">
        <x:v>Vigencia después de cambios</x:v>
      </x:c>
      <x:c r="C41" s="21" t="str">
        <x:v>q</x:v>
      </x:c>
      <x:c r="D41" s="21" t="str">
        <x:v>QCY-08-D1,D2,D3</x:v>
      </x:c>
    </x:row>
    <x:row r="42" ht="74" customHeight="1">
      <x:c r="A42" s="21" t="str">
        <x:v>C07</x:v>
      </x:c>
      <x:c r="B42" s="21" t="str">
        <x:v>Vigencia después de cambios</x:v>
      </x:c>
      <x:c r="C42" s="21" t="str">
        <x:v>contrato</x:v>
      </x:c>
      <x:c r="D42" s="21" t="str">
        <x:v>Relacionar cada evidencia con los componentes/claves/instancias y el horizonte que presupone. P08/P09/P10/P14 activan revisión sólo de dependencias afectadas; P06/P12/P13 describen estado actual. Cambio y retorno no elimina el suceso; igualdad final no renueva una comprobación de comportamiento. Una reversión por mecanismo distinto de desinstalación se evalúa por estado y alcance restaurado, no se fuerza P08. Historia parcial bloquea afirmación de ausencia de cambio.</x:v>
      </x:c>
    </x:row>
    <x:row r="43" ht="44" customHeight="1">
      <x:c r="A43" s="21" t="str">
        <x:v>C07</x:v>
      </x:c>
      <x:c r="B43" s="21" t="str">
        <x:v>Vigencia después de cambios</x:v>
      </x:c>
      <x:c r="C43" s="21" t="str">
        <x:v>consecuencia</x:v>
      </x:c>
      <x:c r="D43" s="21" t="str">
        <x:v>Reutilizar una comprobación tras restauración puede ocultar reversión. Invalidar indiscriminadamente toda evidencia también produce trabajo y coste sin fundamento.</x:v>
      </x:c>
    </x:row>
    <x:row r="44" ht="43" customHeight="1">
      <x:c r="A44" s="21" t="str">
        <x:v>C07</x:v>
      </x:c>
      <x:c r="B44" s="21" t="str">
        <x:v>Vigencia después de cambios</x:v>
      </x:c>
      <x:c r="C44" s="21" t="str">
        <x:v>prueba</x:v>
      </x:c>
      <x:c r="D44" s="21" t="str">
        <x:v>Cambio/retorno; rollback sin desinstalación; configuración restaurada con binario igual; cambio irrelevante no anula criterio independiente.</x:v>
      </x:c>
    </x:row>
    <x:row r="45" ht="43" customHeight="1">
      <x:c r="A45" s="21" t="str">
        <x:v>C07</x:v>
      </x:c>
      <x:c r="B45" s="21" t="str">
        <x:v>Vigencia después de cambios</x:v>
      </x:c>
      <x:c r="C45" s="21" t="str">
        <x:v>fuente</x:v>
      </x:c>
      <x:c r="D45" s="21" t="str">
        <x:v>T001 §2.3.4; T010/11; R025/R033</x:v>
      </x:c>
    </x:row>
    <x:row r="46" ht="43" customHeight="1">
      <x:c r="A46" s="21" t="str">
        <x:v>C07</x:v>
      </x:c>
      <x:c r="B46" s="21" t="str">
        <x:v>Vigencia después de cambios</x:v>
      </x:c>
      <x:c r="C46" s="21" t="str">
        <x:v>responsable</x:v>
      </x:c>
      <x:c r="D46" s="21" t="str">
        <x:v>Experto y custodio del historial</x:v>
      </x:c>
    </x:row>
    <x:row r="47" ht="43" customHeight="1">
      <x:c r="A47" s="21" t="str">
        <x:v>C08</x:v>
      </x:c>
      <x:c r="B47" s="21" t="str">
        <x:v>Impacto y servicio protegido</x:v>
      </x:c>
      <x:c r="C47" s="21" t="str">
        <x:v>q</x:v>
      </x:c>
      <x:c r="D47" s="21" t="str">
        <x:v>QCY-06-D3</x:v>
      </x:c>
    </x:row>
    <x:row r="48" ht="74" customHeight="1">
      <x:c r="A48" s="21" t="str">
        <x:v>C08</x:v>
      </x:c>
      <x:c r="B48" s="21" t="str">
        <x:v>Impacto y servicio protegido</x:v>
      </x:c>
      <x:c r="C48" s="21" t="str">
        <x:v>contrato</x:v>
      </x:c>
      <x:c r="D48" s="21" t="str">
        <x:v>Registrar servicio/función protegida, consumidores, consecuencias de indisponibilidad, degradación, seguridad y datos; duración estimada como intervalo con procedencia, ventana de tolerancia y dependencias de recuperación. Separar hecho medido, hipótesis y juicio humano. Probabilidades y valores no se inventan. Un RTO declarado es objetivo, no observación de recuperación. Impactos no monetizados permanecen explícitos y no se convierten en cero.</x:v>
      </x:c>
    </x:row>
    <x:row r="49" ht="44" customHeight="1">
      <x:c r="A49" s="21" t="str">
        <x:v>C08</x:v>
      </x:c>
      <x:c r="B49" s="21" t="str">
        <x:v>Impacto y servicio protegido</x:v>
      </x:c>
      <x:c r="C49" s="21" t="str">
        <x:v>consecuencia</x:v>
      </x:c>
      <x:c r="D49" s="21" t="str">
        <x:v>Aconsejar reinicio sin dependencia asistencial/negocial puede trasladar un riesgo mayor; sobredimensionar impacto sin fuente paraliza mantenimiento.</x:v>
      </x:c>
    </x:row>
    <x:row r="50" ht="43" customHeight="1">
      <x:c r="A50" s="21" t="str">
        <x:v>C08</x:v>
      </x:c>
      <x:c r="B50" s="21" t="str">
        <x:v>Impacto y servicio protegido</x:v>
      </x:c>
      <x:c r="C50" s="21" t="str">
        <x:v>prueba</x:v>
      </x:c>
      <x:c r="D50" s="21" t="str">
        <x:v>Activo barato/servicio crítico; RTO menor que interrupción prevista; impacto desconocido; doble cómputo de la misma pérdida.</x:v>
      </x:c>
    </x:row>
    <x:row r="51" ht="43" customHeight="1">
      <x:c r="A51" s="21" t="str">
        <x:v>C08</x:v>
      </x:c>
      <x:c r="B51" s="21" t="str">
        <x:v>Impacto y servicio protegido</x:v>
      </x:c>
      <x:c r="C51" s="21" t="str">
        <x:v>fuente</x:v>
      </x:c>
      <x:c r="D51" s="21" t="str">
        <x:v>R033 IV.7; R035 IV.6/9/11; T001 §3.1–3.2</x:v>
      </x:c>
    </x:row>
    <x:row r="52" ht="43" customHeight="1">
      <x:c r="A52" s="21" t="str">
        <x:v>C08</x:v>
      </x:c>
      <x:c r="B52" s="21" t="str">
        <x:v>Impacto y servicio protegido</x:v>
      </x:c>
      <x:c r="C52" s="21" t="str">
        <x:v>responsable</x:v>
      </x:c>
      <x:c r="D52" s="21" t="str">
        <x:v>Propietario del servicio y experto</x:v>
      </x:c>
    </x:row>
    <x:row r="53" ht="43" customHeight="1">
      <x:c r="A53" s="21" t="str">
        <x:v>C09</x:v>
      </x:c>
      <x:c r="B53" s="21" t="str">
        <x:v>Alternativas comparables</x:v>
      </x:c>
      <x:c r="C53" s="21" t="str">
        <x:v>q</x:v>
      </x:c>
      <x:c r="D53" s="21" t="str">
        <x:v>QCY-07-D1</x:v>
      </x:c>
    </x:row>
    <x:row r="54" ht="74" customHeight="1">
      <x:c r="A54" s="21" t="str">
        <x:v>C09</x:v>
      </x:c>
      <x:c r="B54" s="21" t="str">
        <x:v>Alternativas comparables</x:v>
      </x:c>
      <x:c r="C54" s="21" t="str">
        <x:v>contrato</x:v>
      </x:c>
      <x:c r="D54" s="21" t="str">
        <x:v>Conjunto finito pertinente al episodio: completar ahora, completar en ventana, alternativa del proveedor, mitigación temporal, mantener abierto y escalar, o exclusión fundada. Registrar viabilidad, efectos esperados, dependencias, reversibilidad y riesgo residual con fuentes. No acción es alternativa explícita si considerada; no es riesgo cero. Mitigar o aceptar riesgo no significa vulnerabilidad corregida. Una alternativa dominada se descarta sólo bajo dimensiones comparables y evidencia suficiente.</x:v>
      </x:c>
    </x:row>
    <x:row r="55" ht="44" customHeight="1">
      <x:c r="A55" s="21" t="str">
        <x:v>C09</x:v>
      </x:c>
      <x:c r="B55" s="21" t="str">
        <x:v>Alternativas comparables</x:v>
      </x:c>
      <x:c r="C55" s="21" t="str">
        <x:v>consecuencia</x:v>
      </x:c>
      <x:c r="D55" s="21" t="str">
        <x:v>Una falsa dicotomía entre reiniciar ya y cerrar puede omitir continuidad gradual; ofrecer mitigación como corrección falsa cambia indebidamente el producto.</x:v>
      </x:c>
    </x:row>
    <x:row r="56" ht="44" customHeight="1">
      <x:c r="A56" s="21" t="str">
        <x:v>C09</x:v>
      </x:c>
      <x:c r="B56" s="21" t="str">
        <x:v>Alternativas comparables</x:v>
      </x:c>
      <x:c r="C56" s="21" t="str">
        <x:v>prueba</x:v>
      </x:c>
      <x:c r="D56" s="21" t="str">
        <x:v>Mitigación viable deja cierre de corrección insuficiente; alternativa menos disruptiva; alternativa sin soporte; incertidumbre impide ordenar.</x:v>
      </x:c>
    </x:row>
    <x:row r="57" ht="43" customHeight="1">
      <x:c r="A57" s="21" t="str">
        <x:v>C09</x:v>
      </x:c>
      <x:c r="B57" s="21" t="str">
        <x:v>Alternativas comparables</x:v>
      </x:c>
      <x:c r="C57" s="21" t="str">
        <x:v>fuente</x:v>
      </x:c>
      <x:c r="D57" s="21" t="str">
        <x:v>T001 §2.1/3.3/3.5; R035 IV.9</x:v>
      </x:c>
    </x:row>
    <x:row r="58" ht="43" customHeight="1">
      <x:c r="A58" s="21" t="str">
        <x:v>C09</x:v>
      </x:c>
      <x:c r="B58" s="21" t="str">
        <x:v>Alternativas comparables</x:v>
      </x:c>
      <x:c r="C58" s="21" t="str">
        <x:v>responsable</x:v>
      </x:c>
      <x:c r="D58" s="21" t="str">
        <x:v>Experto propone; propietario decide</x:v>
      </x:c>
    </x:row>
    <x:row r="59" ht="43" customHeight="1">
      <x:c r="A59" s="21" t="str">
        <x:v>C10</x:v>
      </x:c>
      <x:c r="B59" s="21" t="str">
        <x:v>Ventana y orden temporal</x:v>
      </x:c>
      <x:c r="C59" s="21" t="str">
        <x:v>q</x:v>
      </x:c>
      <x:c r="D59" s="21" t="str">
        <x:v>QCY-07-D2</x:v>
      </x:c>
    </x:row>
    <x:row r="60" ht="59" customHeight="1">
      <x:c r="A60" s="21" t="str">
        <x:v>C10</x:v>
      </x:c>
      <x:c r="B60" s="21" t="str">
        <x:v>Ventana y orden temporal</x:v>
      </x:c>
      <x:c r="C60" s="21" t="str">
        <x:v>contrato</x:v>
      </x:c>
      <x:c r="D60" s="21" t="str">
        <x:v>Intervalo de actuación permitido [inicio,fin), zona UTC u offset explícito, duración y margen de recuperación justificados, tolerancia de reloj y dependencia previa. La previsión completa debe caber; fin exacto fuera si se inicia una nueva acción. Relojes sin orden fiable → incertidumbre temporal. Ventana disponible no es permiso ni obliga a actuar. No se calcula una ventana con horas de husos mezclados.</x:v>
      </x:c>
    </x:row>
    <x:row r="61" ht="43" customHeight="1">
      <x:c r="A61" s="21" t="str">
        <x:v>C10</x:v>
      </x:c>
      <x:c r="B61" s="21" t="str">
        <x:v>Ventana y orden temporal</x:v>
      </x:c>
      <x:c r="C61" s="21" t="str">
        <x:v>consecuencia</x:v>
      </x:c>
      <x:c r="D61" s="21" t="str">
        <x:v>Ignorar duración/recuperación puede invadir servicio necesario; interpretar huso erróneo puede provocar interrupción fuera de ventana.</x:v>
      </x:c>
    </x:row>
    <x:row r="62" ht="43" customHeight="1">
      <x:c r="A62" s="21" t="str">
        <x:v>C10</x:v>
      </x:c>
      <x:c r="B62" s="21" t="str">
        <x:v>Ventana y orden temporal</x:v>
      </x:c>
      <x:c r="C62" s="21" t="str">
        <x:v>prueba</x:v>
      </x:c>
      <x:c r="D62" s="21" t="str">
        <x:v>Límites iguales; fin exacto; offset incompatible; duración sin margen; incertidumbre de reloj que atraviesa frontera.</x:v>
      </x:c>
    </x:row>
    <x:row r="63" ht="43" customHeight="1">
      <x:c r="A63" s="21" t="str">
        <x:v>C10</x:v>
      </x:c>
      <x:c r="B63" s="21" t="str">
        <x:v>Ventana y orden temporal</x:v>
      </x:c>
      <x:c r="C63" s="21" t="str">
        <x:v>fuente</x:v>
      </x:c>
      <x:c r="D63" s="21" t="str">
        <x:v>T001 §3.2/3.5; R033 IV.7</x:v>
      </x:c>
    </x:row>
    <x:row r="64" ht="43" customHeight="1">
      <x:c r="A64" s="21" t="str">
        <x:v>C10</x:v>
      </x:c>
      <x:c r="B64" s="21" t="str">
        <x:v>Ventana y orden temporal</x:v>
      </x:c>
      <x:c r="C64" s="21" t="str">
        <x:v>responsable</x:v>
      </x:c>
      <x:c r="D64" s="21" t="str">
        <x:v>Responsable de cambio y servicio</x:v>
      </x:c>
    </x:row>
    <x:row r="65" ht="43" customHeight="1">
      <x:c r="A65" s="21" t="str">
        <x:v>C11</x:v>
      </x:c>
      <x:c r="B65" s="21" t="str">
        <x:v>Autoridad concreta y destinatario</x:v>
      </x:c>
      <x:c r="C65" s="21" t="str">
        <x:v>q</x:v>
      </x:c>
      <x:c r="D65" s="21" t="str">
        <x:v>QCY-07-D3;QCY-09-D4</x:v>
      </x:c>
    </x:row>
    <x:row r="66" ht="74" customHeight="1">
      <x:c r="A66" s="21" t="str">
        <x:v>C11</x:v>
      </x:c>
      <x:c r="B66" s="21" t="str">
        <x:v>Autoridad concreta y destinatario</x:v>
      </x:c>
      <x:c r="C66" s="21" t="str">
        <x:v>contrato</x:v>
      </x:c>
      <x:c r="D66" s="21" t="str">
        <x:v>Registrar Director del dominio, experto destinatario, propietario del activo/servicio y ejecutor autorizado como funciones separadas, pudiendo coincidir personas si acreditado. Evidencia de delegación, acción y activo permitidos, vigencia, límites y responsable de cierre. La facultad de investigar o proponer no permite reiniciar/desplegar. La IA redacta consejo, no firma decisiones humanas ni asume autenticación por un nombre en Excel.</x:v>
      </x:c>
    </x:row>
    <x:row r="67" ht="44" customHeight="1">
      <x:c r="A67" s="21" t="str">
        <x:v>C11</x:v>
      </x:c>
      <x:c r="B67" s="21" t="str">
        <x:v>Autoridad concreta y destinatario</x:v>
      </x:c>
      <x:c r="C67" s="21" t="str">
        <x:v>consecuencia</x:v>
      </x:c>
      <x:c r="D67" s="21" t="str">
        <x:v>Consejo técnicamente plausible sin permiso puede provocar intervención indebida; no identificar destinatario responsable deja incertidumbres sin resolver.</x:v>
      </x:c>
    </x:row>
    <x:row r="68" ht="43" customHeight="1">
      <x:c r="A68" s="21" t="str">
        <x:v>C11</x:v>
      </x:c>
      <x:c r="B68" s="21" t="str">
        <x:v>Autoridad concreta y destinatario</x:v>
      </x:c>
      <x:c r="C68" s="21" t="str">
        <x:v>prueba</x:v>
      </x:c>
      <x:c r="D68" s="21" t="str">
        <x:v>Firma válida para otro activo; autorización caducada; Director del catálogo sin permiso del cliente; orden de IA tomada por autorización.</x:v>
      </x:c>
    </x:row>
    <x:row r="69" ht="43" customHeight="1">
      <x:c r="A69" s="21" t="str">
        <x:v>C11</x:v>
      </x:c>
      <x:c r="B69" s="21" t="str">
        <x:v>Autoridad concreta y destinatario</x:v>
      </x:c>
      <x:c r="C69" s="21" t="str">
        <x:v>fuente</x:v>
      </x:c>
      <x:c r="D69" s="21" t="str">
        <x:v>Instrucción §8; F018 §6.5/Apéndice B; R035 IV.11</x:v>
      </x:c>
    </x:row>
    <x:row r="70" ht="43" customHeight="1">
      <x:c r="A70" s="21" t="str">
        <x:v>C11</x:v>
      </x:c>
      <x:c r="B70" s="21" t="str">
        <x:v>Autoridad concreta y destinatario</x:v>
      </x:c>
      <x:c r="C70" s="21" t="str">
        <x:v>responsable</x:v>
      </x:c>
      <x:c r="D70" s="21" t="str">
        <x:v>Sede organizativa del activo; Dirección sólo constitución</x:v>
      </x:c>
    </x:row>
    <x:row r="71" ht="43" customHeight="1">
      <x:c r="A71" s="21" t="str">
        <x:v>C12</x:v>
      </x:c>
      <x:c r="B71" s="21" t="str">
        <x:v>Balance exacto de coste y valor</x:v>
      </x:c>
      <x:c r="C71" s="21" t="str">
        <x:v>q</x:v>
      </x:c>
      <x:c r="D71" s="21" t="str">
        <x:v>QCY-07-D4</x:v>
      </x:c>
    </x:row>
    <x:row r="72" ht="89" customHeight="1">
      <x:c r="A72" s="21" t="str">
        <x:v>C12</x:v>
      </x:c>
      <x:c r="B72" s="21" t="str">
        <x:v>Balance exacto de coste y valor</x:v>
      </x:c>
      <x:c r="C72" s="21" t="str">
        <x:v>contrato</x:v>
      </x:c>
      <x:c r="D72" s="21" t="str">
        <x:v>Aplicar el principio humano de proporcionalidad sobre el valor protegido completo y el mismo horizonte. Conservar originales decimales/unidad/moneda/base y método; separar coste directo, interrupción, verificación, recuperación y riesgo residual sin doble conteo. Para intervalos comparables: coste mínimo &gt; valor máximo demuestra exceso; coste máximo ≤ valor mínimo sólo supera esta comparación, no acredita conveniencia total; solapamiento o no monetizables → juicio no resuelto. No convertir datos desconocidos en cero ni compensar informalmente restricciones humanas. No calcular ROI con denominador desconocido.</x:v>
      </x:c>
    </x:row>
    <x:row r="73" ht="44" customHeight="1">
      <x:c r="A73" s="21" t="str">
        <x:v>C12</x:v>
      </x:c>
      <x:c r="B73" s="21" t="str">
        <x:v>Balance exacto de coste y valor</x:v>
      </x:c>
      <x:c r="C73" s="21" t="str">
        <x:v>consecuencia</x:v>
      </x:c>
      <x:c r="D73" s="21" t="str">
        <x:v>Precio de compra subestima valor del servicio; falsa precisión puede justificar gasto superior a lo protegido o descartar una protección necesaria.</x:v>
      </x:c>
    </x:row>
    <x:row r="74" ht="43" customHeight="1">
      <x:c r="A74" s="21" t="str">
        <x:v>C12</x:v>
      </x:c>
      <x:c r="B74" s="21" t="str">
        <x:v>Balance exacto de coste y valor</x:v>
      </x:c>
      <x:c r="C74" s="21" t="str">
        <x:v>prueba</x:v>
      </x:c>
      <x:c r="D74" s="21" t="str">
        <x:v>7.50 exacto; 9007199254740993 conservado; distintas monedas; coste mínimo superior; intervalos solapados; valor no monetizado.</x:v>
      </x:c>
    </x:row>
    <x:row r="75" ht="43" customHeight="1">
      <x:c r="A75" s="21" t="str">
        <x:v>C12</x:v>
      </x:c>
      <x:c r="B75" s="21" t="str">
        <x:v>Balance exacto de coste y valor</x:v>
      </x:c>
      <x:c r="C75" s="21" t="str">
        <x:v>fuente</x:v>
      </x:c>
      <x:c r="D75" s="21" t="str">
        <x:v>Mandato humano de proporcionalidad; R035 IV.6/9/11; T001 §3; instrucción §7.3</x:v>
      </x:c>
    </x:row>
    <x:row r="76" ht="43" customHeight="1">
      <x:c r="A76" s="21" t="str">
        <x:v>C12</x:v>
      </x:c>
      <x:c r="B76" s="21" t="str">
        <x:v>Balance exacto de coste y valor</x:v>
      </x:c>
      <x:c r="C76" s="21" t="str">
        <x:v>responsable</x:v>
      </x:c>
      <x:c r="D76" s="21" t="str">
        <x:v>Propietario del servicio y experto; Dirección no sustituye valoración del cliente</x:v>
      </x:c>
    </x:row>
    <x:row r="77" ht="43" customHeight="1">
      <x:c r="A77" s="21" t="str">
        <x:v>C13</x:v>
      </x:c>
      <x:c r="B77" s="21" t="str">
        <x:v>Explicación y producto profesional</x:v>
      </x:c>
      <x:c r="C77" s="21" t="str">
        <x:v>q</x:v>
      </x:c>
      <x:c r="D77" s="21" t="str">
        <x:v>QCY-09-D2,D3</x:v>
      </x:c>
    </x:row>
    <x:row r="78" ht="74" customHeight="1">
      <x:c r="A78" s="21" t="str">
        <x:v>C13</x:v>
      </x:c>
      <x:c r="B78" s="21" t="str">
        <x:v>Explicación y producto profesional</x:v>
      </x:c>
      <x:c r="C78" s="21" t="str">
        <x:v>contrato</x:v>
      </x:c>
      <x:c r="D78" s="21" t="str">
        <x:v>Expediente de consejo con identidad/corte, fuentes admitidas, observables, estados por sujeto, reglas y relaciones utilizadas, incertidumbres y bloqueos, consecuencias condicionadas, alternativas, autoridad destinataria y alcance. SUFICIENTE sólo para la afirmación concreta con todas sus obligaciones cubiertas; INSUFICIENTE si falta una indispensable; EXCLUSION_FUNDADA si la operación no aplica con prueba. Fallo técnico carece de producto del dominio. La plantilla y los ensayos son explicación documental, no Frame SV.</x:v>
      </x:c>
    </x:row>
    <x:row r="79" ht="43" customHeight="1">
      <x:c r="A79" s="21" t="str">
        <x:v>C13</x:v>
      </x:c>
      <x:c r="B79" s="21" t="str">
        <x:v>Explicación y producto profesional</x:v>
      </x:c>
      <x:c r="C79" s="21" t="str">
        <x:v>consecuencia</x:v>
      </x:c>
      <x:c r="D79" s="21" t="str">
        <x:v>Una respuesta sin relaciones puede ser correcta por azar e imposible de auditar; mezclar mitigación con corrección encubre riesgo residual.</x:v>
      </x:c>
    </x:row>
    <x:row r="80" ht="44" customHeight="1">
      <x:c r="A80" s="21" t="str">
        <x:v>C13</x:v>
      </x:c>
      <x:c r="B80" s="21" t="str">
        <x:v>Explicación y producto profesional</x:v>
      </x:c>
      <x:c r="C80" s="21" t="str">
        <x:v>prueba</x:v>
      </x:c>
      <x:c r="D80" s="21" t="str">
        <x:v>Mismos bytes de identidad completa → mismos bytes documentales; omitir una dependencia altera dictamen; fallo no genera salida alternativa; incertidumbre relevante visible.</x:v>
      </x:c>
    </x:row>
    <x:row r="81" ht="43" customHeight="1">
      <x:c r="A81" s="21" t="str">
        <x:v>C13</x:v>
      </x:c>
      <x:c r="B81" s="21" t="str">
        <x:v>Explicación y producto profesional</x:v>
      </x:c>
      <x:c r="C81" s="21" t="str">
        <x:v>fuente</x:v>
      </x:c>
      <x:c r="D81" s="21" t="str">
        <x:v>Instrucción §8/9/11; pilares; T001 §2.3.3</x:v>
      </x:c>
    </x:row>
    <x:row r="82" ht="43" customHeight="1">
      <x:c r="A82" s="21" t="str">
        <x:v>C13</x:v>
      </x:c>
      <x:c r="B82" s="21" t="str">
        <x:v>Explicación y producto profesional</x:v>
      </x:c>
      <x:c r="C82" s="21" t="str">
        <x:v>responsable</x:v>
      </x:c>
      <x:c r="D82" s="21" t="str">
        <x:v>IA propone explicación; experto juzga y decide</x:v>
      </x:c>
    </x:row>
    <x:row r="83" ht="43" customHeight="1">
      <x:c r="A83" s="21" t="str">
        <x:v>C14</x:v>
      </x:c>
      <x:c r="B83" s="21" t="str">
        <x:v>Congelado y reevaluación gobernada</x:v>
      </x:c>
      <x:c r="C83" s="21" t="str">
        <x:v>q</x:v>
      </x:c>
      <x:c r="D83" s="21" t="str">
        <x:v>QCY-02-D3;QCY-09-D3</x:v>
      </x:c>
    </x:row>
    <x:row r="84" ht="74" customHeight="1">
      <x:c r="A84" s="21" t="str">
        <x:v>C14</x:v>
      </x:c>
      <x:c r="B84" s="21" t="str">
        <x:v>Congelado y reevaluación gobernada</x:v>
      </x:c>
      <x:c r="C84" s="21" t="str">
        <x:v>contrato</x:v>
      </x:c>
      <x:c r="D84" s="21" t="str">
        <x:v>Separar adquisición de fuentes candidatas, admisión del corte de conocimiento por Dirección y recepción de nuevos hechos del episodio. Conservar versión anterior, impactos y decisión prospectiva. No consultar latest durante evaluación. Un cambio de catálogo no reescribe la historia; la nueva referencia requiere evaluación y aptitud humana antes de uso. Identidad completa incluye todos los bytes/cortes de reglas, datos y realizador realmente usados.</x:v>
      </x:c>
    </x:row>
    <x:row r="85" ht="44" customHeight="1">
      <x:c r="A85" s="21" t="str">
        <x:v>C14</x:v>
      </x:c>
      <x:c r="B85" s="21" t="str">
        <x:v>Congelado y reevaluación gobernada</x:v>
      </x:c>
      <x:c r="C85" s="21" t="str">
        <x:v>consecuencia</x:v>
      </x:c>
      <x:c r="D85" s="21" t="str">
        <x:v>Una evaluación aparentemente idéntica puede cambiar al consultar fuentes vivas; congelar hechos para siempre impediría advertir nuevos cambios reales.</x:v>
      </x:c>
    </x:row>
    <x:row r="86" ht="44" customHeight="1">
      <x:c r="A86" s="21" t="str">
        <x:v>C14</x:v>
      </x:c>
      <x:c r="B86" s="21" t="str">
        <x:v>Congelado y reevaluación gobernada</x:v>
      </x:c>
      <x:c r="C86" s="21" t="str">
        <x:v>prueba</x:v>
      </x:c>
      <x:c r="D86" s="21" t="str">
        <x:v>Catálogo cambia con mismo nombre; nueva observación sin nueva regla; sustitución automática de dependencia; cambio de regla produce identidad distinta.</x:v>
      </x:c>
    </x:row>
    <x:row r="87" ht="43" customHeight="1">
      <x:c r="A87" s="21" t="str">
        <x:v>C14</x:v>
      </x:c>
      <x:c r="B87" s="21" t="str">
        <x:v>Congelado y reevaluación gobernada</x:v>
      </x:c>
      <x:c r="C87" s="21" t="str">
        <x:v>fuente</x:v>
      </x:c>
      <x:c r="D87" s="21" t="str">
        <x:v>Instrucción §5.4–5.5/8/9; mandato humano</x:v>
      </x:c>
    </x:row>
    <x:row r="88" ht="43" customHeight="1">
      <x:c r="A88" s="21" t="str">
        <x:v>C14</x:v>
      </x:c>
      <x:c r="B88" s="21" t="str">
        <x:v>Congelado y reevaluación gobernada</x:v>
      </x:c>
      <x:c r="C88" s="21" t="str">
        <x:v>responsable</x:v>
      </x:c>
      <x:c r="D88" s="21" t="str">
        <x:v>Dirección adopta conocimiento; experto/custodio reciben hechos</x:v>
      </x:c>
    </x:row>
  </x:sheetData>
  <x:mergeCells>
    <x:mergeCell ref="A1:D1"/>
    <x:mergeCell ref="A2:D2"/>
  </x:mergeCells>
  <x:pageMargins left="0.7" right="0.7" top="0.75" bottom="0.75" header="0.3" footer="0.3"/>
  <x:tableParts count="1">
    <x:tablePart xmlns:r="http://schemas.openxmlformats.org/officeDocument/2006/relationships" r:id="R7a1d112eb61c4790"/>
  </x:tableParts>
</x:worksheet>
</file>

<file path=xl/worksheets/sheet6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5" hidden="0" customWidth="1"/>
    <x:col min="2" max="2" width="44" hidden="0" customWidth="1"/>
    <x:col min="3" max="3" width="51" hidden="0" customWidth="1"/>
    <x:col min="4" max="4" width="109" hidden="0" customWidth="1"/>
    <x:col min="5" max="5" width="107" hidden="0" customWidth="1"/>
    <x:col min="6" max="6" width="29" hidden="0" customWidth="1"/>
  </x:cols>
  <x:sheetData>
    <x:row r="1" ht="34" customHeight="1">
      <x:c r="A1" s="23" t="str">
        <x:v>RELACIONES PROFESIONALES · qué exige qué</x:v>
      </x:c>
      <x:c r="B1" s="23"/>
      <x:c r="C1" s="23"/>
      <x:c r="D1" s="23"/>
      <x:c r="E1" s="23"/>
      <x:c r="F1" s="23"/>
    </x:row>
    <x:row r="2" ht="57" customHeight="1">
      <x:c r="A2" s="24" t="str">
        <x:v>Mapa de dependencia del consejo; no constituye rutas SV, criticidades computadas ni Frame.</x:v>
      </x:c>
      <x:c r="B2" s="24"/>
      <x:c r="C2" s="24"/>
      <x:c r="D2" s="24"/>
      <x:c r="E2" s="24"/>
      <x:c r="F2" s="24"/>
    </x:row>
    <x:row r="3">
      <x:c r="A3" s="21"/>
      <x:c r="B3" s="21"/>
      <x:c r="C3" s="21"/>
      <x:c r="D3" s="21"/>
      <x:c r="E3" s="21"/>
      <x:c r="F3" s="21"/>
    </x:row>
    <x:row r="4" ht="48" customHeight="1">
      <x:c r="A4" s="26" t="str">
        <x:v>Relación</x:v>
      </x:c>
      <x:c r="B4" s="26" t="str">
        <x:v>Antecedente</x:v>
      </x:c>
      <x:c r="C4" s="26" t="str">
        <x:v>Consecuente</x:v>
      </x:c>
      <x:c r="D4" s="26" t="str">
        <x:v>Relación / condición</x:v>
      </x:c>
      <x:c r="E4" s="26" t="str">
        <x:v>Consecuencia de omisión</x:v>
      </x:c>
      <x:c r="F4" s="26" t="str">
        <x:v>Q0</x:v>
      </x:c>
    </x:row>
    <x:row r="5" ht="43" customHeight="1">
      <x:c r="A5" s="21" t="str">
        <x:v>R01</x:v>
      </x:c>
      <x:c r="B5" s="21" t="str">
        <x:v>C01,C02,C03</x:v>
      </x:c>
      <x:c r="C5" s="21" t="str">
        <x:v>P01–P15</x:v>
      </x:c>
      <x:c r="D5" s="21" t="str">
        <x:v>Admitir sujeto, episodio, regla y observación antes de transducir</x:v>
      </x:c>
      <x:c r="E5" s="21" t="str">
        <x:v>No usar Tri de un objeto ajeno o de una captura fallida</x:v>
      </x:c>
      <x:c r="F5" s="21" t="str">
        <x:v>QCY-01/02/03</x:v>
      </x:c>
    </x:row>
    <x:row r="6" ht="43" customHeight="1">
      <x:c r="A6" s="21" t="str">
        <x:v>R02</x:v>
      </x:c>
      <x:c r="B6" s="21" t="str">
        <x:v>P01</x:v>
      </x:c>
      <x:c r="C6" s="21" t="str">
        <x:v>P03</x:v>
      </x:c>
      <x:c r="D6" s="21" t="str">
        <x:v>Si el requisito histórico es 1, exigir reinicio íntegro posterior</x:v>
      </x:c>
      <x:c r="E6" s="21" t="str">
        <x:v>Éxito comunicado no prueba completitud del sistema</x:v>
      </x:c>
      <x:c r="F6" s="21" t="str">
        <x:v>QCY-04-D1/D2</x:v>
      </x:c>
    </x:row>
    <x:row r="7" ht="43" customHeight="1">
      <x:c r="A7" s="21" t="str">
        <x:v>R03</x:v>
      </x:c>
      <x:c r="B7" s="21" t="str">
        <x:v>P04</x:v>
      </x:c>
      <x:c r="C7" s="21" t="str">
        <x:v>P05,P11</x:v>
      </x:c>
      <x:c r="D7" s="21" t="str">
        <x:v>Si el software exige reinicio, separar término de generación previa y creación posterior</x:v>
      </x:c>
      <x:c r="E7" s="21" t="str">
        <x:v>No equiparar detención con sustitución</x:v>
      </x:c>
      <x:c r="F7" s="21" t="str">
        <x:v>QCY-04-D3/D4</x:v>
      </x:c>
    </x:row>
    <x:row r="8" ht="43" customHeight="1">
      <x:c r="A8" s="21" t="str">
        <x:v>R04</x:v>
      </x:c>
      <x:c r="B8" s="21" t="str">
        <x:v>P11</x:v>
      </x:c>
      <x:c r="C8" s="21" t="str">
        <x:v>P06,P07</x:v>
      </x:c>
      <x:c r="D8" s="21" t="str">
        <x:v>Creación posterior no prueba imagen correcta ni servicio útil</x:v>
      </x:c>
      <x:c r="E8" s="21" t="str">
        <x:v>DLL ausente puede terminar inicialización tras CreateProcess exitoso</x:v>
      </x:c>
      <x:c r="F8" s="21" t="str">
        <x:v>QCY-04/05</x:v>
      </x:c>
    </x:row>
    <x:row r="9" ht="43" customHeight="1">
      <x:c r="A9" s="21" t="str">
        <x:v>R05</x:v>
      </x:c>
      <x:c r="B9" s="21" t="str">
        <x:v>P05,C05</x:v>
      </x:c>
      <x:c r="C9" s="21" t="str">
        <x:v>P05 por cada hijo/consumidor pertinente</x:v>
      </x:c>
      <x:c r="D9" s="21" t="str">
        <x:v>Un padre terminado no termina automáticamente hijos ni todos los usos de objetos compartidos</x:v>
      </x:c>
      <x:c r="E9" s="21" t="str">
        <x:v>No presumir liberación total a partir de una instancia</x:v>
      </x:c>
      <x:c r="F9" s="21" t="str">
        <x:v>QCY-04/06/09</x:v>
      </x:c>
    </x:row>
    <x:row r="10" ht="43" customHeight="1">
      <x:c r="A10" s="21" t="str">
        <x:v>R06</x:v>
      </x:c>
      <x:c r="B10" s="21" t="str">
        <x:v>P06,P13</x:v>
      </x:c>
      <x:c r="C10" s="21" t="str">
        <x:v>C06</x:v>
      </x:c>
      <x:c r="D10" s="21" t="str">
        <x:v>Comparar imagen activa y artefacto persistente sin equipararlos</x:v>
      </x:c>
      <x:c r="E10" s="21" t="str">
        <x:v>Una corrección puede no estar cargada o no persistir para carga futura</x:v>
      </x:c>
      <x:c r="F10" s="21" t="str">
        <x:v>QCY-05-D2</x:v>
      </x:c>
    </x:row>
    <x:row r="11" ht="43" customHeight="1">
      <x:c r="A11" s="21" t="str">
        <x:v>R07</x:v>
      </x:c>
      <x:c r="B11" s="21" t="str">
        <x:v>P12</x:v>
      </x:c>
      <x:c r="C11" s="21" t="str">
        <x:v>P07</x:v>
      </x:c>
      <x:c r="D11" s="21" t="str">
        <x:v>Valor efectivo objetivo distinto de fichero escrito y distinto de prueba funcional</x:v>
      </x:c>
      <x:c r="E11" s="21" t="str">
        <x:v>No atribuir efecto corrector sólo por haber guardado configuración</x:v>
      </x:c>
      <x:c r="F11" s="21" t="str">
        <x:v>QCY-05</x:v>
      </x:c>
    </x:row>
    <x:row r="12" ht="43" customHeight="1">
      <x:c r="A12" s="21" t="str">
        <x:v>R08</x:v>
      </x:c>
      <x:c r="B12" s="21" t="str">
        <x:v>P15,C04</x:v>
      </x:c>
      <x:c r="C12" s="21" t="str">
        <x:v>P07 y estados pertinentes</x:v>
      </x:c>
      <x:c r="D12" s="21" t="str">
        <x:v>Cada obligación unitaria tiene prueba y criterio terminal propio</x:v>
      </x:c>
      <x:c r="E12" s="21" t="str">
        <x:v>Una tarea agregada no acredita todos sus efectos</x:v>
      </x:c>
      <x:c r="F12" s="21" t="str">
        <x:v>QCY-04-D3/D4</x:v>
      </x:c>
    </x:row>
    <x:row r="13" ht="43" customHeight="1">
      <x:c r="A13" s="21" t="str">
        <x:v>R09</x:v>
      </x:c>
      <x:c r="B13" s="21" t="str">
        <x:v>P08,P09,P10,P14</x:v>
      </x:c>
      <x:c r="C13" s="21" t="str">
        <x:v>C07</x:v>
      </x:c>
      <x:c r="D13" s="21" t="str">
        <x:v>Revisar vigencia de evidencia que dependa del objeto cambiado</x:v>
      </x:c>
      <x:c r="E13" s="21" t="str">
        <x:v>Cambio y retorno no borran historia ni renuevan la comprobación</x:v>
      </x:c>
      <x:c r="F13" s="21" t="str">
        <x:v>QCY-08</x:v>
      </x:c>
    </x:row>
    <x:row r="14" ht="43" customHeight="1">
      <x:c r="A14" s="21" t="str">
        <x:v>R10</x:v>
      </x:c>
      <x:c r="B14" s="21" t="str">
        <x:v>C05</x:v>
      </x:c>
      <x:c r="C14" s="21" t="str">
        <x:v>C06,C13</x:v>
      </x:c>
      <x:c r="D14" s="21" t="str">
        <x:v>Cubrir todas las instancias declaradas y fronteras antes del consejo de cierre</x:v>
      </x:c>
      <x:c r="E14" s="21" t="str">
        <x:v>Una instancia positiva no representa el conjunto</x:v>
      </x:c>
      <x:c r="F14" s="21" t="str">
        <x:v>QCY-09-D1</x:v>
      </x:c>
    </x:row>
    <x:row r="15" ht="43" customHeight="1">
      <x:c r="A15" s="21" t="str">
        <x:v>R11</x:v>
      </x:c>
      <x:c r="B15" s="21" t="str">
        <x:v>C06</x:v>
      </x:c>
      <x:c r="C15" s="21" t="str">
        <x:v>P07</x:v>
      </x:c>
      <x:c r="D15" s="21" t="str">
        <x:v>Criterio previo con sensibilidad y acceso adecuados</x:v>
      </x:c>
      <x:c r="E15" s="21" t="str">
        <x:v>Sin hallazgos puede ser ceguera del observador</x:v>
      </x:c>
      <x:c r="F15" s="21" t="str">
        <x:v>QCY-05-D1/D3</x:v>
      </x:c>
    </x:row>
    <x:row r="16" ht="44" customHeight="1">
      <x:c r="A16" s="21" t="str">
        <x:v>R12</x:v>
      </x:c>
      <x:c r="B16" s="21" t="str">
        <x:v>C08,C09</x:v>
      </x:c>
      <x:c r="C16" s="21" t="str">
        <x:v>C10,C11,C12</x:v>
      </x:c>
      <x:c r="D16" s="21" t="str">
        <x:v>Si se aconseja acción pendiente, valorar impactos, alternativas, ventana, permiso y proporcionalidad</x:v>
      </x:c>
      <x:c r="E16" s="21" t="str">
        <x:v>No se ordena reinicio sólo porque una obligación esté pendiente</x:v>
      </x:c>
      <x:c r="F16" s="21" t="str">
        <x:v>QCY-06/07</x:v>
      </x:c>
    </x:row>
    <x:row r="17" ht="43" customHeight="1">
      <x:c r="A17" s="21" t="str">
        <x:v>R13</x:v>
      </x:c>
      <x:c r="B17" s="21" t="str">
        <x:v>C10</x:v>
      </x:c>
      <x:c r="C17" s="21" t="str">
        <x:v>C11</x:v>
      </x:c>
      <x:c r="D17" s="21" t="str">
        <x:v>Cabida temporal y autorización son condiciones distintas</x:v>
      </x:c>
      <x:c r="E17" s="21" t="str">
        <x:v>Una ventana abierta no da permiso</x:v>
      </x:c>
      <x:c r="F17" s="21" t="str">
        <x:v>QCY-07-D2/D3</x:v>
      </x:c>
    </x:row>
    <x:row r="18" ht="43" customHeight="1">
      <x:c r="A18" s="21" t="str">
        <x:v>R14</x:v>
      </x:c>
      <x:c r="B18" s="21" t="str">
        <x:v>C12</x:v>
      </x:c>
      <x:c r="C18" s="21" t="str">
        <x:v>C09,C13</x:v>
      </x:c>
      <x:c r="D18" s="21" t="str">
        <x:v>Exceso probado descarta proporcionalidad de esa alternativa; incertidumbre conserva juicio abierto</x:v>
      </x:c>
      <x:c r="E18" s="21" t="str">
        <x:v>Coste del activo no agota valor del servicio; mitigación no es corrección</x:v>
      </x:c>
      <x:c r="F18" s="21" t="str">
        <x:v>QCY-07-D4</x:v>
      </x:c>
    </x:row>
    <x:row r="19" ht="43" customHeight="1">
      <x:c r="A19" s="21" t="str">
        <x:v>R15</x:v>
      </x:c>
      <x:c r="B19" s="21" t="str">
        <x:v>C01–C14 y parámetros aplicables</x:v>
      </x:c>
      <x:c r="C19" s="21" t="str">
        <x:v>C13</x:v>
      </x:c>
      <x:c r="D19" s="21" t="str">
        <x:v>Explicar datos, reglas, U, consecuencias y bloqueos del alcance</x:v>
      </x:c>
      <x:c r="E19" s="21" t="str">
        <x:v>No ocultar deuda bajo una conclusión global favorable</x:v>
      </x:c>
      <x:c r="F19" s="21" t="str">
        <x:v>QCY-09</x:v>
      </x:c>
    </x:row>
    <x:row r="20" ht="43" customHeight="1">
      <x:c r="A20" s="21" t="str">
        <x:v>R16</x:v>
      </x:c>
      <x:c r="B20" s="21" t="str">
        <x:v>C14</x:v>
      </x:c>
      <x:c r="C20" s="21" t="str">
        <x:v>Todos los contratos</x:v>
      </x:c>
      <x:c r="D20" s="21" t="str">
        <x:v>Nuevos hechos reevalúan; nuevo conocimiento requiere admisión humana previa</x:v>
      </x:c>
      <x:c r="E20" s="21" t="str">
        <x:v>Identidad completa y cortes congelados para repetición</x:v>
      </x:c>
      <x:c r="F20" s="21" t="str">
        <x:v>QCY-02/09</x:v>
      </x:c>
    </x:row>
  </x:sheetData>
  <x:mergeCells>
    <x:mergeCell ref="A1:D1"/>
    <x:mergeCell ref="A2:F2"/>
  </x:mergeCells>
  <x:pageMargins left="0.7" right="0.7" top="0.75" bottom="0.75" header="0.3" footer="0.3"/>
  <x:tableParts count="1">
    <x:tablePart xmlns:r="http://schemas.openxmlformats.org/officeDocument/2006/relationships" r:id="Rac39378ec50741da"/>
  </x:tableParts>
</x:worksheet>
</file>

<file path=xl/worksheets/sheet6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5" hidden="0" customWidth="1"/>
    <x:col min="2" max="2" width="15" hidden="0" customWidth="1"/>
    <x:col min="3" max="3" width="69" hidden="0" customWidth="1"/>
    <x:col min="4" max="4" width="24" hidden="0" customWidth="1"/>
    <x:col min="5" max="5" width="25" hidden="0" customWidth="1"/>
    <x:col min="6" max="6" width="24" hidden="0" customWidth="1"/>
    <x:col min="7" max="7" width="26" hidden="0" customWidth="1"/>
    <x:col min="8" max="8" width="19" hidden="0" customWidth="1"/>
    <x:col min="9" max="9" width="22" hidden="0" customWidth="1"/>
    <x:col min="10" max="10" width="22" hidden="0" customWidth="1"/>
    <x:col min="11" max="11" width="70" hidden="0" customWidth="1"/>
    <x:col min="12" max="12" width="70" hidden="0" customWidth="1"/>
    <x:col min="13" max="13" width="30" hidden="0" customWidth="1"/>
    <x:col min="14" max="14" width="30" hidden="0" customWidth="1"/>
    <x:col min="15" max="15" width="25" hidden="0" customWidth="1"/>
    <x:col min="16" max="16" width="39" hidden="0" customWidth="1"/>
    <x:col min="17" max="17" width="39" hidden="0" customWidth="1"/>
    <x:col min="18" max="18" width="27" hidden="0" customWidth="1"/>
    <x:col min="19" max="19" width="115" hidden="0" customWidth="1"/>
  </x:cols>
  <x:sheetData>
    <x:row r="1" ht="34" customHeight="1">
      <x:c r="A1" s="23" t="str">
        <x:v>TESTIGOS · cinco candidatos</x:v>
      </x:c>
      <x:c r="B1" s="23"/>
      <x:c r="C1" s="23"/>
      <x:c r="D1" s="23"/>
      <x:c r="E1" s="23"/>
      <x:c r="F1" s="23"/>
      <x:c r="G1" s="23"/>
      <x:c r="H1" s="23"/>
      <x:c r="I1" s="23"/>
      <x:c r="J1" s="23"/>
      <x:c r="K1" s="23"/>
      <x:c r="L1" s="23"/>
      <x:c r="M1" s="23"/>
      <x:c r="N1" s="23"/>
      <x:c r="O1" s="23"/>
      <x:c r="P1" s="23"/>
      <x:c r="Q1" s="23"/>
      <x:c r="R1" s="23"/>
      <x:c r="S1" s="23"/>
    </x:row>
    <x:row r="2" ht="57" customHeight="1">
      <x:c r="A2" s="24" t="str">
        <x:v>Esperados previos, resultados del observador documental y control Excel de concordancia. Enteros y huellas exactos como texto.</x:v>
      </x:c>
      <x:c r="B2" s="24"/>
      <x:c r="C2" s="24"/>
      <x:c r="D2" s="24"/>
      <x:c r="E2" s="24"/>
      <x:c r="F2" s="24"/>
      <x:c r="G2" s="24"/>
      <x:c r="H2" s="24"/>
      <x:c r="I2" s="24"/>
      <x:c r="J2" s="24"/>
      <x:c r="K2" s="24"/>
      <x:c r="L2" s="24"/>
      <x:c r="M2" s="24"/>
      <x:c r="N2" s="24"/>
      <x:c r="O2" s="24"/>
      <x:c r="P2" s="24"/>
      <x:c r="Q2" s="24"/>
      <x:c r="R2" s="24"/>
      <x:c r="S2" s="24"/>
    </x:row>
    <x:row r="3">
      <x:c r="A3" s="21"/>
      <x:c r="B3" s="21"/>
      <x:c r="C3" s="21"/>
      <x:c r="D3" s="21"/>
      <x:c r="E3" s="21"/>
      <x:c r="F3" s="21"/>
      <x:c r="G3" s="21"/>
      <x:c r="H3" s="21"/>
      <x:c r="I3" s="21"/>
      <x:c r="J3" s="21"/>
      <x:c r="K3" s="21"/>
      <x:c r="L3" s="21"/>
      <x:c r="M3" s="21"/>
      <x:c r="N3" s="21"/>
      <x:c r="O3" s="21"/>
      <x:c r="P3" s="21"/>
      <x:c r="Q3" s="21"/>
      <x:c r="R3" s="21"/>
      <x:c r="S3" s="21"/>
    </x:row>
    <x:row r="4" ht="48" customHeight="1">
      <x:c r="A4" s="26" t="str">
        <x:v>Caso</x:v>
      </x:c>
      <x:c r="B4" s="26" t="str">
        <x:v>Parámetro</x:v>
      </x:c>
      <x:c r="C4" s="26" t="str">
        <x:v>Ataque</x:v>
      </x:c>
      <x:c r="D4" s="26" t="str">
        <x:v>Recepción</x:v>
      </x:c>
      <x:c r="E4" s="26" t="str">
        <x:v>Perfil</x:v>
      </x:c>
      <x:c r="F4" s="26" t="str">
        <x:v>Pertinencia</x:v>
      </x:c>
      <x:c r="G4" s="26" t="str">
        <x:v>Observación</x:v>
      </x:c>
      <x:c r="H4" s="26" t="str">
        <x:v>Conflicto</x:v>
      </x:c>
      <x:c r="I4" s="26" t="str">
        <x:v>Tipo</x:v>
      </x:c>
      <x:c r="J4" s="26" t="str">
        <x:v>Tipo objetivo</x:v>
      </x:c>
      <x:c r="K4" s="26" t="str">
        <x:v>Valor</x:v>
      </x:c>
      <x:c r="L4" s="26" t="str">
        <x:v>Objetivo</x:v>
      </x:c>
      <x:c r="M4" s="26" t="str">
        <x:v>Ancla exacta</x:v>
      </x:c>
      <x:c r="N4" s="26" t="str">
        <x:v>Corte exacto</x:v>
      </x:c>
      <x:c r="O4" s="26" t="str">
        <x:v>Cobertura</x:v>
      </x:c>
      <x:c r="P4" s="26" t="str">
        <x:v>Esperado previo</x:v>
      </x:c>
      <x:c r="Q4" s="26" t="str">
        <x:v>Resultado ejecutado</x:v>
      </x:c>
      <x:c r="R4" s="26" t="str">
        <x:v>Concordancia Excel</x:v>
      </x:c>
      <x:c r="S4" s="26" t="str">
        <x:v>Entrada íntegra</x:v>
      </x:c>
    </x:row>
    <x:row r="5" ht="59" customHeight="1">
      <x:c r="A5" s="21" t="str">
        <x:v>TC-001</x:v>
      </x:c>
      <x:c r="B5" s="21" t="str">
        <x:v>P11</x:v>
      </x:c>
      <x:c r="C5" s="21" t="str">
        <x:v>Testigo positivo del predicado</x:v>
      </x:c>
      <x:c r="D5" s="21" t="str">
        <x:v>ADMITIDA</x:v>
      </x:c>
      <x:c r="E5" s="21" t="str">
        <x:v>FIJADO</x:v>
      </x:c>
      <x:c r="F5" s="21" t="str">
        <x:v>SI</x:v>
      </x:c>
      <x:c r="G5" s="21" t="str">
        <x:v>PRESENTE</x:v>
      </x:c>
      <x:c r="H5" s="21" t="str">
        <x:v>NO</x:v>
      </x:c>
      <x:c r="I5" s="21" t="str">
        <x:v>TEXTO</x:v>
      </x:c>
      <x:c r="J5" s="21" t="str">
        <x:v>TEXTO</x:v>
      </x:c>
      <x:c r="K5" s="21" t="str">
        <x:v>150</x:v>
      </x:c>
      <x:c r="L5" s="21" t="str">
        <x:v>objetivo</x:v>
      </x:c>
      <x:c r="M5" s="21" t="str">
        <x:v>100</x:v>
      </x:c>
      <x:c r="N5" s="21" t="str">
        <x:v>200</x:v>
      </x:c>
      <x:c r="O5" s="21" t="str">
        <x:v>COMPLETA</x:v>
      </x:c>
      <x:c r="P5" s="21" t="str">
        <x:v>1</x:v>
      </x:c>
      <x:c r="Q5" s="21" t="str">
        <x:v>1</x:v>
      </x:c>
      <x:c r="R5" s="27" t="str">
        <x:f>IF(EXACT("x"&amp;P5,"x"&amp;Q5),"PASA","DISCORDA")</x:f>
        <x:v>PASA</x:v>
      </x:c>
      <x:c r="S5" s="21" t="str">
        <x:v>{"ancla": "100", "cobertura": "COMPLETA", "conflicto": "NO", "corte": "200", "objetivo": "objetivo", "observacion": "PRESENTE", "parametro": "P11", "perfil": "FIJADO", "pertinencia": "SI", "recepcion": "ADMITIDA", "tipo": "TEXTO", "tipo_objetivo": "TEXTO", "valor": "150"}</x:v>
      </x:c>
    </x:row>
    <x:row r="6" ht="59" customHeight="1">
      <x:c r="A6" s="21" t="str">
        <x:v>TC-002</x:v>
      </x:c>
      <x:c r="B6" s="21" t="str">
        <x:v>P11</x:v>
      </x:c>
      <x:c r="C6" s="21" t="str">
        <x:v>Negación acreditada</x:v>
      </x:c>
      <x:c r="D6" s="21" t="str">
        <x:v>ADMITIDA</x:v>
      </x:c>
      <x:c r="E6" s="21" t="str">
        <x:v>FIJADO</x:v>
      </x:c>
      <x:c r="F6" s="21" t="str">
        <x:v>SI</x:v>
      </x:c>
      <x:c r="G6" s="21" t="str">
        <x:v>PRESENTE</x:v>
      </x:c>
      <x:c r="H6" s="21" t="str">
        <x:v>NO</x:v>
      </x:c>
      <x:c r="I6" s="21" t="str">
        <x:v>TEXTO</x:v>
      </x:c>
      <x:c r="J6" s="21" t="str">
        <x:v>TEXTO</x:v>
      </x:c>
      <x:c r="K6" s="21" t="str">
        <x:v>100</x:v>
      </x:c>
      <x:c r="L6" s="21" t="str">
        <x:v>objetivo</x:v>
      </x:c>
      <x:c r="M6" s="21" t="str">
        <x:v>100</x:v>
      </x:c>
      <x:c r="N6" s="21" t="str">
        <x:v>200</x:v>
      </x:c>
      <x:c r="O6" s="21" t="str">
        <x:v>COMPLETA</x:v>
      </x:c>
      <x:c r="P6" s="21" t="str">
        <x:v>0</x:v>
      </x:c>
      <x:c r="Q6" s="21" t="str">
        <x:v>0</x:v>
      </x:c>
      <x:c r="R6" s="27" t="str">
        <x:f>IF(EXACT("x"&amp;P6,"x"&amp;Q6),"PASA","DISCORDA")</x:f>
        <x:v>PASA</x:v>
      </x:c>
      <x:c r="S6" s="21" t="str">
        <x:v>{"ancla": "100", "cobertura": "COMPLETA", "conflicto": "NO", "corte": "200", "objetivo": "objetivo", "observacion": "PRESENTE", "parametro": "P11", "perfil": "FIJADO", "pertinencia": "SI", "recepcion": "ADMITIDA", "tipo": "TEXTO", "tipo_objetivo": "TEXTO", "valor": "100"}</x:v>
      </x:c>
    </x:row>
    <x:row r="7" ht="59" customHeight="1">
      <x:c r="A7" s="21" t="str">
        <x:v>TC-003</x:v>
      </x:c>
      <x:c r="B7" s="21" t="str">
        <x:v>P11</x:v>
      </x:c>
      <x:c r="C7" s="21" t="str">
        <x:v>Ausencia declarada no es cero</x:v>
      </x:c>
      <x:c r="D7" s="21" t="str">
        <x:v>ADMITIDA</x:v>
      </x:c>
      <x:c r="E7" s="21" t="str">
        <x:v>FIJADO</x:v>
      </x:c>
      <x:c r="F7" s="21" t="str">
        <x:v>SI</x:v>
      </x:c>
      <x:c r="G7" s="21" t="str">
        <x:v>AUSENTE</x:v>
      </x:c>
      <x:c r="H7" s="21" t="str">
        <x:v>NO</x:v>
      </x:c>
      <x:c r="I7" s="21" t="str">
        <x:v>TEXTO</x:v>
      </x:c>
      <x:c r="J7" s="21" t="str">
        <x:v>TEXTO</x:v>
      </x:c>
      <x:c r="K7" s="21" t="str">
        <x:v>150</x:v>
      </x:c>
      <x:c r="L7" s="21" t="str">
        <x:v>objetivo</x:v>
      </x:c>
      <x:c r="M7" s="21" t="str">
        <x:v>100</x:v>
      </x:c>
      <x:c r="N7" s="21" t="str">
        <x:v>200</x:v>
      </x:c>
      <x:c r="O7" s="21" t="str">
        <x:v>COMPLETA</x:v>
      </x:c>
      <x:c r="P7" s="21" t="str">
        <x:v>U</x:v>
      </x:c>
      <x:c r="Q7" s="21" t="str">
        <x:v>U</x:v>
      </x:c>
      <x:c r="R7" s="27" t="str">
        <x:f>IF(EXACT("x"&amp;P7,"x"&amp;Q7),"PASA","DISCORDA")</x:f>
        <x:v>PASA</x:v>
      </x:c>
      <x:c r="S7" s="21" t="str">
        <x:v>{"ancla": "100", "cobertura": "COMPLETA", "conflicto": "NO", "corte": "200", "objetivo": "objetivo", "observacion": "AUSENTE", "parametro": "P11", "perfil": "FIJADO", "pertinencia": "SI", "recepcion": "ADMITIDA", "tipo": "TEXTO", "tipo_objetivo": "TEXTO", "valor": "150"}</x:v>
      </x:c>
    </x:row>
    <x:row r="8" ht="59" customHeight="1">
      <x:c r="A8" s="21" t="str">
        <x:v>TC-004</x:v>
      </x:c>
      <x:c r="B8" s="21" t="str">
        <x:v>P11</x:v>
      </x:c>
      <x:c r="C8" s="21" t="str">
        <x:v>Conflicto admitido</x:v>
      </x:c>
      <x:c r="D8" s="21" t="str">
        <x:v>ADMITIDA</x:v>
      </x:c>
      <x:c r="E8" s="21" t="str">
        <x:v>FIJADO</x:v>
      </x:c>
      <x:c r="F8" s="21" t="str">
        <x:v>SI</x:v>
      </x:c>
      <x:c r="G8" s="21" t="str">
        <x:v>PRESENTE</x:v>
      </x:c>
      <x:c r="H8" s="21" t="str">
        <x:v>SI</x:v>
      </x:c>
      <x:c r="I8" s="21" t="str">
        <x:v>TEXTO</x:v>
      </x:c>
      <x:c r="J8" s="21" t="str">
        <x:v>TEXTO</x:v>
      </x:c>
      <x:c r="K8" s="21" t="str">
        <x:v>150</x:v>
      </x:c>
      <x:c r="L8" s="21" t="str">
        <x:v>objetivo</x:v>
      </x:c>
      <x:c r="M8" s="21" t="str">
        <x:v>100</x:v>
      </x:c>
      <x:c r="N8" s="21" t="str">
        <x:v>200</x:v>
      </x:c>
      <x:c r="O8" s="21" t="str">
        <x:v>COMPLETA</x:v>
      </x:c>
      <x:c r="P8" s="21" t="str">
        <x:v>U</x:v>
      </x:c>
      <x:c r="Q8" s="21" t="str">
        <x:v>U</x:v>
      </x:c>
      <x:c r="R8" s="27" t="str">
        <x:f>IF(EXACT("x"&amp;P8,"x"&amp;Q8),"PASA","DISCORDA")</x:f>
        <x:v>PASA</x:v>
      </x:c>
      <x:c r="S8" s="21" t="str">
        <x:v>{"ancla": "100", "cobertura": "COMPLETA", "conflicto": "SI", "corte": "200", "objetivo": "objetivo", "observacion": "PRESENTE", "parametro": "P11", "perfil": "FIJADO", "pertinencia": "SI", "recepcion": "ADMITIDA", "tipo": "TEXTO", "tipo_objetivo": "TEXTO", "valor": "150"}</x:v>
      </x:c>
    </x:row>
    <x:row r="9" ht="59" customHeight="1">
      <x:c r="A9" s="21" t="str">
        <x:v>TC-005</x:v>
      </x:c>
      <x:c r="B9" s="21" t="str">
        <x:v>P11</x:v>
      </x:c>
      <x:c r="C9" s="21" t="str">
        <x:v>Fallo de captura sin Tri</x:v>
      </x:c>
      <x:c r="D9" s="21" t="str">
        <x:v>FALLO</x:v>
      </x:c>
      <x:c r="E9" s="21" t="str">
        <x:v>FIJADO</x:v>
      </x:c>
      <x:c r="F9" s="21" t="str">
        <x:v>SI</x:v>
      </x:c>
      <x:c r="G9" s="21" t="str">
        <x:v>PRESENTE</x:v>
      </x:c>
      <x:c r="H9" s="21" t="str">
        <x:v>NO</x:v>
      </x:c>
      <x:c r="I9" s="21" t="str">
        <x:v>TEXTO</x:v>
      </x:c>
      <x:c r="J9" s="21" t="str">
        <x:v>TEXTO</x:v>
      </x:c>
      <x:c r="K9" s="21" t="str">
        <x:v>150</x:v>
      </x:c>
      <x:c r="L9" s="21" t="str">
        <x:v>objetivo</x:v>
      </x:c>
      <x:c r="M9" s="21" t="str">
        <x:v>100</x:v>
      </x:c>
      <x:c r="N9" s="21" t="str">
        <x:v>200</x:v>
      </x:c>
      <x:c r="O9" s="21" t="str">
        <x:v>COMPLETA</x:v>
      </x:c>
      <x:c r="P9" s="21" t="str">
        <x:v>FALLO_TECNICO</x:v>
      </x:c>
      <x:c r="Q9" s="21" t="str">
        <x:v>FALLO_TECNICO</x:v>
      </x:c>
      <x:c r="R9" s="27" t="str">
        <x:f>IF(EXACT("x"&amp;P9,"x"&amp;Q9),"PASA","DISCORDA")</x:f>
        <x:v>PASA</x:v>
      </x:c>
      <x:c r="S9" s="21" t="str">
        <x:v>{"ancla": "100", "cobertura": "COMPLETA", "conflicto": "NO", "corte": "200", "objetivo": "objetivo", "observacion": "PRESENTE", "parametro": "P11", "perfil": "FIJADO", "pertinencia": "SI", "recepcion": "FALLO", "tipo": "TEXTO", "tipo_objetivo": "TEXTO", "valor": "150"}</x:v>
      </x:c>
    </x:row>
    <x:row r="10" ht="59" customHeight="1">
      <x:c r="A10" s="21" t="str">
        <x:v>TC-006</x:v>
      </x:c>
      <x:c r="B10" s="21" t="str">
        <x:v>P11</x:v>
      </x:c>
      <x:c r="C10" s="21" t="str">
        <x:v>Origen no admitido</x:v>
      </x:c>
      <x:c r="D10" s="21" t="str">
        <x:v>RECHAZADA</x:v>
      </x:c>
      <x:c r="E10" s="21" t="str">
        <x:v>FIJADO</x:v>
      </x:c>
      <x:c r="F10" s="21" t="str">
        <x:v>SI</x:v>
      </x:c>
      <x:c r="G10" s="21" t="str">
        <x:v>PRESENTE</x:v>
      </x:c>
      <x:c r="H10" s="21" t="str">
        <x:v>NO</x:v>
      </x:c>
      <x:c r="I10" s="21" t="str">
        <x:v>TEXTO</x:v>
      </x:c>
      <x:c r="J10" s="21" t="str">
        <x:v>TEXTO</x:v>
      </x:c>
      <x:c r="K10" s="21" t="str">
        <x:v>150</x:v>
      </x:c>
      <x:c r="L10" s="21" t="str">
        <x:v>objetivo</x:v>
      </x:c>
      <x:c r="M10" s="21" t="str">
        <x:v>100</x:v>
      </x:c>
      <x:c r="N10" s="21" t="str">
        <x:v>200</x:v>
      </x:c>
      <x:c r="O10" s="21" t="str">
        <x:v>COMPLETA</x:v>
      </x:c>
      <x:c r="P10" s="21" t="str">
        <x:v>NO_ADMITIDA</x:v>
      </x:c>
      <x:c r="Q10" s="21" t="str">
        <x:v>NO_ADMITIDA</x:v>
      </x:c>
      <x:c r="R10" s="27" t="str">
        <x:f>IF(EXACT("x"&amp;P10,"x"&amp;Q10),"PASA","DISCORDA")</x:f>
        <x:v>PASA</x:v>
      </x:c>
      <x:c r="S10" s="21" t="str">
        <x:v>{"ancla": "100", "cobertura": "COMPLETA", "conflicto": "NO", "corte": "200", "objetivo": "objetivo", "observacion": "PRESENTE", "parametro": "P11", "perfil": "FIJADO", "pertinencia": "SI", "recepcion": "RECHAZADA", "tipo": "TEXTO", "tipo_objetivo": "TEXTO", "valor": "150"}</x:v>
      </x:c>
    </x:row>
    <x:row r="11" ht="59" customHeight="1">
      <x:c r="A11" s="21" t="str">
        <x:v>TC-007</x:v>
      </x:c>
      <x:c r="B11" s="21" t="str">
        <x:v>P11</x:v>
      </x:c>
      <x:c r="C11" s="21" t="str">
        <x:v>Perfil sin regla</x:v>
      </x:c>
      <x:c r="D11" s="21" t="str">
        <x:v>ADMITIDA</x:v>
      </x:c>
      <x:c r="E11" s="21" t="str">
        <x:v>PENDIENTE</x:v>
      </x:c>
      <x:c r="F11" s="21" t="str">
        <x:v>SI</x:v>
      </x:c>
      <x:c r="G11" s="21" t="str">
        <x:v>PRESENTE</x:v>
      </x:c>
      <x:c r="H11" s="21" t="str">
        <x:v>NO</x:v>
      </x:c>
      <x:c r="I11" s="21" t="str">
        <x:v>TEXTO</x:v>
      </x:c>
      <x:c r="J11" s="21" t="str">
        <x:v>TEXTO</x:v>
      </x:c>
      <x:c r="K11" s="21" t="str">
        <x:v>150</x:v>
      </x:c>
      <x:c r="L11" s="21" t="str">
        <x:v>objetivo</x:v>
      </x:c>
      <x:c r="M11" s="21" t="str">
        <x:v>100</x:v>
      </x:c>
      <x:c r="N11" s="21" t="str">
        <x:v>200</x:v>
      </x:c>
      <x:c r="O11" s="21" t="str">
        <x:v>COMPLETA</x:v>
      </x:c>
      <x:c r="P11" s="21" t="str">
        <x:v>CONFIGURACION_PENDIENTE</x:v>
      </x:c>
      <x:c r="Q11" s="21" t="str">
        <x:v>CONFIGURACION_PENDIENTE</x:v>
      </x:c>
      <x:c r="R11" s="27" t="str">
        <x:f>IF(EXACT("x"&amp;P11,"x"&amp;Q11),"PASA","DISCORDA")</x:f>
        <x:v>PASA</x:v>
      </x:c>
      <x:c r="S11" s="21" t="str">
        <x:v>{"ancla": "100", "cobertura": "COMPLETA", "conflicto": "NO", "corte": "200", "objetivo": "objetivo", "observacion": "PRESENTE", "parametro": "P11", "perfil": "PENDIENTE", "pertinencia": "SI", "recepcion": "ADMITIDA", "tipo": "TEXTO", "tipo_objetivo": "TEXTO", "valor": "150"}</x:v>
      </x:c>
    </x:row>
    <x:row r="12" ht="59" customHeight="1">
      <x:c r="A12" s="21" t="str">
        <x:v>TC-008</x:v>
      </x:c>
      <x:c r="B12" s="21" t="str">
        <x:v>P11</x:v>
      </x:c>
      <x:c r="C12" s="21" t="str">
        <x:v>Sujeto fuera del perfil</x:v>
      </x:c>
      <x:c r="D12" s="21" t="str">
        <x:v>ADMITIDA</x:v>
      </x:c>
      <x:c r="E12" s="21" t="str">
        <x:v>FIJADO</x:v>
      </x:c>
      <x:c r="F12" s="21" t="str">
        <x:v>NO</x:v>
      </x:c>
      <x:c r="G12" s="21" t="str">
        <x:v>PRESENTE</x:v>
      </x:c>
      <x:c r="H12" s="21" t="str">
        <x:v>NO</x:v>
      </x:c>
      <x:c r="I12" s="21" t="str">
        <x:v>TEXTO</x:v>
      </x:c>
      <x:c r="J12" s="21" t="str">
        <x:v>TEXTO</x:v>
      </x:c>
      <x:c r="K12" s="21" t="str">
        <x:v>150</x:v>
      </x:c>
      <x:c r="L12" s="21" t="str">
        <x:v>objetivo</x:v>
      </x:c>
      <x:c r="M12" s="21" t="str">
        <x:v>100</x:v>
      </x:c>
      <x:c r="N12" s="21" t="str">
        <x:v>200</x:v>
      </x:c>
      <x:c r="O12" s="21" t="str">
        <x:v>COMPLETA</x:v>
      </x:c>
      <x:c r="P12" s="21" t="str">
        <x:v>FUERA_DE_PERFIL</x:v>
      </x:c>
      <x:c r="Q12" s="21" t="str">
        <x:v>FUERA_DE_PERFIL</x:v>
      </x:c>
      <x:c r="R12" s="27" t="str">
        <x:f>IF(EXACT("x"&amp;P12,"x"&amp;Q12),"PASA","DISCORDA")</x:f>
        <x:v>PASA</x:v>
      </x:c>
      <x:c r="S12" s="21" t="str">
        <x:v>{"ancla": "100", "cobertura": "COMPLETA", "conflicto": "NO", "corte": "200", "objetivo": "objetivo", "observacion": "PRESENTE", "parametro": "P11", "perfil": "FIJADO", "pertinencia": "NO", "recepcion": "ADMITIDA", "tipo": "TEXTO", "tipo_objetivo": "TEXTO", "valor": "150"}</x:v>
      </x:c>
    </x:row>
    <x:row r="13" ht="59" customHeight="1">
      <x:c r="A13" s="21" t="str">
        <x:v>TC-009</x:v>
      </x:c>
      <x:c r="B13" s="21" t="str">
        <x:v>P12</x:v>
      </x:c>
      <x:c r="C13" s="21" t="str">
        <x:v>Testigo positivo del predicado</x:v>
      </x:c>
      <x:c r="D13" s="21" t="str">
        <x:v>ADMITIDA</x:v>
      </x:c>
      <x:c r="E13" s="21" t="str">
        <x:v>FIJADO</x:v>
      </x:c>
      <x:c r="F13" s="21" t="str">
        <x:v>SI</x:v>
      </x:c>
      <x:c r="G13" s="21" t="str">
        <x:v>PRESENTE</x:v>
      </x:c>
      <x:c r="H13" s="21" t="str">
        <x:v>NO</x:v>
      </x:c>
      <x:c r="I13" s="21" t="str">
        <x:v>TEXTO</x:v>
      </x:c>
      <x:c r="J13" s="21" t="str">
        <x:v>TEXTO</x:v>
      </x:c>
      <x:c r="K13" s="21" t="str">
        <x:v>objetivo</x:v>
      </x:c>
      <x:c r="L13" s="21" t="str">
        <x:v>objetivo</x:v>
      </x:c>
      <x:c r="M13" s="21" t="str">
        <x:v>100</x:v>
      </x:c>
      <x:c r="N13" s="21" t="str">
        <x:v>200</x:v>
      </x:c>
      <x:c r="O13" s="21" t="str">
        <x:v>COMPLETA</x:v>
      </x:c>
      <x:c r="P13" s="21" t="str">
        <x:v>1</x:v>
      </x:c>
      <x:c r="Q13" s="21" t="str">
        <x:v>1</x:v>
      </x:c>
      <x:c r="R13" s="27" t="str">
        <x:f>IF(EXACT("x"&amp;P13,"x"&amp;Q13),"PASA","DISCORDA")</x:f>
        <x:v>PASA</x:v>
      </x:c>
      <x:c r="S13" s="21" t="str">
        <x:v>{"ancla": "100", "cobertura": "COMPLETA", "conflicto": "NO", "corte": "200", "objetivo": "objetivo", "observacion": "PRESENTE", "parametro": "P12", "perfil": "FIJADO", "pertinencia": "SI", "recepcion": "ADMITIDA", "tipo": "TEXTO", "tipo_objetivo": "TEXTO", "valor": "objetivo"}</x:v>
      </x:c>
    </x:row>
    <x:row r="14" ht="59" customHeight="1">
      <x:c r="A14" s="21" t="str">
        <x:v>TC-010</x:v>
      </x:c>
      <x:c r="B14" s="21" t="str">
        <x:v>P12</x:v>
      </x:c>
      <x:c r="C14" s="21" t="str">
        <x:v>Negación acreditada</x:v>
      </x:c>
      <x:c r="D14" s="21" t="str">
        <x:v>ADMITIDA</x:v>
      </x:c>
      <x:c r="E14" s="21" t="str">
        <x:v>FIJADO</x:v>
      </x:c>
      <x:c r="F14" s="21" t="str">
        <x:v>SI</x:v>
      </x:c>
      <x:c r="G14" s="21" t="str">
        <x:v>PRESENTE</x:v>
      </x:c>
      <x:c r="H14" s="21" t="str">
        <x:v>NO</x:v>
      </x:c>
      <x:c r="I14" s="21" t="str">
        <x:v>TEXTO</x:v>
      </x:c>
      <x:c r="J14" s="21" t="str">
        <x:v>TEXTO</x:v>
      </x:c>
      <x:c r="K14" s="21" t="str">
        <x:v>anterior</x:v>
      </x:c>
      <x:c r="L14" s="21" t="str">
        <x:v>objetivo</x:v>
      </x:c>
      <x:c r="M14" s="21" t="str">
        <x:v>100</x:v>
      </x:c>
      <x:c r="N14" s="21" t="str">
        <x:v>200</x:v>
      </x:c>
      <x:c r="O14" s="21" t="str">
        <x:v>COMPLETA</x:v>
      </x:c>
      <x:c r="P14" s="21" t="str">
        <x:v>0</x:v>
      </x:c>
      <x:c r="Q14" s="21" t="str">
        <x:v>0</x:v>
      </x:c>
      <x:c r="R14" s="27" t="str">
        <x:f>IF(EXACT("x"&amp;P14,"x"&amp;Q14),"PASA","DISCORDA")</x:f>
        <x:v>PASA</x:v>
      </x:c>
      <x:c r="S14" s="21" t="str">
        <x:v>{"ancla": "100", "cobertura": "COMPLETA", "conflicto": "NO", "corte": "200", "objetivo": "objetivo", "observacion": "PRESENTE", "parametro": "P12", "perfil": "FIJADO", "pertinencia": "SI", "recepcion": "ADMITIDA", "tipo": "TEXTO", "tipo_objetivo": "TEXTO", "valor": "anterior"}</x:v>
      </x:c>
    </x:row>
    <x:row r="15" ht="59" customHeight="1">
      <x:c r="A15" s="21" t="str">
        <x:v>TC-011</x:v>
      </x:c>
      <x:c r="B15" s="21" t="str">
        <x:v>P12</x:v>
      </x:c>
      <x:c r="C15" s="21" t="str">
        <x:v>Ausencia declarada no es cero</x:v>
      </x:c>
      <x:c r="D15" s="21" t="str">
        <x:v>ADMITIDA</x:v>
      </x:c>
      <x:c r="E15" s="21" t="str">
        <x:v>FIJADO</x:v>
      </x:c>
      <x:c r="F15" s="21" t="str">
        <x:v>SI</x:v>
      </x:c>
      <x:c r="G15" s="21" t="str">
        <x:v>AUSENTE</x:v>
      </x:c>
      <x:c r="H15" s="21" t="str">
        <x:v>NO</x:v>
      </x:c>
      <x:c r="I15" s="21" t="str">
        <x:v>TEXTO</x:v>
      </x:c>
      <x:c r="J15" s="21" t="str">
        <x:v>TEXTO</x:v>
      </x:c>
      <x:c r="K15" s="21" t="str">
        <x:v>objetivo</x:v>
      </x:c>
      <x:c r="L15" s="21" t="str">
        <x:v>objetivo</x:v>
      </x:c>
      <x:c r="M15" s="21" t="str">
        <x:v>100</x:v>
      </x:c>
      <x:c r="N15" s="21" t="str">
        <x:v>200</x:v>
      </x:c>
      <x:c r="O15" s="21" t="str">
        <x:v>COMPLETA</x:v>
      </x:c>
      <x:c r="P15" s="21" t="str">
        <x:v>U</x:v>
      </x:c>
      <x:c r="Q15" s="21" t="str">
        <x:v>U</x:v>
      </x:c>
      <x:c r="R15" s="27" t="str">
        <x:f>IF(EXACT("x"&amp;P15,"x"&amp;Q15),"PASA","DISCORDA")</x:f>
        <x:v>PASA</x:v>
      </x:c>
      <x:c r="S15" s="21" t="str">
        <x:v>{"ancla": "100", "cobertura": "COMPLETA", "conflicto": "NO", "corte": "200", "objetivo": "objetivo", "observacion": "AUSENTE", "parametro": "P12", "perfil": "FIJADO", "pertinencia": "SI", "recepcion": "ADMITIDA", "tipo": "TEXTO", "tipo_objetivo": "TEXTO", "valor": "objetivo"}</x:v>
      </x:c>
    </x:row>
    <x:row r="16" ht="59" customHeight="1">
      <x:c r="A16" s="21" t="str">
        <x:v>TC-012</x:v>
      </x:c>
      <x:c r="B16" s="21" t="str">
        <x:v>P12</x:v>
      </x:c>
      <x:c r="C16" s="21" t="str">
        <x:v>Conflicto admitido</x:v>
      </x:c>
      <x:c r="D16" s="21" t="str">
        <x:v>ADMITIDA</x:v>
      </x:c>
      <x:c r="E16" s="21" t="str">
        <x:v>FIJADO</x:v>
      </x:c>
      <x:c r="F16" s="21" t="str">
        <x:v>SI</x:v>
      </x:c>
      <x:c r="G16" s="21" t="str">
        <x:v>PRESENTE</x:v>
      </x:c>
      <x:c r="H16" s="21" t="str">
        <x:v>SI</x:v>
      </x:c>
      <x:c r="I16" s="21" t="str">
        <x:v>TEXTO</x:v>
      </x:c>
      <x:c r="J16" s="21" t="str">
        <x:v>TEXTO</x:v>
      </x:c>
      <x:c r="K16" s="21" t="str">
        <x:v>objetivo</x:v>
      </x:c>
      <x:c r="L16" s="21" t="str">
        <x:v>objetivo</x:v>
      </x:c>
      <x:c r="M16" s="21" t="str">
        <x:v>100</x:v>
      </x:c>
      <x:c r="N16" s="21" t="str">
        <x:v>200</x:v>
      </x:c>
      <x:c r="O16" s="21" t="str">
        <x:v>COMPLETA</x:v>
      </x:c>
      <x:c r="P16" s="21" t="str">
        <x:v>U</x:v>
      </x:c>
      <x:c r="Q16" s="21" t="str">
        <x:v>U</x:v>
      </x:c>
      <x:c r="R16" s="27" t="str">
        <x:f>IF(EXACT("x"&amp;P16,"x"&amp;Q16),"PASA","DISCORDA")</x:f>
        <x:v>PASA</x:v>
      </x:c>
      <x:c r="S16" s="21" t="str">
        <x:v>{"ancla": "100", "cobertura": "COMPLETA", "conflicto": "SI", "corte": "200", "objetivo": "objetivo", "observacion": "PRESENTE", "parametro": "P12", "perfil": "FIJADO", "pertinencia": "SI", "recepcion": "ADMITIDA", "tipo": "TEXTO", "tipo_objetivo": "TEXTO", "valor": "objetivo"}</x:v>
      </x:c>
    </x:row>
    <x:row r="17" ht="59" customHeight="1">
      <x:c r="A17" s="21" t="str">
        <x:v>TC-013</x:v>
      </x:c>
      <x:c r="B17" s="21" t="str">
        <x:v>P12</x:v>
      </x:c>
      <x:c r="C17" s="21" t="str">
        <x:v>Fallo de captura sin Tri</x:v>
      </x:c>
      <x:c r="D17" s="21" t="str">
        <x:v>FALLO</x:v>
      </x:c>
      <x:c r="E17" s="21" t="str">
        <x:v>FIJADO</x:v>
      </x:c>
      <x:c r="F17" s="21" t="str">
        <x:v>SI</x:v>
      </x:c>
      <x:c r="G17" s="21" t="str">
        <x:v>PRESENTE</x:v>
      </x:c>
      <x:c r="H17" s="21" t="str">
        <x:v>NO</x:v>
      </x:c>
      <x:c r="I17" s="21" t="str">
        <x:v>TEXTO</x:v>
      </x:c>
      <x:c r="J17" s="21" t="str">
        <x:v>TEXTO</x:v>
      </x:c>
      <x:c r="K17" s="21" t="str">
        <x:v>objetivo</x:v>
      </x:c>
      <x:c r="L17" s="21" t="str">
        <x:v>objetivo</x:v>
      </x:c>
      <x:c r="M17" s="21" t="str">
        <x:v>100</x:v>
      </x:c>
      <x:c r="N17" s="21" t="str">
        <x:v>200</x:v>
      </x:c>
      <x:c r="O17" s="21" t="str">
        <x:v>COMPLETA</x:v>
      </x:c>
      <x:c r="P17" s="21" t="str">
        <x:v>FALLO_TECNICO</x:v>
      </x:c>
      <x:c r="Q17" s="21" t="str">
        <x:v>FALLO_TECNICO</x:v>
      </x:c>
      <x:c r="R17" s="27" t="str">
        <x:f>IF(EXACT("x"&amp;P17,"x"&amp;Q17),"PASA","DISCORDA")</x:f>
        <x:v>PASA</x:v>
      </x:c>
      <x:c r="S17" s="21" t="str">
        <x:v>{"ancla": "100", "cobertura": "COMPLETA", "conflicto": "NO", "corte": "200", "objetivo": "objetivo", "observacion": "PRESENTE", "parametro": "P12", "perfil": "FIJADO", "pertinencia": "SI", "recepcion": "FALLO", "tipo": "TEXTO", "tipo_objetivo": "TEXTO", "valor": "objetivo"}</x:v>
      </x:c>
    </x:row>
    <x:row r="18" ht="59" customHeight="1">
      <x:c r="A18" s="21" t="str">
        <x:v>TC-014</x:v>
      </x:c>
      <x:c r="B18" s="21" t="str">
        <x:v>P12</x:v>
      </x:c>
      <x:c r="C18" s="21" t="str">
        <x:v>Origen no admitido</x:v>
      </x:c>
      <x:c r="D18" s="21" t="str">
        <x:v>RECHAZADA</x:v>
      </x:c>
      <x:c r="E18" s="21" t="str">
        <x:v>FIJADO</x:v>
      </x:c>
      <x:c r="F18" s="21" t="str">
        <x:v>SI</x:v>
      </x:c>
      <x:c r="G18" s="21" t="str">
        <x:v>PRESENTE</x:v>
      </x:c>
      <x:c r="H18" s="21" t="str">
        <x:v>NO</x:v>
      </x:c>
      <x:c r="I18" s="21" t="str">
        <x:v>TEXTO</x:v>
      </x:c>
      <x:c r="J18" s="21" t="str">
        <x:v>TEXTO</x:v>
      </x:c>
      <x:c r="K18" s="21" t="str">
        <x:v>objetivo</x:v>
      </x:c>
      <x:c r="L18" s="21" t="str">
        <x:v>objetivo</x:v>
      </x:c>
      <x:c r="M18" s="21" t="str">
        <x:v>100</x:v>
      </x:c>
      <x:c r="N18" s="21" t="str">
        <x:v>200</x:v>
      </x:c>
      <x:c r="O18" s="21" t="str">
        <x:v>COMPLETA</x:v>
      </x:c>
      <x:c r="P18" s="21" t="str">
        <x:v>NO_ADMITIDA</x:v>
      </x:c>
      <x:c r="Q18" s="21" t="str">
        <x:v>NO_ADMITIDA</x:v>
      </x:c>
      <x:c r="R18" s="27" t="str">
        <x:f>IF(EXACT("x"&amp;P18,"x"&amp;Q18),"PASA","DISCORDA")</x:f>
        <x:v>PASA</x:v>
      </x:c>
      <x:c r="S18" s="21" t="str">
        <x:v>{"ancla": "100", "cobertura": "COMPLETA", "conflicto": "NO", "corte": "200", "objetivo": "objetivo", "observacion": "PRESENTE", "parametro": "P12", "perfil": "FIJADO", "pertinencia": "SI", "recepcion": "RECHAZADA", "tipo": "TEXTO", "tipo_objetivo": "TEXTO", "valor": "objetivo"}</x:v>
      </x:c>
    </x:row>
    <x:row r="19" ht="59" customHeight="1">
      <x:c r="A19" s="21" t="str">
        <x:v>TC-015</x:v>
      </x:c>
      <x:c r="B19" s="21" t="str">
        <x:v>P12</x:v>
      </x:c>
      <x:c r="C19" s="21" t="str">
        <x:v>Perfil sin regla</x:v>
      </x:c>
      <x:c r="D19" s="21" t="str">
        <x:v>ADMITIDA</x:v>
      </x:c>
      <x:c r="E19" s="21" t="str">
        <x:v>PENDIENTE</x:v>
      </x:c>
      <x:c r="F19" s="21" t="str">
        <x:v>SI</x:v>
      </x:c>
      <x:c r="G19" s="21" t="str">
        <x:v>PRESENTE</x:v>
      </x:c>
      <x:c r="H19" s="21" t="str">
        <x:v>NO</x:v>
      </x:c>
      <x:c r="I19" s="21" t="str">
        <x:v>TEXTO</x:v>
      </x:c>
      <x:c r="J19" s="21" t="str">
        <x:v>TEXTO</x:v>
      </x:c>
      <x:c r="K19" s="21" t="str">
        <x:v>objetivo</x:v>
      </x:c>
      <x:c r="L19" s="21" t="str">
        <x:v>objetivo</x:v>
      </x:c>
      <x:c r="M19" s="21" t="str">
        <x:v>100</x:v>
      </x:c>
      <x:c r="N19" s="21" t="str">
        <x:v>200</x:v>
      </x:c>
      <x:c r="O19" s="21" t="str">
        <x:v>COMPLETA</x:v>
      </x:c>
      <x:c r="P19" s="21" t="str">
        <x:v>CONFIGURACION_PENDIENTE</x:v>
      </x:c>
      <x:c r="Q19" s="21" t="str">
        <x:v>CONFIGURACION_PENDIENTE</x:v>
      </x:c>
      <x:c r="R19" s="27" t="str">
        <x:f>IF(EXACT("x"&amp;P19,"x"&amp;Q19),"PASA","DISCORDA")</x:f>
        <x:v>PASA</x:v>
      </x:c>
      <x:c r="S19" s="21" t="str">
        <x:v>{"ancla": "100", "cobertura": "COMPLETA", "conflicto": "NO", "corte": "200", "objetivo": "objetivo", "observacion": "PRESENTE", "parametro": "P12", "perfil": "PENDIENTE", "pertinencia": "SI", "recepcion": "ADMITIDA", "tipo": "TEXTO", "tipo_objetivo": "TEXTO", "valor": "objetivo"}</x:v>
      </x:c>
    </x:row>
    <x:row r="20" ht="59" customHeight="1">
      <x:c r="A20" s="21" t="str">
        <x:v>TC-016</x:v>
      </x:c>
      <x:c r="B20" s="21" t="str">
        <x:v>P12</x:v>
      </x:c>
      <x:c r="C20" s="21" t="str">
        <x:v>Sujeto fuera del perfil</x:v>
      </x:c>
      <x:c r="D20" s="21" t="str">
        <x:v>ADMITIDA</x:v>
      </x:c>
      <x:c r="E20" s="21" t="str">
        <x:v>FIJADO</x:v>
      </x:c>
      <x:c r="F20" s="21" t="str">
        <x:v>NO</x:v>
      </x:c>
      <x:c r="G20" s="21" t="str">
        <x:v>PRESENTE</x:v>
      </x:c>
      <x:c r="H20" s="21" t="str">
        <x:v>NO</x:v>
      </x:c>
      <x:c r="I20" s="21" t="str">
        <x:v>TEXTO</x:v>
      </x:c>
      <x:c r="J20" s="21" t="str">
        <x:v>TEXTO</x:v>
      </x:c>
      <x:c r="K20" s="21" t="str">
        <x:v>objetivo</x:v>
      </x:c>
      <x:c r="L20" s="21" t="str">
        <x:v>objetivo</x:v>
      </x:c>
      <x:c r="M20" s="21" t="str">
        <x:v>100</x:v>
      </x:c>
      <x:c r="N20" s="21" t="str">
        <x:v>200</x:v>
      </x:c>
      <x:c r="O20" s="21" t="str">
        <x:v>COMPLETA</x:v>
      </x:c>
      <x:c r="P20" s="21" t="str">
        <x:v>FUERA_DE_PERFIL</x:v>
      </x:c>
      <x:c r="Q20" s="21" t="str">
        <x:v>FUERA_DE_PERFIL</x:v>
      </x:c>
      <x:c r="R20" s="27" t="str">
        <x:f>IF(EXACT("x"&amp;P20,"x"&amp;Q20),"PASA","DISCORDA")</x:f>
        <x:v>PASA</x:v>
      </x:c>
      <x:c r="S20" s="21" t="str">
        <x:v>{"ancla": "100", "cobertura": "COMPLETA", "conflicto": "NO", "corte": "200", "objetivo": "objetivo", "observacion": "PRESENTE", "parametro": "P12", "perfil": "FIJADO", "pertinencia": "NO", "recepcion": "ADMITIDA", "tipo": "TEXTO", "tipo_objetivo": "TEXTO", "valor": "objetivo"}</x:v>
      </x:c>
    </x:row>
    <x:row r="21" ht="74" customHeight="1">
      <x:c r="A21" s="21" t="str">
        <x:v>TC-017</x:v>
      </x:c>
      <x:c r="B21" s="21" t="str">
        <x:v>P13</x:v>
      </x:c>
      <x:c r="C21" s="21" t="str">
        <x:v>Testigo positivo del predicado</x:v>
      </x:c>
      <x:c r="D21" s="21" t="str">
        <x:v>ADMITIDA</x:v>
      </x:c>
      <x:c r="E21" s="21" t="str">
        <x:v>FIJADO</x:v>
      </x:c>
      <x:c r="F21" s="21" t="str">
        <x:v>SI</x:v>
      </x:c>
      <x:c r="G21" s="21" t="str">
        <x:v>PRESENTE</x:v>
      </x:c>
      <x:c r="H21" s="21" t="str">
        <x:v>NO</x:v>
      </x:c>
      <x:c r="I21" s="21" t="str">
        <x:v>TEXTO</x:v>
      </x:c>
      <x:c r="J21" s="21" t="str">
        <x:v>TEXTO</x:v>
      </x:c>
      <x:c r="K21" s="21" t="str">
        <x:v>0000000000000000000000000000000000000000000000000000000000000001</x:v>
      </x:c>
      <x:c r="L21" s="21" t="str">
        <x:v>0000000000000000000000000000000000000000000000000000000000000001</x:v>
      </x:c>
      <x:c r="M21" s="21" t="str">
        <x:v>100</x:v>
      </x:c>
      <x:c r="N21" s="21" t="str">
        <x:v>200</x:v>
      </x:c>
      <x:c r="O21" s="21" t="str">
        <x:v>COMPLETA</x:v>
      </x:c>
      <x:c r="P21" s="21" t="str">
        <x:v>1</x:v>
      </x:c>
      <x:c r="Q21" s="21" t="str">
        <x:v>1</x:v>
      </x:c>
      <x:c r="R21" s="27" t="str">
        <x:f>IF(EXACT("x"&amp;P21,"x"&amp;Q21),"PASA","DISCORDA")</x:f>
        <x:v>PASA</x:v>
      </x:c>
      <x:c r="S21" s="21" t="str">
        <x:v>{"ancla": "100", "cobertura": "COMPLETA", "conflicto": "NO", "corte": "200", "objetivo": "0000000000000000000000000000000000000000000000000000000000000001", "observacion": "PRESENTE", "parametro": "P13", "perfil": "FIJADO", "pertinencia": "SI", "recepcion": "ADMITIDA", "tipo": "TEXTO", "tipo_objetivo": "TEXTO", "valor": "0000000000000000000000000000000000000000000000000000000000000001"}</x:v>
      </x:c>
    </x:row>
    <x:row r="22" ht="74" customHeight="1">
      <x:c r="A22" s="21" t="str">
        <x:v>TC-018</x:v>
      </x:c>
      <x:c r="B22" s="21" t="str">
        <x:v>P13</x:v>
      </x:c>
      <x:c r="C22" s="21" t="str">
        <x:v>Negación acreditada</x:v>
      </x:c>
      <x:c r="D22" s="21" t="str">
        <x:v>ADMITIDA</x:v>
      </x:c>
      <x:c r="E22" s="21" t="str">
        <x:v>FIJADO</x:v>
      </x:c>
      <x:c r="F22" s="21" t="str">
        <x:v>SI</x:v>
      </x:c>
      <x:c r="G22" s="21" t="str">
        <x:v>PRESENTE</x:v>
      </x:c>
      <x:c r="H22" s="21" t="str">
        <x:v>NO</x:v>
      </x:c>
      <x:c r="I22" s="21" t="str">
        <x:v>TEXTO</x:v>
      </x:c>
      <x:c r="J22" s="21" t="str">
        <x:v>TEXTO</x:v>
      </x:c>
      <x:c r="K22" s="21" t="str">
        <x:v>0000000000000000000000000000000000000000000000000000000000000002</x:v>
      </x:c>
      <x:c r="L22" s="21" t="str">
        <x:v>0000000000000000000000000000000000000000000000000000000000000001</x:v>
      </x:c>
      <x:c r="M22" s="21" t="str">
        <x:v>100</x:v>
      </x:c>
      <x:c r="N22" s="21" t="str">
        <x:v>200</x:v>
      </x:c>
      <x:c r="O22" s="21" t="str">
        <x:v>COMPLETA</x:v>
      </x:c>
      <x:c r="P22" s="21" t="str">
        <x:v>0</x:v>
      </x:c>
      <x:c r="Q22" s="21" t="str">
        <x:v>0</x:v>
      </x:c>
      <x:c r="R22" s="27" t="str">
        <x:f>IF(EXACT("x"&amp;P22,"x"&amp;Q22),"PASA","DISCORDA")</x:f>
        <x:v>PASA</x:v>
      </x:c>
      <x:c r="S22" s="21" t="str">
        <x:v>{"ancla": "100", "cobertura": "COMPLETA", "conflicto": "NO", "corte": "200", "objetivo": "0000000000000000000000000000000000000000000000000000000000000001", "observacion": "PRESENTE", "parametro": "P13", "perfil": "FIJADO", "pertinencia": "SI", "recepcion": "ADMITIDA", "tipo": "TEXTO", "tipo_objetivo": "TEXTO", "valor": "0000000000000000000000000000000000000000000000000000000000000002"}</x:v>
      </x:c>
    </x:row>
    <x:row r="23" ht="74" customHeight="1">
      <x:c r="A23" s="21" t="str">
        <x:v>TC-019</x:v>
      </x:c>
      <x:c r="B23" s="21" t="str">
        <x:v>P13</x:v>
      </x:c>
      <x:c r="C23" s="21" t="str">
        <x:v>Ausencia declarada no es cero</x:v>
      </x:c>
      <x:c r="D23" s="21" t="str">
        <x:v>ADMITIDA</x:v>
      </x:c>
      <x:c r="E23" s="21" t="str">
        <x:v>FIJADO</x:v>
      </x:c>
      <x:c r="F23" s="21" t="str">
        <x:v>SI</x:v>
      </x:c>
      <x:c r="G23" s="21" t="str">
        <x:v>AUSENTE</x:v>
      </x:c>
      <x:c r="H23" s="21" t="str">
        <x:v>NO</x:v>
      </x:c>
      <x:c r="I23" s="21" t="str">
        <x:v>TEXTO</x:v>
      </x:c>
      <x:c r="J23" s="21" t="str">
        <x:v>TEXTO</x:v>
      </x:c>
      <x:c r="K23" s="21" t="str">
        <x:v>0000000000000000000000000000000000000000000000000000000000000001</x:v>
      </x:c>
      <x:c r="L23" s="21" t="str">
        <x:v>0000000000000000000000000000000000000000000000000000000000000001</x:v>
      </x:c>
      <x:c r="M23" s="21" t="str">
        <x:v>100</x:v>
      </x:c>
      <x:c r="N23" s="21" t="str">
        <x:v>200</x:v>
      </x:c>
      <x:c r="O23" s="21" t="str">
        <x:v>COMPLETA</x:v>
      </x:c>
      <x:c r="P23" s="21" t="str">
        <x:v>U</x:v>
      </x:c>
      <x:c r="Q23" s="21" t="str">
        <x:v>U</x:v>
      </x:c>
      <x:c r="R23" s="27" t="str">
        <x:f>IF(EXACT("x"&amp;P23,"x"&amp;Q23),"PASA","DISCORDA")</x:f>
        <x:v>PASA</x:v>
      </x:c>
      <x:c r="S23" s="21" t="str">
        <x:v>{"ancla": "100", "cobertura": "COMPLETA", "conflicto": "NO", "corte": "200", "objetivo": "0000000000000000000000000000000000000000000000000000000000000001", "observacion": "AUSENTE", "parametro": "P13", "perfil": "FIJADO", "pertinencia": "SI", "recepcion": "ADMITIDA", "tipo": "TEXTO", "tipo_objetivo": "TEXTO", "valor": "0000000000000000000000000000000000000000000000000000000000000001"}</x:v>
      </x:c>
    </x:row>
    <x:row r="24" ht="74" customHeight="1">
      <x:c r="A24" s="21" t="str">
        <x:v>TC-020</x:v>
      </x:c>
      <x:c r="B24" s="21" t="str">
        <x:v>P13</x:v>
      </x:c>
      <x:c r="C24" s="21" t="str">
        <x:v>Conflicto admitido</x:v>
      </x:c>
      <x:c r="D24" s="21" t="str">
        <x:v>ADMITIDA</x:v>
      </x:c>
      <x:c r="E24" s="21" t="str">
        <x:v>FIJADO</x:v>
      </x:c>
      <x:c r="F24" s="21" t="str">
        <x:v>SI</x:v>
      </x:c>
      <x:c r="G24" s="21" t="str">
        <x:v>PRESENTE</x:v>
      </x:c>
      <x:c r="H24" s="21" t="str">
        <x:v>SI</x:v>
      </x:c>
      <x:c r="I24" s="21" t="str">
        <x:v>TEXTO</x:v>
      </x:c>
      <x:c r="J24" s="21" t="str">
        <x:v>TEXTO</x:v>
      </x:c>
      <x:c r="K24" s="21" t="str">
        <x:v>0000000000000000000000000000000000000000000000000000000000000001</x:v>
      </x:c>
      <x:c r="L24" s="21" t="str">
        <x:v>0000000000000000000000000000000000000000000000000000000000000001</x:v>
      </x:c>
      <x:c r="M24" s="21" t="str">
        <x:v>100</x:v>
      </x:c>
      <x:c r="N24" s="21" t="str">
        <x:v>200</x:v>
      </x:c>
      <x:c r="O24" s="21" t="str">
        <x:v>COMPLETA</x:v>
      </x:c>
      <x:c r="P24" s="21" t="str">
        <x:v>U</x:v>
      </x:c>
      <x:c r="Q24" s="21" t="str">
        <x:v>U</x:v>
      </x:c>
      <x:c r="R24" s="27" t="str">
        <x:f>IF(EXACT("x"&amp;P24,"x"&amp;Q24),"PASA","DISCORDA")</x:f>
        <x:v>PASA</x:v>
      </x:c>
      <x:c r="S24" s="21" t="str">
        <x:v>{"ancla": "100", "cobertura": "COMPLETA", "conflicto": "SI", "corte": "200", "objetivo": "0000000000000000000000000000000000000000000000000000000000000001", "observacion": "PRESENTE", "parametro": "P13", "perfil": "FIJADO", "pertinencia": "SI", "recepcion": "ADMITIDA", "tipo": "TEXTO", "tipo_objetivo": "TEXTO", "valor": "0000000000000000000000000000000000000000000000000000000000000001"}</x:v>
      </x:c>
    </x:row>
    <x:row r="25" ht="74" customHeight="1">
      <x:c r="A25" s="21" t="str">
        <x:v>TC-021</x:v>
      </x:c>
      <x:c r="B25" s="21" t="str">
        <x:v>P13</x:v>
      </x:c>
      <x:c r="C25" s="21" t="str">
        <x:v>Fallo de captura sin Tri</x:v>
      </x:c>
      <x:c r="D25" s="21" t="str">
        <x:v>FALLO</x:v>
      </x:c>
      <x:c r="E25" s="21" t="str">
        <x:v>FIJADO</x:v>
      </x:c>
      <x:c r="F25" s="21" t="str">
        <x:v>SI</x:v>
      </x:c>
      <x:c r="G25" s="21" t="str">
        <x:v>PRESENTE</x:v>
      </x:c>
      <x:c r="H25" s="21" t="str">
        <x:v>NO</x:v>
      </x:c>
      <x:c r="I25" s="21" t="str">
        <x:v>TEXTO</x:v>
      </x:c>
      <x:c r="J25" s="21" t="str">
        <x:v>TEXTO</x:v>
      </x:c>
      <x:c r="K25" s="21" t="str">
        <x:v>0000000000000000000000000000000000000000000000000000000000000001</x:v>
      </x:c>
      <x:c r="L25" s="21" t="str">
        <x:v>0000000000000000000000000000000000000000000000000000000000000001</x:v>
      </x:c>
      <x:c r="M25" s="21" t="str">
        <x:v>100</x:v>
      </x:c>
      <x:c r="N25" s="21" t="str">
        <x:v>200</x:v>
      </x:c>
      <x:c r="O25" s="21" t="str">
        <x:v>COMPLETA</x:v>
      </x:c>
      <x:c r="P25" s="21" t="str">
        <x:v>FALLO_TECNICO</x:v>
      </x:c>
      <x:c r="Q25" s="21" t="str">
        <x:v>FALLO_TECNICO</x:v>
      </x:c>
      <x:c r="R25" s="27" t="str">
        <x:f>IF(EXACT("x"&amp;P25,"x"&amp;Q25),"PASA","DISCORDA")</x:f>
        <x:v>PASA</x:v>
      </x:c>
      <x:c r="S25" s="21" t="str">
        <x:v>{"ancla": "100", "cobertura": "COMPLETA", "conflicto": "NO", "corte": "200", "objetivo": "0000000000000000000000000000000000000000000000000000000000000001", "observacion": "PRESENTE", "parametro": "P13", "perfil": "FIJADO", "pertinencia": "SI", "recepcion": "FALLO", "tipo": "TEXTO", "tipo_objetivo": "TEXTO", "valor": "0000000000000000000000000000000000000000000000000000000000000001"}</x:v>
      </x:c>
    </x:row>
    <x:row r="26" ht="74" customHeight="1">
      <x:c r="A26" s="21" t="str">
        <x:v>TC-022</x:v>
      </x:c>
      <x:c r="B26" s="21" t="str">
        <x:v>P13</x:v>
      </x:c>
      <x:c r="C26" s="21" t="str">
        <x:v>Origen no admitido</x:v>
      </x:c>
      <x:c r="D26" s="21" t="str">
        <x:v>RECHAZADA</x:v>
      </x:c>
      <x:c r="E26" s="21" t="str">
        <x:v>FIJADO</x:v>
      </x:c>
      <x:c r="F26" s="21" t="str">
        <x:v>SI</x:v>
      </x:c>
      <x:c r="G26" s="21" t="str">
        <x:v>PRESENTE</x:v>
      </x:c>
      <x:c r="H26" s="21" t="str">
        <x:v>NO</x:v>
      </x:c>
      <x:c r="I26" s="21" t="str">
        <x:v>TEXTO</x:v>
      </x:c>
      <x:c r="J26" s="21" t="str">
        <x:v>TEXTO</x:v>
      </x:c>
      <x:c r="K26" s="21" t="str">
        <x:v>0000000000000000000000000000000000000000000000000000000000000001</x:v>
      </x:c>
      <x:c r="L26" s="21" t="str">
        <x:v>0000000000000000000000000000000000000000000000000000000000000001</x:v>
      </x:c>
      <x:c r="M26" s="21" t="str">
        <x:v>100</x:v>
      </x:c>
      <x:c r="N26" s="21" t="str">
        <x:v>200</x:v>
      </x:c>
      <x:c r="O26" s="21" t="str">
        <x:v>COMPLETA</x:v>
      </x:c>
      <x:c r="P26" s="21" t="str">
        <x:v>NO_ADMITIDA</x:v>
      </x:c>
      <x:c r="Q26" s="21" t="str">
        <x:v>NO_ADMITIDA</x:v>
      </x:c>
      <x:c r="R26" s="27" t="str">
        <x:f>IF(EXACT("x"&amp;P26,"x"&amp;Q26),"PASA","DISCORDA")</x:f>
        <x:v>PASA</x:v>
      </x:c>
      <x:c r="S26" s="21" t="str">
        <x:v>{"ancla": "100", "cobertura": "COMPLETA", "conflicto": "NO", "corte": "200", "objetivo": "0000000000000000000000000000000000000000000000000000000000000001", "observacion": "PRESENTE", "parametro": "P13", "perfil": "FIJADO", "pertinencia": "SI", "recepcion": "RECHAZADA", "tipo": "TEXTO", "tipo_objetivo": "TEXTO", "valor": "0000000000000000000000000000000000000000000000000000000000000001"}</x:v>
      </x:c>
    </x:row>
    <x:row r="27" ht="74" customHeight="1">
      <x:c r="A27" s="21" t="str">
        <x:v>TC-023</x:v>
      </x:c>
      <x:c r="B27" s="21" t="str">
        <x:v>P13</x:v>
      </x:c>
      <x:c r="C27" s="21" t="str">
        <x:v>Perfil sin regla</x:v>
      </x:c>
      <x:c r="D27" s="21" t="str">
        <x:v>ADMITIDA</x:v>
      </x:c>
      <x:c r="E27" s="21" t="str">
        <x:v>PENDIENTE</x:v>
      </x:c>
      <x:c r="F27" s="21" t="str">
        <x:v>SI</x:v>
      </x:c>
      <x:c r="G27" s="21" t="str">
        <x:v>PRESENTE</x:v>
      </x:c>
      <x:c r="H27" s="21" t="str">
        <x:v>NO</x:v>
      </x:c>
      <x:c r="I27" s="21" t="str">
        <x:v>TEXTO</x:v>
      </x:c>
      <x:c r="J27" s="21" t="str">
        <x:v>TEXTO</x:v>
      </x:c>
      <x:c r="K27" s="21" t="str">
        <x:v>0000000000000000000000000000000000000000000000000000000000000001</x:v>
      </x:c>
      <x:c r="L27" s="21" t="str">
        <x:v>0000000000000000000000000000000000000000000000000000000000000001</x:v>
      </x:c>
      <x:c r="M27" s="21" t="str">
        <x:v>100</x:v>
      </x:c>
      <x:c r="N27" s="21" t="str">
        <x:v>200</x:v>
      </x:c>
      <x:c r="O27" s="21" t="str">
        <x:v>COMPLETA</x:v>
      </x:c>
      <x:c r="P27" s="21" t="str">
        <x:v>CONFIGURACION_PENDIENTE</x:v>
      </x:c>
      <x:c r="Q27" s="21" t="str">
        <x:v>CONFIGURACION_PENDIENTE</x:v>
      </x:c>
      <x:c r="R27" s="27" t="str">
        <x:f>IF(EXACT("x"&amp;P27,"x"&amp;Q27),"PASA","DISCORDA")</x:f>
        <x:v>PASA</x:v>
      </x:c>
      <x:c r="S27" s="21" t="str">
        <x:v>{"ancla": "100", "cobertura": "COMPLETA", "conflicto": "NO", "corte": "200", "objetivo": "0000000000000000000000000000000000000000000000000000000000000001", "observacion": "PRESENTE", "parametro": "P13", "perfil": "PENDIENTE", "pertinencia": "SI", "recepcion": "ADMITIDA", "tipo": "TEXTO", "tipo_objetivo": "TEXTO", "valor": "0000000000000000000000000000000000000000000000000000000000000001"}</x:v>
      </x:c>
    </x:row>
    <x:row r="28" ht="74" customHeight="1">
      <x:c r="A28" s="21" t="str">
        <x:v>TC-024</x:v>
      </x:c>
      <x:c r="B28" s="21" t="str">
        <x:v>P13</x:v>
      </x:c>
      <x:c r="C28" s="21" t="str">
        <x:v>Sujeto fuera del perfil</x:v>
      </x:c>
      <x:c r="D28" s="21" t="str">
        <x:v>ADMITIDA</x:v>
      </x:c>
      <x:c r="E28" s="21" t="str">
        <x:v>FIJADO</x:v>
      </x:c>
      <x:c r="F28" s="21" t="str">
        <x:v>NO</x:v>
      </x:c>
      <x:c r="G28" s="21" t="str">
        <x:v>PRESENTE</x:v>
      </x:c>
      <x:c r="H28" s="21" t="str">
        <x:v>NO</x:v>
      </x:c>
      <x:c r="I28" s="21" t="str">
        <x:v>TEXTO</x:v>
      </x:c>
      <x:c r="J28" s="21" t="str">
        <x:v>TEXTO</x:v>
      </x:c>
      <x:c r="K28" s="21" t="str">
        <x:v>0000000000000000000000000000000000000000000000000000000000000001</x:v>
      </x:c>
      <x:c r="L28" s="21" t="str">
        <x:v>0000000000000000000000000000000000000000000000000000000000000001</x:v>
      </x:c>
      <x:c r="M28" s="21" t="str">
        <x:v>100</x:v>
      </x:c>
      <x:c r="N28" s="21" t="str">
        <x:v>200</x:v>
      </x:c>
      <x:c r="O28" s="21" t="str">
        <x:v>COMPLETA</x:v>
      </x:c>
      <x:c r="P28" s="21" t="str">
        <x:v>FUERA_DE_PERFIL</x:v>
      </x:c>
      <x:c r="Q28" s="21" t="str">
        <x:v>FUERA_DE_PERFIL</x:v>
      </x:c>
      <x:c r="R28" s="27" t="str">
        <x:f>IF(EXACT("x"&amp;P28,"x"&amp;Q28),"PASA","DISCORDA")</x:f>
        <x:v>PASA</x:v>
      </x:c>
      <x:c r="S28" s="21" t="str">
        <x:v>{"ancla": "100", "cobertura": "COMPLETA", "conflicto": "NO", "corte": "200", "objetivo": "0000000000000000000000000000000000000000000000000000000000000001", "observacion": "PRESENTE", "parametro": "P13", "perfil": "FIJADO", "pertinencia": "NO", "recepcion": "ADMITIDA", "tipo": "TEXTO", "tipo_objetivo": "TEXTO", "valor": "0000000000000000000000000000000000000000000000000000000000000001"}</x:v>
      </x:c>
    </x:row>
    <x:row r="29" ht="59" customHeight="1">
      <x:c r="A29" s="21" t="str">
        <x:v>TC-025</x:v>
      </x:c>
      <x:c r="B29" s="21" t="str">
        <x:v>P14</x:v>
      </x:c>
      <x:c r="C29" s="21" t="str">
        <x:v>Testigo positivo del predicado</x:v>
      </x:c>
      <x:c r="D29" s="21" t="str">
        <x:v>ADMITIDA</x:v>
      </x:c>
      <x:c r="E29" s="21" t="str">
        <x:v>FIJADO</x:v>
      </x:c>
      <x:c r="F29" s="21" t="str">
        <x:v>SI</x:v>
      </x:c>
      <x:c r="G29" s="21" t="str">
        <x:v>PRESENTE</x:v>
      </x:c>
      <x:c r="H29" s="21" t="str">
        <x:v>NO</x:v>
      </x:c>
      <x:c r="I29" s="21" t="str">
        <x:v>TEXTO</x:v>
      </x:c>
      <x:c r="J29" s="21" t="str">
        <x:v>TEXTO</x:v>
      </x:c>
      <x:c r="K29" s="21" t="str">
        <x:v>TRANSICION</x:v>
      </x:c>
      <x:c r="L29" s="21" t="str">
        <x:v>objetivo</x:v>
      </x:c>
      <x:c r="M29" s="21" t="str">
        <x:v>100</x:v>
      </x:c>
      <x:c r="N29" s="21" t="str">
        <x:v>200</x:v>
      </x:c>
      <x:c r="O29" s="21" t="str">
        <x:v>COMPLETA</x:v>
      </x:c>
      <x:c r="P29" s="21" t="str">
        <x:v>1</x:v>
      </x:c>
      <x:c r="Q29" s="21" t="str">
        <x:v>1</x:v>
      </x:c>
      <x:c r="R29" s="27" t="str">
        <x:f>IF(EXACT("x"&amp;P29,"x"&amp;Q29),"PASA","DISCORDA")</x:f>
        <x:v>PASA</x:v>
      </x:c>
      <x:c r="S29" s="21" t="str">
        <x:v>{"ancla": "100", "cobertura": "COMPLETA", "conflicto": "NO", "corte": "200", "objetivo": "objetivo", "observacion": "PRESENTE", "parametro": "P14", "perfil": "FIJADO", "pertinencia": "SI", "recepcion": "ADMITIDA", "tipo": "TEXTO", "tipo_objetivo": "TEXTO", "valor": "TRANSICION"}</x:v>
      </x:c>
    </x:row>
    <x:row r="30" ht="59" customHeight="1">
      <x:c r="A30" s="21" t="str">
        <x:v>TC-026</x:v>
      </x:c>
      <x:c r="B30" s="21" t="str">
        <x:v>P14</x:v>
      </x:c>
      <x:c r="C30" s="21" t="str">
        <x:v>Negación acreditada</x:v>
      </x:c>
      <x:c r="D30" s="21" t="str">
        <x:v>ADMITIDA</x:v>
      </x:c>
      <x:c r="E30" s="21" t="str">
        <x:v>FIJADO</x:v>
      </x:c>
      <x:c r="F30" s="21" t="str">
        <x:v>SI</x:v>
      </x:c>
      <x:c r="G30" s="21" t="str">
        <x:v>PRESENTE</x:v>
      </x:c>
      <x:c r="H30" s="21" t="str">
        <x:v>NO</x:v>
      </x:c>
      <x:c r="I30" s="21" t="str">
        <x:v>TEXTO</x:v>
      </x:c>
      <x:c r="J30" s="21" t="str">
        <x:v>TEXTO</x:v>
      </x:c>
      <x:c r="K30" s="21" t="str">
        <x:v>SIN_TRANSICION</x:v>
      </x:c>
      <x:c r="L30" s="21" t="str">
        <x:v>objetivo</x:v>
      </x:c>
      <x:c r="M30" s="21" t="str">
        <x:v>100</x:v>
      </x:c>
      <x:c r="N30" s="21" t="str">
        <x:v>200</x:v>
      </x:c>
      <x:c r="O30" s="21" t="str">
        <x:v>COMPLETA</x:v>
      </x:c>
      <x:c r="P30" s="21" t="str">
        <x:v>0</x:v>
      </x:c>
      <x:c r="Q30" s="21" t="str">
        <x:v>0</x:v>
      </x:c>
      <x:c r="R30" s="27" t="str">
        <x:f>IF(EXACT("x"&amp;P30,"x"&amp;Q30),"PASA","DISCORDA")</x:f>
        <x:v>PASA</x:v>
      </x:c>
      <x:c r="S30" s="21" t="str">
        <x:v>{"ancla": "100", "cobertura": "COMPLETA", "conflicto": "NO", "corte": "200", "objetivo": "objetivo", "observacion": "PRESENTE", "parametro": "P14", "perfil": "FIJADO", "pertinencia": "SI", "recepcion": "ADMITIDA", "tipo": "TEXTO", "tipo_objetivo": "TEXTO", "valor": "SIN_TRANSICION"}</x:v>
      </x:c>
    </x:row>
    <x:row r="31" ht="59" customHeight="1">
      <x:c r="A31" s="21" t="str">
        <x:v>TC-027</x:v>
      </x:c>
      <x:c r="B31" s="21" t="str">
        <x:v>P14</x:v>
      </x:c>
      <x:c r="C31" s="21" t="str">
        <x:v>Ausencia declarada no es cero</x:v>
      </x:c>
      <x:c r="D31" s="21" t="str">
        <x:v>ADMITIDA</x:v>
      </x:c>
      <x:c r="E31" s="21" t="str">
        <x:v>FIJADO</x:v>
      </x:c>
      <x:c r="F31" s="21" t="str">
        <x:v>SI</x:v>
      </x:c>
      <x:c r="G31" s="21" t="str">
        <x:v>AUSENTE</x:v>
      </x:c>
      <x:c r="H31" s="21" t="str">
        <x:v>NO</x:v>
      </x:c>
      <x:c r="I31" s="21" t="str">
        <x:v>TEXTO</x:v>
      </x:c>
      <x:c r="J31" s="21" t="str">
        <x:v>TEXTO</x:v>
      </x:c>
      <x:c r="K31" s="21" t="str">
        <x:v>TRANSICION</x:v>
      </x:c>
      <x:c r="L31" s="21" t="str">
        <x:v>objetivo</x:v>
      </x:c>
      <x:c r="M31" s="21" t="str">
        <x:v>100</x:v>
      </x:c>
      <x:c r="N31" s="21" t="str">
        <x:v>200</x:v>
      </x:c>
      <x:c r="O31" s="21" t="str">
        <x:v>COMPLETA</x:v>
      </x:c>
      <x:c r="P31" s="21" t="str">
        <x:v>U</x:v>
      </x:c>
      <x:c r="Q31" s="21" t="str">
        <x:v>U</x:v>
      </x:c>
      <x:c r="R31" s="27" t="str">
        <x:f>IF(EXACT("x"&amp;P31,"x"&amp;Q31),"PASA","DISCORDA")</x:f>
        <x:v>PASA</x:v>
      </x:c>
      <x:c r="S31" s="21" t="str">
        <x:v>{"ancla": "100", "cobertura": "COMPLETA", "conflicto": "NO", "corte": "200", "objetivo": "objetivo", "observacion": "AUSENTE", "parametro": "P14", "perfil": "FIJADO", "pertinencia": "SI", "recepcion": "ADMITIDA", "tipo": "TEXTO", "tipo_objetivo": "TEXTO", "valor": "TRANSICION"}</x:v>
      </x:c>
    </x:row>
    <x:row r="32" ht="59" customHeight="1">
      <x:c r="A32" s="21" t="str">
        <x:v>TC-028</x:v>
      </x:c>
      <x:c r="B32" s="21" t="str">
        <x:v>P14</x:v>
      </x:c>
      <x:c r="C32" s="21" t="str">
        <x:v>Conflicto admitido</x:v>
      </x:c>
      <x:c r="D32" s="21" t="str">
        <x:v>ADMITIDA</x:v>
      </x:c>
      <x:c r="E32" s="21" t="str">
        <x:v>FIJADO</x:v>
      </x:c>
      <x:c r="F32" s="21" t="str">
        <x:v>SI</x:v>
      </x:c>
      <x:c r="G32" s="21" t="str">
        <x:v>PRESENTE</x:v>
      </x:c>
      <x:c r="H32" s="21" t="str">
        <x:v>SI</x:v>
      </x:c>
      <x:c r="I32" s="21" t="str">
        <x:v>TEXTO</x:v>
      </x:c>
      <x:c r="J32" s="21" t="str">
        <x:v>TEXTO</x:v>
      </x:c>
      <x:c r="K32" s="21" t="str">
        <x:v>TRANSICION</x:v>
      </x:c>
      <x:c r="L32" s="21" t="str">
        <x:v>objetivo</x:v>
      </x:c>
      <x:c r="M32" s="21" t="str">
        <x:v>100</x:v>
      </x:c>
      <x:c r="N32" s="21" t="str">
        <x:v>200</x:v>
      </x:c>
      <x:c r="O32" s="21" t="str">
        <x:v>COMPLETA</x:v>
      </x:c>
      <x:c r="P32" s="21" t="str">
        <x:v>U</x:v>
      </x:c>
      <x:c r="Q32" s="21" t="str">
        <x:v>U</x:v>
      </x:c>
      <x:c r="R32" s="27" t="str">
        <x:f>IF(EXACT("x"&amp;P32,"x"&amp;Q32),"PASA","DISCORDA")</x:f>
        <x:v>PASA</x:v>
      </x:c>
      <x:c r="S32" s="21" t="str">
        <x:v>{"ancla": "100", "cobertura": "COMPLETA", "conflicto": "SI", "corte": "200", "objetivo": "objetivo", "observacion": "PRESENTE", "parametro": "P14", "perfil": "FIJADO", "pertinencia": "SI", "recepcion": "ADMITIDA", "tipo": "TEXTO", "tipo_objetivo": "TEXTO", "valor": "TRANSICION"}</x:v>
      </x:c>
    </x:row>
    <x:row r="33" ht="59" customHeight="1">
      <x:c r="A33" s="21" t="str">
        <x:v>TC-029</x:v>
      </x:c>
      <x:c r="B33" s="21" t="str">
        <x:v>P14</x:v>
      </x:c>
      <x:c r="C33" s="21" t="str">
        <x:v>Fallo de captura sin Tri</x:v>
      </x:c>
      <x:c r="D33" s="21" t="str">
        <x:v>FALLO</x:v>
      </x:c>
      <x:c r="E33" s="21" t="str">
        <x:v>FIJADO</x:v>
      </x:c>
      <x:c r="F33" s="21" t="str">
        <x:v>SI</x:v>
      </x:c>
      <x:c r="G33" s="21" t="str">
        <x:v>PRESENTE</x:v>
      </x:c>
      <x:c r="H33" s="21" t="str">
        <x:v>NO</x:v>
      </x:c>
      <x:c r="I33" s="21" t="str">
        <x:v>TEXTO</x:v>
      </x:c>
      <x:c r="J33" s="21" t="str">
        <x:v>TEXTO</x:v>
      </x:c>
      <x:c r="K33" s="21" t="str">
        <x:v>TRANSICION</x:v>
      </x:c>
      <x:c r="L33" s="21" t="str">
        <x:v>objetivo</x:v>
      </x:c>
      <x:c r="M33" s="21" t="str">
        <x:v>100</x:v>
      </x:c>
      <x:c r="N33" s="21" t="str">
        <x:v>200</x:v>
      </x:c>
      <x:c r="O33" s="21" t="str">
        <x:v>COMPLETA</x:v>
      </x:c>
      <x:c r="P33" s="21" t="str">
        <x:v>FALLO_TECNICO</x:v>
      </x:c>
      <x:c r="Q33" s="21" t="str">
        <x:v>FALLO_TECNICO</x:v>
      </x:c>
      <x:c r="R33" s="27" t="str">
        <x:f>IF(EXACT("x"&amp;P33,"x"&amp;Q33),"PASA","DISCORDA")</x:f>
        <x:v>PASA</x:v>
      </x:c>
      <x:c r="S33" s="21" t="str">
        <x:v>{"ancla": "100", "cobertura": "COMPLETA", "conflicto": "NO", "corte": "200", "objetivo": "objetivo", "observacion": "PRESENTE", "parametro": "P14", "perfil": "FIJADO", "pertinencia": "SI", "recepcion": "FALLO", "tipo": "TEXTO", "tipo_objetivo": "TEXTO", "valor": "TRANSICION"}</x:v>
      </x:c>
    </x:row>
    <x:row r="34" ht="59" customHeight="1">
      <x:c r="A34" s="21" t="str">
        <x:v>TC-030</x:v>
      </x:c>
      <x:c r="B34" s="21" t="str">
        <x:v>P14</x:v>
      </x:c>
      <x:c r="C34" s="21" t="str">
        <x:v>Origen no admitido</x:v>
      </x:c>
      <x:c r="D34" s="21" t="str">
        <x:v>RECHAZADA</x:v>
      </x:c>
      <x:c r="E34" s="21" t="str">
        <x:v>FIJADO</x:v>
      </x:c>
      <x:c r="F34" s="21" t="str">
        <x:v>SI</x:v>
      </x:c>
      <x:c r="G34" s="21" t="str">
        <x:v>PRESENTE</x:v>
      </x:c>
      <x:c r="H34" s="21" t="str">
        <x:v>NO</x:v>
      </x:c>
      <x:c r="I34" s="21" t="str">
        <x:v>TEXTO</x:v>
      </x:c>
      <x:c r="J34" s="21" t="str">
        <x:v>TEXTO</x:v>
      </x:c>
      <x:c r="K34" s="21" t="str">
        <x:v>TRANSICION</x:v>
      </x:c>
      <x:c r="L34" s="21" t="str">
        <x:v>objetivo</x:v>
      </x:c>
      <x:c r="M34" s="21" t="str">
        <x:v>100</x:v>
      </x:c>
      <x:c r="N34" s="21" t="str">
        <x:v>200</x:v>
      </x:c>
      <x:c r="O34" s="21" t="str">
        <x:v>COMPLETA</x:v>
      </x:c>
      <x:c r="P34" s="21" t="str">
        <x:v>NO_ADMITIDA</x:v>
      </x:c>
      <x:c r="Q34" s="21" t="str">
        <x:v>NO_ADMITIDA</x:v>
      </x:c>
      <x:c r="R34" s="27" t="str">
        <x:f>IF(EXACT("x"&amp;P34,"x"&amp;Q34),"PASA","DISCORDA")</x:f>
        <x:v>PASA</x:v>
      </x:c>
      <x:c r="S34" s="21" t="str">
        <x:v>{"ancla": "100", "cobertura": "COMPLETA", "conflicto": "NO", "corte": "200", "objetivo": "objetivo", "observacion": "PRESENTE", "parametro": "P14", "perfil": "FIJADO", "pertinencia": "SI", "recepcion": "RECHAZADA", "tipo": "TEXTO", "tipo_objetivo": "TEXTO", "valor": "TRANSICION"}</x:v>
      </x:c>
    </x:row>
    <x:row r="35" ht="59" customHeight="1">
      <x:c r="A35" s="21" t="str">
        <x:v>TC-031</x:v>
      </x:c>
      <x:c r="B35" s="21" t="str">
        <x:v>P14</x:v>
      </x:c>
      <x:c r="C35" s="21" t="str">
        <x:v>Perfil sin regla</x:v>
      </x:c>
      <x:c r="D35" s="21" t="str">
        <x:v>ADMITIDA</x:v>
      </x:c>
      <x:c r="E35" s="21" t="str">
        <x:v>PENDIENTE</x:v>
      </x:c>
      <x:c r="F35" s="21" t="str">
        <x:v>SI</x:v>
      </x:c>
      <x:c r="G35" s="21" t="str">
        <x:v>PRESENTE</x:v>
      </x:c>
      <x:c r="H35" s="21" t="str">
        <x:v>NO</x:v>
      </x:c>
      <x:c r="I35" s="21" t="str">
        <x:v>TEXTO</x:v>
      </x:c>
      <x:c r="J35" s="21" t="str">
        <x:v>TEXTO</x:v>
      </x:c>
      <x:c r="K35" s="21" t="str">
        <x:v>TRANSICION</x:v>
      </x:c>
      <x:c r="L35" s="21" t="str">
        <x:v>objetivo</x:v>
      </x:c>
      <x:c r="M35" s="21" t="str">
        <x:v>100</x:v>
      </x:c>
      <x:c r="N35" s="21" t="str">
        <x:v>200</x:v>
      </x:c>
      <x:c r="O35" s="21" t="str">
        <x:v>COMPLETA</x:v>
      </x:c>
      <x:c r="P35" s="21" t="str">
        <x:v>CONFIGURACION_PENDIENTE</x:v>
      </x:c>
      <x:c r="Q35" s="21" t="str">
        <x:v>CONFIGURACION_PENDIENTE</x:v>
      </x:c>
      <x:c r="R35" s="27" t="str">
        <x:f>IF(EXACT("x"&amp;P35,"x"&amp;Q35),"PASA","DISCORDA")</x:f>
        <x:v>PASA</x:v>
      </x:c>
      <x:c r="S35" s="21" t="str">
        <x:v>{"ancla": "100", "cobertura": "COMPLETA", "conflicto": "NO", "corte": "200", "objetivo": "objetivo", "observacion": "PRESENTE", "parametro": "P14", "perfil": "PENDIENTE", "pertinencia": "SI", "recepcion": "ADMITIDA", "tipo": "TEXTO", "tipo_objetivo": "TEXTO", "valor": "TRANSICION"}</x:v>
      </x:c>
    </x:row>
    <x:row r="36" ht="59" customHeight="1">
      <x:c r="A36" s="21" t="str">
        <x:v>TC-032</x:v>
      </x:c>
      <x:c r="B36" s="21" t="str">
        <x:v>P14</x:v>
      </x:c>
      <x:c r="C36" s="21" t="str">
        <x:v>Sujeto fuera del perfil</x:v>
      </x:c>
      <x:c r="D36" s="21" t="str">
        <x:v>ADMITIDA</x:v>
      </x:c>
      <x:c r="E36" s="21" t="str">
        <x:v>FIJADO</x:v>
      </x:c>
      <x:c r="F36" s="21" t="str">
        <x:v>NO</x:v>
      </x:c>
      <x:c r="G36" s="21" t="str">
        <x:v>PRESENTE</x:v>
      </x:c>
      <x:c r="H36" s="21" t="str">
        <x:v>NO</x:v>
      </x:c>
      <x:c r="I36" s="21" t="str">
        <x:v>TEXTO</x:v>
      </x:c>
      <x:c r="J36" s="21" t="str">
        <x:v>TEXTO</x:v>
      </x:c>
      <x:c r="K36" s="21" t="str">
        <x:v>TRANSICION</x:v>
      </x:c>
      <x:c r="L36" s="21" t="str">
        <x:v>objetivo</x:v>
      </x:c>
      <x:c r="M36" s="21" t="str">
        <x:v>100</x:v>
      </x:c>
      <x:c r="N36" s="21" t="str">
        <x:v>200</x:v>
      </x:c>
      <x:c r="O36" s="21" t="str">
        <x:v>COMPLETA</x:v>
      </x:c>
      <x:c r="P36" s="21" t="str">
        <x:v>FUERA_DE_PERFIL</x:v>
      </x:c>
      <x:c r="Q36" s="21" t="str">
        <x:v>FUERA_DE_PERFIL</x:v>
      </x:c>
      <x:c r="R36" s="27" t="str">
        <x:f>IF(EXACT("x"&amp;P36,"x"&amp;Q36),"PASA","DISCORDA")</x:f>
        <x:v>PASA</x:v>
      </x:c>
      <x:c r="S36" s="21" t="str">
        <x:v>{"ancla": "100", "cobertura": "COMPLETA", "conflicto": "NO", "corte": "200", "objetivo": "objetivo", "observacion": "PRESENTE", "parametro": "P14", "perfil": "FIJADO", "pertinencia": "NO", "recepcion": "ADMITIDA", "tipo": "TEXTO", "tipo_objetivo": "TEXTO", "valor": "TRANSICION"}</x:v>
      </x:c>
    </x:row>
    <x:row r="37" ht="59" customHeight="1">
      <x:c r="A37" s="21" t="str">
        <x:v>TC-033</x:v>
      </x:c>
      <x:c r="B37" s="21" t="str">
        <x:v>P15</x:v>
      </x:c>
      <x:c r="C37" s="21" t="str">
        <x:v>Testigo positivo del predicado</x:v>
      </x:c>
      <x:c r="D37" s="21" t="str">
        <x:v>ADMITIDA</x:v>
      </x:c>
      <x:c r="E37" s="21" t="str">
        <x:v>FIJADO</x:v>
      </x:c>
      <x:c r="F37" s="21" t="str">
        <x:v>SI</x:v>
      </x:c>
      <x:c r="G37" s="21" t="str">
        <x:v>PRESENTE</x:v>
      </x:c>
      <x:c r="H37" s="21" t="str">
        <x:v>NO</x:v>
      </x:c>
      <x:c r="I37" s="21" t="str">
        <x:v>TEXTO</x:v>
      </x:c>
      <x:c r="J37" s="21" t="str">
        <x:v>TEXTO</x:v>
      </x:c>
      <x:c r="K37" s="21" t="str">
        <x:v>EXIGE</x:v>
      </x:c>
      <x:c r="L37" s="21" t="str">
        <x:v>objetivo</x:v>
      </x:c>
      <x:c r="M37" s="21" t="str">
        <x:v>100</x:v>
      </x:c>
      <x:c r="N37" s="21" t="str">
        <x:v>200</x:v>
      </x:c>
      <x:c r="O37" s="21" t="str">
        <x:v>COMPLETA</x:v>
      </x:c>
      <x:c r="P37" s="21" t="str">
        <x:v>1</x:v>
      </x:c>
      <x:c r="Q37" s="21" t="str">
        <x:v>1</x:v>
      </x:c>
      <x:c r="R37" s="27" t="str">
        <x:f>IF(EXACT("x"&amp;P37,"x"&amp;Q37),"PASA","DISCORDA")</x:f>
        <x:v>PASA</x:v>
      </x:c>
      <x:c r="S37" s="21" t="str">
        <x:v>{"ancla": "100", "cobertura": "COMPLETA", "conflicto": "NO", "corte": "200", "objetivo": "objetivo", "observacion": "PRESENTE", "parametro": "P15", "perfil": "FIJADO", "pertinencia": "SI", "recepcion": "ADMITIDA", "tipo": "TEXTO", "tipo_objetivo": "TEXTO", "valor": "EXIGE"}</x:v>
      </x:c>
    </x:row>
    <x:row r="38" ht="59" customHeight="1">
      <x:c r="A38" s="21" t="str">
        <x:v>TC-034</x:v>
      </x:c>
      <x:c r="B38" s="21" t="str">
        <x:v>P15</x:v>
      </x:c>
      <x:c r="C38" s="21" t="str">
        <x:v>Negación acreditada</x:v>
      </x:c>
      <x:c r="D38" s="21" t="str">
        <x:v>ADMITIDA</x:v>
      </x:c>
      <x:c r="E38" s="21" t="str">
        <x:v>FIJADO</x:v>
      </x:c>
      <x:c r="F38" s="21" t="str">
        <x:v>SI</x:v>
      </x:c>
      <x:c r="G38" s="21" t="str">
        <x:v>PRESENTE</x:v>
      </x:c>
      <x:c r="H38" s="21" t="str">
        <x:v>NO</x:v>
      </x:c>
      <x:c r="I38" s="21" t="str">
        <x:v>TEXTO</x:v>
      </x:c>
      <x:c r="J38" s="21" t="str">
        <x:v>TEXTO</x:v>
      </x:c>
      <x:c r="K38" s="21" t="str">
        <x:v>NO_EXIGE</x:v>
      </x:c>
      <x:c r="L38" s="21" t="str">
        <x:v>objetivo</x:v>
      </x:c>
      <x:c r="M38" s="21" t="str">
        <x:v>100</x:v>
      </x:c>
      <x:c r="N38" s="21" t="str">
        <x:v>200</x:v>
      </x:c>
      <x:c r="O38" s="21" t="str">
        <x:v>COMPLETA</x:v>
      </x:c>
      <x:c r="P38" s="21" t="str">
        <x:v>0</x:v>
      </x:c>
      <x:c r="Q38" s="21" t="str">
        <x:v>0</x:v>
      </x:c>
      <x:c r="R38" s="27" t="str">
        <x:f>IF(EXACT("x"&amp;P38,"x"&amp;Q38),"PASA","DISCORDA")</x:f>
        <x:v>PASA</x:v>
      </x:c>
      <x:c r="S38" s="21" t="str">
        <x:v>{"ancla": "100", "cobertura": "COMPLETA", "conflicto": "NO", "corte": "200", "objetivo": "objetivo", "observacion": "PRESENTE", "parametro": "P15", "perfil": "FIJADO", "pertinencia": "SI", "recepcion": "ADMITIDA", "tipo": "TEXTO", "tipo_objetivo": "TEXTO", "valor": "NO_EXIGE"}</x:v>
      </x:c>
    </x:row>
    <x:row r="39" ht="59" customHeight="1">
      <x:c r="A39" s="21" t="str">
        <x:v>TC-035</x:v>
      </x:c>
      <x:c r="B39" s="21" t="str">
        <x:v>P15</x:v>
      </x:c>
      <x:c r="C39" s="21" t="str">
        <x:v>Ausencia declarada no es cero</x:v>
      </x:c>
      <x:c r="D39" s="21" t="str">
        <x:v>ADMITIDA</x:v>
      </x:c>
      <x:c r="E39" s="21" t="str">
        <x:v>FIJADO</x:v>
      </x:c>
      <x:c r="F39" s="21" t="str">
        <x:v>SI</x:v>
      </x:c>
      <x:c r="G39" s="21" t="str">
        <x:v>AUSENTE</x:v>
      </x:c>
      <x:c r="H39" s="21" t="str">
        <x:v>NO</x:v>
      </x:c>
      <x:c r="I39" s="21" t="str">
        <x:v>TEXTO</x:v>
      </x:c>
      <x:c r="J39" s="21" t="str">
        <x:v>TEXTO</x:v>
      </x:c>
      <x:c r="K39" s="21" t="str">
        <x:v>EXIGE</x:v>
      </x:c>
      <x:c r="L39" s="21" t="str">
        <x:v>objetivo</x:v>
      </x:c>
      <x:c r="M39" s="21" t="str">
        <x:v>100</x:v>
      </x:c>
      <x:c r="N39" s="21" t="str">
        <x:v>200</x:v>
      </x:c>
      <x:c r="O39" s="21" t="str">
        <x:v>COMPLETA</x:v>
      </x:c>
      <x:c r="P39" s="21" t="str">
        <x:v>U</x:v>
      </x:c>
      <x:c r="Q39" s="21" t="str">
        <x:v>U</x:v>
      </x:c>
      <x:c r="R39" s="27" t="str">
        <x:f>IF(EXACT("x"&amp;P39,"x"&amp;Q39),"PASA","DISCORDA")</x:f>
        <x:v>PASA</x:v>
      </x:c>
      <x:c r="S39" s="21" t="str">
        <x:v>{"ancla": "100", "cobertura": "COMPLETA", "conflicto": "NO", "corte": "200", "objetivo": "objetivo", "observacion": "AUSENTE", "parametro": "P15", "perfil": "FIJADO", "pertinencia": "SI", "recepcion": "ADMITIDA", "tipo": "TEXTO", "tipo_objetivo": "TEXTO", "valor": "EXIGE"}</x:v>
      </x:c>
    </x:row>
    <x:row r="40" ht="59" customHeight="1">
      <x:c r="A40" s="21" t="str">
        <x:v>TC-036</x:v>
      </x:c>
      <x:c r="B40" s="21" t="str">
        <x:v>P15</x:v>
      </x:c>
      <x:c r="C40" s="21" t="str">
        <x:v>Conflicto admitido</x:v>
      </x:c>
      <x:c r="D40" s="21" t="str">
        <x:v>ADMITIDA</x:v>
      </x:c>
      <x:c r="E40" s="21" t="str">
        <x:v>FIJADO</x:v>
      </x:c>
      <x:c r="F40" s="21" t="str">
        <x:v>SI</x:v>
      </x:c>
      <x:c r="G40" s="21" t="str">
        <x:v>PRESENTE</x:v>
      </x:c>
      <x:c r="H40" s="21" t="str">
        <x:v>SI</x:v>
      </x:c>
      <x:c r="I40" s="21" t="str">
        <x:v>TEXTO</x:v>
      </x:c>
      <x:c r="J40" s="21" t="str">
        <x:v>TEXTO</x:v>
      </x:c>
      <x:c r="K40" s="21" t="str">
        <x:v>EXIGE</x:v>
      </x:c>
      <x:c r="L40" s="21" t="str">
        <x:v>objetivo</x:v>
      </x:c>
      <x:c r="M40" s="21" t="str">
        <x:v>100</x:v>
      </x:c>
      <x:c r="N40" s="21" t="str">
        <x:v>200</x:v>
      </x:c>
      <x:c r="O40" s="21" t="str">
        <x:v>COMPLETA</x:v>
      </x:c>
      <x:c r="P40" s="21" t="str">
        <x:v>U</x:v>
      </x:c>
      <x:c r="Q40" s="21" t="str">
        <x:v>U</x:v>
      </x:c>
      <x:c r="R40" s="27" t="str">
        <x:f>IF(EXACT("x"&amp;P40,"x"&amp;Q40),"PASA","DISCORDA")</x:f>
        <x:v>PASA</x:v>
      </x:c>
      <x:c r="S40" s="21" t="str">
        <x:v>{"ancla": "100", "cobertura": "COMPLETA", "conflicto": "SI", "corte": "200", "objetivo": "objetivo", "observacion": "PRESENTE", "parametro": "P15", "perfil": "FIJADO", "pertinencia": "SI", "recepcion": "ADMITIDA", "tipo": "TEXTO", "tipo_objetivo": "TEXTO", "valor": "EXIGE"}</x:v>
      </x:c>
    </x:row>
    <x:row r="41" ht="59" customHeight="1">
      <x:c r="A41" s="21" t="str">
        <x:v>TC-037</x:v>
      </x:c>
      <x:c r="B41" s="21" t="str">
        <x:v>P15</x:v>
      </x:c>
      <x:c r="C41" s="21" t="str">
        <x:v>Fallo de captura sin Tri</x:v>
      </x:c>
      <x:c r="D41" s="21" t="str">
        <x:v>FALLO</x:v>
      </x:c>
      <x:c r="E41" s="21" t="str">
        <x:v>FIJADO</x:v>
      </x:c>
      <x:c r="F41" s="21" t="str">
        <x:v>SI</x:v>
      </x:c>
      <x:c r="G41" s="21" t="str">
        <x:v>PRESENTE</x:v>
      </x:c>
      <x:c r="H41" s="21" t="str">
        <x:v>NO</x:v>
      </x:c>
      <x:c r="I41" s="21" t="str">
        <x:v>TEXTO</x:v>
      </x:c>
      <x:c r="J41" s="21" t="str">
        <x:v>TEXTO</x:v>
      </x:c>
      <x:c r="K41" s="21" t="str">
        <x:v>EXIGE</x:v>
      </x:c>
      <x:c r="L41" s="21" t="str">
        <x:v>objetivo</x:v>
      </x:c>
      <x:c r="M41" s="21" t="str">
        <x:v>100</x:v>
      </x:c>
      <x:c r="N41" s="21" t="str">
        <x:v>200</x:v>
      </x:c>
      <x:c r="O41" s="21" t="str">
        <x:v>COMPLETA</x:v>
      </x:c>
      <x:c r="P41" s="21" t="str">
        <x:v>FALLO_TECNICO</x:v>
      </x:c>
      <x:c r="Q41" s="21" t="str">
        <x:v>FALLO_TECNICO</x:v>
      </x:c>
      <x:c r="R41" s="27" t="str">
        <x:f>IF(EXACT("x"&amp;P41,"x"&amp;Q41),"PASA","DISCORDA")</x:f>
        <x:v>PASA</x:v>
      </x:c>
      <x:c r="S41" s="21" t="str">
        <x:v>{"ancla": "100", "cobertura": "COMPLETA", "conflicto": "NO", "corte": "200", "objetivo": "objetivo", "observacion": "PRESENTE", "parametro": "P15", "perfil": "FIJADO", "pertinencia": "SI", "recepcion": "FALLO", "tipo": "TEXTO", "tipo_objetivo": "TEXTO", "valor": "EXIGE"}</x:v>
      </x:c>
    </x:row>
    <x:row r="42" ht="59" customHeight="1">
      <x:c r="A42" s="21" t="str">
        <x:v>TC-038</x:v>
      </x:c>
      <x:c r="B42" s="21" t="str">
        <x:v>P15</x:v>
      </x:c>
      <x:c r="C42" s="21" t="str">
        <x:v>Origen no admitido</x:v>
      </x:c>
      <x:c r="D42" s="21" t="str">
        <x:v>RECHAZADA</x:v>
      </x:c>
      <x:c r="E42" s="21" t="str">
        <x:v>FIJADO</x:v>
      </x:c>
      <x:c r="F42" s="21" t="str">
        <x:v>SI</x:v>
      </x:c>
      <x:c r="G42" s="21" t="str">
        <x:v>PRESENTE</x:v>
      </x:c>
      <x:c r="H42" s="21" t="str">
        <x:v>NO</x:v>
      </x:c>
      <x:c r="I42" s="21" t="str">
        <x:v>TEXTO</x:v>
      </x:c>
      <x:c r="J42" s="21" t="str">
        <x:v>TEXTO</x:v>
      </x:c>
      <x:c r="K42" s="21" t="str">
        <x:v>EXIGE</x:v>
      </x:c>
      <x:c r="L42" s="21" t="str">
        <x:v>objetivo</x:v>
      </x:c>
      <x:c r="M42" s="21" t="str">
        <x:v>100</x:v>
      </x:c>
      <x:c r="N42" s="21" t="str">
        <x:v>200</x:v>
      </x:c>
      <x:c r="O42" s="21" t="str">
        <x:v>COMPLETA</x:v>
      </x:c>
      <x:c r="P42" s="21" t="str">
        <x:v>NO_ADMITIDA</x:v>
      </x:c>
      <x:c r="Q42" s="21" t="str">
        <x:v>NO_ADMITIDA</x:v>
      </x:c>
      <x:c r="R42" s="27" t="str">
        <x:f>IF(EXACT("x"&amp;P42,"x"&amp;Q42),"PASA","DISCORDA")</x:f>
        <x:v>PASA</x:v>
      </x:c>
      <x:c r="S42" s="21" t="str">
        <x:v>{"ancla": "100", "cobertura": "COMPLETA", "conflicto": "NO", "corte": "200", "objetivo": "objetivo", "observacion": "PRESENTE", "parametro": "P15", "perfil": "FIJADO", "pertinencia": "SI", "recepcion": "RECHAZADA", "tipo": "TEXTO", "tipo_objetivo": "TEXTO", "valor": "EXIGE"}</x:v>
      </x:c>
    </x:row>
    <x:row r="43" ht="59" customHeight="1">
      <x:c r="A43" s="21" t="str">
        <x:v>TC-039</x:v>
      </x:c>
      <x:c r="B43" s="21" t="str">
        <x:v>P15</x:v>
      </x:c>
      <x:c r="C43" s="21" t="str">
        <x:v>Perfil sin regla</x:v>
      </x:c>
      <x:c r="D43" s="21" t="str">
        <x:v>ADMITIDA</x:v>
      </x:c>
      <x:c r="E43" s="21" t="str">
        <x:v>PENDIENTE</x:v>
      </x:c>
      <x:c r="F43" s="21" t="str">
        <x:v>SI</x:v>
      </x:c>
      <x:c r="G43" s="21" t="str">
        <x:v>PRESENTE</x:v>
      </x:c>
      <x:c r="H43" s="21" t="str">
        <x:v>NO</x:v>
      </x:c>
      <x:c r="I43" s="21" t="str">
        <x:v>TEXTO</x:v>
      </x:c>
      <x:c r="J43" s="21" t="str">
        <x:v>TEXTO</x:v>
      </x:c>
      <x:c r="K43" s="21" t="str">
        <x:v>EXIGE</x:v>
      </x:c>
      <x:c r="L43" s="21" t="str">
        <x:v>objetivo</x:v>
      </x:c>
      <x:c r="M43" s="21" t="str">
        <x:v>100</x:v>
      </x:c>
      <x:c r="N43" s="21" t="str">
        <x:v>200</x:v>
      </x:c>
      <x:c r="O43" s="21" t="str">
        <x:v>COMPLETA</x:v>
      </x:c>
      <x:c r="P43" s="21" t="str">
        <x:v>CONFIGURACION_PENDIENTE</x:v>
      </x:c>
      <x:c r="Q43" s="21" t="str">
        <x:v>CONFIGURACION_PENDIENTE</x:v>
      </x:c>
      <x:c r="R43" s="27" t="str">
        <x:f>IF(EXACT("x"&amp;P43,"x"&amp;Q43),"PASA","DISCORDA")</x:f>
        <x:v>PASA</x:v>
      </x:c>
      <x:c r="S43" s="21" t="str">
        <x:v>{"ancla": "100", "cobertura": "COMPLETA", "conflicto": "NO", "corte": "200", "objetivo": "objetivo", "observacion": "PRESENTE", "parametro": "P15", "perfil": "PENDIENTE", "pertinencia": "SI", "recepcion": "ADMITIDA", "tipo": "TEXTO", "tipo_objetivo": "TEXTO", "valor": "EXIGE"}</x:v>
      </x:c>
    </x:row>
    <x:row r="44" ht="59" customHeight="1">
      <x:c r="A44" s="21" t="str">
        <x:v>TC-040</x:v>
      </x:c>
      <x:c r="B44" s="21" t="str">
        <x:v>P15</x:v>
      </x:c>
      <x:c r="C44" s="21" t="str">
        <x:v>Sujeto fuera del perfil</x:v>
      </x:c>
      <x:c r="D44" s="21" t="str">
        <x:v>ADMITIDA</x:v>
      </x:c>
      <x:c r="E44" s="21" t="str">
        <x:v>FIJADO</x:v>
      </x:c>
      <x:c r="F44" s="21" t="str">
        <x:v>NO</x:v>
      </x:c>
      <x:c r="G44" s="21" t="str">
        <x:v>PRESENTE</x:v>
      </x:c>
      <x:c r="H44" s="21" t="str">
        <x:v>NO</x:v>
      </x:c>
      <x:c r="I44" s="21" t="str">
        <x:v>TEXTO</x:v>
      </x:c>
      <x:c r="J44" s="21" t="str">
        <x:v>TEXTO</x:v>
      </x:c>
      <x:c r="K44" s="21" t="str">
        <x:v>EXIGE</x:v>
      </x:c>
      <x:c r="L44" s="21" t="str">
        <x:v>objetivo</x:v>
      </x:c>
      <x:c r="M44" s="21" t="str">
        <x:v>100</x:v>
      </x:c>
      <x:c r="N44" s="21" t="str">
        <x:v>200</x:v>
      </x:c>
      <x:c r="O44" s="21" t="str">
        <x:v>COMPLETA</x:v>
      </x:c>
      <x:c r="P44" s="21" t="str">
        <x:v>FUERA_DE_PERFIL</x:v>
      </x:c>
      <x:c r="Q44" s="21" t="str">
        <x:v>FUERA_DE_PERFIL</x:v>
      </x:c>
      <x:c r="R44" s="27" t="str">
        <x:f>IF(EXACT("x"&amp;P44,"x"&amp;Q44),"PASA","DISCORDA")</x:f>
        <x:v>PASA</x:v>
      </x:c>
      <x:c r="S44" s="21" t="str">
        <x:v>{"ancla": "100", "cobertura": "COMPLETA", "conflicto": "NO", "corte": "200", "objetivo": "objetivo", "observacion": "PRESENTE", "parametro": "P15", "perfil": "FIJADO", "pertinencia": "NO", "recepcion": "ADMITIDA", "tipo": "TEXTO", "tipo_objetivo": "TEXTO", "valor": "EXIGE"}</x:v>
      </x:c>
    </x:row>
    <x:row r="45" ht="59" customHeight="1">
      <x:c r="A45" s="21" t="str">
        <x:v>TC-041</x:v>
      </x:c>
      <x:c r="B45" s="21" t="str">
        <x:v>P11</x:v>
      </x:c>
      <x:c r="C45" s="21" t="str">
        <x:v>Creación exacta al corte incluida</x:v>
      </x:c>
      <x:c r="D45" s="21" t="str">
        <x:v>ADMITIDA</x:v>
      </x:c>
      <x:c r="E45" s="21" t="str">
        <x:v>FIJADO</x:v>
      </x:c>
      <x:c r="F45" s="21" t="str">
        <x:v>SI</x:v>
      </x:c>
      <x:c r="G45" s="21" t="str">
        <x:v>PRESENTE</x:v>
      </x:c>
      <x:c r="H45" s="21" t="str">
        <x:v>NO</x:v>
      </x:c>
      <x:c r="I45" s="21" t="str">
        <x:v>TEXTO</x:v>
      </x:c>
      <x:c r="J45" s="21" t="str">
        <x:v>TEXTO</x:v>
      </x:c>
      <x:c r="K45" s="21" t="str">
        <x:v>200</x:v>
      </x:c>
      <x:c r="L45" s="21" t="str">
        <x:v>objetivo</x:v>
      </x:c>
      <x:c r="M45" s="21" t="str">
        <x:v>100</x:v>
      </x:c>
      <x:c r="N45" s="21" t="str">
        <x:v>200</x:v>
      </x:c>
      <x:c r="O45" s="21" t="str">
        <x:v>COMPLETA</x:v>
      </x:c>
      <x:c r="P45" s="21" t="str">
        <x:v>1</x:v>
      </x:c>
      <x:c r="Q45" s="21" t="str">
        <x:v>1</x:v>
      </x:c>
      <x:c r="R45" s="27" t="str">
        <x:f>IF(EXACT("x"&amp;P45,"x"&amp;Q45),"PASA","DISCORDA")</x:f>
        <x:v>PASA</x:v>
      </x:c>
      <x:c r="S45" s="21" t="str">
        <x:v>{"ancla": "100", "cobertura": "COMPLETA", "conflicto": "NO", "corte": "200", "objetivo": "objetivo", "observacion": "PRESENTE", "parametro": "P11", "perfil": "FIJADO", "pertinencia": "SI", "recepcion": "ADMITIDA", "tipo": "TEXTO", "tipo_objetivo": "TEXTO", "valor": "200"}</x:v>
      </x:c>
    </x:row>
    <x:row r="46" ht="59" customHeight="1">
      <x:c r="A46" s="21" t="str">
        <x:v>TC-042</x:v>
      </x:c>
      <x:c r="B46" s="21" t="str">
        <x:v>P11</x:v>
      </x:c>
      <x:c r="C46" s="21" t="str">
        <x:v>Creación posterior ajena al corte</x:v>
      </x:c>
      <x:c r="D46" s="21" t="str">
        <x:v>ADMITIDA</x:v>
      </x:c>
      <x:c r="E46" s="21" t="str">
        <x:v>FIJADO</x:v>
      </x:c>
      <x:c r="F46" s="21" t="str">
        <x:v>SI</x:v>
      </x:c>
      <x:c r="G46" s="21" t="str">
        <x:v>PRESENTE</x:v>
      </x:c>
      <x:c r="H46" s="21" t="str">
        <x:v>NO</x:v>
      </x:c>
      <x:c r="I46" s="21" t="str">
        <x:v>TEXTO</x:v>
      </x:c>
      <x:c r="J46" s="21" t="str">
        <x:v>TEXTO</x:v>
      </x:c>
      <x:c r="K46" s="21" t="str">
        <x:v>201</x:v>
      </x:c>
      <x:c r="L46" s="21" t="str">
        <x:v>objetivo</x:v>
      </x:c>
      <x:c r="M46" s="21" t="str">
        <x:v>100</x:v>
      </x:c>
      <x:c r="N46" s="21" t="str">
        <x:v>200</x:v>
      </x:c>
      <x:c r="O46" s="21" t="str">
        <x:v>COMPLETA</x:v>
      </x:c>
      <x:c r="P46" s="21" t="str">
        <x:v>NO_ADMITIDA</x:v>
      </x:c>
      <x:c r="Q46" s="21" t="str">
        <x:v>NO_ADMITIDA</x:v>
      </x:c>
      <x:c r="R46" s="27" t="str">
        <x:f>IF(EXACT("x"&amp;P46,"x"&amp;Q46),"PASA","DISCORDA")</x:f>
        <x:v>PASA</x:v>
      </x:c>
      <x:c r="S46" s="21" t="str">
        <x:v>{"ancla": "100", "cobertura": "COMPLETA", "conflicto": "NO", "corte": "200", "objetivo": "objetivo", "observacion": "PRESENTE", "parametro": "P11", "perfil": "FIJADO", "pertinencia": "SI", "recepcion": "ADMITIDA", "tipo": "TEXTO", "tipo_objetivo": "TEXTO", "valor": "201"}</x:v>
      </x:c>
    </x:row>
    <x:row r="47" ht="59" customHeight="1">
      <x:c r="A47" s="21" t="str">
        <x:v>TC-043</x:v>
      </x:c>
      <x:c r="B47" s="21" t="str">
        <x:v>P11</x:v>
      </x:c>
      <x:c r="C47" s="21" t="str">
        <x:v>Orden no acreditado</x:v>
      </x:c>
      <x:c r="D47" s="21" t="str">
        <x:v>ADMITIDA</x:v>
      </x:c>
      <x:c r="E47" s="21" t="str">
        <x:v>FIJADO</x:v>
      </x:c>
      <x:c r="F47" s="21" t="str">
        <x:v>SI</x:v>
      </x:c>
      <x:c r="G47" s="21" t="str">
        <x:v>ORDEN_INCIERTO</x:v>
      </x:c>
      <x:c r="H47" s="21" t="str">
        <x:v>NO</x:v>
      </x:c>
      <x:c r="I47" s="21" t="str">
        <x:v>TEXTO</x:v>
      </x:c>
      <x:c r="J47" s="21" t="str">
        <x:v>TEXTO</x:v>
      </x:c>
      <x:c r="K47" s="21" t="str">
        <x:v>?</x:v>
      </x:c>
      <x:c r="L47" s="21" t="str">
        <x:v>objetivo</x:v>
      </x:c>
      <x:c r="M47" s="21" t="str">
        <x:v>100</x:v>
      </x:c>
      <x:c r="N47" s="21" t="str">
        <x:v>200</x:v>
      </x:c>
      <x:c r="O47" s="21" t="str">
        <x:v>COMPLETA</x:v>
      </x:c>
      <x:c r="P47" s="21" t="str">
        <x:v>U</x:v>
      </x:c>
      <x:c r="Q47" s="21" t="str">
        <x:v>U</x:v>
      </x:c>
      <x:c r="R47" s="27" t="str">
        <x:f>IF(EXACT("x"&amp;P47,"x"&amp;Q47),"PASA","DISCORDA")</x:f>
        <x:v>PASA</x:v>
      </x:c>
      <x:c r="S47" s="21" t="str">
        <x:v>{"ancla": "100", "cobertura": "COMPLETA", "conflicto": "NO", "corte": "200", "objetivo": "objetivo", "observacion": "ORDEN_INCIERTO", "parametro": "P11", "perfil": "FIJADO", "pertinencia": "SI", "recepcion": "ADMITIDA", "tipo": "TEXTO", "tipo_objetivo": "TEXTO", "valor": "?"}</x:v>
      </x:c>
    </x:row>
    <x:row r="48" ht="59" customHeight="1">
      <x:c r="A48" s="21" t="str">
        <x:v>TC-044</x:v>
      </x:c>
      <x:c r="B48" s="21" t="str">
        <x:v>P11</x:v>
      </x:c>
      <x:c r="C48" s="21" t="str">
        <x:v>Solicitud de creación no acredita evento</x:v>
      </x:c>
      <x:c r="D48" s="21" t="str">
        <x:v>ADMITIDA</x:v>
      </x:c>
      <x:c r="E48" s="21" t="str">
        <x:v>FIJADO</x:v>
      </x:c>
      <x:c r="F48" s="21" t="str">
        <x:v>SI</x:v>
      </x:c>
      <x:c r="G48" s="21" t="str">
        <x:v>INDIRECTA</x:v>
      </x:c>
      <x:c r="H48" s="21" t="str">
        <x:v>NO</x:v>
      </x:c>
      <x:c r="I48" s="21" t="str">
        <x:v>TEXTO</x:v>
      </x:c>
      <x:c r="J48" s="21" t="str">
        <x:v>TEXTO</x:v>
      </x:c>
      <x:c r="K48" s="21" t="str">
        <x:v>SOLICITADA</x:v>
      </x:c>
      <x:c r="L48" s="21" t="str">
        <x:v>objetivo</x:v>
      </x:c>
      <x:c r="M48" s="21" t="str">
        <x:v>100</x:v>
      </x:c>
      <x:c r="N48" s="21" t="str">
        <x:v>200</x:v>
      </x:c>
      <x:c r="O48" s="21" t="str">
        <x:v>COMPLETA</x:v>
      </x:c>
      <x:c r="P48" s="21" t="str">
        <x:v>U</x:v>
      </x:c>
      <x:c r="Q48" s="21" t="str">
        <x:v>U</x:v>
      </x:c>
      <x:c r="R48" s="27" t="str">
        <x:f>IF(EXACT("x"&amp;P48,"x"&amp;Q48),"PASA","DISCORDA")</x:f>
        <x:v>PASA</x:v>
      </x:c>
      <x:c r="S48" s="21" t="str">
        <x:v>{"ancla": "100", "cobertura": "COMPLETA", "conflicto": "NO", "corte": "200", "objetivo": "objetivo", "observacion": "INDIRECTA", "parametro": "P11", "perfil": "FIJADO", "pertinencia": "SI", "recepcion": "ADMITIDA", "tipo": "TEXTO", "tipo_objetivo": "TEXTO", "valor": "SOLICITADA"}</x:v>
      </x:c>
    </x:row>
    <x:row r="49" ht="74" customHeight="1">
      <x:c r="A49" s="21" t="str">
        <x:v>TC-045</x:v>
      </x:c>
      <x:c r="B49" s="21" t="str">
        <x:v>P11</x:v>
      </x:c>
      <x:c r="C49" s="21" t="str">
        <x:v>Instante entero exacto mayor de 2^53</x:v>
      </x:c>
      <x:c r="D49" s="21" t="str">
        <x:v>ADMITIDA</x:v>
      </x:c>
      <x:c r="E49" s="21" t="str">
        <x:v>FIJADO</x:v>
      </x:c>
      <x:c r="F49" s="21" t="str">
        <x:v>SI</x:v>
      </x:c>
      <x:c r="G49" s="21" t="str">
        <x:v>PRESENTE</x:v>
      </x:c>
      <x:c r="H49" s="21" t="str">
        <x:v>NO</x:v>
      </x:c>
      <x:c r="I49" s="21" t="str">
        <x:v>TEXTO</x:v>
      </x:c>
      <x:c r="J49" s="21" t="str">
        <x:v>TEXTO</x:v>
      </x:c>
      <x:c r="K49" s="21" t="str">
        <x:v>9007199254740993</x:v>
      </x:c>
      <x:c r="L49" s="21" t="str">
        <x:v>objetivo</x:v>
      </x:c>
      <x:c r="M49" s="21" t="str">
        <x:v>9007199254740992</x:v>
      </x:c>
      <x:c r="N49" s="21" t="str">
        <x:v>9007199254740994</x:v>
      </x:c>
      <x:c r="O49" s="21" t="str">
        <x:v>COMPLETA</x:v>
      </x:c>
      <x:c r="P49" s="21" t="str">
        <x:v>1</x:v>
      </x:c>
      <x:c r="Q49" s="21" t="str">
        <x:v>1</x:v>
      </x:c>
      <x:c r="R49" s="27" t="str">
        <x:f>IF(EXACT("x"&amp;P49,"x"&amp;Q49),"PASA","DISCORDA")</x:f>
        <x:v>PASA</x:v>
      </x:c>
      <x:c r="S49" s="21" t="str">
        <x:v>{"ancla": "9007199254740992", "cobertura": "COMPLETA", "conflicto": "NO", "corte": "9007199254740994", "objetivo": "objetivo", "observacion": "PRESENTE", "parametro": "P11", "perfil": "FIJADO", "pertinencia": "SI", "recepcion": "ADMITIDA", "tipo": "TEXTO", "tipo_objetivo": "TEXTO", "valor": "9007199254740993"}</x:v>
      </x:c>
    </x:row>
    <x:row r="50" ht="59" customHeight="1">
      <x:c r="A50" s="21" t="str">
        <x:v>TC-046</x:v>
      </x:c>
      <x:c r="B50" s="21" t="str">
        <x:v>P12</x:v>
      </x:c>
      <x:c r="C50" s="21" t="str">
        <x:v>Valor escrito en disco no efectivo</x:v>
      </x:c>
      <x:c r="D50" s="21" t="str">
        <x:v>ADMITIDA</x:v>
      </x:c>
      <x:c r="E50" s="21" t="str">
        <x:v>FIJADO</x:v>
      </x:c>
      <x:c r="F50" s="21" t="str">
        <x:v>SI</x:v>
      </x:c>
      <x:c r="G50" s="21" t="str">
        <x:v>INDIRECTA</x:v>
      </x:c>
      <x:c r="H50" s="21" t="str">
        <x:v>NO</x:v>
      </x:c>
      <x:c r="I50" s="21" t="str">
        <x:v>TEXTO</x:v>
      </x:c>
      <x:c r="J50" s="21" t="str">
        <x:v>TEXTO</x:v>
      </x:c>
      <x:c r="K50" s="21" t="str">
        <x:v>objetivo</x:v>
      </x:c>
      <x:c r="L50" s="21" t="str">
        <x:v>objetivo</x:v>
      </x:c>
      <x:c r="M50" s="21" t="str">
        <x:v>100</x:v>
      </x:c>
      <x:c r="N50" s="21" t="str">
        <x:v>200</x:v>
      </x:c>
      <x:c r="O50" s="21" t="str">
        <x:v>COMPLETA</x:v>
      </x:c>
      <x:c r="P50" s="21" t="str">
        <x:v>U</x:v>
      </x:c>
      <x:c r="Q50" s="21" t="str">
        <x:v>U</x:v>
      </x:c>
      <x:c r="R50" s="27" t="str">
        <x:f>IF(EXACT("x"&amp;P50,"x"&amp;Q50),"PASA","DISCORDA")</x:f>
        <x:v>PASA</x:v>
      </x:c>
      <x:c r="S50" s="21" t="str">
        <x:v>{"ancla": "100", "cobertura": "COMPLETA", "conflicto": "NO", "corte": "200", "objetivo": "objetivo", "observacion": "INDIRECTA", "parametro": "P12", "perfil": "FIJADO", "pertinencia": "SI", "recepcion": "ADMITIDA", "tipo": "TEXTO", "tipo_objetivo": "TEXTO", "valor": "objetivo"}</x:v>
      </x:c>
    </x:row>
    <x:row r="51" ht="59" customHeight="1">
      <x:c r="A51" s="21" t="str">
        <x:v>TC-047</x:v>
      </x:c>
      <x:c r="B51" s="21" t="str">
        <x:v>P12</x:v>
      </x:c>
      <x:c r="C51" s="21" t="str">
        <x:v>Tipos distintos no equivalentes</x:v>
      </x:c>
      <x:c r="D51" s="21" t="str">
        <x:v>ADMITIDA</x:v>
      </x:c>
      <x:c r="E51" s="21" t="str">
        <x:v>FIJADO</x:v>
      </x:c>
      <x:c r="F51" s="21" t="str">
        <x:v>SI</x:v>
      </x:c>
      <x:c r="G51" s="21" t="str">
        <x:v>PRESENTE</x:v>
      </x:c>
      <x:c r="H51" s="21" t="str">
        <x:v>NO</x:v>
      </x:c>
      <x:c r="I51" s="21" t="str">
        <x:v>BOOL</x:v>
      </x:c>
      <x:c r="J51" s="21" t="str">
        <x:v>TEXTO</x:v>
      </x:c>
      <x:c r="K51" s="21" t="str">
        <x:v>true</x:v>
      </x:c>
      <x:c r="L51" s="21" t="str">
        <x:v>true</x:v>
      </x:c>
      <x:c r="M51" s="21" t="str">
        <x:v>100</x:v>
      </x:c>
      <x:c r="N51" s="21" t="str">
        <x:v>200</x:v>
      </x:c>
      <x:c r="O51" s="21" t="str">
        <x:v>COMPLETA</x:v>
      </x:c>
      <x:c r="P51" s="21" t="str">
        <x:v>NO_ADMITIDA</x:v>
      </x:c>
      <x:c r="Q51" s="21" t="str">
        <x:v>NO_ADMITIDA</x:v>
      </x:c>
      <x:c r="R51" s="27" t="str">
        <x:f>IF(EXACT("x"&amp;P51,"x"&amp;Q51),"PASA","DISCORDA")</x:f>
        <x:v>PASA</x:v>
      </x:c>
      <x:c r="S51" s="21" t="str">
        <x:v>{"ancla": "100", "cobertura": "COMPLETA", "conflicto": "NO", "corte": "200", "objetivo": "true", "observacion": "PRESENTE", "parametro": "P12", "perfil": "FIJADO", "pertinencia": "SI", "recepcion": "ADMITIDA", "tipo": "BOOL", "tipo_objetivo": "TEXTO", "valor": "true"}</x:v>
      </x:c>
    </x:row>
    <x:row r="52" ht="59" customHeight="1">
      <x:c r="A52" s="21" t="str">
        <x:v>TC-048</x:v>
      </x:c>
      <x:c r="B52" s="21" t="str">
        <x:v>P12</x:v>
      </x:c>
      <x:c r="C52" s="21" t="str">
        <x:v>Clave compuesta sin adjudicación</x:v>
      </x:c>
      <x:c r="D52" s="21" t="str">
        <x:v>ADMITIDA</x:v>
      </x:c>
      <x:c r="E52" s="21" t="str">
        <x:v>COMPUESTO</x:v>
      </x:c>
      <x:c r="F52" s="21" t="str">
        <x:v>SI</x:v>
      </x:c>
      <x:c r="G52" s="21" t="str">
        <x:v>PRESENTE</x:v>
      </x:c>
      <x:c r="H52" s="21" t="str">
        <x:v>NO</x:v>
      </x:c>
      <x:c r="I52" s="21" t="str">
        <x:v>TEXTO</x:v>
      </x:c>
      <x:c r="J52" s="21" t="str">
        <x:v>TEXTO</x:v>
      </x:c>
      <x:c r="K52" s="21" t="str">
        <x:v>objetivo</x:v>
      </x:c>
      <x:c r="L52" s="21" t="str">
        <x:v>objetivo</x:v>
      </x:c>
      <x:c r="M52" s="21" t="str">
        <x:v>100</x:v>
      </x:c>
      <x:c r="N52" s="21" t="str">
        <x:v>200</x:v>
      </x:c>
      <x:c r="O52" s="21" t="str">
        <x:v>COMPLETA</x:v>
      </x:c>
      <x:c r="P52" s="21" t="str">
        <x:v>CONFIGURACION_PENDIENTE</x:v>
      </x:c>
      <x:c r="Q52" s="21" t="str">
        <x:v>CONFIGURACION_PENDIENTE</x:v>
      </x:c>
      <x:c r="R52" s="27" t="str">
        <x:f>IF(EXACT("x"&amp;P52,"x"&amp;Q52),"PASA","DISCORDA")</x:f>
        <x:v>PASA</x:v>
      </x:c>
      <x:c r="S52" s="21" t="str">
        <x:v>{"ancla": "100", "cobertura": "COMPLETA", "conflicto": "NO", "corte": "200", "objetivo": "objetivo", "observacion": "PRESENTE", "parametro": "P12", "perfil": "COMPUESTO", "pertinencia": "SI", "recepcion": "ADMITIDA", "tipo": "TEXTO", "tipo_objetivo": "TEXTO", "valor": "objetivo"}</x:v>
      </x:c>
    </x:row>
    <x:row r="53" ht="59" customHeight="1">
      <x:c r="A53" s="21" t="str">
        <x:v>TC-049</x:v>
      </x:c>
      <x:c r="B53" s="21" t="str">
        <x:v>P12</x:v>
      </x:c>
      <x:c r="C53" s="21" t="str">
        <x:v>Cero textual distinto de ausencia</x:v>
      </x:c>
      <x:c r="D53" s="21" t="str">
        <x:v>ADMITIDA</x:v>
      </x:c>
      <x:c r="E53" s="21" t="str">
        <x:v>FIJADO</x:v>
      </x:c>
      <x:c r="F53" s="21" t="str">
        <x:v>SI</x:v>
      </x:c>
      <x:c r="G53" s="21" t="str">
        <x:v>PRESENTE</x:v>
      </x:c>
      <x:c r="H53" s="21" t="str">
        <x:v>NO</x:v>
      </x:c>
      <x:c r="I53" s="21" t="str">
        <x:v>TEXTO</x:v>
      </x:c>
      <x:c r="J53" s="21" t="str">
        <x:v>TEXTO</x:v>
      </x:c>
      <x:c r="K53" s="21" t="str">
        <x:v>0</x:v>
      </x:c>
      <x:c r="L53" s="21" t="str">
        <x:v>0</x:v>
      </x:c>
      <x:c r="M53" s="21" t="str">
        <x:v>100</x:v>
      </x:c>
      <x:c r="N53" s="21" t="str">
        <x:v>200</x:v>
      </x:c>
      <x:c r="O53" s="21" t="str">
        <x:v>COMPLETA</x:v>
      </x:c>
      <x:c r="P53" s="21" t="str">
        <x:v>1</x:v>
      </x:c>
      <x:c r="Q53" s="21" t="str">
        <x:v>1</x:v>
      </x:c>
      <x:c r="R53" s="27" t="str">
        <x:f>IF(EXACT("x"&amp;P53,"x"&amp;Q53),"PASA","DISCORDA")</x:f>
        <x:v>PASA</x:v>
      </x:c>
      <x:c r="S53" s="21" t="str">
        <x:v>{"ancla": "100", "cobertura": "COMPLETA", "conflicto": "NO", "corte": "200", "objetivo": "0", "observacion": "PRESENTE", "parametro": "P12", "perfil": "FIJADO", "pertinencia": "SI", "recepcion": "ADMITIDA", "tipo": "TEXTO", "tipo_objetivo": "TEXTO", "valor": "0"}</x:v>
      </x:c>
    </x:row>
    <x:row r="54" ht="59" customHeight="1">
      <x:c r="A54" s="21" t="str">
        <x:v>TC-050</x:v>
      </x:c>
      <x:c r="B54" s="21" t="str">
        <x:v>P12</x:v>
      </x:c>
      <x:c r="C54" s="21" t="str">
        <x:v>Ceros iniciales no normalizados sin regla</x:v>
      </x:c>
      <x:c r="D54" s="21" t="str">
        <x:v>ADMITIDA</x:v>
      </x:c>
      <x:c r="E54" s="21" t="str">
        <x:v>FIJADO</x:v>
      </x:c>
      <x:c r="F54" s="21" t="str">
        <x:v>SI</x:v>
      </x:c>
      <x:c r="G54" s="21" t="str">
        <x:v>PRESENTE</x:v>
      </x:c>
      <x:c r="H54" s="21" t="str">
        <x:v>NO</x:v>
      </x:c>
      <x:c r="I54" s="21" t="str">
        <x:v>TEXTO</x:v>
      </x:c>
      <x:c r="J54" s="21" t="str">
        <x:v>TEXTO</x:v>
      </x:c>
      <x:c r="K54" s="21" t="str">
        <x:v>00</x:v>
      </x:c>
      <x:c r="L54" s="21" t="str">
        <x:v>0</x:v>
      </x:c>
      <x:c r="M54" s="21" t="str">
        <x:v>100</x:v>
      </x:c>
      <x:c r="N54" s="21" t="str">
        <x:v>200</x:v>
      </x:c>
      <x:c r="O54" s="21" t="str">
        <x:v>COMPLETA</x:v>
      </x:c>
      <x:c r="P54" s="21" t="str">
        <x:v>0</x:v>
      </x:c>
      <x:c r="Q54" s="21" t="str">
        <x:v>0</x:v>
      </x:c>
      <x:c r="R54" s="27" t="str">
        <x:f>IF(EXACT("x"&amp;P54,"x"&amp;Q54),"PASA","DISCORDA")</x:f>
        <x:v>PASA</x:v>
      </x:c>
      <x:c r="S54" s="21" t="str">
        <x:v>{"ancla": "100", "cobertura": "COMPLETA", "conflicto": "NO", "corte": "200", "objetivo": "0", "observacion": "PRESENTE", "parametro": "P12", "perfil": "FIJADO", "pertinencia": "SI", "recepcion": "ADMITIDA", "tipo": "TEXTO", "tipo_objetivo": "TEXTO", "valor": "00"}</x:v>
      </x:c>
    </x:row>
    <x:row r="55" ht="59" customHeight="1">
      <x:c r="A55" s="21" t="str">
        <x:v>TC-051</x:v>
      </x:c>
      <x:c r="B55" s="21" t="str">
        <x:v>P13</x:v>
      </x:c>
      <x:c r="C55" s="21" t="str">
        <x:v>Ruta o versión no prueba bytes</x:v>
      </x:c>
      <x:c r="D55" s="21" t="str">
        <x:v>ADMITIDA</x:v>
      </x:c>
      <x:c r="E55" s="21" t="str">
        <x:v>FIJADO</x:v>
      </x:c>
      <x:c r="F55" s="21" t="str">
        <x:v>SI</x:v>
      </x:c>
      <x:c r="G55" s="21" t="str">
        <x:v>INDIRECTA</x:v>
      </x:c>
      <x:c r="H55" s="21" t="str">
        <x:v>NO</x:v>
      </x:c>
      <x:c r="I55" s="21" t="str">
        <x:v>TEXTO</x:v>
      </x:c>
      <x:c r="J55" s="21" t="str">
        <x:v>TEXTO</x:v>
      </x:c>
      <x:c r="K55" s="21" t="str">
        <x:v>objetivo</x:v>
      </x:c>
      <x:c r="L55" s="21" t="str">
        <x:v>objetivo</x:v>
      </x:c>
      <x:c r="M55" s="21" t="str">
        <x:v>100</x:v>
      </x:c>
      <x:c r="N55" s="21" t="str">
        <x:v>200</x:v>
      </x:c>
      <x:c r="O55" s="21" t="str">
        <x:v>COMPLETA</x:v>
      </x:c>
      <x:c r="P55" s="21" t="str">
        <x:v>U</x:v>
      </x:c>
      <x:c r="Q55" s="21" t="str">
        <x:v>U</x:v>
      </x:c>
      <x:c r="R55" s="27" t="str">
        <x:f>IF(EXACT("x"&amp;P55,"x"&amp;Q55),"PASA","DISCORDA")</x:f>
        <x:v>PASA</x:v>
      </x:c>
      <x:c r="S55" s="21" t="str">
        <x:v>{"ancla": "100", "cobertura": "COMPLETA", "conflicto": "NO", "corte": "200", "objetivo": "objetivo", "observacion": "INDIRECTA", "parametro": "P13", "perfil": "FIJADO", "pertinencia": "SI", "recepcion": "ADMITIDA", "tipo": "TEXTO", "tipo_objetivo": "TEXTO", "valor": "objetivo"}</x:v>
      </x:c>
    </x:row>
    <x:row r="56" ht="59" customHeight="1">
      <x:c r="A56" s="21" t="str">
        <x:v>TC-052</x:v>
      </x:c>
      <x:c r="B56" s="21" t="str">
        <x:v>P13</x:v>
      </x:c>
      <x:c r="C56" s="21" t="str">
        <x:v>Lectura inconsistente</x:v>
      </x:c>
      <x:c r="D56" s="21" t="str">
        <x:v>ADMITIDA</x:v>
      </x:c>
      <x:c r="E56" s="21" t="str">
        <x:v>FIJADO</x:v>
      </x:c>
      <x:c r="F56" s="21" t="str">
        <x:v>SI</x:v>
      </x:c>
      <x:c r="G56" s="21" t="str">
        <x:v>PARCIAL</x:v>
      </x:c>
      <x:c r="H56" s="21" t="str">
        <x:v>NO</x:v>
      </x:c>
      <x:c r="I56" s="21" t="str">
        <x:v>TEXTO</x:v>
      </x:c>
      <x:c r="J56" s="21" t="str">
        <x:v>TEXTO</x:v>
      </x:c>
      <x:c r="K56" s="21" t="str">
        <x:v>objetivo</x:v>
      </x:c>
      <x:c r="L56" s="21" t="str">
        <x:v>objetivo</x:v>
      </x:c>
      <x:c r="M56" s="21" t="str">
        <x:v>100</x:v>
      </x:c>
      <x:c r="N56" s="21" t="str">
        <x:v>200</x:v>
      </x:c>
      <x:c r="O56" s="21" t="str">
        <x:v>COMPLETA</x:v>
      </x:c>
      <x:c r="P56" s="21" t="str">
        <x:v>U</x:v>
      </x:c>
      <x:c r="Q56" s="21" t="str">
        <x:v>U</x:v>
      </x:c>
      <x:c r="R56" s="27" t="str">
        <x:f>IF(EXACT("x"&amp;P56,"x"&amp;Q56),"PASA","DISCORDA")</x:f>
        <x:v>PASA</x:v>
      </x:c>
      <x:c r="S56" s="21" t="str">
        <x:v>{"ancla": "100", "cobertura": "COMPLETA", "conflicto": "NO", "corte": "200", "objetivo": "objetivo", "observacion": "PARCIAL", "parametro": "P13", "perfil": "FIJADO", "pertinencia": "SI", "recepcion": "ADMITIDA", "tipo": "TEXTO", "tipo_objetivo": "TEXTO", "valor": "objetivo"}</x:v>
      </x:c>
    </x:row>
    <x:row r="57" ht="74" customHeight="1">
      <x:c r="A57" s="21" t="str">
        <x:v>TC-053</x:v>
      </x:c>
      <x:c r="B57" s="21" t="str">
        <x:v>P13</x:v>
      </x:c>
      <x:c r="C57" s="21" t="str">
        <x:v>Digest truncado</x:v>
      </x:c>
      <x:c r="D57" s="21" t="str">
        <x:v>ADMITIDA</x:v>
      </x:c>
      <x:c r="E57" s="21" t="str">
        <x:v>FIJADO</x:v>
      </x:c>
      <x:c r="F57" s="21" t="str">
        <x:v>SI</x:v>
      </x:c>
      <x:c r="G57" s="21" t="str">
        <x:v>PRESENTE</x:v>
      </x:c>
      <x:c r="H57" s="21" t="str">
        <x:v>NO</x:v>
      </x:c>
      <x:c r="I57" s="21" t="str">
        <x:v>TEXTO</x:v>
      </x:c>
      <x:c r="J57" s="21" t="str">
        <x:v>TEXTO</x:v>
      </x:c>
      <x:c r="K57" s="21" t="str">
        <x:v>aaaaaaaaaaaaaaaaaaaaaaaaaaaaaaaaaaaaaaaaaaaaaaaaaaaaaaaaaaaaaaa</x:v>
      </x:c>
      <x:c r="L57" s="21" t="str">
        <x:v>aaaaaaaaaaaaaaaaaaaaaaaaaaaaaaaaaaaaaaaaaaaaaaaaaaaaaaaaaaaaaaaa</x:v>
      </x:c>
      <x:c r="M57" s="21" t="str">
        <x:v>100</x:v>
      </x:c>
      <x:c r="N57" s="21" t="str">
        <x:v>200</x:v>
      </x:c>
      <x:c r="O57" s="21" t="str">
        <x:v>COMPLETA</x:v>
      </x:c>
      <x:c r="P57" s="21" t="str">
        <x:v>NO_ADMITIDA</x:v>
      </x:c>
      <x:c r="Q57" s="21" t="str">
        <x:v>NO_ADMITIDA</x:v>
      </x:c>
      <x:c r="R57" s="27" t="str">
        <x:f>IF(EXACT("x"&amp;P57,"x"&amp;Q57),"PASA","DISCORDA")</x:f>
        <x:v>PASA</x:v>
      </x:c>
      <x:c r="S57" s="21" t="str">
        <x:v>{"ancla": "100", "cobertura": "COMPLETA", "conflicto": "NO", "corte": "200", "objetivo": "aaaaaaaaaaaaaaaaaaaaaaaaaaaaaaaaaaaaaaaaaaaaaaaaaaaaaaaaaaaaaaaa", "observacion": "PRESENTE", "parametro": "P13", "perfil": "FIJADO", "pertinencia": "SI", "recepcion": "ADMITIDA", "tipo": "TEXTO", "tipo_objetivo": "TEXTO", "valor": "aaaaaaaaaaaaaaaaaaaaaaaaaaaaaaaaaaaaaaaaaaaaaaaaaaaaaaaaaaaaaaa"}</x:v>
      </x:c>
    </x:row>
    <x:row r="58" ht="74" customHeight="1">
      <x:c r="A58" s="21" t="str">
        <x:v>TC-054</x:v>
      </x:c>
      <x:c r="B58" s="21" t="str">
        <x:v>P13</x:v>
      </x:c>
      <x:c r="C58" s="21" t="str">
        <x:v>Digest con carácter no hexadecimal</x:v>
      </x:c>
      <x:c r="D58" s="21" t="str">
        <x:v>ADMITIDA</x:v>
      </x:c>
      <x:c r="E58" s="21" t="str">
        <x:v>FIJADO</x:v>
      </x:c>
      <x:c r="F58" s="21" t="str">
        <x:v>SI</x:v>
      </x:c>
      <x:c r="G58" s="21" t="str">
        <x:v>PRESENTE</x:v>
      </x:c>
      <x:c r="H58" s="21" t="str">
        <x:v>NO</x:v>
      </x:c>
      <x:c r="I58" s="21" t="str">
        <x:v>TEXTO</x:v>
      </x:c>
      <x:c r="J58" s="21" t="str">
        <x:v>TEXTO</x:v>
      </x:c>
      <x:c r="K58" s="21" t="str">
        <x:v>gggggggggggggggggggggggggggggggggggggggggggggggggggggggggggggggg</x:v>
      </x:c>
      <x:c r="L58" s="21" t="str">
        <x:v>aaaaaaaaaaaaaaaaaaaaaaaaaaaaaaaaaaaaaaaaaaaaaaaaaaaaaaaaaaaaaaaa</x:v>
      </x:c>
      <x:c r="M58" s="21" t="str">
        <x:v>100</x:v>
      </x:c>
      <x:c r="N58" s="21" t="str">
        <x:v>200</x:v>
      </x:c>
      <x:c r="O58" s="21" t="str">
        <x:v>COMPLETA</x:v>
      </x:c>
      <x:c r="P58" s="21" t="str">
        <x:v>NO_ADMITIDA</x:v>
      </x:c>
      <x:c r="Q58" s="21" t="str">
        <x:v>NO_ADMITIDA</x:v>
      </x:c>
      <x:c r="R58" s="27" t="str">
        <x:f>IF(EXACT("x"&amp;P58,"x"&amp;Q58),"PASA","DISCORDA")</x:f>
        <x:v>PASA</x:v>
      </x:c>
      <x:c r="S58" s="21" t="str">
        <x:v>{"ancla": "100", "cobertura": "COMPLETA", "conflicto": "NO", "corte": "200", "objetivo": "aaaaaaaaaaaaaaaaaaaaaaaaaaaaaaaaaaaaaaaaaaaaaaaaaaaaaaaaaaaaaaaa", "observacion": "PRESENTE", "parametro": "P13", "perfil": "FIJADO", "pertinencia": "SI", "recepcion": "ADMITIDA", "tipo": "TEXTO", "tipo_objetivo": "TEXTO", "valor": "gggggggggggggggggggggggggggggggggggggggggggggggggggggggggggggggg"}</x:v>
      </x:c>
    </x:row>
    <x:row r="59" ht="74" customHeight="1">
      <x:c r="A59" s="21" t="str">
        <x:v>TC-055</x:v>
      </x:c>
      <x:c r="B59" s="21" t="str">
        <x:v>P13</x:v>
      </x:c>
      <x:c r="C59" s="21" t="str">
        <x:v>Referencia de memoria usada como disco</x:v>
      </x:c>
      <x:c r="D59" s="21" t="str">
        <x:v>ADMITIDA</x:v>
      </x:c>
      <x:c r="E59" s="21" t="str">
        <x:v>FIJADO</x:v>
      </x:c>
      <x:c r="F59" s="21" t="str">
        <x:v>NO</x:v>
      </x:c>
      <x:c r="G59" s="21" t="str">
        <x:v>PRESENTE</x:v>
      </x:c>
      <x:c r="H59" s="21" t="str">
        <x:v>NO</x:v>
      </x:c>
      <x:c r="I59" s="21" t="str">
        <x:v>TEXTO</x:v>
      </x:c>
      <x:c r="J59" s="21" t="str">
        <x:v>TEXTO</x:v>
      </x:c>
      <x:c r="K59" s="21" t="str">
        <x:v>aaaaaaaaaaaaaaaaaaaaaaaaaaaaaaaaaaaaaaaaaaaaaaaaaaaaaaaaaaaaaaaa</x:v>
      </x:c>
      <x:c r="L59" s="21" t="str">
        <x:v>aaaaaaaaaaaaaaaaaaaaaaaaaaaaaaaaaaaaaaaaaaaaaaaaaaaaaaaaaaaaaaaa</x:v>
      </x:c>
      <x:c r="M59" s="21" t="str">
        <x:v>100</x:v>
      </x:c>
      <x:c r="N59" s="21" t="str">
        <x:v>200</x:v>
      </x:c>
      <x:c r="O59" s="21" t="str">
        <x:v>COMPLETA</x:v>
      </x:c>
      <x:c r="P59" s="21" t="str">
        <x:v>FUERA_DE_PERFIL</x:v>
      </x:c>
      <x:c r="Q59" s="21" t="str">
        <x:v>FUERA_DE_PERFIL</x:v>
      </x:c>
      <x:c r="R59" s="27" t="str">
        <x:f>IF(EXACT("x"&amp;P59,"x"&amp;Q59),"PASA","DISCORDA")</x:f>
        <x:v>PASA</x:v>
      </x:c>
      <x:c r="S59" s="21" t="str">
        <x:v>{"ancla": "100", "cobertura": "COMPLETA", "conflicto": "NO", "corte": "200", "objetivo": "aaaaaaaaaaaaaaaaaaaaaaaaaaaaaaaaaaaaaaaaaaaaaaaaaaaaaaaaaaaaaaaa", "observacion": "PRESENTE", "parametro": "P13", "perfil": "FIJADO", "pertinencia": "NO", "recepcion": "ADMITIDA", "tipo": "TEXTO", "tipo_objetivo": "TEXTO", "valor": "aaaaaaaaaaaaaaaaaaaaaaaaaaaaaaaaaaaaaaaaaaaaaaaaaaaaaaaaaaaaaaaa"}</x:v>
      </x:c>
    </x:row>
    <x:row r="60" ht="59" customHeight="1">
      <x:c r="A60" s="21" t="str">
        <x:v>TC-056</x:v>
      </x:c>
      <x:c r="B60" s="21" t="str">
        <x:v>P14</x:v>
      </x:c>
      <x:c r="C60" s="21" t="str">
        <x:v>Cambio y retorno conserva historia</x:v>
      </x:c>
      <x:c r="D60" s="21" t="str">
        <x:v>ADMITIDA</x:v>
      </x:c>
      <x:c r="E60" s="21" t="str">
        <x:v>FIJADO</x:v>
      </x:c>
      <x:c r="F60" s="21" t="str">
        <x:v>SI</x:v>
      </x:c>
      <x:c r="G60" s="21" t="str">
        <x:v>PRESENTE</x:v>
      </x:c>
      <x:c r="H60" s="21" t="str">
        <x:v>NO</x:v>
      </x:c>
      <x:c r="I60" s="21" t="str">
        <x:v>TEXTO</x:v>
      </x:c>
      <x:c r="J60" s="21" t="str">
        <x:v>TEXTO</x:v>
      </x:c>
      <x:c r="K60" s="21" t="str">
        <x:v>TRANSICION_Y_RETORNO</x:v>
      </x:c>
      <x:c r="L60" s="21" t="str">
        <x:v>objetivo</x:v>
      </x:c>
      <x:c r="M60" s="21" t="str">
        <x:v>100</x:v>
      </x:c>
      <x:c r="N60" s="21" t="str">
        <x:v>200</x:v>
      </x:c>
      <x:c r="O60" s="21" t="str">
        <x:v>COMPLETA</x:v>
      </x:c>
      <x:c r="P60" s="21" t="str">
        <x:v>1</x:v>
      </x:c>
      <x:c r="Q60" s="21" t="str">
        <x:v>1</x:v>
      </x:c>
      <x:c r="R60" s="27" t="str">
        <x:f>IF(EXACT("x"&amp;P60,"x"&amp;Q60),"PASA","DISCORDA")</x:f>
        <x:v>PASA</x:v>
      </x:c>
      <x:c r="S60" s="21" t="str">
        <x:v>{"ancla": "100", "cobertura": "COMPLETA", "conflicto": "NO", "corte": "200", "objetivo": "objetivo", "observacion": "PRESENTE", "parametro": "P14", "perfil": "FIJADO", "pertinencia": "SI", "recepcion": "ADMITIDA", "tipo": "TEXTO", "tipo_objetivo": "TEXTO", "valor": "TRANSICION_Y_RETORNO"}</x:v>
      </x:c>
    </x:row>
    <x:row r="61" ht="59" customHeight="1">
      <x:c r="A61" s="21" t="str">
        <x:v>TC-057</x:v>
      </x:c>
      <x:c r="B61" s="21" t="str">
        <x:v>P14</x:v>
      </x:c>
      <x:c r="C61" s="21" t="str">
        <x:v>Sin cambio pero historia parcial</x:v>
      </x:c>
      <x:c r="D61" s="21" t="str">
        <x:v>ADMITIDA</x:v>
      </x:c>
      <x:c r="E61" s="21" t="str">
        <x:v>FIJADO</x:v>
      </x:c>
      <x:c r="F61" s="21" t="str">
        <x:v>SI</x:v>
      </x:c>
      <x:c r="G61" s="21" t="str">
        <x:v>PRESENTE</x:v>
      </x:c>
      <x:c r="H61" s="21" t="str">
        <x:v>NO</x:v>
      </x:c>
      <x:c r="I61" s="21" t="str">
        <x:v>TEXTO</x:v>
      </x:c>
      <x:c r="J61" s="21" t="str">
        <x:v>TEXTO</x:v>
      </x:c>
      <x:c r="K61" s="21" t="str">
        <x:v>SIN_TRANSICION</x:v>
      </x:c>
      <x:c r="L61" s="21" t="str">
        <x:v>objetivo</x:v>
      </x:c>
      <x:c r="M61" s="21" t="str">
        <x:v>100</x:v>
      </x:c>
      <x:c r="N61" s="21" t="str">
        <x:v>200</x:v>
      </x:c>
      <x:c r="O61" s="21" t="str">
        <x:v>PARCIAL</x:v>
      </x:c>
      <x:c r="P61" s="21" t="str">
        <x:v>U</x:v>
      </x:c>
      <x:c r="Q61" s="21" t="str">
        <x:v>U</x:v>
      </x:c>
      <x:c r="R61" s="27" t="str">
        <x:f>IF(EXACT("x"&amp;P61,"x"&amp;Q61),"PASA","DISCORDA")</x:f>
        <x:v>PASA</x:v>
      </x:c>
      <x:c r="S61" s="21" t="str">
        <x:v>{"ancla": "100", "cobertura": "PARCIAL", "conflicto": "NO", "corte": "200", "objetivo": "objetivo", "observacion": "PRESENTE", "parametro": "P14", "perfil": "FIJADO", "pertinencia": "SI", "recepcion": "ADMITIDA", "tipo": "TEXTO", "tipo_objetivo": "TEXTO", "valor": "SIN_TRANSICION"}</x:v>
      </x:c>
    </x:row>
    <x:row r="62" ht="59" customHeight="1">
      <x:c r="A62" s="21" t="str">
        <x:v>TC-058</x:v>
      </x:c>
      <x:c r="B62" s="21" t="str">
        <x:v>P14</x:v>
      </x:c>
      <x:c r="C62" s="21" t="str">
        <x:v>Transición positiva con historia parcial</x:v>
      </x:c>
      <x:c r="D62" s="21" t="str">
        <x:v>ADMITIDA</x:v>
      </x:c>
      <x:c r="E62" s="21" t="str">
        <x:v>FIJADO</x:v>
      </x:c>
      <x:c r="F62" s="21" t="str">
        <x:v>SI</x:v>
      </x:c>
      <x:c r="G62" s="21" t="str">
        <x:v>PRESENTE</x:v>
      </x:c>
      <x:c r="H62" s="21" t="str">
        <x:v>NO</x:v>
      </x:c>
      <x:c r="I62" s="21" t="str">
        <x:v>TEXTO</x:v>
      </x:c>
      <x:c r="J62" s="21" t="str">
        <x:v>TEXTO</x:v>
      </x:c>
      <x:c r="K62" s="21" t="str">
        <x:v>TRANSICION</x:v>
      </x:c>
      <x:c r="L62" s="21" t="str">
        <x:v>objetivo</x:v>
      </x:c>
      <x:c r="M62" s="21" t="str">
        <x:v>100</x:v>
      </x:c>
      <x:c r="N62" s="21" t="str">
        <x:v>200</x:v>
      </x:c>
      <x:c r="O62" s="21" t="str">
        <x:v>PARCIAL</x:v>
      </x:c>
      <x:c r="P62" s="21" t="str">
        <x:v>1</x:v>
      </x:c>
      <x:c r="Q62" s="21" t="str">
        <x:v>1</x:v>
      </x:c>
      <x:c r="R62" s="27" t="str">
        <x:f>IF(EXACT("x"&amp;P62,"x"&amp;Q62),"PASA","DISCORDA")</x:f>
        <x:v>PASA</x:v>
      </x:c>
      <x:c r="S62" s="21" t="str">
        <x:v>{"ancla": "100", "cobertura": "PARCIAL", "conflicto": "NO", "corte": "200", "objetivo": "objetivo", "observacion": "PRESENTE", "parametro": "P14", "perfil": "FIJADO", "pertinencia": "SI", "recepcion": "ADMITIDA", "tipo": "TEXTO", "tipo_objetivo": "TEXTO", "valor": "TRANSICION"}</x:v>
      </x:c>
    </x:row>
    <x:row r="63" ht="59" customHeight="1">
      <x:c r="A63" s="21" t="str">
        <x:v>TC-059</x:v>
      </x:c>
      <x:c r="B63" s="21" t="str">
        <x:v>P14</x:v>
      </x:c>
      <x:c r="C63" s="21" t="str">
        <x:v>Extremos iguales sin historia</x:v>
      </x:c>
      <x:c r="D63" s="21" t="str">
        <x:v>ADMITIDA</x:v>
      </x:c>
      <x:c r="E63" s="21" t="str">
        <x:v>FIJADO</x:v>
      </x:c>
      <x:c r="F63" s="21" t="str">
        <x:v>SI</x:v>
      </x:c>
      <x:c r="G63" s="21" t="str">
        <x:v>PRESENTE</x:v>
      </x:c>
      <x:c r="H63" s="21" t="str">
        <x:v>NO</x:v>
      </x:c>
      <x:c r="I63" s="21" t="str">
        <x:v>TEXTO</x:v>
      </x:c>
      <x:c r="J63" s="21" t="str">
        <x:v>TEXTO</x:v>
      </x:c>
      <x:c r="K63" s="21" t="str">
        <x:v>EXTREMOS_IGUALES</x:v>
      </x:c>
      <x:c r="L63" s="21" t="str">
        <x:v>objetivo</x:v>
      </x:c>
      <x:c r="M63" s="21" t="str">
        <x:v>100</x:v>
      </x:c>
      <x:c r="N63" s="21" t="str">
        <x:v>200</x:v>
      </x:c>
      <x:c r="O63" s="21" t="str">
        <x:v>PARCIAL</x:v>
      </x:c>
      <x:c r="P63" s="21" t="str">
        <x:v>U</x:v>
      </x:c>
      <x:c r="Q63" s="21" t="str">
        <x:v>U</x:v>
      </x:c>
      <x:c r="R63" s="27" t="str">
        <x:f>IF(EXACT("x"&amp;P63,"x"&amp;Q63),"PASA","DISCORDA")</x:f>
        <x:v>PASA</x:v>
      </x:c>
      <x:c r="S63" s="21" t="str">
        <x:v>{"ancla": "100", "cobertura": "PARCIAL", "conflicto": "NO", "corte": "200", "objetivo": "objetivo", "observacion": "PRESENTE", "parametro": "P14", "perfil": "FIJADO", "pertinencia": "SI", "recepcion": "ADMITIDA", "tipo": "TEXTO", "tipo_objetivo": "TEXTO", "valor": "EXTREMOS_IGUALES"}</x:v>
      </x:c>
    </x:row>
    <x:row r="64" ht="59" customHeight="1">
      <x:c r="A64" s="21" t="str">
        <x:v>TC-060</x:v>
      </x:c>
      <x:c r="B64" s="21" t="str">
        <x:v>P14</x:v>
      </x:c>
      <x:c r="C64" s="21" t="str">
        <x:v>Reescritura con igual valor e historial completo</x:v>
      </x:c>
      <x:c r="D64" s="21" t="str">
        <x:v>ADMITIDA</x:v>
      </x:c>
      <x:c r="E64" s="21" t="str">
        <x:v>FIJADO</x:v>
      </x:c>
      <x:c r="F64" s="21" t="str">
        <x:v>SI</x:v>
      </x:c>
      <x:c r="G64" s="21" t="str">
        <x:v>PRESENTE</x:v>
      </x:c>
      <x:c r="H64" s="21" t="str">
        <x:v>NO</x:v>
      </x:c>
      <x:c r="I64" s="21" t="str">
        <x:v>TEXTO</x:v>
      </x:c>
      <x:c r="J64" s="21" t="str">
        <x:v>TEXTO</x:v>
      </x:c>
      <x:c r="K64" s="21" t="str">
        <x:v>MISMO_VALOR</x:v>
      </x:c>
      <x:c r="L64" s="21" t="str">
        <x:v>objetivo</x:v>
      </x:c>
      <x:c r="M64" s="21" t="str">
        <x:v>100</x:v>
      </x:c>
      <x:c r="N64" s="21" t="str">
        <x:v>200</x:v>
      </x:c>
      <x:c r="O64" s="21" t="str">
        <x:v>COMPLETA</x:v>
      </x:c>
      <x:c r="P64" s="21" t="str">
        <x:v>0</x:v>
      </x:c>
      <x:c r="Q64" s="21" t="str">
        <x:v>0</x:v>
      </x:c>
      <x:c r="R64" s="27" t="str">
        <x:f>IF(EXACT("x"&amp;P64,"x"&amp;Q64),"PASA","DISCORDA")</x:f>
        <x:v>PASA</x:v>
      </x:c>
      <x:c r="S64" s="21" t="str">
        <x:v>{"ancla": "100", "cobertura": "COMPLETA", "conflicto": "NO", "corte": "200", "objetivo": "objetivo", "observacion": "PRESENTE", "parametro": "P14", "perfil": "FIJADO", "pertinencia": "SI", "recepcion": "ADMITIDA", "tipo": "TEXTO", "tipo_objetivo": "TEXTO", "valor": "MISMO_VALOR"}</x:v>
      </x:c>
    </x:row>
    <x:row r="65" ht="59" customHeight="1">
      <x:c r="A65" s="21" t="str">
        <x:v>TC-061</x:v>
      </x:c>
      <x:c r="B65" s="21" t="str">
        <x:v>P15</x:v>
      </x:c>
      <x:c r="C65" s="21" t="str">
        <x:v>Regla general NIST no requisito específico</x:v>
      </x:c>
      <x:c r="D65" s="21" t="str">
        <x:v>ADMITIDA</x:v>
      </x:c>
      <x:c r="E65" s="21" t="str">
        <x:v>FIJADO</x:v>
      </x:c>
      <x:c r="F65" s="21" t="str">
        <x:v>SI</x:v>
      </x:c>
      <x:c r="G65" s="21" t="str">
        <x:v>INDIRECTA</x:v>
      </x:c>
      <x:c r="H65" s="21" t="str">
        <x:v>NO</x:v>
      </x:c>
      <x:c r="I65" s="21" t="str">
        <x:v>TEXTO</x:v>
      </x:c>
      <x:c r="J65" s="21" t="str">
        <x:v>TEXTO</x:v>
      </x:c>
      <x:c r="K65" s="21" t="str">
        <x:v>EJEMPLO_NIST</x:v>
      </x:c>
      <x:c r="L65" s="21" t="str">
        <x:v>objetivo</x:v>
      </x:c>
      <x:c r="M65" s="21" t="str">
        <x:v>100</x:v>
      </x:c>
      <x:c r="N65" s="21" t="str">
        <x:v>200</x:v>
      </x:c>
      <x:c r="O65" s="21" t="str">
        <x:v>COMPLETA</x:v>
      </x:c>
      <x:c r="P65" s="21" t="str">
        <x:v>U</x:v>
      </x:c>
      <x:c r="Q65" s="21" t="str">
        <x:v>U</x:v>
      </x:c>
      <x:c r="R65" s="27" t="str">
        <x:f>IF(EXACT("x"&amp;P65,"x"&amp;Q65),"PASA","DISCORDA")</x:f>
        <x:v>PASA</x:v>
      </x:c>
      <x:c r="S65" s="21" t="str">
        <x:v>{"ancla": "100", "cobertura": "COMPLETA", "conflicto": "NO", "corte": "200", "objetivo": "objetivo", "observacion": "INDIRECTA", "parametro": "P15", "perfil": "FIJADO", "pertinencia": "SI", "recepcion": "ADMITIDA", "tipo": "TEXTO", "tipo_objetivo": "TEXTO", "valor": "EJEMPLO_NIST"}</x:v>
      </x:c>
    </x:row>
    <x:row r="66" ht="59" customHeight="1">
      <x:c r="A66" s="21" t="str">
        <x:v>TC-062</x:v>
      </x:c>
      <x:c r="B66" s="21" t="str">
        <x:v>P15</x:v>
      </x:c>
      <x:c r="C66" s="21" t="str">
        <x:v>Acción agrupa dos efectos</x:v>
      </x:c>
      <x:c r="D66" s="21" t="str">
        <x:v>ADMITIDA</x:v>
      </x:c>
      <x:c r="E66" s="21" t="str">
        <x:v>COMPUESTO</x:v>
      </x:c>
      <x:c r="F66" s="21" t="str">
        <x:v>SI</x:v>
      </x:c>
      <x:c r="G66" s="21" t="str">
        <x:v>PRESENTE</x:v>
      </x:c>
      <x:c r="H66" s="21" t="str">
        <x:v>NO</x:v>
      </x:c>
      <x:c r="I66" s="21" t="str">
        <x:v>TEXTO</x:v>
      </x:c>
      <x:c r="J66" s="21" t="str">
        <x:v>TEXTO</x:v>
      </x:c>
      <x:c r="K66" s="21" t="str">
        <x:v>EXIGE</x:v>
      </x:c>
      <x:c r="L66" s="21" t="str">
        <x:v>objetivo</x:v>
      </x:c>
      <x:c r="M66" s="21" t="str">
        <x:v>100</x:v>
      </x:c>
      <x:c r="N66" s="21" t="str">
        <x:v>200</x:v>
      </x:c>
      <x:c r="O66" s="21" t="str">
        <x:v>COMPLETA</x:v>
      </x:c>
      <x:c r="P66" s="21" t="str">
        <x:v>CONFIGURACION_PENDIENTE</x:v>
      </x:c>
      <x:c r="Q66" s="21" t="str">
        <x:v>CONFIGURACION_PENDIENTE</x:v>
      </x:c>
      <x:c r="R66" s="27" t="str">
        <x:f>IF(EXACT("x"&amp;P66,"x"&amp;Q66),"PASA","DISCORDA")</x:f>
        <x:v>PASA</x:v>
      </x:c>
      <x:c r="S66" s="21" t="str">
        <x:v>{"ancla": "100", "cobertura": "COMPLETA", "conflicto": "NO", "corte": "200", "objetivo": "objetivo", "observacion": "PRESENTE", "parametro": "P15", "perfil": "COMPUESTO", "pertinencia": "SI", "recepcion": "ADMITIDA", "tipo": "TEXTO", "tipo_objetivo": "TEXTO", "valor": "EXIGE"}</x:v>
      </x:c>
    </x:row>
    <x:row r="67" ht="59" customHeight="1">
      <x:c r="A67" s="21" t="str">
        <x:v>TC-063</x:v>
      </x:c>
      <x:c r="B67" s="21" t="str">
        <x:v>P15</x:v>
      </x:c>
      <x:c r="C67" s="21" t="str">
        <x:v>Reinicio ya propiedad P01/P04</x:v>
      </x:c>
      <x:c r="D67" s="21" t="str">
        <x:v>ADMITIDA</x:v>
      </x:c>
      <x:c r="E67" s="21" t="str">
        <x:v>FIJADO</x:v>
      </x:c>
      <x:c r="F67" s="21" t="str">
        <x:v>NO</x:v>
      </x:c>
      <x:c r="G67" s="21" t="str">
        <x:v>PRESENTE</x:v>
      </x:c>
      <x:c r="H67" s="21" t="str">
        <x:v>NO</x:v>
      </x:c>
      <x:c r="I67" s="21" t="str">
        <x:v>TEXTO</x:v>
      </x:c>
      <x:c r="J67" s="21" t="str">
        <x:v>TEXTO</x:v>
      </x:c>
      <x:c r="K67" s="21" t="str">
        <x:v>EXIGE</x:v>
      </x:c>
      <x:c r="L67" s="21" t="str">
        <x:v>objetivo</x:v>
      </x:c>
      <x:c r="M67" s="21" t="str">
        <x:v>100</x:v>
      </x:c>
      <x:c r="N67" s="21" t="str">
        <x:v>200</x:v>
      </x:c>
      <x:c r="O67" s="21" t="str">
        <x:v>COMPLETA</x:v>
      </x:c>
      <x:c r="P67" s="21" t="str">
        <x:v>FUERA_DE_PERFIL</x:v>
      </x:c>
      <x:c r="Q67" s="21" t="str">
        <x:v>FUERA_DE_PERFIL</x:v>
      </x:c>
      <x:c r="R67" s="27" t="str">
        <x:f>IF(EXACT("x"&amp;P67,"x"&amp;Q67),"PASA","DISCORDA")</x:f>
        <x:v>PASA</x:v>
      </x:c>
      <x:c r="S67" s="21" t="str">
        <x:v>{"ancla": "100", "cobertura": "COMPLETA", "conflicto": "NO", "corte": "200", "objetivo": "objetivo", "observacion": "PRESENTE", "parametro": "P15", "perfil": "FIJADO", "pertinencia": "NO", "recepcion": "ADMITIDA", "tipo": "TEXTO", "tipo_objetivo": "TEXTO", "valor": "EXIGE"}</x:v>
      </x:c>
    </x:row>
    <x:row r="68" ht="59" customHeight="1">
      <x:c r="A68" s="21" t="str">
        <x:v>TC-064</x:v>
      </x:c>
      <x:c r="B68" s="21" t="str">
        <x:v>P15</x:v>
      </x:c>
      <x:c r="C68" s="21" t="str">
        <x:v>Condición de aplicabilidad sin resolver</x:v>
      </x:c>
      <x:c r="D68" s="21" t="str">
        <x:v>ADMITIDA</x:v>
      </x:c>
      <x:c r="E68" s="21" t="str">
        <x:v>FIJADO</x:v>
      </x:c>
      <x:c r="F68" s="21" t="str">
        <x:v>INCIERTA</x:v>
      </x:c>
      <x:c r="G68" s="21" t="str">
        <x:v>PRESENTE</x:v>
      </x:c>
      <x:c r="H68" s="21" t="str">
        <x:v>NO</x:v>
      </x:c>
      <x:c r="I68" s="21" t="str">
        <x:v>TEXTO</x:v>
      </x:c>
      <x:c r="J68" s="21" t="str">
        <x:v>TEXTO</x:v>
      </x:c>
      <x:c r="K68" s="21" t="str">
        <x:v>EXIGE</x:v>
      </x:c>
      <x:c r="L68" s="21" t="str">
        <x:v>objetivo</x:v>
      </x:c>
      <x:c r="M68" s="21" t="str">
        <x:v>100</x:v>
      </x:c>
      <x:c r="N68" s="21" t="str">
        <x:v>200</x:v>
      </x:c>
      <x:c r="O68" s="21" t="str">
        <x:v>COMPLETA</x:v>
      </x:c>
      <x:c r="P68" s="21" t="str">
        <x:v>CONFIGURACION_PENDIENTE</x:v>
      </x:c>
      <x:c r="Q68" s="21" t="str">
        <x:v>CONFIGURACION_PENDIENTE</x:v>
      </x:c>
      <x:c r="R68" s="27" t="str">
        <x:f>IF(EXACT("x"&amp;P68,"x"&amp;Q68),"PASA","DISCORDA")</x:f>
        <x:v>PASA</x:v>
      </x:c>
      <x:c r="S68" s="21" t="str">
        <x:v>{"ancla": "100", "cobertura": "COMPLETA", "conflicto": "NO", "corte": "200", "objetivo": "objetivo", "observacion": "PRESENTE", "parametro": "P15", "perfil": "FIJADO", "pertinencia": "INCIERTA", "recepcion": "ADMITIDA", "tipo": "TEXTO", "tipo_objetivo": "TEXTO", "valor": "EXIGE"}</x:v>
      </x:c>
    </x:row>
    <x:row r="69" ht="59" customHeight="1">
      <x:c r="A69" s="21" t="str">
        <x:v>TC-065</x:v>
      </x:c>
      <x:c r="B69" s="21" t="str">
        <x:v>P15</x:v>
      </x:c>
      <x:c r="C69" s="21" t="str">
        <x:v>Falso explícito no ausencia</x:v>
      </x:c>
      <x:c r="D69" s="21" t="str">
        <x:v>ADMITIDA</x:v>
      </x:c>
      <x:c r="E69" s="21" t="str">
        <x:v>FIJADO</x:v>
      </x:c>
      <x:c r="F69" s="21" t="str">
        <x:v>SI</x:v>
      </x:c>
      <x:c r="G69" s="21" t="str">
        <x:v>PRESENTE</x:v>
      </x:c>
      <x:c r="H69" s="21" t="str">
        <x:v>NO</x:v>
      </x:c>
      <x:c r="I69" s="21" t="str">
        <x:v>TEXTO</x:v>
      </x:c>
      <x:c r="J69" s="21" t="str">
        <x:v>TEXTO</x:v>
      </x:c>
      <x:c r="K69" s="21" t="str">
        <x:v>NO_EXIGE</x:v>
      </x:c>
      <x:c r="L69" s="21" t="str">
        <x:v>objetivo</x:v>
      </x:c>
      <x:c r="M69" s="21" t="str">
        <x:v>100</x:v>
      </x:c>
      <x:c r="N69" s="21" t="str">
        <x:v>200</x:v>
      </x:c>
      <x:c r="O69" s="21" t="str">
        <x:v>COMPLETA</x:v>
      </x:c>
      <x:c r="P69" s="21" t="str">
        <x:v>0</x:v>
      </x:c>
      <x:c r="Q69" s="21" t="str">
        <x:v>0</x:v>
      </x:c>
      <x:c r="R69" s="27" t="str">
        <x:f>IF(EXACT("x"&amp;P69,"x"&amp;Q69),"PASA","DISCORDA")</x:f>
        <x:v>PASA</x:v>
      </x:c>
      <x:c r="S69" s="21" t="str">
        <x:v>{"ancla": "100", "cobertura": "COMPLETA", "conflicto": "NO", "corte": "200", "objetivo": "objetivo", "observacion": "PRESENTE", "parametro": "P15", "perfil": "FIJADO", "pertinencia": "SI", "recepcion": "ADMITIDA", "tipo": "TEXTO", "tipo_objetivo": "TEXTO", "valor": "NO_EXIGE"}</x:v>
      </x:c>
    </x:row>
  </x:sheetData>
  <x:mergeCells>
    <x:mergeCell ref="A1:D1"/>
    <x:mergeCell ref="A2:F2"/>
  </x:mergeCells>
  <x:conditionalFormatting sqref="R5:R69">
    <x:cfRule type="containsText" dxfId="26" priority="1" operator="containsText" text="DISCORDA"/>
  </x:conditionalFormatting>
  <x:pageMargins left="0.7" right="0.7" top="0.75" bottom="0.75" header="0.3" footer="0.3"/>
  <x:tableParts count="1">
    <x:tablePart xmlns:r="http://schemas.openxmlformats.org/officeDocument/2006/relationships" r:id="Re203136587e14e14"/>
  </x:tableParts>
</x:worksheet>
</file>

<file path=xl/worksheets/sheet6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9" hidden="0" customWidth="1"/>
    <x:col min="2" max="2" width="93" hidden="0" customWidth="1"/>
    <x:col min="3" max="3" width="50" hidden="0" customWidth="1"/>
    <x:col min="4" max="4" width="50" hidden="0" customWidth="1"/>
    <x:col min="5" max="5" width="28" hidden="0" customWidth="1"/>
    <x:col min="6" max="6" width="77" hidden="0" customWidth="1"/>
  </x:cols>
  <x:sheetData>
    <x:row r="1" ht="34" customHeight="1">
      <x:c r="A1" s="23" t="str">
        <x:v>CONTRASTE · evidencia, cobertura, autoridad y proporcionalidad</x:v>
      </x:c>
      <x:c r="B1" s="23"/>
      <x:c r="C1" s="23"/>
      <x:c r="D1" s="23"/>
      <x:c r="E1" s="23"/>
      <x:c r="F1" s="23"/>
    </x:row>
    <x:row r="2" ht="57" customHeight="1">
      <x:c r="A2" s="24" t="str">
        <x:v>Un resultado compara la condición atacada. Las pruebas documentales no verifican permisos ni sensores de una organización real.</x:v>
      </x:c>
      <x:c r="B2" s="24"/>
      <x:c r="C2" s="24"/>
      <x:c r="D2" s="24"/>
      <x:c r="E2" s="24"/>
      <x:c r="F2" s="24"/>
    </x:row>
    <x:row r="3">
      <x:c r="A3" s="21"/>
      <x:c r="B3" s="21"/>
      <x:c r="C3" s="21"/>
      <x:c r="D3" s="21"/>
      <x:c r="E3" s="21"/>
      <x:c r="F3" s="21"/>
    </x:row>
    <x:row r="4" ht="48" customHeight="1">
      <x:c r="A4" s="26" t="str">
        <x:v>Caso</x:v>
      </x:c>
      <x:c r="B4" s="26" t="str">
        <x:v>Ataque</x:v>
      </x:c>
      <x:c r="C4" s="26" t="str">
        <x:v>Esperado previo</x:v>
      </x:c>
      <x:c r="D4" s="26" t="str">
        <x:v>Resultado ejecutado</x:v>
      </x:c>
      <x:c r="E4" s="26" t="str">
        <x:v>Concordancia Excel</x:v>
      </x:c>
      <x:c r="F4" s="26" t="str">
        <x:v>Alcance</x:v>
      </x:c>
    </x:row>
    <x:row r="5" ht="43" customHeight="1">
      <x:c r="A5" s="21" t="str">
        <x:v>E01</x:v>
      </x:c>
      <x:c r="B5" s="21" t="str">
        <x:v>Control completo</x:v>
      </x:c>
      <x:c r="C5" s="21" t="str">
        <x:v>ADMISIBLE_DOCUMENTAL</x:v>
      </x:c>
      <x:c r="D5" s="21" t="str">
        <x:v>ADMISIBLE_DOCUMENTAL</x:v>
      </x:c>
      <x:c r="E5" s="27" t="str">
        <x:f>IF(C5="MAYOR_QUE_CERO",IF(VALUE(D5)&gt;0,"PASA","DISCORDA"),IF(EXACT("x"&amp;C5,"x"&amp;D5),"PASA","DISCORDA"))</x:f>
        <x:v>PASA</x:v>
      </x:c>
      <x:c r="F5" s="21" t="str">
        <x:v>EJECUTADO_EN_OBSERVADOR_DOCUMENTAL</x:v>
      </x:c>
    </x:row>
    <x:row r="6" ht="43" customHeight="1">
      <x:c r="A6" s="21" t="str">
        <x:v>E02</x:v>
      </x:c>
      <x:c r="B6" s="21" t="str">
        <x:v>Un byte cambiado</x:v>
      </x:c>
      <x:c r="C6" s="21" t="str">
        <x:v>INTEGRIDAD</x:v>
      </x:c>
      <x:c r="D6" s="21" t="str">
        <x:v>INTEGRIDAD</x:v>
      </x:c>
      <x:c r="E6" s="27" t="str">
        <x:f>IF(C6="MAYOR_QUE_CERO",IF(VALUE(D6)&gt;0,"PASA","DISCORDA"),IF(EXACT("x"&amp;C6,"x"&amp;D6),"PASA","DISCORDA"))</x:f>
        <x:v>PASA</x:v>
      </x:c>
      <x:c r="F6" s="21" t="str">
        <x:v>EJECUTADO_EN_OBSERVADOR_DOCUMENTAL</x:v>
      </x:c>
    </x:row>
    <x:row r="7" ht="43" customHeight="1">
      <x:c r="A7" s="21" t="str">
        <x:v>E03</x:v>
      </x:c>
      <x:c r="B7" s="21" t="str">
        <x:v>Hash correcto con productor no autorizado</x:v>
      </x:c>
      <x:c r="C7" s="21" t="str">
        <x:v>PRODUCTOR</x:v>
      </x:c>
      <x:c r="D7" s="21" t="str">
        <x:v>PRODUCTOR</x:v>
      </x:c>
      <x:c r="E7" s="27" t="str">
        <x:f>IF(C7="MAYOR_QUE_CERO",IF(VALUE(D7)&gt;0,"PASA","DISCORDA"),IF(EXACT("x"&amp;C7,"x"&amp;D7),"PASA","DISCORDA"))</x:f>
        <x:v>PASA</x:v>
      </x:c>
      <x:c r="F7" s="21" t="str">
        <x:v>EJECUTADO_EN_OBSERVADOR_DOCUMENTAL</x:v>
      </x:c>
    </x:row>
    <x:row r="8" ht="43" customHeight="1">
      <x:c r="A8" s="21" t="str">
        <x:v>E04</x:v>
      </x:c>
      <x:c r="B8" s="21" t="str">
        <x:v>Productor admitido para otro activo</x:v>
      </x:c>
      <x:c r="C8" s="21" t="str">
        <x:v>AMBITO</x:v>
      </x:c>
      <x:c r="D8" s="21" t="str">
        <x:v>AMBITO</x:v>
      </x:c>
      <x:c r="E8" s="27" t="str">
        <x:f>IF(C8="MAYOR_QUE_CERO",IF(VALUE(D8)&gt;0,"PASA","DISCORDA"),IF(EXACT("x"&amp;C8,"x"&amp;D8),"PASA","DISCORDA"))</x:f>
        <x:v>PASA</x:v>
      </x:c>
      <x:c r="F8" s="21" t="str">
        <x:v>EJECUTADO_EN_OBSERVADOR_DOCUMENTAL</x:v>
      </x:c>
    </x:row>
    <x:row r="9" ht="43" customHeight="1">
      <x:c r="A9" s="21" t="str">
        <x:v>E05</x:v>
      </x:c>
      <x:c r="B9" s="21" t="str">
        <x:v>Claves únicas y originales exactos</x:v>
      </x:c>
      <x:c r="C9" s="21" t="str">
        <x:v>CLAVE_REPETIDA</x:v>
      </x:c>
      <x:c r="D9" s="21" t="str">
        <x:v>CLAVE_REPETIDA</x:v>
      </x:c>
      <x:c r="E9" s="27" t="str">
        <x:f>IF(C9="MAYOR_QUE_CERO",IF(VALUE(D9)&gt;0,"PASA","DISCORDA"),IF(EXACT("x"&amp;C9,"x"&amp;D9),"PASA","DISCORDA"))</x:f>
        <x:v>PASA</x:v>
      </x:c>
      <x:c r="F9" s="21" t="str">
        <x:v>EJECUTADO_EN_OBSERVADOR_DOCUMENTAL</x:v>
      </x:c>
    </x:row>
    <x:row r="10" ht="43" customHeight="1">
      <x:c r="A10" s="21" t="str">
        <x:v>E06</x:v>
      </x:c>
      <x:c r="B10" s="21" t="str">
        <x:v>Claves únicas y originales exactos</x:v>
      </x:c>
      <x:c r="C10" s="21" t="str">
        <x:v>EXACTO</x:v>
      </x:c>
      <x:c r="D10" s="21" t="str">
        <x:v>EXACTO</x:v>
      </x:c>
      <x:c r="E10" s="27" t="str">
        <x:f>IF(C10="MAYOR_QUE_CERO",IF(VALUE(D10)&gt;0,"PASA","DISCORDA"),IF(EXACT("x"&amp;C10,"x"&amp;D10),"PASA","DISCORDA"))</x:f>
        <x:v>PASA</x:v>
      </x:c>
      <x:c r="F10" s="21" t="str">
        <x:v>EJECUTADO_EN_OBSERVADOR_DOCUMENTAL</x:v>
      </x:c>
    </x:row>
    <x:row r="11" ht="43" customHeight="1">
      <x:c r="A11" s="21" t="str">
        <x:v>E07</x:v>
      </x:c>
      <x:c r="B11" s="21" t="str">
        <x:v>Ciclo sin omisión ni bucle infinito</x:v>
      </x:c>
      <x:c r="C11" s="21" t="str">
        <x:v>COBERTURA_DEL_GRAFO_DECLARADO</x:v>
      </x:c>
      <x:c r="D11" s="21" t="str">
        <x:v>COBERTURA_DEL_GRAFO_DECLARADO</x:v>
      </x:c>
      <x:c r="E11" s="27" t="str">
        <x:f>IF(C11="MAYOR_QUE_CERO",IF(VALUE(D11)&gt;0,"PASA","DISCORDA"),IF(EXACT("x"&amp;C11,"x"&amp;D11),"PASA","DISCORDA"))</x:f>
        <x:v>PASA</x:v>
      </x:c>
      <x:c r="F11" s="21" t="str">
        <x:v>EJECUTADO_EN_OBSERVADOR_DOCUMENTAL</x:v>
      </x:c>
    </x:row>
    <x:row r="12" ht="43" customHeight="1">
      <x:c r="A12" s="21" t="str">
        <x:v>E08</x:v>
      </x:c>
      <x:c r="B12" s="21" t="str">
        <x:v>Segunda instancia omitida</x:v>
      </x:c>
      <x:c r="C12" s="21" t="str">
        <x:v>INSTANCIA_NO_CUBIERTA</x:v>
      </x:c>
      <x:c r="D12" s="21" t="str">
        <x:v>INSTANCIA_NO_CUBIERTA</x:v>
      </x:c>
      <x:c r="E12" s="27" t="str">
        <x:f>IF(C12="MAYOR_QUE_CERO",IF(VALUE(D12)&gt;0,"PASA","DISCORDA"),IF(EXACT("x"&amp;C12,"x"&amp;D12),"PASA","DISCORDA"))</x:f>
        <x:v>PASA</x:v>
      </x:c>
      <x:c r="F12" s="21" t="str">
        <x:v>EJECUTADO_EN_OBSERVADOR_DOCUMENTAL</x:v>
      </x:c>
    </x:row>
    <x:row r="13" ht="43" customHeight="1">
      <x:c r="A13" s="21" t="str">
        <x:v>E09</x:v>
      </x:c>
      <x:c r="B13" s="21" t="str">
        <x:v>Dependencia externa</x:v>
      </x:c>
      <x:c r="C13" s="21" t="str">
        <x:v>FRONTERA_SIN_EVIDENCIA</x:v>
      </x:c>
      <x:c r="D13" s="21" t="str">
        <x:v>FRONTERA_SIN_EVIDENCIA</x:v>
      </x:c>
      <x:c r="E13" s="27" t="str">
        <x:f>IF(C13="MAYOR_QUE_CERO",IF(VALUE(D13)&gt;0,"PASA","DISCORDA"),IF(EXACT("x"&amp;C13,"x"&amp;D13),"PASA","DISCORDA"))</x:f>
        <x:v>PASA</x:v>
      </x:c>
      <x:c r="F13" s="21" t="str">
        <x:v>EJECUTADO_EN_OBSERVADOR_DOCUMENTAL</x:v>
      </x:c>
    </x:row>
    <x:row r="14" ht="43" customHeight="1">
      <x:c r="A14" s="21" t="str">
        <x:v>E10</x:v>
      </x:c>
      <x:c r="B14" s="21" t="str">
        <x:v>Frontera explícita acreditada en testigo</x:v>
      </x:c>
      <x:c r="C14" s="21" t="str">
        <x:v>COBERTURA_DEL_GRAFO_DECLARADO</x:v>
      </x:c>
      <x:c r="D14" s="21" t="str">
        <x:v>COBERTURA_DEL_GRAFO_DECLARADO</x:v>
      </x:c>
      <x:c r="E14" s="27" t="str">
        <x:f>IF(C14="MAYOR_QUE_CERO",IF(VALUE(D14)&gt;0,"PASA","DISCORDA"),IF(EXACT("x"&amp;C14,"x"&amp;D14),"PASA","DISCORDA"))</x:f>
        <x:v>PASA</x:v>
      </x:c>
      <x:c r="F14" s="21" t="str">
        <x:v>EJECUTADO_EN_OBSERVADOR_DOCUMENTAL</x:v>
      </x:c>
    </x:row>
    <x:row r="15" ht="43" customHeight="1">
      <x:c r="A15" s="21" t="str">
        <x:v>E11</x:v>
      </x:c>
      <x:c r="B15" s="21" t="str">
        <x:v>Duplicado no infla cobertura</x:v>
      </x:c>
      <x:c r="C15" s="21" t="str">
        <x:v>IDENTIDAD_DUPLICADA</x:v>
      </x:c>
      <x:c r="D15" s="21" t="str">
        <x:v>IDENTIDAD_DUPLICADA</x:v>
      </x:c>
      <x:c r="E15" s="27" t="str">
        <x:f>IF(C15="MAYOR_QUE_CERO",IF(VALUE(D15)&gt;0,"PASA","DISCORDA"),IF(EXACT("x"&amp;C15,"x"&amp;D15),"PASA","DISCORDA"))</x:f>
        <x:v>PASA</x:v>
      </x:c>
      <x:c r="F15" s="21" t="str">
        <x:v>EJECUTADO_EN_OBSERVADOR_DOCUMENTAL</x:v>
      </x:c>
    </x:row>
    <x:row r="16" ht="43" customHeight="1">
      <x:c r="A16" s="21" t="str">
        <x:v>E12</x:v>
      </x:c>
      <x:c r="B16" s="21" t="str">
        <x:v>Lista vacía sin cobertura</x:v>
      </x:c>
      <x:c r="C16" s="21" t="str">
        <x:v>ORIGEN_AUSENTE</x:v>
      </x:c>
      <x:c r="D16" s="21" t="str">
        <x:v>ORIGEN_AUSENTE</x:v>
      </x:c>
      <x:c r="E16" s="27" t="str">
        <x:f>IF(C16="MAYOR_QUE_CERO",IF(VALUE(D16)&gt;0,"PASA","DISCORDA"),IF(EXACT("x"&amp;C16,"x"&amp;D16),"PASA","DISCORDA"))</x:f>
        <x:v>PASA</x:v>
      </x:c>
      <x:c r="F16" s="21" t="str">
        <x:v>EJECUTADO_EN_OBSERVADOR_DOCUMENTAL</x:v>
      </x:c>
    </x:row>
    <x:row r="17" ht="43" customHeight="1">
      <x:c r="A17" s="21" t="str">
        <x:v>E13</x:v>
      </x:c>
      <x:c r="B17" s="21" t="str">
        <x:v>Balance exacto y fronteras de incertidumbre</x:v>
      </x:c>
      <x:c r="C17" s="21" t="str">
        <x:v>COMPARACION_NO_EXCEDE</x:v>
      </x:c>
      <x:c r="D17" s="21" t="str">
        <x:v>COMPARACION_NO_EXCEDE</x:v>
      </x:c>
      <x:c r="E17" s="27" t="str">
        <x:f>IF(C17="MAYOR_QUE_CERO",IF(VALUE(D17)&gt;0,"PASA","DISCORDA"),IF(EXACT("x"&amp;C17,"x"&amp;D17),"PASA","DISCORDA"))</x:f>
        <x:v>PASA</x:v>
      </x:c>
      <x:c r="F17" s="21" t="str">
        <x:v>EJECUTADO_EN_OBSERVADOR_DOCUMENTAL</x:v>
      </x:c>
    </x:row>
    <x:row r="18" ht="43" customHeight="1">
      <x:c r="A18" s="21" t="str">
        <x:v>E14</x:v>
      </x:c>
      <x:c r="B18" s="21" t="str">
        <x:v>Balance exacto y fronteras de incertidumbre</x:v>
      </x:c>
      <x:c r="C18" s="21" t="str">
        <x:v>EXCESO_ACREDITADO</x:v>
      </x:c>
      <x:c r="D18" s="21" t="str">
        <x:v>EXCESO_ACREDITADO</x:v>
      </x:c>
      <x:c r="E18" s="27" t="str">
        <x:f>IF(C18="MAYOR_QUE_CERO",IF(VALUE(D18)&gt;0,"PASA","DISCORDA"),IF(EXACT("x"&amp;C18,"x"&amp;D18),"PASA","DISCORDA"))</x:f>
        <x:v>PASA</x:v>
      </x:c>
      <x:c r="F18" s="21" t="str">
        <x:v>EJECUTADO_EN_OBSERVADOR_DOCUMENTAL</x:v>
      </x:c>
    </x:row>
    <x:row r="19" ht="43" customHeight="1">
      <x:c r="A19" s="21" t="str">
        <x:v>E15</x:v>
      </x:c>
      <x:c r="B19" s="21" t="str">
        <x:v>Balance exacto y fronteras de incertidumbre</x:v>
      </x:c>
      <x:c r="C19" s="21" t="str">
        <x:v>JUICIO_NO_RESUELTO</x:v>
      </x:c>
      <x:c r="D19" s="21" t="str">
        <x:v>JUICIO_NO_RESUELTO</x:v>
      </x:c>
      <x:c r="E19" s="27" t="str">
        <x:f>IF(C19="MAYOR_QUE_CERO",IF(VALUE(D19)&gt;0,"PASA","DISCORDA"),IF(EXACT("x"&amp;C19,"x"&amp;D19),"PASA","DISCORDA"))</x:f>
        <x:v>PASA</x:v>
      </x:c>
      <x:c r="F19" s="21" t="str">
        <x:v>EJECUTADO_EN_OBSERVADOR_DOCUMENTAL</x:v>
      </x:c>
    </x:row>
    <x:row r="20" ht="43" customHeight="1">
      <x:c r="A20" s="21" t="str">
        <x:v>E16</x:v>
      </x:c>
      <x:c r="B20" s="21" t="str">
        <x:v>Balance exacto y fronteras de incertidumbre</x:v>
      </x:c>
      <x:c r="C20" s="21" t="str">
        <x:v>EXCESO_ACREDITADO</x:v>
      </x:c>
      <x:c r="D20" s="21" t="str">
        <x:v>EXCESO_ACREDITADO</x:v>
      </x:c>
      <x:c r="E20" s="27" t="str">
        <x:f>IF(C20="MAYOR_QUE_CERO",IF(VALUE(D20)&gt;0,"PASA","DISCORDA"),IF(EXACT("x"&amp;C20,"x"&amp;D20),"PASA","DISCORDA"))</x:f>
        <x:v>PASA</x:v>
      </x:c>
      <x:c r="F20" s="21" t="str">
        <x:v>EJECUTADO_EN_OBSERVADOR_DOCUMENTAL</x:v>
      </x:c>
    </x:row>
    <x:row r="21" ht="43" customHeight="1">
      <x:c r="A21" s="21" t="str">
        <x:v>E17</x:v>
      </x:c>
      <x:c r="B21" s="21" t="str">
        <x:v>Balance exacto y fronteras de incertidumbre</x:v>
      </x:c>
      <x:c r="C21" s="21" t="str">
        <x:v>INTERVALO_INVALIDO</x:v>
      </x:c>
      <x:c r="D21" s="21" t="str">
        <x:v>INTERVALO_INVALIDO</x:v>
      </x:c>
      <x:c r="E21" s="27" t="str">
        <x:f>IF(C21="MAYOR_QUE_CERO",IF(VALUE(D21)&gt;0,"PASA","DISCORDA"),IF(EXACT("x"&amp;C21,"x"&amp;D21),"PASA","DISCORDA"))</x:f>
        <x:v>PASA</x:v>
      </x:c>
      <x:c r="F21" s="21" t="str">
        <x:v>EJECUTADO_EN_OBSERVADOR_DOCUMENTAL</x:v>
      </x:c>
    </x:row>
    <x:row r="22" ht="43" customHeight="1">
      <x:c r="A22" s="21" t="str">
        <x:v>E18</x:v>
      </x:c>
      <x:c r="B22" s="21" t="str">
        <x:v>Balance exacto y fronteras de incertidumbre</x:v>
      </x:c>
      <x:c r="C22" s="21" t="str">
        <x:v>DATO_NO_ADMITIDO</x:v>
      </x:c>
      <x:c r="D22" s="21" t="str">
        <x:v>DATO_NO_ADMITIDO</x:v>
      </x:c>
      <x:c r="E22" s="27" t="str">
        <x:f>IF(C22="MAYOR_QUE_CERO",IF(VALUE(D22)&gt;0,"PASA","DISCORDA"),IF(EXACT("x"&amp;C22,"x"&amp;D22),"PASA","DISCORDA"))</x:f>
        <x:v>PASA</x:v>
      </x:c>
      <x:c r="F22" s="21" t="str">
        <x:v>EJECUTADO_EN_OBSERVADOR_DOCUMENTAL</x:v>
      </x:c>
    </x:row>
    <x:row r="23" ht="43" customHeight="1">
      <x:c r="A23" s="21" t="str">
        <x:v>E19</x:v>
      </x:c>
      <x:c r="B23" s="21" t="str">
        <x:v>No conversión inventada</x:v>
      </x:c>
      <x:c r="C23" s="21" t="str">
        <x:v>UNIDADES_INCOMPATIBLES</x:v>
      </x:c>
      <x:c r="D23" s="21" t="str">
        <x:v>UNIDADES_INCOMPATIBLES</x:v>
      </x:c>
      <x:c r="E23" s="27" t="str">
        <x:f>IF(C23="MAYOR_QUE_CERO",IF(VALUE(D23)&gt;0,"PASA","DISCORDA"),IF(EXACT("x"&amp;C23,"x"&amp;D23),"PASA","DISCORDA"))</x:f>
        <x:v>PASA</x:v>
      </x:c>
      <x:c r="F23" s="21" t="str">
        <x:v>EJECUTADO_EN_OBSERVADOR_DOCUMENTAL</x:v>
      </x:c>
    </x:row>
    <x:row r="24" ht="43" customHeight="1">
      <x:c r="A24" s="21" t="str">
        <x:v>E20</x:v>
      </x:c>
      <x:c r="B24" s="21" t="str">
        <x:v>Impacto no monetizado no es cero</x:v>
      </x:c>
      <x:c r="C24" s="21" t="str">
        <x:v>JUICIO_NO_RESUELTO</x:v>
      </x:c>
      <x:c r="D24" s="21" t="str">
        <x:v>JUICIO_NO_RESUELTO</x:v>
      </x:c>
      <x:c r="E24" s="27" t="str">
        <x:f>IF(C24="MAYOR_QUE_CERO",IF(VALUE(D24)&gt;0,"PASA","DISCORDA"),IF(EXACT("x"&amp;C24,"x"&amp;D24),"PASA","DISCORDA"))</x:f>
        <x:v>PASA</x:v>
      </x:c>
      <x:c r="F24" s="21" t="str">
        <x:v>EJECUTADO_EN_OBSERVADOR_DOCUMENTAL</x:v>
      </x:c>
    </x:row>
    <x:row r="25" ht="43" customHeight="1">
      <x:c r="A25" s="21" t="str">
        <x:v>E21</x:v>
      </x:c>
      <x:c r="B25" s="21" t="str">
        <x:v>Caso acotado completo; no ejecución SV</x:v>
      </x:c>
      <x:c r="C25" s="21" t="str">
        <x:v>SUFICIENTE_EN_ALCANCE_SINTETICO</x:v>
      </x:c>
      <x:c r="D25" s="21" t="str">
        <x:v>SUFICIENTE_EN_ALCANCE_SINTETICO</x:v>
      </x:c>
      <x:c r="E25" s="27" t="str">
        <x:f>IF(C25="MAYOR_QUE_CERO",IF(VALUE(D25)&gt;0,"PASA","DISCORDA"),IF(EXACT("x"&amp;C25,"x"&amp;D25),"PASA","DISCORDA"))</x:f>
        <x:v>PASA</x:v>
      </x:c>
      <x:c r="F25" s="21" t="str">
        <x:v>EJECUTADO_EN_OBSERVADOR_DOCUMENTAL</x:v>
      </x:c>
    </x:row>
    <x:row r="26" ht="43" customHeight="1">
      <x:c r="A26" s="21" t="str">
        <x:v>E22</x:v>
      </x:c>
      <x:c r="B26" s="21" t="str">
        <x:v>Omitir integridad</x:v>
      </x:c>
      <x:c r="C26" s="21" t="str">
        <x:v>INSUFICIENTE</x:v>
      </x:c>
      <x:c r="D26" s="21" t="str">
        <x:v>INSUFICIENTE</x:v>
      </x:c>
      <x:c r="E26" s="27" t="str">
        <x:f>IF(C26="MAYOR_QUE_CERO",IF(VALUE(D26)&gt;0,"PASA","DISCORDA"),IF(EXACT("x"&amp;C26,"x"&amp;D26),"PASA","DISCORDA"))</x:f>
        <x:v>PASA</x:v>
      </x:c>
      <x:c r="F26" s="21" t="str">
        <x:v>EJECUTADO_EN_OBSERVADOR_DOCUMENTAL</x:v>
      </x:c>
    </x:row>
    <x:row r="27" ht="43" customHeight="1">
      <x:c r="A27" s="21" t="str">
        <x:v>E23</x:v>
      </x:c>
      <x:c r="B27" s="21" t="str">
        <x:v>Omitir aplicabilidad</x:v>
      </x:c>
      <x:c r="C27" s="21" t="str">
        <x:v>INSUFICIENTE</x:v>
      </x:c>
      <x:c r="D27" s="21" t="str">
        <x:v>INSUFICIENTE</x:v>
      </x:c>
      <x:c r="E27" s="27" t="str">
        <x:f>IF(C27="MAYOR_QUE_CERO",IF(VALUE(D27)&gt;0,"PASA","DISCORDA"),IF(EXACT("x"&amp;C27,"x"&amp;D27),"PASA","DISCORDA"))</x:f>
        <x:v>PASA</x:v>
      </x:c>
      <x:c r="F27" s="21" t="str">
        <x:v>EJECUTADO_EN_OBSERVADOR_DOCUMENTAL</x:v>
      </x:c>
    </x:row>
    <x:row r="28" ht="43" customHeight="1">
      <x:c r="A28" s="21" t="str">
        <x:v>E24</x:v>
      </x:c>
      <x:c r="B28" s="21" t="str">
        <x:v>Omitir completitud</x:v>
      </x:c>
      <x:c r="C28" s="21" t="str">
        <x:v>INSUFICIENTE</x:v>
      </x:c>
      <x:c r="D28" s="21" t="str">
        <x:v>INSUFICIENTE</x:v>
      </x:c>
      <x:c r="E28" s="27" t="str">
        <x:f>IF(C28="MAYOR_QUE_CERO",IF(VALUE(D28)&gt;0,"PASA","DISCORDA"),IF(EXACT("x"&amp;C28,"x"&amp;D28),"PASA","DISCORDA"))</x:f>
        <x:v>PASA</x:v>
      </x:c>
      <x:c r="F28" s="21" t="str">
        <x:v>EJECUTADO_EN_OBSERVADOR_DOCUMENTAL</x:v>
      </x:c>
    </x:row>
    <x:row r="29" ht="43" customHeight="1">
      <x:c r="A29" s="21" t="str">
        <x:v>E25</x:v>
      </x:c>
      <x:c r="B29" s="21" t="str">
        <x:v>Omitir efecto</x:v>
      </x:c>
      <x:c r="C29" s="21" t="str">
        <x:v>INSUFICIENTE</x:v>
      </x:c>
      <x:c r="D29" s="21" t="str">
        <x:v>INSUFICIENTE</x:v>
      </x:c>
      <x:c r="E29" s="27" t="str">
        <x:f>IF(C29="MAYOR_QUE_CERO",IF(VALUE(D29)&gt;0,"PASA","DISCORDA"),IF(EXACT("x"&amp;C29,"x"&amp;D29),"PASA","DISCORDA"))</x:f>
        <x:v>PASA</x:v>
      </x:c>
      <x:c r="F29" s="21" t="str">
        <x:v>EJECUTADO_EN_OBSERVADOR_DOCUMENTAL</x:v>
      </x:c>
    </x:row>
    <x:row r="30" ht="43" customHeight="1">
      <x:c r="A30" s="21" t="str">
        <x:v>E26</x:v>
      </x:c>
      <x:c r="B30" s="21" t="str">
        <x:v>Omitir vigencia</x:v>
      </x:c>
      <x:c r="C30" s="21" t="str">
        <x:v>INSUFICIENTE</x:v>
      </x:c>
      <x:c r="D30" s="21" t="str">
        <x:v>INSUFICIENTE</x:v>
      </x:c>
      <x:c r="E30" s="27" t="str">
        <x:f>IF(C30="MAYOR_QUE_CERO",IF(VALUE(D30)&gt;0,"PASA","DISCORDA"),IF(EXACT("x"&amp;C30,"x"&amp;D30),"PASA","DISCORDA"))</x:f>
        <x:v>PASA</x:v>
      </x:c>
      <x:c r="F30" s="21" t="str">
        <x:v>EJECUTADO_EN_OBSERVADOR_DOCUMENTAL</x:v>
      </x:c>
    </x:row>
    <x:row r="31" ht="43" customHeight="1">
      <x:c r="A31" s="21" t="str">
        <x:v>E27</x:v>
      </x:c>
      <x:c r="B31" s="21" t="str">
        <x:v>Omitir cobertura</x:v>
      </x:c>
      <x:c r="C31" s="21" t="str">
        <x:v>INSUFICIENTE</x:v>
      </x:c>
      <x:c r="D31" s="21" t="str">
        <x:v>INSUFICIENTE</x:v>
      </x:c>
      <x:c r="E31" s="27" t="str">
        <x:f>IF(C31="MAYOR_QUE_CERO",IF(VALUE(D31)&gt;0,"PASA","DISCORDA"),IF(EXACT("x"&amp;C31,"x"&amp;D31),"PASA","DISCORDA"))</x:f>
        <x:v>PASA</x:v>
      </x:c>
      <x:c r="F31" s="21" t="str">
        <x:v>EJECUTADO_EN_OBSERVADOR_DOCUMENTAL</x:v>
      </x:c>
    </x:row>
    <x:row r="32" ht="43" customHeight="1">
      <x:c r="A32" s="21" t="str">
        <x:v>E28</x:v>
      </x:c>
      <x:c r="B32" s="21" t="str">
        <x:v>Omitir destinatario</x:v>
      </x:c>
      <x:c r="C32" s="21" t="str">
        <x:v>INSUFICIENTE</x:v>
      </x:c>
      <x:c r="D32" s="21" t="str">
        <x:v>INSUFICIENTE</x:v>
      </x:c>
      <x:c r="E32" s="27" t="str">
        <x:f>IF(C32="MAYOR_QUE_CERO",IF(VALUE(D32)&gt;0,"PASA","DISCORDA"),IF(EXACT("x"&amp;C32,"x"&amp;D32),"PASA","DISCORDA"))</x:f>
        <x:v>PASA</x:v>
      </x:c>
      <x:c r="F32" s="21" t="str">
        <x:v>EJECUTADO_EN_OBSERVADOR_DOCUMENTAL</x:v>
      </x:c>
    </x:row>
    <x:row r="33" ht="43" customHeight="1">
      <x:c r="A33" s="21" t="str">
        <x:v>E29</x:v>
      </x:c>
      <x:c r="B33" s="21" t="str">
        <x:v>Fallo no es salida alternativa</x:v>
      </x:c>
      <x:c r="C33" s="21" t="str">
        <x:v>FALLO_TECNICO_SIN_PRODUCTO</x:v>
      </x:c>
      <x:c r="D33" s="21" t="str">
        <x:v>FALLO_TECNICO_SIN_PRODUCTO</x:v>
      </x:c>
      <x:c r="E33" s="27" t="str">
        <x:f>IF(C33="MAYOR_QUE_CERO",IF(VALUE(D33)&gt;0,"PASA","DISCORDA"),IF(EXACT("x"&amp;C33,"x"&amp;D33),"PASA","DISCORDA"))</x:f>
        <x:v>PASA</x:v>
      </x:c>
      <x:c r="F33" s="21" t="str">
        <x:v>EJECUTADO_EN_OBSERVADOR_DOCUMENTAL</x:v>
      </x:c>
    </x:row>
    <x:row r="34" ht="43" customHeight="1">
      <x:c r="A34" s="21" t="str">
        <x:v>E30</x:v>
      </x:c>
      <x:c r="B34" s="21" t="str">
        <x:v>No admisión no es U</x:v>
      </x:c>
      <x:c r="C34" s="21" t="str">
        <x:v>NO_ADMITIDA_SIN_DICTAMEN</x:v>
      </x:c>
      <x:c r="D34" s="21" t="str">
        <x:v>NO_ADMITIDA_SIN_DICTAMEN</x:v>
      </x:c>
      <x:c r="E34" s="27" t="str">
        <x:f>IF(C34="MAYOR_QUE_CERO",IF(VALUE(D34)&gt;0,"PASA","DISCORDA"),IF(EXACT("x"&amp;C34,"x"&amp;D34),"PASA","DISCORDA"))</x:f>
        <x:v>PASA</x:v>
      </x:c>
      <x:c r="F34" s="21" t="str">
        <x:v>EJECUTADO_EN_OBSERVADOR_DOCUMENTAL</x:v>
      </x:c>
    </x:row>
    <x:row r="35" ht="43" customHeight="1">
      <x:c r="A35" s="21" t="str">
        <x:v>E31</x:v>
      </x:c>
      <x:c r="B35" s="21" t="str">
        <x:v>Exclusión no afirma corrección</x:v>
      </x:c>
      <x:c r="C35" s="21" t="str">
        <x:v>EXCLUSION_FUNDADA</x:v>
      </x:c>
      <x:c r="D35" s="21" t="str">
        <x:v>EXCLUSION_FUNDADA</x:v>
      </x:c>
      <x:c r="E35" s="27" t="str">
        <x:f>IF(C35="MAYOR_QUE_CERO",IF(VALUE(D35)&gt;0,"PASA","DISCORDA"),IF(EXACT("x"&amp;C35,"x"&amp;D35),"PASA","DISCORDA"))</x:f>
        <x:v>PASA</x:v>
      </x:c>
      <x:c r="F35" s="21" t="str">
        <x:v>EJECUTADO_EN_OBSERVADOR_DOCUMENTAL</x:v>
      </x:c>
    </x:row>
    <x:row r="36" ht="43" customHeight="1">
      <x:c r="A36" s="21" t="str">
        <x:v>E32</x:v>
      </x:c>
      <x:c r="B36" s="21" t="str">
        <x:v>Desconocimiento no es exclusión fundada</x:v>
      </x:c>
      <x:c r="C36" s="21" t="str">
        <x:v>INSUFICIENTE</x:v>
      </x:c>
      <x:c r="D36" s="21" t="str">
        <x:v>INSUFICIENTE</x:v>
      </x:c>
      <x:c r="E36" s="27" t="str">
        <x:f>IF(C36="MAYOR_QUE_CERO",IF(VALUE(D36)&gt;0,"PASA","DISCORDA"),IF(EXACT("x"&amp;C36,"x"&amp;D36),"PASA","DISCORDA"))</x:f>
        <x:v>PASA</x:v>
      </x:c>
      <x:c r="F36" s="21" t="str">
        <x:v>EJECUTADO_EN_OBSERVADOR_DOCUMENTAL</x:v>
      </x:c>
    </x:row>
    <x:row r="37" ht="43" customHeight="1">
      <x:c r="A37" s="21" t="str">
        <x:v>E33</x:v>
      </x:c>
      <x:c r="B37" s="21" t="str">
        <x:v>Conjunción vacía no crea suficiencia</x:v>
      </x:c>
      <x:c r="C37" s="21" t="str">
        <x:v>INSUFICIENTE</x:v>
      </x:c>
      <x:c r="D37" s="21" t="str">
        <x:v>INSUFICIENTE</x:v>
      </x:c>
      <x:c r="E37" s="27" t="str">
        <x:f>IF(C37="MAYOR_QUE_CERO",IF(VALUE(D37)&gt;0,"PASA","DISCORDA"),IF(EXACT("x"&amp;C37,"x"&amp;D37),"PASA","DISCORDA"))</x:f>
        <x:v>PASA</x:v>
      </x:c>
      <x:c r="F37" s="21" t="str">
        <x:v>EJECUTADO_EN_OBSERVADOR_DOCUMENTAL</x:v>
      </x:c>
    </x:row>
    <x:row r="38" ht="43" customHeight="1">
      <x:c r="A38" s="21" t="str">
        <x:v>E34</x:v>
      </x:c>
      <x:c r="B38" s="21" t="str">
        <x:v>Conjunción de condiciones admitidas</x:v>
      </x:c>
      <x:c r="C38" s="21" t="str">
        <x:v>APLICABLE</x:v>
      </x:c>
      <x:c r="D38" s="21" t="str">
        <x:v>APLICABLE</x:v>
      </x:c>
      <x:c r="E38" s="27" t="str">
        <x:f>IF(C38="MAYOR_QUE_CERO",IF(VALUE(D38)&gt;0,"PASA","DISCORDA"),IF(EXACT("x"&amp;C38,"x"&amp;D38),"PASA","DISCORDA"))</x:f>
        <x:v>PASA</x:v>
      </x:c>
      <x:c r="F38" s="21" t="str">
        <x:v>EJECUTADO_EN_OBSERVADOR_DOCUMENTAL</x:v>
      </x:c>
    </x:row>
    <x:row r="39" ht="43" customHeight="1">
      <x:c r="A39" s="21" t="str">
        <x:v>E35</x:v>
      </x:c>
      <x:c r="B39" s="21" t="str">
        <x:v>Condición desconocida no es falsa</x:v>
      </x:c>
      <x:c r="C39" s="21" t="str">
        <x:v>NO_RESUELTA</x:v>
      </x:c>
      <x:c r="D39" s="21" t="str">
        <x:v>NO_RESUELTA</x:v>
      </x:c>
      <x:c r="E39" s="27" t="str">
        <x:f>IF(C39="MAYOR_QUE_CERO",IF(VALUE(D39)&gt;0,"PASA","DISCORDA"),IF(EXACT("x"&amp;C39,"x"&amp;D39),"PASA","DISCORDA"))</x:f>
        <x:v>PASA</x:v>
      </x:c>
      <x:c r="F39" s="21" t="str">
        <x:v>EJECUTADO_EN_OBSERVADOR_DOCUMENTAL</x:v>
      </x:c>
    </x:row>
    <x:row r="40" ht="43" customHeight="1">
      <x:c r="A40" s="21" t="str">
        <x:v>E36</x:v>
      </x:c>
      <x:c r="B40" s="21" t="str">
        <x:v>Refutación suficiente en conjunción explícita</x:v>
      </x:c>
      <x:c r="C40" s="21" t="str">
        <x:v>NO_APLICABLE</x:v>
      </x:c>
      <x:c r="D40" s="21" t="str">
        <x:v>NO_APLICABLE</x:v>
      </x:c>
      <x:c r="E40" s="27" t="str">
        <x:f>IF(C40="MAYOR_QUE_CERO",IF(VALUE(D40)&gt;0,"PASA","DISCORDA"),IF(EXACT("x"&amp;C40,"x"&amp;D40),"PASA","DISCORDA"))</x:f>
        <x:v>PASA</x:v>
      </x:c>
      <x:c r="F40" s="21" t="str">
        <x:v>EJECUTADO_EN_OBSERVADOR_DOCUMENTAL</x:v>
      </x:c>
    </x:row>
    <x:row r="41" ht="43" customHeight="1">
      <x:c r="A41" s="21" t="str">
        <x:v>E37</x:v>
      </x:c>
      <x:c r="B41" s="21" t="str">
        <x:v>Regla vacía no acredita pertinencia</x:v>
      </x:c>
      <x:c r="C41" s="21" t="str">
        <x:v>NO_RESUELTA</x:v>
      </x:c>
      <x:c r="D41" s="21" t="str">
        <x:v>NO_RESUELTA</x:v>
      </x:c>
      <x:c r="E41" s="27" t="str">
        <x:f>IF(C41="MAYOR_QUE_CERO",IF(VALUE(D41)&gt;0,"PASA","DISCORDA"),IF(EXACT("x"&amp;C41,"x"&amp;D41),"PASA","DISCORDA"))</x:f>
        <x:v>PASA</x:v>
      </x:c>
      <x:c r="F41" s="21" t="str">
        <x:v>EJECUTADO_EN_OBSERVADOR_DOCUMENTAL</x:v>
      </x:c>
    </x:row>
    <x:row r="42" ht="43" customHeight="1">
      <x:c r="A42" s="21" t="str">
        <x:v>E38</x:v>
      </x:c>
      <x:c r="B42" s="21" t="str">
        <x:v>Duración y recuperación caben exactamente</x:v>
      </x:c>
      <x:c r="C42" s="21" t="str">
        <x:v>CABE</x:v>
      </x:c>
      <x:c r="D42" s="21" t="str">
        <x:v>CABE</x:v>
      </x:c>
      <x:c r="E42" s="27" t="str">
        <x:f>IF(C42="MAYOR_QUE_CERO",IF(VALUE(D42)&gt;0,"PASA","DISCORDA"),IF(EXACT("x"&amp;C42,"x"&amp;D42),"PASA","DISCORDA"))</x:f>
        <x:v>PASA</x:v>
      </x:c>
      <x:c r="F42" s="21" t="str">
        <x:v>EJECUTADO_EN_OBSERVADOR_DOCUMENTAL</x:v>
      </x:c>
    </x:row>
    <x:row r="43" ht="43" customHeight="1">
      <x:c r="A43" s="21" t="str">
        <x:v>E39</x:v>
      </x:c>
      <x:c r="B43" s="21" t="str">
        <x:v>Comenzar al fin excluido</x:v>
      </x:c>
      <x:c r="C43" s="21" t="str">
        <x:v>NO_CABE</x:v>
      </x:c>
      <x:c r="D43" s="21" t="str">
        <x:v>NO_CABE</x:v>
      </x:c>
      <x:c r="E43" s="27" t="str">
        <x:f>IF(C43="MAYOR_QUE_CERO",IF(VALUE(D43)&gt;0,"PASA","DISCORDA"),IF(EXACT("x"&amp;C43,"x"&amp;D43),"PASA","DISCORDA"))</x:f>
        <x:v>PASA</x:v>
      </x:c>
      <x:c r="F43" s="21" t="str">
        <x:v>EJECUTADO_EN_OBSERVADOR_DOCUMENTAL</x:v>
      </x:c>
    </x:row>
    <x:row r="44" ht="43" customHeight="1">
      <x:c r="A44" s="21" t="str">
        <x:v>E40</x:v>
      </x:c>
      <x:c r="B44" s="21" t="str">
        <x:v>Recuperación invade frontera</x:v>
      </x:c>
      <x:c r="C44" s="21" t="str">
        <x:v>NO_CABE</x:v>
      </x:c>
      <x:c r="D44" s="21" t="str">
        <x:v>NO_CABE</x:v>
      </x:c>
      <x:c r="E44" s="27" t="str">
        <x:f>IF(C44="MAYOR_QUE_CERO",IF(VALUE(D44)&gt;0,"PASA","DISCORDA"),IF(EXACT("x"&amp;C44,"x"&amp;D44),"PASA","DISCORDA"))</x:f>
        <x:v>PASA</x:v>
      </x:c>
      <x:c r="F44" s="21" t="str">
        <x:v>EJECUTADO_EN_OBSERVADOR_DOCUMENTAL</x:v>
      </x:c>
    </x:row>
    <x:row r="45" ht="43" customHeight="1">
      <x:c r="A45" s="21" t="str">
        <x:v>E41</x:v>
      </x:c>
      <x:c r="B45" s="21" t="str">
        <x:v>Orden no fiable no se redondea</x:v>
      </x:c>
      <x:c r="C45" s="21" t="str">
        <x:v>ORDEN_NO_RESUELTO</x:v>
      </x:c>
      <x:c r="D45" s="21" t="str">
        <x:v>ORDEN_NO_RESUELTO</x:v>
      </x:c>
      <x:c r="E45" s="27" t="str">
        <x:f>IF(C45="MAYOR_QUE_CERO",IF(VALUE(D45)&gt;0,"PASA","DISCORDA"),IF(EXACT("x"&amp;C45,"x"&amp;D45),"PASA","DISCORDA"))</x:f>
        <x:v>PASA</x:v>
      </x:c>
      <x:c r="F45" s="21" t="str">
        <x:v>EJECUTADO_EN_OBSERVADOR_DOCUMENTAL</x:v>
      </x:c>
    </x:row>
    <x:row r="46" ht="43" customHeight="1">
      <x:c r="A46" s="21" t="str">
        <x:v>E42</x:v>
      </x:c>
      <x:c r="B46" s="21" t="str">
        <x:v>Intervalo vacío</x:v>
      </x:c>
      <x:c r="C46" s="21" t="str">
        <x:v>INTERVALO_INVALIDO</x:v>
      </x:c>
      <x:c r="D46" s="21" t="str">
        <x:v>INTERVALO_INVALIDO</x:v>
      </x:c>
      <x:c r="E46" s="27" t="str">
        <x:f>IF(C46="MAYOR_QUE_CERO",IF(VALUE(D46)&gt;0,"PASA","DISCORDA"),IF(EXACT("x"&amp;C46,"x"&amp;D46),"PASA","DISCORDA"))</x:f>
        <x:v>PASA</x:v>
      </x:c>
      <x:c r="F46" s="21" t="str">
        <x:v>EJECUTADO_EN_OBSERVADOR_DOCUMENTAL</x:v>
      </x:c>
    </x:row>
    <x:row r="47" ht="43" customHeight="1">
      <x:c r="A47" s="21" t="str">
        <x:v>E43</x:v>
      </x:c>
      <x:c r="B47" s="21" t="str">
        <x:v>Permiso concreto en testigo sintético</x:v>
      </x:c>
      <x:c r="C47" s="21" t="str">
        <x:v>PERMISO_DOCUMENTADO</x:v>
      </x:c>
      <x:c r="D47" s="21" t="str">
        <x:v>PERMISO_DOCUMENTADO</x:v>
      </x:c>
      <x:c r="E47" s="27" t="str">
        <x:f>IF(C47="MAYOR_QUE_CERO",IF(VALUE(D47)&gt;0,"PASA","DISCORDA"),IF(EXACT("x"&amp;C47,"x"&amp;D47),"PASA","DISCORDA"))</x:f>
        <x:v>PASA</x:v>
      </x:c>
      <x:c r="F47" s="21" t="str">
        <x:v>EJECUTADO_EN_OBSERVADOR_DOCUMENTAL</x:v>
      </x:c>
    </x:row>
    <x:row r="48" ht="43" customHeight="1">
      <x:c r="A48" s="21" t="str">
        <x:v>E44</x:v>
      </x:c>
      <x:c r="B48" s="21" t="str">
        <x:v>Permiso de otro activo</x:v>
      </x:c>
      <x:c r="C48" s="21" t="str">
        <x:v>FUERA_DE_AMBITO</x:v>
      </x:c>
      <x:c r="D48" s="21" t="str">
        <x:v>FUERA_DE_AMBITO</x:v>
      </x:c>
      <x:c r="E48" s="27" t="str">
        <x:f>IF(C48="MAYOR_QUE_CERO",IF(VALUE(D48)&gt;0,"PASA","DISCORDA"),IF(EXACT("x"&amp;C48,"x"&amp;D48),"PASA","DISCORDA"))</x:f>
        <x:v>PASA</x:v>
      </x:c>
      <x:c r="F48" s="21" t="str">
        <x:v>EJECUTADO_EN_OBSERVADOR_DOCUMENTAL</x:v>
      </x:c>
    </x:row>
    <x:row r="49" ht="43" customHeight="1">
      <x:c r="A49" s="21" t="str">
        <x:v>E45</x:v>
      </x:c>
      <x:c r="B49" s="21" t="str">
        <x:v>Permiso caducado</x:v>
      </x:c>
      <x:c r="C49" s="21" t="str">
        <x:v>NO_VIGENTE</x:v>
      </x:c>
      <x:c r="D49" s="21" t="str">
        <x:v>NO_VIGENTE</x:v>
      </x:c>
      <x:c r="E49" s="27" t="str">
        <x:f>IF(C49="MAYOR_QUE_CERO",IF(VALUE(D49)&gt;0,"PASA","DISCORDA"),IF(EXACT("x"&amp;C49,"x"&amp;D49),"PASA","DISCORDA"))</x:f>
        <x:v>PASA</x:v>
      </x:c>
      <x:c r="F49" s="21" t="str">
        <x:v>EJECUTADO_EN_OBSERVADOR_DOCUMENTAL</x:v>
      </x:c>
    </x:row>
    <x:row r="50" ht="43" customHeight="1">
      <x:c r="A50" s="21" t="str">
        <x:v>E46</x:v>
      </x:c>
      <x:c r="B50" s="21" t="str">
        <x:v>Dirección curricular no sustituye organización</x:v>
      </x:c>
      <x:c r="C50" s="21" t="str">
        <x:v>NO_ACREDITADO</x:v>
      </x:c>
      <x:c r="D50" s="21" t="str">
        <x:v>NO_ACREDITADO</x:v>
      </x:c>
      <x:c r="E50" s="27" t="str">
        <x:f>IF(C50="MAYOR_QUE_CERO",IF(VALUE(D50)&gt;0,"PASA","DISCORDA"),IF(EXACT("x"&amp;C50,"x"&amp;D50),"PASA","DISCORDA"))</x:f>
        <x:v>PASA</x:v>
      </x:c>
      <x:c r="F50" s="21" t="str">
        <x:v>EJECUTADO_EN_OBSERVADOR_DOCUMENTAL</x:v>
      </x:c>
    </x:row>
    <x:row r="51" ht="43" customHeight="1">
      <x:c r="A51" s="21" t="str">
        <x:v>E47</x:v>
      </x:c>
      <x:c r="B51" s="21" t="str">
        <x:v>Acción no autorizada</x:v>
      </x:c>
      <x:c r="C51" s="21" t="str">
        <x:v>FUERA_DE_AMBITO</x:v>
      </x:c>
      <x:c r="D51" s="21" t="str">
        <x:v>FUERA_DE_AMBITO</x:v>
      </x:c>
      <x:c r="E51" s="27" t="str">
        <x:f>IF(C51="MAYOR_QUE_CERO",IF(VALUE(D51)&gt;0,"PASA","DISCORDA"),IF(EXACT("x"&amp;C51,"x"&amp;D51),"PASA","DISCORDA"))</x:f>
        <x:v>PASA</x:v>
      </x:c>
      <x:c r="F51" s="21" t="str">
        <x:v>EJECUTADO_EN_OBSERVADOR_DOCUMENTAL</x:v>
      </x:c>
    </x:row>
    <x:row r="52" ht="43" customHeight="1">
      <x:c r="A52" s="21" t="str">
        <x:v>E48</x:v>
      </x:c>
      <x:c r="B52" s="21" t="str">
        <x:v>Hijo no cubierto</x:v>
      </x:c>
      <x:c r="C52" s="21" t="str">
        <x:v>INSUFICIENTE</x:v>
      </x:c>
      <x:c r="D52" s="21" t="str">
        <x:v>INSUFICIENTE</x:v>
      </x:c>
      <x:c r="E52" s="27" t="str">
        <x:f>IF(C52="MAYOR_QUE_CERO",IF(VALUE(D52)&gt;0,"PASA","DISCORDA"),IF(EXACT("x"&amp;C52,"x"&amp;D52),"PASA","DISCORDA"))</x:f>
        <x:v>PASA</x:v>
      </x:c>
      <x:c r="F52" s="21" t="str">
        <x:v>EJECUTADO_EN_OBSERVADOR_DOCUMENTAL</x:v>
      </x:c>
    </x:row>
    <x:row r="53" ht="43" customHeight="1">
      <x:c r="A53" s="21" t="str">
        <x:v>E49</x:v>
      </x:c>
      <x:c r="B53" s="21" t="str">
        <x:v>Crear no inicializar</x:v>
      </x:c>
      <x:c r="C53" s="21" t="str">
        <x:v>INSUFICIENTE</x:v>
      </x:c>
      <x:c r="D53" s="21" t="str">
        <x:v>INSUFICIENTE</x:v>
      </x:c>
      <x:c r="E53" s="27" t="str">
        <x:f>IF(C53="MAYOR_QUE_CERO",IF(VALUE(D53)&gt;0,"PASA","DISCORDA"),IF(EXACT("x"&amp;C53,"x"&amp;D53),"PASA","DISCORDA"))</x:f>
        <x:v>PASA</x:v>
      </x:c>
      <x:c r="F53" s="21" t="str">
        <x:v>EJECUTADO_EN_OBSERVADOR_DOCUMENTAL</x:v>
      </x:c>
    </x:row>
    <x:row r="54" ht="43" customHeight="1">
      <x:c r="A54" s="21" t="str">
        <x:v>E50</x:v>
      </x:c>
      <x:c r="B54" s="21" t="str">
        <x:v>Mitigación no corrección</x:v>
      </x:c>
      <x:c r="C54" s="21" t="str">
        <x:v>INSUFICIENTE</x:v>
      </x:c>
      <x:c r="D54" s="21" t="str">
        <x:v>INSUFICIENTE</x:v>
      </x:c>
      <x:c r="E54" s="27" t="str">
        <x:f>IF(C54="MAYOR_QUE_CERO",IF(VALUE(D54)&gt;0,"PASA","DISCORDA"),IF(EXACT("x"&amp;C54,"x"&amp;D54),"PASA","DISCORDA"))</x:f>
        <x:v>PASA</x:v>
      </x:c>
      <x:c r="F54" s="21" t="str">
        <x:v>EJECUTADO_EN_OBSERVADOR_DOCUMENTAL</x:v>
      </x:c>
    </x:row>
    <x:row r="55" ht="43" customHeight="1">
      <x:c r="A55" s="21" t="str">
        <x:v>E51</x:v>
      </x:c>
      <x:c r="B55" s="21" t="str">
        <x:v>Historia anterior sin vigencia</x:v>
      </x:c>
      <x:c r="C55" s="21" t="str">
        <x:v>INSUFICIENTE</x:v>
      </x:c>
      <x:c r="D55" s="21" t="str">
        <x:v>INSUFICIENTE</x:v>
      </x:c>
      <x:c r="E55" s="27" t="str">
        <x:f>IF(C55="MAYOR_QUE_CERO",IF(VALUE(D55)&gt;0,"PASA","DISCORDA"),IF(EXACT("x"&amp;C55,"x"&amp;D55),"PASA","DISCORDA"))</x:f>
        <x:v>PASA</x:v>
      </x:c>
      <x:c r="F55" s="21" t="str">
        <x:v>EJECUTADO_EN_OBSERVADOR_DOCUMENTAL</x:v>
      </x:c>
    </x:row>
    <x:row r="56" ht="43" customHeight="1">
      <x:c r="A56" s="21" t="str">
        <x:v>S-correcto</x:v>
      </x:c>
      <x:c r="B56" s="21" t="str">
        <x:v>Observador de igualdad: correcto=0; mutantes deben discrepar</x:v>
      </x:c>
      <x:c r="C56" s="21" t="str">
        <x:v>0</x:v>
      </x:c>
      <x:c r="D56" s="21" t="str">
        <x:v>0</x:v>
      </x:c>
      <x:c r="E56" s="27" t="str">
        <x:f>IF(C56="MAYOR_QUE_CERO",IF(VALUE(D56)&gt;0,"PASA","DISCORDA"),IF(EXACT("x"&amp;C56,"x"&amp;D56),"PASA","DISCORDA"))</x:f>
        <x:v>PASA</x:v>
      </x:c>
      <x:c r="F56" s="21" t="str">
        <x:v>EJECUTADO; NO SENSIBILIDAD DE SENSOR REAL</x:v>
      </x:c>
    </x:row>
    <x:row r="57" ht="43" customHeight="1">
      <x:c r="A57" s="21" t="str">
        <x:v>S-ignora_objetivo</x:v>
      </x:c>
      <x:c r="B57" s="21" t="str">
        <x:v>Observador de igualdad: correcto=0; mutantes deben discrepar</x:v>
      </x:c>
      <x:c r="C57" s="21" t="str">
        <x:v>MAYOR_QUE_CERO</x:v>
      </x:c>
      <x:c r="D57" s="21" t="str">
        <x:v>1</x:v>
      </x:c>
      <x:c r="E57" s="27" t="str">
        <x:f>IF(C57="MAYOR_QUE_CERO",IF(VALUE(D57)&gt;0,"PASA","DISCORDA"),IF(EXACT("x"&amp;C57,"x"&amp;D57),"PASA","DISCORDA"))</x:f>
        <x:v>PASA</x:v>
      </x:c>
      <x:c r="F57" s="21" t="str">
        <x:v>EJECUTADO; NO SENSIBILIDAD DE SENSOR REAL</x:v>
      </x:c>
    </x:row>
    <x:row r="58" ht="43" customHeight="1">
      <x:c r="A58" s="21" t="str">
        <x:v>S-siempre_negativo</x:v>
      </x:c>
      <x:c r="B58" s="21" t="str">
        <x:v>Observador de igualdad: correcto=0; mutantes deben discrepar</x:v>
      </x:c>
      <x:c r="C58" s="21" t="str">
        <x:v>MAYOR_QUE_CERO</x:v>
      </x:c>
      <x:c r="D58" s="21" t="str">
        <x:v>2</x:v>
      </x:c>
      <x:c r="E58" s="27" t="str">
        <x:f>IF(C58="MAYOR_QUE_CERO",IF(VALUE(D58)&gt;0,"PASA","DISCORDA"),IF(EXACT("x"&amp;C58,"x"&amp;D58),"PASA","DISCORDA"))</x:f>
        <x:v>PASA</x:v>
      </x:c>
      <x:c r="F58" s="21" t="str">
        <x:v>EJECUTADO; NO SENSIBILIDAD DE SENSOR REAL</x:v>
      </x:c>
    </x:row>
    <x:row r="59" ht="43" customHeight="1">
      <x:c r="A59" s="21" t="str">
        <x:v>S-siempre_positivo</x:v>
      </x:c>
      <x:c r="B59" s="21" t="str">
        <x:v>Observador de igualdad: correcto=0; mutantes deben discrepar</x:v>
      </x:c>
      <x:c r="C59" s="21" t="str">
        <x:v>MAYOR_QUE_CERO</x:v>
      </x:c>
      <x:c r="D59" s="21" t="str">
        <x:v>1</x:v>
      </x:c>
      <x:c r="E59" s="27" t="str">
        <x:f>IF(C59="MAYOR_QUE_CERO",IF(VALUE(D59)&gt;0,"PASA","DISCORDA"),IF(EXACT("x"&amp;C59,"x"&amp;D59),"PASA","DISCORDA"))</x:f>
        <x:v>PASA</x:v>
      </x:c>
      <x:c r="F59" s="21" t="str">
        <x:v>EJECUTADO; NO SENSIBILIDAD DE SENSOR REAL</x:v>
      </x:c>
    </x:row>
  </x:sheetData>
  <x:mergeCells>
    <x:mergeCell ref="A1:D1"/>
    <x:mergeCell ref="A2:F2"/>
  </x:mergeCells>
  <x:conditionalFormatting sqref="E5:E59">
    <x:cfRule type="containsText" dxfId="27" priority="1" operator="containsText" text="DISCORDA"/>
  </x:conditionalFormatting>
  <x:pageMargins left="0.7" right="0.7" top="0.75" bottom="0.75" header="0.3" footer="0.3"/>
  <x:tableParts count="1">
    <x:tablePart xmlns:r="http://schemas.openxmlformats.org/officeDocument/2006/relationships" r:id="Rabb756cf0fa04c17"/>
  </x:tableParts>
</x:worksheet>
</file>

<file path=xl/worksheets/sheet65.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9" hidden="0" customWidth="1"/>
    <x:col min="2" max="2" width="78" hidden="0" customWidth="1"/>
    <x:col min="3" max="3" width="49" hidden="0" customWidth="1"/>
    <x:col min="4" max="4" width="162" hidden="0" customWidth="1"/>
  </x:cols>
  <x:sheetData>
    <x:row r="1" ht="34" customHeight="1">
      <x:c r="A1" s="23" t="str">
        <x:v>ADVERSARIAL Y DEUDA · límites que tienen efecto</x:v>
      </x:c>
      <x:c r="B1" s="23"/>
      <x:c r="C1" s="23"/>
      <x:c r="D1" s="23"/>
    </x:row>
    <x:row r="2" ht="57" customHeight="1">
      <x:c r="A2" s="24" t="str">
        <x:v>Revisión interna de esta unidad. No es auditoría externa independiente. Ninguna deuda imprescindible queda ocultada por un cierre nominal.</x:v>
      </x:c>
      <x:c r="B2" s="24"/>
      <x:c r="C2" s="24"/>
      <x:c r="D2" s="24"/>
    </x:row>
    <x:row r="3">
      <x:c r="A3" s="21"/>
      <x:c r="B3" s="21"/>
      <x:c r="C3" s="21"/>
      <x:c r="D3" s="21"/>
    </x:row>
    <x:row r="4" ht="48" customHeight="1">
      <x:c r="A4" s="26" t="str">
        <x:v>ID</x:v>
      </x:c>
      <x:c r="B4" s="26" t="str">
        <x:v>Ataque / deuda</x:v>
      </x:c>
      <x:c r="C4" s="26" t="str">
        <x:v>Resultado / responsable</x:v>
      </x:c>
      <x:c r="D4" s="26" t="str">
        <x:v>Resolución / capacidad bloqueada</x:v>
      </x:c>
    </x:row>
    <x:row r="5" ht="43" customHeight="1">
      <x:c r="A5" s="21" t="str">
        <x:v>A01</x:v>
      </x:c>
      <x:c r="B5" s="21" t="str">
        <x:v>Quince definiciones tratadas como quince estados</x:v>
      </x:c>
      <x:c r="C5" s="21" t="str">
        <x:v>REPARO INCORPORADO</x:v>
      </x:c>
      <x:c r="D5" s="21" t="str">
        <x:v>Los usos y sujetos simultáneos deben tener identidad y estado propios. D-CYB-02 impide declarar arquitectura a partir del recuento.</x:v>
      </x:c>
    </x:row>
    <x:row r="6" ht="43" customHeight="1">
      <x:c r="A6" s="21" t="str">
        <x:v>A02</x:v>
      </x:c>
      <x:c r="B6" s="21" t="str">
        <x:v>Elegir nueve de quince por proximidad editorial</x:v>
      </x:c>
      <x:c r="C6" s="21" t="str">
        <x:v>RECHAZADO</x:v>
      </x:c>
      <x:c r="D6" s="21" t="str">
        <x:v>No se ha acreditado propiedad semántica ni cobertura de los seis restantes. No se constituye célula.</x:v>
      </x:c>
    </x:row>
    <x:row r="7" ht="43" customHeight="1">
      <x:c r="A7" s="21" t="str">
        <x:v>A03</x:v>
      </x:c>
      <x:c r="B7" s="21" t="str">
        <x:v>Rellenar hasta dieciséis con un control</x:v>
      </x:c>
      <x:c r="C7" s="21" t="str">
        <x:v>RECHAZADO</x:v>
      </x:c>
      <x:c r="D7" s="21" t="str">
        <x:v>C01–C14 no son átomos por conveniencia geométrica.</x:v>
      </x:c>
    </x:row>
    <x:row r="8" ht="43" customHeight="1">
      <x:c r="A8" s="21" t="str">
        <x:v>A04</x:v>
      </x:c>
      <x:c r="B8" s="21" t="str">
        <x:v>Convertir prueba positiva genérica en todas las pruebas</x:v>
      </x:c>
      <x:c r="C8" s="21" t="str">
        <x:v>RECHAZADO</x:v>
      </x:c>
      <x:c r="D8" s="21" t="str">
        <x:v>P07 por criterio/sujeto preserva usos y estados; un resultado no se replica.</x:v>
      </x:c>
    </x:row>
    <x:row r="9" ht="43" customHeight="1">
      <x:c r="A9" s="21" t="str">
        <x:v>A05</x:v>
      </x:c>
      <x:c r="B9" s="21" t="str">
        <x:v>P11 es inicialización y disponibilidad</x:v>
      </x:c>
      <x:c r="C9" s="21" t="str">
        <x:v>REPARO PREVENIDO</x:v>
      </x:c>
      <x:c r="D9" s="21" t="str">
        <x:v>CreateProcess retorna antes de inicialización; P11 sólo creación; P07 criterio útil separado.</x:v>
      </x:c>
    </x:row>
    <x:row r="10" ht="43" customHeight="1">
      <x:c r="A10" s="21" t="str">
        <x:v>A06</x:v>
      </x:c>
      <x:c r="B10" s="21" t="str">
        <x:v>P12 es contenido del fichero de configuración</x:v>
      </x:c>
      <x:c r="C10" s="21" t="str">
        <x:v>RECHAZADO</x:v>
      </x:c>
      <x:c r="D10" s="21" t="str">
        <x:v>Valor efectivo exige método específico; lectura indirecta mantiene U.</x:v>
      </x:c>
    </x:row>
    <x:row r="11" ht="43" customHeight="1">
      <x:c r="A11" s="21" t="str">
        <x:v>A07</x:v>
      </x:c>
      <x:c r="B11" s="21" t="str">
        <x:v>P13 equivale a P06</x:v>
      </x:c>
      <x:c r="C11" s="21" t="str">
        <x:v>REFUTADO EN TESTIGO</x:v>
      </x:c>
      <x:c r="D11" s="21" t="str">
        <x:v>Disco y memoria pueden divergir en ambas direcciones.</x:v>
      </x:c>
    </x:row>
    <x:row r="12" ht="43" customHeight="1">
      <x:c r="A12" s="21" t="str">
        <x:v>A08</x:v>
      </x:c>
      <x:c r="B12" s="21" t="str">
        <x:v>P14 duplica P09 o P12</x:v>
      </x:c>
      <x:c r="C12" s="21" t="str">
        <x:v>REFUTADO EN TESTIGO</x:v>
      </x:c>
      <x:c r="D12" s="21" t="str">
        <x:v>Cambio de configuración sin cambio binario y cambio/retorno con mismo final.</x:v>
      </x:c>
    </x:row>
    <x:row r="13" ht="43" customHeight="1">
      <x:c r="A13" s="21" t="str">
        <x:v>A09</x:v>
      </x:c>
      <x:c r="B13" s="21" t="str">
        <x:v>P15 agrupa todas las tareas pendientes</x:v>
      </x:c>
      <x:c r="C13" s="21" t="str">
        <x:v>RECHAZADO</x:v>
      </x:c>
      <x:c r="D13" s="21" t="str">
        <x:v>Sólo requisito de acción previamente individualizada; tareas compuestas necesitan obligaciones separables.</x:v>
      </x:c>
    </x:row>
    <x:row r="14" ht="43" customHeight="1">
      <x:c r="A14" s="21" t="str">
        <x:v>A10</x:v>
      </x:c>
      <x:c r="B14" s="21" t="str">
        <x:v>P05 padre implica hijos terminados</x:v>
      </x:c>
      <x:c r="C14" s="21" t="str">
        <x:v>RECHAZADO</x:v>
      </x:c>
      <x:c r="D14" s="21" t="str">
        <x:v>T016 distingue hijos y objetos compartidos; C05 exige cobertura.</x:v>
      </x:c>
    </x:row>
    <x:row r="15" ht="43" customHeight="1">
      <x:c r="A15" s="21" t="str">
        <x:v>A11</x:v>
      </x:c>
      <x:c r="B15" s="21" t="str">
        <x:v>Digest correcto autentica productor</x:v>
      </x:c>
      <x:c r="C15" s="21" t="str">
        <x:v>REFUTADO EN ENSAYO</x:v>
      </x:c>
      <x:c r="D15" s="21" t="str">
        <x:v>E03 conserva hash correcto y rechaza productor no admitido.</x:v>
      </x:c>
    </x:row>
    <x:row r="16" ht="43" customHeight="1">
      <x:c r="A16" s="21" t="str">
        <x:v>A12</x:v>
      </x:c>
      <x:c r="B16" s="21" t="str">
        <x:v>Lista o historial vacío acredita ausencia</x:v>
      </x:c>
      <x:c r="C16" s="21" t="str">
        <x:v>REFUTADO EN ENSAYO</x:v>
      </x:c>
      <x:c r="D16" s="21" t="str">
        <x:v>E12/E33 y testigos P14 impiden cierre vacío sin cobertura.</x:v>
      </x:c>
    </x:row>
    <x:row r="17" ht="43" customHeight="1">
      <x:c r="A17" s="21" t="str">
        <x:v>A13</x:v>
      </x:c>
      <x:c r="B17" s="21" t="str">
        <x:v>Sensor siempre positivo parece suficiente</x:v>
      </x:c>
      <x:c r="C17" s="21" t="str">
        <x:v>REFUTADO EN ENSAYO</x:v>
      </x:c>
      <x:c r="D17" s="21" t="str">
        <x:v>Testigo residual lo detecta; sensor siempre negativo y que memoriza objetivo también se detectan.</x:v>
      </x:c>
    </x:row>
    <x:row r="18" ht="43" customHeight="1">
      <x:c r="A18" s="21" t="str">
        <x:v>A14</x:v>
      </x:c>
      <x:c r="B18" s="21" t="str">
        <x:v>Totalidad de salida ensayada sin asociación</x:v>
      </x:c>
      <x:c r="C18" s="21" t="str">
        <x:v>ERROR DEL ORÁCULO CORREGIDO</x:v>
      </x:c>
      <x:c r="D18" s="21" t="str">
        <x:v>Se conserva esperado inicial fallido. Sin CellSpec no se alcanza totalidad relativa; no se declara defecto ni prueba favorable.</x:v>
      </x:c>
    </x:row>
    <x:row r="19" ht="43" customHeight="1">
      <x:c r="A19" s="21" t="str">
        <x:v>A15</x:v>
      </x:c>
      <x:c r="B19" s="21" t="str">
        <x:v>Transporte nominal demuestra observación→Tri</x:v>
      </x:c>
      <x:c r="C19" s="21" t="str">
        <x:v>RECHAZADO</x:v>
      </x:c>
      <x:c r="D19" s="21" t="str">
        <x:v>Salida nativa contiene referencia CapturadorNoEjecutado y operations vacías.</x:v>
      </x:c>
    </x:row>
    <x:row r="20" ht="43" customHeight="1">
      <x:c r="A20" s="21" t="str">
        <x:v>A16</x:v>
      </x:c>
      <x:c r="B20" s="21" t="str">
        <x:v>Coste pequeño del activo implica poco valor</x:v>
      </x:c>
      <x:c r="C20" s="21" t="str">
        <x:v>RECHAZADO</x:v>
      </x:c>
      <x:c r="D20" s="21" t="str">
        <x:v>C08/C12 conservan misión, impactos y no monetizados.</x:v>
      </x:c>
    </x:row>
    <x:row r="21" ht="43" customHeight="1">
      <x:c r="A21" s="21" t="str">
        <x:v>A17</x:v>
      </x:c>
      <x:c r="B21" s="21" t="str">
        <x:v>Aceptar riesgo permite cerrar corrección</x:v>
      </x:c>
      <x:c r="C21" s="21" t="str">
        <x:v>REFUTADO EN ENSAYO</x:v>
      </x:c>
      <x:c r="D21" s="21" t="str">
        <x:v>E50 diferencia mitigación y corrección; C09 mantiene riesgo residual.</x:v>
      </x:c>
    </x:row>
    <x:row r="22" ht="43" customHeight="1">
      <x:c r="A22" s="21" t="str">
        <x:v>A18</x:v>
      </x:c>
      <x:c r="B22" s="21" t="str">
        <x:v>Ventana o Dirección del catálogo dan permiso</x:v>
      </x:c>
      <x:c r="C22" s="21" t="str">
        <x:v>REFUTADO EN ENSAYO</x:v>
      </x:c>
      <x:c r="D22" s="21" t="str">
        <x:v>E44–47 separan ámbito, vigencia, acción y organización del activo.</x:v>
      </x:c>
    </x:row>
    <x:row r="23" ht="43" customHeight="1">
      <x:c r="A23" s="21" t="str">
        <x:v>A19</x:v>
      </x:c>
      <x:c r="B23" s="21" t="str">
        <x:v>Treinta y una etiquetas terminales acreditan aptitud</x:v>
      </x:c>
      <x:c r="C23" s="21" t="str">
        <x:v>RECHAZADO</x:v>
      </x:c>
      <x:c r="D23" s="21" t="str">
        <x:v>D-CYB-01–05 bloquean capacidades; cierre sólo documental, G6/fila8 no superados.</x:v>
      </x:c>
    </x:row>
    <x:row r="24" ht="43" customHeight="1">
      <x:c r="A24" s="21" t="str">
        <x:v>A20</x:v>
      </x:c>
      <x:c r="B24" s="21" t="str">
        <x:v>Autoadopción de P11–P15 por luz verde general</x:v>
      </x:c>
      <x:c r="C24" s="21" t="str">
        <x:v>RECHAZADO</x:v>
      </x:c>
      <x:c r="D24" s="21" t="str">
        <x:v>Mandato permite trabajo y entrega, no firma anticipada de resultados nuevos.</x:v>
      </x:c>
    </x:row>
    <x:row r="25" ht="43" customHeight="1">
      <x:c r="A25" s="21" t="str">
        <x:v>A21</x:v>
      </x:c>
      <x:c r="B25" s="21" t="str">
        <x:v>Continuar ramas y nuevas raíces hasta lograr tamaño</x:v>
      </x:c>
      <x:c r="C25" s="21" t="str">
        <x:v>RECHAZADO</x:v>
      </x:c>
      <x:c r="D25" s="21" t="str">
        <x:v>Q0 conserva31; no se abre segundo universo ni se modifica Lenguaje.</x:v>
      </x:c>
    </x:row>
    <x:row r="26" ht="43" customHeight="1">
      <x:c r="A26" s="21" t="str">
        <x:v>A22</x:v>
      </x:c>
      <x:c r="B26" s="21" t="str">
        <x:v>Nueva configuración impone repetir toda prueba</x:v>
      </x:c>
      <x:c r="C26" s="21" t="str">
        <x:v>RECHAZADO</x:v>
      </x:c>
      <x:c r="D26" s="21" t="str">
        <x:v>C07 exige relación afectada; cambios irrelevantes no invalidan automáticamente evidencia independiente.</x:v>
      </x:c>
    </x:row>
    <x:row r="27" ht="59" customHeight="1">
      <x:c r="A27" s="21" t="str">
        <x:v>D-CYB-01</x:v>
      </x:c>
      <x:c r="B27" s="21" t="str">
        <x:v>CAPTURA_E_INSTANCIACION</x:v>
      </x:c>
      <x:c r="C27" s="21" t="str">
        <x:v>Experto del producto/activo y unidad CYB</x:v>
      </x:c>
      <x:c r="D27" s="21" t="str">
        <x:v>Métodos reales, regla específica de actualización, inventario completo, autoridad/coste/impacto y transductores de sus tipos. Sin ellos no hay consejo real suficiente. Cierre: Instanciar contrato en episodio autorizado; validar fuentes, capturadores, negaciones por cobertura y pruebas con sensibilidad. No se declara defecto del Lenguaje por falta de un sistema real.</x:v>
      </x:c>
    </x:row>
    <x:row r="28" ht="59" customHeight="1">
      <x:c r="A28" s="21" t="str">
        <x:v>D-CYB-02</x:v>
      </x:c>
      <x:c r="B28" s="21" t="str">
        <x:v>CONSTITUCION_G6</x:v>
      </x:c>
      <x:c r="C28" s="21" t="str">
        <x:v>Unidad CYB / Dirección</x:v>
      </x:c>
      <x:c r="D28" s="21" t="str">
        <x:v>No se ha demostrado una arquitectura SV legítima que asigne propiedad a todos los estados independientes; 15 definiciones no determinan cardinalidad de instancias. Cierre: Constituir sujetos/usos finitos del perfil, probar agrupación semántica y propiedad sin duplicar ni rellenar; someter candidata a decisión humana. G6 no superada; G7 y Frame dependientes bloqueados. No se acusa a SV(9,3) de un defecto a partir del recuento.</x:v>
      </x:c>
    </x:row>
    <x:row r="29" ht="59" customHeight="1">
      <x:c r="A29" s="21" t="str">
        <x:v>D-CYB-03</x:v>
      </x:c>
      <x:c r="B29" s="21" t="str">
        <x:v>EJECUCION_Y_TRANSDUCCION</x:v>
      </x:c>
      <x:c r="C29" s="21" t="str">
        <x:v>Unidad del Lenguaje SV</x:v>
      </x:c>
      <x:c r="D29" s="21" t="str">
        <x:v>El corte recibido no acredita observación→Tri ni ejecución Q0 causal con autoridad, sensibilidad y explicación completa. Cierre: Resolver o delimitar requisitos CYB y devolver candidata identificada, con evidencia de sus capacidades reales. Requisito de contrato, no refutación binaria ejecutada de capacidad que el corte no promete.</x:v>
      </x:c>
    </x:row>
    <x:row r="30" ht="44" customHeight="1">
      <x:c r="A30" s="21" t="str">
        <x:v>D-CYB-04</x:v>
      </x:c>
      <x:c r="B30" s="21" t="str">
        <x:v>ADMISION_CONSTITUTIVA_NUEVA</x:v>
      </x:c>
      <x:c r="C30" s="21" t="str">
        <x:v>Dirección</x:v>
      </x:c>
      <x:c r="D30" s="21" t="str">
        <x:v>P11–P15 y controles nuevos son dictámenes de la unidad. La orden de continuar no es firma de aptitud anticipada. Cierre: Decisión humana sobre el paquete antes de incorporarlo como conocimiento gobernante de un agente. No impide completar investigación ni entrega documental.</x:v>
      </x:c>
    </x:row>
    <x:row r="31" ht="59" customHeight="1">
      <x:c r="A31" s="21" t="str">
        <x:v>D-CYB-05</x:v>
      </x:c>
      <x:c r="B31" s="21" t="str">
        <x:v>CONTRASTE_EMPIRICO</x:v>
      </x:c>
      <x:c r="C31" s="21" t="str">
        <x:v>Responsable del ensayo autorizado / unidad CYB</x:v>
      </x:c>
      <x:c r="D31" s="21" t="str">
        <x:v>No se han ejecutado patch, reinicio, lectura Win32, restauración ni test de vulnerabilidad en activo real. Cierre: Ensayo autorizado y aislado, escenario representativo y oráculos independientes; resolver D01–03 correspondientes. Los testigos sintéticos prueban reglas documentales, no eficacia material.</x:v>
      </x:c>
    </x:row>
  </x:sheetData>
  <x:mergeCells>
    <x:mergeCell ref="A1:D1"/>
    <x:mergeCell ref="A2:D2"/>
  </x:mergeCells>
  <x:pageMargins left="0.7" right="0.7" top="0.75" bottom="0.75" header="0.3" footer="0.3"/>
  <x:tableParts count="1">
    <x:tablePart xmlns:r="http://schemas.openxmlformats.org/officeDocument/2006/relationships" r:id="Rd61a702ffef54e85"/>
  </x:tableParts>
</x:worksheet>
</file>

<file path=xl/worksheets/sheet66.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7" hidden="0" customWidth="1"/>
    <x:col min="2" max="2" width="44" hidden="0" customWidth="1"/>
    <x:col min="3" max="3" width="98" hidden="0" customWidth="1"/>
    <x:col min="4" max="4" width="78" hidden="0" customWidth="1"/>
    <x:col min="5" max="5" width="46" hidden="0" customWidth="1"/>
    <x:col min="6" max="6" width="74" hidden="0" customWidth="1"/>
    <x:col min="7" max="7" width="16" hidden="0" customWidth="1"/>
    <x:col min="8" max="8" width="74" hidden="0" customWidth="1"/>
  </x:cols>
  <x:sheetData>
    <x:row r="1" ht="34" customHeight="1">
      <x:c r="A1" s="23" t="str">
        <x:v>FUENTES Y CONTROL DEL CORTE</x:v>
      </x:c>
      <x:c r="B1" s="23"/>
      <x:c r="C1" s="23"/>
      <x:c r="D1" s="23"/>
      <x:c r="E1" s="23"/>
      <x:c r="F1" s="23"/>
      <x:c r="G1" s="23"/>
      <x:c r="H1" s="23"/>
    </x:row>
    <x:row r="2" ht="57" customHeight="1">
      <x:c r="A2" s="24" t="str">
        <x:v>Originales conservados; citas localizadas. Fechas de metadato no sustituyen fecha visible de revisión. Libros anteriores conservan su trazabilidad curricular.</x:v>
      </x:c>
      <x:c r="B2" s="24"/>
      <x:c r="C2" s="24"/>
      <x:c r="D2" s="24"/>
      <x:c r="E2" s="24"/>
      <x:c r="F2" s="24"/>
      <x:c r="G2" s="24"/>
      <x:c r="H2" s="24"/>
    </x:row>
    <x:row r="3">
      <x:c r="A3" s="21"/>
      <x:c r="B3" s="21"/>
      <x:c r="C3" s="21"/>
      <x:c r="D3" s="21"/>
      <x:c r="E3" s="21"/>
      <x:c r="F3" s="21"/>
      <x:c r="G3" s="21"/>
      <x:c r="H3" s="21"/>
    </x:row>
    <x:row r="4" ht="48" customHeight="1">
      <x:c r="A4" s="26" t="str">
        <x:v>ID</x:v>
      </x:c>
      <x:c r="B4" s="26" t="str">
        <x:v>Fuente</x:v>
      </x:c>
      <x:c r="C4" s="26" t="str">
        <x:v>URL</x:v>
      </x:c>
      <x:c r="D4" s="26" t="str">
        <x:v>Localizador aplicado</x:v>
      </x:c>
      <x:c r="E4" s="26" t="str">
        <x:v>Edición / metadato</x:v>
      </x:c>
      <x:c r="F4" s="26" t="str">
        <x:v>SHA-256 original</x:v>
      </x:c>
      <x:c r="G4" s="26" t="str">
        <x:v>Bytes</x:v>
      </x:c>
      <x:c r="H4" s="26" t="str">
        <x:v>Captura / corte</x:v>
      </x:c>
    </x:row>
    <x:row r="5" ht="44" customHeight="1">
      <x:c r="A5" s="21" t="str">
        <x:v>T014</x:v>
      </x:c>
      <x:c r="B5" s="21" t="str">
        <x:v>RM_UNIQUE_PROCESS</x:v>
      </x:c>
      <x:c r="C5" s="21" t="str">
        <x:v>https://learn.microsoft.com/en-us/windows/win32/api/restartmanager/ns-restartmanager-rm_unique_process</x:v>
      </x:c>
      <x:c r="D5" s="21" t="str">
        <x:v>Introducción; Members; Remarks</x:v>
      </x:c>
      <x:c r="E5" s="21" t="str">
        <x:v>ms.date=2018-12-05T00:00:00Z</x:v>
      </x:c>
      <x:c r="F5" s="21" t="str">
        <x:v>85e053da03c91dc097e5b4943545a488e6ed157d128ac764cfd3c49d6c7849c3</x:v>
      </x:c>
      <x:c r="G5" s="21" t="str">
        <x:v>50868</x:v>
      </x:c>
      <x:c r="H5" s="21" t="str">
        <x:v>captura=2026-09-09T03:05:35.312440+00:00</x:v>
      </x:c>
    </x:row>
    <x:row r="6" ht="44" customHeight="1">
      <x:c r="A6" s="21" t="str">
        <x:v>T015</x:v>
      </x:c>
      <x:c r="B6" s="21" t="str">
        <x:v>CreateProcessW</x:v>
      </x:c>
      <x:c r="C6" s="21" t="str">
        <x:v>https://learn.microsoft.com/en-us/windows/win32/api/processthreadsapi/nf-processthreadsapi-createprocessw</x:v>
      </x:c>
      <x:c r="D6" s="21" t="str">
        <x:v>Return value; Remarks</x:v>
      </x:c>
      <x:c r="E6" s="21" t="str">
        <x:v>ms.date=2018-12-05T00:00:00Z</x:v>
      </x:c>
      <x:c r="F6" s="21" t="str">
        <x:v>11a98c6ebf66ed61dd65bfdd30b0d41a109e9095efb25dbf4084d03a310ddf04</x:v>
      </x:c>
      <x:c r="G6" s="21" t="str">
        <x:v>76621</x:v>
      </x:c>
      <x:c r="H6" s="21" t="str">
        <x:v>captura=2026-09-09T03:05:45.371345+00:00</x:v>
      </x:c>
    </x:row>
    <x:row r="7" ht="43" customHeight="1">
      <x:c r="A7" s="21" t="str">
        <x:v>T016</x:v>
      </x:c>
      <x:c r="B7" s="21" t="str">
        <x:v>Terminating a Process</x:v>
      </x:c>
      <x:c r="C7" s="21" t="str">
        <x:v>https://learn.microsoft.com/en-us/windows/win32/procthread/terminating-a-process</x:v>
      </x:c>
      <x:c r="D7" s="21" t="str">
        <x:v>In this article; How Processes are Terminated</x:v>
      </x:c>
      <x:c r="E7" s="21" t="str">
        <x:v>ms.date=2025-07-14T00:00:00Z</x:v>
      </x:c>
      <x:c r="F7" s="21" t="str">
        <x:v>86170fc387e742c7eebce69f9e046e8eed77e60bac7036da8bb23c03494769f3</x:v>
      </x:c>
      <x:c r="G7" s="21" t="str">
        <x:v>55831</x:v>
      </x:c>
      <x:c r="H7" s="21" t="str">
        <x:v>captura=2026-09-09T03:05:55.929381+00:00</x:v>
      </x:c>
    </x:row>
    <x:row r="8" ht="43" customHeight="1">
      <x:c r="A8" s="21" t="str">
        <x:v>T001</x:v>
      </x:c>
      <x:c r="B8" s="21" t="str">
        <x:v>NIST SP 800-40r4</x:v>
      </x:c>
      <x:c r="C8" s="21" t="str">
        <x:v>https://nvlpubs.nist.gov/nistpubs/SpecialPublications/NIST.SP.800-40r4.pdf</x:v>
      </x:c>
      <x:c r="D8" s="21" t="str">
        <x:v>§2.2–2.3.4; §3.1–3.5</x:v>
      </x:c>
      <x:c r="E8" s="21" t="str">
        <x:v>Fuente congelada reutilizada</x:v>
      </x:c>
      <x:c r="F8" s="21" t="str">
        <x:v>351f4a828d6c0bc8bf98f25ba3f87ec5add0ed8cf8bb4a6e6cb4e7e4a9731833</x:v>
      </x:c>
      <x:c r="G8" s="21" t="str">
        <x:v>562944</x:v>
      </x:c>
      <x:c r="H8" s="21" t="str">
        <x:v>Corte local antecedente; no latest</x:v>
      </x:c>
    </x:row>
    <x:row r="9" ht="43" customHeight="1">
      <x:c r="A9" s="21" t="str">
        <x:v>F018</x:v>
      </x:c>
      <x:c r="B9" s="21" t="str">
        <x:v>NIST SP 800-115</x:v>
      </x:c>
      <x:c r="C9" s="21" t="str">
        <x:v>https://nvlpubs.nist.gov/nistpubs/Legacy/SP/nistspecialpublication800-115.pdf</x:v>
      </x:c>
      <x:c r="D9" s="21" t="str">
        <x:v>§3.4–3.6, §4.3, §6.5, §7.3–7.4</x:v>
      </x:c>
      <x:c r="E9" s="21" t="str">
        <x:v>Fuente congelada reutilizada</x:v>
      </x:c>
      <x:c r="F9" s="21" t="str">
        <x:v>58e5ed41e5c8ca34ce14fd80b70f118f2c6d613d1647bc307edca30bcc45f063</x:v>
      </x:c>
      <x:c r="G9" s="21" t="str">
        <x:v>544047</x:v>
      </x:c>
      <x:c r="H9" s="21" t="str">
        <x:v>Corte local antecedente; no latest</x:v>
      </x:c>
    </x:row>
    <x:row r="12" ht="48" customHeight="1">
      <x:c r="A12" s="30" t="str">
        <x:v>Control</x:v>
      </x:c>
      <x:c r="B12" s="30" t="str">
        <x:v>Resultado calculado</x:v>
      </x:c>
      <x:c r="C12" s="30" t="str">
        <x:v>Esperado del corte</x:v>
      </x:c>
      <x:c r="D12" s="30" t="str">
        <x:v>Qué detecta</x:v>
      </x:c>
    </x:row>
    <x:row r="13" ht="48" customHeight="1">
      <x:c r="A13" s="29" t="str">
        <x:v>Definiciones</x:v>
      </x:c>
      <x:c r="B13" s="31" t="n">
        <x:f>COUNTA('57_Registro_actual'!A5:A19)</x:f>
        <x:v>15</x:v>
      </x:c>
      <x:c r="C13" s="29" t="str">
        <x:v>15</x:v>
      </x:c>
      <x:c r="D13" s="29" t="str">
        <x:v>Recuento del registro</x:v>
      </x:c>
    </x:row>
    <x:row r="14" ht="48" customHeight="1">
      <x:c r="A14" s="29" t="str">
        <x:v>Distinciones Q0</x:v>
      </x:c>
      <x:c r="B14" s="31" t="n">
        <x:f>COUNTA('59_Q0_terminal'!A5:A35)</x:f>
        <x:v>31</x:v>
      </x:c>
      <x:c r="C14" s="29" t="str">
        <x:v>31</x:v>
      </x:c>
      <x:c r="D14" s="29" t="str">
        <x:v>Cobertura de inventario</x:v>
      </x:c>
    </x:row>
    <x:row r="15" ht="48" customHeight="1">
      <x:c r="A15" s="29" t="str">
        <x:v>Casos nuevos discordantes</x:v>
      </x:c>
      <x:c r="B15" s="31" t="n">
        <x:f>COUNTIF('62_Testigos_nuevos'!R5:R69,"DISCORDA")</x:f>
        <x:v>0</x:v>
      </x:c>
      <x:c r="C15" s="29" t="str">
        <x:v>0</x:v>
      </x:c>
      <x:c r="D15" s="29" t="str">
        <x:v>Esperado frente a resultado ejecutado</x:v>
      </x:c>
    </x:row>
    <x:row r="16" ht="48" customHeight="1">
      <x:c r="A16" s="29" t="str">
        <x:v>Controles discordantes</x:v>
      </x:c>
      <x:c r="B16" s="31" t="n">
        <x:f>COUNTIF('63_Contraste_controles'!E5:E59,"DISCORDA")</x:f>
        <x:v>0</x:v>
      </x:c>
      <x:c r="C16" s="29" t="str">
        <x:v>0</x:v>
      </x:c>
      <x:c r="D16" s="29" t="str">
        <x:v>Concordancia de contratos</x:v>
      </x:c>
    </x:row>
    <x:row r="17" ht="48" customHeight="1">
      <x:c r="A17" s="29" t="str">
        <x:v>Identidades repetidas</x:v>
      </x:c>
      <x:c r="B17" s="31" t="n">
        <x:f>IF(COUNTIF('57_Registro_actual'!B5:B19,'57_Registro_actual'!B5)=1,0,1)+IF(COUNTIF('57_Registro_actual'!B5:B19,'57_Registro_actual'!B6)=1,0,1)+IF(COUNTIF('57_Registro_actual'!B5:B19,'57_Registro_actual'!B7)=1,0,1)+IF(COUNTIF('57_Registro_actual'!B5:B19,'57_Registro_actual'!B8)=1,0,1)+IF(COUNTIF('57_Registro_actual'!B5:B19,'57_Registro_actual'!B9)=1,0,1)+IF(COUNTIF('57_Registro_actual'!B5:B19,'57_Registro_actual'!B10)=1,0,1)+IF(COUNTIF('57_Registro_actual'!B5:B19,'57_Registro_actual'!B11)=1,0,1)+IF(COUNTIF('57_Registro_actual'!B5:B19,'57_Registro_actual'!B12)=1,0,1)+IF(COUNTIF('57_Registro_actual'!B5:B19,'57_Registro_actual'!B13)=1,0,1)+IF(COUNTIF('57_Registro_actual'!B5:B19,'57_Registro_actual'!B14)=1,0,1)+IF(COUNTIF('57_Registro_actual'!B5:B19,'57_Registro_actual'!B15)=1,0,1)+IF(COUNTIF('57_Registro_actual'!B5:B19,'57_Registro_actual'!B16)=1,0,1)+IF(COUNTIF('57_Registro_actual'!B5:B19,'57_Registro_actual'!B17)=1,0,1)+IF(COUNTIF('57_Registro_actual'!B5:B19,'57_Registro_actual'!B18)=1,0,1)+IF(COUNTIF('57_Registro_actual'!B5:B19,'57_Registro_actual'!B19)=1,0,1)</x:f>
        <x:v>0</x:v>
      </x:c>
      <x:c r="C17" s="29" t="str">
        <x:v>0</x:v>
      </x:c>
      <x:c r="D17" s="29" t="str">
        <x:v>Duplicación del registro</x:v>
      </x:c>
    </x:row>
    <x:row r="18" ht="48" customHeight="1">
      <x:c r="A18" s="29" t="str">
        <x:v>Q0 repetidas</x:v>
      </x:c>
      <x:c r="B18" s="31" t="n">
        <x:f>IF(COUNTIF('59_Q0_terminal'!A5:A35,'59_Q0_terminal'!A5)=1,0,1)+IF(COUNTIF('59_Q0_terminal'!A5:A35,'59_Q0_terminal'!A6)=1,0,1)+IF(COUNTIF('59_Q0_terminal'!A5:A35,'59_Q0_terminal'!A7)=1,0,1)+IF(COUNTIF('59_Q0_terminal'!A5:A35,'59_Q0_terminal'!A8)=1,0,1)+IF(COUNTIF('59_Q0_terminal'!A5:A35,'59_Q0_terminal'!A9)=1,0,1)+IF(COUNTIF('59_Q0_terminal'!A5:A35,'59_Q0_terminal'!A10)=1,0,1)+IF(COUNTIF('59_Q0_terminal'!A5:A35,'59_Q0_terminal'!A11)=1,0,1)+IF(COUNTIF('59_Q0_terminal'!A5:A35,'59_Q0_terminal'!A12)=1,0,1)+IF(COUNTIF('59_Q0_terminal'!A5:A35,'59_Q0_terminal'!A13)=1,0,1)+IF(COUNTIF('59_Q0_terminal'!A5:A35,'59_Q0_terminal'!A14)=1,0,1)+IF(COUNTIF('59_Q0_terminal'!A5:A35,'59_Q0_terminal'!A15)=1,0,1)+IF(COUNTIF('59_Q0_terminal'!A5:A35,'59_Q0_terminal'!A16)=1,0,1)+IF(COUNTIF('59_Q0_terminal'!A5:A35,'59_Q0_terminal'!A17)=1,0,1)+IF(COUNTIF('59_Q0_terminal'!A5:A35,'59_Q0_terminal'!A18)=1,0,1)+IF(COUNTIF('59_Q0_terminal'!A5:A35,'59_Q0_terminal'!A19)=1,0,1)+IF(COUNTIF('59_Q0_terminal'!A5:A35,'59_Q0_terminal'!A20)=1,0,1)+IF(COUNTIF('59_Q0_terminal'!A5:A35,'59_Q0_terminal'!A21)=1,0,1)+IF(COUNTIF('59_Q0_terminal'!A5:A35,'59_Q0_terminal'!A22)=1,0,1)+IF(COUNTIF('59_Q0_terminal'!A5:A35,'59_Q0_terminal'!A23)=1,0,1)+IF(COUNTIF('59_Q0_terminal'!A5:A35,'59_Q0_terminal'!A24)=1,0,1)+IF(COUNTIF('59_Q0_terminal'!A5:A35,'59_Q0_terminal'!A25)=1,0,1)+IF(COUNTIF('59_Q0_terminal'!A5:A35,'59_Q0_terminal'!A26)=1,0,1)+IF(COUNTIF('59_Q0_terminal'!A5:A35,'59_Q0_terminal'!A27)=1,0,1)+IF(COUNTIF('59_Q0_terminal'!A5:A35,'59_Q0_terminal'!A28)=1,0,1)+IF(COUNTIF('59_Q0_terminal'!A5:A35,'59_Q0_terminal'!A29)=1,0,1)+IF(COUNTIF('59_Q0_terminal'!A5:A35,'59_Q0_terminal'!A30)=1,0,1)+IF(COUNTIF('59_Q0_terminal'!A5:A35,'59_Q0_terminal'!A31)=1,0,1)+IF(COUNTIF('59_Q0_terminal'!A5:A35,'59_Q0_terminal'!A32)=1,0,1)+IF(COUNTIF('59_Q0_terminal'!A5:A35,'59_Q0_terminal'!A33)=1,0,1)+IF(COUNTIF('59_Q0_terminal'!A5:A35,'59_Q0_terminal'!A34)=1,0,1)+IF(COUNTIF('59_Q0_terminal'!A5:A35,'59_Q0_terminal'!A35)=1,0,1)</x:f>
        <x:v>0</x:v>
      </x:c>
      <x:c r="C18" s="29" t="str">
        <x:v>0</x:v>
      </x:c>
      <x:c r="D18" s="29" t="str">
        <x:v>Recuento sin identidad duplicada</x:v>
      </x:c>
    </x:row>
  </x:sheetData>
  <x:mergeCells>
    <x:mergeCell ref="A1:D1"/>
    <x:mergeCell ref="A2:F2"/>
  </x:mergeCells>
  <x:pageMargins left="0.7" right="0.7" top="0.75" bottom="0.75" header="0.3" footer="0.3"/>
  <x:tableParts count="1">
    <x:tablePart xmlns:r="http://schemas.openxmlformats.org/officeDocument/2006/relationships" r:id="Re558942da92d4e86"/>
  </x:tableParts>
</x:worksheet>
</file>

<file path=xl/worksheets/sheet67.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34" hidden="0" customWidth="1"/>
    <x:col min="2" max="2" width="66" hidden="0" customWidth="1"/>
    <x:col min="3" max="3" width="94" hidden="0" customWidth="1"/>
  </x:cols>
  <x:sheetData>
    <x:row r="1" ht="34" customHeight="1">
      <x:c r="A1" s="36" t="str">
        <x:v>Primer universo: constitución y agotamiento</x:v>
      </x:c>
      <x:c r="B1" s="35"/>
      <x:c r="C1" s="35"/>
    </x:row>
    <x:row r="2" ht="46" customHeight="1">
      <x:c r="A2" s="37" t="str">
        <x:v>Versión 0.8 del libro. OP-CYB-001 concluido en su inventario paramétrico; la decisión siguiente corresponde al Director.</x:v>
      </x:c>
      <x:c r="B2" s="35"/>
      <x:c r="C2" s="35"/>
    </x:row>
    <x:row r="3">
      <x:c r="A3" s="35"/>
      <x:c r="B3" s="35"/>
      <x:c r="C3" s="35"/>
    </x:row>
    <x:row r="4" ht="42" customHeight="1">
      <x:c r="A4" s="39" t="str">
        <x:v>Cuestión</x:v>
      </x:c>
      <x:c r="B4" s="39" t="str">
        <x:v>Resultado</x:v>
      </x:c>
      <x:c r="C4" s="39" t="str">
        <x:v>Fundamento</x:v>
      </x:c>
    </x:row>
    <x:row r="5" ht="43" customHeight="1">
      <x:c r="A5" s="35" t="str">
        <x:v>Objeto</x:v>
      </x:c>
      <x:c r="B5" s="35" t="str">
        <x:v>Consejo sobre evidencia de corrección por actualización</x:v>
      </x:c>
      <x:c r="C5" s="35" t="str">
        <x:v>Un activo, vulnerabilidad, actualización, episodio y horizonte declarados.</x:v>
      </x:c>
    </x:row>
    <x:row r="6" ht="43" customHeight="1">
      <x:c r="A6" s="35" t="str">
        <x:v>Parámetros constituidos</x:v>
      </x:c>
      <x:c r="B6" s="35" t="n">
        <x:f>COUNTA('67_Parametros'!A5:A28)</x:f>
        <x:v>24</x:v>
      </x:c>
      <x:c r="C6" s="35" t="str">
        <x:v>Definiciones del registro 67. La cantidad no determina la geometría SV.</x:v>
      </x:c>
    </x:row>
    <x:row r="7" ht="43" customHeight="1">
      <x:c r="A7" s="35" t="str">
        <x:v>Parámetros nuevos</x:v>
      </x:c>
      <x:c r="B7" s="35" t="n">
        <x:v>9</x:v>
      </x:c>
      <x:c r="C7" s="35" t="str">
        <x:v>P16–P24; quince identidades anteriores conservadas.</x:v>
      </x:c>
    </x:row>
    <x:row r="8" ht="43" customHeight="1">
      <x:c r="A8" s="35" t="str">
        <x:v>Agotamiento</x:v>
      </x:c>
      <x:c r="B8" s="35" t="str">
        <x:v>Inventario paramétrico concluido</x:v>
      </x:c>
      <x:c r="C8" s="35" t="str">
        <x:v>20 ámbitos; ocho clases de acción; 36 candidatos adicionales resueltos.</x:v>
      </x:c>
    </x:row>
    <x:row r="9" ht="47" customHeight="1">
      <x:c r="A9" s="35" t="str">
        <x:v>Universos: escenario compacto</x:v>
      </x:c>
      <x:c r="B9" s="40" t="n">
        <x:f>'70_Estimacion'!B37</x:f>
        <x:v>29</x:v>
      </x:c>
      <x:c r="C9" s="35" t="str">
        <x:v>Supuestos y desglose en 70_Estimacion.</x:v>
      </x:c>
    </x:row>
    <x:row r="10" ht="43" customHeight="1">
      <x:c r="A10" s="35" t="str">
        <x:v>Universos: escenario central</x:v>
      </x:c>
      <x:c r="B10" s="40" t="n">
        <x:f>'70_Estimacion'!B38</x:f>
        <x:v>38</x:v>
      </x:c>
      <x:c r="C10" s="35" t="str">
        <x:v>No equivale a cantidad ya constituida.</x:v>
      </x:c>
    </x:row>
    <x:row r="11" ht="43" customHeight="1">
      <x:c r="A11" s="35" t="str">
        <x:v>Universos: escenario amplio</x:v>
      </x:c>
      <x:c r="B11" s="40" t="n">
        <x:f>'70_Estimacion'!B39</x:f>
        <x:v>59</x:v>
      </x:c>
      <x:c r="C11" s="35" t="str">
        <x:v>Incluye la frontera institucional condicionada de CYO-20.</x:v>
      </x:c>
    </x:row>
    <x:row r="12" ht="47" customHeight="1">
      <x:c r="A12" s="35" t="str">
        <x:v>Parámetros: escenario compacto</x:v>
      </x:c>
      <x:c r="B12" s="40" t="n">
        <x:f>'70_Estimacion'!G37</x:f>
        <x:v>286</x:v>
      </x:c>
      <x:c r="C12" s="35" t="str">
        <x:v>Estimación de definiciones únicas tras reutilización supuesta.</x:v>
      </x:c>
    </x:row>
    <x:row r="13" ht="47" customHeight="1">
      <x:c r="A13" s="35" t="str">
        <x:v>Parámetros: escenario central</x:v>
      </x:c>
      <x:c r="B13" s="40" t="n">
        <x:f>'70_Estimacion'!G38</x:f>
        <x:v>551</x:v>
      </x:c>
      <x:c r="C13" s="35" t="str">
        <x:v>Lectura prudente: aproximadamente 550; no predicción exacta.</x:v>
      </x:c>
    </x:row>
    <x:row r="14" ht="43" customHeight="1">
      <x:c r="A14" s="35" t="str">
        <x:v>Parámetros: escenario amplio</x:v>
      </x:c>
      <x:c r="B14" s="40" t="n">
        <x:f>'70_Estimacion'!G39</x:f>
        <x:v>1062</x:v>
      </x:c>
      <x:c r="C14" s="35" t="str">
        <x:v>Escenario sin reutilización supuesta entre nuevas agrupaciones.</x:v>
      </x:c>
    </x:row>
    <x:row r="15" ht="43" customHeight="1">
      <x:c r="A15" s="35" t="str">
        <x:v>Papel de la IA</x:v>
      </x:c>
      <x:c r="B15" s="35" t="str">
        <x:v>Consejera vinculada al experto</x:v>
      </x:c>
      <x:c r="C15" s="35" t="str">
        <x:v>Conocimiento versionado, evidencia trazable, explicación y consecuencias.</x:v>
      </x:c>
    </x:row>
    <x:row r="16" ht="43" customHeight="1">
      <x:c r="A16" s="35" t="str">
        <x:v>Decisión siguiente</x:v>
      </x:c>
      <x:c r="B16" s="35" t="str">
        <x:v>Reservada al Director</x:v>
      </x:c>
      <x:c r="C16" s="35" t="str">
        <x:v>Contrastar el primer universo con el Lenguaje o completar antes un segundo.</x:v>
      </x:c>
    </x:row>
    <x:row r="17" ht="47" customHeight="1">
      <x:c r="A17" s="35" t="str">
        <x:v>Comprobaciones</x:v>
      </x:c>
      <x:c r="B17" s="35" t="str">
        <x:v>64 casos documentales sintéticos</x:v>
      </x:c>
      <x:c r="C17" s="35" t="str">
        <x:v>Siete observadores modificados deliberadamente fueron refutados; sin ensayo sobre activos.</x:v>
      </x:c>
    </x:row>
    <x:row r="18" ht="47" customHeight="1">
      <x:c r="A18" s="35" t="str">
        <x:v>Historia</x:v>
      </x:c>
      <x:c r="B18" s="35" t="str">
        <x:v>Hojas 36–65: antecedentes</x:v>
      </x:c>
      <x:c r="C18" s="35" t="str">
        <x:v>El registro y dictamen actuales son 66–72. Se conservan las fuentes educativas y sus relaciones.</x:v>
      </x:c>
    </x:row>
    <x:row r="19" ht="47" customHeight="1">
      <x:c r="A19" s="35" t="str">
        <x:v>Lectura</x:v>
      </x:c>
      <x:c r="B19" s="35" t="str">
        <x:v>67 parámetros; 68 consecuencias; 69 cobertura</x:v>
      </x:c>
      <x:c r="C19" s="35" t="str">
        <x:v>70 estimación; 71 bibliografía; 72 ensayos. Informe académico en el expediente del universo.</x:v>
      </x:c>
    </x:row>
  </x:sheetData>
  <x:mergeCells>
    <x:mergeCell ref="A1:C1"/>
    <x:mergeCell ref="A2:C2"/>
  </x:mergeCells>
  <x:pageMargins left="0.7" right="0.7" top="0.75" bottom="0.75" header="0.3" footer="0.3"/>
  <x:tableParts count="1">
    <x:tablePart xmlns:r="http://schemas.openxmlformats.org/officeDocument/2006/relationships" r:id="R3f6dbab0b2e04849"/>
  </x:tableParts>
</x:worksheet>
</file>

<file path=xl/worksheets/sheet68.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4" hidden="0" customWidth="1"/>
    <x:col min="2" max="2" width="53" hidden="0" customWidth="1"/>
    <x:col min="3" max="3" width="12" hidden="0" customWidth="1"/>
    <x:col min="4" max="4" width="44" hidden="0" customWidth="1"/>
    <x:col min="5" max="5" width="55" hidden="0" customWidth="1"/>
    <x:col min="6" max="6" width="73" hidden="0" customWidth="1"/>
    <x:col min="7" max="7" width="48" hidden="0" customWidth="1"/>
    <x:col min="8" max="8" width="48" hidden="0" customWidth="1"/>
    <x:col min="9" max="9" width="48" hidden="0" customWidth="1"/>
    <x:col min="10" max="10" width="100" hidden="0" customWidth="1"/>
    <x:col min="11" max="11" width="43" hidden="0" customWidth="1"/>
  </x:cols>
  <x:sheetData>
    <x:row r="1" ht="34" customHeight="1">
      <x:c r="A1" s="36" t="str">
        <x:v>Catálogo atómico actual de OP-CYB-001</x:v>
      </x:c>
      <x:c r="B1" s="35"/>
      <x:c r="C1" s="35"/>
      <x:c r="D1" s="35"/>
      <x:c r="E1" s="35"/>
      <x:c r="F1" s="35"/>
      <x:c r="G1" s="35"/>
      <x:c r="H1" s="35"/>
      <x:c r="I1" s="35"/>
      <x:c r="J1" s="35"/>
      <x:c r="K1" s="35"/>
    </x:row>
    <x:row r="2" ht="46" customHeight="1">
      <x:c r="A2" s="37" t="str">
        <x:v>Cada definición conserva una proposición, sujeto, regla, incertidumbre y método. Un uso independiente conserva su propio estado.</x:v>
      </x:c>
      <x:c r="B2" s="35"/>
      <x:c r="C2" s="35"/>
      <x:c r="D2" s="35"/>
      <x:c r="E2" s="35"/>
      <x:c r="F2" s="35"/>
      <x:c r="G2" s="35"/>
      <x:c r="H2" s="35"/>
      <x:c r="I2" s="35"/>
      <x:c r="J2" s="35"/>
      <x:c r="K2" s="35"/>
    </x:row>
    <x:row r="3">
      <x:c r="A3" s="35"/>
      <x:c r="B3" s="35"/>
      <x:c r="C3" s="35"/>
      <x:c r="D3" s="35"/>
      <x:c r="E3" s="35"/>
      <x:c r="F3" s="35"/>
      <x:c r="G3" s="35"/>
      <x:c r="H3" s="35"/>
      <x:c r="I3" s="35"/>
      <x:c r="J3" s="35"/>
      <x:c r="K3" s="35"/>
    </x:row>
    <x:row r="4" ht="42" customHeight="1">
      <x:c r="A4" s="39" t="str">
        <x:v>Parámetro</x:v>
      </x:c>
      <x:c r="B4" s="39" t="str">
        <x:v>Identidad estable</x:v>
      </x:c>
      <x:c r="C4" s="39" t="str">
        <x:v>Versión</x:v>
      </x:c>
      <x:c r="D4" s="39" t="str">
        <x:v>Denominación</x:v>
      </x:c>
      <x:c r="E4" s="39" t="str">
        <x:v>Sujeto</x:v>
      </x:c>
      <x:c r="F4" s="39" t="str">
        <x:v>Proposición</x:v>
      </x:c>
      <x:c r="G4" s="39" t="str">
        <x:v>Condición de 1</x:v>
      </x:c>
      <x:c r="H4" s="39" t="str">
        <x:v>Condición de 0</x:v>
      </x:c>
      <x:c r="I4" s="39" t="str">
        <x:v>Condición de U</x:v>
      </x:c>
      <x:c r="J4" s="39" t="str">
        <x:v>Observación y límites</x:v>
      </x:c>
      <x:c r="K4" s="39" t="str">
        <x:v>Fuentes</x:v>
      </x:c>
    </x:row>
    <x:row r="5" ht="62" customHeight="1">
      <x:c r="A5" s="35" t="str">
        <x:v>P01</x:v>
      </x:c>
      <x:c r="B5" s="35" t="str">
        <x:v>PAR-CYB-REINICIO-SISTEMA-REQUERIDO-001</x:v>
      </x:c>
      <x:c r="C5" s="35" t="str">
        <x:v>0.2</x:v>
      </x:c>
      <x:c r="D5" s="35" t="str">
        <x:v>Necesidad de reiniciar el sistema</x:v>
      </x:c>
      <x:c r="E5" s="35" t="str">
        <x:v>Un sistema y un episodio de instalación terminada</x:v>
      </x:c>
      <x:c r="F5" s="35" t="str">
        <x:v>Al finalizar la instalación, su regla o resultado individual aplicable exigía reiniciar íntegramente el sistema.</x:v>
      </x:c>
      <x:c r="G5" s="35" t="str">
        <x:v>Exigencia explícita.</x:v>
      </x:c>
      <x:c r="H5" s="35" t="str">
        <x:v>Ausencia de exigencia explícitamente acreditada.</x:v>
      </x:c>
      <x:c r="I5" s="35" t="str">
        <x:v>Requisito desconocido o contradictorio.</x:v>
      </x:c>
      <x:c r="J5" s="35" t="str">
        <x:v>Perfil WUA conservado: resultado individual orcSucceeded y RebootRequired. Perfil documental adicional: instrucción específica del producto, aplicabilidad acreditada y requisito histórico explícito; nunca se deduce del consejo general de NIST.</x:v>
      </x:c>
      <x:c r="K5" s="35" t="str">
        <x:v>T002, T003, T004, T006; T001 §2.3.2</x:v>
      </x:c>
    </x:row>
    <x:row r="6" ht="47" customHeight="1">
      <x:c r="A6" s="35" t="str">
        <x:v>P02</x:v>
      </x:c>
      <x:c r="B6" s="35" t="str">
        <x:v>PAR-CYB-INSTALACION-EXITO-COMUNICADO-001</x:v>
      </x:c>
      <x:c r="C6" s="35" t="str">
        <x:v>0.1</x:v>
      </x:c>
      <x:c r="D6" s="35" t="str">
        <x:v>Terminación satisfactoria comunicada de la instalación</x:v>
      </x:c>
      <x:c r="E6" s="35" t="str">
        <x:v>Un intento individual de instalación</x:v>
      </x:c>
      <x:c r="F6" s="35" t="str">
        <x:v>El emisor comunicó terminación satisfactoria sin calificación de errores.</x:v>
      </x:c>
      <x:c r="G6" s="35" t="str">
        <x:v>Estado terminal satisfactorio sin errores según el contrato del emisor.</x:v>
      </x:c>
      <x:c r="H6" s="35" t="str">
        <x:v>Estado terminal de fallo, aborto o éxito con errores.</x:v>
      </x:c>
      <x:c r="I6" s="35" t="str">
        <x:v>Resultado terminal ausente o contradictorio.</x:v>
      </x:c>
      <x:c r="J6" s="35" t="str">
        <x:v>WUA: orcSucceeded se distingue de SucceededWithErrors, Failed y Aborted. NotStarted e InProgress no pertenecen al perfil terminal.</x:v>
      </x:c>
      <x:c r="K6" s="35" t="str">
        <x:v>T004–T006</x:v>
      </x:c>
    </x:row>
    <x:row r="7" ht="47" customHeight="1">
      <x:c r="A7" s="35" t="str">
        <x:v>P03</x:v>
      </x:c>
      <x:c r="B7" s="35" t="str">
        <x:v>PAR-CYB-REINICIO-SISTEMA-REALIZADO-001</x:v>
      </x:c>
      <x:c r="C7" s="35" t="str">
        <x:v>0.1</x:v>
      </x:c>
      <x:c r="D7" s="35" t="str">
        <x:v>Reinicio íntegro realizado</x:v>
      </x:c>
      <x:c r="E7" s="35" t="str">
        <x:v>Un sistema durante el intervalo posterior a la instalación</x:v>
      </x:c>
      <x:c r="F7" s="35" t="str">
        <x:v>Se completó un reinicio íntegro después de la instalación y antes o en el instante de evaluación.</x:v>
      </x:c>
      <x:c r="G7" s="35" t="str">
        <x:v>Evento completo acreditado dentro del intervalo.</x:v>
      </x:c>
      <x:c r="H7" s="35" t="str">
        <x:v>Historia completa sin ese evento.</x:v>
      </x:c>
      <x:c r="I7" s="35" t="str">
        <x:v>Historia parcial, orden temporal incierto o conflicto.</x:v>
      </x:c>
      <x:c r="J7" s="35" t="str">
        <x:v>Registro de arranque que acredite identidad, orden y clase. El ejemplo de Fast Startup corresponde a Windows 10.</x:v>
      </x:c>
      <x:c r="K7" s="35" t="str">
        <x:v>T001 §2.3.2; T007</x:v>
      </x:c>
    </x:row>
    <x:row r="8" ht="47" customHeight="1">
      <x:c r="A8" s="35" t="str">
        <x:v>P04</x:v>
      </x:c>
      <x:c r="B8" s="35" t="str">
        <x:v>PAR-CYB-REINICIO-SOFTWARE-REQUERIDO-001</x:v>
      </x:c>
      <x:c r="C8" s="35" t="str">
        <x:v>0.1</x:v>
      </x:c>
      <x:c r="D8" s="35" t="str">
        <x:v>Necesidad de reiniciar un programa</x:v>
      </x:c>
      <x:c r="E8" s="35" t="str">
        <x:v>Un programa y una instalación</x:v>
      </x:c>
      <x:c r="F8" s="35" t="str">
        <x:v>La instrucción aplicable exigía reiniciar el programa identificado para completar el cambio.</x:v>
      </x:c>
      <x:c r="G8" s="35" t="str">
        <x:v>Requisito explícito.</x:v>
      </x:c>
      <x:c r="H8" s="35" t="str">
        <x:v>Declaración explícita de que no se requiere ese reinicio.</x:v>
      </x:c>
      <x:c r="I8" s="35" t="str">
        <x:v>Instrucción insuficiente o contradictoria.</x:v>
      </x:c>
      <x:c r="J8" s="35" t="str">
        <x:v>Instrucción específica, programa e instalación individualizados; Restart Manager ilustra el mecanismo, no fija la obligación del caso.</x:v>
      </x:c>
      <x:c r="K8" s="35" t="str">
        <x:v>T001 §2.3.2; T009</x:v>
      </x:c>
    </x:row>
    <x:row r="9" ht="47" customHeight="1">
      <x:c r="A9" s="35" t="str">
        <x:v>P05</x:v>
      </x:c>
      <x:c r="B9" s="35" t="str">
        <x:v>PAR-CYB-GENERACION-PROCESO-TERMINADA-001</x:v>
      </x:c>
      <x:c r="C9" s="35" t="str">
        <x:v>0.1</x:v>
      </x:c>
      <x:c r="D9" s="35" t="str">
        <x:v>Terminación de la generación anterior de un proceso</x:v>
      </x:c>
      <x:c r="E9" s="35" t="str">
        <x:v>Una generación identificada de proceso</x:v>
      </x:c>
      <x:c r="F9" s="35" t="str">
        <x:v>La generación anterior del proceso terminó durante el intervalo pertinente.</x:v>
      </x:c>
      <x:c r="G9" s="35" t="str">
        <x:v>Terminación acreditada.</x:v>
      </x:c>
      <x:c r="H9" s="35" t="str">
        <x:v>Permanencia acreditada de esa generación o historia completa sin terminación.</x:v>
      </x:c>
      <x:c r="I9" s="35" t="str">
        <x:v>Vida o terminación no acreditadas.</x:v>
      </x:c>
      <x:c r="J9" s="35" t="str">
        <x:v>PID y tiempo exacto de creación, sistema y registro de terminación. No se usa el PID aislado.</x:v>
      </x:c>
      <x:c r="K9" s="35" t="str">
        <x:v>T014; T016</x:v>
      </x:c>
    </x:row>
    <x:row r="10" ht="62" customHeight="1">
      <x:c r="A10" s="35" t="str">
        <x:v>P06</x:v>
      </x:c>
      <x:c r="B10" s="35" t="str">
        <x:v>PAR-CYB-IMAGEN-OBJETIVO-ACTIVA-001</x:v>
      </x:c>
      <x:c r="C10" s="35" t="str">
        <x:v>0.2</x:v>
      </x:c>
      <x:c r="D10" s="35" t="str">
        <x:v>Identidad objetivo de la imagen utilizada</x:v>
      </x:c>
      <x:c r="E10" s="35" t="str">
        <x:v>Una imagen ejecutable utilizada por una instancia</x:v>
      </x:c>
      <x:c r="F10" s="35" t="str">
        <x:v>La identidad de la imagen utilizada coincide con la identidad objetivo previamente admitida.</x:v>
      </x:c>
      <x:c r="G10" s="35" t="str">
        <x:v>Identidad completa y método pertinente coincidentes.</x:v>
      </x:c>
      <x:c r="H10" s="35" t="str">
        <x:v>Identidad completa diferente.</x:v>
      </x:c>
      <x:c r="I10" s="35" t="str">
        <x:v>Identidad parcial, lectura inconsistente o conflicto.</x:v>
      </x:c>
      <x:c r="J10" s="35" t="str">
        <x:v>Win32: MODULEINFO no acredita identidad de contenido. Para núcleo o firmware se exige un método específico que identifique la imagen utilizada; la lectura de un archivo descargado no lo sustituye. La ampliación semántica de perfil se declara en v0.2.</x:v>
      </x:c>
      <x:c r="K10" s="35" t="str">
        <x:v>T008; T012; T013; B02 §§3–4</x:v>
      </x:c>
    </x:row>
    <x:row r="11" ht="62" customHeight="1">
      <x:c r="A11" s="35" t="str">
        <x:v>P07</x:v>
      </x:c>
      <x:c r="B11" s="35" t="str">
        <x:v>PAR-CYB-COMPROBACION-POSITIVA-001</x:v>
      </x:c>
      <x:c r="C11" s="35" t="str">
        <x:v>0.2</x:v>
      </x:c>
      <x:c r="D11" s="35" t="str">
        <x:v>Resultado favorable de una comprobación individual</x:v>
      </x:c>
      <x:c r="E11" s="35" t="str">
        <x:v>Una ejecución válida de una prueba con un único criterio</x:v>
      </x:c>
      <x:c r="F11" s="35" t="str">
        <x:v>La comprobación individual produjo el resultado favorable definido antes de ejecutarla.</x:v>
      </x:c>
      <x:c r="G11" s="35" t="str">
        <x:v>Resultado que satisface el criterio fijado.</x:v>
      </x:c>
      <x:c r="H11" s="35" t="str">
        <x:v>Resultado válido que no lo satisface.</x:v>
      </x:c>
      <x:c r="I11" s="35" t="str">
        <x:v>Resultado ausente, indeterminado o contradictorio.</x:v>
      </x:c>
      <x:c r="J11" s="35" t="str">
        <x:v>Criterio y casos positivos/negativos anteriores al ensayo; umbral y alcance expresos. No sustituye los estados de P16–P24 ni permite introducir conocimiento nuevo durante el consejo.</x:v>
      </x:c>
      <x:c r="K11" s="35" t="str">
        <x:v>F018 §§4.3, 6.5, 7.3; T001 §2.3.3; B08 §1; B09 §1</x:v>
      </x:c>
    </x:row>
    <x:row r="12" ht="47" customHeight="1">
      <x:c r="A12" s="35" t="str">
        <x:v>P08</x:v>
      </x:c>
      <x:c r="B12" s="35" t="str">
        <x:v>PAR-CYB-RETIRADA-EXITOSA-COMUNICADA-001</x:v>
      </x:c>
      <x:c r="C12" s="35" t="str">
        <x:v>0.1</x:v>
      </x:c>
      <x:c r="D12" s="35" t="str">
        <x:v>Retirada satisfactoria comunicada de la actualización</x:v>
      </x:c>
      <x:c r="E12" s="35" t="str">
        <x:v>Un episodio de retirada posterior a la instalación</x:v>
      </x:c>
      <x:c r="F12" s="35" t="str">
        <x:v>Se comunicó la retirada satisfactoria de la actualización dentro del intervalo observado.</x:v>
      </x:c>
      <x:c r="G12" s="35" t="str">
        <x:v>Evento de retirada satisfactoria acreditado.</x:v>
      </x:c>
      <x:c r="H12" s="35" t="str">
        <x:v>Historia completa sin tal evento.</x:v>
      </x:c>
      <x:c r="I12" s="35" t="str">
        <x:v>Historia insuficiente o conflicto.</x:v>
      </x:c>
      <x:c r="J12" s="35" t="str">
        <x:v>Historia individual de actualización. La lista de eventos no acredita por sí misma cobertura completa.</x:v>
      </x:c>
      <x:c r="K12" s="35" t="str">
        <x:v>T010; T011; T001 §2.3.4</x:v>
      </x:c>
    </x:row>
    <x:row r="13" ht="47" customHeight="1">
      <x:c r="A13" s="35" t="str">
        <x:v>P09</x:v>
      </x:c>
      <x:c r="B13" s="35" t="str">
        <x:v>PAR-CYB-CAMBIO-COMPONENTE-POSTERIOR-001</x:v>
      </x:c>
      <x:c r="C13" s="35" t="str">
        <x:v>0.1</x:v>
      </x:c>
      <x:c r="D13" s="35" t="str">
        <x:v>Cambio posterior de un componente binario</x:v>
      </x:c>
      <x:c r="E13" s="35" t="str">
        <x:v>Un componente durante el intervalo posterior a su comprobación</x:v>
      </x:c>
      <x:c r="F13" s="35" t="str">
        <x:v>La identidad binaria del componente cambió al menos una vez dentro del intervalo.</x:v>
      </x:c>
      <x:c r="G13" s="35" t="str">
        <x:v>Transición acreditada, aunque después se recupere la identidad original.</x:v>
      </x:c>
      <x:c r="H13" s="35" t="str">
        <x:v>Historia completa sin transición.</x:v>
      </x:c>
      <x:c r="I13" s="35" t="str">
        <x:v>Cobertura u orden insuficientes.</x:v>
      </x:c>
      <x:c r="J13" s="35" t="str">
        <x:v>Historia completa para negar cambios. El intervalo y el ámbito del componente se fijan previamente.</x:v>
      </x:c>
      <x:c r="K13" s="35" t="str">
        <x:v>T001 §2.3.4; B01 §§3.3.4, 3.4</x:v>
      </x:c>
    </x:row>
    <x:row r="14" ht="47" customHeight="1">
      <x:c r="A14" s="35" t="str">
        <x:v>P10</x:v>
      </x:c>
      <x:c r="B14" s="35" t="str">
        <x:v>PAR-CYB-RESTAURACION-PREVIA-COMUNICADA-001</x:v>
      </x:c>
      <x:c r="C14" s="35" t="str">
        <x:v>0.1</x:v>
      </x:c>
      <x:c r="D14" s="35" t="str">
        <x:v>Restauración previa comunicada</x:v>
      </x:c>
      <x:c r="E14" s="35" t="str">
        <x:v>Un episodio de restauración y su objeto</x:v>
      </x:c>
      <x:c r="F14" s="35" t="str">
        <x:v>Se comunicó restauración satisfactoria desde un estado capturado antes de la instalación.</x:v>
      </x:c>
      <x:c r="G14" s="35" t="str">
        <x:v>Restauración satisfactoria, origen anterior y alcance acreditados.</x:v>
      </x:c>
      <x:c r="H14" s="35" t="str">
        <x:v>Historia completa que excluya tal restauración.</x:v>
      </x:c>
      <x:c r="I14" s="35" t="str">
        <x:v>Origen, alcance o cobertura temporal no acreditados.</x:v>
      </x:c>
      <x:c r="J14" s="35" t="str">
        <x:v>Registro de restauración con objeto, origen y resultado. No se ejecuta una recuperación.</x:v>
      </x:c>
      <x:c r="K14" s="35" t="str">
        <x:v>T001 §2.3.4; B10 §§3.4.1, 4.3</x:v>
      </x:c>
    </x:row>
    <x:row r="15" ht="47" customHeight="1">
      <x:c r="A15" s="35" t="str">
        <x:v>P11</x:v>
      </x:c>
      <x:c r="B15" s="35" t="str">
        <x:v>PAR-CYB-GENERACION-PROCESO-CREADA-001</x:v>
      </x:c>
      <x:c r="C15" s="35" t="str">
        <x:v>0.1</x:v>
      </x:c>
      <x:c r="D15" s="35" t="str">
        <x:v>Creación de una nueva generación de proceso</x:v>
      </x:c>
      <x:c r="E15" s="35" t="str">
        <x:v>Una generación identificada de proceso</x:v>
      </x:c>
      <x:c r="F15" s="35" t="str">
        <x:v>La generación se creó después de la instalación y no después del instante de evaluación.</x:v>
      </x:c>
      <x:c r="G15" s="35" t="str">
        <x:v>Creación acreditada dentro del intervalo.</x:v>
      </x:c>
      <x:c r="H15" s="35" t="str">
        <x:v>Creación acreditada anterior o simultánea a la instalación.</x:v>
      </x:c>
      <x:c r="I15" s="35" t="str">
        <x:v>Instante u orden desconocidos.</x:v>
      </x:c>
      <x:c r="J15" s="35" t="str">
        <x:v>Registro de creación y orden temporal exacto. Una observación posterior al instante de evaluación no pertenece al caso.</x:v>
      </x:c>
      <x:c r="K15" s="35" t="str">
        <x:v>T014; T015</x:v>
      </x:c>
    </x:row>
    <x:row r="16" ht="47" customHeight="1">
      <x:c r="A16" s="35" t="str">
        <x:v>P12</x:v>
      </x:c>
      <x:c r="B16" s="35" t="str">
        <x:v>PAR-CYB-VALOR-CONFIGURACION-EFECTIVO-OBJETIVO-001</x:v>
      </x:c>
      <x:c r="C16" s="35" t="str">
        <x:v>0.1</x:v>
      </x:c>
      <x:c r="D16" s="35" t="str">
        <x:v>Valor efectivo de configuración objetivo</x:v>
      </x:c>
      <x:c r="E16" s="35" t="str">
        <x:v>Una clave escalar en un consumidor</x:v>
      </x:c>
      <x:c r="F16" s="35" t="str">
        <x:v>El valor efectivo de la clave coincide con el valor objetivo admitido.</x:v>
      </x:c>
      <x:c r="G16" s="35" t="str">
        <x:v>Mismo tipo y valor efectivo coincidentes.</x:v>
      </x:c>
      <x:c r="H16" s="35" t="str">
        <x:v>Valor efectivo del mismo tipo diferente.</x:v>
      </x:c>
      <x:c r="I16" s="35" t="str">
        <x:v>Valor efectivo desconocido o contradictorio.</x:v>
      </x:c>
      <x:c r="J16" s="35" t="str">
        <x:v>Método específico de lectura efectiva y equivalencia tipada; ausencia sólo es valor si el esquema lo define.</x:v>
      </x:c>
      <x:c r="K16" s="35" t="str">
        <x:v>T001 §2.3.2; F018 §3.4; B01 §3.2</x:v>
      </x:c>
    </x:row>
    <x:row r="17" ht="47" customHeight="1">
      <x:c r="A17" s="35" t="str">
        <x:v>P13</x:v>
      </x:c>
      <x:c r="B17" s="35" t="str">
        <x:v>PAR-CYB-ARTEFACTO-PERSISTENTE-OBJETIVO-001</x:v>
      </x:c>
      <x:c r="C17" s="35" t="str">
        <x:v>0.2</x:v>
      </x:c>
      <x:c r="D17" s="35" t="str">
        <x:v>Identidad objetivo del artefacto almacenado</x:v>
      </x:c>
      <x:c r="E17" s="35" t="str">
        <x:v>Un artefacto binario completo y su ubicación</x:v>
      </x:c>
      <x:c r="F17" s="35" t="str">
        <x:v>La identidad del artefacto almacenado coincide con el objetivo admitido.</x:v>
      </x:c>
      <x:c r="G17" s="35" t="str">
        <x:v>Contenido completo coincidente según el método fijado.</x:v>
      </x:c>
      <x:c r="H17" s="35" t="str">
        <x:v>Contenido completo diferente.</x:v>
      </x:c>
      <x:c r="I17" s="35" t="str">
        <x:v>Lectura parcial o inconsistente.</x:v>
      </x:c>
      <x:c r="J17" s="35" t="str">
        <x:v>Lectura consistente del objeto completo, incluido un objeto binario de firmware si existe un perfil admitido. No afirma durabilidad física frente a un fallo eléctrico.</x:v>
      </x:c>
      <x:c r="K17" s="35" t="str">
        <x:v>T001 §§2.3.2–2.3.4; T008; B02 §4; B03 §§3.10, 3.13</x:v>
      </x:c>
    </x:row>
    <x:row r="18" ht="47" customHeight="1">
      <x:c r="A18" s="35" t="str">
        <x:v>P14</x:v>
      </x:c>
      <x:c r="B18" s="35" t="str">
        <x:v>PAR-CYB-CAMBIO-CONFIGURACION-POSTERIOR-001</x:v>
      </x:c>
      <x:c r="C18" s="35" t="str">
        <x:v>0.1</x:v>
      </x:c>
      <x:c r="D18" s="35" t="str">
        <x:v>Cambio posterior de configuración</x:v>
      </x:c>
      <x:c r="E18" s="35" t="str">
        <x:v>Una clave y su ámbito efectivo o persistente</x:v>
      </x:c>
      <x:c r="F18" s="35" t="str">
        <x:v>El valor de la clave cambió después de la comprobación de referencia.</x:v>
      </x:c>
      <x:c r="G18" s="35" t="str">
        <x:v>Transición acreditada dentro del intervalo.</x:v>
      </x:c>
      <x:c r="H18" s="35" t="str">
        <x:v>Historia completa sin transición.</x:v>
      </x:c>
      <x:c r="I18" s="35" t="str">
        <x:v>Cobertura temporal o valores insuficientes.</x:v>
      </x:c>
      <x:c r="J18" s="35" t="str">
        <x:v>Historia de valores tipados; cambio y retorno cuenta como cambio.</x:v>
      </x:c>
      <x:c r="K18" s="35" t="str">
        <x:v>T001 §2.3.4; B01 §§3.3.4, 3.4</x:v>
      </x:c>
    </x:row>
    <x:row r="19" ht="47" customHeight="1">
      <x:c r="A19" s="35" t="str">
        <x:v>P15</x:v>
      </x:c>
      <x:c r="B19" s="35" t="str">
        <x:v>PAR-CYB-OTRO-CAMBIO-UNITARIO-REQUERIDO-001</x:v>
      </x:c>
      <x:c r="C19" s="35" t="str">
        <x:v>0.2</x:v>
      </x:c>
      <x:c r="D19" s="35" t="str">
        <x:v>Necesidad de otra acción de terminación</x:v>
      </x:c>
      <x:c r="E19" s="35" t="str">
        <x:v>Una acción unitaria distinta de los reinicios de P01 y P04</x:v>
      </x:c>
      <x:c r="F19" s="35" t="str">
        <x:v>La instrucción aplicable exige esa acción para completar la actualización.</x:v>
      </x:c>
      <x:c r="G19" s="35" t="str">
        <x:v>Obligación específica explícita.</x:v>
      </x:c>
      <x:c r="H19" s="35" t="str">
        <x:v>Declaración explícita de ausencia de esa obligación.</x:v>
      </x:c>
      <x:c r="I19" s="35" t="str">
        <x:v>Obligación desconocida o contradictoria.</x:v>
      </x:c>
      <x:c r="J19" s="35" t="str">
        <x:v>Registro cerrado de clases de acción y criterios de cumplimiento en esta versión. Prohibido añadir una acción semánticamente nueva por texto libre durante el consejo.</x:v>
      </x:c>
      <x:c r="K19" s="35" t="str">
        <x:v>T001 §2.3.2; B01 §3.3.2</x:v>
      </x:c>
    </x:row>
    <x:row r="20" ht="47" customHeight="1">
      <x:c r="A20" s="35" t="str">
        <x:v>P16</x:v>
      </x:c>
      <x:c r="B20" s="35" t="str">
        <x:v>PAR-CYB-VALOR-CONFIGURACION-PERSISTENTE-OBJETIVO-001</x:v>
      </x:c>
      <x:c r="C20" s="35" t="str">
        <x:v>0.1</x:v>
      </x:c>
      <x:c r="D20" s="35" t="str">
        <x:v>Valor persistente de configuración objetivo</x:v>
      </x:c>
      <x:c r="E20" s="35" t="str">
        <x:v>Una clave escalar en su repositorio de configuración</x:v>
      </x:c>
      <x:c r="F20" s="35" t="str">
        <x:v>El valor persistente de la clave coincide con el objetivo admitido.</x:v>
      </x:c>
      <x:c r="G20" s="35" t="str">
        <x:v>Valor persistente tipado coincidente.</x:v>
      </x:c>
      <x:c r="H20" s="35" t="str">
        <x:v>Valor persistente tipado diferente.</x:v>
      </x:c>
      <x:c r="I20" s="35" t="str">
        <x:v>Lectura persistente insuficiente o conflicto.</x:v>
      </x:c>
      <x:c r="J20" s="35" t="str">
        <x:v>Lectura consistente del repositorio autoritativo, con tipo y objetivo fijados; no se infiere de la lectura efectiva.</x:v>
      </x:c>
      <x:c r="K20" s="35" t="str">
        <x:v>B01 §3.2; T001 §2.3.2; F018 §3.4</x:v>
      </x:c>
    </x:row>
    <x:row r="21" ht="47" customHeight="1">
      <x:c r="A21" s="35" t="str">
        <x:v>P17</x:v>
      </x:c>
      <x:c r="B21" s="35" t="str">
        <x:v>PAR-CYB-INICIALIZACION-PROCESO-COMPLETADA-001</x:v>
      </x:c>
      <x:c r="C21" s="35" t="str">
        <x:v>0.1</x:v>
      </x:c>
      <x:c r="D21" s="35" t="str">
        <x:v>Inicialización del proceso completada</x:v>
      </x:c>
      <x:c r="E21" s="35" t="str">
        <x:v>Una generación de proceso y un hito de inicialización</x:v>
      </x:c>
      <x:c r="F21" s="35" t="str">
        <x:v>La generación alcanzó el hito de inicialización definido para su utilización.</x:v>
      </x:c>
      <x:c r="G21" s="35" t="str">
        <x:v>Hito terminal acreditado mediante señal específica.</x:v>
      </x:c>
      <x:c r="H21" s="35" t="str">
        <x:v>Fallo terminal de inicialización o estado previo al hito acreditados.</x:v>
      </x:c>
      <x:c r="I21" s="35" t="str">
        <x:v>Sin evidencia específica del hito.</x:v>
      </x:c>
      <x:c r="J21" s="35" t="str">
        <x:v>Señal de inicialización propia del programa, identidad de generación e instante. El retorno de CreateProcessW no sirve como señal suficiente.</x:v>
      </x:c>
      <x:c r="K21" s="35" t="str">
        <x:v>T015, Return value; R025</x:v>
      </x:c>
    </x:row>
    <x:row r="22" ht="47" customHeight="1">
      <x:c r="A22" s="35" t="str">
        <x:v>P18</x:v>
      </x:c>
      <x:c r="B22" s="35" t="str">
        <x:v>PAR-CYB-PARCHE-EJECUCION-HABILITADO-001</x:v>
      </x:c>
      <x:c r="C22" s="35" t="str">
        <x:v>0.1</x:v>
      </x:c>
      <x:c r="D22" s="35" t="str">
        <x:v>Habilitación de un parche en ejecución</x:v>
      </x:c>
      <x:c r="E22" s="35" t="str">
        <x:v>Un parche del núcleo identificado</x:v>
      </x:c>
      <x:c r="F22" s="35" t="str">
        <x:v>El mecanismo de aplicación mantiene habilitado el parche identificado en el instante evaluado.</x:v>
      </x:c>
      <x:c r="G22" s="35" t="str">
        <x:v>Estado habilitado acreditado.</x:v>
      </x:c>
      <x:c r="H22" s="35" t="str">
        <x:v>Estado deshabilitado acreditado.</x:v>
      </x:c>
      <x:c r="I22" s="35" t="str">
        <x:v>Estado no observado o contradictorio.</x:v>
      </x:c>
      <x:c r="J22" s="35" t="str">
        <x:v>Perfil Linux 6.8: enabled del parche. Se preservan identidad, instante y dirección de la transición.</x:v>
      </x:c>
      <x:c r="K22" s="35" t="str">
        <x:v>B04 §§3, 5.2, 5.4</x:v>
      </x:c>
    </x:row>
    <x:row r="23" ht="77" customHeight="1">
      <x:c r="A23" s="35" t="str">
        <x:v>P19</x:v>
      </x:c>
      <x:c r="B23" s="35" t="str">
        <x:v>PAR-CYB-TAREA-ESTADO-PARCHE-OBJETIVO-001</x:v>
      </x:c>
      <x:c r="C23" s="35" t="str">
        <x:v>0.1</x:v>
      </x:c>
      <x:c r="D23" s="35" t="str">
        <x:v>Estado objetivo de parche en una tarea</x:v>
      </x:c>
      <x:c r="E23" s="35" t="str">
        <x:v>Una tarea y una transición de parche identificadas</x:v>
      </x:c>
      <x:c r="F23" s="35" t="str">
        <x:v>La tarea se encuentra en el estado de parche de referencia previamente admitido, durante la transición identificada.</x:v>
      </x:c>
      <x:c r="G23" s="35" t="str">
        <x:v>Estado de la tarea igual a la referencia fijada antes de evaluar.</x:v>
      </x:c>
      <x:c r="H23" s="35" t="str">
        <x:v>Estado de la tarea contrario al objetivo.</x:v>
      </x:c>
      <x:c r="I23" s="35" t="str">
        <x:v>Observación insuficiente, conflicto o estado no interpretable en ese contexto.</x:v>
      </x:c>
      <x:c r="J23" s="35" t="str">
        <x:v>Linux 6.8: patch_state 0/1 se compara con una referencia fijada previamente; la dirección de transición se conserva, pero no redefine esa referencia. El valor -1 fuera de transición no significa sin parche ni equivale a Tri.U; ese perfil no está activo.</x:v>
      </x:c>
      <x:c r="K23" s="35" t="str">
        <x:v>B04 §3</x:v>
      </x:c>
    </x:row>
    <x:row r="24" ht="47" customHeight="1">
      <x:c r="A24" s="35" t="str">
        <x:v>P20</x:v>
      </x:c>
      <x:c r="B24" s="35" t="str">
        <x:v>PAR-CYB-REFERENCIA-RECURSO-ANTERIOR-VIGENTE-001</x:v>
      </x:c>
      <x:c r="C24" s="35" t="str">
        <x:v>0.1</x:v>
      </x:c>
      <x:c r="D24" s="35" t="str">
        <x:v>Referencia vigente a un recurso anterior</x:v>
      </x:c>
      <x:c r="E24" s="35" t="str">
        <x:v>Un consumidor y un recurso de generación anterior</x:v>
      </x:c>
      <x:c r="F24" s="35" t="str">
        <x:v>El consumidor mantiene una referencia utilizable al recurso anterior identificado.</x:v>
      </x:c>
      <x:c r="G24" s="35" t="str">
        <x:v>Referencia utilizable acreditada.</x:v>
      </x:c>
      <x:c r="H24" s="35" t="str">
        <x:v>Ausencia acreditada de esa referencia en el consumidor.</x:v>
      </x:c>
      <x:c r="I24" s="35" t="str">
        <x:v>Enumeración o validez de referencia insuficientes.</x:v>
      </x:c>
      <x:c r="J24" s="35" t="str">
        <x:v>Identidad de generación, titular, ámbito y posibilidad de uso; ausencia exige enumeración completa del ámbito del consumidor.</x:v>
      </x:c>
      <x:c r="K24" s="35" t="str">
        <x:v>T016; B04 §5.5; R025</x:v>
      </x:c>
    </x:row>
    <x:row r="25" ht="62" customHeight="1">
      <x:c r="A25" s="35" t="str">
        <x:v>P21</x:v>
      </x:c>
      <x:c r="B25" s="35" t="str">
        <x:v>PAR-CYB-ENTRADA-CACHE-CONTENIDO-OBJETIVO-001</x:v>
      </x:c>
      <x:c r="C25" s="35" t="str">
        <x:v>0.1</x:v>
      </x:c>
      <x:c r="D25" s="35" t="str">
        <x:v>Contenido objetivo de una entrada de caché</x:v>
      </x:c>
      <x:c r="E25" s="35" t="str">
        <x:v>Una entrada de caché y su consumidor</x:v>
      </x:c>
      <x:c r="F25" s="35" t="str">
        <x:v>El contenido utilizable de la entrada coincide con el objetivo definido para ese consumidor.</x:v>
      </x:c>
      <x:c r="G25" s="35" t="str">
        <x:v>Contenido e identidad de entrada coincidentes con el objetivo.</x:v>
      </x:c>
      <x:c r="H25" s="35" t="str">
        <x:v>Contenido utilizable diferente.</x:v>
      </x:c>
      <x:c r="I25" s="35" t="str">
        <x:v>Entrada o contenido no observables de forma concluyente.</x:v>
      </x:c>
      <x:c r="J25" s="35" t="str">
        <x:v>Perfil de caché de datos derivados: clave, generación, consumidor y criterio de identidad. La correspondencia entre origen y entrada debe estar documentada antes de usarla.</x:v>
      </x:c>
      <x:c r="K25" s="35" t="str">
        <x:v>B11, File Caching; B05 §4; R025</x:v>
      </x:c>
    </x:row>
    <x:row r="26" ht="47" customHeight="1">
      <x:c r="A26" s="35" t="str">
        <x:v>P22</x:v>
      </x:c>
      <x:c r="B26" s="35" t="str">
        <x:v>PAR-CYB-SELECCION-PROXIMA-CARGA-OBJETIVO-001</x:v>
      </x:c>
      <x:c r="C26" s="35" t="str">
        <x:v>0.1</x:v>
      </x:c>
      <x:c r="D26" s="35" t="str">
        <x:v>Selección del objetivo para la próxima carga</x:v>
      </x:c>
      <x:c r="E26" s="35" t="str">
        <x:v>Un punto de carga y su configuración de selección</x:v>
      </x:c>
      <x:c r="F26" s="35" t="str">
        <x:v>La selección resuelta en el instante de evaluación designa el artefacto objetivo.</x:v>
      </x:c>
      <x:c r="G26" s="35" t="str">
        <x:v>Selección inequívoca del objetivo.</x:v>
      </x:c>
      <x:c r="H26" s="35" t="str">
        <x:v>Selección inequívoca de otro artefacto.</x:v>
      </x:c>
      <x:c r="I26" s="35" t="str">
        <x:v>Selección ambigua, cambiante o no resuelta.</x:v>
      </x:c>
      <x:c r="J26" s="35" t="str">
        <x:v>Regla de resolución del cargador fijada y entradas completas; para bancos de firmware se exige su regla específica. No se extrapola la búsqueda de DLL a firmware.</x:v>
      </x:c>
      <x:c r="K26" s="35" t="str">
        <x:v>T008, Factors that affect searching; B03 §§3.10, 3.11, 3.21</x:v>
      </x:c>
    </x:row>
    <x:row r="27" ht="62" customHeight="1">
      <x:c r="A27" s="35" t="str">
        <x:v>P23</x:v>
      </x:c>
      <x:c r="B27" s="35" t="str">
        <x:v>PAR-CYB-SINCRONIZACION-ARCHIVO-EXITO-COMUNICADO-001</x:v>
      </x:c>
      <x:c r="C27" s="35" t="str">
        <x:v>0.1</x:v>
      </x:c>
      <x:c r="D27" s="35" t="str">
        <x:v>Sincronización satisfactoria comunicada del archivo</x:v>
      </x:c>
      <x:c r="E27" s="35" t="str">
        <x:v>Una operación de sincronización y un archivo</x:v>
      </x:c>
      <x:c r="F27" s="35" t="str">
        <x:v>La operación de sincronización del archivo comunicó terminación satisfactoria.</x:v>
      </x:c>
      <x:c r="G27" s="35" t="str">
        <x:v>Resultado satisfactorio según el contrato de la operación.</x:v>
      </x:c>
      <x:c r="H27" s="35" t="str">
        <x:v>Resultado de fallo según ese contrato.</x:v>
      </x:c>
      <x:c r="I27" s="35" t="str">
        <x:v>Resultado no disponible o contradictorio.</x:v>
      </x:c>
      <x:c r="J27" s="35" t="str">
        <x:v>Perfil FlushFileBuffers para un archivo y sistema admitidos. FlushViewOfFile no es evidencia equivalente; el modelo de almacenamiento y sus garantías permanecen expresos.</x:v>
      </x:c>
      <x:c r="K27" s="35" t="str">
        <x:v>B06, Return value y Remarks; B07, Remarks; B11</x:v>
      </x:c>
    </x:row>
    <x:row r="28" ht="47" customHeight="1">
      <x:c r="A28" s="35" t="str">
        <x:v>P24</x:v>
      </x:c>
      <x:c r="B28" s="35" t="str">
        <x:v>PAR-CYB-OPERACION-DIFERIDA-ARCHIVO-PENDIENTE-001</x:v>
      </x:c>
      <x:c r="C28" s="35" t="str">
        <x:v>0.1</x:v>
      </x:c>
      <x:c r="D28" s="35" t="str">
        <x:v>Operación diferida de archivo pendiente</x:v>
      </x:c>
      <x:c r="E28" s="35" t="str">
        <x:v>Una operación diferida de archivo identificada</x:v>
      </x:c>
      <x:c r="F28" s="35" t="str">
        <x:v>La operación permanece pendiente en el mecanismo que debe ejecutarla.</x:v>
      </x:c>
      <x:c r="G28" s="35" t="str">
        <x:v>Entrada pendiente identificada y vigente.</x:v>
      </x:c>
      <x:c r="H28" s="35" t="str">
        <x:v>Ausencia acreditada en una enumeración completa de ese mecanismo.</x:v>
      </x:c>
      <x:c r="I28" s="35" t="str">
        <x:v>Lectura incompleta o correspondencia ambigua.</x:v>
      </x:c>
      <x:c r="J28" s="35" t="str">
        <x:v>Perfil PendingFileRenameOperations: origen, destino, orden e instalación. No se modifica el registro ni se programa ninguna operación.</x:v>
      </x:c>
      <x:c r="K28" s="35" t="str">
        <x:v>B12, MOVEFILE_DELAY_UNTIL_REBOOT y Remarks</x:v>
      </x:c>
    </x:row>
  </x:sheetData>
  <x:mergeCells>
    <x:mergeCell ref="A1:D1"/>
    <x:mergeCell ref="A2:F2"/>
  </x:mergeCells>
  <x:pageMargins left="0.7" right="0.7" top="0.75" bottom="0.75" header="0.3" footer="0.3"/>
  <x:tableParts count="1">
    <x:tablePart xmlns:r="http://schemas.openxmlformats.org/officeDocument/2006/relationships" r:id="Ra9e8f9fbea4747c2"/>
  </x:tableParts>
</x:worksheet>
</file>

<file path=xl/worksheets/sheet69.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4" hidden="0" customWidth="1"/>
    <x:col min="2" max="2" width="69" hidden="0" customWidth="1"/>
    <x:col min="3" max="3" width="73" hidden="0" customWidth="1"/>
    <x:col min="4" max="4" width="76" hidden="0" customWidth="1"/>
    <x:col min="5" max="5" width="65" hidden="0" customWidth="1"/>
    <x:col min="6" max="6" width="78" hidden="0" customWidth="1"/>
    <x:col min="7" max="7" width="85" hidden="0" customWidth="1"/>
    <x:col min="8" max="8" width="24" hidden="0" customWidth="1"/>
    <x:col min="9" max="9" width="43" hidden="0" customWidth="1"/>
  </x:cols>
  <x:sheetData>
    <x:row r="1" ht="34" customHeight="1">
      <x:c r="A1" s="36" t="str">
        <x:v>Conocimiento enlazado y consecuencias</x:v>
      </x:c>
      <x:c r="B1" s="35"/>
      <x:c r="C1" s="35"/>
      <x:c r="D1" s="35"/>
      <x:c r="E1" s="35"/>
      <x:c r="F1" s="35"/>
      <x:c r="G1" s="35"/>
      <x:c r="H1" s="35"/>
      <x:c r="I1" s="35"/>
    </x:row>
    <x:row r="2" ht="46" customHeight="1">
      <x:c r="A2" s="37" t="str">
        <x:v>Consecuencias potenciales de consejo erróneo, con argumentos de independencia; no se declara daño observado.</x:v>
      </x:c>
      <x:c r="B2" s="35"/>
      <x:c r="C2" s="35"/>
      <x:c r="D2" s="35"/>
      <x:c r="E2" s="35"/>
      <x:c r="F2" s="35"/>
      <x:c r="G2" s="35"/>
      <x:c r="H2" s="35"/>
      <x:c r="I2" s="35"/>
    </x:row>
    <x:row r="3">
      <x:c r="A3" s="35"/>
      <x:c r="B3" s="35"/>
      <x:c r="C3" s="35"/>
      <x:c r="D3" s="35"/>
      <x:c r="E3" s="35"/>
      <x:c r="F3" s="35"/>
      <x:c r="G3" s="35"/>
      <x:c r="H3" s="35"/>
      <x:c r="I3" s="35"/>
    </x:row>
    <x:row r="4" ht="42" customHeight="1">
      <x:c r="A4" s="39" t="str">
        <x:v>Parámetro</x:v>
      </x:c>
      <x:c r="B4" s="39" t="str">
        <x:v>Conocimiento necesario</x:v>
      </x:c>
      <x:c r="C4" s="39" t="str">
        <x:v>Relación</x:v>
      </x:c>
      <x:c r="D4" s="39" t="str">
        <x:v>Consecuencia de omisión</x:v>
      </x:c>
      <x:c r="E4" s="39" t="str">
        <x:v>Consecuencia del exceso</x:v>
      </x:c>
      <x:c r="F4" s="39" t="str">
        <x:v>Variación independiente</x:v>
      </x:c>
      <x:c r="G4" s="39" t="str">
        <x:v>Partición examinada</x:v>
      </x:c>
      <x:c r="H4" s="39" t="str">
        <x:v>Comparación principal</x:v>
      </x:c>
      <x:c r="I4" s="39" t="str">
        <x:v>Fuentes</x:v>
      </x:c>
    </x:row>
    <x:row r="5" ht="47" customHeight="1">
      <x:c r="A5" s="35" t="str">
        <x:v>P01</x:v>
      </x:c>
      <x:c r="B5" s="35" t="str">
        <x:v>La finalización del instalador y la activación del cambio son momentos diferentes.</x:v>
      </x:c>
      <x:c r="C5" s="35" t="str">
        <x:v>El requisito histórico se contrasta con el reinicio posterior, P03.</x:v>
      </x:c>
      <x:c r="D5" s="35" t="str">
        <x:v>Sin este enlace puede declararse corregida una instancia que todavía utiliza el estado anterior.</x:v>
      </x:c>
      <x:c r="E5" s="35" t="str">
        <x:v>La ausencia de evidencia del requisito no justifica ordenar un reinicio.</x:v>
      </x:c>
      <x:c r="F5" s="35" t="str">
        <x:v>La instalación exige reiniciar tanto antes como después de que el reinicio se complete.</x:v>
      </x:c>
      <x:c r="G5" s="35" t="str">
        <x:v>El carácter íntegro identifica el reinicio exigido; no reúne reinicio y cumplimiento.</x:v>
      </x:c>
      <x:c r="H5" s="35" t="str">
        <x:v>P03</x:v>
      </x:c>
      <x:c r="I5" s="35" t="str">
        <x:v>T002, T003, T004, T006; T001 §2.3.2</x:v>
      </x:c>
    </x:row>
    <x:row r="6" ht="47" customHeight="1">
      <x:c r="A6" s="35" t="str">
        <x:v>P02</x:v>
      </x:c>
      <x:c r="B6" s="35" t="str">
        <x:v>Un resultado agregado puede ocultar el fallo de un elemento.</x:v>
      </x:c>
      <x:c r="C6" s="35" t="str">
        <x:v>La correspondencia entre elemento, intento y resultado precede a la interpretación.</x:v>
      </x:c>
      <x:c r="D6" s="35" t="str">
        <x:v>El experto podría aceptar una operación parcial como finalizada satisfactoriamente.</x:v>
      </x:c>
      <x:c r="E6" s="35" t="str">
        <x:v>El valor 0 no significa que no se modificase ningún componente.</x:v>
      </x:c>
      <x:c r="F6" s="35" t="str">
        <x:v>Una instalación anterior puede mantener la imagen correcta aunque el intento actual falle.</x:v>
      </x:c>
      <x:c r="G6" s="35" t="str">
        <x:v>Los códigos se conservan como observables; no se crea un parámetro por cada código.</x:v>
      </x:c>
      <x:c r="H6" s="35" t="str">
        <x:v>P06</x:v>
      </x:c>
      <x:c r="I6" s="35" t="str">
        <x:v>T004–T006</x:v>
      </x:c>
    </x:row>
    <x:row r="7" ht="47" customHeight="1">
      <x:c r="A7" s="35" t="str">
        <x:v>P03</x:v>
      </x:c>
      <x:c r="B7" s="35" t="str">
        <x:v>El arranque híbrido puede conservar parte del estado del sistema.</x:v>
      </x:c>
      <x:c r="C7" s="35" t="str">
        <x:v>El evento completo satisface una obligación de reinicio, si esta existe.</x:v>
      </x:c>
      <x:c r="D7" s="35" t="str">
        <x:v>Equiparar un encendido híbrido a un reinicio íntegro puede conservar componentes anteriores.</x:v>
      </x:c>
      <x:c r="E7" s="35" t="str">
        <x:v>Repetir un reinicio ya acreditado puede interrumpir innecesariamente el servicio.</x:v>
      </x:c>
      <x:c r="F7" s="35" t="str">
        <x:v>Con el mismo requisito, el reinicio puede haberse realizado o seguir pendiente.</x:v>
      </x:c>
      <x:c r="G7" s="35" t="str">
        <x:v>Fecha y clase de arranque identifican un evento; no constituyen dos decisiones independientes.</x:v>
      </x:c>
      <x:c r="H7" s="35" t="str">
        <x:v>P01</x:v>
      </x:c>
      <x:c r="I7" s="35" t="str">
        <x:v>T001 §2.3.2; T007</x:v>
      </x:c>
    </x:row>
    <x:row r="8" ht="47" customHeight="1">
      <x:c r="A8" s="35" t="str">
        <x:v>P04</x:v>
      </x:c>
      <x:c r="B8" s="35" t="str">
        <x:v>Un cambio puede requerir reiniciar un programa sin reiniciar el sistema.</x:v>
      </x:c>
      <x:c r="C8" s="35" t="str">
        <x:v>El requisito se enlaza con terminación, creación, inicialización e imagen utilizada.</x:v>
      </x:c>
      <x:c r="D8" s="35" t="str">
        <x:v>La instalación podría cerrarse mientras continúa el programa anterior.</x:v>
      </x:c>
      <x:c r="E8" s="35" t="str">
        <x:v>No se reinician todos los programas por analogía con uno afectado.</x:v>
      </x:c>
      <x:c r="F8" s="35" t="str">
        <x:v>El sistema puede no requerir reinicio y el programa sí.</x:v>
      </x:c>
      <x:c r="G8" s="35" t="str">
        <x:v>Una obligación para un programa; la ejecución de dicha obligación se descompone.</x:v>
      </x:c>
      <x:c r="H8" s="35" t="str">
        <x:v>P01</x:v>
      </x:c>
      <x:c r="I8" s="35" t="str">
        <x:v>T001 §2.3.2; T009</x:v>
      </x:c>
    </x:row>
    <x:row r="9" ht="47" customHeight="1">
      <x:c r="A9" s="35" t="str">
        <x:v>P05</x:v>
      </x:c>
      <x:c r="B9" s="35" t="str">
        <x:v>Un identificador de proceso puede reutilizarse y terminar un padre no termina necesariamente sus hijos.</x:v>
      </x:c>
      <x:c r="C9" s="35" t="str">
        <x:v>La generación y sus consumidores se conservan por separado.</x:v>
      </x:c>
      <x:c r="D9" s="35" t="str">
        <x:v>Puede persistir ejecución anterior aunque se haya detenido el proceso nominalmente principal.</x:v>
      </x:c>
      <x:c r="E9" s="35" t="str">
        <x:v>No se terminan otros procesos únicamente por compartir un nombre.</x:v>
      </x:c>
      <x:c r="F9" s="35" t="str">
        <x:v>El proceso anterior puede terminar sin que se cree su sustituto.</x:v>
      </x:c>
      <x:c r="G9" s="35" t="str">
        <x:v>Identidad de generación y evento de terminación; los hijos tienen otras identidades.</x:v>
      </x:c>
      <x:c r="H9" s="35" t="str">
        <x:v>P11</x:v>
      </x:c>
      <x:c r="I9" s="35" t="str">
        <x:v>T014; T016</x:v>
      </x:c>
    </x:row>
    <x:row r="10" ht="62" customHeight="1">
      <x:c r="A10" s="35" t="str">
        <x:v>P06</x:v>
      </x:c>
      <x:c r="B10" s="35" t="str">
        <x:v>La imagen utilizada puede diferir de la almacenada; el programa residente de un dispositivo también tiene un ámbito propio.</x:v>
      </x:c>
      <x:c r="C10" s="35" t="str">
        <x:v>Se relacionan imagen utilizada, almacenamiento, selección y consumidor.</x:v>
      </x:c>
      <x:c r="D10" s="35" t="str">
        <x:v>Una versión correcta en disco puede ocultar ejecución anterior en memoria o en un dispositivo.</x:v>
      </x:c>
      <x:c r="E10" s="35" t="str">
        <x:v>Una identidad diferente no demuestra por sí sola vulnerabilidad.</x:v>
      </x:c>
      <x:c r="F10" s="35" t="str">
        <x:v>La imagen nueva puede estar almacenada mientras continúa utilizándose la anterior, o suceder lo contrario.</x:v>
      </x:c>
      <x:c r="G10" s="35" t="str">
        <x:v>Una imagen y un consumidor. Biblioteca, núcleo y firmware no se cuentan de nuevo si conservan exactamente esta proposición.</x:v>
      </x:c>
      <x:c r="H10" s="35" t="str">
        <x:v>P13</x:v>
      </x:c>
      <x:c r="I10" s="35" t="str">
        <x:v>T008; T012; T013; B02 §§3–4</x:v>
      </x:c>
    </x:row>
    <x:row r="11" ht="62" customHeight="1">
      <x:c r="A11" s="35" t="str">
        <x:v>P07</x:v>
      </x:c>
      <x:c r="B11" s="35" t="str">
        <x:v>Una comprobación puede no detectar una corrección incompleta.</x:v>
      </x:c>
      <x:c r="C11" s="35" t="str">
        <x:v>El resultado sólo se interpreta con el criterio, la cobertura y la sensibilidad propios del observador.</x:v>
      </x:c>
      <x:c r="D11" s="35" t="str">
        <x:v>Un informe sin hallazgos puede ocultar la incapacidad para observar el defecto residual.</x:v>
      </x:c>
      <x:c r="E11" s="35" t="str">
        <x:v>Un resultado desfavorable no autoriza una intervención automática.</x:v>
      </x:c>
      <x:c r="F11" s="35" t="str">
        <x:v>Una identidad objetivo puede coexistir con fallo de una comprobación funcional independiente.</x:v>
      </x:c>
      <x:c r="G11" s="35" t="str">
        <x:v>Es un resultado de prueba, no el estado universal de seguridad. Dos criterios independientes requieren dos usos identificados; una prueba compuesta no se convierte en átomo.</x:v>
      </x:c>
      <x:c r="H11" s="35" t="str">
        <x:v>P06</x:v>
      </x:c>
      <x:c r="I11" s="35" t="str">
        <x:v>F018 §§4.3, 6.5, 7.3; T001 §2.3.3; B08 §1; B09 §1</x:v>
      </x:c>
    </x:row>
    <x:row r="12" ht="47" customHeight="1">
      <x:c r="A12" s="35" t="str">
        <x:v>P08</x:v>
      </x:c>
      <x:c r="B12" s="35" t="str">
        <x:v>La retirada es un acontecimiento histórico, incluso si después se reinstala.</x:v>
      </x:c>
      <x:c r="C12" s="35" t="str">
        <x:v>El acontecimiento obliga a revisar la vigencia de las pruebas afectadas.</x:v>
      </x:c>
      <x:c r="D12" s="35" t="str">
        <x:v>Se podría reutilizar una comprobación anterior a la retirada.</x:v>
      </x:c>
      <x:c r="E12" s="35" t="str">
        <x:v>Retirar una actualización no demuestra que todo el sistema haya vuelto a una versión vulnerable.</x:v>
      </x:c>
      <x:c r="F12" s="35" t="str">
        <x:v>El archivo objetivo puede volver a estar presente tras una reinstalación sin borrar la retirada.</x:v>
      </x:c>
      <x:c r="G12" s="35" t="str">
        <x:v>Existencia de un acontecimiento; no incluye el estado final ni la causa.</x:v>
      </x:c>
      <x:c r="H12" s="35" t="str">
        <x:v>P13</x:v>
      </x:c>
      <x:c r="I12" s="35" t="str">
        <x:v>T010; T011; T001 §2.3.4</x:v>
      </x:c>
    </x:row>
    <x:row r="13" ht="47" customHeight="1">
      <x:c r="A13" s="35" t="str">
        <x:v>P09</x:v>
      </x:c>
      <x:c r="B13" s="35" t="str">
        <x:v>Dos extremos iguales pueden ocultar una modificación intermedia.</x:v>
      </x:c>
      <x:c r="C13" s="35" t="str">
        <x:v>La vigencia de la prueba depende del componente y de su historia.</x:v>
      </x:c>
      <x:c r="D13" s="35" t="str">
        <x:v>Una comprobación antigua podría atribuirse indebidamente al estado actual.</x:v>
      </x:c>
      <x:c r="E13" s="35" t="str">
        <x:v>Un cambio irrelevante para el criterio no obliga a repetir todas las pruebas.</x:v>
      </x:c>
      <x:c r="F13" s="35" t="str">
        <x:v>La misma identidad final puede provenir de una historia estable o de cambio y retorno.</x:v>
      </x:c>
      <x:c r="G13" s="35" t="str">
        <x:v>La existencia de transición es única; cantidad, causa y actor se conservan como evidencia.</x:v>
      </x:c>
      <x:c r="H13" s="35" t="str">
        <x:v>P13</x:v>
      </x:c>
      <x:c r="I13" s="35" t="str">
        <x:v>T001 §2.3.4; B01 §§3.3.4, 3.4</x:v>
      </x:c>
    </x:row>
    <x:row r="14" ht="47" customHeight="1">
      <x:c r="A14" s="35" t="str">
        <x:v>P10</x:v>
      </x:c>
      <x:c r="B14" s="35" t="str">
        <x:v>Una restauración puede reintroducir estados anteriores por un mecanismo distinto de la desinstalación.</x:v>
      </x:c>
      <x:c r="C14" s="35" t="str">
        <x:v>Se revisan las pruebas de los objetos realmente restaurados.</x:v>
      </x:c>
      <x:c r="D14" s="35" t="str">
        <x:v>El experto podría aceptar una corrección basándose en pruebas anteriores a la restauración.</x:v>
      </x:c>
      <x:c r="E14" s="35" t="str">
        <x:v>La antigüedad de una copia no demuestra que todos sus componentes sean vulnerables.</x:v>
      </x:c>
      <x:c r="F14" s="35" t="str">
        <x:v>Restaurar una máquina virtual puede no generar un evento de desinstalación.</x:v>
      </x:c>
      <x:c r="G14" s="35" t="str">
        <x:v>Evento con procedencia temporal; no reúne restauración y vulnerabilidad.</x:v>
      </x:c>
      <x:c r="H14" s="35" t="str">
        <x:v>P08</x:v>
      </x:c>
      <x:c r="I14" s="35" t="str">
        <x:v>T001 §2.3.4; B10 §§3.4.1, 4.3</x:v>
      </x:c>
    </x:row>
    <x:row r="15" ht="47" customHeight="1">
      <x:c r="A15" s="35" t="str">
        <x:v>P11</x:v>
      </x:c>
      <x:c r="B15" s="35" t="str">
        <x:v>Crear un proceso no acredita que haya terminado su inicialización.</x:v>
      </x:c>
      <x:c r="C15" s="35" t="str">
        <x:v>Creación, inicialización y utilización de la imagen se conservan como estados distintos.</x:v>
      </x:c>
      <x:c r="D15" s="35" t="str">
        <x:v>Podría aceptarse la mera terminación del proceso anterior sin comprobar su sustitución.</x:v>
      </x:c>
      <x:c r="E15" s="35" t="str">
        <x:v>No se crea otra instancia por ignorar una creación ya acreditada.</x:v>
      </x:c>
      <x:c r="F15" s="35" t="str">
        <x:v>La generación anterior puede terminar con o sin creación posterior.</x:v>
      </x:c>
      <x:c r="G15" s="35" t="str">
        <x:v>PID y tiempo son identidad; no se añade la inicialización al mismo parámetro.</x:v>
      </x:c>
      <x:c r="H15" s="35" t="str">
        <x:v>P05</x:v>
      </x:c>
      <x:c r="I15" s="35" t="str">
        <x:v>T014; T015</x:v>
      </x:c>
    </x:row>
    <x:row r="16" ht="47" customHeight="1">
      <x:c r="A16" s="35" t="str">
        <x:v>P12</x:v>
      </x:c>
      <x:c r="B16" s="35" t="str">
        <x:v>Guardar una configuración no demuestra que el consumidor la haya incorporado.</x:v>
      </x:c>
      <x:c r="C16" s="35" t="str">
        <x:v>El valor efectivo se compara con el persistente, P16.</x:v>
      </x:c>
      <x:c r="D16" s="35" t="str">
        <x:v>Puede persistir una condición insegura aunque el archivo de configuración parezca correcto.</x:v>
      </x:c>
      <x:c r="E16" s="35" t="str">
        <x:v>Una alternativa autorizada no se rechaza sólo por diferir de otro objetivo.</x:v>
      </x:c>
      <x:c r="F16" s="35" t="str">
        <x:v>El valor persistente puede cambiar antes de que lo utilice el consumidor.</x:v>
      </x:c>
      <x:c r="G16" s="35" t="str">
        <x:v>Una clave escalar. Un objeto con varias propiedades exige separación por significado.</x:v>
      </x:c>
      <x:c r="H16" s="35" t="str">
        <x:v>P16</x:v>
      </x:c>
      <x:c r="I16" s="35" t="str">
        <x:v>T001 §2.3.2; F018 §3.4; B01 §3.2</x:v>
      </x:c>
    </x:row>
    <x:row r="17" ht="47" customHeight="1">
      <x:c r="A17" s="35" t="str">
        <x:v>P13</x:v>
      </x:c>
      <x:c r="B17" s="35" t="str">
        <x:v>Almacenamiento, utilización y selección de próxima carga son estados distintos.</x:v>
      </x:c>
      <x:c r="C17" s="35" t="str">
        <x:v>Se enlaza con P06, P22 y la sincronización comunicada P23.</x:v>
      </x:c>
      <x:c r="D17" s="35" t="str">
        <x:v>Puede aceptarse un estado que volverá a cargar un artefacto anterior.</x:v>
      </x:c>
      <x:c r="E17" s="35" t="str">
        <x:v>La discrepancia de identidad no acredita por sí sola un defecto de seguridad.</x:v>
      </x:c>
      <x:c r="F17" s="35" t="str">
        <x:v>El archivo puede ser nuevo y la imagen utilizada antigua.</x:v>
      </x:c>
      <x:c r="G17" s="35" t="str">
        <x:v>Un artefacto, no una colección. Su integridad no incorpora autenticidad ni corrección funcional.</x:v>
      </x:c>
      <x:c r="H17" s="35" t="str">
        <x:v>P06</x:v>
      </x:c>
      <x:c r="I17" s="35" t="str">
        <x:v>T001 §§2.3.2–2.3.4; T008; B02 §4; B03 §§3.10, 3.13</x:v>
      </x:c>
    </x:row>
    <x:row r="18" ht="47" customHeight="1">
      <x:c r="A18" s="35" t="str">
        <x:v>P14</x:v>
      </x:c>
      <x:c r="B18" s="35" t="str">
        <x:v>El cambio de configuración puede invalidar una prueba sin modificar el ejecutable.</x:v>
      </x:c>
      <x:c r="C18" s="35" t="str">
        <x:v>Sólo se revisan pruebas cuyo criterio depende de esa clave.</x:v>
      </x:c>
      <x:c r="D18" s="35" t="str">
        <x:v>Puede conservarse una conclusión que ya no corresponde a la configuración evaluada.</x:v>
      </x:c>
      <x:c r="E18" s="35" t="str">
        <x:v>Invalidar pruebas independientes produce trabajo sin fundamento.</x:v>
      </x:c>
      <x:c r="F18" s="35" t="str">
        <x:v>Puede cambiar una clave sin cambiar ningún binario.</x:v>
      </x:c>
      <x:c r="G18" s="35" t="str">
        <x:v>Un valor y un ámbito; efectivo y persistente llevan usos separados.</x:v>
      </x:c>
      <x:c r="H18" s="35" t="str">
        <x:v>P09</x:v>
      </x:c>
      <x:c r="I18" s="35" t="str">
        <x:v>T001 §2.3.4; B01 §§3.3.4, 3.4</x:v>
      </x:c>
    </x:row>
    <x:row r="19" ht="47" customHeight="1">
      <x:c r="A19" s="35" t="str">
        <x:v>P15</x:v>
      </x:c>
      <x:c r="B19" s="35" t="str">
        <x:v>La actualización puede exigir configuración, sustitución, invalidación o activación adicionales.</x:v>
      </x:c>
      <x:c r="C19" s="35" t="str">
        <x:v>Cada acción se enlaza con sus estados de cumplimiento; el verbo no constituye evidencia.</x:v>
      </x:c>
      <x:c r="D19" s="35" t="str">
        <x:v>Puede confundirse recepción del paquete con terminación de todos los efectos exigidos.</x:v>
      </x:c>
      <x:c r="E19" s="35" t="str">
        <x:v>La lista de posibilidades no es una lista de acciones obligatorias para todos los casos.</x:v>
      </x:c>
      <x:c r="F19" s="35" t="str">
        <x:v>Puede exigirse una configuración adicional sin reiniciar el sistema.</x:v>
      </x:c>
      <x:c r="G19" s="35" t="str">
        <x:v>Sólo registra obligación. Una acción con resultados independientes se descompone antes de evaluarla.</x:v>
      </x:c>
      <x:c r="H19" s="35" t="str">
        <x:v>P01</x:v>
      </x:c>
      <x:c r="I19" s="35" t="str">
        <x:v>T001 §2.3.2; B01 §3.3.2</x:v>
      </x:c>
    </x:row>
    <x:row r="20" ht="47" customHeight="1">
      <x:c r="A20" s="35" t="str">
        <x:v>P16</x:v>
      </x:c>
      <x:c r="B20" s="35" t="str">
        <x:v>Una configuración correcta en uso puede no conservarse para la próxima carga.</x:v>
      </x:c>
      <x:c r="C20" s="35" t="str">
        <x:v>P12 y P16 describen estados que pueden divergir.</x:v>
      </x:c>
      <x:c r="D20" s="35" t="str">
        <x:v>Una recarga posterior podría recuperar la configuración anterior.</x:v>
      </x:c>
      <x:c r="E20" s="35" t="str">
        <x:v>No se sobrescribe una configuración por confundir dos repositorios o ámbitos.</x:v>
      </x:c>
      <x:c r="F20" s="35" t="str">
        <x:v>El consumidor conserva un valor nuevo mientras el repositorio vuelve al antiguo.</x:v>
      </x:c>
      <x:c r="G20" s="35" t="str">
        <x:v>Un valor escalar persistente; la clave y su repositorio identifican el sujeto.</x:v>
      </x:c>
      <x:c r="H20" s="35" t="str">
        <x:v>P12</x:v>
      </x:c>
      <x:c r="I20" s="35" t="str">
        <x:v>B01 §3.2; T001 §2.3.2; F018 §3.4</x:v>
      </x:c>
    </x:row>
    <x:row r="21" ht="47" customHeight="1">
      <x:c r="A21" s="35" t="str">
        <x:v>P17</x:v>
      </x:c>
      <x:c r="B21" s="35" t="str">
        <x:v>La creación puede preceder a fallos de carga e inicialización.</x:v>
      </x:c>
      <x:c r="C21" s="35" t="str">
        <x:v>P11 no implica P17; P17 tampoco demuestra salud funcional sostenida.</x:v>
      </x:c>
      <x:c r="D21" s="35" t="str">
        <x:v>Una instancia creada pero no inicializada podría presentarse como sustituto disponible.</x:v>
      </x:c>
      <x:c r="E21" s="35" t="str">
        <x:v>No se confunde una inicialización lenta con un fallo definitivo sin evidencia.</x:v>
      </x:c>
      <x:c r="F21" s="35" t="str">
        <x:v>CreateProcessW puede devolver éxito y la inicialización terminar o fallar después.</x:v>
      </x:c>
      <x:c r="G21" s="35" t="str">
        <x:v>Un hito unitario definido. Si reúne preparación de componentes independientes, se separan sus usos.</x:v>
      </x:c>
      <x:c r="H21" s="35" t="str">
        <x:v>P11</x:v>
      </x:c>
      <x:c r="I21" s="35" t="str">
        <x:v>T015, Return value; R025</x:v>
      </x:c>
    </x:row>
    <x:row r="22" ht="62" customHeight="1">
      <x:c r="A22" s="35" t="str">
        <x:v>P18</x:v>
      </x:c>
      <x:c r="B22" s="35" t="str">
        <x:v>La habilitación y la transición de las tareas son estados distintos.</x:v>
      </x:c>
      <x:c r="C22" s="35" t="str">
        <x:v>P18 se enlaza con P19 por tarea y con la cobertura de tareas.</x:v>
      </x:c>
      <x:c r="D22" s="35" t="str">
        <x:v>Podría confundirse habilitación con aplicación completa en todas las tareas.</x:v>
      </x:c>
      <x:c r="E22" s="35" t="str">
        <x:v>No se fuerza una transición por el mero hecho de encontrarla pendiente.</x:v>
      </x:c>
      <x:c r="F22" s="35" t="str">
        <x:v>El estado habilitado puede cambiar al invertir una transición mientras una tarea conserva todavía el mismo estado de parche de referencia.</x:v>
      </x:c>
      <x:c r="G22" s="35" t="str">
        <x:v>Un estado del mecanismo; la transición por tarea queda fuera de la proposición.</x:v>
      </x:c>
      <x:c r="H22" s="35" t="str">
        <x:v>P19</x:v>
      </x:c>
      <x:c r="I22" s="35" t="str">
        <x:v>B04 §§3, 5.2, 5.4</x:v>
      </x:c>
    </x:row>
    <x:row r="23" ht="47" customHeight="1">
      <x:c r="A23" s="35" t="str">
        <x:v>P19</x:v>
      </x:c>
      <x:c r="B23" s="35" t="str">
        <x:v>Las tareas pueden transitar en momentos diferentes.</x:v>
      </x:c>
      <x:c r="C23" s="35" t="str">
        <x:v>Cada tarea tiene un uso independiente; un estado global no se copia a todas.</x:v>
      </x:c>
      <x:c r="D23" s="35" t="str">
        <x:v>Una tarea puede seguir utilizando funciones anteriores mientras otras ya han transitado.</x:v>
      </x:c>
      <x:c r="E23" s="35" t="str">
        <x:v>Se evita forzar o reiniciar tareas que ya alcanzaron el objetivo.</x:v>
      </x:c>
      <x:c r="F23" s="35" t="str">
        <x:v>Con el mismo enabled, dos tareas pueden tener estados de parche distintos.</x:v>
      </x:c>
      <x:c r="G23" s="35" t="str">
        <x:v>Una tarea y una transición. La conjunción sobre todas las tareas es una composición.</x:v>
      </x:c>
      <x:c r="H23" s="35" t="str">
        <x:v>P18</x:v>
      </x:c>
      <x:c r="I23" s="35" t="str">
        <x:v>B04 §3</x:v>
      </x:c>
    </x:row>
    <x:row r="24" ht="47" customHeight="1">
      <x:c r="A24" s="35" t="str">
        <x:v>P20</x:v>
      </x:c>
      <x:c r="B24" s="35" t="str">
        <x:v>La terminación de un proceso no elimina todas las referencias conservadas por otros consumidores.</x:v>
      </x:c>
      <x:c r="C24" s="35" t="str">
        <x:v>La referencia se enlaza con el consumidor y la obligación de sustituir el recurso.</x:v>
      </x:c>
      <x:c r="D24" s="35" t="str">
        <x:v>Puede persistir utilización del recurso anterior o ser insegura su retirada.</x:v>
      </x:c>
      <x:c r="E24" s="35" t="str">
        <x:v>No se retira un recurso todavía referenciado ni se confunde mera dirección numérica con referencia vigente.</x:v>
      </x:c>
      <x:c r="F24" s="35" t="str">
        <x:v>El proceso principal puede terminar mientras otro consumidor conserva una referencia.</x:v>
      </x:c>
      <x:c r="G24" s="35" t="str">
        <x:v>Una relación consumidor–recurso. La existencia de referencia y el contenido del recurso son estados diferentes.</x:v>
      </x:c>
      <x:c r="H24" s="35" t="str">
        <x:v>P05</x:v>
      </x:c>
      <x:c r="I24" s="35" t="str">
        <x:v>T016; B04 §5.5; R025</x:v>
      </x:c>
    </x:row>
    <x:row r="25" ht="47" customHeight="1">
      <x:c r="A25" s="35" t="str">
        <x:v>P21</x:v>
      </x:c>
      <x:c r="B25" s="35" t="str">
        <x:v>Un estado conservado en memoria puede diferir del que se volvería a cargar desde su origen.</x:v>
      </x:c>
      <x:c r="C25" s="35" t="str">
        <x:v>El origen correcto no determina por sí solo la entrada utilizada.</x:v>
      </x:c>
      <x:c r="D25" s="35" t="str">
        <x:v>El consumidor podría seguir tomando decisiones con estado anterior pese a la actualización del origen.</x:v>
      </x:c>
      <x:c r="E25" s="35" t="str">
        <x:v>No se vacía toda caché ni se confunde ausencia de entrada con contenido obsoleto.</x:v>
      </x:c>
      <x:c r="F25" s="35" t="str">
        <x:v>El artefacto de origen puede ser idéntico y la entrada conservada diferente.</x:v>
      </x:c>
      <x:c r="G25" s="35" t="str">
        <x:v>Una entrada con un contenido semánticamente indivisible. Configuración efectiva se remite a P12; código utilizado a P06, sin doble conteo.</x:v>
      </x:c>
      <x:c r="H25" s="35" t="str">
        <x:v>P13</x:v>
      </x:c>
      <x:c r="I25" s="35" t="str">
        <x:v>B11, File Caching; B05 §4; R025</x:v>
      </x:c>
    </x:row>
    <x:row r="26" ht="47" customHeight="1">
      <x:c r="A26" s="35" t="str">
        <x:v>P22</x:v>
      </x:c>
      <x:c r="B26" s="35" t="str">
        <x:v>El artefacto correcto puede estar presente sin ser el que selecciona el cargador.</x:v>
      </x:c>
      <x:c r="C26" s="35" t="str">
        <x:v>Selección, contenido almacenado e imagen utilizada se contrastan por separado.</x:v>
      </x:c>
      <x:c r="D26" s="35" t="str">
        <x:v>Una próxima carga podría volver al artefacto anterior aunque el objetivo esté disponible.</x:v>
      </x:c>
      <x:c r="E26" s="35" t="str">
        <x:v>No se elimina una copia legítima por confundir presencia y prioridad de selección.</x:v>
      </x:c>
      <x:c r="F26" s="35" t="str">
        <x:v>Dos configuraciones de búsqueda pueden seleccionar archivos distintos con los mismos archivos almacenados.</x:v>
      </x:c>
      <x:c r="G26" s="35" t="str">
        <x:v>Una relación de selección resuelta; no promete que ocurra una carga futura.</x:v>
      </x:c>
      <x:c r="H26" s="35" t="str">
        <x:v>P13</x:v>
      </x:c>
      <x:c r="I26" s="35" t="str">
        <x:v>T008, Factors that affect searching; B03 §§3.10, 3.11, 3.21</x:v>
      </x:c>
    </x:row>
    <x:row r="27" ht="47" customHeight="1">
      <x:c r="A27" s="35" t="str">
        <x:v>P23</x:v>
      </x:c>
      <x:c r="B27" s="35" t="str">
        <x:v>La escritura visible y la sincronización comunicada tienen alcances diferentes.</x:v>
      </x:c>
      <x:c r="C27" s="35" t="str">
        <x:v>P13 describe contenido leído; P23 describe un resultado de sincronización identificado.</x:v>
      </x:c>
      <x:c r="D27" s="35" t="str">
        <x:v>Una lectura correcta podría confundirse con acreditación de persistencia bajo el modelo de fallo aplicable.</x:v>
      </x:c>
      <x:c r="E27" s="35" t="str">
        <x:v>No se ordenan sincronizaciones repetidas sin necesidad ni se atribuye durabilidad física ilimitada.</x:v>
      </x:c>
      <x:c r="F27" s="35" t="str">
        <x:v>La lectura del archivo puede ser correcta antes y después de una sincronización fallida.</x:v>
      </x:c>
      <x:c r="G27" s="35" t="str">
        <x:v>Un resultado comunicado. Metadatos, datos y dispositivo requieren identificación del alcance, no una garantía agregada.</x:v>
      </x:c>
      <x:c r="H27" s="35" t="str">
        <x:v>P13</x:v>
      </x:c>
      <x:c r="I27" s="35" t="str">
        <x:v>B06, Return value y Remarks; B07, Remarks; B11</x:v>
      </x:c>
    </x:row>
    <x:row r="28" ht="47" customHeight="1">
      <x:c r="A28" s="35" t="str">
        <x:v>P24</x:v>
      </x:c>
      <x:c r="B28" s="35" t="str">
        <x:v>Aceptar una operación diferida no demuestra su ejecución.</x:v>
      </x:c>
      <x:c r="C28" s="35" t="str">
        <x:v>La pendiente se enlaza con el archivo, su identidad y la condición de ejecución.</x:v>
      </x:c>
      <x:c r="D28" s="35" t="str">
        <x:v>El experto podría dar por aplicada una sustitución que sólo fue programada.</x:v>
      </x:c>
      <x:c r="E28" s="35" t="str">
        <x:v>La ausencia de pendiente tampoco demuestra éxito: la operación pudo cancelarse.</x:v>
      </x:c>
      <x:c r="F28" s="35" t="str">
        <x:v>La instalación puede comunicar éxito con o sin operación diferida pendiente.</x:v>
      </x:c>
      <x:c r="G28" s="35" t="str">
        <x:v>Una operación de un mecanismo, no todas las acciones pendientes del sistema.</x:v>
      </x:c>
      <x:c r="H28" s="35" t="str">
        <x:v>P02</x:v>
      </x:c>
      <x:c r="I28" s="35" t="str">
        <x:v>B12, MOVEFILE_DELAY_UNTIL_REBOOT y Remarks</x:v>
      </x:c>
    </x:row>
  </x:sheetData>
  <x:mergeCells>
    <x:mergeCell ref="A1:D1"/>
    <x:mergeCell ref="A2:F2"/>
  </x:mergeCells>
  <x:pageMargins left="0.7" right="0.7" top="0.75" bottom="0.75" header="0.3" footer="0.3"/>
  <x:tableParts count="1">
    <x:tablePart xmlns:r="http://schemas.openxmlformats.org/officeDocument/2006/relationships" r:id="Rfec905fd30f647f9"/>
  </x:tableParts>
</x:worksheet>
</file>

<file path=xl/worksheets/sheet70.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4" hidden="0" customWidth="1"/>
    <x:col min="2" max="2" width="22" hidden="0" customWidth="1"/>
    <x:col min="3" max="3" width="65" hidden="0" customWidth="1"/>
    <x:col min="4" max="4" width="88" hidden="0" customWidth="1"/>
    <x:col min="5" max="5" width="135" hidden="0" customWidth="1"/>
    <x:col min="6" max="6" width="68" hidden="0" customWidth="1"/>
  </x:cols>
  <x:sheetData>
    <x:row r="1" ht="34" customHeight="1">
      <x:c r="A1" s="36" t="str">
        <x:v>Cobertura y adjudicación de candidatos</x:v>
      </x:c>
      <x:c r="B1" s="35"/>
      <x:c r="C1" s="35"/>
      <x:c r="D1" s="35"/>
      <x:c r="E1" s="35"/>
      <x:c r="F1" s="35"/>
    </x:row>
    <x:row r="2" ht="46" customHeight="1">
      <x:c r="A2" s="37" t="str">
        <x:v>Veinte ámbitos, 36 candidatos adicionales, catorce controles, 31 distinciones y ocho clases de acción.</x:v>
      </x:c>
      <x:c r="B2" s="35"/>
      <x:c r="C2" s="35"/>
      <x:c r="D2" s="35"/>
      <x:c r="E2" s="35"/>
      <x:c r="F2" s="35"/>
    </x:row>
    <x:row r="3">
      <x:c r="A3" s="35"/>
      <x:c r="B3" s="35"/>
      <x:c r="C3" s="35"/>
      <x:c r="D3" s="35"/>
      <x:c r="E3" s="35"/>
      <x:c r="F3" s="35"/>
    </x:row>
    <x:row r="4" ht="42" customHeight="1">
      <x:c r="A4" s="39" t="str">
        <x:v>Tipo</x:v>
      </x:c>
      <x:c r="B4" s="39" t="str">
        <x:v>Identidad</x:v>
      </x:c>
      <x:c r="C4" s="39" t="str">
        <x:v>Necesidad examinada</x:v>
      </x:c>
      <x:c r="D4" s="39" t="str">
        <x:v>Representación o resolución</x:v>
      </x:c>
      <x:c r="E4" s="39" t="str">
        <x:v>Justificación y contraejemplo</x:v>
      </x:c>
      <x:c r="F4" s="39" t="str">
        <x:v>Fundamento</x:v>
      </x:c>
    </x:row>
    <x:row r="5" ht="47" customHeight="1">
      <x:c r="A5" s="35" t="str">
        <x:v>Ámbito</x:v>
      </x:c>
      <x:c r="B5" s="35" t="str">
        <x:v>A01</x:v>
      </x:c>
      <x:c r="C5" s="35" t="str">
        <x:v>Correspondencia del caso</x:v>
      </x:c>
      <x:c r="D5" s="35" t="str">
        <x:v>C01</x:v>
      </x:c>
      <x:c r="E5" s="35" t="str">
        <x:v>La igualdad nominal no acredita identidad; las precondiciones de plataforma se resuelven antes de activar los parámetros.</x:v>
      </x:c>
      <x:c r="F5" s="35" t="str">
        <x:v>T001 §3.2; B03 §§3.3–3.6</x:v>
      </x:c>
    </x:row>
    <x:row r="6" ht="47" customHeight="1">
      <x:c r="A6" s="35" t="str">
        <x:v>Ámbito</x:v>
      </x:c>
      <x:c r="B6" s="35" t="str">
        <x:v>A02</x:v>
      </x:c>
      <x:c r="C6" s="35" t="str">
        <x:v>Autenticidad y custodia</x:v>
      </x:c>
      <x:c r="D6" s="35" t="str">
        <x:v>C02, C14</x:v>
      </x:c>
      <x:c r="E6" s="35" t="str">
        <x:v>Una firma válida no implica autorización; una huella correcta no autentica al productor. Cada requisito se comprueba por separado.</x:v>
      </x:c>
      <x:c r="F6" s="35" t="str">
        <x:v>T001 §2.3.1; B03 §§3.7, 3.13, 3.15, 3.25</x:v>
      </x:c>
    </x:row>
    <x:row r="7" ht="43" customHeight="1">
      <x:c r="A7" s="35" t="str">
        <x:v>Ámbito</x:v>
      </x:c>
      <x:c r="B7" s="35" t="str">
        <x:v>A03</x:v>
      </x:c>
      <x:c r="C7" s="35" t="str">
        <x:v>Resultado de instalación</x:v>
      </x:c>
      <x:c r="D7" s="35" t="str">
        <x:v>P02, C03</x:v>
      </x:c>
      <x:c r="E7" s="35" t="str">
        <x:v>Se conserva el resultado completo del emisor y la correspondencia con el elemento instalado.</x:v>
      </x:c>
      <x:c r="F7" s="35" t="str">
        <x:v>T004–T006</x:v>
      </x:c>
    </x:row>
    <x:row r="8" ht="43" customHeight="1">
      <x:c r="A8" s="35" t="str">
        <x:v>Ámbito</x:v>
      </x:c>
      <x:c r="B8" s="35" t="str">
        <x:v>A04</x:v>
      </x:c>
      <x:c r="C8" s="35" t="str">
        <x:v>Reinicio del sistema</x:v>
      </x:c>
      <x:c r="D8" s="35" t="str">
        <x:v>P01, P03</x:v>
      </x:c>
      <x:c r="E8" s="35" t="str">
        <x:v>La necesidad y su cumplimiento no se fusionan.</x:v>
      </x:c>
      <x:c r="F8" s="35" t="str">
        <x:v>T002; T007</x:v>
      </x:c>
    </x:row>
    <x:row r="9" ht="43" customHeight="1">
      <x:c r="A9" s="35" t="str">
        <x:v>Ámbito</x:v>
      </x:c>
      <x:c r="B9" s="35" t="str">
        <x:v>A05</x:v>
      </x:c>
      <x:c r="C9" s="35" t="str">
        <x:v>Reinicio de programas</x:v>
      </x:c>
      <x:c r="D9" s="35" t="str">
        <x:v>P04, P05, P11, P17, P20</x:v>
      </x:c>
      <x:c r="E9" s="35" t="str">
        <x:v>La cadena completa impide aceptar la sola creación o terminación como reinicio suficiente.</x:v>
      </x:c>
      <x:c r="F9" s="35" t="str">
        <x:v>T009; T014–T016</x:v>
      </x:c>
    </x:row>
    <x:row r="10" ht="43" customHeight="1">
      <x:c r="A10" s="35" t="str">
        <x:v>Ámbito</x:v>
      </x:c>
      <x:c r="B10" s="35" t="str">
        <x:v>A06</x:v>
      </x:c>
      <x:c r="C10" s="35" t="str">
        <x:v>Estado de ejecutables</x:v>
      </x:c>
      <x:c r="D10" s="35" t="str">
        <x:v>P06, P13, P22</x:v>
      </x:c>
      <x:c r="E10" s="35" t="str">
        <x:v>Tres estados independientes, con perfil específico para bibliotecas, núcleo o firmware.</x:v>
      </x:c>
      <x:c r="F10" s="35" t="str">
        <x:v>T008; B02 §4; B03 §§3.10–3.13</x:v>
      </x:c>
    </x:row>
    <x:row r="11" ht="43" customHeight="1">
      <x:c r="A11" s="35" t="str">
        <x:v>Ámbito</x:v>
      </x:c>
      <x:c r="B11" s="35" t="str">
        <x:v>A07</x:v>
      </x:c>
      <x:c r="C11" s="35" t="str">
        <x:v>Configuración</x:v>
      </x:c>
      <x:c r="D11" s="35" t="str">
        <x:v>P12, P14, P16</x:v>
      </x:c>
      <x:c r="E11" s="35" t="str">
        <x:v>Las claves se individualizan; la configuración no se reduce al archivo completo.</x:v>
      </x:c>
      <x:c r="F11" s="35" t="str">
        <x:v>B01 §§3.2–3.4; F018 §3.4</x:v>
      </x:c>
    </x:row>
    <x:row r="12" ht="43" customHeight="1">
      <x:c r="A12" s="35" t="str">
        <x:v>Ámbito</x:v>
      </x:c>
      <x:c r="B12" s="35" t="str">
        <x:v>A08</x:v>
      </x:c>
      <x:c r="C12" s="35" t="str">
        <x:v>Parche en ejecución</x:v>
      </x:c>
      <x:c r="D12" s="35" t="str">
        <x:v>P18, P19, C05</x:v>
      </x:c>
      <x:c r="E12" s="35" t="str">
        <x:v>Se distinguen los estados por tarea y se cubren las tareas pertinentes; -1 no se convierte en 0.</x:v>
      </x:c>
      <x:c r="F12" s="35" t="str">
        <x:v>B04 §§3–5</x:v>
      </x:c>
    </x:row>
    <x:row r="13" ht="43" customHeight="1">
      <x:c r="A13" s="35" t="str">
        <x:v>Ámbito</x:v>
      </x:c>
      <x:c r="B13" s="35" t="str">
        <x:v>A09</x:v>
      </x:c>
      <x:c r="C13" s="35" t="str">
        <x:v>Estado residual</x:v>
      </x:c>
      <x:c r="D13" s="35" t="str">
        <x:v>P20, P21</x:v>
      </x:c>
      <x:c r="E13" s="35" t="str">
        <x:v>Se sigue cada consumidor y recurso pertinente. La palabra caché no justifica una limpieza indiscriminada.</x:v>
      </x:c>
      <x:c r="F13" s="35" t="str">
        <x:v>T016; B05 §4; B11</x:v>
      </x:c>
    </x:row>
    <x:row r="14" ht="43" customHeight="1">
      <x:c r="A14" s="35" t="str">
        <x:v>Ámbito</x:v>
      </x:c>
      <x:c r="B14" s="35" t="str">
        <x:v>A10</x:v>
      </x:c>
      <x:c r="C14" s="35" t="str">
        <x:v>Escritura y diferimiento</x:v>
      </x:c>
      <x:c r="D14" s="35" t="str">
        <x:v>P13, P23, P24</x:v>
      </x:c>
      <x:c r="E14" s="35" t="str">
        <x:v>Lectura, sincronización y programación diferida conservan evidencias separadas.</x:v>
      </x:c>
      <x:c r="F14" s="35" t="str">
        <x:v>B06; B07; B12</x:v>
      </x:c>
    </x:row>
    <x:row r="15" ht="43" customHeight="1">
      <x:c r="A15" s="35" t="str">
        <x:v>Ámbito</x:v>
      </x:c>
      <x:c r="B15" s="35" t="str">
        <x:v>A11</x:v>
      </x:c>
      <x:c r="C15" s="35" t="str">
        <x:v>Otros efectos exigidos</x:v>
      </x:c>
      <x:c r="D15" s="35" t="str">
        <x:v>P15 y registro de clases</x:v>
      </x:c>
      <x:c r="E15" s="35" t="str">
        <x:v>No se admite una clase nueva por texto libre; cada efecto se asigna al estado que lo acredita.</x:v>
      </x:c>
      <x:c r="F15" s="35" t="str">
        <x:v>T001 §2.3.2; B05 §§2–4</x:v>
      </x:c>
    </x:row>
    <x:row r="16" ht="43" customHeight="1">
      <x:c r="A16" s="35" t="str">
        <x:v>Ámbito</x:v>
      </x:c>
      <x:c r="B16" s="35" t="str">
        <x:v>A12</x:v>
      </x:c>
      <x:c r="C16" s="35" t="str">
        <x:v>Corrección íntegra</x:v>
      </x:c>
      <x:c r="D16" s="35" t="str">
        <x:v>P07, C04, C06</x:v>
      </x:c>
      <x:c r="E16" s="35" t="str">
        <x:v>Cada obligación de corrección se verifica; compilar o reconocer un fragmento no cierra el conjunto.</x:v>
      </x:c>
      <x:c r="F16" s="35" t="str">
        <x:v>B08 §1; B09 §1; F018 §4.3</x:v>
      </x:c>
    </x:row>
    <x:row r="17" ht="43" customHeight="1">
      <x:c r="A17" s="35" t="str">
        <x:v>Ámbito</x:v>
      </x:c>
      <x:c r="B17" s="35" t="str">
        <x:v>A13</x:v>
      </x:c>
      <x:c r="C17" s="35" t="str">
        <x:v>Alcance de observación</x:v>
      </x:c>
      <x:c r="D17" s="35" t="str">
        <x:v>C02, C06</x:v>
      </x:c>
      <x:c r="E17" s="35" t="str">
        <x:v>Casos favorables y desfavorables independientes del resultado esperado; límites de acceso explícitos.</x:v>
      </x:c>
      <x:c r="F17" s="35" t="str">
        <x:v>F018 §§4.3, 6.5, 7.3</x:v>
      </x:c>
    </x:row>
    <x:row r="18" ht="47" customHeight="1">
      <x:c r="A18" s="35" t="str">
        <x:v>Ámbito</x:v>
      </x:c>
      <x:c r="B18" s="35" t="str">
        <x:v>A14</x:v>
      </x:c>
      <x:c r="C18" s="35" t="str">
        <x:v>Instancias y dependencias</x:v>
      </x:c>
      <x:c r="D18" s="35" t="str">
        <x:v>C05 y usos independientes</x:v>
      </x:c>
      <x:c r="E18" s="35" t="str">
        <x:v>Cada sujeto posee su propio estado; el recorrido termina al cubrir todas las relaciones pertinentes o declarar una frontera responsable.</x:v>
      </x:c>
      <x:c r="F18" s="35" t="str">
        <x:v>T001 §3.2; B01 §3.3.3</x:v>
      </x:c>
    </x:row>
    <x:row r="19" ht="43" customHeight="1">
      <x:c r="A19" s="35" t="str">
        <x:v>Ámbito</x:v>
      </x:c>
      <x:c r="B19" s="35" t="str">
        <x:v>A15</x:v>
      </x:c>
      <x:c r="C19" s="35" t="str">
        <x:v>Pérdida de vigencia</x:v>
      </x:c>
      <x:c r="D19" s="35" t="str">
        <x:v>P08, P09, P10, P14, C07</x:v>
      </x:c>
      <x:c r="E19" s="35" t="str">
        <x:v>El cambio y retorno se conserva; una modificación sólo afecta a la evidencia dependiente de ella.</x:v>
      </x:c>
      <x:c r="F19" s="35" t="str">
        <x:v>T001 §2.3.4; B01 §3.3.4</x:v>
      </x:c>
    </x:row>
    <x:row r="20" ht="43" customHeight="1">
      <x:c r="A20" s="35" t="str">
        <x:v>Ámbito</x:v>
      </x:c>
      <x:c r="B20" s="35" t="str">
        <x:v>A16</x:v>
      </x:c>
      <x:c r="C20" s="35" t="str">
        <x:v>Efecto funcional y datos</x:v>
      </x:c>
      <x:c r="D20" s="35" t="str">
        <x:v>P07 por criterio; C08</x:v>
      </x:c>
      <x:c r="E20" s="35" t="str">
        <x:v>Los criterios se separan; una prueba de disponibilidad no sustituye una prueba de integridad.</x:v>
      </x:c>
      <x:c r="F20" s="35" t="str">
        <x:v>B01 §3.3.3; B10 §3.2</x:v>
      </x:c>
    </x:row>
    <x:row r="21" ht="43" customHeight="1">
      <x:c r="A21" s="35" t="str">
        <x:v>Ámbito</x:v>
      </x:c>
      <x:c r="B21" s="35" t="str">
        <x:v>A17</x:v>
      </x:c>
      <x:c r="C21" s="35" t="str">
        <x:v>Alternativas y recuperación</x:v>
      </x:c>
      <x:c r="D21" s="35" t="str">
        <x:v>C09; P07 por comprobación</x:v>
      </x:c>
      <x:c r="E21" s="35" t="str">
        <x:v>Se comparan resultados y perjuicios; ninguna alternativa cambia el hecho de si la corrección está acreditada.</x:v>
      </x:c>
      <x:c r="F21" s="35" t="str">
        <x:v>T001 §§3.3–3.5; B10 §§3.4, 4.3</x:v>
      </x:c>
    </x:row>
    <x:row r="22" ht="43" customHeight="1">
      <x:c r="A22" s="35" t="str">
        <x:v>Ámbito</x:v>
      </x:c>
      <x:c r="B22" s="35" t="str">
        <x:v>A18</x:v>
      </x:c>
      <x:c r="C22" s="35" t="str">
        <x:v>Tiempo y autorización</x:v>
      </x:c>
      <x:c r="D22" s="35" t="str">
        <x:v>C10, C11</x:v>
      </x:c>
      <x:c r="E22" s="35" t="str">
        <x:v>Una ventana disponible no constituye autorización; un permiso vencido no se conserva como vigente.</x:v>
      </x:c>
      <x:c r="F22" s="35" t="str">
        <x:v>B01 §§3.3.1–3.3.2; B10 §3.2</x:v>
      </x:c>
    </x:row>
    <x:row r="23" ht="47" customHeight="1">
      <x:c r="A23" s="35" t="str">
        <x:v>Ámbito</x:v>
      </x:c>
      <x:c r="B23" s="35" t="str">
        <x:v>A19</x:v>
      </x:c>
      <x:c r="C23" s="35" t="str">
        <x:v>Proporcionalidad</x:v>
      </x:c>
      <x:c r="D23" s="35" t="str">
        <x:v>C08, C12</x:v>
      </x:c>
      <x:c r="E23" s="35" t="str">
        <x:v>Se conserva la incertidumbre económica y lo no monetizable; no se sustituye el valor del servicio por el precio del equipo.</x:v>
      </x:c>
      <x:c r="F23" s="35" t="str">
        <x:v>R035; T001 §3.1; B10 §3.2</x:v>
      </x:c>
    </x:row>
    <x:row r="24" ht="47" customHeight="1">
      <x:c r="A24" s="35" t="str">
        <x:v>Ámbito</x:v>
      </x:c>
      <x:c r="B24" s="35" t="str">
        <x:v>A20</x:v>
      </x:c>
      <x:c r="C24" s="35" t="str">
        <x:v>Explicación y gobierno</x:v>
      </x:c>
      <x:c r="D24" s="35" t="str">
        <x:v>C13, C14</x:v>
      </x:c>
      <x:c r="E24" s="35" t="str">
        <x:v>El informe permite reconstruir el consejo; no se presenta como Frame SV antes de constituir su representación legítima.</x:v>
      </x:c>
      <x:c r="F24" s="35" t="str">
        <x:v>Acta del español; instrucción aprobada; contrato de atomicidad</x:v>
      </x:c>
    </x:row>
    <x:row r="25" ht="43" customHeight="1">
      <x:c r="A25" s="35" t="str">
        <x:v>Candidato</x:v>
      </x:c>
      <x:c r="B25" s="35" t="str">
        <x:v>R01</x:v>
      </x:c>
      <x:c r="C25" s="35" t="str">
        <x:v>Activo correctamente identificado</x:v>
      </x:c>
      <x:c r="D25" s="35" t="str">
        <x:v>Contexto; C01</x:v>
      </x:c>
      <x:c r="E25" s="35" t="str">
        <x:v>Es la identidad que hace admisible el caso; su defecto no representa el estado de la corrección.</x:v>
      </x:c>
      <x:c r="F25" s="35" t="str">
        <x:v>Adjudicación según contrato SV-AT</x:v>
      </x:c>
    </x:row>
    <x:row r="26" ht="47" customHeight="1">
      <x:c r="A26" s="35" t="str">
        <x:v>Candidato</x:v>
      </x:c>
      <x:c r="B26" s="35" t="str">
        <x:v>R02</x:v>
      </x:c>
      <x:c r="C26" s="35" t="str">
        <x:v>Actualización aplicable</x:v>
      </x:c>
      <x:c r="D26" s="35" t="str">
        <x:v>Control; C01</x:v>
      </x:c>
      <x:c r="E26" s="35" t="str">
        <x:v>La conjunción de arquitectura, precursor, versión y condiciones se resuelve antes de activar; no se comprime en un átomo.</x:v>
      </x:c>
      <x:c r="F26" s="35" t="str">
        <x:v>Adjudicación según contrato SV-AT</x:v>
      </x:c>
    </x:row>
    <x:row r="27" ht="43" customHeight="1">
      <x:c r="A27" s="35" t="str">
        <x:v>Candidato</x:v>
      </x:c>
      <x:c r="B27" s="35" t="str">
        <x:v>R03</x:v>
      </x:c>
      <x:c r="C27" s="35" t="str">
        <x:v>Firma válida</x:v>
      </x:c>
      <x:c r="D27" s="35" t="str">
        <x:v>Control; C02</x:v>
      </x:c>
      <x:c r="E27" s="35" t="str">
        <x:v>La admisión distingue comprobación criptográfica, identidad del firmante y autorización.</x:v>
      </x:c>
      <x:c r="F27" s="35" t="str">
        <x:v>Adjudicación según contrato SV-AT</x:v>
      </x:c>
    </x:row>
    <x:row r="28" ht="43" customHeight="1">
      <x:c r="A28" s="35" t="str">
        <x:v>Candidato</x:v>
      </x:c>
      <x:c r="B28" s="35" t="str">
        <x:v>R04</x:v>
      </x:c>
      <x:c r="C28" s="35" t="str">
        <x:v>Huella coincidente de evidencia</x:v>
      </x:c>
      <x:c r="D28" s="35" t="str">
        <x:v>Control; C02</x:v>
      </x:c>
      <x:c r="E28" s="35" t="str">
        <x:v>Identifica bytes de prueba; no es el estado del activo ni autentica el productor.</x:v>
      </x:c>
      <x:c r="F28" s="35" t="str">
        <x:v>Adjudicación según contrato SV-AT</x:v>
      </x:c>
    </x:row>
    <x:row r="29" ht="43" customHeight="1">
      <x:c r="A29" s="35" t="str">
        <x:v>Candidato</x:v>
      </x:c>
      <x:c r="B29" s="35" t="str">
        <x:v>R05</x:v>
      </x:c>
      <x:c r="C29" s="35" t="str">
        <x:v>Prueba procedente de autoridad válida</x:v>
      </x:c>
      <x:c r="D29" s="35" t="str">
        <x:v>Control; C02</x:v>
      </x:c>
      <x:c r="E29" s="35" t="str">
        <x:v>Controla qué evidencia se admite y conserva su motivo de rechazo.</x:v>
      </x:c>
      <x:c r="F29" s="35" t="str">
        <x:v>Adjudicación según contrato SV-AT</x:v>
      </x:c>
    </x:row>
    <x:row r="30" ht="43" customHeight="1">
      <x:c r="A30" s="35" t="str">
        <x:v>Candidato</x:v>
      </x:c>
      <x:c r="B30" s="35" t="str">
        <x:v>R06</x:v>
      </x:c>
      <x:c r="C30" s="35" t="str">
        <x:v>Referencia normativa vigente</x:v>
      </x:c>
      <x:c r="D30" s="35" t="str">
        <x:v>Control; C14</x:v>
      </x:c>
      <x:c r="E30" s="35" t="str">
        <x:v>La revisión del conocimiento requiere decisión humana y no altera Tri.</x:v>
      </x:c>
      <x:c r="F30" s="35" t="str">
        <x:v>Adjudicación según contrato SV-AT</x:v>
      </x:c>
    </x:row>
    <x:row r="31" ht="43" customHeight="1">
      <x:c r="A31" s="35" t="str">
        <x:v>Candidato</x:v>
      </x:c>
      <x:c r="B31" s="35" t="str">
        <x:v>R07</x:v>
      </x:c>
      <x:c r="C31" s="35" t="str">
        <x:v>Todos los archivos actualizados</x:v>
      </x:c>
      <x:c r="D31" s="35" t="str">
        <x:v>Composición; P13; C05</x:v>
      </x:c>
      <x:c r="E31" s="35" t="str">
        <x:v>Cada archivo mantiene su estado; se exige cobertura del conjunto.</x:v>
      </x:c>
      <x:c r="F31" s="35" t="str">
        <x:v>Adjudicación según contrato SV-AT</x:v>
      </x:c>
    </x:row>
    <x:row r="32" ht="43" customHeight="1">
      <x:c r="A32" s="35" t="str">
        <x:v>Candidato</x:v>
      </x:c>
      <x:c r="B32" s="35" t="str">
        <x:v>R08</x:v>
      </x:c>
      <x:c r="C32" s="35" t="str">
        <x:v>Todo el software reiniciado</x:v>
      </x:c>
      <x:c r="D32" s="35" t="str">
        <x:v>Composición; P04, P05, P11, P17, P20</x:v>
      </x:c>
      <x:c r="E32" s="35" t="str">
        <x:v>Agrupa obligaciones e instancias independientes.</x:v>
      </x:c>
      <x:c r="F32" s="35" t="str">
        <x:v>Adjudicación según contrato SV-AT</x:v>
      </x:c>
    </x:row>
    <x:row r="33" ht="47" customHeight="1">
      <x:c r="A33" s="35" t="str">
        <x:v>Candidato</x:v>
      </x:c>
      <x:c r="B33" s="35" t="str">
        <x:v>R09</x:v>
      </x:c>
      <x:c r="C33" s="35" t="str">
        <x:v>Proceso actualmente vivo</x:v>
      </x:c>
      <x:c r="D33" s="35" t="str">
        <x:v>Derivable en el perfil; P05, P11; historia de generación</x:v>
      </x:c>
      <x:c r="E33" s="35" t="str">
        <x:v>Para una generación con nacimiento y terminación completamente conocidos, la vida al corte se deriva. Si falta historia, la proposición no adquiere evidencia nueva por cambiarle el nombre.</x:v>
      </x:c>
      <x:c r="F33" s="35" t="str">
        <x:v>Adjudicación según contrato SV-AT</x:v>
      </x:c>
    </x:row>
    <x:row r="34" ht="43" customHeight="1">
      <x:c r="A34" s="35" t="str">
        <x:v>Candidato</x:v>
      </x:c>
      <x:c r="B34" s="35" t="str">
        <x:v>R10</x:v>
      </x:c>
      <x:c r="C34" s="35" t="str">
        <x:v>PID nuevo</x:v>
      </x:c>
      <x:c r="D34" s="35" t="str">
        <x:v>Observable; P11; T014</x:v>
      </x:c>
      <x:c r="E34" s="35" t="str">
        <x:v>Un PID aislado no identifica una generación nueva.</x:v>
      </x:c>
      <x:c r="F34" s="35" t="str">
        <x:v>Adjudicación según contrato SV-AT</x:v>
      </x:c>
    </x:row>
    <x:row r="35" ht="43" customHeight="1">
      <x:c r="A35" s="35" t="str">
        <x:v>Candidato</x:v>
      </x:c>
      <x:c r="B35" s="35" t="str">
        <x:v>R11</x:v>
      </x:c>
      <x:c r="C35" s="35" t="str">
        <x:v>Programa saludable</x:v>
      </x:c>
      <x:c r="D35" s="35" t="str">
        <x:v>Composición; P07 por función; C06</x:v>
      </x:c>
      <x:c r="E35" s="35" t="str">
        <x:v>Disponibilidad, corrección funcional e integridad pueden variar independientemente.</x:v>
      </x:c>
      <x:c r="F35" s="35" t="str">
        <x:v>Adjudicación según contrato SV-AT</x:v>
      </x:c>
    </x:row>
    <x:row r="36" ht="43" customHeight="1">
      <x:c r="A36" s="35" t="str">
        <x:v>Candidato</x:v>
      </x:c>
      <x:c r="B36" s="35" t="str">
        <x:v>R12</x:v>
      </x:c>
      <x:c r="C36" s="35" t="str">
        <x:v>Versión textual correcta</x:v>
      </x:c>
      <x:c r="D36" s="35" t="str">
        <x:v>Observable; P06, P13</x:v>
      </x:c>
      <x:c r="E36" s="35" t="str">
        <x:v>Una etiqueta no sustituye la identidad y el método exigidos.</x:v>
      </x:c>
      <x:c r="F36" s="35" t="str">
        <x:v>Adjudicación según contrato SV-AT</x:v>
      </x:c>
    </x:row>
    <x:row r="37" ht="43" customHeight="1">
      <x:c r="A37" s="35" t="str">
        <x:v>Candidato</x:v>
      </x:c>
      <x:c r="B37" s="35" t="str">
        <x:v>R13</x:v>
      </x:c>
      <x:c r="C37" s="35" t="str">
        <x:v>Firmware correcto</x:v>
      </x:c>
      <x:c r="D37" s="35" t="str">
        <x:v>Composición; P06, P13, P22, P07; C01</x:v>
      </x:c>
      <x:c r="E37" s="35" t="str">
        <x:v>Almacenamiento, selección, utilización y corrección son diferentes.</x:v>
      </x:c>
      <x:c r="F37" s="35" t="str">
        <x:v>Adjudicación según contrato SV-AT</x:v>
      </x:c>
    </x:row>
    <x:row r="38" ht="43" customHeight="1">
      <x:c r="A38" s="35" t="str">
        <x:v>Candidato</x:v>
      </x:c>
      <x:c r="B38" s="35" t="str">
        <x:v>R14</x:v>
      </x:c>
      <x:c r="C38" s="35" t="str">
        <x:v>Dirección de memoria reiniciada</x:v>
      </x:c>
      <x:c r="D38" s="35" t="str">
        <x:v>Observable; P20</x:v>
      </x:c>
      <x:c r="E38" s="35" t="str">
        <x:v>El valor numérico de una dirección no acredita identidad, vigencia ni uso del recurso.</x:v>
      </x:c>
      <x:c r="F38" s="35" t="str">
        <x:v>Adjudicación según contrato SV-AT</x:v>
      </x:c>
    </x:row>
    <x:row r="39" ht="43" customHeight="1">
      <x:c r="A39" s="35" t="str">
        <x:v>Candidato</x:v>
      </x:c>
      <x:c r="B39" s="35" t="str">
        <x:v>R15</x:v>
      </x:c>
      <x:c r="C39" s="35" t="str">
        <x:v>Caché completamente limpia</x:v>
      </x:c>
      <x:c r="D39" s="35" t="str">
        <x:v>Composición; P21; C05</x:v>
      </x:c>
      <x:c r="E39" s="35" t="str">
        <x:v>La pertinencia se establece por entradas y consumidores; vacío no significa correcto.</x:v>
      </x:c>
      <x:c r="F39" s="35" t="str">
        <x:v>Adjudicación según contrato SV-AT</x:v>
      </x:c>
    </x:row>
    <x:row r="40" ht="43" customHeight="1">
      <x:c r="A40" s="35" t="str">
        <x:v>Candidato</x:v>
      </x:c>
      <x:c r="B40" s="35" t="str">
        <x:v>R16</x:v>
      </x:c>
      <x:c r="C40" s="35" t="str">
        <x:v>Parche completo en todas las tareas</x:v>
      </x:c>
      <x:c r="D40" s="35" t="str">
        <x:v>Composición; P19; C05</x:v>
      </x:c>
      <x:c r="E40" s="35" t="str">
        <x:v>Conjunción de estados por tarea, no parámetro adicional.</x:v>
      </x:c>
      <x:c r="F40" s="35" t="str">
        <x:v>Adjudicación según contrato SV-AT</x:v>
      </x:c>
    </x:row>
    <x:row r="41" ht="43" customHeight="1">
      <x:c r="A41" s="35" t="str">
        <x:v>Candidato</x:v>
      </x:c>
      <x:c r="B41" s="35" t="str">
        <x:v>R17</x:v>
      </x:c>
      <x:c r="C41" s="35" t="str">
        <x:v>Transición terminada sin riesgo</x:v>
      </x:c>
      <x:c r="D41" s="35" t="str">
        <x:v>Composición; P19, P20; C06</x:v>
      </x:c>
      <x:c r="E41" s="35" t="str">
        <x:v>Estado de transición y seguridad de la operación no se fusionan.</x:v>
      </x:c>
      <x:c r="F41" s="35" t="str">
        <x:v>Adjudicación según contrato SV-AT</x:v>
      </x:c>
    </x:row>
    <x:row r="42" ht="47" customHeight="1">
      <x:c r="A42" s="35" t="str">
        <x:v>Candidato</x:v>
      </x:c>
      <x:c r="B42" s="35" t="str">
        <x:v>R18</x:v>
      </x:c>
      <x:c r="C42" s="35" t="str">
        <x:v>Valor -1 de patch_state</x:v>
      </x:c>
      <x:c r="D42" s="35" t="str">
        <x:v>Fuera del perfil; P19</x:v>
      </x:c>
      <x:c r="E42" s="35" t="str">
        <x:v>Fuera de transición no se interpreta como ausencia de parche. Es un estado del mecanismo que cambia la activación del perfil.</x:v>
      </x:c>
      <x:c r="F42" s="35" t="str">
        <x:v>Adjudicación según contrato SV-AT</x:v>
      </x:c>
    </x:row>
    <x:row r="43" ht="43" customHeight="1">
      <x:c r="A43" s="35" t="str">
        <x:v>Candidato</x:v>
      </x:c>
      <x:c r="B43" s="35" t="str">
        <x:v>R19</x:v>
      </x:c>
      <x:c r="C43" s="35" t="str">
        <x:v>Retirada y reversión equivalentes</x:v>
      </x:c>
      <x:c r="D43" s="35" t="str">
        <x:v>Desestimado; P08, P10, P09, P14</x:v>
      </x:c>
      <x:c r="E43" s="35" t="str">
        <x:v>Los mecanismos e historias difieren; no se crea un átomo que los equipare.</x:v>
      </x:c>
      <x:c r="F43" s="35" t="str">
        <x:v>Adjudicación según contrato SV-AT</x:v>
      </x:c>
    </x:row>
    <x:row r="44" ht="43" customHeight="1">
      <x:c r="A44" s="35" t="str">
        <x:v>Candidato</x:v>
      </x:c>
      <x:c r="B44" s="35" t="str">
        <x:v>R20</x:v>
      </x:c>
      <x:c r="C44" s="35" t="str">
        <x:v>Corrección íntegra de la vulnerabilidad</x:v>
      </x:c>
      <x:c r="D44" s="35" t="str">
        <x:v>Composición; C04, C05, C06; P07</x:v>
      </x:c>
      <x:c r="E44" s="35" t="str">
        <x:v>Es el resultado profesional que se debe justificar; hacerlo átomo ocultaría sus requisitos.</x:v>
      </x:c>
      <x:c r="F44" s="35" t="str">
        <x:v>Adjudicación según contrato SV-AT</x:v>
      </x:c>
    </x:row>
    <x:row r="45" ht="43" customHeight="1">
      <x:c r="A45" s="35" t="str">
        <x:v>Candidato</x:v>
      </x:c>
      <x:c r="B45" s="35" t="str">
        <x:v>R21</x:v>
      </x:c>
      <x:c r="C45" s="35" t="str">
        <x:v>Sin hallazgos de vulnerabilidad</x:v>
      </x:c>
      <x:c r="D45" s="35" t="str">
        <x:v>Resultado de prueba; P07; C06</x:v>
      </x:c>
      <x:c r="E45" s="35" t="str">
        <x:v>Sólo tiene sentido con cobertura y sensibilidad; no acredita ausencia universal.</x:v>
      </x:c>
      <x:c r="F45" s="35" t="str">
        <x:v>Adjudicación según contrato SV-AT</x:v>
      </x:c>
    </x:row>
    <x:row r="46" ht="43" customHeight="1">
      <x:c r="A46" s="35" t="str">
        <x:v>Candidato</x:v>
      </x:c>
      <x:c r="B46" s="35" t="str">
        <x:v>R22</x:v>
      </x:c>
      <x:c r="C46" s="35" t="str">
        <x:v>Conjunto de dependencias completo</x:v>
      </x:c>
      <x:c r="D46" s="35" t="str">
        <x:v>Control; C05</x:v>
      </x:c>
      <x:c r="E46" s="35" t="str">
        <x:v>La cobertura debe acreditarse mediante inventario y fronteras, no por un booleano autodeclarado.</x:v>
      </x:c>
      <x:c r="F46" s="35" t="str">
        <x:v>Adjudicación según contrato SV-AT</x:v>
      </x:c>
    </x:row>
    <x:row r="47" ht="43" customHeight="1">
      <x:c r="A47" s="35" t="str">
        <x:v>Candidato</x:v>
      </x:c>
      <x:c r="B47" s="35" t="str">
        <x:v>R23</x:v>
      </x:c>
      <x:c r="C47" s="35" t="str">
        <x:v>Observador suficientemente sensible</x:v>
      </x:c>
      <x:c r="D47" s="35" t="str">
        <x:v>Control; C06</x:v>
      </x:c>
      <x:c r="E47" s="35" t="str">
        <x:v>Se demuestra por pruebas pertinentes; no se permite que el resultado se autentique a sí mismo.</x:v>
      </x:c>
      <x:c r="F47" s="35" t="str">
        <x:v>Adjudicación según contrato SV-AT</x:v>
      </x:c>
    </x:row>
    <x:row r="48" ht="43" customHeight="1">
      <x:c r="A48" s="35" t="str">
        <x:v>Candidato</x:v>
      </x:c>
      <x:c r="B48" s="35" t="str">
        <x:v>R24</x:v>
      </x:c>
      <x:c r="C48" s="35" t="str">
        <x:v>Permiso para intervenir</x:v>
      </x:c>
      <x:c r="D48" s="35" t="str">
        <x:v>Control humano; C11</x:v>
      </x:c>
      <x:c r="E48" s="35" t="str">
        <x:v>Se conserva el acto de autorización, su alcance y vigencia; la IA no crea esa autoridad.</x:v>
      </x:c>
      <x:c r="F48" s="35" t="str">
        <x:v>Adjudicación según contrato SV-AT</x:v>
      </x:c>
    </x:row>
    <x:row r="49" ht="43" customHeight="1">
      <x:c r="A49" s="35" t="str">
        <x:v>Candidato</x:v>
      </x:c>
      <x:c r="B49" s="35" t="str">
        <x:v>R25</x:v>
      </x:c>
      <x:c r="C49" s="35" t="str">
        <x:v>Ventana suficiente</x:v>
      </x:c>
      <x:c r="D49" s="35" t="str">
        <x:v>Juicio y contexto; C10</x:v>
      </x:c>
      <x:c r="E49" s="35" t="str">
        <x:v>Depende de tiempos, dependencias y recuperación; sus magnitudes permanecen separadas.</x:v>
      </x:c>
      <x:c r="F49" s="35" t="str">
        <x:v>Adjudicación según contrato SV-AT</x:v>
      </x:c>
    </x:row>
    <x:row r="50" ht="43" customHeight="1">
      <x:c r="A50" s="35" t="str">
        <x:v>Candidato</x:v>
      </x:c>
      <x:c r="B50" s="35" t="str">
        <x:v>R26</x:v>
      </x:c>
      <x:c r="C50" s="35" t="str">
        <x:v>Coste proporcionado</x:v>
      </x:c>
      <x:c r="D50" s="35" t="str">
        <x:v>Juicio humano; C12</x:v>
      </x:c>
      <x:c r="E50" s="35" t="str">
        <x:v>No se convierte una valoración multicriterio en un estado técnico ni en suma arbitraria.</x:v>
      </x:c>
      <x:c r="F50" s="35" t="str">
        <x:v>Adjudicación según contrato SV-AT</x:v>
      </x:c>
    </x:row>
    <x:row r="51" ht="43" customHeight="1">
      <x:c r="A51" s="35" t="str">
        <x:v>Candidato</x:v>
      </x:c>
      <x:c r="B51" s="35" t="str">
        <x:v>R27</x:v>
      </x:c>
      <x:c r="C51" s="35" t="str">
        <x:v>Disponibilidad tras actualizar</x:v>
      </x:c>
      <x:c r="D51" s="35" t="str">
        <x:v>Resultado de prueba; P07 por criterio; C08</x:v>
      </x:c>
      <x:c r="E51" s="35" t="str">
        <x:v>Se comprueba la función concreta y el horizonte; no se presume por inicialización.</x:v>
      </x:c>
      <x:c r="F51" s="35" t="str">
        <x:v>Adjudicación según contrato SV-AT</x:v>
      </x:c>
    </x:row>
    <x:row r="52" ht="43" customHeight="1">
      <x:c r="A52" s="35" t="str">
        <x:v>Candidato</x:v>
      </x:c>
      <x:c r="B52" s="35" t="str">
        <x:v>R28</x:v>
      </x:c>
      <x:c r="C52" s="35" t="str">
        <x:v>Datos íntegros tras migrar</x:v>
      </x:c>
      <x:c r="D52" s="35" t="str">
        <x:v>Composición de criterios; P07 por invariante; AC07</x:v>
      </x:c>
      <x:c r="E52" s="35" t="str">
        <x:v>Los invariantes se fijan antes de probar y se separan si generan consecuencias independientes.</x:v>
      </x:c>
      <x:c r="F52" s="35" t="str">
        <x:v>Adjudicación según contrato SV-AT</x:v>
      </x:c>
    </x:row>
    <x:row r="53" ht="43" customHeight="1">
      <x:c r="A53" s="35" t="str">
        <x:v>Candidato</x:v>
      </x:c>
      <x:c r="B53" s="35" t="str">
        <x:v>R29</x:v>
      </x:c>
      <x:c r="C53" s="35" t="str">
        <x:v>Reversión segura garantizada</x:v>
      </x:c>
      <x:c r="D53" s="35" t="str">
        <x:v>Composición y referencia; C09; P07; C05</x:v>
      </x:c>
      <x:c r="E53" s="35" t="str">
        <x:v>Requiere capacidad de recuperación y alcance propios; no es permiso ni resultado del cambio.</x:v>
      </x:c>
      <x:c r="F53" s="35" t="str">
        <x:v>Adjudicación según contrato SV-AT</x:v>
      </x:c>
    </x:row>
    <x:row r="54" ht="43" customHeight="1">
      <x:c r="A54" s="35" t="str">
        <x:v>Candidato</x:v>
      </x:c>
      <x:c r="B54" s="35" t="str">
        <x:v>R30</x:v>
      </x:c>
      <x:c r="C54" s="35" t="str">
        <x:v>Durabilidad física garantizada</x:v>
      </x:c>
      <x:c r="D54" s="35" t="str">
        <x:v>Composición de garantías; P23; C02; C06</x:v>
      </x:c>
      <x:c r="E54" s="35" t="str">
        <x:v>El retorno de una operación no acredita todos los supuestos del dispositivo y del modelo de fallo.</x:v>
      </x:c>
      <x:c r="F54" s="35" t="str">
        <x:v>Adjudicación según contrato SV-AT</x:v>
      </x:c>
    </x:row>
    <x:row r="55" ht="43" customHeight="1">
      <x:c r="A55" s="35" t="str">
        <x:v>Candidato</x:v>
      </x:c>
      <x:c r="B55" s="35" t="str">
        <x:v>R31</x:v>
      </x:c>
      <x:c r="C55" s="35" t="str">
        <x:v>Sin operación pendiente, luego aplicada</x:v>
      </x:c>
      <x:c r="D55" s="35" t="str">
        <x:v>Desestimado; P24, P13</x:v>
      </x:c>
      <x:c r="E55" s="35" t="str">
        <x:v>La cancelación ofrece un contraejemplo; ausencia de pendiente no implica éxito.</x:v>
      </x:c>
      <x:c r="F55" s="35" t="str">
        <x:v>Adjudicación según contrato SV-AT</x:v>
      </x:c>
    </x:row>
    <x:row r="56" ht="43" customHeight="1">
      <x:c r="A56" s="35" t="str">
        <x:v>Candidato</x:v>
      </x:c>
      <x:c r="B56" s="35" t="str">
        <x:v>R32</x:v>
      </x:c>
      <x:c r="C56" s="35" t="str">
        <x:v>OT actualizado con reglas IT</x:v>
      </x:c>
      <x:c r="D56" s="35" t="str">
        <x:v>Fuera de alcance; CYO-14</x:v>
      </x:c>
      <x:c r="E56" s="35" t="str">
        <x:v>El proceso físico y su autoridad exigen otro universo; la frontera se declara.</x:v>
      </x:c>
      <x:c r="F56" s="35" t="str">
        <x:v>Adjudicación según contrato SV-AT</x:v>
      </x:c>
    </x:row>
    <x:row r="57" ht="47" customHeight="1">
      <x:c r="A57" s="35" t="str">
        <x:v>Candidato</x:v>
      </x:c>
      <x:c r="B57" s="35" t="str">
        <x:v>R33</x:v>
      </x:c>
      <x:c r="C57" s="35" t="str">
        <x:v>Modelo de IA robusto después de actualizar</x:v>
      </x:c>
      <x:c r="D57" s="35" t="str">
        <x:v>Fuera de alcance sustantivo; CYO-23; C09</x:v>
      </x:c>
      <x:c r="E57" s="35" t="str">
        <x:v>OP-CYB-001 puede seguir su artefacto de software; robustez, sesgo y privacidad necesitan criterios del universo de IA.</x:v>
      </x:c>
      <x:c r="F57" s="35" t="str">
        <x:v>Adjudicación según contrato SV-AT</x:v>
      </x:c>
    </x:row>
    <x:row r="58" ht="43" customHeight="1">
      <x:c r="A58" s="35" t="str">
        <x:v>Candidato</x:v>
      </x:c>
      <x:c r="B58" s="35" t="str">
        <x:v>R34</x:v>
      </x:c>
      <x:c r="C58" s="35" t="str">
        <x:v>Nuevo CVE obliga a cambiar automáticamente</x:v>
      </x:c>
      <x:c r="D58" s="35" t="str">
        <x:v>Desestimado; C14</x:v>
      </x:c>
      <x:c r="E58" s="35" t="str">
        <x:v>La adquisición externa no modifica por sí sola el conocimiento admitido.</x:v>
      </x:c>
      <x:c r="F58" s="35" t="str">
        <x:v>Adjudicación según contrato SV-AT</x:v>
      </x:c>
    </x:row>
    <x:row r="59" ht="43" customHeight="1">
      <x:c r="A59" s="35" t="str">
        <x:v>Candidato</x:v>
      </x:c>
      <x:c r="B59" s="35" t="str">
        <x:v>R35</x:v>
      </x:c>
      <x:c r="C59" s="35" t="str">
        <x:v>Puntuación única de seguridad</x:v>
      </x:c>
      <x:c r="D59" s="35" t="str">
        <x:v>Desestimado; C13</x:v>
      </x:c>
      <x:c r="E59" s="35" t="str">
        <x:v>Ocultaría incertidumbres, condiciones y consecuencias no compensables.</x:v>
      </x:c>
      <x:c r="F59" s="35" t="str">
        <x:v>Adjudicación según contrato SV-AT</x:v>
      </x:c>
    </x:row>
    <x:row r="60" ht="43" customHeight="1">
      <x:c r="A60" s="35" t="str">
        <x:v>Candidato</x:v>
      </x:c>
      <x:c r="B60" s="35" t="str">
        <x:v>R36</x:v>
      </x:c>
      <x:c r="C60" s="35" t="str">
        <x:v>Parámetro adicional para completar 25 posiciones</x:v>
      </x:c>
      <x:c r="D60" s="35" t="str">
        <x:v>Desestimado; Doctrina SV</x:v>
      </x:c>
      <x:c r="E60" s="35" t="str">
        <x:v>La geometría no crea una distinción profesional; no se añade relleno.</x:v>
      </x:c>
      <x:c r="F60" s="35" t="str">
        <x:v>Adjudicación según contrato SV-AT</x:v>
      </x:c>
    </x:row>
    <x:row r="61" ht="77" customHeight="1">
      <x:c r="A61" s="35" t="str">
        <x:v>Control</x:v>
      </x:c>
      <x:c r="B61" s="35" t="str">
        <x:v>C01</x:v>
      </x:c>
      <x:c r="C61" s="35" t="str">
        <x:v>Identidad y aplicabilidad</x:v>
      </x:c>
      <x:c r="D61" s="35" t="str">
        <x:v>Contexto, evidencia o gobierno</x:v>
      </x:c>
      <x:c r="E61" s="35" t="str">
        <x:v>Identificar activo, componente, vulnerabilidad, actualización, episodio y horizonte. Resolver por separado las condiciones del aviso aplicable: plataforma, arquitectura, versión, precursor y configuración. Si falta una condición decisiva, la aplicabilidad queda sin resolver. Una exclusión exige evidencia de que la regla no corresponde al caso. Contraejemplo: Nombre coincidente en otro equipo; paquete para otra arquitectura; condición desconocida.</x:v>
      </x:c>
      <x:c r="F61" s="35" t="str">
        <x:v>T001 §3.2; B03 §§3.3–3.6</x:v>
      </x:c>
    </x:row>
    <x:row r="62" ht="92" customHeight="1">
      <x:c r="A62" s="35" t="str">
        <x:v>Control</x:v>
      </x:c>
      <x:c r="B62" s="35" t="str">
        <x:v>C02</x:v>
      </x:c>
      <x:c r="C62" s="35" t="str">
        <x:v>Admisión de evidencia</x:v>
      </x:c>
      <x:c r="D62" s="35" t="str">
        <x:v>Contexto, evidencia o gobierno</x:v>
      </x:c>
      <x:c r="E62" s="35" t="str">
        <x:v>Conservar original, origen, productor, método, versión, permisos de observación, ámbito, instante, precisión, normalización y cadena de custodia. Verificar separadamente integridad, autenticidad y autorización. Conservar magnitudes exactas antes de conversión. Un defecto de admisión no se transforma en un estado del activo. Contraejemplo: Huella rehecha sobre evidencia falsificada; firma válida de autor no autorizado; lector sin permisos; tipo cambiado.</x:v>
      </x:c>
      <x:c r="F62" s="35" t="str">
        <x:v>T001 §2.3.1; F018 §7.4; B03 §§3.13, 3.15, 3.25</x:v>
      </x:c>
    </x:row>
    <x:row r="63" ht="77" customHeight="1">
      <x:c r="A63" s="35" t="str">
        <x:v>Control</x:v>
      </x:c>
      <x:c r="B63" s="35" t="str">
        <x:v>C03</x:v>
      </x:c>
      <x:c r="C63" s="35" t="str">
        <x:v>Correspondencia e interpretación de resultados</x:v>
      </x:c>
      <x:c r="D63" s="35" t="str">
        <x:v>Contexto, evidencia o gobierno</x:v>
      </x:c>
      <x:c r="E63" s="35" t="str">
        <x:v>Vincular cada resultado al intento y elemento originales. Conservar códigos y errores completos. Un éxito con errores exige analizar qué efectos se produjeron; no prueba éxito íntegro ni ausencia total de modificación. El fallo de instalación es un hecho distinto del fallo al observarla. Contraejemplo: Índice de otra colección; éxito agregado con elemento fallido; confusión entre error de operación y de lectura.</x:v>
      </x:c>
      <x:c r="F63" s="35" t="str">
        <x:v>T004–T006</x:v>
      </x:c>
    </x:row>
    <x:row r="64" ht="77" customHeight="1">
      <x:c r="A64" s="35" t="str">
        <x:v>Control</x:v>
      </x:c>
      <x:c r="B64" s="35" t="str">
        <x:v>C04</x:v>
      </x:c>
      <x:c r="C64" s="35" t="str">
        <x:v>Integridad de obligaciones</x:v>
      </x:c>
      <x:c r="D64" s="35" t="str">
        <x:v>Contexto, evidencia o gobierno</x:v>
      </x:c>
      <x:c r="E64" s="35" t="str">
        <x:v>Enumerar las obligaciones específicas y sus efectos exigidos. Cada obligación se asigna a una de las ocho clases y a estados de cumplimiento individualizados. Una lista vacía exige evidencia de que no existen acciones adicionales. Ninguna obligación pertinente queda sustituida por un texto genérico de suficiencia. Contraejemplo: Sólo se comprueba un efecto de una acción compuesta; lista vacía sin fuente; nueva clase añadida durante el consejo.</x:v>
      </x:c>
      <x:c r="F64" s="35" t="str">
        <x:v>T001 §2.3.2; B01 §3.3.2</x:v>
      </x:c>
    </x:row>
    <x:row r="65" ht="92" customHeight="1">
      <x:c r="A65" s="35" t="str">
        <x:v>Control</x:v>
      </x:c>
      <x:c r="B65" s="35" t="str">
        <x:v>C05</x:v>
      </x:c>
      <x:c r="C65" s="35" t="str">
        <x:v>Cobertura de sujetos y dependencias</x:v>
      </x:c>
      <x:c r="D65" s="35" t="str">
        <x:v>Contexto, evidencia o gobierno</x:v>
      </x:c>
      <x:c r="E65" s="35" t="str">
        <x:v>Conservar conjuntos finitos de componentes, consumidores, instancias y relaciones pertinentes. Recorrer las dependencias hasta que no aparezcan sujetos nuevos, conservando ciclos sin repetir nodos. Cada frontera externa identifica responsable, contrato y evidencia o insuficiencia. Un límite de búsqueda alcanzado no prueba cobertura. Contraejemplo: Segunda réplica omitida; recurso compartido sin titular; ciclo de dependencias; inventario vacío injustificado.</x:v>
      </x:c>
      <x:c r="F65" s="35" t="str">
        <x:v>T001 §3.2; B01 §3.3.3; B04 §3</x:v>
      </x:c>
    </x:row>
    <x:row r="66" ht="77" customHeight="1">
      <x:c r="A66" s="35" t="str">
        <x:v>Control</x:v>
      </x:c>
      <x:c r="B66" s="35" t="str">
        <x:v>C06</x:v>
      </x:c>
      <x:c r="C66" s="35" t="str">
        <x:v>Validez de la comprobación</x:v>
      </x:c>
      <x:c r="D66" s="35" t="str">
        <x:v>Contexto, evidencia o gobierno</x:v>
      </x:c>
      <x:c r="E66" s="35" t="str">
        <x:v>Fijar antes de probar el criterio unitario, su referencia, condiciones, observador, alcance y tolerancias justificadas. Contrastar casos que deben distinguirse y registrar falsos positivos y negativos. El resultado de una prueba no acredita por sí mismo la sensibilidad de su observador. Contraejemplo: Escáner sin acceso; versión detectada sin corrección íntegra; dos herramientas con igual limitación; criterio elegido después del resultado.</x:v>
      </x:c>
      <x:c r="F66" s="35" t="str">
        <x:v>F018 §§4.3, 6.5, 7.3; B08 §1; B09 §1</x:v>
      </x:c>
    </x:row>
    <x:row r="67" ht="92" customHeight="1">
      <x:c r="A67" s="35" t="str">
        <x:v>Control</x:v>
      </x:c>
      <x:c r="B67" s="35" t="str">
        <x:v>C07</x:v>
      </x:c>
      <x:c r="C67" s="35" t="str">
        <x:v>Vigencia y orden de los hechos</x:v>
      </x:c>
      <x:c r="D67" s="35" t="str">
        <x:v>Contexto, evidencia o gobierno</x:v>
      </x:c>
      <x:c r="E67" s="35" t="str">
        <x:v>Relacionar cada evidencia con sus objetos, condiciones e intervalo. Examinar cambios posteriores sólo en las dependencias que afectan al criterio. Conservar cambio y retorno. Una nueva escritura puede dejar fuera de alcance una sincronización anterior. Una comprobación posterior pertinente puede renovar la evidencia sin borrar la historia. Contraejemplo: Extremos iguales con cambio intermedio; sincronización de otra escritura; restauración fuera del ámbito de la prueba.</x:v>
      </x:c>
      <x:c r="F67" s="35" t="str">
        <x:v>T001 §2.3.4; B01 §§3.3.4, 3.4; B06</x:v>
      </x:c>
    </x:row>
    <x:row r="68" ht="77" customHeight="1">
      <x:c r="A68" s="35" t="str">
        <x:v>Control</x:v>
      </x:c>
      <x:c r="B68" s="35" t="str">
        <x:v>C08</x:v>
      </x:c>
      <x:c r="C68" s="35" t="str">
        <x:v>Impactos sobre servicios y datos</x:v>
      </x:c>
      <x:c r="D68" s="35" t="str">
        <x:v>Contexto, evidencia o gobierno</x:v>
      </x:c>
      <x:c r="E68" s="35" t="str">
        <x:v>Identificar funciones protegidas y consecuencias de indisponibilidad, degradación, pérdida de integridad o exposición. Separar datos observados, hipótesis y valoración humana. Un objetivo de recuperación no es una recuperación demostrada. Contraejemplo: Equipo barato del que depende un servicio de alto valor; impacto no monetizado convertido en cero.</x:v>
      </x:c>
      <x:c r="F68" s="35" t="str">
        <x:v>B01 §3.3.3; B10 §3.2</x:v>
      </x:c>
    </x:row>
    <x:row r="69" ht="77" customHeight="1">
      <x:c r="A69" s="35" t="str">
        <x:v>Control</x:v>
      </x:c>
      <x:c r="B69" s="35" t="str">
        <x:v>C09</x:v>
      </x:c>
      <x:c r="C69" s="35" t="str">
        <x:v>Comparación de alternativas</x:v>
      </x:c>
      <x:c r="D69" s="35" t="str">
        <x:v>Contexto, evidencia o gobierno</x:v>
      </x:c>
      <x:c r="E69" s="35" t="str">
        <x:v>Describir completar, aplazar con medidas, sustituir, aislar o recuperar cuando sean pertinentes. Comparar el efecto corrector, los perjuicios y los requisitos de cada opción. Una medida compensatoria o una aceptación de riesgo no se presenta como corrección realizada. Contraejemplo: Aislamiento tratado como parche aplicado; restauración propuesta sin conocer su capacidad o alcance.</x:v>
      </x:c>
      <x:c r="F69" s="35" t="str">
        <x:v>T001 §§3.3–3.5; B10 §§3.4, 4.3</x:v>
      </x:c>
    </x:row>
    <x:row r="70" ht="77" customHeight="1">
      <x:c r="A70" s="35" t="str">
        <x:v>Control</x:v>
      </x:c>
      <x:c r="B70" s="35" t="str">
        <x:v>C10</x:v>
      </x:c>
      <x:c r="C70" s="35" t="str">
        <x:v>Viabilidad temporal</x:v>
      </x:c>
      <x:c r="D70" s="35" t="str">
        <x:v>Contexto, evidencia o gobierno</x:v>
      </x:c>
      <x:c r="E70" s="35" t="str">
        <x:v>Declarar ventana, duración de actuación, validación y recuperación, con dependencias y márgenes justificados. Las estimaciones desconocidas se mantienen abiertas. Este análisis sólo se activa si el consejo contempla una actuación pendiente. Contraejemplo: Duración de reinicio considerada sin tiempo de recuperación; ventana disponible confundida con permiso.</x:v>
      </x:c>
      <x:c r="F70" s="35" t="str">
        <x:v>B10 §3.2; B01 §3.3.2</x:v>
      </x:c>
    </x:row>
    <x:row r="71" ht="77" customHeight="1">
      <x:c r="A71" s="35" t="str">
        <x:v>Control</x:v>
      </x:c>
      <x:c r="B71" s="35" t="str">
        <x:v>C11</x:v>
      </x:c>
      <x:c r="C71" s="35" t="str">
        <x:v>Autoridad concreta</x:v>
      </x:c>
      <x:c r="D71" s="35" t="str">
        <x:v>Contexto, evidencia o gobierno</x:v>
      </x:c>
      <x:c r="E71" s="35" t="str">
        <x:v>Identificar responsable, acto autorizado, objeto, alcance temporal y restricciones. El consejo no crea autorización. La revocación o caducidad de un permiso impide tratarlo como vigente. La admisión del conocimiento corresponde a la autoridad humana competente del proyecto. Contraejemplo: Permiso para otro activo; autorización vencida; IA que se concede una excepción.</x:v>
      </x:c>
      <x:c r="F71" s="35" t="str">
        <x:v>B01 §§3.3.1–3.3.2; SV-IN y mandato humano posterior</x:v>
      </x:c>
    </x:row>
    <x:row r="72" ht="77" customHeight="1">
      <x:c r="A72" s="35" t="str">
        <x:v>Control</x:v>
      </x:c>
      <x:c r="B72" s="35" t="str">
        <x:v>C12</x:v>
      </x:c>
      <x:c r="C72" s="35" t="str">
        <x:v>Proporcionalidad de coste y valor</x:v>
      </x:c>
      <x:c r="D72" s="35" t="str">
        <x:v>Contexto, evidencia o gobierno</x:v>
      </x:c>
      <x:c r="E72" s="35" t="str">
        <x:v>Comparar costes totales pertinentes y valor del servicio protegido en un mismo horizonte y con unidades compatibles. Evitar doble cómputo y probabilidades inventadas. Conservar perjuicios no monetizados. Presentar al experto alternativas no ordenables con la evidencia disponible. Contraejemplo: Coste de seguridad comparado sólo con precio del equipo; suma de pérdidas que representan el mismo perjuicio.</x:v>
      </x:c>
      <x:c r="F72" s="35" t="str">
        <x:v>R035; T001 §3.1; B10 §3.2; principio del Director</x:v>
      </x:c>
    </x:row>
    <x:row r="73" ht="77" customHeight="1">
      <x:c r="A73" s="35" t="str">
        <x:v>Control</x:v>
      </x:c>
      <x:c r="B73" s="35" t="str">
        <x:v>C13</x:v>
      </x:c>
      <x:c r="C73" s="35" t="str">
        <x:v>Dictamen explicado</x:v>
      </x:c>
      <x:c r="D73" s="35" t="str">
        <x:v>Contexto, evidencia o gobierno</x:v>
      </x:c>
      <x:c r="E73" s="35" t="str">
        <x:v>Conservar la cadena entre pregunta, fuente, regla, observación, estado, relación, incertidumbre y consecuencia. Identificar el destinatario responsable y el alcance de suficiencia. Un fallo técnico produce registro técnico, sin salida alternativa del dominio. No denominar Frame a un informe sin representación SV constituida. Contraejemplo: Conclusión sin relación causal declarada; suma de estados heterogéneos; incertidumbre omitida.</x:v>
      </x:c>
      <x:c r="F73" s="35" t="str">
        <x:v>SV-IN; SV-AT</x:v>
      </x:c>
    </x:row>
    <x:row r="74" ht="77" customHeight="1">
      <x:c r="A74" s="35" t="str">
        <x:v>Control</x:v>
      </x:c>
      <x:c r="B74" s="35" t="str">
        <x:v>C14</x:v>
      </x:c>
      <x:c r="C74" s="35" t="str">
        <x:v>Control de versiones del conocimiento</x:v>
      </x:c>
      <x:c r="D74" s="35" t="str">
        <x:v>Contexto, evidencia o gobierno</x:v>
      </x:c>
      <x:c r="E74" s="35" t="str">
        <x:v>Fijar las fuentes y reglas antes de cada evaluación. Adquirir novedades en una actividad separada y someter su admisión a decisión humana. Los cambios de catálogos externos pueden exigir revisión, pero no sustituyen automáticamente el conocimiento ni añaden valores a Tri. Contraejemplo: Uso de latest; cambio de CVE equiparado a técnica retirada de otro catálogo; actualización silenciosa de criterio.</x:v>
      </x:c>
      <x:c r="F74" s="35" t="str">
        <x:v>SV-IN §§5.4–5.5; mandato del Director</x:v>
      </x:c>
    </x:row>
    <x:row r="75" ht="43" customHeight="1">
      <x:c r="A75" s="35" t="str">
        <x:v>Distinción</x:v>
      </x:c>
      <x:c r="B75" s="35" t="str">
        <x:v>QCY-01-D1</x:v>
      </x:c>
      <x:c r="C75" s="35" t="str">
        <x:v>Identidad del activo</x:v>
      </x:c>
      <x:c r="D75" s="35" t="str">
        <x:v>C01</x:v>
      </x:c>
      <x:c r="E75" s="35" t="str">
        <x:v>Identidad antecedente conservada y resolución actual individualizada.</x:v>
      </x:c>
      <x:c r="F75" s="35" t="str">
        <x:v>Manifiesto antecedente; revisión v0.2</x:v>
      </x:c>
    </x:row>
    <x:row r="76" ht="43" customHeight="1">
      <x:c r="A76" s="35" t="str">
        <x:v>Distinción</x:v>
      </x:c>
      <x:c r="B76" s="35" t="str">
        <x:v>QCY-01-D2</x:v>
      </x:c>
      <x:c r="C76" s="35" t="str">
        <x:v>Componente y configuración</x:v>
      </x:c>
      <x:c r="D76" s="35" t="str">
        <x:v>C01, C05; P06, P12, P13, P16</x:v>
      </x:c>
      <x:c r="E76" s="35" t="str">
        <x:v>Identidad antecedente conservada y resolución actual individualizada.</x:v>
      </x:c>
      <x:c r="F76" s="35" t="str">
        <x:v>Manifiesto antecedente; revisión v0.2</x:v>
      </x:c>
    </x:row>
    <x:row r="77" ht="43" customHeight="1">
      <x:c r="A77" s="35" t="str">
        <x:v>Distinción</x:v>
      </x:c>
      <x:c r="B77" s="35" t="str">
        <x:v>QCY-01-D3</x:v>
      </x:c>
      <x:c r="C77" s="35" t="str">
        <x:v>Referencia de vulnerabilidad</x:v>
      </x:c>
      <x:c r="D77" s="35" t="str">
        <x:v>C01, C14</x:v>
      </x:c>
      <x:c r="E77" s="35" t="str">
        <x:v>Identidad antecedente conservada y resolución actual individualizada.</x:v>
      </x:c>
      <x:c r="F77" s="35" t="str">
        <x:v>Manifiesto antecedente; revisión v0.2</x:v>
      </x:c>
    </x:row>
    <x:row r="78" ht="43" customHeight="1">
      <x:c r="A78" s="35" t="str">
        <x:v>Distinción</x:v>
      </x:c>
      <x:c r="B78" s="35" t="str">
        <x:v>QCY-01-D4</x:v>
      </x:c>
      <x:c r="C78" s="35" t="str">
        <x:v>Aplicabilidad de la actualización</x:v>
      </x:c>
      <x:c r="D78" s="35" t="str">
        <x:v>C01, C02</x:v>
      </x:c>
      <x:c r="E78" s="35" t="str">
        <x:v>Identidad antecedente conservada y resolución actual individualizada.</x:v>
      </x:c>
      <x:c r="F78" s="35" t="str">
        <x:v>Manifiesto antecedente; revisión v0.2</x:v>
      </x:c>
    </x:row>
    <x:row r="79" ht="43" customHeight="1">
      <x:c r="A79" s="35" t="str">
        <x:v>Distinción</x:v>
      </x:c>
      <x:c r="B79" s="35" t="str">
        <x:v>QCY-02-D1</x:v>
      </x:c>
      <x:c r="C79" s="35" t="str">
        <x:v>Identidad del episodio</x:v>
      </x:c>
      <x:c r="D79" s="35" t="str">
        <x:v>C01, C03, C07</x:v>
      </x:c>
      <x:c r="E79" s="35" t="str">
        <x:v>Identidad antecedente conservada y resolución actual individualizada.</x:v>
      </x:c>
      <x:c r="F79" s="35" t="str">
        <x:v>Manifiesto antecedente; revisión v0.2</x:v>
      </x:c>
    </x:row>
    <x:row r="80" ht="43" customHeight="1">
      <x:c r="A80" s="35" t="str">
        <x:v>Distinción</x:v>
      </x:c>
      <x:c r="B80" s="35" t="str">
        <x:v>QCY-02-D2</x:v>
      </x:c>
      <x:c r="C80" s="35" t="str">
        <x:v>Integridad de la evidencia</x:v>
      </x:c>
      <x:c r="D80" s="35" t="str">
        <x:v>C02</x:v>
      </x:c>
      <x:c r="E80" s="35" t="str">
        <x:v>Identidad antecedente conservada y resolución actual individualizada.</x:v>
      </x:c>
      <x:c r="F80" s="35" t="str">
        <x:v>Manifiesto antecedente; revisión v0.2</x:v>
      </x:c>
    </x:row>
    <x:row r="81" ht="43" customHeight="1">
      <x:c r="A81" s="35" t="str">
        <x:v>Distinción</x:v>
      </x:c>
      <x:c r="B81" s="35" t="str">
        <x:v>QCY-02-D3</x:v>
      </x:c>
      <x:c r="C81" s="35" t="str">
        <x:v>Procedencia y admisión</x:v>
      </x:c>
      <x:c r="D81" s="35" t="str">
        <x:v>C02, C11, C14</x:v>
      </x:c>
      <x:c r="E81" s="35" t="str">
        <x:v>Identidad antecedente conservada y resolución actual individualizada.</x:v>
      </x:c>
      <x:c r="F81" s="35" t="str">
        <x:v>Manifiesto antecedente; revisión v0.2</x:v>
      </x:c>
    </x:row>
    <x:row r="82" ht="43" customHeight="1">
      <x:c r="A82" s="35" t="str">
        <x:v>Distinción</x:v>
      </x:c>
      <x:c r="B82" s="35" t="str">
        <x:v>QCY-03-D1</x:v>
      </x:c>
      <x:c r="C82" s="35" t="str">
        <x:v>Operación individual</x:v>
      </x:c>
      <x:c r="D82" s="35" t="str">
        <x:v>C03</x:v>
      </x:c>
      <x:c r="E82" s="35" t="str">
        <x:v>Identidad antecedente conservada y resolución actual individualizada.</x:v>
      </x:c>
      <x:c r="F82" s="35" t="str">
        <x:v>Manifiesto antecedente; revisión v0.2</x:v>
      </x:c>
    </x:row>
    <x:row r="83" ht="43" customHeight="1">
      <x:c r="A83" s="35" t="str">
        <x:v>Distinción</x:v>
      </x:c>
      <x:c r="B83" s="35" t="str">
        <x:v>QCY-03-D2</x:v>
      </x:c>
      <x:c r="C83" s="35" t="str">
        <x:v>Resultado terminal comunicado</x:v>
      </x:c>
      <x:c r="D83" s="35" t="str">
        <x:v>P02; C03</x:v>
      </x:c>
      <x:c r="E83" s="35" t="str">
        <x:v>Identidad antecedente conservada y resolución actual individualizada.</x:v>
      </x:c>
      <x:c r="F83" s="35" t="str">
        <x:v>Manifiesto antecedente; revisión v0.2</x:v>
      </x:c>
    </x:row>
    <x:row r="84" ht="43" customHeight="1">
      <x:c r="A84" s="35" t="str">
        <x:v>Distinción</x:v>
      </x:c>
      <x:c r="B84" s="35" t="str">
        <x:v>QCY-03-D3</x:v>
      </x:c>
      <x:c r="C84" s="35" t="str">
        <x:v>Errores asociados</x:v>
      </x:c>
      <x:c r="D84" s="35" t="str">
        <x:v>C03; P07 por criterio afectado</x:v>
      </x:c>
      <x:c r="E84" s="35" t="str">
        <x:v>Identidad antecedente conservada y resolución actual individualizada.</x:v>
      </x:c>
      <x:c r="F84" s="35" t="str">
        <x:v>Manifiesto antecedente; revisión v0.2</x:v>
      </x:c>
    </x:row>
    <x:row r="85" ht="43" customHeight="1">
      <x:c r="A85" s="35" t="str">
        <x:v>Distinción</x:v>
      </x:c>
      <x:c r="B85" s="35" t="str">
        <x:v>QCY-04-D1</x:v>
      </x:c>
      <x:c r="C85" s="35" t="str">
        <x:v>Necesidad de reinicio del sistema</x:v>
      </x:c>
      <x:c r="D85" s="35" t="str">
        <x:v>P01</x:v>
      </x:c>
      <x:c r="E85" s="35" t="str">
        <x:v>Identidad antecedente conservada y resolución actual individualizada.</x:v>
      </x:c>
      <x:c r="F85" s="35" t="str">
        <x:v>Manifiesto antecedente; revisión v0.2</x:v>
      </x:c>
    </x:row>
    <x:row r="86" ht="43" customHeight="1">
      <x:c r="A86" s="35" t="str">
        <x:v>Distinción</x:v>
      </x:c>
      <x:c r="B86" s="35" t="str">
        <x:v>QCY-04-D2</x:v>
      </x:c>
      <x:c r="C86" s="35" t="str">
        <x:v>Reinicio íntegro realizado</x:v>
      </x:c>
      <x:c r="D86" s="35" t="str">
        <x:v>P03</x:v>
      </x:c>
      <x:c r="E86" s="35" t="str">
        <x:v>Identidad antecedente conservada y resolución actual individualizada.</x:v>
      </x:c>
      <x:c r="F86" s="35" t="str">
        <x:v>Manifiesto antecedente; revisión v0.2</x:v>
      </x:c>
    </x:row>
    <x:row r="87" ht="43" customHeight="1">
      <x:c r="A87" s="35" t="str">
        <x:v>Distinción</x:v>
      </x:c>
      <x:c r="B87" s="35" t="str">
        <x:v>QCY-04-D3</x:v>
      </x:c>
      <x:c r="C87" s="35" t="str">
        <x:v>Otros cambios requeridos</x:v>
      </x:c>
      <x:c r="D87" s="35" t="str">
        <x:v>P04, P15; C04; AC01–AC08</x:v>
      </x:c>
      <x:c r="E87" s="35" t="str">
        <x:v>Identidad antecedente conservada y resolución actual individualizada.</x:v>
      </x:c>
      <x:c r="F87" s="35" t="str">
        <x:v>Manifiesto antecedente; revisión v0.2</x:v>
      </x:c>
    </x:row>
    <x:row r="88" ht="43" customHeight="1">
      <x:c r="A88" s="35" t="str">
        <x:v>Distinción</x:v>
      </x:c>
      <x:c r="B88" s="35" t="str">
        <x:v>QCY-04-D4</x:v>
      </x:c>
      <x:c r="C88" s="35" t="str">
        <x:v>Cumplimiento de los cambios</x:v>
      </x:c>
      <x:c r="D88" s="35" t="str">
        <x:v>P05, P06, P07, P11–P13, P16–P24; C04, C05</x:v>
      </x:c>
      <x:c r="E88" s="35" t="str">
        <x:v>Identidad antecedente conservada y resolución actual individualizada.</x:v>
      </x:c>
      <x:c r="F88" s="35" t="str">
        <x:v>Manifiesto antecedente; revisión v0.2</x:v>
      </x:c>
    </x:row>
    <x:row r="89" ht="43" customHeight="1">
      <x:c r="A89" s="35" t="str">
        <x:v>Distinción</x:v>
      </x:c>
      <x:c r="B89" s="35" t="str">
        <x:v>QCY-05-D1</x:v>
      </x:c>
      <x:c r="C89" s="35" t="str">
        <x:v>Criterio de comprobación</x:v>
      </x:c>
      <x:c r="D89" s="35" t="str">
        <x:v>C06</x:v>
      </x:c>
      <x:c r="E89" s="35" t="str">
        <x:v>Identidad antecedente conservada y resolución actual individualizada.</x:v>
      </x:c>
      <x:c r="F89" s="35" t="str">
        <x:v>Manifiesto antecedente; revisión v0.2</x:v>
      </x:c>
    </x:row>
    <x:row r="90" ht="43" customHeight="1">
      <x:c r="A90" s="35" t="str">
        <x:v>Distinción</x:v>
      </x:c>
      <x:c r="B90" s="35" t="str">
        <x:v>QCY-05-D2</x:v>
      </x:c>
      <x:c r="C90" s="35" t="str">
        <x:v>Estado utilizado y estados relacionados</x:v>
      </x:c>
      <x:c r="D90" s="35" t="str">
        <x:v>P06, P12, P13, P16–P24; C05, C07</x:v>
      </x:c>
      <x:c r="E90" s="35" t="str">
        <x:v>Identidad antecedente conservada y resolución actual individualizada.</x:v>
      </x:c>
      <x:c r="F90" s="35" t="str">
        <x:v>Manifiesto antecedente; revisión v0.2</x:v>
      </x:c>
    </x:row>
    <x:row r="91" ht="43" customHeight="1">
      <x:c r="A91" s="35" t="str">
        <x:v>Distinción</x:v>
      </x:c>
      <x:c r="B91" s="35" t="str">
        <x:v>QCY-05-D3</x:v>
      </x:c>
      <x:c r="C91" s="35" t="str">
        <x:v>Resultado de la comprobación</x:v>
      </x:c>
      <x:c r="D91" s="35" t="str">
        <x:v>P07; C06</x:v>
      </x:c>
      <x:c r="E91" s="35" t="str">
        <x:v>Identidad antecedente conservada y resolución actual individualizada.</x:v>
      </x:c>
      <x:c r="F91" s="35" t="str">
        <x:v>Manifiesto antecedente; revisión v0.2</x:v>
      </x:c>
    </x:row>
    <x:row r="92" ht="43" customHeight="1">
      <x:c r="A92" s="35" t="str">
        <x:v>Distinción</x:v>
      </x:c>
      <x:c r="B92" s="35" t="str">
        <x:v>QCY-06-D1</x:v>
      </x:c>
      <x:c r="C92" s="35" t="str">
        <x:v>Servicio afectado</x:v>
      </x:c>
      <x:c r="D92" s="35" t="str">
        <x:v>C05, C08</x:v>
      </x:c>
      <x:c r="E92" s="35" t="str">
        <x:v>Identidad antecedente conservada y resolución actual individualizada.</x:v>
      </x:c>
      <x:c r="F92" s="35" t="str">
        <x:v>Manifiesto antecedente; revisión v0.2</x:v>
      </x:c>
    </x:row>
    <x:row r="93" ht="43" customHeight="1">
      <x:c r="A93" s="35" t="str">
        <x:v>Distinción</x:v>
      </x:c>
      <x:c r="B93" s="35" t="str">
        <x:v>QCY-06-D2</x:v>
      </x:c>
      <x:c r="C93" s="35" t="str">
        <x:v>Dependencias</x:v>
      </x:c>
      <x:c r="D93" s="35" t="str">
        <x:v>C05; P20 por relación pertinente</x:v>
      </x:c>
      <x:c r="E93" s="35" t="str">
        <x:v>Identidad antecedente conservada y resolución actual individualizada.</x:v>
      </x:c>
      <x:c r="F93" s="35" t="str">
        <x:v>Manifiesto antecedente; revisión v0.2</x:v>
      </x:c>
    </x:row>
    <x:row r="94" ht="43" customHeight="1">
      <x:c r="A94" s="35" t="str">
        <x:v>Distinción</x:v>
      </x:c>
      <x:c r="B94" s="35" t="str">
        <x:v>QCY-06-D3</x:v>
      </x:c>
      <x:c r="C94" s="35" t="str">
        <x:v>Consecuencias de interrupción</x:v>
      </x:c>
      <x:c r="D94" s="35" t="str">
        <x:v>C08, C10, C12</x:v>
      </x:c>
      <x:c r="E94" s="35" t="str">
        <x:v>Identidad antecedente conservada y resolución actual individualizada.</x:v>
      </x:c>
      <x:c r="F94" s="35" t="str">
        <x:v>Manifiesto antecedente; revisión v0.2</x:v>
      </x:c>
    </x:row>
    <x:row r="95" ht="43" customHeight="1">
      <x:c r="A95" s="35" t="str">
        <x:v>Distinción</x:v>
      </x:c>
      <x:c r="B95" s="35" t="str">
        <x:v>QCY-07-D1</x:v>
      </x:c>
      <x:c r="C95" s="35" t="str">
        <x:v>Alternativas</x:v>
      </x:c>
      <x:c r="D95" s="35" t="str">
        <x:v>C09</x:v>
      </x:c>
      <x:c r="E95" s="35" t="str">
        <x:v>Identidad antecedente conservada y resolución actual individualizada.</x:v>
      </x:c>
      <x:c r="F95" s="35" t="str">
        <x:v>Manifiesto antecedente; revisión v0.2</x:v>
      </x:c>
    </x:row>
    <x:row r="96" ht="43" customHeight="1">
      <x:c r="A96" s="35" t="str">
        <x:v>Distinción</x:v>
      </x:c>
      <x:c r="B96" s="35" t="str">
        <x:v>QCY-07-D2</x:v>
      </x:c>
      <x:c r="C96" s="35" t="str">
        <x:v>Ventana temporal</x:v>
      </x:c>
      <x:c r="D96" s="35" t="str">
        <x:v>C10</x:v>
      </x:c>
      <x:c r="E96" s="35" t="str">
        <x:v>Identidad antecedente conservada y resolución actual individualizada.</x:v>
      </x:c>
      <x:c r="F96" s="35" t="str">
        <x:v>Manifiesto antecedente; revisión v0.2</x:v>
      </x:c>
    </x:row>
    <x:row r="97" ht="43" customHeight="1">
      <x:c r="A97" s="35" t="str">
        <x:v>Distinción</x:v>
      </x:c>
      <x:c r="B97" s="35" t="str">
        <x:v>QCY-07-D3</x:v>
      </x:c>
      <x:c r="C97" s="35" t="str">
        <x:v>Autoridad para actuar</x:v>
      </x:c>
      <x:c r="D97" s="35" t="str">
        <x:v>C11</x:v>
      </x:c>
      <x:c r="E97" s="35" t="str">
        <x:v>Identidad antecedente conservada y resolución actual individualizada.</x:v>
      </x:c>
      <x:c r="F97" s="35" t="str">
        <x:v>Manifiesto antecedente; revisión v0.2</x:v>
      </x:c>
    </x:row>
    <x:row r="98" ht="43" customHeight="1">
      <x:c r="A98" s="35" t="str">
        <x:v>Distinción</x:v>
      </x:c>
      <x:c r="B98" s="35" t="str">
        <x:v>QCY-07-D4</x:v>
      </x:c>
      <x:c r="C98" s="35" t="str">
        <x:v>Balance de coste y valor</x:v>
      </x:c>
      <x:c r="D98" s="35" t="str">
        <x:v>C08, C12</x:v>
      </x:c>
      <x:c r="E98" s="35" t="str">
        <x:v>Identidad antecedente conservada y resolución actual individualizada.</x:v>
      </x:c>
      <x:c r="F98" s="35" t="str">
        <x:v>Manifiesto antecedente; revisión v0.2</x:v>
      </x:c>
    </x:row>
    <x:row r="99" ht="43" customHeight="1">
      <x:c r="A99" s="35" t="str">
        <x:v>Distinción</x:v>
      </x:c>
      <x:c r="B99" s="35" t="str">
        <x:v>QCY-08-D1</x:v>
      </x:c>
      <x:c r="C99" s="35" t="str">
        <x:v>Retirada y reversión</x:v>
      </x:c>
      <x:c r="D99" s="35" t="str">
        <x:v>P08; P06, P13, P18, P19 según mecanismo; C07</x:v>
      </x:c>
      <x:c r="E99" s="35" t="str">
        <x:v>Identidad antecedente conservada y resolución actual individualizada.</x:v>
      </x:c>
      <x:c r="F99" s="35" t="str">
        <x:v>Manifiesto antecedente; revisión v0.2</x:v>
      </x:c>
    </x:row>
    <x:row r="100" ht="43" customHeight="1">
      <x:c r="A100" s="35" t="str">
        <x:v>Distinción</x:v>
      </x:c>
      <x:c r="B100" s="35" t="str">
        <x:v>QCY-08-D2</x:v>
      </x:c>
      <x:c r="C100" s="35" t="str">
        <x:v>Cambio posterior de componente</x:v>
      </x:c>
      <x:c r="D100" s="35" t="str">
        <x:v>P09, P14; C07</x:v>
      </x:c>
      <x:c r="E100" s="35" t="str">
        <x:v>Identidad antecedente conservada y resolución actual individualizada.</x:v>
      </x:c>
      <x:c r="F100" s="35" t="str">
        <x:v>Manifiesto antecedente; revisión v0.2</x:v>
      </x:c>
    </x:row>
    <x:row r="101" ht="43" customHeight="1">
      <x:c r="A101" s="35" t="str">
        <x:v>Distinción</x:v>
      </x:c>
      <x:c r="B101" s="35" t="str">
        <x:v>QCY-08-D3</x:v>
      </x:c>
      <x:c r="C101" s="35" t="str">
        <x:v>Restauración anterior</x:v>
      </x:c>
      <x:c r="D101" s="35" t="str">
        <x:v>P10; C07, C09</x:v>
      </x:c>
      <x:c r="E101" s="35" t="str">
        <x:v>Identidad antecedente conservada y resolución actual individualizada.</x:v>
      </x:c>
      <x:c r="F101" s="35" t="str">
        <x:v>Manifiesto antecedente; revisión v0.2</x:v>
      </x:c>
    </x:row>
    <x:row r="102" ht="43" customHeight="1">
      <x:c r="A102" s="35" t="str">
        <x:v>Distinción</x:v>
      </x:c>
      <x:c r="B102" s="35" t="str">
        <x:v>QCY-09-D1</x:v>
      </x:c>
      <x:c r="C102" s="35" t="str">
        <x:v>Cobertura de dependencias</x:v>
      </x:c>
      <x:c r="D102" s="35" t="str">
        <x:v>C05</x:v>
      </x:c>
      <x:c r="E102" s="35" t="str">
        <x:v>Identidad antecedente conservada y resolución actual individualizada.</x:v>
      </x:c>
      <x:c r="F102" s="35" t="str">
        <x:v>Manifiesto antecedente; revisión v0.2</x:v>
      </x:c>
    </x:row>
    <x:row r="103" ht="43" customHeight="1">
      <x:c r="A103" s="35" t="str">
        <x:v>Distinción</x:v>
      </x:c>
      <x:c r="B103" s="35" t="str">
        <x:v>QCY-09-D2</x:v>
      </x:c>
      <x:c r="C103" s="35" t="str">
        <x:v>Incertidumbres</x:v>
      </x:c>
      <x:c r="D103" s="35" t="str">
        <x:v>U propia de cada parámetro; C02, C06, C13</x:v>
      </x:c>
      <x:c r="E103" s="35" t="str">
        <x:v>Identidad antecedente conservada y resolución actual individualizada.</x:v>
      </x:c>
      <x:c r="F103" s="35" t="str">
        <x:v>Manifiesto antecedente; revisión v0.2</x:v>
      </x:c>
    </x:row>
    <x:row r="104" ht="43" customHeight="1">
      <x:c r="A104" s="35" t="str">
        <x:v>Distinción</x:v>
      </x:c>
      <x:c r="B104" s="35" t="str">
        <x:v>QCY-09-D3</x:v>
      </x:c>
      <x:c r="C104" s="35" t="str">
        <x:v>Justificación del consejo</x:v>
      </x:c>
      <x:c r="D104" s="35" t="str">
        <x:v>C13, C14</x:v>
      </x:c>
      <x:c r="E104" s="35" t="str">
        <x:v>Identidad antecedente conservada y resolución actual individualizada.</x:v>
      </x:c>
      <x:c r="F104" s="35" t="str">
        <x:v>Manifiesto antecedente; revisión v0.2</x:v>
      </x:c>
    </x:row>
    <x:row r="105" ht="43" customHeight="1">
      <x:c r="A105" s="35" t="str">
        <x:v>Distinción</x:v>
      </x:c>
      <x:c r="B105" s="35" t="str">
        <x:v>QCY-09-D4</x:v>
      </x:c>
      <x:c r="C105" s="35" t="str">
        <x:v>Destinatario responsable</x:v>
      </x:c>
      <x:c r="D105" s="35" t="str">
        <x:v>C11, C13</x:v>
      </x:c>
      <x:c r="E105" s="35" t="str">
        <x:v>Identidad antecedente conservada y resolución actual individualizada.</x:v>
      </x:c>
      <x:c r="F105" s="35" t="str">
        <x:v>Manifiesto antecedente; revisión v0.2</x:v>
      </x:c>
    </x:row>
    <x:row r="106" ht="43" customHeight="1">
      <x:c r="A106" s="35" t="str">
        <x:v>Clase de acción</x:v>
      </x:c>
      <x:c r="B106" s="35" t="str">
        <x:v>AC01</x:v>
      </x:c>
      <x:c r="C106" s="35" t="str">
        <x:v>Reinicio del sistema</x:v>
      </x:c>
      <x:c r="D106" s="35" t="str">
        <x:v>P01; P03; P06 cuando corresponda</x:v>
      </x:c>
      <x:c r="E106" s="35" t="str">
        <x:v>Un reinicio solicitado no es un reinicio completado.</x:v>
      </x:c>
      <x:c r="F106" s="35" t="str">
        <x:v>T001 §2.3.2; perfiles citados en los parámetros</x:v>
      </x:c>
    </x:row>
    <x:row r="107" ht="43" customHeight="1">
      <x:c r="A107" s="35" t="str">
        <x:v>Clase de acción</x:v>
      </x:c>
      <x:c r="B107" s="35" t="str">
        <x:v>AC02</x:v>
      </x:c>
      <x:c r="C107" s="35" t="str">
        <x:v>Reinicio de un programa</x:v>
      </x:c>
      <x:c r="D107" s="35" t="str">
        <x:v>P04; P05, P11, P17, P06, P20 y P07 por función exigida</x:v>
      </x:c>
      <x:c r="E107" s="35" t="str">
        <x:v>No se exige detener consumidores ajenos al programa.</x:v>
      </x:c>
      <x:c r="F107" s="35" t="str">
        <x:v>T001 §2.3.2; perfiles citados en los parámetros</x:v>
      </x:c>
    </x:row>
    <x:row r="108" ht="43" customHeight="1">
      <x:c r="A108" s="35" t="str">
        <x:v>Clase de acción</x:v>
      </x:c>
      <x:c r="B108" s="35" t="str">
        <x:v>AC03</x:v>
      </x:c>
      <x:c r="C108" s="35" t="str">
        <x:v>Modificación de configuración</x:v>
      </x:c>
      <x:c r="D108" s="35" t="str">
        <x:v>P15; P12, P16, P14; P07 por efecto requerido</x:v>
      </x:c>
      <x:c r="E108" s="35" t="str">
        <x:v>Una clave por estado y ámbito.</x:v>
      </x:c>
      <x:c r="F108" s="35" t="str">
        <x:v>T001 §2.3.2; perfiles citados en los parámetros</x:v>
      </x:c>
    </x:row>
    <x:row r="109" ht="43" customHeight="1">
      <x:c r="A109" s="35" t="str">
        <x:v>Clase de acción</x:v>
      </x:c>
      <x:c r="B109" s="35" t="str">
        <x:v>AC04</x:v>
      </x:c>
      <x:c r="C109" s="35" t="str">
        <x:v>Sustitución o despliegue de artefacto</x:v>
      </x:c>
      <x:c r="D109" s="35" t="str">
        <x:v>P15; P13, P06, P22, P23; C05 para instancias</x:v>
      </x:c>
      <x:c r="E109" s="35" t="str">
        <x:v>La carga y la durabilidad no se deducen de una ruta de archivo.</x:v>
      </x:c>
      <x:c r="F109" s="35" t="str">
        <x:v>T001 §2.3.2; perfiles citados en los parámetros</x:v>
      </x:c>
    </x:row>
    <x:row r="110" ht="43" customHeight="1">
      <x:c r="A110" s="35" t="str">
        <x:v>Clase de acción</x:v>
      </x:c>
      <x:c r="B110" s="35" t="str">
        <x:v>AC05</x:v>
      </x:c>
      <x:c r="C110" s="35" t="str">
        <x:v>Aplicación de parche durante la ejecución</x:v>
      </x:c>
      <x:c r="D110" s="35" t="str">
        <x:v>P15; P18, P19, P20, P21; P07 por condición correctora</x:v>
      </x:c>
      <x:c r="E110" s="35" t="str">
        <x:v>La cobertura de tareas y el estado compartido se comprueban separadamente.</x:v>
      </x:c>
      <x:c r="F110" s="35" t="str">
        <x:v>T001 §2.3.2; perfiles citados en los parámetros</x:v>
      </x:c>
    </x:row>
    <x:row r="111" ht="43" customHeight="1">
      <x:c r="A111" s="35" t="str">
        <x:v>Clase de acción</x:v>
      </x:c>
      <x:c r="B111" s="35" t="str">
        <x:v>AC06</x:v>
      </x:c>
      <x:c r="C111" s="35" t="str">
        <x:v>Operación diferida de archivo</x:v>
      </x:c>
      <x:c r="D111" s="35" t="str">
        <x:v>P15; P24, P13, P23 y la condición de ejecución pertinente</x:v>
      </x:c>
      <x:c r="E111" s="35" t="str">
        <x:v>Ausencia de pendiente no acredita que la operación terminase con éxito.</x:v>
      </x:c>
      <x:c r="F111" s="35" t="str">
        <x:v>T001 §2.3.2; perfiles citados en los parámetros</x:v>
      </x:c>
    </x:row>
    <x:row r="112" ht="47" customHeight="1">
      <x:c r="A112" s="35" t="str">
        <x:v>Clase de acción</x:v>
      </x:c>
      <x:c r="B112" s="35" t="str">
        <x:v>AC07</x:v>
      </x:c>
      <x:c r="C112" s="35" t="str">
        <x:v>Actualización de estado derivado o compartido</x:v>
      </x:c>
      <x:c r="D112" s="35" t="str">
        <x:v>P15; P20, P21 y P07 por cada invariante funcional</x:v>
      </x:c>
      <x:c r="E112" s="35" t="str">
        <x:v>No se oculta una nueva clase de estado en un resultado global; las variables de configuración se asignan a P12/P16.</x:v>
      </x:c>
      <x:c r="F112" s="35" t="str">
        <x:v>T001 §2.3.2; perfiles citados en los parámetros</x:v>
      </x:c>
    </x:row>
    <x:row r="113" ht="43" customHeight="1">
      <x:c r="A113" s="35" t="str">
        <x:v>Clase de acción</x:v>
      </x:c>
      <x:c r="B113" s="35" t="str">
        <x:v>AC08</x:v>
      </x:c>
      <x:c r="C113" s="35" t="str">
        <x:v>Activación de imagen de firmware</x:v>
      </x:c>
      <x:c r="D113" s="35" t="str">
        <x:v>P15; P13, P22, P06; P07 por compatibilidad y efecto requeridos</x:v>
      </x:c>
      <x:c r="E113" s="35" t="str">
        <x:v>Perfil específico del dispositivo; una imagen descargada no acredita su activación.</x:v>
      </x:c>
      <x:c r="F113" s="35" t="str">
        <x:v>T001 §2.3.2; perfiles citados en los parámetros</x:v>
      </x:c>
    </x:row>
  </x:sheetData>
  <x:mergeCells>
    <x:mergeCell ref="A1:D1"/>
    <x:mergeCell ref="A2:F2"/>
  </x:mergeCells>
  <x:pageMargins left="0.7" right="0.7" top="0.75" bottom="0.75" header="0.3" footer="0.3"/>
  <x:tableParts count="1">
    <x:tablePart xmlns:r="http://schemas.openxmlformats.org/officeDocument/2006/relationships" r:id="R47cd86e85d6e4672"/>
  </x:tableParts>
</x:worksheet>
</file>

<file path=xl/worksheets/sheet71.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7" hidden="0" customWidth="1"/>
    <x:col min="2" max="2" width="48" hidden="0" customWidth="1"/>
    <x:col min="3" max="3" width="18" hidden="0" customWidth="1"/>
    <x:col min="4" max="4" width="18" hidden="0" customWidth="1"/>
    <x:col min="5" max="5" width="18" hidden="0" customWidth="1"/>
    <x:col min="6" max="6" width="20" hidden="0" customWidth="1"/>
    <x:col min="7" max="7" width="20" hidden="0" customWidth="1"/>
    <x:col min="8" max="8" width="20" hidden="0" customWidth="1"/>
    <x:col min="9" max="9" width="90" hidden="0" customWidth="1"/>
    <x:col min="10" max="10" width="110" hidden="0" customWidth="1"/>
    <x:col min="11" max="11" width="110" hidden="0" customWidth="1"/>
    <x:col min="12" max="12" width="60" hidden="0" customWidth="1"/>
  </x:cols>
  <x:sheetData>
    <x:row r="1" ht="34" customHeight="1">
      <x:c r="A1" s="36" t="str">
        <x:v>Dimensión prevista del dominio</x:v>
      </x:c>
      <x:c r="B1" s="35"/>
      <x:c r="C1" s="35"/>
      <x:c r="D1" s="35"/>
      <x:c r="E1" s="35"/>
      <x:c r="F1" s="35"/>
      <x:c r="G1" s="35"/>
      <x:c r="H1" s="35"/>
      <x:c r="I1" s="35"/>
      <x:c r="J1" s="35"/>
      <x:c r="K1" s="35"/>
      <x:c r="L1" s="35"/>
    </x:row>
    <x:row r="2" ht="46" customHeight="1">
      <x:c r="A2" s="37" t="str">
        <x:v>Escenarios de planificación. Las cantidades son hipótesis editables; sólo las 24 definiciones de OP-CYB-001 están constituidas.</x:v>
      </x:c>
      <x:c r="B2" s="35"/>
      <x:c r="C2" s="35"/>
      <x:c r="D2" s="35"/>
      <x:c r="E2" s="35"/>
      <x:c r="F2" s="35"/>
      <x:c r="G2" s="35"/>
      <x:c r="H2" s="35"/>
      <x:c r="I2" s="35"/>
      <x:c r="J2" s="35"/>
      <x:c r="K2" s="35"/>
      <x:c r="L2" s="35"/>
    </x:row>
    <x:row r="3">
      <x:c r="A3" s="35"/>
      <x:c r="B3" s="35"/>
      <x:c r="C3" s="35"/>
      <x:c r="D3" s="35"/>
      <x:c r="E3" s="35"/>
      <x:c r="F3" s="35"/>
      <x:c r="G3" s="35"/>
      <x:c r="H3" s="35"/>
      <x:c r="I3" s="35"/>
      <x:c r="J3" s="35"/>
      <x:c r="K3" s="35"/>
      <x:c r="L3" s="35"/>
    </x:row>
    <x:row r="4" ht="42" customHeight="1">
      <x:c r="A4" s="39" t="str">
        <x:v>Operación</x:v>
      </x:c>
      <x:c r="B4" s="39" t="str">
        <x:v>Familia profesional</x:v>
      </x:c>
      <x:c r="C4" s="39" t="str">
        <x:v>Universos compacto</x:v>
      </x:c>
      <x:c r="D4" s="39" t="str">
        <x:v>Universos central</x:v>
      </x:c>
      <x:c r="E4" s="39" t="str">
        <x:v>Universos amplio</x:v>
      </x:c>
      <x:c r="F4" s="39" t="str">
        <x:v>Adicionales compacto</x:v>
      </x:c>
      <x:c r="G4" s="39" t="str">
        <x:v>Adicionales central</x:v>
      </x:c>
      <x:c r="H4" s="39" t="str">
        <x:v>Adicionales amplio</x:v>
      </x:c>
      <x:c r="I4" s="39" t="str">
        <x:v>Justificación de partición</x:v>
      </x:c>
      <x:c r="J4" s="39" t="str">
        <x:v>Conocimiento de base</x:v>
      </x:c>
      <x:c r="K4" s="39" t="str">
        <x:v>Consecuencia de omitirlo</x:v>
      </x:c>
      <x:c r="L4" s="39" t="str">
        <x:v>Referencia educativa</x:v>
      </x:c>
    </x:row>
    <x:row r="5" ht="47" customHeight="1">
      <x:c r="A5" s="35" t="str">
        <x:v>CYO-01</x:v>
      </x:c>
      <x:c r="B5" s="35" t="str">
        <x:v>Riesgo y tratamiento</x:v>
      </x:c>
      <x:c r="C5" s="41" t="n">
        <x:v>1</x:v>
      </x:c>
      <x:c r="D5" s="41" t="n">
        <x:v>1</x:v>
      </x:c>
      <x:c r="E5" s="41" t="n">
        <x:v>2</x:v>
      </x:c>
      <x:c r="F5" s="41" t="n">
        <x:v>16</x:v>
      </x:c>
      <x:c r="G5" s="41" t="n">
        <x:v>24</x:v>
      </x:c>
      <x:c r="H5" s="41" t="n">
        <x:v>40</x:v>
      </x:c>
      <x:c r="I5" s="35" t="str">
        <x:v>Separación eventual entre valoración del riesgo y selección del tratamiento.</x:v>
      </x:c>
      <x:c r="J5" s="35" t="str">
        <x:v>Estimar con supuestos, comparar alternativas y justificar consecuencias</x:v>
      </x:c>
      <x:c r="K5" s="35" t="str">
        <x:v>Una cifra de riesgo puede ocultar costes, dependencias y pérdidas no consideradas.</x:v>
      </x:c>
      <x:c r="L5" s="35" t="str">
        <x:v>R035; IV: métodos, calibración, tratamiento y comunicación</x:v>
      </x:c>
    </x:row>
    <x:row r="6" ht="47" customHeight="1">
      <x:c r="A6" s="35" t="str">
        <x:v>CYO-02</x:v>
      </x:c>
      <x:c r="B6" s="35" t="str">
        <x:v>Arquitectura segura</x:v>
      </x:c>
      <x:c r="C6" s="41" t="n">
        <x:v>1</x:v>
      </x:c>
      <x:c r="D6" s="41" t="n">
        <x:v>2</x:v>
      </x:c>
      <x:c r="E6" s="41" t="n">
        <x:v>3</x:v>
      </x:c>
      <x:c r="F6" s="41" t="n">
        <x:v>20</x:v>
      </x:c>
      <x:c r="G6" s="41" t="n">
        <x:v>32</x:v>
      </x:c>
      <x:c r="H6" s="41" t="n">
        <x:v>52</x:v>
      </x:c>
      <x:c r="I6" s="35" t="str">
        <x:v>Fronteras de confianza, aislamiento e integración pueden requerir productos distintos.</x:v>
      </x:c>
      <x:c r="J6" s="35" t="str">
        <x:v>Razonar sobre superficies, segmentación y dependencias</x:v>
      </x:c>
      <x:c r="K6" s="35" t="str">
        <x:v>Un control local puede dejar sin proteger una dependencia del servicio.</x:v>
      </x:c>
      <x:c r="L6" s="35" t="str">
        <x:v>R019; IV: seguridad de redes; complemento R029 redes/nube</x:v>
      </x:c>
    </x:row>
    <x:row r="7" ht="47" customHeight="1">
      <x:c r="A7" s="35" t="str">
        <x:v>CYO-03</x:v>
      </x:c>
      <x:c r="B7" s="35" t="str">
        <x:v>Acceso y privilegios</x:v>
      </x:c>
      <x:c r="C7" s="41" t="n">
        <x:v>1</x:v>
      </x:c>
      <x:c r="D7" s="41" t="n">
        <x:v>1</x:v>
      </x:c>
      <x:c r="E7" s="41" t="n">
        <x:v>2</x:v>
      </x:c>
      <x:c r="F7" s="41" t="n">
        <x:v>14</x:v>
      </x:c>
      <x:c r="G7" s="41" t="n">
        <x:v>22</x:v>
      </x:c>
      <x:c r="H7" s="41" t="n">
        <x:v>36</x:v>
      </x:c>
      <x:c r="I7" s="35" t="str">
        <x:v>Concesión, revisión y revocación; posible separación entre identidad y privilegio.</x:v>
      </x:c>
      <x:c r="J7" s="35" t="str">
        <x:v>Distinguir identidad, autenticación, autorización y privilegio efectivo</x:v>
      </x:c>
      <x:c r="K7" s="35" t="str">
        <x:v>Identificar al usuario no demuestra que deba disponer de ese acceso.</x:v>
      </x:c>
      <x:c r="L7" s="35" t="str">
        <x:v>R024; IV: acceso y seguridad de datos; contraste NICE T1548</x:v>
      </x:c>
    </x:row>
    <x:row r="8" ht="43" customHeight="1">
      <x:c r="A8" s="35" t="str">
        <x:v>CYO-04</x:v>
      </x:c>
      <x:c r="B8" s="35" t="str">
        <x:v>Evaluación técnica autorizada</x:v>
      </x:c>
      <x:c r="C8" s="41" t="n">
        <x:v>1</x:v>
      </x:c>
      <x:c r="D8" s="41" t="n">
        <x:v>2</x:v>
      </x:c>
      <x:c r="E8" s="41" t="n">
        <x:v>3</x:v>
      </x:c>
      <x:c r="F8" s="41" t="n">
        <x:v>18</x:v>
      </x:c>
      <x:c r="G8" s="41" t="n">
        <x:v>30</x:v>
      </x:c>
      <x:c r="H8" s="41" t="n">
        <x:v>48</x:v>
      </x:c>
      <x:c r="I8" s="35" t="str">
        <x:v>Configuración, aplicación y red presentan objetos y criterios diferentes.</x:v>
      </x:c>
      <x:c r="J8" s="35" t="str">
        <x:v>Diseñar y ejecutar pruebas delimitadas; informar incertidumbre</x:v>
      </x:c>
      <x:c r="K8" s="35" t="str">
        <x:v>Una prueba fuera de alcance puede producir daño sin autorización.</x:v>
      </x:c>
      <x:c r="L8" s="35" t="str">
        <x:v>R034; IV: alcance, fases y pruebas; R015 como base</x:v>
      </x:c>
    </x:row>
    <x:row r="9" ht="47" customHeight="1">
      <x:c r="A9" s="35" t="str">
        <x:v>CYO-05</x:v>
      </x:c>
      <x:c r="B9" s="35" t="str">
        <x:v>Entrega segura de software</x:v>
      </x:c>
      <x:c r="C9" s="41" t="n">
        <x:v>1</x:v>
      </x:c>
      <x:c r="D9" s="41" t="n">
        <x:v>2</x:v>
      </x:c>
      <x:c r="E9" s="41" t="n">
        <x:v>3</x:v>
      </x:c>
      <x:c r="F9" s="41" t="n">
        <x:v>20</x:v>
      </x:c>
      <x:c r="G9" s="41" t="n">
        <x:v>32</x:v>
      </x:c>
      <x:c r="H9" s="41" t="n">
        <x:v>50</x:v>
      </x:c>
      <x:c r="I9" s="35" t="str">
        <x:v>Construcción, dependencia y liberación; estados de procedencia y verificación propios.</x:v>
      </x:c>
      <x:c r="J9" s="35" t="str">
        <x:v>Rastrear defectos entre requisitos, código, pruebas y versión</x:v>
      </x:c>
      <x:c r="K9" s="35" t="str">
        <x:v>Probar otra construcción deja sin evidencia la entrega examinada.</x:v>
      </x:c>
      <x:c r="L9" s="35" t="str">
        <x:v>R028; IV: desarrollo y análisis seguro; R023 ingeniería</x:v>
      </x:c>
    </x:row>
    <x:row r="10" ht="47" customHeight="1">
      <x:c r="A10" s="35" t="str">
        <x:v>CYO-06</x:v>
      </x:c>
      <x:c r="B10" s="35" t="str">
        <x:v>Proveedor y dependencia</x:v>
      </x:c>
      <x:c r="C10" s="41" t="n">
        <x:v>1</x:v>
      </x:c>
      <x:c r="D10" s="41" t="n">
        <x:v>1</x:v>
      </x:c>
      <x:c r="E10" s="41" t="n">
        <x:v>2</x:v>
      </x:c>
      <x:c r="F10" s="41" t="n">
        <x:v>10</x:v>
      </x:c>
      <x:c r="G10" s="41" t="n">
        <x:v>18</x:v>
      </x:c>
      <x:c r="H10" s="41" t="n">
        <x:v>30</x:v>
      </x:c>
      <x:c r="I10" s="35" t="str">
        <x:v>Evaluación inicial y seguimiento contractual pueden separarse.</x:v>
      </x:c>
      <x:c r="J10" s="35" t="str">
        <x:v>Valorar dependencia, garantías verificables y responsabilidad</x:v>
      </x:c>
      <x:c r="K10" s="35" t="str">
        <x:v>Una dependencia no evaluada puede trasladar riesgo al servicio.</x:v>
      </x:c>
      <x:c r="L10" s="35" t="str">
        <x:v>R035; IV: transferencia y tratamiento; NICE OG-WRL-017 como contraste</x:v>
      </x:c>
    </x:row>
    <x:row r="11" ht="47" customHeight="1">
      <x:c r="A11" s="35" t="str">
        <x:v>CYO-07</x:v>
      </x:c>
      <x:c r="B11" s="35" t="str">
        <x:v>Clasificación de alertas</x:v>
      </x:c>
      <x:c r="C11" s="41" t="n">
        <x:v>1</x:v>
      </x:c>
      <x:c r="D11" s="41" t="n">
        <x:v>1</x:v>
      </x:c>
      <x:c r="E11" s="41" t="n">
        <x:v>1</x:v>
      </x:c>
      <x:c r="F11" s="41" t="n">
        <x:v>12</x:v>
      </x:c>
      <x:c r="G11" s="41" t="n">
        <x:v>18</x:v>
      </x:c>
      <x:c r="H11" s="41" t="n">
        <x:v>28</x:v>
      </x:c>
      <x:c r="I11" s="35" t="str">
        <x:v>Un producto de clasificación, con evidencia, contexto y errores diferenciados.</x:v>
      </x:c>
      <x:c r="J11" s="35" t="str">
        <x:v>Contrastar señales, calidad de evidencia y contexto de servicio</x:v>
      </x:c>
      <x:c r="K11" s="35" t="str">
        <x:v>Ausencia de señal puede confundirse con ausencia de actividad.</x:v>
      </x:c>
      <x:c r="L11" s="35" t="str">
        <x:v>R033; IV: SOC, correlación y gestión de incidentes</x:v>
      </x:c>
    </x:row>
    <x:row r="12" ht="43" customHeight="1">
      <x:c r="A12" s="35" t="str">
        <x:v>CYO-08</x:v>
      </x:c>
      <x:c r="B12" s="35" t="str">
        <x:v>Inteligencia de amenazas</x:v>
      </x:c>
      <x:c r="C12" s="41" t="n">
        <x:v>1</x:v>
      </x:c>
      <x:c r="D12" s="41" t="n">
        <x:v>1</x:v>
      </x:c>
      <x:c r="E12" s="41" t="n">
        <x:v>2</x:v>
      </x:c>
      <x:c r="F12" s="41" t="n">
        <x:v>12</x:v>
      </x:c>
      <x:c r="G12" s="41" t="n">
        <x:v>20</x:v>
      </x:c>
      <x:c r="H12" s="41" t="n">
        <x:v>32</x:v>
      </x:c>
      <x:c r="I12" s="35" t="str">
        <x:v>Producción analítica y aplicabilidad operativa de información recibida.</x:v>
      </x:c>
      <x:c r="J12" s="35" t="str">
        <x:v>Relacionar fuentes y contexto con una pregunta profesional</x:v>
      </x:c>
      <x:c r="K12" s="35" t="str">
        <x:v>Una atribución no sostenida puede orientar una defensa equivocada.</x:v>
      </x:c>
      <x:c r="L12" s="35" t="str">
        <x:v>R033; IV: inteligencia de amenazas</x:v>
      </x:c>
    </x:row>
    <x:row r="13" ht="43" customHeight="1">
      <x:c r="A13" s="35" t="str">
        <x:v>CYO-09</x:v>
      </x:c>
      <x:c r="B13" s="35" t="str">
        <x:v>Plan de respuesta</x:v>
      </x:c>
      <x:c r="C13" s="41" t="n">
        <x:v>1</x:v>
      </x:c>
      <x:c r="D13" s="41" t="n">
        <x:v>1</x:v>
      </x:c>
      <x:c r="E13" s="41" t="n">
        <x:v>1</x:v>
      </x:c>
      <x:c r="F13" s="41" t="n">
        <x:v>8</x:v>
      </x:c>
      <x:c r="G13" s="41" t="n">
        <x:v>14</x:v>
      </x:c>
      <x:c r="H13" s="41" t="n">
        <x:v>24</x:v>
      </x:c>
      <x:c r="I13" s="35" t="str">
        <x:v>Preparación y decisión del plan, separadas de la respuesta efectiva.</x:v>
      </x:c>
      <x:c r="J13" s="35" t="str">
        <x:v>Planificar contención y recuperación considerando efectos laterales</x:v>
      </x:c>
      <x:c r="K13" s="35" t="str">
        <x:v>Una medida puede interrumpir más de lo que protege.</x:v>
      </x:c>
      <x:c r="L13" s="35" t="str">
        <x:v>R033; IV: respuesta; R035 balance de tratamiento</x:v>
      </x:c>
    </x:row>
    <x:row r="14" ht="47" customHeight="1">
      <x:c r="A14" s="35" t="str">
        <x:v>CYO-10</x:v>
      </x:c>
      <x:c r="B14" s="35" t="str">
        <x:v>Análisis forense</x:v>
      </x:c>
      <x:c r="C14" s="41" t="n">
        <x:v>1</x:v>
      </x:c>
      <x:c r="D14" s="41" t="n">
        <x:v>2</x:v>
      </x:c>
      <x:c r="E14" s="41" t="n">
        <x:v>3</x:v>
      </x:c>
      <x:c r="F14" s="41" t="n">
        <x:v>18</x:v>
      </x:c>
      <x:c r="G14" s="41" t="n">
        <x:v>30</x:v>
      </x:c>
      <x:c r="H14" s="41" t="n">
        <x:v>48</x:v>
      </x:c>
      <x:c r="I14" s="35" t="str">
        <x:v>Adquisición, reconstrucción e interpretación pueden exigir productos diferentes.</x:v>
      </x:c>
      <x:c r="J14" s="35" t="str">
        <x:v>Separar original, copia, transformación, observación e interpretación</x:v>
      </x:c>
      <x:c r="K14" s="35" t="str">
        <x:v>Perder procedencia impide sostener una conclusión con esa evidencia.</x:v>
      </x:c>
      <x:c r="L14" s="35" t="str">
        <x:v>R033; IV: DFIR y cadena de custodia</x:v>
      </x:c>
    </x:row>
    <x:row r="15" ht="43" customHeight="1">
      <x:c r="A15" s="35" t="str">
        <x:v>CYO-11</x:v>
      </x:c>
      <x:c r="B15" s="35" t="str">
        <x:v>Preparación de recuperación</x:v>
      </x:c>
      <x:c r="C15" s="41" t="n">
        <x:v>1</x:v>
      </x:c>
      <x:c r="D15" s="41" t="n">
        <x:v>1</x:v>
      </x:c>
      <x:c r="E15" s="41" t="n">
        <x:v>2</x:v>
      </x:c>
      <x:c r="F15" s="41" t="n">
        <x:v>12</x:v>
      </x:c>
      <x:c r="G15" s="41" t="n">
        <x:v>20</x:v>
      </x:c>
      <x:c r="H15" s="41" t="n">
        <x:v>32</x:v>
      </x:c>
      <x:c r="I15" s="35" t="str">
        <x:v>Preparación y prueba del plan; no se cuenta la restauración efectiva aquí.</x:v>
      </x:c>
      <x:c r="J15" s="35" t="str">
        <x:v>Ensayar recuperación con dependencias, objetivos y límites</x:v>
      </x:c>
      <x:c r="K15" s="35" t="str">
        <x:v>Una copia existente puede resultar inútil al necesitar recuperación.</x:v>
      </x:c>
      <x:c r="L15" s="35" t="str">
        <x:v>R033; IV: BCP/DRP, RPO y RTO</x:v>
      </x:c>
    </x:row>
    <x:row r="16" ht="47" customHeight="1">
      <x:c r="A16" s="35" t="str">
        <x:v>CYO-12</x:v>
      </x:c>
      <x:c r="B16" s="35" t="str">
        <x:v>Cambio y mantenimiento</x:v>
      </x:c>
      <x:c r="C16" s="41" t="n">
        <x:v>1</x:v>
      </x:c>
      <x:c r="D16" s="41" t="n">
        <x:v>1</x:v>
      </x:c>
      <x:c r="E16" s="41" t="n">
        <x:v>2</x:v>
      </x:c>
      <x:c r="F16" s="41" t="n">
        <x:v>6</x:v>
      </x:c>
      <x:c r="G16" s="41" t="n">
        <x:v>10</x:v>
      </x:c>
      <x:c r="H16" s="41" t="n">
        <x:v>18</x:v>
      </x:c>
      <x:c r="I16" s="35" t="str">
        <x:v>Diseño y autorización del cambio; se descuenta el cierre por actualización ya constituido.</x:v>
      </x:c>
      <x:c r="J16" s="35" t="str">
        <x:v>Comprender ejecución y aislamiento; comprobar el efecto del cambio</x:v>
      </x:c>
      <x:c r="K16" s="35" t="str">
        <x:v>Documentar una configuración deseada no demuestra la efectiva.</x:v>
      </x:c>
      <x:c r="L16" s="35" t="str">
        <x:v>R025; IV: sistemas operativos; R019 configuración segura</x:v>
      </x:c>
    </x:row>
    <x:row r="17" ht="43" customHeight="1">
      <x:c r="A17" s="35" t="str">
        <x:v>CYO-13</x:v>
      </x:c>
      <x:c r="B17" s="35" t="str">
        <x:v>Protección criptográfica</x:v>
      </x:c>
      <x:c r="C17" s="41" t="n">
        <x:v>1</x:v>
      </x:c>
      <x:c r="D17" s="41" t="n">
        <x:v>2</x:v>
      </x:c>
      <x:c r="E17" s="41" t="n">
        <x:v>3</x:v>
      </x:c>
      <x:c r="F17" s="41" t="n">
        <x:v>18</x:v>
      </x:c>
      <x:c r="G17" s="41" t="n">
        <x:v>28</x:v>
      </x:c>
      <x:c r="H17" s="41" t="n">
        <x:v>44</x:v>
      </x:c>
      <x:c r="I17" s="35" t="str">
        <x:v>Selección y empleo, claves y validación de protocolos pueden separarse.</x:v>
      </x:c>
      <x:c r="J17" s="35" t="str">
        <x:v>Elegir y analizar construcciones según la propiedad necesaria</x:v>
      </x:c>
      <x:c r="K17" s="35" t="str">
        <x:v>Confundir hash, firma y cifrado puede dejar sin garantía el objetivo.</x:v>
      </x:c>
      <x:c r="L17" s="35" t="str">
        <x:v>R007; IV: cifrado, autenticación, hash y firma</x:v>
      </x:c>
    </x:row>
    <x:row r="18" ht="43" customHeight="1">
      <x:c r="A18" s="35" t="str">
        <x:v>CYO-14</x:v>
      </x:c>
      <x:c r="B18" s="35" t="str">
        <x:v>Seguridad de sistemas ciberfísicos</x:v>
      </x:c>
      <x:c r="C18" s="41" t="n">
        <x:v>1</x:v>
      </x:c>
      <x:c r="D18" s="41" t="n">
        <x:v>2</x:v>
      </x:c>
      <x:c r="E18" s="41" t="n">
        <x:v>3</x:v>
      </x:c>
      <x:c r="F18" s="41" t="n">
        <x:v>22</x:v>
      </x:c>
      <x:c r="G18" s="41" t="n">
        <x:v>36</x:v>
      </x:c>
      <x:c r="H18" s="41" t="n">
        <x:v>58</x:v>
      </x:c>
      <x:c r="I18" s="35" t="str">
        <x:v>Proceso físico, protección y mantenimiento; no extrapolación directa de IT.</x:v>
      </x:c>
      <x:c r="J18" s="35" t="str">
        <x:v>Analizar cascadas y compatibilidad entre seguridad y operación</x:v>
      </x:c>
      <x:c r="K18" s="35" t="str">
        <x:v>Una respuesta digital puede afectar a la continuidad o al proceso físico.</x:v>
      </x:c>
      <x:c r="L18" s="35" t="str">
        <x:v>R036; IV: infraestructuras e interdependencias</x:v>
      </x:c>
    </x:row>
    <x:row r="19" ht="47" customHeight="1">
      <x:c r="A19" s="35" t="str">
        <x:v>CYO-15</x:v>
      </x:c>
      <x:c r="B19" s="35" t="str">
        <x:v>Admisibilidad de un uso de IA</x:v>
      </x:c>
      <x:c r="C19" s="41" t="n">
        <x:v>1</x:v>
      </x:c>
      <x:c r="D19" s="41" t="n">
        <x:v>1</x:v>
      </x:c>
      <x:c r="E19" s="41" t="n">
        <x:v>1</x:v>
      </x:c>
      <x:c r="F19" s="41" t="n">
        <x:v>8</x:v>
      </x:c>
      <x:c r="G19" s="41" t="n">
        <x:v>14</x:v>
      </x:c>
      <x:c r="H19" s="41" t="n">
        <x:v>24</x:v>
      </x:c>
      <x:c r="I19" s="35" t="str">
        <x:v>Decisión sobre un uso concreto, diferenciada de la política general.</x:v>
      </x:c>
      <x:c r="J19" s="35" t="str">
        <x:v>Juzgar adecuación al uso con afectados, alternativas y límites</x:v>
      </x:c>
      <x:c r="K19" s="35" t="str">
        <x:v>Un modelo técnicamente válido puede ser improcedente para ese uso.</x:v>
      </x:c>
      <x:c r="L19" s="35" t="str">
        <x:v>M003; CLO: confianza, ética y evaluación; R037 gobierno</x:v>
      </x:c>
    </x:row>
    <x:row r="20" ht="43" customHeight="1">
      <x:c r="A20" s="35" t="str">
        <x:v>CYO-16</x:v>
      </x:c>
      <x:c r="B20" s="35" t="str">
        <x:v>Auditoría de controles</x:v>
      </x:c>
      <x:c r="C20" s="41" t="n">
        <x:v>1</x:v>
      </x:c>
      <x:c r="D20" s="41" t="n">
        <x:v>1</x:v>
      </x:c>
      <x:c r="E20" s="41" t="n">
        <x:v>2</x:v>
      </x:c>
      <x:c r="F20" s="41" t="n">
        <x:v>10</x:v>
      </x:c>
      <x:c r="G20" s="41" t="n">
        <x:v>16</x:v>
      </x:c>
      <x:c r="H20" s="41" t="n">
        <x:v>26</x:v>
      </x:c>
      <x:c r="I20" s="35" t="str">
        <x:v>Diseño y funcionamiento del control pueden dar productos diferentes.</x:v>
      </x:c>
      <x:c r="J20" s="35" t="str">
        <x:v>Planificar pruebas y sostener conclusiones frente a criterios</x:v>
      </x:c>
      <x:c r="K20" s="35" t="str">
        <x:v>Una comprobación superficial puede ocultar un incumplimiento material.</x:v>
      </x:c>
      <x:c r="L20" s="35" t="str">
        <x:v>R032; II/IV: auditoría y evidencia</x:v>
      </x:c>
    </x:row>
    <x:row r="21" ht="47" customHeight="1">
      <x:c r="A21" s="35" t="str">
        <x:v>CYO-17</x:v>
      </x:c>
      <x:c r="B21" s="35" t="str">
        <x:v>Privacidad y obligaciones</x:v>
      </x:c>
      <x:c r="C21" s="41" t="n">
        <x:v>1</x:v>
      </x:c>
      <x:c r="D21" s="41" t="n">
        <x:v>2</x:v>
      </x:c>
      <x:c r="E21" s="41" t="n">
        <x:v>3</x:v>
      </x:c>
      <x:c r="F21" s="41" t="n">
        <x:v>12</x:v>
      </x:c>
      <x:c r="G21" s="41" t="n">
        <x:v>22</x:v>
      </x:c>
      <x:c r="H21" s="41" t="n">
        <x:v>38</x:v>
      </x:c>
      <x:c r="I21" s="35" t="str">
        <x:v>Tratamiento de datos, derechos y obligaciones según jurisdicción y función.</x:v>
      </x:c>
      <x:c r="J21" s="35" t="str">
        <x:v>Distinguir regla aplicable, supuesto y autoridad</x:v>
      </x:c>
      <x:c r="K21" s="35" t="str">
        <x:v>Importar una obligación por analogía puede producir un consejo improcedente.</x:v>
      </x:c>
      <x:c r="L21" s="35" t="str">
        <x:v>R012; IV: derecho; textos vigentes concretos requieren examen propio</x:v>
      </x:c>
    </x:row>
    <x:row r="22" ht="47" customHeight="1">
      <x:c r="A22" s="35" t="str">
        <x:v>CYO-18</x:v>
      </x:c>
      <x:c r="B22" s="35" t="str">
        <x:v>Diseño curricular</x:v>
      </x:c>
      <x:c r="C22" s="41" t="n">
        <x:v>1</x:v>
      </x:c>
      <x:c r="D22" s="41" t="n">
        <x:v>1</x:v>
      </x:c>
      <x:c r="E22" s="41" t="n">
        <x:v>1</x:v>
      </x:c>
      <x:c r="F22" s="41" t="n">
        <x:v>8</x:v>
      </x:c>
      <x:c r="G22" s="41" t="n">
        <x:v>14</x:v>
      </x:c>
      <x:c r="H22" s="41" t="n">
        <x:v>24</x:v>
      </x:c>
      <x:c r="I22" s="35" t="str">
        <x:v>Resultados de aprendizaje, secuencia y cobertura del plan.</x:v>
      </x:c>
      <x:c r="J22" s="35" t="str">
        <x:v>Diseñar aprendizaje que permita justificar decisiones y sus consecuencias</x:v>
      </x:c>
      <x:c r="K22" s="35" t="str">
        <x:v>Un temario sin práctica evaluada no acredita juicio profesional.</x:v>
      </x:c>
      <x:c r="L22" s="35" t="str">
        <x:v>R040; II/IV/VII.A: integración y evaluación; NICE OG-WRL-003/004</x:v>
      </x:c>
    </x:row>
    <x:row r="23" ht="47" customHeight="1">
      <x:c r="A23" s="35" t="str">
        <x:v>CYO-19</x:v>
      </x:c>
      <x:c r="B23" s="35" t="str">
        <x:v>Investigación</x:v>
      </x:c>
      <x:c r="C23" s="41" t="n">
        <x:v>1</x:v>
      </x:c>
      <x:c r="D23" s="41" t="n">
        <x:v>1</x:v>
      </x:c>
      <x:c r="E23" s="41" t="n">
        <x:v>2</x:v>
      </x:c>
      <x:c r="F23" s="41" t="n">
        <x:v>12</x:v>
      </x:c>
      <x:c r="G23" s="41" t="n">
        <x:v>20</x:v>
      </x:c>
      <x:c r="H23" s="41" t="n">
        <x:v>34</x:v>
      </x:c>
      <x:c r="I23" s="35" t="str">
        <x:v>Diseño del contraste e interpretación; amenazas a la validez.</x:v>
      </x:c>
      <x:c r="J23" s="35" t="str">
        <x:v>Contrastar hipótesis y comunicar validez y límites</x:v>
      </x:c>
      <x:c r="K23" s="35" t="str">
        <x:v>Adoptar una novedad sin evaluar evidencia puede degradar el dominio.</x:v>
      </x:c>
      <x:c r="L23" s="35" t="str">
        <x:v>W016; Learning outcomes: método y lectura crítica; R040</x:v>
      </x:c>
    </x:row>
    <x:row r="24" ht="47" customHeight="1">
      <x:c r="A24" s="35" t="str">
        <x:v>CYO-20</x:v>
      </x:c>
      <x:c r="B24" s="35" t="str">
        <x:v>Investigación de ciberdelitos</x:v>
      </x:c>
      <x:c r="C24" s="41" t="n">
        <x:v>0</x:v>
      </x:c>
      <x:c r="D24" s="41" t="n">
        <x:v>0</x:v>
      </x:c>
      <x:c r="E24" s="41" t="n">
        <x:v>1</x:v>
      </x:c>
      <x:c r="F24" s="41" t="n">
        <x:v>0</x:v>
      </x:c>
      <x:c r="G24" s="41" t="n">
        <x:v>0</x:v>
      </x:c>
      <x:c r="H24" s="41" t="n">
        <x:v>28</x:v>
      </x:c>
      <x:c r="I24" s="35" t="str">
        <x:v>Sólo el escenario amplio incorpora la frontera institucional todavía condicionada.</x:v>
      </x:c>
      <x:c r="J24" s="35" t="str">
        <x:v>Distinguir análisis técnico, investigación legal y atribución</x:v>
      </x:c>
      <x:c r="K24" s="35" t="str">
        <x:v>Confundir un indicio técnico con culpabilidad excede la competencia.</x:v>
      </x:c>
      <x:c r="L24" s="35" t="str">
        <x:v>R012; Ancla educativa jurídica; NICE IN-WRL-001 aporta el rol profesional</x:v>
      </x:c>
    </x:row>
    <x:row r="25" ht="47" customHeight="1">
      <x:c r="A25" s="35" t="str">
        <x:v>CYO-21</x:v>
      </x:c>
      <x:c r="B25" s="35" t="str">
        <x:v>Autorización de operación</x:v>
      </x:c>
      <x:c r="C25" s="41" t="n">
        <x:v>1</x:v>
      </x:c>
      <x:c r="D25" s="41" t="n">
        <x:v>1</x:v>
      </x:c>
      <x:c r="E25" s="41" t="n">
        <x:v>1</x:v>
      </x:c>
      <x:c r="F25" s="41" t="n">
        <x:v>8</x:v>
      </x:c>
      <x:c r="G25" s="41" t="n">
        <x:v>14</x:v>
      </x:c>
      <x:c r="H25" s="41" t="n">
        <x:v>22</x:v>
      </x:c>
      <x:c r="I25" s="35" t="str">
        <x:v>Evidencia de suficiencia y aceptación expresa por la autoridad.</x:v>
      </x:c>
      <x:c r="J25" s="35" t="str">
        <x:v>Integrar dictámenes conservando quién acepta qué riesgo</x:v>
      </x:c>
      <x:c r="K25" s="35" t="str">
        <x:v>Una suma de informes no sustituye una decisión de autorización.</x:v>
      </x:c>
      <x:c r="L25" s="35" t="str">
        <x:v>R037; IV: gobierno; NICE OG-WRL-013 distingue autoridad</x:v>
      </x:c>
    </x:row>
    <x:row r="26" ht="47" customHeight="1">
      <x:c r="A26" s="35" t="str">
        <x:v>CYO-22</x:v>
      </x:c>
      <x:c r="B26" s="35" t="str">
        <x:v>Actividad educativa y evaluación</x:v>
      </x:c>
      <x:c r="C26" s="41" t="n">
        <x:v>1</x:v>
      </x:c>
      <x:c r="D26" s="41" t="n">
        <x:v>1</x:v>
      </x:c>
      <x:c r="E26" s="41" t="n">
        <x:v>1</x:v>
      </x:c>
      <x:c r="F26" s="41" t="n">
        <x:v>8</x:v>
      </x:c>
      <x:c r="G26" s="41" t="n">
        <x:v>12</x:v>
      </x:c>
      <x:c r="H26" s="41" t="n">
        <x:v>20</x:v>
      </x:c>
      <x:c r="I26" s="35" t="str">
        <x:v>Desempeño observado y retroalimentación; no se duplica el diseño curricular.</x:v>
      </x:c>
      <x:c r="J26" s="35" t="str">
        <x:v>Observar desempeño, justificar juicio y corregir carencias</x:v>
      </x:c>
      <x:c r="K26" s="35" t="str">
        <x:v>Una acreditación sin evidencia puede ocultar incapacidad para reconocer consecuencias.</x:v>
      </x:c>
      <x:c r="L26" s="35" t="str">
        <x:v>R038; II/IV/VII.A: proyecto formativo, tutores y memoria; M001</x:v>
      </x:c>
    </x:row>
    <x:row r="27" ht="47" customHeight="1">
      <x:c r="A27" s="35" t="str">
        <x:v>CYO-23</x:v>
      </x:c>
      <x:c r="B27" s="35" t="str">
        <x:v>Evaluación técnica de IA</x:v>
      </x:c>
      <x:c r="C27" s="41" t="n">
        <x:v>1</x:v>
      </x:c>
      <x:c r="D27" s="41" t="n">
        <x:v>2</x:v>
      </x:c>
      <x:c r="E27" s="41" t="n">
        <x:v>3</x:v>
      </x:c>
      <x:c r="F27" s="41" t="n">
        <x:v>24</x:v>
      </x:c>
      <x:c r="G27" s="41" t="n">
        <x:v>40</x:v>
      </x:c>
      <x:c r="H27" s="41" t="n">
        <x:v>64</x:v>
      </x:c>
      <x:c r="I27" s="35" t="str">
        <x:v>Robustez y seguridad, datos y privacidad, validez y comportamiento por población.</x:v>
      </x:c>
      <x:c r="J27" s="35" t="str">
        <x:v>Diseñar contrastes y juzgar generalización, ataques, errores y recursos</x:v>
      </x:c>
      <x:c r="K27" s="35" t="str">
        <x:v>Una buena métrica puede ocultar contaminación de datos o fallos relevantes para el uso.</x:v>
      </x:c>
      <x:c r="L27" s="35" t="str">
        <x:v>M002; CLO: extracción de características y evaluación; M003 robustez; M004 rendimiento</x:v>
      </x:c>
    </x:row>
    <x:row r="28" ht="43" customHeight="1">
      <x:c r="A28" s="35" t="str">
        <x:v>CYO-24</x:v>
      </x:c>
      <x:c r="B28" s="35" t="str">
        <x:v>Respuesta efectiva a incidentes</x:v>
      </x:c>
      <x:c r="C28" s="41" t="n">
        <x:v>1</x:v>
      </x:c>
      <x:c r="D28" s="41" t="n">
        <x:v>1</x:v>
      </x:c>
      <x:c r="E28" s="41" t="n">
        <x:v>2</x:v>
      </x:c>
      <x:c r="F28" s="41" t="n">
        <x:v>18</x:v>
      </x:c>
      <x:c r="G28" s="41" t="n">
        <x:v>30</x:v>
      </x:c>
      <x:c r="H28" s="41" t="n">
        <x:v>48</x:v>
      </x:c>
      <x:c r="I28" s="35" t="str">
        <x:v>Contención y erradicación pueden necesitar universos separados.</x:v>
      </x:c>
      <x:c r="J28" s="35" t="str">
        <x:v>Comprobar qué ocurrió tras actuar y conservar responsabilidad</x:v>
      </x:c>
      <x:c r="K28" s="35" t="str">
        <x:v>Confundir plan con efecto puede declarar contenido un incidente activo.</x:v>
      </x:c>
      <x:c r="L28" s="35" t="str">
        <x:v>R033; IV: ciclo de respuesta y coordinación</x:v>
      </x:c>
    </x:row>
    <x:row r="29" ht="43" customHeight="1">
      <x:c r="A29" s="35" t="str">
        <x:v>CYO-25</x:v>
      </x:c>
      <x:c r="B29" s="35" t="str">
        <x:v>Restauración y retorno al servicio</x:v>
      </x:c>
      <x:c r="C29" s="41" t="n">
        <x:v>1</x:v>
      </x:c>
      <x:c r="D29" s="41" t="n">
        <x:v>1</x:v>
      </x:c>
      <x:c r="E29" s="41" t="n">
        <x:v>2</x:v>
      </x:c>
      <x:c r="F29" s="41" t="n">
        <x:v>16</x:v>
      </x:c>
      <x:c r="G29" s="41" t="n">
        <x:v>26</x:v>
      </x:c>
      <x:c r="H29" s="41" t="n">
        <x:v>42</x:v>
      </x:c>
      <x:c r="I29" s="35" t="str">
        <x:v>Restauración, integridad y reanudación se distinguen de la preparación.</x:v>
      </x:c>
      <x:c r="J29" s="35" t="str">
        <x:v>Verificar estado recuperado y justificar condiciones de retorno</x:v>
      </x:c>
      <x:c r="K29" s="35" t="str">
        <x:v>Reabrir sin verificar dependencias puede reproducir el fallo o perder datos.</x:v>
      </x:c>
      <x:c r="L29" s="35" t="str">
        <x:v>R033; IV: recuperación; R036 dependencias</x:v>
      </x:c>
    </x:row>
    <x:row r="30" ht="47" customHeight="1">
      <x:c r="A30" s="35" t="str">
        <x:v>CYO-26</x:v>
      </x:c>
      <x:c r="B30" s="35" t="str">
        <x:v>Tratamiento de vulnerabilidades</x:v>
      </x:c>
      <x:c r="C30" s="41" t="n">
        <x:v>2</x:v>
      </x:c>
      <x:c r="D30" s="41" t="n">
        <x:v>3</x:v>
      </x:c>
      <x:c r="E30" s="41" t="n">
        <x:v>4</x:v>
      </x:c>
      <x:c r="F30" s="41" t="n">
        <x:v>12</x:v>
      </x:c>
      <x:c r="G30" s="41" t="n">
        <x:v>22</x:v>
      </x:c>
      <x:c r="H30" s="41" t="n">
        <x:v>36</x:v>
      </x:c>
      <x:c r="I30" s="35" t="str">
        <x:v>Incluye OP-CYB-001 ya constituido; además, priorización, tratamiento y excepciones según escenario.</x:v>
      </x:c>
      <x:c r="J30" s="35" t="str">
        <x:v>Relacionar evidencia técnica, exposición, impacto y coste de corrección</x:v>
      </x:c>
      <x:c r="K30" s="35" t="str">
        <x:v>Priorizar por una cifra aislada puede desplazar un riesgo más relevante.</x:v>
      </x:c>
      <x:c r="L30" s="35" t="str">
        <x:v>R035; IV: tratamiento; R034 hallazgos; NICE PD-WRL-007</x:v>
      </x:c>
    </x:row>
    <x:row r="31" ht="47" customHeight="1">
      <x:c r="A31" s="35" t="str">
        <x:v>CYO-27</x:v>
      </x:c>
      <x:c r="B31" s="35" t="str">
        <x:v>Validación de detección</x:v>
      </x:c>
      <x:c r="C31" s="41" t="n">
        <x:v>1</x:v>
      </x:c>
      <x:c r="D31" s="41" t="n">
        <x:v>1</x:v>
      </x:c>
      <x:c r="E31" s="41" t="n">
        <x:v>2</x:v>
      </x:c>
      <x:c r="F31" s="41" t="n">
        <x:v>14</x:v>
      </x:c>
      <x:c r="G31" s="41" t="n">
        <x:v>24</x:v>
      </x:c>
      <x:c r="H31" s="41" t="n">
        <x:v>40</x:v>
      </x:c>
      <x:c r="I31" s="35" t="str">
        <x:v>Cobertura de hipótesis y validación de reglas; posible separación por finalidad.</x:v>
      </x:c>
      <x:c r="J31" s="35" t="str">
        <x:v>Justificar observabilidad y comprobar detectabilidad y carga</x:v>
      </x:c>
      <x:c r="K31" s="35" t="str">
        <x:v>Un detector correcto puede ser ineficaz si no recibe la evidencia necesaria.</x:v>
      </x:c>
      <x:c r="L31" s="35" t="str">
        <x:v>R033; IV: SIEM, correlación y detección; R029 red</x:v>
      </x:c>
    </x:row>
    <x:row r="32" ht="43" customHeight="1">
      <x:c r="A32" s="35" t="str">
        <x:v>CYO-28</x:v>
      </x:c>
      <x:c r="B32" s="35" t="str">
        <x:v>Búsqueda de amenazas por hipótesis</x:v>
      </x:c>
      <x:c r="C32" s="41" t="n">
        <x:v>1</x:v>
      </x:c>
      <x:c r="D32" s="41" t="n">
        <x:v>1</x:v>
      </x:c>
      <x:c r="E32" s="41" t="n">
        <x:v>1</x:v>
      </x:c>
      <x:c r="F32" s="41" t="n">
        <x:v>10</x:v>
      </x:c>
      <x:c r="G32" s="41" t="n">
        <x:v>18</x:v>
      </x:c>
      <x:c r="H32" s="41" t="n">
        <x:v>30</x:v>
      </x:c>
      <x:c r="I32" s="35" t="str">
        <x:v>Un producto de contraste de hipótesis, distinto de clasificar una alerta.</x:v>
      </x:c>
      <x:c r="J32" s="35" t="str">
        <x:v>Investigar actividad que puede eludir controles con hipótesis comprobables</x:v>
      </x:c>
      <x:c r="K32" s="35" t="str">
        <x:v>Limitarse a las alertas omite amenazas fuera de su cobertura.</x:v>
      </x:c>
      <x:c r="L32" s="35" t="str">
        <x:v>R033; IV: tema 6 hunting; G009 contraste</x:v>
      </x:c>
    </x:row>
    <x:row r="33" ht="47" customHeight="1">
      <x:c r="A33" s="35" t="str">
        <x:v>CYO-29</x:v>
      </x:c>
      <x:c r="B33" s="35" t="str">
        <x:v>Política corporativa de IA</x:v>
      </x:c>
      <x:c r="C33" s="41" t="n">
        <x:v>1</x:v>
      </x:c>
      <x:c r="D33" s="41" t="n">
        <x:v>1</x:v>
      </x:c>
      <x:c r="E33" s="41" t="n">
        <x:v>1</x:v>
      </x:c>
      <x:c r="F33" s="41" t="n">
        <x:v>8</x:v>
      </x:c>
      <x:c r="G33" s="41" t="n">
        <x:v>14</x:v>
      </x:c>
      <x:c r="H33" s="41" t="n">
        <x:v>22</x:v>
      </x:c>
      <x:c r="I33" s="35" t="str">
        <x:v>Reglas de uso, excepciones y revisión de política; no aprobación de cada caso.</x:v>
      </x:c>
      <x:c r="J33" s="35" t="str">
        <x:v>Traducir objetivos y responsabilidades en reglas de uso revisables</x:v>
      </x:c>
      <x:c r="K33" s="35" t="str">
        <x:v>Una política sin inventario puede dejar usos reales fuera de supervisión.</x:v>
      </x:c>
      <x:c r="L33" s="35" t="str">
        <x:v>R037; IV: gobierno; M003 ética; AN-02 especificidad IA</x:v>
      </x:c>
    </x:row>
    <x:row r="36" ht="66" customHeight="1">
      <x:c r="A36" s="48" t="str">
        <x:v>Escenario</x:v>
      </x:c>
      <x:c r="B36" s="48" t="str">
        <x:v>Universos</x:v>
      </x:c>
      <x:c r="C36" s="48" t="str">
        <x:v>Incidencias adicionales</x:v>
      </x:c>
      <x:c r="D36" s="48" t="str">
        <x:v>Reutilización supuesta</x:v>
      </x:c>
      <x:c r="E36" s="48" t="str">
        <x:v>Nuevos únicos estimados</x:v>
      </x:c>
      <x:c r="F36" s="48" t="str">
        <x:v>Constituidos</x:v>
      </x:c>
      <x:c r="G36" s="48" t="str">
        <x:v>Total previsto</x:v>
      </x:c>
      <x:c r="H36" s="48" t="str">
        <x:v>Interpretación</x:v>
      </x:c>
    </x:row>
    <x:row r="37" ht="66" customHeight="1">
      <x:c r="A37" s="33" t="str">
        <x:v>Compacto</x:v>
      </x:c>
      <x:c r="B37" s="49" t="n">
        <x:f>SUM(C5:C33)</x:f>
        <x:v>29</x:v>
      </x:c>
      <x:c r="C37" s="49" t="n">
        <x:f>SUM(F5:F33)</x:f>
        <x:v>374</x:v>
      </x:c>
      <x:c r="D37" s="46" t="n">
        <x:v>0.3</x:v>
      </x:c>
      <x:c r="E37" s="49" t="n">
        <x:f>ROUND(C37*(1-D37),0)</x:f>
        <x:v>262</x:v>
      </x:c>
      <x:c r="F37" s="49" t="n">
        <x:f>COUNTA('67_Parametros'!A5:A28)</x:f>
        <x:v>24</x:v>
      </x:c>
      <x:c r="G37" s="49" t="n">
        <x:f>E37+F37</x:f>
        <x:v>286</x:v>
      </x:c>
      <x:c r="H37" s="33" t="str">
        <x:v>Mayor agrupación y reutilización supuestas.</x:v>
      </x:c>
    </x:row>
    <x:row r="38" ht="66" customHeight="1">
      <x:c r="A38" s="33" t="str">
        <x:v>Central</x:v>
      </x:c>
      <x:c r="B38" s="49" t="n">
        <x:f>SUM(D5:D33)</x:f>
        <x:v>38</x:v>
      </x:c>
      <x:c r="C38" s="49" t="n">
        <x:f>SUM(G5:G33)</x:f>
        <x:v>620</x:v>
      </x:c>
      <x:c r="D38" s="46" t="n">
        <x:v>0.15</x:v>
      </x:c>
      <x:c r="E38" s="49" t="n">
        <x:f>ROUND(C38*(1-D38),0)</x:f>
        <x:v>527</x:v>
      </x:c>
      <x:c r="F38" s="49" t="n">
        <x:f>COUNTA('67_Parametros'!A5:A28)</x:f>
        <x:v>24</x:v>
      </x:c>
      <x:c r="G38" s="49" t="n">
        <x:f>E38+F38</x:f>
        <x:v>551</x:v>
      </x:c>
      <x:c r="H38" s="33" t="str">
        <x:v>Hipótesis central sin calibración estadística.</x:v>
      </x:c>
    </x:row>
    <x:row r="39" ht="66" customHeight="1">
      <x:c r="A39" s="33" t="str">
        <x:v>Amplio</x:v>
      </x:c>
      <x:c r="B39" s="49" t="n">
        <x:f>SUM(E5:E33)</x:f>
        <x:v>59</x:v>
      </x:c>
      <x:c r="C39" s="49" t="n">
        <x:f>SUM(H5:H33)</x:f>
        <x:v>1038</x:v>
      </x:c>
      <x:c r="D39" s="46" t="n">
        <x:v>0</x:v>
      </x:c>
      <x:c r="E39" s="49" t="n">
        <x:f>ROUND(C39*(1-D39),0)</x:f>
        <x:v>1038</x:v>
      </x:c>
      <x:c r="F39" s="49" t="n">
        <x:f>COUNTA('67_Parametros'!A5:A28)</x:f>
        <x:v>24</x:v>
      </x:c>
      <x:c r="G39" s="49" t="n">
        <x:f>E39+F39</x:f>
        <x:v>1062</x:v>
      </x:c>
      <x:c r="H39" s="33" t="str">
        <x:v>Más separación; sin descontar reutilización.</x:v>
      </x:c>
    </x:row>
    <x:row r="40" ht="66" customHeight="1">
      <x:c r="A40" s="33"/>
      <x:c r="B40" s="33"/>
      <x:c r="C40" s="33"/>
      <x:c r="D40" s="33"/>
      <x:c r="E40" s="33"/>
      <x:c r="F40" s="33"/>
      <x:c r="G40" s="33"/>
      <x:c r="H40" s="33"/>
    </x:row>
    <x:row r="41" ht="66" customHeight="1">
      <x:c r="A41" s="33"/>
      <x:c r="B41" s="33"/>
      <x:c r="C41" s="33"/>
      <x:c r="D41" s="33"/>
      <x:c r="E41" s="33"/>
      <x:c r="F41" s="33"/>
      <x:c r="G41" s="33"/>
      <x:c r="H41" s="33"/>
    </x:row>
    <x:row r="42" ht="66" customHeight="1">
      <x:c r="A42" s="48" t="str">
        <x:v>Sensibilidad central</x:v>
      </x:c>
      <x:c r="B42" s="48" t="str">
        <x:v>Reutilización</x:v>
      </x:c>
      <x:c r="C42" s="48" t="str">
        <x:v>Resultado previsto</x:v>
      </x:c>
      <x:c r="D42" s="48" t="str">
        <x:v>Alcance</x:v>
      </x:c>
      <x:c r="E42" s="48" t="str"/>
      <x:c r="F42" s="48" t="str"/>
      <x:c r="G42" s="48" t="str"/>
      <x:c r="H42" s="48" t="str"/>
    </x:row>
    <x:row r="43" ht="66" customHeight="1">
      <x:c r="A43" s="33" t="str">
        <x:v>Sin reutilización</x:v>
      </x:c>
      <x:c r="B43" s="47" t="n">
        <x:v>0</x:v>
      </x:c>
      <x:c r="C43" s="49" t="n">
        <x:f>F38+ROUND(C38*(1-B43),0)</x:f>
        <x:v>644</x:v>
      </x:c>
      <x:c r="D43" s="33" t="str">
        <x:v>La cifra depende de hipótesis, no sólo del currículo.</x:v>
      </x:c>
      <x:c r="E43" s="33"/>
      <x:c r="F43" s="33"/>
      <x:c r="G43" s="33"/>
      <x:c r="H43" s="33"/>
    </x:row>
    <x:row r="44" ht="66" customHeight="1">
      <x:c r="A44" s="33" t="str">
        <x:v>Hipótesis central</x:v>
      </x:c>
      <x:c r="B44" s="47" t="n">
        <x:v>0.15</x:v>
      </x:c>
      <x:c r="C44" s="49" t="n">
        <x:f>F38+ROUND(C38*(1-B44),0)</x:f>
        <x:v>551</x:v>
      </x:c>
      <x:c r="D44" s="33" t="str">
        <x:v>La reutilización debe comprobarse al adjudicar identidades.</x:v>
      </x:c>
      <x:c r="E44" s="33"/>
      <x:c r="F44" s="33"/>
      <x:c r="G44" s="33"/>
      <x:c r="H44" s="33"/>
    </x:row>
    <x:row r="45" ht="66" customHeight="1">
      <x:c r="A45" s="33" t="str">
        <x:v>Reutilización mayor</x:v>
      </x:c>
      <x:c r="B45" s="47" t="n">
        <x:v>0.3</x:v>
      </x:c>
      <x:c r="C45" s="49" t="n">
        <x:f>F38+ROUND(C38*(1-B45),0)</x:f>
        <x:v>458</x:v>
      </x:c>
      <x:c r="D45" s="33" t="str">
        <x:v>No es un intervalo estadístico de confianza.</x:v>
      </x:c>
      <x:c r="E45" s="33"/>
      <x:c r="F45" s="33"/>
      <x:c r="G45" s="33"/>
      <x:c r="H45" s="33"/>
    </x:row>
  </x:sheetData>
  <x:mergeCells>
    <x:mergeCell ref="A1:D1"/>
    <x:mergeCell ref="A2:F2"/>
  </x:mergeCells>
  <x:pageMargins left="0.7" right="0.7" top="0.75" bottom="0.75" header="0.3" footer="0.3"/>
  <x:tableParts count="1">
    <x:tablePart xmlns:r="http://schemas.openxmlformats.org/officeDocument/2006/relationships" r:id="R2c6fe440e8be4c4a"/>
  </x:tableParts>
</x:worksheet>
</file>

<file path=xl/worksheets/sheet7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5" hidden="0" customWidth="1"/>
    <x:col min="2" max="2" width="65" hidden="0" customWidth="1"/>
    <x:col min="3" max="3" width="90" hidden="0" customWidth="1"/>
    <x:col min="4" max="4" width="37" hidden="0" customWidth="1"/>
    <x:col min="5" max="5" width="98" hidden="0" customWidth="1"/>
    <x:col min="6" max="6" width="62" hidden="0" customWidth="1"/>
    <x:col min="7" max="7" width="106" hidden="0" customWidth="1"/>
    <x:col min="8" max="8" width="76" hidden="0" customWidth="1"/>
    <x:col min="9" max="9" width="16" hidden="0" customWidth="1"/>
  </x:cols>
  <x:sheetData>
    <x:row r="1" ht="34" customHeight="1">
      <x:c r="A1" s="36" t="str">
        <x:v>Bibliografía razonada y procedencia</x:v>
      </x:c>
      <x:c r="B1" s="35"/>
      <x:c r="C1" s="35"/>
      <x:c r="D1" s="35"/>
      <x:c r="E1" s="35"/>
      <x:c r="F1" s="35"/>
      <x:c r="G1" s="35"/>
      <x:c r="H1" s="35"/>
      <x:c r="I1" s="35"/>
    </x:row>
    <x:row r="2" ht="46" customHeight="1">
      <x:c r="A2" s="37" t="str">
        <x:v>Las referencias educativas sostienen el catálogo y el mapa de operaciones. Las fuentes técnicas se aplican con sus límites de plataforma y finalidad.</x:v>
      </x:c>
      <x:c r="B2" s="35"/>
      <x:c r="C2" s="35"/>
      <x:c r="D2" s="35"/>
      <x:c r="E2" s="35"/>
      <x:c r="F2" s="35"/>
      <x:c r="G2" s="35"/>
      <x:c r="H2" s="35"/>
      <x:c r="I2" s="35"/>
    </x:row>
    <x:row r="3">
      <x:c r="A3" s="35"/>
      <x:c r="B3" s="35"/>
      <x:c r="C3" s="35"/>
      <x:c r="D3" s="35"/>
      <x:c r="E3" s="35"/>
      <x:c r="F3" s="35"/>
      <x:c r="G3" s="35"/>
      <x:c r="H3" s="35"/>
      <x:c r="I3" s="35"/>
    </x:row>
    <x:row r="4" ht="42" customHeight="1">
      <x:c r="A4" s="39" t="str">
        <x:v>Referencia</x:v>
      </x:c>
      <x:c r="B4" s="39" t="str">
        <x:v>Autoría</x:v>
      </x:c>
      <x:c r="C4" s="39" t="str">
        <x:v>Título</x:v>
      </x:c>
      <x:c r="D4" s="39" t="str">
        <x:v>Fecha o edición</x:v>
      </x:c>
      <x:c r="E4" s="39" t="str">
        <x:v>Documento original</x:v>
      </x:c>
      <x:c r="F4" s="39" t="str">
        <x:v>Localizador</x:v>
      </x:c>
      <x:c r="G4" s="39" t="str">
        <x:v>Aportación y límite</x:v>
      </x:c>
      <x:c r="H4" s="39" t="str">
        <x:v>SHA-256 del original</x:v>
      </x:c>
      <x:c r="I4" s="39" t="str">
        <x:v>Bytes</x:v>
      </x:c>
    </x:row>
    <x:row r="5" ht="47" customHeight="1">
      <x:c r="A5" s="35" t="str">
        <x:v>T001</x:v>
      </x:c>
      <x:c r="B5" s="35" t="str">
        <x:v>Souppaya, M.; Scarfone, K.</x:v>
      </x:c>
      <x:c r="C5" s="35" t="str">
        <x:v>Guide to Enterprise Patch Management Planning: Preventive Maintenance for Technology. NIST SP 800-40r4</x:v>
      </x:c>
      <x:c r="D5" s="35" t="str">
        <x:v>2022, abril</x:v>
      </x:c>
      <x:c r="E5" s="35" t="str">
        <x:v>https://doi.org/10.6028/NIST.SP.800-40r4</x:v>
      </x:c>
      <x:c r="F5" s="35" t="str">
        <x:v>§§2.2–2.3, pp. 4–7; §§3.1–3.5</x:v>
      </x:c>
      <x:c r="G5" s="35" t="str">
        <x:v>Fundamento profesional del ciclo de actualización, de la verificación del efecto y del balance de recursos.</x:v>
      </x:c>
      <x:c r="H5" s="35" t="str">
        <x:v>351f4a828d6c0bc8bf98f25ba3f87ec5add0ed8cf8bb4a6e6cb4e7e4a9731833</x:v>
      </x:c>
      <x:c r="I5" s="35" t="n">
        <x:v>562944</x:v>
      </x:c>
    </x:row>
    <x:row r="6" ht="47" customHeight="1">
      <x:c r="A6" s="35" t="str">
        <x:v>F018</x:v>
      </x:c>
      <x:c r="B6" s="35" t="str">
        <x:v>Scarfone, K.; Souppaya, M.; Cody, A.; Orebaugh, A.</x:v>
      </x:c>
      <x:c r="C6" s="35" t="str">
        <x:v>Technical Guide to Information Security Testing and Assessment. NIST SP 800-115</x:v>
      </x:c>
      <x:c r="D6" s="35" t="str">
        <x:v>2008, septiembre</x:v>
      </x:c>
      <x:c r="E6" s="35" t="str">
        <x:v>https://doi.org/10.6028/NIST.SP.800-115</x:v>
      </x:c>
      <x:c r="F6" s="35" t="str">
        <x:v>§§3.4–3.6, 4.3, 6.5, 7.3–7.4</x:v>
      </x:c>
      <x:c r="G6" s="35" t="str">
        <x:v>Alcance y límites de las pruebas, resultados falsos y tratamiento de evidencia.</x:v>
      </x:c>
      <x:c r="H6" s="35" t="str">
        <x:v>58e5ed41e5c8ca34ce14fd80b70f118f2c6d613d1647bc307edca30bcc45f063</x:v>
      </x:c>
      <x:c r="I6" s="35" t="n">
        <x:v>544047</x:v>
      </x:c>
    </x:row>
    <x:row r="7" ht="47" customHeight="1">
      <x:c r="A7" s="35" t="str">
        <x:v>B01</x:v>
      </x:c>
      <x:c r="B7" s="35" t="str">
        <x:v>Johnson, A.; Dempsey, K.; Ross, R.; Gupta, S.; Bailey, D.</x:v>
      </x:c>
      <x:c r="C7" s="35" t="str">
        <x:v>Guide for Security-Focused Configuration Management of Information Systems. NIST SP 800-128</x:v>
      </x:c>
      <x:c r="D7" s="35" t="str">
        <x:v>2011; actualización editorial de 10-10-2019</x:v>
      </x:c>
      <x:c r="E7" s="35" t="str">
        <x:v>https://nvlpubs.nist.gov/nistpubs/SpecialPublications/NIST.SP.800-128.pdf</x:v>
      </x:c>
      <x:c r="F7" s="35" t="str">
        <x:v>§§3.2–3.4, pp. 30–44; apéndices E e I</x:v>
      </x:c>
      <x:c r="G7" s="35" t="str">
        <x:v>Configuración, efectos funcionales y de seguridad, autorización y cierre del cambio. La actualización de 2019 no introduce cambios técnicos.</x:v>
      </x:c>
      <x:c r="H7" s="35" t="str">
        <x:v>ee97c5be0a5a1c70165bf960c67042c5ed1bcb186aeb592eada60e512ab35a70</x:v>
      </x:c>
      <x:c r="I7" s="35" t="n">
        <x:v>1528756</x:v>
      </x:c>
    </x:row>
    <x:row r="8" ht="47" customHeight="1">
      <x:c r="A8" s="35" t="str">
        <x:v>B02</x:v>
      </x:c>
      <x:c r="B8" s="35" t="str">
        <x:v>Regenscheid, A.</x:v>
      </x:c>
      <x:c r="C8" s="35" t="str">
        <x:v>Platform Firmware Resiliency Guidelines. NIST SP 800-193</x:v>
      </x:c>
      <x:c r="D8" s="35" t="str">
        <x:v>2018, mayo</x:v>
      </x:c>
      <x:c r="E8" s="35" t="str">
        <x:v>https://nvlpubs.nist.gov/nistpubs/SpecialPublications/NIST.SP.800-193.pdf</x:v>
      </x:c>
      <x:c r="F8" s="35" t="str">
        <x:v>§§3–4</x:v>
      </x:c>
      <x:c r="G8" s="35" t="str">
        <x:v>Contraste de plataforma y firmware. No acredita un método universal de medición del firmware activo.</x:v>
      </x:c>
      <x:c r="H8" s="35" t="str">
        <x:v>a07a759fe0e58f91c92d466afc9c582d1e1ff3a7cd4a04600ec7f7ff61d5bb06</x:v>
      </x:c>
      <x:c r="I8" s="35" t="n">
        <x:v>516802</x:v>
      </x:c>
    </x:row>
    <x:row r="9" ht="47" customHeight="1">
      <x:c r="A9" s="35" t="str">
        <x:v>B03</x:v>
      </x:c>
      <x:c r="B9" s="35" t="str">
        <x:v>Moran, B.; Tschofenig, H.; Birkholz, H.</x:v>
      </x:c>
      <x:c r="C9" s="35" t="str">
        <x:v>A Manifest Information Model for Firmware Updates in Internet of Things (IoT) Devices. RFC 9124</x:v>
      </x:c>
      <x:c r="D9" s="35" t="str">
        <x:v>2022, enero</x:v>
      </x:c>
      <x:c r="E9" s="35" t="str">
        <x:v>https://www.rfc-editor.org/rfc/rfc9124.txt</x:v>
      </x:c>
      <x:c r="F9" s="35" t="str">
        <x:v>§§3.2–3.15, 3.19, 3.21, 3.25; §4</x:v>
      </x:c>
      <x:c r="G9" s="35" t="str">
        <x:v>Contraste informativo de identidad, autenticidad, precursor, selección y dependencias. No es una norma universal para todo activo IT.</x:v>
      </x:c>
      <x:c r="H9" s="35" t="str">
        <x:v>0a1647c36503262689791fe2853dd6a450314ea8b8a7f9add65c806a6319d354</x:v>
      </x:c>
      <x:c r="I9" s="35" t="n">
        <x:v>85281</x:v>
      </x:c>
    </x:row>
    <x:row r="10" ht="47" customHeight="1">
      <x:c r="A10" s="35" t="str">
        <x:v>B04</x:v>
      </x:c>
      <x:c r="B10" s="35" t="str">
        <x:v>The Linux Kernel development community</x:v>
      </x:c>
      <x:c r="C10" s="35" t="str">
        <x:v>Livepatch</x:v>
      </x:c>
      <x:c r="D10" s="35" t="str">
        <x:v>Linux 6.8.0</x:v>
      </x:c>
      <x:c r="E10" s="35" t="str">
        <x:v>https://www.kernel.org/doc/html/v6.8/livepatch/livepatch.html</x:v>
      </x:c>
      <x:c r="F10" s="35" t="str">
        <x:v>§3, Consistency model; §§5.2–5.5</x:v>
      </x:c>
      <x:c r="G10" s="35" t="str">
        <x:v>Habilitación y transición por tarea, con semántica explícita del estado -1 y límites del mecanismo.</x:v>
      </x:c>
      <x:c r="H10" s="35" t="str">
        <x:v>8e722eea12ec279aff87d266215e07b54441b68691b921035198da4413b8cb1f</x:v>
      </x:c>
      <x:c r="I10" s="35" t="n">
        <x:v>35535</x:v>
      </x:c>
    </x:row>
    <x:row r="11" ht="47" customHeight="1">
      <x:c r="A11" s="35" t="str">
        <x:v>B05</x:v>
      </x:c>
      <x:c r="B11" s="35" t="str">
        <x:v>The Linux Kernel development community</x:v>
      </x:c>
      <x:c r="C11" s="35" t="str">
        <x:v>System State Changes</x:v>
      </x:c>
      <x:c r="D11" s="35" t="str">
        <x:v>Linux 6.8.0</x:v>
      </x:c>
      <x:c r="E11" s="35" t="str">
        <x:v>https://www.kernel.org/doc/html/v6.8/livepatch/system-state.html</x:v>
      </x:c>
      <x:c r="F11" s="35" t="str">
        <x:v>§§1–4</x:v>
      </x:c>
      <x:c r="G11" s="35" t="str">
        <x:v>Compatibilidad entre parches y modificación de estado compartido; base para contrastar obligaciones adicionales.</x:v>
      </x:c>
      <x:c r="H11" s="35" t="str">
        <x:v>7bef1ff9738fcd930833d214a738a79d7f23a818080f3501455364dffa5b7031</x:v>
      </x:c>
      <x:c r="I11" s="35" t="n">
        <x:v>17356</x:v>
      </x:c>
    </x:row>
    <x:row r="12" ht="47" customHeight="1">
      <x:c r="A12" s="35" t="str">
        <x:v>B06</x:v>
      </x:c>
      <x:c r="B12" s="35" t="str">
        <x:v>Microsoft</x:v>
      </x:c>
      <x:c r="C12" s="35" t="str">
        <x:v>FlushFileBuffers function (fileapi.h)</x:v>
      </x:c>
      <x:c r="D12" s="35" t="str">
        <x:v>Metadato ms.date=2018-12-05; captura de 09-09-2026</x:v>
      </x:c>
      <x:c r="E12" s="35" t="str">
        <x:v>https://learn.microsoft.com/en-us/windows/win32/api/fileapi/nf-fileapi-flushfilebuffers</x:v>
      </x:c>
      <x:c r="F12" s="35" t="str">
        <x:v>Return value; Remarks</x:v>
      </x:c>
      <x:c r="G12" s="35" t="str">
        <x:v>Resultado y alcance de una sincronización de archivo.</x:v>
      </x:c>
      <x:c r="H12" s="35" t="str">
        <x:v>79dc26fd14d4503424530e24d95c931d5ee8229bf10418ce819b2b853ea2d00a</x:v>
      </x:c>
      <x:c r="I12" s="35" t="n">
        <x:v>54775</x:v>
      </x:c>
    </x:row>
    <x:row r="13" ht="47" customHeight="1">
      <x:c r="A13" s="35" t="str">
        <x:v>B07</x:v>
      </x:c>
      <x:c r="B13" s="35" t="str">
        <x:v>Microsoft</x:v>
      </x:c>
      <x:c r="C13" s="35" t="str">
        <x:v>FlushViewOfFile function (memoryapi.h)</x:v>
      </x:c>
      <x:c r="D13" s="35" t="str">
        <x:v>Metadato ms.date=2018-12-05; captura de 09-09-2026</x:v>
      </x:c>
      <x:c r="E13" s="35" t="str">
        <x:v>https://learn.microsoft.com/en-us/windows/win32/api/memoryapi/nf-memoryapi-flushviewoffile</x:v>
      </x:c>
      <x:c r="F13" s="35" t="str">
        <x:v>Remarks</x:v>
      </x:c>
      <x:c r="G13" s="35" t="str">
        <x:v>Contraejemplo a equiparar escritura de páginas, metadatos y persistencia en el dispositivo.</x:v>
      </x:c>
      <x:c r="H13" s="35" t="str">
        <x:v>beac4bcc9a9b5d9bd2432dbdcf26b7fc28b3b4ad21356220bd87d07bdd8f7a24</x:v>
      </x:c>
      <x:c r="I13" s="35" t="n">
        <x:v>54343</x:v>
      </x:c>
    </x:row>
    <x:row r="14" ht="47" customHeight="1">
      <x:c r="A14" s="35" t="str">
        <x:v>B08</x:v>
      </x:c>
      <x:c r="B14" s="35" t="str">
        <x:v>Dai, J.; Zhang, Y.; Jiang, Z.; Zhou, Y.; Chen, J.; Xing, X.; Zhang, X.; Tan, X.; Yang, M.; Yang, Z.</x:v>
      </x:c>
      <x:c r="C14" s="35" t="str">
        <x:v>BScout: Direct Whole Patch Presence Test for Java Executables. 29th USENIX Security Symposium, pp. 1147–1164</x:v>
      </x:c>
      <x:c r="D14" s="35" t="str">
        <x:v>2020</x:v>
      </x:c>
      <x:c r="E14" s="35" t="str">
        <x:v>https://www.usenix.org/system/files/sec20-dai.pdf</x:v>
      </x:c>
      <x:c r="F14" s="35" t="str">
        <x:v>§1, pp. 1147–1148; §§4–6 para el alcance del estudio</x:v>
      </x:c>
      <x:c r="G14" s="35" t="str">
        <x:v>Estudio empírico sobre presencia íntegra de parches en ejecutables Java. Sus resultados no se transfieren a todas las plataformas ni validan este catálogo.</x:v>
      </x:c>
      <x:c r="H14" s="35" t="str">
        <x:v>1cf87257c42e90fffeb720071bcd19af1a64e7e9e12a78c1fea4413a403409a9</x:v>
      </x:c>
      <x:c r="I14" s="35" t="n">
        <x:v>1166482</x:v>
      </x:c>
    </x:row>
    <x:row r="15" ht="62" customHeight="1">
      <x:c r="A15" s="35" t="str">
        <x:v>B09</x:v>
      </x:c>
      <x:c r="B15" s="35" t="str">
        <x:v>Sun, S.; Xing, Y.; Wang, X.; Wang, S.; Li, Q.; Sun, K.</x:v>
      </x:c>
      <x:c r="C15" s="35" t="str">
        <x:v>DisPatch: Unraveling Security Patches from Entangled Code Changes. 34th USENIX Security Symposium</x:v>
      </x:c>
      <x:c r="D15" s="35" t="str">
        <x:v>2025</x:v>
      </x:c>
      <x:c r="E15" s="35" t="str">
        <x:v>https://www.usenix.org/system/files/usenixsecurity25-sun-shiyu.pdf</x:v>
      </x:c>
      <x:c r="F15" s="35" t="str">
        <x:v>§1, pp. 4521–4522; §7, evaluación; §8, discusión y límites</x:v>
      </x:c>
      <x:c r="G15" s="35" t="str">
        <x:v>Estudio sobre dependencias de modificaciones de código. Compilar un fragmento separado no acredita que resuelva íntegramente la vulnerabilidad. La delimitación de un parche individual también requiere juicio experto.</x:v>
      </x:c>
      <x:c r="H15" s="35" t="str">
        <x:v>371213ac4cda45351ee7adfa7d18624194992121fb00826fc6690fd667e657f2</x:v>
      </x:c>
      <x:c r="I15" s="35" t="n">
        <x:v>1000060</x:v>
      </x:c>
    </x:row>
    <x:row r="16" ht="47" customHeight="1">
      <x:c r="A16" s="35" t="str">
        <x:v>B10</x:v>
      </x:c>
      <x:c r="B16" s="35" t="str">
        <x:v>Swanson, M.; Bowen, P.; Phillips, A.; Gallup, D.; Lynes, D.</x:v>
      </x:c>
      <x:c r="C16" s="35" t="str">
        <x:v>Contingency Planning Guide for Federal Information Systems. NIST SP 800-34 Rev. 1</x:v>
      </x:c>
      <x:c r="D16" s="35" t="str">
        <x:v>2010; actualización de 11-11-2010</x:v>
      </x:c>
      <x:c r="E16" s="35" t="str">
        <x:v>https://nvlpubs.nist.gov/nistpubs/Legacy/SP/nistspecialpublication800-34r1.pdf</x:v>
      </x:c>
      <x:c r="F16" s="35" t="str">
        <x:v>§3.2, pp. 15–19; §§3.4.1, 4.3</x:v>
      </x:c>
      <x:c r="G16" s="35" t="str">
        <x:v>Relación entre servicios, dependencias, impacto y recuperación. Un objetivo temporal no es un resultado medido.</x:v>
      </x:c>
      <x:c r="H16" s="35" t="str">
        <x:v>476f04d4c60b0770c1ac8b2720551972074ce78e936a3e7a535048416111d0df</x:v>
      </x:c>
      <x:c r="I16" s="35" t="n">
        <x:v>952921</x:v>
      </x:c>
    </x:row>
    <x:row r="17" ht="47" customHeight="1">
      <x:c r="A17" s="35" t="str">
        <x:v>B11</x:v>
      </x:c>
      <x:c r="B17" s="35" t="str">
        <x:v>Microsoft</x:v>
      </x:c>
      <x:c r="C17" s="35" t="str">
        <x:v>File Caching</x:v>
      </x:c>
      <x:c r="D17" s="35" t="str">
        <x:v>Metadato ms.date=2018-05-31; captura de 09-09-2026</x:v>
      </x:c>
      <x:c r="E17" s="35" t="str">
        <x:v>https://learn.microsoft.com/en-us/windows/win32/fileio/file-caching</x:v>
      </x:c>
      <x:c r="F17" s="35" t="str">
        <x:v>Texto principal</x:v>
      </x:c>
      <x:c r="G17" s="35" t="str">
        <x:v>Diferencia entre escrituras almacenadas en memoria y su sincronización; intercambio entre rendimiento y fiabilidad.</x:v>
      </x:c>
      <x:c r="H17" s="35" t="str">
        <x:v>ed28b034537b9f1953fa1b07ae06afb7f99650f7b9c4b1ff238815eca604c299</x:v>
      </x:c>
      <x:c r="I17" s="35" t="n">
        <x:v>51584</x:v>
      </x:c>
    </x:row>
    <x:row r="18" ht="47" customHeight="1">
      <x:c r="A18" s="35" t="str">
        <x:v>B12</x:v>
      </x:c>
      <x:c r="B18" s="35" t="str">
        <x:v>Microsoft</x:v>
      </x:c>
      <x:c r="C18" s="35" t="str">
        <x:v>MoveFileExW function (winbase.h)</x:v>
      </x:c>
      <x:c r="D18" s="35" t="str">
        <x:v>Metadato ms.date=2018-12-05; captura de 09-09-2026</x:v>
      </x:c>
      <x:c r="E18" s="35" t="str">
        <x:v>https://learn.microsoft.com/en-us/windows/win32/api/winbase/nf-winbase-movefileexw</x:v>
      </x:c>
      <x:c r="F18" s="35" t="str">
        <x:v>MOVEFILE_DELAY_UNTIL_REBOOT; MOVEFILE_WRITE_THROUGH; Remarks</x:v>
      </x:c>
      <x:c r="G18" s="35" t="str">
        <x:v>Operaciones diferidas de archivo y límites de la confirmación de programación.</x:v>
      </x:c>
      <x:c r="H18" s="35" t="str">
        <x:v>a0910a82494c8d1e568502ee0d42bc9dc7ab3038cb943f84eb5a7cc2ad559bcc</x:v>
      </x:c>
      <x:c r="I18" s="35" t="n">
        <x:v>62973</x:v>
      </x:c>
    </x:row>
    <x:row r="19" ht="47" customHeight="1">
      <x:c r="A19" s="35" t="str">
        <x:v>T002</x:v>
      </x:c>
      <x:c r="B19" s="35" t="str">
        <x:v>Microsoft</x:v>
      </x:c>
      <x:c r="C19" s="35" t="str">
        <x:v>IUpdateInstallationResult::get_RebootRequired</x:v>
      </x:c>
      <x:c r="D19" s="35" t="str">
        <x:v>Metadato ms.date=2018-12-05; captura de 08–09-09-2026</x:v>
      </x:c>
      <x:c r="E19" s="35" t="str">
        <x:v>https://learn.microsoft.com/en-us/windows/win32/api/wuapi/nf-wuapi-iupdateinstallationresult-get_rebootrequired</x:v>
      </x:c>
      <x:c r="F19" s="35" t="str">
        <x:v>Remarks</x:v>
      </x:c>
      <x:c r="G19" s="35" t="str">
        <x:v>Requisito individual de reinicio.</x:v>
      </x:c>
      <x:c r="H19" s="35" t="str">
        <x:v>60d570d8f3004189142e2071cad26b8f442365276580c2b925733bffe3b012db</x:v>
      </x:c>
      <x:c r="I19" s="35" t="n">
        <x:v>50835</x:v>
      </x:c>
    </x:row>
    <x:row r="20" ht="47" customHeight="1">
      <x:c r="A20" s="35" t="str">
        <x:v>T003</x:v>
      </x:c>
      <x:c r="B20" s="35" t="str">
        <x:v>Microsoft</x:v>
      </x:c>
      <x:c r="C20" s="35" t="str">
        <x:v>InstallationRebootBehavior</x:v>
      </x:c>
      <x:c r="D20" s="35" t="str">
        <x:v>Captura de 08–09-09-2026</x:v>
      </x:c>
      <x:c r="E20" s="35" t="str">
        <x:v>https://learn.microsoft.com/en-us/openspecs/windows_protocols/ms-uamg/eee24bbd-0be7-4a81-bed5-bff1fbb1832b</x:v>
      </x:c>
      <x:c r="F20" s="35" t="str">
        <x:v>Enumeración</x:v>
      </x:c>
      <x:c r="G20" s="35" t="str">
        <x:v>Comportamiento previsto, distinto del resultado de instalación.</x:v>
      </x:c>
      <x:c r="H20" s="35" t="str">
        <x:v>706aa7f8fe5da9cc90ebbff73708976dbf1f80a3381eed4d91a14b0cb1743722</x:v>
      </x:c>
      <x:c r="I20" s="35" t="n">
        <x:v>36052</x:v>
      </x:c>
    </x:row>
    <x:row r="21" ht="47" customHeight="1">
      <x:c r="A21" s="35" t="str">
        <x:v>T004</x:v>
      </x:c>
      <x:c r="B21" s="35" t="str">
        <x:v>Microsoft</x:v>
      </x:c>
      <x:c r="C21" s="35" t="str">
        <x:v>OperationResultCode</x:v>
      </x:c>
      <x:c r="D21" s="35" t="str">
        <x:v>Metadato ms.date=2018-12-05; captura de 08–09-09-2026</x:v>
      </x:c>
      <x:c r="E21" s="35" t="str">
        <x:v>https://learn.microsoft.com/en-us/windows/win32/api/wuapi/ne-wuapi-operationresultcode</x:v>
      </x:c>
      <x:c r="F21" s="35" t="str">
        <x:v>Constants</x:v>
      </x:c>
      <x:c r="G21" s="35" t="str">
        <x:v>Semántica de los resultados de operación.</x:v>
      </x:c>
      <x:c r="H21" s="35" t="str">
        <x:v>d016f124e76dd51c6921338682697ecc9f81d3cb34925277261b71a1b9f67f8c</x:v>
      </x:c>
      <x:c r="I21" s="35" t="n">
        <x:v>50381</x:v>
      </x:c>
    </x:row>
    <x:row r="22" ht="47" customHeight="1">
      <x:c r="A22" s="35" t="str">
        <x:v>T005</x:v>
      </x:c>
      <x:c r="B22" s="35" t="str">
        <x:v>Microsoft</x:v>
      </x:c>
      <x:c r="C22" s="35" t="str">
        <x:v>IUpdateInstallationResult Properties</x:v>
      </x:c>
      <x:c r="D22" s="35" t="str">
        <x:v>Metadato ms.date=2018-05-31; captura de 08–09-09-2026</x:v>
      </x:c>
      <x:c r="E22" s="35" t="str">
        <x:v>https://learn.microsoft.com/en-us/windows/win32/wua_sdk/iupdateinstallationresult-properties</x:v>
      </x:c>
      <x:c r="F22" s="35" t="str">
        <x:v>Properties</x:v>
      </x:c>
      <x:c r="G22" s="35" t="str">
        <x:v>Separación de ResultCode, HResult y RebootRequired.</x:v>
      </x:c>
      <x:c r="H22" s="35" t="str">
        <x:v>9225a152705099736623664d8d79507c79175632f17b7590c6678df8dabea0ec</x:v>
      </x:c>
      <x:c r="I22" s="35" t="n">
        <x:v>47714</x:v>
      </x:c>
    </x:row>
    <x:row r="23" ht="47" customHeight="1">
      <x:c r="A23" s="35" t="str">
        <x:v>T006</x:v>
      </x:c>
      <x:c r="B23" s="35" t="str">
        <x:v>Microsoft</x:v>
      </x:c>
      <x:c r="C23" s="35" t="str">
        <x:v>IInstallationResult::GetUpdateResult</x:v>
      </x:c>
      <x:c r="D23" s="35" t="str">
        <x:v>Metadato ms.date=2018-12-05; captura de 08–09-09-2026</x:v>
      </x:c>
      <x:c r="E23" s="35" t="str">
        <x:v>https://learn.microsoft.com/en-us/windows/win32/api/wuapi/nf-wuapi-iinstallationresult-getupdateresult</x:v>
      </x:c>
      <x:c r="F23" s="35" t="str">
        <x:v>Parameters; Remarks</x:v>
      </x:c>
      <x:c r="G23" s="35" t="str">
        <x:v>Correspondencia con el índice original de la colección.</x:v>
      </x:c>
      <x:c r="H23" s="35" t="str">
        <x:v>55decce78c4396ff2a1b28ab75624d40891eecf7cf7dc73733452c8abb6eafcb</x:v>
      </x:c>
      <x:c r="I23" s="35" t="n">
        <x:v>50707</x:v>
      </x:c>
    </x:row>
    <x:row r="24" ht="47" customHeight="1">
      <x:c r="A24" s="35" t="str">
        <x:v>T007</x:v>
      </x:c>
      <x:c r="B24" s="35" t="str">
        <x:v>Microsoft</x:v>
      </x:c>
      <x:c r="C24" s="35" t="str">
        <x:v>Updates may not be installed with Fast Startup in Windows 10</x:v>
      </x:c>
      <x:c r="D24" s="35" t="str">
        <x:v>Metadato ms.date=2026-02-12; captura de 08–09-09-2026</x:v>
      </x:c>
      <x:c r="E24" s="35" t="str">
        <x:v>https://learn.microsoft.com/en-us/troubleshoot/windows-client/setup-upgrade-and-drivers/updates-not-install-with-fast-startup</x:v>
      </x:c>
      <x:c r="F24" s="35" t="str">
        <x:v>Summary; More information</x:v>
      </x:c>
      <x:c r="G24" s="35" t="str">
        <x:v>Diferencia entre inicio rápido y reinicio íntegro en ese perfil.</x:v>
      </x:c>
      <x:c r="H24" s="35" t="str">
        <x:v>0b4d699ffb67dff435405c972ad5be5a4788b3b658939cb3e54e53424ba487dd</x:v>
      </x:c>
      <x:c r="I24" s="35" t="n">
        <x:v>49266</x:v>
      </x:c>
    </x:row>
    <x:row r="25" ht="47" customHeight="1">
      <x:c r="A25" s="35" t="str">
        <x:v>T008</x:v>
      </x:c>
      <x:c r="B25" s="35" t="str">
        <x:v>Microsoft</x:v>
      </x:c>
      <x:c r="C25" s="35" t="str">
        <x:v>Dynamic-link library search order</x:v>
      </x:c>
      <x:c r="D25" s="35" t="str">
        <x:v>Metadato ms.date=2023-02-08; captura de 08–09-09-2026</x:v>
      </x:c>
      <x:c r="E25" s="35" t="str">
        <x:v>https://learn.microsoft.com/en-us/windows/win32/dlls/dynamic-link-library-search-order</x:v>
      </x:c>
      <x:c r="F25" s="35" t="str">
        <x:v>Factors that affect searching</x:v>
      </x:c>
      <x:c r="G25" s="35" t="str">
        <x:v>Selección de bibliotecas y efectos del contexto de carga.</x:v>
      </x:c>
      <x:c r="H25" s="35" t="str">
        <x:v>ca2ff1a77ec797c516025925c6f3df38358b0f8b306cd0778f09186cfadc7a16</x:v>
      </x:c>
      <x:c r="I25" s="35" t="n">
        <x:v>63810</x:v>
      </x:c>
    </x:row>
    <x:row r="26" ht="47" customHeight="1">
      <x:c r="A26" s="35" t="str">
        <x:v>T009</x:v>
      </x:c>
      <x:c r="B26" s="35" t="str">
        <x:v>Microsoft</x:v>
      </x:c>
      <x:c r="C26" s="35" t="str">
        <x:v>About Restart Manager</x:v>
      </x:c>
      <x:c r="D26" s="35" t="str">
        <x:v>Metadato ms.date=2018-05-31; captura de 08–09-09-2026</x:v>
      </x:c>
      <x:c r="E26" s="35" t="str">
        <x:v>https://learn.microsoft.com/en-us/windows/win32/rstmgr/about-restart-manager</x:v>
      </x:c>
      <x:c r="F26" s="35" t="str">
        <x:v>Texto principal</x:v>
      </x:c>
      <x:c r="G26" s="35" t="str">
        <x:v>Gestión de programas que usan archivos afectados.</x:v>
      </x:c>
      <x:c r="H26" s="35" t="str">
        <x:v>31523632eb52da14a7aafb6b8315b19e0ac8b2c5ef3ee11abe12ce5d9c4aded9</x:v>
      </x:c>
      <x:c r="I26" s="35" t="n">
        <x:v>49235</x:v>
      </x:c>
    </x:row>
    <x:row r="27" ht="47" customHeight="1">
      <x:c r="A27" s="35" t="str">
        <x:v>T010</x:v>
      </x:c>
      <x:c r="B27" s="35" t="str">
        <x:v>Microsoft</x:v>
      </x:c>
      <x:c r="C27" s="35" t="str">
        <x:v>IUpdateHistoryEntry interface</x:v>
      </x:c>
      <x:c r="D27" s="35" t="str">
        <x:v>Metadato ms.date=2018-12-05; captura de 08–09-09-2026</x:v>
      </x:c>
      <x:c r="E27" s="35" t="str">
        <x:v>https://learn.microsoft.com/en-us/windows/win32/api/wuapi/nn-wuapi-iupdatehistoryentry</x:v>
      </x:c>
      <x:c r="F27" s="35" t="str">
        <x:v>Methods</x:v>
      </x:c>
      <x:c r="G27" s="35" t="str">
        <x:v>Datos de historia de actualización; no prueba automática de cobertura.</x:v>
      </x:c>
      <x:c r="H27" s="35" t="str">
        <x:v>1c10caa71f853e1a5f70b241d408b584956f0285086c2e726f93ab465d242f7d</x:v>
      </x:c>
      <x:c r="I27" s="35" t="n">
        <x:v>52577</x:v>
      </x:c>
    </x:row>
    <x:row r="28" ht="47" customHeight="1">
      <x:c r="A28" s="35" t="str">
        <x:v>T011</x:v>
      </x:c>
      <x:c r="B28" s="35" t="str">
        <x:v>Microsoft</x:v>
      </x:c>
      <x:c r="C28" s="35" t="str">
        <x:v>UpdateOperation</x:v>
      </x:c>
      <x:c r="D28" s="35" t="str">
        <x:v>Metadato ms.date=2018-12-05; captura de 08–09-09-2026</x:v>
      </x:c>
      <x:c r="E28" s="35" t="str">
        <x:v>https://learn.microsoft.com/en-us/windows/win32/api/wuapi/ne-wuapi-updateoperation</x:v>
      </x:c>
      <x:c r="F28" s="35" t="str">
        <x:v>Constants</x:v>
      </x:c>
      <x:c r="G28" s="35" t="str">
        <x:v>Distinción entre instalación y desinstalación.</x:v>
      </x:c>
      <x:c r="H28" s="35" t="str">
        <x:v>8a46244c749fd5b075d756d5d01116ff9a58e2a8168eed766d4337aef07197b8</x:v>
      </x:c>
      <x:c r="I28" s="35" t="n">
        <x:v>49531</x:v>
      </x:c>
    </x:row>
    <x:row r="29" ht="47" customHeight="1">
      <x:c r="A29" s="35" t="str">
        <x:v>T012</x:v>
      </x:c>
      <x:c r="B29" s="35" t="str">
        <x:v>Microsoft</x:v>
      </x:c>
      <x:c r="C29" s="35" t="str">
        <x:v>GetModuleInformation</x:v>
      </x:c>
      <x:c r="D29" s="35" t="str">
        <x:v>Metadato ms.date=2018-12-05; captura de 08–09-09-2026</x:v>
      </x:c>
      <x:c r="E29" s="35" t="str">
        <x:v>https://learn.microsoft.com/en-us/windows/win32/api/psapi/nf-psapi-getmoduleinformation</x:v>
      </x:c>
      <x:c r="F29" s="35" t="str">
        <x:v>Parameters; Remarks</x:v>
      </x:c>
      <x:c r="G29" s="35" t="str">
        <x:v>Información de módulo y permisos de observación.</x:v>
      </x:c>
      <x:c r="H29" s="35" t="str">
        <x:v>6a3de9519144cdc43ab32fa5c207975809fdb14913b20e9473d84b74f8f656d2</x:v>
      </x:c>
      <x:c r="I29" s="35" t="n">
        <x:v>54456</x:v>
      </x:c>
    </x:row>
    <x:row r="30" ht="47" customHeight="1">
      <x:c r="A30" s="35" t="str">
        <x:v>T013</x:v>
      </x:c>
      <x:c r="B30" s="35" t="str">
        <x:v>Microsoft</x:v>
      </x:c>
      <x:c r="C30" s="35" t="str">
        <x:v>MODULEINFO structure</x:v>
      </x:c>
      <x:c r="D30" s="35" t="str">
        <x:v>Metadato ms.date=2018-12-05; captura de 08–09-09-2026</x:v>
      </x:c>
      <x:c r="E30" s="35" t="str">
        <x:v>https://learn.microsoft.com/en-us/windows/win32/api/psapi/ns-psapi-moduleinfo</x:v>
      </x:c>
      <x:c r="F30" s="35" t="str">
        <x:v>Members</x:v>
      </x:c>
      <x:c r="G30" s="35" t="str">
        <x:v>Dirección, tamaño y punto de entrada; no identidad criptográfica.</x:v>
      </x:c>
      <x:c r="H30" s="35" t="str">
        <x:v>d2e50a2cb472165399ae7a673d5946337d340f5162062ec1373bb6af9e63c230</x:v>
      </x:c>
      <x:c r="I30" s="35" t="n">
        <x:v>49924</x:v>
      </x:c>
    </x:row>
    <x:row r="31" ht="47" customHeight="1">
      <x:c r="A31" s="35" t="str">
        <x:v>T014</x:v>
      </x:c>
      <x:c r="B31" s="35" t="str">
        <x:v>Microsoft</x:v>
      </x:c>
      <x:c r="C31" s="35" t="str">
        <x:v>RM_UNIQUE_PROCESS</x:v>
      </x:c>
      <x:c r="D31" s="35" t="str">
        <x:v>Metadato ms.date=2018-12-05; captura de 08–09-09-2026</x:v>
      </x:c>
      <x:c r="E31" s="35" t="str">
        <x:v>https://learn.microsoft.com/en-us/windows/win32/api/restartmanager/ns-restartmanager-rm_unique_process</x:v>
      </x:c>
      <x:c r="F31" s="35" t="str">
        <x:v>Members</x:v>
      </x:c>
      <x:c r="G31" s="35" t="str">
        <x:v>Identificación de proceso mediante PID y tiempo de creación.</x:v>
      </x:c>
      <x:c r="H31" s="35" t="str">
        <x:v>85e053da03c91dc097e5b4943545a488e6ed157d128ac764cfd3c49d6c7849c3</x:v>
      </x:c>
      <x:c r="I31" s="35" t="n">
        <x:v>50868</x:v>
      </x:c>
    </x:row>
    <x:row r="32" ht="47" customHeight="1">
      <x:c r="A32" s="35" t="str">
        <x:v>T015</x:v>
      </x:c>
      <x:c r="B32" s="35" t="str">
        <x:v>Microsoft</x:v>
      </x:c>
      <x:c r="C32" s="35" t="str">
        <x:v>CreateProcessW</x:v>
      </x:c>
      <x:c r="D32" s="35" t="str">
        <x:v>Metadato ms.date=2018-12-05; captura de 08–09-09-2026</x:v>
      </x:c>
      <x:c r="E32" s="35" t="str">
        <x:v>https://learn.microsoft.com/en-us/windows/win32/api/processthreadsapi/nf-processthreadsapi-createprocessw</x:v>
      </x:c>
      <x:c r="F32" s="35" t="str">
        <x:v>Return value</x:v>
      </x:c>
      <x:c r="G32" s="35" t="str">
        <x:v>Creación anterior a la terminación de la inicialización.</x:v>
      </x:c>
      <x:c r="H32" s="35" t="str">
        <x:v>11a98c6ebf66ed61dd65bfdd30b0d41a109e9095efb25dbf4084d03a310ddf04</x:v>
      </x:c>
      <x:c r="I32" s="35" t="n">
        <x:v>76621</x:v>
      </x:c>
    </x:row>
    <x:row r="33" ht="47" customHeight="1">
      <x:c r="A33" s="35" t="str">
        <x:v>T016</x:v>
      </x:c>
      <x:c r="B33" s="35" t="str">
        <x:v>Microsoft</x:v>
      </x:c>
      <x:c r="C33" s="35" t="str">
        <x:v>Terminating a Process</x:v>
      </x:c>
      <x:c r="D33" s="35" t="str">
        <x:v>Metadato ms.date=2025-07-14; captura de 08–09-09-2026</x:v>
      </x:c>
      <x:c r="E33" s="35" t="str">
        <x:v>https://learn.microsoft.com/en-us/windows/win32/procthread/terminating-a-process</x:v>
      </x:c>
      <x:c r="F33" s="35" t="str">
        <x:v>How Processes are Terminated</x:v>
      </x:c>
      <x:c r="G33" s="35" t="str">
        <x:v>Procesos hijos y permanencia de objetos por referencias externas.</x:v>
      </x:c>
      <x:c r="H33" s="35" t="str">
        <x:v>86170fc387e742c7eebce69f9e046e8eed77e60bac7036da8bb23c03494769f3</x:v>
      </x:c>
      <x:c r="I33" s="35" t="n">
        <x:v>55831</x:v>
      </x:c>
    </x:row>
    <x:row r="34" ht="47" customHeight="1">
      <x:c r="A34" s="35" t="str">
        <x:v>R001</x:v>
      </x:c>
      <x:c r="B34" s="35" t="str">
        <x:v>Universidad Rey Juan Carlos</x:v>
      </x:c>
      <x:c r="C34" s="35" t="str">
        <x:v>FUNDAMENTOS FISICOS DE LA INFORMATICA. Guía docente del Grado en Ingeniería de la Ciberseguridad</x:v>
      </x:c>
      <x:c r="D34" s="35" t="str">
        <x:v>Curso 2026–2027</x:v>
      </x:c>
      <x:c r="E34" s="35" t="str">
        <x:v>https://gestion3.urjc.es/guiasdocentes/pdfGuia.jsp?txtAsignatura=2285001&amp;txtTitulacion=2285&amp;txtCursoAcademico=2026-27</x:v>
      </x:c>
      <x:c r="F34" s="35" t="str">
        <x:v>II. Presentación; III. Resultados de aprendizaje; IV. Contenido</x:v>
      </x:c>
      <x:c r="G34" s="35" t="str">
        <x:v>Base educativa. La ficha no constituye por sí sola un parámetro; su función se relaciona con la operación en el catálogo.</x:v>
      </x:c>
      <x:c r="H34" s="35" t="str">
        <x:v>7a86fe97ccbd6fbc869a88f5956df06de9f8c908b3a555c1f08756e8857ca687</x:v>
      </x:c>
      <x:c r="I34" s="35" t="n">
        <x:v>254990</x:v>
      </x:c>
    </x:row>
    <x:row r="35" ht="47" customHeight="1">
      <x:c r="A35" s="35" t="str">
        <x:v>R002</x:v>
      </x:c>
      <x:c r="B35" s="35" t="str">
        <x:v>Universidad Rey Juan Carlos</x:v>
      </x:c>
      <x:c r="C35" s="35" t="str">
        <x:v>INTRODUCCION A LA CIBERSEGURIDAD. Guía docente del Grado en Ingeniería de la Ciberseguridad</x:v>
      </x:c>
      <x:c r="D35" s="35" t="str">
        <x:v>Curso 2026–2027</x:v>
      </x:c>
      <x:c r="E35" s="35" t="str">
        <x:v>https://gestion3.urjc.es/guiasdocentes/pdfGuia.jsp?txtAsignatura=2285002&amp;txtTitulacion=2285&amp;txtCursoAcademico=2026-27</x:v>
      </x:c>
      <x:c r="F35" s="35" t="str">
        <x:v>II. Presentación; III. Resultados de aprendizaje; IV. Contenido</x:v>
      </x:c>
      <x:c r="G35" s="35" t="str">
        <x:v>Base educativa. La ficha no constituye por sí sola un parámetro; su función se relaciona con la operación en el catálogo.</x:v>
      </x:c>
      <x:c r="H35" s="35" t="str">
        <x:v>65f71204ec2a42a8d52dc6310404dec67262cd3e214a592acd39b9d1c75dad9b</x:v>
      </x:c>
      <x:c r="I35" s="35" t="n">
        <x:v>256731</x:v>
      </x:c>
    </x:row>
    <x:row r="36" ht="47" customHeight="1">
      <x:c r="A36" s="35" t="str">
        <x:v>R003</x:v>
      </x:c>
      <x:c r="B36" s="35" t="str">
        <x:v>Universidad Rey Juan Carlos</x:v>
      </x:c>
      <x:c r="C36" s="35" t="str">
        <x:v>INTRODUCCION A LA PROGRAMACION. Guía docente del Grado en Ingeniería de la Ciberseguridad</x:v>
      </x:c>
      <x:c r="D36" s="35" t="str">
        <x:v>Curso 2026–2027</x:v>
      </x:c>
      <x:c r="E36" s="35" t="str">
        <x:v>https://gestion3.urjc.es/guiasdocentes/pdfGuia.jsp?txtAsignatura=2285003&amp;txtTitulacion=2285&amp;txtCursoAcademico=2026-27</x:v>
      </x:c>
      <x:c r="F36" s="35" t="str">
        <x:v>II. Presentación; III. Resultados de aprendizaje; IV. Contenido</x:v>
      </x:c>
      <x:c r="G36" s="35" t="str">
        <x:v>Base educativa. La ficha no constituye por sí sola un parámetro; su función se relaciona con la operación en el catálogo.</x:v>
      </x:c>
      <x:c r="H36" s="35" t="str">
        <x:v>2799acb3657da92344d8b0ef05650b0c661de473a21adc76dd79a4cebc503635</x:v>
      </x:c>
      <x:c r="I36" s="35" t="n">
        <x:v>261305</x:v>
      </x:c>
    </x:row>
    <x:row r="37" ht="47" customHeight="1">
      <x:c r="A37" s="35" t="str">
        <x:v>R004</x:v>
      </x:c>
      <x:c r="B37" s="35" t="str">
        <x:v>Universidad Rey Juan Carlos</x:v>
      </x:c>
      <x:c r="C37" s="35" t="str">
        <x:v>LOGICA. Guía docente del Grado en Ingeniería de la Ciberseguridad</x:v>
      </x:c>
      <x:c r="D37" s="35" t="str">
        <x:v>Curso 2026–2027</x:v>
      </x:c>
      <x:c r="E37" s="35" t="str">
        <x:v>https://gestion3.urjc.es/guiasdocentes/pdfGuia.jsp?txtAsignatura=2285004&amp;txtTitulacion=2285&amp;txtCursoAcademico=2026-27</x:v>
      </x:c>
      <x:c r="F37" s="35" t="str">
        <x:v>II. Presentación; III. Resultados de aprendizaje; IV. Contenido</x:v>
      </x:c>
      <x:c r="G37" s="35" t="str">
        <x:v>Base educativa. La ficha no constituye por sí sola un parámetro; su función se relaciona con la operación en el catálogo.</x:v>
      </x:c>
      <x:c r="H37" s="35" t="str">
        <x:v>ec4de8fc685f03fd4b6fcd918ef9078cb4ce118547ff1b2d6f9bd84d25d7ebf5</x:v>
      </x:c>
      <x:c r="I37" s="35" t="n">
        <x:v>240994</x:v>
      </x:c>
    </x:row>
    <x:row r="38" ht="47" customHeight="1">
      <x:c r="A38" s="35" t="str">
        <x:v>R005</x:v>
      </x:c>
      <x:c r="B38" s="35" t="str">
        <x:v>Universidad Rey Juan Carlos</x:v>
      </x:c>
      <x:c r="C38" s="35" t="str">
        <x:v>MATEMATICA DISCRETA Y ALGEBRA. Guía docente del Grado en Ingeniería de la Ciberseguridad</x:v>
      </x:c>
      <x:c r="D38" s="35" t="str">
        <x:v>Curso 2026–2027</x:v>
      </x:c>
      <x:c r="E38" s="35" t="str">
        <x:v>https://gestion3.urjc.es/guiasdocentes/pdfGuia.jsp?txtAsignatura=2285005&amp;txtTitulacion=2285&amp;txtCursoAcademico=2026-27</x:v>
      </x:c>
      <x:c r="F38" s="35" t="str">
        <x:v>II. Presentación; III. Resultados de aprendizaje; IV. Contenido</x:v>
      </x:c>
      <x:c r="G38" s="35" t="str">
        <x:v>Base educativa. La ficha no constituye por sí sola un parámetro; su función se relaciona con la operación en el catálogo.</x:v>
      </x:c>
      <x:c r="H38" s="35" t="str">
        <x:v>2b93570b279b512d512199b89658c3299d13b0075a0b3e7bba84f3124fb37542</x:v>
      </x:c>
      <x:c r="I38" s="35" t="n">
        <x:v>263194</x:v>
      </x:c>
    </x:row>
    <x:row r="39" ht="47" customHeight="1">
      <x:c r="A39" s="35" t="str">
        <x:v>R006</x:v>
      </x:c>
      <x:c r="B39" s="35" t="str">
        <x:v>Universidad Rey Juan Carlos</x:v>
      </x:c>
      <x:c r="C39" s="35" t="str">
        <x:v>CALCULO. Guía docente del Grado en Ingeniería de la Ciberseguridad</x:v>
      </x:c>
      <x:c r="D39" s="35" t="str">
        <x:v>Curso 2026–2027</x:v>
      </x:c>
      <x:c r="E39" s="35" t="str">
        <x:v>https://gestion3.urjc.es/guiasdocentes/pdfGuia.jsp?txtAsignatura=2285006&amp;txtTitulacion=2285&amp;txtCursoAcademico=2026-27</x:v>
      </x:c>
      <x:c r="F39" s="35" t="str">
        <x:v>II. Presentación; III. Resultados de aprendizaje; IV. Contenido</x:v>
      </x:c>
      <x:c r="G39" s="35" t="str">
        <x:v>Base educativa. La ficha no constituye por sí sola un parámetro; su función se relaciona con la operación en el catálogo.</x:v>
      </x:c>
      <x:c r="H39" s="35" t="str">
        <x:v>3a3875fd4d077876f4918bc974e217afa3408202f710a18a4fb647c538a0c134</x:v>
      </x:c>
      <x:c r="I39" s="35" t="n">
        <x:v>260726</x:v>
      </x:c>
    </x:row>
    <x:row r="40" ht="47" customHeight="1">
      <x:c r="A40" s="35" t="str">
        <x:v>R007</x:v>
      </x:c>
      <x:c r="B40" s="35" t="str">
        <x:v>Universidad Rey Juan Carlos</x:v>
      </x:c>
      <x:c r="C40" s="35" t="str">
        <x:v>CRIPTOGRAFIA. Guía docente del Grado en Ingeniería de la Ciberseguridad</x:v>
      </x:c>
      <x:c r="D40" s="35" t="str">
        <x:v>Curso 2026–2027</x:v>
      </x:c>
      <x:c r="E40" s="35" t="str">
        <x:v>https://gestion3.urjc.es/guiasdocentes/pdfGuia.jsp?txtAsignatura=2285007&amp;txtTitulacion=2285&amp;txtCursoAcademico=2026-27</x:v>
      </x:c>
      <x:c r="F40" s="35" t="str">
        <x:v>II. Presentación; III. Resultados de aprendizaje; IV. Contenido</x:v>
      </x:c>
      <x:c r="G40" s="35" t="str">
        <x:v>Base educativa. La ficha no constituye por sí sola un parámetro; su función se relaciona con la operación en el catálogo.</x:v>
      </x:c>
      <x:c r="H40" s="35" t="str">
        <x:v>4a92430c8179d6cb4fbde6b8291837f079207e954edaa2f3108b8d1b5429b228</x:v>
      </x:c>
      <x:c r="I40" s="35" t="n">
        <x:v>276448</x:v>
      </x:c>
    </x:row>
    <x:row r="41" ht="47" customHeight="1">
      <x:c r="A41" s="35" t="str">
        <x:v>R008</x:v>
      </x:c>
      <x:c r="B41" s="35" t="str">
        <x:v>Universidad Rey Juan Carlos</x:v>
      </x:c>
      <x:c r="C41" s="35" t="str">
        <x:v>DIMENSIONES Y MODELO DE LA SEGURIDAD. Guía docente del Grado en Ingeniería de la Ciberseguridad</x:v>
      </x:c>
      <x:c r="D41" s="35" t="str">
        <x:v>Curso 2026–2027</x:v>
      </x:c>
      <x:c r="E41" s="35" t="str">
        <x:v>https://gestion3.urjc.es/guiasdocentes/pdfGuia.jsp?txtAsignatura=2285008&amp;txtTitulacion=2285&amp;txtCursoAcademico=2026-27</x:v>
      </x:c>
      <x:c r="F41" s="35" t="str">
        <x:v>II. Presentación; III. Resultados de aprendizaje; IV. Contenido</x:v>
      </x:c>
      <x:c r="G41" s="35" t="str">
        <x:v>Base educativa. La ficha no constituye por sí sola un parámetro; su función se relaciona con la operación en el catálogo.</x:v>
      </x:c>
      <x:c r="H41" s="35" t="str">
        <x:v>66f03609162789eb126ef5d82681953692ef1bb13be1c8251031a4abba09f79f</x:v>
      </x:c>
      <x:c r="I41" s="35" t="n">
        <x:v>244396</x:v>
      </x:c>
    </x:row>
    <x:row r="42" ht="47" customHeight="1">
      <x:c r="A42" s="35" t="str">
        <x:v>R009</x:v>
      </x:c>
      <x:c r="B42" s="35" t="str">
        <x:v>Universidad Rey Juan Carlos</x:v>
      </x:c>
      <x:c r="C42" s="35" t="str">
        <x:v>ESTADISTICA. Guía docente del Grado en Ingeniería de la Ciberseguridad</x:v>
      </x:c>
      <x:c r="D42" s="35" t="str">
        <x:v>Curso 2026–2027</x:v>
      </x:c>
      <x:c r="E42" s="35" t="str">
        <x:v>https://gestion3.urjc.es/guiasdocentes/pdfGuia.jsp?txtAsignatura=2285009&amp;txtTitulacion=2285&amp;txtCursoAcademico=2026-27</x:v>
      </x:c>
      <x:c r="F42" s="35" t="str">
        <x:v>II. Presentación; III. Resultados de aprendizaje; IV. Contenido</x:v>
      </x:c>
      <x:c r="G42" s="35" t="str">
        <x:v>Base educativa. La ficha no constituye por sí sola un parámetro; su función se relaciona con la operación en el catálogo.</x:v>
      </x:c>
      <x:c r="H42" s="35" t="str">
        <x:v>16d200dfa93afae5a9259cf199fd4be17c95e51af4417dc2fbe0f8a9ac903a6f</x:v>
      </x:c>
      <x:c r="I42" s="35" t="n">
        <x:v>234897</x:v>
      </x:c>
    </x:row>
    <x:row r="43" ht="47" customHeight="1">
      <x:c r="A43" s="35" t="str">
        <x:v>R010</x:v>
      </x:c>
      <x:c r="B43" s="35" t="str">
        <x:v>Universidad Rey Juan Carlos</x:v>
      </x:c>
      <x:c r="C43" s="35" t="str">
        <x:v>ESTRUCTURAS DE DATOS. Guía docente del Grado en Ingeniería de la Ciberseguridad</x:v>
      </x:c>
      <x:c r="D43" s="35" t="str">
        <x:v>Curso 2026–2027</x:v>
      </x:c>
      <x:c r="E43" s="35" t="str">
        <x:v>https://gestion3.urjc.es/guiasdocentes/pdfGuia.jsp?txtAsignatura=2285010&amp;txtTitulacion=2285&amp;txtCursoAcademico=2026-27</x:v>
      </x:c>
      <x:c r="F43" s="35" t="str">
        <x:v>II. Presentación; III. Resultados de aprendizaje; IV. Contenido</x:v>
      </x:c>
      <x:c r="G43" s="35" t="str">
        <x:v>Base educativa. La ficha no constituye por sí sola un parámetro; su función se relaciona con la operación en el catálogo.</x:v>
      </x:c>
      <x:c r="H43" s="35" t="str">
        <x:v>a64f1e5e5d8c98920a06723a59db00fb7ef641b33d8045fec866bf87b88f85fe</x:v>
      </x:c>
      <x:c r="I43" s="35" t="n">
        <x:v>282245</x:v>
      </x:c>
    </x:row>
    <x:row r="44" ht="47" customHeight="1">
      <x:c r="A44" s="35" t="str">
        <x:v>R011</x:v>
      </x:c>
      <x:c r="B44" s="35" t="str">
        <x:v>Universidad Rey Juan Carlos</x:v>
      </x:c>
      <x:c r="C44" s="35" t="str">
        <x:v>METODOS OPERATIVOS Y ESTADISTICOS DE GESTION. Guía docente del Grado en Ingeniería de la Ciberseguridad</x:v>
      </x:c>
      <x:c r="D44" s="35" t="str">
        <x:v>Curso 2026–2027</x:v>
      </x:c>
      <x:c r="E44" s="35" t="str">
        <x:v>https://gestion3.urjc.es/guiasdocentes/pdfGuia.jsp?txtAsignatura=2285011&amp;txtTitulacion=2285&amp;txtCursoAcademico=2026-27</x:v>
      </x:c>
      <x:c r="F44" s="35" t="str">
        <x:v>II. Presentación; III. Resultados de aprendizaje; IV. Contenido</x:v>
      </x:c>
      <x:c r="G44" s="35" t="str">
        <x:v>Base educativa. La ficha no constituye por sí sola un parámetro; su función se relaciona con la operación en el catálogo.</x:v>
      </x:c>
      <x:c r="H44" s="35" t="str">
        <x:v>e74bfbb745292ca76d0f47cd70a8d4eeaff9a879f02865a8084a20d70b1fac6b</x:v>
      </x:c>
      <x:c r="I44" s="35" t="n">
        <x:v>242475</x:v>
      </x:c>
    </x:row>
    <x:row r="45" ht="47" customHeight="1">
      <x:c r="A45" s="35" t="str">
        <x:v>R012</x:v>
      </x:c>
      <x:c r="B45" s="35" t="str">
        <x:v>Universidad Rey Juan Carlos</x:v>
      </x:c>
      <x:c r="C45" s="35" t="str">
        <x:v>PRINCIPIOS JURIDICOS BASICOS APLICADOS A LA CIBERSEGURIDAD. Guía docente del Grado en Ingeniería de la Ciberseguridad</x:v>
      </x:c>
      <x:c r="D45" s="35" t="str">
        <x:v>Curso 2026–2027</x:v>
      </x:c>
      <x:c r="E45" s="35" t="str">
        <x:v>https://gestion3.urjc.es/guiasdocentes/pdfGuia.jsp?txtAsignatura=2285012&amp;txtTitulacion=2285&amp;txtCursoAcademico=2026-27</x:v>
      </x:c>
      <x:c r="F45" s="35" t="str">
        <x:v>II. Presentación; III. Resultados de aprendizaje; IV. Contenido</x:v>
      </x:c>
      <x:c r="G45" s="35" t="str">
        <x:v>Base educativa. La ficha no constituye por sí sola un parámetro; su función se relaciona con la operación en el catálogo.</x:v>
      </x:c>
      <x:c r="H45" s="35" t="str">
        <x:v>58ed064b67fb961561aa7eb8aa34b6edb818dd0f8fc598cad50865b410cb515d</x:v>
      </x:c>
      <x:c r="I45" s="35" t="n">
        <x:v>295215</x:v>
      </x:c>
    </x:row>
    <x:row r="46" ht="47" customHeight="1">
      <x:c r="A46" s="35" t="str">
        <x:v>R013</x:v>
      </x:c>
      <x:c r="B46" s="35" t="str">
        <x:v>Universidad Rey Juan Carlos</x:v>
      </x:c>
      <x:c r="C46" s="35" t="str">
        <x:v>PROGRAMACION AVANZADA. Guía docente del Grado en Ingeniería de la Ciberseguridad</x:v>
      </x:c>
      <x:c r="D46" s="35" t="str">
        <x:v>Curso 2026–2027</x:v>
      </x:c>
      <x:c r="E46" s="35" t="str">
        <x:v>https://gestion3.urjc.es/guiasdocentes/pdfGuia.jsp?txtAsignatura=2285013&amp;txtTitulacion=2285&amp;txtCursoAcademico=2026-27</x:v>
      </x:c>
      <x:c r="F46" s="35" t="str">
        <x:v>II. Presentación; III. Resultados de aprendizaje; IV. Contenido</x:v>
      </x:c>
      <x:c r="G46" s="35" t="str">
        <x:v>Base educativa. La ficha no constituye por sí sola un parámetro; su función se relaciona con la operación en el catálogo.</x:v>
      </x:c>
      <x:c r="H46" s="35" t="str">
        <x:v>e669ce8a330d119882bcd1241bfdd4fc4659ec5c916aaa5700f1b844a4e38c2e</x:v>
      </x:c>
      <x:c r="I46" s="35" t="n">
        <x:v>296422</x:v>
      </x:c>
    </x:row>
    <x:row r="47" ht="47" customHeight="1">
      <x:c r="A47" s="35" t="str">
        <x:v>R014</x:v>
      </x:c>
      <x:c r="B47" s="35" t="str">
        <x:v>Universidad Rey Juan Carlos</x:v>
      </x:c>
      <x:c r="C47" s="35" t="str">
        <x:v>REDES DE COMPUTADORES. Guía docente del Grado en Ingeniería de la Ciberseguridad</x:v>
      </x:c>
      <x:c r="D47" s="35" t="str">
        <x:v>Curso 2026–2027</x:v>
      </x:c>
      <x:c r="E47" s="35" t="str">
        <x:v>https://gestion3.urjc.es/guiasdocentes/pdfGuia.jsp?txtAsignatura=2285014&amp;txtTitulacion=2285&amp;txtCursoAcademico=2026-27</x:v>
      </x:c>
      <x:c r="F47" s="35" t="str">
        <x:v>II. Presentación; III. Resultados de aprendizaje; IV. Contenido</x:v>
      </x:c>
      <x:c r="G47" s="35" t="str">
        <x:v>Base educativa. La ficha no constituye por sí sola un parámetro; su función se relaciona con la operación en el catálogo.</x:v>
      </x:c>
      <x:c r="H47" s="35" t="str">
        <x:v>ca29157aa82c65f5bd4837e5ce24e761e315a22efb233d1009096a1d9a7d90f3</x:v>
      </x:c>
      <x:c r="I47" s="35" t="n">
        <x:v>280984</x:v>
      </x:c>
    </x:row>
    <x:row r="48" ht="47" customHeight="1">
      <x:c r="A48" s="35" t="str">
        <x:v>R015</x:v>
      </x:c>
      <x:c r="B48" s="35" t="str">
        <x:v>Universidad Rey Juan Carlos</x:v>
      </x:c>
      <x:c r="C48" s="35" t="str">
        <x:v>TECNICAS DE HACKING. Guía docente del Grado en Ingeniería de la Ciberseguridad</x:v>
      </x:c>
      <x:c r="D48" s="35" t="str">
        <x:v>Curso 2026–2027</x:v>
      </x:c>
      <x:c r="E48" s="35" t="str">
        <x:v>https://gestion3.urjc.es/guiasdocentes/pdfGuia.jsp?txtAsignatura=2285015&amp;txtTitulacion=2285&amp;txtCursoAcademico=2026-27</x:v>
      </x:c>
      <x:c r="F48" s="35" t="str">
        <x:v>II. Presentación; III. Resultados de aprendizaje; IV. Contenido</x:v>
      </x:c>
      <x:c r="G48" s="35" t="str">
        <x:v>Base educativa. La ficha no constituye por sí sola un parámetro; su función se relaciona con la operación en el catálogo.</x:v>
      </x:c>
      <x:c r="H48" s="35" t="str">
        <x:v>e8e5dc75c5cfd6f8f096d5a892013167f5d971468b3fe0385246f096374d2187</x:v>
      </x:c>
      <x:c r="I48" s="35" t="n">
        <x:v>275514</x:v>
      </x:c>
    </x:row>
    <x:row r="49" ht="47" customHeight="1">
      <x:c r="A49" s="35" t="str">
        <x:v>R016</x:v>
      </x:c>
      <x:c r="B49" s="35" t="str">
        <x:v>Universidad Rey Juan Carlos</x:v>
      </x:c>
      <x:c r="C49" s="35" t="str">
        <x:v>BASES DE DATOS. Guía docente del Grado en Ingeniería de la Ciberseguridad</x:v>
      </x:c>
      <x:c r="D49" s="35" t="str">
        <x:v>Curso 2026–2027</x:v>
      </x:c>
      <x:c r="E49" s="35" t="str">
        <x:v>https://gestion3.urjc.es/guiasdocentes/pdfGuia.jsp?txtAsignatura=2285016&amp;txtTitulacion=2285&amp;txtCursoAcademico=2026-27</x:v>
      </x:c>
      <x:c r="F49" s="35" t="str">
        <x:v>II. Presentación; III. Resultados de aprendizaje; IV. Contenido</x:v>
      </x:c>
      <x:c r="G49" s="35" t="str">
        <x:v>Base educativa. La ficha no constituye por sí sola un parámetro; su función se relaciona con la operación en el catálogo.</x:v>
      </x:c>
      <x:c r="H49" s="35" t="str">
        <x:v>8601dd695e0b06e4e7543aabca3351cfa0a8fcb6ebc2dab91468d613243e5052</x:v>
      </x:c>
      <x:c r="I49" s="35" t="n">
        <x:v>281216</x:v>
      </x:c>
    </x:row>
    <x:row r="50" ht="47" customHeight="1">
      <x:c r="A50" s="35" t="str">
        <x:v>R017</x:v>
      </x:c>
      <x:c r="B50" s="35" t="str">
        <x:v>Universidad Rey Juan Carlos</x:v>
      </x:c>
      <x:c r="C50" s="35" t="str">
        <x:v>DESARROLLO WEB SEGURO. Guía docente del Grado en Ingeniería de la Ciberseguridad</x:v>
      </x:c>
      <x:c r="D50" s="35" t="str">
        <x:v>Curso 2026–2027</x:v>
      </x:c>
      <x:c r="E50" s="35" t="str">
        <x:v>https://gestion3.urjc.es/guiasdocentes/pdfGuia.jsp?txtAsignatura=2285017&amp;txtTitulacion=2285&amp;txtCursoAcademico=2026-27</x:v>
      </x:c>
      <x:c r="F50" s="35" t="str">
        <x:v>II. Presentación; III. Resultados de aprendizaje; IV. Contenido</x:v>
      </x:c>
      <x:c r="G50" s="35" t="str">
        <x:v>Base educativa. La ficha no constituye por sí sola un parámetro; su función se relaciona con la operación en el catálogo.</x:v>
      </x:c>
      <x:c r="H50" s="35" t="str">
        <x:v>5465ada8497dc5e55e6d662cc47d2f8aeb54ecea934bbeac8ea92f0ae7fc121f</x:v>
      </x:c>
      <x:c r="I50" s="35" t="n">
        <x:v>307413</x:v>
      </x:c>
    </x:row>
    <x:row r="51" ht="47" customHeight="1">
      <x:c r="A51" s="35" t="str">
        <x:v>R018</x:v>
      </x:c>
      <x:c r="B51" s="35" t="str">
        <x:v>Universidad Rey Juan Carlos</x:v>
      </x:c>
      <x:c r="C51" s="35" t="str">
        <x:v>ESTRUCTURA DE COMPUTADORES. Guía docente del Grado en Ingeniería de la Ciberseguridad</x:v>
      </x:c>
      <x:c r="D51" s="35" t="str">
        <x:v>Curso 2026–2027</x:v>
      </x:c>
      <x:c r="E51" s="35" t="str">
        <x:v>https://gestion3.urjc.es/guiasdocentes/pdfGuia.jsp?txtAsignatura=2285018&amp;txtTitulacion=2285&amp;txtCursoAcademico=2026-27</x:v>
      </x:c>
      <x:c r="F51" s="35" t="str">
        <x:v>II. Presentación; III. Resultados de aprendizaje; IV. Contenido</x:v>
      </x:c>
      <x:c r="G51" s="35" t="str">
        <x:v>Base educativa. La ficha no constituye por sí sola un parámetro; su función se relaciona con la operación en el catálogo.</x:v>
      </x:c>
      <x:c r="H51" s="35" t="str">
        <x:v>bec4547aa87fcc83d2dd5fc3c29942044bb8539ab0a35399b30ccea7323292ac</x:v>
      </x:c>
      <x:c r="I51" s="35" t="n">
        <x:v>281518</x:v>
      </x:c>
    </x:row>
    <x:row r="52" ht="47" customHeight="1">
      <x:c r="A52" s="35" t="str">
        <x:v>R019</x:v>
      </x:c>
      <x:c r="B52" s="35" t="str">
        <x:v>Universidad Rey Juan Carlos</x:v>
      </x:c>
      <x:c r="C52" s="35" t="str">
        <x:v>SEGURIDAD EN REDES. Guía docente del Grado en Ingeniería de la Ciberseguridad</x:v>
      </x:c>
      <x:c r="D52" s="35" t="str">
        <x:v>Curso 2026–2027</x:v>
      </x:c>
      <x:c r="E52" s="35" t="str">
        <x:v>https://gestion3.urjc.es/guiasdocentes/pdfGuia.jsp?txtAsignatura=2285019&amp;txtTitulacion=2285&amp;txtCursoAcademico=2026-27</x:v>
      </x:c>
      <x:c r="F52" s="35" t="str">
        <x:v>II. Presentación; III. Resultados de aprendizaje; IV. Contenido</x:v>
      </x:c>
      <x:c r="G52" s="35" t="str">
        <x:v>Base educativa. La ficha no constituye por sí sola un parámetro; su función se relaciona con la operación en el catálogo.</x:v>
      </x:c>
      <x:c r="H52" s="35" t="str">
        <x:v>28fa6b9d4179df1df651cea072042ee3186da0af9e95404071fd0fcd1ddb84b4</x:v>
      </x:c>
      <x:c r="I52" s="35" t="n">
        <x:v>258731</x:v>
      </x:c>
    </x:row>
    <x:row r="53" ht="47" customHeight="1">
      <x:c r="A53" s="35" t="str">
        <x:v>R020</x:v>
      </x:c>
      <x:c r="B53" s="35" t="str">
        <x:v>Universidad Rey Juan Carlos</x:v>
      </x:c>
      <x:c r="C53" s="35" t="str">
        <x:v>IDIOMA MODERNO. Guía docente del Grado en Ingeniería de la Ciberseguridad</x:v>
      </x:c>
      <x:c r="D53" s="35" t="str">
        <x:v>Curso 2026–2027</x:v>
      </x:c>
      <x:c r="E53" s="35" t="str">
        <x:v>https://gestion3.urjc.es/guiasdocentes/pdfGuia.jsp?txtAsignatura=2285020&amp;txtTitulacion=2285&amp;txtCursoAcademico=2026-27</x:v>
      </x:c>
      <x:c r="F53" s="35" t="str">
        <x:v>II. Presentación; III. Resultados de aprendizaje; IV. Contenido</x:v>
      </x:c>
      <x:c r="G53" s="35" t="str">
        <x:v>Base educativa. La ficha no constituye por sí sola un parámetro; su función se relaciona con la operación en el catálogo.</x:v>
      </x:c>
      <x:c r="H53" s="35" t="str">
        <x:v>43411520b5d33d815da08e0a581a84cce2e8dc5a2d29e57a29ab42e8ec43cf78</x:v>
      </x:c>
      <x:c r="I53" s="35" t="n">
        <x:v>552946</x:v>
      </x:c>
    </x:row>
    <x:row r="54" ht="47" customHeight="1">
      <x:c r="A54" s="35" t="str">
        <x:v>R021</x:v>
      </x:c>
      <x:c r="B54" s="35" t="str">
        <x:v>Universidad Rey Juan Carlos</x:v>
      </x:c>
      <x:c r="C54" s="35" t="str">
        <x:v>ARQUITECTURA DE COMPUTADORES. Guía docente del Grado en Ingeniería de la Ciberseguridad</x:v>
      </x:c>
      <x:c r="D54" s="35" t="str">
        <x:v>Curso 2026–2027</x:v>
      </x:c>
      <x:c r="E54" s="35" t="str">
        <x:v>https://gestion3.urjc.es/guiasdocentes/pdfGuia.jsp?txtAsignatura=2285021&amp;txtTitulacion=2285&amp;txtCursoAcademico=2026-27</x:v>
      </x:c>
      <x:c r="F54" s="35" t="str">
        <x:v>II. Presentación; III. Resultados de aprendizaje; IV. Contenido</x:v>
      </x:c>
      <x:c r="G54" s="35" t="str">
        <x:v>Base educativa. La ficha no constituye por sí sola un parámetro; su función se relaciona con la operación en el catálogo.</x:v>
      </x:c>
      <x:c r="H54" s="35" t="str">
        <x:v>743f98e8b904d2359f4bc05e9f7bda346c341b8a619d1f798d5a7c007f4c41d0</x:v>
      </x:c>
      <x:c r="I54" s="35" t="n">
        <x:v>261643</x:v>
      </x:c>
    </x:row>
    <x:row r="55" ht="47" customHeight="1">
      <x:c r="A55" s="35" t="str">
        <x:v>R022</x:v>
      </x:c>
      <x:c r="B55" s="35" t="str">
        <x:v>Universidad Rey Juan Carlos</x:v>
      </x:c>
      <x:c r="C55" s="35" t="str">
        <x:v>DISEÑO Y ANALISIS DE ALGORITMOS. Guía docente del Grado en Ingeniería de la Ciberseguridad</x:v>
      </x:c>
      <x:c r="D55" s="35" t="str">
        <x:v>Curso 2026–2027</x:v>
      </x:c>
      <x:c r="E55" s="35" t="str">
        <x:v>https://gestion3.urjc.es/guiasdocentes/pdfGuia.jsp?txtAsignatura=2285022&amp;txtTitulacion=2285&amp;txtCursoAcademico=2026-27</x:v>
      </x:c>
      <x:c r="F55" s="35" t="str">
        <x:v>II. Presentación; III. Resultados de aprendizaje; IV. Contenido</x:v>
      </x:c>
      <x:c r="G55" s="35" t="str">
        <x:v>Base educativa. La ficha no constituye por sí sola un parámetro; su función se relaciona con la operación en el catálogo.</x:v>
      </x:c>
      <x:c r="H55" s="35" t="str">
        <x:v>18fd4e605adaa5e9a1feabc2679e1d0cd16415266bf45d681fc5387c27a120a6</x:v>
      </x:c>
      <x:c r="I55" s="35" t="n">
        <x:v>255157</x:v>
      </x:c>
    </x:row>
    <x:row r="56" ht="47" customHeight="1">
      <x:c r="A56" s="35" t="str">
        <x:v>R023</x:v>
      </x:c>
      <x:c r="B56" s="35" t="str">
        <x:v>Universidad Rey Juan Carlos</x:v>
      </x:c>
      <x:c r="C56" s="35" t="str">
        <x:v>INGENIERIA DEL SOFTWARE. Guía docente del Grado en Ingeniería de la Ciberseguridad</x:v>
      </x:c>
      <x:c r="D56" s="35" t="str">
        <x:v>Curso 2026–2027</x:v>
      </x:c>
      <x:c r="E56" s="35" t="str">
        <x:v>https://gestion3.urjc.es/guiasdocentes/pdfGuia.jsp?txtAsignatura=2285023&amp;txtTitulacion=2285&amp;txtCursoAcademico=2026-27</x:v>
      </x:c>
      <x:c r="F56" s="35" t="str">
        <x:v>II. Presentación; III. Resultados de aprendizaje; IV. Contenido</x:v>
      </x:c>
      <x:c r="G56" s="35" t="str">
        <x:v>Base educativa. La ficha no constituye por sí sola un parámetro; su función se relaciona con la operación en el catálogo.</x:v>
      </x:c>
      <x:c r="H56" s="35" t="str">
        <x:v>1e34926c4bb524a1516ecb619caf413954ee85240e5ce39acff4f6179954f133</x:v>
      </x:c>
      <x:c r="I56" s="35" t="n">
        <x:v>301478</x:v>
      </x:c>
    </x:row>
    <x:row r="57" ht="47" customHeight="1">
      <x:c r="A57" s="35" t="str">
        <x:v>R024</x:v>
      </x:c>
      <x:c r="B57" s="35" t="str">
        <x:v>Universidad Rey Juan Carlos</x:v>
      </x:c>
      <x:c r="C57" s="35" t="str">
        <x:v>SEGURIDAD EN BASES DE DATOS. Guía docente del Grado en Ingeniería de la Ciberseguridad</x:v>
      </x:c>
      <x:c r="D57" s="35" t="str">
        <x:v>Curso 2026–2027</x:v>
      </x:c>
      <x:c r="E57" s="35" t="str">
        <x:v>https://gestion3.urjc.es/guiasdocentes/pdfGuia.jsp?txtAsignatura=2285024&amp;txtTitulacion=2285&amp;txtCursoAcademico=2026-27</x:v>
      </x:c>
      <x:c r="F57" s="35" t="str">
        <x:v>II. Presentación; III. Resultados de aprendizaje; IV. Contenido</x:v>
      </x:c>
      <x:c r="G57" s="35" t="str">
        <x:v>Base educativa. La ficha no constituye por sí sola un parámetro; su función se relaciona con la operación en el catálogo.</x:v>
      </x:c>
      <x:c r="H57" s="35" t="str">
        <x:v>72d355d6617ab9aa7c357dd1d31b42cb00c13fbd891bf5a698c51ca597d4eec5</x:v>
      </x:c>
      <x:c r="I57" s="35" t="n">
        <x:v>281035</x:v>
      </x:c>
    </x:row>
    <x:row r="58" ht="47" customHeight="1">
      <x:c r="A58" s="35" t="str">
        <x:v>R025</x:v>
      </x:c>
      <x:c r="B58" s="35" t="str">
        <x:v>Universidad Rey Juan Carlos</x:v>
      </x:c>
      <x:c r="C58" s="35" t="str">
        <x:v>SISTEMAS OPERATIVOS. Guía docente del Grado en Ingeniería de la Ciberseguridad</x:v>
      </x:c>
      <x:c r="D58" s="35" t="str">
        <x:v>Curso 2026–2027</x:v>
      </x:c>
      <x:c r="E58" s="35" t="str">
        <x:v>https://gestion3.urjc.es/guiasdocentes/pdfGuia.jsp?txtAsignatura=2285025&amp;txtTitulacion=2285&amp;txtCursoAcademico=2026-27</x:v>
      </x:c>
      <x:c r="F58" s="35" t="str">
        <x:v>II. Presentación; III. Resultados de aprendizaje; IV. Contenido</x:v>
      </x:c>
      <x:c r="G58" s="35" t="str">
        <x:v>Base educativa. La ficha no constituye por sí sola un parámetro; su función se relaciona con la operación en el catálogo.</x:v>
      </x:c>
      <x:c r="H58" s="35" t="str">
        <x:v>b3af36599e0e0358090f8457da07c8994e6c92e02e01368c49c63ca44a24c540</x:v>
      </x:c>
      <x:c r="I58" s="35" t="n">
        <x:v>282277</x:v>
      </x:c>
    </x:row>
    <x:row r="59" ht="47" customHeight="1">
      <x:c r="A59" s="35" t="str">
        <x:v>R026</x:v>
      </x:c>
      <x:c r="B59" s="35" t="str">
        <x:v>Universidad Rey Juan Carlos</x:v>
      </x:c>
      <x:c r="C59" s="35" t="str">
        <x:v>INTELIGENCIA ARTIFICIAL. Guía docente del Grado en Ingeniería de la Ciberseguridad</x:v>
      </x:c>
      <x:c r="D59" s="35" t="str">
        <x:v>Curso 2026–2027</x:v>
      </x:c>
      <x:c r="E59" s="35" t="str">
        <x:v>https://gestion3.urjc.es/guiasdocentes/pdfGuia.jsp?txtAsignatura=2285026&amp;txtTitulacion=2285&amp;txtCursoAcademico=2026-27</x:v>
      </x:c>
      <x:c r="F59" s="35" t="str">
        <x:v>II. Presentación; III. Resultados de aprendizaje; IV. Contenido</x:v>
      </x:c>
      <x:c r="G59" s="35" t="str">
        <x:v>Base educativa. La ficha no constituye por sí sola un parámetro; su función se relaciona con la operación en el catálogo.</x:v>
      </x:c>
      <x:c r="H59" s="35" t="str">
        <x:v>716d4089a3aeeefdb990de12e2e2b2f77cf54d8260f4f4af32d2de84f0904eca</x:v>
      </x:c>
      <x:c r="I59" s="35" t="n">
        <x:v>239664</x:v>
      </x:c>
    </x:row>
    <x:row r="60" ht="47" customHeight="1">
      <x:c r="A60" s="35" t="str">
        <x:v>R027</x:v>
      </x:c>
      <x:c r="B60" s="35" t="str">
        <x:v>Universidad Rey Juan Carlos</x:v>
      </x:c>
      <x:c r="C60" s="35" t="str">
        <x:v>MALWARE Y AMENAZAS DIRIGIDAS. Guía docente del Grado en Ingeniería de la Ciberseguridad</x:v>
      </x:c>
      <x:c r="D60" s="35" t="str">
        <x:v>Curso 2026–2027</x:v>
      </x:c>
      <x:c r="E60" s="35" t="str">
        <x:v>https://gestion3.urjc.es/guiasdocentes/pdfGuia.jsp?txtAsignatura=2285027&amp;txtTitulacion=2285&amp;txtCursoAcademico=2026-27</x:v>
      </x:c>
      <x:c r="F60" s="35" t="str">
        <x:v>II. Presentación; III. Resultados de aprendizaje; IV. Contenido</x:v>
      </x:c>
      <x:c r="G60" s="35" t="str">
        <x:v>Base educativa. La ficha no constituye por sí sola un parámetro; su función se relaciona con la operación en el catálogo.</x:v>
      </x:c>
      <x:c r="H60" s="35" t="str">
        <x:v>f42857213ee5f8d9f36cd61f8f733227d9d8c28e3c88d8a21f1f1b85315e65c7</x:v>
      </x:c>
      <x:c r="I60" s="35" t="n">
        <x:v>278293</x:v>
      </x:c>
    </x:row>
    <x:row r="61" ht="47" customHeight="1">
      <x:c r="A61" s="35" t="str">
        <x:v>R028</x:v>
      </x:c>
      <x:c r="B61" s="35" t="str">
        <x:v>Universidad Rey Juan Carlos</x:v>
      </x:c>
      <x:c r="C61" s="35" t="str">
        <x:v>METODOLOGIAS DE DESARROLLO SEGURO. Guía docente del Grado en Ingeniería de la Ciberseguridad</x:v>
      </x:c>
      <x:c r="D61" s="35" t="str">
        <x:v>Curso 2026–2027</x:v>
      </x:c>
      <x:c r="E61" s="35" t="str">
        <x:v>https://gestion3.urjc.es/guiasdocentes/pdfGuia.jsp?txtAsignatura=2285028&amp;txtTitulacion=2285&amp;txtCursoAcademico=2026-27</x:v>
      </x:c>
      <x:c r="F61" s="35" t="str">
        <x:v>II. Presentación; III. Resultados de aprendizaje; IV. Contenido</x:v>
      </x:c>
      <x:c r="G61" s="35" t="str">
        <x:v>Base educativa. La ficha no constituye por sí sola un parámetro; su función se relaciona con la operación en el catálogo.</x:v>
      </x:c>
      <x:c r="H61" s="35" t="str">
        <x:v>c8884e732d6be694251f4b1fc54b68519fc08b01937168e37a38cfbd8de546b1</x:v>
      </x:c>
      <x:c r="I61" s="35" t="n">
        <x:v>255135</x:v>
      </x:c>
    </x:row>
    <x:row r="62" ht="47" customHeight="1">
      <x:c r="A62" s="35" t="str">
        <x:v>R029</x:v>
      </x:c>
      <x:c r="B62" s="35" t="str">
        <x:v>Universidad Rey Juan Carlos</x:v>
      </x:c>
      <x:c r="C62" s="35" t="str">
        <x:v>REDES AVANZADAS Y COMPUTACION EN LA NUBE. Guía docente del Grado en Ingeniería de la Ciberseguridad</x:v>
      </x:c>
      <x:c r="D62" s="35" t="str">
        <x:v>Curso 2026–2027</x:v>
      </x:c>
      <x:c r="E62" s="35" t="str">
        <x:v>https://gestion3.urjc.es/guiasdocentes/pdfGuia.jsp?txtAsignatura=2285029&amp;txtTitulacion=2285&amp;txtCursoAcademico=2026-27</x:v>
      </x:c>
      <x:c r="F62" s="35" t="str">
        <x:v>II. Presentación; III. Resultados de aprendizaje; IV. Contenido</x:v>
      </x:c>
      <x:c r="G62" s="35" t="str">
        <x:v>Base educativa. La ficha no constituye por sí sola un parámetro; su función se relaciona con la operación en el catálogo.</x:v>
      </x:c>
      <x:c r="H62" s="35" t="str">
        <x:v>d2fb72105f0a559007c217175200578c8029e3b5b89f2615bb4fb893b0d7f91c</x:v>
      </x:c>
      <x:c r="I62" s="35" t="n">
        <x:v>284029</x:v>
      </x:c>
    </x:row>
    <x:row r="63" ht="47" customHeight="1">
      <x:c r="A63" s="35" t="str">
        <x:v>R030</x:v>
      </x:c>
      <x:c r="B63" s="35" t="str">
        <x:v>Universidad Rey Juan Carlos</x:v>
      </x:c>
      <x:c r="C63" s="35" t="str">
        <x:v>SISTEMAS DE INFORMACION. Guía docente del Grado en Ingeniería de la Ciberseguridad</x:v>
      </x:c>
      <x:c r="D63" s="35" t="str">
        <x:v>Curso 2026–2027</x:v>
      </x:c>
      <x:c r="E63" s="35" t="str">
        <x:v>https://gestion3.urjc.es/guiasdocentes/pdfGuia.jsp?txtAsignatura=2285030&amp;txtTitulacion=2285&amp;txtCursoAcademico=2026-27</x:v>
      </x:c>
      <x:c r="F63" s="35" t="str">
        <x:v>II. Presentación; III. Resultados de aprendizaje; IV. Contenido</x:v>
      </x:c>
      <x:c r="G63" s="35" t="str">
        <x:v>Base educativa. La ficha no constituye por sí sola un parámetro; su función se relaciona con la operación en el catálogo.</x:v>
      </x:c>
      <x:c r="H63" s="35" t="str">
        <x:v>8ff2b312b91d143ce13398706e7758263b62fe1c5b54d60b90dbb24acdf26a57</x:v>
      </x:c>
      <x:c r="I63" s="35" t="n">
        <x:v>303996</x:v>
      </x:c>
    </x:row>
    <x:row r="64" ht="47" customHeight="1">
      <x:c r="A64" s="35" t="str">
        <x:v>R031</x:v>
      </x:c>
      <x:c r="B64" s="35" t="str">
        <x:v>Universidad Rey Juan Carlos</x:v>
      </x:c>
      <x:c r="C64" s="35" t="str">
        <x:v>VISION ARTIFICIAL APLICADA A LA CIBERSEGURIDAD. Guía docente del Grado en Ingeniería de la Ciberseguridad</x:v>
      </x:c>
      <x:c r="D64" s="35" t="str">
        <x:v>Curso 2026–2027</x:v>
      </x:c>
      <x:c r="E64" s="35" t="str">
        <x:v>https://gestion3.urjc.es/guiasdocentes/pdfGuia.jsp?txtAsignatura=2285031&amp;txtTitulacion=2285&amp;txtCursoAcademico=2026-27</x:v>
      </x:c>
      <x:c r="F64" s="35" t="str">
        <x:v>II. Presentación; III. Resultados de aprendizaje; IV. Contenido</x:v>
      </x:c>
      <x:c r="G64" s="35" t="str">
        <x:v>Base educativa. La ficha no constituye por sí sola un parámetro; su función se relaciona con la operación en el catálogo.</x:v>
      </x:c>
      <x:c r="H64" s="35" t="str">
        <x:v>17a24ea19e7f52915b6b3a3480b1c24acfea0de6886dc88377d8ea7b922b6acb</x:v>
      </x:c>
      <x:c r="I64" s="35" t="n">
        <x:v>258436</x:v>
      </x:c>
    </x:row>
    <x:row r="65" ht="47" customHeight="1">
      <x:c r="A65" s="35" t="str">
        <x:v>R032</x:v>
      </x:c>
      <x:c r="B65" s="35" t="str">
        <x:v>Universidad Rey Juan Carlos</x:v>
      </x:c>
      <x:c r="C65" s="35" t="str">
        <x:v>AUDITORIA. Guía docente del Grado en Ingeniería de la Ciberseguridad</x:v>
      </x:c>
      <x:c r="D65" s="35" t="str">
        <x:v>Curso 2026–2027</x:v>
      </x:c>
      <x:c r="E65" s="35" t="str">
        <x:v>https://gestion3.urjc.es/guiasdocentes/pdfGuia.jsp?txtAsignatura=2285032&amp;txtTitulacion=2285&amp;txtCursoAcademico=2026-27</x:v>
      </x:c>
      <x:c r="F65" s="35" t="str">
        <x:v>II. Presentación; III. Resultados de aprendizaje; IV. Contenido</x:v>
      </x:c>
      <x:c r="G65" s="35" t="str">
        <x:v>Base educativa. La ficha no constituye por sí sola un parámetro; su función se relaciona con la operación en el catálogo.</x:v>
      </x:c>
      <x:c r="H65" s="35" t="str">
        <x:v>1166067a7d7fb5134c17396a8b4c70cdeb467bcedba13832dfa5b09bf524e835</x:v>
      </x:c>
      <x:c r="I65" s="35" t="n">
        <x:v>235965</x:v>
      </x:c>
    </x:row>
    <x:row r="66" ht="47" customHeight="1">
      <x:c r="A66" s="35" t="str">
        <x:v>R033</x:v>
      </x:c>
      <x:c r="B66" s="35" t="str">
        <x:v>Universidad Rey Juan Carlos</x:v>
      </x:c>
      <x:c r="C66" s="35" t="str">
        <x:v>INTELIGENCIA DE LA SEGURIDAD. Guía docente del Grado en Ingeniería de la Ciberseguridad</x:v>
      </x:c>
      <x:c r="D66" s="35" t="str">
        <x:v>Curso 2026–2027</x:v>
      </x:c>
      <x:c r="E66" s="35" t="str">
        <x:v>https://gestion3.urjc.es/guiasdocentes/pdfGuia.jsp?txtAsignatura=2285033&amp;txtTitulacion=2285&amp;txtCursoAcademico=2026-27</x:v>
      </x:c>
      <x:c r="F66" s="35" t="str">
        <x:v>II. Presentación; III. Resultados de aprendizaje; IV. Contenido</x:v>
      </x:c>
      <x:c r="G66" s="35" t="str">
        <x:v>Base educativa. La ficha no constituye por sí sola un parámetro; su función se relaciona con la operación en el catálogo.</x:v>
      </x:c>
      <x:c r="H66" s="35" t="str">
        <x:v>951ba49ae08e05ed51c8a017382fdd0c44d4d044848571e759a6962ed2f7f314</x:v>
      </x:c>
      <x:c r="I66" s="35" t="n">
        <x:v>255674</x:v>
      </x:c>
    </x:row>
    <x:row r="67" ht="47" customHeight="1">
      <x:c r="A67" s="35" t="str">
        <x:v>R034</x:v>
      </x:c>
      <x:c r="B67" s="35" t="str">
        <x:v>Universidad Rey Juan Carlos</x:v>
      </x:c>
      <x:c r="C67" s="35" t="str">
        <x:v>PENTESTING. Guía docente del Grado en Ingeniería de la Ciberseguridad</x:v>
      </x:c>
      <x:c r="D67" s="35" t="str">
        <x:v>Curso 2026–2027</x:v>
      </x:c>
      <x:c r="E67" s="35" t="str">
        <x:v>https://gestion3.urjc.es/guiasdocentes/pdfGuia.jsp?txtAsignatura=2285034&amp;txtTitulacion=2285&amp;txtCursoAcademico=2026-27</x:v>
      </x:c>
      <x:c r="F67" s="35" t="str">
        <x:v>II. Presentación; III. Resultados de aprendizaje; IV. Contenido</x:v>
      </x:c>
      <x:c r="G67" s="35" t="str">
        <x:v>Base educativa. La ficha no constituye por sí sola un parámetro; su función se relaciona con la operación en el catálogo.</x:v>
      </x:c>
      <x:c r="H67" s="35" t="str">
        <x:v>c4c0a89c38f656ba665d21dec80ffcb7315846efadcde52e4c4e561d84bdadd7</x:v>
      </x:c>
      <x:c r="I67" s="35" t="n">
        <x:v>276684</x:v>
      </x:c>
    </x:row>
    <x:row r="68" ht="47" customHeight="1">
      <x:c r="A68" s="35" t="str">
        <x:v>R035</x:v>
      </x:c>
      <x:c r="B68" s="35" t="str">
        <x:v>Universidad Rey Juan Carlos</x:v>
      </x:c>
      <x:c r="C68" s="35" t="str">
        <x:v>ANALISIS Y GESTION DEL RIESGO. Guía docente del Grado en Ingeniería de la Ciberseguridad</x:v>
      </x:c>
      <x:c r="D68" s="35" t="str">
        <x:v>Curso 2026–2027</x:v>
      </x:c>
      <x:c r="E68" s="35" t="str">
        <x:v>https://gestion3.urjc.es/guiasdocentes/pdfGuia.jsp?txtAsignatura=2285036&amp;txtTitulacion=2285&amp;txtCursoAcademico=2026-27</x:v>
      </x:c>
      <x:c r="F68" s="35" t="str">
        <x:v>II. Presentación; III. Resultados de aprendizaje; IV. Contenido</x:v>
      </x:c>
      <x:c r="G68" s="35" t="str">
        <x:v>Base educativa. La ficha no constituye por sí sola un parámetro; su función se relaciona con la operación en el catálogo.</x:v>
      </x:c>
      <x:c r="H68" s="35" t="str">
        <x:v>099a3eb2a03c5040f76ddc3676ae6ed1987e0432626f014812a720fd204c0eea</x:v>
      </x:c>
      <x:c r="I68" s="35" t="n">
        <x:v>278163</x:v>
      </x:c>
    </x:row>
    <x:row r="69" ht="47" customHeight="1">
      <x:c r="A69" s="35" t="str">
        <x:v>R036</x:v>
      </x:c>
      <x:c r="B69" s="35" t="str">
        <x:v>Universidad Rey Juan Carlos</x:v>
      </x:c>
      <x:c r="C69" s="35" t="str">
        <x:v>PROTECCION DE INFRAESTRUCTURAS CRITICAS. Guía docente del Grado en Ingeniería de la Ciberseguridad</x:v>
      </x:c>
      <x:c r="D69" s="35" t="str">
        <x:v>Curso 2026–2027</x:v>
      </x:c>
      <x:c r="E69" s="35" t="str">
        <x:v>https://gestion3.urjc.es/guiasdocentes/pdfGuia.jsp?txtAsignatura=2285037&amp;txtTitulacion=2285&amp;txtCursoAcademico=2026-27</x:v>
      </x:c>
      <x:c r="F69" s="35" t="str">
        <x:v>II. Presentación; III. Resultados de aprendizaje; IV. Contenido</x:v>
      </x:c>
      <x:c r="G69" s="35" t="str">
        <x:v>Base educativa. La ficha no constituye por sí sola un parámetro; su función se relaciona con la operación en el catálogo.</x:v>
      </x:c>
      <x:c r="H69" s="35" t="str">
        <x:v>c911899853f38cab8c3d845e837e43b6adb99aec161edcd0d6168fabba9f9f55</x:v>
      </x:c>
      <x:c r="I69" s="35" t="n">
        <x:v>234641</x:v>
      </x:c>
    </x:row>
    <x:row r="70" ht="47" customHeight="1">
      <x:c r="A70" s="35" t="str">
        <x:v>R037</x:v>
      </x:c>
      <x:c r="B70" s="35" t="str">
        <x:v>Universidad Rey Juan Carlos</x:v>
      </x:c>
      <x:c r="C70" s="35" t="str">
        <x:v>REGULACION Y GOBERNANZA DE LA SEGURIDAD. Guía docente del Grado en Ingeniería de la Ciberseguridad</x:v>
      </x:c>
      <x:c r="D70" s="35" t="str">
        <x:v>Curso 2026–2027</x:v>
      </x:c>
      <x:c r="E70" s="35" t="str">
        <x:v>https://gestion3.urjc.es/guiasdocentes/pdfGuia.jsp?txtAsignatura=2285038&amp;txtTitulacion=2285&amp;txtCursoAcademico=2026-27</x:v>
      </x:c>
      <x:c r="F70" s="35" t="str">
        <x:v>II. Presentación; III. Resultados de aprendizaje; IV. Contenido</x:v>
      </x:c>
      <x:c r="G70" s="35" t="str">
        <x:v>Base educativa. La ficha no constituye por sí sola un parámetro; su función se relaciona con la operación en el catálogo.</x:v>
      </x:c>
      <x:c r="H70" s="35" t="str">
        <x:v>92f21597ea76857a36e6f592bfad6c604751e346260e46caf0acd69beb5082f8</x:v>
      </x:c>
      <x:c r="I70" s="35" t="n">
        <x:v>237085</x:v>
      </x:c>
    </x:row>
    <x:row r="71" ht="47" customHeight="1">
      <x:c r="A71" s="35" t="str">
        <x:v>R038</x:v>
      </x:c>
      <x:c r="B71" s="35" t="str">
        <x:v>Universidad Rey Juan Carlos</x:v>
      </x:c>
      <x:c r="C71" s="35" t="str">
        <x:v>PRACTICAS EXTERNAS. Guía docente del Grado en Ingeniería de la Ciberseguridad</x:v>
      </x:c>
      <x:c r="D71" s="35" t="str">
        <x:v>Curso 2026–2027</x:v>
      </x:c>
      <x:c r="E71" s="35" t="str">
        <x:v>https://gestion3.urjc.es/guiasdocentes/pdfGuia.jsp?txtAsignatura=2285039&amp;txtTitulacion=2285&amp;txtCursoAcademico=2026-27</x:v>
      </x:c>
      <x:c r="F71" s="35" t="str">
        <x:v>II. Presentación; III. Resultados de aprendizaje; IV. Contenido</x:v>
      </x:c>
      <x:c r="G71" s="35" t="str">
        <x:v>Base educativa. La ficha no constituye por sí sola un parámetro; su función se relaciona con la operación en el catálogo.</x:v>
      </x:c>
      <x:c r="H71" s="35" t="str">
        <x:v>8a4ec9299aa0f8e3ef047cefefd9b304dc39ffddfa2b3619bd29e6be6b9be2da</x:v>
      </x:c>
      <x:c r="I71" s="35" t="n">
        <x:v>192722</x:v>
      </x:c>
    </x:row>
    <x:row r="72" ht="47" customHeight="1">
      <x:c r="A72" s="35" t="str">
        <x:v>R039</x:v>
      </x:c>
      <x:c r="B72" s="35" t="str">
        <x:v>Universidad Rey Juan Carlos</x:v>
      </x:c>
      <x:c r="C72" s="35" t="str">
        <x:v>RECONOCIMIENTO ACADEMICO DE CREDITOS. Guía docente del Grado en Ingeniería de la Ciberseguridad</x:v>
      </x:c>
      <x:c r="D72" s="35" t="str">
        <x:v>Curso 2026–2027</x:v>
      </x:c>
      <x:c r="E72" s="35" t="str">
        <x:v>https://gestion3.urjc.es/guiasdocentes/pdfGuia.jsp?txtAsignatura=2285035&amp;txtTitulacion=2285&amp;txtCursoAcademico=2026-27</x:v>
      </x:c>
      <x:c r="F72" s="35" t="str">
        <x:v>II. Presentación; III. Resultados de aprendizaje; IV. Contenido</x:v>
      </x:c>
      <x:c r="G72" s="35" t="str">
        <x:v>Base educativa. La ficha no constituye por sí sola un parámetro; su función se relaciona con la operación en el catálogo.</x:v>
      </x:c>
      <x:c r="H72" s="35" t="str">
        <x:v>fec7f574fc45a4dc21a6badf794e85fa7cc4a4c994618209427770c2b2c34b08</x:v>
      </x:c>
      <x:c r="I72" s="35" t="n">
        <x:v>419263</x:v>
      </x:c>
    </x:row>
    <x:row r="73" ht="47" customHeight="1">
      <x:c r="A73" s="35" t="str">
        <x:v>R040</x:v>
      </x:c>
      <x:c r="B73" s="35" t="str">
        <x:v>Universidad Rey Juan Carlos</x:v>
      </x:c>
      <x:c r="C73" s="35" t="str">
        <x:v>TRABAJO FIN DE GRADO. Guía docente del Grado en Ingeniería de la Ciberseguridad</x:v>
      </x:c>
      <x:c r="D73" s="35" t="str">
        <x:v>Curso 2026–2027</x:v>
      </x:c>
      <x:c r="E73" s="35" t="str">
        <x:v>https://gestion3.urjc.es/guiasdocentes/pdfGuia.jsp?txtAsignatura=2285040&amp;txtTitulacion=2285&amp;txtCursoAcademico=2026-27</x:v>
      </x:c>
      <x:c r="F73" s="35" t="str">
        <x:v>II. Presentación; III. Resultados de aprendizaje; IV. Contenido</x:v>
      </x:c>
      <x:c r="G73" s="35" t="str">
        <x:v>Base educativa. La ficha no constituye por sí sola un parámetro; su función se relaciona con la operación en el catálogo.</x:v>
      </x:c>
      <x:c r="H73" s="35" t="str">
        <x:v>3a173a15d1c352e94c31f0da51cc72f160131ddff092c38622103b9d13e04611</x:v>
      </x:c>
      <x:c r="I73" s="35" t="n">
        <x:v>219436</x:v>
      </x:c>
    </x:row>
    <x:row r="74" ht="47" customHeight="1">
      <x:c r="A74" s="35" t="str">
        <x:v>M001</x:v>
      </x:c>
      <x:c r="B74" s="35" t="str">
        <x:v>UNSW Canberra</x:v>
      </x:c>
      <x:c r="C74" s="35" t="str">
        <x:v>Cyber Security Industry Project 1</x:v>
      </x:c>
      <x:c r="D74" s="35" t="str">
        <x:v>Edición 2026 o 2026–2027 identificada en el catálogo</x:v>
      </x:c>
      <x:c r="E74" s="35" t="str">
        <x:v>https://www.handbook.unsw.edu.au/undergraduate/courses/2026/ZSPS2119</x:v>
      </x:c>
      <x:c r="F74" s="35" t="str">
        <x:v>Descripción y resultados de aprendizaje del curso</x:v>
      </x:c>
      <x:c r="G74" s="35" t="str">
        <x:v>Complemento educativo selectivo; no equivalencia entre títulos o créditos de países distintos.</x:v>
      </x:c>
      <x:c r="H74" s="35" t="str">
        <x:v>1407c5b86575a4633bdfcff893df35718c3c669e5273ee66197c4e4effe76978</x:v>
      </x:c>
      <x:c r="I74" s="35" t="n">
        <x:v>302868</x:v>
      </x:c>
    </x:row>
    <x:row r="75" ht="47" customHeight="1">
      <x:c r="A75" s="35" t="str">
        <x:v>M002</x:v>
      </x:c>
      <x:c r="B75" s="35" t="str">
        <x:v>UNSW Canberra</x:v>
      </x:c>
      <x:c r="C75" s="35" t="str">
        <x:v>Machine Learning for Cyber Security</x:v>
      </x:c>
      <x:c r="D75" s="35" t="str">
        <x:v>Edición 2026 o 2026–2027 identificada en el catálogo</x:v>
      </x:c>
      <x:c r="E75" s="35" t="str">
        <x:v>https://www.handbook.unsw.edu.au/undergraduate/courses/2026/ZSPS2118</x:v>
      </x:c>
      <x:c r="F75" s="35" t="str">
        <x:v>Descripción y resultados de aprendizaje del curso</x:v>
      </x:c>
      <x:c r="G75" s="35" t="str">
        <x:v>Complemento educativo selectivo; no equivalencia entre títulos o créditos de países distintos.</x:v>
      </x:c>
      <x:c r="H75" s="35" t="str">
        <x:v>d7a8d023ff5b8013763fb62ab1ae460262dafbbf8fc328206a795fdce6795631</x:v>
      </x:c>
      <x:c r="I75" s="35" t="n">
        <x:v>299334</x:v>
      </x:c>
    </x:row>
    <x:row r="76" ht="47" customHeight="1">
      <x:c r="A76" s="35" t="str">
        <x:v>M003</x:v>
      </x:c>
      <x:c r="B76" s="35" t="str">
        <x:v>UNSW Canberra</x:v>
      </x:c>
      <x:c r="C76" s="35" t="str">
        <x:v>Trustworthy AI for Cyber Security</x:v>
      </x:c>
      <x:c r="D76" s="35" t="str">
        <x:v>Edición 2026 o 2026–2027 identificada en el catálogo</x:v>
      </x:c>
      <x:c r="E76" s="35" t="str">
        <x:v>https://www.handbook.unsw.edu.au/undergraduate/courses/2026/ZSPS2122</x:v>
      </x:c>
      <x:c r="F76" s="35" t="str">
        <x:v>Descripción y resultados de aprendizaje del curso</x:v>
      </x:c>
      <x:c r="G76" s="35" t="str">
        <x:v>Complemento educativo selectivo; no equivalencia entre títulos o créditos de países distintos.</x:v>
      </x:c>
      <x:c r="H76" s="35" t="str">
        <x:v>307941cafcbf27b86acaab064e43763611e3800b2a01d96a90046a4c2259e0a7</x:v>
      </x:c>
      <x:c r="I76" s="35" t="n">
        <x:v>300291</x:v>
      </x:c>
    </x:row>
    <x:row r="77" ht="47" customHeight="1">
      <x:c r="A77" s="35" t="str">
        <x:v>M004</x:v>
      </x:c>
      <x:c r="B77" s="35" t="str">
        <x:v>UNSW Canberra</x:v>
      </x:c>
      <x:c r="C77" s="35" t="str">
        <x:v>Deep Learning for Cyber Security</x:v>
      </x:c>
      <x:c r="D77" s="35" t="str">
        <x:v>Edición 2026 o 2026–2027 identificada en el catálogo</x:v>
      </x:c>
      <x:c r="E77" s="35" t="str">
        <x:v>https://www.handbook.unsw.edu.au/undergraduate/courses/2026/ZSPS2121</x:v>
      </x:c>
      <x:c r="F77" s="35" t="str">
        <x:v>Descripción y resultados de aprendizaje del curso</x:v>
      </x:c>
      <x:c r="G77" s="35" t="str">
        <x:v>Complemento educativo selectivo; no equivalencia entre títulos o créditos de países distintos.</x:v>
      </x:c>
      <x:c r="H77" s="35" t="str">
        <x:v>d6c58d21fa3dd583613d9bd9a24480b531cec8ed3982d9cdc29bbfbcd98379f0</x:v>
      </x:c>
      <x:c r="I77" s="35" t="n">
        <x:v>295349</x:v>
      </x:c>
    </x:row>
    <x:row r="78" ht="47" customHeight="1">
      <x:c r="A78" s="35" t="str">
        <x:v>W016</x:v>
      </x:c>
      <x:c r="B78" s="35" t="str">
        <x:v>University of Warwick</x:v>
      </x:c>
      <x:c r="C78" s="35" t="str">
        <x:v>W016</x:v>
      </x:c>
      <x:c r="D78" s="35" t="str">
        <x:v>Edición 2026 o 2026–2027 identificada en el catálogo</x:v>
      </x:c>
      <x:c r="E78" s="35" t="str">
        <x:v>https://courses.warwick.ac.uk/modules/2026/WM284-15</x:v>
      </x:c>
      <x:c r="F78" s="35" t="str">
        <x:v>Descripción y resultados de aprendizaje del curso</x:v>
      </x:c>
      <x:c r="G78" s="35" t="str">
        <x:v>Complemento educativo selectivo; no equivalencia entre títulos o créditos de países distintos.</x:v>
      </x:c>
      <x:c r="H78" s="35" t="str">
        <x:v>147355f0da756d0bf0a1ee0fd796d727aed25946ae2ca715d9a79b9a911dd25d</x:v>
      </x:c>
      <x:c r="I78" s="35" t="n">
        <x:v>17175</x:v>
      </x:c>
    </x:row>
    <x:row r="79" ht="47" customHeight="1">
      <x:c r="A79" s="35" t="str">
        <x:v>G009</x:v>
      </x:c>
      <x:c r="B79" s="35" t="str">
        <x:v>University of Guelph</x:v>
      </x:c>
      <x:c r="C79" s="35" t="str">
        <x:v>CIS*6580</x:v>
      </x:c>
      <x:c r="D79" s="35" t="str">
        <x:v>Consulta de 08-09-2026; calendario sin edición anual visible</x:v>
      </x:c>
      <x:c r="E79" s="35" t="str">
        <x:v>https://calendar.uoguelph.ca/search/?P=CIS*6580</x:v>
      </x:c>
      <x:c r="F79" s="35" t="str">
        <x:v>Descripción y resultados de aprendizaje del curso</x:v>
      </x:c>
      <x:c r="G79" s="35" t="str">
        <x:v>Complemento educativo selectivo; no equivalencia entre títulos o créditos de países distintos.</x:v>
      </x:c>
      <x:c r="H79" s="35" t="str">
        <x:v>c9f2de63531cf3fae6276560e1f08aaa8b324a3b0ba83a7d3ec37062ee34d8d2</x:v>
      </x:c>
      <x:c r="I79" s="35" t="n">
        <x:v>204762</x:v>
      </x:c>
    </x:row>
    <x:row r="80" ht="62" customHeight="1">
      <x:c r="A80" s="35" t="str">
        <x:v>SV-ES</x:v>
      </x:c>
      <x:c r="B80" s="35" t="str">
        <x:v>Sistema Vectorial SV; decisión del Director</x:v>
      </x:c>
      <x:c r="C80" s="35" t="str">
        <x:v>Acta de uso del español en todos los repositorios del Sistema Vectorial SV</x:v>
      </x:c>
      <x:c r="D80" s="35" t="str">
        <x:v>2026-09-07</x:v>
      </x:c>
      <x:c r="E80" s="35" t="str">
        <x:v>https://github.com/juantoniolloretegea/SV-lenguaje-de-computacion/blob/ab61d9bb7a2002d3a4a389e292c2a9b0a850d264/docs/calidad/ACTA_DE_USO_DEL_ESPANOL_EN_TODOS_LOS_REPOSITORIOS_SV_2026_09_07.md</x:v>
      </x:c>
      <x:c r="F80" s="35" t="str">
        <x:v>§§1–4</x:v>
      </x:c>
      <x:c r="G80" s="35" t="str">
        <x:v>Norma interna obligatoria de redacción y precisión; no fuente técnica de ciberseguridad.</x:v>
      </x:c>
      <x:c r="H80" s="35" t="str">
        <x:v>Documento rector enlazado por commit</x:v>
      </x:c>
      <x:c r="I80" s="35" t="str"/>
    </x:row>
    <x:row r="81" ht="77" customHeight="1">
      <x:c r="A81" s="35" t="str">
        <x:v>SV-AT</x:v>
      </x:c>
      <x:c r="B81" s="35" t="str">
        <x:v>Sistema Vectorial SV</x:v>
      </x:c>
      <x:c r="C81" s="35" t="str">
        <x:v>Contrato matemático de parámetro atómico, matriz y ruta. INMUNO v0.3</x:v>
      </x:c>
      <x:c r="D81" s="35" t="str">
        <x:v>2026-09-02</x:v>
      </x:c>
      <x:c r="E81" s="35" t="str">
        <x:v>https://github.com/juantoniolloretegea/SVperitus-dataset/blob/fe8adf76aa030ba5ff4997be5772b5de5e4452f3/dominios/inmunologia/cambio-rumbo/03-base-documental-candidata/05-normalizacion-atomica-en-evaluacion/Contrato_matematico_parametro_atomico_matriz_ruta_INMUNO_v0.3_2026-09-02.md</x:v>
      </x:c>
      <x:c r="F81" s="35" t="str">
        <x:v>§§3–7</x:v>
      </x:c>
      <x:c r="G81" s="35" t="str">
        <x:v>Método de identidad, independencia y consecuencia. No se trasladan reglas clínicas, cantidades ni matrices.</x:v>
      </x:c>
      <x:c r="H81" s="35" t="str">
        <x:v>Documento rector enlazado por commit</x:v>
      </x:c>
      <x:c r="I81" s="35" t="str"/>
    </x:row>
    <x:row r="82" ht="77" customHeight="1">
      <x:c r="A82" s="35" t="str">
        <x:v>SV-IN</x:v>
      </x:c>
      <x:c r="B82" s="35" t="str">
        <x:v>Sistema Vectorial SV; instrucción aprobada por el Director</x:v>
      </x:c>
      <x:c r="C82" s="35" t="str">
        <x:v>Instrucción de relevo de ciberseguridad inteligente, revisión 1.2</x:v>
      </x:c>
      <x:c r="D82" s="35" t="str">
        <x:v>2026-09-08</x:v>
      </x:c>
      <x:c r="E82" s="35" t="str">
        <x:v>https://github.com/juantoniolloretegea/SVperitus-dataset/blob/47dc27aec9e7b517c27cfcf39b7ad1b186d36a4c/dominios/ciberseguridad-inteligente/dominio-04-09-26/watson-biblioteca-ciber/Aprobada_INSTRUCCION_RELEVO_CIBERSEGURIDAD_INTELIGENTE_2026_09_08.md</x:v>
      </x:c>
      <x:c r="F82" s="35" t="str">
        <x:v>§§5, 7–9 y 11; orden posterior del Director de 09-09-2026</x:v>
      </x:c>
      <x:c r="G82" s="35" t="str">
        <x:v>Marco de constitución, actualizado en la secuencia por la orden humana que exige terminar el primer universo antes de decidir el relevo.</x:v>
      </x:c>
      <x:c r="H82" s="35" t="str">
        <x:v>Documento rector enlazado por commit</x:v>
      </x:c>
      <x:c r="I82" s="35" t="str"/>
    </x:row>
  </x:sheetData>
  <x:mergeCells>
    <x:mergeCell ref="A1:D1"/>
    <x:mergeCell ref="A2:F2"/>
  </x:mergeCells>
  <x:pageMargins left="0.7" right="0.7" top="0.75" bottom="0.75" header="0.3" footer="0.3"/>
  <x:tableParts count="1">
    <x:tablePart xmlns:r="http://schemas.openxmlformats.org/officeDocument/2006/relationships" r:id="Rd6e7e52bd44c42f2"/>
  </x:tableParts>
</x:worksheet>
</file>

<file path=xl/worksheets/sheet7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8" hidden="0" customWidth="1"/>
    <x:col min="2" max="2" width="16" hidden="0" customWidth="1"/>
    <x:col min="3" max="3" width="100" hidden="0" customWidth="1"/>
    <x:col min="4" max="4" width="30" hidden="0" customWidth="1"/>
    <x:col min="5" max="5" width="30" hidden="0" customWidth="1"/>
    <x:col min="6" max="6" width="24" hidden="0" customWidth="1"/>
  </x:cols>
  <x:sheetData>
    <x:row r="1" ht="34" customHeight="1">
      <x:c r="A1" s="36" t="str">
        <x:v>Contraste documental de los perfiles nuevos</x:v>
      </x:c>
      <x:c r="B1" s="35"/>
      <x:c r="C1" s="35"/>
      <x:c r="D1" s="35"/>
      <x:c r="E1" s="35"/>
      <x:c r="F1" s="35"/>
    </x:row>
    <x:row r="2" ht="46" customHeight="1">
      <x:c r="A2" s="37" t="str">
        <x:v>Casos sintéticos con resultados esperados previos. La concordancia no acredita eficacia en activos reales ni revisión externa por pares.</x:v>
      </x:c>
      <x:c r="B2" s="35"/>
      <x:c r="C2" s="35"/>
      <x:c r="D2" s="35"/>
      <x:c r="E2" s="35"/>
      <x:c r="F2" s="35"/>
    </x:row>
    <x:row r="3">
      <x:c r="A3" s="35"/>
      <x:c r="B3" s="35"/>
      <x:c r="C3" s="35"/>
      <x:c r="D3" s="35"/>
      <x:c r="E3" s="35"/>
      <x:c r="F3" s="35"/>
    </x:row>
    <x:row r="4" ht="42" customHeight="1">
      <x:c r="A4" s="39" t="str">
        <x:v>Caso</x:v>
      </x:c>
      <x:c r="B4" s="39" t="str">
        <x:v>Parámetro</x:v>
      </x:c>
      <x:c r="C4" s="39" t="str">
        <x:v>Supuesto contrastado</x:v>
      </x:c>
      <x:c r="D4" s="39" t="str">
        <x:v>Esperado</x:v>
      </x:c>
      <x:c r="E4" s="39" t="str">
        <x:v>Obtenido</x:v>
      </x:c>
      <x:c r="F4" s="39" t="str">
        <x:v>Concordancia</x:v>
      </x:c>
    </x:row>
    <x:row r="5" ht="43" customHeight="1">
      <x:c r="A5" s="35" t="str">
        <x:v>ED-001</x:v>
      </x:c>
      <x:c r="B5" s="35" t="str">
        <x:v>P16</x:v>
      </x:c>
      <x:c r="C5" s="35" t="str">
        <x:v>Persistencia y utilización coinciden</x:v>
      </x:c>
      <x:c r="D5" s="35" t="str">
        <x:v>1</x:v>
      </x:c>
      <x:c r="E5" s="35" t="str">
        <x:v>1</x:v>
      </x:c>
      <x:c r="F5" s="35" t="str">
        <x:f>IF(EXACT("x"&amp;D5,"x"&amp;E5),"Concordante","Discordante")</x:f>
        <x:v>Concordante</x:v>
      </x:c>
    </x:row>
    <x:row r="6" ht="43" customHeight="1">
      <x:c r="A6" s="35" t="str">
        <x:v>ED-002</x:v>
      </x:c>
      <x:c r="B6" s="35" t="str">
        <x:v>P16</x:v>
      </x:c>
      <x:c r="C6" s="35" t="str">
        <x:v>Valor persistente anterior</x:v>
      </x:c>
      <x:c r="D6" s="35" t="str">
        <x:v>0</x:v>
      </x:c>
      <x:c r="E6" s="35" t="str">
        <x:v>0</x:v>
      </x:c>
      <x:c r="F6" s="35" t="str">
        <x:f>IF(EXACT("x"&amp;D6,"x"&amp;E6),"Concordante","Discordante")</x:f>
        <x:v>Concordante</x:v>
      </x:c>
    </x:row>
    <x:row r="7" ht="43" customHeight="1">
      <x:c r="A7" s="35" t="str">
        <x:v>ED-003</x:v>
      </x:c>
      <x:c r="B7" s="35" t="str">
        <x:v>P16</x:v>
      </x:c>
      <x:c r="C7" s="35" t="str">
        <x:v>Falta lectura persistente</x:v>
      </x:c>
      <x:c r="D7" s="35" t="str">
        <x:v>U</x:v>
      </x:c>
      <x:c r="E7" s="35" t="str">
        <x:v>U</x:v>
      </x:c>
      <x:c r="F7" s="35" t="str">
        <x:f>IF(EXACT("x"&amp;D7,"x"&amp;E7),"Concordante","Discordante")</x:f>
        <x:v>Concordante</x:v>
      </x:c>
    </x:row>
    <x:row r="8" ht="43" customHeight="1">
      <x:c r="A8" s="35" t="str">
        <x:v>ED-004</x:v>
      </x:c>
      <x:c r="B8" s="35" t="str">
        <x:v>P16</x:v>
      </x:c>
      <x:c r="C8" s="35" t="str">
        <x:v>Se ofrece lectura efectiva como persistente</x:v>
      </x:c>
      <x:c r="D8" s="35" t="str">
        <x:v>NO_ADMITIDA</x:v>
      </x:c>
      <x:c r="E8" s="35" t="str">
        <x:v>NO_ADMITIDA</x:v>
      </x:c>
      <x:c r="F8" s="35" t="str">
        <x:f>IF(EXACT("x"&amp;D8,"x"&amp;E8),"Concordante","Discordante")</x:f>
        <x:v>Concordante</x:v>
      </x:c>
    </x:row>
    <x:row r="9" ht="43" customHeight="1">
      <x:c r="A9" s="35" t="str">
        <x:v>ED-005</x:v>
      </x:c>
      <x:c r="B9" s="35" t="str">
        <x:v>P16</x:v>
      </x:c>
      <x:c r="C9" s="35" t="str">
        <x:v>Cero numérico no es texto cero</x:v>
      </x:c>
      <x:c r="D9" s="35" t="str">
        <x:v>NO_ADMITIDA</x:v>
      </x:c>
      <x:c r="E9" s="35" t="str">
        <x:v>NO_ADMITIDA</x:v>
      </x:c>
      <x:c r="F9" s="35" t="str">
        <x:f>IF(EXACT("x"&amp;D9,"x"&amp;E9),"Concordante","Discordante")</x:f>
        <x:v>Concordante</x:v>
      </x:c>
    </x:row>
    <x:row r="10" ht="43" customHeight="1">
      <x:c r="A10" s="35" t="str">
        <x:v>ED-006</x:v>
      </x:c>
      <x:c r="B10" s="35" t="str">
        <x:v>P16</x:v>
      </x:c>
      <x:c r="C10" s="35" t="str">
        <x:v>Identificador con ceros iniciales</x:v>
      </x:c>
      <x:c r="D10" s="35" t="str">
        <x:v>0</x:v>
      </x:c>
      <x:c r="E10" s="35" t="str">
        <x:v>0</x:v>
      </x:c>
      <x:c r="F10" s="35" t="str">
        <x:f>IF(EXACT("x"&amp;D10,"x"&amp;E10),"Concordante","Discordante")</x:f>
        <x:v>Concordante</x:v>
      </x:c>
    </x:row>
    <x:row r="11" ht="43" customHeight="1">
      <x:c r="A11" s="35" t="str">
        <x:v>ED-007</x:v>
      </x:c>
      <x:c r="B11" s="35" t="str">
        <x:v>P17</x:v>
      </x:c>
      <x:c r="C11" s="35" t="str">
        <x:v>Inicialización terminada</x:v>
      </x:c>
      <x:c r="D11" s="35" t="str">
        <x:v>1</x:v>
      </x:c>
      <x:c r="E11" s="35" t="str">
        <x:v>1</x:v>
      </x:c>
      <x:c r="F11" s="35" t="str">
        <x:f>IF(EXACT("x"&amp;D11,"x"&amp;E11),"Concordante","Discordante")</x:f>
        <x:v>Concordante</x:v>
      </x:c>
    </x:row>
    <x:row r="12" ht="43" customHeight="1">
      <x:c r="A12" s="35" t="str">
        <x:v>ED-008</x:v>
      </x:c>
      <x:c r="B12" s="35" t="str">
        <x:v>P17</x:v>
      </x:c>
      <x:c r="C12" s="35" t="str">
        <x:v>Creación satisfactoria sin prueba de inicialización</x:v>
      </x:c>
      <x:c r="D12" s="35" t="str">
        <x:v>U</x:v>
      </x:c>
      <x:c r="E12" s="35" t="str">
        <x:v>U</x:v>
      </x:c>
      <x:c r="F12" s="35" t="str">
        <x:f>IF(EXACT("x"&amp;D12,"x"&amp;E12),"Concordante","Discordante")</x:f>
        <x:v>Concordante</x:v>
      </x:c>
    </x:row>
    <x:row r="13" ht="43" customHeight="1">
      <x:c r="A13" s="35" t="str">
        <x:v>ED-009</x:v>
      </x:c>
      <x:c r="B13" s="35" t="str">
        <x:v>P17</x:v>
      </x:c>
      <x:c r="C13" s="35" t="str">
        <x:v>Fallo de inicialización después de creación</x:v>
      </x:c>
      <x:c r="D13" s="35" t="str">
        <x:v>0</x:v>
      </x:c>
      <x:c r="E13" s="35" t="str">
        <x:v>0</x:v>
      </x:c>
      <x:c r="F13" s="35" t="str">
        <x:f>IF(EXACT("x"&amp;D13,"x"&amp;E13),"Concordante","Discordante")</x:f>
        <x:v>Concordante</x:v>
      </x:c>
    </x:row>
    <x:row r="14" ht="43" customHeight="1">
      <x:c r="A14" s="35" t="str">
        <x:v>ED-010</x:v>
      </x:c>
      <x:c r="B14" s="35" t="str">
        <x:v>P17</x:v>
      </x:c>
      <x:c r="C14" s="35" t="str">
        <x:v>Estado previo al hito observado</x:v>
      </x:c>
      <x:c r="D14" s="35" t="str">
        <x:v>0</x:v>
      </x:c>
      <x:c r="E14" s="35" t="str">
        <x:v>0</x:v>
      </x:c>
      <x:c r="F14" s="35" t="str">
        <x:f>IF(EXACT("x"&amp;D14,"x"&amp;E14),"Concordante","Discordante")</x:f>
        <x:v>Concordante</x:v>
      </x:c>
    </x:row>
    <x:row r="15" ht="43" customHeight="1">
      <x:c r="A15" s="35" t="str">
        <x:v>ED-011</x:v>
      </x:c>
      <x:c r="B15" s="35" t="str">
        <x:v>P18</x:v>
      </x:c>
      <x:c r="C15" s="35" t="str">
        <x:v>Parche habilitado</x:v>
      </x:c>
      <x:c r="D15" s="35" t="str">
        <x:v>1</x:v>
      </x:c>
      <x:c r="E15" s="35" t="str">
        <x:v>1</x:v>
      </x:c>
      <x:c r="F15" s="35" t="str">
        <x:f>IF(EXACT("x"&amp;D15,"x"&amp;E15),"Concordante","Discordante")</x:f>
        <x:v>Concordante</x:v>
      </x:c>
    </x:row>
    <x:row r="16" ht="43" customHeight="1">
      <x:c r="A16" s="35" t="str">
        <x:v>ED-012</x:v>
      </x:c>
      <x:c r="B16" s="35" t="str">
        <x:v>P18</x:v>
      </x:c>
      <x:c r="C16" s="35" t="str">
        <x:v>Parche deshabilitado</x:v>
      </x:c>
      <x:c r="D16" s="35" t="str">
        <x:v>0</x:v>
      </x:c>
      <x:c r="E16" s="35" t="str">
        <x:v>0</x:v>
      </x:c>
      <x:c r="F16" s="35" t="str">
        <x:f>IF(EXACT("x"&amp;D16,"x"&amp;E16),"Concordante","Discordante")</x:f>
        <x:v>Concordante</x:v>
      </x:c>
    </x:row>
    <x:row r="17" ht="43" customHeight="1">
      <x:c r="A17" s="35" t="str">
        <x:v>ED-013</x:v>
      </x:c>
      <x:c r="B17" s="35" t="str">
        <x:v>P18</x:v>
      </x:c>
      <x:c r="C17" s="35" t="str">
        <x:v>Desaparición de archivo no demuestra deshabilitación</x:v>
      </x:c>
      <x:c r="D17" s="35" t="str">
        <x:v>U</x:v>
      </x:c>
      <x:c r="E17" s="35" t="str">
        <x:v>U</x:v>
      </x:c>
      <x:c r="F17" s="35" t="str">
        <x:f>IF(EXACT("x"&amp;D17,"x"&amp;E17),"Concordante","Discordante")</x:f>
        <x:v>Concordante</x:v>
      </x:c>
    </x:row>
    <x:row r="18" ht="43" customHeight="1">
      <x:c r="A18" s="35" t="str">
        <x:v>ED-014</x:v>
      </x:c>
      <x:c r="B18" s="35" t="str">
        <x:v>P19</x:v>
      </x:c>
      <x:c r="C18" s="35" t="str">
        <x:v>Tarea objetivo durante aplicación</x:v>
      </x:c>
      <x:c r="D18" s="35" t="str">
        <x:v>1</x:v>
      </x:c>
      <x:c r="E18" s="35" t="str">
        <x:v>1</x:v>
      </x:c>
      <x:c r="F18" s="35" t="str">
        <x:f>IF(EXACT("x"&amp;D18,"x"&amp;E18),"Concordante","Discordante")</x:f>
        <x:v>Concordante</x:v>
      </x:c>
    </x:row>
    <x:row r="19" ht="43" customHeight="1">
      <x:c r="A19" s="35" t="str">
        <x:v>ED-015</x:v>
      </x:c>
      <x:c r="B19" s="35" t="str">
        <x:v>P19</x:v>
      </x:c>
      <x:c r="C19" s="35" t="str">
        <x:v>Tarea antigua durante aplicación</x:v>
      </x:c>
      <x:c r="D19" s="35" t="str">
        <x:v>0</x:v>
      </x:c>
      <x:c r="E19" s="35" t="str">
        <x:v>0</x:v>
      </x:c>
      <x:c r="F19" s="35" t="str">
        <x:f>IF(EXACT("x"&amp;D19,"x"&amp;E19),"Concordante","Discordante")</x:f>
        <x:v>Concordante</x:v>
      </x:c>
    </x:row>
    <x:row r="20" ht="43" customHeight="1">
      <x:c r="A20" s="35" t="str">
        <x:v>ED-016</x:v>
      </x:c>
      <x:c r="B20" s="35" t="str">
        <x:v>P19</x:v>
      </x:c>
      <x:c r="C20" s="35" t="str">
        <x:v>Objetivo de retirada alcanzado</x:v>
      </x:c>
      <x:c r="D20" s="35" t="str">
        <x:v>1</x:v>
      </x:c>
      <x:c r="E20" s="35" t="str">
        <x:v>1</x:v>
      </x:c>
      <x:c r="F20" s="35" t="str">
        <x:f>IF(EXACT("x"&amp;D20,"x"&amp;E20),"Concordante","Discordante")</x:f>
        <x:v>Concordante</x:v>
      </x:c>
    </x:row>
    <x:row r="21" ht="43" customHeight="1">
      <x:c r="A21" s="35" t="str">
        <x:v>ED-017</x:v>
      </x:c>
      <x:c r="B21" s="35" t="str">
        <x:v>P19</x:v>
      </x:c>
      <x:c r="C21" s="35" t="str">
        <x:v>Fuera de transición: -1 no significa sin parche</x:v>
      </x:c>
      <x:c r="D21" s="35" t="str">
        <x:v>NO_APLICABLE</x:v>
      </x:c>
      <x:c r="E21" s="35" t="str">
        <x:v>NO_APLICABLE</x:v>
      </x:c>
      <x:c r="F21" s="35" t="str">
        <x:f>IF(EXACT("x"&amp;D21,"x"&amp;E21),"Concordante","Discordante")</x:f>
        <x:v>Concordante</x:v>
      </x:c>
    </x:row>
    <x:row r="22" ht="43" customHeight="1">
      <x:c r="A22" s="35" t="str">
        <x:v>ED-018</x:v>
      </x:c>
      <x:c r="B22" s="35" t="str">
        <x:v>P19</x:v>
      </x:c>
      <x:c r="C22" s="35" t="str">
        <x:v>-1 dentro de una transición declarada es inconsistencia</x:v>
      </x:c>
      <x:c r="D22" s="35" t="str">
        <x:v>U</x:v>
      </x:c>
      <x:c r="E22" s="35" t="str">
        <x:v>U</x:v>
      </x:c>
      <x:c r="F22" s="35" t="str">
        <x:f>IF(EXACT("x"&amp;D22,"x"&amp;E22),"Concordante","Discordante")</x:f>
        <x:v>Concordante</x:v>
      </x:c>
    </x:row>
    <x:row r="23" ht="43" customHeight="1">
      <x:c r="A23" s="35" t="str">
        <x:v>ED-019</x:v>
      </x:c>
      <x:c r="B23" s="35" t="str">
        <x:v>P20</x:v>
      </x:c>
      <x:c r="C23" s="35" t="str">
        <x:v>Referencia anterior conservada</x:v>
      </x:c>
      <x:c r="D23" s="35" t="str">
        <x:v>1</x:v>
      </x:c>
      <x:c r="E23" s="35" t="str">
        <x:v>1</x:v>
      </x:c>
      <x:c r="F23" s="35" t="str">
        <x:f>IF(EXACT("x"&amp;D23,"x"&amp;E23),"Concordante","Discordante")</x:f>
        <x:v>Concordante</x:v>
      </x:c>
    </x:row>
    <x:row r="24" ht="43" customHeight="1">
      <x:c r="A24" s="35" t="str">
        <x:v>ED-020</x:v>
      </x:c>
      <x:c r="B24" s="35" t="str">
        <x:v>P20</x:v>
      </x:c>
      <x:c r="C24" s="35" t="str">
        <x:v>Ausencia acreditada</x:v>
      </x:c>
      <x:c r="D24" s="35" t="str">
        <x:v>0</x:v>
      </x:c>
      <x:c r="E24" s="35" t="str">
        <x:v>0</x:v>
      </x:c>
      <x:c r="F24" s="35" t="str">
        <x:f>IF(EXACT("x"&amp;D24,"x"&amp;E24),"Concordante","Discordante")</x:f>
        <x:v>Concordante</x:v>
      </x:c>
    </x:row>
    <x:row r="25" ht="43" customHeight="1">
      <x:c r="A25" s="35" t="str">
        <x:v>ED-021</x:v>
      </x:c>
      <x:c r="B25" s="35" t="str">
        <x:v>P20</x:v>
      </x:c>
      <x:c r="C25" s="35" t="str">
        <x:v>Ausencia con enumeración parcial</x:v>
      </x:c>
      <x:c r="D25" s="35" t="str">
        <x:v>U</x:v>
      </x:c>
      <x:c r="E25" s="35" t="str">
        <x:v>U</x:v>
      </x:c>
      <x:c r="F25" s="35" t="str">
        <x:f>IF(EXACT("x"&amp;D25,"x"&amp;E25),"Concordante","Discordante")</x:f>
        <x:v>Concordante</x:v>
      </x:c>
    </x:row>
    <x:row r="26" ht="43" customHeight="1">
      <x:c r="A26" s="35" t="str">
        <x:v>ED-022</x:v>
      </x:c>
      <x:c r="B26" s="35" t="str">
        <x:v>P21</x:v>
      </x:c>
      <x:c r="C26" s="35" t="str">
        <x:v>Entrada objetivo</x:v>
      </x:c>
      <x:c r="D26" s="35" t="str">
        <x:v>1</x:v>
      </x:c>
      <x:c r="E26" s="35" t="str">
        <x:v>1</x:v>
      </x:c>
      <x:c r="F26" s="35" t="str">
        <x:f>IF(EXACT("x"&amp;D26,"x"&amp;E26),"Concordante","Discordante")</x:f>
        <x:v>Concordante</x:v>
      </x:c>
    </x:row>
    <x:row r="27" ht="43" customHeight="1">
      <x:c r="A27" s="35" t="str">
        <x:v>ED-023</x:v>
      </x:c>
      <x:c r="B27" s="35" t="str">
        <x:v>P21</x:v>
      </x:c>
      <x:c r="C27" s="35" t="str">
        <x:v>Entrada anterior pese a origen nuevo</x:v>
      </x:c>
      <x:c r="D27" s="35" t="str">
        <x:v>0</x:v>
      </x:c>
      <x:c r="E27" s="35" t="str">
        <x:v>0</x:v>
      </x:c>
      <x:c r="F27" s="35" t="str">
        <x:f>IF(EXACT("x"&amp;D27,"x"&amp;E27),"Concordante","Discordante")</x:f>
        <x:v>Concordante</x:v>
      </x:c>
    </x:row>
    <x:row r="28" ht="43" customHeight="1">
      <x:c r="A28" s="35" t="str">
        <x:v>ED-024</x:v>
      </x:c>
      <x:c r="B28" s="35" t="str">
        <x:v>P21</x:v>
      </x:c>
      <x:c r="C28" s="35" t="str">
        <x:v>Falta contenido observado</x:v>
      </x:c>
      <x:c r="D28" s="35" t="str">
        <x:v>U</x:v>
      </x:c>
      <x:c r="E28" s="35" t="str">
        <x:v>U</x:v>
      </x:c>
      <x:c r="F28" s="35" t="str">
        <x:f>IF(EXACT("x"&amp;D28,"x"&amp;E28),"Concordante","Discordante")</x:f>
        <x:v>Concordante</x:v>
      </x:c>
    </x:row>
    <x:row r="29" ht="43" customHeight="1">
      <x:c r="A29" s="35" t="str">
        <x:v>ED-025</x:v>
      </x:c>
      <x:c r="B29" s="35" t="str">
        <x:v>P21</x:v>
      </x:c>
      <x:c r="C29" s="35" t="str">
        <x:v>Ausencia legítima de entrada</x:v>
      </x:c>
      <x:c r="D29" s="35" t="str">
        <x:v>NO_APLICABLE</x:v>
      </x:c>
      <x:c r="E29" s="35" t="str">
        <x:v>NO_APLICABLE</x:v>
      </x:c>
      <x:c r="F29" s="35" t="str">
        <x:f>IF(EXACT("x"&amp;D29,"x"&amp;E29),"Concordante","Discordante")</x:f>
        <x:v>Concordante</x:v>
      </x:c>
    </x:row>
    <x:row r="30" ht="43" customHeight="1">
      <x:c r="A30" s="35" t="str">
        <x:v>ED-026</x:v>
      </x:c>
      <x:c r="B30" s="35" t="str">
        <x:v>P22</x:v>
      </x:c>
      <x:c r="C30" s="35" t="str">
        <x:v>Selección del objetivo</x:v>
      </x:c>
      <x:c r="D30" s="35" t="str">
        <x:v>1</x:v>
      </x:c>
      <x:c r="E30" s="35" t="str">
        <x:v>1</x:v>
      </x:c>
      <x:c r="F30" s="35" t="str">
        <x:f>IF(EXACT("x"&amp;D30,"x"&amp;E30),"Concordante","Discordante")</x:f>
        <x:v>Concordante</x:v>
      </x:c>
    </x:row>
    <x:row r="31" ht="43" customHeight="1">
      <x:c r="A31" s="35" t="str">
        <x:v>ED-027</x:v>
      </x:c>
      <x:c r="B31" s="35" t="str">
        <x:v>P22</x:v>
      </x:c>
      <x:c r="C31" s="35" t="str">
        <x:v>Selección anterior aunque exista el objetivo</x:v>
      </x:c>
      <x:c r="D31" s="35" t="str">
        <x:v>0</x:v>
      </x:c>
      <x:c r="E31" s="35" t="str">
        <x:v>0</x:v>
      </x:c>
      <x:c r="F31" s="35" t="str">
        <x:f>IF(EXACT("x"&amp;D31,"x"&amp;E31),"Concordante","Discordante")</x:f>
        <x:v>Concordante</x:v>
      </x:c>
    </x:row>
    <x:row r="32" ht="43" customHeight="1">
      <x:c r="A32" s="35" t="str">
        <x:v>ED-028</x:v>
      </x:c>
      <x:c r="B32" s="35" t="str">
        <x:v>P22</x:v>
      </x:c>
      <x:c r="C32" s="35" t="str">
        <x:v>Búsqueda con precedencia desconocida</x:v>
      </x:c>
      <x:c r="D32" s="35" t="str">
        <x:v>U</x:v>
      </x:c>
      <x:c r="E32" s="35" t="str">
        <x:v>U</x:v>
      </x:c>
      <x:c r="F32" s="35" t="str">
        <x:f>IF(EXACT("x"&amp;D32,"x"&amp;E32),"Concordante","Discordante")</x:f>
        <x:v>Concordante</x:v>
      </x:c>
    </x:row>
    <x:row r="33" ht="43" customHeight="1">
      <x:c r="A33" s="35" t="str">
        <x:v>ED-029</x:v>
      </x:c>
      <x:c r="B33" s="35" t="str">
        <x:v>P23</x:v>
      </x:c>
      <x:c r="C33" s="35" t="str">
        <x:v>Sincronización satisfactoria de la escritura pertinente</x:v>
      </x:c>
      <x:c r="D33" s="35" t="str">
        <x:v>1</x:v>
      </x:c>
      <x:c r="E33" s="35" t="str">
        <x:v>1</x:v>
      </x:c>
      <x:c r="F33" s="35" t="str">
        <x:f>IF(EXACT("x"&amp;D33,"x"&amp;E33),"Concordante","Discordante")</x:f>
        <x:v>Concordante</x:v>
      </x:c>
    </x:row>
    <x:row r="34" ht="43" customHeight="1">
      <x:c r="A34" s="35" t="str">
        <x:v>ED-030</x:v>
      </x:c>
      <x:c r="B34" s="35" t="str">
        <x:v>P23</x:v>
      </x:c>
      <x:c r="C34" s="35" t="str">
        <x:v>Sincronización fallida es hecho observado</x:v>
      </x:c>
      <x:c r="D34" s="35" t="str">
        <x:v>0</x:v>
      </x:c>
      <x:c r="E34" s="35" t="str">
        <x:v>0</x:v>
      </x:c>
      <x:c r="F34" s="35" t="str">
        <x:f>IF(EXACT("x"&amp;D34,"x"&amp;E34),"Concordante","Discordante")</x:f>
        <x:v>Concordante</x:v>
      </x:c>
    </x:row>
    <x:row r="35" ht="43" customHeight="1">
      <x:c r="A35" s="35" t="str">
        <x:v>ED-031</x:v>
      </x:c>
      <x:c r="B35" s="35" t="str">
        <x:v>P23</x:v>
      </x:c>
      <x:c r="C35" s="35" t="str">
        <x:v>Sin resultado</x:v>
      </x:c>
      <x:c r="D35" s="35" t="str">
        <x:v>U</x:v>
      </x:c>
      <x:c r="E35" s="35" t="str">
        <x:v>U</x:v>
      </x:c>
      <x:c r="F35" s="35" t="str">
        <x:f>IF(EXACT("x"&amp;D35,"x"&amp;E35),"Concordante","Discordante")</x:f>
        <x:v>Concordante</x:v>
      </x:c>
    </x:row>
    <x:row r="36" ht="43" customHeight="1">
      <x:c r="A36" s="35" t="str">
        <x:v>ED-032</x:v>
      </x:c>
      <x:c r="B36" s="35" t="str">
        <x:v>P23</x:v>
      </x:c>
      <x:c r="C36" s="35" t="str">
        <x:v>Se ofrece FlushViewOfFile como equivalente</x:v>
      </x:c>
      <x:c r="D36" s="35" t="str">
        <x:v>NO_ADMITIDA</x:v>
      </x:c>
      <x:c r="E36" s="35" t="str">
        <x:v>NO_ADMITIDA</x:v>
      </x:c>
      <x:c r="F36" s="35" t="str">
        <x:f>IF(EXACT("x"&amp;D36,"x"&amp;E36),"Concordante","Discordante")</x:f>
        <x:v>Concordante</x:v>
      </x:c>
    </x:row>
    <x:row r="37" ht="43" customHeight="1">
      <x:c r="A37" s="35" t="str">
        <x:v>ED-033</x:v>
      </x:c>
      <x:c r="B37" s="35" t="str">
        <x:v>P23</x:v>
      </x:c>
      <x:c r="C37" s="35" t="str">
        <x:v>Sincronización anterior a una nueva escritura</x:v>
      </x:c>
      <x:c r="D37" s="35" t="str">
        <x:v>NO_ADMITIDA</x:v>
      </x:c>
      <x:c r="E37" s="35" t="str">
        <x:v>NO_ADMITIDA</x:v>
      </x:c>
      <x:c r="F37" s="35" t="str">
        <x:f>IF(EXACT("x"&amp;D37,"x"&amp;E37),"Concordante","Discordante")</x:f>
        <x:v>Concordante</x:v>
      </x:c>
    </x:row>
    <x:row r="38" ht="43" customHeight="1">
      <x:c r="A38" s="35" t="str">
        <x:v>ED-034</x:v>
      </x:c>
      <x:c r="B38" s="35" t="str">
        <x:v>P24</x:v>
      </x:c>
      <x:c r="C38" s="35" t="str">
        <x:v>Operación pendiente pese al éxito del instalador</x:v>
      </x:c>
      <x:c r="D38" s="35" t="str">
        <x:v>1</x:v>
      </x:c>
      <x:c r="E38" s="35" t="str">
        <x:v>1</x:v>
      </x:c>
      <x:c r="F38" s="35" t="str">
        <x:f>IF(EXACT("x"&amp;D38,"x"&amp;E38),"Concordante","Discordante")</x:f>
        <x:v>Concordante</x:v>
      </x:c>
    </x:row>
    <x:row r="39" ht="43" customHeight="1">
      <x:c r="A39" s="35" t="str">
        <x:v>ED-035</x:v>
      </x:c>
      <x:c r="B39" s="35" t="str">
        <x:v>P24</x:v>
      </x:c>
      <x:c r="C39" s="35" t="str">
        <x:v>Cola completa sin la operación</x:v>
      </x:c>
      <x:c r="D39" s="35" t="str">
        <x:v>0</x:v>
      </x:c>
      <x:c r="E39" s="35" t="str">
        <x:v>0</x:v>
      </x:c>
      <x:c r="F39" s="35" t="str">
        <x:f>IF(EXACT("x"&amp;D39,"x"&amp;E39),"Concordante","Discordante")</x:f>
        <x:v>Concordante</x:v>
      </x:c>
    </x:row>
    <x:row r="40" ht="43" customHeight="1">
      <x:c r="A40" s="35" t="str">
        <x:v>ED-036</x:v>
      </x:c>
      <x:c r="B40" s="35" t="str">
        <x:v>P24</x:v>
      </x:c>
      <x:c r="C40" s="35" t="str">
        <x:v>Cola parcial sin la operación</x:v>
      </x:c>
      <x:c r="D40" s="35" t="str">
        <x:v>U</x:v>
      </x:c>
      <x:c r="E40" s="35" t="str">
        <x:v>U</x:v>
      </x:c>
      <x:c r="F40" s="35" t="str">
        <x:f>IF(EXACT("x"&amp;D40,"x"&amp;E40),"Concordante","Discordante")</x:f>
        <x:v>Concordante</x:v>
      </x:c>
    </x:row>
    <x:row r="41" ht="43" customHeight="1">
      <x:c r="A41" s="35" t="str">
        <x:v>ED-037</x:v>
      </x:c>
      <x:c r="B41" s="35" t="str">
        <x:v>P24</x:v>
      </x:c>
      <x:c r="C41" s="35" t="str">
        <x:v>Cancelación: ausencia no acredita aplicación</x:v>
      </x:c>
      <x:c r="D41" s="35" t="str">
        <x:v>0</x:v>
      </x:c>
      <x:c r="E41" s="35" t="str">
        <x:v>0</x:v>
      </x:c>
      <x:c r="F41" s="35" t="str">
        <x:f>IF(EXACT("x"&amp;D41,"x"&amp;E41),"Concordante","Discordante")</x:f>
        <x:v>Concordante</x:v>
      </x:c>
    </x:row>
    <x:row r="42" ht="43" customHeight="1">
      <x:c r="A42" s="35" t="str">
        <x:v>ED-038</x:v>
      </x:c>
      <x:c r="B42" s="35" t="str">
        <x:v>P16</x:v>
      </x:c>
      <x:c r="C42" s="35" t="str">
        <x:v>Fallo del lector, sin estado del dominio</x:v>
      </x:c>
      <x:c r="D42" s="35" t="str">
        <x:v>FALLO_TECNICO</x:v>
      </x:c>
      <x:c r="E42" s="35" t="str">
        <x:v>FALLO_TECNICO</x:v>
      </x:c>
      <x:c r="F42" s="35" t="str">
        <x:f>IF(EXACT("x"&amp;D42,"x"&amp;E42),"Concordante","Discordante")</x:f>
        <x:v>Concordante</x:v>
      </x:c>
    </x:row>
    <x:row r="43" ht="43" customHeight="1">
      <x:c r="A43" s="35" t="str">
        <x:v>ED-039</x:v>
      </x:c>
      <x:c r="B43" s="35" t="str">
        <x:v>P16</x:v>
      </x:c>
      <x:c r="C43" s="35" t="str">
        <x:v>Evidencia no admitida</x:v>
      </x:c>
      <x:c r="D43" s="35" t="str">
        <x:v>NO_ADMITIDA</x:v>
      </x:c>
      <x:c r="E43" s="35" t="str">
        <x:v>NO_ADMITIDA</x:v>
      </x:c>
      <x:c r="F43" s="35" t="str">
        <x:f>IF(EXACT("x"&amp;D43,"x"&amp;E43),"Concordante","Discordante")</x:f>
        <x:v>Concordante</x:v>
      </x:c>
    </x:row>
    <x:row r="44" ht="43" customHeight="1">
      <x:c r="A44" s="35" t="str">
        <x:v>ED-040</x:v>
      </x:c>
      <x:c r="B44" s="35" t="str">
        <x:v>P16</x:v>
      </x:c>
      <x:c r="C44" s="35" t="str">
        <x:v>Conflicto entre evidencias admitidas</x:v>
      </x:c>
      <x:c r="D44" s="35" t="str">
        <x:v>U</x:v>
      </x:c>
      <x:c r="E44" s="35" t="str">
        <x:v>U</x:v>
      </x:c>
      <x:c r="F44" s="35" t="str">
        <x:f>IF(EXACT("x"&amp;D44,"x"&amp;E44),"Concordante","Discordante")</x:f>
        <x:v>Concordante</x:v>
      </x:c>
    </x:row>
    <x:row r="45" ht="43" customHeight="1">
      <x:c r="A45" s="35" t="str">
        <x:v>ED-041</x:v>
      </x:c>
      <x:c r="B45" s="35" t="str">
        <x:v>P17</x:v>
      </x:c>
      <x:c r="C45" s="35" t="str">
        <x:v>Fallo del lector, sin estado del dominio</x:v>
      </x:c>
      <x:c r="D45" s="35" t="str">
        <x:v>FALLO_TECNICO</x:v>
      </x:c>
      <x:c r="E45" s="35" t="str">
        <x:v>FALLO_TECNICO</x:v>
      </x:c>
      <x:c r="F45" s="35" t="str">
        <x:f>IF(EXACT("x"&amp;D45,"x"&amp;E45),"Concordante","Discordante")</x:f>
        <x:v>Concordante</x:v>
      </x:c>
    </x:row>
    <x:row r="46" ht="43" customHeight="1">
      <x:c r="A46" s="35" t="str">
        <x:v>ED-042</x:v>
      </x:c>
      <x:c r="B46" s="35" t="str">
        <x:v>P17</x:v>
      </x:c>
      <x:c r="C46" s="35" t="str">
        <x:v>Evidencia no admitida</x:v>
      </x:c>
      <x:c r="D46" s="35" t="str">
        <x:v>NO_ADMITIDA</x:v>
      </x:c>
      <x:c r="E46" s="35" t="str">
        <x:v>NO_ADMITIDA</x:v>
      </x:c>
      <x:c r="F46" s="35" t="str">
        <x:f>IF(EXACT("x"&amp;D46,"x"&amp;E46),"Concordante","Discordante")</x:f>
        <x:v>Concordante</x:v>
      </x:c>
    </x:row>
    <x:row r="47" ht="43" customHeight="1">
      <x:c r="A47" s="35" t="str">
        <x:v>ED-043</x:v>
      </x:c>
      <x:c r="B47" s="35" t="str">
        <x:v>P17</x:v>
      </x:c>
      <x:c r="C47" s="35" t="str">
        <x:v>Conflicto entre evidencias admitidas</x:v>
      </x:c>
      <x:c r="D47" s="35" t="str">
        <x:v>U</x:v>
      </x:c>
      <x:c r="E47" s="35" t="str">
        <x:v>U</x:v>
      </x:c>
      <x:c r="F47" s="35" t="str">
        <x:f>IF(EXACT("x"&amp;D47,"x"&amp;E47),"Concordante","Discordante")</x:f>
        <x:v>Concordante</x:v>
      </x:c>
    </x:row>
    <x:row r="48" ht="43" customHeight="1">
      <x:c r="A48" s="35" t="str">
        <x:v>ED-044</x:v>
      </x:c>
      <x:c r="B48" s="35" t="str">
        <x:v>P18</x:v>
      </x:c>
      <x:c r="C48" s="35" t="str">
        <x:v>Fallo del lector, sin estado del dominio</x:v>
      </x:c>
      <x:c r="D48" s="35" t="str">
        <x:v>FALLO_TECNICO</x:v>
      </x:c>
      <x:c r="E48" s="35" t="str">
        <x:v>FALLO_TECNICO</x:v>
      </x:c>
      <x:c r="F48" s="35" t="str">
        <x:f>IF(EXACT("x"&amp;D48,"x"&amp;E48),"Concordante","Discordante")</x:f>
        <x:v>Concordante</x:v>
      </x:c>
    </x:row>
    <x:row r="49" ht="43" customHeight="1">
      <x:c r="A49" s="35" t="str">
        <x:v>ED-045</x:v>
      </x:c>
      <x:c r="B49" s="35" t="str">
        <x:v>P18</x:v>
      </x:c>
      <x:c r="C49" s="35" t="str">
        <x:v>Evidencia no admitida</x:v>
      </x:c>
      <x:c r="D49" s="35" t="str">
        <x:v>NO_ADMITIDA</x:v>
      </x:c>
      <x:c r="E49" s="35" t="str">
        <x:v>NO_ADMITIDA</x:v>
      </x:c>
      <x:c r="F49" s="35" t="str">
        <x:f>IF(EXACT("x"&amp;D49,"x"&amp;E49),"Concordante","Discordante")</x:f>
        <x:v>Concordante</x:v>
      </x:c>
    </x:row>
    <x:row r="50" ht="43" customHeight="1">
      <x:c r="A50" s="35" t="str">
        <x:v>ED-046</x:v>
      </x:c>
      <x:c r="B50" s="35" t="str">
        <x:v>P18</x:v>
      </x:c>
      <x:c r="C50" s="35" t="str">
        <x:v>Conflicto entre evidencias admitidas</x:v>
      </x:c>
      <x:c r="D50" s="35" t="str">
        <x:v>U</x:v>
      </x:c>
      <x:c r="E50" s="35" t="str">
        <x:v>U</x:v>
      </x:c>
      <x:c r="F50" s="35" t="str">
        <x:f>IF(EXACT("x"&amp;D50,"x"&amp;E50),"Concordante","Discordante")</x:f>
        <x:v>Concordante</x:v>
      </x:c>
    </x:row>
    <x:row r="51" ht="43" customHeight="1">
      <x:c r="A51" s="35" t="str">
        <x:v>ED-047</x:v>
      </x:c>
      <x:c r="B51" s="35" t="str">
        <x:v>P19</x:v>
      </x:c>
      <x:c r="C51" s="35" t="str">
        <x:v>Fallo del lector, sin estado del dominio</x:v>
      </x:c>
      <x:c r="D51" s="35" t="str">
        <x:v>FALLO_TECNICO</x:v>
      </x:c>
      <x:c r="E51" s="35" t="str">
        <x:v>FALLO_TECNICO</x:v>
      </x:c>
      <x:c r="F51" s="35" t="str">
        <x:f>IF(EXACT("x"&amp;D51,"x"&amp;E51),"Concordante","Discordante")</x:f>
        <x:v>Concordante</x:v>
      </x:c>
    </x:row>
    <x:row r="52" ht="43" customHeight="1">
      <x:c r="A52" s="35" t="str">
        <x:v>ED-048</x:v>
      </x:c>
      <x:c r="B52" s="35" t="str">
        <x:v>P19</x:v>
      </x:c>
      <x:c r="C52" s="35" t="str">
        <x:v>Evidencia no admitida</x:v>
      </x:c>
      <x:c r="D52" s="35" t="str">
        <x:v>NO_ADMITIDA</x:v>
      </x:c>
      <x:c r="E52" s="35" t="str">
        <x:v>NO_ADMITIDA</x:v>
      </x:c>
      <x:c r="F52" s="35" t="str">
        <x:f>IF(EXACT("x"&amp;D52,"x"&amp;E52),"Concordante","Discordante")</x:f>
        <x:v>Concordante</x:v>
      </x:c>
    </x:row>
    <x:row r="53" ht="43" customHeight="1">
      <x:c r="A53" s="35" t="str">
        <x:v>ED-049</x:v>
      </x:c>
      <x:c r="B53" s="35" t="str">
        <x:v>P19</x:v>
      </x:c>
      <x:c r="C53" s="35" t="str">
        <x:v>Conflicto entre evidencias admitidas</x:v>
      </x:c>
      <x:c r="D53" s="35" t="str">
        <x:v>U</x:v>
      </x:c>
      <x:c r="E53" s="35" t="str">
        <x:v>U</x:v>
      </x:c>
      <x:c r="F53" s="35" t="str">
        <x:f>IF(EXACT("x"&amp;D53,"x"&amp;E53),"Concordante","Discordante")</x:f>
        <x:v>Concordante</x:v>
      </x:c>
    </x:row>
    <x:row r="54" ht="43" customHeight="1">
      <x:c r="A54" s="35" t="str">
        <x:v>ED-050</x:v>
      </x:c>
      <x:c r="B54" s="35" t="str">
        <x:v>P20</x:v>
      </x:c>
      <x:c r="C54" s="35" t="str">
        <x:v>Fallo del lector, sin estado del dominio</x:v>
      </x:c>
      <x:c r="D54" s="35" t="str">
        <x:v>FALLO_TECNICO</x:v>
      </x:c>
      <x:c r="E54" s="35" t="str">
        <x:v>FALLO_TECNICO</x:v>
      </x:c>
      <x:c r="F54" s="35" t="str">
        <x:f>IF(EXACT("x"&amp;D54,"x"&amp;E54),"Concordante","Discordante")</x:f>
        <x:v>Concordante</x:v>
      </x:c>
    </x:row>
    <x:row r="55" ht="43" customHeight="1">
      <x:c r="A55" s="35" t="str">
        <x:v>ED-051</x:v>
      </x:c>
      <x:c r="B55" s="35" t="str">
        <x:v>P20</x:v>
      </x:c>
      <x:c r="C55" s="35" t="str">
        <x:v>Evidencia no admitida</x:v>
      </x:c>
      <x:c r="D55" s="35" t="str">
        <x:v>NO_ADMITIDA</x:v>
      </x:c>
      <x:c r="E55" s="35" t="str">
        <x:v>NO_ADMITIDA</x:v>
      </x:c>
      <x:c r="F55" s="35" t="str">
        <x:f>IF(EXACT("x"&amp;D55,"x"&amp;E55),"Concordante","Discordante")</x:f>
        <x:v>Concordante</x:v>
      </x:c>
    </x:row>
    <x:row r="56" ht="43" customHeight="1">
      <x:c r="A56" s="35" t="str">
        <x:v>ED-052</x:v>
      </x:c>
      <x:c r="B56" s="35" t="str">
        <x:v>P20</x:v>
      </x:c>
      <x:c r="C56" s="35" t="str">
        <x:v>Conflicto entre evidencias admitidas</x:v>
      </x:c>
      <x:c r="D56" s="35" t="str">
        <x:v>U</x:v>
      </x:c>
      <x:c r="E56" s="35" t="str">
        <x:v>U</x:v>
      </x:c>
      <x:c r="F56" s="35" t="str">
        <x:f>IF(EXACT("x"&amp;D56,"x"&amp;E56),"Concordante","Discordante")</x:f>
        <x:v>Concordante</x:v>
      </x:c>
    </x:row>
    <x:row r="57" ht="43" customHeight="1">
      <x:c r="A57" s="35" t="str">
        <x:v>ED-053</x:v>
      </x:c>
      <x:c r="B57" s="35" t="str">
        <x:v>P21</x:v>
      </x:c>
      <x:c r="C57" s="35" t="str">
        <x:v>Fallo del lector, sin estado del dominio</x:v>
      </x:c>
      <x:c r="D57" s="35" t="str">
        <x:v>FALLO_TECNICO</x:v>
      </x:c>
      <x:c r="E57" s="35" t="str">
        <x:v>FALLO_TECNICO</x:v>
      </x:c>
      <x:c r="F57" s="35" t="str">
        <x:f>IF(EXACT("x"&amp;D57,"x"&amp;E57),"Concordante","Discordante")</x:f>
        <x:v>Concordante</x:v>
      </x:c>
    </x:row>
    <x:row r="58" ht="43" customHeight="1">
      <x:c r="A58" s="35" t="str">
        <x:v>ED-054</x:v>
      </x:c>
      <x:c r="B58" s="35" t="str">
        <x:v>P21</x:v>
      </x:c>
      <x:c r="C58" s="35" t="str">
        <x:v>Evidencia no admitida</x:v>
      </x:c>
      <x:c r="D58" s="35" t="str">
        <x:v>NO_ADMITIDA</x:v>
      </x:c>
      <x:c r="E58" s="35" t="str">
        <x:v>NO_ADMITIDA</x:v>
      </x:c>
      <x:c r="F58" s="35" t="str">
        <x:f>IF(EXACT("x"&amp;D58,"x"&amp;E58),"Concordante","Discordante")</x:f>
        <x:v>Concordante</x:v>
      </x:c>
    </x:row>
    <x:row r="59" ht="43" customHeight="1">
      <x:c r="A59" s="35" t="str">
        <x:v>ED-055</x:v>
      </x:c>
      <x:c r="B59" s="35" t="str">
        <x:v>P21</x:v>
      </x:c>
      <x:c r="C59" s="35" t="str">
        <x:v>Conflicto entre evidencias admitidas</x:v>
      </x:c>
      <x:c r="D59" s="35" t="str">
        <x:v>U</x:v>
      </x:c>
      <x:c r="E59" s="35" t="str">
        <x:v>U</x:v>
      </x:c>
      <x:c r="F59" s="35" t="str">
        <x:f>IF(EXACT("x"&amp;D59,"x"&amp;E59),"Concordante","Discordante")</x:f>
        <x:v>Concordante</x:v>
      </x:c>
    </x:row>
    <x:row r="60" ht="43" customHeight="1">
      <x:c r="A60" s="35" t="str">
        <x:v>ED-056</x:v>
      </x:c>
      <x:c r="B60" s="35" t="str">
        <x:v>P22</x:v>
      </x:c>
      <x:c r="C60" s="35" t="str">
        <x:v>Fallo del lector, sin estado del dominio</x:v>
      </x:c>
      <x:c r="D60" s="35" t="str">
        <x:v>FALLO_TECNICO</x:v>
      </x:c>
      <x:c r="E60" s="35" t="str">
        <x:v>FALLO_TECNICO</x:v>
      </x:c>
      <x:c r="F60" s="35" t="str">
        <x:f>IF(EXACT("x"&amp;D60,"x"&amp;E60),"Concordante","Discordante")</x:f>
        <x:v>Concordante</x:v>
      </x:c>
    </x:row>
    <x:row r="61" ht="43" customHeight="1">
      <x:c r="A61" s="35" t="str">
        <x:v>ED-057</x:v>
      </x:c>
      <x:c r="B61" s="35" t="str">
        <x:v>P22</x:v>
      </x:c>
      <x:c r="C61" s="35" t="str">
        <x:v>Evidencia no admitida</x:v>
      </x:c>
      <x:c r="D61" s="35" t="str">
        <x:v>NO_ADMITIDA</x:v>
      </x:c>
      <x:c r="E61" s="35" t="str">
        <x:v>NO_ADMITIDA</x:v>
      </x:c>
      <x:c r="F61" s="35" t="str">
        <x:f>IF(EXACT("x"&amp;D61,"x"&amp;E61),"Concordante","Discordante")</x:f>
        <x:v>Concordante</x:v>
      </x:c>
    </x:row>
    <x:row r="62" ht="43" customHeight="1">
      <x:c r="A62" s="35" t="str">
        <x:v>ED-058</x:v>
      </x:c>
      <x:c r="B62" s="35" t="str">
        <x:v>P22</x:v>
      </x:c>
      <x:c r="C62" s="35" t="str">
        <x:v>Conflicto entre evidencias admitidas</x:v>
      </x:c>
      <x:c r="D62" s="35" t="str">
        <x:v>U</x:v>
      </x:c>
      <x:c r="E62" s="35" t="str">
        <x:v>U</x:v>
      </x:c>
      <x:c r="F62" s="35" t="str">
        <x:f>IF(EXACT("x"&amp;D62,"x"&amp;E62),"Concordante","Discordante")</x:f>
        <x:v>Concordante</x:v>
      </x:c>
    </x:row>
    <x:row r="63" ht="43" customHeight="1">
      <x:c r="A63" s="35" t="str">
        <x:v>ED-059</x:v>
      </x:c>
      <x:c r="B63" s="35" t="str">
        <x:v>P23</x:v>
      </x:c>
      <x:c r="C63" s="35" t="str">
        <x:v>Fallo del lector, sin estado del dominio</x:v>
      </x:c>
      <x:c r="D63" s="35" t="str">
        <x:v>FALLO_TECNICO</x:v>
      </x:c>
      <x:c r="E63" s="35" t="str">
        <x:v>FALLO_TECNICO</x:v>
      </x:c>
      <x:c r="F63" s="35" t="str">
        <x:f>IF(EXACT("x"&amp;D63,"x"&amp;E63),"Concordante","Discordante")</x:f>
        <x:v>Concordante</x:v>
      </x:c>
    </x:row>
    <x:row r="64" ht="43" customHeight="1">
      <x:c r="A64" s="35" t="str">
        <x:v>ED-060</x:v>
      </x:c>
      <x:c r="B64" s="35" t="str">
        <x:v>P23</x:v>
      </x:c>
      <x:c r="C64" s="35" t="str">
        <x:v>Evidencia no admitida</x:v>
      </x:c>
      <x:c r="D64" s="35" t="str">
        <x:v>NO_ADMITIDA</x:v>
      </x:c>
      <x:c r="E64" s="35" t="str">
        <x:v>NO_ADMITIDA</x:v>
      </x:c>
      <x:c r="F64" s="35" t="str">
        <x:f>IF(EXACT("x"&amp;D64,"x"&amp;E64),"Concordante","Discordante")</x:f>
        <x:v>Concordante</x:v>
      </x:c>
    </x:row>
    <x:row r="65" ht="43" customHeight="1">
      <x:c r="A65" s="35" t="str">
        <x:v>ED-061</x:v>
      </x:c>
      <x:c r="B65" s="35" t="str">
        <x:v>P23</x:v>
      </x:c>
      <x:c r="C65" s="35" t="str">
        <x:v>Conflicto entre evidencias admitidas</x:v>
      </x:c>
      <x:c r="D65" s="35" t="str">
        <x:v>U</x:v>
      </x:c>
      <x:c r="E65" s="35" t="str">
        <x:v>U</x:v>
      </x:c>
      <x:c r="F65" s="35" t="str">
        <x:f>IF(EXACT("x"&amp;D65,"x"&amp;E65),"Concordante","Discordante")</x:f>
        <x:v>Concordante</x:v>
      </x:c>
    </x:row>
    <x:row r="66" ht="43" customHeight="1">
      <x:c r="A66" s="35" t="str">
        <x:v>ED-062</x:v>
      </x:c>
      <x:c r="B66" s="35" t="str">
        <x:v>P24</x:v>
      </x:c>
      <x:c r="C66" s="35" t="str">
        <x:v>Fallo del lector, sin estado del dominio</x:v>
      </x:c>
      <x:c r="D66" s="35" t="str">
        <x:v>FALLO_TECNICO</x:v>
      </x:c>
      <x:c r="E66" s="35" t="str">
        <x:v>FALLO_TECNICO</x:v>
      </x:c>
      <x:c r="F66" s="35" t="str">
        <x:f>IF(EXACT("x"&amp;D66,"x"&amp;E66),"Concordante","Discordante")</x:f>
        <x:v>Concordante</x:v>
      </x:c>
    </x:row>
    <x:row r="67" ht="43" customHeight="1">
      <x:c r="A67" s="35" t="str">
        <x:v>ED-063</x:v>
      </x:c>
      <x:c r="B67" s="35" t="str">
        <x:v>P24</x:v>
      </x:c>
      <x:c r="C67" s="35" t="str">
        <x:v>Evidencia no admitida</x:v>
      </x:c>
      <x:c r="D67" s="35" t="str">
        <x:v>NO_ADMITIDA</x:v>
      </x:c>
      <x:c r="E67" s="35" t="str">
        <x:v>NO_ADMITIDA</x:v>
      </x:c>
      <x:c r="F67" s="35" t="str">
        <x:f>IF(EXACT("x"&amp;D67,"x"&amp;E67),"Concordante","Discordante")</x:f>
        <x:v>Concordante</x:v>
      </x:c>
    </x:row>
    <x:row r="68" ht="43" customHeight="1">
      <x:c r="A68" s="35" t="str">
        <x:v>ED-064</x:v>
      </x:c>
      <x:c r="B68" s="35" t="str">
        <x:v>P24</x:v>
      </x:c>
      <x:c r="C68" s="35" t="str">
        <x:v>Conflicto entre evidencias admitidas</x:v>
      </x:c>
      <x:c r="D68" s="35" t="str">
        <x:v>U</x:v>
      </x:c>
      <x:c r="E68" s="35" t="str">
        <x:v>U</x:v>
      </x:c>
      <x:c r="F68" s="35" t="str">
        <x:f>IF(EXACT("x"&amp;D68,"x"&amp;E68),"Concordante","Discordante")</x:f>
        <x:v>Concordante</x:v>
      </x:c>
    </x:row>
    <x:row r="72" ht="95" customHeight="1">
      <x:c r="A72" s="29" t="str">
        <x:v>Modificación deliberada del observador</x:v>
      </x:c>
      <x:c r="B72" s="29" t="str">
        <x:v>Casos que la refutan</x:v>
      </x:c>
      <x:c r="C72" s="29" t="str">
        <x:v>Cantidad</x:v>
      </x:c>
    </x:row>
    <x:row r="73" ht="95" customHeight="1">
      <x:c r="A73" s="29" t="str">
        <x:v>Siempre favorable</x:v>
      </x:c>
      <x:c r="B73" s="29" t="str">
        <x:v>ED-002, ED-003, ED-004, ED-005, ED-006, ED-008, ED-009, ED-010, ED-012, ED-013, ED-015, ED-017, ED-018, ED-020, ED-021, ED-023, ED-024, ED-025, ED-027, ED-028, ED-030, ED-031, ED-032, ED-033, ED-035, ED-036, ED-037, ED-038, ED-039, ED-040, ED-041, ED-042, ED-043, ED-044, ED-045, ED-046, ED-047, ED-048, ED-049, ED-050, ED-051, ED-052, ED-053, ED-054, ED-055, ED-056, ED-057, ED-058, ED-059, ED-060, ED-061, ED-062, ED-063, ED-064</x:v>
      </x:c>
      <x:c r="C73" s="29" t="n">
        <x:v>54</x:v>
      </x:c>
    </x:row>
    <x:row r="74" ht="95" customHeight="1">
      <x:c r="A74" s="29" t="str">
        <x:v>Ausencia convertida en cero</x:v>
      </x:c>
      <x:c r="B74" s="29" t="str">
        <x:v>ED-003, ED-008, ED-013, ED-018, ED-021, ED-024, ED-028, ED-031, ED-036, ED-040, ED-043, ED-046, ED-049, ED-052, ED-055, ED-058, ED-061, ED-064</x:v>
      </x:c>
      <x:c r="C74" s="29" t="n">
        <x:v>18</x:v>
      </x:c>
    </x:row>
    <x:row r="75" ht="95" customHeight="1">
      <x:c r="A75" s="29" t="str">
        <x:v>Fallo técnico convertido en incertidumbre</x:v>
      </x:c>
      <x:c r="B75" s="29" t="str">
        <x:v>ED-038, ED-041, ED-044, ED-047, ED-050, ED-053, ED-056, ED-059, ED-062</x:v>
      </x:c>
      <x:c r="C75" s="29" t="n">
        <x:v>9</x:v>
      </x:c>
    </x:row>
    <x:row r="76" ht="95" customHeight="1">
      <x:c r="A76" s="29" t="str">
        <x:v>Estado de tarea sin contexto</x:v>
      </x:c>
      <x:c r="B76" s="29" t="str">
        <x:v>ED-016, ED-017, ED-018, ED-047, ED-048</x:v>
      </x:c>
      <x:c r="C76" s="29" t="n">
        <x:v>5</x:v>
      </x:c>
    </x:row>
    <x:row r="77" ht="95" customHeight="1">
      <x:c r="A77" s="29" t="str">
        <x:v>Sincronización sin comprobar generación</x:v>
      </x:c>
      <x:c r="B77" s="29" t="str">
        <x:v>ED-032, ED-033</x:v>
      </x:c>
      <x:c r="C77" s="29" t="n">
        <x:v>2</x:v>
      </x:c>
    </x:row>
    <x:row r="78" ht="95" customHeight="1">
      <x:c r="A78" s="29" t="str">
        <x:v>Ausencia de referencia sin cobertura</x:v>
      </x:c>
      <x:c r="B78" s="29" t="str">
        <x:v>ED-021</x:v>
      </x:c>
      <x:c r="C78" s="29" t="n">
        <x:v>1</x:v>
      </x:c>
    </x:row>
    <x:row r="79" ht="95" customHeight="1">
      <x:c r="A79" s="29" t="str">
        <x:v>Ceros iniciales eliminados</x:v>
      </x:c>
      <x:c r="B79" s="29" t="str">
        <x:v>ED-006</x:v>
      </x:c>
      <x:c r="C79" s="29" t="n">
        <x:v>1</x:v>
      </x:c>
    </x:row>
    <x:row r="82">
      <x:c r="A82" t="str">
        <x:v>Comprobación</x:v>
      </x:c>
      <x:c r="B82" t="str">
        <x:v>Resultado</x:v>
      </x:c>
    </x:row>
    <x:row r="83">
      <x:c r="A83" t="str">
        <x:v>Resultados discordantes</x:v>
      </x:c>
      <x:c r="B83" t="n">
        <x:f>COUNTIF(F5:F68,"Discordante")</x:f>
        <x:v>0</x:v>
      </x:c>
    </x:row>
    <x:row r="84">
      <x:c r="A84" t="str">
        <x:v>Identidades paramétricas repetidas</x:v>
      </x:c>
      <x:c r="B84" t="n">
        <x:f>IF(COUNTIF('67_Parametros'!B5:B28,'67_Parametros'!B5)=1,0,1)+IF(COUNTIF('67_Parametros'!B5:B28,'67_Parametros'!B6)=1,0,1)+IF(COUNTIF('67_Parametros'!B5:B28,'67_Parametros'!B7)=1,0,1)+IF(COUNTIF('67_Parametros'!B5:B28,'67_Parametros'!B8)=1,0,1)+IF(COUNTIF('67_Parametros'!B5:B28,'67_Parametros'!B9)=1,0,1)+IF(COUNTIF('67_Parametros'!B5:B28,'67_Parametros'!B10)=1,0,1)+IF(COUNTIF('67_Parametros'!B5:B28,'67_Parametros'!B11)=1,0,1)+IF(COUNTIF('67_Parametros'!B5:B28,'67_Parametros'!B12)=1,0,1)+IF(COUNTIF('67_Parametros'!B5:B28,'67_Parametros'!B13)=1,0,1)+IF(COUNTIF('67_Parametros'!B5:B28,'67_Parametros'!B14)=1,0,1)+IF(COUNTIF('67_Parametros'!B5:B28,'67_Parametros'!B15)=1,0,1)+IF(COUNTIF('67_Parametros'!B5:B28,'67_Parametros'!B16)=1,0,1)+IF(COUNTIF('67_Parametros'!B5:B28,'67_Parametros'!B17)=1,0,1)+IF(COUNTIF('67_Parametros'!B5:B28,'67_Parametros'!B18)=1,0,1)+IF(COUNTIF('67_Parametros'!B5:B28,'67_Parametros'!B19)=1,0,1)+IF(COUNTIF('67_Parametros'!B5:B28,'67_Parametros'!B20)=1,0,1)+IF(COUNTIF('67_Parametros'!B5:B28,'67_Parametros'!B21)=1,0,1)+IF(COUNTIF('67_Parametros'!B5:B28,'67_Parametros'!B22)=1,0,1)+IF(COUNTIF('67_Parametros'!B5:B28,'67_Parametros'!B23)=1,0,1)+IF(COUNTIF('67_Parametros'!B5:B28,'67_Parametros'!B24)=1,0,1)+IF(COUNTIF('67_Parametros'!B5:B28,'67_Parametros'!B25)=1,0,1)+IF(COUNTIF('67_Parametros'!B5:B28,'67_Parametros'!B26)=1,0,1)+IF(COUNTIF('67_Parametros'!B5:B28,'67_Parametros'!B27)=1,0,1)+IF(COUNTIF('67_Parametros'!B5:B28,'67_Parametros'!B28)=1,0,1)</x:f>
        <x:v>0</x:v>
      </x:c>
    </x:row>
  </x:sheetData>
  <x:mergeCells>
    <x:mergeCell ref="A1:D1"/>
    <x:mergeCell ref="A2:F2"/>
  </x:mergeCells>
  <x:conditionalFormatting sqref="F5:F68">
    <x:cfRule type="containsText" dxfId="28" priority="1" operator="containsText" text="Discordante"/>
  </x:conditionalFormatting>
  <x:pageMargins left="0.7" right="0.7" top="0.75" bottom="0.75" header="0.3" footer="0.3"/>
  <x:tableParts count="1">
    <x:tablePart xmlns:r="http://schemas.openxmlformats.org/officeDocument/2006/relationships" r:id="R08a726f8609c4928"/>
  </x:tableParts>
</x:worksheet>
</file>

<file path=xl/worksheets/sheet74.xml><?xml version="1.0" encoding="utf-8"?>
<x:worksheet xmlns:x="http://schemas.openxmlformats.org/spreadsheetml/2006/main">
  <x:sheetPr>
    <x:tabColor rgb="FF254F69"/>
  </x:sheetPr>
  <x:sheetViews>
    <x:sheetView showGridLines="0" workbookViewId="0">
      <x:pane xSplit="1" ySplit="4" topLeftCell="B5" activePane="bottomRight" state="frozen"/>
    </x:sheetView>
  </x:sheetViews>
  <x:sheetFormatPr defaultRowHeight="15"/>
  <x:cols>
    <x:col min="1" max="1" width="43" hidden="0" customWidth="1"/>
    <x:col min="2" max="2" width="69" hidden="0" customWidth="1"/>
    <x:col min="3" max="3" width="104" hidden="0" customWidth="1"/>
  </x:cols>
  <x:sheetData>
    <x:row r="1" ht="34" customHeight="1">
      <x:c r="A1" s="36" t="str">
        <x:v>Identidad, autoridad y datos: revisión del primer universo</x:v>
      </x:c>
      <x:c r="B1" s="35"/>
      <x:c r="C1" s="35"/>
    </x:row>
    <x:row r="2" ht="48" customHeight="1">
      <x:c r="A2" s="37" t="str">
        <x:v>Versión 0.9. El cierre de 24 parámetros se rectifica mediante ocho definiciones adicionales. Revisión interna documental.</x:v>
      </x:c>
      <x:c r="B2" s="35"/>
      <x:c r="C2" s="35"/>
    </x:row>
    <x:row r="3">
      <x:c r="A3" s="35"/>
      <x:c r="B3" s="35"/>
      <x:c r="C3" s="35"/>
    </x:row>
    <x:row r="4" ht="62" customHeight="1">
      <x:c r="A4" s="51" t="str">
        <x:v>Cuestión</x:v>
      </x:c>
      <x:c r="B4" s="51" t="str">
        <x:v>Resultado actual</x:v>
      </x:c>
      <x:c r="C4" s="51" t="str">
        <x:v>Fundamento y alcance</x:v>
      </x:c>
    </x:row>
    <x:row r="5" ht="48" customHeight="1">
      <x:c r="A5" s="35" t="str">
        <x:v>Dictamen</x:v>
      </x:c>
      <x:c r="B5" s="35" t="str">
        <x:v>Insuficiencia anterior corregida documentalmente</x:v>
      </x:c>
      <x:c r="C5" s="35" t="str">
        <x:v>El éxito técnico no acredita legitimidad del acto ni protección suficiente de sus pruebas.</x:v>
      </x:c>
    </x:row>
    <x:row r="6" ht="44" customHeight="1">
      <x:c r="A6" s="35" t="str">
        <x:v>Definiciones técnicas conservadas</x:v>
      </x:c>
      <x:c r="B6" s="40" t="n">
        <x:f>COUNTA('67_Parametros'!A5:A28)</x:f>
        <x:v>24</x:v>
      </x:c>
      <x:c r="C6" s="35" t="str">
        <x:v>P01–P24: hojas 67 y 68, vigentes en sus definiciones y consecuencias.</x:v>
      </x:c>
    </x:row>
    <x:row r="7" ht="44" customHeight="1">
      <x:c r="A7" s="35" t="str">
        <x:v>Definiciones adicionales</x:v>
      </x:c>
      <x:c r="B7" s="40" t="n">
        <x:f>COUNTA('74_Ampliacion_atomica'!A5:A12)</x:f>
        <x:v>8</x:v>
      </x:c>
      <x:c r="C7" s="35" t="str">
        <x:v>P25–P32: hoja 74. La autenticación se trata como uso de P07.</x:v>
      </x:c>
    </x:row>
    <x:row r="8" ht="44" customHeight="1">
      <x:c r="A8" s="35" t="str">
        <x:v>Total de definiciones documentales</x:v>
      </x:c>
      <x:c r="B8" s="40" t="n">
        <x:f>B6+B7</x:f>
        <x:v>32</x:v>
      </x:c>
      <x:c r="C8" s="35" t="str">
        <x:v>La cardinalidad no crea ni dimensiona células SV.</x:v>
      </x:c>
    </x:row>
    <x:row r="9" ht="48" customHeight="1">
      <x:c r="A9" s="35" t="str">
        <x:v>Estado de capacidad</x:v>
      </x:c>
      <x:c r="B9" s="35" t="str">
        <x:v>Suficiencia operacional SV no acreditada</x:v>
      </x:c>
      <x:c r="C9" s="35" t="str">
        <x:v>La adjudicación documental no ejecuta autenticación, permisos, protección de datos ni consejo SV.</x:v>
      </x:c>
    </x:row>
    <x:row r="10" ht="44" customHeight="1">
      <x:c r="A10" s="35" t="str">
        <x:v>Controles</x:v>
      </x:c>
      <x:c r="B10" s="35" t="str">
        <x:v>16 contratos</x:v>
      </x:c>
      <x:c r="C10" s="35" t="str">
        <x:v>Hoja 75: evidencia, autoridad y vistas de datos diferenciadas.</x:v>
      </x:c>
    </x:row>
    <x:row r="11" ht="44" customHeight="1">
      <x:c r="A11" s="35" t="str">
        <x:v>Hipótesis compacta: universos</x:v>
      </x:c>
      <x:c r="B11" s="40" t="n">
        <x:f>'77_Estimacion_revisada'!B37</x:f>
        <x:v>29</x:v>
      </x:c>
      <x:c r="C11" s="35" t="str">
        <x:v>Grupos de productos de la hoja 76; no mínimo demostrado.</x:v>
      </x:c>
    </x:row>
    <x:row r="12" ht="44" customHeight="1">
      <x:c r="A12" s="35" t="str">
        <x:v>Hipótesis central: universos</x:v>
      </x:c>
      <x:c r="B12" s="40" t="n">
        <x:f>'77_Estimacion_revisada'!B38</x:f>
        <x:v>38</x:v>
      </x:c>
      <x:c r="C12" s="35" t="str">
        <x:v>Partición propuesta, sin calibración empírica.</x:v>
      </x:c>
    </x:row>
    <x:row r="13" ht="44" customHeight="1">
      <x:c r="A13" s="35" t="str">
        <x:v>Hipótesis amplia: universos</x:v>
      </x:c>
      <x:c r="B13" s="40" t="n">
        <x:f>'77_Estimacion_revisada'!B39</x:f>
        <x:v>59</x:v>
      </x:c>
      <x:c r="C13" s="35" t="str">
        <x:v>Incluye CYO-20, condicionado a su ámbito institucional.</x:v>
      </x:c>
    </x:row>
    <x:row r="14" ht="44" customHeight="1">
      <x:c r="A14" s="35" t="str">
        <x:v>Hipótesis compacta: parámetros</x:v>
      </x:c>
      <x:c r="B14" s="40" t="n">
        <x:f>'77_Estimacion_revisada'!I37</x:f>
        <x:v>288</x:v>
      </x:c>
      <x:c r="C14" s="35" t="str">
        <x:v>Leer aproximadamente 290; presupuesto y reutilización supuestos.</x:v>
      </x:c>
    </x:row>
    <x:row r="15" ht="44" customHeight="1">
      <x:c r="A15" s="35" t="str">
        <x:v>Hipótesis central: parámetros</x:v>
      </x:c>
      <x:c r="B15" s="40" t="n">
        <x:f>'77_Estimacion_revisada'!I38</x:f>
        <x:v>552</x:v>
      </x:c>
      <x:c r="C15" s="35" t="str">
        <x:v>Leer aproximadamente 550; no predicción exacta.</x:v>
      </x:c>
    </x:row>
    <x:row r="16" ht="44" customHeight="1">
      <x:c r="A16" s="35" t="str">
        <x:v>Hipótesis amplia: parámetros</x:v>
      </x:c>
      <x:c r="B16" s="40" t="n">
        <x:f>'77_Estimacion_revisada'!I39</x:f>
        <x:v>1062</x:v>
      </x:c>
      <x:c r="C16" s="35" t="str">
        <x:v>Leer aproximadamente 1.060; no máximo demostrado.</x:v>
      </x:c>
    </x:row>
    <x:row r="17" ht="48" customHeight="1">
      <x:c r="A17" s="35" t="str">
        <x:v>Pruebas de esta revisión</x:v>
      </x:c>
      <x:c r="B17" s="35" t="str">
        <x:v>46 casos sintéticos y 11 mutantes detectados</x:v>
      </x:c>
      <x:c r="C17" s="35" t="str">
        <x:v>Diez pares documentales con igual estado técnico y distinta información de gobierno.</x:v>
      </x:c>
    </x:row>
    <x:row r="18" ht="44" customHeight="1">
      <x:c r="A18" s="35" t="str">
        <x:v>Lectura del Lenguaje</x:v>
      </x:c>
      <x:c r="B18" s="35" t="str">
        <x:v>IR y LIG cotejados en la entrega vigente</x:v>
      </x:c>
      <x:c r="C18" s="35" t="str">
        <x:v>Inspección estática; no ejecución Rust ni modificación del Lenguaje.</x:v>
      </x:c>
    </x:row>
    <x:row r="19" ht="48" customHeight="1">
      <x:c r="A19" s="35" t="str">
        <x:v>Propuesta para la decisión humana</x:v>
      </x:c>
      <x:c r="B19" s="35" t="str">
        <x:v>Contrastar el primer universo ampliado con el Lenguaje</x:v>
      </x:c>
      <x:c r="C19" s="35" t="str">
        <x:v>Un segundo requiere una relación semántica nueva y consecuencia propia. No se abre automáticamente.</x:v>
      </x:c>
    </x:row>
    <x:row r="20" ht="48" customHeight="1">
      <x:c r="A20" s="35" t="str">
        <x:v>Conservación histórica</x:v>
      </x:c>
      <x:c r="B20" s="35" t="str">
        <x:v>v0.8 permanece congelado</x:v>
      </x:c>
      <x:c r="C20" s="35" t="str">
        <x:v>66 y 70 contienen conclusiones y estimaciones anteriores. 69 se interpreta conforme a la sucesión de controles de 75.</x:v>
      </x:c>
    </x:row>
    <x:row r="21" ht="44" customHeight="1">
      <x:c r="A21" s="35" t="str">
        <x:v>Lectura actual</x:v>
      </x:c>
      <x:c r="B21" s="35" t="str">
        <x:v>73–80; P01–P24 en 67/68</x:v>
      </x:c>
      <x:c r="C21" s="35" t="str">
        <x:v>Base curricular anterior conservada. Acta y revisión v0.3 en el expediente.</x:v>
      </x:c>
    </x:row>
  </x:sheetData>
  <x:mergeCells>
    <x:mergeCell ref="A1:C1"/>
    <x:mergeCell ref="A2:C2"/>
  </x:mergeCells>
  <x:pageMargins left="0.7" right="0.7" top="0.75" bottom="0.75" header="0.3" footer="0.3"/>
  <x:tableParts count="1">
    <x:tablePart xmlns:r="http://schemas.openxmlformats.org/officeDocument/2006/relationships" r:id="R155c42fb99a743a5"/>
  </x:tableParts>
</x:worksheet>
</file>

<file path=xl/worksheets/sheet75.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4" hidden="0" customWidth="1"/>
    <x:col min="2" max="2" width="55" hidden="0" customWidth="1"/>
    <x:col min="3" max="3" width="12" hidden="0" customWidth="1"/>
    <x:col min="4" max="4" width="46" hidden="0" customWidth="1"/>
    <x:col min="5" max="5" width="67" hidden="0" customWidth="1"/>
    <x:col min="6" max="6" width="86" hidden="0" customWidth="1"/>
    <x:col min="7" max="7" width="69" hidden="0" customWidth="1"/>
    <x:col min="8" max="8" width="69" hidden="0" customWidth="1"/>
    <x:col min="9" max="9" width="69" hidden="0" customWidth="1"/>
    <x:col min="10" max="10" width="120" hidden="0" customWidth="1"/>
    <x:col min="11" max="11" width="90" hidden="0" customWidth="1"/>
    <x:col min="12" max="12" width="100" hidden="0" customWidth="1"/>
    <x:col min="13" max="13" width="95" hidden="0" customWidth="1"/>
    <x:col min="14" max="14" width="90" hidden="0" customWidth="1"/>
    <x:col min="15" max="15" width="100" hidden="0" customWidth="1"/>
    <x:col min="16" max="16" width="95" hidden="0" customWidth="1"/>
    <x:col min="17" max="17" width="68" hidden="0" customWidth="1"/>
  </x:cols>
  <x:sheetData>
    <x:row r="1" ht="34" customHeight="1">
      <x:c r="A1" s="36" t="str">
        <x:v>Ocho definiciones adicionales de gobierno de la actuación</x:v>
      </x:c>
      <x:c r="B1" s="35"/>
      <x:c r="C1" s="35"/>
      <x:c r="D1" s="35"/>
      <x:c r="E1" s="35"/>
      <x:c r="F1" s="35"/>
      <x:c r="G1" s="35"/>
      <x:c r="H1" s="35"/>
      <x:c r="I1" s="35"/>
      <x:c r="J1" s="35"/>
      <x:c r="K1" s="35"/>
      <x:c r="L1" s="35"/>
      <x:c r="M1" s="35"/>
      <x:c r="N1" s="35"/>
      <x:c r="O1" s="35"/>
      <x:c r="P1" s="35"/>
      <x:c r="Q1" s="35"/>
    </x:row>
    <x:row r="2" ht="48" customHeight="1">
      <x:c r="A2" s="37" t="str">
        <x:v>P01–P24 se conservan en 67/68. P25–P32 completan el inventario documental bajo las presiones examinadas.</x:v>
      </x:c>
      <x:c r="B2" s="35"/>
      <x:c r="C2" s="35"/>
      <x:c r="D2" s="35"/>
      <x:c r="E2" s="35"/>
      <x:c r="F2" s="35"/>
      <x:c r="G2" s="35"/>
      <x:c r="H2" s="35"/>
      <x:c r="I2" s="35"/>
      <x:c r="J2" s="35"/>
      <x:c r="K2" s="35"/>
      <x:c r="L2" s="35"/>
      <x:c r="M2" s="35"/>
      <x:c r="N2" s="35"/>
      <x:c r="O2" s="35"/>
      <x:c r="P2" s="35"/>
      <x:c r="Q2" s="35"/>
    </x:row>
    <x:row r="3">
      <x:c r="A3" s="35"/>
      <x:c r="B3" s="35"/>
      <x:c r="C3" s="35"/>
      <x:c r="D3" s="35"/>
      <x:c r="E3" s="35"/>
      <x:c r="F3" s="35"/>
      <x:c r="G3" s="35"/>
      <x:c r="H3" s="35"/>
      <x:c r="I3" s="35"/>
      <x:c r="J3" s="35"/>
      <x:c r="K3" s="35"/>
      <x:c r="L3" s="35"/>
      <x:c r="M3" s="35"/>
      <x:c r="N3" s="35"/>
      <x:c r="O3" s="35"/>
      <x:c r="P3" s="35"/>
      <x:c r="Q3" s="35"/>
    </x:row>
    <x:row r="4" ht="62" customHeight="1">
      <x:c r="A4" s="51" t="str">
        <x:v>Parámetro</x:v>
      </x:c>
      <x:c r="B4" s="51" t="str">
        <x:v>Identidad estable</x:v>
      </x:c>
      <x:c r="C4" s="51" t="str">
        <x:v>Versión</x:v>
      </x:c>
      <x:c r="D4" s="51" t="str">
        <x:v>Denominación</x:v>
      </x:c>
      <x:c r="E4" s="51" t="str">
        <x:v>Sujeto</x:v>
      </x:c>
      <x:c r="F4" s="51" t="str">
        <x:v>Proposición</x:v>
      </x:c>
      <x:c r="G4" s="51" t="str">
        <x:v>Condición de 1</x:v>
      </x:c>
      <x:c r="H4" s="51" t="str">
        <x:v>Condición de 0</x:v>
      </x:c>
      <x:c r="I4" s="51" t="str">
        <x:v>Condición de U</x:v>
      </x:c>
      <x:c r="J4" s="51" t="str">
        <x:v>Observación y perfil</x:v>
      </x:c>
      <x:c r="K4" s="51" t="str">
        <x:v>Conocimiento necesario</x:v>
      </x:c>
      <x:c r="L4" s="51" t="str">
        <x:v>Relación</x:v>
      </x:c>
      <x:c r="M4" s="51" t="str">
        <x:v>Consecuencia de omisión</x:v>
      </x:c>
      <x:c r="N4" s="51" t="str">
        <x:v>Límite frente al exceso</x:v>
      </x:c>
      <x:c r="O4" s="51" t="str">
        <x:v>Variación independiente</x:v>
      </x:c>
      <x:c r="P4" s="51" t="str">
        <x:v>Partición examinada</x:v>
      </x:c>
      <x:c r="Q4" s="51" t="str">
        <x:v>Fuentes</x:v>
      </x:c>
    </x:row>
    <x:row r="5" ht="80" customHeight="1">
      <x:c r="A5" s="35" t="str">
        <x:v>P25</x:v>
      </x:c>
      <x:c r="B5" s="35" t="str">
        <x:v>PAR-CYB-ACTO-SESION-VINCULADOS-001</x:v>
      </x:c>
      <x:c r="C5" s="35" t="str">
        <x:v>0.1</x:v>
      </x:c>
      <x:c r="D5" s="35" t="str">
        <x:v>Vinculación de un acto con una sesión</x:v>
      </x:c>
      <x:c r="E5" s="35" t="str">
        <x:v>Un acto individual y una sesión identificada del sistema que lo ejecutó</x:v>
      </x:c>
      <x:c r="F5" s="35" t="str">
        <x:v>El acto identificado está vinculado a la sesión de referencia por la relación de atribución admitida.</x:v>
      </x:c>
      <x:c r="G5" s="35" t="str">
        <x:v>Relación explícita y coherente entre ese acto y esa sesión.</x:v>
      </x:c>
      <x:c r="H5" s="35" t="str">
        <x:v>Relación completa que atribuye el acto a otra sesión y excluye la de referencia.</x:v>
      </x:c>
      <x:c r="I5" s="35" t="str">
        <x:v>Sólo consta un nombre, la relación está incompleta o hay atribuciones incompatibles.</x:v>
      </x:c>
      <x:c r="J5" s="35" t="str">
        <x:v>Identificadores de acto, sesión y emisor; referencia del registro de correlación y perfil de observación. El nombre de cuenta o la proximidad temporal no bastan. El resultado de autenticación se registra aparte como uso específico de P07; no demuestra quién controló físicamente una credencial robada.</x:v>
      </x:c>
      <x:c r="K5" s="35" t="str">
        <x:v>Autenticar una sesión y atribuirle un acto son relaciones diferentes.</x:v>
      </x:c>
      <x:c r="L5" s="35" t="str">
        <x:v>Acto → sesión → principal declarado; la correspondencia con persona responsable exige evidencia propia, sin publicar esa identidad en la vista general.</x:v>
      </x:c>
      <x:c r="M5" s="35" t="str">
        <x:v>Un cambio ejecutado por otra sesión puede atribuirse al técnico legítimo y ocultar la intervención ajena.</x:v>
      </x:c>
      <x:c r="N5" s="35" t="str">
        <x:v>Una atribución incompleta no permite acusar a una persona ni borrar el resultado técnico observado.</x:v>
      </x:c>
      <x:c r="O5" s="35" t="str">
        <x:v>Dos instalaciones satisfactorias y una misma sesión autenticada; sólo una conserva la relación de ejecución con esa sesión.</x:v>
      </x:c>
      <x:c r="P5" s="35" t="str">
        <x:v>La identidad compuesta identifica un acto; se adjudica una sola arista, no toda la cadena de responsabilidad.</x:v>
      </x:c>
      <x:c r="Q5" s="35" t="str">
        <x:v>N01 art. 24, anexo II op.acc.1 y op.exp.8; N09, gestión de usuarios; ADJ1 §2.3</x:v>
      </x:c>
    </x:row>
    <x:row r="6" ht="64" customHeight="1">
      <x:c r="A6" s="35" t="str">
        <x:v>P26</x:v>
      </x:c>
      <x:c r="B6" s="35" t="str">
        <x:v>PAR-CYB-EMISOR-COMPETENTE-001</x:v>
      </x:c>
      <x:c r="C6" s="35" t="str">
        <x:v>0.1</x:v>
      </x:c>
      <x:c r="D6" s="35" t="str">
        <x:v>Competencia del emisor de una autorización</x:v>
      </x:c>
      <x:c r="E6" s="35" t="str">
        <x:v>Un emisor, una facultad concreta y el instante de emisión de una autorización</x:v>
      </x:c>
      <x:c r="F6" s="35" t="str">
        <x:v>El emisor figura como titular de la facultad de conceder esa autorización en el registro institucional aplicable al instante de emisión.</x:v>
      </x:c>
      <x:c r="G6" s="35" t="str">
        <x:v>Correspondencia positiva con la atribución institucional vigente en ese instante.</x:v>
      </x:c>
      <x:c r="H6" s="35" t="str">
        <x:v>Registro completo que excluye expresamente esa facultad para el emisor.</x:v>
      </x:c>
      <x:c r="I6" s="35" t="str">
        <x:v>Competencia, vigencia o registro institucional insuficientemente acreditados.</x:v>
      </x:c>
      <x:c r="J6" s="35" t="str">
        <x:v>Anclaje de autoridad fijado por la organización competente; historial de atribuciones y facultad individual. La verificación de firma no crea competencia. La cadena de delegación se resuelve por aristas; su legitimidad conjunta no se oculta en este parámetro.</x:v>
      </x:c>
      <x:c r="K6" s="35" t="str">
        <x:v>La identidad de un firmante no determina las facultades que le atribuye una organización.</x:v>
      </x:c>
      <x:c r="L6" s="35" t="str">
        <x:v>Emisor → facultad institucional; después se examinan alcance, tiempo y revocación del permiso emitido.</x:v>
      </x:c>
      <x:c r="M6" s="35" t="str">
        <x:v>Un documento firmado por un proveedor o por un agente sin facultad puede presentarse como autorización institucional.</x:v>
      </x:c>
      <x:c r="N6" s="35" t="str">
        <x:v>No se presume incompetencia por falta de acceso del observador al registro; se conserva U.</x:v>
      </x:c>
      <x:c r="O6" s="35" t="str">
        <x:v>Un emisor competente puede conceder permiso para otro activo; un emisor incompetente puede escribir un alcance aparentemente exacto.</x:v>
      </x:c>
      <x:c r="P6" s="35" t="str">
        <x:v>La facultad individual se fija antes de consultar; no se agregan todas las competencias de la persona.</x:v>
      </x:c>
      <x:c r="Q6" s="35" t="str">
        <x:v>N01 arts. 11, 21 y op.acc.4; N06 §2.1; N10 §1.1</x:v>
      </x:c>
    </x:row>
    <x:row r="7" ht="64" customHeight="1">
      <x:c r="A7" s="35" t="str">
        <x:v>P27</x:v>
      </x:c>
      <x:c r="B7" s="35" t="str">
        <x:v>PAR-CYB-ALCANCE-PERMISO-001</x:v>
      </x:c>
      <x:c r="C7" s="35" t="str">
        <x:v>0.1</x:v>
      </x:c>
      <x:c r="D7" s="35" t="str">
        <x:v>Pertenencia del acto al alcance de un permiso</x:v>
      </x:c>
      <x:c r="E7" s="35" t="str">
        <x:v>Un permiso y un acto individual con recurso, acción, destinatario y finalidad declarados</x:v>
      </x:c>
      <x:c r="F7" s="35" t="str">
        <x:v>La tupla del acto pertenece al conjunto de actuaciones que declara el permiso de referencia.</x:v>
      </x:c>
      <x:c r="G7" s="35" t="str">
        <x:v>Pertenencia acreditada bajo la regla de alcance previamente fijada.</x:v>
      </x:c>
      <x:c r="H7" s="35" t="str">
        <x:v>Exclusión acreditada de la tupla del acto.</x:v>
      </x:c>
      <x:c r="I7" s="35" t="str">
        <x:v>Finalidad, recurso, acción, destinatario o regla de pertenencia indeterminados.</x:v>
      </x:c>
      <x:c r="J7" s="35" t="str">
        <x:v>Perfil documental PR-ALC/1: conjunto finito explícito de tuplas exactas. No admite comodines interpretados por el auxiliar. Las restricciones adicionales del permiso se conservan y evalúan separadamente; una política más rica requiere su perfil y no se aproxima por este conjunto.</x:v>
      </x:c>
      <x:c r="K7" s="35" t="str">
        <x:v>Un permiso identifica aquello que permite; la posesión de una credencial no amplía ese alcance.</x:v>
      </x:c>
      <x:c r="L7" s="35" t="str">
        <x:v>Permiso → acto/recurso/finalidad; cada eslabón de delegación conserva su alcance y no puede ampliarlo.</x:v>
      </x:c>
      <x:c r="M7" s="35" t="str">
        <x:v>Se puede legitimar un reinicio en otro servicio, una exportación de registros no prevista o el uso de credenciales por otro agente.</x:v>
      </x:c>
      <x:c r="N7" s="35" t="str">
        <x:v>La exclusión de este permiso no demuestra que no exista otro permiso aplicable; la cobertura de autorizaciones se comprueba aparte.</x:v>
      </x:c>
      <x:c r="O7" s="35" t="str">
        <x:v>Un permiso auténtico emitido por autoridad competente puede estar vigente y excluir el activo o destinatario del acto.</x:v>
      </x:c>
      <x:c r="P7" s="35" t="str">
        <x:v>Acción y recurso fijan el sujeto relacional de la pertenencia. Los incumplimientos de campos se explican; no se crean átomos por cada palabra de la tupla.</x:v>
      </x:c>
      <x:c r="Q7" s="35" t="str">
        <x:v>N01 op.acc.4; N06 §2.1; N10 §§1.1 y 2.1; ADJ1 §2.3</x:v>
      </x:c>
    </x:row>
    <x:row r="8" ht="64" customHeight="1">
      <x:c r="A8" s="35" t="str">
        <x:v>P28</x:v>
      </x:c>
      <x:c r="B8" s="35" t="str">
        <x:v>PAR-CYB-INTERVALO-PERMISO-001</x:v>
      </x:c>
      <x:c r="C8" s="35" t="str">
        <x:v>0.1</x:v>
      </x:c>
      <x:c r="D8" s="35" t="str">
        <x:v>Inclusión temporal del acto en la vigencia declarada</x:v>
      </x:c>
      <x:c r="E8" s="35" t="str">
        <x:v>Un permiso y el intervalo de ejecución de un acto individual</x:v>
      </x:c>
      <x:c r="F8" s="35" t="str">
        <x:v>Todo el intervalo posible del acto queda comprendido en el intervalo de vigencia declarado por ese permiso.</x:v>
      </x:c>
      <x:c r="G8" s="35" t="str">
        <x:v>Inclusión completa para todos los tiempos compatibles con la evidencia admitida.</x:v>
      </x:c>
      <x:c r="H8" s="35" t="str">
        <x:v>La evidencia demuestra que el acto no quedó íntegramente incluido.</x:v>
      </x:c>
      <x:c r="I8" s="35" t="str">
        <x:v>La incertidumbre del reloj o de los extremos permite tanto inclusión como incumplimiento.</x:v>
      </x:c>
      <x:c r="J8" s="35" t="str">
        <x:v>Perfil PR-TIEMPO/1: intervalos cerrados, escala común y precisión declarada; enteros decimales exactos conservados como texto. No confundir hora del registro, del sellado, de observación y del acto. Límites abiertos o reglas de zona horaria requieren otro perfil explícito.</x:v>
      </x:c>
      <x:c r="K8" s="35" t="str">
        <x:v>La fecha escrita en un documento y el tiempo acreditado de la actuación no son intercambiables.</x:v>
      </x:c>
      <x:c r="L8" s="35" t="str">
        <x:v>Intervalo del acto frente a vigencia; la emisión previa y la revocación se contrastan por separado.</x:v>
      </x:c>
      <x:c r="M8" s="35" t="str">
        <x:v>Un acto posterior a la caducidad puede aconsejarse como autorizado, o puede ignorarse que el permiso caducó durante la actuación.</x:v>
      </x:c>
      <x:c r="N8" s="35" t="str">
        <x:v>La superposición incierta no se transforma en infracción demostrada ni en permiso vigente.</x:v>
      </x:c>
      <x:c r="O8" s="35" t="str">
        <x:v>El intervalo puede estar incluido en la vigencia nominal aunque el permiso ya estuviera revocado o se hubiese emitido después con fecha retroactiva.</x:v>
      </x:c>
      <x:c r="P8" s="35" t="str">
        <x:v>La inclusión de un intervalo es una relación única. Sus extremos son observables del mismo objeto temporal, no dos permisos.</x:v>
      </x:c>
      <x:c r="Q8" s="35" t="str">
        <x:v>N03B arts. 41.1–2 y 42.1; N03C art. 1, puntos 41–42; N06 §2.1; N01 op.exp.8</x:v>
      </x:c>
    </x:row>
    <x:row r="9" ht="64" customHeight="1">
      <x:c r="A9" s="35" t="str">
        <x:v>P29</x:v>
      </x:c>
      <x:c r="B9" s="35" t="str">
        <x:v>PAR-CYB-REVOCACION-AFECTA-001</x:v>
      </x:c>
      <x:c r="C9" s="35" t="str">
        <x:v>0.1</x:v>
      </x:c>
      <x:c r="D9" s="35" t="str">
        <x:v>Revocación que afecta a la actuación</x:v>
      </x:c>
      <x:c r="E9" s="35" t="str">
        <x:v>Un permiso, un acto y el historial competente de revocación</x:v>
      </x:c>
      <x:c r="F9" s="35" t="str">
        <x:v>Existe una revocación efectiva de ese permiso no posterior al final del acto.</x:v>
      </x:c>
      <x:c r="G9" s="35" t="str">
        <x:v>Revocación pertinente inequívocamente efectiva antes de terminar el acto o durante él.</x:v>
      </x:c>
      <x:c r="H9" s="35" t="str">
        <x:v>Historia completa que acredita ausencia de revocación pertinente hasta el final del acto.</x:v>
      </x:c>
      <x:c r="I9" s="35" t="str">
        <x:v>Historia incompleta, efectividad desconocida o solapamiento temporal que impide resolver.</x:v>
      </x:c>
      <x:c r="J9" s="35" t="str">
        <x:v>PR-TIEMPO/1; se distinguen emisión, publicación, recepción y efecto de la revocación. La regla jurídica o institucional determina el efecto. La revocación posterior al final no se aplica retroactivamente por el simple hecho de conocerla después. Una nueva concesión posee otra identidad.</x:v>
      </x:c>
      <x:c r="K9" s="35" t="str">
        <x:v>El intervalo nominal de un permiso puede seguir abierto después de su retirada.</x:v>
      </x:c>
      <x:c r="L9" s="35" t="str">
        <x:v>Revocación → permiso → actos afectados en su horizonte; se conserva la historia anterior.</x:v>
      </x:c>
      <x:c r="M9" s="35" t="str">
        <x:v>Una sesión o agente puede seguir figurando como autorizado después de la retirada de su facultad.</x:v>
      </x:c>
      <x:c r="N9" s="35" t="str">
        <x:v>No se invalida retroactivamente un acto anterior por una revocación posterior, salvo regla explícita aplicable.</x:v>
      </x:c>
      <x:c r="O9" s="35" t="str">
        <x:v>Un permiso no caducado puede estar revocado; un permiso caducado puede no haber sufrido revocación alguna.</x:v>
      </x:c>
      <x:c r="P9" s="35" t="str">
        <x:v>Existencia de un suceso de revocación pertinente, con cobertura del historial. No reúne caducidad y revocación.</x:v>
      </x:c>
      <x:c r="Q9" s="35" t="str">
        <x:v>N09, gestión de usuarios; N06 §2.1; N01 op.acc.1 y op.acc.4</x:v>
      </x:c>
    </x:row>
    <x:row r="10" ht="64" customHeight="1">
      <x:c r="A10" s="35" t="str">
        <x:v>P30</x:v>
      </x:c>
      <x:c r="B10" s="35" t="str">
        <x:v>PAR-CYB-AUTORIZACION-PREVIA-001</x:v>
      </x:c>
      <x:c r="C10" s="35" t="str">
        <x:v>0.1</x:v>
      </x:c>
      <x:c r="D10" s="35" t="str">
        <x:v>Precedencia de la emisión de una autorización</x:v>
      </x:c>
      <x:c r="E10" s="35" t="str">
        <x:v>Una autorización identificada y el comienzo de un acto</x:v>
      </x:c>
      <x:c r="F10" s="35" t="str">
        <x:v>La emisión efectiva de la autorización precedió al comienzo de la actuación.</x:v>
      </x:c>
      <x:c r="G10" s="35" t="str">
        <x:v>La emisión ocurrió estrictamente antes de comenzar, con orden acreditado.</x:v>
      </x:c>
      <x:c r="H10" s="35" t="str">
        <x:v>La emisión ocurrió después de comenzar o fue simultánea según el perfil temporal exacto.</x:v>
      </x:c>
      <x:c r="I10" s="35" t="str">
        <x:v>Los intervalos de incertidumbre no permiten establecer el orden estricto.</x:v>
      </x:c>
      <x:c r="J10" s="35" t="str">
        <x:v>PR-TIEMPO/1; se compara tiempo de emisión acreditado con comienzo, no fecha redactada retrospectivamente. Este átomo sólo describe precedencia; el régimen de urgencia o autorización permanente es contexto y puede aportar otro permiso válido anterior.</x:v>
      </x:c>
      <x:c r="K10" s="35" t="str">
        <x:v>Ratificar después y autorizar antes son sucesos distintos.</x:v>
      </x:c>
      <x:c r="L10" s="35" t="str">
        <x:v>Emisión → inicio del acto; plan, alcance y vigencia no sustituyen ese orden.</x:v>
      </x:c>
      <x:c r="M10" s="35" t="str">
        <x:v>Una aprobación posterior puede encubrir que el experto no autorizó la actuación cuando todavía podía decidirla.</x:v>
      </x:c>
      <x:c r="N10" s="35" t="str">
        <x:v>Un acto urgente no se califica por automatismo: se examina si estaba amparado por una autorización permanente u otro régimen aplicable.</x:v>
      </x:c>
      <x:c r="O10" s="35" t="str">
        <x:v>La vigencia nominal puede abarcar el acto y la aprobación ser posterior; un acto planificado puede seguir sin aprobación previa.</x:v>
      </x:c>
      <x:c r="P10" s="35" t="str">
        <x:v>Una relación de precedencia entre dos sucesos; no se añade una valoración global de legalidad.</x:v>
      </x:c>
      <x:c r="Q10" s="35" t="str">
        <x:v>N01 art. 21 y op.exp.5; N03B arts. 41–42; ADJ1 §§2.3 y 2.5</x:v>
      </x:c>
    </x:row>
    <x:row r="11" ht="64" customHeight="1">
      <x:c r="A11" s="35" t="str">
        <x:v>P31</x:v>
      </x:c>
      <x:c r="B11" s="35" t="str">
        <x:v>PAR-CYB-PRINCIPALES-DISTINTOS-001</x:v>
      </x:c>
      <x:c r="C11" s="35" t="str">
        <x:v>0.1</x:v>
      </x:c>
      <x:c r="D11" s="35" t="str">
        <x:v>Separación de los titulares de dos funciones</x:v>
      </x:c>
      <x:c r="E11" s="35" t="str">
        <x:v>Dos funciones concretas de una actuación para las que se exige separación</x:v>
      </x:c>
      <x:c r="F11" s="35" t="str">
        <x:v>Los titulares acreditados de ambas funciones corresponden a principales institucionales distintos.</x:v>
      </x:c>
      <x:c r="G11" s="35" t="str">
        <x:v>Identidades canónicas distintas acreditadas por la referencia institucional.</x:v>
      </x:c>
      <x:c r="H11" s="35" t="str">
        <x:v>Ambas funciones se atribuyen al mismo principal, aunque utilice cuentas diferentes.</x:v>
      </x:c>
      <x:c r="I11" s="35" t="str">
        <x:v>Se conocen cuentas o nombres, pero no puede resolverse la identidad canónica de los titulares.</x:v>
      </x:c>
      <x:c r="J11" s="35" t="str">
        <x:v>La exigencia de separación se activa antes según categoría, medida o política aplicable. Se usa un par de funciones y titulares; otras incompatibilidades o independencia organizativa necesitan controles propios. Sin exigencia, el perfil es NO_APLICABLE, no Tri.1.</x:v>
      </x:c>
      <x:c r="K11" s="35" t="str">
        <x:v>Dos cuentas no equivalen necesariamente a dos personas o autoridades independientes.</x:v>
      </x:c>
      <x:c r="L11" s="35" t="str">
        <x:v>Funciones → titulares → identidad canónica; el permiso de cada titular se examina por separado.</x:v>
      </x:c>
      <x:c r="M11" s="35" t="str">
        <x:v>Una misma persona puede autorizar y ejecutar usando alias, aparentando una separación inexistente.</x:v>
      </x:c>
      <x:c r="N11" s="35" t="str">
        <x:v>No se impone doble control a todos los cambios ni se afirma independencia organizativa sólo por tener titulares distintos.</x:v>
      </x:c>
      <x:c r="O11" s="35" t="str">
        <x:v>Dos titulares distintos pueden carecer de competencia; un titular competente puede asumir ambas funciones con cuentas diferentes.</x:v>
      </x:c>
      <x:c r="P11" s="35" t="str">
        <x:v>Una desigualdad entre dos identidades canónicas. La independencia institucional más amplia sigue siendo compuesta.</x:v>
      </x:c>
      <x:c r="Q11" s="35" t="str">
        <x:v>N01 anexo II op.acc.3, categoría MEDIA/ALTA; N09, gestión de usuarios</x:v>
      </x:c>
    </x:row>
    <x:row r="12" ht="64" customHeight="1">
      <x:c r="A12" s="35" t="str">
        <x:v>P32</x:v>
      </x:c>
      <x:c r="B12" s="35" t="str">
        <x:v>PAR-CYB-ACTO-PREVISTO-001</x:v>
      </x:c>
      <x:c r="C12" s="35" t="str">
        <x:v>0.1</x:v>
      </x:c>
      <x:c r="D12" s="35" t="str">
        <x:v>Pertenencia de la actuación a un plan previo</x:v>
      </x:c>
      <x:c r="E12" s="35" t="str">
        <x:v>Una actuación y la versión del plan fijada antes de ejecutarla</x:v>
      </x:c>
      <x:c r="F12" s="35" t="str">
        <x:v>El acto individual figura entre las actuaciones previstas por esa versión del plan.</x:v>
      </x:c>
      <x:c r="G12" s="35" t="str">
        <x:v>Pertenencia expresa al plan previo y a su ámbito.</x:v>
      </x:c>
      <x:c r="H12" s="35" t="str">
        <x:v>Plan previo completo que excluye el acto.</x:v>
      </x:c>
      <x:c r="I12" s="35" t="str">
        <x:v>Plan incompleto, versión posterior presentada como previa o correspondencia indeterminada.</x:v>
      </x:c>
      <x:c r="J12" s="35" t="str">
        <x:v>PR-PLAN/1: lista finita de actuaciones individualizadas; la existencia previa y procedencia del plan son admisión. La finalidad justificativa, razón del cambio y régimen de urgencia se conservan en el contexto. Fuera de un régimen que requiera contrastar un plan, el perfil no se activa.</x:v>
      </x:c>
      <x:c r="K12" s="35" t="str">
        <x:v>Planificar una actuación, autorizarla y ejecutarla son hechos diferentes.</x:v>
      </x:c>
      <x:c r="L12" s="35" t="str">
        <x:v>Acto → plan previo → razón y dependencias; permiso y resultado técnico permanecen independientes.</x:v>
      </x:c>
      <x:c r="M12" s="35" t="str">
        <x:v>Puede ocultarse un cambio ajeno al plan, omitiendo sus dependencias, ventana o efectos sobre un servicio regulado.</x:v>
      </x:c>
      <x:c r="N12" s="35" t="str">
        <x:v>Una actuación no planificada no es necesariamente ilícita: puede existir autorización urgente válida y debe explicarse su régimen.</x:v>
      </x:c>
      <x:c r="O12" s="35" t="str">
        <x:v>Una actuación prevista puede no estar autorizada; una actuación urgente autorizada previamente puede no figurar en el plan ordinario.</x:v>
      </x:c>
      <x:c r="P12" s="35" t="str">
        <x:v>Una pertenencia a un conjunto de actuaciones previamente fijado; no mide calidad del plan ni suficiencia de la planificación.</x:v>
      </x:c>
      <x:c r="Q12" s="35" t="str">
        <x:v>N01 op.exp.5; B01 §§3.3.1–3.3.3; ADJ1 §2.3</x:v>
      </x:c>
    </x:row>
  </x:sheetData>
  <x:mergeCells>
    <x:mergeCell ref="A1:D1"/>
    <x:mergeCell ref="A2:F2"/>
  </x:mergeCells>
  <x:pageMargins left="0.7" right="0.7" top="0.75" bottom="0.75" header="0.3" footer="0.3"/>
  <x:tableParts count="1">
    <x:tablePart xmlns:r="http://schemas.openxmlformats.org/officeDocument/2006/relationships" r:id="Ra7afa4f1c7d14bf4"/>
  </x:tableParts>
</x:worksheet>
</file>

<file path=xl/worksheets/sheet76.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2" hidden="0" customWidth="1"/>
    <x:col min="2" max="2" width="18" hidden="0" customWidth="1"/>
    <x:col min="3" max="3" width="58" hidden="0" customWidth="1"/>
    <x:col min="4" max="4" width="58" hidden="0" customWidth="1"/>
    <x:col min="5" max="5" width="136" hidden="0" customWidth="1"/>
    <x:col min="6" max="6" width="90" hidden="0" customWidth="1"/>
    <x:col min="7" max="7" width="100" hidden="0" customWidth="1"/>
    <x:col min="8" max="8" width="72" hidden="0" customWidth="1"/>
  </x:cols>
  <x:sheetData>
    <x:row r="1" ht="34" customHeight="1">
      <x:c r="A1" s="36" t="str">
        <x:v>Hallazgos, controles y conocimiento educativo</x:v>
      </x:c>
      <x:c r="B1" s="35"/>
      <x:c r="C1" s="35"/>
      <x:c r="D1" s="35"/>
      <x:c r="E1" s="35"/>
      <x:c r="F1" s="35"/>
      <x:c r="G1" s="35"/>
      <x:c r="H1" s="35"/>
    </x:row>
    <x:row r="2" ht="48" customHeight="1">
      <x:c r="A2" s="37" t="str">
        <x:v>Doce hallazgos, dieciséis controles, dieciséis candidatos sin nuevo átomo y seis actividades educativas propuestas.</x:v>
      </x:c>
      <x:c r="B2" s="35"/>
      <x:c r="C2" s="35"/>
      <x:c r="D2" s="35"/>
      <x:c r="E2" s="35"/>
      <x:c r="F2" s="35"/>
      <x:c r="G2" s="35"/>
      <x:c r="H2" s="35"/>
    </x:row>
    <x:row r="3">
      <x:c r="A3" s="35"/>
      <x:c r="B3" s="35"/>
      <x:c r="C3" s="35"/>
      <x:c r="D3" s="35"/>
      <x:c r="E3" s="35"/>
      <x:c r="F3" s="35"/>
      <x:c r="G3" s="35"/>
      <x:c r="H3" s="35"/>
    </x:row>
    <x:row r="4" ht="62" customHeight="1">
      <x:c r="A4" s="51" t="str">
        <x:v>Tipo</x:v>
      </x:c>
      <x:c r="B4" s="51" t="str">
        <x:v>Identidad</x:v>
      </x:c>
      <x:c r="C4" s="51" t="str">
        <x:v>Necesidad</x:v>
      </x:c>
      <x:c r="D4" s="51" t="str">
        <x:v>Clasificación</x:v>
      </x:c>
      <x:c r="E4" s="51" t="str">
        <x:v>Contrato o argumento</x:v>
      </x:c>
      <x:c r="F4" s="51" t="str">
        <x:v>Contraejemplo o consecuencia</x:v>
      </x:c>
      <x:c r="G4" s="51" t="str">
        <x:v>Resolución o destino</x:v>
      </x:c>
      <x:c r="H4" s="51" t="str">
        <x:v>Fundamento</x:v>
      </x:c>
    </x:row>
    <x:row r="5" ht="48" customHeight="1">
      <x:c r="A5" s="35" t="str">
        <x:v>Hallazgo</x:v>
      </x:c>
      <x:c r="B5" s="35" t="str">
        <x:v>HP01</x:v>
      </x:c>
      <x:c r="C5" s="35" t="str">
        <x:v>Insuficiencia del cierre de 24 parámetros</x:v>
      </x:c>
      <x:c r="D5" s="35" t="str">
        <x:v>Material</x:v>
      </x:c>
      <x:c r="E5" s="35" t="str">
        <x:v>C11 y QCY-07-D3 mencionaban autoridad, pero no separaban hechos que pueden variar con el mismo estado técnico.</x:v>
      </x:c>
      <x:c r="F5" s="35" t="str">
        <x:v>Actualización satisfactoria; permiso para otro activo.</x:v>
      </x:c>
      <x:c r="G5" s="35" t="str">
        <x:v>P25–P32 y control de composición de autoridad.</x:v>
      </x:c>
      <x:c r="H5" s="35" t="str">
        <x:v>N01; N06; N09</x:v>
      </x:c>
    </x:row>
    <x:row r="6" ht="48" customHeight="1">
      <x:c r="A6" s="35" t="str">
        <x:v>Hallazgo</x:v>
      </x:c>
      <x:c r="B6" s="35" t="str">
        <x:v>HP02</x:v>
      </x:c>
      <x:c r="C6" s="35" t="str">
        <x:v>Admisión de evidencia y legitimidad del acto</x:v>
      </x:c>
      <x:c r="D6" s="35" t="str">
        <x:v>Material</x:v>
      </x:c>
      <x:c r="E6" s="35" t="str">
        <x:v>La autorización para observar o custodiar no se confunde con el permiso del ejecutor observado.</x:v>
      </x:c>
      <x:c r="F6" s="35" t="str">
        <x:v>Un registro auténtico demuestra una actuación no autorizada.</x:v>
      </x:c>
      <x:c r="G6" s="35" t="str">
        <x:v>C02 revisado: conservar el hecho técnico y el defecto de autorización sin excluir la prueba por ese defecto.</x:v>
      </x:c>
      <x:c r="H6" s="35" t="str">
        <x:v>N01 art. 24; N02B art. 5; N09</x:v>
      </x:c>
    </x:row>
    <x:row r="7" ht="48" customHeight="1">
      <x:c r="A7" s="35" t="str">
        <x:v>Hallazgo</x:v>
      </x:c>
      <x:c r="B7" s="35" t="str">
        <x:v>HP03</x:v>
      </x:c>
      <x:c r="C7" s="35" t="str">
        <x:v>Identidad, autenticación y atribución</x:v>
      </x:c>
      <x:c r="D7" s="35" t="str">
        <x:v>Material</x:v>
      </x:c>
      <x:c r="E7" s="35" t="str">
        <x:v>Una cuenta, un canal cifrado y un resultado de autenticación tienen alcances probatorios distintos.</x:v>
      </x:c>
      <x:c r="F7" s="35" t="str">
        <x:v>Credencial robada; llamada que suplanta al técnico; cuenta compartida.</x:v>
      </x:c>
      <x:c r="G7" s="35" t="str">
        <x:v>P07 por criterio de autenticación; P25; identidad canónica y límites de atribución expresos.</x:v>
      </x:c>
      <x:c r="H7" s="35" t="str">
        <x:v>N06; N07; N09</x:v>
      </x:c>
    </x:row>
    <x:row r="8" ht="48" customHeight="1">
      <x:c r="A8" s="35" t="str">
        <x:v>Hallazgo</x:v>
      </x:c>
      <x:c r="B8" s="35" t="str">
        <x:v>HP04</x:v>
      </x:c>
      <x:c r="C8" s="35" t="str">
        <x:v>Delegación entre humano, servicio y agente</x:v>
      </x:c>
      <x:c r="D8" s="35" t="str">
        <x:v>Material</x:v>
      </x:c>
      <x:c r="E8" s="35" t="str">
        <x:v>Un agente necesita identidad propia y una delegación limitada; no hereda todas las facultades del usuario.</x:v>
      </x:c>
      <x:c r="F8" s="35" t="str">
        <x:v>El humano puede reiniciar; el agente sólo puede consultar y aun así presenta el permiso del humano.</x:v>
      </x:c>
      <x:c r="G8" s="35" t="str">
        <x:v>Cadena finita de permisos por arista, principal actuante y principal por cuya cuenta actúa.</x:v>
      </x:c>
      <x:c r="H8" s="35" t="str">
        <x:v>N06; N10</x:v>
      </x:c>
    </x:row>
    <x:row r="9" ht="48" customHeight="1">
      <x:c r="A9" s="35" t="str">
        <x:v>Hallazgo</x:v>
      </x:c>
      <x:c r="B9" s="35" t="str">
        <x:v>HP05</x:v>
      </x:c>
      <x:c r="C9" s="35" t="str">
        <x:v>Tiempo y prueba del orden</x:v>
      </x:c>
      <x:c r="D9" s="35" t="str">
        <x:v>Material</x:v>
      </x:c>
      <x:c r="E9" s="35" t="str">
        <x:v>Hora del hecho, del registro y del sellado no son sinónimos.</x:v>
      </x:c>
      <x:c r="F9" s="35" t="str">
        <x:v>Un sello válido protege un documento que declara retrospectivamente una fecha de autorización.</x:v>
      </x:c>
      <x:c r="G9" s="35" t="str">
        <x:v>P28–P30; incertidumbre temporal, fuente de reloj y alcance de la comprobación.</x:v>
      </x:c>
      <x:c r="H9" s="35" t="str">
        <x:v>N03B; N03C; N01 op.exp.8 y mp.info.4</x:v>
      </x:c>
    </x:row>
    <x:row r="10" ht="48" customHeight="1">
      <x:c r="A10" s="35" t="str">
        <x:v>Hallazgo</x:v>
      </x:c>
      <x:c r="B10" s="35" t="str">
        <x:v>HP06</x:v>
      </x:c>
      <x:c r="C10" s="35" t="str">
        <x:v>Privacidad de las propias pruebas</x:v>
      </x:c>
      <x:c r="D10" s="35" t="str">
        <x:v>Material</x:v>
      </x:c>
      <x:c r="E10" s="35" t="str">
        <x:v>El registro de seguridad puede contener datos personales y datos de salud; la trazabilidad no legitima cualquier copia o retención.</x:v>
      </x:c>
      <x:c r="F10" s="35" t="str">
        <x:v>El informe del parche incluye una historia clínica y nombres de empleados sin necesidad para su destinatario.</x:v>
      </x:c>
      <x:c r="G10" s="35" t="str">
        <x:v>C15: original bajo custodia competente; vistas mínimas por destinatario; retención y acceso justificados.</x:v>
      </x:c>
      <x:c r="H10" s="35" t="str">
        <x:v>N02B; N09; ADJ1</x:v>
      </x:c>
    </x:row>
    <x:row r="11" ht="48" customHeight="1">
      <x:c r="A11" s="35" t="str">
        <x:v>Hallazgo</x:v>
      </x:c>
      <x:c r="B11" s="35" t="str">
        <x:v>HP07</x:v>
      </x:c>
      <x:c r="C11" s="35" t="str">
        <x:v>Anonimización indebidamente inferida</x:v>
      </x:c>
      <x:c r="D11" s="35" t="str">
        <x:v>Material</x:v>
      </x:c>
      <x:c r="E11" s="35" t="str">
        <x:v>Seudonimizar o cifrar no acredita anonimización; quitar el nombre puede dejar una persona singularizable.</x:v>
      </x:c>
      <x:c r="F11" s="35" t="str">
        <x:v>Identificadores sustituidos por hashes de un espacio pequeño o combinación de fechas y diagnósticos.</x:v>
      </x:c>
      <x:c r="G11" s="35" t="str">
        <x:v>No introducir un átomo datos anónimos. Exigir evaluación de reidentificación, finalidad y contexto de publicación.</x:v>
      </x:c>
      <x:c r="H11" s="35" t="str">
        <x:v>N09, anonimización; N02B considerando 26</x:v>
      </x:c>
    </x:row>
    <x:row r="12" ht="48" customHeight="1">
      <x:c r="A12" s="35" t="str">
        <x:v>Hallazgo</x:v>
      </x:c>
      <x:c r="B12" s="35" t="str">
        <x:v>HP08</x:v>
      </x:c>
      <x:c r="C12" s="35" t="str">
        <x:v>Cobertura real de SASE y SaaS</x:v>
      </x:c>
      <x:c r="D12" s="35" t="str">
        <x:v>Material</x:v>
      </x:c>
      <x:c r="E12" s="35" t="str">
        <x:v>Un control configurado sólo puede acreditar el tráfico, datos y vías que observa.</x:v>
      </x:c>
      <x:c r="F12" s="35" t="str">
        <x:v>Servicio publicado por túnel; la llamada saliente del servidor usa una ruta distinta.</x:v>
      </x:c>
      <x:c r="G12" s="35" t="str">
        <x:v>C05/C06: dirección del flujo y recorrido real; separación CASB por API, inspección en tránsito y procesamiento posterior.</x:v>
      </x:c>
      <x:c r="H12" s="35" t="str">
        <x:v>N05; ADJ2</x:v>
      </x:c>
    </x:row>
    <x:row r="13" ht="48" customHeight="1">
      <x:c r="A13" s="35" t="str">
        <x:v>Hallazgo</x:v>
      </x:c>
      <x:c r="B13" s="35" t="str">
        <x:v>HP09</x:v>
      </x:c>
      <x:c r="C13" s="35" t="str">
        <x:v>Aplicabilidad normativa y edición</x:v>
      </x:c>
      <x:c r="D13" s="35" t="str">
        <x:v>Material</x:v>
      </x:c>
      <x:c r="E13" s="35" t="str">
        <x:v>Se distinguían referencias, pero faltaba el caso regulado explícito para el universo.</x:v>
      </x:c>
      <x:c r="F13" s="35" t="str">
        <x:v>Imponer sello cualificado a todo reinicio o dar por aplicables todas las obligaciones futuras del EHDS.</x:v>
      </x:c>
      <x:c r="G13" s="35" t="str">
        <x:v>C16: jurisdicción, sujeto, servicio, categoría/dimensión, función, fecha y edición; motivar obligación o exclusión.</x:v>
      </x:c>
      <x:c r="H13" s="35" t="str">
        <x:v>N01; N04; ADJ1</x:v>
      </x:c>
    </x:row>
    <x:row r="14" ht="48" customHeight="1">
      <x:c r="A14" s="35" t="str">
        <x:v>Hallazgo</x:v>
      </x:c>
      <x:c r="B14" s="35" t="str">
        <x:v>HP10</x:v>
      </x:c>
      <x:c r="C14" s="35" t="str">
        <x:v>Identidad del documento CCN recibido</x:v>
      </x:c>
      <x:c r="D14" s="35" t="str">
        <x:v>Bibliográfico</x:v>
      </x:c>
      <x:c r="E14" s="35" t="str">
        <x:v>El nombre del archivo conserva una denominación antigua, también presente en el enlace oficial.</x:v>
      </x:c>
      <x:c r="F14" s="35" t="str">
        <x:v>Citar el PDF como certificación de productos sin leer su portada.</x:v>
      </x:c>
      <x:c r="G14" s="35" t="str">
        <x:v>Título real: Ciberseguridad de espacios de datos, CCN-STIC 813, abril de 2024; 30 páginas.</x:v>
      </x:c>
      <x:c r="H14" s="35" t="str">
        <x:v>ADJ1; catálogo y noticia oficial CCN</x:v>
      </x:c>
    </x:row>
    <x:row r="15" ht="48" customHeight="1">
      <x:c r="A15" s="35" t="str">
        <x:v>Hallazgo</x:v>
      </x:c>
      <x:c r="B15" s="35" t="str">
        <x:v>HP11</x:v>
      </x:c>
      <x:c r="C15" s="35" t="str">
        <x:v>Precisión aparente de la estimación</x:v>
      </x:c>
      <x:c r="D15" s="35" t="str">
        <x:v>Metodológico</x:v>
      </x:c>
      <x:c r="E15" s="35" t="str">
        <x:v>29/38/59 eran sumas de hipótesis editoriales, no límites demostrados del dominio.</x:v>
      </x:c>
      <x:c r="F15" s="35" t="str">
        <x:v>Presentar 38 como cantidad objetiva deducida de las asignaturas.</x:v>
      </x:c>
      <x:c r="G15" s="35" t="str">
        <x:v>59 productos candidatos explícitos y reglas de agrupación para cada escenario; presupuestos y reutilización separados.</x:v>
      </x:c>
      <x:c r="H15" s="35" t="str">
        <x:v>Estimación v0.2 y adjudicación propia</x:v>
      </x:c>
    </x:row>
    <x:row r="16" ht="48" customHeight="1">
      <x:c r="A16" s="35" t="str">
        <x:v>Hallazgo</x:v>
      </x:c>
      <x:c r="B16" s="35" t="str">
        <x:v>HP12</x:v>
      </x:c>
      <x:c r="C16" s="35" t="str">
        <x:v>Autoridad preservada frente a autoridad ejecutada</x:v>
      </x:c>
      <x:c r="D16" s="35" t="str">
        <x:v>Límite de capacidad</x:v>
      </x:c>
      <x:c r="E16" s="35" t="str">
        <x:v>LIG/0.1 conserva referencias exactas; su contrato excluye autenticar, conceder permisos y producir Tri.</x:v>
      </x:c>
      <x:c r="F16" s="35" t="str">
        <x:v>Un manifiesto coherente contiene una declaración de autoridad que nadie competente emitió.</x:v>
      </x:c>
      <x:c r="G16" s="35" t="str">
        <x:v>Requisitos por operación, sin afirmar un defecto del núcleo por una capacidad expresamente excluida.</x:v>
      </x:c>
      <x:c r="H16" s="35" t="str">
        <x:v>IR y bindings en 66967a80; RETP-105</x:v>
      </x:c>
    </x:row>
    <x:row r="17" ht="80" customHeight="1">
      <x:c r="A17" s="35" t="str">
        <x:v>Control</x:v>
      </x:c>
      <x:c r="B17" s="35" t="str">
        <x:v>C01</x:v>
      </x:c>
      <x:c r="C17" s="35" t="str">
        <x:v>Identidad y aplicabilidad</x:v>
      </x:c>
      <x:c r="D17" s="35" t="str">
        <x:v>Contrato compuesto</x:v>
      </x:c>
      <x:c r="E17" s="35" t="str">
        <x:v>Identificar activo, componente, vulnerabilidad, actualización, episodio y horizonte. Resolver por separado las condiciones del aviso aplicable: plataforma, arquitectura, versión, precursor y configuración. Si falta una condición decisiva, la aplicabilidad queda sin resolver. Una exclusión exige evidencia de que la regla no corresponde al caso.</x:v>
      </x:c>
      <x:c r="F17" s="35" t="str">
        <x:v>Nombre coincidente en otro equipo; paquete para otra arquitectura; condición desconocida.</x:v>
      </x:c>
      <x:c r="G17" s="35" t="str">
        <x:v>Versión vigente para esta revisión</x:v>
      </x:c>
      <x:c r="H17" s="35" t="str">
        <x:v>T001 §3.2; B03 §§3.3–3.6</x:v>
      </x:c>
    </x:row>
    <x:row r="18" ht="96" customHeight="1">
      <x:c r="A18" s="35" t="str">
        <x:v>Control</x:v>
      </x:c>
      <x:c r="B18" s="35" t="str">
        <x:v>C02</x:v>
      </x:c>
      <x:c r="C18" s="35" t="str">
        <x:v>Admisión de evidencia</x:v>
      </x:c>
      <x:c r="D18" s="35" t="str">
        <x:v>Contrato compuesto</x:v>
      </x:c>
      <x:c r="E18" s="35" t="str">
        <x:v>Distinguir procedencia, integridad, autenticidad, legalidad de adquisición y permiso para observar de la legitimidad del acto observado. Una prueba admisible de una actuación no autorizada conserva el resultado técnico y permite registrar el incumplimiento. Si la adquisición no es admisible, conservar el registro de no admisión y tramitar la custodia competente, sin fabricar una salida del dominio. Los originales quedan bajo acceso y retención justificados; el expediente compartido usa una vista mínima trazable.</x:v>
      </x:c>
      <x:c r="F18" s="35" t="str">
        <x:v>Huella rehecha sobre evidencia falsificada; firma válida de autor no autorizado; lector sin permisos; tipo cambiado.</x:v>
      </x:c>
      <x:c r="G18" s="35" t="str">
        <x:v>Versión vigente para esta revisión</x:v>
      </x:c>
      <x:c r="H18" s="35" t="str">
        <x:v>T001 §2.3.1; F018 §7.4; B03 §§3.13, 3.15, 3.25; N01; N02B; N05–N07; N09; N10, según HP01–HP12</x:v>
      </x:c>
    </x:row>
    <x:row r="19" ht="64" customHeight="1">
      <x:c r="A19" s="35" t="str">
        <x:v>Control</x:v>
      </x:c>
      <x:c r="B19" s="35" t="str">
        <x:v>C03</x:v>
      </x:c>
      <x:c r="C19" s="35" t="str">
        <x:v>Correspondencia e interpretación de resultados</x:v>
      </x:c>
      <x:c r="D19" s="35" t="str">
        <x:v>Contrato compuesto</x:v>
      </x:c>
      <x:c r="E19" s="35" t="str">
        <x:v>Vincular cada resultado al intento y elemento originales. Conservar códigos y errores completos. Un éxito con errores exige analizar qué efectos se produjeron; no prueba éxito íntegro ni ausencia total de modificación. El fallo de instalación es un hecho distinto del fallo al observarla.</x:v>
      </x:c>
      <x:c r="F19" s="35" t="str">
        <x:v>Índice de otra colección; éxito agregado con elemento fallido; confusión entre error de operación y de lectura.</x:v>
      </x:c>
      <x:c r="G19" s="35" t="str">
        <x:v>Versión vigente para esta revisión</x:v>
      </x:c>
      <x:c r="H19" s="35" t="str">
        <x:v>T004–T006</x:v>
      </x:c>
    </x:row>
    <x:row r="20" ht="64" customHeight="1">
      <x:c r="A20" s="35" t="str">
        <x:v>Control</x:v>
      </x:c>
      <x:c r="B20" s="35" t="str">
        <x:v>C04</x:v>
      </x:c>
      <x:c r="C20" s="35" t="str">
        <x:v>Integridad de obligaciones</x:v>
      </x:c>
      <x:c r="D20" s="35" t="str">
        <x:v>Contrato compuesto</x:v>
      </x:c>
      <x:c r="E20" s="35" t="str">
        <x:v>Enumerar las obligaciones específicas y sus efectos exigidos. Cada obligación se asigna a una de las ocho clases y a estados de cumplimiento individualizados. Una lista vacía exige evidencia de que no existen acciones adicionales. Ninguna obligación pertinente queda sustituida por un texto genérico de suficiencia.</x:v>
      </x:c>
      <x:c r="F20" s="35" t="str">
        <x:v>Sólo se comprueba un efecto de una acción compuesta; lista vacía sin fuente; nueva clase añadida durante el consejo.</x:v>
      </x:c>
      <x:c r="G20" s="35" t="str">
        <x:v>Versión vigente para esta revisión</x:v>
      </x:c>
      <x:c r="H20" s="35" t="str">
        <x:v>T001 §2.3.2; B01 §3.3.2</x:v>
      </x:c>
    </x:row>
    <x:row r="21" ht="80" customHeight="1">
      <x:c r="A21" s="35" t="str">
        <x:v>Control</x:v>
      </x:c>
      <x:c r="B21" s="35" t="str">
        <x:v>C05</x:v>
      </x:c>
      <x:c r="C21" s="35" t="str">
        <x:v>Cobertura de sujetos y dependencias</x:v>
      </x:c>
      <x:c r="D21" s="35" t="str">
        <x:v>Contrato compuesto</x:v>
      </x:c>
      <x:c r="E21" s="35" t="str">
        <x:v>Conservar la cobertura finita anterior y añadir principales humanos y de servicio, permisos, delegaciones, vías de administración, destinos de datos, repositorios de pruebas y flujos de salida pertinentes. Cada frontera externa conserva responsable, evidencia, contrato y alcance. Un servicio detrás de una pasarela no acredita que todo su tráfico saliente o sus integraciones pasen por ella.</x:v>
      </x:c>
      <x:c r="F21" s="35" t="str">
        <x:v>Segunda réplica omitida; recurso compartido sin titular; ciclo de dependencias; inventario vacío injustificado.</x:v>
      </x:c>
      <x:c r="G21" s="35" t="str">
        <x:v>Versión vigente para esta revisión</x:v>
      </x:c>
      <x:c r="H21" s="35" t="str">
        <x:v>T001 §3.2; B01 §3.3.3; B04 §3; N01; N02B; N05–N07; N09; N10, según HP01–HP12</x:v>
      </x:c>
    </x:row>
    <x:row r="22" ht="80" customHeight="1">
      <x:c r="A22" s="35" t="str">
        <x:v>Control</x:v>
      </x:c>
      <x:c r="B22" s="35" t="str">
        <x:v>C06</x:v>
      </x:c>
      <x:c r="C22" s="35" t="str">
        <x:v>Validez de la comprobación</x:v>
      </x:c>
      <x:c r="D22" s="35" t="str">
        <x:v>Contrato compuesto</x:v>
      </x:c>
      <x:c r="E22" s="35" t="str">
        <x:v>Mantener criterio previo y sensibilidad propia. P07 puede registrar cada comprobación criptográfica o de autenticación cualificada, sin convertir su éxito en competencia, atribución personal cierta o autorización completa. El estado real del acto y la validez de su permiso exigen relaciones adicionales. Ausencia de alerta DLP no acredita anonimización ni ausencia de exfiltración.</x:v>
      </x:c>
      <x:c r="F22" s="35" t="str">
        <x:v>Escáner sin acceso; versión detectada sin corrección íntegra; dos herramientas con igual limitación; criterio elegido después del resultado.</x:v>
      </x:c>
      <x:c r="G22" s="35" t="str">
        <x:v>Versión vigente para esta revisión</x:v>
      </x:c>
      <x:c r="H22" s="35" t="str">
        <x:v>F018 §§4.3, 6.5, 7.3; B08 §1; B09 §1; N01; N02B; N05–N07; N09; N10, según HP01–HP12</x:v>
      </x:c>
    </x:row>
    <x:row r="23" ht="64" customHeight="1">
      <x:c r="A23" s="35" t="str">
        <x:v>Control</x:v>
      </x:c>
      <x:c r="B23" s="35" t="str">
        <x:v>C07</x:v>
      </x:c>
      <x:c r="C23" s="35" t="str">
        <x:v>Vigencia y orden de los hechos</x:v>
      </x:c>
      <x:c r="D23" s="35" t="str">
        <x:v>Contrato compuesto</x:v>
      </x:c>
      <x:c r="E23" s="35" t="str">
        <x:v>Conservar cambio y retorno; añadir tiempos de acto, emisión, registro, sellado, recepción y efecto jurídico/institucional. Tratar intervalos de incertidumbre y fuentes de tiempo. Una revocación es evidencia del caso bajo regla fija, no aprendizaje de conocimiento. Reevaluar sólo las dependencias y el horizonte afectados.</x:v>
      </x:c>
      <x:c r="F23" s="35" t="str">
        <x:v>Extremos iguales con cambio intermedio; sincronización de otra escritura; restauración fuera del ámbito de la prueba.</x:v>
      </x:c>
      <x:c r="G23" s="35" t="str">
        <x:v>Versión vigente para esta revisión</x:v>
      </x:c>
      <x:c r="H23" s="35" t="str">
        <x:v>T001 §2.3.4; B01 §§3.3.4, 3.4; B06; N01; N02B; N05–N07; N09; N10, según HP01–HP12</x:v>
      </x:c>
    </x:row>
    <x:row r="24" ht="80" customHeight="1">
      <x:c r="A24" s="35" t="str">
        <x:v>Control</x:v>
      </x:c>
      <x:c r="B24" s="35" t="str">
        <x:v>C08</x:v>
      </x:c>
      <x:c r="C24" s="35" t="str">
        <x:v>Impactos sobre servicios y datos</x:v>
      </x:c>
      <x:c r="D24" s="35" t="str">
        <x:v>Contrato compuesto</x:v>
      </x:c>
      <x:c r="E24" s="35" t="str">
        <x:v>Conservar funciones, datos y consecuencias; añadir confidencialidad de registros y telemetría, atribución falsa a una persona, acceso no autorizado y perjuicio a derechos. Separar posibilidad de daño, daño constatado y atribución causal. La conservación de trazabilidad no justifica difusión indiscriminada de identidades o datos de salud.</x:v>
      </x:c>
      <x:c r="F24" s="35" t="str">
        <x:v>Equipo barato del que depende un servicio de alto valor; impacto no monetizado convertido en cero.</x:v>
      </x:c>
      <x:c r="G24" s="35" t="str">
        <x:v>Versión vigente para esta revisión</x:v>
      </x:c>
      <x:c r="H24" s="35" t="str">
        <x:v>B01 §3.3.3; B10 §3.2; N01; N02B; N05–N07; N09; N10, según HP01–HP12</x:v>
      </x:c>
    </x:row>
    <x:row r="25" ht="64" customHeight="1">
      <x:c r="A25" s="35" t="str">
        <x:v>Control</x:v>
      </x:c>
      <x:c r="B25" s="35" t="str">
        <x:v>C09</x:v>
      </x:c>
      <x:c r="C25" s="35" t="str">
        <x:v>Comparación de alternativas</x:v>
      </x:c>
      <x:c r="D25" s="35" t="str">
        <x:v>Contrato compuesto</x:v>
      </x:c>
      <x:c r="E25" s="35" t="str">
        <x:v>Describir completar, aplazar con medidas, sustituir, aislar o recuperar cuando sean pertinentes. Comparar el efecto corrector, los perjuicios y los requisitos de cada opción. Una medida compensatoria o una aceptación de riesgo no se presenta como corrección realizada.</x:v>
      </x:c>
      <x:c r="F25" s="35" t="str">
        <x:v>Aislamiento tratado como parche aplicado; restauración propuesta sin conocer su capacidad o alcance.</x:v>
      </x:c>
      <x:c r="G25" s="35" t="str">
        <x:v>Versión vigente para esta revisión</x:v>
      </x:c>
      <x:c r="H25" s="35" t="str">
        <x:v>T001 §§3.3–3.5; B10 §§3.4, 4.3</x:v>
      </x:c>
    </x:row>
    <x:row r="26" ht="64" customHeight="1">
      <x:c r="A26" s="35" t="str">
        <x:v>Control</x:v>
      </x:c>
      <x:c r="B26" s="35" t="str">
        <x:v>C10</x:v>
      </x:c>
      <x:c r="C26" s="35" t="str">
        <x:v>Viabilidad temporal</x:v>
      </x:c>
      <x:c r="D26" s="35" t="str">
        <x:v>Contrato compuesto</x:v>
      </x:c>
      <x:c r="E26" s="35" t="str">
        <x:v>Declarar ventana, duración de actuación, validación y recuperación, con dependencias y márgenes justificados. Las estimaciones desconocidas se mantienen abiertas. Este análisis sólo se activa si el consejo contempla una actuación pendiente.</x:v>
      </x:c>
      <x:c r="F26" s="35" t="str">
        <x:v>Duración de reinicio considerada sin tiempo de recuperación; ventana disponible confundida con permiso.</x:v>
      </x:c>
      <x:c r="G26" s="35" t="str">
        <x:v>Versión vigente para esta revisión</x:v>
      </x:c>
      <x:c r="H26" s="35" t="str">
        <x:v>B10 §3.2; B01 §3.3.2</x:v>
      </x:c>
    </x:row>
    <x:row r="27" ht="96" customHeight="1">
      <x:c r="A27" s="35" t="str">
        <x:v>Control</x:v>
      </x:c>
      <x:c r="B27" s="35" t="str">
        <x:v>C11</x:v>
      </x:c>
      <x:c r="C27" s="35" t="str">
        <x:v>Autoridad concreta</x:v>
      </x:c>
      <x:c r="D27" s="35" t="str">
        <x:v>Contrato compuesto</x:v>
      </x:c>
      <x:c r="E27" s="35" t="str">
        <x:v>Componer identidad de principal, autenticación y atribución con competencia del emisor, alcance, vigencia, revocación, emisión previa y separación de funciones cuando proceda. La actuación prevista se distingue de la autorizada. Examinar cada arista de delegación, sus restricciones y el principal efectivo; no aceptar autoatribución de facultades por la IA. La autoridad humana del proyecto admite conocimiento; la organización competente concede permisos materiales, y ambos actos permanecen distintos.</x:v>
      </x:c>
      <x:c r="F27" s="35" t="str">
        <x:v>Permiso para otro activo; autorización vencida; IA que se concede una excepción.</x:v>
      </x:c>
      <x:c r="G27" s="35" t="str">
        <x:v>Versión vigente para esta revisión</x:v>
      </x:c>
      <x:c r="H27" s="35" t="str">
        <x:v>B01 §§3.3.1–3.3.2; SV-IN y mandato humano posterior; N01; N02B; N05–N07; N09; N10, según HP01–HP12</x:v>
      </x:c>
    </x:row>
    <x:row r="28" ht="80" customHeight="1">
      <x:c r="A28" s="35" t="str">
        <x:v>Control</x:v>
      </x:c>
      <x:c r="B28" s="35" t="str">
        <x:v>C12</x:v>
      </x:c>
      <x:c r="C28" s="35" t="str">
        <x:v>Proporcionalidad de coste y valor</x:v>
      </x:c>
      <x:c r="D28" s="35" t="str">
        <x:v>Contrato compuesto</x:v>
      </x:c>
      <x:c r="E28" s="35" t="str">
        <x:v>Conservar coste total y valor protegido por servicio y horizonte, incluidos derechos y daños no monetizados. Las alternativas deben satisfacer primero las obligaciones aplicables. No se convierte el precio del equipo en límite del valor protegido ni se permite omitir un requisito obligatorio por resultar caro. La decisión de suspender, sustituir o rediseñar el servicio corresponde al responsable competente.</x:v>
      </x:c>
      <x:c r="F28" s="35" t="str">
        <x:v>Coste de seguridad comparado sólo con precio del equipo; suma de pérdidas que representan el mismo perjuicio.</x:v>
      </x:c>
      <x:c r="G28" s="35" t="str">
        <x:v>Versión vigente para esta revisión</x:v>
      </x:c>
      <x:c r="H28" s="35" t="str">
        <x:v>R035; T001 §3.1; B10 §3.2; principio del Director; N01; N02B; N05–N07; N09; N10, según HP01–HP12</x:v>
      </x:c>
    </x:row>
    <x:row r="29" ht="80" customHeight="1">
      <x:c r="A29" s="35" t="str">
        <x:v>Control</x:v>
      </x:c>
      <x:c r="B29" s="35" t="str">
        <x:v>C13</x:v>
      </x:c>
      <x:c r="C29" s="35" t="str">
        <x:v>Dictamen explicado</x:v>
      </x:c>
      <x:c r="D29" s="35" t="str">
        <x:v>Contrato compuesto</x:v>
      </x:c>
      <x:c r="E29" s="35" t="str">
        <x:v>Conservar explicación reconstruible y distinguir resultado técnico, legitimidad de actuación, insuficiencias y consejo al experto. La explicación identifica referencias mínimas a pruebas y permisos, con vistas por destinatario; el acceso a la identidad personal detallada tiene control propio. El informe documental no se denomina Frame sin arquitectura SV constituida. Un fallo técnico no produce una salida alternativa del dominio.</x:v>
      </x:c>
      <x:c r="F29" s="35" t="str">
        <x:v>Conclusión sin relación causal declarada; suma de estados heterogéneos; incertidumbre omitida.</x:v>
      </x:c>
      <x:c r="G29" s="35" t="str">
        <x:v>Versión vigente para esta revisión</x:v>
      </x:c>
      <x:c r="H29" s="35" t="str">
        <x:v>SV-IN; SV-AT; N01; N02B; N05–N07; N09; N10, según HP01–HP12</x:v>
      </x:c>
    </x:row>
    <x:row r="30" ht="64" customHeight="1">
      <x:c r="A30" s="35" t="str">
        <x:v>Control</x:v>
      </x:c>
      <x:c r="B30" s="35" t="str">
        <x:v>C14</x:v>
      </x:c>
      <x:c r="C30" s="35" t="str">
        <x:v>Control de versiones del conocimiento</x:v>
      </x:c>
      <x:c r="D30" s="35" t="str">
        <x:v>Contrato compuesto</x:v>
      </x:c>
      <x:c r="E30" s="35" t="str">
        <x:v>Fijar las fuentes y reglas antes de cada evaluación. Adquirir novedades en una actividad separada y someter su admisión a decisión humana. Los cambios de catálogos externos pueden exigir revisión, pero no sustituyen automáticamente el conocimiento ni añaden valores a Tri.</x:v>
      </x:c>
      <x:c r="F30" s="35" t="str">
        <x:v>Uso de latest; cambio de CVE equiparado a técnica retirada de otro catálogo; actualización silenciosa de criterio.</x:v>
      </x:c>
      <x:c r="G30" s="35" t="str">
        <x:v>Versión vigente para esta revisión</x:v>
      </x:c>
      <x:c r="H30" s="35" t="str">
        <x:v>SV-IN §§5.4–5.5; mandato del Director</x:v>
      </x:c>
    </x:row>
    <x:row r="31" ht="96" customHeight="1">
      <x:c r="A31" s="35" t="str">
        <x:v>Control</x:v>
      </x:c>
      <x:c r="B31" s="35" t="str">
        <x:v>C15</x:v>
      </x:c>
      <x:c r="C31" s="35" t="str">
        <x:v>Protección de datos en pruebas y explicaciones</x:v>
      </x:c>
      <x:c r="D31" s="35" t="str">
        <x:v>Contrato compuesto</x:v>
      </x:c>
      <x:c r="E31" s="35" t="str">
        <x:v>Fijar finalidad, responsable y encargado cuando proceda, categorías de datos, base del tratamiento y condición aplicable a datos de salud, destinatarios, accesos, transferencias, retención y supresión o bloqueo que corresponda. Justificar cada dato necesario; mantener separada y protegida la tabla de reidentificación. No llamar anónima a una vista seudonimizada. El dominio documental usa testigos sintéticos y no incorpora datos reales. Un original o una huella pueden seguir permitiendo vinculación y requieren evaluación.</x:v>
      </x:c>
      <x:c r="F31" s="35" t="str">
        <x:v>Registro clínico completo publicado para probar un reinicio; misma vista detallada para todos los destinatarios.</x:v>
      </x:c>
      <x:c r="G31" s="35" t="str">
        <x:v>Versión vigente para esta revisión</x:v>
      </x:c>
      <x:c r="H31" s="35" t="str">
        <x:v>N02B arts. 5, 6, 9, 25, 32; N09; ADJ1 §§2.1–2.3</x:v>
      </x:c>
    </x:row>
    <x:row r="32" ht="80" customHeight="1">
      <x:c r="A32" s="35" t="str">
        <x:v>Control</x:v>
      </x:c>
      <x:c r="B32" s="35" t="str">
        <x:v>C16</x:v>
      </x:c>
      <x:c r="C32" s="35" t="str">
        <x:v>Aplicabilidad de obligaciones y perfiles</x:v>
      </x:c>
      <x:c r="D32" s="35" t="str">
        <x:v>Contrato compuesto</x:v>
      </x:c>
      <x:c r="E32" s="35" t="str">
        <x:v>Determinar entidad, jurisdicción, actividad, función, categoría y dimensiones del sistema, fecha relevante y versión de la disposición. Declarar requisitos activados y exclusiones justificadas. Separar ley, guía, norma técnica, evidencia educativa y propuesta de fabricante. La IA aplica conocimiento admitido; un texto nuevo exige adquisición y admisión humana separadas.</x:v>
      </x:c>
      <x:c r="F32" s="35" t="str">
        <x:v>ENS atribuido por etiqueta médica sin examinar su ámbito; exigencia futura del EHDS aplicada ya; producto certificado tomado por sistema conforme.</x:v>
      </x:c>
      <x:c r="G32" s="35" t="str">
        <x:v>Versión vigente para esta revisión</x:v>
      </x:c>
      <x:c r="H32" s="35" t="str">
        <x:v>N01 arts. 2–3 y anexos I–II; N04; ADJ1 §1.4</x:v>
      </x:c>
    </x:row>
    <x:row r="33" ht="48" customHeight="1">
      <x:c r="A33" s="35" t="str">
        <x:v>Candidato</x:v>
      </x:c>
      <x:c r="B33" s="35" t="str">
        <x:v>XA01</x:v>
      </x:c>
      <x:c r="C33" s="35" t="str">
        <x:v>Resultado de autenticación</x:v>
      </x:c>
      <x:c r="D33" s="35" t="str">
        <x:v>Uso de P07</x:v>
      </x:c>
      <x:c r="E33" s="35" t="str">
        <x:v>Resultado de una comprobación con criterio y perfil propios; no se cuenta una identidad nueva por cambiar el criterio.</x:v>
      </x:c>
      <x:c r="F33" s="35" t="str">
        <x:v>No se crea una identidad adicional</x:v>
      </x:c>
      <x:c r="G33" s="35" t="str">
        <x:v>Adjudicación motivada</x:v>
      </x:c>
      <x:c r="H33" s="35" t="str">
        <x:v>Acta v0.3 y bibliografía de presión</x:v>
      </x:c>
    </x:row>
    <x:row r="34" ht="48" customHeight="1">
      <x:c r="A34" s="35" t="str">
        <x:v>Candidato</x:v>
      </x:c>
      <x:c r="B34" s="35" t="str">
        <x:v>XA02</x:v>
      </x:c>
      <x:c r="C34" s="35" t="str">
        <x:v>Firma o sello criptográficamente válido</x:v>
      </x:c>
      <x:c r="D34" s="35" t="str">
        <x:v>Admisión; P07 si su resultado es objeto del consejo</x:v>
      </x:c>
      <x:c r="E34" s="35" t="str">
        <x:v>Verificación, confianza en emisor y competencia son diferentes. No se declara ejecutada criptografía en esta campaña.</x:v>
      </x:c>
      <x:c r="F34" s="35" t="str">
        <x:v>No se crea una identidad adicional</x:v>
      </x:c>
      <x:c r="G34" s="35" t="str">
        <x:v>Adjudicación motivada</x:v>
      </x:c>
      <x:c r="H34" s="35" t="str">
        <x:v>Acta v0.3 y bibliografía de presión</x:v>
      </x:c>
    </x:row>
    <x:row r="35" ht="44" customHeight="1">
      <x:c r="A35" s="35" t="str">
        <x:v>Candidato</x:v>
      </x:c>
      <x:c r="B35" s="35" t="str">
        <x:v>XA03</x:v>
      </x:c>
      <x:c r="C35" s="35" t="str">
        <x:v>Huella de prueba coincidente</x:v>
      </x:c>
      <x:c r="D35" s="35" t="str">
        <x:v>C02</x:v>
      </x:c>
      <x:c r="E35" s="35" t="str">
        <x:v>Fija bytes frente a una referencia confiable; no prueba identidad ni permiso.</x:v>
      </x:c>
      <x:c r="F35" s="35" t="str">
        <x:v>No se crea una identidad adicional</x:v>
      </x:c>
      <x:c r="G35" s="35" t="str">
        <x:v>Adjudicación motivada</x:v>
      </x:c>
      <x:c r="H35" s="35" t="str">
        <x:v>Acta v0.3 y bibliografía de presión</x:v>
      </x:c>
    </x:row>
    <x:row r="36" ht="44" customHeight="1">
      <x:c r="A36" s="35" t="str">
        <x:v>Candidato</x:v>
      </x:c>
      <x:c r="B36" s="35" t="str">
        <x:v>XA04</x:v>
      </x:c>
      <x:c r="C36" s="35" t="str">
        <x:v>Delegación completa válida</x:v>
      </x:c>
      <x:c r="D36" s="35" t="str">
        <x:v>C11 y composición de P26–P30</x:v>
      </x:c>
      <x:c r="E36" s="35" t="str">
        <x:v>Conjunto finito de aristas con raíces, alcance y restricciones; no es una proposición indivisible.</x:v>
      </x:c>
      <x:c r="F36" s="35" t="str">
        <x:v>No se crea una identidad adicional</x:v>
      </x:c>
      <x:c r="G36" s="35" t="str">
        <x:v>Adjudicación motivada</x:v>
      </x:c>
      <x:c r="H36" s="35" t="str">
        <x:v>Acta v0.3 y bibliografía de presión</x:v>
      </x:c>
    </x:row>
    <x:row r="37" ht="44" customHeight="1">
      <x:c r="A37" s="35" t="str">
        <x:v>Candidato</x:v>
      </x:c>
      <x:c r="B37" s="35" t="str">
        <x:v>XA05</x:v>
      </x:c>
      <x:c r="C37" s="35" t="str">
        <x:v>Actuación legalmente autorizada</x:v>
      </x:c>
      <x:c r="D37" s="35" t="str">
        <x:v>C11/C16</x:v>
      </x:c>
      <x:c r="E37" s="35" t="str">
        <x:v>Resultado compuesto y contextual; no se crea un booleano que oculte facultad, alcance, tiempo y excepciones.</x:v>
      </x:c>
      <x:c r="F37" s="35" t="str">
        <x:v>No se crea una identidad adicional</x:v>
      </x:c>
      <x:c r="G37" s="35" t="str">
        <x:v>Adjudicación motivada</x:v>
      </x:c>
      <x:c r="H37" s="35" t="str">
        <x:v>Acta v0.3 y bibliografía de presión</x:v>
      </x:c>
    </x:row>
    <x:row r="38" ht="44" customHeight="1">
      <x:c r="A38" s="35" t="str">
        <x:v>Candidato</x:v>
      </x:c>
      <x:c r="B38" s="35" t="str">
        <x:v>XA06</x:v>
      </x:c>
      <x:c r="C38" s="35" t="str">
        <x:v>Datos anónimos</x:v>
      </x:c>
      <x:c r="D38" s="35" t="str">
        <x:v>C15; contraste especializado</x:v>
      </x:c>
      <x:c r="E38" s="35" t="str">
        <x:v>No es una propiedad deducible de suprimir nombres, cifrar o recibir un informe favorable.</x:v>
      </x:c>
      <x:c r="F38" s="35" t="str">
        <x:v>No se crea una identidad adicional</x:v>
      </x:c>
      <x:c r="G38" s="35" t="str">
        <x:v>Adjudicación motivada</x:v>
      </x:c>
      <x:c r="H38" s="35" t="str">
        <x:v>Acta v0.3 y bibliografía de presión</x:v>
      </x:c>
    </x:row>
    <x:row r="39" ht="44" customHeight="1">
      <x:c r="A39" s="35" t="str">
        <x:v>Candidato</x:v>
      </x:c>
      <x:c r="B39" s="35" t="str">
        <x:v>XA07</x:v>
      </x:c>
      <x:c r="C39" s="35" t="str">
        <x:v>Tratamiento conforme al RGPD</x:v>
      </x:c>
      <x:c r="D39" s="35" t="str">
        <x:v>C15/C16</x:v>
      </x:c>
      <x:c r="E39" s="35" t="str">
        <x:v>Conjunto de obligaciones y valoraciones jurídicas; no se reduce a una variable binaria.</x:v>
      </x:c>
      <x:c r="F39" s="35" t="str">
        <x:v>No se crea una identidad adicional</x:v>
      </x:c>
      <x:c r="G39" s="35" t="str">
        <x:v>Adjudicación motivada</x:v>
      </x:c>
      <x:c r="H39" s="35" t="str">
        <x:v>Acta v0.3 y bibliografía de presión</x:v>
      </x:c>
    </x:row>
    <x:row r="40" ht="48" customHeight="1">
      <x:c r="A40" s="35" t="str">
        <x:v>Candidato</x:v>
      </x:c>
      <x:c r="B40" s="35" t="str">
        <x:v>XA08</x:v>
      </x:c>
      <x:c r="C40" s="35" t="str">
        <x:v>Consentimiento siempre obtenido</x:v>
      </x:c>
      <x:c r="D40" s="35" t="str">
        <x:v>No universal</x:v>
      </x:c>
      <x:c r="E40" s="35" t="str">
        <x:v>El consentimiento no es la única base; en salud deben justificarse la base del artículo 6 y la condición pertinente del artículo 9.</x:v>
      </x:c>
      <x:c r="F40" s="35" t="str">
        <x:v>No se crea una identidad adicional</x:v>
      </x:c>
      <x:c r="G40" s="35" t="str">
        <x:v>Adjudicación motivada</x:v>
      </x:c>
      <x:c r="H40" s="35" t="str">
        <x:v>Acta v0.3 y bibliografía de presión</x:v>
      </x:c>
    </x:row>
    <x:row r="41" ht="44" customHeight="1">
      <x:c r="A41" s="35" t="str">
        <x:v>Candidato</x:v>
      </x:c>
      <x:c r="B41" s="35" t="str">
        <x:v>XA09</x:v>
      </x:c>
      <x:c r="C41" s="35" t="str">
        <x:v>DLP sin alertas</x:v>
      </x:c>
      <x:c r="D41" s="35" t="str">
        <x:v>P07 por criterio y C06</x:v>
      </x:c>
      <x:c r="E41" s="35" t="str">
        <x:v>Conserva sólo el alcance y sensibilidad de esa comprobación.</x:v>
      </x:c>
      <x:c r="F41" s="35" t="str">
        <x:v>No se crea una identidad adicional</x:v>
      </x:c>
      <x:c r="G41" s="35" t="str">
        <x:v>Adjudicación motivada</x:v>
      </x:c>
      <x:c r="H41" s="35" t="str">
        <x:v>Acta v0.3 y bibliografía de presión</x:v>
      </x:c>
    </x:row>
    <x:row r="42" ht="44" customHeight="1">
      <x:c r="A42" s="35" t="str">
        <x:v>Candidato</x:v>
      </x:c>
      <x:c r="B42" s="35" t="str">
        <x:v>XA10</x:v>
      </x:c>
      <x:c r="C42" s="35" t="str">
        <x:v>Todo el tráfico protegido</x:v>
      </x:c>
      <x:c r="D42" s="35" t="str">
        <x:v>C05/C06</x:v>
      </x:c>
      <x:c r="E42" s="35" t="str">
        <x:v>Cobertura y propiedades por flujo, dirección y destino, incluidas salidas y rutas de elusión.</x:v>
      </x:c>
      <x:c r="F42" s="35" t="str">
        <x:v>No se crea una identidad adicional</x:v>
      </x:c>
      <x:c r="G42" s="35" t="str">
        <x:v>Adjudicación motivada</x:v>
      </x:c>
      <x:c r="H42" s="35" t="str">
        <x:v>Acta v0.3 y bibliografía de presión</x:v>
      </x:c>
    </x:row>
    <x:row r="43" ht="44" customHeight="1">
      <x:c r="A43" s="35" t="str">
        <x:v>Candidato</x:v>
      </x:c>
      <x:c r="B43" s="35" t="str">
        <x:v>XA11</x:v>
      </x:c>
      <x:c r="C43" s="35" t="str">
        <x:v>Motivo del cambio suficiente</x:v>
      </x:c>
      <x:c r="D43" s="35" t="str">
        <x:v>Contexto y juicio experto</x:v>
      </x:c>
      <x:c r="E43" s="35" t="str">
        <x:v>La razón declarada puede ser falsa o insuficiente; pertenencia a plan y permiso no la acreditan.</x:v>
      </x:c>
      <x:c r="F43" s="35" t="str">
        <x:v>No se crea una identidad adicional</x:v>
      </x:c>
      <x:c r="G43" s="35" t="str">
        <x:v>Adjudicación motivada</x:v>
      </x:c>
      <x:c r="H43" s="35" t="str">
        <x:v>Acta v0.3 y bibliografía de presión</x:v>
      </x:c>
    </x:row>
    <x:row r="44" ht="48" customHeight="1">
      <x:c r="A44" s="35" t="str">
        <x:v>Candidato</x:v>
      </x:c>
      <x:c r="B44" s="35" t="str">
        <x:v>XA12</x:v>
      </x:c>
      <x:c r="C44" s="35" t="str">
        <x:v>Independencia organizativa total</x:v>
      </x:c>
      <x:c r="D44" s="35" t="str">
        <x:v>C11/C16</x:v>
      </x:c>
      <x:c r="E44" s="35" t="str">
        <x:v>P31 sólo distingue identidades de dos titulares; relaciones jerárquicas, conflictos e independencia de auditoría requieren más contexto.</x:v>
      </x:c>
      <x:c r="F44" s="35" t="str">
        <x:v>No se crea una identidad adicional</x:v>
      </x:c>
      <x:c r="G44" s="35" t="str">
        <x:v>Adjudicación motivada</x:v>
      </x:c>
      <x:c r="H44" s="35" t="str">
        <x:v>Acta v0.3 y bibliografía de presión</x:v>
      </x:c>
    </x:row>
    <x:row r="45" ht="44" customHeight="1">
      <x:c r="A45" s="35" t="str">
        <x:v>Candidato</x:v>
      </x:c>
      <x:c r="B45" s="35" t="str">
        <x:v>XA13</x:v>
      </x:c>
      <x:c r="C45" s="35" t="str">
        <x:v>Sello cualificado siempre requerido</x:v>
      </x:c>
      <x:c r="D45" s="35" t="str">
        <x:v>No universal</x:v>
      </x:c>
      <x:c r="E45" s="35" t="str">
        <x:v>Se consulta la medida y perfil aplicables. No se traslada mp.info.4 nivel ALTO a todos los actos.</x:v>
      </x:c>
      <x:c r="F45" s="35" t="str">
        <x:v>No se crea una identidad adicional</x:v>
      </x:c>
      <x:c r="G45" s="35" t="str">
        <x:v>Adjudicación motivada</x:v>
      </x:c>
      <x:c r="H45" s="35" t="str">
        <x:v>Acta v0.3 y bibliografía de presión</x:v>
      </x:c>
    </x:row>
    <x:row r="46" ht="44" customHeight="1">
      <x:c r="A46" s="35" t="str">
        <x:v>Candidato</x:v>
      </x:c>
      <x:c r="B46" s="35" t="str">
        <x:v>XA14</x:v>
      </x:c>
      <x:c r="C46" s="35" t="str">
        <x:v>Producto certificado, sistema conforme</x:v>
      </x:c>
      <x:c r="D46" s="35" t="str">
        <x:v>Desestimado</x:v>
      </x:c>
      <x:c r="E46" s="35" t="str">
        <x:v>La evaluación del componente no sustituye integración, configuración, alcance ni conformidad del sistema.</x:v>
      </x:c>
      <x:c r="F46" s="35" t="str">
        <x:v>No se crea una identidad adicional</x:v>
      </x:c>
      <x:c r="G46" s="35" t="str">
        <x:v>Adjudicación motivada</x:v>
      </x:c>
      <x:c r="H46" s="35" t="str">
        <x:v>Acta v0.3 y bibliografía de presión</x:v>
      </x:c>
    </x:row>
    <x:row r="47" ht="44" customHeight="1">
      <x:c r="A47" s="35" t="str">
        <x:v>Candidato</x:v>
      </x:c>
      <x:c r="B47" s="35" t="str">
        <x:v>XA15</x:v>
      </x:c>
      <x:c r="C47" s="35" t="str">
        <x:v>Nuevo parámetro por cada agente o sesión</x:v>
      </x:c>
      <x:c r="D47" s="35" t="str">
        <x:v>Uso de identidad existente</x:v>
      </x:c>
      <x:c r="E47" s="35" t="str">
        <x:v>Distintas instancias conservan estados propios; no multiplican definiciones.</x:v>
      </x:c>
      <x:c r="F47" s="35" t="str">
        <x:v>No se crea una identidad adicional</x:v>
      </x:c>
      <x:c r="G47" s="35" t="str">
        <x:v>Adjudicación motivada</x:v>
      </x:c>
      <x:c r="H47" s="35" t="str">
        <x:v>Acta v0.3 y bibliografía de presión</x:v>
      </x:c>
    </x:row>
    <x:row r="48" ht="44" customHeight="1">
      <x:c r="A48" s="35" t="str">
        <x:v>Candidato</x:v>
      </x:c>
      <x:c r="B48" s="35" t="str">
        <x:v>XA16</x:v>
      </x:c>
      <x:c r="C48" s="35" t="str">
        <x:v>Parámetro adicional para completar una célula</x:v>
      </x:c>
      <x:c r="D48" s="35" t="str">
        <x:v>Desestimado</x:v>
      </x:c>
      <x:c r="E48" s="35" t="str">
        <x:v>32 no determina geometría, partición ni tamaño. No hay relleno ni células menores de SV(9,3).</x:v>
      </x:c>
      <x:c r="F48" s="35" t="str">
        <x:v>No se crea una identidad adicional</x:v>
      </x:c>
      <x:c r="G48" s="35" t="str">
        <x:v>Adjudicación motivada</x:v>
      </x:c>
      <x:c r="H48" s="35" t="str">
        <x:v>Acta v0.3 y bibliografía de presión</x:v>
      </x:c>
    </x:row>
    <x:row r="49" ht="48" customHeight="1">
      <x:c r="A49" s="35" t="str">
        <x:v>Educación</x:v>
      </x:c>
      <x:c r="B49" s="35" t="str">
        <x:v>EDP01</x:v>
      </x:c>
      <x:c r="C49" s="35" t="str">
        <x:v>Identidad, autenticación y atribución</x:v>
      </x:c>
      <x:c r="D49" s="35" t="str">
        <x:v>Sistemas, redes, gestión de identidades; factores humanos</x:v>
      </x:c>
      <x:c r="E49" s="35" t="str">
        <x:v>Reconstruir un acto con sesión, principal y origen; explicar por qué una llamada o un nombre no prueban identidad.</x:v>
      </x:c>
      <x:c r="F49" s="35" t="str">
        <x:v>Atribución falsa y consejo dirigido al responsable equivocado.</x:v>
      </x:c>
      <x:c r="G49" s="35" t="str">
        <x:v>CYO-03, CYO-16, CYO-21; P25</x:v>
      </x:c>
      <x:c r="H49" s="35" t="str">
        <x:v>N06; N07; N09; base URJC y complemento Warwick ya inventariados</x:v>
      </x:c>
    </x:row>
    <x:row r="50" ht="48" customHeight="1">
      <x:c r="A50" s="35" t="str">
        <x:v>Educación</x:v>
      </x:c>
      <x:c r="B50" s="35" t="str">
        <x:v>EDP02</x:v>
      </x:c>
      <x:c r="C50" s="35" t="str">
        <x:v>Autorización y delegación</x:v>
      </x:c>
      <x:c r="D50" s="35" t="str">
        <x:v>Gobierno, acceso, sistemas distribuidos</x:v>
      </x:c>
      <x:c r="E50" s="35" t="str">
        <x:v>Comparar permisos con igual apariencia y distinto emisor, recurso, destinatario, finalidad o cadena de delegación.</x:v>
      </x:c>
      <x:c r="F50" s="35" t="str">
        <x:v>Ejecución o acceso sin facultad suficiente.</x:v>
      </x:c>
      <x:c r="G50" s="35" t="str">
        <x:v>CYO-03, CYO-21; P26/P27</x:v>
      </x:c>
      <x:c r="H50" s="35" t="str">
        <x:v>N01; N06; N10</x:v>
      </x:c>
    </x:row>
    <x:row r="51" ht="44" customHeight="1">
      <x:c r="A51" s="35" t="str">
        <x:v>Educación</x:v>
      </x:c>
      <x:c r="B51" s="35" t="str">
        <x:v>EDP03</x:v>
      </x:c>
      <x:c r="C51" s="35" t="str">
        <x:v>Tiempo y evidencia</x:v>
      </x:c>
      <x:c r="D51" s="35" t="str">
        <x:v>Sistemas, auditoría, método científico</x:v>
      </x:c>
      <x:c r="E51" s="35" t="str">
        <x:v>Resolver orden con precisión declarada y mostrar cuándo el sello sólo acredita el documento sellado.</x:v>
      </x:c>
      <x:c r="F51" s="35" t="str">
        <x:v>Ratificación posterior presentada como aprobación previa.</x:v>
      </x:c>
      <x:c r="G51" s="35" t="str">
        <x:v>CYO-10, CYO-16; P28–P30</x:v>
      </x:c>
      <x:c r="H51" s="35" t="str">
        <x:v>N03B; N03C; N09</x:v>
      </x:c>
    </x:row>
    <x:row r="52" ht="48" customHeight="1">
      <x:c r="A52" s="35" t="str">
        <x:v>Educación</x:v>
      </x:c>
      <x:c r="B52" s="35" t="str">
        <x:v>EDP04</x:v>
      </x:c>
      <x:c r="C52" s="35" t="str">
        <x:v>Protección de datos en operaciones</x:v>
      </x:c>
      <x:c r="D52" s="35" t="str">
        <x:v>Protección de datos, seguridad de la información y juicio profesional</x:v>
      </x:c>
      <x:c r="E52" s="35" t="str">
        <x:v>Diseñar una vista de prueba mínima para cada destinatario y justificar conservación, acceso y base del tratamiento.</x:v>
      </x:c>
      <x:c r="F52" s="35" t="str">
        <x:v>Exposición de datos de salud o de empleados por la propia auditoría.</x:v>
      </x:c>
      <x:c r="G52" s="35" t="str">
        <x:v>CYO-17; C15/C16; frontera de OP-CYB-001</x:v>
      </x:c>
      <x:c r="H52" s="35" t="str">
        <x:v>N02B; N09; ADJ1</x:v>
      </x:c>
    </x:row>
    <x:row r="53" ht="48" customHeight="1">
      <x:c r="A53" s="35" t="str">
        <x:v>Educación</x:v>
      </x:c>
      <x:c r="B53" s="35" t="str">
        <x:v>EDP05</x:v>
      </x:c>
      <x:c r="C53" s="35" t="str">
        <x:v>Arquitectura de control y observabilidad</x:v>
      </x:c>
      <x:c r="D53" s="35" t="str">
        <x:v>Redes, arquitectura, monitorización y SOC</x:v>
      </x:c>
      <x:c r="E53" s="35" t="str">
        <x:v>Dibujar y contrastar los recorridos de entrada y salida; distinguir configuración del control, cobertura y eficacia.</x:v>
      </x:c>
      <x:c r="F53" s="35" t="str">
        <x:v>Tráfico o integraciones que eluden la supervisión supuesta.</x:v>
      </x:c>
      <x:c r="G53" s="35" t="str">
        <x:v>CYO-02, CYO-27; C05/C06</x:v>
      </x:c>
      <x:c r="H53" s="35" t="str">
        <x:v>N05; N06; ADJ2</x:v>
      </x:c>
    </x:row>
    <x:row r="54" ht="48" customHeight="1">
      <x:c r="A54" s="35" t="str">
        <x:v>Educación</x:v>
      </x:c>
      <x:c r="B54" s="35" t="str">
        <x:v>EDP06</x:v>
      </x:c>
      <x:c r="C54" s="35" t="str">
        <x:v>Planificación, separación y proporcionalidad</x:v>
      </x:c>
      <x:c r="D54" s="35" t="str">
        <x:v>Gobierno, organización, economía y riesgo</x:v>
      </x:c>
      <x:c r="E54" s="35" t="str">
        <x:v>Comparar acto planificado, permiso, urgencia, titulares de funciones y alternativas admisibles.</x:v>
      </x:c>
      <x:c r="F54" s="35" t="str">
        <x:v>Intervención fuera del plan, falsa separación o ahorro que traslada daño a derechos y servicios.</x:v>
      </x:c>
      <x:c r="G54" s="35" t="str">
        <x:v>CYO-01, CYO-12, CYO-21; P31/P32; C12</x:v>
      </x:c>
      <x:c r="H54" s="35" t="str">
        <x:v>N01; N09; R035 y CMU ya inventariados</x:v>
      </x:c>
    </x:row>
  </x:sheetData>
  <x:mergeCells>
    <x:mergeCell ref="A1:D1"/>
    <x:mergeCell ref="A2:F2"/>
  </x:mergeCells>
  <x:pageMargins left="0.7" right="0.7" top="0.75" bottom="0.75" header="0.3" footer="0.3"/>
  <x:tableParts count="1">
    <x:tablePart xmlns:r="http://schemas.openxmlformats.org/officeDocument/2006/relationships" r:id="Rb9f98a09d73b4e69"/>
  </x:tableParts>
</x:worksheet>
</file>

<file path=xl/worksheets/sheet77.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2" hidden="0" customWidth="1"/>
    <x:col min="2" max="2" width="18" hidden="0" customWidth="1"/>
    <x:col min="3" max="3" width="93" hidden="0" customWidth="1"/>
    <x:col min="4" max="4" width="24" hidden="0" customWidth="1"/>
    <x:col min="5" max="5" width="24" hidden="0" customWidth="1"/>
    <x:col min="6" max="6" width="24" hidden="0" customWidth="1"/>
    <x:col min="7" max="7" width="66" hidden="0" customWidth="1"/>
    <x:col min="8" max="8" width="100" hidden="0" customWidth="1"/>
    <x:col min="9" max="9" width="77" hidden="0" customWidth="1"/>
  </x:cols>
  <x:sheetData>
    <x:row r="1" ht="34" customHeight="1">
      <x:c r="A1" s="36" t="str">
        <x:v>Productos profesionales y particiones del dominio</x:v>
      </x:c>
      <x:c r="B1" s="35"/>
      <x:c r="C1" s="35"/>
      <x:c r="D1" s="35"/>
      <x:c r="E1" s="35"/>
      <x:c r="F1" s="35"/>
      <x:c r="G1" s="35"/>
      <x:c r="H1" s="35"/>
      <x:c r="I1" s="35"/>
    </x:row>
    <x:row r="2" ht="48" customHeight="1">
      <x:c r="A2" s="37" t="str">
        <x:v>59 productos candidatos. Las etiquetas de grupo permiten reconstruir 29, 38 y 59; sólo OP-CYB-001 está constituido.</x:v>
      </x:c>
      <x:c r="B2" s="35"/>
      <x:c r="C2" s="35"/>
      <x:c r="D2" s="35"/>
      <x:c r="E2" s="35"/>
      <x:c r="F2" s="35"/>
      <x:c r="G2" s="35"/>
      <x:c r="H2" s="35"/>
      <x:c r="I2" s="35"/>
    </x:row>
    <x:row r="3">
      <x:c r="A3" s="35"/>
      <x:c r="B3" s="35"/>
      <x:c r="C3" s="35"/>
      <x:c r="D3" s="35"/>
      <x:c r="E3" s="35"/>
      <x:c r="F3" s="35"/>
      <x:c r="G3" s="35"/>
      <x:c r="H3" s="35"/>
      <x:c r="I3" s="35"/>
    </x:row>
    <x:row r="4" ht="62" customHeight="1">
      <x:c r="A4" s="51" t="str">
        <x:v>Producto</x:v>
      </x:c>
      <x:c r="B4" s="51" t="str">
        <x:v>Operación</x:v>
      </x:c>
      <x:c r="C4" s="51" t="str">
        <x:v>Resultado profesional</x:v>
      </x:c>
      <x:c r="D4" s="51" t="str">
        <x:v>Grupo compacto</x:v>
      </x:c>
      <x:c r="E4" s="51" t="str">
        <x:v>Grupo central</x:v>
      </x:c>
      <x:c r="F4" s="51" t="str">
        <x:v>Grupo amplio</x:v>
      </x:c>
      <x:c r="G4" s="51" t="str">
        <x:v>Estatuto</x:v>
      </x:c>
      <x:c r="H4" s="51" t="str">
        <x:v>Razón de partición</x:v>
      </x:c>
      <x:c r="I4" s="51" t="str">
        <x:v>Referencia educativa</x:v>
      </x:c>
    </x:row>
    <x:row r="5" ht="44" customHeight="1">
      <x:c r="A5" s="35" t="str">
        <x:v>CYO-01-P1</x:v>
      </x:c>
      <x:c r="B5" s="35" t="str">
        <x:v>CYO-01</x:v>
      </x:c>
      <x:c r="C5" s="35" t="str">
        <x:v>Valoración de riesgo de un servicio</x:v>
      </x:c>
      <x:c r="D5" s="35" t="str">
        <x:v>CYO-01-1</x:v>
      </x:c>
      <x:c r="E5" s="35" t="str">
        <x:v>CYO-01-1</x:v>
      </x:c>
      <x:c r="F5" s="35" t="str">
        <x:v>CYO-01-1</x:v>
      </x:c>
      <x:c r="G5" s="35" t="str">
        <x:v>Producto candidato; universo no constituido</x:v>
      </x:c>
      <x:c r="H5" s="35" t="str">
        <x:v>Separación eventual entre valoración del riesgo y selección del tratamiento.</x:v>
      </x:c>
      <x:c r="I5" s="35" t="str">
        <x:v>R035; IV: métodos, calibración, tratamiento y comunicación</x:v>
      </x:c>
    </x:row>
    <x:row r="6" ht="44" customHeight="1">
      <x:c r="A6" s="35" t="str">
        <x:v>CYO-01-P2</x:v>
      </x:c>
      <x:c r="B6" s="35" t="str">
        <x:v>CYO-01</x:v>
      </x:c>
      <x:c r="C6" s="35" t="str">
        <x:v>Selección y seguimiento del tratamiento del riesgo</x:v>
      </x:c>
      <x:c r="D6" s="35" t="str">
        <x:v>CYO-01-1</x:v>
      </x:c>
      <x:c r="E6" s="35" t="str">
        <x:v>CYO-01-1</x:v>
      </x:c>
      <x:c r="F6" s="35" t="str">
        <x:v>CYO-01-2</x:v>
      </x:c>
      <x:c r="G6" s="35" t="str">
        <x:v>Producto candidato; universo no constituido</x:v>
      </x:c>
      <x:c r="H6" s="35" t="str">
        <x:v>Separación eventual entre valoración del riesgo y selección del tratamiento.</x:v>
      </x:c>
      <x:c r="I6" s="35" t="str">
        <x:v>R035; IV: métodos, calibración, tratamiento y comunicación</x:v>
      </x:c>
    </x:row>
    <x:row r="7" ht="48" customHeight="1">
      <x:c r="A7" s="35" t="str">
        <x:v>CYO-02-P1</x:v>
      </x:c>
      <x:c r="B7" s="35" t="str">
        <x:v>CYO-02</x:v>
      </x:c>
      <x:c r="C7" s="35" t="str">
        <x:v>Diseño de fronteras de confianza</x:v>
      </x:c>
      <x:c r="D7" s="35" t="str">
        <x:v>CYO-02-1</x:v>
      </x:c>
      <x:c r="E7" s="35" t="str">
        <x:v>CYO-02-1</x:v>
      </x:c>
      <x:c r="F7" s="35" t="str">
        <x:v>CYO-02-1</x:v>
      </x:c>
      <x:c r="G7" s="35" t="str">
        <x:v>Producto candidato; universo no constituido</x:v>
      </x:c>
      <x:c r="H7" s="35" t="str">
        <x:v>Fronteras de confianza, aislamiento e integración pueden requerir productos distintos.</x:v>
      </x:c>
      <x:c r="I7" s="35" t="str">
        <x:v>R019; IV: seguridad de redes; complemento R029 redes/nube</x:v>
      </x:c>
    </x:row>
    <x:row r="8" ht="48" customHeight="1">
      <x:c r="A8" s="35" t="str">
        <x:v>CYO-02-P2</x:v>
      </x:c>
      <x:c r="B8" s="35" t="str">
        <x:v>CYO-02</x:v>
      </x:c>
      <x:c r="C8" s="35" t="str">
        <x:v>Diseño de aislamiento y segmentación</x:v>
      </x:c>
      <x:c r="D8" s="35" t="str">
        <x:v>CYO-02-1</x:v>
      </x:c>
      <x:c r="E8" s="35" t="str">
        <x:v>CYO-02-2</x:v>
      </x:c>
      <x:c r="F8" s="35" t="str">
        <x:v>CYO-02-2</x:v>
      </x:c>
      <x:c r="G8" s="35" t="str">
        <x:v>Producto candidato; universo no constituido</x:v>
      </x:c>
      <x:c r="H8" s="35" t="str">
        <x:v>Fronteras de confianza, aislamiento e integración pueden requerir productos distintos.</x:v>
      </x:c>
      <x:c r="I8" s="35" t="str">
        <x:v>R019; IV: seguridad de redes; complemento R029 redes/nube</x:v>
      </x:c>
    </x:row>
    <x:row r="9" ht="48" customHeight="1">
      <x:c r="A9" s="35" t="str">
        <x:v>CYO-02-P3</x:v>
      </x:c>
      <x:c r="B9" s="35" t="str">
        <x:v>CYO-02</x:v>
      </x:c>
      <x:c r="C9" s="35" t="str">
        <x:v>Evaluación de integración de componentes</x:v>
      </x:c>
      <x:c r="D9" s="35" t="str">
        <x:v>CYO-02-1</x:v>
      </x:c>
      <x:c r="E9" s="35" t="str">
        <x:v>CYO-02-2</x:v>
      </x:c>
      <x:c r="F9" s="35" t="str">
        <x:v>CYO-02-3</x:v>
      </x:c>
      <x:c r="G9" s="35" t="str">
        <x:v>Producto candidato; universo no constituido</x:v>
      </x:c>
      <x:c r="H9" s="35" t="str">
        <x:v>Fronteras de confianza, aislamiento e integración pueden requerir productos distintos.</x:v>
      </x:c>
      <x:c r="I9" s="35" t="str">
        <x:v>R019; IV: seguridad de redes; complemento R029 redes/nube</x:v>
      </x:c>
    </x:row>
    <x:row r="10" ht="48" customHeight="1">
      <x:c r="A10" s="35" t="str">
        <x:v>CYO-03-P1</x:v>
      </x:c>
      <x:c r="B10" s="35" t="str">
        <x:v>CYO-03</x:v>
      </x:c>
      <x:c r="C10" s="35" t="str">
        <x:v>Acreditación y ciclo de vida de identidades</x:v>
      </x:c>
      <x:c r="D10" s="35" t="str">
        <x:v>CYO-03-1</x:v>
      </x:c>
      <x:c r="E10" s="35" t="str">
        <x:v>CYO-03-1</x:v>
      </x:c>
      <x:c r="F10" s="35" t="str">
        <x:v>CYO-03-1</x:v>
      </x:c>
      <x:c r="G10" s="35" t="str">
        <x:v>Producto candidato; universo no constituido</x:v>
      </x:c>
      <x:c r="H10" s="35" t="str">
        <x:v>Concesión, revisión y revocación; posible separación entre identidad y privilegio.</x:v>
      </x:c>
      <x:c r="I10" s="35" t="str">
        <x:v>R024; IV: acceso y seguridad de datos; contraste NICE T1548</x:v>
      </x:c>
    </x:row>
    <x:row r="11" ht="48" customHeight="1">
      <x:c r="A11" s="35" t="str">
        <x:v>CYO-03-P2</x:v>
      </x:c>
      <x:c r="B11" s="35" t="str">
        <x:v>CYO-03</x:v>
      </x:c>
      <x:c r="C11" s="35" t="str">
        <x:v>Concesión, revisión y retirada de privilegios</x:v>
      </x:c>
      <x:c r="D11" s="35" t="str">
        <x:v>CYO-03-1</x:v>
      </x:c>
      <x:c r="E11" s="35" t="str">
        <x:v>CYO-03-1</x:v>
      </x:c>
      <x:c r="F11" s="35" t="str">
        <x:v>CYO-03-2</x:v>
      </x:c>
      <x:c r="G11" s="35" t="str">
        <x:v>Producto candidato; universo no constituido</x:v>
      </x:c>
      <x:c r="H11" s="35" t="str">
        <x:v>Concesión, revisión y revocación; posible separación entre identidad y privilegio.</x:v>
      </x:c>
      <x:c r="I11" s="35" t="str">
        <x:v>R024; IV: acceso y seguridad de datos; contraste NICE T1548</x:v>
      </x:c>
    </x:row>
    <x:row r="12" ht="44" customHeight="1">
      <x:c r="A12" s="35" t="str">
        <x:v>CYO-04-P1</x:v>
      </x:c>
      <x:c r="B12" s="35" t="str">
        <x:v>CYO-04</x:v>
      </x:c>
      <x:c r="C12" s="35" t="str">
        <x:v>Evaluación de configuración de plataforma</x:v>
      </x:c>
      <x:c r="D12" s="35" t="str">
        <x:v>CYO-04-1</x:v>
      </x:c>
      <x:c r="E12" s="35" t="str">
        <x:v>CYO-04-1</x:v>
      </x:c>
      <x:c r="F12" s="35" t="str">
        <x:v>CYO-04-1</x:v>
      </x:c>
      <x:c r="G12" s="35" t="str">
        <x:v>Producto candidato; universo no constituido</x:v>
      </x:c>
      <x:c r="H12" s="35" t="str">
        <x:v>Configuración, aplicación y red presentan objetos y criterios diferentes.</x:v>
      </x:c>
      <x:c r="I12" s="35" t="str">
        <x:v>R034; IV: alcance, fases y pruebas; R015 como base</x:v>
      </x:c>
    </x:row>
    <x:row r="13" ht="44" customHeight="1">
      <x:c r="A13" s="35" t="str">
        <x:v>CYO-04-P2</x:v>
      </x:c>
      <x:c r="B13" s="35" t="str">
        <x:v>CYO-04</x:v>
      </x:c>
      <x:c r="C13" s="35" t="str">
        <x:v>Evaluación de seguridad de una aplicación</x:v>
      </x:c>
      <x:c r="D13" s="35" t="str">
        <x:v>CYO-04-1</x:v>
      </x:c>
      <x:c r="E13" s="35" t="str">
        <x:v>CYO-04-2</x:v>
      </x:c>
      <x:c r="F13" s="35" t="str">
        <x:v>CYO-04-2</x:v>
      </x:c>
      <x:c r="G13" s="35" t="str">
        <x:v>Producto candidato; universo no constituido</x:v>
      </x:c>
      <x:c r="H13" s="35" t="str">
        <x:v>Configuración, aplicación y red presentan objetos y criterios diferentes.</x:v>
      </x:c>
      <x:c r="I13" s="35" t="str">
        <x:v>R034; IV: alcance, fases y pruebas; R015 como base</x:v>
      </x:c>
    </x:row>
    <x:row r="14" ht="44" customHeight="1">
      <x:c r="A14" s="35" t="str">
        <x:v>CYO-04-P3</x:v>
      </x:c>
      <x:c r="B14" s="35" t="str">
        <x:v>CYO-04</x:v>
      </x:c>
      <x:c r="C14" s="35" t="str">
        <x:v>Evaluación de seguridad de red</x:v>
      </x:c>
      <x:c r="D14" s="35" t="str">
        <x:v>CYO-04-1</x:v>
      </x:c>
      <x:c r="E14" s="35" t="str">
        <x:v>CYO-04-2</x:v>
      </x:c>
      <x:c r="F14" s="35" t="str">
        <x:v>CYO-04-3</x:v>
      </x:c>
      <x:c r="G14" s="35" t="str">
        <x:v>Producto candidato; universo no constituido</x:v>
      </x:c>
      <x:c r="H14" s="35" t="str">
        <x:v>Configuración, aplicación y red presentan objetos y criterios diferentes.</x:v>
      </x:c>
      <x:c r="I14" s="35" t="str">
        <x:v>R034; IV: alcance, fases y pruebas; R015 como base</x:v>
      </x:c>
    </x:row>
    <x:row r="15" ht="48" customHeight="1">
      <x:c r="A15" s="35" t="str">
        <x:v>CYO-05-P1</x:v>
      </x:c>
      <x:c r="B15" s="35" t="str">
        <x:v>CYO-05</x:v>
      </x:c>
      <x:c r="C15" s="35" t="str">
        <x:v>Constitución verificable de una construcción de software</x:v>
      </x:c>
      <x:c r="D15" s="35" t="str">
        <x:v>CYO-05-1</x:v>
      </x:c>
      <x:c r="E15" s="35" t="str">
        <x:v>CYO-05-1</x:v>
      </x:c>
      <x:c r="F15" s="35" t="str">
        <x:v>CYO-05-1</x:v>
      </x:c>
      <x:c r="G15" s="35" t="str">
        <x:v>Producto candidato; universo no constituido</x:v>
      </x:c>
      <x:c r="H15" s="35" t="str">
        <x:v>Construcción, dependencia y liberación; estados de procedencia y verificación propios.</x:v>
      </x:c>
      <x:c r="I15" s="35" t="str">
        <x:v>R028; IV: desarrollo y análisis seguro; R023 ingeniería</x:v>
      </x:c>
    </x:row>
    <x:row r="16" ht="48" customHeight="1">
      <x:c r="A16" s="35" t="str">
        <x:v>CYO-05-P2</x:v>
      </x:c>
      <x:c r="B16" s="35" t="str">
        <x:v>CYO-05</x:v>
      </x:c>
      <x:c r="C16" s="35" t="str">
        <x:v>Evaluación de dependencias y procedencia</x:v>
      </x:c>
      <x:c r="D16" s="35" t="str">
        <x:v>CYO-05-1</x:v>
      </x:c>
      <x:c r="E16" s="35" t="str">
        <x:v>CYO-05-2</x:v>
      </x:c>
      <x:c r="F16" s="35" t="str">
        <x:v>CYO-05-2</x:v>
      </x:c>
      <x:c r="G16" s="35" t="str">
        <x:v>Producto candidato; universo no constituido</x:v>
      </x:c>
      <x:c r="H16" s="35" t="str">
        <x:v>Construcción, dependencia y liberación; estados de procedencia y verificación propios.</x:v>
      </x:c>
      <x:c r="I16" s="35" t="str">
        <x:v>R028; IV: desarrollo y análisis seguro; R023 ingeniería</x:v>
      </x:c>
    </x:row>
    <x:row r="17" ht="48" customHeight="1">
      <x:c r="A17" s="35" t="str">
        <x:v>CYO-05-P3</x:v>
      </x:c>
      <x:c r="B17" s="35" t="str">
        <x:v>CYO-05</x:v>
      </x:c>
      <x:c r="C17" s="35" t="str">
        <x:v>Liberación de una versión de software</x:v>
      </x:c>
      <x:c r="D17" s="35" t="str">
        <x:v>CYO-05-1</x:v>
      </x:c>
      <x:c r="E17" s="35" t="str">
        <x:v>CYO-05-2</x:v>
      </x:c>
      <x:c r="F17" s="35" t="str">
        <x:v>CYO-05-3</x:v>
      </x:c>
      <x:c r="G17" s="35" t="str">
        <x:v>Producto candidato; universo no constituido</x:v>
      </x:c>
      <x:c r="H17" s="35" t="str">
        <x:v>Construcción, dependencia y liberación; estados de procedencia y verificación propios.</x:v>
      </x:c>
      <x:c r="I17" s="35" t="str">
        <x:v>R028; IV: desarrollo y análisis seguro; R023 ingeniería</x:v>
      </x:c>
    </x:row>
    <x:row r="18" ht="48" customHeight="1">
      <x:c r="A18" s="35" t="str">
        <x:v>CYO-06-P1</x:v>
      </x:c>
      <x:c r="B18" s="35" t="str">
        <x:v>CYO-06</x:v>
      </x:c>
      <x:c r="C18" s="35" t="str">
        <x:v>Evaluación inicial de un proveedor</x:v>
      </x:c>
      <x:c r="D18" s="35" t="str">
        <x:v>CYO-06-1</x:v>
      </x:c>
      <x:c r="E18" s="35" t="str">
        <x:v>CYO-06-1</x:v>
      </x:c>
      <x:c r="F18" s="35" t="str">
        <x:v>CYO-06-1</x:v>
      </x:c>
      <x:c r="G18" s="35" t="str">
        <x:v>Producto candidato; universo no constituido</x:v>
      </x:c>
      <x:c r="H18" s="35" t="str">
        <x:v>Evaluación inicial y seguimiento contractual pueden separarse.</x:v>
      </x:c>
      <x:c r="I18" s="35" t="str">
        <x:v>R035; IV: transferencia y tratamiento; NICE OG-WRL-017 como contraste</x:v>
      </x:c>
    </x:row>
    <x:row r="19" ht="48" customHeight="1">
      <x:c r="A19" s="35" t="str">
        <x:v>CYO-06-P2</x:v>
      </x:c>
      <x:c r="B19" s="35" t="str">
        <x:v>CYO-06</x:v>
      </x:c>
      <x:c r="C19" s="35" t="str">
        <x:v>Seguimiento de obligaciones del proveedor</x:v>
      </x:c>
      <x:c r="D19" s="35" t="str">
        <x:v>CYO-06-1</x:v>
      </x:c>
      <x:c r="E19" s="35" t="str">
        <x:v>CYO-06-1</x:v>
      </x:c>
      <x:c r="F19" s="35" t="str">
        <x:v>CYO-06-2</x:v>
      </x:c>
      <x:c r="G19" s="35" t="str">
        <x:v>Producto candidato; universo no constituido</x:v>
      </x:c>
      <x:c r="H19" s="35" t="str">
        <x:v>Evaluación inicial y seguimiento contractual pueden separarse.</x:v>
      </x:c>
      <x:c r="I19" s="35" t="str">
        <x:v>R035; IV: transferencia y tratamiento; NICE OG-WRL-017 como contraste</x:v>
      </x:c>
    </x:row>
    <x:row r="20" ht="44" customHeight="1">
      <x:c r="A20" s="35" t="str">
        <x:v>CYO-07-P1</x:v>
      </x:c>
      <x:c r="B20" s="35" t="str">
        <x:v>CYO-07</x:v>
      </x:c>
      <x:c r="C20" s="35" t="str">
        <x:v>Clasificación contextual de una alerta</x:v>
      </x:c>
      <x:c r="D20" s="35" t="str">
        <x:v>CYO-07-1</x:v>
      </x:c>
      <x:c r="E20" s="35" t="str">
        <x:v>CYO-07-1</x:v>
      </x:c>
      <x:c r="F20" s="35" t="str">
        <x:v>CYO-07-1</x:v>
      </x:c>
      <x:c r="G20" s="35" t="str">
        <x:v>Producto candidato; universo no constituido</x:v>
      </x:c>
      <x:c r="H20" s="35" t="str">
        <x:v>Un producto de clasificación, con evidencia, contexto y errores diferenciados.</x:v>
      </x:c>
      <x:c r="I20" s="35" t="str">
        <x:v>R033; IV: SOC, correlación y gestión de incidentes</x:v>
      </x:c>
    </x:row>
    <x:row r="21" ht="44" customHeight="1">
      <x:c r="A21" s="35" t="str">
        <x:v>CYO-08-P1</x:v>
      </x:c>
      <x:c r="B21" s="35" t="str">
        <x:v>CYO-08</x:v>
      </x:c>
      <x:c r="C21" s="35" t="str">
        <x:v>Producción de un juicio de inteligencia</x:v>
      </x:c>
      <x:c r="D21" s="35" t="str">
        <x:v>CYO-08-1</x:v>
      </x:c>
      <x:c r="E21" s="35" t="str">
        <x:v>CYO-08-1</x:v>
      </x:c>
      <x:c r="F21" s="35" t="str">
        <x:v>CYO-08-1</x:v>
      </x:c>
      <x:c r="G21" s="35" t="str">
        <x:v>Producto candidato; universo no constituido</x:v>
      </x:c>
      <x:c r="H21" s="35" t="str">
        <x:v>Producción analítica y aplicabilidad operativa de información recibida.</x:v>
      </x:c>
      <x:c r="I21" s="35" t="str">
        <x:v>R033; IV: inteligencia de amenazas</x:v>
      </x:c>
    </x:row>
    <x:row r="22" ht="44" customHeight="1">
      <x:c r="A22" s="35" t="str">
        <x:v>CYO-08-P2</x:v>
      </x:c>
      <x:c r="B22" s="35" t="str">
        <x:v>CYO-08</x:v>
      </x:c>
      <x:c r="C22" s="35" t="str">
        <x:v>Determinación de aplicabilidad de inteligencia recibida</x:v>
      </x:c>
      <x:c r="D22" s="35" t="str">
        <x:v>CYO-08-1</x:v>
      </x:c>
      <x:c r="E22" s="35" t="str">
        <x:v>CYO-08-1</x:v>
      </x:c>
      <x:c r="F22" s="35" t="str">
        <x:v>CYO-08-2</x:v>
      </x:c>
      <x:c r="G22" s="35" t="str">
        <x:v>Producto candidato; universo no constituido</x:v>
      </x:c>
      <x:c r="H22" s="35" t="str">
        <x:v>Producción analítica y aplicabilidad operativa de información recibida.</x:v>
      </x:c>
      <x:c r="I22" s="35" t="str">
        <x:v>R033; IV: inteligencia de amenazas</x:v>
      </x:c>
    </x:row>
    <x:row r="23" ht="44" customHeight="1">
      <x:c r="A23" s="35" t="str">
        <x:v>CYO-09-P1</x:v>
      </x:c>
      <x:c r="B23" s="35" t="str">
        <x:v>CYO-09</x:v>
      </x:c>
      <x:c r="C23" s="35" t="str">
        <x:v>Constitución de un plan de respuesta a incidentes</x:v>
      </x:c>
      <x:c r="D23" s="35" t="str">
        <x:v>CYO-09-1</x:v>
      </x:c>
      <x:c r="E23" s="35" t="str">
        <x:v>CYO-09-1</x:v>
      </x:c>
      <x:c r="F23" s="35" t="str">
        <x:v>CYO-09-1</x:v>
      </x:c>
      <x:c r="G23" s="35" t="str">
        <x:v>Producto candidato; universo no constituido</x:v>
      </x:c>
      <x:c r="H23" s="35" t="str">
        <x:v>Preparación y decisión del plan, separadas de la respuesta efectiva.</x:v>
      </x:c>
      <x:c r="I23" s="35" t="str">
        <x:v>R033; IV: respuesta; R035 balance de tratamiento</x:v>
      </x:c>
    </x:row>
    <x:row r="24" ht="44" customHeight="1">
      <x:c r="A24" s="35" t="str">
        <x:v>CYO-10-P1</x:v>
      </x:c>
      <x:c r="B24" s="35" t="str">
        <x:v>CYO-10</x:v>
      </x:c>
      <x:c r="C24" s="35" t="str">
        <x:v>Adquisición forense</x:v>
      </x:c>
      <x:c r="D24" s="35" t="str">
        <x:v>CYO-10-1</x:v>
      </x:c>
      <x:c r="E24" s="35" t="str">
        <x:v>CYO-10-1</x:v>
      </x:c>
      <x:c r="F24" s="35" t="str">
        <x:v>CYO-10-1</x:v>
      </x:c>
      <x:c r="G24" s="35" t="str">
        <x:v>Producto candidato; universo no constituido</x:v>
      </x:c>
      <x:c r="H24" s="35" t="str">
        <x:v>Adquisición, reconstrucción e interpretación pueden exigir productos diferentes.</x:v>
      </x:c>
      <x:c r="I24" s="35" t="str">
        <x:v>R033; IV: DFIR y cadena de custodia</x:v>
      </x:c>
    </x:row>
    <x:row r="25" ht="44" customHeight="1">
      <x:c r="A25" s="35" t="str">
        <x:v>CYO-10-P2</x:v>
      </x:c>
      <x:c r="B25" s="35" t="str">
        <x:v>CYO-10</x:v>
      </x:c>
      <x:c r="C25" s="35" t="str">
        <x:v>Reconstrucción de sucesos</x:v>
      </x:c>
      <x:c r="D25" s="35" t="str">
        <x:v>CYO-10-1</x:v>
      </x:c>
      <x:c r="E25" s="35" t="str">
        <x:v>CYO-10-2</x:v>
      </x:c>
      <x:c r="F25" s="35" t="str">
        <x:v>CYO-10-2</x:v>
      </x:c>
      <x:c r="G25" s="35" t="str">
        <x:v>Producto candidato; universo no constituido</x:v>
      </x:c>
      <x:c r="H25" s="35" t="str">
        <x:v>Adquisición, reconstrucción e interpretación pueden exigir productos diferentes.</x:v>
      </x:c>
      <x:c r="I25" s="35" t="str">
        <x:v>R033; IV: DFIR y cadena de custodia</x:v>
      </x:c>
    </x:row>
    <x:row r="26" ht="44" customHeight="1">
      <x:c r="A26" s="35" t="str">
        <x:v>CYO-10-P3</x:v>
      </x:c>
      <x:c r="B26" s="35" t="str">
        <x:v>CYO-10</x:v>
      </x:c>
      <x:c r="C26" s="35" t="str">
        <x:v>Interpretación forense de hipótesis</x:v>
      </x:c>
      <x:c r="D26" s="35" t="str">
        <x:v>CYO-10-1</x:v>
      </x:c>
      <x:c r="E26" s="35" t="str">
        <x:v>CYO-10-2</x:v>
      </x:c>
      <x:c r="F26" s="35" t="str">
        <x:v>CYO-10-3</x:v>
      </x:c>
      <x:c r="G26" s="35" t="str">
        <x:v>Producto candidato; universo no constituido</x:v>
      </x:c>
      <x:c r="H26" s="35" t="str">
        <x:v>Adquisición, reconstrucción e interpretación pueden exigir productos diferentes.</x:v>
      </x:c>
      <x:c r="I26" s="35" t="str">
        <x:v>R033; IV: DFIR y cadena de custodia</x:v>
      </x:c>
    </x:row>
    <x:row r="27" ht="44" customHeight="1">
      <x:c r="A27" s="35" t="str">
        <x:v>CYO-11-P1</x:v>
      </x:c>
      <x:c r="B27" s="35" t="str">
        <x:v>CYO-11</x:v>
      </x:c>
      <x:c r="C27" s="35" t="str">
        <x:v>Preparación de un plan de recuperación</x:v>
      </x:c>
      <x:c r="D27" s="35" t="str">
        <x:v>CYO-11-1</x:v>
      </x:c>
      <x:c r="E27" s="35" t="str">
        <x:v>CYO-11-1</x:v>
      </x:c>
      <x:c r="F27" s="35" t="str">
        <x:v>CYO-11-1</x:v>
      </x:c>
      <x:c r="G27" s="35" t="str">
        <x:v>Producto candidato; universo no constituido</x:v>
      </x:c>
      <x:c r="H27" s="35" t="str">
        <x:v>Preparación y prueba del plan; no se cuenta la restauración efectiva aquí.</x:v>
      </x:c>
      <x:c r="I27" s="35" t="str">
        <x:v>R033; IV: BCP/DRP, RPO y RTO</x:v>
      </x:c>
    </x:row>
    <x:row r="28" ht="44" customHeight="1">
      <x:c r="A28" s="35" t="str">
        <x:v>CYO-11-P2</x:v>
      </x:c>
      <x:c r="B28" s="35" t="str">
        <x:v>CYO-11</x:v>
      </x:c>
      <x:c r="C28" s="35" t="str">
        <x:v>Comprobación del plan de recuperación</x:v>
      </x:c>
      <x:c r="D28" s="35" t="str">
        <x:v>CYO-11-1</x:v>
      </x:c>
      <x:c r="E28" s="35" t="str">
        <x:v>CYO-11-1</x:v>
      </x:c>
      <x:c r="F28" s="35" t="str">
        <x:v>CYO-11-2</x:v>
      </x:c>
      <x:c r="G28" s="35" t="str">
        <x:v>Producto candidato; universo no constituido</x:v>
      </x:c>
      <x:c r="H28" s="35" t="str">
        <x:v>Preparación y prueba del plan; no se cuenta la restauración efectiva aquí.</x:v>
      </x:c>
      <x:c r="I28" s="35" t="str">
        <x:v>R033; IV: BCP/DRP, RPO y RTO</x:v>
      </x:c>
    </x:row>
    <x:row r="29" ht="48" customHeight="1">
      <x:c r="A29" s="35" t="str">
        <x:v>CYO-12-P1</x:v>
      </x:c>
      <x:c r="B29" s="35" t="str">
        <x:v>CYO-12</x:v>
      </x:c>
      <x:c r="C29" s="35" t="str">
        <x:v>Planificación de un cambio</x:v>
      </x:c>
      <x:c r="D29" s="35" t="str">
        <x:v>CYO-12-1</x:v>
      </x:c>
      <x:c r="E29" s="35" t="str">
        <x:v>CYO-12-1</x:v>
      </x:c>
      <x:c r="F29" s="35" t="str">
        <x:v>CYO-12-1</x:v>
      </x:c>
      <x:c r="G29" s="35" t="str">
        <x:v>Producto candidato; universo no constituido</x:v>
      </x:c>
      <x:c r="H29" s="35" t="str">
        <x:v>Diseño y autorización del cambio; se descuenta el cierre por actualización ya constituido.</x:v>
      </x:c>
      <x:c r="I29" s="35" t="str">
        <x:v>R025; IV: sistemas operativos; R019 configuración segura</x:v>
      </x:c>
    </x:row>
    <x:row r="30" ht="48" customHeight="1">
      <x:c r="A30" s="35" t="str">
        <x:v>CYO-12-P2</x:v>
      </x:c>
      <x:c r="B30" s="35" t="str">
        <x:v>CYO-12</x:v>
      </x:c>
      <x:c r="C30" s="35" t="str">
        <x:v>Evaluación del mantenimiento programado</x:v>
      </x:c>
      <x:c r="D30" s="35" t="str">
        <x:v>CYO-12-1</x:v>
      </x:c>
      <x:c r="E30" s="35" t="str">
        <x:v>CYO-12-1</x:v>
      </x:c>
      <x:c r="F30" s="35" t="str">
        <x:v>CYO-12-2</x:v>
      </x:c>
      <x:c r="G30" s="35" t="str">
        <x:v>Producto candidato; universo no constituido</x:v>
      </x:c>
      <x:c r="H30" s="35" t="str">
        <x:v>Diseño y autorización del cambio; se descuenta el cierre por actualización ya constituido.</x:v>
      </x:c>
      <x:c r="I30" s="35" t="str">
        <x:v>R025; IV: sistemas operativos; R019 configuración segura</x:v>
      </x:c>
    </x:row>
    <x:row r="31" ht="44" customHeight="1">
      <x:c r="A31" s="35" t="str">
        <x:v>CYO-13-P1</x:v>
      </x:c>
      <x:c r="B31" s="35" t="str">
        <x:v>CYO-13</x:v>
      </x:c>
      <x:c r="C31" s="35" t="str">
        <x:v>Selección de protección criptográfica</x:v>
      </x:c>
      <x:c r="D31" s="35" t="str">
        <x:v>CYO-13-1</x:v>
      </x:c>
      <x:c r="E31" s="35" t="str">
        <x:v>CYO-13-1</x:v>
      </x:c>
      <x:c r="F31" s="35" t="str">
        <x:v>CYO-13-1</x:v>
      </x:c>
      <x:c r="G31" s="35" t="str">
        <x:v>Producto candidato; universo no constituido</x:v>
      </x:c>
      <x:c r="H31" s="35" t="str">
        <x:v>Selección y empleo, claves y validación de protocolos pueden separarse.</x:v>
      </x:c>
      <x:c r="I31" s="35" t="str">
        <x:v>R007; IV: cifrado, autenticación, hash y firma</x:v>
      </x:c>
    </x:row>
    <x:row r="32" ht="44" customHeight="1">
      <x:c r="A32" s="35" t="str">
        <x:v>CYO-13-P2</x:v>
      </x:c>
      <x:c r="B32" s="35" t="str">
        <x:v>CYO-13</x:v>
      </x:c>
      <x:c r="C32" s="35" t="str">
        <x:v>Gestión del ciclo de vida de claves</x:v>
      </x:c>
      <x:c r="D32" s="35" t="str">
        <x:v>CYO-13-1</x:v>
      </x:c>
      <x:c r="E32" s="35" t="str">
        <x:v>CYO-13-2</x:v>
      </x:c>
      <x:c r="F32" s="35" t="str">
        <x:v>CYO-13-2</x:v>
      </x:c>
      <x:c r="G32" s="35" t="str">
        <x:v>Producto candidato; universo no constituido</x:v>
      </x:c>
      <x:c r="H32" s="35" t="str">
        <x:v>Selección y empleo, claves y validación de protocolos pueden separarse.</x:v>
      </x:c>
      <x:c r="I32" s="35" t="str">
        <x:v>R007; IV: cifrado, autenticación, hash y firma</x:v>
      </x:c>
    </x:row>
    <x:row r="33" ht="44" customHeight="1">
      <x:c r="A33" s="35" t="str">
        <x:v>CYO-13-P3</x:v>
      </x:c>
      <x:c r="B33" s="35" t="str">
        <x:v>CYO-13</x:v>
      </x:c>
      <x:c r="C33" s="35" t="str">
        <x:v>Validación del uso de protocolos criptográficos</x:v>
      </x:c>
      <x:c r="D33" s="35" t="str">
        <x:v>CYO-13-1</x:v>
      </x:c>
      <x:c r="E33" s="35" t="str">
        <x:v>CYO-13-2</x:v>
      </x:c>
      <x:c r="F33" s="35" t="str">
        <x:v>CYO-13-3</x:v>
      </x:c>
      <x:c r="G33" s="35" t="str">
        <x:v>Producto candidato; universo no constituido</x:v>
      </x:c>
      <x:c r="H33" s="35" t="str">
        <x:v>Selección y empleo, claves y validación de protocolos pueden separarse.</x:v>
      </x:c>
      <x:c r="I33" s="35" t="str">
        <x:v>R007; IV: cifrado, autenticación, hash y firma</x:v>
      </x:c>
    </x:row>
    <x:row r="34" ht="44" customHeight="1">
      <x:c r="A34" s="35" t="str">
        <x:v>CYO-14-P1</x:v>
      </x:c>
      <x:c r="B34" s="35" t="str">
        <x:v>CYO-14</x:v>
      </x:c>
      <x:c r="C34" s="35" t="str">
        <x:v>Evaluación del riesgo sobre un proceso físico</x:v>
      </x:c>
      <x:c r="D34" s="35" t="str">
        <x:v>CYO-14-1</x:v>
      </x:c>
      <x:c r="E34" s="35" t="str">
        <x:v>CYO-14-1</x:v>
      </x:c>
      <x:c r="F34" s="35" t="str">
        <x:v>CYO-14-1</x:v>
      </x:c>
      <x:c r="G34" s="35" t="str">
        <x:v>Producto candidato; universo no constituido</x:v>
      </x:c>
      <x:c r="H34" s="35" t="str">
        <x:v>Proceso físico, protección y mantenimiento; no extrapolación directa de IT.</x:v>
      </x:c>
      <x:c r="I34" s="35" t="str">
        <x:v>R036; IV: infraestructuras e interdependencias</x:v>
      </x:c>
    </x:row>
    <x:row r="35" ht="44" customHeight="1">
      <x:c r="A35" s="35" t="str">
        <x:v>CYO-14-P2</x:v>
      </x:c>
      <x:c r="B35" s="35" t="str">
        <x:v>CYO-14</x:v>
      </x:c>
      <x:c r="C35" s="35" t="str">
        <x:v>Diseño de protección del proceso</x:v>
      </x:c>
      <x:c r="D35" s="35" t="str">
        <x:v>CYO-14-1</x:v>
      </x:c>
      <x:c r="E35" s="35" t="str">
        <x:v>CYO-14-2</x:v>
      </x:c>
      <x:c r="F35" s="35" t="str">
        <x:v>CYO-14-2</x:v>
      </x:c>
      <x:c r="G35" s="35" t="str">
        <x:v>Producto candidato; universo no constituido</x:v>
      </x:c>
      <x:c r="H35" s="35" t="str">
        <x:v>Proceso físico, protección y mantenimiento; no extrapolación directa de IT.</x:v>
      </x:c>
      <x:c r="I35" s="35" t="str">
        <x:v>R036; IV: infraestructuras e interdependencias</x:v>
      </x:c>
    </x:row>
    <x:row r="36" ht="44" customHeight="1">
      <x:c r="A36" s="35" t="str">
        <x:v>CYO-14-P3</x:v>
      </x:c>
      <x:c r="B36" s="35" t="str">
        <x:v>CYO-14</x:v>
      </x:c>
      <x:c r="C36" s="35" t="str">
        <x:v>Mantenimiento seguro del sistema ciberfísico</x:v>
      </x:c>
      <x:c r="D36" s="35" t="str">
        <x:v>CYO-14-1</x:v>
      </x:c>
      <x:c r="E36" s="35" t="str">
        <x:v>CYO-14-2</x:v>
      </x:c>
      <x:c r="F36" s="35" t="str">
        <x:v>CYO-14-3</x:v>
      </x:c>
      <x:c r="G36" s="35" t="str">
        <x:v>Producto candidato; universo no constituido</x:v>
      </x:c>
      <x:c r="H36" s="35" t="str">
        <x:v>Proceso físico, protección y mantenimiento; no extrapolación directa de IT.</x:v>
      </x:c>
      <x:c r="I36" s="35" t="str">
        <x:v>R036; IV: infraestructuras e interdependencias</x:v>
      </x:c>
    </x:row>
    <x:row r="37" ht="44" customHeight="1">
      <x:c r="A37" s="35" t="str">
        <x:v>CYO-15-P1</x:v>
      </x:c>
      <x:c r="B37" s="35" t="str">
        <x:v>CYO-15</x:v>
      </x:c>
      <x:c r="C37" s="35" t="str">
        <x:v>Dictamen de admisibilidad de un uso concreto de IA</x:v>
      </x:c>
      <x:c r="D37" s="35" t="str">
        <x:v>CYO-15-1</x:v>
      </x:c>
      <x:c r="E37" s="35" t="str">
        <x:v>CYO-15-1</x:v>
      </x:c>
      <x:c r="F37" s="35" t="str">
        <x:v>CYO-15-1</x:v>
      </x:c>
      <x:c r="G37" s="35" t="str">
        <x:v>Producto candidato; universo no constituido</x:v>
      </x:c>
      <x:c r="H37" s="35" t="str">
        <x:v>Decisión sobre un uso concreto, diferenciada de la política general.</x:v>
      </x:c>
      <x:c r="I37" s="35" t="str">
        <x:v>M003; CLO: confianza, ética y evaluación; R037 gobierno</x:v>
      </x:c>
    </x:row>
    <x:row r="38" ht="44" customHeight="1">
      <x:c r="A38" s="35" t="str">
        <x:v>CYO-16-P1</x:v>
      </x:c>
      <x:c r="B38" s="35" t="str">
        <x:v>CYO-16</x:v>
      </x:c>
      <x:c r="C38" s="35" t="str">
        <x:v>Evaluación del diseño de un control</x:v>
      </x:c>
      <x:c r="D38" s="35" t="str">
        <x:v>CYO-16-1</x:v>
      </x:c>
      <x:c r="E38" s="35" t="str">
        <x:v>CYO-16-1</x:v>
      </x:c>
      <x:c r="F38" s="35" t="str">
        <x:v>CYO-16-1</x:v>
      </x:c>
      <x:c r="G38" s="35" t="str">
        <x:v>Producto candidato; universo no constituido</x:v>
      </x:c>
      <x:c r="H38" s="35" t="str">
        <x:v>Diseño y funcionamiento del control pueden dar productos diferentes.</x:v>
      </x:c>
      <x:c r="I38" s="35" t="str">
        <x:v>R032; II/IV: auditoría y evidencia</x:v>
      </x:c>
    </x:row>
    <x:row r="39" ht="44" customHeight="1">
      <x:c r="A39" s="35" t="str">
        <x:v>CYO-16-P2</x:v>
      </x:c>
      <x:c r="B39" s="35" t="str">
        <x:v>CYO-16</x:v>
      </x:c>
      <x:c r="C39" s="35" t="str">
        <x:v>Evaluación del funcionamiento de un control</x:v>
      </x:c>
      <x:c r="D39" s="35" t="str">
        <x:v>CYO-16-1</x:v>
      </x:c>
      <x:c r="E39" s="35" t="str">
        <x:v>CYO-16-1</x:v>
      </x:c>
      <x:c r="F39" s="35" t="str">
        <x:v>CYO-16-2</x:v>
      </x:c>
      <x:c r="G39" s="35" t="str">
        <x:v>Producto candidato; universo no constituido</x:v>
      </x:c>
      <x:c r="H39" s="35" t="str">
        <x:v>Diseño y funcionamiento del control pueden dar productos diferentes.</x:v>
      </x:c>
      <x:c r="I39" s="35" t="str">
        <x:v>R032; II/IV: auditoría y evidencia</x:v>
      </x:c>
    </x:row>
    <x:row r="40" ht="48" customHeight="1">
      <x:c r="A40" s="35" t="str">
        <x:v>CYO-17-P1</x:v>
      </x:c>
      <x:c r="B40" s="35" t="str">
        <x:v>CYO-17</x:v>
      </x:c>
      <x:c r="C40" s="35" t="str">
        <x:v>Evaluación de un tratamiento y comunicación de datos</x:v>
      </x:c>
      <x:c r="D40" s="35" t="str">
        <x:v>CYO-17-1</x:v>
      </x:c>
      <x:c r="E40" s="35" t="str">
        <x:v>CYO-17-1</x:v>
      </x:c>
      <x:c r="F40" s="35" t="str">
        <x:v>CYO-17-1</x:v>
      </x:c>
      <x:c r="G40" s="35" t="str">
        <x:v>Producto candidato; universo no constituido</x:v>
      </x:c>
      <x:c r="H40" s="35" t="str">
        <x:v>Tratamiento de datos, derechos y obligaciones según jurisdicción y función.</x:v>
      </x:c>
      <x:c r="I40" s="35" t="str">
        <x:v>R012; IV: derecho; textos vigentes concretos requieren examen propio</x:v>
      </x:c>
    </x:row>
    <x:row r="41" ht="48" customHeight="1">
      <x:c r="A41" s="35" t="str">
        <x:v>CYO-17-P2</x:v>
      </x:c>
      <x:c r="B41" s="35" t="str">
        <x:v>CYO-17</x:v>
      </x:c>
      <x:c r="C41" s="35" t="str">
        <x:v>Gestión de derechos, conservación y supresión</x:v>
      </x:c>
      <x:c r="D41" s="35" t="str">
        <x:v>CYO-17-1</x:v>
      </x:c>
      <x:c r="E41" s="35" t="str">
        <x:v>CYO-17-2</x:v>
      </x:c>
      <x:c r="F41" s="35" t="str">
        <x:v>CYO-17-2</x:v>
      </x:c>
      <x:c r="G41" s="35" t="str">
        <x:v>Producto candidato; universo no constituido</x:v>
      </x:c>
      <x:c r="H41" s="35" t="str">
        <x:v>Tratamiento de datos, derechos y obligaciones según jurisdicción y función.</x:v>
      </x:c>
      <x:c r="I41" s="35" t="str">
        <x:v>R012; IV: derecho; textos vigentes concretos requieren examen propio</x:v>
      </x:c>
    </x:row>
    <x:row r="42" ht="48" customHeight="1">
      <x:c r="A42" s="35" t="str">
        <x:v>CYO-17-P3</x:v>
      </x:c>
      <x:c r="B42" s="35" t="str">
        <x:v>CYO-17</x:v>
      </x:c>
      <x:c r="C42" s="35" t="str">
        <x:v>Evaluación de obligaciones de privacidad de terceros</x:v>
      </x:c>
      <x:c r="D42" s="35" t="str">
        <x:v>CYO-17-1</x:v>
      </x:c>
      <x:c r="E42" s="35" t="str">
        <x:v>CYO-17-2</x:v>
      </x:c>
      <x:c r="F42" s="35" t="str">
        <x:v>CYO-17-3</x:v>
      </x:c>
      <x:c r="G42" s="35" t="str">
        <x:v>Producto candidato; universo no constituido</x:v>
      </x:c>
      <x:c r="H42" s="35" t="str">
        <x:v>Tratamiento de datos, derechos y obligaciones según jurisdicción y función.</x:v>
      </x:c>
      <x:c r="I42" s="35" t="str">
        <x:v>R012; IV: derecho; textos vigentes concretos requieren examen propio</x:v>
      </x:c>
    </x:row>
    <x:row r="43" ht="48" customHeight="1">
      <x:c r="A43" s="35" t="str">
        <x:v>CYO-18-P1</x:v>
      </x:c>
      <x:c r="B43" s="35" t="str">
        <x:v>CYO-18</x:v>
      </x:c>
      <x:c r="C43" s="35" t="str">
        <x:v>Diseño curricular y cobertura educativa</x:v>
      </x:c>
      <x:c r="D43" s="35" t="str">
        <x:v>CYO-18-1</x:v>
      </x:c>
      <x:c r="E43" s="35" t="str">
        <x:v>CYO-18-1</x:v>
      </x:c>
      <x:c r="F43" s="35" t="str">
        <x:v>CYO-18-1</x:v>
      </x:c>
      <x:c r="G43" s="35" t="str">
        <x:v>Producto candidato; universo no constituido</x:v>
      </x:c>
      <x:c r="H43" s="35" t="str">
        <x:v>Resultados de aprendizaje, secuencia y cobertura del plan.</x:v>
      </x:c>
      <x:c r="I43" s="35" t="str">
        <x:v>R040; II/IV/VII.A: integración y evaluación; NICE OG-WRL-003/004</x:v>
      </x:c>
    </x:row>
    <x:row r="44" ht="44" customHeight="1">
      <x:c r="A44" s="35" t="str">
        <x:v>CYO-19-P1</x:v>
      </x:c>
      <x:c r="B44" s="35" t="str">
        <x:v>CYO-19</x:v>
      </x:c>
      <x:c r="C44" s="35" t="str">
        <x:v>Diseño de un contraste científico</x:v>
      </x:c>
      <x:c r="D44" s="35" t="str">
        <x:v>CYO-19-1</x:v>
      </x:c>
      <x:c r="E44" s="35" t="str">
        <x:v>CYO-19-1</x:v>
      </x:c>
      <x:c r="F44" s="35" t="str">
        <x:v>CYO-19-1</x:v>
      </x:c>
      <x:c r="G44" s="35" t="str">
        <x:v>Producto candidato; universo no constituido</x:v>
      </x:c>
      <x:c r="H44" s="35" t="str">
        <x:v>Diseño del contraste e interpretación; amenazas a la validez.</x:v>
      </x:c>
      <x:c r="I44" s="35" t="str">
        <x:v>W016; Learning outcomes: método y lectura crítica; R040</x:v>
      </x:c>
    </x:row>
    <x:row r="45" ht="44" customHeight="1">
      <x:c r="A45" s="35" t="str">
        <x:v>CYO-19-P2</x:v>
      </x:c>
      <x:c r="B45" s="35" t="str">
        <x:v>CYO-19</x:v>
      </x:c>
      <x:c r="C45" s="35" t="str">
        <x:v>Evaluación e interpretación de resultados de investigación</x:v>
      </x:c>
      <x:c r="D45" s="35" t="str">
        <x:v>CYO-19-1</x:v>
      </x:c>
      <x:c r="E45" s="35" t="str">
        <x:v>CYO-19-1</x:v>
      </x:c>
      <x:c r="F45" s="35" t="str">
        <x:v>CYO-19-2</x:v>
      </x:c>
      <x:c r="G45" s="35" t="str">
        <x:v>Producto candidato; universo no constituido</x:v>
      </x:c>
      <x:c r="H45" s="35" t="str">
        <x:v>Diseño del contraste e interpretación; amenazas a la validez.</x:v>
      </x:c>
      <x:c r="I45" s="35" t="str">
        <x:v>W016; Learning outcomes: método y lectura crítica; R040</x:v>
      </x:c>
    </x:row>
    <x:row r="46" ht="48" customHeight="1">
      <x:c r="A46" s="35" t="str">
        <x:v>CYO-20-P1</x:v>
      </x:c>
      <x:c r="B46" s="35" t="str">
        <x:v>CYO-20</x:v>
      </x:c>
      <x:c r="C46" s="35" t="str">
        <x:v>Investigación de un ciberdelito en el ámbito institucional competente</x:v>
      </x:c>
      <x:c r="D46" s="35" t="str">
        <x:v>Excluido</x:v>
      </x:c>
      <x:c r="E46" s="35" t="str">
        <x:v>Excluido</x:v>
      </x:c>
      <x:c r="F46" s="35" t="str">
        <x:v>CYO-20-1</x:v>
      </x:c>
      <x:c r="G46" s="35" t="str">
        <x:v>Producto candidato; universo no constituido</x:v>
      </x:c>
      <x:c r="H46" s="35" t="str">
        <x:v>Sólo el escenario amplio incorpora la frontera institucional todavía condicionada.</x:v>
      </x:c>
      <x:c r="I46" s="35" t="str">
        <x:v>R012; Ancla educativa jurídica; NICE IN-WRL-001 aporta el rol profesional</x:v>
      </x:c>
    </x:row>
    <x:row r="47" ht="44" customHeight="1">
      <x:c r="A47" s="35" t="str">
        <x:v>CYO-21-P1</x:v>
      </x:c>
      <x:c r="B47" s="35" t="str">
        <x:v>CYO-21</x:v>
      </x:c>
      <x:c r="C47" s="35" t="str">
        <x:v>Autorización institucional de puesta en operación de un sistema</x:v>
      </x:c>
      <x:c r="D47" s="35" t="str">
        <x:v>CYO-21-1</x:v>
      </x:c>
      <x:c r="E47" s="35" t="str">
        <x:v>CYO-21-1</x:v>
      </x:c>
      <x:c r="F47" s="35" t="str">
        <x:v>CYO-21-1</x:v>
      </x:c>
      <x:c r="G47" s="35" t="str">
        <x:v>Producto candidato; universo no constituido</x:v>
      </x:c>
      <x:c r="H47" s="35" t="str">
        <x:v>Evidencia de suficiencia y aceptación expresa por la autoridad.</x:v>
      </x:c>
      <x:c r="I47" s="35" t="str">
        <x:v>R037; IV: gobierno; NICE OG-WRL-013 distingue autoridad</x:v>
      </x:c>
    </x:row>
    <x:row r="48" ht="48" customHeight="1">
      <x:c r="A48" s="35" t="str">
        <x:v>CYO-22-P1</x:v>
      </x:c>
      <x:c r="B48" s="35" t="str">
        <x:v>CYO-22</x:v>
      </x:c>
      <x:c r="C48" s="35" t="str">
        <x:v>Evaluación del desempeño educativo y retroalimentación</x:v>
      </x:c>
      <x:c r="D48" s="35" t="str">
        <x:v>CYO-22-1</x:v>
      </x:c>
      <x:c r="E48" s="35" t="str">
        <x:v>CYO-22-1</x:v>
      </x:c>
      <x:c r="F48" s="35" t="str">
        <x:v>CYO-22-1</x:v>
      </x:c>
      <x:c r="G48" s="35" t="str">
        <x:v>Producto candidato; universo no constituido</x:v>
      </x:c>
      <x:c r="H48" s="35" t="str">
        <x:v>Desempeño observado y retroalimentación; no se duplica el diseño curricular.</x:v>
      </x:c>
      <x:c r="I48" s="35" t="str">
        <x:v>R038; II/IV/VII.A: proyecto formativo, tutores y memoria; M001</x:v>
      </x:c>
    </x:row>
    <x:row r="49" ht="48" customHeight="1">
      <x:c r="A49" s="35" t="str">
        <x:v>CYO-23-P1</x:v>
      </x:c>
      <x:c r="B49" s="35" t="str">
        <x:v>CYO-23</x:v>
      </x:c>
      <x:c r="C49" s="35" t="str">
        <x:v>Evaluación de robustez y seguridad de un sistema de IA</x:v>
      </x:c>
      <x:c r="D49" s="35" t="str">
        <x:v>CYO-23-1</x:v>
      </x:c>
      <x:c r="E49" s="35" t="str">
        <x:v>CYO-23-1</x:v>
      </x:c>
      <x:c r="F49" s="35" t="str">
        <x:v>CYO-23-1</x:v>
      </x:c>
      <x:c r="G49" s="35" t="str">
        <x:v>Producto candidato; universo no constituido</x:v>
      </x:c>
      <x:c r="H49" s="35" t="str">
        <x:v>Robustez y seguridad, datos y privacidad, validez y comportamiento por población.</x:v>
      </x:c>
      <x:c r="I49" s="35" t="str">
        <x:v>M002; CLO: extracción de características y evaluación; M003 robustez; M004 rendimiento</x:v>
      </x:c>
    </x:row>
    <x:row r="50" ht="48" customHeight="1">
      <x:c r="A50" s="35" t="str">
        <x:v>CYO-23-P2</x:v>
      </x:c>
      <x:c r="B50" s="35" t="str">
        <x:v>CYO-23</x:v>
      </x:c>
      <x:c r="C50" s="35" t="str">
        <x:v>Evaluación de privacidad de datos y aprendizaje</x:v>
      </x:c>
      <x:c r="D50" s="35" t="str">
        <x:v>CYO-23-1</x:v>
      </x:c>
      <x:c r="E50" s="35" t="str">
        <x:v>CYO-23-2</x:v>
      </x:c>
      <x:c r="F50" s="35" t="str">
        <x:v>CYO-23-2</x:v>
      </x:c>
      <x:c r="G50" s="35" t="str">
        <x:v>Producto candidato; universo no constituido</x:v>
      </x:c>
      <x:c r="H50" s="35" t="str">
        <x:v>Robustez y seguridad, datos y privacidad, validez y comportamiento por población.</x:v>
      </x:c>
      <x:c r="I50" s="35" t="str">
        <x:v>M002; CLO: extracción de características y evaluación; M003 robustez; M004 rendimiento</x:v>
      </x:c>
    </x:row>
    <x:row r="51" ht="48" customHeight="1">
      <x:c r="A51" s="35" t="str">
        <x:v>CYO-23-P3</x:v>
      </x:c>
      <x:c r="B51" s="35" t="str">
        <x:v>CYO-23</x:v>
      </x:c>
      <x:c r="C51" s="35" t="str">
        <x:v>Evaluación de validez, sesgo y comportamiento por población</x:v>
      </x:c>
      <x:c r="D51" s="35" t="str">
        <x:v>CYO-23-1</x:v>
      </x:c>
      <x:c r="E51" s="35" t="str">
        <x:v>CYO-23-2</x:v>
      </x:c>
      <x:c r="F51" s="35" t="str">
        <x:v>CYO-23-3</x:v>
      </x:c>
      <x:c r="G51" s="35" t="str">
        <x:v>Producto candidato; universo no constituido</x:v>
      </x:c>
      <x:c r="H51" s="35" t="str">
        <x:v>Robustez y seguridad, datos y privacidad, validez y comportamiento por población.</x:v>
      </x:c>
      <x:c r="I51" s="35" t="str">
        <x:v>M002; CLO: extracción de características y evaluación; M003 robustez; M004 rendimiento</x:v>
      </x:c>
    </x:row>
    <x:row r="52" ht="44" customHeight="1">
      <x:c r="A52" s="35" t="str">
        <x:v>CYO-24-P1</x:v>
      </x:c>
      <x:c r="B52" s="35" t="str">
        <x:v>CYO-24</x:v>
      </x:c>
      <x:c r="C52" s="35" t="str">
        <x:v>Contención de un incidente</x:v>
      </x:c>
      <x:c r="D52" s="35" t="str">
        <x:v>CYO-24-1</x:v>
      </x:c>
      <x:c r="E52" s="35" t="str">
        <x:v>CYO-24-1</x:v>
      </x:c>
      <x:c r="F52" s="35" t="str">
        <x:v>CYO-24-1</x:v>
      </x:c>
      <x:c r="G52" s="35" t="str">
        <x:v>Producto candidato; universo no constituido</x:v>
      </x:c>
      <x:c r="H52" s="35" t="str">
        <x:v>Contención y erradicación pueden necesitar universos separados.</x:v>
      </x:c>
      <x:c r="I52" s="35" t="str">
        <x:v>R033; IV: ciclo de respuesta y coordinación</x:v>
      </x:c>
    </x:row>
    <x:row r="53" ht="44" customHeight="1">
      <x:c r="A53" s="35" t="str">
        <x:v>CYO-24-P2</x:v>
      </x:c>
      <x:c r="B53" s="35" t="str">
        <x:v>CYO-24</x:v>
      </x:c>
      <x:c r="C53" s="35" t="str">
        <x:v>Erradicación y comprobación de su alcance</x:v>
      </x:c>
      <x:c r="D53" s="35" t="str">
        <x:v>CYO-24-1</x:v>
      </x:c>
      <x:c r="E53" s="35" t="str">
        <x:v>CYO-24-1</x:v>
      </x:c>
      <x:c r="F53" s="35" t="str">
        <x:v>CYO-24-2</x:v>
      </x:c>
      <x:c r="G53" s="35" t="str">
        <x:v>Producto candidato; universo no constituido</x:v>
      </x:c>
      <x:c r="H53" s="35" t="str">
        <x:v>Contención y erradicación pueden necesitar universos separados.</x:v>
      </x:c>
      <x:c r="I53" s="35" t="str">
        <x:v>R033; IV: ciclo de respuesta y coordinación</x:v>
      </x:c>
    </x:row>
    <x:row r="54" ht="44" customHeight="1">
      <x:c r="A54" s="35" t="str">
        <x:v>CYO-25-P1</x:v>
      </x:c>
      <x:c r="B54" s="35" t="str">
        <x:v>CYO-25</x:v>
      </x:c>
      <x:c r="C54" s="35" t="str">
        <x:v>Restauración de recursos y datos</x:v>
      </x:c>
      <x:c r="D54" s="35" t="str">
        <x:v>CYO-25-1</x:v>
      </x:c>
      <x:c r="E54" s="35" t="str">
        <x:v>CYO-25-1</x:v>
      </x:c>
      <x:c r="F54" s="35" t="str">
        <x:v>CYO-25-1</x:v>
      </x:c>
      <x:c r="G54" s="35" t="str">
        <x:v>Producto candidato; universo no constituido</x:v>
      </x:c>
      <x:c r="H54" s="35" t="str">
        <x:v>Restauración, integridad y reanudación se distinguen de la preparación.</x:v>
      </x:c>
      <x:c r="I54" s="35" t="str">
        <x:v>R033; IV: recuperación; R036 dependencias</x:v>
      </x:c>
    </x:row>
    <x:row r="55" ht="44" customHeight="1">
      <x:c r="A55" s="35" t="str">
        <x:v>CYO-25-P2</x:v>
      </x:c>
      <x:c r="B55" s="35" t="str">
        <x:v>CYO-25</x:v>
      </x:c>
      <x:c r="C55" s="35" t="str">
        <x:v>Reanudación comprobada del servicio</x:v>
      </x:c>
      <x:c r="D55" s="35" t="str">
        <x:v>CYO-25-1</x:v>
      </x:c>
      <x:c r="E55" s="35" t="str">
        <x:v>CYO-25-1</x:v>
      </x:c>
      <x:c r="F55" s="35" t="str">
        <x:v>CYO-25-2</x:v>
      </x:c>
      <x:c r="G55" s="35" t="str">
        <x:v>Producto candidato; universo no constituido</x:v>
      </x:c>
      <x:c r="H55" s="35" t="str">
        <x:v>Restauración, integridad y reanudación se distinguen de la preparación.</x:v>
      </x:c>
      <x:c r="I55" s="35" t="str">
        <x:v>R033; IV: recuperación; R036 dependencias</x:v>
      </x:c>
    </x:row>
    <x:row r="56" ht="48" customHeight="1">
      <x:c r="A56" s="35" t="str">
        <x:v>CYO-26-P1</x:v>
      </x:c>
      <x:c r="B56" s="35" t="str">
        <x:v>CYO-26</x:v>
      </x:c>
      <x:c r="C56" s="35" t="str">
        <x:v>OP-CYB-001: evidencia y legitimidad de corrección por actualización</x:v>
      </x:c>
      <x:c r="D56" s="35" t="str">
        <x:v>CYO-26-1</x:v>
      </x:c>
      <x:c r="E56" s="35" t="str">
        <x:v>CYO-26-1</x:v>
      </x:c>
      <x:c r="F56" s="35" t="str">
        <x:v>CYO-26-1</x:v>
      </x:c>
      <x:c r="G56" s="35" t="str">
        <x:v>Universo constituido documentalmente</x:v>
      </x:c>
      <x:c r="H56" s="35" t="str">
        <x:v>Incluye OP-CYB-001 ya constituido; además, priorización, tratamiento y excepciones según escenario.</x:v>
      </x:c>
      <x:c r="I56" s="35" t="str">
        <x:v>R035; IV: tratamiento; R034 hallazgos; NICE PD-WRL-007</x:v>
      </x:c>
    </x:row>
    <x:row r="57" ht="48" customHeight="1">
      <x:c r="A57" s="35" t="str">
        <x:v>CYO-26-P2</x:v>
      </x:c>
      <x:c r="B57" s="35" t="str">
        <x:v>CYO-26</x:v>
      </x:c>
      <x:c r="C57" s="35" t="str">
        <x:v>Priorización de vulnerabilidades</x:v>
      </x:c>
      <x:c r="D57" s="35" t="str">
        <x:v>CYO-26-2</x:v>
      </x:c>
      <x:c r="E57" s="35" t="str">
        <x:v>CYO-26-2</x:v>
      </x:c>
      <x:c r="F57" s="35" t="str">
        <x:v>CYO-26-2</x:v>
      </x:c>
      <x:c r="G57" s="35" t="str">
        <x:v>Producto candidato; universo no constituido</x:v>
      </x:c>
      <x:c r="H57" s="35" t="str">
        <x:v>Incluye OP-CYB-001 ya constituido; además, priorización, tratamiento y excepciones según escenario.</x:v>
      </x:c>
      <x:c r="I57" s="35" t="str">
        <x:v>R035; IV: tratamiento; R034 hallazgos; NICE PD-WRL-007</x:v>
      </x:c>
    </x:row>
    <x:row r="58" ht="48" customHeight="1">
      <x:c r="A58" s="35" t="str">
        <x:v>CYO-26-P3</x:v>
      </x:c>
      <x:c r="B58" s="35" t="str">
        <x:v>CYO-26</x:v>
      </x:c>
      <x:c r="C58" s="35" t="str">
        <x:v>Selección de tratamiento de una vulnerabilidad</x:v>
      </x:c>
      <x:c r="D58" s="35" t="str">
        <x:v>CYO-26-2</x:v>
      </x:c>
      <x:c r="E58" s="35" t="str">
        <x:v>CYO-26-3</x:v>
      </x:c>
      <x:c r="F58" s="35" t="str">
        <x:v>CYO-26-3</x:v>
      </x:c>
      <x:c r="G58" s="35" t="str">
        <x:v>Producto candidato; universo no constituido</x:v>
      </x:c>
      <x:c r="H58" s="35" t="str">
        <x:v>Incluye OP-CYB-001 ya constituido; además, priorización, tratamiento y excepciones según escenario.</x:v>
      </x:c>
      <x:c r="I58" s="35" t="str">
        <x:v>R035; IV: tratamiento; R034 hallazgos; NICE PD-WRL-007</x:v>
      </x:c>
    </x:row>
    <x:row r="59" ht="48" customHeight="1">
      <x:c r="A59" s="35" t="str">
        <x:v>CYO-26-P4</x:v>
      </x:c>
      <x:c r="B59" s="35" t="str">
        <x:v>CYO-26</x:v>
      </x:c>
      <x:c r="C59" s="35" t="str">
        <x:v>Gestión de excepción y reevaluación de una vulnerabilidad</x:v>
      </x:c>
      <x:c r="D59" s="35" t="str">
        <x:v>CYO-26-2</x:v>
      </x:c>
      <x:c r="E59" s="35" t="str">
        <x:v>CYO-26-3</x:v>
      </x:c>
      <x:c r="F59" s="35" t="str">
        <x:v>CYO-26-4</x:v>
      </x:c>
      <x:c r="G59" s="35" t="str">
        <x:v>Producto candidato; universo no constituido</x:v>
      </x:c>
      <x:c r="H59" s="35" t="str">
        <x:v>Incluye OP-CYB-001 ya constituido; además, priorización, tratamiento y excepciones según escenario.</x:v>
      </x:c>
      <x:c r="I59" s="35" t="str">
        <x:v>R035; IV: tratamiento; R034 hallazgos; NICE PD-WRL-007</x:v>
      </x:c>
    </x:row>
    <x:row r="60" ht="44" customHeight="1">
      <x:c r="A60" s="35" t="str">
        <x:v>CYO-27-P1</x:v>
      </x:c>
      <x:c r="B60" s="35" t="str">
        <x:v>CYO-27</x:v>
      </x:c>
      <x:c r="C60" s="35" t="str">
        <x:v>Evaluación de cobertura de hipótesis de detección</x:v>
      </x:c>
      <x:c r="D60" s="35" t="str">
        <x:v>CYO-27-1</x:v>
      </x:c>
      <x:c r="E60" s="35" t="str">
        <x:v>CYO-27-1</x:v>
      </x:c>
      <x:c r="F60" s="35" t="str">
        <x:v>CYO-27-1</x:v>
      </x:c>
      <x:c r="G60" s="35" t="str">
        <x:v>Producto candidato; universo no constituido</x:v>
      </x:c>
      <x:c r="H60" s="35" t="str">
        <x:v>Cobertura de hipótesis y validación de reglas; posible separación por finalidad.</x:v>
      </x:c>
      <x:c r="I60" s="35" t="str">
        <x:v>R033; IV: SIEM, correlación y detección; R029 red</x:v>
      </x:c>
    </x:row>
    <x:row r="61" ht="44" customHeight="1">
      <x:c r="A61" s="35" t="str">
        <x:v>CYO-27-P2</x:v>
      </x:c>
      <x:c r="B61" s="35" t="str">
        <x:v>CYO-27</x:v>
      </x:c>
      <x:c r="C61" s="35" t="str">
        <x:v>Validación de una regla de detección</x:v>
      </x:c>
      <x:c r="D61" s="35" t="str">
        <x:v>CYO-27-1</x:v>
      </x:c>
      <x:c r="E61" s="35" t="str">
        <x:v>CYO-27-1</x:v>
      </x:c>
      <x:c r="F61" s="35" t="str">
        <x:v>CYO-27-2</x:v>
      </x:c>
      <x:c r="G61" s="35" t="str">
        <x:v>Producto candidato; universo no constituido</x:v>
      </x:c>
      <x:c r="H61" s="35" t="str">
        <x:v>Cobertura de hipótesis y validación de reglas; posible separación por finalidad.</x:v>
      </x:c>
      <x:c r="I61" s="35" t="str">
        <x:v>R033; IV: SIEM, correlación y detección; R029 red</x:v>
      </x:c>
    </x:row>
    <x:row r="62" ht="44" customHeight="1">
      <x:c r="A62" s="35" t="str">
        <x:v>CYO-28-P1</x:v>
      </x:c>
      <x:c r="B62" s="35" t="str">
        <x:v>CYO-28</x:v>
      </x:c>
      <x:c r="C62" s="35" t="str">
        <x:v>Contraste de una hipótesis de búsqueda de amenazas</x:v>
      </x:c>
      <x:c r="D62" s="35" t="str">
        <x:v>CYO-28-1</x:v>
      </x:c>
      <x:c r="E62" s="35" t="str">
        <x:v>CYO-28-1</x:v>
      </x:c>
      <x:c r="F62" s="35" t="str">
        <x:v>CYO-28-1</x:v>
      </x:c>
      <x:c r="G62" s="35" t="str">
        <x:v>Producto candidato; universo no constituido</x:v>
      </x:c>
      <x:c r="H62" s="35" t="str">
        <x:v>Un producto de contraste de hipótesis, distinto de clasificar una alerta.</x:v>
      </x:c>
      <x:c r="I62" s="35" t="str">
        <x:v>R033; IV: tema 6 hunting; G009 contraste</x:v>
      </x:c>
    </x:row>
    <x:row r="63" ht="44" customHeight="1">
      <x:c r="A63" s="35" t="str">
        <x:v>CYO-29-P1</x:v>
      </x:c>
      <x:c r="B63" s="35" t="str">
        <x:v>CYO-29</x:v>
      </x:c>
      <x:c r="C63" s="35" t="str">
        <x:v>Constitución y revisión de política corporativa de IA</x:v>
      </x:c>
      <x:c r="D63" s="35" t="str">
        <x:v>CYO-29-1</x:v>
      </x:c>
      <x:c r="E63" s="35" t="str">
        <x:v>CYO-29-1</x:v>
      </x:c>
      <x:c r="F63" s="35" t="str">
        <x:v>CYO-29-1</x:v>
      </x:c>
      <x:c r="G63" s="35" t="str">
        <x:v>Producto candidato; universo no constituido</x:v>
      </x:c>
      <x:c r="H63" s="35" t="str">
        <x:v>Reglas de uso, excepciones y revisión de política; no aprobación de cada caso.</x:v>
      </x:c>
      <x:c r="I63" s="35" t="str">
        <x:v>R037; IV: gobierno; M003 ética; AN-02 especificidad IA</x:v>
      </x:c>
    </x:row>
  </x:sheetData>
  <x:mergeCells>
    <x:mergeCell ref="A1:D1"/>
    <x:mergeCell ref="A2:F2"/>
  </x:mergeCells>
  <x:pageMargins left="0.7" right="0.7" top="0.75" bottom="0.75" header="0.3" footer="0.3"/>
  <x:tableParts count="1">
    <x:tablePart xmlns:r="http://schemas.openxmlformats.org/officeDocument/2006/relationships" r:id="R31048eafb6e3400f"/>
  </x:tableParts>
</x:worksheet>
</file>

<file path=xl/worksheets/sheet78.xml><?xml version="1.0" encoding="utf-8"?>
<x:worksheet xmlns:x="http://schemas.openxmlformats.org/spreadsheetml/2006/main">
  <x:sheetPr>
    <x:tabColor rgb="FF6994AD"/>
  </x:sheetPr>
  <x:sheetViews>
    <x:sheetView showGridLines="0" workbookViewId="0">
      <x:pane xSplit="1" ySplit="4" topLeftCell="B5" activePane="bottomRight" state="frozen"/>
    </x:sheetView>
  </x:sheetViews>
  <x:sheetFormatPr defaultRowHeight="15"/>
  <x:cols>
    <x:col min="1" max="1" width="20" hidden="0" customWidth="1"/>
    <x:col min="2" max="2" width="48" hidden="0" customWidth="1"/>
    <x:col min="3" max="3" width="22" hidden="0" customWidth="1"/>
    <x:col min="4" max="4" width="22" hidden="0" customWidth="1"/>
    <x:col min="5" max="5" width="22" hidden="0" customWidth="1"/>
    <x:col min="6" max="6" width="24" hidden="0" customWidth="1"/>
    <x:col min="7" max="7" width="24" hidden="0" customWidth="1"/>
    <x:col min="8" max="8" width="24" hidden="0" customWidth="1"/>
    <x:col min="9" max="9" width="39" hidden="0" customWidth="1"/>
    <x:col min="10" max="10" width="17" hidden="0" customWidth="1"/>
    <x:col min="11" max="11" width="22" hidden="0" customWidth="1"/>
    <x:col min="12" max="12" width="22" hidden="0" customWidth="1"/>
    <x:col min="13" max="13" width="22" hidden="0" customWidth="1"/>
    <x:col min="14" max="14" width="102" hidden="0" customWidth="1"/>
    <x:col min="15" max="15" width="78" hidden="0" customWidth="1"/>
  </x:cols>
  <x:sheetData>
    <x:row r="1" ht="34" customHeight="1">
      <x:c r="A1" s="36" t="str">
        <x:v>Escenarios de planificación del dominio</x:v>
      </x:c>
      <x:c r="B1" s="35"/>
      <x:c r="C1" s="35"/>
      <x:c r="D1" s="35"/>
      <x:c r="E1" s="35"/>
      <x:c r="F1" s="35"/>
      <x:c r="G1" s="35"/>
      <x:c r="H1" s="35"/>
      <x:c r="I1" s="35"/>
      <x:c r="J1" s="35"/>
      <x:c r="K1" s="35"/>
      <x:c r="L1" s="35"/>
      <x:c r="M1" s="35"/>
      <x:c r="N1" s="35"/>
      <x:c r="O1" s="35"/>
    </x:row>
    <x:row r="2" ht="48" customHeight="1">
      <x:c r="A2" s="37" t="str">
        <x:v>Hipótesis editables en ámbar. El descuento de ocho identidades evita contarlas de nuevo en las incidencias pendientes.</x:v>
      </x:c>
      <x:c r="B2" s="35"/>
      <x:c r="C2" s="35"/>
      <x:c r="D2" s="35"/>
      <x:c r="E2" s="35"/>
      <x:c r="F2" s="35"/>
      <x:c r="G2" s="35"/>
      <x:c r="H2" s="35"/>
      <x:c r="I2" s="35"/>
      <x:c r="J2" s="35"/>
      <x:c r="K2" s="35"/>
      <x:c r="L2" s="35"/>
      <x:c r="M2" s="35"/>
      <x:c r="N2" s="35"/>
      <x:c r="O2" s="35"/>
    </x:row>
    <x:row r="3">
      <x:c r="A3" s="35"/>
      <x:c r="B3" s="35"/>
      <x:c r="C3" s="35"/>
      <x:c r="D3" s="35"/>
      <x:c r="E3" s="35"/>
      <x:c r="F3" s="35"/>
      <x:c r="G3" s="35"/>
      <x:c r="H3" s="35"/>
      <x:c r="I3" s="35"/>
      <x:c r="J3" s="35"/>
      <x:c r="K3" s="35"/>
      <x:c r="L3" s="35"/>
      <x:c r="M3" s="35"/>
      <x:c r="N3" s="35"/>
      <x:c r="O3" s="35"/>
    </x:row>
    <x:row r="4" ht="62" customHeight="1">
      <x:c r="A4" s="51" t="str">
        <x:v>Operación</x:v>
      </x:c>
      <x:c r="B4" s="51" t="str">
        <x:v>Familia profesional</x:v>
      </x:c>
      <x:c r="C4" s="51" t="str">
        <x:v>Universos compacto</x:v>
      </x:c>
      <x:c r="D4" s="51" t="str">
        <x:v>Universos central</x:v>
      </x:c>
      <x:c r="E4" s="51" t="str">
        <x:v>Universos amplio</x:v>
      </x:c>
      <x:c r="F4" s="51" t="str">
        <x:v>Presupuesto compacto anterior</x:v>
      </x:c>
      <x:c r="G4" s="51" t="str">
        <x:v>Presupuesto central anterior</x:v>
      </x:c>
      <x:c r="H4" s="51" t="str">
        <x:v>Presupuesto amplio anterior</x:v>
      </x:c>
      <x:c r="I4" s="51" t="str">
        <x:v>Identidades ya contadas</x:v>
      </x:c>
      <x:c r="J4" s="51" t="str">
        <x:v>Descuento</x:v>
      </x:c>
      <x:c r="K4" s="51" t="str">
        <x:v>Pendientes compacto</x:v>
      </x:c>
      <x:c r="L4" s="51" t="str">
        <x:v>Pendientes central</x:v>
      </x:c>
      <x:c r="M4" s="51" t="str">
        <x:v>Pendientes amplio</x:v>
      </x:c>
      <x:c r="N4" s="51" t="str">
        <x:v>Razón de separación</x:v>
      </x:c>
      <x:c r="O4" s="51" t="str">
        <x:v>Referencia educativa</x:v>
      </x:c>
    </x:row>
    <x:row r="5" ht="44" customHeight="1">
      <x:c r="A5" s="35" t="str">
        <x:v>CYO-01</x:v>
      </x:c>
      <x:c r="B5" s="35" t="str">
        <x:v>Riesgo y tratamiento</x:v>
      </x:c>
      <x:c r="C5" s="52" t="n">
        <x:v>1</x:v>
      </x:c>
      <x:c r="D5" s="52" t="n">
        <x:v>1</x:v>
      </x:c>
      <x:c r="E5" s="52" t="n">
        <x:v>2</x:v>
      </x:c>
      <x:c r="F5" s="52" t="n">
        <x:v>16</x:v>
      </x:c>
      <x:c r="G5" s="52" t="n">
        <x:v>24</x:v>
      </x:c>
      <x:c r="H5" s="52" t="n">
        <x:v>40</x:v>
      </x:c>
      <x:c r="I5" s="35" t="str"/>
      <x:c r="J5" s="40" t="n">
        <x:v>0</x:v>
      </x:c>
      <x:c r="K5" s="40" t="n">
        <x:f>F5-J5</x:f>
        <x:v>16</x:v>
      </x:c>
      <x:c r="L5" s="40" t="n">
        <x:f>G5-J5</x:f>
        <x:v>24</x:v>
      </x:c>
      <x:c r="M5" s="40" t="n">
        <x:f>H5-J5</x:f>
        <x:v>40</x:v>
      </x:c>
      <x:c r="N5" s="35" t="str">
        <x:v>Separación eventual entre valoración del riesgo y selección del tratamiento.</x:v>
      </x:c>
      <x:c r="O5" s="35" t="str">
        <x:v>R035; IV: métodos, calibración, tratamiento y comunicación</x:v>
      </x:c>
    </x:row>
    <x:row r="6" ht="48" customHeight="1">
      <x:c r="A6" s="35" t="str">
        <x:v>CYO-02</x:v>
      </x:c>
      <x:c r="B6" s="35" t="str">
        <x:v>Arquitectura segura</x:v>
      </x:c>
      <x:c r="C6" s="52" t="n">
        <x:v>1</x:v>
      </x:c>
      <x:c r="D6" s="52" t="n">
        <x:v>2</x:v>
      </x:c>
      <x:c r="E6" s="52" t="n">
        <x:v>3</x:v>
      </x:c>
      <x:c r="F6" s="52" t="n">
        <x:v>20</x:v>
      </x:c>
      <x:c r="G6" s="52" t="n">
        <x:v>32</x:v>
      </x:c>
      <x:c r="H6" s="52" t="n">
        <x:v>52</x:v>
      </x:c>
      <x:c r="I6" s="35" t="str"/>
      <x:c r="J6" s="40" t="n">
        <x:v>0</x:v>
      </x:c>
      <x:c r="K6" s="40" t="n">
        <x:f>F6-J6</x:f>
        <x:v>20</x:v>
      </x:c>
      <x:c r="L6" s="40" t="n">
        <x:f>G6-J6</x:f>
        <x:v>32</x:v>
      </x:c>
      <x:c r="M6" s="40" t="n">
        <x:f>H6-J6</x:f>
        <x:v>52</x:v>
      </x:c>
      <x:c r="N6" s="35" t="str">
        <x:v>Fronteras de confianza, aislamiento e integración pueden requerir productos distintos.</x:v>
      </x:c>
      <x:c r="O6" s="35" t="str">
        <x:v>R019; IV: seguridad de redes; complemento R029 redes/nube</x:v>
      </x:c>
    </x:row>
    <x:row r="7" ht="48" customHeight="1">
      <x:c r="A7" s="35" t="str">
        <x:v>CYO-03</x:v>
      </x:c>
      <x:c r="B7" s="35" t="str">
        <x:v>Acceso y privilegios</x:v>
      </x:c>
      <x:c r="C7" s="52" t="n">
        <x:v>1</x:v>
      </x:c>
      <x:c r="D7" s="52" t="n">
        <x:v>1</x:v>
      </x:c>
      <x:c r="E7" s="52" t="n">
        <x:v>2</x:v>
      </x:c>
      <x:c r="F7" s="52" t="n">
        <x:v>14</x:v>
      </x:c>
      <x:c r="G7" s="52" t="n">
        <x:v>22</x:v>
      </x:c>
      <x:c r="H7" s="52" t="n">
        <x:v>36</x:v>
      </x:c>
      <x:c r="I7" s="35" t="str">
        <x:v>P25, P27, P28, P29, P31</x:v>
      </x:c>
      <x:c r="J7" s="40" t="n">
        <x:v>5</x:v>
      </x:c>
      <x:c r="K7" s="40" t="n">
        <x:f>F7-J7</x:f>
        <x:v>9</x:v>
      </x:c>
      <x:c r="L7" s="40" t="n">
        <x:f>G7-J7</x:f>
        <x:v>17</x:v>
      </x:c>
      <x:c r="M7" s="40" t="n">
        <x:f>H7-J7</x:f>
        <x:v>31</x:v>
      </x:c>
      <x:c r="N7" s="35" t="str">
        <x:v>Concesión, revisión y revocación; posible separación entre identidad y privilegio.</x:v>
      </x:c>
      <x:c r="O7" s="35" t="str">
        <x:v>R024; IV: acceso y seguridad de datos; contraste NICE T1548</x:v>
      </x:c>
    </x:row>
    <x:row r="8" ht="44" customHeight="1">
      <x:c r="A8" s="35" t="str">
        <x:v>CYO-04</x:v>
      </x:c>
      <x:c r="B8" s="35" t="str">
        <x:v>Evaluación técnica autorizada</x:v>
      </x:c>
      <x:c r="C8" s="52" t="n">
        <x:v>1</x:v>
      </x:c>
      <x:c r="D8" s="52" t="n">
        <x:v>2</x:v>
      </x:c>
      <x:c r="E8" s="52" t="n">
        <x:v>3</x:v>
      </x:c>
      <x:c r="F8" s="52" t="n">
        <x:v>18</x:v>
      </x:c>
      <x:c r="G8" s="52" t="n">
        <x:v>30</x:v>
      </x:c>
      <x:c r="H8" s="52" t="n">
        <x:v>48</x:v>
      </x:c>
      <x:c r="I8" s="35" t="str"/>
      <x:c r="J8" s="40" t="n">
        <x:v>0</x:v>
      </x:c>
      <x:c r="K8" s="40" t="n">
        <x:f>F8-J8</x:f>
        <x:v>18</x:v>
      </x:c>
      <x:c r="L8" s="40" t="n">
        <x:f>G8-J8</x:f>
        <x:v>30</x:v>
      </x:c>
      <x:c r="M8" s="40" t="n">
        <x:f>H8-J8</x:f>
        <x:v>48</x:v>
      </x:c>
      <x:c r="N8" s="35" t="str">
        <x:v>Configuración, aplicación y red presentan objetos y criterios diferentes.</x:v>
      </x:c>
      <x:c r="O8" s="35" t="str">
        <x:v>R034; IV: alcance, fases y pruebas; R015 como base</x:v>
      </x:c>
    </x:row>
    <x:row r="9" ht="48" customHeight="1">
      <x:c r="A9" s="35" t="str">
        <x:v>CYO-05</x:v>
      </x:c>
      <x:c r="B9" s="35" t="str">
        <x:v>Entrega segura de software</x:v>
      </x:c>
      <x:c r="C9" s="52" t="n">
        <x:v>1</x:v>
      </x:c>
      <x:c r="D9" s="52" t="n">
        <x:v>2</x:v>
      </x:c>
      <x:c r="E9" s="52" t="n">
        <x:v>3</x:v>
      </x:c>
      <x:c r="F9" s="52" t="n">
        <x:v>20</x:v>
      </x:c>
      <x:c r="G9" s="52" t="n">
        <x:v>32</x:v>
      </x:c>
      <x:c r="H9" s="52" t="n">
        <x:v>50</x:v>
      </x:c>
      <x:c r="I9" s="35" t="str"/>
      <x:c r="J9" s="40" t="n">
        <x:v>0</x:v>
      </x:c>
      <x:c r="K9" s="40" t="n">
        <x:f>F9-J9</x:f>
        <x:v>20</x:v>
      </x:c>
      <x:c r="L9" s="40" t="n">
        <x:f>G9-J9</x:f>
        <x:v>32</x:v>
      </x:c>
      <x:c r="M9" s="40" t="n">
        <x:f>H9-J9</x:f>
        <x:v>50</x:v>
      </x:c>
      <x:c r="N9" s="35" t="str">
        <x:v>Construcción, dependencia y liberación; estados de procedencia y verificación propios.</x:v>
      </x:c>
      <x:c r="O9" s="35" t="str">
        <x:v>R028; IV: desarrollo y análisis seguro; R023 ingeniería</x:v>
      </x:c>
    </x:row>
    <x:row r="10" ht="48" customHeight="1">
      <x:c r="A10" s="35" t="str">
        <x:v>CYO-06</x:v>
      </x:c>
      <x:c r="B10" s="35" t="str">
        <x:v>Proveedor y dependencia</x:v>
      </x:c>
      <x:c r="C10" s="52" t="n">
        <x:v>1</x:v>
      </x:c>
      <x:c r="D10" s="52" t="n">
        <x:v>1</x:v>
      </x:c>
      <x:c r="E10" s="52" t="n">
        <x:v>2</x:v>
      </x:c>
      <x:c r="F10" s="52" t="n">
        <x:v>10</x:v>
      </x:c>
      <x:c r="G10" s="52" t="n">
        <x:v>18</x:v>
      </x:c>
      <x:c r="H10" s="52" t="n">
        <x:v>30</x:v>
      </x:c>
      <x:c r="I10" s="35" t="str"/>
      <x:c r="J10" s="40" t="n">
        <x:v>0</x:v>
      </x:c>
      <x:c r="K10" s="40" t="n">
        <x:f>F10-J10</x:f>
        <x:v>10</x:v>
      </x:c>
      <x:c r="L10" s="40" t="n">
        <x:f>G10-J10</x:f>
        <x:v>18</x:v>
      </x:c>
      <x:c r="M10" s="40" t="n">
        <x:f>H10-J10</x:f>
        <x:v>30</x:v>
      </x:c>
      <x:c r="N10" s="35" t="str">
        <x:v>Evaluación inicial y seguimiento contractual pueden separarse.</x:v>
      </x:c>
      <x:c r="O10" s="35" t="str">
        <x:v>R035; IV: transferencia y tratamiento; NICE OG-WRL-017 como contraste</x:v>
      </x:c>
    </x:row>
    <x:row r="11" ht="44" customHeight="1">
      <x:c r="A11" s="35" t="str">
        <x:v>CYO-07</x:v>
      </x:c>
      <x:c r="B11" s="35" t="str">
        <x:v>Clasificación de alertas</x:v>
      </x:c>
      <x:c r="C11" s="52" t="n">
        <x:v>1</x:v>
      </x:c>
      <x:c r="D11" s="52" t="n">
        <x:v>1</x:v>
      </x:c>
      <x:c r="E11" s="52" t="n">
        <x:v>1</x:v>
      </x:c>
      <x:c r="F11" s="52" t="n">
        <x:v>12</x:v>
      </x:c>
      <x:c r="G11" s="52" t="n">
        <x:v>18</x:v>
      </x:c>
      <x:c r="H11" s="52" t="n">
        <x:v>28</x:v>
      </x:c>
      <x:c r="I11" s="35" t="str"/>
      <x:c r="J11" s="40" t="n">
        <x:v>0</x:v>
      </x:c>
      <x:c r="K11" s="40" t="n">
        <x:f>F11-J11</x:f>
        <x:v>12</x:v>
      </x:c>
      <x:c r="L11" s="40" t="n">
        <x:f>G11-J11</x:f>
        <x:v>18</x:v>
      </x:c>
      <x:c r="M11" s="40" t="n">
        <x:f>H11-J11</x:f>
        <x:v>28</x:v>
      </x:c>
      <x:c r="N11" s="35" t="str">
        <x:v>Un producto de clasificación, con evidencia, contexto y errores diferenciados.</x:v>
      </x:c>
      <x:c r="O11" s="35" t="str">
        <x:v>R033; IV: SOC, correlación y gestión de incidentes</x:v>
      </x:c>
    </x:row>
    <x:row r="12" ht="44" customHeight="1">
      <x:c r="A12" s="35" t="str">
        <x:v>CYO-08</x:v>
      </x:c>
      <x:c r="B12" s="35" t="str">
        <x:v>Inteligencia de amenazas</x:v>
      </x:c>
      <x:c r="C12" s="52" t="n">
        <x:v>1</x:v>
      </x:c>
      <x:c r="D12" s="52" t="n">
        <x:v>1</x:v>
      </x:c>
      <x:c r="E12" s="52" t="n">
        <x:v>2</x:v>
      </x:c>
      <x:c r="F12" s="52" t="n">
        <x:v>12</x:v>
      </x:c>
      <x:c r="G12" s="52" t="n">
        <x:v>20</x:v>
      </x:c>
      <x:c r="H12" s="52" t="n">
        <x:v>32</x:v>
      </x:c>
      <x:c r="I12" s="35" t="str"/>
      <x:c r="J12" s="40" t="n">
        <x:v>0</x:v>
      </x:c>
      <x:c r="K12" s="40" t="n">
        <x:f>F12-J12</x:f>
        <x:v>12</x:v>
      </x:c>
      <x:c r="L12" s="40" t="n">
        <x:f>G12-J12</x:f>
        <x:v>20</x:v>
      </x:c>
      <x:c r="M12" s="40" t="n">
        <x:f>H12-J12</x:f>
        <x:v>32</x:v>
      </x:c>
      <x:c r="N12" s="35" t="str">
        <x:v>Producción analítica y aplicabilidad operativa de información recibida.</x:v>
      </x:c>
      <x:c r="O12" s="35" t="str">
        <x:v>R033; IV: inteligencia de amenazas</x:v>
      </x:c>
    </x:row>
    <x:row r="13" ht="44" customHeight="1">
      <x:c r="A13" s="35" t="str">
        <x:v>CYO-09</x:v>
      </x:c>
      <x:c r="B13" s="35" t="str">
        <x:v>Plan de respuesta</x:v>
      </x:c>
      <x:c r="C13" s="52" t="n">
        <x:v>1</x:v>
      </x:c>
      <x:c r="D13" s="52" t="n">
        <x:v>1</x:v>
      </x:c>
      <x:c r="E13" s="52" t="n">
        <x:v>1</x:v>
      </x:c>
      <x:c r="F13" s="52" t="n">
        <x:v>8</x:v>
      </x:c>
      <x:c r="G13" s="52" t="n">
        <x:v>14</x:v>
      </x:c>
      <x:c r="H13" s="52" t="n">
        <x:v>24</x:v>
      </x:c>
      <x:c r="I13" s="35" t="str"/>
      <x:c r="J13" s="40" t="n">
        <x:v>0</x:v>
      </x:c>
      <x:c r="K13" s="40" t="n">
        <x:f>F13-J13</x:f>
        <x:v>8</x:v>
      </x:c>
      <x:c r="L13" s="40" t="n">
        <x:f>G13-J13</x:f>
        <x:v>14</x:v>
      </x:c>
      <x:c r="M13" s="40" t="n">
        <x:f>H13-J13</x:f>
        <x:v>24</x:v>
      </x:c>
      <x:c r="N13" s="35" t="str">
        <x:v>Preparación y decisión del plan, separadas de la respuesta efectiva.</x:v>
      </x:c>
      <x:c r="O13" s="35" t="str">
        <x:v>R033; IV: respuesta; R035 balance de tratamiento</x:v>
      </x:c>
    </x:row>
    <x:row r="14" ht="44" customHeight="1">
      <x:c r="A14" s="35" t="str">
        <x:v>CYO-10</x:v>
      </x:c>
      <x:c r="B14" s="35" t="str">
        <x:v>Análisis forense</x:v>
      </x:c>
      <x:c r="C14" s="52" t="n">
        <x:v>1</x:v>
      </x:c>
      <x:c r="D14" s="52" t="n">
        <x:v>2</x:v>
      </x:c>
      <x:c r="E14" s="52" t="n">
        <x:v>3</x:v>
      </x:c>
      <x:c r="F14" s="52" t="n">
        <x:v>18</x:v>
      </x:c>
      <x:c r="G14" s="52" t="n">
        <x:v>30</x:v>
      </x:c>
      <x:c r="H14" s="52" t="n">
        <x:v>48</x:v>
      </x:c>
      <x:c r="I14" s="35" t="str"/>
      <x:c r="J14" s="40" t="n">
        <x:v>0</x:v>
      </x:c>
      <x:c r="K14" s="40" t="n">
        <x:f>F14-J14</x:f>
        <x:v>18</x:v>
      </x:c>
      <x:c r="L14" s="40" t="n">
        <x:f>G14-J14</x:f>
        <x:v>30</x:v>
      </x:c>
      <x:c r="M14" s="40" t="n">
        <x:f>H14-J14</x:f>
        <x:v>48</x:v>
      </x:c>
      <x:c r="N14" s="35" t="str">
        <x:v>Adquisición, reconstrucción e interpretación pueden exigir productos diferentes.</x:v>
      </x:c>
      <x:c r="O14" s="35" t="str">
        <x:v>R033; IV: DFIR y cadena de custodia</x:v>
      </x:c>
    </x:row>
    <x:row r="15" ht="44" customHeight="1">
      <x:c r="A15" s="35" t="str">
        <x:v>CYO-11</x:v>
      </x:c>
      <x:c r="B15" s="35" t="str">
        <x:v>Preparación de recuperación</x:v>
      </x:c>
      <x:c r="C15" s="52" t="n">
        <x:v>1</x:v>
      </x:c>
      <x:c r="D15" s="52" t="n">
        <x:v>1</x:v>
      </x:c>
      <x:c r="E15" s="52" t="n">
        <x:v>2</x:v>
      </x:c>
      <x:c r="F15" s="52" t="n">
        <x:v>12</x:v>
      </x:c>
      <x:c r="G15" s="52" t="n">
        <x:v>20</x:v>
      </x:c>
      <x:c r="H15" s="52" t="n">
        <x:v>32</x:v>
      </x:c>
      <x:c r="I15" s="35" t="str"/>
      <x:c r="J15" s="40" t="n">
        <x:v>0</x:v>
      </x:c>
      <x:c r="K15" s="40" t="n">
        <x:f>F15-J15</x:f>
        <x:v>12</x:v>
      </x:c>
      <x:c r="L15" s="40" t="n">
        <x:f>G15-J15</x:f>
        <x:v>20</x:v>
      </x:c>
      <x:c r="M15" s="40" t="n">
        <x:f>H15-J15</x:f>
        <x:v>32</x:v>
      </x:c>
      <x:c r="N15" s="35" t="str">
        <x:v>Preparación y prueba del plan; no se cuenta la restauración efectiva aquí.</x:v>
      </x:c>
      <x:c r="O15" s="35" t="str">
        <x:v>R033; IV: BCP/DRP, RPO y RTO</x:v>
      </x:c>
    </x:row>
    <x:row r="16" ht="48" customHeight="1">
      <x:c r="A16" s="35" t="str">
        <x:v>CYO-12</x:v>
      </x:c>
      <x:c r="B16" s="35" t="str">
        <x:v>Cambio y mantenimiento</x:v>
      </x:c>
      <x:c r="C16" s="52" t="n">
        <x:v>1</x:v>
      </x:c>
      <x:c r="D16" s="52" t="n">
        <x:v>1</x:v>
      </x:c>
      <x:c r="E16" s="52" t="n">
        <x:v>2</x:v>
      </x:c>
      <x:c r="F16" s="52" t="n">
        <x:v>6</x:v>
      </x:c>
      <x:c r="G16" s="52" t="n">
        <x:v>10</x:v>
      </x:c>
      <x:c r="H16" s="52" t="n">
        <x:v>18</x:v>
      </x:c>
      <x:c r="I16" s="35" t="str">
        <x:v>P32</x:v>
      </x:c>
      <x:c r="J16" s="40" t="n">
        <x:v>1</x:v>
      </x:c>
      <x:c r="K16" s="40" t="n">
        <x:f>F16-J16</x:f>
        <x:v>5</x:v>
      </x:c>
      <x:c r="L16" s="40" t="n">
        <x:f>G16-J16</x:f>
        <x:v>9</x:v>
      </x:c>
      <x:c r="M16" s="40" t="n">
        <x:f>H16-J16</x:f>
        <x:v>17</x:v>
      </x:c>
      <x:c r="N16" s="35" t="str">
        <x:v>Diseño y autorización del cambio; se descuenta el cierre por actualización ya constituido.</x:v>
      </x:c>
      <x:c r="O16" s="35" t="str">
        <x:v>R025; IV: sistemas operativos; R019 configuración segura</x:v>
      </x:c>
    </x:row>
    <x:row r="17" ht="44" customHeight="1">
      <x:c r="A17" s="35" t="str">
        <x:v>CYO-13</x:v>
      </x:c>
      <x:c r="B17" s="35" t="str">
        <x:v>Protección criptográfica</x:v>
      </x:c>
      <x:c r="C17" s="52" t="n">
        <x:v>1</x:v>
      </x:c>
      <x:c r="D17" s="52" t="n">
        <x:v>2</x:v>
      </x:c>
      <x:c r="E17" s="52" t="n">
        <x:v>3</x:v>
      </x:c>
      <x:c r="F17" s="52" t="n">
        <x:v>18</x:v>
      </x:c>
      <x:c r="G17" s="52" t="n">
        <x:v>28</x:v>
      </x:c>
      <x:c r="H17" s="52" t="n">
        <x:v>44</x:v>
      </x:c>
      <x:c r="I17" s="35" t="str"/>
      <x:c r="J17" s="40" t="n">
        <x:v>0</x:v>
      </x:c>
      <x:c r="K17" s="40" t="n">
        <x:f>F17-J17</x:f>
        <x:v>18</x:v>
      </x:c>
      <x:c r="L17" s="40" t="n">
        <x:f>G17-J17</x:f>
        <x:v>28</x:v>
      </x:c>
      <x:c r="M17" s="40" t="n">
        <x:f>H17-J17</x:f>
        <x:v>44</x:v>
      </x:c>
      <x:c r="N17" s="35" t="str">
        <x:v>Selección y empleo, claves y validación de protocolos pueden separarse.</x:v>
      </x:c>
      <x:c r="O17" s="35" t="str">
        <x:v>R007; IV: cifrado, autenticación, hash y firma</x:v>
      </x:c>
    </x:row>
    <x:row r="18" ht="44" customHeight="1">
      <x:c r="A18" s="35" t="str">
        <x:v>CYO-14</x:v>
      </x:c>
      <x:c r="B18" s="35" t="str">
        <x:v>Seguridad de sistemas ciberfísicos</x:v>
      </x:c>
      <x:c r="C18" s="52" t="n">
        <x:v>1</x:v>
      </x:c>
      <x:c r="D18" s="52" t="n">
        <x:v>2</x:v>
      </x:c>
      <x:c r="E18" s="52" t="n">
        <x:v>3</x:v>
      </x:c>
      <x:c r="F18" s="52" t="n">
        <x:v>22</x:v>
      </x:c>
      <x:c r="G18" s="52" t="n">
        <x:v>36</x:v>
      </x:c>
      <x:c r="H18" s="52" t="n">
        <x:v>58</x:v>
      </x:c>
      <x:c r="I18" s="35" t="str"/>
      <x:c r="J18" s="40" t="n">
        <x:v>0</x:v>
      </x:c>
      <x:c r="K18" s="40" t="n">
        <x:f>F18-J18</x:f>
        <x:v>22</x:v>
      </x:c>
      <x:c r="L18" s="40" t="n">
        <x:f>G18-J18</x:f>
        <x:v>36</x:v>
      </x:c>
      <x:c r="M18" s="40" t="n">
        <x:f>H18-J18</x:f>
        <x:v>58</x:v>
      </x:c>
      <x:c r="N18" s="35" t="str">
        <x:v>Proceso físico, protección y mantenimiento; no extrapolación directa de IT.</x:v>
      </x:c>
      <x:c r="O18" s="35" t="str">
        <x:v>R036; IV: infraestructuras e interdependencias</x:v>
      </x:c>
    </x:row>
    <x:row r="19" ht="44" customHeight="1">
      <x:c r="A19" s="35" t="str">
        <x:v>CYO-15</x:v>
      </x:c>
      <x:c r="B19" s="35" t="str">
        <x:v>Admisibilidad de un uso de IA</x:v>
      </x:c>
      <x:c r="C19" s="52" t="n">
        <x:v>1</x:v>
      </x:c>
      <x:c r="D19" s="52" t="n">
        <x:v>1</x:v>
      </x:c>
      <x:c r="E19" s="52" t="n">
        <x:v>1</x:v>
      </x:c>
      <x:c r="F19" s="52" t="n">
        <x:v>8</x:v>
      </x:c>
      <x:c r="G19" s="52" t="n">
        <x:v>14</x:v>
      </x:c>
      <x:c r="H19" s="52" t="n">
        <x:v>24</x:v>
      </x:c>
      <x:c r="I19" s="35" t="str"/>
      <x:c r="J19" s="40" t="n">
        <x:v>0</x:v>
      </x:c>
      <x:c r="K19" s="40" t="n">
        <x:f>F19-J19</x:f>
        <x:v>8</x:v>
      </x:c>
      <x:c r="L19" s="40" t="n">
        <x:f>G19-J19</x:f>
        <x:v>14</x:v>
      </x:c>
      <x:c r="M19" s="40" t="n">
        <x:f>H19-J19</x:f>
        <x:v>24</x:v>
      </x:c>
      <x:c r="N19" s="35" t="str">
        <x:v>Decisión sobre un uso concreto, diferenciada de la política general.</x:v>
      </x:c>
      <x:c r="O19" s="35" t="str">
        <x:v>M003; CLO: confianza, ética y evaluación; R037 gobierno</x:v>
      </x:c>
    </x:row>
    <x:row r="20" ht="44" customHeight="1">
      <x:c r="A20" s="35" t="str">
        <x:v>CYO-16</x:v>
      </x:c>
      <x:c r="B20" s="35" t="str">
        <x:v>Auditoría de controles</x:v>
      </x:c>
      <x:c r="C20" s="52" t="n">
        <x:v>1</x:v>
      </x:c>
      <x:c r="D20" s="52" t="n">
        <x:v>1</x:v>
      </x:c>
      <x:c r="E20" s="52" t="n">
        <x:v>2</x:v>
      </x:c>
      <x:c r="F20" s="52" t="n">
        <x:v>10</x:v>
      </x:c>
      <x:c r="G20" s="52" t="n">
        <x:v>16</x:v>
      </x:c>
      <x:c r="H20" s="52" t="n">
        <x:v>26</x:v>
      </x:c>
      <x:c r="I20" s="35" t="str"/>
      <x:c r="J20" s="40" t="n">
        <x:v>0</x:v>
      </x:c>
      <x:c r="K20" s="40" t="n">
        <x:f>F20-J20</x:f>
        <x:v>10</x:v>
      </x:c>
      <x:c r="L20" s="40" t="n">
        <x:f>G20-J20</x:f>
        <x:v>16</x:v>
      </x:c>
      <x:c r="M20" s="40" t="n">
        <x:f>H20-J20</x:f>
        <x:v>26</x:v>
      </x:c>
      <x:c r="N20" s="35" t="str">
        <x:v>Diseño y funcionamiento del control pueden dar productos diferentes.</x:v>
      </x:c>
      <x:c r="O20" s="35" t="str">
        <x:v>R032; II/IV: auditoría y evidencia</x:v>
      </x:c>
    </x:row>
    <x:row r="21" ht="48" customHeight="1">
      <x:c r="A21" s="35" t="str">
        <x:v>CYO-17</x:v>
      </x:c>
      <x:c r="B21" s="35" t="str">
        <x:v>Privacidad y obligaciones</x:v>
      </x:c>
      <x:c r="C21" s="52" t="n">
        <x:v>1</x:v>
      </x:c>
      <x:c r="D21" s="52" t="n">
        <x:v>2</x:v>
      </x:c>
      <x:c r="E21" s="52" t="n">
        <x:v>3</x:v>
      </x:c>
      <x:c r="F21" s="52" t="n">
        <x:v>12</x:v>
      </x:c>
      <x:c r="G21" s="52" t="n">
        <x:v>22</x:v>
      </x:c>
      <x:c r="H21" s="52" t="n">
        <x:v>38</x:v>
      </x:c>
      <x:c r="I21" s="35" t="str"/>
      <x:c r="J21" s="40" t="n">
        <x:v>0</x:v>
      </x:c>
      <x:c r="K21" s="40" t="n">
        <x:f>F21-J21</x:f>
        <x:v>12</x:v>
      </x:c>
      <x:c r="L21" s="40" t="n">
        <x:f>G21-J21</x:f>
        <x:v>22</x:v>
      </x:c>
      <x:c r="M21" s="40" t="n">
        <x:f>H21-J21</x:f>
        <x:v>38</x:v>
      </x:c>
      <x:c r="N21" s="35" t="str">
        <x:v>Tratamiento de datos, derechos y obligaciones según jurisdicción y función.</x:v>
      </x:c>
      <x:c r="O21" s="35" t="str">
        <x:v>R012; IV: derecho; textos vigentes concretos requieren examen propio</x:v>
      </x:c>
    </x:row>
    <x:row r="22" ht="48" customHeight="1">
      <x:c r="A22" s="35" t="str">
        <x:v>CYO-18</x:v>
      </x:c>
      <x:c r="B22" s="35" t="str">
        <x:v>Diseño curricular</x:v>
      </x:c>
      <x:c r="C22" s="52" t="n">
        <x:v>1</x:v>
      </x:c>
      <x:c r="D22" s="52" t="n">
        <x:v>1</x:v>
      </x:c>
      <x:c r="E22" s="52" t="n">
        <x:v>1</x:v>
      </x:c>
      <x:c r="F22" s="52" t="n">
        <x:v>8</x:v>
      </x:c>
      <x:c r="G22" s="52" t="n">
        <x:v>14</x:v>
      </x:c>
      <x:c r="H22" s="52" t="n">
        <x:v>24</x:v>
      </x:c>
      <x:c r="I22" s="35" t="str"/>
      <x:c r="J22" s="40" t="n">
        <x:v>0</x:v>
      </x:c>
      <x:c r="K22" s="40" t="n">
        <x:f>F22-J22</x:f>
        <x:v>8</x:v>
      </x:c>
      <x:c r="L22" s="40" t="n">
        <x:f>G22-J22</x:f>
        <x:v>14</x:v>
      </x:c>
      <x:c r="M22" s="40" t="n">
        <x:f>H22-J22</x:f>
        <x:v>24</x:v>
      </x:c>
      <x:c r="N22" s="35" t="str">
        <x:v>Resultados de aprendizaje, secuencia y cobertura del plan.</x:v>
      </x:c>
      <x:c r="O22" s="35" t="str">
        <x:v>R040; II/IV/VII.A: integración y evaluación; NICE OG-WRL-003/004</x:v>
      </x:c>
    </x:row>
    <x:row r="23" ht="44" customHeight="1">
      <x:c r="A23" s="35" t="str">
        <x:v>CYO-19</x:v>
      </x:c>
      <x:c r="B23" s="35" t="str">
        <x:v>Investigación</x:v>
      </x:c>
      <x:c r="C23" s="52" t="n">
        <x:v>1</x:v>
      </x:c>
      <x:c r="D23" s="52" t="n">
        <x:v>1</x:v>
      </x:c>
      <x:c r="E23" s="52" t="n">
        <x:v>2</x:v>
      </x:c>
      <x:c r="F23" s="52" t="n">
        <x:v>12</x:v>
      </x:c>
      <x:c r="G23" s="52" t="n">
        <x:v>20</x:v>
      </x:c>
      <x:c r="H23" s="52" t="n">
        <x:v>34</x:v>
      </x:c>
      <x:c r="I23" s="35" t="str"/>
      <x:c r="J23" s="40" t="n">
        <x:v>0</x:v>
      </x:c>
      <x:c r="K23" s="40" t="n">
        <x:f>F23-J23</x:f>
        <x:v>12</x:v>
      </x:c>
      <x:c r="L23" s="40" t="n">
        <x:f>G23-J23</x:f>
        <x:v>20</x:v>
      </x:c>
      <x:c r="M23" s="40" t="n">
        <x:f>H23-J23</x:f>
        <x:v>34</x:v>
      </x:c>
      <x:c r="N23" s="35" t="str">
        <x:v>Diseño del contraste e interpretación; amenazas a la validez.</x:v>
      </x:c>
      <x:c r="O23" s="35" t="str">
        <x:v>W016; Learning outcomes: método y lectura crítica; R040</x:v>
      </x:c>
    </x:row>
    <x:row r="24" ht="48" customHeight="1">
      <x:c r="A24" s="35" t="str">
        <x:v>CYO-20</x:v>
      </x:c>
      <x:c r="B24" s="35" t="str">
        <x:v>Investigación de ciberdelitos</x:v>
      </x:c>
      <x:c r="C24" s="52" t="n">
        <x:v>0</x:v>
      </x:c>
      <x:c r="D24" s="52" t="n">
        <x:v>0</x:v>
      </x:c>
      <x:c r="E24" s="52" t="n">
        <x:v>1</x:v>
      </x:c>
      <x:c r="F24" s="52" t="n">
        <x:v>0</x:v>
      </x:c>
      <x:c r="G24" s="52" t="n">
        <x:v>0</x:v>
      </x:c>
      <x:c r="H24" s="52" t="n">
        <x:v>28</x:v>
      </x:c>
      <x:c r="I24" s="35" t="str"/>
      <x:c r="J24" s="40" t="n">
        <x:v>0</x:v>
      </x:c>
      <x:c r="K24" s="40" t="n">
        <x:f>F24-J24</x:f>
        <x:v>0</x:v>
      </x:c>
      <x:c r="L24" s="40" t="n">
        <x:f>G24-J24</x:f>
        <x:v>0</x:v>
      </x:c>
      <x:c r="M24" s="40" t="n">
        <x:f>H24-J24</x:f>
        <x:v>28</x:v>
      </x:c>
      <x:c r="N24" s="35" t="str">
        <x:v>Sólo el escenario amplio incorpora la frontera institucional todavía condicionada.</x:v>
      </x:c>
      <x:c r="O24" s="35" t="str">
        <x:v>R012; Ancla educativa jurídica; NICE IN-WRL-001 aporta el rol profesional</x:v>
      </x:c>
    </x:row>
    <x:row r="25" ht="44" customHeight="1">
      <x:c r="A25" s="35" t="str">
        <x:v>CYO-21</x:v>
      </x:c>
      <x:c r="B25" s="35" t="str">
        <x:v>Autorización de operación</x:v>
      </x:c>
      <x:c r="C25" s="52" t="n">
        <x:v>1</x:v>
      </x:c>
      <x:c r="D25" s="52" t="n">
        <x:v>1</x:v>
      </x:c>
      <x:c r="E25" s="52" t="n">
        <x:v>1</x:v>
      </x:c>
      <x:c r="F25" s="52" t="n">
        <x:v>8</x:v>
      </x:c>
      <x:c r="G25" s="52" t="n">
        <x:v>14</x:v>
      </x:c>
      <x:c r="H25" s="52" t="n">
        <x:v>22</x:v>
      </x:c>
      <x:c r="I25" s="35" t="str">
        <x:v>P26, P30</x:v>
      </x:c>
      <x:c r="J25" s="40" t="n">
        <x:v>2</x:v>
      </x:c>
      <x:c r="K25" s="40" t="n">
        <x:f>F25-J25</x:f>
        <x:v>6</x:v>
      </x:c>
      <x:c r="L25" s="40" t="n">
        <x:f>G25-J25</x:f>
        <x:v>12</x:v>
      </x:c>
      <x:c r="M25" s="40" t="n">
        <x:f>H25-J25</x:f>
        <x:v>20</x:v>
      </x:c>
      <x:c r="N25" s="35" t="str">
        <x:v>Evidencia de suficiencia y aceptación expresa por la autoridad.</x:v>
      </x:c>
      <x:c r="O25" s="35" t="str">
        <x:v>R037; IV: gobierno; NICE OG-WRL-013 distingue autoridad</x:v>
      </x:c>
    </x:row>
    <x:row r="26" ht="44" customHeight="1">
      <x:c r="A26" s="35" t="str">
        <x:v>CYO-22</x:v>
      </x:c>
      <x:c r="B26" s="35" t="str">
        <x:v>Actividad educativa y evaluación</x:v>
      </x:c>
      <x:c r="C26" s="52" t="n">
        <x:v>1</x:v>
      </x:c>
      <x:c r="D26" s="52" t="n">
        <x:v>1</x:v>
      </x:c>
      <x:c r="E26" s="52" t="n">
        <x:v>1</x:v>
      </x:c>
      <x:c r="F26" s="52" t="n">
        <x:v>8</x:v>
      </x:c>
      <x:c r="G26" s="52" t="n">
        <x:v>12</x:v>
      </x:c>
      <x:c r="H26" s="52" t="n">
        <x:v>20</x:v>
      </x:c>
      <x:c r="I26" s="35" t="str"/>
      <x:c r="J26" s="40" t="n">
        <x:v>0</x:v>
      </x:c>
      <x:c r="K26" s="40" t="n">
        <x:f>F26-J26</x:f>
        <x:v>8</x:v>
      </x:c>
      <x:c r="L26" s="40" t="n">
        <x:f>G26-J26</x:f>
        <x:v>12</x:v>
      </x:c>
      <x:c r="M26" s="40" t="n">
        <x:f>H26-J26</x:f>
        <x:v>20</x:v>
      </x:c>
      <x:c r="N26" s="35" t="str">
        <x:v>Desempeño observado y retroalimentación; no se duplica el diseño curricular.</x:v>
      </x:c>
      <x:c r="O26" s="35" t="str">
        <x:v>R038; II/IV/VII.A: proyecto formativo, tutores y memoria; M001</x:v>
      </x:c>
    </x:row>
    <x:row r="27" ht="48" customHeight="1">
      <x:c r="A27" s="35" t="str">
        <x:v>CYO-23</x:v>
      </x:c>
      <x:c r="B27" s="35" t="str">
        <x:v>Evaluación técnica de IA</x:v>
      </x:c>
      <x:c r="C27" s="52" t="n">
        <x:v>1</x:v>
      </x:c>
      <x:c r="D27" s="52" t="n">
        <x:v>2</x:v>
      </x:c>
      <x:c r="E27" s="52" t="n">
        <x:v>3</x:v>
      </x:c>
      <x:c r="F27" s="52" t="n">
        <x:v>24</x:v>
      </x:c>
      <x:c r="G27" s="52" t="n">
        <x:v>40</x:v>
      </x:c>
      <x:c r="H27" s="52" t="n">
        <x:v>64</x:v>
      </x:c>
      <x:c r="I27" s="35" t="str"/>
      <x:c r="J27" s="40" t="n">
        <x:v>0</x:v>
      </x:c>
      <x:c r="K27" s="40" t="n">
        <x:f>F27-J27</x:f>
        <x:v>24</x:v>
      </x:c>
      <x:c r="L27" s="40" t="n">
        <x:f>G27-J27</x:f>
        <x:v>40</x:v>
      </x:c>
      <x:c r="M27" s="40" t="n">
        <x:f>H27-J27</x:f>
        <x:v>64</x:v>
      </x:c>
      <x:c r="N27" s="35" t="str">
        <x:v>Robustez y seguridad, datos y privacidad, validez y comportamiento por población.</x:v>
      </x:c>
      <x:c r="O27" s="35" t="str">
        <x:v>M002; CLO: extracción de características y evaluación; M003 robustez; M004 rendimiento</x:v>
      </x:c>
    </x:row>
    <x:row r="28" ht="44" customHeight="1">
      <x:c r="A28" s="35" t="str">
        <x:v>CYO-24</x:v>
      </x:c>
      <x:c r="B28" s="35" t="str">
        <x:v>Respuesta efectiva a incidentes</x:v>
      </x:c>
      <x:c r="C28" s="52" t="n">
        <x:v>1</x:v>
      </x:c>
      <x:c r="D28" s="52" t="n">
        <x:v>1</x:v>
      </x:c>
      <x:c r="E28" s="52" t="n">
        <x:v>2</x:v>
      </x:c>
      <x:c r="F28" s="52" t="n">
        <x:v>18</x:v>
      </x:c>
      <x:c r="G28" s="52" t="n">
        <x:v>30</x:v>
      </x:c>
      <x:c r="H28" s="52" t="n">
        <x:v>48</x:v>
      </x:c>
      <x:c r="I28" s="35" t="str"/>
      <x:c r="J28" s="40" t="n">
        <x:v>0</x:v>
      </x:c>
      <x:c r="K28" s="40" t="n">
        <x:f>F28-J28</x:f>
        <x:v>18</x:v>
      </x:c>
      <x:c r="L28" s="40" t="n">
        <x:f>G28-J28</x:f>
        <x:v>30</x:v>
      </x:c>
      <x:c r="M28" s="40" t="n">
        <x:f>H28-J28</x:f>
        <x:v>48</x:v>
      </x:c>
      <x:c r="N28" s="35" t="str">
        <x:v>Contención y erradicación pueden necesitar universos separados.</x:v>
      </x:c>
      <x:c r="O28" s="35" t="str">
        <x:v>R033; IV: ciclo de respuesta y coordinación</x:v>
      </x:c>
    </x:row>
    <x:row r="29" ht="44" customHeight="1">
      <x:c r="A29" s="35" t="str">
        <x:v>CYO-25</x:v>
      </x:c>
      <x:c r="B29" s="35" t="str">
        <x:v>Restauración y retorno al servicio</x:v>
      </x:c>
      <x:c r="C29" s="52" t="n">
        <x:v>1</x:v>
      </x:c>
      <x:c r="D29" s="52" t="n">
        <x:v>1</x:v>
      </x:c>
      <x:c r="E29" s="52" t="n">
        <x:v>2</x:v>
      </x:c>
      <x:c r="F29" s="52" t="n">
        <x:v>16</x:v>
      </x:c>
      <x:c r="G29" s="52" t="n">
        <x:v>26</x:v>
      </x:c>
      <x:c r="H29" s="52" t="n">
        <x:v>42</x:v>
      </x:c>
      <x:c r="I29" s="35" t="str"/>
      <x:c r="J29" s="40" t="n">
        <x:v>0</x:v>
      </x:c>
      <x:c r="K29" s="40" t="n">
        <x:f>F29-J29</x:f>
        <x:v>16</x:v>
      </x:c>
      <x:c r="L29" s="40" t="n">
        <x:f>G29-J29</x:f>
        <x:v>26</x:v>
      </x:c>
      <x:c r="M29" s="40" t="n">
        <x:f>H29-J29</x:f>
        <x:v>42</x:v>
      </x:c>
      <x:c r="N29" s="35" t="str">
        <x:v>Restauración, integridad y reanudación se distinguen de la preparación.</x:v>
      </x:c>
      <x:c r="O29" s="35" t="str">
        <x:v>R033; IV: recuperación; R036 dependencias</x:v>
      </x:c>
    </x:row>
    <x:row r="30" ht="48" customHeight="1">
      <x:c r="A30" s="35" t="str">
        <x:v>CYO-26</x:v>
      </x:c>
      <x:c r="B30" s="35" t="str">
        <x:v>Tratamiento de vulnerabilidades</x:v>
      </x:c>
      <x:c r="C30" s="52" t="n">
        <x:v>2</x:v>
      </x:c>
      <x:c r="D30" s="52" t="n">
        <x:v>3</x:v>
      </x:c>
      <x:c r="E30" s="52" t="n">
        <x:v>4</x:v>
      </x:c>
      <x:c r="F30" s="52" t="n">
        <x:v>12</x:v>
      </x:c>
      <x:c r="G30" s="52" t="n">
        <x:v>22</x:v>
      </x:c>
      <x:c r="H30" s="52" t="n">
        <x:v>36</x:v>
      </x:c>
      <x:c r="I30" s="35" t="str"/>
      <x:c r="J30" s="40" t="n">
        <x:v>0</x:v>
      </x:c>
      <x:c r="K30" s="40" t="n">
        <x:f>F30-J30</x:f>
        <x:v>12</x:v>
      </x:c>
      <x:c r="L30" s="40" t="n">
        <x:f>G30-J30</x:f>
        <x:v>22</x:v>
      </x:c>
      <x:c r="M30" s="40" t="n">
        <x:f>H30-J30</x:f>
        <x:v>36</x:v>
      </x:c>
      <x:c r="N30" s="35" t="str">
        <x:v>Incluye OP-CYB-001 ya constituido; además, priorización, tratamiento y excepciones según escenario.</x:v>
      </x:c>
      <x:c r="O30" s="35" t="str">
        <x:v>R035; IV: tratamiento; R034 hallazgos; NICE PD-WRL-007</x:v>
      </x:c>
    </x:row>
    <x:row r="31" ht="44" customHeight="1">
      <x:c r="A31" s="35" t="str">
        <x:v>CYO-27</x:v>
      </x:c>
      <x:c r="B31" s="35" t="str">
        <x:v>Validación de detección</x:v>
      </x:c>
      <x:c r="C31" s="52" t="n">
        <x:v>1</x:v>
      </x:c>
      <x:c r="D31" s="52" t="n">
        <x:v>1</x:v>
      </x:c>
      <x:c r="E31" s="52" t="n">
        <x:v>2</x:v>
      </x:c>
      <x:c r="F31" s="52" t="n">
        <x:v>14</x:v>
      </x:c>
      <x:c r="G31" s="52" t="n">
        <x:v>24</x:v>
      </x:c>
      <x:c r="H31" s="52" t="n">
        <x:v>40</x:v>
      </x:c>
      <x:c r="I31" s="35" t="str"/>
      <x:c r="J31" s="40" t="n">
        <x:v>0</x:v>
      </x:c>
      <x:c r="K31" s="40" t="n">
        <x:f>F31-J31</x:f>
        <x:v>14</x:v>
      </x:c>
      <x:c r="L31" s="40" t="n">
        <x:f>G31-J31</x:f>
        <x:v>24</x:v>
      </x:c>
      <x:c r="M31" s="40" t="n">
        <x:f>H31-J31</x:f>
        <x:v>40</x:v>
      </x:c>
      <x:c r="N31" s="35" t="str">
        <x:v>Cobertura de hipótesis y validación de reglas; posible separación por finalidad.</x:v>
      </x:c>
      <x:c r="O31" s="35" t="str">
        <x:v>R033; IV: SIEM, correlación y detección; R029 red</x:v>
      </x:c>
    </x:row>
    <x:row r="32" ht="44" customHeight="1">
      <x:c r="A32" s="35" t="str">
        <x:v>CYO-28</x:v>
      </x:c>
      <x:c r="B32" s="35" t="str">
        <x:v>Búsqueda de amenazas por hipótesis</x:v>
      </x:c>
      <x:c r="C32" s="52" t="n">
        <x:v>1</x:v>
      </x:c>
      <x:c r="D32" s="52" t="n">
        <x:v>1</x:v>
      </x:c>
      <x:c r="E32" s="52" t="n">
        <x:v>1</x:v>
      </x:c>
      <x:c r="F32" s="52" t="n">
        <x:v>10</x:v>
      </x:c>
      <x:c r="G32" s="52" t="n">
        <x:v>18</x:v>
      </x:c>
      <x:c r="H32" s="52" t="n">
        <x:v>30</x:v>
      </x:c>
      <x:c r="I32" s="35" t="str"/>
      <x:c r="J32" s="40" t="n">
        <x:v>0</x:v>
      </x:c>
      <x:c r="K32" s="40" t="n">
        <x:f>F32-J32</x:f>
        <x:v>10</x:v>
      </x:c>
      <x:c r="L32" s="40" t="n">
        <x:f>G32-J32</x:f>
        <x:v>18</x:v>
      </x:c>
      <x:c r="M32" s="40" t="n">
        <x:f>H32-J32</x:f>
        <x:v>30</x:v>
      </x:c>
      <x:c r="N32" s="35" t="str">
        <x:v>Un producto de contraste de hipótesis, distinto de clasificar una alerta.</x:v>
      </x:c>
      <x:c r="O32" s="35" t="str">
        <x:v>R033; IV: tema 6 hunting; G009 contraste</x:v>
      </x:c>
    </x:row>
    <x:row r="33" ht="44" customHeight="1">
      <x:c r="A33" s="35" t="str">
        <x:v>CYO-29</x:v>
      </x:c>
      <x:c r="B33" s="35" t="str">
        <x:v>Política corporativa de IA</x:v>
      </x:c>
      <x:c r="C33" s="52" t="n">
        <x:v>1</x:v>
      </x:c>
      <x:c r="D33" s="52" t="n">
        <x:v>1</x:v>
      </x:c>
      <x:c r="E33" s="52" t="n">
        <x:v>1</x:v>
      </x:c>
      <x:c r="F33" s="52" t="n">
        <x:v>8</x:v>
      </x:c>
      <x:c r="G33" s="52" t="n">
        <x:v>14</x:v>
      </x:c>
      <x:c r="H33" s="52" t="n">
        <x:v>22</x:v>
      </x:c>
      <x:c r="I33" s="35" t="str"/>
      <x:c r="J33" s="40" t="n">
        <x:v>0</x:v>
      </x:c>
      <x:c r="K33" s="40" t="n">
        <x:f>F33-J33</x:f>
        <x:v>8</x:v>
      </x:c>
      <x:c r="L33" s="40" t="n">
        <x:f>G33-J33</x:f>
        <x:v>14</x:v>
      </x:c>
      <x:c r="M33" s="40" t="n">
        <x:f>H33-J33</x:f>
        <x:v>22</x:v>
      </x:c>
      <x:c r="N33" s="35" t="str">
        <x:v>Reglas de uso, excepciones y revisión de política; no aprobación de cada caso.</x:v>
      </x:c>
      <x:c r="O33" s="35" t="str">
        <x:v>R037; IV: gobierno; M003 ética; AN-02 especificidad IA</x:v>
      </x:c>
    </x:row>
    <x:row r="36" ht="90" customHeight="1">
      <x:c r="A36" s="57" t="str">
        <x:v>Escenario</x:v>
      </x:c>
      <x:c r="B36" s="57" t="str">
        <x:v>Grupos propuestos</x:v>
      </x:c>
      <x:c r="C36" s="57" t="str">
        <x:v>Presupuesto anterior</x:v>
      </x:c>
      <x:c r="D36" s="57" t="str">
        <x:v>Descuento</x:v>
      </x:c>
      <x:c r="E36" s="57" t="str">
        <x:v>Pendientes</x:v>
      </x:c>
      <x:c r="F36" s="57" t="str">
        <x:v>Reutilización supuesta</x:v>
      </x:c>
      <x:c r="G36" s="57" t="str">
        <x:v>Nuevas únicas estimadas</x:v>
      </x:c>
      <x:c r="H36" s="57" t="str">
        <x:v>Definiciones actuales</x:v>
      </x:c>
      <x:c r="I36" s="57" t="str">
        <x:v>Total orientativo</x:v>
      </x:c>
      <x:c r="J36" s="57" t="str">
        <x:v>Interpretación</x:v>
      </x:c>
    </x:row>
    <x:row r="37" ht="90" customHeight="1">
      <x:c r="A37" s="34" t="str">
        <x:v>Compacto</x:v>
      </x:c>
      <x:c r="B37" s="40" t="n">
        <x:f>SUM(C5:C33)</x:f>
        <x:v>29</x:v>
      </x:c>
      <x:c r="C37" s="40" t="n">
        <x:f>SUM(F5:F33)</x:f>
        <x:v>374</x:v>
      </x:c>
      <x:c r="D37" s="40" t="n">
        <x:f>SUM(J5:J33)</x:f>
        <x:v>8</x:v>
      </x:c>
      <x:c r="E37" s="40" t="n">
        <x:f>C37-D37</x:f>
        <x:v>366</x:v>
      </x:c>
      <x:c r="F37" s="56" t="n">
        <x:v>0.3</x:v>
      </x:c>
      <x:c r="G37" s="40" t="n">
        <x:f>ROUND(E37*(1-F37),0)</x:f>
        <x:v>256</x:v>
      </x:c>
      <x:c r="H37" s="40" t="n">
        <x:f>'73_Revision'!B8</x:f>
        <x:v>32</x:v>
      </x:c>
      <x:c r="I37" s="40" t="n">
        <x:f>G37+H37</x:f>
        <x:v>288</x:v>
      </x:c>
      <x:c r="J37" s="34" t="str">
        <x:v>Agrupación mayor; no mínimo probado.</x:v>
      </x:c>
    </x:row>
    <x:row r="38" ht="90" customHeight="1">
      <x:c r="A38" s="34" t="str">
        <x:v>Central</x:v>
      </x:c>
      <x:c r="B38" s="40" t="n">
        <x:f>SUM(D5:D33)</x:f>
        <x:v>38</x:v>
      </x:c>
      <x:c r="C38" s="40" t="n">
        <x:f>SUM(G5:G33)</x:f>
        <x:v>620</x:v>
      </x:c>
      <x:c r="D38" s="40" t="n">
        <x:f>SUM(J5:J33)</x:f>
        <x:v>8</x:v>
      </x:c>
      <x:c r="E38" s="40" t="n">
        <x:f>C38-D38</x:f>
        <x:v>612</x:v>
      </x:c>
      <x:c r="F38" s="56" t="n">
        <x:v>0.15</x:v>
      </x:c>
      <x:c r="G38" s="40" t="n">
        <x:f>ROUND(E38*(1-F38),0)</x:f>
        <x:v>520</x:v>
      </x:c>
      <x:c r="H38" s="40" t="n">
        <x:f>'73_Revision'!B8</x:f>
        <x:v>32</x:v>
      </x:c>
      <x:c r="I38" s="40" t="n">
        <x:f>G38+H38</x:f>
        <x:v>552</x:v>
      </x:c>
      <x:c r="J38" s="34" t="str">
        <x:v>Hipótesis sin calibración empírica.</x:v>
      </x:c>
    </x:row>
    <x:row r="39" ht="90" customHeight="1">
      <x:c r="A39" s="34" t="str">
        <x:v>Amplio</x:v>
      </x:c>
      <x:c r="B39" s="40" t="n">
        <x:f>SUM(E5:E33)</x:f>
        <x:v>59</x:v>
      </x:c>
      <x:c r="C39" s="40" t="n">
        <x:f>SUM(H5:H33)</x:f>
        <x:v>1038</x:v>
      </x:c>
      <x:c r="D39" s="40" t="n">
        <x:f>SUM(J5:J33)</x:f>
        <x:v>8</x:v>
      </x:c>
      <x:c r="E39" s="40" t="n">
        <x:f>C39-D39</x:f>
        <x:v>1030</x:v>
      </x:c>
      <x:c r="F39" s="56" t="n">
        <x:v>0</x:v>
      </x:c>
      <x:c r="G39" s="40" t="n">
        <x:f>ROUND(E39*(1-F39),0)</x:f>
        <x:v>1030</x:v>
      </x:c>
      <x:c r="H39" s="40" t="n">
        <x:f>'73_Revision'!B8</x:f>
        <x:v>32</x:v>
      </x:c>
      <x:c r="I39" s="40" t="n">
        <x:f>G39+H39</x:f>
        <x:v>1062</x:v>
      </x:c>
      <x:c r="J39" s="34" t="str">
        <x:v>Separación mayor; no máximo probado.</x:v>
      </x:c>
    </x:row>
    <x:row r="40" ht="90" customHeight="1">
      <x:c r="A40" s="34"/>
      <x:c r="B40" s="34"/>
      <x:c r="C40" s="34"/>
      <x:c r="D40" s="34"/>
      <x:c r="E40" s="34"/>
      <x:c r="F40" s="34"/>
      <x:c r="G40" s="34"/>
      <x:c r="H40" s="34"/>
      <x:c r="I40" s="34"/>
      <x:c r="J40" s="34"/>
    </x:row>
    <x:row r="41" ht="90" customHeight="1">
      <x:c r="A41" s="34"/>
      <x:c r="B41" s="34"/>
      <x:c r="C41" s="34"/>
      <x:c r="D41" s="34"/>
      <x:c r="E41" s="34"/>
      <x:c r="F41" s="34"/>
      <x:c r="G41" s="34"/>
      <x:c r="H41" s="34"/>
      <x:c r="I41" s="34"/>
      <x:c r="J41" s="34"/>
    </x:row>
    <x:row r="42" ht="90" customHeight="1">
      <x:c r="A42" s="57" t="str">
        <x:v>Sensibilidad del escenario central</x:v>
      </x:c>
      <x:c r="B42" s="57" t="str">
        <x:v>Reutilización supuesta</x:v>
      </x:c>
      <x:c r="C42" s="57" t="str">
        <x:v>Total orientativo</x:v>
      </x:c>
      <x:c r="D42" s="57" t="str">
        <x:v>Interpretación</x:v>
      </x:c>
      <x:c r="E42" s="34"/>
      <x:c r="F42" s="34"/>
      <x:c r="G42" s="34"/>
      <x:c r="H42" s="34"/>
      <x:c r="I42" s="34"/>
      <x:c r="J42" s="34"/>
    </x:row>
    <x:row r="43" ht="90" customHeight="1">
      <x:c r="A43" s="34" t="str">
        <x:v>Sin reutilización</x:v>
      </x:c>
      <x:c r="B43" s="58" t="n">
        <x:v>0</x:v>
      </x:c>
      <x:c r="C43" s="40" t="n">
        <x:f>H38+ROUND(E38*(1-B43),0)</x:f>
        <x:v>644</x:v>
      </x:c>
      <x:c r="D43" s="34" t="str">
        <x:v>612 incidencias restantes; no equivalen a 612 identidades únicas.</x:v>
      </x:c>
      <x:c r="E43" s="34"/>
      <x:c r="F43" s="34"/>
      <x:c r="G43" s="34"/>
      <x:c r="H43" s="34"/>
      <x:c r="I43" s="34"/>
      <x:c r="J43" s="34"/>
    </x:row>
    <x:row r="44" ht="90" customHeight="1">
      <x:c r="A44" s="34" t="str">
        <x:v>Hipótesis central</x:v>
      </x:c>
      <x:c r="B44" s="58" t="n">
        <x:v>0.15</x:v>
      </x:c>
      <x:c r="C44" s="40" t="n">
        <x:f>H38+ROUND(E38*(1-B44),0)</x:f>
        <x:v>552</x:v>
      </x:c>
      <x:c r="D44" s="34" t="str">
        <x:v>La cuenta se audita; la hipótesis no adquiere certeza por calcularla.</x:v>
      </x:c>
      <x:c r="E44" s="34"/>
      <x:c r="F44" s="34"/>
      <x:c r="G44" s="34"/>
      <x:c r="H44" s="34"/>
      <x:c r="I44" s="34"/>
      <x:c r="J44" s="34"/>
    </x:row>
    <x:row r="45" ht="90" customHeight="1">
      <x:c r="A45" s="34" t="str">
        <x:v>Reutilización mayor</x:v>
      </x:c>
      <x:c r="B45" s="58" t="n">
        <x:v>0.3</x:v>
      </x:c>
      <x:c r="C45" s="40" t="n">
        <x:f>H38+ROUND(E38*(1-B45),0)</x:f>
        <x:v>460</x:v>
      </x:c>
      <x:c r="D45" s="34" t="str">
        <x:v>La reutilización se demostrará al adjudicar identidades.</x:v>
      </x:c>
      <x:c r="E45" s="34"/>
      <x:c r="F45" s="34"/>
      <x:c r="G45" s="34"/>
      <x:c r="H45" s="34"/>
      <x:c r="I45" s="34"/>
      <x:c r="J45" s="34"/>
    </x:row>
  </x:sheetData>
  <x:mergeCells>
    <x:mergeCell ref="A1:D1"/>
    <x:mergeCell ref="A2:F2"/>
  </x:mergeCells>
  <x:pageMargins left="0.7" right="0.7" top="0.75" bottom="0.75" header="0.3" footer="0.3"/>
  <x:tableParts count="1">
    <x:tablePart xmlns:r="http://schemas.openxmlformats.org/officeDocument/2006/relationships" r:id="R5e38b2613ca943e8"/>
  </x:tableParts>
</x:worksheet>
</file>

<file path=xl/worksheets/sheet79.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8" hidden="0" customWidth="1"/>
    <x:col min="2" max="2" width="64" hidden="0" customWidth="1"/>
    <x:col min="3" max="3" width="55" hidden="0" customWidth="1"/>
    <x:col min="4" max="4" width="112" hidden="0" customWidth="1"/>
    <x:col min="5" max="5" width="135" hidden="0" customWidth="1"/>
    <x:col min="6" max="6" width="60" hidden="0" customWidth="1"/>
    <x:col min="7" max="7" width="120" hidden="0" customWidth="1"/>
    <x:col min="8" max="8" width="80" hidden="0" customWidth="1"/>
  </x:cols>
  <x:sheetData>
    <x:row r="1" ht="34" customHeight="1">
      <x:c r="A1" s="36" t="str">
        <x:v>Necesidades por operación y oferta del Lenguaje</x:v>
      </x:c>
      <x:c r="B1" s="35"/>
      <x:c r="C1" s="35"/>
      <x:c r="D1" s="35"/>
      <x:c r="E1" s="35"/>
      <x:c r="F1" s="35"/>
      <x:c r="G1" s="35"/>
      <x:c r="H1" s="35"/>
    </x:row>
    <x:row r="2" ht="48" customHeight="1">
      <x:c r="A2" s="37" t="str">
        <x:v>Corte de entrega 66967a80; paquete técnico ab61d9bb. Lectura estática de IR y LIG, con límites de capacidad conservados.</x:v>
      </x:c>
      <x:c r="B2" s="35"/>
      <x:c r="C2" s="35"/>
      <x:c r="D2" s="35"/>
      <x:c r="E2" s="35"/>
      <x:c r="F2" s="35"/>
      <x:c r="G2" s="35"/>
      <x:c r="H2" s="35"/>
    </x:row>
    <x:row r="3">
      <x:c r="A3" s="35"/>
      <x:c r="B3" s="35"/>
      <x:c r="C3" s="35"/>
      <x:c r="D3" s="35"/>
      <x:c r="E3" s="35"/>
      <x:c r="F3" s="35"/>
      <x:c r="G3" s="35"/>
      <x:c r="H3" s="35"/>
    </x:row>
    <x:row r="4" ht="62" customHeight="1">
      <x:c r="A4" s="51" t="str">
        <x:v>Requisito</x:v>
      </x:c>
      <x:c r="B4" s="51" t="str">
        <x:v>Necesidad</x:v>
      </x:c>
      <x:c r="C4" s="51" t="str">
        <x:v>Destinos</x:v>
      </x:c>
      <x:c r="D4" s="51" t="str">
        <x:v>Oferta inspeccionada</x:v>
      </x:c>
      <x:c r="E4" s="51" t="str">
        <x:v>Contraste exigido</x:v>
      </x:c>
      <x:c r="F4" s="51" t="str">
        <x:v>Testigos</x:v>
      </x:c>
      <x:c r="G4" s="51" t="str">
        <x:v>Dictamen actual</x:v>
      </x:c>
      <x:c r="H4" s="51" t="str">
        <x:v>Responsabilidad</x:v>
      </x:c>
    </x:row>
    <x:row r="5" ht="48" customHeight="1">
      <x:c r="A5" s="35" t="str">
        <x:v>RS01</x:v>
      </x:c>
      <x:c r="B5" s="35" t="str">
        <x:v>Identidad y atribución separadas del resultado técnico</x:v>
      </x:c>
      <x:c r="C5" s="35" t="str">
        <x:v>P25; P07/autenticación; C02/C11</x:v>
      </x:c>
      <x:c r="D5" s="35" t="str">
        <x:v>Instancia, procedencia, regla de admisión y artefactos referenciados en LIG/0.1.</x:v>
      </x:c>
      <x:c r="E5" s="35" t="str">
        <x:v>Recuperar principal, sesión y acto con sus tipos y relaciones, conservando la identidad desconocida sin atribuir falsamente responsabilidad humana.</x:v>
      </x:c>
      <x:c r="F5" s="35" t="str">
        <x:v>SI01, SI05, SI09</x:v>
      </x:c>
      <x:c r="G5" s="35" t="str">
        <x:v>Representación exacta posible mediante contrato externo; consumo semántico no acreditado.</x:v>
      </x:c>
      <x:c r="H5" s="35" t="str">
        <x:v>DFL-005; dominio y proveedor de identidad</x:v>
      </x:c>
    </x:row>
    <x:row r="6" ht="48" customHeight="1">
      <x:c r="A6" s="35" t="str">
        <x:v>RS02</x:v>
      </x:c>
      <x:c r="B6" s="35" t="str">
        <x:v>Autoridad y delegación con alcance limitado</x:v>
      </x:c>
      <x:c r="C6" s="35" t="str">
        <x:v>P26/P27; C11</x:v>
      </x:c>
      <x:c r="D6" s="35" t="str">
        <x:v>AuthorityDeclaration y referencias exactas; no autenticación ni concesión de autoridad.</x:v>
      </x:c>
      <x:c r="E6" s="35" t="str">
        <x:v>Comprobar raíz competente y cada arista; distinguir sujeto representado, actor efectivo y destinatario. Rechazar ampliación indebida, ciclo no admitido o tramo ausente; declarar límite institucional.</x:v>
      </x:c>
      <x:c r="F6" s="35" t="str">
        <x:v>SI02, SI06</x:v>
      </x:c>
      <x:c r="G6" s="35" t="str">
        <x:v>Las huellas preservan declaraciones; no acreditan su legitimidad.</x:v>
      </x:c>
      <x:c r="H6" s="35" t="str">
        <x:v>DFL-005; contrato operacional y autoridad institucional</x:v>
      </x:c>
    </x:row>
    <x:row r="7" ht="48" customHeight="1">
      <x:c r="A7" s="35" t="str">
        <x:v>RS03</x:v>
      </x:c>
      <x:c r="B7" s="35" t="str">
        <x:v>Tiempo, revocación y antecedentes</x:v>
      </x:c>
      <x:c r="C7" s="35" t="str">
        <x:v>P28–P30; C07</x:v>
      </x:c>
      <x:c r="D7" s="35" t="str">
        <x:v>TransitionData e información lateral; comprobaciones estructurales de contexto.</x:v>
      </x:c>
      <x:c r="E7" s="35" t="str">
        <x:v>Mantener precisión temporal y diferencias entre emisión, efecto, registro y sellado; no hacer retroactiva por defecto una revocación. Conservar el orden y las dependencias afectadas.</x:v>
      </x:c>
      <x:c r="F7" s="35" t="str">
        <x:v>SI03, SI04; PR-015–032</x:v>
      </x:c>
      <x:c r="G7" s="35" t="str">
        <x:v>No se acredita causalidad ejecutiva ni continuidad persistente entre versiones.</x:v>
      </x:c>
      <x:c r="H7" s="35" t="str">
        <x:v>DFL-003/004/005; contrato de observación y tiempo</x:v>
      </x:c>
    </x:row>
    <x:row r="8" ht="48" customHeight="1">
      <x:c r="A8" s="35" t="str">
        <x:v>RS04</x:v>
      </x:c>
      <x:c r="B8" s="35" t="str">
        <x:v>Vistas de evidencia por finalidad y destinatario</x:v>
      </x:c>
      <x:c r="C8" s="35" t="str">
        <x:v>C02/C13/C15</x:v>
      </x:c>
      <x:c r="D8" s="35" t="str">
        <x:v>Artefactos externos e información lateral permiten conservar referencias a vistas diferentes.</x:v>
      </x:c>
      <x:c r="E8" s="35" t="str">
        <x:v>Recuperar sólo la vista autorizada para ese destinatario, explicar su vínculo con el original y controlar acceso, retención y reidentificación. Un hash o texto opaco no demuestra aplicación de esa política.</x:v>
      </x:c>
      <x:c r="F8" s="35" t="str">
        <x:v>SI07, SI08</x:v>
      </x:c>
      <x:c r="G8" s="35" t="str">
        <x:v>Preservación de bytes no equivale a control material de difusión; función ejecutiva pendiente de contrato y soporte.</x:v>
      </x:c>
      <x:c r="H8" s="35" t="str">
        <x:v>DFL-005/009; custodia y responsable del tratamiento</x:v>
      </x:c>
    </x:row>
    <x:row r="9" ht="48" customHeight="1">
      <x:c r="A9" s="35" t="str">
        <x:v>RS05</x:v>
      </x:c>
      <x:c r="B9" s="35" t="str">
        <x:v>Razón, plan y autorización de la actuación</x:v>
      </x:c>
      <x:c r="C9" s="35" t="str">
        <x:v>P32; C08–C12</x:v>
      </x:c>
      <x:c r="D9" s="35" t="str">
        <x:v>Definición de operación y referencias exactas a documentos externos.</x:v>
      </x:c>
      <x:c r="E9" s="35" t="str">
        <x:v>Distinguir lo previsto de lo autorizado; conservar razón, excepción urgente y consecuencias sin equiparar desviación de plan a ilicitud.</x:v>
      </x:c>
      <x:c r="F9" s="35" t="str">
        <x:v>SI10; PR-037–041</x:v>
      </x:c>
      <x:c r="G9" s="35" t="str">
        <x:v>Distinción documental exigible ahora; productor del consejo todavía no acreditado.</x:v>
      </x:c>
      <x:c r="H9" s="35" t="str">
        <x:v>DFL-005/006; dominio y autoridad</x:v>
      </x:c>
    </x:row>
    <x:row r="10" ht="48" customHeight="1">
      <x:c r="A10" s="35" t="str">
        <x:v>RS06</x:v>
      </x:c>
      <x:c r="B10" s="35" t="str">
        <x:v>Admisión, U y fallo técnico con diferente estatuto</x:v>
      </x:c>
      <x:c r="C10" s="35" t="str">
        <x:v>C02/C06; todos los parámetros</x:v>
      </x:c>
      <x:c r="D10" s="35" t="str">
        <x:v>AdmissibilitySpec y CaptureSpec nominales; K1-T pendiente.</x:v>
      </x:c>
      <x:c r="E10" s="35" t="str">
        <x:v>Probar admisión de evidencia de un acto ilícito, no admisión de prueba inválida, no aplicabilidad, indeterminación y fallo técnico, sin ampliar Tri.</x:v>
      </x:c>
      <x:c r="F10" s="35" t="str">
        <x:v>PR-034–044; HP02</x:v>
      </x:c>
      <x:c r="G10" s="35" t="str">
        <x:v>Los auxiliares documentales se han ensayado; no se ejecutó la transducción productiva SV.</x:v>
      </x:c>
      <x:c r="H10" s="35" t="str">
        <x:v>K1-T; DFL-006</x:v>
      </x:c>
    </x:row>
    <x:row r="11" ht="48" customHeight="1">
      <x:c r="A11" s="35" t="str">
        <x:v>RS07</x:v>
      </x:c>
      <x:c r="B11" s="35" t="str">
        <x:v>Cobertura de permisos, datos y flujos</x:v>
      </x:c>
      <x:c r="C11" s="35" t="str">
        <x:v>C05/C11/C15</x:v>
      </x:c>
      <x:c r="D11" s="35" t="str">
        <x:v>Usos ordenados, compartición explícita y referencias de ligadura.</x:v>
      </x:c>
      <x:c r="E11" s="35" t="str">
        <x:v>Cubrir instancias, permisos, cadenas de delegación y flujos con fronteras; detectar rutas salientes fuera del control, condiciones no evaluadas y conjuntos vacíos injustificados.</x:v>
      </x:c>
      <x:c r="F11" s="35" t="str">
        <x:v>HP04, HP08; XA04/XA10</x:v>
      </x:c>
      <x:c r="G11" s="35" t="str">
        <x:v>No se ha probado un sistema SASE ni cobertura material de una infraestructura.</x:v>
      </x:c>
      <x:c r="H11" s="35" t="str">
        <x:v>Dominio; soporte y operación; DFL-009 donde corresponda</x:v>
      </x:c>
    </x:row>
    <x:row r="12" ht="48" customHeight="1">
      <x:c r="A12" s="35" t="str">
        <x:v>RS08</x:v>
      </x:c>
      <x:c r="B12" s="35" t="str">
        <x:v>Explicación legítima y separación de salidas</x:v>
      </x:c>
      <x:c r="C12" s="35" t="str">
        <x:v>C13; P02 frente a P25–P32</x:v>
      </x:c>
      <x:c r="D12" s="35" t="str">
        <x:v>Frame exige arquitectura constituida; la proyección documental no la crea.</x:v>
      </x:c>
      <x:c r="E12" s="35" t="str">
        <x:v>El consejo conserva resultado técnico, legitimidad, incertidumbre y consecuencias. Ejecución válida con identidad idéntica produce iguales bytes; fallo técnico no es salida alternativa del dominio.</x:v>
      </x:c>
      <x:c r="F12" s="35" t="str">
        <x:v>Diez pares SI01–SI10</x:v>
      </x:c>
      <x:c r="G12" s="35" t="str">
        <x:v>No se constituyó una célula ni se ejecutó un Frame CYB.</x:v>
      </x:c>
      <x:c r="H12" s="35" t="str">
        <x:v>Puerta G6 y obligaciones algebraicas posteriores; DFL-006</x:v>
      </x:c>
    </x:row>
  </x:sheetData>
  <x:mergeCells>
    <x:mergeCell ref="A1:D1"/>
    <x:mergeCell ref="A2:F2"/>
  </x:mergeCells>
  <x:pageMargins left="0.7" right="0.7" top="0.75" bottom="0.75" header="0.3" footer="0.3"/>
  <x:tableParts count="1">
    <x:tablePart xmlns:r="http://schemas.openxmlformats.org/officeDocument/2006/relationships" r:id="R83a5f3ba2d9f481c"/>
  </x:tableParts>
</x:worksheet>
</file>

<file path=xl/worksheets/sheet80.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8" hidden="0" customWidth="1"/>
    <x:col min="2" max="2" width="16" hidden="0" customWidth="1"/>
    <x:col min="3" max="3" width="101" hidden="0" customWidth="1"/>
    <x:col min="4" max="4" width="130" hidden="0" customWidth="1"/>
    <x:col min="5" max="5" width="26" hidden="0" customWidth="1"/>
    <x:col min="6" max="6" width="26" hidden="0" customWidth="1"/>
    <x:col min="7" max="7" width="26" hidden="0" customWidth="1"/>
  </x:cols>
  <x:sheetData>
    <x:row r="1" ht="34" customHeight="1">
      <x:c r="A1" s="36" t="str">
        <x:v>Ensayos documentales de identidad y autorización</x:v>
      </x:c>
      <x:c r="B1" s="35"/>
      <x:c r="C1" s="35"/>
      <x:c r="D1" s="35"/>
      <x:c r="E1" s="35"/>
      <x:c r="F1" s="35"/>
      <x:c r="G1" s="35"/>
    </x:row>
    <x:row r="2" ht="48" customHeight="1">
      <x:c r="A2" s="37" t="str">
        <x:v>Esperados previos; 46 casos sintéticos. No se ha ejecutado autenticación criptográfica ni un sistema real.</x:v>
      </x:c>
      <x:c r="B2" s="35"/>
      <x:c r="C2" s="35"/>
      <x:c r="D2" s="35"/>
      <x:c r="E2" s="35"/>
      <x:c r="F2" s="35"/>
      <x:c r="G2" s="35"/>
    </x:row>
    <x:row r="3">
      <x:c r="A3" s="35"/>
      <x:c r="B3" s="35"/>
      <x:c r="C3" s="35"/>
      <x:c r="D3" s="35"/>
      <x:c r="E3" s="35"/>
      <x:c r="F3" s="35"/>
      <x:c r="G3" s="35"/>
    </x:row>
    <x:row r="4" ht="62" customHeight="1">
      <x:c r="A4" s="51" t="str">
        <x:v>Caso</x:v>
      </x:c>
      <x:c r="B4" s="51" t="str">
        <x:v>Parámetro</x:v>
      </x:c>
      <x:c r="C4" s="51" t="str">
        <x:v>Supuesto</x:v>
      </x:c>
      <x:c r="D4" s="51" t="str">
        <x:v>Entrada sintética</x:v>
      </x:c>
      <x:c r="E4" s="51" t="str">
        <x:v>Esperado</x:v>
      </x:c>
      <x:c r="F4" s="51" t="str">
        <x:v>Obtenido</x:v>
      </x:c>
      <x:c r="G4" s="51" t="str">
        <x:v>Concordancia</x:v>
      </x:c>
    </x:row>
    <x:row r="5" ht="44" customHeight="1">
      <x:c r="A5" s="35" t="str">
        <x:v>PR-001</x:v>
      </x:c>
      <x:c r="B5" s="35" t="str">
        <x:v>P25</x:v>
      </x:c>
      <x:c r="C5" s="35" t="str">
        <x:v>Acto ligado expresamente a la sesión de referencia</x:v>
      </x:c>
      <x:c r="D5" s="35" t="str">
        <x:v>{"linked": "s1", "session": "s1"}</x:v>
      </x:c>
      <x:c r="E5" s="35" t="str">
        <x:v>1</x:v>
      </x:c>
      <x:c r="F5" s="35" t="str">
        <x:v>1</x:v>
      </x:c>
      <x:c r="G5" s="35" t="str">
        <x:f>IF(EXACT("x"&amp;E5,"x"&amp;F5),"Concordante","Discordante")</x:f>
        <x:v>Concordante</x:v>
      </x:c>
    </x:row>
    <x:row r="6" ht="44" customHeight="1">
      <x:c r="A6" s="35" t="str">
        <x:v>PR-002</x:v>
      </x:c>
      <x:c r="B6" s="35" t="str">
        <x:v>P25</x:v>
      </x:c>
      <x:c r="C6" s="35" t="str">
        <x:v>Acto ligado a otra sesión, con exclusión de la referencia</x:v>
      </x:c>
      <x:c r="D6" s="35" t="str">
        <x:v>{"linked": "s2", "session": "s1"}</x:v>
      </x:c>
      <x:c r="E6" s="35" t="str">
        <x:v>0</x:v>
      </x:c>
      <x:c r="F6" s="35" t="str">
        <x:v>0</x:v>
      </x:c>
      <x:c r="G6" s="35" t="str">
        <x:f>IF(EXACT("x"&amp;E6,"x"&amp;F6),"Concordante","Discordante")</x:f>
        <x:v>Concordante</x:v>
      </x:c>
    </x:row>
    <x:row r="7" ht="44" customHeight="1">
      <x:c r="A7" s="35" t="str">
        <x:v>PR-003</x:v>
      </x:c>
      <x:c r="B7" s="35" t="str">
        <x:v>P25</x:v>
      </x:c>
      <x:c r="C7" s="35" t="str">
        <x:v>Sólo se conoce la cuenta que aparece en el registro</x:v>
      </x:c>
      <x:c r="D7" s="35" t="str">
        <x:v>{"account": "tecnico", "session": "s1"}</x:v>
      </x:c>
      <x:c r="E7" s="35" t="str">
        <x:v>U</x:v>
      </x:c>
      <x:c r="F7" s="35" t="str">
        <x:v>U</x:v>
      </x:c>
      <x:c r="G7" s="35" t="str">
        <x:f>IF(EXACT("x"&amp;E7,"x"&amp;F7),"Concordante","Discordante")</x:f>
        <x:v>Concordante</x:v>
      </x:c>
    </x:row>
    <x:row r="8" ht="44" customHeight="1">
      <x:c r="A8" s="35" t="str">
        <x:v>PR-004</x:v>
      </x:c>
      <x:c r="B8" s="35" t="str">
        <x:v>P25</x:v>
      </x:c>
      <x:c r="C8" s="35" t="str">
        <x:v>Dos fuentes incompatibles atribuyen el acto</x:v>
      </x:c>
      <x:c r="D8" s="35" t="str">
        <x:v>{"conflict": true, "linked": "s1", "session": "s1"}</x:v>
      </x:c>
      <x:c r="E8" s="35" t="str">
        <x:v>U</x:v>
      </x:c>
      <x:c r="F8" s="35" t="str">
        <x:v>U</x:v>
      </x:c>
      <x:c r="G8" s="35" t="str">
        <x:f>IF(EXACT("x"&amp;E8,"x"&amp;F8),"Concordante","Discordante")</x:f>
        <x:v>Concordante</x:v>
      </x:c>
    </x:row>
    <x:row r="9" ht="44" customHeight="1">
      <x:c r="A9" s="35" t="str">
        <x:v>PR-005</x:v>
      </x:c>
      <x:c r="B9" s="35" t="str">
        <x:v>P26</x:v>
      </x:c>
      <x:c r="C9" s="35" t="str">
        <x:v>Facultad exacta atribuida al emisor</x:v>
      </x:c>
      <x:c r="D9" s="35" t="str">
        <x:v>{"complete": true, "grants": [["i1", "reiniciar"]], "issuer": "i1", "power": "reiniciar"}</x:v>
      </x:c>
      <x:c r="E9" s="35" t="str">
        <x:v>1</x:v>
      </x:c>
      <x:c r="F9" s="35" t="str">
        <x:v>1</x:v>
      </x:c>
      <x:c r="G9" s="35" t="str">
        <x:f>IF(EXACT("x"&amp;E9,"x"&amp;F9),"Concordante","Discordante")</x:f>
        <x:v>Concordante</x:v>
      </x:c>
    </x:row>
    <x:row r="10" ht="44" customHeight="1">
      <x:c r="A10" s="35" t="str">
        <x:v>PR-006</x:v>
      </x:c>
      <x:c r="B10" s="35" t="str">
        <x:v>P26</x:v>
      </x:c>
      <x:c r="C10" s="35" t="str">
        <x:v>Firmante identificado, sin facultad en registro completo</x:v>
      </x:c>
      <x:c r="D10" s="35" t="str">
        <x:v>{"complete": true, "grants": [["i1", "consultar"]], "issuer": "i1", "power": "reiniciar"}</x:v>
      </x:c>
      <x:c r="E10" s="35" t="str">
        <x:v>0</x:v>
      </x:c>
      <x:c r="F10" s="35" t="str">
        <x:v>0</x:v>
      </x:c>
      <x:c r="G10" s="35" t="str">
        <x:f>IF(EXACT("x"&amp;E10,"x"&amp;F10),"Concordante","Discordante")</x:f>
        <x:v>Concordante</x:v>
      </x:c>
    </x:row>
    <x:row r="11" ht="44" customHeight="1">
      <x:c r="A11" s="35" t="str">
        <x:v>PR-007</x:v>
      </x:c>
      <x:c r="B11" s="35" t="str">
        <x:v>P26</x:v>
      </x:c>
      <x:c r="C11" s="35" t="str">
        <x:v>Registro institucional incompleto y sin atribución positiva</x:v>
      </x:c>
      <x:c r="D11" s="35" t="str">
        <x:v>{"complete": false, "grants": [], "issuer": "i1", "power": "reiniciar"}</x:v>
      </x:c>
      <x:c r="E11" s="35" t="str">
        <x:v>U</x:v>
      </x:c>
      <x:c r="F11" s="35" t="str">
        <x:v>U</x:v>
      </x:c>
      <x:c r="G11" s="35" t="str">
        <x:f>IF(EXACT("x"&amp;E11,"x"&amp;F11),"Concordante","Discordante")</x:f>
        <x:v>Concordante</x:v>
      </x:c>
    </x:row>
    <x:row r="12" ht="44" customHeight="1">
      <x:c r="A12" s="35" t="str">
        <x:v>PR-008</x:v>
      </x:c>
      <x:c r="B12" s="35" t="str">
        <x:v>P26</x:v>
      </x:c>
      <x:c r="C12" s="35" t="str">
        <x:v>Registro completo sin la facultad requerida</x:v>
      </x:c>
      <x:c r="D12" s="35" t="str">
        <x:v>{"complete": true, "grants": [], "issuer": "i1", "power": "reiniciar"}</x:v>
      </x:c>
      <x:c r="E12" s="35" t="str">
        <x:v>0</x:v>
      </x:c>
      <x:c r="F12" s="35" t="str">
        <x:v>0</x:v>
      </x:c>
      <x:c r="G12" s="35" t="str">
        <x:f>IF(EXACT("x"&amp;E12,"x"&amp;F12),"Concordante","Discordante")</x:f>
        <x:v>Concordante</x:v>
      </x:c>
    </x:row>
    <x:row r="13" ht="48" customHeight="1">
      <x:c r="A13" s="35" t="str">
        <x:v>PR-009</x:v>
      </x:c>
      <x:c r="B13" s="35" t="str">
        <x:v>P27</x:v>
      </x:c>
      <x:c r="C13" s="35" t="str">
        <x:v>Acción, recurso, destinatario y finalidad incluidos</x:v>
      </x:c>
      <x:c r="D13" s="35" t="str">
        <x:v>{"act": ["reiniciar", "activo-A", "agente-A", "mantenimiento"], "scope": [["reiniciar", "activo-A", "agente-A", "mantenimiento"]]}</x:v>
      </x:c>
      <x:c r="E13" s="35" t="str">
        <x:v>1</x:v>
      </x:c>
      <x:c r="F13" s="35" t="str">
        <x:v>1</x:v>
      </x:c>
      <x:c r="G13" s="35" t="str">
        <x:f>IF(EXACT("x"&amp;E13,"x"&amp;F13),"Concordante","Discordante")</x:f>
        <x:v>Concordante</x:v>
      </x:c>
    </x:row>
    <x:row r="14" ht="48" customHeight="1">
      <x:c r="A14" s="35" t="str">
        <x:v>PR-010</x:v>
      </x:c>
      <x:c r="B14" s="35" t="str">
        <x:v>P27</x:v>
      </x:c>
      <x:c r="C14" s="35" t="str">
        <x:v>Permiso para otro recurso</x:v>
      </x:c>
      <x:c r="D14" s="35" t="str">
        <x:v>{"act": ["reiniciar", "activo-A", "agente-A", "mantenimiento"], "scope": [["reiniciar", "activo-B", "agente-A", "mantenimiento"]]}</x:v>
      </x:c>
      <x:c r="E14" s="35" t="str">
        <x:v>0</x:v>
      </x:c>
      <x:c r="F14" s="35" t="str">
        <x:v>0</x:v>
      </x:c>
      <x:c r="G14" s="35" t="str">
        <x:f>IF(EXACT("x"&amp;E14,"x"&amp;F14),"Concordante","Discordante")</x:f>
        <x:v>Concordante</x:v>
      </x:c>
    </x:row>
    <x:row r="15" ht="48" customHeight="1">
      <x:c r="A15" s="35" t="str">
        <x:v>PR-011</x:v>
      </x:c>
      <x:c r="B15" s="35" t="str">
        <x:v>P27</x:v>
      </x:c>
      <x:c r="C15" s="35" t="str">
        <x:v>La delegación permite otro agente</x:v>
      </x:c>
      <x:c r="D15" s="35" t="str">
        <x:v>{"act": ["reiniciar", "activo-A", "agente-A", "mantenimiento"], "scope": [["reiniciar", "activo-A", "agente-B", "mantenimiento"]]}</x:v>
      </x:c>
      <x:c r="E15" s="35" t="str">
        <x:v>0</x:v>
      </x:c>
      <x:c r="F15" s="35" t="str">
        <x:v>0</x:v>
      </x:c>
      <x:c r="G15" s="35" t="str">
        <x:f>IF(EXACT("x"&amp;E15,"x"&amp;F15),"Concordante","Discordante")</x:f>
        <x:v>Concordante</x:v>
      </x:c>
    </x:row>
    <x:row r="16" ht="48" customHeight="1">
      <x:c r="A16" s="35" t="str">
        <x:v>PR-012</x:v>
      </x:c>
      <x:c r="B16" s="35" t="str">
        <x:v>P27</x:v>
      </x:c>
      <x:c r="C16" s="35" t="str">
        <x:v>Finalidad diferente</x:v>
      </x:c>
      <x:c r="D16" s="35" t="str">
        <x:v>{"act": ["reiniciar", "activo-A", "agente-A", "mantenimiento"], "scope": [["reiniciar", "activo-A", "agente-A", "investigacion"]]}</x:v>
      </x:c>
      <x:c r="E16" s="35" t="str">
        <x:v>0</x:v>
      </x:c>
      <x:c r="F16" s="35" t="str">
        <x:v>0</x:v>
      </x:c>
      <x:c r="G16" s="35" t="str">
        <x:f>IF(EXACT("x"&amp;E16,"x"&amp;F16),"Concordante","Discordante")</x:f>
        <x:v>Concordante</x:v>
      </x:c>
    </x:row>
    <x:row r="17" ht="44" customHeight="1">
      <x:c r="A17" s="35" t="str">
        <x:v>PR-013</x:v>
      </x:c>
      <x:c r="B17" s="35" t="str">
        <x:v>P27</x:v>
      </x:c>
      <x:c r="C17" s="35" t="str">
        <x:v>Alcance vacío explícito</x:v>
      </x:c>
      <x:c r="D17" s="35" t="str">
        <x:v>{"act": ["reiniciar", "activo-A", "agente-A", "mantenimiento"], "scope": []}</x:v>
      </x:c>
      <x:c r="E17" s="35" t="str">
        <x:v>0</x:v>
      </x:c>
      <x:c r="F17" s="35" t="str">
        <x:v>0</x:v>
      </x:c>
      <x:c r="G17" s="35" t="str">
        <x:f>IF(EXACT("x"&amp;E17,"x"&amp;F17),"Concordante","Discordante")</x:f>
        <x:v>Concordante</x:v>
      </x:c>
    </x:row>
    <x:row r="18" ht="44" customHeight="1">
      <x:c r="A18" s="35" t="str">
        <x:v>PR-014</x:v>
      </x:c>
      <x:c r="B18" s="35" t="str">
        <x:v>P27</x:v>
      </x:c>
      <x:c r="C18" s="35" t="str">
        <x:v>Alcance desconocido, distinto de vacío</x:v>
      </x:c>
      <x:c r="D18" s="35" t="str">
        <x:v>{"act": ["reiniciar", "activo-A", "agente-A", "mantenimiento"]}</x:v>
      </x:c>
      <x:c r="E18" s="35" t="str">
        <x:v>U</x:v>
      </x:c>
      <x:c r="F18" s="35" t="str">
        <x:v>U</x:v>
      </x:c>
      <x:c r="G18" s="35" t="str">
        <x:f>IF(EXACT("x"&amp;E18,"x"&amp;F18),"Concordante","Discordante")</x:f>
        <x:v>Concordante</x:v>
      </x:c>
    </x:row>
    <x:row r="19" ht="44" customHeight="1">
      <x:c r="A19" s="35" t="str">
        <x:v>PR-015</x:v>
      </x:c>
      <x:c r="B19" s="35" t="str">
        <x:v>P28</x:v>
      </x:c>
      <x:c r="C19" s="35" t="str">
        <x:v>Acto completamente dentro de la vigencia</x:v>
      </x:c>
      <x:c r="D19" s="35" t="str">
        <x:v>{"end": ["190", "190"], "start": ["110", "110"], "window": ["100", "200"]}</x:v>
      </x:c>
      <x:c r="E19" s="35" t="str">
        <x:v>1</x:v>
      </x:c>
      <x:c r="F19" s="35" t="str">
        <x:v>1</x:v>
      </x:c>
      <x:c r="G19" s="35" t="str">
        <x:f>IF(EXACT("x"&amp;E19,"x"&amp;F19),"Concordante","Discordante")</x:f>
        <x:v>Concordante</x:v>
      </x:c>
    </x:row>
    <x:row r="20" ht="44" customHeight="1">
      <x:c r="A20" s="35" t="str">
        <x:v>PR-016</x:v>
      </x:c>
      <x:c r="B20" s="35" t="str">
        <x:v>P28</x:v>
      </x:c>
      <x:c r="C20" s="35" t="str">
        <x:v>Acto termina después de caducar el permiso</x:v>
      </x:c>
      <x:c r="D20" s="35" t="str">
        <x:v>{"end": ["210", "210"], "start": ["190", "190"], "window": ["100", "200"]}</x:v>
      </x:c>
      <x:c r="E20" s="35" t="str">
        <x:v>0</x:v>
      </x:c>
      <x:c r="F20" s="35" t="str">
        <x:v>0</x:v>
      </x:c>
      <x:c r="G20" s="35" t="str">
        <x:f>IF(EXACT("x"&amp;E20,"x"&amp;F20),"Concordante","Discordante")</x:f>
        <x:v>Concordante</x:v>
      </x:c>
    </x:row>
    <x:row r="21" ht="44" customHeight="1">
      <x:c r="A21" s="35" t="str">
        <x:v>PR-017</x:v>
      </x:c>
      <x:c r="B21" s="35" t="str">
        <x:v>P28</x:v>
      </x:c>
      <x:c r="C21" s="35" t="str">
        <x:v>Incertidumbre sobre el comienzo en el límite</x:v>
      </x:c>
      <x:c r="D21" s="35" t="str">
        <x:v>{"end": ["190", "190"], "start": ["99", "101"], "window": ["100", "200"]}</x:v>
      </x:c>
      <x:c r="E21" s="35" t="str">
        <x:v>U</x:v>
      </x:c>
      <x:c r="F21" s="35" t="str">
        <x:v>U</x:v>
      </x:c>
      <x:c r="G21" s="35" t="str">
        <x:f>IF(EXACT("x"&amp;E21,"x"&amp;F21),"Concordante","Discordante")</x:f>
        <x:v>Concordante</x:v>
      </x:c>
    </x:row>
    <x:row r="22" ht="44" customHeight="1">
      <x:c r="A22" s="35" t="str">
        <x:v>PR-018</x:v>
      </x:c>
      <x:c r="B22" s="35" t="str">
        <x:v>P28</x:v>
      </x:c>
      <x:c r="C22" s="35" t="str">
        <x:v>Extremos cerrados iguales a la ventana</x:v>
      </x:c>
      <x:c r="D22" s="35" t="str">
        <x:v>{"end": ["200", "200"], "start": ["100", "100"], "window": ["100", "200"]}</x:v>
      </x:c>
      <x:c r="E22" s="35" t="str">
        <x:v>1</x:v>
      </x:c>
      <x:c r="F22" s="35" t="str">
        <x:v>1</x:v>
      </x:c>
      <x:c r="G22" s="35" t="str">
        <x:f>IF(EXACT("x"&amp;E22,"x"&amp;F22),"Concordante","Discordante")</x:f>
        <x:v>Concordante</x:v>
      </x:c>
    </x:row>
    <x:row r="23" ht="44" customHeight="1">
      <x:c r="A23" s="35" t="str">
        <x:v>PR-019</x:v>
      </x:c>
      <x:c r="B23" s="35" t="str">
        <x:v>P28</x:v>
      </x:c>
      <x:c r="C23" s="35" t="str">
        <x:v>Incertidumbre del fin que cruza el límite</x:v>
      </x:c>
      <x:c r="D23" s="35" t="str">
        <x:v>{"end": ["199", "201"], "start": ["190", "190"], "window": ["100", "200"]}</x:v>
      </x:c>
      <x:c r="E23" s="35" t="str">
        <x:v>U</x:v>
      </x:c>
      <x:c r="F23" s="35" t="str">
        <x:v>U</x:v>
      </x:c>
      <x:c r="G23" s="35" t="str">
        <x:f>IF(EXACT("x"&amp;E23,"x"&amp;F23),"Concordante","Discordante")</x:f>
        <x:v>Concordante</x:v>
      </x:c>
    </x:row>
    <x:row r="24" ht="48" customHeight="1">
      <x:c r="A24" s="35" t="str">
        <x:v>PR-020</x:v>
      </x:c>
      <x:c r="B24" s="35" t="str">
        <x:v>P28</x:v>
      </x:c>
      <x:c r="C24" s="35" t="str">
        <x:v>Enteros distintos que colapsan al convertir a doble precisión</x:v>
      </x:c>
      <x:c r="D24" s="35" t="str">
        <x:v>{"end": ["9007199254740993", "9007199254740993"], "start": ["9007199254740991", "9007199254740991"], "window": ["9007199254740991", "9007199254740992"]}</x:v>
      </x:c>
      <x:c r="E24" s="35" t="str">
        <x:v>0</x:v>
      </x:c>
      <x:c r="F24" s="35" t="str">
        <x:v>0</x:v>
      </x:c>
      <x:c r="G24" s="35" t="str">
        <x:f>IF(EXACT("x"&amp;E24,"x"&amp;F24),"Concordante","Discordante")</x:f>
        <x:v>Concordante</x:v>
      </x:c>
    </x:row>
    <x:row r="25" ht="44" customHeight="1">
      <x:c r="A25" s="35" t="str">
        <x:v>PR-021</x:v>
      </x:c>
      <x:c r="B25" s="35" t="str">
        <x:v>P28</x:v>
      </x:c>
      <x:c r="C25" s="35" t="str">
        <x:v>Marca de tiempo ausente</x:v>
      </x:c>
      <x:c r="D25" s="35" t="str">
        <x:v>{"start": ["110", "110"], "window": ["100", "200"]}</x:v>
      </x:c>
      <x:c r="E25" s="35" t="str">
        <x:v>U</x:v>
      </x:c>
      <x:c r="F25" s="35" t="str">
        <x:v>U</x:v>
      </x:c>
      <x:c r="G25" s="35" t="str">
        <x:f>IF(EXACT("x"&amp;E25,"x"&amp;F25),"Concordante","Discordante")</x:f>
        <x:v>Concordante</x:v>
      </x:c>
    </x:row>
    <x:row r="26" ht="44" customHeight="1">
      <x:c r="A26" s="35" t="str">
        <x:v>PR-022</x:v>
      </x:c>
      <x:c r="B26" s="35" t="str">
        <x:v>P29</x:v>
      </x:c>
      <x:c r="C26" s="35" t="str">
        <x:v>Revocación efectiva antes de comenzar</x:v>
      </x:c>
      <x:c r="D26" s="35" t="str">
        <x:v>{"complete": true, "end": ["200", "200"], "revocations": [["100", "100"]]}</x:v>
      </x:c>
      <x:c r="E26" s="35" t="str">
        <x:v>1</x:v>
      </x:c>
      <x:c r="F26" s="35" t="str">
        <x:v>1</x:v>
      </x:c>
      <x:c r="G26" s="35" t="str">
        <x:f>IF(EXACT("x"&amp;E26,"x"&amp;F26),"Concordante","Discordante")</x:f>
        <x:v>Concordante</x:v>
      </x:c>
    </x:row>
    <x:row r="27" ht="44" customHeight="1">
      <x:c r="A27" s="35" t="str">
        <x:v>PR-023</x:v>
      </x:c>
      <x:c r="B27" s="35" t="str">
        <x:v>P29</x:v>
      </x:c>
      <x:c r="C27" s="35" t="str">
        <x:v>Revocación efectiva durante la actuación</x:v>
      </x:c>
      <x:c r="D27" s="35" t="str">
        <x:v>{"complete": true, "end": ["200", "200"], "revocations": [["190", "190"]]}</x:v>
      </x:c>
      <x:c r="E27" s="35" t="str">
        <x:v>1</x:v>
      </x:c>
      <x:c r="F27" s="35" t="str">
        <x:v>1</x:v>
      </x:c>
      <x:c r="G27" s="35" t="str">
        <x:f>IF(EXACT("x"&amp;E27,"x"&amp;F27),"Concordante","Discordante")</x:f>
        <x:v>Concordante</x:v>
      </x:c>
    </x:row>
    <x:row r="28" ht="44" customHeight="1">
      <x:c r="A28" s="35" t="str">
        <x:v>PR-024</x:v>
      </x:c>
      <x:c r="B28" s="35" t="str">
        <x:v>P29</x:v>
      </x:c>
      <x:c r="C28" s="35" t="str">
        <x:v>Revocación posterior no retroactiva</x:v>
      </x:c>
      <x:c r="D28" s="35" t="str">
        <x:v>{"complete": true, "end": ["200", "200"], "revocations": [["210", "210"]]}</x:v>
      </x:c>
      <x:c r="E28" s="35" t="str">
        <x:v>0</x:v>
      </x:c>
      <x:c r="F28" s="35" t="str">
        <x:v>0</x:v>
      </x:c>
      <x:c r="G28" s="35" t="str">
        <x:f>IF(EXACT("x"&amp;E28,"x"&amp;F28),"Concordante","Discordante")</x:f>
        <x:v>Concordante</x:v>
      </x:c>
    </x:row>
    <x:row r="29" ht="44" customHeight="1">
      <x:c r="A29" s="35" t="str">
        <x:v>PR-025</x:v>
      </x:c>
      <x:c r="B29" s="35" t="str">
        <x:v>P29</x:v>
      </x:c>
      <x:c r="C29" s="35" t="str">
        <x:v>Ausencia acreditada en historia completa</x:v>
      </x:c>
      <x:c r="D29" s="35" t="str">
        <x:v>{"complete": true, "end": ["200", "200"], "revocations": []}</x:v>
      </x:c>
      <x:c r="E29" s="35" t="str">
        <x:v>0</x:v>
      </x:c>
      <x:c r="F29" s="35" t="str">
        <x:v>0</x:v>
      </x:c>
      <x:c r="G29" s="35" t="str">
        <x:f>IF(EXACT("x"&amp;E29,"x"&amp;F29),"Concordante","Discordante")</x:f>
        <x:v>Concordante</x:v>
      </x:c>
    </x:row>
    <x:row r="30" ht="44" customHeight="1">
      <x:c r="A30" s="35" t="str">
        <x:v>PR-026</x:v>
      </x:c>
      <x:c r="B30" s="35" t="str">
        <x:v>P29</x:v>
      </x:c>
      <x:c r="C30" s="35" t="str">
        <x:v>Ausencia de registros en historia incompleta</x:v>
      </x:c>
      <x:c r="D30" s="35" t="str">
        <x:v>{"complete": false, "end": ["200", "200"], "revocations": []}</x:v>
      </x:c>
      <x:c r="E30" s="35" t="str">
        <x:v>U</x:v>
      </x:c>
      <x:c r="F30" s="35" t="str">
        <x:v>U</x:v>
      </x:c>
      <x:c r="G30" s="35" t="str">
        <x:f>IF(EXACT("x"&amp;E30,"x"&amp;F30),"Concordante","Discordante")</x:f>
        <x:v>Concordante</x:v>
      </x:c>
    </x:row>
    <x:row r="31" ht="44" customHeight="1">
      <x:c r="A31" s="35" t="str">
        <x:v>PR-027</x:v>
      </x:c>
      <x:c r="B31" s="35" t="str">
        <x:v>P29</x:v>
      </x:c>
      <x:c r="C31" s="35" t="str">
        <x:v>Efectividad incierta alrededor del final</x:v>
      </x:c>
      <x:c r="D31" s="35" t="str">
        <x:v>{"complete": true, "end": ["200", "200"], "revocations": [["199", "201"]]}</x:v>
      </x:c>
      <x:c r="E31" s="35" t="str">
        <x:v>U</x:v>
      </x:c>
      <x:c r="F31" s="35" t="str">
        <x:v>U</x:v>
      </x:c>
      <x:c r="G31" s="35" t="str">
        <x:f>IF(EXACT("x"&amp;E31,"x"&amp;F31),"Concordante","Discordante")</x:f>
        <x:v>Concordante</x:v>
      </x:c>
    </x:row>
    <x:row r="32" ht="44" customHeight="1">
      <x:c r="A32" s="35" t="str">
        <x:v>PR-028</x:v>
      </x:c>
      <x:c r="B32" s="35" t="str">
        <x:v>P30</x:v>
      </x:c>
      <x:c r="C32" s="35" t="str">
        <x:v>Emisión anterior al comienzo</x:v>
      </x:c>
      <x:c r="D32" s="35" t="str">
        <x:v>{"issued": ["90", "90"], "start": ["100", "100"]}</x:v>
      </x:c>
      <x:c r="E32" s="35" t="str">
        <x:v>1</x:v>
      </x:c>
      <x:c r="F32" s="35" t="str">
        <x:v>1</x:v>
      </x:c>
      <x:c r="G32" s="35" t="str">
        <x:f>IF(EXACT("x"&amp;E32,"x"&amp;F32),"Concordante","Discordante")</x:f>
        <x:v>Concordante</x:v>
      </x:c>
    </x:row>
    <x:row r="33" ht="44" customHeight="1">
      <x:c r="A33" s="35" t="str">
        <x:v>PR-029</x:v>
      </x:c>
      <x:c r="B33" s="35" t="str">
        <x:v>P30</x:v>
      </x:c>
      <x:c r="C33" s="35" t="str">
        <x:v>Aprobación posterior con fecha redactada anterior</x:v>
      </x:c>
      <x:c r="D33" s="35" t="str">
        <x:v>{"issued": ["110", "110"], "start": ["100", "100"], "written_date": "80"}</x:v>
      </x:c>
      <x:c r="E33" s="35" t="str">
        <x:v>0</x:v>
      </x:c>
      <x:c r="F33" s="35" t="str">
        <x:v>0</x:v>
      </x:c>
      <x:c r="G33" s="35" t="str">
        <x:f>IF(EXACT("x"&amp;E33,"x"&amp;F33),"Concordante","Discordante")</x:f>
        <x:v>Concordante</x:v>
      </x:c>
    </x:row>
    <x:row r="34" ht="44" customHeight="1">
      <x:c r="A34" s="35" t="str">
        <x:v>PR-030</x:v>
      </x:c>
      <x:c r="B34" s="35" t="str">
        <x:v>P30</x:v>
      </x:c>
      <x:c r="C34" s="35" t="str">
        <x:v>Orden incierto por precisión del reloj</x:v>
      </x:c>
      <x:c r="D34" s="35" t="str">
        <x:v>{"issued": ["99", "101"], "start": ["100", "100"]}</x:v>
      </x:c>
      <x:c r="E34" s="35" t="str">
        <x:v>U</x:v>
      </x:c>
      <x:c r="F34" s="35" t="str">
        <x:v>U</x:v>
      </x:c>
      <x:c r="G34" s="35" t="str">
        <x:f>IF(EXACT("x"&amp;E34,"x"&amp;F34),"Concordante","Discordante")</x:f>
        <x:v>Concordante</x:v>
      </x:c>
    </x:row>
    <x:row r="35" ht="44" customHeight="1">
      <x:c r="A35" s="35" t="str">
        <x:v>PR-031</x:v>
      </x:c>
      <x:c r="B35" s="35" t="str">
        <x:v>P30</x:v>
      </x:c>
      <x:c r="C35" s="35" t="str">
        <x:v>Instantes exactamente simultáneos no son precedencia estricta</x:v>
      </x:c>
      <x:c r="D35" s="35" t="str">
        <x:v>{"issued": ["100", "100"], "start": ["100", "100"]}</x:v>
      </x:c>
      <x:c r="E35" s="35" t="str">
        <x:v>0</x:v>
      </x:c>
      <x:c r="F35" s="35" t="str">
        <x:v>0</x:v>
      </x:c>
      <x:c r="G35" s="35" t="str">
        <x:f>IF(EXACT("x"&amp;E35,"x"&amp;F35),"Concordante","Discordante")</x:f>
        <x:v>Concordante</x:v>
      </x:c>
    </x:row>
    <x:row r="36" ht="44" customHeight="1">
      <x:c r="A36" s="35" t="str">
        <x:v>PR-032</x:v>
      </x:c>
      <x:c r="B36" s="35" t="str">
        <x:v>P31</x:v>
      </x:c>
      <x:c r="C36" s="35" t="str">
        <x:v>Titulares canónicos diferentes</x:v>
      </x:c>
      <x:c r="D36" s="35" t="str">
        <x:v>{"applicable": true, "principal_a": "persona-A", "principal_b": "persona-B"}</x:v>
      </x:c>
      <x:c r="E36" s="35" t="str">
        <x:v>1</x:v>
      </x:c>
      <x:c r="F36" s="35" t="str">
        <x:v>1</x:v>
      </x:c>
      <x:c r="G36" s="35" t="str">
        <x:f>IF(EXACT("x"&amp;E36,"x"&amp;F36),"Concordante","Discordante")</x:f>
        <x:v>Concordante</x:v>
      </x:c>
    </x:row>
    <x:row r="37" ht="48" customHeight="1">
      <x:c r="A37" s="35" t="str">
        <x:v>PR-033</x:v>
      </x:c>
      <x:c r="B37" s="35" t="str">
        <x:v>P31</x:v>
      </x:c>
      <x:c r="C37" s="35" t="str">
        <x:v>Mismo principal con cuentas distintas</x:v>
      </x:c>
      <x:c r="D37" s="35" t="str">
        <x:v>{"account_a": "a", "account_b": "b", "applicable": true, "principal_a": "persona-A", "principal_b": "persona-A"}</x:v>
      </x:c>
      <x:c r="E37" s="35" t="str">
        <x:v>0</x:v>
      </x:c>
      <x:c r="F37" s="35" t="str">
        <x:v>0</x:v>
      </x:c>
      <x:c r="G37" s="35" t="str">
        <x:f>IF(EXACT("x"&amp;E37,"x"&amp;F37),"Concordante","Discordante")</x:f>
        <x:v>Concordante</x:v>
      </x:c>
    </x:row>
    <x:row r="38" ht="44" customHeight="1">
      <x:c r="A38" s="35" t="str">
        <x:v>PR-034</x:v>
      </x:c>
      <x:c r="B38" s="35" t="str">
        <x:v>P31</x:v>
      </x:c>
      <x:c r="C38" s="35" t="str">
        <x:v>Cuentas distintas sin atribución canónica</x:v>
      </x:c>
      <x:c r="D38" s="35" t="str">
        <x:v>{"account_a": "a", "account_b": "b", "applicable": true}</x:v>
      </x:c>
      <x:c r="E38" s="35" t="str">
        <x:v>U</x:v>
      </x:c>
      <x:c r="F38" s="35" t="str">
        <x:v>U</x:v>
      </x:c>
      <x:c r="G38" s="35" t="str">
        <x:f>IF(EXACT("x"&amp;E38,"x"&amp;F38),"Concordante","Discordante")</x:f>
        <x:v>Concordante</x:v>
      </x:c>
    </x:row>
    <x:row r="39" ht="44" customHeight="1">
      <x:c r="A39" s="35" t="str">
        <x:v>PR-035</x:v>
      </x:c>
      <x:c r="B39" s="35" t="str">
        <x:v>P31</x:v>
      </x:c>
      <x:c r="C39" s="35" t="str">
        <x:v>No se exige separación en este perfil</x:v>
      </x:c>
      <x:c r="D39" s="35" t="str">
        <x:v>{"applicable": false}</x:v>
      </x:c>
      <x:c r="E39" s="35" t="str">
        <x:v>NO_APLICABLE</x:v>
      </x:c>
      <x:c r="F39" s="35" t="str">
        <x:v>NO_APLICABLE</x:v>
      </x:c>
      <x:c r="G39" s="35" t="str">
        <x:f>IF(EXACT("x"&amp;E39,"x"&amp;F39),"Concordante","Discordante")</x:f>
        <x:v>Concordante</x:v>
      </x:c>
    </x:row>
    <x:row r="40" ht="44" customHeight="1">
      <x:c r="A40" s="35" t="str">
        <x:v>PR-036</x:v>
      </x:c>
      <x:c r="B40" s="35" t="str">
        <x:v>P32</x:v>
      </x:c>
      <x:c r="C40" s="35" t="str">
        <x:v>Acto previsto en plan previo</x:v>
      </x:c>
      <x:c r="D40" s="35" t="str">
        <x:v>{"act": "acto-1", "complete": true, "plan": ["acto-1"], "prior": true}</x:v>
      </x:c>
      <x:c r="E40" s="35" t="str">
        <x:v>1</x:v>
      </x:c>
      <x:c r="F40" s="35" t="str">
        <x:v>1</x:v>
      </x:c>
      <x:c r="G40" s="35" t="str">
        <x:f>IF(EXACT("x"&amp;E40,"x"&amp;F40),"Concordante","Discordante")</x:f>
        <x:v>Concordante</x:v>
      </x:c>
    </x:row>
    <x:row r="41" ht="44" customHeight="1">
      <x:c r="A41" s="35" t="str">
        <x:v>PR-037</x:v>
      </x:c>
      <x:c r="B41" s="35" t="str">
        <x:v>P32</x:v>
      </x:c>
      <x:c r="C41" s="35" t="str">
        <x:v>Acto urgente autorizado pero fuera del plan ordinario</x:v>
      </x:c>
      <x:c r="D41" s="35" t="str">
        <x:v>{"act": "acto-1", "complete": true, "emergency_permit": true, "plan": ["acto-2"], "prior": true}</x:v>
      </x:c>
      <x:c r="E41" s="35" t="str">
        <x:v>0</x:v>
      </x:c>
      <x:c r="F41" s="35" t="str">
        <x:v>0</x:v>
      </x:c>
      <x:c r="G41" s="35" t="str">
        <x:f>IF(EXACT("x"&amp;E41,"x"&amp;F41),"Concordante","Discordante")</x:f>
        <x:v>Concordante</x:v>
      </x:c>
    </x:row>
    <x:row r="42" ht="44" customHeight="1">
      <x:c r="A42" s="35" t="str">
        <x:v>PR-038</x:v>
      </x:c>
      <x:c r="B42" s="35" t="str">
        <x:v>P32</x:v>
      </x:c>
      <x:c r="C42" s="35" t="str">
        <x:v>Plan de cobertura incompleta</x:v>
      </x:c>
      <x:c r="D42" s="35" t="str">
        <x:v>{"act": "acto-1", "complete": false, "plan": ["acto-2"], "prior": true}</x:v>
      </x:c>
      <x:c r="E42" s="35" t="str">
        <x:v>U</x:v>
      </x:c>
      <x:c r="F42" s="35" t="str">
        <x:v>U</x:v>
      </x:c>
      <x:c r="G42" s="35" t="str">
        <x:f>IF(EXACT("x"&amp;E42,"x"&amp;F42),"Concordante","Discordante")</x:f>
        <x:v>Concordante</x:v>
      </x:c>
    </x:row>
    <x:row r="43" ht="44" customHeight="1">
      <x:c r="A43" s="35" t="str">
        <x:v>PR-039</x:v>
      </x:c>
      <x:c r="B43" s="35" t="str">
        <x:v>P32</x:v>
      </x:c>
      <x:c r="C43" s="35" t="str">
        <x:v>Se aporta sólo una versión posterior como plan previo</x:v>
      </x:c>
      <x:c r="D43" s="35" t="str">
        <x:v>{"act": "acto-1", "complete": true, "plan": ["acto-1"], "prior": false}</x:v>
      </x:c>
      <x:c r="E43" s="35" t="str">
        <x:v>NO_ADMISION</x:v>
      </x:c>
      <x:c r="F43" s="35" t="str">
        <x:v>NO_ADMISION</x:v>
      </x:c>
      <x:c r="G43" s="35" t="str">
        <x:f>IF(EXACT("x"&amp;E43,"x"&amp;F43),"Concordante","Discordante")</x:f>
        <x:v>Concordante</x:v>
      </x:c>
    </x:row>
    <x:row r="44" ht="44" customHeight="1">
      <x:c r="A44" s="35" t="str">
        <x:v>PR-040</x:v>
      </x:c>
      <x:c r="B44" s="35" t="str">
        <x:v>P32</x:v>
      </x:c>
      <x:c r="C44" s="35" t="str">
        <x:v>Plan previo explícitamente vacío</x:v>
      </x:c>
      <x:c r="D44" s="35" t="str">
        <x:v>{"act": "acto-1", "complete": true, "plan": [], "prior": true}</x:v>
      </x:c>
      <x:c r="E44" s="35" t="str">
        <x:v>0</x:v>
      </x:c>
      <x:c r="F44" s="35" t="str">
        <x:v>0</x:v>
      </x:c>
      <x:c r="G44" s="35" t="str">
        <x:f>IF(EXACT("x"&amp;E44,"x"&amp;F44),"Concordante","Discordante")</x:f>
        <x:v>Concordante</x:v>
      </x:c>
    </x:row>
    <x:row r="45" ht="44" customHeight="1">
      <x:c r="A45" s="35" t="str">
        <x:v>PR-041</x:v>
      </x:c>
      <x:c r="B45" s="35" t="str">
        <x:v>P28</x:v>
      </x:c>
      <x:c r="C45" s="35" t="str">
        <x:v>Número temporal no canónico</x:v>
      </x:c>
      <x:c r="D45" s="35" t="str">
        <x:v>{"end": ["190", "190"], "start": ["1e2", "1e2"], "window": ["100", "200"]}</x:v>
      </x:c>
      <x:c r="E45" s="35" t="str">
        <x:v>FALLO_TECNICO</x:v>
      </x:c>
      <x:c r="F45" s="35" t="str">
        <x:v>FALLO_TECNICO</x:v>
      </x:c>
      <x:c r="G45" s="35" t="str">
        <x:f>IF(EXACT("x"&amp;E45,"x"&amp;F45),"Concordante","Discordante")</x:f>
        <x:v>Concordante</x:v>
      </x:c>
    </x:row>
    <x:row r="46" ht="44" customHeight="1">
      <x:c r="A46" s="35" t="str">
        <x:v>PR-042</x:v>
      </x:c>
      <x:c r="B46" s="35" t="str">
        <x:v>P28</x:v>
      </x:c>
      <x:c r="C46" s="35" t="str">
        <x:v>Intervalo temporal invertido</x:v>
      </x:c>
      <x:c r="D46" s="35" t="str">
        <x:v>{"end": ["190", "190"], "start": ["110", "110"], "window": ["200", "100"]}</x:v>
      </x:c>
      <x:c r="E46" s="35" t="str">
        <x:v>FALLO_TECNICO</x:v>
      </x:c>
      <x:c r="F46" s="35" t="str">
        <x:v>FALLO_TECNICO</x:v>
      </x:c>
      <x:c r="G46" s="35" t="str">
        <x:f>IF(EXACT("x"&amp;E46,"x"&amp;F46),"Concordante","Discordante")</x:f>
        <x:v>Concordante</x:v>
      </x:c>
    </x:row>
    <x:row r="47" ht="44" customHeight="1">
      <x:c r="A47" s="35" t="str">
        <x:v>PR-043</x:v>
      </x:c>
      <x:c r="B47" s="35" t="str">
        <x:v>P26</x:v>
      </x:c>
      <x:c r="C47" s="35" t="str">
        <x:v>No admisión por procedencia inválida, distinta de incompetencia del actuante</x:v>
      </x:c>
      <x:c r="D47" s="35" t="str">
        <x:v>{"admitted": false}</x:v>
      </x:c>
      <x:c r="E47" s="35" t="str">
        <x:v>NO_ADMISION</x:v>
      </x:c>
      <x:c r="F47" s="35" t="str">
        <x:v>NO_ADMISION</x:v>
      </x:c>
      <x:c r="G47" s="35" t="str">
        <x:f>IF(EXACT("x"&amp;E47,"x"&amp;F47),"Concordante","Discordante")</x:f>
        <x:v>Concordante</x:v>
      </x:c>
    </x:row>
    <x:row r="48" ht="44" customHeight="1">
      <x:c r="A48" s="35" t="str">
        <x:v>PR-044</x:v>
      </x:c>
      <x:c r="B48" s="35" t="str">
        <x:v>P27</x:v>
      </x:c>
      <x:c r="C48" s="35" t="str">
        <x:v>Tipo incorrecto en el conjunto de alcance</x:v>
      </x:c>
      <x:c r="D48" s="35" t="str">
        <x:v>{"act": ["reiniciar", "activo-A", "agente-A", "mantenimiento"], "scope": true}</x:v>
      </x:c>
      <x:c r="E48" s="35" t="str">
        <x:v>FALLO_TECNICO</x:v>
      </x:c>
      <x:c r="F48" s="35" t="str">
        <x:v>FALLO_TECNICO</x:v>
      </x:c>
      <x:c r="G48" s="35" t="str">
        <x:f>IF(EXACT("x"&amp;E48,"x"&amp;F48),"Concordante","Discordante")</x:f>
        <x:v>Concordante</x:v>
      </x:c>
    </x:row>
    <x:row r="49" ht="44" customHeight="1">
      <x:c r="A49" s="35" t="str">
        <x:v>PR-045</x:v>
      </x:c>
      <x:c r="B49" s="35" t="str">
        <x:v>P26</x:v>
      </x:c>
      <x:c r="C49" s="35" t="str">
        <x:v>La marca de cobertura usa texto en vez de un valor lógico</x:v>
      </x:c>
      <x:c r="D49" s="35" t="str">
        <x:v>{"complete": "false", "grants": [], "issuer": "i1", "power": "reiniciar"}</x:v>
      </x:c>
      <x:c r="E49" s="35" t="str">
        <x:v>FALLO_TECNICO</x:v>
      </x:c>
      <x:c r="F49" s="35" t="str">
        <x:v>FALLO_TECNICO</x:v>
      </x:c>
      <x:c r="G49" s="35" t="str">
        <x:f>IF(EXACT("x"&amp;E49,"x"&amp;F49),"Concordante","Discordante")</x:f>
        <x:v>Concordante</x:v>
      </x:c>
    </x:row>
    <x:row r="50" ht="44" customHeight="1">
      <x:c r="A50" s="35" t="str">
        <x:v>PR-046</x:v>
      </x:c>
      <x:c r="B50" s="35" t="str">
        <x:v>P31</x:v>
      </x:c>
      <x:c r="C50" s="35" t="str">
        <x:v>La activación usa un número en vez de un valor lógico</x:v>
      </x:c>
      <x:c r="D50" s="35" t="str">
        <x:v>{"applicable": 1, "principal_a": "A", "principal_b": "B"}</x:v>
      </x:c>
      <x:c r="E50" s="35" t="str">
        <x:v>FALLO_TECNICO</x:v>
      </x:c>
      <x:c r="F50" s="35" t="str">
        <x:v>FALLO_TECNICO</x:v>
      </x:c>
      <x:c r="G50" s="35" t="str">
        <x:f>IF(EXACT("x"&amp;E50,"x"&amp;F50),"Concordante","Discordante")</x:f>
        <x:v>Concordante</x:v>
      </x:c>
    </x:row>
    <x:row r="54" ht="115" customHeight="1">
      <x:c r="A54" s="33" t="str">
        <x:v>Mutación del observador</x:v>
      </x:c>
      <x:c r="B54" s="33" t="str">
        <x:v>Casos que la refutan</x:v>
      </x:c>
      <x:c r="C54" s="33" t="str">
        <x:v>Cantidad</x:v>
      </x:c>
    </x:row>
    <x:row r="55" ht="115" customHeight="1">
      <x:c r="A55" s="33" t="str">
        <x:v>CUENTA_COMO_SESION</x:v>
      </x:c>
      <x:c r="B55" s="33" t="str">
        <x:v>PR-003</x:v>
      </x:c>
      <x:c r="C55" s="33" t="n">
        <x:v>1</x:v>
      </x:c>
    </x:row>
    <x:row r="56" ht="115" customHeight="1">
      <x:c r="A56" s="33" t="str">
        <x:v>FIRMA_COMO_COMPETENCIA</x:v>
      </x:c>
      <x:c r="B56" s="33" t="str">
        <x:v>PR-006, PR-007, PR-008</x:v>
      </x:c>
      <x:c r="C56" s="33" t="n">
        <x:v>3</x:v>
      </x:c>
    </x:row>
    <x:row r="57" ht="115" customHeight="1">
      <x:c r="A57" s="33" t="str">
        <x:v>SOLO_NOMBRE_ACCION</x:v>
      </x:c>
      <x:c r="B57" s="33" t="str">
        <x:v>PR-010, PR-011, PR-012</x:v>
      </x:c>
      <x:c r="C57" s="33" t="n">
        <x:v>3</x:v>
      </x:c>
    </x:row>
    <x:row r="58" ht="115" customHeight="1">
      <x:c r="A58" s="33" t="str">
        <x:v>IGNORAR_INCERTIDUMBRE</x:v>
      </x:c>
      <x:c r="B58" s="33" t="str">
        <x:v>PR-017, PR-019</x:v>
      </x:c>
      <x:c r="C58" s="33" t="n">
        <x:v>2</x:v>
      </x:c>
    </x:row>
    <x:row r="59" ht="115" customHeight="1">
      <x:c r="A59" s="33" t="str">
        <x:v>CUALQUIER_REVOCACION</x:v>
      </x:c>
      <x:c r="B59" s="33" t="str">
        <x:v>PR-024, PR-027</x:v>
      </x:c>
      <x:c r="C59" s="33" t="n">
        <x:v>2</x:v>
      </x:c>
    </x:row>
    <x:row r="60" ht="115" customHeight="1">
      <x:c r="A60" s="33" t="str">
        <x:v>SILENCIO_COMO_AUSENCIA</x:v>
      </x:c>
      <x:c r="B60" s="33" t="str">
        <x:v>PR-026</x:v>
      </x:c>
      <x:c r="C60" s="33" t="n">
        <x:v>1</x:v>
      </x:c>
    </x:row>
    <x:row r="61" ht="115" customHeight="1">
      <x:c r="A61" s="33" t="str">
        <x:v>FECHA_ESCRITA_COMO_EMISION</x:v>
      </x:c>
      <x:c r="B61" s="33" t="str">
        <x:v>PR-029</x:v>
      </x:c>
      <x:c r="C61" s="33" t="n">
        <x:v>1</x:v>
      </x:c>
    </x:row>
    <x:row r="62" ht="115" customHeight="1">
      <x:c r="A62" s="33" t="str">
        <x:v>CUENTAS_COMO_PERSONAS</x:v>
      </x:c>
      <x:c r="B62" s="33" t="str">
        <x:v>PR-033, PR-034</x:v>
      </x:c>
      <x:c r="C62" s="33" t="n">
        <x:v>2</x:v>
      </x:c>
    </x:row>
    <x:row r="63" ht="115" customHeight="1">
      <x:c r="A63" s="33" t="str">
        <x:v>PERMISO_COMO_PLAN</x:v>
      </x:c>
      <x:c r="B63" s="33" t="str">
        <x:v>PR-037</x:v>
      </x:c>
      <x:c r="C63" s="33" t="n">
        <x:v>1</x:v>
      </x:c>
    </x:row>
    <x:row r="64" ht="115" customHeight="1">
      <x:c r="A64" s="33" t="str">
        <x:v>APLICABILIDAD_COMO_EXITO</x:v>
      </x:c>
      <x:c r="B64" s="33" t="str">
        <x:v>PR-035</x:v>
      </x:c>
      <x:c r="C64" s="33" t="n">
        <x:v>1</x:v>
      </x:c>
    </x:row>
    <x:row r="65" ht="115" customHeight="1">
      <x:c r="A65" s="33" t="str">
        <x:v>DOBLE_PRECISION_INTERMEDIA</x:v>
      </x:c>
      <x:c r="B65" s="33" t="str">
        <x:v>PR-020</x:v>
      </x:c>
      <x:c r="C65" s="33" t="n">
        <x:v>1</x:v>
      </x:c>
    </x:row>
    <x:row r="68" ht="90" customHeight="1">
      <x:c r="A68" s="29" t="str">
        <x:v>Verificación</x:v>
      </x:c>
      <x:c r="B68" s="29" t="str">
        <x:v>Resultado</x:v>
      </x:c>
    </x:row>
    <x:row r="69" ht="90" customHeight="1">
      <x:c r="A69" s="29" t="str">
        <x:v>Casos discordantes</x:v>
      </x:c>
      <x:c r="B69" s="29" t="n">
        <x:f>COUNTIF(G5:G50,"Discordante")</x:f>
        <x:v>0</x:v>
      </x:c>
    </x:row>
    <x:row r="70" ht="90" customHeight="1">
      <x:c r="A70" s="29" t="str">
        <x:v>Identidades repetidas en la ampliación</x:v>
      </x:c>
      <x:c r="B70" s="29" t="n">
        <x:f>IF(COUNTIF('74_Ampliacion_atomica'!B5:B12,'74_Ampliacion_atomica'!B5)=1,0,1)+IF(COUNTIF('74_Ampliacion_atomica'!B5:B12,'74_Ampliacion_atomica'!B6)=1,0,1)+IF(COUNTIF('74_Ampliacion_atomica'!B5:B12,'74_Ampliacion_atomica'!B7)=1,0,1)+IF(COUNTIF('74_Ampliacion_atomica'!B5:B12,'74_Ampliacion_atomica'!B8)=1,0,1)+IF(COUNTIF('74_Ampliacion_atomica'!B5:B12,'74_Ampliacion_atomica'!B9)=1,0,1)+IF(COUNTIF('74_Ampliacion_atomica'!B5:B12,'74_Ampliacion_atomica'!B10)=1,0,1)+IF(COUNTIF('74_Ampliacion_atomica'!B5:B12,'74_Ampliacion_atomica'!B11)=1,0,1)+IF(COUNTIF('74_Ampliacion_atomica'!B5:B12,'74_Ampliacion_atomica'!B12)=1,0,1)</x:f>
        <x:v>0</x:v>
      </x:c>
    </x:row>
  </x:sheetData>
  <x:mergeCells>
    <x:mergeCell ref="A1:D1"/>
    <x:mergeCell ref="A2:F2"/>
  </x:mergeCells>
  <x:conditionalFormatting sqref="G5:G50">
    <x:cfRule type="containsText" dxfId="29" priority="1" operator="containsText" text="Discordante"/>
  </x:conditionalFormatting>
  <x:pageMargins left="0.7" right="0.7" top="0.75" bottom="0.75" header="0.3" footer="0.3"/>
  <x:tableParts count="1">
    <x:tablePart xmlns:r="http://schemas.openxmlformats.org/officeDocument/2006/relationships" r:id="R55a0222fb37d4796"/>
  </x:tableParts>
</x:worksheet>
</file>

<file path=xl/worksheets/sheet81.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6" hidden="0" customWidth="1"/>
    <x:col min="2" max="2" width="78" hidden="0" customWidth="1"/>
    <x:col min="3" max="3" width="97" hidden="0" customWidth="1"/>
    <x:col min="4" max="4" width="56" hidden="0" customWidth="1"/>
    <x:col min="5" max="5" width="59" hidden="0" customWidth="1"/>
    <x:col min="6" max="6" width="120" hidden="0" customWidth="1"/>
    <x:col min="7" max="7" width="96" hidden="0" customWidth="1"/>
    <x:col min="8" max="8" width="123" hidden="0" customWidth="1"/>
    <x:col min="9" max="9" width="118" hidden="0" customWidth="1"/>
    <x:col min="10" max="10" width="78" hidden="0" customWidth="1"/>
    <x:col min="11" max="11" width="18" hidden="0" customWidth="1"/>
  </x:cols>
  <x:sheetData>
    <x:row r="1" ht="34" customHeight="1">
      <x:c r="A1" s="36" t="str">
        <x:v>Referencias de presión y alcance de lectura</x:v>
      </x:c>
      <x:c r="B1" s="35"/>
      <x:c r="C1" s="35"/>
      <x:c r="D1" s="35"/>
      <x:c r="E1" s="35"/>
      <x:c r="F1" s="35"/>
      <x:c r="G1" s="35"/>
      <x:c r="H1" s="35"/>
      <x:c r="I1" s="35"/>
      <x:c r="J1" s="35"/>
      <x:c r="K1" s="35"/>
    </x:row>
    <x:row r="2" ht="48" customHeight="1">
      <x:c r="A2" s="37" t="str">
        <x:v>Doce registros complementarios. No se suman sin deduplicar a las 78 referencias anteriores. Fuentes originales identificadas por huella.</x:v>
      </x:c>
      <x:c r="B2" s="35"/>
      <x:c r="C2" s="35"/>
      <x:c r="D2" s="35"/>
      <x:c r="E2" s="35"/>
      <x:c r="F2" s="35"/>
      <x:c r="G2" s="35"/>
      <x:c r="H2" s="35"/>
      <x:c r="I2" s="35"/>
      <x:c r="J2" s="35"/>
      <x:c r="K2" s="35"/>
    </x:row>
    <x:row r="3">
      <x:c r="A3" s="35"/>
      <x:c r="B3" s="35"/>
      <x:c r="C3" s="35"/>
      <x:c r="D3" s="35"/>
      <x:c r="E3" s="35"/>
      <x:c r="F3" s="35"/>
      <x:c r="G3" s="35"/>
      <x:c r="H3" s="35"/>
      <x:c r="I3" s="35"/>
      <x:c r="J3" s="35"/>
      <x:c r="K3" s="35"/>
    </x:row>
    <x:row r="4" ht="62" customHeight="1">
      <x:c r="A4" s="51" t="str">
        <x:v>Referencia</x:v>
      </x:c>
      <x:c r="B4" s="51" t="str">
        <x:v>Autoría</x:v>
      </x:c>
      <x:c r="C4" s="51" t="str">
        <x:v>Título</x:v>
      </x:c>
      <x:c r="D4" s="51" t="str">
        <x:v>Edición o fecha</x:v>
      </x:c>
      <x:c r="E4" s="51" t="str">
        <x:v>Naturaleza</x:v>
      </x:c>
      <x:c r="F4" s="51" t="str">
        <x:v>Fuente o copia</x:v>
      </x:c>
      <x:c r="G4" s="51" t="str">
        <x:v>Localizador</x:v>
      </x:c>
      <x:c r="H4" s="51" t="str">
        <x:v>Lectura y límite</x:v>
      </x:c>
      <x:c r="I4" s="51" t="str">
        <x:v>Aportación</x:v>
      </x:c>
      <x:c r="J4" s="51" t="str">
        <x:v>SHA-256 de la copia</x:v>
      </x:c>
      <x:c r="K4" s="51" t="str">
        <x:v>Bytes</x:v>
      </x:c>
    </x:row>
    <x:row r="5" ht="48" customHeight="1">
      <x:c r="A5" s="35" t="str">
        <x:v>N01</x:v>
      </x:c>
      <x:c r="B5" s="35" t="str">
        <x:v>España. Consejo de Ministros</x:v>
      </x:c>
      <x:c r="C5" s="35" t="str">
        <x:v>Real Decreto 311/2022, de 3 de mayo, por el que se regula el Esquema Nacional de Seguridad</x:v>
      </x:c>
      <x:c r="D5" s="35" t="str">
        <x:v>2022; consolidación consultada: 06-11-2024</x:v>
      </x:c>
      <x:c r="E5" s="35" t="str">
        <x:v>Norma jurídica; texto consolidado informativo</x:v>
      </x:c>
      <x:c r="F5" s="35" t="str">
        <x:v>https://www.boe.es/buscar/act.php?id=BOE-A-2022-7191</x:v>
      </x:c>
      <x:c r="G5" s="35" t="str">
        <x:v>Arts. 2–3, 11, 17, 21, 24; anexos I–II, op.acc.1/3/4, op.exp.4/5/8, mp.info.4</x:v>
      </x:c>
      <x:c r="H5" s="35" t="str">
        <x:v>Lectura dirigida de artículos y medidas identificados; no certificación de un sistema.</x:v>
      </x:c>
      <x:c r="I5" s="35" t="str">
        <x:v>Obligaciones diferenciadas por ámbito, categoría y dimensión; no impone sellado cualificado a cualquier acto.</x:v>
      </x:c>
      <x:c r="J5" s="35" t="str">
        <x:v>78ad1b6428efa9d6ef5a830161d4dd7a5365cf2bd010accf87aeb830a6af9dd6</x:v>
      </x:c>
      <x:c r="K5" s="35" t="n">
        <x:v>427339</x:v>
      </x:c>
    </x:row>
    <x:row r="6" ht="48" customHeight="1">
      <x:c r="A6" s="35" t="str">
        <x:v>N02B</x:v>
      </x:c>
      <x:c r="B6" s="35" t="str">
        <x:v>Parlamento Europeo y Consejo de la Unión Europea</x:v>
      </x:c>
      <x:c r="C6" s="35" t="str">
        <x:v>Reglamento (UE) 2016/679, Reglamento general de protección de datos</x:v>
      </x:c>
      <x:c r="D6" s="35" t="str">
        <x:v>2016; texto BOE con correcciones incorporadas</x:v>
      </x:c>
      <x:c r="E6" s="35" t="str">
        <x:v>Norma jurídica</x:v>
      </x:c>
      <x:c r="F6" s="35" t="str">
        <x:v>https://www.boe.es/buscar/doc.php?id=DOUE-L-2016-80807</x:v>
      </x:c>
      <x:c r="G6" s="35" t="str">
        <x:v>Considerando 26; arts. 4–6, 9, 25, 32</x:v>
      </x:c>
      <x:c r="H6" s="35" t="str">
        <x:v>Lectura dirigida de los preceptos utilizados; no evaluación jurídica de una institución concreta.</x:v>
      </x:c>
      <x:c r="I6" s="35" t="str">
        <x:v>Finalidad, minimización, seguridad y fundamento del tratamiento. Cifrado y seudonimización no equivalen a anonimización.</x:v>
      </x:c>
      <x:c r="J6" s="35" t="str">
        <x:v>d32c8784b82b27edb354a085ee111c64d8b755fd1e27441a9c8738cb751638fd</x:v>
      </x:c>
      <x:c r="K6" s="35" t="n">
        <x:v>444189</x:v>
      </x:c>
    </x:row>
    <x:row r="7" ht="48" customHeight="1">
      <x:c r="A7" s="35" t="str">
        <x:v>N03B</x:v>
      </x:c>
      <x:c r="B7" s="35" t="str">
        <x:v>Parlamento Europeo y Consejo de la Unión Europea</x:v>
      </x:c>
      <x:c r="C7" s="35" t="str">
        <x:v>Reglamento (UE) n.º 910/2014, identificación electrónica y servicios de confianza</x:v>
      </x:c>
      <x:c r="D7" s="35" t="str">
        <x:v>2014; arts. 41–42 contrastados con modificación de 2024</x:v>
      </x:c>
      <x:c r="E7" s="35" t="str">
        <x:v>Norma jurídica; texto de origen</x:v>
      </x:c>
      <x:c r="F7" s="35" t="str">
        <x:v>https://www.boe.es/buscar/doc.php?id=DOUE-L-2014-81822</x:v>
      </x:c>
      <x:c r="G7" s="35" t="str">
        <x:v>Arts. 41.1–2 y 42.1; actualización en N03C</x:v>
      </x:c>
      <x:c r="H7" s="35" t="str">
        <x:v>Lectura de efectos y requisitos del sellado; no validación de un sello concreto.</x:v>
      </x:c>
      <x:c r="I7" s="35" t="str">
        <x:v>El sellado vincula datos y tiempo en su alcance; no acredita por sí mismo competencia ni verdad de todo lo narrado.</x:v>
      </x:c>
      <x:c r="J7" s="35" t="str">
        <x:v>5548dab5e7e1fb9f02b9088039aaf47a18a98b0ab312a5f5b78fc4ae69a11991</x:v>
      </x:c>
      <x:c r="K7" s="35" t="n">
        <x:v>193364</x:v>
      </x:c>
    </x:row>
    <x:row r="8" ht="48" customHeight="1">
      <x:c r="A8" s="35" t="str">
        <x:v>N03C</x:v>
      </x:c>
      <x:c r="B8" s="35" t="str">
        <x:v>Parlamento Europeo y Consejo de la Unión Europea</x:v>
      </x:c>
      <x:c r="C8" s="35" t="str">
        <x:v>Reglamento (UE) 2024/1183, marco europeo de identidad digital</x:v>
      </x:c>
      <x:c r="D8" s="35" t="str">
        <x:v>11-04-2024; publicación 30-04-2024</x:v>
      </x:c>
      <x:c r="E8" s="35" t="str">
        <x:v>Norma modificativa</x:v>
      </x:c>
      <x:c r="F8" s="35" t="str">
        <x:v>https://www.boe.es/buscar/doc.php?id=DOUE-L-2024-80608</x:v>
      </x:c>
      <x:c r="G8" s="35" t="str">
        <x:v>Art. 1, puntos 41–42</x:v>
      </x:c>
      <x:c r="H8" s="35" t="str">
        <x:v>Lectura de la modificación de los arts. 41–42 de eIDAS.</x:v>
      </x:c>
      <x:c r="I8" s="35" t="str">
        <x:v>Suprime art. 41.3, añade art. 42.1 bis y sustituye art. 42.2; evita usar el régimen de desarrollo de 2014 como vigente.</x:v>
      </x:c>
      <x:c r="J8" s="35" t="str">
        <x:v>9b694e4462b272a38ca6357f5a6bc21f03a6da0bb85d2c98fc7463a8969a9383</x:v>
      </x:c>
      <x:c r="K8" s="35" t="n">
        <x:v>487874</x:v>
      </x:c>
    </x:row>
    <x:row r="9" ht="48" customHeight="1">
      <x:c r="A9" s="35" t="str">
        <x:v>N04</x:v>
      </x:c>
      <x:c r="B9" s="35" t="str">
        <x:v>Comisión Europea. Dirección General de Salud y Seguridad Alimentaria</x:v>
      </x:c>
      <x:c r="C9" s="35" t="str">
        <x:v>European Health Data Space Regulation (EHDS)</x:v>
      </x:c>
      <x:c r="D9" s="35" t="str">
        <x:v>Página institucional consultada 09-09-2026</x:v>
      </x:c>
      <x:c r="E9" s="35" t="str">
        <x:v>Información institucional sobre aplicación temporal</x:v>
      </x:c>
      <x:c r="F9" s="35" t="str">
        <x:v>https://health.ec.europa.eu/ehealth-digital-health-and-care/european-health-data-space-regulation-ehds_en</x:v>
      </x:c>
      <x:c r="G9" s="35" t="str">
        <x:v>Sección de calendario de aplicación</x:v>
      </x:c>
      <x:c r="H9" s="35" t="str">
        <x:v>Lectura de calendario y transición, no de todas las obligaciones del Reglamento.</x:v>
      </x:c>
      <x:c r="I9" s="35" t="str">
        <x:v>El EHDS ya no es sólo la propuesta citada por la guía CCN de 2024; las principales fases de aplicación son posteriores a 2026.</x:v>
      </x:c>
      <x:c r="J9" s="35" t="str">
        <x:v>753de6a291c7f3bc53f32f9c4d66a2ca2b7eafc8592c5e98919f6ecef1b5601f</x:v>
      </x:c>
      <x:c r="K9" s="35" t="n">
        <x:v>94867</x:v>
      </x:c>
    </x:row>
    <x:row r="10" ht="48" customHeight="1">
      <x:c r="A10" s="35" t="str">
        <x:v>N05</x:v>
      </x:c>
      <x:c r="B10" s="35" t="str">
        <x:v>Cloudflare</x:v>
      </x:c>
      <x:c r="C10" s="35" t="str">
        <x:v>Evolving to a SASE architecture with Cloudflare</x:v>
      </x:c>
      <x:c r="D10" s="35" t="str">
        <x:v>Actualización de página: 18-08-2026</x:v>
      </x:c>
      <x:c r="E10" s="35" t="str">
        <x:v>Arquitectura de fabricante</x:v>
      </x:c>
      <x:c r="F10" s="35" t="str">
        <x:v>https://developers.cloudflare.com/reference-architecture/architectures/sase/</x:v>
      </x:c>
      <x:c r="G10" s="35" t="str">
        <x:v>Secciones de SaaS, proveedores de identidad, postura del dispositivo, DLP, registros y distinción de tráfico de entrada/salida de cloudflared</x:v>
      </x:c>
      <x:c r="H10" s="35" t="str">
        <x:v>Lectura dirigida de esas secciones; no prueba del servicio ni lectura declarada de toda la documentación enlazada.</x:v>
      </x:c>
      <x:c r="I10" s="35" t="str">
        <x:v>Presión sobre cobertura real y destinos de datos. No se adopta el producto ni se atribuye cumplimiento normativo por su publicidad.</x:v>
      </x:c>
      <x:c r="J10" s="35" t="str">
        <x:v>db37f85ae2a88ebc2206634187b7820c46cd5fda1eade5da5039a5731b664e88</x:v>
      </x:c>
      <x:c r="K10" s="35" t="n">
        <x:v>255242</x:v>
      </x:c>
    </x:row>
    <x:row r="11" ht="48" customHeight="1">
      <x:c r="A11" s="35" t="str">
        <x:v>N06</x:v>
      </x:c>
      <x:c r="B11" s="35" t="str">
        <x:v>Rose, S.; Borchert, O.; Mitchell, S.; Connelly, S. NIST</x:v>
      </x:c>
      <x:c r="C11" s="35" t="str">
        <x:v>Zero Trust Architecture. NIST SP 800-207</x:v>
      </x:c>
      <x:c r="D11" s="35" t="str">
        <x:v>Agosto de 2020</x:v>
      </x:c>
      <x:c r="E11" s="35" t="str">
        <x:v>Publicación técnica institucional</x:v>
      </x:c>
      <x:c r="F11" s="35" t="str">
        <x:v>https://nvlpubs.nist.gov/nistpubs/SpecialPublications/NIST.SP.800-207.pdf</x:v>
      </x:c>
      <x:c r="G11" s="35" t="str">
        <x:v>Resumen y §2.1, pp. 6–7</x:v>
      </x:c>
      <x:c r="H11" s="35" t="str">
        <x:v>Lectura dirigida de principios y alcance.</x:v>
      </x:c>
      <x:c r="I11" s="35" t="str">
        <x:v>Separa autenticación y autorización y evita confiar por ubicación de red. La política dinámica del caso no autoriza aprendizaje automático del conocimiento SV.</x:v>
      </x:c>
      <x:c r="J11" s="35" t="str">
        <x:v>0290d6ece24874287316f4bf430fef770aa4ec08a2227c8f2c1e5b2ff975e03d</x:v>
      </x:c>
      <x:c r="K11" s="35" t="n">
        <x:v>966908</x:v>
      </x:c>
    </x:row>
    <x:row r="12" ht="48" customHeight="1">
      <x:c r="A12" s="35" t="str">
        <x:v>N07</x:v>
      </x:c>
      <x:c r="B12" s="35" t="str">
        <x:v>NIST</x:v>
      </x:c>
      <x:c r="C12" s="35" t="str">
        <x:v>Digital Identity Guidelines. NIST SP 800-63-4</x:v>
      </x:c>
      <x:c r="D12" s="35" t="str">
        <x:v>Julio de 2025</x:v>
      </x:c>
      <x:c r="E12" s="35" t="str">
        <x:v>Publicación técnica institucional</x:v>
      </x:c>
      <x:c r="F12" s="35" t="str">
        <x:v>https://nvlpubs.nist.gov/nistpubs/SpecialPublications/NIST.SP.800-63-4.pdf</x:v>
      </x:c>
      <x:c r="G12" s="35" t="str">
        <x:v>§§1.1–1.2, pp. 2–3; alcance de identidad digital</x:v>
      </x:c>
      <x:c r="H12" s="35" t="str">
        <x:v>Lectura del alcance y exclusiones; no certificación de autenticadores.</x:v>
      </x:c>
      <x:c r="I12" s="35" t="str">
        <x:v>Referencia para identidad humana; no se traslada como cobertura completa de máquina a máquina, IoT o API.</x:v>
      </x:c>
      <x:c r="J12" s="35" t="str">
        <x:v>2f5b107de218a0fc3fe7f7e91b2ece5babb001eda5745b7c568a3cc876002f2d</x:v>
      </x:c>
      <x:c r="K12" s="35" t="n">
        <x:v>858054</x:v>
      </x:c>
    </x:row>
    <x:row r="13" ht="48" customHeight="1">
      <x:c r="A13" s="35" t="str">
        <x:v>N09</x:v>
      </x:c>
      <x:c r="B13" s="35" t="str">
        <x:v>Comité Europeo de Protección de Datos</x:v>
      </x:c>
      <x:c r="C13" s="35" t="str">
        <x:v>Datos personales seguros. Guía de protección de datos para pequeñas empresas</x:v>
      </x:c>
      <x:c r="D13" s="35" t="str">
        <x:v>Página y copia impresa consultadas 09-09-2026</x:v>
      </x:c>
      <x:c r="E13" s="35" t="str">
        <x:v>Guía institucional</x:v>
      </x:c>
      <x:c r="F13" s="35" t="str">
        <x:v>https://www.edpb.europa.eu/sme/be-compliant/secure-personal-data_es</x:v>
      </x:c>
      <x:c r="G13" s="35" t="str">
        <x:v>Riesgos; organización; usuarios; datos sensibles; seudonimización y anonimización; copia ADJ3, 26 páginas</x:v>
      </x:c>
      <x:c r="H13" s="35" t="str">
        <x:v>Lectura completa de la copia facilitada y contraste con página institucional.</x:v>
      </x:c>
      <x:c r="I13" s="35" t="str">
        <x:v>Ejemplos educativos sobre protección de datos; no sustituye al Reglamento ni certifica conformidad.</x:v>
      </x:c>
      <x:c r="J13" s="35" t="str">
        <x:v>87abdd65037bd6a17a9e4bd0015fa458a6517569de4276100f4d34d0a73ac1c4</x:v>
      </x:c>
      <x:c r="K13" s="35" t="n">
        <x:v>58588</x:v>
      </x:c>
    </x:row>
    <x:row r="14" ht="48" customHeight="1">
      <x:c r="A14" s="35" t="str">
        <x:v>N10</x:v>
      </x:c>
      <x:c r="B14" s="35" t="str">
        <x:v>Jones, M.; Nadalin, A.; Campbell, B.; Bradley, J.; Mortimore, C. IETF</x:v>
      </x:c>
      <x:c r="C14" s="35" t="str">
        <x:v>OAuth 2.0 Token Exchange. RFC 8693</x:v>
      </x:c>
      <x:c r="D14" s="35" t="str">
        <x:v>Enero de 2020</x:v>
      </x:c>
      <x:c r="E14" s="35" t="str">
        <x:v>Especificación de protocolo</x:v>
      </x:c>
      <x:c r="F14" s="35" t="str">
        <x:v>https://www.rfc-editor.org/rfc/rfc8693.txt</x:v>
      </x:c>
      <x:c r="G14" s="35" t="str">
        <x:v>§1.1 y §2.1</x:v>
      </x:c>
      <x:c r="H14" s="35" t="str">
        <x:v>Lectura de distinción delegación/representación y solicitud de intercambio; no implementación ensayada.</x:v>
      </x:c>
      <x:c r="I14" s="35" t="str">
        <x:v>El protocolo permite distinguir actor y sujeto. Su término impersonation también nombra un modo legítimo y no equivale siempre a suplantación fraudulenta.</x:v>
      </x:c>
      <x:c r="J14" s="35" t="str">
        <x:v>358d658014738bf4dc56c8aae2094ce716ede23b6d5a80488a7dc8e8d72da609</x:v>
      </x:c>
      <x:c r="K14" s="35" t="n">
        <x:v>63031</x:v>
      </x:c>
    </x:row>
    <x:row r="15" ht="48" customHeight="1">
      <x:c r="A15" s="35" t="str">
        <x:v>ADJ1</x:v>
      </x:c>
      <x:c r="B15" s="35" t="str">
        <x:v>Centro Criptológico Nacional</x:v>
      </x:c>
      <x:c r="C15" s="35" t="str">
        <x:v>CCN-STIC 813. Ciberseguridad de espacios de datos</x:v>
      </x:c>
      <x:c r="D15" s="35" t="str">
        <x:v>Abril de 2024</x:v>
      </x:c>
      <x:c r="E15" s="35" t="str">
        <x:v>Guía institucional facilitada por el Director</x:v>
      </x:c>
      <x:c r="F15" s="35" t="str">
        <x:v>https://www.ccn-cert.cni.es/es/seguridad-al-dia/novedades-ccn-cert/12941-actualizada-la-guia-ccn-stic-813-sobre-ciberseguridad-de-espacios-de-datos.html</x:v>
      </x:c>
      <x:c r="G15" s="35" t="str">
        <x:v>§1.4.1; §§2.1–2.9; tablas de pp. 19–22; 30 páginas</x:v>
      </x:c>
      <x:c r="H15" s="35" t="str">
        <x:v>Lectura completa del PDF; portada vista. El nombre antiguo también persiste en la URL oficial. La firma visible no fue validada criptográficamente.</x:v>
      </x:c>
      <x:c r="I15" s="35" t="str">
        <x:v>Alcance centrado en espacios de datos centralizados. No se usa el PDF como certificación de productos ni se atribuye cobertura federada general.</x:v>
      </x:c>
      <x:c r="J15" s="35" t="str">
        <x:v>e6b53e0a9971a0a933e843206f3817909077112c5b2c2082937b747dd663a333</x:v>
      </x:c>
      <x:c r="K15" s="35" t="n">
        <x:v>1643124</x:v>
      </x:c>
    </x:row>
    <x:row r="16" ht="48" customHeight="1">
      <x:c r="A16" s="35" t="str">
        <x:v>ADJ2</x:v>
      </x:c>
      <x:c r="B16" s="35" t="str">
        <x:v>Cloudflare</x:v>
      </x:c>
      <x:c r="C16" s="35" t="str">
        <x:v>Seguridad SaaS · Confianza cero</x:v>
      </x:c>
      <x:c r="D16" s="35" t="str">
        <x:v>Copia impresa facilitada; edición no identificada</x:v>
      </x:c>
      <x:c r="E16" s="35" t="str">
        <x:v>Material comercial de fabricante</x:v>
      </x:c>
      <x:c r="F16" s="35" t="str">
        <x:v>PDF ADJ2 facilitado por el Director; URL de origen no identificada</x:v>
      </x:c>
      <x:c r="G16" s="35" t="str">
        <x:v>12 páginas; descubrimiento de aplicaciones, CASB, DLP y usos de IA</x:v>
      </x:c>
      <x:c r="H16" s="35" t="str">
        <x:v>Lectura completa de la copia facilitada.</x:v>
      </x:c>
      <x:c r="I16" s="35" t="str">
        <x:v>Pistas de exposición y control; las afirmaciones de eficacia comercial no son resultados independientes de la revisión.</x:v>
      </x:c>
      <x:c r="J16" s="35" t="str">
        <x:v>65cd17d291c73f8d9151b2d6fdd539af0a53f26192baf39883875cc01b221787</x:v>
      </x:c>
      <x:c r="K16" s="35" t="n">
        <x:v>2118184</x:v>
      </x:c>
    </x:row>
  </x:sheetData>
  <x:mergeCells>
    <x:mergeCell ref="A1:D1"/>
    <x:mergeCell ref="A2:F2"/>
  </x:mergeCells>
  <x:pageMargins left="0.7" right="0.7" top="0.75" bottom="0.75" header="0.3" footer="0.3"/>
  <x:tableParts count="1">
    <x:tablePart xmlns:r="http://schemas.openxmlformats.org/officeDocument/2006/relationships" r:id="R556be61ac87543cc"/>
  </x:tableParts>
</x:worksheet>
</file>

<file path=xl/worksheets/sheet82.xml><?xml version="1.0" encoding="utf-8"?>
<x:worksheet xmlns:x="http://schemas.openxmlformats.org/spreadsheetml/2006/main">
  <x:sheetPr>
    <x:tabColor rgb="FF254F69"/>
  </x:sheetPr>
  <x:sheetViews>
    <x:sheetView showGridLines="0" workbookViewId="0">
      <x:pane xSplit="1" ySplit="4" topLeftCell="B5" activePane="bottomRight" state="frozen"/>
    </x:sheetView>
  </x:sheetViews>
  <x:sheetFormatPr defaultRowHeight="15"/>
  <x:cols>
    <x:col min="1" max="1" width="28" hidden="0" customWidth="1"/>
    <x:col min="2" max="2" width="45" hidden="0" customWidth="1"/>
    <x:col min="3" max="3" width="82" hidden="0" customWidth="1"/>
    <x:col min="4" max="4" width="29" hidden="0" customWidth="1"/>
    <x:col min="5" max="5" width="58" hidden="0" customWidth="1"/>
    <x:col min="6" max="6" width="32" hidden="0" customWidth="1"/>
    <x:col min="7" max="7" width="25" hidden="0" customWidth="1"/>
  </x:cols>
  <x:sheetData>
    <x:row r="1" ht="34" customHeight="1">
      <x:c r="A1" s="61" t="str">
        <x:v>Estado de partida y continuidad</x:v>
      </x:c>
    </x:row>
    <x:row r="2" ht="46" customHeight="1">
      <x:c r="A2" s="63" t="str">
        <x:v>C17 precisa el contexto de los 32 parámetros. Dieciocho elementos obligatorios según pertinencia; nueve relaciones y cuatro requisitos de contraste al pie.</x:v>
      </x:c>
    </x:row>
    <x:row r="4" ht="56" customHeight="1">
      <x:c r="A4" s="60" t="str">
        <x:v>Elemento</x:v>
      </x:c>
      <x:c r="B4" s="60" t="str">
        <x:v>Contenido</x:v>
      </x:c>
      <x:c r="C4" s="60" t="str">
        <x:v>Contrato documental</x:v>
      </x:c>
      <x:c r="D4" s="60" t="str">
        <x:v>Destino</x:v>
      </x:c>
      <x:c r="E4" s="60" t="str">
        <x:v>Consecuencia de omisión</x:v>
      </x:c>
      <x:c r="F4" s="60" t="str">
        <x:v>Fuentes</x:v>
      </x:c>
      <x:c r="G4" s="60" t="str">
        <x:v>Testigos</x:v>
      </x:c>
    </x:row>
    <x:row r="5" ht="66" customHeight="1">
      <x:c r="A5" s="35" t="str">
        <x:v>EP01</x:v>
      </x:c>
      <x:c r="B5" s="35" t="str">
        <x:v>Servicio, finalidad y pregunta</x:v>
      </x:c>
      <x:c r="C5" s="35" t="str">
        <x:v>Servicio protegido, destinatario experto, episodio y pregunta concreta: suficiencia de la evidencia y legitimidad de una corrección por actualización.</x:v>
      </x:c>
      <x:c r="D5" s="35" t="str">
        <x:v>C01/C08/C13</x:v>
      </x:c>
      <x:c r="E5" s="35" t="str">
        <x:v>Consejo correcto para otro servicio o finalidad.</x:v>
      </x:c>
      <x:c r="F5" s="35" t="str">
        <x:v>B01; T001</x:v>
      </x:c>
      <x:c r="G5" s="35" t="str">
        <x:v>CT-01</x:v>
      </x:c>
    </x:row>
    <x:row r="6" ht="66" customHeight="1">
      <x:c r="A6" s="35" t="str">
        <x:v>EP02</x:v>
      </x:c>
      <x:c r="B6" s="35" t="str">
        <x:v>Estado de referencia y estado observado</x:v>
      </x:c>
      <x:c r="C6" s="35" t="str">
        <x:v>Configuración aprobada; captura observada con fuente, instante, generación, método, diferencias y vigencia. No se confunden la referencia deseada y el estado efectivo.</x:v>
      </x:c>
      <x:c r="D6" s="35" t="str">
        <x:v>C01/C06/C07; P06/P12/P13/P16</x:v>
      </x:c>
      <x:c r="E6" s="35" t="str">
        <x:v>Dar por instalado o seguro aquello que sólo figura en el diseño.</x:v>
      </x:c>
      <x:c r="F6" s="35" t="str">
        <x:v>H01; F018</x:v>
      </x:c>
      <x:c r="G6" s="35" t="str">
        <x:v>CT-01–04</x:v>
      </x:c>
    </x:row>
    <x:row r="7" ht="82" customHeight="1">
      <x:c r="A7" s="35" t="str">
        <x:v>EP03</x:v>
      </x:c>
      <x:c r="B7" s="35" t="str">
        <x:v>Comienzo de la historia disponible</x:v>
      </x:c>
      <x:c r="C7" s="35" t="str">
        <x:v>Primer antecedente verificable; cobertura anterior acreditada, parcial o desconocida; razón del límite. La captura inaugural del expediente no es la creación del sistema.</x:v>
      </x:c>
      <x:c r="D7" s="35" t="str">
        <x:v>C02/C07/C17</x:v>
      </x:c>
      <x:c r="E7" s="35" t="str">
        <x:v>Fabricar un pasado seguro y atribuirle una responsabilidad inexistente.</x:v>
      </x:c>
      <x:c r="F7" s="35" t="str">
        <x:v>H02; H04</x:v>
      </x:c>
      <x:c r="G7" s="35" t="str">
        <x:v>CT-01/04</x:v>
      </x:c>
    </x:row>
    <x:row r="8" ht="82" customHeight="1">
      <x:c r="A8" s="35" t="str">
        <x:v>EP04</x:v>
      </x:c>
      <x:c r="B8" s="35" t="str">
        <x:v>Inventario de activos y consumidores</x:v>
      </x:c>
      <x:c r="C8" s="35" t="str">
        <x:v>Hardware, firmware, software, bibliotecas, imágenes, réplicas, procesos, memoria, cachés y dependencias pertinentes; responsable de cada elemento y método de descubrimiento.</x:v>
      </x:c>
      <x:c r="D8" s="35" t="str">
        <x:v>C01/C05; P05/P06/P11/P20–P22</x:v>
      </x:c>
      <x:c r="E8" s="35" t="str">
        <x:v>Una instancia no reconocida continúa expuesta y consume un componente anterior.</x:v>
      </x:c>
      <x:c r="F8" s="35" t="str">
        <x:v>B01; N01 op.exp.1</x:v>
      </x:c>
      <x:c r="G8" s="35" t="str">
        <x:v>CT-03/05</x:v>
      </x:c>
    </x:row>
    <x:row r="9" ht="82" customHeight="1">
      <x:c r="A9" s="35" t="str">
        <x:v>EP05</x:v>
      </x:c>
      <x:c r="B9" s="35" t="str">
        <x:v>Censo de principales y cuentas</x:v>
      </x:c>
      <x:c r="C9" s="35" t="str">
        <x:v>Personas, servicios y agentes; vínculo entre identidad institucional, cuentas y función. Una cuenta compartida o dos alias requieren resolver la atribución, sin equiparar cantidad e identidad.</x:v>
      </x:c>
      <x:c r="D9" s="35" t="str">
        <x:v>C05/C11; P25/P31</x:v>
      </x:c>
      <x:c r="E9" s="35" t="str">
        <x:v>Consejo dirigido a un titular equivocado o falsa separación de funciones.</x:v>
      </x:c>
      <x:c r="F9" s="35" t="str">
        <x:v>N01 op.acc.1; N07</x:v>
      </x:c>
      <x:c r="G9" s="35" t="str">
        <x:v>CT-22/24</x:v>
      </x:c>
    </x:row>
    <x:row r="10" ht="98" customHeight="1">
      <x:c r="A10" s="35" t="str">
        <x:v>EP06</x:v>
      </x:c>
      <x:c r="B10" s="35" t="str">
        <x:v>Credenciales y sesiones en curso</x:v>
      </x:c>
      <x:c r="C10" s="35" t="str">
        <x:v>Identificador protegido, emisor, titular, ámbito, emisión, caducidad, revocación, renovación pendiente, sesiones y conexiones derivadas. No se registran secretos. Renovación y retirada tienen efectos distintos sobre sesiones existentes según el mecanismo.</x:v>
      </x:c>
      <x:c r="D10" s="35" t="str">
        <x:v>C05/C07/C11/C15; P25–P30</x:v>
      </x:c>
      <x:c r="E10" s="35" t="str">
        <x:v>La baja de una cuenta se toma por cierre de una sesión todavía operativa.</x:v>
      </x:c>
      <x:c r="F10" s="35" t="str">
        <x:v>N06; N10; H02</x:v>
      </x:c>
      <x:c r="G10" s="35" t="str">
        <x:v>CT-19–24/29–32</x:v>
      </x:c>
    </x:row>
    <x:row r="11" ht="98" customHeight="1">
      <x:c r="A11" s="35" t="str">
        <x:v>EP07</x:v>
      </x:c>
      <x:c r="B11" s="35" t="str">
        <x:v>Fuentes competentes de autoridad</x:v>
      </x:c>
      <x:c r="C11" s="35" t="str">
        <x:v>Política institucional, nombramientos, registro de atribuciones, concesiones y revocaciones, contrato o designación competente. Identificar custodio, corte, forma de consulta y fundamento de la fuente; no aceptar como raíz un nombre suministrado por la llamada o por el agente.</x:v>
      </x:c>
      <x:c r="D11" s="35" t="str">
        <x:v>C02/C11/C16; P26–P30</x:v>
      </x:c>
      <x:c r="E11" s="35" t="str">
        <x:v>El atacante aporta a la vez su identidad y la supuesta autoridad que debe comprobarla.</x:v>
      </x:c>
      <x:c r="F11" s="35" t="str">
        <x:v>N01 arts. 11, 12, 21; H03</x:v>
      </x:c>
      <x:c r="G11" s="35" t="str">
        <x:v>CT-12–18</x:v>
      </x:c>
    </x:row>
    <x:row r="12" ht="98" customHeight="1">
      <x:c r="A12" s="35" t="str">
        <x:v>EP08</x:v>
      </x:c>
      <x:c r="B12" s="35" t="str">
        <x:v>Obligaciones y asignaciones pendientes</x:v>
      </x:c>
      <x:c r="C12" s="35" t="str">
        <x:v>Obligación individual, origen, resultado exigido, titular asignado, acto de designación, alcance, vigencia, aceptación si se exige, plazo, estado y destinatario de la incertidumbre. Se conserva el deber conocido aunque su titular no esté acreditado.</x:v>
      </x:c>
      <x:c r="D12" s="35" t="str">
        <x:v>C04/C11/C13/C17; P01/P04/P15/P24</x:v>
      </x:c>
      <x:c r="E12" s="35" t="str">
        <x:v>El relevo conserva los archivos y pierde la obligación de completar, verificar o recuperar.</x:v>
      </x:c>
      <x:c r="F12" s="35" t="str">
        <x:v>B01; H06; N01</x:v>
      </x:c>
      <x:c r="G12" s="35" t="str">
        <x:v>CT-12–18/23</x:v>
      </x:c>
    </x:row>
    <x:row r="13" ht="98" customHeight="1">
      <x:c r="A13" s="35" t="str">
        <x:v>EP09</x:v>
      </x:c>
      <x:c r="B13" s="35" t="str">
        <x:v>Contabilidad de cambios y efectos</x:v>
      </x:c>
      <x:c r="C13" s="35" t="str">
        <x:v>Conciliar por identidad el estado inicial, altas, bajas, sustituciones, cancelaciones, intentos y efectos con el estado final. Separar activos, cuentas, credenciales, sesiones y obligaciones; una suma de cantidades no demuestra coincidencia de miembros.</x:v>
      </x:c>
      <x:c r="D13" s="35" t="str">
        <x:v>C03/C05/C07/C17</x:v>
      </x:c>
      <x:c r="E13" s="35" t="str">
        <x:v>Una operación repetida se contabiliza dos veces o una sesión ajena sustituye a la legítima sin cambiar el total.</x:v>
      </x:c>
      <x:c r="F13" s="35" t="str">
        <x:v>H02; H05</x:v>
      </x:c>
      <x:c r="G13" s="35" t="str">
        <x:v>CT-19–24</x:v>
      </x:c>
    </x:row>
    <x:row r="14" ht="82" customHeight="1">
      <x:c r="A14" s="35" t="str">
        <x:v>EP10</x:v>
      </x:c>
      <x:c r="B14" s="35" t="str">
        <x:v>Origen y custodia de los registros</x:v>
      </x:c>
      <x:c r="C14" s="35" t="str">
        <x:v>Acto, sesión ejecutora, productor del registro, firmante o sellador, recolector, custodio y analista, con roles diferenciados. Identificar archivo y entrada originales, transformaciones, copias, acceso y retención.</x:v>
      </x:c>
      <x:c r="D14" s="35" t="str">
        <x:v>C02/C07/C15/C17; P25</x:v>
      </x:c>
      <x:c r="E14" s="35" t="str">
        <x:v>La firma del recolector atribuye falsamente al recolector el cambio que sólo recibió.</x:v>
      </x:c>
      <x:c r="F14" s="35" t="str">
        <x:v>H02; H05–H07</x:v>
      </x:c>
      <x:c r="G14" s="35" t="str">
        <x:v>CT-07/08/14</x:v>
      </x:c>
    </x:row>
    <x:row r="15" ht="82" customHeight="1">
      <x:c r="A15" s="35" t="str">
        <x:v>EP11</x:v>
      </x:c>
      <x:c r="B15" s="35" t="str">
        <x:v>Orden temporal y antecedentes</x:v>
      </x:c>
      <x:c r="C15" s="35" t="str">
        <x:v>Relaciones con tipo, objetos exactos, respaldo y alcance: precedencia, derivación, causa acreditada, corrección, sustitución y recepción. Conservar incertidumbre de relojes, ramas simultáneas y antecedentes múltiples.</x:v>
      </x:c>
      <x:c r="D15" s="35" t="str">
        <x:v>C07/C17; P09/P14/P28–P30</x:v>
      </x:c>
      <x:c r="E15" s="35" t="str">
        <x:v>Ordenar por llegada produce una causalidad o una autorización previa ficticias.</x:v>
      </x:c>
      <x:c r="F15" s="35" t="str">
        <x:v>H03–H05; N03B/N03C</x:v>
      </x:c>
      <x:c r="G15" s="35" t="str">
        <x:v>CT-06–11/31/32</x:v>
      </x:c>
    </x:row>
    <x:row r="16" ht="82" customHeight="1">
      <x:c r="A16" s="35" t="str">
        <x:v>EP12</x:v>
      </x:c>
      <x:c r="B16" s="35" t="str">
        <x:v>Perímetros lógicos y físicos</x:v>
      </x:c>
      <x:c r="C16" s="35" t="str">
        <x:v>Mapear acceso ordinario, administración, consola, plano de control, gestión fuera de banda, dispositivos físicos, entradas, salidas e integraciones. Declarar fronteras externas con evidencia y responsable.</x:v>
      </x:c>
      <x:c r="D16" s="35" t="str">
        <x:v>C05/C06/C08/C16</x:v>
      </x:c>
      <x:c r="E16" s="35" t="str">
        <x:v>La consola o una salida directa eluden la protección comprobada para el acceso ordinario.</x:v>
      </x:c>
      <x:c r="F16" s="35" t="str">
        <x:v>B01; N05/N06</x:v>
      </x:c>
      <x:c r="G16" s="35" t="str">
        <x:v>CT-25–28</x:v>
      </x:c>
    </x:row>
    <x:row r="17" ht="98" customHeight="1">
      <x:c r="A17" s="35" t="str">
        <x:v>EP13</x:v>
      </x:c>
      <x:c r="B17" s="35" t="str">
        <x:v>Estado de las medidas de protección</x:v>
      </x:c>
      <x:c r="C17" s="35" t="str">
        <x:v>Función preventiva, de detección, de contención o de recuperación; mecanismo, trayecto protegido, configuración efectiva, dependencias, última prueba y comportamiento cuando falla. Activa/pasiva es descripción contextual y no un criterio de suficiencia.</x:v>
      </x:c>
      <x:c r="D17" s="35" t="str">
        <x:v>C05/C06/C09; P07/P12/P16</x:v>
      </x:c>
      <x:c r="E17" s="35" t="str">
        <x:v>Se da por disponible una protección instalada pero sin cobertura, o una copia que nunca se ha restaurado.</x:v>
      </x:c>
      <x:c r="F17" s="35" t="str">
        <x:v>F018; B10; N05/N06</x:v>
      </x:c>
      <x:c r="G17" s="35" t="str">
        <x:v>CT-25–28</x:v>
      </x:c>
    </x:row>
    <x:row r="18" ht="98" customHeight="1">
      <x:c r="A18" s="35" t="str">
        <x:v>EP14</x:v>
      </x:c>
      <x:c r="B18" s="35" t="str">
        <x:v>Supuestos de seguridad de consecuencias elevadas</x:v>
      </x:c>
      <x:c r="C18" s="35" t="str">
        <x:v>Puntos cuya pérdida afecta a múltiples funciones: autoridad raíz, tiempo, claves, consola, repositorio de prueba, identidad compartida, alimentación o recuperación. Vincular fallo supuesto, propagación, servicio y personas afectadas, evidencia y alternativa.</x:v>
      </x:c>
      <x:c r="D18" s="35" t="str">
        <x:v>C05/C08/C09/C12</x:v>
      </x:c>
      <x:c r="E18" s="35" t="str">
        <x:v>Una dependencia común invalida varias protecciones que parecían independientes.</x:v>
      </x:c>
      <x:c r="F18" s="35" t="str">
        <x:v>B01; B10; N06</x:v>
      </x:c>
      <x:c r="G18" s="35" t="str">
        <x:v>CT-25–29</x:v>
      </x:c>
    </x:row>
    <x:row r="19" ht="82" customHeight="1">
      <x:c r="A19" s="35" t="str">
        <x:v>EP15</x:v>
      </x:c>
      <x:c r="B19" s="35" t="str">
        <x:v>Dato protegido y destinatario</x:v>
      </x:c>
      <x:c r="C19" s="35" t="str">
        <x:v>Clasificación, finalidad, base aplicable, datos mínimos, acceso al original, vista por destinatario, retención y supresión. En este expediente todos los casos son sintéticos.</x:v>
      </x:c>
      <x:c r="D19" s="35" t="str">
        <x:v>C02/C15/C16</x:v>
      </x:c>
      <x:c r="E19" s="35" t="str">
        <x:v>La auditoría expone datos de salud o identidades y se convierte en nueva causa de daño.</x:v>
      </x:c>
      <x:c r="F19" s="35" t="str">
        <x:v>N02B; N09</x:v>
      </x:c>
      <x:c r="G19" s="35" t="str">
        <x:v>Comprobación operacional pendiente</x:v>
      </x:c>
    </x:row>
    <x:row r="20" ht="82" customHeight="1">
      <x:c r="A20" s="35" t="str">
        <x:v>EP16</x:v>
      </x:c>
      <x:c r="B20" s="35" t="str">
        <x:v>Regla y conocimiento admitidos</x:v>
      </x:c>
      <x:c r="C20" s="35" t="str">
        <x:v>Versiones de currículo, reglas, fuentes, perfiles y contratos fijadas antes de evaluar. Los sucesos nuevos se interpretan con esa regla; una regla nueva necesita adquisición y admisión humana separadas.</x:v>
      </x:c>
      <x:c r="D20" s="35" t="str">
        <x:v>C14/C16</x:v>
      </x:c>
      <x:c r="E20" s="35" t="str">
        <x:v>Una revisión automática cambia el significado de una conclusión ya emitida.</x:v>
      </x:c>
      <x:c r="F20" s="35" t="str">
        <x:v>Instrucción aprobada y mandato del Director</x:v>
      </x:c>
      <x:c r="G20" s="35" t="str">
        <x:v>CT-29–32</x:v>
      </x:c>
    </x:row>
    <x:row r="21" ht="82" customHeight="1">
      <x:c r="A21" s="35" t="str">
        <x:v>EP17</x:v>
      </x:c>
      <x:c r="B21" s="35" t="str">
        <x:v>Alternativas y balance de coste y valor</x:v>
      </x:c>
      <x:c r="C21" s="35" t="str">
        <x:v>Coste total, interrupción, recuperación, servicio protegido, derechos, alternativas y límite de lo conocido. No se monetiza como cero un daño no estimado ni se elude una obligación aplicable mediante ahorro.</x:v>
      </x:c>
      <x:c r="D21" s="35" t="str">
        <x:v>C08–C12</x:v>
      </x:c>
      <x:c r="E21" s="35" t="str">
        <x:v>Una protección barata del equipo impone un perjuicio mayor al servicio o a personas.</x:v>
      </x:c>
      <x:c r="F21" s="35" t="str">
        <x:v>B10; R035; N01/N02B</x:v>
      </x:c>
      <x:c r="G21" s="35" t="str">
        <x:v>Juicio profesional pendiente en un caso real</x:v>
      </x:c>
    </x:row>
    <x:row r="22" ht="98" customHeight="1">
      <x:c r="A22" s="35" t="str">
        <x:v>EP18</x:v>
      </x:c>
      <x:c r="B22" s="35" t="str">
        <x:v>Cierre del episodio y entrega</x:v>
      </x:c>
      <x:c r="C22" s="35" t="str">
        <x:v>Conclusiones por alcance, obligaciones pendientes, destinatario responsable, cambios que obligan a revisar y vínculo con el próximo episodio. Cerrar el expediente no equivale a autorizar la ejecución ni a certificar el sistema.</x:v>
      </x:c>
      <x:c r="D22" s="35" t="str">
        <x:v>C13/C17</x:v>
      </x:c>
      <x:c r="E22" s="35" t="str">
        <x:v>El siguiente consejo parte de una conclusión sin sus límites y tareas pendientes.</x:v>
      </x:c>
      <x:c r="F22" s="35" t="str">
        <x:v>IMM-1/IMM-2; B01</x:v>
      </x:c>
      <x:c r="G22" s="35" t="str">
        <x:v>CT-12–18/29–32</x:v>
      </x:c>
    </x:row>
    <x:row r="26" ht="56" customHeight="1">
      <x:c r="A26" s="60" t="str">
        <x:v>Relación</x:v>
      </x:c>
      <x:c r="B26" s="60" t="str">
        <x:v>Extremos</x:v>
      </x:c>
      <x:c r="C26" s="60" t="str">
        <x:v>Alcance</x:v>
      </x:c>
    </x:row>
    <x:row r="27" ht="50" customHeight="1">
      <x:c r="A27" s="35" t="str">
        <x:v>REFIERE</x:v>
      </x:c>
      <x:c r="B27" s="35" t="str">
        <x:v>Documento a antecedente</x:v>
      </x:c>
      <x:c r="C27" s="35" t="str">
        <x:v>Sólo referencia recuperable; no acredita causa, autorización ni sucesión de titular.</x:v>
      </x:c>
    </x:row>
    <x:row r="28" ht="50" customHeight="1">
      <x:c r="A28" s="35" t="str">
        <x:v>DERIVA_DE</x:v>
      </x:c>
      <x:c r="B28" s="35" t="str">
        <x:v>Nueva evidencia a evidencia utilizada</x:v>
      </x:c>
      <x:c r="C28" s="35" t="str">
        <x:v>Método y actividad de transformación; conservar original y relación con la vista.</x:v>
      </x:c>
    </x:row>
    <x:row r="29" ht="48" customHeight="1">
      <x:c r="A29" s="35" t="str">
        <x:v>PRECEDE_A</x:v>
      </x:c>
      <x:c r="B29" s="35" t="str">
        <x:v>Suceso a suceso</x:v>
      </x:c>
      <x:c r="C29" s="35" t="str">
        <x:v>Orden acreditado y precisión; no atribuye causalidad.</x:v>
      </x:c>
    </x:row>
    <x:row r="30" ht="50" customHeight="1">
      <x:c r="A30" s="35" t="str">
        <x:v>CAUSA_ACREDITADA</x:v>
      </x:c>
      <x:c r="B30" s="35" t="str">
        <x:v>Suceso a efecto</x:v>
      </x:c>
      <x:c r="C30" s="35" t="str">
        <x:v>Fuente y criterio causal explícitos; la proximidad temporal no basta.</x:v>
      </x:c>
    </x:row>
    <x:row r="31" ht="50" customHeight="1">
      <x:c r="A31" s="35" t="str">
        <x:v>CORRIGE</x:v>
      </x:c>
      <x:c r="B31" s="35" t="str">
        <x:v>Asiento nuevo a afirmación anterior</x:v>
      </x:c>
      <x:c r="C31" s="35" t="str">
        <x:v>Identificar exactamente qué se rectifica, por qué, con qué evidencia y desde qué momento; no borrar la afirmación histórica.</x:v>
      </x:c>
    </x:row>
    <x:row r="32" ht="50" customHeight="1">
      <x:c r="A32" s="35" t="str">
        <x:v>RECIBE_CUSTODIA</x:v>
      </x:c>
      <x:c r="B32" s="35" t="str">
        <x:v>Custodio a evidencia recibida</x:v>
      </x:c>
      <x:c r="C32" s="35" t="str">
        <x:v>Objeto, estado, integridad, momento y deberes de custodia propios; no reasigna el acto investigado.</x:v>
      </x:c>
    </x:row>
    <x:row r="33" ht="50" customHeight="1">
      <x:c r="A33" s="35" t="str">
        <x:v>DESIGNA</x:v>
      </x:c>
      <x:c r="B33" s="35" t="str">
        <x:v>Acto competente a obligación y titular</x:v>
      </x:c>
      <x:c r="C33" s="35" t="str">
        <x:v>Función, alcance, efecto, régimen de aceptación y vigencia; no nace de copiar el identificador del titular anterior.</x:v>
      </x:c>
    </x:row>
    <x:row r="34" ht="50" customHeight="1">
      <x:c r="A34" s="35" t="str">
        <x:v>ACEPTA_ENCARGO</x:v>
      </x:c>
      <x:c r="B34" s="35" t="str">
        <x:v>Titular a obligación designada</x:v>
      </x:c>
      <x:c r="C34" s="35" t="str">
        <x:v>Sólo opera si el procedimiento lo exige; una recepción genérica de archivos no basta.</x:v>
      </x:c>
    </x:row>
    <x:row r="35" ht="50" customHeight="1">
      <x:c r="A35" s="35" t="str">
        <x:v>REVOCA_O_SUSTITUYE</x:v>
      </x:c>
      <x:c r="B35" s="35" t="str">
        <x:v>Acto competente a facultad o designación</x:v>
      </x:c>
      <x:c r="C35" s="35" t="str">
        <x:v>Identidad, alcance y tiempo de efecto. No implica retroactividad ni exoneración jurídica universales.</x:v>
      </x:c>
    </x:row>
    <x:row r="39" ht="56" customHeight="1">
      <x:c r="A39" s="60" t="str">
        <x:v>Requisito</x:v>
      </x:c>
      <x:c r="B39" s="60" t="str">
        <x:v>Necesidad</x:v>
      </x:c>
      <x:c r="C39" s="60" t="str">
        <x:v>Contraste exigido</x:v>
      </x:c>
      <x:c r="D39" s="60" t="str">
        <x:v>Testigos</x:v>
      </x:c>
      <x:c r="E39" s="60" t="str">
        <x:v>Responsabilidad</x:v>
      </x:c>
      <x:c r="F39" s="60" t="str">
        <x:v>Antecedente de deuda</x:v>
      </x:c>
    </x:row>
    <x:row r="40" ht="66" customHeight="1">
      <x:c r="A40" s="35" t="str">
        <x:v>RS09</x:v>
      </x:c>
      <x:c r="B40" s="35" t="str">
        <x:v>Estado inicial observado frente a referencia aprobada</x:v>
      </x:c>
      <x:c r="C40" s="35" t="str">
        <x:v>Recuperar ambos estados y el límite histórico sin fabricar génesis ni valores negativos por silencio.</x:v>
      </x:c>
      <x:c r="D40" s="35" t="str">
        <x:v>CT-01–05</x:v>
      </x:c>
      <x:c r="E40" s="35" t="str">
        <x:v>Dominio: contrato y alcance; Lenguaje/LIG: representación y recuperación; capturador: observación.</x:v>
      </x:c>
      <x:c r="F40" s="35" t="str">
        <x:v>DFL-005/006; relación con DFL-003/004</x:v>
      </x:c>
    </x:row>
    <x:row r="41" ht="66" customHeight="1">
      <x:c r="A41" s="35" t="str">
        <x:v>RS10</x:v>
      </x:c>
      <x:c r="B41" s="35" t="str">
        <x:v>Antecedentes múltiples y relaciones tipadas</x:v>
      </x:c>
      <x:c r="C41" s="35" t="str">
        <x:v>Recuperar extremos exactos, tipo y evidencia de cada relación; separar referencia circular de precedencia estricta imposible.</x:v>
      </x:c>
      <x:c r="D41" s="35" t="str">
        <x:v>CT-06–11</x:v>
      </x:c>
      <x:c r="E41" s="35" t="str">
        <x:v>Lenguaje: encaje; motor/plataforma: persistencia y detección de bifurcación material; dominio: significado del vínculo.</x:v>
      </x:c>
      <x:c r="F41" s="35" t="str">
        <x:v>DFL-003/004/005; continuidad material pendiente</x:v>
      </x:c>
    </x:row>
    <x:row r="42" ht="66" customHeight="1">
      <x:c r="A42" s="35" t="str">
        <x:v>RS11</x:v>
      </x:c>
      <x:c r="B42" s="35" t="str">
        <x:v>Custodia, designación, aceptación y deber pendiente</x:v>
      </x:c>
      <x:c r="C42" s="35" t="str">
        <x:v>Conservar por separado permiso, asignación, recepción, obligación, titular y régimen de efecto; no otorgar exoneración ni autoridad por transporte.</x:v>
      </x:c>
      <x:c r="D42" s="35" t="str">
        <x:v>CT-12–18</x:v>
      </x:c>
      <x:c r="E42" s="35" t="str">
        <x:v>Organización competente: atribución de funciones; dominio: relación documental; Lenguaje: conservación; custodia: entrega verificable.</x:v>
      </x:c>
      <x:c r="F42" s="35" t="str">
        <x:v>DFL-005; capacidad material institucional externa</x:v>
      </x:c>
    </x:row>
    <x:row r="43" ht="66" customHeight="1">
      <x:c r="A43" s="35" t="str">
        <x:v>RS12</x:v>
      </x:c>
      <x:c r="B43" s="35" t="str">
        <x:v>Conciliación, cobertura y reevaluación selectiva</x:v>
      </x:c>
      <x:c r="C43" s="35" t="str">
        <x:v>Conservar clase e identidad, efectos inciertos y trayectos. Vincular prueba a generación y vigencia; reevaluar dependencias afectadas.</x:v>
      </x:c>
      <x:c r="D43" s="35" t="str">
        <x:v>CT-19–32</x:v>
      </x:c>
      <x:c r="E43" s="35" t="str">
        <x:v>Dominio: criterio; capturadores: fuentes; motor: relaciones y continuidad; infraestructura: controles materiales.</x:v>
      </x:c>
      <x:c r="F43" s="35" t="str">
        <x:v>DFL-003/004/005/006/009</x:v>
      </x:c>
    </x:row>
    <x:row r="47" ht="56" customHeight="1">
      <x:c r="A47" s="60" t="str">
        <x:v>Control</x:v>
      </x:c>
      <x:c r="B47" s="60" t="str">
        <x:v>Denominación</x:v>
      </x:c>
      <x:c r="C47" s="60" t="str">
        <x:v>Contrato</x:v>
      </x:c>
      <x:c r="D47" s="60" t="str">
        <x:v>Contraejemplo</x:v>
      </x:c>
      <x:c r="E47" s="60" t="str">
        <x:v>Fuentes</x:v>
      </x:c>
    </x:row>
    <x:row r="48" ht="130" customHeight="1">
      <x:c r="A48" s="35" t="str">
        <x:v>C17</x:v>
      </x:c>
      <x:c r="B48" s="35" t="str">
        <x:v>Estado de partida y continuidad del expediente</x:v>
      </x:c>
      <x:c r="C48" s="35" t="str">
        <x:v>Conservar un estado inicial acotado, antecedentes tipados, fuentes competentes, conciliación por identidad, asignaciones y obligaciones pendientes. Distinguir lo observado de lo aprobado, continuidad de la evidencia de legitimidad de la actuación y custodia de responsabilidad profesional. Los datos de EP01–EP18 son campos y relaciones del contrato; no nuevos parámetros ni permisos.</x:v>
      </x:c>
      <x:c r="D48" s="35" t="str">
        <x:v>Asiento íntegro que omite una sesión anterior o convierte una recepción de archivos en exoneración del responsable del acto.</x:v>
      </x:c>
      <x:c r="E48" s="35" t="str">
        <x:v>B01; H02–H07; N01/N02B; IMM-1/IMM-2</x:v>
      </x:c>
    </x:row>
  </x:sheetData>
  <x:mergeCells>
    <x:mergeCell ref="A1:D1"/>
    <x:mergeCell ref="A2:F2"/>
  </x:mergeCells>
  <x:pageMargins left="0.7" right="0.7" top="0.75" bottom="0.75" header="0.3" footer="0.3"/>
  <x:tableParts count="4">
    <x:tablePart xmlns:r="http://schemas.openxmlformats.org/officeDocument/2006/relationships" r:id="R75856d7fbc5e4d04"/>
    <x:tablePart xmlns:r="http://schemas.openxmlformats.org/officeDocument/2006/relationships" r:id="R614ef132011b4f08"/>
    <x:tablePart xmlns:r="http://schemas.openxmlformats.org/officeDocument/2006/relationships" r:id="R9c05b7650ca44687"/>
    <x:tablePart xmlns:r="http://schemas.openxmlformats.org/officeDocument/2006/relationships" r:id="R311bd1291825418d"/>
  </x:tableParts>
</x:worksheet>
</file>

<file path=xl/worksheets/sheet8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1" hidden="0" customWidth="1"/>
    <x:col min="2" max="2" width="39" hidden="0" customWidth="1"/>
    <x:col min="3" max="3" width="53" hidden="0" customWidth="1"/>
    <x:col min="4" max="4" width="57" hidden="0" customWidth="1"/>
    <x:col min="5" max="5" width="56" hidden="0" customWidth="1"/>
    <x:col min="6" max="6" width="53" hidden="0" customWidth="1"/>
    <x:col min="7" max="7" width="52" hidden="0" customWidth="1"/>
    <x:col min="8" max="8" width="72" hidden="0" customWidth="1"/>
    <x:col min="9" max="9" width="24" hidden="0" customWidth="1"/>
  </x:cols>
  <x:sheetData>
    <x:row r="1" ht="34" customHeight="1">
      <x:c r="A1" s="61" t="str">
        <x:v>Justificación de las 32 definiciones</x:v>
      </x:c>
    </x:row>
    <x:row r="2" ht="46" customHeight="1">
      <x:c r="A2" s="63" t="str">
        <x:v>Conserva identidades y contratos. Selección argumentada del proyecto; las fuentes no prescriben esta lista. Bibliografía localizada en 84.</x:v>
      </x:c>
    </x:row>
    <x:row r="4" ht="56" customHeight="1">
      <x:c r="A4" s="60" t="str">
        <x:v>Parámetro</x:v>
      </x:c>
      <x:c r="B4" s="60" t="str">
        <x:v>Denominación</x:v>
      </x:c>
      <x:c r="C4" s="60" t="str">
        <x:v>Conocimiento necesario</x:v>
      </x:c>
      <x:c r="D4" s="60" t="str">
        <x:v>Distinción que justifica separarlo</x:v>
      </x:c>
      <x:c r="E4" s="60" t="str">
        <x:v>Alternativa y unidad</x:v>
      </x:c>
      <x:c r="F4" s="60" t="str">
        <x:v>Consecuencia de omisión</x:v>
      </x:c>
      <x:c r="G4" s="60" t="str">
        <x:v>Consecuencia de exceso</x:v>
      </x:c>
      <x:c r="H4" s="60" t="str">
        <x:v>Perfil y límites</x:v>
      </x:c>
      <x:c r="I4" s="60" t="str">
        <x:v>Fuentes</x:v>
      </x:c>
    </x:row>
    <x:row r="5" ht="98" customHeight="1">
      <x:c r="A5" s="35" t="str">
        <x:v>P01</x:v>
      </x:c>
      <x:c r="B5" s="35" t="str">
        <x:v>Necesidad de reiniciar el sistema</x:v>
      </x:c>
      <x:c r="C5" s="35" t="str">
        <x:v>La finalización del instalador y la activación del cambio son momentos diferentes.</x:v>
      </x:c>
      <x:c r="D5" s="35" t="str">
        <x:v>La instalación exige reiniciar tanto antes como después de que el reinicio se complete.</x:v>
      </x:c>
      <x:c r="E5" s="35" t="str">
        <x:v>El carácter íntegro identifica el reinicio exigido; no reúne reinicio y cumplimiento.</x:v>
      </x:c>
      <x:c r="F5" s="35" t="str">
        <x:v>Sin este enlace puede declararse corregida una instancia que todavía utiliza el estado anterior.</x:v>
      </x:c>
      <x:c r="G5" s="35" t="str">
        <x:v>La ausencia de evidencia del requisito no justifica ordenar un reinicio.</x:v>
      </x:c>
      <x:c r="H5" s="35" t="str">
        <x:v>Perfil WUA conservado: resultado individual orcSucceeded y RebootRequired. Perfil documental adicional: instrucción específica del producto, aplicabilidad acreditada y requisito histórico explícito; nunca se deduce del consejo general de NIST.</x:v>
      </x:c>
      <x:c r="I5" s="35" t="str">
        <x:v>T002, T004, T006, T001</x:v>
      </x:c>
    </x:row>
    <x:row r="6" ht="66" customHeight="1">
      <x:c r="A6" s="35" t="str">
        <x:v>P02</x:v>
      </x:c>
      <x:c r="B6" s="35" t="str">
        <x:v>Terminación satisfactoria comunicada de la instalación</x:v>
      </x:c>
      <x:c r="C6" s="35" t="str">
        <x:v>Un resultado agregado puede ocultar el fallo de un elemento.</x:v>
      </x:c>
      <x:c r="D6" s="35" t="str">
        <x:v>Una instalación anterior puede mantener la imagen correcta aunque el intento actual falle.</x:v>
      </x:c>
      <x:c r="E6" s="35" t="str">
        <x:v>Los códigos se conservan como observables; no se crea un parámetro por cada código.</x:v>
      </x:c>
      <x:c r="F6" s="35" t="str">
        <x:v>El experto podría aceptar una operación parcial como finalizada satisfactoriamente.</x:v>
      </x:c>
      <x:c r="G6" s="35" t="str">
        <x:v>El valor 0 no significa que no se modificase ningún componente.</x:v>
      </x:c>
      <x:c r="H6" s="35" t="str">
        <x:v>WUA: orcSucceeded se distingue de SucceededWithErrors, Failed y Aborted. NotStarted e InProgress no pertenecen al perfil terminal.</x:v>
      </x:c>
      <x:c r="I6" s="35" t="str">
        <x:v>T004, T005, T006</x:v>
      </x:c>
    </x:row>
    <x:row r="7" ht="66" customHeight="1">
      <x:c r="A7" s="35" t="str">
        <x:v>P03</x:v>
      </x:c>
      <x:c r="B7" s="35" t="str">
        <x:v>Reinicio íntegro realizado</x:v>
      </x:c>
      <x:c r="C7" s="35" t="str">
        <x:v>El arranque híbrido puede conservar parte del estado del sistema.</x:v>
      </x:c>
      <x:c r="D7" s="35" t="str">
        <x:v>Con el mismo requisito, el reinicio puede haberse realizado o seguir pendiente.</x:v>
      </x:c>
      <x:c r="E7" s="35" t="str">
        <x:v>Fecha y clase de arranque identifican un evento; no constituyen dos decisiones independientes.</x:v>
      </x:c>
      <x:c r="F7" s="35" t="str">
        <x:v>Equiparar un encendido híbrido a un reinicio íntegro puede conservar componentes anteriores.</x:v>
      </x:c>
      <x:c r="G7" s="35" t="str">
        <x:v>Repetir un reinicio ya acreditado puede interrumpir innecesariamente el servicio.</x:v>
      </x:c>
      <x:c r="H7" s="35" t="str">
        <x:v>Registro de arranque que acredite identidad, orden y clase. El ejemplo de Fast Startup corresponde a Windows 10.</x:v>
      </x:c>
      <x:c r="I7" s="35" t="str">
        <x:v>T007, T001</x:v>
      </x:c>
    </x:row>
    <x:row r="8" ht="66" customHeight="1">
      <x:c r="A8" s="35" t="str">
        <x:v>P04</x:v>
      </x:c>
      <x:c r="B8" s="35" t="str">
        <x:v>Necesidad de reiniciar un programa</x:v>
      </x:c>
      <x:c r="C8" s="35" t="str">
        <x:v>Un cambio puede requerir reiniciar un programa sin reiniciar el sistema.</x:v>
      </x:c>
      <x:c r="D8" s="35" t="str">
        <x:v>El sistema puede no requerir reinicio y el programa sí.</x:v>
      </x:c>
      <x:c r="E8" s="35" t="str">
        <x:v>Una obligación para un programa; la ejecución de dicha obligación se descompone.</x:v>
      </x:c>
      <x:c r="F8" s="35" t="str">
        <x:v>La instalación podría cerrarse mientras continúa el programa anterior.</x:v>
      </x:c>
      <x:c r="G8" s="35" t="str">
        <x:v>No se reinician todos los programas por analogía con uno afectado.</x:v>
      </x:c>
      <x:c r="H8" s="35" t="str">
        <x:v>Instrucción específica, programa e instalación individualizados; Restart Manager ilustra el mecanismo, no fija la obligación del caso.</x:v>
      </x:c>
      <x:c r="I8" s="35" t="str">
        <x:v>T009, T001</x:v>
      </x:c>
    </x:row>
    <x:row r="9" ht="66" customHeight="1">
      <x:c r="A9" s="35" t="str">
        <x:v>P05</x:v>
      </x:c>
      <x:c r="B9" s="35" t="str">
        <x:v>Terminación de la generación anterior de un proceso</x:v>
      </x:c>
      <x:c r="C9" s="35" t="str">
        <x:v>Un identificador de proceso puede reutilizarse y terminar un padre no termina necesariamente sus hijos.</x:v>
      </x:c>
      <x:c r="D9" s="35" t="str">
        <x:v>El proceso anterior puede terminar sin que se cree su sustituto.</x:v>
      </x:c>
      <x:c r="E9" s="35" t="str">
        <x:v>Identidad de generación y evento de terminación; los hijos tienen otras identidades.</x:v>
      </x:c>
      <x:c r="F9" s="35" t="str">
        <x:v>Puede persistir ejecución anterior aunque se haya detenido el proceso nominalmente principal.</x:v>
      </x:c>
      <x:c r="G9" s="35" t="str">
        <x:v>No se terminan otros procesos únicamente por compartir un nombre.</x:v>
      </x:c>
      <x:c r="H9" s="35" t="str">
        <x:v>PID y tiempo exacto de creación, sistema y registro de terminación. No se usa el PID aislado.</x:v>
      </x:c>
      <x:c r="I9" s="35" t="str">
        <x:v>T014, T016</x:v>
      </x:c>
    </x:row>
    <x:row r="10" ht="98" customHeight="1">
      <x:c r="A10" s="35" t="str">
        <x:v>P06</x:v>
      </x:c>
      <x:c r="B10" s="35" t="str">
        <x:v>Identidad objetivo de la imagen utilizada</x:v>
      </x:c>
      <x:c r="C10" s="35" t="str">
        <x:v>La imagen utilizada puede diferir de la almacenada; el programa residente de un dispositivo también tiene un ámbito propio.</x:v>
      </x:c>
      <x:c r="D10" s="35" t="str">
        <x:v>La imagen nueva puede estar almacenada mientras continúa utilizándose la anterior, o suceder lo contrario.</x:v>
      </x:c>
      <x:c r="E10" s="35" t="str">
        <x:v>Una imagen y un consumidor. Biblioteca, núcleo y firmware no se cuentan de nuevo si conservan exactamente esta proposición.</x:v>
      </x:c>
      <x:c r="F10" s="35" t="str">
        <x:v>Una versión correcta en disco puede ocultar ejecución anterior en memoria o en un dispositivo.</x:v>
      </x:c>
      <x:c r="G10" s="35" t="str">
        <x:v>Una identidad diferente no demuestra por sí sola vulnerabilidad.</x:v>
      </x:c>
      <x:c r="H10" s="35" t="str">
        <x:v>Win32: MODULEINFO no acredita identidad de contenido. Para núcleo o firmware se exige un método específico que identifique la imagen utilizada; la lectura de un archivo descargado no lo sustituye. La ampliación semántica de perfil se declara en v0.2.</x:v>
      </x:c>
      <x:c r="I10" s="35" t="str">
        <x:v>T008, T012, T013, B02</x:v>
      </x:c>
    </x:row>
    <x:row r="11" ht="82" customHeight="1">
      <x:c r="A11" s="35" t="str">
        <x:v>P07</x:v>
      </x:c>
      <x:c r="B11" s="35" t="str">
        <x:v>Resultado favorable de una comprobación individual</x:v>
      </x:c>
      <x:c r="C11" s="35" t="str">
        <x:v>Una comprobación puede no detectar una corrección incompleta.</x:v>
      </x:c>
      <x:c r="D11" s="35" t="str">
        <x:v>Una identidad objetivo puede coexistir con fallo de una comprobación funcional independiente.</x:v>
      </x:c>
      <x:c r="E11" s="35" t="str">
        <x:v>Es un resultado de prueba, no el estado universal de seguridad. Dos criterios independientes requieren dos usos identificados; una prueba compuesta no se convierte en átomo.</x:v>
      </x:c>
      <x:c r="F11" s="35" t="str">
        <x:v>Un informe sin hallazgos puede ocultar la incapacidad para observar el defecto residual.</x:v>
      </x:c>
      <x:c r="G11" s="35" t="str">
        <x:v>Un resultado desfavorable no autoriza una intervención automática.</x:v>
      </x:c>
      <x:c r="H11" s="35" t="str">
        <x:v>Criterio y casos positivos/negativos anteriores al ensayo; umbral y alcance expresos. No sustituye los estados de P16–P24 ni permite introducir conocimiento nuevo durante el consejo.</x:v>
      </x:c>
      <x:c r="I11" s="35" t="str">
        <x:v>F018, B08, B09, T001</x:v>
      </x:c>
    </x:row>
    <x:row r="12" ht="66" customHeight="1">
      <x:c r="A12" s="35" t="str">
        <x:v>P08</x:v>
      </x:c>
      <x:c r="B12" s="35" t="str">
        <x:v>Retirada satisfactoria comunicada de la actualización</x:v>
      </x:c>
      <x:c r="C12" s="35" t="str">
        <x:v>La retirada es un acontecimiento histórico, incluso si después se reinstala.</x:v>
      </x:c>
      <x:c r="D12" s="35" t="str">
        <x:v>El archivo objetivo puede volver a estar presente tras una reinstalación sin borrar la retirada.</x:v>
      </x:c>
      <x:c r="E12" s="35" t="str">
        <x:v>Existencia de un acontecimiento; no incluye el estado final ni la causa.</x:v>
      </x:c>
      <x:c r="F12" s="35" t="str">
        <x:v>Se podría reutilizar una comprobación anterior a la retirada.</x:v>
      </x:c>
      <x:c r="G12" s="35" t="str">
        <x:v>Retirar una actualización no demuestra que todo el sistema haya vuelto a una versión vulnerable.</x:v>
      </x:c>
      <x:c r="H12" s="35" t="str">
        <x:v>Historia individual de actualización. La lista de eventos no acredita por sí misma cobertura completa.</x:v>
      </x:c>
      <x:c r="I12" s="35" t="str">
        <x:v>T010, T011, T001</x:v>
      </x:c>
    </x:row>
    <x:row r="13" ht="66" customHeight="1">
      <x:c r="A13" s="35" t="str">
        <x:v>P09</x:v>
      </x:c>
      <x:c r="B13" s="35" t="str">
        <x:v>Cambio posterior de un componente binario</x:v>
      </x:c>
      <x:c r="C13" s="35" t="str">
        <x:v>Dos extremos iguales pueden ocultar una modificación intermedia.</x:v>
      </x:c>
      <x:c r="D13" s="35" t="str">
        <x:v>La misma identidad final puede provenir de una historia estable o de cambio y retorno.</x:v>
      </x:c>
      <x:c r="E13" s="35" t="str">
        <x:v>La existencia de transición es única; cantidad, causa y actor se conservan como evidencia.</x:v>
      </x:c>
      <x:c r="F13" s="35" t="str">
        <x:v>Una comprobación antigua podría atribuirse indebidamente al estado actual.</x:v>
      </x:c>
      <x:c r="G13" s="35" t="str">
        <x:v>Un cambio irrelevante para el criterio no obliga a repetir todas las pruebas.</x:v>
      </x:c>
      <x:c r="H13" s="35" t="str">
        <x:v>Historia completa para negar cambios. El intervalo y el ámbito del componente se fijan previamente.</x:v>
      </x:c>
      <x:c r="I13" s="35" t="str">
        <x:v>T001, B01</x:v>
      </x:c>
    </x:row>
    <x:row r="14" ht="66" customHeight="1">
      <x:c r="A14" s="35" t="str">
        <x:v>P10</x:v>
      </x:c>
      <x:c r="B14" s="35" t="str">
        <x:v>Restauración previa comunicada</x:v>
      </x:c>
      <x:c r="C14" s="35" t="str">
        <x:v>Una restauración puede reintroducir estados anteriores por un mecanismo distinto de la desinstalación.</x:v>
      </x:c>
      <x:c r="D14" s="35" t="str">
        <x:v>Restaurar una máquina virtual puede no generar un evento de desinstalación.</x:v>
      </x:c>
      <x:c r="E14" s="35" t="str">
        <x:v>Evento con procedencia temporal; no reúne restauración y vulnerabilidad.</x:v>
      </x:c>
      <x:c r="F14" s="35" t="str">
        <x:v>El experto podría aceptar una corrección basándose en pruebas anteriores a la restauración.</x:v>
      </x:c>
      <x:c r="G14" s="35" t="str">
        <x:v>La antigüedad de una copia no demuestra que todos sus componentes sean vulnerables.</x:v>
      </x:c>
      <x:c r="H14" s="35" t="str">
        <x:v>Registro de restauración con objeto, origen y resultado. No se ejecuta una recuperación.</x:v>
      </x:c>
      <x:c r="I14" s="35" t="str">
        <x:v>T001, B10</x:v>
      </x:c>
    </x:row>
    <x:row r="15" ht="66" customHeight="1">
      <x:c r="A15" s="35" t="str">
        <x:v>P11</x:v>
      </x:c>
      <x:c r="B15" s="35" t="str">
        <x:v>Creación de una nueva generación de proceso</x:v>
      </x:c>
      <x:c r="C15" s="35" t="str">
        <x:v>Crear un proceso no acredita que haya terminado su inicialización.</x:v>
      </x:c>
      <x:c r="D15" s="35" t="str">
        <x:v>La generación anterior puede terminar con o sin creación posterior.</x:v>
      </x:c>
      <x:c r="E15" s="35" t="str">
        <x:v>PID y tiempo son identidad; no se añade la inicialización al mismo parámetro.</x:v>
      </x:c>
      <x:c r="F15" s="35" t="str">
        <x:v>Podría aceptarse la mera terminación del proceso anterior sin comprobar su sustitución.</x:v>
      </x:c>
      <x:c r="G15" s="35" t="str">
        <x:v>No se crea otra instancia por ignorar una creación ya acreditada.</x:v>
      </x:c>
      <x:c r="H15" s="35" t="str">
        <x:v>Registro de creación y orden temporal exacto. Una observación posterior al instante de evaluación no pertenece al caso.</x:v>
      </x:c>
      <x:c r="I15" s="35" t="str">
        <x:v>T014, T015</x:v>
      </x:c>
    </x:row>
    <x:row r="16" ht="66" customHeight="1">
      <x:c r="A16" s="35" t="str">
        <x:v>P12</x:v>
      </x:c>
      <x:c r="B16" s="35" t="str">
        <x:v>Valor efectivo de configuración objetivo</x:v>
      </x:c>
      <x:c r="C16" s="35" t="str">
        <x:v>Guardar una configuración no demuestra que el consumidor la haya incorporado.</x:v>
      </x:c>
      <x:c r="D16" s="35" t="str">
        <x:v>El valor persistente puede cambiar antes de que lo utilice el consumidor.</x:v>
      </x:c>
      <x:c r="E16" s="35" t="str">
        <x:v>Una clave escalar. Un objeto con varias propiedades exige separación por significado.</x:v>
      </x:c>
      <x:c r="F16" s="35" t="str">
        <x:v>Puede persistir una condición insegura aunque el archivo de configuración parezca correcto.</x:v>
      </x:c>
      <x:c r="G16" s="35" t="str">
        <x:v>Una alternativa autorizada no se rechaza sólo por diferir de otro objetivo.</x:v>
      </x:c>
      <x:c r="H16" s="35" t="str">
        <x:v>Método específico de lectura efectiva y equivalencia tipada; ausencia sólo es valor si el esquema lo define.</x:v>
      </x:c>
      <x:c r="I16" s="35" t="str">
        <x:v>T001, F018, B01</x:v>
      </x:c>
    </x:row>
    <x:row r="17" ht="66" customHeight="1">
      <x:c r="A17" s="35" t="str">
        <x:v>P13</x:v>
      </x:c>
      <x:c r="B17" s="35" t="str">
        <x:v>Identidad objetivo del artefacto almacenado</x:v>
      </x:c>
      <x:c r="C17" s="35" t="str">
        <x:v>Almacenamiento, utilización y selección de próxima carga son estados distintos.</x:v>
      </x:c>
      <x:c r="D17" s="35" t="str">
        <x:v>El archivo puede ser nuevo y la imagen utilizada antigua.</x:v>
      </x:c>
      <x:c r="E17" s="35" t="str">
        <x:v>Un artefacto, no una colección. Su integridad no incorpora autenticidad ni corrección funcional.</x:v>
      </x:c>
      <x:c r="F17" s="35" t="str">
        <x:v>Puede aceptarse un estado que volverá a cargar un artefacto anterior.</x:v>
      </x:c>
      <x:c r="G17" s="35" t="str">
        <x:v>La discrepancia de identidad no acredita por sí sola un defecto de seguridad.</x:v>
      </x:c>
      <x:c r="H17" s="35" t="str">
        <x:v>Lectura consistente del objeto completo, incluido un objeto binario de firmware si existe un perfil admitido. No afirma durabilidad física frente a un fallo eléctrico.</x:v>
      </x:c>
      <x:c r="I17" s="35" t="str">
        <x:v>T001, T008, B02, B03</x:v>
      </x:c>
    </x:row>
    <x:row r="18" ht="66" customHeight="1">
      <x:c r="A18" s="35" t="str">
        <x:v>P14</x:v>
      </x:c>
      <x:c r="B18" s="35" t="str">
        <x:v>Cambio posterior de configuración</x:v>
      </x:c>
      <x:c r="C18" s="35" t="str">
        <x:v>El cambio de configuración puede invalidar una prueba sin modificar el ejecutable.</x:v>
      </x:c>
      <x:c r="D18" s="35" t="str">
        <x:v>Puede cambiar una clave sin cambiar ningún binario.</x:v>
      </x:c>
      <x:c r="E18" s="35" t="str">
        <x:v>Un valor y un ámbito; efectivo y persistente llevan usos separados.</x:v>
      </x:c>
      <x:c r="F18" s="35" t="str">
        <x:v>Puede conservarse una conclusión que ya no corresponde a la configuración evaluada.</x:v>
      </x:c>
      <x:c r="G18" s="35" t="str">
        <x:v>Invalidar pruebas independientes produce trabajo sin fundamento.</x:v>
      </x:c>
      <x:c r="H18" s="35" t="str">
        <x:v>Historia de valores tipados; cambio y retorno cuenta como cambio.</x:v>
      </x:c>
      <x:c r="I18" s="35" t="str">
        <x:v>T001, B01</x:v>
      </x:c>
    </x:row>
    <x:row r="19" ht="66" customHeight="1">
      <x:c r="A19" s="35" t="str">
        <x:v>P15</x:v>
      </x:c>
      <x:c r="B19" s="35" t="str">
        <x:v>Necesidad de otra acción de terminación</x:v>
      </x:c>
      <x:c r="C19" s="35" t="str">
        <x:v>La actualización puede exigir configuración, sustitución, invalidación o activación adicionales.</x:v>
      </x:c>
      <x:c r="D19" s="35" t="str">
        <x:v>Puede exigirse una configuración adicional sin reiniciar el sistema.</x:v>
      </x:c>
      <x:c r="E19" s="35" t="str">
        <x:v>Sólo registra obligación. Una acción con resultados independientes se descompone antes de evaluarla.</x:v>
      </x:c>
      <x:c r="F19" s="35" t="str">
        <x:v>Puede confundirse recepción del paquete con terminación de todos los efectos exigidos.</x:v>
      </x:c>
      <x:c r="G19" s="35" t="str">
        <x:v>La lista de posibilidades no es una lista de acciones obligatorias para todos los casos.</x:v>
      </x:c>
      <x:c r="H19" s="35" t="str">
        <x:v>Registro cerrado de clases de acción y criterios de cumplimiento en esta versión. Prohibido añadir una acción semánticamente nueva por texto libre durante el consejo.</x:v>
      </x:c>
      <x:c r="I19" s="35" t="str">
        <x:v>T001, B01</x:v>
      </x:c>
    </x:row>
    <x:row r="20" ht="66" customHeight="1">
      <x:c r="A20" s="35" t="str">
        <x:v>P16</x:v>
      </x:c>
      <x:c r="B20" s="35" t="str">
        <x:v>Valor persistente de configuración objetivo</x:v>
      </x:c>
      <x:c r="C20" s="35" t="str">
        <x:v>Una configuración correcta en uso puede no conservarse para la próxima carga.</x:v>
      </x:c>
      <x:c r="D20" s="35" t="str">
        <x:v>El consumidor conserva un valor nuevo mientras el repositorio vuelve al antiguo.</x:v>
      </x:c>
      <x:c r="E20" s="35" t="str">
        <x:v>Un valor escalar persistente; la clave y su repositorio identifican el sujeto.</x:v>
      </x:c>
      <x:c r="F20" s="35" t="str">
        <x:v>Una recarga posterior podría recuperar la configuración anterior.</x:v>
      </x:c>
      <x:c r="G20" s="35" t="str">
        <x:v>No se sobrescribe una configuración por confundir dos repositorios o ámbitos.</x:v>
      </x:c>
      <x:c r="H20" s="35" t="str">
        <x:v>Lectura consistente del repositorio autoritativo, con tipo y objetivo fijados; no se infiere de la lectura efectiva.</x:v>
      </x:c>
      <x:c r="I20" s="35" t="str">
        <x:v>B01, F018</x:v>
      </x:c>
    </x:row>
    <x:row r="21" ht="66" customHeight="1">
      <x:c r="A21" s="35" t="str">
        <x:v>P17</x:v>
      </x:c>
      <x:c r="B21" s="35" t="str">
        <x:v>Inicialización del proceso completada</x:v>
      </x:c>
      <x:c r="C21" s="35" t="str">
        <x:v>La creación puede preceder a fallos de carga e inicialización.</x:v>
      </x:c>
      <x:c r="D21" s="35" t="str">
        <x:v>CreateProcessW puede devolver éxito y la inicialización terminar o fallar después.</x:v>
      </x:c>
      <x:c r="E21" s="35" t="str">
        <x:v>Un hito unitario definido. Si reúne preparación de componentes independientes, se separan sus usos.</x:v>
      </x:c>
      <x:c r="F21" s="35" t="str">
        <x:v>Una instancia creada pero no inicializada podría presentarse como sustituto disponible.</x:v>
      </x:c>
      <x:c r="G21" s="35" t="str">
        <x:v>No se confunde una inicialización lenta con un fallo definitivo sin evidencia.</x:v>
      </x:c>
      <x:c r="H21" s="35" t="str">
        <x:v>Señal de inicialización propia del programa, identidad de generación e instante. El retorno de CreateProcessW no sirve como señal suficiente.</x:v>
      </x:c>
      <x:c r="I21" s="35" t="str">
        <x:v>T015, R025</x:v>
      </x:c>
    </x:row>
    <x:row r="22" ht="82" customHeight="1">
      <x:c r="A22" s="35" t="str">
        <x:v>P18</x:v>
      </x:c>
      <x:c r="B22" s="35" t="str">
        <x:v>Habilitación de un parche en ejecución</x:v>
      </x:c>
      <x:c r="C22" s="35" t="str">
        <x:v>La habilitación y la transición de las tareas son estados distintos.</x:v>
      </x:c>
      <x:c r="D22" s="35" t="str">
        <x:v>El estado habilitado puede cambiar al invertir una transición mientras una tarea conserva todavía el mismo estado de parche de referencia.</x:v>
      </x:c>
      <x:c r="E22" s="35" t="str">
        <x:v>Un estado del mecanismo; la transición por tarea queda fuera de la proposición.</x:v>
      </x:c>
      <x:c r="F22" s="35" t="str">
        <x:v>Podría confundirse habilitación con aplicación completa en todas las tareas.</x:v>
      </x:c>
      <x:c r="G22" s="35" t="str">
        <x:v>No se fuerza una transición por el mero hecho de encontrarla pendiente.</x:v>
      </x:c>
      <x:c r="H22" s="35" t="str">
        <x:v>Perfil Linux 6.8: enabled del parche. Se preservan identidad, instante y dirección de la transición.</x:v>
      </x:c>
      <x:c r="I22" s="35" t="str">
        <x:v>B04</x:v>
      </x:c>
    </x:row>
    <x:row r="23" ht="98" customHeight="1">
      <x:c r="A23" s="35" t="str">
        <x:v>P19</x:v>
      </x:c>
      <x:c r="B23" s="35" t="str">
        <x:v>Estado objetivo de parche en una tarea</x:v>
      </x:c>
      <x:c r="C23" s="35" t="str">
        <x:v>Las tareas pueden transitar en momentos diferentes.</x:v>
      </x:c>
      <x:c r="D23" s="35" t="str">
        <x:v>Con el mismo enabled, dos tareas pueden tener estados de parche distintos.</x:v>
      </x:c>
      <x:c r="E23" s="35" t="str">
        <x:v>Una tarea y una transición. La conjunción sobre todas las tareas es una composición.</x:v>
      </x:c>
      <x:c r="F23" s="35" t="str">
        <x:v>Una tarea puede seguir utilizando funciones anteriores mientras otras ya han transitado.</x:v>
      </x:c>
      <x:c r="G23" s="35" t="str">
        <x:v>Se evita forzar o reiniciar tareas que ya alcanzaron el objetivo.</x:v>
      </x:c>
      <x:c r="H23" s="35" t="str">
        <x:v>Linux 6.8: patch_state 0/1 se compara con una referencia fijada previamente; la dirección de transición se conserva, pero no redefine esa referencia. El valor -1 fuera de transición no significa sin parche ni equivale a Tri.U; ese perfil no está activo.</x:v>
      </x:c>
      <x:c r="I23" s="35" t="str">
        <x:v>B04</x:v>
      </x:c>
    </x:row>
    <x:row r="24" ht="66" customHeight="1">
      <x:c r="A24" s="35" t="str">
        <x:v>P20</x:v>
      </x:c>
      <x:c r="B24" s="35" t="str">
        <x:v>Referencia vigente a un recurso anterior</x:v>
      </x:c>
      <x:c r="C24" s="35" t="str">
        <x:v>La terminación de un proceso no elimina todas las referencias conservadas por otros consumidores.</x:v>
      </x:c>
      <x:c r="D24" s="35" t="str">
        <x:v>El proceso principal puede terminar mientras otro consumidor conserva una referencia.</x:v>
      </x:c>
      <x:c r="E24" s="35" t="str">
        <x:v>Una relación consumidor–recurso. La existencia de referencia y el contenido del recurso son estados diferentes.</x:v>
      </x:c>
      <x:c r="F24" s="35" t="str">
        <x:v>Puede persistir utilización del recurso anterior o ser insegura su retirada.</x:v>
      </x:c>
      <x:c r="G24" s="35" t="str">
        <x:v>No se retira un recurso todavía referenciado ni se confunde mera dirección numérica con referencia vigente.</x:v>
      </x:c>
      <x:c r="H24" s="35" t="str">
        <x:v>Identidad de generación, titular, ámbito y posibilidad de uso; ausencia exige enumeración completa del ámbito del consumidor.</x:v>
      </x:c>
      <x:c r="I24" s="35" t="str">
        <x:v>T016, B04, R025</x:v>
      </x:c>
    </x:row>
    <x:row r="25" ht="82" customHeight="1">
      <x:c r="A25" s="35" t="str">
        <x:v>P21</x:v>
      </x:c>
      <x:c r="B25" s="35" t="str">
        <x:v>Contenido objetivo de una entrada de caché</x:v>
      </x:c>
      <x:c r="C25" s="35" t="str">
        <x:v>Un estado conservado en memoria puede diferir del que se volvería a cargar desde su origen.</x:v>
      </x:c>
      <x:c r="D25" s="35" t="str">
        <x:v>El artefacto de origen puede ser idéntico y la entrada conservada diferente.</x:v>
      </x:c>
      <x:c r="E25" s="35" t="str">
        <x:v>Una entrada con un contenido semánticamente indivisible. Configuración efectiva se remite a P12; código utilizado a P06, sin doble conteo.</x:v>
      </x:c>
      <x:c r="F25" s="35" t="str">
        <x:v>El consumidor podría seguir tomando decisiones con estado anterior pese a la actualización del origen.</x:v>
      </x:c>
      <x:c r="G25" s="35" t="str">
        <x:v>No se vacía toda caché ni se confunde ausencia de entrada con contenido obsoleto.</x:v>
      </x:c>
      <x:c r="H25" s="35" t="str">
        <x:v>Perfil de caché de datos derivados: clave, generación, consumidor y criterio de identidad. La correspondencia entre origen y entrada debe estar documentada antes de usarla.</x:v>
      </x:c>
      <x:c r="I25" s="35" t="str">
        <x:v>B11, B05, R025</x:v>
      </x:c>
    </x:row>
    <x:row r="26" ht="66" customHeight="1">
      <x:c r="A26" s="35" t="str">
        <x:v>P22</x:v>
      </x:c>
      <x:c r="B26" s="35" t="str">
        <x:v>Selección del objetivo para la próxima carga</x:v>
      </x:c>
      <x:c r="C26" s="35" t="str">
        <x:v>El artefacto correcto puede estar presente sin ser el que selecciona el cargador.</x:v>
      </x:c>
      <x:c r="D26" s="35" t="str">
        <x:v>Dos configuraciones de búsqueda pueden seleccionar archivos distintos con los mismos archivos almacenados.</x:v>
      </x:c>
      <x:c r="E26" s="35" t="str">
        <x:v>Una relación de selección resuelta; no promete que ocurra una carga futura.</x:v>
      </x:c>
      <x:c r="F26" s="35" t="str">
        <x:v>Una próxima carga podría volver al artefacto anterior aunque el objetivo esté disponible.</x:v>
      </x:c>
      <x:c r="G26" s="35" t="str">
        <x:v>No se elimina una copia legítima por confundir presencia y prioridad de selección.</x:v>
      </x:c>
      <x:c r="H26" s="35" t="str">
        <x:v>Regla de resolución del cargador fijada y entradas completas; para bancos de firmware se exige su regla específica. No se extrapola la búsqueda de DLL a firmware.</x:v>
      </x:c>
      <x:c r="I26" s="35" t="str">
        <x:v>T008, B03</x:v>
      </x:c>
    </x:row>
    <x:row r="27" ht="82" customHeight="1">
      <x:c r="A27" s="35" t="str">
        <x:v>P23</x:v>
      </x:c>
      <x:c r="B27" s="35" t="str">
        <x:v>Sincronización satisfactoria comunicada del archivo</x:v>
      </x:c>
      <x:c r="C27" s="35" t="str">
        <x:v>La escritura visible y la sincronización comunicada tienen alcances diferentes.</x:v>
      </x:c>
      <x:c r="D27" s="35" t="str">
        <x:v>La lectura del archivo puede ser correcta antes y después de una sincronización fallida.</x:v>
      </x:c>
      <x:c r="E27" s="35" t="str">
        <x:v>Un resultado comunicado. Metadatos, datos y dispositivo requieren identificación del alcance, no una garantía agregada.</x:v>
      </x:c>
      <x:c r="F27" s="35" t="str">
        <x:v>Una lectura correcta podría confundirse con acreditación de persistencia bajo el modelo de fallo aplicable.</x:v>
      </x:c>
      <x:c r="G27" s="35" t="str">
        <x:v>No se ordenan sincronizaciones repetidas sin necesidad ni se atribuye durabilidad física ilimitada.</x:v>
      </x:c>
      <x:c r="H27" s="35" t="str">
        <x:v>Perfil FlushFileBuffers para un archivo y sistema admitidos. FlushViewOfFile no es evidencia equivalente; el modelo de almacenamiento y sus garantías permanecen expresos.</x:v>
      </x:c>
      <x:c r="I27" s="35" t="str">
        <x:v>B06, B07, B11</x:v>
      </x:c>
    </x:row>
    <x:row r="28" ht="66" customHeight="1">
      <x:c r="A28" s="35" t="str">
        <x:v>P24</x:v>
      </x:c>
      <x:c r="B28" s="35" t="str">
        <x:v>Operación diferida de archivo pendiente</x:v>
      </x:c>
      <x:c r="C28" s="35" t="str">
        <x:v>Aceptar una operación diferida no demuestra su ejecución.</x:v>
      </x:c>
      <x:c r="D28" s="35" t="str">
        <x:v>La instalación puede comunicar éxito con o sin operación diferida pendiente.</x:v>
      </x:c>
      <x:c r="E28" s="35" t="str">
        <x:v>Una operación de un mecanismo, no todas las acciones pendientes del sistema.</x:v>
      </x:c>
      <x:c r="F28" s="35" t="str">
        <x:v>El experto podría dar por aplicada una sustitución que sólo fue programada.</x:v>
      </x:c>
      <x:c r="G28" s="35" t="str">
        <x:v>La ausencia de pendiente tampoco demuestra éxito: la operación pudo cancelarse.</x:v>
      </x:c>
      <x:c r="H28" s="35" t="str">
        <x:v>Perfil PendingFileRenameOperations: origen, destino, orden e instalación. No se modifica el registro ni se programa ninguna operación.</x:v>
      </x:c>
      <x:c r="I28" s="35" t="str">
        <x:v>B12</x:v>
      </x:c>
    </x:row>
    <x:row r="29" ht="114" customHeight="1">
      <x:c r="A29" s="35" t="str">
        <x:v>P25</x:v>
      </x:c>
      <x:c r="B29" s="35" t="str">
        <x:v>Vinculación de un acto con una sesión</x:v>
      </x:c>
      <x:c r="C29" s="35" t="str">
        <x:v>Autenticar una sesión y atribuirle un acto son relaciones diferentes.</x:v>
      </x:c>
      <x:c r="D29" s="35" t="str">
        <x:v>Dos instalaciones satisfactorias y una misma sesión autenticada; sólo una conserva la relación de ejecución con esa sesión.</x:v>
      </x:c>
      <x:c r="E29" s="35" t="str">
        <x:v>La identidad compuesta identifica un acto; se adjudica una sola arista, no toda la cadena de responsabilidad.</x:v>
      </x:c>
      <x:c r="F29" s="35" t="str">
        <x:v>Un cambio ejecutado por otra sesión puede atribuirse al técnico legítimo y ocultar la intervención ajena.</x:v>
      </x:c>
      <x:c r="G29" s="35" t="str">
        <x:v>Una atribución incompleta no permite acusar a una persona ni borrar el resultado técnico observado.</x:v>
      </x:c>
      <x:c r="H29" s="35" t="str">
        <x:v>Identificadores de acto, sesión y emisor; referencia del registro de correlación y perfil de observación. El nombre de cuenta o la proximidad temporal no bastan. El resultado de autenticación se registra aparte como uso específico de P07; no demuestra quién controló físicamente una credencial robada.</x:v>
      </x:c>
      <x:c r="I29" s="35" t="str">
        <x:v>N01, N09</x:v>
      </x:c>
    </x:row>
    <x:row r="30" ht="98" customHeight="1">
      <x:c r="A30" s="35" t="str">
        <x:v>P26</x:v>
      </x:c>
      <x:c r="B30" s="35" t="str">
        <x:v>Competencia del emisor de una autorización</x:v>
      </x:c>
      <x:c r="C30" s="35" t="str">
        <x:v>La identidad de un firmante no determina las facultades que le atribuye una organización.</x:v>
      </x:c>
      <x:c r="D30" s="35" t="str">
        <x:v>Un emisor competente puede conceder permiso para otro activo; un emisor incompetente puede escribir un alcance aparentemente exacto.</x:v>
      </x:c>
      <x:c r="E30" s="35" t="str">
        <x:v>La facultad individual se fija antes de consultar; no se agregan todas las competencias de la persona.</x:v>
      </x:c>
      <x:c r="F30" s="35" t="str">
        <x:v>Un documento firmado por un proveedor o por un agente sin facultad puede presentarse como autorización institucional.</x:v>
      </x:c>
      <x:c r="G30" s="35" t="str">
        <x:v>No se presume incompetencia por falta de acceso del observador al registro; se conserva U.</x:v>
      </x:c>
      <x:c r="H30" s="35" t="str">
        <x:v>Anclaje de autoridad fijado por la organización competente; historial de atribuciones y facultad individual. La verificación de firma no crea competencia. La cadena de delegación se resuelve por aristas; su legitimidad conjunta no se oculta en este parámetro.</x:v>
      </x:c>
      <x:c r="I30" s="35" t="str">
        <x:v>N01, N06, N10</x:v>
      </x:c>
    </x:row>
    <x:row r="31" ht="98" customHeight="1">
      <x:c r="A31" s="35" t="str">
        <x:v>P27</x:v>
      </x:c>
      <x:c r="B31" s="35" t="str">
        <x:v>Pertenencia del acto al alcance de un permiso</x:v>
      </x:c>
      <x:c r="C31" s="35" t="str">
        <x:v>Un permiso identifica aquello que permite; la posesión de una credencial no amplía ese alcance.</x:v>
      </x:c>
      <x:c r="D31" s="35" t="str">
        <x:v>Un permiso auténtico emitido por autoridad competente puede estar vigente y excluir el activo o destinatario del acto.</x:v>
      </x:c>
      <x:c r="E31" s="35" t="str">
        <x:v>Acción y recurso fijan el sujeto relacional de la pertenencia. Los incumplimientos de campos se explican; no se crean átomos por cada palabra de la tupla.</x:v>
      </x:c>
      <x:c r="F31" s="35" t="str">
        <x:v>Se puede legitimar un reinicio en otro servicio, una exportación de registros no prevista o el uso de credenciales por otro agente.</x:v>
      </x:c>
      <x:c r="G31" s="35" t="str">
        <x:v>La exclusión de este permiso no demuestra que no exista otro permiso aplicable; la cobertura de autorizaciones se comprueba aparte.</x:v>
      </x:c>
      <x:c r="H31" s="35" t="str">
        <x:v>Perfil documental PR-ALC/1: conjunto finito explícito de tuplas exactas. No admite comodines interpretados por el auxiliar. Las restricciones adicionales del permiso se conservan y evalúan separadamente; una política más rica requiere su perfil y no se aproxima por este conjunto.</x:v>
      </x:c>
      <x:c r="I31" s="35" t="str">
        <x:v>N01, N06, N10</x:v>
      </x:c>
    </x:row>
    <x:row r="32" ht="98" customHeight="1">
      <x:c r="A32" s="35" t="str">
        <x:v>P28</x:v>
      </x:c>
      <x:c r="B32" s="35" t="str">
        <x:v>Inclusión temporal del acto en la vigencia declarada</x:v>
      </x:c>
      <x:c r="C32" s="35" t="str">
        <x:v>La fecha escrita en un documento y el tiempo acreditado de la actuación no son intercambiables.</x:v>
      </x:c>
      <x:c r="D32" s="35" t="str">
        <x:v>El intervalo puede estar incluido en la vigencia nominal aunque el permiso ya estuviera revocado o se hubiese emitido después con fecha retroactiva.</x:v>
      </x:c>
      <x:c r="E32" s="35" t="str">
        <x:v>La inclusión de un intervalo es una relación única. Sus extremos son observables del mismo objeto temporal, no dos permisos.</x:v>
      </x:c>
      <x:c r="F32" s="35" t="str">
        <x:v>Un acto posterior a la caducidad puede aconsejarse como autorizado, o puede ignorarse que el permiso caducó durante la actuación.</x:v>
      </x:c>
      <x:c r="G32" s="35" t="str">
        <x:v>La superposición incierta no se transforma en infracción demostrada ni en permiso vigente.</x:v>
      </x:c>
      <x:c r="H32" s="35" t="str">
        <x:v>Perfil PR-TIEMPO/1: intervalos cerrados, escala común y precisión declarada; enteros decimales exactos conservados como texto. No confundir hora del registro, del sellado, de observación y del acto. Límites abiertos o reglas de zona horaria requieren otro perfil explícito.</x:v>
      </x:c>
      <x:c r="I32" s="35" t="str">
        <x:v>N03B, N03C, N06</x:v>
      </x:c>
    </x:row>
    <x:row r="33" ht="114" customHeight="1">
      <x:c r="A33" s="35" t="str">
        <x:v>P29</x:v>
      </x:c>
      <x:c r="B33" s="35" t="str">
        <x:v>Revocación que afecta a la actuación</x:v>
      </x:c>
      <x:c r="C33" s="35" t="str">
        <x:v>El intervalo nominal de un permiso puede seguir abierto después de su retirada.</x:v>
      </x:c>
      <x:c r="D33" s="35" t="str">
        <x:v>Un permiso no caducado puede estar revocado; un permiso caducado puede no haber sufrido revocación alguna.</x:v>
      </x:c>
      <x:c r="E33" s="35" t="str">
        <x:v>Existencia de un suceso de revocación pertinente, con cobertura del historial. No reúne caducidad y revocación.</x:v>
      </x:c>
      <x:c r="F33" s="35" t="str">
        <x:v>Una sesión o agente puede seguir figurando como autorizado después de la retirada de su facultad.</x:v>
      </x:c>
      <x:c r="G33" s="35" t="str">
        <x:v>No se invalida retroactivamente un acto anterior por una revocación posterior, salvo regla explícita aplicable.</x:v>
      </x:c>
      <x:c r="H33" s="35" t="str">
        <x:v>PR-TIEMPO/1; se distinguen emisión, publicación, recepción y efecto de la revocación. La regla jurídica o institucional determina el efecto. La revocación posterior al final no se aplica retroactivamente por el simple hecho de conocerla después. Una nueva concesión posee otra identidad.</x:v>
      </x:c>
      <x:c r="I33" s="35" t="str">
        <x:v>N01, N09, N06</x:v>
      </x:c>
    </x:row>
    <x:row r="34" ht="98" customHeight="1">
      <x:c r="A34" s="35" t="str">
        <x:v>P30</x:v>
      </x:c>
      <x:c r="B34" s="35" t="str">
        <x:v>Precedencia de la emisión de una autorización</x:v>
      </x:c>
      <x:c r="C34" s="35" t="str">
        <x:v>Ratificar después y autorizar antes son sucesos distintos.</x:v>
      </x:c>
      <x:c r="D34" s="35" t="str">
        <x:v>La vigencia nominal puede abarcar el acto y la aprobación ser posterior; un acto planificado puede seguir sin aprobación previa.</x:v>
      </x:c>
      <x:c r="E34" s="35" t="str">
        <x:v>Una relación de precedencia entre dos sucesos; no se añade una valoración global de legalidad.</x:v>
      </x:c>
      <x:c r="F34" s="35" t="str">
        <x:v>Una aprobación posterior puede encubrir que el experto no autorizó la actuación cuando todavía podía decidirla.</x:v>
      </x:c>
      <x:c r="G34" s="35" t="str">
        <x:v>Un acto urgente no se califica por automatismo: se examina si estaba amparado por una autorización permanente u otro régimen aplicable.</x:v>
      </x:c>
      <x:c r="H34" s="35" t="str">
        <x:v>PR-TIEMPO/1; se compara tiempo de emisión acreditado con comienzo, no fecha redactada retrospectivamente. Este átomo sólo describe precedencia; el régimen de urgencia o autorización permanente es contexto y puede aportar otro permiso válido anterior.</x:v>
      </x:c>
      <x:c r="I34" s="35" t="str">
        <x:v>N01, N03B, N03C</x:v>
      </x:c>
    </x:row>
    <x:row r="35" ht="98" customHeight="1">
      <x:c r="A35" s="35" t="str">
        <x:v>P31</x:v>
      </x:c>
      <x:c r="B35" s="35" t="str">
        <x:v>Separación de los titulares de dos funciones</x:v>
      </x:c>
      <x:c r="C35" s="35" t="str">
        <x:v>Dos cuentas no equivalen necesariamente a dos personas o autoridades independientes.</x:v>
      </x:c>
      <x:c r="D35" s="35" t="str">
        <x:v>Dos titulares distintos pueden carecer de competencia; un titular competente puede asumir ambas funciones con cuentas diferentes.</x:v>
      </x:c>
      <x:c r="E35" s="35" t="str">
        <x:v>Una desigualdad entre dos identidades canónicas. La independencia institucional más amplia sigue siendo compuesta.</x:v>
      </x:c>
      <x:c r="F35" s="35" t="str">
        <x:v>Una misma persona puede autorizar y ejecutar usando alias, aparentando una separación inexistente.</x:v>
      </x:c>
      <x:c r="G35" s="35" t="str">
        <x:v>No se impone doble control a todos los cambios ni se afirma independencia organizativa sólo por tener titulares distintos.</x:v>
      </x:c>
      <x:c r="H35" s="35" t="str">
        <x:v>La exigencia de separación se activa antes según categoría, medida o política aplicable. Se usa un par de funciones y titulares; otras incompatibilidades o independencia organizativa necesitan controles propios. Sin exigencia, el perfil es NO_APLICABLE, no Tri.1.</x:v>
      </x:c>
      <x:c r="I35" s="35" t="str">
        <x:v>N01, N09</x:v>
      </x:c>
    </x:row>
    <x:row r="36" ht="114" customHeight="1">
      <x:c r="A36" s="35" t="str">
        <x:v>P32</x:v>
      </x:c>
      <x:c r="B36" s="35" t="str">
        <x:v>Pertenencia de la actuación a un plan previo</x:v>
      </x:c>
      <x:c r="C36" s="35" t="str">
        <x:v>Planificar una actuación, autorizarla y ejecutarla son hechos diferentes.</x:v>
      </x:c>
      <x:c r="D36" s="35" t="str">
        <x:v>Una actuación prevista puede no estar autorizada; una actuación urgente autorizada previamente puede no figurar en el plan ordinario.</x:v>
      </x:c>
      <x:c r="E36" s="35" t="str">
        <x:v>Una pertenencia a un conjunto de actuaciones previamente fijado; no mide calidad del plan ni suficiencia de la planificación.</x:v>
      </x:c>
      <x:c r="F36" s="35" t="str">
        <x:v>Puede ocultarse un cambio ajeno al plan, omitiendo sus dependencias, ventana o efectos sobre un servicio regulado.</x:v>
      </x:c>
      <x:c r="G36" s="35" t="str">
        <x:v>Una actuación no planificada no es necesariamente ilícita: puede existir autorización urgente válida y debe explicarse su régimen.</x:v>
      </x:c>
      <x:c r="H36" s="35" t="str">
        <x:v>PR-PLAN/1: lista finita de actuaciones individualizadas; la existencia previa y procedencia del plan son admisión. La finalidad justificativa, razón del cambio y régimen de urgencia se conservan en el contexto. Fuera de un régimen que requiera contrastar un plan, el perfil no se activa.</x:v>
      </x:c>
      <x:c r="I36" s="35" t="str">
        <x:v>N01, B01</x:v>
      </x:c>
    </x:row>
  </x:sheetData>
  <x:mergeCells>
    <x:mergeCell ref="A1:D1"/>
    <x:mergeCell ref="A2:F2"/>
  </x:mergeCells>
  <x:pageMargins left="0.7" right="0.7" top="0.75" bottom="0.75" header="0.3" footer="0.3"/>
  <x:tableParts count="1">
    <x:tablePart xmlns:r="http://schemas.openxmlformats.org/officeDocument/2006/relationships" r:id="Rf102202293b44a97"/>
  </x:tableParts>
</x:worksheet>
</file>

<file path=xl/worksheets/sheet8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31" hidden="0" customWidth="1"/>
    <x:col min="2" max="2" width="55" hidden="0" customWidth="1"/>
    <x:col min="3" max="3" width="36" hidden="0" customWidth="1"/>
    <x:col min="4" max="4" width="47" hidden="0" customWidth="1"/>
    <x:col min="5" max="5" width="47" hidden="0" customWidth="1"/>
    <x:col min="6" max="6" width="21" hidden="0" customWidth="1"/>
    <x:col min="7" max="7" width="64" hidden="0" customWidth="1"/>
  </x:cols>
  <x:sheetData>
    <x:row r="1" ht="34" customHeight="1">
      <x:c r="A1" s="61" t="str">
        <x:v>Contraste documental de continuidad</x:v>
      </x:c>
    </x:row>
    <x:row r="2" ht="46" customHeight="1">
      <x:c r="A2" s="63" t="str">
        <x:v>32 casos sintéticos; once alteraciones erróneas del observador detectadas. No ejecuta SV ni acredita firmas, autoridades, registros o infraestructuras reales.</x:v>
      </x:c>
    </x:row>
    <x:row r="4" ht="56" customHeight="1">
      <x:c r="A4" s="60" t="str">
        <x:v>Caso</x:v>
      </x:c>
      <x:c r="B4" s="60" t="str">
        <x:v>Pregunta o ataque</x:v>
      </x:c>
      <x:c r="C4" s="60" t="str">
        <x:v>Clase de contrato</x:v>
      </x:c>
      <x:c r="D4" s="60" t="str">
        <x:v>Esperado</x:v>
      </x:c>
      <x:c r="E4" s="60" t="str">
        <x:v>Observado</x:v>
      </x:c>
      <x:c r="F4" s="60" t="str">
        <x:v>Concordancia</x:v>
      </x:c>
      <x:c r="G4" s="60" t="str">
        <x:v>Fundamento</x:v>
      </x:c>
    </x:row>
    <x:row r="5" ht="50" customHeight="1">
      <x:c r="A5" s="35" t="str">
        <x:v>CT-01</x:v>
      </x:c>
      <x:c r="B5" s="35" t="str">
        <x:v>Inicio documentado con historia anterior expresamente desconocida</x:v>
      </x:c>
      <x:c r="C5" s="35" t="str">
        <x:v>partida</x:v>
      </x:c>
      <x:c r="D5" s="35" t="str">
        <x:v>PARTIDA_ACOTADA</x:v>
      </x:c>
      <x:c r="E5" s="35" t="str">
        <x:v>PARTIDA_ACOTADA</x:v>
      </x:c>
      <x:c r="F5" s="35" t="str">
        <x:f>IF(EXACT("x"&amp;D5,"x"&amp;E5),"Concordante","Discordante")</x:f>
        <x:v>Concordante</x:v>
      </x:c>
      <x:c r="G5" s="35" t="str">
        <x:v>La captura permite empezar una evaluación; no demuestra la historia anterior.</x:v>
      </x:c>
    </x:row>
    <x:row r="6" ht="50" customHeight="1">
      <x:c r="A6" s="35" t="str">
        <x:v>CT-02</x:v>
      </x:c>
      <x:c r="B6" s="35" t="str">
        <x:v>Captura posterior presentada como estado anterior</x:v>
      </x:c>
      <x:c r="C6" s="35" t="str">
        <x:v>partida</x:v>
      </x:c>
      <x:c r="D6" s="35" t="str">
        <x:v>NO_CONCLUYENTE</x:v>
      </x:c>
      <x:c r="E6" s="35" t="str">
        <x:v>NO_CONCLUYENTE</x:v>
      </x:c>
      <x:c r="F6" s="35" t="str">
        <x:f>IF(EXACT("x"&amp;D6,"x"&amp;E6),"Concordante","Discordante")</x:f>
        <x:v>Concordante</x:v>
      </x:c>
      <x:c r="G6" s="35" t="str">
        <x:v>El estado posterior no reconstruye por sí solo el estado de partida.</x:v>
      </x:c>
    </x:row>
    <x:row r="7" ht="50" customHeight="1">
      <x:c r="A7" s="35" t="str">
        <x:v>CT-03</x:v>
      </x:c>
      <x:c r="B7" s="35" t="str">
        <x:v>Réplica omitida del reconocimiento</x:v>
      </x:c>
      <x:c r="C7" s="35" t="str">
        <x:v>partida</x:v>
      </x:c>
      <x:c r="D7" s="35" t="str">
        <x:v>NO_CONCLUYENTE</x:v>
      </x:c>
      <x:c r="E7" s="35" t="str">
        <x:v>NO_CONCLUYENTE</x:v>
      </x:c>
      <x:c r="F7" s="35" t="str">
        <x:f>IF(EXACT("x"&amp;D7,"x"&amp;E7),"Concordante","Discordante")</x:f>
        <x:v>Concordante</x:v>
      </x:c>
      <x:c r="G7" s="35" t="str">
        <x:v>No puede acreditarse cobertura de todos los consumidores declarados.</x:v>
      </x:c>
    </x:row>
    <x:row r="8" ht="50" customHeight="1">
      <x:c r="A8" s="35" t="str">
        <x:v>CT-04</x:v>
      </x:c>
      <x:c r="B8" s="35" t="str">
        <x:v>Captura tratada como origen histórico cierto</x:v>
      </x:c>
      <x:c r="C8" s="35" t="str">
        <x:v>partida</x:v>
      </x:c>
      <x:c r="D8" s="35" t="str">
        <x:v>AFIRMACION_NO_SOSTENIDA</x:v>
      </x:c>
      <x:c r="E8" s="35" t="str">
        <x:v>AFIRMACION_NO_SOSTENIDA</x:v>
      </x:c>
      <x:c r="F8" s="35" t="str">
        <x:f>IF(EXACT("x"&amp;D8,"x"&amp;E8),"Concordante","Discordante")</x:f>
        <x:v>Concordante</x:v>
      </x:c>
      <x:c r="G8" s="35" t="str">
        <x:v>Historia anterior desconocida y génesis demostrada son incompatibles.</x:v>
      </x:c>
    </x:row>
    <x:row r="9" ht="50" customHeight="1">
      <x:c r="A9" s="35" t="str">
        <x:v>CT-05</x:v>
      </x:c>
      <x:c r="B9" s="35" t="str">
        <x:v>Inventario vacío sin acreditación de cobertura</x:v>
      </x:c>
      <x:c r="C9" s="35" t="str">
        <x:v>partida</x:v>
      </x:c>
      <x:c r="D9" s="35" t="str">
        <x:v>NO_CONCLUYENTE</x:v>
      </x:c>
      <x:c r="E9" s="35" t="str">
        <x:v>NO_CONCLUYENTE</x:v>
      </x:c>
      <x:c r="F9" s="35" t="str">
        <x:f>IF(EXACT("x"&amp;D9,"x"&amp;E9),"Concordante","Discordante")</x:f>
        <x:v>Concordante</x:v>
      </x:c>
      <x:c r="G9" s="35" t="str">
        <x:v>La coincidencia de dos conjuntos vacíos no demuestra ausencia de activos.</x:v>
      </x:c>
    </x:row>
    <x:row r="10" ht="50" customHeight="1">
      <x:c r="A10" s="35" t="str">
        <x:v>CT-06</x:v>
      </x:c>
      <x:c r="B10" s="35" t="str">
        <x:v>Antecedentes múltiples identificados sin atribuir causalidad a toda referencia</x:v>
      </x:c>
      <x:c r="C10" s="35" t="str">
        <x:v>linaje</x:v>
      </x:c>
      <x:c r="D10" s="35" t="str">
        <x:v>RELACIONES_CONSERVADAS</x:v>
      </x:c>
      <x:c r="E10" s="35" t="str">
        <x:v>RELACIONES_CONSERVADAS</x:v>
      </x:c>
      <x:c r="F10" s="35" t="str">
        <x:f>IF(EXACT("x"&amp;D10,"x"&amp;E10),"Concordante","Discordante")</x:f>
        <x:v>Concordante</x:v>
      </x:c>
      <x:c r="G10" s="35" t="str">
        <x:v>Una bifurcación documentada admite más de un antecedente y relaciones distintas.</x:v>
      </x:c>
    </x:row>
    <x:row r="11" ht="50" customHeight="1">
      <x:c r="A11" s="35" t="str">
        <x:v>CT-07</x:v>
      </x:c>
      <x:c r="B11" s="35" t="str">
        <x:v>Referencia a antecedente ausente</x:v>
      </x:c>
      <x:c r="C11" s="35" t="str">
        <x:v>linaje</x:v>
      </x:c>
      <x:c r="D11" s="35" t="str">
        <x:v>NO_CONCLUYENTE</x:v>
      </x:c>
      <x:c r="E11" s="35" t="str">
        <x:v>NO_CONCLUYENTE</x:v>
      </x:c>
      <x:c r="F11" s="35" t="str">
        <x:f>IF(EXACT("x"&amp;D11,"x"&amp;E11),"Concordante","Discordante")</x:f>
        <x:v>Concordante</x:v>
      </x:c>
      <x:c r="G11" s="35" t="str">
        <x:v>No se completa el antecedente ausente por semejanza de nombres.</x:v>
      </x:c>
    </x:row>
    <x:row r="12" ht="50" customHeight="1">
      <x:c r="A12" s="35" t="str">
        <x:v>CT-08</x:v>
      </x:c>
      <x:c r="B12" s="35" t="str">
        <x:v>Identificador estable con contenido sustituido</x:v>
      </x:c>
      <x:c r="C12" s="35" t="str">
        <x:v>linaje</x:v>
      </x:c>
      <x:c r="D12" s="35" t="str">
        <x:v>EVIDENCIA_NO_ADMITIDA</x:v>
      </x:c>
      <x:c r="E12" s="35" t="str">
        <x:v>EVIDENCIA_NO_ADMITIDA</x:v>
      </x:c>
      <x:c r="F12" s="35" t="str">
        <x:f>IF(EXACT("x"&amp;D12,"x"&amp;E12),"Concordante","Discordante")</x:f>
        <x:v>Concordante</x:v>
      </x:c>
      <x:c r="G12" s="35" t="str">
        <x:v>La identidad de contenido exigida no coincide.</x:v>
      </x:c>
    </x:row>
    <x:row r="13" ht="50" customHeight="1">
      <x:c r="A13" s="35" t="str">
        <x:v>CT-09</x:v>
      </x:c>
      <x:c r="B13" s="35" t="str">
        <x:v>Ciclo de precedencia estricta entre versiones</x:v>
      </x:c>
      <x:c r="C13" s="35" t="str">
        <x:v>linaje</x:v>
      </x:c>
      <x:c r="D13" s="35" t="str">
        <x:v>EVIDENCIA_NO_ADMITIDA</x:v>
      </x:c>
      <x:c r="E13" s="35" t="str">
        <x:v>EVIDENCIA_NO_ADMITIDA</x:v>
      </x:c>
      <x:c r="F13" s="35" t="str">
        <x:f>IF(EXACT("x"&amp;D13,"x"&amp;E13),"Concordante","Discordante")</x:f>
        <x:v>Concordante</x:v>
      </x:c>
      <x:c r="G13" s="35" t="str">
        <x:v>El perfil temporal no admite que cada versión preceda estrictamente a la otra.</x:v>
      </x:c>
    </x:row>
    <x:row r="14" ht="50" customHeight="1">
      <x:c r="A14" s="35" t="str">
        <x:v>CT-10</x:v>
      </x:c>
      <x:c r="B14" s="35" t="str">
        <x:v>Orden documental elevado a causalidad sin respaldo</x:v>
      </x:c>
      <x:c r="C14" s="35" t="str">
        <x:v>linaje</x:v>
      </x:c>
      <x:c r="D14" s="35" t="str">
        <x:v>NO_CONCLUYENTE</x:v>
      </x:c>
      <x:c r="E14" s="35" t="str">
        <x:v>NO_CONCLUYENTE</x:v>
      </x:c>
      <x:c r="F14" s="35" t="str">
        <x:f>IF(EXACT("x"&amp;D14,"x"&amp;E14),"Concordante","Discordante")</x:f>
        <x:v>Concordante</x:v>
      </x:c>
      <x:c r="G14" s="35" t="str">
        <x:v>El enlace temporal no acredita causa del efecto.</x:v>
      </x:c>
    </x:row>
    <x:row r="15" ht="50" customHeight="1">
      <x:c r="A15" s="35" t="str">
        <x:v>CT-11</x:v>
      </x:c>
      <x:c r="B15" s="35" t="str">
        <x:v>Referencias recíprocas sin precedencia temporal</x:v>
      </x:c>
      <x:c r="C15" s="35" t="str">
        <x:v>linaje</x:v>
      </x:c>
      <x:c r="D15" s="35" t="str">
        <x:v>RELACIONES_CONSERVADAS</x:v>
      </x:c>
      <x:c r="E15" s="35" t="str">
        <x:v>RELACIONES_CONSERVADAS</x:v>
      </x:c>
      <x:c r="F15" s="35" t="str">
        <x:f>IF(EXACT("x"&amp;D15,"x"&amp;E15),"Concordante","Discordante")</x:f>
        <x:v>Concordante</x:v>
      </x:c>
      <x:c r="G15" s="35" t="str">
        <x:v>Un ciclo de referencias no es automáticamente un ciclo de causalidad.</x:v>
      </x:c>
    </x:row>
    <x:row r="16" ht="50" customHeight="1">
      <x:c r="A16" s="35" t="str">
        <x:v>CT-12</x:v>
      </x:c>
      <x:c r="B16" s="35" t="str">
        <x:v>Designación y aceptación correspondientes a la misma obligación</x:v>
      </x:c>
      <x:c r="C16" s="35" t="str">
        <x:v>asignacion</x:v>
      </x:c>
      <x:c r="D16" s="35" t="str">
        <x:v>ASIGNACION_ACREDITADA_EN_PERFIL</x:v>
      </x:c>
      <x:c r="E16" s="35" t="str">
        <x:v>ASIGNACION_ACREDITADA_EN_PERFIL</x:v>
      </x:c>
      <x:c r="F16" s="35" t="str">
        <x:f>IF(EXACT("x"&amp;D16,"x"&amp;E16),"Concordante","Discordante")</x:f>
        <x:v>Concordante</x:v>
      </x:c>
      <x:c r="G16" s="35" t="str">
        <x:v>Se comprueba una asignación institucional documental, sin resolver responsabilidad jurídica.</x:v>
      </x:c>
    </x:row>
    <x:row r="17" ht="50" customHeight="1">
      <x:c r="A17" s="35" t="str">
        <x:v>CT-13</x:v>
      </x:c>
      <x:c r="B17" s="35" t="str">
        <x:v>Permiso de ejecución presentado como asignación de deber</x:v>
      </x:c>
      <x:c r="C17" s="35" t="str">
        <x:v>asignacion</x:v>
      </x:c>
      <x:c r="D17" s="35" t="str">
        <x:v>ASIGNACION_NO_ACREDITADA</x:v>
      </x:c>
      <x:c r="E17" s="35" t="str">
        <x:v>ASIGNACION_NO_ACREDITADA</x:v>
      </x:c>
      <x:c r="F17" s="35" t="str">
        <x:f>IF(EXACT("x"&amp;D17,"x"&amp;E17),"Concordante","Discordante")</x:f>
        <x:v>Concordante</x:v>
      </x:c>
      <x:c r="G17" s="35" t="str">
        <x:v>Poder ejecutar y deber hacerse cargo son relaciones distintas.</x:v>
      </x:c>
    </x:row>
    <x:row r="18" ht="50" customHeight="1">
      <x:c r="A18" s="35" t="str">
        <x:v>CT-14</x:v>
      </x:c>
      <x:c r="B18" s="35" t="str">
        <x:v>Recepción de pruebas presentada como relevo del responsable del acto</x:v>
      </x:c>
      <x:c r="C18" s="35" t="str">
        <x:v>asignacion</x:v>
      </x:c>
      <x:c r="D18" s="35" t="str">
        <x:v>ASIGNACION_NO_ACREDITADA</x:v>
      </x:c>
      <x:c r="E18" s="35" t="str">
        <x:v>ASIGNACION_NO_ACREDITADA</x:v>
      </x:c>
      <x:c r="F18" s="35" t="str">
        <x:f>IF(EXACT("x"&amp;D18,"x"&amp;E18),"Concordante","Discordante")</x:f>
        <x:v>Concordante</x:v>
      </x:c>
      <x:c r="G18" s="35" t="str">
        <x:v>Recibir evidencias no equivale a asumir la actuación técnica previa.</x:v>
      </x:c>
    </x:row>
    <x:row r="19" ht="50" customHeight="1">
      <x:c r="A19" s="35" t="str">
        <x:v>CT-15</x:v>
      </x:c>
      <x:c r="B19" s="35" t="str">
        <x:v>Falta la aceptación exigida por el procedimiento</x:v>
      </x:c>
      <x:c r="C19" s="35" t="str">
        <x:v>asignacion</x:v>
      </x:c>
      <x:c r="D19" s="35" t="str">
        <x:v>NO_CONCLUYENTE</x:v>
      </x:c>
      <x:c r="E19" s="35" t="str">
        <x:v>NO_CONCLUYENTE</x:v>
      </x:c>
      <x:c r="F19" s="35" t="str">
        <x:f>IF(EXACT("x"&amp;D19,"x"&amp;E19),"Concordante","Discordante")</x:f>
        <x:v>Concordante</x:v>
      </x:c>
      <x:c r="G19" s="35" t="str">
        <x:v>El acto constitutivo no está completo en este perfil.</x:v>
      </x:c>
    </x:row>
    <x:row r="20" ht="50" customHeight="1">
      <x:c r="A20" s="35" t="str">
        <x:v>CT-16</x:v>
      </x:c>
      <x:c r="B20" s="35" t="str">
        <x:v>Designación eficaz sin aceptación cuando el procedimiento no la exige</x:v>
      </x:c>
      <x:c r="C20" s="35" t="str">
        <x:v>asignacion</x:v>
      </x:c>
      <x:c r="D20" s="35" t="str">
        <x:v>ASIGNACION_ACREDITADA_EN_PERFIL</x:v>
      </x:c>
      <x:c r="E20" s="35" t="str">
        <x:v>ASIGNACION_ACREDITADA_EN_PERFIL</x:v>
      </x:c>
      <x:c r="F20" s="35" t="str">
        <x:f>IF(EXACT("x"&amp;D20,"x"&amp;E20),"Concordante","Discordante")</x:f>
        <x:v>Concordante</x:v>
      </x:c>
      <x:c r="G20" s="35" t="str">
        <x:v>No se inventa una condición universal de aceptación.</x:v>
      </x:c>
    </x:row>
    <x:row r="21" ht="50" customHeight="1">
      <x:c r="A21" s="35" t="str">
        <x:v>CT-17</x:v>
      </x:c>
      <x:c r="B21" s="35" t="str">
        <x:v>Aceptación de otra obligación</x:v>
      </x:c>
      <x:c r="C21" s="35" t="str">
        <x:v>asignacion</x:v>
      </x:c>
      <x:c r="D21" s="35" t="str">
        <x:v>NO_CONCLUYENTE</x:v>
      </x:c>
      <x:c r="E21" s="35" t="str">
        <x:v>NO_CONCLUYENTE</x:v>
      </x:c>
      <x:c r="F21" s="35" t="str">
        <x:f>IF(EXACT("x"&amp;D21,"x"&amp;E21),"Concordante","Discordante")</x:f>
        <x:v>Concordante</x:v>
      </x:c>
      <x:c r="G21" s="35" t="str">
        <x:v>Una recepción de otro encargo no satisface la condición del presente.</x:v>
      </x:c>
    </x:row>
    <x:row r="22" ht="50" customHeight="1">
      <x:c r="A22" s="35" t="str">
        <x:v>CT-18</x:v>
      </x:c>
      <x:c r="B22" s="35" t="str">
        <x:v>El relevo pretende borrar por sí solo la responsabilidad anterior</x:v>
      </x:c>
      <x:c r="C22" s="35" t="str">
        <x:v>asignacion</x:v>
      </x:c>
      <x:c r="D22" s="35" t="str">
        <x:v>AFIRMACION_NO_SOSTENIDA</x:v>
      </x:c>
      <x:c r="E22" s="35" t="str">
        <x:v>AFIRMACION_NO_SOSTENIDA</x:v>
      </x:c>
      <x:c r="F22" s="35" t="str">
        <x:f>IF(EXACT("x"&amp;D22,"x"&amp;E22),"Concordante","Discordante")</x:f>
        <x:v>Concordante</x:v>
      </x:c>
      <x:c r="G22" s="35" t="str">
        <x:v>Este perfil no tiene potestad para declarar exoneración jurídica.</x:v>
      </x:c>
    </x:row>
    <x:row r="23" ht="50" customHeight="1">
      <x:c r="A23" s="35" t="str">
        <x:v>CT-19</x:v>
      </x:c>
      <x:c r="B23" s="35" t="str">
        <x:v>Conciliación de sesiones por identidad</x:v>
      </x:c>
      <x:c r="C23" s="35" t="str">
        <x:v>conciliacion</x:v>
      </x:c>
      <x:c r="D23" s="35" t="str">
        <x:v>CONCILIACION_COINCIDENTE</x:v>
      </x:c>
      <x:c r="E23" s="35" t="str">
        <x:v>CONCILIACION_COINCIDENTE</x:v>
      </x:c>
      <x:c r="F23" s="35" t="str">
        <x:f>IF(EXACT("x"&amp;D23,"x"&amp;E23),"Concordante","Discordante")</x:f>
        <x:v>Concordante</x:v>
      </x:c>
      <x:c r="G23" s="35" t="str">
        <x:v>El cierre coincide con las altas y bajas de la misma clase.</x:v>
      </x:c>
    </x:row>
    <x:row r="24" ht="50" customHeight="1">
      <x:c r="A24" s="35" t="str">
        <x:v>CT-20</x:v>
      </x:c>
      <x:c r="B24" s="35" t="str">
        <x:v>Retransmisión del mismo suceso conservada una sola vez</x:v>
      </x:c>
      <x:c r="C24" s="35" t="str">
        <x:v>conciliacion</x:v>
      </x:c>
      <x:c r="D24" s="35" t="str">
        <x:v>CONCILIACION_COINCIDENTE</x:v>
      </x:c>
      <x:c r="E24" s="35" t="str">
        <x:v>CONCILIACION_COINCIDENTE</x:v>
      </x:c>
      <x:c r="F24" s="35" t="str">
        <x:f>IF(EXACT("x"&amp;D24,"x"&amp;E24),"Concordante","Discordante")</x:f>
        <x:v>Concordante</x:v>
      </x:c>
      <x:c r="G24" s="35" t="str">
        <x:v>La repetición del registro no es una segunda alta.</x:v>
      </x:c>
    </x:row>
    <x:row r="25" ht="50" customHeight="1">
      <x:c r="A25" s="35" t="str">
        <x:v>CT-21</x:v>
      </x:c>
      <x:c r="B25" s="35" t="str">
        <x:v>Mismo identificador de suceso con contenidos incompatibles</x:v>
      </x:c>
      <x:c r="C25" s="35" t="str">
        <x:v>conciliacion</x:v>
      </x:c>
      <x:c r="D25" s="35" t="str">
        <x:v>EVIDENCIA_NO_ADMITIDA</x:v>
      </x:c>
      <x:c r="E25" s="35" t="str">
        <x:v>EVIDENCIA_NO_ADMITIDA</x:v>
      </x:c>
      <x:c r="F25" s="35" t="str">
        <x:f>IF(EXACT("x"&amp;D25,"x"&amp;E25),"Concordante","Discordante")</x:f>
        <x:v>Concordante</x:v>
      </x:c>
      <x:c r="G25" s="35" t="str">
        <x:v>No se elige la última versión silenciosamente.</x:v>
      </x:c>
    </x:row>
    <x:row r="26" ht="50" customHeight="1">
      <x:c r="A26" s="35" t="str">
        <x:v>CT-22</x:v>
      </x:c>
      <x:c r="B26" s="35" t="str">
        <x:v>Misma cantidad final con una sesión distinta</x:v>
      </x:c>
      <x:c r="C26" s="35" t="str">
        <x:v>conciliacion</x:v>
      </x:c>
      <x:c r="D26" s="35" t="str">
        <x:v>CONCILIACION_DISCORDANTE</x:v>
      </x:c>
      <x:c r="E26" s="35" t="str">
        <x:v>CONCILIACION_DISCORDANTE</x:v>
      </x:c>
      <x:c r="F26" s="35" t="str">
        <x:f>IF(EXACT("x"&amp;D26,"x"&amp;E26),"Concordante","Discordante")</x:f>
        <x:v>Concordante</x:v>
      </x:c>
      <x:c r="G26" s="35" t="str">
        <x:v>Contar una sesión no demuestra que sea la sesión autorizada.</x:v>
      </x:c>
    </x:row>
    <x:row r="27" ht="50" customHeight="1">
      <x:c r="A27" s="35" t="str">
        <x:v>CT-23</x:v>
      </x:c>
      <x:c r="B27" s="35" t="str">
        <x:v>Efecto externo incierto de una baja</x:v>
      </x:c>
      <x:c r="C27" s="35" t="str">
        <x:v>conciliacion</x:v>
      </x:c>
      <x:c r="D27" s="35" t="str">
        <x:v>NO_CONCLUYENTE</x:v>
      </x:c>
      <x:c r="E27" s="35" t="str">
        <x:v>NO_CONCLUYENTE</x:v>
      </x:c>
      <x:c r="F27" s="35" t="str">
        <x:f>IF(EXACT("x"&amp;D27,"x"&amp;E27),"Concordante","Discordante")</x:f>
        <x:v>Concordante</x:v>
      </x:c>
      <x:c r="G27" s="35" t="str">
        <x:v>No se reintenta ni se borra una sesión por inferencia.</x:v>
      </x:c>
    </x:row>
    <x:row r="28" ht="50" customHeight="1">
      <x:c r="A28" s="35" t="str">
        <x:v>CT-24</x:v>
      </x:c>
      <x:c r="B28" s="35" t="str">
        <x:v>Baja de una cuenta usada para cerrar una sesión</x:v>
      </x:c>
      <x:c r="C28" s="35" t="str">
        <x:v>conciliacion</x:v>
      </x:c>
      <x:c r="D28" s="35" t="str">
        <x:v>EVIDENCIA_NO_ADMITIDA</x:v>
      </x:c>
      <x:c r="E28" s="35" t="str">
        <x:v>EVIDENCIA_NO_ADMITIDA</x:v>
      </x:c>
      <x:c r="F28" s="35" t="str">
        <x:f>IF(EXACT("x"&amp;D28,"x"&amp;E28),"Concordante","Discordante")</x:f>
        <x:v>Concordante</x:v>
      </x:c>
      <x:c r="G28" s="35" t="str">
        <x:v>Cuenta, credencial y sesión tienen ciclos de vida distintos.</x:v>
      </x:c>
    </x:row>
    <x:row r="29" ht="50" customHeight="1">
      <x:c r="A29" s="35" t="str">
        <x:v>CT-25</x:v>
      </x:c>
      <x:c r="B29" s="35" t="str">
        <x:v>Tres trayectos con comprobaciones pertinentes</x:v>
      </x:c>
      <x:c r="C29" s="35" t="str">
        <x:v>perimetro</x:v>
      </x:c>
      <x:c r="D29" s="35" t="str">
        <x:v>COBERTURA_ACREDITADA_EN_PERFIL</x:v>
      </x:c>
      <x:c r="E29" s="35" t="str">
        <x:v>COBERTURA_ACREDITADA_EN_PERFIL</x:v>
      </x:c>
      <x:c r="F29" s="35" t="str">
        <x:f>IF(EXACT("x"&amp;D29,"x"&amp;E29),"Concordante","Discordante")</x:f>
        <x:v>Concordante</x:v>
      </x:c>
      <x:c r="G29" s="35" t="str">
        <x:v>Sólo acredita los trayectos y el criterio del caso sintético.</x:v>
      </x:c>
    </x:row>
    <x:row r="30" ht="50" customHeight="1">
      <x:c r="A30" s="35" t="str">
        <x:v>CT-26</x:v>
      </x:c>
      <x:c r="B30" s="35" t="str">
        <x:v>Pasarela de entrada usada como cobertura de salida y consola</x:v>
      </x:c>
      <x:c r="C30" s="35" t="str">
        <x:v>perimetro</x:v>
      </x:c>
      <x:c r="D30" s="35" t="str">
        <x:v>COBERTURA_INSUFICIENTE</x:v>
      </x:c>
      <x:c r="E30" s="35" t="str">
        <x:v>COBERTURA_INSUFICIENTE</x:v>
      </x:c>
      <x:c r="F30" s="35" t="str">
        <x:f>IF(EXACT("x"&amp;D30,"x"&amp;E30),"Concordante","Discordante")</x:f>
        <x:v>Concordante</x:v>
      </x:c>
      <x:c r="G30" s="35" t="str">
        <x:v>Un camino protegido no cubre los restantes.</x:v>
      </x:c>
    </x:row>
    <x:row r="31" ht="50" customHeight="1">
      <x:c r="A31" s="35" t="str">
        <x:v>CT-27</x:v>
      </x:c>
      <x:c r="B31" s="35" t="str">
        <x:v>Prueba favorable de otra generación del control</x:v>
      </x:c>
      <x:c r="C31" s="35" t="str">
        <x:v>perimetro</x:v>
      </x:c>
      <x:c r="D31" s="35" t="str">
        <x:v>COBERTURA_INSUFICIENTE</x:v>
      </x:c>
      <x:c r="E31" s="35" t="str">
        <x:v>COBERTURA_INSUFICIENTE</x:v>
      </x:c>
      <x:c r="F31" s="35" t="str">
        <x:f>IF(EXACT("x"&amp;D31,"x"&amp;E31),"Concordante","Discordante")</x:f>
        <x:v>Concordante</x:v>
      </x:c>
      <x:c r="G31" s="35" t="str">
        <x:v>La configuración cambió después de comprobarse.</x:v>
      </x:c>
    </x:row>
    <x:row r="32" ht="50" customHeight="1">
      <x:c r="A32" s="35" t="str">
        <x:v>CT-28</x:v>
      </x:c>
      <x:c r="B32" s="35" t="str">
        <x:v>Inventario de trayectos ausente</x:v>
      </x:c>
      <x:c r="C32" s="35" t="str">
        <x:v>perimetro</x:v>
      </x:c>
      <x:c r="D32" s="35" t="str">
        <x:v>NO_CONCLUYENTE</x:v>
      </x:c>
      <x:c r="E32" s="35" t="str">
        <x:v>NO_CONCLUYENTE</x:v>
      </x:c>
      <x:c r="F32" s="35" t="str">
        <x:f>IF(EXACT("x"&amp;D32,"x"&amp;E32),"Concordante","Discordante")</x:f>
        <x:v>Concordante</x:v>
      </x:c>
      <x:c r="G32" s="35" t="str">
        <x:v>No existe una conclusión favorable por conjunto vacío.</x:v>
      </x:c>
    </x:row>
    <x:row r="33" ht="48" customHeight="1">
      <x:c r="A33" s="35" t="str">
        <x:v>CT-29</x:v>
      </x:c>
      <x:c r="B33" s="35" t="str">
        <x:v>Permiso retirado antes del acto siguiente</x:v>
      </x:c>
      <x:c r="C33" s="35" t="str">
        <x:v>vigencia</x:v>
      </x:c>
      <x:c r="D33" s="35" t="str">
        <x:v>REQUIERE_REEVALUACION</x:v>
      </x:c>
      <x:c r="E33" s="35" t="str">
        <x:v>REQUIERE_REEVALUACION</x:v>
      </x:c>
      <x:c r="F33" s="35" t="str">
        <x:f>IF(EXACT("x"&amp;D33,"x"&amp;E33),"Concordante","Discordante")</x:f>
        <x:v>Concordante</x:v>
      </x:c>
      <x:c r="G33" s="35" t="str">
        <x:v>Se debe reevaluar la facultad del acto nuevo.</x:v>
      </x:c>
    </x:row>
    <x:row r="34" ht="50" customHeight="1">
      <x:c r="A34" s="35" t="str">
        <x:v>CT-30</x:v>
      </x:c>
      <x:c r="B34" s="35" t="str">
        <x:v>Cambio ajeno a las dependencias declaradas</x:v>
      </x:c>
      <x:c r="C34" s="35" t="str">
        <x:v>vigencia</x:v>
      </x:c>
      <x:c r="D34" s="35" t="str">
        <x:v>SIN_CAMBIO_PERTINENTE_DECLARADO</x:v>
      </x:c>
      <x:c r="E34" s="35" t="str">
        <x:v>SIN_CAMBIO_PERTINENTE_DECLARADO</x:v>
      </x:c>
      <x:c r="F34" s="35" t="str">
        <x:f>IF(EXACT("x"&amp;D34,"x"&amp;E34),"Concordante","Discordante")</x:f>
        <x:v>Concordante</x:v>
      </x:c>
      <x:c r="G34" s="35" t="str">
        <x:v>No se invalida indiscriminadamente todo el expediente.</x:v>
      </x:c>
    </x:row>
    <x:row r="35" ht="50" customHeight="1">
      <x:c r="A35" s="35" t="str">
        <x:v>CT-31</x:v>
      </x:c>
      <x:c r="B35" s="35" t="str">
        <x:v>Revocación efectiva posterior al acto valorado</x:v>
      </x:c>
      <x:c r="C35" s="35" t="str">
        <x:v>vigencia</x:v>
      </x:c>
      <x:c r="D35" s="35" t="str">
        <x:v>SIN_CAMBIO_PERTINENTE_DECLARADO</x:v>
      </x:c>
      <x:c r="E35" s="35" t="str">
        <x:v>SIN_CAMBIO_PERTINENTE_DECLARADO</x:v>
      </x:c>
      <x:c r="F35" s="35" t="str">
        <x:f>IF(EXACT("x"&amp;D35,"x"&amp;E35),"Concordante","Discordante")</x:f>
        <x:v>Concordante</x:v>
      </x:c>
      <x:c r="G35" s="35" t="str">
        <x:v>El perfil fijado no atribuye efecto retroactivo.</x:v>
      </x:c>
    </x:row>
    <x:row r="36" ht="50" customHeight="1">
      <x:c r="A36" s="35" t="str">
        <x:v>CT-32</x:v>
      </x:c>
      <x:c r="B36" s="35" t="str">
        <x:v>Tiempo de efecto desconocido</x:v>
      </x:c>
      <x:c r="C36" s="35" t="str">
        <x:v>vigencia</x:v>
      </x:c>
      <x:c r="D36" s="35" t="str">
        <x:v>NO_CONCLUYENTE</x:v>
      </x:c>
      <x:c r="E36" s="35" t="str">
        <x:v>NO_CONCLUYENTE</x:v>
      </x:c>
      <x:c r="F36" s="35" t="str">
        <x:f>IF(EXACT("x"&amp;D36,"x"&amp;E36),"Concordante","Discordante")</x:f>
        <x:v>Concordante</x:v>
      </x:c>
      <x:c r="G36" s="35" t="str">
        <x:v>Conocer que existe un cambio no fija cuándo afectó al acto.</x:v>
      </x:c>
    </x:row>
    <x:row r="40" ht="56" customHeight="1">
      <x:c r="A40" s="60" t="str">
        <x:v>Alteración del observador</x:v>
      </x:c>
      <x:c r="B40" s="60" t="str">
        <x:v>Casos que la refutan</x:v>
      </x:c>
    </x:row>
    <x:row r="41" ht="48" customHeight="1">
      <x:c r="A41" s="35" t="str">
        <x:v>genesis</x:v>
      </x:c>
      <x:c r="B41" s="35" t="str">
        <x:v>CT-04</x:v>
      </x:c>
    </x:row>
    <x:row r="42" ht="48" customHeight="1">
      <x:c r="A42" s="35" t="str">
        <x:v>tiempo_partida</x:v>
      </x:c>
      <x:c r="B42" s="35" t="str">
        <x:v>CT-02</x:v>
      </x:c>
    </x:row>
    <x:row r="43" ht="48" customHeight="1">
      <x:c r="A43" s="35" t="str">
        <x:v>causalidad</x:v>
      </x:c>
      <x:c r="B43" s="35" t="str">
        <x:v>CT-10</x:v>
      </x:c>
    </x:row>
    <x:row r="44" ht="48" customHeight="1">
      <x:c r="A44" s="35" t="str">
        <x:v>todo_ciclo</x:v>
      </x:c>
      <x:c r="B44" s="35" t="str">
        <x:v>CT-11</x:v>
      </x:c>
    </x:row>
    <x:row r="45" ht="48" customHeight="1">
      <x:c r="A45" s="35" t="str">
        <x:v>exoneracion</x:v>
      </x:c>
      <x:c r="B45" s="35" t="str">
        <x:v>CT-18</x:v>
      </x:c>
    </x:row>
    <x:row r="46" ht="48" customHeight="1">
      <x:c r="A46" s="35" t="str">
        <x:v>heredar_responsabilidad</x:v>
      </x:c>
      <x:c r="B46" s="35" t="str">
        <x:v>CT-13, CT-14</x:v>
      </x:c>
    </x:row>
    <x:row r="47" ht="48" customHeight="1">
      <x:c r="A47" s="35" t="str">
        <x:v>aceptacion_universal</x:v>
      </x:c>
      <x:c r="B47" s="35" t="str">
        <x:v>CT-16</x:v>
      </x:c>
    </x:row>
    <x:row r="48" ht="48" customHeight="1">
      <x:c r="A48" s="35" t="str">
        <x:v>solo_cantidad</x:v>
      </x:c>
      <x:c r="B48" s="35" t="str">
        <x:v>CT-22</x:v>
      </x:c>
    </x:row>
    <x:row r="49" ht="48" customHeight="1">
      <x:c r="A49" s="35" t="str">
        <x:v>un_trayecto</x:v>
      </x:c>
      <x:c r="B49" s="35" t="str">
        <x:v>CT-26</x:v>
      </x:c>
    </x:row>
    <x:row r="50" ht="48" customHeight="1">
      <x:c r="A50" s="35" t="str">
        <x:v>todo_cambio</x:v>
      </x:c>
      <x:c r="B50" s="35" t="str">
        <x:v>CT-30</x:v>
      </x:c>
    </x:row>
    <x:row r="51" ht="48" customHeight="1">
      <x:c r="A51" s="35" t="str">
        <x:v>retroactividad</x:v>
      </x:c>
      <x:c r="B51" s="35" t="str">
        <x:v>CT-31</x:v>
      </x:c>
    </x:row>
    <x:row r="55" ht="46" customHeight="1">
      <x:c r="A55" s="33" t="str">
        <x:v>Comprobación</x:v>
      </x:c>
      <x:c r="B55" s="33" t="str">
        <x:v>Resultado</x:v>
      </x:c>
    </x:row>
    <x:row r="56" ht="46" customHeight="1">
      <x:c r="A56" s="33" t="str">
        <x:v>Casos discordantes</x:v>
      </x:c>
      <x:c r="B56" s="49" t="n">
        <x:f>COUNTIF(F5:F36,"Discordante")</x:f>
        <x:v>0</x:v>
      </x:c>
    </x:row>
    <x:row r="60" ht="56" customHeight="1">
      <x:c r="A60" s="60" t="str">
        <x:v>Par documental</x:v>
      </x:c>
      <x:c r="B60" s="60" t="str">
        <x:v>Casos</x:v>
      </x:c>
      <x:c r="C60" s="60" t="str">
        <x:v>Estado técnico común</x:v>
      </x:c>
      <x:c r="D60" s="60" t="str">
        <x:v>Alcance</x:v>
      </x:c>
    </x:row>
    <x:row r="61" ht="66" customHeight="1">
      <x:c r="A61" s="35" t="str">
        <x:v>PC-01</x:v>
      </x:c>
      <x:c r="B61" s="35" t="str">
        <x:v>CT-01 / CT-02</x:v>
      </x:c>
      <x:c r="C61" s="35" t="str">
        <x:v>P02=1; P06=1</x:v>
      </x:c>
      <x:c r="D61" s="35" t="str">
        <x:v>Otros treinta parámetros no instanciados. Diferencia de contexto; no pérdida atribuida a la IR.</x:v>
      </x:c>
    </x:row>
    <x:row r="62" ht="66" customHeight="1">
      <x:c r="A62" s="35" t="str">
        <x:v>PC-02</x:v>
      </x:c>
      <x:c r="B62" s="35" t="str">
        <x:v>CT-06 / CT-10</x:v>
      </x:c>
      <x:c r="C62" s="35" t="str">
        <x:v>P02=1; P06=1</x:v>
      </x:c>
      <x:c r="D62" s="35" t="str">
        <x:v>Otros treinta parámetros no instanciados. Diferencia de contexto; no pérdida atribuida a la IR.</x:v>
      </x:c>
    </x:row>
    <x:row r="63" ht="66" customHeight="1">
      <x:c r="A63" s="35" t="str">
        <x:v>PC-03</x:v>
      </x:c>
      <x:c r="B63" s="35" t="str">
        <x:v>CT-12 / CT-13</x:v>
      </x:c>
      <x:c r="C63" s="35" t="str">
        <x:v>P02=1; P06=1</x:v>
      </x:c>
      <x:c r="D63" s="35" t="str">
        <x:v>Otros treinta parámetros no instanciados. Diferencia de contexto; no pérdida atribuida a la IR.</x:v>
      </x:c>
    </x:row>
    <x:row r="64" ht="66" customHeight="1">
      <x:c r="A64" s="35" t="str">
        <x:v>PC-04</x:v>
      </x:c>
      <x:c r="B64" s="35" t="str">
        <x:v>CT-12 / CT-14</x:v>
      </x:c>
      <x:c r="C64" s="35" t="str">
        <x:v>P02=1; P06=1</x:v>
      </x:c>
      <x:c r="D64" s="35" t="str">
        <x:v>Otros treinta parámetros no instanciados. Diferencia de contexto; no pérdida atribuida a la IR.</x:v>
      </x:c>
    </x:row>
    <x:row r="65" ht="66" customHeight="1">
      <x:c r="A65" s="35" t="str">
        <x:v>PC-05</x:v>
      </x:c>
      <x:c r="B65" s="35" t="str">
        <x:v>CT-15 / CT-16</x:v>
      </x:c>
      <x:c r="C65" s="35" t="str">
        <x:v>P02=1; P06=1</x:v>
      </x:c>
      <x:c r="D65" s="35" t="str">
        <x:v>Otros treinta parámetros no instanciados. Diferencia de contexto; no pérdida atribuida a la IR.</x:v>
      </x:c>
    </x:row>
    <x:row r="66" ht="66" customHeight="1">
      <x:c r="A66" s="35" t="str">
        <x:v>PC-06</x:v>
      </x:c>
      <x:c r="B66" s="35" t="str">
        <x:v>CT-19 / CT-22</x:v>
      </x:c>
      <x:c r="C66" s="35" t="str">
        <x:v>P02=1; P06=1</x:v>
      </x:c>
      <x:c r="D66" s="35" t="str">
        <x:v>Otros treinta parámetros no instanciados. Diferencia de contexto; no pérdida atribuida a la IR.</x:v>
      </x:c>
    </x:row>
    <x:row r="67" ht="66" customHeight="1">
      <x:c r="A67" s="35" t="str">
        <x:v>PC-07</x:v>
      </x:c>
      <x:c r="B67" s="35" t="str">
        <x:v>CT-25 / CT-26</x:v>
      </x:c>
      <x:c r="C67" s="35" t="str">
        <x:v>P02=1; P06=1</x:v>
      </x:c>
      <x:c r="D67" s="35" t="str">
        <x:v>Otros treinta parámetros no instanciados. Diferencia de contexto; no pérdida atribuida a la IR.</x:v>
      </x:c>
    </x:row>
    <x:row r="68" ht="66" customHeight="1">
      <x:c r="A68" s="35" t="str">
        <x:v>PC-08</x:v>
      </x:c>
      <x:c r="B68" s="35" t="str">
        <x:v>CT-29 / CT-31</x:v>
      </x:c>
      <x:c r="C68" s="35" t="str">
        <x:v>P02=1; P06=1</x:v>
      </x:c>
      <x:c r="D68" s="35" t="str">
        <x:v>Otros treinta parámetros no instanciados. Diferencia de contexto; no pérdida atribuida a la IR.</x:v>
      </x:c>
    </x:row>
  </x:sheetData>
  <x:mergeCells>
    <x:mergeCell ref="A1:D1"/>
    <x:mergeCell ref="A2:F2"/>
  </x:mergeCells>
  <x:conditionalFormatting sqref="F5:F36">
    <x:cfRule type="containsText" dxfId="30" priority="1" operator="containsText" text="Discordante"/>
  </x:conditionalFormatting>
  <x:pageMargins left="0.7" right="0.7" top="0.75" bottom="0.75" header="0.3" footer="0.3"/>
  <x:tableParts count="3">
    <x:tablePart xmlns:r="http://schemas.openxmlformats.org/officeDocument/2006/relationships" r:id="R0196395408eb439b"/>
    <x:tablePart xmlns:r="http://schemas.openxmlformats.org/officeDocument/2006/relationships" r:id="Re6d5f08be03243d6"/>
    <x:tablePart xmlns:r="http://schemas.openxmlformats.org/officeDocument/2006/relationships" r:id="Rfe74e7de4ec346ed"/>
  </x:tableParts>
</x:worksheet>
</file>

<file path=xl/worksheets/sheet85.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1" hidden="0" customWidth="1"/>
    <x:col min="2" max="2" width="52" hidden="0" customWidth="1"/>
    <x:col min="3" max="3" width="47" hidden="0" customWidth="1"/>
    <x:col min="4" max="4" width="66" hidden="0" customWidth="1"/>
    <x:col min="5" max="5" width="59" hidden="0" customWidth="1"/>
    <x:col min="6" max="6" width="75" hidden="0" customWidth="1"/>
    <x:col min="7" max="7" width="69" hidden="0" customWidth="1"/>
    <x:col min="8" max="8" width="14" hidden="0" customWidth="1"/>
    <x:col min="9" max="9" width="70" hidden="0" customWidth="1"/>
  </x:cols>
  <x:sheetData>
    <x:row r="1" ht="34" customHeight="1">
      <x:c r="A1" s="61" t="str">
        <x:v>Bibliografía de la justificación y continuidad</x:v>
      </x:c>
    </x:row>
    <x:row r="2" ht="46" customHeight="1">
      <x:c r="A2" s="63" t="str">
        <x:v>Fuentes utilizadas en esta revisión. H01 equivale a B01, con los mismos bytes; H02–H07 son seis obras adicionales. H08 sólo comprueba el estado editorial del borrador.</x:v>
      </x:c>
    </x:row>
    <x:row r="4" ht="56" customHeight="1">
      <x:c r="A4" s="60" t="str">
        <x:v>Referencia</x:v>
      </x:c>
      <x:c r="B4" s="60" t="str">
        <x:v>Autoría</x:v>
      </x:c>
      <x:c r="C4" s="60" t="str">
        <x:v>Fecha o edición</x:v>
      </x:c>
      <x:c r="D4" s="60" t="str">
        <x:v>Título</x:v>
      </x:c>
      <x:c r="E4" s="60" t="str">
        <x:v>Localizador</x:v>
      </x:c>
      <x:c r="F4" s="60" t="str">
        <x:v>Aportación y límite</x:v>
      </x:c>
      <x:c r="G4" s="60" t="str">
        <x:v>URL</x:v>
      </x:c>
      <x:c r="H4" s="60" t="str">
        <x:v>Bytes</x:v>
      </x:c>
      <x:c r="I4" s="60" t="str">
        <x:v>SHA-256</x:v>
      </x:c>
    </x:row>
    <x:row r="5" ht="66" customHeight="1">
      <x:c r="A5" s="35" t="str">
        <x:v>B01</x:v>
      </x:c>
      <x:c r="B5" s="35" t="str">
        <x:v>Johnson, A.; Dempsey, K.; Ross, R.; Gupta, S.; Bailey, D.</x:v>
      </x:c>
      <x:c r="C5" s="35" t="str">
        <x:v>2011; actualización editorial de 10-10-2019</x:v>
      </x:c>
      <x:c r="D5" s="35" t="str">
        <x:v>Guide for Security-Focused Configuration Management of Information Systems. NIST SP 800-128</x:v>
      </x:c>
      <x:c r="E5" s="35" t="str">
        <x:v>§§3.2–3.4, pp. 30–44; apéndices E e I</x:v>
      </x:c>
      <x:c r="F5" s="35" t="str">
        <x:v>Configuración, efectos funcionales y de seguridad, autorización y cierre del cambio. La actualización de 2019 no introduce cambios técnicos.</x:v>
      </x:c>
      <x:c r="G5" s="35" t="str">
        <x:v>https://nvlpubs.nist.gov/nistpubs/SpecialPublications/NIST.SP.800-128.pdf</x:v>
      </x:c>
      <x:c r="H5" s="40" t="n">
        <x:v>1528756</x:v>
      </x:c>
      <x:c r="I5" s="35" t="str">
        <x:v>ee97c5be0a5a1c70165bf960c67042c5ed1bcb186aeb592eada60e512ab35a70</x:v>
      </x:c>
    </x:row>
    <x:row r="6" ht="50" customHeight="1">
      <x:c r="A6" s="35" t="str">
        <x:v>B02</x:v>
      </x:c>
      <x:c r="B6" s="35" t="str">
        <x:v>Regenscheid, A.</x:v>
      </x:c>
      <x:c r="C6" s="35" t="str">
        <x:v>2018, mayo</x:v>
      </x:c>
      <x:c r="D6" s="35" t="str">
        <x:v>Platform Firmware Resiliency Guidelines. NIST SP 800-193</x:v>
      </x:c>
      <x:c r="E6" s="35" t="str">
        <x:v>§§3–4</x:v>
      </x:c>
      <x:c r="F6" s="35" t="str">
        <x:v>Contraste de plataforma y firmware. No acredita un método universal de medición del firmware activo.</x:v>
      </x:c>
      <x:c r="G6" s="35" t="str">
        <x:v>https://nvlpubs.nist.gov/nistpubs/SpecialPublications/NIST.SP.800-193.pdf</x:v>
      </x:c>
      <x:c r="H6" s="40" t="n">
        <x:v>516802</x:v>
      </x:c>
      <x:c r="I6" s="35" t="str">
        <x:v>a07a759fe0e58f91c92d466afc9c582d1e1ff3a7cd4a04600ec7f7ff61d5bb06</x:v>
      </x:c>
    </x:row>
    <x:row r="7" ht="66" customHeight="1">
      <x:c r="A7" s="35" t="str">
        <x:v>B03</x:v>
      </x:c>
      <x:c r="B7" s="35" t="str">
        <x:v>Moran, B.; Tschofenig, H.; Birkholz, H.</x:v>
      </x:c>
      <x:c r="C7" s="35" t="str">
        <x:v>2022, enero</x:v>
      </x:c>
      <x:c r="D7" s="35" t="str">
        <x:v>A Manifest Information Model for Firmware Updates in Internet of Things (IoT) Devices. RFC 9124</x:v>
      </x:c>
      <x:c r="E7" s="35" t="str">
        <x:v>§§3.2–3.15, 3.19, 3.21, 3.25; §4</x:v>
      </x:c>
      <x:c r="F7" s="35" t="str">
        <x:v>Contraste informativo de identidad, autenticidad, precursor, selección y dependencias. No es una norma universal para todo activo IT.</x:v>
      </x:c>
      <x:c r="G7" s="35" t="str">
        <x:v>https://www.rfc-editor.org/rfc/rfc9124.txt</x:v>
      </x:c>
      <x:c r="H7" s="40" t="n">
        <x:v>85281</x:v>
      </x:c>
      <x:c r="I7" s="35" t="str">
        <x:v>0a1647c36503262689791fe2853dd6a450314ea8b8a7f9add65c806a6319d354</x:v>
      </x:c>
    </x:row>
    <x:row r="8" ht="50" customHeight="1">
      <x:c r="A8" s="35" t="str">
        <x:v>B04</x:v>
      </x:c>
      <x:c r="B8" s="35" t="str">
        <x:v>The Linux Kernel development community</x:v>
      </x:c>
      <x:c r="C8" s="35" t="str">
        <x:v>Linux 6.8.0</x:v>
      </x:c>
      <x:c r="D8" s="35" t="str">
        <x:v>Livepatch</x:v>
      </x:c>
      <x:c r="E8" s="35" t="str">
        <x:v>§3, Consistency model; §§5.2–5.5</x:v>
      </x:c>
      <x:c r="F8" s="35" t="str">
        <x:v>Habilitación y transición por tarea, con semántica explícita del estado -1 y límites del mecanismo.</x:v>
      </x:c>
      <x:c r="G8" s="35" t="str">
        <x:v>https://www.kernel.org/doc/html/v6.8/livepatch/livepatch.html</x:v>
      </x:c>
      <x:c r="H8" s="40" t="n">
        <x:v>35535</x:v>
      </x:c>
      <x:c r="I8" s="35" t="str">
        <x:v>8e722eea12ec279aff87d266215e07b54441b68691b921035198da4413b8cb1f</x:v>
      </x:c>
    </x:row>
    <x:row r="9" ht="50" customHeight="1">
      <x:c r="A9" s="35" t="str">
        <x:v>B05</x:v>
      </x:c>
      <x:c r="B9" s="35" t="str">
        <x:v>The Linux Kernel development community</x:v>
      </x:c>
      <x:c r="C9" s="35" t="str">
        <x:v>Linux 6.8.0</x:v>
      </x:c>
      <x:c r="D9" s="35" t="str">
        <x:v>System State Changes</x:v>
      </x:c>
      <x:c r="E9" s="35" t="str">
        <x:v>§§1–4</x:v>
      </x:c>
      <x:c r="F9" s="35" t="str">
        <x:v>Compatibilidad entre parches y modificación de estado compartido; base para contrastar obligaciones adicionales.</x:v>
      </x:c>
      <x:c r="G9" s="35" t="str">
        <x:v>https://www.kernel.org/doc/html/v6.8/livepatch/system-state.html</x:v>
      </x:c>
      <x:c r="H9" s="40" t="n">
        <x:v>17356</x:v>
      </x:c>
      <x:c r="I9" s="35" t="str">
        <x:v>7bef1ff9738fcd930833d214a738a79d7f23a818080f3501455364dffa5b7031</x:v>
      </x:c>
    </x:row>
    <x:row r="10" ht="50" customHeight="1">
      <x:c r="A10" s="35" t="str">
        <x:v>B06</x:v>
      </x:c>
      <x:c r="B10" s="35" t="str">
        <x:v>Microsoft</x:v>
      </x:c>
      <x:c r="C10" s="35" t="str">
        <x:v>Metadato ms.date=2018-12-05; captura de 09-09-2026</x:v>
      </x:c>
      <x:c r="D10" s="35" t="str">
        <x:v>FlushFileBuffers function (fileapi.h)</x:v>
      </x:c>
      <x:c r="E10" s="35" t="str">
        <x:v>Return value; Remarks</x:v>
      </x:c>
      <x:c r="F10" s="35" t="str">
        <x:v>Resultado y alcance de una sincronización de archivo.</x:v>
      </x:c>
      <x:c r="G10" s="35" t="str">
        <x:v>https://learn.microsoft.com/en-us/windows/win32/api/fileapi/nf-fileapi-flushfilebuffers</x:v>
      </x:c>
      <x:c r="H10" s="40" t="n">
        <x:v>54775</x:v>
      </x:c>
      <x:c r="I10" s="35" t="str">
        <x:v>79dc26fd14d4503424530e24d95c931d5ee8229bf10418ce819b2b853ea2d00a</x:v>
      </x:c>
    </x:row>
    <x:row r="11" ht="50" customHeight="1">
      <x:c r="A11" s="35" t="str">
        <x:v>B07</x:v>
      </x:c>
      <x:c r="B11" s="35" t="str">
        <x:v>Microsoft</x:v>
      </x:c>
      <x:c r="C11" s="35" t="str">
        <x:v>Metadato ms.date=2018-12-05; captura de 09-09-2026</x:v>
      </x:c>
      <x:c r="D11" s="35" t="str">
        <x:v>FlushViewOfFile function (memoryapi.h)</x:v>
      </x:c>
      <x:c r="E11" s="35" t="str">
        <x:v>Remarks</x:v>
      </x:c>
      <x:c r="F11" s="35" t="str">
        <x:v>Contraejemplo a equiparar escritura de páginas, metadatos y persistencia en el dispositivo.</x:v>
      </x:c>
      <x:c r="G11" s="35" t="str">
        <x:v>https://learn.microsoft.com/en-us/windows/win32/api/memoryapi/nf-memoryapi-flushviewoffile</x:v>
      </x:c>
      <x:c r="H11" s="40" t="n">
        <x:v>54343</x:v>
      </x:c>
      <x:c r="I11" s="35" t="str">
        <x:v>beac4bcc9a9b5d9bd2432dbdcf26b7fc28b3b4ad21356220bd87d07bdd8f7a24</x:v>
      </x:c>
    </x:row>
    <x:row r="12" ht="66" customHeight="1">
      <x:c r="A12" s="35" t="str">
        <x:v>B08</x:v>
      </x:c>
      <x:c r="B12" s="35" t="str">
        <x:v>Dai, J.; Zhang, Y.; Jiang, Z.; Zhou, Y.; Chen, J.; Xing, X.; Zhang, X.; Tan, X.; Yang, M.; Yang, Z.</x:v>
      </x:c>
      <x:c r="C12" s="35" t="str">
        <x:v>2020</x:v>
      </x:c>
      <x:c r="D12" s="35" t="str">
        <x:v>BScout: Direct Whole Patch Presence Test for Java Executables. 29th USENIX Security Symposium, pp. 1147–1164</x:v>
      </x:c>
      <x:c r="E12" s="35" t="str">
        <x:v>§1, pp. 1147–1148; §§4–6 para el alcance del estudio</x:v>
      </x:c>
      <x:c r="F12" s="35" t="str">
        <x:v>Estudio empírico sobre presencia íntegra de parches en ejecutables Java. Sus resultados no se transfieren a todas las plataformas ni validan este catálogo.</x:v>
      </x:c>
      <x:c r="G12" s="35" t="str">
        <x:v>https://www.usenix.org/system/files/sec20-dai.pdf</x:v>
      </x:c>
      <x:c r="H12" s="40" t="n">
        <x:v>1166482</x:v>
      </x:c>
      <x:c r="I12" s="35" t="str">
        <x:v>1cf87257c42e90fffeb720071bcd19af1a64e7e9e12a78c1fea4413a403409a9</x:v>
      </x:c>
    </x:row>
    <x:row r="13" ht="82" customHeight="1">
      <x:c r="A13" s="35" t="str">
        <x:v>B09</x:v>
      </x:c>
      <x:c r="B13" s="35" t="str">
        <x:v>Sun, S.; Xing, Y.; Wang, X.; Wang, S.; Li, Q.; Sun, K.</x:v>
      </x:c>
      <x:c r="C13" s="35" t="str">
        <x:v>2025</x:v>
      </x:c>
      <x:c r="D13" s="35" t="str">
        <x:v>DisPatch: Unraveling Security Patches from Entangled Code Changes. 34th USENIX Security Symposium</x:v>
      </x:c>
      <x:c r="E13" s="35" t="str">
        <x:v>§1, pp. 4521–4522; §7, evaluación; §8, discusión y límites</x:v>
      </x:c>
      <x:c r="F13" s="35" t="str">
        <x:v>Estudio sobre dependencias de modificaciones de código. Compilar un fragmento separado no acredita que resuelva íntegramente la vulnerabilidad. La delimitación de un parche individual también requiere juicio experto.</x:v>
      </x:c>
      <x:c r="G13" s="35" t="str">
        <x:v>https://www.usenix.org/system/files/usenixsecurity25-sun-shiyu.pdf</x:v>
      </x:c>
      <x:c r="H13" s="40" t="n">
        <x:v>1000060</x:v>
      </x:c>
      <x:c r="I13" s="35" t="str">
        <x:v>371213ac4cda45351ee7adfa7d18624194992121fb00826fc6690fd667e657f2</x:v>
      </x:c>
    </x:row>
    <x:row r="14" ht="50" customHeight="1">
      <x:c r="A14" s="35" t="str">
        <x:v>B10</x:v>
      </x:c>
      <x:c r="B14" s="35" t="str">
        <x:v>Swanson, M.; Bowen, P.; Phillips, A.; Gallup, D.; Lynes, D.</x:v>
      </x:c>
      <x:c r="C14" s="35" t="str">
        <x:v>2010; actualización de 11-11-2010</x:v>
      </x:c>
      <x:c r="D14" s="35" t="str">
        <x:v>Contingency Planning Guide for Federal Information Systems. NIST SP 800-34 Rev. 1</x:v>
      </x:c>
      <x:c r="E14" s="35" t="str">
        <x:v>§3.2, pp. 15–19; §§3.4.1, 4.3</x:v>
      </x:c>
      <x:c r="F14" s="35" t="str">
        <x:v>Relación entre servicios, dependencias, impacto y recuperación. Un objetivo temporal no es un resultado medido.</x:v>
      </x:c>
      <x:c r="G14" s="35" t="str">
        <x:v>https://nvlpubs.nist.gov/nistpubs/Legacy/SP/nistspecialpublication800-34r1.pdf</x:v>
      </x:c>
      <x:c r="H14" s="40" t="n">
        <x:v>952921</x:v>
      </x:c>
      <x:c r="I14" s="35" t="str">
        <x:v>476f04d4c60b0770c1ac8b2720551972074ce78e936a3e7a535048416111d0df</x:v>
      </x:c>
    </x:row>
    <x:row r="15" ht="50" customHeight="1">
      <x:c r="A15" s="35" t="str">
        <x:v>B11</x:v>
      </x:c>
      <x:c r="B15" s="35" t="str">
        <x:v>Microsoft</x:v>
      </x:c>
      <x:c r="C15" s="35" t="str">
        <x:v>Metadato ms.date=2018-05-31; captura de 09-09-2026</x:v>
      </x:c>
      <x:c r="D15" s="35" t="str">
        <x:v>File Caching</x:v>
      </x:c>
      <x:c r="E15" s="35" t="str">
        <x:v>Texto principal</x:v>
      </x:c>
      <x:c r="F15" s="35" t="str">
        <x:v>Diferencia entre escrituras almacenadas en memoria y su sincronización; intercambio entre rendimiento y fiabilidad.</x:v>
      </x:c>
      <x:c r="G15" s="35" t="str">
        <x:v>https://learn.microsoft.com/en-us/windows/win32/fileio/file-caching</x:v>
      </x:c>
      <x:c r="H15" s="40" t="n">
        <x:v>51584</x:v>
      </x:c>
      <x:c r="I15" s="35" t="str">
        <x:v>ed28b034537b9f1953fa1b07ae06afb7f99650f7b9c4b1ff238815eca604c299</x:v>
      </x:c>
    </x:row>
    <x:row r="16" ht="50" customHeight="1">
      <x:c r="A16" s="35" t="str">
        <x:v>B12</x:v>
      </x:c>
      <x:c r="B16" s="35" t="str">
        <x:v>Microsoft</x:v>
      </x:c>
      <x:c r="C16" s="35" t="str">
        <x:v>Metadato ms.date=2018-12-05; captura de 09-09-2026</x:v>
      </x:c>
      <x:c r="D16" s="35" t="str">
        <x:v>MoveFileExW function (winbase.h)</x:v>
      </x:c>
      <x:c r="E16" s="35" t="str">
        <x:v>MOVEFILE_DELAY_UNTIL_REBOOT; MOVEFILE_WRITE_THROUGH; Remarks</x:v>
      </x:c>
      <x:c r="F16" s="35" t="str">
        <x:v>Operaciones diferidas de archivo y límites de la confirmación de programación.</x:v>
      </x:c>
      <x:c r="G16" s="35" t="str">
        <x:v>https://learn.microsoft.com/en-us/windows/win32/api/winbase/nf-winbase-movefileexw</x:v>
      </x:c>
      <x:c r="H16" s="40" t="n">
        <x:v>62973</x:v>
      </x:c>
      <x:c r="I16" s="35" t="str">
        <x:v>a0910a82494c8d1e568502ee0d42bc9dc7ab3038cb943f84eb5a7cc2ad559bcc</x:v>
      </x:c>
    </x:row>
    <x:row r="17" ht="50" customHeight="1">
      <x:c r="A17" s="35" t="str">
        <x:v>F018</x:v>
      </x:c>
      <x:c r="B17" s="35" t="str">
        <x:v>Scarfone, K.; Souppaya, M.; Cody, A.; Orebaugh, A.</x:v>
      </x:c>
      <x:c r="C17" s="35" t="str">
        <x:v>2008, septiembre</x:v>
      </x:c>
      <x:c r="D17" s="35" t="str">
        <x:v>Technical Guide to Information Security Testing and Assessment. NIST SP 800-115</x:v>
      </x:c>
      <x:c r="E17" s="35" t="str">
        <x:v>§§3.4–3.6, 4.3, 6.5, 7.3–7.4</x:v>
      </x:c>
      <x:c r="F17" s="35" t="str">
        <x:v>Alcance y límites de las pruebas, resultados falsos y tratamiento de evidencia.</x:v>
      </x:c>
      <x:c r="G17" s="35" t="str">
        <x:v>https://doi.org/10.6028/NIST.SP.800-115</x:v>
      </x:c>
      <x:c r="H17" s="40" t="n">
        <x:v>544047</x:v>
      </x:c>
      <x:c r="I17" s="35" t="str">
        <x:v>58e5ed41e5c8ca34ce14fd80b70f118f2c6d613d1647bc307edca30bcc45f063</x:v>
      </x:c>
    </x:row>
    <x:row r="18" ht="66" customHeight="1">
      <x:c r="A18" s="35" t="str">
        <x:v>H01</x:v>
      </x:c>
      <x:c r="B18" s="35" t="str">
        <x:v>Johnson, A.; Dempsey, K.; Ross, R.; Gupta, S.; Bailey, D.</x:v>
      </x:c>
      <x:c r="C18" s="35" t="str">
        <x:v>2011; actualización de 10-10-2019</x:v>
      </x:c>
      <x:c r="D18" s="35" t="str">
        <x:v>Guide for Security-Focused Configuration Management of Information Systems. NIST SP 800-128</x:v>
      </x:c>
      <x:c r="E18" s="35" t="str">
        <x:v>§2.1.1; §3.1, inventario, pp. 25–28; §§3.2–3.4</x:v>
      </x:c>
      <x:c r="F18" s="35" t="str">
        <x:v>Mismo documento y mismos bytes que B01. Esta lectura amplía los localizadores hacia inventario, configuración de referencia y control de cambios. No se cuenta como nueva obra.</x:v>
      </x:c>
      <x:c r="G18" s="35" t="str">
        <x:v>https://nvlpubs.nist.gov/nistpubs/SpecialPublications/NIST.SP.800-128.pdf</x:v>
      </x:c>
      <x:c r="H18" s="40" t="n">
        <x:v>1528756</x:v>
      </x:c>
      <x:c r="I18" s="35" t="str">
        <x:v>ee97c5be0a5a1c70165bf960c67042c5ed1bcb186aeb592eada60e512ab35a70</x:v>
      </x:c>
    </x:row>
    <x:row r="19" ht="82" customHeight="1">
      <x:c r="A19" s="35" t="str">
        <x:v>H02</x:v>
      </x:c>
      <x:c r="B19" s="35" t="str">
        <x:v>Kent, K.; Souppaya, M.</x:v>
      </x:c>
      <x:c r="C19" s="35" t="str">
        <x:v>Septiembre de 2006</x:v>
      </x:c>
      <x:c r="D19" s="35" t="str">
        <x:v>Guide to Computer Security Log Management. NIST SP 800-92</x:v>
      </x:c>
      <x:c r="E19" s="35" t="str">
        <x:v>§§2.1–2.3; §4.1, funciones y responsabilidades; §5.1</x:v>
      </x:c>
      <x:c r="F19" s="35" t="str">
        <x:v>Diferencia fuentes y papeles en la gestión de registros. Advierte sobre registros de equipos comprometidos, relojes discordantes y cobertura desigual. Su antigüedad exige no adoptar sus tecnologías como selección actual.</x:v>
      </x:c>
      <x:c r="G19" s="35" t="str">
        <x:v>https://nvlpubs.nist.gov/nistpubs/legacy/sp/nistspecialpublication800-92.pdf</x:v>
      </x:c>
      <x:c r="H19" s="40" t="n">
        <x:v>1759842</x:v>
      </x:c>
      <x:c r="I19" s="35" t="str">
        <x:v>466c3ab1580bc3b2e25d11bbd4b2ac92fd1762b3c5b10596924981bc1b9e61e1</x:v>
      </x:c>
    </x:row>
    <x:row r="20" ht="82" customHeight="1">
      <x:c r="A20" s="35" t="str">
        <x:v>H03</x:v>
      </x:c>
      <x:c r="B20" s="35" t="str">
        <x:v>Moreau, L.; Missier, P. (eds.); W3C Provenance Working Group</x:v>
      </x:c>
      <x:c r="C20" s="35" t="str">
        <x:v>30-04-2013, W3C Recommendation</x:v>
      </x:c>
      <x:c r="D20" s="35" t="str">
        <x:v>PROV-DM: The PROV Data Model</x:v>
      </x:c>
      <x:c r="E20" s="35" t="str">
        <x:v>§§5.1–5.3; en particular 5.3.2–5.3.4</x:v>
      </x:c>
      <x:c r="F20" s="35" t="str">
        <x:v>Distingue derivación, atribución, asociación y delegación. Es un modelo de procedencia; no adjudica consecuencias jurídicas. Su posibilidad descriptiva de autoasignación no se importa como autorización para la IA SV.</x:v>
      </x:c>
      <x:c r="G20" s="35" t="str">
        <x:v>https://www.w3.org/TR/2013/REC-prov-dm-20130430/</x:v>
      </x:c>
      <x:c r="H20" s="40" t="n">
        <x:v>271572</x:v>
      </x:c>
      <x:c r="I20" s="35" t="str">
        <x:v>5c925c21bc96c285b25017c3b90d82cf74251d07713b71fcb81ca60f873c9e88</x:v>
      </x:c>
    </x:row>
    <x:row r="21" ht="66" customHeight="1">
      <x:c r="A21" s="35" t="str">
        <x:v>H04</x:v>
      </x:c>
      <x:c r="B21" s="35" t="str">
        <x:v>Cheney, J.; Missier, P.; Moreau, L. (eds.); De Nies, T.</x:v>
      </x:c>
      <x:c r="C21" s="35" t="str">
        <x:v>30-04-2013, W3C Recommendation</x:v>
      </x:c>
      <x:c r="D21" s="35" t="str">
        <x:v>Constraints of the PROV Data Model</x:v>
      </x:c>
      <x:c r="E21" s="35" t="str">
        <x:v>§4, validación; comprobación de restricciones de orden; constraints 30, 36–38</x:v>
      </x:c>
      <x:c r="F21" s="35" t="str">
        <x:v>Aporta contraste de orden parcial y límites de inferencia hacia antecedentes. El perfil de este expediente es propio y no constituye una implementación conforme de PROV.</x:v>
      </x:c>
      <x:c r="G21" s="35" t="str">
        <x:v>https://www.w3.org/TR/2013/REC-prov-constraints-20130430/</x:v>
      </x:c>
      <x:c r="H21" s="40" t="n">
        <x:v>285333</x:v>
      </x:c>
      <x:c r="I21" s="35" t="str">
        <x:v>0e65d02339347af6f6e5744cb69a99cf56430e8fd9dd904ac476541634361287</x:v>
      </x:c>
    </x:row>
    <x:row r="22" ht="82" customHeight="1">
      <x:c r="A22" s="35" t="str">
        <x:v>H05</x:v>
      </x:c>
      <x:c r="B22" s="35" t="str">
        <x:v>Kelsey, J.; Callas, J.; Clemm, A.</x:v>
      </x:c>
      <x:c r="C22" s="35" t="str">
        <x:v>Mayo de 2010</x:v>
      </x:c>
      <x:c r="D22" s="35" t="str">
        <x:v>Signed Syslog Messages. RFC 5848</x:v>
      </x:c>
      <x:c r="E22" s="35" t="str">
        <x:v>§§7–8; especialmente 8.1, 8.3–8.8</x:v>
      </x:c>
      <x:c r="F22" s="35" t="str">
        <x:v>Delimita autenticidad, repetición, pérdida, orden e integridad de mensajes enviados. Una clave comprometida permite firmar mensajes falsos. No se seleccionan aquí algoritmos, certificados ni una implementación.</x:v>
      </x:c>
      <x:c r="G22" s="35" t="str">
        <x:v>https://www.rfc-editor.org/rfc/rfc5848.txt</x:v>
      </x:c>
      <x:c r="H22" s="40" t="n">
        <x:v>102805</x:v>
      </x:c>
      <x:c r="I22" s="35" t="str">
        <x:v>23169e504cf0303b8b2917ef39447113ceb12b6ef0df1ab70365a7f93ae3a4cc</x:v>
      </x:c>
    </x:row>
    <x:row r="23" ht="82" customHeight="1">
      <x:c r="A23" s="35" t="str">
        <x:v>H06</x:v>
      </x:c>
      <x:c r="B23" s="35" t="str">
        <x:v>Kent, K.; Chevalier, S.; Grance, T.; Dang, H.</x:v>
      </x:c>
      <x:c r="C23" s="35" t="str">
        <x:v>Agosto de 2006</x:v>
      </x:c>
      <x:c r="D23" s="35" t="str">
        <x:v>Guide to Integrating Forensic Techniques into Incident Response. NIST SP 800-86</x:v>
      </x:c>
      <x:c r="E23" s="35" t="str">
        <x:v>§2.3; §3.1.2, pp. 3-3–3-4; §3.1.3</x:v>
      </x:c>
      <x:c r="F23" s="35" t="str">
        <x:v>Fundamenta custodia, adquisición, copias y documentación de actuaciones sobre la evidencia. La custodia no se identifica con la responsabilidad del suceso investigado. Es orientación técnica, no dictamen de admisibilidad judicial.</x:v>
      </x:c>
      <x:c r="G23" s="35" t="str">
        <x:v>https://nvlpubs.nist.gov/nistpubs/legacy/sp/nistspecialpublication800-86.pdf</x:v>
      </x:c>
      <x:c r="H23" s="40" t="n">
        <x:v>2818618</x:v>
      </x:c>
      <x:c r="I23" s="35" t="str">
        <x:v>ea7eb645bcd3feaf3ab9ea7dfc3c8987a08bf260c40682df1e5e8292bf9fe9b4</x:v>
      </x:c>
    </x:row>
    <x:row r="24" ht="66" customHeight="1">
      <x:c r="A24" s="35" t="str">
        <x:v>H07</x:v>
      </x:c>
      <x:c r="B24" s="35" t="str">
        <x:v>Gerhards, R.</x:v>
      </x:c>
      <x:c r="C24" s="35" t="str">
        <x:v>Marzo de 2009</x:v>
      </x:c>
      <x:c r="D24" s="35" t="str">
        <x:v>The Syslog Protocol. RFC 5424</x:v>
      </x:c>
      <x:c r="E24" s="35" t="str">
        <x:v>§4; §§6.2–6.3; §7.1; §8</x:v>
      </x:c>
      <x:c r="F24" s="35" t="str">
        <x:v>Distingue originador, retransmisor y recolector; los campos y tiempos requieren interpretación. Un formato válido no acredita origen auténtico, cobertura ni veracidad.</x:v>
      </x:c>
      <x:c r="G24" s="35" t="str">
        <x:v>https://www.rfc-editor.org/rfc/rfc5424.txt</x:v>
      </x:c>
      <x:c r="H24" s="40" t="n">
        <x:v>85162</x:v>
      </x:c>
      <x:c r="I24" s="35" t="str">
        <x:v>24d91f90a05d2536730ada929c296f45ae9cd72226e22b6775ad8c04cae37a53</x:v>
      </x:c>
    </x:row>
    <x:row r="25" ht="82" customHeight="1">
      <x:c r="A25" s="35" t="str">
        <x:v>H08</x:v>
      </x:c>
      <x:c r="B25" s="35" t="str">
        <x:v>NIST; Scarfone, K.; Souppaya, M.</x:v>
      </x:c>
      <x:c r="C25" s="35" t="str">
        <x:v>11-10-2023; estado consultado 09-09-2026</x:v>
      </x:c>
      <x:c r="D25" s="35" t="str">
        <x:v>Cybersecurity Log Management Planning Guide. SP 800-92 Rev. 1, Initial Public Draft</x:v>
      </x:c>
      <x:c r="E25" s="35" t="str">
        <x:v>Ficha institucional: estado editorial y fecha</x:v>
      </x:c>
      <x:c r="F25" s="35" t="str">
        <x:v>Comprobación de edición. La página consultada presenta un borrador; no se lo cita como revisión final ni como sustitución consumada de H02. No se usa su articulado para seleccionar parámetros.</x:v>
      </x:c>
      <x:c r="G25" s="35" t="str">
        <x:v>https://csrc.nist.gov/pubs/sp/800/92/r1/ipd</x:v>
      </x:c>
      <x:c r="H25" s="40" t="n">
        <x:v>44954</x:v>
      </x:c>
      <x:c r="I25" s="35" t="str">
        <x:v>22dd3725f64d0880c33afa5d5955c1ad7230bdca0401b4f8cc0b250955731f74</x:v>
      </x:c>
    </x:row>
    <x:row r="26" ht="50" customHeight="1">
      <x:c r="A26" s="35" t="str">
        <x:v>N01</x:v>
      </x:c>
      <x:c r="B26" s="35" t="str">
        <x:v>España. Consejo de Ministros</x:v>
      </x:c>
      <x:c r="C26" s="35" t="str">
        <x:v>2022; consolidación consultada: 06-11-2024</x:v>
      </x:c>
      <x:c r="D26" s="35" t="str">
        <x:v>Real Decreto 311/2022, de 3 de mayo, por el que se regula el Esquema Nacional de Seguridad</x:v>
      </x:c>
      <x:c r="E26" s="35" t="str">
        <x:v>Arts. 2–3, 11, 17, 21, 24; anexos I–II, op.acc.1/3/4, op.exp.4/5/8, mp.info.4</x:v>
      </x:c>
      <x:c r="F26" s="35" t="str">
        <x:v>Obligaciones diferenciadas por ámbito, categoría y dimensión; no impone sellado cualificado a cualquier acto.</x:v>
      </x:c>
      <x:c r="G26" s="35" t="str">
        <x:v>https://www.boe.es/buscar/act.php?id=BOE-A-2022-7191</x:v>
      </x:c>
      <x:c r="H26" s="40" t="n">
        <x:v>427339</x:v>
      </x:c>
      <x:c r="I26" s="35" t="str">
        <x:v>78ad1b6428efa9d6ef5a830161d4dd7a5365cf2bd010accf87aeb830a6af9dd6</x:v>
      </x:c>
    </x:row>
    <x:row r="27" ht="50" customHeight="1">
      <x:c r="A27" s="35" t="str">
        <x:v>N03B</x:v>
      </x:c>
      <x:c r="B27" s="35" t="str">
        <x:v>Parlamento Europeo y Consejo de la Unión Europea</x:v>
      </x:c>
      <x:c r="C27" s="35" t="str">
        <x:v>2014; arts. 41–42 contrastados con modificación de 2024</x:v>
      </x:c>
      <x:c r="D27" s="35" t="str">
        <x:v>Reglamento (UE) n.º 910/2014, identificación electrónica y servicios de confianza</x:v>
      </x:c>
      <x:c r="E27" s="35" t="str">
        <x:v>Arts. 41.1–2 y 42.1; actualización en N03C</x:v>
      </x:c>
      <x:c r="F27" s="35" t="str">
        <x:v>El sellado vincula datos y tiempo en su alcance; no acredita por sí mismo competencia ni verdad de todo lo narrado.</x:v>
      </x:c>
      <x:c r="G27" s="35" t="str">
        <x:v>https://www.boe.es/buscar/doc.php?id=DOUE-L-2014-81822</x:v>
      </x:c>
      <x:c r="H27" s="40" t="n">
        <x:v>193364</x:v>
      </x:c>
      <x:c r="I27" s="35" t="str">
        <x:v>5548dab5e7e1fb9f02b9088039aaf47a18a98b0ab312a5f5b78fc4ae69a11991</x:v>
      </x:c>
    </x:row>
    <x:row r="28" ht="66" customHeight="1">
      <x:c r="A28" s="35" t="str">
        <x:v>N03C</x:v>
      </x:c>
      <x:c r="B28" s="35" t="str">
        <x:v>Parlamento Europeo y Consejo de la Unión Europea</x:v>
      </x:c>
      <x:c r="C28" s="35" t="str">
        <x:v>11-04-2024; publicación 30-04-2024</x:v>
      </x:c>
      <x:c r="D28" s="35" t="str">
        <x:v>Reglamento (UE) 2024/1183, marco europeo de identidad digital</x:v>
      </x:c>
      <x:c r="E28" s="35" t="str">
        <x:v>Art. 1, puntos 41–42</x:v>
      </x:c>
      <x:c r="F28" s="35" t="str">
        <x:v>Suprime art. 41.3, añade art. 42.1 bis y sustituye art. 42.2; evita usar el régimen de desarrollo de 2014 como vigente.</x:v>
      </x:c>
      <x:c r="G28" s="35" t="str">
        <x:v>https://www.boe.es/buscar/doc.php?id=DOUE-L-2024-80608</x:v>
      </x:c>
      <x:c r="H28" s="40" t="n">
        <x:v>487874</x:v>
      </x:c>
      <x:c r="I28" s="35" t="str">
        <x:v>9b694e4462b272a38ca6357f5a6bc21f03a6da0bb85d2c98fc7463a8969a9383</x:v>
      </x:c>
    </x:row>
    <x:row r="29" ht="66" customHeight="1">
      <x:c r="A29" s="35" t="str">
        <x:v>N06</x:v>
      </x:c>
      <x:c r="B29" s="35" t="str">
        <x:v>Rose, S.; Borchert, O.; Mitchell, S.; Connelly, S. NIST</x:v>
      </x:c>
      <x:c r="C29" s="35" t="str">
        <x:v>Agosto de 2020</x:v>
      </x:c>
      <x:c r="D29" s="35" t="str">
        <x:v>Zero Trust Architecture. NIST SP 800-207</x:v>
      </x:c>
      <x:c r="E29" s="35" t="str">
        <x:v>Resumen y §2.1, pp. 6–7</x:v>
      </x:c>
      <x:c r="F29" s="35" t="str">
        <x:v>Separa autenticación y autorización y evita confiar por ubicación de red. La política dinámica del caso no autoriza aprendizaje automático del conocimiento SV.</x:v>
      </x:c>
      <x:c r="G29" s="35" t="str">
        <x:v>https://nvlpubs.nist.gov/nistpubs/SpecialPublications/NIST.SP.800-207.pdf</x:v>
      </x:c>
      <x:c r="H29" s="40" t="n">
        <x:v>966908</x:v>
      </x:c>
      <x:c r="I29" s="35" t="str">
        <x:v>0290d6ece24874287316f4bf430fef770aa4ec08a2227c8f2c1e5b2ff975e03d</x:v>
      </x:c>
    </x:row>
    <x:row r="30" ht="66" customHeight="1">
      <x:c r="A30" s="35" t="str">
        <x:v>N09</x:v>
      </x:c>
      <x:c r="B30" s="35" t="str">
        <x:v>Comité Europeo de Protección de Datos</x:v>
      </x:c>
      <x:c r="C30" s="35" t="str">
        <x:v>Página y copia impresa consultadas 09-09-2026</x:v>
      </x:c>
      <x:c r="D30" s="35" t="str">
        <x:v>Datos personales seguros. Guía de protección de datos para pequeñas empresas</x:v>
      </x:c>
      <x:c r="E30" s="35" t="str">
        <x:v>Riesgos; organización; usuarios; datos sensibles; seudonimización y anonimización; copia ADJ3, 26 páginas</x:v>
      </x:c>
      <x:c r="F30" s="35" t="str">
        <x:v>Ejemplos educativos sobre protección de datos; no sustituye al Reglamento ni certifica conformidad.</x:v>
      </x:c>
      <x:c r="G30" s="35" t="str">
        <x:v>https://www.edpb.europa.eu/sme/be-compliant/secure-personal-data_es</x:v>
      </x:c>
      <x:c r="H30" s="40" t="n">
        <x:v>58588</x:v>
      </x:c>
      <x:c r="I30" s="35" t="str">
        <x:v>87abdd65037bd6a17a9e4bd0015fa458a6517569de4276100f4d34d0a73ac1c4</x:v>
      </x:c>
    </x:row>
    <x:row r="31" ht="66" customHeight="1">
      <x:c r="A31" s="35" t="str">
        <x:v>N10</x:v>
      </x:c>
      <x:c r="B31" s="35" t="str">
        <x:v>Jones, M.; Nadalin, A.; Campbell, B.; Bradley, J.; Mortimore, C. IETF</x:v>
      </x:c>
      <x:c r="C31" s="35" t="str">
        <x:v>Enero de 2020</x:v>
      </x:c>
      <x:c r="D31" s="35" t="str">
        <x:v>OAuth 2.0 Token Exchange. RFC 8693</x:v>
      </x:c>
      <x:c r="E31" s="35" t="str">
        <x:v>§1.1 y §2.1</x:v>
      </x:c>
      <x:c r="F31" s="35" t="str">
        <x:v>El protocolo permite distinguir actor y sujeto. Su término impersonation también nombra un modo legítimo y no equivale siempre a suplantación fraudulenta.</x:v>
      </x:c>
      <x:c r="G31" s="35" t="str">
        <x:v>https://www.rfc-editor.org/rfc/rfc8693.txt</x:v>
      </x:c>
      <x:c r="H31" s="40" t="n">
        <x:v>63031</x:v>
      </x:c>
      <x:c r="I31" s="35" t="str">
        <x:v>358d658014738bf4dc56c8aae2094ce716ede23b6d5a80488a7dc8e8d72da609</x:v>
      </x:c>
    </x:row>
    <x:row r="32" ht="66" customHeight="1">
      <x:c r="A32" s="35" t="str">
        <x:v>R025</x:v>
      </x:c>
      <x:c r="B32" s="35" t="str">
        <x:v>Universidad Rey Juan Carlos</x:v>
      </x:c>
      <x:c r="C32" s="35" t="str">
        <x:v>Curso 2026–2027</x:v>
      </x:c>
      <x:c r="D32" s="35" t="str">
        <x:v>SISTEMAS OPERATIVOS. Guía docente del Grado en Ingeniería de la Ciberseguridad</x:v>
      </x:c>
      <x:c r="E32" s="35" t="str">
        <x:v>II. Presentación; III. Resultados de aprendizaje; IV. Contenido</x:v>
      </x:c>
      <x:c r="F32" s="35" t="str">
        <x:v>Base educativa. La ficha no constituye por sí sola un parámetro; su función se relaciona con la operación en el catálogo.</x:v>
      </x:c>
      <x:c r="G32" s="35" t="str">
        <x:v>https://gestion3.urjc.es/guiasdocentes/pdfGuia.jsp?txtAsignatura=2285025&amp;txtTitulacion=2285&amp;txtCursoAcademico=2026-27</x:v>
      </x:c>
      <x:c r="H32" s="40" t="n">
        <x:v>282277</x:v>
      </x:c>
      <x:c r="I32" s="35" t="str">
        <x:v>b3af36599e0e0358090f8457da07c8994e6c92e02e01368c49c63ca44a24c540</x:v>
      </x:c>
    </x:row>
    <x:row r="33" ht="66" customHeight="1">
      <x:c r="A33" s="35" t="str">
        <x:v>R032</x:v>
      </x:c>
      <x:c r="B33" s="35" t="str">
        <x:v>Universidad Rey Juan Carlos</x:v>
      </x:c>
      <x:c r="C33" s="35" t="str">
        <x:v>Curso 2026–2027</x:v>
      </x:c>
      <x:c r="D33" s="35" t="str">
        <x:v>AUDITORIA. Guía docente del Grado en Ingeniería de la Ciberseguridad</x:v>
      </x:c>
      <x:c r="E33" s="35" t="str">
        <x:v>II. Presentación; III. Resultados de aprendizaje; IV. Contenido</x:v>
      </x:c>
      <x:c r="F33" s="35" t="str">
        <x:v>Base educativa. La ficha no constituye por sí sola un parámetro; su función se relaciona con la operación en el catálogo.</x:v>
      </x:c>
      <x:c r="G33" s="35" t="str">
        <x:v>https://gestion3.urjc.es/guiasdocentes/pdfGuia.jsp?txtAsignatura=2285032&amp;txtTitulacion=2285&amp;txtCursoAcademico=2026-27</x:v>
      </x:c>
      <x:c r="H33" s="40" t="n">
        <x:v>235965</x:v>
      </x:c>
      <x:c r="I33" s="35" t="str">
        <x:v>1166067a7d7fb5134c17396a8b4c70cdeb467bcedba13832dfa5b09bf524e835</x:v>
      </x:c>
    </x:row>
    <x:row r="34" ht="66" customHeight="1">
      <x:c r="A34" s="35" t="str">
        <x:v>R035</x:v>
      </x:c>
      <x:c r="B34" s="35" t="str">
        <x:v>Universidad Rey Juan Carlos</x:v>
      </x:c>
      <x:c r="C34" s="35" t="str">
        <x:v>Curso 2026–2027</x:v>
      </x:c>
      <x:c r="D34" s="35" t="str">
        <x:v>ANALISIS Y GESTION DEL RIESGO. Guía docente del Grado en Ingeniería de la Ciberseguridad</x:v>
      </x:c>
      <x:c r="E34" s="35" t="str">
        <x:v>II. Presentación; III. Resultados de aprendizaje; IV. Contenido</x:v>
      </x:c>
      <x:c r="F34" s="35" t="str">
        <x:v>Base educativa. La ficha no constituye por sí sola un parámetro; su función se relaciona con la operación en el catálogo.</x:v>
      </x:c>
      <x:c r="G34" s="35" t="str">
        <x:v>https://gestion3.urjc.es/guiasdocentes/pdfGuia.jsp?txtAsignatura=2285036&amp;txtTitulacion=2285&amp;txtCursoAcademico=2026-27</x:v>
      </x:c>
      <x:c r="H34" s="40" t="n">
        <x:v>278163</x:v>
      </x:c>
      <x:c r="I34" s="35" t="str">
        <x:v>099a3eb2a03c5040f76ddc3676ae6ed1987e0432626f014812a720fd204c0eea</x:v>
      </x:c>
    </x:row>
    <x:row r="35" ht="50" customHeight="1">
      <x:c r="A35" s="35" t="str">
        <x:v>T001</x:v>
      </x:c>
      <x:c r="B35" s="35" t="str">
        <x:v>Souppaya, M.; Scarfone, K.</x:v>
      </x:c>
      <x:c r="C35" s="35" t="str">
        <x:v>2022, abril</x:v>
      </x:c>
      <x:c r="D35" s="35" t="str">
        <x:v>Guide to Enterprise Patch Management Planning: Preventive Maintenance for Technology. NIST SP 800-40r4</x:v>
      </x:c>
      <x:c r="E35" s="35" t="str">
        <x:v>§§2.2–2.3, pp. 4–7; §§3.1–3.5</x:v>
      </x:c>
      <x:c r="F35" s="35" t="str">
        <x:v>Fundamento profesional del ciclo de actualización, de la verificación del efecto y del balance de recursos.</x:v>
      </x:c>
      <x:c r="G35" s="35" t="str">
        <x:v>https://doi.org/10.6028/NIST.SP.800-40r4</x:v>
      </x:c>
      <x:c r="H35" s="40" t="n">
        <x:v>562944</x:v>
      </x:c>
      <x:c r="I35" s="35" t="str">
        <x:v>351f4a828d6c0bc8bf98f25ba3f87ec5add0ed8cf8bb4a6e6cb4e7e4a9731833</x:v>
      </x:c>
    </x:row>
    <x:row r="36" ht="66" customHeight="1">
      <x:c r="A36" s="35" t="str">
        <x:v>T002</x:v>
      </x:c>
      <x:c r="B36" s="35" t="str">
        <x:v>Microsoft</x:v>
      </x:c>
      <x:c r="C36" s="35" t="str">
        <x:v>Metadato ms.date=2018-12-05; captura de 08–09-09-2026</x:v>
      </x:c>
      <x:c r="D36" s="35" t="str">
        <x:v>IUpdateInstallationResult::get_RebootRequired</x:v>
      </x:c>
      <x:c r="E36" s="35" t="str">
        <x:v>Remarks</x:v>
      </x:c>
      <x:c r="F36" s="35" t="str">
        <x:v>Requisito individual de reinicio.</x:v>
      </x:c>
      <x:c r="G36" s="35" t="str">
        <x:v>https://learn.microsoft.com/en-us/windows/win32/api/wuapi/nf-wuapi-iupdateinstallationresult-get_rebootrequired</x:v>
      </x:c>
      <x:c r="H36" s="40" t="n">
        <x:v>50835</x:v>
      </x:c>
      <x:c r="I36" s="35" t="str">
        <x:v>60d570d8f3004189142e2071cad26b8f442365276580c2b925733bffe3b012db</x:v>
      </x:c>
    </x:row>
    <x:row r="37" ht="50" customHeight="1">
      <x:c r="A37" s="35" t="str">
        <x:v>T004</x:v>
      </x:c>
      <x:c r="B37" s="35" t="str">
        <x:v>Microsoft</x:v>
      </x:c>
      <x:c r="C37" s="35" t="str">
        <x:v>Metadato ms.date=2018-12-05; captura de 08–09-09-2026</x:v>
      </x:c>
      <x:c r="D37" s="35" t="str">
        <x:v>OperationResultCode</x:v>
      </x:c>
      <x:c r="E37" s="35" t="str">
        <x:v>Constants</x:v>
      </x:c>
      <x:c r="F37" s="35" t="str">
        <x:v>Semántica de los resultados de operación.</x:v>
      </x:c>
      <x:c r="G37" s="35" t="str">
        <x:v>https://learn.microsoft.com/en-us/windows/win32/api/wuapi/ne-wuapi-operationresultcode</x:v>
      </x:c>
      <x:c r="H37" s="40" t="n">
        <x:v>50381</x:v>
      </x:c>
      <x:c r="I37" s="35" t="str">
        <x:v>d016f124e76dd51c6921338682697ecc9f81d3cb34925277261b71a1b9f67f8c</x:v>
      </x:c>
    </x:row>
    <x:row r="38" ht="50" customHeight="1">
      <x:c r="A38" s="35" t="str">
        <x:v>T005</x:v>
      </x:c>
      <x:c r="B38" s="35" t="str">
        <x:v>Microsoft</x:v>
      </x:c>
      <x:c r="C38" s="35" t="str">
        <x:v>Metadato ms.date=2018-05-31; captura de 08–09-09-2026</x:v>
      </x:c>
      <x:c r="D38" s="35" t="str">
        <x:v>IUpdateInstallationResult Properties</x:v>
      </x:c>
      <x:c r="E38" s="35" t="str">
        <x:v>Properties</x:v>
      </x:c>
      <x:c r="F38" s="35" t="str">
        <x:v>Separación de ResultCode, HResult y RebootRequired.</x:v>
      </x:c>
      <x:c r="G38" s="35" t="str">
        <x:v>https://learn.microsoft.com/en-us/windows/win32/wua_sdk/iupdateinstallationresult-properties</x:v>
      </x:c>
      <x:c r="H38" s="40" t="n">
        <x:v>47714</x:v>
      </x:c>
      <x:c r="I38" s="35" t="str">
        <x:v>9225a152705099736623664d8d79507c79175632f17b7590c6678df8dabea0ec</x:v>
      </x:c>
    </x:row>
    <x:row r="39" ht="50" customHeight="1">
      <x:c r="A39" s="35" t="str">
        <x:v>T006</x:v>
      </x:c>
      <x:c r="B39" s="35" t="str">
        <x:v>Microsoft</x:v>
      </x:c>
      <x:c r="C39" s="35" t="str">
        <x:v>Metadato ms.date=2018-12-05; captura de 08–09-09-2026</x:v>
      </x:c>
      <x:c r="D39" s="35" t="str">
        <x:v>IInstallationResult::GetUpdateResult</x:v>
      </x:c>
      <x:c r="E39" s="35" t="str">
        <x:v>Parameters; Remarks</x:v>
      </x:c>
      <x:c r="F39" s="35" t="str">
        <x:v>Correspondencia con el índice original de la colección.</x:v>
      </x:c>
      <x:c r="G39" s="35" t="str">
        <x:v>https://learn.microsoft.com/en-us/windows/win32/api/wuapi/nf-wuapi-iinstallationresult-getupdateresult</x:v>
      </x:c>
      <x:c r="H39" s="40" t="n">
        <x:v>50707</x:v>
      </x:c>
      <x:c r="I39" s="35" t="str">
        <x:v>55decce78c4396ff2a1b28ab75624d40891eecf7cf7dc73733452c8abb6eafcb</x:v>
      </x:c>
    </x:row>
    <x:row r="40" ht="66" customHeight="1">
      <x:c r="A40" s="35" t="str">
        <x:v>T007</x:v>
      </x:c>
      <x:c r="B40" s="35" t="str">
        <x:v>Microsoft</x:v>
      </x:c>
      <x:c r="C40" s="35" t="str">
        <x:v>Metadato ms.date=2026-02-12; captura de 08–09-09-2026</x:v>
      </x:c>
      <x:c r="D40" s="35" t="str">
        <x:v>Updates may not be installed with Fast Startup in Windows 10</x:v>
      </x:c>
      <x:c r="E40" s="35" t="str">
        <x:v>Summary; More information</x:v>
      </x:c>
      <x:c r="F40" s="35" t="str">
        <x:v>Diferencia entre inicio rápido y reinicio íntegro en ese perfil.</x:v>
      </x:c>
      <x:c r="G40" s="35" t="str">
        <x:v>https://learn.microsoft.com/en-us/troubleshoot/windows-client/setup-upgrade-and-drivers/updates-not-install-with-fast-startup</x:v>
      </x:c>
      <x:c r="H40" s="40" t="n">
        <x:v>49266</x:v>
      </x:c>
      <x:c r="I40" s="35" t="str">
        <x:v>0b4d699ffb67dff435405c972ad5be5a4788b3b658939cb3e54e53424ba487dd</x:v>
      </x:c>
    </x:row>
    <x:row r="41" ht="50" customHeight="1">
      <x:c r="A41" s="35" t="str">
        <x:v>T008</x:v>
      </x:c>
      <x:c r="B41" s="35" t="str">
        <x:v>Microsoft</x:v>
      </x:c>
      <x:c r="C41" s="35" t="str">
        <x:v>Metadato ms.date=2023-02-08; captura de 08–09-09-2026</x:v>
      </x:c>
      <x:c r="D41" s="35" t="str">
        <x:v>Dynamic-link library search order</x:v>
      </x:c>
      <x:c r="E41" s="35" t="str">
        <x:v>Factors that affect searching</x:v>
      </x:c>
      <x:c r="F41" s="35" t="str">
        <x:v>Selección de bibliotecas y efectos del contexto de carga.</x:v>
      </x:c>
      <x:c r="G41" s="35" t="str">
        <x:v>https://learn.microsoft.com/en-us/windows/win32/dlls/dynamic-link-library-search-order</x:v>
      </x:c>
      <x:c r="H41" s="40" t="n">
        <x:v>63810</x:v>
      </x:c>
      <x:c r="I41" s="35" t="str">
        <x:v>ca2ff1a77ec797c516025925c6f3df38358b0f8b306cd0778f09186cfadc7a16</x:v>
      </x:c>
    </x:row>
    <x:row r="42" ht="50" customHeight="1">
      <x:c r="A42" s="35" t="str">
        <x:v>T009</x:v>
      </x:c>
      <x:c r="B42" s="35" t="str">
        <x:v>Microsoft</x:v>
      </x:c>
      <x:c r="C42" s="35" t="str">
        <x:v>Metadato ms.date=2018-05-31; captura de 08–09-09-2026</x:v>
      </x:c>
      <x:c r="D42" s="35" t="str">
        <x:v>About Restart Manager</x:v>
      </x:c>
      <x:c r="E42" s="35" t="str">
        <x:v>Texto principal</x:v>
      </x:c>
      <x:c r="F42" s="35" t="str">
        <x:v>Gestión de programas que usan archivos afectados.</x:v>
      </x:c>
      <x:c r="G42" s="35" t="str">
        <x:v>https://learn.microsoft.com/en-us/windows/win32/rstmgr/about-restart-manager</x:v>
      </x:c>
      <x:c r="H42" s="40" t="n">
        <x:v>49235</x:v>
      </x:c>
      <x:c r="I42" s="35" t="str">
        <x:v>31523632eb52da14a7aafb6b8315b19e0ac8b2c5ef3ee11abe12ce5d9c4aded9</x:v>
      </x:c>
    </x:row>
    <x:row r="43" ht="50" customHeight="1">
      <x:c r="A43" s="35" t="str">
        <x:v>T010</x:v>
      </x:c>
      <x:c r="B43" s="35" t="str">
        <x:v>Microsoft</x:v>
      </x:c>
      <x:c r="C43" s="35" t="str">
        <x:v>Metadato ms.date=2018-12-05; captura de 08–09-09-2026</x:v>
      </x:c>
      <x:c r="D43" s="35" t="str">
        <x:v>IUpdateHistoryEntry interface</x:v>
      </x:c>
      <x:c r="E43" s="35" t="str">
        <x:v>Methods</x:v>
      </x:c>
      <x:c r="F43" s="35" t="str">
        <x:v>Datos de historia de actualización; no prueba automática de cobertura.</x:v>
      </x:c>
      <x:c r="G43" s="35" t="str">
        <x:v>https://learn.microsoft.com/en-us/windows/win32/api/wuapi/nn-wuapi-iupdatehistoryentry</x:v>
      </x:c>
      <x:c r="H43" s="40" t="n">
        <x:v>52577</x:v>
      </x:c>
      <x:c r="I43" s="35" t="str">
        <x:v>1c10caa71f853e1a5f70b241d408b584956f0285086c2e726f93ab465d242f7d</x:v>
      </x:c>
    </x:row>
    <x:row r="44" ht="50" customHeight="1">
      <x:c r="A44" s="35" t="str">
        <x:v>T011</x:v>
      </x:c>
      <x:c r="B44" s="35" t="str">
        <x:v>Microsoft</x:v>
      </x:c>
      <x:c r="C44" s="35" t="str">
        <x:v>Metadato ms.date=2018-12-05; captura de 08–09-09-2026</x:v>
      </x:c>
      <x:c r="D44" s="35" t="str">
        <x:v>UpdateOperation</x:v>
      </x:c>
      <x:c r="E44" s="35" t="str">
        <x:v>Constants</x:v>
      </x:c>
      <x:c r="F44" s="35" t="str">
        <x:v>Distinción entre instalación y desinstalación.</x:v>
      </x:c>
      <x:c r="G44" s="35" t="str">
        <x:v>https://learn.microsoft.com/en-us/windows/win32/api/wuapi/ne-wuapi-updateoperation</x:v>
      </x:c>
      <x:c r="H44" s="40" t="n">
        <x:v>49531</x:v>
      </x:c>
      <x:c r="I44" s="35" t="str">
        <x:v>8a46244c749fd5b075d756d5d01116ff9a58e2a8168eed766d4337aef07197b8</x:v>
      </x:c>
    </x:row>
    <x:row r="45" ht="50" customHeight="1">
      <x:c r="A45" s="35" t="str">
        <x:v>T012</x:v>
      </x:c>
      <x:c r="B45" s="35" t="str">
        <x:v>Microsoft</x:v>
      </x:c>
      <x:c r="C45" s="35" t="str">
        <x:v>Metadato ms.date=2018-12-05; captura de 08–09-09-2026</x:v>
      </x:c>
      <x:c r="D45" s="35" t="str">
        <x:v>GetModuleInformation</x:v>
      </x:c>
      <x:c r="E45" s="35" t="str">
        <x:v>Parameters; Remarks</x:v>
      </x:c>
      <x:c r="F45" s="35" t="str">
        <x:v>Información de módulo y permisos de observación.</x:v>
      </x:c>
      <x:c r="G45" s="35" t="str">
        <x:v>https://learn.microsoft.com/en-us/windows/win32/api/psapi/nf-psapi-getmoduleinformation</x:v>
      </x:c>
      <x:c r="H45" s="40" t="n">
        <x:v>54456</x:v>
      </x:c>
      <x:c r="I45" s="35" t="str">
        <x:v>6a3de9519144cdc43ab32fa5c207975809fdb14913b20e9473d84b74f8f656d2</x:v>
      </x:c>
    </x:row>
    <x:row r="46" ht="50" customHeight="1">
      <x:c r="A46" s="35" t="str">
        <x:v>T013</x:v>
      </x:c>
      <x:c r="B46" s="35" t="str">
        <x:v>Microsoft</x:v>
      </x:c>
      <x:c r="C46" s="35" t="str">
        <x:v>Metadato ms.date=2018-12-05; captura de 08–09-09-2026</x:v>
      </x:c>
      <x:c r="D46" s="35" t="str">
        <x:v>MODULEINFO structure</x:v>
      </x:c>
      <x:c r="E46" s="35" t="str">
        <x:v>Members</x:v>
      </x:c>
      <x:c r="F46" s="35" t="str">
        <x:v>Dirección, tamaño y punto de entrada; no identidad criptográfica.</x:v>
      </x:c>
      <x:c r="G46" s="35" t="str">
        <x:v>https://learn.microsoft.com/en-us/windows/win32/api/psapi/ns-psapi-moduleinfo</x:v>
      </x:c>
      <x:c r="H46" s="40" t="n">
        <x:v>49924</x:v>
      </x:c>
      <x:c r="I46" s="35" t="str">
        <x:v>d2e50a2cb472165399ae7a673d5946337d340f5162062ec1373bb6af9e63c230</x:v>
      </x:c>
    </x:row>
    <x:row r="47" ht="50" customHeight="1">
      <x:c r="A47" s="35" t="str">
        <x:v>T014</x:v>
      </x:c>
      <x:c r="B47" s="35" t="str">
        <x:v>Microsoft</x:v>
      </x:c>
      <x:c r="C47" s="35" t="str">
        <x:v>Metadato ms.date=2018-12-05; captura de 08–09-09-2026</x:v>
      </x:c>
      <x:c r="D47" s="35" t="str">
        <x:v>RM_UNIQUE_PROCESS</x:v>
      </x:c>
      <x:c r="E47" s="35" t="str">
        <x:v>Members</x:v>
      </x:c>
      <x:c r="F47" s="35" t="str">
        <x:v>Identificación de proceso mediante PID y tiempo de creación.</x:v>
      </x:c>
      <x:c r="G47" s="35" t="str">
        <x:v>https://learn.microsoft.com/en-us/windows/win32/api/restartmanager/ns-restartmanager-rm_unique_process</x:v>
      </x:c>
      <x:c r="H47" s="40" t="n">
        <x:v>50868</x:v>
      </x:c>
      <x:c r="I47" s="35" t="str">
        <x:v>85e053da03c91dc097e5b4943545a488e6ed157d128ac764cfd3c49d6c7849c3</x:v>
      </x:c>
    </x:row>
    <x:row r="48" ht="50" customHeight="1">
      <x:c r="A48" s="35" t="str">
        <x:v>T015</x:v>
      </x:c>
      <x:c r="B48" s="35" t="str">
        <x:v>Microsoft</x:v>
      </x:c>
      <x:c r="C48" s="35" t="str">
        <x:v>Metadato ms.date=2018-12-05; captura de 08–09-09-2026</x:v>
      </x:c>
      <x:c r="D48" s="35" t="str">
        <x:v>CreateProcessW</x:v>
      </x:c>
      <x:c r="E48" s="35" t="str">
        <x:v>Return value</x:v>
      </x:c>
      <x:c r="F48" s="35" t="str">
        <x:v>Creación anterior a la terminación de la inicialización.</x:v>
      </x:c>
      <x:c r="G48" s="35" t="str">
        <x:v>https://learn.microsoft.com/en-us/windows/win32/api/processthreadsapi/nf-processthreadsapi-createprocessw</x:v>
      </x:c>
      <x:c r="H48" s="40" t="n">
        <x:v>76621</x:v>
      </x:c>
      <x:c r="I48" s="35" t="str">
        <x:v>11a98c6ebf66ed61dd65bfdd30b0d41a109e9095efb25dbf4084d03a310ddf04</x:v>
      </x:c>
    </x:row>
    <x:row r="49" ht="50" customHeight="1">
      <x:c r="A49" s="35" t="str">
        <x:v>T016</x:v>
      </x:c>
      <x:c r="B49" s="35" t="str">
        <x:v>Microsoft</x:v>
      </x:c>
      <x:c r="C49" s="35" t="str">
        <x:v>Metadato ms.date=2025-07-14; captura de 08–09-09-2026</x:v>
      </x:c>
      <x:c r="D49" s="35" t="str">
        <x:v>Terminating a Process</x:v>
      </x:c>
      <x:c r="E49" s="35" t="str">
        <x:v>How Processes are Terminated</x:v>
      </x:c>
      <x:c r="F49" s="35" t="str">
        <x:v>Procesos hijos y permanencia de objetos por referencias externas.</x:v>
      </x:c>
      <x:c r="G49" s="35" t="str">
        <x:v>https://learn.microsoft.com/en-us/windows/win32/procthread/terminating-a-process</x:v>
      </x:c>
      <x:c r="H49" s="40" t="n">
        <x:v>55831</x:v>
      </x:c>
      <x:c r="I49" s="35" t="str">
        <x:v>86170fc387e742c7eebce69f9e046e8eed77e60bac7036da8bb23c03494769f3</x:v>
      </x:c>
    </x:row>
  </x:sheetData>
  <x:mergeCells>
    <x:mergeCell ref="A1:D1"/>
    <x:mergeCell ref="A2:F2"/>
  </x:mergeCells>
  <x:pageMargins left="0.7" right="0.7" top="0.75" bottom="0.75" header="0.3" footer="0.3"/>
  <x:tableParts count="1">
    <x:tablePart xmlns:r="http://schemas.openxmlformats.org/officeDocument/2006/relationships" r:id="R4f592b8636dd476d"/>
  </x:tableParts>
</x:worksheet>
</file>